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Career\"/>
    </mc:Choice>
  </mc:AlternateContent>
  <xr:revisionPtr revIDLastSave="0" documentId="13_ncr:1_{FC98A446-0669-4175-A9BB-0D1A878A107A}" xr6:coauthVersionLast="47" xr6:coauthVersionMax="47" xr10:uidLastSave="{00000000-0000-0000-0000-000000000000}"/>
  <bookViews>
    <workbookView xWindow="-120" yWindow="-120" windowWidth="29040" windowHeight="15840" firstSheet="5" activeTab="11" xr2:uid="{097E89B9-BF2E-4803-9DE3-7B649354F7D1}"/>
  </bookViews>
  <sheets>
    <sheet name="Template" sheetId="2" r:id="rId1"/>
    <sheet name="Misc" sheetId="3" r:id="rId2"/>
    <sheet name="Establishment" sheetId="4" r:id="rId3"/>
    <sheet name="Accounts" sheetId="5" r:id="rId4"/>
    <sheet name="Items" sheetId="6" r:id="rId5"/>
    <sheet name="Sheet1" sheetId="1" r:id="rId6"/>
    <sheet name="2023-01" sheetId="7" r:id="rId7"/>
    <sheet name="2023-02" sheetId="8" r:id="rId8"/>
    <sheet name="2023-03" sheetId="9" r:id="rId9"/>
    <sheet name="2023-04" sheetId="10" r:id="rId10"/>
    <sheet name="2023-05" sheetId="11" r:id="rId11"/>
    <sheet name="2023-06" sheetId="12" r:id="rId12"/>
    <sheet name="2023-07" sheetId="13" r:id="rId13"/>
    <sheet name="2023-08" sheetId="14" r:id="rId14"/>
    <sheet name="2023-09" sheetId="15" r:id="rId15"/>
    <sheet name="2023-10" sheetId="16" r:id="rId16"/>
    <sheet name="2023-11" sheetId="17" r:id="rId17"/>
    <sheet name="2023-12" sheetId="18" r:id="rId18"/>
  </sheets>
  <externalReferences>
    <externalReference r:id="rId19"/>
  </externalReferences>
  <definedNames>
    <definedName name="_xlnm._FilterDatabase" localSheetId="6" hidden="1">'2023-01'!$A$1:$S$499</definedName>
    <definedName name="_xlnm._FilterDatabase" localSheetId="7" hidden="1">'2023-02'!$A$1:$S$499</definedName>
    <definedName name="_xlnm._FilterDatabase" localSheetId="8" hidden="1">'2023-03'!$A$1:$S$499</definedName>
    <definedName name="_xlnm._FilterDatabase" localSheetId="9" hidden="1">'2023-04'!$A$1:$S$499</definedName>
    <definedName name="_xlnm._FilterDatabase" localSheetId="10" hidden="1">'2023-05'!$A$1:$S$499</definedName>
    <definedName name="_xlnm._FilterDatabase" localSheetId="11" hidden="1">'2023-06'!$A$1:$S$499</definedName>
    <definedName name="_xlnm._FilterDatabase" localSheetId="12" hidden="1">'2023-07'!$A$1:$S$499</definedName>
    <definedName name="_xlnm._FilterDatabase" localSheetId="13" hidden="1">'2023-08'!$A$1:$S$499</definedName>
    <definedName name="_xlnm._FilterDatabase" localSheetId="14" hidden="1">'2023-09'!$A$1:$S$499</definedName>
    <definedName name="_xlnm._FilterDatabase" localSheetId="15" hidden="1">'2023-10'!$A$1:$S$499</definedName>
    <definedName name="_xlnm._FilterDatabase" localSheetId="16" hidden="1">'2023-11'!$A$1:$S$499</definedName>
    <definedName name="_xlnm._FilterDatabase" localSheetId="17" hidden="1">'2023-12'!$A$1:$S$499</definedName>
    <definedName name="_xlnm._FilterDatabase" localSheetId="3" hidden="1">Accounts!$B$1:$E$123</definedName>
    <definedName name="_xlnm._FilterDatabase" localSheetId="4" hidden="1">Items!$A$1:$E$249</definedName>
    <definedName name="_xlnm._FilterDatabase" localSheetId="0" hidden="1">Template!$A$1:$S$499</definedName>
    <definedName name="Z_06B2C1F4_76A0_43B8_A44A_43AF44FF387A_.wvu.FilterData" localSheetId="4" hidden="1">Items!$A$1:$E$259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2" l="1"/>
  <c r="P12" i="12"/>
  <c r="P13" i="12"/>
  <c r="R19" i="12"/>
  <c r="Q19" i="12"/>
  <c r="P19" i="12"/>
  <c r="K19" i="12"/>
  <c r="M19" i="12" s="1"/>
  <c r="G19" i="12"/>
  <c r="F19" i="12"/>
  <c r="A19" i="12" s="1"/>
  <c r="B19" i="12" s="1"/>
  <c r="R18" i="12"/>
  <c r="Q18" i="12"/>
  <c r="P18" i="12"/>
  <c r="M18" i="12"/>
  <c r="K18" i="12"/>
  <c r="G18" i="12"/>
  <c r="F18" i="12"/>
  <c r="A18" i="12" s="1"/>
  <c r="B18" i="12" s="1"/>
  <c r="R17" i="12"/>
  <c r="Q17" i="12"/>
  <c r="P17" i="12"/>
  <c r="M17" i="12"/>
  <c r="K17" i="12"/>
  <c r="G17" i="12"/>
  <c r="F17" i="12"/>
  <c r="R16" i="12"/>
  <c r="Q16" i="12"/>
  <c r="M16" i="12"/>
  <c r="G16" i="12"/>
  <c r="F16" i="12"/>
  <c r="A17" i="12" s="1"/>
  <c r="B17" i="12" s="1"/>
  <c r="A16" i="12"/>
  <c r="B16" i="12" s="1"/>
  <c r="F10" i="12"/>
  <c r="G10" i="12"/>
  <c r="F11" i="12"/>
  <c r="G11" i="12"/>
  <c r="F12" i="12"/>
  <c r="G12" i="12"/>
  <c r="F13" i="12"/>
  <c r="G13" i="12"/>
  <c r="F14" i="12"/>
  <c r="G14" i="12"/>
  <c r="F15" i="12"/>
  <c r="G15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203" i="12"/>
  <c r="G203" i="12"/>
  <c r="F204" i="12"/>
  <c r="G204" i="12"/>
  <c r="F205" i="12"/>
  <c r="G205" i="12"/>
  <c r="F206" i="12"/>
  <c r="G206" i="12"/>
  <c r="F207" i="12"/>
  <c r="G207" i="12"/>
  <c r="F208" i="12"/>
  <c r="G208" i="12"/>
  <c r="F209" i="12"/>
  <c r="G209" i="12"/>
  <c r="F210" i="12"/>
  <c r="G210" i="12"/>
  <c r="F211" i="12"/>
  <c r="G211" i="12"/>
  <c r="F212" i="12"/>
  <c r="G212" i="12"/>
  <c r="F213" i="12"/>
  <c r="G213" i="12"/>
  <c r="F214" i="12"/>
  <c r="G214" i="12"/>
  <c r="F215" i="12"/>
  <c r="G215" i="12"/>
  <c r="F216" i="12"/>
  <c r="G216" i="12"/>
  <c r="F217" i="12"/>
  <c r="G217" i="12"/>
  <c r="F218" i="12"/>
  <c r="G218" i="12"/>
  <c r="F219" i="12"/>
  <c r="G219" i="12"/>
  <c r="F220" i="12"/>
  <c r="G220" i="12"/>
  <c r="F221" i="12"/>
  <c r="G221" i="12"/>
  <c r="F222" i="12"/>
  <c r="G222" i="12"/>
  <c r="F223" i="12"/>
  <c r="G223" i="12"/>
  <c r="F224" i="12"/>
  <c r="G224" i="12"/>
  <c r="F225" i="12"/>
  <c r="G225" i="12"/>
  <c r="F226" i="12"/>
  <c r="G226" i="12"/>
  <c r="F227" i="12"/>
  <c r="G227" i="12"/>
  <c r="F228" i="12"/>
  <c r="G228" i="12"/>
  <c r="F229" i="12"/>
  <c r="G229" i="12"/>
  <c r="F230" i="12"/>
  <c r="G230" i="12"/>
  <c r="F231" i="12"/>
  <c r="G231" i="12"/>
  <c r="F232" i="12"/>
  <c r="G232" i="12"/>
  <c r="F233" i="12"/>
  <c r="G233" i="12"/>
  <c r="F234" i="12"/>
  <c r="G234" i="12"/>
  <c r="F235" i="12"/>
  <c r="G235" i="12"/>
  <c r="F236" i="12"/>
  <c r="G236" i="12"/>
  <c r="F237" i="12"/>
  <c r="G237" i="12"/>
  <c r="F238" i="12"/>
  <c r="G238" i="12"/>
  <c r="F239" i="12"/>
  <c r="G239" i="12"/>
  <c r="F240" i="12"/>
  <c r="G240" i="12"/>
  <c r="F241" i="12"/>
  <c r="G241" i="12"/>
  <c r="F242" i="12"/>
  <c r="G242" i="12"/>
  <c r="F243" i="12"/>
  <c r="G243" i="12"/>
  <c r="F244" i="12"/>
  <c r="G244" i="12"/>
  <c r="F245" i="12"/>
  <c r="G245" i="12"/>
  <c r="F246" i="12"/>
  <c r="G246" i="12"/>
  <c r="F247" i="12"/>
  <c r="G247" i="12"/>
  <c r="F248" i="12"/>
  <c r="G248" i="12"/>
  <c r="F249" i="12"/>
  <c r="G249" i="12"/>
  <c r="F250" i="12"/>
  <c r="G250" i="12"/>
  <c r="F251" i="12"/>
  <c r="G251" i="12"/>
  <c r="F252" i="12"/>
  <c r="G252" i="12"/>
  <c r="F253" i="12"/>
  <c r="G253" i="12"/>
  <c r="F254" i="12"/>
  <c r="G254" i="12"/>
  <c r="F255" i="12"/>
  <c r="G255" i="12"/>
  <c r="F256" i="12"/>
  <c r="G256" i="12"/>
  <c r="F257" i="12"/>
  <c r="G257" i="12"/>
  <c r="F258" i="12"/>
  <c r="G258" i="12"/>
  <c r="F259" i="12"/>
  <c r="G259" i="12"/>
  <c r="F260" i="12"/>
  <c r="G260" i="12"/>
  <c r="F261" i="12"/>
  <c r="G261" i="12"/>
  <c r="F262" i="12"/>
  <c r="G262" i="12"/>
  <c r="F263" i="12"/>
  <c r="G263" i="12"/>
  <c r="F264" i="12"/>
  <c r="G264" i="12"/>
  <c r="F265" i="12"/>
  <c r="G265" i="12"/>
  <c r="F266" i="12"/>
  <c r="G266" i="12"/>
  <c r="F267" i="12"/>
  <c r="G267" i="12"/>
  <c r="F268" i="12"/>
  <c r="G268" i="12"/>
  <c r="F269" i="12"/>
  <c r="G269" i="12"/>
  <c r="F270" i="12"/>
  <c r="G270" i="12"/>
  <c r="F271" i="12"/>
  <c r="G271" i="12"/>
  <c r="F272" i="12"/>
  <c r="G272" i="12"/>
  <c r="F273" i="12"/>
  <c r="G273" i="12"/>
  <c r="F274" i="12"/>
  <c r="G274" i="12"/>
  <c r="F275" i="12"/>
  <c r="G275" i="12"/>
  <c r="F276" i="12"/>
  <c r="G276" i="12"/>
  <c r="F277" i="12"/>
  <c r="G277" i="12"/>
  <c r="F278" i="12"/>
  <c r="G278" i="12"/>
  <c r="F279" i="12"/>
  <c r="G279" i="12"/>
  <c r="F280" i="12"/>
  <c r="G280" i="12"/>
  <c r="F281" i="12"/>
  <c r="G281" i="12"/>
  <c r="F282" i="12"/>
  <c r="G282" i="12"/>
  <c r="F283" i="12"/>
  <c r="G283" i="12"/>
  <c r="F284" i="12"/>
  <c r="G284" i="12"/>
  <c r="F285" i="12"/>
  <c r="G285" i="12"/>
  <c r="F286" i="12"/>
  <c r="G286" i="12"/>
  <c r="F287" i="12"/>
  <c r="G287" i="12"/>
  <c r="F288" i="12"/>
  <c r="G288" i="12"/>
  <c r="F289" i="12"/>
  <c r="G289" i="12"/>
  <c r="F290" i="12"/>
  <c r="G290" i="12"/>
  <c r="F291" i="12"/>
  <c r="G291" i="12"/>
  <c r="F292" i="12"/>
  <c r="G292" i="12"/>
  <c r="F293" i="12"/>
  <c r="G293" i="12"/>
  <c r="F294" i="12"/>
  <c r="G294" i="12"/>
  <c r="F295" i="12"/>
  <c r="G295" i="12"/>
  <c r="F296" i="12"/>
  <c r="G296" i="12"/>
  <c r="F297" i="12"/>
  <c r="G297" i="12"/>
  <c r="F298" i="12"/>
  <c r="G298" i="12"/>
  <c r="F299" i="12"/>
  <c r="G299" i="12"/>
  <c r="F300" i="12"/>
  <c r="G300" i="12"/>
  <c r="F301" i="12"/>
  <c r="G301" i="12"/>
  <c r="F302" i="12"/>
  <c r="G302" i="12"/>
  <c r="F303" i="12"/>
  <c r="G303" i="12"/>
  <c r="F304" i="12"/>
  <c r="G304" i="12"/>
  <c r="F305" i="12"/>
  <c r="G305" i="12"/>
  <c r="F306" i="12"/>
  <c r="G306" i="12"/>
  <c r="F307" i="12"/>
  <c r="G307" i="12"/>
  <c r="F308" i="12"/>
  <c r="G308" i="12"/>
  <c r="F309" i="12"/>
  <c r="G309" i="12"/>
  <c r="F310" i="12"/>
  <c r="G310" i="12"/>
  <c r="F311" i="12"/>
  <c r="G311" i="12"/>
  <c r="F312" i="12"/>
  <c r="G312" i="12"/>
  <c r="F313" i="12"/>
  <c r="G313" i="12"/>
  <c r="F314" i="12"/>
  <c r="G314" i="12"/>
  <c r="F315" i="12"/>
  <c r="G315" i="12"/>
  <c r="F316" i="12"/>
  <c r="G316" i="12"/>
  <c r="F317" i="12"/>
  <c r="G317" i="12"/>
  <c r="F318" i="12"/>
  <c r="G318" i="12"/>
  <c r="F319" i="12"/>
  <c r="G319" i="12"/>
  <c r="F320" i="12"/>
  <c r="G320" i="12"/>
  <c r="F321" i="12"/>
  <c r="G321" i="12"/>
  <c r="F322" i="12"/>
  <c r="G322" i="12"/>
  <c r="F323" i="12"/>
  <c r="G323" i="12"/>
  <c r="F324" i="12"/>
  <c r="G324" i="12"/>
  <c r="F325" i="12"/>
  <c r="G325" i="12"/>
  <c r="F326" i="12"/>
  <c r="G326" i="12"/>
  <c r="F327" i="12"/>
  <c r="G327" i="12"/>
  <c r="F328" i="12"/>
  <c r="G328" i="12"/>
  <c r="F329" i="12"/>
  <c r="G329" i="12"/>
  <c r="F330" i="12"/>
  <c r="G330" i="12"/>
  <c r="F331" i="12"/>
  <c r="G331" i="12"/>
  <c r="F332" i="12"/>
  <c r="G332" i="12"/>
  <c r="F333" i="12"/>
  <c r="G333" i="12"/>
  <c r="F334" i="12"/>
  <c r="G334" i="12"/>
  <c r="F335" i="12"/>
  <c r="G335" i="12"/>
  <c r="F336" i="12"/>
  <c r="G336" i="12"/>
  <c r="F337" i="12"/>
  <c r="G337" i="12"/>
  <c r="F338" i="12"/>
  <c r="G338" i="12"/>
  <c r="F339" i="12"/>
  <c r="G339" i="12"/>
  <c r="F340" i="12"/>
  <c r="G340" i="12"/>
  <c r="F341" i="12"/>
  <c r="G341" i="12"/>
  <c r="F342" i="12"/>
  <c r="G342" i="12"/>
  <c r="F343" i="12"/>
  <c r="G343" i="12"/>
  <c r="F344" i="12"/>
  <c r="G344" i="12"/>
  <c r="F345" i="12"/>
  <c r="G345" i="12"/>
  <c r="F346" i="12"/>
  <c r="G346" i="12"/>
  <c r="F347" i="12"/>
  <c r="G347" i="12"/>
  <c r="F348" i="12"/>
  <c r="G348" i="12"/>
  <c r="F349" i="12"/>
  <c r="G349" i="12"/>
  <c r="F350" i="12"/>
  <c r="G350" i="12"/>
  <c r="F351" i="12"/>
  <c r="G351" i="12"/>
  <c r="F352" i="12"/>
  <c r="G352" i="12"/>
  <c r="F353" i="12"/>
  <c r="G353" i="12"/>
  <c r="F354" i="12"/>
  <c r="G354" i="12"/>
  <c r="F355" i="12"/>
  <c r="G355" i="12"/>
  <c r="F356" i="12"/>
  <c r="G356" i="12"/>
  <c r="F357" i="12"/>
  <c r="G357" i="12"/>
  <c r="F358" i="12"/>
  <c r="G358" i="12"/>
  <c r="F359" i="12"/>
  <c r="G359" i="12"/>
  <c r="F360" i="12"/>
  <c r="G360" i="12"/>
  <c r="F361" i="12"/>
  <c r="G361" i="12"/>
  <c r="F362" i="12"/>
  <c r="G362" i="12"/>
  <c r="F363" i="12"/>
  <c r="G363" i="12"/>
  <c r="F364" i="12"/>
  <c r="G364" i="12"/>
  <c r="F365" i="12"/>
  <c r="G365" i="12"/>
  <c r="F366" i="12"/>
  <c r="G366" i="12"/>
  <c r="F367" i="12"/>
  <c r="G367" i="12"/>
  <c r="F368" i="12"/>
  <c r="G368" i="12"/>
  <c r="F369" i="12"/>
  <c r="G369" i="12"/>
  <c r="F370" i="12"/>
  <c r="G370" i="12"/>
  <c r="F371" i="12"/>
  <c r="G371" i="12"/>
  <c r="F372" i="12"/>
  <c r="G372" i="12"/>
  <c r="F373" i="12"/>
  <c r="G373" i="12"/>
  <c r="F374" i="12"/>
  <c r="G374" i="12"/>
  <c r="F375" i="12"/>
  <c r="G375" i="12"/>
  <c r="F376" i="12"/>
  <c r="G376" i="12"/>
  <c r="F377" i="12"/>
  <c r="G377" i="12"/>
  <c r="F378" i="12"/>
  <c r="G378" i="12"/>
  <c r="F379" i="12"/>
  <c r="G379" i="12"/>
  <c r="F380" i="12"/>
  <c r="G380" i="12"/>
  <c r="F381" i="12"/>
  <c r="G381" i="12"/>
  <c r="F382" i="12"/>
  <c r="G382" i="12"/>
  <c r="F383" i="12"/>
  <c r="G383" i="12"/>
  <c r="F384" i="12"/>
  <c r="G384" i="12"/>
  <c r="F385" i="12"/>
  <c r="G385" i="12"/>
  <c r="F386" i="12"/>
  <c r="G386" i="12"/>
  <c r="F387" i="12"/>
  <c r="G387" i="12"/>
  <c r="F388" i="12"/>
  <c r="G388" i="12"/>
  <c r="F389" i="12"/>
  <c r="G389" i="12"/>
  <c r="F390" i="12"/>
  <c r="G390" i="12"/>
  <c r="F391" i="12"/>
  <c r="G391" i="12"/>
  <c r="F392" i="12"/>
  <c r="G392" i="12"/>
  <c r="F393" i="12"/>
  <c r="G393" i="12"/>
  <c r="F394" i="12"/>
  <c r="G394" i="12"/>
  <c r="F395" i="12"/>
  <c r="G395" i="12"/>
  <c r="F396" i="12"/>
  <c r="G396" i="12"/>
  <c r="F397" i="12"/>
  <c r="G397" i="12"/>
  <c r="F398" i="12"/>
  <c r="G398" i="12"/>
  <c r="F399" i="12"/>
  <c r="G399" i="12"/>
  <c r="F400" i="12"/>
  <c r="G400" i="12"/>
  <c r="F401" i="12"/>
  <c r="G401" i="12"/>
  <c r="F402" i="12"/>
  <c r="G402" i="12"/>
  <c r="F403" i="12"/>
  <c r="G403" i="12"/>
  <c r="F404" i="12"/>
  <c r="G404" i="12"/>
  <c r="F405" i="12"/>
  <c r="G405" i="12"/>
  <c r="F406" i="12"/>
  <c r="G406" i="12"/>
  <c r="F407" i="12"/>
  <c r="G407" i="12"/>
  <c r="F408" i="12"/>
  <c r="G408" i="12"/>
  <c r="F409" i="12"/>
  <c r="G409" i="12"/>
  <c r="F410" i="12"/>
  <c r="G410" i="12"/>
  <c r="F411" i="12"/>
  <c r="G411" i="12"/>
  <c r="F412" i="12"/>
  <c r="G412" i="12"/>
  <c r="F413" i="12"/>
  <c r="G413" i="12"/>
  <c r="F414" i="12"/>
  <c r="G414" i="12"/>
  <c r="F415" i="12"/>
  <c r="G415" i="12"/>
  <c r="F416" i="12"/>
  <c r="G416" i="12"/>
  <c r="F417" i="12"/>
  <c r="G417" i="12"/>
  <c r="F418" i="12"/>
  <c r="G418" i="12"/>
  <c r="F419" i="12"/>
  <c r="G419" i="12"/>
  <c r="F420" i="12"/>
  <c r="G420" i="12"/>
  <c r="F421" i="12"/>
  <c r="G421" i="12"/>
  <c r="F422" i="12"/>
  <c r="G422" i="12"/>
  <c r="F423" i="12"/>
  <c r="G423" i="12"/>
  <c r="F424" i="12"/>
  <c r="G424" i="12"/>
  <c r="F425" i="12"/>
  <c r="G425" i="12"/>
  <c r="F426" i="12"/>
  <c r="G426" i="12"/>
  <c r="F427" i="12"/>
  <c r="G427" i="12"/>
  <c r="F428" i="12"/>
  <c r="G428" i="12"/>
  <c r="F429" i="12"/>
  <c r="G429" i="12"/>
  <c r="F430" i="12"/>
  <c r="G430" i="12"/>
  <c r="F431" i="12"/>
  <c r="G431" i="12"/>
  <c r="F432" i="12"/>
  <c r="G432" i="12"/>
  <c r="F433" i="12"/>
  <c r="G433" i="12"/>
  <c r="F434" i="12"/>
  <c r="G434" i="12"/>
  <c r="F435" i="12"/>
  <c r="G435" i="12"/>
  <c r="F436" i="12"/>
  <c r="G436" i="12"/>
  <c r="F437" i="12"/>
  <c r="G437" i="12"/>
  <c r="F438" i="12"/>
  <c r="G438" i="12"/>
  <c r="F439" i="12"/>
  <c r="G439" i="12"/>
  <c r="F440" i="12"/>
  <c r="G440" i="12"/>
  <c r="F441" i="12"/>
  <c r="G441" i="12"/>
  <c r="F442" i="12"/>
  <c r="G442" i="12"/>
  <c r="F443" i="12"/>
  <c r="G443" i="12"/>
  <c r="F444" i="12"/>
  <c r="G444" i="12"/>
  <c r="F445" i="12"/>
  <c r="G445" i="12"/>
  <c r="F446" i="12"/>
  <c r="G446" i="12"/>
  <c r="F447" i="12"/>
  <c r="G447" i="12"/>
  <c r="F448" i="12"/>
  <c r="G448" i="12"/>
  <c r="F449" i="12"/>
  <c r="G449" i="12"/>
  <c r="F450" i="12"/>
  <c r="G450" i="12"/>
  <c r="F451" i="12"/>
  <c r="G451" i="12"/>
  <c r="F452" i="12"/>
  <c r="G452" i="12"/>
  <c r="F453" i="12"/>
  <c r="G453" i="12"/>
  <c r="F454" i="12"/>
  <c r="G454" i="12"/>
  <c r="F455" i="12"/>
  <c r="G455" i="12"/>
  <c r="F456" i="12"/>
  <c r="G456" i="12"/>
  <c r="F457" i="12"/>
  <c r="G457" i="12"/>
  <c r="F458" i="12"/>
  <c r="G458" i="12"/>
  <c r="F459" i="12"/>
  <c r="G459" i="12"/>
  <c r="F460" i="12"/>
  <c r="G460" i="12"/>
  <c r="F461" i="12"/>
  <c r="G461" i="12"/>
  <c r="F462" i="12"/>
  <c r="G462" i="12"/>
  <c r="F463" i="12"/>
  <c r="G463" i="12"/>
  <c r="F464" i="12"/>
  <c r="G464" i="12"/>
  <c r="F465" i="12"/>
  <c r="G465" i="12"/>
  <c r="F466" i="12"/>
  <c r="G466" i="12"/>
  <c r="F467" i="12"/>
  <c r="G467" i="12"/>
  <c r="F468" i="12"/>
  <c r="G468" i="12"/>
  <c r="F469" i="12"/>
  <c r="G469" i="12"/>
  <c r="F470" i="12"/>
  <c r="G470" i="12"/>
  <c r="F471" i="12"/>
  <c r="G471" i="12"/>
  <c r="F472" i="12"/>
  <c r="G472" i="12"/>
  <c r="F473" i="12"/>
  <c r="G473" i="12"/>
  <c r="F474" i="12"/>
  <c r="G474" i="12"/>
  <c r="F475" i="12"/>
  <c r="G475" i="12"/>
  <c r="F476" i="12"/>
  <c r="G476" i="12"/>
  <c r="F477" i="12"/>
  <c r="G477" i="12"/>
  <c r="F478" i="12"/>
  <c r="G478" i="12"/>
  <c r="F479" i="12"/>
  <c r="G479" i="12"/>
  <c r="F480" i="12"/>
  <c r="G480" i="12"/>
  <c r="F481" i="12"/>
  <c r="G481" i="12"/>
  <c r="F482" i="12"/>
  <c r="G482" i="12"/>
  <c r="F483" i="12"/>
  <c r="G483" i="12"/>
  <c r="F484" i="12"/>
  <c r="G484" i="12"/>
  <c r="F485" i="12"/>
  <c r="G485" i="12"/>
  <c r="F486" i="12"/>
  <c r="G486" i="12"/>
  <c r="F487" i="12"/>
  <c r="G487" i="12"/>
  <c r="F488" i="12"/>
  <c r="G488" i="12"/>
  <c r="F489" i="12"/>
  <c r="G489" i="12"/>
  <c r="F490" i="12"/>
  <c r="G490" i="12"/>
  <c r="F491" i="12"/>
  <c r="G491" i="12"/>
  <c r="F492" i="12"/>
  <c r="G492" i="12"/>
  <c r="F493" i="12"/>
  <c r="G493" i="12"/>
  <c r="F494" i="12"/>
  <c r="G494" i="12"/>
  <c r="F495" i="12"/>
  <c r="G495" i="12"/>
  <c r="F496" i="12"/>
  <c r="G496" i="12"/>
  <c r="F497" i="12"/>
  <c r="G497" i="12"/>
  <c r="F498" i="12"/>
  <c r="G498" i="12"/>
  <c r="F499" i="12"/>
  <c r="G499" i="12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R499" i="18"/>
  <c r="Q499" i="18"/>
  <c r="P499" i="18"/>
  <c r="M499" i="18"/>
  <c r="G499" i="18"/>
  <c r="F499" i="18"/>
  <c r="C499" i="18"/>
  <c r="B499" i="18"/>
  <c r="A499" i="18"/>
  <c r="R498" i="18"/>
  <c r="Q498" i="18"/>
  <c r="P498" i="18"/>
  <c r="M498" i="18"/>
  <c r="G498" i="18"/>
  <c r="F498" i="18"/>
  <c r="B498" i="18"/>
  <c r="C498" i="18" s="1"/>
  <c r="A498" i="18"/>
  <c r="R497" i="18"/>
  <c r="Q497" i="18"/>
  <c r="P497" i="18"/>
  <c r="M497" i="18"/>
  <c r="G497" i="18"/>
  <c r="F497" i="18"/>
  <c r="B497" i="18"/>
  <c r="A497" i="18"/>
  <c r="R496" i="18"/>
  <c r="Q496" i="18"/>
  <c r="P496" i="18"/>
  <c r="M496" i="18"/>
  <c r="G496" i="18"/>
  <c r="F496" i="18"/>
  <c r="B496" i="18"/>
  <c r="A496" i="18"/>
  <c r="R495" i="18"/>
  <c r="Q495" i="18"/>
  <c r="P495" i="18"/>
  <c r="M495" i="18"/>
  <c r="G495" i="18"/>
  <c r="F495" i="18"/>
  <c r="C495" i="18"/>
  <c r="B495" i="18"/>
  <c r="A495" i="18"/>
  <c r="R494" i="18"/>
  <c r="Q494" i="18"/>
  <c r="P494" i="18"/>
  <c r="M494" i="18"/>
  <c r="G494" i="18"/>
  <c r="F494" i="18"/>
  <c r="B494" i="18"/>
  <c r="C494" i="18" s="1"/>
  <c r="A494" i="18"/>
  <c r="R493" i="18"/>
  <c r="Q493" i="18"/>
  <c r="P493" i="18"/>
  <c r="M493" i="18"/>
  <c r="G493" i="18"/>
  <c r="F493" i="18"/>
  <c r="B493" i="18"/>
  <c r="A493" i="18"/>
  <c r="R492" i="18"/>
  <c r="Q492" i="18"/>
  <c r="P492" i="18"/>
  <c r="M492" i="18"/>
  <c r="G492" i="18"/>
  <c r="F492" i="18"/>
  <c r="B492" i="18"/>
  <c r="A492" i="18"/>
  <c r="R491" i="18"/>
  <c r="Q491" i="18"/>
  <c r="P491" i="18"/>
  <c r="M491" i="18"/>
  <c r="G491" i="18"/>
  <c r="F491" i="18"/>
  <c r="C491" i="18"/>
  <c r="B491" i="18"/>
  <c r="A491" i="18"/>
  <c r="R490" i="18"/>
  <c r="Q490" i="18"/>
  <c r="P490" i="18"/>
  <c r="M490" i="18"/>
  <c r="G490" i="18"/>
  <c r="F490" i="18"/>
  <c r="B490" i="18"/>
  <c r="C490" i="18" s="1"/>
  <c r="A490" i="18"/>
  <c r="R489" i="18"/>
  <c r="Q489" i="18"/>
  <c r="P489" i="18"/>
  <c r="M489" i="18"/>
  <c r="G489" i="18"/>
  <c r="F489" i="18"/>
  <c r="B489" i="18"/>
  <c r="A489" i="18"/>
  <c r="R488" i="18"/>
  <c r="Q488" i="18"/>
  <c r="P488" i="18"/>
  <c r="M488" i="18"/>
  <c r="G488" i="18"/>
  <c r="F488" i="18"/>
  <c r="B488" i="18"/>
  <c r="A488" i="18"/>
  <c r="R487" i="18"/>
  <c r="Q487" i="18"/>
  <c r="P487" i="18"/>
  <c r="M487" i="18"/>
  <c r="G487" i="18"/>
  <c r="F487" i="18"/>
  <c r="C487" i="18"/>
  <c r="B487" i="18"/>
  <c r="A487" i="18"/>
  <c r="R486" i="18"/>
  <c r="Q486" i="18"/>
  <c r="P486" i="18"/>
  <c r="M486" i="18"/>
  <c r="G486" i="18"/>
  <c r="F486" i="18"/>
  <c r="B486" i="18"/>
  <c r="C486" i="18" s="1"/>
  <c r="A486" i="18"/>
  <c r="R485" i="18"/>
  <c r="Q485" i="18"/>
  <c r="P485" i="18"/>
  <c r="M485" i="18"/>
  <c r="G485" i="18"/>
  <c r="F485" i="18"/>
  <c r="B485" i="18"/>
  <c r="A485" i="18"/>
  <c r="R484" i="18"/>
  <c r="Q484" i="18"/>
  <c r="P484" i="18"/>
  <c r="M484" i="18"/>
  <c r="G484" i="18"/>
  <c r="F484" i="18"/>
  <c r="B484" i="18"/>
  <c r="A484" i="18"/>
  <c r="R483" i="18"/>
  <c r="Q483" i="18"/>
  <c r="P483" i="18"/>
  <c r="M483" i="18"/>
  <c r="G483" i="18"/>
  <c r="F483" i="18"/>
  <c r="C483" i="18"/>
  <c r="B483" i="18"/>
  <c r="A483" i="18"/>
  <c r="R482" i="18"/>
  <c r="Q482" i="18"/>
  <c r="P482" i="18"/>
  <c r="M482" i="18"/>
  <c r="G482" i="18"/>
  <c r="F482" i="18"/>
  <c r="B482" i="18"/>
  <c r="C482" i="18" s="1"/>
  <c r="A482" i="18"/>
  <c r="R481" i="18"/>
  <c r="Q481" i="18"/>
  <c r="P481" i="18"/>
  <c r="M481" i="18"/>
  <c r="G481" i="18"/>
  <c r="F481" i="18"/>
  <c r="B481" i="18"/>
  <c r="A481" i="18"/>
  <c r="R480" i="18"/>
  <c r="Q480" i="18"/>
  <c r="P480" i="18"/>
  <c r="M480" i="18"/>
  <c r="G480" i="18"/>
  <c r="F480" i="18"/>
  <c r="B480" i="18"/>
  <c r="A480" i="18"/>
  <c r="R479" i="18"/>
  <c r="Q479" i="18"/>
  <c r="P479" i="18"/>
  <c r="M479" i="18"/>
  <c r="G479" i="18"/>
  <c r="F479" i="18"/>
  <c r="C479" i="18"/>
  <c r="B479" i="18"/>
  <c r="A479" i="18"/>
  <c r="R478" i="18"/>
  <c r="Q478" i="18"/>
  <c r="P478" i="18"/>
  <c r="M478" i="18"/>
  <c r="G478" i="18"/>
  <c r="F478" i="18"/>
  <c r="B478" i="18"/>
  <c r="C478" i="18" s="1"/>
  <c r="A478" i="18"/>
  <c r="R477" i="18"/>
  <c r="Q477" i="18"/>
  <c r="P477" i="18"/>
  <c r="M477" i="18"/>
  <c r="G477" i="18"/>
  <c r="F477" i="18"/>
  <c r="B477" i="18"/>
  <c r="A477" i="18"/>
  <c r="R476" i="18"/>
  <c r="Q476" i="18"/>
  <c r="P476" i="18"/>
  <c r="M476" i="18"/>
  <c r="G476" i="18"/>
  <c r="F476" i="18"/>
  <c r="B476" i="18"/>
  <c r="A476" i="18"/>
  <c r="R475" i="18"/>
  <c r="Q475" i="18"/>
  <c r="P475" i="18"/>
  <c r="M475" i="18"/>
  <c r="G475" i="18"/>
  <c r="F475" i="18"/>
  <c r="C475" i="18"/>
  <c r="B475" i="18"/>
  <c r="A475" i="18"/>
  <c r="R474" i="18"/>
  <c r="Q474" i="18"/>
  <c r="P474" i="18"/>
  <c r="M474" i="18"/>
  <c r="G474" i="18"/>
  <c r="F474" i="18"/>
  <c r="B474" i="18"/>
  <c r="C474" i="18" s="1"/>
  <c r="A474" i="18"/>
  <c r="R473" i="18"/>
  <c r="Q473" i="18"/>
  <c r="P473" i="18"/>
  <c r="M473" i="18"/>
  <c r="G473" i="18"/>
  <c r="F473" i="18"/>
  <c r="B473" i="18"/>
  <c r="A473" i="18"/>
  <c r="R472" i="18"/>
  <c r="Q472" i="18"/>
  <c r="P472" i="18"/>
  <c r="M472" i="18"/>
  <c r="G472" i="18"/>
  <c r="F472" i="18"/>
  <c r="B472" i="18"/>
  <c r="A472" i="18"/>
  <c r="R471" i="18"/>
  <c r="Q471" i="18"/>
  <c r="P471" i="18"/>
  <c r="M471" i="18"/>
  <c r="G471" i="18"/>
  <c r="F471" i="18"/>
  <c r="C471" i="18"/>
  <c r="B471" i="18"/>
  <c r="A471" i="18"/>
  <c r="R470" i="18"/>
  <c r="Q470" i="18"/>
  <c r="P470" i="18"/>
  <c r="M470" i="18"/>
  <c r="G470" i="18"/>
  <c r="F470" i="18"/>
  <c r="B470" i="18"/>
  <c r="C470" i="18" s="1"/>
  <c r="A470" i="18"/>
  <c r="R469" i="18"/>
  <c r="Q469" i="18"/>
  <c r="P469" i="18"/>
  <c r="M469" i="18"/>
  <c r="G469" i="18"/>
  <c r="F469" i="18"/>
  <c r="B469" i="18"/>
  <c r="A469" i="18"/>
  <c r="R468" i="18"/>
  <c r="Q468" i="18"/>
  <c r="P468" i="18"/>
  <c r="M468" i="18"/>
  <c r="G468" i="18"/>
  <c r="F468" i="18"/>
  <c r="B468" i="18"/>
  <c r="A468" i="18"/>
  <c r="R467" i="18"/>
  <c r="Q467" i="18"/>
  <c r="P467" i="18"/>
  <c r="M467" i="18"/>
  <c r="G467" i="18"/>
  <c r="F467" i="18"/>
  <c r="C467" i="18"/>
  <c r="B467" i="18"/>
  <c r="A467" i="18"/>
  <c r="R466" i="18"/>
  <c r="Q466" i="18"/>
  <c r="P466" i="18"/>
  <c r="M466" i="18"/>
  <c r="G466" i="18"/>
  <c r="F466" i="18"/>
  <c r="B466" i="18"/>
  <c r="C466" i="18" s="1"/>
  <c r="A466" i="18"/>
  <c r="R465" i="18"/>
  <c r="Q465" i="18"/>
  <c r="P465" i="18"/>
  <c r="M465" i="18"/>
  <c r="G465" i="18"/>
  <c r="F465" i="18"/>
  <c r="B465" i="18"/>
  <c r="A465" i="18"/>
  <c r="R464" i="18"/>
  <c r="Q464" i="18"/>
  <c r="P464" i="18"/>
  <c r="M464" i="18"/>
  <c r="G464" i="18"/>
  <c r="F464" i="18"/>
  <c r="B464" i="18"/>
  <c r="A464" i="18"/>
  <c r="R463" i="18"/>
  <c r="Q463" i="18"/>
  <c r="P463" i="18"/>
  <c r="M463" i="18"/>
  <c r="G463" i="18"/>
  <c r="F463" i="18"/>
  <c r="C463" i="18"/>
  <c r="B463" i="18"/>
  <c r="A463" i="18"/>
  <c r="R462" i="18"/>
  <c r="Q462" i="18"/>
  <c r="P462" i="18"/>
  <c r="M462" i="18"/>
  <c r="G462" i="18"/>
  <c r="F462" i="18"/>
  <c r="B462" i="18"/>
  <c r="C462" i="18" s="1"/>
  <c r="A462" i="18"/>
  <c r="R461" i="18"/>
  <c r="Q461" i="18"/>
  <c r="P461" i="18"/>
  <c r="M461" i="18"/>
  <c r="G461" i="18"/>
  <c r="F461" i="18"/>
  <c r="B461" i="18"/>
  <c r="A461" i="18"/>
  <c r="R460" i="18"/>
  <c r="Q460" i="18"/>
  <c r="P460" i="18"/>
  <c r="M460" i="18"/>
  <c r="G460" i="18"/>
  <c r="F460" i="18"/>
  <c r="B460" i="18"/>
  <c r="A460" i="18"/>
  <c r="R459" i="18"/>
  <c r="Q459" i="18"/>
  <c r="P459" i="18"/>
  <c r="M459" i="18"/>
  <c r="G459" i="18"/>
  <c r="F459" i="18"/>
  <c r="C459" i="18"/>
  <c r="B459" i="18"/>
  <c r="A459" i="18"/>
  <c r="R458" i="18"/>
  <c r="Q458" i="18"/>
  <c r="P458" i="18"/>
  <c r="M458" i="18"/>
  <c r="G458" i="18"/>
  <c r="F458" i="18"/>
  <c r="B458" i="18"/>
  <c r="C458" i="18" s="1"/>
  <c r="A458" i="18"/>
  <c r="R457" i="18"/>
  <c r="Q457" i="18"/>
  <c r="P457" i="18"/>
  <c r="M457" i="18"/>
  <c r="G457" i="18"/>
  <c r="F457" i="18"/>
  <c r="B457" i="18"/>
  <c r="A457" i="18"/>
  <c r="R456" i="18"/>
  <c r="Q456" i="18"/>
  <c r="P456" i="18"/>
  <c r="M456" i="18"/>
  <c r="G456" i="18"/>
  <c r="F456" i="18"/>
  <c r="B456" i="18"/>
  <c r="A456" i="18"/>
  <c r="R455" i="18"/>
  <c r="Q455" i="18"/>
  <c r="P455" i="18"/>
  <c r="M455" i="18"/>
  <c r="G455" i="18"/>
  <c r="F455" i="18"/>
  <c r="C455" i="18"/>
  <c r="B455" i="18"/>
  <c r="A455" i="18"/>
  <c r="R454" i="18"/>
  <c r="Q454" i="18"/>
  <c r="P454" i="18"/>
  <c r="M454" i="18"/>
  <c r="G454" i="18"/>
  <c r="F454" i="18"/>
  <c r="B454" i="18"/>
  <c r="C454" i="18" s="1"/>
  <c r="A454" i="18"/>
  <c r="R453" i="18"/>
  <c r="Q453" i="18"/>
  <c r="P453" i="18"/>
  <c r="M453" i="18"/>
  <c r="G453" i="18"/>
  <c r="F453" i="18"/>
  <c r="B453" i="18"/>
  <c r="A453" i="18"/>
  <c r="R452" i="18"/>
  <c r="Q452" i="18"/>
  <c r="P452" i="18"/>
  <c r="M452" i="18"/>
  <c r="G452" i="18"/>
  <c r="F452" i="18"/>
  <c r="B452" i="18"/>
  <c r="A452" i="18"/>
  <c r="R451" i="18"/>
  <c r="Q451" i="18"/>
  <c r="P451" i="18"/>
  <c r="M451" i="18"/>
  <c r="G451" i="18"/>
  <c r="F451" i="18"/>
  <c r="C451" i="18"/>
  <c r="B451" i="18"/>
  <c r="A451" i="18"/>
  <c r="R450" i="18"/>
  <c r="Q450" i="18"/>
  <c r="P450" i="18"/>
  <c r="M450" i="18"/>
  <c r="G450" i="18"/>
  <c r="F450" i="18"/>
  <c r="B450" i="18"/>
  <c r="C450" i="18" s="1"/>
  <c r="A450" i="18"/>
  <c r="R449" i="18"/>
  <c r="Q449" i="18"/>
  <c r="P449" i="18"/>
  <c r="M449" i="18"/>
  <c r="G449" i="18"/>
  <c r="F449" i="18"/>
  <c r="B449" i="18"/>
  <c r="A449" i="18"/>
  <c r="R448" i="18"/>
  <c r="Q448" i="18"/>
  <c r="P448" i="18"/>
  <c r="M448" i="18"/>
  <c r="G448" i="18"/>
  <c r="F448" i="18"/>
  <c r="B448" i="18"/>
  <c r="A448" i="18"/>
  <c r="R447" i="18"/>
  <c r="Q447" i="18"/>
  <c r="P447" i="18"/>
  <c r="M447" i="18"/>
  <c r="G447" i="18"/>
  <c r="F447" i="18"/>
  <c r="C447" i="18"/>
  <c r="B447" i="18"/>
  <c r="A447" i="18"/>
  <c r="R446" i="18"/>
  <c r="Q446" i="18"/>
  <c r="P446" i="18"/>
  <c r="M446" i="18"/>
  <c r="G446" i="18"/>
  <c r="F446" i="18"/>
  <c r="B446" i="18"/>
  <c r="C446" i="18" s="1"/>
  <c r="A446" i="18"/>
  <c r="R445" i="18"/>
  <c r="Q445" i="18"/>
  <c r="P445" i="18"/>
  <c r="M445" i="18"/>
  <c r="G445" i="18"/>
  <c r="F445" i="18"/>
  <c r="B445" i="18"/>
  <c r="A445" i="18"/>
  <c r="R444" i="18"/>
  <c r="Q444" i="18"/>
  <c r="P444" i="18"/>
  <c r="M444" i="18"/>
  <c r="G444" i="18"/>
  <c r="F444" i="18"/>
  <c r="B444" i="18"/>
  <c r="A444" i="18"/>
  <c r="R443" i="18"/>
  <c r="Q443" i="18"/>
  <c r="P443" i="18"/>
  <c r="M443" i="18"/>
  <c r="G443" i="18"/>
  <c r="F443" i="18"/>
  <c r="C443" i="18"/>
  <c r="B443" i="18"/>
  <c r="A443" i="18"/>
  <c r="R442" i="18"/>
  <c r="Q442" i="18"/>
  <c r="P442" i="18"/>
  <c r="M442" i="18"/>
  <c r="G442" i="18"/>
  <c r="F442" i="18"/>
  <c r="B442" i="18"/>
  <c r="C442" i="18" s="1"/>
  <c r="A442" i="18"/>
  <c r="R441" i="18"/>
  <c r="Q441" i="18"/>
  <c r="P441" i="18"/>
  <c r="M441" i="18"/>
  <c r="G441" i="18"/>
  <c r="F441" i="18"/>
  <c r="B441" i="18"/>
  <c r="A441" i="18"/>
  <c r="R440" i="18"/>
  <c r="Q440" i="18"/>
  <c r="P440" i="18"/>
  <c r="M440" i="18"/>
  <c r="G440" i="18"/>
  <c r="F440" i="18"/>
  <c r="B440" i="18"/>
  <c r="A440" i="18"/>
  <c r="R439" i="18"/>
  <c r="Q439" i="18"/>
  <c r="P439" i="18"/>
  <c r="M439" i="18"/>
  <c r="G439" i="18"/>
  <c r="F439" i="18"/>
  <c r="C439" i="18"/>
  <c r="B439" i="18"/>
  <c r="A439" i="18"/>
  <c r="R438" i="18"/>
  <c r="Q438" i="18"/>
  <c r="P438" i="18"/>
  <c r="M438" i="18"/>
  <c r="G438" i="18"/>
  <c r="F438" i="18"/>
  <c r="C438" i="18"/>
  <c r="B438" i="18"/>
  <c r="A438" i="18"/>
  <c r="R437" i="18"/>
  <c r="Q437" i="18"/>
  <c r="P437" i="18"/>
  <c r="M437" i="18"/>
  <c r="G437" i="18"/>
  <c r="F437" i="18"/>
  <c r="B437" i="18"/>
  <c r="A437" i="18"/>
  <c r="R436" i="18"/>
  <c r="Q436" i="18"/>
  <c r="P436" i="18"/>
  <c r="M436" i="18"/>
  <c r="G436" i="18"/>
  <c r="F436" i="18"/>
  <c r="C436" i="18"/>
  <c r="B436" i="18"/>
  <c r="A436" i="18"/>
  <c r="R435" i="18"/>
  <c r="Q435" i="18"/>
  <c r="P435" i="18"/>
  <c r="M435" i="18"/>
  <c r="G435" i="18"/>
  <c r="F435" i="18"/>
  <c r="C435" i="18"/>
  <c r="B435" i="18"/>
  <c r="A435" i="18"/>
  <c r="R434" i="18"/>
  <c r="Q434" i="18"/>
  <c r="P434" i="18"/>
  <c r="M434" i="18"/>
  <c r="G434" i="18"/>
  <c r="F434" i="18"/>
  <c r="C434" i="18"/>
  <c r="B434" i="18"/>
  <c r="A434" i="18"/>
  <c r="R433" i="18"/>
  <c r="Q433" i="18"/>
  <c r="P433" i="18"/>
  <c r="M433" i="18"/>
  <c r="G433" i="18"/>
  <c r="F433" i="18"/>
  <c r="B433" i="18"/>
  <c r="A433" i="18"/>
  <c r="R432" i="18"/>
  <c r="Q432" i="18"/>
  <c r="P432" i="18"/>
  <c r="M432" i="18"/>
  <c r="G432" i="18"/>
  <c r="F432" i="18"/>
  <c r="C432" i="18"/>
  <c r="B432" i="18"/>
  <c r="A432" i="18"/>
  <c r="R431" i="18"/>
  <c r="Q431" i="18"/>
  <c r="P431" i="18"/>
  <c r="M431" i="18"/>
  <c r="G431" i="18"/>
  <c r="F431" i="18"/>
  <c r="C431" i="18"/>
  <c r="B431" i="18"/>
  <c r="A431" i="18"/>
  <c r="R430" i="18"/>
  <c r="Q430" i="18"/>
  <c r="P430" i="18"/>
  <c r="M430" i="18"/>
  <c r="G430" i="18"/>
  <c r="F430" i="18"/>
  <c r="C430" i="18"/>
  <c r="B430" i="18"/>
  <c r="A430" i="18"/>
  <c r="R429" i="18"/>
  <c r="Q429" i="18"/>
  <c r="P429" i="18"/>
  <c r="M429" i="18"/>
  <c r="G429" i="18"/>
  <c r="F429" i="18"/>
  <c r="B429" i="18"/>
  <c r="A429" i="18"/>
  <c r="R428" i="18"/>
  <c r="Q428" i="18"/>
  <c r="P428" i="18"/>
  <c r="M428" i="18"/>
  <c r="G428" i="18"/>
  <c r="F428" i="18"/>
  <c r="C428" i="18"/>
  <c r="B428" i="18"/>
  <c r="A428" i="18"/>
  <c r="R427" i="18"/>
  <c r="Q427" i="18"/>
  <c r="P427" i="18"/>
  <c r="M427" i="18"/>
  <c r="G427" i="18"/>
  <c r="F427" i="18"/>
  <c r="C427" i="18"/>
  <c r="B427" i="18"/>
  <c r="A427" i="18"/>
  <c r="R426" i="18"/>
  <c r="Q426" i="18"/>
  <c r="P426" i="18"/>
  <c r="M426" i="18"/>
  <c r="G426" i="18"/>
  <c r="F426" i="18"/>
  <c r="C426" i="18"/>
  <c r="B426" i="18"/>
  <c r="A426" i="18"/>
  <c r="R425" i="18"/>
  <c r="Q425" i="18"/>
  <c r="P425" i="18"/>
  <c r="M425" i="18"/>
  <c r="G425" i="18"/>
  <c r="F425" i="18"/>
  <c r="B425" i="18"/>
  <c r="A425" i="18"/>
  <c r="R424" i="18"/>
  <c r="Q424" i="18"/>
  <c r="P424" i="18"/>
  <c r="M424" i="18"/>
  <c r="G424" i="18"/>
  <c r="F424" i="18"/>
  <c r="B424" i="18"/>
  <c r="A424" i="18"/>
  <c r="R423" i="18"/>
  <c r="Q423" i="18"/>
  <c r="P423" i="18"/>
  <c r="M423" i="18"/>
  <c r="G423" i="18"/>
  <c r="F423" i="18"/>
  <c r="C423" i="18"/>
  <c r="B423" i="18"/>
  <c r="A423" i="18"/>
  <c r="R422" i="18"/>
  <c r="Q422" i="18"/>
  <c r="P422" i="18"/>
  <c r="M422" i="18"/>
  <c r="G422" i="18"/>
  <c r="F422" i="18"/>
  <c r="C422" i="18"/>
  <c r="B422" i="18"/>
  <c r="A422" i="18"/>
  <c r="R421" i="18"/>
  <c r="Q421" i="18"/>
  <c r="P421" i="18"/>
  <c r="M421" i="18"/>
  <c r="G421" i="18"/>
  <c r="F421" i="18"/>
  <c r="B421" i="18"/>
  <c r="A421" i="18"/>
  <c r="R420" i="18"/>
  <c r="Q420" i="18"/>
  <c r="P420" i="18"/>
  <c r="M420" i="18"/>
  <c r="G420" i="18"/>
  <c r="F420" i="18"/>
  <c r="B420" i="18"/>
  <c r="A420" i="18"/>
  <c r="R419" i="18"/>
  <c r="Q419" i="18"/>
  <c r="P419" i="18"/>
  <c r="M419" i="18"/>
  <c r="G419" i="18"/>
  <c r="F419" i="18"/>
  <c r="C419" i="18"/>
  <c r="B419" i="18"/>
  <c r="A419" i="18"/>
  <c r="R418" i="18"/>
  <c r="Q418" i="18"/>
  <c r="P418" i="18"/>
  <c r="M418" i="18"/>
  <c r="G418" i="18"/>
  <c r="F418" i="18"/>
  <c r="C418" i="18"/>
  <c r="B418" i="18"/>
  <c r="A418" i="18"/>
  <c r="R417" i="18"/>
  <c r="Q417" i="18"/>
  <c r="P417" i="18"/>
  <c r="M417" i="18"/>
  <c r="G417" i="18"/>
  <c r="F417" i="18"/>
  <c r="B417" i="18"/>
  <c r="A417" i="18"/>
  <c r="R416" i="18"/>
  <c r="Q416" i="18"/>
  <c r="P416" i="18"/>
  <c r="M416" i="18"/>
  <c r="G416" i="18"/>
  <c r="F416" i="18"/>
  <c r="C416" i="18"/>
  <c r="B416" i="18"/>
  <c r="A416" i="18"/>
  <c r="R415" i="18"/>
  <c r="Q415" i="18"/>
  <c r="P415" i="18"/>
  <c r="M415" i="18"/>
  <c r="G415" i="18"/>
  <c r="F415" i="18"/>
  <c r="C415" i="18"/>
  <c r="B415" i="18"/>
  <c r="A415" i="18"/>
  <c r="R414" i="18"/>
  <c r="Q414" i="18"/>
  <c r="P414" i="18"/>
  <c r="M414" i="18"/>
  <c r="G414" i="18"/>
  <c r="F414" i="18"/>
  <c r="C414" i="18"/>
  <c r="B414" i="18"/>
  <c r="A414" i="18"/>
  <c r="R413" i="18"/>
  <c r="Q413" i="18"/>
  <c r="P413" i="18"/>
  <c r="M413" i="18"/>
  <c r="G413" i="18"/>
  <c r="F413" i="18"/>
  <c r="B413" i="18"/>
  <c r="A413" i="18"/>
  <c r="R412" i="18"/>
  <c r="Q412" i="18"/>
  <c r="P412" i="18"/>
  <c r="M412" i="18"/>
  <c r="G412" i="18"/>
  <c r="F412" i="18"/>
  <c r="B412" i="18"/>
  <c r="A412" i="18"/>
  <c r="R411" i="18"/>
  <c r="Q411" i="18"/>
  <c r="P411" i="18"/>
  <c r="M411" i="18"/>
  <c r="G411" i="18"/>
  <c r="F411" i="18"/>
  <c r="C411" i="18"/>
  <c r="B411" i="18"/>
  <c r="A411" i="18"/>
  <c r="R410" i="18"/>
  <c r="Q410" i="18"/>
  <c r="P410" i="18"/>
  <c r="M410" i="18"/>
  <c r="G410" i="18"/>
  <c r="F410" i="18"/>
  <c r="C410" i="18"/>
  <c r="B410" i="18"/>
  <c r="A410" i="18"/>
  <c r="R409" i="18"/>
  <c r="Q409" i="18"/>
  <c r="P409" i="18"/>
  <c r="M409" i="18"/>
  <c r="G409" i="18"/>
  <c r="F409" i="18"/>
  <c r="B409" i="18"/>
  <c r="A409" i="18"/>
  <c r="R408" i="18"/>
  <c r="Q408" i="18"/>
  <c r="P408" i="18"/>
  <c r="M408" i="18"/>
  <c r="G408" i="18"/>
  <c r="F408" i="18"/>
  <c r="B408" i="18"/>
  <c r="A408" i="18"/>
  <c r="R407" i="18"/>
  <c r="Q407" i="18"/>
  <c r="P407" i="18"/>
  <c r="M407" i="18"/>
  <c r="G407" i="18"/>
  <c r="F407" i="18"/>
  <c r="C407" i="18"/>
  <c r="B407" i="18"/>
  <c r="A407" i="18"/>
  <c r="R406" i="18"/>
  <c r="Q406" i="18"/>
  <c r="P406" i="18"/>
  <c r="M406" i="18"/>
  <c r="G406" i="18"/>
  <c r="F406" i="18"/>
  <c r="C406" i="18"/>
  <c r="B406" i="18"/>
  <c r="A406" i="18"/>
  <c r="R405" i="18"/>
  <c r="Q405" i="18"/>
  <c r="P405" i="18"/>
  <c r="M405" i="18"/>
  <c r="G405" i="18"/>
  <c r="F405" i="18"/>
  <c r="B405" i="18"/>
  <c r="A405" i="18"/>
  <c r="R404" i="18"/>
  <c r="Q404" i="18"/>
  <c r="P404" i="18"/>
  <c r="M404" i="18"/>
  <c r="G404" i="18"/>
  <c r="F404" i="18"/>
  <c r="C404" i="18"/>
  <c r="B404" i="18"/>
  <c r="A404" i="18"/>
  <c r="R403" i="18"/>
  <c r="Q403" i="18"/>
  <c r="P403" i="18"/>
  <c r="M403" i="18"/>
  <c r="G403" i="18"/>
  <c r="F403" i="18"/>
  <c r="C403" i="18"/>
  <c r="B403" i="18"/>
  <c r="A403" i="18"/>
  <c r="R402" i="18"/>
  <c r="Q402" i="18"/>
  <c r="P402" i="18"/>
  <c r="M402" i="18"/>
  <c r="G402" i="18"/>
  <c r="F402" i="18"/>
  <c r="C402" i="18"/>
  <c r="B402" i="18"/>
  <c r="A402" i="18"/>
  <c r="R401" i="18"/>
  <c r="Q401" i="18"/>
  <c r="P401" i="18"/>
  <c r="M401" i="18"/>
  <c r="G401" i="18"/>
  <c r="F401" i="18"/>
  <c r="B401" i="18"/>
  <c r="A401" i="18"/>
  <c r="R400" i="18"/>
  <c r="Q400" i="18"/>
  <c r="P400" i="18"/>
  <c r="M400" i="18"/>
  <c r="G400" i="18"/>
  <c r="F400" i="18"/>
  <c r="C400" i="18"/>
  <c r="B400" i="18"/>
  <c r="A400" i="18"/>
  <c r="R399" i="18"/>
  <c r="Q399" i="18"/>
  <c r="P399" i="18"/>
  <c r="M399" i="18"/>
  <c r="G399" i="18"/>
  <c r="F399" i="18"/>
  <c r="C399" i="18"/>
  <c r="B399" i="18"/>
  <c r="A399" i="18"/>
  <c r="R398" i="18"/>
  <c r="Q398" i="18"/>
  <c r="P398" i="18"/>
  <c r="M398" i="18"/>
  <c r="G398" i="18"/>
  <c r="F398" i="18"/>
  <c r="C398" i="18"/>
  <c r="B398" i="18"/>
  <c r="A398" i="18"/>
  <c r="R397" i="18"/>
  <c r="Q397" i="18"/>
  <c r="P397" i="18"/>
  <c r="M397" i="18"/>
  <c r="G397" i="18"/>
  <c r="F397" i="18"/>
  <c r="B397" i="18"/>
  <c r="A397" i="18"/>
  <c r="R396" i="18"/>
  <c r="Q396" i="18"/>
  <c r="P396" i="18"/>
  <c r="M396" i="18"/>
  <c r="G396" i="18"/>
  <c r="F396" i="18"/>
  <c r="C396" i="18"/>
  <c r="B396" i="18"/>
  <c r="A396" i="18"/>
  <c r="R395" i="18"/>
  <c r="Q395" i="18"/>
  <c r="P395" i="18"/>
  <c r="M395" i="18"/>
  <c r="G395" i="18"/>
  <c r="F395" i="18"/>
  <c r="C395" i="18"/>
  <c r="B395" i="18"/>
  <c r="A395" i="18"/>
  <c r="R394" i="18"/>
  <c r="Q394" i="18"/>
  <c r="P394" i="18"/>
  <c r="M394" i="18"/>
  <c r="G394" i="18"/>
  <c r="F394" i="18"/>
  <c r="C394" i="18"/>
  <c r="B394" i="18"/>
  <c r="A394" i="18"/>
  <c r="R393" i="18"/>
  <c r="Q393" i="18"/>
  <c r="P393" i="18"/>
  <c r="M393" i="18"/>
  <c r="G393" i="18"/>
  <c r="F393" i="18"/>
  <c r="B393" i="18"/>
  <c r="A393" i="18"/>
  <c r="R392" i="18"/>
  <c r="Q392" i="18"/>
  <c r="P392" i="18"/>
  <c r="M392" i="18"/>
  <c r="G392" i="18"/>
  <c r="F392" i="18"/>
  <c r="C392" i="18"/>
  <c r="B392" i="18"/>
  <c r="A392" i="18"/>
  <c r="R391" i="18"/>
  <c r="Q391" i="18"/>
  <c r="P391" i="18"/>
  <c r="M391" i="18"/>
  <c r="G391" i="18"/>
  <c r="F391" i="18"/>
  <c r="C391" i="18"/>
  <c r="B391" i="18"/>
  <c r="A391" i="18"/>
  <c r="R390" i="18"/>
  <c r="Q390" i="18"/>
  <c r="P390" i="18"/>
  <c r="M390" i="18"/>
  <c r="G390" i="18"/>
  <c r="F390" i="18"/>
  <c r="C390" i="18"/>
  <c r="B390" i="18"/>
  <c r="A390" i="18"/>
  <c r="R389" i="18"/>
  <c r="Q389" i="18"/>
  <c r="P389" i="18"/>
  <c r="M389" i="18"/>
  <c r="G389" i="18"/>
  <c r="F389" i="18"/>
  <c r="B389" i="18"/>
  <c r="A389" i="18"/>
  <c r="R388" i="18"/>
  <c r="Q388" i="18"/>
  <c r="P388" i="18"/>
  <c r="M388" i="18"/>
  <c r="G388" i="18"/>
  <c r="F388" i="18"/>
  <c r="B388" i="18"/>
  <c r="A388" i="18"/>
  <c r="R387" i="18"/>
  <c r="Q387" i="18"/>
  <c r="P387" i="18"/>
  <c r="M387" i="18"/>
  <c r="G387" i="18"/>
  <c r="F387" i="18"/>
  <c r="C387" i="18"/>
  <c r="B387" i="18"/>
  <c r="A387" i="18"/>
  <c r="R386" i="18"/>
  <c r="Q386" i="18"/>
  <c r="P386" i="18"/>
  <c r="M386" i="18"/>
  <c r="G386" i="18"/>
  <c r="F386" i="18"/>
  <c r="C386" i="18"/>
  <c r="B386" i="18"/>
  <c r="A386" i="18"/>
  <c r="R385" i="18"/>
  <c r="Q385" i="18"/>
  <c r="P385" i="18"/>
  <c r="M385" i="18"/>
  <c r="G385" i="18"/>
  <c r="F385" i="18"/>
  <c r="B385" i="18"/>
  <c r="A385" i="18"/>
  <c r="R384" i="18"/>
  <c r="Q384" i="18"/>
  <c r="P384" i="18"/>
  <c r="M384" i="18"/>
  <c r="G384" i="18"/>
  <c r="F384" i="18"/>
  <c r="C384" i="18"/>
  <c r="B384" i="18"/>
  <c r="A384" i="18"/>
  <c r="R383" i="18"/>
  <c r="Q383" i="18"/>
  <c r="P383" i="18"/>
  <c r="M383" i="18"/>
  <c r="G383" i="18"/>
  <c r="F383" i="18"/>
  <c r="C383" i="18"/>
  <c r="B383" i="18"/>
  <c r="A383" i="18"/>
  <c r="R382" i="18"/>
  <c r="Q382" i="18"/>
  <c r="P382" i="18"/>
  <c r="M382" i="18"/>
  <c r="G382" i="18"/>
  <c r="F382" i="18"/>
  <c r="C382" i="18"/>
  <c r="B382" i="18"/>
  <c r="A382" i="18"/>
  <c r="R381" i="18"/>
  <c r="Q381" i="18"/>
  <c r="P381" i="18"/>
  <c r="M381" i="18"/>
  <c r="G381" i="18"/>
  <c r="F381" i="18"/>
  <c r="B381" i="18"/>
  <c r="A381" i="18"/>
  <c r="R380" i="18"/>
  <c r="Q380" i="18"/>
  <c r="P380" i="18"/>
  <c r="M380" i="18"/>
  <c r="G380" i="18"/>
  <c r="F380" i="18"/>
  <c r="B380" i="18"/>
  <c r="A380" i="18"/>
  <c r="R379" i="18"/>
  <c r="Q379" i="18"/>
  <c r="P379" i="18"/>
  <c r="M379" i="18"/>
  <c r="G379" i="18"/>
  <c r="F379" i="18"/>
  <c r="C379" i="18"/>
  <c r="B379" i="18"/>
  <c r="A379" i="18"/>
  <c r="R378" i="18"/>
  <c r="Q378" i="18"/>
  <c r="P378" i="18"/>
  <c r="M378" i="18"/>
  <c r="G378" i="18"/>
  <c r="F378" i="18"/>
  <c r="C378" i="18"/>
  <c r="B378" i="18"/>
  <c r="A378" i="18"/>
  <c r="R377" i="18"/>
  <c r="Q377" i="18"/>
  <c r="P377" i="18"/>
  <c r="M377" i="18"/>
  <c r="G377" i="18"/>
  <c r="F377" i="18"/>
  <c r="B377" i="18"/>
  <c r="A377" i="18"/>
  <c r="R376" i="18"/>
  <c r="Q376" i="18"/>
  <c r="P376" i="18"/>
  <c r="M376" i="18"/>
  <c r="G376" i="18"/>
  <c r="F376" i="18"/>
  <c r="B376" i="18"/>
  <c r="A376" i="18"/>
  <c r="R375" i="18"/>
  <c r="Q375" i="18"/>
  <c r="P375" i="18"/>
  <c r="M375" i="18"/>
  <c r="G375" i="18"/>
  <c r="F375" i="18"/>
  <c r="C375" i="18"/>
  <c r="B375" i="18"/>
  <c r="A375" i="18"/>
  <c r="R374" i="18"/>
  <c r="Q374" i="18"/>
  <c r="P374" i="18"/>
  <c r="M374" i="18"/>
  <c r="G374" i="18"/>
  <c r="F374" i="18"/>
  <c r="C374" i="18"/>
  <c r="B374" i="18"/>
  <c r="A374" i="18"/>
  <c r="R373" i="18"/>
  <c r="Q373" i="18"/>
  <c r="P373" i="18"/>
  <c r="M373" i="18"/>
  <c r="G373" i="18"/>
  <c r="F373" i="18"/>
  <c r="B373" i="18"/>
  <c r="A373" i="18"/>
  <c r="R372" i="18"/>
  <c r="Q372" i="18"/>
  <c r="P372" i="18"/>
  <c r="M372" i="18"/>
  <c r="G372" i="18"/>
  <c r="F372" i="18"/>
  <c r="B372" i="18"/>
  <c r="A372" i="18"/>
  <c r="R371" i="18"/>
  <c r="Q371" i="18"/>
  <c r="P371" i="18"/>
  <c r="M371" i="18"/>
  <c r="G371" i="18"/>
  <c r="F371" i="18"/>
  <c r="C371" i="18"/>
  <c r="B371" i="18"/>
  <c r="A371" i="18"/>
  <c r="R370" i="18"/>
  <c r="Q370" i="18"/>
  <c r="P370" i="18"/>
  <c r="M370" i="18"/>
  <c r="G370" i="18"/>
  <c r="F370" i="18"/>
  <c r="C370" i="18"/>
  <c r="B370" i="18"/>
  <c r="A370" i="18"/>
  <c r="R369" i="18"/>
  <c r="Q369" i="18"/>
  <c r="P369" i="18"/>
  <c r="M369" i="18"/>
  <c r="G369" i="18"/>
  <c r="F369" i="18"/>
  <c r="B369" i="18"/>
  <c r="A369" i="18"/>
  <c r="R368" i="18"/>
  <c r="Q368" i="18"/>
  <c r="P368" i="18"/>
  <c r="M368" i="18"/>
  <c r="G368" i="18"/>
  <c r="F368" i="18"/>
  <c r="C368" i="18"/>
  <c r="B368" i="18"/>
  <c r="A368" i="18"/>
  <c r="R367" i="18"/>
  <c r="Q367" i="18"/>
  <c r="P367" i="18"/>
  <c r="M367" i="18"/>
  <c r="G367" i="18"/>
  <c r="F367" i="18"/>
  <c r="C367" i="18"/>
  <c r="B367" i="18"/>
  <c r="A367" i="18"/>
  <c r="R366" i="18"/>
  <c r="Q366" i="18"/>
  <c r="P366" i="18"/>
  <c r="M366" i="18"/>
  <c r="G366" i="18"/>
  <c r="F366" i="18"/>
  <c r="C366" i="18"/>
  <c r="B366" i="18"/>
  <c r="A366" i="18"/>
  <c r="R365" i="18"/>
  <c r="Q365" i="18"/>
  <c r="P365" i="18"/>
  <c r="M365" i="18"/>
  <c r="G365" i="18"/>
  <c r="F365" i="18"/>
  <c r="B365" i="18"/>
  <c r="A365" i="18"/>
  <c r="R364" i="18"/>
  <c r="Q364" i="18"/>
  <c r="P364" i="18"/>
  <c r="M364" i="18"/>
  <c r="G364" i="18"/>
  <c r="F364" i="18"/>
  <c r="C364" i="18"/>
  <c r="B364" i="18"/>
  <c r="A364" i="18"/>
  <c r="R363" i="18"/>
  <c r="Q363" i="18"/>
  <c r="P363" i="18"/>
  <c r="M363" i="18"/>
  <c r="G363" i="18"/>
  <c r="F363" i="18"/>
  <c r="C363" i="18"/>
  <c r="B363" i="18"/>
  <c r="A363" i="18"/>
  <c r="R362" i="18"/>
  <c r="Q362" i="18"/>
  <c r="P362" i="18"/>
  <c r="M362" i="18"/>
  <c r="G362" i="18"/>
  <c r="F362" i="18"/>
  <c r="C362" i="18"/>
  <c r="B362" i="18"/>
  <c r="A362" i="18"/>
  <c r="R361" i="18"/>
  <c r="Q361" i="18"/>
  <c r="P361" i="18"/>
  <c r="M361" i="18"/>
  <c r="G361" i="18"/>
  <c r="F361" i="18"/>
  <c r="B361" i="18"/>
  <c r="A361" i="18"/>
  <c r="R360" i="18"/>
  <c r="Q360" i="18"/>
  <c r="P360" i="18"/>
  <c r="M360" i="18"/>
  <c r="G360" i="18"/>
  <c r="F360" i="18"/>
  <c r="B360" i="18"/>
  <c r="A360" i="18"/>
  <c r="R359" i="18"/>
  <c r="Q359" i="18"/>
  <c r="P359" i="18"/>
  <c r="M359" i="18"/>
  <c r="G359" i="18"/>
  <c r="F359" i="18"/>
  <c r="C359" i="18"/>
  <c r="B359" i="18"/>
  <c r="A359" i="18"/>
  <c r="R358" i="18"/>
  <c r="Q358" i="18"/>
  <c r="P358" i="18"/>
  <c r="M358" i="18"/>
  <c r="G358" i="18"/>
  <c r="F358" i="18"/>
  <c r="C358" i="18"/>
  <c r="B358" i="18"/>
  <c r="A358" i="18"/>
  <c r="R357" i="18"/>
  <c r="Q357" i="18"/>
  <c r="P357" i="18"/>
  <c r="M357" i="18"/>
  <c r="G357" i="18"/>
  <c r="F357" i="18"/>
  <c r="B357" i="18"/>
  <c r="A357" i="18"/>
  <c r="R356" i="18"/>
  <c r="Q356" i="18"/>
  <c r="P356" i="18"/>
  <c r="M356" i="18"/>
  <c r="G356" i="18"/>
  <c r="F356" i="18"/>
  <c r="B356" i="18"/>
  <c r="A356" i="18"/>
  <c r="R355" i="18"/>
  <c r="Q355" i="18"/>
  <c r="P355" i="18"/>
  <c r="M355" i="18"/>
  <c r="G355" i="18"/>
  <c r="F355" i="18"/>
  <c r="C355" i="18"/>
  <c r="B355" i="18"/>
  <c r="A355" i="18"/>
  <c r="R354" i="18"/>
  <c r="Q354" i="18"/>
  <c r="P354" i="18"/>
  <c r="M354" i="18"/>
  <c r="G354" i="18"/>
  <c r="F354" i="18"/>
  <c r="C354" i="18"/>
  <c r="B354" i="18"/>
  <c r="A354" i="18"/>
  <c r="R353" i="18"/>
  <c r="Q353" i="18"/>
  <c r="P353" i="18"/>
  <c r="M353" i="18"/>
  <c r="G353" i="18"/>
  <c r="F353" i="18"/>
  <c r="B353" i="18"/>
  <c r="A353" i="18"/>
  <c r="R352" i="18"/>
  <c r="Q352" i="18"/>
  <c r="P352" i="18"/>
  <c r="M352" i="18"/>
  <c r="G352" i="18"/>
  <c r="F352" i="18"/>
  <c r="C352" i="18"/>
  <c r="B352" i="18"/>
  <c r="A352" i="18"/>
  <c r="R351" i="18"/>
  <c r="Q351" i="18"/>
  <c r="P351" i="18"/>
  <c r="M351" i="18"/>
  <c r="G351" i="18"/>
  <c r="F351" i="18"/>
  <c r="C351" i="18"/>
  <c r="B351" i="18"/>
  <c r="A351" i="18"/>
  <c r="R350" i="18"/>
  <c r="Q350" i="18"/>
  <c r="P350" i="18"/>
  <c r="M350" i="18"/>
  <c r="G350" i="18"/>
  <c r="F350" i="18"/>
  <c r="C350" i="18"/>
  <c r="B350" i="18"/>
  <c r="A350" i="18"/>
  <c r="R349" i="18"/>
  <c r="Q349" i="18"/>
  <c r="P349" i="18"/>
  <c r="M349" i="18"/>
  <c r="G349" i="18"/>
  <c r="F349" i="18"/>
  <c r="B349" i="18"/>
  <c r="A349" i="18"/>
  <c r="R348" i="18"/>
  <c r="Q348" i="18"/>
  <c r="P348" i="18"/>
  <c r="M348" i="18"/>
  <c r="G348" i="18"/>
  <c r="F348" i="18"/>
  <c r="B348" i="18"/>
  <c r="A348" i="18"/>
  <c r="R347" i="18"/>
  <c r="Q347" i="18"/>
  <c r="P347" i="18"/>
  <c r="M347" i="18"/>
  <c r="G347" i="18"/>
  <c r="F347" i="18"/>
  <c r="C347" i="18"/>
  <c r="B347" i="18"/>
  <c r="A347" i="18"/>
  <c r="R346" i="18"/>
  <c r="Q346" i="18"/>
  <c r="P346" i="18"/>
  <c r="M346" i="18"/>
  <c r="G346" i="18"/>
  <c r="F346" i="18"/>
  <c r="C346" i="18"/>
  <c r="B346" i="18"/>
  <c r="A346" i="18"/>
  <c r="R345" i="18"/>
  <c r="Q345" i="18"/>
  <c r="P345" i="18"/>
  <c r="M345" i="18"/>
  <c r="G345" i="18"/>
  <c r="F345" i="18"/>
  <c r="B345" i="18"/>
  <c r="A345" i="18"/>
  <c r="R344" i="18"/>
  <c r="Q344" i="18"/>
  <c r="P344" i="18"/>
  <c r="M344" i="18"/>
  <c r="G344" i="18"/>
  <c r="F344" i="18"/>
  <c r="B344" i="18"/>
  <c r="A344" i="18"/>
  <c r="R343" i="18"/>
  <c r="Q343" i="18"/>
  <c r="P343" i="18"/>
  <c r="M343" i="18"/>
  <c r="G343" i="18"/>
  <c r="F343" i="18"/>
  <c r="C343" i="18"/>
  <c r="B343" i="18"/>
  <c r="A343" i="18"/>
  <c r="R342" i="18"/>
  <c r="Q342" i="18"/>
  <c r="P342" i="18"/>
  <c r="M342" i="18"/>
  <c r="G342" i="18"/>
  <c r="F342" i="18"/>
  <c r="C342" i="18"/>
  <c r="B342" i="18"/>
  <c r="A342" i="18"/>
  <c r="R341" i="18"/>
  <c r="Q341" i="18"/>
  <c r="P341" i="18"/>
  <c r="M341" i="18"/>
  <c r="G341" i="18"/>
  <c r="F341" i="18"/>
  <c r="B341" i="18"/>
  <c r="A341" i="18"/>
  <c r="R340" i="18"/>
  <c r="Q340" i="18"/>
  <c r="P340" i="18"/>
  <c r="M340" i="18"/>
  <c r="G340" i="18"/>
  <c r="F340" i="18"/>
  <c r="B340" i="18"/>
  <c r="A340" i="18"/>
  <c r="R339" i="18"/>
  <c r="Q339" i="18"/>
  <c r="P339" i="18"/>
  <c r="M339" i="18"/>
  <c r="G339" i="18"/>
  <c r="F339" i="18"/>
  <c r="C339" i="18"/>
  <c r="B339" i="18"/>
  <c r="A339" i="18"/>
  <c r="R338" i="18"/>
  <c r="Q338" i="18"/>
  <c r="P338" i="18"/>
  <c r="M338" i="18"/>
  <c r="G338" i="18"/>
  <c r="F338" i="18"/>
  <c r="C338" i="18"/>
  <c r="B338" i="18"/>
  <c r="A338" i="18"/>
  <c r="R337" i="18"/>
  <c r="Q337" i="18"/>
  <c r="P337" i="18"/>
  <c r="M337" i="18"/>
  <c r="G337" i="18"/>
  <c r="F337" i="18"/>
  <c r="B337" i="18"/>
  <c r="A337" i="18"/>
  <c r="R336" i="18"/>
  <c r="Q336" i="18"/>
  <c r="P336" i="18"/>
  <c r="M336" i="18"/>
  <c r="G336" i="18"/>
  <c r="F336" i="18"/>
  <c r="C336" i="18"/>
  <c r="B336" i="18"/>
  <c r="A336" i="18"/>
  <c r="R335" i="18"/>
  <c r="Q335" i="18"/>
  <c r="P335" i="18"/>
  <c r="M335" i="18"/>
  <c r="G335" i="18"/>
  <c r="F335" i="18"/>
  <c r="C335" i="18"/>
  <c r="B335" i="18"/>
  <c r="A335" i="18"/>
  <c r="R334" i="18"/>
  <c r="Q334" i="18"/>
  <c r="P334" i="18"/>
  <c r="M334" i="18"/>
  <c r="G334" i="18"/>
  <c r="F334" i="18"/>
  <c r="C334" i="18"/>
  <c r="B334" i="18"/>
  <c r="A334" i="18"/>
  <c r="R333" i="18"/>
  <c r="Q333" i="18"/>
  <c r="P333" i="18"/>
  <c r="M333" i="18"/>
  <c r="G333" i="18"/>
  <c r="F333" i="18"/>
  <c r="B333" i="18"/>
  <c r="A333" i="18"/>
  <c r="R332" i="18"/>
  <c r="Q332" i="18"/>
  <c r="P332" i="18"/>
  <c r="M332" i="18"/>
  <c r="G332" i="18"/>
  <c r="F332" i="18"/>
  <c r="C332" i="18"/>
  <c r="B332" i="18"/>
  <c r="A332" i="18"/>
  <c r="R331" i="18"/>
  <c r="Q331" i="18"/>
  <c r="P331" i="18"/>
  <c r="M331" i="18"/>
  <c r="G331" i="18"/>
  <c r="F331" i="18"/>
  <c r="C331" i="18"/>
  <c r="B331" i="18"/>
  <c r="A331" i="18"/>
  <c r="R330" i="18"/>
  <c r="Q330" i="18"/>
  <c r="P330" i="18"/>
  <c r="M330" i="18"/>
  <c r="G330" i="18"/>
  <c r="F330" i="18"/>
  <c r="C330" i="18"/>
  <c r="B330" i="18"/>
  <c r="A330" i="18"/>
  <c r="R329" i="18"/>
  <c r="Q329" i="18"/>
  <c r="P329" i="18"/>
  <c r="M329" i="18"/>
  <c r="G329" i="18"/>
  <c r="F329" i="18"/>
  <c r="B329" i="18"/>
  <c r="A329" i="18"/>
  <c r="R328" i="18"/>
  <c r="Q328" i="18"/>
  <c r="P328" i="18"/>
  <c r="M328" i="18"/>
  <c r="G328" i="18"/>
  <c r="F328" i="18"/>
  <c r="B328" i="18"/>
  <c r="A328" i="18"/>
  <c r="R327" i="18"/>
  <c r="Q327" i="18"/>
  <c r="P327" i="18"/>
  <c r="M327" i="18"/>
  <c r="G327" i="18"/>
  <c r="F327" i="18"/>
  <c r="C327" i="18"/>
  <c r="B327" i="18"/>
  <c r="A327" i="18"/>
  <c r="R326" i="18"/>
  <c r="Q326" i="18"/>
  <c r="P326" i="18"/>
  <c r="M326" i="18"/>
  <c r="G326" i="18"/>
  <c r="F326" i="18"/>
  <c r="C326" i="18"/>
  <c r="B326" i="18"/>
  <c r="A326" i="18"/>
  <c r="R325" i="18"/>
  <c r="Q325" i="18"/>
  <c r="P325" i="18"/>
  <c r="M325" i="18"/>
  <c r="G325" i="18"/>
  <c r="F325" i="18"/>
  <c r="B325" i="18"/>
  <c r="A325" i="18"/>
  <c r="R324" i="18"/>
  <c r="Q324" i="18"/>
  <c r="P324" i="18"/>
  <c r="M324" i="18"/>
  <c r="G324" i="18"/>
  <c r="F324" i="18"/>
  <c r="B324" i="18"/>
  <c r="A324" i="18"/>
  <c r="R323" i="18"/>
  <c r="Q323" i="18"/>
  <c r="P323" i="18"/>
  <c r="M323" i="18"/>
  <c r="G323" i="18"/>
  <c r="F323" i="18"/>
  <c r="C323" i="18"/>
  <c r="B323" i="18"/>
  <c r="A323" i="18"/>
  <c r="R322" i="18"/>
  <c r="Q322" i="18"/>
  <c r="P322" i="18"/>
  <c r="M322" i="18"/>
  <c r="G322" i="18"/>
  <c r="F322" i="18"/>
  <c r="C322" i="18"/>
  <c r="B322" i="18"/>
  <c r="A322" i="18"/>
  <c r="R321" i="18"/>
  <c r="Q321" i="18"/>
  <c r="P321" i="18"/>
  <c r="M321" i="18"/>
  <c r="G321" i="18"/>
  <c r="F321" i="18"/>
  <c r="B321" i="18"/>
  <c r="A321" i="18"/>
  <c r="R320" i="18"/>
  <c r="Q320" i="18"/>
  <c r="P320" i="18"/>
  <c r="M320" i="18"/>
  <c r="G320" i="18"/>
  <c r="F320" i="18"/>
  <c r="B320" i="18"/>
  <c r="A320" i="18"/>
  <c r="R319" i="18"/>
  <c r="Q319" i="18"/>
  <c r="P319" i="18"/>
  <c r="M319" i="18"/>
  <c r="G319" i="18"/>
  <c r="F319" i="18"/>
  <c r="C319" i="18"/>
  <c r="B319" i="18"/>
  <c r="A319" i="18"/>
  <c r="R318" i="18"/>
  <c r="Q318" i="18"/>
  <c r="P318" i="18"/>
  <c r="M318" i="18"/>
  <c r="G318" i="18"/>
  <c r="F318" i="18"/>
  <c r="C318" i="18"/>
  <c r="B318" i="18"/>
  <c r="A318" i="18"/>
  <c r="R317" i="18"/>
  <c r="Q317" i="18"/>
  <c r="P317" i="18"/>
  <c r="M317" i="18"/>
  <c r="G317" i="18"/>
  <c r="F317" i="18"/>
  <c r="B317" i="18"/>
  <c r="A317" i="18"/>
  <c r="R316" i="18"/>
  <c r="Q316" i="18"/>
  <c r="P316" i="18"/>
  <c r="M316" i="18"/>
  <c r="G316" i="18"/>
  <c r="F316" i="18"/>
  <c r="C316" i="18"/>
  <c r="B316" i="18"/>
  <c r="A316" i="18"/>
  <c r="R315" i="18"/>
  <c r="Q315" i="18"/>
  <c r="P315" i="18"/>
  <c r="M315" i="18"/>
  <c r="G315" i="18"/>
  <c r="F315" i="18"/>
  <c r="C315" i="18"/>
  <c r="B315" i="18"/>
  <c r="A315" i="18"/>
  <c r="R314" i="18"/>
  <c r="Q314" i="18"/>
  <c r="P314" i="18"/>
  <c r="M314" i="18"/>
  <c r="G314" i="18"/>
  <c r="F314" i="18"/>
  <c r="C314" i="18"/>
  <c r="B314" i="18"/>
  <c r="A314" i="18"/>
  <c r="R313" i="18"/>
  <c r="Q313" i="18"/>
  <c r="P313" i="18"/>
  <c r="M313" i="18"/>
  <c r="G313" i="18"/>
  <c r="F313" i="18"/>
  <c r="B313" i="18"/>
  <c r="A313" i="18"/>
  <c r="R312" i="18"/>
  <c r="Q312" i="18"/>
  <c r="P312" i="18"/>
  <c r="M312" i="18"/>
  <c r="G312" i="18"/>
  <c r="F312" i="18"/>
  <c r="B312" i="18"/>
  <c r="A312" i="18"/>
  <c r="R311" i="18"/>
  <c r="Q311" i="18"/>
  <c r="P311" i="18"/>
  <c r="M311" i="18"/>
  <c r="G311" i="18"/>
  <c r="F311" i="18"/>
  <c r="C311" i="18"/>
  <c r="B311" i="18"/>
  <c r="A311" i="18"/>
  <c r="R310" i="18"/>
  <c r="Q310" i="18"/>
  <c r="P310" i="18"/>
  <c r="M310" i="18"/>
  <c r="G310" i="18"/>
  <c r="F310" i="18"/>
  <c r="C310" i="18"/>
  <c r="B310" i="18"/>
  <c r="A310" i="18"/>
  <c r="R309" i="18"/>
  <c r="Q309" i="18"/>
  <c r="P309" i="18"/>
  <c r="M309" i="18"/>
  <c r="G309" i="18"/>
  <c r="F309" i="18"/>
  <c r="C309" i="18"/>
  <c r="B309" i="18"/>
  <c r="A309" i="18"/>
  <c r="R308" i="18"/>
  <c r="Q308" i="18"/>
  <c r="P308" i="18"/>
  <c r="M308" i="18"/>
  <c r="G308" i="18"/>
  <c r="F308" i="18"/>
  <c r="B308" i="18"/>
  <c r="A308" i="18"/>
  <c r="R307" i="18"/>
  <c r="Q307" i="18"/>
  <c r="P307" i="18"/>
  <c r="M307" i="18"/>
  <c r="G307" i="18"/>
  <c r="F307" i="18"/>
  <c r="C307" i="18"/>
  <c r="B307" i="18"/>
  <c r="A307" i="18"/>
  <c r="R306" i="18"/>
  <c r="Q306" i="18"/>
  <c r="P306" i="18"/>
  <c r="M306" i="18"/>
  <c r="G306" i="18"/>
  <c r="F306" i="18"/>
  <c r="C306" i="18"/>
  <c r="B306" i="18"/>
  <c r="A306" i="18"/>
  <c r="R305" i="18"/>
  <c r="Q305" i="18"/>
  <c r="P305" i="18"/>
  <c r="M305" i="18"/>
  <c r="G305" i="18"/>
  <c r="F305" i="18"/>
  <c r="C305" i="18"/>
  <c r="B305" i="18"/>
  <c r="A305" i="18"/>
  <c r="R304" i="18"/>
  <c r="Q304" i="18"/>
  <c r="P304" i="18"/>
  <c r="M304" i="18"/>
  <c r="G304" i="18"/>
  <c r="F304" i="18"/>
  <c r="C304" i="18"/>
  <c r="B304" i="18"/>
  <c r="A304" i="18"/>
  <c r="R303" i="18"/>
  <c r="Q303" i="18"/>
  <c r="P303" i="18"/>
  <c r="M303" i="18"/>
  <c r="G303" i="18"/>
  <c r="F303" i="18"/>
  <c r="C303" i="18"/>
  <c r="B303" i="18"/>
  <c r="A303" i="18"/>
  <c r="R302" i="18"/>
  <c r="Q302" i="18"/>
  <c r="P302" i="18"/>
  <c r="M302" i="18"/>
  <c r="G302" i="18"/>
  <c r="F302" i="18"/>
  <c r="C302" i="18"/>
  <c r="B302" i="18"/>
  <c r="A302" i="18"/>
  <c r="R301" i="18"/>
  <c r="Q301" i="18"/>
  <c r="P301" i="18"/>
  <c r="M301" i="18"/>
  <c r="G301" i="18"/>
  <c r="F301" i="18"/>
  <c r="C301" i="18"/>
  <c r="B301" i="18"/>
  <c r="A301" i="18"/>
  <c r="R300" i="18"/>
  <c r="Q300" i="18"/>
  <c r="P300" i="18"/>
  <c r="M300" i="18"/>
  <c r="G300" i="18"/>
  <c r="F300" i="18"/>
  <c r="C300" i="18"/>
  <c r="B300" i="18"/>
  <c r="A300" i="18"/>
  <c r="R299" i="18"/>
  <c r="Q299" i="18"/>
  <c r="P299" i="18"/>
  <c r="M299" i="18"/>
  <c r="G299" i="18"/>
  <c r="F299" i="18"/>
  <c r="C299" i="18"/>
  <c r="B299" i="18"/>
  <c r="A299" i="18"/>
  <c r="R298" i="18"/>
  <c r="Q298" i="18"/>
  <c r="P298" i="18"/>
  <c r="M298" i="18"/>
  <c r="G298" i="18"/>
  <c r="F298" i="18"/>
  <c r="C298" i="18"/>
  <c r="B298" i="18"/>
  <c r="A298" i="18"/>
  <c r="R297" i="18"/>
  <c r="Q297" i="18"/>
  <c r="P297" i="18"/>
  <c r="M297" i="18"/>
  <c r="G297" i="18"/>
  <c r="F297" i="18"/>
  <c r="C297" i="18"/>
  <c r="B297" i="18"/>
  <c r="A297" i="18"/>
  <c r="R296" i="18"/>
  <c r="Q296" i="18"/>
  <c r="P296" i="18"/>
  <c r="M296" i="18"/>
  <c r="G296" i="18"/>
  <c r="F296" i="18"/>
  <c r="C296" i="18"/>
  <c r="B296" i="18"/>
  <c r="A296" i="18"/>
  <c r="R295" i="18"/>
  <c r="Q295" i="18"/>
  <c r="P295" i="18"/>
  <c r="M295" i="18"/>
  <c r="G295" i="18"/>
  <c r="F295" i="18"/>
  <c r="C295" i="18"/>
  <c r="B295" i="18"/>
  <c r="A295" i="18"/>
  <c r="R294" i="18"/>
  <c r="Q294" i="18"/>
  <c r="P294" i="18"/>
  <c r="M294" i="18"/>
  <c r="G294" i="18"/>
  <c r="F294" i="18"/>
  <c r="C294" i="18"/>
  <c r="B294" i="18"/>
  <c r="A294" i="18"/>
  <c r="R293" i="18"/>
  <c r="Q293" i="18"/>
  <c r="P293" i="18"/>
  <c r="M293" i="18"/>
  <c r="G293" i="18"/>
  <c r="F293" i="18"/>
  <c r="B293" i="18"/>
  <c r="A293" i="18"/>
  <c r="R292" i="18"/>
  <c r="Q292" i="18"/>
  <c r="P292" i="18"/>
  <c r="M292" i="18"/>
  <c r="G292" i="18"/>
  <c r="F292" i="18"/>
  <c r="B292" i="18"/>
  <c r="A292" i="18"/>
  <c r="R291" i="18"/>
  <c r="Q291" i="18"/>
  <c r="P291" i="18"/>
  <c r="M291" i="18"/>
  <c r="G291" i="18"/>
  <c r="F291" i="18"/>
  <c r="C291" i="18"/>
  <c r="B291" i="18"/>
  <c r="A291" i="18"/>
  <c r="R290" i="18"/>
  <c r="Q290" i="18"/>
  <c r="P290" i="18"/>
  <c r="M290" i="18"/>
  <c r="G290" i="18"/>
  <c r="F290" i="18"/>
  <c r="C290" i="18"/>
  <c r="B290" i="18"/>
  <c r="A290" i="18"/>
  <c r="R289" i="18"/>
  <c r="Q289" i="18"/>
  <c r="P289" i="18"/>
  <c r="M289" i="18"/>
  <c r="G289" i="18"/>
  <c r="F289" i="18"/>
  <c r="C289" i="18"/>
  <c r="B289" i="18"/>
  <c r="A289" i="18"/>
  <c r="R288" i="18"/>
  <c r="Q288" i="18"/>
  <c r="P288" i="18"/>
  <c r="M288" i="18"/>
  <c r="G288" i="18"/>
  <c r="F288" i="18"/>
  <c r="B288" i="18"/>
  <c r="A288" i="18"/>
  <c r="R287" i="18"/>
  <c r="Q287" i="18"/>
  <c r="P287" i="18"/>
  <c r="M287" i="18"/>
  <c r="G287" i="18"/>
  <c r="F287" i="18"/>
  <c r="C287" i="18"/>
  <c r="B287" i="18"/>
  <c r="A287" i="18"/>
  <c r="R286" i="18"/>
  <c r="Q286" i="18"/>
  <c r="P286" i="18"/>
  <c r="M286" i="18"/>
  <c r="G286" i="18"/>
  <c r="F286" i="18"/>
  <c r="C286" i="18"/>
  <c r="B286" i="18"/>
  <c r="A286" i="18"/>
  <c r="R285" i="18"/>
  <c r="Q285" i="18"/>
  <c r="P285" i="18"/>
  <c r="M285" i="18"/>
  <c r="G285" i="18"/>
  <c r="F285" i="18"/>
  <c r="B285" i="18"/>
  <c r="A285" i="18"/>
  <c r="R284" i="18"/>
  <c r="Q284" i="18"/>
  <c r="P284" i="18"/>
  <c r="M284" i="18"/>
  <c r="G284" i="18"/>
  <c r="F284" i="18"/>
  <c r="C284" i="18"/>
  <c r="B284" i="18"/>
  <c r="A284" i="18"/>
  <c r="R283" i="18"/>
  <c r="Q283" i="18"/>
  <c r="P283" i="18"/>
  <c r="M283" i="18"/>
  <c r="G283" i="18"/>
  <c r="F283" i="18"/>
  <c r="C283" i="18"/>
  <c r="B283" i="18"/>
  <c r="A283" i="18"/>
  <c r="R282" i="18"/>
  <c r="Q282" i="18"/>
  <c r="P282" i="18"/>
  <c r="M282" i="18"/>
  <c r="G282" i="18"/>
  <c r="F282" i="18"/>
  <c r="C282" i="18"/>
  <c r="B282" i="18"/>
  <c r="A282" i="18"/>
  <c r="R281" i="18"/>
  <c r="Q281" i="18"/>
  <c r="P281" i="18"/>
  <c r="M281" i="18"/>
  <c r="G281" i="18"/>
  <c r="F281" i="18"/>
  <c r="B281" i="18"/>
  <c r="A281" i="18"/>
  <c r="R280" i="18"/>
  <c r="Q280" i="18"/>
  <c r="P280" i="18"/>
  <c r="M280" i="18"/>
  <c r="G280" i="18"/>
  <c r="F280" i="18"/>
  <c r="B280" i="18"/>
  <c r="A280" i="18"/>
  <c r="R279" i="18"/>
  <c r="Q279" i="18"/>
  <c r="P279" i="18"/>
  <c r="M279" i="18"/>
  <c r="G279" i="18"/>
  <c r="F279" i="18"/>
  <c r="C279" i="18"/>
  <c r="B279" i="18"/>
  <c r="A279" i="18"/>
  <c r="R278" i="18"/>
  <c r="Q278" i="18"/>
  <c r="P278" i="18"/>
  <c r="M278" i="18"/>
  <c r="G278" i="18"/>
  <c r="F278" i="18"/>
  <c r="C278" i="18"/>
  <c r="B278" i="18"/>
  <c r="A278" i="18"/>
  <c r="R277" i="18"/>
  <c r="Q277" i="18"/>
  <c r="P277" i="18"/>
  <c r="M277" i="18"/>
  <c r="G277" i="18"/>
  <c r="F277" i="18"/>
  <c r="B277" i="18"/>
  <c r="A277" i="18"/>
  <c r="R276" i="18"/>
  <c r="Q276" i="18"/>
  <c r="P276" i="18"/>
  <c r="M276" i="18"/>
  <c r="G276" i="18"/>
  <c r="F276" i="18"/>
  <c r="B276" i="18"/>
  <c r="A276" i="18"/>
  <c r="R275" i="18"/>
  <c r="Q275" i="18"/>
  <c r="P275" i="18"/>
  <c r="M275" i="18"/>
  <c r="G275" i="18"/>
  <c r="F275" i="18"/>
  <c r="C275" i="18"/>
  <c r="B275" i="18"/>
  <c r="A275" i="18"/>
  <c r="R274" i="18"/>
  <c r="Q274" i="18"/>
  <c r="P274" i="18"/>
  <c r="M274" i="18"/>
  <c r="G274" i="18"/>
  <c r="F274" i="18"/>
  <c r="C274" i="18"/>
  <c r="B274" i="18"/>
  <c r="A274" i="18"/>
  <c r="R273" i="18"/>
  <c r="Q273" i="18"/>
  <c r="P273" i="18"/>
  <c r="M273" i="18"/>
  <c r="G273" i="18"/>
  <c r="F273" i="18"/>
  <c r="B273" i="18"/>
  <c r="A273" i="18"/>
  <c r="R272" i="18"/>
  <c r="Q272" i="18"/>
  <c r="P272" i="18"/>
  <c r="M272" i="18"/>
  <c r="G272" i="18"/>
  <c r="F272" i="18"/>
  <c r="B272" i="18"/>
  <c r="A272" i="18"/>
  <c r="R271" i="18"/>
  <c r="Q271" i="18"/>
  <c r="P271" i="18"/>
  <c r="M271" i="18"/>
  <c r="G271" i="18"/>
  <c r="F271" i="18"/>
  <c r="C271" i="18"/>
  <c r="B271" i="18"/>
  <c r="A271" i="18"/>
  <c r="R270" i="18"/>
  <c r="Q270" i="18"/>
  <c r="P270" i="18"/>
  <c r="M270" i="18"/>
  <c r="G270" i="18"/>
  <c r="F270" i="18"/>
  <c r="C270" i="18"/>
  <c r="B270" i="18"/>
  <c r="A270" i="18"/>
  <c r="R269" i="18"/>
  <c r="Q269" i="18"/>
  <c r="P269" i="18"/>
  <c r="M269" i="18"/>
  <c r="G269" i="18"/>
  <c r="F269" i="18"/>
  <c r="B269" i="18"/>
  <c r="A269" i="18"/>
  <c r="R268" i="18"/>
  <c r="Q268" i="18"/>
  <c r="P268" i="18"/>
  <c r="M268" i="18"/>
  <c r="G268" i="18"/>
  <c r="F268" i="18"/>
  <c r="B268" i="18"/>
  <c r="A268" i="18"/>
  <c r="R267" i="18"/>
  <c r="Q267" i="18"/>
  <c r="P267" i="18"/>
  <c r="M267" i="18"/>
  <c r="G267" i="18"/>
  <c r="F267" i="18"/>
  <c r="B267" i="18"/>
  <c r="A267" i="18"/>
  <c r="R266" i="18"/>
  <c r="Q266" i="18"/>
  <c r="P266" i="18"/>
  <c r="M266" i="18"/>
  <c r="G266" i="18"/>
  <c r="F266" i="18"/>
  <c r="B266" i="18"/>
  <c r="A266" i="18"/>
  <c r="R265" i="18"/>
  <c r="Q265" i="18"/>
  <c r="P265" i="18"/>
  <c r="M265" i="18"/>
  <c r="G265" i="18"/>
  <c r="F265" i="18"/>
  <c r="B265" i="18"/>
  <c r="A265" i="18"/>
  <c r="R264" i="18"/>
  <c r="Q264" i="18"/>
  <c r="P264" i="18"/>
  <c r="M264" i="18"/>
  <c r="G264" i="18"/>
  <c r="F264" i="18"/>
  <c r="B264" i="18"/>
  <c r="A264" i="18"/>
  <c r="R263" i="18"/>
  <c r="Q263" i="18"/>
  <c r="P263" i="18"/>
  <c r="M263" i="18"/>
  <c r="G263" i="18"/>
  <c r="F263" i="18"/>
  <c r="B263" i="18"/>
  <c r="A263" i="18"/>
  <c r="R262" i="18"/>
  <c r="Q262" i="18"/>
  <c r="P262" i="18"/>
  <c r="M262" i="18"/>
  <c r="G262" i="18"/>
  <c r="F262" i="18"/>
  <c r="C262" i="18"/>
  <c r="B262" i="18"/>
  <c r="A262" i="18"/>
  <c r="R261" i="18"/>
  <c r="Q261" i="18"/>
  <c r="P261" i="18"/>
  <c r="M261" i="18"/>
  <c r="G261" i="18"/>
  <c r="F261" i="18"/>
  <c r="B261" i="18"/>
  <c r="A261" i="18"/>
  <c r="R260" i="18"/>
  <c r="Q260" i="18"/>
  <c r="P260" i="18"/>
  <c r="M260" i="18"/>
  <c r="G260" i="18"/>
  <c r="F260" i="18"/>
  <c r="B260" i="18"/>
  <c r="A260" i="18"/>
  <c r="R259" i="18"/>
  <c r="Q259" i="18"/>
  <c r="P259" i="18"/>
  <c r="M259" i="18"/>
  <c r="G259" i="18"/>
  <c r="F259" i="18"/>
  <c r="B259" i="18"/>
  <c r="A259" i="18"/>
  <c r="R258" i="18"/>
  <c r="Q258" i="18"/>
  <c r="P258" i="18"/>
  <c r="M258" i="18"/>
  <c r="G258" i="18"/>
  <c r="F258" i="18"/>
  <c r="C258" i="18"/>
  <c r="B258" i="18"/>
  <c r="A258" i="18"/>
  <c r="R257" i="18"/>
  <c r="Q257" i="18"/>
  <c r="P257" i="18"/>
  <c r="M257" i="18"/>
  <c r="G257" i="18"/>
  <c r="F257" i="18"/>
  <c r="B257" i="18"/>
  <c r="A257" i="18"/>
  <c r="R256" i="18"/>
  <c r="Q256" i="18"/>
  <c r="P256" i="18"/>
  <c r="M256" i="18"/>
  <c r="G256" i="18"/>
  <c r="F256" i="18"/>
  <c r="B256" i="18"/>
  <c r="A256" i="18"/>
  <c r="R255" i="18"/>
  <c r="Q255" i="18"/>
  <c r="P255" i="18"/>
  <c r="M255" i="18"/>
  <c r="G255" i="18"/>
  <c r="F255" i="18"/>
  <c r="B255" i="18"/>
  <c r="A255" i="18"/>
  <c r="R254" i="18"/>
  <c r="Q254" i="18"/>
  <c r="P254" i="18"/>
  <c r="M254" i="18"/>
  <c r="G254" i="18"/>
  <c r="F254" i="18"/>
  <c r="B254" i="18"/>
  <c r="A254" i="18"/>
  <c r="R253" i="18"/>
  <c r="Q253" i="18"/>
  <c r="P253" i="18"/>
  <c r="M253" i="18"/>
  <c r="G253" i="18"/>
  <c r="F253" i="18"/>
  <c r="B253" i="18"/>
  <c r="A253" i="18"/>
  <c r="R252" i="18"/>
  <c r="Q252" i="18"/>
  <c r="P252" i="18"/>
  <c r="M252" i="18"/>
  <c r="G252" i="18"/>
  <c r="F252" i="18"/>
  <c r="B252" i="18"/>
  <c r="A252" i="18"/>
  <c r="R251" i="18"/>
  <c r="Q251" i="18"/>
  <c r="P251" i="18"/>
  <c r="M251" i="18"/>
  <c r="G251" i="18"/>
  <c r="F251" i="18"/>
  <c r="B251" i="18"/>
  <c r="A251" i="18"/>
  <c r="R250" i="18"/>
  <c r="Q250" i="18"/>
  <c r="P250" i="18"/>
  <c r="M250" i="18"/>
  <c r="G250" i="18"/>
  <c r="F250" i="18"/>
  <c r="B250" i="18"/>
  <c r="A250" i="18"/>
  <c r="R249" i="18"/>
  <c r="Q249" i="18"/>
  <c r="P249" i="18"/>
  <c r="M249" i="18"/>
  <c r="G249" i="18"/>
  <c r="F249" i="18"/>
  <c r="B249" i="18"/>
  <c r="A249" i="18"/>
  <c r="R248" i="18"/>
  <c r="Q248" i="18"/>
  <c r="P248" i="18"/>
  <c r="M248" i="18"/>
  <c r="G248" i="18"/>
  <c r="F248" i="18"/>
  <c r="B248" i="18"/>
  <c r="A248" i="18"/>
  <c r="R247" i="18"/>
  <c r="Q247" i="18"/>
  <c r="P247" i="18"/>
  <c r="M247" i="18"/>
  <c r="G247" i="18"/>
  <c r="F247" i="18"/>
  <c r="B247" i="18"/>
  <c r="A247" i="18"/>
  <c r="R246" i="18"/>
  <c r="Q246" i="18"/>
  <c r="P246" i="18"/>
  <c r="M246" i="18"/>
  <c r="G246" i="18"/>
  <c r="F246" i="18"/>
  <c r="B246" i="18"/>
  <c r="A246" i="18"/>
  <c r="R245" i="18"/>
  <c r="Q245" i="18"/>
  <c r="P245" i="18"/>
  <c r="M245" i="18"/>
  <c r="G245" i="18"/>
  <c r="F245" i="18"/>
  <c r="B245" i="18"/>
  <c r="A245" i="18"/>
  <c r="R244" i="18"/>
  <c r="Q244" i="18"/>
  <c r="P244" i="18"/>
  <c r="M244" i="18"/>
  <c r="G244" i="18"/>
  <c r="F244" i="18"/>
  <c r="B244" i="18"/>
  <c r="A244" i="18"/>
  <c r="R243" i="18"/>
  <c r="Q243" i="18"/>
  <c r="P243" i="18"/>
  <c r="M243" i="18"/>
  <c r="G243" i="18"/>
  <c r="F243" i="18"/>
  <c r="B243" i="18"/>
  <c r="A243" i="18"/>
  <c r="R242" i="18"/>
  <c r="Q242" i="18"/>
  <c r="P242" i="18"/>
  <c r="M242" i="18"/>
  <c r="G242" i="18"/>
  <c r="F242" i="18"/>
  <c r="C242" i="18"/>
  <c r="B242" i="18"/>
  <c r="A242" i="18"/>
  <c r="R241" i="18"/>
  <c r="Q241" i="18"/>
  <c r="P241" i="18"/>
  <c r="M241" i="18"/>
  <c r="G241" i="18"/>
  <c r="F241" i="18"/>
  <c r="B241" i="18"/>
  <c r="A241" i="18"/>
  <c r="R240" i="18"/>
  <c r="Q240" i="18"/>
  <c r="P240" i="18"/>
  <c r="M240" i="18"/>
  <c r="G240" i="18"/>
  <c r="F240" i="18"/>
  <c r="B240" i="18"/>
  <c r="A240" i="18"/>
  <c r="R239" i="18"/>
  <c r="Q239" i="18"/>
  <c r="P239" i="18"/>
  <c r="M239" i="18"/>
  <c r="G239" i="18"/>
  <c r="F239" i="18"/>
  <c r="B239" i="18"/>
  <c r="A239" i="18"/>
  <c r="R238" i="18"/>
  <c r="Q238" i="18"/>
  <c r="P238" i="18"/>
  <c r="M238" i="18"/>
  <c r="G238" i="18"/>
  <c r="F238" i="18"/>
  <c r="C238" i="18"/>
  <c r="B238" i="18"/>
  <c r="A238" i="18"/>
  <c r="R237" i="18"/>
  <c r="Q237" i="18"/>
  <c r="P237" i="18"/>
  <c r="M237" i="18"/>
  <c r="G237" i="18"/>
  <c r="F237" i="18"/>
  <c r="B237" i="18"/>
  <c r="A237" i="18"/>
  <c r="R236" i="18"/>
  <c r="Q236" i="18"/>
  <c r="P236" i="18"/>
  <c r="M236" i="18"/>
  <c r="G236" i="18"/>
  <c r="F236" i="18"/>
  <c r="B236" i="18"/>
  <c r="A236" i="18"/>
  <c r="R235" i="18"/>
  <c r="Q235" i="18"/>
  <c r="P235" i="18"/>
  <c r="M235" i="18"/>
  <c r="G235" i="18"/>
  <c r="F235" i="18"/>
  <c r="B235" i="18"/>
  <c r="A235" i="18"/>
  <c r="R234" i="18"/>
  <c r="Q234" i="18"/>
  <c r="P234" i="18"/>
  <c r="M234" i="18"/>
  <c r="G234" i="18"/>
  <c r="F234" i="18"/>
  <c r="B234" i="18"/>
  <c r="A234" i="18"/>
  <c r="R233" i="18"/>
  <c r="Q233" i="18"/>
  <c r="P233" i="18"/>
  <c r="M233" i="18"/>
  <c r="G233" i="18"/>
  <c r="F233" i="18"/>
  <c r="B233" i="18"/>
  <c r="A233" i="18"/>
  <c r="R232" i="18"/>
  <c r="Q232" i="18"/>
  <c r="P232" i="18"/>
  <c r="M232" i="18"/>
  <c r="G232" i="18"/>
  <c r="F232" i="18"/>
  <c r="B232" i="18"/>
  <c r="A232" i="18"/>
  <c r="R231" i="18"/>
  <c r="Q231" i="18"/>
  <c r="P231" i="18"/>
  <c r="M231" i="18"/>
  <c r="G231" i="18"/>
  <c r="F231" i="18"/>
  <c r="B231" i="18"/>
  <c r="A231" i="18"/>
  <c r="R230" i="18"/>
  <c r="Q230" i="18"/>
  <c r="P230" i="18"/>
  <c r="M230" i="18"/>
  <c r="G230" i="18"/>
  <c r="F230" i="18"/>
  <c r="B230" i="18"/>
  <c r="A230" i="18"/>
  <c r="R229" i="18"/>
  <c r="Q229" i="18"/>
  <c r="P229" i="18"/>
  <c r="M229" i="18"/>
  <c r="G229" i="18"/>
  <c r="F229" i="18"/>
  <c r="B229" i="18"/>
  <c r="A229" i="18"/>
  <c r="R228" i="18"/>
  <c r="Q228" i="18"/>
  <c r="P228" i="18"/>
  <c r="M228" i="18"/>
  <c r="G228" i="18"/>
  <c r="F228" i="18"/>
  <c r="B228" i="18"/>
  <c r="A228" i="18"/>
  <c r="R227" i="18"/>
  <c r="Q227" i="18"/>
  <c r="P227" i="18"/>
  <c r="M227" i="18"/>
  <c r="G227" i="18"/>
  <c r="F227" i="18"/>
  <c r="B227" i="18"/>
  <c r="A227" i="18"/>
  <c r="R226" i="18"/>
  <c r="Q226" i="18"/>
  <c r="P226" i="18"/>
  <c r="M226" i="18"/>
  <c r="G226" i="18"/>
  <c r="F226" i="18"/>
  <c r="C226" i="18"/>
  <c r="B226" i="18"/>
  <c r="A226" i="18"/>
  <c r="R225" i="18"/>
  <c r="Q225" i="18"/>
  <c r="P225" i="18"/>
  <c r="M225" i="18"/>
  <c r="G225" i="18"/>
  <c r="F225" i="18"/>
  <c r="B225" i="18"/>
  <c r="A225" i="18"/>
  <c r="R224" i="18"/>
  <c r="Q224" i="18"/>
  <c r="P224" i="18"/>
  <c r="M224" i="18"/>
  <c r="G224" i="18"/>
  <c r="F224" i="18"/>
  <c r="B224" i="18"/>
  <c r="A224" i="18"/>
  <c r="R223" i="18"/>
  <c r="Q223" i="18"/>
  <c r="P223" i="18"/>
  <c r="M223" i="18"/>
  <c r="G223" i="18"/>
  <c r="F223" i="18"/>
  <c r="B223" i="18"/>
  <c r="A223" i="18"/>
  <c r="R222" i="18"/>
  <c r="Q222" i="18"/>
  <c r="P222" i="18"/>
  <c r="M222" i="18"/>
  <c r="G222" i="18"/>
  <c r="F222" i="18"/>
  <c r="B222" i="18"/>
  <c r="A222" i="18"/>
  <c r="R221" i="18"/>
  <c r="Q221" i="18"/>
  <c r="P221" i="18"/>
  <c r="M221" i="18"/>
  <c r="G221" i="18"/>
  <c r="F221" i="18"/>
  <c r="B221" i="18"/>
  <c r="A221" i="18"/>
  <c r="R220" i="18"/>
  <c r="Q220" i="18"/>
  <c r="P220" i="18"/>
  <c r="M220" i="18"/>
  <c r="G220" i="18"/>
  <c r="F220" i="18"/>
  <c r="B220" i="18"/>
  <c r="A220" i="18"/>
  <c r="R219" i="18"/>
  <c r="Q219" i="18"/>
  <c r="P219" i="18"/>
  <c r="M219" i="18"/>
  <c r="G219" i="18"/>
  <c r="F219" i="18"/>
  <c r="B219" i="18"/>
  <c r="A219" i="18"/>
  <c r="R218" i="18"/>
  <c r="Q218" i="18"/>
  <c r="P218" i="18"/>
  <c r="M218" i="18"/>
  <c r="G218" i="18"/>
  <c r="F218" i="18"/>
  <c r="B218" i="18"/>
  <c r="A218" i="18"/>
  <c r="R217" i="18"/>
  <c r="Q217" i="18"/>
  <c r="P217" i="18"/>
  <c r="M217" i="18"/>
  <c r="G217" i="18"/>
  <c r="F217" i="18"/>
  <c r="B217" i="18"/>
  <c r="A217" i="18"/>
  <c r="R216" i="18"/>
  <c r="Q216" i="18"/>
  <c r="P216" i="18"/>
  <c r="M216" i="18"/>
  <c r="G216" i="18"/>
  <c r="F216" i="18"/>
  <c r="B216" i="18"/>
  <c r="A216" i="18"/>
  <c r="R215" i="18"/>
  <c r="Q215" i="18"/>
  <c r="P215" i="18"/>
  <c r="M215" i="18"/>
  <c r="G215" i="18"/>
  <c r="F215" i="18"/>
  <c r="B215" i="18"/>
  <c r="A215" i="18"/>
  <c r="R214" i="18"/>
  <c r="Q214" i="18"/>
  <c r="P214" i="18"/>
  <c r="M214" i="18"/>
  <c r="G214" i="18"/>
  <c r="F214" i="18"/>
  <c r="C214" i="18"/>
  <c r="B214" i="18"/>
  <c r="A214" i="18"/>
  <c r="R213" i="18"/>
  <c r="Q213" i="18"/>
  <c r="P213" i="18"/>
  <c r="M213" i="18"/>
  <c r="G213" i="18"/>
  <c r="F213" i="18"/>
  <c r="B213" i="18"/>
  <c r="A213" i="18"/>
  <c r="R212" i="18"/>
  <c r="Q212" i="18"/>
  <c r="P212" i="18"/>
  <c r="M212" i="18"/>
  <c r="G212" i="18"/>
  <c r="F212" i="18"/>
  <c r="B212" i="18"/>
  <c r="A212" i="18"/>
  <c r="R211" i="18"/>
  <c r="Q211" i="18"/>
  <c r="P211" i="18"/>
  <c r="M211" i="18"/>
  <c r="G211" i="18"/>
  <c r="F211" i="18"/>
  <c r="B211" i="18"/>
  <c r="A211" i="18"/>
  <c r="R210" i="18"/>
  <c r="Q210" i="18"/>
  <c r="P210" i="18"/>
  <c r="M210" i="18"/>
  <c r="G210" i="18"/>
  <c r="F210" i="18"/>
  <c r="B210" i="18"/>
  <c r="A210" i="18"/>
  <c r="R209" i="18"/>
  <c r="Q209" i="18"/>
  <c r="P209" i="18"/>
  <c r="M209" i="18"/>
  <c r="G209" i="18"/>
  <c r="F209" i="18"/>
  <c r="B209" i="18"/>
  <c r="A209" i="18"/>
  <c r="R208" i="18"/>
  <c r="Q208" i="18"/>
  <c r="P208" i="18"/>
  <c r="M208" i="18"/>
  <c r="G208" i="18"/>
  <c r="F208" i="18"/>
  <c r="B208" i="18"/>
  <c r="A208" i="18"/>
  <c r="R207" i="18"/>
  <c r="Q207" i="18"/>
  <c r="P207" i="18"/>
  <c r="M207" i="18"/>
  <c r="G207" i="18"/>
  <c r="F207" i="18"/>
  <c r="B207" i="18"/>
  <c r="A207" i="18"/>
  <c r="R206" i="18"/>
  <c r="Q206" i="18"/>
  <c r="P206" i="18"/>
  <c r="M206" i="18"/>
  <c r="G206" i="18"/>
  <c r="F206" i="18"/>
  <c r="B206" i="18"/>
  <c r="A206" i="18"/>
  <c r="R205" i="18"/>
  <c r="Q205" i="18"/>
  <c r="P205" i="18"/>
  <c r="M205" i="18"/>
  <c r="G205" i="18"/>
  <c r="F205" i="18"/>
  <c r="B205" i="18"/>
  <c r="A205" i="18"/>
  <c r="R204" i="18"/>
  <c r="Q204" i="18"/>
  <c r="P204" i="18"/>
  <c r="M204" i="18"/>
  <c r="G204" i="18"/>
  <c r="F204" i="18"/>
  <c r="B204" i="18"/>
  <c r="A204" i="18"/>
  <c r="R203" i="18"/>
  <c r="Q203" i="18"/>
  <c r="P203" i="18"/>
  <c r="M203" i="18"/>
  <c r="G203" i="18"/>
  <c r="F203" i="18"/>
  <c r="B203" i="18"/>
  <c r="A203" i="18"/>
  <c r="R202" i="18"/>
  <c r="Q202" i="18"/>
  <c r="P202" i="18"/>
  <c r="M202" i="18"/>
  <c r="G202" i="18"/>
  <c r="F202" i="18"/>
  <c r="B202" i="18"/>
  <c r="A202" i="18"/>
  <c r="R201" i="18"/>
  <c r="Q201" i="18"/>
  <c r="P201" i="18"/>
  <c r="M201" i="18"/>
  <c r="G201" i="18"/>
  <c r="F201" i="18"/>
  <c r="B201" i="18"/>
  <c r="A201" i="18"/>
  <c r="R200" i="18"/>
  <c r="Q200" i="18"/>
  <c r="P200" i="18"/>
  <c r="M200" i="18"/>
  <c r="G200" i="18"/>
  <c r="F200" i="18"/>
  <c r="B200" i="18"/>
  <c r="A200" i="18"/>
  <c r="R199" i="18"/>
  <c r="Q199" i="18"/>
  <c r="P199" i="18"/>
  <c r="M199" i="18"/>
  <c r="G199" i="18"/>
  <c r="F199" i="18"/>
  <c r="B199" i="18"/>
  <c r="A199" i="18"/>
  <c r="R198" i="18"/>
  <c r="Q198" i="18"/>
  <c r="P198" i="18"/>
  <c r="M198" i="18"/>
  <c r="G198" i="18"/>
  <c r="F198" i="18"/>
  <c r="B198" i="18"/>
  <c r="A198" i="18"/>
  <c r="R197" i="18"/>
  <c r="Q197" i="18"/>
  <c r="P197" i="18"/>
  <c r="M197" i="18"/>
  <c r="G197" i="18"/>
  <c r="F197" i="18"/>
  <c r="B197" i="18"/>
  <c r="A197" i="18"/>
  <c r="R196" i="18"/>
  <c r="Q196" i="18"/>
  <c r="P196" i="18"/>
  <c r="M196" i="18"/>
  <c r="G196" i="18"/>
  <c r="F196" i="18"/>
  <c r="B196" i="18"/>
  <c r="A196" i="18"/>
  <c r="R195" i="18"/>
  <c r="Q195" i="18"/>
  <c r="P195" i="18"/>
  <c r="M195" i="18"/>
  <c r="G195" i="18"/>
  <c r="F195" i="18"/>
  <c r="B195" i="18"/>
  <c r="A195" i="18"/>
  <c r="R194" i="18"/>
  <c r="Q194" i="18"/>
  <c r="P194" i="18"/>
  <c r="M194" i="18"/>
  <c r="G194" i="18"/>
  <c r="F194" i="18"/>
  <c r="B194" i="18"/>
  <c r="A194" i="18"/>
  <c r="R193" i="18"/>
  <c r="Q193" i="18"/>
  <c r="P193" i="18"/>
  <c r="M193" i="18"/>
  <c r="G193" i="18"/>
  <c r="F193" i="18"/>
  <c r="B193" i="18"/>
  <c r="A193" i="18"/>
  <c r="R192" i="18"/>
  <c r="Q192" i="18"/>
  <c r="P192" i="18"/>
  <c r="M192" i="18"/>
  <c r="G192" i="18"/>
  <c r="F192" i="18"/>
  <c r="B192" i="18"/>
  <c r="A192" i="18"/>
  <c r="R191" i="18"/>
  <c r="Q191" i="18"/>
  <c r="P191" i="18"/>
  <c r="M191" i="18"/>
  <c r="G191" i="18"/>
  <c r="F191" i="18"/>
  <c r="B191" i="18"/>
  <c r="A191" i="18"/>
  <c r="R190" i="18"/>
  <c r="Q190" i="18"/>
  <c r="P190" i="18"/>
  <c r="M190" i="18"/>
  <c r="G190" i="18"/>
  <c r="F190" i="18"/>
  <c r="B190" i="18"/>
  <c r="A190" i="18"/>
  <c r="R189" i="18"/>
  <c r="Q189" i="18"/>
  <c r="P189" i="18"/>
  <c r="M189" i="18"/>
  <c r="G189" i="18"/>
  <c r="F189" i="18"/>
  <c r="B189" i="18"/>
  <c r="A189" i="18"/>
  <c r="R188" i="18"/>
  <c r="Q188" i="18"/>
  <c r="P188" i="18"/>
  <c r="M188" i="18"/>
  <c r="G188" i="18"/>
  <c r="F188" i="18"/>
  <c r="B188" i="18"/>
  <c r="A188" i="18"/>
  <c r="R187" i="18"/>
  <c r="Q187" i="18"/>
  <c r="P187" i="18"/>
  <c r="M187" i="18"/>
  <c r="G187" i="18"/>
  <c r="F187" i="18"/>
  <c r="B187" i="18"/>
  <c r="A187" i="18"/>
  <c r="R186" i="18"/>
  <c r="Q186" i="18"/>
  <c r="P186" i="18"/>
  <c r="M186" i="18"/>
  <c r="G186" i="18"/>
  <c r="F186" i="18"/>
  <c r="B186" i="18"/>
  <c r="A186" i="18"/>
  <c r="R185" i="18"/>
  <c r="Q185" i="18"/>
  <c r="P185" i="18"/>
  <c r="M185" i="18"/>
  <c r="G185" i="18"/>
  <c r="F185" i="18"/>
  <c r="B185" i="18"/>
  <c r="A185" i="18"/>
  <c r="R184" i="18"/>
  <c r="Q184" i="18"/>
  <c r="P184" i="18"/>
  <c r="M184" i="18"/>
  <c r="G184" i="18"/>
  <c r="F184" i="18"/>
  <c r="B184" i="18"/>
  <c r="A184" i="18"/>
  <c r="R183" i="18"/>
  <c r="Q183" i="18"/>
  <c r="P183" i="18"/>
  <c r="M183" i="18"/>
  <c r="G183" i="18"/>
  <c r="F183" i="18"/>
  <c r="B183" i="18"/>
  <c r="A183" i="18"/>
  <c r="R182" i="18"/>
  <c r="Q182" i="18"/>
  <c r="P182" i="18"/>
  <c r="M182" i="18"/>
  <c r="G182" i="18"/>
  <c r="F182" i="18"/>
  <c r="B182" i="18"/>
  <c r="A182" i="18"/>
  <c r="R181" i="18"/>
  <c r="Q181" i="18"/>
  <c r="P181" i="18"/>
  <c r="M181" i="18"/>
  <c r="G181" i="18"/>
  <c r="F181" i="18"/>
  <c r="B181" i="18"/>
  <c r="A181" i="18"/>
  <c r="R180" i="18"/>
  <c r="Q180" i="18"/>
  <c r="P180" i="18"/>
  <c r="M180" i="18"/>
  <c r="G180" i="18"/>
  <c r="F180" i="18"/>
  <c r="B180" i="18"/>
  <c r="A180" i="18"/>
  <c r="R179" i="18"/>
  <c r="Q179" i="18"/>
  <c r="P179" i="18"/>
  <c r="M179" i="18"/>
  <c r="G179" i="18"/>
  <c r="F179" i="18"/>
  <c r="B179" i="18"/>
  <c r="A179" i="18"/>
  <c r="R178" i="18"/>
  <c r="Q178" i="18"/>
  <c r="P178" i="18"/>
  <c r="M178" i="18"/>
  <c r="G178" i="18"/>
  <c r="F178" i="18"/>
  <c r="B178" i="18"/>
  <c r="A178" i="18"/>
  <c r="R177" i="18"/>
  <c r="Q177" i="18"/>
  <c r="P177" i="18"/>
  <c r="M177" i="18"/>
  <c r="G177" i="18"/>
  <c r="F177" i="18"/>
  <c r="B177" i="18"/>
  <c r="A177" i="18"/>
  <c r="R176" i="18"/>
  <c r="Q176" i="18"/>
  <c r="P176" i="18"/>
  <c r="M176" i="18"/>
  <c r="G176" i="18"/>
  <c r="F176" i="18"/>
  <c r="B176" i="18"/>
  <c r="A176" i="18"/>
  <c r="R175" i="18"/>
  <c r="Q175" i="18"/>
  <c r="P175" i="18"/>
  <c r="M175" i="18"/>
  <c r="G175" i="18"/>
  <c r="F175" i="18"/>
  <c r="C175" i="18"/>
  <c r="B175" i="18"/>
  <c r="A175" i="18"/>
  <c r="R174" i="18"/>
  <c r="Q174" i="18"/>
  <c r="P174" i="18"/>
  <c r="M174" i="18"/>
  <c r="G174" i="18"/>
  <c r="F174" i="18"/>
  <c r="B174" i="18"/>
  <c r="A174" i="18"/>
  <c r="R173" i="18"/>
  <c r="Q173" i="18"/>
  <c r="P173" i="18"/>
  <c r="M173" i="18"/>
  <c r="G173" i="18"/>
  <c r="F173" i="18"/>
  <c r="C173" i="18"/>
  <c r="B173" i="18"/>
  <c r="A173" i="18"/>
  <c r="R172" i="18"/>
  <c r="Q172" i="18"/>
  <c r="P172" i="18"/>
  <c r="M172" i="18"/>
  <c r="G172" i="18"/>
  <c r="F172" i="18"/>
  <c r="B172" i="18"/>
  <c r="A172" i="18"/>
  <c r="R171" i="18"/>
  <c r="Q171" i="18"/>
  <c r="P171" i="18"/>
  <c r="M171" i="18"/>
  <c r="G171" i="18"/>
  <c r="F171" i="18"/>
  <c r="B171" i="18"/>
  <c r="A171" i="18"/>
  <c r="R170" i="18"/>
  <c r="Q170" i="18"/>
  <c r="P170" i="18"/>
  <c r="M170" i="18"/>
  <c r="G170" i="18"/>
  <c r="F170" i="18"/>
  <c r="B170" i="18"/>
  <c r="A170" i="18"/>
  <c r="R169" i="18"/>
  <c r="Q169" i="18"/>
  <c r="P169" i="18"/>
  <c r="M169" i="18"/>
  <c r="G169" i="18"/>
  <c r="F169" i="18"/>
  <c r="B169" i="18"/>
  <c r="A169" i="18"/>
  <c r="R168" i="18"/>
  <c r="Q168" i="18"/>
  <c r="P168" i="18"/>
  <c r="M168" i="18"/>
  <c r="G168" i="18"/>
  <c r="F168" i="18"/>
  <c r="B168" i="18"/>
  <c r="A168" i="18"/>
  <c r="R167" i="18"/>
  <c r="Q167" i="18"/>
  <c r="P167" i="18"/>
  <c r="M167" i="18"/>
  <c r="G167" i="18"/>
  <c r="F167" i="18"/>
  <c r="C167" i="18"/>
  <c r="B167" i="18"/>
  <c r="A167" i="18"/>
  <c r="R166" i="18"/>
  <c r="Q166" i="18"/>
  <c r="P166" i="18"/>
  <c r="M166" i="18"/>
  <c r="G166" i="18"/>
  <c r="F166" i="18"/>
  <c r="B166" i="18"/>
  <c r="A166" i="18"/>
  <c r="R165" i="18"/>
  <c r="Q165" i="18"/>
  <c r="P165" i="18"/>
  <c r="M165" i="18"/>
  <c r="G165" i="18"/>
  <c r="F165" i="18"/>
  <c r="C165" i="18"/>
  <c r="B165" i="18"/>
  <c r="A165" i="18"/>
  <c r="R164" i="18"/>
  <c r="Q164" i="18"/>
  <c r="P164" i="18"/>
  <c r="M164" i="18"/>
  <c r="G164" i="18"/>
  <c r="F164" i="18"/>
  <c r="B164" i="18"/>
  <c r="A164" i="18"/>
  <c r="R163" i="18"/>
  <c r="Q163" i="18"/>
  <c r="P163" i="18"/>
  <c r="M163" i="18"/>
  <c r="G163" i="18"/>
  <c r="F163" i="18"/>
  <c r="C163" i="18"/>
  <c r="B163" i="18"/>
  <c r="A163" i="18"/>
  <c r="R162" i="18"/>
  <c r="Q162" i="18"/>
  <c r="P162" i="18"/>
  <c r="M162" i="18"/>
  <c r="G162" i="18"/>
  <c r="F162" i="18"/>
  <c r="B162" i="18"/>
  <c r="C162" i="18" s="1"/>
  <c r="A162" i="18"/>
  <c r="R161" i="18"/>
  <c r="Q161" i="18"/>
  <c r="P161" i="18"/>
  <c r="M161" i="18"/>
  <c r="G161" i="18"/>
  <c r="F161" i="18"/>
  <c r="C161" i="18"/>
  <c r="B161" i="18"/>
  <c r="A161" i="18"/>
  <c r="R160" i="18"/>
  <c r="Q160" i="18"/>
  <c r="P160" i="18"/>
  <c r="M160" i="18"/>
  <c r="G160" i="18"/>
  <c r="F160" i="18"/>
  <c r="B160" i="18"/>
  <c r="A160" i="18"/>
  <c r="R159" i="18"/>
  <c r="Q159" i="18"/>
  <c r="P159" i="18"/>
  <c r="M159" i="18"/>
  <c r="G159" i="18"/>
  <c r="F159" i="18"/>
  <c r="C159" i="18"/>
  <c r="B159" i="18"/>
  <c r="A159" i="18"/>
  <c r="R158" i="18"/>
  <c r="Q158" i="18"/>
  <c r="P158" i="18"/>
  <c r="M158" i="18"/>
  <c r="G158" i="18"/>
  <c r="F158" i="18"/>
  <c r="B158" i="18"/>
  <c r="C158" i="18" s="1"/>
  <c r="A158" i="18"/>
  <c r="R157" i="18"/>
  <c r="Q157" i="18"/>
  <c r="P157" i="18"/>
  <c r="M157" i="18"/>
  <c r="G157" i="18"/>
  <c r="F157" i="18"/>
  <c r="C157" i="18"/>
  <c r="B157" i="18"/>
  <c r="A157" i="18"/>
  <c r="R156" i="18"/>
  <c r="Q156" i="18"/>
  <c r="P156" i="18"/>
  <c r="M156" i="18"/>
  <c r="G156" i="18"/>
  <c r="F156" i="18"/>
  <c r="B156" i="18"/>
  <c r="A156" i="18"/>
  <c r="R155" i="18"/>
  <c r="Q155" i="18"/>
  <c r="P155" i="18"/>
  <c r="M155" i="18"/>
  <c r="G155" i="18"/>
  <c r="F155" i="18"/>
  <c r="C155" i="18"/>
  <c r="B155" i="18"/>
  <c r="A155" i="18"/>
  <c r="R154" i="18"/>
  <c r="Q154" i="18"/>
  <c r="P154" i="18"/>
  <c r="M154" i="18"/>
  <c r="G154" i="18"/>
  <c r="F154" i="18"/>
  <c r="B154" i="18"/>
  <c r="C154" i="18" s="1"/>
  <c r="A154" i="18"/>
  <c r="R153" i="18"/>
  <c r="Q153" i="18"/>
  <c r="P153" i="18"/>
  <c r="M153" i="18"/>
  <c r="G153" i="18"/>
  <c r="F153" i="18"/>
  <c r="C153" i="18"/>
  <c r="B153" i="18"/>
  <c r="A153" i="18"/>
  <c r="R152" i="18"/>
  <c r="Q152" i="18"/>
  <c r="P152" i="18"/>
  <c r="M152" i="18"/>
  <c r="G152" i="18"/>
  <c r="F152" i="18"/>
  <c r="B152" i="18"/>
  <c r="A152" i="18"/>
  <c r="R151" i="18"/>
  <c r="Q151" i="18"/>
  <c r="P151" i="18"/>
  <c r="M151" i="18"/>
  <c r="G151" i="18"/>
  <c r="F151" i="18"/>
  <c r="C151" i="18"/>
  <c r="B151" i="18"/>
  <c r="A151" i="18"/>
  <c r="R150" i="18"/>
  <c r="Q150" i="18"/>
  <c r="P150" i="18"/>
  <c r="M150" i="18"/>
  <c r="G150" i="18"/>
  <c r="F150" i="18"/>
  <c r="B150" i="18"/>
  <c r="C150" i="18" s="1"/>
  <c r="A150" i="18"/>
  <c r="R149" i="18"/>
  <c r="Q149" i="18"/>
  <c r="P149" i="18"/>
  <c r="M149" i="18"/>
  <c r="G149" i="18"/>
  <c r="F149" i="18"/>
  <c r="C149" i="18"/>
  <c r="B149" i="18"/>
  <c r="A149" i="18"/>
  <c r="R148" i="18"/>
  <c r="Q148" i="18"/>
  <c r="P148" i="18"/>
  <c r="M148" i="18"/>
  <c r="G148" i="18"/>
  <c r="F148" i="18"/>
  <c r="B148" i="18"/>
  <c r="A148" i="18"/>
  <c r="R147" i="18"/>
  <c r="Q147" i="18"/>
  <c r="P147" i="18"/>
  <c r="M147" i="18"/>
  <c r="G147" i="18"/>
  <c r="F147" i="18"/>
  <c r="C147" i="18"/>
  <c r="B147" i="18"/>
  <c r="A147" i="18"/>
  <c r="R146" i="18"/>
  <c r="Q146" i="18"/>
  <c r="P146" i="18"/>
  <c r="M146" i="18"/>
  <c r="G146" i="18"/>
  <c r="F146" i="18"/>
  <c r="B146" i="18"/>
  <c r="C146" i="18" s="1"/>
  <c r="A146" i="18"/>
  <c r="R145" i="18"/>
  <c r="Q145" i="18"/>
  <c r="P145" i="18"/>
  <c r="M145" i="18"/>
  <c r="G145" i="18"/>
  <c r="F145" i="18"/>
  <c r="C145" i="18"/>
  <c r="B145" i="18"/>
  <c r="A145" i="18"/>
  <c r="R144" i="18"/>
  <c r="Q144" i="18"/>
  <c r="P144" i="18"/>
  <c r="M144" i="18"/>
  <c r="G144" i="18"/>
  <c r="F144" i="18"/>
  <c r="B144" i="18"/>
  <c r="A144" i="18"/>
  <c r="R143" i="18"/>
  <c r="Q143" i="18"/>
  <c r="P143" i="18"/>
  <c r="M143" i="18"/>
  <c r="G143" i="18"/>
  <c r="F143" i="18"/>
  <c r="C143" i="18"/>
  <c r="B143" i="18"/>
  <c r="A143" i="18"/>
  <c r="R142" i="18"/>
  <c r="Q142" i="18"/>
  <c r="P142" i="18"/>
  <c r="M142" i="18"/>
  <c r="G142" i="18"/>
  <c r="F142" i="18"/>
  <c r="B142" i="18"/>
  <c r="C142" i="18" s="1"/>
  <c r="A142" i="18"/>
  <c r="R141" i="18"/>
  <c r="Q141" i="18"/>
  <c r="P141" i="18"/>
  <c r="M141" i="18"/>
  <c r="G141" i="18"/>
  <c r="F141" i="18"/>
  <c r="C141" i="18"/>
  <c r="B141" i="18"/>
  <c r="A141" i="18"/>
  <c r="R140" i="18"/>
  <c r="Q140" i="18"/>
  <c r="P140" i="18"/>
  <c r="M140" i="18"/>
  <c r="G140" i="18"/>
  <c r="F140" i="18"/>
  <c r="B140" i="18"/>
  <c r="A140" i="18"/>
  <c r="R139" i="18"/>
  <c r="Q139" i="18"/>
  <c r="P139" i="18"/>
  <c r="M139" i="18"/>
  <c r="G139" i="18"/>
  <c r="F139" i="18"/>
  <c r="C139" i="18"/>
  <c r="B139" i="18"/>
  <c r="A139" i="18"/>
  <c r="R138" i="18"/>
  <c r="Q138" i="18"/>
  <c r="P138" i="18"/>
  <c r="M138" i="18"/>
  <c r="G138" i="18"/>
  <c r="F138" i="18"/>
  <c r="B138" i="18"/>
  <c r="C138" i="18" s="1"/>
  <c r="A138" i="18"/>
  <c r="R137" i="18"/>
  <c r="Q137" i="18"/>
  <c r="P137" i="18"/>
  <c r="M137" i="18"/>
  <c r="G137" i="18"/>
  <c r="F137" i="18"/>
  <c r="B137" i="18"/>
  <c r="A137" i="18"/>
  <c r="R136" i="18"/>
  <c r="Q136" i="18"/>
  <c r="P136" i="18"/>
  <c r="M136" i="18"/>
  <c r="G136" i="18"/>
  <c r="F136" i="18"/>
  <c r="B136" i="18"/>
  <c r="A136" i="18"/>
  <c r="R135" i="18"/>
  <c r="Q135" i="18"/>
  <c r="P135" i="18"/>
  <c r="M135" i="18"/>
  <c r="G135" i="18"/>
  <c r="F135" i="18"/>
  <c r="C135" i="18"/>
  <c r="B135" i="18"/>
  <c r="A135" i="18"/>
  <c r="R134" i="18"/>
  <c r="Q134" i="18"/>
  <c r="P134" i="18"/>
  <c r="M134" i="18"/>
  <c r="G134" i="18"/>
  <c r="F134" i="18"/>
  <c r="B134" i="18"/>
  <c r="C134" i="18" s="1"/>
  <c r="A134" i="18"/>
  <c r="R133" i="18"/>
  <c r="Q133" i="18"/>
  <c r="P133" i="18"/>
  <c r="M133" i="18"/>
  <c r="G133" i="18"/>
  <c r="F133" i="18"/>
  <c r="B133" i="18"/>
  <c r="A133" i="18"/>
  <c r="R132" i="18"/>
  <c r="Q132" i="18"/>
  <c r="P132" i="18"/>
  <c r="M132" i="18"/>
  <c r="G132" i="18"/>
  <c r="F132" i="18"/>
  <c r="B132" i="18"/>
  <c r="A132" i="18"/>
  <c r="R131" i="18"/>
  <c r="Q131" i="18"/>
  <c r="P131" i="18"/>
  <c r="M131" i="18"/>
  <c r="G131" i="18"/>
  <c r="F131" i="18"/>
  <c r="C131" i="18"/>
  <c r="B131" i="18"/>
  <c r="A131" i="18"/>
  <c r="R130" i="18"/>
  <c r="Q130" i="18"/>
  <c r="P130" i="18"/>
  <c r="M130" i="18"/>
  <c r="G130" i="18"/>
  <c r="F130" i="18"/>
  <c r="B130" i="18"/>
  <c r="C130" i="18" s="1"/>
  <c r="A130" i="18"/>
  <c r="R129" i="18"/>
  <c r="Q129" i="18"/>
  <c r="P129" i="18"/>
  <c r="M129" i="18"/>
  <c r="G129" i="18"/>
  <c r="F129" i="18"/>
  <c r="C129" i="18"/>
  <c r="B129" i="18"/>
  <c r="A129" i="18"/>
  <c r="R128" i="18"/>
  <c r="Q128" i="18"/>
  <c r="P128" i="18"/>
  <c r="M128" i="18"/>
  <c r="G128" i="18"/>
  <c r="F128" i="18"/>
  <c r="B128" i="18"/>
  <c r="A128" i="18"/>
  <c r="R127" i="18"/>
  <c r="Q127" i="18"/>
  <c r="P127" i="18"/>
  <c r="M127" i="18"/>
  <c r="G127" i="18"/>
  <c r="F127" i="18"/>
  <c r="C127" i="18"/>
  <c r="B127" i="18"/>
  <c r="A127" i="18"/>
  <c r="R126" i="18"/>
  <c r="Q126" i="18"/>
  <c r="P126" i="18"/>
  <c r="M126" i="18"/>
  <c r="G126" i="18"/>
  <c r="F126" i="18"/>
  <c r="B126" i="18"/>
  <c r="C126" i="18" s="1"/>
  <c r="A126" i="18"/>
  <c r="R125" i="18"/>
  <c r="Q125" i="18"/>
  <c r="P125" i="18"/>
  <c r="M125" i="18"/>
  <c r="G125" i="18"/>
  <c r="F125" i="18"/>
  <c r="B125" i="18"/>
  <c r="A125" i="18"/>
  <c r="R124" i="18"/>
  <c r="Q124" i="18"/>
  <c r="P124" i="18"/>
  <c r="M124" i="18"/>
  <c r="G124" i="18"/>
  <c r="F124" i="18"/>
  <c r="B124" i="18"/>
  <c r="A124" i="18"/>
  <c r="R123" i="18"/>
  <c r="Q123" i="18"/>
  <c r="P123" i="18"/>
  <c r="M123" i="18"/>
  <c r="G123" i="18"/>
  <c r="F123" i="18"/>
  <c r="C123" i="18"/>
  <c r="B123" i="18"/>
  <c r="A123" i="18"/>
  <c r="R122" i="18"/>
  <c r="Q122" i="18"/>
  <c r="P122" i="18"/>
  <c r="M122" i="18"/>
  <c r="G122" i="18"/>
  <c r="F122" i="18"/>
  <c r="B122" i="18"/>
  <c r="C122" i="18" s="1"/>
  <c r="A122" i="18"/>
  <c r="R121" i="18"/>
  <c r="Q121" i="18"/>
  <c r="P121" i="18"/>
  <c r="M121" i="18"/>
  <c r="G121" i="18"/>
  <c r="F121" i="18"/>
  <c r="B121" i="18"/>
  <c r="A121" i="18"/>
  <c r="R120" i="18"/>
  <c r="Q120" i="18"/>
  <c r="P120" i="18"/>
  <c r="M120" i="18"/>
  <c r="G120" i="18"/>
  <c r="F120" i="18"/>
  <c r="B120" i="18"/>
  <c r="A120" i="18"/>
  <c r="R119" i="18"/>
  <c r="Q119" i="18"/>
  <c r="P119" i="18"/>
  <c r="M119" i="18"/>
  <c r="G119" i="18"/>
  <c r="F119" i="18"/>
  <c r="C119" i="18"/>
  <c r="B119" i="18"/>
  <c r="A119" i="18"/>
  <c r="R118" i="18"/>
  <c r="Q118" i="18"/>
  <c r="P118" i="18"/>
  <c r="M118" i="18"/>
  <c r="G118" i="18"/>
  <c r="F118" i="18"/>
  <c r="B118" i="18"/>
  <c r="C118" i="18" s="1"/>
  <c r="A118" i="18"/>
  <c r="R117" i="18"/>
  <c r="Q117" i="18"/>
  <c r="P117" i="18"/>
  <c r="M117" i="18"/>
  <c r="G117" i="18"/>
  <c r="F117" i="18"/>
  <c r="B117" i="18"/>
  <c r="C117" i="18" s="1"/>
  <c r="A117" i="18"/>
  <c r="R116" i="18"/>
  <c r="Q116" i="18"/>
  <c r="P116" i="18"/>
  <c r="M116" i="18"/>
  <c r="G116" i="18"/>
  <c r="F116" i="18"/>
  <c r="B116" i="18"/>
  <c r="A116" i="18"/>
  <c r="R115" i="18"/>
  <c r="Q115" i="18"/>
  <c r="P115" i="18"/>
  <c r="M115" i="18"/>
  <c r="G115" i="18"/>
  <c r="F115" i="18"/>
  <c r="C115" i="18"/>
  <c r="B115" i="18"/>
  <c r="A115" i="18"/>
  <c r="R114" i="18"/>
  <c r="Q114" i="18"/>
  <c r="P114" i="18"/>
  <c r="M114" i="18"/>
  <c r="G114" i="18"/>
  <c r="F114" i="18"/>
  <c r="B114" i="18"/>
  <c r="A114" i="18"/>
  <c r="R113" i="18"/>
  <c r="Q113" i="18"/>
  <c r="P113" i="18"/>
  <c r="M113" i="18"/>
  <c r="G113" i="18"/>
  <c r="F113" i="18"/>
  <c r="C113" i="18"/>
  <c r="B113" i="18"/>
  <c r="A113" i="18"/>
  <c r="R112" i="18"/>
  <c r="Q112" i="18"/>
  <c r="P112" i="18"/>
  <c r="M112" i="18"/>
  <c r="G112" i="18"/>
  <c r="F112" i="18"/>
  <c r="B112" i="18"/>
  <c r="A112" i="18"/>
  <c r="R111" i="18"/>
  <c r="Q111" i="18"/>
  <c r="P111" i="18"/>
  <c r="M111" i="18"/>
  <c r="G111" i="18"/>
  <c r="F111" i="18"/>
  <c r="C111" i="18"/>
  <c r="B111" i="18"/>
  <c r="A111" i="18"/>
  <c r="R110" i="18"/>
  <c r="Q110" i="18"/>
  <c r="P110" i="18"/>
  <c r="M110" i="18"/>
  <c r="G110" i="18"/>
  <c r="F110" i="18"/>
  <c r="B110" i="18"/>
  <c r="C110" i="18" s="1"/>
  <c r="A110" i="18"/>
  <c r="R109" i="18"/>
  <c r="Q109" i="18"/>
  <c r="P109" i="18"/>
  <c r="M109" i="18"/>
  <c r="G109" i="18"/>
  <c r="F109" i="18"/>
  <c r="B109" i="18"/>
  <c r="C109" i="18" s="1"/>
  <c r="A109" i="18"/>
  <c r="R108" i="18"/>
  <c r="Q108" i="18"/>
  <c r="P108" i="18"/>
  <c r="M108" i="18"/>
  <c r="G108" i="18"/>
  <c r="F108" i="18"/>
  <c r="B108" i="18"/>
  <c r="A108" i="18"/>
  <c r="R107" i="18"/>
  <c r="Q107" i="18"/>
  <c r="P107" i="18"/>
  <c r="M107" i="18"/>
  <c r="G107" i="18"/>
  <c r="F107" i="18"/>
  <c r="C107" i="18"/>
  <c r="B107" i="18"/>
  <c r="A107" i="18"/>
  <c r="R106" i="18"/>
  <c r="Q106" i="18"/>
  <c r="P106" i="18"/>
  <c r="M106" i="18"/>
  <c r="G106" i="18"/>
  <c r="F106" i="18"/>
  <c r="B106" i="18"/>
  <c r="A106" i="18"/>
  <c r="R105" i="18"/>
  <c r="Q105" i="18"/>
  <c r="P105" i="18"/>
  <c r="M105" i="18"/>
  <c r="G105" i="18"/>
  <c r="F105" i="18"/>
  <c r="B105" i="18"/>
  <c r="A105" i="18"/>
  <c r="R104" i="18"/>
  <c r="Q104" i="18"/>
  <c r="P104" i="18"/>
  <c r="M104" i="18"/>
  <c r="G104" i="18"/>
  <c r="F104" i="18"/>
  <c r="B104" i="18"/>
  <c r="A104" i="18"/>
  <c r="R103" i="18"/>
  <c r="Q103" i="18"/>
  <c r="P103" i="18"/>
  <c r="M103" i="18"/>
  <c r="G103" i="18"/>
  <c r="F103" i="18"/>
  <c r="C103" i="18"/>
  <c r="B103" i="18"/>
  <c r="A103" i="18"/>
  <c r="R102" i="18"/>
  <c r="Q102" i="18"/>
  <c r="P102" i="18"/>
  <c r="M102" i="18"/>
  <c r="G102" i="18"/>
  <c r="F102" i="18"/>
  <c r="B102" i="18"/>
  <c r="C102" i="18" s="1"/>
  <c r="A102" i="18"/>
  <c r="R101" i="18"/>
  <c r="Q101" i="18"/>
  <c r="P101" i="18"/>
  <c r="M101" i="18"/>
  <c r="G101" i="18"/>
  <c r="F101" i="18"/>
  <c r="B101" i="18"/>
  <c r="C101" i="18" s="1"/>
  <c r="A101" i="18"/>
  <c r="R100" i="18"/>
  <c r="Q100" i="18"/>
  <c r="P100" i="18"/>
  <c r="M100" i="18"/>
  <c r="G100" i="18"/>
  <c r="F100" i="18"/>
  <c r="B100" i="18"/>
  <c r="A100" i="18"/>
  <c r="R99" i="18"/>
  <c r="Q99" i="18"/>
  <c r="P99" i="18"/>
  <c r="N99" i="18"/>
  <c r="M99" i="18"/>
  <c r="G99" i="18"/>
  <c r="F99" i="18"/>
  <c r="C99" i="18"/>
  <c r="B99" i="18"/>
  <c r="A99" i="18"/>
  <c r="R98" i="18"/>
  <c r="Q98" i="18"/>
  <c r="P98" i="18"/>
  <c r="M98" i="18"/>
  <c r="G98" i="18"/>
  <c r="F98" i="18"/>
  <c r="B98" i="18"/>
  <c r="A98" i="18"/>
  <c r="R97" i="18"/>
  <c r="Q97" i="18"/>
  <c r="P97" i="18"/>
  <c r="M97" i="18"/>
  <c r="G97" i="18"/>
  <c r="F97" i="18"/>
  <c r="C97" i="18"/>
  <c r="B97" i="18"/>
  <c r="A97" i="18"/>
  <c r="R96" i="18"/>
  <c r="Q96" i="18"/>
  <c r="P96" i="18"/>
  <c r="M96" i="18"/>
  <c r="G96" i="18"/>
  <c r="F96" i="18"/>
  <c r="B96" i="18"/>
  <c r="A96" i="18"/>
  <c r="R95" i="18"/>
  <c r="Q95" i="18"/>
  <c r="P95" i="18"/>
  <c r="M95" i="18"/>
  <c r="G95" i="18"/>
  <c r="F95" i="18"/>
  <c r="C95" i="18"/>
  <c r="B95" i="18"/>
  <c r="A95" i="18"/>
  <c r="R94" i="18"/>
  <c r="Q94" i="18"/>
  <c r="P94" i="18"/>
  <c r="M94" i="18"/>
  <c r="G94" i="18"/>
  <c r="F94" i="18"/>
  <c r="B94" i="18"/>
  <c r="C94" i="18" s="1"/>
  <c r="A94" i="18"/>
  <c r="R93" i="18"/>
  <c r="Q93" i="18"/>
  <c r="P93" i="18"/>
  <c r="M93" i="18"/>
  <c r="G93" i="18"/>
  <c r="F93" i="18"/>
  <c r="B93" i="18"/>
  <c r="C93" i="18" s="1"/>
  <c r="A93" i="18"/>
  <c r="R92" i="18"/>
  <c r="Q92" i="18"/>
  <c r="P92" i="18"/>
  <c r="M92" i="18"/>
  <c r="G92" i="18"/>
  <c r="F92" i="18"/>
  <c r="B92" i="18"/>
  <c r="A92" i="18"/>
  <c r="R91" i="18"/>
  <c r="Q91" i="18"/>
  <c r="P91" i="18"/>
  <c r="M91" i="18"/>
  <c r="G91" i="18"/>
  <c r="F91" i="18"/>
  <c r="C91" i="18"/>
  <c r="B91" i="18"/>
  <c r="A91" i="18"/>
  <c r="R90" i="18"/>
  <c r="Q90" i="18"/>
  <c r="P90" i="18"/>
  <c r="M90" i="18"/>
  <c r="G90" i="18"/>
  <c r="F90" i="18"/>
  <c r="B90" i="18"/>
  <c r="A90" i="18"/>
  <c r="R89" i="18"/>
  <c r="Q89" i="18"/>
  <c r="P89" i="18"/>
  <c r="M89" i="18"/>
  <c r="G89" i="18"/>
  <c r="F89" i="18"/>
  <c r="B89" i="18"/>
  <c r="A89" i="18"/>
  <c r="R88" i="18"/>
  <c r="Q88" i="18"/>
  <c r="P88" i="18"/>
  <c r="M88" i="18"/>
  <c r="G88" i="18"/>
  <c r="F88" i="18"/>
  <c r="B88" i="18"/>
  <c r="A88" i="18"/>
  <c r="R87" i="18"/>
  <c r="Q87" i="18"/>
  <c r="P87" i="18"/>
  <c r="M87" i="18"/>
  <c r="G87" i="18"/>
  <c r="F87" i="18"/>
  <c r="C87" i="18"/>
  <c r="B87" i="18"/>
  <c r="A87" i="18"/>
  <c r="R86" i="18"/>
  <c r="Q86" i="18"/>
  <c r="P86" i="18"/>
  <c r="M86" i="18"/>
  <c r="G86" i="18"/>
  <c r="F86" i="18"/>
  <c r="B86" i="18"/>
  <c r="A86" i="18"/>
  <c r="R85" i="18"/>
  <c r="Q85" i="18"/>
  <c r="P85" i="18"/>
  <c r="M85" i="18"/>
  <c r="G85" i="18"/>
  <c r="F85" i="18"/>
  <c r="B85" i="18"/>
  <c r="A85" i="18"/>
  <c r="R84" i="18"/>
  <c r="Q84" i="18"/>
  <c r="P84" i="18"/>
  <c r="M84" i="18"/>
  <c r="G84" i="18"/>
  <c r="F84" i="18"/>
  <c r="B84" i="18"/>
  <c r="A84" i="18"/>
  <c r="R83" i="18"/>
  <c r="Q83" i="18"/>
  <c r="P83" i="18"/>
  <c r="M83" i="18"/>
  <c r="G83" i="18"/>
  <c r="F83" i="18"/>
  <c r="B83" i="18"/>
  <c r="A83" i="18"/>
  <c r="R82" i="18"/>
  <c r="Q82" i="18"/>
  <c r="P82" i="18"/>
  <c r="M82" i="18"/>
  <c r="B82" i="18"/>
  <c r="A82" i="18"/>
  <c r="R81" i="18"/>
  <c r="Q81" i="18"/>
  <c r="P81" i="18"/>
  <c r="M81" i="18"/>
  <c r="B81" i="18"/>
  <c r="C81" i="18" s="1"/>
  <c r="A81" i="18"/>
  <c r="R80" i="18"/>
  <c r="Q80" i="18"/>
  <c r="P80" i="18"/>
  <c r="M80" i="18"/>
  <c r="B80" i="18"/>
  <c r="A80" i="18"/>
  <c r="R79" i="18"/>
  <c r="Q79" i="18"/>
  <c r="P79" i="18"/>
  <c r="M79" i="18"/>
  <c r="B79" i="18"/>
  <c r="A79" i="18"/>
  <c r="R78" i="18"/>
  <c r="Q78" i="18"/>
  <c r="P78" i="18"/>
  <c r="M78" i="18"/>
  <c r="B78" i="18"/>
  <c r="C78" i="18" s="1"/>
  <c r="A78" i="18"/>
  <c r="R77" i="18"/>
  <c r="Q77" i="18"/>
  <c r="P77" i="18"/>
  <c r="M77" i="18"/>
  <c r="B77" i="18"/>
  <c r="A77" i="18"/>
  <c r="R76" i="18"/>
  <c r="Q76" i="18"/>
  <c r="P76" i="18"/>
  <c r="M76" i="18"/>
  <c r="B76" i="18"/>
  <c r="A76" i="18"/>
  <c r="R75" i="18"/>
  <c r="Q75" i="18"/>
  <c r="P75" i="18"/>
  <c r="M75" i="18"/>
  <c r="B75" i="18"/>
  <c r="A75" i="18"/>
  <c r="R74" i="18"/>
  <c r="Q74" i="18"/>
  <c r="P74" i="18"/>
  <c r="M74" i="18"/>
  <c r="B74" i="18"/>
  <c r="A74" i="18"/>
  <c r="R73" i="18"/>
  <c r="Q73" i="18"/>
  <c r="P73" i="18"/>
  <c r="M73" i="18"/>
  <c r="B73" i="18"/>
  <c r="C73" i="18" s="1"/>
  <c r="A73" i="18"/>
  <c r="R72" i="18"/>
  <c r="Q72" i="18"/>
  <c r="P72" i="18"/>
  <c r="M72" i="18"/>
  <c r="B72" i="18"/>
  <c r="A72" i="18"/>
  <c r="R71" i="18"/>
  <c r="Q71" i="18"/>
  <c r="P71" i="18"/>
  <c r="M71" i="18"/>
  <c r="B71" i="18"/>
  <c r="A71" i="18"/>
  <c r="R70" i="18"/>
  <c r="Q70" i="18"/>
  <c r="P70" i="18"/>
  <c r="M70" i="18"/>
  <c r="B70" i="18"/>
  <c r="C70" i="18" s="1"/>
  <c r="A70" i="18"/>
  <c r="R69" i="18"/>
  <c r="Q69" i="18"/>
  <c r="P69" i="18"/>
  <c r="M69" i="18"/>
  <c r="B69" i="18"/>
  <c r="A69" i="18"/>
  <c r="R68" i="18"/>
  <c r="Q68" i="18"/>
  <c r="P68" i="18"/>
  <c r="M68" i="18"/>
  <c r="B68" i="18"/>
  <c r="A68" i="18"/>
  <c r="R67" i="18"/>
  <c r="Q67" i="18"/>
  <c r="P67" i="18"/>
  <c r="M67" i="18"/>
  <c r="B67" i="18"/>
  <c r="A67" i="18"/>
  <c r="R66" i="18"/>
  <c r="Q66" i="18"/>
  <c r="P66" i="18"/>
  <c r="M66" i="18"/>
  <c r="G66" i="18"/>
  <c r="F66" i="18"/>
  <c r="B66" i="18"/>
  <c r="C66" i="18" s="1"/>
  <c r="A66" i="18"/>
  <c r="R65" i="18"/>
  <c r="Q65" i="18"/>
  <c r="P65" i="18"/>
  <c r="M65" i="18"/>
  <c r="G65" i="18"/>
  <c r="F65" i="18"/>
  <c r="C65" i="18"/>
  <c r="B65" i="18"/>
  <c r="A65" i="18"/>
  <c r="R64" i="18"/>
  <c r="Q64" i="18"/>
  <c r="P64" i="18"/>
  <c r="M64" i="18"/>
  <c r="G64" i="18"/>
  <c r="F64" i="18"/>
  <c r="B64" i="18"/>
  <c r="A64" i="18"/>
  <c r="R63" i="18"/>
  <c r="Q63" i="18"/>
  <c r="P63" i="18"/>
  <c r="M63" i="18"/>
  <c r="G63" i="18"/>
  <c r="F63" i="18"/>
  <c r="C63" i="18"/>
  <c r="B63" i="18"/>
  <c r="C64" i="18" s="1"/>
  <c r="A63" i="18"/>
  <c r="R62" i="18"/>
  <c r="Q62" i="18"/>
  <c r="P62" i="18"/>
  <c r="M62" i="18"/>
  <c r="G62" i="18"/>
  <c r="F62" i="18"/>
  <c r="B62" i="18"/>
  <c r="A62" i="18"/>
  <c r="R61" i="18"/>
  <c r="Q61" i="18"/>
  <c r="P61" i="18"/>
  <c r="M61" i="18"/>
  <c r="G61" i="18"/>
  <c r="F61" i="18"/>
  <c r="B61" i="18"/>
  <c r="A61" i="18"/>
  <c r="R60" i="18"/>
  <c r="Q60" i="18"/>
  <c r="P60" i="18"/>
  <c r="M60" i="18"/>
  <c r="G60" i="18"/>
  <c r="F60" i="18"/>
  <c r="B60" i="18"/>
  <c r="A60" i="18"/>
  <c r="R59" i="18"/>
  <c r="Q59" i="18"/>
  <c r="P59" i="18"/>
  <c r="M59" i="18"/>
  <c r="G59" i="18"/>
  <c r="F59" i="18"/>
  <c r="B59" i="18"/>
  <c r="A59" i="18"/>
  <c r="R58" i="18"/>
  <c r="Q58" i="18"/>
  <c r="P58" i="18"/>
  <c r="M58" i="18"/>
  <c r="G58" i="18"/>
  <c r="F58" i="18"/>
  <c r="B58" i="18"/>
  <c r="A58" i="18"/>
  <c r="R57" i="18"/>
  <c r="Q57" i="18"/>
  <c r="P57" i="18"/>
  <c r="M57" i="18"/>
  <c r="G57" i="18"/>
  <c r="F57" i="18"/>
  <c r="C57" i="18"/>
  <c r="B57" i="18"/>
  <c r="A57" i="18"/>
  <c r="R56" i="18"/>
  <c r="Q56" i="18"/>
  <c r="P56" i="18"/>
  <c r="M56" i="18"/>
  <c r="G56" i="18"/>
  <c r="F56" i="18"/>
  <c r="B56" i="18"/>
  <c r="A56" i="18"/>
  <c r="R55" i="18"/>
  <c r="Q55" i="18"/>
  <c r="P55" i="18"/>
  <c r="M55" i="18"/>
  <c r="G55" i="18"/>
  <c r="F55" i="18"/>
  <c r="B55" i="18"/>
  <c r="A55" i="18"/>
  <c r="R54" i="18"/>
  <c r="Q54" i="18"/>
  <c r="P54" i="18"/>
  <c r="M54" i="18"/>
  <c r="G54" i="18"/>
  <c r="F54" i="18"/>
  <c r="B54" i="18"/>
  <c r="A54" i="18"/>
  <c r="R53" i="18"/>
  <c r="Q53" i="18"/>
  <c r="P53" i="18"/>
  <c r="M53" i="18"/>
  <c r="G53" i="18"/>
  <c r="F53" i="18"/>
  <c r="B53" i="18"/>
  <c r="A53" i="18"/>
  <c r="R52" i="18"/>
  <c r="Q52" i="18"/>
  <c r="P52" i="18"/>
  <c r="M52" i="18"/>
  <c r="G52" i="18"/>
  <c r="F52" i="18"/>
  <c r="B52" i="18"/>
  <c r="A52" i="18"/>
  <c r="R51" i="18"/>
  <c r="Q51" i="18"/>
  <c r="P51" i="18"/>
  <c r="M51" i="18"/>
  <c r="G51" i="18"/>
  <c r="F51" i="18"/>
  <c r="B51" i="18"/>
  <c r="A51" i="18"/>
  <c r="R50" i="18"/>
  <c r="Q50" i="18"/>
  <c r="P50" i="18"/>
  <c r="M50" i="18"/>
  <c r="G50" i="18"/>
  <c r="F50" i="18"/>
  <c r="B50" i="18"/>
  <c r="A50" i="18"/>
  <c r="R49" i="18"/>
  <c r="Q49" i="18"/>
  <c r="P49" i="18"/>
  <c r="M49" i="18"/>
  <c r="G49" i="18"/>
  <c r="F49" i="18"/>
  <c r="C49" i="18"/>
  <c r="B49" i="18"/>
  <c r="A49" i="18"/>
  <c r="R48" i="18"/>
  <c r="Q48" i="18"/>
  <c r="P48" i="18"/>
  <c r="M48" i="18"/>
  <c r="G48" i="18"/>
  <c r="F48" i="18"/>
  <c r="B48" i="18"/>
  <c r="A48" i="18"/>
  <c r="R47" i="18"/>
  <c r="Q47" i="18"/>
  <c r="P47" i="18"/>
  <c r="M47" i="18"/>
  <c r="G47" i="18"/>
  <c r="F47" i="18"/>
  <c r="B47" i="18"/>
  <c r="C48" i="18" s="1"/>
  <c r="A47" i="18"/>
  <c r="R46" i="18"/>
  <c r="Q46" i="18"/>
  <c r="P46" i="18"/>
  <c r="M46" i="18"/>
  <c r="G46" i="18"/>
  <c r="F46" i="18"/>
  <c r="B46" i="18"/>
  <c r="A46" i="18"/>
  <c r="R45" i="18"/>
  <c r="Q45" i="18"/>
  <c r="P45" i="18"/>
  <c r="M45" i="18"/>
  <c r="B45" i="18"/>
  <c r="A45" i="18"/>
  <c r="R44" i="18"/>
  <c r="Q44" i="18"/>
  <c r="P44" i="18"/>
  <c r="M44" i="18"/>
  <c r="B44" i="18"/>
  <c r="A44" i="18"/>
  <c r="R43" i="18"/>
  <c r="Q43" i="18"/>
  <c r="P43" i="18"/>
  <c r="M43" i="18"/>
  <c r="B43" i="18"/>
  <c r="A43" i="18"/>
  <c r="R42" i="18"/>
  <c r="Q42" i="18"/>
  <c r="P42" i="18"/>
  <c r="M42" i="18"/>
  <c r="B42" i="18"/>
  <c r="A42" i="18"/>
  <c r="R41" i="18"/>
  <c r="Q41" i="18"/>
  <c r="P41" i="18"/>
  <c r="M41" i="18"/>
  <c r="B41" i="18"/>
  <c r="A41" i="18"/>
  <c r="R40" i="18"/>
  <c r="Q40" i="18"/>
  <c r="P40" i="18"/>
  <c r="M40" i="18"/>
  <c r="B40" i="18"/>
  <c r="A40" i="18"/>
  <c r="R39" i="18"/>
  <c r="Q39" i="18"/>
  <c r="P39" i="18"/>
  <c r="M39" i="18"/>
  <c r="B39" i="18"/>
  <c r="C39" i="18" s="1"/>
  <c r="A39" i="18"/>
  <c r="R38" i="18"/>
  <c r="Q38" i="18"/>
  <c r="P38" i="18"/>
  <c r="M38" i="18"/>
  <c r="B38" i="18"/>
  <c r="A38" i="18"/>
  <c r="R37" i="18"/>
  <c r="Q37" i="18"/>
  <c r="P37" i="18"/>
  <c r="M37" i="18"/>
  <c r="C37" i="18"/>
  <c r="B37" i="18"/>
  <c r="A37" i="18"/>
  <c r="R36" i="18"/>
  <c r="Q36" i="18"/>
  <c r="P36" i="18"/>
  <c r="M36" i="18"/>
  <c r="C36" i="18"/>
  <c r="B36" i="18"/>
  <c r="A36" i="18"/>
  <c r="R35" i="18"/>
  <c r="Q35" i="18"/>
  <c r="P35" i="18"/>
  <c r="M35" i="18"/>
  <c r="C35" i="18"/>
  <c r="B35" i="18"/>
  <c r="A35" i="18"/>
  <c r="R34" i="18"/>
  <c r="Q34" i="18"/>
  <c r="P34" i="18"/>
  <c r="M34" i="18"/>
  <c r="C34" i="18"/>
  <c r="B34" i="18"/>
  <c r="A34" i="18"/>
  <c r="R33" i="18"/>
  <c r="Q33" i="18"/>
  <c r="P33" i="18"/>
  <c r="M33" i="18"/>
  <c r="C33" i="18"/>
  <c r="B33" i="18"/>
  <c r="A33" i="18"/>
  <c r="R32" i="18"/>
  <c r="Q32" i="18"/>
  <c r="P32" i="18"/>
  <c r="M32" i="18"/>
  <c r="B32" i="18"/>
  <c r="A32" i="18"/>
  <c r="R31" i="18"/>
  <c r="Q31" i="18"/>
  <c r="P31" i="18"/>
  <c r="M31" i="18"/>
  <c r="G31" i="18"/>
  <c r="F31" i="18"/>
  <c r="B31" i="18"/>
  <c r="A31" i="18"/>
  <c r="R30" i="18"/>
  <c r="Q30" i="18"/>
  <c r="P30" i="18"/>
  <c r="M30" i="18"/>
  <c r="G30" i="18"/>
  <c r="F30" i="18"/>
  <c r="C30" i="18"/>
  <c r="B30" i="18"/>
  <c r="A30" i="18"/>
  <c r="R29" i="18"/>
  <c r="Q29" i="18"/>
  <c r="P29" i="18"/>
  <c r="M29" i="18"/>
  <c r="G29" i="18"/>
  <c r="F29" i="18"/>
  <c r="B29" i="18"/>
  <c r="C29" i="18" s="1"/>
  <c r="A29" i="18"/>
  <c r="R28" i="18"/>
  <c r="Q28" i="18"/>
  <c r="P28" i="18"/>
  <c r="M28" i="18"/>
  <c r="B28" i="18"/>
  <c r="A28" i="18"/>
  <c r="R27" i="18"/>
  <c r="Q27" i="18"/>
  <c r="P27" i="18"/>
  <c r="M27" i="18"/>
  <c r="B27" i="18"/>
  <c r="A27" i="18"/>
  <c r="R26" i="18"/>
  <c r="Q26" i="18"/>
  <c r="P26" i="18"/>
  <c r="M26" i="18"/>
  <c r="B26" i="18"/>
  <c r="C26" i="18" s="1"/>
  <c r="A26" i="18"/>
  <c r="R25" i="18"/>
  <c r="Q25" i="18"/>
  <c r="P25" i="18"/>
  <c r="M25" i="18"/>
  <c r="G25" i="18"/>
  <c r="F25" i="18"/>
  <c r="C25" i="18"/>
  <c r="B25" i="18"/>
  <c r="A25" i="18"/>
  <c r="R24" i="18"/>
  <c r="Q24" i="18"/>
  <c r="P24" i="18"/>
  <c r="M24" i="18"/>
  <c r="G24" i="18"/>
  <c r="F24" i="18"/>
  <c r="B24" i="18"/>
  <c r="A24" i="18"/>
  <c r="R23" i="18"/>
  <c r="Q23" i="18"/>
  <c r="P23" i="18"/>
  <c r="M23" i="18"/>
  <c r="G23" i="18"/>
  <c r="F23" i="18"/>
  <c r="C23" i="18"/>
  <c r="B23" i="18"/>
  <c r="A23" i="18"/>
  <c r="R22" i="18"/>
  <c r="Q22" i="18"/>
  <c r="P22" i="18"/>
  <c r="M22" i="18"/>
  <c r="G22" i="18"/>
  <c r="F22" i="18"/>
  <c r="B22" i="18"/>
  <c r="C22" i="18" s="1"/>
  <c r="A22" i="18"/>
  <c r="R21" i="18"/>
  <c r="Q21" i="18"/>
  <c r="P21" i="18"/>
  <c r="M21" i="18"/>
  <c r="G21" i="18"/>
  <c r="F21" i="18"/>
  <c r="B21" i="18"/>
  <c r="A21" i="18"/>
  <c r="R20" i="18"/>
  <c r="Q20" i="18"/>
  <c r="P20" i="18"/>
  <c r="M20" i="18"/>
  <c r="G20" i="18"/>
  <c r="F20" i="18"/>
  <c r="B20" i="18"/>
  <c r="A20" i="18"/>
  <c r="R19" i="18"/>
  <c r="Q19" i="18"/>
  <c r="P19" i="18"/>
  <c r="M19" i="18"/>
  <c r="G19" i="18"/>
  <c r="F19" i="18"/>
  <c r="B19" i="18"/>
  <c r="A19" i="18"/>
  <c r="R18" i="18"/>
  <c r="Q18" i="18"/>
  <c r="P18" i="18"/>
  <c r="M18" i="18"/>
  <c r="G18" i="18"/>
  <c r="F18" i="18"/>
  <c r="B18" i="18"/>
  <c r="A18" i="18"/>
  <c r="R17" i="18"/>
  <c r="Q17" i="18"/>
  <c r="P17" i="18"/>
  <c r="M17" i="18"/>
  <c r="G17" i="18"/>
  <c r="F17" i="18"/>
  <c r="C17" i="18"/>
  <c r="B17" i="18"/>
  <c r="A17" i="18"/>
  <c r="R16" i="18"/>
  <c r="Q16" i="18"/>
  <c r="P16" i="18"/>
  <c r="M16" i="18"/>
  <c r="G16" i="18"/>
  <c r="F16" i="18"/>
  <c r="C16" i="18"/>
  <c r="B16" i="18"/>
  <c r="A16" i="18"/>
  <c r="R15" i="18"/>
  <c r="Q15" i="18"/>
  <c r="P15" i="18"/>
  <c r="M15" i="18"/>
  <c r="G15" i="18"/>
  <c r="F15" i="18"/>
  <c r="C15" i="18"/>
  <c r="B15" i="18"/>
  <c r="A15" i="18"/>
  <c r="R14" i="18"/>
  <c r="Q14" i="18"/>
  <c r="P14" i="18"/>
  <c r="M14" i="18"/>
  <c r="G14" i="18"/>
  <c r="F14" i="18"/>
  <c r="B14" i="18"/>
  <c r="C14" i="18" s="1"/>
  <c r="A14" i="18"/>
  <c r="R13" i="18"/>
  <c r="Q13" i="18"/>
  <c r="P13" i="18"/>
  <c r="M13" i="18"/>
  <c r="G13" i="18"/>
  <c r="F13" i="18"/>
  <c r="B13" i="18"/>
  <c r="A13" i="18"/>
  <c r="R12" i="18"/>
  <c r="Q12" i="18"/>
  <c r="P12" i="18"/>
  <c r="M12" i="18"/>
  <c r="G12" i="18"/>
  <c r="F12" i="18"/>
  <c r="C12" i="18"/>
  <c r="B12" i="18"/>
  <c r="A12" i="18"/>
  <c r="R11" i="18"/>
  <c r="Q11" i="18"/>
  <c r="P11" i="18"/>
  <c r="M11" i="18"/>
  <c r="G11" i="18"/>
  <c r="F11" i="18"/>
  <c r="B11" i="18"/>
  <c r="A11" i="18"/>
  <c r="R10" i="18"/>
  <c r="Q10" i="18"/>
  <c r="P10" i="18"/>
  <c r="M10" i="18"/>
  <c r="G10" i="18"/>
  <c r="F10" i="18"/>
  <c r="B10" i="18"/>
  <c r="C10" i="18" s="1"/>
  <c r="A10" i="18"/>
  <c r="R9" i="18"/>
  <c r="Q9" i="18"/>
  <c r="P9" i="18"/>
  <c r="M9" i="18"/>
  <c r="G9" i="18"/>
  <c r="F9" i="18"/>
  <c r="C9" i="18"/>
  <c r="B9" i="18"/>
  <c r="A9" i="18"/>
  <c r="R8" i="18"/>
  <c r="Q8" i="18"/>
  <c r="P8" i="18"/>
  <c r="M8" i="18"/>
  <c r="G8" i="18"/>
  <c r="F8" i="18"/>
  <c r="B8" i="18"/>
  <c r="A8" i="18"/>
  <c r="R7" i="18"/>
  <c r="Q7" i="18"/>
  <c r="P7" i="18"/>
  <c r="M7" i="18"/>
  <c r="G7" i="18"/>
  <c r="F7" i="18"/>
  <c r="C7" i="18"/>
  <c r="B7" i="18"/>
  <c r="A7" i="18"/>
  <c r="R6" i="18"/>
  <c r="Q6" i="18"/>
  <c r="P6" i="18"/>
  <c r="M6" i="18"/>
  <c r="G6" i="18"/>
  <c r="F6" i="18"/>
  <c r="B6" i="18"/>
  <c r="C6" i="18" s="1"/>
  <c r="A6" i="18"/>
  <c r="R5" i="18"/>
  <c r="Q5" i="18"/>
  <c r="P5" i="18"/>
  <c r="M5" i="18"/>
  <c r="G5" i="18"/>
  <c r="F5" i="18"/>
  <c r="C5" i="18"/>
  <c r="B5" i="18"/>
  <c r="A5" i="18"/>
  <c r="R4" i="18"/>
  <c r="Q4" i="18"/>
  <c r="P4" i="18"/>
  <c r="M4" i="18"/>
  <c r="G4" i="18"/>
  <c r="F4" i="18"/>
  <c r="B4" i="18"/>
  <c r="A4" i="18"/>
  <c r="R3" i="18"/>
  <c r="Q3" i="18"/>
  <c r="P3" i="18"/>
  <c r="M3" i="18"/>
  <c r="G3" i="18"/>
  <c r="F3" i="18"/>
  <c r="C3" i="18"/>
  <c r="B3" i="18"/>
  <c r="A3" i="18"/>
  <c r="R2" i="18"/>
  <c r="Q2" i="18"/>
  <c r="P2" i="18"/>
  <c r="M2" i="18"/>
  <c r="G2" i="18"/>
  <c r="F2" i="18"/>
  <c r="B2" i="18"/>
  <c r="A2" i="18"/>
  <c r="R499" i="17"/>
  <c r="Q499" i="17"/>
  <c r="P499" i="17"/>
  <c r="M499" i="17"/>
  <c r="G499" i="17"/>
  <c r="F499" i="17"/>
  <c r="C499" i="17"/>
  <c r="B499" i="17"/>
  <c r="A499" i="17"/>
  <c r="R498" i="17"/>
  <c r="Q498" i="17"/>
  <c r="P498" i="17"/>
  <c r="M498" i="17"/>
  <c r="G498" i="17"/>
  <c r="F498" i="17"/>
  <c r="C498" i="17"/>
  <c r="B498" i="17"/>
  <c r="A498" i="17"/>
  <c r="R497" i="17"/>
  <c r="Q497" i="17"/>
  <c r="P497" i="17"/>
  <c r="M497" i="17"/>
  <c r="G497" i="17"/>
  <c r="F497" i="17"/>
  <c r="C497" i="17"/>
  <c r="B497" i="17"/>
  <c r="A497" i="17"/>
  <c r="R496" i="17"/>
  <c r="Q496" i="17"/>
  <c r="P496" i="17"/>
  <c r="M496" i="17"/>
  <c r="G496" i="17"/>
  <c r="F496" i="17"/>
  <c r="B496" i="17"/>
  <c r="C496" i="17" s="1"/>
  <c r="A496" i="17"/>
  <c r="R495" i="17"/>
  <c r="Q495" i="17"/>
  <c r="P495" i="17"/>
  <c r="M495" i="17"/>
  <c r="G495" i="17"/>
  <c r="F495" i="17"/>
  <c r="B495" i="17"/>
  <c r="A495" i="17"/>
  <c r="R494" i="17"/>
  <c r="Q494" i="17"/>
  <c r="P494" i="17"/>
  <c r="M494" i="17"/>
  <c r="G494" i="17"/>
  <c r="F494" i="17"/>
  <c r="C494" i="17"/>
  <c r="B494" i="17"/>
  <c r="A494" i="17"/>
  <c r="R493" i="17"/>
  <c r="Q493" i="17"/>
  <c r="P493" i="17"/>
  <c r="M493" i="17"/>
  <c r="G493" i="17"/>
  <c r="F493" i="17"/>
  <c r="B493" i="17"/>
  <c r="A493" i="17"/>
  <c r="R492" i="17"/>
  <c r="Q492" i="17"/>
  <c r="P492" i="17"/>
  <c r="M492" i="17"/>
  <c r="G492" i="17"/>
  <c r="F492" i="17"/>
  <c r="B492" i="17"/>
  <c r="C492" i="17" s="1"/>
  <c r="A492" i="17"/>
  <c r="R491" i="17"/>
  <c r="Q491" i="17"/>
  <c r="P491" i="17"/>
  <c r="M491" i="17"/>
  <c r="G491" i="17"/>
  <c r="F491" i="17"/>
  <c r="C491" i="17"/>
  <c r="B491" i="17"/>
  <c r="A491" i="17"/>
  <c r="R490" i="17"/>
  <c r="Q490" i="17"/>
  <c r="P490" i="17"/>
  <c r="M490" i="17"/>
  <c r="G490" i="17"/>
  <c r="F490" i="17"/>
  <c r="B490" i="17"/>
  <c r="A490" i="17"/>
  <c r="R489" i="17"/>
  <c r="Q489" i="17"/>
  <c r="P489" i="17"/>
  <c r="M489" i="17"/>
  <c r="G489" i="17"/>
  <c r="F489" i="17"/>
  <c r="C489" i="17"/>
  <c r="B489" i="17"/>
  <c r="A489" i="17"/>
  <c r="R488" i="17"/>
  <c r="Q488" i="17"/>
  <c r="P488" i="17"/>
  <c r="M488" i="17"/>
  <c r="G488" i="17"/>
  <c r="F488" i="17"/>
  <c r="B488" i="17"/>
  <c r="C488" i="17" s="1"/>
  <c r="A488" i="17"/>
  <c r="R487" i="17"/>
  <c r="Q487" i="17"/>
  <c r="P487" i="17"/>
  <c r="M487" i="17"/>
  <c r="G487" i="17"/>
  <c r="F487" i="17"/>
  <c r="B487" i="17"/>
  <c r="A487" i="17"/>
  <c r="R486" i="17"/>
  <c r="Q486" i="17"/>
  <c r="P486" i="17"/>
  <c r="M486" i="17"/>
  <c r="G486" i="17"/>
  <c r="F486" i="17"/>
  <c r="B486" i="17"/>
  <c r="A486" i="17"/>
  <c r="R485" i="17"/>
  <c r="Q485" i="17"/>
  <c r="P485" i="17"/>
  <c r="M485" i="17"/>
  <c r="G485" i="17"/>
  <c r="F485" i="17"/>
  <c r="B485" i="17"/>
  <c r="A485" i="17"/>
  <c r="R484" i="17"/>
  <c r="Q484" i="17"/>
  <c r="P484" i="17"/>
  <c r="M484" i="17"/>
  <c r="G484" i="17"/>
  <c r="F484" i="17"/>
  <c r="B484" i="17"/>
  <c r="A484" i="17"/>
  <c r="R483" i="17"/>
  <c r="Q483" i="17"/>
  <c r="P483" i="17"/>
  <c r="M483" i="17"/>
  <c r="G483" i="17"/>
  <c r="F483" i="17"/>
  <c r="C483" i="17"/>
  <c r="B483" i="17"/>
  <c r="A483" i="17"/>
  <c r="R482" i="17"/>
  <c r="Q482" i="17"/>
  <c r="P482" i="17"/>
  <c r="M482" i="17"/>
  <c r="G482" i="17"/>
  <c r="F482" i="17"/>
  <c r="C482" i="17"/>
  <c r="B482" i="17"/>
  <c r="A482" i="17"/>
  <c r="R481" i="17"/>
  <c r="Q481" i="17"/>
  <c r="P481" i="17"/>
  <c r="M481" i="17"/>
  <c r="G481" i="17"/>
  <c r="F481" i="17"/>
  <c r="C481" i="17"/>
  <c r="B481" i="17"/>
  <c r="A481" i="17"/>
  <c r="R480" i="17"/>
  <c r="Q480" i="17"/>
  <c r="P480" i="17"/>
  <c r="M480" i="17"/>
  <c r="G480" i="17"/>
  <c r="F480" i="17"/>
  <c r="B480" i="17"/>
  <c r="A480" i="17"/>
  <c r="R479" i="17"/>
  <c r="Q479" i="17"/>
  <c r="P479" i="17"/>
  <c r="M479" i="17"/>
  <c r="G479" i="17"/>
  <c r="F479" i="17"/>
  <c r="B479" i="17"/>
  <c r="A479" i="17"/>
  <c r="R478" i="17"/>
  <c r="Q478" i="17"/>
  <c r="P478" i="17"/>
  <c r="M478" i="17"/>
  <c r="G478" i="17"/>
  <c r="F478" i="17"/>
  <c r="B478" i="17"/>
  <c r="A478" i="17"/>
  <c r="R477" i="17"/>
  <c r="Q477" i="17"/>
  <c r="P477" i="17"/>
  <c r="M477" i="17"/>
  <c r="G477" i="17"/>
  <c r="F477" i="17"/>
  <c r="B477" i="17"/>
  <c r="A477" i="17"/>
  <c r="R476" i="17"/>
  <c r="Q476" i="17"/>
  <c r="P476" i="17"/>
  <c r="M476" i="17"/>
  <c r="G476" i="17"/>
  <c r="F476" i="17"/>
  <c r="B476" i="17"/>
  <c r="C476" i="17" s="1"/>
  <c r="A476" i="17"/>
  <c r="R475" i="17"/>
  <c r="Q475" i="17"/>
  <c r="P475" i="17"/>
  <c r="M475" i="17"/>
  <c r="G475" i="17"/>
  <c r="F475" i="17"/>
  <c r="C475" i="17"/>
  <c r="B475" i="17"/>
  <c r="A475" i="17"/>
  <c r="R474" i="17"/>
  <c r="Q474" i="17"/>
  <c r="P474" i="17"/>
  <c r="M474" i="17"/>
  <c r="G474" i="17"/>
  <c r="F474" i="17"/>
  <c r="B474" i="17"/>
  <c r="A474" i="17"/>
  <c r="R473" i="17"/>
  <c r="Q473" i="17"/>
  <c r="P473" i="17"/>
  <c r="M473" i="17"/>
  <c r="G473" i="17"/>
  <c r="F473" i="17"/>
  <c r="C473" i="17"/>
  <c r="B473" i="17"/>
  <c r="A473" i="17"/>
  <c r="R472" i="17"/>
  <c r="Q472" i="17"/>
  <c r="P472" i="17"/>
  <c r="M472" i="17"/>
  <c r="G472" i="17"/>
  <c r="F472" i="17"/>
  <c r="B472" i="17"/>
  <c r="A472" i="17"/>
  <c r="R471" i="17"/>
  <c r="Q471" i="17"/>
  <c r="P471" i="17"/>
  <c r="M471" i="17"/>
  <c r="G471" i="17"/>
  <c r="F471" i="17"/>
  <c r="B471" i="17"/>
  <c r="A471" i="17"/>
  <c r="R470" i="17"/>
  <c r="Q470" i="17"/>
  <c r="P470" i="17"/>
  <c r="M470" i="17"/>
  <c r="G470" i="17"/>
  <c r="F470" i="17"/>
  <c r="B470" i="17"/>
  <c r="A470" i="17"/>
  <c r="R469" i="17"/>
  <c r="Q469" i="17"/>
  <c r="P469" i="17"/>
  <c r="M469" i="17"/>
  <c r="G469" i="17"/>
  <c r="F469" i="17"/>
  <c r="B469" i="17"/>
  <c r="A469" i="17"/>
  <c r="R468" i="17"/>
  <c r="Q468" i="17"/>
  <c r="P468" i="17"/>
  <c r="M468" i="17"/>
  <c r="G468" i="17"/>
  <c r="F468" i="17"/>
  <c r="B468" i="17"/>
  <c r="A468" i="17"/>
  <c r="R467" i="17"/>
  <c r="Q467" i="17"/>
  <c r="P467" i="17"/>
  <c r="M467" i="17"/>
  <c r="G467" i="17"/>
  <c r="F467" i="17"/>
  <c r="C467" i="17"/>
  <c r="B467" i="17"/>
  <c r="A467" i="17"/>
  <c r="R466" i="17"/>
  <c r="Q466" i="17"/>
  <c r="P466" i="17"/>
  <c r="M466" i="17"/>
  <c r="G466" i="17"/>
  <c r="F466" i="17"/>
  <c r="B466" i="17"/>
  <c r="A466" i="17"/>
  <c r="R465" i="17"/>
  <c r="Q465" i="17"/>
  <c r="P465" i="17"/>
  <c r="M465" i="17"/>
  <c r="G465" i="17"/>
  <c r="F465" i="17"/>
  <c r="B465" i="17"/>
  <c r="A465" i="17"/>
  <c r="R464" i="17"/>
  <c r="Q464" i="17"/>
  <c r="P464" i="17"/>
  <c r="M464" i="17"/>
  <c r="G464" i="17"/>
  <c r="F464" i="17"/>
  <c r="B464" i="17"/>
  <c r="A464" i="17"/>
  <c r="R463" i="17"/>
  <c r="Q463" i="17"/>
  <c r="P463" i="17"/>
  <c r="M463" i="17"/>
  <c r="G463" i="17"/>
  <c r="F463" i="17"/>
  <c r="B463" i="17"/>
  <c r="A463" i="17"/>
  <c r="R462" i="17"/>
  <c r="Q462" i="17"/>
  <c r="P462" i="17"/>
  <c r="M462" i="17"/>
  <c r="G462" i="17"/>
  <c r="F462" i="17"/>
  <c r="B462" i="17"/>
  <c r="A462" i="17"/>
  <c r="R461" i="17"/>
  <c r="Q461" i="17"/>
  <c r="P461" i="17"/>
  <c r="M461" i="17"/>
  <c r="G461" i="17"/>
  <c r="F461" i="17"/>
  <c r="B461" i="17"/>
  <c r="A461" i="17"/>
  <c r="R460" i="17"/>
  <c r="Q460" i="17"/>
  <c r="P460" i="17"/>
  <c r="M460" i="17"/>
  <c r="G460" i="17"/>
  <c r="F460" i="17"/>
  <c r="B460" i="17"/>
  <c r="C460" i="17" s="1"/>
  <c r="A460" i="17"/>
  <c r="R459" i="17"/>
  <c r="Q459" i="17"/>
  <c r="P459" i="17"/>
  <c r="M459" i="17"/>
  <c r="G459" i="17"/>
  <c r="F459" i="17"/>
  <c r="C459" i="17"/>
  <c r="B459" i="17"/>
  <c r="A459" i="17"/>
  <c r="R458" i="17"/>
  <c r="Q458" i="17"/>
  <c r="P458" i="17"/>
  <c r="M458" i="17"/>
  <c r="G458" i="17"/>
  <c r="F458" i="17"/>
  <c r="B458" i="17"/>
  <c r="A458" i="17"/>
  <c r="R457" i="17"/>
  <c r="Q457" i="17"/>
  <c r="P457" i="17"/>
  <c r="M457" i="17"/>
  <c r="G457" i="17"/>
  <c r="F457" i="17"/>
  <c r="B457" i="17"/>
  <c r="A457" i="17"/>
  <c r="R456" i="17"/>
  <c r="Q456" i="17"/>
  <c r="P456" i="17"/>
  <c r="M456" i="17"/>
  <c r="G456" i="17"/>
  <c r="F456" i="17"/>
  <c r="B456" i="17"/>
  <c r="A456" i="17"/>
  <c r="R455" i="17"/>
  <c r="Q455" i="17"/>
  <c r="P455" i="17"/>
  <c r="M455" i="17"/>
  <c r="G455" i="17"/>
  <c r="F455" i="17"/>
  <c r="B455" i="17"/>
  <c r="A455" i="17"/>
  <c r="R454" i="17"/>
  <c r="Q454" i="17"/>
  <c r="P454" i="17"/>
  <c r="M454" i="17"/>
  <c r="G454" i="17"/>
  <c r="F454" i="17"/>
  <c r="B454" i="17"/>
  <c r="A454" i="17"/>
  <c r="R453" i="17"/>
  <c r="Q453" i="17"/>
  <c r="P453" i="17"/>
  <c r="M453" i="17"/>
  <c r="G453" i="17"/>
  <c r="F453" i="17"/>
  <c r="B453" i="17"/>
  <c r="A453" i="17"/>
  <c r="R452" i="17"/>
  <c r="Q452" i="17"/>
  <c r="P452" i="17"/>
  <c r="M452" i="17"/>
  <c r="G452" i="17"/>
  <c r="F452" i="17"/>
  <c r="B452" i="17"/>
  <c r="A452" i="17"/>
  <c r="R451" i="17"/>
  <c r="Q451" i="17"/>
  <c r="P451" i="17"/>
  <c r="M451" i="17"/>
  <c r="G451" i="17"/>
  <c r="F451" i="17"/>
  <c r="C451" i="17"/>
  <c r="B451" i="17"/>
  <c r="A451" i="17"/>
  <c r="R450" i="17"/>
  <c r="Q450" i="17"/>
  <c r="P450" i="17"/>
  <c r="M450" i="17"/>
  <c r="G450" i="17"/>
  <c r="F450" i="17"/>
  <c r="B450" i="17"/>
  <c r="A450" i="17"/>
  <c r="R449" i="17"/>
  <c r="Q449" i="17"/>
  <c r="P449" i="17"/>
  <c r="M449" i="17"/>
  <c r="G449" i="17"/>
  <c r="F449" i="17"/>
  <c r="B449" i="17"/>
  <c r="A449" i="17"/>
  <c r="R448" i="17"/>
  <c r="Q448" i="17"/>
  <c r="P448" i="17"/>
  <c r="M448" i="17"/>
  <c r="G448" i="17"/>
  <c r="F448" i="17"/>
  <c r="B448" i="17"/>
  <c r="A448" i="17"/>
  <c r="R447" i="17"/>
  <c r="Q447" i="17"/>
  <c r="P447" i="17"/>
  <c r="M447" i="17"/>
  <c r="G447" i="17"/>
  <c r="F447" i="17"/>
  <c r="B447" i="17"/>
  <c r="A447" i="17"/>
  <c r="R446" i="17"/>
  <c r="Q446" i="17"/>
  <c r="P446" i="17"/>
  <c r="M446" i="17"/>
  <c r="G446" i="17"/>
  <c r="F446" i="17"/>
  <c r="B446" i="17"/>
  <c r="A446" i="17"/>
  <c r="R445" i="17"/>
  <c r="Q445" i="17"/>
  <c r="P445" i="17"/>
  <c r="M445" i="17"/>
  <c r="G445" i="17"/>
  <c r="F445" i="17"/>
  <c r="B445" i="17"/>
  <c r="A445" i="17"/>
  <c r="R444" i="17"/>
  <c r="Q444" i="17"/>
  <c r="P444" i="17"/>
  <c r="M444" i="17"/>
  <c r="G444" i="17"/>
  <c r="F444" i="17"/>
  <c r="B444" i="17"/>
  <c r="C444" i="17" s="1"/>
  <c r="A444" i="17"/>
  <c r="R443" i="17"/>
  <c r="Q443" i="17"/>
  <c r="P443" i="17"/>
  <c r="M443" i="17"/>
  <c r="G443" i="17"/>
  <c r="F443" i="17"/>
  <c r="C443" i="17"/>
  <c r="B443" i="17"/>
  <c r="A443" i="17"/>
  <c r="R442" i="17"/>
  <c r="Q442" i="17"/>
  <c r="P442" i="17"/>
  <c r="M442" i="17"/>
  <c r="G442" i="17"/>
  <c r="F442" i="17"/>
  <c r="B442" i="17"/>
  <c r="A442" i="17"/>
  <c r="R441" i="17"/>
  <c r="Q441" i="17"/>
  <c r="P441" i="17"/>
  <c r="M441" i="17"/>
  <c r="G441" i="17"/>
  <c r="F441" i="17"/>
  <c r="B441" i="17"/>
  <c r="A441" i="17"/>
  <c r="R440" i="17"/>
  <c r="Q440" i="17"/>
  <c r="P440" i="17"/>
  <c r="M440" i="17"/>
  <c r="G440" i="17"/>
  <c r="F440" i="17"/>
  <c r="B440" i="17"/>
  <c r="A440" i="17"/>
  <c r="R439" i="17"/>
  <c r="Q439" i="17"/>
  <c r="P439" i="17"/>
  <c r="M439" i="17"/>
  <c r="G439" i="17"/>
  <c r="F439" i="17"/>
  <c r="B439" i="17"/>
  <c r="A439" i="17"/>
  <c r="R438" i="17"/>
  <c r="Q438" i="17"/>
  <c r="P438" i="17"/>
  <c r="M438" i="17"/>
  <c r="G438" i="17"/>
  <c r="F438" i="17"/>
  <c r="B438" i="17"/>
  <c r="A438" i="17"/>
  <c r="R437" i="17"/>
  <c r="Q437" i="17"/>
  <c r="P437" i="17"/>
  <c r="M437" i="17"/>
  <c r="G437" i="17"/>
  <c r="F437" i="17"/>
  <c r="B437" i="17"/>
  <c r="A437" i="17"/>
  <c r="R436" i="17"/>
  <c r="Q436" i="17"/>
  <c r="P436" i="17"/>
  <c r="M436" i="17"/>
  <c r="G436" i="17"/>
  <c r="F436" i="17"/>
  <c r="B436" i="17"/>
  <c r="A436" i="17"/>
  <c r="R435" i="17"/>
  <c r="Q435" i="17"/>
  <c r="P435" i="17"/>
  <c r="M435" i="17"/>
  <c r="G435" i="17"/>
  <c r="F435" i="17"/>
  <c r="C435" i="17"/>
  <c r="B435" i="17"/>
  <c r="A435" i="17"/>
  <c r="R434" i="17"/>
  <c r="Q434" i="17"/>
  <c r="P434" i="17"/>
  <c r="M434" i="17"/>
  <c r="G434" i="17"/>
  <c r="F434" i="17"/>
  <c r="B434" i="17"/>
  <c r="C434" i="17" s="1"/>
  <c r="A434" i="17"/>
  <c r="R433" i="17"/>
  <c r="Q433" i="17"/>
  <c r="P433" i="17"/>
  <c r="M433" i="17"/>
  <c r="G433" i="17"/>
  <c r="F433" i="17"/>
  <c r="B433" i="17"/>
  <c r="A433" i="17"/>
  <c r="R432" i="17"/>
  <c r="Q432" i="17"/>
  <c r="P432" i="17"/>
  <c r="M432" i="17"/>
  <c r="G432" i="17"/>
  <c r="F432" i="17"/>
  <c r="B432" i="17"/>
  <c r="A432" i="17"/>
  <c r="R431" i="17"/>
  <c r="Q431" i="17"/>
  <c r="P431" i="17"/>
  <c r="M431" i="17"/>
  <c r="G431" i="17"/>
  <c r="F431" i="17"/>
  <c r="C431" i="17"/>
  <c r="B431" i="17"/>
  <c r="A431" i="17"/>
  <c r="R430" i="17"/>
  <c r="Q430" i="17"/>
  <c r="P430" i="17"/>
  <c r="M430" i="17"/>
  <c r="G430" i="17"/>
  <c r="F430" i="17"/>
  <c r="B430" i="17"/>
  <c r="C430" i="17" s="1"/>
  <c r="A430" i="17"/>
  <c r="R429" i="17"/>
  <c r="Q429" i="17"/>
  <c r="P429" i="17"/>
  <c r="M429" i="17"/>
  <c r="G429" i="17"/>
  <c r="F429" i="17"/>
  <c r="B429" i="17"/>
  <c r="A429" i="17"/>
  <c r="R428" i="17"/>
  <c r="Q428" i="17"/>
  <c r="P428" i="17"/>
  <c r="M428" i="17"/>
  <c r="G428" i="17"/>
  <c r="F428" i="17"/>
  <c r="B428" i="17"/>
  <c r="A428" i="17"/>
  <c r="R427" i="17"/>
  <c r="Q427" i="17"/>
  <c r="P427" i="17"/>
  <c r="M427" i="17"/>
  <c r="G427" i="17"/>
  <c r="F427" i="17"/>
  <c r="C427" i="17"/>
  <c r="B427" i="17"/>
  <c r="A427" i="17"/>
  <c r="R426" i="17"/>
  <c r="Q426" i="17"/>
  <c r="P426" i="17"/>
  <c r="M426" i="17"/>
  <c r="G426" i="17"/>
  <c r="F426" i="17"/>
  <c r="B426" i="17"/>
  <c r="C426" i="17" s="1"/>
  <c r="A426" i="17"/>
  <c r="R425" i="17"/>
  <c r="Q425" i="17"/>
  <c r="P425" i="17"/>
  <c r="M425" i="17"/>
  <c r="G425" i="17"/>
  <c r="F425" i="17"/>
  <c r="B425" i="17"/>
  <c r="A425" i="17"/>
  <c r="R424" i="17"/>
  <c r="Q424" i="17"/>
  <c r="P424" i="17"/>
  <c r="M424" i="17"/>
  <c r="G424" i="17"/>
  <c r="F424" i="17"/>
  <c r="B424" i="17"/>
  <c r="A424" i="17"/>
  <c r="R423" i="17"/>
  <c r="Q423" i="17"/>
  <c r="P423" i="17"/>
  <c r="M423" i="17"/>
  <c r="G423" i="17"/>
  <c r="F423" i="17"/>
  <c r="C423" i="17"/>
  <c r="B423" i="17"/>
  <c r="A423" i="17"/>
  <c r="R422" i="17"/>
  <c r="Q422" i="17"/>
  <c r="P422" i="17"/>
  <c r="M422" i="17"/>
  <c r="G422" i="17"/>
  <c r="F422" i="17"/>
  <c r="B422" i="17"/>
  <c r="A422" i="17"/>
  <c r="R421" i="17"/>
  <c r="Q421" i="17"/>
  <c r="P421" i="17"/>
  <c r="M421" i="17"/>
  <c r="G421" i="17"/>
  <c r="F421" i="17"/>
  <c r="B421" i="17"/>
  <c r="A421" i="17"/>
  <c r="R420" i="17"/>
  <c r="Q420" i="17"/>
  <c r="P420" i="17"/>
  <c r="M420" i="17"/>
  <c r="G420" i="17"/>
  <c r="F420" i="17"/>
  <c r="B420" i="17"/>
  <c r="A420" i="17"/>
  <c r="R419" i="17"/>
  <c r="Q419" i="17"/>
  <c r="P419" i="17"/>
  <c r="M419" i="17"/>
  <c r="G419" i="17"/>
  <c r="F419" i="17"/>
  <c r="C419" i="17"/>
  <c r="B419" i="17"/>
  <c r="A419" i="17"/>
  <c r="R418" i="17"/>
  <c r="Q418" i="17"/>
  <c r="P418" i="17"/>
  <c r="M418" i="17"/>
  <c r="G418" i="17"/>
  <c r="F418" i="17"/>
  <c r="B418" i="17"/>
  <c r="A418" i="17"/>
  <c r="R417" i="17"/>
  <c r="Q417" i="17"/>
  <c r="P417" i="17"/>
  <c r="M417" i="17"/>
  <c r="G417" i="17"/>
  <c r="F417" i="17"/>
  <c r="B417" i="17"/>
  <c r="A417" i="17"/>
  <c r="R416" i="17"/>
  <c r="Q416" i="17"/>
  <c r="P416" i="17"/>
  <c r="M416" i="17"/>
  <c r="G416" i="17"/>
  <c r="F416" i="17"/>
  <c r="B416" i="17"/>
  <c r="A416" i="17"/>
  <c r="R415" i="17"/>
  <c r="Q415" i="17"/>
  <c r="P415" i="17"/>
  <c r="M415" i="17"/>
  <c r="G415" i="17"/>
  <c r="F415" i="17"/>
  <c r="C415" i="17"/>
  <c r="B415" i="17"/>
  <c r="A415" i="17"/>
  <c r="R414" i="17"/>
  <c r="Q414" i="17"/>
  <c r="P414" i="17"/>
  <c r="M414" i="17"/>
  <c r="G414" i="17"/>
  <c r="F414" i="17"/>
  <c r="B414" i="17"/>
  <c r="A414" i="17"/>
  <c r="R413" i="17"/>
  <c r="Q413" i="17"/>
  <c r="P413" i="17"/>
  <c r="M413" i="17"/>
  <c r="G413" i="17"/>
  <c r="F413" i="17"/>
  <c r="B413" i="17"/>
  <c r="A413" i="17"/>
  <c r="R412" i="17"/>
  <c r="Q412" i="17"/>
  <c r="P412" i="17"/>
  <c r="M412" i="17"/>
  <c r="G412" i="17"/>
  <c r="F412" i="17"/>
  <c r="B412" i="17"/>
  <c r="A412" i="17"/>
  <c r="R411" i="17"/>
  <c r="Q411" i="17"/>
  <c r="P411" i="17"/>
  <c r="M411" i="17"/>
  <c r="G411" i="17"/>
  <c r="F411" i="17"/>
  <c r="C411" i="17"/>
  <c r="B411" i="17"/>
  <c r="A411" i="17"/>
  <c r="R410" i="17"/>
  <c r="Q410" i="17"/>
  <c r="P410" i="17"/>
  <c r="M410" i="17"/>
  <c r="G410" i="17"/>
  <c r="F410" i="17"/>
  <c r="B410" i="17"/>
  <c r="A410" i="17"/>
  <c r="R409" i="17"/>
  <c r="Q409" i="17"/>
  <c r="P409" i="17"/>
  <c r="M409" i="17"/>
  <c r="G409" i="17"/>
  <c r="F409" i="17"/>
  <c r="B409" i="17"/>
  <c r="A409" i="17"/>
  <c r="R408" i="17"/>
  <c r="Q408" i="17"/>
  <c r="P408" i="17"/>
  <c r="M408" i="17"/>
  <c r="G408" i="17"/>
  <c r="F408" i="17"/>
  <c r="B408" i="17"/>
  <c r="A408" i="17"/>
  <c r="R407" i="17"/>
  <c r="Q407" i="17"/>
  <c r="P407" i="17"/>
  <c r="M407" i="17"/>
  <c r="G407" i="17"/>
  <c r="F407" i="17"/>
  <c r="C407" i="17"/>
  <c r="B407" i="17"/>
  <c r="A407" i="17"/>
  <c r="R406" i="17"/>
  <c r="Q406" i="17"/>
  <c r="P406" i="17"/>
  <c r="M406" i="17"/>
  <c r="G406" i="17"/>
  <c r="F406" i="17"/>
  <c r="B406" i="17"/>
  <c r="A406" i="17"/>
  <c r="R405" i="17"/>
  <c r="Q405" i="17"/>
  <c r="P405" i="17"/>
  <c r="M405" i="17"/>
  <c r="G405" i="17"/>
  <c r="F405" i="17"/>
  <c r="B405" i="17"/>
  <c r="A405" i="17"/>
  <c r="R404" i="17"/>
  <c r="Q404" i="17"/>
  <c r="P404" i="17"/>
  <c r="M404" i="17"/>
  <c r="G404" i="17"/>
  <c r="F404" i="17"/>
  <c r="B404" i="17"/>
  <c r="A404" i="17"/>
  <c r="R403" i="17"/>
  <c r="Q403" i="17"/>
  <c r="P403" i="17"/>
  <c r="M403" i="17"/>
  <c r="G403" i="17"/>
  <c r="F403" i="17"/>
  <c r="C403" i="17"/>
  <c r="B403" i="17"/>
  <c r="A403" i="17"/>
  <c r="R402" i="17"/>
  <c r="Q402" i="17"/>
  <c r="P402" i="17"/>
  <c r="M402" i="17"/>
  <c r="G402" i="17"/>
  <c r="F402" i="17"/>
  <c r="B402" i="17"/>
  <c r="A402" i="17"/>
  <c r="R401" i="17"/>
  <c r="Q401" i="17"/>
  <c r="P401" i="17"/>
  <c r="M401" i="17"/>
  <c r="G401" i="17"/>
  <c r="F401" i="17"/>
  <c r="B401" i="17"/>
  <c r="A401" i="17"/>
  <c r="R400" i="17"/>
  <c r="Q400" i="17"/>
  <c r="P400" i="17"/>
  <c r="M400" i="17"/>
  <c r="G400" i="17"/>
  <c r="F400" i="17"/>
  <c r="B400" i="17"/>
  <c r="A400" i="17"/>
  <c r="R399" i="17"/>
  <c r="Q399" i="17"/>
  <c r="P399" i="17"/>
  <c r="M399" i="17"/>
  <c r="G399" i="17"/>
  <c r="F399" i="17"/>
  <c r="C399" i="17"/>
  <c r="B399" i="17"/>
  <c r="A399" i="17"/>
  <c r="R398" i="17"/>
  <c r="Q398" i="17"/>
  <c r="P398" i="17"/>
  <c r="M398" i="17"/>
  <c r="G398" i="17"/>
  <c r="F398" i="17"/>
  <c r="B398" i="17"/>
  <c r="A398" i="17"/>
  <c r="R397" i="17"/>
  <c r="Q397" i="17"/>
  <c r="P397" i="17"/>
  <c r="M397" i="17"/>
  <c r="G397" i="17"/>
  <c r="F397" i="17"/>
  <c r="B397" i="17"/>
  <c r="A397" i="17"/>
  <c r="R396" i="17"/>
  <c r="Q396" i="17"/>
  <c r="P396" i="17"/>
  <c r="M396" i="17"/>
  <c r="G396" i="17"/>
  <c r="F396" i="17"/>
  <c r="B396" i="17"/>
  <c r="A396" i="17"/>
  <c r="R395" i="17"/>
  <c r="Q395" i="17"/>
  <c r="P395" i="17"/>
  <c r="M395" i="17"/>
  <c r="G395" i="17"/>
  <c r="F395" i="17"/>
  <c r="C395" i="17"/>
  <c r="B395" i="17"/>
  <c r="A395" i="17"/>
  <c r="R394" i="17"/>
  <c r="Q394" i="17"/>
  <c r="P394" i="17"/>
  <c r="M394" i="17"/>
  <c r="G394" i="17"/>
  <c r="F394" i="17"/>
  <c r="B394" i="17"/>
  <c r="A394" i="17"/>
  <c r="R393" i="17"/>
  <c r="Q393" i="17"/>
  <c r="P393" i="17"/>
  <c r="M393" i="17"/>
  <c r="G393" i="17"/>
  <c r="F393" i="17"/>
  <c r="B393" i="17"/>
  <c r="A393" i="17"/>
  <c r="R392" i="17"/>
  <c r="Q392" i="17"/>
  <c r="P392" i="17"/>
  <c r="M392" i="17"/>
  <c r="G392" i="17"/>
  <c r="F392" i="17"/>
  <c r="B392" i="17"/>
  <c r="A392" i="17"/>
  <c r="R391" i="17"/>
  <c r="Q391" i="17"/>
  <c r="P391" i="17"/>
  <c r="M391" i="17"/>
  <c r="G391" i="17"/>
  <c r="F391" i="17"/>
  <c r="C391" i="17"/>
  <c r="B391" i="17"/>
  <c r="A391" i="17"/>
  <c r="R390" i="17"/>
  <c r="Q390" i="17"/>
  <c r="P390" i="17"/>
  <c r="M390" i="17"/>
  <c r="G390" i="17"/>
  <c r="F390" i="17"/>
  <c r="B390" i="17"/>
  <c r="A390" i="17"/>
  <c r="R389" i="17"/>
  <c r="Q389" i="17"/>
  <c r="P389" i="17"/>
  <c r="M389" i="17"/>
  <c r="G389" i="17"/>
  <c r="F389" i="17"/>
  <c r="B389" i="17"/>
  <c r="A389" i="17"/>
  <c r="R388" i="17"/>
  <c r="Q388" i="17"/>
  <c r="P388" i="17"/>
  <c r="M388" i="17"/>
  <c r="G388" i="17"/>
  <c r="F388" i="17"/>
  <c r="B388" i="17"/>
  <c r="A388" i="17"/>
  <c r="R387" i="17"/>
  <c r="Q387" i="17"/>
  <c r="P387" i="17"/>
  <c r="M387" i="17"/>
  <c r="G387" i="17"/>
  <c r="F387" i="17"/>
  <c r="C387" i="17"/>
  <c r="B387" i="17"/>
  <c r="A387" i="17"/>
  <c r="R386" i="17"/>
  <c r="Q386" i="17"/>
  <c r="P386" i="17"/>
  <c r="M386" i="17"/>
  <c r="G386" i="17"/>
  <c r="F386" i="17"/>
  <c r="B386" i="17"/>
  <c r="A386" i="17"/>
  <c r="R385" i="17"/>
  <c r="Q385" i="17"/>
  <c r="P385" i="17"/>
  <c r="M385" i="17"/>
  <c r="G385" i="17"/>
  <c r="F385" i="17"/>
  <c r="B385" i="17"/>
  <c r="A385" i="17"/>
  <c r="R384" i="17"/>
  <c r="Q384" i="17"/>
  <c r="P384" i="17"/>
  <c r="M384" i="17"/>
  <c r="G384" i="17"/>
  <c r="F384" i="17"/>
  <c r="B384" i="17"/>
  <c r="A384" i="17"/>
  <c r="R383" i="17"/>
  <c r="Q383" i="17"/>
  <c r="P383" i="17"/>
  <c r="M383" i="17"/>
  <c r="G383" i="17"/>
  <c r="F383" i="17"/>
  <c r="C383" i="17"/>
  <c r="B383" i="17"/>
  <c r="A383" i="17"/>
  <c r="R382" i="17"/>
  <c r="Q382" i="17"/>
  <c r="P382" i="17"/>
  <c r="M382" i="17"/>
  <c r="G382" i="17"/>
  <c r="F382" i="17"/>
  <c r="B382" i="17"/>
  <c r="A382" i="17"/>
  <c r="R381" i="17"/>
  <c r="Q381" i="17"/>
  <c r="P381" i="17"/>
  <c r="M381" i="17"/>
  <c r="G381" i="17"/>
  <c r="F381" i="17"/>
  <c r="B381" i="17"/>
  <c r="A381" i="17"/>
  <c r="R380" i="17"/>
  <c r="Q380" i="17"/>
  <c r="P380" i="17"/>
  <c r="M380" i="17"/>
  <c r="G380" i="17"/>
  <c r="F380" i="17"/>
  <c r="B380" i="17"/>
  <c r="A380" i="17"/>
  <c r="R379" i="17"/>
  <c r="Q379" i="17"/>
  <c r="P379" i="17"/>
  <c r="M379" i="17"/>
  <c r="G379" i="17"/>
  <c r="F379" i="17"/>
  <c r="C379" i="17"/>
  <c r="B379" i="17"/>
  <c r="A379" i="17"/>
  <c r="R378" i="17"/>
  <c r="Q378" i="17"/>
  <c r="P378" i="17"/>
  <c r="M378" i="17"/>
  <c r="G378" i="17"/>
  <c r="F378" i="17"/>
  <c r="B378" i="17"/>
  <c r="A378" i="17"/>
  <c r="R377" i="17"/>
  <c r="Q377" i="17"/>
  <c r="P377" i="17"/>
  <c r="M377" i="17"/>
  <c r="G377" i="17"/>
  <c r="F377" i="17"/>
  <c r="B377" i="17"/>
  <c r="A377" i="17"/>
  <c r="R376" i="17"/>
  <c r="Q376" i="17"/>
  <c r="P376" i="17"/>
  <c r="M376" i="17"/>
  <c r="G376" i="17"/>
  <c r="F376" i="17"/>
  <c r="B376" i="17"/>
  <c r="A376" i="17"/>
  <c r="R375" i="17"/>
  <c r="Q375" i="17"/>
  <c r="P375" i="17"/>
  <c r="M375" i="17"/>
  <c r="G375" i="17"/>
  <c r="F375" i="17"/>
  <c r="C375" i="17"/>
  <c r="B375" i="17"/>
  <c r="A375" i="17"/>
  <c r="R374" i="17"/>
  <c r="Q374" i="17"/>
  <c r="P374" i="17"/>
  <c r="M374" i="17"/>
  <c r="G374" i="17"/>
  <c r="F374" i="17"/>
  <c r="B374" i="17"/>
  <c r="A374" i="17"/>
  <c r="R373" i="17"/>
  <c r="Q373" i="17"/>
  <c r="P373" i="17"/>
  <c r="M373" i="17"/>
  <c r="G373" i="17"/>
  <c r="F373" i="17"/>
  <c r="B373" i="17"/>
  <c r="A373" i="17"/>
  <c r="R372" i="17"/>
  <c r="Q372" i="17"/>
  <c r="P372" i="17"/>
  <c r="M372" i="17"/>
  <c r="G372" i="17"/>
  <c r="F372" i="17"/>
  <c r="B372" i="17"/>
  <c r="A372" i="17"/>
  <c r="R371" i="17"/>
  <c r="Q371" i="17"/>
  <c r="P371" i="17"/>
  <c r="M371" i="17"/>
  <c r="G371" i="17"/>
  <c r="F371" i="17"/>
  <c r="C371" i="17"/>
  <c r="B371" i="17"/>
  <c r="A371" i="17"/>
  <c r="R370" i="17"/>
  <c r="Q370" i="17"/>
  <c r="P370" i="17"/>
  <c r="M370" i="17"/>
  <c r="G370" i="17"/>
  <c r="F370" i="17"/>
  <c r="B370" i="17"/>
  <c r="A370" i="17"/>
  <c r="R369" i="17"/>
  <c r="Q369" i="17"/>
  <c r="P369" i="17"/>
  <c r="M369" i="17"/>
  <c r="G369" i="17"/>
  <c r="F369" i="17"/>
  <c r="B369" i="17"/>
  <c r="A369" i="17"/>
  <c r="R368" i="17"/>
  <c r="Q368" i="17"/>
  <c r="P368" i="17"/>
  <c r="M368" i="17"/>
  <c r="G368" i="17"/>
  <c r="F368" i="17"/>
  <c r="B368" i="17"/>
  <c r="A368" i="17"/>
  <c r="R367" i="17"/>
  <c r="Q367" i="17"/>
  <c r="P367" i="17"/>
  <c r="M367" i="17"/>
  <c r="G367" i="17"/>
  <c r="F367" i="17"/>
  <c r="C367" i="17"/>
  <c r="B367" i="17"/>
  <c r="A367" i="17"/>
  <c r="R366" i="17"/>
  <c r="Q366" i="17"/>
  <c r="P366" i="17"/>
  <c r="M366" i="17"/>
  <c r="G366" i="17"/>
  <c r="F366" i="17"/>
  <c r="B366" i="17"/>
  <c r="A366" i="17"/>
  <c r="R365" i="17"/>
  <c r="Q365" i="17"/>
  <c r="P365" i="17"/>
  <c r="M365" i="17"/>
  <c r="G365" i="17"/>
  <c r="F365" i="17"/>
  <c r="B365" i="17"/>
  <c r="A365" i="17"/>
  <c r="R364" i="17"/>
  <c r="Q364" i="17"/>
  <c r="P364" i="17"/>
  <c r="M364" i="17"/>
  <c r="G364" i="17"/>
  <c r="F364" i="17"/>
  <c r="B364" i="17"/>
  <c r="A364" i="17"/>
  <c r="R363" i="17"/>
  <c r="Q363" i="17"/>
  <c r="P363" i="17"/>
  <c r="M363" i="17"/>
  <c r="G363" i="17"/>
  <c r="F363" i="17"/>
  <c r="C363" i="17"/>
  <c r="B363" i="17"/>
  <c r="A363" i="17"/>
  <c r="R362" i="17"/>
  <c r="Q362" i="17"/>
  <c r="P362" i="17"/>
  <c r="M362" i="17"/>
  <c r="G362" i="17"/>
  <c r="F362" i="17"/>
  <c r="B362" i="17"/>
  <c r="A362" i="17"/>
  <c r="R361" i="17"/>
  <c r="Q361" i="17"/>
  <c r="P361" i="17"/>
  <c r="M361" i="17"/>
  <c r="G361" i="17"/>
  <c r="F361" i="17"/>
  <c r="B361" i="17"/>
  <c r="A361" i="17"/>
  <c r="R360" i="17"/>
  <c r="Q360" i="17"/>
  <c r="P360" i="17"/>
  <c r="M360" i="17"/>
  <c r="G360" i="17"/>
  <c r="F360" i="17"/>
  <c r="B360" i="17"/>
  <c r="A360" i="17"/>
  <c r="R359" i="17"/>
  <c r="Q359" i="17"/>
  <c r="P359" i="17"/>
  <c r="M359" i="17"/>
  <c r="G359" i="17"/>
  <c r="F359" i="17"/>
  <c r="C359" i="17"/>
  <c r="B359" i="17"/>
  <c r="A359" i="17"/>
  <c r="R358" i="17"/>
  <c r="Q358" i="17"/>
  <c r="P358" i="17"/>
  <c r="M358" i="17"/>
  <c r="G358" i="17"/>
  <c r="F358" i="17"/>
  <c r="B358" i="17"/>
  <c r="A358" i="17"/>
  <c r="R357" i="17"/>
  <c r="Q357" i="17"/>
  <c r="P357" i="17"/>
  <c r="M357" i="17"/>
  <c r="G357" i="17"/>
  <c r="F357" i="17"/>
  <c r="B357" i="17"/>
  <c r="A357" i="17"/>
  <c r="R356" i="17"/>
  <c r="Q356" i="17"/>
  <c r="P356" i="17"/>
  <c r="M356" i="17"/>
  <c r="G356" i="17"/>
  <c r="F356" i="17"/>
  <c r="B356" i="17"/>
  <c r="A356" i="17"/>
  <c r="R355" i="17"/>
  <c r="Q355" i="17"/>
  <c r="P355" i="17"/>
  <c r="M355" i="17"/>
  <c r="G355" i="17"/>
  <c r="F355" i="17"/>
  <c r="C355" i="17"/>
  <c r="B355" i="17"/>
  <c r="A355" i="17"/>
  <c r="R354" i="17"/>
  <c r="Q354" i="17"/>
  <c r="P354" i="17"/>
  <c r="M354" i="17"/>
  <c r="G354" i="17"/>
  <c r="F354" i="17"/>
  <c r="B354" i="17"/>
  <c r="A354" i="17"/>
  <c r="R353" i="17"/>
  <c r="Q353" i="17"/>
  <c r="P353" i="17"/>
  <c r="M353" i="17"/>
  <c r="G353" i="17"/>
  <c r="F353" i="17"/>
  <c r="B353" i="17"/>
  <c r="A353" i="17"/>
  <c r="R352" i="17"/>
  <c r="Q352" i="17"/>
  <c r="P352" i="17"/>
  <c r="M352" i="17"/>
  <c r="G352" i="17"/>
  <c r="F352" i="17"/>
  <c r="B352" i="17"/>
  <c r="A352" i="17"/>
  <c r="R351" i="17"/>
  <c r="Q351" i="17"/>
  <c r="P351" i="17"/>
  <c r="M351" i="17"/>
  <c r="G351" i="17"/>
  <c r="F351" i="17"/>
  <c r="C351" i="17"/>
  <c r="B351" i="17"/>
  <c r="A351" i="17"/>
  <c r="R350" i="17"/>
  <c r="Q350" i="17"/>
  <c r="P350" i="17"/>
  <c r="M350" i="17"/>
  <c r="G350" i="17"/>
  <c r="F350" i="17"/>
  <c r="B350" i="17"/>
  <c r="A350" i="17"/>
  <c r="R349" i="17"/>
  <c r="Q349" i="17"/>
  <c r="P349" i="17"/>
  <c r="M349" i="17"/>
  <c r="G349" i="17"/>
  <c r="F349" i="17"/>
  <c r="B349" i="17"/>
  <c r="A349" i="17"/>
  <c r="R348" i="17"/>
  <c r="Q348" i="17"/>
  <c r="P348" i="17"/>
  <c r="M348" i="17"/>
  <c r="G348" i="17"/>
  <c r="F348" i="17"/>
  <c r="B348" i="17"/>
  <c r="A348" i="17"/>
  <c r="R347" i="17"/>
  <c r="Q347" i="17"/>
  <c r="P347" i="17"/>
  <c r="M347" i="17"/>
  <c r="G347" i="17"/>
  <c r="F347" i="17"/>
  <c r="C347" i="17"/>
  <c r="B347" i="17"/>
  <c r="A347" i="17"/>
  <c r="R346" i="17"/>
  <c r="Q346" i="17"/>
  <c r="P346" i="17"/>
  <c r="M346" i="17"/>
  <c r="G346" i="17"/>
  <c r="F346" i="17"/>
  <c r="B346" i="17"/>
  <c r="A346" i="17"/>
  <c r="R345" i="17"/>
  <c r="Q345" i="17"/>
  <c r="P345" i="17"/>
  <c r="M345" i="17"/>
  <c r="G345" i="17"/>
  <c r="F345" i="17"/>
  <c r="B345" i="17"/>
  <c r="A345" i="17"/>
  <c r="R344" i="17"/>
  <c r="Q344" i="17"/>
  <c r="P344" i="17"/>
  <c r="M344" i="17"/>
  <c r="G344" i="17"/>
  <c r="F344" i="17"/>
  <c r="B344" i="17"/>
  <c r="A344" i="17"/>
  <c r="R343" i="17"/>
  <c r="Q343" i="17"/>
  <c r="P343" i="17"/>
  <c r="M343" i="17"/>
  <c r="G343" i="17"/>
  <c r="F343" i="17"/>
  <c r="C343" i="17"/>
  <c r="B343" i="17"/>
  <c r="A343" i="17"/>
  <c r="R342" i="17"/>
  <c r="Q342" i="17"/>
  <c r="P342" i="17"/>
  <c r="M342" i="17"/>
  <c r="G342" i="17"/>
  <c r="F342" i="17"/>
  <c r="B342" i="17"/>
  <c r="A342" i="17"/>
  <c r="R341" i="17"/>
  <c r="Q341" i="17"/>
  <c r="P341" i="17"/>
  <c r="M341" i="17"/>
  <c r="G341" i="17"/>
  <c r="F341" i="17"/>
  <c r="B341" i="17"/>
  <c r="A341" i="17"/>
  <c r="R340" i="17"/>
  <c r="Q340" i="17"/>
  <c r="P340" i="17"/>
  <c r="M340" i="17"/>
  <c r="G340" i="17"/>
  <c r="F340" i="17"/>
  <c r="B340" i="17"/>
  <c r="A340" i="17"/>
  <c r="R339" i="17"/>
  <c r="Q339" i="17"/>
  <c r="P339" i="17"/>
  <c r="M339" i="17"/>
  <c r="G339" i="17"/>
  <c r="F339" i="17"/>
  <c r="C339" i="17"/>
  <c r="B339" i="17"/>
  <c r="A339" i="17"/>
  <c r="R338" i="17"/>
  <c r="Q338" i="17"/>
  <c r="P338" i="17"/>
  <c r="M338" i="17"/>
  <c r="G338" i="17"/>
  <c r="F338" i="17"/>
  <c r="B338" i="17"/>
  <c r="A338" i="17"/>
  <c r="R337" i="17"/>
  <c r="Q337" i="17"/>
  <c r="P337" i="17"/>
  <c r="M337" i="17"/>
  <c r="G337" i="17"/>
  <c r="F337" i="17"/>
  <c r="B337" i="17"/>
  <c r="A337" i="17"/>
  <c r="R336" i="17"/>
  <c r="Q336" i="17"/>
  <c r="P336" i="17"/>
  <c r="M336" i="17"/>
  <c r="G336" i="17"/>
  <c r="F336" i="17"/>
  <c r="B336" i="17"/>
  <c r="A336" i="17"/>
  <c r="R335" i="17"/>
  <c r="Q335" i="17"/>
  <c r="P335" i="17"/>
  <c r="M335" i="17"/>
  <c r="G335" i="17"/>
  <c r="F335" i="17"/>
  <c r="C335" i="17"/>
  <c r="B335" i="17"/>
  <c r="A335" i="17"/>
  <c r="R334" i="17"/>
  <c r="Q334" i="17"/>
  <c r="P334" i="17"/>
  <c r="M334" i="17"/>
  <c r="G334" i="17"/>
  <c r="F334" i="17"/>
  <c r="B334" i="17"/>
  <c r="C334" i="17" s="1"/>
  <c r="A334" i="17"/>
  <c r="R333" i="17"/>
  <c r="Q333" i="17"/>
  <c r="P333" i="17"/>
  <c r="M333" i="17"/>
  <c r="G333" i="17"/>
  <c r="F333" i="17"/>
  <c r="C333" i="17"/>
  <c r="B333" i="17"/>
  <c r="A333" i="17"/>
  <c r="R332" i="17"/>
  <c r="Q332" i="17"/>
  <c r="P332" i="17"/>
  <c r="M332" i="17"/>
  <c r="G332" i="17"/>
  <c r="F332" i="17"/>
  <c r="C332" i="17"/>
  <c r="B332" i="17"/>
  <c r="A332" i="17"/>
  <c r="R331" i="17"/>
  <c r="Q331" i="17"/>
  <c r="P331" i="17"/>
  <c r="M331" i="17"/>
  <c r="G331" i="17"/>
  <c r="F331" i="17"/>
  <c r="B331" i="17"/>
  <c r="A331" i="17"/>
  <c r="R330" i="17"/>
  <c r="Q330" i="17"/>
  <c r="P330" i="17"/>
  <c r="M330" i="17"/>
  <c r="G330" i="17"/>
  <c r="F330" i="17"/>
  <c r="B330" i="17"/>
  <c r="A330" i="17"/>
  <c r="R329" i="17"/>
  <c r="Q329" i="17"/>
  <c r="P329" i="17"/>
  <c r="M329" i="17"/>
  <c r="G329" i="17"/>
  <c r="F329" i="17"/>
  <c r="B329" i="17"/>
  <c r="A329" i="17"/>
  <c r="R328" i="17"/>
  <c r="Q328" i="17"/>
  <c r="P328" i="17"/>
  <c r="M328" i="17"/>
  <c r="G328" i="17"/>
  <c r="F328" i="17"/>
  <c r="B328" i="17"/>
  <c r="A328" i="17"/>
  <c r="R327" i="17"/>
  <c r="Q327" i="17"/>
  <c r="P327" i="17"/>
  <c r="M327" i="17"/>
  <c r="G327" i="17"/>
  <c r="F327" i="17"/>
  <c r="C327" i="17"/>
  <c r="B327" i="17"/>
  <c r="A327" i="17"/>
  <c r="R326" i="17"/>
  <c r="Q326" i="17"/>
  <c r="P326" i="17"/>
  <c r="M326" i="17"/>
  <c r="G326" i="17"/>
  <c r="F326" i="17"/>
  <c r="B326" i="17"/>
  <c r="C326" i="17" s="1"/>
  <c r="A326" i="17"/>
  <c r="R325" i="17"/>
  <c r="Q325" i="17"/>
  <c r="P325" i="17"/>
  <c r="M325" i="17"/>
  <c r="G325" i="17"/>
  <c r="F325" i="17"/>
  <c r="C325" i="17"/>
  <c r="B325" i="17"/>
  <c r="A325" i="17"/>
  <c r="R324" i="17"/>
  <c r="Q324" i="17"/>
  <c r="P324" i="17"/>
  <c r="M324" i="17"/>
  <c r="G324" i="17"/>
  <c r="F324" i="17"/>
  <c r="C324" i="17"/>
  <c r="B324" i="17"/>
  <c r="A324" i="17"/>
  <c r="R323" i="17"/>
  <c r="Q323" i="17"/>
  <c r="P323" i="17"/>
  <c r="M323" i="17"/>
  <c r="G323" i="17"/>
  <c r="F323" i="17"/>
  <c r="B323" i="17"/>
  <c r="A323" i="17"/>
  <c r="R322" i="17"/>
  <c r="Q322" i="17"/>
  <c r="P322" i="17"/>
  <c r="M322" i="17"/>
  <c r="G322" i="17"/>
  <c r="F322" i="17"/>
  <c r="B322" i="17"/>
  <c r="A322" i="17"/>
  <c r="R321" i="17"/>
  <c r="Q321" i="17"/>
  <c r="P321" i="17"/>
  <c r="M321" i="17"/>
  <c r="G321" i="17"/>
  <c r="F321" i="17"/>
  <c r="B321" i="17"/>
  <c r="A321" i="17"/>
  <c r="R320" i="17"/>
  <c r="Q320" i="17"/>
  <c r="P320" i="17"/>
  <c r="M320" i="17"/>
  <c r="G320" i="17"/>
  <c r="F320" i="17"/>
  <c r="B320" i="17"/>
  <c r="A320" i="17"/>
  <c r="R319" i="17"/>
  <c r="Q319" i="17"/>
  <c r="P319" i="17"/>
  <c r="M319" i="17"/>
  <c r="G319" i="17"/>
  <c r="F319" i="17"/>
  <c r="C319" i="17"/>
  <c r="B319" i="17"/>
  <c r="A319" i="17"/>
  <c r="R318" i="17"/>
  <c r="Q318" i="17"/>
  <c r="P318" i="17"/>
  <c r="M318" i="17"/>
  <c r="G318" i="17"/>
  <c r="F318" i="17"/>
  <c r="B318" i="17"/>
  <c r="C318" i="17" s="1"/>
  <c r="A318" i="17"/>
  <c r="R317" i="17"/>
  <c r="Q317" i="17"/>
  <c r="P317" i="17"/>
  <c r="M317" i="17"/>
  <c r="G317" i="17"/>
  <c r="F317" i="17"/>
  <c r="C317" i="17"/>
  <c r="B317" i="17"/>
  <c r="A317" i="17"/>
  <c r="R316" i="17"/>
  <c r="Q316" i="17"/>
  <c r="P316" i="17"/>
  <c r="M316" i="17"/>
  <c r="G316" i="17"/>
  <c r="F316" i="17"/>
  <c r="C316" i="17"/>
  <c r="B316" i="17"/>
  <c r="A316" i="17"/>
  <c r="R315" i="17"/>
  <c r="Q315" i="17"/>
  <c r="P315" i="17"/>
  <c r="M315" i="17"/>
  <c r="G315" i="17"/>
  <c r="F315" i="17"/>
  <c r="B315" i="17"/>
  <c r="A315" i="17"/>
  <c r="R314" i="17"/>
  <c r="Q314" i="17"/>
  <c r="P314" i="17"/>
  <c r="M314" i="17"/>
  <c r="G314" i="17"/>
  <c r="F314" i="17"/>
  <c r="B314" i="17"/>
  <c r="A314" i="17"/>
  <c r="R313" i="17"/>
  <c r="Q313" i="17"/>
  <c r="P313" i="17"/>
  <c r="M313" i="17"/>
  <c r="G313" i="17"/>
  <c r="F313" i="17"/>
  <c r="B313" i="17"/>
  <c r="A313" i="17"/>
  <c r="R312" i="17"/>
  <c r="Q312" i="17"/>
  <c r="P312" i="17"/>
  <c r="M312" i="17"/>
  <c r="G312" i="17"/>
  <c r="F312" i="17"/>
  <c r="B312" i="17"/>
  <c r="A312" i="17"/>
  <c r="R311" i="17"/>
  <c r="Q311" i="17"/>
  <c r="P311" i="17"/>
  <c r="M311" i="17"/>
  <c r="G311" i="17"/>
  <c r="F311" i="17"/>
  <c r="C311" i="17"/>
  <c r="B311" i="17"/>
  <c r="A311" i="17"/>
  <c r="R310" i="17"/>
  <c r="Q310" i="17"/>
  <c r="P310" i="17"/>
  <c r="M310" i="17"/>
  <c r="G310" i="17"/>
  <c r="F310" i="17"/>
  <c r="B310" i="17"/>
  <c r="C310" i="17" s="1"/>
  <c r="A310" i="17"/>
  <c r="R309" i="17"/>
  <c r="Q309" i="17"/>
  <c r="P309" i="17"/>
  <c r="M309" i="17"/>
  <c r="G309" i="17"/>
  <c r="F309" i="17"/>
  <c r="C309" i="17"/>
  <c r="B309" i="17"/>
  <c r="A309" i="17"/>
  <c r="R308" i="17"/>
  <c r="Q308" i="17"/>
  <c r="P308" i="17"/>
  <c r="M308" i="17"/>
  <c r="G308" i="17"/>
  <c r="F308" i="17"/>
  <c r="C308" i="17"/>
  <c r="B308" i="17"/>
  <c r="A308" i="17"/>
  <c r="R307" i="17"/>
  <c r="Q307" i="17"/>
  <c r="P307" i="17"/>
  <c r="M307" i="17"/>
  <c r="G307" i="17"/>
  <c r="F307" i="17"/>
  <c r="B307" i="17"/>
  <c r="A307" i="17"/>
  <c r="R306" i="17"/>
  <c r="Q306" i="17"/>
  <c r="P306" i="17"/>
  <c r="M306" i="17"/>
  <c r="G306" i="17"/>
  <c r="F306" i="17"/>
  <c r="B306" i="17"/>
  <c r="A306" i="17"/>
  <c r="R305" i="17"/>
  <c r="Q305" i="17"/>
  <c r="P305" i="17"/>
  <c r="M305" i="17"/>
  <c r="G305" i="17"/>
  <c r="F305" i="17"/>
  <c r="B305" i="17"/>
  <c r="A305" i="17"/>
  <c r="R304" i="17"/>
  <c r="Q304" i="17"/>
  <c r="P304" i="17"/>
  <c r="M304" i="17"/>
  <c r="G304" i="17"/>
  <c r="F304" i="17"/>
  <c r="B304" i="17"/>
  <c r="A304" i="17"/>
  <c r="R303" i="17"/>
  <c r="Q303" i="17"/>
  <c r="P303" i="17"/>
  <c r="M303" i="17"/>
  <c r="G303" i="17"/>
  <c r="F303" i="17"/>
  <c r="C303" i="17"/>
  <c r="B303" i="17"/>
  <c r="A303" i="17"/>
  <c r="R302" i="17"/>
  <c r="Q302" i="17"/>
  <c r="P302" i="17"/>
  <c r="M302" i="17"/>
  <c r="G302" i="17"/>
  <c r="F302" i="17"/>
  <c r="B302" i="17"/>
  <c r="C302" i="17" s="1"/>
  <c r="A302" i="17"/>
  <c r="R301" i="17"/>
  <c r="Q301" i="17"/>
  <c r="P301" i="17"/>
  <c r="M301" i="17"/>
  <c r="G301" i="17"/>
  <c r="F301" i="17"/>
  <c r="C301" i="17"/>
  <c r="B301" i="17"/>
  <c r="A301" i="17"/>
  <c r="R300" i="17"/>
  <c r="Q300" i="17"/>
  <c r="P300" i="17"/>
  <c r="M300" i="17"/>
  <c r="G300" i="17"/>
  <c r="F300" i="17"/>
  <c r="C300" i="17"/>
  <c r="B300" i="17"/>
  <c r="A300" i="17"/>
  <c r="R299" i="17"/>
  <c r="Q299" i="17"/>
  <c r="P299" i="17"/>
  <c r="M299" i="17"/>
  <c r="G299" i="17"/>
  <c r="F299" i="17"/>
  <c r="B299" i="17"/>
  <c r="A299" i="17"/>
  <c r="R298" i="17"/>
  <c r="Q298" i="17"/>
  <c r="P298" i="17"/>
  <c r="M298" i="17"/>
  <c r="G298" i="17"/>
  <c r="F298" i="17"/>
  <c r="B298" i="17"/>
  <c r="A298" i="17"/>
  <c r="R297" i="17"/>
  <c r="Q297" i="17"/>
  <c r="P297" i="17"/>
  <c r="M297" i="17"/>
  <c r="G297" i="17"/>
  <c r="F297" i="17"/>
  <c r="B297" i="17"/>
  <c r="A297" i="17"/>
  <c r="R296" i="17"/>
  <c r="Q296" i="17"/>
  <c r="P296" i="17"/>
  <c r="M296" i="17"/>
  <c r="G296" i="17"/>
  <c r="F296" i="17"/>
  <c r="B296" i="17"/>
  <c r="A296" i="17"/>
  <c r="R295" i="17"/>
  <c r="Q295" i="17"/>
  <c r="P295" i="17"/>
  <c r="M295" i="17"/>
  <c r="G295" i="17"/>
  <c r="F295" i="17"/>
  <c r="C295" i="17"/>
  <c r="B295" i="17"/>
  <c r="A295" i="17"/>
  <c r="R294" i="17"/>
  <c r="Q294" i="17"/>
  <c r="P294" i="17"/>
  <c r="M294" i="17"/>
  <c r="G294" i="17"/>
  <c r="F294" i="17"/>
  <c r="B294" i="17"/>
  <c r="C294" i="17" s="1"/>
  <c r="A294" i="17"/>
  <c r="R293" i="17"/>
  <c r="Q293" i="17"/>
  <c r="P293" i="17"/>
  <c r="M293" i="17"/>
  <c r="G293" i="17"/>
  <c r="F293" i="17"/>
  <c r="C293" i="17"/>
  <c r="B293" i="17"/>
  <c r="A293" i="17"/>
  <c r="R292" i="17"/>
  <c r="Q292" i="17"/>
  <c r="P292" i="17"/>
  <c r="M292" i="17"/>
  <c r="G292" i="17"/>
  <c r="F292" i="17"/>
  <c r="C292" i="17"/>
  <c r="B292" i="17"/>
  <c r="A292" i="17"/>
  <c r="R291" i="17"/>
  <c r="Q291" i="17"/>
  <c r="P291" i="17"/>
  <c r="M291" i="17"/>
  <c r="G291" i="17"/>
  <c r="F291" i="17"/>
  <c r="B291" i="17"/>
  <c r="A291" i="17"/>
  <c r="R290" i="17"/>
  <c r="Q290" i="17"/>
  <c r="P290" i="17"/>
  <c r="M290" i="17"/>
  <c r="G290" i="17"/>
  <c r="F290" i="17"/>
  <c r="B290" i="17"/>
  <c r="A290" i="17"/>
  <c r="R289" i="17"/>
  <c r="Q289" i="17"/>
  <c r="P289" i="17"/>
  <c r="M289" i="17"/>
  <c r="G289" i="17"/>
  <c r="F289" i="17"/>
  <c r="B289" i="17"/>
  <c r="A289" i="17"/>
  <c r="R288" i="17"/>
  <c r="Q288" i="17"/>
  <c r="P288" i="17"/>
  <c r="M288" i="17"/>
  <c r="G288" i="17"/>
  <c r="F288" i="17"/>
  <c r="B288" i="17"/>
  <c r="A288" i="17"/>
  <c r="R287" i="17"/>
  <c r="Q287" i="17"/>
  <c r="P287" i="17"/>
  <c r="M287" i="17"/>
  <c r="G287" i="17"/>
  <c r="F287" i="17"/>
  <c r="C287" i="17"/>
  <c r="B287" i="17"/>
  <c r="A287" i="17"/>
  <c r="R286" i="17"/>
  <c r="Q286" i="17"/>
  <c r="P286" i="17"/>
  <c r="M286" i="17"/>
  <c r="G286" i="17"/>
  <c r="F286" i="17"/>
  <c r="B286" i="17"/>
  <c r="C286" i="17" s="1"/>
  <c r="A286" i="17"/>
  <c r="R285" i="17"/>
  <c r="Q285" i="17"/>
  <c r="P285" i="17"/>
  <c r="M285" i="17"/>
  <c r="G285" i="17"/>
  <c r="F285" i="17"/>
  <c r="C285" i="17"/>
  <c r="B285" i="17"/>
  <c r="A285" i="17"/>
  <c r="R284" i="17"/>
  <c r="Q284" i="17"/>
  <c r="P284" i="17"/>
  <c r="M284" i="17"/>
  <c r="G284" i="17"/>
  <c r="F284" i="17"/>
  <c r="C284" i="17"/>
  <c r="B284" i="17"/>
  <c r="A284" i="17"/>
  <c r="R283" i="17"/>
  <c r="Q283" i="17"/>
  <c r="P283" i="17"/>
  <c r="M283" i="17"/>
  <c r="G283" i="17"/>
  <c r="F283" i="17"/>
  <c r="B283" i="17"/>
  <c r="A283" i="17"/>
  <c r="R282" i="17"/>
  <c r="Q282" i="17"/>
  <c r="P282" i="17"/>
  <c r="M282" i="17"/>
  <c r="G282" i="17"/>
  <c r="F282" i="17"/>
  <c r="B282" i="17"/>
  <c r="A282" i="17"/>
  <c r="R281" i="17"/>
  <c r="Q281" i="17"/>
  <c r="P281" i="17"/>
  <c r="M281" i="17"/>
  <c r="G281" i="17"/>
  <c r="F281" i="17"/>
  <c r="B281" i="17"/>
  <c r="A281" i="17"/>
  <c r="R280" i="17"/>
  <c r="Q280" i="17"/>
  <c r="P280" i="17"/>
  <c r="M280" i="17"/>
  <c r="G280" i="17"/>
  <c r="F280" i="17"/>
  <c r="B280" i="17"/>
  <c r="A280" i="17"/>
  <c r="R279" i="17"/>
  <c r="Q279" i="17"/>
  <c r="P279" i="17"/>
  <c r="M279" i="17"/>
  <c r="G279" i="17"/>
  <c r="F279" i="17"/>
  <c r="C279" i="17"/>
  <c r="B279" i="17"/>
  <c r="A279" i="17"/>
  <c r="R278" i="17"/>
  <c r="Q278" i="17"/>
  <c r="P278" i="17"/>
  <c r="M278" i="17"/>
  <c r="G278" i="17"/>
  <c r="F278" i="17"/>
  <c r="B278" i="17"/>
  <c r="C278" i="17" s="1"/>
  <c r="A278" i="17"/>
  <c r="R277" i="17"/>
  <c r="Q277" i="17"/>
  <c r="P277" i="17"/>
  <c r="M277" i="17"/>
  <c r="G277" i="17"/>
  <c r="F277" i="17"/>
  <c r="C277" i="17"/>
  <c r="B277" i="17"/>
  <c r="A277" i="17"/>
  <c r="R276" i="17"/>
  <c r="Q276" i="17"/>
  <c r="P276" i="17"/>
  <c r="M276" i="17"/>
  <c r="G276" i="17"/>
  <c r="F276" i="17"/>
  <c r="C276" i="17"/>
  <c r="B276" i="17"/>
  <c r="A276" i="17"/>
  <c r="R275" i="17"/>
  <c r="Q275" i="17"/>
  <c r="P275" i="17"/>
  <c r="M275" i="17"/>
  <c r="G275" i="17"/>
  <c r="F275" i="17"/>
  <c r="B275" i="17"/>
  <c r="A275" i="17"/>
  <c r="R274" i="17"/>
  <c r="Q274" i="17"/>
  <c r="P274" i="17"/>
  <c r="M274" i="17"/>
  <c r="G274" i="17"/>
  <c r="F274" i="17"/>
  <c r="B274" i="17"/>
  <c r="A274" i="17"/>
  <c r="R273" i="17"/>
  <c r="Q273" i="17"/>
  <c r="P273" i="17"/>
  <c r="M273" i="17"/>
  <c r="G273" i="17"/>
  <c r="F273" i="17"/>
  <c r="B273" i="17"/>
  <c r="A273" i="17"/>
  <c r="R272" i="17"/>
  <c r="Q272" i="17"/>
  <c r="P272" i="17"/>
  <c r="M272" i="17"/>
  <c r="G272" i="17"/>
  <c r="F272" i="17"/>
  <c r="B272" i="17"/>
  <c r="A272" i="17"/>
  <c r="R271" i="17"/>
  <c r="Q271" i="17"/>
  <c r="P271" i="17"/>
  <c r="M271" i="17"/>
  <c r="G271" i="17"/>
  <c r="F271" i="17"/>
  <c r="C271" i="17"/>
  <c r="B271" i="17"/>
  <c r="A271" i="17"/>
  <c r="R270" i="17"/>
  <c r="Q270" i="17"/>
  <c r="P270" i="17"/>
  <c r="M270" i="17"/>
  <c r="G270" i="17"/>
  <c r="F270" i="17"/>
  <c r="B270" i="17"/>
  <c r="C270" i="17" s="1"/>
  <c r="A270" i="17"/>
  <c r="R269" i="17"/>
  <c r="Q269" i="17"/>
  <c r="P269" i="17"/>
  <c r="M269" i="17"/>
  <c r="G269" i="17"/>
  <c r="F269" i="17"/>
  <c r="C269" i="17"/>
  <c r="B269" i="17"/>
  <c r="A269" i="17"/>
  <c r="R268" i="17"/>
  <c r="Q268" i="17"/>
  <c r="P268" i="17"/>
  <c r="M268" i="17"/>
  <c r="G268" i="17"/>
  <c r="F268" i="17"/>
  <c r="C268" i="17"/>
  <c r="B268" i="17"/>
  <c r="A268" i="17"/>
  <c r="R267" i="17"/>
  <c r="Q267" i="17"/>
  <c r="P267" i="17"/>
  <c r="M267" i="17"/>
  <c r="G267" i="17"/>
  <c r="F267" i="17"/>
  <c r="B267" i="17"/>
  <c r="A267" i="17"/>
  <c r="R266" i="17"/>
  <c r="Q266" i="17"/>
  <c r="P266" i="17"/>
  <c r="M266" i="17"/>
  <c r="G266" i="17"/>
  <c r="F266" i="17"/>
  <c r="B266" i="17"/>
  <c r="A266" i="17"/>
  <c r="R265" i="17"/>
  <c r="Q265" i="17"/>
  <c r="P265" i="17"/>
  <c r="M265" i="17"/>
  <c r="G265" i="17"/>
  <c r="F265" i="17"/>
  <c r="B265" i="17"/>
  <c r="A265" i="17"/>
  <c r="R264" i="17"/>
  <c r="Q264" i="17"/>
  <c r="P264" i="17"/>
  <c r="M264" i="17"/>
  <c r="G264" i="17"/>
  <c r="F264" i="17"/>
  <c r="B264" i="17"/>
  <c r="A264" i="17"/>
  <c r="R263" i="17"/>
  <c r="Q263" i="17"/>
  <c r="P263" i="17"/>
  <c r="M263" i="17"/>
  <c r="G263" i="17"/>
  <c r="F263" i="17"/>
  <c r="C263" i="17"/>
  <c r="B263" i="17"/>
  <c r="A263" i="17"/>
  <c r="R262" i="17"/>
  <c r="Q262" i="17"/>
  <c r="P262" i="17"/>
  <c r="M262" i="17"/>
  <c r="G262" i="17"/>
  <c r="F262" i="17"/>
  <c r="B262" i="17"/>
  <c r="C262" i="17" s="1"/>
  <c r="A262" i="17"/>
  <c r="R261" i="17"/>
  <c r="Q261" i="17"/>
  <c r="P261" i="17"/>
  <c r="M261" i="17"/>
  <c r="G261" i="17"/>
  <c r="F261" i="17"/>
  <c r="C261" i="17"/>
  <c r="B261" i="17"/>
  <c r="A261" i="17"/>
  <c r="R260" i="17"/>
  <c r="Q260" i="17"/>
  <c r="P260" i="17"/>
  <c r="M260" i="17"/>
  <c r="G260" i="17"/>
  <c r="F260" i="17"/>
  <c r="C260" i="17"/>
  <c r="B260" i="17"/>
  <c r="A260" i="17"/>
  <c r="R259" i="17"/>
  <c r="Q259" i="17"/>
  <c r="P259" i="17"/>
  <c r="M259" i="17"/>
  <c r="G259" i="17"/>
  <c r="F259" i="17"/>
  <c r="B259" i="17"/>
  <c r="A259" i="17"/>
  <c r="R258" i="17"/>
  <c r="Q258" i="17"/>
  <c r="P258" i="17"/>
  <c r="M258" i="17"/>
  <c r="G258" i="17"/>
  <c r="F258" i="17"/>
  <c r="B258" i="17"/>
  <c r="A258" i="17"/>
  <c r="R257" i="17"/>
  <c r="Q257" i="17"/>
  <c r="P257" i="17"/>
  <c r="M257" i="17"/>
  <c r="G257" i="17"/>
  <c r="F257" i="17"/>
  <c r="B257" i="17"/>
  <c r="A257" i="17"/>
  <c r="R256" i="17"/>
  <c r="Q256" i="17"/>
  <c r="P256" i="17"/>
  <c r="M256" i="17"/>
  <c r="G256" i="17"/>
  <c r="F256" i="17"/>
  <c r="B256" i="17"/>
  <c r="A256" i="17"/>
  <c r="R255" i="17"/>
  <c r="Q255" i="17"/>
  <c r="P255" i="17"/>
  <c r="M255" i="17"/>
  <c r="G255" i="17"/>
  <c r="F255" i="17"/>
  <c r="C255" i="17"/>
  <c r="B255" i="17"/>
  <c r="A255" i="17"/>
  <c r="R254" i="17"/>
  <c r="Q254" i="17"/>
  <c r="P254" i="17"/>
  <c r="M254" i="17"/>
  <c r="G254" i="17"/>
  <c r="F254" i="17"/>
  <c r="B254" i="17"/>
  <c r="A254" i="17"/>
  <c r="R253" i="17"/>
  <c r="Q253" i="17"/>
  <c r="P253" i="17"/>
  <c r="M253" i="17"/>
  <c r="G253" i="17"/>
  <c r="F253" i="17"/>
  <c r="B253" i="17"/>
  <c r="C253" i="17" s="1"/>
  <c r="A253" i="17"/>
  <c r="R252" i="17"/>
  <c r="Q252" i="17"/>
  <c r="P252" i="17"/>
  <c r="M252" i="17"/>
  <c r="G252" i="17"/>
  <c r="F252" i="17"/>
  <c r="B252" i="17"/>
  <c r="A252" i="17"/>
  <c r="R251" i="17"/>
  <c r="Q251" i="17"/>
  <c r="P251" i="17"/>
  <c r="M251" i="17"/>
  <c r="G251" i="17"/>
  <c r="F251" i="17"/>
  <c r="B251" i="17"/>
  <c r="A251" i="17"/>
  <c r="R250" i="17"/>
  <c r="Q250" i="17"/>
  <c r="P250" i="17"/>
  <c r="M250" i="17"/>
  <c r="G250" i="17"/>
  <c r="F250" i="17"/>
  <c r="B250" i="17"/>
  <c r="C250" i="17" s="1"/>
  <c r="A250" i="17"/>
  <c r="R249" i="17"/>
  <c r="Q249" i="17"/>
  <c r="P249" i="17"/>
  <c r="M249" i="17"/>
  <c r="G249" i="17"/>
  <c r="F249" i="17"/>
  <c r="B249" i="17"/>
  <c r="A249" i="17"/>
  <c r="R248" i="17"/>
  <c r="Q248" i="17"/>
  <c r="P248" i="17"/>
  <c r="M248" i="17"/>
  <c r="G248" i="17"/>
  <c r="F248" i="17"/>
  <c r="B248" i="17"/>
  <c r="A248" i="17"/>
  <c r="R247" i="17"/>
  <c r="Q247" i="17"/>
  <c r="P247" i="17"/>
  <c r="M247" i="17"/>
  <c r="G247" i="17"/>
  <c r="F247" i="17"/>
  <c r="C247" i="17"/>
  <c r="B247" i="17"/>
  <c r="A247" i="17"/>
  <c r="R246" i="17"/>
  <c r="Q246" i="17"/>
  <c r="P246" i="17"/>
  <c r="M246" i="17"/>
  <c r="G246" i="17"/>
  <c r="F246" i="17"/>
  <c r="B246" i="17"/>
  <c r="A246" i="17"/>
  <c r="R245" i="17"/>
  <c r="Q245" i="17"/>
  <c r="P245" i="17"/>
  <c r="M245" i="17"/>
  <c r="G245" i="17"/>
  <c r="F245" i="17"/>
  <c r="B245" i="17"/>
  <c r="A245" i="17"/>
  <c r="R244" i="17"/>
  <c r="Q244" i="17"/>
  <c r="P244" i="17"/>
  <c r="M244" i="17"/>
  <c r="G244" i="17"/>
  <c r="F244" i="17"/>
  <c r="C244" i="17"/>
  <c r="B244" i="17"/>
  <c r="A244" i="17"/>
  <c r="R243" i="17"/>
  <c r="Q243" i="17"/>
  <c r="P243" i="17"/>
  <c r="M243" i="17"/>
  <c r="G243" i="17"/>
  <c r="F243" i="17"/>
  <c r="B243" i="17"/>
  <c r="C243" i="17" s="1"/>
  <c r="A243" i="17"/>
  <c r="R242" i="17"/>
  <c r="Q242" i="17"/>
  <c r="P242" i="17"/>
  <c r="M242" i="17"/>
  <c r="G242" i="17"/>
  <c r="F242" i="17"/>
  <c r="B242" i="17"/>
  <c r="C242" i="17" s="1"/>
  <c r="A242" i="17"/>
  <c r="R241" i="17"/>
  <c r="Q241" i="17"/>
  <c r="P241" i="17"/>
  <c r="M241" i="17"/>
  <c r="G241" i="17"/>
  <c r="F241" i="17"/>
  <c r="B241" i="17"/>
  <c r="A241" i="17"/>
  <c r="R240" i="17"/>
  <c r="Q240" i="17"/>
  <c r="P240" i="17"/>
  <c r="M240" i="17"/>
  <c r="G240" i="17"/>
  <c r="F240" i="17"/>
  <c r="B240" i="17"/>
  <c r="A240" i="17"/>
  <c r="R239" i="17"/>
  <c r="Q239" i="17"/>
  <c r="P239" i="17"/>
  <c r="M239" i="17"/>
  <c r="G239" i="17"/>
  <c r="F239" i="17"/>
  <c r="C239" i="17"/>
  <c r="B239" i="17"/>
  <c r="A239" i="17"/>
  <c r="R238" i="17"/>
  <c r="Q238" i="17"/>
  <c r="P238" i="17"/>
  <c r="M238" i="17"/>
  <c r="G238" i="17"/>
  <c r="F238" i="17"/>
  <c r="B238" i="17"/>
  <c r="A238" i="17"/>
  <c r="R237" i="17"/>
  <c r="Q237" i="17"/>
  <c r="P237" i="17"/>
  <c r="M237" i="17"/>
  <c r="G237" i="17"/>
  <c r="F237" i="17"/>
  <c r="B237" i="17"/>
  <c r="C237" i="17" s="1"/>
  <c r="A237" i="17"/>
  <c r="R236" i="17"/>
  <c r="Q236" i="17"/>
  <c r="P236" i="17"/>
  <c r="M236" i="17"/>
  <c r="G236" i="17"/>
  <c r="F236" i="17"/>
  <c r="C236" i="17"/>
  <c r="B236" i="17"/>
  <c r="A236" i="17"/>
  <c r="R235" i="17"/>
  <c r="Q235" i="17"/>
  <c r="P235" i="17"/>
  <c r="M235" i="17"/>
  <c r="G235" i="17"/>
  <c r="F235" i="17"/>
  <c r="B235" i="17"/>
  <c r="A235" i="17"/>
  <c r="R234" i="17"/>
  <c r="Q234" i="17"/>
  <c r="P234" i="17"/>
  <c r="M234" i="17"/>
  <c r="G234" i="17"/>
  <c r="F234" i="17"/>
  <c r="B234" i="17"/>
  <c r="A234" i="17"/>
  <c r="R233" i="17"/>
  <c r="Q233" i="17"/>
  <c r="P233" i="17"/>
  <c r="M233" i="17"/>
  <c r="G233" i="17"/>
  <c r="F233" i="17"/>
  <c r="B233" i="17"/>
  <c r="A233" i="17"/>
  <c r="R232" i="17"/>
  <c r="Q232" i="17"/>
  <c r="P232" i="17"/>
  <c r="M232" i="17"/>
  <c r="G232" i="17"/>
  <c r="F232" i="17"/>
  <c r="B232" i="17"/>
  <c r="A232" i="17"/>
  <c r="R231" i="17"/>
  <c r="Q231" i="17"/>
  <c r="P231" i="17"/>
  <c r="M231" i="17"/>
  <c r="G231" i="17"/>
  <c r="F231" i="17"/>
  <c r="C231" i="17"/>
  <c r="B231" i="17"/>
  <c r="A231" i="17"/>
  <c r="R230" i="17"/>
  <c r="Q230" i="17"/>
  <c r="P230" i="17"/>
  <c r="M230" i="17"/>
  <c r="G230" i="17"/>
  <c r="F230" i="17"/>
  <c r="B230" i="17"/>
  <c r="A230" i="17"/>
  <c r="R229" i="17"/>
  <c r="Q229" i="17"/>
  <c r="P229" i="17"/>
  <c r="M229" i="17"/>
  <c r="G229" i="17"/>
  <c r="F229" i="17"/>
  <c r="C229" i="17"/>
  <c r="B229" i="17"/>
  <c r="A229" i="17"/>
  <c r="R228" i="17"/>
  <c r="Q228" i="17"/>
  <c r="P228" i="17"/>
  <c r="M228" i="17"/>
  <c r="G228" i="17"/>
  <c r="F228" i="17"/>
  <c r="C228" i="17"/>
  <c r="B228" i="17"/>
  <c r="A228" i="17"/>
  <c r="R227" i="17"/>
  <c r="Q227" i="17"/>
  <c r="P227" i="17"/>
  <c r="M227" i="17"/>
  <c r="G227" i="17"/>
  <c r="F227" i="17"/>
  <c r="B227" i="17"/>
  <c r="A227" i="17"/>
  <c r="R226" i="17"/>
  <c r="Q226" i="17"/>
  <c r="P226" i="17"/>
  <c r="M226" i="17"/>
  <c r="G226" i="17"/>
  <c r="F226" i="17"/>
  <c r="B226" i="17"/>
  <c r="C226" i="17" s="1"/>
  <c r="A226" i="17"/>
  <c r="R225" i="17"/>
  <c r="Q225" i="17"/>
  <c r="P225" i="17"/>
  <c r="M225" i="17"/>
  <c r="G225" i="17"/>
  <c r="F225" i="17"/>
  <c r="B225" i="17"/>
  <c r="A225" i="17"/>
  <c r="R224" i="17"/>
  <c r="Q224" i="17"/>
  <c r="P224" i="17"/>
  <c r="M224" i="17"/>
  <c r="G224" i="17"/>
  <c r="F224" i="17"/>
  <c r="B224" i="17"/>
  <c r="A224" i="17"/>
  <c r="R223" i="17"/>
  <c r="Q223" i="17"/>
  <c r="P223" i="17"/>
  <c r="M223" i="17"/>
  <c r="G223" i="17"/>
  <c r="F223" i="17"/>
  <c r="C223" i="17"/>
  <c r="B223" i="17"/>
  <c r="A223" i="17"/>
  <c r="R222" i="17"/>
  <c r="Q222" i="17"/>
  <c r="P222" i="17"/>
  <c r="M222" i="17"/>
  <c r="G222" i="17"/>
  <c r="F222" i="17"/>
  <c r="B222" i="17"/>
  <c r="A222" i="17"/>
  <c r="R221" i="17"/>
  <c r="Q221" i="17"/>
  <c r="P221" i="17"/>
  <c r="M221" i="17"/>
  <c r="G221" i="17"/>
  <c r="F221" i="17"/>
  <c r="B221" i="17"/>
  <c r="A221" i="17"/>
  <c r="R220" i="17"/>
  <c r="Q220" i="17"/>
  <c r="P220" i="17"/>
  <c r="M220" i="17"/>
  <c r="G220" i="17"/>
  <c r="F220" i="17"/>
  <c r="B220" i="17"/>
  <c r="A220" i="17"/>
  <c r="R219" i="17"/>
  <c r="Q219" i="17"/>
  <c r="P219" i="17"/>
  <c r="M219" i="17"/>
  <c r="G219" i="17"/>
  <c r="F219" i="17"/>
  <c r="B219" i="17"/>
  <c r="A219" i="17"/>
  <c r="R218" i="17"/>
  <c r="Q218" i="17"/>
  <c r="P218" i="17"/>
  <c r="M218" i="17"/>
  <c r="G218" i="17"/>
  <c r="F218" i="17"/>
  <c r="B218" i="17"/>
  <c r="C218" i="17" s="1"/>
  <c r="A218" i="17"/>
  <c r="R217" i="17"/>
  <c r="Q217" i="17"/>
  <c r="P217" i="17"/>
  <c r="M217" i="17"/>
  <c r="G217" i="17"/>
  <c r="F217" i="17"/>
  <c r="B217" i="17"/>
  <c r="A217" i="17"/>
  <c r="R216" i="17"/>
  <c r="Q216" i="17"/>
  <c r="P216" i="17"/>
  <c r="M216" i="17"/>
  <c r="G216" i="17"/>
  <c r="F216" i="17"/>
  <c r="B216" i="17"/>
  <c r="A216" i="17"/>
  <c r="R215" i="17"/>
  <c r="Q215" i="17"/>
  <c r="P215" i="17"/>
  <c r="M215" i="17"/>
  <c r="G215" i="17"/>
  <c r="F215" i="17"/>
  <c r="C215" i="17"/>
  <c r="B215" i="17"/>
  <c r="A215" i="17"/>
  <c r="R214" i="17"/>
  <c r="Q214" i="17"/>
  <c r="P214" i="17"/>
  <c r="M214" i="17"/>
  <c r="G214" i="17"/>
  <c r="F214" i="17"/>
  <c r="B214" i="17"/>
  <c r="A214" i="17"/>
  <c r="R213" i="17"/>
  <c r="Q213" i="17"/>
  <c r="P213" i="17"/>
  <c r="M213" i="17"/>
  <c r="G213" i="17"/>
  <c r="F213" i="17"/>
  <c r="B213" i="17"/>
  <c r="A213" i="17"/>
  <c r="R212" i="17"/>
  <c r="Q212" i="17"/>
  <c r="P212" i="17"/>
  <c r="M212" i="17"/>
  <c r="G212" i="17"/>
  <c r="F212" i="17"/>
  <c r="C212" i="17"/>
  <c r="B212" i="17"/>
  <c r="A212" i="17"/>
  <c r="R211" i="17"/>
  <c r="Q211" i="17"/>
  <c r="P211" i="17"/>
  <c r="M211" i="17"/>
  <c r="G211" i="17"/>
  <c r="F211" i="17"/>
  <c r="B211" i="17"/>
  <c r="C211" i="17" s="1"/>
  <c r="A211" i="17"/>
  <c r="R210" i="17"/>
  <c r="Q210" i="17"/>
  <c r="P210" i="17"/>
  <c r="M210" i="17"/>
  <c r="G210" i="17"/>
  <c r="F210" i="17"/>
  <c r="B210" i="17"/>
  <c r="C210" i="17" s="1"/>
  <c r="A210" i="17"/>
  <c r="R209" i="17"/>
  <c r="Q209" i="17"/>
  <c r="P209" i="17"/>
  <c r="M209" i="17"/>
  <c r="G209" i="17"/>
  <c r="F209" i="17"/>
  <c r="B209" i="17"/>
  <c r="A209" i="17"/>
  <c r="R208" i="17"/>
  <c r="Q208" i="17"/>
  <c r="P208" i="17"/>
  <c r="M208" i="17"/>
  <c r="G208" i="17"/>
  <c r="F208" i="17"/>
  <c r="B208" i="17"/>
  <c r="A208" i="17"/>
  <c r="R207" i="17"/>
  <c r="Q207" i="17"/>
  <c r="P207" i="17"/>
  <c r="M207" i="17"/>
  <c r="G207" i="17"/>
  <c r="F207" i="17"/>
  <c r="C207" i="17"/>
  <c r="B207" i="17"/>
  <c r="A207" i="17"/>
  <c r="R206" i="17"/>
  <c r="Q206" i="17"/>
  <c r="P206" i="17"/>
  <c r="M206" i="17"/>
  <c r="G206" i="17"/>
  <c r="F206" i="17"/>
  <c r="B206" i="17"/>
  <c r="A206" i="17"/>
  <c r="R205" i="17"/>
  <c r="Q205" i="17"/>
  <c r="P205" i="17"/>
  <c r="M205" i="17"/>
  <c r="G205" i="17"/>
  <c r="F205" i="17"/>
  <c r="B205" i="17"/>
  <c r="A205" i="17"/>
  <c r="R204" i="17"/>
  <c r="Q204" i="17"/>
  <c r="P204" i="17"/>
  <c r="M204" i="17"/>
  <c r="G204" i="17"/>
  <c r="F204" i="17"/>
  <c r="C204" i="17"/>
  <c r="B204" i="17"/>
  <c r="A204" i="17"/>
  <c r="R203" i="17"/>
  <c r="Q203" i="17"/>
  <c r="P203" i="17"/>
  <c r="M203" i="17"/>
  <c r="G203" i="17"/>
  <c r="F203" i="17"/>
  <c r="B203" i="17"/>
  <c r="A203" i="17"/>
  <c r="R202" i="17"/>
  <c r="Q202" i="17"/>
  <c r="P202" i="17"/>
  <c r="M202" i="17"/>
  <c r="G202" i="17"/>
  <c r="F202" i="17"/>
  <c r="B202" i="17"/>
  <c r="C202" i="17" s="1"/>
  <c r="A202" i="17"/>
  <c r="R201" i="17"/>
  <c r="Q201" i="17"/>
  <c r="P201" i="17"/>
  <c r="M201" i="17"/>
  <c r="G201" i="17"/>
  <c r="F201" i="17"/>
  <c r="B201" i="17"/>
  <c r="A201" i="17"/>
  <c r="R200" i="17"/>
  <c r="Q200" i="17"/>
  <c r="P200" i="17"/>
  <c r="M200" i="17"/>
  <c r="G200" i="17"/>
  <c r="F200" i="17"/>
  <c r="B200" i="17"/>
  <c r="A200" i="17"/>
  <c r="R199" i="17"/>
  <c r="Q199" i="17"/>
  <c r="P199" i="17"/>
  <c r="M199" i="17"/>
  <c r="G199" i="17"/>
  <c r="F199" i="17"/>
  <c r="C199" i="17"/>
  <c r="B199" i="17"/>
  <c r="A199" i="17"/>
  <c r="R198" i="17"/>
  <c r="Q198" i="17"/>
  <c r="P198" i="17"/>
  <c r="M198" i="17"/>
  <c r="G198" i="17"/>
  <c r="F198" i="17"/>
  <c r="B198" i="17"/>
  <c r="A198" i="17"/>
  <c r="R197" i="17"/>
  <c r="Q197" i="17"/>
  <c r="P197" i="17"/>
  <c r="M197" i="17"/>
  <c r="G197" i="17"/>
  <c r="F197" i="17"/>
  <c r="C197" i="17"/>
  <c r="B197" i="17"/>
  <c r="A197" i="17"/>
  <c r="R196" i="17"/>
  <c r="Q196" i="17"/>
  <c r="P196" i="17"/>
  <c r="M196" i="17"/>
  <c r="G196" i="17"/>
  <c r="F196" i="17"/>
  <c r="C196" i="17"/>
  <c r="B196" i="17"/>
  <c r="A196" i="17"/>
  <c r="R195" i="17"/>
  <c r="Q195" i="17"/>
  <c r="P195" i="17"/>
  <c r="M195" i="17"/>
  <c r="G195" i="17"/>
  <c r="F195" i="17"/>
  <c r="B195" i="17"/>
  <c r="C195" i="17" s="1"/>
  <c r="A195" i="17"/>
  <c r="R194" i="17"/>
  <c r="Q194" i="17"/>
  <c r="P194" i="17"/>
  <c r="M194" i="17"/>
  <c r="G194" i="17"/>
  <c r="F194" i="17"/>
  <c r="C194" i="17"/>
  <c r="B194" i="17"/>
  <c r="A194" i="17"/>
  <c r="R193" i="17"/>
  <c r="Q193" i="17"/>
  <c r="P193" i="17"/>
  <c r="M193" i="17"/>
  <c r="G193" i="17"/>
  <c r="F193" i="17"/>
  <c r="B193" i="17"/>
  <c r="A193" i="17"/>
  <c r="R192" i="17"/>
  <c r="Q192" i="17"/>
  <c r="P192" i="17"/>
  <c r="M192" i="17"/>
  <c r="G192" i="17"/>
  <c r="F192" i="17"/>
  <c r="C192" i="17"/>
  <c r="B192" i="17"/>
  <c r="A192" i="17"/>
  <c r="R191" i="17"/>
  <c r="Q191" i="17"/>
  <c r="P191" i="17"/>
  <c r="M191" i="17"/>
  <c r="G191" i="17"/>
  <c r="F191" i="17"/>
  <c r="B191" i="17"/>
  <c r="C191" i="17" s="1"/>
  <c r="A191" i="17"/>
  <c r="R190" i="17"/>
  <c r="Q190" i="17"/>
  <c r="P190" i="17"/>
  <c r="M190" i="17"/>
  <c r="G190" i="17"/>
  <c r="F190" i="17"/>
  <c r="C190" i="17"/>
  <c r="B190" i="17"/>
  <c r="A190" i="17"/>
  <c r="R189" i="17"/>
  <c r="Q189" i="17"/>
  <c r="P189" i="17"/>
  <c r="M189" i="17"/>
  <c r="G189" i="17"/>
  <c r="F189" i="17"/>
  <c r="B189" i="17"/>
  <c r="A189" i="17"/>
  <c r="R188" i="17"/>
  <c r="Q188" i="17"/>
  <c r="P188" i="17"/>
  <c r="M188" i="17"/>
  <c r="G188" i="17"/>
  <c r="F188" i="17"/>
  <c r="C188" i="17"/>
  <c r="B188" i="17"/>
  <c r="A188" i="17"/>
  <c r="R187" i="17"/>
  <c r="Q187" i="17"/>
  <c r="P187" i="17"/>
  <c r="M187" i="17"/>
  <c r="G187" i="17"/>
  <c r="F187" i="17"/>
  <c r="B187" i="17"/>
  <c r="C187" i="17" s="1"/>
  <c r="A187" i="17"/>
  <c r="R186" i="17"/>
  <c r="Q186" i="17"/>
  <c r="P186" i="17"/>
  <c r="M186" i="17"/>
  <c r="G186" i="17"/>
  <c r="F186" i="17"/>
  <c r="C186" i="17"/>
  <c r="B186" i="17"/>
  <c r="A186" i="17"/>
  <c r="R185" i="17"/>
  <c r="Q185" i="17"/>
  <c r="P185" i="17"/>
  <c r="M185" i="17"/>
  <c r="G185" i="17"/>
  <c r="F185" i="17"/>
  <c r="B185" i="17"/>
  <c r="A185" i="17"/>
  <c r="R184" i="17"/>
  <c r="Q184" i="17"/>
  <c r="P184" i="17"/>
  <c r="M184" i="17"/>
  <c r="G184" i="17"/>
  <c r="F184" i="17"/>
  <c r="C184" i="17"/>
  <c r="B184" i="17"/>
  <c r="A184" i="17"/>
  <c r="R183" i="17"/>
  <c r="Q183" i="17"/>
  <c r="P183" i="17"/>
  <c r="M183" i="17"/>
  <c r="G183" i="17"/>
  <c r="F183" i="17"/>
  <c r="B183" i="17"/>
  <c r="C183" i="17" s="1"/>
  <c r="A183" i="17"/>
  <c r="R182" i="17"/>
  <c r="Q182" i="17"/>
  <c r="P182" i="17"/>
  <c r="M182" i="17"/>
  <c r="G182" i="17"/>
  <c r="F182" i="17"/>
  <c r="C182" i="17"/>
  <c r="B182" i="17"/>
  <c r="A182" i="17"/>
  <c r="R181" i="17"/>
  <c r="Q181" i="17"/>
  <c r="P181" i="17"/>
  <c r="M181" i="17"/>
  <c r="G181" i="17"/>
  <c r="F181" i="17"/>
  <c r="B181" i="17"/>
  <c r="A181" i="17"/>
  <c r="R180" i="17"/>
  <c r="Q180" i="17"/>
  <c r="P180" i="17"/>
  <c r="M180" i="17"/>
  <c r="G180" i="17"/>
  <c r="F180" i="17"/>
  <c r="C180" i="17"/>
  <c r="B180" i="17"/>
  <c r="A180" i="17"/>
  <c r="R179" i="17"/>
  <c r="Q179" i="17"/>
  <c r="P179" i="17"/>
  <c r="M179" i="17"/>
  <c r="G179" i="17"/>
  <c r="F179" i="17"/>
  <c r="B179" i="17"/>
  <c r="C179" i="17" s="1"/>
  <c r="A179" i="17"/>
  <c r="R178" i="17"/>
  <c r="Q178" i="17"/>
  <c r="P178" i="17"/>
  <c r="M178" i="17"/>
  <c r="G178" i="17"/>
  <c r="F178" i="17"/>
  <c r="C178" i="17"/>
  <c r="B178" i="17"/>
  <c r="A178" i="17"/>
  <c r="R177" i="17"/>
  <c r="Q177" i="17"/>
  <c r="P177" i="17"/>
  <c r="M177" i="17"/>
  <c r="G177" i="17"/>
  <c r="F177" i="17"/>
  <c r="B177" i="17"/>
  <c r="A177" i="17"/>
  <c r="R176" i="17"/>
  <c r="Q176" i="17"/>
  <c r="P176" i="17"/>
  <c r="M176" i="17"/>
  <c r="G176" i="17"/>
  <c r="F176" i="17"/>
  <c r="C176" i="17"/>
  <c r="B176" i="17"/>
  <c r="A176" i="17"/>
  <c r="R175" i="17"/>
  <c r="Q175" i="17"/>
  <c r="P175" i="17"/>
  <c r="M175" i="17"/>
  <c r="G175" i="17"/>
  <c r="F175" i="17"/>
  <c r="B175" i="17"/>
  <c r="C175" i="17" s="1"/>
  <c r="A175" i="17"/>
  <c r="R174" i="17"/>
  <c r="Q174" i="17"/>
  <c r="P174" i="17"/>
  <c r="M174" i="17"/>
  <c r="G174" i="17"/>
  <c r="F174" i="17"/>
  <c r="C174" i="17"/>
  <c r="B174" i="17"/>
  <c r="A174" i="17"/>
  <c r="R173" i="17"/>
  <c r="Q173" i="17"/>
  <c r="P173" i="17"/>
  <c r="M173" i="17"/>
  <c r="G173" i="17"/>
  <c r="F173" i="17"/>
  <c r="B173" i="17"/>
  <c r="A173" i="17"/>
  <c r="R172" i="17"/>
  <c r="Q172" i="17"/>
  <c r="P172" i="17"/>
  <c r="M172" i="17"/>
  <c r="G172" i="17"/>
  <c r="F172" i="17"/>
  <c r="C172" i="17"/>
  <c r="B172" i="17"/>
  <c r="A172" i="17"/>
  <c r="R171" i="17"/>
  <c r="Q171" i="17"/>
  <c r="P171" i="17"/>
  <c r="M171" i="17"/>
  <c r="G171" i="17"/>
  <c r="F171" i="17"/>
  <c r="B171" i="17"/>
  <c r="C171" i="17" s="1"/>
  <c r="A171" i="17"/>
  <c r="R170" i="17"/>
  <c r="Q170" i="17"/>
  <c r="P170" i="17"/>
  <c r="M170" i="17"/>
  <c r="G170" i="17"/>
  <c r="F170" i="17"/>
  <c r="C170" i="17"/>
  <c r="B170" i="17"/>
  <c r="A170" i="17"/>
  <c r="R169" i="17"/>
  <c r="Q169" i="17"/>
  <c r="P169" i="17"/>
  <c r="M169" i="17"/>
  <c r="G169" i="17"/>
  <c r="F169" i="17"/>
  <c r="B169" i="17"/>
  <c r="A169" i="17"/>
  <c r="R168" i="17"/>
  <c r="Q168" i="17"/>
  <c r="P168" i="17"/>
  <c r="M168" i="17"/>
  <c r="G168" i="17"/>
  <c r="F168" i="17"/>
  <c r="C168" i="17"/>
  <c r="B168" i="17"/>
  <c r="A168" i="17"/>
  <c r="R167" i="17"/>
  <c r="Q167" i="17"/>
  <c r="P167" i="17"/>
  <c r="M167" i="17"/>
  <c r="G167" i="17"/>
  <c r="F167" i="17"/>
  <c r="B167" i="17"/>
  <c r="C167" i="17" s="1"/>
  <c r="A167" i="17"/>
  <c r="R166" i="17"/>
  <c r="Q166" i="17"/>
  <c r="P166" i="17"/>
  <c r="M166" i="17"/>
  <c r="G166" i="17"/>
  <c r="F166" i="17"/>
  <c r="C166" i="17"/>
  <c r="B166" i="17"/>
  <c r="A166" i="17"/>
  <c r="R165" i="17"/>
  <c r="Q165" i="17"/>
  <c r="P165" i="17"/>
  <c r="M165" i="17"/>
  <c r="G165" i="17"/>
  <c r="F165" i="17"/>
  <c r="B165" i="17"/>
  <c r="A165" i="17"/>
  <c r="R164" i="17"/>
  <c r="Q164" i="17"/>
  <c r="P164" i="17"/>
  <c r="M164" i="17"/>
  <c r="G164" i="17"/>
  <c r="F164" i="17"/>
  <c r="C164" i="17"/>
  <c r="B164" i="17"/>
  <c r="A164" i="17"/>
  <c r="R163" i="17"/>
  <c r="Q163" i="17"/>
  <c r="P163" i="17"/>
  <c r="M163" i="17"/>
  <c r="G163" i="17"/>
  <c r="F163" i="17"/>
  <c r="B163" i="17"/>
  <c r="C163" i="17" s="1"/>
  <c r="A163" i="17"/>
  <c r="R162" i="17"/>
  <c r="Q162" i="17"/>
  <c r="P162" i="17"/>
  <c r="M162" i="17"/>
  <c r="G162" i="17"/>
  <c r="F162" i="17"/>
  <c r="C162" i="17"/>
  <c r="B162" i="17"/>
  <c r="A162" i="17"/>
  <c r="R161" i="17"/>
  <c r="Q161" i="17"/>
  <c r="P161" i="17"/>
  <c r="M161" i="17"/>
  <c r="G161" i="17"/>
  <c r="F161" i="17"/>
  <c r="B161" i="17"/>
  <c r="A161" i="17"/>
  <c r="R160" i="17"/>
  <c r="Q160" i="17"/>
  <c r="P160" i="17"/>
  <c r="M160" i="17"/>
  <c r="G160" i="17"/>
  <c r="F160" i="17"/>
  <c r="C160" i="17"/>
  <c r="B160" i="17"/>
  <c r="A160" i="17"/>
  <c r="R159" i="17"/>
  <c r="Q159" i="17"/>
  <c r="P159" i="17"/>
  <c r="M159" i="17"/>
  <c r="G159" i="17"/>
  <c r="F159" i="17"/>
  <c r="B159" i="17"/>
  <c r="C159" i="17" s="1"/>
  <c r="A159" i="17"/>
  <c r="R158" i="17"/>
  <c r="Q158" i="17"/>
  <c r="P158" i="17"/>
  <c r="M158" i="17"/>
  <c r="G158" i="17"/>
  <c r="F158" i="17"/>
  <c r="C158" i="17"/>
  <c r="B158" i="17"/>
  <c r="A158" i="17"/>
  <c r="R157" i="17"/>
  <c r="Q157" i="17"/>
  <c r="P157" i="17"/>
  <c r="M157" i="17"/>
  <c r="G157" i="17"/>
  <c r="F157" i="17"/>
  <c r="B157" i="17"/>
  <c r="A157" i="17"/>
  <c r="R156" i="17"/>
  <c r="Q156" i="17"/>
  <c r="P156" i="17"/>
  <c r="M156" i="17"/>
  <c r="G156" i="17"/>
  <c r="F156" i="17"/>
  <c r="C156" i="17"/>
  <c r="B156" i="17"/>
  <c r="A156" i="17"/>
  <c r="R155" i="17"/>
  <c r="Q155" i="17"/>
  <c r="P155" i="17"/>
  <c r="M155" i="17"/>
  <c r="G155" i="17"/>
  <c r="F155" i="17"/>
  <c r="B155" i="17"/>
  <c r="C155" i="17" s="1"/>
  <c r="A155" i="17"/>
  <c r="R154" i="17"/>
  <c r="Q154" i="17"/>
  <c r="P154" i="17"/>
  <c r="M154" i="17"/>
  <c r="G154" i="17"/>
  <c r="F154" i="17"/>
  <c r="C154" i="17"/>
  <c r="B154" i="17"/>
  <c r="A154" i="17"/>
  <c r="R153" i="17"/>
  <c r="Q153" i="17"/>
  <c r="P153" i="17"/>
  <c r="M153" i="17"/>
  <c r="G153" i="17"/>
  <c r="F153" i="17"/>
  <c r="B153" i="17"/>
  <c r="A153" i="17"/>
  <c r="R152" i="17"/>
  <c r="Q152" i="17"/>
  <c r="P152" i="17"/>
  <c r="M152" i="17"/>
  <c r="G152" i="17"/>
  <c r="F152" i="17"/>
  <c r="C152" i="17"/>
  <c r="B152" i="17"/>
  <c r="A152" i="17"/>
  <c r="R151" i="17"/>
  <c r="Q151" i="17"/>
  <c r="P151" i="17"/>
  <c r="M151" i="17"/>
  <c r="G151" i="17"/>
  <c r="F151" i="17"/>
  <c r="B151" i="17"/>
  <c r="C151" i="17" s="1"/>
  <c r="A151" i="17"/>
  <c r="R150" i="17"/>
  <c r="Q150" i="17"/>
  <c r="P150" i="17"/>
  <c r="M150" i="17"/>
  <c r="G150" i="17"/>
  <c r="F150" i="17"/>
  <c r="C150" i="17"/>
  <c r="B150" i="17"/>
  <c r="A150" i="17"/>
  <c r="R149" i="17"/>
  <c r="Q149" i="17"/>
  <c r="P149" i="17"/>
  <c r="M149" i="17"/>
  <c r="G149" i="17"/>
  <c r="F149" i="17"/>
  <c r="B149" i="17"/>
  <c r="A149" i="17"/>
  <c r="R148" i="17"/>
  <c r="Q148" i="17"/>
  <c r="P148" i="17"/>
  <c r="M148" i="17"/>
  <c r="G148" i="17"/>
  <c r="F148" i="17"/>
  <c r="C148" i="17"/>
  <c r="B148" i="17"/>
  <c r="A148" i="17"/>
  <c r="R147" i="17"/>
  <c r="Q147" i="17"/>
  <c r="P147" i="17"/>
  <c r="M147" i="17"/>
  <c r="G147" i="17"/>
  <c r="F147" i="17"/>
  <c r="B147" i="17"/>
  <c r="C147" i="17" s="1"/>
  <c r="A147" i="17"/>
  <c r="R146" i="17"/>
  <c r="Q146" i="17"/>
  <c r="P146" i="17"/>
  <c r="M146" i="17"/>
  <c r="G146" i="17"/>
  <c r="F146" i="17"/>
  <c r="C146" i="17"/>
  <c r="B146" i="17"/>
  <c r="A146" i="17"/>
  <c r="R145" i="17"/>
  <c r="Q145" i="17"/>
  <c r="P145" i="17"/>
  <c r="M145" i="17"/>
  <c r="G145" i="17"/>
  <c r="F145" i="17"/>
  <c r="B145" i="17"/>
  <c r="A145" i="17"/>
  <c r="R144" i="17"/>
  <c r="Q144" i="17"/>
  <c r="P144" i="17"/>
  <c r="M144" i="17"/>
  <c r="G144" i="17"/>
  <c r="F144" i="17"/>
  <c r="C144" i="17"/>
  <c r="B144" i="17"/>
  <c r="A144" i="17"/>
  <c r="R143" i="17"/>
  <c r="Q143" i="17"/>
  <c r="P143" i="17"/>
  <c r="M143" i="17"/>
  <c r="G143" i="17"/>
  <c r="F143" i="17"/>
  <c r="B143" i="17"/>
  <c r="C143" i="17" s="1"/>
  <c r="A143" i="17"/>
  <c r="R142" i="17"/>
  <c r="Q142" i="17"/>
  <c r="P142" i="17"/>
  <c r="M142" i="17"/>
  <c r="G142" i="17"/>
  <c r="F142" i="17"/>
  <c r="C142" i="17"/>
  <c r="B142" i="17"/>
  <c r="A142" i="17"/>
  <c r="R141" i="17"/>
  <c r="Q141" i="17"/>
  <c r="P141" i="17"/>
  <c r="M141" i="17"/>
  <c r="G141" i="17"/>
  <c r="F141" i="17"/>
  <c r="B141" i="17"/>
  <c r="A141" i="17"/>
  <c r="R140" i="17"/>
  <c r="Q140" i="17"/>
  <c r="P140" i="17"/>
  <c r="M140" i="17"/>
  <c r="G140" i="17"/>
  <c r="F140" i="17"/>
  <c r="C140" i="17"/>
  <c r="B140" i="17"/>
  <c r="A140" i="17"/>
  <c r="R139" i="17"/>
  <c r="Q139" i="17"/>
  <c r="P139" i="17"/>
  <c r="M139" i="17"/>
  <c r="G139" i="17"/>
  <c r="F139" i="17"/>
  <c r="B139" i="17"/>
  <c r="C139" i="17" s="1"/>
  <c r="A139" i="17"/>
  <c r="R138" i="17"/>
  <c r="Q138" i="17"/>
  <c r="P138" i="17"/>
  <c r="M138" i="17"/>
  <c r="G138" i="17"/>
  <c r="F138" i="17"/>
  <c r="C138" i="17"/>
  <c r="B138" i="17"/>
  <c r="A138" i="17"/>
  <c r="R137" i="17"/>
  <c r="Q137" i="17"/>
  <c r="P137" i="17"/>
  <c r="M137" i="17"/>
  <c r="G137" i="17"/>
  <c r="F137" i="17"/>
  <c r="B137" i="17"/>
  <c r="A137" i="17"/>
  <c r="R136" i="17"/>
  <c r="Q136" i="17"/>
  <c r="P136" i="17"/>
  <c r="M136" i="17"/>
  <c r="G136" i="17"/>
  <c r="F136" i="17"/>
  <c r="C136" i="17"/>
  <c r="B136" i="17"/>
  <c r="A136" i="17"/>
  <c r="R135" i="17"/>
  <c r="Q135" i="17"/>
  <c r="P135" i="17"/>
  <c r="M135" i="17"/>
  <c r="G135" i="17"/>
  <c r="F135" i="17"/>
  <c r="B135" i="17"/>
  <c r="C135" i="17" s="1"/>
  <c r="A135" i="17"/>
  <c r="R134" i="17"/>
  <c r="Q134" i="17"/>
  <c r="P134" i="17"/>
  <c r="M134" i="17"/>
  <c r="G134" i="17"/>
  <c r="F134" i="17"/>
  <c r="C134" i="17"/>
  <c r="B134" i="17"/>
  <c r="A134" i="17"/>
  <c r="R133" i="17"/>
  <c r="Q133" i="17"/>
  <c r="P133" i="17"/>
  <c r="M133" i="17"/>
  <c r="G133" i="17"/>
  <c r="F133" i="17"/>
  <c r="B133" i="17"/>
  <c r="A133" i="17"/>
  <c r="R132" i="17"/>
  <c r="Q132" i="17"/>
  <c r="P132" i="17"/>
  <c r="M132" i="17"/>
  <c r="G132" i="17"/>
  <c r="F132" i="17"/>
  <c r="C132" i="17"/>
  <c r="B132" i="17"/>
  <c r="A132" i="17"/>
  <c r="R131" i="17"/>
  <c r="Q131" i="17"/>
  <c r="P131" i="17"/>
  <c r="M131" i="17"/>
  <c r="G131" i="17"/>
  <c r="F131" i="17"/>
  <c r="B131" i="17"/>
  <c r="C131" i="17" s="1"/>
  <c r="A131" i="17"/>
  <c r="R130" i="17"/>
  <c r="Q130" i="17"/>
  <c r="P130" i="17"/>
  <c r="M130" i="17"/>
  <c r="G130" i="17"/>
  <c r="F130" i="17"/>
  <c r="C130" i="17"/>
  <c r="B130" i="17"/>
  <c r="A130" i="17"/>
  <c r="R129" i="17"/>
  <c r="Q129" i="17"/>
  <c r="P129" i="17"/>
  <c r="M129" i="17"/>
  <c r="G129" i="17"/>
  <c r="F129" i="17"/>
  <c r="B129" i="17"/>
  <c r="A129" i="17"/>
  <c r="R128" i="17"/>
  <c r="Q128" i="17"/>
  <c r="P128" i="17"/>
  <c r="M128" i="17"/>
  <c r="G128" i="17"/>
  <c r="F128" i="17"/>
  <c r="C128" i="17"/>
  <c r="B128" i="17"/>
  <c r="A128" i="17"/>
  <c r="R127" i="17"/>
  <c r="Q127" i="17"/>
  <c r="P127" i="17"/>
  <c r="M127" i="17"/>
  <c r="G127" i="17"/>
  <c r="F127" i="17"/>
  <c r="B127" i="17"/>
  <c r="C127" i="17" s="1"/>
  <c r="A127" i="17"/>
  <c r="R126" i="17"/>
  <c r="Q126" i="17"/>
  <c r="P126" i="17"/>
  <c r="M126" i="17"/>
  <c r="G126" i="17"/>
  <c r="F126" i="17"/>
  <c r="C126" i="17"/>
  <c r="B126" i="17"/>
  <c r="A126" i="17"/>
  <c r="R125" i="17"/>
  <c r="Q125" i="17"/>
  <c r="P125" i="17"/>
  <c r="M125" i="17"/>
  <c r="G125" i="17"/>
  <c r="F125" i="17"/>
  <c r="B125" i="17"/>
  <c r="A125" i="17"/>
  <c r="R124" i="17"/>
  <c r="Q124" i="17"/>
  <c r="P124" i="17"/>
  <c r="M124" i="17"/>
  <c r="G124" i="17"/>
  <c r="F124" i="17"/>
  <c r="C124" i="17"/>
  <c r="B124" i="17"/>
  <c r="A124" i="17"/>
  <c r="R123" i="17"/>
  <c r="Q123" i="17"/>
  <c r="P123" i="17"/>
  <c r="M123" i="17"/>
  <c r="G123" i="17"/>
  <c r="F123" i="17"/>
  <c r="B123" i="17"/>
  <c r="C123" i="17" s="1"/>
  <c r="A123" i="17"/>
  <c r="R122" i="17"/>
  <c r="Q122" i="17"/>
  <c r="P122" i="17"/>
  <c r="M122" i="17"/>
  <c r="G122" i="17"/>
  <c r="F122" i="17"/>
  <c r="C122" i="17"/>
  <c r="B122" i="17"/>
  <c r="A122" i="17"/>
  <c r="R121" i="17"/>
  <c r="Q121" i="17"/>
  <c r="P121" i="17"/>
  <c r="M121" i="17"/>
  <c r="G121" i="17"/>
  <c r="F121" i="17"/>
  <c r="B121" i="17"/>
  <c r="A121" i="17"/>
  <c r="R120" i="17"/>
  <c r="Q120" i="17"/>
  <c r="P120" i="17"/>
  <c r="M120" i="17"/>
  <c r="G120" i="17"/>
  <c r="F120" i="17"/>
  <c r="B120" i="17"/>
  <c r="A120" i="17"/>
  <c r="R119" i="17"/>
  <c r="Q119" i="17"/>
  <c r="P119" i="17"/>
  <c r="M119" i="17"/>
  <c r="G119" i="17"/>
  <c r="F119" i="17"/>
  <c r="B119" i="17"/>
  <c r="A119" i="17"/>
  <c r="R118" i="17"/>
  <c r="Q118" i="17"/>
  <c r="P118" i="17"/>
  <c r="M118" i="17"/>
  <c r="G118" i="17"/>
  <c r="F118" i="17"/>
  <c r="C118" i="17"/>
  <c r="B118" i="17"/>
  <c r="A118" i="17"/>
  <c r="R117" i="17"/>
  <c r="Q117" i="17"/>
  <c r="P117" i="17"/>
  <c r="M117" i="17"/>
  <c r="G117" i="17"/>
  <c r="F117" i="17"/>
  <c r="B117" i="17"/>
  <c r="A117" i="17"/>
  <c r="R116" i="17"/>
  <c r="Q116" i="17"/>
  <c r="P116" i="17"/>
  <c r="M116" i="17"/>
  <c r="G116" i="17"/>
  <c r="F116" i="17"/>
  <c r="B116" i="17"/>
  <c r="A116" i="17"/>
  <c r="R115" i="17"/>
  <c r="Q115" i="17"/>
  <c r="P115" i="17"/>
  <c r="M115" i="17"/>
  <c r="G115" i="17"/>
  <c r="F115" i="17"/>
  <c r="B115" i="17"/>
  <c r="A115" i="17"/>
  <c r="R114" i="17"/>
  <c r="Q114" i="17"/>
  <c r="P114" i="17"/>
  <c r="M114" i="17"/>
  <c r="G114" i="17"/>
  <c r="F114" i="17"/>
  <c r="C114" i="17"/>
  <c r="B114" i="17"/>
  <c r="A114" i="17"/>
  <c r="R113" i="17"/>
  <c r="Q113" i="17"/>
  <c r="P113" i="17"/>
  <c r="M113" i="17"/>
  <c r="G113" i="17"/>
  <c r="F113" i="17"/>
  <c r="B113" i="17"/>
  <c r="A113" i="17"/>
  <c r="R112" i="17"/>
  <c r="Q112" i="17"/>
  <c r="P112" i="17"/>
  <c r="M112" i="17"/>
  <c r="G112" i="17"/>
  <c r="F112" i="17"/>
  <c r="B112" i="17"/>
  <c r="C112" i="17" s="1"/>
  <c r="A112" i="17"/>
  <c r="R111" i="17"/>
  <c r="Q111" i="17"/>
  <c r="P111" i="17"/>
  <c r="M111" i="17"/>
  <c r="G111" i="17"/>
  <c r="F111" i="17"/>
  <c r="B111" i="17"/>
  <c r="A111" i="17"/>
  <c r="R110" i="17"/>
  <c r="Q110" i="17"/>
  <c r="P110" i="17"/>
  <c r="M110" i="17"/>
  <c r="G110" i="17"/>
  <c r="F110" i="17"/>
  <c r="C110" i="17"/>
  <c r="B110" i="17"/>
  <c r="A110" i="17"/>
  <c r="R109" i="17"/>
  <c r="Q109" i="17"/>
  <c r="P109" i="17"/>
  <c r="M109" i="17"/>
  <c r="G109" i="17"/>
  <c r="F109" i="17"/>
  <c r="B109" i="17"/>
  <c r="A109" i="17"/>
  <c r="R108" i="17"/>
  <c r="Q108" i="17"/>
  <c r="P108" i="17"/>
  <c r="M108" i="17"/>
  <c r="G108" i="17"/>
  <c r="F108" i="17"/>
  <c r="B108" i="17"/>
  <c r="A108" i="17"/>
  <c r="R107" i="17"/>
  <c r="Q107" i="17"/>
  <c r="P107" i="17"/>
  <c r="M107" i="17"/>
  <c r="G107" i="17"/>
  <c r="F107" i="17"/>
  <c r="B107" i="17"/>
  <c r="A107" i="17"/>
  <c r="R106" i="17"/>
  <c r="Q106" i="17"/>
  <c r="P106" i="17"/>
  <c r="M106" i="17"/>
  <c r="G106" i="17"/>
  <c r="F106" i="17"/>
  <c r="C106" i="17"/>
  <c r="B106" i="17"/>
  <c r="A106" i="17"/>
  <c r="R105" i="17"/>
  <c r="Q105" i="17"/>
  <c r="P105" i="17"/>
  <c r="M105" i="17"/>
  <c r="G105" i="17"/>
  <c r="F105" i="17"/>
  <c r="B105" i="17"/>
  <c r="A105" i="17"/>
  <c r="R104" i="17"/>
  <c r="Q104" i="17"/>
  <c r="P104" i="17"/>
  <c r="M104" i="17"/>
  <c r="G104" i="17"/>
  <c r="F104" i="17"/>
  <c r="B104" i="17"/>
  <c r="C104" i="17" s="1"/>
  <c r="A104" i="17"/>
  <c r="R103" i="17"/>
  <c r="Q103" i="17"/>
  <c r="P103" i="17"/>
  <c r="M103" i="17"/>
  <c r="G103" i="17"/>
  <c r="F103" i="17"/>
  <c r="B103" i="17"/>
  <c r="A103" i="17"/>
  <c r="R102" i="17"/>
  <c r="Q102" i="17"/>
  <c r="P102" i="17"/>
  <c r="M102" i="17"/>
  <c r="G102" i="17"/>
  <c r="F102" i="17"/>
  <c r="C102" i="17"/>
  <c r="B102" i="17"/>
  <c r="A102" i="17"/>
  <c r="R101" i="17"/>
  <c r="Q101" i="17"/>
  <c r="P101" i="17"/>
  <c r="M101" i="17"/>
  <c r="G101" i="17"/>
  <c r="F101" i="17"/>
  <c r="B101" i="17"/>
  <c r="A101" i="17"/>
  <c r="R100" i="17"/>
  <c r="Q100" i="17"/>
  <c r="P100" i="17"/>
  <c r="M100" i="17"/>
  <c r="G100" i="17"/>
  <c r="F100" i="17"/>
  <c r="B100" i="17"/>
  <c r="A100" i="17"/>
  <c r="R99" i="17"/>
  <c r="Q99" i="17"/>
  <c r="P99" i="17"/>
  <c r="M99" i="17"/>
  <c r="G99" i="17"/>
  <c r="F99" i="17"/>
  <c r="A99" i="17"/>
  <c r="B99" i="17" s="1"/>
  <c r="R98" i="17"/>
  <c r="Q98" i="17"/>
  <c r="P98" i="17"/>
  <c r="M98" i="17"/>
  <c r="G98" i="17"/>
  <c r="F98" i="17"/>
  <c r="C98" i="17"/>
  <c r="B98" i="17"/>
  <c r="A98" i="17"/>
  <c r="R97" i="17"/>
  <c r="Q97" i="17"/>
  <c r="P97" i="17"/>
  <c r="M97" i="17"/>
  <c r="G97" i="17"/>
  <c r="F97" i="17"/>
  <c r="B97" i="17"/>
  <c r="A97" i="17"/>
  <c r="R96" i="17"/>
  <c r="Q96" i="17"/>
  <c r="P96" i="17"/>
  <c r="M96" i="17"/>
  <c r="G96" i="17"/>
  <c r="F96" i="17"/>
  <c r="B96" i="17"/>
  <c r="C96" i="17" s="1"/>
  <c r="A96" i="17"/>
  <c r="R95" i="17"/>
  <c r="Q95" i="17"/>
  <c r="P95" i="17"/>
  <c r="M95" i="17"/>
  <c r="G95" i="17"/>
  <c r="F95" i="17"/>
  <c r="B95" i="17"/>
  <c r="A95" i="17"/>
  <c r="R94" i="17"/>
  <c r="Q94" i="17"/>
  <c r="P94" i="17"/>
  <c r="M94" i="17"/>
  <c r="G94" i="17"/>
  <c r="F94" i="17"/>
  <c r="C94" i="17"/>
  <c r="B94" i="17"/>
  <c r="A94" i="17"/>
  <c r="R93" i="17"/>
  <c r="Q93" i="17"/>
  <c r="P93" i="17"/>
  <c r="M93" i="17"/>
  <c r="G93" i="17"/>
  <c r="F93" i="17"/>
  <c r="B93" i="17"/>
  <c r="A93" i="17"/>
  <c r="R92" i="17"/>
  <c r="Q92" i="17"/>
  <c r="P92" i="17"/>
  <c r="M92" i="17"/>
  <c r="G92" i="17"/>
  <c r="F92" i="17"/>
  <c r="B92" i="17"/>
  <c r="A92" i="17"/>
  <c r="R91" i="17"/>
  <c r="Q91" i="17"/>
  <c r="P91" i="17"/>
  <c r="M91" i="17"/>
  <c r="G91" i="17"/>
  <c r="F91" i="17"/>
  <c r="B91" i="17"/>
  <c r="A91" i="17"/>
  <c r="R90" i="17"/>
  <c r="Q90" i="17"/>
  <c r="P90" i="17"/>
  <c r="M90" i="17"/>
  <c r="G90" i="17"/>
  <c r="F90" i="17"/>
  <c r="C90" i="17"/>
  <c r="B90" i="17"/>
  <c r="A90" i="17"/>
  <c r="R89" i="17"/>
  <c r="Q89" i="17"/>
  <c r="P89" i="17"/>
  <c r="M89" i="17"/>
  <c r="G89" i="17"/>
  <c r="F89" i="17"/>
  <c r="B89" i="17"/>
  <c r="A89" i="17"/>
  <c r="R88" i="17"/>
  <c r="Q88" i="17"/>
  <c r="P88" i="17"/>
  <c r="M88" i="17"/>
  <c r="G88" i="17"/>
  <c r="F88" i="17"/>
  <c r="B88" i="17"/>
  <c r="C88" i="17" s="1"/>
  <c r="A88" i="17"/>
  <c r="R87" i="17"/>
  <c r="Q87" i="17"/>
  <c r="P87" i="17"/>
  <c r="M87" i="17"/>
  <c r="G87" i="17"/>
  <c r="F87" i="17"/>
  <c r="B87" i="17"/>
  <c r="A87" i="17"/>
  <c r="R86" i="17"/>
  <c r="Q86" i="17"/>
  <c r="P86" i="17"/>
  <c r="M86" i="17"/>
  <c r="G86" i="17"/>
  <c r="F86" i="17"/>
  <c r="C86" i="17"/>
  <c r="B86" i="17"/>
  <c r="A86" i="17"/>
  <c r="R85" i="17"/>
  <c r="Q85" i="17"/>
  <c r="P85" i="17"/>
  <c r="M85" i="17"/>
  <c r="G85" i="17"/>
  <c r="F85" i="17"/>
  <c r="B85" i="17"/>
  <c r="A85" i="17"/>
  <c r="R84" i="17"/>
  <c r="Q84" i="17"/>
  <c r="P84" i="17"/>
  <c r="M84" i="17"/>
  <c r="G84" i="17"/>
  <c r="F84" i="17"/>
  <c r="B84" i="17"/>
  <c r="A84" i="17"/>
  <c r="R83" i="17"/>
  <c r="Q83" i="17"/>
  <c r="P83" i="17"/>
  <c r="M83" i="17"/>
  <c r="G83" i="17"/>
  <c r="F83" i="17"/>
  <c r="B83" i="17"/>
  <c r="A83" i="17"/>
  <c r="R82" i="17"/>
  <c r="Q82" i="17"/>
  <c r="P82" i="17"/>
  <c r="M82" i="17"/>
  <c r="B82" i="17"/>
  <c r="A82" i="17"/>
  <c r="R81" i="17"/>
  <c r="Q81" i="17"/>
  <c r="P81" i="17"/>
  <c r="M81" i="17"/>
  <c r="B81" i="17"/>
  <c r="A81" i="17"/>
  <c r="R80" i="17"/>
  <c r="Q80" i="17"/>
  <c r="P80" i="17"/>
  <c r="M80" i="17"/>
  <c r="B80" i="17"/>
  <c r="A80" i="17"/>
  <c r="R79" i="17"/>
  <c r="Q79" i="17"/>
  <c r="P79" i="17"/>
  <c r="M79" i="17"/>
  <c r="B79" i="17"/>
  <c r="C79" i="17" s="1"/>
  <c r="A79" i="17"/>
  <c r="R78" i="17"/>
  <c r="Q78" i="17"/>
  <c r="P78" i="17"/>
  <c r="M78" i="17"/>
  <c r="B78" i="17"/>
  <c r="A78" i="17"/>
  <c r="R77" i="17"/>
  <c r="Q77" i="17"/>
  <c r="P77" i="17"/>
  <c r="M77" i="17"/>
  <c r="B77" i="17"/>
  <c r="A77" i="17"/>
  <c r="R76" i="17"/>
  <c r="Q76" i="17"/>
  <c r="P76" i="17"/>
  <c r="M76" i="17"/>
  <c r="B76" i="17"/>
  <c r="A76" i="17"/>
  <c r="R75" i="17"/>
  <c r="Q75" i="17"/>
  <c r="P75" i="17"/>
  <c r="M75" i="17"/>
  <c r="B75" i="17"/>
  <c r="A75" i="17"/>
  <c r="R74" i="17"/>
  <c r="Q74" i="17"/>
  <c r="P74" i="17"/>
  <c r="M74" i="17"/>
  <c r="B74" i="17"/>
  <c r="A74" i="17"/>
  <c r="R73" i="17"/>
  <c r="Q73" i="17"/>
  <c r="P73" i="17"/>
  <c r="M73" i="17"/>
  <c r="B73" i="17"/>
  <c r="A73" i="17"/>
  <c r="R72" i="17"/>
  <c r="Q72" i="17"/>
  <c r="P72" i="17"/>
  <c r="M72" i="17"/>
  <c r="B72" i="17"/>
  <c r="A72" i="17"/>
  <c r="R71" i="17"/>
  <c r="Q71" i="17"/>
  <c r="P71" i="17"/>
  <c r="M71" i="17"/>
  <c r="B71" i="17"/>
  <c r="C71" i="17" s="1"/>
  <c r="A71" i="17"/>
  <c r="R70" i="17"/>
  <c r="Q70" i="17"/>
  <c r="P70" i="17"/>
  <c r="M70" i="17"/>
  <c r="B70" i="17"/>
  <c r="A70" i="17"/>
  <c r="R69" i="17"/>
  <c r="Q69" i="17"/>
  <c r="P69" i="17"/>
  <c r="M69" i="17"/>
  <c r="B69" i="17"/>
  <c r="A69" i="17"/>
  <c r="R68" i="17"/>
  <c r="Q68" i="17"/>
  <c r="P68" i="17"/>
  <c r="M68" i="17"/>
  <c r="B68" i="17"/>
  <c r="A68" i="17"/>
  <c r="R67" i="17"/>
  <c r="Q67" i="17"/>
  <c r="P67" i="17"/>
  <c r="M67" i="17"/>
  <c r="B67" i="17"/>
  <c r="A67" i="17"/>
  <c r="R66" i="17"/>
  <c r="Q66" i="17"/>
  <c r="P66" i="17"/>
  <c r="M66" i="17"/>
  <c r="G66" i="17"/>
  <c r="F66" i="17"/>
  <c r="C66" i="17"/>
  <c r="B66" i="17"/>
  <c r="A66" i="17"/>
  <c r="R65" i="17"/>
  <c r="Q65" i="17"/>
  <c r="P65" i="17"/>
  <c r="M65" i="17"/>
  <c r="G65" i="17"/>
  <c r="F65" i="17"/>
  <c r="B65" i="17"/>
  <c r="A65" i="17"/>
  <c r="R64" i="17"/>
  <c r="Q64" i="17"/>
  <c r="P64" i="17"/>
  <c r="M64" i="17"/>
  <c r="G64" i="17"/>
  <c r="F64" i="17"/>
  <c r="B64" i="17"/>
  <c r="A64" i="17"/>
  <c r="R63" i="17"/>
  <c r="Q63" i="17"/>
  <c r="P63" i="17"/>
  <c r="M63" i="17"/>
  <c r="G63" i="17"/>
  <c r="F63" i="17"/>
  <c r="B63" i="17"/>
  <c r="A63" i="17"/>
  <c r="R62" i="17"/>
  <c r="Q62" i="17"/>
  <c r="P62" i="17"/>
  <c r="M62" i="17"/>
  <c r="G62" i="17"/>
  <c r="F62" i="17"/>
  <c r="B62" i="17"/>
  <c r="A62" i="17"/>
  <c r="R61" i="17"/>
  <c r="Q61" i="17"/>
  <c r="P61" i="17"/>
  <c r="M61" i="17"/>
  <c r="G61" i="17"/>
  <c r="F61" i="17"/>
  <c r="C61" i="17"/>
  <c r="B61" i="17"/>
  <c r="A61" i="17"/>
  <c r="R60" i="17"/>
  <c r="Q60" i="17"/>
  <c r="P60" i="17"/>
  <c r="M60" i="17"/>
  <c r="G60" i="17"/>
  <c r="F60" i="17"/>
  <c r="C60" i="17"/>
  <c r="B60" i="17"/>
  <c r="A60" i="17"/>
  <c r="R59" i="17"/>
  <c r="Q59" i="17"/>
  <c r="P59" i="17"/>
  <c r="M59" i="17"/>
  <c r="G59" i="17"/>
  <c r="F59" i="17"/>
  <c r="B59" i="17"/>
  <c r="A59" i="17"/>
  <c r="R58" i="17"/>
  <c r="Q58" i="17"/>
  <c r="P58" i="17"/>
  <c r="M58" i="17"/>
  <c r="G58" i="17"/>
  <c r="F58" i="17"/>
  <c r="C58" i="17"/>
  <c r="B58" i="17"/>
  <c r="A58" i="17"/>
  <c r="R57" i="17"/>
  <c r="Q57" i="17"/>
  <c r="P57" i="17"/>
  <c r="M57" i="17"/>
  <c r="G57" i="17"/>
  <c r="F57" i="17"/>
  <c r="B57" i="17"/>
  <c r="A57" i="17"/>
  <c r="R56" i="17"/>
  <c r="Q56" i="17"/>
  <c r="P56" i="17"/>
  <c r="M56" i="17"/>
  <c r="G56" i="17"/>
  <c r="F56" i="17"/>
  <c r="C56" i="17"/>
  <c r="B56" i="17"/>
  <c r="A56" i="17"/>
  <c r="R55" i="17"/>
  <c r="Q55" i="17"/>
  <c r="P55" i="17"/>
  <c r="M55" i="17"/>
  <c r="G55" i="17"/>
  <c r="F55" i="17"/>
  <c r="B55" i="17"/>
  <c r="C55" i="17" s="1"/>
  <c r="A55" i="17"/>
  <c r="R54" i="17"/>
  <c r="Q54" i="17"/>
  <c r="P54" i="17"/>
  <c r="M54" i="17"/>
  <c r="G54" i="17"/>
  <c r="F54" i="17"/>
  <c r="B54" i="17"/>
  <c r="A54" i="17"/>
  <c r="R53" i="17"/>
  <c r="Q53" i="17"/>
  <c r="P53" i="17"/>
  <c r="M53" i="17"/>
  <c r="G53" i="17"/>
  <c r="F53" i="17"/>
  <c r="B53" i="17"/>
  <c r="A53" i="17"/>
  <c r="R52" i="17"/>
  <c r="Q52" i="17"/>
  <c r="P52" i="17"/>
  <c r="M52" i="17"/>
  <c r="G52" i="17"/>
  <c r="F52" i="17"/>
  <c r="B52" i="17"/>
  <c r="A52" i="17"/>
  <c r="R51" i="17"/>
  <c r="Q51" i="17"/>
  <c r="P51" i="17"/>
  <c r="M51" i="17"/>
  <c r="G51" i="17"/>
  <c r="F51" i="17"/>
  <c r="B51" i="17"/>
  <c r="A51" i="17"/>
  <c r="R50" i="17"/>
  <c r="Q50" i="17"/>
  <c r="P50" i="17"/>
  <c r="M50" i="17"/>
  <c r="G50" i="17"/>
  <c r="F50" i="17"/>
  <c r="C50" i="17"/>
  <c r="B50" i="17"/>
  <c r="A50" i="17"/>
  <c r="R49" i="17"/>
  <c r="Q49" i="17"/>
  <c r="P49" i="17"/>
  <c r="M49" i="17"/>
  <c r="G49" i="17"/>
  <c r="F49" i="17"/>
  <c r="B49" i="17"/>
  <c r="A49" i="17"/>
  <c r="R48" i="17"/>
  <c r="Q48" i="17"/>
  <c r="P48" i="17"/>
  <c r="M48" i="17"/>
  <c r="G48" i="17"/>
  <c r="F48" i="17"/>
  <c r="B48" i="17"/>
  <c r="A48" i="17"/>
  <c r="R47" i="17"/>
  <c r="Q47" i="17"/>
  <c r="P47" i="17"/>
  <c r="M47" i="17"/>
  <c r="G47" i="17"/>
  <c r="F47" i="17"/>
  <c r="B47" i="17"/>
  <c r="A47" i="17"/>
  <c r="R46" i="17"/>
  <c r="Q46" i="17"/>
  <c r="P46" i="17"/>
  <c r="M46" i="17"/>
  <c r="G46" i="17"/>
  <c r="F46" i="17"/>
  <c r="B46" i="17"/>
  <c r="A46" i="17"/>
  <c r="R45" i="17"/>
  <c r="Q45" i="17"/>
  <c r="P45" i="17"/>
  <c r="M45" i="17"/>
  <c r="B45" i="17"/>
  <c r="A45" i="17"/>
  <c r="R44" i="17"/>
  <c r="Q44" i="17"/>
  <c r="P44" i="17"/>
  <c r="M44" i="17"/>
  <c r="C44" i="17"/>
  <c r="B44" i="17"/>
  <c r="A44" i="17"/>
  <c r="R43" i="17"/>
  <c r="Q43" i="17"/>
  <c r="P43" i="17"/>
  <c r="M43" i="17"/>
  <c r="B43" i="17"/>
  <c r="A43" i="17"/>
  <c r="R42" i="17"/>
  <c r="Q42" i="17"/>
  <c r="P42" i="17"/>
  <c r="M42" i="17"/>
  <c r="B42" i="17"/>
  <c r="A42" i="17"/>
  <c r="R41" i="17"/>
  <c r="Q41" i="17"/>
  <c r="P41" i="17"/>
  <c r="M41" i="17"/>
  <c r="B41" i="17"/>
  <c r="A41" i="17"/>
  <c r="R40" i="17"/>
  <c r="Q40" i="17"/>
  <c r="P40" i="17"/>
  <c r="M40" i="17"/>
  <c r="B40" i="17"/>
  <c r="A40" i="17"/>
  <c r="R39" i="17"/>
  <c r="Q39" i="17"/>
  <c r="P39" i="17"/>
  <c r="M39" i="17"/>
  <c r="B39" i="17"/>
  <c r="A39" i="17"/>
  <c r="R38" i="17"/>
  <c r="Q38" i="17"/>
  <c r="P38" i="17"/>
  <c r="M38" i="17"/>
  <c r="B38" i="17"/>
  <c r="A38" i="17"/>
  <c r="R37" i="17"/>
  <c r="Q37" i="17"/>
  <c r="P37" i="17"/>
  <c r="M37" i="17"/>
  <c r="B37" i="17"/>
  <c r="A37" i="17"/>
  <c r="R36" i="17"/>
  <c r="Q36" i="17"/>
  <c r="P36" i="17"/>
  <c r="M36" i="17"/>
  <c r="B36" i="17"/>
  <c r="A36" i="17"/>
  <c r="R35" i="17"/>
  <c r="Q35" i="17"/>
  <c r="P35" i="17"/>
  <c r="M35" i="17"/>
  <c r="B35" i="17"/>
  <c r="A35" i="17"/>
  <c r="R34" i="17"/>
  <c r="Q34" i="17"/>
  <c r="P34" i="17"/>
  <c r="M34" i="17"/>
  <c r="C34" i="17"/>
  <c r="B34" i="17"/>
  <c r="A34" i="17"/>
  <c r="R33" i="17"/>
  <c r="Q33" i="17"/>
  <c r="P33" i="17"/>
  <c r="M33" i="17"/>
  <c r="B33" i="17"/>
  <c r="A33" i="17"/>
  <c r="R32" i="17"/>
  <c r="Q32" i="17"/>
  <c r="P32" i="17"/>
  <c r="M32" i="17"/>
  <c r="B32" i="17"/>
  <c r="A32" i="17"/>
  <c r="R31" i="17"/>
  <c r="Q31" i="17"/>
  <c r="P31" i="17"/>
  <c r="M31" i="17"/>
  <c r="G31" i="17"/>
  <c r="F31" i="17"/>
  <c r="B31" i="17"/>
  <c r="A31" i="17"/>
  <c r="R30" i="17"/>
  <c r="Q30" i="17"/>
  <c r="P30" i="17"/>
  <c r="M30" i="17"/>
  <c r="G30" i="17"/>
  <c r="F30" i="17"/>
  <c r="B30" i="17"/>
  <c r="A30" i="17"/>
  <c r="R29" i="17"/>
  <c r="Q29" i="17"/>
  <c r="P29" i="17"/>
  <c r="M29" i="17"/>
  <c r="G29" i="17"/>
  <c r="F29" i="17"/>
  <c r="C29" i="17"/>
  <c r="B29" i="17"/>
  <c r="A29" i="17"/>
  <c r="R28" i="17"/>
  <c r="Q28" i="17"/>
  <c r="P28" i="17"/>
  <c r="M28" i="17"/>
  <c r="C28" i="17"/>
  <c r="B28" i="17"/>
  <c r="A28" i="17"/>
  <c r="R27" i="17"/>
  <c r="Q27" i="17"/>
  <c r="P27" i="17"/>
  <c r="M27" i="17"/>
  <c r="C27" i="17"/>
  <c r="B27" i="17"/>
  <c r="A27" i="17"/>
  <c r="R26" i="17"/>
  <c r="Q26" i="17"/>
  <c r="P26" i="17"/>
  <c r="M26" i="17"/>
  <c r="B26" i="17"/>
  <c r="A26" i="17"/>
  <c r="R25" i="17"/>
  <c r="Q25" i="17"/>
  <c r="P25" i="17"/>
  <c r="M25" i="17"/>
  <c r="G25" i="17"/>
  <c r="F25" i="17"/>
  <c r="C25" i="17"/>
  <c r="B25" i="17"/>
  <c r="A25" i="17"/>
  <c r="R24" i="17"/>
  <c r="Q24" i="17"/>
  <c r="P24" i="17"/>
  <c r="M24" i="17"/>
  <c r="G24" i="17"/>
  <c r="F24" i="17"/>
  <c r="B24" i="17"/>
  <c r="A24" i="17"/>
  <c r="R23" i="17"/>
  <c r="Q23" i="17"/>
  <c r="P23" i="17"/>
  <c r="M23" i="17"/>
  <c r="G23" i="17"/>
  <c r="F23" i="17"/>
  <c r="B23" i="17"/>
  <c r="A23" i="17"/>
  <c r="R22" i="17"/>
  <c r="Q22" i="17"/>
  <c r="P22" i="17"/>
  <c r="M22" i="17"/>
  <c r="G22" i="17"/>
  <c r="F22" i="17"/>
  <c r="B22" i="17"/>
  <c r="A22" i="17"/>
  <c r="R21" i="17"/>
  <c r="Q21" i="17"/>
  <c r="P21" i="17"/>
  <c r="M21" i="17"/>
  <c r="G21" i="17"/>
  <c r="F21" i="17"/>
  <c r="B21" i="17"/>
  <c r="A21" i="17"/>
  <c r="R20" i="17"/>
  <c r="Q20" i="17"/>
  <c r="P20" i="17"/>
  <c r="M20" i="17"/>
  <c r="G20" i="17"/>
  <c r="F20" i="17"/>
  <c r="B20" i="17"/>
  <c r="A20" i="17"/>
  <c r="R19" i="17"/>
  <c r="Q19" i="17"/>
  <c r="P19" i="17"/>
  <c r="M19" i="17"/>
  <c r="G19" i="17"/>
  <c r="F19" i="17"/>
  <c r="B19" i="17"/>
  <c r="A19" i="17"/>
  <c r="R18" i="17"/>
  <c r="Q18" i="17"/>
  <c r="P18" i="17"/>
  <c r="M18" i="17"/>
  <c r="G18" i="17"/>
  <c r="F18" i="17"/>
  <c r="B18" i="17"/>
  <c r="A18" i="17"/>
  <c r="R17" i="17"/>
  <c r="Q17" i="17"/>
  <c r="P17" i="17"/>
  <c r="M17" i="17"/>
  <c r="G17" i="17"/>
  <c r="F17" i="17"/>
  <c r="C17" i="17"/>
  <c r="B17" i="17"/>
  <c r="A17" i="17"/>
  <c r="R16" i="17"/>
  <c r="Q16" i="17"/>
  <c r="P16" i="17"/>
  <c r="M16" i="17"/>
  <c r="G16" i="17"/>
  <c r="F16" i="17"/>
  <c r="B16" i="17"/>
  <c r="A16" i="17"/>
  <c r="R15" i="17"/>
  <c r="Q15" i="17"/>
  <c r="P15" i="17"/>
  <c r="M15" i="17"/>
  <c r="G15" i="17"/>
  <c r="F15" i="17"/>
  <c r="B15" i="17"/>
  <c r="A15" i="17"/>
  <c r="R14" i="17"/>
  <c r="Q14" i="17"/>
  <c r="P14" i="17"/>
  <c r="M14" i="17"/>
  <c r="G14" i="17"/>
  <c r="F14" i="17"/>
  <c r="B14" i="17"/>
  <c r="A14" i="17"/>
  <c r="R13" i="17"/>
  <c r="Q13" i="17"/>
  <c r="P13" i="17"/>
  <c r="M13" i="17"/>
  <c r="G13" i="17"/>
  <c r="F13" i="17"/>
  <c r="B13" i="17"/>
  <c r="A13" i="17"/>
  <c r="R12" i="17"/>
  <c r="Q12" i="17"/>
  <c r="P12" i="17"/>
  <c r="M12" i="17"/>
  <c r="G12" i="17"/>
  <c r="F12" i="17"/>
  <c r="B12" i="17"/>
  <c r="A12" i="17"/>
  <c r="R11" i="17"/>
  <c r="Q11" i="17"/>
  <c r="P11" i="17"/>
  <c r="M11" i="17"/>
  <c r="G11" i="17"/>
  <c r="F11" i="17"/>
  <c r="B11" i="17"/>
  <c r="A11" i="17"/>
  <c r="R10" i="17"/>
  <c r="Q10" i="17"/>
  <c r="P10" i="17"/>
  <c r="M10" i="17"/>
  <c r="G10" i="17"/>
  <c r="F10" i="17"/>
  <c r="B10" i="17"/>
  <c r="A10" i="17"/>
  <c r="R9" i="17"/>
  <c r="Q9" i="17"/>
  <c r="P9" i="17"/>
  <c r="M9" i="17"/>
  <c r="G9" i="17"/>
  <c r="F9" i="17"/>
  <c r="C9" i="17"/>
  <c r="B9" i="17"/>
  <c r="A9" i="17"/>
  <c r="R8" i="17"/>
  <c r="Q8" i="17"/>
  <c r="P8" i="17"/>
  <c r="M8" i="17"/>
  <c r="G8" i="17"/>
  <c r="F8" i="17"/>
  <c r="B8" i="17"/>
  <c r="A8" i="17"/>
  <c r="R7" i="17"/>
  <c r="Q7" i="17"/>
  <c r="P7" i="17"/>
  <c r="M7" i="17"/>
  <c r="G7" i="17"/>
  <c r="F7" i="17"/>
  <c r="B7" i="17"/>
  <c r="A7" i="17"/>
  <c r="R6" i="17"/>
  <c r="Q6" i="17"/>
  <c r="P6" i="17"/>
  <c r="M6" i="17"/>
  <c r="G6" i="17"/>
  <c r="F6" i="17"/>
  <c r="C6" i="17"/>
  <c r="B6" i="17"/>
  <c r="A6" i="17"/>
  <c r="R5" i="17"/>
  <c r="Q5" i="17"/>
  <c r="P5" i="17"/>
  <c r="M5" i="17"/>
  <c r="G5" i="17"/>
  <c r="F5" i="17"/>
  <c r="B5" i="17"/>
  <c r="A5" i="17"/>
  <c r="R4" i="17"/>
  <c r="Q4" i="17"/>
  <c r="P4" i="17"/>
  <c r="M4" i="17"/>
  <c r="G4" i="17"/>
  <c r="F4" i="17"/>
  <c r="C4" i="17"/>
  <c r="B4" i="17"/>
  <c r="A4" i="17"/>
  <c r="R3" i="17"/>
  <c r="Q3" i="17"/>
  <c r="P3" i="17"/>
  <c r="M3" i="17"/>
  <c r="N3" i="17" s="1"/>
  <c r="G3" i="17"/>
  <c r="F3" i="17"/>
  <c r="B3" i="17"/>
  <c r="A3" i="17"/>
  <c r="R2" i="17"/>
  <c r="Q2" i="17"/>
  <c r="P2" i="17"/>
  <c r="N2" i="17"/>
  <c r="M2" i="17"/>
  <c r="G2" i="17"/>
  <c r="F2" i="17"/>
  <c r="C2" i="17"/>
  <c r="B2" i="17"/>
  <c r="A2" i="17"/>
  <c r="R499" i="16"/>
  <c r="Q499" i="16"/>
  <c r="P499" i="16"/>
  <c r="M499" i="16"/>
  <c r="G499" i="16"/>
  <c r="F499" i="16"/>
  <c r="C499" i="16"/>
  <c r="B499" i="16"/>
  <c r="A499" i="16"/>
  <c r="R498" i="16"/>
  <c r="Q498" i="16"/>
  <c r="P498" i="16"/>
  <c r="M498" i="16"/>
  <c r="G498" i="16"/>
  <c r="F498" i="16"/>
  <c r="B498" i="16"/>
  <c r="A498" i="16"/>
  <c r="R497" i="16"/>
  <c r="Q497" i="16"/>
  <c r="P497" i="16"/>
  <c r="M497" i="16"/>
  <c r="G497" i="16"/>
  <c r="F497" i="16"/>
  <c r="B497" i="16"/>
  <c r="A497" i="16"/>
  <c r="R496" i="16"/>
  <c r="Q496" i="16"/>
  <c r="P496" i="16"/>
  <c r="M496" i="16"/>
  <c r="G496" i="16"/>
  <c r="F496" i="16"/>
  <c r="B496" i="16"/>
  <c r="A496" i="16"/>
  <c r="R495" i="16"/>
  <c r="Q495" i="16"/>
  <c r="P495" i="16"/>
  <c r="M495" i="16"/>
  <c r="G495" i="16"/>
  <c r="F495" i="16"/>
  <c r="B495" i="16"/>
  <c r="A495" i="16"/>
  <c r="R494" i="16"/>
  <c r="Q494" i="16"/>
  <c r="P494" i="16"/>
  <c r="M494" i="16"/>
  <c r="G494" i="16"/>
  <c r="F494" i="16"/>
  <c r="B494" i="16"/>
  <c r="A494" i="16"/>
  <c r="R493" i="16"/>
  <c r="Q493" i="16"/>
  <c r="P493" i="16"/>
  <c r="M493" i="16"/>
  <c r="G493" i="16"/>
  <c r="F493" i="16"/>
  <c r="B493" i="16"/>
  <c r="A493" i="16"/>
  <c r="R492" i="16"/>
  <c r="Q492" i="16"/>
  <c r="P492" i="16"/>
  <c r="M492" i="16"/>
  <c r="G492" i="16"/>
  <c r="F492" i="16"/>
  <c r="B492" i="16"/>
  <c r="A492" i="16"/>
  <c r="R491" i="16"/>
  <c r="Q491" i="16"/>
  <c r="P491" i="16"/>
  <c r="M491" i="16"/>
  <c r="G491" i="16"/>
  <c r="F491" i="16"/>
  <c r="C491" i="16"/>
  <c r="B491" i="16"/>
  <c r="A491" i="16"/>
  <c r="R490" i="16"/>
  <c r="Q490" i="16"/>
  <c r="P490" i="16"/>
  <c r="M490" i="16"/>
  <c r="G490" i="16"/>
  <c r="F490" i="16"/>
  <c r="B490" i="16"/>
  <c r="A490" i="16"/>
  <c r="R489" i="16"/>
  <c r="Q489" i="16"/>
  <c r="P489" i="16"/>
  <c r="M489" i="16"/>
  <c r="G489" i="16"/>
  <c r="F489" i="16"/>
  <c r="B489" i="16"/>
  <c r="A489" i="16"/>
  <c r="R488" i="16"/>
  <c r="Q488" i="16"/>
  <c r="P488" i="16"/>
  <c r="M488" i="16"/>
  <c r="G488" i="16"/>
  <c r="F488" i="16"/>
  <c r="B488" i="16"/>
  <c r="A488" i="16"/>
  <c r="R487" i="16"/>
  <c r="Q487" i="16"/>
  <c r="P487" i="16"/>
  <c r="M487" i="16"/>
  <c r="G487" i="16"/>
  <c r="F487" i="16"/>
  <c r="B487" i="16"/>
  <c r="A487" i="16"/>
  <c r="R486" i="16"/>
  <c r="Q486" i="16"/>
  <c r="P486" i="16"/>
  <c r="M486" i="16"/>
  <c r="G486" i="16"/>
  <c r="F486" i="16"/>
  <c r="B486" i="16"/>
  <c r="A486" i="16"/>
  <c r="R485" i="16"/>
  <c r="Q485" i="16"/>
  <c r="P485" i="16"/>
  <c r="M485" i="16"/>
  <c r="G485" i="16"/>
  <c r="F485" i="16"/>
  <c r="B485" i="16"/>
  <c r="A485" i="16"/>
  <c r="R484" i="16"/>
  <c r="Q484" i="16"/>
  <c r="P484" i="16"/>
  <c r="M484" i="16"/>
  <c r="G484" i="16"/>
  <c r="F484" i="16"/>
  <c r="B484" i="16"/>
  <c r="A484" i="16"/>
  <c r="R483" i="16"/>
  <c r="Q483" i="16"/>
  <c r="P483" i="16"/>
  <c r="M483" i="16"/>
  <c r="G483" i="16"/>
  <c r="F483" i="16"/>
  <c r="C483" i="16"/>
  <c r="B483" i="16"/>
  <c r="A483" i="16"/>
  <c r="R482" i="16"/>
  <c r="Q482" i="16"/>
  <c r="P482" i="16"/>
  <c r="M482" i="16"/>
  <c r="G482" i="16"/>
  <c r="F482" i="16"/>
  <c r="B482" i="16"/>
  <c r="A482" i="16"/>
  <c r="R481" i="16"/>
  <c r="Q481" i="16"/>
  <c r="P481" i="16"/>
  <c r="M481" i="16"/>
  <c r="G481" i="16"/>
  <c r="F481" i="16"/>
  <c r="B481" i="16"/>
  <c r="A481" i="16"/>
  <c r="R480" i="16"/>
  <c r="Q480" i="16"/>
  <c r="P480" i="16"/>
  <c r="M480" i="16"/>
  <c r="G480" i="16"/>
  <c r="F480" i="16"/>
  <c r="B480" i="16"/>
  <c r="A480" i="16"/>
  <c r="R479" i="16"/>
  <c r="Q479" i="16"/>
  <c r="P479" i="16"/>
  <c r="M479" i="16"/>
  <c r="G479" i="16"/>
  <c r="F479" i="16"/>
  <c r="B479" i="16"/>
  <c r="A479" i="16"/>
  <c r="R478" i="16"/>
  <c r="Q478" i="16"/>
  <c r="P478" i="16"/>
  <c r="M478" i="16"/>
  <c r="G478" i="16"/>
  <c r="F478" i="16"/>
  <c r="B478" i="16"/>
  <c r="A478" i="16"/>
  <c r="R477" i="16"/>
  <c r="Q477" i="16"/>
  <c r="P477" i="16"/>
  <c r="M477" i="16"/>
  <c r="G477" i="16"/>
  <c r="F477" i="16"/>
  <c r="B477" i="16"/>
  <c r="A477" i="16"/>
  <c r="R476" i="16"/>
  <c r="Q476" i="16"/>
  <c r="P476" i="16"/>
  <c r="M476" i="16"/>
  <c r="G476" i="16"/>
  <c r="F476" i="16"/>
  <c r="B476" i="16"/>
  <c r="A476" i="16"/>
  <c r="R475" i="16"/>
  <c r="Q475" i="16"/>
  <c r="P475" i="16"/>
  <c r="M475" i="16"/>
  <c r="G475" i="16"/>
  <c r="F475" i="16"/>
  <c r="C475" i="16"/>
  <c r="B475" i="16"/>
  <c r="A475" i="16"/>
  <c r="R474" i="16"/>
  <c r="Q474" i="16"/>
  <c r="P474" i="16"/>
  <c r="M474" i="16"/>
  <c r="G474" i="16"/>
  <c r="F474" i="16"/>
  <c r="B474" i="16"/>
  <c r="A474" i="16"/>
  <c r="R473" i="16"/>
  <c r="Q473" i="16"/>
  <c r="P473" i="16"/>
  <c r="M473" i="16"/>
  <c r="G473" i="16"/>
  <c r="F473" i="16"/>
  <c r="B473" i="16"/>
  <c r="A473" i="16"/>
  <c r="R472" i="16"/>
  <c r="Q472" i="16"/>
  <c r="P472" i="16"/>
  <c r="M472" i="16"/>
  <c r="G472" i="16"/>
  <c r="F472" i="16"/>
  <c r="B472" i="16"/>
  <c r="A472" i="16"/>
  <c r="R471" i="16"/>
  <c r="Q471" i="16"/>
  <c r="P471" i="16"/>
  <c r="M471" i="16"/>
  <c r="G471" i="16"/>
  <c r="F471" i="16"/>
  <c r="B471" i="16"/>
  <c r="A471" i="16"/>
  <c r="R470" i="16"/>
  <c r="Q470" i="16"/>
  <c r="P470" i="16"/>
  <c r="M470" i="16"/>
  <c r="G470" i="16"/>
  <c r="F470" i="16"/>
  <c r="B470" i="16"/>
  <c r="A470" i="16"/>
  <c r="R469" i="16"/>
  <c r="Q469" i="16"/>
  <c r="P469" i="16"/>
  <c r="M469" i="16"/>
  <c r="G469" i="16"/>
  <c r="F469" i="16"/>
  <c r="B469" i="16"/>
  <c r="A469" i="16"/>
  <c r="R468" i="16"/>
  <c r="Q468" i="16"/>
  <c r="P468" i="16"/>
  <c r="M468" i="16"/>
  <c r="G468" i="16"/>
  <c r="F468" i="16"/>
  <c r="B468" i="16"/>
  <c r="A468" i="16"/>
  <c r="R467" i="16"/>
  <c r="Q467" i="16"/>
  <c r="P467" i="16"/>
  <c r="M467" i="16"/>
  <c r="G467" i="16"/>
  <c r="F467" i="16"/>
  <c r="C467" i="16"/>
  <c r="B467" i="16"/>
  <c r="A467" i="16"/>
  <c r="R466" i="16"/>
  <c r="Q466" i="16"/>
  <c r="P466" i="16"/>
  <c r="M466" i="16"/>
  <c r="G466" i="16"/>
  <c r="F466" i="16"/>
  <c r="B466" i="16"/>
  <c r="A466" i="16"/>
  <c r="R465" i="16"/>
  <c r="Q465" i="16"/>
  <c r="P465" i="16"/>
  <c r="M465" i="16"/>
  <c r="G465" i="16"/>
  <c r="F465" i="16"/>
  <c r="B465" i="16"/>
  <c r="A465" i="16"/>
  <c r="R464" i="16"/>
  <c r="Q464" i="16"/>
  <c r="P464" i="16"/>
  <c r="M464" i="16"/>
  <c r="G464" i="16"/>
  <c r="F464" i="16"/>
  <c r="B464" i="16"/>
  <c r="A464" i="16"/>
  <c r="R463" i="16"/>
  <c r="Q463" i="16"/>
  <c r="P463" i="16"/>
  <c r="M463" i="16"/>
  <c r="G463" i="16"/>
  <c r="F463" i="16"/>
  <c r="B463" i="16"/>
  <c r="A463" i="16"/>
  <c r="R462" i="16"/>
  <c r="Q462" i="16"/>
  <c r="P462" i="16"/>
  <c r="M462" i="16"/>
  <c r="G462" i="16"/>
  <c r="F462" i="16"/>
  <c r="B462" i="16"/>
  <c r="A462" i="16"/>
  <c r="R461" i="16"/>
  <c r="Q461" i="16"/>
  <c r="P461" i="16"/>
  <c r="M461" i="16"/>
  <c r="G461" i="16"/>
  <c r="F461" i="16"/>
  <c r="B461" i="16"/>
  <c r="A461" i="16"/>
  <c r="R460" i="16"/>
  <c r="Q460" i="16"/>
  <c r="P460" i="16"/>
  <c r="M460" i="16"/>
  <c r="G460" i="16"/>
  <c r="F460" i="16"/>
  <c r="B460" i="16"/>
  <c r="A460" i="16"/>
  <c r="R459" i="16"/>
  <c r="Q459" i="16"/>
  <c r="P459" i="16"/>
  <c r="M459" i="16"/>
  <c r="G459" i="16"/>
  <c r="F459" i="16"/>
  <c r="C459" i="16"/>
  <c r="B459" i="16"/>
  <c r="A459" i="16"/>
  <c r="R458" i="16"/>
  <c r="Q458" i="16"/>
  <c r="P458" i="16"/>
  <c r="M458" i="16"/>
  <c r="G458" i="16"/>
  <c r="F458" i="16"/>
  <c r="B458" i="16"/>
  <c r="A458" i="16"/>
  <c r="R457" i="16"/>
  <c r="Q457" i="16"/>
  <c r="P457" i="16"/>
  <c r="M457" i="16"/>
  <c r="G457" i="16"/>
  <c r="F457" i="16"/>
  <c r="B457" i="16"/>
  <c r="A457" i="16"/>
  <c r="R456" i="16"/>
  <c r="Q456" i="16"/>
  <c r="P456" i="16"/>
  <c r="M456" i="16"/>
  <c r="G456" i="16"/>
  <c r="F456" i="16"/>
  <c r="B456" i="16"/>
  <c r="A456" i="16"/>
  <c r="R455" i="16"/>
  <c r="Q455" i="16"/>
  <c r="P455" i="16"/>
  <c r="M455" i="16"/>
  <c r="G455" i="16"/>
  <c r="F455" i="16"/>
  <c r="B455" i="16"/>
  <c r="A455" i="16"/>
  <c r="R454" i="16"/>
  <c r="Q454" i="16"/>
  <c r="P454" i="16"/>
  <c r="M454" i="16"/>
  <c r="G454" i="16"/>
  <c r="F454" i="16"/>
  <c r="B454" i="16"/>
  <c r="A454" i="16"/>
  <c r="R453" i="16"/>
  <c r="Q453" i="16"/>
  <c r="P453" i="16"/>
  <c r="M453" i="16"/>
  <c r="G453" i="16"/>
  <c r="F453" i="16"/>
  <c r="B453" i="16"/>
  <c r="A453" i="16"/>
  <c r="R452" i="16"/>
  <c r="Q452" i="16"/>
  <c r="P452" i="16"/>
  <c r="M452" i="16"/>
  <c r="G452" i="16"/>
  <c r="F452" i="16"/>
  <c r="B452" i="16"/>
  <c r="A452" i="16"/>
  <c r="R451" i="16"/>
  <c r="Q451" i="16"/>
  <c r="P451" i="16"/>
  <c r="M451" i="16"/>
  <c r="G451" i="16"/>
  <c r="F451" i="16"/>
  <c r="C451" i="16"/>
  <c r="B451" i="16"/>
  <c r="A451" i="16"/>
  <c r="R450" i="16"/>
  <c r="Q450" i="16"/>
  <c r="P450" i="16"/>
  <c r="M450" i="16"/>
  <c r="G450" i="16"/>
  <c r="F450" i="16"/>
  <c r="B450" i="16"/>
  <c r="A450" i="16"/>
  <c r="R449" i="16"/>
  <c r="Q449" i="16"/>
  <c r="P449" i="16"/>
  <c r="M449" i="16"/>
  <c r="G449" i="16"/>
  <c r="F449" i="16"/>
  <c r="B449" i="16"/>
  <c r="A449" i="16"/>
  <c r="R448" i="16"/>
  <c r="Q448" i="16"/>
  <c r="P448" i="16"/>
  <c r="M448" i="16"/>
  <c r="G448" i="16"/>
  <c r="F448" i="16"/>
  <c r="B448" i="16"/>
  <c r="A448" i="16"/>
  <c r="R447" i="16"/>
  <c r="Q447" i="16"/>
  <c r="P447" i="16"/>
  <c r="M447" i="16"/>
  <c r="G447" i="16"/>
  <c r="F447" i="16"/>
  <c r="B447" i="16"/>
  <c r="A447" i="16"/>
  <c r="R446" i="16"/>
  <c r="Q446" i="16"/>
  <c r="P446" i="16"/>
  <c r="M446" i="16"/>
  <c r="G446" i="16"/>
  <c r="F446" i="16"/>
  <c r="B446" i="16"/>
  <c r="A446" i="16"/>
  <c r="R445" i="16"/>
  <c r="Q445" i="16"/>
  <c r="P445" i="16"/>
  <c r="M445" i="16"/>
  <c r="G445" i="16"/>
  <c r="F445" i="16"/>
  <c r="B445" i="16"/>
  <c r="A445" i="16"/>
  <c r="R444" i="16"/>
  <c r="Q444" i="16"/>
  <c r="P444" i="16"/>
  <c r="M444" i="16"/>
  <c r="G444" i="16"/>
  <c r="F444" i="16"/>
  <c r="B444" i="16"/>
  <c r="A444" i="16"/>
  <c r="R443" i="16"/>
  <c r="Q443" i="16"/>
  <c r="P443" i="16"/>
  <c r="M443" i="16"/>
  <c r="G443" i="16"/>
  <c r="F443" i="16"/>
  <c r="C443" i="16"/>
  <c r="B443" i="16"/>
  <c r="A443" i="16"/>
  <c r="R442" i="16"/>
  <c r="Q442" i="16"/>
  <c r="P442" i="16"/>
  <c r="M442" i="16"/>
  <c r="G442" i="16"/>
  <c r="F442" i="16"/>
  <c r="B442" i="16"/>
  <c r="A442" i="16"/>
  <c r="R441" i="16"/>
  <c r="Q441" i="16"/>
  <c r="P441" i="16"/>
  <c r="M441" i="16"/>
  <c r="G441" i="16"/>
  <c r="F441" i="16"/>
  <c r="B441" i="16"/>
  <c r="A441" i="16"/>
  <c r="R440" i="16"/>
  <c r="Q440" i="16"/>
  <c r="P440" i="16"/>
  <c r="M440" i="16"/>
  <c r="G440" i="16"/>
  <c r="F440" i="16"/>
  <c r="B440" i="16"/>
  <c r="A440" i="16"/>
  <c r="R439" i="16"/>
  <c r="Q439" i="16"/>
  <c r="P439" i="16"/>
  <c r="M439" i="16"/>
  <c r="G439" i="16"/>
  <c r="F439" i="16"/>
  <c r="B439" i="16"/>
  <c r="A439" i="16"/>
  <c r="R438" i="16"/>
  <c r="Q438" i="16"/>
  <c r="P438" i="16"/>
  <c r="M438" i="16"/>
  <c r="G438" i="16"/>
  <c r="F438" i="16"/>
  <c r="C438" i="16"/>
  <c r="B438" i="16"/>
  <c r="A438" i="16"/>
  <c r="R437" i="16"/>
  <c r="Q437" i="16"/>
  <c r="P437" i="16"/>
  <c r="M437" i="16"/>
  <c r="G437" i="16"/>
  <c r="F437" i="16"/>
  <c r="B437" i="16"/>
  <c r="A437" i="16"/>
  <c r="R436" i="16"/>
  <c r="Q436" i="16"/>
  <c r="P436" i="16"/>
  <c r="M436" i="16"/>
  <c r="G436" i="16"/>
  <c r="F436" i="16"/>
  <c r="B436" i="16"/>
  <c r="A436" i="16"/>
  <c r="R435" i="16"/>
  <c r="Q435" i="16"/>
  <c r="P435" i="16"/>
  <c r="M435" i="16"/>
  <c r="G435" i="16"/>
  <c r="F435" i="16"/>
  <c r="B435" i="16"/>
  <c r="A435" i="16"/>
  <c r="R434" i="16"/>
  <c r="Q434" i="16"/>
  <c r="P434" i="16"/>
  <c r="M434" i="16"/>
  <c r="G434" i="16"/>
  <c r="F434" i="16"/>
  <c r="C434" i="16"/>
  <c r="B434" i="16"/>
  <c r="A434" i="16"/>
  <c r="R433" i="16"/>
  <c r="Q433" i="16"/>
  <c r="P433" i="16"/>
  <c r="M433" i="16"/>
  <c r="G433" i="16"/>
  <c r="F433" i="16"/>
  <c r="B433" i="16"/>
  <c r="A433" i="16"/>
  <c r="R432" i="16"/>
  <c r="Q432" i="16"/>
  <c r="P432" i="16"/>
  <c r="M432" i="16"/>
  <c r="G432" i="16"/>
  <c r="F432" i="16"/>
  <c r="B432" i="16"/>
  <c r="A432" i="16"/>
  <c r="R431" i="16"/>
  <c r="Q431" i="16"/>
  <c r="P431" i="16"/>
  <c r="M431" i="16"/>
  <c r="G431" i="16"/>
  <c r="F431" i="16"/>
  <c r="B431" i="16"/>
  <c r="A431" i="16"/>
  <c r="R430" i="16"/>
  <c r="Q430" i="16"/>
  <c r="P430" i="16"/>
  <c r="M430" i="16"/>
  <c r="G430" i="16"/>
  <c r="F430" i="16"/>
  <c r="C430" i="16"/>
  <c r="B430" i="16"/>
  <c r="A430" i="16"/>
  <c r="R429" i="16"/>
  <c r="Q429" i="16"/>
  <c r="P429" i="16"/>
  <c r="M429" i="16"/>
  <c r="G429" i="16"/>
  <c r="F429" i="16"/>
  <c r="B429" i="16"/>
  <c r="A429" i="16"/>
  <c r="R428" i="16"/>
  <c r="Q428" i="16"/>
  <c r="P428" i="16"/>
  <c r="M428" i="16"/>
  <c r="G428" i="16"/>
  <c r="F428" i="16"/>
  <c r="B428" i="16"/>
  <c r="A428" i="16"/>
  <c r="R427" i="16"/>
  <c r="Q427" i="16"/>
  <c r="P427" i="16"/>
  <c r="M427" i="16"/>
  <c r="G427" i="16"/>
  <c r="F427" i="16"/>
  <c r="B427" i="16"/>
  <c r="A427" i="16"/>
  <c r="R426" i="16"/>
  <c r="Q426" i="16"/>
  <c r="P426" i="16"/>
  <c r="M426" i="16"/>
  <c r="G426" i="16"/>
  <c r="F426" i="16"/>
  <c r="C426" i="16"/>
  <c r="B426" i="16"/>
  <c r="A426" i="16"/>
  <c r="R425" i="16"/>
  <c r="Q425" i="16"/>
  <c r="P425" i="16"/>
  <c r="M425" i="16"/>
  <c r="G425" i="16"/>
  <c r="F425" i="16"/>
  <c r="B425" i="16"/>
  <c r="A425" i="16"/>
  <c r="R424" i="16"/>
  <c r="Q424" i="16"/>
  <c r="P424" i="16"/>
  <c r="M424" i="16"/>
  <c r="G424" i="16"/>
  <c r="F424" i="16"/>
  <c r="B424" i="16"/>
  <c r="A424" i="16"/>
  <c r="R423" i="16"/>
  <c r="Q423" i="16"/>
  <c r="P423" i="16"/>
  <c r="M423" i="16"/>
  <c r="G423" i="16"/>
  <c r="F423" i="16"/>
  <c r="B423" i="16"/>
  <c r="A423" i="16"/>
  <c r="R422" i="16"/>
  <c r="Q422" i="16"/>
  <c r="P422" i="16"/>
  <c r="M422" i="16"/>
  <c r="G422" i="16"/>
  <c r="F422" i="16"/>
  <c r="C422" i="16"/>
  <c r="B422" i="16"/>
  <c r="A422" i="16"/>
  <c r="R421" i="16"/>
  <c r="Q421" i="16"/>
  <c r="P421" i="16"/>
  <c r="M421" i="16"/>
  <c r="G421" i="16"/>
  <c r="F421" i="16"/>
  <c r="B421" i="16"/>
  <c r="C421" i="16" s="1"/>
  <c r="A421" i="16"/>
  <c r="R420" i="16"/>
  <c r="Q420" i="16"/>
  <c r="P420" i="16"/>
  <c r="M420" i="16"/>
  <c r="G420" i="16"/>
  <c r="F420" i="16"/>
  <c r="C420" i="16"/>
  <c r="B420" i="16"/>
  <c r="A420" i="16"/>
  <c r="R419" i="16"/>
  <c r="Q419" i="16"/>
  <c r="P419" i="16"/>
  <c r="M419" i="16"/>
  <c r="G419" i="16"/>
  <c r="F419" i="16"/>
  <c r="C419" i="16"/>
  <c r="B419" i="16"/>
  <c r="A419" i="16"/>
  <c r="R418" i="16"/>
  <c r="Q418" i="16"/>
  <c r="P418" i="16"/>
  <c r="M418" i="16"/>
  <c r="G418" i="16"/>
  <c r="F418" i="16"/>
  <c r="B418" i="16"/>
  <c r="A418" i="16"/>
  <c r="R417" i="16"/>
  <c r="Q417" i="16"/>
  <c r="P417" i="16"/>
  <c r="M417" i="16"/>
  <c r="G417" i="16"/>
  <c r="F417" i="16"/>
  <c r="B417" i="16"/>
  <c r="C417" i="16" s="1"/>
  <c r="A417" i="16"/>
  <c r="R416" i="16"/>
  <c r="Q416" i="16"/>
  <c r="P416" i="16"/>
  <c r="M416" i="16"/>
  <c r="G416" i="16"/>
  <c r="F416" i="16"/>
  <c r="B416" i="16"/>
  <c r="A416" i="16"/>
  <c r="R415" i="16"/>
  <c r="Q415" i="16"/>
  <c r="P415" i="16"/>
  <c r="M415" i="16"/>
  <c r="G415" i="16"/>
  <c r="F415" i="16"/>
  <c r="B415" i="16"/>
  <c r="A415" i="16"/>
  <c r="R414" i="16"/>
  <c r="Q414" i="16"/>
  <c r="P414" i="16"/>
  <c r="M414" i="16"/>
  <c r="G414" i="16"/>
  <c r="F414" i="16"/>
  <c r="C414" i="16"/>
  <c r="B414" i="16"/>
  <c r="A414" i="16"/>
  <c r="R413" i="16"/>
  <c r="Q413" i="16"/>
  <c r="P413" i="16"/>
  <c r="M413" i="16"/>
  <c r="G413" i="16"/>
  <c r="F413" i="16"/>
  <c r="B413" i="16"/>
  <c r="C413" i="16" s="1"/>
  <c r="A413" i="16"/>
  <c r="R412" i="16"/>
  <c r="Q412" i="16"/>
  <c r="P412" i="16"/>
  <c r="M412" i="16"/>
  <c r="G412" i="16"/>
  <c r="F412" i="16"/>
  <c r="B412" i="16"/>
  <c r="A412" i="16"/>
  <c r="R411" i="16"/>
  <c r="Q411" i="16"/>
  <c r="P411" i="16"/>
  <c r="M411" i="16"/>
  <c r="G411" i="16"/>
  <c r="F411" i="16"/>
  <c r="C411" i="16"/>
  <c r="B411" i="16"/>
  <c r="A411" i="16"/>
  <c r="R410" i="16"/>
  <c r="Q410" i="16"/>
  <c r="P410" i="16"/>
  <c r="M410" i="16"/>
  <c r="G410" i="16"/>
  <c r="F410" i="16"/>
  <c r="B410" i="16"/>
  <c r="A410" i="16"/>
  <c r="R409" i="16"/>
  <c r="Q409" i="16"/>
  <c r="P409" i="16"/>
  <c r="M409" i="16"/>
  <c r="G409" i="16"/>
  <c r="F409" i="16"/>
  <c r="B409" i="16"/>
  <c r="A409" i="16"/>
  <c r="R408" i="16"/>
  <c r="Q408" i="16"/>
  <c r="P408" i="16"/>
  <c r="M408" i="16"/>
  <c r="G408" i="16"/>
  <c r="F408" i="16"/>
  <c r="B408" i="16"/>
  <c r="A408" i="16"/>
  <c r="R407" i="16"/>
  <c r="Q407" i="16"/>
  <c r="P407" i="16"/>
  <c r="M407" i="16"/>
  <c r="G407" i="16"/>
  <c r="F407" i="16"/>
  <c r="B407" i="16"/>
  <c r="A407" i="16"/>
  <c r="R406" i="16"/>
  <c r="Q406" i="16"/>
  <c r="P406" i="16"/>
  <c r="M406" i="16"/>
  <c r="G406" i="16"/>
  <c r="F406" i="16"/>
  <c r="C406" i="16"/>
  <c r="B406" i="16"/>
  <c r="A406" i="16"/>
  <c r="R405" i="16"/>
  <c r="Q405" i="16"/>
  <c r="P405" i="16"/>
  <c r="M405" i="16"/>
  <c r="G405" i="16"/>
  <c r="F405" i="16"/>
  <c r="B405" i="16"/>
  <c r="A405" i="16"/>
  <c r="R404" i="16"/>
  <c r="Q404" i="16"/>
  <c r="P404" i="16"/>
  <c r="M404" i="16"/>
  <c r="G404" i="16"/>
  <c r="F404" i="16"/>
  <c r="C404" i="16"/>
  <c r="B404" i="16"/>
  <c r="A404" i="16"/>
  <c r="R403" i="16"/>
  <c r="Q403" i="16"/>
  <c r="P403" i="16"/>
  <c r="M403" i="16"/>
  <c r="G403" i="16"/>
  <c r="F403" i="16"/>
  <c r="C403" i="16"/>
  <c r="B403" i="16"/>
  <c r="A403" i="16"/>
  <c r="R402" i="16"/>
  <c r="Q402" i="16"/>
  <c r="P402" i="16"/>
  <c r="M402" i="16"/>
  <c r="G402" i="16"/>
  <c r="F402" i="16"/>
  <c r="B402" i="16"/>
  <c r="C402" i="16" s="1"/>
  <c r="A402" i="16"/>
  <c r="R401" i="16"/>
  <c r="Q401" i="16"/>
  <c r="P401" i="16"/>
  <c r="M401" i="16"/>
  <c r="G401" i="16"/>
  <c r="F401" i="16"/>
  <c r="B401" i="16"/>
  <c r="C401" i="16" s="1"/>
  <c r="A401" i="16"/>
  <c r="R400" i="16"/>
  <c r="Q400" i="16"/>
  <c r="P400" i="16"/>
  <c r="M400" i="16"/>
  <c r="G400" i="16"/>
  <c r="F400" i="16"/>
  <c r="B400" i="16"/>
  <c r="A400" i="16"/>
  <c r="R399" i="16"/>
  <c r="Q399" i="16"/>
  <c r="P399" i="16"/>
  <c r="M399" i="16"/>
  <c r="G399" i="16"/>
  <c r="F399" i="16"/>
  <c r="B399" i="16"/>
  <c r="A399" i="16"/>
  <c r="R398" i="16"/>
  <c r="Q398" i="16"/>
  <c r="P398" i="16"/>
  <c r="M398" i="16"/>
  <c r="G398" i="16"/>
  <c r="F398" i="16"/>
  <c r="C398" i="16"/>
  <c r="B398" i="16"/>
  <c r="A398" i="16"/>
  <c r="R397" i="16"/>
  <c r="Q397" i="16"/>
  <c r="P397" i="16"/>
  <c r="M397" i="16"/>
  <c r="G397" i="16"/>
  <c r="F397" i="16"/>
  <c r="B397" i="16"/>
  <c r="A397" i="16"/>
  <c r="R396" i="16"/>
  <c r="Q396" i="16"/>
  <c r="P396" i="16"/>
  <c r="M396" i="16"/>
  <c r="G396" i="16"/>
  <c r="F396" i="16"/>
  <c r="B396" i="16"/>
  <c r="C396" i="16" s="1"/>
  <c r="A396" i="16"/>
  <c r="R395" i="16"/>
  <c r="Q395" i="16"/>
  <c r="P395" i="16"/>
  <c r="M395" i="16"/>
  <c r="G395" i="16"/>
  <c r="F395" i="16"/>
  <c r="B395" i="16"/>
  <c r="A395" i="16"/>
  <c r="R394" i="16"/>
  <c r="Q394" i="16"/>
  <c r="P394" i="16"/>
  <c r="M394" i="16"/>
  <c r="G394" i="16"/>
  <c r="F394" i="16"/>
  <c r="B394" i="16"/>
  <c r="A394" i="16"/>
  <c r="R393" i="16"/>
  <c r="Q393" i="16"/>
  <c r="P393" i="16"/>
  <c r="M393" i="16"/>
  <c r="G393" i="16"/>
  <c r="F393" i="16"/>
  <c r="B393" i="16"/>
  <c r="A393" i="16"/>
  <c r="R392" i="16"/>
  <c r="Q392" i="16"/>
  <c r="P392" i="16"/>
  <c r="M392" i="16"/>
  <c r="G392" i="16"/>
  <c r="F392" i="16"/>
  <c r="B392" i="16"/>
  <c r="A392" i="16"/>
  <c r="R391" i="16"/>
  <c r="Q391" i="16"/>
  <c r="P391" i="16"/>
  <c r="M391" i="16"/>
  <c r="G391" i="16"/>
  <c r="F391" i="16"/>
  <c r="B391" i="16"/>
  <c r="C392" i="16" s="1"/>
  <c r="A391" i="16"/>
  <c r="R390" i="16"/>
  <c r="Q390" i="16"/>
  <c r="P390" i="16"/>
  <c r="M390" i="16"/>
  <c r="G390" i="16"/>
  <c r="F390" i="16"/>
  <c r="B390" i="16"/>
  <c r="A390" i="16"/>
  <c r="R389" i="16"/>
  <c r="Q389" i="16"/>
  <c r="P389" i="16"/>
  <c r="M389" i="16"/>
  <c r="G389" i="16"/>
  <c r="F389" i="16"/>
  <c r="C389" i="16"/>
  <c r="B389" i="16"/>
  <c r="A389" i="16"/>
  <c r="R388" i="16"/>
  <c r="Q388" i="16"/>
  <c r="P388" i="16"/>
  <c r="M388" i="16"/>
  <c r="G388" i="16"/>
  <c r="F388" i="16"/>
  <c r="B388" i="16"/>
  <c r="A388" i="16"/>
  <c r="R387" i="16"/>
  <c r="Q387" i="16"/>
  <c r="P387" i="16"/>
  <c r="M387" i="16"/>
  <c r="G387" i="16"/>
  <c r="F387" i="16"/>
  <c r="B387" i="16"/>
  <c r="C388" i="16" s="1"/>
  <c r="A387" i="16"/>
  <c r="R386" i="16"/>
  <c r="Q386" i="16"/>
  <c r="P386" i="16"/>
  <c r="M386" i="16"/>
  <c r="G386" i="16"/>
  <c r="F386" i="16"/>
  <c r="B386" i="16"/>
  <c r="A386" i="16"/>
  <c r="R385" i="16"/>
  <c r="Q385" i="16"/>
  <c r="P385" i="16"/>
  <c r="M385" i="16"/>
  <c r="G385" i="16"/>
  <c r="F385" i="16"/>
  <c r="C385" i="16"/>
  <c r="B385" i="16"/>
  <c r="A385" i="16"/>
  <c r="R384" i="16"/>
  <c r="Q384" i="16"/>
  <c r="P384" i="16"/>
  <c r="M384" i="16"/>
  <c r="G384" i="16"/>
  <c r="F384" i="16"/>
  <c r="B384" i="16"/>
  <c r="A384" i="16"/>
  <c r="R383" i="16"/>
  <c r="Q383" i="16"/>
  <c r="P383" i="16"/>
  <c r="M383" i="16"/>
  <c r="G383" i="16"/>
  <c r="F383" i="16"/>
  <c r="B383" i="16"/>
  <c r="C384" i="16" s="1"/>
  <c r="A383" i="16"/>
  <c r="R382" i="16"/>
  <c r="Q382" i="16"/>
  <c r="P382" i="16"/>
  <c r="M382" i="16"/>
  <c r="G382" i="16"/>
  <c r="F382" i="16"/>
  <c r="B382" i="16"/>
  <c r="A382" i="16"/>
  <c r="R381" i="16"/>
  <c r="Q381" i="16"/>
  <c r="P381" i="16"/>
  <c r="M381" i="16"/>
  <c r="G381" i="16"/>
  <c r="F381" i="16"/>
  <c r="B381" i="16"/>
  <c r="A381" i="16"/>
  <c r="R380" i="16"/>
  <c r="Q380" i="16"/>
  <c r="P380" i="16"/>
  <c r="M380" i="16"/>
  <c r="G380" i="16"/>
  <c r="F380" i="16"/>
  <c r="B380" i="16"/>
  <c r="A380" i="16"/>
  <c r="R379" i="16"/>
  <c r="Q379" i="16"/>
  <c r="P379" i="16"/>
  <c r="M379" i="16"/>
  <c r="G379" i="16"/>
  <c r="F379" i="16"/>
  <c r="B379" i="16"/>
  <c r="C380" i="16" s="1"/>
  <c r="A379" i="16"/>
  <c r="R378" i="16"/>
  <c r="Q378" i="16"/>
  <c r="P378" i="16"/>
  <c r="M378" i="16"/>
  <c r="G378" i="16"/>
  <c r="F378" i="16"/>
  <c r="B378" i="16"/>
  <c r="A378" i="16"/>
  <c r="R377" i="16"/>
  <c r="Q377" i="16"/>
  <c r="P377" i="16"/>
  <c r="M377" i="16"/>
  <c r="G377" i="16"/>
  <c r="F377" i="16"/>
  <c r="C377" i="16"/>
  <c r="B377" i="16"/>
  <c r="A377" i="16"/>
  <c r="R376" i="16"/>
  <c r="Q376" i="16"/>
  <c r="P376" i="16"/>
  <c r="M376" i="16"/>
  <c r="G376" i="16"/>
  <c r="F376" i="16"/>
  <c r="B376" i="16"/>
  <c r="A376" i="16"/>
  <c r="R375" i="16"/>
  <c r="Q375" i="16"/>
  <c r="P375" i="16"/>
  <c r="M375" i="16"/>
  <c r="G375" i="16"/>
  <c r="F375" i="16"/>
  <c r="B375" i="16"/>
  <c r="C376" i="16" s="1"/>
  <c r="A375" i="16"/>
  <c r="R374" i="16"/>
  <c r="Q374" i="16"/>
  <c r="P374" i="16"/>
  <c r="M374" i="16"/>
  <c r="G374" i="16"/>
  <c r="F374" i="16"/>
  <c r="B374" i="16"/>
  <c r="A374" i="16"/>
  <c r="R373" i="16"/>
  <c r="Q373" i="16"/>
  <c r="P373" i="16"/>
  <c r="M373" i="16"/>
  <c r="G373" i="16"/>
  <c r="F373" i="16"/>
  <c r="C373" i="16"/>
  <c r="B373" i="16"/>
  <c r="A373" i="16"/>
  <c r="R372" i="16"/>
  <c r="Q372" i="16"/>
  <c r="P372" i="16"/>
  <c r="M372" i="16"/>
  <c r="G372" i="16"/>
  <c r="F372" i="16"/>
  <c r="B372" i="16"/>
  <c r="A372" i="16"/>
  <c r="R371" i="16"/>
  <c r="Q371" i="16"/>
  <c r="P371" i="16"/>
  <c r="M371" i="16"/>
  <c r="G371" i="16"/>
  <c r="F371" i="16"/>
  <c r="B371" i="16"/>
  <c r="C372" i="16" s="1"/>
  <c r="A371" i="16"/>
  <c r="R370" i="16"/>
  <c r="Q370" i="16"/>
  <c r="P370" i="16"/>
  <c r="M370" i="16"/>
  <c r="G370" i="16"/>
  <c r="F370" i="16"/>
  <c r="B370" i="16"/>
  <c r="A370" i="16"/>
  <c r="R369" i="16"/>
  <c r="Q369" i="16"/>
  <c r="P369" i="16"/>
  <c r="M369" i="16"/>
  <c r="G369" i="16"/>
  <c r="F369" i="16"/>
  <c r="C369" i="16"/>
  <c r="B369" i="16"/>
  <c r="A369" i="16"/>
  <c r="R368" i="16"/>
  <c r="Q368" i="16"/>
  <c r="P368" i="16"/>
  <c r="M368" i="16"/>
  <c r="G368" i="16"/>
  <c r="F368" i="16"/>
  <c r="B368" i="16"/>
  <c r="A368" i="16"/>
  <c r="R367" i="16"/>
  <c r="Q367" i="16"/>
  <c r="P367" i="16"/>
  <c r="M367" i="16"/>
  <c r="G367" i="16"/>
  <c r="F367" i="16"/>
  <c r="B367" i="16"/>
  <c r="C368" i="16" s="1"/>
  <c r="A367" i="16"/>
  <c r="R366" i="16"/>
  <c r="Q366" i="16"/>
  <c r="P366" i="16"/>
  <c r="M366" i="16"/>
  <c r="G366" i="16"/>
  <c r="F366" i="16"/>
  <c r="B366" i="16"/>
  <c r="A366" i="16"/>
  <c r="R365" i="16"/>
  <c r="Q365" i="16"/>
  <c r="P365" i="16"/>
  <c r="M365" i="16"/>
  <c r="G365" i="16"/>
  <c r="F365" i="16"/>
  <c r="B365" i="16"/>
  <c r="A365" i="16"/>
  <c r="R364" i="16"/>
  <c r="Q364" i="16"/>
  <c r="P364" i="16"/>
  <c r="M364" i="16"/>
  <c r="G364" i="16"/>
  <c r="F364" i="16"/>
  <c r="B364" i="16"/>
  <c r="A364" i="16"/>
  <c r="R363" i="16"/>
  <c r="Q363" i="16"/>
  <c r="P363" i="16"/>
  <c r="M363" i="16"/>
  <c r="G363" i="16"/>
  <c r="F363" i="16"/>
  <c r="B363" i="16"/>
  <c r="C364" i="16" s="1"/>
  <c r="A363" i="16"/>
  <c r="R362" i="16"/>
  <c r="Q362" i="16"/>
  <c r="P362" i="16"/>
  <c r="M362" i="16"/>
  <c r="G362" i="16"/>
  <c r="F362" i="16"/>
  <c r="B362" i="16"/>
  <c r="A362" i="16"/>
  <c r="R361" i="16"/>
  <c r="Q361" i="16"/>
  <c r="P361" i="16"/>
  <c r="M361" i="16"/>
  <c r="G361" i="16"/>
  <c r="F361" i="16"/>
  <c r="C361" i="16"/>
  <c r="B361" i="16"/>
  <c r="A361" i="16"/>
  <c r="R360" i="16"/>
  <c r="Q360" i="16"/>
  <c r="P360" i="16"/>
  <c r="M360" i="16"/>
  <c r="G360" i="16"/>
  <c r="F360" i="16"/>
  <c r="B360" i="16"/>
  <c r="A360" i="16"/>
  <c r="R359" i="16"/>
  <c r="Q359" i="16"/>
  <c r="P359" i="16"/>
  <c r="M359" i="16"/>
  <c r="G359" i="16"/>
  <c r="F359" i="16"/>
  <c r="B359" i="16"/>
  <c r="C360" i="16" s="1"/>
  <c r="A359" i="16"/>
  <c r="R358" i="16"/>
  <c r="Q358" i="16"/>
  <c r="P358" i="16"/>
  <c r="M358" i="16"/>
  <c r="G358" i="16"/>
  <c r="F358" i="16"/>
  <c r="B358" i="16"/>
  <c r="A358" i="16"/>
  <c r="R357" i="16"/>
  <c r="Q357" i="16"/>
  <c r="P357" i="16"/>
  <c r="M357" i="16"/>
  <c r="G357" i="16"/>
  <c r="F357" i="16"/>
  <c r="C357" i="16"/>
  <c r="B357" i="16"/>
  <c r="A357" i="16"/>
  <c r="R356" i="16"/>
  <c r="Q356" i="16"/>
  <c r="P356" i="16"/>
  <c r="M356" i="16"/>
  <c r="G356" i="16"/>
  <c r="F356" i="16"/>
  <c r="B356" i="16"/>
  <c r="A356" i="16"/>
  <c r="R355" i="16"/>
  <c r="Q355" i="16"/>
  <c r="P355" i="16"/>
  <c r="M355" i="16"/>
  <c r="G355" i="16"/>
  <c r="F355" i="16"/>
  <c r="B355" i="16"/>
  <c r="C356" i="16" s="1"/>
  <c r="A355" i="16"/>
  <c r="R354" i="16"/>
  <c r="Q354" i="16"/>
  <c r="P354" i="16"/>
  <c r="M354" i="16"/>
  <c r="G354" i="16"/>
  <c r="F354" i="16"/>
  <c r="B354" i="16"/>
  <c r="A354" i="16"/>
  <c r="R353" i="16"/>
  <c r="Q353" i="16"/>
  <c r="P353" i="16"/>
  <c r="M353" i="16"/>
  <c r="G353" i="16"/>
  <c r="F353" i="16"/>
  <c r="C353" i="16"/>
  <c r="B353" i="16"/>
  <c r="A353" i="16"/>
  <c r="R352" i="16"/>
  <c r="Q352" i="16"/>
  <c r="P352" i="16"/>
  <c r="M352" i="16"/>
  <c r="G352" i="16"/>
  <c r="F352" i="16"/>
  <c r="B352" i="16"/>
  <c r="A352" i="16"/>
  <c r="R351" i="16"/>
  <c r="Q351" i="16"/>
  <c r="P351" i="16"/>
  <c r="M351" i="16"/>
  <c r="G351" i="16"/>
  <c r="F351" i="16"/>
  <c r="B351" i="16"/>
  <c r="C352" i="16" s="1"/>
  <c r="A351" i="16"/>
  <c r="R350" i="16"/>
  <c r="Q350" i="16"/>
  <c r="P350" i="16"/>
  <c r="M350" i="16"/>
  <c r="G350" i="16"/>
  <c r="F350" i="16"/>
  <c r="B350" i="16"/>
  <c r="A350" i="16"/>
  <c r="R349" i="16"/>
  <c r="Q349" i="16"/>
  <c r="P349" i="16"/>
  <c r="M349" i="16"/>
  <c r="G349" i="16"/>
  <c r="F349" i="16"/>
  <c r="B349" i="16"/>
  <c r="A349" i="16"/>
  <c r="R348" i="16"/>
  <c r="Q348" i="16"/>
  <c r="P348" i="16"/>
  <c r="M348" i="16"/>
  <c r="G348" i="16"/>
  <c r="F348" i="16"/>
  <c r="B348" i="16"/>
  <c r="A348" i="16"/>
  <c r="R347" i="16"/>
  <c r="Q347" i="16"/>
  <c r="P347" i="16"/>
  <c r="M347" i="16"/>
  <c r="G347" i="16"/>
  <c r="F347" i="16"/>
  <c r="B347" i="16"/>
  <c r="C348" i="16" s="1"/>
  <c r="A347" i="16"/>
  <c r="R346" i="16"/>
  <c r="Q346" i="16"/>
  <c r="P346" i="16"/>
  <c r="M346" i="16"/>
  <c r="G346" i="16"/>
  <c r="F346" i="16"/>
  <c r="B346" i="16"/>
  <c r="A346" i="16"/>
  <c r="R345" i="16"/>
  <c r="Q345" i="16"/>
  <c r="P345" i="16"/>
  <c r="M345" i="16"/>
  <c r="G345" i="16"/>
  <c r="F345" i="16"/>
  <c r="C345" i="16"/>
  <c r="B345" i="16"/>
  <c r="A345" i="16"/>
  <c r="R344" i="16"/>
  <c r="Q344" i="16"/>
  <c r="P344" i="16"/>
  <c r="M344" i="16"/>
  <c r="G344" i="16"/>
  <c r="F344" i="16"/>
  <c r="B344" i="16"/>
  <c r="A344" i="16"/>
  <c r="R343" i="16"/>
  <c r="Q343" i="16"/>
  <c r="P343" i="16"/>
  <c r="M343" i="16"/>
  <c r="G343" i="16"/>
  <c r="F343" i="16"/>
  <c r="B343" i="16"/>
  <c r="C344" i="16" s="1"/>
  <c r="A343" i="16"/>
  <c r="R342" i="16"/>
  <c r="Q342" i="16"/>
  <c r="P342" i="16"/>
  <c r="M342" i="16"/>
  <c r="G342" i="16"/>
  <c r="F342" i="16"/>
  <c r="B342" i="16"/>
  <c r="A342" i="16"/>
  <c r="R341" i="16"/>
  <c r="Q341" i="16"/>
  <c r="P341" i="16"/>
  <c r="M341" i="16"/>
  <c r="G341" i="16"/>
  <c r="F341" i="16"/>
  <c r="C341" i="16"/>
  <c r="B341" i="16"/>
  <c r="A341" i="16"/>
  <c r="R340" i="16"/>
  <c r="Q340" i="16"/>
  <c r="P340" i="16"/>
  <c r="M340" i="16"/>
  <c r="G340" i="16"/>
  <c r="F340" i="16"/>
  <c r="B340" i="16"/>
  <c r="C340" i="16" s="1"/>
  <c r="A340" i="16"/>
  <c r="R339" i="16"/>
  <c r="Q339" i="16"/>
  <c r="P339" i="16"/>
  <c r="M339" i="16"/>
  <c r="G339" i="16"/>
  <c r="F339" i="16"/>
  <c r="B339" i="16"/>
  <c r="C339" i="16" s="1"/>
  <c r="A339" i="16"/>
  <c r="R338" i="16"/>
  <c r="Q338" i="16"/>
  <c r="P338" i="16"/>
  <c r="M338" i="16"/>
  <c r="G338" i="16"/>
  <c r="F338" i="16"/>
  <c r="B338" i="16"/>
  <c r="A338" i="16"/>
  <c r="R337" i="16"/>
  <c r="Q337" i="16"/>
  <c r="P337" i="16"/>
  <c r="M337" i="16"/>
  <c r="G337" i="16"/>
  <c r="F337" i="16"/>
  <c r="C337" i="16"/>
  <c r="B337" i="16"/>
  <c r="A337" i="16"/>
  <c r="R336" i="16"/>
  <c r="Q336" i="16"/>
  <c r="P336" i="16"/>
  <c r="M336" i="16"/>
  <c r="G336" i="16"/>
  <c r="F336" i="16"/>
  <c r="B336" i="16"/>
  <c r="C336" i="16" s="1"/>
  <c r="A336" i="16"/>
  <c r="R335" i="16"/>
  <c r="Q335" i="16"/>
  <c r="P335" i="16"/>
  <c r="M335" i="16"/>
  <c r="G335" i="16"/>
  <c r="F335" i="16"/>
  <c r="B335" i="16"/>
  <c r="C335" i="16" s="1"/>
  <c r="A335" i="16"/>
  <c r="R334" i="16"/>
  <c r="Q334" i="16"/>
  <c r="P334" i="16"/>
  <c r="M334" i="16"/>
  <c r="G334" i="16"/>
  <c r="F334" i="16"/>
  <c r="B334" i="16"/>
  <c r="A334" i="16"/>
  <c r="R333" i="16"/>
  <c r="Q333" i="16"/>
  <c r="P333" i="16"/>
  <c r="M333" i="16"/>
  <c r="G333" i="16"/>
  <c r="F333" i="16"/>
  <c r="B333" i="16"/>
  <c r="A333" i="16"/>
  <c r="R332" i="16"/>
  <c r="Q332" i="16"/>
  <c r="P332" i="16"/>
  <c r="M332" i="16"/>
  <c r="G332" i="16"/>
  <c r="F332" i="16"/>
  <c r="B332" i="16"/>
  <c r="C332" i="16" s="1"/>
  <c r="A332" i="16"/>
  <c r="R331" i="16"/>
  <c r="Q331" i="16"/>
  <c r="P331" i="16"/>
  <c r="M331" i="16"/>
  <c r="G331" i="16"/>
  <c r="F331" i="16"/>
  <c r="B331" i="16"/>
  <c r="C331" i="16" s="1"/>
  <c r="A331" i="16"/>
  <c r="R330" i="16"/>
  <c r="Q330" i="16"/>
  <c r="P330" i="16"/>
  <c r="M330" i="16"/>
  <c r="G330" i="16"/>
  <c r="F330" i="16"/>
  <c r="B330" i="16"/>
  <c r="A330" i="16"/>
  <c r="R329" i="16"/>
  <c r="Q329" i="16"/>
  <c r="P329" i="16"/>
  <c r="M329" i="16"/>
  <c r="G329" i="16"/>
  <c r="F329" i="16"/>
  <c r="C329" i="16"/>
  <c r="B329" i="16"/>
  <c r="A329" i="16"/>
  <c r="R328" i="16"/>
  <c r="Q328" i="16"/>
  <c r="P328" i="16"/>
  <c r="M328" i="16"/>
  <c r="G328" i="16"/>
  <c r="F328" i="16"/>
  <c r="B328" i="16"/>
  <c r="C328" i="16" s="1"/>
  <c r="A328" i="16"/>
  <c r="R327" i="16"/>
  <c r="Q327" i="16"/>
  <c r="P327" i="16"/>
  <c r="M327" i="16"/>
  <c r="G327" i="16"/>
  <c r="F327" i="16"/>
  <c r="B327" i="16"/>
  <c r="C327" i="16" s="1"/>
  <c r="A327" i="16"/>
  <c r="R326" i="16"/>
  <c r="Q326" i="16"/>
  <c r="P326" i="16"/>
  <c r="M326" i="16"/>
  <c r="G326" i="16"/>
  <c r="F326" i="16"/>
  <c r="B326" i="16"/>
  <c r="A326" i="16"/>
  <c r="R325" i="16"/>
  <c r="Q325" i="16"/>
  <c r="P325" i="16"/>
  <c r="M325" i="16"/>
  <c r="G325" i="16"/>
  <c r="F325" i="16"/>
  <c r="C325" i="16"/>
  <c r="B325" i="16"/>
  <c r="A325" i="16"/>
  <c r="R324" i="16"/>
  <c r="Q324" i="16"/>
  <c r="P324" i="16"/>
  <c r="M324" i="16"/>
  <c r="G324" i="16"/>
  <c r="F324" i="16"/>
  <c r="B324" i="16"/>
  <c r="C324" i="16" s="1"/>
  <c r="A324" i="16"/>
  <c r="R323" i="16"/>
  <c r="Q323" i="16"/>
  <c r="P323" i="16"/>
  <c r="M323" i="16"/>
  <c r="G323" i="16"/>
  <c r="F323" i="16"/>
  <c r="B323" i="16"/>
  <c r="C323" i="16" s="1"/>
  <c r="A323" i="16"/>
  <c r="R322" i="16"/>
  <c r="Q322" i="16"/>
  <c r="P322" i="16"/>
  <c r="M322" i="16"/>
  <c r="G322" i="16"/>
  <c r="F322" i="16"/>
  <c r="B322" i="16"/>
  <c r="A322" i="16"/>
  <c r="R321" i="16"/>
  <c r="Q321" i="16"/>
  <c r="P321" i="16"/>
  <c r="M321" i="16"/>
  <c r="G321" i="16"/>
  <c r="F321" i="16"/>
  <c r="C321" i="16"/>
  <c r="B321" i="16"/>
  <c r="A321" i="16"/>
  <c r="R320" i="16"/>
  <c r="Q320" i="16"/>
  <c r="P320" i="16"/>
  <c r="M320" i="16"/>
  <c r="G320" i="16"/>
  <c r="F320" i="16"/>
  <c r="B320" i="16"/>
  <c r="C320" i="16" s="1"/>
  <c r="A320" i="16"/>
  <c r="R319" i="16"/>
  <c r="Q319" i="16"/>
  <c r="P319" i="16"/>
  <c r="M319" i="16"/>
  <c r="G319" i="16"/>
  <c r="F319" i="16"/>
  <c r="B319" i="16"/>
  <c r="C319" i="16" s="1"/>
  <c r="A319" i="16"/>
  <c r="R318" i="16"/>
  <c r="Q318" i="16"/>
  <c r="P318" i="16"/>
  <c r="M318" i="16"/>
  <c r="G318" i="16"/>
  <c r="F318" i="16"/>
  <c r="B318" i="16"/>
  <c r="A318" i="16"/>
  <c r="R317" i="16"/>
  <c r="Q317" i="16"/>
  <c r="P317" i="16"/>
  <c r="M317" i="16"/>
  <c r="G317" i="16"/>
  <c r="F317" i="16"/>
  <c r="B317" i="16"/>
  <c r="A317" i="16"/>
  <c r="R316" i="16"/>
  <c r="Q316" i="16"/>
  <c r="P316" i="16"/>
  <c r="M316" i="16"/>
  <c r="G316" i="16"/>
  <c r="F316" i="16"/>
  <c r="B316" i="16"/>
  <c r="C316" i="16" s="1"/>
  <c r="A316" i="16"/>
  <c r="R315" i="16"/>
  <c r="Q315" i="16"/>
  <c r="P315" i="16"/>
  <c r="M315" i="16"/>
  <c r="G315" i="16"/>
  <c r="F315" i="16"/>
  <c r="B315" i="16"/>
  <c r="C315" i="16" s="1"/>
  <c r="A315" i="16"/>
  <c r="R314" i="16"/>
  <c r="Q314" i="16"/>
  <c r="P314" i="16"/>
  <c r="M314" i="16"/>
  <c r="G314" i="16"/>
  <c r="F314" i="16"/>
  <c r="B314" i="16"/>
  <c r="A314" i="16"/>
  <c r="R313" i="16"/>
  <c r="Q313" i="16"/>
  <c r="P313" i="16"/>
  <c r="M313" i="16"/>
  <c r="G313" i="16"/>
  <c r="F313" i="16"/>
  <c r="C313" i="16"/>
  <c r="B313" i="16"/>
  <c r="A313" i="16"/>
  <c r="R312" i="16"/>
  <c r="Q312" i="16"/>
  <c r="P312" i="16"/>
  <c r="M312" i="16"/>
  <c r="G312" i="16"/>
  <c r="F312" i="16"/>
  <c r="B312" i="16"/>
  <c r="C312" i="16" s="1"/>
  <c r="A312" i="16"/>
  <c r="R311" i="16"/>
  <c r="Q311" i="16"/>
  <c r="P311" i="16"/>
  <c r="M311" i="16"/>
  <c r="G311" i="16"/>
  <c r="F311" i="16"/>
  <c r="B311" i="16"/>
  <c r="C311" i="16" s="1"/>
  <c r="A311" i="16"/>
  <c r="R310" i="16"/>
  <c r="Q310" i="16"/>
  <c r="P310" i="16"/>
  <c r="M310" i="16"/>
  <c r="G310" i="16"/>
  <c r="F310" i="16"/>
  <c r="B310" i="16"/>
  <c r="A310" i="16"/>
  <c r="R309" i="16"/>
  <c r="Q309" i="16"/>
  <c r="P309" i="16"/>
  <c r="M309" i="16"/>
  <c r="G309" i="16"/>
  <c r="F309" i="16"/>
  <c r="C309" i="16"/>
  <c r="B309" i="16"/>
  <c r="A309" i="16"/>
  <c r="R308" i="16"/>
  <c r="Q308" i="16"/>
  <c r="P308" i="16"/>
  <c r="M308" i="16"/>
  <c r="G308" i="16"/>
  <c r="F308" i="16"/>
  <c r="B308" i="16"/>
  <c r="C308" i="16" s="1"/>
  <c r="A308" i="16"/>
  <c r="R307" i="16"/>
  <c r="Q307" i="16"/>
  <c r="P307" i="16"/>
  <c r="M307" i="16"/>
  <c r="G307" i="16"/>
  <c r="F307" i="16"/>
  <c r="B307" i="16"/>
  <c r="C307" i="16" s="1"/>
  <c r="A307" i="16"/>
  <c r="R306" i="16"/>
  <c r="Q306" i="16"/>
  <c r="P306" i="16"/>
  <c r="M306" i="16"/>
  <c r="G306" i="16"/>
  <c r="F306" i="16"/>
  <c r="B306" i="16"/>
  <c r="A306" i="16"/>
  <c r="R305" i="16"/>
  <c r="Q305" i="16"/>
  <c r="P305" i="16"/>
  <c r="M305" i="16"/>
  <c r="G305" i="16"/>
  <c r="F305" i="16"/>
  <c r="C305" i="16"/>
  <c r="B305" i="16"/>
  <c r="A305" i="16"/>
  <c r="R304" i="16"/>
  <c r="Q304" i="16"/>
  <c r="P304" i="16"/>
  <c r="M304" i="16"/>
  <c r="G304" i="16"/>
  <c r="F304" i="16"/>
  <c r="B304" i="16"/>
  <c r="C304" i="16" s="1"/>
  <c r="A304" i="16"/>
  <c r="R303" i="16"/>
  <c r="Q303" i="16"/>
  <c r="P303" i="16"/>
  <c r="M303" i="16"/>
  <c r="G303" i="16"/>
  <c r="F303" i="16"/>
  <c r="B303" i="16"/>
  <c r="C303" i="16" s="1"/>
  <c r="A303" i="16"/>
  <c r="R302" i="16"/>
  <c r="Q302" i="16"/>
  <c r="P302" i="16"/>
  <c r="M302" i="16"/>
  <c r="G302" i="16"/>
  <c r="F302" i="16"/>
  <c r="B302" i="16"/>
  <c r="A302" i="16"/>
  <c r="R301" i="16"/>
  <c r="Q301" i="16"/>
  <c r="P301" i="16"/>
  <c r="M301" i="16"/>
  <c r="G301" i="16"/>
  <c r="F301" i="16"/>
  <c r="B301" i="16"/>
  <c r="A301" i="16"/>
  <c r="R300" i="16"/>
  <c r="Q300" i="16"/>
  <c r="P300" i="16"/>
  <c r="M300" i="16"/>
  <c r="G300" i="16"/>
  <c r="F300" i="16"/>
  <c r="B300" i="16"/>
  <c r="C300" i="16" s="1"/>
  <c r="A300" i="16"/>
  <c r="R299" i="16"/>
  <c r="Q299" i="16"/>
  <c r="P299" i="16"/>
  <c r="M299" i="16"/>
  <c r="G299" i="16"/>
  <c r="F299" i="16"/>
  <c r="B299" i="16"/>
  <c r="C299" i="16" s="1"/>
  <c r="A299" i="16"/>
  <c r="R298" i="16"/>
  <c r="Q298" i="16"/>
  <c r="P298" i="16"/>
  <c r="M298" i="16"/>
  <c r="G298" i="16"/>
  <c r="F298" i="16"/>
  <c r="B298" i="16"/>
  <c r="A298" i="16"/>
  <c r="R297" i="16"/>
  <c r="Q297" i="16"/>
  <c r="P297" i="16"/>
  <c r="M297" i="16"/>
  <c r="G297" i="16"/>
  <c r="F297" i="16"/>
  <c r="C297" i="16"/>
  <c r="B297" i="16"/>
  <c r="A297" i="16"/>
  <c r="R296" i="16"/>
  <c r="Q296" i="16"/>
  <c r="P296" i="16"/>
  <c r="M296" i="16"/>
  <c r="G296" i="16"/>
  <c r="F296" i="16"/>
  <c r="B296" i="16"/>
  <c r="C296" i="16" s="1"/>
  <c r="A296" i="16"/>
  <c r="R295" i="16"/>
  <c r="Q295" i="16"/>
  <c r="P295" i="16"/>
  <c r="M295" i="16"/>
  <c r="G295" i="16"/>
  <c r="F295" i="16"/>
  <c r="B295" i="16"/>
  <c r="C295" i="16" s="1"/>
  <c r="A295" i="16"/>
  <c r="R294" i="16"/>
  <c r="Q294" i="16"/>
  <c r="P294" i="16"/>
  <c r="M294" i="16"/>
  <c r="G294" i="16"/>
  <c r="F294" i="16"/>
  <c r="B294" i="16"/>
  <c r="A294" i="16"/>
  <c r="R293" i="16"/>
  <c r="Q293" i="16"/>
  <c r="P293" i="16"/>
  <c r="M293" i="16"/>
  <c r="G293" i="16"/>
  <c r="F293" i="16"/>
  <c r="C293" i="16"/>
  <c r="B293" i="16"/>
  <c r="A293" i="16"/>
  <c r="R292" i="16"/>
  <c r="Q292" i="16"/>
  <c r="P292" i="16"/>
  <c r="M292" i="16"/>
  <c r="G292" i="16"/>
  <c r="F292" i="16"/>
  <c r="B292" i="16"/>
  <c r="C292" i="16" s="1"/>
  <c r="A292" i="16"/>
  <c r="R291" i="16"/>
  <c r="Q291" i="16"/>
  <c r="P291" i="16"/>
  <c r="M291" i="16"/>
  <c r="G291" i="16"/>
  <c r="F291" i="16"/>
  <c r="B291" i="16"/>
  <c r="C291" i="16" s="1"/>
  <c r="A291" i="16"/>
  <c r="R290" i="16"/>
  <c r="Q290" i="16"/>
  <c r="P290" i="16"/>
  <c r="M290" i="16"/>
  <c r="G290" i="16"/>
  <c r="F290" i="16"/>
  <c r="B290" i="16"/>
  <c r="A290" i="16"/>
  <c r="R289" i="16"/>
  <c r="Q289" i="16"/>
  <c r="P289" i="16"/>
  <c r="M289" i="16"/>
  <c r="G289" i="16"/>
  <c r="F289" i="16"/>
  <c r="C289" i="16"/>
  <c r="B289" i="16"/>
  <c r="A289" i="16"/>
  <c r="R288" i="16"/>
  <c r="Q288" i="16"/>
  <c r="P288" i="16"/>
  <c r="M288" i="16"/>
  <c r="G288" i="16"/>
  <c r="F288" i="16"/>
  <c r="B288" i="16"/>
  <c r="C288" i="16" s="1"/>
  <c r="A288" i="16"/>
  <c r="R287" i="16"/>
  <c r="Q287" i="16"/>
  <c r="P287" i="16"/>
  <c r="M287" i="16"/>
  <c r="G287" i="16"/>
  <c r="F287" i="16"/>
  <c r="B287" i="16"/>
  <c r="C287" i="16" s="1"/>
  <c r="A287" i="16"/>
  <c r="R286" i="16"/>
  <c r="Q286" i="16"/>
  <c r="P286" i="16"/>
  <c r="M286" i="16"/>
  <c r="G286" i="16"/>
  <c r="F286" i="16"/>
  <c r="B286" i="16"/>
  <c r="A286" i="16"/>
  <c r="R285" i="16"/>
  <c r="Q285" i="16"/>
  <c r="P285" i="16"/>
  <c r="M285" i="16"/>
  <c r="G285" i="16"/>
  <c r="F285" i="16"/>
  <c r="B285" i="16"/>
  <c r="A285" i="16"/>
  <c r="R284" i="16"/>
  <c r="Q284" i="16"/>
  <c r="P284" i="16"/>
  <c r="M284" i="16"/>
  <c r="G284" i="16"/>
  <c r="F284" i="16"/>
  <c r="B284" i="16"/>
  <c r="A284" i="16"/>
  <c r="R283" i="16"/>
  <c r="Q283" i="16"/>
  <c r="P283" i="16"/>
  <c r="M283" i="16"/>
  <c r="G283" i="16"/>
  <c r="F283" i="16"/>
  <c r="B283" i="16"/>
  <c r="A283" i="16"/>
  <c r="R282" i="16"/>
  <c r="Q282" i="16"/>
  <c r="P282" i="16"/>
  <c r="M282" i="16"/>
  <c r="G282" i="16"/>
  <c r="F282" i="16"/>
  <c r="B282" i="16"/>
  <c r="A282" i="16"/>
  <c r="R281" i="16"/>
  <c r="Q281" i="16"/>
  <c r="P281" i="16"/>
  <c r="M281" i="16"/>
  <c r="G281" i="16"/>
  <c r="F281" i="16"/>
  <c r="C281" i="16"/>
  <c r="B281" i="16"/>
  <c r="A281" i="16"/>
  <c r="R280" i="16"/>
  <c r="Q280" i="16"/>
  <c r="P280" i="16"/>
  <c r="M280" i="16"/>
  <c r="G280" i="16"/>
  <c r="F280" i="16"/>
  <c r="B280" i="16"/>
  <c r="A280" i="16"/>
  <c r="R279" i="16"/>
  <c r="Q279" i="16"/>
  <c r="P279" i="16"/>
  <c r="M279" i="16"/>
  <c r="G279" i="16"/>
  <c r="F279" i="16"/>
  <c r="B279" i="16"/>
  <c r="A279" i="16"/>
  <c r="R278" i="16"/>
  <c r="Q278" i="16"/>
  <c r="P278" i="16"/>
  <c r="M278" i="16"/>
  <c r="G278" i="16"/>
  <c r="F278" i="16"/>
  <c r="B278" i="16"/>
  <c r="A278" i="16"/>
  <c r="R277" i="16"/>
  <c r="Q277" i="16"/>
  <c r="P277" i="16"/>
  <c r="M277" i="16"/>
  <c r="G277" i="16"/>
  <c r="F277" i="16"/>
  <c r="C277" i="16"/>
  <c r="B277" i="16"/>
  <c r="A277" i="16"/>
  <c r="R276" i="16"/>
  <c r="Q276" i="16"/>
  <c r="P276" i="16"/>
  <c r="M276" i="16"/>
  <c r="G276" i="16"/>
  <c r="F276" i="16"/>
  <c r="B276" i="16"/>
  <c r="A276" i="16"/>
  <c r="R275" i="16"/>
  <c r="Q275" i="16"/>
  <c r="P275" i="16"/>
  <c r="M275" i="16"/>
  <c r="G275" i="16"/>
  <c r="F275" i="16"/>
  <c r="B275" i="16"/>
  <c r="C275" i="16" s="1"/>
  <c r="A275" i="16"/>
  <c r="R274" i="16"/>
  <c r="Q274" i="16"/>
  <c r="P274" i="16"/>
  <c r="M274" i="16"/>
  <c r="G274" i="16"/>
  <c r="F274" i="16"/>
  <c r="B274" i="16"/>
  <c r="A274" i="16"/>
  <c r="R273" i="16"/>
  <c r="Q273" i="16"/>
  <c r="P273" i="16"/>
  <c r="M273" i="16"/>
  <c r="G273" i="16"/>
  <c r="F273" i="16"/>
  <c r="C273" i="16"/>
  <c r="B273" i="16"/>
  <c r="A273" i="16"/>
  <c r="R272" i="16"/>
  <c r="Q272" i="16"/>
  <c r="P272" i="16"/>
  <c r="M272" i="16"/>
  <c r="G272" i="16"/>
  <c r="F272" i="16"/>
  <c r="B272" i="16"/>
  <c r="A272" i="16"/>
  <c r="R271" i="16"/>
  <c r="Q271" i="16"/>
  <c r="P271" i="16"/>
  <c r="M271" i="16"/>
  <c r="G271" i="16"/>
  <c r="F271" i="16"/>
  <c r="B271" i="16"/>
  <c r="C271" i="16" s="1"/>
  <c r="A271" i="16"/>
  <c r="R270" i="16"/>
  <c r="Q270" i="16"/>
  <c r="P270" i="16"/>
  <c r="M270" i="16"/>
  <c r="G270" i="16"/>
  <c r="F270" i="16"/>
  <c r="B270" i="16"/>
  <c r="A270" i="16"/>
  <c r="R269" i="16"/>
  <c r="Q269" i="16"/>
  <c r="P269" i="16"/>
  <c r="M269" i="16"/>
  <c r="G269" i="16"/>
  <c r="F269" i="16"/>
  <c r="B269" i="16"/>
  <c r="A269" i="16"/>
  <c r="R268" i="16"/>
  <c r="Q268" i="16"/>
  <c r="P268" i="16"/>
  <c r="M268" i="16"/>
  <c r="G268" i="16"/>
  <c r="F268" i="16"/>
  <c r="B268" i="16"/>
  <c r="A268" i="16"/>
  <c r="R267" i="16"/>
  <c r="Q267" i="16"/>
  <c r="P267" i="16"/>
  <c r="M267" i="16"/>
  <c r="G267" i="16"/>
  <c r="F267" i="16"/>
  <c r="B267" i="16"/>
  <c r="A267" i="16"/>
  <c r="R266" i="16"/>
  <c r="Q266" i="16"/>
  <c r="P266" i="16"/>
  <c r="M266" i="16"/>
  <c r="G266" i="16"/>
  <c r="F266" i="16"/>
  <c r="B266" i="16"/>
  <c r="A266" i="16"/>
  <c r="R265" i="16"/>
  <c r="Q265" i="16"/>
  <c r="P265" i="16"/>
  <c r="M265" i="16"/>
  <c r="G265" i="16"/>
  <c r="F265" i="16"/>
  <c r="C265" i="16"/>
  <c r="B265" i="16"/>
  <c r="A265" i="16"/>
  <c r="R264" i="16"/>
  <c r="Q264" i="16"/>
  <c r="P264" i="16"/>
  <c r="M264" i="16"/>
  <c r="G264" i="16"/>
  <c r="F264" i="16"/>
  <c r="B264" i="16"/>
  <c r="A264" i="16"/>
  <c r="R263" i="16"/>
  <c r="Q263" i="16"/>
  <c r="P263" i="16"/>
  <c r="M263" i="16"/>
  <c r="G263" i="16"/>
  <c r="F263" i="16"/>
  <c r="B263" i="16"/>
  <c r="A263" i="16"/>
  <c r="R262" i="16"/>
  <c r="Q262" i="16"/>
  <c r="P262" i="16"/>
  <c r="M262" i="16"/>
  <c r="G262" i="16"/>
  <c r="F262" i="16"/>
  <c r="B262" i="16"/>
  <c r="A262" i="16"/>
  <c r="R261" i="16"/>
  <c r="Q261" i="16"/>
  <c r="P261" i="16"/>
  <c r="M261" i="16"/>
  <c r="G261" i="16"/>
  <c r="F261" i="16"/>
  <c r="C261" i="16"/>
  <c r="B261" i="16"/>
  <c r="A261" i="16"/>
  <c r="R260" i="16"/>
  <c r="Q260" i="16"/>
  <c r="P260" i="16"/>
  <c r="M260" i="16"/>
  <c r="G260" i="16"/>
  <c r="F260" i="16"/>
  <c r="B260" i="16"/>
  <c r="A260" i="16"/>
  <c r="R259" i="16"/>
  <c r="Q259" i="16"/>
  <c r="P259" i="16"/>
  <c r="M259" i="16"/>
  <c r="G259" i="16"/>
  <c r="F259" i="16"/>
  <c r="B259" i="16"/>
  <c r="C259" i="16" s="1"/>
  <c r="A259" i="16"/>
  <c r="R258" i="16"/>
  <c r="Q258" i="16"/>
  <c r="P258" i="16"/>
  <c r="M258" i="16"/>
  <c r="G258" i="16"/>
  <c r="F258" i="16"/>
  <c r="B258" i="16"/>
  <c r="A258" i="16"/>
  <c r="R257" i="16"/>
  <c r="Q257" i="16"/>
  <c r="P257" i="16"/>
  <c r="M257" i="16"/>
  <c r="G257" i="16"/>
  <c r="F257" i="16"/>
  <c r="C257" i="16"/>
  <c r="B257" i="16"/>
  <c r="A257" i="16"/>
  <c r="R256" i="16"/>
  <c r="Q256" i="16"/>
  <c r="P256" i="16"/>
  <c r="M256" i="16"/>
  <c r="G256" i="16"/>
  <c r="F256" i="16"/>
  <c r="B256" i="16"/>
  <c r="A256" i="16"/>
  <c r="R255" i="16"/>
  <c r="Q255" i="16"/>
  <c r="P255" i="16"/>
  <c r="M255" i="16"/>
  <c r="G255" i="16"/>
  <c r="F255" i="16"/>
  <c r="B255" i="16"/>
  <c r="C255" i="16" s="1"/>
  <c r="A255" i="16"/>
  <c r="R254" i="16"/>
  <c r="Q254" i="16"/>
  <c r="P254" i="16"/>
  <c r="M254" i="16"/>
  <c r="G254" i="16"/>
  <c r="F254" i="16"/>
  <c r="B254" i="16"/>
  <c r="A254" i="16"/>
  <c r="R253" i="16"/>
  <c r="Q253" i="16"/>
  <c r="P253" i="16"/>
  <c r="M253" i="16"/>
  <c r="G253" i="16"/>
  <c r="F253" i="16"/>
  <c r="B253" i="16"/>
  <c r="A253" i="16"/>
  <c r="R252" i="16"/>
  <c r="Q252" i="16"/>
  <c r="P252" i="16"/>
  <c r="M252" i="16"/>
  <c r="G252" i="16"/>
  <c r="F252" i="16"/>
  <c r="B252" i="16"/>
  <c r="A252" i="16"/>
  <c r="R251" i="16"/>
  <c r="Q251" i="16"/>
  <c r="P251" i="16"/>
  <c r="M251" i="16"/>
  <c r="G251" i="16"/>
  <c r="F251" i="16"/>
  <c r="B251" i="16"/>
  <c r="A251" i="16"/>
  <c r="R250" i="16"/>
  <c r="Q250" i="16"/>
  <c r="P250" i="16"/>
  <c r="M250" i="16"/>
  <c r="G250" i="16"/>
  <c r="F250" i="16"/>
  <c r="B250" i="16"/>
  <c r="A250" i="16"/>
  <c r="R249" i="16"/>
  <c r="Q249" i="16"/>
  <c r="P249" i="16"/>
  <c r="M249" i="16"/>
  <c r="G249" i="16"/>
  <c r="F249" i="16"/>
  <c r="C249" i="16"/>
  <c r="B249" i="16"/>
  <c r="A249" i="16"/>
  <c r="R248" i="16"/>
  <c r="Q248" i="16"/>
  <c r="P248" i="16"/>
  <c r="M248" i="16"/>
  <c r="G248" i="16"/>
  <c r="F248" i="16"/>
  <c r="B248" i="16"/>
  <c r="A248" i="16"/>
  <c r="R247" i="16"/>
  <c r="Q247" i="16"/>
  <c r="P247" i="16"/>
  <c r="M247" i="16"/>
  <c r="G247" i="16"/>
  <c r="F247" i="16"/>
  <c r="B247" i="16"/>
  <c r="A247" i="16"/>
  <c r="R246" i="16"/>
  <c r="Q246" i="16"/>
  <c r="P246" i="16"/>
  <c r="M246" i="16"/>
  <c r="G246" i="16"/>
  <c r="F246" i="16"/>
  <c r="B246" i="16"/>
  <c r="A246" i="16"/>
  <c r="R245" i="16"/>
  <c r="Q245" i="16"/>
  <c r="P245" i="16"/>
  <c r="M245" i="16"/>
  <c r="G245" i="16"/>
  <c r="F245" i="16"/>
  <c r="C245" i="16"/>
  <c r="B245" i="16"/>
  <c r="A245" i="16"/>
  <c r="R244" i="16"/>
  <c r="Q244" i="16"/>
  <c r="P244" i="16"/>
  <c r="M244" i="16"/>
  <c r="G244" i="16"/>
  <c r="F244" i="16"/>
  <c r="B244" i="16"/>
  <c r="A244" i="16"/>
  <c r="R243" i="16"/>
  <c r="Q243" i="16"/>
  <c r="P243" i="16"/>
  <c r="M243" i="16"/>
  <c r="G243" i="16"/>
  <c r="F243" i="16"/>
  <c r="B243" i="16"/>
  <c r="C243" i="16" s="1"/>
  <c r="A243" i="16"/>
  <c r="R242" i="16"/>
  <c r="Q242" i="16"/>
  <c r="P242" i="16"/>
  <c r="M242" i="16"/>
  <c r="G242" i="16"/>
  <c r="F242" i="16"/>
  <c r="B242" i="16"/>
  <c r="A242" i="16"/>
  <c r="R241" i="16"/>
  <c r="Q241" i="16"/>
  <c r="P241" i="16"/>
  <c r="M241" i="16"/>
  <c r="G241" i="16"/>
  <c r="F241" i="16"/>
  <c r="C241" i="16"/>
  <c r="B241" i="16"/>
  <c r="A241" i="16"/>
  <c r="R240" i="16"/>
  <c r="Q240" i="16"/>
  <c r="P240" i="16"/>
  <c r="M240" i="16"/>
  <c r="G240" i="16"/>
  <c r="F240" i="16"/>
  <c r="B240" i="16"/>
  <c r="A240" i="16"/>
  <c r="R239" i="16"/>
  <c r="Q239" i="16"/>
  <c r="P239" i="16"/>
  <c r="M239" i="16"/>
  <c r="G239" i="16"/>
  <c r="F239" i="16"/>
  <c r="B239" i="16"/>
  <c r="C239" i="16" s="1"/>
  <c r="A239" i="16"/>
  <c r="R238" i="16"/>
  <c r="Q238" i="16"/>
  <c r="P238" i="16"/>
  <c r="M238" i="16"/>
  <c r="G238" i="16"/>
  <c r="F238" i="16"/>
  <c r="B238" i="16"/>
  <c r="A238" i="16"/>
  <c r="R237" i="16"/>
  <c r="Q237" i="16"/>
  <c r="P237" i="16"/>
  <c r="M237" i="16"/>
  <c r="G237" i="16"/>
  <c r="F237" i="16"/>
  <c r="B237" i="16"/>
  <c r="A237" i="16"/>
  <c r="R236" i="16"/>
  <c r="Q236" i="16"/>
  <c r="P236" i="16"/>
  <c r="M236" i="16"/>
  <c r="G236" i="16"/>
  <c r="F236" i="16"/>
  <c r="B236" i="16"/>
  <c r="A236" i="16"/>
  <c r="R235" i="16"/>
  <c r="Q235" i="16"/>
  <c r="P235" i="16"/>
  <c r="M235" i="16"/>
  <c r="G235" i="16"/>
  <c r="F235" i="16"/>
  <c r="B235" i="16"/>
  <c r="A235" i="16"/>
  <c r="R234" i="16"/>
  <c r="Q234" i="16"/>
  <c r="P234" i="16"/>
  <c r="M234" i="16"/>
  <c r="G234" i="16"/>
  <c r="F234" i="16"/>
  <c r="B234" i="16"/>
  <c r="A234" i="16"/>
  <c r="R233" i="16"/>
  <c r="Q233" i="16"/>
  <c r="P233" i="16"/>
  <c r="M233" i="16"/>
  <c r="G233" i="16"/>
  <c r="F233" i="16"/>
  <c r="C233" i="16"/>
  <c r="B233" i="16"/>
  <c r="A233" i="16"/>
  <c r="R232" i="16"/>
  <c r="Q232" i="16"/>
  <c r="P232" i="16"/>
  <c r="M232" i="16"/>
  <c r="G232" i="16"/>
  <c r="F232" i="16"/>
  <c r="B232" i="16"/>
  <c r="A232" i="16"/>
  <c r="R231" i="16"/>
  <c r="Q231" i="16"/>
  <c r="P231" i="16"/>
  <c r="M231" i="16"/>
  <c r="G231" i="16"/>
  <c r="F231" i="16"/>
  <c r="B231" i="16"/>
  <c r="A231" i="16"/>
  <c r="R230" i="16"/>
  <c r="Q230" i="16"/>
  <c r="P230" i="16"/>
  <c r="M230" i="16"/>
  <c r="G230" i="16"/>
  <c r="F230" i="16"/>
  <c r="B230" i="16"/>
  <c r="A230" i="16"/>
  <c r="R229" i="16"/>
  <c r="Q229" i="16"/>
  <c r="P229" i="16"/>
  <c r="M229" i="16"/>
  <c r="G229" i="16"/>
  <c r="F229" i="16"/>
  <c r="C229" i="16"/>
  <c r="B229" i="16"/>
  <c r="A229" i="16"/>
  <c r="R228" i="16"/>
  <c r="Q228" i="16"/>
  <c r="P228" i="16"/>
  <c r="M228" i="16"/>
  <c r="G228" i="16"/>
  <c r="F228" i="16"/>
  <c r="B228" i="16"/>
  <c r="A228" i="16"/>
  <c r="R227" i="16"/>
  <c r="Q227" i="16"/>
  <c r="P227" i="16"/>
  <c r="M227" i="16"/>
  <c r="G227" i="16"/>
  <c r="F227" i="16"/>
  <c r="B227" i="16"/>
  <c r="C227" i="16" s="1"/>
  <c r="A227" i="16"/>
  <c r="R226" i="16"/>
  <c r="Q226" i="16"/>
  <c r="P226" i="16"/>
  <c r="M226" i="16"/>
  <c r="G226" i="16"/>
  <c r="F226" i="16"/>
  <c r="B226" i="16"/>
  <c r="A226" i="16"/>
  <c r="R225" i="16"/>
  <c r="Q225" i="16"/>
  <c r="P225" i="16"/>
  <c r="M225" i="16"/>
  <c r="G225" i="16"/>
  <c r="F225" i="16"/>
  <c r="C225" i="16"/>
  <c r="B225" i="16"/>
  <c r="A225" i="16"/>
  <c r="R224" i="16"/>
  <c r="Q224" i="16"/>
  <c r="P224" i="16"/>
  <c r="M224" i="16"/>
  <c r="G224" i="16"/>
  <c r="F224" i="16"/>
  <c r="B224" i="16"/>
  <c r="A224" i="16"/>
  <c r="R223" i="16"/>
  <c r="Q223" i="16"/>
  <c r="P223" i="16"/>
  <c r="M223" i="16"/>
  <c r="G223" i="16"/>
  <c r="F223" i="16"/>
  <c r="B223" i="16"/>
  <c r="C223" i="16" s="1"/>
  <c r="A223" i="16"/>
  <c r="R222" i="16"/>
  <c r="Q222" i="16"/>
  <c r="P222" i="16"/>
  <c r="M222" i="16"/>
  <c r="G222" i="16"/>
  <c r="F222" i="16"/>
  <c r="B222" i="16"/>
  <c r="A222" i="16"/>
  <c r="R221" i="16"/>
  <c r="Q221" i="16"/>
  <c r="P221" i="16"/>
  <c r="M221" i="16"/>
  <c r="G221" i="16"/>
  <c r="F221" i="16"/>
  <c r="B221" i="16"/>
  <c r="A221" i="16"/>
  <c r="R220" i="16"/>
  <c r="Q220" i="16"/>
  <c r="P220" i="16"/>
  <c r="M220" i="16"/>
  <c r="G220" i="16"/>
  <c r="F220" i="16"/>
  <c r="B220" i="16"/>
  <c r="A220" i="16"/>
  <c r="R219" i="16"/>
  <c r="Q219" i="16"/>
  <c r="P219" i="16"/>
  <c r="M219" i="16"/>
  <c r="G219" i="16"/>
  <c r="F219" i="16"/>
  <c r="B219" i="16"/>
  <c r="A219" i="16"/>
  <c r="R218" i="16"/>
  <c r="Q218" i="16"/>
  <c r="P218" i="16"/>
  <c r="M218" i="16"/>
  <c r="G218" i="16"/>
  <c r="F218" i="16"/>
  <c r="B218" i="16"/>
  <c r="A218" i="16"/>
  <c r="R217" i="16"/>
  <c r="Q217" i="16"/>
  <c r="P217" i="16"/>
  <c r="M217" i="16"/>
  <c r="G217" i="16"/>
  <c r="F217" i="16"/>
  <c r="C217" i="16"/>
  <c r="B217" i="16"/>
  <c r="A217" i="16"/>
  <c r="R216" i="16"/>
  <c r="Q216" i="16"/>
  <c r="P216" i="16"/>
  <c r="M216" i="16"/>
  <c r="G216" i="16"/>
  <c r="F216" i="16"/>
  <c r="B216" i="16"/>
  <c r="A216" i="16"/>
  <c r="R215" i="16"/>
  <c r="Q215" i="16"/>
  <c r="P215" i="16"/>
  <c r="M215" i="16"/>
  <c r="G215" i="16"/>
  <c r="F215" i="16"/>
  <c r="B215" i="16"/>
  <c r="A215" i="16"/>
  <c r="R214" i="16"/>
  <c r="Q214" i="16"/>
  <c r="P214" i="16"/>
  <c r="M214" i="16"/>
  <c r="G214" i="16"/>
  <c r="F214" i="16"/>
  <c r="B214" i="16"/>
  <c r="A214" i="16"/>
  <c r="R213" i="16"/>
  <c r="Q213" i="16"/>
  <c r="P213" i="16"/>
  <c r="M213" i="16"/>
  <c r="G213" i="16"/>
  <c r="F213" i="16"/>
  <c r="C213" i="16"/>
  <c r="B213" i="16"/>
  <c r="A213" i="16"/>
  <c r="R212" i="16"/>
  <c r="Q212" i="16"/>
  <c r="P212" i="16"/>
  <c r="M212" i="16"/>
  <c r="G212" i="16"/>
  <c r="F212" i="16"/>
  <c r="B212" i="16"/>
  <c r="A212" i="16"/>
  <c r="R211" i="16"/>
  <c r="Q211" i="16"/>
  <c r="P211" i="16"/>
  <c r="M211" i="16"/>
  <c r="G211" i="16"/>
  <c r="F211" i="16"/>
  <c r="B211" i="16"/>
  <c r="C211" i="16" s="1"/>
  <c r="A211" i="16"/>
  <c r="R210" i="16"/>
  <c r="Q210" i="16"/>
  <c r="P210" i="16"/>
  <c r="M210" i="16"/>
  <c r="G210" i="16"/>
  <c r="F210" i="16"/>
  <c r="B210" i="16"/>
  <c r="A210" i="16"/>
  <c r="R209" i="16"/>
  <c r="Q209" i="16"/>
  <c r="P209" i="16"/>
  <c r="M209" i="16"/>
  <c r="G209" i="16"/>
  <c r="F209" i="16"/>
  <c r="C209" i="16"/>
  <c r="B209" i="16"/>
  <c r="A209" i="16"/>
  <c r="R208" i="16"/>
  <c r="Q208" i="16"/>
  <c r="P208" i="16"/>
  <c r="M208" i="16"/>
  <c r="G208" i="16"/>
  <c r="F208" i="16"/>
  <c r="B208" i="16"/>
  <c r="A208" i="16"/>
  <c r="R207" i="16"/>
  <c r="Q207" i="16"/>
  <c r="P207" i="16"/>
  <c r="M207" i="16"/>
  <c r="G207" i="16"/>
  <c r="F207" i="16"/>
  <c r="B207" i="16"/>
  <c r="C207" i="16" s="1"/>
  <c r="A207" i="16"/>
  <c r="R206" i="16"/>
  <c r="Q206" i="16"/>
  <c r="P206" i="16"/>
  <c r="M206" i="16"/>
  <c r="G206" i="16"/>
  <c r="F206" i="16"/>
  <c r="B206" i="16"/>
  <c r="A206" i="16"/>
  <c r="R205" i="16"/>
  <c r="Q205" i="16"/>
  <c r="P205" i="16"/>
  <c r="M205" i="16"/>
  <c r="G205" i="16"/>
  <c r="F205" i="16"/>
  <c r="B205" i="16"/>
  <c r="A205" i="16"/>
  <c r="R204" i="16"/>
  <c r="Q204" i="16"/>
  <c r="P204" i="16"/>
  <c r="M204" i="16"/>
  <c r="G204" i="16"/>
  <c r="F204" i="16"/>
  <c r="B204" i="16"/>
  <c r="A204" i="16"/>
  <c r="R203" i="16"/>
  <c r="Q203" i="16"/>
  <c r="P203" i="16"/>
  <c r="M203" i="16"/>
  <c r="G203" i="16"/>
  <c r="F203" i="16"/>
  <c r="B203" i="16"/>
  <c r="A203" i="16"/>
  <c r="R202" i="16"/>
  <c r="Q202" i="16"/>
  <c r="P202" i="16"/>
  <c r="M202" i="16"/>
  <c r="G202" i="16"/>
  <c r="F202" i="16"/>
  <c r="B202" i="16"/>
  <c r="A202" i="16"/>
  <c r="R201" i="16"/>
  <c r="Q201" i="16"/>
  <c r="P201" i="16"/>
  <c r="M201" i="16"/>
  <c r="G201" i="16"/>
  <c r="F201" i="16"/>
  <c r="C201" i="16"/>
  <c r="B201" i="16"/>
  <c r="A201" i="16"/>
  <c r="R200" i="16"/>
  <c r="Q200" i="16"/>
  <c r="P200" i="16"/>
  <c r="M200" i="16"/>
  <c r="G200" i="16"/>
  <c r="F200" i="16"/>
  <c r="B200" i="16"/>
  <c r="A200" i="16"/>
  <c r="R199" i="16"/>
  <c r="Q199" i="16"/>
  <c r="P199" i="16"/>
  <c r="M199" i="16"/>
  <c r="G199" i="16"/>
  <c r="F199" i="16"/>
  <c r="B199" i="16"/>
  <c r="A199" i="16"/>
  <c r="R198" i="16"/>
  <c r="Q198" i="16"/>
  <c r="P198" i="16"/>
  <c r="M198" i="16"/>
  <c r="G198" i="16"/>
  <c r="F198" i="16"/>
  <c r="B198" i="16"/>
  <c r="A198" i="16"/>
  <c r="R197" i="16"/>
  <c r="Q197" i="16"/>
  <c r="P197" i="16"/>
  <c r="M197" i="16"/>
  <c r="G197" i="16"/>
  <c r="F197" i="16"/>
  <c r="C197" i="16"/>
  <c r="B197" i="16"/>
  <c r="A197" i="16"/>
  <c r="R196" i="16"/>
  <c r="Q196" i="16"/>
  <c r="P196" i="16"/>
  <c r="M196" i="16"/>
  <c r="G196" i="16"/>
  <c r="F196" i="16"/>
  <c r="B196" i="16"/>
  <c r="A196" i="16"/>
  <c r="R195" i="16"/>
  <c r="Q195" i="16"/>
  <c r="P195" i="16"/>
  <c r="M195" i="16"/>
  <c r="G195" i="16"/>
  <c r="F195" i="16"/>
  <c r="B195" i="16"/>
  <c r="C195" i="16" s="1"/>
  <c r="A195" i="16"/>
  <c r="R194" i="16"/>
  <c r="Q194" i="16"/>
  <c r="P194" i="16"/>
  <c r="M194" i="16"/>
  <c r="G194" i="16"/>
  <c r="F194" i="16"/>
  <c r="B194" i="16"/>
  <c r="A194" i="16"/>
  <c r="R193" i="16"/>
  <c r="Q193" i="16"/>
  <c r="P193" i="16"/>
  <c r="M193" i="16"/>
  <c r="G193" i="16"/>
  <c r="F193" i="16"/>
  <c r="C193" i="16"/>
  <c r="B193" i="16"/>
  <c r="A193" i="16"/>
  <c r="R192" i="16"/>
  <c r="Q192" i="16"/>
  <c r="P192" i="16"/>
  <c r="M192" i="16"/>
  <c r="G192" i="16"/>
  <c r="F192" i="16"/>
  <c r="B192" i="16"/>
  <c r="A192" i="16"/>
  <c r="R191" i="16"/>
  <c r="Q191" i="16"/>
  <c r="P191" i="16"/>
  <c r="M191" i="16"/>
  <c r="G191" i="16"/>
  <c r="F191" i="16"/>
  <c r="B191" i="16"/>
  <c r="C191" i="16" s="1"/>
  <c r="A191" i="16"/>
  <c r="R190" i="16"/>
  <c r="Q190" i="16"/>
  <c r="P190" i="16"/>
  <c r="M190" i="16"/>
  <c r="G190" i="16"/>
  <c r="F190" i="16"/>
  <c r="B190" i="16"/>
  <c r="A190" i="16"/>
  <c r="R189" i="16"/>
  <c r="Q189" i="16"/>
  <c r="P189" i="16"/>
  <c r="M189" i="16"/>
  <c r="G189" i="16"/>
  <c r="F189" i="16"/>
  <c r="B189" i="16"/>
  <c r="A189" i="16"/>
  <c r="R188" i="16"/>
  <c r="Q188" i="16"/>
  <c r="P188" i="16"/>
  <c r="M188" i="16"/>
  <c r="G188" i="16"/>
  <c r="F188" i="16"/>
  <c r="B188" i="16"/>
  <c r="A188" i="16"/>
  <c r="R187" i="16"/>
  <c r="Q187" i="16"/>
  <c r="P187" i="16"/>
  <c r="M187" i="16"/>
  <c r="G187" i="16"/>
  <c r="F187" i="16"/>
  <c r="B187" i="16"/>
  <c r="A187" i="16"/>
  <c r="R186" i="16"/>
  <c r="Q186" i="16"/>
  <c r="P186" i="16"/>
  <c r="M186" i="16"/>
  <c r="G186" i="16"/>
  <c r="F186" i="16"/>
  <c r="B186" i="16"/>
  <c r="A186" i="16"/>
  <c r="R185" i="16"/>
  <c r="Q185" i="16"/>
  <c r="P185" i="16"/>
  <c r="M185" i="16"/>
  <c r="G185" i="16"/>
  <c r="F185" i="16"/>
  <c r="C185" i="16"/>
  <c r="B185" i="16"/>
  <c r="A185" i="16"/>
  <c r="R184" i="16"/>
  <c r="Q184" i="16"/>
  <c r="P184" i="16"/>
  <c r="M184" i="16"/>
  <c r="G184" i="16"/>
  <c r="F184" i="16"/>
  <c r="B184" i="16"/>
  <c r="A184" i="16"/>
  <c r="R183" i="16"/>
  <c r="Q183" i="16"/>
  <c r="P183" i="16"/>
  <c r="M183" i="16"/>
  <c r="G183" i="16"/>
  <c r="F183" i="16"/>
  <c r="B183" i="16"/>
  <c r="A183" i="16"/>
  <c r="R182" i="16"/>
  <c r="Q182" i="16"/>
  <c r="P182" i="16"/>
  <c r="M182" i="16"/>
  <c r="G182" i="16"/>
  <c r="F182" i="16"/>
  <c r="B182" i="16"/>
  <c r="A182" i="16"/>
  <c r="R181" i="16"/>
  <c r="Q181" i="16"/>
  <c r="P181" i="16"/>
  <c r="M181" i="16"/>
  <c r="G181" i="16"/>
  <c r="F181" i="16"/>
  <c r="C181" i="16"/>
  <c r="B181" i="16"/>
  <c r="A181" i="16"/>
  <c r="R180" i="16"/>
  <c r="Q180" i="16"/>
  <c r="P180" i="16"/>
  <c r="M180" i="16"/>
  <c r="G180" i="16"/>
  <c r="F180" i="16"/>
  <c r="B180" i="16"/>
  <c r="A180" i="16"/>
  <c r="R179" i="16"/>
  <c r="Q179" i="16"/>
  <c r="P179" i="16"/>
  <c r="M179" i="16"/>
  <c r="G179" i="16"/>
  <c r="F179" i="16"/>
  <c r="B179" i="16"/>
  <c r="C179" i="16" s="1"/>
  <c r="A179" i="16"/>
  <c r="R178" i="16"/>
  <c r="Q178" i="16"/>
  <c r="P178" i="16"/>
  <c r="M178" i="16"/>
  <c r="G178" i="16"/>
  <c r="F178" i="16"/>
  <c r="B178" i="16"/>
  <c r="A178" i="16"/>
  <c r="R177" i="16"/>
  <c r="Q177" i="16"/>
  <c r="P177" i="16"/>
  <c r="M177" i="16"/>
  <c r="G177" i="16"/>
  <c r="F177" i="16"/>
  <c r="C177" i="16"/>
  <c r="B177" i="16"/>
  <c r="A177" i="16"/>
  <c r="R176" i="16"/>
  <c r="Q176" i="16"/>
  <c r="P176" i="16"/>
  <c r="M176" i="16"/>
  <c r="G176" i="16"/>
  <c r="F176" i="16"/>
  <c r="B176" i="16"/>
  <c r="A176" i="16"/>
  <c r="R175" i="16"/>
  <c r="Q175" i="16"/>
  <c r="P175" i="16"/>
  <c r="M175" i="16"/>
  <c r="G175" i="16"/>
  <c r="F175" i="16"/>
  <c r="B175" i="16"/>
  <c r="C175" i="16" s="1"/>
  <c r="A175" i="16"/>
  <c r="R174" i="16"/>
  <c r="Q174" i="16"/>
  <c r="P174" i="16"/>
  <c r="M174" i="16"/>
  <c r="G174" i="16"/>
  <c r="F174" i="16"/>
  <c r="B174" i="16"/>
  <c r="A174" i="16"/>
  <c r="R173" i="16"/>
  <c r="Q173" i="16"/>
  <c r="P173" i="16"/>
  <c r="M173" i="16"/>
  <c r="G173" i="16"/>
  <c r="F173" i="16"/>
  <c r="B173" i="16"/>
  <c r="A173" i="16"/>
  <c r="R172" i="16"/>
  <c r="Q172" i="16"/>
  <c r="P172" i="16"/>
  <c r="M172" i="16"/>
  <c r="G172" i="16"/>
  <c r="F172" i="16"/>
  <c r="B172" i="16"/>
  <c r="A172" i="16"/>
  <c r="R171" i="16"/>
  <c r="Q171" i="16"/>
  <c r="P171" i="16"/>
  <c r="M171" i="16"/>
  <c r="G171" i="16"/>
  <c r="F171" i="16"/>
  <c r="B171" i="16"/>
  <c r="A171" i="16"/>
  <c r="R170" i="16"/>
  <c r="Q170" i="16"/>
  <c r="P170" i="16"/>
  <c r="M170" i="16"/>
  <c r="G170" i="16"/>
  <c r="F170" i="16"/>
  <c r="B170" i="16"/>
  <c r="A170" i="16"/>
  <c r="R169" i="16"/>
  <c r="Q169" i="16"/>
  <c r="P169" i="16"/>
  <c r="M169" i="16"/>
  <c r="G169" i="16"/>
  <c r="F169" i="16"/>
  <c r="C169" i="16"/>
  <c r="B169" i="16"/>
  <c r="A169" i="16"/>
  <c r="R168" i="16"/>
  <c r="Q168" i="16"/>
  <c r="P168" i="16"/>
  <c r="M168" i="16"/>
  <c r="G168" i="16"/>
  <c r="F168" i="16"/>
  <c r="B168" i="16"/>
  <c r="A168" i="16"/>
  <c r="R167" i="16"/>
  <c r="Q167" i="16"/>
  <c r="P167" i="16"/>
  <c r="M167" i="16"/>
  <c r="G167" i="16"/>
  <c r="F167" i="16"/>
  <c r="B167" i="16"/>
  <c r="A167" i="16"/>
  <c r="R166" i="16"/>
  <c r="Q166" i="16"/>
  <c r="P166" i="16"/>
  <c r="M166" i="16"/>
  <c r="G166" i="16"/>
  <c r="F166" i="16"/>
  <c r="B166" i="16"/>
  <c r="A166" i="16"/>
  <c r="R165" i="16"/>
  <c r="Q165" i="16"/>
  <c r="P165" i="16"/>
  <c r="M165" i="16"/>
  <c r="G165" i="16"/>
  <c r="F165" i="16"/>
  <c r="C165" i="16"/>
  <c r="B165" i="16"/>
  <c r="A165" i="16"/>
  <c r="R164" i="16"/>
  <c r="Q164" i="16"/>
  <c r="P164" i="16"/>
  <c r="M164" i="16"/>
  <c r="G164" i="16"/>
  <c r="F164" i="16"/>
  <c r="B164" i="16"/>
  <c r="A164" i="16"/>
  <c r="R163" i="16"/>
  <c r="Q163" i="16"/>
  <c r="P163" i="16"/>
  <c r="M163" i="16"/>
  <c r="G163" i="16"/>
  <c r="F163" i="16"/>
  <c r="B163" i="16"/>
  <c r="A163" i="16"/>
  <c r="R162" i="16"/>
  <c r="Q162" i="16"/>
  <c r="P162" i="16"/>
  <c r="M162" i="16"/>
  <c r="G162" i="16"/>
  <c r="F162" i="16"/>
  <c r="B162" i="16"/>
  <c r="A162" i="16"/>
  <c r="R161" i="16"/>
  <c r="Q161" i="16"/>
  <c r="P161" i="16"/>
  <c r="M161" i="16"/>
  <c r="G161" i="16"/>
  <c r="F161" i="16"/>
  <c r="C161" i="16"/>
  <c r="B161" i="16"/>
  <c r="A161" i="16"/>
  <c r="R160" i="16"/>
  <c r="Q160" i="16"/>
  <c r="P160" i="16"/>
  <c r="M160" i="16"/>
  <c r="G160" i="16"/>
  <c r="F160" i="16"/>
  <c r="B160" i="16"/>
  <c r="A160" i="16"/>
  <c r="R159" i="16"/>
  <c r="Q159" i="16"/>
  <c r="P159" i="16"/>
  <c r="M159" i="16"/>
  <c r="G159" i="16"/>
  <c r="F159" i="16"/>
  <c r="B159" i="16"/>
  <c r="A159" i="16"/>
  <c r="R158" i="16"/>
  <c r="Q158" i="16"/>
  <c r="P158" i="16"/>
  <c r="M158" i="16"/>
  <c r="G158" i="16"/>
  <c r="F158" i="16"/>
  <c r="B158" i="16"/>
  <c r="A158" i="16"/>
  <c r="R157" i="16"/>
  <c r="Q157" i="16"/>
  <c r="P157" i="16"/>
  <c r="M157" i="16"/>
  <c r="G157" i="16"/>
  <c r="F157" i="16"/>
  <c r="B157" i="16"/>
  <c r="A157" i="16"/>
  <c r="R156" i="16"/>
  <c r="Q156" i="16"/>
  <c r="P156" i="16"/>
  <c r="M156" i="16"/>
  <c r="G156" i="16"/>
  <c r="F156" i="16"/>
  <c r="B156" i="16"/>
  <c r="A156" i="16"/>
  <c r="R155" i="16"/>
  <c r="Q155" i="16"/>
  <c r="P155" i="16"/>
  <c r="M155" i="16"/>
  <c r="G155" i="16"/>
  <c r="F155" i="16"/>
  <c r="B155" i="16"/>
  <c r="A155" i="16"/>
  <c r="R154" i="16"/>
  <c r="Q154" i="16"/>
  <c r="P154" i="16"/>
  <c r="M154" i="16"/>
  <c r="G154" i="16"/>
  <c r="F154" i="16"/>
  <c r="B154" i="16"/>
  <c r="A154" i="16"/>
  <c r="R153" i="16"/>
  <c r="Q153" i="16"/>
  <c r="P153" i="16"/>
  <c r="M153" i="16"/>
  <c r="G153" i="16"/>
  <c r="F153" i="16"/>
  <c r="C153" i="16"/>
  <c r="B153" i="16"/>
  <c r="A153" i="16"/>
  <c r="R152" i="16"/>
  <c r="Q152" i="16"/>
  <c r="P152" i="16"/>
  <c r="M152" i="16"/>
  <c r="G152" i="16"/>
  <c r="F152" i="16"/>
  <c r="B152" i="16"/>
  <c r="A152" i="16"/>
  <c r="R151" i="16"/>
  <c r="Q151" i="16"/>
  <c r="P151" i="16"/>
  <c r="M151" i="16"/>
  <c r="G151" i="16"/>
  <c r="F151" i="16"/>
  <c r="B151" i="16"/>
  <c r="A151" i="16"/>
  <c r="R150" i="16"/>
  <c r="Q150" i="16"/>
  <c r="P150" i="16"/>
  <c r="M150" i="16"/>
  <c r="G150" i="16"/>
  <c r="F150" i="16"/>
  <c r="B150" i="16"/>
  <c r="A150" i="16"/>
  <c r="R149" i="16"/>
  <c r="Q149" i="16"/>
  <c r="P149" i="16"/>
  <c r="M149" i="16"/>
  <c r="G149" i="16"/>
  <c r="F149" i="16"/>
  <c r="C149" i="16"/>
  <c r="B149" i="16"/>
  <c r="A149" i="16"/>
  <c r="R148" i="16"/>
  <c r="Q148" i="16"/>
  <c r="P148" i="16"/>
  <c r="M148" i="16"/>
  <c r="G148" i="16"/>
  <c r="F148" i="16"/>
  <c r="B148" i="16"/>
  <c r="A148" i="16"/>
  <c r="R147" i="16"/>
  <c r="Q147" i="16"/>
  <c r="P147" i="16"/>
  <c r="M147" i="16"/>
  <c r="G147" i="16"/>
  <c r="F147" i="16"/>
  <c r="B147" i="16"/>
  <c r="A147" i="16"/>
  <c r="R146" i="16"/>
  <c r="Q146" i="16"/>
  <c r="P146" i="16"/>
  <c r="M146" i="16"/>
  <c r="G146" i="16"/>
  <c r="F146" i="16"/>
  <c r="B146" i="16"/>
  <c r="A146" i="16"/>
  <c r="R145" i="16"/>
  <c r="Q145" i="16"/>
  <c r="P145" i="16"/>
  <c r="M145" i="16"/>
  <c r="G145" i="16"/>
  <c r="F145" i="16"/>
  <c r="C145" i="16"/>
  <c r="B145" i="16"/>
  <c r="A145" i="16"/>
  <c r="R144" i="16"/>
  <c r="Q144" i="16"/>
  <c r="P144" i="16"/>
  <c r="M144" i="16"/>
  <c r="G144" i="16"/>
  <c r="F144" i="16"/>
  <c r="B144" i="16"/>
  <c r="A144" i="16"/>
  <c r="R143" i="16"/>
  <c r="Q143" i="16"/>
  <c r="P143" i="16"/>
  <c r="M143" i="16"/>
  <c r="G143" i="16"/>
  <c r="F143" i="16"/>
  <c r="B143" i="16"/>
  <c r="A143" i="16"/>
  <c r="R142" i="16"/>
  <c r="Q142" i="16"/>
  <c r="P142" i="16"/>
  <c r="M142" i="16"/>
  <c r="G142" i="16"/>
  <c r="F142" i="16"/>
  <c r="B142" i="16"/>
  <c r="A142" i="16"/>
  <c r="R141" i="16"/>
  <c r="Q141" i="16"/>
  <c r="P141" i="16"/>
  <c r="M141" i="16"/>
  <c r="G141" i="16"/>
  <c r="F141" i="16"/>
  <c r="B141" i="16"/>
  <c r="A141" i="16"/>
  <c r="R140" i="16"/>
  <c r="Q140" i="16"/>
  <c r="P140" i="16"/>
  <c r="M140" i="16"/>
  <c r="G140" i="16"/>
  <c r="F140" i="16"/>
  <c r="B140" i="16"/>
  <c r="A140" i="16"/>
  <c r="R139" i="16"/>
  <c r="Q139" i="16"/>
  <c r="P139" i="16"/>
  <c r="M139" i="16"/>
  <c r="G139" i="16"/>
  <c r="F139" i="16"/>
  <c r="B139" i="16"/>
  <c r="A139" i="16"/>
  <c r="R138" i="16"/>
  <c r="Q138" i="16"/>
  <c r="P138" i="16"/>
  <c r="M138" i="16"/>
  <c r="G138" i="16"/>
  <c r="F138" i="16"/>
  <c r="B138" i="16"/>
  <c r="A138" i="16"/>
  <c r="R137" i="16"/>
  <c r="Q137" i="16"/>
  <c r="P137" i="16"/>
  <c r="M137" i="16"/>
  <c r="G137" i="16"/>
  <c r="F137" i="16"/>
  <c r="C137" i="16"/>
  <c r="B137" i="16"/>
  <c r="A137" i="16"/>
  <c r="R136" i="16"/>
  <c r="Q136" i="16"/>
  <c r="P136" i="16"/>
  <c r="M136" i="16"/>
  <c r="G136" i="16"/>
  <c r="F136" i="16"/>
  <c r="B136" i="16"/>
  <c r="A136" i="16"/>
  <c r="R135" i="16"/>
  <c r="Q135" i="16"/>
  <c r="P135" i="16"/>
  <c r="M135" i="16"/>
  <c r="G135" i="16"/>
  <c r="F135" i="16"/>
  <c r="B135" i="16"/>
  <c r="A135" i="16"/>
  <c r="R134" i="16"/>
  <c r="Q134" i="16"/>
  <c r="P134" i="16"/>
  <c r="M134" i="16"/>
  <c r="G134" i="16"/>
  <c r="F134" i="16"/>
  <c r="B134" i="16"/>
  <c r="A134" i="16"/>
  <c r="R133" i="16"/>
  <c r="Q133" i="16"/>
  <c r="P133" i="16"/>
  <c r="M133" i="16"/>
  <c r="G133" i="16"/>
  <c r="F133" i="16"/>
  <c r="C133" i="16"/>
  <c r="B133" i="16"/>
  <c r="A133" i="16"/>
  <c r="R132" i="16"/>
  <c r="Q132" i="16"/>
  <c r="P132" i="16"/>
  <c r="M132" i="16"/>
  <c r="G132" i="16"/>
  <c r="F132" i="16"/>
  <c r="B132" i="16"/>
  <c r="A132" i="16"/>
  <c r="R131" i="16"/>
  <c r="Q131" i="16"/>
  <c r="P131" i="16"/>
  <c r="M131" i="16"/>
  <c r="G131" i="16"/>
  <c r="F131" i="16"/>
  <c r="B131" i="16"/>
  <c r="A131" i="16"/>
  <c r="R130" i="16"/>
  <c r="Q130" i="16"/>
  <c r="P130" i="16"/>
  <c r="M130" i="16"/>
  <c r="G130" i="16"/>
  <c r="F130" i="16"/>
  <c r="B130" i="16"/>
  <c r="A130" i="16"/>
  <c r="R129" i="16"/>
  <c r="Q129" i="16"/>
  <c r="P129" i="16"/>
  <c r="M129" i="16"/>
  <c r="G129" i="16"/>
  <c r="F129" i="16"/>
  <c r="B129" i="16"/>
  <c r="A129" i="16"/>
  <c r="R128" i="16"/>
  <c r="Q128" i="16"/>
  <c r="P128" i="16"/>
  <c r="M128" i="16"/>
  <c r="G128" i="16"/>
  <c r="F128" i="16"/>
  <c r="B128" i="16"/>
  <c r="A128" i="16"/>
  <c r="R127" i="16"/>
  <c r="Q127" i="16"/>
  <c r="P127" i="16"/>
  <c r="M127" i="16"/>
  <c r="G127" i="16"/>
  <c r="F127" i="16"/>
  <c r="B127" i="16"/>
  <c r="A127" i="16"/>
  <c r="R126" i="16"/>
  <c r="Q126" i="16"/>
  <c r="P126" i="16"/>
  <c r="M126" i="16"/>
  <c r="G126" i="16"/>
  <c r="F126" i="16"/>
  <c r="B126" i="16"/>
  <c r="A126" i="16"/>
  <c r="R125" i="16"/>
  <c r="Q125" i="16"/>
  <c r="P125" i="16"/>
  <c r="M125" i="16"/>
  <c r="G125" i="16"/>
  <c r="F125" i="16"/>
  <c r="B125" i="16"/>
  <c r="A125" i="16"/>
  <c r="R124" i="16"/>
  <c r="Q124" i="16"/>
  <c r="P124" i="16"/>
  <c r="M124" i="16"/>
  <c r="G124" i="16"/>
  <c r="F124" i="16"/>
  <c r="B124" i="16"/>
  <c r="A124" i="16"/>
  <c r="R123" i="16"/>
  <c r="Q123" i="16"/>
  <c r="P123" i="16"/>
  <c r="M123" i="16"/>
  <c r="G123" i="16"/>
  <c r="F123" i="16"/>
  <c r="B123" i="16"/>
  <c r="A123" i="16"/>
  <c r="R122" i="16"/>
  <c r="Q122" i="16"/>
  <c r="P122" i="16"/>
  <c r="M122" i="16"/>
  <c r="G122" i="16"/>
  <c r="F122" i="16"/>
  <c r="B122" i="16"/>
  <c r="C122" i="16" s="1"/>
  <c r="A122" i="16"/>
  <c r="R121" i="16"/>
  <c r="Q121" i="16"/>
  <c r="P121" i="16"/>
  <c r="M121" i="16"/>
  <c r="G121" i="16"/>
  <c r="F121" i="16"/>
  <c r="B121" i="16"/>
  <c r="A121" i="16"/>
  <c r="R120" i="16"/>
  <c r="Q120" i="16"/>
  <c r="P120" i="16"/>
  <c r="M120" i="16"/>
  <c r="G120" i="16"/>
  <c r="F120" i="16"/>
  <c r="B120" i="16"/>
  <c r="A120" i="16"/>
  <c r="R119" i="16"/>
  <c r="Q119" i="16"/>
  <c r="P119" i="16"/>
  <c r="M119" i="16"/>
  <c r="G119" i="16"/>
  <c r="F119" i="16"/>
  <c r="B119" i="16"/>
  <c r="A119" i="16"/>
  <c r="R118" i="16"/>
  <c r="Q118" i="16"/>
  <c r="P118" i="16"/>
  <c r="M118" i="16"/>
  <c r="G118" i="16"/>
  <c r="F118" i="16"/>
  <c r="C118" i="16"/>
  <c r="B118" i="16"/>
  <c r="A118" i="16"/>
  <c r="R117" i="16"/>
  <c r="Q117" i="16"/>
  <c r="P117" i="16"/>
  <c r="M117" i="16"/>
  <c r="G117" i="16"/>
  <c r="F117" i="16"/>
  <c r="B117" i="16"/>
  <c r="A117" i="16"/>
  <c r="R116" i="16"/>
  <c r="Q116" i="16"/>
  <c r="P116" i="16"/>
  <c r="M116" i="16"/>
  <c r="G116" i="16"/>
  <c r="F116" i="16"/>
  <c r="B116" i="16"/>
  <c r="C116" i="16" s="1"/>
  <c r="A116" i="16"/>
  <c r="R115" i="16"/>
  <c r="Q115" i="16"/>
  <c r="P115" i="16"/>
  <c r="M115" i="16"/>
  <c r="G115" i="16"/>
  <c r="F115" i="16"/>
  <c r="B115" i="16"/>
  <c r="A115" i="16"/>
  <c r="R114" i="16"/>
  <c r="Q114" i="16"/>
  <c r="P114" i="16"/>
  <c r="M114" i="16"/>
  <c r="G114" i="16"/>
  <c r="F114" i="16"/>
  <c r="B114" i="16"/>
  <c r="A114" i="16"/>
  <c r="R113" i="16"/>
  <c r="Q113" i="16"/>
  <c r="P113" i="16"/>
  <c r="M113" i="16"/>
  <c r="G113" i="16"/>
  <c r="F113" i="16"/>
  <c r="C113" i="16"/>
  <c r="B113" i="16"/>
  <c r="A113" i="16"/>
  <c r="R112" i="16"/>
  <c r="Q112" i="16"/>
  <c r="P112" i="16"/>
  <c r="M112" i="16"/>
  <c r="G112" i="16"/>
  <c r="F112" i="16"/>
  <c r="B112" i="16"/>
  <c r="A112" i="16"/>
  <c r="R111" i="16"/>
  <c r="Q111" i="16"/>
  <c r="P111" i="16"/>
  <c r="M111" i="16"/>
  <c r="G111" i="16"/>
  <c r="F111" i="16"/>
  <c r="B111" i="16"/>
  <c r="A111" i="16"/>
  <c r="R110" i="16"/>
  <c r="Q110" i="16"/>
  <c r="P110" i="16"/>
  <c r="M110" i="16"/>
  <c r="G110" i="16"/>
  <c r="F110" i="16"/>
  <c r="B110" i="16"/>
  <c r="A110" i="16"/>
  <c r="R109" i="16"/>
  <c r="Q109" i="16"/>
  <c r="P109" i="16"/>
  <c r="M109" i="16"/>
  <c r="G109" i="16"/>
  <c r="F109" i="16"/>
  <c r="B109" i="16"/>
  <c r="A109" i="16"/>
  <c r="R108" i="16"/>
  <c r="Q108" i="16"/>
  <c r="P108" i="16"/>
  <c r="M108" i="16"/>
  <c r="G108" i="16"/>
  <c r="F108" i="16"/>
  <c r="C108" i="16"/>
  <c r="B108" i="16"/>
  <c r="A108" i="16"/>
  <c r="R107" i="16"/>
  <c r="Q107" i="16"/>
  <c r="P107" i="16"/>
  <c r="M107" i="16"/>
  <c r="G107" i="16"/>
  <c r="F107" i="16"/>
  <c r="B107" i="16"/>
  <c r="C107" i="16" s="1"/>
  <c r="A107" i="16"/>
  <c r="R106" i="16"/>
  <c r="Q106" i="16"/>
  <c r="P106" i="16"/>
  <c r="M106" i="16"/>
  <c r="G106" i="16"/>
  <c r="F106" i="16"/>
  <c r="C106" i="16"/>
  <c r="B106" i="16"/>
  <c r="A106" i="16"/>
  <c r="R105" i="16"/>
  <c r="Q105" i="16"/>
  <c r="P105" i="16"/>
  <c r="M105" i="16"/>
  <c r="G105" i="16"/>
  <c r="F105" i="16"/>
  <c r="B105" i="16"/>
  <c r="A105" i="16"/>
  <c r="R104" i="16"/>
  <c r="Q104" i="16"/>
  <c r="P104" i="16"/>
  <c r="M104" i="16"/>
  <c r="G104" i="16"/>
  <c r="F104" i="16"/>
  <c r="B104" i="16"/>
  <c r="A104" i="16"/>
  <c r="R103" i="16"/>
  <c r="Q103" i="16"/>
  <c r="P103" i="16"/>
  <c r="M103" i="16"/>
  <c r="G103" i="16"/>
  <c r="F103" i="16"/>
  <c r="C103" i="16"/>
  <c r="B103" i="16"/>
  <c r="A103" i="16"/>
  <c r="R102" i="16"/>
  <c r="Q102" i="16"/>
  <c r="P102" i="16"/>
  <c r="M102" i="16"/>
  <c r="G102" i="16"/>
  <c r="F102" i="16"/>
  <c r="C102" i="16"/>
  <c r="B102" i="16"/>
  <c r="A102" i="16"/>
  <c r="R101" i="16"/>
  <c r="Q101" i="16"/>
  <c r="P101" i="16"/>
  <c r="M101" i="16"/>
  <c r="G101" i="16"/>
  <c r="F101" i="16"/>
  <c r="B101" i="16"/>
  <c r="A101" i="16"/>
  <c r="R100" i="16"/>
  <c r="Q100" i="16"/>
  <c r="P100" i="16"/>
  <c r="M100" i="16"/>
  <c r="G100" i="16"/>
  <c r="F100" i="16"/>
  <c r="B100" i="16"/>
  <c r="A100" i="16"/>
  <c r="R99" i="16"/>
  <c r="Q99" i="16"/>
  <c r="P99" i="16"/>
  <c r="M99" i="16"/>
  <c r="G99" i="16"/>
  <c r="F99" i="16"/>
  <c r="A99" i="16"/>
  <c r="B99" i="16" s="1"/>
  <c r="N99" i="16" s="1"/>
  <c r="R98" i="16"/>
  <c r="Q98" i="16"/>
  <c r="P98" i="16"/>
  <c r="M98" i="16"/>
  <c r="G98" i="16"/>
  <c r="F98" i="16"/>
  <c r="C98" i="16"/>
  <c r="B98" i="16"/>
  <c r="A98" i="16"/>
  <c r="R97" i="16"/>
  <c r="Q97" i="16"/>
  <c r="P97" i="16"/>
  <c r="M97" i="16"/>
  <c r="G97" i="16"/>
  <c r="F97" i="16"/>
  <c r="B97" i="16"/>
  <c r="A97" i="16"/>
  <c r="R96" i="16"/>
  <c r="Q96" i="16"/>
  <c r="P96" i="16"/>
  <c r="M96" i="16"/>
  <c r="G96" i="16"/>
  <c r="F96" i="16"/>
  <c r="B96" i="16"/>
  <c r="C96" i="16" s="1"/>
  <c r="A96" i="16"/>
  <c r="R95" i="16"/>
  <c r="Q95" i="16"/>
  <c r="P95" i="16"/>
  <c r="M95" i="16"/>
  <c r="G95" i="16"/>
  <c r="F95" i="16"/>
  <c r="C95" i="16"/>
  <c r="B95" i="16"/>
  <c r="A95" i="16"/>
  <c r="R94" i="16"/>
  <c r="Q94" i="16"/>
  <c r="P94" i="16"/>
  <c r="M94" i="16"/>
  <c r="G94" i="16"/>
  <c r="F94" i="16"/>
  <c r="C94" i="16"/>
  <c r="B94" i="16"/>
  <c r="A94" i="16"/>
  <c r="R93" i="16"/>
  <c r="Q93" i="16"/>
  <c r="P93" i="16"/>
  <c r="M93" i="16"/>
  <c r="G93" i="16"/>
  <c r="F93" i="16"/>
  <c r="B93" i="16"/>
  <c r="C93" i="16" s="1"/>
  <c r="A93" i="16"/>
  <c r="R92" i="16"/>
  <c r="Q92" i="16"/>
  <c r="P92" i="16"/>
  <c r="M92" i="16"/>
  <c r="G92" i="16"/>
  <c r="F92" i="16"/>
  <c r="B92" i="16"/>
  <c r="C92" i="16" s="1"/>
  <c r="A92" i="16"/>
  <c r="R91" i="16"/>
  <c r="Q91" i="16"/>
  <c r="P91" i="16"/>
  <c r="M91" i="16"/>
  <c r="G91" i="16"/>
  <c r="F91" i="16"/>
  <c r="C91" i="16"/>
  <c r="B91" i="16"/>
  <c r="A91" i="16"/>
  <c r="R90" i="16"/>
  <c r="Q90" i="16"/>
  <c r="P90" i="16"/>
  <c r="M90" i="16"/>
  <c r="G90" i="16"/>
  <c r="F90" i="16"/>
  <c r="C90" i="16"/>
  <c r="B90" i="16"/>
  <c r="A90" i="16"/>
  <c r="R89" i="16"/>
  <c r="Q89" i="16"/>
  <c r="P89" i="16"/>
  <c r="M89" i="16"/>
  <c r="G89" i="16"/>
  <c r="F89" i="16"/>
  <c r="B89" i="16"/>
  <c r="C89" i="16" s="1"/>
  <c r="A89" i="16"/>
  <c r="R88" i="16"/>
  <c r="Q88" i="16"/>
  <c r="P88" i="16"/>
  <c r="M88" i="16"/>
  <c r="G88" i="16"/>
  <c r="F88" i="16"/>
  <c r="B88" i="16"/>
  <c r="C88" i="16" s="1"/>
  <c r="A88" i="16"/>
  <c r="R87" i="16"/>
  <c r="Q87" i="16"/>
  <c r="P87" i="16"/>
  <c r="M87" i="16"/>
  <c r="G87" i="16"/>
  <c r="F87" i="16"/>
  <c r="C87" i="16"/>
  <c r="B87" i="16"/>
  <c r="A87" i="16"/>
  <c r="R86" i="16"/>
  <c r="Q86" i="16"/>
  <c r="P86" i="16"/>
  <c r="M86" i="16"/>
  <c r="G86" i="16"/>
  <c r="F86" i="16"/>
  <c r="C86" i="16"/>
  <c r="B86" i="16"/>
  <c r="A86" i="16"/>
  <c r="R85" i="16"/>
  <c r="Q85" i="16"/>
  <c r="P85" i="16"/>
  <c r="M85" i="16"/>
  <c r="G85" i="16"/>
  <c r="F85" i="16"/>
  <c r="B85" i="16"/>
  <c r="C85" i="16" s="1"/>
  <c r="A85" i="16"/>
  <c r="R84" i="16"/>
  <c r="Q84" i="16"/>
  <c r="P84" i="16"/>
  <c r="M84" i="16"/>
  <c r="G84" i="16"/>
  <c r="F84" i="16"/>
  <c r="B84" i="16"/>
  <c r="C84" i="16" s="1"/>
  <c r="A84" i="16"/>
  <c r="R83" i="16"/>
  <c r="Q83" i="16"/>
  <c r="P83" i="16"/>
  <c r="M83" i="16"/>
  <c r="G83" i="16"/>
  <c r="F83" i="16"/>
  <c r="C83" i="16"/>
  <c r="B83" i="16"/>
  <c r="A83" i="16"/>
  <c r="R82" i="16"/>
  <c r="Q82" i="16"/>
  <c r="P82" i="16"/>
  <c r="M82" i="16"/>
  <c r="C82" i="16"/>
  <c r="B82" i="16"/>
  <c r="A82" i="16"/>
  <c r="R81" i="16"/>
  <c r="Q81" i="16"/>
  <c r="P81" i="16"/>
  <c r="M81" i="16"/>
  <c r="C81" i="16"/>
  <c r="B81" i="16"/>
  <c r="A81" i="16"/>
  <c r="R80" i="16"/>
  <c r="Q80" i="16"/>
  <c r="P80" i="16"/>
  <c r="M80" i="16"/>
  <c r="C80" i="16"/>
  <c r="B80" i="16"/>
  <c r="A80" i="16"/>
  <c r="R79" i="16"/>
  <c r="Q79" i="16"/>
  <c r="P79" i="16"/>
  <c r="M79" i="16"/>
  <c r="C79" i="16"/>
  <c r="B79" i="16"/>
  <c r="A79" i="16"/>
  <c r="R78" i="16"/>
  <c r="Q78" i="16"/>
  <c r="P78" i="16"/>
  <c r="M78" i="16"/>
  <c r="C78" i="16"/>
  <c r="B78" i="16"/>
  <c r="A78" i="16"/>
  <c r="R77" i="16"/>
  <c r="Q77" i="16"/>
  <c r="P77" i="16"/>
  <c r="M77" i="16"/>
  <c r="C77" i="16"/>
  <c r="B77" i="16"/>
  <c r="A77" i="16"/>
  <c r="R76" i="16"/>
  <c r="Q76" i="16"/>
  <c r="P76" i="16"/>
  <c r="M76" i="16"/>
  <c r="C76" i="16"/>
  <c r="B76" i="16"/>
  <c r="A76" i="16"/>
  <c r="R75" i="16"/>
  <c r="Q75" i="16"/>
  <c r="P75" i="16"/>
  <c r="M75" i="16"/>
  <c r="C75" i="16"/>
  <c r="B75" i="16"/>
  <c r="A75" i="16"/>
  <c r="R74" i="16"/>
  <c r="Q74" i="16"/>
  <c r="P74" i="16"/>
  <c r="M74" i="16"/>
  <c r="C74" i="16"/>
  <c r="B74" i="16"/>
  <c r="A74" i="16"/>
  <c r="R73" i="16"/>
  <c r="Q73" i="16"/>
  <c r="P73" i="16"/>
  <c r="M73" i="16"/>
  <c r="C73" i="16"/>
  <c r="B73" i="16"/>
  <c r="A73" i="16"/>
  <c r="R72" i="16"/>
  <c r="Q72" i="16"/>
  <c r="P72" i="16"/>
  <c r="M72" i="16"/>
  <c r="C72" i="16"/>
  <c r="B72" i="16"/>
  <c r="A72" i="16"/>
  <c r="R71" i="16"/>
  <c r="Q71" i="16"/>
  <c r="P71" i="16"/>
  <c r="M71" i="16"/>
  <c r="C71" i="16"/>
  <c r="B71" i="16"/>
  <c r="A71" i="16"/>
  <c r="R70" i="16"/>
  <c r="Q70" i="16"/>
  <c r="P70" i="16"/>
  <c r="M70" i="16"/>
  <c r="C70" i="16"/>
  <c r="B70" i="16"/>
  <c r="A70" i="16"/>
  <c r="R69" i="16"/>
  <c r="Q69" i="16"/>
  <c r="P69" i="16"/>
  <c r="M69" i="16"/>
  <c r="C69" i="16"/>
  <c r="B69" i="16"/>
  <c r="A69" i="16"/>
  <c r="R68" i="16"/>
  <c r="Q68" i="16"/>
  <c r="P68" i="16"/>
  <c r="M68" i="16"/>
  <c r="C68" i="16"/>
  <c r="B68" i="16"/>
  <c r="A68" i="16"/>
  <c r="R67" i="16"/>
  <c r="Q67" i="16"/>
  <c r="P67" i="16"/>
  <c r="M67" i="16"/>
  <c r="C67" i="16"/>
  <c r="B67" i="16"/>
  <c r="A67" i="16"/>
  <c r="R66" i="16"/>
  <c r="Q66" i="16"/>
  <c r="P66" i="16"/>
  <c r="M66" i="16"/>
  <c r="G66" i="16"/>
  <c r="F66" i="16"/>
  <c r="C66" i="16"/>
  <c r="B66" i="16"/>
  <c r="A66" i="16"/>
  <c r="R65" i="16"/>
  <c r="Q65" i="16"/>
  <c r="P65" i="16"/>
  <c r="M65" i="16"/>
  <c r="G65" i="16"/>
  <c r="F65" i="16"/>
  <c r="B65" i="16"/>
  <c r="C65" i="16" s="1"/>
  <c r="A65" i="16"/>
  <c r="R64" i="16"/>
  <c r="Q64" i="16"/>
  <c r="P64" i="16"/>
  <c r="M64" i="16"/>
  <c r="G64" i="16"/>
  <c r="F64" i="16"/>
  <c r="B64" i="16"/>
  <c r="C64" i="16" s="1"/>
  <c r="A64" i="16"/>
  <c r="R63" i="16"/>
  <c r="Q63" i="16"/>
  <c r="P63" i="16"/>
  <c r="M63" i="16"/>
  <c r="G63" i="16"/>
  <c r="F63" i="16"/>
  <c r="C63" i="16"/>
  <c r="B63" i="16"/>
  <c r="A63" i="16"/>
  <c r="R62" i="16"/>
  <c r="Q62" i="16"/>
  <c r="P62" i="16"/>
  <c r="M62" i="16"/>
  <c r="G62" i="16"/>
  <c r="F62" i="16"/>
  <c r="C62" i="16"/>
  <c r="B62" i="16"/>
  <c r="A62" i="16"/>
  <c r="R61" i="16"/>
  <c r="Q61" i="16"/>
  <c r="P61" i="16"/>
  <c r="M61" i="16"/>
  <c r="G61" i="16"/>
  <c r="F61" i="16"/>
  <c r="B61" i="16"/>
  <c r="C61" i="16" s="1"/>
  <c r="A61" i="16"/>
  <c r="R60" i="16"/>
  <c r="Q60" i="16"/>
  <c r="P60" i="16"/>
  <c r="M60" i="16"/>
  <c r="G60" i="16"/>
  <c r="F60" i="16"/>
  <c r="B60" i="16"/>
  <c r="C60" i="16" s="1"/>
  <c r="A60" i="16"/>
  <c r="R59" i="16"/>
  <c r="Q59" i="16"/>
  <c r="P59" i="16"/>
  <c r="M59" i="16"/>
  <c r="G59" i="16"/>
  <c r="F59" i="16"/>
  <c r="C59" i="16"/>
  <c r="B59" i="16"/>
  <c r="A59" i="16"/>
  <c r="R58" i="16"/>
  <c r="Q58" i="16"/>
  <c r="P58" i="16"/>
  <c r="M58" i="16"/>
  <c r="G58" i="16"/>
  <c r="F58" i="16"/>
  <c r="C58" i="16"/>
  <c r="B58" i="16"/>
  <c r="A58" i="16"/>
  <c r="R57" i="16"/>
  <c r="Q57" i="16"/>
  <c r="P57" i="16"/>
  <c r="M57" i="16"/>
  <c r="G57" i="16"/>
  <c r="F57" i="16"/>
  <c r="B57" i="16"/>
  <c r="C57" i="16" s="1"/>
  <c r="A57" i="16"/>
  <c r="R56" i="16"/>
  <c r="Q56" i="16"/>
  <c r="P56" i="16"/>
  <c r="M56" i="16"/>
  <c r="G56" i="16"/>
  <c r="F56" i="16"/>
  <c r="B56" i="16"/>
  <c r="C56" i="16" s="1"/>
  <c r="A56" i="16"/>
  <c r="R55" i="16"/>
  <c r="Q55" i="16"/>
  <c r="P55" i="16"/>
  <c r="M55" i="16"/>
  <c r="G55" i="16"/>
  <c r="F55" i="16"/>
  <c r="C55" i="16"/>
  <c r="B55" i="16"/>
  <c r="A55" i="16"/>
  <c r="R54" i="16"/>
  <c r="Q54" i="16"/>
  <c r="P54" i="16"/>
  <c r="M54" i="16"/>
  <c r="G54" i="16"/>
  <c r="F54" i="16"/>
  <c r="C54" i="16"/>
  <c r="B54" i="16"/>
  <c r="A54" i="16"/>
  <c r="R53" i="16"/>
  <c r="Q53" i="16"/>
  <c r="P53" i="16"/>
  <c r="M53" i="16"/>
  <c r="G53" i="16"/>
  <c r="F53" i="16"/>
  <c r="B53" i="16"/>
  <c r="C53" i="16" s="1"/>
  <c r="A53" i="16"/>
  <c r="R52" i="16"/>
  <c r="Q52" i="16"/>
  <c r="P52" i="16"/>
  <c r="M52" i="16"/>
  <c r="G52" i="16"/>
  <c r="F52" i="16"/>
  <c r="B52" i="16"/>
  <c r="C52" i="16" s="1"/>
  <c r="A52" i="16"/>
  <c r="R51" i="16"/>
  <c r="Q51" i="16"/>
  <c r="P51" i="16"/>
  <c r="M51" i="16"/>
  <c r="G51" i="16"/>
  <c r="F51" i="16"/>
  <c r="C51" i="16"/>
  <c r="B51" i="16"/>
  <c r="A51" i="16"/>
  <c r="R50" i="16"/>
  <c r="Q50" i="16"/>
  <c r="P50" i="16"/>
  <c r="M50" i="16"/>
  <c r="G50" i="16"/>
  <c r="F50" i="16"/>
  <c r="C50" i="16"/>
  <c r="B50" i="16"/>
  <c r="A50" i="16"/>
  <c r="R49" i="16"/>
  <c r="Q49" i="16"/>
  <c r="P49" i="16"/>
  <c r="M49" i="16"/>
  <c r="G49" i="16"/>
  <c r="F49" i="16"/>
  <c r="B49" i="16"/>
  <c r="C49" i="16" s="1"/>
  <c r="A49" i="16"/>
  <c r="R48" i="16"/>
  <c r="Q48" i="16"/>
  <c r="P48" i="16"/>
  <c r="M48" i="16"/>
  <c r="G48" i="16"/>
  <c r="F48" i="16"/>
  <c r="B48" i="16"/>
  <c r="C48" i="16" s="1"/>
  <c r="A48" i="16"/>
  <c r="R47" i="16"/>
  <c r="Q47" i="16"/>
  <c r="P47" i="16"/>
  <c r="M47" i="16"/>
  <c r="G47" i="16"/>
  <c r="F47" i="16"/>
  <c r="C47" i="16"/>
  <c r="B47" i="16"/>
  <c r="A47" i="16"/>
  <c r="R46" i="16"/>
  <c r="Q46" i="16"/>
  <c r="P46" i="16"/>
  <c r="M46" i="16"/>
  <c r="G46" i="16"/>
  <c r="F46" i="16"/>
  <c r="C46" i="16"/>
  <c r="B46" i="16"/>
  <c r="A46" i="16"/>
  <c r="R45" i="16"/>
  <c r="Q45" i="16"/>
  <c r="P45" i="16"/>
  <c r="M45" i="16"/>
  <c r="C45" i="16"/>
  <c r="B45" i="16"/>
  <c r="A45" i="16"/>
  <c r="R44" i="16"/>
  <c r="Q44" i="16"/>
  <c r="P44" i="16"/>
  <c r="M44" i="16"/>
  <c r="C44" i="16"/>
  <c r="B44" i="16"/>
  <c r="A44" i="16"/>
  <c r="R43" i="16"/>
  <c r="Q43" i="16"/>
  <c r="P43" i="16"/>
  <c r="M43" i="16"/>
  <c r="C43" i="16"/>
  <c r="B43" i="16"/>
  <c r="A43" i="16"/>
  <c r="R42" i="16"/>
  <c r="Q42" i="16"/>
  <c r="P42" i="16"/>
  <c r="M42" i="16"/>
  <c r="C42" i="16"/>
  <c r="B42" i="16"/>
  <c r="A42" i="16"/>
  <c r="R41" i="16"/>
  <c r="Q41" i="16"/>
  <c r="P41" i="16"/>
  <c r="M41" i="16"/>
  <c r="C41" i="16"/>
  <c r="B41" i="16"/>
  <c r="A41" i="16"/>
  <c r="R40" i="16"/>
  <c r="Q40" i="16"/>
  <c r="P40" i="16"/>
  <c r="M40" i="16"/>
  <c r="C40" i="16"/>
  <c r="B40" i="16"/>
  <c r="A40" i="16"/>
  <c r="R39" i="16"/>
  <c r="Q39" i="16"/>
  <c r="P39" i="16"/>
  <c r="M39" i="16"/>
  <c r="C39" i="16"/>
  <c r="B39" i="16"/>
  <c r="A39" i="16"/>
  <c r="R38" i="16"/>
  <c r="Q38" i="16"/>
  <c r="P38" i="16"/>
  <c r="M38" i="16"/>
  <c r="C38" i="16"/>
  <c r="B38" i="16"/>
  <c r="A38" i="16"/>
  <c r="R37" i="16"/>
  <c r="Q37" i="16"/>
  <c r="P37" i="16"/>
  <c r="M37" i="16"/>
  <c r="C37" i="16"/>
  <c r="B37" i="16"/>
  <c r="A37" i="16"/>
  <c r="R36" i="16"/>
  <c r="Q36" i="16"/>
  <c r="P36" i="16"/>
  <c r="M36" i="16"/>
  <c r="C36" i="16"/>
  <c r="B36" i="16"/>
  <c r="A36" i="16"/>
  <c r="R35" i="16"/>
  <c r="Q35" i="16"/>
  <c r="P35" i="16"/>
  <c r="M35" i="16"/>
  <c r="C35" i="16"/>
  <c r="B35" i="16"/>
  <c r="A35" i="16"/>
  <c r="R34" i="16"/>
  <c r="Q34" i="16"/>
  <c r="P34" i="16"/>
  <c r="M34" i="16"/>
  <c r="C34" i="16"/>
  <c r="B34" i="16"/>
  <c r="A34" i="16"/>
  <c r="R33" i="16"/>
  <c r="Q33" i="16"/>
  <c r="P33" i="16"/>
  <c r="M33" i="16"/>
  <c r="C33" i="16"/>
  <c r="B33" i="16"/>
  <c r="A33" i="16"/>
  <c r="R32" i="16"/>
  <c r="Q32" i="16"/>
  <c r="P32" i="16"/>
  <c r="M32" i="16"/>
  <c r="C32" i="16"/>
  <c r="B32" i="16"/>
  <c r="A32" i="16"/>
  <c r="R31" i="16"/>
  <c r="Q31" i="16"/>
  <c r="P31" i="16"/>
  <c r="M31" i="16"/>
  <c r="G31" i="16"/>
  <c r="F31" i="16"/>
  <c r="B31" i="16"/>
  <c r="C31" i="16" s="1"/>
  <c r="A31" i="16"/>
  <c r="R30" i="16"/>
  <c r="Q30" i="16"/>
  <c r="P30" i="16"/>
  <c r="M30" i="16"/>
  <c r="G30" i="16"/>
  <c r="F30" i="16"/>
  <c r="B30" i="16"/>
  <c r="C30" i="16" s="1"/>
  <c r="A30" i="16"/>
  <c r="R29" i="16"/>
  <c r="Q29" i="16"/>
  <c r="P29" i="16"/>
  <c r="M29" i="16"/>
  <c r="G29" i="16"/>
  <c r="F29" i="16"/>
  <c r="C29" i="16"/>
  <c r="B29" i="16"/>
  <c r="A29" i="16"/>
  <c r="R28" i="16"/>
  <c r="Q28" i="16"/>
  <c r="P28" i="16"/>
  <c r="M28" i="16"/>
  <c r="C28" i="16"/>
  <c r="B28" i="16"/>
  <c r="A28" i="16"/>
  <c r="R27" i="16"/>
  <c r="Q27" i="16"/>
  <c r="P27" i="16"/>
  <c r="M27" i="16"/>
  <c r="C27" i="16"/>
  <c r="B27" i="16"/>
  <c r="A27" i="16"/>
  <c r="R26" i="16"/>
  <c r="Q26" i="16"/>
  <c r="P26" i="16"/>
  <c r="M26" i="16"/>
  <c r="C26" i="16"/>
  <c r="B26" i="16"/>
  <c r="A26" i="16"/>
  <c r="R25" i="16"/>
  <c r="Q25" i="16"/>
  <c r="P25" i="16"/>
  <c r="M25" i="16"/>
  <c r="G25" i="16"/>
  <c r="F25" i="16"/>
  <c r="C25" i="16"/>
  <c r="B25" i="16"/>
  <c r="A25" i="16"/>
  <c r="R24" i="16"/>
  <c r="Q24" i="16"/>
  <c r="P24" i="16"/>
  <c r="M24" i="16"/>
  <c r="G24" i="16"/>
  <c r="F24" i="16"/>
  <c r="B24" i="16"/>
  <c r="A24" i="16"/>
  <c r="R23" i="16"/>
  <c r="Q23" i="16"/>
  <c r="P23" i="16"/>
  <c r="M23" i="16"/>
  <c r="G23" i="16"/>
  <c r="F23" i="16"/>
  <c r="B23" i="16"/>
  <c r="A23" i="16"/>
  <c r="R22" i="16"/>
  <c r="Q22" i="16"/>
  <c r="P22" i="16"/>
  <c r="M22" i="16"/>
  <c r="G22" i="16"/>
  <c r="F22" i="16"/>
  <c r="C22" i="16"/>
  <c r="B22" i="16"/>
  <c r="A22" i="16"/>
  <c r="R21" i="16"/>
  <c r="Q21" i="16"/>
  <c r="P21" i="16"/>
  <c r="M21" i="16"/>
  <c r="G21" i="16"/>
  <c r="F21" i="16"/>
  <c r="C21" i="16"/>
  <c r="B21" i="16"/>
  <c r="A21" i="16"/>
  <c r="R20" i="16"/>
  <c r="Q20" i="16"/>
  <c r="P20" i="16"/>
  <c r="M20" i="16"/>
  <c r="G20" i="16"/>
  <c r="F20" i="16"/>
  <c r="B20" i="16"/>
  <c r="A20" i="16"/>
  <c r="R19" i="16"/>
  <c r="Q19" i="16"/>
  <c r="P19" i="16"/>
  <c r="M19" i="16"/>
  <c r="G19" i="16"/>
  <c r="F19" i="16"/>
  <c r="B19" i="16"/>
  <c r="C19" i="16" s="1"/>
  <c r="A19" i="16"/>
  <c r="R18" i="16"/>
  <c r="Q18" i="16"/>
  <c r="P18" i="16"/>
  <c r="M18" i="16"/>
  <c r="G18" i="16"/>
  <c r="F18" i="16"/>
  <c r="C18" i="16"/>
  <c r="B18" i="16"/>
  <c r="A18" i="16"/>
  <c r="R17" i="16"/>
  <c r="Q17" i="16"/>
  <c r="P17" i="16"/>
  <c r="M17" i="16"/>
  <c r="G17" i="16"/>
  <c r="F17" i="16"/>
  <c r="C17" i="16"/>
  <c r="B17" i="16"/>
  <c r="A17" i="16"/>
  <c r="R16" i="16"/>
  <c r="Q16" i="16"/>
  <c r="P16" i="16"/>
  <c r="M16" i="16"/>
  <c r="G16" i="16"/>
  <c r="F16" i="16"/>
  <c r="B16" i="16"/>
  <c r="A16" i="16"/>
  <c r="R15" i="16"/>
  <c r="Q15" i="16"/>
  <c r="P15" i="16"/>
  <c r="M15" i="16"/>
  <c r="G15" i="16"/>
  <c r="F15" i="16"/>
  <c r="B15" i="16"/>
  <c r="A15" i="16"/>
  <c r="R14" i="16"/>
  <c r="Q14" i="16"/>
  <c r="P14" i="16"/>
  <c r="M14" i="16"/>
  <c r="G14" i="16"/>
  <c r="F14" i="16"/>
  <c r="C14" i="16"/>
  <c r="B14" i="16"/>
  <c r="A14" i="16"/>
  <c r="R13" i="16"/>
  <c r="Q13" i="16"/>
  <c r="P13" i="16"/>
  <c r="M13" i="16"/>
  <c r="G13" i="16"/>
  <c r="F13" i="16"/>
  <c r="C13" i="16"/>
  <c r="B13" i="16"/>
  <c r="A13" i="16"/>
  <c r="R12" i="16"/>
  <c r="Q12" i="16"/>
  <c r="P12" i="16"/>
  <c r="M12" i="16"/>
  <c r="G12" i="16"/>
  <c r="F12" i="16"/>
  <c r="B12" i="16"/>
  <c r="A12" i="16"/>
  <c r="R11" i="16"/>
  <c r="Q11" i="16"/>
  <c r="P11" i="16"/>
  <c r="M11" i="16"/>
  <c r="G11" i="16"/>
  <c r="F11" i="16"/>
  <c r="B11" i="16"/>
  <c r="C11" i="16" s="1"/>
  <c r="A11" i="16"/>
  <c r="R10" i="16"/>
  <c r="Q10" i="16"/>
  <c r="P10" i="16"/>
  <c r="M10" i="16"/>
  <c r="G10" i="16"/>
  <c r="F10" i="16"/>
  <c r="C10" i="16"/>
  <c r="B10" i="16"/>
  <c r="A10" i="16"/>
  <c r="R9" i="16"/>
  <c r="Q9" i="16"/>
  <c r="P9" i="16"/>
  <c r="M9" i="16"/>
  <c r="G9" i="16"/>
  <c r="F9" i="16"/>
  <c r="C9" i="16"/>
  <c r="B9" i="16"/>
  <c r="A9" i="16"/>
  <c r="R8" i="16"/>
  <c r="Q8" i="16"/>
  <c r="P8" i="16"/>
  <c r="M8" i="16"/>
  <c r="G8" i="16"/>
  <c r="F8" i="16"/>
  <c r="B8" i="16"/>
  <c r="A8" i="16"/>
  <c r="R7" i="16"/>
  <c r="Q7" i="16"/>
  <c r="P7" i="16"/>
  <c r="M7" i="16"/>
  <c r="G7" i="16"/>
  <c r="F7" i="16"/>
  <c r="B7" i="16"/>
  <c r="A7" i="16"/>
  <c r="R6" i="16"/>
  <c r="Q6" i="16"/>
  <c r="P6" i="16"/>
  <c r="M6" i="16"/>
  <c r="G6" i="16"/>
  <c r="F6" i="16"/>
  <c r="C6" i="16"/>
  <c r="B6" i="16"/>
  <c r="A6" i="16"/>
  <c r="R5" i="16"/>
  <c r="Q5" i="16"/>
  <c r="P5" i="16"/>
  <c r="M5" i="16"/>
  <c r="G5" i="16"/>
  <c r="F5" i="16"/>
  <c r="C5" i="16"/>
  <c r="B5" i="16"/>
  <c r="A5" i="16"/>
  <c r="R4" i="16"/>
  <c r="Q4" i="16"/>
  <c r="P4" i="16"/>
  <c r="M4" i="16"/>
  <c r="G4" i="16"/>
  <c r="F4" i="16"/>
  <c r="B4" i="16"/>
  <c r="C4" i="16" s="1"/>
  <c r="A4" i="16"/>
  <c r="R3" i="16"/>
  <c r="Q3" i="16"/>
  <c r="P3" i="16"/>
  <c r="N3" i="16"/>
  <c r="M3" i="16"/>
  <c r="G3" i="16"/>
  <c r="F3" i="16"/>
  <c r="B3" i="16"/>
  <c r="C3" i="16" s="1"/>
  <c r="A3" i="16"/>
  <c r="R2" i="16"/>
  <c r="Q2" i="16"/>
  <c r="P2" i="16"/>
  <c r="M2" i="16"/>
  <c r="G2" i="16"/>
  <c r="F2" i="16"/>
  <c r="C2" i="16"/>
  <c r="B2" i="16"/>
  <c r="N2" i="16" s="1"/>
  <c r="A2" i="16"/>
  <c r="R499" i="15"/>
  <c r="Q499" i="15"/>
  <c r="P499" i="15"/>
  <c r="M499" i="15"/>
  <c r="G499" i="15"/>
  <c r="F499" i="15"/>
  <c r="C499" i="15"/>
  <c r="B499" i="15"/>
  <c r="A499" i="15"/>
  <c r="R498" i="15"/>
  <c r="Q498" i="15"/>
  <c r="P498" i="15"/>
  <c r="M498" i="15"/>
  <c r="G498" i="15"/>
  <c r="F498" i="15"/>
  <c r="B498" i="15"/>
  <c r="A498" i="15"/>
  <c r="R497" i="15"/>
  <c r="Q497" i="15"/>
  <c r="P497" i="15"/>
  <c r="M497" i="15"/>
  <c r="G497" i="15"/>
  <c r="F497" i="15"/>
  <c r="B497" i="15"/>
  <c r="A497" i="15"/>
  <c r="R496" i="15"/>
  <c r="Q496" i="15"/>
  <c r="P496" i="15"/>
  <c r="M496" i="15"/>
  <c r="G496" i="15"/>
  <c r="F496" i="15"/>
  <c r="C496" i="15"/>
  <c r="B496" i="15"/>
  <c r="A496" i="15"/>
  <c r="R495" i="15"/>
  <c r="Q495" i="15"/>
  <c r="P495" i="15"/>
  <c r="M495" i="15"/>
  <c r="G495" i="15"/>
  <c r="F495" i="15"/>
  <c r="C495" i="15"/>
  <c r="B495" i="15"/>
  <c r="A495" i="15"/>
  <c r="R494" i="15"/>
  <c r="Q494" i="15"/>
  <c r="P494" i="15"/>
  <c r="M494" i="15"/>
  <c r="G494" i="15"/>
  <c r="F494" i="15"/>
  <c r="B494" i="15"/>
  <c r="A494" i="15"/>
  <c r="R493" i="15"/>
  <c r="Q493" i="15"/>
  <c r="P493" i="15"/>
  <c r="M493" i="15"/>
  <c r="G493" i="15"/>
  <c r="F493" i="15"/>
  <c r="B493" i="15"/>
  <c r="C493" i="15" s="1"/>
  <c r="A493" i="15"/>
  <c r="R492" i="15"/>
  <c r="Q492" i="15"/>
  <c r="P492" i="15"/>
  <c r="M492" i="15"/>
  <c r="G492" i="15"/>
  <c r="F492" i="15"/>
  <c r="C492" i="15"/>
  <c r="B492" i="15"/>
  <c r="A492" i="15"/>
  <c r="R491" i="15"/>
  <c r="Q491" i="15"/>
  <c r="P491" i="15"/>
  <c r="M491" i="15"/>
  <c r="G491" i="15"/>
  <c r="F491" i="15"/>
  <c r="C491" i="15"/>
  <c r="B491" i="15"/>
  <c r="A491" i="15"/>
  <c r="R490" i="15"/>
  <c r="Q490" i="15"/>
  <c r="P490" i="15"/>
  <c r="M490" i="15"/>
  <c r="G490" i="15"/>
  <c r="F490" i="15"/>
  <c r="B490" i="15"/>
  <c r="A490" i="15"/>
  <c r="R489" i="15"/>
  <c r="Q489" i="15"/>
  <c r="P489" i="15"/>
  <c r="M489" i="15"/>
  <c r="G489" i="15"/>
  <c r="F489" i="15"/>
  <c r="B489" i="15"/>
  <c r="A489" i="15"/>
  <c r="R488" i="15"/>
  <c r="Q488" i="15"/>
  <c r="P488" i="15"/>
  <c r="M488" i="15"/>
  <c r="G488" i="15"/>
  <c r="F488" i="15"/>
  <c r="C488" i="15"/>
  <c r="B488" i="15"/>
  <c r="A488" i="15"/>
  <c r="R487" i="15"/>
  <c r="Q487" i="15"/>
  <c r="P487" i="15"/>
  <c r="M487" i="15"/>
  <c r="G487" i="15"/>
  <c r="F487" i="15"/>
  <c r="C487" i="15"/>
  <c r="B487" i="15"/>
  <c r="A487" i="15"/>
  <c r="R486" i="15"/>
  <c r="Q486" i="15"/>
  <c r="P486" i="15"/>
  <c r="M486" i="15"/>
  <c r="G486" i="15"/>
  <c r="F486" i="15"/>
  <c r="B486" i="15"/>
  <c r="C486" i="15" s="1"/>
  <c r="A486" i="15"/>
  <c r="R485" i="15"/>
  <c r="Q485" i="15"/>
  <c r="P485" i="15"/>
  <c r="M485" i="15"/>
  <c r="G485" i="15"/>
  <c r="F485" i="15"/>
  <c r="B485" i="15"/>
  <c r="C485" i="15" s="1"/>
  <c r="A485" i="15"/>
  <c r="R484" i="15"/>
  <c r="Q484" i="15"/>
  <c r="P484" i="15"/>
  <c r="M484" i="15"/>
  <c r="G484" i="15"/>
  <c r="F484" i="15"/>
  <c r="C484" i="15"/>
  <c r="B484" i="15"/>
  <c r="A484" i="15"/>
  <c r="R483" i="15"/>
  <c r="Q483" i="15"/>
  <c r="P483" i="15"/>
  <c r="M483" i="15"/>
  <c r="G483" i="15"/>
  <c r="F483" i="15"/>
  <c r="C483" i="15"/>
  <c r="B483" i="15"/>
  <c r="A483" i="15"/>
  <c r="R482" i="15"/>
  <c r="Q482" i="15"/>
  <c r="P482" i="15"/>
  <c r="M482" i="15"/>
  <c r="G482" i="15"/>
  <c r="F482" i="15"/>
  <c r="B482" i="15"/>
  <c r="A482" i="15"/>
  <c r="R481" i="15"/>
  <c r="Q481" i="15"/>
  <c r="P481" i="15"/>
  <c r="M481" i="15"/>
  <c r="G481" i="15"/>
  <c r="F481" i="15"/>
  <c r="B481" i="15"/>
  <c r="A481" i="15"/>
  <c r="R480" i="15"/>
  <c r="Q480" i="15"/>
  <c r="P480" i="15"/>
  <c r="M480" i="15"/>
  <c r="G480" i="15"/>
  <c r="F480" i="15"/>
  <c r="C480" i="15"/>
  <c r="B480" i="15"/>
  <c r="A480" i="15"/>
  <c r="R479" i="15"/>
  <c r="Q479" i="15"/>
  <c r="P479" i="15"/>
  <c r="M479" i="15"/>
  <c r="G479" i="15"/>
  <c r="F479" i="15"/>
  <c r="C479" i="15"/>
  <c r="B479" i="15"/>
  <c r="A479" i="15"/>
  <c r="R478" i="15"/>
  <c r="Q478" i="15"/>
  <c r="P478" i="15"/>
  <c r="M478" i="15"/>
  <c r="G478" i="15"/>
  <c r="F478" i="15"/>
  <c r="B478" i="15"/>
  <c r="C478" i="15" s="1"/>
  <c r="A478" i="15"/>
  <c r="R477" i="15"/>
  <c r="Q477" i="15"/>
  <c r="P477" i="15"/>
  <c r="M477" i="15"/>
  <c r="G477" i="15"/>
  <c r="F477" i="15"/>
  <c r="B477" i="15"/>
  <c r="C477" i="15" s="1"/>
  <c r="A477" i="15"/>
  <c r="R476" i="15"/>
  <c r="Q476" i="15"/>
  <c r="P476" i="15"/>
  <c r="M476" i="15"/>
  <c r="G476" i="15"/>
  <c r="F476" i="15"/>
  <c r="C476" i="15"/>
  <c r="B476" i="15"/>
  <c r="A476" i="15"/>
  <c r="R475" i="15"/>
  <c r="Q475" i="15"/>
  <c r="P475" i="15"/>
  <c r="M475" i="15"/>
  <c r="G475" i="15"/>
  <c r="F475" i="15"/>
  <c r="C475" i="15"/>
  <c r="B475" i="15"/>
  <c r="A475" i="15"/>
  <c r="R474" i="15"/>
  <c r="Q474" i="15"/>
  <c r="P474" i="15"/>
  <c r="M474" i="15"/>
  <c r="G474" i="15"/>
  <c r="F474" i="15"/>
  <c r="B474" i="15"/>
  <c r="A474" i="15"/>
  <c r="R473" i="15"/>
  <c r="Q473" i="15"/>
  <c r="P473" i="15"/>
  <c r="M473" i="15"/>
  <c r="G473" i="15"/>
  <c r="F473" i="15"/>
  <c r="B473" i="15"/>
  <c r="A473" i="15"/>
  <c r="R472" i="15"/>
  <c r="Q472" i="15"/>
  <c r="P472" i="15"/>
  <c r="M472" i="15"/>
  <c r="G472" i="15"/>
  <c r="F472" i="15"/>
  <c r="C472" i="15"/>
  <c r="B472" i="15"/>
  <c r="A472" i="15"/>
  <c r="R471" i="15"/>
  <c r="Q471" i="15"/>
  <c r="P471" i="15"/>
  <c r="M471" i="15"/>
  <c r="G471" i="15"/>
  <c r="F471" i="15"/>
  <c r="C471" i="15"/>
  <c r="B471" i="15"/>
  <c r="A471" i="15"/>
  <c r="R470" i="15"/>
  <c r="Q470" i="15"/>
  <c r="P470" i="15"/>
  <c r="M470" i="15"/>
  <c r="G470" i="15"/>
  <c r="F470" i="15"/>
  <c r="B470" i="15"/>
  <c r="C470" i="15" s="1"/>
  <c r="A470" i="15"/>
  <c r="R469" i="15"/>
  <c r="Q469" i="15"/>
  <c r="P469" i="15"/>
  <c r="M469" i="15"/>
  <c r="G469" i="15"/>
  <c r="F469" i="15"/>
  <c r="B469" i="15"/>
  <c r="C469" i="15" s="1"/>
  <c r="A469" i="15"/>
  <c r="R468" i="15"/>
  <c r="Q468" i="15"/>
  <c r="P468" i="15"/>
  <c r="M468" i="15"/>
  <c r="G468" i="15"/>
  <c r="F468" i="15"/>
  <c r="C468" i="15"/>
  <c r="B468" i="15"/>
  <c r="A468" i="15"/>
  <c r="R467" i="15"/>
  <c r="Q467" i="15"/>
  <c r="P467" i="15"/>
  <c r="M467" i="15"/>
  <c r="G467" i="15"/>
  <c r="F467" i="15"/>
  <c r="C467" i="15"/>
  <c r="B467" i="15"/>
  <c r="A467" i="15"/>
  <c r="R466" i="15"/>
  <c r="Q466" i="15"/>
  <c r="P466" i="15"/>
  <c r="M466" i="15"/>
  <c r="G466" i="15"/>
  <c r="F466" i="15"/>
  <c r="B466" i="15"/>
  <c r="A466" i="15"/>
  <c r="R465" i="15"/>
  <c r="Q465" i="15"/>
  <c r="P465" i="15"/>
  <c r="M465" i="15"/>
  <c r="G465" i="15"/>
  <c r="F465" i="15"/>
  <c r="B465" i="15"/>
  <c r="A465" i="15"/>
  <c r="R464" i="15"/>
  <c r="Q464" i="15"/>
  <c r="P464" i="15"/>
  <c r="M464" i="15"/>
  <c r="G464" i="15"/>
  <c r="F464" i="15"/>
  <c r="C464" i="15"/>
  <c r="B464" i="15"/>
  <c r="A464" i="15"/>
  <c r="R463" i="15"/>
  <c r="Q463" i="15"/>
  <c r="P463" i="15"/>
  <c r="M463" i="15"/>
  <c r="G463" i="15"/>
  <c r="F463" i="15"/>
  <c r="C463" i="15"/>
  <c r="B463" i="15"/>
  <c r="A463" i="15"/>
  <c r="R462" i="15"/>
  <c r="Q462" i="15"/>
  <c r="P462" i="15"/>
  <c r="M462" i="15"/>
  <c r="G462" i="15"/>
  <c r="F462" i="15"/>
  <c r="B462" i="15"/>
  <c r="C462" i="15" s="1"/>
  <c r="A462" i="15"/>
  <c r="R461" i="15"/>
  <c r="Q461" i="15"/>
  <c r="P461" i="15"/>
  <c r="M461" i="15"/>
  <c r="G461" i="15"/>
  <c r="F461" i="15"/>
  <c r="B461" i="15"/>
  <c r="C461" i="15" s="1"/>
  <c r="A461" i="15"/>
  <c r="R460" i="15"/>
  <c r="Q460" i="15"/>
  <c r="P460" i="15"/>
  <c r="M460" i="15"/>
  <c r="G460" i="15"/>
  <c r="F460" i="15"/>
  <c r="C460" i="15"/>
  <c r="B460" i="15"/>
  <c r="A460" i="15"/>
  <c r="R459" i="15"/>
  <c r="Q459" i="15"/>
  <c r="P459" i="15"/>
  <c r="M459" i="15"/>
  <c r="G459" i="15"/>
  <c r="F459" i="15"/>
  <c r="C459" i="15"/>
  <c r="B459" i="15"/>
  <c r="A459" i="15"/>
  <c r="R458" i="15"/>
  <c r="Q458" i="15"/>
  <c r="P458" i="15"/>
  <c r="M458" i="15"/>
  <c r="G458" i="15"/>
  <c r="F458" i="15"/>
  <c r="B458" i="15"/>
  <c r="A458" i="15"/>
  <c r="R457" i="15"/>
  <c r="Q457" i="15"/>
  <c r="P457" i="15"/>
  <c r="M457" i="15"/>
  <c r="G457" i="15"/>
  <c r="F457" i="15"/>
  <c r="B457" i="15"/>
  <c r="A457" i="15"/>
  <c r="R456" i="15"/>
  <c r="Q456" i="15"/>
  <c r="P456" i="15"/>
  <c r="M456" i="15"/>
  <c r="G456" i="15"/>
  <c r="F456" i="15"/>
  <c r="C456" i="15"/>
  <c r="B456" i="15"/>
  <c r="A456" i="15"/>
  <c r="R455" i="15"/>
  <c r="Q455" i="15"/>
  <c r="P455" i="15"/>
  <c r="M455" i="15"/>
  <c r="G455" i="15"/>
  <c r="F455" i="15"/>
  <c r="C455" i="15"/>
  <c r="B455" i="15"/>
  <c r="A455" i="15"/>
  <c r="R454" i="15"/>
  <c r="Q454" i="15"/>
  <c r="P454" i="15"/>
  <c r="M454" i="15"/>
  <c r="G454" i="15"/>
  <c r="F454" i="15"/>
  <c r="B454" i="15"/>
  <c r="C454" i="15" s="1"/>
  <c r="A454" i="15"/>
  <c r="R453" i="15"/>
  <c r="Q453" i="15"/>
  <c r="P453" i="15"/>
  <c r="M453" i="15"/>
  <c r="G453" i="15"/>
  <c r="F453" i="15"/>
  <c r="B453" i="15"/>
  <c r="C453" i="15" s="1"/>
  <c r="A453" i="15"/>
  <c r="R452" i="15"/>
  <c r="Q452" i="15"/>
  <c r="P452" i="15"/>
  <c r="M452" i="15"/>
  <c r="G452" i="15"/>
  <c r="F452" i="15"/>
  <c r="C452" i="15"/>
  <c r="B452" i="15"/>
  <c r="A452" i="15"/>
  <c r="R451" i="15"/>
  <c r="Q451" i="15"/>
  <c r="P451" i="15"/>
  <c r="M451" i="15"/>
  <c r="G451" i="15"/>
  <c r="F451" i="15"/>
  <c r="C451" i="15"/>
  <c r="B451" i="15"/>
  <c r="A451" i="15"/>
  <c r="R450" i="15"/>
  <c r="Q450" i="15"/>
  <c r="P450" i="15"/>
  <c r="M450" i="15"/>
  <c r="G450" i="15"/>
  <c r="F450" i="15"/>
  <c r="B450" i="15"/>
  <c r="A450" i="15"/>
  <c r="R449" i="15"/>
  <c r="Q449" i="15"/>
  <c r="P449" i="15"/>
  <c r="M449" i="15"/>
  <c r="G449" i="15"/>
  <c r="F449" i="15"/>
  <c r="B449" i="15"/>
  <c r="A449" i="15"/>
  <c r="R448" i="15"/>
  <c r="Q448" i="15"/>
  <c r="P448" i="15"/>
  <c r="M448" i="15"/>
  <c r="G448" i="15"/>
  <c r="F448" i="15"/>
  <c r="C448" i="15"/>
  <c r="B448" i="15"/>
  <c r="A448" i="15"/>
  <c r="R447" i="15"/>
  <c r="Q447" i="15"/>
  <c r="P447" i="15"/>
  <c r="M447" i="15"/>
  <c r="G447" i="15"/>
  <c r="F447" i="15"/>
  <c r="C447" i="15"/>
  <c r="B447" i="15"/>
  <c r="A447" i="15"/>
  <c r="R446" i="15"/>
  <c r="Q446" i="15"/>
  <c r="P446" i="15"/>
  <c r="M446" i="15"/>
  <c r="G446" i="15"/>
  <c r="F446" i="15"/>
  <c r="B446" i="15"/>
  <c r="C446" i="15" s="1"/>
  <c r="A446" i="15"/>
  <c r="R445" i="15"/>
  <c r="Q445" i="15"/>
  <c r="P445" i="15"/>
  <c r="M445" i="15"/>
  <c r="G445" i="15"/>
  <c r="F445" i="15"/>
  <c r="B445" i="15"/>
  <c r="C445" i="15" s="1"/>
  <c r="A445" i="15"/>
  <c r="R444" i="15"/>
  <c r="Q444" i="15"/>
  <c r="P444" i="15"/>
  <c r="M444" i="15"/>
  <c r="G444" i="15"/>
  <c r="F444" i="15"/>
  <c r="C444" i="15"/>
  <c r="B444" i="15"/>
  <c r="A444" i="15"/>
  <c r="R443" i="15"/>
  <c r="Q443" i="15"/>
  <c r="P443" i="15"/>
  <c r="M443" i="15"/>
  <c r="G443" i="15"/>
  <c r="F443" i="15"/>
  <c r="C443" i="15"/>
  <c r="B443" i="15"/>
  <c r="A443" i="15"/>
  <c r="R442" i="15"/>
  <c r="Q442" i="15"/>
  <c r="P442" i="15"/>
  <c r="M442" i="15"/>
  <c r="G442" i="15"/>
  <c r="F442" i="15"/>
  <c r="B442" i="15"/>
  <c r="A442" i="15"/>
  <c r="R441" i="15"/>
  <c r="Q441" i="15"/>
  <c r="P441" i="15"/>
  <c r="M441" i="15"/>
  <c r="G441" i="15"/>
  <c r="F441" i="15"/>
  <c r="B441" i="15"/>
  <c r="A441" i="15"/>
  <c r="R440" i="15"/>
  <c r="Q440" i="15"/>
  <c r="P440" i="15"/>
  <c r="M440" i="15"/>
  <c r="G440" i="15"/>
  <c r="F440" i="15"/>
  <c r="C440" i="15"/>
  <c r="B440" i="15"/>
  <c r="A440" i="15"/>
  <c r="R439" i="15"/>
  <c r="Q439" i="15"/>
  <c r="P439" i="15"/>
  <c r="M439" i="15"/>
  <c r="G439" i="15"/>
  <c r="F439" i="15"/>
  <c r="C439" i="15"/>
  <c r="B439" i="15"/>
  <c r="A439" i="15"/>
  <c r="R438" i="15"/>
  <c r="Q438" i="15"/>
  <c r="P438" i="15"/>
  <c r="M438" i="15"/>
  <c r="G438" i="15"/>
  <c r="F438" i="15"/>
  <c r="B438" i="15"/>
  <c r="C438" i="15" s="1"/>
  <c r="A438" i="15"/>
  <c r="R437" i="15"/>
  <c r="Q437" i="15"/>
  <c r="P437" i="15"/>
  <c r="M437" i="15"/>
  <c r="G437" i="15"/>
  <c r="F437" i="15"/>
  <c r="B437" i="15"/>
  <c r="C437" i="15" s="1"/>
  <c r="A437" i="15"/>
  <c r="R436" i="15"/>
  <c r="Q436" i="15"/>
  <c r="P436" i="15"/>
  <c r="M436" i="15"/>
  <c r="G436" i="15"/>
  <c r="F436" i="15"/>
  <c r="C436" i="15"/>
  <c r="B436" i="15"/>
  <c r="A436" i="15"/>
  <c r="R435" i="15"/>
  <c r="Q435" i="15"/>
  <c r="P435" i="15"/>
  <c r="M435" i="15"/>
  <c r="G435" i="15"/>
  <c r="F435" i="15"/>
  <c r="C435" i="15"/>
  <c r="B435" i="15"/>
  <c r="A435" i="15"/>
  <c r="R434" i="15"/>
  <c r="Q434" i="15"/>
  <c r="P434" i="15"/>
  <c r="M434" i="15"/>
  <c r="G434" i="15"/>
  <c r="F434" i="15"/>
  <c r="B434" i="15"/>
  <c r="A434" i="15"/>
  <c r="R433" i="15"/>
  <c r="Q433" i="15"/>
  <c r="P433" i="15"/>
  <c r="M433" i="15"/>
  <c r="G433" i="15"/>
  <c r="F433" i="15"/>
  <c r="B433" i="15"/>
  <c r="A433" i="15"/>
  <c r="R432" i="15"/>
  <c r="Q432" i="15"/>
  <c r="P432" i="15"/>
  <c r="M432" i="15"/>
  <c r="G432" i="15"/>
  <c r="F432" i="15"/>
  <c r="C432" i="15"/>
  <c r="B432" i="15"/>
  <c r="A432" i="15"/>
  <c r="R431" i="15"/>
  <c r="Q431" i="15"/>
  <c r="P431" i="15"/>
  <c r="M431" i="15"/>
  <c r="G431" i="15"/>
  <c r="F431" i="15"/>
  <c r="C431" i="15"/>
  <c r="B431" i="15"/>
  <c r="A431" i="15"/>
  <c r="R430" i="15"/>
  <c r="Q430" i="15"/>
  <c r="P430" i="15"/>
  <c r="M430" i="15"/>
  <c r="G430" i="15"/>
  <c r="F430" i="15"/>
  <c r="B430" i="15"/>
  <c r="C430" i="15" s="1"/>
  <c r="A430" i="15"/>
  <c r="R429" i="15"/>
  <c r="Q429" i="15"/>
  <c r="P429" i="15"/>
  <c r="M429" i="15"/>
  <c r="G429" i="15"/>
  <c r="F429" i="15"/>
  <c r="B429" i="15"/>
  <c r="C429" i="15" s="1"/>
  <c r="A429" i="15"/>
  <c r="R428" i="15"/>
  <c r="Q428" i="15"/>
  <c r="P428" i="15"/>
  <c r="M428" i="15"/>
  <c r="G428" i="15"/>
  <c r="F428" i="15"/>
  <c r="C428" i="15"/>
  <c r="B428" i="15"/>
  <c r="A428" i="15"/>
  <c r="R427" i="15"/>
  <c r="Q427" i="15"/>
  <c r="P427" i="15"/>
  <c r="M427" i="15"/>
  <c r="G427" i="15"/>
  <c r="F427" i="15"/>
  <c r="C427" i="15"/>
  <c r="B427" i="15"/>
  <c r="A427" i="15"/>
  <c r="R426" i="15"/>
  <c r="Q426" i="15"/>
  <c r="P426" i="15"/>
  <c r="M426" i="15"/>
  <c r="G426" i="15"/>
  <c r="F426" i="15"/>
  <c r="B426" i="15"/>
  <c r="A426" i="15"/>
  <c r="R425" i="15"/>
  <c r="Q425" i="15"/>
  <c r="P425" i="15"/>
  <c r="M425" i="15"/>
  <c r="G425" i="15"/>
  <c r="F425" i="15"/>
  <c r="B425" i="15"/>
  <c r="A425" i="15"/>
  <c r="R424" i="15"/>
  <c r="Q424" i="15"/>
  <c r="P424" i="15"/>
  <c r="M424" i="15"/>
  <c r="G424" i="15"/>
  <c r="F424" i="15"/>
  <c r="C424" i="15"/>
  <c r="B424" i="15"/>
  <c r="A424" i="15"/>
  <c r="R423" i="15"/>
  <c r="Q423" i="15"/>
  <c r="P423" i="15"/>
  <c r="M423" i="15"/>
  <c r="G423" i="15"/>
  <c r="F423" i="15"/>
  <c r="C423" i="15"/>
  <c r="B423" i="15"/>
  <c r="A423" i="15"/>
  <c r="R422" i="15"/>
  <c r="Q422" i="15"/>
  <c r="P422" i="15"/>
  <c r="M422" i="15"/>
  <c r="G422" i="15"/>
  <c r="F422" i="15"/>
  <c r="B422" i="15"/>
  <c r="C422" i="15" s="1"/>
  <c r="A422" i="15"/>
  <c r="R421" i="15"/>
  <c r="Q421" i="15"/>
  <c r="P421" i="15"/>
  <c r="M421" i="15"/>
  <c r="G421" i="15"/>
  <c r="F421" i="15"/>
  <c r="B421" i="15"/>
  <c r="C421" i="15" s="1"/>
  <c r="A421" i="15"/>
  <c r="R420" i="15"/>
  <c r="Q420" i="15"/>
  <c r="P420" i="15"/>
  <c r="M420" i="15"/>
  <c r="G420" i="15"/>
  <c r="F420" i="15"/>
  <c r="C420" i="15"/>
  <c r="B420" i="15"/>
  <c r="A420" i="15"/>
  <c r="R419" i="15"/>
  <c r="Q419" i="15"/>
  <c r="P419" i="15"/>
  <c r="M419" i="15"/>
  <c r="G419" i="15"/>
  <c r="F419" i="15"/>
  <c r="C419" i="15"/>
  <c r="B419" i="15"/>
  <c r="A419" i="15"/>
  <c r="R418" i="15"/>
  <c r="Q418" i="15"/>
  <c r="P418" i="15"/>
  <c r="M418" i="15"/>
  <c r="G418" i="15"/>
  <c r="F418" i="15"/>
  <c r="B418" i="15"/>
  <c r="A418" i="15"/>
  <c r="R417" i="15"/>
  <c r="Q417" i="15"/>
  <c r="P417" i="15"/>
  <c r="M417" i="15"/>
  <c r="G417" i="15"/>
  <c r="F417" i="15"/>
  <c r="B417" i="15"/>
  <c r="A417" i="15"/>
  <c r="R416" i="15"/>
  <c r="Q416" i="15"/>
  <c r="P416" i="15"/>
  <c r="M416" i="15"/>
  <c r="G416" i="15"/>
  <c r="F416" i="15"/>
  <c r="C416" i="15"/>
  <c r="B416" i="15"/>
  <c r="A416" i="15"/>
  <c r="R415" i="15"/>
  <c r="Q415" i="15"/>
  <c r="P415" i="15"/>
  <c r="M415" i="15"/>
  <c r="G415" i="15"/>
  <c r="F415" i="15"/>
  <c r="C415" i="15"/>
  <c r="B415" i="15"/>
  <c r="A415" i="15"/>
  <c r="R414" i="15"/>
  <c r="Q414" i="15"/>
  <c r="P414" i="15"/>
  <c r="M414" i="15"/>
  <c r="G414" i="15"/>
  <c r="F414" i="15"/>
  <c r="B414" i="15"/>
  <c r="C414" i="15" s="1"/>
  <c r="A414" i="15"/>
  <c r="R413" i="15"/>
  <c r="Q413" i="15"/>
  <c r="P413" i="15"/>
  <c r="M413" i="15"/>
  <c r="G413" i="15"/>
  <c r="F413" i="15"/>
  <c r="B413" i="15"/>
  <c r="C413" i="15" s="1"/>
  <c r="A413" i="15"/>
  <c r="R412" i="15"/>
  <c r="Q412" i="15"/>
  <c r="P412" i="15"/>
  <c r="M412" i="15"/>
  <c r="G412" i="15"/>
  <c r="F412" i="15"/>
  <c r="C412" i="15"/>
  <c r="B412" i="15"/>
  <c r="A412" i="15"/>
  <c r="R411" i="15"/>
  <c r="Q411" i="15"/>
  <c r="P411" i="15"/>
  <c r="M411" i="15"/>
  <c r="G411" i="15"/>
  <c r="F411" i="15"/>
  <c r="C411" i="15"/>
  <c r="B411" i="15"/>
  <c r="A411" i="15"/>
  <c r="R410" i="15"/>
  <c r="Q410" i="15"/>
  <c r="P410" i="15"/>
  <c r="M410" i="15"/>
  <c r="G410" i="15"/>
  <c r="F410" i="15"/>
  <c r="B410" i="15"/>
  <c r="A410" i="15"/>
  <c r="R409" i="15"/>
  <c r="Q409" i="15"/>
  <c r="P409" i="15"/>
  <c r="M409" i="15"/>
  <c r="G409" i="15"/>
  <c r="F409" i="15"/>
  <c r="B409" i="15"/>
  <c r="A409" i="15"/>
  <c r="R408" i="15"/>
  <c r="Q408" i="15"/>
  <c r="P408" i="15"/>
  <c r="M408" i="15"/>
  <c r="G408" i="15"/>
  <c r="F408" i="15"/>
  <c r="C408" i="15"/>
  <c r="B408" i="15"/>
  <c r="A408" i="15"/>
  <c r="R407" i="15"/>
  <c r="Q407" i="15"/>
  <c r="P407" i="15"/>
  <c r="M407" i="15"/>
  <c r="G407" i="15"/>
  <c r="F407" i="15"/>
  <c r="C407" i="15"/>
  <c r="B407" i="15"/>
  <c r="A407" i="15"/>
  <c r="R406" i="15"/>
  <c r="Q406" i="15"/>
  <c r="P406" i="15"/>
  <c r="M406" i="15"/>
  <c r="G406" i="15"/>
  <c r="F406" i="15"/>
  <c r="B406" i="15"/>
  <c r="C406" i="15" s="1"/>
  <c r="A406" i="15"/>
  <c r="R405" i="15"/>
  <c r="Q405" i="15"/>
  <c r="P405" i="15"/>
  <c r="M405" i="15"/>
  <c r="G405" i="15"/>
  <c r="F405" i="15"/>
  <c r="B405" i="15"/>
  <c r="C405" i="15" s="1"/>
  <c r="A405" i="15"/>
  <c r="R404" i="15"/>
  <c r="Q404" i="15"/>
  <c r="P404" i="15"/>
  <c r="M404" i="15"/>
  <c r="G404" i="15"/>
  <c r="F404" i="15"/>
  <c r="C404" i="15"/>
  <c r="B404" i="15"/>
  <c r="A404" i="15"/>
  <c r="R403" i="15"/>
  <c r="Q403" i="15"/>
  <c r="P403" i="15"/>
  <c r="M403" i="15"/>
  <c r="G403" i="15"/>
  <c r="F403" i="15"/>
  <c r="C403" i="15"/>
  <c r="B403" i="15"/>
  <c r="A403" i="15"/>
  <c r="R402" i="15"/>
  <c r="Q402" i="15"/>
  <c r="P402" i="15"/>
  <c r="M402" i="15"/>
  <c r="G402" i="15"/>
  <c r="F402" i="15"/>
  <c r="B402" i="15"/>
  <c r="A402" i="15"/>
  <c r="R401" i="15"/>
  <c r="Q401" i="15"/>
  <c r="P401" i="15"/>
  <c r="M401" i="15"/>
  <c r="G401" i="15"/>
  <c r="F401" i="15"/>
  <c r="B401" i="15"/>
  <c r="A401" i="15"/>
  <c r="R400" i="15"/>
  <c r="Q400" i="15"/>
  <c r="P400" i="15"/>
  <c r="M400" i="15"/>
  <c r="G400" i="15"/>
  <c r="F400" i="15"/>
  <c r="C400" i="15"/>
  <c r="B400" i="15"/>
  <c r="A400" i="15"/>
  <c r="R399" i="15"/>
  <c r="Q399" i="15"/>
  <c r="P399" i="15"/>
  <c r="M399" i="15"/>
  <c r="G399" i="15"/>
  <c r="F399" i="15"/>
  <c r="C399" i="15"/>
  <c r="B399" i="15"/>
  <c r="A399" i="15"/>
  <c r="R398" i="15"/>
  <c r="Q398" i="15"/>
  <c r="P398" i="15"/>
  <c r="M398" i="15"/>
  <c r="G398" i="15"/>
  <c r="F398" i="15"/>
  <c r="B398" i="15"/>
  <c r="C398" i="15" s="1"/>
  <c r="A398" i="15"/>
  <c r="R397" i="15"/>
  <c r="Q397" i="15"/>
  <c r="P397" i="15"/>
  <c r="M397" i="15"/>
  <c r="G397" i="15"/>
  <c r="F397" i="15"/>
  <c r="B397" i="15"/>
  <c r="C397" i="15" s="1"/>
  <c r="A397" i="15"/>
  <c r="R396" i="15"/>
  <c r="Q396" i="15"/>
  <c r="P396" i="15"/>
  <c r="M396" i="15"/>
  <c r="G396" i="15"/>
  <c r="F396" i="15"/>
  <c r="C396" i="15"/>
  <c r="B396" i="15"/>
  <c r="A396" i="15"/>
  <c r="R395" i="15"/>
  <c r="Q395" i="15"/>
  <c r="P395" i="15"/>
  <c r="M395" i="15"/>
  <c r="G395" i="15"/>
  <c r="F395" i="15"/>
  <c r="C395" i="15"/>
  <c r="B395" i="15"/>
  <c r="A395" i="15"/>
  <c r="R394" i="15"/>
  <c r="Q394" i="15"/>
  <c r="P394" i="15"/>
  <c r="M394" i="15"/>
  <c r="G394" i="15"/>
  <c r="F394" i="15"/>
  <c r="B394" i="15"/>
  <c r="A394" i="15"/>
  <c r="R393" i="15"/>
  <c r="Q393" i="15"/>
  <c r="P393" i="15"/>
  <c r="M393" i="15"/>
  <c r="G393" i="15"/>
  <c r="F393" i="15"/>
  <c r="B393" i="15"/>
  <c r="A393" i="15"/>
  <c r="R392" i="15"/>
  <c r="Q392" i="15"/>
  <c r="P392" i="15"/>
  <c r="M392" i="15"/>
  <c r="G392" i="15"/>
  <c r="F392" i="15"/>
  <c r="B392" i="15"/>
  <c r="A392" i="15"/>
  <c r="R391" i="15"/>
  <c r="Q391" i="15"/>
  <c r="P391" i="15"/>
  <c r="M391" i="15"/>
  <c r="G391" i="15"/>
  <c r="F391" i="15"/>
  <c r="C391" i="15"/>
  <c r="B391" i="15"/>
  <c r="A391" i="15"/>
  <c r="R390" i="15"/>
  <c r="Q390" i="15"/>
  <c r="P390" i="15"/>
  <c r="M390" i="15"/>
  <c r="G390" i="15"/>
  <c r="F390" i="15"/>
  <c r="B390" i="15"/>
  <c r="C390" i="15" s="1"/>
  <c r="A390" i="15"/>
  <c r="R389" i="15"/>
  <c r="Q389" i="15"/>
  <c r="P389" i="15"/>
  <c r="M389" i="15"/>
  <c r="G389" i="15"/>
  <c r="F389" i="15"/>
  <c r="B389" i="15"/>
  <c r="A389" i="15"/>
  <c r="R388" i="15"/>
  <c r="Q388" i="15"/>
  <c r="P388" i="15"/>
  <c r="M388" i="15"/>
  <c r="G388" i="15"/>
  <c r="F388" i="15"/>
  <c r="B388" i="15"/>
  <c r="A388" i="15"/>
  <c r="R387" i="15"/>
  <c r="Q387" i="15"/>
  <c r="P387" i="15"/>
  <c r="M387" i="15"/>
  <c r="G387" i="15"/>
  <c r="F387" i="15"/>
  <c r="B387" i="15"/>
  <c r="A387" i="15"/>
  <c r="R386" i="15"/>
  <c r="Q386" i="15"/>
  <c r="P386" i="15"/>
  <c r="M386" i="15"/>
  <c r="G386" i="15"/>
  <c r="F386" i="15"/>
  <c r="C386" i="15"/>
  <c r="B386" i="15"/>
  <c r="A386" i="15"/>
  <c r="R385" i="15"/>
  <c r="Q385" i="15"/>
  <c r="P385" i="15"/>
  <c r="M385" i="15"/>
  <c r="G385" i="15"/>
  <c r="F385" i="15"/>
  <c r="C385" i="15"/>
  <c r="B385" i="15"/>
  <c r="A385" i="15"/>
  <c r="R384" i="15"/>
  <c r="Q384" i="15"/>
  <c r="P384" i="15"/>
  <c r="M384" i="15"/>
  <c r="G384" i="15"/>
  <c r="F384" i="15"/>
  <c r="C384" i="15"/>
  <c r="B384" i="15"/>
  <c r="A384" i="15"/>
  <c r="R383" i="15"/>
  <c r="Q383" i="15"/>
  <c r="P383" i="15"/>
  <c r="M383" i="15"/>
  <c r="G383" i="15"/>
  <c r="F383" i="15"/>
  <c r="B383" i="15"/>
  <c r="A383" i="15"/>
  <c r="R382" i="15"/>
  <c r="Q382" i="15"/>
  <c r="P382" i="15"/>
  <c r="M382" i="15"/>
  <c r="G382" i="15"/>
  <c r="F382" i="15"/>
  <c r="C382" i="15"/>
  <c r="B382" i="15"/>
  <c r="A382" i="15"/>
  <c r="R381" i="15"/>
  <c r="Q381" i="15"/>
  <c r="P381" i="15"/>
  <c r="M381" i="15"/>
  <c r="G381" i="15"/>
  <c r="F381" i="15"/>
  <c r="C381" i="15"/>
  <c r="B381" i="15"/>
  <c r="A381" i="15"/>
  <c r="R380" i="15"/>
  <c r="Q380" i="15"/>
  <c r="P380" i="15"/>
  <c r="M380" i="15"/>
  <c r="G380" i="15"/>
  <c r="F380" i="15"/>
  <c r="B380" i="15"/>
  <c r="A380" i="15"/>
  <c r="R379" i="15"/>
  <c r="Q379" i="15"/>
  <c r="P379" i="15"/>
  <c r="M379" i="15"/>
  <c r="G379" i="15"/>
  <c r="F379" i="15"/>
  <c r="B379" i="15"/>
  <c r="A379" i="15"/>
  <c r="R378" i="15"/>
  <c r="Q378" i="15"/>
  <c r="P378" i="15"/>
  <c r="M378" i="15"/>
  <c r="G378" i="15"/>
  <c r="F378" i="15"/>
  <c r="C378" i="15"/>
  <c r="B378" i="15"/>
  <c r="A378" i="15"/>
  <c r="R377" i="15"/>
  <c r="Q377" i="15"/>
  <c r="P377" i="15"/>
  <c r="M377" i="15"/>
  <c r="G377" i="15"/>
  <c r="F377" i="15"/>
  <c r="C377" i="15"/>
  <c r="B377" i="15"/>
  <c r="A377" i="15"/>
  <c r="R376" i="15"/>
  <c r="Q376" i="15"/>
  <c r="P376" i="15"/>
  <c r="M376" i="15"/>
  <c r="G376" i="15"/>
  <c r="F376" i="15"/>
  <c r="C376" i="15"/>
  <c r="B376" i="15"/>
  <c r="A376" i="15"/>
  <c r="R375" i="15"/>
  <c r="Q375" i="15"/>
  <c r="P375" i="15"/>
  <c r="M375" i="15"/>
  <c r="G375" i="15"/>
  <c r="F375" i="15"/>
  <c r="B375" i="15"/>
  <c r="A375" i="15"/>
  <c r="R374" i="15"/>
  <c r="Q374" i="15"/>
  <c r="P374" i="15"/>
  <c r="M374" i="15"/>
  <c r="G374" i="15"/>
  <c r="F374" i="15"/>
  <c r="C374" i="15"/>
  <c r="B374" i="15"/>
  <c r="A374" i="15"/>
  <c r="R373" i="15"/>
  <c r="Q373" i="15"/>
  <c r="P373" i="15"/>
  <c r="M373" i="15"/>
  <c r="G373" i="15"/>
  <c r="F373" i="15"/>
  <c r="C373" i="15"/>
  <c r="B373" i="15"/>
  <c r="A373" i="15"/>
  <c r="R372" i="15"/>
  <c r="Q372" i="15"/>
  <c r="P372" i="15"/>
  <c r="M372" i="15"/>
  <c r="G372" i="15"/>
  <c r="F372" i="15"/>
  <c r="B372" i="15"/>
  <c r="A372" i="15"/>
  <c r="R371" i="15"/>
  <c r="Q371" i="15"/>
  <c r="P371" i="15"/>
  <c r="M371" i="15"/>
  <c r="G371" i="15"/>
  <c r="F371" i="15"/>
  <c r="B371" i="15"/>
  <c r="A371" i="15"/>
  <c r="R370" i="15"/>
  <c r="Q370" i="15"/>
  <c r="P370" i="15"/>
  <c r="M370" i="15"/>
  <c r="G370" i="15"/>
  <c r="F370" i="15"/>
  <c r="C370" i="15"/>
  <c r="B370" i="15"/>
  <c r="A370" i="15"/>
  <c r="R369" i="15"/>
  <c r="Q369" i="15"/>
  <c r="P369" i="15"/>
  <c r="M369" i="15"/>
  <c r="G369" i="15"/>
  <c r="F369" i="15"/>
  <c r="C369" i="15"/>
  <c r="B369" i="15"/>
  <c r="A369" i="15"/>
  <c r="R368" i="15"/>
  <c r="Q368" i="15"/>
  <c r="P368" i="15"/>
  <c r="M368" i="15"/>
  <c r="G368" i="15"/>
  <c r="F368" i="15"/>
  <c r="C368" i="15"/>
  <c r="B368" i="15"/>
  <c r="A368" i="15"/>
  <c r="R367" i="15"/>
  <c r="Q367" i="15"/>
  <c r="P367" i="15"/>
  <c r="M367" i="15"/>
  <c r="G367" i="15"/>
  <c r="F367" i="15"/>
  <c r="B367" i="15"/>
  <c r="A367" i="15"/>
  <c r="R366" i="15"/>
  <c r="Q366" i="15"/>
  <c r="P366" i="15"/>
  <c r="M366" i="15"/>
  <c r="G366" i="15"/>
  <c r="F366" i="15"/>
  <c r="C366" i="15"/>
  <c r="B366" i="15"/>
  <c r="A366" i="15"/>
  <c r="R365" i="15"/>
  <c r="Q365" i="15"/>
  <c r="P365" i="15"/>
  <c r="M365" i="15"/>
  <c r="G365" i="15"/>
  <c r="F365" i="15"/>
  <c r="C365" i="15"/>
  <c r="B365" i="15"/>
  <c r="A365" i="15"/>
  <c r="R364" i="15"/>
  <c r="Q364" i="15"/>
  <c r="P364" i="15"/>
  <c r="M364" i="15"/>
  <c r="G364" i="15"/>
  <c r="F364" i="15"/>
  <c r="C364" i="15"/>
  <c r="B364" i="15"/>
  <c r="A364" i="15"/>
  <c r="R363" i="15"/>
  <c r="Q363" i="15"/>
  <c r="P363" i="15"/>
  <c r="M363" i="15"/>
  <c r="G363" i="15"/>
  <c r="F363" i="15"/>
  <c r="B363" i="15"/>
  <c r="A363" i="15"/>
  <c r="R362" i="15"/>
  <c r="Q362" i="15"/>
  <c r="P362" i="15"/>
  <c r="M362" i="15"/>
  <c r="G362" i="15"/>
  <c r="F362" i="15"/>
  <c r="C362" i="15"/>
  <c r="B362" i="15"/>
  <c r="A362" i="15"/>
  <c r="R361" i="15"/>
  <c r="Q361" i="15"/>
  <c r="P361" i="15"/>
  <c r="M361" i="15"/>
  <c r="G361" i="15"/>
  <c r="F361" i="15"/>
  <c r="C361" i="15"/>
  <c r="B361" i="15"/>
  <c r="A361" i="15"/>
  <c r="R360" i="15"/>
  <c r="Q360" i="15"/>
  <c r="P360" i="15"/>
  <c r="M360" i="15"/>
  <c r="G360" i="15"/>
  <c r="F360" i="15"/>
  <c r="C360" i="15"/>
  <c r="B360" i="15"/>
  <c r="A360" i="15"/>
  <c r="R359" i="15"/>
  <c r="Q359" i="15"/>
  <c r="P359" i="15"/>
  <c r="M359" i="15"/>
  <c r="G359" i="15"/>
  <c r="F359" i="15"/>
  <c r="B359" i="15"/>
  <c r="A359" i="15"/>
  <c r="R358" i="15"/>
  <c r="Q358" i="15"/>
  <c r="P358" i="15"/>
  <c r="M358" i="15"/>
  <c r="G358" i="15"/>
  <c r="F358" i="15"/>
  <c r="C358" i="15"/>
  <c r="B358" i="15"/>
  <c r="A358" i="15"/>
  <c r="R357" i="15"/>
  <c r="Q357" i="15"/>
  <c r="P357" i="15"/>
  <c r="M357" i="15"/>
  <c r="G357" i="15"/>
  <c r="F357" i="15"/>
  <c r="C357" i="15"/>
  <c r="B357" i="15"/>
  <c r="A357" i="15"/>
  <c r="R356" i="15"/>
  <c r="Q356" i="15"/>
  <c r="P356" i="15"/>
  <c r="M356" i="15"/>
  <c r="G356" i="15"/>
  <c r="F356" i="15"/>
  <c r="B356" i="15"/>
  <c r="A356" i="15"/>
  <c r="R355" i="15"/>
  <c r="Q355" i="15"/>
  <c r="P355" i="15"/>
  <c r="M355" i="15"/>
  <c r="G355" i="15"/>
  <c r="F355" i="15"/>
  <c r="B355" i="15"/>
  <c r="A355" i="15"/>
  <c r="R354" i="15"/>
  <c r="Q354" i="15"/>
  <c r="P354" i="15"/>
  <c r="M354" i="15"/>
  <c r="G354" i="15"/>
  <c r="F354" i="15"/>
  <c r="C354" i="15"/>
  <c r="B354" i="15"/>
  <c r="A354" i="15"/>
  <c r="R353" i="15"/>
  <c r="Q353" i="15"/>
  <c r="P353" i="15"/>
  <c r="M353" i="15"/>
  <c r="G353" i="15"/>
  <c r="F353" i="15"/>
  <c r="C353" i="15"/>
  <c r="B353" i="15"/>
  <c r="A353" i="15"/>
  <c r="R352" i="15"/>
  <c r="Q352" i="15"/>
  <c r="P352" i="15"/>
  <c r="M352" i="15"/>
  <c r="G352" i="15"/>
  <c r="F352" i="15"/>
  <c r="C352" i="15"/>
  <c r="B352" i="15"/>
  <c r="A352" i="15"/>
  <c r="R351" i="15"/>
  <c r="Q351" i="15"/>
  <c r="P351" i="15"/>
  <c r="M351" i="15"/>
  <c r="G351" i="15"/>
  <c r="F351" i="15"/>
  <c r="B351" i="15"/>
  <c r="A351" i="15"/>
  <c r="R350" i="15"/>
  <c r="Q350" i="15"/>
  <c r="P350" i="15"/>
  <c r="M350" i="15"/>
  <c r="G350" i="15"/>
  <c r="F350" i="15"/>
  <c r="C350" i="15"/>
  <c r="B350" i="15"/>
  <c r="A350" i="15"/>
  <c r="R349" i="15"/>
  <c r="Q349" i="15"/>
  <c r="P349" i="15"/>
  <c r="M349" i="15"/>
  <c r="G349" i="15"/>
  <c r="F349" i="15"/>
  <c r="C349" i="15"/>
  <c r="B349" i="15"/>
  <c r="A349" i="15"/>
  <c r="R348" i="15"/>
  <c r="Q348" i="15"/>
  <c r="P348" i="15"/>
  <c r="M348" i="15"/>
  <c r="G348" i="15"/>
  <c r="F348" i="15"/>
  <c r="B348" i="15"/>
  <c r="A348" i="15"/>
  <c r="R347" i="15"/>
  <c r="Q347" i="15"/>
  <c r="P347" i="15"/>
  <c r="M347" i="15"/>
  <c r="G347" i="15"/>
  <c r="F347" i="15"/>
  <c r="B347" i="15"/>
  <c r="A347" i="15"/>
  <c r="R346" i="15"/>
  <c r="Q346" i="15"/>
  <c r="P346" i="15"/>
  <c r="M346" i="15"/>
  <c r="G346" i="15"/>
  <c r="F346" i="15"/>
  <c r="C346" i="15"/>
  <c r="B346" i="15"/>
  <c r="A346" i="15"/>
  <c r="R345" i="15"/>
  <c r="Q345" i="15"/>
  <c r="P345" i="15"/>
  <c r="M345" i="15"/>
  <c r="G345" i="15"/>
  <c r="F345" i="15"/>
  <c r="C345" i="15"/>
  <c r="B345" i="15"/>
  <c r="A345" i="15"/>
  <c r="R344" i="15"/>
  <c r="Q344" i="15"/>
  <c r="P344" i="15"/>
  <c r="M344" i="15"/>
  <c r="G344" i="15"/>
  <c r="F344" i="15"/>
  <c r="C344" i="15"/>
  <c r="B344" i="15"/>
  <c r="A344" i="15"/>
  <c r="R343" i="15"/>
  <c r="Q343" i="15"/>
  <c r="P343" i="15"/>
  <c r="M343" i="15"/>
  <c r="G343" i="15"/>
  <c r="F343" i="15"/>
  <c r="B343" i="15"/>
  <c r="A343" i="15"/>
  <c r="R342" i="15"/>
  <c r="Q342" i="15"/>
  <c r="P342" i="15"/>
  <c r="M342" i="15"/>
  <c r="G342" i="15"/>
  <c r="F342" i="15"/>
  <c r="C342" i="15"/>
  <c r="B342" i="15"/>
  <c r="A342" i="15"/>
  <c r="R341" i="15"/>
  <c r="Q341" i="15"/>
  <c r="P341" i="15"/>
  <c r="M341" i="15"/>
  <c r="G341" i="15"/>
  <c r="F341" i="15"/>
  <c r="C341" i="15"/>
  <c r="B341" i="15"/>
  <c r="A341" i="15"/>
  <c r="R340" i="15"/>
  <c r="Q340" i="15"/>
  <c r="P340" i="15"/>
  <c r="M340" i="15"/>
  <c r="G340" i="15"/>
  <c r="F340" i="15"/>
  <c r="B340" i="15"/>
  <c r="A340" i="15"/>
  <c r="R339" i="15"/>
  <c r="Q339" i="15"/>
  <c r="P339" i="15"/>
  <c r="M339" i="15"/>
  <c r="G339" i="15"/>
  <c r="F339" i="15"/>
  <c r="B339" i="15"/>
  <c r="A339" i="15"/>
  <c r="R338" i="15"/>
  <c r="Q338" i="15"/>
  <c r="P338" i="15"/>
  <c r="M338" i="15"/>
  <c r="G338" i="15"/>
  <c r="F338" i="15"/>
  <c r="C338" i="15"/>
  <c r="B338" i="15"/>
  <c r="A338" i="15"/>
  <c r="R337" i="15"/>
  <c r="Q337" i="15"/>
  <c r="P337" i="15"/>
  <c r="M337" i="15"/>
  <c r="G337" i="15"/>
  <c r="F337" i="15"/>
  <c r="C337" i="15"/>
  <c r="B337" i="15"/>
  <c r="A337" i="15"/>
  <c r="R336" i="15"/>
  <c r="Q336" i="15"/>
  <c r="P336" i="15"/>
  <c r="M336" i="15"/>
  <c r="G336" i="15"/>
  <c r="F336" i="15"/>
  <c r="C336" i="15"/>
  <c r="B336" i="15"/>
  <c r="A336" i="15"/>
  <c r="R335" i="15"/>
  <c r="Q335" i="15"/>
  <c r="P335" i="15"/>
  <c r="M335" i="15"/>
  <c r="G335" i="15"/>
  <c r="F335" i="15"/>
  <c r="B335" i="15"/>
  <c r="A335" i="15"/>
  <c r="R334" i="15"/>
  <c r="Q334" i="15"/>
  <c r="P334" i="15"/>
  <c r="M334" i="15"/>
  <c r="G334" i="15"/>
  <c r="F334" i="15"/>
  <c r="C334" i="15"/>
  <c r="B334" i="15"/>
  <c r="A334" i="15"/>
  <c r="R333" i="15"/>
  <c r="Q333" i="15"/>
  <c r="P333" i="15"/>
  <c r="M333" i="15"/>
  <c r="G333" i="15"/>
  <c r="F333" i="15"/>
  <c r="C333" i="15"/>
  <c r="B333" i="15"/>
  <c r="A333" i="15"/>
  <c r="R332" i="15"/>
  <c r="Q332" i="15"/>
  <c r="P332" i="15"/>
  <c r="M332" i="15"/>
  <c r="G332" i="15"/>
  <c r="F332" i="15"/>
  <c r="C332" i="15"/>
  <c r="B332" i="15"/>
  <c r="A332" i="15"/>
  <c r="R331" i="15"/>
  <c r="Q331" i="15"/>
  <c r="P331" i="15"/>
  <c r="M331" i="15"/>
  <c r="G331" i="15"/>
  <c r="F331" i="15"/>
  <c r="B331" i="15"/>
  <c r="A331" i="15"/>
  <c r="R330" i="15"/>
  <c r="Q330" i="15"/>
  <c r="P330" i="15"/>
  <c r="M330" i="15"/>
  <c r="G330" i="15"/>
  <c r="F330" i="15"/>
  <c r="C330" i="15"/>
  <c r="B330" i="15"/>
  <c r="A330" i="15"/>
  <c r="R329" i="15"/>
  <c r="Q329" i="15"/>
  <c r="P329" i="15"/>
  <c r="M329" i="15"/>
  <c r="G329" i="15"/>
  <c r="F329" i="15"/>
  <c r="C329" i="15"/>
  <c r="B329" i="15"/>
  <c r="A329" i="15"/>
  <c r="R328" i="15"/>
  <c r="Q328" i="15"/>
  <c r="P328" i="15"/>
  <c r="M328" i="15"/>
  <c r="G328" i="15"/>
  <c r="F328" i="15"/>
  <c r="C328" i="15"/>
  <c r="B328" i="15"/>
  <c r="A328" i="15"/>
  <c r="R327" i="15"/>
  <c r="Q327" i="15"/>
  <c r="P327" i="15"/>
  <c r="M327" i="15"/>
  <c r="G327" i="15"/>
  <c r="F327" i="15"/>
  <c r="B327" i="15"/>
  <c r="A327" i="15"/>
  <c r="R326" i="15"/>
  <c r="Q326" i="15"/>
  <c r="P326" i="15"/>
  <c r="M326" i="15"/>
  <c r="G326" i="15"/>
  <c r="F326" i="15"/>
  <c r="C326" i="15"/>
  <c r="B326" i="15"/>
  <c r="A326" i="15"/>
  <c r="R325" i="15"/>
  <c r="Q325" i="15"/>
  <c r="P325" i="15"/>
  <c r="M325" i="15"/>
  <c r="G325" i="15"/>
  <c r="F325" i="15"/>
  <c r="C325" i="15"/>
  <c r="B325" i="15"/>
  <c r="A325" i="15"/>
  <c r="R324" i="15"/>
  <c r="Q324" i="15"/>
  <c r="P324" i="15"/>
  <c r="M324" i="15"/>
  <c r="G324" i="15"/>
  <c r="F324" i="15"/>
  <c r="B324" i="15"/>
  <c r="A324" i="15"/>
  <c r="R323" i="15"/>
  <c r="Q323" i="15"/>
  <c r="P323" i="15"/>
  <c r="M323" i="15"/>
  <c r="G323" i="15"/>
  <c r="F323" i="15"/>
  <c r="B323" i="15"/>
  <c r="A323" i="15"/>
  <c r="R322" i="15"/>
  <c r="Q322" i="15"/>
  <c r="P322" i="15"/>
  <c r="M322" i="15"/>
  <c r="G322" i="15"/>
  <c r="F322" i="15"/>
  <c r="C322" i="15"/>
  <c r="B322" i="15"/>
  <c r="A322" i="15"/>
  <c r="R321" i="15"/>
  <c r="Q321" i="15"/>
  <c r="P321" i="15"/>
  <c r="M321" i="15"/>
  <c r="G321" i="15"/>
  <c r="F321" i="15"/>
  <c r="B321" i="15"/>
  <c r="C321" i="15" s="1"/>
  <c r="A321" i="15"/>
  <c r="R320" i="15"/>
  <c r="Q320" i="15"/>
  <c r="P320" i="15"/>
  <c r="M320" i="15"/>
  <c r="G320" i="15"/>
  <c r="F320" i="15"/>
  <c r="B320" i="15"/>
  <c r="A320" i="15"/>
  <c r="R319" i="15"/>
  <c r="Q319" i="15"/>
  <c r="P319" i="15"/>
  <c r="M319" i="15"/>
  <c r="G319" i="15"/>
  <c r="F319" i="15"/>
  <c r="B319" i="15"/>
  <c r="A319" i="15"/>
  <c r="R318" i="15"/>
  <c r="Q318" i="15"/>
  <c r="P318" i="15"/>
  <c r="M318" i="15"/>
  <c r="G318" i="15"/>
  <c r="F318" i="15"/>
  <c r="C318" i="15"/>
  <c r="B318" i="15"/>
  <c r="A318" i="15"/>
  <c r="R317" i="15"/>
  <c r="Q317" i="15"/>
  <c r="P317" i="15"/>
  <c r="M317" i="15"/>
  <c r="G317" i="15"/>
  <c r="F317" i="15"/>
  <c r="B317" i="15"/>
  <c r="C317" i="15" s="1"/>
  <c r="A317" i="15"/>
  <c r="R316" i="15"/>
  <c r="Q316" i="15"/>
  <c r="P316" i="15"/>
  <c r="M316" i="15"/>
  <c r="G316" i="15"/>
  <c r="F316" i="15"/>
  <c r="B316" i="15"/>
  <c r="A316" i="15"/>
  <c r="R315" i="15"/>
  <c r="Q315" i="15"/>
  <c r="P315" i="15"/>
  <c r="M315" i="15"/>
  <c r="G315" i="15"/>
  <c r="F315" i="15"/>
  <c r="B315" i="15"/>
  <c r="A315" i="15"/>
  <c r="R314" i="15"/>
  <c r="Q314" i="15"/>
  <c r="P314" i="15"/>
  <c r="M314" i="15"/>
  <c r="G314" i="15"/>
  <c r="F314" i="15"/>
  <c r="C314" i="15"/>
  <c r="B314" i="15"/>
  <c r="A314" i="15"/>
  <c r="R313" i="15"/>
  <c r="Q313" i="15"/>
  <c r="P313" i="15"/>
  <c r="M313" i="15"/>
  <c r="G313" i="15"/>
  <c r="F313" i="15"/>
  <c r="B313" i="15"/>
  <c r="A313" i="15"/>
  <c r="R312" i="15"/>
  <c r="Q312" i="15"/>
  <c r="P312" i="15"/>
  <c r="M312" i="15"/>
  <c r="G312" i="15"/>
  <c r="F312" i="15"/>
  <c r="B312" i="15"/>
  <c r="C313" i="15" s="1"/>
  <c r="A312" i="15"/>
  <c r="R311" i="15"/>
  <c r="Q311" i="15"/>
  <c r="P311" i="15"/>
  <c r="M311" i="15"/>
  <c r="G311" i="15"/>
  <c r="F311" i="15"/>
  <c r="B311" i="15"/>
  <c r="A311" i="15"/>
  <c r="R310" i="15"/>
  <c r="Q310" i="15"/>
  <c r="P310" i="15"/>
  <c r="M310" i="15"/>
  <c r="G310" i="15"/>
  <c r="F310" i="15"/>
  <c r="C310" i="15"/>
  <c r="B310" i="15"/>
  <c r="A310" i="15"/>
  <c r="R309" i="15"/>
  <c r="Q309" i="15"/>
  <c r="P309" i="15"/>
  <c r="M309" i="15"/>
  <c r="G309" i="15"/>
  <c r="F309" i="15"/>
  <c r="B309" i="15"/>
  <c r="C309" i="15" s="1"/>
  <c r="A309" i="15"/>
  <c r="R308" i="15"/>
  <c r="Q308" i="15"/>
  <c r="P308" i="15"/>
  <c r="M308" i="15"/>
  <c r="G308" i="15"/>
  <c r="F308" i="15"/>
  <c r="B308" i="15"/>
  <c r="A308" i="15"/>
  <c r="R307" i="15"/>
  <c r="Q307" i="15"/>
  <c r="P307" i="15"/>
  <c r="M307" i="15"/>
  <c r="G307" i="15"/>
  <c r="F307" i="15"/>
  <c r="B307" i="15"/>
  <c r="A307" i="15"/>
  <c r="R306" i="15"/>
  <c r="Q306" i="15"/>
  <c r="P306" i="15"/>
  <c r="M306" i="15"/>
  <c r="G306" i="15"/>
  <c r="F306" i="15"/>
  <c r="C306" i="15"/>
  <c r="B306" i="15"/>
  <c r="A306" i="15"/>
  <c r="R305" i="15"/>
  <c r="Q305" i="15"/>
  <c r="P305" i="15"/>
  <c r="M305" i="15"/>
  <c r="G305" i="15"/>
  <c r="F305" i="15"/>
  <c r="B305" i="15"/>
  <c r="C305" i="15" s="1"/>
  <c r="A305" i="15"/>
  <c r="R304" i="15"/>
  <c r="Q304" i="15"/>
  <c r="P304" i="15"/>
  <c r="M304" i="15"/>
  <c r="G304" i="15"/>
  <c r="F304" i="15"/>
  <c r="B304" i="15"/>
  <c r="A304" i="15"/>
  <c r="R303" i="15"/>
  <c r="Q303" i="15"/>
  <c r="P303" i="15"/>
  <c r="M303" i="15"/>
  <c r="G303" i="15"/>
  <c r="F303" i="15"/>
  <c r="B303" i="15"/>
  <c r="A303" i="15"/>
  <c r="R302" i="15"/>
  <c r="Q302" i="15"/>
  <c r="P302" i="15"/>
  <c r="M302" i="15"/>
  <c r="G302" i="15"/>
  <c r="F302" i="15"/>
  <c r="C302" i="15"/>
  <c r="B302" i="15"/>
  <c r="A302" i="15"/>
  <c r="R301" i="15"/>
  <c r="Q301" i="15"/>
  <c r="P301" i="15"/>
  <c r="M301" i="15"/>
  <c r="G301" i="15"/>
  <c r="F301" i="15"/>
  <c r="B301" i="15"/>
  <c r="C301" i="15" s="1"/>
  <c r="A301" i="15"/>
  <c r="R300" i="15"/>
  <c r="Q300" i="15"/>
  <c r="P300" i="15"/>
  <c r="M300" i="15"/>
  <c r="G300" i="15"/>
  <c r="F300" i="15"/>
  <c r="B300" i="15"/>
  <c r="A300" i="15"/>
  <c r="R299" i="15"/>
  <c r="Q299" i="15"/>
  <c r="P299" i="15"/>
  <c r="M299" i="15"/>
  <c r="G299" i="15"/>
  <c r="F299" i="15"/>
  <c r="B299" i="15"/>
  <c r="A299" i="15"/>
  <c r="R298" i="15"/>
  <c r="Q298" i="15"/>
  <c r="P298" i="15"/>
  <c r="M298" i="15"/>
  <c r="G298" i="15"/>
  <c r="F298" i="15"/>
  <c r="C298" i="15"/>
  <c r="B298" i="15"/>
  <c r="A298" i="15"/>
  <c r="R297" i="15"/>
  <c r="Q297" i="15"/>
  <c r="P297" i="15"/>
  <c r="M297" i="15"/>
  <c r="G297" i="15"/>
  <c r="F297" i="15"/>
  <c r="B297" i="15"/>
  <c r="C297" i="15" s="1"/>
  <c r="A297" i="15"/>
  <c r="R296" i="15"/>
  <c r="Q296" i="15"/>
  <c r="P296" i="15"/>
  <c r="M296" i="15"/>
  <c r="G296" i="15"/>
  <c r="F296" i="15"/>
  <c r="B296" i="15"/>
  <c r="A296" i="15"/>
  <c r="R295" i="15"/>
  <c r="Q295" i="15"/>
  <c r="P295" i="15"/>
  <c r="M295" i="15"/>
  <c r="G295" i="15"/>
  <c r="F295" i="15"/>
  <c r="B295" i="15"/>
  <c r="A295" i="15"/>
  <c r="R294" i="15"/>
  <c r="Q294" i="15"/>
  <c r="P294" i="15"/>
  <c r="M294" i="15"/>
  <c r="G294" i="15"/>
  <c r="F294" i="15"/>
  <c r="C294" i="15"/>
  <c r="B294" i="15"/>
  <c r="A294" i="15"/>
  <c r="R293" i="15"/>
  <c r="Q293" i="15"/>
  <c r="P293" i="15"/>
  <c r="M293" i="15"/>
  <c r="G293" i="15"/>
  <c r="F293" i="15"/>
  <c r="B293" i="15"/>
  <c r="C293" i="15" s="1"/>
  <c r="A293" i="15"/>
  <c r="R292" i="15"/>
  <c r="Q292" i="15"/>
  <c r="P292" i="15"/>
  <c r="M292" i="15"/>
  <c r="G292" i="15"/>
  <c r="F292" i="15"/>
  <c r="B292" i="15"/>
  <c r="A292" i="15"/>
  <c r="R291" i="15"/>
  <c r="Q291" i="15"/>
  <c r="P291" i="15"/>
  <c r="M291" i="15"/>
  <c r="G291" i="15"/>
  <c r="F291" i="15"/>
  <c r="B291" i="15"/>
  <c r="A291" i="15"/>
  <c r="R290" i="15"/>
  <c r="Q290" i="15"/>
  <c r="P290" i="15"/>
  <c r="M290" i="15"/>
  <c r="G290" i="15"/>
  <c r="F290" i="15"/>
  <c r="C290" i="15"/>
  <c r="B290" i="15"/>
  <c r="A290" i="15"/>
  <c r="R289" i="15"/>
  <c r="Q289" i="15"/>
  <c r="P289" i="15"/>
  <c r="M289" i="15"/>
  <c r="G289" i="15"/>
  <c r="F289" i="15"/>
  <c r="B289" i="15"/>
  <c r="C289" i="15" s="1"/>
  <c r="A289" i="15"/>
  <c r="R288" i="15"/>
  <c r="Q288" i="15"/>
  <c r="P288" i="15"/>
  <c r="M288" i="15"/>
  <c r="G288" i="15"/>
  <c r="F288" i="15"/>
  <c r="B288" i="15"/>
  <c r="A288" i="15"/>
  <c r="R287" i="15"/>
  <c r="Q287" i="15"/>
  <c r="P287" i="15"/>
  <c r="M287" i="15"/>
  <c r="G287" i="15"/>
  <c r="F287" i="15"/>
  <c r="B287" i="15"/>
  <c r="A287" i="15"/>
  <c r="R286" i="15"/>
  <c r="Q286" i="15"/>
  <c r="P286" i="15"/>
  <c r="M286" i="15"/>
  <c r="G286" i="15"/>
  <c r="F286" i="15"/>
  <c r="C286" i="15"/>
  <c r="B286" i="15"/>
  <c r="A286" i="15"/>
  <c r="R285" i="15"/>
  <c r="Q285" i="15"/>
  <c r="P285" i="15"/>
  <c r="M285" i="15"/>
  <c r="G285" i="15"/>
  <c r="F285" i="15"/>
  <c r="B285" i="15"/>
  <c r="C285" i="15" s="1"/>
  <c r="A285" i="15"/>
  <c r="R284" i="15"/>
  <c r="Q284" i="15"/>
  <c r="P284" i="15"/>
  <c r="M284" i="15"/>
  <c r="G284" i="15"/>
  <c r="F284" i="15"/>
  <c r="B284" i="15"/>
  <c r="A284" i="15"/>
  <c r="R283" i="15"/>
  <c r="Q283" i="15"/>
  <c r="P283" i="15"/>
  <c r="M283" i="15"/>
  <c r="G283" i="15"/>
  <c r="F283" i="15"/>
  <c r="B283" i="15"/>
  <c r="A283" i="15"/>
  <c r="R282" i="15"/>
  <c r="Q282" i="15"/>
  <c r="P282" i="15"/>
  <c r="M282" i="15"/>
  <c r="G282" i="15"/>
  <c r="F282" i="15"/>
  <c r="C282" i="15"/>
  <c r="B282" i="15"/>
  <c r="A282" i="15"/>
  <c r="R281" i="15"/>
  <c r="Q281" i="15"/>
  <c r="P281" i="15"/>
  <c r="M281" i="15"/>
  <c r="G281" i="15"/>
  <c r="F281" i="15"/>
  <c r="B281" i="15"/>
  <c r="C281" i="15" s="1"/>
  <c r="A281" i="15"/>
  <c r="R280" i="15"/>
  <c r="Q280" i="15"/>
  <c r="P280" i="15"/>
  <c r="M280" i="15"/>
  <c r="G280" i="15"/>
  <c r="F280" i="15"/>
  <c r="B280" i="15"/>
  <c r="A280" i="15"/>
  <c r="R279" i="15"/>
  <c r="Q279" i="15"/>
  <c r="P279" i="15"/>
  <c r="M279" i="15"/>
  <c r="G279" i="15"/>
  <c r="F279" i="15"/>
  <c r="B279" i="15"/>
  <c r="A279" i="15"/>
  <c r="R278" i="15"/>
  <c r="Q278" i="15"/>
  <c r="P278" i="15"/>
  <c r="M278" i="15"/>
  <c r="G278" i="15"/>
  <c r="F278" i="15"/>
  <c r="C278" i="15"/>
  <c r="B278" i="15"/>
  <c r="A278" i="15"/>
  <c r="R277" i="15"/>
  <c r="Q277" i="15"/>
  <c r="P277" i="15"/>
  <c r="M277" i="15"/>
  <c r="G277" i="15"/>
  <c r="F277" i="15"/>
  <c r="B277" i="15"/>
  <c r="C277" i="15" s="1"/>
  <c r="A277" i="15"/>
  <c r="R276" i="15"/>
  <c r="Q276" i="15"/>
  <c r="P276" i="15"/>
  <c r="M276" i="15"/>
  <c r="G276" i="15"/>
  <c r="F276" i="15"/>
  <c r="B276" i="15"/>
  <c r="A276" i="15"/>
  <c r="R275" i="15"/>
  <c r="Q275" i="15"/>
  <c r="P275" i="15"/>
  <c r="M275" i="15"/>
  <c r="G275" i="15"/>
  <c r="F275" i="15"/>
  <c r="B275" i="15"/>
  <c r="A275" i="15"/>
  <c r="R274" i="15"/>
  <c r="Q274" i="15"/>
  <c r="P274" i="15"/>
  <c r="M274" i="15"/>
  <c r="G274" i="15"/>
  <c r="F274" i="15"/>
  <c r="C274" i="15"/>
  <c r="B274" i="15"/>
  <c r="A274" i="15"/>
  <c r="R273" i="15"/>
  <c r="Q273" i="15"/>
  <c r="P273" i="15"/>
  <c r="M273" i="15"/>
  <c r="G273" i="15"/>
  <c r="F273" i="15"/>
  <c r="B273" i="15"/>
  <c r="C273" i="15" s="1"/>
  <c r="A273" i="15"/>
  <c r="R272" i="15"/>
  <c r="Q272" i="15"/>
  <c r="P272" i="15"/>
  <c r="M272" i="15"/>
  <c r="G272" i="15"/>
  <c r="F272" i="15"/>
  <c r="B272" i="15"/>
  <c r="A272" i="15"/>
  <c r="R271" i="15"/>
  <c r="Q271" i="15"/>
  <c r="P271" i="15"/>
  <c r="M271" i="15"/>
  <c r="G271" i="15"/>
  <c r="F271" i="15"/>
  <c r="B271" i="15"/>
  <c r="A271" i="15"/>
  <c r="R270" i="15"/>
  <c r="Q270" i="15"/>
  <c r="P270" i="15"/>
  <c r="M270" i="15"/>
  <c r="G270" i="15"/>
  <c r="F270" i="15"/>
  <c r="C270" i="15"/>
  <c r="B270" i="15"/>
  <c r="A270" i="15"/>
  <c r="R269" i="15"/>
  <c r="Q269" i="15"/>
  <c r="P269" i="15"/>
  <c r="M269" i="15"/>
  <c r="G269" i="15"/>
  <c r="F269" i="15"/>
  <c r="B269" i="15"/>
  <c r="C269" i="15" s="1"/>
  <c r="A269" i="15"/>
  <c r="R268" i="15"/>
  <c r="Q268" i="15"/>
  <c r="P268" i="15"/>
  <c r="M268" i="15"/>
  <c r="G268" i="15"/>
  <c r="F268" i="15"/>
  <c r="B268" i="15"/>
  <c r="A268" i="15"/>
  <c r="R267" i="15"/>
  <c r="Q267" i="15"/>
  <c r="P267" i="15"/>
  <c r="M267" i="15"/>
  <c r="G267" i="15"/>
  <c r="F267" i="15"/>
  <c r="B267" i="15"/>
  <c r="A267" i="15"/>
  <c r="R266" i="15"/>
  <c r="Q266" i="15"/>
  <c r="P266" i="15"/>
  <c r="M266" i="15"/>
  <c r="G266" i="15"/>
  <c r="F266" i="15"/>
  <c r="C266" i="15"/>
  <c r="B266" i="15"/>
  <c r="A266" i="15"/>
  <c r="R265" i="15"/>
  <c r="Q265" i="15"/>
  <c r="P265" i="15"/>
  <c r="M265" i="15"/>
  <c r="G265" i="15"/>
  <c r="F265" i="15"/>
  <c r="B265" i="15"/>
  <c r="C265" i="15" s="1"/>
  <c r="A265" i="15"/>
  <c r="R264" i="15"/>
  <c r="Q264" i="15"/>
  <c r="P264" i="15"/>
  <c r="M264" i="15"/>
  <c r="G264" i="15"/>
  <c r="F264" i="15"/>
  <c r="B264" i="15"/>
  <c r="A264" i="15"/>
  <c r="R263" i="15"/>
  <c r="Q263" i="15"/>
  <c r="P263" i="15"/>
  <c r="M263" i="15"/>
  <c r="G263" i="15"/>
  <c r="F263" i="15"/>
  <c r="B263" i="15"/>
  <c r="A263" i="15"/>
  <c r="R262" i="15"/>
  <c r="Q262" i="15"/>
  <c r="P262" i="15"/>
  <c r="M262" i="15"/>
  <c r="G262" i="15"/>
  <c r="F262" i="15"/>
  <c r="C262" i="15"/>
  <c r="B262" i="15"/>
  <c r="A262" i="15"/>
  <c r="R261" i="15"/>
  <c r="Q261" i="15"/>
  <c r="P261" i="15"/>
  <c r="M261" i="15"/>
  <c r="G261" i="15"/>
  <c r="F261" i="15"/>
  <c r="B261" i="15"/>
  <c r="C261" i="15" s="1"/>
  <c r="A261" i="15"/>
  <c r="R260" i="15"/>
  <c r="Q260" i="15"/>
  <c r="P260" i="15"/>
  <c r="M260" i="15"/>
  <c r="G260" i="15"/>
  <c r="F260" i="15"/>
  <c r="B260" i="15"/>
  <c r="A260" i="15"/>
  <c r="R259" i="15"/>
  <c r="Q259" i="15"/>
  <c r="P259" i="15"/>
  <c r="M259" i="15"/>
  <c r="G259" i="15"/>
  <c r="F259" i="15"/>
  <c r="B259" i="15"/>
  <c r="A259" i="15"/>
  <c r="R258" i="15"/>
  <c r="Q258" i="15"/>
  <c r="P258" i="15"/>
  <c r="M258" i="15"/>
  <c r="G258" i="15"/>
  <c r="F258" i="15"/>
  <c r="C258" i="15"/>
  <c r="B258" i="15"/>
  <c r="A258" i="15"/>
  <c r="R257" i="15"/>
  <c r="Q257" i="15"/>
  <c r="P257" i="15"/>
  <c r="M257" i="15"/>
  <c r="G257" i="15"/>
  <c r="F257" i="15"/>
  <c r="B257" i="15"/>
  <c r="C257" i="15" s="1"/>
  <c r="A257" i="15"/>
  <c r="R256" i="15"/>
  <c r="Q256" i="15"/>
  <c r="P256" i="15"/>
  <c r="M256" i="15"/>
  <c r="G256" i="15"/>
  <c r="F256" i="15"/>
  <c r="B256" i="15"/>
  <c r="A256" i="15"/>
  <c r="R255" i="15"/>
  <c r="Q255" i="15"/>
  <c r="P255" i="15"/>
  <c r="M255" i="15"/>
  <c r="G255" i="15"/>
  <c r="F255" i="15"/>
  <c r="B255" i="15"/>
  <c r="A255" i="15"/>
  <c r="R254" i="15"/>
  <c r="Q254" i="15"/>
  <c r="P254" i="15"/>
  <c r="M254" i="15"/>
  <c r="G254" i="15"/>
  <c r="F254" i="15"/>
  <c r="C254" i="15"/>
  <c r="B254" i="15"/>
  <c r="A254" i="15"/>
  <c r="R253" i="15"/>
  <c r="Q253" i="15"/>
  <c r="P253" i="15"/>
  <c r="M253" i="15"/>
  <c r="G253" i="15"/>
  <c r="F253" i="15"/>
  <c r="B253" i="15"/>
  <c r="C253" i="15" s="1"/>
  <c r="A253" i="15"/>
  <c r="R252" i="15"/>
  <c r="Q252" i="15"/>
  <c r="P252" i="15"/>
  <c r="M252" i="15"/>
  <c r="G252" i="15"/>
  <c r="F252" i="15"/>
  <c r="B252" i="15"/>
  <c r="A252" i="15"/>
  <c r="R251" i="15"/>
  <c r="Q251" i="15"/>
  <c r="P251" i="15"/>
  <c r="M251" i="15"/>
  <c r="G251" i="15"/>
  <c r="F251" i="15"/>
  <c r="B251" i="15"/>
  <c r="A251" i="15"/>
  <c r="R250" i="15"/>
  <c r="Q250" i="15"/>
  <c r="P250" i="15"/>
  <c r="M250" i="15"/>
  <c r="G250" i="15"/>
  <c r="F250" i="15"/>
  <c r="C250" i="15"/>
  <c r="B250" i="15"/>
  <c r="A250" i="15"/>
  <c r="R249" i="15"/>
  <c r="Q249" i="15"/>
  <c r="P249" i="15"/>
  <c r="M249" i="15"/>
  <c r="G249" i="15"/>
  <c r="F249" i="15"/>
  <c r="B249" i="15"/>
  <c r="C249" i="15" s="1"/>
  <c r="A249" i="15"/>
  <c r="R248" i="15"/>
  <c r="Q248" i="15"/>
  <c r="P248" i="15"/>
  <c r="M248" i="15"/>
  <c r="G248" i="15"/>
  <c r="F248" i="15"/>
  <c r="B248" i="15"/>
  <c r="A248" i="15"/>
  <c r="R247" i="15"/>
  <c r="Q247" i="15"/>
  <c r="P247" i="15"/>
  <c r="M247" i="15"/>
  <c r="G247" i="15"/>
  <c r="F247" i="15"/>
  <c r="B247" i="15"/>
  <c r="A247" i="15"/>
  <c r="R246" i="15"/>
  <c r="Q246" i="15"/>
  <c r="P246" i="15"/>
  <c r="M246" i="15"/>
  <c r="G246" i="15"/>
  <c r="F246" i="15"/>
  <c r="C246" i="15"/>
  <c r="B246" i="15"/>
  <c r="A246" i="15"/>
  <c r="R245" i="15"/>
  <c r="Q245" i="15"/>
  <c r="P245" i="15"/>
  <c r="M245" i="15"/>
  <c r="G245" i="15"/>
  <c r="F245" i="15"/>
  <c r="B245" i="15"/>
  <c r="C245" i="15" s="1"/>
  <c r="A245" i="15"/>
  <c r="R244" i="15"/>
  <c r="Q244" i="15"/>
  <c r="P244" i="15"/>
  <c r="M244" i="15"/>
  <c r="G244" i="15"/>
  <c r="F244" i="15"/>
  <c r="B244" i="15"/>
  <c r="A244" i="15"/>
  <c r="R243" i="15"/>
  <c r="Q243" i="15"/>
  <c r="P243" i="15"/>
  <c r="M243" i="15"/>
  <c r="G243" i="15"/>
  <c r="F243" i="15"/>
  <c r="B243" i="15"/>
  <c r="A243" i="15"/>
  <c r="R242" i="15"/>
  <c r="Q242" i="15"/>
  <c r="P242" i="15"/>
  <c r="M242" i="15"/>
  <c r="G242" i="15"/>
  <c r="F242" i="15"/>
  <c r="C242" i="15"/>
  <c r="B242" i="15"/>
  <c r="A242" i="15"/>
  <c r="R241" i="15"/>
  <c r="Q241" i="15"/>
  <c r="P241" i="15"/>
  <c r="M241" i="15"/>
  <c r="G241" i="15"/>
  <c r="F241" i="15"/>
  <c r="B241" i="15"/>
  <c r="C241" i="15" s="1"/>
  <c r="A241" i="15"/>
  <c r="R240" i="15"/>
  <c r="Q240" i="15"/>
  <c r="P240" i="15"/>
  <c r="M240" i="15"/>
  <c r="G240" i="15"/>
  <c r="F240" i="15"/>
  <c r="B240" i="15"/>
  <c r="A240" i="15"/>
  <c r="R239" i="15"/>
  <c r="Q239" i="15"/>
  <c r="P239" i="15"/>
  <c r="M239" i="15"/>
  <c r="G239" i="15"/>
  <c r="F239" i="15"/>
  <c r="B239" i="15"/>
  <c r="A239" i="15"/>
  <c r="R238" i="15"/>
  <c r="Q238" i="15"/>
  <c r="P238" i="15"/>
  <c r="M238" i="15"/>
  <c r="G238" i="15"/>
  <c r="F238" i="15"/>
  <c r="C238" i="15"/>
  <c r="B238" i="15"/>
  <c r="A238" i="15"/>
  <c r="R237" i="15"/>
  <c r="Q237" i="15"/>
  <c r="P237" i="15"/>
  <c r="M237" i="15"/>
  <c r="G237" i="15"/>
  <c r="F237" i="15"/>
  <c r="B237" i="15"/>
  <c r="C237" i="15" s="1"/>
  <c r="A237" i="15"/>
  <c r="R236" i="15"/>
  <c r="Q236" i="15"/>
  <c r="P236" i="15"/>
  <c r="M236" i="15"/>
  <c r="G236" i="15"/>
  <c r="F236" i="15"/>
  <c r="B236" i="15"/>
  <c r="A236" i="15"/>
  <c r="R235" i="15"/>
  <c r="Q235" i="15"/>
  <c r="P235" i="15"/>
  <c r="M235" i="15"/>
  <c r="G235" i="15"/>
  <c r="F235" i="15"/>
  <c r="B235" i="15"/>
  <c r="A235" i="15"/>
  <c r="R234" i="15"/>
  <c r="Q234" i="15"/>
  <c r="P234" i="15"/>
  <c r="M234" i="15"/>
  <c r="G234" i="15"/>
  <c r="F234" i="15"/>
  <c r="C234" i="15"/>
  <c r="B234" i="15"/>
  <c r="A234" i="15"/>
  <c r="R233" i="15"/>
  <c r="Q233" i="15"/>
  <c r="P233" i="15"/>
  <c r="M233" i="15"/>
  <c r="G233" i="15"/>
  <c r="F233" i="15"/>
  <c r="B233" i="15"/>
  <c r="C233" i="15" s="1"/>
  <c r="A233" i="15"/>
  <c r="R232" i="15"/>
  <c r="Q232" i="15"/>
  <c r="P232" i="15"/>
  <c r="M232" i="15"/>
  <c r="G232" i="15"/>
  <c r="F232" i="15"/>
  <c r="B232" i="15"/>
  <c r="A232" i="15"/>
  <c r="R231" i="15"/>
  <c r="Q231" i="15"/>
  <c r="P231" i="15"/>
  <c r="M231" i="15"/>
  <c r="G231" i="15"/>
  <c r="F231" i="15"/>
  <c r="B231" i="15"/>
  <c r="A231" i="15"/>
  <c r="R230" i="15"/>
  <c r="Q230" i="15"/>
  <c r="P230" i="15"/>
  <c r="M230" i="15"/>
  <c r="G230" i="15"/>
  <c r="F230" i="15"/>
  <c r="C230" i="15"/>
  <c r="B230" i="15"/>
  <c r="A230" i="15"/>
  <c r="R229" i="15"/>
  <c r="Q229" i="15"/>
  <c r="P229" i="15"/>
  <c r="M229" i="15"/>
  <c r="G229" i="15"/>
  <c r="F229" i="15"/>
  <c r="B229" i="15"/>
  <c r="C229" i="15" s="1"/>
  <c r="A229" i="15"/>
  <c r="R228" i="15"/>
  <c r="Q228" i="15"/>
  <c r="P228" i="15"/>
  <c r="M228" i="15"/>
  <c r="G228" i="15"/>
  <c r="F228" i="15"/>
  <c r="B228" i="15"/>
  <c r="A228" i="15"/>
  <c r="R227" i="15"/>
  <c r="Q227" i="15"/>
  <c r="P227" i="15"/>
  <c r="M227" i="15"/>
  <c r="G227" i="15"/>
  <c r="F227" i="15"/>
  <c r="B227" i="15"/>
  <c r="A227" i="15"/>
  <c r="R226" i="15"/>
  <c r="Q226" i="15"/>
  <c r="P226" i="15"/>
  <c r="M226" i="15"/>
  <c r="G226" i="15"/>
  <c r="F226" i="15"/>
  <c r="C226" i="15"/>
  <c r="B226" i="15"/>
  <c r="A226" i="15"/>
  <c r="R225" i="15"/>
  <c r="Q225" i="15"/>
  <c r="P225" i="15"/>
  <c r="M225" i="15"/>
  <c r="G225" i="15"/>
  <c r="F225" i="15"/>
  <c r="B225" i="15"/>
  <c r="C225" i="15" s="1"/>
  <c r="A225" i="15"/>
  <c r="R224" i="15"/>
  <c r="Q224" i="15"/>
  <c r="P224" i="15"/>
  <c r="M224" i="15"/>
  <c r="G224" i="15"/>
  <c r="F224" i="15"/>
  <c r="B224" i="15"/>
  <c r="A224" i="15"/>
  <c r="R223" i="15"/>
  <c r="Q223" i="15"/>
  <c r="P223" i="15"/>
  <c r="M223" i="15"/>
  <c r="G223" i="15"/>
  <c r="F223" i="15"/>
  <c r="B223" i="15"/>
  <c r="A223" i="15"/>
  <c r="R222" i="15"/>
  <c r="Q222" i="15"/>
  <c r="P222" i="15"/>
  <c r="M222" i="15"/>
  <c r="G222" i="15"/>
  <c r="F222" i="15"/>
  <c r="C222" i="15"/>
  <c r="B222" i="15"/>
  <c r="A222" i="15"/>
  <c r="R221" i="15"/>
  <c r="Q221" i="15"/>
  <c r="P221" i="15"/>
  <c r="M221" i="15"/>
  <c r="G221" i="15"/>
  <c r="F221" i="15"/>
  <c r="B221" i="15"/>
  <c r="C221" i="15" s="1"/>
  <c r="A221" i="15"/>
  <c r="R220" i="15"/>
  <c r="Q220" i="15"/>
  <c r="P220" i="15"/>
  <c r="M220" i="15"/>
  <c r="G220" i="15"/>
  <c r="F220" i="15"/>
  <c r="B220" i="15"/>
  <c r="A220" i="15"/>
  <c r="R219" i="15"/>
  <c r="Q219" i="15"/>
  <c r="P219" i="15"/>
  <c r="M219" i="15"/>
  <c r="G219" i="15"/>
  <c r="F219" i="15"/>
  <c r="B219" i="15"/>
  <c r="A219" i="15"/>
  <c r="R218" i="15"/>
  <c r="Q218" i="15"/>
  <c r="P218" i="15"/>
  <c r="M218" i="15"/>
  <c r="G218" i="15"/>
  <c r="F218" i="15"/>
  <c r="C218" i="15"/>
  <c r="B218" i="15"/>
  <c r="A218" i="15"/>
  <c r="R217" i="15"/>
  <c r="Q217" i="15"/>
  <c r="P217" i="15"/>
  <c r="M217" i="15"/>
  <c r="G217" i="15"/>
  <c r="F217" i="15"/>
  <c r="B217" i="15"/>
  <c r="C217" i="15" s="1"/>
  <c r="A217" i="15"/>
  <c r="R216" i="15"/>
  <c r="Q216" i="15"/>
  <c r="P216" i="15"/>
  <c r="M216" i="15"/>
  <c r="G216" i="15"/>
  <c r="F216" i="15"/>
  <c r="B216" i="15"/>
  <c r="A216" i="15"/>
  <c r="R215" i="15"/>
  <c r="Q215" i="15"/>
  <c r="P215" i="15"/>
  <c r="M215" i="15"/>
  <c r="G215" i="15"/>
  <c r="F215" i="15"/>
  <c r="B215" i="15"/>
  <c r="A215" i="15"/>
  <c r="R214" i="15"/>
  <c r="Q214" i="15"/>
  <c r="P214" i="15"/>
  <c r="M214" i="15"/>
  <c r="G214" i="15"/>
  <c r="F214" i="15"/>
  <c r="C214" i="15"/>
  <c r="B214" i="15"/>
  <c r="A214" i="15"/>
  <c r="R213" i="15"/>
  <c r="Q213" i="15"/>
  <c r="P213" i="15"/>
  <c r="M213" i="15"/>
  <c r="G213" i="15"/>
  <c r="F213" i="15"/>
  <c r="B213" i="15"/>
  <c r="C213" i="15" s="1"/>
  <c r="A213" i="15"/>
  <c r="R212" i="15"/>
  <c r="Q212" i="15"/>
  <c r="P212" i="15"/>
  <c r="M212" i="15"/>
  <c r="G212" i="15"/>
  <c r="F212" i="15"/>
  <c r="B212" i="15"/>
  <c r="A212" i="15"/>
  <c r="R211" i="15"/>
  <c r="Q211" i="15"/>
  <c r="P211" i="15"/>
  <c r="M211" i="15"/>
  <c r="G211" i="15"/>
  <c r="F211" i="15"/>
  <c r="B211" i="15"/>
  <c r="A211" i="15"/>
  <c r="R210" i="15"/>
  <c r="Q210" i="15"/>
  <c r="P210" i="15"/>
  <c r="M210" i="15"/>
  <c r="G210" i="15"/>
  <c r="F210" i="15"/>
  <c r="C210" i="15"/>
  <c r="B210" i="15"/>
  <c r="A210" i="15"/>
  <c r="R209" i="15"/>
  <c r="Q209" i="15"/>
  <c r="P209" i="15"/>
  <c r="M209" i="15"/>
  <c r="G209" i="15"/>
  <c r="F209" i="15"/>
  <c r="B209" i="15"/>
  <c r="C209" i="15" s="1"/>
  <c r="A209" i="15"/>
  <c r="R208" i="15"/>
  <c r="Q208" i="15"/>
  <c r="P208" i="15"/>
  <c r="M208" i="15"/>
  <c r="G208" i="15"/>
  <c r="F208" i="15"/>
  <c r="B208" i="15"/>
  <c r="A208" i="15"/>
  <c r="R207" i="15"/>
  <c r="Q207" i="15"/>
  <c r="P207" i="15"/>
  <c r="M207" i="15"/>
  <c r="G207" i="15"/>
  <c r="F207" i="15"/>
  <c r="B207" i="15"/>
  <c r="A207" i="15"/>
  <c r="R206" i="15"/>
  <c r="Q206" i="15"/>
  <c r="P206" i="15"/>
  <c r="M206" i="15"/>
  <c r="G206" i="15"/>
  <c r="F206" i="15"/>
  <c r="C206" i="15"/>
  <c r="B206" i="15"/>
  <c r="A206" i="15"/>
  <c r="R205" i="15"/>
  <c r="Q205" i="15"/>
  <c r="P205" i="15"/>
  <c r="M205" i="15"/>
  <c r="G205" i="15"/>
  <c r="F205" i="15"/>
  <c r="B205" i="15"/>
  <c r="C205" i="15" s="1"/>
  <c r="A205" i="15"/>
  <c r="R204" i="15"/>
  <c r="Q204" i="15"/>
  <c r="P204" i="15"/>
  <c r="M204" i="15"/>
  <c r="G204" i="15"/>
  <c r="F204" i="15"/>
  <c r="B204" i="15"/>
  <c r="A204" i="15"/>
  <c r="R203" i="15"/>
  <c r="Q203" i="15"/>
  <c r="P203" i="15"/>
  <c r="M203" i="15"/>
  <c r="G203" i="15"/>
  <c r="F203" i="15"/>
  <c r="B203" i="15"/>
  <c r="A203" i="15"/>
  <c r="R202" i="15"/>
  <c r="Q202" i="15"/>
  <c r="P202" i="15"/>
  <c r="M202" i="15"/>
  <c r="G202" i="15"/>
  <c r="F202" i="15"/>
  <c r="C202" i="15"/>
  <c r="B202" i="15"/>
  <c r="A202" i="15"/>
  <c r="R201" i="15"/>
  <c r="Q201" i="15"/>
  <c r="P201" i="15"/>
  <c r="M201" i="15"/>
  <c r="G201" i="15"/>
  <c r="F201" i="15"/>
  <c r="B201" i="15"/>
  <c r="C201" i="15" s="1"/>
  <c r="A201" i="15"/>
  <c r="R200" i="15"/>
  <c r="Q200" i="15"/>
  <c r="P200" i="15"/>
  <c r="M200" i="15"/>
  <c r="G200" i="15"/>
  <c r="F200" i="15"/>
  <c r="B200" i="15"/>
  <c r="A200" i="15"/>
  <c r="R199" i="15"/>
  <c r="Q199" i="15"/>
  <c r="P199" i="15"/>
  <c r="M199" i="15"/>
  <c r="G199" i="15"/>
  <c r="F199" i="15"/>
  <c r="B199" i="15"/>
  <c r="A199" i="15"/>
  <c r="R198" i="15"/>
  <c r="Q198" i="15"/>
  <c r="P198" i="15"/>
  <c r="M198" i="15"/>
  <c r="G198" i="15"/>
  <c r="F198" i="15"/>
  <c r="C198" i="15"/>
  <c r="B198" i="15"/>
  <c r="A198" i="15"/>
  <c r="R197" i="15"/>
  <c r="Q197" i="15"/>
  <c r="P197" i="15"/>
  <c r="M197" i="15"/>
  <c r="G197" i="15"/>
  <c r="F197" i="15"/>
  <c r="B197" i="15"/>
  <c r="C197" i="15" s="1"/>
  <c r="A197" i="15"/>
  <c r="R196" i="15"/>
  <c r="Q196" i="15"/>
  <c r="P196" i="15"/>
  <c r="M196" i="15"/>
  <c r="G196" i="15"/>
  <c r="F196" i="15"/>
  <c r="B196" i="15"/>
  <c r="A196" i="15"/>
  <c r="R195" i="15"/>
  <c r="Q195" i="15"/>
  <c r="P195" i="15"/>
  <c r="M195" i="15"/>
  <c r="G195" i="15"/>
  <c r="F195" i="15"/>
  <c r="B195" i="15"/>
  <c r="A195" i="15"/>
  <c r="R194" i="15"/>
  <c r="Q194" i="15"/>
  <c r="P194" i="15"/>
  <c r="M194" i="15"/>
  <c r="G194" i="15"/>
  <c r="F194" i="15"/>
  <c r="C194" i="15"/>
  <c r="B194" i="15"/>
  <c r="A194" i="15"/>
  <c r="R193" i="15"/>
  <c r="Q193" i="15"/>
  <c r="P193" i="15"/>
  <c r="M193" i="15"/>
  <c r="G193" i="15"/>
  <c r="F193" i="15"/>
  <c r="B193" i="15"/>
  <c r="C193" i="15" s="1"/>
  <c r="A193" i="15"/>
  <c r="R192" i="15"/>
  <c r="Q192" i="15"/>
  <c r="P192" i="15"/>
  <c r="M192" i="15"/>
  <c r="G192" i="15"/>
  <c r="F192" i="15"/>
  <c r="B192" i="15"/>
  <c r="A192" i="15"/>
  <c r="R191" i="15"/>
  <c r="Q191" i="15"/>
  <c r="P191" i="15"/>
  <c r="M191" i="15"/>
  <c r="G191" i="15"/>
  <c r="F191" i="15"/>
  <c r="B191" i="15"/>
  <c r="A191" i="15"/>
  <c r="R190" i="15"/>
  <c r="Q190" i="15"/>
  <c r="P190" i="15"/>
  <c r="M190" i="15"/>
  <c r="G190" i="15"/>
  <c r="F190" i="15"/>
  <c r="C190" i="15"/>
  <c r="B190" i="15"/>
  <c r="A190" i="15"/>
  <c r="R189" i="15"/>
  <c r="Q189" i="15"/>
  <c r="P189" i="15"/>
  <c r="M189" i="15"/>
  <c r="G189" i="15"/>
  <c r="F189" i="15"/>
  <c r="B189" i="15"/>
  <c r="C189" i="15" s="1"/>
  <c r="A189" i="15"/>
  <c r="R188" i="15"/>
  <c r="Q188" i="15"/>
  <c r="P188" i="15"/>
  <c r="M188" i="15"/>
  <c r="G188" i="15"/>
  <c r="F188" i="15"/>
  <c r="B188" i="15"/>
  <c r="A188" i="15"/>
  <c r="R187" i="15"/>
  <c r="Q187" i="15"/>
  <c r="P187" i="15"/>
  <c r="M187" i="15"/>
  <c r="G187" i="15"/>
  <c r="F187" i="15"/>
  <c r="B187" i="15"/>
  <c r="A187" i="15"/>
  <c r="R186" i="15"/>
  <c r="Q186" i="15"/>
  <c r="P186" i="15"/>
  <c r="M186" i="15"/>
  <c r="G186" i="15"/>
  <c r="F186" i="15"/>
  <c r="C186" i="15"/>
  <c r="B186" i="15"/>
  <c r="A186" i="15"/>
  <c r="R185" i="15"/>
  <c r="Q185" i="15"/>
  <c r="P185" i="15"/>
  <c r="M185" i="15"/>
  <c r="G185" i="15"/>
  <c r="F185" i="15"/>
  <c r="B185" i="15"/>
  <c r="C185" i="15" s="1"/>
  <c r="A185" i="15"/>
  <c r="R184" i="15"/>
  <c r="Q184" i="15"/>
  <c r="P184" i="15"/>
  <c r="M184" i="15"/>
  <c r="G184" i="15"/>
  <c r="F184" i="15"/>
  <c r="B184" i="15"/>
  <c r="A184" i="15"/>
  <c r="R183" i="15"/>
  <c r="Q183" i="15"/>
  <c r="P183" i="15"/>
  <c r="M183" i="15"/>
  <c r="G183" i="15"/>
  <c r="F183" i="15"/>
  <c r="B183" i="15"/>
  <c r="A183" i="15"/>
  <c r="R182" i="15"/>
  <c r="Q182" i="15"/>
  <c r="P182" i="15"/>
  <c r="M182" i="15"/>
  <c r="G182" i="15"/>
  <c r="F182" i="15"/>
  <c r="C182" i="15"/>
  <c r="B182" i="15"/>
  <c r="A182" i="15"/>
  <c r="R181" i="15"/>
  <c r="Q181" i="15"/>
  <c r="P181" i="15"/>
  <c r="M181" i="15"/>
  <c r="G181" i="15"/>
  <c r="F181" i="15"/>
  <c r="B181" i="15"/>
  <c r="C181" i="15" s="1"/>
  <c r="A181" i="15"/>
  <c r="R180" i="15"/>
  <c r="Q180" i="15"/>
  <c r="P180" i="15"/>
  <c r="M180" i="15"/>
  <c r="G180" i="15"/>
  <c r="F180" i="15"/>
  <c r="B180" i="15"/>
  <c r="A180" i="15"/>
  <c r="R179" i="15"/>
  <c r="Q179" i="15"/>
  <c r="P179" i="15"/>
  <c r="M179" i="15"/>
  <c r="G179" i="15"/>
  <c r="F179" i="15"/>
  <c r="B179" i="15"/>
  <c r="A179" i="15"/>
  <c r="R178" i="15"/>
  <c r="Q178" i="15"/>
  <c r="P178" i="15"/>
  <c r="M178" i="15"/>
  <c r="G178" i="15"/>
  <c r="F178" i="15"/>
  <c r="C178" i="15"/>
  <c r="B178" i="15"/>
  <c r="A178" i="15"/>
  <c r="R177" i="15"/>
  <c r="Q177" i="15"/>
  <c r="P177" i="15"/>
  <c r="M177" i="15"/>
  <c r="G177" i="15"/>
  <c r="F177" i="15"/>
  <c r="B177" i="15"/>
  <c r="C177" i="15" s="1"/>
  <c r="A177" i="15"/>
  <c r="R176" i="15"/>
  <c r="Q176" i="15"/>
  <c r="P176" i="15"/>
  <c r="M176" i="15"/>
  <c r="G176" i="15"/>
  <c r="F176" i="15"/>
  <c r="B176" i="15"/>
  <c r="A176" i="15"/>
  <c r="R175" i="15"/>
  <c r="Q175" i="15"/>
  <c r="P175" i="15"/>
  <c r="M175" i="15"/>
  <c r="G175" i="15"/>
  <c r="F175" i="15"/>
  <c r="B175" i="15"/>
  <c r="A175" i="15"/>
  <c r="R174" i="15"/>
  <c r="Q174" i="15"/>
  <c r="P174" i="15"/>
  <c r="M174" i="15"/>
  <c r="G174" i="15"/>
  <c r="F174" i="15"/>
  <c r="C174" i="15"/>
  <c r="B174" i="15"/>
  <c r="A174" i="15"/>
  <c r="R173" i="15"/>
  <c r="Q173" i="15"/>
  <c r="P173" i="15"/>
  <c r="M173" i="15"/>
  <c r="G173" i="15"/>
  <c r="F173" i="15"/>
  <c r="B173" i="15"/>
  <c r="C173" i="15" s="1"/>
  <c r="A173" i="15"/>
  <c r="R172" i="15"/>
  <c r="Q172" i="15"/>
  <c r="P172" i="15"/>
  <c r="M172" i="15"/>
  <c r="G172" i="15"/>
  <c r="F172" i="15"/>
  <c r="B172" i="15"/>
  <c r="A172" i="15"/>
  <c r="R171" i="15"/>
  <c r="Q171" i="15"/>
  <c r="P171" i="15"/>
  <c r="M171" i="15"/>
  <c r="G171" i="15"/>
  <c r="F171" i="15"/>
  <c r="B171" i="15"/>
  <c r="A171" i="15"/>
  <c r="R170" i="15"/>
  <c r="Q170" i="15"/>
  <c r="P170" i="15"/>
  <c r="M170" i="15"/>
  <c r="G170" i="15"/>
  <c r="F170" i="15"/>
  <c r="C170" i="15"/>
  <c r="B170" i="15"/>
  <c r="A170" i="15"/>
  <c r="R169" i="15"/>
  <c r="Q169" i="15"/>
  <c r="P169" i="15"/>
  <c r="M169" i="15"/>
  <c r="G169" i="15"/>
  <c r="F169" i="15"/>
  <c r="B169" i="15"/>
  <c r="C169" i="15" s="1"/>
  <c r="A169" i="15"/>
  <c r="R168" i="15"/>
  <c r="Q168" i="15"/>
  <c r="P168" i="15"/>
  <c r="M168" i="15"/>
  <c r="G168" i="15"/>
  <c r="F168" i="15"/>
  <c r="B168" i="15"/>
  <c r="A168" i="15"/>
  <c r="R167" i="15"/>
  <c r="Q167" i="15"/>
  <c r="P167" i="15"/>
  <c r="M167" i="15"/>
  <c r="G167" i="15"/>
  <c r="F167" i="15"/>
  <c r="B167" i="15"/>
  <c r="A167" i="15"/>
  <c r="R166" i="15"/>
  <c r="Q166" i="15"/>
  <c r="P166" i="15"/>
  <c r="M166" i="15"/>
  <c r="G166" i="15"/>
  <c r="F166" i="15"/>
  <c r="C166" i="15"/>
  <c r="B166" i="15"/>
  <c r="A166" i="15"/>
  <c r="R165" i="15"/>
  <c r="Q165" i="15"/>
  <c r="P165" i="15"/>
  <c r="M165" i="15"/>
  <c r="G165" i="15"/>
  <c r="F165" i="15"/>
  <c r="B165" i="15"/>
  <c r="C165" i="15" s="1"/>
  <c r="A165" i="15"/>
  <c r="R164" i="15"/>
  <c r="Q164" i="15"/>
  <c r="P164" i="15"/>
  <c r="M164" i="15"/>
  <c r="G164" i="15"/>
  <c r="F164" i="15"/>
  <c r="B164" i="15"/>
  <c r="A164" i="15"/>
  <c r="R163" i="15"/>
  <c r="Q163" i="15"/>
  <c r="P163" i="15"/>
  <c r="M163" i="15"/>
  <c r="G163" i="15"/>
  <c r="F163" i="15"/>
  <c r="B163" i="15"/>
  <c r="A163" i="15"/>
  <c r="R162" i="15"/>
  <c r="Q162" i="15"/>
  <c r="P162" i="15"/>
  <c r="M162" i="15"/>
  <c r="G162" i="15"/>
  <c r="F162" i="15"/>
  <c r="C162" i="15"/>
  <c r="B162" i="15"/>
  <c r="A162" i="15"/>
  <c r="R161" i="15"/>
  <c r="Q161" i="15"/>
  <c r="P161" i="15"/>
  <c r="M161" i="15"/>
  <c r="G161" i="15"/>
  <c r="F161" i="15"/>
  <c r="B161" i="15"/>
  <c r="C161" i="15" s="1"/>
  <c r="A161" i="15"/>
  <c r="R160" i="15"/>
  <c r="Q160" i="15"/>
  <c r="P160" i="15"/>
  <c r="M160" i="15"/>
  <c r="G160" i="15"/>
  <c r="F160" i="15"/>
  <c r="B160" i="15"/>
  <c r="A160" i="15"/>
  <c r="R159" i="15"/>
  <c r="Q159" i="15"/>
  <c r="P159" i="15"/>
  <c r="M159" i="15"/>
  <c r="G159" i="15"/>
  <c r="F159" i="15"/>
  <c r="B159" i="15"/>
  <c r="A159" i="15"/>
  <c r="R158" i="15"/>
  <c r="Q158" i="15"/>
  <c r="P158" i="15"/>
  <c r="M158" i="15"/>
  <c r="G158" i="15"/>
  <c r="F158" i="15"/>
  <c r="C158" i="15"/>
  <c r="B158" i="15"/>
  <c r="A158" i="15"/>
  <c r="R157" i="15"/>
  <c r="Q157" i="15"/>
  <c r="P157" i="15"/>
  <c r="M157" i="15"/>
  <c r="G157" i="15"/>
  <c r="F157" i="15"/>
  <c r="B157" i="15"/>
  <c r="C157" i="15" s="1"/>
  <c r="A157" i="15"/>
  <c r="R156" i="15"/>
  <c r="Q156" i="15"/>
  <c r="P156" i="15"/>
  <c r="M156" i="15"/>
  <c r="G156" i="15"/>
  <c r="F156" i="15"/>
  <c r="B156" i="15"/>
  <c r="A156" i="15"/>
  <c r="R155" i="15"/>
  <c r="Q155" i="15"/>
  <c r="P155" i="15"/>
  <c r="M155" i="15"/>
  <c r="G155" i="15"/>
  <c r="F155" i="15"/>
  <c r="B155" i="15"/>
  <c r="A155" i="15"/>
  <c r="R154" i="15"/>
  <c r="Q154" i="15"/>
  <c r="P154" i="15"/>
  <c r="M154" i="15"/>
  <c r="G154" i="15"/>
  <c r="F154" i="15"/>
  <c r="C154" i="15"/>
  <c r="B154" i="15"/>
  <c r="A154" i="15"/>
  <c r="R153" i="15"/>
  <c r="Q153" i="15"/>
  <c r="P153" i="15"/>
  <c r="M153" i="15"/>
  <c r="G153" i="15"/>
  <c r="F153" i="15"/>
  <c r="B153" i="15"/>
  <c r="C153" i="15" s="1"/>
  <c r="A153" i="15"/>
  <c r="R152" i="15"/>
  <c r="Q152" i="15"/>
  <c r="P152" i="15"/>
  <c r="M152" i="15"/>
  <c r="G152" i="15"/>
  <c r="F152" i="15"/>
  <c r="B152" i="15"/>
  <c r="A152" i="15"/>
  <c r="R151" i="15"/>
  <c r="Q151" i="15"/>
  <c r="P151" i="15"/>
  <c r="M151" i="15"/>
  <c r="G151" i="15"/>
  <c r="F151" i="15"/>
  <c r="B151" i="15"/>
  <c r="A151" i="15"/>
  <c r="R150" i="15"/>
  <c r="Q150" i="15"/>
  <c r="P150" i="15"/>
  <c r="M150" i="15"/>
  <c r="G150" i="15"/>
  <c r="F150" i="15"/>
  <c r="C150" i="15"/>
  <c r="B150" i="15"/>
  <c r="A150" i="15"/>
  <c r="R149" i="15"/>
  <c r="Q149" i="15"/>
  <c r="P149" i="15"/>
  <c r="M149" i="15"/>
  <c r="G149" i="15"/>
  <c r="F149" i="15"/>
  <c r="B149" i="15"/>
  <c r="C149" i="15" s="1"/>
  <c r="A149" i="15"/>
  <c r="R148" i="15"/>
  <c r="Q148" i="15"/>
  <c r="P148" i="15"/>
  <c r="M148" i="15"/>
  <c r="G148" i="15"/>
  <c r="F148" i="15"/>
  <c r="B148" i="15"/>
  <c r="A148" i="15"/>
  <c r="R147" i="15"/>
  <c r="Q147" i="15"/>
  <c r="P147" i="15"/>
  <c r="M147" i="15"/>
  <c r="G147" i="15"/>
  <c r="F147" i="15"/>
  <c r="B147" i="15"/>
  <c r="A147" i="15"/>
  <c r="R146" i="15"/>
  <c r="Q146" i="15"/>
  <c r="P146" i="15"/>
  <c r="M146" i="15"/>
  <c r="G146" i="15"/>
  <c r="F146" i="15"/>
  <c r="C146" i="15"/>
  <c r="B146" i="15"/>
  <c r="A146" i="15"/>
  <c r="R145" i="15"/>
  <c r="Q145" i="15"/>
  <c r="P145" i="15"/>
  <c r="M145" i="15"/>
  <c r="G145" i="15"/>
  <c r="F145" i="15"/>
  <c r="B145" i="15"/>
  <c r="C145" i="15" s="1"/>
  <c r="A145" i="15"/>
  <c r="R144" i="15"/>
  <c r="Q144" i="15"/>
  <c r="P144" i="15"/>
  <c r="M144" i="15"/>
  <c r="G144" i="15"/>
  <c r="F144" i="15"/>
  <c r="B144" i="15"/>
  <c r="A144" i="15"/>
  <c r="R143" i="15"/>
  <c r="Q143" i="15"/>
  <c r="P143" i="15"/>
  <c r="M143" i="15"/>
  <c r="G143" i="15"/>
  <c r="F143" i="15"/>
  <c r="B143" i="15"/>
  <c r="A143" i="15"/>
  <c r="R142" i="15"/>
  <c r="Q142" i="15"/>
  <c r="P142" i="15"/>
  <c r="M142" i="15"/>
  <c r="G142" i="15"/>
  <c r="F142" i="15"/>
  <c r="C142" i="15"/>
  <c r="B142" i="15"/>
  <c r="A142" i="15"/>
  <c r="R141" i="15"/>
  <c r="Q141" i="15"/>
  <c r="P141" i="15"/>
  <c r="M141" i="15"/>
  <c r="G141" i="15"/>
  <c r="F141" i="15"/>
  <c r="B141" i="15"/>
  <c r="C141" i="15" s="1"/>
  <c r="A141" i="15"/>
  <c r="R140" i="15"/>
  <c r="Q140" i="15"/>
  <c r="P140" i="15"/>
  <c r="M140" i="15"/>
  <c r="G140" i="15"/>
  <c r="F140" i="15"/>
  <c r="B140" i="15"/>
  <c r="A140" i="15"/>
  <c r="R139" i="15"/>
  <c r="Q139" i="15"/>
  <c r="P139" i="15"/>
  <c r="M139" i="15"/>
  <c r="G139" i="15"/>
  <c r="F139" i="15"/>
  <c r="B139" i="15"/>
  <c r="A139" i="15"/>
  <c r="R138" i="15"/>
  <c r="Q138" i="15"/>
  <c r="P138" i="15"/>
  <c r="M138" i="15"/>
  <c r="G138" i="15"/>
  <c r="F138" i="15"/>
  <c r="C138" i="15"/>
  <c r="B138" i="15"/>
  <c r="A138" i="15"/>
  <c r="R137" i="15"/>
  <c r="Q137" i="15"/>
  <c r="P137" i="15"/>
  <c r="M137" i="15"/>
  <c r="G137" i="15"/>
  <c r="F137" i="15"/>
  <c r="B137" i="15"/>
  <c r="C137" i="15" s="1"/>
  <c r="A137" i="15"/>
  <c r="R136" i="15"/>
  <c r="Q136" i="15"/>
  <c r="P136" i="15"/>
  <c r="M136" i="15"/>
  <c r="G136" i="15"/>
  <c r="F136" i="15"/>
  <c r="B136" i="15"/>
  <c r="A136" i="15"/>
  <c r="R135" i="15"/>
  <c r="Q135" i="15"/>
  <c r="P135" i="15"/>
  <c r="M135" i="15"/>
  <c r="G135" i="15"/>
  <c r="F135" i="15"/>
  <c r="B135" i="15"/>
  <c r="A135" i="15"/>
  <c r="R134" i="15"/>
  <c r="Q134" i="15"/>
  <c r="P134" i="15"/>
  <c r="M134" i="15"/>
  <c r="G134" i="15"/>
  <c r="F134" i="15"/>
  <c r="C134" i="15"/>
  <c r="B134" i="15"/>
  <c r="A134" i="15"/>
  <c r="R133" i="15"/>
  <c r="Q133" i="15"/>
  <c r="P133" i="15"/>
  <c r="M133" i="15"/>
  <c r="G133" i="15"/>
  <c r="F133" i="15"/>
  <c r="B133" i="15"/>
  <c r="C133" i="15" s="1"/>
  <c r="A133" i="15"/>
  <c r="R132" i="15"/>
  <c r="Q132" i="15"/>
  <c r="P132" i="15"/>
  <c r="M132" i="15"/>
  <c r="G132" i="15"/>
  <c r="F132" i="15"/>
  <c r="B132" i="15"/>
  <c r="A132" i="15"/>
  <c r="R131" i="15"/>
  <c r="Q131" i="15"/>
  <c r="P131" i="15"/>
  <c r="M131" i="15"/>
  <c r="G131" i="15"/>
  <c r="F131" i="15"/>
  <c r="B131" i="15"/>
  <c r="A131" i="15"/>
  <c r="R130" i="15"/>
  <c r="Q130" i="15"/>
  <c r="P130" i="15"/>
  <c r="M130" i="15"/>
  <c r="G130" i="15"/>
  <c r="F130" i="15"/>
  <c r="C130" i="15"/>
  <c r="B130" i="15"/>
  <c r="A130" i="15"/>
  <c r="R129" i="15"/>
  <c r="Q129" i="15"/>
  <c r="P129" i="15"/>
  <c r="M129" i="15"/>
  <c r="G129" i="15"/>
  <c r="F129" i="15"/>
  <c r="B129" i="15"/>
  <c r="C129" i="15" s="1"/>
  <c r="A129" i="15"/>
  <c r="R128" i="15"/>
  <c r="Q128" i="15"/>
  <c r="P128" i="15"/>
  <c r="M128" i="15"/>
  <c r="G128" i="15"/>
  <c r="F128" i="15"/>
  <c r="B128" i="15"/>
  <c r="A128" i="15"/>
  <c r="R127" i="15"/>
  <c r="Q127" i="15"/>
  <c r="P127" i="15"/>
  <c r="M127" i="15"/>
  <c r="G127" i="15"/>
  <c r="F127" i="15"/>
  <c r="B127" i="15"/>
  <c r="A127" i="15"/>
  <c r="R126" i="15"/>
  <c r="Q126" i="15"/>
  <c r="P126" i="15"/>
  <c r="M126" i="15"/>
  <c r="G126" i="15"/>
  <c r="F126" i="15"/>
  <c r="C126" i="15"/>
  <c r="B126" i="15"/>
  <c r="A126" i="15"/>
  <c r="R125" i="15"/>
  <c r="Q125" i="15"/>
  <c r="P125" i="15"/>
  <c r="M125" i="15"/>
  <c r="G125" i="15"/>
  <c r="F125" i="15"/>
  <c r="B125" i="15"/>
  <c r="C125" i="15" s="1"/>
  <c r="A125" i="15"/>
  <c r="R124" i="15"/>
  <c r="Q124" i="15"/>
  <c r="P124" i="15"/>
  <c r="M124" i="15"/>
  <c r="G124" i="15"/>
  <c r="F124" i="15"/>
  <c r="B124" i="15"/>
  <c r="A124" i="15"/>
  <c r="R123" i="15"/>
  <c r="Q123" i="15"/>
  <c r="P123" i="15"/>
  <c r="M123" i="15"/>
  <c r="G123" i="15"/>
  <c r="F123" i="15"/>
  <c r="B123" i="15"/>
  <c r="A123" i="15"/>
  <c r="R122" i="15"/>
  <c r="Q122" i="15"/>
  <c r="P122" i="15"/>
  <c r="M122" i="15"/>
  <c r="G122" i="15"/>
  <c r="F122" i="15"/>
  <c r="C122" i="15"/>
  <c r="B122" i="15"/>
  <c r="A122" i="15"/>
  <c r="R121" i="15"/>
  <c r="Q121" i="15"/>
  <c r="P121" i="15"/>
  <c r="M121" i="15"/>
  <c r="G121" i="15"/>
  <c r="F121" i="15"/>
  <c r="B121" i="15"/>
  <c r="C121" i="15" s="1"/>
  <c r="A121" i="15"/>
  <c r="R120" i="15"/>
  <c r="Q120" i="15"/>
  <c r="P120" i="15"/>
  <c r="M120" i="15"/>
  <c r="G120" i="15"/>
  <c r="F120" i="15"/>
  <c r="B120" i="15"/>
  <c r="A120" i="15"/>
  <c r="R119" i="15"/>
  <c r="Q119" i="15"/>
  <c r="P119" i="15"/>
  <c r="M119" i="15"/>
  <c r="G119" i="15"/>
  <c r="F119" i="15"/>
  <c r="B119" i="15"/>
  <c r="A119" i="15"/>
  <c r="R118" i="15"/>
  <c r="Q118" i="15"/>
  <c r="P118" i="15"/>
  <c r="M118" i="15"/>
  <c r="G118" i="15"/>
  <c r="F118" i="15"/>
  <c r="C118" i="15"/>
  <c r="B118" i="15"/>
  <c r="A118" i="15"/>
  <c r="R117" i="15"/>
  <c r="Q117" i="15"/>
  <c r="P117" i="15"/>
  <c r="M117" i="15"/>
  <c r="G117" i="15"/>
  <c r="F117" i="15"/>
  <c r="B117" i="15"/>
  <c r="C117" i="15" s="1"/>
  <c r="A117" i="15"/>
  <c r="R116" i="15"/>
  <c r="Q116" i="15"/>
  <c r="P116" i="15"/>
  <c r="M116" i="15"/>
  <c r="G116" i="15"/>
  <c r="F116" i="15"/>
  <c r="B116" i="15"/>
  <c r="A116" i="15"/>
  <c r="R115" i="15"/>
  <c r="Q115" i="15"/>
  <c r="P115" i="15"/>
  <c r="M115" i="15"/>
  <c r="G115" i="15"/>
  <c r="F115" i="15"/>
  <c r="B115" i="15"/>
  <c r="A115" i="15"/>
  <c r="R114" i="15"/>
  <c r="Q114" i="15"/>
  <c r="P114" i="15"/>
  <c r="M114" i="15"/>
  <c r="G114" i="15"/>
  <c r="F114" i="15"/>
  <c r="C114" i="15"/>
  <c r="B114" i="15"/>
  <c r="A114" i="15"/>
  <c r="R113" i="15"/>
  <c r="Q113" i="15"/>
  <c r="P113" i="15"/>
  <c r="M113" i="15"/>
  <c r="G113" i="15"/>
  <c r="F113" i="15"/>
  <c r="B113" i="15"/>
  <c r="C113" i="15" s="1"/>
  <c r="A113" i="15"/>
  <c r="R112" i="15"/>
  <c r="Q112" i="15"/>
  <c r="P112" i="15"/>
  <c r="M112" i="15"/>
  <c r="G112" i="15"/>
  <c r="F112" i="15"/>
  <c r="B112" i="15"/>
  <c r="A112" i="15"/>
  <c r="R111" i="15"/>
  <c r="Q111" i="15"/>
  <c r="P111" i="15"/>
  <c r="M111" i="15"/>
  <c r="G111" i="15"/>
  <c r="F111" i="15"/>
  <c r="B111" i="15"/>
  <c r="A111" i="15"/>
  <c r="R110" i="15"/>
  <c r="Q110" i="15"/>
  <c r="P110" i="15"/>
  <c r="M110" i="15"/>
  <c r="G110" i="15"/>
  <c r="F110" i="15"/>
  <c r="C110" i="15"/>
  <c r="B110" i="15"/>
  <c r="A110" i="15"/>
  <c r="R109" i="15"/>
  <c r="Q109" i="15"/>
  <c r="P109" i="15"/>
  <c r="M109" i="15"/>
  <c r="G109" i="15"/>
  <c r="F109" i="15"/>
  <c r="B109" i="15"/>
  <c r="C109" i="15" s="1"/>
  <c r="A109" i="15"/>
  <c r="R108" i="15"/>
  <c r="Q108" i="15"/>
  <c r="P108" i="15"/>
  <c r="M108" i="15"/>
  <c r="G108" i="15"/>
  <c r="F108" i="15"/>
  <c r="B108" i="15"/>
  <c r="A108" i="15"/>
  <c r="R107" i="15"/>
  <c r="Q107" i="15"/>
  <c r="P107" i="15"/>
  <c r="M107" i="15"/>
  <c r="G107" i="15"/>
  <c r="F107" i="15"/>
  <c r="B107" i="15"/>
  <c r="A107" i="15"/>
  <c r="R106" i="15"/>
  <c r="Q106" i="15"/>
  <c r="P106" i="15"/>
  <c r="M106" i="15"/>
  <c r="G106" i="15"/>
  <c r="F106" i="15"/>
  <c r="C106" i="15"/>
  <c r="B106" i="15"/>
  <c r="A106" i="15"/>
  <c r="R105" i="15"/>
  <c r="Q105" i="15"/>
  <c r="P105" i="15"/>
  <c r="M105" i="15"/>
  <c r="G105" i="15"/>
  <c r="F105" i="15"/>
  <c r="B105" i="15"/>
  <c r="C105" i="15" s="1"/>
  <c r="A105" i="15"/>
  <c r="R104" i="15"/>
  <c r="Q104" i="15"/>
  <c r="P104" i="15"/>
  <c r="M104" i="15"/>
  <c r="G104" i="15"/>
  <c r="F104" i="15"/>
  <c r="B104" i="15"/>
  <c r="A104" i="15"/>
  <c r="R103" i="15"/>
  <c r="Q103" i="15"/>
  <c r="P103" i="15"/>
  <c r="M103" i="15"/>
  <c r="G103" i="15"/>
  <c r="F103" i="15"/>
  <c r="B103" i="15"/>
  <c r="A103" i="15"/>
  <c r="R102" i="15"/>
  <c r="Q102" i="15"/>
  <c r="P102" i="15"/>
  <c r="M102" i="15"/>
  <c r="G102" i="15"/>
  <c r="F102" i="15"/>
  <c r="C102" i="15"/>
  <c r="B102" i="15"/>
  <c r="A102" i="15"/>
  <c r="R101" i="15"/>
  <c r="Q101" i="15"/>
  <c r="P101" i="15"/>
  <c r="M101" i="15"/>
  <c r="G101" i="15"/>
  <c r="F101" i="15"/>
  <c r="B101" i="15"/>
  <c r="C101" i="15" s="1"/>
  <c r="A101" i="15"/>
  <c r="R100" i="15"/>
  <c r="Q100" i="15"/>
  <c r="P100" i="15"/>
  <c r="M100" i="15"/>
  <c r="G100" i="15"/>
  <c r="F100" i="15"/>
  <c r="B100" i="15"/>
  <c r="A100" i="15"/>
  <c r="R99" i="15"/>
  <c r="Q99" i="15"/>
  <c r="P99" i="15"/>
  <c r="M99" i="15"/>
  <c r="G99" i="15"/>
  <c r="F99" i="15"/>
  <c r="B99" i="15"/>
  <c r="A99" i="15"/>
  <c r="R98" i="15"/>
  <c r="Q98" i="15"/>
  <c r="P98" i="15"/>
  <c r="M98" i="15"/>
  <c r="G98" i="15"/>
  <c r="F98" i="15"/>
  <c r="C98" i="15"/>
  <c r="B98" i="15"/>
  <c r="A98" i="15"/>
  <c r="R97" i="15"/>
  <c r="Q97" i="15"/>
  <c r="P97" i="15"/>
  <c r="M97" i="15"/>
  <c r="G97" i="15"/>
  <c r="F97" i="15"/>
  <c r="B97" i="15"/>
  <c r="C97" i="15" s="1"/>
  <c r="A97" i="15"/>
  <c r="R96" i="15"/>
  <c r="Q96" i="15"/>
  <c r="P96" i="15"/>
  <c r="M96" i="15"/>
  <c r="G96" i="15"/>
  <c r="F96" i="15"/>
  <c r="B96" i="15"/>
  <c r="A96" i="15"/>
  <c r="R95" i="15"/>
  <c r="Q95" i="15"/>
  <c r="P95" i="15"/>
  <c r="M95" i="15"/>
  <c r="G95" i="15"/>
  <c r="F95" i="15"/>
  <c r="B95" i="15"/>
  <c r="A95" i="15"/>
  <c r="R94" i="15"/>
  <c r="Q94" i="15"/>
  <c r="P94" i="15"/>
  <c r="M94" i="15"/>
  <c r="G94" i="15"/>
  <c r="F94" i="15"/>
  <c r="C94" i="15"/>
  <c r="B94" i="15"/>
  <c r="A94" i="15"/>
  <c r="R93" i="15"/>
  <c r="Q93" i="15"/>
  <c r="P93" i="15"/>
  <c r="M93" i="15"/>
  <c r="G93" i="15"/>
  <c r="F93" i="15"/>
  <c r="B93" i="15"/>
  <c r="C93" i="15" s="1"/>
  <c r="A93" i="15"/>
  <c r="R92" i="15"/>
  <c r="Q92" i="15"/>
  <c r="P92" i="15"/>
  <c r="M92" i="15"/>
  <c r="G92" i="15"/>
  <c r="F92" i="15"/>
  <c r="B92" i="15"/>
  <c r="A92" i="15"/>
  <c r="R91" i="15"/>
  <c r="Q91" i="15"/>
  <c r="P91" i="15"/>
  <c r="M91" i="15"/>
  <c r="G91" i="15"/>
  <c r="F91" i="15"/>
  <c r="B91" i="15"/>
  <c r="A91" i="15"/>
  <c r="R90" i="15"/>
  <c r="Q90" i="15"/>
  <c r="P90" i="15"/>
  <c r="M90" i="15"/>
  <c r="G90" i="15"/>
  <c r="F90" i="15"/>
  <c r="C90" i="15"/>
  <c r="B90" i="15"/>
  <c r="A90" i="15"/>
  <c r="R89" i="15"/>
  <c r="Q89" i="15"/>
  <c r="P89" i="15"/>
  <c r="M89" i="15"/>
  <c r="G89" i="15"/>
  <c r="F89" i="15"/>
  <c r="B89" i="15"/>
  <c r="C89" i="15" s="1"/>
  <c r="A89" i="15"/>
  <c r="R88" i="15"/>
  <c r="Q88" i="15"/>
  <c r="P88" i="15"/>
  <c r="M88" i="15"/>
  <c r="G88" i="15"/>
  <c r="F88" i="15"/>
  <c r="B88" i="15"/>
  <c r="A88" i="15"/>
  <c r="R87" i="15"/>
  <c r="Q87" i="15"/>
  <c r="P87" i="15"/>
  <c r="M87" i="15"/>
  <c r="G87" i="15"/>
  <c r="F87" i="15"/>
  <c r="B87" i="15"/>
  <c r="A87" i="15"/>
  <c r="R86" i="15"/>
  <c r="Q86" i="15"/>
  <c r="P86" i="15"/>
  <c r="M86" i="15"/>
  <c r="G86" i="15"/>
  <c r="F86" i="15"/>
  <c r="C86" i="15"/>
  <c r="B86" i="15"/>
  <c r="A86" i="15"/>
  <c r="R85" i="15"/>
  <c r="Q85" i="15"/>
  <c r="P85" i="15"/>
  <c r="M85" i="15"/>
  <c r="G85" i="15"/>
  <c r="F85" i="15"/>
  <c r="B85" i="15"/>
  <c r="C85" i="15" s="1"/>
  <c r="A85" i="15"/>
  <c r="R84" i="15"/>
  <c r="Q84" i="15"/>
  <c r="P84" i="15"/>
  <c r="M84" i="15"/>
  <c r="G84" i="15"/>
  <c r="F84" i="15"/>
  <c r="B84" i="15"/>
  <c r="A84" i="15"/>
  <c r="R83" i="15"/>
  <c r="Q83" i="15"/>
  <c r="P83" i="15"/>
  <c r="M83" i="15"/>
  <c r="G83" i="15"/>
  <c r="F83" i="15"/>
  <c r="B83" i="15"/>
  <c r="A83" i="15"/>
  <c r="R82" i="15"/>
  <c r="Q82" i="15"/>
  <c r="P82" i="15"/>
  <c r="M82" i="15"/>
  <c r="B82" i="15"/>
  <c r="A82" i="15"/>
  <c r="R81" i="15"/>
  <c r="Q81" i="15"/>
  <c r="P81" i="15"/>
  <c r="M81" i="15"/>
  <c r="B81" i="15"/>
  <c r="C81" i="15" s="1"/>
  <c r="A81" i="15"/>
  <c r="R80" i="15"/>
  <c r="Q80" i="15"/>
  <c r="P80" i="15"/>
  <c r="M80" i="15"/>
  <c r="B80" i="15"/>
  <c r="A80" i="15"/>
  <c r="R79" i="15"/>
  <c r="Q79" i="15"/>
  <c r="P79" i="15"/>
  <c r="M79" i="15"/>
  <c r="B79" i="15"/>
  <c r="C79" i="15" s="1"/>
  <c r="A79" i="15"/>
  <c r="R78" i="15"/>
  <c r="Q78" i="15"/>
  <c r="P78" i="15"/>
  <c r="M78" i="15"/>
  <c r="B78" i="15"/>
  <c r="A78" i="15"/>
  <c r="R77" i="15"/>
  <c r="Q77" i="15"/>
  <c r="P77" i="15"/>
  <c r="M77" i="15"/>
  <c r="B77" i="15"/>
  <c r="C77" i="15" s="1"/>
  <c r="A77" i="15"/>
  <c r="R76" i="15"/>
  <c r="Q76" i="15"/>
  <c r="P76" i="15"/>
  <c r="M76" i="15"/>
  <c r="B76" i="15"/>
  <c r="A76" i="15"/>
  <c r="R75" i="15"/>
  <c r="Q75" i="15"/>
  <c r="P75" i="15"/>
  <c r="M75" i="15"/>
  <c r="B75" i="15"/>
  <c r="C75" i="15" s="1"/>
  <c r="A75" i="15"/>
  <c r="R74" i="15"/>
  <c r="Q74" i="15"/>
  <c r="P74" i="15"/>
  <c r="M74" i="15"/>
  <c r="B74" i="15"/>
  <c r="A74" i="15"/>
  <c r="R73" i="15"/>
  <c r="Q73" i="15"/>
  <c r="P73" i="15"/>
  <c r="M73" i="15"/>
  <c r="B73" i="15"/>
  <c r="A73" i="15"/>
  <c r="R72" i="15"/>
  <c r="Q72" i="15"/>
  <c r="P72" i="15"/>
  <c r="M72" i="15"/>
  <c r="B72" i="15"/>
  <c r="A72" i="15"/>
  <c r="R71" i="15"/>
  <c r="Q71" i="15"/>
  <c r="P71" i="15"/>
  <c r="M71" i="15"/>
  <c r="B71" i="15"/>
  <c r="C71" i="15" s="1"/>
  <c r="A71" i="15"/>
  <c r="R70" i="15"/>
  <c r="Q70" i="15"/>
  <c r="P70" i="15"/>
  <c r="M70" i="15"/>
  <c r="B70" i="15"/>
  <c r="A70" i="15"/>
  <c r="R69" i="15"/>
  <c r="Q69" i="15"/>
  <c r="P69" i="15"/>
  <c r="M69" i="15"/>
  <c r="B69" i="15"/>
  <c r="A69" i="15"/>
  <c r="R68" i="15"/>
  <c r="Q68" i="15"/>
  <c r="P68" i="15"/>
  <c r="M68" i="15"/>
  <c r="B68" i="15"/>
  <c r="A68" i="15"/>
  <c r="R67" i="15"/>
  <c r="Q67" i="15"/>
  <c r="P67" i="15"/>
  <c r="M67" i="15"/>
  <c r="B67" i="15"/>
  <c r="C67" i="15" s="1"/>
  <c r="A67" i="15"/>
  <c r="R66" i="15"/>
  <c r="Q66" i="15"/>
  <c r="P66" i="15"/>
  <c r="M66" i="15"/>
  <c r="G66" i="15"/>
  <c r="F66" i="15"/>
  <c r="C66" i="15"/>
  <c r="B66" i="15"/>
  <c r="A66" i="15"/>
  <c r="R65" i="15"/>
  <c r="Q65" i="15"/>
  <c r="P65" i="15"/>
  <c r="M65" i="15"/>
  <c r="G65" i="15"/>
  <c r="F65" i="15"/>
  <c r="B65" i="15"/>
  <c r="C65" i="15" s="1"/>
  <c r="A65" i="15"/>
  <c r="R64" i="15"/>
  <c r="Q64" i="15"/>
  <c r="P64" i="15"/>
  <c r="M64" i="15"/>
  <c r="G64" i="15"/>
  <c r="F64" i="15"/>
  <c r="C64" i="15"/>
  <c r="B64" i="15"/>
  <c r="A64" i="15"/>
  <c r="R63" i="15"/>
  <c r="Q63" i="15"/>
  <c r="P63" i="15"/>
  <c r="M63" i="15"/>
  <c r="G63" i="15"/>
  <c r="F63" i="15"/>
  <c r="B63" i="15"/>
  <c r="A63" i="15"/>
  <c r="R62" i="15"/>
  <c r="Q62" i="15"/>
  <c r="P62" i="15"/>
  <c r="M62" i="15"/>
  <c r="G62" i="15"/>
  <c r="F62" i="15"/>
  <c r="C62" i="15"/>
  <c r="B62" i="15"/>
  <c r="A62" i="15"/>
  <c r="R61" i="15"/>
  <c r="Q61" i="15"/>
  <c r="P61" i="15"/>
  <c r="M61" i="15"/>
  <c r="G61" i="15"/>
  <c r="F61" i="15"/>
  <c r="B61" i="15"/>
  <c r="C61" i="15" s="1"/>
  <c r="A61" i="15"/>
  <c r="R60" i="15"/>
  <c r="Q60" i="15"/>
  <c r="P60" i="15"/>
  <c r="M60" i="15"/>
  <c r="G60" i="15"/>
  <c r="F60" i="15"/>
  <c r="C60" i="15"/>
  <c r="B60" i="15"/>
  <c r="A60" i="15"/>
  <c r="R59" i="15"/>
  <c r="Q59" i="15"/>
  <c r="P59" i="15"/>
  <c r="M59" i="15"/>
  <c r="G59" i="15"/>
  <c r="F59" i="15"/>
  <c r="B59" i="15"/>
  <c r="A59" i="15"/>
  <c r="R58" i="15"/>
  <c r="Q58" i="15"/>
  <c r="P58" i="15"/>
  <c r="M58" i="15"/>
  <c r="G58" i="15"/>
  <c r="F58" i="15"/>
  <c r="C58" i="15"/>
  <c r="B58" i="15"/>
  <c r="A58" i="15"/>
  <c r="R57" i="15"/>
  <c r="Q57" i="15"/>
  <c r="P57" i="15"/>
  <c r="M57" i="15"/>
  <c r="G57" i="15"/>
  <c r="F57" i="15"/>
  <c r="B57" i="15"/>
  <c r="C57" i="15" s="1"/>
  <c r="A57" i="15"/>
  <c r="R56" i="15"/>
  <c r="Q56" i="15"/>
  <c r="P56" i="15"/>
  <c r="M56" i="15"/>
  <c r="G56" i="15"/>
  <c r="F56" i="15"/>
  <c r="C56" i="15"/>
  <c r="B56" i="15"/>
  <c r="A56" i="15"/>
  <c r="R55" i="15"/>
  <c r="Q55" i="15"/>
  <c r="P55" i="15"/>
  <c r="M55" i="15"/>
  <c r="G55" i="15"/>
  <c r="F55" i="15"/>
  <c r="B55" i="15"/>
  <c r="A55" i="15"/>
  <c r="R54" i="15"/>
  <c r="Q54" i="15"/>
  <c r="P54" i="15"/>
  <c r="M54" i="15"/>
  <c r="G54" i="15"/>
  <c r="F54" i="15"/>
  <c r="C54" i="15"/>
  <c r="B54" i="15"/>
  <c r="A54" i="15"/>
  <c r="R53" i="15"/>
  <c r="Q53" i="15"/>
  <c r="P53" i="15"/>
  <c r="M53" i="15"/>
  <c r="G53" i="15"/>
  <c r="F53" i="15"/>
  <c r="B53" i="15"/>
  <c r="C53" i="15" s="1"/>
  <c r="A53" i="15"/>
  <c r="R52" i="15"/>
  <c r="Q52" i="15"/>
  <c r="P52" i="15"/>
  <c r="M52" i="15"/>
  <c r="G52" i="15"/>
  <c r="F52" i="15"/>
  <c r="C52" i="15"/>
  <c r="B52" i="15"/>
  <c r="A52" i="15"/>
  <c r="R51" i="15"/>
  <c r="Q51" i="15"/>
  <c r="P51" i="15"/>
  <c r="M51" i="15"/>
  <c r="G51" i="15"/>
  <c r="F51" i="15"/>
  <c r="B51" i="15"/>
  <c r="A51" i="15"/>
  <c r="R50" i="15"/>
  <c r="Q50" i="15"/>
  <c r="P50" i="15"/>
  <c r="M50" i="15"/>
  <c r="G50" i="15"/>
  <c r="F50" i="15"/>
  <c r="C50" i="15"/>
  <c r="B50" i="15"/>
  <c r="A50" i="15"/>
  <c r="R49" i="15"/>
  <c r="Q49" i="15"/>
  <c r="P49" i="15"/>
  <c r="M49" i="15"/>
  <c r="G49" i="15"/>
  <c r="F49" i="15"/>
  <c r="B49" i="15"/>
  <c r="C49" i="15" s="1"/>
  <c r="A49" i="15"/>
  <c r="R48" i="15"/>
  <c r="Q48" i="15"/>
  <c r="P48" i="15"/>
  <c r="M48" i="15"/>
  <c r="G48" i="15"/>
  <c r="F48" i="15"/>
  <c r="C48" i="15"/>
  <c r="B48" i="15"/>
  <c r="A48" i="15"/>
  <c r="R47" i="15"/>
  <c r="Q47" i="15"/>
  <c r="P47" i="15"/>
  <c r="M47" i="15"/>
  <c r="G47" i="15"/>
  <c r="F47" i="15"/>
  <c r="B47" i="15"/>
  <c r="A47" i="15"/>
  <c r="R46" i="15"/>
  <c r="Q46" i="15"/>
  <c r="P46" i="15"/>
  <c r="M46" i="15"/>
  <c r="G46" i="15"/>
  <c r="F46" i="15"/>
  <c r="C46" i="15"/>
  <c r="B46" i="15"/>
  <c r="A46" i="15"/>
  <c r="R45" i="15"/>
  <c r="Q45" i="15"/>
  <c r="P45" i="15"/>
  <c r="M45" i="15"/>
  <c r="C45" i="15"/>
  <c r="B45" i="15"/>
  <c r="A45" i="15"/>
  <c r="R44" i="15"/>
  <c r="Q44" i="15"/>
  <c r="P44" i="15"/>
  <c r="M44" i="15"/>
  <c r="C44" i="15"/>
  <c r="B44" i="15"/>
  <c r="A44" i="15"/>
  <c r="R43" i="15"/>
  <c r="Q43" i="15"/>
  <c r="P43" i="15"/>
  <c r="M43" i="15"/>
  <c r="C43" i="15"/>
  <c r="B43" i="15"/>
  <c r="A43" i="15"/>
  <c r="R42" i="15"/>
  <c r="Q42" i="15"/>
  <c r="P42" i="15"/>
  <c r="M42" i="15"/>
  <c r="C42" i="15"/>
  <c r="B42" i="15"/>
  <c r="A42" i="15"/>
  <c r="R41" i="15"/>
  <c r="Q41" i="15"/>
  <c r="P41" i="15"/>
  <c r="M41" i="15"/>
  <c r="C41" i="15"/>
  <c r="B41" i="15"/>
  <c r="A41" i="15"/>
  <c r="R40" i="15"/>
  <c r="Q40" i="15"/>
  <c r="P40" i="15"/>
  <c r="M40" i="15"/>
  <c r="C40" i="15"/>
  <c r="B40" i="15"/>
  <c r="A40" i="15"/>
  <c r="R39" i="15"/>
  <c r="Q39" i="15"/>
  <c r="P39" i="15"/>
  <c r="M39" i="15"/>
  <c r="C39" i="15"/>
  <c r="B39" i="15"/>
  <c r="A39" i="15"/>
  <c r="R38" i="15"/>
  <c r="Q38" i="15"/>
  <c r="P38" i="15"/>
  <c r="M38" i="15"/>
  <c r="C38" i="15"/>
  <c r="B38" i="15"/>
  <c r="A38" i="15"/>
  <c r="R37" i="15"/>
  <c r="Q37" i="15"/>
  <c r="P37" i="15"/>
  <c r="M37" i="15"/>
  <c r="C37" i="15"/>
  <c r="B37" i="15"/>
  <c r="A37" i="15"/>
  <c r="R36" i="15"/>
  <c r="Q36" i="15"/>
  <c r="P36" i="15"/>
  <c r="M36" i="15"/>
  <c r="C36" i="15"/>
  <c r="B36" i="15"/>
  <c r="A36" i="15"/>
  <c r="R35" i="15"/>
  <c r="Q35" i="15"/>
  <c r="P35" i="15"/>
  <c r="M35" i="15"/>
  <c r="C35" i="15"/>
  <c r="B35" i="15"/>
  <c r="A35" i="15"/>
  <c r="R34" i="15"/>
  <c r="Q34" i="15"/>
  <c r="P34" i="15"/>
  <c r="M34" i="15"/>
  <c r="C34" i="15"/>
  <c r="B34" i="15"/>
  <c r="A34" i="15"/>
  <c r="R33" i="15"/>
  <c r="Q33" i="15"/>
  <c r="P33" i="15"/>
  <c r="M33" i="15"/>
  <c r="C33" i="15"/>
  <c r="B33" i="15"/>
  <c r="A33" i="15"/>
  <c r="R32" i="15"/>
  <c r="Q32" i="15"/>
  <c r="P32" i="15"/>
  <c r="M32" i="15"/>
  <c r="C32" i="15"/>
  <c r="B32" i="15"/>
  <c r="A32" i="15"/>
  <c r="R31" i="15"/>
  <c r="Q31" i="15"/>
  <c r="P31" i="15"/>
  <c r="M31" i="15"/>
  <c r="G31" i="15"/>
  <c r="F31" i="15"/>
  <c r="B31" i="15"/>
  <c r="C31" i="15" s="1"/>
  <c r="A31" i="15"/>
  <c r="R30" i="15"/>
  <c r="Q30" i="15"/>
  <c r="P30" i="15"/>
  <c r="M30" i="15"/>
  <c r="G30" i="15"/>
  <c r="F30" i="15"/>
  <c r="B30" i="15"/>
  <c r="A30" i="15"/>
  <c r="R29" i="15"/>
  <c r="Q29" i="15"/>
  <c r="P29" i="15"/>
  <c r="M29" i="15"/>
  <c r="G29" i="15"/>
  <c r="F29" i="15"/>
  <c r="B29" i="15"/>
  <c r="A29" i="15"/>
  <c r="R28" i="15"/>
  <c r="Q28" i="15"/>
  <c r="P28" i="15"/>
  <c r="M28" i="15"/>
  <c r="B28" i="15"/>
  <c r="A28" i="15"/>
  <c r="R27" i="15"/>
  <c r="Q27" i="15"/>
  <c r="P27" i="15"/>
  <c r="M27" i="15"/>
  <c r="B27" i="15"/>
  <c r="A27" i="15"/>
  <c r="R26" i="15"/>
  <c r="Q26" i="15"/>
  <c r="P26" i="15"/>
  <c r="M26" i="15"/>
  <c r="B26" i="15"/>
  <c r="A26" i="15"/>
  <c r="R25" i="15"/>
  <c r="Q25" i="15"/>
  <c r="P25" i="15"/>
  <c r="M25" i="15"/>
  <c r="G25" i="15"/>
  <c r="F25" i="15"/>
  <c r="C25" i="15"/>
  <c r="B25" i="15"/>
  <c r="A25" i="15"/>
  <c r="R24" i="15"/>
  <c r="Q24" i="15"/>
  <c r="P24" i="15"/>
  <c r="M24" i="15"/>
  <c r="G24" i="15"/>
  <c r="F24" i="15"/>
  <c r="B24" i="15"/>
  <c r="C24" i="15" s="1"/>
  <c r="A24" i="15"/>
  <c r="R23" i="15"/>
  <c r="Q23" i="15"/>
  <c r="P23" i="15"/>
  <c r="M23" i="15"/>
  <c r="G23" i="15"/>
  <c r="F23" i="15"/>
  <c r="B23" i="15"/>
  <c r="A23" i="15"/>
  <c r="R22" i="15"/>
  <c r="Q22" i="15"/>
  <c r="P22" i="15"/>
  <c r="M22" i="15"/>
  <c r="G22" i="15"/>
  <c r="F22" i="15"/>
  <c r="B22" i="15"/>
  <c r="A22" i="15"/>
  <c r="R21" i="15"/>
  <c r="Q21" i="15"/>
  <c r="P21" i="15"/>
  <c r="M21" i="15"/>
  <c r="G21" i="15"/>
  <c r="F21" i="15"/>
  <c r="C21" i="15"/>
  <c r="B21" i="15"/>
  <c r="A21" i="15"/>
  <c r="R20" i="15"/>
  <c r="Q20" i="15"/>
  <c r="P20" i="15"/>
  <c r="M20" i="15"/>
  <c r="G20" i="15"/>
  <c r="F20" i="15"/>
  <c r="B20" i="15"/>
  <c r="C20" i="15" s="1"/>
  <c r="A20" i="15"/>
  <c r="R19" i="15"/>
  <c r="Q19" i="15"/>
  <c r="P19" i="15"/>
  <c r="M19" i="15"/>
  <c r="G19" i="15"/>
  <c r="F19" i="15"/>
  <c r="B19" i="15"/>
  <c r="A19" i="15"/>
  <c r="R18" i="15"/>
  <c r="Q18" i="15"/>
  <c r="P18" i="15"/>
  <c r="M18" i="15"/>
  <c r="G18" i="15"/>
  <c r="F18" i="15"/>
  <c r="B18" i="15"/>
  <c r="A18" i="15"/>
  <c r="R17" i="15"/>
  <c r="Q17" i="15"/>
  <c r="P17" i="15"/>
  <c r="M17" i="15"/>
  <c r="G17" i="15"/>
  <c r="F17" i="15"/>
  <c r="C17" i="15"/>
  <c r="B17" i="15"/>
  <c r="A17" i="15"/>
  <c r="R16" i="15"/>
  <c r="Q16" i="15"/>
  <c r="P16" i="15"/>
  <c r="M16" i="15"/>
  <c r="G16" i="15"/>
  <c r="F16" i="15"/>
  <c r="B16" i="15"/>
  <c r="C16" i="15" s="1"/>
  <c r="A16" i="15"/>
  <c r="R15" i="15"/>
  <c r="Q15" i="15"/>
  <c r="P15" i="15"/>
  <c r="M15" i="15"/>
  <c r="G15" i="15"/>
  <c r="F15" i="15"/>
  <c r="B15" i="15"/>
  <c r="A15" i="15"/>
  <c r="R14" i="15"/>
  <c r="Q14" i="15"/>
  <c r="P14" i="15"/>
  <c r="M14" i="15"/>
  <c r="G14" i="15"/>
  <c r="F14" i="15"/>
  <c r="B14" i="15"/>
  <c r="A14" i="15"/>
  <c r="R13" i="15"/>
  <c r="Q13" i="15"/>
  <c r="P13" i="15"/>
  <c r="M13" i="15"/>
  <c r="G13" i="15"/>
  <c r="F13" i="15"/>
  <c r="C13" i="15"/>
  <c r="B13" i="15"/>
  <c r="A13" i="15"/>
  <c r="R12" i="15"/>
  <c r="Q12" i="15"/>
  <c r="P12" i="15"/>
  <c r="M12" i="15"/>
  <c r="G12" i="15"/>
  <c r="F12" i="15"/>
  <c r="B12" i="15"/>
  <c r="C12" i="15" s="1"/>
  <c r="A12" i="15"/>
  <c r="R11" i="15"/>
  <c r="Q11" i="15"/>
  <c r="P11" i="15"/>
  <c r="M11" i="15"/>
  <c r="G11" i="15"/>
  <c r="F11" i="15"/>
  <c r="B11" i="15"/>
  <c r="A11" i="15"/>
  <c r="R10" i="15"/>
  <c r="Q10" i="15"/>
  <c r="P10" i="15"/>
  <c r="M10" i="15"/>
  <c r="G10" i="15"/>
  <c r="F10" i="15"/>
  <c r="B10" i="15"/>
  <c r="A10" i="15"/>
  <c r="R9" i="15"/>
  <c r="Q9" i="15"/>
  <c r="P9" i="15"/>
  <c r="M9" i="15"/>
  <c r="G9" i="15"/>
  <c r="F9" i="15"/>
  <c r="C9" i="15"/>
  <c r="B9" i="15"/>
  <c r="A9" i="15"/>
  <c r="R8" i="15"/>
  <c r="Q8" i="15"/>
  <c r="P8" i="15"/>
  <c r="M8" i="15"/>
  <c r="G8" i="15"/>
  <c r="F8" i="15"/>
  <c r="B8" i="15"/>
  <c r="C8" i="15" s="1"/>
  <c r="A8" i="15"/>
  <c r="R7" i="15"/>
  <c r="Q7" i="15"/>
  <c r="P7" i="15"/>
  <c r="M7" i="15"/>
  <c r="G7" i="15"/>
  <c r="F7" i="15"/>
  <c r="C7" i="15"/>
  <c r="B7" i="15"/>
  <c r="A7" i="15"/>
  <c r="R6" i="15"/>
  <c r="Q6" i="15"/>
  <c r="P6" i="15"/>
  <c r="M6" i="15"/>
  <c r="G6" i="15"/>
  <c r="F6" i="15"/>
  <c r="B6" i="15"/>
  <c r="A6" i="15"/>
  <c r="R5" i="15"/>
  <c r="Q5" i="15"/>
  <c r="P5" i="15"/>
  <c r="M5" i="15"/>
  <c r="G5" i="15"/>
  <c r="F5" i="15"/>
  <c r="C5" i="15"/>
  <c r="B5" i="15"/>
  <c r="A5" i="15"/>
  <c r="R4" i="15"/>
  <c r="Q4" i="15"/>
  <c r="P4" i="15"/>
  <c r="M4" i="15"/>
  <c r="G4" i="15"/>
  <c r="F4" i="15"/>
  <c r="B4" i="15"/>
  <c r="C4" i="15" s="1"/>
  <c r="A4" i="15"/>
  <c r="R3" i="15"/>
  <c r="Q3" i="15"/>
  <c r="P3" i="15"/>
  <c r="M3" i="15"/>
  <c r="G3" i="15"/>
  <c r="F3" i="15"/>
  <c r="C3" i="15"/>
  <c r="B3" i="15"/>
  <c r="A3" i="15"/>
  <c r="R2" i="15"/>
  <c r="Q2" i="15"/>
  <c r="P2" i="15"/>
  <c r="M2" i="15"/>
  <c r="G2" i="15"/>
  <c r="F2" i="15"/>
  <c r="B2" i="15"/>
  <c r="A2" i="15"/>
  <c r="R499" i="14"/>
  <c r="Q499" i="14"/>
  <c r="P499" i="14"/>
  <c r="M499" i="14"/>
  <c r="G499" i="14"/>
  <c r="F499" i="14"/>
  <c r="C499" i="14"/>
  <c r="B499" i="14"/>
  <c r="A499" i="14"/>
  <c r="R498" i="14"/>
  <c r="Q498" i="14"/>
  <c r="P498" i="14"/>
  <c r="M498" i="14"/>
  <c r="G498" i="14"/>
  <c r="F498" i="14"/>
  <c r="B498" i="14"/>
  <c r="C498" i="14" s="1"/>
  <c r="A498" i="14"/>
  <c r="R497" i="14"/>
  <c r="Q497" i="14"/>
  <c r="P497" i="14"/>
  <c r="M497" i="14"/>
  <c r="G497" i="14"/>
  <c r="F497" i="14"/>
  <c r="B497" i="14"/>
  <c r="A497" i="14"/>
  <c r="R496" i="14"/>
  <c r="Q496" i="14"/>
  <c r="P496" i="14"/>
  <c r="M496" i="14"/>
  <c r="G496" i="14"/>
  <c r="F496" i="14"/>
  <c r="B496" i="14"/>
  <c r="A496" i="14"/>
  <c r="R495" i="14"/>
  <c r="Q495" i="14"/>
  <c r="P495" i="14"/>
  <c r="M495" i="14"/>
  <c r="G495" i="14"/>
  <c r="F495" i="14"/>
  <c r="C495" i="14"/>
  <c r="B495" i="14"/>
  <c r="A495" i="14"/>
  <c r="R494" i="14"/>
  <c r="Q494" i="14"/>
  <c r="P494" i="14"/>
  <c r="M494" i="14"/>
  <c r="G494" i="14"/>
  <c r="F494" i="14"/>
  <c r="B494" i="14"/>
  <c r="C494" i="14" s="1"/>
  <c r="A494" i="14"/>
  <c r="R493" i="14"/>
  <c r="Q493" i="14"/>
  <c r="P493" i="14"/>
  <c r="M493" i="14"/>
  <c r="G493" i="14"/>
  <c r="F493" i="14"/>
  <c r="B493" i="14"/>
  <c r="A493" i="14"/>
  <c r="R492" i="14"/>
  <c r="Q492" i="14"/>
  <c r="P492" i="14"/>
  <c r="M492" i="14"/>
  <c r="G492" i="14"/>
  <c r="F492" i="14"/>
  <c r="B492" i="14"/>
  <c r="A492" i="14"/>
  <c r="R491" i="14"/>
  <c r="Q491" i="14"/>
  <c r="P491" i="14"/>
  <c r="M491" i="14"/>
  <c r="G491" i="14"/>
  <c r="F491" i="14"/>
  <c r="C491" i="14"/>
  <c r="B491" i="14"/>
  <c r="A491" i="14"/>
  <c r="R490" i="14"/>
  <c r="Q490" i="14"/>
  <c r="P490" i="14"/>
  <c r="M490" i="14"/>
  <c r="G490" i="14"/>
  <c r="F490" i="14"/>
  <c r="B490" i="14"/>
  <c r="C490" i="14" s="1"/>
  <c r="A490" i="14"/>
  <c r="R489" i="14"/>
  <c r="Q489" i="14"/>
  <c r="P489" i="14"/>
  <c r="M489" i="14"/>
  <c r="G489" i="14"/>
  <c r="F489" i="14"/>
  <c r="B489" i="14"/>
  <c r="A489" i="14"/>
  <c r="R488" i="14"/>
  <c r="Q488" i="14"/>
  <c r="P488" i="14"/>
  <c r="M488" i="14"/>
  <c r="G488" i="14"/>
  <c r="F488" i="14"/>
  <c r="B488" i="14"/>
  <c r="A488" i="14"/>
  <c r="R487" i="14"/>
  <c r="Q487" i="14"/>
  <c r="P487" i="14"/>
  <c r="M487" i="14"/>
  <c r="G487" i="14"/>
  <c r="F487" i="14"/>
  <c r="C487" i="14"/>
  <c r="B487" i="14"/>
  <c r="A487" i="14"/>
  <c r="R486" i="14"/>
  <c r="Q486" i="14"/>
  <c r="P486" i="14"/>
  <c r="M486" i="14"/>
  <c r="G486" i="14"/>
  <c r="F486" i="14"/>
  <c r="B486" i="14"/>
  <c r="C486" i="14" s="1"/>
  <c r="A486" i="14"/>
  <c r="R485" i="14"/>
  <c r="Q485" i="14"/>
  <c r="P485" i="14"/>
  <c r="M485" i="14"/>
  <c r="G485" i="14"/>
  <c r="F485" i="14"/>
  <c r="B485" i="14"/>
  <c r="A485" i="14"/>
  <c r="R484" i="14"/>
  <c r="Q484" i="14"/>
  <c r="P484" i="14"/>
  <c r="M484" i="14"/>
  <c r="G484" i="14"/>
  <c r="F484" i="14"/>
  <c r="B484" i="14"/>
  <c r="A484" i="14"/>
  <c r="R483" i="14"/>
  <c r="Q483" i="14"/>
  <c r="P483" i="14"/>
  <c r="M483" i="14"/>
  <c r="G483" i="14"/>
  <c r="F483" i="14"/>
  <c r="C483" i="14"/>
  <c r="B483" i="14"/>
  <c r="A483" i="14"/>
  <c r="R482" i="14"/>
  <c r="Q482" i="14"/>
  <c r="P482" i="14"/>
  <c r="M482" i="14"/>
  <c r="G482" i="14"/>
  <c r="F482" i="14"/>
  <c r="B482" i="14"/>
  <c r="C482" i="14" s="1"/>
  <c r="A482" i="14"/>
  <c r="R481" i="14"/>
  <c r="Q481" i="14"/>
  <c r="P481" i="14"/>
  <c r="M481" i="14"/>
  <c r="G481" i="14"/>
  <c r="F481" i="14"/>
  <c r="B481" i="14"/>
  <c r="A481" i="14"/>
  <c r="R480" i="14"/>
  <c r="Q480" i="14"/>
  <c r="P480" i="14"/>
  <c r="M480" i="14"/>
  <c r="G480" i="14"/>
  <c r="F480" i="14"/>
  <c r="B480" i="14"/>
  <c r="A480" i="14"/>
  <c r="R479" i="14"/>
  <c r="Q479" i="14"/>
  <c r="P479" i="14"/>
  <c r="M479" i="14"/>
  <c r="G479" i="14"/>
  <c r="F479" i="14"/>
  <c r="C479" i="14"/>
  <c r="B479" i="14"/>
  <c r="A479" i="14"/>
  <c r="R478" i="14"/>
  <c r="Q478" i="14"/>
  <c r="P478" i="14"/>
  <c r="M478" i="14"/>
  <c r="G478" i="14"/>
  <c r="F478" i="14"/>
  <c r="B478" i="14"/>
  <c r="C478" i="14" s="1"/>
  <c r="A478" i="14"/>
  <c r="R477" i="14"/>
  <c r="Q477" i="14"/>
  <c r="P477" i="14"/>
  <c r="M477" i="14"/>
  <c r="G477" i="14"/>
  <c r="F477" i="14"/>
  <c r="B477" i="14"/>
  <c r="A477" i="14"/>
  <c r="R476" i="14"/>
  <c r="Q476" i="14"/>
  <c r="P476" i="14"/>
  <c r="M476" i="14"/>
  <c r="G476" i="14"/>
  <c r="F476" i="14"/>
  <c r="B476" i="14"/>
  <c r="A476" i="14"/>
  <c r="R475" i="14"/>
  <c r="Q475" i="14"/>
  <c r="P475" i="14"/>
  <c r="M475" i="14"/>
  <c r="G475" i="14"/>
  <c r="F475" i="14"/>
  <c r="C475" i="14"/>
  <c r="B475" i="14"/>
  <c r="A475" i="14"/>
  <c r="R474" i="14"/>
  <c r="Q474" i="14"/>
  <c r="P474" i="14"/>
  <c r="M474" i="14"/>
  <c r="G474" i="14"/>
  <c r="F474" i="14"/>
  <c r="B474" i="14"/>
  <c r="C474" i="14" s="1"/>
  <c r="A474" i="14"/>
  <c r="R473" i="14"/>
  <c r="Q473" i="14"/>
  <c r="P473" i="14"/>
  <c r="M473" i="14"/>
  <c r="G473" i="14"/>
  <c r="F473" i="14"/>
  <c r="B473" i="14"/>
  <c r="A473" i="14"/>
  <c r="R472" i="14"/>
  <c r="Q472" i="14"/>
  <c r="P472" i="14"/>
  <c r="M472" i="14"/>
  <c r="G472" i="14"/>
  <c r="F472" i="14"/>
  <c r="B472" i="14"/>
  <c r="A472" i="14"/>
  <c r="R471" i="14"/>
  <c r="Q471" i="14"/>
  <c r="P471" i="14"/>
  <c r="M471" i="14"/>
  <c r="G471" i="14"/>
  <c r="F471" i="14"/>
  <c r="C471" i="14"/>
  <c r="B471" i="14"/>
  <c r="A471" i="14"/>
  <c r="R470" i="14"/>
  <c r="Q470" i="14"/>
  <c r="P470" i="14"/>
  <c r="M470" i="14"/>
  <c r="G470" i="14"/>
  <c r="F470" i="14"/>
  <c r="B470" i="14"/>
  <c r="C470" i="14" s="1"/>
  <c r="A470" i="14"/>
  <c r="R469" i="14"/>
  <c r="Q469" i="14"/>
  <c r="P469" i="14"/>
  <c r="M469" i="14"/>
  <c r="G469" i="14"/>
  <c r="F469" i="14"/>
  <c r="B469" i="14"/>
  <c r="A469" i="14"/>
  <c r="R468" i="14"/>
  <c r="Q468" i="14"/>
  <c r="P468" i="14"/>
  <c r="M468" i="14"/>
  <c r="G468" i="14"/>
  <c r="F468" i="14"/>
  <c r="B468" i="14"/>
  <c r="A468" i="14"/>
  <c r="R467" i="14"/>
  <c r="Q467" i="14"/>
  <c r="P467" i="14"/>
  <c r="M467" i="14"/>
  <c r="G467" i="14"/>
  <c r="F467" i="14"/>
  <c r="C467" i="14"/>
  <c r="B467" i="14"/>
  <c r="A467" i="14"/>
  <c r="R466" i="14"/>
  <c r="Q466" i="14"/>
  <c r="P466" i="14"/>
  <c r="M466" i="14"/>
  <c r="G466" i="14"/>
  <c r="F466" i="14"/>
  <c r="B466" i="14"/>
  <c r="C466" i="14" s="1"/>
  <c r="A466" i="14"/>
  <c r="R465" i="14"/>
  <c r="Q465" i="14"/>
  <c r="P465" i="14"/>
  <c r="M465" i="14"/>
  <c r="G465" i="14"/>
  <c r="F465" i="14"/>
  <c r="B465" i="14"/>
  <c r="A465" i="14"/>
  <c r="R464" i="14"/>
  <c r="Q464" i="14"/>
  <c r="P464" i="14"/>
  <c r="M464" i="14"/>
  <c r="G464" i="14"/>
  <c r="F464" i="14"/>
  <c r="B464" i="14"/>
  <c r="A464" i="14"/>
  <c r="R463" i="14"/>
  <c r="Q463" i="14"/>
  <c r="P463" i="14"/>
  <c r="M463" i="14"/>
  <c r="G463" i="14"/>
  <c r="F463" i="14"/>
  <c r="C463" i="14"/>
  <c r="B463" i="14"/>
  <c r="A463" i="14"/>
  <c r="R462" i="14"/>
  <c r="Q462" i="14"/>
  <c r="P462" i="14"/>
  <c r="M462" i="14"/>
  <c r="G462" i="14"/>
  <c r="F462" i="14"/>
  <c r="B462" i="14"/>
  <c r="C462" i="14" s="1"/>
  <c r="A462" i="14"/>
  <c r="R461" i="14"/>
  <c r="Q461" i="14"/>
  <c r="P461" i="14"/>
  <c r="M461" i="14"/>
  <c r="G461" i="14"/>
  <c r="F461" i="14"/>
  <c r="B461" i="14"/>
  <c r="A461" i="14"/>
  <c r="R460" i="14"/>
  <c r="Q460" i="14"/>
  <c r="P460" i="14"/>
  <c r="M460" i="14"/>
  <c r="G460" i="14"/>
  <c r="F460" i="14"/>
  <c r="B460" i="14"/>
  <c r="A460" i="14"/>
  <c r="R459" i="14"/>
  <c r="Q459" i="14"/>
  <c r="P459" i="14"/>
  <c r="M459" i="14"/>
  <c r="G459" i="14"/>
  <c r="F459" i="14"/>
  <c r="C459" i="14"/>
  <c r="B459" i="14"/>
  <c r="A459" i="14"/>
  <c r="R458" i="14"/>
  <c r="Q458" i="14"/>
  <c r="P458" i="14"/>
  <c r="M458" i="14"/>
  <c r="G458" i="14"/>
  <c r="F458" i="14"/>
  <c r="B458" i="14"/>
  <c r="C458" i="14" s="1"/>
  <c r="A458" i="14"/>
  <c r="R457" i="14"/>
  <c r="Q457" i="14"/>
  <c r="P457" i="14"/>
  <c r="M457" i="14"/>
  <c r="G457" i="14"/>
  <c r="F457" i="14"/>
  <c r="B457" i="14"/>
  <c r="A457" i="14"/>
  <c r="R456" i="14"/>
  <c r="Q456" i="14"/>
  <c r="P456" i="14"/>
  <c r="M456" i="14"/>
  <c r="G456" i="14"/>
  <c r="F456" i="14"/>
  <c r="B456" i="14"/>
  <c r="A456" i="14"/>
  <c r="R455" i="14"/>
  <c r="Q455" i="14"/>
  <c r="P455" i="14"/>
  <c r="M455" i="14"/>
  <c r="G455" i="14"/>
  <c r="F455" i="14"/>
  <c r="C455" i="14"/>
  <c r="B455" i="14"/>
  <c r="A455" i="14"/>
  <c r="R454" i="14"/>
  <c r="Q454" i="14"/>
  <c r="P454" i="14"/>
  <c r="M454" i="14"/>
  <c r="G454" i="14"/>
  <c r="F454" i="14"/>
  <c r="B454" i="14"/>
  <c r="C454" i="14" s="1"/>
  <c r="A454" i="14"/>
  <c r="R453" i="14"/>
  <c r="Q453" i="14"/>
  <c r="P453" i="14"/>
  <c r="M453" i="14"/>
  <c r="G453" i="14"/>
  <c r="F453" i="14"/>
  <c r="B453" i="14"/>
  <c r="A453" i="14"/>
  <c r="R452" i="14"/>
  <c r="Q452" i="14"/>
  <c r="P452" i="14"/>
  <c r="M452" i="14"/>
  <c r="G452" i="14"/>
  <c r="F452" i="14"/>
  <c r="B452" i="14"/>
  <c r="A452" i="14"/>
  <c r="R451" i="14"/>
  <c r="Q451" i="14"/>
  <c r="P451" i="14"/>
  <c r="M451" i="14"/>
  <c r="G451" i="14"/>
  <c r="F451" i="14"/>
  <c r="C451" i="14"/>
  <c r="B451" i="14"/>
  <c r="A451" i="14"/>
  <c r="R450" i="14"/>
  <c r="Q450" i="14"/>
  <c r="P450" i="14"/>
  <c r="M450" i="14"/>
  <c r="G450" i="14"/>
  <c r="F450" i="14"/>
  <c r="B450" i="14"/>
  <c r="C450" i="14" s="1"/>
  <c r="A450" i="14"/>
  <c r="R449" i="14"/>
  <c r="Q449" i="14"/>
  <c r="P449" i="14"/>
  <c r="M449" i="14"/>
  <c r="G449" i="14"/>
  <c r="F449" i="14"/>
  <c r="B449" i="14"/>
  <c r="A449" i="14"/>
  <c r="R448" i="14"/>
  <c r="Q448" i="14"/>
  <c r="P448" i="14"/>
  <c r="M448" i="14"/>
  <c r="G448" i="14"/>
  <c r="F448" i="14"/>
  <c r="B448" i="14"/>
  <c r="A448" i="14"/>
  <c r="R447" i="14"/>
  <c r="Q447" i="14"/>
  <c r="P447" i="14"/>
  <c r="M447" i="14"/>
  <c r="G447" i="14"/>
  <c r="F447" i="14"/>
  <c r="C447" i="14"/>
  <c r="B447" i="14"/>
  <c r="A447" i="14"/>
  <c r="R446" i="14"/>
  <c r="Q446" i="14"/>
  <c r="P446" i="14"/>
  <c r="M446" i="14"/>
  <c r="G446" i="14"/>
  <c r="F446" i="14"/>
  <c r="B446" i="14"/>
  <c r="C446" i="14" s="1"/>
  <c r="A446" i="14"/>
  <c r="R445" i="14"/>
  <c r="Q445" i="14"/>
  <c r="P445" i="14"/>
  <c r="M445" i="14"/>
  <c r="G445" i="14"/>
  <c r="F445" i="14"/>
  <c r="B445" i="14"/>
  <c r="A445" i="14"/>
  <c r="R444" i="14"/>
  <c r="Q444" i="14"/>
  <c r="P444" i="14"/>
  <c r="M444" i="14"/>
  <c r="G444" i="14"/>
  <c r="F444" i="14"/>
  <c r="B444" i="14"/>
  <c r="A444" i="14"/>
  <c r="R443" i="14"/>
  <c r="Q443" i="14"/>
  <c r="P443" i="14"/>
  <c r="M443" i="14"/>
  <c r="G443" i="14"/>
  <c r="F443" i="14"/>
  <c r="C443" i="14"/>
  <c r="B443" i="14"/>
  <c r="A443" i="14"/>
  <c r="R442" i="14"/>
  <c r="Q442" i="14"/>
  <c r="P442" i="14"/>
  <c r="M442" i="14"/>
  <c r="G442" i="14"/>
  <c r="F442" i="14"/>
  <c r="B442" i="14"/>
  <c r="C442" i="14" s="1"/>
  <c r="A442" i="14"/>
  <c r="R441" i="14"/>
  <c r="Q441" i="14"/>
  <c r="P441" i="14"/>
  <c r="M441" i="14"/>
  <c r="G441" i="14"/>
  <c r="F441" i="14"/>
  <c r="B441" i="14"/>
  <c r="A441" i="14"/>
  <c r="R440" i="14"/>
  <c r="Q440" i="14"/>
  <c r="P440" i="14"/>
  <c r="M440" i="14"/>
  <c r="G440" i="14"/>
  <c r="F440" i="14"/>
  <c r="B440" i="14"/>
  <c r="A440" i="14"/>
  <c r="R439" i="14"/>
  <c r="Q439" i="14"/>
  <c r="P439" i="14"/>
  <c r="M439" i="14"/>
  <c r="G439" i="14"/>
  <c r="F439" i="14"/>
  <c r="C439" i="14"/>
  <c r="B439" i="14"/>
  <c r="A439" i="14"/>
  <c r="R438" i="14"/>
  <c r="Q438" i="14"/>
  <c r="P438" i="14"/>
  <c r="M438" i="14"/>
  <c r="G438" i="14"/>
  <c r="F438" i="14"/>
  <c r="B438" i="14"/>
  <c r="C438" i="14" s="1"/>
  <c r="A438" i="14"/>
  <c r="R437" i="14"/>
  <c r="Q437" i="14"/>
  <c r="P437" i="14"/>
  <c r="M437" i="14"/>
  <c r="G437" i="14"/>
  <c r="F437" i="14"/>
  <c r="B437" i="14"/>
  <c r="A437" i="14"/>
  <c r="R436" i="14"/>
  <c r="Q436" i="14"/>
  <c r="P436" i="14"/>
  <c r="M436" i="14"/>
  <c r="G436" i="14"/>
  <c r="F436" i="14"/>
  <c r="B436" i="14"/>
  <c r="A436" i="14"/>
  <c r="R435" i="14"/>
  <c r="Q435" i="14"/>
  <c r="P435" i="14"/>
  <c r="M435" i="14"/>
  <c r="G435" i="14"/>
  <c r="F435" i="14"/>
  <c r="C435" i="14"/>
  <c r="B435" i="14"/>
  <c r="A435" i="14"/>
  <c r="R434" i="14"/>
  <c r="Q434" i="14"/>
  <c r="P434" i="14"/>
  <c r="M434" i="14"/>
  <c r="G434" i="14"/>
  <c r="F434" i="14"/>
  <c r="B434" i="14"/>
  <c r="C434" i="14" s="1"/>
  <c r="A434" i="14"/>
  <c r="R433" i="14"/>
  <c r="Q433" i="14"/>
  <c r="P433" i="14"/>
  <c r="M433" i="14"/>
  <c r="G433" i="14"/>
  <c r="F433" i="14"/>
  <c r="B433" i="14"/>
  <c r="A433" i="14"/>
  <c r="R432" i="14"/>
  <c r="Q432" i="14"/>
  <c r="P432" i="14"/>
  <c r="M432" i="14"/>
  <c r="G432" i="14"/>
  <c r="F432" i="14"/>
  <c r="B432" i="14"/>
  <c r="A432" i="14"/>
  <c r="R431" i="14"/>
  <c r="Q431" i="14"/>
  <c r="P431" i="14"/>
  <c r="M431" i="14"/>
  <c r="G431" i="14"/>
  <c r="F431" i="14"/>
  <c r="C431" i="14"/>
  <c r="B431" i="14"/>
  <c r="A431" i="14"/>
  <c r="R430" i="14"/>
  <c r="Q430" i="14"/>
  <c r="P430" i="14"/>
  <c r="M430" i="14"/>
  <c r="G430" i="14"/>
  <c r="F430" i="14"/>
  <c r="B430" i="14"/>
  <c r="C430" i="14" s="1"/>
  <c r="A430" i="14"/>
  <c r="R429" i="14"/>
  <c r="Q429" i="14"/>
  <c r="P429" i="14"/>
  <c r="M429" i="14"/>
  <c r="G429" i="14"/>
  <c r="F429" i="14"/>
  <c r="B429" i="14"/>
  <c r="A429" i="14"/>
  <c r="R428" i="14"/>
  <c r="Q428" i="14"/>
  <c r="P428" i="14"/>
  <c r="M428" i="14"/>
  <c r="G428" i="14"/>
  <c r="F428" i="14"/>
  <c r="B428" i="14"/>
  <c r="A428" i="14"/>
  <c r="R427" i="14"/>
  <c r="Q427" i="14"/>
  <c r="P427" i="14"/>
  <c r="M427" i="14"/>
  <c r="G427" i="14"/>
  <c r="F427" i="14"/>
  <c r="C427" i="14"/>
  <c r="B427" i="14"/>
  <c r="A427" i="14"/>
  <c r="R426" i="14"/>
  <c r="Q426" i="14"/>
  <c r="P426" i="14"/>
  <c r="M426" i="14"/>
  <c r="G426" i="14"/>
  <c r="F426" i="14"/>
  <c r="B426" i="14"/>
  <c r="C426" i="14" s="1"/>
  <c r="A426" i="14"/>
  <c r="R425" i="14"/>
  <c r="Q425" i="14"/>
  <c r="P425" i="14"/>
  <c r="M425" i="14"/>
  <c r="G425" i="14"/>
  <c r="F425" i="14"/>
  <c r="B425" i="14"/>
  <c r="A425" i="14"/>
  <c r="R424" i="14"/>
  <c r="Q424" i="14"/>
  <c r="P424" i="14"/>
  <c r="M424" i="14"/>
  <c r="G424" i="14"/>
  <c r="F424" i="14"/>
  <c r="B424" i="14"/>
  <c r="A424" i="14"/>
  <c r="R423" i="14"/>
  <c r="Q423" i="14"/>
  <c r="P423" i="14"/>
  <c r="M423" i="14"/>
  <c r="G423" i="14"/>
  <c r="F423" i="14"/>
  <c r="C423" i="14"/>
  <c r="B423" i="14"/>
  <c r="A423" i="14"/>
  <c r="R422" i="14"/>
  <c r="Q422" i="14"/>
  <c r="P422" i="14"/>
  <c r="M422" i="14"/>
  <c r="G422" i="14"/>
  <c r="F422" i="14"/>
  <c r="B422" i="14"/>
  <c r="C422" i="14" s="1"/>
  <c r="A422" i="14"/>
  <c r="R421" i="14"/>
  <c r="Q421" i="14"/>
  <c r="P421" i="14"/>
  <c r="M421" i="14"/>
  <c r="G421" i="14"/>
  <c r="F421" i="14"/>
  <c r="B421" i="14"/>
  <c r="A421" i="14"/>
  <c r="R420" i="14"/>
  <c r="Q420" i="14"/>
  <c r="P420" i="14"/>
  <c r="M420" i="14"/>
  <c r="G420" i="14"/>
  <c r="F420" i="14"/>
  <c r="B420" i="14"/>
  <c r="A420" i="14"/>
  <c r="R419" i="14"/>
  <c r="Q419" i="14"/>
  <c r="P419" i="14"/>
  <c r="M419" i="14"/>
  <c r="G419" i="14"/>
  <c r="F419" i="14"/>
  <c r="C419" i="14"/>
  <c r="B419" i="14"/>
  <c r="A419" i="14"/>
  <c r="R418" i="14"/>
  <c r="Q418" i="14"/>
  <c r="P418" i="14"/>
  <c r="M418" i="14"/>
  <c r="G418" i="14"/>
  <c r="F418" i="14"/>
  <c r="B418" i="14"/>
  <c r="C418" i="14" s="1"/>
  <c r="A418" i="14"/>
  <c r="R417" i="14"/>
  <c r="Q417" i="14"/>
  <c r="P417" i="14"/>
  <c r="M417" i="14"/>
  <c r="G417" i="14"/>
  <c r="F417" i="14"/>
  <c r="B417" i="14"/>
  <c r="A417" i="14"/>
  <c r="R416" i="14"/>
  <c r="Q416" i="14"/>
  <c r="P416" i="14"/>
  <c r="M416" i="14"/>
  <c r="G416" i="14"/>
  <c r="F416" i="14"/>
  <c r="B416" i="14"/>
  <c r="A416" i="14"/>
  <c r="R415" i="14"/>
  <c r="Q415" i="14"/>
  <c r="P415" i="14"/>
  <c r="M415" i="14"/>
  <c r="G415" i="14"/>
  <c r="F415" i="14"/>
  <c r="C415" i="14"/>
  <c r="B415" i="14"/>
  <c r="A415" i="14"/>
  <c r="R414" i="14"/>
  <c r="Q414" i="14"/>
  <c r="P414" i="14"/>
  <c r="M414" i="14"/>
  <c r="G414" i="14"/>
  <c r="F414" i="14"/>
  <c r="B414" i="14"/>
  <c r="C414" i="14" s="1"/>
  <c r="A414" i="14"/>
  <c r="R413" i="14"/>
  <c r="Q413" i="14"/>
  <c r="P413" i="14"/>
  <c r="M413" i="14"/>
  <c r="G413" i="14"/>
  <c r="F413" i="14"/>
  <c r="B413" i="14"/>
  <c r="A413" i="14"/>
  <c r="R412" i="14"/>
  <c r="Q412" i="14"/>
  <c r="P412" i="14"/>
  <c r="M412" i="14"/>
  <c r="G412" i="14"/>
  <c r="F412" i="14"/>
  <c r="B412" i="14"/>
  <c r="A412" i="14"/>
  <c r="R411" i="14"/>
  <c r="Q411" i="14"/>
  <c r="P411" i="14"/>
  <c r="M411" i="14"/>
  <c r="G411" i="14"/>
  <c r="F411" i="14"/>
  <c r="C411" i="14"/>
  <c r="B411" i="14"/>
  <c r="A411" i="14"/>
  <c r="R410" i="14"/>
  <c r="Q410" i="14"/>
  <c r="P410" i="14"/>
  <c r="M410" i="14"/>
  <c r="G410" i="14"/>
  <c r="F410" i="14"/>
  <c r="B410" i="14"/>
  <c r="C410" i="14" s="1"/>
  <c r="A410" i="14"/>
  <c r="R409" i="14"/>
  <c r="Q409" i="14"/>
  <c r="P409" i="14"/>
  <c r="M409" i="14"/>
  <c r="G409" i="14"/>
  <c r="F409" i="14"/>
  <c r="B409" i="14"/>
  <c r="A409" i="14"/>
  <c r="R408" i="14"/>
  <c r="Q408" i="14"/>
  <c r="P408" i="14"/>
  <c r="M408" i="14"/>
  <c r="G408" i="14"/>
  <c r="F408" i="14"/>
  <c r="B408" i="14"/>
  <c r="A408" i="14"/>
  <c r="R407" i="14"/>
  <c r="Q407" i="14"/>
  <c r="P407" i="14"/>
  <c r="M407" i="14"/>
  <c r="G407" i="14"/>
  <c r="F407" i="14"/>
  <c r="C407" i="14"/>
  <c r="B407" i="14"/>
  <c r="A407" i="14"/>
  <c r="R406" i="14"/>
  <c r="Q406" i="14"/>
  <c r="P406" i="14"/>
  <c r="M406" i="14"/>
  <c r="G406" i="14"/>
  <c r="F406" i="14"/>
  <c r="B406" i="14"/>
  <c r="C406" i="14" s="1"/>
  <c r="A406" i="14"/>
  <c r="R405" i="14"/>
  <c r="Q405" i="14"/>
  <c r="P405" i="14"/>
  <c r="M405" i="14"/>
  <c r="G405" i="14"/>
  <c r="F405" i="14"/>
  <c r="B405" i="14"/>
  <c r="A405" i="14"/>
  <c r="R404" i="14"/>
  <c r="Q404" i="14"/>
  <c r="P404" i="14"/>
  <c r="M404" i="14"/>
  <c r="G404" i="14"/>
  <c r="F404" i="14"/>
  <c r="B404" i="14"/>
  <c r="A404" i="14"/>
  <c r="R403" i="14"/>
  <c r="Q403" i="14"/>
  <c r="P403" i="14"/>
  <c r="M403" i="14"/>
  <c r="G403" i="14"/>
  <c r="F403" i="14"/>
  <c r="B403" i="14"/>
  <c r="C403" i="14" s="1"/>
  <c r="A403" i="14"/>
  <c r="R402" i="14"/>
  <c r="Q402" i="14"/>
  <c r="P402" i="14"/>
  <c r="M402" i="14"/>
  <c r="G402" i="14"/>
  <c r="F402" i="14"/>
  <c r="B402" i="14"/>
  <c r="A402" i="14"/>
  <c r="R401" i="14"/>
  <c r="Q401" i="14"/>
  <c r="P401" i="14"/>
  <c r="M401" i="14"/>
  <c r="G401" i="14"/>
  <c r="F401" i="14"/>
  <c r="B401" i="14"/>
  <c r="A401" i="14"/>
  <c r="R400" i="14"/>
  <c r="Q400" i="14"/>
  <c r="P400" i="14"/>
  <c r="M400" i="14"/>
  <c r="G400" i="14"/>
  <c r="F400" i="14"/>
  <c r="B400" i="14"/>
  <c r="A400" i="14"/>
  <c r="R399" i="14"/>
  <c r="Q399" i="14"/>
  <c r="P399" i="14"/>
  <c r="M399" i="14"/>
  <c r="G399" i="14"/>
  <c r="F399" i="14"/>
  <c r="B399" i="14"/>
  <c r="A399" i="14"/>
  <c r="R398" i="14"/>
  <c r="Q398" i="14"/>
  <c r="P398" i="14"/>
  <c r="M398" i="14"/>
  <c r="G398" i="14"/>
  <c r="F398" i="14"/>
  <c r="B398" i="14"/>
  <c r="A398" i="14"/>
  <c r="R397" i="14"/>
  <c r="Q397" i="14"/>
  <c r="P397" i="14"/>
  <c r="M397" i="14"/>
  <c r="G397" i="14"/>
  <c r="F397" i="14"/>
  <c r="B397" i="14"/>
  <c r="A397" i="14"/>
  <c r="R396" i="14"/>
  <c r="Q396" i="14"/>
  <c r="P396" i="14"/>
  <c r="M396" i="14"/>
  <c r="G396" i="14"/>
  <c r="F396" i="14"/>
  <c r="B396" i="14"/>
  <c r="A396" i="14"/>
  <c r="R395" i="14"/>
  <c r="Q395" i="14"/>
  <c r="P395" i="14"/>
  <c r="M395" i="14"/>
  <c r="G395" i="14"/>
  <c r="F395" i="14"/>
  <c r="B395" i="14"/>
  <c r="C395" i="14" s="1"/>
  <c r="A395" i="14"/>
  <c r="R394" i="14"/>
  <c r="Q394" i="14"/>
  <c r="P394" i="14"/>
  <c r="M394" i="14"/>
  <c r="G394" i="14"/>
  <c r="F394" i="14"/>
  <c r="B394" i="14"/>
  <c r="A394" i="14"/>
  <c r="R393" i="14"/>
  <c r="Q393" i="14"/>
  <c r="P393" i="14"/>
  <c r="M393" i="14"/>
  <c r="G393" i="14"/>
  <c r="F393" i="14"/>
  <c r="B393" i="14"/>
  <c r="C393" i="14" s="1"/>
  <c r="A393" i="14"/>
  <c r="R392" i="14"/>
  <c r="Q392" i="14"/>
  <c r="P392" i="14"/>
  <c r="M392" i="14"/>
  <c r="G392" i="14"/>
  <c r="F392" i="14"/>
  <c r="B392" i="14"/>
  <c r="A392" i="14"/>
  <c r="R391" i="14"/>
  <c r="Q391" i="14"/>
  <c r="P391" i="14"/>
  <c r="M391" i="14"/>
  <c r="G391" i="14"/>
  <c r="F391" i="14"/>
  <c r="B391" i="14"/>
  <c r="A391" i="14"/>
  <c r="R390" i="14"/>
  <c r="Q390" i="14"/>
  <c r="P390" i="14"/>
  <c r="M390" i="14"/>
  <c r="G390" i="14"/>
  <c r="F390" i="14"/>
  <c r="B390" i="14"/>
  <c r="A390" i="14"/>
  <c r="R389" i="14"/>
  <c r="Q389" i="14"/>
  <c r="P389" i="14"/>
  <c r="M389" i="14"/>
  <c r="G389" i="14"/>
  <c r="F389" i="14"/>
  <c r="B389" i="14"/>
  <c r="A389" i="14"/>
  <c r="R388" i="14"/>
  <c r="Q388" i="14"/>
  <c r="P388" i="14"/>
  <c r="M388" i="14"/>
  <c r="G388" i="14"/>
  <c r="F388" i="14"/>
  <c r="B388" i="14"/>
  <c r="A388" i="14"/>
  <c r="R387" i="14"/>
  <c r="Q387" i="14"/>
  <c r="P387" i="14"/>
  <c r="M387" i="14"/>
  <c r="G387" i="14"/>
  <c r="F387" i="14"/>
  <c r="B387" i="14"/>
  <c r="C387" i="14" s="1"/>
  <c r="A387" i="14"/>
  <c r="R386" i="14"/>
  <c r="Q386" i="14"/>
  <c r="P386" i="14"/>
  <c r="M386" i="14"/>
  <c r="G386" i="14"/>
  <c r="F386" i="14"/>
  <c r="B386" i="14"/>
  <c r="A386" i="14"/>
  <c r="R385" i="14"/>
  <c r="Q385" i="14"/>
  <c r="P385" i="14"/>
  <c r="M385" i="14"/>
  <c r="G385" i="14"/>
  <c r="F385" i="14"/>
  <c r="B385" i="14"/>
  <c r="C385" i="14" s="1"/>
  <c r="A385" i="14"/>
  <c r="R384" i="14"/>
  <c r="Q384" i="14"/>
  <c r="P384" i="14"/>
  <c r="M384" i="14"/>
  <c r="G384" i="14"/>
  <c r="F384" i="14"/>
  <c r="B384" i="14"/>
  <c r="A384" i="14"/>
  <c r="R383" i="14"/>
  <c r="Q383" i="14"/>
  <c r="P383" i="14"/>
  <c r="M383" i="14"/>
  <c r="G383" i="14"/>
  <c r="F383" i="14"/>
  <c r="B383" i="14"/>
  <c r="A383" i="14"/>
  <c r="R382" i="14"/>
  <c r="Q382" i="14"/>
  <c r="P382" i="14"/>
  <c r="M382" i="14"/>
  <c r="G382" i="14"/>
  <c r="F382" i="14"/>
  <c r="B382" i="14"/>
  <c r="A382" i="14"/>
  <c r="R381" i="14"/>
  <c r="Q381" i="14"/>
  <c r="P381" i="14"/>
  <c r="M381" i="14"/>
  <c r="G381" i="14"/>
  <c r="F381" i="14"/>
  <c r="B381" i="14"/>
  <c r="A381" i="14"/>
  <c r="R380" i="14"/>
  <c r="Q380" i="14"/>
  <c r="P380" i="14"/>
  <c r="M380" i="14"/>
  <c r="G380" i="14"/>
  <c r="F380" i="14"/>
  <c r="B380" i="14"/>
  <c r="A380" i="14"/>
  <c r="R379" i="14"/>
  <c r="Q379" i="14"/>
  <c r="P379" i="14"/>
  <c r="M379" i="14"/>
  <c r="G379" i="14"/>
  <c r="F379" i="14"/>
  <c r="B379" i="14"/>
  <c r="C379" i="14" s="1"/>
  <c r="A379" i="14"/>
  <c r="R378" i="14"/>
  <c r="Q378" i="14"/>
  <c r="P378" i="14"/>
  <c r="M378" i="14"/>
  <c r="G378" i="14"/>
  <c r="F378" i="14"/>
  <c r="B378" i="14"/>
  <c r="A378" i="14"/>
  <c r="R377" i="14"/>
  <c r="Q377" i="14"/>
  <c r="P377" i="14"/>
  <c r="M377" i="14"/>
  <c r="G377" i="14"/>
  <c r="F377" i="14"/>
  <c r="B377" i="14"/>
  <c r="C377" i="14" s="1"/>
  <c r="A377" i="14"/>
  <c r="R376" i="14"/>
  <c r="Q376" i="14"/>
  <c r="P376" i="14"/>
  <c r="M376" i="14"/>
  <c r="G376" i="14"/>
  <c r="F376" i="14"/>
  <c r="B376" i="14"/>
  <c r="A376" i="14"/>
  <c r="R375" i="14"/>
  <c r="Q375" i="14"/>
  <c r="P375" i="14"/>
  <c r="M375" i="14"/>
  <c r="G375" i="14"/>
  <c r="F375" i="14"/>
  <c r="B375" i="14"/>
  <c r="A375" i="14"/>
  <c r="R374" i="14"/>
  <c r="Q374" i="14"/>
  <c r="P374" i="14"/>
  <c r="M374" i="14"/>
  <c r="G374" i="14"/>
  <c r="F374" i="14"/>
  <c r="B374" i="14"/>
  <c r="A374" i="14"/>
  <c r="R373" i="14"/>
  <c r="Q373" i="14"/>
  <c r="P373" i="14"/>
  <c r="M373" i="14"/>
  <c r="G373" i="14"/>
  <c r="F373" i="14"/>
  <c r="B373" i="14"/>
  <c r="A373" i="14"/>
  <c r="R372" i="14"/>
  <c r="Q372" i="14"/>
  <c r="P372" i="14"/>
  <c r="M372" i="14"/>
  <c r="G372" i="14"/>
  <c r="F372" i="14"/>
  <c r="B372" i="14"/>
  <c r="A372" i="14"/>
  <c r="R371" i="14"/>
  <c r="Q371" i="14"/>
  <c r="P371" i="14"/>
  <c r="M371" i="14"/>
  <c r="G371" i="14"/>
  <c r="F371" i="14"/>
  <c r="B371" i="14"/>
  <c r="C371" i="14" s="1"/>
  <c r="A371" i="14"/>
  <c r="R370" i="14"/>
  <c r="Q370" i="14"/>
  <c r="P370" i="14"/>
  <c r="M370" i="14"/>
  <c r="G370" i="14"/>
  <c r="F370" i="14"/>
  <c r="B370" i="14"/>
  <c r="A370" i="14"/>
  <c r="R369" i="14"/>
  <c r="Q369" i="14"/>
  <c r="P369" i="14"/>
  <c r="M369" i="14"/>
  <c r="G369" i="14"/>
  <c r="F369" i="14"/>
  <c r="B369" i="14"/>
  <c r="C369" i="14" s="1"/>
  <c r="A369" i="14"/>
  <c r="R368" i="14"/>
  <c r="Q368" i="14"/>
  <c r="P368" i="14"/>
  <c r="M368" i="14"/>
  <c r="G368" i="14"/>
  <c r="F368" i="14"/>
  <c r="B368" i="14"/>
  <c r="A368" i="14"/>
  <c r="R367" i="14"/>
  <c r="Q367" i="14"/>
  <c r="P367" i="14"/>
  <c r="M367" i="14"/>
  <c r="G367" i="14"/>
  <c r="F367" i="14"/>
  <c r="B367" i="14"/>
  <c r="A367" i="14"/>
  <c r="R366" i="14"/>
  <c r="Q366" i="14"/>
  <c r="P366" i="14"/>
  <c r="M366" i="14"/>
  <c r="G366" i="14"/>
  <c r="F366" i="14"/>
  <c r="B366" i="14"/>
  <c r="A366" i="14"/>
  <c r="R365" i="14"/>
  <c r="Q365" i="14"/>
  <c r="P365" i="14"/>
  <c r="M365" i="14"/>
  <c r="G365" i="14"/>
  <c r="F365" i="14"/>
  <c r="B365" i="14"/>
  <c r="A365" i="14"/>
  <c r="R364" i="14"/>
  <c r="Q364" i="14"/>
  <c r="P364" i="14"/>
  <c r="M364" i="14"/>
  <c r="G364" i="14"/>
  <c r="F364" i="14"/>
  <c r="B364" i="14"/>
  <c r="A364" i="14"/>
  <c r="R363" i="14"/>
  <c r="Q363" i="14"/>
  <c r="P363" i="14"/>
  <c r="M363" i="14"/>
  <c r="G363" i="14"/>
  <c r="F363" i="14"/>
  <c r="B363" i="14"/>
  <c r="C363" i="14" s="1"/>
  <c r="A363" i="14"/>
  <c r="R362" i="14"/>
  <c r="Q362" i="14"/>
  <c r="P362" i="14"/>
  <c r="M362" i="14"/>
  <c r="G362" i="14"/>
  <c r="F362" i="14"/>
  <c r="B362" i="14"/>
  <c r="A362" i="14"/>
  <c r="R361" i="14"/>
  <c r="Q361" i="14"/>
  <c r="P361" i="14"/>
  <c r="M361" i="14"/>
  <c r="G361" i="14"/>
  <c r="F361" i="14"/>
  <c r="B361" i="14"/>
  <c r="C361" i="14" s="1"/>
  <c r="A361" i="14"/>
  <c r="R360" i="14"/>
  <c r="Q360" i="14"/>
  <c r="P360" i="14"/>
  <c r="M360" i="14"/>
  <c r="G360" i="14"/>
  <c r="F360" i="14"/>
  <c r="B360" i="14"/>
  <c r="A360" i="14"/>
  <c r="R359" i="14"/>
  <c r="Q359" i="14"/>
  <c r="P359" i="14"/>
  <c r="M359" i="14"/>
  <c r="G359" i="14"/>
  <c r="F359" i="14"/>
  <c r="B359" i="14"/>
  <c r="A359" i="14"/>
  <c r="R358" i="14"/>
  <c r="Q358" i="14"/>
  <c r="P358" i="14"/>
  <c r="M358" i="14"/>
  <c r="G358" i="14"/>
  <c r="F358" i="14"/>
  <c r="B358" i="14"/>
  <c r="A358" i="14"/>
  <c r="R357" i="14"/>
  <c r="Q357" i="14"/>
  <c r="P357" i="14"/>
  <c r="M357" i="14"/>
  <c r="G357" i="14"/>
  <c r="F357" i="14"/>
  <c r="B357" i="14"/>
  <c r="A357" i="14"/>
  <c r="R356" i="14"/>
  <c r="Q356" i="14"/>
  <c r="P356" i="14"/>
  <c r="M356" i="14"/>
  <c r="G356" i="14"/>
  <c r="F356" i="14"/>
  <c r="B356" i="14"/>
  <c r="A356" i="14"/>
  <c r="R355" i="14"/>
  <c r="Q355" i="14"/>
  <c r="P355" i="14"/>
  <c r="M355" i="14"/>
  <c r="G355" i="14"/>
  <c r="F355" i="14"/>
  <c r="B355" i="14"/>
  <c r="C355" i="14" s="1"/>
  <c r="A355" i="14"/>
  <c r="R354" i="14"/>
  <c r="Q354" i="14"/>
  <c r="P354" i="14"/>
  <c r="M354" i="14"/>
  <c r="G354" i="14"/>
  <c r="F354" i="14"/>
  <c r="B354" i="14"/>
  <c r="A354" i="14"/>
  <c r="R353" i="14"/>
  <c r="Q353" i="14"/>
  <c r="P353" i="14"/>
  <c r="M353" i="14"/>
  <c r="G353" i="14"/>
  <c r="F353" i="14"/>
  <c r="B353" i="14"/>
  <c r="C353" i="14" s="1"/>
  <c r="A353" i="14"/>
  <c r="R352" i="14"/>
  <c r="Q352" i="14"/>
  <c r="P352" i="14"/>
  <c r="M352" i="14"/>
  <c r="G352" i="14"/>
  <c r="F352" i="14"/>
  <c r="B352" i="14"/>
  <c r="A352" i="14"/>
  <c r="R351" i="14"/>
  <c r="Q351" i="14"/>
  <c r="P351" i="14"/>
  <c r="M351" i="14"/>
  <c r="G351" i="14"/>
  <c r="F351" i="14"/>
  <c r="B351" i="14"/>
  <c r="A351" i="14"/>
  <c r="R350" i="14"/>
  <c r="Q350" i="14"/>
  <c r="P350" i="14"/>
  <c r="M350" i="14"/>
  <c r="G350" i="14"/>
  <c r="F350" i="14"/>
  <c r="B350" i="14"/>
  <c r="A350" i="14"/>
  <c r="R349" i="14"/>
  <c r="Q349" i="14"/>
  <c r="P349" i="14"/>
  <c r="M349" i="14"/>
  <c r="G349" i="14"/>
  <c r="F349" i="14"/>
  <c r="B349" i="14"/>
  <c r="A349" i="14"/>
  <c r="R348" i="14"/>
  <c r="Q348" i="14"/>
  <c r="P348" i="14"/>
  <c r="M348" i="14"/>
  <c r="G348" i="14"/>
  <c r="F348" i="14"/>
  <c r="C348" i="14"/>
  <c r="B348" i="14"/>
  <c r="A348" i="14"/>
  <c r="R347" i="14"/>
  <c r="Q347" i="14"/>
  <c r="P347" i="14"/>
  <c r="M347" i="14"/>
  <c r="G347" i="14"/>
  <c r="F347" i="14"/>
  <c r="B347" i="14"/>
  <c r="A347" i="14"/>
  <c r="R346" i="14"/>
  <c r="Q346" i="14"/>
  <c r="P346" i="14"/>
  <c r="M346" i="14"/>
  <c r="G346" i="14"/>
  <c r="F346" i="14"/>
  <c r="B346" i="14"/>
  <c r="A346" i="14"/>
  <c r="R345" i="14"/>
  <c r="Q345" i="14"/>
  <c r="P345" i="14"/>
  <c r="M345" i="14"/>
  <c r="G345" i="14"/>
  <c r="F345" i="14"/>
  <c r="B345" i="14"/>
  <c r="A345" i="14"/>
  <c r="R344" i="14"/>
  <c r="Q344" i="14"/>
  <c r="P344" i="14"/>
  <c r="M344" i="14"/>
  <c r="G344" i="14"/>
  <c r="F344" i="14"/>
  <c r="C344" i="14"/>
  <c r="B344" i="14"/>
  <c r="A344" i="14"/>
  <c r="R343" i="14"/>
  <c r="Q343" i="14"/>
  <c r="P343" i="14"/>
  <c r="M343" i="14"/>
  <c r="G343" i="14"/>
  <c r="F343" i="14"/>
  <c r="C343" i="14"/>
  <c r="B343" i="14"/>
  <c r="A343" i="14"/>
  <c r="R342" i="14"/>
  <c r="Q342" i="14"/>
  <c r="P342" i="14"/>
  <c r="M342" i="14"/>
  <c r="G342" i="14"/>
  <c r="F342" i="14"/>
  <c r="B342" i="14"/>
  <c r="A342" i="14"/>
  <c r="R341" i="14"/>
  <c r="Q341" i="14"/>
  <c r="P341" i="14"/>
  <c r="M341" i="14"/>
  <c r="G341" i="14"/>
  <c r="F341" i="14"/>
  <c r="B341" i="14"/>
  <c r="A341" i="14"/>
  <c r="R340" i="14"/>
  <c r="Q340" i="14"/>
  <c r="P340" i="14"/>
  <c r="M340" i="14"/>
  <c r="G340" i="14"/>
  <c r="F340" i="14"/>
  <c r="B340" i="14"/>
  <c r="A340" i="14"/>
  <c r="R339" i="14"/>
  <c r="Q339" i="14"/>
  <c r="P339" i="14"/>
  <c r="M339" i="14"/>
  <c r="G339" i="14"/>
  <c r="F339" i="14"/>
  <c r="B339" i="14"/>
  <c r="A339" i="14"/>
  <c r="R338" i="14"/>
  <c r="Q338" i="14"/>
  <c r="P338" i="14"/>
  <c r="M338" i="14"/>
  <c r="G338" i="14"/>
  <c r="F338" i="14"/>
  <c r="B338" i="14"/>
  <c r="C338" i="14" s="1"/>
  <c r="A338" i="14"/>
  <c r="R337" i="14"/>
  <c r="Q337" i="14"/>
  <c r="P337" i="14"/>
  <c r="M337" i="14"/>
  <c r="G337" i="14"/>
  <c r="F337" i="14"/>
  <c r="B337" i="14"/>
  <c r="A337" i="14"/>
  <c r="R336" i="14"/>
  <c r="Q336" i="14"/>
  <c r="P336" i="14"/>
  <c r="M336" i="14"/>
  <c r="G336" i="14"/>
  <c r="F336" i="14"/>
  <c r="B336" i="14"/>
  <c r="A336" i="14"/>
  <c r="R335" i="14"/>
  <c r="Q335" i="14"/>
  <c r="P335" i="14"/>
  <c r="M335" i="14"/>
  <c r="G335" i="14"/>
  <c r="F335" i="14"/>
  <c r="B335" i="14"/>
  <c r="A335" i="14"/>
  <c r="R334" i="14"/>
  <c r="Q334" i="14"/>
  <c r="P334" i="14"/>
  <c r="M334" i="14"/>
  <c r="G334" i="14"/>
  <c r="F334" i="14"/>
  <c r="B334" i="14"/>
  <c r="C334" i="14" s="1"/>
  <c r="A334" i="14"/>
  <c r="R333" i="14"/>
  <c r="Q333" i="14"/>
  <c r="P333" i="14"/>
  <c r="M333" i="14"/>
  <c r="G333" i="14"/>
  <c r="F333" i="14"/>
  <c r="B333" i="14"/>
  <c r="A333" i="14"/>
  <c r="R332" i="14"/>
  <c r="Q332" i="14"/>
  <c r="P332" i="14"/>
  <c r="M332" i="14"/>
  <c r="G332" i="14"/>
  <c r="F332" i="14"/>
  <c r="B332" i="14"/>
  <c r="A332" i="14"/>
  <c r="R331" i="14"/>
  <c r="Q331" i="14"/>
  <c r="P331" i="14"/>
  <c r="M331" i="14"/>
  <c r="G331" i="14"/>
  <c r="F331" i="14"/>
  <c r="B331" i="14"/>
  <c r="A331" i="14"/>
  <c r="R330" i="14"/>
  <c r="Q330" i="14"/>
  <c r="P330" i="14"/>
  <c r="M330" i="14"/>
  <c r="G330" i="14"/>
  <c r="F330" i="14"/>
  <c r="B330" i="14"/>
  <c r="C330" i="14" s="1"/>
  <c r="A330" i="14"/>
  <c r="R329" i="14"/>
  <c r="Q329" i="14"/>
  <c r="P329" i="14"/>
  <c r="M329" i="14"/>
  <c r="G329" i="14"/>
  <c r="F329" i="14"/>
  <c r="B329" i="14"/>
  <c r="A329" i="14"/>
  <c r="R328" i="14"/>
  <c r="Q328" i="14"/>
  <c r="P328" i="14"/>
  <c r="M328" i="14"/>
  <c r="G328" i="14"/>
  <c r="F328" i="14"/>
  <c r="B328" i="14"/>
  <c r="A328" i="14"/>
  <c r="R327" i="14"/>
  <c r="Q327" i="14"/>
  <c r="P327" i="14"/>
  <c r="M327" i="14"/>
  <c r="G327" i="14"/>
  <c r="F327" i="14"/>
  <c r="B327" i="14"/>
  <c r="A327" i="14"/>
  <c r="R326" i="14"/>
  <c r="Q326" i="14"/>
  <c r="P326" i="14"/>
  <c r="M326" i="14"/>
  <c r="G326" i="14"/>
  <c r="F326" i="14"/>
  <c r="B326" i="14"/>
  <c r="C326" i="14" s="1"/>
  <c r="A326" i="14"/>
  <c r="R325" i="14"/>
  <c r="Q325" i="14"/>
  <c r="P325" i="14"/>
  <c r="M325" i="14"/>
  <c r="G325" i="14"/>
  <c r="F325" i="14"/>
  <c r="B325" i="14"/>
  <c r="A325" i="14"/>
  <c r="R324" i="14"/>
  <c r="Q324" i="14"/>
  <c r="P324" i="14"/>
  <c r="M324" i="14"/>
  <c r="G324" i="14"/>
  <c r="F324" i="14"/>
  <c r="B324" i="14"/>
  <c r="A324" i="14"/>
  <c r="R323" i="14"/>
  <c r="Q323" i="14"/>
  <c r="P323" i="14"/>
  <c r="M323" i="14"/>
  <c r="G323" i="14"/>
  <c r="F323" i="14"/>
  <c r="B323" i="14"/>
  <c r="A323" i="14"/>
  <c r="R322" i="14"/>
  <c r="Q322" i="14"/>
  <c r="P322" i="14"/>
  <c r="M322" i="14"/>
  <c r="G322" i="14"/>
  <c r="F322" i="14"/>
  <c r="B322" i="14"/>
  <c r="C322" i="14" s="1"/>
  <c r="A322" i="14"/>
  <c r="R321" i="14"/>
  <c r="Q321" i="14"/>
  <c r="P321" i="14"/>
  <c r="M321" i="14"/>
  <c r="G321" i="14"/>
  <c r="F321" i="14"/>
  <c r="B321" i="14"/>
  <c r="A321" i="14"/>
  <c r="R320" i="14"/>
  <c r="Q320" i="14"/>
  <c r="P320" i="14"/>
  <c r="M320" i="14"/>
  <c r="G320" i="14"/>
  <c r="F320" i="14"/>
  <c r="B320" i="14"/>
  <c r="A320" i="14"/>
  <c r="R319" i="14"/>
  <c r="Q319" i="14"/>
  <c r="P319" i="14"/>
  <c r="M319" i="14"/>
  <c r="G319" i="14"/>
  <c r="F319" i="14"/>
  <c r="B319" i="14"/>
  <c r="A319" i="14"/>
  <c r="R318" i="14"/>
  <c r="Q318" i="14"/>
  <c r="P318" i="14"/>
  <c r="M318" i="14"/>
  <c r="G318" i="14"/>
  <c r="F318" i="14"/>
  <c r="B318" i="14"/>
  <c r="C318" i="14" s="1"/>
  <c r="A318" i="14"/>
  <c r="R317" i="14"/>
  <c r="Q317" i="14"/>
  <c r="P317" i="14"/>
  <c r="M317" i="14"/>
  <c r="G317" i="14"/>
  <c r="F317" i="14"/>
  <c r="B317" i="14"/>
  <c r="A317" i="14"/>
  <c r="R316" i="14"/>
  <c r="Q316" i="14"/>
  <c r="P316" i="14"/>
  <c r="M316" i="14"/>
  <c r="G316" i="14"/>
  <c r="F316" i="14"/>
  <c r="B316" i="14"/>
  <c r="A316" i="14"/>
  <c r="R315" i="14"/>
  <c r="Q315" i="14"/>
  <c r="P315" i="14"/>
  <c r="M315" i="14"/>
  <c r="G315" i="14"/>
  <c r="F315" i="14"/>
  <c r="B315" i="14"/>
  <c r="A315" i="14"/>
  <c r="R314" i="14"/>
  <c r="Q314" i="14"/>
  <c r="P314" i="14"/>
  <c r="M314" i="14"/>
  <c r="G314" i="14"/>
  <c r="F314" i="14"/>
  <c r="B314" i="14"/>
  <c r="C314" i="14" s="1"/>
  <c r="A314" i="14"/>
  <c r="R313" i="14"/>
  <c r="Q313" i="14"/>
  <c r="P313" i="14"/>
  <c r="M313" i="14"/>
  <c r="G313" i="14"/>
  <c r="F313" i="14"/>
  <c r="B313" i="14"/>
  <c r="A313" i="14"/>
  <c r="R312" i="14"/>
  <c r="Q312" i="14"/>
  <c r="P312" i="14"/>
  <c r="M312" i="14"/>
  <c r="G312" i="14"/>
  <c r="F312" i="14"/>
  <c r="B312" i="14"/>
  <c r="A312" i="14"/>
  <c r="R311" i="14"/>
  <c r="Q311" i="14"/>
  <c r="P311" i="14"/>
  <c r="M311" i="14"/>
  <c r="G311" i="14"/>
  <c r="F311" i="14"/>
  <c r="B311" i="14"/>
  <c r="A311" i="14"/>
  <c r="R310" i="14"/>
  <c r="Q310" i="14"/>
  <c r="P310" i="14"/>
  <c r="M310" i="14"/>
  <c r="G310" i="14"/>
  <c r="F310" i="14"/>
  <c r="B310" i="14"/>
  <c r="C310" i="14" s="1"/>
  <c r="A310" i="14"/>
  <c r="R309" i="14"/>
  <c r="Q309" i="14"/>
  <c r="P309" i="14"/>
  <c r="M309" i="14"/>
  <c r="G309" i="14"/>
  <c r="F309" i="14"/>
  <c r="B309" i="14"/>
  <c r="A309" i="14"/>
  <c r="R308" i="14"/>
  <c r="Q308" i="14"/>
  <c r="P308" i="14"/>
  <c r="M308" i="14"/>
  <c r="G308" i="14"/>
  <c r="F308" i="14"/>
  <c r="B308" i="14"/>
  <c r="A308" i="14"/>
  <c r="R307" i="14"/>
  <c r="Q307" i="14"/>
  <c r="P307" i="14"/>
  <c r="M307" i="14"/>
  <c r="G307" i="14"/>
  <c r="F307" i="14"/>
  <c r="B307" i="14"/>
  <c r="A307" i="14"/>
  <c r="R306" i="14"/>
  <c r="Q306" i="14"/>
  <c r="P306" i="14"/>
  <c r="M306" i="14"/>
  <c r="G306" i="14"/>
  <c r="F306" i="14"/>
  <c r="B306" i="14"/>
  <c r="C306" i="14" s="1"/>
  <c r="A306" i="14"/>
  <c r="R305" i="14"/>
  <c r="Q305" i="14"/>
  <c r="P305" i="14"/>
  <c r="M305" i="14"/>
  <c r="G305" i="14"/>
  <c r="F305" i="14"/>
  <c r="B305" i="14"/>
  <c r="A305" i="14"/>
  <c r="R304" i="14"/>
  <c r="Q304" i="14"/>
  <c r="P304" i="14"/>
  <c r="M304" i="14"/>
  <c r="G304" i="14"/>
  <c r="F304" i="14"/>
  <c r="B304" i="14"/>
  <c r="A304" i="14"/>
  <c r="R303" i="14"/>
  <c r="Q303" i="14"/>
  <c r="P303" i="14"/>
  <c r="M303" i="14"/>
  <c r="G303" i="14"/>
  <c r="F303" i="14"/>
  <c r="B303" i="14"/>
  <c r="A303" i="14"/>
  <c r="R302" i="14"/>
  <c r="Q302" i="14"/>
  <c r="P302" i="14"/>
  <c r="M302" i="14"/>
  <c r="G302" i="14"/>
  <c r="F302" i="14"/>
  <c r="B302" i="14"/>
  <c r="C302" i="14" s="1"/>
  <c r="A302" i="14"/>
  <c r="R301" i="14"/>
  <c r="Q301" i="14"/>
  <c r="P301" i="14"/>
  <c r="M301" i="14"/>
  <c r="G301" i="14"/>
  <c r="F301" i="14"/>
  <c r="B301" i="14"/>
  <c r="A301" i="14"/>
  <c r="R300" i="14"/>
  <c r="Q300" i="14"/>
  <c r="P300" i="14"/>
  <c r="M300" i="14"/>
  <c r="G300" i="14"/>
  <c r="F300" i="14"/>
  <c r="B300" i="14"/>
  <c r="A300" i="14"/>
  <c r="R299" i="14"/>
  <c r="Q299" i="14"/>
  <c r="P299" i="14"/>
  <c r="M299" i="14"/>
  <c r="G299" i="14"/>
  <c r="F299" i="14"/>
  <c r="B299" i="14"/>
  <c r="A299" i="14"/>
  <c r="R298" i="14"/>
  <c r="Q298" i="14"/>
  <c r="P298" i="14"/>
  <c r="M298" i="14"/>
  <c r="G298" i="14"/>
  <c r="F298" i="14"/>
  <c r="B298" i="14"/>
  <c r="C298" i="14" s="1"/>
  <c r="A298" i="14"/>
  <c r="R297" i="14"/>
  <c r="Q297" i="14"/>
  <c r="P297" i="14"/>
  <c r="M297" i="14"/>
  <c r="G297" i="14"/>
  <c r="F297" i="14"/>
  <c r="B297" i="14"/>
  <c r="A297" i="14"/>
  <c r="R296" i="14"/>
  <c r="Q296" i="14"/>
  <c r="P296" i="14"/>
  <c r="M296" i="14"/>
  <c r="G296" i="14"/>
  <c r="F296" i="14"/>
  <c r="B296" i="14"/>
  <c r="A296" i="14"/>
  <c r="R295" i="14"/>
  <c r="Q295" i="14"/>
  <c r="P295" i="14"/>
  <c r="M295" i="14"/>
  <c r="G295" i="14"/>
  <c r="F295" i="14"/>
  <c r="B295" i="14"/>
  <c r="A295" i="14"/>
  <c r="R294" i="14"/>
  <c r="Q294" i="14"/>
  <c r="P294" i="14"/>
  <c r="M294" i="14"/>
  <c r="G294" i="14"/>
  <c r="F294" i="14"/>
  <c r="B294" i="14"/>
  <c r="C294" i="14" s="1"/>
  <c r="A294" i="14"/>
  <c r="R293" i="14"/>
  <c r="Q293" i="14"/>
  <c r="P293" i="14"/>
  <c r="M293" i="14"/>
  <c r="G293" i="14"/>
  <c r="F293" i="14"/>
  <c r="B293" i="14"/>
  <c r="A293" i="14"/>
  <c r="R292" i="14"/>
  <c r="Q292" i="14"/>
  <c r="P292" i="14"/>
  <c r="M292" i="14"/>
  <c r="G292" i="14"/>
  <c r="F292" i="14"/>
  <c r="B292" i="14"/>
  <c r="A292" i="14"/>
  <c r="R291" i="14"/>
  <c r="Q291" i="14"/>
  <c r="P291" i="14"/>
  <c r="M291" i="14"/>
  <c r="G291" i="14"/>
  <c r="F291" i="14"/>
  <c r="B291" i="14"/>
  <c r="A291" i="14"/>
  <c r="R290" i="14"/>
  <c r="Q290" i="14"/>
  <c r="P290" i="14"/>
  <c r="M290" i="14"/>
  <c r="G290" i="14"/>
  <c r="F290" i="14"/>
  <c r="B290" i="14"/>
  <c r="C290" i="14" s="1"/>
  <c r="A290" i="14"/>
  <c r="R289" i="14"/>
  <c r="Q289" i="14"/>
  <c r="P289" i="14"/>
  <c r="M289" i="14"/>
  <c r="G289" i="14"/>
  <c r="F289" i="14"/>
  <c r="B289" i="14"/>
  <c r="A289" i="14"/>
  <c r="R288" i="14"/>
  <c r="Q288" i="14"/>
  <c r="P288" i="14"/>
  <c r="M288" i="14"/>
  <c r="G288" i="14"/>
  <c r="F288" i="14"/>
  <c r="B288" i="14"/>
  <c r="A288" i="14"/>
  <c r="R287" i="14"/>
  <c r="Q287" i="14"/>
  <c r="P287" i="14"/>
  <c r="M287" i="14"/>
  <c r="G287" i="14"/>
  <c r="F287" i="14"/>
  <c r="B287" i="14"/>
  <c r="A287" i="14"/>
  <c r="R286" i="14"/>
  <c r="Q286" i="14"/>
  <c r="P286" i="14"/>
  <c r="M286" i="14"/>
  <c r="G286" i="14"/>
  <c r="F286" i="14"/>
  <c r="B286" i="14"/>
  <c r="C286" i="14" s="1"/>
  <c r="A286" i="14"/>
  <c r="R285" i="14"/>
  <c r="Q285" i="14"/>
  <c r="P285" i="14"/>
  <c r="M285" i="14"/>
  <c r="G285" i="14"/>
  <c r="F285" i="14"/>
  <c r="B285" i="14"/>
  <c r="A285" i="14"/>
  <c r="R284" i="14"/>
  <c r="Q284" i="14"/>
  <c r="P284" i="14"/>
  <c r="M284" i="14"/>
  <c r="G284" i="14"/>
  <c r="F284" i="14"/>
  <c r="B284" i="14"/>
  <c r="A284" i="14"/>
  <c r="R283" i="14"/>
  <c r="Q283" i="14"/>
  <c r="P283" i="14"/>
  <c r="M283" i="14"/>
  <c r="G283" i="14"/>
  <c r="F283" i="14"/>
  <c r="B283" i="14"/>
  <c r="A283" i="14"/>
  <c r="R282" i="14"/>
  <c r="Q282" i="14"/>
  <c r="P282" i="14"/>
  <c r="M282" i="14"/>
  <c r="G282" i="14"/>
  <c r="F282" i="14"/>
  <c r="B282" i="14"/>
  <c r="C282" i="14" s="1"/>
  <c r="A282" i="14"/>
  <c r="R281" i="14"/>
  <c r="Q281" i="14"/>
  <c r="P281" i="14"/>
  <c r="M281" i="14"/>
  <c r="G281" i="14"/>
  <c r="F281" i="14"/>
  <c r="B281" i="14"/>
  <c r="A281" i="14"/>
  <c r="R280" i="14"/>
  <c r="Q280" i="14"/>
  <c r="P280" i="14"/>
  <c r="M280" i="14"/>
  <c r="G280" i="14"/>
  <c r="F280" i="14"/>
  <c r="B280" i="14"/>
  <c r="A280" i="14"/>
  <c r="R279" i="14"/>
  <c r="Q279" i="14"/>
  <c r="P279" i="14"/>
  <c r="M279" i="14"/>
  <c r="G279" i="14"/>
  <c r="F279" i="14"/>
  <c r="B279" i="14"/>
  <c r="A279" i="14"/>
  <c r="R278" i="14"/>
  <c r="Q278" i="14"/>
  <c r="P278" i="14"/>
  <c r="M278" i="14"/>
  <c r="G278" i="14"/>
  <c r="F278" i="14"/>
  <c r="B278" i="14"/>
  <c r="C278" i="14" s="1"/>
  <c r="A278" i="14"/>
  <c r="R277" i="14"/>
  <c r="Q277" i="14"/>
  <c r="P277" i="14"/>
  <c r="M277" i="14"/>
  <c r="G277" i="14"/>
  <c r="F277" i="14"/>
  <c r="B277" i="14"/>
  <c r="A277" i="14"/>
  <c r="R276" i="14"/>
  <c r="Q276" i="14"/>
  <c r="P276" i="14"/>
  <c r="M276" i="14"/>
  <c r="G276" i="14"/>
  <c r="F276" i="14"/>
  <c r="B276" i="14"/>
  <c r="A276" i="14"/>
  <c r="R275" i="14"/>
  <c r="Q275" i="14"/>
  <c r="P275" i="14"/>
  <c r="M275" i="14"/>
  <c r="G275" i="14"/>
  <c r="F275" i="14"/>
  <c r="B275" i="14"/>
  <c r="A275" i="14"/>
  <c r="R274" i="14"/>
  <c r="Q274" i="14"/>
  <c r="P274" i="14"/>
  <c r="M274" i="14"/>
  <c r="G274" i="14"/>
  <c r="F274" i="14"/>
  <c r="B274" i="14"/>
  <c r="C274" i="14" s="1"/>
  <c r="A274" i="14"/>
  <c r="R273" i="14"/>
  <c r="Q273" i="14"/>
  <c r="P273" i="14"/>
  <c r="M273" i="14"/>
  <c r="G273" i="14"/>
  <c r="F273" i="14"/>
  <c r="B273" i="14"/>
  <c r="A273" i="14"/>
  <c r="R272" i="14"/>
  <c r="Q272" i="14"/>
  <c r="P272" i="14"/>
  <c r="M272" i="14"/>
  <c r="G272" i="14"/>
  <c r="F272" i="14"/>
  <c r="B272" i="14"/>
  <c r="A272" i="14"/>
  <c r="R271" i="14"/>
  <c r="Q271" i="14"/>
  <c r="P271" i="14"/>
  <c r="M271" i="14"/>
  <c r="G271" i="14"/>
  <c r="F271" i="14"/>
  <c r="B271" i="14"/>
  <c r="A271" i="14"/>
  <c r="R270" i="14"/>
  <c r="Q270" i="14"/>
  <c r="P270" i="14"/>
  <c r="M270" i="14"/>
  <c r="G270" i="14"/>
  <c r="F270" i="14"/>
  <c r="B270" i="14"/>
  <c r="C270" i="14" s="1"/>
  <c r="A270" i="14"/>
  <c r="R269" i="14"/>
  <c r="Q269" i="14"/>
  <c r="P269" i="14"/>
  <c r="M269" i="14"/>
  <c r="G269" i="14"/>
  <c r="F269" i="14"/>
  <c r="B269" i="14"/>
  <c r="A269" i="14"/>
  <c r="R268" i="14"/>
  <c r="Q268" i="14"/>
  <c r="P268" i="14"/>
  <c r="M268" i="14"/>
  <c r="G268" i="14"/>
  <c r="F268" i="14"/>
  <c r="B268" i="14"/>
  <c r="A268" i="14"/>
  <c r="R267" i="14"/>
  <c r="Q267" i="14"/>
  <c r="P267" i="14"/>
  <c r="M267" i="14"/>
  <c r="G267" i="14"/>
  <c r="F267" i="14"/>
  <c r="B267" i="14"/>
  <c r="A267" i="14"/>
  <c r="R266" i="14"/>
  <c r="Q266" i="14"/>
  <c r="P266" i="14"/>
  <c r="M266" i="14"/>
  <c r="G266" i="14"/>
  <c r="F266" i="14"/>
  <c r="B266" i="14"/>
  <c r="C266" i="14" s="1"/>
  <c r="A266" i="14"/>
  <c r="R265" i="14"/>
  <c r="Q265" i="14"/>
  <c r="P265" i="14"/>
  <c r="M265" i="14"/>
  <c r="G265" i="14"/>
  <c r="F265" i="14"/>
  <c r="B265" i="14"/>
  <c r="A265" i="14"/>
  <c r="R264" i="14"/>
  <c r="Q264" i="14"/>
  <c r="P264" i="14"/>
  <c r="M264" i="14"/>
  <c r="G264" i="14"/>
  <c r="F264" i="14"/>
  <c r="B264" i="14"/>
  <c r="A264" i="14"/>
  <c r="R263" i="14"/>
  <c r="Q263" i="14"/>
  <c r="P263" i="14"/>
  <c r="M263" i="14"/>
  <c r="G263" i="14"/>
  <c r="F263" i="14"/>
  <c r="B263" i="14"/>
  <c r="A263" i="14"/>
  <c r="R262" i="14"/>
  <c r="Q262" i="14"/>
  <c r="P262" i="14"/>
  <c r="M262" i="14"/>
  <c r="G262" i="14"/>
  <c r="F262" i="14"/>
  <c r="B262" i="14"/>
  <c r="C262" i="14" s="1"/>
  <c r="A262" i="14"/>
  <c r="R261" i="14"/>
  <c r="Q261" i="14"/>
  <c r="P261" i="14"/>
  <c r="M261" i="14"/>
  <c r="G261" i="14"/>
  <c r="F261" i="14"/>
  <c r="B261" i="14"/>
  <c r="A261" i="14"/>
  <c r="R260" i="14"/>
  <c r="Q260" i="14"/>
  <c r="P260" i="14"/>
  <c r="M260" i="14"/>
  <c r="G260" i="14"/>
  <c r="F260" i="14"/>
  <c r="B260" i="14"/>
  <c r="A260" i="14"/>
  <c r="R259" i="14"/>
  <c r="Q259" i="14"/>
  <c r="P259" i="14"/>
  <c r="M259" i="14"/>
  <c r="G259" i="14"/>
  <c r="F259" i="14"/>
  <c r="B259" i="14"/>
  <c r="A259" i="14"/>
  <c r="R258" i="14"/>
  <c r="Q258" i="14"/>
  <c r="P258" i="14"/>
  <c r="M258" i="14"/>
  <c r="G258" i="14"/>
  <c r="F258" i="14"/>
  <c r="B258" i="14"/>
  <c r="C258" i="14" s="1"/>
  <c r="A258" i="14"/>
  <c r="R257" i="14"/>
  <c r="Q257" i="14"/>
  <c r="P257" i="14"/>
  <c r="M257" i="14"/>
  <c r="G257" i="14"/>
  <c r="F257" i="14"/>
  <c r="B257" i="14"/>
  <c r="A257" i="14"/>
  <c r="R256" i="14"/>
  <c r="Q256" i="14"/>
  <c r="P256" i="14"/>
  <c r="M256" i="14"/>
  <c r="G256" i="14"/>
  <c r="F256" i="14"/>
  <c r="B256" i="14"/>
  <c r="A256" i="14"/>
  <c r="R255" i="14"/>
  <c r="Q255" i="14"/>
  <c r="P255" i="14"/>
  <c r="M255" i="14"/>
  <c r="G255" i="14"/>
  <c r="F255" i="14"/>
  <c r="B255" i="14"/>
  <c r="A255" i="14"/>
  <c r="R254" i="14"/>
  <c r="Q254" i="14"/>
  <c r="P254" i="14"/>
  <c r="M254" i="14"/>
  <c r="G254" i="14"/>
  <c r="F254" i="14"/>
  <c r="B254" i="14"/>
  <c r="C254" i="14" s="1"/>
  <c r="A254" i="14"/>
  <c r="R253" i="14"/>
  <c r="Q253" i="14"/>
  <c r="P253" i="14"/>
  <c r="M253" i="14"/>
  <c r="G253" i="14"/>
  <c r="F253" i="14"/>
  <c r="B253" i="14"/>
  <c r="A253" i="14"/>
  <c r="R252" i="14"/>
  <c r="Q252" i="14"/>
  <c r="P252" i="14"/>
  <c r="M252" i="14"/>
  <c r="G252" i="14"/>
  <c r="F252" i="14"/>
  <c r="B252" i="14"/>
  <c r="A252" i="14"/>
  <c r="R251" i="14"/>
  <c r="Q251" i="14"/>
  <c r="P251" i="14"/>
  <c r="M251" i="14"/>
  <c r="G251" i="14"/>
  <c r="F251" i="14"/>
  <c r="B251" i="14"/>
  <c r="A251" i="14"/>
  <c r="R250" i="14"/>
  <c r="Q250" i="14"/>
  <c r="P250" i="14"/>
  <c r="M250" i="14"/>
  <c r="G250" i="14"/>
  <c r="F250" i="14"/>
  <c r="B250" i="14"/>
  <c r="C250" i="14" s="1"/>
  <c r="A250" i="14"/>
  <c r="R249" i="14"/>
  <c r="Q249" i="14"/>
  <c r="P249" i="14"/>
  <c r="M249" i="14"/>
  <c r="G249" i="14"/>
  <c r="F249" i="14"/>
  <c r="B249" i="14"/>
  <c r="A249" i="14"/>
  <c r="R248" i="14"/>
  <c r="Q248" i="14"/>
  <c r="P248" i="14"/>
  <c r="M248" i="14"/>
  <c r="G248" i="14"/>
  <c r="F248" i="14"/>
  <c r="B248" i="14"/>
  <c r="A248" i="14"/>
  <c r="R247" i="14"/>
  <c r="Q247" i="14"/>
  <c r="P247" i="14"/>
  <c r="M247" i="14"/>
  <c r="G247" i="14"/>
  <c r="F247" i="14"/>
  <c r="B247" i="14"/>
  <c r="A247" i="14"/>
  <c r="R246" i="14"/>
  <c r="Q246" i="14"/>
  <c r="P246" i="14"/>
  <c r="M246" i="14"/>
  <c r="G246" i="14"/>
  <c r="F246" i="14"/>
  <c r="B246" i="14"/>
  <c r="C246" i="14" s="1"/>
  <c r="A246" i="14"/>
  <c r="R245" i="14"/>
  <c r="Q245" i="14"/>
  <c r="P245" i="14"/>
  <c r="M245" i="14"/>
  <c r="G245" i="14"/>
  <c r="F245" i="14"/>
  <c r="B245" i="14"/>
  <c r="A245" i="14"/>
  <c r="R244" i="14"/>
  <c r="Q244" i="14"/>
  <c r="P244" i="14"/>
  <c r="M244" i="14"/>
  <c r="G244" i="14"/>
  <c r="F244" i="14"/>
  <c r="B244" i="14"/>
  <c r="A244" i="14"/>
  <c r="R243" i="14"/>
  <c r="Q243" i="14"/>
  <c r="P243" i="14"/>
  <c r="M243" i="14"/>
  <c r="G243" i="14"/>
  <c r="F243" i="14"/>
  <c r="B243" i="14"/>
  <c r="A243" i="14"/>
  <c r="R242" i="14"/>
  <c r="Q242" i="14"/>
  <c r="P242" i="14"/>
  <c r="M242" i="14"/>
  <c r="G242" i="14"/>
  <c r="F242" i="14"/>
  <c r="B242" i="14"/>
  <c r="C242" i="14" s="1"/>
  <c r="A242" i="14"/>
  <c r="R241" i="14"/>
  <c r="Q241" i="14"/>
  <c r="P241" i="14"/>
  <c r="M241" i="14"/>
  <c r="G241" i="14"/>
  <c r="F241" i="14"/>
  <c r="B241" i="14"/>
  <c r="A241" i="14"/>
  <c r="R240" i="14"/>
  <c r="Q240" i="14"/>
  <c r="P240" i="14"/>
  <c r="M240" i="14"/>
  <c r="G240" i="14"/>
  <c r="F240" i="14"/>
  <c r="B240" i="14"/>
  <c r="A240" i="14"/>
  <c r="R239" i="14"/>
  <c r="Q239" i="14"/>
  <c r="P239" i="14"/>
  <c r="M239" i="14"/>
  <c r="G239" i="14"/>
  <c r="F239" i="14"/>
  <c r="B239" i="14"/>
  <c r="A239" i="14"/>
  <c r="R238" i="14"/>
  <c r="Q238" i="14"/>
  <c r="P238" i="14"/>
  <c r="M238" i="14"/>
  <c r="G238" i="14"/>
  <c r="F238" i="14"/>
  <c r="B238" i="14"/>
  <c r="C238" i="14" s="1"/>
  <c r="A238" i="14"/>
  <c r="R237" i="14"/>
  <c r="Q237" i="14"/>
  <c r="P237" i="14"/>
  <c r="M237" i="14"/>
  <c r="G237" i="14"/>
  <c r="F237" i="14"/>
  <c r="B237" i="14"/>
  <c r="A237" i="14"/>
  <c r="R236" i="14"/>
  <c r="Q236" i="14"/>
  <c r="P236" i="14"/>
  <c r="M236" i="14"/>
  <c r="G236" i="14"/>
  <c r="F236" i="14"/>
  <c r="B236" i="14"/>
  <c r="A236" i="14"/>
  <c r="R235" i="14"/>
  <c r="Q235" i="14"/>
  <c r="P235" i="14"/>
  <c r="M235" i="14"/>
  <c r="G235" i="14"/>
  <c r="F235" i="14"/>
  <c r="B235" i="14"/>
  <c r="A235" i="14"/>
  <c r="R234" i="14"/>
  <c r="Q234" i="14"/>
  <c r="P234" i="14"/>
  <c r="M234" i="14"/>
  <c r="G234" i="14"/>
  <c r="F234" i="14"/>
  <c r="B234" i="14"/>
  <c r="C234" i="14" s="1"/>
  <c r="A234" i="14"/>
  <c r="R233" i="14"/>
  <c r="Q233" i="14"/>
  <c r="P233" i="14"/>
  <c r="M233" i="14"/>
  <c r="G233" i="14"/>
  <c r="F233" i="14"/>
  <c r="B233" i="14"/>
  <c r="A233" i="14"/>
  <c r="R232" i="14"/>
  <c r="Q232" i="14"/>
  <c r="P232" i="14"/>
  <c r="M232" i="14"/>
  <c r="G232" i="14"/>
  <c r="F232" i="14"/>
  <c r="B232" i="14"/>
  <c r="A232" i="14"/>
  <c r="R231" i="14"/>
  <c r="Q231" i="14"/>
  <c r="P231" i="14"/>
  <c r="M231" i="14"/>
  <c r="G231" i="14"/>
  <c r="F231" i="14"/>
  <c r="B231" i="14"/>
  <c r="A231" i="14"/>
  <c r="R230" i="14"/>
  <c r="Q230" i="14"/>
  <c r="P230" i="14"/>
  <c r="M230" i="14"/>
  <c r="G230" i="14"/>
  <c r="F230" i="14"/>
  <c r="B230" i="14"/>
  <c r="C230" i="14" s="1"/>
  <c r="A230" i="14"/>
  <c r="R229" i="14"/>
  <c r="Q229" i="14"/>
  <c r="P229" i="14"/>
  <c r="M229" i="14"/>
  <c r="G229" i="14"/>
  <c r="F229" i="14"/>
  <c r="B229" i="14"/>
  <c r="A229" i="14"/>
  <c r="R228" i="14"/>
  <c r="Q228" i="14"/>
  <c r="P228" i="14"/>
  <c r="M228" i="14"/>
  <c r="G228" i="14"/>
  <c r="F228" i="14"/>
  <c r="B228" i="14"/>
  <c r="A228" i="14"/>
  <c r="R227" i="14"/>
  <c r="Q227" i="14"/>
  <c r="P227" i="14"/>
  <c r="M227" i="14"/>
  <c r="G227" i="14"/>
  <c r="F227" i="14"/>
  <c r="B227" i="14"/>
  <c r="A227" i="14"/>
  <c r="R226" i="14"/>
  <c r="Q226" i="14"/>
  <c r="P226" i="14"/>
  <c r="M226" i="14"/>
  <c r="G226" i="14"/>
  <c r="F226" i="14"/>
  <c r="B226" i="14"/>
  <c r="C226" i="14" s="1"/>
  <c r="A226" i="14"/>
  <c r="R225" i="14"/>
  <c r="Q225" i="14"/>
  <c r="P225" i="14"/>
  <c r="M225" i="14"/>
  <c r="G225" i="14"/>
  <c r="F225" i="14"/>
  <c r="B225" i="14"/>
  <c r="A225" i="14"/>
  <c r="R224" i="14"/>
  <c r="Q224" i="14"/>
  <c r="P224" i="14"/>
  <c r="M224" i="14"/>
  <c r="G224" i="14"/>
  <c r="F224" i="14"/>
  <c r="B224" i="14"/>
  <c r="A224" i="14"/>
  <c r="R223" i="14"/>
  <c r="Q223" i="14"/>
  <c r="P223" i="14"/>
  <c r="M223" i="14"/>
  <c r="G223" i="14"/>
  <c r="F223" i="14"/>
  <c r="B223" i="14"/>
  <c r="A223" i="14"/>
  <c r="R222" i="14"/>
  <c r="Q222" i="14"/>
  <c r="P222" i="14"/>
  <c r="M222" i="14"/>
  <c r="G222" i="14"/>
  <c r="F222" i="14"/>
  <c r="B222" i="14"/>
  <c r="C222" i="14" s="1"/>
  <c r="A222" i="14"/>
  <c r="R221" i="14"/>
  <c r="Q221" i="14"/>
  <c r="P221" i="14"/>
  <c r="M221" i="14"/>
  <c r="G221" i="14"/>
  <c r="F221" i="14"/>
  <c r="B221" i="14"/>
  <c r="A221" i="14"/>
  <c r="R220" i="14"/>
  <c r="Q220" i="14"/>
  <c r="P220" i="14"/>
  <c r="M220" i="14"/>
  <c r="G220" i="14"/>
  <c r="F220" i="14"/>
  <c r="B220" i="14"/>
  <c r="A220" i="14"/>
  <c r="R219" i="14"/>
  <c r="Q219" i="14"/>
  <c r="P219" i="14"/>
  <c r="M219" i="14"/>
  <c r="G219" i="14"/>
  <c r="F219" i="14"/>
  <c r="B219" i="14"/>
  <c r="A219" i="14"/>
  <c r="R218" i="14"/>
  <c r="Q218" i="14"/>
  <c r="P218" i="14"/>
  <c r="M218" i="14"/>
  <c r="G218" i="14"/>
  <c r="F218" i="14"/>
  <c r="B218" i="14"/>
  <c r="C218" i="14" s="1"/>
  <c r="A218" i="14"/>
  <c r="R217" i="14"/>
  <c r="Q217" i="14"/>
  <c r="P217" i="14"/>
  <c r="M217" i="14"/>
  <c r="G217" i="14"/>
  <c r="F217" i="14"/>
  <c r="B217" i="14"/>
  <c r="A217" i="14"/>
  <c r="R216" i="14"/>
  <c r="Q216" i="14"/>
  <c r="P216" i="14"/>
  <c r="M216" i="14"/>
  <c r="G216" i="14"/>
  <c r="F216" i="14"/>
  <c r="B216" i="14"/>
  <c r="A216" i="14"/>
  <c r="R215" i="14"/>
  <c r="Q215" i="14"/>
  <c r="P215" i="14"/>
  <c r="M215" i="14"/>
  <c r="G215" i="14"/>
  <c r="F215" i="14"/>
  <c r="B215" i="14"/>
  <c r="A215" i="14"/>
  <c r="R214" i="14"/>
  <c r="Q214" i="14"/>
  <c r="P214" i="14"/>
  <c r="M214" i="14"/>
  <c r="G214" i="14"/>
  <c r="F214" i="14"/>
  <c r="B214" i="14"/>
  <c r="C214" i="14" s="1"/>
  <c r="A214" i="14"/>
  <c r="R213" i="14"/>
  <c r="Q213" i="14"/>
  <c r="P213" i="14"/>
  <c r="M213" i="14"/>
  <c r="G213" i="14"/>
  <c r="F213" i="14"/>
  <c r="B213" i="14"/>
  <c r="A213" i="14"/>
  <c r="R212" i="14"/>
  <c r="Q212" i="14"/>
  <c r="P212" i="14"/>
  <c r="M212" i="14"/>
  <c r="G212" i="14"/>
  <c r="F212" i="14"/>
  <c r="B212" i="14"/>
  <c r="A212" i="14"/>
  <c r="R211" i="14"/>
  <c r="Q211" i="14"/>
  <c r="P211" i="14"/>
  <c r="M211" i="14"/>
  <c r="G211" i="14"/>
  <c r="F211" i="14"/>
  <c r="B211" i="14"/>
  <c r="A211" i="14"/>
  <c r="R210" i="14"/>
  <c r="Q210" i="14"/>
  <c r="P210" i="14"/>
  <c r="M210" i="14"/>
  <c r="G210" i="14"/>
  <c r="F210" i="14"/>
  <c r="B210" i="14"/>
  <c r="C210" i="14" s="1"/>
  <c r="A210" i="14"/>
  <c r="R209" i="14"/>
  <c r="Q209" i="14"/>
  <c r="P209" i="14"/>
  <c r="M209" i="14"/>
  <c r="G209" i="14"/>
  <c r="F209" i="14"/>
  <c r="B209" i="14"/>
  <c r="A209" i="14"/>
  <c r="R208" i="14"/>
  <c r="Q208" i="14"/>
  <c r="P208" i="14"/>
  <c r="M208" i="14"/>
  <c r="G208" i="14"/>
  <c r="F208" i="14"/>
  <c r="B208" i="14"/>
  <c r="A208" i="14"/>
  <c r="R207" i="14"/>
  <c r="Q207" i="14"/>
  <c r="P207" i="14"/>
  <c r="M207" i="14"/>
  <c r="G207" i="14"/>
  <c r="F207" i="14"/>
  <c r="B207" i="14"/>
  <c r="A207" i="14"/>
  <c r="R206" i="14"/>
  <c r="Q206" i="14"/>
  <c r="P206" i="14"/>
  <c r="M206" i="14"/>
  <c r="G206" i="14"/>
  <c r="F206" i="14"/>
  <c r="B206" i="14"/>
  <c r="C206" i="14" s="1"/>
  <c r="A206" i="14"/>
  <c r="R205" i="14"/>
  <c r="Q205" i="14"/>
  <c r="P205" i="14"/>
  <c r="M205" i="14"/>
  <c r="G205" i="14"/>
  <c r="F205" i="14"/>
  <c r="B205" i="14"/>
  <c r="A205" i="14"/>
  <c r="R204" i="14"/>
  <c r="Q204" i="14"/>
  <c r="P204" i="14"/>
  <c r="M204" i="14"/>
  <c r="G204" i="14"/>
  <c r="F204" i="14"/>
  <c r="B204" i="14"/>
  <c r="A204" i="14"/>
  <c r="R203" i="14"/>
  <c r="Q203" i="14"/>
  <c r="P203" i="14"/>
  <c r="M203" i="14"/>
  <c r="G203" i="14"/>
  <c r="F203" i="14"/>
  <c r="B203" i="14"/>
  <c r="A203" i="14"/>
  <c r="R202" i="14"/>
  <c r="Q202" i="14"/>
  <c r="P202" i="14"/>
  <c r="M202" i="14"/>
  <c r="G202" i="14"/>
  <c r="F202" i="14"/>
  <c r="B202" i="14"/>
  <c r="A202" i="14"/>
  <c r="R201" i="14"/>
  <c r="Q201" i="14"/>
  <c r="P201" i="14"/>
  <c r="M201" i="14"/>
  <c r="G201" i="14"/>
  <c r="F201" i="14"/>
  <c r="B201" i="14"/>
  <c r="A201" i="14"/>
  <c r="R200" i="14"/>
  <c r="Q200" i="14"/>
  <c r="P200" i="14"/>
  <c r="M200" i="14"/>
  <c r="G200" i="14"/>
  <c r="F200" i="14"/>
  <c r="B200" i="14"/>
  <c r="A200" i="14"/>
  <c r="R199" i="14"/>
  <c r="Q199" i="14"/>
  <c r="P199" i="14"/>
  <c r="M199" i="14"/>
  <c r="G199" i="14"/>
  <c r="F199" i="14"/>
  <c r="B199" i="14"/>
  <c r="A199" i="14"/>
  <c r="R198" i="14"/>
  <c r="Q198" i="14"/>
  <c r="P198" i="14"/>
  <c r="M198" i="14"/>
  <c r="G198" i="14"/>
  <c r="F198" i="14"/>
  <c r="B198" i="14"/>
  <c r="A198" i="14"/>
  <c r="R197" i="14"/>
  <c r="Q197" i="14"/>
  <c r="P197" i="14"/>
  <c r="M197" i="14"/>
  <c r="G197" i="14"/>
  <c r="F197" i="14"/>
  <c r="B197" i="14"/>
  <c r="A197" i="14"/>
  <c r="R196" i="14"/>
  <c r="Q196" i="14"/>
  <c r="P196" i="14"/>
  <c r="M196" i="14"/>
  <c r="G196" i="14"/>
  <c r="F196" i="14"/>
  <c r="B196" i="14"/>
  <c r="A196" i="14"/>
  <c r="R195" i="14"/>
  <c r="Q195" i="14"/>
  <c r="P195" i="14"/>
  <c r="M195" i="14"/>
  <c r="G195" i="14"/>
  <c r="F195" i="14"/>
  <c r="B195" i="14"/>
  <c r="A195" i="14"/>
  <c r="R194" i="14"/>
  <c r="Q194" i="14"/>
  <c r="P194" i="14"/>
  <c r="M194" i="14"/>
  <c r="G194" i="14"/>
  <c r="F194" i="14"/>
  <c r="B194" i="14"/>
  <c r="A194" i="14"/>
  <c r="R193" i="14"/>
  <c r="Q193" i="14"/>
  <c r="P193" i="14"/>
  <c r="M193" i="14"/>
  <c r="G193" i="14"/>
  <c r="F193" i="14"/>
  <c r="B193" i="14"/>
  <c r="A193" i="14"/>
  <c r="R192" i="14"/>
  <c r="Q192" i="14"/>
  <c r="P192" i="14"/>
  <c r="M192" i="14"/>
  <c r="G192" i="14"/>
  <c r="F192" i="14"/>
  <c r="B192" i="14"/>
  <c r="A192" i="14"/>
  <c r="R191" i="14"/>
  <c r="Q191" i="14"/>
  <c r="P191" i="14"/>
  <c r="M191" i="14"/>
  <c r="G191" i="14"/>
  <c r="F191" i="14"/>
  <c r="B191" i="14"/>
  <c r="A191" i="14"/>
  <c r="R190" i="14"/>
  <c r="Q190" i="14"/>
  <c r="P190" i="14"/>
  <c r="M190" i="14"/>
  <c r="G190" i="14"/>
  <c r="F190" i="14"/>
  <c r="B190" i="14"/>
  <c r="A190" i="14"/>
  <c r="R189" i="14"/>
  <c r="Q189" i="14"/>
  <c r="P189" i="14"/>
  <c r="M189" i="14"/>
  <c r="G189" i="14"/>
  <c r="F189" i="14"/>
  <c r="B189" i="14"/>
  <c r="A189" i="14"/>
  <c r="R188" i="14"/>
  <c r="Q188" i="14"/>
  <c r="P188" i="14"/>
  <c r="M188" i="14"/>
  <c r="G188" i="14"/>
  <c r="F188" i="14"/>
  <c r="B188" i="14"/>
  <c r="A188" i="14"/>
  <c r="R187" i="14"/>
  <c r="Q187" i="14"/>
  <c r="P187" i="14"/>
  <c r="M187" i="14"/>
  <c r="G187" i="14"/>
  <c r="F187" i="14"/>
  <c r="B187" i="14"/>
  <c r="A187" i="14"/>
  <c r="R186" i="14"/>
  <c r="Q186" i="14"/>
  <c r="P186" i="14"/>
  <c r="M186" i="14"/>
  <c r="G186" i="14"/>
  <c r="F186" i="14"/>
  <c r="B186" i="14"/>
  <c r="A186" i="14"/>
  <c r="R185" i="14"/>
  <c r="Q185" i="14"/>
  <c r="P185" i="14"/>
  <c r="M185" i="14"/>
  <c r="G185" i="14"/>
  <c r="F185" i="14"/>
  <c r="B185" i="14"/>
  <c r="A185" i="14"/>
  <c r="R184" i="14"/>
  <c r="Q184" i="14"/>
  <c r="P184" i="14"/>
  <c r="M184" i="14"/>
  <c r="G184" i="14"/>
  <c r="F184" i="14"/>
  <c r="B184" i="14"/>
  <c r="A184" i="14"/>
  <c r="R183" i="14"/>
  <c r="Q183" i="14"/>
  <c r="P183" i="14"/>
  <c r="M183" i="14"/>
  <c r="G183" i="14"/>
  <c r="F183" i="14"/>
  <c r="B183" i="14"/>
  <c r="A183" i="14"/>
  <c r="R182" i="14"/>
  <c r="Q182" i="14"/>
  <c r="P182" i="14"/>
  <c r="M182" i="14"/>
  <c r="G182" i="14"/>
  <c r="F182" i="14"/>
  <c r="B182" i="14"/>
  <c r="A182" i="14"/>
  <c r="R181" i="14"/>
  <c r="Q181" i="14"/>
  <c r="P181" i="14"/>
  <c r="M181" i="14"/>
  <c r="G181" i="14"/>
  <c r="F181" i="14"/>
  <c r="B181" i="14"/>
  <c r="A181" i="14"/>
  <c r="R180" i="14"/>
  <c r="Q180" i="14"/>
  <c r="P180" i="14"/>
  <c r="M180" i="14"/>
  <c r="G180" i="14"/>
  <c r="F180" i="14"/>
  <c r="B180" i="14"/>
  <c r="A180" i="14"/>
  <c r="R179" i="14"/>
  <c r="Q179" i="14"/>
  <c r="P179" i="14"/>
  <c r="M179" i="14"/>
  <c r="G179" i="14"/>
  <c r="F179" i="14"/>
  <c r="B179" i="14"/>
  <c r="A179" i="14"/>
  <c r="R178" i="14"/>
  <c r="Q178" i="14"/>
  <c r="P178" i="14"/>
  <c r="M178" i="14"/>
  <c r="G178" i="14"/>
  <c r="F178" i="14"/>
  <c r="B178" i="14"/>
  <c r="A178" i="14"/>
  <c r="R177" i="14"/>
  <c r="Q177" i="14"/>
  <c r="P177" i="14"/>
  <c r="M177" i="14"/>
  <c r="G177" i="14"/>
  <c r="F177" i="14"/>
  <c r="B177" i="14"/>
  <c r="A177" i="14"/>
  <c r="R176" i="14"/>
  <c r="Q176" i="14"/>
  <c r="P176" i="14"/>
  <c r="M176" i="14"/>
  <c r="G176" i="14"/>
  <c r="F176" i="14"/>
  <c r="B176" i="14"/>
  <c r="A176" i="14"/>
  <c r="R175" i="14"/>
  <c r="Q175" i="14"/>
  <c r="P175" i="14"/>
  <c r="M175" i="14"/>
  <c r="G175" i="14"/>
  <c r="F175" i="14"/>
  <c r="B175" i="14"/>
  <c r="A175" i="14"/>
  <c r="R174" i="14"/>
  <c r="Q174" i="14"/>
  <c r="P174" i="14"/>
  <c r="M174" i="14"/>
  <c r="G174" i="14"/>
  <c r="F174" i="14"/>
  <c r="B174" i="14"/>
  <c r="A174" i="14"/>
  <c r="R173" i="14"/>
  <c r="Q173" i="14"/>
  <c r="P173" i="14"/>
  <c r="M173" i="14"/>
  <c r="G173" i="14"/>
  <c r="F173" i="14"/>
  <c r="B173" i="14"/>
  <c r="A173" i="14"/>
  <c r="R172" i="14"/>
  <c r="Q172" i="14"/>
  <c r="P172" i="14"/>
  <c r="M172" i="14"/>
  <c r="G172" i="14"/>
  <c r="F172" i="14"/>
  <c r="B172" i="14"/>
  <c r="A172" i="14"/>
  <c r="R171" i="14"/>
  <c r="Q171" i="14"/>
  <c r="P171" i="14"/>
  <c r="M171" i="14"/>
  <c r="G171" i="14"/>
  <c r="F171" i="14"/>
  <c r="B171" i="14"/>
  <c r="A171" i="14"/>
  <c r="R170" i="14"/>
  <c r="Q170" i="14"/>
  <c r="P170" i="14"/>
  <c r="M170" i="14"/>
  <c r="G170" i="14"/>
  <c r="F170" i="14"/>
  <c r="B170" i="14"/>
  <c r="A170" i="14"/>
  <c r="R169" i="14"/>
  <c r="Q169" i="14"/>
  <c r="P169" i="14"/>
  <c r="M169" i="14"/>
  <c r="G169" i="14"/>
  <c r="F169" i="14"/>
  <c r="B169" i="14"/>
  <c r="A169" i="14"/>
  <c r="R168" i="14"/>
  <c r="Q168" i="14"/>
  <c r="P168" i="14"/>
  <c r="M168" i="14"/>
  <c r="G168" i="14"/>
  <c r="F168" i="14"/>
  <c r="B168" i="14"/>
  <c r="A168" i="14"/>
  <c r="R167" i="14"/>
  <c r="Q167" i="14"/>
  <c r="P167" i="14"/>
  <c r="M167" i="14"/>
  <c r="G167" i="14"/>
  <c r="F167" i="14"/>
  <c r="B167" i="14"/>
  <c r="A167" i="14"/>
  <c r="R166" i="14"/>
  <c r="Q166" i="14"/>
  <c r="P166" i="14"/>
  <c r="M166" i="14"/>
  <c r="G166" i="14"/>
  <c r="F166" i="14"/>
  <c r="B166" i="14"/>
  <c r="A166" i="14"/>
  <c r="R165" i="14"/>
  <c r="Q165" i="14"/>
  <c r="P165" i="14"/>
  <c r="M165" i="14"/>
  <c r="G165" i="14"/>
  <c r="F165" i="14"/>
  <c r="B165" i="14"/>
  <c r="A165" i="14"/>
  <c r="R164" i="14"/>
  <c r="Q164" i="14"/>
  <c r="P164" i="14"/>
  <c r="M164" i="14"/>
  <c r="G164" i="14"/>
  <c r="F164" i="14"/>
  <c r="B164" i="14"/>
  <c r="A164" i="14"/>
  <c r="R163" i="14"/>
  <c r="Q163" i="14"/>
  <c r="P163" i="14"/>
  <c r="M163" i="14"/>
  <c r="G163" i="14"/>
  <c r="F163" i="14"/>
  <c r="B163" i="14"/>
  <c r="A163" i="14"/>
  <c r="R162" i="14"/>
  <c r="Q162" i="14"/>
  <c r="P162" i="14"/>
  <c r="M162" i="14"/>
  <c r="G162" i="14"/>
  <c r="F162" i="14"/>
  <c r="B162" i="14"/>
  <c r="A162" i="14"/>
  <c r="R161" i="14"/>
  <c r="Q161" i="14"/>
  <c r="P161" i="14"/>
  <c r="M161" i="14"/>
  <c r="G161" i="14"/>
  <c r="F161" i="14"/>
  <c r="B161" i="14"/>
  <c r="A161" i="14"/>
  <c r="R160" i="14"/>
  <c r="Q160" i="14"/>
  <c r="P160" i="14"/>
  <c r="M160" i="14"/>
  <c r="G160" i="14"/>
  <c r="F160" i="14"/>
  <c r="B160" i="14"/>
  <c r="A160" i="14"/>
  <c r="R159" i="14"/>
  <c r="Q159" i="14"/>
  <c r="P159" i="14"/>
  <c r="M159" i="14"/>
  <c r="G159" i="14"/>
  <c r="F159" i="14"/>
  <c r="B159" i="14"/>
  <c r="A159" i="14"/>
  <c r="R158" i="14"/>
  <c r="Q158" i="14"/>
  <c r="P158" i="14"/>
  <c r="M158" i="14"/>
  <c r="G158" i="14"/>
  <c r="F158" i="14"/>
  <c r="B158" i="14"/>
  <c r="A158" i="14"/>
  <c r="R157" i="14"/>
  <c r="Q157" i="14"/>
  <c r="P157" i="14"/>
  <c r="M157" i="14"/>
  <c r="G157" i="14"/>
  <c r="F157" i="14"/>
  <c r="B157" i="14"/>
  <c r="A157" i="14"/>
  <c r="R156" i="14"/>
  <c r="Q156" i="14"/>
  <c r="P156" i="14"/>
  <c r="M156" i="14"/>
  <c r="G156" i="14"/>
  <c r="F156" i="14"/>
  <c r="B156" i="14"/>
  <c r="A156" i="14"/>
  <c r="R155" i="14"/>
  <c r="Q155" i="14"/>
  <c r="P155" i="14"/>
  <c r="M155" i="14"/>
  <c r="G155" i="14"/>
  <c r="F155" i="14"/>
  <c r="B155" i="14"/>
  <c r="A155" i="14"/>
  <c r="R154" i="14"/>
  <c r="Q154" i="14"/>
  <c r="P154" i="14"/>
  <c r="M154" i="14"/>
  <c r="G154" i="14"/>
  <c r="F154" i="14"/>
  <c r="B154" i="14"/>
  <c r="A154" i="14"/>
  <c r="R153" i="14"/>
  <c r="Q153" i="14"/>
  <c r="P153" i="14"/>
  <c r="M153" i="14"/>
  <c r="G153" i="14"/>
  <c r="F153" i="14"/>
  <c r="B153" i="14"/>
  <c r="A153" i="14"/>
  <c r="R152" i="14"/>
  <c r="Q152" i="14"/>
  <c r="P152" i="14"/>
  <c r="M152" i="14"/>
  <c r="G152" i="14"/>
  <c r="F152" i="14"/>
  <c r="B152" i="14"/>
  <c r="A152" i="14"/>
  <c r="R151" i="14"/>
  <c r="Q151" i="14"/>
  <c r="P151" i="14"/>
  <c r="M151" i="14"/>
  <c r="G151" i="14"/>
  <c r="F151" i="14"/>
  <c r="B151" i="14"/>
  <c r="A151" i="14"/>
  <c r="R150" i="14"/>
  <c r="Q150" i="14"/>
  <c r="P150" i="14"/>
  <c r="M150" i="14"/>
  <c r="G150" i="14"/>
  <c r="F150" i="14"/>
  <c r="B150" i="14"/>
  <c r="A150" i="14"/>
  <c r="R149" i="14"/>
  <c r="Q149" i="14"/>
  <c r="P149" i="14"/>
  <c r="M149" i="14"/>
  <c r="G149" i="14"/>
  <c r="F149" i="14"/>
  <c r="B149" i="14"/>
  <c r="A149" i="14"/>
  <c r="R148" i="14"/>
  <c r="Q148" i="14"/>
  <c r="P148" i="14"/>
  <c r="M148" i="14"/>
  <c r="G148" i="14"/>
  <c r="F148" i="14"/>
  <c r="B148" i="14"/>
  <c r="A148" i="14"/>
  <c r="R147" i="14"/>
  <c r="Q147" i="14"/>
  <c r="P147" i="14"/>
  <c r="M147" i="14"/>
  <c r="G147" i="14"/>
  <c r="F147" i="14"/>
  <c r="B147" i="14"/>
  <c r="A147" i="14"/>
  <c r="R146" i="14"/>
  <c r="Q146" i="14"/>
  <c r="P146" i="14"/>
  <c r="M146" i="14"/>
  <c r="G146" i="14"/>
  <c r="F146" i="14"/>
  <c r="B146" i="14"/>
  <c r="A146" i="14"/>
  <c r="R145" i="14"/>
  <c r="Q145" i="14"/>
  <c r="P145" i="14"/>
  <c r="M145" i="14"/>
  <c r="G145" i="14"/>
  <c r="F145" i="14"/>
  <c r="B145" i="14"/>
  <c r="A145" i="14"/>
  <c r="R144" i="14"/>
  <c r="Q144" i="14"/>
  <c r="P144" i="14"/>
  <c r="M144" i="14"/>
  <c r="G144" i="14"/>
  <c r="F144" i="14"/>
  <c r="B144" i="14"/>
  <c r="A144" i="14"/>
  <c r="R143" i="14"/>
  <c r="Q143" i="14"/>
  <c r="P143" i="14"/>
  <c r="M143" i="14"/>
  <c r="G143" i="14"/>
  <c r="F143" i="14"/>
  <c r="B143" i="14"/>
  <c r="A143" i="14"/>
  <c r="R142" i="14"/>
  <c r="Q142" i="14"/>
  <c r="P142" i="14"/>
  <c r="M142" i="14"/>
  <c r="G142" i="14"/>
  <c r="F142" i="14"/>
  <c r="B142" i="14"/>
  <c r="A142" i="14"/>
  <c r="R141" i="14"/>
  <c r="Q141" i="14"/>
  <c r="P141" i="14"/>
  <c r="M141" i="14"/>
  <c r="G141" i="14"/>
  <c r="F141" i="14"/>
  <c r="B141" i="14"/>
  <c r="A141" i="14"/>
  <c r="R140" i="14"/>
  <c r="Q140" i="14"/>
  <c r="P140" i="14"/>
  <c r="M140" i="14"/>
  <c r="G140" i="14"/>
  <c r="F140" i="14"/>
  <c r="B140" i="14"/>
  <c r="A140" i="14"/>
  <c r="R139" i="14"/>
  <c r="Q139" i="14"/>
  <c r="P139" i="14"/>
  <c r="M139" i="14"/>
  <c r="G139" i="14"/>
  <c r="F139" i="14"/>
  <c r="B139" i="14"/>
  <c r="A139" i="14"/>
  <c r="R138" i="14"/>
  <c r="Q138" i="14"/>
  <c r="P138" i="14"/>
  <c r="M138" i="14"/>
  <c r="G138" i="14"/>
  <c r="F138" i="14"/>
  <c r="B138" i="14"/>
  <c r="A138" i="14"/>
  <c r="R137" i="14"/>
  <c r="Q137" i="14"/>
  <c r="P137" i="14"/>
  <c r="M137" i="14"/>
  <c r="G137" i="14"/>
  <c r="F137" i="14"/>
  <c r="B137" i="14"/>
  <c r="A137" i="14"/>
  <c r="R136" i="14"/>
  <c r="Q136" i="14"/>
  <c r="P136" i="14"/>
  <c r="M136" i="14"/>
  <c r="G136" i="14"/>
  <c r="F136" i="14"/>
  <c r="B136" i="14"/>
  <c r="A136" i="14"/>
  <c r="R135" i="14"/>
  <c r="Q135" i="14"/>
  <c r="P135" i="14"/>
  <c r="M135" i="14"/>
  <c r="G135" i="14"/>
  <c r="F135" i="14"/>
  <c r="B135" i="14"/>
  <c r="A135" i="14"/>
  <c r="R134" i="14"/>
  <c r="Q134" i="14"/>
  <c r="P134" i="14"/>
  <c r="M134" i="14"/>
  <c r="G134" i="14"/>
  <c r="F134" i="14"/>
  <c r="B134" i="14"/>
  <c r="A134" i="14"/>
  <c r="R133" i="14"/>
  <c r="Q133" i="14"/>
  <c r="P133" i="14"/>
  <c r="M133" i="14"/>
  <c r="G133" i="14"/>
  <c r="F133" i="14"/>
  <c r="B133" i="14"/>
  <c r="A133" i="14"/>
  <c r="R132" i="14"/>
  <c r="Q132" i="14"/>
  <c r="P132" i="14"/>
  <c r="M132" i="14"/>
  <c r="G132" i="14"/>
  <c r="F132" i="14"/>
  <c r="B132" i="14"/>
  <c r="A132" i="14"/>
  <c r="R131" i="14"/>
  <c r="Q131" i="14"/>
  <c r="P131" i="14"/>
  <c r="M131" i="14"/>
  <c r="G131" i="14"/>
  <c r="F131" i="14"/>
  <c r="B131" i="14"/>
  <c r="A131" i="14"/>
  <c r="R130" i="14"/>
  <c r="Q130" i="14"/>
  <c r="P130" i="14"/>
  <c r="M130" i="14"/>
  <c r="G130" i="14"/>
  <c r="F130" i="14"/>
  <c r="B130" i="14"/>
  <c r="A130" i="14"/>
  <c r="R129" i="14"/>
  <c r="Q129" i="14"/>
  <c r="P129" i="14"/>
  <c r="M129" i="14"/>
  <c r="G129" i="14"/>
  <c r="F129" i="14"/>
  <c r="B129" i="14"/>
  <c r="A129" i="14"/>
  <c r="R128" i="14"/>
  <c r="Q128" i="14"/>
  <c r="P128" i="14"/>
  <c r="M128" i="14"/>
  <c r="G128" i="14"/>
  <c r="F128" i="14"/>
  <c r="B128" i="14"/>
  <c r="A128" i="14"/>
  <c r="R127" i="14"/>
  <c r="Q127" i="14"/>
  <c r="P127" i="14"/>
  <c r="M127" i="14"/>
  <c r="G127" i="14"/>
  <c r="F127" i="14"/>
  <c r="B127" i="14"/>
  <c r="A127" i="14"/>
  <c r="R126" i="14"/>
  <c r="Q126" i="14"/>
  <c r="P126" i="14"/>
  <c r="M126" i="14"/>
  <c r="G126" i="14"/>
  <c r="F126" i="14"/>
  <c r="B126" i="14"/>
  <c r="A126" i="14"/>
  <c r="R125" i="14"/>
  <c r="Q125" i="14"/>
  <c r="P125" i="14"/>
  <c r="M125" i="14"/>
  <c r="G125" i="14"/>
  <c r="F125" i="14"/>
  <c r="B125" i="14"/>
  <c r="A125" i="14"/>
  <c r="R124" i="14"/>
  <c r="Q124" i="14"/>
  <c r="P124" i="14"/>
  <c r="M124" i="14"/>
  <c r="G124" i="14"/>
  <c r="F124" i="14"/>
  <c r="B124" i="14"/>
  <c r="A124" i="14"/>
  <c r="R123" i="14"/>
  <c r="Q123" i="14"/>
  <c r="P123" i="14"/>
  <c r="M123" i="14"/>
  <c r="G123" i="14"/>
  <c r="F123" i="14"/>
  <c r="B123" i="14"/>
  <c r="A123" i="14"/>
  <c r="R122" i="14"/>
  <c r="Q122" i="14"/>
  <c r="P122" i="14"/>
  <c r="M122" i="14"/>
  <c r="G122" i="14"/>
  <c r="F122" i="14"/>
  <c r="B122" i="14"/>
  <c r="A122" i="14"/>
  <c r="R121" i="14"/>
  <c r="Q121" i="14"/>
  <c r="P121" i="14"/>
  <c r="M121" i="14"/>
  <c r="G121" i="14"/>
  <c r="F121" i="14"/>
  <c r="B121" i="14"/>
  <c r="A121" i="14"/>
  <c r="R120" i="14"/>
  <c r="Q120" i="14"/>
  <c r="P120" i="14"/>
  <c r="M120" i="14"/>
  <c r="G120" i="14"/>
  <c r="F120" i="14"/>
  <c r="B120" i="14"/>
  <c r="A120" i="14"/>
  <c r="R119" i="14"/>
  <c r="Q119" i="14"/>
  <c r="P119" i="14"/>
  <c r="M119" i="14"/>
  <c r="G119" i="14"/>
  <c r="F119" i="14"/>
  <c r="B119" i="14"/>
  <c r="A119" i="14"/>
  <c r="R118" i="14"/>
  <c r="Q118" i="14"/>
  <c r="P118" i="14"/>
  <c r="M118" i="14"/>
  <c r="G118" i="14"/>
  <c r="F118" i="14"/>
  <c r="B118" i="14"/>
  <c r="A118" i="14"/>
  <c r="R117" i="14"/>
  <c r="Q117" i="14"/>
  <c r="P117" i="14"/>
  <c r="M117" i="14"/>
  <c r="G117" i="14"/>
  <c r="F117" i="14"/>
  <c r="B117" i="14"/>
  <c r="A117" i="14"/>
  <c r="R116" i="14"/>
  <c r="Q116" i="14"/>
  <c r="P116" i="14"/>
  <c r="M116" i="14"/>
  <c r="G116" i="14"/>
  <c r="F116" i="14"/>
  <c r="B116" i="14"/>
  <c r="A116" i="14"/>
  <c r="R115" i="14"/>
  <c r="Q115" i="14"/>
  <c r="P115" i="14"/>
  <c r="M115" i="14"/>
  <c r="G115" i="14"/>
  <c r="F115" i="14"/>
  <c r="B115" i="14"/>
  <c r="A115" i="14"/>
  <c r="R114" i="14"/>
  <c r="Q114" i="14"/>
  <c r="P114" i="14"/>
  <c r="M114" i="14"/>
  <c r="G114" i="14"/>
  <c r="F114" i="14"/>
  <c r="B114" i="14"/>
  <c r="A114" i="14"/>
  <c r="R113" i="14"/>
  <c r="Q113" i="14"/>
  <c r="P113" i="14"/>
  <c r="M113" i="14"/>
  <c r="G113" i="14"/>
  <c r="F113" i="14"/>
  <c r="B113" i="14"/>
  <c r="C113" i="14" s="1"/>
  <c r="A113" i="14"/>
  <c r="R112" i="14"/>
  <c r="Q112" i="14"/>
  <c r="P112" i="14"/>
  <c r="M112" i="14"/>
  <c r="G112" i="14"/>
  <c r="F112" i="14"/>
  <c r="B112" i="14"/>
  <c r="A112" i="14"/>
  <c r="R111" i="14"/>
  <c r="Q111" i="14"/>
  <c r="P111" i="14"/>
  <c r="M111" i="14"/>
  <c r="G111" i="14"/>
  <c r="F111" i="14"/>
  <c r="B111" i="14"/>
  <c r="A111" i="14"/>
  <c r="R110" i="14"/>
  <c r="Q110" i="14"/>
  <c r="P110" i="14"/>
  <c r="M110" i="14"/>
  <c r="G110" i="14"/>
  <c r="F110" i="14"/>
  <c r="B110" i="14"/>
  <c r="C110" i="14" s="1"/>
  <c r="A110" i="14"/>
  <c r="R109" i="14"/>
  <c r="Q109" i="14"/>
  <c r="P109" i="14"/>
  <c r="M109" i="14"/>
  <c r="G109" i="14"/>
  <c r="F109" i="14"/>
  <c r="B109" i="14"/>
  <c r="A109" i="14"/>
  <c r="R108" i="14"/>
  <c r="Q108" i="14"/>
  <c r="P108" i="14"/>
  <c r="M108" i="14"/>
  <c r="G108" i="14"/>
  <c r="F108" i="14"/>
  <c r="B108" i="14"/>
  <c r="A108" i="14"/>
  <c r="R107" i="14"/>
  <c r="Q107" i="14"/>
  <c r="P107" i="14"/>
  <c r="M107" i="14"/>
  <c r="G107" i="14"/>
  <c r="F107" i="14"/>
  <c r="C107" i="14"/>
  <c r="B107" i="14"/>
  <c r="A107" i="14"/>
  <c r="R106" i="14"/>
  <c r="Q106" i="14"/>
  <c r="P106" i="14"/>
  <c r="M106" i="14"/>
  <c r="G106" i="14"/>
  <c r="F106" i="14"/>
  <c r="B106" i="14"/>
  <c r="C106" i="14" s="1"/>
  <c r="A106" i="14"/>
  <c r="R105" i="14"/>
  <c r="Q105" i="14"/>
  <c r="P105" i="14"/>
  <c r="M105" i="14"/>
  <c r="G105" i="14"/>
  <c r="F105" i="14"/>
  <c r="B105" i="14"/>
  <c r="A105" i="14"/>
  <c r="R104" i="14"/>
  <c r="Q104" i="14"/>
  <c r="P104" i="14"/>
  <c r="M104" i="14"/>
  <c r="G104" i="14"/>
  <c r="F104" i="14"/>
  <c r="B104" i="14"/>
  <c r="A104" i="14"/>
  <c r="R103" i="14"/>
  <c r="Q103" i="14"/>
  <c r="P103" i="14"/>
  <c r="M103" i="14"/>
  <c r="G103" i="14"/>
  <c r="F103" i="14"/>
  <c r="B103" i="14"/>
  <c r="A103" i="14"/>
  <c r="R102" i="14"/>
  <c r="Q102" i="14"/>
  <c r="P102" i="14"/>
  <c r="M102" i="14"/>
  <c r="G102" i="14"/>
  <c r="F102" i="14"/>
  <c r="C102" i="14"/>
  <c r="B102" i="14"/>
  <c r="A102" i="14"/>
  <c r="R101" i="14"/>
  <c r="Q101" i="14"/>
  <c r="P101" i="14"/>
  <c r="M101" i="14"/>
  <c r="G101" i="14"/>
  <c r="F101" i="14"/>
  <c r="B101" i="14"/>
  <c r="A101" i="14"/>
  <c r="R100" i="14"/>
  <c r="Q100" i="14"/>
  <c r="P100" i="14"/>
  <c r="M100" i="14"/>
  <c r="G100" i="14"/>
  <c r="F100" i="14"/>
  <c r="B100" i="14"/>
  <c r="A100" i="14"/>
  <c r="R99" i="14"/>
  <c r="Q99" i="14"/>
  <c r="P99" i="14"/>
  <c r="M99" i="14"/>
  <c r="G99" i="14"/>
  <c r="F99" i="14"/>
  <c r="B99" i="14"/>
  <c r="A99" i="14"/>
  <c r="R98" i="14"/>
  <c r="Q98" i="14"/>
  <c r="P98" i="14"/>
  <c r="M98" i="14"/>
  <c r="G98" i="14"/>
  <c r="F98" i="14"/>
  <c r="C98" i="14"/>
  <c r="B98" i="14"/>
  <c r="A98" i="14"/>
  <c r="R97" i="14"/>
  <c r="Q97" i="14"/>
  <c r="P97" i="14"/>
  <c r="M97" i="14"/>
  <c r="G97" i="14"/>
  <c r="F97" i="14"/>
  <c r="B97" i="14"/>
  <c r="A97" i="14"/>
  <c r="R96" i="14"/>
  <c r="Q96" i="14"/>
  <c r="P96" i="14"/>
  <c r="M96" i="14"/>
  <c r="G96" i="14"/>
  <c r="F96" i="14"/>
  <c r="B96" i="14"/>
  <c r="A96" i="14"/>
  <c r="R95" i="14"/>
  <c r="Q95" i="14"/>
  <c r="P95" i="14"/>
  <c r="M95" i="14"/>
  <c r="G95" i="14"/>
  <c r="F95" i="14"/>
  <c r="B95" i="14"/>
  <c r="A95" i="14"/>
  <c r="R94" i="14"/>
  <c r="Q94" i="14"/>
  <c r="P94" i="14"/>
  <c r="M94" i="14"/>
  <c r="G94" i="14"/>
  <c r="F94" i="14"/>
  <c r="C94" i="14"/>
  <c r="B94" i="14"/>
  <c r="A94" i="14"/>
  <c r="R93" i="14"/>
  <c r="Q93" i="14"/>
  <c r="P93" i="14"/>
  <c r="M93" i="14"/>
  <c r="G93" i="14"/>
  <c r="F93" i="14"/>
  <c r="B93" i="14"/>
  <c r="A93" i="14"/>
  <c r="R92" i="14"/>
  <c r="Q92" i="14"/>
  <c r="P92" i="14"/>
  <c r="M92" i="14"/>
  <c r="G92" i="14"/>
  <c r="F92" i="14"/>
  <c r="B92" i="14"/>
  <c r="A92" i="14"/>
  <c r="R91" i="14"/>
  <c r="Q91" i="14"/>
  <c r="P91" i="14"/>
  <c r="M91" i="14"/>
  <c r="G91" i="14"/>
  <c r="F91" i="14"/>
  <c r="B91" i="14"/>
  <c r="A91" i="14"/>
  <c r="R90" i="14"/>
  <c r="Q90" i="14"/>
  <c r="P90" i="14"/>
  <c r="M90" i="14"/>
  <c r="G90" i="14"/>
  <c r="F90" i="14"/>
  <c r="C90" i="14"/>
  <c r="B90" i="14"/>
  <c r="A90" i="14"/>
  <c r="R89" i="14"/>
  <c r="Q89" i="14"/>
  <c r="P89" i="14"/>
  <c r="M89" i="14"/>
  <c r="G89" i="14"/>
  <c r="F89" i="14"/>
  <c r="B89" i="14"/>
  <c r="A89" i="14"/>
  <c r="R88" i="14"/>
  <c r="Q88" i="14"/>
  <c r="P88" i="14"/>
  <c r="M88" i="14"/>
  <c r="G88" i="14"/>
  <c r="F88" i="14"/>
  <c r="B88" i="14"/>
  <c r="A88" i="14"/>
  <c r="R87" i="14"/>
  <c r="Q87" i="14"/>
  <c r="P87" i="14"/>
  <c r="M87" i="14"/>
  <c r="G87" i="14"/>
  <c r="F87" i="14"/>
  <c r="B87" i="14"/>
  <c r="A87" i="14"/>
  <c r="R86" i="14"/>
  <c r="Q86" i="14"/>
  <c r="P86" i="14"/>
  <c r="M86" i="14"/>
  <c r="G86" i="14"/>
  <c r="F86" i="14"/>
  <c r="C86" i="14"/>
  <c r="B86" i="14"/>
  <c r="A86" i="14"/>
  <c r="R85" i="14"/>
  <c r="Q85" i="14"/>
  <c r="P85" i="14"/>
  <c r="M85" i="14"/>
  <c r="G85" i="14"/>
  <c r="F85" i="14"/>
  <c r="B85" i="14"/>
  <c r="A85" i="14"/>
  <c r="R84" i="14"/>
  <c r="Q84" i="14"/>
  <c r="P84" i="14"/>
  <c r="M84" i="14"/>
  <c r="G84" i="14"/>
  <c r="F84" i="14"/>
  <c r="B84" i="14"/>
  <c r="A84" i="14"/>
  <c r="R83" i="14"/>
  <c r="Q83" i="14"/>
  <c r="P83" i="14"/>
  <c r="M83" i="14"/>
  <c r="G83" i="14"/>
  <c r="F83" i="14"/>
  <c r="B83" i="14"/>
  <c r="A83" i="14"/>
  <c r="R82" i="14"/>
  <c r="Q82" i="14"/>
  <c r="P82" i="14"/>
  <c r="M82" i="14"/>
  <c r="B82" i="14"/>
  <c r="A82" i="14"/>
  <c r="R81" i="14"/>
  <c r="Q81" i="14"/>
  <c r="P81" i="14"/>
  <c r="M81" i="14"/>
  <c r="B81" i="14"/>
  <c r="A81" i="14"/>
  <c r="R80" i="14"/>
  <c r="Q80" i="14"/>
  <c r="P80" i="14"/>
  <c r="M80" i="14"/>
  <c r="B80" i="14"/>
  <c r="A80" i="14"/>
  <c r="R79" i="14"/>
  <c r="Q79" i="14"/>
  <c r="P79" i="14"/>
  <c r="M79" i="14"/>
  <c r="B79" i="14"/>
  <c r="A79" i="14"/>
  <c r="R78" i="14"/>
  <c r="Q78" i="14"/>
  <c r="P78" i="14"/>
  <c r="M78" i="14"/>
  <c r="B78" i="14"/>
  <c r="A78" i="14"/>
  <c r="R77" i="14"/>
  <c r="Q77" i="14"/>
  <c r="P77" i="14"/>
  <c r="M77" i="14"/>
  <c r="B77" i="14"/>
  <c r="A77" i="14"/>
  <c r="R76" i="14"/>
  <c r="Q76" i="14"/>
  <c r="P76" i="14"/>
  <c r="M76" i="14"/>
  <c r="B76" i="14"/>
  <c r="A76" i="14"/>
  <c r="R75" i="14"/>
  <c r="Q75" i="14"/>
  <c r="P75" i="14"/>
  <c r="M75" i="14"/>
  <c r="B75" i="14"/>
  <c r="A75" i="14"/>
  <c r="R74" i="14"/>
  <c r="Q74" i="14"/>
  <c r="P74" i="14"/>
  <c r="M74" i="14"/>
  <c r="B74" i="14"/>
  <c r="A74" i="14"/>
  <c r="R73" i="14"/>
  <c r="Q73" i="14"/>
  <c r="P73" i="14"/>
  <c r="M73" i="14"/>
  <c r="B73" i="14"/>
  <c r="A73" i="14"/>
  <c r="R72" i="14"/>
  <c r="Q72" i="14"/>
  <c r="P72" i="14"/>
  <c r="M72" i="14"/>
  <c r="B72" i="14"/>
  <c r="A72" i="14"/>
  <c r="R71" i="14"/>
  <c r="Q71" i="14"/>
  <c r="P71" i="14"/>
  <c r="M71" i="14"/>
  <c r="B71" i="14"/>
  <c r="A71" i="14"/>
  <c r="R70" i="14"/>
  <c r="Q70" i="14"/>
  <c r="P70" i="14"/>
  <c r="M70" i="14"/>
  <c r="B70" i="14"/>
  <c r="A70" i="14"/>
  <c r="R69" i="14"/>
  <c r="Q69" i="14"/>
  <c r="P69" i="14"/>
  <c r="M69" i="14"/>
  <c r="B69" i="14"/>
  <c r="A69" i="14"/>
  <c r="R68" i="14"/>
  <c r="Q68" i="14"/>
  <c r="P68" i="14"/>
  <c r="M68" i="14"/>
  <c r="B68" i="14"/>
  <c r="A68" i="14"/>
  <c r="R67" i="14"/>
  <c r="Q67" i="14"/>
  <c r="P67" i="14"/>
  <c r="M67" i="14"/>
  <c r="B67" i="14"/>
  <c r="A67" i="14"/>
  <c r="R66" i="14"/>
  <c r="Q66" i="14"/>
  <c r="P66" i="14"/>
  <c r="M66" i="14"/>
  <c r="G66" i="14"/>
  <c r="F66" i="14"/>
  <c r="C66" i="14"/>
  <c r="B66" i="14"/>
  <c r="A66" i="14"/>
  <c r="R65" i="14"/>
  <c r="Q65" i="14"/>
  <c r="P65" i="14"/>
  <c r="M65" i="14"/>
  <c r="G65" i="14"/>
  <c r="F65" i="14"/>
  <c r="B65" i="14"/>
  <c r="A65" i="14"/>
  <c r="R64" i="14"/>
  <c r="Q64" i="14"/>
  <c r="P64" i="14"/>
  <c r="M64" i="14"/>
  <c r="G64" i="14"/>
  <c r="F64" i="14"/>
  <c r="B64" i="14"/>
  <c r="A64" i="14"/>
  <c r="R63" i="14"/>
  <c r="Q63" i="14"/>
  <c r="P63" i="14"/>
  <c r="M63" i="14"/>
  <c r="G63" i="14"/>
  <c r="F63" i="14"/>
  <c r="B63" i="14"/>
  <c r="A63" i="14"/>
  <c r="R62" i="14"/>
  <c r="Q62" i="14"/>
  <c r="P62" i="14"/>
  <c r="M62" i="14"/>
  <c r="G62" i="14"/>
  <c r="F62" i="14"/>
  <c r="C62" i="14"/>
  <c r="B62" i="14"/>
  <c r="A62" i="14"/>
  <c r="R61" i="14"/>
  <c r="Q61" i="14"/>
  <c r="P61" i="14"/>
  <c r="M61" i="14"/>
  <c r="G61" i="14"/>
  <c r="F61" i="14"/>
  <c r="B61" i="14"/>
  <c r="A61" i="14"/>
  <c r="R60" i="14"/>
  <c r="Q60" i="14"/>
  <c r="P60" i="14"/>
  <c r="M60" i="14"/>
  <c r="G60" i="14"/>
  <c r="F60" i="14"/>
  <c r="B60" i="14"/>
  <c r="A60" i="14"/>
  <c r="R59" i="14"/>
  <c r="Q59" i="14"/>
  <c r="P59" i="14"/>
  <c r="M59" i="14"/>
  <c r="G59" i="14"/>
  <c r="F59" i="14"/>
  <c r="B59" i="14"/>
  <c r="A59" i="14"/>
  <c r="R58" i="14"/>
  <c r="Q58" i="14"/>
  <c r="P58" i="14"/>
  <c r="M58" i="14"/>
  <c r="G58" i="14"/>
  <c r="F58" i="14"/>
  <c r="C58" i="14"/>
  <c r="B58" i="14"/>
  <c r="A58" i="14"/>
  <c r="R57" i="14"/>
  <c r="Q57" i="14"/>
  <c r="P57" i="14"/>
  <c r="M57" i="14"/>
  <c r="G57" i="14"/>
  <c r="F57" i="14"/>
  <c r="B57" i="14"/>
  <c r="A57" i="14"/>
  <c r="R56" i="14"/>
  <c r="Q56" i="14"/>
  <c r="P56" i="14"/>
  <c r="M56" i="14"/>
  <c r="G56" i="14"/>
  <c r="F56" i="14"/>
  <c r="B56" i="14"/>
  <c r="A56" i="14"/>
  <c r="R55" i="14"/>
  <c r="Q55" i="14"/>
  <c r="P55" i="14"/>
  <c r="M55" i="14"/>
  <c r="G55" i="14"/>
  <c r="F55" i="14"/>
  <c r="B55" i="14"/>
  <c r="A55" i="14"/>
  <c r="R54" i="14"/>
  <c r="Q54" i="14"/>
  <c r="P54" i="14"/>
  <c r="M54" i="14"/>
  <c r="G54" i="14"/>
  <c r="F54" i="14"/>
  <c r="C54" i="14"/>
  <c r="B54" i="14"/>
  <c r="A54" i="14"/>
  <c r="R53" i="14"/>
  <c r="Q53" i="14"/>
  <c r="P53" i="14"/>
  <c r="M53" i="14"/>
  <c r="G53" i="14"/>
  <c r="F53" i="14"/>
  <c r="B53" i="14"/>
  <c r="A53" i="14"/>
  <c r="R52" i="14"/>
  <c r="Q52" i="14"/>
  <c r="P52" i="14"/>
  <c r="M52" i="14"/>
  <c r="G52" i="14"/>
  <c r="F52" i="14"/>
  <c r="B52" i="14"/>
  <c r="A52" i="14"/>
  <c r="R51" i="14"/>
  <c r="Q51" i="14"/>
  <c r="P51" i="14"/>
  <c r="M51" i="14"/>
  <c r="G51" i="14"/>
  <c r="F51" i="14"/>
  <c r="B51" i="14"/>
  <c r="A51" i="14"/>
  <c r="R50" i="14"/>
  <c r="Q50" i="14"/>
  <c r="P50" i="14"/>
  <c r="M50" i="14"/>
  <c r="G50" i="14"/>
  <c r="F50" i="14"/>
  <c r="C50" i="14"/>
  <c r="B50" i="14"/>
  <c r="A50" i="14"/>
  <c r="R49" i="14"/>
  <c r="Q49" i="14"/>
  <c r="P49" i="14"/>
  <c r="M49" i="14"/>
  <c r="G49" i="14"/>
  <c r="F49" i="14"/>
  <c r="B49" i="14"/>
  <c r="A49" i="14"/>
  <c r="R48" i="14"/>
  <c r="Q48" i="14"/>
  <c r="P48" i="14"/>
  <c r="M48" i="14"/>
  <c r="G48" i="14"/>
  <c r="F48" i="14"/>
  <c r="B48" i="14"/>
  <c r="A48" i="14"/>
  <c r="R47" i="14"/>
  <c r="Q47" i="14"/>
  <c r="P47" i="14"/>
  <c r="M47" i="14"/>
  <c r="G47" i="14"/>
  <c r="F47" i="14"/>
  <c r="B47" i="14"/>
  <c r="A47" i="14"/>
  <c r="R46" i="14"/>
  <c r="Q46" i="14"/>
  <c r="P46" i="14"/>
  <c r="M46" i="14"/>
  <c r="G46" i="14"/>
  <c r="F46" i="14"/>
  <c r="C46" i="14"/>
  <c r="B46" i="14"/>
  <c r="A46" i="14"/>
  <c r="R45" i="14"/>
  <c r="Q45" i="14"/>
  <c r="P45" i="14"/>
  <c r="M45" i="14"/>
  <c r="C45" i="14"/>
  <c r="B45" i="14"/>
  <c r="A45" i="14"/>
  <c r="R44" i="14"/>
  <c r="Q44" i="14"/>
  <c r="P44" i="14"/>
  <c r="M44" i="14"/>
  <c r="C44" i="14"/>
  <c r="B44" i="14"/>
  <c r="A44" i="14"/>
  <c r="R43" i="14"/>
  <c r="Q43" i="14"/>
  <c r="P43" i="14"/>
  <c r="M43" i="14"/>
  <c r="C43" i="14"/>
  <c r="B43" i="14"/>
  <c r="A43" i="14"/>
  <c r="R42" i="14"/>
  <c r="Q42" i="14"/>
  <c r="P42" i="14"/>
  <c r="M42" i="14"/>
  <c r="C42" i="14"/>
  <c r="B42" i="14"/>
  <c r="A42" i="14"/>
  <c r="R41" i="14"/>
  <c r="Q41" i="14"/>
  <c r="P41" i="14"/>
  <c r="M41" i="14"/>
  <c r="C41" i="14"/>
  <c r="B41" i="14"/>
  <c r="A41" i="14"/>
  <c r="R40" i="14"/>
  <c r="Q40" i="14"/>
  <c r="P40" i="14"/>
  <c r="M40" i="14"/>
  <c r="C40" i="14"/>
  <c r="B40" i="14"/>
  <c r="A40" i="14"/>
  <c r="R39" i="14"/>
  <c r="Q39" i="14"/>
  <c r="P39" i="14"/>
  <c r="M39" i="14"/>
  <c r="C39" i="14"/>
  <c r="B39" i="14"/>
  <c r="A39" i="14"/>
  <c r="R38" i="14"/>
  <c r="Q38" i="14"/>
  <c r="P38" i="14"/>
  <c r="M38" i="14"/>
  <c r="C38" i="14"/>
  <c r="B38" i="14"/>
  <c r="A38" i="14"/>
  <c r="R37" i="14"/>
  <c r="Q37" i="14"/>
  <c r="P37" i="14"/>
  <c r="M37" i="14"/>
  <c r="C37" i="14"/>
  <c r="B37" i="14"/>
  <c r="A37" i="14"/>
  <c r="R36" i="14"/>
  <c r="Q36" i="14"/>
  <c r="P36" i="14"/>
  <c r="M36" i="14"/>
  <c r="C36" i="14"/>
  <c r="B36" i="14"/>
  <c r="A36" i="14"/>
  <c r="R35" i="14"/>
  <c r="Q35" i="14"/>
  <c r="P35" i="14"/>
  <c r="M35" i="14"/>
  <c r="C35" i="14"/>
  <c r="B35" i="14"/>
  <c r="A35" i="14"/>
  <c r="R34" i="14"/>
  <c r="Q34" i="14"/>
  <c r="P34" i="14"/>
  <c r="M34" i="14"/>
  <c r="C34" i="14"/>
  <c r="B34" i="14"/>
  <c r="A34" i="14"/>
  <c r="R33" i="14"/>
  <c r="Q33" i="14"/>
  <c r="P33" i="14"/>
  <c r="M33" i="14"/>
  <c r="C33" i="14"/>
  <c r="B33" i="14"/>
  <c r="A33" i="14"/>
  <c r="R32" i="14"/>
  <c r="Q32" i="14"/>
  <c r="P32" i="14"/>
  <c r="M32" i="14"/>
  <c r="C32" i="14"/>
  <c r="B32" i="14"/>
  <c r="A32" i="14"/>
  <c r="R31" i="14"/>
  <c r="Q31" i="14"/>
  <c r="P31" i="14"/>
  <c r="M31" i="14"/>
  <c r="G31" i="14"/>
  <c r="F31" i="14"/>
  <c r="B31" i="14"/>
  <c r="A31" i="14"/>
  <c r="R30" i="14"/>
  <c r="Q30" i="14"/>
  <c r="P30" i="14"/>
  <c r="M30" i="14"/>
  <c r="G30" i="14"/>
  <c r="F30" i="14"/>
  <c r="B30" i="14"/>
  <c r="A30" i="14"/>
  <c r="R29" i="14"/>
  <c r="Q29" i="14"/>
  <c r="P29" i="14"/>
  <c r="M29" i="14"/>
  <c r="G29" i="14"/>
  <c r="F29" i="14"/>
  <c r="B29" i="14"/>
  <c r="A29" i="14"/>
  <c r="R28" i="14"/>
  <c r="Q28" i="14"/>
  <c r="P28" i="14"/>
  <c r="M28" i="14"/>
  <c r="B28" i="14"/>
  <c r="A28" i="14"/>
  <c r="R27" i="14"/>
  <c r="Q27" i="14"/>
  <c r="P27" i="14"/>
  <c r="M27" i="14"/>
  <c r="B27" i="14"/>
  <c r="A27" i="14"/>
  <c r="R26" i="14"/>
  <c r="Q26" i="14"/>
  <c r="P26" i="14"/>
  <c r="M26" i="14"/>
  <c r="B26" i="14"/>
  <c r="A26" i="14"/>
  <c r="R25" i="14"/>
  <c r="Q25" i="14"/>
  <c r="P25" i="14"/>
  <c r="M25" i="14"/>
  <c r="G25" i="14"/>
  <c r="F25" i="14"/>
  <c r="C25" i="14"/>
  <c r="B25" i="14"/>
  <c r="A25" i="14"/>
  <c r="R24" i="14"/>
  <c r="Q24" i="14"/>
  <c r="P24" i="14"/>
  <c r="M24" i="14"/>
  <c r="G24" i="14"/>
  <c r="F24" i="14"/>
  <c r="B24" i="14"/>
  <c r="A24" i="14"/>
  <c r="R23" i="14"/>
  <c r="Q23" i="14"/>
  <c r="P23" i="14"/>
  <c r="M23" i="14"/>
  <c r="G23" i="14"/>
  <c r="F23" i="14"/>
  <c r="B23" i="14"/>
  <c r="A23" i="14"/>
  <c r="R22" i="14"/>
  <c r="Q22" i="14"/>
  <c r="P22" i="14"/>
  <c r="M22" i="14"/>
  <c r="G22" i="14"/>
  <c r="F22" i="14"/>
  <c r="B22" i="14"/>
  <c r="A22" i="14"/>
  <c r="R21" i="14"/>
  <c r="Q21" i="14"/>
  <c r="P21" i="14"/>
  <c r="M21" i="14"/>
  <c r="G21" i="14"/>
  <c r="F21" i="14"/>
  <c r="C21" i="14"/>
  <c r="B21" i="14"/>
  <c r="A21" i="14"/>
  <c r="R20" i="14"/>
  <c r="Q20" i="14"/>
  <c r="P20" i="14"/>
  <c r="M20" i="14"/>
  <c r="G20" i="14"/>
  <c r="F20" i="14"/>
  <c r="B20" i="14"/>
  <c r="A20" i="14"/>
  <c r="R19" i="14"/>
  <c r="Q19" i="14"/>
  <c r="P19" i="14"/>
  <c r="M19" i="14"/>
  <c r="G19" i="14"/>
  <c r="F19" i="14"/>
  <c r="B19" i="14"/>
  <c r="A19" i="14"/>
  <c r="R18" i="14"/>
  <c r="Q18" i="14"/>
  <c r="P18" i="14"/>
  <c r="M18" i="14"/>
  <c r="G18" i="14"/>
  <c r="F18" i="14"/>
  <c r="B18" i="14"/>
  <c r="A18" i="14"/>
  <c r="R17" i="14"/>
  <c r="Q17" i="14"/>
  <c r="P17" i="14"/>
  <c r="M17" i="14"/>
  <c r="G17" i="14"/>
  <c r="F17" i="14"/>
  <c r="C17" i="14"/>
  <c r="B17" i="14"/>
  <c r="A17" i="14"/>
  <c r="R16" i="14"/>
  <c r="Q16" i="14"/>
  <c r="P16" i="14"/>
  <c r="M16" i="14"/>
  <c r="G16" i="14"/>
  <c r="F16" i="14"/>
  <c r="B16" i="14"/>
  <c r="A16" i="14"/>
  <c r="R15" i="14"/>
  <c r="Q15" i="14"/>
  <c r="P15" i="14"/>
  <c r="M15" i="14"/>
  <c r="G15" i="14"/>
  <c r="F15" i="14"/>
  <c r="B15" i="14"/>
  <c r="A15" i="14"/>
  <c r="R14" i="14"/>
  <c r="Q14" i="14"/>
  <c r="P14" i="14"/>
  <c r="M14" i="14"/>
  <c r="G14" i="14"/>
  <c r="F14" i="14"/>
  <c r="B14" i="14"/>
  <c r="A14" i="14"/>
  <c r="R13" i="14"/>
  <c r="Q13" i="14"/>
  <c r="P13" i="14"/>
  <c r="M13" i="14"/>
  <c r="G13" i="14"/>
  <c r="F13" i="14"/>
  <c r="C13" i="14"/>
  <c r="B13" i="14"/>
  <c r="A13" i="14"/>
  <c r="R12" i="14"/>
  <c r="Q12" i="14"/>
  <c r="P12" i="14"/>
  <c r="M12" i="14"/>
  <c r="G12" i="14"/>
  <c r="F12" i="14"/>
  <c r="B12" i="14"/>
  <c r="A12" i="14"/>
  <c r="R11" i="14"/>
  <c r="Q11" i="14"/>
  <c r="P11" i="14"/>
  <c r="M11" i="14"/>
  <c r="G11" i="14"/>
  <c r="F11" i="14"/>
  <c r="B11" i="14"/>
  <c r="A11" i="14"/>
  <c r="R10" i="14"/>
  <c r="Q10" i="14"/>
  <c r="P10" i="14"/>
  <c r="M10" i="14"/>
  <c r="G10" i="14"/>
  <c r="F10" i="14"/>
  <c r="B10" i="14"/>
  <c r="A10" i="14"/>
  <c r="R9" i="14"/>
  <c r="Q9" i="14"/>
  <c r="P9" i="14"/>
  <c r="M9" i="14"/>
  <c r="G9" i="14"/>
  <c r="F9" i="14"/>
  <c r="C9" i="14"/>
  <c r="B9" i="14"/>
  <c r="A9" i="14"/>
  <c r="R8" i="14"/>
  <c r="Q8" i="14"/>
  <c r="P8" i="14"/>
  <c r="M8" i="14"/>
  <c r="G8" i="14"/>
  <c r="F8" i="14"/>
  <c r="B8" i="14"/>
  <c r="A8" i="14"/>
  <c r="R7" i="14"/>
  <c r="Q7" i="14"/>
  <c r="P7" i="14"/>
  <c r="M7" i="14"/>
  <c r="G7" i="14"/>
  <c r="F7" i="14"/>
  <c r="B7" i="14"/>
  <c r="A7" i="14"/>
  <c r="R6" i="14"/>
  <c r="Q6" i="14"/>
  <c r="P6" i="14"/>
  <c r="M6" i="14"/>
  <c r="G6" i="14"/>
  <c r="F6" i="14"/>
  <c r="B6" i="14"/>
  <c r="A6" i="14"/>
  <c r="R5" i="14"/>
  <c r="Q5" i="14"/>
  <c r="P5" i="14"/>
  <c r="M5" i="14"/>
  <c r="G5" i="14"/>
  <c r="F5" i="14"/>
  <c r="C5" i="14"/>
  <c r="B5" i="14"/>
  <c r="A5" i="14"/>
  <c r="R4" i="14"/>
  <c r="Q4" i="14"/>
  <c r="P4" i="14"/>
  <c r="M4" i="14"/>
  <c r="G4" i="14"/>
  <c r="F4" i="14"/>
  <c r="C4" i="14"/>
  <c r="B4" i="14"/>
  <c r="A4" i="14"/>
  <c r="R3" i="14"/>
  <c r="Q3" i="14"/>
  <c r="P3" i="14"/>
  <c r="M3" i="14"/>
  <c r="G3" i="14"/>
  <c r="F3" i="14"/>
  <c r="B3" i="14"/>
  <c r="A3" i="14"/>
  <c r="R2" i="14"/>
  <c r="Q2" i="14"/>
  <c r="P2" i="14"/>
  <c r="M2" i="14"/>
  <c r="G2" i="14"/>
  <c r="F2" i="14"/>
  <c r="B2" i="14"/>
  <c r="A2" i="14"/>
  <c r="R499" i="13"/>
  <c r="Q499" i="13"/>
  <c r="P499" i="13"/>
  <c r="M499" i="13"/>
  <c r="G499" i="13"/>
  <c r="F499" i="13"/>
  <c r="C499" i="13"/>
  <c r="B499" i="13"/>
  <c r="A499" i="13"/>
  <c r="R498" i="13"/>
  <c r="Q498" i="13"/>
  <c r="P498" i="13"/>
  <c r="M498" i="13"/>
  <c r="G498" i="13"/>
  <c r="F498" i="13"/>
  <c r="B498" i="13"/>
  <c r="A498" i="13"/>
  <c r="R497" i="13"/>
  <c r="Q497" i="13"/>
  <c r="P497" i="13"/>
  <c r="M497" i="13"/>
  <c r="G497" i="13"/>
  <c r="F497" i="13"/>
  <c r="B497" i="13"/>
  <c r="A497" i="13"/>
  <c r="R496" i="13"/>
  <c r="Q496" i="13"/>
  <c r="P496" i="13"/>
  <c r="M496" i="13"/>
  <c r="G496" i="13"/>
  <c r="F496" i="13"/>
  <c r="B496" i="13"/>
  <c r="A496" i="13"/>
  <c r="R495" i="13"/>
  <c r="Q495" i="13"/>
  <c r="P495" i="13"/>
  <c r="M495" i="13"/>
  <c r="G495" i="13"/>
  <c r="F495" i="13"/>
  <c r="C495" i="13"/>
  <c r="B495" i="13"/>
  <c r="A495" i="13"/>
  <c r="R494" i="13"/>
  <c r="Q494" i="13"/>
  <c r="P494" i="13"/>
  <c r="M494" i="13"/>
  <c r="G494" i="13"/>
  <c r="F494" i="13"/>
  <c r="B494" i="13"/>
  <c r="A494" i="13"/>
  <c r="R493" i="13"/>
  <c r="Q493" i="13"/>
  <c r="P493" i="13"/>
  <c r="M493" i="13"/>
  <c r="G493" i="13"/>
  <c r="F493" i="13"/>
  <c r="B493" i="13"/>
  <c r="A493" i="13"/>
  <c r="R492" i="13"/>
  <c r="Q492" i="13"/>
  <c r="P492" i="13"/>
  <c r="M492" i="13"/>
  <c r="G492" i="13"/>
  <c r="F492" i="13"/>
  <c r="B492" i="13"/>
  <c r="A492" i="13"/>
  <c r="R491" i="13"/>
  <c r="Q491" i="13"/>
  <c r="P491" i="13"/>
  <c r="M491" i="13"/>
  <c r="G491" i="13"/>
  <c r="F491" i="13"/>
  <c r="C491" i="13"/>
  <c r="B491" i="13"/>
  <c r="A491" i="13"/>
  <c r="R490" i="13"/>
  <c r="Q490" i="13"/>
  <c r="P490" i="13"/>
  <c r="M490" i="13"/>
  <c r="G490" i="13"/>
  <c r="F490" i="13"/>
  <c r="B490" i="13"/>
  <c r="A490" i="13"/>
  <c r="R489" i="13"/>
  <c r="Q489" i="13"/>
  <c r="P489" i="13"/>
  <c r="M489" i="13"/>
  <c r="G489" i="13"/>
  <c r="F489" i="13"/>
  <c r="B489" i="13"/>
  <c r="A489" i="13"/>
  <c r="R488" i="13"/>
  <c r="Q488" i="13"/>
  <c r="P488" i="13"/>
  <c r="M488" i="13"/>
  <c r="G488" i="13"/>
  <c r="F488" i="13"/>
  <c r="B488" i="13"/>
  <c r="A488" i="13"/>
  <c r="R487" i="13"/>
  <c r="Q487" i="13"/>
  <c r="P487" i="13"/>
  <c r="M487" i="13"/>
  <c r="G487" i="13"/>
  <c r="F487" i="13"/>
  <c r="C487" i="13"/>
  <c r="B487" i="13"/>
  <c r="A487" i="13"/>
  <c r="R486" i="13"/>
  <c r="Q486" i="13"/>
  <c r="P486" i="13"/>
  <c r="M486" i="13"/>
  <c r="G486" i="13"/>
  <c r="F486" i="13"/>
  <c r="B486" i="13"/>
  <c r="A486" i="13"/>
  <c r="R485" i="13"/>
  <c r="Q485" i="13"/>
  <c r="P485" i="13"/>
  <c r="M485" i="13"/>
  <c r="G485" i="13"/>
  <c r="F485" i="13"/>
  <c r="B485" i="13"/>
  <c r="A485" i="13"/>
  <c r="R484" i="13"/>
  <c r="Q484" i="13"/>
  <c r="P484" i="13"/>
  <c r="M484" i="13"/>
  <c r="G484" i="13"/>
  <c r="F484" i="13"/>
  <c r="B484" i="13"/>
  <c r="A484" i="13"/>
  <c r="R483" i="13"/>
  <c r="Q483" i="13"/>
  <c r="P483" i="13"/>
  <c r="M483" i="13"/>
  <c r="G483" i="13"/>
  <c r="F483" i="13"/>
  <c r="C483" i="13"/>
  <c r="B483" i="13"/>
  <c r="A483" i="13"/>
  <c r="R482" i="13"/>
  <c r="Q482" i="13"/>
  <c r="P482" i="13"/>
  <c r="M482" i="13"/>
  <c r="G482" i="13"/>
  <c r="F482" i="13"/>
  <c r="B482" i="13"/>
  <c r="A482" i="13"/>
  <c r="R481" i="13"/>
  <c r="Q481" i="13"/>
  <c r="P481" i="13"/>
  <c r="M481" i="13"/>
  <c r="G481" i="13"/>
  <c r="F481" i="13"/>
  <c r="B481" i="13"/>
  <c r="A481" i="13"/>
  <c r="R480" i="13"/>
  <c r="Q480" i="13"/>
  <c r="P480" i="13"/>
  <c r="M480" i="13"/>
  <c r="G480" i="13"/>
  <c r="F480" i="13"/>
  <c r="B480" i="13"/>
  <c r="A480" i="13"/>
  <c r="R479" i="13"/>
  <c r="Q479" i="13"/>
  <c r="P479" i="13"/>
  <c r="M479" i="13"/>
  <c r="G479" i="13"/>
  <c r="F479" i="13"/>
  <c r="C479" i="13"/>
  <c r="B479" i="13"/>
  <c r="A479" i="13"/>
  <c r="R478" i="13"/>
  <c r="Q478" i="13"/>
  <c r="P478" i="13"/>
  <c r="M478" i="13"/>
  <c r="G478" i="13"/>
  <c r="F478" i="13"/>
  <c r="B478" i="13"/>
  <c r="A478" i="13"/>
  <c r="R477" i="13"/>
  <c r="Q477" i="13"/>
  <c r="P477" i="13"/>
  <c r="M477" i="13"/>
  <c r="G477" i="13"/>
  <c r="F477" i="13"/>
  <c r="B477" i="13"/>
  <c r="A477" i="13"/>
  <c r="R476" i="13"/>
  <c r="Q476" i="13"/>
  <c r="P476" i="13"/>
  <c r="M476" i="13"/>
  <c r="G476" i="13"/>
  <c r="F476" i="13"/>
  <c r="B476" i="13"/>
  <c r="A476" i="13"/>
  <c r="R475" i="13"/>
  <c r="Q475" i="13"/>
  <c r="P475" i="13"/>
  <c r="M475" i="13"/>
  <c r="G475" i="13"/>
  <c r="F475" i="13"/>
  <c r="C475" i="13"/>
  <c r="B475" i="13"/>
  <c r="A475" i="13"/>
  <c r="R474" i="13"/>
  <c r="Q474" i="13"/>
  <c r="P474" i="13"/>
  <c r="M474" i="13"/>
  <c r="G474" i="13"/>
  <c r="F474" i="13"/>
  <c r="B474" i="13"/>
  <c r="A474" i="13"/>
  <c r="R473" i="13"/>
  <c r="Q473" i="13"/>
  <c r="P473" i="13"/>
  <c r="M473" i="13"/>
  <c r="G473" i="13"/>
  <c r="F473" i="13"/>
  <c r="B473" i="13"/>
  <c r="A473" i="13"/>
  <c r="R472" i="13"/>
  <c r="Q472" i="13"/>
  <c r="P472" i="13"/>
  <c r="M472" i="13"/>
  <c r="G472" i="13"/>
  <c r="F472" i="13"/>
  <c r="B472" i="13"/>
  <c r="A472" i="13"/>
  <c r="R471" i="13"/>
  <c r="Q471" i="13"/>
  <c r="P471" i="13"/>
  <c r="M471" i="13"/>
  <c r="G471" i="13"/>
  <c r="F471" i="13"/>
  <c r="C471" i="13"/>
  <c r="B471" i="13"/>
  <c r="A471" i="13"/>
  <c r="R470" i="13"/>
  <c r="Q470" i="13"/>
  <c r="P470" i="13"/>
  <c r="M470" i="13"/>
  <c r="G470" i="13"/>
  <c r="F470" i="13"/>
  <c r="B470" i="13"/>
  <c r="A470" i="13"/>
  <c r="R469" i="13"/>
  <c r="Q469" i="13"/>
  <c r="P469" i="13"/>
  <c r="M469" i="13"/>
  <c r="G469" i="13"/>
  <c r="F469" i="13"/>
  <c r="B469" i="13"/>
  <c r="A469" i="13"/>
  <c r="R468" i="13"/>
  <c r="Q468" i="13"/>
  <c r="P468" i="13"/>
  <c r="M468" i="13"/>
  <c r="G468" i="13"/>
  <c r="F468" i="13"/>
  <c r="B468" i="13"/>
  <c r="A468" i="13"/>
  <c r="R467" i="13"/>
  <c r="Q467" i="13"/>
  <c r="P467" i="13"/>
  <c r="M467" i="13"/>
  <c r="G467" i="13"/>
  <c r="F467" i="13"/>
  <c r="C467" i="13"/>
  <c r="B467" i="13"/>
  <c r="A467" i="13"/>
  <c r="R466" i="13"/>
  <c r="Q466" i="13"/>
  <c r="P466" i="13"/>
  <c r="M466" i="13"/>
  <c r="G466" i="13"/>
  <c r="F466" i="13"/>
  <c r="B466" i="13"/>
  <c r="A466" i="13"/>
  <c r="R465" i="13"/>
  <c r="Q465" i="13"/>
  <c r="P465" i="13"/>
  <c r="M465" i="13"/>
  <c r="G465" i="13"/>
  <c r="F465" i="13"/>
  <c r="B465" i="13"/>
  <c r="A465" i="13"/>
  <c r="R464" i="13"/>
  <c r="Q464" i="13"/>
  <c r="P464" i="13"/>
  <c r="M464" i="13"/>
  <c r="G464" i="13"/>
  <c r="F464" i="13"/>
  <c r="B464" i="13"/>
  <c r="A464" i="13"/>
  <c r="R463" i="13"/>
  <c r="Q463" i="13"/>
  <c r="P463" i="13"/>
  <c r="M463" i="13"/>
  <c r="G463" i="13"/>
  <c r="F463" i="13"/>
  <c r="C463" i="13"/>
  <c r="B463" i="13"/>
  <c r="A463" i="13"/>
  <c r="R462" i="13"/>
  <c r="Q462" i="13"/>
  <c r="P462" i="13"/>
  <c r="M462" i="13"/>
  <c r="G462" i="13"/>
  <c r="F462" i="13"/>
  <c r="B462" i="13"/>
  <c r="A462" i="13"/>
  <c r="R461" i="13"/>
  <c r="Q461" i="13"/>
  <c r="P461" i="13"/>
  <c r="M461" i="13"/>
  <c r="G461" i="13"/>
  <c r="F461" i="13"/>
  <c r="B461" i="13"/>
  <c r="A461" i="13"/>
  <c r="R460" i="13"/>
  <c r="Q460" i="13"/>
  <c r="P460" i="13"/>
  <c r="M460" i="13"/>
  <c r="G460" i="13"/>
  <c r="F460" i="13"/>
  <c r="B460" i="13"/>
  <c r="A460" i="13"/>
  <c r="R459" i="13"/>
  <c r="Q459" i="13"/>
  <c r="P459" i="13"/>
  <c r="M459" i="13"/>
  <c r="G459" i="13"/>
  <c r="F459" i="13"/>
  <c r="C459" i="13"/>
  <c r="B459" i="13"/>
  <c r="A459" i="13"/>
  <c r="R458" i="13"/>
  <c r="Q458" i="13"/>
  <c r="P458" i="13"/>
  <c r="M458" i="13"/>
  <c r="G458" i="13"/>
  <c r="F458" i="13"/>
  <c r="B458" i="13"/>
  <c r="A458" i="13"/>
  <c r="R457" i="13"/>
  <c r="Q457" i="13"/>
  <c r="P457" i="13"/>
  <c r="M457" i="13"/>
  <c r="G457" i="13"/>
  <c r="F457" i="13"/>
  <c r="B457" i="13"/>
  <c r="A457" i="13"/>
  <c r="R456" i="13"/>
  <c r="Q456" i="13"/>
  <c r="P456" i="13"/>
  <c r="M456" i="13"/>
  <c r="G456" i="13"/>
  <c r="F456" i="13"/>
  <c r="B456" i="13"/>
  <c r="A456" i="13"/>
  <c r="R455" i="13"/>
  <c r="Q455" i="13"/>
  <c r="P455" i="13"/>
  <c r="M455" i="13"/>
  <c r="G455" i="13"/>
  <c r="F455" i="13"/>
  <c r="C455" i="13"/>
  <c r="B455" i="13"/>
  <c r="A455" i="13"/>
  <c r="R454" i="13"/>
  <c r="Q454" i="13"/>
  <c r="P454" i="13"/>
  <c r="M454" i="13"/>
  <c r="G454" i="13"/>
  <c r="F454" i="13"/>
  <c r="B454" i="13"/>
  <c r="A454" i="13"/>
  <c r="R453" i="13"/>
  <c r="Q453" i="13"/>
  <c r="P453" i="13"/>
  <c r="M453" i="13"/>
  <c r="G453" i="13"/>
  <c r="F453" i="13"/>
  <c r="B453" i="13"/>
  <c r="A453" i="13"/>
  <c r="R452" i="13"/>
  <c r="Q452" i="13"/>
  <c r="P452" i="13"/>
  <c r="M452" i="13"/>
  <c r="G452" i="13"/>
  <c r="F452" i="13"/>
  <c r="B452" i="13"/>
  <c r="A452" i="13"/>
  <c r="R451" i="13"/>
  <c r="Q451" i="13"/>
  <c r="P451" i="13"/>
  <c r="M451" i="13"/>
  <c r="G451" i="13"/>
  <c r="F451" i="13"/>
  <c r="C451" i="13"/>
  <c r="B451" i="13"/>
  <c r="A451" i="13"/>
  <c r="R450" i="13"/>
  <c r="Q450" i="13"/>
  <c r="P450" i="13"/>
  <c r="M450" i="13"/>
  <c r="G450" i="13"/>
  <c r="F450" i="13"/>
  <c r="B450" i="13"/>
  <c r="A450" i="13"/>
  <c r="R449" i="13"/>
  <c r="Q449" i="13"/>
  <c r="P449" i="13"/>
  <c r="M449" i="13"/>
  <c r="G449" i="13"/>
  <c r="F449" i="13"/>
  <c r="B449" i="13"/>
  <c r="A449" i="13"/>
  <c r="R448" i="13"/>
  <c r="Q448" i="13"/>
  <c r="P448" i="13"/>
  <c r="M448" i="13"/>
  <c r="G448" i="13"/>
  <c r="F448" i="13"/>
  <c r="B448" i="13"/>
  <c r="A448" i="13"/>
  <c r="R447" i="13"/>
  <c r="Q447" i="13"/>
  <c r="P447" i="13"/>
  <c r="M447" i="13"/>
  <c r="G447" i="13"/>
  <c r="F447" i="13"/>
  <c r="C447" i="13"/>
  <c r="B447" i="13"/>
  <c r="A447" i="13"/>
  <c r="R446" i="13"/>
  <c r="Q446" i="13"/>
  <c r="P446" i="13"/>
  <c r="M446" i="13"/>
  <c r="G446" i="13"/>
  <c r="F446" i="13"/>
  <c r="B446" i="13"/>
  <c r="A446" i="13"/>
  <c r="R445" i="13"/>
  <c r="Q445" i="13"/>
  <c r="P445" i="13"/>
  <c r="M445" i="13"/>
  <c r="G445" i="13"/>
  <c r="F445" i="13"/>
  <c r="B445" i="13"/>
  <c r="A445" i="13"/>
  <c r="R444" i="13"/>
  <c r="Q444" i="13"/>
  <c r="P444" i="13"/>
  <c r="M444" i="13"/>
  <c r="G444" i="13"/>
  <c r="F444" i="13"/>
  <c r="B444" i="13"/>
  <c r="A444" i="13"/>
  <c r="R443" i="13"/>
  <c r="Q443" i="13"/>
  <c r="P443" i="13"/>
  <c r="M443" i="13"/>
  <c r="G443" i="13"/>
  <c r="F443" i="13"/>
  <c r="C443" i="13"/>
  <c r="B443" i="13"/>
  <c r="A443" i="13"/>
  <c r="R442" i="13"/>
  <c r="Q442" i="13"/>
  <c r="P442" i="13"/>
  <c r="M442" i="13"/>
  <c r="G442" i="13"/>
  <c r="F442" i="13"/>
  <c r="B442" i="13"/>
  <c r="A442" i="13"/>
  <c r="R441" i="13"/>
  <c r="Q441" i="13"/>
  <c r="P441" i="13"/>
  <c r="M441" i="13"/>
  <c r="G441" i="13"/>
  <c r="F441" i="13"/>
  <c r="B441" i="13"/>
  <c r="A441" i="13"/>
  <c r="R440" i="13"/>
  <c r="Q440" i="13"/>
  <c r="P440" i="13"/>
  <c r="M440" i="13"/>
  <c r="G440" i="13"/>
  <c r="F440" i="13"/>
  <c r="B440" i="13"/>
  <c r="A440" i="13"/>
  <c r="R439" i="13"/>
  <c r="Q439" i="13"/>
  <c r="P439" i="13"/>
  <c r="M439" i="13"/>
  <c r="G439" i="13"/>
  <c r="F439" i="13"/>
  <c r="C439" i="13"/>
  <c r="B439" i="13"/>
  <c r="A439" i="13"/>
  <c r="R438" i="13"/>
  <c r="Q438" i="13"/>
  <c r="P438" i="13"/>
  <c r="M438" i="13"/>
  <c r="G438" i="13"/>
  <c r="F438" i="13"/>
  <c r="B438" i="13"/>
  <c r="A438" i="13"/>
  <c r="R437" i="13"/>
  <c r="Q437" i="13"/>
  <c r="P437" i="13"/>
  <c r="M437" i="13"/>
  <c r="G437" i="13"/>
  <c r="F437" i="13"/>
  <c r="B437" i="13"/>
  <c r="A437" i="13"/>
  <c r="R436" i="13"/>
  <c r="Q436" i="13"/>
  <c r="P436" i="13"/>
  <c r="M436" i="13"/>
  <c r="G436" i="13"/>
  <c r="F436" i="13"/>
  <c r="B436" i="13"/>
  <c r="A436" i="13"/>
  <c r="R435" i="13"/>
  <c r="Q435" i="13"/>
  <c r="P435" i="13"/>
  <c r="M435" i="13"/>
  <c r="G435" i="13"/>
  <c r="F435" i="13"/>
  <c r="C435" i="13"/>
  <c r="B435" i="13"/>
  <c r="A435" i="13"/>
  <c r="R434" i="13"/>
  <c r="Q434" i="13"/>
  <c r="P434" i="13"/>
  <c r="M434" i="13"/>
  <c r="G434" i="13"/>
  <c r="F434" i="13"/>
  <c r="B434" i="13"/>
  <c r="A434" i="13"/>
  <c r="R433" i="13"/>
  <c r="Q433" i="13"/>
  <c r="P433" i="13"/>
  <c r="M433" i="13"/>
  <c r="G433" i="13"/>
  <c r="F433" i="13"/>
  <c r="B433" i="13"/>
  <c r="A433" i="13"/>
  <c r="R432" i="13"/>
  <c r="Q432" i="13"/>
  <c r="P432" i="13"/>
  <c r="M432" i="13"/>
  <c r="G432" i="13"/>
  <c r="F432" i="13"/>
  <c r="B432" i="13"/>
  <c r="A432" i="13"/>
  <c r="R431" i="13"/>
  <c r="Q431" i="13"/>
  <c r="P431" i="13"/>
  <c r="M431" i="13"/>
  <c r="G431" i="13"/>
  <c r="F431" i="13"/>
  <c r="C431" i="13"/>
  <c r="B431" i="13"/>
  <c r="A431" i="13"/>
  <c r="R430" i="13"/>
  <c r="Q430" i="13"/>
  <c r="P430" i="13"/>
  <c r="M430" i="13"/>
  <c r="G430" i="13"/>
  <c r="F430" i="13"/>
  <c r="B430" i="13"/>
  <c r="A430" i="13"/>
  <c r="R429" i="13"/>
  <c r="Q429" i="13"/>
  <c r="P429" i="13"/>
  <c r="M429" i="13"/>
  <c r="G429" i="13"/>
  <c r="F429" i="13"/>
  <c r="B429" i="13"/>
  <c r="A429" i="13"/>
  <c r="R428" i="13"/>
  <c r="Q428" i="13"/>
  <c r="P428" i="13"/>
  <c r="M428" i="13"/>
  <c r="G428" i="13"/>
  <c r="F428" i="13"/>
  <c r="B428" i="13"/>
  <c r="A428" i="13"/>
  <c r="R427" i="13"/>
  <c r="Q427" i="13"/>
  <c r="P427" i="13"/>
  <c r="M427" i="13"/>
  <c r="G427" i="13"/>
  <c r="F427" i="13"/>
  <c r="C427" i="13"/>
  <c r="B427" i="13"/>
  <c r="A427" i="13"/>
  <c r="R426" i="13"/>
  <c r="Q426" i="13"/>
  <c r="P426" i="13"/>
  <c r="M426" i="13"/>
  <c r="G426" i="13"/>
  <c r="F426" i="13"/>
  <c r="B426" i="13"/>
  <c r="A426" i="13"/>
  <c r="R425" i="13"/>
  <c r="Q425" i="13"/>
  <c r="P425" i="13"/>
  <c r="M425" i="13"/>
  <c r="G425" i="13"/>
  <c r="F425" i="13"/>
  <c r="B425" i="13"/>
  <c r="A425" i="13"/>
  <c r="R424" i="13"/>
  <c r="Q424" i="13"/>
  <c r="P424" i="13"/>
  <c r="M424" i="13"/>
  <c r="G424" i="13"/>
  <c r="F424" i="13"/>
  <c r="B424" i="13"/>
  <c r="A424" i="13"/>
  <c r="R423" i="13"/>
  <c r="Q423" i="13"/>
  <c r="P423" i="13"/>
  <c r="M423" i="13"/>
  <c r="G423" i="13"/>
  <c r="F423" i="13"/>
  <c r="C423" i="13"/>
  <c r="B423" i="13"/>
  <c r="A423" i="13"/>
  <c r="R422" i="13"/>
  <c r="Q422" i="13"/>
  <c r="P422" i="13"/>
  <c r="M422" i="13"/>
  <c r="G422" i="13"/>
  <c r="F422" i="13"/>
  <c r="B422" i="13"/>
  <c r="A422" i="13"/>
  <c r="R421" i="13"/>
  <c r="Q421" i="13"/>
  <c r="P421" i="13"/>
  <c r="M421" i="13"/>
  <c r="G421" i="13"/>
  <c r="F421" i="13"/>
  <c r="B421" i="13"/>
  <c r="A421" i="13"/>
  <c r="R420" i="13"/>
  <c r="Q420" i="13"/>
  <c r="P420" i="13"/>
  <c r="M420" i="13"/>
  <c r="G420" i="13"/>
  <c r="F420" i="13"/>
  <c r="B420" i="13"/>
  <c r="A420" i="13"/>
  <c r="R419" i="13"/>
  <c r="Q419" i="13"/>
  <c r="P419" i="13"/>
  <c r="M419" i="13"/>
  <c r="G419" i="13"/>
  <c r="F419" i="13"/>
  <c r="C419" i="13"/>
  <c r="B419" i="13"/>
  <c r="A419" i="13"/>
  <c r="R418" i="13"/>
  <c r="Q418" i="13"/>
  <c r="P418" i="13"/>
  <c r="M418" i="13"/>
  <c r="G418" i="13"/>
  <c r="F418" i="13"/>
  <c r="B418" i="13"/>
  <c r="A418" i="13"/>
  <c r="R417" i="13"/>
  <c r="Q417" i="13"/>
  <c r="P417" i="13"/>
  <c r="M417" i="13"/>
  <c r="G417" i="13"/>
  <c r="F417" i="13"/>
  <c r="B417" i="13"/>
  <c r="A417" i="13"/>
  <c r="R416" i="13"/>
  <c r="Q416" i="13"/>
  <c r="P416" i="13"/>
  <c r="M416" i="13"/>
  <c r="G416" i="13"/>
  <c r="F416" i="13"/>
  <c r="B416" i="13"/>
  <c r="A416" i="13"/>
  <c r="R415" i="13"/>
  <c r="Q415" i="13"/>
  <c r="P415" i="13"/>
  <c r="M415" i="13"/>
  <c r="G415" i="13"/>
  <c r="F415" i="13"/>
  <c r="C415" i="13"/>
  <c r="B415" i="13"/>
  <c r="A415" i="13"/>
  <c r="R414" i="13"/>
  <c r="Q414" i="13"/>
  <c r="P414" i="13"/>
  <c r="M414" i="13"/>
  <c r="G414" i="13"/>
  <c r="F414" i="13"/>
  <c r="B414" i="13"/>
  <c r="A414" i="13"/>
  <c r="R413" i="13"/>
  <c r="Q413" i="13"/>
  <c r="P413" i="13"/>
  <c r="M413" i="13"/>
  <c r="G413" i="13"/>
  <c r="F413" i="13"/>
  <c r="B413" i="13"/>
  <c r="A413" i="13"/>
  <c r="R412" i="13"/>
  <c r="Q412" i="13"/>
  <c r="P412" i="13"/>
  <c r="M412" i="13"/>
  <c r="G412" i="13"/>
  <c r="F412" i="13"/>
  <c r="B412" i="13"/>
  <c r="A412" i="13"/>
  <c r="R411" i="13"/>
  <c r="Q411" i="13"/>
  <c r="P411" i="13"/>
  <c r="M411" i="13"/>
  <c r="G411" i="13"/>
  <c r="F411" i="13"/>
  <c r="C411" i="13"/>
  <c r="B411" i="13"/>
  <c r="A411" i="13"/>
  <c r="R410" i="13"/>
  <c r="Q410" i="13"/>
  <c r="P410" i="13"/>
  <c r="M410" i="13"/>
  <c r="G410" i="13"/>
  <c r="F410" i="13"/>
  <c r="B410" i="13"/>
  <c r="A410" i="13"/>
  <c r="R409" i="13"/>
  <c r="Q409" i="13"/>
  <c r="P409" i="13"/>
  <c r="M409" i="13"/>
  <c r="G409" i="13"/>
  <c r="F409" i="13"/>
  <c r="B409" i="13"/>
  <c r="A409" i="13"/>
  <c r="R408" i="13"/>
  <c r="Q408" i="13"/>
  <c r="P408" i="13"/>
  <c r="M408" i="13"/>
  <c r="G408" i="13"/>
  <c r="F408" i="13"/>
  <c r="B408" i="13"/>
  <c r="A408" i="13"/>
  <c r="R407" i="13"/>
  <c r="Q407" i="13"/>
  <c r="P407" i="13"/>
  <c r="M407" i="13"/>
  <c r="G407" i="13"/>
  <c r="F407" i="13"/>
  <c r="C407" i="13"/>
  <c r="B407" i="13"/>
  <c r="A407" i="13"/>
  <c r="R406" i="13"/>
  <c r="Q406" i="13"/>
  <c r="P406" i="13"/>
  <c r="M406" i="13"/>
  <c r="G406" i="13"/>
  <c r="F406" i="13"/>
  <c r="B406" i="13"/>
  <c r="A406" i="13"/>
  <c r="R405" i="13"/>
  <c r="Q405" i="13"/>
  <c r="P405" i="13"/>
  <c r="M405" i="13"/>
  <c r="G405" i="13"/>
  <c r="F405" i="13"/>
  <c r="B405" i="13"/>
  <c r="A405" i="13"/>
  <c r="R404" i="13"/>
  <c r="Q404" i="13"/>
  <c r="P404" i="13"/>
  <c r="M404" i="13"/>
  <c r="G404" i="13"/>
  <c r="F404" i="13"/>
  <c r="B404" i="13"/>
  <c r="A404" i="13"/>
  <c r="R403" i="13"/>
  <c r="Q403" i="13"/>
  <c r="P403" i="13"/>
  <c r="M403" i="13"/>
  <c r="G403" i="13"/>
  <c r="F403" i="13"/>
  <c r="C403" i="13"/>
  <c r="B403" i="13"/>
  <c r="A403" i="13"/>
  <c r="R402" i="13"/>
  <c r="Q402" i="13"/>
  <c r="P402" i="13"/>
  <c r="M402" i="13"/>
  <c r="G402" i="13"/>
  <c r="F402" i="13"/>
  <c r="B402" i="13"/>
  <c r="A402" i="13"/>
  <c r="R401" i="13"/>
  <c r="Q401" i="13"/>
  <c r="P401" i="13"/>
  <c r="M401" i="13"/>
  <c r="G401" i="13"/>
  <c r="F401" i="13"/>
  <c r="B401" i="13"/>
  <c r="A401" i="13"/>
  <c r="R400" i="13"/>
  <c r="Q400" i="13"/>
  <c r="P400" i="13"/>
  <c r="M400" i="13"/>
  <c r="G400" i="13"/>
  <c r="F400" i="13"/>
  <c r="B400" i="13"/>
  <c r="A400" i="13"/>
  <c r="R399" i="13"/>
  <c r="Q399" i="13"/>
  <c r="P399" i="13"/>
  <c r="M399" i="13"/>
  <c r="G399" i="13"/>
  <c r="F399" i="13"/>
  <c r="C399" i="13"/>
  <c r="B399" i="13"/>
  <c r="A399" i="13"/>
  <c r="R398" i="13"/>
  <c r="Q398" i="13"/>
  <c r="P398" i="13"/>
  <c r="M398" i="13"/>
  <c r="G398" i="13"/>
  <c r="F398" i="13"/>
  <c r="B398" i="13"/>
  <c r="A398" i="13"/>
  <c r="R397" i="13"/>
  <c r="Q397" i="13"/>
  <c r="P397" i="13"/>
  <c r="M397" i="13"/>
  <c r="G397" i="13"/>
  <c r="F397" i="13"/>
  <c r="B397" i="13"/>
  <c r="A397" i="13"/>
  <c r="R396" i="13"/>
  <c r="Q396" i="13"/>
  <c r="P396" i="13"/>
  <c r="M396" i="13"/>
  <c r="G396" i="13"/>
  <c r="F396" i="13"/>
  <c r="B396" i="13"/>
  <c r="A396" i="13"/>
  <c r="R395" i="13"/>
  <c r="Q395" i="13"/>
  <c r="P395" i="13"/>
  <c r="M395" i="13"/>
  <c r="G395" i="13"/>
  <c r="F395" i="13"/>
  <c r="C395" i="13"/>
  <c r="B395" i="13"/>
  <c r="A395" i="13"/>
  <c r="R394" i="13"/>
  <c r="Q394" i="13"/>
  <c r="P394" i="13"/>
  <c r="M394" i="13"/>
  <c r="G394" i="13"/>
  <c r="F394" i="13"/>
  <c r="B394" i="13"/>
  <c r="A394" i="13"/>
  <c r="R393" i="13"/>
  <c r="Q393" i="13"/>
  <c r="P393" i="13"/>
  <c r="M393" i="13"/>
  <c r="G393" i="13"/>
  <c r="F393" i="13"/>
  <c r="B393" i="13"/>
  <c r="A393" i="13"/>
  <c r="R392" i="13"/>
  <c r="Q392" i="13"/>
  <c r="P392" i="13"/>
  <c r="M392" i="13"/>
  <c r="G392" i="13"/>
  <c r="F392" i="13"/>
  <c r="B392" i="13"/>
  <c r="A392" i="13"/>
  <c r="R391" i="13"/>
  <c r="Q391" i="13"/>
  <c r="P391" i="13"/>
  <c r="M391" i="13"/>
  <c r="G391" i="13"/>
  <c r="F391" i="13"/>
  <c r="C391" i="13"/>
  <c r="B391" i="13"/>
  <c r="A391" i="13"/>
  <c r="R390" i="13"/>
  <c r="Q390" i="13"/>
  <c r="P390" i="13"/>
  <c r="M390" i="13"/>
  <c r="G390" i="13"/>
  <c r="F390" i="13"/>
  <c r="B390" i="13"/>
  <c r="A390" i="13"/>
  <c r="R389" i="13"/>
  <c r="Q389" i="13"/>
  <c r="P389" i="13"/>
  <c r="M389" i="13"/>
  <c r="G389" i="13"/>
  <c r="F389" i="13"/>
  <c r="B389" i="13"/>
  <c r="A389" i="13"/>
  <c r="R388" i="13"/>
  <c r="Q388" i="13"/>
  <c r="P388" i="13"/>
  <c r="M388" i="13"/>
  <c r="G388" i="13"/>
  <c r="F388" i="13"/>
  <c r="B388" i="13"/>
  <c r="A388" i="13"/>
  <c r="R387" i="13"/>
  <c r="Q387" i="13"/>
  <c r="P387" i="13"/>
  <c r="M387" i="13"/>
  <c r="G387" i="13"/>
  <c r="F387" i="13"/>
  <c r="C387" i="13"/>
  <c r="B387" i="13"/>
  <c r="A387" i="13"/>
  <c r="R386" i="13"/>
  <c r="Q386" i="13"/>
  <c r="P386" i="13"/>
  <c r="M386" i="13"/>
  <c r="G386" i="13"/>
  <c r="F386" i="13"/>
  <c r="B386" i="13"/>
  <c r="A386" i="13"/>
  <c r="R385" i="13"/>
  <c r="Q385" i="13"/>
  <c r="P385" i="13"/>
  <c r="M385" i="13"/>
  <c r="G385" i="13"/>
  <c r="F385" i="13"/>
  <c r="B385" i="13"/>
  <c r="A385" i="13"/>
  <c r="R384" i="13"/>
  <c r="Q384" i="13"/>
  <c r="P384" i="13"/>
  <c r="M384" i="13"/>
  <c r="G384" i="13"/>
  <c r="F384" i="13"/>
  <c r="B384" i="13"/>
  <c r="A384" i="13"/>
  <c r="R383" i="13"/>
  <c r="Q383" i="13"/>
  <c r="P383" i="13"/>
  <c r="M383" i="13"/>
  <c r="G383" i="13"/>
  <c r="F383" i="13"/>
  <c r="C383" i="13"/>
  <c r="B383" i="13"/>
  <c r="A383" i="13"/>
  <c r="R382" i="13"/>
  <c r="Q382" i="13"/>
  <c r="P382" i="13"/>
  <c r="M382" i="13"/>
  <c r="G382" i="13"/>
  <c r="F382" i="13"/>
  <c r="B382" i="13"/>
  <c r="A382" i="13"/>
  <c r="R381" i="13"/>
  <c r="Q381" i="13"/>
  <c r="P381" i="13"/>
  <c r="M381" i="13"/>
  <c r="G381" i="13"/>
  <c r="F381" i="13"/>
  <c r="B381" i="13"/>
  <c r="A381" i="13"/>
  <c r="R380" i="13"/>
  <c r="Q380" i="13"/>
  <c r="P380" i="13"/>
  <c r="M380" i="13"/>
  <c r="G380" i="13"/>
  <c r="F380" i="13"/>
  <c r="B380" i="13"/>
  <c r="A380" i="13"/>
  <c r="R379" i="13"/>
  <c r="Q379" i="13"/>
  <c r="P379" i="13"/>
  <c r="M379" i="13"/>
  <c r="G379" i="13"/>
  <c r="F379" i="13"/>
  <c r="C379" i="13"/>
  <c r="B379" i="13"/>
  <c r="A379" i="13"/>
  <c r="R378" i="13"/>
  <c r="Q378" i="13"/>
  <c r="P378" i="13"/>
  <c r="M378" i="13"/>
  <c r="G378" i="13"/>
  <c r="F378" i="13"/>
  <c r="B378" i="13"/>
  <c r="A378" i="13"/>
  <c r="R377" i="13"/>
  <c r="Q377" i="13"/>
  <c r="P377" i="13"/>
  <c r="M377" i="13"/>
  <c r="G377" i="13"/>
  <c r="F377" i="13"/>
  <c r="B377" i="13"/>
  <c r="A377" i="13"/>
  <c r="R376" i="13"/>
  <c r="Q376" i="13"/>
  <c r="P376" i="13"/>
  <c r="M376" i="13"/>
  <c r="G376" i="13"/>
  <c r="F376" i="13"/>
  <c r="B376" i="13"/>
  <c r="C376" i="13" s="1"/>
  <c r="A376" i="13"/>
  <c r="R375" i="13"/>
  <c r="Q375" i="13"/>
  <c r="P375" i="13"/>
  <c r="M375" i="13"/>
  <c r="G375" i="13"/>
  <c r="F375" i="13"/>
  <c r="C375" i="13"/>
  <c r="B375" i="13"/>
  <c r="A375" i="13"/>
  <c r="R374" i="13"/>
  <c r="Q374" i="13"/>
  <c r="P374" i="13"/>
  <c r="M374" i="13"/>
  <c r="G374" i="13"/>
  <c r="F374" i="13"/>
  <c r="C374" i="13"/>
  <c r="B374" i="13"/>
  <c r="A374" i="13"/>
  <c r="R373" i="13"/>
  <c r="Q373" i="13"/>
  <c r="P373" i="13"/>
  <c r="M373" i="13"/>
  <c r="G373" i="13"/>
  <c r="F373" i="13"/>
  <c r="B373" i="13"/>
  <c r="A373" i="13"/>
  <c r="R372" i="13"/>
  <c r="Q372" i="13"/>
  <c r="P372" i="13"/>
  <c r="M372" i="13"/>
  <c r="G372" i="13"/>
  <c r="F372" i="13"/>
  <c r="B372" i="13"/>
  <c r="C372" i="13" s="1"/>
  <c r="A372" i="13"/>
  <c r="R371" i="13"/>
  <c r="Q371" i="13"/>
  <c r="P371" i="13"/>
  <c r="M371" i="13"/>
  <c r="G371" i="13"/>
  <c r="F371" i="13"/>
  <c r="C371" i="13"/>
  <c r="B371" i="13"/>
  <c r="A371" i="13"/>
  <c r="R370" i="13"/>
  <c r="Q370" i="13"/>
  <c r="P370" i="13"/>
  <c r="M370" i="13"/>
  <c r="G370" i="13"/>
  <c r="F370" i="13"/>
  <c r="B370" i="13"/>
  <c r="A370" i="13"/>
  <c r="R369" i="13"/>
  <c r="Q369" i="13"/>
  <c r="P369" i="13"/>
  <c r="M369" i="13"/>
  <c r="G369" i="13"/>
  <c r="F369" i="13"/>
  <c r="B369" i="13"/>
  <c r="A369" i="13"/>
  <c r="R368" i="13"/>
  <c r="Q368" i="13"/>
  <c r="P368" i="13"/>
  <c r="M368" i="13"/>
  <c r="G368" i="13"/>
  <c r="F368" i="13"/>
  <c r="B368" i="13"/>
  <c r="C368" i="13" s="1"/>
  <c r="A368" i="13"/>
  <c r="R367" i="13"/>
  <c r="Q367" i="13"/>
  <c r="P367" i="13"/>
  <c r="M367" i="13"/>
  <c r="G367" i="13"/>
  <c r="F367" i="13"/>
  <c r="C367" i="13"/>
  <c r="B367" i="13"/>
  <c r="A367" i="13"/>
  <c r="R366" i="13"/>
  <c r="Q366" i="13"/>
  <c r="P366" i="13"/>
  <c r="M366" i="13"/>
  <c r="G366" i="13"/>
  <c r="F366" i="13"/>
  <c r="C366" i="13"/>
  <c r="B366" i="13"/>
  <c r="A366" i="13"/>
  <c r="R365" i="13"/>
  <c r="Q365" i="13"/>
  <c r="P365" i="13"/>
  <c r="M365" i="13"/>
  <c r="G365" i="13"/>
  <c r="F365" i="13"/>
  <c r="B365" i="13"/>
  <c r="A365" i="13"/>
  <c r="R364" i="13"/>
  <c r="Q364" i="13"/>
  <c r="P364" i="13"/>
  <c r="M364" i="13"/>
  <c r="G364" i="13"/>
  <c r="F364" i="13"/>
  <c r="B364" i="13"/>
  <c r="C364" i="13" s="1"/>
  <c r="A364" i="13"/>
  <c r="R363" i="13"/>
  <c r="Q363" i="13"/>
  <c r="P363" i="13"/>
  <c r="M363" i="13"/>
  <c r="G363" i="13"/>
  <c r="F363" i="13"/>
  <c r="C363" i="13"/>
  <c r="B363" i="13"/>
  <c r="A363" i="13"/>
  <c r="R362" i="13"/>
  <c r="Q362" i="13"/>
  <c r="P362" i="13"/>
  <c r="M362" i="13"/>
  <c r="G362" i="13"/>
  <c r="F362" i="13"/>
  <c r="B362" i="13"/>
  <c r="A362" i="13"/>
  <c r="R361" i="13"/>
  <c r="Q361" i="13"/>
  <c r="P361" i="13"/>
  <c r="M361" i="13"/>
  <c r="G361" i="13"/>
  <c r="F361" i="13"/>
  <c r="B361" i="13"/>
  <c r="A361" i="13"/>
  <c r="R360" i="13"/>
  <c r="Q360" i="13"/>
  <c r="P360" i="13"/>
  <c r="M360" i="13"/>
  <c r="G360" i="13"/>
  <c r="F360" i="13"/>
  <c r="B360" i="13"/>
  <c r="C360" i="13" s="1"/>
  <c r="A360" i="13"/>
  <c r="R359" i="13"/>
  <c r="Q359" i="13"/>
  <c r="P359" i="13"/>
  <c r="M359" i="13"/>
  <c r="G359" i="13"/>
  <c r="F359" i="13"/>
  <c r="C359" i="13"/>
  <c r="B359" i="13"/>
  <c r="A359" i="13"/>
  <c r="R358" i="13"/>
  <c r="Q358" i="13"/>
  <c r="P358" i="13"/>
  <c r="M358" i="13"/>
  <c r="G358" i="13"/>
  <c r="F358" i="13"/>
  <c r="C358" i="13"/>
  <c r="B358" i="13"/>
  <c r="A358" i="13"/>
  <c r="R357" i="13"/>
  <c r="Q357" i="13"/>
  <c r="P357" i="13"/>
  <c r="M357" i="13"/>
  <c r="G357" i="13"/>
  <c r="F357" i="13"/>
  <c r="B357" i="13"/>
  <c r="A357" i="13"/>
  <c r="R356" i="13"/>
  <c r="Q356" i="13"/>
  <c r="P356" i="13"/>
  <c r="M356" i="13"/>
  <c r="G356" i="13"/>
  <c r="F356" i="13"/>
  <c r="B356" i="13"/>
  <c r="C356" i="13" s="1"/>
  <c r="A356" i="13"/>
  <c r="R355" i="13"/>
  <c r="Q355" i="13"/>
  <c r="P355" i="13"/>
  <c r="M355" i="13"/>
  <c r="G355" i="13"/>
  <c r="F355" i="13"/>
  <c r="C355" i="13"/>
  <c r="B355" i="13"/>
  <c r="A355" i="13"/>
  <c r="R354" i="13"/>
  <c r="Q354" i="13"/>
  <c r="P354" i="13"/>
  <c r="M354" i="13"/>
  <c r="G354" i="13"/>
  <c r="F354" i="13"/>
  <c r="C354" i="13"/>
  <c r="B354" i="13"/>
  <c r="A354" i="13"/>
  <c r="R353" i="13"/>
  <c r="Q353" i="13"/>
  <c r="P353" i="13"/>
  <c r="M353" i="13"/>
  <c r="G353" i="13"/>
  <c r="F353" i="13"/>
  <c r="B353" i="13"/>
  <c r="A353" i="13"/>
  <c r="R352" i="13"/>
  <c r="Q352" i="13"/>
  <c r="P352" i="13"/>
  <c r="M352" i="13"/>
  <c r="G352" i="13"/>
  <c r="F352" i="13"/>
  <c r="B352" i="13"/>
  <c r="C352" i="13" s="1"/>
  <c r="A352" i="13"/>
  <c r="R351" i="13"/>
  <c r="Q351" i="13"/>
  <c r="P351" i="13"/>
  <c r="M351" i="13"/>
  <c r="G351" i="13"/>
  <c r="F351" i="13"/>
  <c r="C351" i="13"/>
  <c r="B351" i="13"/>
  <c r="A351" i="13"/>
  <c r="R350" i="13"/>
  <c r="Q350" i="13"/>
  <c r="P350" i="13"/>
  <c r="M350" i="13"/>
  <c r="G350" i="13"/>
  <c r="F350" i="13"/>
  <c r="C350" i="13"/>
  <c r="B350" i="13"/>
  <c r="A350" i="13"/>
  <c r="R349" i="13"/>
  <c r="Q349" i="13"/>
  <c r="P349" i="13"/>
  <c r="M349" i="13"/>
  <c r="G349" i="13"/>
  <c r="F349" i="13"/>
  <c r="B349" i="13"/>
  <c r="A349" i="13"/>
  <c r="R348" i="13"/>
  <c r="Q348" i="13"/>
  <c r="P348" i="13"/>
  <c r="M348" i="13"/>
  <c r="G348" i="13"/>
  <c r="F348" i="13"/>
  <c r="B348" i="13"/>
  <c r="C348" i="13" s="1"/>
  <c r="A348" i="13"/>
  <c r="R347" i="13"/>
  <c r="Q347" i="13"/>
  <c r="P347" i="13"/>
  <c r="M347" i="13"/>
  <c r="G347" i="13"/>
  <c r="F347" i="13"/>
  <c r="C347" i="13"/>
  <c r="B347" i="13"/>
  <c r="A347" i="13"/>
  <c r="R346" i="13"/>
  <c r="Q346" i="13"/>
  <c r="P346" i="13"/>
  <c r="M346" i="13"/>
  <c r="G346" i="13"/>
  <c r="F346" i="13"/>
  <c r="C346" i="13"/>
  <c r="B346" i="13"/>
  <c r="A346" i="13"/>
  <c r="R345" i="13"/>
  <c r="Q345" i="13"/>
  <c r="P345" i="13"/>
  <c r="M345" i="13"/>
  <c r="G345" i="13"/>
  <c r="F345" i="13"/>
  <c r="B345" i="13"/>
  <c r="A345" i="13"/>
  <c r="R344" i="13"/>
  <c r="Q344" i="13"/>
  <c r="P344" i="13"/>
  <c r="M344" i="13"/>
  <c r="G344" i="13"/>
  <c r="F344" i="13"/>
  <c r="B344" i="13"/>
  <c r="C344" i="13" s="1"/>
  <c r="A344" i="13"/>
  <c r="R343" i="13"/>
  <c r="Q343" i="13"/>
  <c r="P343" i="13"/>
  <c r="M343" i="13"/>
  <c r="G343" i="13"/>
  <c r="F343" i="13"/>
  <c r="C343" i="13"/>
  <c r="B343" i="13"/>
  <c r="A343" i="13"/>
  <c r="R342" i="13"/>
  <c r="Q342" i="13"/>
  <c r="P342" i="13"/>
  <c r="M342" i="13"/>
  <c r="G342" i="13"/>
  <c r="F342" i="13"/>
  <c r="C342" i="13"/>
  <c r="B342" i="13"/>
  <c r="A342" i="13"/>
  <c r="R341" i="13"/>
  <c r="Q341" i="13"/>
  <c r="P341" i="13"/>
  <c r="M341" i="13"/>
  <c r="G341" i="13"/>
  <c r="F341" i="13"/>
  <c r="B341" i="13"/>
  <c r="A341" i="13"/>
  <c r="R340" i="13"/>
  <c r="Q340" i="13"/>
  <c r="P340" i="13"/>
  <c r="M340" i="13"/>
  <c r="G340" i="13"/>
  <c r="F340" i="13"/>
  <c r="B340" i="13"/>
  <c r="C340" i="13" s="1"/>
  <c r="A340" i="13"/>
  <c r="R339" i="13"/>
  <c r="Q339" i="13"/>
  <c r="P339" i="13"/>
  <c r="M339" i="13"/>
  <c r="G339" i="13"/>
  <c r="F339" i="13"/>
  <c r="C339" i="13"/>
  <c r="B339" i="13"/>
  <c r="A339" i="13"/>
  <c r="R338" i="13"/>
  <c r="Q338" i="13"/>
  <c r="P338" i="13"/>
  <c r="M338" i="13"/>
  <c r="G338" i="13"/>
  <c r="F338" i="13"/>
  <c r="C338" i="13"/>
  <c r="B338" i="13"/>
  <c r="A338" i="13"/>
  <c r="R337" i="13"/>
  <c r="Q337" i="13"/>
  <c r="P337" i="13"/>
  <c r="M337" i="13"/>
  <c r="G337" i="13"/>
  <c r="F337" i="13"/>
  <c r="B337" i="13"/>
  <c r="A337" i="13"/>
  <c r="R336" i="13"/>
  <c r="Q336" i="13"/>
  <c r="P336" i="13"/>
  <c r="M336" i="13"/>
  <c r="G336" i="13"/>
  <c r="F336" i="13"/>
  <c r="B336" i="13"/>
  <c r="C336" i="13" s="1"/>
  <c r="A336" i="13"/>
  <c r="R335" i="13"/>
  <c r="Q335" i="13"/>
  <c r="P335" i="13"/>
  <c r="M335" i="13"/>
  <c r="G335" i="13"/>
  <c r="F335" i="13"/>
  <c r="C335" i="13"/>
  <c r="B335" i="13"/>
  <c r="A335" i="13"/>
  <c r="R334" i="13"/>
  <c r="Q334" i="13"/>
  <c r="P334" i="13"/>
  <c r="M334" i="13"/>
  <c r="G334" i="13"/>
  <c r="F334" i="13"/>
  <c r="C334" i="13"/>
  <c r="B334" i="13"/>
  <c r="A334" i="13"/>
  <c r="R333" i="13"/>
  <c r="Q333" i="13"/>
  <c r="P333" i="13"/>
  <c r="M333" i="13"/>
  <c r="G333" i="13"/>
  <c r="F333" i="13"/>
  <c r="B333" i="13"/>
  <c r="A333" i="13"/>
  <c r="R332" i="13"/>
  <c r="Q332" i="13"/>
  <c r="P332" i="13"/>
  <c r="M332" i="13"/>
  <c r="G332" i="13"/>
  <c r="F332" i="13"/>
  <c r="B332" i="13"/>
  <c r="C332" i="13" s="1"/>
  <c r="A332" i="13"/>
  <c r="R331" i="13"/>
  <c r="Q331" i="13"/>
  <c r="P331" i="13"/>
  <c r="M331" i="13"/>
  <c r="G331" i="13"/>
  <c r="F331" i="13"/>
  <c r="C331" i="13"/>
  <c r="B331" i="13"/>
  <c r="A331" i="13"/>
  <c r="R330" i="13"/>
  <c r="Q330" i="13"/>
  <c r="P330" i="13"/>
  <c r="M330" i="13"/>
  <c r="G330" i="13"/>
  <c r="F330" i="13"/>
  <c r="C330" i="13"/>
  <c r="B330" i="13"/>
  <c r="A330" i="13"/>
  <c r="R329" i="13"/>
  <c r="Q329" i="13"/>
  <c r="P329" i="13"/>
  <c r="M329" i="13"/>
  <c r="G329" i="13"/>
  <c r="F329" i="13"/>
  <c r="B329" i="13"/>
  <c r="A329" i="13"/>
  <c r="R328" i="13"/>
  <c r="Q328" i="13"/>
  <c r="P328" i="13"/>
  <c r="M328" i="13"/>
  <c r="G328" i="13"/>
  <c r="F328" i="13"/>
  <c r="B328" i="13"/>
  <c r="C328" i="13" s="1"/>
  <c r="A328" i="13"/>
  <c r="R327" i="13"/>
  <c r="Q327" i="13"/>
  <c r="P327" i="13"/>
  <c r="M327" i="13"/>
  <c r="G327" i="13"/>
  <c r="F327" i="13"/>
  <c r="C327" i="13"/>
  <c r="B327" i="13"/>
  <c r="A327" i="13"/>
  <c r="R326" i="13"/>
  <c r="Q326" i="13"/>
  <c r="P326" i="13"/>
  <c r="M326" i="13"/>
  <c r="G326" i="13"/>
  <c r="F326" i="13"/>
  <c r="C326" i="13"/>
  <c r="B326" i="13"/>
  <c r="A326" i="13"/>
  <c r="R325" i="13"/>
  <c r="Q325" i="13"/>
  <c r="P325" i="13"/>
  <c r="M325" i="13"/>
  <c r="G325" i="13"/>
  <c r="F325" i="13"/>
  <c r="B325" i="13"/>
  <c r="A325" i="13"/>
  <c r="R324" i="13"/>
  <c r="Q324" i="13"/>
  <c r="P324" i="13"/>
  <c r="M324" i="13"/>
  <c r="G324" i="13"/>
  <c r="F324" i="13"/>
  <c r="B324" i="13"/>
  <c r="C324" i="13" s="1"/>
  <c r="A324" i="13"/>
  <c r="R323" i="13"/>
  <c r="Q323" i="13"/>
  <c r="P323" i="13"/>
  <c r="M323" i="13"/>
  <c r="G323" i="13"/>
  <c r="F323" i="13"/>
  <c r="C323" i="13"/>
  <c r="B323" i="13"/>
  <c r="A323" i="13"/>
  <c r="R322" i="13"/>
  <c r="Q322" i="13"/>
  <c r="P322" i="13"/>
  <c r="M322" i="13"/>
  <c r="G322" i="13"/>
  <c r="F322" i="13"/>
  <c r="C322" i="13"/>
  <c r="B322" i="13"/>
  <c r="A322" i="13"/>
  <c r="R321" i="13"/>
  <c r="Q321" i="13"/>
  <c r="P321" i="13"/>
  <c r="M321" i="13"/>
  <c r="G321" i="13"/>
  <c r="F321" i="13"/>
  <c r="B321" i="13"/>
  <c r="A321" i="13"/>
  <c r="R320" i="13"/>
  <c r="Q320" i="13"/>
  <c r="P320" i="13"/>
  <c r="M320" i="13"/>
  <c r="G320" i="13"/>
  <c r="F320" i="13"/>
  <c r="B320" i="13"/>
  <c r="A320" i="13"/>
  <c r="R319" i="13"/>
  <c r="Q319" i="13"/>
  <c r="P319" i="13"/>
  <c r="M319" i="13"/>
  <c r="G319" i="13"/>
  <c r="F319" i="13"/>
  <c r="C319" i="13"/>
  <c r="B319" i="13"/>
  <c r="A319" i="13"/>
  <c r="R318" i="13"/>
  <c r="Q318" i="13"/>
  <c r="P318" i="13"/>
  <c r="M318" i="13"/>
  <c r="G318" i="13"/>
  <c r="F318" i="13"/>
  <c r="B318" i="13"/>
  <c r="A318" i="13"/>
  <c r="R317" i="13"/>
  <c r="Q317" i="13"/>
  <c r="P317" i="13"/>
  <c r="M317" i="13"/>
  <c r="G317" i="13"/>
  <c r="F317" i="13"/>
  <c r="B317" i="13"/>
  <c r="C317" i="13" s="1"/>
  <c r="A317" i="13"/>
  <c r="R316" i="13"/>
  <c r="Q316" i="13"/>
  <c r="P316" i="13"/>
  <c r="M316" i="13"/>
  <c r="G316" i="13"/>
  <c r="F316" i="13"/>
  <c r="B316" i="13"/>
  <c r="A316" i="13"/>
  <c r="R315" i="13"/>
  <c r="Q315" i="13"/>
  <c r="P315" i="13"/>
  <c r="M315" i="13"/>
  <c r="G315" i="13"/>
  <c r="F315" i="13"/>
  <c r="C315" i="13"/>
  <c r="B315" i="13"/>
  <c r="A315" i="13"/>
  <c r="R314" i="13"/>
  <c r="Q314" i="13"/>
  <c r="P314" i="13"/>
  <c r="M314" i="13"/>
  <c r="G314" i="13"/>
  <c r="F314" i="13"/>
  <c r="C314" i="13"/>
  <c r="B314" i="13"/>
  <c r="A314" i="13"/>
  <c r="R313" i="13"/>
  <c r="Q313" i="13"/>
  <c r="P313" i="13"/>
  <c r="M313" i="13"/>
  <c r="G313" i="13"/>
  <c r="F313" i="13"/>
  <c r="B313" i="13"/>
  <c r="A313" i="13"/>
  <c r="R312" i="13"/>
  <c r="Q312" i="13"/>
  <c r="P312" i="13"/>
  <c r="M312" i="13"/>
  <c r="G312" i="13"/>
  <c r="F312" i="13"/>
  <c r="B312" i="13"/>
  <c r="C312" i="13" s="1"/>
  <c r="A312" i="13"/>
  <c r="R311" i="13"/>
  <c r="Q311" i="13"/>
  <c r="P311" i="13"/>
  <c r="M311" i="13"/>
  <c r="G311" i="13"/>
  <c r="F311" i="13"/>
  <c r="C311" i="13"/>
  <c r="B311" i="13"/>
  <c r="A311" i="13"/>
  <c r="R310" i="13"/>
  <c r="Q310" i="13"/>
  <c r="P310" i="13"/>
  <c r="M310" i="13"/>
  <c r="G310" i="13"/>
  <c r="F310" i="13"/>
  <c r="B310" i="13"/>
  <c r="A310" i="13"/>
  <c r="R309" i="13"/>
  <c r="Q309" i="13"/>
  <c r="P309" i="13"/>
  <c r="M309" i="13"/>
  <c r="G309" i="13"/>
  <c r="F309" i="13"/>
  <c r="B309" i="13"/>
  <c r="C309" i="13" s="1"/>
  <c r="A309" i="13"/>
  <c r="R308" i="13"/>
  <c r="Q308" i="13"/>
  <c r="P308" i="13"/>
  <c r="M308" i="13"/>
  <c r="G308" i="13"/>
  <c r="F308" i="13"/>
  <c r="B308" i="13"/>
  <c r="C308" i="13" s="1"/>
  <c r="A308" i="13"/>
  <c r="R307" i="13"/>
  <c r="Q307" i="13"/>
  <c r="P307" i="13"/>
  <c r="M307" i="13"/>
  <c r="G307" i="13"/>
  <c r="F307" i="13"/>
  <c r="C307" i="13"/>
  <c r="B307" i="13"/>
  <c r="A307" i="13"/>
  <c r="R306" i="13"/>
  <c r="Q306" i="13"/>
  <c r="P306" i="13"/>
  <c r="M306" i="13"/>
  <c r="G306" i="13"/>
  <c r="F306" i="13"/>
  <c r="C306" i="13"/>
  <c r="B306" i="13"/>
  <c r="A306" i="13"/>
  <c r="R305" i="13"/>
  <c r="Q305" i="13"/>
  <c r="P305" i="13"/>
  <c r="M305" i="13"/>
  <c r="G305" i="13"/>
  <c r="F305" i="13"/>
  <c r="B305" i="13"/>
  <c r="A305" i="13"/>
  <c r="R304" i="13"/>
  <c r="Q304" i="13"/>
  <c r="P304" i="13"/>
  <c r="M304" i="13"/>
  <c r="G304" i="13"/>
  <c r="F304" i="13"/>
  <c r="B304" i="13"/>
  <c r="A304" i="13"/>
  <c r="R303" i="13"/>
  <c r="Q303" i="13"/>
  <c r="P303" i="13"/>
  <c r="M303" i="13"/>
  <c r="G303" i="13"/>
  <c r="F303" i="13"/>
  <c r="C303" i="13"/>
  <c r="B303" i="13"/>
  <c r="A303" i="13"/>
  <c r="R302" i="13"/>
  <c r="Q302" i="13"/>
  <c r="P302" i="13"/>
  <c r="M302" i="13"/>
  <c r="G302" i="13"/>
  <c r="F302" i="13"/>
  <c r="B302" i="13"/>
  <c r="A302" i="13"/>
  <c r="R301" i="13"/>
  <c r="Q301" i="13"/>
  <c r="P301" i="13"/>
  <c r="M301" i="13"/>
  <c r="G301" i="13"/>
  <c r="F301" i="13"/>
  <c r="B301" i="13"/>
  <c r="C301" i="13" s="1"/>
  <c r="A301" i="13"/>
  <c r="R300" i="13"/>
  <c r="Q300" i="13"/>
  <c r="P300" i="13"/>
  <c r="M300" i="13"/>
  <c r="G300" i="13"/>
  <c r="F300" i="13"/>
  <c r="B300" i="13"/>
  <c r="A300" i="13"/>
  <c r="R299" i="13"/>
  <c r="Q299" i="13"/>
  <c r="P299" i="13"/>
  <c r="M299" i="13"/>
  <c r="G299" i="13"/>
  <c r="F299" i="13"/>
  <c r="C299" i="13"/>
  <c r="B299" i="13"/>
  <c r="A299" i="13"/>
  <c r="R298" i="13"/>
  <c r="Q298" i="13"/>
  <c r="P298" i="13"/>
  <c r="M298" i="13"/>
  <c r="G298" i="13"/>
  <c r="F298" i="13"/>
  <c r="C298" i="13"/>
  <c r="B298" i="13"/>
  <c r="A298" i="13"/>
  <c r="R297" i="13"/>
  <c r="Q297" i="13"/>
  <c r="P297" i="13"/>
  <c r="M297" i="13"/>
  <c r="G297" i="13"/>
  <c r="F297" i="13"/>
  <c r="B297" i="13"/>
  <c r="A297" i="13"/>
  <c r="R296" i="13"/>
  <c r="Q296" i="13"/>
  <c r="P296" i="13"/>
  <c r="M296" i="13"/>
  <c r="G296" i="13"/>
  <c r="F296" i="13"/>
  <c r="B296" i="13"/>
  <c r="C296" i="13" s="1"/>
  <c r="A296" i="13"/>
  <c r="R295" i="13"/>
  <c r="Q295" i="13"/>
  <c r="P295" i="13"/>
  <c r="M295" i="13"/>
  <c r="G295" i="13"/>
  <c r="F295" i="13"/>
  <c r="C295" i="13"/>
  <c r="B295" i="13"/>
  <c r="A295" i="13"/>
  <c r="R294" i="13"/>
  <c r="Q294" i="13"/>
  <c r="P294" i="13"/>
  <c r="M294" i="13"/>
  <c r="G294" i="13"/>
  <c r="F294" i="13"/>
  <c r="B294" i="13"/>
  <c r="A294" i="13"/>
  <c r="R293" i="13"/>
  <c r="Q293" i="13"/>
  <c r="P293" i="13"/>
  <c r="M293" i="13"/>
  <c r="G293" i="13"/>
  <c r="F293" i="13"/>
  <c r="B293" i="13"/>
  <c r="C293" i="13" s="1"/>
  <c r="A293" i="13"/>
  <c r="R292" i="13"/>
  <c r="Q292" i="13"/>
  <c r="P292" i="13"/>
  <c r="M292" i="13"/>
  <c r="G292" i="13"/>
  <c r="F292" i="13"/>
  <c r="B292" i="13"/>
  <c r="C292" i="13" s="1"/>
  <c r="A292" i="13"/>
  <c r="R291" i="13"/>
  <c r="Q291" i="13"/>
  <c r="P291" i="13"/>
  <c r="M291" i="13"/>
  <c r="G291" i="13"/>
  <c r="F291" i="13"/>
  <c r="C291" i="13"/>
  <c r="B291" i="13"/>
  <c r="A291" i="13"/>
  <c r="R290" i="13"/>
  <c r="Q290" i="13"/>
  <c r="P290" i="13"/>
  <c r="M290" i="13"/>
  <c r="G290" i="13"/>
  <c r="F290" i="13"/>
  <c r="C290" i="13"/>
  <c r="B290" i="13"/>
  <c r="A290" i="13"/>
  <c r="R289" i="13"/>
  <c r="Q289" i="13"/>
  <c r="P289" i="13"/>
  <c r="M289" i="13"/>
  <c r="G289" i="13"/>
  <c r="F289" i="13"/>
  <c r="B289" i="13"/>
  <c r="A289" i="13"/>
  <c r="R288" i="13"/>
  <c r="Q288" i="13"/>
  <c r="P288" i="13"/>
  <c r="M288" i="13"/>
  <c r="G288" i="13"/>
  <c r="F288" i="13"/>
  <c r="B288" i="13"/>
  <c r="A288" i="13"/>
  <c r="R287" i="13"/>
  <c r="Q287" i="13"/>
  <c r="P287" i="13"/>
  <c r="M287" i="13"/>
  <c r="G287" i="13"/>
  <c r="F287" i="13"/>
  <c r="C287" i="13"/>
  <c r="B287" i="13"/>
  <c r="A287" i="13"/>
  <c r="R286" i="13"/>
  <c r="Q286" i="13"/>
  <c r="P286" i="13"/>
  <c r="M286" i="13"/>
  <c r="G286" i="13"/>
  <c r="F286" i="13"/>
  <c r="B286" i="13"/>
  <c r="A286" i="13"/>
  <c r="R285" i="13"/>
  <c r="Q285" i="13"/>
  <c r="P285" i="13"/>
  <c r="M285" i="13"/>
  <c r="G285" i="13"/>
  <c r="F285" i="13"/>
  <c r="B285" i="13"/>
  <c r="C285" i="13" s="1"/>
  <c r="A285" i="13"/>
  <c r="R284" i="13"/>
  <c r="Q284" i="13"/>
  <c r="P284" i="13"/>
  <c r="M284" i="13"/>
  <c r="G284" i="13"/>
  <c r="F284" i="13"/>
  <c r="B284" i="13"/>
  <c r="A284" i="13"/>
  <c r="R283" i="13"/>
  <c r="Q283" i="13"/>
  <c r="P283" i="13"/>
  <c r="M283" i="13"/>
  <c r="G283" i="13"/>
  <c r="F283" i="13"/>
  <c r="C283" i="13"/>
  <c r="B283" i="13"/>
  <c r="A283" i="13"/>
  <c r="R282" i="13"/>
  <c r="Q282" i="13"/>
  <c r="P282" i="13"/>
  <c r="M282" i="13"/>
  <c r="G282" i="13"/>
  <c r="F282" i="13"/>
  <c r="C282" i="13"/>
  <c r="B282" i="13"/>
  <c r="A282" i="13"/>
  <c r="R281" i="13"/>
  <c r="Q281" i="13"/>
  <c r="P281" i="13"/>
  <c r="M281" i="13"/>
  <c r="G281" i="13"/>
  <c r="F281" i="13"/>
  <c r="B281" i="13"/>
  <c r="A281" i="13"/>
  <c r="R280" i="13"/>
  <c r="Q280" i="13"/>
  <c r="P280" i="13"/>
  <c r="M280" i="13"/>
  <c r="G280" i="13"/>
  <c r="F280" i="13"/>
  <c r="B280" i="13"/>
  <c r="C280" i="13" s="1"/>
  <c r="A280" i="13"/>
  <c r="R279" i="13"/>
  <c r="Q279" i="13"/>
  <c r="P279" i="13"/>
  <c r="M279" i="13"/>
  <c r="G279" i="13"/>
  <c r="F279" i="13"/>
  <c r="C279" i="13"/>
  <c r="B279" i="13"/>
  <c r="A279" i="13"/>
  <c r="R278" i="13"/>
  <c r="Q278" i="13"/>
  <c r="P278" i="13"/>
  <c r="M278" i="13"/>
  <c r="G278" i="13"/>
  <c r="F278" i="13"/>
  <c r="C278" i="13"/>
  <c r="B278" i="13"/>
  <c r="A278" i="13"/>
  <c r="R277" i="13"/>
  <c r="Q277" i="13"/>
  <c r="P277" i="13"/>
  <c r="M277" i="13"/>
  <c r="G277" i="13"/>
  <c r="F277" i="13"/>
  <c r="C277" i="13"/>
  <c r="B277" i="13"/>
  <c r="A277" i="13"/>
  <c r="R276" i="13"/>
  <c r="Q276" i="13"/>
  <c r="P276" i="13"/>
  <c r="M276" i="13"/>
  <c r="G276" i="13"/>
  <c r="F276" i="13"/>
  <c r="C276" i="13"/>
  <c r="B276" i="13"/>
  <c r="A276" i="13"/>
  <c r="R275" i="13"/>
  <c r="Q275" i="13"/>
  <c r="P275" i="13"/>
  <c r="M275" i="13"/>
  <c r="G275" i="13"/>
  <c r="F275" i="13"/>
  <c r="C275" i="13"/>
  <c r="B275" i="13"/>
  <c r="A275" i="13"/>
  <c r="R274" i="13"/>
  <c r="Q274" i="13"/>
  <c r="P274" i="13"/>
  <c r="M274" i="13"/>
  <c r="G274" i="13"/>
  <c r="F274" i="13"/>
  <c r="B274" i="13"/>
  <c r="A274" i="13"/>
  <c r="R273" i="13"/>
  <c r="Q273" i="13"/>
  <c r="P273" i="13"/>
  <c r="M273" i="13"/>
  <c r="G273" i="13"/>
  <c r="F273" i="13"/>
  <c r="C273" i="13"/>
  <c r="B273" i="13"/>
  <c r="A273" i="13"/>
  <c r="R272" i="13"/>
  <c r="Q272" i="13"/>
  <c r="P272" i="13"/>
  <c r="M272" i="13"/>
  <c r="G272" i="13"/>
  <c r="F272" i="13"/>
  <c r="C272" i="13"/>
  <c r="B272" i="13"/>
  <c r="A272" i="13"/>
  <c r="R271" i="13"/>
  <c r="Q271" i="13"/>
  <c r="P271" i="13"/>
  <c r="M271" i="13"/>
  <c r="G271" i="13"/>
  <c r="F271" i="13"/>
  <c r="C271" i="13"/>
  <c r="B271" i="13"/>
  <c r="A271" i="13"/>
  <c r="R270" i="13"/>
  <c r="Q270" i="13"/>
  <c r="P270" i="13"/>
  <c r="M270" i="13"/>
  <c r="G270" i="13"/>
  <c r="F270" i="13"/>
  <c r="B270" i="13"/>
  <c r="A270" i="13"/>
  <c r="R269" i="13"/>
  <c r="Q269" i="13"/>
  <c r="P269" i="13"/>
  <c r="M269" i="13"/>
  <c r="G269" i="13"/>
  <c r="F269" i="13"/>
  <c r="C269" i="13"/>
  <c r="B269" i="13"/>
  <c r="A269" i="13"/>
  <c r="R268" i="13"/>
  <c r="Q268" i="13"/>
  <c r="P268" i="13"/>
  <c r="M268" i="13"/>
  <c r="G268" i="13"/>
  <c r="F268" i="13"/>
  <c r="C268" i="13"/>
  <c r="B268" i="13"/>
  <c r="A268" i="13"/>
  <c r="R267" i="13"/>
  <c r="Q267" i="13"/>
  <c r="P267" i="13"/>
  <c r="M267" i="13"/>
  <c r="G267" i="13"/>
  <c r="F267" i="13"/>
  <c r="C267" i="13"/>
  <c r="B267" i="13"/>
  <c r="A267" i="13"/>
  <c r="R266" i="13"/>
  <c r="Q266" i="13"/>
  <c r="P266" i="13"/>
  <c r="M266" i="13"/>
  <c r="G266" i="13"/>
  <c r="F266" i="13"/>
  <c r="B266" i="13"/>
  <c r="A266" i="13"/>
  <c r="R265" i="13"/>
  <c r="Q265" i="13"/>
  <c r="P265" i="13"/>
  <c r="M265" i="13"/>
  <c r="G265" i="13"/>
  <c r="F265" i="13"/>
  <c r="C265" i="13"/>
  <c r="B265" i="13"/>
  <c r="A265" i="13"/>
  <c r="R264" i="13"/>
  <c r="Q264" i="13"/>
  <c r="P264" i="13"/>
  <c r="M264" i="13"/>
  <c r="G264" i="13"/>
  <c r="F264" i="13"/>
  <c r="C264" i="13"/>
  <c r="B264" i="13"/>
  <c r="A264" i="13"/>
  <c r="R263" i="13"/>
  <c r="Q263" i="13"/>
  <c r="P263" i="13"/>
  <c r="M263" i="13"/>
  <c r="G263" i="13"/>
  <c r="F263" i="13"/>
  <c r="C263" i="13"/>
  <c r="B263" i="13"/>
  <c r="A263" i="13"/>
  <c r="R262" i="13"/>
  <c r="Q262" i="13"/>
  <c r="P262" i="13"/>
  <c r="M262" i="13"/>
  <c r="G262" i="13"/>
  <c r="F262" i="13"/>
  <c r="B262" i="13"/>
  <c r="A262" i="13"/>
  <c r="R261" i="13"/>
  <c r="Q261" i="13"/>
  <c r="P261" i="13"/>
  <c r="M261" i="13"/>
  <c r="G261" i="13"/>
  <c r="F261" i="13"/>
  <c r="C261" i="13"/>
  <c r="B261" i="13"/>
  <c r="A261" i="13"/>
  <c r="R260" i="13"/>
  <c r="Q260" i="13"/>
  <c r="P260" i="13"/>
  <c r="M260" i="13"/>
  <c r="G260" i="13"/>
  <c r="F260" i="13"/>
  <c r="C260" i="13"/>
  <c r="B260" i="13"/>
  <c r="A260" i="13"/>
  <c r="R259" i="13"/>
  <c r="Q259" i="13"/>
  <c r="P259" i="13"/>
  <c r="M259" i="13"/>
  <c r="G259" i="13"/>
  <c r="F259" i="13"/>
  <c r="C259" i="13"/>
  <c r="B259" i="13"/>
  <c r="A259" i="13"/>
  <c r="R258" i="13"/>
  <c r="Q258" i="13"/>
  <c r="P258" i="13"/>
  <c r="M258" i="13"/>
  <c r="G258" i="13"/>
  <c r="F258" i="13"/>
  <c r="B258" i="13"/>
  <c r="A258" i="13"/>
  <c r="R257" i="13"/>
  <c r="Q257" i="13"/>
  <c r="P257" i="13"/>
  <c r="M257" i="13"/>
  <c r="G257" i="13"/>
  <c r="F257" i="13"/>
  <c r="C257" i="13"/>
  <c r="B257" i="13"/>
  <c r="A257" i="13"/>
  <c r="R256" i="13"/>
  <c r="Q256" i="13"/>
  <c r="P256" i="13"/>
  <c r="M256" i="13"/>
  <c r="G256" i="13"/>
  <c r="F256" i="13"/>
  <c r="C256" i="13"/>
  <c r="B256" i="13"/>
  <c r="A256" i="13"/>
  <c r="R255" i="13"/>
  <c r="Q255" i="13"/>
  <c r="P255" i="13"/>
  <c r="M255" i="13"/>
  <c r="G255" i="13"/>
  <c r="F255" i="13"/>
  <c r="C255" i="13"/>
  <c r="B255" i="13"/>
  <c r="A255" i="13"/>
  <c r="R254" i="13"/>
  <c r="Q254" i="13"/>
  <c r="P254" i="13"/>
  <c r="M254" i="13"/>
  <c r="G254" i="13"/>
  <c r="F254" i="13"/>
  <c r="B254" i="13"/>
  <c r="A254" i="13"/>
  <c r="R253" i="13"/>
  <c r="Q253" i="13"/>
  <c r="P253" i="13"/>
  <c r="M253" i="13"/>
  <c r="G253" i="13"/>
  <c r="F253" i="13"/>
  <c r="C253" i="13"/>
  <c r="B253" i="13"/>
  <c r="A253" i="13"/>
  <c r="R252" i="13"/>
  <c r="Q252" i="13"/>
  <c r="P252" i="13"/>
  <c r="M252" i="13"/>
  <c r="G252" i="13"/>
  <c r="F252" i="13"/>
  <c r="C252" i="13"/>
  <c r="B252" i="13"/>
  <c r="A252" i="13"/>
  <c r="R251" i="13"/>
  <c r="Q251" i="13"/>
  <c r="P251" i="13"/>
  <c r="M251" i="13"/>
  <c r="G251" i="13"/>
  <c r="F251" i="13"/>
  <c r="C251" i="13"/>
  <c r="B251" i="13"/>
  <c r="A251" i="13"/>
  <c r="R250" i="13"/>
  <c r="Q250" i="13"/>
  <c r="P250" i="13"/>
  <c r="M250" i="13"/>
  <c r="G250" i="13"/>
  <c r="F250" i="13"/>
  <c r="B250" i="13"/>
  <c r="A250" i="13"/>
  <c r="R249" i="13"/>
  <c r="Q249" i="13"/>
  <c r="P249" i="13"/>
  <c r="M249" i="13"/>
  <c r="G249" i="13"/>
  <c r="F249" i="13"/>
  <c r="C249" i="13"/>
  <c r="B249" i="13"/>
  <c r="A249" i="13"/>
  <c r="R248" i="13"/>
  <c r="Q248" i="13"/>
  <c r="P248" i="13"/>
  <c r="M248" i="13"/>
  <c r="G248" i="13"/>
  <c r="F248" i="13"/>
  <c r="C248" i="13"/>
  <c r="B248" i="13"/>
  <c r="A248" i="13"/>
  <c r="R247" i="13"/>
  <c r="Q247" i="13"/>
  <c r="P247" i="13"/>
  <c r="M247" i="13"/>
  <c r="G247" i="13"/>
  <c r="F247" i="13"/>
  <c r="C247" i="13"/>
  <c r="B247" i="13"/>
  <c r="A247" i="13"/>
  <c r="R246" i="13"/>
  <c r="Q246" i="13"/>
  <c r="P246" i="13"/>
  <c r="M246" i="13"/>
  <c r="G246" i="13"/>
  <c r="F246" i="13"/>
  <c r="B246" i="13"/>
  <c r="A246" i="13"/>
  <c r="R245" i="13"/>
  <c r="Q245" i="13"/>
  <c r="P245" i="13"/>
  <c r="M245" i="13"/>
  <c r="G245" i="13"/>
  <c r="F245" i="13"/>
  <c r="C245" i="13"/>
  <c r="B245" i="13"/>
  <c r="A245" i="13"/>
  <c r="R244" i="13"/>
  <c r="Q244" i="13"/>
  <c r="P244" i="13"/>
  <c r="M244" i="13"/>
  <c r="G244" i="13"/>
  <c r="F244" i="13"/>
  <c r="C244" i="13"/>
  <c r="B244" i="13"/>
  <c r="A244" i="13"/>
  <c r="R243" i="13"/>
  <c r="Q243" i="13"/>
  <c r="P243" i="13"/>
  <c r="M243" i="13"/>
  <c r="G243" i="13"/>
  <c r="F243" i="13"/>
  <c r="C243" i="13"/>
  <c r="B243" i="13"/>
  <c r="A243" i="13"/>
  <c r="R242" i="13"/>
  <c r="Q242" i="13"/>
  <c r="P242" i="13"/>
  <c r="M242" i="13"/>
  <c r="G242" i="13"/>
  <c r="F242" i="13"/>
  <c r="B242" i="13"/>
  <c r="A242" i="13"/>
  <c r="R241" i="13"/>
  <c r="Q241" i="13"/>
  <c r="P241" i="13"/>
  <c r="M241" i="13"/>
  <c r="G241" i="13"/>
  <c r="F241" i="13"/>
  <c r="C241" i="13"/>
  <c r="B241" i="13"/>
  <c r="A241" i="13"/>
  <c r="R240" i="13"/>
  <c r="Q240" i="13"/>
  <c r="P240" i="13"/>
  <c r="M240" i="13"/>
  <c r="G240" i="13"/>
  <c r="F240" i="13"/>
  <c r="C240" i="13"/>
  <c r="B240" i="13"/>
  <c r="A240" i="13"/>
  <c r="R239" i="13"/>
  <c r="Q239" i="13"/>
  <c r="P239" i="13"/>
  <c r="M239" i="13"/>
  <c r="G239" i="13"/>
  <c r="F239" i="13"/>
  <c r="C239" i="13"/>
  <c r="B239" i="13"/>
  <c r="A239" i="13"/>
  <c r="R238" i="13"/>
  <c r="Q238" i="13"/>
  <c r="P238" i="13"/>
  <c r="M238" i="13"/>
  <c r="G238" i="13"/>
  <c r="F238" i="13"/>
  <c r="B238" i="13"/>
  <c r="A238" i="13"/>
  <c r="R237" i="13"/>
  <c r="Q237" i="13"/>
  <c r="P237" i="13"/>
  <c r="M237" i="13"/>
  <c r="G237" i="13"/>
  <c r="F237" i="13"/>
  <c r="C237" i="13"/>
  <c r="B237" i="13"/>
  <c r="A237" i="13"/>
  <c r="R236" i="13"/>
  <c r="Q236" i="13"/>
  <c r="P236" i="13"/>
  <c r="M236" i="13"/>
  <c r="G236" i="13"/>
  <c r="F236" i="13"/>
  <c r="C236" i="13"/>
  <c r="B236" i="13"/>
  <c r="A236" i="13"/>
  <c r="R235" i="13"/>
  <c r="Q235" i="13"/>
  <c r="P235" i="13"/>
  <c r="M235" i="13"/>
  <c r="G235" i="13"/>
  <c r="F235" i="13"/>
  <c r="C235" i="13"/>
  <c r="B235" i="13"/>
  <c r="A235" i="13"/>
  <c r="R234" i="13"/>
  <c r="Q234" i="13"/>
  <c r="P234" i="13"/>
  <c r="M234" i="13"/>
  <c r="G234" i="13"/>
  <c r="F234" i="13"/>
  <c r="B234" i="13"/>
  <c r="A234" i="13"/>
  <c r="R233" i="13"/>
  <c r="Q233" i="13"/>
  <c r="P233" i="13"/>
  <c r="M233" i="13"/>
  <c r="G233" i="13"/>
  <c r="F233" i="13"/>
  <c r="C233" i="13"/>
  <c r="B233" i="13"/>
  <c r="A233" i="13"/>
  <c r="R232" i="13"/>
  <c r="Q232" i="13"/>
  <c r="P232" i="13"/>
  <c r="M232" i="13"/>
  <c r="G232" i="13"/>
  <c r="F232" i="13"/>
  <c r="C232" i="13"/>
  <c r="B232" i="13"/>
  <c r="A232" i="13"/>
  <c r="R231" i="13"/>
  <c r="Q231" i="13"/>
  <c r="P231" i="13"/>
  <c r="M231" i="13"/>
  <c r="G231" i="13"/>
  <c r="F231" i="13"/>
  <c r="C231" i="13"/>
  <c r="B231" i="13"/>
  <c r="A231" i="13"/>
  <c r="R230" i="13"/>
  <c r="Q230" i="13"/>
  <c r="P230" i="13"/>
  <c r="M230" i="13"/>
  <c r="G230" i="13"/>
  <c r="F230" i="13"/>
  <c r="B230" i="13"/>
  <c r="A230" i="13"/>
  <c r="R229" i="13"/>
  <c r="Q229" i="13"/>
  <c r="P229" i="13"/>
  <c r="M229" i="13"/>
  <c r="G229" i="13"/>
  <c r="F229" i="13"/>
  <c r="C229" i="13"/>
  <c r="B229" i="13"/>
  <c r="A229" i="13"/>
  <c r="R228" i="13"/>
  <c r="Q228" i="13"/>
  <c r="P228" i="13"/>
  <c r="M228" i="13"/>
  <c r="G228" i="13"/>
  <c r="F228" i="13"/>
  <c r="C228" i="13"/>
  <c r="B228" i="13"/>
  <c r="A228" i="13"/>
  <c r="R227" i="13"/>
  <c r="Q227" i="13"/>
  <c r="P227" i="13"/>
  <c r="M227" i="13"/>
  <c r="G227" i="13"/>
  <c r="F227" i="13"/>
  <c r="C227" i="13"/>
  <c r="B227" i="13"/>
  <c r="A227" i="13"/>
  <c r="R226" i="13"/>
  <c r="Q226" i="13"/>
  <c r="P226" i="13"/>
  <c r="M226" i="13"/>
  <c r="G226" i="13"/>
  <c r="F226" i="13"/>
  <c r="B226" i="13"/>
  <c r="A226" i="13"/>
  <c r="R225" i="13"/>
  <c r="Q225" i="13"/>
  <c r="P225" i="13"/>
  <c r="M225" i="13"/>
  <c r="G225" i="13"/>
  <c r="F225" i="13"/>
  <c r="C225" i="13"/>
  <c r="B225" i="13"/>
  <c r="A225" i="13"/>
  <c r="R224" i="13"/>
  <c r="Q224" i="13"/>
  <c r="P224" i="13"/>
  <c r="M224" i="13"/>
  <c r="G224" i="13"/>
  <c r="F224" i="13"/>
  <c r="C224" i="13"/>
  <c r="B224" i="13"/>
  <c r="A224" i="13"/>
  <c r="R223" i="13"/>
  <c r="Q223" i="13"/>
  <c r="P223" i="13"/>
  <c r="M223" i="13"/>
  <c r="G223" i="13"/>
  <c r="F223" i="13"/>
  <c r="C223" i="13"/>
  <c r="B223" i="13"/>
  <c r="A223" i="13"/>
  <c r="R222" i="13"/>
  <c r="Q222" i="13"/>
  <c r="P222" i="13"/>
  <c r="M222" i="13"/>
  <c r="G222" i="13"/>
  <c r="F222" i="13"/>
  <c r="B222" i="13"/>
  <c r="A222" i="13"/>
  <c r="R221" i="13"/>
  <c r="Q221" i="13"/>
  <c r="P221" i="13"/>
  <c r="M221" i="13"/>
  <c r="G221" i="13"/>
  <c r="F221" i="13"/>
  <c r="C221" i="13"/>
  <c r="B221" i="13"/>
  <c r="A221" i="13"/>
  <c r="R220" i="13"/>
  <c r="Q220" i="13"/>
  <c r="P220" i="13"/>
  <c r="M220" i="13"/>
  <c r="G220" i="13"/>
  <c r="F220" i="13"/>
  <c r="C220" i="13"/>
  <c r="B220" i="13"/>
  <c r="A220" i="13"/>
  <c r="R219" i="13"/>
  <c r="Q219" i="13"/>
  <c r="P219" i="13"/>
  <c r="M219" i="13"/>
  <c r="G219" i="13"/>
  <c r="F219" i="13"/>
  <c r="C219" i="13"/>
  <c r="B219" i="13"/>
  <c r="A219" i="13"/>
  <c r="R218" i="13"/>
  <c r="Q218" i="13"/>
  <c r="P218" i="13"/>
  <c r="M218" i="13"/>
  <c r="G218" i="13"/>
  <c r="F218" i="13"/>
  <c r="B218" i="13"/>
  <c r="A218" i="13"/>
  <c r="R217" i="13"/>
  <c r="Q217" i="13"/>
  <c r="P217" i="13"/>
  <c r="M217" i="13"/>
  <c r="G217" i="13"/>
  <c r="F217" i="13"/>
  <c r="C217" i="13"/>
  <c r="B217" i="13"/>
  <c r="A217" i="13"/>
  <c r="R216" i="13"/>
  <c r="Q216" i="13"/>
  <c r="P216" i="13"/>
  <c r="M216" i="13"/>
  <c r="G216" i="13"/>
  <c r="F216" i="13"/>
  <c r="C216" i="13"/>
  <c r="B216" i="13"/>
  <c r="A216" i="13"/>
  <c r="R215" i="13"/>
  <c r="Q215" i="13"/>
  <c r="P215" i="13"/>
  <c r="M215" i="13"/>
  <c r="G215" i="13"/>
  <c r="F215" i="13"/>
  <c r="C215" i="13"/>
  <c r="B215" i="13"/>
  <c r="A215" i="13"/>
  <c r="R214" i="13"/>
  <c r="Q214" i="13"/>
  <c r="P214" i="13"/>
  <c r="M214" i="13"/>
  <c r="G214" i="13"/>
  <c r="F214" i="13"/>
  <c r="B214" i="13"/>
  <c r="A214" i="13"/>
  <c r="R213" i="13"/>
  <c r="Q213" i="13"/>
  <c r="P213" i="13"/>
  <c r="M213" i="13"/>
  <c r="G213" i="13"/>
  <c r="F213" i="13"/>
  <c r="C213" i="13"/>
  <c r="B213" i="13"/>
  <c r="A213" i="13"/>
  <c r="R212" i="13"/>
  <c r="Q212" i="13"/>
  <c r="P212" i="13"/>
  <c r="M212" i="13"/>
  <c r="G212" i="13"/>
  <c r="F212" i="13"/>
  <c r="C212" i="13"/>
  <c r="B212" i="13"/>
  <c r="A212" i="13"/>
  <c r="R211" i="13"/>
  <c r="Q211" i="13"/>
  <c r="P211" i="13"/>
  <c r="M211" i="13"/>
  <c r="G211" i="13"/>
  <c r="F211" i="13"/>
  <c r="C211" i="13"/>
  <c r="B211" i="13"/>
  <c r="A211" i="13"/>
  <c r="R210" i="13"/>
  <c r="Q210" i="13"/>
  <c r="P210" i="13"/>
  <c r="M210" i="13"/>
  <c r="G210" i="13"/>
  <c r="F210" i="13"/>
  <c r="B210" i="13"/>
  <c r="A210" i="13"/>
  <c r="R209" i="13"/>
  <c r="Q209" i="13"/>
  <c r="P209" i="13"/>
  <c r="M209" i="13"/>
  <c r="G209" i="13"/>
  <c r="F209" i="13"/>
  <c r="C209" i="13"/>
  <c r="B209" i="13"/>
  <c r="A209" i="13"/>
  <c r="R208" i="13"/>
  <c r="Q208" i="13"/>
  <c r="P208" i="13"/>
  <c r="M208" i="13"/>
  <c r="G208" i="13"/>
  <c r="F208" i="13"/>
  <c r="C208" i="13"/>
  <c r="B208" i="13"/>
  <c r="A208" i="13"/>
  <c r="R207" i="13"/>
  <c r="Q207" i="13"/>
  <c r="P207" i="13"/>
  <c r="M207" i="13"/>
  <c r="G207" i="13"/>
  <c r="F207" i="13"/>
  <c r="C207" i="13"/>
  <c r="B207" i="13"/>
  <c r="A207" i="13"/>
  <c r="R206" i="13"/>
  <c r="Q206" i="13"/>
  <c r="P206" i="13"/>
  <c r="M206" i="13"/>
  <c r="G206" i="13"/>
  <c r="F206" i="13"/>
  <c r="B206" i="13"/>
  <c r="A206" i="13"/>
  <c r="R205" i="13"/>
  <c r="Q205" i="13"/>
  <c r="P205" i="13"/>
  <c r="M205" i="13"/>
  <c r="G205" i="13"/>
  <c r="F205" i="13"/>
  <c r="C205" i="13"/>
  <c r="B205" i="13"/>
  <c r="A205" i="13"/>
  <c r="R204" i="13"/>
  <c r="Q204" i="13"/>
  <c r="P204" i="13"/>
  <c r="M204" i="13"/>
  <c r="G204" i="13"/>
  <c r="F204" i="13"/>
  <c r="C204" i="13"/>
  <c r="B204" i="13"/>
  <c r="A204" i="13"/>
  <c r="R203" i="13"/>
  <c r="Q203" i="13"/>
  <c r="P203" i="13"/>
  <c r="M203" i="13"/>
  <c r="G203" i="13"/>
  <c r="F203" i="13"/>
  <c r="C203" i="13"/>
  <c r="B203" i="13"/>
  <c r="A203" i="13"/>
  <c r="R202" i="13"/>
  <c r="Q202" i="13"/>
  <c r="P202" i="13"/>
  <c r="M202" i="13"/>
  <c r="G202" i="13"/>
  <c r="F202" i="13"/>
  <c r="B202" i="13"/>
  <c r="A202" i="13"/>
  <c r="R201" i="13"/>
  <c r="Q201" i="13"/>
  <c r="P201" i="13"/>
  <c r="M201" i="13"/>
  <c r="G201" i="13"/>
  <c r="F201" i="13"/>
  <c r="C201" i="13"/>
  <c r="B201" i="13"/>
  <c r="A201" i="13"/>
  <c r="R200" i="13"/>
  <c r="Q200" i="13"/>
  <c r="P200" i="13"/>
  <c r="M200" i="13"/>
  <c r="G200" i="13"/>
  <c r="F200" i="13"/>
  <c r="C200" i="13"/>
  <c r="B200" i="13"/>
  <c r="A200" i="13"/>
  <c r="R199" i="13"/>
  <c r="Q199" i="13"/>
  <c r="P199" i="13"/>
  <c r="M199" i="13"/>
  <c r="G199" i="13"/>
  <c r="F199" i="13"/>
  <c r="C199" i="13"/>
  <c r="B199" i="13"/>
  <c r="A199" i="13"/>
  <c r="R198" i="13"/>
  <c r="Q198" i="13"/>
  <c r="P198" i="13"/>
  <c r="M198" i="13"/>
  <c r="G198" i="13"/>
  <c r="F198" i="13"/>
  <c r="B198" i="13"/>
  <c r="A198" i="13"/>
  <c r="R197" i="13"/>
  <c r="Q197" i="13"/>
  <c r="P197" i="13"/>
  <c r="M197" i="13"/>
  <c r="G197" i="13"/>
  <c r="F197" i="13"/>
  <c r="C197" i="13"/>
  <c r="B197" i="13"/>
  <c r="A197" i="13"/>
  <c r="R196" i="13"/>
  <c r="Q196" i="13"/>
  <c r="P196" i="13"/>
  <c r="M196" i="13"/>
  <c r="G196" i="13"/>
  <c r="F196" i="13"/>
  <c r="C196" i="13"/>
  <c r="B196" i="13"/>
  <c r="A196" i="13"/>
  <c r="R195" i="13"/>
  <c r="Q195" i="13"/>
  <c r="P195" i="13"/>
  <c r="M195" i="13"/>
  <c r="G195" i="13"/>
  <c r="F195" i="13"/>
  <c r="C195" i="13"/>
  <c r="B195" i="13"/>
  <c r="A195" i="13"/>
  <c r="R194" i="13"/>
  <c r="Q194" i="13"/>
  <c r="P194" i="13"/>
  <c r="M194" i="13"/>
  <c r="G194" i="13"/>
  <c r="F194" i="13"/>
  <c r="B194" i="13"/>
  <c r="A194" i="13"/>
  <c r="R193" i="13"/>
  <c r="Q193" i="13"/>
  <c r="P193" i="13"/>
  <c r="M193" i="13"/>
  <c r="G193" i="13"/>
  <c r="F193" i="13"/>
  <c r="C193" i="13"/>
  <c r="B193" i="13"/>
  <c r="A193" i="13"/>
  <c r="R192" i="13"/>
  <c r="Q192" i="13"/>
  <c r="P192" i="13"/>
  <c r="M192" i="13"/>
  <c r="G192" i="13"/>
  <c r="F192" i="13"/>
  <c r="C192" i="13"/>
  <c r="B192" i="13"/>
  <c r="A192" i="13"/>
  <c r="R191" i="13"/>
  <c r="Q191" i="13"/>
  <c r="P191" i="13"/>
  <c r="M191" i="13"/>
  <c r="G191" i="13"/>
  <c r="F191" i="13"/>
  <c r="C191" i="13"/>
  <c r="B191" i="13"/>
  <c r="A191" i="13"/>
  <c r="R190" i="13"/>
  <c r="Q190" i="13"/>
  <c r="P190" i="13"/>
  <c r="M190" i="13"/>
  <c r="G190" i="13"/>
  <c r="F190" i="13"/>
  <c r="B190" i="13"/>
  <c r="A190" i="13"/>
  <c r="R189" i="13"/>
  <c r="Q189" i="13"/>
  <c r="P189" i="13"/>
  <c r="M189" i="13"/>
  <c r="G189" i="13"/>
  <c r="F189" i="13"/>
  <c r="C189" i="13"/>
  <c r="B189" i="13"/>
  <c r="A189" i="13"/>
  <c r="R188" i="13"/>
  <c r="Q188" i="13"/>
  <c r="P188" i="13"/>
  <c r="M188" i="13"/>
  <c r="G188" i="13"/>
  <c r="F188" i="13"/>
  <c r="C188" i="13"/>
  <c r="B188" i="13"/>
  <c r="A188" i="13"/>
  <c r="R187" i="13"/>
  <c r="Q187" i="13"/>
  <c r="P187" i="13"/>
  <c r="M187" i="13"/>
  <c r="G187" i="13"/>
  <c r="F187" i="13"/>
  <c r="C187" i="13"/>
  <c r="B187" i="13"/>
  <c r="A187" i="13"/>
  <c r="R186" i="13"/>
  <c r="Q186" i="13"/>
  <c r="P186" i="13"/>
  <c r="M186" i="13"/>
  <c r="G186" i="13"/>
  <c r="F186" i="13"/>
  <c r="B186" i="13"/>
  <c r="A186" i="13"/>
  <c r="R185" i="13"/>
  <c r="Q185" i="13"/>
  <c r="P185" i="13"/>
  <c r="M185" i="13"/>
  <c r="G185" i="13"/>
  <c r="F185" i="13"/>
  <c r="C185" i="13"/>
  <c r="B185" i="13"/>
  <c r="A185" i="13"/>
  <c r="R184" i="13"/>
  <c r="Q184" i="13"/>
  <c r="P184" i="13"/>
  <c r="M184" i="13"/>
  <c r="G184" i="13"/>
  <c r="F184" i="13"/>
  <c r="C184" i="13"/>
  <c r="B184" i="13"/>
  <c r="A184" i="13"/>
  <c r="R183" i="13"/>
  <c r="Q183" i="13"/>
  <c r="P183" i="13"/>
  <c r="M183" i="13"/>
  <c r="G183" i="13"/>
  <c r="F183" i="13"/>
  <c r="C183" i="13"/>
  <c r="B183" i="13"/>
  <c r="A183" i="13"/>
  <c r="R182" i="13"/>
  <c r="Q182" i="13"/>
  <c r="P182" i="13"/>
  <c r="M182" i="13"/>
  <c r="G182" i="13"/>
  <c r="F182" i="13"/>
  <c r="B182" i="13"/>
  <c r="A182" i="13"/>
  <c r="R181" i="13"/>
  <c r="Q181" i="13"/>
  <c r="P181" i="13"/>
  <c r="M181" i="13"/>
  <c r="G181" i="13"/>
  <c r="F181" i="13"/>
  <c r="C181" i="13"/>
  <c r="B181" i="13"/>
  <c r="A181" i="13"/>
  <c r="R180" i="13"/>
  <c r="Q180" i="13"/>
  <c r="P180" i="13"/>
  <c r="M180" i="13"/>
  <c r="G180" i="13"/>
  <c r="F180" i="13"/>
  <c r="C180" i="13"/>
  <c r="B180" i="13"/>
  <c r="A180" i="13"/>
  <c r="R179" i="13"/>
  <c r="Q179" i="13"/>
  <c r="P179" i="13"/>
  <c r="M179" i="13"/>
  <c r="G179" i="13"/>
  <c r="F179" i="13"/>
  <c r="C179" i="13"/>
  <c r="B179" i="13"/>
  <c r="A179" i="13"/>
  <c r="R178" i="13"/>
  <c r="Q178" i="13"/>
  <c r="P178" i="13"/>
  <c r="M178" i="13"/>
  <c r="G178" i="13"/>
  <c r="F178" i="13"/>
  <c r="B178" i="13"/>
  <c r="A178" i="13"/>
  <c r="R177" i="13"/>
  <c r="Q177" i="13"/>
  <c r="P177" i="13"/>
  <c r="M177" i="13"/>
  <c r="G177" i="13"/>
  <c r="F177" i="13"/>
  <c r="C177" i="13"/>
  <c r="B177" i="13"/>
  <c r="A177" i="13"/>
  <c r="R176" i="13"/>
  <c r="Q176" i="13"/>
  <c r="P176" i="13"/>
  <c r="M176" i="13"/>
  <c r="G176" i="13"/>
  <c r="F176" i="13"/>
  <c r="C176" i="13"/>
  <c r="B176" i="13"/>
  <c r="A176" i="13"/>
  <c r="R175" i="13"/>
  <c r="Q175" i="13"/>
  <c r="P175" i="13"/>
  <c r="M175" i="13"/>
  <c r="G175" i="13"/>
  <c r="F175" i="13"/>
  <c r="C175" i="13"/>
  <c r="B175" i="13"/>
  <c r="A175" i="13"/>
  <c r="R174" i="13"/>
  <c r="Q174" i="13"/>
  <c r="P174" i="13"/>
  <c r="M174" i="13"/>
  <c r="G174" i="13"/>
  <c r="F174" i="13"/>
  <c r="B174" i="13"/>
  <c r="A174" i="13"/>
  <c r="R173" i="13"/>
  <c r="Q173" i="13"/>
  <c r="P173" i="13"/>
  <c r="M173" i="13"/>
  <c r="G173" i="13"/>
  <c r="F173" i="13"/>
  <c r="C173" i="13"/>
  <c r="B173" i="13"/>
  <c r="A173" i="13"/>
  <c r="R172" i="13"/>
  <c r="Q172" i="13"/>
  <c r="P172" i="13"/>
  <c r="M172" i="13"/>
  <c r="G172" i="13"/>
  <c r="F172" i="13"/>
  <c r="C172" i="13"/>
  <c r="B172" i="13"/>
  <c r="A172" i="13"/>
  <c r="R171" i="13"/>
  <c r="Q171" i="13"/>
  <c r="P171" i="13"/>
  <c r="M171" i="13"/>
  <c r="G171" i="13"/>
  <c r="F171" i="13"/>
  <c r="C171" i="13"/>
  <c r="B171" i="13"/>
  <c r="A171" i="13"/>
  <c r="R170" i="13"/>
  <c r="Q170" i="13"/>
  <c r="P170" i="13"/>
  <c r="M170" i="13"/>
  <c r="G170" i="13"/>
  <c r="F170" i="13"/>
  <c r="B170" i="13"/>
  <c r="A170" i="13"/>
  <c r="R169" i="13"/>
  <c r="Q169" i="13"/>
  <c r="P169" i="13"/>
  <c r="M169" i="13"/>
  <c r="G169" i="13"/>
  <c r="F169" i="13"/>
  <c r="C169" i="13"/>
  <c r="B169" i="13"/>
  <c r="A169" i="13"/>
  <c r="R168" i="13"/>
  <c r="Q168" i="13"/>
  <c r="P168" i="13"/>
  <c r="M168" i="13"/>
  <c r="G168" i="13"/>
  <c r="F168" i="13"/>
  <c r="C168" i="13"/>
  <c r="B168" i="13"/>
  <c r="A168" i="13"/>
  <c r="R167" i="13"/>
  <c r="Q167" i="13"/>
  <c r="P167" i="13"/>
  <c r="M167" i="13"/>
  <c r="G167" i="13"/>
  <c r="F167" i="13"/>
  <c r="C167" i="13"/>
  <c r="B167" i="13"/>
  <c r="A167" i="13"/>
  <c r="R166" i="13"/>
  <c r="Q166" i="13"/>
  <c r="P166" i="13"/>
  <c r="M166" i="13"/>
  <c r="G166" i="13"/>
  <c r="F166" i="13"/>
  <c r="B166" i="13"/>
  <c r="A166" i="13"/>
  <c r="R165" i="13"/>
  <c r="Q165" i="13"/>
  <c r="P165" i="13"/>
  <c r="M165" i="13"/>
  <c r="G165" i="13"/>
  <c r="F165" i="13"/>
  <c r="C165" i="13"/>
  <c r="B165" i="13"/>
  <c r="A165" i="13"/>
  <c r="R164" i="13"/>
  <c r="Q164" i="13"/>
  <c r="P164" i="13"/>
  <c r="M164" i="13"/>
  <c r="G164" i="13"/>
  <c r="F164" i="13"/>
  <c r="C164" i="13"/>
  <c r="B164" i="13"/>
  <c r="A164" i="13"/>
  <c r="R163" i="13"/>
  <c r="Q163" i="13"/>
  <c r="P163" i="13"/>
  <c r="M163" i="13"/>
  <c r="G163" i="13"/>
  <c r="F163" i="13"/>
  <c r="C163" i="13"/>
  <c r="B163" i="13"/>
  <c r="A163" i="13"/>
  <c r="R162" i="13"/>
  <c r="Q162" i="13"/>
  <c r="P162" i="13"/>
  <c r="M162" i="13"/>
  <c r="G162" i="13"/>
  <c r="F162" i="13"/>
  <c r="B162" i="13"/>
  <c r="A162" i="13"/>
  <c r="R161" i="13"/>
  <c r="Q161" i="13"/>
  <c r="P161" i="13"/>
  <c r="M161" i="13"/>
  <c r="G161" i="13"/>
  <c r="F161" i="13"/>
  <c r="C161" i="13"/>
  <c r="B161" i="13"/>
  <c r="A161" i="13"/>
  <c r="R160" i="13"/>
  <c r="Q160" i="13"/>
  <c r="P160" i="13"/>
  <c r="M160" i="13"/>
  <c r="G160" i="13"/>
  <c r="F160" i="13"/>
  <c r="C160" i="13"/>
  <c r="B160" i="13"/>
  <c r="A160" i="13"/>
  <c r="R159" i="13"/>
  <c r="Q159" i="13"/>
  <c r="P159" i="13"/>
  <c r="M159" i="13"/>
  <c r="G159" i="13"/>
  <c r="F159" i="13"/>
  <c r="C159" i="13"/>
  <c r="B159" i="13"/>
  <c r="A159" i="13"/>
  <c r="R158" i="13"/>
  <c r="Q158" i="13"/>
  <c r="P158" i="13"/>
  <c r="M158" i="13"/>
  <c r="G158" i="13"/>
  <c r="F158" i="13"/>
  <c r="B158" i="13"/>
  <c r="A158" i="13"/>
  <c r="R157" i="13"/>
  <c r="Q157" i="13"/>
  <c r="P157" i="13"/>
  <c r="M157" i="13"/>
  <c r="G157" i="13"/>
  <c r="F157" i="13"/>
  <c r="C157" i="13"/>
  <c r="B157" i="13"/>
  <c r="A157" i="13"/>
  <c r="R156" i="13"/>
  <c r="Q156" i="13"/>
  <c r="P156" i="13"/>
  <c r="M156" i="13"/>
  <c r="G156" i="13"/>
  <c r="F156" i="13"/>
  <c r="C156" i="13"/>
  <c r="B156" i="13"/>
  <c r="A156" i="13"/>
  <c r="R155" i="13"/>
  <c r="Q155" i="13"/>
  <c r="P155" i="13"/>
  <c r="M155" i="13"/>
  <c r="G155" i="13"/>
  <c r="F155" i="13"/>
  <c r="C155" i="13"/>
  <c r="B155" i="13"/>
  <c r="A155" i="13"/>
  <c r="R154" i="13"/>
  <c r="Q154" i="13"/>
  <c r="P154" i="13"/>
  <c r="M154" i="13"/>
  <c r="G154" i="13"/>
  <c r="F154" i="13"/>
  <c r="B154" i="13"/>
  <c r="A154" i="13"/>
  <c r="R153" i="13"/>
  <c r="Q153" i="13"/>
  <c r="P153" i="13"/>
  <c r="M153" i="13"/>
  <c r="G153" i="13"/>
  <c r="F153" i="13"/>
  <c r="C153" i="13"/>
  <c r="B153" i="13"/>
  <c r="A153" i="13"/>
  <c r="R152" i="13"/>
  <c r="Q152" i="13"/>
  <c r="P152" i="13"/>
  <c r="M152" i="13"/>
  <c r="G152" i="13"/>
  <c r="F152" i="13"/>
  <c r="C152" i="13"/>
  <c r="B152" i="13"/>
  <c r="A152" i="13"/>
  <c r="R151" i="13"/>
  <c r="Q151" i="13"/>
  <c r="P151" i="13"/>
  <c r="M151" i="13"/>
  <c r="G151" i="13"/>
  <c r="F151" i="13"/>
  <c r="C151" i="13"/>
  <c r="B151" i="13"/>
  <c r="A151" i="13"/>
  <c r="R150" i="13"/>
  <c r="Q150" i="13"/>
  <c r="P150" i="13"/>
  <c r="M150" i="13"/>
  <c r="G150" i="13"/>
  <c r="F150" i="13"/>
  <c r="B150" i="13"/>
  <c r="A150" i="13"/>
  <c r="R149" i="13"/>
  <c r="Q149" i="13"/>
  <c r="P149" i="13"/>
  <c r="M149" i="13"/>
  <c r="G149" i="13"/>
  <c r="F149" i="13"/>
  <c r="C149" i="13"/>
  <c r="B149" i="13"/>
  <c r="A149" i="13"/>
  <c r="R148" i="13"/>
  <c r="Q148" i="13"/>
  <c r="P148" i="13"/>
  <c r="M148" i="13"/>
  <c r="G148" i="13"/>
  <c r="F148" i="13"/>
  <c r="C148" i="13"/>
  <c r="B148" i="13"/>
  <c r="A148" i="13"/>
  <c r="R147" i="13"/>
  <c r="Q147" i="13"/>
  <c r="P147" i="13"/>
  <c r="M147" i="13"/>
  <c r="G147" i="13"/>
  <c r="F147" i="13"/>
  <c r="C147" i="13"/>
  <c r="B147" i="13"/>
  <c r="A147" i="13"/>
  <c r="R146" i="13"/>
  <c r="Q146" i="13"/>
  <c r="P146" i="13"/>
  <c r="M146" i="13"/>
  <c r="G146" i="13"/>
  <c r="F146" i="13"/>
  <c r="B146" i="13"/>
  <c r="A146" i="13"/>
  <c r="R145" i="13"/>
  <c r="Q145" i="13"/>
  <c r="P145" i="13"/>
  <c r="M145" i="13"/>
  <c r="G145" i="13"/>
  <c r="F145" i="13"/>
  <c r="C145" i="13"/>
  <c r="B145" i="13"/>
  <c r="A145" i="13"/>
  <c r="R144" i="13"/>
  <c r="Q144" i="13"/>
  <c r="P144" i="13"/>
  <c r="M144" i="13"/>
  <c r="G144" i="13"/>
  <c r="F144" i="13"/>
  <c r="C144" i="13"/>
  <c r="B144" i="13"/>
  <c r="A144" i="13"/>
  <c r="R143" i="13"/>
  <c r="Q143" i="13"/>
  <c r="P143" i="13"/>
  <c r="M143" i="13"/>
  <c r="G143" i="13"/>
  <c r="F143" i="13"/>
  <c r="C143" i="13"/>
  <c r="B143" i="13"/>
  <c r="A143" i="13"/>
  <c r="R142" i="13"/>
  <c r="Q142" i="13"/>
  <c r="P142" i="13"/>
  <c r="M142" i="13"/>
  <c r="G142" i="13"/>
  <c r="F142" i="13"/>
  <c r="B142" i="13"/>
  <c r="A142" i="13"/>
  <c r="R141" i="13"/>
  <c r="Q141" i="13"/>
  <c r="P141" i="13"/>
  <c r="M141" i="13"/>
  <c r="G141" i="13"/>
  <c r="F141" i="13"/>
  <c r="C141" i="13"/>
  <c r="B141" i="13"/>
  <c r="A141" i="13"/>
  <c r="R140" i="13"/>
  <c r="Q140" i="13"/>
  <c r="P140" i="13"/>
  <c r="M140" i="13"/>
  <c r="G140" i="13"/>
  <c r="F140" i="13"/>
  <c r="C140" i="13"/>
  <c r="B140" i="13"/>
  <c r="A140" i="13"/>
  <c r="R139" i="13"/>
  <c r="Q139" i="13"/>
  <c r="P139" i="13"/>
  <c r="M139" i="13"/>
  <c r="G139" i="13"/>
  <c r="F139" i="13"/>
  <c r="C139" i="13"/>
  <c r="B139" i="13"/>
  <c r="A139" i="13"/>
  <c r="R138" i="13"/>
  <c r="Q138" i="13"/>
  <c r="P138" i="13"/>
  <c r="M138" i="13"/>
  <c r="G138" i="13"/>
  <c r="F138" i="13"/>
  <c r="B138" i="13"/>
  <c r="A138" i="13"/>
  <c r="R137" i="13"/>
  <c r="Q137" i="13"/>
  <c r="P137" i="13"/>
  <c r="M137" i="13"/>
  <c r="G137" i="13"/>
  <c r="F137" i="13"/>
  <c r="C137" i="13"/>
  <c r="B137" i="13"/>
  <c r="A137" i="13"/>
  <c r="R136" i="13"/>
  <c r="Q136" i="13"/>
  <c r="P136" i="13"/>
  <c r="M136" i="13"/>
  <c r="G136" i="13"/>
  <c r="F136" i="13"/>
  <c r="C136" i="13"/>
  <c r="B136" i="13"/>
  <c r="A136" i="13"/>
  <c r="R135" i="13"/>
  <c r="Q135" i="13"/>
  <c r="P135" i="13"/>
  <c r="M135" i="13"/>
  <c r="G135" i="13"/>
  <c r="F135" i="13"/>
  <c r="C135" i="13"/>
  <c r="B135" i="13"/>
  <c r="A135" i="13"/>
  <c r="R134" i="13"/>
  <c r="Q134" i="13"/>
  <c r="P134" i="13"/>
  <c r="M134" i="13"/>
  <c r="G134" i="13"/>
  <c r="F134" i="13"/>
  <c r="B134" i="13"/>
  <c r="A134" i="13"/>
  <c r="R133" i="13"/>
  <c r="Q133" i="13"/>
  <c r="P133" i="13"/>
  <c r="M133" i="13"/>
  <c r="G133" i="13"/>
  <c r="F133" i="13"/>
  <c r="C133" i="13"/>
  <c r="B133" i="13"/>
  <c r="A133" i="13"/>
  <c r="R132" i="13"/>
  <c r="Q132" i="13"/>
  <c r="P132" i="13"/>
  <c r="M132" i="13"/>
  <c r="G132" i="13"/>
  <c r="F132" i="13"/>
  <c r="C132" i="13"/>
  <c r="B132" i="13"/>
  <c r="A132" i="13"/>
  <c r="R131" i="13"/>
  <c r="Q131" i="13"/>
  <c r="P131" i="13"/>
  <c r="M131" i="13"/>
  <c r="G131" i="13"/>
  <c r="F131" i="13"/>
  <c r="C131" i="13"/>
  <c r="B131" i="13"/>
  <c r="A131" i="13"/>
  <c r="R130" i="13"/>
  <c r="Q130" i="13"/>
  <c r="P130" i="13"/>
  <c r="M130" i="13"/>
  <c r="G130" i="13"/>
  <c r="F130" i="13"/>
  <c r="B130" i="13"/>
  <c r="A130" i="13"/>
  <c r="R129" i="13"/>
  <c r="Q129" i="13"/>
  <c r="P129" i="13"/>
  <c r="M129" i="13"/>
  <c r="G129" i="13"/>
  <c r="F129" i="13"/>
  <c r="C129" i="13"/>
  <c r="B129" i="13"/>
  <c r="A129" i="13"/>
  <c r="R128" i="13"/>
  <c r="Q128" i="13"/>
  <c r="P128" i="13"/>
  <c r="M128" i="13"/>
  <c r="G128" i="13"/>
  <c r="F128" i="13"/>
  <c r="C128" i="13"/>
  <c r="B128" i="13"/>
  <c r="A128" i="13"/>
  <c r="R127" i="13"/>
  <c r="Q127" i="13"/>
  <c r="P127" i="13"/>
  <c r="M127" i="13"/>
  <c r="G127" i="13"/>
  <c r="F127" i="13"/>
  <c r="C127" i="13"/>
  <c r="B127" i="13"/>
  <c r="A127" i="13"/>
  <c r="R126" i="13"/>
  <c r="Q126" i="13"/>
  <c r="P126" i="13"/>
  <c r="M126" i="13"/>
  <c r="G126" i="13"/>
  <c r="F126" i="13"/>
  <c r="B126" i="13"/>
  <c r="A126" i="13"/>
  <c r="R125" i="13"/>
  <c r="Q125" i="13"/>
  <c r="P125" i="13"/>
  <c r="M125" i="13"/>
  <c r="G125" i="13"/>
  <c r="F125" i="13"/>
  <c r="C125" i="13"/>
  <c r="B125" i="13"/>
  <c r="A125" i="13"/>
  <c r="R124" i="13"/>
  <c r="Q124" i="13"/>
  <c r="P124" i="13"/>
  <c r="M124" i="13"/>
  <c r="G124" i="13"/>
  <c r="F124" i="13"/>
  <c r="C124" i="13"/>
  <c r="B124" i="13"/>
  <c r="A124" i="13"/>
  <c r="R123" i="13"/>
  <c r="Q123" i="13"/>
  <c r="P123" i="13"/>
  <c r="M123" i="13"/>
  <c r="G123" i="13"/>
  <c r="F123" i="13"/>
  <c r="C123" i="13"/>
  <c r="B123" i="13"/>
  <c r="A123" i="13"/>
  <c r="R122" i="13"/>
  <c r="Q122" i="13"/>
  <c r="P122" i="13"/>
  <c r="M122" i="13"/>
  <c r="G122" i="13"/>
  <c r="F122" i="13"/>
  <c r="B122" i="13"/>
  <c r="A122" i="13"/>
  <c r="R121" i="13"/>
  <c r="Q121" i="13"/>
  <c r="P121" i="13"/>
  <c r="M121" i="13"/>
  <c r="G121" i="13"/>
  <c r="F121" i="13"/>
  <c r="C121" i="13"/>
  <c r="B121" i="13"/>
  <c r="A121" i="13"/>
  <c r="R120" i="13"/>
  <c r="Q120" i="13"/>
  <c r="P120" i="13"/>
  <c r="M120" i="13"/>
  <c r="G120" i="13"/>
  <c r="F120" i="13"/>
  <c r="C120" i="13"/>
  <c r="B120" i="13"/>
  <c r="A120" i="13"/>
  <c r="R119" i="13"/>
  <c r="Q119" i="13"/>
  <c r="P119" i="13"/>
  <c r="M119" i="13"/>
  <c r="G119" i="13"/>
  <c r="F119" i="13"/>
  <c r="C119" i="13"/>
  <c r="B119" i="13"/>
  <c r="A119" i="13"/>
  <c r="R118" i="13"/>
  <c r="Q118" i="13"/>
  <c r="P118" i="13"/>
  <c r="M118" i="13"/>
  <c r="G118" i="13"/>
  <c r="F118" i="13"/>
  <c r="B118" i="13"/>
  <c r="A118" i="13"/>
  <c r="R117" i="13"/>
  <c r="Q117" i="13"/>
  <c r="P117" i="13"/>
  <c r="M117" i="13"/>
  <c r="G117" i="13"/>
  <c r="F117" i="13"/>
  <c r="C117" i="13"/>
  <c r="B117" i="13"/>
  <c r="A117" i="13"/>
  <c r="R116" i="13"/>
  <c r="Q116" i="13"/>
  <c r="P116" i="13"/>
  <c r="M116" i="13"/>
  <c r="G116" i="13"/>
  <c r="F116" i="13"/>
  <c r="C116" i="13"/>
  <c r="B116" i="13"/>
  <c r="A116" i="13"/>
  <c r="R115" i="13"/>
  <c r="Q115" i="13"/>
  <c r="P115" i="13"/>
  <c r="M115" i="13"/>
  <c r="G115" i="13"/>
  <c r="F115" i="13"/>
  <c r="C115" i="13"/>
  <c r="B115" i="13"/>
  <c r="A115" i="13"/>
  <c r="R114" i="13"/>
  <c r="Q114" i="13"/>
  <c r="P114" i="13"/>
  <c r="M114" i="13"/>
  <c r="G114" i="13"/>
  <c r="F114" i="13"/>
  <c r="B114" i="13"/>
  <c r="A114" i="13"/>
  <c r="R113" i="13"/>
  <c r="Q113" i="13"/>
  <c r="P113" i="13"/>
  <c r="M113" i="13"/>
  <c r="G113" i="13"/>
  <c r="F113" i="13"/>
  <c r="C113" i="13"/>
  <c r="B113" i="13"/>
  <c r="A113" i="13"/>
  <c r="R112" i="13"/>
  <c r="Q112" i="13"/>
  <c r="P112" i="13"/>
  <c r="M112" i="13"/>
  <c r="G112" i="13"/>
  <c r="F112" i="13"/>
  <c r="C112" i="13"/>
  <c r="B112" i="13"/>
  <c r="A112" i="13"/>
  <c r="R111" i="13"/>
  <c r="Q111" i="13"/>
  <c r="P111" i="13"/>
  <c r="M111" i="13"/>
  <c r="G111" i="13"/>
  <c r="F111" i="13"/>
  <c r="C111" i="13"/>
  <c r="B111" i="13"/>
  <c r="A111" i="13"/>
  <c r="R110" i="13"/>
  <c r="Q110" i="13"/>
  <c r="P110" i="13"/>
  <c r="M110" i="13"/>
  <c r="G110" i="13"/>
  <c r="F110" i="13"/>
  <c r="B110" i="13"/>
  <c r="A110" i="13"/>
  <c r="R109" i="13"/>
  <c r="Q109" i="13"/>
  <c r="P109" i="13"/>
  <c r="M109" i="13"/>
  <c r="G109" i="13"/>
  <c r="F109" i="13"/>
  <c r="C109" i="13"/>
  <c r="B109" i="13"/>
  <c r="A109" i="13"/>
  <c r="R108" i="13"/>
  <c r="Q108" i="13"/>
  <c r="P108" i="13"/>
  <c r="M108" i="13"/>
  <c r="G108" i="13"/>
  <c r="F108" i="13"/>
  <c r="C108" i="13"/>
  <c r="B108" i="13"/>
  <c r="A108" i="13"/>
  <c r="R107" i="13"/>
  <c r="Q107" i="13"/>
  <c r="P107" i="13"/>
  <c r="M107" i="13"/>
  <c r="G107" i="13"/>
  <c r="F107" i="13"/>
  <c r="C107" i="13"/>
  <c r="B107" i="13"/>
  <c r="A107" i="13"/>
  <c r="R106" i="13"/>
  <c r="Q106" i="13"/>
  <c r="P106" i="13"/>
  <c r="M106" i="13"/>
  <c r="G106" i="13"/>
  <c r="F106" i="13"/>
  <c r="B106" i="13"/>
  <c r="A106" i="13"/>
  <c r="R105" i="13"/>
  <c r="Q105" i="13"/>
  <c r="P105" i="13"/>
  <c r="M105" i="13"/>
  <c r="G105" i="13"/>
  <c r="F105" i="13"/>
  <c r="C105" i="13"/>
  <c r="B105" i="13"/>
  <c r="A105" i="13"/>
  <c r="R104" i="13"/>
  <c r="Q104" i="13"/>
  <c r="P104" i="13"/>
  <c r="M104" i="13"/>
  <c r="G104" i="13"/>
  <c r="F104" i="13"/>
  <c r="C104" i="13"/>
  <c r="B104" i="13"/>
  <c r="A104" i="13"/>
  <c r="R103" i="13"/>
  <c r="Q103" i="13"/>
  <c r="P103" i="13"/>
  <c r="M103" i="13"/>
  <c r="G103" i="13"/>
  <c r="F103" i="13"/>
  <c r="C103" i="13"/>
  <c r="B103" i="13"/>
  <c r="A103" i="13"/>
  <c r="R102" i="13"/>
  <c r="Q102" i="13"/>
  <c r="P102" i="13"/>
  <c r="M102" i="13"/>
  <c r="G102" i="13"/>
  <c r="F102" i="13"/>
  <c r="B102" i="13"/>
  <c r="A102" i="13"/>
  <c r="R101" i="13"/>
  <c r="Q101" i="13"/>
  <c r="P101" i="13"/>
  <c r="M101" i="13"/>
  <c r="G101" i="13"/>
  <c r="F101" i="13"/>
  <c r="C101" i="13"/>
  <c r="B101" i="13"/>
  <c r="A101" i="13"/>
  <c r="R100" i="13"/>
  <c r="Q100" i="13"/>
  <c r="P100" i="13"/>
  <c r="M100" i="13"/>
  <c r="G100" i="13"/>
  <c r="F100" i="13"/>
  <c r="B100" i="13"/>
  <c r="A100" i="13"/>
  <c r="R99" i="13"/>
  <c r="Q99" i="13"/>
  <c r="P99" i="13"/>
  <c r="M99" i="13"/>
  <c r="G99" i="13"/>
  <c r="F99" i="13"/>
  <c r="A99" i="13"/>
  <c r="B99" i="13" s="1"/>
  <c r="R98" i="13"/>
  <c r="Q98" i="13"/>
  <c r="P98" i="13"/>
  <c r="M98" i="13"/>
  <c r="G98" i="13"/>
  <c r="F98" i="13"/>
  <c r="B98" i="13"/>
  <c r="A98" i="13"/>
  <c r="R97" i="13"/>
  <c r="Q97" i="13"/>
  <c r="P97" i="13"/>
  <c r="M97" i="13"/>
  <c r="G97" i="13"/>
  <c r="F97" i="13"/>
  <c r="C97" i="13"/>
  <c r="B97" i="13"/>
  <c r="A97" i="13"/>
  <c r="R96" i="13"/>
  <c r="Q96" i="13"/>
  <c r="P96" i="13"/>
  <c r="M96" i="13"/>
  <c r="G96" i="13"/>
  <c r="F96" i="13"/>
  <c r="B96" i="13"/>
  <c r="A96" i="13"/>
  <c r="R95" i="13"/>
  <c r="Q95" i="13"/>
  <c r="P95" i="13"/>
  <c r="M95" i="13"/>
  <c r="G95" i="13"/>
  <c r="F95" i="13"/>
  <c r="C95" i="13"/>
  <c r="B95" i="13"/>
  <c r="C96" i="13" s="1"/>
  <c r="A95" i="13"/>
  <c r="R94" i="13"/>
  <c r="Q94" i="13"/>
  <c r="P94" i="13"/>
  <c r="M94" i="13"/>
  <c r="G94" i="13"/>
  <c r="F94" i="13"/>
  <c r="B94" i="13"/>
  <c r="A94" i="13"/>
  <c r="R93" i="13"/>
  <c r="Q93" i="13"/>
  <c r="P93" i="13"/>
  <c r="M93" i="13"/>
  <c r="G93" i="13"/>
  <c r="F93" i="13"/>
  <c r="C93" i="13"/>
  <c r="B93" i="13"/>
  <c r="A93" i="13"/>
  <c r="R92" i="13"/>
  <c r="Q92" i="13"/>
  <c r="P92" i="13"/>
  <c r="M92" i="13"/>
  <c r="G92" i="13"/>
  <c r="F92" i="13"/>
  <c r="B92" i="13"/>
  <c r="A92" i="13"/>
  <c r="R91" i="13"/>
  <c r="Q91" i="13"/>
  <c r="P91" i="13"/>
  <c r="M91" i="13"/>
  <c r="G91" i="13"/>
  <c r="F91" i="13"/>
  <c r="C91" i="13"/>
  <c r="B91" i="13"/>
  <c r="C92" i="13" s="1"/>
  <c r="A91" i="13"/>
  <c r="R90" i="13"/>
  <c r="Q90" i="13"/>
  <c r="P90" i="13"/>
  <c r="M90" i="13"/>
  <c r="G90" i="13"/>
  <c r="F90" i="13"/>
  <c r="B90" i="13"/>
  <c r="A90" i="13"/>
  <c r="R89" i="13"/>
  <c r="Q89" i="13"/>
  <c r="P89" i="13"/>
  <c r="M89" i="13"/>
  <c r="G89" i="13"/>
  <c r="F89" i="13"/>
  <c r="C89" i="13"/>
  <c r="B89" i="13"/>
  <c r="A89" i="13"/>
  <c r="R88" i="13"/>
  <c r="Q88" i="13"/>
  <c r="P88" i="13"/>
  <c r="M88" i="13"/>
  <c r="G88" i="13"/>
  <c r="F88" i="13"/>
  <c r="B88" i="13"/>
  <c r="A88" i="13"/>
  <c r="R87" i="13"/>
  <c r="Q87" i="13"/>
  <c r="P87" i="13"/>
  <c r="M87" i="13"/>
  <c r="G87" i="13"/>
  <c r="F87" i="13"/>
  <c r="C87" i="13"/>
  <c r="B87" i="13"/>
  <c r="C88" i="13" s="1"/>
  <c r="A87" i="13"/>
  <c r="R86" i="13"/>
  <c r="Q86" i="13"/>
  <c r="P86" i="13"/>
  <c r="M86" i="13"/>
  <c r="G86" i="13"/>
  <c r="F86" i="13"/>
  <c r="B86" i="13"/>
  <c r="A86" i="13"/>
  <c r="R85" i="13"/>
  <c r="Q85" i="13"/>
  <c r="P85" i="13"/>
  <c r="M85" i="13"/>
  <c r="G85" i="13"/>
  <c r="F85" i="13"/>
  <c r="C85" i="13"/>
  <c r="B85" i="13"/>
  <c r="A85" i="13"/>
  <c r="R84" i="13"/>
  <c r="Q84" i="13"/>
  <c r="P84" i="13"/>
  <c r="M84" i="13"/>
  <c r="G84" i="13"/>
  <c r="F84" i="13"/>
  <c r="B84" i="13"/>
  <c r="A84" i="13"/>
  <c r="R83" i="13"/>
  <c r="Q83" i="13"/>
  <c r="P83" i="13"/>
  <c r="M83" i="13"/>
  <c r="G83" i="13"/>
  <c r="F83" i="13"/>
  <c r="C83" i="13"/>
  <c r="B83" i="13"/>
  <c r="C84" i="13" s="1"/>
  <c r="A83" i="13"/>
  <c r="R82" i="13"/>
  <c r="Q82" i="13"/>
  <c r="P82" i="13"/>
  <c r="M82" i="13"/>
  <c r="C82" i="13"/>
  <c r="B82" i="13"/>
  <c r="A82" i="13"/>
  <c r="R81" i="13"/>
  <c r="Q81" i="13"/>
  <c r="P81" i="13"/>
  <c r="M81" i="13"/>
  <c r="C81" i="13"/>
  <c r="B81" i="13"/>
  <c r="A81" i="13"/>
  <c r="R80" i="13"/>
  <c r="Q80" i="13"/>
  <c r="P80" i="13"/>
  <c r="M80" i="13"/>
  <c r="C80" i="13"/>
  <c r="B80" i="13"/>
  <c r="A80" i="13"/>
  <c r="R79" i="13"/>
  <c r="Q79" i="13"/>
  <c r="P79" i="13"/>
  <c r="M79" i="13"/>
  <c r="C79" i="13"/>
  <c r="B79" i="13"/>
  <c r="A79" i="13"/>
  <c r="R78" i="13"/>
  <c r="Q78" i="13"/>
  <c r="P78" i="13"/>
  <c r="M78" i="13"/>
  <c r="C78" i="13"/>
  <c r="B78" i="13"/>
  <c r="A78" i="13"/>
  <c r="R77" i="13"/>
  <c r="Q77" i="13"/>
  <c r="P77" i="13"/>
  <c r="M77" i="13"/>
  <c r="C77" i="13"/>
  <c r="B77" i="13"/>
  <c r="A77" i="13"/>
  <c r="R76" i="13"/>
  <c r="Q76" i="13"/>
  <c r="P76" i="13"/>
  <c r="M76" i="13"/>
  <c r="C76" i="13"/>
  <c r="B76" i="13"/>
  <c r="A76" i="13"/>
  <c r="R75" i="13"/>
  <c r="Q75" i="13"/>
  <c r="P75" i="13"/>
  <c r="M75" i="13"/>
  <c r="C75" i="13"/>
  <c r="B75" i="13"/>
  <c r="A75" i="13"/>
  <c r="R74" i="13"/>
  <c r="Q74" i="13"/>
  <c r="P74" i="13"/>
  <c r="M74" i="13"/>
  <c r="C74" i="13"/>
  <c r="B74" i="13"/>
  <c r="A74" i="13"/>
  <c r="R73" i="13"/>
  <c r="Q73" i="13"/>
  <c r="P73" i="13"/>
  <c r="M73" i="13"/>
  <c r="C73" i="13"/>
  <c r="B73" i="13"/>
  <c r="A73" i="13"/>
  <c r="R72" i="13"/>
  <c r="Q72" i="13"/>
  <c r="P72" i="13"/>
  <c r="M72" i="13"/>
  <c r="C72" i="13"/>
  <c r="B72" i="13"/>
  <c r="A72" i="13"/>
  <c r="R71" i="13"/>
  <c r="Q71" i="13"/>
  <c r="P71" i="13"/>
  <c r="M71" i="13"/>
  <c r="C71" i="13"/>
  <c r="B71" i="13"/>
  <c r="A71" i="13"/>
  <c r="R70" i="13"/>
  <c r="Q70" i="13"/>
  <c r="P70" i="13"/>
  <c r="M70" i="13"/>
  <c r="C70" i="13"/>
  <c r="B70" i="13"/>
  <c r="A70" i="13"/>
  <c r="R69" i="13"/>
  <c r="Q69" i="13"/>
  <c r="P69" i="13"/>
  <c r="M69" i="13"/>
  <c r="C69" i="13"/>
  <c r="B69" i="13"/>
  <c r="A69" i="13"/>
  <c r="R68" i="13"/>
  <c r="Q68" i="13"/>
  <c r="P68" i="13"/>
  <c r="M68" i="13"/>
  <c r="C68" i="13"/>
  <c r="B68" i="13"/>
  <c r="A68" i="13"/>
  <c r="R67" i="13"/>
  <c r="Q67" i="13"/>
  <c r="P67" i="13"/>
  <c r="M67" i="13"/>
  <c r="C67" i="13"/>
  <c r="B67" i="13"/>
  <c r="A67" i="13"/>
  <c r="R66" i="13"/>
  <c r="Q66" i="13"/>
  <c r="P66" i="13"/>
  <c r="M66" i="13"/>
  <c r="G66" i="13"/>
  <c r="F66" i="13"/>
  <c r="B66" i="13"/>
  <c r="A66" i="13"/>
  <c r="R65" i="13"/>
  <c r="Q65" i="13"/>
  <c r="P65" i="13"/>
  <c r="M65" i="13"/>
  <c r="G65" i="13"/>
  <c r="F65" i="13"/>
  <c r="C65" i="13"/>
  <c r="B65" i="13"/>
  <c r="A65" i="13"/>
  <c r="R64" i="13"/>
  <c r="Q64" i="13"/>
  <c r="P64" i="13"/>
  <c r="M64" i="13"/>
  <c r="G64" i="13"/>
  <c r="F64" i="13"/>
  <c r="B64" i="13"/>
  <c r="A64" i="13"/>
  <c r="R63" i="13"/>
  <c r="Q63" i="13"/>
  <c r="P63" i="13"/>
  <c r="M63" i="13"/>
  <c r="G63" i="13"/>
  <c r="F63" i="13"/>
  <c r="C63" i="13"/>
  <c r="B63" i="13"/>
  <c r="C64" i="13" s="1"/>
  <c r="A63" i="13"/>
  <c r="R62" i="13"/>
  <c r="Q62" i="13"/>
  <c r="P62" i="13"/>
  <c r="M62" i="13"/>
  <c r="G62" i="13"/>
  <c r="F62" i="13"/>
  <c r="B62" i="13"/>
  <c r="A62" i="13"/>
  <c r="R61" i="13"/>
  <c r="Q61" i="13"/>
  <c r="P61" i="13"/>
  <c r="M61" i="13"/>
  <c r="G61" i="13"/>
  <c r="F61" i="13"/>
  <c r="C61" i="13"/>
  <c r="B61" i="13"/>
  <c r="A61" i="13"/>
  <c r="R60" i="13"/>
  <c r="Q60" i="13"/>
  <c r="P60" i="13"/>
  <c r="M60" i="13"/>
  <c r="G60" i="13"/>
  <c r="F60" i="13"/>
  <c r="B60" i="13"/>
  <c r="C60" i="13" s="1"/>
  <c r="A60" i="13"/>
  <c r="R59" i="13"/>
  <c r="Q59" i="13"/>
  <c r="P59" i="13"/>
  <c r="M59" i="13"/>
  <c r="G59" i="13"/>
  <c r="F59" i="13"/>
  <c r="C59" i="13"/>
  <c r="B59" i="13"/>
  <c r="A59" i="13"/>
  <c r="R58" i="13"/>
  <c r="Q58" i="13"/>
  <c r="P58" i="13"/>
  <c r="M58" i="13"/>
  <c r="G58" i="13"/>
  <c r="F58" i="13"/>
  <c r="B58" i="13"/>
  <c r="A58" i="13"/>
  <c r="R57" i="13"/>
  <c r="Q57" i="13"/>
  <c r="P57" i="13"/>
  <c r="M57" i="13"/>
  <c r="G57" i="13"/>
  <c r="F57" i="13"/>
  <c r="C57" i="13"/>
  <c r="B57" i="13"/>
  <c r="A57" i="13"/>
  <c r="R56" i="13"/>
  <c r="Q56" i="13"/>
  <c r="P56" i="13"/>
  <c r="M56" i="13"/>
  <c r="G56" i="13"/>
  <c r="F56" i="13"/>
  <c r="B56" i="13"/>
  <c r="C56" i="13" s="1"/>
  <c r="A56" i="13"/>
  <c r="R55" i="13"/>
  <c r="Q55" i="13"/>
  <c r="P55" i="13"/>
  <c r="M55" i="13"/>
  <c r="G55" i="13"/>
  <c r="F55" i="13"/>
  <c r="C55" i="13"/>
  <c r="B55" i="13"/>
  <c r="A55" i="13"/>
  <c r="R54" i="13"/>
  <c r="Q54" i="13"/>
  <c r="P54" i="13"/>
  <c r="M54" i="13"/>
  <c r="G54" i="13"/>
  <c r="F54" i="13"/>
  <c r="B54" i="13"/>
  <c r="A54" i="13"/>
  <c r="R53" i="13"/>
  <c r="Q53" i="13"/>
  <c r="P53" i="13"/>
  <c r="M53" i="13"/>
  <c r="G53" i="13"/>
  <c r="F53" i="13"/>
  <c r="C53" i="13"/>
  <c r="B53" i="13"/>
  <c r="A53" i="13"/>
  <c r="R52" i="13"/>
  <c r="Q52" i="13"/>
  <c r="P52" i="13"/>
  <c r="M52" i="13"/>
  <c r="G52" i="13"/>
  <c r="F52" i="13"/>
  <c r="B52" i="13"/>
  <c r="C52" i="13" s="1"/>
  <c r="A52" i="13"/>
  <c r="R51" i="13"/>
  <c r="Q51" i="13"/>
  <c r="P51" i="13"/>
  <c r="M51" i="13"/>
  <c r="G51" i="13"/>
  <c r="F51" i="13"/>
  <c r="C51" i="13"/>
  <c r="B51" i="13"/>
  <c r="A51" i="13"/>
  <c r="R50" i="13"/>
  <c r="Q50" i="13"/>
  <c r="P50" i="13"/>
  <c r="M50" i="13"/>
  <c r="G50" i="13"/>
  <c r="F50" i="13"/>
  <c r="B50" i="13"/>
  <c r="A50" i="13"/>
  <c r="R49" i="13"/>
  <c r="Q49" i="13"/>
  <c r="P49" i="13"/>
  <c r="M49" i="13"/>
  <c r="G49" i="13"/>
  <c r="F49" i="13"/>
  <c r="C49" i="13"/>
  <c r="B49" i="13"/>
  <c r="A49" i="13"/>
  <c r="R48" i="13"/>
  <c r="Q48" i="13"/>
  <c r="P48" i="13"/>
  <c r="M48" i="13"/>
  <c r="G48" i="13"/>
  <c r="F48" i="13"/>
  <c r="B48" i="13"/>
  <c r="C48" i="13" s="1"/>
  <c r="A48" i="13"/>
  <c r="R47" i="13"/>
  <c r="Q47" i="13"/>
  <c r="P47" i="13"/>
  <c r="M47" i="13"/>
  <c r="G47" i="13"/>
  <c r="F47" i="13"/>
  <c r="C47" i="13"/>
  <c r="B47" i="13"/>
  <c r="A47" i="13"/>
  <c r="R46" i="13"/>
  <c r="Q46" i="13"/>
  <c r="P46" i="13"/>
  <c r="M46" i="13"/>
  <c r="G46" i="13"/>
  <c r="F46" i="13"/>
  <c r="B46" i="13"/>
  <c r="A46" i="13"/>
  <c r="R45" i="13"/>
  <c r="Q45" i="13"/>
  <c r="P45" i="13"/>
  <c r="M45" i="13"/>
  <c r="B45" i="13"/>
  <c r="C45" i="13" s="1"/>
  <c r="A45" i="13"/>
  <c r="R44" i="13"/>
  <c r="Q44" i="13"/>
  <c r="P44" i="13"/>
  <c r="M44" i="13"/>
  <c r="B44" i="13"/>
  <c r="C44" i="13" s="1"/>
  <c r="A44" i="13"/>
  <c r="R43" i="13"/>
  <c r="Q43" i="13"/>
  <c r="P43" i="13"/>
  <c r="M43" i="13"/>
  <c r="B43" i="13"/>
  <c r="C43" i="13" s="1"/>
  <c r="A43" i="13"/>
  <c r="R42" i="13"/>
  <c r="Q42" i="13"/>
  <c r="P42" i="13"/>
  <c r="M42" i="13"/>
  <c r="B42" i="13"/>
  <c r="C42" i="13" s="1"/>
  <c r="A42" i="13"/>
  <c r="R41" i="13"/>
  <c r="Q41" i="13"/>
  <c r="P41" i="13"/>
  <c r="M41" i="13"/>
  <c r="B41" i="13"/>
  <c r="C41" i="13" s="1"/>
  <c r="A41" i="13"/>
  <c r="R40" i="13"/>
  <c r="Q40" i="13"/>
  <c r="P40" i="13"/>
  <c r="M40" i="13"/>
  <c r="B40" i="13"/>
  <c r="C40" i="13" s="1"/>
  <c r="A40" i="13"/>
  <c r="R39" i="13"/>
  <c r="Q39" i="13"/>
  <c r="P39" i="13"/>
  <c r="M39" i="13"/>
  <c r="B39" i="13"/>
  <c r="C39" i="13" s="1"/>
  <c r="A39" i="13"/>
  <c r="R38" i="13"/>
  <c r="Q38" i="13"/>
  <c r="P38" i="13"/>
  <c r="M38" i="13"/>
  <c r="B38" i="13"/>
  <c r="C38" i="13" s="1"/>
  <c r="A38" i="13"/>
  <c r="R37" i="13"/>
  <c r="Q37" i="13"/>
  <c r="P37" i="13"/>
  <c r="M37" i="13"/>
  <c r="B37" i="13"/>
  <c r="C37" i="13" s="1"/>
  <c r="A37" i="13"/>
  <c r="R36" i="13"/>
  <c r="Q36" i="13"/>
  <c r="P36" i="13"/>
  <c r="M36" i="13"/>
  <c r="B36" i="13"/>
  <c r="C36" i="13" s="1"/>
  <c r="A36" i="13"/>
  <c r="R35" i="13"/>
  <c r="Q35" i="13"/>
  <c r="P35" i="13"/>
  <c r="M35" i="13"/>
  <c r="B35" i="13"/>
  <c r="C35" i="13" s="1"/>
  <c r="A35" i="13"/>
  <c r="R34" i="13"/>
  <c r="Q34" i="13"/>
  <c r="P34" i="13"/>
  <c r="M34" i="13"/>
  <c r="B34" i="13"/>
  <c r="C34" i="13" s="1"/>
  <c r="A34" i="13"/>
  <c r="R33" i="13"/>
  <c r="Q33" i="13"/>
  <c r="P33" i="13"/>
  <c r="M33" i="13"/>
  <c r="B33" i="13"/>
  <c r="C33" i="13" s="1"/>
  <c r="A33" i="13"/>
  <c r="R32" i="13"/>
  <c r="Q32" i="13"/>
  <c r="P32" i="13"/>
  <c r="M32" i="13"/>
  <c r="B32" i="13"/>
  <c r="C32" i="13" s="1"/>
  <c r="A32" i="13"/>
  <c r="R31" i="13"/>
  <c r="Q31" i="13"/>
  <c r="P31" i="13"/>
  <c r="M31" i="13"/>
  <c r="G31" i="13"/>
  <c r="F31" i="13"/>
  <c r="C31" i="13"/>
  <c r="B31" i="13"/>
  <c r="A31" i="13"/>
  <c r="R30" i="13"/>
  <c r="Q30" i="13"/>
  <c r="P30" i="13"/>
  <c r="M30" i="13"/>
  <c r="G30" i="13"/>
  <c r="F30" i="13"/>
  <c r="B30" i="13"/>
  <c r="C30" i="13" s="1"/>
  <c r="A30" i="13"/>
  <c r="R29" i="13"/>
  <c r="Q29" i="13"/>
  <c r="P29" i="13"/>
  <c r="M29" i="13"/>
  <c r="G29" i="13"/>
  <c r="F29" i="13"/>
  <c r="C29" i="13"/>
  <c r="B29" i="13"/>
  <c r="A29" i="13"/>
  <c r="R28" i="13"/>
  <c r="Q28" i="13"/>
  <c r="P28" i="13"/>
  <c r="M28" i="13"/>
  <c r="C28" i="13"/>
  <c r="B28" i="13"/>
  <c r="A28" i="13"/>
  <c r="R27" i="13"/>
  <c r="Q27" i="13"/>
  <c r="P27" i="13"/>
  <c r="M27" i="13"/>
  <c r="C27" i="13"/>
  <c r="B27" i="13"/>
  <c r="A27" i="13"/>
  <c r="R26" i="13"/>
  <c r="Q26" i="13"/>
  <c r="P26" i="13"/>
  <c r="M26" i="13"/>
  <c r="C26" i="13"/>
  <c r="B26" i="13"/>
  <c r="A26" i="13"/>
  <c r="R25" i="13"/>
  <c r="Q25" i="13"/>
  <c r="P25" i="13"/>
  <c r="M25" i="13"/>
  <c r="G25" i="13"/>
  <c r="F25" i="13"/>
  <c r="B25" i="13"/>
  <c r="A25" i="13"/>
  <c r="R24" i="13"/>
  <c r="Q24" i="13"/>
  <c r="P24" i="13"/>
  <c r="M24" i="13"/>
  <c r="G24" i="13"/>
  <c r="F24" i="13"/>
  <c r="C24" i="13"/>
  <c r="B24" i="13"/>
  <c r="A24" i="13"/>
  <c r="R23" i="13"/>
  <c r="Q23" i="13"/>
  <c r="P23" i="13"/>
  <c r="M23" i="13"/>
  <c r="G23" i="13"/>
  <c r="F23" i="13"/>
  <c r="B23" i="13"/>
  <c r="C23" i="13" s="1"/>
  <c r="A23" i="13"/>
  <c r="R22" i="13"/>
  <c r="Q22" i="13"/>
  <c r="P22" i="13"/>
  <c r="M22" i="13"/>
  <c r="G22" i="13"/>
  <c r="F22" i="13"/>
  <c r="C22" i="13"/>
  <c r="B22" i="13"/>
  <c r="A22" i="13"/>
  <c r="R21" i="13"/>
  <c r="Q21" i="13"/>
  <c r="P21" i="13"/>
  <c r="M21" i="13"/>
  <c r="G21" i="13"/>
  <c r="F21" i="13"/>
  <c r="B21" i="13"/>
  <c r="A21" i="13"/>
  <c r="R20" i="13"/>
  <c r="Q20" i="13"/>
  <c r="P20" i="13"/>
  <c r="M20" i="13"/>
  <c r="G20" i="13"/>
  <c r="F20" i="13"/>
  <c r="C20" i="13"/>
  <c r="B20" i="13"/>
  <c r="A20" i="13"/>
  <c r="R19" i="13"/>
  <c r="Q19" i="13"/>
  <c r="P19" i="13"/>
  <c r="M19" i="13"/>
  <c r="G19" i="13"/>
  <c r="F19" i="13"/>
  <c r="B19" i="13"/>
  <c r="C19" i="13" s="1"/>
  <c r="A19" i="13"/>
  <c r="R18" i="13"/>
  <c r="Q18" i="13"/>
  <c r="P18" i="13"/>
  <c r="M18" i="13"/>
  <c r="G18" i="13"/>
  <c r="F18" i="13"/>
  <c r="C18" i="13"/>
  <c r="B18" i="13"/>
  <c r="A18" i="13"/>
  <c r="R17" i="13"/>
  <c r="Q17" i="13"/>
  <c r="P17" i="13"/>
  <c r="M17" i="13"/>
  <c r="G17" i="13"/>
  <c r="F17" i="13"/>
  <c r="B17" i="13"/>
  <c r="A17" i="13"/>
  <c r="R16" i="13"/>
  <c r="Q16" i="13"/>
  <c r="P16" i="13"/>
  <c r="M16" i="13"/>
  <c r="G16" i="13"/>
  <c r="F16" i="13"/>
  <c r="C16" i="13"/>
  <c r="B16" i="13"/>
  <c r="A16" i="13"/>
  <c r="R15" i="13"/>
  <c r="Q15" i="13"/>
  <c r="P15" i="13"/>
  <c r="M15" i="13"/>
  <c r="G15" i="13"/>
  <c r="F15" i="13"/>
  <c r="B15" i="13"/>
  <c r="C15" i="13" s="1"/>
  <c r="A15" i="13"/>
  <c r="R14" i="13"/>
  <c r="Q14" i="13"/>
  <c r="P14" i="13"/>
  <c r="M14" i="13"/>
  <c r="G14" i="13"/>
  <c r="F14" i="13"/>
  <c r="C14" i="13"/>
  <c r="B14" i="13"/>
  <c r="A14" i="13"/>
  <c r="R13" i="13"/>
  <c r="Q13" i="13"/>
  <c r="P13" i="13"/>
  <c r="M13" i="13"/>
  <c r="G13" i="13"/>
  <c r="F13" i="13"/>
  <c r="B13" i="13"/>
  <c r="A13" i="13"/>
  <c r="R12" i="13"/>
  <c r="Q12" i="13"/>
  <c r="P12" i="13"/>
  <c r="M12" i="13"/>
  <c r="G12" i="13"/>
  <c r="F12" i="13"/>
  <c r="C12" i="13"/>
  <c r="B12" i="13"/>
  <c r="A12" i="13"/>
  <c r="R11" i="13"/>
  <c r="Q11" i="13"/>
  <c r="P11" i="13"/>
  <c r="M11" i="13"/>
  <c r="G11" i="13"/>
  <c r="F11" i="13"/>
  <c r="B11" i="13"/>
  <c r="C11" i="13" s="1"/>
  <c r="A11" i="13"/>
  <c r="R10" i="13"/>
  <c r="Q10" i="13"/>
  <c r="P10" i="13"/>
  <c r="M10" i="13"/>
  <c r="G10" i="13"/>
  <c r="F10" i="13"/>
  <c r="C10" i="13"/>
  <c r="B10" i="13"/>
  <c r="A10" i="13"/>
  <c r="R9" i="13"/>
  <c r="Q9" i="13"/>
  <c r="P9" i="13"/>
  <c r="M9" i="13"/>
  <c r="G9" i="13"/>
  <c r="F9" i="13"/>
  <c r="B9" i="13"/>
  <c r="A9" i="13"/>
  <c r="R8" i="13"/>
  <c r="Q8" i="13"/>
  <c r="P8" i="13"/>
  <c r="M8" i="13"/>
  <c r="G8" i="13"/>
  <c r="F8" i="13"/>
  <c r="C8" i="13"/>
  <c r="B8" i="13"/>
  <c r="A8" i="13"/>
  <c r="R7" i="13"/>
  <c r="Q7" i="13"/>
  <c r="P7" i="13"/>
  <c r="M7" i="13"/>
  <c r="G7" i="13"/>
  <c r="F7" i="13"/>
  <c r="B7" i="13"/>
  <c r="C7" i="13" s="1"/>
  <c r="A7" i="13"/>
  <c r="R6" i="13"/>
  <c r="Q6" i="13"/>
  <c r="P6" i="13"/>
  <c r="M6" i="13"/>
  <c r="G6" i="13"/>
  <c r="F6" i="13"/>
  <c r="C6" i="13"/>
  <c r="B6" i="13"/>
  <c r="A6" i="13"/>
  <c r="R5" i="13"/>
  <c r="Q5" i="13"/>
  <c r="P5" i="13"/>
  <c r="M5" i="13"/>
  <c r="G5" i="13"/>
  <c r="F5" i="13"/>
  <c r="B5" i="13"/>
  <c r="N5" i="13" s="1"/>
  <c r="N6" i="13" s="1"/>
  <c r="N7" i="13" s="1"/>
  <c r="N8" i="13" s="1"/>
  <c r="A5" i="13"/>
  <c r="R4" i="13"/>
  <c r="Q4" i="13"/>
  <c r="P4" i="13"/>
  <c r="M4" i="13"/>
  <c r="G4" i="13"/>
  <c r="F4" i="13"/>
  <c r="C4" i="13"/>
  <c r="B4" i="13"/>
  <c r="A4" i="13"/>
  <c r="R3" i="13"/>
  <c r="Q3" i="13"/>
  <c r="P3" i="13"/>
  <c r="M3" i="13"/>
  <c r="G3" i="13"/>
  <c r="F3" i="13"/>
  <c r="B3" i="13"/>
  <c r="C3" i="13" s="1"/>
  <c r="A3" i="13"/>
  <c r="R2" i="13"/>
  <c r="Q2" i="13"/>
  <c r="P2" i="13"/>
  <c r="N2" i="13"/>
  <c r="N3" i="13" s="1"/>
  <c r="N4" i="13" s="1"/>
  <c r="M2" i="13"/>
  <c r="G2" i="13"/>
  <c r="F2" i="13"/>
  <c r="C2" i="13"/>
  <c r="B2" i="13"/>
  <c r="A2" i="13"/>
  <c r="R499" i="12"/>
  <c r="Q499" i="12"/>
  <c r="P499" i="12"/>
  <c r="M499" i="12"/>
  <c r="B499" i="12"/>
  <c r="A499" i="12"/>
  <c r="R498" i="12"/>
  <c r="Q498" i="12"/>
  <c r="P498" i="12"/>
  <c r="M498" i="12"/>
  <c r="B498" i="12"/>
  <c r="C498" i="12" s="1"/>
  <c r="A498" i="12"/>
  <c r="R497" i="12"/>
  <c r="Q497" i="12"/>
  <c r="P497" i="12"/>
  <c r="M497" i="12"/>
  <c r="B497" i="12"/>
  <c r="A497" i="12"/>
  <c r="R496" i="12"/>
  <c r="Q496" i="12"/>
  <c r="P496" i="12"/>
  <c r="M496" i="12"/>
  <c r="B496" i="12"/>
  <c r="A496" i="12"/>
  <c r="R495" i="12"/>
  <c r="Q495" i="12"/>
  <c r="P495" i="12"/>
  <c r="M495" i="12"/>
  <c r="B495" i="12"/>
  <c r="A495" i="12"/>
  <c r="R494" i="12"/>
  <c r="Q494" i="12"/>
  <c r="P494" i="12"/>
  <c r="M494" i="12"/>
  <c r="B494" i="12"/>
  <c r="C494" i="12" s="1"/>
  <c r="A494" i="12"/>
  <c r="R493" i="12"/>
  <c r="Q493" i="12"/>
  <c r="P493" i="12"/>
  <c r="M493" i="12"/>
  <c r="B493" i="12"/>
  <c r="A493" i="12"/>
  <c r="R492" i="12"/>
  <c r="Q492" i="12"/>
  <c r="P492" i="12"/>
  <c r="M492" i="12"/>
  <c r="B492" i="12"/>
  <c r="A492" i="12"/>
  <c r="R491" i="12"/>
  <c r="Q491" i="12"/>
  <c r="P491" i="12"/>
  <c r="M491" i="12"/>
  <c r="B491" i="12"/>
  <c r="A491" i="12"/>
  <c r="R490" i="12"/>
  <c r="Q490" i="12"/>
  <c r="P490" i="12"/>
  <c r="M490" i="12"/>
  <c r="B490" i="12"/>
  <c r="C490" i="12" s="1"/>
  <c r="A490" i="12"/>
  <c r="R489" i="12"/>
  <c r="Q489" i="12"/>
  <c r="P489" i="12"/>
  <c r="M489" i="12"/>
  <c r="B489" i="12"/>
  <c r="A489" i="12"/>
  <c r="R488" i="12"/>
  <c r="Q488" i="12"/>
  <c r="P488" i="12"/>
  <c r="M488" i="12"/>
  <c r="B488" i="12"/>
  <c r="A488" i="12"/>
  <c r="R487" i="12"/>
  <c r="Q487" i="12"/>
  <c r="P487" i="12"/>
  <c r="M487" i="12"/>
  <c r="B487" i="12"/>
  <c r="A487" i="12"/>
  <c r="R486" i="12"/>
  <c r="Q486" i="12"/>
  <c r="P486" i="12"/>
  <c r="M486" i="12"/>
  <c r="B486" i="12"/>
  <c r="C486" i="12" s="1"/>
  <c r="A486" i="12"/>
  <c r="R485" i="12"/>
  <c r="Q485" i="12"/>
  <c r="P485" i="12"/>
  <c r="M485" i="12"/>
  <c r="B485" i="12"/>
  <c r="A485" i="12"/>
  <c r="R484" i="12"/>
  <c r="Q484" i="12"/>
  <c r="P484" i="12"/>
  <c r="M484" i="12"/>
  <c r="B484" i="12"/>
  <c r="A484" i="12"/>
  <c r="R483" i="12"/>
  <c r="Q483" i="12"/>
  <c r="P483" i="12"/>
  <c r="M483" i="12"/>
  <c r="B483" i="12"/>
  <c r="A483" i="12"/>
  <c r="R482" i="12"/>
  <c r="Q482" i="12"/>
  <c r="P482" i="12"/>
  <c r="M482" i="12"/>
  <c r="B482" i="12"/>
  <c r="C482" i="12" s="1"/>
  <c r="A482" i="12"/>
  <c r="R481" i="12"/>
  <c r="Q481" i="12"/>
  <c r="P481" i="12"/>
  <c r="M481" i="12"/>
  <c r="B481" i="12"/>
  <c r="A481" i="12"/>
  <c r="R480" i="12"/>
  <c r="Q480" i="12"/>
  <c r="P480" i="12"/>
  <c r="M480" i="12"/>
  <c r="B480" i="12"/>
  <c r="A480" i="12"/>
  <c r="R479" i="12"/>
  <c r="Q479" i="12"/>
  <c r="P479" i="12"/>
  <c r="M479" i="12"/>
  <c r="B479" i="12"/>
  <c r="A479" i="12"/>
  <c r="R478" i="12"/>
  <c r="Q478" i="12"/>
  <c r="P478" i="12"/>
  <c r="M478" i="12"/>
  <c r="B478" i="12"/>
  <c r="A478" i="12"/>
  <c r="R477" i="12"/>
  <c r="Q477" i="12"/>
  <c r="P477" i="12"/>
  <c r="M477" i="12"/>
  <c r="B477" i="12"/>
  <c r="A477" i="12"/>
  <c r="R476" i="12"/>
  <c r="Q476" i="12"/>
  <c r="P476" i="12"/>
  <c r="M476" i="12"/>
  <c r="B476" i="12"/>
  <c r="A476" i="12"/>
  <c r="R475" i="12"/>
  <c r="Q475" i="12"/>
  <c r="P475" i="12"/>
  <c r="M475" i="12"/>
  <c r="B475" i="12"/>
  <c r="A475" i="12"/>
  <c r="R474" i="12"/>
  <c r="Q474" i="12"/>
  <c r="P474" i="12"/>
  <c r="M474" i="12"/>
  <c r="B474" i="12"/>
  <c r="C474" i="12" s="1"/>
  <c r="A474" i="12"/>
  <c r="R473" i="12"/>
  <c r="Q473" i="12"/>
  <c r="P473" i="12"/>
  <c r="M473" i="12"/>
  <c r="B473" i="12"/>
  <c r="A473" i="12"/>
  <c r="R472" i="12"/>
  <c r="Q472" i="12"/>
  <c r="P472" i="12"/>
  <c r="M472" i="12"/>
  <c r="B472" i="12"/>
  <c r="A472" i="12"/>
  <c r="R471" i="12"/>
  <c r="Q471" i="12"/>
  <c r="P471" i="12"/>
  <c r="M471" i="12"/>
  <c r="B471" i="12"/>
  <c r="A471" i="12"/>
  <c r="R470" i="12"/>
  <c r="Q470" i="12"/>
  <c r="P470" i="12"/>
  <c r="M470" i="12"/>
  <c r="B470" i="12"/>
  <c r="C470" i="12" s="1"/>
  <c r="A470" i="12"/>
  <c r="R469" i="12"/>
  <c r="Q469" i="12"/>
  <c r="P469" i="12"/>
  <c r="M469" i="12"/>
  <c r="B469" i="12"/>
  <c r="A469" i="12"/>
  <c r="R468" i="12"/>
  <c r="Q468" i="12"/>
  <c r="P468" i="12"/>
  <c r="M468" i="12"/>
  <c r="B468" i="12"/>
  <c r="A468" i="12"/>
  <c r="R467" i="12"/>
  <c r="Q467" i="12"/>
  <c r="P467" i="12"/>
  <c r="M467" i="12"/>
  <c r="B467" i="12"/>
  <c r="A467" i="12"/>
  <c r="R466" i="12"/>
  <c r="Q466" i="12"/>
  <c r="P466" i="12"/>
  <c r="M466" i="12"/>
  <c r="B466" i="12"/>
  <c r="A466" i="12"/>
  <c r="R465" i="12"/>
  <c r="Q465" i="12"/>
  <c r="P465" i="12"/>
  <c r="M465" i="12"/>
  <c r="B465" i="12"/>
  <c r="A465" i="12"/>
  <c r="R464" i="12"/>
  <c r="Q464" i="12"/>
  <c r="P464" i="12"/>
  <c r="M464" i="12"/>
  <c r="B464" i="12"/>
  <c r="A464" i="12"/>
  <c r="R463" i="12"/>
  <c r="Q463" i="12"/>
  <c r="P463" i="12"/>
  <c r="M463" i="12"/>
  <c r="B463" i="12"/>
  <c r="A463" i="12"/>
  <c r="R462" i="12"/>
  <c r="Q462" i="12"/>
  <c r="P462" i="12"/>
  <c r="M462" i="12"/>
  <c r="B462" i="12"/>
  <c r="A462" i="12"/>
  <c r="R461" i="12"/>
  <c r="Q461" i="12"/>
  <c r="P461" i="12"/>
  <c r="M461" i="12"/>
  <c r="B461" i="12"/>
  <c r="A461" i="12"/>
  <c r="R460" i="12"/>
  <c r="Q460" i="12"/>
  <c r="P460" i="12"/>
  <c r="M460" i="12"/>
  <c r="B460" i="12"/>
  <c r="A460" i="12"/>
  <c r="R459" i="12"/>
  <c r="Q459" i="12"/>
  <c r="P459" i="12"/>
  <c r="M459" i="12"/>
  <c r="B459" i="12"/>
  <c r="A459" i="12"/>
  <c r="R458" i="12"/>
  <c r="Q458" i="12"/>
  <c r="P458" i="12"/>
  <c r="M458" i="12"/>
  <c r="B458" i="12"/>
  <c r="C458" i="12" s="1"/>
  <c r="A458" i="12"/>
  <c r="R457" i="12"/>
  <c r="Q457" i="12"/>
  <c r="P457" i="12"/>
  <c r="M457" i="12"/>
  <c r="B457" i="12"/>
  <c r="A457" i="12"/>
  <c r="R456" i="12"/>
  <c r="Q456" i="12"/>
  <c r="P456" i="12"/>
  <c r="M456" i="12"/>
  <c r="B456" i="12"/>
  <c r="A456" i="12"/>
  <c r="R455" i="12"/>
  <c r="Q455" i="12"/>
  <c r="P455" i="12"/>
  <c r="M455" i="12"/>
  <c r="B455" i="12"/>
  <c r="A455" i="12"/>
  <c r="R454" i="12"/>
  <c r="Q454" i="12"/>
  <c r="P454" i="12"/>
  <c r="M454" i="12"/>
  <c r="B454" i="12"/>
  <c r="A454" i="12"/>
  <c r="R453" i="12"/>
  <c r="Q453" i="12"/>
  <c r="P453" i="12"/>
  <c r="M453" i="12"/>
  <c r="B453" i="12"/>
  <c r="A453" i="12"/>
  <c r="R452" i="12"/>
  <c r="Q452" i="12"/>
  <c r="P452" i="12"/>
  <c r="M452" i="12"/>
  <c r="B452" i="12"/>
  <c r="A452" i="12"/>
  <c r="R451" i="12"/>
  <c r="Q451" i="12"/>
  <c r="P451" i="12"/>
  <c r="M451" i="12"/>
  <c r="B451" i="12"/>
  <c r="A451" i="12"/>
  <c r="R450" i="12"/>
  <c r="Q450" i="12"/>
  <c r="P450" i="12"/>
  <c r="M450" i="12"/>
  <c r="B450" i="12"/>
  <c r="A450" i="12"/>
  <c r="R449" i="12"/>
  <c r="Q449" i="12"/>
  <c r="P449" i="12"/>
  <c r="M449" i="12"/>
  <c r="B449" i="12"/>
  <c r="A449" i="12"/>
  <c r="R448" i="12"/>
  <c r="Q448" i="12"/>
  <c r="P448" i="12"/>
  <c r="M448" i="12"/>
  <c r="B448" i="12"/>
  <c r="A448" i="12"/>
  <c r="R447" i="12"/>
  <c r="Q447" i="12"/>
  <c r="P447" i="12"/>
  <c r="M447" i="12"/>
  <c r="B447" i="12"/>
  <c r="A447" i="12"/>
  <c r="R446" i="12"/>
  <c r="Q446" i="12"/>
  <c r="P446" i="12"/>
  <c r="M446" i="12"/>
  <c r="B446" i="12"/>
  <c r="A446" i="12"/>
  <c r="R445" i="12"/>
  <c r="Q445" i="12"/>
  <c r="P445" i="12"/>
  <c r="M445" i="12"/>
  <c r="B445" i="12"/>
  <c r="A445" i="12"/>
  <c r="R444" i="12"/>
  <c r="Q444" i="12"/>
  <c r="P444" i="12"/>
  <c r="M444" i="12"/>
  <c r="B444" i="12"/>
  <c r="A444" i="12"/>
  <c r="R443" i="12"/>
  <c r="Q443" i="12"/>
  <c r="P443" i="12"/>
  <c r="M443" i="12"/>
  <c r="B443" i="12"/>
  <c r="A443" i="12"/>
  <c r="R442" i="12"/>
  <c r="Q442" i="12"/>
  <c r="P442" i="12"/>
  <c r="M442" i="12"/>
  <c r="B442" i="12"/>
  <c r="A442" i="12"/>
  <c r="R441" i="12"/>
  <c r="Q441" i="12"/>
  <c r="P441" i="12"/>
  <c r="M441" i="12"/>
  <c r="B441" i="12"/>
  <c r="A441" i="12"/>
  <c r="R440" i="12"/>
  <c r="Q440" i="12"/>
  <c r="P440" i="12"/>
  <c r="M440" i="12"/>
  <c r="B440" i="12"/>
  <c r="A440" i="12"/>
  <c r="R439" i="12"/>
  <c r="Q439" i="12"/>
  <c r="P439" i="12"/>
  <c r="M439" i="12"/>
  <c r="B439" i="12"/>
  <c r="A439" i="12"/>
  <c r="R438" i="12"/>
  <c r="Q438" i="12"/>
  <c r="P438" i="12"/>
  <c r="M438" i="12"/>
  <c r="B438" i="12"/>
  <c r="A438" i="12"/>
  <c r="R437" i="12"/>
  <c r="Q437" i="12"/>
  <c r="P437" i="12"/>
  <c r="M437" i="12"/>
  <c r="B437" i="12"/>
  <c r="A437" i="12"/>
  <c r="R436" i="12"/>
  <c r="Q436" i="12"/>
  <c r="P436" i="12"/>
  <c r="M436" i="12"/>
  <c r="B436" i="12"/>
  <c r="A436" i="12"/>
  <c r="R435" i="12"/>
  <c r="Q435" i="12"/>
  <c r="P435" i="12"/>
  <c r="M435" i="12"/>
  <c r="B435" i="12"/>
  <c r="A435" i="12"/>
  <c r="R434" i="12"/>
  <c r="Q434" i="12"/>
  <c r="P434" i="12"/>
  <c r="M434" i="12"/>
  <c r="B434" i="12"/>
  <c r="C434" i="12" s="1"/>
  <c r="A434" i="12"/>
  <c r="R433" i="12"/>
  <c r="Q433" i="12"/>
  <c r="P433" i="12"/>
  <c r="M433" i="12"/>
  <c r="B433" i="12"/>
  <c r="A433" i="12"/>
  <c r="R432" i="12"/>
  <c r="Q432" i="12"/>
  <c r="P432" i="12"/>
  <c r="M432" i="12"/>
  <c r="B432" i="12"/>
  <c r="A432" i="12"/>
  <c r="R431" i="12"/>
  <c r="Q431" i="12"/>
  <c r="P431" i="12"/>
  <c r="M431" i="12"/>
  <c r="B431" i="12"/>
  <c r="A431" i="12"/>
  <c r="R430" i="12"/>
  <c r="Q430" i="12"/>
  <c r="P430" i="12"/>
  <c r="M430" i="12"/>
  <c r="B430" i="12"/>
  <c r="C430" i="12" s="1"/>
  <c r="A430" i="12"/>
  <c r="R429" i="12"/>
  <c r="Q429" i="12"/>
  <c r="P429" i="12"/>
  <c r="M429" i="12"/>
  <c r="B429" i="12"/>
  <c r="A429" i="12"/>
  <c r="R428" i="12"/>
  <c r="Q428" i="12"/>
  <c r="P428" i="12"/>
  <c r="M428" i="12"/>
  <c r="B428" i="12"/>
  <c r="A428" i="12"/>
  <c r="R427" i="12"/>
  <c r="Q427" i="12"/>
  <c r="P427" i="12"/>
  <c r="M427" i="12"/>
  <c r="B427" i="12"/>
  <c r="A427" i="12"/>
  <c r="R426" i="12"/>
  <c r="Q426" i="12"/>
  <c r="P426" i="12"/>
  <c r="M426" i="12"/>
  <c r="B426" i="12"/>
  <c r="C426" i="12" s="1"/>
  <c r="A426" i="12"/>
  <c r="R425" i="12"/>
  <c r="Q425" i="12"/>
  <c r="P425" i="12"/>
  <c r="M425" i="12"/>
  <c r="B425" i="12"/>
  <c r="A425" i="12"/>
  <c r="R424" i="12"/>
  <c r="Q424" i="12"/>
  <c r="P424" i="12"/>
  <c r="M424" i="12"/>
  <c r="B424" i="12"/>
  <c r="A424" i="12"/>
  <c r="R423" i="12"/>
  <c r="Q423" i="12"/>
  <c r="P423" i="12"/>
  <c r="M423" i="12"/>
  <c r="B423" i="12"/>
  <c r="A423" i="12"/>
  <c r="R422" i="12"/>
  <c r="Q422" i="12"/>
  <c r="P422" i="12"/>
  <c r="M422" i="12"/>
  <c r="B422" i="12"/>
  <c r="A422" i="12"/>
  <c r="R421" i="12"/>
  <c r="Q421" i="12"/>
  <c r="P421" i="12"/>
  <c r="M421" i="12"/>
  <c r="B421" i="12"/>
  <c r="A421" i="12"/>
  <c r="R420" i="12"/>
  <c r="Q420" i="12"/>
  <c r="P420" i="12"/>
  <c r="M420" i="12"/>
  <c r="B420" i="12"/>
  <c r="A420" i="12"/>
  <c r="R419" i="12"/>
  <c r="Q419" i="12"/>
  <c r="P419" i="12"/>
  <c r="M419" i="12"/>
  <c r="B419" i="12"/>
  <c r="A419" i="12"/>
  <c r="R418" i="12"/>
  <c r="Q418" i="12"/>
  <c r="P418" i="12"/>
  <c r="M418" i="12"/>
  <c r="B418" i="12"/>
  <c r="A418" i="12"/>
  <c r="R417" i="12"/>
  <c r="Q417" i="12"/>
  <c r="P417" i="12"/>
  <c r="M417" i="12"/>
  <c r="B417" i="12"/>
  <c r="A417" i="12"/>
  <c r="R416" i="12"/>
  <c r="Q416" i="12"/>
  <c r="P416" i="12"/>
  <c r="M416" i="12"/>
  <c r="B416" i="12"/>
  <c r="A416" i="12"/>
  <c r="R415" i="12"/>
  <c r="Q415" i="12"/>
  <c r="P415" i="12"/>
  <c r="M415" i="12"/>
  <c r="B415" i="12"/>
  <c r="A415" i="12"/>
  <c r="R414" i="12"/>
  <c r="Q414" i="12"/>
  <c r="P414" i="12"/>
  <c r="M414" i="12"/>
  <c r="B414" i="12"/>
  <c r="A414" i="12"/>
  <c r="R413" i="12"/>
  <c r="Q413" i="12"/>
  <c r="P413" i="12"/>
  <c r="M413" i="12"/>
  <c r="B413" i="12"/>
  <c r="A413" i="12"/>
  <c r="R412" i="12"/>
  <c r="Q412" i="12"/>
  <c r="P412" i="12"/>
  <c r="M412" i="12"/>
  <c r="B412" i="12"/>
  <c r="A412" i="12"/>
  <c r="R411" i="12"/>
  <c r="Q411" i="12"/>
  <c r="P411" i="12"/>
  <c r="M411" i="12"/>
  <c r="B411" i="12"/>
  <c r="A411" i="12"/>
  <c r="R410" i="12"/>
  <c r="Q410" i="12"/>
  <c r="P410" i="12"/>
  <c r="M410" i="12"/>
  <c r="B410" i="12"/>
  <c r="A410" i="12"/>
  <c r="R409" i="12"/>
  <c r="Q409" i="12"/>
  <c r="P409" i="12"/>
  <c r="M409" i="12"/>
  <c r="B409" i="12"/>
  <c r="A409" i="12"/>
  <c r="R408" i="12"/>
  <c r="Q408" i="12"/>
  <c r="P408" i="12"/>
  <c r="M408" i="12"/>
  <c r="B408" i="12"/>
  <c r="A408" i="12"/>
  <c r="R407" i="12"/>
  <c r="Q407" i="12"/>
  <c r="P407" i="12"/>
  <c r="M407" i="12"/>
  <c r="B407" i="12"/>
  <c r="A407" i="12"/>
  <c r="R406" i="12"/>
  <c r="Q406" i="12"/>
  <c r="P406" i="12"/>
  <c r="M406" i="12"/>
  <c r="B406" i="12"/>
  <c r="A406" i="12"/>
  <c r="R405" i="12"/>
  <c r="Q405" i="12"/>
  <c r="P405" i="12"/>
  <c r="M405" i="12"/>
  <c r="B405" i="12"/>
  <c r="A405" i="12"/>
  <c r="R404" i="12"/>
  <c r="Q404" i="12"/>
  <c r="P404" i="12"/>
  <c r="M404" i="12"/>
  <c r="B404" i="12"/>
  <c r="A404" i="12"/>
  <c r="R403" i="12"/>
  <c r="Q403" i="12"/>
  <c r="P403" i="12"/>
  <c r="M403" i="12"/>
  <c r="B403" i="12"/>
  <c r="A403" i="12"/>
  <c r="R402" i="12"/>
  <c r="Q402" i="12"/>
  <c r="P402" i="12"/>
  <c r="M402" i="12"/>
  <c r="B402" i="12"/>
  <c r="C402" i="12" s="1"/>
  <c r="A402" i="12"/>
  <c r="R401" i="12"/>
  <c r="Q401" i="12"/>
  <c r="P401" i="12"/>
  <c r="M401" i="12"/>
  <c r="B401" i="12"/>
  <c r="A401" i="12"/>
  <c r="R400" i="12"/>
  <c r="Q400" i="12"/>
  <c r="P400" i="12"/>
  <c r="M400" i="12"/>
  <c r="B400" i="12"/>
  <c r="C400" i="12" s="1"/>
  <c r="A400" i="12"/>
  <c r="R399" i="12"/>
  <c r="Q399" i="12"/>
  <c r="P399" i="12"/>
  <c r="M399" i="12"/>
  <c r="B399" i="12"/>
  <c r="A399" i="12"/>
  <c r="R398" i="12"/>
  <c r="Q398" i="12"/>
  <c r="P398" i="12"/>
  <c r="M398" i="12"/>
  <c r="B398" i="12"/>
  <c r="A398" i="12"/>
  <c r="R397" i="12"/>
  <c r="Q397" i="12"/>
  <c r="P397" i="12"/>
  <c r="M397" i="12"/>
  <c r="B397" i="12"/>
  <c r="A397" i="12"/>
  <c r="R396" i="12"/>
  <c r="Q396" i="12"/>
  <c r="P396" i="12"/>
  <c r="M396" i="12"/>
  <c r="B396" i="12"/>
  <c r="C396" i="12" s="1"/>
  <c r="A396" i="12"/>
  <c r="R395" i="12"/>
  <c r="Q395" i="12"/>
  <c r="P395" i="12"/>
  <c r="M395" i="12"/>
  <c r="B395" i="12"/>
  <c r="A395" i="12"/>
  <c r="R394" i="12"/>
  <c r="Q394" i="12"/>
  <c r="P394" i="12"/>
  <c r="M394" i="12"/>
  <c r="B394" i="12"/>
  <c r="A394" i="12"/>
  <c r="R393" i="12"/>
  <c r="Q393" i="12"/>
  <c r="P393" i="12"/>
  <c r="M393" i="12"/>
  <c r="B393" i="12"/>
  <c r="A393" i="12"/>
  <c r="R392" i="12"/>
  <c r="Q392" i="12"/>
  <c r="P392" i="12"/>
  <c r="M392" i="12"/>
  <c r="B392" i="12"/>
  <c r="C392" i="12" s="1"/>
  <c r="A392" i="12"/>
  <c r="R391" i="12"/>
  <c r="Q391" i="12"/>
  <c r="P391" i="12"/>
  <c r="M391" i="12"/>
  <c r="B391" i="12"/>
  <c r="A391" i="12"/>
  <c r="R390" i="12"/>
  <c r="Q390" i="12"/>
  <c r="P390" i="12"/>
  <c r="M390" i="12"/>
  <c r="B390" i="12"/>
  <c r="A390" i="12"/>
  <c r="R389" i="12"/>
  <c r="Q389" i="12"/>
  <c r="P389" i="12"/>
  <c r="M389" i="12"/>
  <c r="B389" i="12"/>
  <c r="A389" i="12"/>
  <c r="R388" i="12"/>
  <c r="Q388" i="12"/>
  <c r="P388" i="12"/>
  <c r="M388" i="12"/>
  <c r="B388" i="12"/>
  <c r="A388" i="12"/>
  <c r="R387" i="12"/>
  <c r="Q387" i="12"/>
  <c r="P387" i="12"/>
  <c r="M387" i="12"/>
  <c r="B387" i="12"/>
  <c r="A387" i="12"/>
  <c r="R386" i="12"/>
  <c r="Q386" i="12"/>
  <c r="P386" i="12"/>
  <c r="M386" i="12"/>
  <c r="B386" i="12"/>
  <c r="A386" i="12"/>
  <c r="R385" i="12"/>
  <c r="Q385" i="12"/>
  <c r="P385" i="12"/>
  <c r="M385" i="12"/>
  <c r="B385" i="12"/>
  <c r="A385" i="12"/>
  <c r="R384" i="12"/>
  <c r="Q384" i="12"/>
  <c r="P384" i="12"/>
  <c r="M384" i="12"/>
  <c r="B384" i="12"/>
  <c r="A384" i="12"/>
  <c r="R383" i="12"/>
  <c r="Q383" i="12"/>
  <c r="P383" i="12"/>
  <c r="M383" i="12"/>
  <c r="B383" i="12"/>
  <c r="A383" i="12"/>
  <c r="R382" i="12"/>
  <c r="Q382" i="12"/>
  <c r="P382" i="12"/>
  <c r="M382" i="12"/>
  <c r="B382" i="12"/>
  <c r="A382" i="12"/>
  <c r="R381" i="12"/>
  <c r="Q381" i="12"/>
  <c r="P381" i="12"/>
  <c r="M381" i="12"/>
  <c r="B381" i="12"/>
  <c r="A381" i="12"/>
  <c r="R380" i="12"/>
  <c r="Q380" i="12"/>
  <c r="P380" i="12"/>
  <c r="M380" i="12"/>
  <c r="B380" i="12"/>
  <c r="A380" i="12"/>
  <c r="R379" i="12"/>
  <c r="Q379" i="12"/>
  <c r="P379" i="12"/>
  <c r="M379" i="12"/>
  <c r="B379" i="12"/>
  <c r="A379" i="12"/>
  <c r="R378" i="12"/>
  <c r="Q378" i="12"/>
  <c r="P378" i="12"/>
  <c r="M378" i="12"/>
  <c r="B378" i="12"/>
  <c r="A378" i="12"/>
  <c r="R377" i="12"/>
  <c r="Q377" i="12"/>
  <c r="P377" i="12"/>
  <c r="M377" i="12"/>
  <c r="B377" i="12"/>
  <c r="A377" i="12"/>
  <c r="R376" i="12"/>
  <c r="Q376" i="12"/>
  <c r="P376" i="12"/>
  <c r="M376" i="12"/>
  <c r="B376" i="12"/>
  <c r="A376" i="12"/>
  <c r="R375" i="12"/>
  <c r="Q375" i="12"/>
  <c r="P375" i="12"/>
  <c r="M375" i="12"/>
  <c r="B375" i="12"/>
  <c r="A375" i="12"/>
  <c r="R374" i="12"/>
  <c r="Q374" i="12"/>
  <c r="P374" i="12"/>
  <c r="M374" i="12"/>
  <c r="B374" i="12"/>
  <c r="A374" i="12"/>
  <c r="R373" i="12"/>
  <c r="Q373" i="12"/>
  <c r="P373" i="12"/>
  <c r="M373" i="12"/>
  <c r="B373" i="12"/>
  <c r="A373" i="12"/>
  <c r="R372" i="12"/>
  <c r="Q372" i="12"/>
  <c r="P372" i="12"/>
  <c r="M372" i="12"/>
  <c r="B372" i="12"/>
  <c r="A372" i="12"/>
  <c r="R371" i="12"/>
  <c r="Q371" i="12"/>
  <c r="P371" i="12"/>
  <c r="M371" i="12"/>
  <c r="B371" i="12"/>
  <c r="A371" i="12"/>
  <c r="R370" i="12"/>
  <c r="Q370" i="12"/>
  <c r="P370" i="12"/>
  <c r="M370" i="12"/>
  <c r="B370" i="12"/>
  <c r="A370" i="12"/>
  <c r="R369" i="12"/>
  <c r="Q369" i="12"/>
  <c r="P369" i="12"/>
  <c r="M369" i="12"/>
  <c r="B369" i="12"/>
  <c r="A369" i="12"/>
  <c r="R368" i="12"/>
  <c r="Q368" i="12"/>
  <c r="P368" i="12"/>
  <c r="M368" i="12"/>
  <c r="B368" i="12"/>
  <c r="A368" i="12"/>
  <c r="R367" i="12"/>
  <c r="Q367" i="12"/>
  <c r="P367" i="12"/>
  <c r="M367" i="12"/>
  <c r="B367" i="12"/>
  <c r="A367" i="12"/>
  <c r="R366" i="12"/>
  <c r="Q366" i="12"/>
  <c r="P366" i="12"/>
  <c r="M366" i="12"/>
  <c r="B366" i="12"/>
  <c r="A366" i="12"/>
  <c r="R365" i="12"/>
  <c r="Q365" i="12"/>
  <c r="P365" i="12"/>
  <c r="M365" i="12"/>
  <c r="B365" i="12"/>
  <c r="A365" i="12"/>
  <c r="R364" i="12"/>
  <c r="Q364" i="12"/>
  <c r="P364" i="12"/>
  <c r="M364" i="12"/>
  <c r="B364" i="12"/>
  <c r="A364" i="12"/>
  <c r="R363" i="12"/>
  <c r="Q363" i="12"/>
  <c r="P363" i="12"/>
  <c r="M363" i="12"/>
  <c r="B363" i="12"/>
  <c r="A363" i="12"/>
  <c r="R362" i="12"/>
  <c r="Q362" i="12"/>
  <c r="P362" i="12"/>
  <c r="M362" i="12"/>
  <c r="B362" i="12"/>
  <c r="A362" i="12"/>
  <c r="R361" i="12"/>
  <c r="Q361" i="12"/>
  <c r="P361" i="12"/>
  <c r="M361" i="12"/>
  <c r="B361" i="12"/>
  <c r="A361" i="12"/>
  <c r="R360" i="12"/>
  <c r="Q360" i="12"/>
  <c r="P360" i="12"/>
  <c r="M360" i="12"/>
  <c r="B360" i="12"/>
  <c r="C360" i="12" s="1"/>
  <c r="A360" i="12"/>
  <c r="R359" i="12"/>
  <c r="Q359" i="12"/>
  <c r="P359" i="12"/>
  <c r="M359" i="12"/>
  <c r="B359" i="12"/>
  <c r="A359" i="12"/>
  <c r="R358" i="12"/>
  <c r="Q358" i="12"/>
  <c r="P358" i="12"/>
  <c r="M358" i="12"/>
  <c r="B358" i="12"/>
  <c r="A358" i="12"/>
  <c r="R357" i="12"/>
  <c r="Q357" i="12"/>
  <c r="P357" i="12"/>
  <c r="M357" i="12"/>
  <c r="B357" i="12"/>
  <c r="A357" i="12"/>
  <c r="R356" i="12"/>
  <c r="Q356" i="12"/>
  <c r="P356" i="12"/>
  <c r="M356" i="12"/>
  <c r="B356" i="12"/>
  <c r="A356" i="12"/>
  <c r="R355" i="12"/>
  <c r="Q355" i="12"/>
  <c r="P355" i="12"/>
  <c r="M355" i="12"/>
  <c r="B355" i="12"/>
  <c r="A355" i="12"/>
  <c r="R354" i="12"/>
  <c r="Q354" i="12"/>
  <c r="P354" i="12"/>
  <c r="M354" i="12"/>
  <c r="B354" i="12"/>
  <c r="A354" i="12"/>
  <c r="R353" i="12"/>
  <c r="Q353" i="12"/>
  <c r="P353" i="12"/>
  <c r="M353" i="12"/>
  <c r="B353" i="12"/>
  <c r="A353" i="12"/>
  <c r="R352" i="12"/>
  <c r="Q352" i="12"/>
  <c r="P352" i="12"/>
  <c r="M352" i="12"/>
  <c r="B352" i="12"/>
  <c r="A352" i="12"/>
  <c r="R351" i="12"/>
  <c r="Q351" i="12"/>
  <c r="P351" i="12"/>
  <c r="M351" i="12"/>
  <c r="B351" i="12"/>
  <c r="A351" i="12"/>
  <c r="R350" i="12"/>
  <c r="Q350" i="12"/>
  <c r="P350" i="12"/>
  <c r="M350" i="12"/>
  <c r="B350" i="12"/>
  <c r="A350" i="12"/>
  <c r="R349" i="12"/>
  <c r="Q349" i="12"/>
  <c r="P349" i="12"/>
  <c r="M349" i="12"/>
  <c r="B349" i="12"/>
  <c r="A349" i="12"/>
  <c r="R348" i="12"/>
  <c r="Q348" i="12"/>
  <c r="P348" i="12"/>
  <c r="M348" i="12"/>
  <c r="B348" i="12"/>
  <c r="C348" i="12" s="1"/>
  <c r="A348" i="12"/>
  <c r="R347" i="12"/>
  <c r="Q347" i="12"/>
  <c r="P347" i="12"/>
  <c r="M347" i="12"/>
  <c r="B347" i="12"/>
  <c r="A347" i="12"/>
  <c r="R346" i="12"/>
  <c r="Q346" i="12"/>
  <c r="P346" i="12"/>
  <c r="M346" i="12"/>
  <c r="B346" i="12"/>
  <c r="A346" i="12"/>
  <c r="R345" i="12"/>
  <c r="Q345" i="12"/>
  <c r="P345" i="12"/>
  <c r="M345" i="12"/>
  <c r="B345" i="12"/>
  <c r="A345" i="12"/>
  <c r="R344" i="12"/>
  <c r="Q344" i="12"/>
  <c r="P344" i="12"/>
  <c r="M344" i="12"/>
  <c r="B344" i="12"/>
  <c r="A344" i="12"/>
  <c r="R343" i="12"/>
  <c r="Q343" i="12"/>
  <c r="P343" i="12"/>
  <c r="M343" i="12"/>
  <c r="B343" i="12"/>
  <c r="A343" i="12"/>
  <c r="R342" i="12"/>
  <c r="Q342" i="12"/>
  <c r="P342" i="12"/>
  <c r="M342" i="12"/>
  <c r="B342" i="12"/>
  <c r="A342" i="12"/>
  <c r="R341" i="12"/>
  <c r="Q341" i="12"/>
  <c r="P341" i="12"/>
  <c r="M341" i="12"/>
  <c r="B341" i="12"/>
  <c r="A341" i="12"/>
  <c r="R340" i="12"/>
  <c r="Q340" i="12"/>
  <c r="P340" i="12"/>
  <c r="M340" i="12"/>
  <c r="B340" i="12"/>
  <c r="A340" i="12"/>
  <c r="R339" i="12"/>
  <c r="Q339" i="12"/>
  <c r="P339" i="12"/>
  <c r="M339" i="12"/>
  <c r="B339" i="12"/>
  <c r="A339" i="12"/>
  <c r="R338" i="12"/>
  <c r="Q338" i="12"/>
  <c r="P338" i="12"/>
  <c r="M338" i="12"/>
  <c r="B338" i="12"/>
  <c r="A338" i="12"/>
  <c r="R337" i="12"/>
  <c r="Q337" i="12"/>
  <c r="P337" i="12"/>
  <c r="M337" i="12"/>
  <c r="B337" i="12"/>
  <c r="A337" i="12"/>
  <c r="R336" i="12"/>
  <c r="Q336" i="12"/>
  <c r="P336" i="12"/>
  <c r="M336" i="12"/>
  <c r="B336" i="12"/>
  <c r="A336" i="12"/>
  <c r="R335" i="12"/>
  <c r="Q335" i="12"/>
  <c r="P335" i="12"/>
  <c r="M335" i="12"/>
  <c r="B335" i="12"/>
  <c r="A335" i="12"/>
  <c r="R334" i="12"/>
  <c r="Q334" i="12"/>
  <c r="P334" i="12"/>
  <c r="M334" i="12"/>
  <c r="B334" i="12"/>
  <c r="A334" i="12"/>
  <c r="R333" i="12"/>
  <c r="Q333" i="12"/>
  <c r="P333" i="12"/>
  <c r="M333" i="12"/>
  <c r="B333" i="12"/>
  <c r="A333" i="12"/>
  <c r="R332" i="12"/>
  <c r="Q332" i="12"/>
  <c r="P332" i="12"/>
  <c r="M332" i="12"/>
  <c r="B332" i="12"/>
  <c r="A332" i="12"/>
  <c r="R331" i="12"/>
  <c r="Q331" i="12"/>
  <c r="P331" i="12"/>
  <c r="M331" i="12"/>
  <c r="B331" i="12"/>
  <c r="A331" i="12"/>
  <c r="R330" i="12"/>
  <c r="Q330" i="12"/>
  <c r="P330" i="12"/>
  <c r="M330" i="12"/>
  <c r="B330" i="12"/>
  <c r="A330" i="12"/>
  <c r="R329" i="12"/>
  <c r="Q329" i="12"/>
  <c r="P329" i="12"/>
  <c r="M329" i="12"/>
  <c r="B329" i="12"/>
  <c r="A329" i="12"/>
  <c r="R328" i="12"/>
  <c r="Q328" i="12"/>
  <c r="P328" i="12"/>
  <c r="M328" i="12"/>
  <c r="B328" i="12"/>
  <c r="A328" i="12"/>
  <c r="R327" i="12"/>
  <c r="Q327" i="12"/>
  <c r="P327" i="12"/>
  <c r="M327" i="12"/>
  <c r="B327" i="12"/>
  <c r="A327" i="12"/>
  <c r="R326" i="12"/>
  <c r="Q326" i="12"/>
  <c r="P326" i="12"/>
  <c r="M326" i="12"/>
  <c r="B326" i="12"/>
  <c r="A326" i="12"/>
  <c r="R325" i="12"/>
  <c r="Q325" i="12"/>
  <c r="P325" i="12"/>
  <c r="M325" i="12"/>
  <c r="B325" i="12"/>
  <c r="A325" i="12"/>
  <c r="R324" i="12"/>
  <c r="Q324" i="12"/>
  <c r="P324" i="12"/>
  <c r="M324" i="12"/>
  <c r="B324" i="12"/>
  <c r="A324" i="12"/>
  <c r="R323" i="12"/>
  <c r="Q323" i="12"/>
  <c r="P323" i="12"/>
  <c r="M323" i="12"/>
  <c r="B323" i="12"/>
  <c r="A323" i="12"/>
  <c r="R322" i="12"/>
  <c r="Q322" i="12"/>
  <c r="P322" i="12"/>
  <c r="M322" i="12"/>
  <c r="B322" i="12"/>
  <c r="A322" i="12"/>
  <c r="R321" i="12"/>
  <c r="Q321" i="12"/>
  <c r="P321" i="12"/>
  <c r="M321" i="12"/>
  <c r="B321" i="12"/>
  <c r="A321" i="12"/>
  <c r="R320" i="12"/>
  <c r="Q320" i="12"/>
  <c r="P320" i="12"/>
  <c r="M320" i="12"/>
  <c r="B320" i="12"/>
  <c r="A320" i="12"/>
  <c r="R319" i="12"/>
  <c r="Q319" i="12"/>
  <c r="P319" i="12"/>
  <c r="M319" i="12"/>
  <c r="B319" i="12"/>
  <c r="A319" i="12"/>
  <c r="R318" i="12"/>
  <c r="Q318" i="12"/>
  <c r="P318" i="12"/>
  <c r="M318" i="12"/>
  <c r="B318" i="12"/>
  <c r="A318" i="12"/>
  <c r="R317" i="12"/>
  <c r="Q317" i="12"/>
  <c r="P317" i="12"/>
  <c r="M317" i="12"/>
  <c r="B317" i="12"/>
  <c r="A317" i="12"/>
  <c r="R316" i="12"/>
  <c r="Q316" i="12"/>
  <c r="P316" i="12"/>
  <c r="M316" i="12"/>
  <c r="B316" i="12"/>
  <c r="A316" i="12"/>
  <c r="R315" i="12"/>
  <c r="Q315" i="12"/>
  <c r="P315" i="12"/>
  <c r="M315" i="12"/>
  <c r="B315" i="12"/>
  <c r="A315" i="12"/>
  <c r="R314" i="12"/>
  <c r="Q314" i="12"/>
  <c r="P314" i="12"/>
  <c r="M314" i="12"/>
  <c r="B314" i="12"/>
  <c r="A314" i="12"/>
  <c r="R313" i="12"/>
  <c r="Q313" i="12"/>
  <c r="P313" i="12"/>
  <c r="M313" i="12"/>
  <c r="B313" i="12"/>
  <c r="A313" i="12"/>
  <c r="R312" i="12"/>
  <c r="Q312" i="12"/>
  <c r="P312" i="12"/>
  <c r="M312" i="12"/>
  <c r="B312" i="12"/>
  <c r="A312" i="12"/>
  <c r="R311" i="12"/>
  <c r="Q311" i="12"/>
  <c r="P311" i="12"/>
  <c r="M311" i="12"/>
  <c r="B311" i="12"/>
  <c r="A311" i="12"/>
  <c r="R310" i="12"/>
  <c r="Q310" i="12"/>
  <c r="P310" i="12"/>
  <c r="M310" i="12"/>
  <c r="B310" i="12"/>
  <c r="A310" i="12"/>
  <c r="R309" i="12"/>
  <c r="Q309" i="12"/>
  <c r="P309" i="12"/>
  <c r="M309" i="12"/>
  <c r="B309" i="12"/>
  <c r="A309" i="12"/>
  <c r="R308" i="12"/>
  <c r="Q308" i="12"/>
  <c r="P308" i="12"/>
  <c r="M308" i="12"/>
  <c r="B308" i="12"/>
  <c r="A308" i="12"/>
  <c r="R307" i="12"/>
  <c r="Q307" i="12"/>
  <c r="P307" i="12"/>
  <c r="M307" i="12"/>
  <c r="B307" i="12"/>
  <c r="A307" i="12"/>
  <c r="R306" i="12"/>
  <c r="Q306" i="12"/>
  <c r="P306" i="12"/>
  <c r="M306" i="12"/>
  <c r="B306" i="12"/>
  <c r="A306" i="12"/>
  <c r="R305" i="12"/>
  <c r="Q305" i="12"/>
  <c r="P305" i="12"/>
  <c r="M305" i="12"/>
  <c r="B305" i="12"/>
  <c r="A305" i="12"/>
  <c r="R304" i="12"/>
  <c r="Q304" i="12"/>
  <c r="P304" i="12"/>
  <c r="M304" i="12"/>
  <c r="B304" i="12"/>
  <c r="A304" i="12"/>
  <c r="R303" i="12"/>
  <c r="Q303" i="12"/>
  <c r="P303" i="12"/>
  <c r="M303" i="12"/>
  <c r="B303" i="12"/>
  <c r="A303" i="12"/>
  <c r="R302" i="12"/>
  <c r="Q302" i="12"/>
  <c r="P302" i="12"/>
  <c r="M302" i="12"/>
  <c r="B302" i="12"/>
  <c r="A302" i="12"/>
  <c r="R301" i="12"/>
  <c r="Q301" i="12"/>
  <c r="P301" i="12"/>
  <c r="M301" i="12"/>
  <c r="B301" i="12"/>
  <c r="A301" i="12"/>
  <c r="R300" i="12"/>
  <c r="Q300" i="12"/>
  <c r="P300" i="12"/>
  <c r="M300" i="12"/>
  <c r="B300" i="12"/>
  <c r="A300" i="12"/>
  <c r="R299" i="12"/>
  <c r="Q299" i="12"/>
  <c r="P299" i="12"/>
  <c r="M299" i="12"/>
  <c r="B299" i="12"/>
  <c r="A299" i="12"/>
  <c r="R298" i="12"/>
  <c r="Q298" i="12"/>
  <c r="P298" i="12"/>
  <c r="M298" i="12"/>
  <c r="B298" i="12"/>
  <c r="A298" i="12"/>
  <c r="R297" i="12"/>
  <c r="Q297" i="12"/>
  <c r="P297" i="12"/>
  <c r="M297" i="12"/>
  <c r="B297" i="12"/>
  <c r="A297" i="12"/>
  <c r="R296" i="12"/>
  <c r="Q296" i="12"/>
  <c r="P296" i="12"/>
  <c r="M296" i="12"/>
  <c r="B296" i="12"/>
  <c r="A296" i="12"/>
  <c r="R295" i="12"/>
  <c r="Q295" i="12"/>
  <c r="P295" i="12"/>
  <c r="M295" i="12"/>
  <c r="B295" i="12"/>
  <c r="A295" i="12"/>
  <c r="R294" i="12"/>
  <c r="Q294" i="12"/>
  <c r="P294" i="12"/>
  <c r="M294" i="12"/>
  <c r="B294" i="12"/>
  <c r="A294" i="12"/>
  <c r="R293" i="12"/>
  <c r="Q293" i="12"/>
  <c r="P293" i="12"/>
  <c r="M293" i="12"/>
  <c r="B293" i="12"/>
  <c r="A293" i="12"/>
  <c r="R292" i="12"/>
  <c r="Q292" i="12"/>
  <c r="P292" i="12"/>
  <c r="M292" i="12"/>
  <c r="B292" i="12"/>
  <c r="C293" i="12" s="1"/>
  <c r="A292" i="12"/>
  <c r="R291" i="12"/>
  <c r="Q291" i="12"/>
  <c r="P291" i="12"/>
  <c r="M291" i="12"/>
  <c r="B291" i="12"/>
  <c r="A291" i="12"/>
  <c r="R290" i="12"/>
  <c r="Q290" i="12"/>
  <c r="P290" i="12"/>
  <c r="M290" i="12"/>
  <c r="B290" i="12"/>
  <c r="A290" i="12"/>
  <c r="R289" i="12"/>
  <c r="Q289" i="12"/>
  <c r="P289" i="12"/>
  <c r="M289" i="12"/>
  <c r="B289" i="12"/>
  <c r="A289" i="12"/>
  <c r="R288" i="12"/>
  <c r="Q288" i="12"/>
  <c r="P288" i="12"/>
  <c r="M288" i="12"/>
  <c r="B288" i="12"/>
  <c r="A288" i="12"/>
  <c r="R287" i="12"/>
  <c r="Q287" i="12"/>
  <c r="P287" i="12"/>
  <c r="M287" i="12"/>
  <c r="B287" i="12"/>
  <c r="A287" i="12"/>
  <c r="R286" i="12"/>
  <c r="Q286" i="12"/>
  <c r="P286" i="12"/>
  <c r="M286" i="12"/>
  <c r="B286" i="12"/>
  <c r="A286" i="12"/>
  <c r="R285" i="12"/>
  <c r="Q285" i="12"/>
  <c r="P285" i="12"/>
  <c r="M285" i="12"/>
  <c r="B285" i="12"/>
  <c r="A285" i="12"/>
  <c r="R284" i="12"/>
  <c r="Q284" i="12"/>
  <c r="P284" i="12"/>
  <c r="M284" i="12"/>
  <c r="B284" i="12"/>
  <c r="A284" i="12"/>
  <c r="R283" i="12"/>
  <c r="Q283" i="12"/>
  <c r="P283" i="12"/>
  <c r="M283" i="12"/>
  <c r="B283" i="12"/>
  <c r="A283" i="12"/>
  <c r="R282" i="12"/>
  <c r="Q282" i="12"/>
  <c r="P282" i="12"/>
  <c r="M282" i="12"/>
  <c r="B282" i="12"/>
  <c r="A282" i="12"/>
  <c r="R281" i="12"/>
  <c r="Q281" i="12"/>
  <c r="P281" i="12"/>
  <c r="M281" i="12"/>
  <c r="B281" i="12"/>
  <c r="A281" i="12"/>
  <c r="R280" i="12"/>
  <c r="Q280" i="12"/>
  <c r="P280" i="12"/>
  <c r="M280" i="12"/>
  <c r="B280" i="12"/>
  <c r="A280" i="12"/>
  <c r="R279" i="12"/>
  <c r="Q279" i="12"/>
  <c r="P279" i="12"/>
  <c r="M279" i="12"/>
  <c r="B279" i="12"/>
  <c r="A279" i="12"/>
  <c r="R278" i="12"/>
  <c r="Q278" i="12"/>
  <c r="P278" i="12"/>
  <c r="M278" i="12"/>
  <c r="B278" i="12"/>
  <c r="A278" i="12"/>
  <c r="R277" i="12"/>
  <c r="Q277" i="12"/>
  <c r="P277" i="12"/>
  <c r="M277" i="12"/>
  <c r="B277" i="12"/>
  <c r="A277" i="12"/>
  <c r="R276" i="12"/>
  <c r="Q276" i="12"/>
  <c r="P276" i="12"/>
  <c r="M276" i="12"/>
  <c r="B276" i="12"/>
  <c r="A276" i="12"/>
  <c r="R275" i="12"/>
  <c r="Q275" i="12"/>
  <c r="P275" i="12"/>
  <c r="M275" i="12"/>
  <c r="B275" i="12"/>
  <c r="A275" i="12"/>
  <c r="R274" i="12"/>
  <c r="Q274" i="12"/>
  <c r="P274" i="12"/>
  <c r="M274" i="12"/>
  <c r="B274" i="12"/>
  <c r="A274" i="12"/>
  <c r="R273" i="12"/>
  <c r="Q273" i="12"/>
  <c r="P273" i="12"/>
  <c r="M273" i="12"/>
  <c r="B273" i="12"/>
  <c r="A273" i="12"/>
  <c r="R272" i="12"/>
  <c r="Q272" i="12"/>
  <c r="P272" i="12"/>
  <c r="M272" i="12"/>
  <c r="B272" i="12"/>
  <c r="A272" i="12"/>
  <c r="R271" i="12"/>
  <c r="Q271" i="12"/>
  <c r="P271" i="12"/>
  <c r="M271" i="12"/>
  <c r="B271" i="12"/>
  <c r="A271" i="12"/>
  <c r="R270" i="12"/>
  <c r="Q270" i="12"/>
  <c r="P270" i="12"/>
  <c r="M270" i="12"/>
  <c r="B270" i="12"/>
  <c r="A270" i="12"/>
  <c r="R269" i="12"/>
  <c r="Q269" i="12"/>
  <c r="P269" i="12"/>
  <c r="M269" i="12"/>
  <c r="B269" i="12"/>
  <c r="A269" i="12"/>
  <c r="R268" i="12"/>
  <c r="Q268" i="12"/>
  <c r="P268" i="12"/>
  <c r="M268" i="12"/>
  <c r="B268" i="12"/>
  <c r="A268" i="12"/>
  <c r="R267" i="12"/>
  <c r="Q267" i="12"/>
  <c r="P267" i="12"/>
  <c r="M267" i="12"/>
  <c r="B267" i="12"/>
  <c r="A267" i="12"/>
  <c r="R266" i="12"/>
  <c r="Q266" i="12"/>
  <c r="P266" i="12"/>
  <c r="M266" i="12"/>
  <c r="B266" i="12"/>
  <c r="A266" i="12"/>
  <c r="R265" i="12"/>
  <c r="Q265" i="12"/>
  <c r="P265" i="12"/>
  <c r="M265" i="12"/>
  <c r="B265" i="12"/>
  <c r="A265" i="12"/>
  <c r="R264" i="12"/>
  <c r="Q264" i="12"/>
  <c r="P264" i="12"/>
  <c r="M264" i="12"/>
  <c r="B264" i="12"/>
  <c r="A264" i="12"/>
  <c r="R263" i="12"/>
  <c r="Q263" i="12"/>
  <c r="P263" i="12"/>
  <c r="M263" i="12"/>
  <c r="B263" i="12"/>
  <c r="A263" i="12"/>
  <c r="R262" i="12"/>
  <c r="Q262" i="12"/>
  <c r="P262" i="12"/>
  <c r="M262" i="12"/>
  <c r="B262" i="12"/>
  <c r="A262" i="12"/>
  <c r="R261" i="12"/>
  <c r="Q261" i="12"/>
  <c r="P261" i="12"/>
  <c r="M261" i="12"/>
  <c r="B261" i="12"/>
  <c r="A261" i="12"/>
  <c r="R260" i="12"/>
  <c r="Q260" i="12"/>
  <c r="P260" i="12"/>
  <c r="M260" i="12"/>
  <c r="B260" i="12"/>
  <c r="C261" i="12" s="1"/>
  <c r="A260" i="12"/>
  <c r="R259" i="12"/>
  <c r="Q259" i="12"/>
  <c r="P259" i="12"/>
  <c r="M259" i="12"/>
  <c r="B259" i="12"/>
  <c r="A259" i="12"/>
  <c r="R258" i="12"/>
  <c r="Q258" i="12"/>
  <c r="P258" i="12"/>
  <c r="M258" i="12"/>
  <c r="B258" i="12"/>
  <c r="A258" i="12"/>
  <c r="R257" i="12"/>
  <c r="Q257" i="12"/>
  <c r="P257" i="12"/>
  <c r="M257" i="12"/>
  <c r="B257" i="12"/>
  <c r="A257" i="12"/>
  <c r="R256" i="12"/>
  <c r="Q256" i="12"/>
  <c r="P256" i="12"/>
  <c r="M256" i="12"/>
  <c r="B256" i="12"/>
  <c r="A256" i="12"/>
  <c r="R255" i="12"/>
  <c r="Q255" i="12"/>
  <c r="P255" i="12"/>
  <c r="M255" i="12"/>
  <c r="B255" i="12"/>
  <c r="A255" i="12"/>
  <c r="R254" i="12"/>
  <c r="Q254" i="12"/>
  <c r="P254" i="12"/>
  <c r="M254" i="12"/>
  <c r="B254" i="12"/>
  <c r="A254" i="12"/>
  <c r="R253" i="12"/>
  <c r="Q253" i="12"/>
  <c r="P253" i="12"/>
  <c r="M253" i="12"/>
  <c r="B253" i="12"/>
  <c r="A253" i="12"/>
  <c r="R252" i="12"/>
  <c r="Q252" i="12"/>
  <c r="P252" i="12"/>
  <c r="M252" i="12"/>
  <c r="B252" i="12"/>
  <c r="A252" i="12"/>
  <c r="R251" i="12"/>
  <c r="Q251" i="12"/>
  <c r="P251" i="12"/>
  <c r="M251" i="12"/>
  <c r="B251" i="12"/>
  <c r="A251" i="12"/>
  <c r="R250" i="12"/>
  <c r="Q250" i="12"/>
  <c r="P250" i="12"/>
  <c r="M250" i="12"/>
  <c r="B250" i="12"/>
  <c r="A250" i="12"/>
  <c r="R249" i="12"/>
  <c r="Q249" i="12"/>
  <c r="P249" i="12"/>
  <c r="M249" i="12"/>
  <c r="B249" i="12"/>
  <c r="A249" i="12"/>
  <c r="R248" i="12"/>
  <c r="Q248" i="12"/>
  <c r="P248" i="12"/>
  <c r="M248" i="12"/>
  <c r="B248" i="12"/>
  <c r="A248" i="12"/>
  <c r="R247" i="12"/>
  <c r="Q247" i="12"/>
  <c r="P247" i="12"/>
  <c r="M247" i="12"/>
  <c r="B247" i="12"/>
  <c r="A247" i="12"/>
  <c r="R246" i="12"/>
  <c r="Q246" i="12"/>
  <c r="P246" i="12"/>
  <c r="M246" i="12"/>
  <c r="B246" i="12"/>
  <c r="A246" i="12"/>
  <c r="R245" i="12"/>
  <c r="Q245" i="12"/>
  <c r="P245" i="12"/>
  <c r="M245" i="12"/>
  <c r="B245" i="12"/>
  <c r="A245" i="12"/>
  <c r="R244" i="12"/>
  <c r="Q244" i="12"/>
  <c r="P244" i="12"/>
  <c r="M244" i="12"/>
  <c r="B244" i="12"/>
  <c r="A244" i="12"/>
  <c r="R243" i="12"/>
  <c r="Q243" i="12"/>
  <c r="P243" i="12"/>
  <c r="M243" i="12"/>
  <c r="B243" i="12"/>
  <c r="A243" i="12"/>
  <c r="R242" i="12"/>
  <c r="Q242" i="12"/>
  <c r="P242" i="12"/>
  <c r="M242" i="12"/>
  <c r="B242" i="12"/>
  <c r="A242" i="12"/>
  <c r="R241" i="12"/>
  <c r="Q241" i="12"/>
  <c r="P241" i="12"/>
  <c r="M241" i="12"/>
  <c r="B241" i="12"/>
  <c r="A241" i="12"/>
  <c r="R240" i="12"/>
  <c r="Q240" i="12"/>
  <c r="P240" i="12"/>
  <c r="M240" i="12"/>
  <c r="B240" i="12"/>
  <c r="A240" i="12"/>
  <c r="R239" i="12"/>
  <c r="Q239" i="12"/>
  <c r="P239" i="12"/>
  <c r="M239" i="12"/>
  <c r="B239" i="12"/>
  <c r="A239" i="12"/>
  <c r="R238" i="12"/>
  <c r="Q238" i="12"/>
  <c r="P238" i="12"/>
  <c r="M238" i="12"/>
  <c r="B238" i="12"/>
  <c r="A238" i="12"/>
  <c r="R237" i="12"/>
  <c r="Q237" i="12"/>
  <c r="P237" i="12"/>
  <c r="M237" i="12"/>
  <c r="B237" i="12"/>
  <c r="A237" i="12"/>
  <c r="R236" i="12"/>
  <c r="Q236" i="12"/>
  <c r="P236" i="12"/>
  <c r="M236" i="12"/>
  <c r="B236" i="12"/>
  <c r="A236" i="12"/>
  <c r="R235" i="12"/>
  <c r="Q235" i="12"/>
  <c r="P235" i="12"/>
  <c r="M235" i="12"/>
  <c r="B235" i="12"/>
  <c r="A235" i="12"/>
  <c r="R234" i="12"/>
  <c r="Q234" i="12"/>
  <c r="P234" i="12"/>
  <c r="M234" i="12"/>
  <c r="B234" i="12"/>
  <c r="A234" i="12"/>
  <c r="R233" i="12"/>
  <c r="Q233" i="12"/>
  <c r="P233" i="12"/>
  <c r="M233" i="12"/>
  <c r="B233" i="12"/>
  <c r="A233" i="12"/>
  <c r="R232" i="12"/>
  <c r="Q232" i="12"/>
  <c r="P232" i="12"/>
  <c r="M232" i="12"/>
  <c r="B232" i="12"/>
  <c r="A232" i="12"/>
  <c r="R231" i="12"/>
  <c r="Q231" i="12"/>
  <c r="P231" i="12"/>
  <c r="M231" i="12"/>
  <c r="B231" i="12"/>
  <c r="A231" i="12"/>
  <c r="R230" i="12"/>
  <c r="Q230" i="12"/>
  <c r="P230" i="12"/>
  <c r="M230" i="12"/>
  <c r="B230" i="12"/>
  <c r="A230" i="12"/>
  <c r="R229" i="12"/>
  <c r="Q229" i="12"/>
  <c r="P229" i="12"/>
  <c r="M229" i="12"/>
  <c r="B229" i="12"/>
  <c r="A229" i="12"/>
  <c r="R228" i="12"/>
  <c r="Q228" i="12"/>
  <c r="P228" i="12"/>
  <c r="M228" i="12"/>
  <c r="B228" i="12"/>
  <c r="A228" i="12"/>
  <c r="R227" i="12"/>
  <c r="Q227" i="12"/>
  <c r="P227" i="12"/>
  <c r="M227" i="12"/>
  <c r="B227" i="12"/>
  <c r="A227" i="12"/>
  <c r="R226" i="12"/>
  <c r="Q226" i="12"/>
  <c r="P226" i="12"/>
  <c r="M226" i="12"/>
  <c r="B226" i="12"/>
  <c r="A226" i="12"/>
  <c r="R225" i="12"/>
  <c r="Q225" i="12"/>
  <c r="P225" i="12"/>
  <c r="M225" i="12"/>
  <c r="B225" i="12"/>
  <c r="A225" i="12"/>
  <c r="R224" i="12"/>
  <c r="Q224" i="12"/>
  <c r="P224" i="12"/>
  <c r="M224" i="12"/>
  <c r="B224" i="12"/>
  <c r="A224" i="12"/>
  <c r="R223" i="12"/>
  <c r="Q223" i="12"/>
  <c r="P223" i="12"/>
  <c r="M223" i="12"/>
  <c r="B223" i="12"/>
  <c r="A223" i="12"/>
  <c r="R222" i="12"/>
  <c r="Q222" i="12"/>
  <c r="P222" i="12"/>
  <c r="M222" i="12"/>
  <c r="B222" i="12"/>
  <c r="A222" i="12"/>
  <c r="R221" i="12"/>
  <c r="Q221" i="12"/>
  <c r="P221" i="12"/>
  <c r="M221" i="12"/>
  <c r="B221" i="12"/>
  <c r="A221" i="12"/>
  <c r="R220" i="12"/>
  <c r="Q220" i="12"/>
  <c r="P220" i="12"/>
  <c r="M220" i="12"/>
  <c r="B220" i="12"/>
  <c r="A220" i="12"/>
  <c r="R219" i="12"/>
  <c r="Q219" i="12"/>
  <c r="P219" i="12"/>
  <c r="M219" i="12"/>
  <c r="B219" i="12"/>
  <c r="A219" i="12"/>
  <c r="R218" i="12"/>
  <c r="Q218" i="12"/>
  <c r="P218" i="12"/>
  <c r="M218" i="12"/>
  <c r="B218" i="12"/>
  <c r="A218" i="12"/>
  <c r="R217" i="12"/>
  <c r="Q217" i="12"/>
  <c r="P217" i="12"/>
  <c r="M217" i="12"/>
  <c r="B217" i="12"/>
  <c r="A217" i="12"/>
  <c r="R216" i="12"/>
  <c r="Q216" i="12"/>
  <c r="P216" i="12"/>
  <c r="M216" i="12"/>
  <c r="B216" i="12"/>
  <c r="A216" i="12"/>
  <c r="R215" i="12"/>
  <c r="Q215" i="12"/>
  <c r="P215" i="12"/>
  <c r="M215" i="12"/>
  <c r="B215" i="12"/>
  <c r="A215" i="12"/>
  <c r="R214" i="12"/>
  <c r="Q214" i="12"/>
  <c r="P214" i="12"/>
  <c r="M214" i="12"/>
  <c r="B214" i="12"/>
  <c r="A214" i="12"/>
  <c r="R213" i="12"/>
  <c r="Q213" i="12"/>
  <c r="P213" i="12"/>
  <c r="M213" i="12"/>
  <c r="B213" i="12"/>
  <c r="A213" i="12"/>
  <c r="R212" i="12"/>
  <c r="Q212" i="12"/>
  <c r="P212" i="12"/>
  <c r="M212" i="12"/>
  <c r="B212" i="12"/>
  <c r="A212" i="12"/>
  <c r="R211" i="12"/>
  <c r="Q211" i="12"/>
  <c r="P211" i="12"/>
  <c r="M211" i="12"/>
  <c r="B211" i="12"/>
  <c r="A211" i="12"/>
  <c r="R210" i="12"/>
  <c r="Q210" i="12"/>
  <c r="P210" i="12"/>
  <c r="M210" i="12"/>
  <c r="B210" i="12"/>
  <c r="A210" i="12"/>
  <c r="R209" i="12"/>
  <c r="Q209" i="12"/>
  <c r="P209" i="12"/>
  <c r="M209" i="12"/>
  <c r="B209" i="12"/>
  <c r="A209" i="12"/>
  <c r="R208" i="12"/>
  <c r="Q208" i="12"/>
  <c r="P208" i="12"/>
  <c r="M208" i="12"/>
  <c r="B208" i="12"/>
  <c r="A208" i="12"/>
  <c r="R207" i="12"/>
  <c r="Q207" i="12"/>
  <c r="P207" i="12"/>
  <c r="M207" i="12"/>
  <c r="B207" i="12"/>
  <c r="A207" i="12"/>
  <c r="R206" i="12"/>
  <c r="Q206" i="12"/>
  <c r="P206" i="12"/>
  <c r="M206" i="12"/>
  <c r="B206" i="12"/>
  <c r="A206" i="12"/>
  <c r="R205" i="12"/>
  <c r="Q205" i="12"/>
  <c r="P205" i="12"/>
  <c r="M205" i="12"/>
  <c r="B205" i="12"/>
  <c r="A205" i="12"/>
  <c r="R204" i="12"/>
  <c r="Q204" i="12"/>
  <c r="P204" i="12"/>
  <c r="M204" i="12"/>
  <c r="B204" i="12"/>
  <c r="A204" i="12"/>
  <c r="R203" i="12"/>
  <c r="Q203" i="12"/>
  <c r="P203" i="12"/>
  <c r="M203" i="12"/>
  <c r="B203" i="12"/>
  <c r="A203" i="12"/>
  <c r="R202" i="12"/>
  <c r="Q202" i="12"/>
  <c r="P202" i="12"/>
  <c r="M202" i="12"/>
  <c r="B202" i="12"/>
  <c r="A202" i="12"/>
  <c r="R201" i="12"/>
  <c r="Q201" i="12"/>
  <c r="P201" i="12"/>
  <c r="M201" i="12"/>
  <c r="B201" i="12"/>
  <c r="A201" i="12"/>
  <c r="R200" i="12"/>
  <c r="Q200" i="12"/>
  <c r="P200" i="12"/>
  <c r="M200" i="12"/>
  <c r="B200" i="12"/>
  <c r="A200" i="12"/>
  <c r="R199" i="12"/>
  <c r="Q199" i="12"/>
  <c r="P199" i="12"/>
  <c r="M199" i="12"/>
  <c r="B199" i="12"/>
  <c r="A199" i="12"/>
  <c r="R198" i="12"/>
  <c r="Q198" i="12"/>
  <c r="P198" i="12"/>
  <c r="M198" i="12"/>
  <c r="B198" i="12"/>
  <c r="A198" i="12"/>
  <c r="R197" i="12"/>
  <c r="Q197" i="12"/>
  <c r="P197" i="12"/>
  <c r="M197" i="12"/>
  <c r="B197" i="12"/>
  <c r="A197" i="12"/>
  <c r="R196" i="12"/>
  <c r="Q196" i="12"/>
  <c r="P196" i="12"/>
  <c r="M196" i="12"/>
  <c r="B196" i="12"/>
  <c r="A196" i="12"/>
  <c r="R195" i="12"/>
  <c r="Q195" i="12"/>
  <c r="P195" i="12"/>
  <c r="M195" i="12"/>
  <c r="B195" i="12"/>
  <c r="A195" i="12"/>
  <c r="R194" i="12"/>
  <c r="Q194" i="12"/>
  <c r="P194" i="12"/>
  <c r="M194" i="12"/>
  <c r="B194" i="12"/>
  <c r="A194" i="12"/>
  <c r="R193" i="12"/>
  <c r="Q193" i="12"/>
  <c r="P193" i="12"/>
  <c r="M193" i="12"/>
  <c r="B193" i="12"/>
  <c r="A193" i="12"/>
  <c r="R192" i="12"/>
  <c r="Q192" i="12"/>
  <c r="P192" i="12"/>
  <c r="M192" i="12"/>
  <c r="B192" i="12"/>
  <c r="A192" i="12"/>
  <c r="R191" i="12"/>
  <c r="Q191" i="12"/>
  <c r="P191" i="12"/>
  <c r="M191" i="12"/>
  <c r="B191" i="12"/>
  <c r="A191" i="12"/>
  <c r="R190" i="12"/>
  <c r="Q190" i="12"/>
  <c r="P190" i="12"/>
  <c r="M190" i="12"/>
  <c r="B190" i="12"/>
  <c r="A190" i="12"/>
  <c r="R189" i="12"/>
  <c r="Q189" i="12"/>
  <c r="P189" i="12"/>
  <c r="M189" i="12"/>
  <c r="B189" i="12"/>
  <c r="A189" i="12"/>
  <c r="R188" i="12"/>
  <c r="Q188" i="12"/>
  <c r="P188" i="12"/>
  <c r="M188" i="12"/>
  <c r="B188" i="12"/>
  <c r="A188" i="12"/>
  <c r="R187" i="12"/>
  <c r="Q187" i="12"/>
  <c r="P187" i="12"/>
  <c r="M187" i="12"/>
  <c r="B187" i="12"/>
  <c r="A187" i="12"/>
  <c r="R186" i="12"/>
  <c r="Q186" i="12"/>
  <c r="P186" i="12"/>
  <c r="M186" i="12"/>
  <c r="B186" i="12"/>
  <c r="A186" i="12"/>
  <c r="R185" i="12"/>
  <c r="Q185" i="12"/>
  <c r="P185" i="12"/>
  <c r="M185" i="12"/>
  <c r="B185" i="12"/>
  <c r="A185" i="12"/>
  <c r="R184" i="12"/>
  <c r="Q184" i="12"/>
  <c r="P184" i="12"/>
  <c r="M184" i="12"/>
  <c r="B184" i="12"/>
  <c r="A184" i="12"/>
  <c r="R183" i="12"/>
  <c r="Q183" i="12"/>
  <c r="P183" i="12"/>
  <c r="M183" i="12"/>
  <c r="B183" i="12"/>
  <c r="A183" i="12"/>
  <c r="R182" i="12"/>
  <c r="Q182" i="12"/>
  <c r="P182" i="12"/>
  <c r="M182" i="12"/>
  <c r="B182" i="12"/>
  <c r="A182" i="12"/>
  <c r="R181" i="12"/>
  <c r="Q181" i="12"/>
  <c r="P181" i="12"/>
  <c r="M181" i="12"/>
  <c r="B181" i="12"/>
  <c r="A181" i="12"/>
  <c r="R180" i="12"/>
  <c r="Q180" i="12"/>
  <c r="P180" i="12"/>
  <c r="M180" i="12"/>
  <c r="B180" i="12"/>
  <c r="A180" i="12"/>
  <c r="R179" i="12"/>
  <c r="Q179" i="12"/>
  <c r="P179" i="12"/>
  <c r="M179" i="12"/>
  <c r="B179" i="12"/>
  <c r="A179" i="12"/>
  <c r="R178" i="12"/>
  <c r="Q178" i="12"/>
  <c r="P178" i="12"/>
  <c r="M178" i="12"/>
  <c r="B178" i="12"/>
  <c r="A178" i="12"/>
  <c r="R177" i="12"/>
  <c r="Q177" i="12"/>
  <c r="P177" i="12"/>
  <c r="M177" i="12"/>
  <c r="B177" i="12"/>
  <c r="A177" i="12"/>
  <c r="R176" i="12"/>
  <c r="Q176" i="12"/>
  <c r="P176" i="12"/>
  <c r="M176" i="12"/>
  <c r="B176" i="12"/>
  <c r="A176" i="12"/>
  <c r="R175" i="12"/>
  <c r="Q175" i="12"/>
  <c r="P175" i="12"/>
  <c r="M175" i="12"/>
  <c r="B175" i="12"/>
  <c r="A175" i="12"/>
  <c r="R174" i="12"/>
  <c r="Q174" i="12"/>
  <c r="P174" i="12"/>
  <c r="M174" i="12"/>
  <c r="B174" i="12"/>
  <c r="A174" i="12"/>
  <c r="R173" i="12"/>
  <c r="Q173" i="12"/>
  <c r="P173" i="12"/>
  <c r="M173" i="12"/>
  <c r="B173" i="12"/>
  <c r="A173" i="12"/>
  <c r="R172" i="12"/>
  <c r="Q172" i="12"/>
  <c r="P172" i="12"/>
  <c r="M172" i="12"/>
  <c r="B172" i="12"/>
  <c r="A172" i="12"/>
  <c r="R171" i="12"/>
  <c r="Q171" i="12"/>
  <c r="P171" i="12"/>
  <c r="M171" i="12"/>
  <c r="B171" i="12"/>
  <c r="A171" i="12"/>
  <c r="R170" i="12"/>
  <c r="Q170" i="12"/>
  <c r="P170" i="12"/>
  <c r="M170" i="12"/>
  <c r="B170" i="12"/>
  <c r="A170" i="12"/>
  <c r="R169" i="12"/>
  <c r="Q169" i="12"/>
  <c r="P169" i="12"/>
  <c r="M169" i="12"/>
  <c r="B169" i="12"/>
  <c r="A169" i="12"/>
  <c r="R168" i="12"/>
  <c r="Q168" i="12"/>
  <c r="P168" i="12"/>
  <c r="M168" i="12"/>
  <c r="B168" i="12"/>
  <c r="A168" i="12"/>
  <c r="R167" i="12"/>
  <c r="Q167" i="12"/>
  <c r="P167" i="12"/>
  <c r="M167" i="12"/>
  <c r="B167" i="12"/>
  <c r="A167" i="12"/>
  <c r="R166" i="12"/>
  <c r="Q166" i="12"/>
  <c r="P166" i="12"/>
  <c r="M166" i="12"/>
  <c r="B166" i="12"/>
  <c r="A166" i="12"/>
  <c r="R165" i="12"/>
  <c r="Q165" i="12"/>
  <c r="P165" i="12"/>
  <c r="M165" i="12"/>
  <c r="B165" i="12"/>
  <c r="A165" i="12"/>
  <c r="R164" i="12"/>
  <c r="Q164" i="12"/>
  <c r="P164" i="12"/>
  <c r="M164" i="12"/>
  <c r="B164" i="12"/>
  <c r="A164" i="12"/>
  <c r="R163" i="12"/>
  <c r="Q163" i="12"/>
  <c r="P163" i="12"/>
  <c r="M163" i="12"/>
  <c r="B163" i="12"/>
  <c r="A163" i="12"/>
  <c r="R162" i="12"/>
  <c r="Q162" i="12"/>
  <c r="P162" i="12"/>
  <c r="M162" i="12"/>
  <c r="B162" i="12"/>
  <c r="A162" i="12"/>
  <c r="R161" i="12"/>
  <c r="Q161" i="12"/>
  <c r="P161" i="12"/>
  <c r="M161" i="12"/>
  <c r="B161" i="12"/>
  <c r="A161" i="12"/>
  <c r="R160" i="12"/>
  <c r="Q160" i="12"/>
  <c r="P160" i="12"/>
  <c r="M160" i="12"/>
  <c r="B160" i="12"/>
  <c r="A160" i="12"/>
  <c r="R159" i="12"/>
  <c r="Q159" i="12"/>
  <c r="P159" i="12"/>
  <c r="M159" i="12"/>
  <c r="B159" i="12"/>
  <c r="A159" i="12"/>
  <c r="R158" i="12"/>
  <c r="Q158" i="12"/>
  <c r="P158" i="12"/>
  <c r="M158" i="12"/>
  <c r="B158" i="12"/>
  <c r="A158" i="12"/>
  <c r="R157" i="12"/>
  <c r="Q157" i="12"/>
  <c r="P157" i="12"/>
  <c r="M157" i="12"/>
  <c r="B157" i="12"/>
  <c r="A157" i="12"/>
  <c r="R156" i="12"/>
  <c r="Q156" i="12"/>
  <c r="P156" i="12"/>
  <c r="M156" i="12"/>
  <c r="B156" i="12"/>
  <c r="A156" i="12"/>
  <c r="R155" i="12"/>
  <c r="Q155" i="12"/>
  <c r="P155" i="12"/>
  <c r="M155" i="12"/>
  <c r="B155" i="12"/>
  <c r="A155" i="12"/>
  <c r="R154" i="12"/>
  <c r="Q154" i="12"/>
  <c r="P154" i="12"/>
  <c r="M154" i="12"/>
  <c r="B154" i="12"/>
  <c r="A154" i="12"/>
  <c r="R153" i="12"/>
  <c r="Q153" i="12"/>
  <c r="P153" i="12"/>
  <c r="M153" i="12"/>
  <c r="B153" i="12"/>
  <c r="A153" i="12"/>
  <c r="R152" i="12"/>
  <c r="Q152" i="12"/>
  <c r="P152" i="12"/>
  <c r="M152" i="12"/>
  <c r="B152" i="12"/>
  <c r="A152" i="12"/>
  <c r="R151" i="12"/>
  <c r="Q151" i="12"/>
  <c r="P151" i="12"/>
  <c r="M151" i="12"/>
  <c r="B151" i="12"/>
  <c r="A151" i="12"/>
  <c r="R150" i="12"/>
  <c r="Q150" i="12"/>
  <c r="P150" i="12"/>
  <c r="M150" i="12"/>
  <c r="B150" i="12"/>
  <c r="A150" i="12"/>
  <c r="R149" i="12"/>
  <c r="Q149" i="12"/>
  <c r="P149" i="12"/>
  <c r="M149" i="12"/>
  <c r="B149" i="12"/>
  <c r="A149" i="12"/>
  <c r="R148" i="12"/>
  <c r="Q148" i="12"/>
  <c r="P148" i="12"/>
  <c r="M148" i="12"/>
  <c r="B148" i="12"/>
  <c r="A148" i="12"/>
  <c r="R147" i="12"/>
  <c r="Q147" i="12"/>
  <c r="P147" i="12"/>
  <c r="M147" i="12"/>
  <c r="B147" i="12"/>
  <c r="A147" i="12"/>
  <c r="R146" i="12"/>
  <c r="Q146" i="12"/>
  <c r="P146" i="12"/>
  <c r="M146" i="12"/>
  <c r="B146" i="12"/>
  <c r="A146" i="12"/>
  <c r="R145" i="12"/>
  <c r="Q145" i="12"/>
  <c r="P145" i="12"/>
  <c r="M145" i="12"/>
  <c r="B145" i="12"/>
  <c r="A145" i="12"/>
  <c r="R144" i="12"/>
  <c r="Q144" i="12"/>
  <c r="P144" i="12"/>
  <c r="M144" i="12"/>
  <c r="B144" i="12"/>
  <c r="A144" i="12"/>
  <c r="R143" i="12"/>
  <c r="Q143" i="12"/>
  <c r="P143" i="12"/>
  <c r="M143" i="12"/>
  <c r="B143" i="12"/>
  <c r="A143" i="12"/>
  <c r="R142" i="12"/>
  <c r="Q142" i="12"/>
  <c r="P142" i="12"/>
  <c r="M142" i="12"/>
  <c r="B142" i="12"/>
  <c r="A142" i="12"/>
  <c r="R141" i="12"/>
  <c r="Q141" i="12"/>
  <c r="P141" i="12"/>
  <c r="M141" i="12"/>
  <c r="B141" i="12"/>
  <c r="A141" i="12"/>
  <c r="R140" i="12"/>
  <c r="Q140" i="12"/>
  <c r="P140" i="12"/>
  <c r="M140" i="12"/>
  <c r="B140" i="12"/>
  <c r="A140" i="12"/>
  <c r="R139" i="12"/>
  <c r="Q139" i="12"/>
  <c r="P139" i="12"/>
  <c r="M139" i="12"/>
  <c r="B139" i="12"/>
  <c r="A139" i="12"/>
  <c r="R138" i="12"/>
  <c r="Q138" i="12"/>
  <c r="P138" i="12"/>
  <c r="M138" i="12"/>
  <c r="B138" i="12"/>
  <c r="A138" i="12"/>
  <c r="R137" i="12"/>
  <c r="Q137" i="12"/>
  <c r="P137" i="12"/>
  <c r="M137" i="12"/>
  <c r="B137" i="12"/>
  <c r="A137" i="12"/>
  <c r="R136" i="12"/>
  <c r="Q136" i="12"/>
  <c r="P136" i="12"/>
  <c r="M136" i="12"/>
  <c r="B136" i="12"/>
  <c r="A136" i="12"/>
  <c r="R135" i="12"/>
  <c r="Q135" i="12"/>
  <c r="P135" i="12"/>
  <c r="M135" i="12"/>
  <c r="B135" i="12"/>
  <c r="A135" i="12"/>
  <c r="R134" i="12"/>
  <c r="Q134" i="12"/>
  <c r="P134" i="12"/>
  <c r="M134" i="12"/>
  <c r="B134" i="12"/>
  <c r="A134" i="12"/>
  <c r="R133" i="12"/>
  <c r="Q133" i="12"/>
  <c r="P133" i="12"/>
  <c r="M133" i="12"/>
  <c r="B133" i="12"/>
  <c r="A133" i="12"/>
  <c r="R132" i="12"/>
  <c r="Q132" i="12"/>
  <c r="P132" i="12"/>
  <c r="M132" i="12"/>
  <c r="B132" i="12"/>
  <c r="A132" i="12"/>
  <c r="R131" i="12"/>
  <c r="Q131" i="12"/>
  <c r="P131" i="12"/>
  <c r="M131" i="12"/>
  <c r="B131" i="12"/>
  <c r="A131" i="12"/>
  <c r="R130" i="12"/>
  <c r="Q130" i="12"/>
  <c r="P130" i="12"/>
  <c r="M130" i="12"/>
  <c r="B130" i="12"/>
  <c r="A130" i="12"/>
  <c r="R129" i="12"/>
  <c r="Q129" i="12"/>
  <c r="P129" i="12"/>
  <c r="M129" i="12"/>
  <c r="B129" i="12"/>
  <c r="A129" i="12"/>
  <c r="R128" i="12"/>
  <c r="Q128" i="12"/>
  <c r="P128" i="12"/>
  <c r="M128" i="12"/>
  <c r="B128" i="12"/>
  <c r="A128" i="12"/>
  <c r="R127" i="12"/>
  <c r="Q127" i="12"/>
  <c r="P127" i="12"/>
  <c r="M127" i="12"/>
  <c r="B127" i="12"/>
  <c r="A127" i="12"/>
  <c r="R126" i="12"/>
  <c r="Q126" i="12"/>
  <c r="P126" i="12"/>
  <c r="M126" i="12"/>
  <c r="B126" i="12"/>
  <c r="A126" i="12"/>
  <c r="R125" i="12"/>
  <c r="Q125" i="12"/>
  <c r="P125" i="12"/>
  <c r="M125" i="12"/>
  <c r="B125" i="12"/>
  <c r="A125" i="12"/>
  <c r="R124" i="12"/>
  <c r="Q124" i="12"/>
  <c r="P124" i="12"/>
  <c r="M124" i="12"/>
  <c r="B124" i="12"/>
  <c r="A124" i="12"/>
  <c r="R123" i="12"/>
  <c r="Q123" i="12"/>
  <c r="P123" i="12"/>
  <c r="M123" i="12"/>
  <c r="B123" i="12"/>
  <c r="A123" i="12"/>
  <c r="R122" i="12"/>
  <c r="Q122" i="12"/>
  <c r="P122" i="12"/>
  <c r="M122" i="12"/>
  <c r="B122" i="12"/>
  <c r="A122" i="12"/>
  <c r="R121" i="12"/>
  <c r="Q121" i="12"/>
  <c r="P121" i="12"/>
  <c r="M121" i="12"/>
  <c r="B121" i="12"/>
  <c r="A121" i="12"/>
  <c r="R120" i="12"/>
  <c r="Q120" i="12"/>
  <c r="P120" i="12"/>
  <c r="M120" i="12"/>
  <c r="B120" i="12"/>
  <c r="A120" i="12"/>
  <c r="R119" i="12"/>
  <c r="Q119" i="12"/>
  <c r="P119" i="12"/>
  <c r="M119" i="12"/>
  <c r="B119" i="12"/>
  <c r="A119" i="12"/>
  <c r="R118" i="12"/>
  <c r="Q118" i="12"/>
  <c r="P118" i="12"/>
  <c r="M118" i="12"/>
  <c r="B118" i="12"/>
  <c r="A118" i="12"/>
  <c r="R117" i="12"/>
  <c r="Q117" i="12"/>
  <c r="P117" i="12"/>
  <c r="M117" i="12"/>
  <c r="B117" i="12"/>
  <c r="A117" i="12"/>
  <c r="R116" i="12"/>
  <c r="Q116" i="12"/>
  <c r="P116" i="12"/>
  <c r="M116" i="12"/>
  <c r="B116" i="12"/>
  <c r="A116" i="12"/>
  <c r="R115" i="12"/>
  <c r="Q115" i="12"/>
  <c r="P115" i="12"/>
  <c r="M115" i="12"/>
  <c r="B115" i="12"/>
  <c r="A115" i="12"/>
  <c r="R114" i="12"/>
  <c r="Q114" i="12"/>
  <c r="P114" i="12"/>
  <c r="M114" i="12"/>
  <c r="B114" i="12"/>
  <c r="A114" i="12"/>
  <c r="R113" i="12"/>
  <c r="Q113" i="12"/>
  <c r="P113" i="12"/>
  <c r="M113" i="12"/>
  <c r="B113" i="12"/>
  <c r="A113" i="12"/>
  <c r="R112" i="12"/>
  <c r="Q112" i="12"/>
  <c r="P112" i="12"/>
  <c r="M112" i="12"/>
  <c r="B112" i="12"/>
  <c r="A112" i="12"/>
  <c r="R111" i="12"/>
  <c r="Q111" i="12"/>
  <c r="P111" i="12"/>
  <c r="M111" i="12"/>
  <c r="B111" i="12"/>
  <c r="A111" i="12"/>
  <c r="R110" i="12"/>
  <c r="Q110" i="12"/>
  <c r="P110" i="12"/>
  <c r="M110" i="12"/>
  <c r="B110" i="12"/>
  <c r="A110" i="12"/>
  <c r="R109" i="12"/>
  <c r="Q109" i="12"/>
  <c r="P109" i="12"/>
  <c r="M109" i="12"/>
  <c r="B109" i="12"/>
  <c r="A109" i="12"/>
  <c r="R108" i="12"/>
  <c r="Q108" i="12"/>
  <c r="P108" i="12"/>
  <c r="M108" i="12"/>
  <c r="B108" i="12"/>
  <c r="A108" i="12"/>
  <c r="R107" i="12"/>
  <c r="Q107" i="12"/>
  <c r="P107" i="12"/>
  <c r="M107" i="12"/>
  <c r="B107" i="12"/>
  <c r="A107" i="12"/>
  <c r="R106" i="12"/>
  <c r="Q106" i="12"/>
  <c r="P106" i="12"/>
  <c r="M106" i="12"/>
  <c r="B106" i="12"/>
  <c r="A106" i="12"/>
  <c r="R105" i="12"/>
  <c r="Q105" i="12"/>
  <c r="P105" i="12"/>
  <c r="M105" i="12"/>
  <c r="B105" i="12"/>
  <c r="A105" i="12"/>
  <c r="R104" i="12"/>
  <c r="Q104" i="12"/>
  <c r="P104" i="12"/>
  <c r="M104" i="12"/>
  <c r="B104" i="12"/>
  <c r="A104" i="12"/>
  <c r="R103" i="12"/>
  <c r="Q103" i="12"/>
  <c r="P103" i="12"/>
  <c r="M103" i="12"/>
  <c r="B103" i="12"/>
  <c r="C103" i="12" s="1"/>
  <c r="A103" i="12"/>
  <c r="R102" i="12"/>
  <c r="Q102" i="12"/>
  <c r="P102" i="12"/>
  <c r="M102" i="12"/>
  <c r="B102" i="12"/>
  <c r="A102" i="12"/>
  <c r="R101" i="12"/>
  <c r="Q101" i="12"/>
  <c r="P101" i="12"/>
  <c r="M101" i="12"/>
  <c r="B101" i="12"/>
  <c r="C102" i="12" s="1"/>
  <c r="A101" i="12"/>
  <c r="R100" i="12"/>
  <c r="Q100" i="12"/>
  <c r="P100" i="12"/>
  <c r="M100" i="12"/>
  <c r="B100" i="12"/>
  <c r="A100" i="12"/>
  <c r="R99" i="12"/>
  <c r="Q99" i="12"/>
  <c r="P99" i="12"/>
  <c r="M99" i="12"/>
  <c r="A99" i="12"/>
  <c r="B99" i="12" s="1"/>
  <c r="R98" i="12"/>
  <c r="Q98" i="12"/>
  <c r="P98" i="12"/>
  <c r="M98" i="12"/>
  <c r="B98" i="12"/>
  <c r="A98" i="12"/>
  <c r="R97" i="12"/>
  <c r="Q97" i="12"/>
  <c r="P97" i="12"/>
  <c r="M97" i="12"/>
  <c r="B97" i="12"/>
  <c r="A97" i="12"/>
  <c r="R96" i="12"/>
  <c r="Q96" i="12"/>
  <c r="P96" i="12"/>
  <c r="M96" i="12"/>
  <c r="B96" i="12"/>
  <c r="A96" i="12"/>
  <c r="R95" i="12"/>
  <c r="Q95" i="12"/>
  <c r="P95" i="12"/>
  <c r="M95" i="12"/>
  <c r="B95" i="12"/>
  <c r="A95" i="12"/>
  <c r="R94" i="12"/>
  <c r="Q94" i="12"/>
  <c r="P94" i="12"/>
  <c r="M94" i="12"/>
  <c r="B94" i="12"/>
  <c r="A94" i="12"/>
  <c r="R93" i="12"/>
  <c r="Q93" i="12"/>
  <c r="P93" i="12"/>
  <c r="M93" i="12"/>
  <c r="B93" i="12"/>
  <c r="A93" i="12"/>
  <c r="R92" i="12"/>
  <c r="Q92" i="12"/>
  <c r="P92" i="12"/>
  <c r="M92" i="12"/>
  <c r="B92" i="12"/>
  <c r="A92" i="12"/>
  <c r="R91" i="12"/>
  <c r="Q91" i="12"/>
  <c r="P91" i="12"/>
  <c r="M91" i="12"/>
  <c r="B91" i="12"/>
  <c r="A91" i="12"/>
  <c r="R90" i="12"/>
  <c r="Q90" i="12"/>
  <c r="P90" i="12"/>
  <c r="M90" i="12"/>
  <c r="B90" i="12"/>
  <c r="A90" i="12"/>
  <c r="R89" i="12"/>
  <c r="Q89" i="12"/>
  <c r="P89" i="12"/>
  <c r="M89" i="12"/>
  <c r="B89" i="12"/>
  <c r="A89" i="12"/>
  <c r="R88" i="12"/>
  <c r="Q88" i="12"/>
  <c r="P88" i="12"/>
  <c r="M88" i="12"/>
  <c r="B88" i="12"/>
  <c r="A88" i="12"/>
  <c r="R87" i="12"/>
  <c r="Q87" i="12"/>
  <c r="P87" i="12"/>
  <c r="M87" i="12"/>
  <c r="B87" i="12"/>
  <c r="A87" i="12"/>
  <c r="R86" i="12"/>
  <c r="Q86" i="12"/>
  <c r="P86" i="12"/>
  <c r="M86" i="12"/>
  <c r="B86" i="12"/>
  <c r="A86" i="12"/>
  <c r="R85" i="12"/>
  <c r="Q85" i="12"/>
  <c r="P85" i="12"/>
  <c r="M85" i="12"/>
  <c r="B85" i="12"/>
  <c r="C86" i="12" s="1"/>
  <c r="A85" i="12"/>
  <c r="R84" i="12"/>
  <c r="Q84" i="12"/>
  <c r="P84" i="12"/>
  <c r="M84" i="12"/>
  <c r="B84" i="12"/>
  <c r="A84" i="12"/>
  <c r="R83" i="12"/>
  <c r="Q83" i="12"/>
  <c r="P83" i="12"/>
  <c r="M83" i="12"/>
  <c r="B83" i="12"/>
  <c r="A83" i="12"/>
  <c r="R82" i="12"/>
  <c r="Q82" i="12"/>
  <c r="P82" i="12"/>
  <c r="M82" i="12"/>
  <c r="B82" i="12"/>
  <c r="A82" i="12"/>
  <c r="R81" i="12"/>
  <c r="Q81" i="12"/>
  <c r="P81" i="12"/>
  <c r="M81" i="12"/>
  <c r="B81" i="12"/>
  <c r="A81" i="12"/>
  <c r="R80" i="12"/>
  <c r="Q80" i="12"/>
  <c r="P80" i="12"/>
  <c r="M80" i="12"/>
  <c r="B80" i="12"/>
  <c r="A80" i="12"/>
  <c r="R79" i="12"/>
  <c r="Q79" i="12"/>
  <c r="P79" i="12"/>
  <c r="M79" i="12"/>
  <c r="B79" i="12"/>
  <c r="C79" i="12" s="1"/>
  <c r="A79" i="12"/>
  <c r="R78" i="12"/>
  <c r="Q78" i="12"/>
  <c r="P78" i="12"/>
  <c r="M78" i="12"/>
  <c r="B78" i="12"/>
  <c r="A78" i="12"/>
  <c r="R77" i="12"/>
  <c r="Q77" i="12"/>
  <c r="P77" i="12"/>
  <c r="M77" i="12"/>
  <c r="B77" i="12"/>
  <c r="A77" i="12"/>
  <c r="R76" i="12"/>
  <c r="Q76" i="12"/>
  <c r="P76" i="12"/>
  <c r="M76" i="12"/>
  <c r="B76" i="12"/>
  <c r="A76" i="12"/>
  <c r="R75" i="12"/>
  <c r="Q75" i="12"/>
  <c r="P75" i="12"/>
  <c r="M75" i="12"/>
  <c r="B75" i="12"/>
  <c r="C75" i="12" s="1"/>
  <c r="A75" i="12"/>
  <c r="R74" i="12"/>
  <c r="Q74" i="12"/>
  <c r="P74" i="12"/>
  <c r="M74" i="12"/>
  <c r="B74" i="12"/>
  <c r="A74" i="12"/>
  <c r="R73" i="12"/>
  <c r="Q73" i="12"/>
  <c r="P73" i="12"/>
  <c r="M73" i="12"/>
  <c r="B73" i="12"/>
  <c r="A73" i="12"/>
  <c r="R72" i="12"/>
  <c r="Q72" i="12"/>
  <c r="P72" i="12"/>
  <c r="M72" i="12"/>
  <c r="B72" i="12"/>
  <c r="A72" i="12"/>
  <c r="R71" i="12"/>
  <c r="Q71" i="12"/>
  <c r="P71" i="12"/>
  <c r="M71" i="12"/>
  <c r="B71" i="12"/>
  <c r="C71" i="12" s="1"/>
  <c r="A71" i="12"/>
  <c r="R70" i="12"/>
  <c r="Q70" i="12"/>
  <c r="P70" i="12"/>
  <c r="M70" i="12"/>
  <c r="B70" i="12"/>
  <c r="A70" i="12"/>
  <c r="R69" i="12"/>
  <c r="Q69" i="12"/>
  <c r="P69" i="12"/>
  <c r="M69" i="12"/>
  <c r="B69" i="12"/>
  <c r="A69" i="12"/>
  <c r="R68" i="12"/>
  <c r="Q68" i="12"/>
  <c r="P68" i="12"/>
  <c r="M68" i="12"/>
  <c r="B68" i="12"/>
  <c r="A68" i="12"/>
  <c r="R67" i="12"/>
  <c r="Q67" i="12"/>
  <c r="P67" i="12"/>
  <c r="M67" i="12"/>
  <c r="B67" i="12"/>
  <c r="A67" i="12"/>
  <c r="R66" i="12"/>
  <c r="Q66" i="12"/>
  <c r="P66" i="12"/>
  <c r="M66" i="12"/>
  <c r="B66" i="12"/>
  <c r="A66" i="12"/>
  <c r="R65" i="12"/>
  <c r="Q65" i="12"/>
  <c r="P65" i="12"/>
  <c r="M65" i="12"/>
  <c r="B65" i="12"/>
  <c r="A65" i="12"/>
  <c r="R64" i="12"/>
  <c r="Q64" i="12"/>
  <c r="P64" i="12"/>
  <c r="M64" i="12"/>
  <c r="B64" i="12"/>
  <c r="A64" i="12"/>
  <c r="R63" i="12"/>
  <c r="Q63" i="12"/>
  <c r="P63" i="12"/>
  <c r="M63" i="12"/>
  <c r="B63" i="12"/>
  <c r="A63" i="12"/>
  <c r="R62" i="12"/>
  <c r="Q62" i="12"/>
  <c r="P62" i="12"/>
  <c r="M62" i="12"/>
  <c r="B62" i="12"/>
  <c r="A62" i="12"/>
  <c r="R61" i="12"/>
  <c r="Q61" i="12"/>
  <c r="P61" i="12"/>
  <c r="M61" i="12"/>
  <c r="B61" i="12"/>
  <c r="A61" i="12"/>
  <c r="R60" i="12"/>
  <c r="Q60" i="12"/>
  <c r="P60" i="12"/>
  <c r="M60" i="12"/>
  <c r="B60" i="12"/>
  <c r="A60" i="12"/>
  <c r="R59" i="12"/>
  <c r="Q59" i="12"/>
  <c r="P59" i="12"/>
  <c r="M59" i="12"/>
  <c r="B59" i="12"/>
  <c r="A59" i="12"/>
  <c r="R58" i="12"/>
  <c r="Q58" i="12"/>
  <c r="P58" i="12"/>
  <c r="M58" i="12"/>
  <c r="B58" i="12"/>
  <c r="A58" i="12"/>
  <c r="R57" i="12"/>
  <c r="Q57" i="12"/>
  <c r="P57" i="12"/>
  <c r="M57" i="12"/>
  <c r="B57" i="12"/>
  <c r="A57" i="12"/>
  <c r="R56" i="12"/>
  <c r="Q56" i="12"/>
  <c r="P56" i="12"/>
  <c r="M56" i="12"/>
  <c r="B56" i="12"/>
  <c r="A56" i="12"/>
  <c r="R55" i="12"/>
  <c r="Q55" i="12"/>
  <c r="P55" i="12"/>
  <c r="M55" i="12"/>
  <c r="B55" i="12"/>
  <c r="A55" i="12"/>
  <c r="R54" i="12"/>
  <c r="Q54" i="12"/>
  <c r="P54" i="12"/>
  <c r="M54" i="12"/>
  <c r="B54" i="12"/>
  <c r="A54" i="12"/>
  <c r="R53" i="12"/>
  <c r="Q53" i="12"/>
  <c r="P53" i="12"/>
  <c r="M53" i="12"/>
  <c r="B53" i="12"/>
  <c r="A53" i="12"/>
  <c r="R52" i="12"/>
  <c r="Q52" i="12"/>
  <c r="P52" i="12"/>
  <c r="M52" i="12"/>
  <c r="B52" i="12"/>
  <c r="A52" i="12"/>
  <c r="R51" i="12"/>
  <c r="Q51" i="12"/>
  <c r="P51" i="12"/>
  <c r="M51" i="12"/>
  <c r="B51" i="12"/>
  <c r="A51" i="12"/>
  <c r="R50" i="12"/>
  <c r="Q50" i="12"/>
  <c r="P50" i="12"/>
  <c r="M50" i="12"/>
  <c r="B50" i="12"/>
  <c r="A50" i="12"/>
  <c r="R49" i="12"/>
  <c r="Q49" i="12"/>
  <c r="P49" i="12"/>
  <c r="M49" i="12"/>
  <c r="B49" i="12"/>
  <c r="A49" i="12"/>
  <c r="R48" i="12"/>
  <c r="Q48" i="12"/>
  <c r="P48" i="12"/>
  <c r="M48" i="12"/>
  <c r="B48" i="12"/>
  <c r="A48" i="12"/>
  <c r="R47" i="12"/>
  <c r="Q47" i="12"/>
  <c r="P47" i="12"/>
  <c r="M47" i="12"/>
  <c r="B47" i="12"/>
  <c r="A47" i="12"/>
  <c r="R46" i="12"/>
  <c r="Q46" i="12"/>
  <c r="P46" i="12"/>
  <c r="M46" i="12"/>
  <c r="B46" i="12"/>
  <c r="A46" i="12"/>
  <c r="R45" i="12"/>
  <c r="Q45" i="12"/>
  <c r="P45" i="12"/>
  <c r="M45" i="12"/>
  <c r="B45" i="12"/>
  <c r="A45" i="12"/>
  <c r="R44" i="12"/>
  <c r="Q44" i="12"/>
  <c r="P44" i="12"/>
  <c r="M44" i="12"/>
  <c r="B44" i="12"/>
  <c r="A44" i="12"/>
  <c r="R43" i="12"/>
  <c r="Q43" i="12"/>
  <c r="P43" i="12"/>
  <c r="M43" i="12"/>
  <c r="B43" i="12"/>
  <c r="A43" i="12"/>
  <c r="R42" i="12"/>
  <c r="Q42" i="12"/>
  <c r="P42" i="12"/>
  <c r="M42" i="12"/>
  <c r="B42" i="12"/>
  <c r="A42" i="12"/>
  <c r="R41" i="12"/>
  <c r="Q41" i="12"/>
  <c r="P41" i="12"/>
  <c r="M41" i="12"/>
  <c r="B41" i="12"/>
  <c r="A41" i="12"/>
  <c r="R40" i="12"/>
  <c r="Q40" i="12"/>
  <c r="P40" i="12"/>
  <c r="M40" i="12"/>
  <c r="B40" i="12"/>
  <c r="A40" i="12"/>
  <c r="R39" i="12"/>
  <c r="Q39" i="12"/>
  <c r="P39" i="12"/>
  <c r="M39" i="12"/>
  <c r="B39" i="12"/>
  <c r="C39" i="12" s="1"/>
  <c r="A39" i="12"/>
  <c r="R38" i="12"/>
  <c r="Q38" i="12"/>
  <c r="P38" i="12"/>
  <c r="M38" i="12"/>
  <c r="B38" i="12"/>
  <c r="A38" i="12"/>
  <c r="R37" i="12"/>
  <c r="Q37" i="12"/>
  <c r="P37" i="12"/>
  <c r="M37" i="12"/>
  <c r="B37" i="12"/>
  <c r="A37" i="12"/>
  <c r="R36" i="12"/>
  <c r="Q36" i="12"/>
  <c r="P36" i="12"/>
  <c r="M36" i="12"/>
  <c r="B36" i="12"/>
  <c r="A36" i="12"/>
  <c r="R35" i="12"/>
  <c r="Q35" i="12"/>
  <c r="P35" i="12"/>
  <c r="M35" i="12"/>
  <c r="B35" i="12"/>
  <c r="A35" i="12"/>
  <c r="R34" i="12"/>
  <c r="Q34" i="12"/>
  <c r="P34" i="12"/>
  <c r="M34" i="12"/>
  <c r="B34" i="12"/>
  <c r="A34" i="12"/>
  <c r="R33" i="12"/>
  <c r="Q33" i="12"/>
  <c r="P33" i="12"/>
  <c r="M33" i="12"/>
  <c r="B33" i="12"/>
  <c r="A33" i="12"/>
  <c r="R32" i="12"/>
  <c r="Q32" i="12"/>
  <c r="P32" i="12"/>
  <c r="M32" i="12"/>
  <c r="B32" i="12"/>
  <c r="A32" i="12"/>
  <c r="R31" i="12"/>
  <c r="Q31" i="12"/>
  <c r="P31" i="12"/>
  <c r="M31" i="12"/>
  <c r="B31" i="12"/>
  <c r="A31" i="12"/>
  <c r="R30" i="12"/>
  <c r="Q30" i="12"/>
  <c r="P30" i="12"/>
  <c r="M30" i="12"/>
  <c r="B30" i="12"/>
  <c r="A30" i="12"/>
  <c r="R29" i="12"/>
  <c r="Q29" i="12"/>
  <c r="P29" i="12"/>
  <c r="M29" i="12"/>
  <c r="B29" i="12"/>
  <c r="A29" i="12"/>
  <c r="R28" i="12"/>
  <c r="Q28" i="12"/>
  <c r="P28" i="12"/>
  <c r="M28" i="12"/>
  <c r="B28" i="12"/>
  <c r="A28" i="12"/>
  <c r="R27" i="12"/>
  <c r="Q27" i="12"/>
  <c r="P27" i="12"/>
  <c r="M27" i="12"/>
  <c r="B27" i="12"/>
  <c r="A27" i="12"/>
  <c r="R26" i="12"/>
  <c r="Q26" i="12"/>
  <c r="P26" i="12"/>
  <c r="M26" i="12"/>
  <c r="B26" i="12"/>
  <c r="A26" i="12"/>
  <c r="R25" i="12"/>
  <c r="Q25" i="12"/>
  <c r="P25" i="12"/>
  <c r="M25" i="12"/>
  <c r="B25" i="12"/>
  <c r="A25" i="12"/>
  <c r="R24" i="12"/>
  <c r="Q24" i="12"/>
  <c r="P24" i="12"/>
  <c r="M24" i="12"/>
  <c r="B24" i="12"/>
  <c r="A24" i="12"/>
  <c r="R23" i="12"/>
  <c r="Q23" i="12"/>
  <c r="P23" i="12"/>
  <c r="M23" i="12"/>
  <c r="B23" i="12"/>
  <c r="A23" i="12"/>
  <c r="R22" i="12"/>
  <c r="Q22" i="12"/>
  <c r="P22" i="12"/>
  <c r="M22" i="12"/>
  <c r="B22" i="12"/>
  <c r="A22" i="12"/>
  <c r="R21" i="12"/>
  <c r="Q21" i="12"/>
  <c r="P21" i="12"/>
  <c r="M21" i="12"/>
  <c r="B21" i="12"/>
  <c r="A21" i="12"/>
  <c r="R20" i="12"/>
  <c r="Q20" i="12"/>
  <c r="P20" i="12"/>
  <c r="M20" i="12"/>
  <c r="B20" i="12"/>
  <c r="A20" i="12"/>
  <c r="R15" i="12"/>
  <c r="Q15" i="12"/>
  <c r="P15" i="12"/>
  <c r="M15" i="12"/>
  <c r="B15" i="12"/>
  <c r="A15" i="12"/>
  <c r="R14" i="12"/>
  <c r="Q14" i="12"/>
  <c r="P14" i="12"/>
  <c r="M14" i="12"/>
  <c r="B14" i="12"/>
  <c r="A14" i="12"/>
  <c r="R13" i="12"/>
  <c r="Q13" i="12"/>
  <c r="M13" i="12"/>
  <c r="B13" i="12"/>
  <c r="A13" i="12"/>
  <c r="R12" i="12"/>
  <c r="Q12" i="12"/>
  <c r="M12" i="12"/>
  <c r="B12" i="12"/>
  <c r="A12" i="12"/>
  <c r="R11" i="12"/>
  <c r="Q11" i="12"/>
  <c r="M11" i="12"/>
  <c r="B11" i="12"/>
  <c r="A11" i="12"/>
  <c r="R10" i="12"/>
  <c r="Q10" i="12"/>
  <c r="P10" i="12"/>
  <c r="M10" i="12"/>
  <c r="B10" i="12"/>
  <c r="A10" i="12"/>
  <c r="R9" i="12"/>
  <c r="Q9" i="12"/>
  <c r="P9" i="12"/>
  <c r="M9" i="12"/>
  <c r="G9" i="12"/>
  <c r="F9" i="12"/>
  <c r="B9" i="12"/>
  <c r="A9" i="12"/>
  <c r="R8" i="12"/>
  <c r="Q8" i="12"/>
  <c r="P8" i="12"/>
  <c r="M8" i="12"/>
  <c r="G8" i="12"/>
  <c r="F8" i="12"/>
  <c r="B8" i="12"/>
  <c r="A8" i="12"/>
  <c r="R7" i="12"/>
  <c r="Q7" i="12"/>
  <c r="P7" i="12"/>
  <c r="M7" i="12"/>
  <c r="G7" i="12"/>
  <c r="F7" i="12"/>
  <c r="B7" i="12"/>
  <c r="A7" i="12"/>
  <c r="R6" i="12"/>
  <c r="Q6" i="12"/>
  <c r="P6" i="12"/>
  <c r="M6" i="12"/>
  <c r="G6" i="12"/>
  <c r="F6" i="12"/>
  <c r="B6" i="12"/>
  <c r="C6" i="12" s="1"/>
  <c r="A6" i="12"/>
  <c r="R5" i="12"/>
  <c r="Q5" i="12"/>
  <c r="P5" i="12"/>
  <c r="M5" i="12"/>
  <c r="G5" i="12"/>
  <c r="F5" i="12"/>
  <c r="B5" i="12"/>
  <c r="A5" i="12"/>
  <c r="R4" i="12"/>
  <c r="Q4" i="12"/>
  <c r="P4" i="12"/>
  <c r="M4" i="12"/>
  <c r="G4" i="12"/>
  <c r="F4" i="12"/>
  <c r="B4" i="12"/>
  <c r="A4" i="12"/>
  <c r="R3" i="12"/>
  <c r="Q3" i="12"/>
  <c r="P3" i="12"/>
  <c r="M3" i="12"/>
  <c r="G3" i="12"/>
  <c r="F3" i="12"/>
  <c r="B3" i="12"/>
  <c r="A3" i="12"/>
  <c r="R2" i="12"/>
  <c r="Q2" i="12"/>
  <c r="P2" i="12"/>
  <c r="M2" i="12"/>
  <c r="G2" i="12"/>
  <c r="F2" i="12"/>
  <c r="B2" i="12"/>
  <c r="N2" i="12" s="1"/>
  <c r="A2" i="12"/>
  <c r="R499" i="11"/>
  <c r="Q499" i="11"/>
  <c r="P499" i="11"/>
  <c r="M499" i="11"/>
  <c r="G499" i="11"/>
  <c r="F499" i="11"/>
  <c r="B499" i="11"/>
  <c r="A499" i="11"/>
  <c r="R498" i="11"/>
  <c r="Q498" i="11"/>
  <c r="P498" i="11"/>
  <c r="M498" i="11"/>
  <c r="G498" i="11"/>
  <c r="F498" i="11"/>
  <c r="B498" i="11"/>
  <c r="A498" i="11"/>
  <c r="R497" i="11"/>
  <c r="Q497" i="11"/>
  <c r="P497" i="11"/>
  <c r="M497" i="11"/>
  <c r="G497" i="11"/>
  <c r="F497" i="11"/>
  <c r="B497" i="11"/>
  <c r="A497" i="11"/>
  <c r="R496" i="11"/>
  <c r="Q496" i="11"/>
  <c r="P496" i="11"/>
  <c r="M496" i="11"/>
  <c r="G496" i="11"/>
  <c r="F496" i="11"/>
  <c r="B496" i="11"/>
  <c r="C497" i="11" s="1"/>
  <c r="A496" i="11"/>
  <c r="R495" i="11"/>
  <c r="Q495" i="11"/>
  <c r="P495" i="11"/>
  <c r="M495" i="11"/>
  <c r="G495" i="11"/>
  <c r="F495" i="11"/>
  <c r="B495" i="11"/>
  <c r="A495" i="11"/>
  <c r="R494" i="11"/>
  <c r="Q494" i="11"/>
  <c r="P494" i="11"/>
  <c r="M494" i="11"/>
  <c r="G494" i="11"/>
  <c r="F494" i="11"/>
  <c r="B494" i="11"/>
  <c r="A494" i="11"/>
  <c r="R493" i="11"/>
  <c r="Q493" i="11"/>
  <c r="P493" i="11"/>
  <c r="M493" i="11"/>
  <c r="G493" i="11"/>
  <c r="F493" i="11"/>
  <c r="B493" i="11"/>
  <c r="A493" i="11"/>
  <c r="R492" i="11"/>
  <c r="Q492" i="11"/>
  <c r="P492" i="11"/>
  <c r="M492" i="11"/>
  <c r="G492" i="11"/>
  <c r="F492" i="11"/>
  <c r="B492" i="11"/>
  <c r="A492" i="11"/>
  <c r="R491" i="11"/>
  <c r="Q491" i="11"/>
  <c r="P491" i="11"/>
  <c r="M491" i="11"/>
  <c r="G491" i="11"/>
  <c r="F491" i="11"/>
  <c r="B491" i="11"/>
  <c r="A491" i="11"/>
  <c r="R490" i="11"/>
  <c r="Q490" i="11"/>
  <c r="P490" i="11"/>
  <c r="M490" i="11"/>
  <c r="G490" i="11"/>
  <c r="F490" i="11"/>
  <c r="B490" i="11"/>
  <c r="A490" i="11"/>
  <c r="R489" i="11"/>
  <c r="Q489" i="11"/>
  <c r="P489" i="11"/>
  <c r="M489" i="11"/>
  <c r="G489" i="11"/>
  <c r="F489" i="11"/>
  <c r="B489" i="11"/>
  <c r="A489" i="11"/>
  <c r="R488" i="11"/>
  <c r="Q488" i="11"/>
  <c r="P488" i="11"/>
  <c r="M488" i="11"/>
  <c r="G488" i="11"/>
  <c r="F488" i="11"/>
  <c r="B488" i="11"/>
  <c r="A488" i="11"/>
  <c r="R487" i="11"/>
  <c r="Q487" i="11"/>
  <c r="P487" i="11"/>
  <c r="M487" i="11"/>
  <c r="G487" i="11"/>
  <c r="F487" i="11"/>
  <c r="B487" i="11"/>
  <c r="C488" i="11" s="1"/>
  <c r="A487" i="11"/>
  <c r="R486" i="11"/>
  <c r="Q486" i="11"/>
  <c r="P486" i="11"/>
  <c r="M486" i="11"/>
  <c r="G486" i="11"/>
  <c r="F486" i="11"/>
  <c r="B486" i="11"/>
  <c r="A486" i="11"/>
  <c r="R485" i="11"/>
  <c r="Q485" i="11"/>
  <c r="P485" i="11"/>
  <c r="M485" i="11"/>
  <c r="G485" i="11"/>
  <c r="F485" i="11"/>
  <c r="B485" i="11"/>
  <c r="A485" i="11"/>
  <c r="R484" i="11"/>
  <c r="Q484" i="11"/>
  <c r="P484" i="11"/>
  <c r="M484" i="11"/>
  <c r="G484" i="11"/>
  <c r="F484" i="11"/>
  <c r="B484" i="11"/>
  <c r="A484" i="11"/>
  <c r="R483" i="11"/>
  <c r="Q483" i="11"/>
  <c r="P483" i="11"/>
  <c r="M483" i="11"/>
  <c r="G483" i="11"/>
  <c r="F483" i="11"/>
  <c r="B483" i="11"/>
  <c r="C484" i="11" s="1"/>
  <c r="A483" i="11"/>
  <c r="R482" i="11"/>
  <c r="Q482" i="11"/>
  <c r="P482" i="11"/>
  <c r="M482" i="11"/>
  <c r="G482" i="11"/>
  <c r="F482" i="11"/>
  <c r="B482" i="11"/>
  <c r="A482" i="11"/>
  <c r="R481" i="11"/>
  <c r="Q481" i="11"/>
  <c r="P481" i="11"/>
  <c r="M481" i="11"/>
  <c r="G481" i="11"/>
  <c r="F481" i="11"/>
  <c r="B481" i="11"/>
  <c r="A481" i="11"/>
  <c r="R480" i="11"/>
  <c r="Q480" i="11"/>
  <c r="P480" i="11"/>
  <c r="M480" i="11"/>
  <c r="G480" i="11"/>
  <c r="F480" i="11"/>
  <c r="C480" i="11"/>
  <c r="B480" i="11"/>
  <c r="A480" i="11"/>
  <c r="R479" i="11"/>
  <c r="Q479" i="11"/>
  <c r="P479" i="11"/>
  <c r="M479" i="11"/>
  <c r="G479" i="11"/>
  <c r="F479" i="11"/>
  <c r="B479" i="11"/>
  <c r="A479" i="11"/>
  <c r="R478" i="11"/>
  <c r="Q478" i="11"/>
  <c r="P478" i="11"/>
  <c r="M478" i="11"/>
  <c r="G478" i="11"/>
  <c r="F478" i="11"/>
  <c r="B478" i="11"/>
  <c r="A478" i="11"/>
  <c r="R477" i="11"/>
  <c r="Q477" i="11"/>
  <c r="P477" i="11"/>
  <c r="M477" i="11"/>
  <c r="G477" i="11"/>
  <c r="F477" i="11"/>
  <c r="B477" i="11"/>
  <c r="A477" i="11"/>
  <c r="R476" i="11"/>
  <c r="Q476" i="11"/>
  <c r="P476" i="11"/>
  <c r="M476" i="11"/>
  <c r="G476" i="11"/>
  <c r="F476" i="11"/>
  <c r="B476" i="11"/>
  <c r="C476" i="11" s="1"/>
  <c r="A476" i="11"/>
  <c r="R475" i="11"/>
  <c r="Q475" i="11"/>
  <c r="P475" i="11"/>
  <c r="M475" i="11"/>
  <c r="G475" i="11"/>
  <c r="F475" i="11"/>
  <c r="B475" i="11"/>
  <c r="C475" i="11" s="1"/>
  <c r="A475" i="11"/>
  <c r="R474" i="11"/>
  <c r="Q474" i="11"/>
  <c r="P474" i="11"/>
  <c r="M474" i="11"/>
  <c r="G474" i="11"/>
  <c r="F474" i="11"/>
  <c r="B474" i="11"/>
  <c r="A474" i="11"/>
  <c r="R473" i="11"/>
  <c r="Q473" i="11"/>
  <c r="P473" i="11"/>
  <c r="M473" i="11"/>
  <c r="G473" i="11"/>
  <c r="F473" i="11"/>
  <c r="B473" i="11"/>
  <c r="A473" i="11"/>
  <c r="R472" i="11"/>
  <c r="Q472" i="11"/>
  <c r="P472" i="11"/>
  <c r="M472" i="11"/>
  <c r="G472" i="11"/>
  <c r="F472" i="11"/>
  <c r="B472" i="11"/>
  <c r="C473" i="11" s="1"/>
  <c r="A472" i="11"/>
  <c r="R471" i="11"/>
  <c r="Q471" i="11"/>
  <c r="P471" i="11"/>
  <c r="M471" i="11"/>
  <c r="G471" i="11"/>
  <c r="F471" i="11"/>
  <c r="C471" i="11"/>
  <c r="B471" i="11"/>
  <c r="A471" i="11"/>
  <c r="R470" i="11"/>
  <c r="Q470" i="11"/>
  <c r="P470" i="11"/>
  <c r="M470" i="11"/>
  <c r="G470" i="11"/>
  <c r="F470" i="11"/>
  <c r="B470" i="11"/>
  <c r="A470" i="11"/>
  <c r="R469" i="11"/>
  <c r="Q469" i="11"/>
  <c r="P469" i="11"/>
  <c r="M469" i="11"/>
  <c r="G469" i="11"/>
  <c r="F469" i="11"/>
  <c r="B469" i="11"/>
  <c r="A469" i="11"/>
  <c r="R468" i="11"/>
  <c r="Q468" i="11"/>
  <c r="P468" i="11"/>
  <c r="M468" i="11"/>
  <c r="G468" i="11"/>
  <c r="F468" i="11"/>
  <c r="B468" i="11"/>
  <c r="A468" i="11"/>
  <c r="R467" i="11"/>
  <c r="Q467" i="11"/>
  <c r="P467" i="11"/>
  <c r="M467" i="11"/>
  <c r="G467" i="11"/>
  <c r="F467" i="11"/>
  <c r="B467" i="11"/>
  <c r="A467" i="11"/>
  <c r="R466" i="11"/>
  <c r="Q466" i="11"/>
  <c r="P466" i="11"/>
  <c r="M466" i="11"/>
  <c r="G466" i="11"/>
  <c r="F466" i="11"/>
  <c r="B466" i="11"/>
  <c r="A466" i="11"/>
  <c r="R465" i="11"/>
  <c r="Q465" i="11"/>
  <c r="P465" i="11"/>
  <c r="M465" i="11"/>
  <c r="G465" i="11"/>
  <c r="F465" i="11"/>
  <c r="B465" i="11"/>
  <c r="A465" i="11"/>
  <c r="R464" i="11"/>
  <c r="Q464" i="11"/>
  <c r="P464" i="11"/>
  <c r="M464" i="11"/>
  <c r="G464" i="11"/>
  <c r="F464" i="11"/>
  <c r="B464" i="11"/>
  <c r="A464" i="11"/>
  <c r="R463" i="11"/>
  <c r="Q463" i="11"/>
  <c r="P463" i="11"/>
  <c r="M463" i="11"/>
  <c r="G463" i="11"/>
  <c r="F463" i="11"/>
  <c r="B463" i="11"/>
  <c r="C464" i="11" s="1"/>
  <c r="A463" i="11"/>
  <c r="R462" i="11"/>
  <c r="Q462" i="11"/>
  <c r="P462" i="11"/>
  <c r="M462" i="11"/>
  <c r="G462" i="11"/>
  <c r="F462" i="11"/>
  <c r="B462" i="11"/>
  <c r="C463" i="11" s="1"/>
  <c r="A462" i="11"/>
  <c r="R461" i="11"/>
  <c r="Q461" i="11"/>
  <c r="P461" i="11"/>
  <c r="M461" i="11"/>
  <c r="G461" i="11"/>
  <c r="F461" i="11"/>
  <c r="B461" i="11"/>
  <c r="A461" i="11"/>
  <c r="R460" i="11"/>
  <c r="Q460" i="11"/>
  <c r="P460" i="11"/>
  <c r="M460" i="11"/>
  <c r="G460" i="11"/>
  <c r="F460" i="11"/>
  <c r="B460" i="11"/>
  <c r="A460" i="11"/>
  <c r="R459" i="11"/>
  <c r="Q459" i="11"/>
  <c r="P459" i="11"/>
  <c r="M459" i="11"/>
  <c r="G459" i="11"/>
  <c r="F459" i="11"/>
  <c r="B459" i="11"/>
  <c r="A459" i="11"/>
  <c r="R458" i="11"/>
  <c r="Q458" i="11"/>
  <c r="P458" i="11"/>
  <c r="M458" i="11"/>
  <c r="G458" i="11"/>
  <c r="F458" i="11"/>
  <c r="B458" i="11"/>
  <c r="A458" i="11"/>
  <c r="R457" i="11"/>
  <c r="Q457" i="11"/>
  <c r="P457" i="11"/>
  <c r="M457" i="11"/>
  <c r="G457" i="11"/>
  <c r="F457" i="11"/>
  <c r="B457" i="11"/>
  <c r="A457" i="11"/>
  <c r="R456" i="11"/>
  <c r="Q456" i="11"/>
  <c r="P456" i="11"/>
  <c r="M456" i="11"/>
  <c r="G456" i="11"/>
  <c r="F456" i="11"/>
  <c r="B456" i="11"/>
  <c r="A456" i="11"/>
  <c r="R455" i="11"/>
  <c r="Q455" i="11"/>
  <c r="P455" i="11"/>
  <c r="M455" i="11"/>
  <c r="G455" i="11"/>
  <c r="F455" i="11"/>
  <c r="B455" i="11"/>
  <c r="A455" i="11"/>
  <c r="R454" i="11"/>
  <c r="Q454" i="11"/>
  <c r="P454" i="11"/>
  <c r="M454" i="11"/>
  <c r="G454" i="11"/>
  <c r="F454" i="11"/>
  <c r="B454" i="11"/>
  <c r="A454" i="11"/>
  <c r="R453" i="11"/>
  <c r="Q453" i="11"/>
  <c r="P453" i="11"/>
  <c r="M453" i="11"/>
  <c r="G453" i="11"/>
  <c r="F453" i="11"/>
  <c r="B453" i="11"/>
  <c r="A453" i="11"/>
  <c r="R452" i="11"/>
  <c r="Q452" i="11"/>
  <c r="P452" i="11"/>
  <c r="M452" i="11"/>
  <c r="G452" i="11"/>
  <c r="F452" i="11"/>
  <c r="B452" i="11"/>
  <c r="C452" i="11" s="1"/>
  <c r="A452" i="11"/>
  <c r="R451" i="11"/>
  <c r="Q451" i="11"/>
  <c r="P451" i="11"/>
  <c r="M451" i="11"/>
  <c r="G451" i="11"/>
  <c r="F451" i="11"/>
  <c r="C451" i="11"/>
  <c r="B451" i="11"/>
  <c r="A451" i="11"/>
  <c r="R450" i="11"/>
  <c r="Q450" i="11"/>
  <c r="P450" i="11"/>
  <c r="M450" i="11"/>
  <c r="G450" i="11"/>
  <c r="F450" i="11"/>
  <c r="B450" i="11"/>
  <c r="A450" i="11"/>
  <c r="R449" i="11"/>
  <c r="Q449" i="11"/>
  <c r="P449" i="11"/>
  <c r="M449" i="11"/>
  <c r="G449" i="11"/>
  <c r="F449" i="11"/>
  <c r="B449" i="11"/>
  <c r="A449" i="11"/>
  <c r="R448" i="11"/>
  <c r="Q448" i="11"/>
  <c r="P448" i="11"/>
  <c r="M448" i="11"/>
  <c r="G448" i="11"/>
  <c r="F448" i="11"/>
  <c r="B448" i="11"/>
  <c r="A448" i="11"/>
  <c r="R447" i="11"/>
  <c r="Q447" i="11"/>
  <c r="P447" i="11"/>
  <c r="M447" i="11"/>
  <c r="G447" i="11"/>
  <c r="F447" i="11"/>
  <c r="B447" i="11"/>
  <c r="C447" i="11" s="1"/>
  <c r="A447" i="11"/>
  <c r="R446" i="11"/>
  <c r="Q446" i="11"/>
  <c r="P446" i="11"/>
  <c r="M446" i="11"/>
  <c r="G446" i="11"/>
  <c r="F446" i="11"/>
  <c r="B446" i="11"/>
  <c r="A446" i="11"/>
  <c r="R445" i="11"/>
  <c r="Q445" i="11"/>
  <c r="P445" i="11"/>
  <c r="M445" i="11"/>
  <c r="G445" i="11"/>
  <c r="F445" i="11"/>
  <c r="B445" i="11"/>
  <c r="C445" i="11" s="1"/>
  <c r="A445" i="11"/>
  <c r="R444" i="11"/>
  <c r="Q444" i="11"/>
  <c r="P444" i="11"/>
  <c r="M444" i="11"/>
  <c r="G444" i="11"/>
  <c r="F444" i="11"/>
  <c r="B444" i="11"/>
  <c r="A444" i="11"/>
  <c r="R443" i="11"/>
  <c r="Q443" i="11"/>
  <c r="P443" i="11"/>
  <c r="M443" i="11"/>
  <c r="G443" i="11"/>
  <c r="F443" i="11"/>
  <c r="B443" i="11"/>
  <c r="A443" i="11"/>
  <c r="R442" i="11"/>
  <c r="Q442" i="11"/>
  <c r="P442" i="11"/>
  <c r="M442" i="11"/>
  <c r="G442" i="11"/>
  <c r="F442" i="11"/>
  <c r="B442" i="11"/>
  <c r="A442" i="11"/>
  <c r="R441" i="11"/>
  <c r="Q441" i="11"/>
  <c r="P441" i="11"/>
  <c r="M441" i="11"/>
  <c r="G441" i="11"/>
  <c r="F441" i="11"/>
  <c r="B441" i="11"/>
  <c r="A441" i="11"/>
  <c r="R440" i="11"/>
  <c r="Q440" i="11"/>
  <c r="P440" i="11"/>
  <c r="M440" i="11"/>
  <c r="G440" i="11"/>
  <c r="F440" i="11"/>
  <c r="B440" i="11"/>
  <c r="A440" i="11"/>
  <c r="R439" i="11"/>
  <c r="Q439" i="11"/>
  <c r="P439" i="11"/>
  <c r="M439" i="11"/>
  <c r="G439" i="11"/>
  <c r="F439" i="11"/>
  <c r="B439" i="11"/>
  <c r="C440" i="11" s="1"/>
  <c r="A439" i="11"/>
  <c r="R438" i="11"/>
  <c r="Q438" i="11"/>
  <c r="P438" i="11"/>
  <c r="M438" i="11"/>
  <c r="G438" i="11"/>
  <c r="F438" i="11"/>
  <c r="B438" i="11"/>
  <c r="A438" i="11"/>
  <c r="R437" i="11"/>
  <c r="Q437" i="11"/>
  <c r="P437" i="11"/>
  <c r="M437" i="11"/>
  <c r="G437" i="11"/>
  <c r="F437" i="11"/>
  <c r="B437" i="11"/>
  <c r="A437" i="11"/>
  <c r="R436" i="11"/>
  <c r="Q436" i="11"/>
  <c r="P436" i="11"/>
  <c r="M436" i="11"/>
  <c r="G436" i="11"/>
  <c r="F436" i="11"/>
  <c r="C436" i="11"/>
  <c r="B436" i="11"/>
  <c r="A436" i="11"/>
  <c r="R435" i="11"/>
  <c r="Q435" i="11"/>
  <c r="P435" i="11"/>
  <c r="M435" i="11"/>
  <c r="G435" i="11"/>
  <c r="F435" i="11"/>
  <c r="B435" i="11"/>
  <c r="A435" i="11"/>
  <c r="R434" i="11"/>
  <c r="Q434" i="11"/>
  <c r="P434" i="11"/>
  <c r="M434" i="11"/>
  <c r="G434" i="11"/>
  <c r="F434" i="11"/>
  <c r="B434" i="11"/>
  <c r="A434" i="11"/>
  <c r="R433" i="11"/>
  <c r="Q433" i="11"/>
  <c r="P433" i="11"/>
  <c r="M433" i="11"/>
  <c r="G433" i="11"/>
  <c r="F433" i="11"/>
  <c r="B433" i="11"/>
  <c r="A433" i="11"/>
  <c r="R432" i="11"/>
  <c r="Q432" i="11"/>
  <c r="P432" i="11"/>
  <c r="M432" i="11"/>
  <c r="G432" i="11"/>
  <c r="F432" i="11"/>
  <c r="B432" i="11"/>
  <c r="A432" i="11"/>
  <c r="R431" i="11"/>
  <c r="Q431" i="11"/>
  <c r="P431" i="11"/>
  <c r="M431" i="11"/>
  <c r="G431" i="11"/>
  <c r="F431" i="11"/>
  <c r="B431" i="11"/>
  <c r="A431" i="11"/>
  <c r="R430" i="11"/>
  <c r="Q430" i="11"/>
  <c r="P430" i="11"/>
  <c r="M430" i="11"/>
  <c r="G430" i="11"/>
  <c r="F430" i="11"/>
  <c r="B430" i="11"/>
  <c r="A430" i="11"/>
  <c r="R429" i="11"/>
  <c r="Q429" i="11"/>
  <c r="P429" i="11"/>
  <c r="M429" i="11"/>
  <c r="G429" i="11"/>
  <c r="F429" i="11"/>
  <c r="B429" i="11"/>
  <c r="A429" i="11"/>
  <c r="R428" i="11"/>
  <c r="Q428" i="11"/>
  <c r="P428" i="11"/>
  <c r="M428" i="11"/>
  <c r="G428" i="11"/>
  <c r="F428" i="11"/>
  <c r="B428" i="11"/>
  <c r="C429" i="11" s="1"/>
  <c r="A428" i="11"/>
  <c r="R427" i="11"/>
  <c r="Q427" i="11"/>
  <c r="P427" i="11"/>
  <c r="M427" i="11"/>
  <c r="G427" i="11"/>
  <c r="F427" i="11"/>
  <c r="B427" i="11"/>
  <c r="A427" i="11"/>
  <c r="R426" i="11"/>
  <c r="Q426" i="11"/>
  <c r="P426" i="11"/>
  <c r="M426" i="11"/>
  <c r="G426" i="11"/>
  <c r="F426" i="11"/>
  <c r="B426" i="11"/>
  <c r="A426" i="11"/>
  <c r="R425" i="11"/>
  <c r="Q425" i="11"/>
  <c r="P425" i="11"/>
  <c r="M425" i="11"/>
  <c r="G425" i="11"/>
  <c r="F425" i="11"/>
  <c r="B425" i="11"/>
  <c r="A425" i="11"/>
  <c r="R424" i="11"/>
  <c r="Q424" i="11"/>
  <c r="P424" i="11"/>
  <c r="M424" i="11"/>
  <c r="G424" i="11"/>
  <c r="F424" i="11"/>
  <c r="B424" i="11"/>
  <c r="A424" i="11"/>
  <c r="R423" i="11"/>
  <c r="Q423" i="11"/>
  <c r="P423" i="11"/>
  <c r="M423" i="11"/>
  <c r="G423" i="11"/>
  <c r="F423" i="11"/>
  <c r="B423" i="11"/>
  <c r="A423" i="11"/>
  <c r="R422" i="11"/>
  <c r="Q422" i="11"/>
  <c r="P422" i="11"/>
  <c r="M422" i="11"/>
  <c r="G422" i="11"/>
  <c r="F422" i="11"/>
  <c r="B422" i="11"/>
  <c r="A422" i="11"/>
  <c r="R421" i="11"/>
  <c r="Q421" i="11"/>
  <c r="P421" i="11"/>
  <c r="M421" i="11"/>
  <c r="G421" i="11"/>
  <c r="F421" i="11"/>
  <c r="B421" i="11"/>
  <c r="A421" i="11"/>
  <c r="R420" i="11"/>
  <c r="Q420" i="11"/>
  <c r="P420" i="11"/>
  <c r="M420" i="11"/>
  <c r="G420" i="11"/>
  <c r="F420" i="11"/>
  <c r="B420" i="11"/>
  <c r="C420" i="11" s="1"/>
  <c r="A420" i="11"/>
  <c r="R419" i="11"/>
  <c r="Q419" i="11"/>
  <c r="P419" i="11"/>
  <c r="M419" i="11"/>
  <c r="G419" i="11"/>
  <c r="F419" i="11"/>
  <c r="C419" i="11"/>
  <c r="B419" i="11"/>
  <c r="A419" i="11"/>
  <c r="R418" i="11"/>
  <c r="Q418" i="11"/>
  <c r="P418" i="11"/>
  <c r="M418" i="11"/>
  <c r="G418" i="11"/>
  <c r="F418" i="11"/>
  <c r="B418" i="11"/>
  <c r="A418" i="11"/>
  <c r="R417" i="11"/>
  <c r="Q417" i="11"/>
  <c r="P417" i="11"/>
  <c r="M417" i="11"/>
  <c r="G417" i="11"/>
  <c r="F417" i="11"/>
  <c r="B417" i="11"/>
  <c r="A417" i="11"/>
  <c r="R416" i="11"/>
  <c r="Q416" i="11"/>
  <c r="P416" i="11"/>
  <c r="M416" i="11"/>
  <c r="G416" i="11"/>
  <c r="F416" i="11"/>
  <c r="B416" i="11"/>
  <c r="C416" i="11" s="1"/>
  <c r="A416" i="11"/>
  <c r="R415" i="11"/>
  <c r="Q415" i="11"/>
  <c r="P415" i="11"/>
  <c r="M415" i="11"/>
  <c r="G415" i="11"/>
  <c r="F415" i="11"/>
  <c r="B415" i="11"/>
  <c r="A415" i="11"/>
  <c r="R414" i="11"/>
  <c r="Q414" i="11"/>
  <c r="P414" i="11"/>
  <c r="M414" i="11"/>
  <c r="G414" i="11"/>
  <c r="F414" i="11"/>
  <c r="B414" i="11"/>
  <c r="A414" i="11"/>
  <c r="R413" i="11"/>
  <c r="Q413" i="11"/>
  <c r="P413" i="11"/>
  <c r="M413" i="11"/>
  <c r="G413" i="11"/>
  <c r="F413" i="11"/>
  <c r="B413" i="11"/>
  <c r="A413" i="11"/>
  <c r="R412" i="11"/>
  <c r="Q412" i="11"/>
  <c r="P412" i="11"/>
  <c r="M412" i="11"/>
  <c r="G412" i="11"/>
  <c r="F412" i="11"/>
  <c r="B412" i="11"/>
  <c r="A412" i="11"/>
  <c r="R411" i="11"/>
  <c r="Q411" i="11"/>
  <c r="P411" i="11"/>
  <c r="M411" i="11"/>
  <c r="G411" i="11"/>
  <c r="F411" i="11"/>
  <c r="B411" i="11"/>
  <c r="C412" i="11" s="1"/>
  <c r="A411" i="11"/>
  <c r="R410" i="11"/>
  <c r="Q410" i="11"/>
  <c r="P410" i="11"/>
  <c r="M410" i="11"/>
  <c r="G410" i="11"/>
  <c r="F410" i="11"/>
  <c r="B410" i="11"/>
  <c r="A410" i="11"/>
  <c r="R409" i="11"/>
  <c r="Q409" i="11"/>
  <c r="P409" i="11"/>
  <c r="M409" i="11"/>
  <c r="G409" i="11"/>
  <c r="F409" i="11"/>
  <c r="B409" i="11"/>
  <c r="A409" i="11"/>
  <c r="R408" i="11"/>
  <c r="Q408" i="11"/>
  <c r="P408" i="11"/>
  <c r="M408" i="11"/>
  <c r="G408" i="11"/>
  <c r="F408" i="11"/>
  <c r="B408" i="11"/>
  <c r="C408" i="11" s="1"/>
  <c r="A408" i="11"/>
  <c r="R407" i="11"/>
  <c r="Q407" i="11"/>
  <c r="P407" i="11"/>
  <c r="M407" i="11"/>
  <c r="G407" i="11"/>
  <c r="F407" i="11"/>
  <c r="B407" i="11"/>
  <c r="A407" i="11"/>
  <c r="R406" i="11"/>
  <c r="Q406" i="11"/>
  <c r="P406" i="11"/>
  <c r="M406" i="11"/>
  <c r="G406" i="11"/>
  <c r="F406" i="11"/>
  <c r="B406" i="11"/>
  <c r="A406" i="11"/>
  <c r="R405" i="11"/>
  <c r="Q405" i="11"/>
  <c r="P405" i="11"/>
  <c r="M405" i="11"/>
  <c r="G405" i="11"/>
  <c r="F405" i="11"/>
  <c r="B405" i="11"/>
  <c r="A405" i="11"/>
  <c r="R404" i="11"/>
  <c r="Q404" i="11"/>
  <c r="P404" i="11"/>
  <c r="M404" i="11"/>
  <c r="G404" i="11"/>
  <c r="F404" i="11"/>
  <c r="B404" i="11"/>
  <c r="A404" i="11"/>
  <c r="R403" i="11"/>
  <c r="Q403" i="11"/>
  <c r="P403" i="11"/>
  <c r="M403" i="11"/>
  <c r="G403" i="11"/>
  <c r="F403" i="11"/>
  <c r="B403" i="11"/>
  <c r="A403" i="11"/>
  <c r="R402" i="11"/>
  <c r="Q402" i="11"/>
  <c r="P402" i="11"/>
  <c r="M402" i="11"/>
  <c r="G402" i="11"/>
  <c r="F402" i="11"/>
  <c r="B402" i="11"/>
  <c r="A402" i="11"/>
  <c r="R401" i="11"/>
  <c r="Q401" i="11"/>
  <c r="P401" i="11"/>
  <c r="M401" i="11"/>
  <c r="G401" i="11"/>
  <c r="F401" i="11"/>
  <c r="B401" i="11"/>
  <c r="A401" i="11"/>
  <c r="R400" i="11"/>
  <c r="Q400" i="11"/>
  <c r="P400" i="11"/>
  <c r="M400" i="11"/>
  <c r="G400" i="11"/>
  <c r="F400" i="11"/>
  <c r="B400" i="11"/>
  <c r="A400" i="11"/>
  <c r="R399" i="11"/>
  <c r="Q399" i="11"/>
  <c r="P399" i="11"/>
  <c r="M399" i="11"/>
  <c r="G399" i="11"/>
  <c r="F399" i="11"/>
  <c r="B399" i="11"/>
  <c r="C400" i="11" s="1"/>
  <c r="A399" i="11"/>
  <c r="R398" i="11"/>
  <c r="Q398" i="11"/>
  <c r="P398" i="11"/>
  <c r="M398" i="11"/>
  <c r="G398" i="11"/>
  <c r="F398" i="11"/>
  <c r="B398" i="11"/>
  <c r="A398" i="11"/>
  <c r="R397" i="11"/>
  <c r="Q397" i="11"/>
  <c r="P397" i="11"/>
  <c r="M397" i="11"/>
  <c r="G397" i="11"/>
  <c r="F397" i="11"/>
  <c r="B397" i="11"/>
  <c r="A397" i="11"/>
  <c r="R396" i="11"/>
  <c r="Q396" i="11"/>
  <c r="P396" i="11"/>
  <c r="M396" i="11"/>
  <c r="G396" i="11"/>
  <c r="F396" i="11"/>
  <c r="B396" i="11"/>
  <c r="A396" i="11"/>
  <c r="R395" i="11"/>
  <c r="Q395" i="11"/>
  <c r="P395" i="11"/>
  <c r="M395" i="11"/>
  <c r="G395" i="11"/>
  <c r="F395" i="11"/>
  <c r="B395" i="11"/>
  <c r="A395" i="11"/>
  <c r="R394" i="11"/>
  <c r="Q394" i="11"/>
  <c r="P394" i="11"/>
  <c r="M394" i="11"/>
  <c r="G394" i="11"/>
  <c r="F394" i="11"/>
  <c r="B394" i="11"/>
  <c r="A394" i="11"/>
  <c r="R393" i="11"/>
  <c r="Q393" i="11"/>
  <c r="P393" i="11"/>
  <c r="M393" i="11"/>
  <c r="G393" i="11"/>
  <c r="F393" i="11"/>
  <c r="B393" i="11"/>
  <c r="A393" i="11"/>
  <c r="R392" i="11"/>
  <c r="Q392" i="11"/>
  <c r="P392" i="11"/>
  <c r="M392" i="11"/>
  <c r="G392" i="11"/>
  <c r="F392" i="11"/>
  <c r="B392" i="11"/>
  <c r="A392" i="11"/>
  <c r="R391" i="11"/>
  <c r="Q391" i="11"/>
  <c r="P391" i="11"/>
  <c r="M391" i="11"/>
  <c r="G391" i="11"/>
  <c r="F391" i="11"/>
  <c r="B391" i="11"/>
  <c r="A391" i="11"/>
  <c r="R390" i="11"/>
  <c r="Q390" i="11"/>
  <c r="P390" i="11"/>
  <c r="M390" i="11"/>
  <c r="G390" i="11"/>
  <c r="F390" i="11"/>
  <c r="B390" i="11"/>
  <c r="A390" i="11"/>
  <c r="R389" i="11"/>
  <c r="Q389" i="11"/>
  <c r="P389" i="11"/>
  <c r="M389" i="11"/>
  <c r="G389" i="11"/>
  <c r="F389" i="11"/>
  <c r="B389" i="11"/>
  <c r="A389" i="11"/>
  <c r="R388" i="11"/>
  <c r="Q388" i="11"/>
  <c r="P388" i="11"/>
  <c r="M388" i="11"/>
  <c r="G388" i="11"/>
  <c r="F388" i="11"/>
  <c r="B388" i="11"/>
  <c r="A388" i="11"/>
  <c r="R387" i="11"/>
  <c r="Q387" i="11"/>
  <c r="P387" i="11"/>
  <c r="M387" i="11"/>
  <c r="G387" i="11"/>
  <c r="F387" i="11"/>
  <c r="B387" i="11"/>
  <c r="A387" i="11"/>
  <c r="R386" i="11"/>
  <c r="Q386" i="11"/>
  <c r="P386" i="11"/>
  <c r="M386" i="11"/>
  <c r="G386" i="11"/>
  <c r="F386" i="11"/>
  <c r="B386" i="11"/>
  <c r="A386" i="11"/>
  <c r="R385" i="11"/>
  <c r="Q385" i="11"/>
  <c r="P385" i="11"/>
  <c r="M385" i="11"/>
  <c r="G385" i="11"/>
  <c r="F385" i="11"/>
  <c r="B385" i="11"/>
  <c r="C385" i="11" s="1"/>
  <c r="A385" i="11"/>
  <c r="R384" i="11"/>
  <c r="Q384" i="11"/>
  <c r="P384" i="11"/>
  <c r="M384" i="11"/>
  <c r="G384" i="11"/>
  <c r="F384" i="11"/>
  <c r="C384" i="11"/>
  <c r="B384" i="11"/>
  <c r="A384" i="11"/>
  <c r="R383" i="11"/>
  <c r="Q383" i="11"/>
  <c r="P383" i="11"/>
  <c r="M383" i="11"/>
  <c r="G383" i="11"/>
  <c r="F383" i="11"/>
  <c r="B383" i="11"/>
  <c r="A383" i="11"/>
  <c r="R382" i="11"/>
  <c r="Q382" i="11"/>
  <c r="P382" i="11"/>
  <c r="M382" i="11"/>
  <c r="G382" i="11"/>
  <c r="F382" i="11"/>
  <c r="B382" i="11"/>
  <c r="A382" i="11"/>
  <c r="R381" i="11"/>
  <c r="Q381" i="11"/>
  <c r="P381" i="11"/>
  <c r="M381" i="11"/>
  <c r="G381" i="11"/>
  <c r="F381" i="11"/>
  <c r="B381" i="11"/>
  <c r="A381" i="11"/>
  <c r="R380" i="11"/>
  <c r="Q380" i="11"/>
  <c r="P380" i="11"/>
  <c r="M380" i="11"/>
  <c r="G380" i="11"/>
  <c r="F380" i="11"/>
  <c r="B380" i="11"/>
  <c r="A380" i="11"/>
  <c r="R379" i="11"/>
  <c r="Q379" i="11"/>
  <c r="P379" i="11"/>
  <c r="M379" i="11"/>
  <c r="G379" i="11"/>
  <c r="F379" i="11"/>
  <c r="B379" i="11"/>
  <c r="A379" i="11"/>
  <c r="R378" i="11"/>
  <c r="Q378" i="11"/>
  <c r="P378" i="11"/>
  <c r="M378" i="11"/>
  <c r="G378" i="11"/>
  <c r="F378" i="11"/>
  <c r="B378" i="11"/>
  <c r="A378" i="11"/>
  <c r="R377" i="11"/>
  <c r="Q377" i="11"/>
  <c r="P377" i="11"/>
  <c r="M377" i="11"/>
  <c r="G377" i="11"/>
  <c r="F377" i="11"/>
  <c r="B377" i="11"/>
  <c r="A377" i="11"/>
  <c r="R376" i="11"/>
  <c r="Q376" i="11"/>
  <c r="P376" i="11"/>
  <c r="M376" i="11"/>
  <c r="G376" i="11"/>
  <c r="F376" i="11"/>
  <c r="B376" i="11"/>
  <c r="A376" i="11"/>
  <c r="R375" i="11"/>
  <c r="Q375" i="11"/>
  <c r="P375" i="11"/>
  <c r="M375" i="11"/>
  <c r="G375" i="11"/>
  <c r="F375" i="11"/>
  <c r="B375" i="11"/>
  <c r="A375" i="11"/>
  <c r="R374" i="11"/>
  <c r="Q374" i="11"/>
  <c r="P374" i="11"/>
  <c r="M374" i="11"/>
  <c r="G374" i="11"/>
  <c r="F374" i="11"/>
  <c r="B374" i="11"/>
  <c r="A374" i="11"/>
  <c r="R373" i="11"/>
  <c r="Q373" i="11"/>
  <c r="P373" i="11"/>
  <c r="M373" i="11"/>
  <c r="G373" i="11"/>
  <c r="F373" i="11"/>
  <c r="B373" i="11"/>
  <c r="A373" i="11"/>
  <c r="R372" i="11"/>
  <c r="Q372" i="11"/>
  <c r="P372" i="11"/>
  <c r="M372" i="11"/>
  <c r="G372" i="11"/>
  <c r="F372" i="11"/>
  <c r="B372" i="11"/>
  <c r="A372" i="11"/>
  <c r="R371" i="11"/>
  <c r="Q371" i="11"/>
  <c r="P371" i="11"/>
  <c r="M371" i="11"/>
  <c r="G371" i="11"/>
  <c r="F371" i="11"/>
  <c r="B371" i="11"/>
  <c r="C372" i="11" s="1"/>
  <c r="A371" i="11"/>
  <c r="R370" i="11"/>
  <c r="Q370" i="11"/>
  <c r="P370" i="11"/>
  <c r="M370" i="11"/>
  <c r="G370" i="11"/>
  <c r="F370" i="11"/>
  <c r="B370" i="11"/>
  <c r="A370" i="11"/>
  <c r="R369" i="11"/>
  <c r="Q369" i="11"/>
  <c r="P369" i="11"/>
  <c r="M369" i="11"/>
  <c r="G369" i="11"/>
  <c r="F369" i="11"/>
  <c r="B369" i="11"/>
  <c r="A369" i="11"/>
  <c r="R368" i="11"/>
  <c r="Q368" i="11"/>
  <c r="P368" i="11"/>
  <c r="M368" i="11"/>
  <c r="G368" i="11"/>
  <c r="F368" i="11"/>
  <c r="B368" i="11"/>
  <c r="A368" i="11"/>
  <c r="R367" i="11"/>
  <c r="Q367" i="11"/>
  <c r="P367" i="11"/>
  <c r="M367" i="11"/>
  <c r="G367" i="11"/>
  <c r="F367" i="11"/>
  <c r="B367" i="11"/>
  <c r="C367" i="11" s="1"/>
  <c r="A367" i="11"/>
  <c r="R366" i="11"/>
  <c r="Q366" i="11"/>
  <c r="P366" i="11"/>
  <c r="M366" i="11"/>
  <c r="G366" i="11"/>
  <c r="F366" i="11"/>
  <c r="B366" i="11"/>
  <c r="A366" i="11"/>
  <c r="R365" i="11"/>
  <c r="Q365" i="11"/>
  <c r="P365" i="11"/>
  <c r="M365" i="11"/>
  <c r="G365" i="11"/>
  <c r="F365" i="11"/>
  <c r="B365" i="11"/>
  <c r="A365" i="11"/>
  <c r="R364" i="11"/>
  <c r="Q364" i="11"/>
  <c r="P364" i="11"/>
  <c r="M364" i="11"/>
  <c r="G364" i="11"/>
  <c r="F364" i="11"/>
  <c r="B364" i="11"/>
  <c r="A364" i="11"/>
  <c r="R363" i="11"/>
  <c r="Q363" i="11"/>
  <c r="P363" i="11"/>
  <c r="M363" i="11"/>
  <c r="G363" i="11"/>
  <c r="F363" i="11"/>
  <c r="B363" i="11"/>
  <c r="A363" i="11"/>
  <c r="R362" i="11"/>
  <c r="Q362" i="11"/>
  <c r="P362" i="11"/>
  <c r="M362" i="11"/>
  <c r="G362" i="11"/>
  <c r="F362" i="11"/>
  <c r="B362" i="11"/>
  <c r="A362" i="11"/>
  <c r="R361" i="11"/>
  <c r="Q361" i="11"/>
  <c r="P361" i="11"/>
  <c r="M361" i="11"/>
  <c r="G361" i="11"/>
  <c r="F361" i="11"/>
  <c r="B361" i="11"/>
  <c r="A361" i="11"/>
  <c r="R360" i="11"/>
  <c r="Q360" i="11"/>
  <c r="P360" i="11"/>
  <c r="M360" i="11"/>
  <c r="G360" i="11"/>
  <c r="F360" i="11"/>
  <c r="B360" i="11"/>
  <c r="A360" i="11"/>
  <c r="R359" i="11"/>
  <c r="Q359" i="11"/>
  <c r="P359" i="11"/>
  <c r="M359" i="11"/>
  <c r="G359" i="11"/>
  <c r="F359" i="11"/>
  <c r="B359" i="11"/>
  <c r="A359" i="11"/>
  <c r="R358" i="11"/>
  <c r="Q358" i="11"/>
  <c r="P358" i="11"/>
  <c r="M358" i="11"/>
  <c r="G358" i="11"/>
  <c r="F358" i="11"/>
  <c r="B358" i="11"/>
  <c r="A358" i="11"/>
  <c r="R357" i="11"/>
  <c r="Q357" i="11"/>
  <c r="P357" i="11"/>
  <c r="M357" i="11"/>
  <c r="G357" i="11"/>
  <c r="F357" i="11"/>
  <c r="B357" i="11"/>
  <c r="A357" i="11"/>
  <c r="R356" i="11"/>
  <c r="Q356" i="11"/>
  <c r="P356" i="11"/>
  <c r="M356" i="11"/>
  <c r="G356" i="11"/>
  <c r="F356" i="11"/>
  <c r="B356" i="11"/>
  <c r="A356" i="11"/>
  <c r="R355" i="11"/>
  <c r="Q355" i="11"/>
  <c r="P355" i="11"/>
  <c r="M355" i="11"/>
  <c r="G355" i="11"/>
  <c r="F355" i="11"/>
  <c r="B355" i="11"/>
  <c r="C356" i="11" s="1"/>
  <c r="A355" i="11"/>
  <c r="R354" i="11"/>
  <c r="Q354" i="11"/>
  <c r="P354" i="11"/>
  <c r="M354" i="11"/>
  <c r="G354" i="11"/>
  <c r="F354" i="11"/>
  <c r="B354" i="11"/>
  <c r="A354" i="11"/>
  <c r="R353" i="11"/>
  <c r="Q353" i="11"/>
  <c r="P353" i="11"/>
  <c r="M353" i="11"/>
  <c r="G353" i="11"/>
  <c r="F353" i="11"/>
  <c r="B353" i="11"/>
  <c r="A353" i="11"/>
  <c r="R352" i="11"/>
  <c r="Q352" i="11"/>
  <c r="P352" i="11"/>
  <c r="M352" i="11"/>
  <c r="G352" i="11"/>
  <c r="F352" i="11"/>
  <c r="B352" i="11"/>
  <c r="A352" i="11"/>
  <c r="R351" i="11"/>
  <c r="Q351" i="11"/>
  <c r="P351" i="11"/>
  <c r="M351" i="11"/>
  <c r="G351" i="11"/>
  <c r="F351" i="11"/>
  <c r="B351" i="11"/>
  <c r="C352" i="11" s="1"/>
  <c r="A351" i="11"/>
  <c r="R350" i="11"/>
  <c r="Q350" i="11"/>
  <c r="P350" i="11"/>
  <c r="M350" i="11"/>
  <c r="G350" i="11"/>
  <c r="F350" i="11"/>
  <c r="B350" i="11"/>
  <c r="A350" i="11"/>
  <c r="R349" i="11"/>
  <c r="Q349" i="11"/>
  <c r="P349" i="11"/>
  <c r="M349" i="11"/>
  <c r="G349" i="11"/>
  <c r="F349" i="11"/>
  <c r="B349" i="11"/>
  <c r="A349" i="11"/>
  <c r="R348" i="11"/>
  <c r="Q348" i="11"/>
  <c r="P348" i="11"/>
  <c r="M348" i="11"/>
  <c r="G348" i="11"/>
  <c r="F348" i="11"/>
  <c r="B348" i="11"/>
  <c r="A348" i="11"/>
  <c r="R347" i="11"/>
  <c r="Q347" i="11"/>
  <c r="P347" i="11"/>
  <c r="M347" i="11"/>
  <c r="G347" i="11"/>
  <c r="F347" i="11"/>
  <c r="B347" i="11"/>
  <c r="A347" i="11"/>
  <c r="R346" i="11"/>
  <c r="Q346" i="11"/>
  <c r="P346" i="11"/>
  <c r="M346" i="11"/>
  <c r="G346" i="11"/>
  <c r="F346" i="11"/>
  <c r="B346" i="11"/>
  <c r="A346" i="11"/>
  <c r="R345" i="11"/>
  <c r="Q345" i="11"/>
  <c r="P345" i="11"/>
  <c r="M345" i="11"/>
  <c r="G345" i="11"/>
  <c r="F345" i="11"/>
  <c r="B345" i="11"/>
  <c r="A345" i="11"/>
  <c r="R344" i="11"/>
  <c r="Q344" i="11"/>
  <c r="P344" i="11"/>
  <c r="M344" i="11"/>
  <c r="G344" i="11"/>
  <c r="F344" i="11"/>
  <c r="B344" i="11"/>
  <c r="A344" i="11"/>
  <c r="R343" i="11"/>
  <c r="Q343" i="11"/>
  <c r="P343" i="11"/>
  <c r="M343" i="11"/>
  <c r="G343" i="11"/>
  <c r="F343" i="11"/>
  <c r="B343" i="11"/>
  <c r="A343" i="11"/>
  <c r="R342" i="11"/>
  <c r="Q342" i="11"/>
  <c r="P342" i="11"/>
  <c r="M342" i="11"/>
  <c r="G342" i="11"/>
  <c r="F342" i="11"/>
  <c r="B342" i="11"/>
  <c r="A342" i="11"/>
  <c r="R341" i="11"/>
  <c r="Q341" i="11"/>
  <c r="P341" i="11"/>
  <c r="M341" i="11"/>
  <c r="G341" i="11"/>
  <c r="F341" i="11"/>
  <c r="B341" i="11"/>
  <c r="A341" i="11"/>
  <c r="R340" i="11"/>
  <c r="Q340" i="11"/>
  <c r="P340" i="11"/>
  <c r="M340" i="11"/>
  <c r="G340" i="11"/>
  <c r="F340" i="11"/>
  <c r="B340" i="11"/>
  <c r="A340" i="11"/>
  <c r="R339" i="11"/>
  <c r="Q339" i="11"/>
  <c r="P339" i="11"/>
  <c r="M339" i="11"/>
  <c r="G339" i="11"/>
  <c r="F339" i="11"/>
  <c r="B339" i="11"/>
  <c r="A339" i="11"/>
  <c r="R338" i="11"/>
  <c r="Q338" i="11"/>
  <c r="P338" i="11"/>
  <c r="M338" i="11"/>
  <c r="G338" i="11"/>
  <c r="F338" i="11"/>
  <c r="B338" i="11"/>
  <c r="A338" i="11"/>
  <c r="R337" i="11"/>
  <c r="Q337" i="11"/>
  <c r="P337" i="11"/>
  <c r="M337" i="11"/>
  <c r="G337" i="11"/>
  <c r="F337" i="11"/>
  <c r="B337" i="11"/>
  <c r="A337" i="11"/>
  <c r="R336" i="11"/>
  <c r="Q336" i="11"/>
  <c r="P336" i="11"/>
  <c r="M336" i="11"/>
  <c r="G336" i="11"/>
  <c r="F336" i="11"/>
  <c r="B336" i="11"/>
  <c r="A336" i="11"/>
  <c r="R335" i="11"/>
  <c r="Q335" i="11"/>
  <c r="P335" i="11"/>
  <c r="M335" i="11"/>
  <c r="G335" i="11"/>
  <c r="F335" i="11"/>
  <c r="B335" i="11"/>
  <c r="A335" i="11"/>
  <c r="R334" i="11"/>
  <c r="Q334" i="11"/>
  <c r="P334" i="11"/>
  <c r="M334" i="11"/>
  <c r="G334" i="11"/>
  <c r="F334" i="11"/>
  <c r="B334" i="11"/>
  <c r="A334" i="11"/>
  <c r="R333" i="11"/>
  <c r="Q333" i="11"/>
  <c r="P333" i="11"/>
  <c r="M333" i="11"/>
  <c r="G333" i="11"/>
  <c r="F333" i="11"/>
  <c r="B333" i="11"/>
  <c r="A333" i="11"/>
  <c r="R332" i="11"/>
  <c r="Q332" i="11"/>
  <c r="P332" i="11"/>
  <c r="M332" i="11"/>
  <c r="G332" i="11"/>
  <c r="F332" i="11"/>
  <c r="B332" i="11"/>
  <c r="A332" i="11"/>
  <c r="R331" i="11"/>
  <c r="Q331" i="11"/>
  <c r="P331" i="11"/>
  <c r="M331" i="11"/>
  <c r="G331" i="11"/>
  <c r="F331" i="11"/>
  <c r="B331" i="11"/>
  <c r="A331" i="11"/>
  <c r="R330" i="11"/>
  <c r="Q330" i="11"/>
  <c r="P330" i="11"/>
  <c r="M330" i="11"/>
  <c r="G330" i="11"/>
  <c r="F330" i="11"/>
  <c r="B330" i="11"/>
  <c r="A330" i="11"/>
  <c r="R329" i="11"/>
  <c r="Q329" i="11"/>
  <c r="P329" i="11"/>
  <c r="M329" i="11"/>
  <c r="G329" i="11"/>
  <c r="F329" i="11"/>
  <c r="B329" i="11"/>
  <c r="A329" i="11"/>
  <c r="R328" i="11"/>
  <c r="Q328" i="11"/>
  <c r="P328" i="11"/>
  <c r="M328" i="11"/>
  <c r="G328" i="11"/>
  <c r="F328" i="11"/>
  <c r="B328" i="11"/>
  <c r="A328" i="11"/>
  <c r="R327" i="11"/>
  <c r="Q327" i="11"/>
  <c r="P327" i="11"/>
  <c r="M327" i="11"/>
  <c r="G327" i="11"/>
  <c r="F327" i="11"/>
  <c r="B327" i="11"/>
  <c r="A327" i="11"/>
  <c r="R326" i="11"/>
  <c r="Q326" i="11"/>
  <c r="P326" i="11"/>
  <c r="M326" i="11"/>
  <c r="G326" i="11"/>
  <c r="F326" i="11"/>
  <c r="B326" i="11"/>
  <c r="A326" i="11"/>
  <c r="R325" i="11"/>
  <c r="Q325" i="11"/>
  <c r="P325" i="11"/>
  <c r="M325" i="11"/>
  <c r="G325" i="11"/>
  <c r="F325" i="11"/>
  <c r="B325" i="11"/>
  <c r="A325" i="11"/>
  <c r="R324" i="11"/>
  <c r="Q324" i="11"/>
  <c r="P324" i="11"/>
  <c r="M324" i="11"/>
  <c r="G324" i="11"/>
  <c r="F324" i="11"/>
  <c r="B324" i="11"/>
  <c r="A324" i="11"/>
  <c r="R323" i="11"/>
  <c r="Q323" i="11"/>
  <c r="P323" i="11"/>
  <c r="M323" i="11"/>
  <c r="G323" i="11"/>
  <c r="F323" i="11"/>
  <c r="B323" i="11"/>
  <c r="C323" i="11" s="1"/>
  <c r="A323" i="11"/>
  <c r="R322" i="11"/>
  <c r="Q322" i="11"/>
  <c r="P322" i="11"/>
  <c r="M322" i="11"/>
  <c r="G322" i="11"/>
  <c r="F322" i="11"/>
  <c r="B322" i="11"/>
  <c r="A322" i="11"/>
  <c r="R321" i="11"/>
  <c r="Q321" i="11"/>
  <c r="P321" i="11"/>
  <c r="M321" i="11"/>
  <c r="G321" i="11"/>
  <c r="F321" i="11"/>
  <c r="B321" i="11"/>
  <c r="A321" i="11"/>
  <c r="R320" i="11"/>
  <c r="Q320" i="11"/>
  <c r="P320" i="11"/>
  <c r="M320" i="11"/>
  <c r="G320" i="11"/>
  <c r="F320" i="11"/>
  <c r="B320" i="11"/>
  <c r="A320" i="11"/>
  <c r="R319" i="11"/>
  <c r="Q319" i="11"/>
  <c r="P319" i="11"/>
  <c r="M319" i="11"/>
  <c r="G319" i="11"/>
  <c r="F319" i="11"/>
  <c r="B319" i="11"/>
  <c r="A319" i="11"/>
  <c r="R318" i="11"/>
  <c r="Q318" i="11"/>
  <c r="P318" i="11"/>
  <c r="M318" i="11"/>
  <c r="G318" i="11"/>
  <c r="F318" i="11"/>
  <c r="B318" i="11"/>
  <c r="A318" i="11"/>
  <c r="R317" i="11"/>
  <c r="Q317" i="11"/>
  <c r="P317" i="11"/>
  <c r="M317" i="11"/>
  <c r="G317" i="11"/>
  <c r="F317" i="11"/>
  <c r="B317" i="11"/>
  <c r="A317" i="11"/>
  <c r="R316" i="11"/>
  <c r="Q316" i="11"/>
  <c r="P316" i="11"/>
  <c r="M316" i="11"/>
  <c r="G316" i="11"/>
  <c r="F316" i="11"/>
  <c r="B316" i="11"/>
  <c r="A316" i="11"/>
  <c r="R315" i="11"/>
  <c r="Q315" i="11"/>
  <c r="P315" i="11"/>
  <c r="M315" i="11"/>
  <c r="G315" i="11"/>
  <c r="F315" i="11"/>
  <c r="B315" i="11"/>
  <c r="A315" i="11"/>
  <c r="R314" i="11"/>
  <c r="Q314" i="11"/>
  <c r="P314" i="11"/>
  <c r="M314" i="11"/>
  <c r="G314" i="11"/>
  <c r="F314" i="11"/>
  <c r="B314" i="11"/>
  <c r="A314" i="11"/>
  <c r="R313" i="11"/>
  <c r="Q313" i="11"/>
  <c r="P313" i="11"/>
  <c r="M313" i="11"/>
  <c r="G313" i="11"/>
  <c r="F313" i="11"/>
  <c r="B313" i="11"/>
  <c r="A313" i="11"/>
  <c r="R312" i="11"/>
  <c r="Q312" i="11"/>
  <c r="P312" i="11"/>
  <c r="M312" i="11"/>
  <c r="G312" i="11"/>
  <c r="F312" i="11"/>
  <c r="B312" i="11"/>
  <c r="A312" i="11"/>
  <c r="R311" i="11"/>
  <c r="Q311" i="11"/>
  <c r="P311" i="11"/>
  <c r="M311" i="11"/>
  <c r="G311" i="11"/>
  <c r="F311" i="11"/>
  <c r="B311" i="11"/>
  <c r="A311" i="11"/>
  <c r="R310" i="11"/>
  <c r="Q310" i="11"/>
  <c r="P310" i="11"/>
  <c r="M310" i="11"/>
  <c r="G310" i="11"/>
  <c r="F310" i="11"/>
  <c r="B310" i="11"/>
  <c r="A310" i="11"/>
  <c r="R309" i="11"/>
  <c r="Q309" i="11"/>
  <c r="P309" i="11"/>
  <c r="M309" i="11"/>
  <c r="G309" i="11"/>
  <c r="F309" i="11"/>
  <c r="B309" i="11"/>
  <c r="A309" i="11"/>
  <c r="R308" i="11"/>
  <c r="Q308" i="11"/>
  <c r="P308" i="11"/>
  <c r="M308" i="11"/>
  <c r="G308" i="11"/>
  <c r="F308" i="11"/>
  <c r="B308" i="11"/>
  <c r="C308" i="11" s="1"/>
  <c r="A308" i="11"/>
  <c r="R307" i="11"/>
  <c r="Q307" i="11"/>
  <c r="P307" i="11"/>
  <c r="M307" i="11"/>
  <c r="G307" i="11"/>
  <c r="F307" i="11"/>
  <c r="C307" i="11"/>
  <c r="B307" i="11"/>
  <c r="A307" i="11"/>
  <c r="R306" i="11"/>
  <c r="Q306" i="11"/>
  <c r="P306" i="11"/>
  <c r="M306" i="11"/>
  <c r="G306" i="11"/>
  <c r="F306" i="11"/>
  <c r="B306" i="11"/>
  <c r="A306" i="11"/>
  <c r="R305" i="11"/>
  <c r="Q305" i="11"/>
  <c r="P305" i="11"/>
  <c r="M305" i="11"/>
  <c r="G305" i="11"/>
  <c r="F305" i="11"/>
  <c r="B305" i="11"/>
  <c r="A305" i="11"/>
  <c r="R304" i="11"/>
  <c r="Q304" i="11"/>
  <c r="P304" i="11"/>
  <c r="M304" i="11"/>
  <c r="G304" i="11"/>
  <c r="F304" i="11"/>
  <c r="B304" i="11"/>
  <c r="A304" i="11"/>
  <c r="R303" i="11"/>
  <c r="Q303" i="11"/>
  <c r="P303" i="11"/>
  <c r="M303" i="11"/>
  <c r="G303" i="11"/>
  <c r="F303" i="11"/>
  <c r="B303" i="11"/>
  <c r="A303" i="11"/>
  <c r="R302" i="11"/>
  <c r="Q302" i="11"/>
  <c r="P302" i="11"/>
  <c r="M302" i="11"/>
  <c r="G302" i="11"/>
  <c r="F302" i="11"/>
  <c r="B302" i="11"/>
  <c r="A302" i="11"/>
  <c r="R301" i="11"/>
  <c r="Q301" i="11"/>
  <c r="P301" i="11"/>
  <c r="M301" i="11"/>
  <c r="G301" i="11"/>
  <c r="F301" i="11"/>
  <c r="B301" i="11"/>
  <c r="A301" i="11"/>
  <c r="R300" i="11"/>
  <c r="Q300" i="11"/>
  <c r="P300" i="11"/>
  <c r="M300" i="11"/>
  <c r="G300" i="11"/>
  <c r="F300" i="11"/>
  <c r="B300" i="11"/>
  <c r="A300" i="11"/>
  <c r="R299" i="11"/>
  <c r="Q299" i="11"/>
  <c r="P299" i="11"/>
  <c r="M299" i="11"/>
  <c r="G299" i="11"/>
  <c r="F299" i="11"/>
  <c r="B299" i="11"/>
  <c r="A299" i="11"/>
  <c r="R298" i="11"/>
  <c r="Q298" i="11"/>
  <c r="P298" i="11"/>
  <c r="M298" i="11"/>
  <c r="G298" i="11"/>
  <c r="F298" i="11"/>
  <c r="B298" i="11"/>
  <c r="A298" i="11"/>
  <c r="R297" i="11"/>
  <c r="Q297" i="11"/>
  <c r="P297" i="11"/>
  <c r="M297" i="11"/>
  <c r="G297" i="11"/>
  <c r="F297" i="11"/>
  <c r="B297" i="11"/>
  <c r="A297" i="11"/>
  <c r="R296" i="11"/>
  <c r="Q296" i="11"/>
  <c r="P296" i="11"/>
  <c r="M296" i="11"/>
  <c r="G296" i="11"/>
  <c r="F296" i="11"/>
  <c r="B296" i="11"/>
  <c r="A296" i="11"/>
  <c r="R295" i="11"/>
  <c r="Q295" i="11"/>
  <c r="P295" i="11"/>
  <c r="M295" i="11"/>
  <c r="G295" i="11"/>
  <c r="F295" i="11"/>
  <c r="B295" i="11"/>
  <c r="A295" i="11"/>
  <c r="R294" i="11"/>
  <c r="Q294" i="11"/>
  <c r="P294" i="11"/>
  <c r="M294" i="11"/>
  <c r="G294" i="11"/>
  <c r="F294" i="11"/>
  <c r="C294" i="11"/>
  <c r="B294" i="11"/>
  <c r="A294" i="11"/>
  <c r="R293" i="11"/>
  <c r="Q293" i="11"/>
  <c r="P293" i="11"/>
  <c r="M293" i="11"/>
  <c r="G293" i="11"/>
  <c r="F293" i="11"/>
  <c r="B293" i="11"/>
  <c r="A293" i="11"/>
  <c r="R292" i="11"/>
  <c r="Q292" i="11"/>
  <c r="P292" i="11"/>
  <c r="M292" i="11"/>
  <c r="G292" i="11"/>
  <c r="F292" i="11"/>
  <c r="B292" i="11"/>
  <c r="A292" i="11"/>
  <c r="R291" i="11"/>
  <c r="Q291" i="11"/>
  <c r="P291" i="11"/>
  <c r="M291" i="11"/>
  <c r="G291" i="11"/>
  <c r="F291" i="11"/>
  <c r="B291" i="11"/>
  <c r="A291" i="11"/>
  <c r="R290" i="11"/>
  <c r="Q290" i="11"/>
  <c r="P290" i="11"/>
  <c r="M290" i="11"/>
  <c r="G290" i="11"/>
  <c r="F290" i="11"/>
  <c r="B290" i="11"/>
  <c r="A290" i="11"/>
  <c r="R289" i="11"/>
  <c r="Q289" i="11"/>
  <c r="P289" i="11"/>
  <c r="M289" i="11"/>
  <c r="G289" i="11"/>
  <c r="F289" i="11"/>
  <c r="B289" i="11"/>
  <c r="A289" i="11"/>
  <c r="R288" i="11"/>
  <c r="Q288" i="11"/>
  <c r="P288" i="11"/>
  <c r="M288" i="11"/>
  <c r="G288" i="11"/>
  <c r="F288" i="11"/>
  <c r="B288" i="11"/>
  <c r="A288" i="11"/>
  <c r="R287" i="11"/>
  <c r="Q287" i="11"/>
  <c r="P287" i="11"/>
  <c r="M287" i="11"/>
  <c r="G287" i="11"/>
  <c r="F287" i="11"/>
  <c r="B287" i="11"/>
  <c r="A287" i="11"/>
  <c r="R286" i="11"/>
  <c r="Q286" i="11"/>
  <c r="P286" i="11"/>
  <c r="M286" i="11"/>
  <c r="G286" i="11"/>
  <c r="F286" i="11"/>
  <c r="B286" i="11"/>
  <c r="C286" i="11" s="1"/>
  <c r="A286" i="11"/>
  <c r="R285" i="11"/>
  <c r="Q285" i="11"/>
  <c r="P285" i="11"/>
  <c r="M285" i="11"/>
  <c r="G285" i="11"/>
  <c r="F285" i="11"/>
  <c r="B285" i="11"/>
  <c r="A285" i="11"/>
  <c r="R284" i="11"/>
  <c r="Q284" i="11"/>
  <c r="P284" i="11"/>
  <c r="M284" i="11"/>
  <c r="G284" i="11"/>
  <c r="F284" i="11"/>
  <c r="B284" i="11"/>
  <c r="A284" i="11"/>
  <c r="R283" i="11"/>
  <c r="Q283" i="11"/>
  <c r="P283" i="11"/>
  <c r="M283" i="11"/>
  <c r="G283" i="11"/>
  <c r="F283" i="11"/>
  <c r="B283" i="11"/>
  <c r="A283" i="11"/>
  <c r="R282" i="11"/>
  <c r="Q282" i="11"/>
  <c r="P282" i="11"/>
  <c r="M282" i="11"/>
  <c r="G282" i="11"/>
  <c r="F282" i="11"/>
  <c r="B282" i="11"/>
  <c r="A282" i="11"/>
  <c r="R281" i="11"/>
  <c r="Q281" i="11"/>
  <c r="P281" i="11"/>
  <c r="M281" i="11"/>
  <c r="G281" i="11"/>
  <c r="F281" i="11"/>
  <c r="B281" i="11"/>
  <c r="A281" i="11"/>
  <c r="R280" i="11"/>
  <c r="Q280" i="11"/>
  <c r="P280" i="11"/>
  <c r="M280" i="11"/>
  <c r="G280" i="11"/>
  <c r="F280" i="11"/>
  <c r="B280" i="11"/>
  <c r="A280" i="11"/>
  <c r="R279" i="11"/>
  <c r="Q279" i="11"/>
  <c r="P279" i="11"/>
  <c r="M279" i="11"/>
  <c r="G279" i="11"/>
  <c r="F279" i="11"/>
  <c r="B279" i="11"/>
  <c r="A279" i="11"/>
  <c r="R278" i="11"/>
  <c r="Q278" i="11"/>
  <c r="P278" i="11"/>
  <c r="M278" i="11"/>
  <c r="G278" i="11"/>
  <c r="F278" i="11"/>
  <c r="B278" i="11"/>
  <c r="A278" i="11"/>
  <c r="R277" i="11"/>
  <c r="Q277" i="11"/>
  <c r="P277" i="11"/>
  <c r="M277" i="11"/>
  <c r="G277" i="11"/>
  <c r="F277" i="11"/>
  <c r="B277" i="11"/>
  <c r="A277" i="11"/>
  <c r="R276" i="11"/>
  <c r="Q276" i="11"/>
  <c r="P276" i="11"/>
  <c r="M276" i="11"/>
  <c r="G276" i="11"/>
  <c r="F276" i="11"/>
  <c r="B276" i="11"/>
  <c r="A276" i="11"/>
  <c r="R275" i="11"/>
  <c r="Q275" i="11"/>
  <c r="P275" i="11"/>
  <c r="M275" i="11"/>
  <c r="G275" i="11"/>
  <c r="F275" i="11"/>
  <c r="B275" i="11"/>
  <c r="A275" i="11"/>
  <c r="R274" i="11"/>
  <c r="Q274" i="11"/>
  <c r="P274" i="11"/>
  <c r="M274" i="11"/>
  <c r="G274" i="11"/>
  <c r="F274" i="11"/>
  <c r="B274" i="11"/>
  <c r="A274" i="11"/>
  <c r="R273" i="11"/>
  <c r="Q273" i="11"/>
  <c r="P273" i="11"/>
  <c r="M273" i="11"/>
  <c r="G273" i="11"/>
  <c r="F273" i="11"/>
  <c r="B273" i="11"/>
  <c r="A273" i="11"/>
  <c r="R272" i="11"/>
  <c r="Q272" i="11"/>
  <c r="P272" i="11"/>
  <c r="M272" i="11"/>
  <c r="G272" i="11"/>
  <c r="F272" i="11"/>
  <c r="B272" i="11"/>
  <c r="A272" i="11"/>
  <c r="R271" i="11"/>
  <c r="Q271" i="11"/>
  <c r="P271" i="11"/>
  <c r="M271" i="11"/>
  <c r="G271" i="11"/>
  <c r="F271" i="11"/>
  <c r="B271" i="11"/>
  <c r="A271" i="11"/>
  <c r="R270" i="11"/>
  <c r="Q270" i="11"/>
  <c r="P270" i="11"/>
  <c r="M270" i="11"/>
  <c r="G270" i="11"/>
  <c r="F270" i="11"/>
  <c r="B270" i="11"/>
  <c r="A270" i="11"/>
  <c r="R269" i="11"/>
  <c r="Q269" i="11"/>
  <c r="P269" i="11"/>
  <c r="M269" i="11"/>
  <c r="G269" i="11"/>
  <c r="F269" i="11"/>
  <c r="B269" i="11"/>
  <c r="A269" i="11"/>
  <c r="R268" i="11"/>
  <c r="Q268" i="11"/>
  <c r="P268" i="11"/>
  <c r="M268" i="11"/>
  <c r="G268" i="11"/>
  <c r="F268" i="11"/>
  <c r="B268" i="11"/>
  <c r="A268" i="11"/>
  <c r="R267" i="11"/>
  <c r="Q267" i="11"/>
  <c r="P267" i="11"/>
  <c r="M267" i="11"/>
  <c r="G267" i="11"/>
  <c r="F267" i="11"/>
  <c r="B267" i="11"/>
  <c r="A267" i="11"/>
  <c r="R266" i="11"/>
  <c r="Q266" i="11"/>
  <c r="P266" i="11"/>
  <c r="M266" i="11"/>
  <c r="G266" i="11"/>
  <c r="F266" i="11"/>
  <c r="B266" i="11"/>
  <c r="A266" i="11"/>
  <c r="R265" i="11"/>
  <c r="Q265" i="11"/>
  <c r="P265" i="11"/>
  <c r="M265" i="11"/>
  <c r="G265" i="11"/>
  <c r="F265" i="11"/>
  <c r="B265" i="11"/>
  <c r="A265" i="11"/>
  <c r="R264" i="11"/>
  <c r="Q264" i="11"/>
  <c r="P264" i="11"/>
  <c r="M264" i="11"/>
  <c r="G264" i="11"/>
  <c r="F264" i="11"/>
  <c r="B264" i="11"/>
  <c r="A264" i="11"/>
  <c r="R263" i="11"/>
  <c r="Q263" i="11"/>
  <c r="P263" i="11"/>
  <c r="M263" i="11"/>
  <c r="G263" i="11"/>
  <c r="F263" i="11"/>
  <c r="B263" i="11"/>
  <c r="A263" i="11"/>
  <c r="R262" i="11"/>
  <c r="Q262" i="11"/>
  <c r="P262" i="11"/>
  <c r="M262" i="11"/>
  <c r="G262" i="11"/>
  <c r="F262" i="11"/>
  <c r="B262" i="11"/>
  <c r="A262" i="11"/>
  <c r="R261" i="11"/>
  <c r="Q261" i="11"/>
  <c r="P261" i="11"/>
  <c r="M261" i="11"/>
  <c r="G261" i="11"/>
  <c r="F261" i="11"/>
  <c r="B261" i="11"/>
  <c r="A261" i="11"/>
  <c r="R260" i="11"/>
  <c r="Q260" i="11"/>
  <c r="P260" i="11"/>
  <c r="M260" i="11"/>
  <c r="G260" i="11"/>
  <c r="F260" i="11"/>
  <c r="B260" i="11"/>
  <c r="A260" i="11"/>
  <c r="R259" i="11"/>
  <c r="Q259" i="11"/>
  <c r="P259" i="11"/>
  <c r="M259" i="11"/>
  <c r="G259" i="11"/>
  <c r="F259" i="11"/>
  <c r="B259" i="11"/>
  <c r="A259" i="11"/>
  <c r="R258" i="11"/>
  <c r="Q258" i="11"/>
  <c r="P258" i="11"/>
  <c r="M258" i="11"/>
  <c r="G258" i="11"/>
  <c r="F258" i="11"/>
  <c r="B258" i="11"/>
  <c r="A258" i="11"/>
  <c r="R257" i="11"/>
  <c r="Q257" i="11"/>
  <c r="P257" i="11"/>
  <c r="M257" i="11"/>
  <c r="G257" i="11"/>
  <c r="F257" i="11"/>
  <c r="B257" i="11"/>
  <c r="A257" i="11"/>
  <c r="R256" i="11"/>
  <c r="Q256" i="11"/>
  <c r="P256" i="11"/>
  <c r="M256" i="11"/>
  <c r="G256" i="11"/>
  <c r="F256" i="11"/>
  <c r="B256" i="11"/>
  <c r="A256" i="11"/>
  <c r="R255" i="11"/>
  <c r="Q255" i="11"/>
  <c r="P255" i="11"/>
  <c r="M255" i="11"/>
  <c r="G255" i="11"/>
  <c r="F255" i="11"/>
  <c r="B255" i="11"/>
  <c r="A255" i="11"/>
  <c r="R254" i="11"/>
  <c r="Q254" i="11"/>
  <c r="P254" i="11"/>
  <c r="M254" i="11"/>
  <c r="G254" i="11"/>
  <c r="F254" i="11"/>
  <c r="B254" i="11"/>
  <c r="A254" i="11"/>
  <c r="R253" i="11"/>
  <c r="Q253" i="11"/>
  <c r="P253" i="11"/>
  <c r="M253" i="11"/>
  <c r="G253" i="11"/>
  <c r="F253" i="11"/>
  <c r="B253" i="11"/>
  <c r="A253" i="11"/>
  <c r="R252" i="11"/>
  <c r="Q252" i="11"/>
  <c r="P252" i="11"/>
  <c r="M252" i="11"/>
  <c r="G252" i="11"/>
  <c r="F252" i="11"/>
  <c r="B252" i="11"/>
  <c r="A252" i="11"/>
  <c r="R251" i="11"/>
  <c r="Q251" i="11"/>
  <c r="P251" i="11"/>
  <c r="M251" i="11"/>
  <c r="G251" i="11"/>
  <c r="F251" i="11"/>
  <c r="B251" i="11"/>
  <c r="A251" i="11"/>
  <c r="R250" i="11"/>
  <c r="Q250" i="11"/>
  <c r="P250" i="11"/>
  <c r="M250" i="11"/>
  <c r="G250" i="11"/>
  <c r="F250" i="11"/>
  <c r="B250" i="11"/>
  <c r="A250" i="11"/>
  <c r="R249" i="11"/>
  <c r="Q249" i="11"/>
  <c r="P249" i="11"/>
  <c r="M249" i="11"/>
  <c r="G249" i="11"/>
  <c r="F249" i="11"/>
  <c r="B249" i="11"/>
  <c r="A249" i="11"/>
  <c r="R248" i="11"/>
  <c r="Q248" i="11"/>
  <c r="P248" i="11"/>
  <c r="M248" i="11"/>
  <c r="G248" i="11"/>
  <c r="F248" i="11"/>
  <c r="B248" i="11"/>
  <c r="A248" i="11"/>
  <c r="R247" i="11"/>
  <c r="Q247" i="11"/>
  <c r="P247" i="11"/>
  <c r="M247" i="11"/>
  <c r="G247" i="11"/>
  <c r="F247" i="11"/>
  <c r="B247" i="11"/>
  <c r="A247" i="11"/>
  <c r="R246" i="11"/>
  <c r="Q246" i="11"/>
  <c r="P246" i="11"/>
  <c r="M246" i="11"/>
  <c r="G246" i="11"/>
  <c r="F246" i="11"/>
  <c r="B246" i="11"/>
  <c r="C246" i="11" s="1"/>
  <c r="A246" i="11"/>
  <c r="R245" i="11"/>
  <c r="Q245" i="11"/>
  <c r="P245" i="11"/>
  <c r="M245" i="11"/>
  <c r="G245" i="11"/>
  <c r="F245" i="11"/>
  <c r="B245" i="11"/>
  <c r="A245" i="11"/>
  <c r="R244" i="11"/>
  <c r="Q244" i="11"/>
  <c r="P244" i="11"/>
  <c r="M244" i="11"/>
  <c r="G244" i="11"/>
  <c r="F244" i="11"/>
  <c r="B244" i="11"/>
  <c r="A244" i="11"/>
  <c r="R243" i="11"/>
  <c r="Q243" i="11"/>
  <c r="P243" i="11"/>
  <c r="M243" i="11"/>
  <c r="G243" i="11"/>
  <c r="F243" i="11"/>
  <c r="B243" i="11"/>
  <c r="A243" i="11"/>
  <c r="R242" i="11"/>
  <c r="Q242" i="11"/>
  <c r="P242" i="11"/>
  <c r="M242" i="11"/>
  <c r="G242" i="11"/>
  <c r="F242" i="11"/>
  <c r="B242" i="11"/>
  <c r="A242" i="11"/>
  <c r="R241" i="11"/>
  <c r="Q241" i="11"/>
  <c r="P241" i="11"/>
  <c r="M241" i="11"/>
  <c r="G241" i="11"/>
  <c r="F241" i="11"/>
  <c r="B241" i="11"/>
  <c r="A241" i="11"/>
  <c r="R240" i="11"/>
  <c r="Q240" i="11"/>
  <c r="P240" i="11"/>
  <c r="M240" i="11"/>
  <c r="G240" i="11"/>
  <c r="F240" i="11"/>
  <c r="B240" i="11"/>
  <c r="A240" i="11"/>
  <c r="R239" i="11"/>
  <c r="Q239" i="11"/>
  <c r="P239" i="11"/>
  <c r="M239" i="11"/>
  <c r="G239" i="11"/>
  <c r="F239" i="11"/>
  <c r="B239" i="11"/>
  <c r="A239" i="11"/>
  <c r="R238" i="11"/>
  <c r="Q238" i="11"/>
  <c r="P238" i="11"/>
  <c r="M238" i="11"/>
  <c r="G238" i="11"/>
  <c r="F238" i="11"/>
  <c r="B238" i="11"/>
  <c r="A238" i="11"/>
  <c r="R237" i="11"/>
  <c r="Q237" i="11"/>
  <c r="P237" i="11"/>
  <c r="M237" i="11"/>
  <c r="G237" i="11"/>
  <c r="F237" i="11"/>
  <c r="B237" i="11"/>
  <c r="A237" i="11"/>
  <c r="R236" i="11"/>
  <c r="Q236" i="11"/>
  <c r="P236" i="11"/>
  <c r="M236" i="11"/>
  <c r="G236" i="11"/>
  <c r="F236" i="11"/>
  <c r="B236" i="11"/>
  <c r="A236" i="11"/>
  <c r="R235" i="11"/>
  <c r="Q235" i="11"/>
  <c r="P235" i="11"/>
  <c r="M235" i="11"/>
  <c r="G235" i="11"/>
  <c r="F235" i="11"/>
  <c r="B235" i="11"/>
  <c r="A235" i="11"/>
  <c r="R234" i="11"/>
  <c r="Q234" i="11"/>
  <c r="P234" i="11"/>
  <c r="M234" i="11"/>
  <c r="G234" i="11"/>
  <c r="F234" i="11"/>
  <c r="B234" i="11"/>
  <c r="A234" i="11"/>
  <c r="R233" i="11"/>
  <c r="Q233" i="11"/>
  <c r="P233" i="11"/>
  <c r="M233" i="11"/>
  <c r="G233" i="11"/>
  <c r="F233" i="11"/>
  <c r="B233" i="11"/>
  <c r="A233" i="11"/>
  <c r="R232" i="11"/>
  <c r="Q232" i="11"/>
  <c r="P232" i="11"/>
  <c r="M232" i="11"/>
  <c r="G232" i="11"/>
  <c r="F232" i="11"/>
  <c r="B232" i="11"/>
  <c r="A232" i="11"/>
  <c r="R231" i="11"/>
  <c r="Q231" i="11"/>
  <c r="P231" i="11"/>
  <c r="M231" i="11"/>
  <c r="G231" i="11"/>
  <c r="F231" i="11"/>
  <c r="B231" i="11"/>
  <c r="A231" i="11"/>
  <c r="R230" i="11"/>
  <c r="Q230" i="11"/>
  <c r="P230" i="11"/>
  <c r="M230" i="11"/>
  <c r="G230" i="11"/>
  <c r="F230" i="11"/>
  <c r="B230" i="11"/>
  <c r="C231" i="11" s="1"/>
  <c r="A230" i="11"/>
  <c r="R229" i="11"/>
  <c r="Q229" i="11"/>
  <c r="P229" i="11"/>
  <c r="M229" i="11"/>
  <c r="G229" i="11"/>
  <c r="F229" i="11"/>
  <c r="B229" i="11"/>
  <c r="A229" i="11"/>
  <c r="R228" i="11"/>
  <c r="Q228" i="11"/>
  <c r="P228" i="11"/>
  <c r="M228" i="11"/>
  <c r="G228" i="11"/>
  <c r="F228" i="11"/>
  <c r="B228" i="11"/>
  <c r="A228" i="11"/>
  <c r="R227" i="11"/>
  <c r="Q227" i="11"/>
  <c r="P227" i="11"/>
  <c r="M227" i="11"/>
  <c r="G227" i="11"/>
  <c r="F227" i="11"/>
  <c r="B227" i="11"/>
  <c r="A227" i="11"/>
  <c r="R226" i="11"/>
  <c r="Q226" i="11"/>
  <c r="P226" i="11"/>
  <c r="M226" i="11"/>
  <c r="G226" i="11"/>
  <c r="F226" i="11"/>
  <c r="C226" i="11"/>
  <c r="B226" i="11"/>
  <c r="A226" i="11"/>
  <c r="R225" i="11"/>
  <c r="Q225" i="11"/>
  <c r="P225" i="11"/>
  <c r="M225" i="11"/>
  <c r="G225" i="11"/>
  <c r="F225" i="11"/>
  <c r="B225" i="11"/>
  <c r="A225" i="11"/>
  <c r="R224" i="11"/>
  <c r="Q224" i="11"/>
  <c r="P224" i="11"/>
  <c r="M224" i="11"/>
  <c r="G224" i="11"/>
  <c r="F224" i="11"/>
  <c r="B224" i="11"/>
  <c r="A224" i="11"/>
  <c r="R223" i="11"/>
  <c r="Q223" i="11"/>
  <c r="P223" i="11"/>
  <c r="M223" i="11"/>
  <c r="G223" i="11"/>
  <c r="F223" i="11"/>
  <c r="B223" i="11"/>
  <c r="A223" i="11"/>
  <c r="R222" i="11"/>
  <c r="Q222" i="11"/>
  <c r="P222" i="11"/>
  <c r="M222" i="11"/>
  <c r="G222" i="11"/>
  <c r="F222" i="11"/>
  <c r="B222" i="11"/>
  <c r="A222" i="11"/>
  <c r="R221" i="11"/>
  <c r="Q221" i="11"/>
  <c r="P221" i="11"/>
  <c r="M221" i="11"/>
  <c r="G221" i="11"/>
  <c r="F221" i="11"/>
  <c r="B221" i="11"/>
  <c r="A221" i="11"/>
  <c r="R220" i="11"/>
  <c r="Q220" i="11"/>
  <c r="P220" i="11"/>
  <c r="M220" i="11"/>
  <c r="G220" i="11"/>
  <c r="F220" i="11"/>
  <c r="B220" i="11"/>
  <c r="A220" i="11"/>
  <c r="R219" i="11"/>
  <c r="Q219" i="11"/>
  <c r="P219" i="11"/>
  <c r="M219" i="11"/>
  <c r="G219" i="11"/>
  <c r="F219" i="11"/>
  <c r="B219" i="11"/>
  <c r="A219" i="11"/>
  <c r="R218" i="11"/>
  <c r="Q218" i="11"/>
  <c r="P218" i="11"/>
  <c r="M218" i="11"/>
  <c r="G218" i="11"/>
  <c r="F218" i="11"/>
  <c r="B218" i="11"/>
  <c r="A218" i="11"/>
  <c r="R217" i="11"/>
  <c r="Q217" i="11"/>
  <c r="P217" i="11"/>
  <c r="M217" i="11"/>
  <c r="G217" i="11"/>
  <c r="F217" i="11"/>
  <c r="B217" i="11"/>
  <c r="A217" i="11"/>
  <c r="R216" i="11"/>
  <c r="Q216" i="11"/>
  <c r="P216" i="11"/>
  <c r="M216" i="11"/>
  <c r="G216" i="11"/>
  <c r="F216" i="11"/>
  <c r="B216" i="11"/>
  <c r="A216" i="11"/>
  <c r="R215" i="11"/>
  <c r="Q215" i="11"/>
  <c r="P215" i="11"/>
  <c r="M215" i="11"/>
  <c r="G215" i="11"/>
  <c r="F215" i="11"/>
  <c r="C215" i="11"/>
  <c r="B215" i="11"/>
  <c r="A215" i="11"/>
  <c r="R214" i="11"/>
  <c r="Q214" i="11"/>
  <c r="P214" i="11"/>
  <c r="M214" i="11"/>
  <c r="G214" i="11"/>
  <c r="F214" i="11"/>
  <c r="B214" i="11"/>
  <c r="C214" i="11" s="1"/>
  <c r="A214" i="11"/>
  <c r="R213" i="11"/>
  <c r="Q213" i="11"/>
  <c r="P213" i="11"/>
  <c r="M213" i="11"/>
  <c r="G213" i="11"/>
  <c r="F213" i="11"/>
  <c r="B213" i="11"/>
  <c r="A213" i="11"/>
  <c r="R212" i="11"/>
  <c r="Q212" i="11"/>
  <c r="P212" i="11"/>
  <c r="M212" i="11"/>
  <c r="G212" i="11"/>
  <c r="F212" i="11"/>
  <c r="B212" i="11"/>
  <c r="A212" i="11"/>
  <c r="R211" i="11"/>
  <c r="Q211" i="11"/>
  <c r="P211" i="11"/>
  <c r="M211" i="11"/>
  <c r="G211" i="11"/>
  <c r="F211" i="11"/>
  <c r="B211" i="11"/>
  <c r="A211" i="11"/>
  <c r="R210" i="11"/>
  <c r="Q210" i="11"/>
  <c r="P210" i="11"/>
  <c r="M210" i="11"/>
  <c r="G210" i="11"/>
  <c r="F210" i="11"/>
  <c r="B210" i="11"/>
  <c r="A210" i="11"/>
  <c r="R209" i="11"/>
  <c r="Q209" i="11"/>
  <c r="P209" i="11"/>
  <c r="M209" i="11"/>
  <c r="G209" i="11"/>
  <c r="F209" i="11"/>
  <c r="B209" i="11"/>
  <c r="A209" i="11"/>
  <c r="R208" i="11"/>
  <c r="Q208" i="11"/>
  <c r="P208" i="11"/>
  <c r="M208" i="11"/>
  <c r="G208" i="11"/>
  <c r="F208" i="11"/>
  <c r="B208" i="11"/>
  <c r="A208" i="11"/>
  <c r="R207" i="11"/>
  <c r="Q207" i="11"/>
  <c r="P207" i="11"/>
  <c r="M207" i="11"/>
  <c r="G207" i="11"/>
  <c r="F207" i="11"/>
  <c r="B207" i="11"/>
  <c r="A207" i="11"/>
  <c r="R206" i="11"/>
  <c r="Q206" i="11"/>
  <c r="P206" i="11"/>
  <c r="M206" i="11"/>
  <c r="G206" i="11"/>
  <c r="F206" i="11"/>
  <c r="B206" i="11"/>
  <c r="C207" i="11" s="1"/>
  <c r="A206" i="11"/>
  <c r="R205" i="11"/>
  <c r="Q205" i="11"/>
  <c r="P205" i="11"/>
  <c r="M205" i="11"/>
  <c r="G205" i="11"/>
  <c r="F205" i="11"/>
  <c r="B205" i="11"/>
  <c r="A205" i="11"/>
  <c r="R204" i="11"/>
  <c r="Q204" i="11"/>
  <c r="P204" i="11"/>
  <c r="M204" i="11"/>
  <c r="G204" i="11"/>
  <c r="F204" i="11"/>
  <c r="B204" i="11"/>
  <c r="A204" i="11"/>
  <c r="R203" i="11"/>
  <c r="Q203" i="11"/>
  <c r="P203" i="11"/>
  <c r="M203" i="11"/>
  <c r="G203" i="11"/>
  <c r="F203" i="11"/>
  <c r="B203" i="11"/>
  <c r="A203" i="11"/>
  <c r="R202" i="11"/>
  <c r="Q202" i="11"/>
  <c r="P202" i="11"/>
  <c r="M202" i="11"/>
  <c r="G202" i="11"/>
  <c r="F202" i="11"/>
  <c r="B202" i="11"/>
  <c r="A202" i="11"/>
  <c r="R201" i="11"/>
  <c r="Q201" i="11"/>
  <c r="P201" i="11"/>
  <c r="M201" i="11"/>
  <c r="G201" i="11"/>
  <c r="F201" i="11"/>
  <c r="B201" i="11"/>
  <c r="A201" i="11"/>
  <c r="R200" i="11"/>
  <c r="Q200" i="11"/>
  <c r="P200" i="11"/>
  <c r="M200" i="11"/>
  <c r="G200" i="11"/>
  <c r="F200" i="11"/>
  <c r="B200" i="11"/>
  <c r="A200" i="11"/>
  <c r="R199" i="11"/>
  <c r="Q199" i="11"/>
  <c r="P199" i="11"/>
  <c r="M199" i="11"/>
  <c r="G199" i="11"/>
  <c r="F199" i="11"/>
  <c r="B199" i="11"/>
  <c r="A199" i="11"/>
  <c r="R198" i="11"/>
  <c r="Q198" i="11"/>
  <c r="P198" i="11"/>
  <c r="M198" i="11"/>
  <c r="G198" i="11"/>
  <c r="F198" i="11"/>
  <c r="B198" i="11"/>
  <c r="A198" i="11"/>
  <c r="R197" i="11"/>
  <c r="Q197" i="11"/>
  <c r="P197" i="11"/>
  <c r="M197" i="11"/>
  <c r="G197" i="11"/>
  <c r="F197" i="11"/>
  <c r="B197" i="11"/>
  <c r="A197" i="11"/>
  <c r="R196" i="11"/>
  <c r="Q196" i="11"/>
  <c r="P196" i="11"/>
  <c r="M196" i="11"/>
  <c r="G196" i="11"/>
  <c r="F196" i="11"/>
  <c r="B196" i="11"/>
  <c r="A196" i="11"/>
  <c r="R195" i="11"/>
  <c r="Q195" i="11"/>
  <c r="P195" i="11"/>
  <c r="M195" i="11"/>
  <c r="G195" i="11"/>
  <c r="F195" i="11"/>
  <c r="B195" i="11"/>
  <c r="A195" i="11"/>
  <c r="R194" i="11"/>
  <c r="Q194" i="11"/>
  <c r="P194" i="11"/>
  <c r="M194" i="11"/>
  <c r="G194" i="11"/>
  <c r="F194" i="11"/>
  <c r="B194" i="11"/>
  <c r="A194" i="11"/>
  <c r="R193" i="11"/>
  <c r="Q193" i="11"/>
  <c r="P193" i="11"/>
  <c r="M193" i="11"/>
  <c r="G193" i="11"/>
  <c r="F193" i="11"/>
  <c r="B193" i="11"/>
  <c r="A193" i="11"/>
  <c r="R192" i="11"/>
  <c r="Q192" i="11"/>
  <c r="P192" i="11"/>
  <c r="M192" i="11"/>
  <c r="G192" i="11"/>
  <c r="F192" i="11"/>
  <c r="B192" i="11"/>
  <c r="A192" i="11"/>
  <c r="R191" i="11"/>
  <c r="Q191" i="11"/>
  <c r="P191" i="11"/>
  <c r="M191" i="11"/>
  <c r="G191" i="11"/>
  <c r="F191" i="11"/>
  <c r="B191" i="11"/>
  <c r="A191" i="11"/>
  <c r="R190" i="11"/>
  <c r="Q190" i="11"/>
  <c r="P190" i="11"/>
  <c r="M190" i="11"/>
  <c r="G190" i="11"/>
  <c r="F190" i="11"/>
  <c r="B190" i="11"/>
  <c r="C191" i="11" s="1"/>
  <c r="A190" i="11"/>
  <c r="R189" i="11"/>
  <c r="Q189" i="11"/>
  <c r="P189" i="11"/>
  <c r="M189" i="11"/>
  <c r="G189" i="11"/>
  <c r="F189" i="11"/>
  <c r="B189" i="11"/>
  <c r="A189" i="11"/>
  <c r="R188" i="11"/>
  <c r="Q188" i="11"/>
  <c r="P188" i="11"/>
  <c r="M188" i="11"/>
  <c r="G188" i="11"/>
  <c r="F188" i="11"/>
  <c r="B188" i="11"/>
  <c r="A188" i="11"/>
  <c r="R187" i="11"/>
  <c r="Q187" i="11"/>
  <c r="P187" i="11"/>
  <c r="M187" i="11"/>
  <c r="G187" i="11"/>
  <c r="F187" i="11"/>
  <c r="B187" i="11"/>
  <c r="A187" i="11"/>
  <c r="R186" i="11"/>
  <c r="Q186" i="11"/>
  <c r="P186" i="11"/>
  <c r="M186" i="11"/>
  <c r="G186" i="11"/>
  <c r="F186" i="11"/>
  <c r="B186" i="11"/>
  <c r="A186" i="11"/>
  <c r="R185" i="11"/>
  <c r="Q185" i="11"/>
  <c r="P185" i="11"/>
  <c r="M185" i="11"/>
  <c r="G185" i="11"/>
  <c r="F185" i="11"/>
  <c r="B185" i="11"/>
  <c r="A185" i="11"/>
  <c r="R184" i="11"/>
  <c r="Q184" i="11"/>
  <c r="P184" i="11"/>
  <c r="M184" i="11"/>
  <c r="G184" i="11"/>
  <c r="F184" i="11"/>
  <c r="B184" i="11"/>
  <c r="A184" i="11"/>
  <c r="R183" i="11"/>
  <c r="Q183" i="11"/>
  <c r="P183" i="11"/>
  <c r="M183" i="11"/>
  <c r="G183" i="11"/>
  <c r="F183" i="11"/>
  <c r="B183" i="11"/>
  <c r="C183" i="11" s="1"/>
  <c r="A183" i="11"/>
  <c r="R182" i="11"/>
  <c r="Q182" i="11"/>
  <c r="P182" i="11"/>
  <c r="M182" i="11"/>
  <c r="G182" i="11"/>
  <c r="F182" i="11"/>
  <c r="B182" i="11"/>
  <c r="A182" i="11"/>
  <c r="R181" i="11"/>
  <c r="Q181" i="11"/>
  <c r="P181" i="11"/>
  <c r="M181" i="11"/>
  <c r="G181" i="11"/>
  <c r="F181" i="11"/>
  <c r="B181" i="11"/>
  <c r="A181" i="11"/>
  <c r="R180" i="11"/>
  <c r="Q180" i="11"/>
  <c r="P180" i="11"/>
  <c r="M180" i="11"/>
  <c r="G180" i="11"/>
  <c r="F180" i="11"/>
  <c r="B180" i="11"/>
  <c r="A180" i="11"/>
  <c r="R179" i="11"/>
  <c r="Q179" i="11"/>
  <c r="P179" i="11"/>
  <c r="M179" i="11"/>
  <c r="G179" i="11"/>
  <c r="F179" i="11"/>
  <c r="B179" i="11"/>
  <c r="A179" i="11"/>
  <c r="R178" i="11"/>
  <c r="Q178" i="11"/>
  <c r="P178" i="11"/>
  <c r="M178" i="11"/>
  <c r="G178" i="11"/>
  <c r="F178" i="11"/>
  <c r="B178" i="11"/>
  <c r="A178" i="11"/>
  <c r="R177" i="11"/>
  <c r="Q177" i="11"/>
  <c r="P177" i="11"/>
  <c r="M177" i="11"/>
  <c r="G177" i="11"/>
  <c r="F177" i="11"/>
  <c r="B177" i="11"/>
  <c r="A177" i="11"/>
  <c r="R176" i="11"/>
  <c r="Q176" i="11"/>
  <c r="P176" i="11"/>
  <c r="M176" i="11"/>
  <c r="G176" i="11"/>
  <c r="F176" i="11"/>
  <c r="B176" i="11"/>
  <c r="A176" i="11"/>
  <c r="R175" i="11"/>
  <c r="Q175" i="11"/>
  <c r="P175" i="11"/>
  <c r="M175" i="11"/>
  <c r="G175" i="11"/>
  <c r="F175" i="11"/>
  <c r="B175" i="11"/>
  <c r="A175" i="11"/>
  <c r="R174" i="11"/>
  <c r="Q174" i="11"/>
  <c r="P174" i="11"/>
  <c r="M174" i="11"/>
  <c r="G174" i="11"/>
  <c r="F174" i="11"/>
  <c r="B174" i="11"/>
  <c r="C175" i="11" s="1"/>
  <c r="A174" i="11"/>
  <c r="R173" i="11"/>
  <c r="Q173" i="11"/>
  <c r="P173" i="11"/>
  <c r="M173" i="11"/>
  <c r="G173" i="11"/>
  <c r="F173" i="11"/>
  <c r="B173" i="11"/>
  <c r="A173" i="11"/>
  <c r="R172" i="11"/>
  <c r="Q172" i="11"/>
  <c r="P172" i="11"/>
  <c r="M172" i="11"/>
  <c r="G172" i="11"/>
  <c r="F172" i="11"/>
  <c r="B172" i="11"/>
  <c r="C172" i="11" s="1"/>
  <c r="A172" i="11"/>
  <c r="R171" i="11"/>
  <c r="Q171" i="11"/>
  <c r="P171" i="11"/>
  <c r="M171" i="11"/>
  <c r="G171" i="11"/>
  <c r="F171" i="11"/>
  <c r="C171" i="11"/>
  <c r="B171" i="11"/>
  <c r="A171" i="11"/>
  <c r="R170" i="11"/>
  <c r="Q170" i="11"/>
  <c r="P170" i="11"/>
  <c r="M170" i="11"/>
  <c r="G170" i="11"/>
  <c r="F170" i="11"/>
  <c r="B170" i="11"/>
  <c r="A170" i="11"/>
  <c r="R169" i="11"/>
  <c r="Q169" i="11"/>
  <c r="P169" i="11"/>
  <c r="M169" i="11"/>
  <c r="G169" i="11"/>
  <c r="F169" i="11"/>
  <c r="B169" i="11"/>
  <c r="A169" i="11"/>
  <c r="R168" i="11"/>
  <c r="Q168" i="11"/>
  <c r="P168" i="11"/>
  <c r="M168" i="11"/>
  <c r="G168" i="11"/>
  <c r="F168" i="11"/>
  <c r="B168" i="11"/>
  <c r="C168" i="11" s="1"/>
  <c r="A168" i="11"/>
  <c r="R167" i="11"/>
  <c r="Q167" i="11"/>
  <c r="P167" i="11"/>
  <c r="M167" i="11"/>
  <c r="G167" i="11"/>
  <c r="F167" i="11"/>
  <c r="C167" i="11"/>
  <c r="B167" i="11"/>
  <c r="A167" i="11"/>
  <c r="R166" i="11"/>
  <c r="Q166" i="11"/>
  <c r="P166" i="11"/>
  <c r="M166" i="11"/>
  <c r="G166" i="11"/>
  <c r="F166" i="11"/>
  <c r="B166" i="11"/>
  <c r="A166" i="11"/>
  <c r="R165" i="11"/>
  <c r="Q165" i="11"/>
  <c r="P165" i="11"/>
  <c r="M165" i="11"/>
  <c r="G165" i="11"/>
  <c r="F165" i="11"/>
  <c r="B165" i="11"/>
  <c r="A165" i="11"/>
  <c r="R164" i="11"/>
  <c r="Q164" i="11"/>
  <c r="P164" i="11"/>
  <c r="M164" i="11"/>
  <c r="G164" i="11"/>
  <c r="F164" i="11"/>
  <c r="B164" i="11"/>
  <c r="A164" i="11"/>
  <c r="R163" i="11"/>
  <c r="Q163" i="11"/>
  <c r="P163" i="11"/>
  <c r="M163" i="11"/>
  <c r="G163" i="11"/>
  <c r="F163" i="11"/>
  <c r="B163" i="11"/>
  <c r="A163" i="11"/>
  <c r="R162" i="11"/>
  <c r="Q162" i="11"/>
  <c r="P162" i="11"/>
  <c r="M162" i="11"/>
  <c r="G162" i="11"/>
  <c r="F162" i="11"/>
  <c r="B162" i="11"/>
  <c r="C163" i="11" s="1"/>
  <c r="A162" i="11"/>
  <c r="R161" i="11"/>
  <c r="Q161" i="11"/>
  <c r="P161" i="11"/>
  <c r="M161" i="11"/>
  <c r="G161" i="11"/>
  <c r="F161" i="11"/>
  <c r="B161" i="11"/>
  <c r="A161" i="11"/>
  <c r="R160" i="11"/>
  <c r="Q160" i="11"/>
  <c r="P160" i="11"/>
  <c r="M160" i="11"/>
  <c r="G160" i="11"/>
  <c r="F160" i="11"/>
  <c r="B160" i="11"/>
  <c r="A160" i="11"/>
  <c r="R159" i="11"/>
  <c r="Q159" i="11"/>
  <c r="P159" i="11"/>
  <c r="M159" i="11"/>
  <c r="G159" i="11"/>
  <c r="F159" i="11"/>
  <c r="B159" i="11"/>
  <c r="A159" i="11"/>
  <c r="R158" i="11"/>
  <c r="Q158" i="11"/>
  <c r="P158" i="11"/>
  <c r="M158" i="11"/>
  <c r="G158" i="11"/>
  <c r="F158" i="11"/>
  <c r="B158" i="11"/>
  <c r="C159" i="11" s="1"/>
  <c r="A158" i="11"/>
  <c r="R157" i="11"/>
  <c r="Q157" i="11"/>
  <c r="P157" i="11"/>
  <c r="M157" i="11"/>
  <c r="G157" i="11"/>
  <c r="F157" i="11"/>
  <c r="B157" i="11"/>
  <c r="A157" i="11"/>
  <c r="R156" i="11"/>
  <c r="Q156" i="11"/>
  <c r="P156" i="11"/>
  <c r="M156" i="11"/>
  <c r="G156" i="11"/>
  <c r="F156" i="11"/>
  <c r="B156" i="11"/>
  <c r="A156" i="11"/>
  <c r="R155" i="11"/>
  <c r="Q155" i="11"/>
  <c r="P155" i="11"/>
  <c r="M155" i="11"/>
  <c r="G155" i="11"/>
  <c r="F155" i="11"/>
  <c r="B155" i="11"/>
  <c r="C155" i="11" s="1"/>
  <c r="A155" i="11"/>
  <c r="R154" i="11"/>
  <c r="Q154" i="11"/>
  <c r="P154" i="11"/>
  <c r="M154" i="11"/>
  <c r="G154" i="11"/>
  <c r="F154" i="11"/>
  <c r="B154" i="11"/>
  <c r="A154" i="11"/>
  <c r="R153" i="11"/>
  <c r="Q153" i="11"/>
  <c r="P153" i="11"/>
  <c r="M153" i="11"/>
  <c r="G153" i="11"/>
  <c r="F153" i="11"/>
  <c r="B153" i="11"/>
  <c r="A153" i="11"/>
  <c r="R152" i="11"/>
  <c r="Q152" i="11"/>
  <c r="P152" i="11"/>
  <c r="M152" i="11"/>
  <c r="G152" i="11"/>
  <c r="F152" i="11"/>
  <c r="B152" i="11"/>
  <c r="A152" i="11"/>
  <c r="R151" i="11"/>
  <c r="Q151" i="11"/>
  <c r="P151" i="11"/>
  <c r="M151" i="11"/>
  <c r="G151" i="11"/>
  <c r="F151" i="11"/>
  <c r="B151" i="11"/>
  <c r="A151" i="11"/>
  <c r="R150" i="11"/>
  <c r="Q150" i="11"/>
  <c r="P150" i="11"/>
  <c r="M150" i="11"/>
  <c r="G150" i="11"/>
  <c r="F150" i="11"/>
  <c r="B150" i="11"/>
  <c r="A150" i="11"/>
  <c r="R149" i="11"/>
  <c r="Q149" i="11"/>
  <c r="P149" i="11"/>
  <c r="M149" i="11"/>
  <c r="G149" i="11"/>
  <c r="F149" i="11"/>
  <c r="B149" i="11"/>
  <c r="A149" i="11"/>
  <c r="R148" i="11"/>
  <c r="Q148" i="11"/>
  <c r="P148" i="11"/>
  <c r="M148" i="11"/>
  <c r="G148" i="11"/>
  <c r="F148" i="11"/>
  <c r="B148" i="11"/>
  <c r="A148" i="11"/>
  <c r="R147" i="11"/>
  <c r="Q147" i="11"/>
  <c r="P147" i="11"/>
  <c r="M147" i="11"/>
  <c r="G147" i="11"/>
  <c r="F147" i="11"/>
  <c r="B147" i="11"/>
  <c r="A147" i="11"/>
  <c r="R146" i="11"/>
  <c r="Q146" i="11"/>
  <c r="P146" i="11"/>
  <c r="M146" i="11"/>
  <c r="G146" i="11"/>
  <c r="F146" i="11"/>
  <c r="B146" i="11"/>
  <c r="C147" i="11" s="1"/>
  <c r="A146" i="11"/>
  <c r="R145" i="11"/>
  <c r="Q145" i="11"/>
  <c r="P145" i="11"/>
  <c r="M145" i="11"/>
  <c r="G145" i="11"/>
  <c r="F145" i="11"/>
  <c r="B145" i="11"/>
  <c r="A145" i="11"/>
  <c r="R144" i="11"/>
  <c r="Q144" i="11"/>
  <c r="P144" i="11"/>
  <c r="M144" i="11"/>
  <c r="G144" i="11"/>
  <c r="F144" i="11"/>
  <c r="B144" i="11"/>
  <c r="A144" i="11"/>
  <c r="R143" i="11"/>
  <c r="Q143" i="11"/>
  <c r="P143" i="11"/>
  <c r="M143" i="11"/>
  <c r="G143" i="11"/>
  <c r="F143" i="11"/>
  <c r="B143" i="11"/>
  <c r="A143" i="11"/>
  <c r="R142" i="11"/>
  <c r="Q142" i="11"/>
  <c r="P142" i="11"/>
  <c r="M142" i="11"/>
  <c r="G142" i="11"/>
  <c r="F142" i="11"/>
  <c r="B142" i="11"/>
  <c r="C143" i="11" s="1"/>
  <c r="A142" i="11"/>
  <c r="R141" i="11"/>
  <c r="Q141" i="11"/>
  <c r="P141" i="11"/>
  <c r="M141" i="11"/>
  <c r="G141" i="11"/>
  <c r="F141" i="11"/>
  <c r="B141" i="11"/>
  <c r="A141" i="11"/>
  <c r="R140" i="11"/>
  <c r="Q140" i="11"/>
  <c r="P140" i="11"/>
  <c r="M140" i="11"/>
  <c r="G140" i="11"/>
  <c r="F140" i="11"/>
  <c r="B140" i="11"/>
  <c r="A140" i="11"/>
  <c r="R139" i="11"/>
  <c r="Q139" i="11"/>
  <c r="P139" i="11"/>
  <c r="M139" i="11"/>
  <c r="G139" i="11"/>
  <c r="F139" i="11"/>
  <c r="B139" i="11"/>
  <c r="A139" i="11"/>
  <c r="R138" i="11"/>
  <c r="Q138" i="11"/>
  <c r="P138" i="11"/>
  <c r="M138" i="11"/>
  <c r="G138" i="11"/>
  <c r="F138" i="11"/>
  <c r="B138" i="11"/>
  <c r="A138" i="11"/>
  <c r="R137" i="11"/>
  <c r="Q137" i="11"/>
  <c r="P137" i="11"/>
  <c r="M137" i="11"/>
  <c r="G137" i="11"/>
  <c r="F137" i="11"/>
  <c r="B137" i="11"/>
  <c r="A137" i="11"/>
  <c r="R136" i="11"/>
  <c r="Q136" i="11"/>
  <c r="P136" i="11"/>
  <c r="M136" i="11"/>
  <c r="G136" i="11"/>
  <c r="F136" i="11"/>
  <c r="B136" i="11"/>
  <c r="A136" i="11"/>
  <c r="R135" i="11"/>
  <c r="Q135" i="11"/>
  <c r="P135" i="11"/>
  <c r="M135" i="11"/>
  <c r="G135" i="11"/>
  <c r="F135" i="11"/>
  <c r="B135" i="11"/>
  <c r="A135" i="11"/>
  <c r="R134" i="11"/>
  <c r="Q134" i="11"/>
  <c r="P134" i="11"/>
  <c r="M134" i="11"/>
  <c r="G134" i="11"/>
  <c r="F134" i="11"/>
  <c r="B134" i="11"/>
  <c r="A134" i="11"/>
  <c r="R133" i="11"/>
  <c r="Q133" i="11"/>
  <c r="P133" i="11"/>
  <c r="M133" i="11"/>
  <c r="G133" i="11"/>
  <c r="F133" i="11"/>
  <c r="B133" i="11"/>
  <c r="A133" i="11"/>
  <c r="R132" i="11"/>
  <c r="Q132" i="11"/>
  <c r="P132" i="11"/>
  <c r="M132" i="11"/>
  <c r="G132" i="11"/>
  <c r="F132" i="11"/>
  <c r="B132" i="11"/>
  <c r="A132" i="11"/>
  <c r="R131" i="11"/>
  <c r="Q131" i="11"/>
  <c r="P131" i="11"/>
  <c r="M131" i="11"/>
  <c r="G131" i="11"/>
  <c r="F131" i="11"/>
  <c r="B131" i="11"/>
  <c r="A131" i="11"/>
  <c r="R130" i="11"/>
  <c r="Q130" i="11"/>
  <c r="P130" i="11"/>
  <c r="M130" i="11"/>
  <c r="G130" i="11"/>
  <c r="F130" i="11"/>
  <c r="B130" i="11"/>
  <c r="C131" i="11" s="1"/>
  <c r="A130" i="11"/>
  <c r="R129" i="11"/>
  <c r="Q129" i="11"/>
  <c r="P129" i="11"/>
  <c r="M129" i="11"/>
  <c r="G129" i="11"/>
  <c r="F129" i="11"/>
  <c r="B129" i="11"/>
  <c r="A129" i="11"/>
  <c r="R128" i="11"/>
  <c r="Q128" i="11"/>
  <c r="P128" i="11"/>
  <c r="M128" i="11"/>
  <c r="G128" i="11"/>
  <c r="F128" i="11"/>
  <c r="B128" i="11"/>
  <c r="A128" i="11"/>
  <c r="R127" i="11"/>
  <c r="Q127" i="11"/>
  <c r="P127" i="11"/>
  <c r="M127" i="11"/>
  <c r="G127" i="11"/>
  <c r="F127" i="11"/>
  <c r="B127" i="11"/>
  <c r="A127" i="11"/>
  <c r="R126" i="11"/>
  <c r="Q126" i="11"/>
  <c r="P126" i="11"/>
  <c r="M126" i="11"/>
  <c r="G126" i="11"/>
  <c r="F126" i="11"/>
  <c r="B126" i="11"/>
  <c r="C127" i="11" s="1"/>
  <c r="A126" i="11"/>
  <c r="R125" i="11"/>
  <c r="Q125" i="11"/>
  <c r="P125" i="11"/>
  <c r="M125" i="11"/>
  <c r="G125" i="11"/>
  <c r="F125" i="11"/>
  <c r="B125" i="11"/>
  <c r="A125" i="11"/>
  <c r="R124" i="11"/>
  <c r="Q124" i="11"/>
  <c r="P124" i="11"/>
  <c r="M124" i="11"/>
  <c r="G124" i="11"/>
  <c r="F124" i="11"/>
  <c r="B124" i="11"/>
  <c r="A124" i="11"/>
  <c r="R123" i="11"/>
  <c r="Q123" i="11"/>
  <c r="P123" i="11"/>
  <c r="M123" i="11"/>
  <c r="G123" i="11"/>
  <c r="F123" i="11"/>
  <c r="B123" i="11"/>
  <c r="A123" i="11"/>
  <c r="R122" i="11"/>
  <c r="Q122" i="11"/>
  <c r="P122" i="11"/>
  <c r="M122" i="11"/>
  <c r="G122" i="11"/>
  <c r="F122" i="11"/>
  <c r="B122" i="11"/>
  <c r="A122" i="11"/>
  <c r="R121" i="11"/>
  <c r="Q121" i="11"/>
  <c r="P121" i="11"/>
  <c r="M121" i="11"/>
  <c r="G121" i="11"/>
  <c r="F121" i="11"/>
  <c r="B121" i="11"/>
  <c r="A121" i="11"/>
  <c r="R120" i="11"/>
  <c r="Q120" i="11"/>
  <c r="P120" i="11"/>
  <c r="M120" i="11"/>
  <c r="G120" i="11"/>
  <c r="F120" i="11"/>
  <c r="B120" i="11"/>
  <c r="A120" i="11"/>
  <c r="R119" i="11"/>
  <c r="Q119" i="11"/>
  <c r="P119" i="11"/>
  <c r="M119" i="11"/>
  <c r="G119" i="11"/>
  <c r="F119" i="11"/>
  <c r="B119" i="11"/>
  <c r="C119" i="11" s="1"/>
  <c r="A119" i="11"/>
  <c r="R118" i="11"/>
  <c r="Q118" i="11"/>
  <c r="P118" i="11"/>
  <c r="M118" i="11"/>
  <c r="G118" i="11"/>
  <c r="F118" i="11"/>
  <c r="B118" i="11"/>
  <c r="A118" i="11"/>
  <c r="R117" i="11"/>
  <c r="Q117" i="11"/>
  <c r="P117" i="11"/>
  <c r="M117" i="11"/>
  <c r="G117" i="11"/>
  <c r="F117" i="11"/>
  <c r="B117" i="11"/>
  <c r="A117" i="11"/>
  <c r="R116" i="11"/>
  <c r="Q116" i="11"/>
  <c r="P116" i="11"/>
  <c r="M116" i="11"/>
  <c r="G116" i="11"/>
  <c r="F116" i="11"/>
  <c r="B116" i="11"/>
  <c r="A116" i="11"/>
  <c r="R115" i="11"/>
  <c r="Q115" i="11"/>
  <c r="P115" i="11"/>
  <c r="M115" i="11"/>
  <c r="G115" i="11"/>
  <c r="F115" i="11"/>
  <c r="B115" i="11"/>
  <c r="A115" i="11"/>
  <c r="R114" i="11"/>
  <c r="Q114" i="11"/>
  <c r="P114" i="11"/>
  <c r="M114" i="11"/>
  <c r="G114" i="11"/>
  <c r="F114" i="11"/>
  <c r="B114" i="11"/>
  <c r="C115" i="11" s="1"/>
  <c r="A114" i="11"/>
  <c r="R113" i="11"/>
  <c r="Q113" i="11"/>
  <c r="P113" i="11"/>
  <c r="M113" i="11"/>
  <c r="G113" i="11"/>
  <c r="F113" i="11"/>
  <c r="B113" i="11"/>
  <c r="A113" i="11"/>
  <c r="R112" i="11"/>
  <c r="Q112" i="11"/>
  <c r="P112" i="11"/>
  <c r="M112" i="11"/>
  <c r="G112" i="11"/>
  <c r="F112" i="11"/>
  <c r="B112" i="11"/>
  <c r="A112" i="11"/>
  <c r="R111" i="11"/>
  <c r="Q111" i="11"/>
  <c r="P111" i="11"/>
  <c r="M111" i="11"/>
  <c r="G111" i="11"/>
  <c r="F111" i="11"/>
  <c r="B111" i="11"/>
  <c r="A111" i="11"/>
  <c r="R110" i="11"/>
  <c r="Q110" i="11"/>
  <c r="P110" i="11"/>
  <c r="M110" i="11"/>
  <c r="G110" i="11"/>
  <c r="F110" i="11"/>
  <c r="B110" i="11"/>
  <c r="C111" i="11" s="1"/>
  <c r="A110" i="11"/>
  <c r="R109" i="11"/>
  <c r="Q109" i="11"/>
  <c r="P109" i="11"/>
  <c r="M109" i="11"/>
  <c r="G109" i="11"/>
  <c r="F109" i="11"/>
  <c r="B109" i="11"/>
  <c r="A109" i="11"/>
  <c r="R108" i="11"/>
  <c r="Q108" i="11"/>
  <c r="P108" i="11"/>
  <c r="M108" i="11"/>
  <c r="G108" i="11"/>
  <c r="F108" i="11"/>
  <c r="B108" i="11"/>
  <c r="C108" i="11" s="1"/>
  <c r="A108" i="11"/>
  <c r="R107" i="11"/>
  <c r="Q107" i="11"/>
  <c r="P107" i="11"/>
  <c r="M107" i="11"/>
  <c r="G107" i="11"/>
  <c r="F107" i="11"/>
  <c r="C107" i="11"/>
  <c r="B107" i="11"/>
  <c r="A107" i="11"/>
  <c r="R106" i="11"/>
  <c r="Q106" i="11"/>
  <c r="P106" i="11"/>
  <c r="M106" i="11"/>
  <c r="G106" i="11"/>
  <c r="F106" i="11"/>
  <c r="B106" i="11"/>
  <c r="A106" i="11"/>
  <c r="R105" i="11"/>
  <c r="Q105" i="11"/>
  <c r="P105" i="11"/>
  <c r="M105" i="11"/>
  <c r="G105" i="11"/>
  <c r="F105" i="11"/>
  <c r="B105" i="11"/>
  <c r="A105" i="11"/>
  <c r="R104" i="11"/>
  <c r="Q104" i="11"/>
  <c r="P104" i="11"/>
  <c r="M104" i="11"/>
  <c r="G104" i="11"/>
  <c r="F104" i="11"/>
  <c r="B104" i="11"/>
  <c r="C104" i="11" s="1"/>
  <c r="A104" i="11"/>
  <c r="R103" i="11"/>
  <c r="Q103" i="11"/>
  <c r="P103" i="11"/>
  <c r="M103" i="11"/>
  <c r="G103" i="11"/>
  <c r="F103" i="11"/>
  <c r="C103" i="11"/>
  <c r="B103" i="11"/>
  <c r="A103" i="11"/>
  <c r="R102" i="11"/>
  <c r="Q102" i="11"/>
  <c r="P102" i="11"/>
  <c r="M102" i="11"/>
  <c r="G102" i="11"/>
  <c r="F102" i="11"/>
  <c r="B102" i="11"/>
  <c r="A102" i="11"/>
  <c r="R101" i="11"/>
  <c r="Q101" i="11"/>
  <c r="P101" i="11"/>
  <c r="M101" i="11"/>
  <c r="G101" i="11"/>
  <c r="F101" i="11"/>
  <c r="B101" i="11"/>
  <c r="A101" i="11"/>
  <c r="R100" i="11"/>
  <c r="Q100" i="11"/>
  <c r="P100" i="11"/>
  <c r="M100" i="11"/>
  <c r="G100" i="11"/>
  <c r="F100" i="11"/>
  <c r="B100" i="11"/>
  <c r="A100" i="11"/>
  <c r="R99" i="11"/>
  <c r="Q99" i="11"/>
  <c r="P99" i="11"/>
  <c r="M99" i="11"/>
  <c r="G99" i="11"/>
  <c r="F99" i="11"/>
  <c r="A99" i="11"/>
  <c r="B99" i="11" s="1"/>
  <c r="R98" i="11"/>
  <c r="Q98" i="11"/>
  <c r="P98" i="11"/>
  <c r="M98" i="11"/>
  <c r="G98" i="11"/>
  <c r="F98" i="11"/>
  <c r="B98" i="11"/>
  <c r="A98" i="11"/>
  <c r="R97" i="11"/>
  <c r="Q97" i="11"/>
  <c r="P97" i="11"/>
  <c r="M97" i="11"/>
  <c r="G97" i="11"/>
  <c r="F97" i="11"/>
  <c r="B97" i="11"/>
  <c r="A97" i="11"/>
  <c r="R96" i="11"/>
  <c r="Q96" i="11"/>
  <c r="P96" i="11"/>
  <c r="M96" i="11"/>
  <c r="G96" i="11"/>
  <c r="F96" i="11"/>
  <c r="B96" i="11"/>
  <c r="A96" i="11"/>
  <c r="R95" i="11"/>
  <c r="Q95" i="11"/>
  <c r="P95" i="11"/>
  <c r="M95" i="11"/>
  <c r="G95" i="11"/>
  <c r="F95" i="11"/>
  <c r="B95" i="11"/>
  <c r="C95" i="11" s="1"/>
  <c r="A95" i="11"/>
  <c r="R94" i="11"/>
  <c r="Q94" i="11"/>
  <c r="P94" i="11"/>
  <c r="M94" i="11"/>
  <c r="G94" i="11"/>
  <c r="F94" i="11"/>
  <c r="C94" i="11"/>
  <c r="B94" i="11"/>
  <c r="A94" i="11"/>
  <c r="R93" i="11"/>
  <c r="Q93" i="11"/>
  <c r="P93" i="11"/>
  <c r="M93" i="11"/>
  <c r="G93" i="11"/>
  <c r="F93" i="11"/>
  <c r="B93" i="11"/>
  <c r="A93" i="11"/>
  <c r="R92" i="11"/>
  <c r="Q92" i="11"/>
  <c r="P92" i="11"/>
  <c r="M92" i="11"/>
  <c r="G92" i="11"/>
  <c r="F92" i="11"/>
  <c r="B92" i="11"/>
  <c r="A92" i="11"/>
  <c r="R91" i="11"/>
  <c r="Q91" i="11"/>
  <c r="P91" i="11"/>
  <c r="M91" i="11"/>
  <c r="G91" i="11"/>
  <c r="F91" i="11"/>
  <c r="B91" i="11"/>
  <c r="A91" i="11"/>
  <c r="R90" i="11"/>
  <c r="Q90" i="11"/>
  <c r="P90" i="11"/>
  <c r="M90" i="11"/>
  <c r="G90" i="11"/>
  <c r="F90" i="11"/>
  <c r="B90" i="11"/>
  <c r="A90" i="11"/>
  <c r="R89" i="11"/>
  <c r="Q89" i="11"/>
  <c r="P89" i="11"/>
  <c r="M89" i="11"/>
  <c r="G89" i="11"/>
  <c r="F89" i="11"/>
  <c r="B89" i="11"/>
  <c r="A89" i="11"/>
  <c r="R88" i="11"/>
  <c r="Q88" i="11"/>
  <c r="P88" i="11"/>
  <c r="M88" i="11"/>
  <c r="G88" i="11"/>
  <c r="F88" i="11"/>
  <c r="B88" i="11"/>
  <c r="A88" i="11"/>
  <c r="R87" i="11"/>
  <c r="Q87" i="11"/>
  <c r="P87" i="11"/>
  <c r="M87" i="11"/>
  <c r="G87" i="11"/>
  <c r="F87" i="11"/>
  <c r="B87" i="11"/>
  <c r="A87" i="11"/>
  <c r="R86" i="11"/>
  <c r="Q86" i="11"/>
  <c r="P86" i="11"/>
  <c r="M86" i="11"/>
  <c r="G86" i="11"/>
  <c r="F86" i="11"/>
  <c r="B86" i="11"/>
  <c r="A86" i="11"/>
  <c r="R85" i="11"/>
  <c r="Q85" i="11"/>
  <c r="P85" i="11"/>
  <c r="M85" i="11"/>
  <c r="B85" i="11"/>
  <c r="A85" i="11"/>
  <c r="R84" i="11"/>
  <c r="Q84" i="11"/>
  <c r="P84" i="11"/>
  <c r="M84" i="11"/>
  <c r="B84" i="11"/>
  <c r="A84" i="11"/>
  <c r="R83" i="11"/>
  <c r="Q83" i="11"/>
  <c r="P83" i="11"/>
  <c r="M83" i="11"/>
  <c r="B83" i="11"/>
  <c r="C83" i="11" s="1"/>
  <c r="A83" i="11"/>
  <c r="R82" i="11"/>
  <c r="Q82" i="11"/>
  <c r="P82" i="11"/>
  <c r="M82" i="11"/>
  <c r="B82" i="11"/>
  <c r="A82" i="11"/>
  <c r="R81" i="11"/>
  <c r="Q81" i="11"/>
  <c r="P81" i="11"/>
  <c r="M81" i="11"/>
  <c r="B81" i="11"/>
  <c r="A81" i="11"/>
  <c r="R80" i="11"/>
  <c r="Q80" i="11"/>
  <c r="P80" i="11"/>
  <c r="M80" i="11"/>
  <c r="B80" i="11"/>
  <c r="A80" i="11"/>
  <c r="R79" i="11"/>
  <c r="Q79" i="11"/>
  <c r="P79" i="11"/>
  <c r="M79" i="11"/>
  <c r="B79" i="11"/>
  <c r="A79" i="11"/>
  <c r="R78" i="11"/>
  <c r="Q78" i="11"/>
  <c r="P78" i="11"/>
  <c r="M78" i="11"/>
  <c r="B78" i="11"/>
  <c r="A78" i="11"/>
  <c r="R77" i="11"/>
  <c r="Q77" i="11"/>
  <c r="P77" i="11"/>
  <c r="M77" i="11"/>
  <c r="B77" i="11"/>
  <c r="C78" i="11" s="1"/>
  <c r="A77" i="11"/>
  <c r="R76" i="11"/>
  <c r="Q76" i="11"/>
  <c r="P76" i="11"/>
  <c r="M76" i="11"/>
  <c r="B76" i="11"/>
  <c r="A76" i="11"/>
  <c r="R75" i="11"/>
  <c r="Q75" i="11"/>
  <c r="P75" i="11"/>
  <c r="M75" i="11"/>
  <c r="B75" i="11"/>
  <c r="C75" i="11" s="1"/>
  <c r="A75" i="11"/>
  <c r="R74" i="11"/>
  <c r="Q74" i="11"/>
  <c r="P74" i="11"/>
  <c r="M74" i="11"/>
  <c r="B74" i="11"/>
  <c r="A74" i="11"/>
  <c r="R73" i="11"/>
  <c r="Q73" i="11"/>
  <c r="P73" i="11"/>
  <c r="M73" i="11"/>
  <c r="B73" i="11"/>
  <c r="A73" i="11"/>
  <c r="R72" i="11"/>
  <c r="Q72" i="11"/>
  <c r="P72" i="11"/>
  <c r="M72" i="11"/>
  <c r="B72" i="11"/>
  <c r="A72" i="11"/>
  <c r="R71" i="11"/>
  <c r="Q71" i="11"/>
  <c r="P71" i="11"/>
  <c r="M71" i="11"/>
  <c r="B71" i="11"/>
  <c r="A71" i="11"/>
  <c r="R70" i="11"/>
  <c r="Q70" i="11"/>
  <c r="P70" i="11"/>
  <c r="M70" i="11"/>
  <c r="B70" i="11"/>
  <c r="A70" i="11"/>
  <c r="R69" i="11"/>
  <c r="Q69" i="11"/>
  <c r="P69" i="11"/>
  <c r="M69" i="11"/>
  <c r="B69" i="11"/>
  <c r="C70" i="11" s="1"/>
  <c r="A69" i="11"/>
  <c r="R68" i="11"/>
  <c r="Q68" i="11"/>
  <c r="P68" i="11"/>
  <c r="M68" i="11"/>
  <c r="B68" i="11"/>
  <c r="A68" i="11"/>
  <c r="R67" i="11"/>
  <c r="Q67" i="11"/>
  <c r="P67" i="11"/>
  <c r="M67" i="11"/>
  <c r="B67" i="11"/>
  <c r="A67" i="11"/>
  <c r="R66" i="11"/>
  <c r="Q66" i="11"/>
  <c r="P66" i="11"/>
  <c r="M66" i="11"/>
  <c r="B66" i="11"/>
  <c r="A66" i="11"/>
  <c r="R65" i="11"/>
  <c r="Q65" i="11"/>
  <c r="P65" i="11"/>
  <c r="M65" i="11"/>
  <c r="B65" i="11"/>
  <c r="A65" i="11"/>
  <c r="R64" i="11"/>
  <c r="Q64" i="11"/>
  <c r="P64" i="11"/>
  <c r="M64" i="11"/>
  <c r="B64" i="11"/>
  <c r="A64" i="11"/>
  <c r="R63" i="11"/>
  <c r="Q63" i="11"/>
  <c r="P63" i="11"/>
  <c r="M63" i="11"/>
  <c r="B63" i="11"/>
  <c r="C63" i="11" s="1"/>
  <c r="A63" i="11"/>
  <c r="R62" i="11"/>
  <c r="Q62" i="11"/>
  <c r="P62" i="11"/>
  <c r="M62" i="11"/>
  <c r="B62" i="11"/>
  <c r="A62" i="11"/>
  <c r="R61" i="11"/>
  <c r="Q61" i="11"/>
  <c r="P61" i="11"/>
  <c r="M61" i="11"/>
  <c r="B61" i="11"/>
  <c r="A61" i="11"/>
  <c r="R60" i="11"/>
  <c r="Q60" i="11"/>
  <c r="P60" i="11"/>
  <c r="M60" i="11"/>
  <c r="B60" i="11"/>
  <c r="A60" i="11"/>
  <c r="R59" i="11"/>
  <c r="Q59" i="11"/>
  <c r="P59" i="11"/>
  <c r="M59" i="11"/>
  <c r="B59" i="11"/>
  <c r="C59" i="11" s="1"/>
  <c r="A59" i="11"/>
  <c r="R58" i="11"/>
  <c r="Q58" i="11"/>
  <c r="P58" i="11"/>
  <c r="M58" i="11"/>
  <c r="B58" i="11"/>
  <c r="C58" i="11" s="1"/>
  <c r="A58" i="11"/>
  <c r="R57" i="11"/>
  <c r="Q57" i="11"/>
  <c r="P57" i="11"/>
  <c r="M57" i="11"/>
  <c r="B57" i="11"/>
  <c r="A57" i="11"/>
  <c r="R56" i="11"/>
  <c r="Q56" i="11"/>
  <c r="P56" i="11"/>
  <c r="M56" i="11"/>
  <c r="B56" i="11"/>
  <c r="A56" i="11"/>
  <c r="R55" i="11"/>
  <c r="Q55" i="11"/>
  <c r="P55" i="11"/>
  <c r="M55" i="11"/>
  <c r="B55" i="11"/>
  <c r="A55" i="11"/>
  <c r="R54" i="11"/>
  <c r="Q54" i="11"/>
  <c r="P54" i="11"/>
  <c r="M54" i="11"/>
  <c r="B54" i="11"/>
  <c r="C54" i="11" s="1"/>
  <c r="A54" i="11"/>
  <c r="R53" i="11"/>
  <c r="Q53" i="11"/>
  <c r="P53" i="11"/>
  <c r="M53" i="11"/>
  <c r="B53" i="11"/>
  <c r="A53" i="11"/>
  <c r="R52" i="11"/>
  <c r="Q52" i="11"/>
  <c r="P52" i="11"/>
  <c r="M52" i="11"/>
  <c r="B52" i="11"/>
  <c r="A52" i="11"/>
  <c r="R51" i="11"/>
  <c r="Q51" i="11"/>
  <c r="P51" i="11"/>
  <c r="M51" i="11"/>
  <c r="B51" i="11"/>
  <c r="A51" i="11"/>
  <c r="R50" i="11"/>
  <c r="Q50" i="11"/>
  <c r="P50" i="11"/>
  <c r="M50" i="11"/>
  <c r="B50" i="11"/>
  <c r="A50" i="11"/>
  <c r="R49" i="11"/>
  <c r="Q49" i="11"/>
  <c r="P49" i="11"/>
  <c r="M49" i="11"/>
  <c r="B49" i="11"/>
  <c r="A49" i="11"/>
  <c r="R48" i="11"/>
  <c r="Q48" i="11"/>
  <c r="P48" i="11"/>
  <c r="M48" i="11"/>
  <c r="B48" i="11"/>
  <c r="A48" i="11"/>
  <c r="R47" i="11"/>
  <c r="Q47" i="11"/>
  <c r="P47" i="11"/>
  <c r="M47" i="11"/>
  <c r="B47" i="11"/>
  <c r="A47" i="11"/>
  <c r="R46" i="11"/>
  <c r="Q46" i="11"/>
  <c r="P46" i="11"/>
  <c r="M46" i="11"/>
  <c r="B46" i="11"/>
  <c r="A46" i="11"/>
  <c r="R45" i="11"/>
  <c r="Q45" i="11"/>
  <c r="P45" i="11"/>
  <c r="M45" i="11"/>
  <c r="B45" i="11"/>
  <c r="A45" i="11"/>
  <c r="R44" i="11"/>
  <c r="Q44" i="11"/>
  <c r="P44" i="11"/>
  <c r="M44" i="11"/>
  <c r="B44" i="11"/>
  <c r="C44" i="11" s="1"/>
  <c r="A44" i="11"/>
  <c r="R43" i="11"/>
  <c r="Q43" i="11"/>
  <c r="P43" i="11"/>
  <c r="M43" i="11"/>
  <c r="B43" i="11"/>
  <c r="A43" i="11"/>
  <c r="R42" i="11"/>
  <c r="Q42" i="11"/>
  <c r="P42" i="11"/>
  <c r="M42" i="11"/>
  <c r="B42" i="11"/>
  <c r="A42" i="11"/>
  <c r="R41" i="11"/>
  <c r="Q41" i="11"/>
  <c r="P41" i="11"/>
  <c r="M41" i="11"/>
  <c r="B41" i="11"/>
  <c r="A41" i="11"/>
  <c r="R40" i="11"/>
  <c r="Q40" i="11"/>
  <c r="P40" i="11"/>
  <c r="M40" i="11"/>
  <c r="B40" i="11"/>
  <c r="A40" i="11"/>
  <c r="R39" i="11"/>
  <c r="Q39" i="11"/>
  <c r="P39" i="11"/>
  <c r="M39" i="11"/>
  <c r="B39" i="11"/>
  <c r="A39" i="11"/>
  <c r="R38" i="11"/>
  <c r="Q38" i="11"/>
  <c r="P38" i="11"/>
  <c r="M38" i="11"/>
  <c r="B38" i="11"/>
  <c r="A38" i="11"/>
  <c r="R37" i="11"/>
  <c r="Q37" i="11"/>
  <c r="P37" i="11"/>
  <c r="M37" i="11"/>
  <c r="B37" i="11"/>
  <c r="A37" i="11"/>
  <c r="R36" i="11"/>
  <c r="Q36" i="11"/>
  <c r="P36" i="11"/>
  <c r="M36" i="11"/>
  <c r="B36" i="11"/>
  <c r="C36" i="11" s="1"/>
  <c r="A36" i="11"/>
  <c r="R35" i="11"/>
  <c r="Q35" i="11"/>
  <c r="P35" i="11"/>
  <c r="M35" i="11"/>
  <c r="B35" i="11"/>
  <c r="A35" i="11"/>
  <c r="R34" i="11"/>
  <c r="Q34" i="11"/>
  <c r="P34" i="11"/>
  <c r="M34" i="11"/>
  <c r="B34" i="11"/>
  <c r="A34" i="11"/>
  <c r="R33" i="11"/>
  <c r="Q33" i="11"/>
  <c r="P33" i="11"/>
  <c r="M33" i="11"/>
  <c r="B33" i="11"/>
  <c r="A33" i="11"/>
  <c r="R32" i="11"/>
  <c r="Q32" i="11"/>
  <c r="P32" i="11"/>
  <c r="M32" i="11"/>
  <c r="B32" i="11"/>
  <c r="C32" i="11" s="1"/>
  <c r="A32" i="11"/>
  <c r="R31" i="11"/>
  <c r="Q31" i="11"/>
  <c r="P31" i="11"/>
  <c r="M31" i="11"/>
  <c r="G31" i="11"/>
  <c r="F31" i="11"/>
  <c r="B31" i="11"/>
  <c r="A31" i="11"/>
  <c r="R30" i="11"/>
  <c r="Q30" i="11"/>
  <c r="P30" i="11"/>
  <c r="M30" i="11"/>
  <c r="G30" i="11"/>
  <c r="F30" i="11"/>
  <c r="A30" i="11"/>
  <c r="B30" i="11" s="1"/>
  <c r="C30" i="11" s="1"/>
  <c r="R29" i="11"/>
  <c r="Q29" i="11"/>
  <c r="P29" i="11"/>
  <c r="M29" i="11"/>
  <c r="G29" i="11"/>
  <c r="F29" i="11"/>
  <c r="A29" i="11" s="1"/>
  <c r="B29" i="11" s="1"/>
  <c r="C29" i="11" s="1"/>
  <c r="R28" i="11"/>
  <c r="Q28" i="11"/>
  <c r="P28" i="11"/>
  <c r="M28" i="11"/>
  <c r="A28" i="11"/>
  <c r="B28" i="11" s="1"/>
  <c r="R27" i="11"/>
  <c r="Q27" i="11"/>
  <c r="P27" i="11"/>
  <c r="M27" i="11"/>
  <c r="B27" i="11"/>
  <c r="A27" i="11"/>
  <c r="R26" i="11"/>
  <c r="Q26" i="11"/>
  <c r="P26" i="11"/>
  <c r="M26" i="11"/>
  <c r="R25" i="11"/>
  <c r="Q25" i="11"/>
  <c r="P25" i="11"/>
  <c r="M25" i="11"/>
  <c r="G25" i="11"/>
  <c r="F25" i="11"/>
  <c r="R24" i="11"/>
  <c r="Q24" i="11"/>
  <c r="P24" i="11"/>
  <c r="M24" i="11"/>
  <c r="G24" i="11"/>
  <c r="F24" i="11"/>
  <c r="A24" i="11"/>
  <c r="B24" i="11" s="1"/>
  <c r="R23" i="11"/>
  <c r="Q23" i="11"/>
  <c r="P23" i="11"/>
  <c r="M23" i="11"/>
  <c r="G23" i="11"/>
  <c r="F23" i="11"/>
  <c r="R22" i="11"/>
  <c r="Q22" i="11"/>
  <c r="P22" i="11"/>
  <c r="M22" i="11"/>
  <c r="G22" i="11"/>
  <c r="F22" i="11"/>
  <c r="A22" i="11" s="1"/>
  <c r="B22" i="11" s="1"/>
  <c r="R21" i="11"/>
  <c r="Q21" i="11"/>
  <c r="P21" i="11"/>
  <c r="M21" i="11"/>
  <c r="G21" i="11"/>
  <c r="F21" i="11"/>
  <c r="A21" i="11"/>
  <c r="B21" i="11" s="1"/>
  <c r="R20" i="11"/>
  <c r="Q20" i="11"/>
  <c r="P20" i="11"/>
  <c r="M20" i="11"/>
  <c r="G20" i="11"/>
  <c r="F20" i="11"/>
  <c r="R19" i="11"/>
  <c r="Q19" i="11"/>
  <c r="P19" i="11"/>
  <c r="M19" i="11"/>
  <c r="G19" i="11"/>
  <c r="F19" i="11"/>
  <c r="A19" i="11" s="1"/>
  <c r="B19" i="11" s="1"/>
  <c r="R18" i="11"/>
  <c r="Q18" i="11"/>
  <c r="P18" i="11"/>
  <c r="M18" i="11"/>
  <c r="G18" i="11"/>
  <c r="F18" i="11"/>
  <c r="B18" i="11"/>
  <c r="C18" i="11" s="1"/>
  <c r="A18" i="11"/>
  <c r="R17" i="11"/>
  <c r="Q17" i="11"/>
  <c r="P17" i="11"/>
  <c r="M17" i="11"/>
  <c r="G17" i="11"/>
  <c r="F17" i="11"/>
  <c r="C17" i="11"/>
  <c r="B17" i="11"/>
  <c r="A17" i="11"/>
  <c r="R16" i="11"/>
  <c r="Q16" i="11"/>
  <c r="P16" i="11"/>
  <c r="M16" i="11"/>
  <c r="G16" i="11"/>
  <c r="F16" i="11"/>
  <c r="B16" i="11"/>
  <c r="C16" i="11" s="1"/>
  <c r="A16" i="11"/>
  <c r="R15" i="11"/>
  <c r="Q15" i="11"/>
  <c r="P15" i="11"/>
  <c r="M15" i="11"/>
  <c r="G15" i="11"/>
  <c r="F15" i="11"/>
  <c r="B15" i="11"/>
  <c r="A15" i="11"/>
  <c r="R14" i="11"/>
  <c r="Q14" i="11"/>
  <c r="P14" i="11"/>
  <c r="M14" i="11"/>
  <c r="G14" i="11"/>
  <c r="F14" i="11"/>
  <c r="B14" i="11"/>
  <c r="A14" i="11"/>
  <c r="R13" i="11"/>
  <c r="Q13" i="11"/>
  <c r="P13" i="11"/>
  <c r="M13" i="11"/>
  <c r="G13" i="11"/>
  <c r="F13" i="11"/>
  <c r="C13" i="11"/>
  <c r="B13" i="11"/>
  <c r="A13" i="11"/>
  <c r="R12" i="11"/>
  <c r="Q12" i="11"/>
  <c r="P12" i="11"/>
  <c r="M12" i="11"/>
  <c r="G12" i="11"/>
  <c r="F12" i="11"/>
  <c r="B12" i="11"/>
  <c r="A12" i="11"/>
  <c r="R11" i="11"/>
  <c r="Q11" i="11"/>
  <c r="P11" i="11"/>
  <c r="M11" i="11"/>
  <c r="G11" i="11"/>
  <c r="F11" i="11"/>
  <c r="B11" i="11"/>
  <c r="C11" i="11" s="1"/>
  <c r="A11" i="11"/>
  <c r="R10" i="11"/>
  <c r="Q10" i="11"/>
  <c r="P10" i="11"/>
  <c r="M10" i="11"/>
  <c r="G10" i="11"/>
  <c r="F10" i="11"/>
  <c r="C10" i="11"/>
  <c r="B10" i="11"/>
  <c r="A10" i="11"/>
  <c r="R9" i="11"/>
  <c r="Q9" i="11"/>
  <c r="P9" i="11"/>
  <c r="M9" i="11"/>
  <c r="G9" i="11"/>
  <c r="F9" i="11"/>
  <c r="C9" i="11"/>
  <c r="B9" i="11"/>
  <c r="A9" i="11"/>
  <c r="R8" i="11"/>
  <c r="Q8" i="11"/>
  <c r="P8" i="11"/>
  <c r="M8" i="11"/>
  <c r="G8" i="11"/>
  <c r="F8" i="11"/>
  <c r="B8" i="11"/>
  <c r="C8" i="11" s="1"/>
  <c r="A8" i="11"/>
  <c r="R7" i="11"/>
  <c r="Q7" i="11"/>
  <c r="P7" i="11"/>
  <c r="M7" i="11"/>
  <c r="G7" i="11"/>
  <c r="F7" i="11"/>
  <c r="B7" i="11"/>
  <c r="C7" i="11" s="1"/>
  <c r="A7" i="11"/>
  <c r="R6" i="11"/>
  <c r="Q6" i="11"/>
  <c r="P6" i="11"/>
  <c r="M6" i="11"/>
  <c r="G6" i="11"/>
  <c r="F6" i="11"/>
  <c r="B6" i="11"/>
  <c r="A6" i="11"/>
  <c r="R5" i="11"/>
  <c r="Q5" i="11"/>
  <c r="P5" i="11"/>
  <c r="M5" i="11"/>
  <c r="G5" i="11"/>
  <c r="F5" i="11"/>
  <c r="C5" i="11"/>
  <c r="B5" i="11"/>
  <c r="A5" i="11"/>
  <c r="R4" i="11"/>
  <c r="Q4" i="11"/>
  <c r="P4" i="11"/>
  <c r="M4" i="11"/>
  <c r="G4" i="11"/>
  <c r="F4" i="11"/>
  <c r="B4" i="11"/>
  <c r="C4" i="11" s="1"/>
  <c r="A4" i="11"/>
  <c r="R3" i="11"/>
  <c r="Q3" i="11"/>
  <c r="P3" i="11"/>
  <c r="M3" i="11"/>
  <c r="G3" i="11"/>
  <c r="F3" i="11"/>
  <c r="B3" i="11"/>
  <c r="C3" i="11" s="1"/>
  <c r="A3" i="11"/>
  <c r="R2" i="11"/>
  <c r="Q2" i="11"/>
  <c r="P2" i="11"/>
  <c r="M2" i="11"/>
  <c r="G2" i="11"/>
  <c r="F2" i="11"/>
  <c r="C2" i="11"/>
  <c r="B2" i="11"/>
  <c r="N2" i="11" s="1"/>
  <c r="A2" i="11"/>
  <c r="R499" i="10"/>
  <c r="Q499" i="10"/>
  <c r="P499" i="10"/>
  <c r="M499" i="10"/>
  <c r="G499" i="10"/>
  <c r="F499" i="10"/>
  <c r="B499" i="10"/>
  <c r="A499" i="10"/>
  <c r="R498" i="10"/>
  <c r="Q498" i="10"/>
  <c r="P498" i="10"/>
  <c r="M498" i="10"/>
  <c r="G498" i="10"/>
  <c r="F498" i="10"/>
  <c r="B498" i="10"/>
  <c r="C498" i="10" s="1"/>
  <c r="A498" i="10"/>
  <c r="R497" i="10"/>
  <c r="Q497" i="10"/>
  <c r="P497" i="10"/>
  <c r="M497" i="10"/>
  <c r="G497" i="10"/>
  <c r="F497" i="10"/>
  <c r="B497" i="10"/>
  <c r="A497" i="10"/>
  <c r="R496" i="10"/>
  <c r="Q496" i="10"/>
  <c r="P496" i="10"/>
  <c r="M496" i="10"/>
  <c r="G496" i="10"/>
  <c r="F496" i="10"/>
  <c r="B496" i="10"/>
  <c r="A496" i="10"/>
  <c r="R495" i="10"/>
  <c r="Q495" i="10"/>
  <c r="P495" i="10"/>
  <c r="M495" i="10"/>
  <c r="G495" i="10"/>
  <c r="F495" i="10"/>
  <c r="C495" i="10"/>
  <c r="B495" i="10"/>
  <c r="A495" i="10"/>
  <c r="R494" i="10"/>
  <c r="Q494" i="10"/>
  <c r="P494" i="10"/>
  <c r="M494" i="10"/>
  <c r="G494" i="10"/>
  <c r="F494" i="10"/>
  <c r="B494" i="10"/>
  <c r="A494" i="10"/>
  <c r="R493" i="10"/>
  <c r="Q493" i="10"/>
  <c r="P493" i="10"/>
  <c r="M493" i="10"/>
  <c r="G493" i="10"/>
  <c r="F493" i="10"/>
  <c r="B493" i="10"/>
  <c r="C493" i="10" s="1"/>
  <c r="A493" i="10"/>
  <c r="R492" i="10"/>
  <c r="Q492" i="10"/>
  <c r="P492" i="10"/>
  <c r="M492" i="10"/>
  <c r="G492" i="10"/>
  <c r="F492" i="10"/>
  <c r="C492" i="10"/>
  <c r="B492" i="10"/>
  <c r="A492" i="10"/>
  <c r="R491" i="10"/>
  <c r="Q491" i="10"/>
  <c r="P491" i="10"/>
  <c r="M491" i="10"/>
  <c r="G491" i="10"/>
  <c r="F491" i="10"/>
  <c r="B491" i="10"/>
  <c r="A491" i="10"/>
  <c r="R490" i="10"/>
  <c r="Q490" i="10"/>
  <c r="P490" i="10"/>
  <c r="M490" i="10"/>
  <c r="G490" i="10"/>
  <c r="F490" i="10"/>
  <c r="B490" i="10"/>
  <c r="C490" i="10" s="1"/>
  <c r="A490" i="10"/>
  <c r="R489" i="10"/>
  <c r="Q489" i="10"/>
  <c r="P489" i="10"/>
  <c r="M489" i="10"/>
  <c r="G489" i="10"/>
  <c r="F489" i="10"/>
  <c r="B489" i="10"/>
  <c r="A489" i="10"/>
  <c r="R488" i="10"/>
  <c r="Q488" i="10"/>
  <c r="P488" i="10"/>
  <c r="M488" i="10"/>
  <c r="G488" i="10"/>
  <c r="F488" i="10"/>
  <c r="B488" i="10"/>
  <c r="A488" i="10"/>
  <c r="R487" i="10"/>
  <c r="Q487" i="10"/>
  <c r="P487" i="10"/>
  <c r="M487" i="10"/>
  <c r="G487" i="10"/>
  <c r="F487" i="10"/>
  <c r="C487" i="10"/>
  <c r="B487" i="10"/>
  <c r="A487" i="10"/>
  <c r="R486" i="10"/>
  <c r="Q486" i="10"/>
  <c r="P486" i="10"/>
  <c r="M486" i="10"/>
  <c r="G486" i="10"/>
  <c r="F486" i="10"/>
  <c r="B486" i="10"/>
  <c r="A486" i="10"/>
  <c r="R485" i="10"/>
  <c r="Q485" i="10"/>
  <c r="P485" i="10"/>
  <c r="M485" i="10"/>
  <c r="G485" i="10"/>
  <c r="F485" i="10"/>
  <c r="B485" i="10"/>
  <c r="C485" i="10" s="1"/>
  <c r="A485" i="10"/>
  <c r="R484" i="10"/>
  <c r="Q484" i="10"/>
  <c r="P484" i="10"/>
  <c r="M484" i="10"/>
  <c r="G484" i="10"/>
  <c r="F484" i="10"/>
  <c r="C484" i="10"/>
  <c r="B484" i="10"/>
  <c r="A484" i="10"/>
  <c r="R483" i="10"/>
  <c r="Q483" i="10"/>
  <c r="P483" i="10"/>
  <c r="M483" i="10"/>
  <c r="G483" i="10"/>
  <c r="F483" i="10"/>
  <c r="B483" i="10"/>
  <c r="A483" i="10"/>
  <c r="R482" i="10"/>
  <c r="Q482" i="10"/>
  <c r="P482" i="10"/>
  <c r="M482" i="10"/>
  <c r="G482" i="10"/>
  <c r="F482" i="10"/>
  <c r="B482" i="10"/>
  <c r="C482" i="10" s="1"/>
  <c r="A482" i="10"/>
  <c r="R481" i="10"/>
  <c r="Q481" i="10"/>
  <c r="P481" i="10"/>
  <c r="M481" i="10"/>
  <c r="G481" i="10"/>
  <c r="F481" i="10"/>
  <c r="B481" i="10"/>
  <c r="A481" i="10"/>
  <c r="R480" i="10"/>
  <c r="Q480" i="10"/>
  <c r="P480" i="10"/>
  <c r="M480" i="10"/>
  <c r="G480" i="10"/>
  <c r="F480" i="10"/>
  <c r="B480" i="10"/>
  <c r="A480" i="10"/>
  <c r="R479" i="10"/>
  <c r="Q479" i="10"/>
  <c r="P479" i="10"/>
  <c r="M479" i="10"/>
  <c r="G479" i="10"/>
  <c r="F479" i="10"/>
  <c r="C479" i="10"/>
  <c r="B479" i="10"/>
  <c r="A479" i="10"/>
  <c r="R478" i="10"/>
  <c r="Q478" i="10"/>
  <c r="P478" i="10"/>
  <c r="M478" i="10"/>
  <c r="G478" i="10"/>
  <c r="F478" i="10"/>
  <c r="B478" i="10"/>
  <c r="A478" i="10"/>
  <c r="R477" i="10"/>
  <c r="Q477" i="10"/>
  <c r="P477" i="10"/>
  <c r="M477" i="10"/>
  <c r="G477" i="10"/>
  <c r="F477" i="10"/>
  <c r="B477" i="10"/>
  <c r="C477" i="10" s="1"/>
  <c r="A477" i="10"/>
  <c r="R476" i="10"/>
  <c r="Q476" i="10"/>
  <c r="P476" i="10"/>
  <c r="M476" i="10"/>
  <c r="G476" i="10"/>
  <c r="F476" i="10"/>
  <c r="C476" i="10"/>
  <c r="B476" i="10"/>
  <c r="A476" i="10"/>
  <c r="R475" i="10"/>
  <c r="Q475" i="10"/>
  <c r="P475" i="10"/>
  <c r="M475" i="10"/>
  <c r="G475" i="10"/>
  <c r="F475" i="10"/>
  <c r="B475" i="10"/>
  <c r="A475" i="10"/>
  <c r="R474" i="10"/>
  <c r="Q474" i="10"/>
  <c r="P474" i="10"/>
  <c r="M474" i="10"/>
  <c r="G474" i="10"/>
  <c r="F474" i="10"/>
  <c r="B474" i="10"/>
  <c r="C474" i="10" s="1"/>
  <c r="A474" i="10"/>
  <c r="R473" i="10"/>
  <c r="Q473" i="10"/>
  <c r="P473" i="10"/>
  <c r="M473" i="10"/>
  <c r="G473" i="10"/>
  <c r="F473" i="10"/>
  <c r="B473" i="10"/>
  <c r="A473" i="10"/>
  <c r="R472" i="10"/>
  <c r="Q472" i="10"/>
  <c r="P472" i="10"/>
  <c r="M472" i="10"/>
  <c r="G472" i="10"/>
  <c r="F472" i="10"/>
  <c r="B472" i="10"/>
  <c r="A472" i="10"/>
  <c r="R471" i="10"/>
  <c r="Q471" i="10"/>
  <c r="P471" i="10"/>
  <c r="M471" i="10"/>
  <c r="G471" i="10"/>
  <c r="F471" i="10"/>
  <c r="B471" i="10"/>
  <c r="A471" i="10"/>
  <c r="R470" i="10"/>
  <c r="Q470" i="10"/>
  <c r="P470" i="10"/>
  <c r="M470" i="10"/>
  <c r="G470" i="10"/>
  <c r="F470" i="10"/>
  <c r="B470" i="10"/>
  <c r="A470" i="10"/>
  <c r="R469" i="10"/>
  <c r="Q469" i="10"/>
  <c r="P469" i="10"/>
  <c r="M469" i="10"/>
  <c r="G469" i="10"/>
  <c r="F469" i="10"/>
  <c r="B469" i="10"/>
  <c r="C469" i="10" s="1"/>
  <c r="A469" i="10"/>
  <c r="R468" i="10"/>
  <c r="Q468" i="10"/>
  <c r="P468" i="10"/>
  <c r="M468" i="10"/>
  <c r="G468" i="10"/>
  <c r="F468" i="10"/>
  <c r="C468" i="10"/>
  <c r="B468" i="10"/>
  <c r="A468" i="10"/>
  <c r="R467" i="10"/>
  <c r="Q467" i="10"/>
  <c r="P467" i="10"/>
  <c r="M467" i="10"/>
  <c r="G467" i="10"/>
  <c r="F467" i="10"/>
  <c r="B467" i="10"/>
  <c r="A467" i="10"/>
  <c r="R466" i="10"/>
  <c r="Q466" i="10"/>
  <c r="P466" i="10"/>
  <c r="M466" i="10"/>
  <c r="G466" i="10"/>
  <c r="F466" i="10"/>
  <c r="B466" i="10"/>
  <c r="C466" i="10" s="1"/>
  <c r="A466" i="10"/>
  <c r="R465" i="10"/>
  <c r="Q465" i="10"/>
  <c r="P465" i="10"/>
  <c r="M465" i="10"/>
  <c r="G465" i="10"/>
  <c r="F465" i="10"/>
  <c r="B465" i="10"/>
  <c r="A465" i="10"/>
  <c r="R464" i="10"/>
  <c r="Q464" i="10"/>
  <c r="P464" i="10"/>
  <c r="M464" i="10"/>
  <c r="G464" i="10"/>
  <c r="F464" i="10"/>
  <c r="B464" i="10"/>
  <c r="A464" i="10"/>
  <c r="R463" i="10"/>
  <c r="Q463" i="10"/>
  <c r="P463" i="10"/>
  <c r="M463" i="10"/>
  <c r="G463" i="10"/>
  <c r="F463" i="10"/>
  <c r="B463" i="10"/>
  <c r="A463" i="10"/>
  <c r="R462" i="10"/>
  <c r="Q462" i="10"/>
  <c r="P462" i="10"/>
  <c r="M462" i="10"/>
  <c r="G462" i="10"/>
  <c r="F462" i="10"/>
  <c r="B462" i="10"/>
  <c r="A462" i="10"/>
  <c r="R461" i="10"/>
  <c r="Q461" i="10"/>
  <c r="P461" i="10"/>
  <c r="M461" i="10"/>
  <c r="G461" i="10"/>
  <c r="F461" i="10"/>
  <c r="B461" i="10"/>
  <c r="C461" i="10" s="1"/>
  <c r="A461" i="10"/>
  <c r="R460" i="10"/>
  <c r="Q460" i="10"/>
  <c r="P460" i="10"/>
  <c r="M460" i="10"/>
  <c r="G460" i="10"/>
  <c r="F460" i="10"/>
  <c r="C460" i="10"/>
  <c r="B460" i="10"/>
  <c r="A460" i="10"/>
  <c r="R459" i="10"/>
  <c r="Q459" i="10"/>
  <c r="P459" i="10"/>
  <c r="M459" i="10"/>
  <c r="G459" i="10"/>
  <c r="F459" i="10"/>
  <c r="B459" i="10"/>
  <c r="A459" i="10"/>
  <c r="R458" i="10"/>
  <c r="Q458" i="10"/>
  <c r="P458" i="10"/>
  <c r="M458" i="10"/>
  <c r="G458" i="10"/>
  <c r="F458" i="10"/>
  <c r="B458" i="10"/>
  <c r="C458" i="10" s="1"/>
  <c r="A458" i="10"/>
  <c r="R457" i="10"/>
  <c r="Q457" i="10"/>
  <c r="P457" i="10"/>
  <c r="M457" i="10"/>
  <c r="G457" i="10"/>
  <c r="F457" i="10"/>
  <c r="B457" i="10"/>
  <c r="A457" i="10"/>
  <c r="R456" i="10"/>
  <c r="Q456" i="10"/>
  <c r="P456" i="10"/>
  <c r="M456" i="10"/>
  <c r="G456" i="10"/>
  <c r="F456" i="10"/>
  <c r="B456" i="10"/>
  <c r="A456" i="10"/>
  <c r="R455" i="10"/>
  <c r="Q455" i="10"/>
  <c r="P455" i="10"/>
  <c r="M455" i="10"/>
  <c r="G455" i="10"/>
  <c r="F455" i="10"/>
  <c r="B455" i="10"/>
  <c r="A455" i="10"/>
  <c r="R454" i="10"/>
  <c r="Q454" i="10"/>
  <c r="P454" i="10"/>
  <c r="M454" i="10"/>
  <c r="G454" i="10"/>
  <c r="F454" i="10"/>
  <c r="B454" i="10"/>
  <c r="C454" i="10" s="1"/>
  <c r="A454" i="10"/>
  <c r="R453" i="10"/>
  <c r="Q453" i="10"/>
  <c r="P453" i="10"/>
  <c r="M453" i="10"/>
  <c r="G453" i="10"/>
  <c r="F453" i="10"/>
  <c r="C453" i="10"/>
  <c r="B453" i="10"/>
  <c r="A453" i="10"/>
  <c r="R452" i="10"/>
  <c r="Q452" i="10"/>
  <c r="P452" i="10"/>
  <c r="M452" i="10"/>
  <c r="G452" i="10"/>
  <c r="F452" i="10"/>
  <c r="C452" i="10"/>
  <c r="B452" i="10"/>
  <c r="A452" i="10"/>
  <c r="R451" i="10"/>
  <c r="Q451" i="10"/>
  <c r="P451" i="10"/>
  <c r="M451" i="10"/>
  <c r="G451" i="10"/>
  <c r="F451" i="10"/>
  <c r="B451" i="10"/>
  <c r="A451" i="10"/>
  <c r="R450" i="10"/>
  <c r="Q450" i="10"/>
  <c r="P450" i="10"/>
  <c r="M450" i="10"/>
  <c r="G450" i="10"/>
  <c r="F450" i="10"/>
  <c r="B450" i="10"/>
  <c r="C450" i="10" s="1"/>
  <c r="A450" i="10"/>
  <c r="R449" i="10"/>
  <c r="Q449" i="10"/>
  <c r="P449" i="10"/>
  <c r="M449" i="10"/>
  <c r="G449" i="10"/>
  <c r="F449" i="10"/>
  <c r="C449" i="10"/>
  <c r="B449" i="10"/>
  <c r="A449" i="10"/>
  <c r="R448" i="10"/>
  <c r="Q448" i="10"/>
  <c r="P448" i="10"/>
  <c r="M448" i="10"/>
  <c r="G448" i="10"/>
  <c r="F448" i="10"/>
  <c r="C448" i="10"/>
  <c r="B448" i="10"/>
  <c r="A448" i="10"/>
  <c r="R447" i="10"/>
  <c r="Q447" i="10"/>
  <c r="P447" i="10"/>
  <c r="M447" i="10"/>
  <c r="G447" i="10"/>
  <c r="F447" i="10"/>
  <c r="B447" i="10"/>
  <c r="C447" i="10" s="1"/>
  <c r="A447" i="10"/>
  <c r="R446" i="10"/>
  <c r="Q446" i="10"/>
  <c r="P446" i="10"/>
  <c r="M446" i="10"/>
  <c r="G446" i="10"/>
  <c r="F446" i="10"/>
  <c r="B446" i="10"/>
  <c r="C446" i="10" s="1"/>
  <c r="A446" i="10"/>
  <c r="R445" i="10"/>
  <c r="Q445" i="10"/>
  <c r="P445" i="10"/>
  <c r="M445" i="10"/>
  <c r="G445" i="10"/>
  <c r="F445" i="10"/>
  <c r="C445" i="10"/>
  <c r="B445" i="10"/>
  <c r="A445" i="10"/>
  <c r="R444" i="10"/>
  <c r="Q444" i="10"/>
  <c r="P444" i="10"/>
  <c r="M444" i="10"/>
  <c r="G444" i="10"/>
  <c r="F444" i="10"/>
  <c r="C444" i="10"/>
  <c r="B444" i="10"/>
  <c r="A444" i="10"/>
  <c r="R443" i="10"/>
  <c r="Q443" i="10"/>
  <c r="P443" i="10"/>
  <c r="M443" i="10"/>
  <c r="G443" i="10"/>
  <c r="F443" i="10"/>
  <c r="B443" i="10"/>
  <c r="C443" i="10" s="1"/>
  <c r="A443" i="10"/>
  <c r="R442" i="10"/>
  <c r="Q442" i="10"/>
  <c r="P442" i="10"/>
  <c r="M442" i="10"/>
  <c r="G442" i="10"/>
  <c r="F442" i="10"/>
  <c r="B442" i="10"/>
  <c r="C442" i="10" s="1"/>
  <c r="A442" i="10"/>
  <c r="R441" i="10"/>
  <c r="Q441" i="10"/>
  <c r="P441" i="10"/>
  <c r="M441" i="10"/>
  <c r="G441" i="10"/>
  <c r="F441" i="10"/>
  <c r="C441" i="10"/>
  <c r="B441" i="10"/>
  <c r="A441" i="10"/>
  <c r="R440" i="10"/>
  <c r="Q440" i="10"/>
  <c r="P440" i="10"/>
  <c r="M440" i="10"/>
  <c r="G440" i="10"/>
  <c r="F440" i="10"/>
  <c r="C440" i="10"/>
  <c r="B440" i="10"/>
  <c r="A440" i="10"/>
  <c r="R439" i="10"/>
  <c r="Q439" i="10"/>
  <c r="P439" i="10"/>
  <c r="M439" i="10"/>
  <c r="G439" i="10"/>
  <c r="F439" i="10"/>
  <c r="B439" i="10"/>
  <c r="C439" i="10" s="1"/>
  <c r="A439" i="10"/>
  <c r="R438" i="10"/>
  <c r="Q438" i="10"/>
  <c r="P438" i="10"/>
  <c r="M438" i="10"/>
  <c r="G438" i="10"/>
  <c r="F438" i="10"/>
  <c r="B438" i="10"/>
  <c r="C438" i="10" s="1"/>
  <c r="A438" i="10"/>
  <c r="R437" i="10"/>
  <c r="Q437" i="10"/>
  <c r="P437" i="10"/>
  <c r="M437" i="10"/>
  <c r="G437" i="10"/>
  <c r="F437" i="10"/>
  <c r="C437" i="10"/>
  <c r="B437" i="10"/>
  <c r="A437" i="10"/>
  <c r="R436" i="10"/>
  <c r="Q436" i="10"/>
  <c r="P436" i="10"/>
  <c r="M436" i="10"/>
  <c r="G436" i="10"/>
  <c r="F436" i="10"/>
  <c r="C436" i="10"/>
  <c r="B436" i="10"/>
  <c r="A436" i="10"/>
  <c r="R435" i="10"/>
  <c r="Q435" i="10"/>
  <c r="P435" i="10"/>
  <c r="M435" i="10"/>
  <c r="G435" i="10"/>
  <c r="F435" i="10"/>
  <c r="B435" i="10"/>
  <c r="C435" i="10" s="1"/>
  <c r="A435" i="10"/>
  <c r="R434" i="10"/>
  <c r="Q434" i="10"/>
  <c r="P434" i="10"/>
  <c r="M434" i="10"/>
  <c r="G434" i="10"/>
  <c r="F434" i="10"/>
  <c r="B434" i="10"/>
  <c r="C434" i="10" s="1"/>
  <c r="A434" i="10"/>
  <c r="R433" i="10"/>
  <c r="Q433" i="10"/>
  <c r="P433" i="10"/>
  <c r="M433" i="10"/>
  <c r="G433" i="10"/>
  <c r="F433" i="10"/>
  <c r="C433" i="10"/>
  <c r="B433" i="10"/>
  <c r="A433" i="10"/>
  <c r="R432" i="10"/>
  <c r="Q432" i="10"/>
  <c r="P432" i="10"/>
  <c r="M432" i="10"/>
  <c r="G432" i="10"/>
  <c r="F432" i="10"/>
  <c r="C432" i="10"/>
  <c r="B432" i="10"/>
  <c r="A432" i="10"/>
  <c r="R431" i="10"/>
  <c r="Q431" i="10"/>
  <c r="P431" i="10"/>
  <c r="M431" i="10"/>
  <c r="G431" i="10"/>
  <c r="F431" i="10"/>
  <c r="B431" i="10"/>
  <c r="C431" i="10" s="1"/>
  <c r="A431" i="10"/>
  <c r="R430" i="10"/>
  <c r="Q430" i="10"/>
  <c r="P430" i="10"/>
  <c r="M430" i="10"/>
  <c r="G430" i="10"/>
  <c r="F430" i="10"/>
  <c r="B430" i="10"/>
  <c r="C430" i="10" s="1"/>
  <c r="A430" i="10"/>
  <c r="R429" i="10"/>
  <c r="Q429" i="10"/>
  <c r="P429" i="10"/>
  <c r="M429" i="10"/>
  <c r="G429" i="10"/>
  <c r="F429" i="10"/>
  <c r="C429" i="10"/>
  <c r="B429" i="10"/>
  <c r="A429" i="10"/>
  <c r="R428" i="10"/>
  <c r="Q428" i="10"/>
  <c r="P428" i="10"/>
  <c r="M428" i="10"/>
  <c r="G428" i="10"/>
  <c r="F428" i="10"/>
  <c r="C428" i="10"/>
  <c r="B428" i="10"/>
  <c r="A428" i="10"/>
  <c r="R427" i="10"/>
  <c r="Q427" i="10"/>
  <c r="P427" i="10"/>
  <c r="M427" i="10"/>
  <c r="G427" i="10"/>
  <c r="F427" i="10"/>
  <c r="B427" i="10"/>
  <c r="C427" i="10" s="1"/>
  <c r="A427" i="10"/>
  <c r="R426" i="10"/>
  <c r="Q426" i="10"/>
  <c r="P426" i="10"/>
  <c r="M426" i="10"/>
  <c r="G426" i="10"/>
  <c r="F426" i="10"/>
  <c r="B426" i="10"/>
  <c r="C426" i="10" s="1"/>
  <c r="A426" i="10"/>
  <c r="R425" i="10"/>
  <c r="Q425" i="10"/>
  <c r="P425" i="10"/>
  <c r="M425" i="10"/>
  <c r="G425" i="10"/>
  <c r="F425" i="10"/>
  <c r="C425" i="10"/>
  <c r="B425" i="10"/>
  <c r="A425" i="10"/>
  <c r="R424" i="10"/>
  <c r="Q424" i="10"/>
  <c r="P424" i="10"/>
  <c r="M424" i="10"/>
  <c r="G424" i="10"/>
  <c r="F424" i="10"/>
  <c r="C424" i="10"/>
  <c r="B424" i="10"/>
  <c r="A424" i="10"/>
  <c r="R423" i="10"/>
  <c r="Q423" i="10"/>
  <c r="P423" i="10"/>
  <c r="M423" i="10"/>
  <c r="G423" i="10"/>
  <c r="F423" i="10"/>
  <c r="B423" i="10"/>
  <c r="C423" i="10" s="1"/>
  <c r="A423" i="10"/>
  <c r="R422" i="10"/>
  <c r="Q422" i="10"/>
  <c r="P422" i="10"/>
  <c r="M422" i="10"/>
  <c r="G422" i="10"/>
  <c r="F422" i="10"/>
  <c r="B422" i="10"/>
  <c r="C422" i="10" s="1"/>
  <c r="A422" i="10"/>
  <c r="R421" i="10"/>
  <c r="Q421" i="10"/>
  <c r="P421" i="10"/>
  <c r="M421" i="10"/>
  <c r="G421" i="10"/>
  <c r="F421" i="10"/>
  <c r="C421" i="10"/>
  <c r="B421" i="10"/>
  <c r="A421" i="10"/>
  <c r="R420" i="10"/>
  <c r="Q420" i="10"/>
  <c r="P420" i="10"/>
  <c r="M420" i="10"/>
  <c r="G420" i="10"/>
  <c r="F420" i="10"/>
  <c r="C420" i="10"/>
  <c r="B420" i="10"/>
  <c r="A420" i="10"/>
  <c r="R419" i="10"/>
  <c r="Q419" i="10"/>
  <c r="P419" i="10"/>
  <c r="M419" i="10"/>
  <c r="G419" i="10"/>
  <c r="F419" i="10"/>
  <c r="B419" i="10"/>
  <c r="C419" i="10" s="1"/>
  <c r="A419" i="10"/>
  <c r="R418" i="10"/>
  <c r="Q418" i="10"/>
  <c r="P418" i="10"/>
  <c r="M418" i="10"/>
  <c r="G418" i="10"/>
  <c r="F418" i="10"/>
  <c r="B418" i="10"/>
  <c r="C418" i="10" s="1"/>
  <c r="A418" i="10"/>
  <c r="R417" i="10"/>
  <c r="Q417" i="10"/>
  <c r="P417" i="10"/>
  <c r="M417" i="10"/>
  <c r="G417" i="10"/>
  <c r="F417" i="10"/>
  <c r="C417" i="10"/>
  <c r="B417" i="10"/>
  <c r="A417" i="10"/>
  <c r="R416" i="10"/>
  <c r="Q416" i="10"/>
  <c r="P416" i="10"/>
  <c r="M416" i="10"/>
  <c r="G416" i="10"/>
  <c r="F416" i="10"/>
  <c r="C416" i="10"/>
  <c r="B416" i="10"/>
  <c r="A416" i="10"/>
  <c r="R415" i="10"/>
  <c r="Q415" i="10"/>
  <c r="P415" i="10"/>
  <c r="M415" i="10"/>
  <c r="G415" i="10"/>
  <c r="F415" i="10"/>
  <c r="B415" i="10"/>
  <c r="C415" i="10" s="1"/>
  <c r="A415" i="10"/>
  <c r="R414" i="10"/>
  <c r="Q414" i="10"/>
  <c r="P414" i="10"/>
  <c r="M414" i="10"/>
  <c r="G414" i="10"/>
  <c r="F414" i="10"/>
  <c r="B414" i="10"/>
  <c r="C414" i="10" s="1"/>
  <c r="A414" i="10"/>
  <c r="R413" i="10"/>
  <c r="Q413" i="10"/>
  <c r="P413" i="10"/>
  <c r="M413" i="10"/>
  <c r="G413" i="10"/>
  <c r="F413" i="10"/>
  <c r="C413" i="10"/>
  <c r="B413" i="10"/>
  <c r="A413" i="10"/>
  <c r="R412" i="10"/>
  <c r="Q412" i="10"/>
  <c r="P412" i="10"/>
  <c r="M412" i="10"/>
  <c r="G412" i="10"/>
  <c r="F412" i="10"/>
  <c r="C412" i="10"/>
  <c r="B412" i="10"/>
  <c r="A412" i="10"/>
  <c r="R411" i="10"/>
  <c r="Q411" i="10"/>
  <c r="P411" i="10"/>
  <c r="M411" i="10"/>
  <c r="G411" i="10"/>
  <c r="F411" i="10"/>
  <c r="B411" i="10"/>
  <c r="C411" i="10" s="1"/>
  <c r="A411" i="10"/>
  <c r="R410" i="10"/>
  <c r="Q410" i="10"/>
  <c r="P410" i="10"/>
  <c r="M410" i="10"/>
  <c r="G410" i="10"/>
  <c r="F410" i="10"/>
  <c r="B410" i="10"/>
  <c r="C410" i="10" s="1"/>
  <c r="A410" i="10"/>
  <c r="R409" i="10"/>
  <c r="Q409" i="10"/>
  <c r="P409" i="10"/>
  <c r="M409" i="10"/>
  <c r="G409" i="10"/>
  <c r="F409" i="10"/>
  <c r="C409" i="10"/>
  <c r="B409" i="10"/>
  <c r="A409" i="10"/>
  <c r="R408" i="10"/>
  <c r="Q408" i="10"/>
  <c r="P408" i="10"/>
  <c r="M408" i="10"/>
  <c r="G408" i="10"/>
  <c r="F408" i="10"/>
  <c r="C408" i="10"/>
  <c r="B408" i="10"/>
  <c r="A408" i="10"/>
  <c r="R407" i="10"/>
  <c r="Q407" i="10"/>
  <c r="P407" i="10"/>
  <c r="M407" i="10"/>
  <c r="G407" i="10"/>
  <c r="F407" i="10"/>
  <c r="B407" i="10"/>
  <c r="C407" i="10" s="1"/>
  <c r="A407" i="10"/>
  <c r="R406" i="10"/>
  <c r="Q406" i="10"/>
  <c r="P406" i="10"/>
  <c r="M406" i="10"/>
  <c r="G406" i="10"/>
  <c r="F406" i="10"/>
  <c r="B406" i="10"/>
  <c r="C406" i="10" s="1"/>
  <c r="A406" i="10"/>
  <c r="R405" i="10"/>
  <c r="Q405" i="10"/>
  <c r="P405" i="10"/>
  <c r="M405" i="10"/>
  <c r="G405" i="10"/>
  <c r="F405" i="10"/>
  <c r="C405" i="10"/>
  <c r="B405" i="10"/>
  <c r="A405" i="10"/>
  <c r="R404" i="10"/>
  <c r="Q404" i="10"/>
  <c r="P404" i="10"/>
  <c r="M404" i="10"/>
  <c r="G404" i="10"/>
  <c r="F404" i="10"/>
  <c r="C404" i="10"/>
  <c r="B404" i="10"/>
  <c r="A404" i="10"/>
  <c r="R403" i="10"/>
  <c r="Q403" i="10"/>
  <c r="P403" i="10"/>
  <c r="M403" i="10"/>
  <c r="G403" i="10"/>
  <c r="F403" i="10"/>
  <c r="B403" i="10"/>
  <c r="C403" i="10" s="1"/>
  <c r="A403" i="10"/>
  <c r="R402" i="10"/>
  <c r="Q402" i="10"/>
  <c r="P402" i="10"/>
  <c r="M402" i="10"/>
  <c r="G402" i="10"/>
  <c r="F402" i="10"/>
  <c r="B402" i="10"/>
  <c r="C402" i="10" s="1"/>
  <c r="A402" i="10"/>
  <c r="R401" i="10"/>
  <c r="Q401" i="10"/>
  <c r="P401" i="10"/>
  <c r="M401" i="10"/>
  <c r="G401" i="10"/>
  <c r="F401" i="10"/>
  <c r="C401" i="10"/>
  <c r="B401" i="10"/>
  <c r="A401" i="10"/>
  <c r="R400" i="10"/>
  <c r="Q400" i="10"/>
  <c r="P400" i="10"/>
  <c r="M400" i="10"/>
  <c r="G400" i="10"/>
  <c r="F400" i="10"/>
  <c r="C400" i="10"/>
  <c r="B400" i="10"/>
  <c r="A400" i="10"/>
  <c r="R399" i="10"/>
  <c r="Q399" i="10"/>
  <c r="P399" i="10"/>
  <c r="M399" i="10"/>
  <c r="G399" i="10"/>
  <c r="F399" i="10"/>
  <c r="B399" i="10"/>
  <c r="C399" i="10" s="1"/>
  <c r="A399" i="10"/>
  <c r="R398" i="10"/>
  <c r="Q398" i="10"/>
  <c r="P398" i="10"/>
  <c r="M398" i="10"/>
  <c r="G398" i="10"/>
  <c r="F398" i="10"/>
  <c r="B398" i="10"/>
  <c r="C398" i="10" s="1"/>
  <c r="A398" i="10"/>
  <c r="R397" i="10"/>
  <c r="Q397" i="10"/>
  <c r="P397" i="10"/>
  <c r="M397" i="10"/>
  <c r="G397" i="10"/>
  <c r="F397" i="10"/>
  <c r="C397" i="10"/>
  <c r="B397" i="10"/>
  <c r="A397" i="10"/>
  <c r="R396" i="10"/>
  <c r="Q396" i="10"/>
  <c r="P396" i="10"/>
  <c r="M396" i="10"/>
  <c r="G396" i="10"/>
  <c r="F396" i="10"/>
  <c r="C396" i="10"/>
  <c r="B396" i="10"/>
  <c r="A396" i="10"/>
  <c r="R395" i="10"/>
  <c r="Q395" i="10"/>
  <c r="P395" i="10"/>
  <c r="M395" i="10"/>
  <c r="G395" i="10"/>
  <c r="F395" i="10"/>
  <c r="B395" i="10"/>
  <c r="C395" i="10" s="1"/>
  <c r="A395" i="10"/>
  <c r="R394" i="10"/>
  <c r="Q394" i="10"/>
  <c r="P394" i="10"/>
  <c r="M394" i="10"/>
  <c r="G394" i="10"/>
  <c r="F394" i="10"/>
  <c r="B394" i="10"/>
  <c r="C394" i="10" s="1"/>
  <c r="A394" i="10"/>
  <c r="R393" i="10"/>
  <c r="Q393" i="10"/>
  <c r="P393" i="10"/>
  <c r="M393" i="10"/>
  <c r="G393" i="10"/>
  <c r="F393" i="10"/>
  <c r="C393" i="10"/>
  <c r="B393" i="10"/>
  <c r="A393" i="10"/>
  <c r="R392" i="10"/>
  <c r="Q392" i="10"/>
  <c r="P392" i="10"/>
  <c r="M392" i="10"/>
  <c r="G392" i="10"/>
  <c r="F392" i="10"/>
  <c r="C392" i="10"/>
  <c r="B392" i="10"/>
  <c r="A392" i="10"/>
  <c r="R391" i="10"/>
  <c r="Q391" i="10"/>
  <c r="P391" i="10"/>
  <c r="M391" i="10"/>
  <c r="G391" i="10"/>
  <c r="F391" i="10"/>
  <c r="B391" i="10"/>
  <c r="C391" i="10" s="1"/>
  <c r="A391" i="10"/>
  <c r="R390" i="10"/>
  <c r="Q390" i="10"/>
  <c r="P390" i="10"/>
  <c r="M390" i="10"/>
  <c r="G390" i="10"/>
  <c r="F390" i="10"/>
  <c r="B390" i="10"/>
  <c r="C390" i="10" s="1"/>
  <c r="A390" i="10"/>
  <c r="R389" i="10"/>
  <c r="Q389" i="10"/>
  <c r="P389" i="10"/>
  <c r="M389" i="10"/>
  <c r="G389" i="10"/>
  <c r="F389" i="10"/>
  <c r="C389" i="10"/>
  <c r="B389" i="10"/>
  <c r="A389" i="10"/>
  <c r="R388" i="10"/>
  <c r="Q388" i="10"/>
  <c r="P388" i="10"/>
  <c r="M388" i="10"/>
  <c r="G388" i="10"/>
  <c r="F388" i="10"/>
  <c r="C388" i="10"/>
  <c r="B388" i="10"/>
  <c r="A388" i="10"/>
  <c r="R387" i="10"/>
  <c r="Q387" i="10"/>
  <c r="P387" i="10"/>
  <c r="M387" i="10"/>
  <c r="G387" i="10"/>
  <c r="F387" i="10"/>
  <c r="B387" i="10"/>
  <c r="C387" i="10" s="1"/>
  <c r="A387" i="10"/>
  <c r="R386" i="10"/>
  <c r="Q386" i="10"/>
  <c r="P386" i="10"/>
  <c r="M386" i="10"/>
  <c r="G386" i="10"/>
  <c r="F386" i="10"/>
  <c r="B386" i="10"/>
  <c r="C386" i="10" s="1"/>
  <c r="A386" i="10"/>
  <c r="R385" i="10"/>
  <c r="Q385" i="10"/>
  <c r="P385" i="10"/>
  <c r="M385" i="10"/>
  <c r="G385" i="10"/>
  <c r="F385" i="10"/>
  <c r="C385" i="10"/>
  <c r="B385" i="10"/>
  <c r="A385" i="10"/>
  <c r="R384" i="10"/>
  <c r="Q384" i="10"/>
  <c r="P384" i="10"/>
  <c r="M384" i="10"/>
  <c r="G384" i="10"/>
  <c r="F384" i="10"/>
  <c r="C384" i="10"/>
  <c r="B384" i="10"/>
  <c r="A384" i="10"/>
  <c r="R383" i="10"/>
  <c r="Q383" i="10"/>
  <c r="P383" i="10"/>
  <c r="M383" i="10"/>
  <c r="G383" i="10"/>
  <c r="F383" i="10"/>
  <c r="B383" i="10"/>
  <c r="C383" i="10" s="1"/>
  <c r="A383" i="10"/>
  <c r="R382" i="10"/>
  <c r="Q382" i="10"/>
  <c r="P382" i="10"/>
  <c r="M382" i="10"/>
  <c r="G382" i="10"/>
  <c r="F382" i="10"/>
  <c r="B382" i="10"/>
  <c r="C382" i="10" s="1"/>
  <c r="A382" i="10"/>
  <c r="R381" i="10"/>
  <c r="Q381" i="10"/>
  <c r="P381" i="10"/>
  <c r="M381" i="10"/>
  <c r="G381" i="10"/>
  <c r="F381" i="10"/>
  <c r="C381" i="10"/>
  <c r="B381" i="10"/>
  <c r="A381" i="10"/>
  <c r="R380" i="10"/>
  <c r="Q380" i="10"/>
  <c r="P380" i="10"/>
  <c r="M380" i="10"/>
  <c r="G380" i="10"/>
  <c r="F380" i="10"/>
  <c r="C380" i="10"/>
  <c r="B380" i="10"/>
  <c r="A380" i="10"/>
  <c r="R379" i="10"/>
  <c r="Q379" i="10"/>
  <c r="P379" i="10"/>
  <c r="M379" i="10"/>
  <c r="G379" i="10"/>
  <c r="F379" i="10"/>
  <c r="B379" i="10"/>
  <c r="C379" i="10" s="1"/>
  <c r="A379" i="10"/>
  <c r="R378" i="10"/>
  <c r="Q378" i="10"/>
  <c r="P378" i="10"/>
  <c r="M378" i="10"/>
  <c r="G378" i="10"/>
  <c r="F378" i="10"/>
  <c r="B378" i="10"/>
  <c r="C378" i="10" s="1"/>
  <c r="A378" i="10"/>
  <c r="R377" i="10"/>
  <c r="Q377" i="10"/>
  <c r="P377" i="10"/>
  <c r="M377" i="10"/>
  <c r="G377" i="10"/>
  <c r="F377" i="10"/>
  <c r="C377" i="10"/>
  <c r="B377" i="10"/>
  <c r="A377" i="10"/>
  <c r="R376" i="10"/>
  <c r="Q376" i="10"/>
  <c r="P376" i="10"/>
  <c r="M376" i="10"/>
  <c r="G376" i="10"/>
  <c r="F376" i="10"/>
  <c r="C376" i="10"/>
  <c r="B376" i="10"/>
  <c r="A376" i="10"/>
  <c r="R375" i="10"/>
  <c r="Q375" i="10"/>
  <c r="P375" i="10"/>
  <c r="M375" i="10"/>
  <c r="G375" i="10"/>
  <c r="F375" i="10"/>
  <c r="B375" i="10"/>
  <c r="C375" i="10" s="1"/>
  <c r="A375" i="10"/>
  <c r="R374" i="10"/>
  <c r="Q374" i="10"/>
  <c r="P374" i="10"/>
  <c r="M374" i="10"/>
  <c r="G374" i="10"/>
  <c r="F374" i="10"/>
  <c r="B374" i="10"/>
  <c r="C374" i="10" s="1"/>
  <c r="A374" i="10"/>
  <c r="R373" i="10"/>
  <c r="Q373" i="10"/>
  <c r="P373" i="10"/>
  <c r="M373" i="10"/>
  <c r="G373" i="10"/>
  <c r="F373" i="10"/>
  <c r="C373" i="10"/>
  <c r="B373" i="10"/>
  <c r="A373" i="10"/>
  <c r="R372" i="10"/>
  <c r="Q372" i="10"/>
  <c r="P372" i="10"/>
  <c r="M372" i="10"/>
  <c r="G372" i="10"/>
  <c r="F372" i="10"/>
  <c r="C372" i="10"/>
  <c r="B372" i="10"/>
  <c r="A372" i="10"/>
  <c r="R371" i="10"/>
  <c r="Q371" i="10"/>
  <c r="P371" i="10"/>
  <c r="M371" i="10"/>
  <c r="G371" i="10"/>
  <c r="F371" i="10"/>
  <c r="B371" i="10"/>
  <c r="C371" i="10" s="1"/>
  <c r="A371" i="10"/>
  <c r="R370" i="10"/>
  <c r="Q370" i="10"/>
  <c r="P370" i="10"/>
  <c r="M370" i="10"/>
  <c r="G370" i="10"/>
  <c r="F370" i="10"/>
  <c r="B370" i="10"/>
  <c r="C370" i="10" s="1"/>
  <c r="A370" i="10"/>
  <c r="R369" i="10"/>
  <c r="Q369" i="10"/>
  <c r="P369" i="10"/>
  <c r="M369" i="10"/>
  <c r="G369" i="10"/>
  <c r="F369" i="10"/>
  <c r="C369" i="10"/>
  <c r="B369" i="10"/>
  <c r="A369" i="10"/>
  <c r="R368" i="10"/>
  <c r="Q368" i="10"/>
  <c r="P368" i="10"/>
  <c r="M368" i="10"/>
  <c r="G368" i="10"/>
  <c r="F368" i="10"/>
  <c r="C368" i="10"/>
  <c r="B368" i="10"/>
  <c r="A368" i="10"/>
  <c r="R367" i="10"/>
  <c r="Q367" i="10"/>
  <c r="P367" i="10"/>
  <c r="M367" i="10"/>
  <c r="G367" i="10"/>
  <c r="F367" i="10"/>
  <c r="B367" i="10"/>
  <c r="C367" i="10" s="1"/>
  <c r="A367" i="10"/>
  <c r="R366" i="10"/>
  <c r="Q366" i="10"/>
  <c r="P366" i="10"/>
  <c r="M366" i="10"/>
  <c r="G366" i="10"/>
  <c r="F366" i="10"/>
  <c r="B366" i="10"/>
  <c r="C366" i="10" s="1"/>
  <c r="A366" i="10"/>
  <c r="R365" i="10"/>
  <c r="Q365" i="10"/>
  <c r="P365" i="10"/>
  <c r="M365" i="10"/>
  <c r="G365" i="10"/>
  <c r="F365" i="10"/>
  <c r="C365" i="10"/>
  <c r="B365" i="10"/>
  <c r="A365" i="10"/>
  <c r="R364" i="10"/>
  <c r="Q364" i="10"/>
  <c r="P364" i="10"/>
  <c r="M364" i="10"/>
  <c r="G364" i="10"/>
  <c r="F364" i="10"/>
  <c r="C364" i="10"/>
  <c r="B364" i="10"/>
  <c r="A364" i="10"/>
  <c r="R363" i="10"/>
  <c r="Q363" i="10"/>
  <c r="P363" i="10"/>
  <c r="M363" i="10"/>
  <c r="G363" i="10"/>
  <c r="F363" i="10"/>
  <c r="B363" i="10"/>
  <c r="C363" i="10" s="1"/>
  <c r="A363" i="10"/>
  <c r="R362" i="10"/>
  <c r="Q362" i="10"/>
  <c r="P362" i="10"/>
  <c r="M362" i="10"/>
  <c r="G362" i="10"/>
  <c r="F362" i="10"/>
  <c r="B362" i="10"/>
  <c r="C362" i="10" s="1"/>
  <c r="A362" i="10"/>
  <c r="R361" i="10"/>
  <c r="Q361" i="10"/>
  <c r="P361" i="10"/>
  <c r="M361" i="10"/>
  <c r="G361" i="10"/>
  <c r="F361" i="10"/>
  <c r="C361" i="10"/>
  <c r="B361" i="10"/>
  <c r="A361" i="10"/>
  <c r="R360" i="10"/>
  <c r="Q360" i="10"/>
  <c r="P360" i="10"/>
  <c r="M360" i="10"/>
  <c r="G360" i="10"/>
  <c r="F360" i="10"/>
  <c r="C360" i="10"/>
  <c r="B360" i="10"/>
  <c r="A360" i="10"/>
  <c r="R359" i="10"/>
  <c r="Q359" i="10"/>
  <c r="P359" i="10"/>
  <c r="M359" i="10"/>
  <c r="G359" i="10"/>
  <c r="F359" i="10"/>
  <c r="B359" i="10"/>
  <c r="C359" i="10" s="1"/>
  <c r="A359" i="10"/>
  <c r="R358" i="10"/>
  <c r="Q358" i="10"/>
  <c r="P358" i="10"/>
  <c r="M358" i="10"/>
  <c r="G358" i="10"/>
  <c r="F358" i="10"/>
  <c r="B358" i="10"/>
  <c r="C358" i="10" s="1"/>
  <c r="A358" i="10"/>
  <c r="R357" i="10"/>
  <c r="Q357" i="10"/>
  <c r="P357" i="10"/>
  <c r="M357" i="10"/>
  <c r="G357" i="10"/>
  <c r="F357" i="10"/>
  <c r="C357" i="10"/>
  <c r="B357" i="10"/>
  <c r="A357" i="10"/>
  <c r="R356" i="10"/>
  <c r="Q356" i="10"/>
  <c r="P356" i="10"/>
  <c r="M356" i="10"/>
  <c r="G356" i="10"/>
  <c r="F356" i="10"/>
  <c r="C356" i="10"/>
  <c r="B356" i="10"/>
  <c r="A356" i="10"/>
  <c r="R355" i="10"/>
  <c r="Q355" i="10"/>
  <c r="P355" i="10"/>
  <c r="M355" i="10"/>
  <c r="G355" i="10"/>
  <c r="F355" i="10"/>
  <c r="B355" i="10"/>
  <c r="C355" i="10" s="1"/>
  <c r="A355" i="10"/>
  <c r="R354" i="10"/>
  <c r="Q354" i="10"/>
  <c r="P354" i="10"/>
  <c r="M354" i="10"/>
  <c r="G354" i="10"/>
  <c r="F354" i="10"/>
  <c r="B354" i="10"/>
  <c r="C354" i="10" s="1"/>
  <c r="A354" i="10"/>
  <c r="R353" i="10"/>
  <c r="Q353" i="10"/>
  <c r="P353" i="10"/>
  <c r="M353" i="10"/>
  <c r="G353" i="10"/>
  <c r="F353" i="10"/>
  <c r="C353" i="10"/>
  <c r="B353" i="10"/>
  <c r="A353" i="10"/>
  <c r="R352" i="10"/>
  <c r="Q352" i="10"/>
  <c r="P352" i="10"/>
  <c r="M352" i="10"/>
  <c r="G352" i="10"/>
  <c r="F352" i="10"/>
  <c r="C352" i="10"/>
  <c r="B352" i="10"/>
  <c r="A352" i="10"/>
  <c r="R351" i="10"/>
  <c r="Q351" i="10"/>
  <c r="P351" i="10"/>
  <c r="M351" i="10"/>
  <c r="G351" i="10"/>
  <c r="F351" i="10"/>
  <c r="B351" i="10"/>
  <c r="C351" i="10" s="1"/>
  <c r="A351" i="10"/>
  <c r="R350" i="10"/>
  <c r="Q350" i="10"/>
  <c r="P350" i="10"/>
  <c r="M350" i="10"/>
  <c r="G350" i="10"/>
  <c r="F350" i="10"/>
  <c r="B350" i="10"/>
  <c r="C350" i="10" s="1"/>
  <c r="A350" i="10"/>
  <c r="R349" i="10"/>
  <c r="Q349" i="10"/>
  <c r="P349" i="10"/>
  <c r="M349" i="10"/>
  <c r="G349" i="10"/>
  <c r="F349" i="10"/>
  <c r="C349" i="10"/>
  <c r="B349" i="10"/>
  <c r="A349" i="10"/>
  <c r="R348" i="10"/>
  <c r="Q348" i="10"/>
  <c r="P348" i="10"/>
  <c r="M348" i="10"/>
  <c r="G348" i="10"/>
  <c r="F348" i="10"/>
  <c r="C348" i="10"/>
  <c r="B348" i="10"/>
  <c r="A348" i="10"/>
  <c r="R347" i="10"/>
  <c r="Q347" i="10"/>
  <c r="P347" i="10"/>
  <c r="M347" i="10"/>
  <c r="G347" i="10"/>
  <c r="F347" i="10"/>
  <c r="B347" i="10"/>
  <c r="C347" i="10" s="1"/>
  <c r="A347" i="10"/>
  <c r="R346" i="10"/>
  <c r="Q346" i="10"/>
  <c r="P346" i="10"/>
  <c r="M346" i="10"/>
  <c r="G346" i="10"/>
  <c r="F346" i="10"/>
  <c r="B346" i="10"/>
  <c r="C346" i="10" s="1"/>
  <c r="A346" i="10"/>
  <c r="R345" i="10"/>
  <c r="Q345" i="10"/>
  <c r="P345" i="10"/>
  <c r="M345" i="10"/>
  <c r="G345" i="10"/>
  <c r="F345" i="10"/>
  <c r="C345" i="10"/>
  <c r="B345" i="10"/>
  <c r="A345" i="10"/>
  <c r="R344" i="10"/>
  <c r="Q344" i="10"/>
  <c r="P344" i="10"/>
  <c r="M344" i="10"/>
  <c r="G344" i="10"/>
  <c r="F344" i="10"/>
  <c r="C344" i="10"/>
  <c r="B344" i="10"/>
  <c r="A344" i="10"/>
  <c r="R343" i="10"/>
  <c r="Q343" i="10"/>
  <c r="P343" i="10"/>
  <c r="M343" i="10"/>
  <c r="G343" i="10"/>
  <c r="F343" i="10"/>
  <c r="B343" i="10"/>
  <c r="C343" i="10" s="1"/>
  <c r="A343" i="10"/>
  <c r="R342" i="10"/>
  <c r="Q342" i="10"/>
  <c r="P342" i="10"/>
  <c r="M342" i="10"/>
  <c r="G342" i="10"/>
  <c r="F342" i="10"/>
  <c r="B342" i="10"/>
  <c r="C342" i="10" s="1"/>
  <c r="A342" i="10"/>
  <c r="R341" i="10"/>
  <c r="Q341" i="10"/>
  <c r="P341" i="10"/>
  <c r="M341" i="10"/>
  <c r="G341" i="10"/>
  <c r="F341" i="10"/>
  <c r="C341" i="10"/>
  <c r="B341" i="10"/>
  <c r="A341" i="10"/>
  <c r="R340" i="10"/>
  <c r="Q340" i="10"/>
  <c r="P340" i="10"/>
  <c r="M340" i="10"/>
  <c r="G340" i="10"/>
  <c r="F340" i="10"/>
  <c r="C340" i="10"/>
  <c r="B340" i="10"/>
  <c r="A340" i="10"/>
  <c r="R339" i="10"/>
  <c r="Q339" i="10"/>
  <c r="P339" i="10"/>
  <c r="M339" i="10"/>
  <c r="G339" i="10"/>
  <c r="F339" i="10"/>
  <c r="B339" i="10"/>
  <c r="C339" i="10" s="1"/>
  <c r="A339" i="10"/>
  <c r="R338" i="10"/>
  <c r="Q338" i="10"/>
  <c r="P338" i="10"/>
  <c r="M338" i="10"/>
  <c r="G338" i="10"/>
  <c r="F338" i="10"/>
  <c r="B338" i="10"/>
  <c r="C338" i="10" s="1"/>
  <c r="A338" i="10"/>
  <c r="R337" i="10"/>
  <c r="Q337" i="10"/>
  <c r="P337" i="10"/>
  <c r="M337" i="10"/>
  <c r="G337" i="10"/>
  <c r="F337" i="10"/>
  <c r="C337" i="10"/>
  <c r="B337" i="10"/>
  <c r="A337" i="10"/>
  <c r="R336" i="10"/>
  <c r="Q336" i="10"/>
  <c r="P336" i="10"/>
  <c r="M336" i="10"/>
  <c r="G336" i="10"/>
  <c r="F336" i="10"/>
  <c r="C336" i="10"/>
  <c r="B336" i="10"/>
  <c r="A336" i="10"/>
  <c r="R335" i="10"/>
  <c r="Q335" i="10"/>
  <c r="P335" i="10"/>
  <c r="M335" i="10"/>
  <c r="G335" i="10"/>
  <c r="F335" i="10"/>
  <c r="B335" i="10"/>
  <c r="C335" i="10" s="1"/>
  <c r="A335" i="10"/>
  <c r="R334" i="10"/>
  <c r="Q334" i="10"/>
  <c r="P334" i="10"/>
  <c r="M334" i="10"/>
  <c r="G334" i="10"/>
  <c r="F334" i="10"/>
  <c r="B334" i="10"/>
  <c r="C334" i="10" s="1"/>
  <c r="A334" i="10"/>
  <c r="R333" i="10"/>
  <c r="Q333" i="10"/>
  <c r="P333" i="10"/>
  <c r="M333" i="10"/>
  <c r="G333" i="10"/>
  <c r="F333" i="10"/>
  <c r="C333" i="10"/>
  <c r="B333" i="10"/>
  <c r="A333" i="10"/>
  <c r="R332" i="10"/>
  <c r="Q332" i="10"/>
  <c r="P332" i="10"/>
  <c r="M332" i="10"/>
  <c r="G332" i="10"/>
  <c r="F332" i="10"/>
  <c r="C332" i="10"/>
  <c r="B332" i="10"/>
  <c r="A332" i="10"/>
  <c r="R331" i="10"/>
  <c r="Q331" i="10"/>
  <c r="P331" i="10"/>
  <c r="M331" i="10"/>
  <c r="G331" i="10"/>
  <c r="F331" i="10"/>
  <c r="B331" i="10"/>
  <c r="C331" i="10" s="1"/>
  <c r="A331" i="10"/>
  <c r="R330" i="10"/>
  <c r="Q330" i="10"/>
  <c r="P330" i="10"/>
  <c r="M330" i="10"/>
  <c r="G330" i="10"/>
  <c r="F330" i="10"/>
  <c r="B330" i="10"/>
  <c r="C330" i="10" s="1"/>
  <c r="A330" i="10"/>
  <c r="R329" i="10"/>
  <c r="Q329" i="10"/>
  <c r="P329" i="10"/>
  <c r="M329" i="10"/>
  <c r="G329" i="10"/>
  <c r="F329" i="10"/>
  <c r="C329" i="10"/>
  <c r="B329" i="10"/>
  <c r="A329" i="10"/>
  <c r="R328" i="10"/>
  <c r="Q328" i="10"/>
  <c r="P328" i="10"/>
  <c r="M328" i="10"/>
  <c r="G328" i="10"/>
  <c r="F328" i="10"/>
  <c r="C328" i="10"/>
  <c r="B328" i="10"/>
  <c r="A328" i="10"/>
  <c r="R327" i="10"/>
  <c r="Q327" i="10"/>
  <c r="P327" i="10"/>
  <c r="M327" i="10"/>
  <c r="G327" i="10"/>
  <c r="F327" i="10"/>
  <c r="B327" i="10"/>
  <c r="C327" i="10" s="1"/>
  <c r="A327" i="10"/>
  <c r="R326" i="10"/>
  <c r="Q326" i="10"/>
  <c r="P326" i="10"/>
  <c r="M326" i="10"/>
  <c r="G326" i="10"/>
  <c r="F326" i="10"/>
  <c r="B326" i="10"/>
  <c r="C326" i="10" s="1"/>
  <c r="A326" i="10"/>
  <c r="R325" i="10"/>
  <c r="Q325" i="10"/>
  <c r="P325" i="10"/>
  <c r="M325" i="10"/>
  <c r="G325" i="10"/>
  <c r="F325" i="10"/>
  <c r="C325" i="10"/>
  <c r="B325" i="10"/>
  <c r="A325" i="10"/>
  <c r="R324" i="10"/>
  <c r="Q324" i="10"/>
  <c r="P324" i="10"/>
  <c r="M324" i="10"/>
  <c r="G324" i="10"/>
  <c r="F324" i="10"/>
  <c r="C324" i="10"/>
  <c r="B324" i="10"/>
  <c r="A324" i="10"/>
  <c r="R323" i="10"/>
  <c r="Q323" i="10"/>
  <c r="P323" i="10"/>
  <c r="M323" i="10"/>
  <c r="G323" i="10"/>
  <c r="F323" i="10"/>
  <c r="B323" i="10"/>
  <c r="C323" i="10" s="1"/>
  <c r="A323" i="10"/>
  <c r="R322" i="10"/>
  <c r="Q322" i="10"/>
  <c r="P322" i="10"/>
  <c r="M322" i="10"/>
  <c r="G322" i="10"/>
  <c r="F322" i="10"/>
  <c r="B322" i="10"/>
  <c r="C322" i="10" s="1"/>
  <c r="A322" i="10"/>
  <c r="R321" i="10"/>
  <c r="Q321" i="10"/>
  <c r="P321" i="10"/>
  <c r="M321" i="10"/>
  <c r="G321" i="10"/>
  <c r="F321" i="10"/>
  <c r="C321" i="10"/>
  <c r="B321" i="10"/>
  <c r="A321" i="10"/>
  <c r="R320" i="10"/>
  <c r="Q320" i="10"/>
  <c r="P320" i="10"/>
  <c r="M320" i="10"/>
  <c r="G320" i="10"/>
  <c r="F320" i="10"/>
  <c r="C320" i="10"/>
  <c r="B320" i="10"/>
  <c r="A320" i="10"/>
  <c r="R319" i="10"/>
  <c r="Q319" i="10"/>
  <c r="P319" i="10"/>
  <c r="M319" i="10"/>
  <c r="G319" i="10"/>
  <c r="F319" i="10"/>
  <c r="B319" i="10"/>
  <c r="C319" i="10" s="1"/>
  <c r="A319" i="10"/>
  <c r="R318" i="10"/>
  <c r="Q318" i="10"/>
  <c r="P318" i="10"/>
  <c r="M318" i="10"/>
  <c r="G318" i="10"/>
  <c r="F318" i="10"/>
  <c r="B318" i="10"/>
  <c r="C318" i="10" s="1"/>
  <c r="A318" i="10"/>
  <c r="R317" i="10"/>
  <c r="Q317" i="10"/>
  <c r="P317" i="10"/>
  <c r="M317" i="10"/>
  <c r="G317" i="10"/>
  <c r="F317" i="10"/>
  <c r="C317" i="10"/>
  <c r="B317" i="10"/>
  <c r="A317" i="10"/>
  <c r="R316" i="10"/>
  <c r="Q316" i="10"/>
  <c r="P316" i="10"/>
  <c r="M316" i="10"/>
  <c r="G316" i="10"/>
  <c r="F316" i="10"/>
  <c r="C316" i="10"/>
  <c r="B316" i="10"/>
  <c r="A316" i="10"/>
  <c r="R315" i="10"/>
  <c r="Q315" i="10"/>
  <c r="P315" i="10"/>
  <c r="M315" i="10"/>
  <c r="G315" i="10"/>
  <c r="F315" i="10"/>
  <c r="B315" i="10"/>
  <c r="C315" i="10" s="1"/>
  <c r="A315" i="10"/>
  <c r="R314" i="10"/>
  <c r="Q314" i="10"/>
  <c r="P314" i="10"/>
  <c r="M314" i="10"/>
  <c r="G314" i="10"/>
  <c r="F314" i="10"/>
  <c r="B314" i="10"/>
  <c r="C314" i="10" s="1"/>
  <c r="A314" i="10"/>
  <c r="R313" i="10"/>
  <c r="Q313" i="10"/>
  <c r="P313" i="10"/>
  <c r="M313" i="10"/>
  <c r="G313" i="10"/>
  <c r="F313" i="10"/>
  <c r="C313" i="10"/>
  <c r="B313" i="10"/>
  <c r="A313" i="10"/>
  <c r="R312" i="10"/>
  <c r="Q312" i="10"/>
  <c r="P312" i="10"/>
  <c r="M312" i="10"/>
  <c r="G312" i="10"/>
  <c r="F312" i="10"/>
  <c r="C312" i="10"/>
  <c r="B312" i="10"/>
  <c r="A312" i="10"/>
  <c r="R311" i="10"/>
  <c r="Q311" i="10"/>
  <c r="P311" i="10"/>
  <c r="M311" i="10"/>
  <c r="G311" i="10"/>
  <c r="F311" i="10"/>
  <c r="B311" i="10"/>
  <c r="C311" i="10" s="1"/>
  <c r="A311" i="10"/>
  <c r="R310" i="10"/>
  <c r="Q310" i="10"/>
  <c r="P310" i="10"/>
  <c r="M310" i="10"/>
  <c r="G310" i="10"/>
  <c r="F310" i="10"/>
  <c r="B310" i="10"/>
  <c r="C310" i="10" s="1"/>
  <c r="A310" i="10"/>
  <c r="R309" i="10"/>
  <c r="Q309" i="10"/>
  <c r="P309" i="10"/>
  <c r="M309" i="10"/>
  <c r="G309" i="10"/>
  <c r="F309" i="10"/>
  <c r="C309" i="10"/>
  <c r="B309" i="10"/>
  <c r="A309" i="10"/>
  <c r="R308" i="10"/>
  <c r="Q308" i="10"/>
  <c r="P308" i="10"/>
  <c r="M308" i="10"/>
  <c r="G308" i="10"/>
  <c r="F308" i="10"/>
  <c r="C308" i="10"/>
  <c r="B308" i="10"/>
  <c r="A308" i="10"/>
  <c r="R307" i="10"/>
  <c r="Q307" i="10"/>
  <c r="P307" i="10"/>
  <c r="M307" i="10"/>
  <c r="G307" i="10"/>
  <c r="F307" i="10"/>
  <c r="B307" i="10"/>
  <c r="C307" i="10" s="1"/>
  <c r="A307" i="10"/>
  <c r="R306" i="10"/>
  <c r="Q306" i="10"/>
  <c r="P306" i="10"/>
  <c r="M306" i="10"/>
  <c r="G306" i="10"/>
  <c r="F306" i="10"/>
  <c r="B306" i="10"/>
  <c r="C306" i="10" s="1"/>
  <c r="A306" i="10"/>
  <c r="R305" i="10"/>
  <c r="Q305" i="10"/>
  <c r="P305" i="10"/>
  <c r="M305" i="10"/>
  <c r="G305" i="10"/>
  <c r="F305" i="10"/>
  <c r="C305" i="10"/>
  <c r="B305" i="10"/>
  <c r="A305" i="10"/>
  <c r="R304" i="10"/>
  <c r="Q304" i="10"/>
  <c r="P304" i="10"/>
  <c r="M304" i="10"/>
  <c r="G304" i="10"/>
  <c r="F304" i="10"/>
  <c r="C304" i="10"/>
  <c r="B304" i="10"/>
  <c r="A304" i="10"/>
  <c r="R303" i="10"/>
  <c r="Q303" i="10"/>
  <c r="P303" i="10"/>
  <c r="M303" i="10"/>
  <c r="G303" i="10"/>
  <c r="F303" i="10"/>
  <c r="B303" i="10"/>
  <c r="C303" i="10" s="1"/>
  <c r="A303" i="10"/>
  <c r="R302" i="10"/>
  <c r="Q302" i="10"/>
  <c r="P302" i="10"/>
  <c r="M302" i="10"/>
  <c r="G302" i="10"/>
  <c r="F302" i="10"/>
  <c r="B302" i="10"/>
  <c r="C302" i="10" s="1"/>
  <c r="A302" i="10"/>
  <c r="R301" i="10"/>
  <c r="Q301" i="10"/>
  <c r="P301" i="10"/>
  <c r="M301" i="10"/>
  <c r="G301" i="10"/>
  <c r="F301" i="10"/>
  <c r="C301" i="10"/>
  <c r="B301" i="10"/>
  <c r="A301" i="10"/>
  <c r="R300" i="10"/>
  <c r="Q300" i="10"/>
  <c r="P300" i="10"/>
  <c r="M300" i="10"/>
  <c r="G300" i="10"/>
  <c r="F300" i="10"/>
  <c r="C300" i="10"/>
  <c r="B300" i="10"/>
  <c r="A300" i="10"/>
  <c r="R299" i="10"/>
  <c r="Q299" i="10"/>
  <c r="P299" i="10"/>
  <c r="M299" i="10"/>
  <c r="G299" i="10"/>
  <c r="F299" i="10"/>
  <c r="B299" i="10"/>
  <c r="C299" i="10" s="1"/>
  <c r="A299" i="10"/>
  <c r="R298" i="10"/>
  <c r="Q298" i="10"/>
  <c r="P298" i="10"/>
  <c r="M298" i="10"/>
  <c r="G298" i="10"/>
  <c r="F298" i="10"/>
  <c r="B298" i="10"/>
  <c r="C298" i="10" s="1"/>
  <c r="A298" i="10"/>
  <c r="R297" i="10"/>
  <c r="Q297" i="10"/>
  <c r="P297" i="10"/>
  <c r="M297" i="10"/>
  <c r="G297" i="10"/>
  <c r="F297" i="10"/>
  <c r="C297" i="10"/>
  <c r="B297" i="10"/>
  <c r="A297" i="10"/>
  <c r="R296" i="10"/>
  <c r="Q296" i="10"/>
  <c r="P296" i="10"/>
  <c r="M296" i="10"/>
  <c r="G296" i="10"/>
  <c r="F296" i="10"/>
  <c r="C296" i="10"/>
  <c r="B296" i="10"/>
  <c r="A296" i="10"/>
  <c r="R295" i="10"/>
  <c r="Q295" i="10"/>
  <c r="P295" i="10"/>
  <c r="M295" i="10"/>
  <c r="G295" i="10"/>
  <c r="F295" i="10"/>
  <c r="B295" i="10"/>
  <c r="C295" i="10" s="1"/>
  <c r="A295" i="10"/>
  <c r="R294" i="10"/>
  <c r="Q294" i="10"/>
  <c r="P294" i="10"/>
  <c r="M294" i="10"/>
  <c r="G294" i="10"/>
  <c r="F294" i="10"/>
  <c r="B294" i="10"/>
  <c r="C294" i="10" s="1"/>
  <c r="A294" i="10"/>
  <c r="R293" i="10"/>
  <c r="Q293" i="10"/>
  <c r="P293" i="10"/>
  <c r="M293" i="10"/>
  <c r="G293" i="10"/>
  <c r="F293" i="10"/>
  <c r="C293" i="10"/>
  <c r="B293" i="10"/>
  <c r="A293" i="10"/>
  <c r="R292" i="10"/>
  <c r="Q292" i="10"/>
  <c r="P292" i="10"/>
  <c r="M292" i="10"/>
  <c r="G292" i="10"/>
  <c r="F292" i="10"/>
  <c r="C292" i="10"/>
  <c r="B292" i="10"/>
  <c r="A292" i="10"/>
  <c r="R291" i="10"/>
  <c r="Q291" i="10"/>
  <c r="P291" i="10"/>
  <c r="M291" i="10"/>
  <c r="G291" i="10"/>
  <c r="F291" i="10"/>
  <c r="B291" i="10"/>
  <c r="C291" i="10" s="1"/>
  <c r="A291" i="10"/>
  <c r="R290" i="10"/>
  <c r="Q290" i="10"/>
  <c r="P290" i="10"/>
  <c r="M290" i="10"/>
  <c r="G290" i="10"/>
  <c r="F290" i="10"/>
  <c r="B290" i="10"/>
  <c r="C290" i="10" s="1"/>
  <c r="A290" i="10"/>
  <c r="R289" i="10"/>
  <c r="Q289" i="10"/>
  <c r="P289" i="10"/>
  <c r="M289" i="10"/>
  <c r="G289" i="10"/>
  <c r="F289" i="10"/>
  <c r="C289" i="10"/>
  <c r="B289" i="10"/>
  <c r="A289" i="10"/>
  <c r="R288" i="10"/>
  <c r="Q288" i="10"/>
  <c r="P288" i="10"/>
  <c r="M288" i="10"/>
  <c r="G288" i="10"/>
  <c r="F288" i="10"/>
  <c r="C288" i="10"/>
  <c r="B288" i="10"/>
  <c r="A288" i="10"/>
  <c r="R287" i="10"/>
  <c r="Q287" i="10"/>
  <c r="P287" i="10"/>
  <c r="M287" i="10"/>
  <c r="G287" i="10"/>
  <c r="F287" i="10"/>
  <c r="B287" i="10"/>
  <c r="C287" i="10" s="1"/>
  <c r="A287" i="10"/>
  <c r="R286" i="10"/>
  <c r="Q286" i="10"/>
  <c r="P286" i="10"/>
  <c r="M286" i="10"/>
  <c r="G286" i="10"/>
  <c r="F286" i="10"/>
  <c r="B286" i="10"/>
  <c r="C286" i="10" s="1"/>
  <c r="A286" i="10"/>
  <c r="R285" i="10"/>
  <c r="Q285" i="10"/>
  <c r="P285" i="10"/>
  <c r="M285" i="10"/>
  <c r="G285" i="10"/>
  <c r="F285" i="10"/>
  <c r="C285" i="10"/>
  <c r="B285" i="10"/>
  <c r="A285" i="10"/>
  <c r="R284" i="10"/>
  <c r="Q284" i="10"/>
  <c r="P284" i="10"/>
  <c r="M284" i="10"/>
  <c r="G284" i="10"/>
  <c r="F284" i="10"/>
  <c r="C284" i="10"/>
  <c r="B284" i="10"/>
  <c r="A284" i="10"/>
  <c r="R283" i="10"/>
  <c r="Q283" i="10"/>
  <c r="P283" i="10"/>
  <c r="M283" i="10"/>
  <c r="G283" i="10"/>
  <c r="F283" i="10"/>
  <c r="B283" i="10"/>
  <c r="C283" i="10" s="1"/>
  <c r="A283" i="10"/>
  <c r="R282" i="10"/>
  <c r="Q282" i="10"/>
  <c r="P282" i="10"/>
  <c r="M282" i="10"/>
  <c r="G282" i="10"/>
  <c r="F282" i="10"/>
  <c r="B282" i="10"/>
  <c r="C282" i="10" s="1"/>
  <c r="A282" i="10"/>
  <c r="R281" i="10"/>
  <c r="Q281" i="10"/>
  <c r="P281" i="10"/>
  <c r="M281" i="10"/>
  <c r="G281" i="10"/>
  <c r="F281" i="10"/>
  <c r="C281" i="10"/>
  <c r="B281" i="10"/>
  <c r="A281" i="10"/>
  <c r="R280" i="10"/>
  <c r="Q280" i="10"/>
  <c r="P280" i="10"/>
  <c r="M280" i="10"/>
  <c r="G280" i="10"/>
  <c r="F280" i="10"/>
  <c r="C280" i="10"/>
  <c r="B280" i="10"/>
  <c r="A280" i="10"/>
  <c r="R279" i="10"/>
  <c r="Q279" i="10"/>
  <c r="P279" i="10"/>
  <c r="M279" i="10"/>
  <c r="G279" i="10"/>
  <c r="F279" i="10"/>
  <c r="B279" i="10"/>
  <c r="C279" i="10" s="1"/>
  <c r="A279" i="10"/>
  <c r="R278" i="10"/>
  <c r="Q278" i="10"/>
  <c r="P278" i="10"/>
  <c r="M278" i="10"/>
  <c r="G278" i="10"/>
  <c r="F278" i="10"/>
  <c r="B278" i="10"/>
  <c r="C278" i="10" s="1"/>
  <c r="A278" i="10"/>
  <c r="R277" i="10"/>
  <c r="Q277" i="10"/>
  <c r="P277" i="10"/>
  <c r="M277" i="10"/>
  <c r="G277" i="10"/>
  <c r="F277" i="10"/>
  <c r="C277" i="10"/>
  <c r="B277" i="10"/>
  <c r="A277" i="10"/>
  <c r="R276" i="10"/>
  <c r="Q276" i="10"/>
  <c r="P276" i="10"/>
  <c r="M276" i="10"/>
  <c r="G276" i="10"/>
  <c r="F276" i="10"/>
  <c r="C276" i="10"/>
  <c r="B276" i="10"/>
  <c r="A276" i="10"/>
  <c r="R275" i="10"/>
  <c r="Q275" i="10"/>
  <c r="P275" i="10"/>
  <c r="M275" i="10"/>
  <c r="G275" i="10"/>
  <c r="F275" i="10"/>
  <c r="B275" i="10"/>
  <c r="C275" i="10" s="1"/>
  <c r="A275" i="10"/>
  <c r="R274" i="10"/>
  <c r="Q274" i="10"/>
  <c r="P274" i="10"/>
  <c r="M274" i="10"/>
  <c r="G274" i="10"/>
  <c r="F274" i="10"/>
  <c r="B274" i="10"/>
  <c r="C274" i="10" s="1"/>
  <c r="A274" i="10"/>
  <c r="R273" i="10"/>
  <c r="Q273" i="10"/>
  <c r="P273" i="10"/>
  <c r="M273" i="10"/>
  <c r="G273" i="10"/>
  <c r="F273" i="10"/>
  <c r="C273" i="10"/>
  <c r="B273" i="10"/>
  <c r="A273" i="10"/>
  <c r="R272" i="10"/>
  <c r="Q272" i="10"/>
  <c r="P272" i="10"/>
  <c r="M272" i="10"/>
  <c r="G272" i="10"/>
  <c r="F272" i="10"/>
  <c r="C272" i="10"/>
  <c r="B272" i="10"/>
  <c r="A272" i="10"/>
  <c r="R271" i="10"/>
  <c r="Q271" i="10"/>
  <c r="P271" i="10"/>
  <c r="M271" i="10"/>
  <c r="G271" i="10"/>
  <c r="F271" i="10"/>
  <c r="B271" i="10"/>
  <c r="C271" i="10" s="1"/>
  <c r="A271" i="10"/>
  <c r="R270" i="10"/>
  <c r="Q270" i="10"/>
  <c r="P270" i="10"/>
  <c r="M270" i="10"/>
  <c r="G270" i="10"/>
  <c r="F270" i="10"/>
  <c r="B270" i="10"/>
  <c r="C270" i="10" s="1"/>
  <c r="A270" i="10"/>
  <c r="R269" i="10"/>
  <c r="Q269" i="10"/>
  <c r="P269" i="10"/>
  <c r="M269" i="10"/>
  <c r="G269" i="10"/>
  <c r="F269" i="10"/>
  <c r="C269" i="10"/>
  <c r="B269" i="10"/>
  <c r="A269" i="10"/>
  <c r="R268" i="10"/>
  <c r="Q268" i="10"/>
  <c r="P268" i="10"/>
  <c r="M268" i="10"/>
  <c r="G268" i="10"/>
  <c r="F268" i="10"/>
  <c r="C268" i="10"/>
  <c r="B268" i="10"/>
  <c r="A268" i="10"/>
  <c r="R267" i="10"/>
  <c r="Q267" i="10"/>
  <c r="P267" i="10"/>
  <c r="M267" i="10"/>
  <c r="G267" i="10"/>
  <c r="F267" i="10"/>
  <c r="B267" i="10"/>
  <c r="C267" i="10" s="1"/>
  <c r="A267" i="10"/>
  <c r="R266" i="10"/>
  <c r="Q266" i="10"/>
  <c r="P266" i="10"/>
  <c r="M266" i="10"/>
  <c r="G266" i="10"/>
  <c r="F266" i="10"/>
  <c r="B266" i="10"/>
  <c r="C266" i="10" s="1"/>
  <c r="A266" i="10"/>
  <c r="R265" i="10"/>
  <c r="Q265" i="10"/>
  <c r="P265" i="10"/>
  <c r="M265" i="10"/>
  <c r="G265" i="10"/>
  <c r="F265" i="10"/>
  <c r="C265" i="10"/>
  <c r="B265" i="10"/>
  <c r="A265" i="10"/>
  <c r="R264" i="10"/>
  <c r="Q264" i="10"/>
  <c r="P264" i="10"/>
  <c r="M264" i="10"/>
  <c r="G264" i="10"/>
  <c r="F264" i="10"/>
  <c r="C264" i="10"/>
  <c r="B264" i="10"/>
  <c r="A264" i="10"/>
  <c r="R263" i="10"/>
  <c r="Q263" i="10"/>
  <c r="P263" i="10"/>
  <c r="M263" i="10"/>
  <c r="G263" i="10"/>
  <c r="F263" i="10"/>
  <c r="B263" i="10"/>
  <c r="C263" i="10" s="1"/>
  <c r="A263" i="10"/>
  <c r="R262" i="10"/>
  <c r="Q262" i="10"/>
  <c r="P262" i="10"/>
  <c r="M262" i="10"/>
  <c r="G262" i="10"/>
  <c r="F262" i="10"/>
  <c r="B262" i="10"/>
  <c r="C262" i="10" s="1"/>
  <c r="A262" i="10"/>
  <c r="R261" i="10"/>
  <c r="Q261" i="10"/>
  <c r="P261" i="10"/>
  <c r="M261" i="10"/>
  <c r="G261" i="10"/>
  <c r="F261" i="10"/>
  <c r="C261" i="10"/>
  <c r="B261" i="10"/>
  <c r="A261" i="10"/>
  <c r="R260" i="10"/>
  <c r="Q260" i="10"/>
  <c r="P260" i="10"/>
  <c r="M260" i="10"/>
  <c r="G260" i="10"/>
  <c r="F260" i="10"/>
  <c r="C260" i="10"/>
  <c r="B260" i="10"/>
  <c r="A260" i="10"/>
  <c r="R259" i="10"/>
  <c r="Q259" i="10"/>
  <c r="P259" i="10"/>
  <c r="M259" i="10"/>
  <c r="G259" i="10"/>
  <c r="F259" i="10"/>
  <c r="B259" i="10"/>
  <c r="C259" i="10" s="1"/>
  <c r="A259" i="10"/>
  <c r="R258" i="10"/>
  <c r="Q258" i="10"/>
  <c r="P258" i="10"/>
  <c r="M258" i="10"/>
  <c r="G258" i="10"/>
  <c r="F258" i="10"/>
  <c r="B258" i="10"/>
  <c r="C258" i="10" s="1"/>
  <c r="A258" i="10"/>
  <c r="R257" i="10"/>
  <c r="Q257" i="10"/>
  <c r="P257" i="10"/>
  <c r="M257" i="10"/>
  <c r="G257" i="10"/>
  <c r="F257" i="10"/>
  <c r="C257" i="10"/>
  <c r="B257" i="10"/>
  <c r="A257" i="10"/>
  <c r="R256" i="10"/>
  <c r="Q256" i="10"/>
  <c r="P256" i="10"/>
  <c r="M256" i="10"/>
  <c r="G256" i="10"/>
  <c r="F256" i="10"/>
  <c r="C256" i="10"/>
  <c r="B256" i="10"/>
  <c r="A256" i="10"/>
  <c r="R255" i="10"/>
  <c r="Q255" i="10"/>
  <c r="P255" i="10"/>
  <c r="M255" i="10"/>
  <c r="G255" i="10"/>
  <c r="F255" i="10"/>
  <c r="B255" i="10"/>
  <c r="C255" i="10" s="1"/>
  <c r="A255" i="10"/>
  <c r="R254" i="10"/>
  <c r="Q254" i="10"/>
  <c r="P254" i="10"/>
  <c r="M254" i="10"/>
  <c r="G254" i="10"/>
  <c r="F254" i="10"/>
  <c r="B254" i="10"/>
  <c r="C254" i="10" s="1"/>
  <c r="A254" i="10"/>
  <c r="R253" i="10"/>
  <c r="Q253" i="10"/>
  <c r="P253" i="10"/>
  <c r="M253" i="10"/>
  <c r="G253" i="10"/>
  <c r="F253" i="10"/>
  <c r="C253" i="10"/>
  <c r="B253" i="10"/>
  <c r="A253" i="10"/>
  <c r="R252" i="10"/>
  <c r="Q252" i="10"/>
  <c r="P252" i="10"/>
  <c r="M252" i="10"/>
  <c r="G252" i="10"/>
  <c r="F252" i="10"/>
  <c r="C252" i="10"/>
  <c r="B252" i="10"/>
  <c r="A252" i="10"/>
  <c r="R251" i="10"/>
  <c r="Q251" i="10"/>
  <c r="P251" i="10"/>
  <c r="M251" i="10"/>
  <c r="G251" i="10"/>
  <c r="F251" i="10"/>
  <c r="B251" i="10"/>
  <c r="C251" i="10" s="1"/>
  <c r="A251" i="10"/>
  <c r="R250" i="10"/>
  <c r="Q250" i="10"/>
  <c r="P250" i="10"/>
  <c r="M250" i="10"/>
  <c r="G250" i="10"/>
  <c r="F250" i="10"/>
  <c r="B250" i="10"/>
  <c r="C250" i="10" s="1"/>
  <c r="A250" i="10"/>
  <c r="R249" i="10"/>
  <c r="Q249" i="10"/>
  <c r="P249" i="10"/>
  <c r="M249" i="10"/>
  <c r="G249" i="10"/>
  <c r="F249" i="10"/>
  <c r="C249" i="10"/>
  <c r="B249" i="10"/>
  <c r="A249" i="10"/>
  <c r="R248" i="10"/>
  <c r="Q248" i="10"/>
  <c r="P248" i="10"/>
  <c r="M248" i="10"/>
  <c r="G248" i="10"/>
  <c r="F248" i="10"/>
  <c r="C248" i="10"/>
  <c r="B248" i="10"/>
  <c r="A248" i="10"/>
  <c r="R247" i="10"/>
  <c r="Q247" i="10"/>
  <c r="P247" i="10"/>
  <c r="M247" i="10"/>
  <c r="G247" i="10"/>
  <c r="F247" i="10"/>
  <c r="B247" i="10"/>
  <c r="C247" i="10" s="1"/>
  <c r="A247" i="10"/>
  <c r="R246" i="10"/>
  <c r="Q246" i="10"/>
  <c r="P246" i="10"/>
  <c r="M246" i="10"/>
  <c r="G246" i="10"/>
  <c r="F246" i="10"/>
  <c r="B246" i="10"/>
  <c r="C246" i="10" s="1"/>
  <c r="A246" i="10"/>
  <c r="R245" i="10"/>
  <c r="Q245" i="10"/>
  <c r="P245" i="10"/>
  <c r="M245" i="10"/>
  <c r="G245" i="10"/>
  <c r="F245" i="10"/>
  <c r="C245" i="10"/>
  <c r="B245" i="10"/>
  <c r="A245" i="10"/>
  <c r="R244" i="10"/>
  <c r="Q244" i="10"/>
  <c r="P244" i="10"/>
  <c r="M244" i="10"/>
  <c r="G244" i="10"/>
  <c r="F244" i="10"/>
  <c r="C244" i="10"/>
  <c r="B244" i="10"/>
  <c r="A244" i="10"/>
  <c r="R243" i="10"/>
  <c r="Q243" i="10"/>
  <c r="P243" i="10"/>
  <c r="M243" i="10"/>
  <c r="G243" i="10"/>
  <c r="F243" i="10"/>
  <c r="B243" i="10"/>
  <c r="C243" i="10" s="1"/>
  <c r="A243" i="10"/>
  <c r="R242" i="10"/>
  <c r="Q242" i="10"/>
  <c r="P242" i="10"/>
  <c r="M242" i="10"/>
  <c r="G242" i="10"/>
  <c r="F242" i="10"/>
  <c r="B242" i="10"/>
  <c r="C242" i="10" s="1"/>
  <c r="A242" i="10"/>
  <c r="R241" i="10"/>
  <c r="Q241" i="10"/>
  <c r="P241" i="10"/>
  <c r="M241" i="10"/>
  <c r="G241" i="10"/>
  <c r="F241" i="10"/>
  <c r="C241" i="10"/>
  <c r="B241" i="10"/>
  <c r="A241" i="10"/>
  <c r="R240" i="10"/>
  <c r="Q240" i="10"/>
  <c r="P240" i="10"/>
  <c r="M240" i="10"/>
  <c r="G240" i="10"/>
  <c r="F240" i="10"/>
  <c r="C240" i="10"/>
  <c r="B240" i="10"/>
  <c r="A240" i="10"/>
  <c r="R239" i="10"/>
  <c r="Q239" i="10"/>
  <c r="P239" i="10"/>
  <c r="M239" i="10"/>
  <c r="G239" i="10"/>
  <c r="F239" i="10"/>
  <c r="B239" i="10"/>
  <c r="C239" i="10" s="1"/>
  <c r="A239" i="10"/>
  <c r="R238" i="10"/>
  <c r="Q238" i="10"/>
  <c r="P238" i="10"/>
  <c r="M238" i="10"/>
  <c r="G238" i="10"/>
  <c r="F238" i="10"/>
  <c r="B238" i="10"/>
  <c r="C238" i="10" s="1"/>
  <c r="A238" i="10"/>
  <c r="R237" i="10"/>
  <c r="Q237" i="10"/>
  <c r="P237" i="10"/>
  <c r="M237" i="10"/>
  <c r="G237" i="10"/>
  <c r="F237" i="10"/>
  <c r="C237" i="10"/>
  <c r="B237" i="10"/>
  <c r="A237" i="10"/>
  <c r="R236" i="10"/>
  <c r="Q236" i="10"/>
  <c r="P236" i="10"/>
  <c r="M236" i="10"/>
  <c r="G236" i="10"/>
  <c r="F236" i="10"/>
  <c r="C236" i="10"/>
  <c r="B236" i="10"/>
  <c r="A236" i="10"/>
  <c r="R235" i="10"/>
  <c r="Q235" i="10"/>
  <c r="P235" i="10"/>
  <c r="M235" i="10"/>
  <c r="G235" i="10"/>
  <c r="F235" i="10"/>
  <c r="B235" i="10"/>
  <c r="C235" i="10" s="1"/>
  <c r="A235" i="10"/>
  <c r="R234" i="10"/>
  <c r="Q234" i="10"/>
  <c r="P234" i="10"/>
  <c r="M234" i="10"/>
  <c r="G234" i="10"/>
  <c r="F234" i="10"/>
  <c r="B234" i="10"/>
  <c r="C234" i="10" s="1"/>
  <c r="A234" i="10"/>
  <c r="R233" i="10"/>
  <c r="Q233" i="10"/>
  <c r="P233" i="10"/>
  <c r="M233" i="10"/>
  <c r="G233" i="10"/>
  <c r="F233" i="10"/>
  <c r="C233" i="10"/>
  <c r="B233" i="10"/>
  <c r="A233" i="10"/>
  <c r="R232" i="10"/>
  <c r="Q232" i="10"/>
  <c r="P232" i="10"/>
  <c r="M232" i="10"/>
  <c r="G232" i="10"/>
  <c r="F232" i="10"/>
  <c r="C232" i="10"/>
  <c r="B232" i="10"/>
  <c r="A232" i="10"/>
  <c r="R231" i="10"/>
  <c r="Q231" i="10"/>
  <c r="P231" i="10"/>
  <c r="M231" i="10"/>
  <c r="G231" i="10"/>
  <c r="F231" i="10"/>
  <c r="B231" i="10"/>
  <c r="C231" i="10" s="1"/>
  <c r="A231" i="10"/>
  <c r="R230" i="10"/>
  <c r="Q230" i="10"/>
  <c r="P230" i="10"/>
  <c r="M230" i="10"/>
  <c r="G230" i="10"/>
  <c r="F230" i="10"/>
  <c r="B230" i="10"/>
  <c r="C230" i="10" s="1"/>
  <c r="A230" i="10"/>
  <c r="R229" i="10"/>
  <c r="Q229" i="10"/>
  <c r="P229" i="10"/>
  <c r="M229" i="10"/>
  <c r="G229" i="10"/>
  <c r="F229" i="10"/>
  <c r="C229" i="10"/>
  <c r="B229" i="10"/>
  <c r="A229" i="10"/>
  <c r="R228" i="10"/>
  <c r="Q228" i="10"/>
  <c r="P228" i="10"/>
  <c r="M228" i="10"/>
  <c r="G228" i="10"/>
  <c r="F228" i="10"/>
  <c r="C228" i="10"/>
  <c r="B228" i="10"/>
  <c r="A228" i="10"/>
  <c r="R227" i="10"/>
  <c r="Q227" i="10"/>
  <c r="P227" i="10"/>
  <c r="M227" i="10"/>
  <c r="G227" i="10"/>
  <c r="F227" i="10"/>
  <c r="B227" i="10"/>
  <c r="C227" i="10" s="1"/>
  <c r="A227" i="10"/>
  <c r="R226" i="10"/>
  <c r="Q226" i="10"/>
  <c r="P226" i="10"/>
  <c r="M226" i="10"/>
  <c r="G226" i="10"/>
  <c r="F226" i="10"/>
  <c r="B226" i="10"/>
  <c r="C226" i="10" s="1"/>
  <c r="A226" i="10"/>
  <c r="R225" i="10"/>
  <c r="Q225" i="10"/>
  <c r="P225" i="10"/>
  <c r="M225" i="10"/>
  <c r="G225" i="10"/>
  <c r="F225" i="10"/>
  <c r="C225" i="10"/>
  <c r="B225" i="10"/>
  <c r="A225" i="10"/>
  <c r="R224" i="10"/>
  <c r="Q224" i="10"/>
  <c r="P224" i="10"/>
  <c r="M224" i="10"/>
  <c r="G224" i="10"/>
  <c r="F224" i="10"/>
  <c r="C224" i="10"/>
  <c r="B224" i="10"/>
  <c r="A224" i="10"/>
  <c r="R223" i="10"/>
  <c r="Q223" i="10"/>
  <c r="P223" i="10"/>
  <c r="M223" i="10"/>
  <c r="G223" i="10"/>
  <c r="F223" i="10"/>
  <c r="B223" i="10"/>
  <c r="C223" i="10" s="1"/>
  <c r="A223" i="10"/>
  <c r="R222" i="10"/>
  <c r="Q222" i="10"/>
  <c r="P222" i="10"/>
  <c r="M222" i="10"/>
  <c r="G222" i="10"/>
  <c r="F222" i="10"/>
  <c r="B222" i="10"/>
  <c r="C222" i="10" s="1"/>
  <c r="A222" i="10"/>
  <c r="R221" i="10"/>
  <c r="Q221" i="10"/>
  <c r="P221" i="10"/>
  <c r="M221" i="10"/>
  <c r="G221" i="10"/>
  <c r="F221" i="10"/>
  <c r="C221" i="10"/>
  <c r="B221" i="10"/>
  <c r="A221" i="10"/>
  <c r="R220" i="10"/>
  <c r="Q220" i="10"/>
  <c r="P220" i="10"/>
  <c r="M220" i="10"/>
  <c r="G220" i="10"/>
  <c r="F220" i="10"/>
  <c r="C220" i="10"/>
  <c r="B220" i="10"/>
  <c r="A220" i="10"/>
  <c r="R219" i="10"/>
  <c r="Q219" i="10"/>
  <c r="P219" i="10"/>
  <c r="M219" i="10"/>
  <c r="G219" i="10"/>
  <c r="F219" i="10"/>
  <c r="B219" i="10"/>
  <c r="C219" i="10" s="1"/>
  <c r="A219" i="10"/>
  <c r="R218" i="10"/>
  <c r="Q218" i="10"/>
  <c r="P218" i="10"/>
  <c r="M218" i="10"/>
  <c r="G218" i="10"/>
  <c r="F218" i="10"/>
  <c r="B218" i="10"/>
  <c r="C218" i="10" s="1"/>
  <c r="A218" i="10"/>
  <c r="R217" i="10"/>
  <c r="Q217" i="10"/>
  <c r="P217" i="10"/>
  <c r="M217" i="10"/>
  <c r="G217" i="10"/>
  <c r="F217" i="10"/>
  <c r="C217" i="10"/>
  <c r="B217" i="10"/>
  <c r="A217" i="10"/>
  <c r="R216" i="10"/>
  <c r="Q216" i="10"/>
  <c r="P216" i="10"/>
  <c r="M216" i="10"/>
  <c r="G216" i="10"/>
  <c r="F216" i="10"/>
  <c r="C216" i="10"/>
  <c r="B216" i="10"/>
  <c r="A216" i="10"/>
  <c r="R215" i="10"/>
  <c r="Q215" i="10"/>
  <c r="P215" i="10"/>
  <c r="M215" i="10"/>
  <c r="G215" i="10"/>
  <c r="F215" i="10"/>
  <c r="B215" i="10"/>
  <c r="C215" i="10" s="1"/>
  <c r="A215" i="10"/>
  <c r="R214" i="10"/>
  <c r="Q214" i="10"/>
  <c r="P214" i="10"/>
  <c r="M214" i="10"/>
  <c r="G214" i="10"/>
  <c r="F214" i="10"/>
  <c r="B214" i="10"/>
  <c r="C214" i="10" s="1"/>
  <c r="A214" i="10"/>
  <c r="R213" i="10"/>
  <c r="Q213" i="10"/>
  <c r="P213" i="10"/>
  <c r="M213" i="10"/>
  <c r="G213" i="10"/>
  <c r="F213" i="10"/>
  <c r="C213" i="10"/>
  <c r="B213" i="10"/>
  <c r="A213" i="10"/>
  <c r="R212" i="10"/>
  <c r="Q212" i="10"/>
  <c r="P212" i="10"/>
  <c r="M212" i="10"/>
  <c r="G212" i="10"/>
  <c r="F212" i="10"/>
  <c r="C212" i="10"/>
  <c r="B212" i="10"/>
  <c r="A212" i="10"/>
  <c r="R211" i="10"/>
  <c r="Q211" i="10"/>
  <c r="P211" i="10"/>
  <c r="M211" i="10"/>
  <c r="G211" i="10"/>
  <c r="F211" i="10"/>
  <c r="B211" i="10"/>
  <c r="C211" i="10" s="1"/>
  <c r="A211" i="10"/>
  <c r="R210" i="10"/>
  <c r="Q210" i="10"/>
  <c r="P210" i="10"/>
  <c r="M210" i="10"/>
  <c r="G210" i="10"/>
  <c r="F210" i="10"/>
  <c r="B210" i="10"/>
  <c r="C210" i="10" s="1"/>
  <c r="A210" i="10"/>
  <c r="R209" i="10"/>
  <c r="Q209" i="10"/>
  <c r="P209" i="10"/>
  <c r="M209" i="10"/>
  <c r="G209" i="10"/>
  <c r="F209" i="10"/>
  <c r="C209" i="10"/>
  <c r="B209" i="10"/>
  <c r="A209" i="10"/>
  <c r="R208" i="10"/>
  <c r="Q208" i="10"/>
  <c r="P208" i="10"/>
  <c r="M208" i="10"/>
  <c r="G208" i="10"/>
  <c r="F208" i="10"/>
  <c r="C208" i="10"/>
  <c r="B208" i="10"/>
  <c r="A208" i="10"/>
  <c r="R207" i="10"/>
  <c r="Q207" i="10"/>
  <c r="P207" i="10"/>
  <c r="M207" i="10"/>
  <c r="G207" i="10"/>
  <c r="F207" i="10"/>
  <c r="B207" i="10"/>
  <c r="C207" i="10" s="1"/>
  <c r="A207" i="10"/>
  <c r="R206" i="10"/>
  <c r="Q206" i="10"/>
  <c r="P206" i="10"/>
  <c r="M206" i="10"/>
  <c r="G206" i="10"/>
  <c r="F206" i="10"/>
  <c r="B206" i="10"/>
  <c r="C206" i="10" s="1"/>
  <c r="A206" i="10"/>
  <c r="R205" i="10"/>
  <c r="Q205" i="10"/>
  <c r="P205" i="10"/>
  <c r="M205" i="10"/>
  <c r="G205" i="10"/>
  <c r="F205" i="10"/>
  <c r="C205" i="10"/>
  <c r="B205" i="10"/>
  <c r="A205" i="10"/>
  <c r="R204" i="10"/>
  <c r="Q204" i="10"/>
  <c r="P204" i="10"/>
  <c r="M204" i="10"/>
  <c r="G204" i="10"/>
  <c r="F204" i="10"/>
  <c r="C204" i="10"/>
  <c r="B204" i="10"/>
  <c r="A204" i="10"/>
  <c r="R203" i="10"/>
  <c r="Q203" i="10"/>
  <c r="P203" i="10"/>
  <c r="M203" i="10"/>
  <c r="G203" i="10"/>
  <c r="F203" i="10"/>
  <c r="B203" i="10"/>
  <c r="C203" i="10" s="1"/>
  <c r="A203" i="10"/>
  <c r="R202" i="10"/>
  <c r="Q202" i="10"/>
  <c r="P202" i="10"/>
  <c r="M202" i="10"/>
  <c r="G202" i="10"/>
  <c r="F202" i="10"/>
  <c r="B202" i="10"/>
  <c r="C202" i="10" s="1"/>
  <c r="A202" i="10"/>
  <c r="R201" i="10"/>
  <c r="Q201" i="10"/>
  <c r="P201" i="10"/>
  <c r="M201" i="10"/>
  <c r="G201" i="10"/>
  <c r="F201" i="10"/>
  <c r="C201" i="10"/>
  <c r="B201" i="10"/>
  <c r="A201" i="10"/>
  <c r="R200" i="10"/>
  <c r="Q200" i="10"/>
  <c r="P200" i="10"/>
  <c r="M200" i="10"/>
  <c r="G200" i="10"/>
  <c r="F200" i="10"/>
  <c r="C200" i="10"/>
  <c r="B200" i="10"/>
  <c r="A200" i="10"/>
  <c r="R199" i="10"/>
  <c r="Q199" i="10"/>
  <c r="P199" i="10"/>
  <c r="M199" i="10"/>
  <c r="G199" i="10"/>
  <c r="F199" i="10"/>
  <c r="B199" i="10"/>
  <c r="C199" i="10" s="1"/>
  <c r="A199" i="10"/>
  <c r="R198" i="10"/>
  <c r="Q198" i="10"/>
  <c r="P198" i="10"/>
  <c r="M198" i="10"/>
  <c r="G198" i="10"/>
  <c r="F198" i="10"/>
  <c r="B198" i="10"/>
  <c r="C198" i="10" s="1"/>
  <c r="A198" i="10"/>
  <c r="R197" i="10"/>
  <c r="Q197" i="10"/>
  <c r="P197" i="10"/>
  <c r="M197" i="10"/>
  <c r="G197" i="10"/>
  <c r="F197" i="10"/>
  <c r="C197" i="10"/>
  <c r="B197" i="10"/>
  <c r="A197" i="10"/>
  <c r="R196" i="10"/>
  <c r="Q196" i="10"/>
  <c r="P196" i="10"/>
  <c r="M196" i="10"/>
  <c r="G196" i="10"/>
  <c r="F196" i="10"/>
  <c r="C196" i="10"/>
  <c r="B196" i="10"/>
  <c r="A196" i="10"/>
  <c r="R195" i="10"/>
  <c r="Q195" i="10"/>
  <c r="P195" i="10"/>
  <c r="M195" i="10"/>
  <c r="G195" i="10"/>
  <c r="F195" i="10"/>
  <c r="B195" i="10"/>
  <c r="C195" i="10" s="1"/>
  <c r="A195" i="10"/>
  <c r="R194" i="10"/>
  <c r="Q194" i="10"/>
  <c r="P194" i="10"/>
  <c r="M194" i="10"/>
  <c r="G194" i="10"/>
  <c r="F194" i="10"/>
  <c r="B194" i="10"/>
  <c r="C194" i="10" s="1"/>
  <c r="A194" i="10"/>
  <c r="R193" i="10"/>
  <c r="Q193" i="10"/>
  <c r="P193" i="10"/>
  <c r="M193" i="10"/>
  <c r="G193" i="10"/>
  <c r="F193" i="10"/>
  <c r="C193" i="10"/>
  <c r="B193" i="10"/>
  <c r="A193" i="10"/>
  <c r="R192" i="10"/>
  <c r="Q192" i="10"/>
  <c r="P192" i="10"/>
  <c r="M192" i="10"/>
  <c r="G192" i="10"/>
  <c r="F192" i="10"/>
  <c r="C192" i="10"/>
  <c r="B192" i="10"/>
  <c r="A192" i="10"/>
  <c r="R191" i="10"/>
  <c r="Q191" i="10"/>
  <c r="P191" i="10"/>
  <c r="M191" i="10"/>
  <c r="G191" i="10"/>
  <c r="F191" i="10"/>
  <c r="B191" i="10"/>
  <c r="C191" i="10" s="1"/>
  <c r="A191" i="10"/>
  <c r="R190" i="10"/>
  <c r="Q190" i="10"/>
  <c r="P190" i="10"/>
  <c r="M190" i="10"/>
  <c r="G190" i="10"/>
  <c r="F190" i="10"/>
  <c r="B190" i="10"/>
  <c r="C190" i="10" s="1"/>
  <c r="A190" i="10"/>
  <c r="R189" i="10"/>
  <c r="Q189" i="10"/>
  <c r="P189" i="10"/>
  <c r="M189" i="10"/>
  <c r="G189" i="10"/>
  <c r="F189" i="10"/>
  <c r="C189" i="10"/>
  <c r="B189" i="10"/>
  <c r="A189" i="10"/>
  <c r="R188" i="10"/>
  <c r="Q188" i="10"/>
  <c r="P188" i="10"/>
  <c r="M188" i="10"/>
  <c r="G188" i="10"/>
  <c r="F188" i="10"/>
  <c r="C188" i="10"/>
  <c r="B188" i="10"/>
  <c r="A188" i="10"/>
  <c r="R187" i="10"/>
  <c r="Q187" i="10"/>
  <c r="P187" i="10"/>
  <c r="M187" i="10"/>
  <c r="G187" i="10"/>
  <c r="F187" i="10"/>
  <c r="B187" i="10"/>
  <c r="C187" i="10" s="1"/>
  <c r="A187" i="10"/>
  <c r="R186" i="10"/>
  <c r="Q186" i="10"/>
  <c r="P186" i="10"/>
  <c r="M186" i="10"/>
  <c r="G186" i="10"/>
  <c r="F186" i="10"/>
  <c r="B186" i="10"/>
  <c r="C186" i="10" s="1"/>
  <c r="A186" i="10"/>
  <c r="R185" i="10"/>
  <c r="Q185" i="10"/>
  <c r="P185" i="10"/>
  <c r="M185" i="10"/>
  <c r="G185" i="10"/>
  <c r="F185" i="10"/>
  <c r="C185" i="10"/>
  <c r="B185" i="10"/>
  <c r="A185" i="10"/>
  <c r="R184" i="10"/>
  <c r="Q184" i="10"/>
  <c r="P184" i="10"/>
  <c r="M184" i="10"/>
  <c r="G184" i="10"/>
  <c r="F184" i="10"/>
  <c r="C184" i="10"/>
  <c r="B184" i="10"/>
  <c r="A184" i="10"/>
  <c r="R183" i="10"/>
  <c r="Q183" i="10"/>
  <c r="P183" i="10"/>
  <c r="M183" i="10"/>
  <c r="G183" i="10"/>
  <c r="F183" i="10"/>
  <c r="B183" i="10"/>
  <c r="C183" i="10" s="1"/>
  <c r="A183" i="10"/>
  <c r="R182" i="10"/>
  <c r="Q182" i="10"/>
  <c r="P182" i="10"/>
  <c r="M182" i="10"/>
  <c r="G182" i="10"/>
  <c r="F182" i="10"/>
  <c r="B182" i="10"/>
  <c r="C182" i="10" s="1"/>
  <c r="A182" i="10"/>
  <c r="R181" i="10"/>
  <c r="Q181" i="10"/>
  <c r="P181" i="10"/>
  <c r="M181" i="10"/>
  <c r="G181" i="10"/>
  <c r="F181" i="10"/>
  <c r="C181" i="10"/>
  <c r="B181" i="10"/>
  <c r="A181" i="10"/>
  <c r="R180" i="10"/>
  <c r="Q180" i="10"/>
  <c r="P180" i="10"/>
  <c r="M180" i="10"/>
  <c r="G180" i="10"/>
  <c r="F180" i="10"/>
  <c r="C180" i="10"/>
  <c r="B180" i="10"/>
  <c r="A180" i="10"/>
  <c r="R179" i="10"/>
  <c r="Q179" i="10"/>
  <c r="P179" i="10"/>
  <c r="M179" i="10"/>
  <c r="G179" i="10"/>
  <c r="F179" i="10"/>
  <c r="B179" i="10"/>
  <c r="C179" i="10" s="1"/>
  <c r="A179" i="10"/>
  <c r="R178" i="10"/>
  <c r="Q178" i="10"/>
  <c r="P178" i="10"/>
  <c r="M178" i="10"/>
  <c r="G178" i="10"/>
  <c r="F178" i="10"/>
  <c r="B178" i="10"/>
  <c r="C178" i="10" s="1"/>
  <c r="A178" i="10"/>
  <c r="R177" i="10"/>
  <c r="Q177" i="10"/>
  <c r="P177" i="10"/>
  <c r="M177" i="10"/>
  <c r="G177" i="10"/>
  <c r="F177" i="10"/>
  <c r="C177" i="10"/>
  <c r="B177" i="10"/>
  <c r="A177" i="10"/>
  <c r="R176" i="10"/>
  <c r="Q176" i="10"/>
  <c r="P176" i="10"/>
  <c r="M176" i="10"/>
  <c r="G176" i="10"/>
  <c r="F176" i="10"/>
  <c r="C176" i="10"/>
  <c r="B176" i="10"/>
  <c r="A176" i="10"/>
  <c r="R175" i="10"/>
  <c r="Q175" i="10"/>
  <c r="P175" i="10"/>
  <c r="M175" i="10"/>
  <c r="G175" i="10"/>
  <c r="F175" i="10"/>
  <c r="B175" i="10"/>
  <c r="C175" i="10" s="1"/>
  <c r="A175" i="10"/>
  <c r="R174" i="10"/>
  <c r="Q174" i="10"/>
  <c r="P174" i="10"/>
  <c r="M174" i="10"/>
  <c r="G174" i="10"/>
  <c r="F174" i="10"/>
  <c r="B174" i="10"/>
  <c r="C174" i="10" s="1"/>
  <c r="A174" i="10"/>
  <c r="R173" i="10"/>
  <c r="Q173" i="10"/>
  <c r="P173" i="10"/>
  <c r="M173" i="10"/>
  <c r="G173" i="10"/>
  <c r="F173" i="10"/>
  <c r="C173" i="10"/>
  <c r="B173" i="10"/>
  <c r="A173" i="10"/>
  <c r="R172" i="10"/>
  <c r="Q172" i="10"/>
  <c r="P172" i="10"/>
  <c r="M172" i="10"/>
  <c r="G172" i="10"/>
  <c r="F172" i="10"/>
  <c r="C172" i="10"/>
  <c r="B172" i="10"/>
  <c r="A172" i="10"/>
  <c r="R171" i="10"/>
  <c r="Q171" i="10"/>
  <c r="P171" i="10"/>
  <c r="M171" i="10"/>
  <c r="G171" i="10"/>
  <c r="F171" i="10"/>
  <c r="B171" i="10"/>
  <c r="C171" i="10" s="1"/>
  <c r="A171" i="10"/>
  <c r="R170" i="10"/>
  <c r="Q170" i="10"/>
  <c r="P170" i="10"/>
  <c r="M170" i="10"/>
  <c r="G170" i="10"/>
  <c r="F170" i="10"/>
  <c r="B170" i="10"/>
  <c r="C170" i="10" s="1"/>
  <c r="A170" i="10"/>
  <c r="R169" i="10"/>
  <c r="Q169" i="10"/>
  <c r="P169" i="10"/>
  <c r="M169" i="10"/>
  <c r="G169" i="10"/>
  <c r="F169" i="10"/>
  <c r="C169" i="10"/>
  <c r="B169" i="10"/>
  <c r="A169" i="10"/>
  <c r="R168" i="10"/>
  <c r="Q168" i="10"/>
  <c r="P168" i="10"/>
  <c r="M168" i="10"/>
  <c r="G168" i="10"/>
  <c r="F168" i="10"/>
  <c r="C168" i="10"/>
  <c r="B168" i="10"/>
  <c r="A168" i="10"/>
  <c r="R167" i="10"/>
  <c r="Q167" i="10"/>
  <c r="P167" i="10"/>
  <c r="M167" i="10"/>
  <c r="G167" i="10"/>
  <c r="F167" i="10"/>
  <c r="B167" i="10"/>
  <c r="C167" i="10" s="1"/>
  <c r="A167" i="10"/>
  <c r="R166" i="10"/>
  <c r="Q166" i="10"/>
  <c r="P166" i="10"/>
  <c r="M166" i="10"/>
  <c r="G166" i="10"/>
  <c r="F166" i="10"/>
  <c r="B166" i="10"/>
  <c r="C166" i="10" s="1"/>
  <c r="A166" i="10"/>
  <c r="R165" i="10"/>
  <c r="Q165" i="10"/>
  <c r="P165" i="10"/>
  <c r="M165" i="10"/>
  <c r="G165" i="10"/>
  <c r="F165" i="10"/>
  <c r="C165" i="10"/>
  <c r="B165" i="10"/>
  <c r="A165" i="10"/>
  <c r="R164" i="10"/>
  <c r="Q164" i="10"/>
  <c r="P164" i="10"/>
  <c r="M164" i="10"/>
  <c r="G164" i="10"/>
  <c r="F164" i="10"/>
  <c r="C164" i="10"/>
  <c r="B164" i="10"/>
  <c r="A164" i="10"/>
  <c r="R163" i="10"/>
  <c r="Q163" i="10"/>
  <c r="P163" i="10"/>
  <c r="M163" i="10"/>
  <c r="G163" i="10"/>
  <c r="F163" i="10"/>
  <c r="B163" i="10"/>
  <c r="C163" i="10" s="1"/>
  <c r="A163" i="10"/>
  <c r="R162" i="10"/>
  <c r="Q162" i="10"/>
  <c r="P162" i="10"/>
  <c r="M162" i="10"/>
  <c r="G162" i="10"/>
  <c r="F162" i="10"/>
  <c r="B162" i="10"/>
  <c r="C162" i="10" s="1"/>
  <c r="A162" i="10"/>
  <c r="R161" i="10"/>
  <c r="Q161" i="10"/>
  <c r="P161" i="10"/>
  <c r="M161" i="10"/>
  <c r="G161" i="10"/>
  <c r="F161" i="10"/>
  <c r="C161" i="10"/>
  <c r="B161" i="10"/>
  <c r="A161" i="10"/>
  <c r="R160" i="10"/>
  <c r="Q160" i="10"/>
  <c r="P160" i="10"/>
  <c r="M160" i="10"/>
  <c r="G160" i="10"/>
  <c r="F160" i="10"/>
  <c r="C160" i="10"/>
  <c r="B160" i="10"/>
  <c r="A160" i="10"/>
  <c r="R159" i="10"/>
  <c r="Q159" i="10"/>
  <c r="P159" i="10"/>
  <c r="M159" i="10"/>
  <c r="G159" i="10"/>
  <c r="F159" i="10"/>
  <c r="B159" i="10"/>
  <c r="C159" i="10" s="1"/>
  <c r="A159" i="10"/>
  <c r="R158" i="10"/>
  <c r="Q158" i="10"/>
  <c r="P158" i="10"/>
  <c r="M158" i="10"/>
  <c r="G158" i="10"/>
  <c r="F158" i="10"/>
  <c r="B158" i="10"/>
  <c r="C158" i="10" s="1"/>
  <c r="A158" i="10"/>
  <c r="R157" i="10"/>
  <c r="Q157" i="10"/>
  <c r="P157" i="10"/>
  <c r="M157" i="10"/>
  <c r="G157" i="10"/>
  <c r="F157" i="10"/>
  <c r="C157" i="10"/>
  <c r="B157" i="10"/>
  <c r="A157" i="10"/>
  <c r="R156" i="10"/>
  <c r="Q156" i="10"/>
  <c r="P156" i="10"/>
  <c r="M156" i="10"/>
  <c r="G156" i="10"/>
  <c r="F156" i="10"/>
  <c r="C156" i="10"/>
  <c r="B156" i="10"/>
  <c r="A156" i="10"/>
  <c r="R155" i="10"/>
  <c r="Q155" i="10"/>
  <c r="P155" i="10"/>
  <c r="M155" i="10"/>
  <c r="G155" i="10"/>
  <c r="F155" i="10"/>
  <c r="B155" i="10"/>
  <c r="C155" i="10" s="1"/>
  <c r="A155" i="10"/>
  <c r="R154" i="10"/>
  <c r="Q154" i="10"/>
  <c r="P154" i="10"/>
  <c r="M154" i="10"/>
  <c r="G154" i="10"/>
  <c r="F154" i="10"/>
  <c r="B154" i="10"/>
  <c r="C154" i="10" s="1"/>
  <c r="A154" i="10"/>
  <c r="R153" i="10"/>
  <c r="Q153" i="10"/>
  <c r="P153" i="10"/>
  <c r="M153" i="10"/>
  <c r="G153" i="10"/>
  <c r="F153" i="10"/>
  <c r="C153" i="10"/>
  <c r="B153" i="10"/>
  <c r="A153" i="10"/>
  <c r="R152" i="10"/>
  <c r="Q152" i="10"/>
  <c r="P152" i="10"/>
  <c r="M152" i="10"/>
  <c r="G152" i="10"/>
  <c r="F152" i="10"/>
  <c r="C152" i="10"/>
  <c r="B152" i="10"/>
  <c r="A152" i="10"/>
  <c r="R151" i="10"/>
  <c r="Q151" i="10"/>
  <c r="P151" i="10"/>
  <c r="M151" i="10"/>
  <c r="G151" i="10"/>
  <c r="F151" i="10"/>
  <c r="B151" i="10"/>
  <c r="C151" i="10" s="1"/>
  <c r="A151" i="10"/>
  <c r="R150" i="10"/>
  <c r="Q150" i="10"/>
  <c r="P150" i="10"/>
  <c r="M150" i="10"/>
  <c r="G150" i="10"/>
  <c r="F150" i="10"/>
  <c r="B150" i="10"/>
  <c r="C150" i="10" s="1"/>
  <c r="A150" i="10"/>
  <c r="R149" i="10"/>
  <c r="Q149" i="10"/>
  <c r="P149" i="10"/>
  <c r="M149" i="10"/>
  <c r="G149" i="10"/>
  <c r="F149" i="10"/>
  <c r="C149" i="10"/>
  <c r="B149" i="10"/>
  <c r="A149" i="10"/>
  <c r="R148" i="10"/>
  <c r="Q148" i="10"/>
  <c r="P148" i="10"/>
  <c r="M148" i="10"/>
  <c r="G148" i="10"/>
  <c r="F148" i="10"/>
  <c r="C148" i="10"/>
  <c r="B148" i="10"/>
  <c r="A148" i="10"/>
  <c r="R147" i="10"/>
  <c r="Q147" i="10"/>
  <c r="P147" i="10"/>
  <c r="M147" i="10"/>
  <c r="G147" i="10"/>
  <c r="F147" i="10"/>
  <c r="B147" i="10"/>
  <c r="C147" i="10" s="1"/>
  <c r="A147" i="10"/>
  <c r="R146" i="10"/>
  <c r="Q146" i="10"/>
  <c r="P146" i="10"/>
  <c r="M146" i="10"/>
  <c r="G146" i="10"/>
  <c r="F146" i="10"/>
  <c r="B146" i="10"/>
  <c r="C146" i="10" s="1"/>
  <c r="A146" i="10"/>
  <c r="R145" i="10"/>
  <c r="Q145" i="10"/>
  <c r="P145" i="10"/>
  <c r="M145" i="10"/>
  <c r="G145" i="10"/>
  <c r="F145" i="10"/>
  <c r="C145" i="10"/>
  <c r="B145" i="10"/>
  <c r="A145" i="10"/>
  <c r="R144" i="10"/>
  <c r="Q144" i="10"/>
  <c r="P144" i="10"/>
  <c r="M144" i="10"/>
  <c r="G144" i="10"/>
  <c r="F144" i="10"/>
  <c r="C144" i="10"/>
  <c r="B144" i="10"/>
  <c r="A144" i="10"/>
  <c r="R143" i="10"/>
  <c r="Q143" i="10"/>
  <c r="P143" i="10"/>
  <c r="M143" i="10"/>
  <c r="G143" i="10"/>
  <c r="F143" i="10"/>
  <c r="B143" i="10"/>
  <c r="C143" i="10" s="1"/>
  <c r="A143" i="10"/>
  <c r="R142" i="10"/>
  <c r="Q142" i="10"/>
  <c r="P142" i="10"/>
  <c r="M142" i="10"/>
  <c r="G142" i="10"/>
  <c r="F142" i="10"/>
  <c r="B142" i="10"/>
  <c r="C142" i="10" s="1"/>
  <c r="A142" i="10"/>
  <c r="R141" i="10"/>
  <c r="Q141" i="10"/>
  <c r="P141" i="10"/>
  <c r="M141" i="10"/>
  <c r="G141" i="10"/>
  <c r="F141" i="10"/>
  <c r="C141" i="10"/>
  <c r="B141" i="10"/>
  <c r="A141" i="10"/>
  <c r="R140" i="10"/>
  <c r="Q140" i="10"/>
  <c r="P140" i="10"/>
  <c r="M140" i="10"/>
  <c r="G140" i="10"/>
  <c r="F140" i="10"/>
  <c r="C140" i="10"/>
  <c r="B140" i="10"/>
  <c r="A140" i="10"/>
  <c r="R139" i="10"/>
  <c r="Q139" i="10"/>
  <c r="P139" i="10"/>
  <c r="M139" i="10"/>
  <c r="G139" i="10"/>
  <c r="F139" i="10"/>
  <c r="B139" i="10"/>
  <c r="C139" i="10" s="1"/>
  <c r="A139" i="10"/>
  <c r="R138" i="10"/>
  <c r="Q138" i="10"/>
  <c r="P138" i="10"/>
  <c r="M138" i="10"/>
  <c r="G138" i="10"/>
  <c r="F138" i="10"/>
  <c r="B138" i="10"/>
  <c r="C138" i="10" s="1"/>
  <c r="A138" i="10"/>
  <c r="R137" i="10"/>
  <c r="Q137" i="10"/>
  <c r="P137" i="10"/>
  <c r="M137" i="10"/>
  <c r="G137" i="10"/>
  <c r="F137" i="10"/>
  <c r="C137" i="10"/>
  <c r="B137" i="10"/>
  <c r="A137" i="10"/>
  <c r="R136" i="10"/>
  <c r="Q136" i="10"/>
  <c r="P136" i="10"/>
  <c r="M136" i="10"/>
  <c r="G136" i="10"/>
  <c r="F136" i="10"/>
  <c r="C136" i="10"/>
  <c r="B136" i="10"/>
  <c r="A136" i="10"/>
  <c r="R135" i="10"/>
  <c r="Q135" i="10"/>
  <c r="P135" i="10"/>
  <c r="M135" i="10"/>
  <c r="G135" i="10"/>
  <c r="F135" i="10"/>
  <c r="B135" i="10"/>
  <c r="C135" i="10" s="1"/>
  <c r="A135" i="10"/>
  <c r="R134" i="10"/>
  <c r="Q134" i="10"/>
  <c r="P134" i="10"/>
  <c r="M134" i="10"/>
  <c r="G134" i="10"/>
  <c r="F134" i="10"/>
  <c r="B134" i="10"/>
  <c r="C134" i="10" s="1"/>
  <c r="A134" i="10"/>
  <c r="R133" i="10"/>
  <c r="Q133" i="10"/>
  <c r="P133" i="10"/>
  <c r="M133" i="10"/>
  <c r="G133" i="10"/>
  <c r="F133" i="10"/>
  <c r="C133" i="10"/>
  <c r="B133" i="10"/>
  <c r="A133" i="10"/>
  <c r="R132" i="10"/>
  <c r="Q132" i="10"/>
  <c r="P132" i="10"/>
  <c r="M132" i="10"/>
  <c r="G132" i="10"/>
  <c r="F132" i="10"/>
  <c r="C132" i="10"/>
  <c r="B132" i="10"/>
  <c r="A132" i="10"/>
  <c r="R131" i="10"/>
  <c r="Q131" i="10"/>
  <c r="P131" i="10"/>
  <c r="M131" i="10"/>
  <c r="G131" i="10"/>
  <c r="F131" i="10"/>
  <c r="B131" i="10"/>
  <c r="C131" i="10" s="1"/>
  <c r="A131" i="10"/>
  <c r="R130" i="10"/>
  <c r="Q130" i="10"/>
  <c r="P130" i="10"/>
  <c r="M130" i="10"/>
  <c r="G130" i="10"/>
  <c r="F130" i="10"/>
  <c r="B130" i="10"/>
  <c r="C130" i="10" s="1"/>
  <c r="A130" i="10"/>
  <c r="R129" i="10"/>
  <c r="Q129" i="10"/>
  <c r="P129" i="10"/>
  <c r="M129" i="10"/>
  <c r="G129" i="10"/>
  <c r="F129" i="10"/>
  <c r="C129" i="10"/>
  <c r="B129" i="10"/>
  <c r="A129" i="10"/>
  <c r="R128" i="10"/>
  <c r="Q128" i="10"/>
  <c r="P128" i="10"/>
  <c r="M128" i="10"/>
  <c r="G128" i="10"/>
  <c r="F128" i="10"/>
  <c r="C128" i="10"/>
  <c r="B128" i="10"/>
  <c r="A128" i="10"/>
  <c r="R127" i="10"/>
  <c r="Q127" i="10"/>
  <c r="P127" i="10"/>
  <c r="M127" i="10"/>
  <c r="G127" i="10"/>
  <c r="F127" i="10"/>
  <c r="B127" i="10"/>
  <c r="C127" i="10" s="1"/>
  <c r="A127" i="10"/>
  <c r="R126" i="10"/>
  <c r="Q126" i="10"/>
  <c r="P126" i="10"/>
  <c r="M126" i="10"/>
  <c r="G126" i="10"/>
  <c r="F126" i="10"/>
  <c r="B126" i="10"/>
  <c r="C126" i="10" s="1"/>
  <c r="A126" i="10"/>
  <c r="R125" i="10"/>
  <c r="Q125" i="10"/>
  <c r="P125" i="10"/>
  <c r="M125" i="10"/>
  <c r="G125" i="10"/>
  <c r="F125" i="10"/>
  <c r="C125" i="10"/>
  <c r="B125" i="10"/>
  <c r="A125" i="10"/>
  <c r="R124" i="10"/>
  <c r="Q124" i="10"/>
  <c r="P124" i="10"/>
  <c r="M124" i="10"/>
  <c r="G124" i="10"/>
  <c r="F124" i="10"/>
  <c r="C124" i="10"/>
  <c r="B124" i="10"/>
  <c r="A124" i="10"/>
  <c r="R123" i="10"/>
  <c r="Q123" i="10"/>
  <c r="P123" i="10"/>
  <c r="M123" i="10"/>
  <c r="G123" i="10"/>
  <c r="F123" i="10"/>
  <c r="B123" i="10"/>
  <c r="C123" i="10" s="1"/>
  <c r="A123" i="10"/>
  <c r="R122" i="10"/>
  <c r="Q122" i="10"/>
  <c r="P122" i="10"/>
  <c r="M122" i="10"/>
  <c r="G122" i="10"/>
  <c r="F122" i="10"/>
  <c r="B122" i="10"/>
  <c r="C122" i="10" s="1"/>
  <c r="A122" i="10"/>
  <c r="R121" i="10"/>
  <c r="Q121" i="10"/>
  <c r="P121" i="10"/>
  <c r="M121" i="10"/>
  <c r="G121" i="10"/>
  <c r="F121" i="10"/>
  <c r="C121" i="10"/>
  <c r="B121" i="10"/>
  <c r="A121" i="10"/>
  <c r="R120" i="10"/>
  <c r="Q120" i="10"/>
  <c r="P120" i="10"/>
  <c r="M120" i="10"/>
  <c r="G120" i="10"/>
  <c r="F120" i="10"/>
  <c r="C120" i="10"/>
  <c r="B120" i="10"/>
  <c r="A120" i="10"/>
  <c r="R119" i="10"/>
  <c r="Q119" i="10"/>
  <c r="P119" i="10"/>
  <c r="M119" i="10"/>
  <c r="G119" i="10"/>
  <c r="F119" i="10"/>
  <c r="B119" i="10"/>
  <c r="C119" i="10" s="1"/>
  <c r="A119" i="10"/>
  <c r="R118" i="10"/>
  <c r="Q118" i="10"/>
  <c r="P118" i="10"/>
  <c r="M118" i="10"/>
  <c r="G118" i="10"/>
  <c r="F118" i="10"/>
  <c r="B118" i="10"/>
  <c r="C118" i="10" s="1"/>
  <c r="A118" i="10"/>
  <c r="R117" i="10"/>
  <c r="Q117" i="10"/>
  <c r="P117" i="10"/>
  <c r="M117" i="10"/>
  <c r="G117" i="10"/>
  <c r="F117" i="10"/>
  <c r="C117" i="10"/>
  <c r="B117" i="10"/>
  <c r="A117" i="10"/>
  <c r="R116" i="10"/>
  <c r="Q116" i="10"/>
  <c r="P116" i="10"/>
  <c r="M116" i="10"/>
  <c r="G116" i="10"/>
  <c r="F116" i="10"/>
  <c r="C116" i="10"/>
  <c r="B116" i="10"/>
  <c r="A116" i="10"/>
  <c r="R115" i="10"/>
  <c r="Q115" i="10"/>
  <c r="P115" i="10"/>
  <c r="M115" i="10"/>
  <c r="G115" i="10"/>
  <c r="F115" i="10"/>
  <c r="B115" i="10"/>
  <c r="C115" i="10" s="1"/>
  <c r="A115" i="10"/>
  <c r="R114" i="10"/>
  <c r="Q114" i="10"/>
  <c r="P114" i="10"/>
  <c r="M114" i="10"/>
  <c r="G114" i="10"/>
  <c r="F114" i="10"/>
  <c r="B114" i="10"/>
  <c r="C114" i="10" s="1"/>
  <c r="A114" i="10"/>
  <c r="R113" i="10"/>
  <c r="Q113" i="10"/>
  <c r="P113" i="10"/>
  <c r="M113" i="10"/>
  <c r="G113" i="10"/>
  <c r="F113" i="10"/>
  <c r="C113" i="10"/>
  <c r="B113" i="10"/>
  <c r="A113" i="10"/>
  <c r="R112" i="10"/>
  <c r="Q112" i="10"/>
  <c r="P112" i="10"/>
  <c r="M112" i="10"/>
  <c r="G112" i="10"/>
  <c r="F112" i="10"/>
  <c r="C112" i="10"/>
  <c r="B112" i="10"/>
  <c r="A112" i="10"/>
  <c r="R111" i="10"/>
  <c r="Q111" i="10"/>
  <c r="P111" i="10"/>
  <c r="M111" i="10"/>
  <c r="G111" i="10"/>
  <c r="F111" i="10"/>
  <c r="B111" i="10"/>
  <c r="C111" i="10" s="1"/>
  <c r="A111" i="10"/>
  <c r="R110" i="10"/>
  <c r="Q110" i="10"/>
  <c r="P110" i="10"/>
  <c r="M110" i="10"/>
  <c r="G110" i="10"/>
  <c r="F110" i="10"/>
  <c r="B110" i="10"/>
  <c r="C110" i="10" s="1"/>
  <c r="A110" i="10"/>
  <c r="R109" i="10"/>
  <c r="Q109" i="10"/>
  <c r="P109" i="10"/>
  <c r="M109" i="10"/>
  <c r="G109" i="10"/>
  <c r="F109" i="10"/>
  <c r="C109" i="10"/>
  <c r="B109" i="10"/>
  <c r="A109" i="10"/>
  <c r="R108" i="10"/>
  <c r="Q108" i="10"/>
  <c r="P108" i="10"/>
  <c r="M108" i="10"/>
  <c r="G108" i="10"/>
  <c r="F108" i="10"/>
  <c r="C108" i="10"/>
  <c r="B108" i="10"/>
  <c r="A108" i="10"/>
  <c r="R107" i="10"/>
  <c r="Q107" i="10"/>
  <c r="P107" i="10"/>
  <c r="M107" i="10"/>
  <c r="G107" i="10"/>
  <c r="F107" i="10"/>
  <c r="B107" i="10"/>
  <c r="C107" i="10" s="1"/>
  <c r="A107" i="10"/>
  <c r="R106" i="10"/>
  <c r="Q106" i="10"/>
  <c r="P106" i="10"/>
  <c r="M106" i="10"/>
  <c r="G106" i="10"/>
  <c r="F106" i="10"/>
  <c r="B106" i="10"/>
  <c r="C106" i="10" s="1"/>
  <c r="A106" i="10"/>
  <c r="R105" i="10"/>
  <c r="Q105" i="10"/>
  <c r="P105" i="10"/>
  <c r="M105" i="10"/>
  <c r="G105" i="10"/>
  <c r="F105" i="10"/>
  <c r="C105" i="10"/>
  <c r="B105" i="10"/>
  <c r="A105" i="10"/>
  <c r="R104" i="10"/>
  <c r="Q104" i="10"/>
  <c r="P104" i="10"/>
  <c r="M104" i="10"/>
  <c r="G104" i="10"/>
  <c r="F104" i="10"/>
  <c r="C104" i="10"/>
  <c r="B104" i="10"/>
  <c r="A104" i="10"/>
  <c r="R103" i="10"/>
  <c r="Q103" i="10"/>
  <c r="P103" i="10"/>
  <c r="M103" i="10"/>
  <c r="G103" i="10"/>
  <c r="F103" i="10"/>
  <c r="B103" i="10"/>
  <c r="C103" i="10" s="1"/>
  <c r="A103" i="10"/>
  <c r="R102" i="10"/>
  <c r="Q102" i="10"/>
  <c r="P102" i="10"/>
  <c r="M102" i="10"/>
  <c r="G102" i="10"/>
  <c r="F102" i="10"/>
  <c r="B102" i="10"/>
  <c r="C102" i="10" s="1"/>
  <c r="A102" i="10"/>
  <c r="R101" i="10"/>
  <c r="Q101" i="10"/>
  <c r="P101" i="10"/>
  <c r="M101" i="10"/>
  <c r="G101" i="10"/>
  <c r="F101" i="10"/>
  <c r="C101" i="10"/>
  <c r="B101" i="10"/>
  <c r="A101" i="10"/>
  <c r="R100" i="10"/>
  <c r="Q100" i="10"/>
  <c r="P100" i="10"/>
  <c r="M100" i="10"/>
  <c r="G100" i="10"/>
  <c r="F100" i="10"/>
  <c r="C100" i="10"/>
  <c r="B100" i="10"/>
  <c r="N100" i="10" s="1"/>
  <c r="A100" i="10"/>
  <c r="R99" i="10"/>
  <c r="Q99" i="10"/>
  <c r="P99" i="10"/>
  <c r="N99" i="10"/>
  <c r="M99" i="10"/>
  <c r="G99" i="10"/>
  <c r="F99" i="10"/>
  <c r="B99" i="10"/>
  <c r="C99" i="10" s="1"/>
  <c r="A99" i="10"/>
  <c r="R98" i="10"/>
  <c r="Q98" i="10"/>
  <c r="P98" i="10"/>
  <c r="M98" i="10"/>
  <c r="G98" i="10"/>
  <c r="F98" i="10"/>
  <c r="B98" i="10"/>
  <c r="C98" i="10" s="1"/>
  <c r="A98" i="10"/>
  <c r="R97" i="10"/>
  <c r="Q97" i="10"/>
  <c r="P97" i="10"/>
  <c r="M97" i="10"/>
  <c r="G97" i="10"/>
  <c r="F97" i="10"/>
  <c r="C97" i="10"/>
  <c r="B97" i="10"/>
  <c r="A97" i="10"/>
  <c r="R96" i="10"/>
  <c r="Q96" i="10"/>
  <c r="P96" i="10"/>
  <c r="M96" i="10"/>
  <c r="G96" i="10"/>
  <c r="F96" i="10"/>
  <c r="C96" i="10"/>
  <c r="B96" i="10"/>
  <c r="A96" i="10"/>
  <c r="R95" i="10"/>
  <c r="Q95" i="10"/>
  <c r="P95" i="10"/>
  <c r="M95" i="10"/>
  <c r="G95" i="10"/>
  <c r="F95" i="10"/>
  <c r="B95" i="10"/>
  <c r="C95" i="10" s="1"/>
  <c r="A95" i="10"/>
  <c r="R94" i="10"/>
  <c r="Q94" i="10"/>
  <c r="P94" i="10"/>
  <c r="M94" i="10"/>
  <c r="G94" i="10"/>
  <c r="F94" i="10"/>
  <c r="B94" i="10"/>
  <c r="C94" i="10" s="1"/>
  <c r="A94" i="10"/>
  <c r="R93" i="10"/>
  <c r="Q93" i="10"/>
  <c r="P93" i="10"/>
  <c r="M93" i="10"/>
  <c r="G93" i="10"/>
  <c r="F93" i="10"/>
  <c r="C93" i="10"/>
  <c r="B93" i="10"/>
  <c r="A93" i="10"/>
  <c r="R92" i="10"/>
  <c r="Q92" i="10"/>
  <c r="P92" i="10"/>
  <c r="M92" i="10"/>
  <c r="G92" i="10"/>
  <c r="F92" i="10"/>
  <c r="C92" i="10"/>
  <c r="B92" i="10"/>
  <c r="A92" i="10"/>
  <c r="R91" i="10"/>
  <c r="Q91" i="10"/>
  <c r="P91" i="10"/>
  <c r="M91" i="10"/>
  <c r="G91" i="10"/>
  <c r="F91" i="10"/>
  <c r="B91" i="10"/>
  <c r="C91" i="10" s="1"/>
  <c r="A91" i="10"/>
  <c r="R90" i="10"/>
  <c r="Q90" i="10"/>
  <c r="P90" i="10"/>
  <c r="M90" i="10"/>
  <c r="G90" i="10"/>
  <c r="F90" i="10"/>
  <c r="B90" i="10"/>
  <c r="C90" i="10" s="1"/>
  <c r="A90" i="10"/>
  <c r="R89" i="10"/>
  <c r="Q89" i="10"/>
  <c r="P89" i="10"/>
  <c r="M89" i="10"/>
  <c r="G89" i="10"/>
  <c r="F89" i="10"/>
  <c r="C89" i="10"/>
  <c r="B89" i="10"/>
  <c r="A89" i="10"/>
  <c r="R88" i="10"/>
  <c r="Q88" i="10"/>
  <c r="P88" i="10"/>
  <c r="M88" i="10"/>
  <c r="G88" i="10"/>
  <c r="F88" i="10"/>
  <c r="C88" i="10"/>
  <c r="B88" i="10"/>
  <c r="A88" i="10"/>
  <c r="R87" i="10"/>
  <c r="Q87" i="10"/>
  <c r="P87" i="10"/>
  <c r="M87" i="10"/>
  <c r="G87" i="10"/>
  <c r="F87" i="10"/>
  <c r="B87" i="10"/>
  <c r="C87" i="10" s="1"/>
  <c r="A87" i="10"/>
  <c r="R86" i="10"/>
  <c r="Q86" i="10"/>
  <c r="P86" i="10"/>
  <c r="M86" i="10"/>
  <c r="G86" i="10"/>
  <c r="F86" i="10"/>
  <c r="B86" i="10"/>
  <c r="C86" i="10" s="1"/>
  <c r="A86" i="10"/>
  <c r="R85" i="10"/>
  <c r="Q85" i="10"/>
  <c r="P85" i="10"/>
  <c r="M85" i="10"/>
  <c r="G85" i="10"/>
  <c r="F85" i="10"/>
  <c r="C85" i="10"/>
  <c r="B85" i="10"/>
  <c r="A85" i="10"/>
  <c r="R84" i="10"/>
  <c r="Q84" i="10"/>
  <c r="P84" i="10"/>
  <c r="M84" i="10"/>
  <c r="G84" i="10"/>
  <c r="F84" i="10"/>
  <c r="C84" i="10"/>
  <c r="B84" i="10"/>
  <c r="A84" i="10"/>
  <c r="R83" i="10"/>
  <c r="Q83" i="10"/>
  <c r="P83" i="10"/>
  <c r="M83" i="10"/>
  <c r="G83" i="10"/>
  <c r="F83" i="10"/>
  <c r="B83" i="10"/>
  <c r="C83" i="10" s="1"/>
  <c r="A83" i="10"/>
  <c r="R82" i="10"/>
  <c r="Q82" i="10"/>
  <c r="P82" i="10"/>
  <c r="M82" i="10"/>
  <c r="B82" i="10"/>
  <c r="C82" i="10" s="1"/>
  <c r="A82" i="10"/>
  <c r="R81" i="10"/>
  <c r="Q81" i="10"/>
  <c r="P81" i="10"/>
  <c r="M81" i="10"/>
  <c r="B81" i="10"/>
  <c r="C81" i="10" s="1"/>
  <c r="A81" i="10"/>
  <c r="R80" i="10"/>
  <c r="Q80" i="10"/>
  <c r="P80" i="10"/>
  <c r="M80" i="10"/>
  <c r="B80" i="10"/>
  <c r="C80" i="10" s="1"/>
  <c r="A80" i="10"/>
  <c r="R79" i="10"/>
  <c r="Q79" i="10"/>
  <c r="P79" i="10"/>
  <c r="M79" i="10"/>
  <c r="B79" i="10"/>
  <c r="C79" i="10" s="1"/>
  <c r="A79" i="10"/>
  <c r="R78" i="10"/>
  <c r="Q78" i="10"/>
  <c r="P78" i="10"/>
  <c r="M78" i="10"/>
  <c r="B78" i="10"/>
  <c r="C78" i="10" s="1"/>
  <c r="A78" i="10"/>
  <c r="R77" i="10"/>
  <c r="Q77" i="10"/>
  <c r="P77" i="10"/>
  <c r="M77" i="10"/>
  <c r="B77" i="10"/>
  <c r="C77" i="10" s="1"/>
  <c r="A77" i="10"/>
  <c r="R76" i="10"/>
  <c r="Q76" i="10"/>
  <c r="P76" i="10"/>
  <c r="M76" i="10"/>
  <c r="B76" i="10"/>
  <c r="C76" i="10" s="1"/>
  <c r="A76" i="10"/>
  <c r="R75" i="10"/>
  <c r="Q75" i="10"/>
  <c r="P75" i="10"/>
  <c r="M75" i="10"/>
  <c r="B75" i="10"/>
  <c r="C75" i="10" s="1"/>
  <c r="A75" i="10"/>
  <c r="R74" i="10"/>
  <c r="Q74" i="10"/>
  <c r="P74" i="10"/>
  <c r="M74" i="10"/>
  <c r="B74" i="10"/>
  <c r="C74" i="10" s="1"/>
  <c r="A74" i="10"/>
  <c r="R73" i="10"/>
  <c r="Q73" i="10"/>
  <c r="P73" i="10"/>
  <c r="M73" i="10"/>
  <c r="B73" i="10"/>
  <c r="C73" i="10" s="1"/>
  <c r="A73" i="10"/>
  <c r="R72" i="10"/>
  <c r="Q72" i="10"/>
  <c r="P72" i="10"/>
  <c r="M72" i="10"/>
  <c r="B72" i="10"/>
  <c r="C72" i="10" s="1"/>
  <c r="A72" i="10"/>
  <c r="R71" i="10"/>
  <c r="Q71" i="10"/>
  <c r="P71" i="10"/>
  <c r="M71" i="10"/>
  <c r="B71" i="10"/>
  <c r="C71" i="10" s="1"/>
  <c r="A71" i="10"/>
  <c r="R70" i="10"/>
  <c r="Q70" i="10"/>
  <c r="P70" i="10"/>
  <c r="M70" i="10"/>
  <c r="B70" i="10"/>
  <c r="C70" i="10" s="1"/>
  <c r="A70" i="10"/>
  <c r="R69" i="10"/>
  <c r="Q69" i="10"/>
  <c r="P69" i="10"/>
  <c r="M69" i="10"/>
  <c r="B69" i="10"/>
  <c r="C69" i="10" s="1"/>
  <c r="A69" i="10"/>
  <c r="R68" i="10"/>
  <c r="Q68" i="10"/>
  <c r="P68" i="10"/>
  <c r="M68" i="10"/>
  <c r="B68" i="10"/>
  <c r="C68" i="10" s="1"/>
  <c r="A68" i="10"/>
  <c r="R67" i="10"/>
  <c r="Q67" i="10"/>
  <c r="P67" i="10"/>
  <c r="M67" i="10"/>
  <c r="B67" i="10"/>
  <c r="C67" i="10" s="1"/>
  <c r="A67" i="10"/>
  <c r="R66" i="10"/>
  <c r="Q66" i="10"/>
  <c r="P66" i="10"/>
  <c r="M66" i="10"/>
  <c r="G66" i="10"/>
  <c r="F66" i="10"/>
  <c r="B66" i="10"/>
  <c r="C66" i="10" s="1"/>
  <c r="A66" i="10"/>
  <c r="R65" i="10"/>
  <c r="Q65" i="10"/>
  <c r="P65" i="10"/>
  <c r="M65" i="10"/>
  <c r="G65" i="10"/>
  <c r="F65" i="10"/>
  <c r="C65" i="10"/>
  <c r="B65" i="10"/>
  <c r="A65" i="10"/>
  <c r="R64" i="10"/>
  <c r="Q64" i="10"/>
  <c r="P64" i="10"/>
  <c r="M64" i="10"/>
  <c r="G64" i="10"/>
  <c r="F64" i="10"/>
  <c r="C64" i="10"/>
  <c r="B64" i="10"/>
  <c r="A64" i="10"/>
  <c r="R63" i="10"/>
  <c r="Q63" i="10"/>
  <c r="P63" i="10"/>
  <c r="M63" i="10"/>
  <c r="G63" i="10"/>
  <c r="F63" i="10"/>
  <c r="B63" i="10"/>
  <c r="C63" i="10" s="1"/>
  <c r="A63" i="10"/>
  <c r="R62" i="10"/>
  <c r="Q62" i="10"/>
  <c r="P62" i="10"/>
  <c r="M62" i="10"/>
  <c r="G62" i="10"/>
  <c r="F62" i="10"/>
  <c r="B62" i="10"/>
  <c r="C62" i="10" s="1"/>
  <c r="A62" i="10"/>
  <c r="R61" i="10"/>
  <c r="Q61" i="10"/>
  <c r="P61" i="10"/>
  <c r="M61" i="10"/>
  <c r="G61" i="10"/>
  <c r="F61" i="10"/>
  <c r="C61" i="10"/>
  <c r="B61" i="10"/>
  <c r="A61" i="10"/>
  <c r="R60" i="10"/>
  <c r="Q60" i="10"/>
  <c r="P60" i="10"/>
  <c r="M60" i="10"/>
  <c r="G60" i="10"/>
  <c r="F60" i="10"/>
  <c r="C60" i="10"/>
  <c r="B60" i="10"/>
  <c r="A60" i="10"/>
  <c r="R59" i="10"/>
  <c r="Q59" i="10"/>
  <c r="P59" i="10"/>
  <c r="M59" i="10"/>
  <c r="G59" i="10"/>
  <c r="F59" i="10"/>
  <c r="B59" i="10"/>
  <c r="C59" i="10" s="1"/>
  <c r="A59" i="10"/>
  <c r="R58" i="10"/>
  <c r="Q58" i="10"/>
  <c r="P58" i="10"/>
  <c r="M58" i="10"/>
  <c r="G58" i="10"/>
  <c r="F58" i="10"/>
  <c r="B58" i="10"/>
  <c r="C58" i="10" s="1"/>
  <c r="A58" i="10"/>
  <c r="R57" i="10"/>
  <c r="Q57" i="10"/>
  <c r="P57" i="10"/>
  <c r="M57" i="10"/>
  <c r="G57" i="10"/>
  <c r="F57" i="10"/>
  <c r="C57" i="10"/>
  <c r="B57" i="10"/>
  <c r="A57" i="10"/>
  <c r="R56" i="10"/>
  <c r="Q56" i="10"/>
  <c r="P56" i="10"/>
  <c r="M56" i="10"/>
  <c r="G56" i="10"/>
  <c r="F56" i="10"/>
  <c r="C56" i="10"/>
  <c r="B56" i="10"/>
  <c r="A56" i="10"/>
  <c r="R55" i="10"/>
  <c r="Q55" i="10"/>
  <c r="P55" i="10"/>
  <c r="M55" i="10"/>
  <c r="G55" i="10"/>
  <c r="F55" i="10"/>
  <c r="B55" i="10"/>
  <c r="C55" i="10" s="1"/>
  <c r="A55" i="10"/>
  <c r="R54" i="10"/>
  <c r="Q54" i="10"/>
  <c r="P54" i="10"/>
  <c r="M54" i="10"/>
  <c r="G54" i="10"/>
  <c r="F54" i="10"/>
  <c r="B54" i="10"/>
  <c r="C54" i="10" s="1"/>
  <c r="A54" i="10"/>
  <c r="R53" i="10"/>
  <c r="Q53" i="10"/>
  <c r="P53" i="10"/>
  <c r="M53" i="10"/>
  <c r="G53" i="10"/>
  <c r="F53" i="10"/>
  <c r="C53" i="10"/>
  <c r="B53" i="10"/>
  <c r="A53" i="10"/>
  <c r="R52" i="10"/>
  <c r="Q52" i="10"/>
  <c r="P52" i="10"/>
  <c r="M52" i="10"/>
  <c r="G52" i="10"/>
  <c r="F52" i="10"/>
  <c r="C52" i="10"/>
  <c r="B52" i="10"/>
  <c r="A52" i="10"/>
  <c r="R51" i="10"/>
  <c r="Q51" i="10"/>
  <c r="P51" i="10"/>
  <c r="M51" i="10"/>
  <c r="G51" i="10"/>
  <c r="F51" i="10"/>
  <c r="B51" i="10"/>
  <c r="C51" i="10" s="1"/>
  <c r="A51" i="10"/>
  <c r="R50" i="10"/>
  <c r="Q50" i="10"/>
  <c r="P50" i="10"/>
  <c r="M50" i="10"/>
  <c r="G50" i="10"/>
  <c r="F50" i="10"/>
  <c r="B50" i="10"/>
  <c r="C50" i="10" s="1"/>
  <c r="A50" i="10"/>
  <c r="R49" i="10"/>
  <c r="Q49" i="10"/>
  <c r="P49" i="10"/>
  <c r="M49" i="10"/>
  <c r="G49" i="10"/>
  <c r="F49" i="10"/>
  <c r="C49" i="10"/>
  <c r="B49" i="10"/>
  <c r="A49" i="10"/>
  <c r="R48" i="10"/>
  <c r="Q48" i="10"/>
  <c r="P48" i="10"/>
  <c r="M48" i="10"/>
  <c r="G48" i="10"/>
  <c r="F48" i="10"/>
  <c r="C48" i="10"/>
  <c r="B48" i="10"/>
  <c r="A48" i="10"/>
  <c r="R47" i="10"/>
  <c r="Q47" i="10"/>
  <c r="P47" i="10"/>
  <c r="M47" i="10"/>
  <c r="G47" i="10"/>
  <c r="F47" i="10"/>
  <c r="B47" i="10"/>
  <c r="C47" i="10" s="1"/>
  <c r="A47" i="10"/>
  <c r="R46" i="10"/>
  <c r="Q46" i="10"/>
  <c r="P46" i="10"/>
  <c r="M46" i="10"/>
  <c r="G46" i="10"/>
  <c r="F46" i="10"/>
  <c r="B46" i="10"/>
  <c r="C46" i="10" s="1"/>
  <c r="A46" i="10"/>
  <c r="R45" i="10"/>
  <c r="Q45" i="10"/>
  <c r="P45" i="10"/>
  <c r="M45" i="10"/>
  <c r="B45" i="10"/>
  <c r="A45" i="10"/>
  <c r="R44" i="10"/>
  <c r="Q44" i="10"/>
  <c r="P44" i="10"/>
  <c r="M44" i="10"/>
  <c r="B44" i="10"/>
  <c r="A44" i="10"/>
  <c r="R43" i="10"/>
  <c r="Q43" i="10"/>
  <c r="P43" i="10"/>
  <c r="M43" i="10"/>
  <c r="B43" i="10"/>
  <c r="A43" i="10"/>
  <c r="R42" i="10"/>
  <c r="Q42" i="10"/>
  <c r="P42" i="10"/>
  <c r="M42" i="10"/>
  <c r="B42" i="10"/>
  <c r="A42" i="10"/>
  <c r="R41" i="10"/>
  <c r="Q41" i="10"/>
  <c r="P41" i="10"/>
  <c r="M41" i="10"/>
  <c r="B41" i="10"/>
  <c r="A41" i="10"/>
  <c r="R40" i="10"/>
  <c r="Q40" i="10"/>
  <c r="P40" i="10"/>
  <c r="M40" i="10"/>
  <c r="B40" i="10"/>
  <c r="A40" i="10"/>
  <c r="R39" i="10"/>
  <c r="Q39" i="10"/>
  <c r="P39" i="10"/>
  <c r="M39" i="10"/>
  <c r="B39" i="10"/>
  <c r="A39" i="10"/>
  <c r="R38" i="10"/>
  <c r="Q38" i="10"/>
  <c r="P38" i="10"/>
  <c r="M38" i="10"/>
  <c r="B38" i="10"/>
  <c r="A38" i="10"/>
  <c r="R37" i="10"/>
  <c r="Q37" i="10"/>
  <c r="P37" i="10"/>
  <c r="M37" i="10"/>
  <c r="B37" i="10"/>
  <c r="A37" i="10"/>
  <c r="R36" i="10"/>
  <c r="Q36" i="10"/>
  <c r="P36" i="10"/>
  <c r="M36" i="10"/>
  <c r="B36" i="10"/>
  <c r="A36" i="10"/>
  <c r="R35" i="10"/>
  <c r="Q35" i="10"/>
  <c r="P35" i="10"/>
  <c r="M35" i="10"/>
  <c r="B35" i="10"/>
  <c r="A35" i="10"/>
  <c r="R34" i="10"/>
  <c r="Q34" i="10"/>
  <c r="P34" i="10"/>
  <c r="M34" i="10"/>
  <c r="B34" i="10"/>
  <c r="A34" i="10"/>
  <c r="R33" i="10"/>
  <c r="Q33" i="10"/>
  <c r="P33" i="10"/>
  <c r="M33" i="10"/>
  <c r="B33" i="10"/>
  <c r="A33" i="10"/>
  <c r="R32" i="10"/>
  <c r="Q32" i="10"/>
  <c r="P32" i="10"/>
  <c r="M32" i="10"/>
  <c r="B32" i="10"/>
  <c r="A32" i="10"/>
  <c r="R31" i="10"/>
  <c r="Q31" i="10"/>
  <c r="P31" i="10"/>
  <c r="M31" i="10"/>
  <c r="G31" i="10"/>
  <c r="F31" i="10"/>
  <c r="C31" i="10"/>
  <c r="B31" i="10"/>
  <c r="A31" i="10"/>
  <c r="R30" i="10"/>
  <c r="Q30" i="10"/>
  <c r="P30" i="10"/>
  <c r="M30" i="10"/>
  <c r="G30" i="10"/>
  <c r="F30" i="10"/>
  <c r="C30" i="10"/>
  <c r="B30" i="10"/>
  <c r="A30" i="10"/>
  <c r="R29" i="10"/>
  <c r="Q29" i="10"/>
  <c r="P29" i="10"/>
  <c r="M29" i="10"/>
  <c r="G29" i="10"/>
  <c r="F29" i="10"/>
  <c r="B29" i="10"/>
  <c r="C29" i="10" s="1"/>
  <c r="A29" i="10"/>
  <c r="R28" i="10"/>
  <c r="Q28" i="10"/>
  <c r="P28" i="10"/>
  <c r="M28" i="10"/>
  <c r="B28" i="10"/>
  <c r="C28" i="10" s="1"/>
  <c r="A28" i="10"/>
  <c r="R27" i="10"/>
  <c r="Q27" i="10"/>
  <c r="P27" i="10"/>
  <c r="M27" i="10"/>
  <c r="B27" i="10"/>
  <c r="C27" i="10" s="1"/>
  <c r="A27" i="10"/>
  <c r="R26" i="10"/>
  <c r="Q26" i="10"/>
  <c r="P26" i="10"/>
  <c r="M26" i="10"/>
  <c r="B26" i="10"/>
  <c r="C26" i="10" s="1"/>
  <c r="A26" i="10"/>
  <c r="R25" i="10"/>
  <c r="Q25" i="10"/>
  <c r="P25" i="10"/>
  <c r="M25" i="10"/>
  <c r="G25" i="10"/>
  <c r="F25" i="10"/>
  <c r="B25" i="10"/>
  <c r="C25" i="10" s="1"/>
  <c r="A25" i="10"/>
  <c r="R24" i="10"/>
  <c r="Q24" i="10"/>
  <c r="P24" i="10"/>
  <c r="M24" i="10"/>
  <c r="G24" i="10"/>
  <c r="F24" i="10"/>
  <c r="C24" i="10"/>
  <c r="B24" i="10"/>
  <c r="A24" i="10"/>
  <c r="R23" i="10"/>
  <c r="Q23" i="10"/>
  <c r="P23" i="10"/>
  <c r="M23" i="10"/>
  <c r="G23" i="10"/>
  <c r="F23" i="10"/>
  <c r="C23" i="10"/>
  <c r="B23" i="10"/>
  <c r="A23" i="10"/>
  <c r="R22" i="10"/>
  <c r="Q22" i="10"/>
  <c r="P22" i="10"/>
  <c r="M22" i="10"/>
  <c r="G22" i="10"/>
  <c r="F22" i="10"/>
  <c r="B22" i="10"/>
  <c r="C22" i="10" s="1"/>
  <c r="A22" i="10"/>
  <c r="R21" i="10"/>
  <c r="Q21" i="10"/>
  <c r="P21" i="10"/>
  <c r="M21" i="10"/>
  <c r="G21" i="10"/>
  <c r="F21" i="10"/>
  <c r="B21" i="10"/>
  <c r="C21" i="10" s="1"/>
  <c r="A21" i="10"/>
  <c r="R20" i="10"/>
  <c r="Q20" i="10"/>
  <c r="P20" i="10"/>
  <c r="M20" i="10"/>
  <c r="G20" i="10"/>
  <c r="F20" i="10"/>
  <c r="C20" i="10"/>
  <c r="B20" i="10"/>
  <c r="A20" i="10"/>
  <c r="R19" i="10"/>
  <c r="Q19" i="10"/>
  <c r="P19" i="10"/>
  <c r="M19" i="10"/>
  <c r="G19" i="10"/>
  <c r="F19" i="10"/>
  <c r="C19" i="10"/>
  <c r="B19" i="10"/>
  <c r="A19" i="10"/>
  <c r="R18" i="10"/>
  <c r="Q18" i="10"/>
  <c r="P18" i="10"/>
  <c r="M18" i="10"/>
  <c r="G18" i="10"/>
  <c r="F18" i="10"/>
  <c r="B18" i="10"/>
  <c r="C18" i="10" s="1"/>
  <c r="A18" i="10"/>
  <c r="R17" i="10"/>
  <c r="Q17" i="10"/>
  <c r="P17" i="10"/>
  <c r="M17" i="10"/>
  <c r="G17" i="10"/>
  <c r="F17" i="10"/>
  <c r="B17" i="10"/>
  <c r="C17" i="10" s="1"/>
  <c r="A17" i="10"/>
  <c r="R16" i="10"/>
  <c r="Q16" i="10"/>
  <c r="P16" i="10"/>
  <c r="M16" i="10"/>
  <c r="G16" i="10"/>
  <c r="F16" i="10"/>
  <c r="C16" i="10"/>
  <c r="B16" i="10"/>
  <c r="A16" i="10"/>
  <c r="R15" i="10"/>
  <c r="Q15" i="10"/>
  <c r="P15" i="10"/>
  <c r="M15" i="10"/>
  <c r="G15" i="10"/>
  <c r="F15" i="10"/>
  <c r="C15" i="10"/>
  <c r="B15" i="10"/>
  <c r="A15" i="10"/>
  <c r="R14" i="10"/>
  <c r="Q14" i="10"/>
  <c r="P14" i="10"/>
  <c r="M14" i="10"/>
  <c r="G14" i="10"/>
  <c r="F14" i="10"/>
  <c r="B14" i="10"/>
  <c r="C14" i="10" s="1"/>
  <c r="A14" i="10"/>
  <c r="R13" i="10"/>
  <c r="Q13" i="10"/>
  <c r="P13" i="10"/>
  <c r="M13" i="10"/>
  <c r="G13" i="10"/>
  <c r="F13" i="10"/>
  <c r="B13" i="10"/>
  <c r="C13" i="10" s="1"/>
  <c r="A13" i="10"/>
  <c r="R12" i="10"/>
  <c r="Q12" i="10"/>
  <c r="P12" i="10"/>
  <c r="M12" i="10"/>
  <c r="G12" i="10"/>
  <c r="F12" i="10"/>
  <c r="C12" i="10"/>
  <c r="B12" i="10"/>
  <c r="A12" i="10"/>
  <c r="R11" i="10"/>
  <c r="Q11" i="10"/>
  <c r="P11" i="10"/>
  <c r="M11" i="10"/>
  <c r="G11" i="10"/>
  <c r="F11" i="10"/>
  <c r="C11" i="10"/>
  <c r="B11" i="10"/>
  <c r="A11" i="10"/>
  <c r="R10" i="10"/>
  <c r="Q10" i="10"/>
  <c r="P10" i="10"/>
  <c r="M10" i="10"/>
  <c r="G10" i="10"/>
  <c r="F10" i="10"/>
  <c r="B10" i="10"/>
  <c r="C10" i="10" s="1"/>
  <c r="A10" i="10"/>
  <c r="R9" i="10"/>
  <c r="Q9" i="10"/>
  <c r="P9" i="10"/>
  <c r="M9" i="10"/>
  <c r="G9" i="10"/>
  <c r="F9" i="10"/>
  <c r="B9" i="10"/>
  <c r="C9" i="10" s="1"/>
  <c r="A9" i="10"/>
  <c r="R8" i="10"/>
  <c r="Q8" i="10"/>
  <c r="P8" i="10"/>
  <c r="M8" i="10"/>
  <c r="G8" i="10"/>
  <c r="F8" i="10"/>
  <c r="C8" i="10"/>
  <c r="B8" i="10"/>
  <c r="A8" i="10"/>
  <c r="R7" i="10"/>
  <c r="Q7" i="10"/>
  <c r="P7" i="10"/>
  <c r="M7" i="10"/>
  <c r="G7" i="10"/>
  <c r="F7" i="10"/>
  <c r="C7" i="10"/>
  <c r="B7" i="10"/>
  <c r="A7" i="10"/>
  <c r="R6" i="10"/>
  <c r="Q6" i="10"/>
  <c r="P6" i="10"/>
  <c r="M6" i="10"/>
  <c r="G6" i="10"/>
  <c r="F6" i="10"/>
  <c r="B6" i="10"/>
  <c r="C6" i="10" s="1"/>
  <c r="A6" i="10"/>
  <c r="R5" i="10"/>
  <c r="Q5" i="10"/>
  <c r="P5" i="10"/>
  <c r="M5" i="10"/>
  <c r="G5" i="10"/>
  <c r="F5" i="10"/>
  <c r="B5" i="10"/>
  <c r="C5" i="10" s="1"/>
  <c r="A5" i="10"/>
  <c r="R4" i="10"/>
  <c r="Q4" i="10"/>
  <c r="P4" i="10"/>
  <c r="M4" i="10"/>
  <c r="G4" i="10"/>
  <c r="F4" i="10"/>
  <c r="C4" i="10"/>
  <c r="B4" i="10"/>
  <c r="N4" i="10" s="1"/>
  <c r="N5" i="10" s="1"/>
  <c r="N6" i="10" s="1"/>
  <c r="A4" i="10"/>
  <c r="R3" i="10"/>
  <c r="Q3" i="10"/>
  <c r="P3" i="10"/>
  <c r="M3" i="10"/>
  <c r="G3" i="10"/>
  <c r="F3" i="10"/>
  <c r="C3" i="10"/>
  <c r="B3" i="10"/>
  <c r="N3" i="10" s="1"/>
  <c r="A3" i="10"/>
  <c r="R2" i="10"/>
  <c r="Q2" i="10"/>
  <c r="P2" i="10"/>
  <c r="N2" i="10"/>
  <c r="M2" i="10"/>
  <c r="G2" i="10"/>
  <c r="F2" i="10"/>
  <c r="B2" i="10"/>
  <c r="C2" i="10" s="1"/>
  <c r="A2" i="10"/>
  <c r="R499" i="9"/>
  <c r="Q499" i="9"/>
  <c r="P499" i="9"/>
  <c r="M499" i="9"/>
  <c r="G499" i="9"/>
  <c r="F499" i="9"/>
  <c r="C499" i="9"/>
  <c r="B499" i="9"/>
  <c r="A499" i="9"/>
  <c r="R498" i="9"/>
  <c r="Q498" i="9"/>
  <c r="P498" i="9"/>
  <c r="M498" i="9"/>
  <c r="G498" i="9"/>
  <c r="F498" i="9"/>
  <c r="C498" i="9"/>
  <c r="B498" i="9"/>
  <c r="A498" i="9"/>
  <c r="R497" i="9"/>
  <c r="Q497" i="9"/>
  <c r="P497" i="9"/>
  <c r="M497" i="9"/>
  <c r="G497" i="9"/>
  <c r="F497" i="9"/>
  <c r="B497" i="9"/>
  <c r="C497" i="9" s="1"/>
  <c r="A497" i="9"/>
  <c r="R496" i="9"/>
  <c r="Q496" i="9"/>
  <c r="P496" i="9"/>
  <c r="M496" i="9"/>
  <c r="G496" i="9"/>
  <c r="F496" i="9"/>
  <c r="C496" i="9"/>
  <c r="B496" i="9"/>
  <c r="A496" i="9"/>
  <c r="R495" i="9"/>
  <c r="Q495" i="9"/>
  <c r="P495" i="9"/>
  <c r="M495" i="9"/>
  <c r="G495" i="9"/>
  <c r="F495" i="9"/>
  <c r="C495" i="9"/>
  <c r="B495" i="9"/>
  <c r="A495" i="9"/>
  <c r="R494" i="9"/>
  <c r="Q494" i="9"/>
  <c r="P494" i="9"/>
  <c r="M494" i="9"/>
  <c r="G494" i="9"/>
  <c r="F494" i="9"/>
  <c r="C494" i="9"/>
  <c r="B494" i="9"/>
  <c r="A494" i="9"/>
  <c r="R493" i="9"/>
  <c r="Q493" i="9"/>
  <c r="P493" i="9"/>
  <c r="M493" i="9"/>
  <c r="G493" i="9"/>
  <c r="F493" i="9"/>
  <c r="B493" i="9"/>
  <c r="C493" i="9" s="1"/>
  <c r="A493" i="9"/>
  <c r="R492" i="9"/>
  <c r="Q492" i="9"/>
  <c r="P492" i="9"/>
  <c r="M492" i="9"/>
  <c r="G492" i="9"/>
  <c r="F492" i="9"/>
  <c r="C492" i="9"/>
  <c r="B492" i="9"/>
  <c r="A492" i="9"/>
  <c r="R491" i="9"/>
  <c r="Q491" i="9"/>
  <c r="P491" i="9"/>
  <c r="M491" i="9"/>
  <c r="G491" i="9"/>
  <c r="F491" i="9"/>
  <c r="C491" i="9"/>
  <c r="B491" i="9"/>
  <c r="A491" i="9"/>
  <c r="R490" i="9"/>
  <c r="Q490" i="9"/>
  <c r="P490" i="9"/>
  <c r="M490" i="9"/>
  <c r="G490" i="9"/>
  <c r="F490" i="9"/>
  <c r="B490" i="9"/>
  <c r="A490" i="9"/>
  <c r="R489" i="9"/>
  <c r="Q489" i="9"/>
  <c r="P489" i="9"/>
  <c r="M489" i="9"/>
  <c r="G489" i="9"/>
  <c r="F489" i="9"/>
  <c r="B489" i="9"/>
  <c r="A489" i="9"/>
  <c r="R488" i="9"/>
  <c r="Q488" i="9"/>
  <c r="P488" i="9"/>
  <c r="M488" i="9"/>
  <c r="G488" i="9"/>
  <c r="F488" i="9"/>
  <c r="C488" i="9"/>
  <c r="B488" i="9"/>
  <c r="A488" i="9"/>
  <c r="R487" i="9"/>
  <c r="Q487" i="9"/>
  <c r="P487" i="9"/>
  <c r="M487" i="9"/>
  <c r="G487" i="9"/>
  <c r="F487" i="9"/>
  <c r="C487" i="9"/>
  <c r="B487" i="9"/>
  <c r="A487" i="9"/>
  <c r="R486" i="9"/>
  <c r="Q486" i="9"/>
  <c r="P486" i="9"/>
  <c r="M486" i="9"/>
  <c r="G486" i="9"/>
  <c r="F486" i="9"/>
  <c r="B486" i="9"/>
  <c r="A486" i="9"/>
  <c r="R485" i="9"/>
  <c r="Q485" i="9"/>
  <c r="P485" i="9"/>
  <c r="M485" i="9"/>
  <c r="G485" i="9"/>
  <c r="F485" i="9"/>
  <c r="B485" i="9"/>
  <c r="A485" i="9"/>
  <c r="R484" i="9"/>
  <c r="Q484" i="9"/>
  <c r="P484" i="9"/>
  <c r="M484" i="9"/>
  <c r="G484" i="9"/>
  <c r="F484" i="9"/>
  <c r="C484" i="9"/>
  <c r="B484" i="9"/>
  <c r="A484" i="9"/>
  <c r="R483" i="9"/>
  <c r="Q483" i="9"/>
  <c r="P483" i="9"/>
  <c r="M483" i="9"/>
  <c r="G483" i="9"/>
  <c r="F483" i="9"/>
  <c r="C483" i="9"/>
  <c r="B483" i="9"/>
  <c r="A483" i="9"/>
  <c r="R482" i="9"/>
  <c r="Q482" i="9"/>
  <c r="P482" i="9"/>
  <c r="M482" i="9"/>
  <c r="G482" i="9"/>
  <c r="F482" i="9"/>
  <c r="C482" i="9"/>
  <c r="B482" i="9"/>
  <c r="A482" i="9"/>
  <c r="R481" i="9"/>
  <c r="Q481" i="9"/>
  <c r="P481" i="9"/>
  <c r="M481" i="9"/>
  <c r="G481" i="9"/>
  <c r="F481" i="9"/>
  <c r="B481" i="9"/>
  <c r="C481" i="9" s="1"/>
  <c r="A481" i="9"/>
  <c r="R480" i="9"/>
  <c r="Q480" i="9"/>
  <c r="P480" i="9"/>
  <c r="M480" i="9"/>
  <c r="G480" i="9"/>
  <c r="F480" i="9"/>
  <c r="C480" i="9"/>
  <c r="B480" i="9"/>
  <c r="A480" i="9"/>
  <c r="R479" i="9"/>
  <c r="Q479" i="9"/>
  <c r="P479" i="9"/>
  <c r="M479" i="9"/>
  <c r="G479" i="9"/>
  <c r="F479" i="9"/>
  <c r="C479" i="9"/>
  <c r="B479" i="9"/>
  <c r="A479" i="9"/>
  <c r="R478" i="9"/>
  <c r="Q478" i="9"/>
  <c r="P478" i="9"/>
  <c r="M478" i="9"/>
  <c r="G478" i="9"/>
  <c r="F478" i="9"/>
  <c r="C478" i="9"/>
  <c r="B478" i="9"/>
  <c r="A478" i="9"/>
  <c r="R477" i="9"/>
  <c r="Q477" i="9"/>
  <c r="P477" i="9"/>
  <c r="M477" i="9"/>
  <c r="G477" i="9"/>
  <c r="F477" i="9"/>
  <c r="B477" i="9"/>
  <c r="C477" i="9" s="1"/>
  <c r="A477" i="9"/>
  <c r="R476" i="9"/>
  <c r="Q476" i="9"/>
  <c r="P476" i="9"/>
  <c r="M476" i="9"/>
  <c r="G476" i="9"/>
  <c r="F476" i="9"/>
  <c r="C476" i="9"/>
  <c r="B476" i="9"/>
  <c r="A476" i="9"/>
  <c r="R475" i="9"/>
  <c r="Q475" i="9"/>
  <c r="P475" i="9"/>
  <c r="M475" i="9"/>
  <c r="G475" i="9"/>
  <c r="F475" i="9"/>
  <c r="C475" i="9"/>
  <c r="B475" i="9"/>
  <c r="A475" i="9"/>
  <c r="R474" i="9"/>
  <c r="Q474" i="9"/>
  <c r="P474" i="9"/>
  <c r="M474" i="9"/>
  <c r="G474" i="9"/>
  <c r="F474" i="9"/>
  <c r="B474" i="9"/>
  <c r="A474" i="9"/>
  <c r="R473" i="9"/>
  <c r="Q473" i="9"/>
  <c r="P473" i="9"/>
  <c r="M473" i="9"/>
  <c r="G473" i="9"/>
  <c r="F473" i="9"/>
  <c r="B473" i="9"/>
  <c r="A473" i="9"/>
  <c r="R472" i="9"/>
  <c r="Q472" i="9"/>
  <c r="P472" i="9"/>
  <c r="M472" i="9"/>
  <c r="G472" i="9"/>
  <c r="F472" i="9"/>
  <c r="C472" i="9"/>
  <c r="B472" i="9"/>
  <c r="A472" i="9"/>
  <c r="R471" i="9"/>
  <c r="Q471" i="9"/>
  <c r="P471" i="9"/>
  <c r="M471" i="9"/>
  <c r="G471" i="9"/>
  <c r="F471" i="9"/>
  <c r="C471" i="9"/>
  <c r="B471" i="9"/>
  <c r="A471" i="9"/>
  <c r="R470" i="9"/>
  <c r="Q470" i="9"/>
  <c r="P470" i="9"/>
  <c r="M470" i="9"/>
  <c r="G470" i="9"/>
  <c r="F470" i="9"/>
  <c r="B470" i="9"/>
  <c r="A470" i="9"/>
  <c r="R469" i="9"/>
  <c r="Q469" i="9"/>
  <c r="P469" i="9"/>
  <c r="M469" i="9"/>
  <c r="G469" i="9"/>
  <c r="F469" i="9"/>
  <c r="B469" i="9"/>
  <c r="A469" i="9"/>
  <c r="R468" i="9"/>
  <c r="Q468" i="9"/>
  <c r="P468" i="9"/>
  <c r="M468" i="9"/>
  <c r="G468" i="9"/>
  <c r="F468" i="9"/>
  <c r="C468" i="9"/>
  <c r="B468" i="9"/>
  <c r="A468" i="9"/>
  <c r="R467" i="9"/>
  <c r="Q467" i="9"/>
  <c r="P467" i="9"/>
  <c r="M467" i="9"/>
  <c r="G467" i="9"/>
  <c r="F467" i="9"/>
  <c r="C467" i="9"/>
  <c r="B467" i="9"/>
  <c r="A467" i="9"/>
  <c r="R466" i="9"/>
  <c r="Q466" i="9"/>
  <c r="P466" i="9"/>
  <c r="M466" i="9"/>
  <c r="G466" i="9"/>
  <c r="F466" i="9"/>
  <c r="C466" i="9"/>
  <c r="B466" i="9"/>
  <c r="A466" i="9"/>
  <c r="R465" i="9"/>
  <c r="Q465" i="9"/>
  <c r="P465" i="9"/>
  <c r="M465" i="9"/>
  <c r="G465" i="9"/>
  <c r="F465" i="9"/>
  <c r="B465" i="9"/>
  <c r="C465" i="9" s="1"/>
  <c r="A465" i="9"/>
  <c r="R464" i="9"/>
  <c r="Q464" i="9"/>
  <c r="P464" i="9"/>
  <c r="M464" i="9"/>
  <c r="G464" i="9"/>
  <c r="F464" i="9"/>
  <c r="C464" i="9"/>
  <c r="B464" i="9"/>
  <c r="A464" i="9"/>
  <c r="R463" i="9"/>
  <c r="Q463" i="9"/>
  <c r="P463" i="9"/>
  <c r="M463" i="9"/>
  <c r="G463" i="9"/>
  <c r="F463" i="9"/>
  <c r="C463" i="9"/>
  <c r="B463" i="9"/>
  <c r="A463" i="9"/>
  <c r="R462" i="9"/>
  <c r="Q462" i="9"/>
  <c r="P462" i="9"/>
  <c r="M462" i="9"/>
  <c r="G462" i="9"/>
  <c r="F462" i="9"/>
  <c r="C462" i="9"/>
  <c r="B462" i="9"/>
  <c r="A462" i="9"/>
  <c r="R461" i="9"/>
  <c r="Q461" i="9"/>
  <c r="P461" i="9"/>
  <c r="M461" i="9"/>
  <c r="G461" i="9"/>
  <c r="F461" i="9"/>
  <c r="B461" i="9"/>
  <c r="C461" i="9" s="1"/>
  <c r="A461" i="9"/>
  <c r="R460" i="9"/>
  <c r="Q460" i="9"/>
  <c r="P460" i="9"/>
  <c r="M460" i="9"/>
  <c r="G460" i="9"/>
  <c r="F460" i="9"/>
  <c r="C460" i="9"/>
  <c r="B460" i="9"/>
  <c r="A460" i="9"/>
  <c r="R459" i="9"/>
  <c r="Q459" i="9"/>
  <c r="P459" i="9"/>
  <c r="M459" i="9"/>
  <c r="G459" i="9"/>
  <c r="F459" i="9"/>
  <c r="C459" i="9"/>
  <c r="B459" i="9"/>
  <c r="A459" i="9"/>
  <c r="R458" i="9"/>
  <c r="Q458" i="9"/>
  <c r="P458" i="9"/>
  <c r="M458" i="9"/>
  <c r="G458" i="9"/>
  <c r="F458" i="9"/>
  <c r="B458" i="9"/>
  <c r="A458" i="9"/>
  <c r="R457" i="9"/>
  <c r="Q457" i="9"/>
  <c r="P457" i="9"/>
  <c r="M457" i="9"/>
  <c r="G457" i="9"/>
  <c r="F457" i="9"/>
  <c r="B457" i="9"/>
  <c r="A457" i="9"/>
  <c r="R456" i="9"/>
  <c r="Q456" i="9"/>
  <c r="P456" i="9"/>
  <c r="M456" i="9"/>
  <c r="G456" i="9"/>
  <c r="F456" i="9"/>
  <c r="C456" i="9"/>
  <c r="B456" i="9"/>
  <c r="A456" i="9"/>
  <c r="R455" i="9"/>
  <c r="Q455" i="9"/>
  <c r="P455" i="9"/>
  <c r="M455" i="9"/>
  <c r="G455" i="9"/>
  <c r="F455" i="9"/>
  <c r="C455" i="9"/>
  <c r="B455" i="9"/>
  <c r="A455" i="9"/>
  <c r="R454" i="9"/>
  <c r="Q454" i="9"/>
  <c r="P454" i="9"/>
  <c r="M454" i="9"/>
  <c r="G454" i="9"/>
  <c r="F454" i="9"/>
  <c r="B454" i="9"/>
  <c r="A454" i="9"/>
  <c r="R453" i="9"/>
  <c r="Q453" i="9"/>
  <c r="P453" i="9"/>
  <c r="M453" i="9"/>
  <c r="G453" i="9"/>
  <c r="F453" i="9"/>
  <c r="B453" i="9"/>
  <c r="A453" i="9"/>
  <c r="R452" i="9"/>
  <c r="Q452" i="9"/>
  <c r="P452" i="9"/>
  <c r="M452" i="9"/>
  <c r="G452" i="9"/>
  <c r="F452" i="9"/>
  <c r="C452" i="9"/>
  <c r="B452" i="9"/>
  <c r="A452" i="9"/>
  <c r="R451" i="9"/>
  <c r="Q451" i="9"/>
  <c r="P451" i="9"/>
  <c r="M451" i="9"/>
  <c r="G451" i="9"/>
  <c r="F451" i="9"/>
  <c r="C451" i="9"/>
  <c r="B451" i="9"/>
  <c r="A451" i="9"/>
  <c r="R450" i="9"/>
  <c r="Q450" i="9"/>
  <c r="P450" i="9"/>
  <c r="M450" i="9"/>
  <c r="G450" i="9"/>
  <c r="F450" i="9"/>
  <c r="C450" i="9"/>
  <c r="B450" i="9"/>
  <c r="A450" i="9"/>
  <c r="R449" i="9"/>
  <c r="Q449" i="9"/>
  <c r="P449" i="9"/>
  <c r="M449" i="9"/>
  <c r="G449" i="9"/>
  <c r="F449" i="9"/>
  <c r="B449" i="9"/>
  <c r="C449" i="9" s="1"/>
  <c r="A449" i="9"/>
  <c r="R448" i="9"/>
  <c r="Q448" i="9"/>
  <c r="P448" i="9"/>
  <c r="M448" i="9"/>
  <c r="G448" i="9"/>
  <c r="F448" i="9"/>
  <c r="C448" i="9"/>
  <c r="B448" i="9"/>
  <c r="A448" i="9"/>
  <c r="R447" i="9"/>
  <c r="Q447" i="9"/>
  <c r="P447" i="9"/>
  <c r="M447" i="9"/>
  <c r="G447" i="9"/>
  <c r="F447" i="9"/>
  <c r="B447" i="9"/>
  <c r="A447" i="9"/>
  <c r="R446" i="9"/>
  <c r="Q446" i="9"/>
  <c r="P446" i="9"/>
  <c r="M446" i="9"/>
  <c r="G446" i="9"/>
  <c r="F446" i="9"/>
  <c r="B446" i="9"/>
  <c r="A446" i="9"/>
  <c r="R445" i="9"/>
  <c r="Q445" i="9"/>
  <c r="P445" i="9"/>
  <c r="M445" i="9"/>
  <c r="G445" i="9"/>
  <c r="F445" i="9"/>
  <c r="B445" i="9"/>
  <c r="C445" i="9" s="1"/>
  <c r="A445" i="9"/>
  <c r="R444" i="9"/>
  <c r="Q444" i="9"/>
  <c r="P444" i="9"/>
  <c r="M444" i="9"/>
  <c r="G444" i="9"/>
  <c r="F444" i="9"/>
  <c r="C444" i="9"/>
  <c r="B444" i="9"/>
  <c r="A444" i="9"/>
  <c r="R443" i="9"/>
  <c r="Q443" i="9"/>
  <c r="P443" i="9"/>
  <c r="M443" i="9"/>
  <c r="G443" i="9"/>
  <c r="F443" i="9"/>
  <c r="B443" i="9"/>
  <c r="A443" i="9"/>
  <c r="R442" i="9"/>
  <c r="Q442" i="9"/>
  <c r="P442" i="9"/>
  <c r="M442" i="9"/>
  <c r="G442" i="9"/>
  <c r="F442" i="9"/>
  <c r="C442" i="9"/>
  <c r="B442" i="9"/>
  <c r="A442" i="9"/>
  <c r="R441" i="9"/>
  <c r="Q441" i="9"/>
  <c r="P441" i="9"/>
  <c r="M441" i="9"/>
  <c r="G441" i="9"/>
  <c r="F441" i="9"/>
  <c r="B441" i="9"/>
  <c r="A441" i="9"/>
  <c r="R440" i="9"/>
  <c r="Q440" i="9"/>
  <c r="P440" i="9"/>
  <c r="M440" i="9"/>
  <c r="G440" i="9"/>
  <c r="F440" i="9"/>
  <c r="C440" i="9"/>
  <c r="B440" i="9"/>
  <c r="A440" i="9"/>
  <c r="R439" i="9"/>
  <c r="Q439" i="9"/>
  <c r="P439" i="9"/>
  <c r="M439" i="9"/>
  <c r="G439" i="9"/>
  <c r="F439" i="9"/>
  <c r="C439" i="9"/>
  <c r="B439" i="9"/>
  <c r="A439" i="9"/>
  <c r="R438" i="9"/>
  <c r="Q438" i="9"/>
  <c r="P438" i="9"/>
  <c r="M438" i="9"/>
  <c r="G438" i="9"/>
  <c r="F438" i="9"/>
  <c r="B438" i="9"/>
  <c r="A438" i="9"/>
  <c r="R437" i="9"/>
  <c r="Q437" i="9"/>
  <c r="P437" i="9"/>
  <c r="M437" i="9"/>
  <c r="G437" i="9"/>
  <c r="F437" i="9"/>
  <c r="B437" i="9"/>
  <c r="A437" i="9"/>
  <c r="R436" i="9"/>
  <c r="Q436" i="9"/>
  <c r="P436" i="9"/>
  <c r="M436" i="9"/>
  <c r="G436" i="9"/>
  <c r="F436" i="9"/>
  <c r="C436" i="9"/>
  <c r="B436" i="9"/>
  <c r="A436" i="9"/>
  <c r="R435" i="9"/>
  <c r="Q435" i="9"/>
  <c r="P435" i="9"/>
  <c r="M435" i="9"/>
  <c r="G435" i="9"/>
  <c r="F435" i="9"/>
  <c r="B435" i="9"/>
  <c r="A435" i="9"/>
  <c r="R434" i="9"/>
  <c r="Q434" i="9"/>
  <c r="P434" i="9"/>
  <c r="M434" i="9"/>
  <c r="G434" i="9"/>
  <c r="F434" i="9"/>
  <c r="B434" i="9"/>
  <c r="A434" i="9"/>
  <c r="R433" i="9"/>
  <c r="Q433" i="9"/>
  <c r="P433" i="9"/>
  <c r="M433" i="9"/>
  <c r="G433" i="9"/>
  <c r="F433" i="9"/>
  <c r="B433" i="9"/>
  <c r="C433" i="9" s="1"/>
  <c r="A433" i="9"/>
  <c r="R432" i="9"/>
  <c r="Q432" i="9"/>
  <c r="P432" i="9"/>
  <c r="M432" i="9"/>
  <c r="G432" i="9"/>
  <c r="F432" i="9"/>
  <c r="C432" i="9"/>
  <c r="B432" i="9"/>
  <c r="A432" i="9"/>
  <c r="R431" i="9"/>
  <c r="Q431" i="9"/>
  <c r="P431" i="9"/>
  <c r="M431" i="9"/>
  <c r="G431" i="9"/>
  <c r="F431" i="9"/>
  <c r="B431" i="9"/>
  <c r="A431" i="9"/>
  <c r="R430" i="9"/>
  <c r="Q430" i="9"/>
  <c r="P430" i="9"/>
  <c r="M430" i="9"/>
  <c r="G430" i="9"/>
  <c r="F430" i="9"/>
  <c r="B430" i="9"/>
  <c r="A430" i="9"/>
  <c r="R429" i="9"/>
  <c r="Q429" i="9"/>
  <c r="P429" i="9"/>
  <c r="M429" i="9"/>
  <c r="G429" i="9"/>
  <c r="F429" i="9"/>
  <c r="B429" i="9"/>
  <c r="C429" i="9" s="1"/>
  <c r="A429" i="9"/>
  <c r="R428" i="9"/>
  <c r="Q428" i="9"/>
  <c r="P428" i="9"/>
  <c r="M428" i="9"/>
  <c r="G428" i="9"/>
  <c r="F428" i="9"/>
  <c r="C428" i="9"/>
  <c r="B428" i="9"/>
  <c r="A428" i="9"/>
  <c r="R427" i="9"/>
  <c r="Q427" i="9"/>
  <c r="P427" i="9"/>
  <c r="M427" i="9"/>
  <c r="G427" i="9"/>
  <c r="F427" i="9"/>
  <c r="B427" i="9"/>
  <c r="A427" i="9"/>
  <c r="R426" i="9"/>
  <c r="Q426" i="9"/>
  <c r="P426" i="9"/>
  <c r="M426" i="9"/>
  <c r="G426" i="9"/>
  <c r="F426" i="9"/>
  <c r="C426" i="9"/>
  <c r="B426" i="9"/>
  <c r="A426" i="9"/>
  <c r="R425" i="9"/>
  <c r="Q425" i="9"/>
  <c r="P425" i="9"/>
  <c r="M425" i="9"/>
  <c r="G425" i="9"/>
  <c r="F425" i="9"/>
  <c r="B425" i="9"/>
  <c r="A425" i="9"/>
  <c r="R424" i="9"/>
  <c r="Q424" i="9"/>
  <c r="P424" i="9"/>
  <c r="M424" i="9"/>
  <c r="G424" i="9"/>
  <c r="F424" i="9"/>
  <c r="C424" i="9"/>
  <c r="B424" i="9"/>
  <c r="A424" i="9"/>
  <c r="R423" i="9"/>
  <c r="Q423" i="9"/>
  <c r="P423" i="9"/>
  <c r="M423" i="9"/>
  <c r="G423" i="9"/>
  <c r="F423" i="9"/>
  <c r="C423" i="9"/>
  <c r="B423" i="9"/>
  <c r="A423" i="9"/>
  <c r="R422" i="9"/>
  <c r="Q422" i="9"/>
  <c r="P422" i="9"/>
  <c r="M422" i="9"/>
  <c r="G422" i="9"/>
  <c r="F422" i="9"/>
  <c r="B422" i="9"/>
  <c r="A422" i="9"/>
  <c r="R421" i="9"/>
  <c r="Q421" i="9"/>
  <c r="P421" i="9"/>
  <c r="M421" i="9"/>
  <c r="G421" i="9"/>
  <c r="F421" i="9"/>
  <c r="B421" i="9"/>
  <c r="A421" i="9"/>
  <c r="R420" i="9"/>
  <c r="Q420" i="9"/>
  <c r="P420" i="9"/>
  <c r="M420" i="9"/>
  <c r="G420" i="9"/>
  <c r="F420" i="9"/>
  <c r="C420" i="9"/>
  <c r="B420" i="9"/>
  <c r="A420" i="9"/>
  <c r="R419" i="9"/>
  <c r="Q419" i="9"/>
  <c r="P419" i="9"/>
  <c r="M419" i="9"/>
  <c r="G419" i="9"/>
  <c r="F419" i="9"/>
  <c r="C419" i="9"/>
  <c r="B419" i="9"/>
  <c r="A419" i="9"/>
  <c r="R418" i="9"/>
  <c r="Q418" i="9"/>
  <c r="P418" i="9"/>
  <c r="M418" i="9"/>
  <c r="G418" i="9"/>
  <c r="F418" i="9"/>
  <c r="B418" i="9"/>
  <c r="A418" i="9"/>
  <c r="R417" i="9"/>
  <c r="Q417" i="9"/>
  <c r="P417" i="9"/>
  <c r="M417" i="9"/>
  <c r="G417" i="9"/>
  <c r="F417" i="9"/>
  <c r="B417" i="9"/>
  <c r="C417" i="9" s="1"/>
  <c r="A417" i="9"/>
  <c r="R416" i="9"/>
  <c r="Q416" i="9"/>
  <c r="P416" i="9"/>
  <c r="M416" i="9"/>
  <c r="G416" i="9"/>
  <c r="F416" i="9"/>
  <c r="C416" i="9"/>
  <c r="B416" i="9"/>
  <c r="A416" i="9"/>
  <c r="R415" i="9"/>
  <c r="Q415" i="9"/>
  <c r="P415" i="9"/>
  <c r="M415" i="9"/>
  <c r="G415" i="9"/>
  <c r="F415" i="9"/>
  <c r="B415" i="9"/>
  <c r="A415" i="9"/>
  <c r="R414" i="9"/>
  <c r="Q414" i="9"/>
  <c r="P414" i="9"/>
  <c r="M414" i="9"/>
  <c r="G414" i="9"/>
  <c r="F414" i="9"/>
  <c r="B414" i="9"/>
  <c r="A414" i="9"/>
  <c r="R413" i="9"/>
  <c r="Q413" i="9"/>
  <c r="P413" i="9"/>
  <c r="M413" i="9"/>
  <c r="G413" i="9"/>
  <c r="F413" i="9"/>
  <c r="B413" i="9"/>
  <c r="C413" i="9" s="1"/>
  <c r="A413" i="9"/>
  <c r="R412" i="9"/>
  <c r="Q412" i="9"/>
  <c r="P412" i="9"/>
  <c r="M412" i="9"/>
  <c r="G412" i="9"/>
  <c r="F412" i="9"/>
  <c r="C412" i="9"/>
  <c r="B412" i="9"/>
  <c r="A412" i="9"/>
  <c r="R411" i="9"/>
  <c r="Q411" i="9"/>
  <c r="P411" i="9"/>
  <c r="M411" i="9"/>
  <c r="G411" i="9"/>
  <c r="F411" i="9"/>
  <c r="B411" i="9"/>
  <c r="A411" i="9"/>
  <c r="R410" i="9"/>
  <c r="Q410" i="9"/>
  <c r="P410" i="9"/>
  <c r="M410" i="9"/>
  <c r="G410" i="9"/>
  <c r="F410" i="9"/>
  <c r="C410" i="9"/>
  <c r="B410" i="9"/>
  <c r="A410" i="9"/>
  <c r="R409" i="9"/>
  <c r="Q409" i="9"/>
  <c r="P409" i="9"/>
  <c r="M409" i="9"/>
  <c r="G409" i="9"/>
  <c r="F409" i="9"/>
  <c r="B409" i="9"/>
  <c r="A409" i="9"/>
  <c r="R408" i="9"/>
  <c r="Q408" i="9"/>
  <c r="P408" i="9"/>
  <c r="M408" i="9"/>
  <c r="G408" i="9"/>
  <c r="F408" i="9"/>
  <c r="C408" i="9"/>
  <c r="B408" i="9"/>
  <c r="A408" i="9"/>
  <c r="R407" i="9"/>
  <c r="Q407" i="9"/>
  <c r="P407" i="9"/>
  <c r="M407" i="9"/>
  <c r="G407" i="9"/>
  <c r="F407" i="9"/>
  <c r="C407" i="9"/>
  <c r="B407" i="9"/>
  <c r="A407" i="9"/>
  <c r="R406" i="9"/>
  <c r="Q406" i="9"/>
  <c r="P406" i="9"/>
  <c r="M406" i="9"/>
  <c r="G406" i="9"/>
  <c r="F406" i="9"/>
  <c r="B406" i="9"/>
  <c r="A406" i="9"/>
  <c r="R405" i="9"/>
  <c r="Q405" i="9"/>
  <c r="P405" i="9"/>
  <c r="M405" i="9"/>
  <c r="G405" i="9"/>
  <c r="F405" i="9"/>
  <c r="B405" i="9"/>
  <c r="A405" i="9"/>
  <c r="R404" i="9"/>
  <c r="Q404" i="9"/>
  <c r="P404" i="9"/>
  <c r="M404" i="9"/>
  <c r="G404" i="9"/>
  <c r="F404" i="9"/>
  <c r="C404" i="9"/>
  <c r="B404" i="9"/>
  <c r="A404" i="9"/>
  <c r="R403" i="9"/>
  <c r="Q403" i="9"/>
  <c r="P403" i="9"/>
  <c r="M403" i="9"/>
  <c r="G403" i="9"/>
  <c r="F403" i="9"/>
  <c r="B403" i="9"/>
  <c r="A403" i="9"/>
  <c r="R402" i="9"/>
  <c r="Q402" i="9"/>
  <c r="P402" i="9"/>
  <c r="M402" i="9"/>
  <c r="G402" i="9"/>
  <c r="F402" i="9"/>
  <c r="B402" i="9"/>
  <c r="A402" i="9"/>
  <c r="R401" i="9"/>
  <c r="Q401" i="9"/>
  <c r="P401" i="9"/>
  <c r="M401" i="9"/>
  <c r="G401" i="9"/>
  <c r="F401" i="9"/>
  <c r="B401" i="9"/>
  <c r="C401" i="9" s="1"/>
  <c r="A401" i="9"/>
  <c r="R400" i="9"/>
  <c r="Q400" i="9"/>
  <c r="P400" i="9"/>
  <c r="M400" i="9"/>
  <c r="G400" i="9"/>
  <c r="F400" i="9"/>
  <c r="C400" i="9"/>
  <c r="B400" i="9"/>
  <c r="A400" i="9"/>
  <c r="R399" i="9"/>
  <c r="Q399" i="9"/>
  <c r="P399" i="9"/>
  <c r="M399" i="9"/>
  <c r="G399" i="9"/>
  <c r="F399" i="9"/>
  <c r="B399" i="9"/>
  <c r="A399" i="9"/>
  <c r="R398" i="9"/>
  <c r="Q398" i="9"/>
  <c r="P398" i="9"/>
  <c r="M398" i="9"/>
  <c r="G398" i="9"/>
  <c r="F398" i="9"/>
  <c r="B398" i="9"/>
  <c r="A398" i="9"/>
  <c r="R397" i="9"/>
  <c r="Q397" i="9"/>
  <c r="P397" i="9"/>
  <c r="M397" i="9"/>
  <c r="G397" i="9"/>
  <c r="F397" i="9"/>
  <c r="B397" i="9"/>
  <c r="C397" i="9" s="1"/>
  <c r="A397" i="9"/>
  <c r="R396" i="9"/>
  <c r="Q396" i="9"/>
  <c r="P396" i="9"/>
  <c r="M396" i="9"/>
  <c r="G396" i="9"/>
  <c r="F396" i="9"/>
  <c r="C396" i="9"/>
  <c r="B396" i="9"/>
  <c r="A396" i="9"/>
  <c r="R395" i="9"/>
  <c r="Q395" i="9"/>
  <c r="P395" i="9"/>
  <c r="M395" i="9"/>
  <c r="G395" i="9"/>
  <c r="F395" i="9"/>
  <c r="B395" i="9"/>
  <c r="A395" i="9"/>
  <c r="R394" i="9"/>
  <c r="Q394" i="9"/>
  <c r="P394" i="9"/>
  <c r="M394" i="9"/>
  <c r="G394" i="9"/>
  <c r="F394" i="9"/>
  <c r="C394" i="9"/>
  <c r="B394" i="9"/>
  <c r="A394" i="9"/>
  <c r="R393" i="9"/>
  <c r="Q393" i="9"/>
  <c r="P393" i="9"/>
  <c r="M393" i="9"/>
  <c r="G393" i="9"/>
  <c r="F393" i="9"/>
  <c r="B393" i="9"/>
  <c r="A393" i="9"/>
  <c r="R392" i="9"/>
  <c r="Q392" i="9"/>
  <c r="P392" i="9"/>
  <c r="M392" i="9"/>
  <c r="G392" i="9"/>
  <c r="F392" i="9"/>
  <c r="C392" i="9"/>
  <c r="B392" i="9"/>
  <c r="A392" i="9"/>
  <c r="R391" i="9"/>
  <c r="Q391" i="9"/>
  <c r="P391" i="9"/>
  <c r="M391" i="9"/>
  <c r="G391" i="9"/>
  <c r="F391" i="9"/>
  <c r="C391" i="9"/>
  <c r="B391" i="9"/>
  <c r="A391" i="9"/>
  <c r="R390" i="9"/>
  <c r="Q390" i="9"/>
  <c r="P390" i="9"/>
  <c r="M390" i="9"/>
  <c r="G390" i="9"/>
  <c r="F390" i="9"/>
  <c r="B390" i="9"/>
  <c r="A390" i="9"/>
  <c r="R389" i="9"/>
  <c r="Q389" i="9"/>
  <c r="P389" i="9"/>
  <c r="M389" i="9"/>
  <c r="G389" i="9"/>
  <c r="F389" i="9"/>
  <c r="B389" i="9"/>
  <c r="A389" i="9"/>
  <c r="R388" i="9"/>
  <c r="Q388" i="9"/>
  <c r="P388" i="9"/>
  <c r="M388" i="9"/>
  <c r="G388" i="9"/>
  <c r="F388" i="9"/>
  <c r="C388" i="9"/>
  <c r="B388" i="9"/>
  <c r="A388" i="9"/>
  <c r="R387" i="9"/>
  <c r="Q387" i="9"/>
  <c r="P387" i="9"/>
  <c r="M387" i="9"/>
  <c r="G387" i="9"/>
  <c r="F387" i="9"/>
  <c r="B387" i="9"/>
  <c r="A387" i="9"/>
  <c r="R386" i="9"/>
  <c r="Q386" i="9"/>
  <c r="P386" i="9"/>
  <c r="M386" i="9"/>
  <c r="G386" i="9"/>
  <c r="F386" i="9"/>
  <c r="B386" i="9"/>
  <c r="A386" i="9"/>
  <c r="R385" i="9"/>
  <c r="Q385" i="9"/>
  <c r="P385" i="9"/>
  <c r="M385" i="9"/>
  <c r="G385" i="9"/>
  <c r="F385" i="9"/>
  <c r="B385" i="9"/>
  <c r="C385" i="9" s="1"/>
  <c r="A385" i="9"/>
  <c r="R384" i="9"/>
  <c r="Q384" i="9"/>
  <c r="P384" i="9"/>
  <c r="M384" i="9"/>
  <c r="G384" i="9"/>
  <c r="F384" i="9"/>
  <c r="C384" i="9"/>
  <c r="B384" i="9"/>
  <c r="A384" i="9"/>
  <c r="R383" i="9"/>
  <c r="Q383" i="9"/>
  <c r="P383" i="9"/>
  <c r="M383" i="9"/>
  <c r="G383" i="9"/>
  <c r="F383" i="9"/>
  <c r="B383" i="9"/>
  <c r="A383" i="9"/>
  <c r="R382" i="9"/>
  <c r="Q382" i="9"/>
  <c r="P382" i="9"/>
  <c r="M382" i="9"/>
  <c r="G382" i="9"/>
  <c r="F382" i="9"/>
  <c r="B382" i="9"/>
  <c r="A382" i="9"/>
  <c r="R381" i="9"/>
  <c r="Q381" i="9"/>
  <c r="P381" i="9"/>
  <c r="M381" i="9"/>
  <c r="G381" i="9"/>
  <c r="F381" i="9"/>
  <c r="B381" i="9"/>
  <c r="C381" i="9" s="1"/>
  <c r="A381" i="9"/>
  <c r="R380" i="9"/>
  <c r="Q380" i="9"/>
  <c r="P380" i="9"/>
  <c r="M380" i="9"/>
  <c r="G380" i="9"/>
  <c r="F380" i="9"/>
  <c r="C380" i="9"/>
  <c r="B380" i="9"/>
  <c r="A380" i="9"/>
  <c r="R379" i="9"/>
  <c r="Q379" i="9"/>
  <c r="P379" i="9"/>
  <c r="M379" i="9"/>
  <c r="G379" i="9"/>
  <c r="F379" i="9"/>
  <c r="B379" i="9"/>
  <c r="A379" i="9"/>
  <c r="R378" i="9"/>
  <c r="Q378" i="9"/>
  <c r="P378" i="9"/>
  <c r="M378" i="9"/>
  <c r="G378" i="9"/>
  <c r="F378" i="9"/>
  <c r="C378" i="9"/>
  <c r="B378" i="9"/>
  <c r="A378" i="9"/>
  <c r="R377" i="9"/>
  <c r="Q377" i="9"/>
  <c r="P377" i="9"/>
  <c r="M377" i="9"/>
  <c r="G377" i="9"/>
  <c r="F377" i="9"/>
  <c r="B377" i="9"/>
  <c r="A377" i="9"/>
  <c r="R376" i="9"/>
  <c r="Q376" i="9"/>
  <c r="P376" i="9"/>
  <c r="M376" i="9"/>
  <c r="G376" i="9"/>
  <c r="F376" i="9"/>
  <c r="C376" i="9"/>
  <c r="B376" i="9"/>
  <c r="A376" i="9"/>
  <c r="R375" i="9"/>
  <c r="Q375" i="9"/>
  <c r="P375" i="9"/>
  <c r="M375" i="9"/>
  <c r="G375" i="9"/>
  <c r="F375" i="9"/>
  <c r="C375" i="9"/>
  <c r="B375" i="9"/>
  <c r="A375" i="9"/>
  <c r="R374" i="9"/>
  <c r="Q374" i="9"/>
  <c r="P374" i="9"/>
  <c r="M374" i="9"/>
  <c r="G374" i="9"/>
  <c r="F374" i="9"/>
  <c r="B374" i="9"/>
  <c r="A374" i="9"/>
  <c r="R373" i="9"/>
  <c r="Q373" i="9"/>
  <c r="P373" i="9"/>
  <c r="M373" i="9"/>
  <c r="G373" i="9"/>
  <c r="F373" i="9"/>
  <c r="B373" i="9"/>
  <c r="A373" i="9"/>
  <c r="R372" i="9"/>
  <c r="Q372" i="9"/>
  <c r="P372" i="9"/>
  <c r="M372" i="9"/>
  <c r="G372" i="9"/>
  <c r="F372" i="9"/>
  <c r="C372" i="9"/>
  <c r="B372" i="9"/>
  <c r="A372" i="9"/>
  <c r="R371" i="9"/>
  <c r="Q371" i="9"/>
  <c r="P371" i="9"/>
  <c r="M371" i="9"/>
  <c r="G371" i="9"/>
  <c r="F371" i="9"/>
  <c r="B371" i="9"/>
  <c r="A371" i="9"/>
  <c r="R370" i="9"/>
  <c r="Q370" i="9"/>
  <c r="P370" i="9"/>
  <c r="M370" i="9"/>
  <c r="G370" i="9"/>
  <c r="F370" i="9"/>
  <c r="B370" i="9"/>
  <c r="A370" i="9"/>
  <c r="R369" i="9"/>
  <c r="Q369" i="9"/>
  <c r="P369" i="9"/>
  <c r="M369" i="9"/>
  <c r="G369" i="9"/>
  <c r="F369" i="9"/>
  <c r="B369" i="9"/>
  <c r="C369" i="9" s="1"/>
  <c r="A369" i="9"/>
  <c r="R368" i="9"/>
  <c r="Q368" i="9"/>
  <c r="P368" i="9"/>
  <c r="M368" i="9"/>
  <c r="G368" i="9"/>
  <c r="F368" i="9"/>
  <c r="C368" i="9"/>
  <c r="B368" i="9"/>
  <c r="A368" i="9"/>
  <c r="R367" i="9"/>
  <c r="Q367" i="9"/>
  <c r="P367" i="9"/>
  <c r="M367" i="9"/>
  <c r="G367" i="9"/>
  <c r="F367" i="9"/>
  <c r="B367" i="9"/>
  <c r="A367" i="9"/>
  <c r="R366" i="9"/>
  <c r="Q366" i="9"/>
  <c r="P366" i="9"/>
  <c r="M366" i="9"/>
  <c r="G366" i="9"/>
  <c r="F366" i="9"/>
  <c r="B366" i="9"/>
  <c r="A366" i="9"/>
  <c r="R365" i="9"/>
  <c r="Q365" i="9"/>
  <c r="P365" i="9"/>
  <c r="M365" i="9"/>
  <c r="G365" i="9"/>
  <c r="F365" i="9"/>
  <c r="B365" i="9"/>
  <c r="C365" i="9" s="1"/>
  <c r="A365" i="9"/>
  <c r="R364" i="9"/>
  <c r="Q364" i="9"/>
  <c r="P364" i="9"/>
  <c r="M364" i="9"/>
  <c r="G364" i="9"/>
  <c r="F364" i="9"/>
  <c r="C364" i="9"/>
  <c r="B364" i="9"/>
  <c r="A364" i="9"/>
  <c r="R363" i="9"/>
  <c r="Q363" i="9"/>
  <c r="P363" i="9"/>
  <c r="M363" i="9"/>
  <c r="G363" i="9"/>
  <c r="F363" i="9"/>
  <c r="B363" i="9"/>
  <c r="A363" i="9"/>
  <c r="R362" i="9"/>
  <c r="Q362" i="9"/>
  <c r="P362" i="9"/>
  <c r="M362" i="9"/>
  <c r="G362" i="9"/>
  <c r="F362" i="9"/>
  <c r="C362" i="9"/>
  <c r="B362" i="9"/>
  <c r="A362" i="9"/>
  <c r="R361" i="9"/>
  <c r="Q361" i="9"/>
  <c r="P361" i="9"/>
  <c r="M361" i="9"/>
  <c r="G361" i="9"/>
  <c r="F361" i="9"/>
  <c r="B361" i="9"/>
  <c r="A361" i="9"/>
  <c r="R360" i="9"/>
  <c r="Q360" i="9"/>
  <c r="P360" i="9"/>
  <c r="M360" i="9"/>
  <c r="G360" i="9"/>
  <c r="F360" i="9"/>
  <c r="C360" i="9"/>
  <c r="B360" i="9"/>
  <c r="A360" i="9"/>
  <c r="R359" i="9"/>
  <c r="Q359" i="9"/>
  <c r="P359" i="9"/>
  <c r="M359" i="9"/>
  <c r="G359" i="9"/>
  <c r="F359" i="9"/>
  <c r="C359" i="9"/>
  <c r="B359" i="9"/>
  <c r="A359" i="9"/>
  <c r="R358" i="9"/>
  <c r="Q358" i="9"/>
  <c r="P358" i="9"/>
  <c r="M358" i="9"/>
  <c r="G358" i="9"/>
  <c r="F358" i="9"/>
  <c r="B358" i="9"/>
  <c r="A358" i="9"/>
  <c r="R357" i="9"/>
  <c r="Q357" i="9"/>
  <c r="P357" i="9"/>
  <c r="M357" i="9"/>
  <c r="G357" i="9"/>
  <c r="F357" i="9"/>
  <c r="B357" i="9"/>
  <c r="A357" i="9"/>
  <c r="R356" i="9"/>
  <c r="Q356" i="9"/>
  <c r="P356" i="9"/>
  <c r="M356" i="9"/>
  <c r="G356" i="9"/>
  <c r="F356" i="9"/>
  <c r="B356" i="9"/>
  <c r="A356" i="9"/>
  <c r="R355" i="9"/>
  <c r="Q355" i="9"/>
  <c r="P355" i="9"/>
  <c r="M355" i="9"/>
  <c r="G355" i="9"/>
  <c r="F355" i="9"/>
  <c r="B355" i="9"/>
  <c r="A355" i="9"/>
  <c r="R354" i="9"/>
  <c r="Q354" i="9"/>
  <c r="P354" i="9"/>
  <c r="M354" i="9"/>
  <c r="G354" i="9"/>
  <c r="F354" i="9"/>
  <c r="B354" i="9"/>
  <c r="A354" i="9"/>
  <c r="R353" i="9"/>
  <c r="Q353" i="9"/>
  <c r="P353" i="9"/>
  <c r="M353" i="9"/>
  <c r="G353" i="9"/>
  <c r="F353" i="9"/>
  <c r="B353" i="9"/>
  <c r="A353" i="9"/>
  <c r="R352" i="9"/>
  <c r="Q352" i="9"/>
  <c r="P352" i="9"/>
  <c r="M352" i="9"/>
  <c r="G352" i="9"/>
  <c r="F352" i="9"/>
  <c r="B352" i="9"/>
  <c r="C352" i="9" s="1"/>
  <c r="A352" i="9"/>
  <c r="R351" i="9"/>
  <c r="Q351" i="9"/>
  <c r="P351" i="9"/>
  <c r="M351" i="9"/>
  <c r="G351" i="9"/>
  <c r="F351" i="9"/>
  <c r="C351" i="9"/>
  <c r="B351" i="9"/>
  <c r="A351" i="9"/>
  <c r="R350" i="9"/>
  <c r="Q350" i="9"/>
  <c r="P350" i="9"/>
  <c r="M350" i="9"/>
  <c r="G350" i="9"/>
  <c r="F350" i="9"/>
  <c r="B350" i="9"/>
  <c r="A350" i="9"/>
  <c r="R349" i="9"/>
  <c r="Q349" i="9"/>
  <c r="P349" i="9"/>
  <c r="M349" i="9"/>
  <c r="G349" i="9"/>
  <c r="F349" i="9"/>
  <c r="B349" i="9"/>
  <c r="A349" i="9"/>
  <c r="R348" i="9"/>
  <c r="Q348" i="9"/>
  <c r="P348" i="9"/>
  <c r="M348" i="9"/>
  <c r="G348" i="9"/>
  <c r="F348" i="9"/>
  <c r="C348" i="9"/>
  <c r="B348" i="9"/>
  <c r="A348" i="9"/>
  <c r="R347" i="9"/>
  <c r="Q347" i="9"/>
  <c r="P347" i="9"/>
  <c r="M347" i="9"/>
  <c r="G347" i="9"/>
  <c r="F347" i="9"/>
  <c r="B347" i="9"/>
  <c r="A347" i="9"/>
  <c r="R346" i="9"/>
  <c r="Q346" i="9"/>
  <c r="P346" i="9"/>
  <c r="M346" i="9"/>
  <c r="G346" i="9"/>
  <c r="F346" i="9"/>
  <c r="B346" i="9"/>
  <c r="A346" i="9"/>
  <c r="R345" i="9"/>
  <c r="Q345" i="9"/>
  <c r="P345" i="9"/>
  <c r="M345" i="9"/>
  <c r="G345" i="9"/>
  <c r="F345" i="9"/>
  <c r="B345" i="9"/>
  <c r="A345" i="9"/>
  <c r="R344" i="9"/>
  <c r="Q344" i="9"/>
  <c r="P344" i="9"/>
  <c r="M344" i="9"/>
  <c r="G344" i="9"/>
  <c r="F344" i="9"/>
  <c r="C344" i="9"/>
  <c r="B344" i="9"/>
  <c r="A344" i="9"/>
  <c r="R343" i="9"/>
  <c r="Q343" i="9"/>
  <c r="P343" i="9"/>
  <c r="M343" i="9"/>
  <c r="G343" i="9"/>
  <c r="F343" i="9"/>
  <c r="C343" i="9"/>
  <c r="B343" i="9"/>
  <c r="A343" i="9"/>
  <c r="R342" i="9"/>
  <c r="Q342" i="9"/>
  <c r="P342" i="9"/>
  <c r="M342" i="9"/>
  <c r="G342" i="9"/>
  <c r="F342" i="9"/>
  <c r="B342" i="9"/>
  <c r="A342" i="9"/>
  <c r="R341" i="9"/>
  <c r="Q341" i="9"/>
  <c r="P341" i="9"/>
  <c r="M341" i="9"/>
  <c r="G341" i="9"/>
  <c r="F341" i="9"/>
  <c r="B341" i="9"/>
  <c r="A341" i="9"/>
  <c r="R340" i="9"/>
  <c r="Q340" i="9"/>
  <c r="P340" i="9"/>
  <c r="M340" i="9"/>
  <c r="G340" i="9"/>
  <c r="F340" i="9"/>
  <c r="B340" i="9"/>
  <c r="A340" i="9"/>
  <c r="R339" i="9"/>
  <c r="Q339" i="9"/>
  <c r="P339" i="9"/>
  <c r="M339" i="9"/>
  <c r="G339" i="9"/>
  <c r="F339" i="9"/>
  <c r="B339" i="9"/>
  <c r="A339" i="9"/>
  <c r="R338" i="9"/>
  <c r="Q338" i="9"/>
  <c r="P338" i="9"/>
  <c r="M338" i="9"/>
  <c r="G338" i="9"/>
  <c r="F338" i="9"/>
  <c r="B338" i="9"/>
  <c r="A338" i="9"/>
  <c r="R337" i="9"/>
  <c r="Q337" i="9"/>
  <c r="P337" i="9"/>
  <c r="M337" i="9"/>
  <c r="G337" i="9"/>
  <c r="F337" i="9"/>
  <c r="B337" i="9"/>
  <c r="A337" i="9"/>
  <c r="R336" i="9"/>
  <c r="Q336" i="9"/>
  <c r="P336" i="9"/>
  <c r="M336" i="9"/>
  <c r="G336" i="9"/>
  <c r="F336" i="9"/>
  <c r="B336" i="9"/>
  <c r="A336" i="9"/>
  <c r="R335" i="9"/>
  <c r="Q335" i="9"/>
  <c r="P335" i="9"/>
  <c r="M335" i="9"/>
  <c r="G335" i="9"/>
  <c r="F335" i="9"/>
  <c r="B335" i="9"/>
  <c r="A335" i="9"/>
  <c r="R334" i="9"/>
  <c r="Q334" i="9"/>
  <c r="P334" i="9"/>
  <c r="M334" i="9"/>
  <c r="G334" i="9"/>
  <c r="F334" i="9"/>
  <c r="C334" i="9"/>
  <c r="B334" i="9"/>
  <c r="A334" i="9"/>
  <c r="R333" i="9"/>
  <c r="Q333" i="9"/>
  <c r="P333" i="9"/>
  <c r="M333" i="9"/>
  <c r="G333" i="9"/>
  <c r="F333" i="9"/>
  <c r="B333" i="9"/>
  <c r="C333" i="9" s="1"/>
  <c r="A333" i="9"/>
  <c r="R332" i="9"/>
  <c r="Q332" i="9"/>
  <c r="P332" i="9"/>
  <c r="M332" i="9"/>
  <c r="G332" i="9"/>
  <c r="F332" i="9"/>
  <c r="C332" i="9"/>
  <c r="B332" i="9"/>
  <c r="A332" i="9"/>
  <c r="R331" i="9"/>
  <c r="Q331" i="9"/>
  <c r="P331" i="9"/>
  <c r="M331" i="9"/>
  <c r="G331" i="9"/>
  <c r="F331" i="9"/>
  <c r="B331" i="9"/>
  <c r="A331" i="9"/>
  <c r="R330" i="9"/>
  <c r="Q330" i="9"/>
  <c r="P330" i="9"/>
  <c r="M330" i="9"/>
  <c r="G330" i="9"/>
  <c r="F330" i="9"/>
  <c r="B330" i="9"/>
  <c r="A330" i="9"/>
  <c r="R329" i="9"/>
  <c r="Q329" i="9"/>
  <c r="P329" i="9"/>
  <c r="M329" i="9"/>
  <c r="G329" i="9"/>
  <c r="F329" i="9"/>
  <c r="B329" i="9"/>
  <c r="A329" i="9"/>
  <c r="R328" i="9"/>
  <c r="Q328" i="9"/>
  <c r="P328" i="9"/>
  <c r="M328" i="9"/>
  <c r="G328" i="9"/>
  <c r="F328" i="9"/>
  <c r="B328" i="9"/>
  <c r="C328" i="9" s="1"/>
  <c r="A328" i="9"/>
  <c r="R327" i="9"/>
  <c r="Q327" i="9"/>
  <c r="P327" i="9"/>
  <c r="M327" i="9"/>
  <c r="G327" i="9"/>
  <c r="F327" i="9"/>
  <c r="B327" i="9"/>
  <c r="A327" i="9"/>
  <c r="R326" i="9"/>
  <c r="Q326" i="9"/>
  <c r="P326" i="9"/>
  <c r="M326" i="9"/>
  <c r="G326" i="9"/>
  <c r="F326" i="9"/>
  <c r="C326" i="9"/>
  <c r="B326" i="9"/>
  <c r="A326" i="9"/>
  <c r="R325" i="9"/>
  <c r="Q325" i="9"/>
  <c r="P325" i="9"/>
  <c r="M325" i="9"/>
  <c r="G325" i="9"/>
  <c r="F325" i="9"/>
  <c r="B325" i="9"/>
  <c r="A325" i="9"/>
  <c r="R324" i="9"/>
  <c r="Q324" i="9"/>
  <c r="P324" i="9"/>
  <c r="M324" i="9"/>
  <c r="G324" i="9"/>
  <c r="F324" i="9"/>
  <c r="B324" i="9"/>
  <c r="A324" i="9"/>
  <c r="R323" i="9"/>
  <c r="Q323" i="9"/>
  <c r="P323" i="9"/>
  <c r="M323" i="9"/>
  <c r="G323" i="9"/>
  <c r="F323" i="9"/>
  <c r="B323" i="9"/>
  <c r="A323" i="9"/>
  <c r="R322" i="9"/>
  <c r="Q322" i="9"/>
  <c r="P322" i="9"/>
  <c r="M322" i="9"/>
  <c r="G322" i="9"/>
  <c r="F322" i="9"/>
  <c r="C322" i="9"/>
  <c r="B322" i="9"/>
  <c r="A322" i="9"/>
  <c r="R321" i="9"/>
  <c r="Q321" i="9"/>
  <c r="P321" i="9"/>
  <c r="M321" i="9"/>
  <c r="G321" i="9"/>
  <c r="F321" i="9"/>
  <c r="B321" i="9"/>
  <c r="A321" i="9"/>
  <c r="R320" i="9"/>
  <c r="Q320" i="9"/>
  <c r="P320" i="9"/>
  <c r="M320" i="9"/>
  <c r="G320" i="9"/>
  <c r="F320" i="9"/>
  <c r="B320" i="9"/>
  <c r="C320" i="9" s="1"/>
  <c r="A320" i="9"/>
  <c r="R319" i="9"/>
  <c r="Q319" i="9"/>
  <c r="P319" i="9"/>
  <c r="M319" i="9"/>
  <c r="G319" i="9"/>
  <c r="F319" i="9"/>
  <c r="B319" i="9"/>
  <c r="A319" i="9"/>
  <c r="R318" i="9"/>
  <c r="Q318" i="9"/>
  <c r="P318" i="9"/>
  <c r="M318" i="9"/>
  <c r="G318" i="9"/>
  <c r="F318" i="9"/>
  <c r="C318" i="9"/>
  <c r="B318" i="9"/>
  <c r="A318" i="9"/>
  <c r="R317" i="9"/>
  <c r="Q317" i="9"/>
  <c r="P317" i="9"/>
  <c r="M317" i="9"/>
  <c r="G317" i="9"/>
  <c r="F317" i="9"/>
  <c r="B317" i="9"/>
  <c r="A317" i="9"/>
  <c r="R316" i="9"/>
  <c r="Q316" i="9"/>
  <c r="P316" i="9"/>
  <c r="M316" i="9"/>
  <c r="G316" i="9"/>
  <c r="F316" i="9"/>
  <c r="B316" i="9"/>
  <c r="A316" i="9"/>
  <c r="R315" i="9"/>
  <c r="Q315" i="9"/>
  <c r="P315" i="9"/>
  <c r="M315" i="9"/>
  <c r="G315" i="9"/>
  <c r="F315" i="9"/>
  <c r="B315" i="9"/>
  <c r="A315" i="9"/>
  <c r="R314" i="9"/>
  <c r="Q314" i="9"/>
  <c r="P314" i="9"/>
  <c r="M314" i="9"/>
  <c r="G314" i="9"/>
  <c r="F314" i="9"/>
  <c r="B314" i="9"/>
  <c r="A314" i="9"/>
  <c r="R313" i="9"/>
  <c r="Q313" i="9"/>
  <c r="P313" i="9"/>
  <c r="M313" i="9"/>
  <c r="G313" i="9"/>
  <c r="F313" i="9"/>
  <c r="B313" i="9"/>
  <c r="A313" i="9"/>
  <c r="R312" i="9"/>
  <c r="Q312" i="9"/>
  <c r="P312" i="9"/>
  <c r="M312" i="9"/>
  <c r="G312" i="9"/>
  <c r="F312" i="9"/>
  <c r="B312" i="9"/>
  <c r="C312" i="9" s="1"/>
  <c r="A312" i="9"/>
  <c r="R311" i="9"/>
  <c r="Q311" i="9"/>
  <c r="P311" i="9"/>
  <c r="M311" i="9"/>
  <c r="G311" i="9"/>
  <c r="F311" i="9"/>
  <c r="B311" i="9"/>
  <c r="A311" i="9"/>
  <c r="R310" i="9"/>
  <c r="Q310" i="9"/>
  <c r="P310" i="9"/>
  <c r="M310" i="9"/>
  <c r="G310" i="9"/>
  <c r="F310" i="9"/>
  <c r="C310" i="9"/>
  <c r="B310" i="9"/>
  <c r="A310" i="9"/>
  <c r="R309" i="9"/>
  <c r="Q309" i="9"/>
  <c r="P309" i="9"/>
  <c r="M309" i="9"/>
  <c r="G309" i="9"/>
  <c r="F309" i="9"/>
  <c r="B309" i="9"/>
  <c r="A309" i="9"/>
  <c r="R308" i="9"/>
  <c r="Q308" i="9"/>
  <c r="P308" i="9"/>
  <c r="M308" i="9"/>
  <c r="G308" i="9"/>
  <c r="F308" i="9"/>
  <c r="B308" i="9"/>
  <c r="A308" i="9"/>
  <c r="R307" i="9"/>
  <c r="Q307" i="9"/>
  <c r="P307" i="9"/>
  <c r="M307" i="9"/>
  <c r="G307" i="9"/>
  <c r="F307" i="9"/>
  <c r="B307" i="9"/>
  <c r="A307" i="9"/>
  <c r="R306" i="9"/>
  <c r="Q306" i="9"/>
  <c r="P306" i="9"/>
  <c r="M306" i="9"/>
  <c r="G306" i="9"/>
  <c r="F306" i="9"/>
  <c r="C306" i="9"/>
  <c r="B306" i="9"/>
  <c r="A306" i="9"/>
  <c r="R305" i="9"/>
  <c r="Q305" i="9"/>
  <c r="P305" i="9"/>
  <c r="M305" i="9"/>
  <c r="G305" i="9"/>
  <c r="F305" i="9"/>
  <c r="B305" i="9"/>
  <c r="A305" i="9"/>
  <c r="R304" i="9"/>
  <c r="Q304" i="9"/>
  <c r="P304" i="9"/>
  <c r="M304" i="9"/>
  <c r="G304" i="9"/>
  <c r="F304" i="9"/>
  <c r="B304" i="9"/>
  <c r="C304" i="9" s="1"/>
  <c r="A304" i="9"/>
  <c r="R303" i="9"/>
  <c r="Q303" i="9"/>
  <c r="P303" i="9"/>
  <c r="M303" i="9"/>
  <c r="G303" i="9"/>
  <c r="F303" i="9"/>
  <c r="B303" i="9"/>
  <c r="A303" i="9"/>
  <c r="R302" i="9"/>
  <c r="Q302" i="9"/>
  <c r="P302" i="9"/>
  <c r="M302" i="9"/>
  <c r="G302" i="9"/>
  <c r="F302" i="9"/>
  <c r="C302" i="9"/>
  <c r="B302" i="9"/>
  <c r="A302" i="9"/>
  <c r="R301" i="9"/>
  <c r="Q301" i="9"/>
  <c r="P301" i="9"/>
  <c r="M301" i="9"/>
  <c r="G301" i="9"/>
  <c r="F301" i="9"/>
  <c r="B301" i="9"/>
  <c r="A301" i="9"/>
  <c r="R300" i="9"/>
  <c r="Q300" i="9"/>
  <c r="P300" i="9"/>
  <c r="M300" i="9"/>
  <c r="G300" i="9"/>
  <c r="F300" i="9"/>
  <c r="B300" i="9"/>
  <c r="A300" i="9"/>
  <c r="R299" i="9"/>
  <c r="Q299" i="9"/>
  <c r="P299" i="9"/>
  <c r="M299" i="9"/>
  <c r="G299" i="9"/>
  <c r="F299" i="9"/>
  <c r="B299" i="9"/>
  <c r="A299" i="9"/>
  <c r="R298" i="9"/>
  <c r="Q298" i="9"/>
  <c r="P298" i="9"/>
  <c r="M298" i="9"/>
  <c r="G298" i="9"/>
  <c r="F298" i="9"/>
  <c r="B298" i="9"/>
  <c r="A298" i="9"/>
  <c r="R297" i="9"/>
  <c r="Q297" i="9"/>
  <c r="P297" i="9"/>
  <c r="M297" i="9"/>
  <c r="G297" i="9"/>
  <c r="F297" i="9"/>
  <c r="C297" i="9"/>
  <c r="B297" i="9"/>
  <c r="A297" i="9"/>
  <c r="R296" i="9"/>
  <c r="Q296" i="9"/>
  <c r="P296" i="9"/>
  <c r="M296" i="9"/>
  <c r="G296" i="9"/>
  <c r="F296" i="9"/>
  <c r="B296" i="9"/>
  <c r="C296" i="9" s="1"/>
  <c r="A296" i="9"/>
  <c r="R295" i="9"/>
  <c r="Q295" i="9"/>
  <c r="P295" i="9"/>
  <c r="M295" i="9"/>
  <c r="G295" i="9"/>
  <c r="F295" i="9"/>
  <c r="B295" i="9"/>
  <c r="C295" i="9" s="1"/>
  <c r="A295" i="9"/>
  <c r="R294" i="9"/>
  <c r="Q294" i="9"/>
  <c r="P294" i="9"/>
  <c r="M294" i="9"/>
  <c r="G294" i="9"/>
  <c r="F294" i="9"/>
  <c r="C294" i="9"/>
  <c r="B294" i="9"/>
  <c r="A294" i="9"/>
  <c r="R293" i="9"/>
  <c r="Q293" i="9"/>
  <c r="P293" i="9"/>
  <c r="M293" i="9"/>
  <c r="G293" i="9"/>
  <c r="F293" i="9"/>
  <c r="B293" i="9"/>
  <c r="A293" i="9"/>
  <c r="R292" i="9"/>
  <c r="Q292" i="9"/>
  <c r="P292" i="9"/>
  <c r="M292" i="9"/>
  <c r="G292" i="9"/>
  <c r="F292" i="9"/>
  <c r="B292" i="9"/>
  <c r="A292" i="9"/>
  <c r="R291" i="9"/>
  <c r="Q291" i="9"/>
  <c r="P291" i="9"/>
  <c r="M291" i="9"/>
  <c r="G291" i="9"/>
  <c r="F291" i="9"/>
  <c r="B291" i="9"/>
  <c r="A291" i="9"/>
  <c r="R290" i="9"/>
  <c r="Q290" i="9"/>
  <c r="P290" i="9"/>
  <c r="M290" i="9"/>
  <c r="G290" i="9"/>
  <c r="F290" i="9"/>
  <c r="B290" i="9"/>
  <c r="A290" i="9"/>
  <c r="R289" i="9"/>
  <c r="Q289" i="9"/>
  <c r="P289" i="9"/>
  <c r="M289" i="9"/>
  <c r="G289" i="9"/>
  <c r="F289" i="9"/>
  <c r="C289" i="9"/>
  <c r="B289" i="9"/>
  <c r="A289" i="9"/>
  <c r="R288" i="9"/>
  <c r="Q288" i="9"/>
  <c r="P288" i="9"/>
  <c r="M288" i="9"/>
  <c r="G288" i="9"/>
  <c r="F288" i="9"/>
  <c r="B288" i="9"/>
  <c r="C288" i="9" s="1"/>
  <c r="A288" i="9"/>
  <c r="R287" i="9"/>
  <c r="Q287" i="9"/>
  <c r="P287" i="9"/>
  <c r="M287" i="9"/>
  <c r="G287" i="9"/>
  <c r="F287" i="9"/>
  <c r="B287" i="9"/>
  <c r="C287" i="9" s="1"/>
  <c r="A287" i="9"/>
  <c r="R286" i="9"/>
  <c r="Q286" i="9"/>
  <c r="P286" i="9"/>
  <c r="M286" i="9"/>
  <c r="G286" i="9"/>
  <c r="F286" i="9"/>
  <c r="C286" i="9"/>
  <c r="B286" i="9"/>
  <c r="A286" i="9"/>
  <c r="R285" i="9"/>
  <c r="Q285" i="9"/>
  <c r="P285" i="9"/>
  <c r="M285" i="9"/>
  <c r="G285" i="9"/>
  <c r="F285" i="9"/>
  <c r="B285" i="9"/>
  <c r="A285" i="9"/>
  <c r="R284" i="9"/>
  <c r="Q284" i="9"/>
  <c r="P284" i="9"/>
  <c r="M284" i="9"/>
  <c r="G284" i="9"/>
  <c r="F284" i="9"/>
  <c r="B284" i="9"/>
  <c r="A284" i="9"/>
  <c r="R283" i="9"/>
  <c r="Q283" i="9"/>
  <c r="P283" i="9"/>
  <c r="M283" i="9"/>
  <c r="G283" i="9"/>
  <c r="F283" i="9"/>
  <c r="B283" i="9"/>
  <c r="A283" i="9"/>
  <c r="R282" i="9"/>
  <c r="Q282" i="9"/>
  <c r="P282" i="9"/>
  <c r="M282" i="9"/>
  <c r="G282" i="9"/>
  <c r="F282" i="9"/>
  <c r="B282" i="9"/>
  <c r="A282" i="9"/>
  <c r="R281" i="9"/>
  <c r="Q281" i="9"/>
  <c r="P281" i="9"/>
  <c r="M281" i="9"/>
  <c r="G281" i="9"/>
  <c r="F281" i="9"/>
  <c r="B281" i="9"/>
  <c r="A281" i="9"/>
  <c r="R280" i="9"/>
  <c r="Q280" i="9"/>
  <c r="P280" i="9"/>
  <c r="M280" i="9"/>
  <c r="G280" i="9"/>
  <c r="F280" i="9"/>
  <c r="B280" i="9"/>
  <c r="C280" i="9" s="1"/>
  <c r="A280" i="9"/>
  <c r="R279" i="9"/>
  <c r="Q279" i="9"/>
  <c r="P279" i="9"/>
  <c r="M279" i="9"/>
  <c r="G279" i="9"/>
  <c r="F279" i="9"/>
  <c r="B279" i="9"/>
  <c r="C279" i="9" s="1"/>
  <c r="A279" i="9"/>
  <c r="R278" i="9"/>
  <c r="Q278" i="9"/>
  <c r="P278" i="9"/>
  <c r="M278" i="9"/>
  <c r="G278" i="9"/>
  <c r="F278" i="9"/>
  <c r="C278" i="9"/>
  <c r="B278" i="9"/>
  <c r="A278" i="9"/>
  <c r="R277" i="9"/>
  <c r="Q277" i="9"/>
  <c r="P277" i="9"/>
  <c r="M277" i="9"/>
  <c r="G277" i="9"/>
  <c r="F277" i="9"/>
  <c r="B277" i="9"/>
  <c r="A277" i="9"/>
  <c r="R276" i="9"/>
  <c r="Q276" i="9"/>
  <c r="P276" i="9"/>
  <c r="M276" i="9"/>
  <c r="G276" i="9"/>
  <c r="F276" i="9"/>
  <c r="B276" i="9"/>
  <c r="A276" i="9"/>
  <c r="R275" i="9"/>
  <c r="Q275" i="9"/>
  <c r="P275" i="9"/>
  <c r="M275" i="9"/>
  <c r="G275" i="9"/>
  <c r="F275" i="9"/>
  <c r="B275" i="9"/>
  <c r="C275" i="9" s="1"/>
  <c r="A275" i="9"/>
  <c r="R274" i="9"/>
  <c r="Q274" i="9"/>
  <c r="P274" i="9"/>
  <c r="M274" i="9"/>
  <c r="G274" i="9"/>
  <c r="F274" i="9"/>
  <c r="C274" i="9"/>
  <c r="B274" i="9"/>
  <c r="A274" i="9"/>
  <c r="R273" i="9"/>
  <c r="Q273" i="9"/>
  <c r="P273" i="9"/>
  <c r="M273" i="9"/>
  <c r="G273" i="9"/>
  <c r="F273" i="9"/>
  <c r="C273" i="9"/>
  <c r="B273" i="9"/>
  <c r="A273" i="9"/>
  <c r="R272" i="9"/>
  <c r="Q272" i="9"/>
  <c r="P272" i="9"/>
  <c r="M272" i="9"/>
  <c r="G272" i="9"/>
  <c r="F272" i="9"/>
  <c r="B272" i="9"/>
  <c r="C272" i="9" s="1"/>
  <c r="A272" i="9"/>
  <c r="R271" i="9"/>
  <c r="Q271" i="9"/>
  <c r="P271" i="9"/>
  <c r="M271" i="9"/>
  <c r="G271" i="9"/>
  <c r="F271" i="9"/>
  <c r="B271" i="9"/>
  <c r="C271" i="9" s="1"/>
  <c r="A271" i="9"/>
  <c r="R270" i="9"/>
  <c r="Q270" i="9"/>
  <c r="P270" i="9"/>
  <c r="M270" i="9"/>
  <c r="G270" i="9"/>
  <c r="F270" i="9"/>
  <c r="C270" i="9"/>
  <c r="B270" i="9"/>
  <c r="A270" i="9"/>
  <c r="R269" i="9"/>
  <c r="Q269" i="9"/>
  <c r="P269" i="9"/>
  <c r="M269" i="9"/>
  <c r="G269" i="9"/>
  <c r="F269" i="9"/>
  <c r="B269" i="9"/>
  <c r="A269" i="9"/>
  <c r="R268" i="9"/>
  <c r="Q268" i="9"/>
  <c r="P268" i="9"/>
  <c r="M268" i="9"/>
  <c r="G268" i="9"/>
  <c r="F268" i="9"/>
  <c r="B268" i="9"/>
  <c r="A268" i="9"/>
  <c r="R267" i="9"/>
  <c r="Q267" i="9"/>
  <c r="P267" i="9"/>
  <c r="M267" i="9"/>
  <c r="G267" i="9"/>
  <c r="F267" i="9"/>
  <c r="B267" i="9"/>
  <c r="C267" i="9" s="1"/>
  <c r="A267" i="9"/>
  <c r="R266" i="9"/>
  <c r="Q266" i="9"/>
  <c r="P266" i="9"/>
  <c r="M266" i="9"/>
  <c r="G266" i="9"/>
  <c r="F266" i="9"/>
  <c r="C266" i="9"/>
  <c r="B266" i="9"/>
  <c r="A266" i="9"/>
  <c r="R265" i="9"/>
  <c r="Q265" i="9"/>
  <c r="P265" i="9"/>
  <c r="M265" i="9"/>
  <c r="G265" i="9"/>
  <c r="F265" i="9"/>
  <c r="C265" i="9"/>
  <c r="B265" i="9"/>
  <c r="A265" i="9"/>
  <c r="R264" i="9"/>
  <c r="Q264" i="9"/>
  <c r="P264" i="9"/>
  <c r="M264" i="9"/>
  <c r="G264" i="9"/>
  <c r="F264" i="9"/>
  <c r="B264" i="9"/>
  <c r="C264" i="9" s="1"/>
  <c r="A264" i="9"/>
  <c r="R263" i="9"/>
  <c r="Q263" i="9"/>
  <c r="P263" i="9"/>
  <c r="M263" i="9"/>
  <c r="G263" i="9"/>
  <c r="F263" i="9"/>
  <c r="B263" i="9"/>
  <c r="C263" i="9" s="1"/>
  <c r="A263" i="9"/>
  <c r="R262" i="9"/>
  <c r="Q262" i="9"/>
  <c r="P262" i="9"/>
  <c r="M262" i="9"/>
  <c r="G262" i="9"/>
  <c r="F262" i="9"/>
  <c r="C262" i="9"/>
  <c r="B262" i="9"/>
  <c r="A262" i="9"/>
  <c r="R261" i="9"/>
  <c r="Q261" i="9"/>
  <c r="P261" i="9"/>
  <c r="M261" i="9"/>
  <c r="G261" i="9"/>
  <c r="F261" i="9"/>
  <c r="B261" i="9"/>
  <c r="A261" i="9"/>
  <c r="R260" i="9"/>
  <c r="Q260" i="9"/>
  <c r="P260" i="9"/>
  <c r="M260" i="9"/>
  <c r="G260" i="9"/>
  <c r="F260" i="9"/>
  <c r="B260" i="9"/>
  <c r="A260" i="9"/>
  <c r="R259" i="9"/>
  <c r="Q259" i="9"/>
  <c r="P259" i="9"/>
  <c r="M259" i="9"/>
  <c r="G259" i="9"/>
  <c r="F259" i="9"/>
  <c r="B259" i="9"/>
  <c r="A259" i="9"/>
  <c r="R258" i="9"/>
  <c r="Q258" i="9"/>
  <c r="P258" i="9"/>
  <c r="M258" i="9"/>
  <c r="G258" i="9"/>
  <c r="F258" i="9"/>
  <c r="B258" i="9"/>
  <c r="A258" i="9"/>
  <c r="R257" i="9"/>
  <c r="Q257" i="9"/>
  <c r="P257" i="9"/>
  <c r="M257" i="9"/>
  <c r="G257" i="9"/>
  <c r="F257" i="9"/>
  <c r="C257" i="9"/>
  <c r="B257" i="9"/>
  <c r="A257" i="9"/>
  <c r="R256" i="9"/>
  <c r="Q256" i="9"/>
  <c r="P256" i="9"/>
  <c r="M256" i="9"/>
  <c r="G256" i="9"/>
  <c r="F256" i="9"/>
  <c r="B256" i="9"/>
  <c r="C256" i="9" s="1"/>
  <c r="A256" i="9"/>
  <c r="R255" i="9"/>
  <c r="Q255" i="9"/>
  <c r="P255" i="9"/>
  <c r="M255" i="9"/>
  <c r="G255" i="9"/>
  <c r="F255" i="9"/>
  <c r="B255" i="9"/>
  <c r="C255" i="9" s="1"/>
  <c r="A255" i="9"/>
  <c r="R254" i="9"/>
  <c r="Q254" i="9"/>
  <c r="P254" i="9"/>
  <c r="M254" i="9"/>
  <c r="G254" i="9"/>
  <c r="F254" i="9"/>
  <c r="C254" i="9"/>
  <c r="B254" i="9"/>
  <c r="A254" i="9"/>
  <c r="R253" i="9"/>
  <c r="Q253" i="9"/>
  <c r="P253" i="9"/>
  <c r="M253" i="9"/>
  <c r="G253" i="9"/>
  <c r="F253" i="9"/>
  <c r="B253" i="9"/>
  <c r="A253" i="9"/>
  <c r="R252" i="9"/>
  <c r="Q252" i="9"/>
  <c r="P252" i="9"/>
  <c r="M252" i="9"/>
  <c r="G252" i="9"/>
  <c r="F252" i="9"/>
  <c r="B252" i="9"/>
  <c r="A252" i="9"/>
  <c r="R251" i="9"/>
  <c r="Q251" i="9"/>
  <c r="P251" i="9"/>
  <c r="M251" i="9"/>
  <c r="G251" i="9"/>
  <c r="F251" i="9"/>
  <c r="B251" i="9"/>
  <c r="A251" i="9"/>
  <c r="R250" i="9"/>
  <c r="Q250" i="9"/>
  <c r="P250" i="9"/>
  <c r="M250" i="9"/>
  <c r="G250" i="9"/>
  <c r="F250" i="9"/>
  <c r="B250" i="9"/>
  <c r="A250" i="9"/>
  <c r="R249" i="9"/>
  <c r="Q249" i="9"/>
  <c r="P249" i="9"/>
  <c r="M249" i="9"/>
  <c r="G249" i="9"/>
  <c r="F249" i="9"/>
  <c r="B249" i="9"/>
  <c r="A249" i="9"/>
  <c r="R248" i="9"/>
  <c r="Q248" i="9"/>
  <c r="P248" i="9"/>
  <c r="M248" i="9"/>
  <c r="G248" i="9"/>
  <c r="F248" i="9"/>
  <c r="B248" i="9"/>
  <c r="C248" i="9" s="1"/>
  <c r="A248" i="9"/>
  <c r="R247" i="9"/>
  <c r="Q247" i="9"/>
  <c r="P247" i="9"/>
  <c r="M247" i="9"/>
  <c r="G247" i="9"/>
  <c r="F247" i="9"/>
  <c r="B247" i="9"/>
  <c r="C247" i="9" s="1"/>
  <c r="A247" i="9"/>
  <c r="R246" i="9"/>
  <c r="Q246" i="9"/>
  <c r="P246" i="9"/>
  <c r="M246" i="9"/>
  <c r="G246" i="9"/>
  <c r="F246" i="9"/>
  <c r="C246" i="9"/>
  <c r="B246" i="9"/>
  <c r="A246" i="9"/>
  <c r="R245" i="9"/>
  <c r="Q245" i="9"/>
  <c r="P245" i="9"/>
  <c r="M245" i="9"/>
  <c r="G245" i="9"/>
  <c r="F245" i="9"/>
  <c r="B245" i="9"/>
  <c r="A245" i="9"/>
  <c r="R244" i="9"/>
  <c r="Q244" i="9"/>
  <c r="P244" i="9"/>
  <c r="M244" i="9"/>
  <c r="G244" i="9"/>
  <c r="F244" i="9"/>
  <c r="C244" i="9"/>
  <c r="B244" i="9"/>
  <c r="A244" i="9"/>
  <c r="R243" i="9"/>
  <c r="Q243" i="9"/>
  <c r="P243" i="9"/>
  <c r="M243" i="9"/>
  <c r="G243" i="9"/>
  <c r="F243" i="9"/>
  <c r="B243" i="9"/>
  <c r="A243" i="9"/>
  <c r="R242" i="9"/>
  <c r="Q242" i="9"/>
  <c r="P242" i="9"/>
  <c r="M242" i="9"/>
  <c r="G242" i="9"/>
  <c r="F242" i="9"/>
  <c r="C242" i="9"/>
  <c r="B242" i="9"/>
  <c r="A242" i="9"/>
  <c r="R241" i="9"/>
  <c r="Q241" i="9"/>
  <c r="P241" i="9"/>
  <c r="M241" i="9"/>
  <c r="G241" i="9"/>
  <c r="F241" i="9"/>
  <c r="B241" i="9"/>
  <c r="A241" i="9"/>
  <c r="R240" i="9"/>
  <c r="Q240" i="9"/>
  <c r="P240" i="9"/>
  <c r="M240" i="9"/>
  <c r="G240" i="9"/>
  <c r="F240" i="9"/>
  <c r="B240" i="9"/>
  <c r="A240" i="9"/>
  <c r="R239" i="9"/>
  <c r="Q239" i="9"/>
  <c r="P239" i="9"/>
  <c r="M239" i="9"/>
  <c r="G239" i="9"/>
  <c r="F239" i="9"/>
  <c r="B239" i="9"/>
  <c r="A239" i="9"/>
  <c r="R238" i="9"/>
  <c r="Q238" i="9"/>
  <c r="P238" i="9"/>
  <c r="M238" i="9"/>
  <c r="G238" i="9"/>
  <c r="F238" i="9"/>
  <c r="C238" i="9"/>
  <c r="B238" i="9"/>
  <c r="A238" i="9"/>
  <c r="R237" i="9"/>
  <c r="Q237" i="9"/>
  <c r="P237" i="9"/>
  <c r="M237" i="9"/>
  <c r="G237" i="9"/>
  <c r="F237" i="9"/>
  <c r="C237" i="9"/>
  <c r="B237" i="9"/>
  <c r="A237" i="9"/>
  <c r="R236" i="9"/>
  <c r="Q236" i="9"/>
  <c r="P236" i="9"/>
  <c r="M236" i="9"/>
  <c r="G236" i="9"/>
  <c r="F236" i="9"/>
  <c r="B236" i="9"/>
  <c r="A236" i="9"/>
  <c r="R235" i="9"/>
  <c r="Q235" i="9"/>
  <c r="P235" i="9"/>
  <c r="M235" i="9"/>
  <c r="G235" i="9"/>
  <c r="F235" i="9"/>
  <c r="B235" i="9"/>
  <c r="C235" i="9" s="1"/>
  <c r="A235" i="9"/>
  <c r="R234" i="9"/>
  <c r="Q234" i="9"/>
  <c r="P234" i="9"/>
  <c r="M234" i="9"/>
  <c r="G234" i="9"/>
  <c r="F234" i="9"/>
  <c r="C234" i="9"/>
  <c r="B234" i="9"/>
  <c r="A234" i="9"/>
  <c r="R233" i="9"/>
  <c r="Q233" i="9"/>
  <c r="P233" i="9"/>
  <c r="M233" i="9"/>
  <c r="G233" i="9"/>
  <c r="F233" i="9"/>
  <c r="C233" i="9"/>
  <c r="B233" i="9"/>
  <c r="A233" i="9"/>
  <c r="R232" i="9"/>
  <c r="Q232" i="9"/>
  <c r="P232" i="9"/>
  <c r="M232" i="9"/>
  <c r="G232" i="9"/>
  <c r="F232" i="9"/>
  <c r="B232" i="9"/>
  <c r="C232" i="9" s="1"/>
  <c r="A232" i="9"/>
  <c r="R231" i="9"/>
  <c r="Q231" i="9"/>
  <c r="P231" i="9"/>
  <c r="M231" i="9"/>
  <c r="G231" i="9"/>
  <c r="F231" i="9"/>
  <c r="C231" i="9"/>
  <c r="B231" i="9"/>
  <c r="A231" i="9"/>
  <c r="R230" i="9"/>
  <c r="Q230" i="9"/>
  <c r="P230" i="9"/>
  <c r="M230" i="9"/>
  <c r="G230" i="9"/>
  <c r="F230" i="9"/>
  <c r="C230" i="9"/>
  <c r="B230" i="9"/>
  <c r="A230" i="9"/>
  <c r="R229" i="9"/>
  <c r="Q229" i="9"/>
  <c r="P229" i="9"/>
  <c r="M229" i="9"/>
  <c r="G229" i="9"/>
  <c r="F229" i="9"/>
  <c r="B229" i="9"/>
  <c r="A229" i="9"/>
  <c r="R228" i="9"/>
  <c r="Q228" i="9"/>
  <c r="P228" i="9"/>
  <c r="M228" i="9"/>
  <c r="G228" i="9"/>
  <c r="F228" i="9"/>
  <c r="B228" i="9"/>
  <c r="A228" i="9"/>
  <c r="R227" i="9"/>
  <c r="Q227" i="9"/>
  <c r="P227" i="9"/>
  <c r="M227" i="9"/>
  <c r="G227" i="9"/>
  <c r="F227" i="9"/>
  <c r="C227" i="9"/>
  <c r="B227" i="9"/>
  <c r="A227" i="9"/>
  <c r="R226" i="9"/>
  <c r="Q226" i="9"/>
  <c r="P226" i="9"/>
  <c r="M226" i="9"/>
  <c r="G226" i="9"/>
  <c r="F226" i="9"/>
  <c r="C226" i="9"/>
  <c r="B226" i="9"/>
  <c r="A226" i="9"/>
  <c r="R225" i="9"/>
  <c r="Q225" i="9"/>
  <c r="P225" i="9"/>
  <c r="M225" i="9"/>
  <c r="G225" i="9"/>
  <c r="F225" i="9"/>
  <c r="B225" i="9"/>
  <c r="A225" i="9"/>
  <c r="R224" i="9"/>
  <c r="Q224" i="9"/>
  <c r="P224" i="9"/>
  <c r="M224" i="9"/>
  <c r="G224" i="9"/>
  <c r="F224" i="9"/>
  <c r="B224" i="9"/>
  <c r="A224" i="9"/>
  <c r="R223" i="9"/>
  <c r="Q223" i="9"/>
  <c r="P223" i="9"/>
  <c r="M223" i="9"/>
  <c r="G223" i="9"/>
  <c r="F223" i="9"/>
  <c r="B223" i="9"/>
  <c r="A223" i="9"/>
  <c r="R222" i="9"/>
  <c r="Q222" i="9"/>
  <c r="P222" i="9"/>
  <c r="M222" i="9"/>
  <c r="G222" i="9"/>
  <c r="F222" i="9"/>
  <c r="C222" i="9"/>
  <c r="B222" i="9"/>
  <c r="A222" i="9"/>
  <c r="R221" i="9"/>
  <c r="Q221" i="9"/>
  <c r="P221" i="9"/>
  <c r="M221" i="9"/>
  <c r="G221" i="9"/>
  <c r="F221" i="9"/>
  <c r="C221" i="9"/>
  <c r="B221" i="9"/>
  <c r="A221" i="9"/>
  <c r="R220" i="9"/>
  <c r="Q220" i="9"/>
  <c r="P220" i="9"/>
  <c r="M220" i="9"/>
  <c r="G220" i="9"/>
  <c r="F220" i="9"/>
  <c r="B220" i="9"/>
  <c r="A220" i="9"/>
  <c r="R219" i="9"/>
  <c r="Q219" i="9"/>
  <c r="P219" i="9"/>
  <c r="M219" i="9"/>
  <c r="G219" i="9"/>
  <c r="F219" i="9"/>
  <c r="B219" i="9"/>
  <c r="C219" i="9" s="1"/>
  <c r="A219" i="9"/>
  <c r="R218" i="9"/>
  <c r="Q218" i="9"/>
  <c r="P218" i="9"/>
  <c r="M218" i="9"/>
  <c r="G218" i="9"/>
  <c r="F218" i="9"/>
  <c r="C218" i="9"/>
  <c r="B218" i="9"/>
  <c r="A218" i="9"/>
  <c r="R217" i="9"/>
  <c r="Q217" i="9"/>
  <c r="P217" i="9"/>
  <c r="M217" i="9"/>
  <c r="G217" i="9"/>
  <c r="F217" i="9"/>
  <c r="C217" i="9"/>
  <c r="B217" i="9"/>
  <c r="A217" i="9"/>
  <c r="R216" i="9"/>
  <c r="Q216" i="9"/>
  <c r="P216" i="9"/>
  <c r="M216" i="9"/>
  <c r="G216" i="9"/>
  <c r="F216" i="9"/>
  <c r="B216" i="9"/>
  <c r="C216" i="9" s="1"/>
  <c r="A216" i="9"/>
  <c r="R215" i="9"/>
  <c r="Q215" i="9"/>
  <c r="P215" i="9"/>
  <c r="M215" i="9"/>
  <c r="G215" i="9"/>
  <c r="F215" i="9"/>
  <c r="C215" i="9"/>
  <c r="B215" i="9"/>
  <c r="A215" i="9"/>
  <c r="R214" i="9"/>
  <c r="Q214" i="9"/>
  <c r="P214" i="9"/>
  <c r="M214" i="9"/>
  <c r="G214" i="9"/>
  <c r="F214" i="9"/>
  <c r="C214" i="9"/>
  <c r="B214" i="9"/>
  <c r="A214" i="9"/>
  <c r="R213" i="9"/>
  <c r="Q213" i="9"/>
  <c r="P213" i="9"/>
  <c r="M213" i="9"/>
  <c r="G213" i="9"/>
  <c r="F213" i="9"/>
  <c r="B213" i="9"/>
  <c r="A213" i="9"/>
  <c r="R212" i="9"/>
  <c r="Q212" i="9"/>
  <c r="P212" i="9"/>
  <c r="M212" i="9"/>
  <c r="G212" i="9"/>
  <c r="F212" i="9"/>
  <c r="B212" i="9"/>
  <c r="A212" i="9"/>
  <c r="R211" i="9"/>
  <c r="Q211" i="9"/>
  <c r="P211" i="9"/>
  <c r="M211" i="9"/>
  <c r="G211" i="9"/>
  <c r="F211" i="9"/>
  <c r="C211" i="9"/>
  <c r="B211" i="9"/>
  <c r="A211" i="9"/>
  <c r="R210" i="9"/>
  <c r="Q210" i="9"/>
  <c r="P210" i="9"/>
  <c r="M210" i="9"/>
  <c r="G210" i="9"/>
  <c r="F210" i="9"/>
  <c r="C210" i="9"/>
  <c r="B210" i="9"/>
  <c r="A210" i="9"/>
  <c r="R209" i="9"/>
  <c r="Q209" i="9"/>
  <c r="P209" i="9"/>
  <c r="M209" i="9"/>
  <c r="G209" i="9"/>
  <c r="F209" i="9"/>
  <c r="B209" i="9"/>
  <c r="A209" i="9"/>
  <c r="R208" i="9"/>
  <c r="Q208" i="9"/>
  <c r="P208" i="9"/>
  <c r="M208" i="9"/>
  <c r="G208" i="9"/>
  <c r="F208" i="9"/>
  <c r="B208" i="9"/>
  <c r="A208" i="9"/>
  <c r="R207" i="9"/>
  <c r="Q207" i="9"/>
  <c r="P207" i="9"/>
  <c r="M207" i="9"/>
  <c r="G207" i="9"/>
  <c r="F207" i="9"/>
  <c r="B207" i="9"/>
  <c r="A207" i="9"/>
  <c r="R206" i="9"/>
  <c r="Q206" i="9"/>
  <c r="P206" i="9"/>
  <c r="M206" i="9"/>
  <c r="G206" i="9"/>
  <c r="F206" i="9"/>
  <c r="C206" i="9"/>
  <c r="B206" i="9"/>
  <c r="A206" i="9"/>
  <c r="R205" i="9"/>
  <c r="Q205" i="9"/>
  <c r="P205" i="9"/>
  <c r="M205" i="9"/>
  <c r="G205" i="9"/>
  <c r="F205" i="9"/>
  <c r="C205" i="9"/>
  <c r="B205" i="9"/>
  <c r="A205" i="9"/>
  <c r="R204" i="9"/>
  <c r="Q204" i="9"/>
  <c r="P204" i="9"/>
  <c r="M204" i="9"/>
  <c r="G204" i="9"/>
  <c r="F204" i="9"/>
  <c r="B204" i="9"/>
  <c r="A204" i="9"/>
  <c r="R203" i="9"/>
  <c r="Q203" i="9"/>
  <c r="P203" i="9"/>
  <c r="M203" i="9"/>
  <c r="G203" i="9"/>
  <c r="F203" i="9"/>
  <c r="B203" i="9"/>
  <c r="C203" i="9" s="1"/>
  <c r="A203" i="9"/>
  <c r="R202" i="9"/>
  <c r="Q202" i="9"/>
  <c r="P202" i="9"/>
  <c r="M202" i="9"/>
  <c r="G202" i="9"/>
  <c r="F202" i="9"/>
  <c r="C202" i="9"/>
  <c r="B202" i="9"/>
  <c r="A202" i="9"/>
  <c r="R201" i="9"/>
  <c r="Q201" i="9"/>
  <c r="P201" i="9"/>
  <c r="M201" i="9"/>
  <c r="G201" i="9"/>
  <c r="F201" i="9"/>
  <c r="C201" i="9"/>
  <c r="B201" i="9"/>
  <c r="A201" i="9"/>
  <c r="R200" i="9"/>
  <c r="Q200" i="9"/>
  <c r="P200" i="9"/>
  <c r="M200" i="9"/>
  <c r="G200" i="9"/>
  <c r="F200" i="9"/>
  <c r="B200" i="9"/>
  <c r="C200" i="9" s="1"/>
  <c r="A200" i="9"/>
  <c r="R199" i="9"/>
  <c r="Q199" i="9"/>
  <c r="P199" i="9"/>
  <c r="M199" i="9"/>
  <c r="G199" i="9"/>
  <c r="F199" i="9"/>
  <c r="C199" i="9"/>
  <c r="B199" i="9"/>
  <c r="A199" i="9"/>
  <c r="R198" i="9"/>
  <c r="Q198" i="9"/>
  <c r="P198" i="9"/>
  <c r="M198" i="9"/>
  <c r="G198" i="9"/>
  <c r="F198" i="9"/>
  <c r="C198" i="9"/>
  <c r="B198" i="9"/>
  <c r="A198" i="9"/>
  <c r="R197" i="9"/>
  <c r="Q197" i="9"/>
  <c r="P197" i="9"/>
  <c r="M197" i="9"/>
  <c r="G197" i="9"/>
  <c r="F197" i="9"/>
  <c r="B197" i="9"/>
  <c r="A197" i="9"/>
  <c r="R196" i="9"/>
  <c r="Q196" i="9"/>
  <c r="P196" i="9"/>
  <c r="M196" i="9"/>
  <c r="G196" i="9"/>
  <c r="F196" i="9"/>
  <c r="B196" i="9"/>
  <c r="A196" i="9"/>
  <c r="R195" i="9"/>
  <c r="Q195" i="9"/>
  <c r="P195" i="9"/>
  <c r="M195" i="9"/>
  <c r="G195" i="9"/>
  <c r="F195" i="9"/>
  <c r="C195" i="9"/>
  <c r="B195" i="9"/>
  <c r="A195" i="9"/>
  <c r="R194" i="9"/>
  <c r="Q194" i="9"/>
  <c r="P194" i="9"/>
  <c r="M194" i="9"/>
  <c r="G194" i="9"/>
  <c r="F194" i="9"/>
  <c r="C194" i="9"/>
  <c r="B194" i="9"/>
  <c r="A194" i="9"/>
  <c r="R193" i="9"/>
  <c r="Q193" i="9"/>
  <c r="P193" i="9"/>
  <c r="M193" i="9"/>
  <c r="G193" i="9"/>
  <c r="F193" i="9"/>
  <c r="B193" i="9"/>
  <c r="A193" i="9"/>
  <c r="R192" i="9"/>
  <c r="Q192" i="9"/>
  <c r="P192" i="9"/>
  <c r="M192" i="9"/>
  <c r="G192" i="9"/>
  <c r="F192" i="9"/>
  <c r="B192" i="9"/>
  <c r="A192" i="9"/>
  <c r="R191" i="9"/>
  <c r="Q191" i="9"/>
  <c r="P191" i="9"/>
  <c r="M191" i="9"/>
  <c r="G191" i="9"/>
  <c r="F191" i="9"/>
  <c r="B191" i="9"/>
  <c r="A191" i="9"/>
  <c r="R190" i="9"/>
  <c r="Q190" i="9"/>
  <c r="P190" i="9"/>
  <c r="M190" i="9"/>
  <c r="G190" i="9"/>
  <c r="F190" i="9"/>
  <c r="C190" i="9"/>
  <c r="B190" i="9"/>
  <c r="A190" i="9"/>
  <c r="R189" i="9"/>
  <c r="Q189" i="9"/>
  <c r="P189" i="9"/>
  <c r="M189" i="9"/>
  <c r="G189" i="9"/>
  <c r="F189" i="9"/>
  <c r="C189" i="9"/>
  <c r="B189" i="9"/>
  <c r="A189" i="9"/>
  <c r="R188" i="9"/>
  <c r="Q188" i="9"/>
  <c r="P188" i="9"/>
  <c r="M188" i="9"/>
  <c r="G188" i="9"/>
  <c r="F188" i="9"/>
  <c r="B188" i="9"/>
  <c r="A188" i="9"/>
  <c r="R187" i="9"/>
  <c r="Q187" i="9"/>
  <c r="P187" i="9"/>
  <c r="M187" i="9"/>
  <c r="G187" i="9"/>
  <c r="F187" i="9"/>
  <c r="B187" i="9"/>
  <c r="C187" i="9" s="1"/>
  <c r="A187" i="9"/>
  <c r="R186" i="9"/>
  <c r="Q186" i="9"/>
  <c r="P186" i="9"/>
  <c r="M186" i="9"/>
  <c r="G186" i="9"/>
  <c r="F186" i="9"/>
  <c r="C186" i="9"/>
  <c r="B186" i="9"/>
  <c r="A186" i="9"/>
  <c r="R185" i="9"/>
  <c r="Q185" i="9"/>
  <c r="P185" i="9"/>
  <c r="M185" i="9"/>
  <c r="G185" i="9"/>
  <c r="F185" i="9"/>
  <c r="C185" i="9"/>
  <c r="B185" i="9"/>
  <c r="A185" i="9"/>
  <c r="R184" i="9"/>
  <c r="Q184" i="9"/>
  <c r="P184" i="9"/>
  <c r="M184" i="9"/>
  <c r="G184" i="9"/>
  <c r="F184" i="9"/>
  <c r="B184" i="9"/>
  <c r="C184" i="9" s="1"/>
  <c r="A184" i="9"/>
  <c r="R183" i="9"/>
  <c r="Q183" i="9"/>
  <c r="P183" i="9"/>
  <c r="M183" i="9"/>
  <c r="G183" i="9"/>
  <c r="F183" i="9"/>
  <c r="C183" i="9"/>
  <c r="B183" i="9"/>
  <c r="A183" i="9"/>
  <c r="R182" i="9"/>
  <c r="Q182" i="9"/>
  <c r="P182" i="9"/>
  <c r="M182" i="9"/>
  <c r="G182" i="9"/>
  <c r="F182" i="9"/>
  <c r="C182" i="9"/>
  <c r="B182" i="9"/>
  <c r="A182" i="9"/>
  <c r="R181" i="9"/>
  <c r="Q181" i="9"/>
  <c r="P181" i="9"/>
  <c r="M181" i="9"/>
  <c r="G181" i="9"/>
  <c r="F181" i="9"/>
  <c r="B181" i="9"/>
  <c r="A181" i="9"/>
  <c r="R180" i="9"/>
  <c r="Q180" i="9"/>
  <c r="P180" i="9"/>
  <c r="M180" i="9"/>
  <c r="G180" i="9"/>
  <c r="F180" i="9"/>
  <c r="B180" i="9"/>
  <c r="A180" i="9"/>
  <c r="R179" i="9"/>
  <c r="Q179" i="9"/>
  <c r="P179" i="9"/>
  <c r="M179" i="9"/>
  <c r="G179" i="9"/>
  <c r="F179" i="9"/>
  <c r="C179" i="9"/>
  <c r="B179" i="9"/>
  <c r="A179" i="9"/>
  <c r="R178" i="9"/>
  <c r="Q178" i="9"/>
  <c r="P178" i="9"/>
  <c r="M178" i="9"/>
  <c r="G178" i="9"/>
  <c r="F178" i="9"/>
  <c r="C178" i="9"/>
  <c r="B178" i="9"/>
  <c r="A178" i="9"/>
  <c r="R177" i="9"/>
  <c r="Q177" i="9"/>
  <c r="P177" i="9"/>
  <c r="M177" i="9"/>
  <c r="G177" i="9"/>
  <c r="F177" i="9"/>
  <c r="B177" i="9"/>
  <c r="A177" i="9"/>
  <c r="R176" i="9"/>
  <c r="Q176" i="9"/>
  <c r="P176" i="9"/>
  <c r="M176" i="9"/>
  <c r="G176" i="9"/>
  <c r="F176" i="9"/>
  <c r="B176" i="9"/>
  <c r="A176" i="9"/>
  <c r="R175" i="9"/>
  <c r="Q175" i="9"/>
  <c r="P175" i="9"/>
  <c r="M175" i="9"/>
  <c r="G175" i="9"/>
  <c r="F175" i="9"/>
  <c r="C175" i="9"/>
  <c r="B175" i="9"/>
  <c r="A175" i="9"/>
  <c r="R174" i="9"/>
  <c r="Q174" i="9"/>
  <c r="P174" i="9"/>
  <c r="M174" i="9"/>
  <c r="G174" i="9"/>
  <c r="F174" i="9"/>
  <c r="C174" i="9"/>
  <c r="B174" i="9"/>
  <c r="A174" i="9"/>
  <c r="R173" i="9"/>
  <c r="Q173" i="9"/>
  <c r="P173" i="9"/>
  <c r="M173" i="9"/>
  <c r="G173" i="9"/>
  <c r="F173" i="9"/>
  <c r="C173" i="9"/>
  <c r="B173" i="9"/>
  <c r="A173" i="9"/>
  <c r="R172" i="9"/>
  <c r="Q172" i="9"/>
  <c r="P172" i="9"/>
  <c r="M172" i="9"/>
  <c r="G172" i="9"/>
  <c r="F172" i="9"/>
  <c r="B172" i="9"/>
  <c r="A172" i="9"/>
  <c r="R171" i="9"/>
  <c r="Q171" i="9"/>
  <c r="P171" i="9"/>
  <c r="M171" i="9"/>
  <c r="G171" i="9"/>
  <c r="F171" i="9"/>
  <c r="B171" i="9"/>
  <c r="C171" i="9" s="1"/>
  <c r="A171" i="9"/>
  <c r="R170" i="9"/>
  <c r="Q170" i="9"/>
  <c r="P170" i="9"/>
  <c r="M170" i="9"/>
  <c r="G170" i="9"/>
  <c r="F170" i="9"/>
  <c r="C170" i="9"/>
  <c r="B170" i="9"/>
  <c r="A170" i="9"/>
  <c r="R169" i="9"/>
  <c r="Q169" i="9"/>
  <c r="P169" i="9"/>
  <c r="M169" i="9"/>
  <c r="G169" i="9"/>
  <c r="F169" i="9"/>
  <c r="C169" i="9"/>
  <c r="B169" i="9"/>
  <c r="A169" i="9"/>
  <c r="R168" i="9"/>
  <c r="Q168" i="9"/>
  <c r="P168" i="9"/>
  <c r="M168" i="9"/>
  <c r="G168" i="9"/>
  <c r="F168" i="9"/>
  <c r="B168" i="9"/>
  <c r="C168" i="9" s="1"/>
  <c r="A168" i="9"/>
  <c r="R167" i="9"/>
  <c r="Q167" i="9"/>
  <c r="P167" i="9"/>
  <c r="M167" i="9"/>
  <c r="G167" i="9"/>
  <c r="F167" i="9"/>
  <c r="B167" i="9"/>
  <c r="C167" i="9" s="1"/>
  <c r="A167" i="9"/>
  <c r="R166" i="9"/>
  <c r="Q166" i="9"/>
  <c r="P166" i="9"/>
  <c r="M166" i="9"/>
  <c r="G166" i="9"/>
  <c r="F166" i="9"/>
  <c r="C166" i="9"/>
  <c r="B166" i="9"/>
  <c r="A166" i="9"/>
  <c r="R165" i="9"/>
  <c r="Q165" i="9"/>
  <c r="P165" i="9"/>
  <c r="M165" i="9"/>
  <c r="G165" i="9"/>
  <c r="F165" i="9"/>
  <c r="B165" i="9"/>
  <c r="A165" i="9"/>
  <c r="R164" i="9"/>
  <c r="Q164" i="9"/>
  <c r="P164" i="9"/>
  <c r="M164" i="9"/>
  <c r="G164" i="9"/>
  <c r="F164" i="9"/>
  <c r="B164" i="9"/>
  <c r="A164" i="9"/>
  <c r="R163" i="9"/>
  <c r="Q163" i="9"/>
  <c r="P163" i="9"/>
  <c r="M163" i="9"/>
  <c r="G163" i="9"/>
  <c r="F163" i="9"/>
  <c r="C163" i="9"/>
  <c r="B163" i="9"/>
  <c r="A163" i="9"/>
  <c r="R162" i="9"/>
  <c r="Q162" i="9"/>
  <c r="P162" i="9"/>
  <c r="M162" i="9"/>
  <c r="G162" i="9"/>
  <c r="F162" i="9"/>
  <c r="C162" i="9"/>
  <c r="B162" i="9"/>
  <c r="A162" i="9"/>
  <c r="R161" i="9"/>
  <c r="Q161" i="9"/>
  <c r="P161" i="9"/>
  <c r="M161" i="9"/>
  <c r="G161" i="9"/>
  <c r="F161" i="9"/>
  <c r="B161" i="9"/>
  <c r="A161" i="9"/>
  <c r="R160" i="9"/>
  <c r="Q160" i="9"/>
  <c r="P160" i="9"/>
  <c r="M160" i="9"/>
  <c r="G160" i="9"/>
  <c r="F160" i="9"/>
  <c r="B160" i="9"/>
  <c r="A160" i="9"/>
  <c r="R159" i="9"/>
  <c r="Q159" i="9"/>
  <c r="P159" i="9"/>
  <c r="M159" i="9"/>
  <c r="G159" i="9"/>
  <c r="F159" i="9"/>
  <c r="C159" i="9"/>
  <c r="B159" i="9"/>
  <c r="A159" i="9"/>
  <c r="R158" i="9"/>
  <c r="Q158" i="9"/>
  <c r="P158" i="9"/>
  <c r="M158" i="9"/>
  <c r="G158" i="9"/>
  <c r="F158" i="9"/>
  <c r="C158" i="9"/>
  <c r="B158" i="9"/>
  <c r="A158" i="9"/>
  <c r="R157" i="9"/>
  <c r="Q157" i="9"/>
  <c r="P157" i="9"/>
  <c r="M157" i="9"/>
  <c r="G157" i="9"/>
  <c r="F157" i="9"/>
  <c r="C157" i="9"/>
  <c r="B157" i="9"/>
  <c r="A157" i="9"/>
  <c r="R156" i="9"/>
  <c r="Q156" i="9"/>
  <c r="P156" i="9"/>
  <c r="M156" i="9"/>
  <c r="G156" i="9"/>
  <c r="F156" i="9"/>
  <c r="B156" i="9"/>
  <c r="A156" i="9"/>
  <c r="R155" i="9"/>
  <c r="Q155" i="9"/>
  <c r="P155" i="9"/>
  <c r="M155" i="9"/>
  <c r="G155" i="9"/>
  <c r="F155" i="9"/>
  <c r="B155" i="9"/>
  <c r="C155" i="9" s="1"/>
  <c r="A155" i="9"/>
  <c r="R154" i="9"/>
  <c r="Q154" i="9"/>
  <c r="P154" i="9"/>
  <c r="M154" i="9"/>
  <c r="G154" i="9"/>
  <c r="F154" i="9"/>
  <c r="C154" i="9"/>
  <c r="B154" i="9"/>
  <c r="A154" i="9"/>
  <c r="R153" i="9"/>
  <c r="Q153" i="9"/>
  <c r="P153" i="9"/>
  <c r="M153" i="9"/>
  <c r="G153" i="9"/>
  <c r="F153" i="9"/>
  <c r="C153" i="9"/>
  <c r="B153" i="9"/>
  <c r="A153" i="9"/>
  <c r="R152" i="9"/>
  <c r="Q152" i="9"/>
  <c r="P152" i="9"/>
  <c r="M152" i="9"/>
  <c r="G152" i="9"/>
  <c r="F152" i="9"/>
  <c r="B152" i="9"/>
  <c r="C152" i="9" s="1"/>
  <c r="A152" i="9"/>
  <c r="R151" i="9"/>
  <c r="Q151" i="9"/>
  <c r="P151" i="9"/>
  <c r="M151" i="9"/>
  <c r="G151" i="9"/>
  <c r="F151" i="9"/>
  <c r="B151" i="9"/>
  <c r="C151" i="9" s="1"/>
  <c r="A151" i="9"/>
  <c r="R150" i="9"/>
  <c r="Q150" i="9"/>
  <c r="P150" i="9"/>
  <c r="M150" i="9"/>
  <c r="G150" i="9"/>
  <c r="F150" i="9"/>
  <c r="C150" i="9"/>
  <c r="B150" i="9"/>
  <c r="A150" i="9"/>
  <c r="R149" i="9"/>
  <c r="Q149" i="9"/>
  <c r="P149" i="9"/>
  <c r="M149" i="9"/>
  <c r="G149" i="9"/>
  <c r="F149" i="9"/>
  <c r="B149" i="9"/>
  <c r="A149" i="9"/>
  <c r="R148" i="9"/>
  <c r="Q148" i="9"/>
  <c r="P148" i="9"/>
  <c r="M148" i="9"/>
  <c r="G148" i="9"/>
  <c r="F148" i="9"/>
  <c r="B148" i="9"/>
  <c r="A148" i="9"/>
  <c r="R147" i="9"/>
  <c r="Q147" i="9"/>
  <c r="P147" i="9"/>
  <c r="M147" i="9"/>
  <c r="G147" i="9"/>
  <c r="F147" i="9"/>
  <c r="C147" i="9"/>
  <c r="B147" i="9"/>
  <c r="A147" i="9"/>
  <c r="R146" i="9"/>
  <c r="Q146" i="9"/>
  <c r="P146" i="9"/>
  <c r="M146" i="9"/>
  <c r="G146" i="9"/>
  <c r="F146" i="9"/>
  <c r="C146" i="9"/>
  <c r="B146" i="9"/>
  <c r="A146" i="9"/>
  <c r="R145" i="9"/>
  <c r="Q145" i="9"/>
  <c r="P145" i="9"/>
  <c r="M145" i="9"/>
  <c r="G145" i="9"/>
  <c r="F145" i="9"/>
  <c r="B145" i="9"/>
  <c r="A145" i="9"/>
  <c r="R144" i="9"/>
  <c r="Q144" i="9"/>
  <c r="P144" i="9"/>
  <c r="M144" i="9"/>
  <c r="G144" i="9"/>
  <c r="F144" i="9"/>
  <c r="B144" i="9"/>
  <c r="A144" i="9"/>
  <c r="R143" i="9"/>
  <c r="Q143" i="9"/>
  <c r="P143" i="9"/>
  <c r="M143" i="9"/>
  <c r="G143" i="9"/>
  <c r="F143" i="9"/>
  <c r="C143" i="9"/>
  <c r="B143" i="9"/>
  <c r="A143" i="9"/>
  <c r="R142" i="9"/>
  <c r="Q142" i="9"/>
  <c r="P142" i="9"/>
  <c r="M142" i="9"/>
  <c r="G142" i="9"/>
  <c r="F142" i="9"/>
  <c r="C142" i="9"/>
  <c r="B142" i="9"/>
  <c r="A142" i="9"/>
  <c r="R141" i="9"/>
  <c r="Q141" i="9"/>
  <c r="P141" i="9"/>
  <c r="M141" i="9"/>
  <c r="G141" i="9"/>
  <c r="F141" i="9"/>
  <c r="C141" i="9"/>
  <c r="B141" i="9"/>
  <c r="A141" i="9"/>
  <c r="R140" i="9"/>
  <c r="Q140" i="9"/>
  <c r="P140" i="9"/>
  <c r="M140" i="9"/>
  <c r="G140" i="9"/>
  <c r="F140" i="9"/>
  <c r="B140" i="9"/>
  <c r="A140" i="9"/>
  <c r="R139" i="9"/>
  <c r="Q139" i="9"/>
  <c r="P139" i="9"/>
  <c r="M139" i="9"/>
  <c r="G139" i="9"/>
  <c r="F139" i="9"/>
  <c r="B139" i="9"/>
  <c r="C139" i="9" s="1"/>
  <c r="A139" i="9"/>
  <c r="R138" i="9"/>
  <c r="Q138" i="9"/>
  <c r="P138" i="9"/>
  <c r="M138" i="9"/>
  <c r="G138" i="9"/>
  <c r="F138" i="9"/>
  <c r="C138" i="9"/>
  <c r="B138" i="9"/>
  <c r="A138" i="9"/>
  <c r="R137" i="9"/>
  <c r="Q137" i="9"/>
  <c r="P137" i="9"/>
  <c r="M137" i="9"/>
  <c r="G137" i="9"/>
  <c r="F137" i="9"/>
  <c r="C137" i="9"/>
  <c r="B137" i="9"/>
  <c r="A137" i="9"/>
  <c r="R136" i="9"/>
  <c r="Q136" i="9"/>
  <c r="P136" i="9"/>
  <c r="M136" i="9"/>
  <c r="G136" i="9"/>
  <c r="F136" i="9"/>
  <c r="B136" i="9"/>
  <c r="C136" i="9" s="1"/>
  <c r="A136" i="9"/>
  <c r="R135" i="9"/>
  <c r="Q135" i="9"/>
  <c r="P135" i="9"/>
  <c r="M135" i="9"/>
  <c r="G135" i="9"/>
  <c r="F135" i="9"/>
  <c r="B135" i="9"/>
  <c r="C135" i="9" s="1"/>
  <c r="A135" i="9"/>
  <c r="R134" i="9"/>
  <c r="Q134" i="9"/>
  <c r="P134" i="9"/>
  <c r="M134" i="9"/>
  <c r="G134" i="9"/>
  <c r="F134" i="9"/>
  <c r="C134" i="9"/>
  <c r="B134" i="9"/>
  <c r="A134" i="9"/>
  <c r="R133" i="9"/>
  <c r="Q133" i="9"/>
  <c r="P133" i="9"/>
  <c r="M133" i="9"/>
  <c r="G133" i="9"/>
  <c r="F133" i="9"/>
  <c r="B133" i="9"/>
  <c r="A133" i="9"/>
  <c r="R132" i="9"/>
  <c r="Q132" i="9"/>
  <c r="P132" i="9"/>
  <c r="M132" i="9"/>
  <c r="G132" i="9"/>
  <c r="F132" i="9"/>
  <c r="B132" i="9"/>
  <c r="A132" i="9"/>
  <c r="R131" i="9"/>
  <c r="Q131" i="9"/>
  <c r="P131" i="9"/>
  <c r="M131" i="9"/>
  <c r="G131" i="9"/>
  <c r="F131" i="9"/>
  <c r="C131" i="9"/>
  <c r="B131" i="9"/>
  <c r="A131" i="9"/>
  <c r="R130" i="9"/>
  <c r="Q130" i="9"/>
  <c r="P130" i="9"/>
  <c r="M130" i="9"/>
  <c r="G130" i="9"/>
  <c r="F130" i="9"/>
  <c r="C130" i="9"/>
  <c r="B130" i="9"/>
  <c r="A130" i="9"/>
  <c r="R129" i="9"/>
  <c r="Q129" i="9"/>
  <c r="P129" i="9"/>
  <c r="M129" i="9"/>
  <c r="G129" i="9"/>
  <c r="F129" i="9"/>
  <c r="B129" i="9"/>
  <c r="A129" i="9"/>
  <c r="R128" i="9"/>
  <c r="Q128" i="9"/>
  <c r="P128" i="9"/>
  <c r="M128" i="9"/>
  <c r="G128" i="9"/>
  <c r="F128" i="9"/>
  <c r="B128" i="9"/>
  <c r="A128" i="9"/>
  <c r="R127" i="9"/>
  <c r="Q127" i="9"/>
  <c r="P127" i="9"/>
  <c r="M127" i="9"/>
  <c r="G127" i="9"/>
  <c r="F127" i="9"/>
  <c r="C127" i="9"/>
  <c r="B127" i="9"/>
  <c r="A127" i="9"/>
  <c r="R126" i="9"/>
  <c r="Q126" i="9"/>
  <c r="P126" i="9"/>
  <c r="M126" i="9"/>
  <c r="G126" i="9"/>
  <c r="F126" i="9"/>
  <c r="C126" i="9"/>
  <c r="B126" i="9"/>
  <c r="A126" i="9"/>
  <c r="R125" i="9"/>
  <c r="Q125" i="9"/>
  <c r="P125" i="9"/>
  <c r="M125" i="9"/>
  <c r="G125" i="9"/>
  <c r="F125" i="9"/>
  <c r="C125" i="9"/>
  <c r="B125" i="9"/>
  <c r="A125" i="9"/>
  <c r="R124" i="9"/>
  <c r="Q124" i="9"/>
  <c r="P124" i="9"/>
  <c r="M124" i="9"/>
  <c r="G124" i="9"/>
  <c r="F124" i="9"/>
  <c r="B124" i="9"/>
  <c r="A124" i="9"/>
  <c r="R123" i="9"/>
  <c r="Q123" i="9"/>
  <c r="P123" i="9"/>
  <c r="M123" i="9"/>
  <c r="G123" i="9"/>
  <c r="F123" i="9"/>
  <c r="B123" i="9"/>
  <c r="C123" i="9" s="1"/>
  <c r="A123" i="9"/>
  <c r="R122" i="9"/>
  <c r="Q122" i="9"/>
  <c r="P122" i="9"/>
  <c r="M122" i="9"/>
  <c r="G122" i="9"/>
  <c r="F122" i="9"/>
  <c r="C122" i="9"/>
  <c r="B122" i="9"/>
  <c r="A122" i="9"/>
  <c r="R121" i="9"/>
  <c r="Q121" i="9"/>
  <c r="P121" i="9"/>
  <c r="M121" i="9"/>
  <c r="G121" i="9"/>
  <c r="F121" i="9"/>
  <c r="C121" i="9"/>
  <c r="B121" i="9"/>
  <c r="A121" i="9"/>
  <c r="R120" i="9"/>
  <c r="Q120" i="9"/>
  <c r="P120" i="9"/>
  <c r="M120" i="9"/>
  <c r="G120" i="9"/>
  <c r="F120" i="9"/>
  <c r="B120" i="9"/>
  <c r="C120" i="9" s="1"/>
  <c r="A120" i="9"/>
  <c r="R119" i="9"/>
  <c r="Q119" i="9"/>
  <c r="P119" i="9"/>
  <c r="M119" i="9"/>
  <c r="G119" i="9"/>
  <c r="F119" i="9"/>
  <c r="B119" i="9"/>
  <c r="C119" i="9" s="1"/>
  <c r="A119" i="9"/>
  <c r="R118" i="9"/>
  <c r="Q118" i="9"/>
  <c r="P118" i="9"/>
  <c r="M118" i="9"/>
  <c r="G118" i="9"/>
  <c r="F118" i="9"/>
  <c r="C118" i="9"/>
  <c r="B118" i="9"/>
  <c r="A118" i="9"/>
  <c r="R117" i="9"/>
  <c r="Q117" i="9"/>
  <c r="P117" i="9"/>
  <c r="M117" i="9"/>
  <c r="G117" i="9"/>
  <c r="F117" i="9"/>
  <c r="B117" i="9"/>
  <c r="A117" i="9"/>
  <c r="R116" i="9"/>
  <c r="Q116" i="9"/>
  <c r="P116" i="9"/>
  <c r="M116" i="9"/>
  <c r="G116" i="9"/>
  <c r="F116" i="9"/>
  <c r="B116" i="9"/>
  <c r="A116" i="9"/>
  <c r="R115" i="9"/>
  <c r="Q115" i="9"/>
  <c r="P115" i="9"/>
  <c r="M115" i="9"/>
  <c r="G115" i="9"/>
  <c r="F115" i="9"/>
  <c r="C115" i="9"/>
  <c r="B115" i="9"/>
  <c r="A115" i="9"/>
  <c r="R114" i="9"/>
  <c r="Q114" i="9"/>
  <c r="P114" i="9"/>
  <c r="M114" i="9"/>
  <c r="G114" i="9"/>
  <c r="F114" i="9"/>
  <c r="C114" i="9"/>
  <c r="B114" i="9"/>
  <c r="A114" i="9"/>
  <c r="R113" i="9"/>
  <c r="Q113" i="9"/>
  <c r="P113" i="9"/>
  <c r="M113" i="9"/>
  <c r="G113" i="9"/>
  <c r="F113" i="9"/>
  <c r="B113" i="9"/>
  <c r="A113" i="9"/>
  <c r="R112" i="9"/>
  <c r="Q112" i="9"/>
  <c r="P112" i="9"/>
  <c r="M112" i="9"/>
  <c r="G112" i="9"/>
  <c r="F112" i="9"/>
  <c r="B112" i="9"/>
  <c r="A112" i="9"/>
  <c r="R111" i="9"/>
  <c r="Q111" i="9"/>
  <c r="P111" i="9"/>
  <c r="M111" i="9"/>
  <c r="G111" i="9"/>
  <c r="F111" i="9"/>
  <c r="C111" i="9"/>
  <c r="B111" i="9"/>
  <c r="A111" i="9"/>
  <c r="R110" i="9"/>
  <c r="Q110" i="9"/>
  <c r="P110" i="9"/>
  <c r="M110" i="9"/>
  <c r="G110" i="9"/>
  <c r="F110" i="9"/>
  <c r="C110" i="9"/>
  <c r="B110" i="9"/>
  <c r="A110" i="9"/>
  <c r="R109" i="9"/>
  <c r="Q109" i="9"/>
  <c r="P109" i="9"/>
  <c r="M109" i="9"/>
  <c r="G109" i="9"/>
  <c r="F109" i="9"/>
  <c r="C109" i="9"/>
  <c r="B109" i="9"/>
  <c r="A109" i="9"/>
  <c r="R108" i="9"/>
  <c r="Q108" i="9"/>
  <c r="P108" i="9"/>
  <c r="M108" i="9"/>
  <c r="G108" i="9"/>
  <c r="F108" i="9"/>
  <c r="B108" i="9"/>
  <c r="A108" i="9"/>
  <c r="R107" i="9"/>
  <c r="Q107" i="9"/>
  <c r="P107" i="9"/>
  <c r="M107" i="9"/>
  <c r="G107" i="9"/>
  <c r="F107" i="9"/>
  <c r="B107" i="9"/>
  <c r="C107" i="9" s="1"/>
  <c r="A107" i="9"/>
  <c r="R106" i="9"/>
  <c r="Q106" i="9"/>
  <c r="P106" i="9"/>
  <c r="M106" i="9"/>
  <c r="G106" i="9"/>
  <c r="F106" i="9"/>
  <c r="C106" i="9"/>
  <c r="B106" i="9"/>
  <c r="A106" i="9"/>
  <c r="R105" i="9"/>
  <c r="Q105" i="9"/>
  <c r="P105" i="9"/>
  <c r="M105" i="9"/>
  <c r="G105" i="9"/>
  <c r="F105" i="9"/>
  <c r="C105" i="9"/>
  <c r="B105" i="9"/>
  <c r="A105" i="9"/>
  <c r="R104" i="9"/>
  <c r="Q104" i="9"/>
  <c r="P104" i="9"/>
  <c r="M104" i="9"/>
  <c r="G104" i="9"/>
  <c r="F104" i="9"/>
  <c r="B104" i="9"/>
  <c r="C104" i="9" s="1"/>
  <c r="A104" i="9"/>
  <c r="R103" i="9"/>
  <c r="Q103" i="9"/>
  <c r="P103" i="9"/>
  <c r="M103" i="9"/>
  <c r="G103" i="9"/>
  <c r="F103" i="9"/>
  <c r="B103" i="9"/>
  <c r="C103" i="9" s="1"/>
  <c r="A103" i="9"/>
  <c r="R102" i="9"/>
  <c r="Q102" i="9"/>
  <c r="P102" i="9"/>
  <c r="M102" i="9"/>
  <c r="G102" i="9"/>
  <c r="F102" i="9"/>
  <c r="C102" i="9"/>
  <c r="B102" i="9"/>
  <c r="A102" i="9"/>
  <c r="R101" i="9"/>
  <c r="Q101" i="9"/>
  <c r="P101" i="9"/>
  <c r="M101" i="9"/>
  <c r="G101" i="9"/>
  <c r="F101" i="9"/>
  <c r="B101" i="9"/>
  <c r="A101" i="9"/>
  <c r="R100" i="9"/>
  <c r="Q100" i="9"/>
  <c r="P100" i="9"/>
  <c r="M100" i="9"/>
  <c r="G100" i="9"/>
  <c r="F100" i="9"/>
  <c r="B100" i="9"/>
  <c r="A100" i="9"/>
  <c r="R99" i="9"/>
  <c r="Q99" i="9"/>
  <c r="P99" i="9"/>
  <c r="M99" i="9"/>
  <c r="G99" i="9"/>
  <c r="F99" i="9"/>
  <c r="C99" i="9"/>
  <c r="B99" i="9"/>
  <c r="N99" i="9" s="1"/>
  <c r="A99" i="9"/>
  <c r="R98" i="9"/>
  <c r="Q98" i="9"/>
  <c r="P98" i="9"/>
  <c r="M98" i="9"/>
  <c r="G98" i="9"/>
  <c r="F98" i="9"/>
  <c r="C98" i="9"/>
  <c r="B98" i="9"/>
  <c r="A98" i="9"/>
  <c r="R97" i="9"/>
  <c r="Q97" i="9"/>
  <c r="P97" i="9"/>
  <c r="M97" i="9"/>
  <c r="G97" i="9"/>
  <c r="F97" i="9"/>
  <c r="B97" i="9"/>
  <c r="A97" i="9"/>
  <c r="R96" i="9"/>
  <c r="Q96" i="9"/>
  <c r="P96" i="9"/>
  <c r="M96" i="9"/>
  <c r="G96" i="9"/>
  <c r="F96" i="9"/>
  <c r="B96" i="9"/>
  <c r="A96" i="9"/>
  <c r="R95" i="9"/>
  <c r="Q95" i="9"/>
  <c r="P95" i="9"/>
  <c r="M95" i="9"/>
  <c r="G95" i="9"/>
  <c r="F95" i="9"/>
  <c r="C95" i="9"/>
  <c r="B95" i="9"/>
  <c r="A95" i="9"/>
  <c r="R94" i="9"/>
  <c r="Q94" i="9"/>
  <c r="P94" i="9"/>
  <c r="M94" i="9"/>
  <c r="G94" i="9"/>
  <c r="F94" i="9"/>
  <c r="C94" i="9"/>
  <c r="B94" i="9"/>
  <c r="A94" i="9"/>
  <c r="R93" i="9"/>
  <c r="Q93" i="9"/>
  <c r="P93" i="9"/>
  <c r="M93" i="9"/>
  <c r="G93" i="9"/>
  <c r="F93" i="9"/>
  <c r="C93" i="9"/>
  <c r="B93" i="9"/>
  <c r="A93" i="9"/>
  <c r="R92" i="9"/>
  <c r="Q92" i="9"/>
  <c r="P92" i="9"/>
  <c r="M92" i="9"/>
  <c r="G92" i="9"/>
  <c r="F92" i="9"/>
  <c r="B92" i="9"/>
  <c r="A92" i="9"/>
  <c r="R91" i="9"/>
  <c r="Q91" i="9"/>
  <c r="P91" i="9"/>
  <c r="M91" i="9"/>
  <c r="G91" i="9"/>
  <c r="F91" i="9"/>
  <c r="B91" i="9"/>
  <c r="C91" i="9" s="1"/>
  <c r="A91" i="9"/>
  <c r="R90" i="9"/>
  <c r="Q90" i="9"/>
  <c r="P90" i="9"/>
  <c r="M90" i="9"/>
  <c r="G90" i="9"/>
  <c r="F90" i="9"/>
  <c r="C90" i="9"/>
  <c r="B90" i="9"/>
  <c r="A90" i="9"/>
  <c r="R89" i="9"/>
  <c r="Q89" i="9"/>
  <c r="P89" i="9"/>
  <c r="M89" i="9"/>
  <c r="G89" i="9"/>
  <c r="F89" i="9"/>
  <c r="C89" i="9"/>
  <c r="B89" i="9"/>
  <c r="A89" i="9"/>
  <c r="R88" i="9"/>
  <c r="Q88" i="9"/>
  <c r="P88" i="9"/>
  <c r="M88" i="9"/>
  <c r="G88" i="9"/>
  <c r="F88" i="9"/>
  <c r="B88" i="9"/>
  <c r="C88" i="9" s="1"/>
  <c r="A88" i="9"/>
  <c r="R87" i="9"/>
  <c r="Q87" i="9"/>
  <c r="P87" i="9"/>
  <c r="M87" i="9"/>
  <c r="G87" i="9"/>
  <c r="F87" i="9"/>
  <c r="B87" i="9"/>
  <c r="C87" i="9" s="1"/>
  <c r="A87" i="9"/>
  <c r="R86" i="9"/>
  <c r="Q86" i="9"/>
  <c r="P86" i="9"/>
  <c r="M86" i="9"/>
  <c r="G86" i="9"/>
  <c r="F86" i="9"/>
  <c r="C86" i="9"/>
  <c r="B86" i="9"/>
  <c r="A86" i="9"/>
  <c r="R85" i="9"/>
  <c r="Q85" i="9"/>
  <c r="P85" i="9"/>
  <c r="M85" i="9"/>
  <c r="G85" i="9"/>
  <c r="F85" i="9"/>
  <c r="B85" i="9"/>
  <c r="A85" i="9"/>
  <c r="R84" i="9"/>
  <c r="Q84" i="9"/>
  <c r="P84" i="9"/>
  <c r="M84" i="9"/>
  <c r="G84" i="9"/>
  <c r="F84" i="9"/>
  <c r="B84" i="9"/>
  <c r="A84" i="9"/>
  <c r="R83" i="9"/>
  <c r="Q83" i="9"/>
  <c r="P83" i="9"/>
  <c r="M83" i="9"/>
  <c r="G83" i="9"/>
  <c r="F83" i="9"/>
  <c r="B83" i="9"/>
  <c r="A83" i="9"/>
  <c r="R82" i="9"/>
  <c r="Q82" i="9"/>
  <c r="P82" i="9"/>
  <c r="M82" i="9"/>
  <c r="B82" i="9"/>
  <c r="A82" i="9"/>
  <c r="R81" i="9"/>
  <c r="Q81" i="9"/>
  <c r="P81" i="9"/>
  <c r="M81" i="9"/>
  <c r="B81" i="9"/>
  <c r="A81" i="9"/>
  <c r="R80" i="9"/>
  <c r="Q80" i="9"/>
  <c r="P80" i="9"/>
  <c r="M80" i="9"/>
  <c r="C80" i="9"/>
  <c r="B80" i="9"/>
  <c r="A80" i="9"/>
  <c r="R79" i="9"/>
  <c r="Q79" i="9"/>
  <c r="P79" i="9"/>
  <c r="M79" i="9"/>
  <c r="B79" i="9"/>
  <c r="A79" i="9"/>
  <c r="R78" i="9"/>
  <c r="Q78" i="9"/>
  <c r="P78" i="9"/>
  <c r="M78" i="9"/>
  <c r="B78" i="9"/>
  <c r="A78" i="9"/>
  <c r="R77" i="9"/>
  <c r="Q77" i="9"/>
  <c r="P77" i="9"/>
  <c r="M77" i="9"/>
  <c r="B77" i="9"/>
  <c r="A77" i="9"/>
  <c r="R76" i="9"/>
  <c r="Q76" i="9"/>
  <c r="P76" i="9"/>
  <c r="M76" i="9"/>
  <c r="B76" i="9"/>
  <c r="A76" i="9"/>
  <c r="R75" i="9"/>
  <c r="Q75" i="9"/>
  <c r="P75" i="9"/>
  <c r="M75" i="9"/>
  <c r="B75" i="9"/>
  <c r="A75" i="9"/>
  <c r="R74" i="9"/>
  <c r="Q74" i="9"/>
  <c r="P74" i="9"/>
  <c r="M74" i="9"/>
  <c r="C74" i="9"/>
  <c r="B74" i="9"/>
  <c r="A74" i="9"/>
  <c r="R73" i="9"/>
  <c r="Q73" i="9"/>
  <c r="P73" i="9"/>
  <c r="M73" i="9"/>
  <c r="B73" i="9"/>
  <c r="A73" i="9"/>
  <c r="R72" i="9"/>
  <c r="Q72" i="9"/>
  <c r="P72" i="9"/>
  <c r="M72" i="9"/>
  <c r="B72" i="9"/>
  <c r="A72" i="9"/>
  <c r="R71" i="9"/>
  <c r="Q71" i="9"/>
  <c r="P71" i="9"/>
  <c r="M71" i="9"/>
  <c r="B71" i="9"/>
  <c r="A71" i="9"/>
  <c r="R70" i="9"/>
  <c r="Q70" i="9"/>
  <c r="P70" i="9"/>
  <c r="M70" i="9"/>
  <c r="B70" i="9"/>
  <c r="A70" i="9"/>
  <c r="R69" i="9"/>
  <c r="Q69" i="9"/>
  <c r="P69" i="9"/>
  <c r="M69" i="9"/>
  <c r="B69" i="9"/>
  <c r="A69" i="9"/>
  <c r="R68" i="9"/>
  <c r="Q68" i="9"/>
  <c r="P68" i="9"/>
  <c r="M68" i="9"/>
  <c r="B68" i="9"/>
  <c r="A68" i="9"/>
  <c r="R67" i="9"/>
  <c r="Q67" i="9"/>
  <c r="P67" i="9"/>
  <c r="M67" i="9"/>
  <c r="C67" i="9"/>
  <c r="B67" i="9"/>
  <c r="A67" i="9"/>
  <c r="R66" i="9"/>
  <c r="Q66" i="9"/>
  <c r="P66" i="9"/>
  <c r="M66" i="9"/>
  <c r="G66" i="9"/>
  <c r="F66" i="9"/>
  <c r="C66" i="9"/>
  <c r="B66" i="9"/>
  <c r="A66" i="9"/>
  <c r="R65" i="9"/>
  <c r="Q65" i="9"/>
  <c r="P65" i="9"/>
  <c r="M65" i="9"/>
  <c r="G65" i="9"/>
  <c r="F65" i="9"/>
  <c r="B65" i="9"/>
  <c r="A65" i="9"/>
  <c r="R64" i="9"/>
  <c r="Q64" i="9"/>
  <c r="P64" i="9"/>
  <c r="M64" i="9"/>
  <c r="G64" i="9"/>
  <c r="F64" i="9"/>
  <c r="B64" i="9"/>
  <c r="A64" i="9"/>
  <c r="R63" i="9"/>
  <c r="Q63" i="9"/>
  <c r="P63" i="9"/>
  <c r="M63" i="9"/>
  <c r="G63" i="9"/>
  <c r="F63" i="9"/>
  <c r="B63" i="9"/>
  <c r="A63" i="9"/>
  <c r="R62" i="9"/>
  <c r="Q62" i="9"/>
  <c r="P62" i="9"/>
  <c r="M62" i="9"/>
  <c r="G62" i="9"/>
  <c r="F62" i="9"/>
  <c r="C62" i="9"/>
  <c r="B62" i="9"/>
  <c r="A62" i="9"/>
  <c r="R61" i="9"/>
  <c r="Q61" i="9"/>
  <c r="P61" i="9"/>
  <c r="M61" i="9"/>
  <c r="G61" i="9"/>
  <c r="F61" i="9"/>
  <c r="C61" i="9"/>
  <c r="B61" i="9"/>
  <c r="A61" i="9"/>
  <c r="R60" i="9"/>
  <c r="Q60" i="9"/>
  <c r="P60" i="9"/>
  <c r="M60" i="9"/>
  <c r="G60" i="9"/>
  <c r="F60" i="9"/>
  <c r="B60" i="9"/>
  <c r="A60" i="9"/>
  <c r="R59" i="9"/>
  <c r="Q59" i="9"/>
  <c r="P59" i="9"/>
  <c r="M59" i="9"/>
  <c r="G59" i="9"/>
  <c r="F59" i="9"/>
  <c r="B59" i="9"/>
  <c r="C59" i="9" s="1"/>
  <c r="A59" i="9"/>
  <c r="R58" i="9"/>
  <c r="Q58" i="9"/>
  <c r="P58" i="9"/>
  <c r="M58" i="9"/>
  <c r="G58" i="9"/>
  <c r="F58" i="9"/>
  <c r="C58" i="9"/>
  <c r="B58" i="9"/>
  <c r="A58" i="9"/>
  <c r="R57" i="9"/>
  <c r="Q57" i="9"/>
  <c r="P57" i="9"/>
  <c r="M57" i="9"/>
  <c r="G57" i="9"/>
  <c r="F57" i="9"/>
  <c r="C57" i="9"/>
  <c r="B57" i="9"/>
  <c r="A57" i="9"/>
  <c r="R56" i="9"/>
  <c r="Q56" i="9"/>
  <c r="P56" i="9"/>
  <c r="M56" i="9"/>
  <c r="G56" i="9"/>
  <c r="F56" i="9"/>
  <c r="B56" i="9"/>
  <c r="C56" i="9" s="1"/>
  <c r="A56" i="9"/>
  <c r="R55" i="9"/>
  <c r="Q55" i="9"/>
  <c r="P55" i="9"/>
  <c r="M55" i="9"/>
  <c r="G55" i="9"/>
  <c r="F55" i="9"/>
  <c r="C55" i="9"/>
  <c r="B55" i="9"/>
  <c r="A55" i="9"/>
  <c r="R54" i="9"/>
  <c r="Q54" i="9"/>
  <c r="P54" i="9"/>
  <c r="M54" i="9"/>
  <c r="G54" i="9"/>
  <c r="F54" i="9"/>
  <c r="C54" i="9"/>
  <c r="B54" i="9"/>
  <c r="A54" i="9"/>
  <c r="R53" i="9"/>
  <c r="Q53" i="9"/>
  <c r="P53" i="9"/>
  <c r="M53" i="9"/>
  <c r="G53" i="9"/>
  <c r="F53" i="9"/>
  <c r="B53" i="9"/>
  <c r="A53" i="9"/>
  <c r="R52" i="9"/>
  <c r="Q52" i="9"/>
  <c r="P52" i="9"/>
  <c r="M52" i="9"/>
  <c r="G52" i="9"/>
  <c r="F52" i="9"/>
  <c r="B52" i="9"/>
  <c r="A52" i="9"/>
  <c r="R51" i="9"/>
  <c r="Q51" i="9"/>
  <c r="P51" i="9"/>
  <c r="M51" i="9"/>
  <c r="G51" i="9"/>
  <c r="F51" i="9"/>
  <c r="C51" i="9"/>
  <c r="B51" i="9"/>
  <c r="A51" i="9"/>
  <c r="R50" i="9"/>
  <c r="Q50" i="9"/>
  <c r="P50" i="9"/>
  <c r="M50" i="9"/>
  <c r="G50" i="9"/>
  <c r="F50" i="9"/>
  <c r="C50" i="9"/>
  <c r="B50" i="9"/>
  <c r="A50" i="9"/>
  <c r="R49" i="9"/>
  <c r="Q49" i="9"/>
  <c r="P49" i="9"/>
  <c r="M49" i="9"/>
  <c r="G49" i="9"/>
  <c r="F49" i="9"/>
  <c r="B49" i="9"/>
  <c r="A49" i="9"/>
  <c r="R48" i="9"/>
  <c r="Q48" i="9"/>
  <c r="P48" i="9"/>
  <c r="M48" i="9"/>
  <c r="G48" i="9"/>
  <c r="F48" i="9"/>
  <c r="B48" i="9"/>
  <c r="A48" i="9"/>
  <c r="R47" i="9"/>
  <c r="Q47" i="9"/>
  <c r="P47" i="9"/>
  <c r="M47" i="9"/>
  <c r="G47" i="9"/>
  <c r="F47" i="9"/>
  <c r="C47" i="9"/>
  <c r="B47" i="9"/>
  <c r="A47" i="9"/>
  <c r="R46" i="9"/>
  <c r="Q46" i="9"/>
  <c r="P46" i="9"/>
  <c r="M46" i="9"/>
  <c r="G46" i="9"/>
  <c r="F46" i="9"/>
  <c r="C46" i="9"/>
  <c r="B46" i="9"/>
  <c r="A46" i="9"/>
  <c r="R45" i="9"/>
  <c r="Q45" i="9"/>
  <c r="P45" i="9"/>
  <c r="M45" i="9"/>
  <c r="C45" i="9"/>
  <c r="B45" i="9"/>
  <c r="A45" i="9"/>
  <c r="R44" i="9"/>
  <c r="Q44" i="9"/>
  <c r="P44" i="9"/>
  <c r="M44" i="9"/>
  <c r="C44" i="9"/>
  <c r="B44" i="9"/>
  <c r="A44" i="9"/>
  <c r="R43" i="9"/>
  <c r="Q43" i="9"/>
  <c r="P43" i="9"/>
  <c r="M43" i="9"/>
  <c r="C43" i="9"/>
  <c r="B43" i="9"/>
  <c r="A43" i="9"/>
  <c r="R42" i="9"/>
  <c r="Q42" i="9"/>
  <c r="P42" i="9"/>
  <c r="M42" i="9"/>
  <c r="C42" i="9"/>
  <c r="B42" i="9"/>
  <c r="A42" i="9"/>
  <c r="R41" i="9"/>
  <c r="Q41" i="9"/>
  <c r="P41" i="9"/>
  <c r="M41" i="9"/>
  <c r="C41" i="9"/>
  <c r="B41" i="9"/>
  <c r="A41" i="9"/>
  <c r="R40" i="9"/>
  <c r="Q40" i="9"/>
  <c r="P40" i="9"/>
  <c r="M40" i="9"/>
  <c r="C40" i="9"/>
  <c r="B40" i="9"/>
  <c r="A40" i="9"/>
  <c r="R39" i="9"/>
  <c r="Q39" i="9"/>
  <c r="P39" i="9"/>
  <c r="M39" i="9"/>
  <c r="C39" i="9"/>
  <c r="B39" i="9"/>
  <c r="A39" i="9"/>
  <c r="R38" i="9"/>
  <c r="Q38" i="9"/>
  <c r="P38" i="9"/>
  <c r="M38" i="9"/>
  <c r="C38" i="9"/>
  <c r="B38" i="9"/>
  <c r="A38" i="9"/>
  <c r="R37" i="9"/>
  <c r="Q37" i="9"/>
  <c r="P37" i="9"/>
  <c r="M37" i="9"/>
  <c r="C37" i="9"/>
  <c r="B37" i="9"/>
  <c r="A37" i="9"/>
  <c r="R36" i="9"/>
  <c r="Q36" i="9"/>
  <c r="P36" i="9"/>
  <c r="M36" i="9"/>
  <c r="C36" i="9"/>
  <c r="B36" i="9"/>
  <c r="A36" i="9"/>
  <c r="R35" i="9"/>
  <c r="Q35" i="9"/>
  <c r="P35" i="9"/>
  <c r="M35" i="9"/>
  <c r="C35" i="9"/>
  <c r="B35" i="9"/>
  <c r="A35" i="9"/>
  <c r="R34" i="9"/>
  <c r="Q34" i="9"/>
  <c r="P34" i="9"/>
  <c r="M34" i="9"/>
  <c r="C34" i="9"/>
  <c r="B34" i="9"/>
  <c r="A34" i="9"/>
  <c r="R33" i="9"/>
  <c r="Q33" i="9"/>
  <c r="P33" i="9"/>
  <c r="M33" i="9"/>
  <c r="C33" i="9"/>
  <c r="B33" i="9"/>
  <c r="A33" i="9"/>
  <c r="R32" i="9"/>
  <c r="Q32" i="9"/>
  <c r="P32" i="9"/>
  <c r="M32" i="9"/>
  <c r="C32" i="9"/>
  <c r="B32" i="9"/>
  <c r="A32" i="9"/>
  <c r="R31" i="9"/>
  <c r="Q31" i="9"/>
  <c r="P31" i="9"/>
  <c r="M31" i="9"/>
  <c r="G31" i="9"/>
  <c r="F31" i="9"/>
  <c r="C31" i="9"/>
  <c r="B31" i="9"/>
  <c r="A31" i="9"/>
  <c r="R30" i="9"/>
  <c r="Q30" i="9"/>
  <c r="P30" i="9"/>
  <c r="M30" i="9"/>
  <c r="G30" i="9"/>
  <c r="F30" i="9"/>
  <c r="B30" i="9"/>
  <c r="A30" i="9"/>
  <c r="R29" i="9"/>
  <c r="Q29" i="9"/>
  <c r="P29" i="9"/>
  <c r="M29" i="9"/>
  <c r="G29" i="9"/>
  <c r="F29" i="9"/>
  <c r="B29" i="9"/>
  <c r="C29" i="9" s="1"/>
  <c r="A29" i="9"/>
  <c r="R28" i="9"/>
  <c r="Q28" i="9"/>
  <c r="P28" i="9"/>
  <c r="M28" i="9"/>
  <c r="B28" i="9"/>
  <c r="A28" i="9"/>
  <c r="R27" i="9"/>
  <c r="Q27" i="9"/>
  <c r="P27" i="9"/>
  <c r="M27" i="9"/>
  <c r="B27" i="9"/>
  <c r="A27" i="9"/>
  <c r="R26" i="9"/>
  <c r="Q26" i="9"/>
  <c r="P26" i="9"/>
  <c r="M26" i="9"/>
  <c r="B26" i="9"/>
  <c r="A26" i="9"/>
  <c r="R25" i="9"/>
  <c r="Q25" i="9"/>
  <c r="P25" i="9"/>
  <c r="M25" i="9"/>
  <c r="G25" i="9"/>
  <c r="F25" i="9"/>
  <c r="C25" i="9"/>
  <c r="B25" i="9"/>
  <c r="A25" i="9"/>
  <c r="R24" i="9"/>
  <c r="Q24" i="9"/>
  <c r="P24" i="9"/>
  <c r="M24" i="9"/>
  <c r="G24" i="9"/>
  <c r="F24" i="9"/>
  <c r="B24" i="9"/>
  <c r="A24" i="9"/>
  <c r="R23" i="9"/>
  <c r="Q23" i="9"/>
  <c r="P23" i="9"/>
  <c r="M23" i="9"/>
  <c r="G23" i="9"/>
  <c r="F23" i="9"/>
  <c r="B23" i="9"/>
  <c r="A23" i="9"/>
  <c r="R22" i="9"/>
  <c r="Q22" i="9"/>
  <c r="P22" i="9"/>
  <c r="M22" i="9"/>
  <c r="G22" i="9"/>
  <c r="F22" i="9"/>
  <c r="C22" i="9"/>
  <c r="B22" i="9"/>
  <c r="A22" i="9"/>
  <c r="R21" i="9"/>
  <c r="Q21" i="9"/>
  <c r="P21" i="9"/>
  <c r="M21" i="9"/>
  <c r="G21" i="9"/>
  <c r="F21" i="9"/>
  <c r="C21" i="9"/>
  <c r="B21" i="9"/>
  <c r="A21" i="9"/>
  <c r="R20" i="9"/>
  <c r="Q20" i="9"/>
  <c r="P20" i="9"/>
  <c r="M20" i="9"/>
  <c r="G20" i="9"/>
  <c r="F20" i="9"/>
  <c r="C20" i="9"/>
  <c r="B20" i="9"/>
  <c r="A20" i="9"/>
  <c r="R19" i="9"/>
  <c r="Q19" i="9"/>
  <c r="P19" i="9"/>
  <c r="M19" i="9"/>
  <c r="G19" i="9"/>
  <c r="F19" i="9"/>
  <c r="B19" i="9"/>
  <c r="A19" i="9"/>
  <c r="R18" i="9"/>
  <c r="Q18" i="9"/>
  <c r="P18" i="9"/>
  <c r="M18" i="9"/>
  <c r="G18" i="9"/>
  <c r="F18" i="9"/>
  <c r="B18" i="9"/>
  <c r="A18" i="9"/>
  <c r="R17" i="9"/>
  <c r="Q17" i="9"/>
  <c r="P17" i="9"/>
  <c r="M17" i="9"/>
  <c r="G17" i="9"/>
  <c r="F17" i="9"/>
  <c r="C17" i="9"/>
  <c r="B17" i="9"/>
  <c r="A17" i="9"/>
  <c r="R16" i="9"/>
  <c r="Q16" i="9"/>
  <c r="P16" i="9"/>
  <c r="M16" i="9"/>
  <c r="G16" i="9"/>
  <c r="F16" i="9"/>
  <c r="C16" i="9"/>
  <c r="B16" i="9"/>
  <c r="A16" i="9"/>
  <c r="R15" i="9"/>
  <c r="Q15" i="9"/>
  <c r="P15" i="9"/>
  <c r="M15" i="9"/>
  <c r="G15" i="9"/>
  <c r="F15" i="9"/>
  <c r="B15" i="9"/>
  <c r="C15" i="9" s="1"/>
  <c r="A15" i="9"/>
  <c r="R14" i="9"/>
  <c r="Q14" i="9"/>
  <c r="P14" i="9"/>
  <c r="M14" i="9"/>
  <c r="G14" i="9"/>
  <c r="F14" i="9"/>
  <c r="B14" i="9"/>
  <c r="A14" i="9"/>
  <c r="R13" i="9"/>
  <c r="Q13" i="9"/>
  <c r="P13" i="9"/>
  <c r="M13" i="9"/>
  <c r="G13" i="9"/>
  <c r="F13" i="9"/>
  <c r="B13" i="9"/>
  <c r="A13" i="9"/>
  <c r="R12" i="9"/>
  <c r="Q12" i="9"/>
  <c r="P12" i="9"/>
  <c r="M12" i="9"/>
  <c r="G12" i="9"/>
  <c r="F12" i="9"/>
  <c r="B12" i="9"/>
  <c r="A12" i="9"/>
  <c r="R11" i="9"/>
  <c r="Q11" i="9"/>
  <c r="P11" i="9"/>
  <c r="M11" i="9"/>
  <c r="G11" i="9"/>
  <c r="F11" i="9"/>
  <c r="B11" i="9"/>
  <c r="A11" i="9"/>
  <c r="R10" i="9"/>
  <c r="Q10" i="9"/>
  <c r="P10" i="9"/>
  <c r="M10" i="9"/>
  <c r="G10" i="9"/>
  <c r="F10" i="9"/>
  <c r="B10" i="9"/>
  <c r="C10" i="9" s="1"/>
  <c r="A10" i="9"/>
  <c r="R9" i="9"/>
  <c r="Q9" i="9"/>
  <c r="P9" i="9"/>
  <c r="M9" i="9"/>
  <c r="G9" i="9"/>
  <c r="F9" i="9"/>
  <c r="C9" i="9"/>
  <c r="B9" i="9"/>
  <c r="A9" i="9"/>
  <c r="R8" i="9"/>
  <c r="Q8" i="9"/>
  <c r="P8" i="9"/>
  <c r="M8" i="9"/>
  <c r="G8" i="9"/>
  <c r="F8" i="9"/>
  <c r="B8" i="9"/>
  <c r="A8" i="9"/>
  <c r="R7" i="9"/>
  <c r="Q7" i="9"/>
  <c r="P7" i="9"/>
  <c r="M7" i="9"/>
  <c r="G7" i="9"/>
  <c r="F7" i="9"/>
  <c r="B7" i="9"/>
  <c r="A7" i="9"/>
  <c r="R6" i="9"/>
  <c r="Q6" i="9"/>
  <c r="P6" i="9"/>
  <c r="M6" i="9"/>
  <c r="G6" i="9"/>
  <c r="F6" i="9"/>
  <c r="B6" i="9"/>
  <c r="A6" i="9"/>
  <c r="R5" i="9"/>
  <c r="Q5" i="9"/>
  <c r="P5" i="9"/>
  <c r="M5" i="9"/>
  <c r="G5" i="9"/>
  <c r="F5" i="9"/>
  <c r="C5" i="9"/>
  <c r="B5" i="9"/>
  <c r="A5" i="9"/>
  <c r="R4" i="9"/>
  <c r="Q4" i="9"/>
  <c r="P4" i="9"/>
  <c r="M4" i="9"/>
  <c r="G4" i="9"/>
  <c r="F4" i="9"/>
  <c r="C4" i="9"/>
  <c r="B4" i="9"/>
  <c r="A4" i="9"/>
  <c r="R3" i="9"/>
  <c r="Q3" i="9"/>
  <c r="P3" i="9"/>
  <c r="N3" i="9"/>
  <c r="N4" i="9" s="1"/>
  <c r="M3" i="9"/>
  <c r="G3" i="9"/>
  <c r="F3" i="9"/>
  <c r="B3" i="9"/>
  <c r="A3" i="9"/>
  <c r="R2" i="9"/>
  <c r="Q2" i="9"/>
  <c r="P2" i="9"/>
  <c r="M2" i="9"/>
  <c r="G2" i="9"/>
  <c r="F2" i="9"/>
  <c r="C2" i="9"/>
  <c r="B2" i="9"/>
  <c r="N2" i="9" s="1"/>
  <c r="A2" i="9"/>
  <c r="R499" i="8"/>
  <c r="Q499" i="8"/>
  <c r="P499" i="8"/>
  <c r="M499" i="8"/>
  <c r="G499" i="8"/>
  <c r="F499" i="8"/>
  <c r="B499" i="8"/>
  <c r="A499" i="8"/>
  <c r="R498" i="8"/>
  <c r="Q498" i="8"/>
  <c r="P498" i="8"/>
  <c r="M498" i="8"/>
  <c r="G498" i="8"/>
  <c r="F498" i="8"/>
  <c r="C498" i="8"/>
  <c r="B498" i="8"/>
  <c r="A498" i="8"/>
  <c r="R497" i="8"/>
  <c r="Q497" i="8"/>
  <c r="P497" i="8"/>
  <c r="M497" i="8"/>
  <c r="G497" i="8"/>
  <c r="F497" i="8"/>
  <c r="B497" i="8"/>
  <c r="C497" i="8" s="1"/>
  <c r="A497" i="8"/>
  <c r="R496" i="8"/>
  <c r="Q496" i="8"/>
  <c r="P496" i="8"/>
  <c r="M496" i="8"/>
  <c r="G496" i="8"/>
  <c r="F496" i="8"/>
  <c r="B496" i="8"/>
  <c r="A496" i="8"/>
  <c r="R495" i="8"/>
  <c r="Q495" i="8"/>
  <c r="P495" i="8"/>
  <c r="M495" i="8"/>
  <c r="G495" i="8"/>
  <c r="F495" i="8"/>
  <c r="B495" i="8"/>
  <c r="A495" i="8"/>
  <c r="R494" i="8"/>
  <c r="Q494" i="8"/>
  <c r="P494" i="8"/>
  <c r="M494" i="8"/>
  <c r="G494" i="8"/>
  <c r="F494" i="8"/>
  <c r="C494" i="8"/>
  <c r="B494" i="8"/>
  <c r="A494" i="8"/>
  <c r="R493" i="8"/>
  <c r="Q493" i="8"/>
  <c r="P493" i="8"/>
  <c r="M493" i="8"/>
  <c r="G493" i="8"/>
  <c r="F493" i="8"/>
  <c r="B493" i="8"/>
  <c r="A493" i="8"/>
  <c r="R492" i="8"/>
  <c r="Q492" i="8"/>
  <c r="P492" i="8"/>
  <c r="M492" i="8"/>
  <c r="G492" i="8"/>
  <c r="F492" i="8"/>
  <c r="B492" i="8"/>
  <c r="C492" i="8" s="1"/>
  <c r="A492" i="8"/>
  <c r="R491" i="8"/>
  <c r="Q491" i="8"/>
  <c r="P491" i="8"/>
  <c r="M491" i="8"/>
  <c r="G491" i="8"/>
  <c r="F491" i="8"/>
  <c r="C491" i="8"/>
  <c r="B491" i="8"/>
  <c r="A491" i="8"/>
  <c r="R490" i="8"/>
  <c r="Q490" i="8"/>
  <c r="P490" i="8"/>
  <c r="M490" i="8"/>
  <c r="G490" i="8"/>
  <c r="F490" i="8"/>
  <c r="B490" i="8"/>
  <c r="A490" i="8"/>
  <c r="R489" i="8"/>
  <c r="Q489" i="8"/>
  <c r="P489" i="8"/>
  <c r="M489" i="8"/>
  <c r="G489" i="8"/>
  <c r="F489" i="8"/>
  <c r="B489" i="8"/>
  <c r="A489" i="8"/>
  <c r="R488" i="8"/>
  <c r="Q488" i="8"/>
  <c r="P488" i="8"/>
  <c r="M488" i="8"/>
  <c r="G488" i="8"/>
  <c r="F488" i="8"/>
  <c r="B488" i="8"/>
  <c r="A488" i="8"/>
  <c r="R487" i="8"/>
  <c r="Q487" i="8"/>
  <c r="P487" i="8"/>
  <c r="M487" i="8"/>
  <c r="G487" i="8"/>
  <c r="F487" i="8"/>
  <c r="C487" i="8"/>
  <c r="B487" i="8"/>
  <c r="A487" i="8"/>
  <c r="R486" i="8"/>
  <c r="Q486" i="8"/>
  <c r="P486" i="8"/>
  <c r="M486" i="8"/>
  <c r="G486" i="8"/>
  <c r="F486" i="8"/>
  <c r="C486" i="8"/>
  <c r="B486" i="8"/>
  <c r="A486" i="8"/>
  <c r="R485" i="8"/>
  <c r="Q485" i="8"/>
  <c r="P485" i="8"/>
  <c r="M485" i="8"/>
  <c r="G485" i="8"/>
  <c r="F485" i="8"/>
  <c r="B485" i="8"/>
  <c r="A485" i="8"/>
  <c r="R484" i="8"/>
  <c r="Q484" i="8"/>
  <c r="P484" i="8"/>
  <c r="M484" i="8"/>
  <c r="G484" i="8"/>
  <c r="F484" i="8"/>
  <c r="B484" i="8"/>
  <c r="A484" i="8"/>
  <c r="R483" i="8"/>
  <c r="Q483" i="8"/>
  <c r="P483" i="8"/>
  <c r="M483" i="8"/>
  <c r="G483" i="8"/>
  <c r="F483" i="8"/>
  <c r="C483" i="8"/>
  <c r="B483" i="8"/>
  <c r="A483" i="8"/>
  <c r="R482" i="8"/>
  <c r="Q482" i="8"/>
  <c r="P482" i="8"/>
  <c r="M482" i="8"/>
  <c r="G482" i="8"/>
  <c r="F482" i="8"/>
  <c r="B482" i="8"/>
  <c r="A482" i="8"/>
  <c r="R481" i="8"/>
  <c r="Q481" i="8"/>
  <c r="P481" i="8"/>
  <c r="M481" i="8"/>
  <c r="G481" i="8"/>
  <c r="F481" i="8"/>
  <c r="B481" i="8"/>
  <c r="A481" i="8"/>
  <c r="R480" i="8"/>
  <c r="Q480" i="8"/>
  <c r="P480" i="8"/>
  <c r="M480" i="8"/>
  <c r="G480" i="8"/>
  <c r="F480" i="8"/>
  <c r="B480" i="8"/>
  <c r="A480" i="8"/>
  <c r="R479" i="8"/>
  <c r="Q479" i="8"/>
  <c r="P479" i="8"/>
  <c r="M479" i="8"/>
  <c r="G479" i="8"/>
  <c r="F479" i="8"/>
  <c r="B479" i="8"/>
  <c r="A479" i="8"/>
  <c r="R478" i="8"/>
  <c r="Q478" i="8"/>
  <c r="P478" i="8"/>
  <c r="M478" i="8"/>
  <c r="G478" i="8"/>
  <c r="F478" i="8"/>
  <c r="C478" i="8"/>
  <c r="B478" i="8"/>
  <c r="A478" i="8"/>
  <c r="R477" i="8"/>
  <c r="Q477" i="8"/>
  <c r="P477" i="8"/>
  <c r="M477" i="8"/>
  <c r="G477" i="8"/>
  <c r="F477" i="8"/>
  <c r="B477" i="8"/>
  <c r="C477" i="8" s="1"/>
  <c r="A477" i="8"/>
  <c r="R476" i="8"/>
  <c r="Q476" i="8"/>
  <c r="P476" i="8"/>
  <c r="M476" i="8"/>
  <c r="G476" i="8"/>
  <c r="F476" i="8"/>
  <c r="B476" i="8"/>
  <c r="C476" i="8" s="1"/>
  <c r="A476" i="8"/>
  <c r="R475" i="8"/>
  <c r="Q475" i="8"/>
  <c r="P475" i="8"/>
  <c r="M475" i="8"/>
  <c r="G475" i="8"/>
  <c r="F475" i="8"/>
  <c r="C475" i="8"/>
  <c r="B475" i="8"/>
  <c r="A475" i="8"/>
  <c r="R474" i="8"/>
  <c r="Q474" i="8"/>
  <c r="P474" i="8"/>
  <c r="M474" i="8"/>
  <c r="G474" i="8"/>
  <c r="F474" i="8"/>
  <c r="B474" i="8"/>
  <c r="A474" i="8"/>
  <c r="R473" i="8"/>
  <c r="Q473" i="8"/>
  <c r="P473" i="8"/>
  <c r="M473" i="8"/>
  <c r="G473" i="8"/>
  <c r="F473" i="8"/>
  <c r="B473" i="8"/>
  <c r="A473" i="8"/>
  <c r="R472" i="8"/>
  <c r="Q472" i="8"/>
  <c r="P472" i="8"/>
  <c r="M472" i="8"/>
  <c r="G472" i="8"/>
  <c r="F472" i="8"/>
  <c r="B472" i="8"/>
  <c r="A472" i="8"/>
  <c r="R471" i="8"/>
  <c r="Q471" i="8"/>
  <c r="P471" i="8"/>
  <c r="M471" i="8"/>
  <c r="G471" i="8"/>
  <c r="F471" i="8"/>
  <c r="B471" i="8"/>
  <c r="A471" i="8"/>
  <c r="R470" i="8"/>
  <c r="Q470" i="8"/>
  <c r="P470" i="8"/>
  <c r="M470" i="8"/>
  <c r="G470" i="8"/>
  <c r="F470" i="8"/>
  <c r="C470" i="8"/>
  <c r="B470" i="8"/>
  <c r="A470" i="8"/>
  <c r="R469" i="8"/>
  <c r="Q469" i="8"/>
  <c r="P469" i="8"/>
  <c r="M469" i="8"/>
  <c r="G469" i="8"/>
  <c r="F469" i="8"/>
  <c r="B469" i="8"/>
  <c r="C469" i="8" s="1"/>
  <c r="A469" i="8"/>
  <c r="R468" i="8"/>
  <c r="Q468" i="8"/>
  <c r="P468" i="8"/>
  <c r="M468" i="8"/>
  <c r="G468" i="8"/>
  <c r="F468" i="8"/>
  <c r="B468" i="8"/>
  <c r="C468" i="8" s="1"/>
  <c r="A468" i="8"/>
  <c r="R467" i="8"/>
  <c r="Q467" i="8"/>
  <c r="P467" i="8"/>
  <c r="M467" i="8"/>
  <c r="G467" i="8"/>
  <c r="F467" i="8"/>
  <c r="C467" i="8"/>
  <c r="B467" i="8"/>
  <c r="A467" i="8"/>
  <c r="R466" i="8"/>
  <c r="Q466" i="8"/>
  <c r="P466" i="8"/>
  <c r="M466" i="8"/>
  <c r="G466" i="8"/>
  <c r="F466" i="8"/>
  <c r="B466" i="8"/>
  <c r="A466" i="8"/>
  <c r="R465" i="8"/>
  <c r="Q465" i="8"/>
  <c r="P465" i="8"/>
  <c r="M465" i="8"/>
  <c r="G465" i="8"/>
  <c r="F465" i="8"/>
  <c r="B465" i="8"/>
  <c r="A465" i="8"/>
  <c r="R464" i="8"/>
  <c r="Q464" i="8"/>
  <c r="P464" i="8"/>
  <c r="M464" i="8"/>
  <c r="G464" i="8"/>
  <c r="F464" i="8"/>
  <c r="B464" i="8"/>
  <c r="A464" i="8"/>
  <c r="R463" i="8"/>
  <c r="Q463" i="8"/>
  <c r="P463" i="8"/>
  <c r="M463" i="8"/>
  <c r="G463" i="8"/>
  <c r="F463" i="8"/>
  <c r="B463" i="8"/>
  <c r="A463" i="8"/>
  <c r="R462" i="8"/>
  <c r="Q462" i="8"/>
  <c r="P462" i="8"/>
  <c r="M462" i="8"/>
  <c r="G462" i="8"/>
  <c r="F462" i="8"/>
  <c r="C462" i="8"/>
  <c r="B462" i="8"/>
  <c r="A462" i="8"/>
  <c r="R461" i="8"/>
  <c r="Q461" i="8"/>
  <c r="P461" i="8"/>
  <c r="M461" i="8"/>
  <c r="G461" i="8"/>
  <c r="F461" i="8"/>
  <c r="B461" i="8"/>
  <c r="C461" i="8" s="1"/>
  <c r="A461" i="8"/>
  <c r="R460" i="8"/>
  <c r="Q460" i="8"/>
  <c r="P460" i="8"/>
  <c r="M460" i="8"/>
  <c r="G460" i="8"/>
  <c r="F460" i="8"/>
  <c r="B460" i="8"/>
  <c r="C460" i="8" s="1"/>
  <c r="A460" i="8"/>
  <c r="R459" i="8"/>
  <c r="Q459" i="8"/>
  <c r="P459" i="8"/>
  <c r="M459" i="8"/>
  <c r="G459" i="8"/>
  <c r="F459" i="8"/>
  <c r="C459" i="8"/>
  <c r="B459" i="8"/>
  <c r="A459" i="8"/>
  <c r="R458" i="8"/>
  <c r="Q458" i="8"/>
  <c r="P458" i="8"/>
  <c r="M458" i="8"/>
  <c r="G458" i="8"/>
  <c r="F458" i="8"/>
  <c r="B458" i="8"/>
  <c r="A458" i="8"/>
  <c r="R457" i="8"/>
  <c r="Q457" i="8"/>
  <c r="P457" i="8"/>
  <c r="M457" i="8"/>
  <c r="G457" i="8"/>
  <c r="F457" i="8"/>
  <c r="B457" i="8"/>
  <c r="A457" i="8"/>
  <c r="R456" i="8"/>
  <c r="Q456" i="8"/>
  <c r="P456" i="8"/>
  <c r="M456" i="8"/>
  <c r="G456" i="8"/>
  <c r="F456" i="8"/>
  <c r="B456" i="8"/>
  <c r="C456" i="8" s="1"/>
  <c r="A456" i="8"/>
  <c r="R455" i="8"/>
  <c r="Q455" i="8"/>
  <c r="P455" i="8"/>
  <c r="M455" i="8"/>
  <c r="G455" i="8"/>
  <c r="F455" i="8"/>
  <c r="C455" i="8"/>
  <c r="B455" i="8"/>
  <c r="A455" i="8"/>
  <c r="R454" i="8"/>
  <c r="Q454" i="8"/>
  <c r="P454" i="8"/>
  <c r="M454" i="8"/>
  <c r="G454" i="8"/>
  <c r="F454" i="8"/>
  <c r="C454" i="8"/>
  <c r="B454" i="8"/>
  <c r="A454" i="8"/>
  <c r="R453" i="8"/>
  <c r="Q453" i="8"/>
  <c r="P453" i="8"/>
  <c r="M453" i="8"/>
  <c r="G453" i="8"/>
  <c r="F453" i="8"/>
  <c r="B453" i="8"/>
  <c r="C453" i="8" s="1"/>
  <c r="A453" i="8"/>
  <c r="R452" i="8"/>
  <c r="Q452" i="8"/>
  <c r="P452" i="8"/>
  <c r="M452" i="8"/>
  <c r="G452" i="8"/>
  <c r="F452" i="8"/>
  <c r="B452" i="8"/>
  <c r="C452" i="8" s="1"/>
  <c r="A452" i="8"/>
  <c r="R451" i="8"/>
  <c r="Q451" i="8"/>
  <c r="P451" i="8"/>
  <c r="M451" i="8"/>
  <c r="G451" i="8"/>
  <c r="F451" i="8"/>
  <c r="C451" i="8"/>
  <c r="B451" i="8"/>
  <c r="A451" i="8"/>
  <c r="R450" i="8"/>
  <c r="Q450" i="8"/>
  <c r="P450" i="8"/>
  <c r="M450" i="8"/>
  <c r="G450" i="8"/>
  <c r="F450" i="8"/>
  <c r="B450" i="8"/>
  <c r="A450" i="8"/>
  <c r="R449" i="8"/>
  <c r="Q449" i="8"/>
  <c r="P449" i="8"/>
  <c r="M449" i="8"/>
  <c r="G449" i="8"/>
  <c r="F449" i="8"/>
  <c r="B449" i="8"/>
  <c r="A449" i="8"/>
  <c r="R448" i="8"/>
  <c r="Q448" i="8"/>
  <c r="P448" i="8"/>
  <c r="M448" i="8"/>
  <c r="G448" i="8"/>
  <c r="F448" i="8"/>
  <c r="B448" i="8"/>
  <c r="C448" i="8" s="1"/>
  <c r="A448" i="8"/>
  <c r="R447" i="8"/>
  <c r="Q447" i="8"/>
  <c r="P447" i="8"/>
  <c r="M447" i="8"/>
  <c r="G447" i="8"/>
  <c r="F447" i="8"/>
  <c r="C447" i="8"/>
  <c r="B447" i="8"/>
  <c r="A447" i="8"/>
  <c r="R446" i="8"/>
  <c r="Q446" i="8"/>
  <c r="P446" i="8"/>
  <c r="M446" i="8"/>
  <c r="G446" i="8"/>
  <c r="F446" i="8"/>
  <c r="C446" i="8"/>
  <c r="B446" i="8"/>
  <c r="A446" i="8"/>
  <c r="R445" i="8"/>
  <c r="Q445" i="8"/>
  <c r="P445" i="8"/>
  <c r="M445" i="8"/>
  <c r="G445" i="8"/>
  <c r="F445" i="8"/>
  <c r="B445" i="8"/>
  <c r="C445" i="8" s="1"/>
  <c r="A445" i="8"/>
  <c r="R444" i="8"/>
  <c r="Q444" i="8"/>
  <c r="P444" i="8"/>
  <c r="M444" i="8"/>
  <c r="G444" i="8"/>
  <c r="F444" i="8"/>
  <c r="B444" i="8"/>
  <c r="C444" i="8" s="1"/>
  <c r="A444" i="8"/>
  <c r="R443" i="8"/>
  <c r="Q443" i="8"/>
  <c r="P443" i="8"/>
  <c r="M443" i="8"/>
  <c r="G443" i="8"/>
  <c r="F443" i="8"/>
  <c r="C443" i="8"/>
  <c r="B443" i="8"/>
  <c r="A443" i="8"/>
  <c r="R442" i="8"/>
  <c r="Q442" i="8"/>
  <c r="P442" i="8"/>
  <c r="M442" i="8"/>
  <c r="G442" i="8"/>
  <c r="F442" i="8"/>
  <c r="B442" i="8"/>
  <c r="A442" i="8"/>
  <c r="R441" i="8"/>
  <c r="Q441" i="8"/>
  <c r="P441" i="8"/>
  <c r="M441" i="8"/>
  <c r="G441" i="8"/>
  <c r="F441" i="8"/>
  <c r="B441" i="8"/>
  <c r="A441" i="8"/>
  <c r="R440" i="8"/>
  <c r="Q440" i="8"/>
  <c r="P440" i="8"/>
  <c r="M440" i="8"/>
  <c r="G440" i="8"/>
  <c r="F440" i="8"/>
  <c r="B440" i="8"/>
  <c r="C440" i="8" s="1"/>
  <c r="A440" i="8"/>
  <c r="R439" i="8"/>
  <c r="Q439" i="8"/>
  <c r="P439" i="8"/>
  <c r="M439" i="8"/>
  <c r="G439" i="8"/>
  <c r="F439" i="8"/>
  <c r="C439" i="8"/>
  <c r="B439" i="8"/>
  <c r="A439" i="8"/>
  <c r="R438" i="8"/>
  <c r="Q438" i="8"/>
  <c r="P438" i="8"/>
  <c r="M438" i="8"/>
  <c r="G438" i="8"/>
  <c r="F438" i="8"/>
  <c r="C438" i="8"/>
  <c r="B438" i="8"/>
  <c r="A438" i="8"/>
  <c r="R437" i="8"/>
  <c r="Q437" i="8"/>
  <c r="P437" i="8"/>
  <c r="M437" i="8"/>
  <c r="G437" i="8"/>
  <c r="F437" i="8"/>
  <c r="B437" i="8"/>
  <c r="C437" i="8" s="1"/>
  <c r="A437" i="8"/>
  <c r="R436" i="8"/>
  <c r="Q436" i="8"/>
  <c r="P436" i="8"/>
  <c r="M436" i="8"/>
  <c r="G436" i="8"/>
  <c r="F436" i="8"/>
  <c r="B436" i="8"/>
  <c r="C436" i="8" s="1"/>
  <c r="A436" i="8"/>
  <c r="R435" i="8"/>
  <c r="Q435" i="8"/>
  <c r="P435" i="8"/>
  <c r="M435" i="8"/>
  <c r="G435" i="8"/>
  <c r="F435" i="8"/>
  <c r="C435" i="8"/>
  <c r="B435" i="8"/>
  <c r="A435" i="8"/>
  <c r="R434" i="8"/>
  <c r="Q434" i="8"/>
  <c r="P434" i="8"/>
  <c r="M434" i="8"/>
  <c r="G434" i="8"/>
  <c r="F434" i="8"/>
  <c r="B434" i="8"/>
  <c r="A434" i="8"/>
  <c r="R433" i="8"/>
  <c r="Q433" i="8"/>
  <c r="P433" i="8"/>
  <c r="M433" i="8"/>
  <c r="G433" i="8"/>
  <c r="F433" i="8"/>
  <c r="B433" i="8"/>
  <c r="A433" i="8"/>
  <c r="R432" i="8"/>
  <c r="Q432" i="8"/>
  <c r="P432" i="8"/>
  <c r="M432" i="8"/>
  <c r="G432" i="8"/>
  <c r="F432" i="8"/>
  <c r="B432" i="8"/>
  <c r="A432" i="8"/>
  <c r="R431" i="8"/>
  <c r="Q431" i="8"/>
  <c r="P431" i="8"/>
  <c r="M431" i="8"/>
  <c r="G431" i="8"/>
  <c r="F431" i="8"/>
  <c r="B431" i="8"/>
  <c r="A431" i="8"/>
  <c r="R430" i="8"/>
  <c r="Q430" i="8"/>
  <c r="P430" i="8"/>
  <c r="M430" i="8"/>
  <c r="G430" i="8"/>
  <c r="F430" i="8"/>
  <c r="C430" i="8"/>
  <c r="B430" i="8"/>
  <c r="A430" i="8"/>
  <c r="R429" i="8"/>
  <c r="Q429" i="8"/>
  <c r="P429" i="8"/>
  <c r="M429" i="8"/>
  <c r="G429" i="8"/>
  <c r="F429" i="8"/>
  <c r="B429" i="8"/>
  <c r="C429" i="8" s="1"/>
  <c r="A429" i="8"/>
  <c r="R428" i="8"/>
  <c r="Q428" i="8"/>
  <c r="P428" i="8"/>
  <c r="M428" i="8"/>
  <c r="G428" i="8"/>
  <c r="F428" i="8"/>
  <c r="B428" i="8"/>
  <c r="C428" i="8" s="1"/>
  <c r="A428" i="8"/>
  <c r="R427" i="8"/>
  <c r="Q427" i="8"/>
  <c r="P427" i="8"/>
  <c r="M427" i="8"/>
  <c r="G427" i="8"/>
  <c r="F427" i="8"/>
  <c r="C427" i="8"/>
  <c r="B427" i="8"/>
  <c r="A427" i="8"/>
  <c r="R426" i="8"/>
  <c r="Q426" i="8"/>
  <c r="P426" i="8"/>
  <c r="M426" i="8"/>
  <c r="G426" i="8"/>
  <c r="F426" i="8"/>
  <c r="B426" i="8"/>
  <c r="A426" i="8"/>
  <c r="R425" i="8"/>
  <c r="Q425" i="8"/>
  <c r="P425" i="8"/>
  <c r="M425" i="8"/>
  <c r="G425" i="8"/>
  <c r="F425" i="8"/>
  <c r="B425" i="8"/>
  <c r="A425" i="8"/>
  <c r="R424" i="8"/>
  <c r="Q424" i="8"/>
  <c r="P424" i="8"/>
  <c r="M424" i="8"/>
  <c r="G424" i="8"/>
  <c r="F424" i="8"/>
  <c r="B424" i="8"/>
  <c r="C424" i="8" s="1"/>
  <c r="A424" i="8"/>
  <c r="R423" i="8"/>
  <c r="Q423" i="8"/>
  <c r="P423" i="8"/>
  <c r="M423" i="8"/>
  <c r="G423" i="8"/>
  <c r="F423" i="8"/>
  <c r="C423" i="8"/>
  <c r="B423" i="8"/>
  <c r="A423" i="8"/>
  <c r="R422" i="8"/>
  <c r="Q422" i="8"/>
  <c r="P422" i="8"/>
  <c r="M422" i="8"/>
  <c r="G422" i="8"/>
  <c r="F422" i="8"/>
  <c r="C422" i="8"/>
  <c r="B422" i="8"/>
  <c r="A422" i="8"/>
  <c r="R421" i="8"/>
  <c r="Q421" i="8"/>
  <c r="P421" i="8"/>
  <c r="M421" i="8"/>
  <c r="G421" i="8"/>
  <c r="F421" i="8"/>
  <c r="B421" i="8"/>
  <c r="C421" i="8" s="1"/>
  <c r="A421" i="8"/>
  <c r="R420" i="8"/>
  <c r="Q420" i="8"/>
  <c r="P420" i="8"/>
  <c r="M420" i="8"/>
  <c r="G420" i="8"/>
  <c r="F420" i="8"/>
  <c r="B420" i="8"/>
  <c r="C420" i="8" s="1"/>
  <c r="A420" i="8"/>
  <c r="R419" i="8"/>
  <c r="Q419" i="8"/>
  <c r="P419" i="8"/>
  <c r="M419" i="8"/>
  <c r="G419" i="8"/>
  <c r="F419" i="8"/>
  <c r="C419" i="8"/>
  <c r="B419" i="8"/>
  <c r="A419" i="8"/>
  <c r="R418" i="8"/>
  <c r="Q418" i="8"/>
  <c r="P418" i="8"/>
  <c r="M418" i="8"/>
  <c r="G418" i="8"/>
  <c r="F418" i="8"/>
  <c r="B418" i="8"/>
  <c r="A418" i="8"/>
  <c r="R417" i="8"/>
  <c r="Q417" i="8"/>
  <c r="P417" i="8"/>
  <c r="M417" i="8"/>
  <c r="G417" i="8"/>
  <c r="F417" i="8"/>
  <c r="B417" i="8"/>
  <c r="A417" i="8"/>
  <c r="R416" i="8"/>
  <c r="Q416" i="8"/>
  <c r="P416" i="8"/>
  <c r="M416" i="8"/>
  <c r="G416" i="8"/>
  <c r="F416" i="8"/>
  <c r="B416" i="8"/>
  <c r="C416" i="8" s="1"/>
  <c r="A416" i="8"/>
  <c r="R415" i="8"/>
  <c r="Q415" i="8"/>
  <c r="P415" i="8"/>
  <c r="M415" i="8"/>
  <c r="G415" i="8"/>
  <c r="F415" i="8"/>
  <c r="C415" i="8"/>
  <c r="B415" i="8"/>
  <c r="A415" i="8"/>
  <c r="R414" i="8"/>
  <c r="Q414" i="8"/>
  <c r="P414" i="8"/>
  <c r="M414" i="8"/>
  <c r="G414" i="8"/>
  <c r="F414" i="8"/>
  <c r="B414" i="8"/>
  <c r="A414" i="8"/>
  <c r="R413" i="8"/>
  <c r="Q413" i="8"/>
  <c r="P413" i="8"/>
  <c r="M413" i="8"/>
  <c r="G413" i="8"/>
  <c r="F413" i="8"/>
  <c r="C413" i="8"/>
  <c r="B413" i="8"/>
  <c r="A413" i="8"/>
  <c r="R412" i="8"/>
  <c r="Q412" i="8"/>
  <c r="P412" i="8"/>
  <c r="M412" i="8"/>
  <c r="G412" i="8"/>
  <c r="F412" i="8"/>
  <c r="B412" i="8"/>
  <c r="A412" i="8"/>
  <c r="R411" i="8"/>
  <c r="Q411" i="8"/>
  <c r="P411" i="8"/>
  <c r="M411" i="8"/>
  <c r="G411" i="8"/>
  <c r="F411" i="8"/>
  <c r="C411" i="8"/>
  <c r="B411" i="8"/>
  <c r="A411" i="8"/>
  <c r="R410" i="8"/>
  <c r="Q410" i="8"/>
  <c r="P410" i="8"/>
  <c r="M410" i="8"/>
  <c r="G410" i="8"/>
  <c r="F410" i="8"/>
  <c r="C410" i="8"/>
  <c r="B410" i="8"/>
  <c r="A410" i="8"/>
  <c r="R409" i="8"/>
  <c r="Q409" i="8"/>
  <c r="P409" i="8"/>
  <c r="M409" i="8"/>
  <c r="G409" i="8"/>
  <c r="F409" i="8"/>
  <c r="B409" i="8"/>
  <c r="C409" i="8" s="1"/>
  <c r="A409" i="8"/>
  <c r="R408" i="8"/>
  <c r="Q408" i="8"/>
  <c r="P408" i="8"/>
  <c r="M408" i="8"/>
  <c r="G408" i="8"/>
  <c r="F408" i="8"/>
  <c r="B408" i="8"/>
  <c r="C408" i="8" s="1"/>
  <c r="A408" i="8"/>
  <c r="R407" i="8"/>
  <c r="Q407" i="8"/>
  <c r="P407" i="8"/>
  <c r="M407" i="8"/>
  <c r="G407" i="8"/>
  <c r="F407" i="8"/>
  <c r="B407" i="8"/>
  <c r="A407" i="8"/>
  <c r="R406" i="8"/>
  <c r="Q406" i="8"/>
  <c r="P406" i="8"/>
  <c r="M406" i="8"/>
  <c r="G406" i="8"/>
  <c r="F406" i="8"/>
  <c r="B406" i="8"/>
  <c r="A406" i="8"/>
  <c r="R405" i="8"/>
  <c r="Q405" i="8"/>
  <c r="P405" i="8"/>
  <c r="M405" i="8"/>
  <c r="G405" i="8"/>
  <c r="F405" i="8"/>
  <c r="C405" i="8"/>
  <c r="B405" i="8"/>
  <c r="A405" i="8"/>
  <c r="R404" i="8"/>
  <c r="Q404" i="8"/>
  <c r="P404" i="8"/>
  <c r="M404" i="8"/>
  <c r="G404" i="8"/>
  <c r="F404" i="8"/>
  <c r="B404" i="8"/>
  <c r="A404" i="8"/>
  <c r="R403" i="8"/>
  <c r="Q403" i="8"/>
  <c r="P403" i="8"/>
  <c r="M403" i="8"/>
  <c r="G403" i="8"/>
  <c r="F403" i="8"/>
  <c r="C403" i="8"/>
  <c r="B403" i="8"/>
  <c r="A403" i="8"/>
  <c r="R402" i="8"/>
  <c r="Q402" i="8"/>
  <c r="P402" i="8"/>
  <c r="M402" i="8"/>
  <c r="G402" i="8"/>
  <c r="F402" i="8"/>
  <c r="B402" i="8"/>
  <c r="A402" i="8"/>
  <c r="R401" i="8"/>
  <c r="Q401" i="8"/>
  <c r="P401" i="8"/>
  <c r="M401" i="8"/>
  <c r="G401" i="8"/>
  <c r="F401" i="8"/>
  <c r="B401" i="8"/>
  <c r="A401" i="8"/>
  <c r="R400" i="8"/>
  <c r="Q400" i="8"/>
  <c r="P400" i="8"/>
  <c r="M400" i="8"/>
  <c r="G400" i="8"/>
  <c r="F400" i="8"/>
  <c r="B400" i="8"/>
  <c r="C400" i="8" s="1"/>
  <c r="A400" i="8"/>
  <c r="R399" i="8"/>
  <c r="Q399" i="8"/>
  <c r="P399" i="8"/>
  <c r="M399" i="8"/>
  <c r="G399" i="8"/>
  <c r="F399" i="8"/>
  <c r="C399" i="8"/>
  <c r="B399" i="8"/>
  <c r="A399" i="8"/>
  <c r="R398" i="8"/>
  <c r="Q398" i="8"/>
  <c r="P398" i="8"/>
  <c r="M398" i="8"/>
  <c r="G398" i="8"/>
  <c r="F398" i="8"/>
  <c r="B398" i="8"/>
  <c r="A398" i="8"/>
  <c r="R397" i="8"/>
  <c r="Q397" i="8"/>
  <c r="P397" i="8"/>
  <c r="M397" i="8"/>
  <c r="G397" i="8"/>
  <c r="F397" i="8"/>
  <c r="C397" i="8"/>
  <c r="B397" i="8"/>
  <c r="A397" i="8"/>
  <c r="R396" i="8"/>
  <c r="Q396" i="8"/>
  <c r="P396" i="8"/>
  <c r="M396" i="8"/>
  <c r="G396" i="8"/>
  <c r="F396" i="8"/>
  <c r="B396" i="8"/>
  <c r="A396" i="8"/>
  <c r="R395" i="8"/>
  <c r="Q395" i="8"/>
  <c r="P395" i="8"/>
  <c r="M395" i="8"/>
  <c r="G395" i="8"/>
  <c r="F395" i="8"/>
  <c r="B395" i="8"/>
  <c r="A395" i="8"/>
  <c r="R394" i="8"/>
  <c r="Q394" i="8"/>
  <c r="P394" i="8"/>
  <c r="M394" i="8"/>
  <c r="G394" i="8"/>
  <c r="F394" i="8"/>
  <c r="B394" i="8"/>
  <c r="A394" i="8"/>
  <c r="R393" i="8"/>
  <c r="Q393" i="8"/>
  <c r="P393" i="8"/>
  <c r="M393" i="8"/>
  <c r="G393" i="8"/>
  <c r="F393" i="8"/>
  <c r="B393" i="8"/>
  <c r="C393" i="8" s="1"/>
  <c r="A393" i="8"/>
  <c r="R392" i="8"/>
  <c r="Q392" i="8"/>
  <c r="P392" i="8"/>
  <c r="M392" i="8"/>
  <c r="G392" i="8"/>
  <c r="F392" i="8"/>
  <c r="B392" i="8"/>
  <c r="C392" i="8" s="1"/>
  <c r="A392" i="8"/>
  <c r="R391" i="8"/>
  <c r="Q391" i="8"/>
  <c r="P391" i="8"/>
  <c r="M391" i="8"/>
  <c r="G391" i="8"/>
  <c r="F391" i="8"/>
  <c r="B391" i="8"/>
  <c r="A391" i="8"/>
  <c r="R390" i="8"/>
  <c r="Q390" i="8"/>
  <c r="P390" i="8"/>
  <c r="M390" i="8"/>
  <c r="G390" i="8"/>
  <c r="F390" i="8"/>
  <c r="B390" i="8"/>
  <c r="A390" i="8"/>
  <c r="R389" i="8"/>
  <c r="Q389" i="8"/>
  <c r="P389" i="8"/>
  <c r="M389" i="8"/>
  <c r="G389" i="8"/>
  <c r="F389" i="8"/>
  <c r="B389" i="8"/>
  <c r="A389" i="8"/>
  <c r="R388" i="8"/>
  <c r="Q388" i="8"/>
  <c r="P388" i="8"/>
  <c r="M388" i="8"/>
  <c r="G388" i="8"/>
  <c r="F388" i="8"/>
  <c r="B388" i="8"/>
  <c r="A388" i="8"/>
  <c r="R387" i="8"/>
  <c r="Q387" i="8"/>
  <c r="P387" i="8"/>
  <c r="M387" i="8"/>
  <c r="G387" i="8"/>
  <c r="F387" i="8"/>
  <c r="C387" i="8"/>
  <c r="B387" i="8"/>
  <c r="A387" i="8"/>
  <c r="R386" i="8"/>
  <c r="Q386" i="8"/>
  <c r="P386" i="8"/>
  <c r="M386" i="8"/>
  <c r="G386" i="8"/>
  <c r="F386" i="8"/>
  <c r="B386" i="8"/>
  <c r="A386" i="8"/>
  <c r="R385" i="8"/>
  <c r="Q385" i="8"/>
  <c r="P385" i="8"/>
  <c r="M385" i="8"/>
  <c r="G385" i="8"/>
  <c r="F385" i="8"/>
  <c r="B385" i="8"/>
  <c r="A385" i="8"/>
  <c r="R384" i="8"/>
  <c r="Q384" i="8"/>
  <c r="P384" i="8"/>
  <c r="M384" i="8"/>
  <c r="G384" i="8"/>
  <c r="F384" i="8"/>
  <c r="B384" i="8"/>
  <c r="C384" i="8" s="1"/>
  <c r="A384" i="8"/>
  <c r="R383" i="8"/>
  <c r="Q383" i="8"/>
  <c r="P383" i="8"/>
  <c r="M383" i="8"/>
  <c r="G383" i="8"/>
  <c r="F383" i="8"/>
  <c r="C383" i="8"/>
  <c r="B383" i="8"/>
  <c r="A383" i="8"/>
  <c r="R382" i="8"/>
  <c r="Q382" i="8"/>
  <c r="P382" i="8"/>
  <c r="M382" i="8"/>
  <c r="G382" i="8"/>
  <c r="F382" i="8"/>
  <c r="B382" i="8"/>
  <c r="A382" i="8"/>
  <c r="R381" i="8"/>
  <c r="Q381" i="8"/>
  <c r="P381" i="8"/>
  <c r="M381" i="8"/>
  <c r="G381" i="8"/>
  <c r="F381" i="8"/>
  <c r="C381" i="8"/>
  <c r="B381" i="8"/>
  <c r="A381" i="8"/>
  <c r="R380" i="8"/>
  <c r="Q380" i="8"/>
  <c r="P380" i="8"/>
  <c r="M380" i="8"/>
  <c r="G380" i="8"/>
  <c r="F380" i="8"/>
  <c r="B380" i="8"/>
  <c r="A380" i="8"/>
  <c r="R379" i="8"/>
  <c r="Q379" i="8"/>
  <c r="P379" i="8"/>
  <c r="M379" i="8"/>
  <c r="G379" i="8"/>
  <c r="F379" i="8"/>
  <c r="B379" i="8"/>
  <c r="A379" i="8"/>
  <c r="R378" i="8"/>
  <c r="Q378" i="8"/>
  <c r="P378" i="8"/>
  <c r="M378" i="8"/>
  <c r="G378" i="8"/>
  <c r="F378" i="8"/>
  <c r="B378" i="8"/>
  <c r="A378" i="8"/>
  <c r="R377" i="8"/>
  <c r="Q377" i="8"/>
  <c r="P377" i="8"/>
  <c r="M377" i="8"/>
  <c r="G377" i="8"/>
  <c r="F377" i="8"/>
  <c r="B377" i="8"/>
  <c r="C377" i="8" s="1"/>
  <c r="A377" i="8"/>
  <c r="R376" i="8"/>
  <c r="Q376" i="8"/>
  <c r="P376" i="8"/>
  <c r="M376" i="8"/>
  <c r="G376" i="8"/>
  <c r="F376" i="8"/>
  <c r="B376" i="8"/>
  <c r="A376" i="8"/>
  <c r="R375" i="8"/>
  <c r="Q375" i="8"/>
  <c r="P375" i="8"/>
  <c r="M375" i="8"/>
  <c r="G375" i="8"/>
  <c r="F375" i="8"/>
  <c r="B375" i="8"/>
  <c r="A375" i="8"/>
  <c r="R374" i="8"/>
  <c r="Q374" i="8"/>
  <c r="P374" i="8"/>
  <c r="M374" i="8"/>
  <c r="G374" i="8"/>
  <c r="F374" i="8"/>
  <c r="B374" i="8"/>
  <c r="A374" i="8"/>
  <c r="R373" i="8"/>
  <c r="Q373" i="8"/>
  <c r="P373" i="8"/>
  <c r="M373" i="8"/>
  <c r="G373" i="8"/>
  <c r="F373" i="8"/>
  <c r="C373" i="8"/>
  <c r="B373" i="8"/>
  <c r="A373" i="8"/>
  <c r="R372" i="8"/>
  <c r="Q372" i="8"/>
  <c r="P372" i="8"/>
  <c r="M372" i="8"/>
  <c r="G372" i="8"/>
  <c r="F372" i="8"/>
  <c r="B372" i="8"/>
  <c r="A372" i="8"/>
  <c r="R371" i="8"/>
  <c r="Q371" i="8"/>
  <c r="P371" i="8"/>
  <c r="M371" i="8"/>
  <c r="G371" i="8"/>
  <c r="F371" i="8"/>
  <c r="C371" i="8"/>
  <c r="B371" i="8"/>
  <c r="A371" i="8"/>
  <c r="R370" i="8"/>
  <c r="Q370" i="8"/>
  <c r="P370" i="8"/>
  <c r="M370" i="8"/>
  <c r="G370" i="8"/>
  <c r="F370" i="8"/>
  <c r="B370" i="8"/>
  <c r="A370" i="8"/>
  <c r="R369" i="8"/>
  <c r="Q369" i="8"/>
  <c r="P369" i="8"/>
  <c r="M369" i="8"/>
  <c r="G369" i="8"/>
  <c r="F369" i="8"/>
  <c r="B369" i="8"/>
  <c r="A369" i="8"/>
  <c r="R368" i="8"/>
  <c r="Q368" i="8"/>
  <c r="P368" i="8"/>
  <c r="M368" i="8"/>
  <c r="G368" i="8"/>
  <c r="F368" i="8"/>
  <c r="B368" i="8"/>
  <c r="A368" i="8"/>
  <c r="R367" i="8"/>
  <c r="Q367" i="8"/>
  <c r="P367" i="8"/>
  <c r="M367" i="8"/>
  <c r="G367" i="8"/>
  <c r="F367" i="8"/>
  <c r="C367" i="8"/>
  <c r="B367" i="8"/>
  <c r="A367" i="8"/>
  <c r="R366" i="8"/>
  <c r="Q366" i="8"/>
  <c r="P366" i="8"/>
  <c r="M366" i="8"/>
  <c r="G366" i="8"/>
  <c r="F366" i="8"/>
  <c r="B366" i="8"/>
  <c r="A366" i="8"/>
  <c r="R365" i="8"/>
  <c r="Q365" i="8"/>
  <c r="P365" i="8"/>
  <c r="M365" i="8"/>
  <c r="G365" i="8"/>
  <c r="F365" i="8"/>
  <c r="C365" i="8"/>
  <c r="B365" i="8"/>
  <c r="A365" i="8"/>
  <c r="R364" i="8"/>
  <c r="Q364" i="8"/>
  <c r="P364" i="8"/>
  <c r="M364" i="8"/>
  <c r="G364" i="8"/>
  <c r="F364" i="8"/>
  <c r="B364" i="8"/>
  <c r="A364" i="8"/>
  <c r="R363" i="8"/>
  <c r="Q363" i="8"/>
  <c r="P363" i="8"/>
  <c r="M363" i="8"/>
  <c r="G363" i="8"/>
  <c r="F363" i="8"/>
  <c r="B363" i="8"/>
  <c r="C363" i="8" s="1"/>
  <c r="A363" i="8"/>
  <c r="R362" i="8"/>
  <c r="Q362" i="8"/>
  <c r="P362" i="8"/>
  <c r="M362" i="8"/>
  <c r="G362" i="8"/>
  <c r="F362" i="8"/>
  <c r="C362" i="8"/>
  <c r="B362" i="8"/>
  <c r="A362" i="8"/>
  <c r="R361" i="8"/>
  <c r="Q361" i="8"/>
  <c r="P361" i="8"/>
  <c r="M361" i="8"/>
  <c r="G361" i="8"/>
  <c r="F361" i="8"/>
  <c r="B361" i="8"/>
  <c r="C361" i="8" s="1"/>
  <c r="A361" i="8"/>
  <c r="R360" i="8"/>
  <c r="Q360" i="8"/>
  <c r="P360" i="8"/>
  <c r="M360" i="8"/>
  <c r="G360" i="8"/>
  <c r="F360" i="8"/>
  <c r="B360" i="8"/>
  <c r="A360" i="8"/>
  <c r="R359" i="8"/>
  <c r="Q359" i="8"/>
  <c r="P359" i="8"/>
  <c r="M359" i="8"/>
  <c r="G359" i="8"/>
  <c r="F359" i="8"/>
  <c r="B359" i="8"/>
  <c r="A359" i="8"/>
  <c r="R358" i="8"/>
  <c r="Q358" i="8"/>
  <c r="P358" i="8"/>
  <c r="M358" i="8"/>
  <c r="G358" i="8"/>
  <c r="F358" i="8"/>
  <c r="B358" i="8"/>
  <c r="A358" i="8"/>
  <c r="R357" i="8"/>
  <c r="Q357" i="8"/>
  <c r="P357" i="8"/>
  <c r="M357" i="8"/>
  <c r="G357" i="8"/>
  <c r="F357" i="8"/>
  <c r="B357" i="8"/>
  <c r="A357" i="8"/>
  <c r="R356" i="8"/>
  <c r="Q356" i="8"/>
  <c r="P356" i="8"/>
  <c r="M356" i="8"/>
  <c r="G356" i="8"/>
  <c r="F356" i="8"/>
  <c r="B356" i="8"/>
  <c r="A356" i="8"/>
  <c r="R355" i="8"/>
  <c r="Q355" i="8"/>
  <c r="P355" i="8"/>
  <c r="M355" i="8"/>
  <c r="G355" i="8"/>
  <c r="F355" i="8"/>
  <c r="C355" i="8"/>
  <c r="B355" i="8"/>
  <c r="A355" i="8"/>
  <c r="R354" i="8"/>
  <c r="Q354" i="8"/>
  <c r="P354" i="8"/>
  <c r="M354" i="8"/>
  <c r="G354" i="8"/>
  <c r="F354" i="8"/>
  <c r="B354" i="8"/>
  <c r="A354" i="8"/>
  <c r="R353" i="8"/>
  <c r="Q353" i="8"/>
  <c r="P353" i="8"/>
  <c r="M353" i="8"/>
  <c r="G353" i="8"/>
  <c r="F353" i="8"/>
  <c r="B353" i="8"/>
  <c r="A353" i="8"/>
  <c r="R352" i="8"/>
  <c r="Q352" i="8"/>
  <c r="P352" i="8"/>
  <c r="M352" i="8"/>
  <c r="G352" i="8"/>
  <c r="F352" i="8"/>
  <c r="C352" i="8"/>
  <c r="B352" i="8"/>
  <c r="A352" i="8"/>
  <c r="R351" i="8"/>
  <c r="Q351" i="8"/>
  <c r="P351" i="8"/>
  <c r="M351" i="8"/>
  <c r="G351" i="8"/>
  <c r="F351" i="8"/>
  <c r="C351" i="8"/>
  <c r="B351" i="8"/>
  <c r="A351" i="8"/>
  <c r="R350" i="8"/>
  <c r="Q350" i="8"/>
  <c r="P350" i="8"/>
  <c r="M350" i="8"/>
  <c r="G350" i="8"/>
  <c r="F350" i="8"/>
  <c r="B350" i="8"/>
  <c r="A350" i="8"/>
  <c r="R349" i="8"/>
  <c r="Q349" i="8"/>
  <c r="P349" i="8"/>
  <c r="M349" i="8"/>
  <c r="G349" i="8"/>
  <c r="F349" i="8"/>
  <c r="B349" i="8"/>
  <c r="A349" i="8"/>
  <c r="R348" i="8"/>
  <c r="Q348" i="8"/>
  <c r="P348" i="8"/>
  <c r="M348" i="8"/>
  <c r="G348" i="8"/>
  <c r="F348" i="8"/>
  <c r="C348" i="8"/>
  <c r="B348" i="8"/>
  <c r="A348" i="8"/>
  <c r="R347" i="8"/>
  <c r="Q347" i="8"/>
  <c r="P347" i="8"/>
  <c r="M347" i="8"/>
  <c r="G347" i="8"/>
  <c r="F347" i="8"/>
  <c r="C347" i="8"/>
  <c r="B347" i="8"/>
  <c r="A347" i="8"/>
  <c r="R346" i="8"/>
  <c r="Q346" i="8"/>
  <c r="P346" i="8"/>
  <c r="M346" i="8"/>
  <c r="G346" i="8"/>
  <c r="F346" i="8"/>
  <c r="B346" i="8"/>
  <c r="C346" i="8" s="1"/>
  <c r="A346" i="8"/>
  <c r="R345" i="8"/>
  <c r="Q345" i="8"/>
  <c r="P345" i="8"/>
  <c r="M345" i="8"/>
  <c r="G345" i="8"/>
  <c r="F345" i="8"/>
  <c r="C345" i="8"/>
  <c r="B345" i="8"/>
  <c r="A345" i="8"/>
  <c r="R344" i="8"/>
  <c r="Q344" i="8"/>
  <c r="P344" i="8"/>
  <c r="M344" i="8"/>
  <c r="G344" i="8"/>
  <c r="F344" i="8"/>
  <c r="C344" i="8"/>
  <c r="B344" i="8"/>
  <c r="A344" i="8"/>
  <c r="R343" i="8"/>
  <c r="Q343" i="8"/>
  <c r="P343" i="8"/>
  <c r="M343" i="8"/>
  <c r="G343" i="8"/>
  <c r="F343" i="8"/>
  <c r="C343" i="8"/>
  <c r="B343" i="8"/>
  <c r="A343" i="8"/>
  <c r="R342" i="8"/>
  <c r="Q342" i="8"/>
  <c r="P342" i="8"/>
  <c r="M342" i="8"/>
  <c r="G342" i="8"/>
  <c r="F342" i="8"/>
  <c r="B342" i="8"/>
  <c r="A342" i="8"/>
  <c r="R341" i="8"/>
  <c r="Q341" i="8"/>
  <c r="P341" i="8"/>
  <c r="M341" i="8"/>
  <c r="G341" i="8"/>
  <c r="F341" i="8"/>
  <c r="B341" i="8"/>
  <c r="A341" i="8"/>
  <c r="R340" i="8"/>
  <c r="Q340" i="8"/>
  <c r="P340" i="8"/>
  <c r="M340" i="8"/>
  <c r="G340" i="8"/>
  <c r="F340" i="8"/>
  <c r="C340" i="8"/>
  <c r="B340" i="8"/>
  <c r="A340" i="8"/>
  <c r="R339" i="8"/>
  <c r="Q339" i="8"/>
  <c r="P339" i="8"/>
  <c r="M339" i="8"/>
  <c r="G339" i="8"/>
  <c r="F339" i="8"/>
  <c r="C339" i="8"/>
  <c r="B339" i="8"/>
  <c r="A339" i="8"/>
  <c r="R338" i="8"/>
  <c r="Q338" i="8"/>
  <c r="P338" i="8"/>
  <c r="M338" i="8"/>
  <c r="G338" i="8"/>
  <c r="F338" i="8"/>
  <c r="B338" i="8"/>
  <c r="A338" i="8"/>
  <c r="R337" i="8"/>
  <c r="Q337" i="8"/>
  <c r="P337" i="8"/>
  <c r="M337" i="8"/>
  <c r="G337" i="8"/>
  <c r="F337" i="8"/>
  <c r="B337" i="8"/>
  <c r="A337" i="8"/>
  <c r="R336" i="8"/>
  <c r="Q336" i="8"/>
  <c r="P336" i="8"/>
  <c r="M336" i="8"/>
  <c r="G336" i="8"/>
  <c r="F336" i="8"/>
  <c r="C336" i="8"/>
  <c r="B336" i="8"/>
  <c r="A336" i="8"/>
  <c r="R335" i="8"/>
  <c r="Q335" i="8"/>
  <c r="P335" i="8"/>
  <c r="M335" i="8"/>
  <c r="G335" i="8"/>
  <c r="F335" i="8"/>
  <c r="C335" i="8"/>
  <c r="B335" i="8"/>
  <c r="A335" i="8"/>
  <c r="R334" i="8"/>
  <c r="Q334" i="8"/>
  <c r="P334" i="8"/>
  <c r="M334" i="8"/>
  <c r="G334" i="8"/>
  <c r="F334" i="8"/>
  <c r="B334" i="8"/>
  <c r="C334" i="8" s="1"/>
  <c r="A334" i="8"/>
  <c r="R333" i="8"/>
  <c r="Q333" i="8"/>
  <c r="P333" i="8"/>
  <c r="M333" i="8"/>
  <c r="G333" i="8"/>
  <c r="F333" i="8"/>
  <c r="C333" i="8"/>
  <c r="B333" i="8"/>
  <c r="A333" i="8"/>
  <c r="R332" i="8"/>
  <c r="Q332" i="8"/>
  <c r="P332" i="8"/>
  <c r="M332" i="8"/>
  <c r="G332" i="8"/>
  <c r="F332" i="8"/>
  <c r="C332" i="8"/>
  <c r="B332" i="8"/>
  <c r="A332" i="8"/>
  <c r="R331" i="8"/>
  <c r="Q331" i="8"/>
  <c r="P331" i="8"/>
  <c r="M331" i="8"/>
  <c r="G331" i="8"/>
  <c r="F331" i="8"/>
  <c r="C331" i="8"/>
  <c r="B331" i="8"/>
  <c r="A331" i="8"/>
  <c r="R330" i="8"/>
  <c r="Q330" i="8"/>
  <c r="P330" i="8"/>
  <c r="M330" i="8"/>
  <c r="G330" i="8"/>
  <c r="F330" i="8"/>
  <c r="B330" i="8"/>
  <c r="C330" i="8" s="1"/>
  <c r="A330" i="8"/>
  <c r="R329" i="8"/>
  <c r="Q329" i="8"/>
  <c r="P329" i="8"/>
  <c r="M329" i="8"/>
  <c r="G329" i="8"/>
  <c r="F329" i="8"/>
  <c r="C329" i="8"/>
  <c r="B329" i="8"/>
  <c r="A329" i="8"/>
  <c r="R328" i="8"/>
  <c r="Q328" i="8"/>
  <c r="P328" i="8"/>
  <c r="M328" i="8"/>
  <c r="G328" i="8"/>
  <c r="F328" i="8"/>
  <c r="C328" i="8"/>
  <c r="B328" i="8"/>
  <c r="A328" i="8"/>
  <c r="R327" i="8"/>
  <c r="Q327" i="8"/>
  <c r="P327" i="8"/>
  <c r="M327" i="8"/>
  <c r="G327" i="8"/>
  <c r="F327" i="8"/>
  <c r="C327" i="8"/>
  <c r="B327" i="8"/>
  <c r="A327" i="8"/>
  <c r="R326" i="8"/>
  <c r="Q326" i="8"/>
  <c r="P326" i="8"/>
  <c r="M326" i="8"/>
  <c r="G326" i="8"/>
  <c r="F326" i="8"/>
  <c r="B326" i="8"/>
  <c r="C326" i="8" s="1"/>
  <c r="A326" i="8"/>
  <c r="R325" i="8"/>
  <c r="Q325" i="8"/>
  <c r="P325" i="8"/>
  <c r="M325" i="8"/>
  <c r="G325" i="8"/>
  <c r="F325" i="8"/>
  <c r="C325" i="8"/>
  <c r="B325" i="8"/>
  <c r="A325" i="8"/>
  <c r="R324" i="8"/>
  <c r="Q324" i="8"/>
  <c r="P324" i="8"/>
  <c r="M324" i="8"/>
  <c r="G324" i="8"/>
  <c r="F324" i="8"/>
  <c r="C324" i="8"/>
  <c r="B324" i="8"/>
  <c r="A324" i="8"/>
  <c r="R323" i="8"/>
  <c r="Q323" i="8"/>
  <c r="P323" i="8"/>
  <c r="M323" i="8"/>
  <c r="G323" i="8"/>
  <c r="F323" i="8"/>
  <c r="C323" i="8"/>
  <c r="B323" i="8"/>
  <c r="A323" i="8"/>
  <c r="R322" i="8"/>
  <c r="Q322" i="8"/>
  <c r="P322" i="8"/>
  <c r="M322" i="8"/>
  <c r="G322" i="8"/>
  <c r="F322" i="8"/>
  <c r="B322" i="8"/>
  <c r="A322" i="8"/>
  <c r="R321" i="8"/>
  <c r="Q321" i="8"/>
  <c r="P321" i="8"/>
  <c r="M321" i="8"/>
  <c r="G321" i="8"/>
  <c r="F321" i="8"/>
  <c r="B321" i="8"/>
  <c r="C321" i="8" s="1"/>
  <c r="A321" i="8"/>
  <c r="R320" i="8"/>
  <c r="Q320" i="8"/>
  <c r="P320" i="8"/>
  <c r="M320" i="8"/>
  <c r="G320" i="8"/>
  <c r="F320" i="8"/>
  <c r="C320" i="8"/>
  <c r="B320" i="8"/>
  <c r="A320" i="8"/>
  <c r="R319" i="8"/>
  <c r="Q319" i="8"/>
  <c r="P319" i="8"/>
  <c r="M319" i="8"/>
  <c r="G319" i="8"/>
  <c r="F319" i="8"/>
  <c r="C319" i="8"/>
  <c r="B319" i="8"/>
  <c r="A319" i="8"/>
  <c r="R318" i="8"/>
  <c r="Q318" i="8"/>
  <c r="P318" i="8"/>
  <c r="M318" i="8"/>
  <c r="G318" i="8"/>
  <c r="F318" i="8"/>
  <c r="B318" i="8"/>
  <c r="A318" i="8"/>
  <c r="R317" i="8"/>
  <c r="Q317" i="8"/>
  <c r="P317" i="8"/>
  <c r="M317" i="8"/>
  <c r="G317" i="8"/>
  <c r="F317" i="8"/>
  <c r="B317" i="8"/>
  <c r="A317" i="8"/>
  <c r="R316" i="8"/>
  <c r="Q316" i="8"/>
  <c r="P316" i="8"/>
  <c r="M316" i="8"/>
  <c r="G316" i="8"/>
  <c r="F316" i="8"/>
  <c r="C316" i="8"/>
  <c r="B316" i="8"/>
  <c r="A316" i="8"/>
  <c r="R315" i="8"/>
  <c r="Q315" i="8"/>
  <c r="P315" i="8"/>
  <c r="M315" i="8"/>
  <c r="G315" i="8"/>
  <c r="F315" i="8"/>
  <c r="C315" i="8"/>
  <c r="B315" i="8"/>
  <c r="A315" i="8"/>
  <c r="R314" i="8"/>
  <c r="Q314" i="8"/>
  <c r="P314" i="8"/>
  <c r="M314" i="8"/>
  <c r="G314" i="8"/>
  <c r="F314" i="8"/>
  <c r="B314" i="8"/>
  <c r="C314" i="8" s="1"/>
  <c r="A314" i="8"/>
  <c r="R313" i="8"/>
  <c r="Q313" i="8"/>
  <c r="P313" i="8"/>
  <c r="M313" i="8"/>
  <c r="G313" i="8"/>
  <c r="F313" i="8"/>
  <c r="C313" i="8"/>
  <c r="B313" i="8"/>
  <c r="A313" i="8"/>
  <c r="R312" i="8"/>
  <c r="Q312" i="8"/>
  <c r="P312" i="8"/>
  <c r="M312" i="8"/>
  <c r="G312" i="8"/>
  <c r="F312" i="8"/>
  <c r="C312" i="8"/>
  <c r="B312" i="8"/>
  <c r="A312" i="8"/>
  <c r="R311" i="8"/>
  <c r="Q311" i="8"/>
  <c r="P311" i="8"/>
  <c r="M311" i="8"/>
  <c r="G311" i="8"/>
  <c r="F311" i="8"/>
  <c r="C311" i="8"/>
  <c r="B311" i="8"/>
  <c r="A311" i="8"/>
  <c r="R310" i="8"/>
  <c r="Q310" i="8"/>
  <c r="P310" i="8"/>
  <c r="M310" i="8"/>
  <c r="G310" i="8"/>
  <c r="F310" i="8"/>
  <c r="B310" i="8"/>
  <c r="A310" i="8"/>
  <c r="R309" i="8"/>
  <c r="Q309" i="8"/>
  <c r="P309" i="8"/>
  <c r="M309" i="8"/>
  <c r="G309" i="8"/>
  <c r="F309" i="8"/>
  <c r="B309" i="8"/>
  <c r="A309" i="8"/>
  <c r="R308" i="8"/>
  <c r="Q308" i="8"/>
  <c r="P308" i="8"/>
  <c r="M308" i="8"/>
  <c r="G308" i="8"/>
  <c r="F308" i="8"/>
  <c r="C308" i="8"/>
  <c r="B308" i="8"/>
  <c r="A308" i="8"/>
  <c r="R307" i="8"/>
  <c r="Q307" i="8"/>
  <c r="P307" i="8"/>
  <c r="M307" i="8"/>
  <c r="G307" i="8"/>
  <c r="F307" i="8"/>
  <c r="C307" i="8"/>
  <c r="B307" i="8"/>
  <c r="A307" i="8"/>
  <c r="R306" i="8"/>
  <c r="Q306" i="8"/>
  <c r="P306" i="8"/>
  <c r="M306" i="8"/>
  <c r="G306" i="8"/>
  <c r="F306" i="8"/>
  <c r="B306" i="8"/>
  <c r="A306" i="8"/>
  <c r="R305" i="8"/>
  <c r="Q305" i="8"/>
  <c r="P305" i="8"/>
  <c r="M305" i="8"/>
  <c r="G305" i="8"/>
  <c r="F305" i="8"/>
  <c r="B305" i="8"/>
  <c r="A305" i="8"/>
  <c r="R304" i="8"/>
  <c r="Q304" i="8"/>
  <c r="P304" i="8"/>
  <c r="M304" i="8"/>
  <c r="G304" i="8"/>
  <c r="F304" i="8"/>
  <c r="C304" i="8"/>
  <c r="B304" i="8"/>
  <c r="A304" i="8"/>
  <c r="R303" i="8"/>
  <c r="Q303" i="8"/>
  <c r="P303" i="8"/>
  <c r="M303" i="8"/>
  <c r="G303" i="8"/>
  <c r="F303" i="8"/>
  <c r="C303" i="8"/>
  <c r="B303" i="8"/>
  <c r="A303" i="8"/>
  <c r="R302" i="8"/>
  <c r="Q302" i="8"/>
  <c r="P302" i="8"/>
  <c r="M302" i="8"/>
  <c r="G302" i="8"/>
  <c r="F302" i="8"/>
  <c r="B302" i="8"/>
  <c r="A302" i="8"/>
  <c r="R301" i="8"/>
  <c r="Q301" i="8"/>
  <c r="P301" i="8"/>
  <c r="M301" i="8"/>
  <c r="G301" i="8"/>
  <c r="F301" i="8"/>
  <c r="B301" i="8"/>
  <c r="A301" i="8"/>
  <c r="R300" i="8"/>
  <c r="Q300" i="8"/>
  <c r="P300" i="8"/>
  <c r="M300" i="8"/>
  <c r="G300" i="8"/>
  <c r="F300" i="8"/>
  <c r="C300" i="8"/>
  <c r="B300" i="8"/>
  <c r="A300" i="8"/>
  <c r="R299" i="8"/>
  <c r="Q299" i="8"/>
  <c r="P299" i="8"/>
  <c r="M299" i="8"/>
  <c r="G299" i="8"/>
  <c r="F299" i="8"/>
  <c r="B299" i="8"/>
  <c r="A299" i="8"/>
  <c r="R298" i="8"/>
  <c r="Q298" i="8"/>
  <c r="P298" i="8"/>
  <c r="M298" i="8"/>
  <c r="G298" i="8"/>
  <c r="F298" i="8"/>
  <c r="B298" i="8"/>
  <c r="C299" i="8" s="1"/>
  <c r="A298" i="8"/>
  <c r="R297" i="8"/>
  <c r="Q297" i="8"/>
  <c r="P297" i="8"/>
  <c r="M297" i="8"/>
  <c r="G297" i="8"/>
  <c r="F297" i="8"/>
  <c r="B297" i="8"/>
  <c r="A297" i="8"/>
  <c r="R296" i="8"/>
  <c r="Q296" i="8"/>
  <c r="P296" i="8"/>
  <c r="M296" i="8"/>
  <c r="G296" i="8"/>
  <c r="F296" i="8"/>
  <c r="C296" i="8"/>
  <c r="B296" i="8"/>
  <c r="A296" i="8"/>
  <c r="R295" i="8"/>
  <c r="Q295" i="8"/>
  <c r="P295" i="8"/>
  <c r="M295" i="8"/>
  <c r="G295" i="8"/>
  <c r="F295" i="8"/>
  <c r="B295" i="8"/>
  <c r="A295" i="8"/>
  <c r="R294" i="8"/>
  <c r="Q294" i="8"/>
  <c r="P294" i="8"/>
  <c r="M294" i="8"/>
  <c r="G294" i="8"/>
  <c r="F294" i="8"/>
  <c r="B294" i="8"/>
  <c r="C295" i="8" s="1"/>
  <c r="A294" i="8"/>
  <c r="R293" i="8"/>
  <c r="Q293" i="8"/>
  <c r="P293" i="8"/>
  <c r="M293" i="8"/>
  <c r="G293" i="8"/>
  <c r="F293" i="8"/>
  <c r="C293" i="8"/>
  <c r="B293" i="8"/>
  <c r="A293" i="8"/>
  <c r="R292" i="8"/>
  <c r="Q292" i="8"/>
  <c r="P292" i="8"/>
  <c r="M292" i="8"/>
  <c r="G292" i="8"/>
  <c r="F292" i="8"/>
  <c r="C292" i="8"/>
  <c r="B292" i="8"/>
  <c r="A292" i="8"/>
  <c r="R291" i="8"/>
  <c r="Q291" i="8"/>
  <c r="P291" i="8"/>
  <c r="M291" i="8"/>
  <c r="G291" i="8"/>
  <c r="F291" i="8"/>
  <c r="B291" i="8"/>
  <c r="A291" i="8"/>
  <c r="R290" i="8"/>
  <c r="Q290" i="8"/>
  <c r="P290" i="8"/>
  <c r="M290" i="8"/>
  <c r="G290" i="8"/>
  <c r="F290" i="8"/>
  <c r="B290" i="8"/>
  <c r="C291" i="8" s="1"/>
  <c r="A290" i="8"/>
  <c r="R289" i="8"/>
  <c r="Q289" i="8"/>
  <c r="P289" i="8"/>
  <c r="M289" i="8"/>
  <c r="G289" i="8"/>
  <c r="F289" i="8"/>
  <c r="B289" i="8"/>
  <c r="A289" i="8"/>
  <c r="R288" i="8"/>
  <c r="Q288" i="8"/>
  <c r="P288" i="8"/>
  <c r="M288" i="8"/>
  <c r="G288" i="8"/>
  <c r="F288" i="8"/>
  <c r="C288" i="8"/>
  <c r="B288" i="8"/>
  <c r="A288" i="8"/>
  <c r="R287" i="8"/>
  <c r="Q287" i="8"/>
  <c r="P287" i="8"/>
  <c r="M287" i="8"/>
  <c r="G287" i="8"/>
  <c r="F287" i="8"/>
  <c r="B287" i="8"/>
  <c r="A287" i="8"/>
  <c r="R286" i="8"/>
  <c r="Q286" i="8"/>
  <c r="P286" i="8"/>
  <c r="M286" i="8"/>
  <c r="G286" i="8"/>
  <c r="F286" i="8"/>
  <c r="B286" i="8"/>
  <c r="C287" i="8" s="1"/>
  <c r="A286" i="8"/>
  <c r="R285" i="8"/>
  <c r="Q285" i="8"/>
  <c r="P285" i="8"/>
  <c r="M285" i="8"/>
  <c r="G285" i="8"/>
  <c r="F285" i="8"/>
  <c r="C285" i="8"/>
  <c r="B285" i="8"/>
  <c r="A285" i="8"/>
  <c r="R284" i="8"/>
  <c r="Q284" i="8"/>
  <c r="P284" i="8"/>
  <c r="M284" i="8"/>
  <c r="G284" i="8"/>
  <c r="F284" i="8"/>
  <c r="C284" i="8"/>
  <c r="B284" i="8"/>
  <c r="A284" i="8"/>
  <c r="R283" i="8"/>
  <c r="Q283" i="8"/>
  <c r="P283" i="8"/>
  <c r="M283" i="8"/>
  <c r="G283" i="8"/>
  <c r="F283" i="8"/>
  <c r="B283" i="8"/>
  <c r="C283" i="8" s="1"/>
  <c r="A283" i="8"/>
  <c r="R282" i="8"/>
  <c r="Q282" i="8"/>
  <c r="P282" i="8"/>
  <c r="M282" i="8"/>
  <c r="G282" i="8"/>
  <c r="F282" i="8"/>
  <c r="B282" i="8"/>
  <c r="A282" i="8"/>
  <c r="R281" i="8"/>
  <c r="Q281" i="8"/>
  <c r="P281" i="8"/>
  <c r="M281" i="8"/>
  <c r="G281" i="8"/>
  <c r="F281" i="8"/>
  <c r="B281" i="8"/>
  <c r="A281" i="8"/>
  <c r="R280" i="8"/>
  <c r="Q280" i="8"/>
  <c r="P280" i="8"/>
  <c r="M280" i="8"/>
  <c r="G280" i="8"/>
  <c r="F280" i="8"/>
  <c r="C280" i="8"/>
  <c r="B280" i="8"/>
  <c r="A280" i="8"/>
  <c r="R279" i="8"/>
  <c r="Q279" i="8"/>
  <c r="P279" i="8"/>
  <c r="M279" i="8"/>
  <c r="G279" i="8"/>
  <c r="F279" i="8"/>
  <c r="B279" i="8"/>
  <c r="C279" i="8" s="1"/>
  <c r="A279" i="8"/>
  <c r="R278" i="8"/>
  <c r="Q278" i="8"/>
  <c r="P278" i="8"/>
  <c r="M278" i="8"/>
  <c r="G278" i="8"/>
  <c r="F278" i="8"/>
  <c r="B278" i="8"/>
  <c r="A278" i="8"/>
  <c r="R277" i="8"/>
  <c r="Q277" i="8"/>
  <c r="P277" i="8"/>
  <c r="M277" i="8"/>
  <c r="G277" i="8"/>
  <c r="F277" i="8"/>
  <c r="B277" i="8"/>
  <c r="A277" i="8"/>
  <c r="R276" i="8"/>
  <c r="Q276" i="8"/>
  <c r="P276" i="8"/>
  <c r="M276" i="8"/>
  <c r="G276" i="8"/>
  <c r="F276" i="8"/>
  <c r="C276" i="8"/>
  <c r="B276" i="8"/>
  <c r="A276" i="8"/>
  <c r="R275" i="8"/>
  <c r="Q275" i="8"/>
  <c r="P275" i="8"/>
  <c r="M275" i="8"/>
  <c r="G275" i="8"/>
  <c r="F275" i="8"/>
  <c r="B275" i="8"/>
  <c r="A275" i="8"/>
  <c r="R274" i="8"/>
  <c r="Q274" i="8"/>
  <c r="P274" i="8"/>
  <c r="M274" i="8"/>
  <c r="G274" i="8"/>
  <c r="F274" i="8"/>
  <c r="B274" i="8"/>
  <c r="C275" i="8" s="1"/>
  <c r="A274" i="8"/>
  <c r="R273" i="8"/>
  <c r="Q273" i="8"/>
  <c r="P273" i="8"/>
  <c r="M273" i="8"/>
  <c r="G273" i="8"/>
  <c r="F273" i="8"/>
  <c r="B273" i="8"/>
  <c r="A273" i="8"/>
  <c r="R272" i="8"/>
  <c r="Q272" i="8"/>
  <c r="P272" i="8"/>
  <c r="M272" i="8"/>
  <c r="G272" i="8"/>
  <c r="F272" i="8"/>
  <c r="C272" i="8"/>
  <c r="B272" i="8"/>
  <c r="A272" i="8"/>
  <c r="R271" i="8"/>
  <c r="Q271" i="8"/>
  <c r="P271" i="8"/>
  <c r="M271" i="8"/>
  <c r="G271" i="8"/>
  <c r="F271" i="8"/>
  <c r="B271" i="8"/>
  <c r="A271" i="8"/>
  <c r="R270" i="8"/>
  <c r="Q270" i="8"/>
  <c r="P270" i="8"/>
  <c r="M270" i="8"/>
  <c r="G270" i="8"/>
  <c r="F270" i="8"/>
  <c r="B270" i="8"/>
  <c r="C271" i="8" s="1"/>
  <c r="A270" i="8"/>
  <c r="R269" i="8"/>
  <c r="Q269" i="8"/>
  <c r="P269" i="8"/>
  <c r="M269" i="8"/>
  <c r="G269" i="8"/>
  <c r="F269" i="8"/>
  <c r="C269" i="8"/>
  <c r="B269" i="8"/>
  <c r="A269" i="8"/>
  <c r="R268" i="8"/>
  <c r="Q268" i="8"/>
  <c r="P268" i="8"/>
  <c r="M268" i="8"/>
  <c r="G268" i="8"/>
  <c r="F268" i="8"/>
  <c r="C268" i="8"/>
  <c r="B268" i="8"/>
  <c r="A268" i="8"/>
  <c r="R267" i="8"/>
  <c r="Q267" i="8"/>
  <c r="P267" i="8"/>
  <c r="M267" i="8"/>
  <c r="G267" i="8"/>
  <c r="F267" i="8"/>
  <c r="B267" i="8"/>
  <c r="C267" i="8" s="1"/>
  <c r="A267" i="8"/>
  <c r="R266" i="8"/>
  <c r="Q266" i="8"/>
  <c r="P266" i="8"/>
  <c r="M266" i="8"/>
  <c r="G266" i="8"/>
  <c r="F266" i="8"/>
  <c r="B266" i="8"/>
  <c r="A266" i="8"/>
  <c r="R265" i="8"/>
  <c r="Q265" i="8"/>
  <c r="P265" i="8"/>
  <c r="M265" i="8"/>
  <c r="G265" i="8"/>
  <c r="F265" i="8"/>
  <c r="B265" i="8"/>
  <c r="A265" i="8"/>
  <c r="R264" i="8"/>
  <c r="Q264" i="8"/>
  <c r="P264" i="8"/>
  <c r="M264" i="8"/>
  <c r="G264" i="8"/>
  <c r="F264" i="8"/>
  <c r="C264" i="8"/>
  <c r="B264" i="8"/>
  <c r="A264" i="8"/>
  <c r="R263" i="8"/>
  <c r="Q263" i="8"/>
  <c r="P263" i="8"/>
  <c r="M263" i="8"/>
  <c r="G263" i="8"/>
  <c r="F263" i="8"/>
  <c r="B263" i="8"/>
  <c r="C263" i="8" s="1"/>
  <c r="A263" i="8"/>
  <c r="R262" i="8"/>
  <c r="Q262" i="8"/>
  <c r="P262" i="8"/>
  <c r="M262" i="8"/>
  <c r="G262" i="8"/>
  <c r="F262" i="8"/>
  <c r="B262" i="8"/>
  <c r="A262" i="8"/>
  <c r="R261" i="8"/>
  <c r="Q261" i="8"/>
  <c r="P261" i="8"/>
  <c r="M261" i="8"/>
  <c r="G261" i="8"/>
  <c r="F261" i="8"/>
  <c r="B261" i="8"/>
  <c r="A261" i="8"/>
  <c r="R260" i="8"/>
  <c r="Q260" i="8"/>
  <c r="P260" i="8"/>
  <c r="M260" i="8"/>
  <c r="G260" i="8"/>
  <c r="F260" i="8"/>
  <c r="C260" i="8"/>
  <c r="B260" i="8"/>
  <c r="A260" i="8"/>
  <c r="R259" i="8"/>
  <c r="Q259" i="8"/>
  <c r="P259" i="8"/>
  <c r="M259" i="8"/>
  <c r="G259" i="8"/>
  <c r="F259" i="8"/>
  <c r="B259" i="8"/>
  <c r="C259" i="8" s="1"/>
  <c r="A259" i="8"/>
  <c r="R258" i="8"/>
  <c r="Q258" i="8"/>
  <c r="P258" i="8"/>
  <c r="M258" i="8"/>
  <c r="G258" i="8"/>
  <c r="F258" i="8"/>
  <c r="B258" i="8"/>
  <c r="A258" i="8"/>
  <c r="R257" i="8"/>
  <c r="Q257" i="8"/>
  <c r="P257" i="8"/>
  <c r="M257" i="8"/>
  <c r="G257" i="8"/>
  <c r="F257" i="8"/>
  <c r="B257" i="8"/>
  <c r="A257" i="8"/>
  <c r="R256" i="8"/>
  <c r="Q256" i="8"/>
  <c r="P256" i="8"/>
  <c r="M256" i="8"/>
  <c r="G256" i="8"/>
  <c r="F256" i="8"/>
  <c r="C256" i="8"/>
  <c r="B256" i="8"/>
  <c r="A256" i="8"/>
  <c r="R255" i="8"/>
  <c r="Q255" i="8"/>
  <c r="P255" i="8"/>
  <c r="M255" i="8"/>
  <c r="G255" i="8"/>
  <c r="F255" i="8"/>
  <c r="B255" i="8"/>
  <c r="C255" i="8" s="1"/>
  <c r="A255" i="8"/>
  <c r="R254" i="8"/>
  <c r="Q254" i="8"/>
  <c r="P254" i="8"/>
  <c r="M254" i="8"/>
  <c r="G254" i="8"/>
  <c r="F254" i="8"/>
  <c r="B254" i="8"/>
  <c r="A254" i="8"/>
  <c r="R253" i="8"/>
  <c r="Q253" i="8"/>
  <c r="P253" i="8"/>
  <c r="M253" i="8"/>
  <c r="G253" i="8"/>
  <c r="F253" i="8"/>
  <c r="B253" i="8"/>
  <c r="A253" i="8"/>
  <c r="R252" i="8"/>
  <c r="Q252" i="8"/>
  <c r="P252" i="8"/>
  <c r="M252" i="8"/>
  <c r="G252" i="8"/>
  <c r="F252" i="8"/>
  <c r="C252" i="8"/>
  <c r="B252" i="8"/>
  <c r="A252" i="8"/>
  <c r="R251" i="8"/>
  <c r="Q251" i="8"/>
  <c r="P251" i="8"/>
  <c r="M251" i="8"/>
  <c r="G251" i="8"/>
  <c r="F251" i="8"/>
  <c r="B251" i="8"/>
  <c r="C251" i="8" s="1"/>
  <c r="A251" i="8"/>
  <c r="R250" i="8"/>
  <c r="Q250" i="8"/>
  <c r="P250" i="8"/>
  <c r="M250" i="8"/>
  <c r="G250" i="8"/>
  <c r="F250" i="8"/>
  <c r="B250" i="8"/>
  <c r="A250" i="8"/>
  <c r="R249" i="8"/>
  <c r="Q249" i="8"/>
  <c r="P249" i="8"/>
  <c r="M249" i="8"/>
  <c r="G249" i="8"/>
  <c r="F249" i="8"/>
  <c r="B249" i="8"/>
  <c r="A249" i="8"/>
  <c r="R248" i="8"/>
  <c r="Q248" i="8"/>
  <c r="P248" i="8"/>
  <c r="M248" i="8"/>
  <c r="G248" i="8"/>
  <c r="F248" i="8"/>
  <c r="C248" i="8"/>
  <c r="B248" i="8"/>
  <c r="A248" i="8"/>
  <c r="R247" i="8"/>
  <c r="Q247" i="8"/>
  <c r="P247" i="8"/>
  <c r="M247" i="8"/>
  <c r="G247" i="8"/>
  <c r="F247" i="8"/>
  <c r="B247" i="8"/>
  <c r="C247" i="8" s="1"/>
  <c r="A247" i="8"/>
  <c r="R246" i="8"/>
  <c r="Q246" i="8"/>
  <c r="P246" i="8"/>
  <c r="M246" i="8"/>
  <c r="G246" i="8"/>
  <c r="F246" i="8"/>
  <c r="B246" i="8"/>
  <c r="A246" i="8"/>
  <c r="R245" i="8"/>
  <c r="Q245" i="8"/>
  <c r="P245" i="8"/>
  <c r="M245" i="8"/>
  <c r="G245" i="8"/>
  <c r="F245" i="8"/>
  <c r="B245" i="8"/>
  <c r="A245" i="8"/>
  <c r="R244" i="8"/>
  <c r="Q244" i="8"/>
  <c r="P244" i="8"/>
  <c r="M244" i="8"/>
  <c r="G244" i="8"/>
  <c r="F244" i="8"/>
  <c r="C244" i="8"/>
  <c r="B244" i="8"/>
  <c r="A244" i="8"/>
  <c r="R243" i="8"/>
  <c r="Q243" i="8"/>
  <c r="P243" i="8"/>
  <c r="M243" i="8"/>
  <c r="G243" i="8"/>
  <c r="F243" i="8"/>
  <c r="B243" i="8"/>
  <c r="A243" i="8"/>
  <c r="R242" i="8"/>
  <c r="Q242" i="8"/>
  <c r="P242" i="8"/>
  <c r="M242" i="8"/>
  <c r="G242" i="8"/>
  <c r="F242" i="8"/>
  <c r="B242" i="8"/>
  <c r="A242" i="8"/>
  <c r="R241" i="8"/>
  <c r="Q241" i="8"/>
  <c r="P241" i="8"/>
  <c r="M241" i="8"/>
  <c r="G241" i="8"/>
  <c r="F241" i="8"/>
  <c r="B241" i="8"/>
  <c r="A241" i="8"/>
  <c r="R240" i="8"/>
  <c r="Q240" i="8"/>
  <c r="P240" i="8"/>
  <c r="M240" i="8"/>
  <c r="G240" i="8"/>
  <c r="F240" i="8"/>
  <c r="B240" i="8"/>
  <c r="A240" i="8"/>
  <c r="R239" i="8"/>
  <c r="Q239" i="8"/>
  <c r="P239" i="8"/>
  <c r="M239" i="8"/>
  <c r="G239" i="8"/>
  <c r="F239" i="8"/>
  <c r="B239" i="8"/>
  <c r="A239" i="8"/>
  <c r="R238" i="8"/>
  <c r="Q238" i="8"/>
  <c r="P238" i="8"/>
  <c r="M238" i="8"/>
  <c r="G238" i="8"/>
  <c r="F238" i="8"/>
  <c r="B238" i="8"/>
  <c r="A238" i="8"/>
  <c r="R237" i="8"/>
  <c r="Q237" i="8"/>
  <c r="P237" i="8"/>
  <c r="M237" i="8"/>
  <c r="G237" i="8"/>
  <c r="F237" i="8"/>
  <c r="C237" i="8"/>
  <c r="B237" i="8"/>
  <c r="A237" i="8"/>
  <c r="R236" i="8"/>
  <c r="Q236" i="8"/>
  <c r="P236" i="8"/>
  <c r="M236" i="8"/>
  <c r="G236" i="8"/>
  <c r="F236" i="8"/>
  <c r="C236" i="8"/>
  <c r="B236" i="8"/>
  <c r="A236" i="8"/>
  <c r="R235" i="8"/>
  <c r="Q235" i="8"/>
  <c r="P235" i="8"/>
  <c r="M235" i="8"/>
  <c r="G235" i="8"/>
  <c r="F235" i="8"/>
  <c r="B235" i="8"/>
  <c r="A235" i="8"/>
  <c r="R234" i="8"/>
  <c r="Q234" i="8"/>
  <c r="P234" i="8"/>
  <c r="M234" i="8"/>
  <c r="G234" i="8"/>
  <c r="F234" i="8"/>
  <c r="B234" i="8"/>
  <c r="A234" i="8"/>
  <c r="R233" i="8"/>
  <c r="Q233" i="8"/>
  <c r="P233" i="8"/>
  <c r="M233" i="8"/>
  <c r="G233" i="8"/>
  <c r="F233" i="8"/>
  <c r="B233" i="8"/>
  <c r="A233" i="8"/>
  <c r="R232" i="8"/>
  <c r="Q232" i="8"/>
  <c r="P232" i="8"/>
  <c r="M232" i="8"/>
  <c r="G232" i="8"/>
  <c r="F232" i="8"/>
  <c r="C232" i="8"/>
  <c r="B232" i="8"/>
  <c r="A232" i="8"/>
  <c r="R231" i="8"/>
  <c r="Q231" i="8"/>
  <c r="P231" i="8"/>
  <c r="M231" i="8"/>
  <c r="G231" i="8"/>
  <c r="F231" i="8"/>
  <c r="C231" i="8"/>
  <c r="B231" i="8"/>
  <c r="A231" i="8"/>
  <c r="R230" i="8"/>
  <c r="Q230" i="8"/>
  <c r="P230" i="8"/>
  <c r="M230" i="8"/>
  <c r="G230" i="8"/>
  <c r="F230" i="8"/>
  <c r="B230" i="8"/>
  <c r="A230" i="8"/>
  <c r="R229" i="8"/>
  <c r="Q229" i="8"/>
  <c r="P229" i="8"/>
  <c r="M229" i="8"/>
  <c r="G229" i="8"/>
  <c r="F229" i="8"/>
  <c r="B229" i="8"/>
  <c r="C229" i="8" s="1"/>
  <c r="A229" i="8"/>
  <c r="R228" i="8"/>
  <c r="Q228" i="8"/>
  <c r="P228" i="8"/>
  <c r="M228" i="8"/>
  <c r="G228" i="8"/>
  <c r="F228" i="8"/>
  <c r="C228" i="8"/>
  <c r="B228" i="8"/>
  <c r="A228" i="8"/>
  <c r="R227" i="8"/>
  <c r="Q227" i="8"/>
  <c r="P227" i="8"/>
  <c r="M227" i="8"/>
  <c r="G227" i="8"/>
  <c r="F227" i="8"/>
  <c r="C227" i="8"/>
  <c r="B227" i="8"/>
  <c r="A227" i="8"/>
  <c r="R226" i="8"/>
  <c r="Q226" i="8"/>
  <c r="P226" i="8"/>
  <c r="M226" i="8"/>
  <c r="G226" i="8"/>
  <c r="F226" i="8"/>
  <c r="B226" i="8"/>
  <c r="C226" i="8" s="1"/>
  <c r="A226" i="8"/>
  <c r="R225" i="8"/>
  <c r="Q225" i="8"/>
  <c r="P225" i="8"/>
  <c r="M225" i="8"/>
  <c r="G225" i="8"/>
  <c r="F225" i="8"/>
  <c r="B225" i="8"/>
  <c r="C225" i="8" s="1"/>
  <c r="A225" i="8"/>
  <c r="R224" i="8"/>
  <c r="Q224" i="8"/>
  <c r="P224" i="8"/>
  <c r="M224" i="8"/>
  <c r="G224" i="8"/>
  <c r="F224" i="8"/>
  <c r="B224" i="8"/>
  <c r="A224" i="8"/>
  <c r="R223" i="8"/>
  <c r="Q223" i="8"/>
  <c r="P223" i="8"/>
  <c r="M223" i="8"/>
  <c r="G223" i="8"/>
  <c r="F223" i="8"/>
  <c r="C223" i="8"/>
  <c r="B223" i="8"/>
  <c r="A223" i="8"/>
  <c r="R222" i="8"/>
  <c r="Q222" i="8"/>
  <c r="P222" i="8"/>
  <c r="M222" i="8"/>
  <c r="G222" i="8"/>
  <c r="F222" i="8"/>
  <c r="B222" i="8"/>
  <c r="A222" i="8"/>
  <c r="R221" i="8"/>
  <c r="Q221" i="8"/>
  <c r="P221" i="8"/>
  <c r="M221" i="8"/>
  <c r="G221" i="8"/>
  <c r="F221" i="8"/>
  <c r="B221" i="8"/>
  <c r="A221" i="8"/>
  <c r="R220" i="8"/>
  <c r="Q220" i="8"/>
  <c r="P220" i="8"/>
  <c r="M220" i="8"/>
  <c r="G220" i="8"/>
  <c r="F220" i="8"/>
  <c r="C220" i="8"/>
  <c r="B220" i="8"/>
  <c r="A220" i="8"/>
  <c r="R219" i="8"/>
  <c r="Q219" i="8"/>
  <c r="P219" i="8"/>
  <c r="M219" i="8"/>
  <c r="G219" i="8"/>
  <c r="F219" i="8"/>
  <c r="B219" i="8"/>
  <c r="A219" i="8"/>
  <c r="R218" i="8"/>
  <c r="Q218" i="8"/>
  <c r="P218" i="8"/>
  <c r="M218" i="8"/>
  <c r="G218" i="8"/>
  <c r="F218" i="8"/>
  <c r="B218" i="8"/>
  <c r="C218" i="8" s="1"/>
  <c r="A218" i="8"/>
  <c r="R217" i="8"/>
  <c r="Q217" i="8"/>
  <c r="P217" i="8"/>
  <c r="M217" i="8"/>
  <c r="G217" i="8"/>
  <c r="F217" i="8"/>
  <c r="B217" i="8"/>
  <c r="A217" i="8"/>
  <c r="R216" i="8"/>
  <c r="Q216" i="8"/>
  <c r="P216" i="8"/>
  <c r="M216" i="8"/>
  <c r="G216" i="8"/>
  <c r="F216" i="8"/>
  <c r="C216" i="8"/>
  <c r="B216" i="8"/>
  <c r="A216" i="8"/>
  <c r="R215" i="8"/>
  <c r="Q215" i="8"/>
  <c r="P215" i="8"/>
  <c r="M215" i="8"/>
  <c r="G215" i="8"/>
  <c r="F215" i="8"/>
  <c r="C215" i="8"/>
  <c r="B215" i="8"/>
  <c r="A215" i="8"/>
  <c r="R214" i="8"/>
  <c r="Q214" i="8"/>
  <c r="P214" i="8"/>
  <c r="M214" i="8"/>
  <c r="G214" i="8"/>
  <c r="F214" i="8"/>
  <c r="B214" i="8"/>
  <c r="A214" i="8"/>
  <c r="R213" i="8"/>
  <c r="Q213" i="8"/>
  <c r="P213" i="8"/>
  <c r="M213" i="8"/>
  <c r="G213" i="8"/>
  <c r="F213" i="8"/>
  <c r="B213" i="8"/>
  <c r="C213" i="8" s="1"/>
  <c r="A213" i="8"/>
  <c r="R212" i="8"/>
  <c r="Q212" i="8"/>
  <c r="P212" i="8"/>
  <c r="M212" i="8"/>
  <c r="G212" i="8"/>
  <c r="F212" i="8"/>
  <c r="B212" i="8"/>
  <c r="A212" i="8"/>
  <c r="R211" i="8"/>
  <c r="Q211" i="8"/>
  <c r="P211" i="8"/>
  <c r="M211" i="8"/>
  <c r="G211" i="8"/>
  <c r="F211" i="8"/>
  <c r="B211" i="8"/>
  <c r="A211" i="8"/>
  <c r="R210" i="8"/>
  <c r="Q210" i="8"/>
  <c r="P210" i="8"/>
  <c r="M210" i="8"/>
  <c r="G210" i="8"/>
  <c r="F210" i="8"/>
  <c r="B210" i="8"/>
  <c r="C210" i="8" s="1"/>
  <c r="A210" i="8"/>
  <c r="R209" i="8"/>
  <c r="Q209" i="8"/>
  <c r="P209" i="8"/>
  <c r="M209" i="8"/>
  <c r="G209" i="8"/>
  <c r="F209" i="8"/>
  <c r="B209" i="8"/>
  <c r="C209" i="8" s="1"/>
  <c r="A209" i="8"/>
  <c r="R208" i="8"/>
  <c r="Q208" i="8"/>
  <c r="P208" i="8"/>
  <c r="M208" i="8"/>
  <c r="G208" i="8"/>
  <c r="F208" i="8"/>
  <c r="B208" i="8"/>
  <c r="A208" i="8"/>
  <c r="R207" i="8"/>
  <c r="Q207" i="8"/>
  <c r="P207" i="8"/>
  <c r="M207" i="8"/>
  <c r="G207" i="8"/>
  <c r="F207" i="8"/>
  <c r="B207" i="8"/>
  <c r="A207" i="8"/>
  <c r="R206" i="8"/>
  <c r="Q206" i="8"/>
  <c r="P206" i="8"/>
  <c r="M206" i="8"/>
  <c r="G206" i="8"/>
  <c r="F206" i="8"/>
  <c r="B206" i="8"/>
  <c r="A206" i="8"/>
  <c r="R205" i="8"/>
  <c r="Q205" i="8"/>
  <c r="P205" i="8"/>
  <c r="M205" i="8"/>
  <c r="G205" i="8"/>
  <c r="F205" i="8"/>
  <c r="C205" i="8"/>
  <c r="B205" i="8"/>
  <c r="A205" i="8"/>
  <c r="R204" i="8"/>
  <c r="Q204" i="8"/>
  <c r="P204" i="8"/>
  <c r="M204" i="8"/>
  <c r="G204" i="8"/>
  <c r="F204" i="8"/>
  <c r="C204" i="8"/>
  <c r="B204" i="8"/>
  <c r="A204" i="8"/>
  <c r="R203" i="8"/>
  <c r="Q203" i="8"/>
  <c r="P203" i="8"/>
  <c r="M203" i="8"/>
  <c r="G203" i="8"/>
  <c r="F203" i="8"/>
  <c r="B203" i="8"/>
  <c r="A203" i="8"/>
  <c r="R202" i="8"/>
  <c r="Q202" i="8"/>
  <c r="P202" i="8"/>
  <c r="M202" i="8"/>
  <c r="G202" i="8"/>
  <c r="F202" i="8"/>
  <c r="B202" i="8"/>
  <c r="A202" i="8"/>
  <c r="R201" i="8"/>
  <c r="Q201" i="8"/>
  <c r="P201" i="8"/>
  <c r="M201" i="8"/>
  <c r="G201" i="8"/>
  <c r="F201" i="8"/>
  <c r="B201" i="8"/>
  <c r="A201" i="8"/>
  <c r="R200" i="8"/>
  <c r="Q200" i="8"/>
  <c r="P200" i="8"/>
  <c r="M200" i="8"/>
  <c r="G200" i="8"/>
  <c r="F200" i="8"/>
  <c r="C200" i="8"/>
  <c r="B200" i="8"/>
  <c r="A200" i="8"/>
  <c r="R199" i="8"/>
  <c r="Q199" i="8"/>
  <c r="P199" i="8"/>
  <c r="M199" i="8"/>
  <c r="G199" i="8"/>
  <c r="F199" i="8"/>
  <c r="C199" i="8"/>
  <c r="B199" i="8"/>
  <c r="A199" i="8"/>
  <c r="R198" i="8"/>
  <c r="Q198" i="8"/>
  <c r="P198" i="8"/>
  <c r="M198" i="8"/>
  <c r="G198" i="8"/>
  <c r="F198" i="8"/>
  <c r="B198" i="8"/>
  <c r="A198" i="8"/>
  <c r="R197" i="8"/>
  <c r="Q197" i="8"/>
  <c r="P197" i="8"/>
  <c r="M197" i="8"/>
  <c r="G197" i="8"/>
  <c r="F197" i="8"/>
  <c r="B197" i="8"/>
  <c r="C197" i="8" s="1"/>
  <c r="A197" i="8"/>
  <c r="R196" i="8"/>
  <c r="Q196" i="8"/>
  <c r="P196" i="8"/>
  <c r="M196" i="8"/>
  <c r="G196" i="8"/>
  <c r="F196" i="8"/>
  <c r="B196" i="8"/>
  <c r="A196" i="8"/>
  <c r="R195" i="8"/>
  <c r="Q195" i="8"/>
  <c r="P195" i="8"/>
  <c r="M195" i="8"/>
  <c r="G195" i="8"/>
  <c r="F195" i="8"/>
  <c r="B195" i="8"/>
  <c r="A195" i="8"/>
  <c r="R194" i="8"/>
  <c r="Q194" i="8"/>
  <c r="P194" i="8"/>
  <c r="M194" i="8"/>
  <c r="G194" i="8"/>
  <c r="F194" i="8"/>
  <c r="B194" i="8"/>
  <c r="A194" i="8"/>
  <c r="R193" i="8"/>
  <c r="Q193" i="8"/>
  <c r="P193" i="8"/>
  <c r="M193" i="8"/>
  <c r="G193" i="8"/>
  <c r="F193" i="8"/>
  <c r="B193" i="8"/>
  <c r="A193" i="8"/>
  <c r="R192" i="8"/>
  <c r="Q192" i="8"/>
  <c r="P192" i="8"/>
  <c r="M192" i="8"/>
  <c r="G192" i="8"/>
  <c r="F192" i="8"/>
  <c r="B192" i="8"/>
  <c r="A192" i="8"/>
  <c r="R191" i="8"/>
  <c r="Q191" i="8"/>
  <c r="P191" i="8"/>
  <c r="M191" i="8"/>
  <c r="G191" i="8"/>
  <c r="F191" i="8"/>
  <c r="B191" i="8"/>
  <c r="C191" i="8" s="1"/>
  <c r="A191" i="8"/>
  <c r="R190" i="8"/>
  <c r="Q190" i="8"/>
  <c r="P190" i="8"/>
  <c r="M190" i="8"/>
  <c r="G190" i="8"/>
  <c r="F190" i="8"/>
  <c r="B190" i="8"/>
  <c r="C190" i="8" s="1"/>
  <c r="A190" i="8"/>
  <c r="R189" i="8"/>
  <c r="Q189" i="8"/>
  <c r="P189" i="8"/>
  <c r="M189" i="8"/>
  <c r="G189" i="8"/>
  <c r="F189" i="8"/>
  <c r="B189" i="8"/>
  <c r="A189" i="8"/>
  <c r="R188" i="8"/>
  <c r="Q188" i="8"/>
  <c r="P188" i="8"/>
  <c r="M188" i="8"/>
  <c r="G188" i="8"/>
  <c r="F188" i="8"/>
  <c r="B188" i="8"/>
  <c r="A188" i="8"/>
  <c r="R187" i="8"/>
  <c r="Q187" i="8"/>
  <c r="P187" i="8"/>
  <c r="M187" i="8"/>
  <c r="G187" i="8"/>
  <c r="F187" i="8"/>
  <c r="B187" i="8"/>
  <c r="C187" i="8" s="1"/>
  <c r="A187" i="8"/>
  <c r="R186" i="8"/>
  <c r="Q186" i="8"/>
  <c r="P186" i="8"/>
  <c r="M186" i="8"/>
  <c r="G186" i="8"/>
  <c r="F186" i="8"/>
  <c r="B186" i="8"/>
  <c r="C186" i="8" s="1"/>
  <c r="A186" i="8"/>
  <c r="R185" i="8"/>
  <c r="Q185" i="8"/>
  <c r="P185" i="8"/>
  <c r="M185" i="8"/>
  <c r="G185" i="8"/>
  <c r="F185" i="8"/>
  <c r="B185" i="8"/>
  <c r="A185" i="8"/>
  <c r="R184" i="8"/>
  <c r="Q184" i="8"/>
  <c r="P184" i="8"/>
  <c r="M184" i="8"/>
  <c r="G184" i="8"/>
  <c r="F184" i="8"/>
  <c r="B184" i="8"/>
  <c r="A184" i="8"/>
  <c r="R183" i="8"/>
  <c r="Q183" i="8"/>
  <c r="P183" i="8"/>
  <c r="M183" i="8"/>
  <c r="G183" i="8"/>
  <c r="F183" i="8"/>
  <c r="B183" i="8"/>
  <c r="A183" i="8"/>
  <c r="R182" i="8"/>
  <c r="Q182" i="8"/>
  <c r="P182" i="8"/>
  <c r="M182" i="8"/>
  <c r="G182" i="8"/>
  <c r="F182" i="8"/>
  <c r="B182" i="8"/>
  <c r="C182" i="8" s="1"/>
  <c r="A182" i="8"/>
  <c r="R181" i="8"/>
  <c r="Q181" i="8"/>
  <c r="P181" i="8"/>
  <c r="M181" i="8"/>
  <c r="G181" i="8"/>
  <c r="F181" i="8"/>
  <c r="B181" i="8"/>
  <c r="A181" i="8"/>
  <c r="R180" i="8"/>
  <c r="Q180" i="8"/>
  <c r="P180" i="8"/>
  <c r="M180" i="8"/>
  <c r="G180" i="8"/>
  <c r="F180" i="8"/>
  <c r="B180" i="8"/>
  <c r="A180" i="8"/>
  <c r="R179" i="8"/>
  <c r="Q179" i="8"/>
  <c r="P179" i="8"/>
  <c r="M179" i="8"/>
  <c r="G179" i="8"/>
  <c r="F179" i="8"/>
  <c r="B179" i="8"/>
  <c r="A179" i="8"/>
  <c r="R178" i="8"/>
  <c r="Q178" i="8"/>
  <c r="P178" i="8"/>
  <c r="M178" i="8"/>
  <c r="G178" i="8"/>
  <c r="F178" i="8"/>
  <c r="B178" i="8"/>
  <c r="A178" i="8"/>
  <c r="R177" i="8"/>
  <c r="Q177" i="8"/>
  <c r="P177" i="8"/>
  <c r="M177" i="8"/>
  <c r="G177" i="8"/>
  <c r="F177" i="8"/>
  <c r="B177" i="8"/>
  <c r="A177" i="8"/>
  <c r="R176" i="8"/>
  <c r="Q176" i="8"/>
  <c r="P176" i="8"/>
  <c r="M176" i="8"/>
  <c r="G176" i="8"/>
  <c r="F176" i="8"/>
  <c r="B176" i="8"/>
  <c r="A176" i="8"/>
  <c r="R175" i="8"/>
  <c r="Q175" i="8"/>
  <c r="P175" i="8"/>
  <c r="M175" i="8"/>
  <c r="G175" i="8"/>
  <c r="F175" i="8"/>
  <c r="B175" i="8"/>
  <c r="A175" i="8"/>
  <c r="R174" i="8"/>
  <c r="Q174" i="8"/>
  <c r="P174" i="8"/>
  <c r="M174" i="8"/>
  <c r="G174" i="8"/>
  <c r="F174" i="8"/>
  <c r="B174" i="8"/>
  <c r="C174" i="8" s="1"/>
  <c r="A174" i="8"/>
  <c r="R173" i="8"/>
  <c r="Q173" i="8"/>
  <c r="P173" i="8"/>
  <c r="M173" i="8"/>
  <c r="G173" i="8"/>
  <c r="F173" i="8"/>
  <c r="B173" i="8"/>
  <c r="A173" i="8"/>
  <c r="R172" i="8"/>
  <c r="Q172" i="8"/>
  <c r="P172" i="8"/>
  <c r="M172" i="8"/>
  <c r="G172" i="8"/>
  <c r="F172" i="8"/>
  <c r="B172" i="8"/>
  <c r="A172" i="8"/>
  <c r="R171" i="8"/>
  <c r="Q171" i="8"/>
  <c r="P171" i="8"/>
  <c r="M171" i="8"/>
  <c r="G171" i="8"/>
  <c r="F171" i="8"/>
  <c r="B171" i="8"/>
  <c r="C171" i="8" s="1"/>
  <c r="A171" i="8"/>
  <c r="R170" i="8"/>
  <c r="Q170" i="8"/>
  <c r="P170" i="8"/>
  <c r="M170" i="8"/>
  <c r="G170" i="8"/>
  <c r="F170" i="8"/>
  <c r="B170" i="8"/>
  <c r="C170" i="8" s="1"/>
  <c r="A170" i="8"/>
  <c r="R169" i="8"/>
  <c r="Q169" i="8"/>
  <c r="P169" i="8"/>
  <c r="M169" i="8"/>
  <c r="G169" i="8"/>
  <c r="F169" i="8"/>
  <c r="B169" i="8"/>
  <c r="A169" i="8"/>
  <c r="R168" i="8"/>
  <c r="Q168" i="8"/>
  <c r="P168" i="8"/>
  <c r="M168" i="8"/>
  <c r="G168" i="8"/>
  <c r="F168" i="8"/>
  <c r="B168" i="8"/>
  <c r="A168" i="8"/>
  <c r="R167" i="8"/>
  <c r="Q167" i="8"/>
  <c r="P167" i="8"/>
  <c r="M167" i="8"/>
  <c r="G167" i="8"/>
  <c r="F167" i="8"/>
  <c r="B167" i="8"/>
  <c r="A167" i="8"/>
  <c r="R166" i="8"/>
  <c r="Q166" i="8"/>
  <c r="P166" i="8"/>
  <c r="M166" i="8"/>
  <c r="G166" i="8"/>
  <c r="F166" i="8"/>
  <c r="B166" i="8"/>
  <c r="C166" i="8" s="1"/>
  <c r="A166" i="8"/>
  <c r="R165" i="8"/>
  <c r="Q165" i="8"/>
  <c r="P165" i="8"/>
  <c r="M165" i="8"/>
  <c r="G165" i="8"/>
  <c r="F165" i="8"/>
  <c r="B165" i="8"/>
  <c r="A165" i="8"/>
  <c r="R164" i="8"/>
  <c r="Q164" i="8"/>
  <c r="P164" i="8"/>
  <c r="M164" i="8"/>
  <c r="G164" i="8"/>
  <c r="F164" i="8"/>
  <c r="B164" i="8"/>
  <c r="A164" i="8"/>
  <c r="R163" i="8"/>
  <c r="Q163" i="8"/>
  <c r="P163" i="8"/>
  <c r="M163" i="8"/>
  <c r="G163" i="8"/>
  <c r="F163" i="8"/>
  <c r="B163" i="8"/>
  <c r="A163" i="8"/>
  <c r="R162" i="8"/>
  <c r="Q162" i="8"/>
  <c r="P162" i="8"/>
  <c r="M162" i="8"/>
  <c r="G162" i="8"/>
  <c r="F162" i="8"/>
  <c r="B162" i="8"/>
  <c r="A162" i="8"/>
  <c r="R161" i="8"/>
  <c r="Q161" i="8"/>
  <c r="P161" i="8"/>
  <c r="M161" i="8"/>
  <c r="G161" i="8"/>
  <c r="F161" i="8"/>
  <c r="B161" i="8"/>
  <c r="A161" i="8"/>
  <c r="R160" i="8"/>
  <c r="Q160" i="8"/>
  <c r="P160" i="8"/>
  <c r="M160" i="8"/>
  <c r="G160" i="8"/>
  <c r="F160" i="8"/>
  <c r="B160" i="8"/>
  <c r="A160" i="8"/>
  <c r="R159" i="8"/>
  <c r="Q159" i="8"/>
  <c r="P159" i="8"/>
  <c r="M159" i="8"/>
  <c r="G159" i="8"/>
  <c r="F159" i="8"/>
  <c r="B159" i="8"/>
  <c r="C159" i="8" s="1"/>
  <c r="A159" i="8"/>
  <c r="R158" i="8"/>
  <c r="Q158" i="8"/>
  <c r="P158" i="8"/>
  <c r="M158" i="8"/>
  <c r="G158" i="8"/>
  <c r="F158" i="8"/>
  <c r="B158" i="8"/>
  <c r="C158" i="8" s="1"/>
  <c r="A158" i="8"/>
  <c r="R157" i="8"/>
  <c r="Q157" i="8"/>
  <c r="P157" i="8"/>
  <c r="M157" i="8"/>
  <c r="G157" i="8"/>
  <c r="F157" i="8"/>
  <c r="B157" i="8"/>
  <c r="A157" i="8"/>
  <c r="R156" i="8"/>
  <c r="Q156" i="8"/>
  <c r="P156" i="8"/>
  <c r="M156" i="8"/>
  <c r="G156" i="8"/>
  <c r="F156" i="8"/>
  <c r="B156" i="8"/>
  <c r="A156" i="8"/>
  <c r="R155" i="8"/>
  <c r="Q155" i="8"/>
  <c r="P155" i="8"/>
  <c r="M155" i="8"/>
  <c r="G155" i="8"/>
  <c r="F155" i="8"/>
  <c r="B155" i="8"/>
  <c r="C155" i="8" s="1"/>
  <c r="A155" i="8"/>
  <c r="R154" i="8"/>
  <c r="Q154" i="8"/>
  <c r="P154" i="8"/>
  <c r="M154" i="8"/>
  <c r="G154" i="8"/>
  <c r="F154" i="8"/>
  <c r="B154" i="8"/>
  <c r="C154" i="8" s="1"/>
  <c r="A154" i="8"/>
  <c r="R153" i="8"/>
  <c r="Q153" i="8"/>
  <c r="P153" i="8"/>
  <c r="M153" i="8"/>
  <c r="G153" i="8"/>
  <c r="F153" i="8"/>
  <c r="B153" i="8"/>
  <c r="A153" i="8"/>
  <c r="R152" i="8"/>
  <c r="Q152" i="8"/>
  <c r="P152" i="8"/>
  <c r="M152" i="8"/>
  <c r="G152" i="8"/>
  <c r="F152" i="8"/>
  <c r="B152" i="8"/>
  <c r="A152" i="8"/>
  <c r="R151" i="8"/>
  <c r="Q151" i="8"/>
  <c r="P151" i="8"/>
  <c r="M151" i="8"/>
  <c r="G151" i="8"/>
  <c r="F151" i="8"/>
  <c r="B151" i="8"/>
  <c r="A151" i="8"/>
  <c r="R150" i="8"/>
  <c r="Q150" i="8"/>
  <c r="P150" i="8"/>
  <c r="M150" i="8"/>
  <c r="G150" i="8"/>
  <c r="F150" i="8"/>
  <c r="B150" i="8"/>
  <c r="C150" i="8" s="1"/>
  <c r="A150" i="8"/>
  <c r="R149" i="8"/>
  <c r="Q149" i="8"/>
  <c r="P149" i="8"/>
  <c r="M149" i="8"/>
  <c r="G149" i="8"/>
  <c r="F149" i="8"/>
  <c r="B149" i="8"/>
  <c r="A149" i="8"/>
  <c r="R148" i="8"/>
  <c r="Q148" i="8"/>
  <c r="P148" i="8"/>
  <c r="M148" i="8"/>
  <c r="G148" i="8"/>
  <c r="F148" i="8"/>
  <c r="B148" i="8"/>
  <c r="A148" i="8"/>
  <c r="R147" i="8"/>
  <c r="Q147" i="8"/>
  <c r="P147" i="8"/>
  <c r="M147" i="8"/>
  <c r="G147" i="8"/>
  <c r="F147" i="8"/>
  <c r="B147" i="8"/>
  <c r="A147" i="8"/>
  <c r="R146" i="8"/>
  <c r="Q146" i="8"/>
  <c r="P146" i="8"/>
  <c r="M146" i="8"/>
  <c r="G146" i="8"/>
  <c r="F146" i="8"/>
  <c r="B146" i="8"/>
  <c r="A146" i="8"/>
  <c r="R145" i="8"/>
  <c r="Q145" i="8"/>
  <c r="P145" i="8"/>
  <c r="M145" i="8"/>
  <c r="G145" i="8"/>
  <c r="F145" i="8"/>
  <c r="B145" i="8"/>
  <c r="A145" i="8"/>
  <c r="R144" i="8"/>
  <c r="Q144" i="8"/>
  <c r="P144" i="8"/>
  <c r="M144" i="8"/>
  <c r="G144" i="8"/>
  <c r="F144" i="8"/>
  <c r="B144" i="8"/>
  <c r="A144" i="8"/>
  <c r="R143" i="8"/>
  <c r="Q143" i="8"/>
  <c r="P143" i="8"/>
  <c r="M143" i="8"/>
  <c r="G143" i="8"/>
  <c r="F143" i="8"/>
  <c r="B143" i="8"/>
  <c r="C143" i="8" s="1"/>
  <c r="A143" i="8"/>
  <c r="R142" i="8"/>
  <c r="Q142" i="8"/>
  <c r="P142" i="8"/>
  <c r="M142" i="8"/>
  <c r="G142" i="8"/>
  <c r="F142" i="8"/>
  <c r="B142" i="8"/>
  <c r="C142" i="8" s="1"/>
  <c r="A142" i="8"/>
  <c r="R141" i="8"/>
  <c r="Q141" i="8"/>
  <c r="P141" i="8"/>
  <c r="M141" i="8"/>
  <c r="G141" i="8"/>
  <c r="F141" i="8"/>
  <c r="B141" i="8"/>
  <c r="A141" i="8"/>
  <c r="R140" i="8"/>
  <c r="Q140" i="8"/>
  <c r="P140" i="8"/>
  <c r="M140" i="8"/>
  <c r="G140" i="8"/>
  <c r="F140" i="8"/>
  <c r="B140" i="8"/>
  <c r="A140" i="8"/>
  <c r="R139" i="8"/>
  <c r="Q139" i="8"/>
  <c r="P139" i="8"/>
  <c r="M139" i="8"/>
  <c r="G139" i="8"/>
  <c r="F139" i="8"/>
  <c r="B139" i="8"/>
  <c r="A139" i="8"/>
  <c r="R138" i="8"/>
  <c r="Q138" i="8"/>
  <c r="P138" i="8"/>
  <c r="M138" i="8"/>
  <c r="G138" i="8"/>
  <c r="F138" i="8"/>
  <c r="B138" i="8"/>
  <c r="C138" i="8" s="1"/>
  <c r="A138" i="8"/>
  <c r="R137" i="8"/>
  <c r="Q137" i="8"/>
  <c r="P137" i="8"/>
  <c r="M137" i="8"/>
  <c r="G137" i="8"/>
  <c r="F137" i="8"/>
  <c r="B137" i="8"/>
  <c r="A137" i="8"/>
  <c r="R136" i="8"/>
  <c r="Q136" i="8"/>
  <c r="P136" i="8"/>
  <c r="M136" i="8"/>
  <c r="G136" i="8"/>
  <c r="F136" i="8"/>
  <c r="B136" i="8"/>
  <c r="A136" i="8"/>
  <c r="R135" i="8"/>
  <c r="Q135" i="8"/>
  <c r="P135" i="8"/>
  <c r="M135" i="8"/>
  <c r="G135" i="8"/>
  <c r="F135" i="8"/>
  <c r="B135" i="8"/>
  <c r="A135" i="8"/>
  <c r="R134" i="8"/>
  <c r="Q134" i="8"/>
  <c r="P134" i="8"/>
  <c r="M134" i="8"/>
  <c r="G134" i="8"/>
  <c r="F134" i="8"/>
  <c r="B134" i="8"/>
  <c r="C134" i="8" s="1"/>
  <c r="A134" i="8"/>
  <c r="R133" i="8"/>
  <c r="Q133" i="8"/>
  <c r="P133" i="8"/>
  <c r="M133" i="8"/>
  <c r="G133" i="8"/>
  <c r="F133" i="8"/>
  <c r="B133" i="8"/>
  <c r="A133" i="8"/>
  <c r="R132" i="8"/>
  <c r="Q132" i="8"/>
  <c r="P132" i="8"/>
  <c r="M132" i="8"/>
  <c r="G132" i="8"/>
  <c r="F132" i="8"/>
  <c r="B132" i="8"/>
  <c r="A132" i="8"/>
  <c r="R131" i="8"/>
  <c r="Q131" i="8"/>
  <c r="P131" i="8"/>
  <c r="M131" i="8"/>
  <c r="G131" i="8"/>
  <c r="F131" i="8"/>
  <c r="B131" i="8"/>
  <c r="A131" i="8"/>
  <c r="R130" i="8"/>
  <c r="Q130" i="8"/>
  <c r="P130" i="8"/>
  <c r="M130" i="8"/>
  <c r="G130" i="8"/>
  <c r="F130" i="8"/>
  <c r="B130" i="8"/>
  <c r="A130" i="8"/>
  <c r="R129" i="8"/>
  <c r="Q129" i="8"/>
  <c r="P129" i="8"/>
  <c r="M129" i="8"/>
  <c r="G129" i="8"/>
  <c r="F129" i="8"/>
  <c r="B129" i="8"/>
  <c r="A129" i="8"/>
  <c r="R128" i="8"/>
  <c r="Q128" i="8"/>
  <c r="P128" i="8"/>
  <c r="M128" i="8"/>
  <c r="G128" i="8"/>
  <c r="F128" i="8"/>
  <c r="B128" i="8"/>
  <c r="A128" i="8"/>
  <c r="R127" i="8"/>
  <c r="Q127" i="8"/>
  <c r="P127" i="8"/>
  <c r="M127" i="8"/>
  <c r="G127" i="8"/>
  <c r="F127" i="8"/>
  <c r="B127" i="8"/>
  <c r="C127" i="8" s="1"/>
  <c r="A127" i="8"/>
  <c r="R126" i="8"/>
  <c r="Q126" i="8"/>
  <c r="P126" i="8"/>
  <c r="M126" i="8"/>
  <c r="G126" i="8"/>
  <c r="F126" i="8"/>
  <c r="B126" i="8"/>
  <c r="C126" i="8" s="1"/>
  <c r="A126" i="8"/>
  <c r="R125" i="8"/>
  <c r="Q125" i="8"/>
  <c r="P125" i="8"/>
  <c r="M125" i="8"/>
  <c r="G125" i="8"/>
  <c r="F125" i="8"/>
  <c r="B125" i="8"/>
  <c r="A125" i="8"/>
  <c r="R124" i="8"/>
  <c r="Q124" i="8"/>
  <c r="P124" i="8"/>
  <c r="M124" i="8"/>
  <c r="G124" i="8"/>
  <c r="F124" i="8"/>
  <c r="B124" i="8"/>
  <c r="A124" i="8"/>
  <c r="R123" i="8"/>
  <c r="Q123" i="8"/>
  <c r="P123" i="8"/>
  <c r="M123" i="8"/>
  <c r="G123" i="8"/>
  <c r="F123" i="8"/>
  <c r="B123" i="8"/>
  <c r="A123" i="8"/>
  <c r="R122" i="8"/>
  <c r="Q122" i="8"/>
  <c r="P122" i="8"/>
  <c r="M122" i="8"/>
  <c r="G122" i="8"/>
  <c r="F122" i="8"/>
  <c r="B122" i="8"/>
  <c r="C122" i="8" s="1"/>
  <c r="A122" i="8"/>
  <c r="R121" i="8"/>
  <c r="Q121" i="8"/>
  <c r="P121" i="8"/>
  <c r="M121" i="8"/>
  <c r="G121" i="8"/>
  <c r="F121" i="8"/>
  <c r="B121" i="8"/>
  <c r="A121" i="8"/>
  <c r="R120" i="8"/>
  <c r="Q120" i="8"/>
  <c r="P120" i="8"/>
  <c r="M120" i="8"/>
  <c r="G120" i="8"/>
  <c r="F120" i="8"/>
  <c r="B120" i="8"/>
  <c r="A120" i="8"/>
  <c r="R119" i="8"/>
  <c r="Q119" i="8"/>
  <c r="P119" i="8"/>
  <c r="M119" i="8"/>
  <c r="G119" i="8"/>
  <c r="F119" i="8"/>
  <c r="B119" i="8"/>
  <c r="A119" i="8"/>
  <c r="R118" i="8"/>
  <c r="Q118" i="8"/>
  <c r="P118" i="8"/>
  <c r="M118" i="8"/>
  <c r="G118" i="8"/>
  <c r="F118" i="8"/>
  <c r="B118" i="8"/>
  <c r="C118" i="8" s="1"/>
  <c r="A118" i="8"/>
  <c r="R117" i="8"/>
  <c r="Q117" i="8"/>
  <c r="P117" i="8"/>
  <c r="M117" i="8"/>
  <c r="G117" i="8"/>
  <c r="F117" i="8"/>
  <c r="B117" i="8"/>
  <c r="A117" i="8"/>
  <c r="R116" i="8"/>
  <c r="Q116" i="8"/>
  <c r="P116" i="8"/>
  <c r="M116" i="8"/>
  <c r="G116" i="8"/>
  <c r="F116" i="8"/>
  <c r="B116" i="8"/>
  <c r="A116" i="8"/>
  <c r="R115" i="8"/>
  <c r="Q115" i="8"/>
  <c r="P115" i="8"/>
  <c r="M115" i="8"/>
  <c r="G115" i="8"/>
  <c r="F115" i="8"/>
  <c r="B115" i="8"/>
  <c r="A115" i="8"/>
  <c r="R114" i="8"/>
  <c r="Q114" i="8"/>
  <c r="P114" i="8"/>
  <c r="M114" i="8"/>
  <c r="G114" i="8"/>
  <c r="F114" i="8"/>
  <c r="B114" i="8"/>
  <c r="A114" i="8"/>
  <c r="R113" i="8"/>
  <c r="Q113" i="8"/>
  <c r="P113" i="8"/>
  <c r="M113" i="8"/>
  <c r="G113" i="8"/>
  <c r="F113" i="8"/>
  <c r="B113" i="8"/>
  <c r="A113" i="8"/>
  <c r="R112" i="8"/>
  <c r="Q112" i="8"/>
  <c r="P112" i="8"/>
  <c r="M112" i="8"/>
  <c r="G112" i="8"/>
  <c r="F112" i="8"/>
  <c r="B112" i="8"/>
  <c r="C112" i="8" s="1"/>
  <c r="A112" i="8"/>
  <c r="R111" i="8"/>
  <c r="Q111" i="8"/>
  <c r="P111" i="8"/>
  <c r="M111" i="8"/>
  <c r="G111" i="8"/>
  <c r="F111" i="8"/>
  <c r="B111" i="8"/>
  <c r="A111" i="8"/>
  <c r="R110" i="8"/>
  <c r="Q110" i="8"/>
  <c r="P110" i="8"/>
  <c r="M110" i="8"/>
  <c r="G110" i="8"/>
  <c r="F110" i="8"/>
  <c r="B110" i="8"/>
  <c r="C110" i="8" s="1"/>
  <c r="A110" i="8"/>
  <c r="R109" i="8"/>
  <c r="Q109" i="8"/>
  <c r="P109" i="8"/>
  <c r="M109" i="8"/>
  <c r="G109" i="8"/>
  <c r="F109" i="8"/>
  <c r="B109" i="8"/>
  <c r="A109" i="8"/>
  <c r="R108" i="8"/>
  <c r="Q108" i="8"/>
  <c r="P108" i="8"/>
  <c r="M108" i="8"/>
  <c r="G108" i="8"/>
  <c r="F108" i="8"/>
  <c r="B108" i="8"/>
  <c r="A108" i="8"/>
  <c r="R107" i="8"/>
  <c r="Q107" i="8"/>
  <c r="P107" i="8"/>
  <c r="M107" i="8"/>
  <c r="G107" i="8"/>
  <c r="F107" i="8"/>
  <c r="B107" i="8"/>
  <c r="C107" i="8" s="1"/>
  <c r="A107" i="8"/>
  <c r="R106" i="8"/>
  <c r="Q106" i="8"/>
  <c r="P106" i="8"/>
  <c r="M106" i="8"/>
  <c r="G106" i="8"/>
  <c r="F106" i="8"/>
  <c r="B106" i="8"/>
  <c r="A106" i="8"/>
  <c r="R105" i="8"/>
  <c r="Q105" i="8"/>
  <c r="P105" i="8"/>
  <c r="M105" i="8"/>
  <c r="G105" i="8"/>
  <c r="F105" i="8"/>
  <c r="B105" i="8"/>
  <c r="A105" i="8"/>
  <c r="R104" i="8"/>
  <c r="Q104" i="8"/>
  <c r="P104" i="8"/>
  <c r="M104" i="8"/>
  <c r="G104" i="8"/>
  <c r="F104" i="8"/>
  <c r="B104" i="8"/>
  <c r="C104" i="8" s="1"/>
  <c r="A104" i="8"/>
  <c r="R103" i="8"/>
  <c r="Q103" i="8"/>
  <c r="P103" i="8"/>
  <c r="M103" i="8"/>
  <c r="G103" i="8"/>
  <c r="F103" i="8"/>
  <c r="B103" i="8"/>
  <c r="C103" i="8" s="1"/>
  <c r="A103" i="8"/>
  <c r="R102" i="8"/>
  <c r="Q102" i="8"/>
  <c r="P102" i="8"/>
  <c r="M102" i="8"/>
  <c r="G102" i="8"/>
  <c r="F102" i="8"/>
  <c r="B102" i="8"/>
  <c r="A102" i="8"/>
  <c r="R101" i="8"/>
  <c r="Q101" i="8"/>
  <c r="P101" i="8"/>
  <c r="M101" i="8"/>
  <c r="G101" i="8"/>
  <c r="F101" i="8"/>
  <c r="B101" i="8"/>
  <c r="C101" i="8" s="1"/>
  <c r="A101" i="8"/>
  <c r="R100" i="8"/>
  <c r="Q100" i="8"/>
  <c r="P100" i="8"/>
  <c r="M100" i="8"/>
  <c r="G100" i="8"/>
  <c r="F100" i="8"/>
  <c r="B100" i="8"/>
  <c r="A100" i="8"/>
  <c r="R99" i="8"/>
  <c r="Q99" i="8"/>
  <c r="P99" i="8"/>
  <c r="M99" i="8"/>
  <c r="G99" i="8"/>
  <c r="F99" i="8"/>
  <c r="A99" i="8"/>
  <c r="B99" i="8" s="1"/>
  <c r="R98" i="8"/>
  <c r="Q98" i="8"/>
  <c r="P98" i="8"/>
  <c r="M98" i="8"/>
  <c r="G98" i="8"/>
  <c r="F98" i="8"/>
  <c r="B98" i="8"/>
  <c r="A98" i="8"/>
  <c r="R97" i="8"/>
  <c r="Q97" i="8"/>
  <c r="P97" i="8"/>
  <c r="M97" i="8"/>
  <c r="G97" i="8"/>
  <c r="F97" i="8"/>
  <c r="B97" i="8"/>
  <c r="C98" i="8" s="1"/>
  <c r="A97" i="8"/>
  <c r="R96" i="8"/>
  <c r="Q96" i="8"/>
  <c r="P96" i="8"/>
  <c r="M96" i="8"/>
  <c r="G96" i="8"/>
  <c r="F96" i="8"/>
  <c r="C96" i="8"/>
  <c r="B96" i="8"/>
  <c r="A96" i="8"/>
  <c r="R95" i="8"/>
  <c r="Q95" i="8"/>
  <c r="P95" i="8"/>
  <c r="M95" i="8"/>
  <c r="G95" i="8"/>
  <c r="F95" i="8"/>
  <c r="C95" i="8"/>
  <c r="B95" i="8"/>
  <c r="A95" i="8"/>
  <c r="R94" i="8"/>
  <c r="Q94" i="8"/>
  <c r="P94" i="8"/>
  <c r="M94" i="8"/>
  <c r="G94" i="8"/>
  <c r="F94" i="8"/>
  <c r="B94" i="8"/>
  <c r="A94" i="8"/>
  <c r="R93" i="8"/>
  <c r="Q93" i="8"/>
  <c r="P93" i="8"/>
  <c r="M93" i="8"/>
  <c r="G93" i="8"/>
  <c r="F93" i="8"/>
  <c r="B93" i="8"/>
  <c r="C94" i="8" s="1"/>
  <c r="A93" i="8"/>
  <c r="R92" i="8"/>
  <c r="Q92" i="8"/>
  <c r="P92" i="8"/>
  <c r="M92" i="8"/>
  <c r="G92" i="8"/>
  <c r="F92" i="8"/>
  <c r="C92" i="8"/>
  <c r="B92" i="8"/>
  <c r="A92" i="8"/>
  <c r="R91" i="8"/>
  <c r="Q91" i="8"/>
  <c r="P91" i="8"/>
  <c r="M91" i="8"/>
  <c r="G91" i="8"/>
  <c r="F91" i="8"/>
  <c r="C91" i="8"/>
  <c r="B91" i="8"/>
  <c r="A91" i="8"/>
  <c r="R90" i="8"/>
  <c r="Q90" i="8"/>
  <c r="P90" i="8"/>
  <c r="M90" i="8"/>
  <c r="G90" i="8"/>
  <c r="F90" i="8"/>
  <c r="B90" i="8"/>
  <c r="A90" i="8"/>
  <c r="R89" i="8"/>
  <c r="Q89" i="8"/>
  <c r="P89" i="8"/>
  <c r="M89" i="8"/>
  <c r="G89" i="8"/>
  <c r="F89" i="8"/>
  <c r="B89" i="8"/>
  <c r="C90" i="8" s="1"/>
  <c r="A89" i="8"/>
  <c r="R88" i="8"/>
  <c r="Q88" i="8"/>
  <c r="P88" i="8"/>
  <c r="M88" i="8"/>
  <c r="G88" i="8"/>
  <c r="F88" i="8"/>
  <c r="B88" i="8"/>
  <c r="A88" i="8"/>
  <c r="R87" i="8"/>
  <c r="Q87" i="8"/>
  <c r="P87" i="8"/>
  <c r="M87" i="8"/>
  <c r="G87" i="8"/>
  <c r="F87" i="8"/>
  <c r="C87" i="8"/>
  <c r="B87" i="8"/>
  <c r="A87" i="8"/>
  <c r="R86" i="8"/>
  <c r="Q86" i="8"/>
  <c r="P86" i="8"/>
  <c r="M86" i="8"/>
  <c r="G86" i="8"/>
  <c r="F86" i="8"/>
  <c r="B86" i="8"/>
  <c r="A86" i="8"/>
  <c r="R85" i="8"/>
  <c r="Q85" i="8"/>
  <c r="P85" i="8"/>
  <c r="M85" i="8"/>
  <c r="G85" i="8"/>
  <c r="F85" i="8"/>
  <c r="B85" i="8"/>
  <c r="C86" i="8" s="1"/>
  <c r="A85" i="8"/>
  <c r="R84" i="8"/>
  <c r="Q84" i="8"/>
  <c r="P84" i="8"/>
  <c r="M84" i="8"/>
  <c r="G84" i="8"/>
  <c r="F84" i="8"/>
  <c r="B84" i="8"/>
  <c r="A84" i="8"/>
  <c r="R83" i="8"/>
  <c r="Q83" i="8"/>
  <c r="P83" i="8"/>
  <c r="M83" i="8"/>
  <c r="G83" i="8"/>
  <c r="F83" i="8"/>
  <c r="C83" i="8"/>
  <c r="B83" i="8"/>
  <c r="A83" i="8"/>
  <c r="R82" i="8"/>
  <c r="Q82" i="8"/>
  <c r="P82" i="8"/>
  <c r="M82" i="8"/>
  <c r="C82" i="8"/>
  <c r="B82" i="8"/>
  <c r="A82" i="8"/>
  <c r="R81" i="8"/>
  <c r="Q81" i="8"/>
  <c r="P81" i="8"/>
  <c r="M81" i="8"/>
  <c r="C81" i="8"/>
  <c r="B81" i="8"/>
  <c r="A81" i="8"/>
  <c r="R80" i="8"/>
  <c r="Q80" i="8"/>
  <c r="P80" i="8"/>
  <c r="M80" i="8"/>
  <c r="C80" i="8"/>
  <c r="B80" i="8"/>
  <c r="A80" i="8"/>
  <c r="R79" i="8"/>
  <c r="Q79" i="8"/>
  <c r="P79" i="8"/>
  <c r="M79" i="8"/>
  <c r="C79" i="8"/>
  <c r="B79" i="8"/>
  <c r="A79" i="8"/>
  <c r="R78" i="8"/>
  <c r="Q78" i="8"/>
  <c r="P78" i="8"/>
  <c r="M78" i="8"/>
  <c r="C78" i="8"/>
  <c r="B78" i="8"/>
  <c r="A78" i="8"/>
  <c r="R77" i="8"/>
  <c r="Q77" i="8"/>
  <c r="P77" i="8"/>
  <c r="M77" i="8"/>
  <c r="C77" i="8"/>
  <c r="B77" i="8"/>
  <c r="A77" i="8"/>
  <c r="R76" i="8"/>
  <c r="Q76" i="8"/>
  <c r="P76" i="8"/>
  <c r="M76" i="8"/>
  <c r="C76" i="8"/>
  <c r="B76" i="8"/>
  <c r="A76" i="8"/>
  <c r="R75" i="8"/>
  <c r="Q75" i="8"/>
  <c r="P75" i="8"/>
  <c r="M75" i="8"/>
  <c r="C75" i="8"/>
  <c r="B75" i="8"/>
  <c r="A75" i="8"/>
  <c r="R74" i="8"/>
  <c r="Q74" i="8"/>
  <c r="P74" i="8"/>
  <c r="M74" i="8"/>
  <c r="C74" i="8"/>
  <c r="B74" i="8"/>
  <c r="A74" i="8"/>
  <c r="R73" i="8"/>
  <c r="Q73" i="8"/>
  <c r="P73" i="8"/>
  <c r="M73" i="8"/>
  <c r="C73" i="8"/>
  <c r="B73" i="8"/>
  <c r="A73" i="8"/>
  <c r="R72" i="8"/>
  <c r="Q72" i="8"/>
  <c r="P72" i="8"/>
  <c r="M72" i="8"/>
  <c r="C72" i="8"/>
  <c r="B72" i="8"/>
  <c r="A72" i="8"/>
  <c r="R71" i="8"/>
  <c r="Q71" i="8"/>
  <c r="P71" i="8"/>
  <c r="M71" i="8"/>
  <c r="C71" i="8"/>
  <c r="B71" i="8"/>
  <c r="A71" i="8"/>
  <c r="R70" i="8"/>
  <c r="Q70" i="8"/>
  <c r="P70" i="8"/>
  <c r="M70" i="8"/>
  <c r="C70" i="8"/>
  <c r="B70" i="8"/>
  <c r="A70" i="8"/>
  <c r="R69" i="8"/>
  <c r="Q69" i="8"/>
  <c r="P69" i="8"/>
  <c r="M69" i="8"/>
  <c r="C69" i="8"/>
  <c r="B69" i="8"/>
  <c r="A69" i="8"/>
  <c r="R68" i="8"/>
  <c r="Q68" i="8"/>
  <c r="P68" i="8"/>
  <c r="M68" i="8"/>
  <c r="C68" i="8"/>
  <c r="B68" i="8"/>
  <c r="A68" i="8"/>
  <c r="R67" i="8"/>
  <c r="Q67" i="8"/>
  <c r="P67" i="8"/>
  <c r="M67" i="8"/>
  <c r="C67" i="8"/>
  <c r="B67" i="8"/>
  <c r="A67" i="8"/>
  <c r="R66" i="8"/>
  <c r="Q66" i="8"/>
  <c r="P66" i="8"/>
  <c r="M66" i="8"/>
  <c r="G66" i="8"/>
  <c r="F66" i="8"/>
  <c r="B66" i="8"/>
  <c r="A66" i="8"/>
  <c r="R65" i="8"/>
  <c r="Q65" i="8"/>
  <c r="P65" i="8"/>
  <c r="M65" i="8"/>
  <c r="G65" i="8"/>
  <c r="F65" i="8"/>
  <c r="B65" i="8"/>
  <c r="C66" i="8" s="1"/>
  <c r="A65" i="8"/>
  <c r="R64" i="8"/>
  <c r="Q64" i="8"/>
  <c r="P64" i="8"/>
  <c r="M64" i="8"/>
  <c r="G64" i="8"/>
  <c r="F64" i="8"/>
  <c r="B64" i="8"/>
  <c r="A64" i="8"/>
  <c r="R63" i="8"/>
  <c r="Q63" i="8"/>
  <c r="P63" i="8"/>
  <c r="M63" i="8"/>
  <c r="G63" i="8"/>
  <c r="F63" i="8"/>
  <c r="C63" i="8"/>
  <c r="B63" i="8"/>
  <c r="A63" i="8"/>
  <c r="R62" i="8"/>
  <c r="Q62" i="8"/>
  <c r="P62" i="8"/>
  <c r="M62" i="8"/>
  <c r="G62" i="8"/>
  <c r="F62" i="8"/>
  <c r="B62" i="8"/>
  <c r="A62" i="8"/>
  <c r="R61" i="8"/>
  <c r="Q61" i="8"/>
  <c r="P61" i="8"/>
  <c r="M61" i="8"/>
  <c r="G61" i="8"/>
  <c r="F61" i="8"/>
  <c r="B61" i="8"/>
  <c r="C62" i="8" s="1"/>
  <c r="A61" i="8"/>
  <c r="R60" i="8"/>
  <c r="Q60" i="8"/>
  <c r="P60" i="8"/>
  <c r="M60" i="8"/>
  <c r="G60" i="8"/>
  <c r="F60" i="8"/>
  <c r="B60" i="8"/>
  <c r="A60" i="8"/>
  <c r="R59" i="8"/>
  <c r="Q59" i="8"/>
  <c r="P59" i="8"/>
  <c r="M59" i="8"/>
  <c r="G59" i="8"/>
  <c r="F59" i="8"/>
  <c r="C59" i="8"/>
  <c r="B59" i="8"/>
  <c r="A59" i="8"/>
  <c r="R58" i="8"/>
  <c r="Q58" i="8"/>
  <c r="P58" i="8"/>
  <c r="M58" i="8"/>
  <c r="G58" i="8"/>
  <c r="F58" i="8"/>
  <c r="B58" i="8"/>
  <c r="A58" i="8"/>
  <c r="R57" i="8"/>
  <c r="Q57" i="8"/>
  <c r="P57" i="8"/>
  <c r="M57" i="8"/>
  <c r="G57" i="8"/>
  <c r="F57" i="8"/>
  <c r="B57" i="8"/>
  <c r="C58" i="8" s="1"/>
  <c r="A57" i="8"/>
  <c r="R56" i="8"/>
  <c r="Q56" i="8"/>
  <c r="P56" i="8"/>
  <c r="M56" i="8"/>
  <c r="G56" i="8"/>
  <c r="F56" i="8"/>
  <c r="B56" i="8"/>
  <c r="A56" i="8"/>
  <c r="R55" i="8"/>
  <c r="Q55" i="8"/>
  <c r="P55" i="8"/>
  <c r="M55" i="8"/>
  <c r="G55" i="8"/>
  <c r="F55" i="8"/>
  <c r="C55" i="8"/>
  <c r="B55" i="8"/>
  <c r="A55" i="8"/>
  <c r="R54" i="8"/>
  <c r="Q54" i="8"/>
  <c r="P54" i="8"/>
  <c r="M54" i="8"/>
  <c r="G54" i="8"/>
  <c r="F54" i="8"/>
  <c r="B54" i="8"/>
  <c r="A54" i="8"/>
  <c r="R53" i="8"/>
  <c r="Q53" i="8"/>
  <c r="P53" i="8"/>
  <c r="M53" i="8"/>
  <c r="G53" i="8"/>
  <c r="F53" i="8"/>
  <c r="B53" i="8"/>
  <c r="C54" i="8" s="1"/>
  <c r="A53" i="8"/>
  <c r="R52" i="8"/>
  <c r="Q52" i="8"/>
  <c r="P52" i="8"/>
  <c r="M52" i="8"/>
  <c r="G52" i="8"/>
  <c r="F52" i="8"/>
  <c r="B52" i="8"/>
  <c r="A52" i="8"/>
  <c r="R51" i="8"/>
  <c r="Q51" i="8"/>
  <c r="P51" i="8"/>
  <c r="M51" i="8"/>
  <c r="G51" i="8"/>
  <c r="F51" i="8"/>
  <c r="C51" i="8"/>
  <c r="B51" i="8"/>
  <c r="A51" i="8"/>
  <c r="R50" i="8"/>
  <c r="Q50" i="8"/>
  <c r="P50" i="8"/>
  <c r="M50" i="8"/>
  <c r="G50" i="8"/>
  <c r="F50" i="8"/>
  <c r="B50" i="8"/>
  <c r="A50" i="8"/>
  <c r="R49" i="8"/>
  <c r="Q49" i="8"/>
  <c r="P49" i="8"/>
  <c r="M49" i="8"/>
  <c r="G49" i="8"/>
  <c r="F49" i="8"/>
  <c r="B49" i="8"/>
  <c r="C50" i="8" s="1"/>
  <c r="A49" i="8"/>
  <c r="R48" i="8"/>
  <c r="Q48" i="8"/>
  <c r="P48" i="8"/>
  <c r="M48" i="8"/>
  <c r="G48" i="8"/>
  <c r="F48" i="8"/>
  <c r="B48" i="8"/>
  <c r="A48" i="8"/>
  <c r="R47" i="8"/>
  <c r="Q47" i="8"/>
  <c r="P47" i="8"/>
  <c r="M47" i="8"/>
  <c r="G47" i="8"/>
  <c r="F47" i="8"/>
  <c r="C47" i="8"/>
  <c r="B47" i="8"/>
  <c r="A47" i="8"/>
  <c r="R46" i="8"/>
  <c r="Q46" i="8"/>
  <c r="P46" i="8"/>
  <c r="M46" i="8"/>
  <c r="G46" i="8"/>
  <c r="F46" i="8"/>
  <c r="C46" i="8"/>
  <c r="B46" i="8"/>
  <c r="A46" i="8"/>
  <c r="R45" i="8"/>
  <c r="Q45" i="8"/>
  <c r="P45" i="8"/>
  <c r="M45" i="8"/>
  <c r="C45" i="8"/>
  <c r="B45" i="8"/>
  <c r="A45" i="8"/>
  <c r="R44" i="8"/>
  <c r="Q44" i="8"/>
  <c r="P44" i="8"/>
  <c r="M44" i="8"/>
  <c r="C44" i="8"/>
  <c r="B44" i="8"/>
  <c r="A44" i="8"/>
  <c r="R43" i="8"/>
  <c r="Q43" i="8"/>
  <c r="P43" i="8"/>
  <c r="M43" i="8"/>
  <c r="C43" i="8"/>
  <c r="B43" i="8"/>
  <c r="A43" i="8"/>
  <c r="R42" i="8"/>
  <c r="Q42" i="8"/>
  <c r="P42" i="8"/>
  <c r="M42" i="8"/>
  <c r="C42" i="8"/>
  <c r="B42" i="8"/>
  <c r="A42" i="8"/>
  <c r="R41" i="8"/>
  <c r="Q41" i="8"/>
  <c r="P41" i="8"/>
  <c r="M41" i="8"/>
  <c r="C41" i="8"/>
  <c r="B41" i="8"/>
  <c r="A41" i="8"/>
  <c r="R40" i="8"/>
  <c r="Q40" i="8"/>
  <c r="P40" i="8"/>
  <c r="M40" i="8"/>
  <c r="C40" i="8"/>
  <c r="B40" i="8"/>
  <c r="A40" i="8"/>
  <c r="R39" i="8"/>
  <c r="Q39" i="8"/>
  <c r="P39" i="8"/>
  <c r="M39" i="8"/>
  <c r="C39" i="8"/>
  <c r="B39" i="8"/>
  <c r="A39" i="8"/>
  <c r="R38" i="8"/>
  <c r="Q38" i="8"/>
  <c r="P38" i="8"/>
  <c r="M38" i="8"/>
  <c r="C38" i="8"/>
  <c r="B38" i="8"/>
  <c r="A38" i="8"/>
  <c r="R37" i="8"/>
  <c r="Q37" i="8"/>
  <c r="P37" i="8"/>
  <c r="M37" i="8"/>
  <c r="C37" i="8"/>
  <c r="B37" i="8"/>
  <c r="A37" i="8"/>
  <c r="R36" i="8"/>
  <c r="Q36" i="8"/>
  <c r="P36" i="8"/>
  <c r="M36" i="8"/>
  <c r="C36" i="8"/>
  <c r="B36" i="8"/>
  <c r="A36" i="8"/>
  <c r="R35" i="8"/>
  <c r="Q35" i="8"/>
  <c r="P35" i="8"/>
  <c r="M35" i="8"/>
  <c r="C35" i="8"/>
  <c r="B35" i="8"/>
  <c r="A35" i="8"/>
  <c r="R34" i="8"/>
  <c r="Q34" i="8"/>
  <c r="P34" i="8"/>
  <c r="M34" i="8"/>
  <c r="C34" i="8"/>
  <c r="B34" i="8"/>
  <c r="A34" i="8"/>
  <c r="R33" i="8"/>
  <c r="Q33" i="8"/>
  <c r="P33" i="8"/>
  <c r="M33" i="8"/>
  <c r="C33" i="8"/>
  <c r="B33" i="8"/>
  <c r="A33" i="8"/>
  <c r="R32" i="8"/>
  <c r="Q32" i="8"/>
  <c r="P32" i="8"/>
  <c r="M32" i="8"/>
  <c r="B32" i="8"/>
  <c r="A32" i="8"/>
  <c r="R31" i="8"/>
  <c r="Q31" i="8"/>
  <c r="P31" i="8"/>
  <c r="M31" i="8"/>
  <c r="G31" i="8"/>
  <c r="F31" i="8"/>
  <c r="B31" i="8"/>
  <c r="C32" i="8" s="1"/>
  <c r="A31" i="8"/>
  <c r="R30" i="8"/>
  <c r="Q30" i="8"/>
  <c r="P30" i="8"/>
  <c r="M30" i="8"/>
  <c r="G30" i="8"/>
  <c r="F30" i="8"/>
  <c r="B30" i="8"/>
  <c r="A30" i="8"/>
  <c r="R29" i="8"/>
  <c r="Q29" i="8"/>
  <c r="P29" i="8"/>
  <c r="M29" i="8"/>
  <c r="G29" i="8"/>
  <c r="F29" i="8"/>
  <c r="C29" i="8"/>
  <c r="B29" i="8"/>
  <c r="A29" i="8"/>
  <c r="R28" i="8"/>
  <c r="Q28" i="8"/>
  <c r="P28" i="8"/>
  <c r="M28" i="8"/>
  <c r="C28" i="8"/>
  <c r="B28" i="8"/>
  <c r="A28" i="8"/>
  <c r="R27" i="8"/>
  <c r="Q27" i="8"/>
  <c r="P27" i="8"/>
  <c r="M27" i="8"/>
  <c r="C27" i="8"/>
  <c r="B27" i="8"/>
  <c r="A27" i="8"/>
  <c r="R26" i="8"/>
  <c r="Q26" i="8"/>
  <c r="P26" i="8"/>
  <c r="M26" i="8"/>
  <c r="C26" i="8"/>
  <c r="B26" i="8"/>
  <c r="A26" i="8"/>
  <c r="R25" i="8"/>
  <c r="Q25" i="8"/>
  <c r="P25" i="8"/>
  <c r="M25" i="8"/>
  <c r="G25" i="8"/>
  <c r="F25" i="8"/>
  <c r="B25" i="8"/>
  <c r="A25" i="8"/>
  <c r="R24" i="8"/>
  <c r="Q24" i="8"/>
  <c r="P24" i="8"/>
  <c r="M24" i="8"/>
  <c r="G24" i="8"/>
  <c r="F24" i="8"/>
  <c r="B24" i="8"/>
  <c r="C25" i="8" s="1"/>
  <c r="A24" i="8"/>
  <c r="R23" i="8"/>
  <c r="Q23" i="8"/>
  <c r="P23" i="8"/>
  <c r="M23" i="8"/>
  <c r="G23" i="8"/>
  <c r="F23" i="8"/>
  <c r="B23" i="8"/>
  <c r="A23" i="8"/>
  <c r="R22" i="8"/>
  <c r="Q22" i="8"/>
  <c r="P22" i="8"/>
  <c r="M22" i="8"/>
  <c r="G22" i="8"/>
  <c r="F22" i="8"/>
  <c r="C22" i="8"/>
  <c r="B22" i="8"/>
  <c r="A22" i="8"/>
  <c r="R21" i="8"/>
  <c r="Q21" i="8"/>
  <c r="P21" i="8"/>
  <c r="M21" i="8"/>
  <c r="G21" i="8"/>
  <c r="F21" i="8"/>
  <c r="B21" i="8"/>
  <c r="A21" i="8"/>
  <c r="R20" i="8"/>
  <c r="Q20" i="8"/>
  <c r="P20" i="8"/>
  <c r="M20" i="8"/>
  <c r="G20" i="8"/>
  <c r="F20" i="8"/>
  <c r="B20" i="8"/>
  <c r="C21" i="8" s="1"/>
  <c r="A20" i="8"/>
  <c r="R19" i="8"/>
  <c r="Q19" i="8"/>
  <c r="P19" i="8"/>
  <c r="M19" i="8"/>
  <c r="G19" i="8"/>
  <c r="F19" i="8"/>
  <c r="B19" i="8"/>
  <c r="A19" i="8"/>
  <c r="R18" i="8"/>
  <c r="Q18" i="8"/>
  <c r="P18" i="8"/>
  <c r="M18" i="8"/>
  <c r="G18" i="8"/>
  <c r="F18" i="8"/>
  <c r="C18" i="8"/>
  <c r="B18" i="8"/>
  <c r="A18" i="8"/>
  <c r="R17" i="8"/>
  <c r="Q17" i="8"/>
  <c r="P17" i="8"/>
  <c r="M17" i="8"/>
  <c r="G17" i="8"/>
  <c r="F17" i="8"/>
  <c r="B17" i="8"/>
  <c r="A17" i="8"/>
  <c r="R16" i="8"/>
  <c r="Q16" i="8"/>
  <c r="P16" i="8"/>
  <c r="M16" i="8"/>
  <c r="G16" i="8"/>
  <c r="F16" i="8"/>
  <c r="B16" i="8"/>
  <c r="C17" i="8" s="1"/>
  <c r="A16" i="8"/>
  <c r="R15" i="8"/>
  <c r="Q15" i="8"/>
  <c r="P15" i="8"/>
  <c r="M15" i="8"/>
  <c r="G15" i="8"/>
  <c r="F15" i="8"/>
  <c r="B15" i="8"/>
  <c r="C15" i="8" s="1"/>
  <c r="A15" i="8"/>
  <c r="R14" i="8"/>
  <c r="Q14" i="8"/>
  <c r="P14" i="8"/>
  <c r="M14" i="8"/>
  <c r="G14" i="8"/>
  <c r="F14" i="8"/>
  <c r="C14" i="8"/>
  <c r="B14" i="8"/>
  <c r="A14" i="8"/>
  <c r="R13" i="8"/>
  <c r="Q13" i="8"/>
  <c r="P13" i="8"/>
  <c r="M13" i="8"/>
  <c r="G13" i="8"/>
  <c r="F13" i="8"/>
  <c r="B13" i="8"/>
  <c r="A13" i="8"/>
  <c r="R12" i="8"/>
  <c r="Q12" i="8"/>
  <c r="P12" i="8"/>
  <c r="M12" i="8"/>
  <c r="G12" i="8"/>
  <c r="F12" i="8"/>
  <c r="B12" i="8"/>
  <c r="C13" i="8" s="1"/>
  <c r="A12" i="8"/>
  <c r="R11" i="8"/>
  <c r="Q11" i="8"/>
  <c r="P11" i="8"/>
  <c r="M11" i="8"/>
  <c r="G11" i="8"/>
  <c r="F11" i="8"/>
  <c r="B11" i="8"/>
  <c r="A11" i="8"/>
  <c r="R10" i="8"/>
  <c r="Q10" i="8"/>
  <c r="P10" i="8"/>
  <c r="M10" i="8"/>
  <c r="G10" i="8"/>
  <c r="F10" i="8"/>
  <c r="C10" i="8"/>
  <c r="B10" i="8"/>
  <c r="A10" i="8"/>
  <c r="R9" i="8"/>
  <c r="Q9" i="8"/>
  <c r="P9" i="8"/>
  <c r="M9" i="8"/>
  <c r="G9" i="8"/>
  <c r="F9" i="8"/>
  <c r="B9" i="8"/>
  <c r="A9" i="8"/>
  <c r="R8" i="8"/>
  <c r="Q8" i="8"/>
  <c r="P8" i="8"/>
  <c r="M8" i="8"/>
  <c r="G8" i="8"/>
  <c r="F8" i="8"/>
  <c r="B8" i="8"/>
  <c r="C9" i="8" s="1"/>
  <c r="A8" i="8"/>
  <c r="R7" i="8"/>
  <c r="Q7" i="8"/>
  <c r="P7" i="8"/>
  <c r="M7" i="8"/>
  <c r="G7" i="8"/>
  <c r="F7" i="8"/>
  <c r="B7" i="8"/>
  <c r="A7" i="8"/>
  <c r="R6" i="8"/>
  <c r="Q6" i="8"/>
  <c r="P6" i="8"/>
  <c r="M6" i="8"/>
  <c r="G6" i="8"/>
  <c r="F6" i="8"/>
  <c r="C6" i="8"/>
  <c r="B6" i="8"/>
  <c r="A6" i="8"/>
  <c r="R5" i="8"/>
  <c r="Q5" i="8"/>
  <c r="P5" i="8"/>
  <c r="M5" i="8"/>
  <c r="G5" i="8"/>
  <c r="F5" i="8"/>
  <c r="C5" i="8"/>
  <c r="B5" i="8"/>
  <c r="A5" i="8"/>
  <c r="R4" i="8"/>
  <c r="Q4" i="8"/>
  <c r="P4" i="8"/>
  <c r="M4" i="8"/>
  <c r="G4" i="8"/>
  <c r="F4" i="8"/>
  <c r="B4" i="8"/>
  <c r="C4" i="8" s="1"/>
  <c r="A4" i="8"/>
  <c r="R3" i="8"/>
  <c r="Q3" i="8"/>
  <c r="P3" i="8"/>
  <c r="M3" i="8"/>
  <c r="G3" i="8"/>
  <c r="F3" i="8"/>
  <c r="B3" i="8"/>
  <c r="N3" i="8" s="1"/>
  <c r="N4" i="8" s="1"/>
  <c r="N5" i="8" s="1"/>
  <c r="N6" i="8" s="1"/>
  <c r="A3" i="8"/>
  <c r="R2" i="8"/>
  <c r="Q2" i="8"/>
  <c r="P2" i="8"/>
  <c r="M2" i="8"/>
  <c r="N2" i="8" s="1"/>
  <c r="G2" i="8"/>
  <c r="F2" i="8"/>
  <c r="C2" i="8"/>
  <c r="B2" i="8"/>
  <c r="A2" i="8"/>
  <c r="R499" i="7"/>
  <c r="Q499" i="7"/>
  <c r="P499" i="7"/>
  <c r="M499" i="7"/>
  <c r="G499" i="7"/>
  <c r="F499" i="7"/>
  <c r="C499" i="7"/>
  <c r="B499" i="7"/>
  <c r="A499" i="7"/>
  <c r="R498" i="7"/>
  <c r="Q498" i="7"/>
  <c r="P498" i="7"/>
  <c r="M498" i="7"/>
  <c r="G498" i="7"/>
  <c r="F498" i="7"/>
  <c r="C498" i="7"/>
  <c r="B498" i="7"/>
  <c r="A498" i="7"/>
  <c r="R497" i="7"/>
  <c r="Q497" i="7"/>
  <c r="P497" i="7"/>
  <c r="M497" i="7"/>
  <c r="G497" i="7"/>
  <c r="F497" i="7"/>
  <c r="B497" i="7"/>
  <c r="C497" i="7" s="1"/>
  <c r="A497" i="7"/>
  <c r="R496" i="7"/>
  <c r="Q496" i="7"/>
  <c r="P496" i="7"/>
  <c r="M496" i="7"/>
  <c r="G496" i="7"/>
  <c r="F496" i="7"/>
  <c r="C496" i="7"/>
  <c r="B496" i="7"/>
  <c r="A496" i="7"/>
  <c r="R495" i="7"/>
  <c r="Q495" i="7"/>
  <c r="P495" i="7"/>
  <c r="M495" i="7"/>
  <c r="G495" i="7"/>
  <c r="F495" i="7"/>
  <c r="C495" i="7"/>
  <c r="B495" i="7"/>
  <c r="A495" i="7"/>
  <c r="R494" i="7"/>
  <c r="Q494" i="7"/>
  <c r="P494" i="7"/>
  <c r="M494" i="7"/>
  <c r="G494" i="7"/>
  <c r="F494" i="7"/>
  <c r="C494" i="7"/>
  <c r="B494" i="7"/>
  <c r="A494" i="7"/>
  <c r="R493" i="7"/>
  <c r="Q493" i="7"/>
  <c r="P493" i="7"/>
  <c r="M493" i="7"/>
  <c r="G493" i="7"/>
  <c r="F493" i="7"/>
  <c r="B493" i="7"/>
  <c r="C493" i="7" s="1"/>
  <c r="A493" i="7"/>
  <c r="R492" i="7"/>
  <c r="Q492" i="7"/>
  <c r="P492" i="7"/>
  <c r="M492" i="7"/>
  <c r="G492" i="7"/>
  <c r="F492" i="7"/>
  <c r="C492" i="7"/>
  <c r="B492" i="7"/>
  <c r="A492" i="7"/>
  <c r="R491" i="7"/>
  <c r="Q491" i="7"/>
  <c r="P491" i="7"/>
  <c r="M491" i="7"/>
  <c r="G491" i="7"/>
  <c r="F491" i="7"/>
  <c r="C491" i="7"/>
  <c r="B491" i="7"/>
  <c r="A491" i="7"/>
  <c r="R490" i="7"/>
  <c r="Q490" i="7"/>
  <c r="P490" i="7"/>
  <c r="M490" i="7"/>
  <c r="G490" i="7"/>
  <c r="F490" i="7"/>
  <c r="C490" i="7"/>
  <c r="B490" i="7"/>
  <c r="A490" i="7"/>
  <c r="R489" i="7"/>
  <c r="Q489" i="7"/>
  <c r="P489" i="7"/>
  <c r="M489" i="7"/>
  <c r="G489" i="7"/>
  <c r="F489" i="7"/>
  <c r="B489" i="7"/>
  <c r="C489" i="7" s="1"/>
  <c r="A489" i="7"/>
  <c r="R488" i="7"/>
  <c r="Q488" i="7"/>
  <c r="P488" i="7"/>
  <c r="M488" i="7"/>
  <c r="G488" i="7"/>
  <c r="F488" i="7"/>
  <c r="C488" i="7"/>
  <c r="B488" i="7"/>
  <c r="A488" i="7"/>
  <c r="R487" i="7"/>
  <c r="Q487" i="7"/>
  <c r="P487" i="7"/>
  <c r="M487" i="7"/>
  <c r="G487" i="7"/>
  <c r="F487" i="7"/>
  <c r="C487" i="7"/>
  <c r="B487" i="7"/>
  <c r="A487" i="7"/>
  <c r="R486" i="7"/>
  <c r="Q486" i="7"/>
  <c r="P486" i="7"/>
  <c r="M486" i="7"/>
  <c r="G486" i="7"/>
  <c r="F486" i="7"/>
  <c r="B486" i="7"/>
  <c r="A486" i="7"/>
  <c r="R485" i="7"/>
  <c r="Q485" i="7"/>
  <c r="P485" i="7"/>
  <c r="M485" i="7"/>
  <c r="G485" i="7"/>
  <c r="F485" i="7"/>
  <c r="B485" i="7"/>
  <c r="A485" i="7"/>
  <c r="R484" i="7"/>
  <c r="Q484" i="7"/>
  <c r="P484" i="7"/>
  <c r="M484" i="7"/>
  <c r="G484" i="7"/>
  <c r="F484" i="7"/>
  <c r="C484" i="7"/>
  <c r="B484" i="7"/>
  <c r="A484" i="7"/>
  <c r="R483" i="7"/>
  <c r="Q483" i="7"/>
  <c r="P483" i="7"/>
  <c r="M483" i="7"/>
  <c r="G483" i="7"/>
  <c r="F483" i="7"/>
  <c r="C483" i="7"/>
  <c r="B483" i="7"/>
  <c r="A483" i="7"/>
  <c r="R482" i="7"/>
  <c r="Q482" i="7"/>
  <c r="P482" i="7"/>
  <c r="M482" i="7"/>
  <c r="G482" i="7"/>
  <c r="F482" i="7"/>
  <c r="C482" i="7"/>
  <c r="B482" i="7"/>
  <c r="A482" i="7"/>
  <c r="R481" i="7"/>
  <c r="Q481" i="7"/>
  <c r="P481" i="7"/>
  <c r="M481" i="7"/>
  <c r="G481" i="7"/>
  <c r="F481" i="7"/>
  <c r="B481" i="7"/>
  <c r="C481" i="7" s="1"/>
  <c r="A481" i="7"/>
  <c r="R480" i="7"/>
  <c r="Q480" i="7"/>
  <c r="P480" i="7"/>
  <c r="M480" i="7"/>
  <c r="G480" i="7"/>
  <c r="F480" i="7"/>
  <c r="C480" i="7"/>
  <c r="B480" i="7"/>
  <c r="A480" i="7"/>
  <c r="R479" i="7"/>
  <c r="Q479" i="7"/>
  <c r="P479" i="7"/>
  <c r="M479" i="7"/>
  <c r="G479" i="7"/>
  <c r="F479" i="7"/>
  <c r="C479" i="7"/>
  <c r="B479" i="7"/>
  <c r="A479" i="7"/>
  <c r="R478" i="7"/>
  <c r="Q478" i="7"/>
  <c r="P478" i="7"/>
  <c r="M478" i="7"/>
  <c r="G478" i="7"/>
  <c r="F478" i="7"/>
  <c r="C478" i="7"/>
  <c r="B478" i="7"/>
  <c r="A478" i="7"/>
  <c r="R477" i="7"/>
  <c r="Q477" i="7"/>
  <c r="P477" i="7"/>
  <c r="M477" i="7"/>
  <c r="G477" i="7"/>
  <c r="F477" i="7"/>
  <c r="B477" i="7"/>
  <c r="C477" i="7" s="1"/>
  <c r="A477" i="7"/>
  <c r="R476" i="7"/>
  <c r="Q476" i="7"/>
  <c r="P476" i="7"/>
  <c r="M476" i="7"/>
  <c r="G476" i="7"/>
  <c r="F476" i="7"/>
  <c r="C476" i="7"/>
  <c r="B476" i="7"/>
  <c r="A476" i="7"/>
  <c r="R475" i="7"/>
  <c r="Q475" i="7"/>
  <c r="P475" i="7"/>
  <c r="M475" i="7"/>
  <c r="G475" i="7"/>
  <c r="F475" i="7"/>
  <c r="C475" i="7"/>
  <c r="B475" i="7"/>
  <c r="A475" i="7"/>
  <c r="R474" i="7"/>
  <c r="Q474" i="7"/>
  <c r="P474" i="7"/>
  <c r="M474" i="7"/>
  <c r="G474" i="7"/>
  <c r="F474" i="7"/>
  <c r="C474" i="7"/>
  <c r="B474" i="7"/>
  <c r="A474" i="7"/>
  <c r="R473" i="7"/>
  <c r="Q473" i="7"/>
  <c r="P473" i="7"/>
  <c r="M473" i="7"/>
  <c r="G473" i="7"/>
  <c r="F473" i="7"/>
  <c r="B473" i="7"/>
  <c r="C473" i="7" s="1"/>
  <c r="A473" i="7"/>
  <c r="R472" i="7"/>
  <c r="Q472" i="7"/>
  <c r="P472" i="7"/>
  <c r="M472" i="7"/>
  <c r="G472" i="7"/>
  <c r="F472" i="7"/>
  <c r="C472" i="7"/>
  <c r="B472" i="7"/>
  <c r="A472" i="7"/>
  <c r="R471" i="7"/>
  <c r="Q471" i="7"/>
  <c r="P471" i="7"/>
  <c r="M471" i="7"/>
  <c r="G471" i="7"/>
  <c r="F471" i="7"/>
  <c r="C471" i="7"/>
  <c r="B471" i="7"/>
  <c r="A471" i="7"/>
  <c r="R470" i="7"/>
  <c r="Q470" i="7"/>
  <c r="P470" i="7"/>
  <c r="M470" i="7"/>
  <c r="G470" i="7"/>
  <c r="F470" i="7"/>
  <c r="B470" i="7"/>
  <c r="A470" i="7"/>
  <c r="R469" i="7"/>
  <c r="Q469" i="7"/>
  <c r="P469" i="7"/>
  <c r="M469" i="7"/>
  <c r="G469" i="7"/>
  <c r="F469" i="7"/>
  <c r="B469" i="7"/>
  <c r="A469" i="7"/>
  <c r="R468" i="7"/>
  <c r="Q468" i="7"/>
  <c r="P468" i="7"/>
  <c r="M468" i="7"/>
  <c r="G468" i="7"/>
  <c r="F468" i="7"/>
  <c r="C468" i="7"/>
  <c r="B468" i="7"/>
  <c r="A468" i="7"/>
  <c r="R467" i="7"/>
  <c r="Q467" i="7"/>
  <c r="P467" i="7"/>
  <c r="M467" i="7"/>
  <c r="G467" i="7"/>
  <c r="F467" i="7"/>
  <c r="C467" i="7"/>
  <c r="B467" i="7"/>
  <c r="A467" i="7"/>
  <c r="R466" i="7"/>
  <c r="Q466" i="7"/>
  <c r="P466" i="7"/>
  <c r="M466" i="7"/>
  <c r="G466" i="7"/>
  <c r="F466" i="7"/>
  <c r="B466" i="7"/>
  <c r="A466" i="7"/>
  <c r="R465" i="7"/>
  <c r="Q465" i="7"/>
  <c r="P465" i="7"/>
  <c r="M465" i="7"/>
  <c r="G465" i="7"/>
  <c r="F465" i="7"/>
  <c r="B465" i="7"/>
  <c r="C465" i="7" s="1"/>
  <c r="A465" i="7"/>
  <c r="R464" i="7"/>
  <c r="Q464" i="7"/>
  <c r="P464" i="7"/>
  <c r="M464" i="7"/>
  <c r="G464" i="7"/>
  <c r="F464" i="7"/>
  <c r="C464" i="7"/>
  <c r="B464" i="7"/>
  <c r="A464" i="7"/>
  <c r="R463" i="7"/>
  <c r="Q463" i="7"/>
  <c r="P463" i="7"/>
  <c r="M463" i="7"/>
  <c r="G463" i="7"/>
  <c r="F463" i="7"/>
  <c r="C463" i="7"/>
  <c r="B463" i="7"/>
  <c r="A463" i="7"/>
  <c r="R462" i="7"/>
  <c r="Q462" i="7"/>
  <c r="P462" i="7"/>
  <c r="M462" i="7"/>
  <c r="G462" i="7"/>
  <c r="F462" i="7"/>
  <c r="C462" i="7"/>
  <c r="B462" i="7"/>
  <c r="A462" i="7"/>
  <c r="R461" i="7"/>
  <c r="Q461" i="7"/>
  <c r="P461" i="7"/>
  <c r="M461" i="7"/>
  <c r="G461" i="7"/>
  <c r="F461" i="7"/>
  <c r="B461" i="7"/>
  <c r="C461" i="7" s="1"/>
  <c r="A461" i="7"/>
  <c r="R460" i="7"/>
  <c r="Q460" i="7"/>
  <c r="P460" i="7"/>
  <c r="M460" i="7"/>
  <c r="G460" i="7"/>
  <c r="F460" i="7"/>
  <c r="C460" i="7"/>
  <c r="B460" i="7"/>
  <c r="A460" i="7"/>
  <c r="R459" i="7"/>
  <c r="Q459" i="7"/>
  <c r="P459" i="7"/>
  <c r="M459" i="7"/>
  <c r="G459" i="7"/>
  <c r="F459" i="7"/>
  <c r="C459" i="7"/>
  <c r="B459" i="7"/>
  <c r="A459" i="7"/>
  <c r="R458" i="7"/>
  <c r="Q458" i="7"/>
  <c r="P458" i="7"/>
  <c r="M458" i="7"/>
  <c r="G458" i="7"/>
  <c r="F458" i="7"/>
  <c r="C458" i="7"/>
  <c r="B458" i="7"/>
  <c r="A458" i="7"/>
  <c r="R457" i="7"/>
  <c r="Q457" i="7"/>
  <c r="P457" i="7"/>
  <c r="M457" i="7"/>
  <c r="G457" i="7"/>
  <c r="F457" i="7"/>
  <c r="B457" i="7"/>
  <c r="C457" i="7" s="1"/>
  <c r="A457" i="7"/>
  <c r="R456" i="7"/>
  <c r="Q456" i="7"/>
  <c r="P456" i="7"/>
  <c r="M456" i="7"/>
  <c r="G456" i="7"/>
  <c r="F456" i="7"/>
  <c r="C456" i="7"/>
  <c r="B456" i="7"/>
  <c r="A456" i="7"/>
  <c r="R455" i="7"/>
  <c r="Q455" i="7"/>
  <c r="P455" i="7"/>
  <c r="M455" i="7"/>
  <c r="G455" i="7"/>
  <c r="F455" i="7"/>
  <c r="C455" i="7"/>
  <c r="B455" i="7"/>
  <c r="A455" i="7"/>
  <c r="R454" i="7"/>
  <c r="Q454" i="7"/>
  <c r="P454" i="7"/>
  <c r="M454" i="7"/>
  <c r="G454" i="7"/>
  <c r="F454" i="7"/>
  <c r="B454" i="7"/>
  <c r="A454" i="7"/>
  <c r="R453" i="7"/>
  <c r="Q453" i="7"/>
  <c r="P453" i="7"/>
  <c r="M453" i="7"/>
  <c r="G453" i="7"/>
  <c r="F453" i="7"/>
  <c r="B453" i="7"/>
  <c r="A453" i="7"/>
  <c r="R452" i="7"/>
  <c r="Q452" i="7"/>
  <c r="P452" i="7"/>
  <c r="M452" i="7"/>
  <c r="G452" i="7"/>
  <c r="F452" i="7"/>
  <c r="C452" i="7"/>
  <c r="B452" i="7"/>
  <c r="A452" i="7"/>
  <c r="R451" i="7"/>
  <c r="Q451" i="7"/>
  <c r="P451" i="7"/>
  <c r="M451" i="7"/>
  <c r="G451" i="7"/>
  <c r="F451" i="7"/>
  <c r="C451" i="7"/>
  <c r="B451" i="7"/>
  <c r="A451" i="7"/>
  <c r="R450" i="7"/>
  <c r="Q450" i="7"/>
  <c r="P450" i="7"/>
  <c r="M450" i="7"/>
  <c r="G450" i="7"/>
  <c r="F450" i="7"/>
  <c r="B450" i="7"/>
  <c r="A450" i="7"/>
  <c r="R449" i="7"/>
  <c r="Q449" i="7"/>
  <c r="P449" i="7"/>
  <c r="M449" i="7"/>
  <c r="G449" i="7"/>
  <c r="F449" i="7"/>
  <c r="B449" i="7"/>
  <c r="C449" i="7" s="1"/>
  <c r="A449" i="7"/>
  <c r="R448" i="7"/>
  <c r="Q448" i="7"/>
  <c r="P448" i="7"/>
  <c r="M448" i="7"/>
  <c r="G448" i="7"/>
  <c r="F448" i="7"/>
  <c r="C448" i="7"/>
  <c r="B448" i="7"/>
  <c r="A448" i="7"/>
  <c r="R447" i="7"/>
  <c r="Q447" i="7"/>
  <c r="P447" i="7"/>
  <c r="M447" i="7"/>
  <c r="G447" i="7"/>
  <c r="F447" i="7"/>
  <c r="C447" i="7"/>
  <c r="B447" i="7"/>
  <c r="A447" i="7"/>
  <c r="R446" i="7"/>
  <c r="Q446" i="7"/>
  <c r="P446" i="7"/>
  <c r="M446" i="7"/>
  <c r="G446" i="7"/>
  <c r="F446" i="7"/>
  <c r="C446" i="7"/>
  <c r="B446" i="7"/>
  <c r="A446" i="7"/>
  <c r="R445" i="7"/>
  <c r="Q445" i="7"/>
  <c r="P445" i="7"/>
  <c r="M445" i="7"/>
  <c r="G445" i="7"/>
  <c r="F445" i="7"/>
  <c r="B445" i="7"/>
  <c r="C445" i="7" s="1"/>
  <c r="A445" i="7"/>
  <c r="R444" i="7"/>
  <c r="Q444" i="7"/>
  <c r="P444" i="7"/>
  <c r="M444" i="7"/>
  <c r="G444" i="7"/>
  <c r="F444" i="7"/>
  <c r="C444" i="7"/>
  <c r="B444" i="7"/>
  <c r="A444" i="7"/>
  <c r="R443" i="7"/>
  <c r="Q443" i="7"/>
  <c r="P443" i="7"/>
  <c r="M443" i="7"/>
  <c r="G443" i="7"/>
  <c r="F443" i="7"/>
  <c r="C443" i="7"/>
  <c r="B443" i="7"/>
  <c r="A443" i="7"/>
  <c r="R442" i="7"/>
  <c r="Q442" i="7"/>
  <c r="P442" i="7"/>
  <c r="M442" i="7"/>
  <c r="G442" i="7"/>
  <c r="F442" i="7"/>
  <c r="C442" i="7"/>
  <c r="B442" i="7"/>
  <c r="A442" i="7"/>
  <c r="R441" i="7"/>
  <c r="Q441" i="7"/>
  <c r="P441" i="7"/>
  <c r="M441" i="7"/>
  <c r="G441" i="7"/>
  <c r="F441" i="7"/>
  <c r="B441" i="7"/>
  <c r="C441" i="7" s="1"/>
  <c r="A441" i="7"/>
  <c r="R440" i="7"/>
  <c r="Q440" i="7"/>
  <c r="P440" i="7"/>
  <c r="M440" i="7"/>
  <c r="G440" i="7"/>
  <c r="F440" i="7"/>
  <c r="C440" i="7"/>
  <c r="B440" i="7"/>
  <c r="A440" i="7"/>
  <c r="R439" i="7"/>
  <c r="Q439" i="7"/>
  <c r="P439" i="7"/>
  <c r="M439" i="7"/>
  <c r="G439" i="7"/>
  <c r="F439" i="7"/>
  <c r="C439" i="7"/>
  <c r="B439" i="7"/>
  <c r="A439" i="7"/>
  <c r="R438" i="7"/>
  <c r="Q438" i="7"/>
  <c r="P438" i="7"/>
  <c r="M438" i="7"/>
  <c r="G438" i="7"/>
  <c r="F438" i="7"/>
  <c r="B438" i="7"/>
  <c r="A438" i="7"/>
  <c r="R437" i="7"/>
  <c r="Q437" i="7"/>
  <c r="P437" i="7"/>
  <c r="M437" i="7"/>
  <c r="G437" i="7"/>
  <c r="F437" i="7"/>
  <c r="B437" i="7"/>
  <c r="A437" i="7"/>
  <c r="R436" i="7"/>
  <c r="Q436" i="7"/>
  <c r="P436" i="7"/>
  <c r="M436" i="7"/>
  <c r="G436" i="7"/>
  <c r="F436" i="7"/>
  <c r="C436" i="7"/>
  <c r="B436" i="7"/>
  <c r="A436" i="7"/>
  <c r="R435" i="7"/>
  <c r="Q435" i="7"/>
  <c r="P435" i="7"/>
  <c r="M435" i="7"/>
  <c r="G435" i="7"/>
  <c r="F435" i="7"/>
  <c r="C435" i="7"/>
  <c r="B435" i="7"/>
  <c r="A435" i="7"/>
  <c r="R434" i="7"/>
  <c r="Q434" i="7"/>
  <c r="P434" i="7"/>
  <c r="M434" i="7"/>
  <c r="G434" i="7"/>
  <c r="F434" i="7"/>
  <c r="B434" i="7"/>
  <c r="A434" i="7"/>
  <c r="R433" i="7"/>
  <c r="Q433" i="7"/>
  <c r="P433" i="7"/>
  <c r="M433" i="7"/>
  <c r="G433" i="7"/>
  <c r="F433" i="7"/>
  <c r="B433" i="7"/>
  <c r="C433" i="7" s="1"/>
  <c r="A433" i="7"/>
  <c r="R432" i="7"/>
  <c r="Q432" i="7"/>
  <c r="P432" i="7"/>
  <c r="M432" i="7"/>
  <c r="G432" i="7"/>
  <c r="F432" i="7"/>
  <c r="C432" i="7"/>
  <c r="B432" i="7"/>
  <c r="A432" i="7"/>
  <c r="R431" i="7"/>
  <c r="Q431" i="7"/>
  <c r="P431" i="7"/>
  <c r="M431" i="7"/>
  <c r="G431" i="7"/>
  <c r="F431" i="7"/>
  <c r="C431" i="7"/>
  <c r="B431" i="7"/>
  <c r="A431" i="7"/>
  <c r="R430" i="7"/>
  <c r="Q430" i="7"/>
  <c r="P430" i="7"/>
  <c r="M430" i="7"/>
  <c r="G430" i="7"/>
  <c r="F430" i="7"/>
  <c r="C430" i="7"/>
  <c r="B430" i="7"/>
  <c r="A430" i="7"/>
  <c r="R429" i="7"/>
  <c r="Q429" i="7"/>
  <c r="P429" i="7"/>
  <c r="M429" i="7"/>
  <c r="G429" i="7"/>
  <c r="F429" i="7"/>
  <c r="B429" i="7"/>
  <c r="C429" i="7" s="1"/>
  <c r="A429" i="7"/>
  <c r="R428" i="7"/>
  <c r="Q428" i="7"/>
  <c r="P428" i="7"/>
  <c r="M428" i="7"/>
  <c r="G428" i="7"/>
  <c r="F428" i="7"/>
  <c r="C428" i="7"/>
  <c r="B428" i="7"/>
  <c r="A428" i="7"/>
  <c r="R427" i="7"/>
  <c r="Q427" i="7"/>
  <c r="P427" i="7"/>
  <c r="M427" i="7"/>
  <c r="G427" i="7"/>
  <c r="F427" i="7"/>
  <c r="C427" i="7"/>
  <c r="B427" i="7"/>
  <c r="A427" i="7"/>
  <c r="R426" i="7"/>
  <c r="Q426" i="7"/>
  <c r="P426" i="7"/>
  <c r="M426" i="7"/>
  <c r="G426" i="7"/>
  <c r="F426" i="7"/>
  <c r="C426" i="7"/>
  <c r="B426" i="7"/>
  <c r="A426" i="7"/>
  <c r="R425" i="7"/>
  <c r="Q425" i="7"/>
  <c r="P425" i="7"/>
  <c r="M425" i="7"/>
  <c r="G425" i="7"/>
  <c r="F425" i="7"/>
  <c r="B425" i="7"/>
  <c r="C425" i="7" s="1"/>
  <c r="A425" i="7"/>
  <c r="R424" i="7"/>
  <c r="Q424" i="7"/>
  <c r="P424" i="7"/>
  <c r="M424" i="7"/>
  <c r="G424" i="7"/>
  <c r="F424" i="7"/>
  <c r="C424" i="7"/>
  <c r="B424" i="7"/>
  <c r="A424" i="7"/>
  <c r="R423" i="7"/>
  <c r="Q423" i="7"/>
  <c r="P423" i="7"/>
  <c r="M423" i="7"/>
  <c r="G423" i="7"/>
  <c r="F423" i="7"/>
  <c r="C423" i="7"/>
  <c r="B423" i="7"/>
  <c r="A423" i="7"/>
  <c r="R422" i="7"/>
  <c r="Q422" i="7"/>
  <c r="P422" i="7"/>
  <c r="M422" i="7"/>
  <c r="G422" i="7"/>
  <c r="F422" i="7"/>
  <c r="B422" i="7"/>
  <c r="A422" i="7"/>
  <c r="R421" i="7"/>
  <c r="Q421" i="7"/>
  <c r="P421" i="7"/>
  <c r="M421" i="7"/>
  <c r="G421" i="7"/>
  <c r="F421" i="7"/>
  <c r="B421" i="7"/>
  <c r="A421" i="7"/>
  <c r="R420" i="7"/>
  <c r="Q420" i="7"/>
  <c r="P420" i="7"/>
  <c r="M420" i="7"/>
  <c r="G420" i="7"/>
  <c r="F420" i="7"/>
  <c r="C420" i="7"/>
  <c r="B420" i="7"/>
  <c r="A420" i="7"/>
  <c r="R419" i="7"/>
  <c r="Q419" i="7"/>
  <c r="P419" i="7"/>
  <c r="M419" i="7"/>
  <c r="G419" i="7"/>
  <c r="F419" i="7"/>
  <c r="C419" i="7"/>
  <c r="B419" i="7"/>
  <c r="A419" i="7"/>
  <c r="R418" i="7"/>
  <c r="Q418" i="7"/>
  <c r="P418" i="7"/>
  <c r="M418" i="7"/>
  <c r="G418" i="7"/>
  <c r="F418" i="7"/>
  <c r="B418" i="7"/>
  <c r="A418" i="7"/>
  <c r="R417" i="7"/>
  <c r="Q417" i="7"/>
  <c r="P417" i="7"/>
  <c r="M417" i="7"/>
  <c r="G417" i="7"/>
  <c r="F417" i="7"/>
  <c r="B417" i="7"/>
  <c r="C417" i="7" s="1"/>
  <c r="A417" i="7"/>
  <c r="R416" i="7"/>
  <c r="Q416" i="7"/>
  <c r="P416" i="7"/>
  <c r="M416" i="7"/>
  <c r="G416" i="7"/>
  <c r="F416" i="7"/>
  <c r="C416" i="7"/>
  <c r="B416" i="7"/>
  <c r="A416" i="7"/>
  <c r="R415" i="7"/>
  <c r="Q415" i="7"/>
  <c r="P415" i="7"/>
  <c r="M415" i="7"/>
  <c r="G415" i="7"/>
  <c r="F415" i="7"/>
  <c r="C415" i="7"/>
  <c r="B415" i="7"/>
  <c r="A415" i="7"/>
  <c r="R414" i="7"/>
  <c r="Q414" i="7"/>
  <c r="P414" i="7"/>
  <c r="M414" i="7"/>
  <c r="G414" i="7"/>
  <c r="F414" i="7"/>
  <c r="C414" i="7"/>
  <c r="B414" i="7"/>
  <c r="A414" i="7"/>
  <c r="R413" i="7"/>
  <c r="Q413" i="7"/>
  <c r="P413" i="7"/>
  <c r="M413" i="7"/>
  <c r="G413" i="7"/>
  <c r="F413" i="7"/>
  <c r="B413" i="7"/>
  <c r="C413" i="7" s="1"/>
  <c r="A413" i="7"/>
  <c r="R412" i="7"/>
  <c r="Q412" i="7"/>
  <c r="P412" i="7"/>
  <c r="M412" i="7"/>
  <c r="G412" i="7"/>
  <c r="F412" i="7"/>
  <c r="C412" i="7"/>
  <c r="B412" i="7"/>
  <c r="A412" i="7"/>
  <c r="R411" i="7"/>
  <c r="Q411" i="7"/>
  <c r="P411" i="7"/>
  <c r="M411" i="7"/>
  <c r="G411" i="7"/>
  <c r="F411" i="7"/>
  <c r="C411" i="7"/>
  <c r="B411" i="7"/>
  <c r="A411" i="7"/>
  <c r="R410" i="7"/>
  <c r="Q410" i="7"/>
  <c r="P410" i="7"/>
  <c r="M410" i="7"/>
  <c r="G410" i="7"/>
  <c r="F410" i="7"/>
  <c r="C410" i="7"/>
  <c r="B410" i="7"/>
  <c r="A410" i="7"/>
  <c r="R409" i="7"/>
  <c r="Q409" i="7"/>
  <c r="P409" i="7"/>
  <c r="M409" i="7"/>
  <c r="G409" i="7"/>
  <c r="F409" i="7"/>
  <c r="B409" i="7"/>
  <c r="C409" i="7" s="1"/>
  <c r="A409" i="7"/>
  <c r="R408" i="7"/>
  <c r="Q408" i="7"/>
  <c r="P408" i="7"/>
  <c r="M408" i="7"/>
  <c r="G408" i="7"/>
  <c r="F408" i="7"/>
  <c r="C408" i="7"/>
  <c r="B408" i="7"/>
  <c r="A408" i="7"/>
  <c r="R407" i="7"/>
  <c r="Q407" i="7"/>
  <c r="P407" i="7"/>
  <c r="M407" i="7"/>
  <c r="G407" i="7"/>
  <c r="F407" i="7"/>
  <c r="C407" i="7"/>
  <c r="B407" i="7"/>
  <c r="A407" i="7"/>
  <c r="R406" i="7"/>
  <c r="Q406" i="7"/>
  <c r="P406" i="7"/>
  <c r="M406" i="7"/>
  <c r="G406" i="7"/>
  <c r="F406" i="7"/>
  <c r="B406" i="7"/>
  <c r="A406" i="7"/>
  <c r="R405" i="7"/>
  <c r="Q405" i="7"/>
  <c r="P405" i="7"/>
  <c r="M405" i="7"/>
  <c r="G405" i="7"/>
  <c r="F405" i="7"/>
  <c r="B405" i="7"/>
  <c r="A405" i="7"/>
  <c r="R404" i="7"/>
  <c r="Q404" i="7"/>
  <c r="P404" i="7"/>
  <c r="M404" i="7"/>
  <c r="G404" i="7"/>
  <c r="F404" i="7"/>
  <c r="C404" i="7"/>
  <c r="B404" i="7"/>
  <c r="A404" i="7"/>
  <c r="R403" i="7"/>
  <c r="Q403" i="7"/>
  <c r="P403" i="7"/>
  <c r="M403" i="7"/>
  <c r="G403" i="7"/>
  <c r="F403" i="7"/>
  <c r="C403" i="7"/>
  <c r="B403" i="7"/>
  <c r="A403" i="7"/>
  <c r="R402" i="7"/>
  <c r="Q402" i="7"/>
  <c r="P402" i="7"/>
  <c r="M402" i="7"/>
  <c r="G402" i="7"/>
  <c r="F402" i="7"/>
  <c r="B402" i="7"/>
  <c r="A402" i="7"/>
  <c r="R401" i="7"/>
  <c r="Q401" i="7"/>
  <c r="P401" i="7"/>
  <c r="M401" i="7"/>
  <c r="G401" i="7"/>
  <c r="F401" i="7"/>
  <c r="B401" i="7"/>
  <c r="C401" i="7" s="1"/>
  <c r="A401" i="7"/>
  <c r="R400" i="7"/>
  <c r="Q400" i="7"/>
  <c r="P400" i="7"/>
  <c r="M400" i="7"/>
  <c r="G400" i="7"/>
  <c r="F400" i="7"/>
  <c r="C400" i="7"/>
  <c r="B400" i="7"/>
  <c r="A400" i="7"/>
  <c r="R399" i="7"/>
  <c r="Q399" i="7"/>
  <c r="P399" i="7"/>
  <c r="M399" i="7"/>
  <c r="G399" i="7"/>
  <c r="F399" i="7"/>
  <c r="C399" i="7"/>
  <c r="B399" i="7"/>
  <c r="A399" i="7"/>
  <c r="R398" i="7"/>
  <c r="Q398" i="7"/>
  <c r="P398" i="7"/>
  <c r="M398" i="7"/>
  <c r="G398" i="7"/>
  <c r="F398" i="7"/>
  <c r="C398" i="7"/>
  <c r="B398" i="7"/>
  <c r="A398" i="7"/>
  <c r="R397" i="7"/>
  <c r="Q397" i="7"/>
  <c r="P397" i="7"/>
  <c r="M397" i="7"/>
  <c r="G397" i="7"/>
  <c r="F397" i="7"/>
  <c r="B397" i="7"/>
  <c r="C397" i="7" s="1"/>
  <c r="A397" i="7"/>
  <c r="R396" i="7"/>
  <c r="Q396" i="7"/>
  <c r="P396" i="7"/>
  <c r="M396" i="7"/>
  <c r="G396" i="7"/>
  <c r="F396" i="7"/>
  <c r="C396" i="7"/>
  <c r="B396" i="7"/>
  <c r="A396" i="7"/>
  <c r="R395" i="7"/>
  <c r="Q395" i="7"/>
  <c r="P395" i="7"/>
  <c r="M395" i="7"/>
  <c r="G395" i="7"/>
  <c r="F395" i="7"/>
  <c r="C395" i="7"/>
  <c r="B395" i="7"/>
  <c r="A395" i="7"/>
  <c r="R394" i="7"/>
  <c r="Q394" i="7"/>
  <c r="P394" i="7"/>
  <c r="M394" i="7"/>
  <c r="G394" i="7"/>
  <c r="F394" i="7"/>
  <c r="C394" i="7"/>
  <c r="B394" i="7"/>
  <c r="A394" i="7"/>
  <c r="R393" i="7"/>
  <c r="Q393" i="7"/>
  <c r="P393" i="7"/>
  <c r="M393" i="7"/>
  <c r="G393" i="7"/>
  <c r="F393" i="7"/>
  <c r="B393" i="7"/>
  <c r="C393" i="7" s="1"/>
  <c r="A393" i="7"/>
  <c r="R392" i="7"/>
  <c r="Q392" i="7"/>
  <c r="P392" i="7"/>
  <c r="M392" i="7"/>
  <c r="G392" i="7"/>
  <c r="F392" i="7"/>
  <c r="C392" i="7"/>
  <c r="B392" i="7"/>
  <c r="A392" i="7"/>
  <c r="R391" i="7"/>
  <c r="Q391" i="7"/>
  <c r="P391" i="7"/>
  <c r="M391" i="7"/>
  <c r="G391" i="7"/>
  <c r="F391" i="7"/>
  <c r="C391" i="7"/>
  <c r="B391" i="7"/>
  <c r="A391" i="7"/>
  <c r="R390" i="7"/>
  <c r="Q390" i="7"/>
  <c r="P390" i="7"/>
  <c r="M390" i="7"/>
  <c r="G390" i="7"/>
  <c r="F390" i="7"/>
  <c r="B390" i="7"/>
  <c r="A390" i="7"/>
  <c r="R389" i="7"/>
  <c r="Q389" i="7"/>
  <c r="P389" i="7"/>
  <c r="M389" i="7"/>
  <c r="G389" i="7"/>
  <c r="F389" i="7"/>
  <c r="B389" i="7"/>
  <c r="A389" i="7"/>
  <c r="R388" i="7"/>
  <c r="Q388" i="7"/>
  <c r="P388" i="7"/>
  <c r="M388" i="7"/>
  <c r="G388" i="7"/>
  <c r="F388" i="7"/>
  <c r="C388" i="7"/>
  <c r="B388" i="7"/>
  <c r="A388" i="7"/>
  <c r="R387" i="7"/>
  <c r="Q387" i="7"/>
  <c r="P387" i="7"/>
  <c r="M387" i="7"/>
  <c r="G387" i="7"/>
  <c r="F387" i="7"/>
  <c r="C387" i="7"/>
  <c r="B387" i="7"/>
  <c r="A387" i="7"/>
  <c r="R386" i="7"/>
  <c r="Q386" i="7"/>
  <c r="P386" i="7"/>
  <c r="M386" i="7"/>
  <c r="G386" i="7"/>
  <c r="F386" i="7"/>
  <c r="B386" i="7"/>
  <c r="A386" i="7"/>
  <c r="R385" i="7"/>
  <c r="Q385" i="7"/>
  <c r="P385" i="7"/>
  <c r="M385" i="7"/>
  <c r="G385" i="7"/>
  <c r="F385" i="7"/>
  <c r="B385" i="7"/>
  <c r="C385" i="7" s="1"/>
  <c r="A385" i="7"/>
  <c r="R384" i="7"/>
  <c r="Q384" i="7"/>
  <c r="P384" i="7"/>
  <c r="M384" i="7"/>
  <c r="G384" i="7"/>
  <c r="F384" i="7"/>
  <c r="C384" i="7"/>
  <c r="B384" i="7"/>
  <c r="A384" i="7"/>
  <c r="R383" i="7"/>
  <c r="Q383" i="7"/>
  <c r="P383" i="7"/>
  <c r="M383" i="7"/>
  <c r="G383" i="7"/>
  <c r="F383" i="7"/>
  <c r="C383" i="7"/>
  <c r="B383" i="7"/>
  <c r="A383" i="7"/>
  <c r="R382" i="7"/>
  <c r="Q382" i="7"/>
  <c r="P382" i="7"/>
  <c r="M382" i="7"/>
  <c r="G382" i="7"/>
  <c r="F382" i="7"/>
  <c r="C382" i="7"/>
  <c r="B382" i="7"/>
  <c r="A382" i="7"/>
  <c r="R381" i="7"/>
  <c r="Q381" i="7"/>
  <c r="P381" i="7"/>
  <c r="M381" i="7"/>
  <c r="G381" i="7"/>
  <c r="F381" i="7"/>
  <c r="B381" i="7"/>
  <c r="C381" i="7" s="1"/>
  <c r="A381" i="7"/>
  <c r="R380" i="7"/>
  <c r="Q380" i="7"/>
  <c r="P380" i="7"/>
  <c r="M380" i="7"/>
  <c r="G380" i="7"/>
  <c r="F380" i="7"/>
  <c r="C380" i="7"/>
  <c r="B380" i="7"/>
  <c r="A380" i="7"/>
  <c r="R379" i="7"/>
  <c r="Q379" i="7"/>
  <c r="P379" i="7"/>
  <c r="M379" i="7"/>
  <c r="G379" i="7"/>
  <c r="F379" i="7"/>
  <c r="C379" i="7"/>
  <c r="B379" i="7"/>
  <c r="A379" i="7"/>
  <c r="R378" i="7"/>
  <c r="Q378" i="7"/>
  <c r="P378" i="7"/>
  <c r="M378" i="7"/>
  <c r="G378" i="7"/>
  <c r="F378" i="7"/>
  <c r="C378" i="7"/>
  <c r="B378" i="7"/>
  <c r="A378" i="7"/>
  <c r="R377" i="7"/>
  <c r="Q377" i="7"/>
  <c r="P377" i="7"/>
  <c r="M377" i="7"/>
  <c r="G377" i="7"/>
  <c r="F377" i="7"/>
  <c r="B377" i="7"/>
  <c r="C377" i="7" s="1"/>
  <c r="A377" i="7"/>
  <c r="R376" i="7"/>
  <c r="Q376" i="7"/>
  <c r="P376" i="7"/>
  <c r="M376" i="7"/>
  <c r="G376" i="7"/>
  <c r="F376" i="7"/>
  <c r="C376" i="7"/>
  <c r="B376" i="7"/>
  <c r="A376" i="7"/>
  <c r="R375" i="7"/>
  <c r="Q375" i="7"/>
  <c r="P375" i="7"/>
  <c r="M375" i="7"/>
  <c r="G375" i="7"/>
  <c r="F375" i="7"/>
  <c r="C375" i="7"/>
  <c r="B375" i="7"/>
  <c r="A375" i="7"/>
  <c r="R374" i="7"/>
  <c r="Q374" i="7"/>
  <c r="P374" i="7"/>
  <c r="M374" i="7"/>
  <c r="G374" i="7"/>
  <c r="F374" i="7"/>
  <c r="B374" i="7"/>
  <c r="A374" i="7"/>
  <c r="R373" i="7"/>
  <c r="Q373" i="7"/>
  <c r="P373" i="7"/>
  <c r="M373" i="7"/>
  <c r="G373" i="7"/>
  <c r="F373" i="7"/>
  <c r="B373" i="7"/>
  <c r="A373" i="7"/>
  <c r="R372" i="7"/>
  <c r="Q372" i="7"/>
  <c r="P372" i="7"/>
  <c r="M372" i="7"/>
  <c r="G372" i="7"/>
  <c r="F372" i="7"/>
  <c r="C372" i="7"/>
  <c r="B372" i="7"/>
  <c r="A372" i="7"/>
  <c r="R371" i="7"/>
  <c r="Q371" i="7"/>
  <c r="P371" i="7"/>
  <c r="M371" i="7"/>
  <c r="G371" i="7"/>
  <c r="F371" i="7"/>
  <c r="C371" i="7"/>
  <c r="B371" i="7"/>
  <c r="A371" i="7"/>
  <c r="R370" i="7"/>
  <c r="Q370" i="7"/>
  <c r="P370" i="7"/>
  <c r="M370" i="7"/>
  <c r="G370" i="7"/>
  <c r="F370" i="7"/>
  <c r="B370" i="7"/>
  <c r="A370" i="7"/>
  <c r="R369" i="7"/>
  <c r="Q369" i="7"/>
  <c r="P369" i="7"/>
  <c r="M369" i="7"/>
  <c r="G369" i="7"/>
  <c r="F369" i="7"/>
  <c r="B369" i="7"/>
  <c r="C369" i="7" s="1"/>
  <c r="A369" i="7"/>
  <c r="R368" i="7"/>
  <c r="Q368" i="7"/>
  <c r="P368" i="7"/>
  <c r="M368" i="7"/>
  <c r="G368" i="7"/>
  <c r="F368" i="7"/>
  <c r="C368" i="7"/>
  <c r="B368" i="7"/>
  <c r="A368" i="7"/>
  <c r="R367" i="7"/>
  <c r="Q367" i="7"/>
  <c r="P367" i="7"/>
  <c r="M367" i="7"/>
  <c r="G367" i="7"/>
  <c r="F367" i="7"/>
  <c r="C367" i="7"/>
  <c r="B367" i="7"/>
  <c r="A367" i="7"/>
  <c r="R366" i="7"/>
  <c r="Q366" i="7"/>
  <c r="P366" i="7"/>
  <c r="M366" i="7"/>
  <c r="G366" i="7"/>
  <c r="F366" i="7"/>
  <c r="C366" i="7"/>
  <c r="B366" i="7"/>
  <c r="A366" i="7"/>
  <c r="R365" i="7"/>
  <c r="Q365" i="7"/>
  <c r="P365" i="7"/>
  <c r="M365" i="7"/>
  <c r="G365" i="7"/>
  <c r="F365" i="7"/>
  <c r="B365" i="7"/>
  <c r="C365" i="7" s="1"/>
  <c r="A365" i="7"/>
  <c r="R364" i="7"/>
  <c r="Q364" i="7"/>
  <c r="P364" i="7"/>
  <c r="M364" i="7"/>
  <c r="G364" i="7"/>
  <c r="F364" i="7"/>
  <c r="C364" i="7"/>
  <c r="B364" i="7"/>
  <c r="A364" i="7"/>
  <c r="R363" i="7"/>
  <c r="Q363" i="7"/>
  <c r="P363" i="7"/>
  <c r="M363" i="7"/>
  <c r="G363" i="7"/>
  <c r="F363" i="7"/>
  <c r="C363" i="7"/>
  <c r="B363" i="7"/>
  <c r="A363" i="7"/>
  <c r="R362" i="7"/>
  <c r="Q362" i="7"/>
  <c r="P362" i="7"/>
  <c r="M362" i="7"/>
  <c r="G362" i="7"/>
  <c r="F362" i="7"/>
  <c r="C362" i="7"/>
  <c r="B362" i="7"/>
  <c r="A362" i="7"/>
  <c r="R361" i="7"/>
  <c r="Q361" i="7"/>
  <c r="P361" i="7"/>
  <c r="M361" i="7"/>
  <c r="G361" i="7"/>
  <c r="F361" i="7"/>
  <c r="B361" i="7"/>
  <c r="C361" i="7" s="1"/>
  <c r="A361" i="7"/>
  <c r="R360" i="7"/>
  <c r="Q360" i="7"/>
  <c r="P360" i="7"/>
  <c r="M360" i="7"/>
  <c r="G360" i="7"/>
  <c r="F360" i="7"/>
  <c r="C360" i="7"/>
  <c r="B360" i="7"/>
  <c r="A360" i="7"/>
  <c r="R359" i="7"/>
  <c r="Q359" i="7"/>
  <c r="P359" i="7"/>
  <c r="M359" i="7"/>
  <c r="G359" i="7"/>
  <c r="F359" i="7"/>
  <c r="C359" i="7"/>
  <c r="B359" i="7"/>
  <c r="A359" i="7"/>
  <c r="R358" i="7"/>
  <c r="Q358" i="7"/>
  <c r="P358" i="7"/>
  <c r="M358" i="7"/>
  <c r="G358" i="7"/>
  <c r="F358" i="7"/>
  <c r="B358" i="7"/>
  <c r="A358" i="7"/>
  <c r="R357" i="7"/>
  <c r="Q357" i="7"/>
  <c r="P357" i="7"/>
  <c r="M357" i="7"/>
  <c r="G357" i="7"/>
  <c r="F357" i="7"/>
  <c r="B357" i="7"/>
  <c r="A357" i="7"/>
  <c r="R356" i="7"/>
  <c r="Q356" i="7"/>
  <c r="P356" i="7"/>
  <c r="M356" i="7"/>
  <c r="G356" i="7"/>
  <c r="F356" i="7"/>
  <c r="C356" i="7"/>
  <c r="B356" i="7"/>
  <c r="A356" i="7"/>
  <c r="R355" i="7"/>
  <c r="Q355" i="7"/>
  <c r="P355" i="7"/>
  <c r="M355" i="7"/>
  <c r="G355" i="7"/>
  <c r="F355" i="7"/>
  <c r="B355" i="7"/>
  <c r="A355" i="7"/>
  <c r="R354" i="7"/>
  <c r="Q354" i="7"/>
  <c r="P354" i="7"/>
  <c r="M354" i="7"/>
  <c r="G354" i="7"/>
  <c r="F354" i="7"/>
  <c r="B354" i="7"/>
  <c r="A354" i="7"/>
  <c r="R353" i="7"/>
  <c r="Q353" i="7"/>
  <c r="P353" i="7"/>
  <c r="M353" i="7"/>
  <c r="G353" i="7"/>
  <c r="F353" i="7"/>
  <c r="B353" i="7"/>
  <c r="C353" i="7" s="1"/>
  <c r="A353" i="7"/>
  <c r="R352" i="7"/>
  <c r="Q352" i="7"/>
  <c r="P352" i="7"/>
  <c r="M352" i="7"/>
  <c r="G352" i="7"/>
  <c r="F352" i="7"/>
  <c r="C352" i="7"/>
  <c r="B352" i="7"/>
  <c r="A352" i="7"/>
  <c r="R351" i="7"/>
  <c r="Q351" i="7"/>
  <c r="P351" i="7"/>
  <c r="M351" i="7"/>
  <c r="G351" i="7"/>
  <c r="F351" i="7"/>
  <c r="B351" i="7"/>
  <c r="A351" i="7"/>
  <c r="R350" i="7"/>
  <c r="Q350" i="7"/>
  <c r="P350" i="7"/>
  <c r="M350" i="7"/>
  <c r="G350" i="7"/>
  <c r="F350" i="7"/>
  <c r="B350" i="7"/>
  <c r="A350" i="7"/>
  <c r="R349" i="7"/>
  <c r="Q349" i="7"/>
  <c r="P349" i="7"/>
  <c r="M349" i="7"/>
  <c r="G349" i="7"/>
  <c r="F349" i="7"/>
  <c r="B349" i="7"/>
  <c r="C349" i="7" s="1"/>
  <c r="A349" i="7"/>
  <c r="R348" i="7"/>
  <c r="Q348" i="7"/>
  <c r="P348" i="7"/>
  <c r="M348" i="7"/>
  <c r="G348" i="7"/>
  <c r="F348" i="7"/>
  <c r="C348" i="7"/>
  <c r="B348" i="7"/>
  <c r="A348" i="7"/>
  <c r="R347" i="7"/>
  <c r="Q347" i="7"/>
  <c r="P347" i="7"/>
  <c r="M347" i="7"/>
  <c r="G347" i="7"/>
  <c r="F347" i="7"/>
  <c r="B347" i="7"/>
  <c r="A347" i="7"/>
  <c r="R346" i="7"/>
  <c r="Q346" i="7"/>
  <c r="P346" i="7"/>
  <c r="M346" i="7"/>
  <c r="G346" i="7"/>
  <c r="F346" i="7"/>
  <c r="B346" i="7"/>
  <c r="A346" i="7"/>
  <c r="R345" i="7"/>
  <c r="Q345" i="7"/>
  <c r="P345" i="7"/>
  <c r="M345" i="7"/>
  <c r="G345" i="7"/>
  <c r="F345" i="7"/>
  <c r="B345" i="7"/>
  <c r="C345" i="7" s="1"/>
  <c r="A345" i="7"/>
  <c r="R344" i="7"/>
  <c r="Q344" i="7"/>
  <c r="P344" i="7"/>
  <c r="M344" i="7"/>
  <c r="G344" i="7"/>
  <c r="F344" i="7"/>
  <c r="C344" i="7"/>
  <c r="B344" i="7"/>
  <c r="A344" i="7"/>
  <c r="R343" i="7"/>
  <c r="Q343" i="7"/>
  <c r="P343" i="7"/>
  <c r="M343" i="7"/>
  <c r="G343" i="7"/>
  <c r="F343" i="7"/>
  <c r="B343" i="7"/>
  <c r="A343" i="7"/>
  <c r="R342" i="7"/>
  <c r="Q342" i="7"/>
  <c r="P342" i="7"/>
  <c r="M342" i="7"/>
  <c r="G342" i="7"/>
  <c r="F342" i="7"/>
  <c r="B342" i="7"/>
  <c r="A342" i="7"/>
  <c r="R341" i="7"/>
  <c r="Q341" i="7"/>
  <c r="P341" i="7"/>
  <c r="M341" i="7"/>
  <c r="G341" i="7"/>
  <c r="F341" i="7"/>
  <c r="B341" i="7"/>
  <c r="A341" i="7"/>
  <c r="R340" i="7"/>
  <c r="Q340" i="7"/>
  <c r="P340" i="7"/>
  <c r="M340" i="7"/>
  <c r="G340" i="7"/>
  <c r="F340" i="7"/>
  <c r="C340" i="7"/>
  <c r="B340" i="7"/>
  <c r="A340" i="7"/>
  <c r="R339" i="7"/>
  <c r="Q339" i="7"/>
  <c r="P339" i="7"/>
  <c r="M339" i="7"/>
  <c r="G339" i="7"/>
  <c r="F339" i="7"/>
  <c r="B339" i="7"/>
  <c r="A339" i="7"/>
  <c r="R338" i="7"/>
  <c r="Q338" i="7"/>
  <c r="P338" i="7"/>
  <c r="M338" i="7"/>
  <c r="G338" i="7"/>
  <c r="F338" i="7"/>
  <c r="B338" i="7"/>
  <c r="C338" i="7" s="1"/>
  <c r="A338" i="7"/>
  <c r="R337" i="7"/>
  <c r="Q337" i="7"/>
  <c r="P337" i="7"/>
  <c r="M337" i="7"/>
  <c r="G337" i="7"/>
  <c r="F337" i="7"/>
  <c r="B337" i="7"/>
  <c r="C337" i="7" s="1"/>
  <c r="A337" i="7"/>
  <c r="R336" i="7"/>
  <c r="Q336" i="7"/>
  <c r="P336" i="7"/>
  <c r="M336" i="7"/>
  <c r="G336" i="7"/>
  <c r="F336" i="7"/>
  <c r="B336" i="7"/>
  <c r="A336" i="7"/>
  <c r="R335" i="7"/>
  <c r="Q335" i="7"/>
  <c r="P335" i="7"/>
  <c r="M335" i="7"/>
  <c r="G335" i="7"/>
  <c r="F335" i="7"/>
  <c r="C335" i="7"/>
  <c r="B335" i="7"/>
  <c r="A335" i="7"/>
  <c r="R334" i="7"/>
  <c r="Q334" i="7"/>
  <c r="P334" i="7"/>
  <c r="M334" i="7"/>
  <c r="G334" i="7"/>
  <c r="F334" i="7"/>
  <c r="B334" i="7"/>
  <c r="A334" i="7"/>
  <c r="R333" i="7"/>
  <c r="Q333" i="7"/>
  <c r="P333" i="7"/>
  <c r="M333" i="7"/>
  <c r="G333" i="7"/>
  <c r="F333" i="7"/>
  <c r="B333" i="7"/>
  <c r="A333" i="7"/>
  <c r="R332" i="7"/>
  <c r="Q332" i="7"/>
  <c r="P332" i="7"/>
  <c r="M332" i="7"/>
  <c r="G332" i="7"/>
  <c r="F332" i="7"/>
  <c r="C332" i="7"/>
  <c r="B332" i="7"/>
  <c r="A332" i="7"/>
  <c r="R331" i="7"/>
  <c r="Q331" i="7"/>
  <c r="P331" i="7"/>
  <c r="M331" i="7"/>
  <c r="G331" i="7"/>
  <c r="F331" i="7"/>
  <c r="B331" i="7"/>
  <c r="A331" i="7"/>
  <c r="R330" i="7"/>
  <c r="Q330" i="7"/>
  <c r="P330" i="7"/>
  <c r="M330" i="7"/>
  <c r="G330" i="7"/>
  <c r="F330" i="7"/>
  <c r="B330" i="7"/>
  <c r="A330" i="7"/>
  <c r="R329" i="7"/>
  <c r="Q329" i="7"/>
  <c r="P329" i="7"/>
  <c r="M329" i="7"/>
  <c r="G329" i="7"/>
  <c r="F329" i="7"/>
  <c r="B329" i="7"/>
  <c r="A329" i="7"/>
  <c r="R328" i="7"/>
  <c r="Q328" i="7"/>
  <c r="P328" i="7"/>
  <c r="M328" i="7"/>
  <c r="G328" i="7"/>
  <c r="F328" i="7"/>
  <c r="B328" i="7"/>
  <c r="C328" i="7" s="1"/>
  <c r="A328" i="7"/>
  <c r="R327" i="7"/>
  <c r="Q327" i="7"/>
  <c r="P327" i="7"/>
  <c r="M327" i="7"/>
  <c r="G327" i="7"/>
  <c r="F327" i="7"/>
  <c r="B327" i="7"/>
  <c r="A327" i="7"/>
  <c r="R326" i="7"/>
  <c r="Q326" i="7"/>
  <c r="P326" i="7"/>
  <c r="M326" i="7"/>
  <c r="G326" i="7"/>
  <c r="F326" i="7"/>
  <c r="B326" i="7"/>
  <c r="A326" i="7"/>
  <c r="R325" i="7"/>
  <c r="Q325" i="7"/>
  <c r="P325" i="7"/>
  <c r="M325" i="7"/>
  <c r="G325" i="7"/>
  <c r="F325" i="7"/>
  <c r="B325" i="7"/>
  <c r="A325" i="7"/>
  <c r="R324" i="7"/>
  <c r="Q324" i="7"/>
  <c r="P324" i="7"/>
  <c r="M324" i="7"/>
  <c r="G324" i="7"/>
  <c r="F324" i="7"/>
  <c r="B324" i="7"/>
  <c r="A324" i="7"/>
  <c r="R323" i="7"/>
  <c r="Q323" i="7"/>
  <c r="P323" i="7"/>
  <c r="M323" i="7"/>
  <c r="G323" i="7"/>
  <c r="F323" i="7"/>
  <c r="B323" i="7"/>
  <c r="A323" i="7"/>
  <c r="R322" i="7"/>
  <c r="Q322" i="7"/>
  <c r="P322" i="7"/>
  <c r="M322" i="7"/>
  <c r="G322" i="7"/>
  <c r="F322" i="7"/>
  <c r="B322" i="7"/>
  <c r="A322" i="7"/>
  <c r="R321" i="7"/>
  <c r="Q321" i="7"/>
  <c r="P321" i="7"/>
  <c r="M321" i="7"/>
  <c r="G321" i="7"/>
  <c r="F321" i="7"/>
  <c r="B321" i="7"/>
  <c r="A321" i="7"/>
  <c r="R320" i="7"/>
  <c r="Q320" i="7"/>
  <c r="P320" i="7"/>
  <c r="M320" i="7"/>
  <c r="G320" i="7"/>
  <c r="F320" i="7"/>
  <c r="B320" i="7"/>
  <c r="C320" i="7" s="1"/>
  <c r="A320" i="7"/>
  <c r="R319" i="7"/>
  <c r="Q319" i="7"/>
  <c r="P319" i="7"/>
  <c r="M319" i="7"/>
  <c r="G319" i="7"/>
  <c r="F319" i="7"/>
  <c r="B319" i="7"/>
  <c r="A319" i="7"/>
  <c r="R318" i="7"/>
  <c r="Q318" i="7"/>
  <c r="P318" i="7"/>
  <c r="M318" i="7"/>
  <c r="G318" i="7"/>
  <c r="F318" i="7"/>
  <c r="B318" i="7"/>
  <c r="A318" i="7"/>
  <c r="R317" i="7"/>
  <c r="Q317" i="7"/>
  <c r="P317" i="7"/>
  <c r="M317" i="7"/>
  <c r="G317" i="7"/>
  <c r="F317" i="7"/>
  <c r="B317" i="7"/>
  <c r="A317" i="7"/>
  <c r="R316" i="7"/>
  <c r="Q316" i="7"/>
  <c r="P316" i="7"/>
  <c r="M316" i="7"/>
  <c r="G316" i="7"/>
  <c r="F316" i="7"/>
  <c r="B316" i="7"/>
  <c r="C316" i="7" s="1"/>
  <c r="A316" i="7"/>
  <c r="R315" i="7"/>
  <c r="Q315" i="7"/>
  <c r="P315" i="7"/>
  <c r="M315" i="7"/>
  <c r="G315" i="7"/>
  <c r="F315" i="7"/>
  <c r="B315" i="7"/>
  <c r="A315" i="7"/>
  <c r="R314" i="7"/>
  <c r="Q314" i="7"/>
  <c r="P314" i="7"/>
  <c r="M314" i="7"/>
  <c r="G314" i="7"/>
  <c r="F314" i="7"/>
  <c r="B314" i="7"/>
  <c r="A314" i="7"/>
  <c r="R313" i="7"/>
  <c r="Q313" i="7"/>
  <c r="P313" i="7"/>
  <c r="M313" i="7"/>
  <c r="G313" i="7"/>
  <c r="F313" i="7"/>
  <c r="B313" i="7"/>
  <c r="A313" i="7"/>
  <c r="R312" i="7"/>
  <c r="Q312" i="7"/>
  <c r="P312" i="7"/>
  <c r="M312" i="7"/>
  <c r="G312" i="7"/>
  <c r="F312" i="7"/>
  <c r="B312" i="7"/>
  <c r="C312" i="7" s="1"/>
  <c r="A312" i="7"/>
  <c r="R311" i="7"/>
  <c r="Q311" i="7"/>
  <c r="P311" i="7"/>
  <c r="M311" i="7"/>
  <c r="G311" i="7"/>
  <c r="F311" i="7"/>
  <c r="B311" i="7"/>
  <c r="A311" i="7"/>
  <c r="R310" i="7"/>
  <c r="Q310" i="7"/>
  <c r="P310" i="7"/>
  <c r="M310" i="7"/>
  <c r="G310" i="7"/>
  <c r="F310" i="7"/>
  <c r="B310" i="7"/>
  <c r="A310" i="7"/>
  <c r="R309" i="7"/>
  <c r="Q309" i="7"/>
  <c r="P309" i="7"/>
  <c r="M309" i="7"/>
  <c r="G309" i="7"/>
  <c r="F309" i="7"/>
  <c r="B309" i="7"/>
  <c r="A309" i="7"/>
  <c r="R308" i="7"/>
  <c r="Q308" i="7"/>
  <c r="P308" i="7"/>
  <c r="M308" i="7"/>
  <c r="G308" i="7"/>
  <c r="F308" i="7"/>
  <c r="B308" i="7"/>
  <c r="A308" i="7"/>
  <c r="R307" i="7"/>
  <c r="Q307" i="7"/>
  <c r="P307" i="7"/>
  <c r="M307" i="7"/>
  <c r="G307" i="7"/>
  <c r="F307" i="7"/>
  <c r="B307" i="7"/>
  <c r="A307" i="7"/>
  <c r="R306" i="7"/>
  <c r="Q306" i="7"/>
  <c r="P306" i="7"/>
  <c r="M306" i="7"/>
  <c r="G306" i="7"/>
  <c r="F306" i="7"/>
  <c r="C306" i="7"/>
  <c r="B306" i="7"/>
  <c r="A306" i="7"/>
  <c r="R305" i="7"/>
  <c r="Q305" i="7"/>
  <c r="P305" i="7"/>
  <c r="M305" i="7"/>
  <c r="G305" i="7"/>
  <c r="F305" i="7"/>
  <c r="B305" i="7"/>
  <c r="A305" i="7"/>
  <c r="R304" i="7"/>
  <c r="Q304" i="7"/>
  <c r="P304" i="7"/>
  <c r="M304" i="7"/>
  <c r="G304" i="7"/>
  <c r="F304" i="7"/>
  <c r="B304" i="7"/>
  <c r="C304" i="7" s="1"/>
  <c r="A304" i="7"/>
  <c r="R303" i="7"/>
  <c r="Q303" i="7"/>
  <c r="P303" i="7"/>
  <c r="M303" i="7"/>
  <c r="G303" i="7"/>
  <c r="F303" i="7"/>
  <c r="B303" i="7"/>
  <c r="A303" i="7"/>
  <c r="R302" i="7"/>
  <c r="Q302" i="7"/>
  <c r="P302" i="7"/>
  <c r="M302" i="7"/>
  <c r="G302" i="7"/>
  <c r="F302" i="7"/>
  <c r="B302" i="7"/>
  <c r="A302" i="7"/>
  <c r="R301" i="7"/>
  <c r="Q301" i="7"/>
  <c r="P301" i="7"/>
  <c r="M301" i="7"/>
  <c r="G301" i="7"/>
  <c r="F301" i="7"/>
  <c r="B301" i="7"/>
  <c r="A301" i="7"/>
  <c r="R300" i="7"/>
  <c r="Q300" i="7"/>
  <c r="P300" i="7"/>
  <c r="M300" i="7"/>
  <c r="G300" i="7"/>
  <c r="F300" i="7"/>
  <c r="B300" i="7"/>
  <c r="C300" i="7" s="1"/>
  <c r="A300" i="7"/>
  <c r="R299" i="7"/>
  <c r="Q299" i="7"/>
  <c r="P299" i="7"/>
  <c r="M299" i="7"/>
  <c r="G299" i="7"/>
  <c r="F299" i="7"/>
  <c r="B299" i="7"/>
  <c r="A299" i="7"/>
  <c r="R298" i="7"/>
  <c r="Q298" i="7"/>
  <c r="P298" i="7"/>
  <c r="M298" i="7"/>
  <c r="G298" i="7"/>
  <c r="F298" i="7"/>
  <c r="B298" i="7"/>
  <c r="A298" i="7"/>
  <c r="R297" i="7"/>
  <c r="Q297" i="7"/>
  <c r="P297" i="7"/>
  <c r="M297" i="7"/>
  <c r="G297" i="7"/>
  <c r="F297" i="7"/>
  <c r="B297" i="7"/>
  <c r="A297" i="7"/>
  <c r="R296" i="7"/>
  <c r="Q296" i="7"/>
  <c r="P296" i="7"/>
  <c r="M296" i="7"/>
  <c r="G296" i="7"/>
  <c r="F296" i="7"/>
  <c r="B296" i="7"/>
  <c r="C296" i="7" s="1"/>
  <c r="A296" i="7"/>
  <c r="R295" i="7"/>
  <c r="Q295" i="7"/>
  <c r="P295" i="7"/>
  <c r="M295" i="7"/>
  <c r="G295" i="7"/>
  <c r="F295" i="7"/>
  <c r="B295" i="7"/>
  <c r="A295" i="7"/>
  <c r="R294" i="7"/>
  <c r="Q294" i="7"/>
  <c r="P294" i="7"/>
  <c r="M294" i="7"/>
  <c r="G294" i="7"/>
  <c r="F294" i="7"/>
  <c r="B294" i="7"/>
  <c r="A294" i="7"/>
  <c r="R293" i="7"/>
  <c r="Q293" i="7"/>
  <c r="P293" i="7"/>
  <c r="M293" i="7"/>
  <c r="G293" i="7"/>
  <c r="F293" i="7"/>
  <c r="B293" i="7"/>
  <c r="A293" i="7"/>
  <c r="R292" i="7"/>
  <c r="Q292" i="7"/>
  <c r="P292" i="7"/>
  <c r="M292" i="7"/>
  <c r="G292" i="7"/>
  <c r="F292" i="7"/>
  <c r="B292" i="7"/>
  <c r="A292" i="7"/>
  <c r="R291" i="7"/>
  <c r="Q291" i="7"/>
  <c r="P291" i="7"/>
  <c r="M291" i="7"/>
  <c r="G291" i="7"/>
  <c r="F291" i="7"/>
  <c r="B291" i="7"/>
  <c r="C291" i="7" s="1"/>
  <c r="A291" i="7"/>
  <c r="R290" i="7"/>
  <c r="Q290" i="7"/>
  <c r="P290" i="7"/>
  <c r="M290" i="7"/>
  <c r="G290" i="7"/>
  <c r="F290" i="7"/>
  <c r="C290" i="7"/>
  <c r="B290" i="7"/>
  <c r="A290" i="7"/>
  <c r="R289" i="7"/>
  <c r="Q289" i="7"/>
  <c r="P289" i="7"/>
  <c r="M289" i="7"/>
  <c r="G289" i="7"/>
  <c r="F289" i="7"/>
  <c r="B289" i="7"/>
  <c r="A289" i="7"/>
  <c r="R288" i="7"/>
  <c r="Q288" i="7"/>
  <c r="P288" i="7"/>
  <c r="M288" i="7"/>
  <c r="G288" i="7"/>
  <c r="F288" i="7"/>
  <c r="B288" i="7"/>
  <c r="C288" i="7" s="1"/>
  <c r="A288" i="7"/>
  <c r="R287" i="7"/>
  <c r="Q287" i="7"/>
  <c r="P287" i="7"/>
  <c r="M287" i="7"/>
  <c r="G287" i="7"/>
  <c r="F287" i="7"/>
  <c r="B287" i="7"/>
  <c r="A287" i="7"/>
  <c r="R286" i="7"/>
  <c r="Q286" i="7"/>
  <c r="P286" i="7"/>
  <c r="M286" i="7"/>
  <c r="G286" i="7"/>
  <c r="F286" i="7"/>
  <c r="B286" i="7"/>
  <c r="A286" i="7"/>
  <c r="R285" i="7"/>
  <c r="Q285" i="7"/>
  <c r="P285" i="7"/>
  <c r="M285" i="7"/>
  <c r="G285" i="7"/>
  <c r="F285" i="7"/>
  <c r="B285" i="7"/>
  <c r="A285" i="7"/>
  <c r="R284" i="7"/>
  <c r="Q284" i="7"/>
  <c r="P284" i="7"/>
  <c r="M284" i="7"/>
  <c r="G284" i="7"/>
  <c r="F284" i="7"/>
  <c r="B284" i="7"/>
  <c r="C284" i="7" s="1"/>
  <c r="A284" i="7"/>
  <c r="R283" i="7"/>
  <c r="Q283" i="7"/>
  <c r="P283" i="7"/>
  <c r="M283" i="7"/>
  <c r="G283" i="7"/>
  <c r="F283" i="7"/>
  <c r="B283" i="7"/>
  <c r="A283" i="7"/>
  <c r="R282" i="7"/>
  <c r="Q282" i="7"/>
  <c r="P282" i="7"/>
  <c r="M282" i="7"/>
  <c r="G282" i="7"/>
  <c r="F282" i="7"/>
  <c r="B282" i="7"/>
  <c r="A282" i="7"/>
  <c r="R281" i="7"/>
  <c r="Q281" i="7"/>
  <c r="P281" i="7"/>
  <c r="M281" i="7"/>
  <c r="G281" i="7"/>
  <c r="F281" i="7"/>
  <c r="B281" i="7"/>
  <c r="A281" i="7"/>
  <c r="R280" i="7"/>
  <c r="Q280" i="7"/>
  <c r="P280" i="7"/>
  <c r="M280" i="7"/>
  <c r="G280" i="7"/>
  <c r="F280" i="7"/>
  <c r="B280" i="7"/>
  <c r="C280" i="7" s="1"/>
  <c r="A280" i="7"/>
  <c r="R279" i="7"/>
  <c r="Q279" i="7"/>
  <c r="P279" i="7"/>
  <c r="M279" i="7"/>
  <c r="G279" i="7"/>
  <c r="F279" i="7"/>
  <c r="B279" i="7"/>
  <c r="A279" i="7"/>
  <c r="R278" i="7"/>
  <c r="Q278" i="7"/>
  <c r="P278" i="7"/>
  <c r="M278" i="7"/>
  <c r="G278" i="7"/>
  <c r="F278" i="7"/>
  <c r="B278" i="7"/>
  <c r="A278" i="7"/>
  <c r="R277" i="7"/>
  <c r="Q277" i="7"/>
  <c r="P277" i="7"/>
  <c r="M277" i="7"/>
  <c r="G277" i="7"/>
  <c r="F277" i="7"/>
  <c r="B277" i="7"/>
  <c r="A277" i="7"/>
  <c r="R276" i="7"/>
  <c r="Q276" i="7"/>
  <c r="P276" i="7"/>
  <c r="M276" i="7"/>
  <c r="G276" i="7"/>
  <c r="F276" i="7"/>
  <c r="B276" i="7"/>
  <c r="A276" i="7"/>
  <c r="R275" i="7"/>
  <c r="Q275" i="7"/>
  <c r="P275" i="7"/>
  <c r="M275" i="7"/>
  <c r="G275" i="7"/>
  <c r="F275" i="7"/>
  <c r="B275" i="7"/>
  <c r="C275" i="7" s="1"/>
  <c r="A275" i="7"/>
  <c r="R274" i="7"/>
  <c r="Q274" i="7"/>
  <c r="P274" i="7"/>
  <c r="M274" i="7"/>
  <c r="G274" i="7"/>
  <c r="F274" i="7"/>
  <c r="C274" i="7"/>
  <c r="B274" i="7"/>
  <c r="A274" i="7"/>
  <c r="R273" i="7"/>
  <c r="Q273" i="7"/>
  <c r="P273" i="7"/>
  <c r="M273" i="7"/>
  <c r="G273" i="7"/>
  <c r="F273" i="7"/>
  <c r="B273" i="7"/>
  <c r="A273" i="7"/>
  <c r="R272" i="7"/>
  <c r="Q272" i="7"/>
  <c r="P272" i="7"/>
  <c r="M272" i="7"/>
  <c r="G272" i="7"/>
  <c r="F272" i="7"/>
  <c r="B272" i="7"/>
  <c r="C272" i="7" s="1"/>
  <c r="A272" i="7"/>
  <c r="R271" i="7"/>
  <c r="Q271" i="7"/>
  <c r="P271" i="7"/>
  <c r="M271" i="7"/>
  <c r="G271" i="7"/>
  <c r="F271" i="7"/>
  <c r="B271" i="7"/>
  <c r="A271" i="7"/>
  <c r="R270" i="7"/>
  <c r="Q270" i="7"/>
  <c r="P270" i="7"/>
  <c r="M270" i="7"/>
  <c r="G270" i="7"/>
  <c r="F270" i="7"/>
  <c r="B270" i="7"/>
  <c r="A270" i="7"/>
  <c r="R269" i="7"/>
  <c r="Q269" i="7"/>
  <c r="P269" i="7"/>
  <c r="M269" i="7"/>
  <c r="G269" i="7"/>
  <c r="F269" i="7"/>
  <c r="B269" i="7"/>
  <c r="A269" i="7"/>
  <c r="R268" i="7"/>
  <c r="Q268" i="7"/>
  <c r="P268" i="7"/>
  <c r="M268" i="7"/>
  <c r="G268" i="7"/>
  <c r="F268" i="7"/>
  <c r="B268" i="7"/>
  <c r="C268" i="7" s="1"/>
  <c r="A268" i="7"/>
  <c r="R267" i="7"/>
  <c r="Q267" i="7"/>
  <c r="P267" i="7"/>
  <c r="M267" i="7"/>
  <c r="G267" i="7"/>
  <c r="F267" i="7"/>
  <c r="B267" i="7"/>
  <c r="A267" i="7"/>
  <c r="R266" i="7"/>
  <c r="Q266" i="7"/>
  <c r="P266" i="7"/>
  <c r="M266" i="7"/>
  <c r="G266" i="7"/>
  <c r="F266" i="7"/>
  <c r="B266" i="7"/>
  <c r="A266" i="7"/>
  <c r="R265" i="7"/>
  <c r="Q265" i="7"/>
  <c r="P265" i="7"/>
  <c r="M265" i="7"/>
  <c r="G265" i="7"/>
  <c r="F265" i="7"/>
  <c r="B265" i="7"/>
  <c r="A265" i="7"/>
  <c r="R264" i="7"/>
  <c r="Q264" i="7"/>
  <c r="P264" i="7"/>
  <c r="M264" i="7"/>
  <c r="G264" i="7"/>
  <c r="F264" i="7"/>
  <c r="B264" i="7"/>
  <c r="C264" i="7" s="1"/>
  <c r="A264" i="7"/>
  <c r="R263" i="7"/>
  <c r="Q263" i="7"/>
  <c r="P263" i="7"/>
  <c r="M263" i="7"/>
  <c r="G263" i="7"/>
  <c r="F263" i="7"/>
  <c r="B263" i="7"/>
  <c r="A263" i="7"/>
  <c r="R262" i="7"/>
  <c r="Q262" i="7"/>
  <c r="P262" i="7"/>
  <c r="M262" i="7"/>
  <c r="G262" i="7"/>
  <c r="F262" i="7"/>
  <c r="B262" i="7"/>
  <c r="A262" i="7"/>
  <c r="R261" i="7"/>
  <c r="Q261" i="7"/>
  <c r="P261" i="7"/>
  <c r="M261" i="7"/>
  <c r="G261" i="7"/>
  <c r="F261" i="7"/>
  <c r="B261" i="7"/>
  <c r="A261" i="7"/>
  <c r="R260" i="7"/>
  <c r="Q260" i="7"/>
  <c r="P260" i="7"/>
  <c r="M260" i="7"/>
  <c r="G260" i="7"/>
  <c r="F260" i="7"/>
  <c r="B260" i="7"/>
  <c r="A260" i="7"/>
  <c r="R259" i="7"/>
  <c r="Q259" i="7"/>
  <c r="P259" i="7"/>
  <c r="M259" i="7"/>
  <c r="G259" i="7"/>
  <c r="F259" i="7"/>
  <c r="B259" i="7"/>
  <c r="A259" i="7"/>
  <c r="R258" i="7"/>
  <c r="Q258" i="7"/>
  <c r="P258" i="7"/>
  <c r="M258" i="7"/>
  <c r="G258" i="7"/>
  <c r="F258" i="7"/>
  <c r="B258" i="7"/>
  <c r="C258" i="7" s="1"/>
  <c r="A258" i="7"/>
  <c r="R257" i="7"/>
  <c r="Q257" i="7"/>
  <c r="P257" i="7"/>
  <c r="M257" i="7"/>
  <c r="G257" i="7"/>
  <c r="F257" i="7"/>
  <c r="B257" i="7"/>
  <c r="A257" i="7"/>
  <c r="R256" i="7"/>
  <c r="Q256" i="7"/>
  <c r="P256" i="7"/>
  <c r="M256" i="7"/>
  <c r="G256" i="7"/>
  <c r="F256" i="7"/>
  <c r="B256" i="7"/>
  <c r="C256" i="7" s="1"/>
  <c r="A256" i="7"/>
  <c r="R255" i="7"/>
  <c r="Q255" i="7"/>
  <c r="P255" i="7"/>
  <c r="M255" i="7"/>
  <c r="G255" i="7"/>
  <c r="F255" i="7"/>
  <c r="B255" i="7"/>
  <c r="A255" i="7"/>
  <c r="R254" i="7"/>
  <c r="Q254" i="7"/>
  <c r="P254" i="7"/>
  <c r="M254" i="7"/>
  <c r="G254" i="7"/>
  <c r="F254" i="7"/>
  <c r="B254" i="7"/>
  <c r="A254" i="7"/>
  <c r="R253" i="7"/>
  <c r="Q253" i="7"/>
  <c r="P253" i="7"/>
  <c r="M253" i="7"/>
  <c r="G253" i="7"/>
  <c r="F253" i="7"/>
  <c r="B253" i="7"/>
  <c r="A253" i="7"/>
  <c r="R252" i="7"/>
  <c r="Q252" i="7"/>
  <c r="P252" i="7"/>
  <c r="M252" i="7"/>
  <c r="G252" i="7"/>
  <c r="F252" i="7"/>
  <c r="B252" i="7"/>
  <c r="C252" i="7" s="1"/>
  <c r="A252" i="7"/>
  <c r="R251" i="7"/>
  <c r="Q251" i="7"/>
  <c r="P251" i="7"/>
  <c r="M251" i="7"/>
  <c r="G251" i="7"/>
  <c r="F251" i="7"/>
  <c r="B251" i="7"/>
  <c r="A251" i="7"/>
  <c r="R250" i="7"/>
  <c r="Q250" i="7"/>
  <c r="P250" i="7"/>
  <c r="M250" i="7"/>
  <c r="G250" i="7"/>
  <c r="F250" i="7"/>
  <c r="B250" i="7"/>
  <c r="A250" i="7"/>
  <c r="R249" i="7"/>
  <c r="Q249" i="7"/>
  <c r="P249" i="7"/>
  <c r="M249" i="7"/>
  <c r="G249" i="7"/>
  <c r="F249" i="7"/>
  <c r="B249" i="7"/>
  <c r="A249" i="7"/>
  <c r="R248" i="7"/>
  <c r="Q248" i="7"/>
  <c r="P248" i="7"/>
  <c r="M248" i="7"/>
  <c r="G248" i="7"/>
  <c r="F248" i="7"/>
  <c r="B248" i="7"/>
  <c r="C248" i="7" s="1"/>
  <c r="A248" i="7"/>
  <c r="R247" i="7"/>
  <c r="Q247" i="7"/>
  <c r="P247" i="7"/>
  <c r="M247" i="7"/>
  <c r="G247" i="7"/>
  <c r="F247" i="7"/>
  <c r="B247" i="7"/>
  <c r="A247" i="7"/>
  <c r="R246" i="7"/>
  <c r="Q246" i="7"/>
  <c r="P246" i="7"/>
  <c r="M246" i="7"/>
  <c r="G246" i="7"/>
  <c r="F246" i="7"/>
  <c r="B246" i="7"/>
  <c r="A246" i="7"/>
  <c r="R245" i="7"/>
  <c r="Q245" i="7"/>
  <c r="P245" i="7"/>
  <c r="M245" i="7"/>
  <c r="G245" i="7"/>
  <c r="F245" i="7"/>
  <c r="B245" i="7"/>
  <c r="A245" i="7"/>
  <c r="R244" i="7"/>
  <c r="Q244" i="7"/>
  <c r="P244" i="7"/>
  <c r="M244" i="7"/>
  <c r="G244" i="7"/>
  <c r="F244" i="7"/>
  <c r="B244" i="7"/>
  <c r="A244" i="7"/>
  <c r="R243" i="7"/>
  <c r="Q243" i="7"/>
  <c r="P243" i="7"/>
  <c r="M243" i="7"/>
  <c r="G243" i="7"/>
  <c r="F243" i="7"/>
  <c r="B243" i="7"/>
  <c r="C243" i="7" s="1"/>
  <c r="A243" i="7"/>
  <c r="R242" i="7"/>
  <c r="Q242" i="7"/>
  <c r="P242" i="7"/>
  <c r="M242" i="7"/>
  <c r="G242" i="7"/>
  <c r="F242" i="7"/>
  <c r="C242" i="7"/>
  <c r="B242" i="7"/>
  <c r="A242" i="7"/>
  <c r="R241" i="7"/>
  <c r="Q241" i="7"/>
  <c r="P241" i="7"/>
  <c r="M241" i="7"/>
  <c r="G241" i="7"/>
  <c r="F241" i="7"/>
  <c r="B241" i="7"/>
  <c r="A241" i="7"/>
  <c r="R240" i="7"/>
  <c r="Q240" i="7"/>
  <c r="P240" i="7"/>
  <c r="M240" i="7"/>
  <c r="G240" i="7"/>
  <c r="F240" i="7"/>
  <c r="B240" i="7"/>
  <c r="A240" i="7"/>
  <c r="R239" i="7"/>
  <c r="Q239" i="7"/>
  <c r="P239" i="7"/>
  <c r="M239" i="7"/>
  <c r="G239" i="7"/>
  <c r="F239" i="7"/>
  <c r="B239" i="7"/>
  <c r="A239" i="7"/>
  <c r="R238" i="7"/>
  <c r="Q238" i="7"/>
  <c r="P238" i="7"/>
  <c r="M238" i="7"/>
  <c r="G238" i="7"/>
  <c r="F238" i="7"/>
  <c r="B238" i="7"/>
  <c r="A238" i="7"/>
  <c r="R237" i="7"/>
  <c r="Q237" i="7"/>
  <c r="P237" i="7"/>
  <c r="M237" i="7"/>
  <c r="G237" i="7"/>
  <c r="F237" i="7"/>
  <c r="B237" i="7"/>
  <c r="A237" i="7"/>
  <c r="R236" i="7"/>
  <c r="Q236" i="7"/>
  <c r="P236" i="7"/>
  <c r="M236" i="7"/>
  <c r="G236" i="7"/>
  <c r="F236" i="7"/>
  <c r="B236" i="7"/>
  <c r="A236" i="7"/>
  <c r="R235" i="7"/>
  <c r="Q235" i="7"/>
  <c r="P235" i="7"/>
  <c r="M235" i="7"/>
  <c r="G235" i="7"/>
  <c r="F235" i="7"/>
  <c r="B235" i="7"/>
  <c r="A235" i="7"/>
  <c r="R234" i="7"/>
  <c r="Q234" i="7"/>
  <c r="P234" i="7"/>
  <c r="M234" i="7"/>
  <c r="G234" i="7"/>
  <c r="F234" i="7"/>
  <c r="B234" i="7"/>
  <c r="A234" i="7"/>
  <c r="R233" i="7"/>
  <c r="Q233" i="7"/>
  <c r="P233" i="7"/>
  <c r="M233" i="7"/>
  <c r="G233" i="7"/>
  <c r="F233" i="7"/>
  <c r="B233" i="7"/>
  <c r="A233" i="7"/>
  <c r="R232" i="7"/>
  <c r="Q232" i="7"/>
  <c r="P232" i="7"/>
  <c r="M232" i="7"/>
  <c r="G232" i="7"/>
  <c r="F232" i="7"/>
  <c r="B232" i="7"/>
  <c r="A232" i="7"/>
  <c r="R231" i="7"/>
  <c r="Q231" i="7"/>
  <c r="P231" i="7"/>
  <c r="M231" i="7"/>
  <c r="G231" i="7"/>
  <c r="F231" i="7"/>
  <c r="B231" i="7"/>
  <c r="A231" i="7"/>
  <c r="R230" i="7"/>
  <c r="Q230" i="7"/>
  <c r="P230" i="7"/>
  <c r="M230" i="7"/>
  <c r="G230" i="7"/>
  <c r="F230" i="7"/>
  <c r="B230" i="7"/>
  <c r="A230" i="7"/>
  <c r="R229" i="7"/>
  <c r="Q229" i="7"/>
  <c r="P229" i="7"/>
  <c r="M229" i="7"/>
  <c r="G229" i="7"/>
  <c r="F229" i="7"/>
  <c r="B229" i="7"/>
  <c r="A229" i="7"/>
  <c r="R228" i="7"/>
  <c r="Q228" i="7"/>
  <c r="P228" i="7"/>
  <c r="M228" i="7"/>
  <c r="G228" i="7"/>
  <c r="F228" i="7"/>
  <c r="B228" i="7"/>
  <c r="A228" i="7"/>
  <c r="R227" i="7"/>
  <c r="Q227" i="7"/>
  <c r="P227" i="7"/>
  <c r="M227" i="7"/>
  <c r="G227" i="7"/>
  <c r="F227" i="7"/>
  <c r="B227" i="7"/>
  <c r="A227" i="7"/>
  <c r="R226" i="7"/>
  <c r="Q226" i="7"/>
  <c r="P226" i="7"/>
  <c r="M226" i="7"/>
  <c r="G226" i="7"/>
  <c r="F226" i="7"/>
  <c r="C226" i="7"/>
  <c r="B226" i="7"/>
  <c r="A226" i="7"/>
  <c r="R225" i="7"/>
  <c r="Q225" i="7"/>
  <c r="P225" i="7"/>
  <c r="M225" i="7"/>
  <c r="G225" i="7"/>
  <c r="F225" i="7"/>
  <c r="B225" i="7"/>
  <c r="A225" i="7"/>
  <c r="R224" i="7"/>
  <c r="Q224" i="7"/>
  <c r="P224" i="7"/>
  <c r="M224" i="7"/>
  <c r="G224" i="7"/>
  <c r="F224" i="7"/>
  <c r="B224" i="7"/>
  <c r="C224" i="7" s="1"/>
  <c r="A224" i="7"/>
  <c r="R223" i="7"/>
  <c r="Q223" i="7"/>
  <c r="P223" i="7"/>
  <c r="M223" i="7"/>
  <c r="G223" i="7"/>
  <c r="F223" i="7"/>
  <c r="B223" i="7"/>
  <c r="C223" i="7" s="1"/>
  <c r="A223" i="7"/>
  <c r="R222" i="7"/>
  <c r="Q222" i="7"/>
  <c r="P222" i="7"/>
  <c r="M222" i="7"/>
  <c r="G222" i="7"/>
  <c r="F222" i="7"/>
  <c r="C222" i="7"/>
  <c r="B222" i="7"/>
  <c r="A222" i="7"/>
  <c r="R221" i="7"/>
  <c r="Q221" i="7"/>
  <c r="P221" i="7"/>
  <c r="M221" i="7"/>
  <c r="G221" i="7"/>
  <c r="F221" i="7"/>
  <c r="B221" i="7"/>
  <c r="A221" i="7"/>
  <c r="R220" i="7"/>
  <c r="Q220" i="7"/>
  <c r="P220" i="7"/>
  <c r="M220" i="7"/>
  <c r="G220" i="7"/>
  <c r="F220" i="7"/>
  <c r="B220" i="7"/>
  <c r="C220" i="7" s="1"/>
  <c r="A220" i="7"/>
  <c r="R219" i="7"/>
  <c r="Q219" i="7"/>
  <c r="P219" i="7"/>
  <c r="M219" i="7"/>
  <c r="G219" i="7"/>
  <c r="F219" i="7"/>
  <c r="B219" i="7"/>
  <c r="A219" i="7"/>
  <c r="R218" i="7"/>
  <c r="Q218" i="7"/>
  <c r="P218" i="7"/>
  <c r="M218" i="7"/>
  <c r="G218" i="7"/>
  <c r="F218" i="7"/>
  <c r="B218" i="7"/>
  <c r="C218" i="7" s="1"/>
  <c r="A218" i="7"/>
  <c r="R217" i="7"/>
  <c r="Q217" i="7"/>
  <c r="P217" i="7"/>
  <c r="M217" i="7"/>
  <c r="G217" i="7"/>
  <c r="F217" i="7"/>
  <c r="B217" i="7"/>
  <c r="A217" i="7"/>
  <c r="R216" i="7"/>
  <c r="Q216" i="7"/>
  <c r="P216" i="7"/>
  <c r="M216" i="7"/>
  <c r="G216" i="7"/>
  <c r="F216" i="7"/>
  <c r="B216" i="7"/>
  <c r="C216" i="7" s="1"/>
  <c r="A216" i="7"/>
  <c r="R215" i="7"/>
  <c r="Q215" i="7"/>
  <c r="P215" i="7"/>
  <c r="M215" i="7"/>
  <c r="G215" i="7"/>
  <c r="F215" i="7"/>
  <c r="B215" i="7"/>
  <c r="C215" i="7" s="1"/>
  <c r="A215" i="7"/>
  <c r="R214" i="7"/>
  <c r="Q214" i="7"/>
  <c r="P214" i="7"/>
  <c r="M214" i="7"/>
  <c r="G214" i="7"/>
  <c r="F214" i="7"/>
  <c r="C214" i="7"/>
  <c r="B214" i="7"/>
  <c r="A214" i="7"/>
  <c r="R213" i="7"/>
  <c r="Q213" i="7"/>
  <c r="P213" i="7"/>
  <c r="M213" i="7"/>
  <c r="G213" i="7"/>
  <c r="F213" i="7"/>
  <c r="B213" i="7"/>
  <c r="A213" i="7"/>
  <c r="R212" i="7"/>
  <c r="Q212" i="7"/>
  <c r="P212" i="7"/>
  <c r="M212" i="7"/>
  <c r="G212" i="7"/>
  <c r="F212" i="7"/>
  <c r="B212" i="7"/>
  <c r="C212" i="7" s="1"/>
  <c r="A212" i="7"/>
  <c r="R211" i="7"/>
  <c r="Q211" i="7"/>
  <c r="P211" i="7"/>
  <c r="M211" i="7"/>
  <c r="G211" i="7"/>
  <c r="F211" i="7"/>
  <c r="B211" i="7"/>
  <c r="C211" i="7" s="1"/>
  <c r="A211" i="7"/>
  <c r="R210" i="7"/>
  <c r="Q210" i="7"/>
  <c r="P210" i="7"/>
  <c r="M210" i="7"/>
  <c r="G210" i="7"/>
  <c r="F210" i="7"/>
  <c r="C210" i="7"/>
  <c r="B210" i="7"/>
  <c r="A210" i="7"/>
  <c r="R209" i="7"/>
  <c r="Q209" i="7"/>
  <c r="P209" i="7"/>
  <c r="M209" i="7"/>
  <c r="G209" i="7"/>
  <c r="F209" i="7"/>
  <c r="B209" i="7"/>
  <c r="A209" i="7"/>
  <c r="R208" i="7"/>
  <c r="Q208" i="7"/>
  <c r="P208" i="7"/>
  <c r="M208" i="7"/>
  <c r="G208" i="7"/>
  <c r="F208" i="7"/>
  <c r="B208" i="7"/>
  <c r="C208" i="7" s="1"/>
  <c r="A208" i="7"/>
  <c r="R207" i="7"/>
  <c r="Q207" i="7"/>
  <c r="P207" i="7"/>
  <c r="M207" i="7"/>
  <c r="G207" i="7"/>
  <c r="F207" i="7"/>
  <c r="B207" i="7"/>
  <c r="C207" i="7" s="1"/>
  <c r="A207" i="7"/>
  <c r="R206" i="7"/>
  <c r="Q206" i="7"/>
  <c r="P206" i="7"/>
  <c r="M206" i="7"/>
  <c r="G206" i="7"/>
  <c r="F206" i="7"/>
  <c r="C206" i="7"/>
  <c r="B206" i="7"/>
  <c r="A206" i="7"/>
  <c r="R205" i="7"/>
  <c r="Q205" i="7"/>
  <c r="P205" i="7"/>
  <c r="M205" i="7"/>
  <c r="G205" i="7"/>
  <c r="F205" i="7"/>
  <c r="B205" i="7"/>
  <c r="A205" i="7"/>
  <c r="R204" i="7"/>
  <c r="Q204" i="7"/>
  <c r="P204" i="7"/>
  <c r="M204" i="7"/>
  <c r="G204" i="7"/>
  <c r="F204" i="7"/>
  <c r="B204" i="7"/>
  <c r="C204" i="7" s="1"/>
  <c r="A204" i="7"/>
  <c r="R203" i="7"/>
  <c r="Q203" i="7"/>
  <c r="P203" i="7"/>
  <c r="M203" i="7"/>
  <c r="G203" i="7"/>
  <c r="F203" i="7"/>
  <c r="B203" i="7"/>
  <c r="A203" i="7"/>
  <c r="R202" i="7"/>
  <c r="Q202" i="7"/>
  <c r="P202" i="7"/>
  <c r="M202" i="7"/>
  <c r="G202" i="7"/>
  <c r="F202" i="7"/>
  <c r="B202" i="7"/>
  <c r="C202" i="7" s="1"/>
  <c r="A202" i="7"/>
  <c r="R201" i="7"/>
  <c r="Q201" i="7"/>
  <c r="P201" i="7"/>
  <c r="M201" i="7"/>
  <c r="G201" i="7"/>
  <c r="F201" i="7"/>
  <c r="B201" i="7"/>
  <c r="A201" i="7"/>
  <c r="R200" i="7"/>
  <c r="Q200" i="7"/>
  <c r="P200" i="7"/>
  <c r="M200" i="7"/>
  <c r="G200" i="7"/>
  <c r="F200" i="7"/>
  <c r="B200" i="7"/>
  <c r="C200" i="7" s="1"/>
  <c r="A200" i="7"/>
  <c r="R199" i="7"/>
  <c r="Q199" i="7"/>
  <c r="P199" i="7"/>
  <c r="M199" i="7"/>
  <c r="G199" i="7"/>
  <c r="F199" i="7"/>
  <c r="B199" i="7"/>
  <c r="C199" i="7" s="1"/>
  <c r="A199" i="7"/>
  <c r="R198" i="7"/>
  <c r="Q198" i="7"/>
  <c r="P198" i="7"/>
  <c r="M198" i="7"/>
  <c r="G198" i="7"/>
  <c r="F198" i="7"/>
  <c r="C198" i="7"/>
  <c r="B198" i="7"/>
  <c r="A198" i="7"/>
  <c r="R197" i="7"/>
  <c r="Q197" i="7"/>
  <c r="P197" i="7"/>
  <c r="M197" i="7"/>
  <c r="G197" i="7"/>
  <c r="F197" i="7"/>
  <c r="B197" i="7"/>
  <c r="A197" i="7"/>
  <c r="R196" i="7"/>
  <c r="Q196" i="7"/>
  <c r="P196" i="7"/>
  <c r="M196" i="7"/>
  <c r="G196" i="7"/>
  <c r="F196" i="7"/>
  <c r="B196" i="7"/>
  <c r="C196" i="7" s="1"/>
  <c r="A196" i="7"/>
  <c r="R195" i="7"/>
  <c r="Q195" i="7"/>
  <c r="P195" i="7"/>
  <c r="M195" i="7"/>
  <c r="G195" i="7"/>
  <c r="F195" i="7"/>
  <c r="B195" i="7"/>
  <c r="C195" i="7" s="1"/>
  <c r="A195" i="7"/>
  <c r="R194" i="7"/>
  <c r="Q194" i="7"/>
  <c r="P194" i="7"/>
  <c r="M194" i="7"/>
  <c r="G194" i="7"/>
  <c r="F194" i="7"/>
  <c r="C194" i="7"/>
  <c r="B194" i="7"/>
  <c r="A194" i="7"/>
  <c r="R193" i="7"/>
  <c r="Q193" i="7"/>
  <c r="P193" i="7"/>
  <c r="M193" i="7"/>
  <c r="G193" i="7"/>
  <c r="F193" i="7"/>
  <c r="B193" i="7"/>
  <c r="A193" i="7"/>
  <c r="R192" i="7"/>
  <c r="Q192" i="7"/>
  <c r="P192" i="7"/>
  <c r="M192" i="7"/>
  <c r="G192" i="7"/>
  <c r="F192" i="7"/>
  <c r="B192" i="7"/>
  <c r="C192" i="7" s="1"/>
  <c r="A192" i="7"/>
  <c r="R191" i="7"/>
  <c r="Q191" i="7"/>
  <c r="P191" i="7"/>
  <c r="M191" i="7"/>
  <c r="G191" i="7"/>
  <c r="F191" i="7"/>
  <c r="B191" i="7"/>
  <c r="C191" i="7" s="1"/>
  <c r="A191" i="7"/>
  <c r="R190" i="7"/>
  <c r="Q190" i="7"/>
  <c r="P190" i="7"/>
  <c r="M190" i="7"/>
  <c r="G190" i="7"/>
  <c r="F190" i="7"/>
  <c r="C190" i="7"/>
  <c r="B190" i="7"/>
  <c r="A190" i="7"/>
  <c r="R189" i="7"/>
  <c r="Q189" i="7"/>
  <c r="P189" i="7"/>
  <c r="M189" i="7"/>
  <c r="G189" i="7"/>
  <c r="F189" i="7"/>
  <c r="B189" i="7"/>
  <c r="A189" i="7"/>
  <c r="R188" i="7"/>
  <c r="Q188" i="7"/>
  <c r="P188" i="7"/>
  <c r="M188" i="7"/>
  <c r="G188" i="7"/>
  <c r="F188" i="7"/>
  <c r="B188" i="7"/>
  <c r="C188" i="7" s="1"/>
  <c r="A188" i="7"/>
  <c r="R187" i="7"/>
  <c r="Q187" i="7"/>
  <c r="P187" i="7"/>
  <c r="M187" i="7"/>
  <c r="G187" i="7"/>
  <c r="F187" i="7"/>
  <c r="B187" i="7"/>
  <c r="A187" i="7"/>
  <c r="R186" i="7"/>
  <c r="Q186" i="7"/>
  <c r="P186" i="7"/>
  <c r="M186" i="7"/>
  <c r="G186" i="7"/>
  <c r="F186" i="7"/>
  <c r="B186" i="7"/>
  <c r="A186" i="7"/>
  <c r="R185" i="7"/>
  <c r="Q185" i="7"/>
  <c r="P185" i="7"/>
  <c r="M185" i="7"/>
  <c r="G185" i="7"/>
  <c r="F185" i="7"/>
  <c r="B185" i="7"/>
  <c r="A185" i="7"/>
  <c r="R184" i="7"/>
  <c r="Q184" i="7"/>
  <c r="P184" i="7"/>
  <c r="M184" i="7"/>
  <c r="G184" i="7"/>
  <c r="F184" i="7"/>
  <c r="B184" i="7"/>
  <c r="C184" i="7" s="1"/>
  <c r="A184" i="7"/>
  <c r="R183" i="7"/>
  <c r="Q183" i="7"/>
  <c r="P183" i="7"/>
  <c r="M183" i="7"/>
  <c r="G183" i="7"/>
  <c r="F183" i="7"/>
  <c r="B183" i="7"/>
  <c r="C183" i="7" s="1"/>
  <c r="A183" i="7"/>
  <c r="R182" i="7"/>
  <c r="Q182" i="7"/>
  <c r="P182" i="7"/>
  <c r="M182" i="7"/>
  <c r="G182" i="7"/>
  <c r="F182" i="7"/>
  <c r="C182" i="7"/>
  <c r="B182" i="7"/>
  <c r="A182" i="7"/>
  <c r="R181" i="7"/>
  <c r="Q181" i="7"/>
  <c r="P181" i="7"/>
  <c r="M181" i="7"/>
  <c r="G181" i="7"/>
  <c r="F181" i="7"/>
  <c r="B181" i="7"/>
  <c r="A181" i="7"/>
  <c r="R180" i="7"/>
  <c r="Q180" i="7"/>
  <c r="P180" i="7"/>
  <c r="M180" i="7"/>
  <c r="G180" i="7"/>
  <c r="F180" i="7"/>
  <c r="B180" i="7"/>
  <c r="C180" i="7" s="1"/>
  <c r="A180" i="7"/>
  <c r="R179" i="7"/>
  <c r="Q179" i="7"/>
  <c r="P179" i="7"/>
  <c r="M179" i="7"/>
  <c r="G179" i="7"/>
  <c r="F179" i="7"/>
  <c r="B179" i="7"/>
  <c r="C179" i="7" s="1"/>
  <c r="A179" i="7"/>
  <c r="R178" i="7"/>
  <c r="Q178" i="7"/>
  <c r="P178" i="7"/>
  <c r="M178" i="7"/>
  <c r="G178" i="7"/>
  <c r="F178" i="7"/>
  <c r="C178" i="7"/>
  <c r="B178" i="7"/>
  <c r="A178" i="7"/>
  <c r="R177" i="7"/>
  <c r="Q177" i="7"/>
  <c r="P177" i="7"/>
  <c r="M177" i="7"/>
  <c r="G177" i="7"/>
  <c r="F177" i="7"/>
  <c r="B177" i="7"/>
  <c r="A177" i="7"/>
  <c r="R176" i="7"/>
  <c r="Q176" i="7"/>
  <c r="P176" i="7"/>
  <c r="M176" i="7"/>
  <c r="G176" i="7"/>
  <c r="F176" i="7"/>
  <c r="B176" i="7"/>
  <c r="C176" i="7" s="1"/>
  <c r="A176" i="7"/>
  <c r="R175" i="7"/>
  <c r="Q175" i="7"/>
  <c r="P175" i="7"/>
  <c r="M175" i="7"/>
  <c r="G175" i="7"/>
  <c r="F175" i="7"/>
  <c r="B175" i="7"/>
  <c r="C175" i="7" s="1"/>
  <c r="A175" i="7"/>
  <c r="R174" i="7"/>
  <c r="Q174" i="7"/>
  <c r="P174" i="7"/>
  <c r="M174" i="7"/>
  <c r="G174" i="7"/>
  <c r="F174" i="7"/>
  <c r="C174" i="7"/>
  <c r="B174" i="7"/>
  <c r="A174" i="7"/>
  <c r="R173" i="7"/>
  <c r="Q173" i="7"/>
  <c r="P173" i="7"/>
  <c r="M173" i="7"/>
  <c r="G173" i="7"/>
  <c r="F173" i="7"/>
  <c r="B173" i="7"/>
  <c r="A173" i="7"/>
  <c r="R172" i="7"/>
  <c r="Q172" i="7"/>
  <c r="P172" i="7"/>
  <c r="M172" i="7"/>
  <c r="G172" i="7"/>
  <c r="F172" i="7"/>
  <c r="B172" i="7"/>
  <c r="C172" i="7" s="1"/>
  <c r="A172" i="7"/>
  <c r="R171" i="7"/>
  <c r="Q171" i="7"/>
  <c r="P171" i="7"/>
  <c r="M171" i="7"/>
  <c r="G171" i="7"/>
  <c r="F171" i="7"/>
  <c r="B171" i="7"/>
  <c r="A171" i="7"/>
  <c r="R170" i="7"/>
  <c r="Q170" i="7"/>
  <c r="P170" i="7"/>
  <c r="M170" i="7"/>
  <c r="G170" i="7"/>
  <c r="F170" i="7"/>
  <c r="B170" i="7"/>
  <c r="C170" i="7" s="1"/>
  <c r="A170" i="7"/>
  <c r="R169" i="7"/>
  <c r="Q169" i="7"/>
  <c r="P169" i="7"/>
  <c r="M169" i="7"/>
  <c r="G169" i="7"/>
  <c r="F169" i="7"/>
  <c r="B169" i="7"/>
  <c r="A169" i="7"/>
  <c r="R168" i="7"/>
  <c r="Q168" i="7"/>
  <c r="P168" i="7"/>
  <c r="M168" i="7"/>
  <c r="G168" i="7"/>
  <c r="F168" i="7"/>
  <c r="B168" i="7"/>
  <c r="A168" i="7"/>
  <c r="R167" i="7"/>
  <c r="Q167" i="7"/>
  <c r="P167" i="7"/>
  <c r="M167" i="7"/>
  <c r="G167" i="7"/>
  <c r="F167" i="7"/>
  <c r="B167" i="7"/>
  <c r="A167" i="7"/>
  <c r="R166" i="7"/>
  <c r="Q166" i="7"/>
  <c r="P166" i="7"/>
  <c r="M166" i="7"/>
  <c r="G166" i="7"/>
  <c r="F166" i="7"/>
  <c r="C166" i="7"/>
  <c r="B166" i="7"/>
  <c r="A166" i="7"/>
  <c r="R165" i="7"/>
  <c r="Q165" i="7"/>
  <c r="P165" i="7"/>
  <c r="M165" i="7"/>
  <c r="G165" i="7"/>
  <c r="F165" i="7"/>
  <c r="B165" i="7"/>
  <c r="A165" i="7"/>
  <c r="R164" i="7"/>
  <c r="Q164" i="7"/>
  <c r="P164" i="7"/>
  <c r="M164" i="7"/>
  <c r="G164" i="7"/>
  <c r="F164" i="7"/>
  <c r="B164" i="7"/>
  <c r="A164" i="7"/>
  <c r="R163" i="7"/>
  <c r="Q163" i="7"/>
  <c r="P163" i="7"/>
  <c r="M163" i="7"/>
  <c r="G163" i="7"/>
  <c r="F163" i="7"/>
  <c r="B163" i="7"/>
  <c r="A163" i="7"/>
  <c r="R162" i="7"/>
  <c r="Q162" i="7"/>
  <c r="P162" i="7"/>
  <c r="M162" i="7"/>
  <c r="G162" i="7"/>
  <c r="F162" i="7"/>
  <c r="C162" i="7"/>
  <c r="B162" i="7"/>
  <c r="A162" i="7"/>
  <c r="R161" i="7"/>
  <c r="Q161" i="7"/>
  <c r="P161" i="7"/>
  <c r="M161" i="7"/>
  <c r="G161" i="7"/>
  <c r="F161" i="7"/>
  <c r="B161" i="7"/>
  <c r="A161" i="7"/>
  <c r="R160" i="7"/>
  <c r="Q160" i="7"/>
  <c r="P160" i="7"/>
  <c r="M160" i="7"/>
  <c r="G160" i="7"/>
  <c r="F160" i="7"/>
  <c r="B160" i="7"/>
  <c r="A160" i="7"/>
  <c r="R159" i="7"/>
  <c r="Q159" i="7"/>
  <c r="P159" i="7"/>
  <c r="M159" i="7"/>
  <c r="G159" i="7"/>
  <c r="F159" i="7"/>
  <c r="B159" i="7"/>
  <c r="A159" i="7"/>
  <c r="R158" i="7"/>
  <c r="Q158" i="7"/>
  <c r="P158" i="7"/>
  <c r="M158" i="7"/>
  <c r="G158" i="7"/>
  <c r="F158" i="7"/>
  <c r="C158" i="7"/>
  <c r="B158" i="7"/>
  <c r="A158" i="7"/>
  <c r="R157" i="7"/>
  <c r="Q157" i="7"/>
  <c r="P157" i="7"/>
  <c r="M157" i="7"/>
  <c r="G157" i="7"/>
  <c r="F157" i="7"/>
  <c r="B157" i="7"/>
  <c r="A157" i="7"/>
  <c r="R156" i="7"/>
  <c r="Q156" i="7"/>
  <c r="P156" i="7"/>
  <c r="M156" i="7"/>
  <c r="G156" i="7"/>
  <c r="F156" i="7"/>
  <c r="B156" i="7"/>
  <c r="A156" i="7"/>
  <c r="R155" i="7"/>
  <c r="Q155" i="7"/>
  <c r="P155" i="7"/>
  <c r="M155" i="7"/>
  <c r="G155" i="7"/>
  <c r="F155" i="7"/>
  <c r="B155" i="7"/>
  <c r="A155" i="7"/>
  <c r="R154" i="7"/>
  <c r="Q154" i="7"/>
  <c r="P154" i="7"/>
  <c r="M154" i="7"/>
  <c r="G154" i="7"/>
  <c r="F154" i="7"/>
  <c r="B154" i="7"/>
  <c r="A154" i="7"/>
  <c r="R153" i="7"/>
  <c r="Q153" i="7"/>
  <c r="P153" i="7"/>
  <c r="M153" i="7"/>
  <c r="G153" i="7"/>
  <c r="F153" i="7"/>
  <c r="B153" i="7"/>
  <c r="A153" i="7"/>
  <c r="R152" i="7"/>
  <c r="Q152" i="7"/>
  <c r="P152" i="7"/>
  <c r="M152" i="7"/>
  <c r="G152" i="7"/>
  <c r="F152" i="7"/>
  <c r="B152" i="7"/>
  <c r="A152" i="7"/>
  <c r="R151" i="7"/>
  <c r="Q151" i="7"/>
  <c r="P151" i="7"/>
  <c r="M151" i="7"/>
  <c r="G151" i="7"/>
  <c r="F151" i="7"/>
  <c r="B151" i="7"/>
  <c r="A151" i="7"/>
  <c r="R150" i="7"/>
  <c r="Q150" i="7"/>
  <c r="P150" i="7"/>
  <c r="M150" i="7"/>
  <c r="G150" i="7"/>
  <c r="F150" i="7"/>
  <c r="C150" i="7"/>
  <c r="B150" i="7"/>
  <c r="A150" i="7"/>
  <c r="R149" i="7"/>
  <c r="Q149" i="7"/>
  <c r="P149" i="7"/>
  <c r="M149" i="7"/>
  <c r="G149" i="7"/>
  <c r="F149" i="7"/>
  <c r="B149" i="7"/>
  <c r="A149" i="7"/>
  <c r="R148" i="7"/>
  <c r="Q148" i="7"/>
  <c r="P148" i="7"/>
  <c r="M148" i="7"/>
  <c r="G148" i="7"/>
  <c r="F148" i="7"/>
  <c r="B148" i="7"/>
  <c r="A148" i="7"/>
  <c r="R147" i="7"/>
  <c r="Q147" i="7"/>
  <c r="P147" i="7"/>
  <c r="M147" i="7"/>
  <c r="G147" i="7"/>
  <c r="F147" i="7"/>
  <c r="B147" i="7"/>
  <c r="A147" i="7"/>
  <c r="R146" i="7"/>
  <c r="Q146" i="7"/>
  <c r="P146" i="7"/>
  <c r="M146" i="7"/>
  <c r="G146" i="7"/>
  <c r="F146" i="7"/>
  <c r="C146" i="7"/>
  <c r="B146" i="7"/>
  <c r="A146" i="7"/>
  <c r="R145" i="7"/>
  <c r="Q145" i="7"/>
  <c r="P145" i="7"/>
  <c r="M145" i="7"/>
  <c r="G145" i="7"/>
  <c r="F145" i="7"/>
  <c r="B145" i="7"/>
  <c r="A145" i="7"/>
  <c r="R144" i="7"/>
  <c r="Q144" i="7"/>
  <c r="P144" i="7"/>
  <c r="M144" i="7"/>
  <c r="G144" i="7"/>
  <c r="F144" i="7"/>
  <c r="B144" i="7"/>
  <c r="A144" i="7"/>
  <c r="R143" i="7"/>
  <c r="Q143" i="7"/>
  <c r="P143" i="7"/>
  <c r="M143" i="7"/>
  <c r="G143" i="7"/>
  <c r="F143" i="7"/>
  <c r="B143" i="7"/>
  <c r="A143" i="7"/>
  <c r="R142" i="7"/>
  <c r="Q142" i="7"/>
  <c r="P142" i="7"/>
  <c r="M142" i="7"/>
  <c r="G142" i="7"/>
  <c r="F142" i="7"/>
  <c r="C142" i="7"/>
  <c r="B142" i="7"/>
  <c r="A142" i="7"/>
  <c r="R141" i="7"/>
  <c r="Q141" i="7"/>
  <c r="P141" i="7"/>
  <c r="M141" i="7"/>
  <c r="G141" i="7"/>
  <c r="F141" i="7"/>
  <c r="B141" i="7"/>
  <c r="A141" i="7"/>
  <c r="R140" i="7"/>
  <c r="Q140" i="7"/>
  <c r="P140" i="7"/>
  <c r="M140" i="7"/>
  <c r="G140" i="7"/>
  <c r="F140" i="7"/>
  <c r="B140" i="7"/>
  <c r="A140" i="7"/>
  <c r="R139" i="7"/>
  <c r="Q139" i="7"/>
  <c r="P139" i="7"/>
  <c r="M139" i="7"/>
  <c r="G139" i="7"/>
  <c r="F139" i="7"/>
  <c r="B139" i="7"/>
  <c r="A139" i="7"/>
  <c r="R138" i="7"/>
  <c r="Q138" i="7"/>
  <c r="P138" i="7"/>
  <c r="M138" i="7"/>
  <c r="G138" i="7"/>
  <c r="F138" i="7"/>
  <c r="B138" i="7"/>
  <c r="A138" i="7"/>
  <c r="R137" i="7"/>
  <c r="Q137" i="7"/>
  <c r="P137" i="7"/>
  <c r="M137" i="7"/>
  <c r="G137" i="7"/>
  <c r="F137" i="7"/>
  <c r="B137" i="7"/>
  <c r="A137" i="7"/>
  <c r="R136" i="7"/>
  <c r="Q136" i="7"/>
  <c r="P136" i="7"/>
  <c r="M136" i="7"/>
  <c r="G136" i="7"/>
  <c r="F136" i="7"/>
  <c r="B136" i="7"/>
  <c r="A136" i="7"/>
  <c r="R135" i="7"/>
  <c r="Q135" i="7"/>
  <c r="P135" i="7"/>
  <c r="M135" i="7"/>
  <c r="G135" i="7"/>
  <c r="F135" i="7"/>
  <c r="B135" i="7"/>
  <c r="A135" i="7"/>
  <c r="R134" i="7"/>
  <c r="Q134" i="7"/>
  <c r="P134" i="7"/>
  <c r="M134" i="7"/>
  <c r="G134" i="7"/>
  <c r="F134" i="7"/>
  <c r="C134" i="7"/>
  <c r="B134" i="7"/>
  <c r="A134" i="7"/>
  <c r="R133" i="7"/>
  <c r="Q133" i="7"/>
  <c r="P133" i="7"/>
  <c r="M133" i="7"/>
  <c r="G133" i="7"/>
  <c r="F133" i="7"/>
  <c r="B133" i="7"/>
  <c r="A133" i="7"/>
  <c r="R132" i="7"/>
  <c r="Q132" i="7"/>
  <c r="P132" i="7"/>
  <c r="M132" i="7"/>
  <c r="G132" i="7"/>
  <c r="F132" i="7"/>
  <c r="B132" i="7"/>
  <c r="A132" i="7"/>
  <c r="R131" i="7"/>
  <c r="Q131" i="7"/>
  <c r="P131" i="7"/>
  <c r="M131" i="7"/>
  <c r="G131" i="7"/>
  <c r="F131" i="7"/>
  <c r="B131" i="7"/>
  <c r="A131" i="7"/>
  <c r="R130" i="7"/>
  <c r="Q130" i="7"/>
  <c r="P130" i="7"/>
  <c r="M130" i="7"/>
  <c r="G130" i="7"/>
  <c r="F130" i="7"/>
  <c r="C130" i="7"/>
  <c r="B130" i="7"/>
  <c r="A130" i="7"/>
  <c r="R129" i="7"/>
  <c r="Q129" i="7"/>
  <c r="P129" i="7"/>
  <c r="M129" i="7"/>
  <c r="G129" i="7"/>
  <c r="F129" i="7"/>
  <c r="B129" i="7"/>
  <c r="A129" i="7"/>
  <c r="R128" i="7"/>
  <c r="Q128" i="7"/>
  <c r="P128" i="7"/>
  <c r="M128" i="7"/>
  <c r="G128" i="7"/>
  <c r="F128" i="7"/>
  <c r="B128" i="7"/>
  <c r="A128" i="7"/>
  <c r="R127" i="7"/>
  <c r="Q127" i="7"/>
  <c r="P127" i="7"/>
  <c r="M127" i="7"/>
  <c r="G127" i="7"/>
  <c r="F127" i="7"/>
  <c r="B127" i="7"/>
  <c r="A127" i="7"/>
  <c r="R126" i="7"/>
  <c r="Q126" i="7"/>
  <c r="P126" i="7"/>
  <c r="M126" i="7"/>
  <c r="G126" i="7"/>
  <c r="F126" i="7"/>
  <c r="C126" i="7"/>
  <c r="B126" i="7"/>
  <c r="A126" i="7"/>
  <c r="R125" i="7"/>
  <c r="Q125" i="7"/>
  <c r="P125" i="7"/>
  <c r="M125" i="7"/>
  <c r="G125" i="7"/>
  <c r="F125" i="7"/>
  <c r="B125" i="7"/>
  <c r="A125" i="7"/>
  <c r="R124" i="7"/>
  <c r="Q124" i="7"/>
  <c r="P124" i="7"/>
  <c r="M124" i="7"/>
  <c r="G124" i="7"/>
  <c r="F124" i="7"/>
  <c r="B124" i="7"/>
  <c r="C124" i="7" s="1"/>
  <c r="A124" i="7"/>
  <c r="R123" i="7"/>
  <c r="Q123" i="7"/>
  <c r="P123" i="7"/>
  <c r="M123" i="7"/>
  <c r="G123" i="7"/>
  <c r="F123" i="7"/>
  <c r="B123" i="7"/>
  <c r="A123" i="7"/>
  <c r="R122" i="7"/>
  <c r="Q122" i="7"/>
  <c r="P122" i="7"/>
  <c r="M122" i="7"/>
  <c r="G122" i="7"/>
  <c r="F122" i="7"/>
  <c r="C122" i="7"/>
  <c r="B122" i="7"/>
  <c r="A122" i="7"/>
  <c r="R121" i="7"/>
  <c r="Q121" i="7"/>
  <c r="P121" i="7"/>
  <c r="M121" i="7"/>
  <c r="G121" i="7"/>
  <c r="F121" i="7"/>
  <c r="B121" i="7"/>
  <c r="A121" i="7"/>
  <c r="R120" i="7"/>
  <c r="Q120" i="7"/>
  <c r="P120" i="7"/>
  <c r="M120" i="7"/>
  <c r="G120" i="7"/>
  <c r="F120" i="7"/>
  <c r="C120" i="7"/>
  <c r="B120" i="7"/>
  <c r="A120" i="7"/>
  <c r="R119" i="7"/>
  <c r="Q119" i="7"/>
  <c r="P119" i="7"/>
  <c r="M119" i="7"/>
  <c r="G119" i="7"/>
  <c r="F119" i="7"/>
  <c r="B119" i="7"/>
  <c r="A119" i="7"/>
  <c r="R118" i="7"/>
  <c r="Q118" i="7"/>
  <c r="P118" i="7"/>
  <c r="M118" i="7"/>
  <c r="G118" i="7"/>
  <c r="F118" i="7"/>
  <c r="C118" i="7"/>
  <c r="B118" i="7"/>
  <c r="A118" i="7"/>
  <c r="R117" i="7"/>
  <c r="Q117" i="7"/>
  <c r="P117" i="7"/>
  <c r="M117" i="7"/>
  <c r="G117" i="7"/>
  <c r="F117" i="7"/>
  <c r="B117" i="7"/>
  <c r="A117" i="7"/>
  <c r="R116" i="7"/>
  <c r="Q116" i="7"/>
  <c r="P116" i="7"/>
  <c r="M116" i="7"/>
  <c r="G116" i="7"/>
  <c r="F116" i="7"/>
  <c r="B116" i="7"/>
  <c r="A116" i="7"/>
  <c r="R115" i="7"/>
  <c r="Q115" i="7"/>
  <c r="P115" i="7"/>
  <c r="M115" i="7"/>
  <c r="G115" i="7"/>
  <c r="F115" i="7"/>
  <c r="C115" i="7"/>
  <c r="B115" i="7"/>
  <c r="A115" i="7"/>
  <c r="R114" i="7"/>
  <c r="Q114" i="7"/>
  <c r="P114" i="7"/>
  <c r="M114" i="7"/>
  <c r="G114" i="7"/>
  <c r="F114" i="7"/>
  <c r="C114" i="7"/>
  <c r="B114" i="7"/>
  <c r="A114" i="7"/>
  <c r="R113" i="7"/>
  <c r="Q113" i="7"/>
  <c r="P113" i="7"/>
  <c r="M113" i="7"/>
  <c r="G113" i="7"/>
  <c r="F113" i="7"/>
  <c r="C113" i="7"/>
  <c r="B113" i="7"/>
  <c r="A113" i="7"/>
  <c r="R112" i="7"/>
  <c r="Q112" i="7"/>
  <c r="P112" i="7"/>
  <c r="M112" i="7"/>
  <c r="G112" i="7"/>
  <c r="F112" i="7"/>
  <c r="B112" i="7"/>
  <c r="C112" i="7" s="1"/>
  <c r="A112" i="7"/>
  <c r="R111" i="7"/>
  <c r="Q111" i="7"/>
  <c r="P111" i="7"/>
  <c r="M111" i="7"/>
  <c r="G111" i="7"/>
  <c r="F111" i="7"/>
  <c r="C111" i="7"/>
  <c r="B111" i="7"/>
  <c r="A111" i="7"/>
  <c r="R110" i="7"/>
  <c r="Q110" i="7"/>
  <c r="P110" i="7"/>
  <c r="M110" i="7"/>
  <c r="G110" i="7"/>
  <c r="F110" i="7"/>
  <c r="C110" i="7"/>
  <c r="B110" i="7"/>
  <c r="A110" i="7"/>
  <c r="R109" i="7"/>
  <c r="Q109" i="7"/>
  <c r="P109" i="7"/>
  <c r="M109" i="7"/>
  <c r="G109" i="7"/>
  <c r="F109" i="7"/>
  <c r="C109" i="7"/>
  <c r="B109" i="7"/>
  <c r="A109" i="7"/>
  <c r="R108" i="7"/>
  <c r="Q108" i="7"/>
  <c r="P108" i="7"/>
  <c r="M108" i="7"/>
  <c r="G108" i="7"/>
  <c r="F108" i="7"/>
  <c r="B108" i="7"/>
  <c r="C108" i="7" s="1"/>
  <c r="A108" i="7"/>
  <c r="R107" i="7"/>
  <c r="Q107" i="7"/>
  <c r="P107" i="7"/>
  <c r="M107" i="7"/>
  <c r="G107" i="7"/>
  <c r="F107" i="7"/>
  <c r="C107" i="7"/>
  <c r="B107" i="7"/>
  <c r="A107" i="7"/>
  <c r="R106" i="7"/>
  <c r="Q106" i="7"/>
  <c r="P106" i="7"/>
  <c r="M106" i="7"/>
  <c r="G106" i="7"/>
  <c r="F106" i="7"/>
  <c r="C106" i="7"/>
  <c r="B106" i="7"/>
  <c r="A106" i="7"/>
  <c r="R105" i="7"/>
  <c r="Q105" i="7"/>
  <c r="P105" i="7"/>
  <c r="M105" i="7"/>
  <c r="G105" i="7"/>
  <c r="F105" i="7"/>
  <c r="C105" i="7"/>
  <c r="B105" i="7"/>
  <c r="A105" i="7"/>
  <c r="R104" i="7"/>
  <c r="Q104" i="7"/>
  <c r="P104" i="7"/>
  <c r="M104" i="7"/>
  <c r="G104" i="7"/>
  <c r="F104" i="7"/>
  <c r="B104" i="7"/>
  <c r="C104" i="7" s="1"/>
  <c r="A104" i="7"/>
  <c r="R103" i="7"/>
  <c r="Q103" i="7"/>
  <c r="P103" i="7"/>
  <c r="M103" i="7"/>
  <c r="G103" i="7"/>
  <c r="F103" i="7"/>
  <c r="C103" i="7"/>
  <c r="B103" i="7"/>
  <c r="A103" i="7"/>
  <c r="R102" i="7"/>
  <c r="Q102" i="7"/>
  <c r="P102" i="7"/>
  <c r="M102" i="7"/>
  <c r="G102" i="7"/>
  <c r="F102" i="7"/>
  <c r="C102" i="7"/>
  <c r="B102" i="7"/>
  <c r="A102" i="7"/>
  <c r="R101" i="7"/>
  <c r="Q101" i="7"/>
  <c r="P101" i="7"/>
  <c r="M101" i="7"/>
  <c r="G101" i="7"/>
  <c r="F101" i="7"/>
  <c r="C101" i="7"/>
  <c r="B101" i="7"/>
  <c r="A101" i="7"/>
  <c r="R100" i="7"/>
  <c r="Q100" i="7"/>
  <c r="P100" i="7"/>
  <c r="M100" i="7"/>
  <c r="G100" i="7"/>
  <c r="F100" i="7"/>
  <c r="B100" i="7"/>
  <c r="A100" i="7"/>
  <c r="R99" i="7"/>
  <c r="Q99" i="7"/>
  <c r="P99" i="7"/>
  <c r="M99" i="7"/>
  <c r="G99" i="7"/>
  <c r="F99" i="7"/>
  <c r="A99" i="7"/>
  <c r="B99" i="7" s="1"/>
  <c r="R98" i="7"/>
  <c r="Q98" i="7"/>
  <c r="P98" i="7"/>
  <c r="M98" i="7"/>
  <c r="G98" i="7"/>
  <c r="F98" i="7"/>
  <c r="C98" i="7"/>
  <c r="B98" i="7"/>
  <c r="A98" i="7"/>
  <c r="R97" i="7"/>
  <c r="Q97" i="7"/>
  <c r="P97" i="7"/>
  <c r="M97" i="7"/>
  <c r="G97" i="7"/>
  <c r="F97" i="7"/>
  <c r="C97" i="7"/>
  <c r="B97" i="7"/>
  <c r="A97" i="7"/>
  <c r="R96" i="7"/>
  <c r="Q96" i="7"/>
  <c r="P96" i="7"/>
  <c r="M96" i="7"/>
  <c r="G96" i="7"/>
  <c r="F96" i="7"/>
  <c r="B96" i="7"/>
  <c r="C96" i="7" s="1"/>
  <c r="A96" i="7"/>
  <c r="R95" i="7"/>
  <c r="Q95" i="7"/>
  <c r="P95" i="7"/>
  <c r="M95" i="7"/>
  <c r="G95" i="7"/>
  <c r="F95" i="7"/>
  <c r="C95" i="7"/>
  <c r="B95" i="7"/>
  <c r="A95" i="7"/>
  <c r="R94" i="7"/>
  <c r="Q94" i="7"/>
  <c r="P94" i="7"/>
  <c r="M94" i="7"/>
  <c r="G94" i="7"/>
  <c r="F94" i="7"/>
  <c r="C94" i="7"/>
  <c r="B94" i="7"/>
  <c r="A94" i="7"/>
  <c r="R93" i="7"/>
  <c r="Q93" i="7"/>
  <c r="P93" i="7"/>
  <c r="M93" i="7"/>
  <c r="G93" i="7"/>
  <c r="F93" i="7"/>
  <c r="C93" i="7"/>
  <c r="B93" i="7"/>
  <c r="A93" i="7"/>
  <c r="R92" i="7"/>
  <c r="Q92" i="7"/>
  <c r="P92" i="7"/>
  <c r="M92" i="7"/>
  <c r="G92" i="7"/>
  <c r="F92" i="7"/>
  <c r="B92" i="7"/>
  <c r="C92" i="7" s="1"/>
  <c r="A92" i="7"/>
  <c r="R91" i="7"/>
  <c r="Q91" i="7"/>
  <c r="P91" i="7"/>
  <c r="M91" i="7"/>
  <c r="G91" i="7"/>
  <c r="F91" i="7"/>
  <c r="C91" i="7"/>
  <c r="B91" i="7"/>
  <c r="A91" i="7"/>
  <c r="R90" i="7"/>
  <c r="Q90" i="7"/>
  <c r="P90" i="7"/>
  <c r="M90" i="7"/>
  <c r="G90" i="7"/>
  <c r="F90" i="7"/>
  <c r="C90" i="7"/>
  <c r="B90" i="7"/>
  <c r="A90" i="7"/>
  <c r="R89" i="7"/>
  <c r="Q89" i="7"/>
  <c r="P89" i="7"/>
  <c r="M89" i="7"/>
  <c r="G89" i="7"/>
  <c r="F89" i="7"/>
  <c r="C89" i="7"/>
  <c r="B89" i="7"/>
  <c r="A89" i="7"/>
  <c r="R88" i="7"/>
  <c r="Q88" i="7"/>
  <c r="P88" i="7"/>
  <c r="M88" i="7"/>
  <c r="G88" i="7"/>
  <c r="F88" i="7"/>
  <c r="B88" i="7"/>
  <c r="C88" i="7" s="1"/>
  <c r="A88" i="7"/>
  <c r="R87" i="7"/>
  <c r="Q87" i="7"/>
  <c r="P87" i="7"/>
  <c r="M87" i="7"/>
  <c r="G87" i="7"/>
  <c r="F87" i="7"/>
  <c r="C87" i="7"/>
  <c r="B87" i="7"/>
  <c r="A87" i="7"/>
  <c r="R86" i="7"/>
  <c r="Q86" i="7"/>
  <c r="P86" i="7"/>
  <c r="M86" i="7"/>
  <c r="G86" i="7"/>
  <c r="F86" i="7"/>
  <c r="C86" i="7"/>
  <c r="B86" i="7"/>
  <c r="A86" i="7"/>
  <c r="R85" i="7"/>
  <c r="Q85" i="7"/>
  <c r="P85" i="7"/>
  <c r="M85" i="7"/>
  <c r="G85" i="7"/>
  <c r="F85" i="7"/>
  <c r="C85" i="7"/>
  <c r="B85" i="7"/>
  <c r="A85" i="7"/>
  <c r="R84" i="7"/>
  <c r="Q84" i="7"/>
  <c r="P84" i="7"/>
  <c r="M84" i="7"/>
  <c r="G84" i="7"/>
  <c r="F84" i="7"/>
  <c r="B84" i="7"/>
  <c r="C84" i="7" s="1"/>
  <c r="A84" i="7"/>
  <c r="R83" i="7"/>
  <c r="Q83" i="7"/>
  <c r="P83" i="7"/>
  <c r="M83" i="7"/>
  <c r="G83" i="7"/>
  <c r="F83" i="7"/>
  <c r="C83" i="7"/>
  <c r="B83" i="7"/>
  <c r="A83" i="7"/>
  <c r="R82" i="7"/>
  <c r="Q82" i="7"/>
  <c r="P82" i="7"/>
  <c r="M82" i="7"/>
  <c r="C82" i="7"/>
  <c r="B82" i="7"/>
  <c r="A82" i="7"/>
  <c r="R81" i="7"/>
  <c r="Q81" i="7"/>
  <c r="P81" i="7"/>
  <c r="M81" i="7"/>
  <c r="C81" i="7"/>
  <c r="B81" i="7"/>
  <c r="A81" i="7"/>
  <c r="R80" i="7"/>
  <c r="Q80" i="7"/>
  <c r="P80" i="7"/>
  <c r="M80" i="7"/>
  <c r="C80" i="7"/>
  <c r="B80" i="7"/>
  <c r="A80" i="7"/>
  <c r="R79" i="7"/>
  <c r="Q79" i="7"/>
  <c r="P79" i="7"/>
  <c r="M79" i="7"/>
  <c r="C79" i="7"/>
  <c r="B79" i="7"/>
  <c r="A79" i="7"/>
  <c r="R78" i="7"/>
  <c r="Q78" i="7"/>
  <c r="P78" i="7"/>
  <c r="M78" i="7"/>
  <c r="C78" i="7"/>
  <c r="B78" i="7"/>
  <c r="A78" i="7"/>
  <c r="R77" i="7"/>
  <c r="Q77" i="7"/>
  <c r="P77" i="7"/>
  <c r="M77" i="7"/>
  <c r="C77" i="7"/>
  <c r="B77" i="7"/>
  <c r="A77" i="7"/>
  <c r="R76" i="7"/>
  <c r="Q76" i="7"/>
  <c r="P76" i="7"/>
  <c r="M76" i="7"/>
  <c r="C76" i="7"/>
  <c r="B76" i="7"/>
  <c r="A76" i="7"/>
  <c r="R75" i="7"/>
  <c r="Q75" i="7"/>
  <c r="P75" i="7"/>
  <c r="M75" i="7"/>
  <c r="C75" i="7"/>
  <c r="B75" i="7"/>
  <c r="A75" i="7"/>
  <c r="R74" i="7"/>
  <c r="Q74" i="7"/>
  <c r="P74" i="7"/>
  <c r="M74" i="7"/>
  <c r="C74" i="7"/>
  <c r="B74" i="7"/>
  <c r="A74" i="7"/>
  <c r="R73" i="7"/>
  <c r="Q73" i="7"/>
  <c r="P73" i="7"/>
  <c r="M73" i="7"/>
  <c r="C73" i="7"/>
  <c r="B73" i="7"/>
  <c r="A73" i="7"/>
  <c r="R72" i="7"/>
  <c r="Q72" i="7"/>
  <c r="P72" i="7"/>
  <c r="M72" i="7"/>
  <c r="C72" i="7"/>
  <c r="B72" i="7"/>
  <c r="A72" i="7"/>
  <c r="R71" i="7"/>
  <c r="Q71" i="7"/>
  <c r="P71" i="7"/>
  <c r="M71" i="7"/>
  <c r="C71" i="7"/>
  <c r="B71" i="7"/>
  <c r="A71" i="7"/>
  <c r="R70" i="7"/>
  <c r="Q70" i="7"/>
  <c r="P70" i="7"/>
  <c r="M70" i="7"/>
  <c r="C70" i="7"/>
  <c r="B70" i="7"/>
  <c r="A70" i="7"/>
  <c r="R69" i="7"/>
  <c r="Q69" i="7"/>
  <c r="P69" i="7"/>
  <c r="M69" i="7"/>
  <c r="C69" i="7"/>
  <c r="B69" i="7"/>
  <c r="A69" i="7"/>
  <c r="R68" i="7"/>
  <c r="Q68" i="7"/>
  <c r="P68" i="7"/>
  <c r="M68" i="7"/>
  <c r="C68" i="7"/>
  <c r="B68" i="7"/>
  <c r="A68" i="7"/>
  <c r="R67" i="7"/>
  <c r="Q67" i="7"/>
  <c r="P67" i="7"/>
  <c r="M67" i="7"/>
  <c r="C67" i="7"/>
  <c r="B67" i="7"/>
  <c r="A67" i="7"/>
  <c r="R66" i="7"/>
  <c r="Q66" i="7"/>
  <c r="P66" i="7"/>
  <c r="M66" i="7"/>
  <c r="G66" i="7"/>
  <c r="F66" i="7"/>
  <c r="C66" i="7"/>
  <c r="B66" i="7"/>
  <c r="A66" i="7"/>
  <c r="R65" i="7"/>
  <c r="Q65" i="7"/>
  <c r="P65" i="7"/>
  <c r="M65" i="7"/>
  <c r="G65" i="7"/>
  <c r="F65" i="7"/>
  <c r="C65" i="7"/>
  <c r="B65" i="7"/>
  <c r="A65" i="7"/>
  <c r="R64" i="7"/>
  <c r="Q64" i="7"/>
  <c r="P64" i="7"/>
  <c r="M64" i="7"/>
  <c r="G64" i="7"/>
  <c r="F64" i="7"/>
  <c r="B64" i="7"/>
  <c r="C64" i="7" s="1"/>
  <c r="A64" i="7"/>
  <c r="R63" i="7"/>
  <c r="Q63" i="7"/>
  <c r="P63" i="7"/>
  <c r="M63" i="7"/>
  <c r="G63" i="7"/>
  <c r="F63" i="7"/>
  <c r="C63" i="7"/>
  <c r="B63" i="7"/>
  <c r="A63" i="7"/>
  <c r="R62" i="7"/>
  <c r="Q62" i="7"/>
  <c r="P62" i="7"/>
  <c r="M62" i="7"/>
  <c r="G62" i="7"/>
  <c r="F62" i="7"/>
  <c r="C62" i="7"/>
  <c r="B62" i="7"/>
  <c r="A62" i="7"/>
  <c r="R61" i="7"/>
  <c r="Q61" i="7"/>
  <c r="P61" i="7"/>
  <c r="M61" i="7"/>
  <c r="G61" i="7"/>
  <c r="F61" i="7"/>
  <c r="C61" i="7"/>
  <c r="B61" i="7"/>
  <c r="A61" i="7"/>
  <c r="R60" i="7"/>
  <c r="Q60" i="7"/>
  <c r="P60" i="7"/>
  <c r="M60" i="7"/>
  <c r="G60" i="7"/>
  <c r="F60" i="7"/>
  <c r="B60" i="7"/>
  <c r="C60" i="7" s="1"/>
  <c r="A60" i="7"/>
  <c r="R59" i="7"/>
  <c r="Q59" i="7"/>
  <c r="P59" i="7"/>
  <c r="M59" i="7"/>
  <c r="G59" i="7"/>
  <c r="F59" i="7"/>
  <c r="C59" i="7"/>
  <c r="B59" i="7"/>
  <c r="A59" i="7"/>
  <c r="R58" i="7"/>
  <c r="Q58" i="7"/>
  <c r="P58" i="7"/>
  <c r="M58" i="7"/>
  <c r="G58" i="7"/>
  <c r="F58" i="7"/>
  <c r="C58" i="7"/>
  <c r="B58" i="7"/>
  <c r="A58" i="7"/>
  <c r="R57" i="7"/>
  <c r="Q57" i="7"/>
  <c r="P57" i="7"/>
  <c r="M57" i="7"/>
  <c r="G57" i="7"/>
  <c r="F57" i="7"/>
  <c r="C57" i="7"/>
  <c r="B57" i="7"/>
  <c r="A57" i="7"/>
  <c r="R56" i="7"/>
  <c r="Q56" i="7"/>
  <c r="P56" i="7"/>
  <c r="M56" i="7"/>
  <c r="G56" i="7"/>
  <c r="F56" i="7"/>
  <c r="B56" i="7"/>
  <c r="C56" i="7" s="1"/>
  <c r="A56" i="7"/>
  <c r="R55" i="7"/>
  <c r="Q55" i="7"/>
  <c r="P55" i="7"/>
  <c r="M55" i="7"/>
  <c r="G55" i="7"/>
  <c r="F55" i="7"/>
  <c r="C55" i="7"/>
  <c r="B55" i="7"/>
  <c r="A55" i="7"/>
  <c r="R54" i="7"/>
  <c r="Q54" i="7"/>
  <c r="P54" i="7"/>
  <c r="M54" i="7"/>
  <c r="G54" i="7"/>
  <c r="F54" i="7"/>
  <c r="C54" i="7"/>
  <c r="B54" i="7"/>
  <c r="A54" i="7"/>
  <c r="R53" i="7"/>
  <c r="Q53" i="7"/>
  <c r="P53" i="7"/>
  <c r="M53" i="7"/>
  <c r="G53" i="7"/>
  <c r="F53" i="7"/>
  <c r="C53" i="7"/>
  <c r="B53" i="7"/>
  <c r="A53" i="7"/>
  <c r="R52" i="7"/>
  <c r="Q52" i="7"/>
  <c r="P52" i="7"/>
  <c r="M52" i="7"/>
  <c r="G52" i="7"/>
  <c r="F52" i="7"/>
  <c r="B52" i="7"/>
  <c r="C52" i="7" s="1"/>
  <c r="A52" i="7"/>
  <c r="R51" i="7"/>
  <c r="Q51" i="7"/>
  <c r="P51" i="7"/>
  <c r="M51" i="7"/>
  <c r="G51" i="7"/>
  <c r="F51" i="7"/>
  <c r="C51" i="7"/>
  <c r="B51" i="7"/>
  <c r="A51" i="7"/>
  <c r="R50" i="7"/>
  <c r="Q50" i="7"/>
  <c r="P50" i="7"/>
  <c r="M50" i="7"/>
  <c r="G50" i="7"/>
  <c r="F50" i="7"/>
  <c r="C50" i="7"/>
  <c r="B50" i="7"/>
  <c r="A50" i="7"/>
  <c r="R49" i="7"/>
  <c r="Q49" i="7"/>
  <c r="P49" i="7"/>
  <c r="M49" i="7"/>
  <c r="G49" i="7"/>
  <c r="F49" i="7"/>
  <c r="C49" i="7"/>
  <c r="B49" i="7"/>
  <c r="A49" i="7"/>
  <c r="R48" i="7"/>
  <c r="Q48" i="7"/>
  <c r="P48" i="7"/>
  <c r="M48" i="7"/>
  <c r="G48" i="7"/>
  <c r="F48" i="7"/>
  <c r="B48" i="7"/>
  <c r="C48" i="7" s="1"/>
  <c r="A48" i="7"/>
  <c r="R47" i="7"/>
  <c r="Q47" i="7"/>
  <c r="P47" i="7"/>
  <c r="M47" i="7"/>
  <c r="G47" i="7"/>
  <c r="F47" i="7"/>
  <c r="C47" i="7"/>
  <c r="B47" i="7"/>
  <c r="A47" i="7"/>
  <c r="R46" i="7"/>
  <c r="Q46" i="7"/>
  <c r="P46" i="7"/>
  <c r="M46" i="7"/>
  <c r="G46" i="7"/>
  <c r="F46" i="7"/>
  <c r="C46" i="7"/>
  <c r="B46" i="7"/>
  <c r="A46" i="7"/>
  <c r="R45" i="7"/>
  <c r="Q45" i="7"/>
  <c r="P45" i="7"/>
  <c r="M45" i="7"/>
  <c r="C45" i="7"/>
  <c r="B45" i="7"/>
  <c r="A45" i="7"/>
  <c r="R44" i="7"/>
  <c r="Q44" i="7"/>
  <c r="P44" i="7"/>
  <c r="M44" i="7"/>
  <c r="C44" i="7"/>
  <c r="B44" i="7"/>
  <c r="A44" i="7"/>
  <c r="R43" i="7"/>
  <c r="Q43" i="7"/>
  <c r="P43" i="7"/>
  <c r="M43" i="7"/>
  <c r="C43" i="7"/>
  <c r="B43" i="7"/>
  <c r="A43" i="7"/>
  <c r="R42" i="7"/>
  <c r="Q42" i="7"/>
  <c r="P42" i="7"/>
  <c r="M42" i="7"/>
  <c r="C42" i="7"/>
  <c r="B42" i="7"/>
  <c r="A42" i="7"/>
  <c r="R41" i="7"/>
  <c r="Q41" i="7"/>
  <c r="P41" i="7"/>
  <c r="M41" i="7"/>
  <c r="C41" i="7"/>
  <c r="B41" i="7"/>
  <c r="A41" i="7"/>
  <c r="R40" i="7"/>
  <c r="Q40" i="7"/>
  <c r="P40" i="7"/>
  <c r="M40" i="7"/>
  <c r="C40" i="7"/>
  <c r="B40" i="7"/>
  <c r="A40" i="7"/>
  <c r="R39" i="7"/>
  <c r="Q39" i="7"/>
  <c r="P39" i="7"/>
  <c r="M39" i="7"/>
  <c r="C39" i="7"/>
  <c r="B39" i="7"/>
  <c r="A39" i="7"/>
  <c r="R38" i="7"/>
  <c r="Q38" i="7"/>
  <c r="P38" i="7"/>
  <c r="M38" i="7"/>
  <c r="C38" i="7"/>
  <c r="B38" i="7"/>
  <c r="A38" i="7"/>
  <c r="R37" i="7"/>
  <c r="Q37" i="7"/>
  <c r="P37" i="7"/>
  <c r="M37" i="7"/>
  <c r="C37" i="7"/>
  <c r="B37" i="7"/>
  <c r="A37" i="7"/>
  <c r="R36" i="7"/>
  <c r="Q36" i="7"/>
  <c r="P36" i="7"/>
  <c r="M36" i="7"/>
  <c r="C36" i="7"/>
  <c r="B36" i="7"/>
  <c r="A36" i="7"/>
  <c r="R35" i="7"/>
  <c r="Q35" i="7"/>
  <c r="P35" i="7"/>
  <c r="M35" i="7"/>
  <c r="C35" i="7"/>
  <c r="B35" i="7"/>
  <c r="A35" i="7"/>
  <c r="R34" i="7"/>
  <c r="Q34" i="7"/>
  <c r="P34" i="7"/>
  <c r="M34" i="7"/>
  <c r="C34" i="7"/>
  <c r="B34" i="7"/>
  <c r="A34" i="7"/>
  <c r="R33" i="7"/>
  <c r="Q33" i="7"/>
  <c r="P33" i="7"/>
  <c r="M33" i="7"/>
  <c r="C33" i="7"/>
  <c r="B33" i="7"/>
  <c r="A33" i="7"/>
  <c r="R32" i="7"/>
  <c r="Q32" i="7"/>
  <c r="P32" i="7"/>
  <c r="M32" i="7"/>
  <c r="C32" i="7"/>
  <c r="B32" i="7"/>
  <c r="A32" i="7"/>
  <c r="R31" i="7"/>
  <c r="Q31" i="7"/>
  <c r="P31" i="7"/>
  <c r="M31" i="7"/>
  <c r="G31" i="7"/>
  <c r="F31" i="7"/>
  <c r="C31" i="7"/>
  <c r="B31" i="7"/>
  <c r="A31" i="7"/>
  <c r="R30" i="7"/>
  <c r="Q30" i="7"/>
  <c r="P30" i="7"/>
  <c r="M30" i="7"/>
  <c r="G30" i="7"/>
  <c r="F30" i="7"/>
  <c r="B30" i="7"/>
  <c r="C30" i="7" s="1"/>
  <c r="A30" i="7"/>
  <c r="R29" i="7"/>
  <c r="Q29" i="7"/>
  <c r="P29" i="7"/>
  <c r="M29" i="7"/>
  <c r="G29" i="7"/>
  <c r="F29" i="7"/>
  <c r="C29" i="7"/>
  <c r="B29" i="7"/>
  <c r="A29" i="7"/>
  <c r="R28" i="7"/>
  <c r="Q28" i="7"/>
  <c r="P28" i="7"/>
  <c r="M28" i="7"/>
  <c r="C28" i="7"/>
  <c r="B28" i="7"/>
  <c r="A28" i="7"/>
  <c r="R27" i="7"/>
  <c r="Q27" i="7"/>
  <c r="P27" i="7"/>
  <c r="M27" i="7"/>
  <c r="C27" i="7"/>
  <c r="B27" i="7"/>
  <c r="A27" i="7"/>
  <c r="R26" i="7"/>
  <c r="Q26" i="7"/>
  <c r="P26" i="7"/>
  <c r="M26" i="7"/>
  <c r="C26" i="7"/>
  <c r="B26" i="7"/>
  <c r="A26" i="7"/>
  <c r="R25" i="7"/>
  <c r="Q25" i="7"/>
  <c r="P25" i="7"/>
  <c r="M25" i="7"/>
  <c r="G25" i="7"/>
  <c r="F25" i="7"/>
  <c r="C25" i="7"/>
  <c r="B25" i="7"/>
  <c r="A25" i="7"/>
  <c r="R24" i="7"/>
  <c r="Q24" i="7"/>
  <c r="P24" i="7"/>
  <c r="M24" i="7"/>
  <c r="G24" i="7"/>
  <c r="F24" i="7"/>
  <c r="C24" i="7"/>
  <c r="B24" i="7"/>
  <c r="A24" i="7"/>
  <c r="R23" i="7"/>
  <c r="Q23" i="7"/>
  <c r="P23" i="7"/>
  <c r="M23" i="7"/>
  <c r="G23" i="7"/>
  <c r="F23" i="7"/>
  <c r="B23" i="7"/>
  <c r="C23" i="7" s="1"/>
  <c r="A23" i="7"/>
  <c r="R22" i="7"/>
  <c r="Q22" i="7"/>
  <c r="P22" i="7"/>
  <c r="M22" i="7"/>
  <c r="G22" i="7"/>
  <c r="F22" i="7"/>
  <c r="C22" i="7"/>
  <c r="B22" i="7"/>
  <c r="A22" i="7"/>
  <c r="R21" i="7"/>
  <c r="Q21" i="7"/>
  <c r="P21" i="7"/>
  <c r="M21" i="7"/>
  <c r="G21" i="7"/>
  <c r="F21" i="7"/>
  <c r="C21" i="7"/>
  <c r="B21" i="7"/>
  <c r="A21" i="7"/>
  <c r="R20" i="7"/>
  <c r="Q20" i="7"/>
  <c r="P20" i="7"/>
  <c r="M20" i="7"/>
  <c r="G20" i="7"/>
  <c r="F20" i="7"/>
  <c r="C20" i="7"/>
  <c r="B20" i="7"/>
  <c r="A20" i="7"/>
  <c r="R19" i="7"/>
  <c r="Q19" i="7"/>
  <c r="P19" i="7"/>
  <c r="M19" i="7"/>
  <c r="G19" i="7"/>
  <c r="F19" i="7"/>
  <c r="B19" i="7"/>
  <c r="C19" i="7" s="1"/>
  <c r="A19" i="7"/>
  <c r="R18" i="7"/>
  <c r="Q18" i="7"/>
  <c r="P18" i="7"/>
  <c r="M18" i="7"/>
  <c r="G18" i="7"/>
  <c r="F18" i="7"/>
  <c r="C18" i="7"/>
  <c r="B18" i="7"/>
  <c r="A18" i="7"/>
  <c r="R17" i="7"/>
  <c r="Q17" i="7"/>
  <c r="P17" i="7"/>
  <c r="M17" i="7"/>
  <c r="G17" i="7"/>
  <c r="F17" i="7"/>
  <c r="C17" i="7"/>
  <c r="B17" i="7"/>
  <c r="A17" i="7"/>
  <c r="R16" i="7"/>
  <c r="Q16" i="7"/>
  <c r="P16" i="7"/>
  <c r="M16" i="7"/>
  <c r="G16" i="7"/>
  <c r="F16" i="7"/>
  <c r="C16" i="7"/>
  <c r="B16" i="7"/>
  <c r="A16" i="7"/>
  <c r="R15" i="7"/>
  <c r="Q15" i="7"/>
  <c r="P15" i="7"/>
  <c r="M15" i="7"/>
  <c r="G15" i="7"/>
  <c r="F15" i="7"/>
  <c r="B15" i="7"/>
  <c r="C15" i="7" s="1"/>
  <c r="A15" i="7"/>
  <c r="R14" i="7"/>
  <c r="Q14" i="7"/>
  <c r="P14" i="7"/>
  <c r="M14" i="7"/>
  <c r="G14" i="7"/>
  <c r="F14" i="7"/>
  <c r="C14" i="7"/>
  <c r="B14" i="7"/>
  <c r="A14" i="7"/>
  <c r="R13" i="7"/>
  <c r="Q13" i="7"/>
  <c r="P13" i="7"/>
  <c r="M13" i="7"/>
  <c r="G13" i="7"/>
  <c r="F13" i="7"/>
  <c r="C13" i="7"/>
  <c r="B13" i="7"/>
  <c r="N13" i="7" s="1"/>
  <c r="N14" i="7" s="1"/>
  <c r="N15" i="7" s="1"/>
  <c r="N16" i="7" s="1"/>
  <c r="A13" i="7"/>
  <c r="R12" i="7"/>
  <c r="Q12" i="7"/>
  <c r="P12" i="7"/>
  <c r="M12" i="7"/>
  <c r="G12" i="7"/>
  <c r="F12" i="7"/>
  <c r="C12" i="7"/>
  <c r="B12" i="7"/>
  <c r="A12" i="7"/>
  <c r="R11" i="7"/>
  <c r="Q11" i="7"/>
  <c r="P11" i="7"/>
  <c r="M11" i="7"/>
  <c r="G11" i="7"/>
  <c r="F11" i="7"/>
  <c r="B11" i="7"/>
  <c r="C11" i="7" s="1"/>
  <c r="A11" i="7"/>
  <c r="R10" i="7"/>
  <c r="Q10" i="7"/>
  <c r="P10" i="7"/>
  <c r="M10" i="7"/>
  <c r="G10" i="7"/>
  <c r="F10" i="7"/>
  <c r="C10" i="7"/>
  <c r="B10" i="7"/>
  <c r="A10" i="7"/>
  <c r="R9" i="7"/>
  <c r="Q9" i="7"/>
  <c r="P9" i="7"/>
  <c r="M9" i="7"/>
  <c r="G9" i="7"/>
  <c r="F9" i="7"/>
  <c r="C9" i="7"/>
  <c r="B9" i="7"/>
  <c r="N9" i="7" s="1"/>
  <c r="N10" i="7" s="1"/>
  <c r="N11" i="7" s="1"/>
  <c r="N12" i="7" s="1"/>
  <c r="A9" i="7"/>
  <c r="R8" i="7"/>
  <c r="Q8" i="7"/>
  <c r="P8" i="7"/>
  <c r="M8" i="7"/>
  <c r="G8" i="7"/>
  <c r="F8" i="7"/>
  <c r="C8" i="7"/>
  <c r="B8" i="7"/>
  <c r="A8" i="7"/>
  <c r="R7" i="7"/>
  <c r="Q7" i="7"/>
  <c r="P7" i="7"/>
  <c r="M7" i="7"/>
  <c r="G7" i="7"/>
  <c r="F7" i="7"/>
  <c r="B7" i="7"/>
  <c r="C7" i="7" s="1"/>
  <c r="A7" i="7"/>
  <c r="R6" i="7"/>
  <c r="Q6" i="7"/>
  <c r="P6" i="7"/>
  <c r="M6" i="7"/>
  <c r="G6" i="7"/>
  <c r="F6" i="7"/>
  <c r="C6" i="7"/>
  <c r="B6" i="7"/>
  <c r="A6" i="7"/>
  <c r="R5" i="7"/>
  <c r="Q5" i="7"/>
  <c r="P5" i="7"/>
  <c r="M5" i="7"/>
  <c r="G5" i="7"/>
  <c r="F5" i="7"/>
  <c r="C5" i="7"/>
  <c r="B5" i="7"/>
  <c r="N5" i="7" s="1"/>
  <c r="N6" i="7" s="1"/>
  <c r="N7" i="7" s="1"/>
  <c r="N8" i="7" s="1"/>
  <c r="A5" i="7"/>
  <c r="R4" i="7"/>
  <c r="Q4" i="7"/>
  <c r="P4" i="7"/>
  <c r="N4" i="7"/>
  <c r="M4" i="7"/>
  <c r="G4" i="7"/>
  <c r="F4" i="7"/>
  <c r="C4" i="7"/>
  <c r="B4" i="7"/>
  <c r="A4" i="7"/>
  <c r="R3" i="7"/>
  <c r="Q3" i="7"/>
  <c r="P3" i="7"/>
  <c r="N3" i="7"/>
  <c r="M3" i="7"/>
  <c r="G3" i="7"/>
  <c r="F3" i="7"/>
  <c r="B3" i="7"/>
  <c r="C3" i="7" s="1"/>
  <c r="A3" i="7"/>
  <c r="R2" i="7"/>
  <c r="Q2" i="7"/>
  <c r="P2" i="7"/>
  <c r="N2" i="7"/>
  <c r="M2" i="7"/>
  <c r="G2" i="7"/>
  <c r="F2" i="7"/>
  <c r="C2" i="7"/>
  <c r="B2" i="7"/>
  <c r="A2" i="7"/>
  <c r="N3" i="2"/>
  <c r="N4" i="2" s="1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/>
  <c r="N100" i="2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N492" i="2" s="1"/>
  <c r="N493" i="2" s="1"/>
  <c r="N494" i="2" s="1"/>
  <c r="N495" i="2" s="1"/>
  <c r="N496" i="2" s="1"/>
  <c r="N497" i="2" s="1"/>
  <c r="N498" i="2" s="1"/>
  <c r="N499" i="2" s="1"/>
  <c r="N2" i="2"/>
  <c r="R6" i="2"/>
  <c r="Q6" i="2"/>
  <c r="P6" i="2"/>
  <c r="M6" i="2"/>
  <c r="G6" i="2"/>
  <c r="F6" i="2"/>
  <c r="B6" i="2"/>
  <c r="A6" i="2"/>
  <c r="R5" i="2"/>
  <c r="Q5" i="2"/>
  <c r="P5" i="2"/>
  <c r="M5" i="2"/>
  <c r="G5" i="2"/>
  <c r="F5" i="2"/>
  <c r="B5" i="2"/>
  <c r="C5" i="2" s="1"/>
  <c r="A5" i="2"/>
  <c r="R4" i="2"/>
  <c r="Q4" i="2"/>
  <c r="P4" i="2"/>
  <c r="M4" i="2"/>
  <c r="G4" i="2"/>
  <c r="F4" i="2"/>
  <c r="B4" i="2"/>
  <c r="A4" i="2"/>
  <c r="R3" i="2"/>
  <c r="Q3" i="2"/>
  <c r="P3" i="2"/>
  <c r="M3" i="2"/>
  <c r="G3" i="2"/>
  <c r="F3" i="2"/>
  <c r="C3" i="2"/>
  <c r="B3" i="2"/>
  <c r="A3" i="2"/>
  <c r="R2" i="2"/>
  <c r="Q2" i="2"/>
  <c r="P2" i="2"/>
  <c r="M2" i="2"/>
  <c r="G2" i="2"/>
  <c r="F2" i="2"/>
  <c r="C2" i="2"/>
  <c r="B2" i="2"/>
  <c r="A2" i="2"/>
  <c r="G93" i="2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J126" i="6"/>
  <c r="A126" i="6"/>
  <c r="J125" i="6"/>
  <c r="A125" i="6"/>
  <c r="A124" i="6"/>
  <c r="J124" i="6" s="1"/>
  <c r="A123" i="6"/>
  <c r="J123" i="6" s="1"/>
  <c r="J122" i="6"/>
  <c r="A122" i="6"/>
  <c r="J121" i="6"/>
  <c r="A121" i="6"/>
  <c r="J120" i="6"/>
  <c r="A120" i="6"/>
  <c r="A119" i="6"/>
  <c r="J119" i="6" s="1"/>
  <c r="J118" i="6"/>
  <c r="A118" i="6"/>
  <c r="J117" i="6"/>
  <c r="A117" i="6"/>
  <c r="J116" i="6"/>
  <c r="A116" i="6"/>
  <c r="A115" i="6"/>
  <c r="J115" i="6" s="1"/>
  <c r="J114" i="6"/>
  <c r="A114" i="6"/>
  <c r="J113" i="6"/>
  <c r="A113" i="6"/>
  <c r="J112" i="6"/>
  <c r="A112" i="6"/>
  <c r="A111" i="6"/>
  <c r="J111" i="6" s="1"/>
  <c r="J110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2" i="6"/>
  <c r="A71" i="6"/>
  <c r="A70" i="6"/>
  <c r="A69" i="6"/>
  <c r="A68" i="6"/>
  <c r="A67" i="6"/>
  <c r="A66" i="6"/>
  <c r="A65" i="6"/>
  <c r="A64" i="6"/>
  <c r="A59" i="6"/>
  <c r="A58" i="6"/>
  <c r="A57" i="6"/>
  <c r="A56" i="6"/>
  <c r="A54" i="6"/>
  <c r="A53" i="6"/>
  <c r="A52" i="6"/>
  <c r="A49" i="6"/>
  <c r="A48" i="6"/>
  <c r="A47" i="6"/>
  <c r="A44" i="6"/>
  <c r="A43" i="6"/>
  <c r="A40" i="6"/>
  <c r="A39" i="6"/>
  <c r="A37" i="6"/>
  <c r="A33" i="6"/>
  <c r="A32" i="6"/>
  <c r="A28" i="6"/>
  <c r="A27" i="6"/>
  <c r="A26" i="6"/>
  <c r="A25" i="6"/>
  <c r="A24" i="6"/>
  <c r="A23" i="6"/>
  <c r="A22" i="6"/>
  <c r="A19" i="6"/>
  <c r="A18" i="6"/>
  <c r="A17" i="6"/>
  <c r="A16" i="6"/>
  <c r="A15" i="6"/>
  <c r="A13" i="6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R499" i="2"/>
  <c r="Q499" i="2"/>
  <c r="P499" i="2"/>
  <c r="M499" i="2"/>
  <c r="G499" i="2"/>
  <c r="F499" i="2"/>
  <c r="B499" i="2"/>
  <c r="A499" i="2"/>
  <c r="R498" i="2"/>
  <c r="Q498" i="2"/>
  <c r="P498" i="2"/>
  <c r="M498" i="2"/>
  <c r="G498" i="2"/>
  <c r="F498" i="2"/>
  <c r="B498" i="2"/>
  <c r="A498" i="2"/>
  <c r="R497" i="2"/>
  <c r="Q497" i="2"/>
  <c r="P497" i="2"/>
  <c r="M497" i="2"/>
  <c r="G497" i="2"/>
  <c r="F497" i="2"/>
  <c r="B497" i="2"/>
  <c r="A497" i="2"/>
  <c r="R496" i="2"/>
  <c r="Q496" i="2"/>
  <c r="P496" i="2"/>
  <c r="M496" i="2"/>
  <c r="G496" i="2"/>
  <c r="F496" i="2"/>
  <c r="B496" i="2"/>
  <c r="A496" i="2"/>
  <c r="R495" i="2"/>
  <c r="Q495" i="2"/>
  <c r="P495" i="2"/>
  <c r="M495" i="2"/>
  <c r="G495" i="2"/>
  <c r="F495" i="2"/>
  <c r="B495" i="2"/>
  <c r="A495" i="2"/>
  <c r="R494" i="2"/>
  <c r="Q494" i="2"/>
  <c r="P494" i="2"/>
  <c r="M494" i="2"/>
  <c r="G494" i="2"/>
  <c r="F494" i="2"/>
  <c r="B494" i="2"/>
  <c r="A494" i="2"/>
  <c r="R493" i="2"/>
  <c r="Q493" i="2"/>
  <c r="P493" i="2"/>
  <c r="M493" i="2"/>
  <c r="G493" i="2"/>
  <c r="F493" i="2"/>
  <c r="B493" i="2"/>
  <c r="A493" i="2"/>
  <c r="R492" i="2"/>
  <c r="Q492" i="2"/>
  <c r="P492" i="2"/>
  <c r="M492" i="2"/>
  <c r="G492" i="2"/>
  <c r="F492" i="2"/>
  <c r="B492" i="2"/>
  <c r="A492" i="2"/>
  <c r="R491" i="2"/>
  <c r="Q491" i="2"/>
  <c r="P491" i="2"/>
  <c r="M491" i="2"/>
  <c r="G491" i="2"/>
  <c r="F491" i="2"/>
  <c r="B491" i="2"/>
  <c r="A491" i="2"/>
  <c r="R490" i="2"/>
  <c r="Q490" i="2"/>
  <c r="P490" i="2"/>
  <c r="M490" i="2"/>
  <c r="G490" i="2"/>
  <c r="F490" i="2"/>
  <c r="B490" i="2"/>
  <c r="A490" i="2"/>
  <c r="R489" i="2"/>
  <c r="Q489" i="2"/>
  <c r="P489" i="2"/>
  <c r="M489" i="2"/>
  <c r="G489" i="2"/>
  <c r="F489" i="2"/>
  <c r="B489" i="2"/>
  <c r="A489" i="2"/>
  <c r="R488" i="2"/>
  <c r="Q488" i="2"/>
  <c r="P488" i="2"/>
  <c r="M488" i="2"/>
  <c r="G488" i="2"/>
  <c r="F488" i="2"/>
  <c r="B488" i="2"/>
  <c r="A488" i="2"/>
  <c r="R487" i="2"/>
  <c r="Q487" i="2"/>
  <c r="P487" i="2"/>
  <c r="M487" i="2"/>
  <c r="G487" i="2"/>
  <c r="F487" i="2"/>
  <c r="B487" i="2"/>
  <c r="A487" i="2"/>
  <c r="R486" i="2"/>
  <c r="Q486" i="2"/>
  <c r="P486" i="2"/>
  <c r="M486" i="2"/>
  <c r="G486" i="2"/>
  <c r="F486" i="2"/>
  <c r="B486" i="2"/>
  <c r="A486" i="2"/>
  <c r="R485" i="2"/>
  <c r="Q485" i="2"/>
  <c r="P485" i="2"/>
  <c r="M485" i="2"/>
  <c r="G485" i="2"/>
  <c r="F485" i="2"/>
  <c r="B485" i="2"/>
  <c r="A485" i="2"/>
  <c r="R484" i="2"/>
  <c r="Q484" i="2"/>
  <c r="P484" i="2"/>
  <c r="M484" i="2"/>
  <c r="G484" i="2"/>
  <c r="F484" i="2"/>
  <c r="B484" i="2"/>
  <c r="A484" i="2"/>
  <c r="R483" i="2"/>
  <c r="Q483" i="2"/>
  <c r="P483" i="2"/>
  <c r="M483" i="2"/>
  <c r="G483" i="2"/>
  <c r="F483" i="2"/>
  <c r="B483" i="2"/>
  <c r="A483" i="2"/>
  <c r="R482" i="2"/>
  <c r="Q482" i="2"/>
  <c r="P482" i="2"/>
  <c r="M482" i="2"/>
  <c r="G482" i="2"/>
  <c r="F482" i="2"/>
  <c r="B482" i="2"/>
  <c r="A482" i="2"/>
  <c r="R481" i="2"/>
  <c r="Q481" i="2"/>
  <c r="P481" i="2"/>
  <c r="M481" i="2"/>
  <c r="G481" i="2"/>
  <c r="F481" i="2"/>
  <c r="B481" i="2"/>
  <c r="A481" i="2"/>
  <c r="R480" i="2"/>
  <c r="Q480" i="2"/>
  <c r="P480" i="2"/>
  <c r="M480" i="2"/>
  <c r="G480" i="2"/>
  <c r="F480" i="2"/>
  <c r="B480" i="2"/>
  <c r="A480" i="2"/>
  <c r="R479" i="2"/>
  <c r="Q479" i="2"/>
  <c r="P479" i="2"/>
  <c r="M479" i="2"/>
  <c r="G479" i="2"/>
  <c r="F479" i="2"/>
  <c r="B479" i="2"/>
  <c r="A479" i="2"/>
  <c r="R478" i="2"/>
  <c r="Q478" i="2"/>
  <c r="P478" i="2"/>
  <c r="M478" i="2"/>
  <c r="G478" i="2"/>
  <c r="F478" i="2"/>
  <c r="B478" i="2"/>
  <c r="A478" i="2"/>
  <c r="R477" i="2"/>
  <c r="Q477" i="2"/>
  <c r="P477" i="2"/>
  <c r="M477" i="2"/>
  <c r="G477" i="2"/>
  <c r="F477" i="2"/>
  <c r="B477" i="2"/>
  <c r="A477" i="2"/>
  <c r="R476" i="2"/>
  <c r="Q476" i="2"/>
  <c r="P476" i="2"/>
  <c r="M476" i="2"/>
  <c r="G476" i="2"/>
  <c r="F476" i="2"/>
  <c r="B476" i="2"/>
  <c r="A476" i="2"/>
  <c r="R475" i="2"/>
  <c r="Q475" i="2"/>
  <c r="P475" i="2"/>
  <c r="M475" i="2"/>
  <c r="G475" i="2"/>
  <c r="F475" i="2"/>
  <c r="B475" i="2"/>
  <c r="A475" i="2"/>
  <c r="R474" i="2"/>
  <c r="Q474" i="2"/>
  <c r="P474" i="2"/>
  <c r="M474" i="2"/>
  <c r="G474" i="2"/>
  <c r="F474" i="2"/>
  <c r="B474" i="2"/>
  <c r="A474" i="2"/>
  <c r="R473" i="2"/>
  <c r="Q473" i="2"/>
  <c r="P473" i="2"/>
  <c r="M473" i="2"/>
  <c r="G473" i="2"/>
  <c r="F473" i="2"/>
  <c r="B473" i="2"/>
  <c r="A473" i="2"/>
  <c r="R472" i="2"/>
  <c r="Q472" i="2"/>
  <c r="P472" i="2"/>
  <c r="M472" i="2"/>
  <c r="G472" i="2"/>
  <c r="F472" i="2"/>
  <c r="B472" i="2"/>
  <c r="A472" i="2"/>
  <c r="R471" i="2"/>
  <c r="Q471" i="2"/>
  <c r="P471" i="2"/>
  <c r="M471" i="2"/>
  <c r="G471" i="2"/>
  <c r="F471" i="2"/>
  <c r="B471" i="2"/>
  <c r="A471" i="2"/>
  <c r="R470" i="2"/>
  <c r="Q470" i="2"/>
  <c r="P470" i="2"/>
  <c r="M470" i="2"/>
  <c r="G470" i="2"/>
  <c r="F470" i="2"/>
  <c r="B470" i="2"/>
  <c r="A470" i="2"/>
  <c r="R469" i="2"/>
  <c r="Q469" i="2"/>
  <c r="P469" i="2"/>
  <c r="M469" i="2"/>
  <c r="G469" i="2"/>
  <c r="F469" i="2"/>
  <c r="B469" i="2"/>
  <c r="A469" i="2"/>
  <c r="R468" i="2"/>
  <c r="Q468" i="2"/>
  <c r="P468" i="2"/>
  <c r="M468" i="2"/>
  <c r="G468" i="2"/>
  <c r="F468" i="2"/>
  <c r="B468" i="2"/>
  <c r="A468" i="2"/>
  <c r="R467" i="2"/>
  <c r="Q467" i="2"/>
  <c r="P467" i="2"/>
  <c r="M467" i="2"/>
  <c r="G467" i="2"/>
  <c r="F467" i="2"/>
  <c r="B467" i="2"/>
  <c r="A467" i="2"/>
  <c r="R466" i="2"/>
  <c r="Q466" i="2"/>
  <c r="P466" i="2"/>
  <c r="M466" i="2"/>
  <c r="G466" i="2"/>
  <c r="F466" i="2"/>
  <c r="B466" i="2"/>
  <c r="A466" i="2"/>
  <c r="R465" i="2"/>
  <c r="Q465" i="2"/>
  <c r="P465" i="2"/>
  <c r="M465" i="2"/>
  <c r="G465" i="2"/>
  <c r="F465" i="2"/>
  <c r="B465" i="2"/>
  <c r="A465" i="2"/>
  <c r="R464" i="2"/>
  <c r="Q464" i="2"/>
  <c r="P464" i="2"/>
  <c r="M464" i="2"/>
  <c r="G464" i="2"/>
  <c r="F464" i="2"/>
  <c r="B464" i="2"/>
  <c r="A464" i="2"/>
  <c r="R463" i="2"/>
  <c r="Q463" i="2"/>
  <c r="P463" i="2"/>
  <c r="M463" i="2"/>
  <c r="G463" i="2"/>
  <c r="F463" i="2"/>
  <c r="B463" i="2"/>
  <c r="A463" i="2"/>
  <c r="R462" i="2"/>
  <c r="Q462" i="2"/>
  <c r="P462" i="2"/>
  <c r="M462" i="2"/>
  <c r="G462" i="2"/>
  <c r="F462" i="2"/>
  <c r="B462" i="2"/>
  <c r="A462" i="2"/>
  <c r="R461" i="2"/>
  <c r="Q461" i="2"/>
  <c r="P461" i="2"/>
  <c r="M461" i="2"/>
  <c r="G461" i="2"/>
  <c r="F461" i="2"/>
  <c r="B461" i="2"/>
  <c r="A461" i="2"/>
  <c r="R460" i="2"/>
  <c r="Q460" i="2"/>
  <c r="P460" i="2"/>
  <c r="M460" i="2"/>
  <c r="G460" i="2"/>
  <c r="F460" i="2"/>
  <c r="B460" i="2"/>
  <c r="A460" i="2"/>
  <c r="R459" i="2"/>
  <c r="Q459" i="2"/>
  <c r="P459" i="2"/>
  <c r="M459" i="2"/>
  <c r="G459" i="2"/>
  <c r="F459" i="2"/>
  <c r="B459" i="2"/>
  <c r="A459" i="2"/>
  <c r="R458" i="2"/>
  <c r="Q458" i="2"/>
  <c r="P458" i="2"/>
  <c r="M458" i="2"/>
  <c r="G458" i="2"/>
  <c r="F458" i="2"/>
  <c r="B458" i="2"/>
  <c r="A458" i="2"/>
  <c r="R457" i="2"/>
  <c r="Q457" i="2"/>
  <c r="P457" i="2"/>
  <c r="M457" i="2"/>
  <c r="G457" i="2"/>
  <c r="F457" i="2"/>
  <c r="B457" i="2"/>
  <c r="A457" i="2"/>
  <c r="R456" i="2"/>
  <c r="Q456" i="2"/>
  <c r="P456" i="2"/>
  <c r="M456" i="2"/>
  <c r="G456" i="2"/>
  <c r="F456" i="2"/>
  <c r="B456" i="2"/>
  <c r="A456" i="2"/>
  <c r="R455" i="2"/>
  <c r="Q455" i="2"/>
  <c r="P455" i="2"/>
  <c r="M455" i="2"/>
  <c r="G455" i="2"/>
  <c r="F455" i="2"/>
  <c r="B455" i="2"/>
  <c r="A455" i="2"/>
  <c r="R454" i="2"/>
  <c r="Q454" i="2"/>
  <c r="P454" i="2"/>
  <c r="M454" i="2"/>
  <c r="G454" i="2"/>
  <c r="F454" i="2"/>
  <c r="B454" i="2"/>
  <c r="A454" i="2"/>
  <c r="R453" i="2"/>
  <c r="Q453" i="2"/>
  <c r="P453" i="2"/>
  <c r="M453" i="2"/>
  <c r="G453" i="2"/>
  <c r="F453" i="2"/>
  <c r="B453" i="2"/>
  <c r="A453" i="2"/>
  <c r="R452" i="2"/>
  <c r="Q452" i="2"/>
  <c r="P452" i="2"/>
  <c r="M452" i="2"/>
  <c r="G452" i="2"/>
  <c r="F452" i="2"/>
  <c r="B452" i="2"/>
  <c r="A452" i="2"/>
  <c r="R451" i="2"/>
  <c r="Q451" i="2"/>
  <c r="P451" i="2"/>
  <c r="M451" i="2"/>
  <c r="G451" i="2"/>
  <c r="F451" i="2"/>
  <c r="B451" i="2"/>
  <c r="A451" i="2"/>
  <c r="R450" i="2"/>
  <c r="Q450" i="2"/>
  <c r="P450" i="2"/>
  <c r="M450" i="2"/>
  <c r="G450" i="2"/>
  <c r="F450" i="2"/>
  <c r="B450" i="2"/>
  <c r="A450" i="2"/>
  <c r="R449" i="2"/>
  <c r="Q449" i="2"/>
  <c r="P449" i="2"/>
  <c r="M449" i="2"/>
  <c r="G449" i="2"/>
  <c r="F449" i="2"/>
  <c r="B449" i="2"/>
  <c r="A449" i="2"/>
  <c r="R448" i="2"/>
  <c r="Q448" i="2"/>
  <c r="P448" i="2"/>
  <c r="M448" i="2"/>
  <c r="G448" i="2"/>
  <c r="F448" i="2"/>
  <c r="B448" i="2"/>
  <c r="A448" i="2"/>
  <c r="R447" i="2"/>
  <c r="Q447" i="2"/>
  <c r="P447" i="2"/>
  <c r="M447" i="2"/>
  <c r="G447" i="2"/>
  <c r="F447" i="2"/>
  <c r="B447" i="2"/>
  <c r="A447" i="2"/>
  <c r="R446" i="2"/>
  <c r="Q446" i="2"/>
  <c r="P446" i="2"/>
  <c r="M446" i="2"/>
  <c r="G446" i="2"/>
  <c r="F446" i="2"/>
  <c r="B446" i="2"/>
  <c r="A446" i="2"/>
  <c r="R445" i="2"/>
  <c r="Q445" i="2"/>
  <c r="P445" i="2"/>
  <c r="M445" i="2"/>
  <c r="G445" i="2"/>
  <c r="F445" i="2"/>
  <c r="B445" i="2"/>
  <c r="A445" i="2"/>
  <c r="R444" i="2"/>
  <c r="Q444" i="2"/>
  <c r="P444" i="2"/>
  <c r="M444" i="2"/>
  <c r="G444" i="2"/>
  <c r="F444" i="2"/>
  <c r="B444" i="2"/>
  <c r="A444" i="2"/>
  <c r="R443" i="2"/>
  <c r="Q443" i="2"/>
  <c r="P443" i="2"/>
  <c r="M443" i="2"/>
  <c r="G443" i="2"/>
  <c r="F443" i="2"/>
  <c r="B443" i="2"/>
  <c r="A443" i="2"/>
  <c r="R442" i="2"/>
  <c r="Q442" i="2"/>
  <c r="P442" i="2"/>
  <c r="M442" i="2"/>
  <c r="G442" i="2"/>
  <c r="F442" i="2"/>
  <c r="B442" i="2"/>
  <c r="A442" i="2"/>
  <c r="R441" i="2"/>
  <c r="Q441" i="2"/>
  <c r="P441" i="2"/>
  <c r="M441" i="2"/>
  <c r="G441" i="2"/>
  <c r="F441" i="2"/>
  <c r="B441" i="2"/>
  <c r="A441" i="2"/>
  <c r="R440" i="2"/>
  <c r="Q440" i="2"/>
  <c r="P440" i="2"/>
  <c r="M440" i="2"/>
  <c r="G440" i="2"/>
  <c r="F440" i="2"/>
  <c r="B440" i="2"/>
  <c r="A440" i="2"/>
  <c r="R439" i="2"/>
  <c r="Q439" i="2"/>
  <c r="P439" i="2"/>
  <c r="M439" i="2"/>
  <c r="G439" i="2"/>
  <c r="F439" i="2"/>
  <c r="B439" i="2"/>
  <c r="A439" i="2"/>
  <c r="R438" i="2"/>
  <c r="Q438" i="2"/>
  <c r="P438" i="2"/>
  <c r="M438" i="2"/>
  <c r="G438" i="2"/>
  <c r="F438" i="2"/>
  <c r="B438" i="2"/>
  <c r="C438" i="2" s="1"/>
  <c r="A438" i="2"/>
  <c r="R437" i="2"/>
  <c r="Q437" i="2"/>
  <c r="P437" i="2"/>
  <c r="M437" i="2"/>
  <c r="G437" i="2"/>
  <c r="F437" i="2"/>
  <c r="B437" i="2"/>
  <c r="A437" i="2"/>
  <c r="R436" i="2"/>
  <c r="Q436" i="2"/>
  <c r="P436" i="2"/>
  <c r="M436" i="2"/>
  <c r="G436" i="2"/>
  <c r="F436" i="2"/>
  <c r="B436" i="2"/>
  <c r="A436" i="2"/>
  <c r="R435" i="2"/>
  <c r="Q435" i="2"/>
  <c r="P435" i="2"/>
  <c r="M435" i="2"/>
  <c r="G435" i="2"/>
  <c r="F435" i="2"/>
  <c r="B435" i="2"/>
  <c r="A435" i="2"/>
  <c r="R434" i="2"/>
  <c r="Q434" i="2"/>
  <c r="P434" i="2"/>
  <c r="M434" i="2"/>
  <c r="G434" i="2"/>
  <c r="F434" i="2"/>
  <c r="B434" i="2"/>
  <c r="A434" i="2"/>
  <c r="R433" i="2"/>
  <c r="Q433" i="2"/>
  <c r="P433" i="2"/>
  <c r="M433" i="2"/>
  <c r="G433" i="2"/>
  <c r="F433" i="2"/>
  <c r="B433" i="2"/>
  <c r="A433" i="2"/>
  <c r="R432" i="2"/>
  <c r="Q432" i="2"/>
  <c r="P432" i="2"/>
  <c r="M432" i="2"/>
  <c r="G432" i="2"/>
  <c r="F432" i="2"/>
  <c r="B432" i="2"/>
  <c r="A432" i="2"/>
  <c r="R431" i="2"/>
  <c r="Q431" i="2"/>
  <c r="P431" i="2"/>
  <c r="M431" i="2"/>
  <c r="G431" i="2"/>
  <c r="F431" i="2"/>
  <c r="B431" i="2"/>
  <c r="A431" i="2"/>
  <c r="R430" i="2"/>
  <c r="Q430" i="2"/>
  <c r="P430" i="2"/>
  <c r="M430" i="2"/>
  <c r="G430" i="2"/>
  <c r="F430" i="2"/>
  <c r="B430" i="2"/>
  <c r="A430" i="2"/>
  <c r="R429" i="2"/>
  <c r="Q429" i="2"/>
  <c r="P429" i="2"/>
  <c r="M429" i="2"/>
  <c r="G429" i="2"/>
  <c r="F429" i="2"/>
  <c r="B429" i="2"/>
  <c r="A429" i="2"/>
  <c r="R428" i="2"/>
  <c r="Q428" i="2"/>
  <c r="P428" i="2"/>
  <c r="M428" i="2"/>
  <c r="G428" i="2"/>
  <c r="F428" i="2"/>
  <c r="B428" i="2"/>
  <c r="A428" i="2"/>
  <c r="R427" i="2"/>
  <c r="Q427" i="2"/>
  <c r="P427" i="2"/>
  <c r="M427" i="2"/>
  <c r="G427" i="2"/>
  <c r="F427" i="2"/>
  <c r="B427" i="2"/>
  <c r="A427" i="2"/>
  <c r="R426" i="2"/>
  <c r="Q426" i="2"/>
  <c r="P426" i="2"/>
  <c r="M426" i="2"/>
  <c r="G426" i="2"/>
  <c r="F426" i="2"/>
  <c r="B426" i="2"/>
  <c r="A426" i="2"/>
  <c r="R425" i="2"/>
  <c r="Q425" i="2"/>
  <c r="P425" i="2"/>
  <c r="M425" i="2"/>
  <c r="G425" i="2"/>
  <c r="F425" i="2"/>
  <c r="B425" i="2"/>
  <c r="A425" i="2"/>
  <c r="R424" i="2"/>
  <c r="Q424" i="2"/>
  <c r="P424" i="2"/>
  <c r="M424" i="2"/>
  <c r="G424" i="2"/>
  <c r="F424" i="2"/>
  <c r="B424" i="2"/>
  <c r="A424" i="2"/>
  <c r="R423" i="2"/>
  <c r="Q423" i="2"/>
  <c r="P423" i="2"/>
  <c r="M423" i="2"/>
  <c r="G423" i="2"/>
  <c r="F423" i="2"/>
  <c r="B423" i="2"/>
  <c r="A423" i="2"/>
  <c r="R422" i="2"/>
  <c r="Q422" i="2"/>
  <c r="P422" i="2"/>
  <c r="M422" i="2"/>
  <c r="G422" i="2"/>
  <c r="F422" i="2"/>
  <c r="B422" i="2"/>
  <c r="C422" i="2" s="1"/>
  <c r="A422" i="2"/>
  <c r="R421" i="2"/>
  <c r="Q421" i="2"/>
  <c r="P421" i="2"/>
  <c r="M421" i="2"/>
  <c r="G421" i="2"/>
  <c r="F421" i="2"/>
  <c r="B421" i="2"/>
  <c r="A421" i="2"/>
  <c r="R420" i="2"/>
  <c r="Q420" i="2"/>
  <c r="P420" i="2"/>
  <c r="M420" i="2"/>
  <c r="G420" i="2"/>
  <c r="F420" i="2"/>
  <c r="B420" i="2"/>
  <c r="A420" i="2"/>
  <c r="R419" i="2"/>
  <c r="Q419" i="2"/>
  <c r="P419" i="2"/>
  <c r="M419" i="2"/>
  <c r="G419" i="2"/>
  <c r="F419" i="2"/>
  <c r="B419" i="2"/>
  <c r="A419" i="2"/>
  <c r="R418" i="2"/>
  <c r="Q418" i="2"/>
  <c r="P418" i="2"/>
  <c r="M418" i="2"/>
  <c r="G418" i="2"/>
  <c r="F418" i="2"/>
  <c r="B418" i="2"/>
  <c r="A418" i="2"/>
  <c r="R417" i="2"/>
  <c r="Q417" i="2"/>
  <c r="P417" i="2"/>
  <c r="M417" i="2"/>
  <c r="G417" i="2"/>
  <c r="F417" i="2"/>
  <c r="B417" i="2"/>
  <c r="A417" i="2"/>
  <c r="R416" i="2"/>
  <c r="Q416" i="2"/>
  <c r="P416" i="2"/>
  <c r="M416" i="2"/>
  <c r="G416" i="2"/>
  <c r="F416" i="2"/>
  <c r="B416" i="2"/>
  <c r="A416" i="2"/>
  <c r="R415" i="2"/>
  <c r="Q415" i="2"/>
  <c r="P415" i="2"/>
  <c r="M415" i="2"/>
  <c r="G415" i="2"/>
  <c r="F415" i="2"/>
  <c r="B415" i="2"/>
  <c r="A415" i="2"/>
  <c r="R414" i="2"/>
  <c r="Q414" i="2"/>
  <c r="P414" i="2"/>
  <c r="M414" i="2"/>
  <c r="G414" i="2"/>
  <c r="F414" i="2"/>
  <c r="B414" i="2"/>
  <c r="A414" i="2"/>
  <c r="R413" i="2"/>
  <c r="Q413" i="2"/>
  <c r="P413" i="2"/>
  <c r="M413" i="2"/>
  <c r="G413" i="2"/>
  <c r="F413" i="2"/>
  <c r="B413" i="2"/>
  <c r="A413" i="2"/>
  <c r="R412" i="2"/>
  <c r="Q412" i="2"/>
  <c r="P412" i="2"/>
  <c r="M412" i="2"/>
  <c r="G412" i="2"/>
  <c r="F412" i="2"/>
  <c r="B412" i="2"/>
  <c r="A412" i="2"/>
  <c r="R411" i="2"/>
  <c r="Q411" i="2"/>
  <c r="P411" i="2"/>
  <c r="M411" i="2"/>
  <c r="G411" i="2"/>
  <c r="F411" i="2"/>
  <c r="B411" i="2"/>
  <c r="A411" i="2"/>
  <c r="R410" i="2"/>
  <c r="Q410" i="2"/>
  <c r="P410" i="2"/>
  <c r="M410" i="2"/>
  <c r="G410" i="2"/>
  <c r="F410" i="2"/>
  <c r="B410" i="2"/>
  <c r="A410" i="2"/>
  <c r="R409" i="2"/>
  <c r="Q409" i="2"/>
  <c r="P409" i="2"/>
  <c r="M409" i="2"/>
  <c r="G409" i="2"/>
  <c r="F409" i="2"/>
  <c r="B409" i="2"/>
  <c r="A409" i="2"/>
  <c r="R408" i="2"/>
  <c r="Q408" i="2"/>
  <c r="P408" i="2"/>
  <c r="M408" i="2"/>
  <c r="G408" i="2"/>
  <c r="F408" i="2"/>
  <c r="B408" i="2"/>
  <c r="A408" i="2"/>
  <c r="R407" i="2"/>
  <c r="Q407" i="2"/>
  <c r="P407" i="2"/>
  <c r="M407" i="2"/>
  <c r="G407" i="2"/>
  <c r="F407" i="2"/>
  <c r="B407" i="2"/>
  <c r="A407" i="2"/>
  <c r="R406" i="2"/>
  <c r="Q406" i="2"/>
  <c r="P406" i="2"/>
  <c r="M406" i="2"/>
  <c r="G406" i="2"/>
  <c r="F406" i="2"/>
  <c r="B406" i="2"/>
  <c r="A406" i="2"/>
  <c r="R405" i="2"/>
  <c r="Q405" i="2"/>
  <c r="P405" i="2"/>
  <c r="M405" i="2"/>
  <c r="G405" i="2"/>
  <c r="F405" i="2"/>
  <c r="B405" i="2"/>
  <c r="A405" i="2"/>
  <c r="R404" i="2"/>
  <c r="Q404" i="2"/>
  <c r="P404" i="2"/>
  <c r="M404" i="2"/>
  <c r="G404" i="2"/>
  <c r="F404" i="2"/>
  <c r="B404" i="2"/>
  <c r="A404" i="2"/>
  <c r="R403" i="2"/>
  <c r="Q403" i="2"/>
  <c r="P403" i="2"/>
  <c r="M403" i="2"/>
  <c r="G403" i="2"/>
  <c r="F403" i="2"/>
  <c r="B403" i="2"/>
  <c r="A403" i="2"/>
  <c r="R402" i="2"/>
  <c r="Q402" i="2"/>
  <c r="P402" i="2"/>
  <c r="M402" i="2"/>
  <c r="G402" i="2"/>
  <c r="F402" i="2"/>
  <c r="B402" i="2"/>
  <c r="A402" i="2"/>
  <c r="R401" i="2"/>
  <c r="Q401" i="2"/>
  <c r="P401" i="2"/>
  <c r="M401" i="2"/>
  <c r="G401" i="2"/>
  <c r="F401" i="2"/>
  <c r="B401" i="2"/>
  <c r="A401" i="2"/>
  <c r="R400" i="2"/>
  <c r="Q400" i="2"/>
  <c r="P400" i="2"/>
  <c r="M400" i="2"/>
  <c r="G400" i="2"/>
  <c r="F400" i="2"/>
  <c r="B400" i="2"/>
  <c r="A400" i="2"/>
  <c r="R399" i="2"/>
  <c r="Q399" i="2"/>
  <c r="P399" i="2"/>
  <c r="M399" i="2"/>
  <c r="G399" i="2"/>
  <c r="F399" i="2"/>
  <c r="B399" i="2"/>
  <c r="A399" i="2"/>
  <c r="R398" i="2"/>
  <c r="Q398" i="2"/>
  <c r="P398" i="2"/>
  <c r="M398" i="2"/>
  <c r="G398" i="2"/>
  <c r="F398" i="2"/>
  <c r="B398" i="2"/>
  <c r="A398" i="2"/>
  <c r="R397" i="2"/>
  <c r="Q397" i="2"/>
  <c r="P397" i="2"/>
  <c r="M397" i="2"/>
  <c r="G397" i="2"/>
  <c r="F397" i="2"/>
  <c r="B397" i="2"/>
  <c r="A397" i="2"/>
  <c r="R396" i="2"/>
  <c r="Q396" i="2"/>
  <c r="P396" i="2"/>
  <c r="M396" i="2"/>
  <c r="G396" i="2"/>
  <c r="F396" i="2"/>
  <c r="B396" i="2"/>
  <c r="A396" i="2"/>
  <c r="R395" i="2"/>
  <c r="Q395" i="2"/>
  <c r="P395" i="2"/>
  <c r="M395" i="2"/>
  <c r="G395" i="2"/>
  <c r="F395" i="2"/>
  <c r="B395" i="2"/>
  <c r="A395" i="2"/>
  <c r="R394" i="2"/>
  <c r="Q394" i="2"/>
  <c r="P394" i="2"/>
  <c r="M394" i="2"/>
  <c r="G394" i="2"/>
  <c r="F394" i="2"/>
  <c r="B394" i="2"/>
  <c r="A394" i="2"/>
  <c r="R393" i="2"/>
  <c r="Q393" i="2"/>
  <c r="P393" i="2"/>
  <c r="M393" i="2"/>
  <c r="G393" i="2"/>
  <c r="F393" i="2"/>
  <c r="B393" i="2"/>
  <c r="A393" i="2"/>
  <c r="R392" i="2"/>
  <c r="Q392" i="2"/>
  <c r="P392" i="2"/>
  <c r="M392" i="2"/>
  <c r="G392" i="2"/>
  <c r="F392" i="2"/>
  <c r="B392" i="2"/>
  <c r="A392" i="2"/>
  <c r="R391" i="2"/>
  <c r="Q391" i="2"/>
  <c r="P391" i="2"/>
  <c r="M391" i="2"/>
  <c r="G391" i="2"/>
  <c r="F391" i="2"/>
  <c r="B391" i="2"/>
  <c r="A391" i="2"/>
  <c r="R390" i="2"/>
  <c r="Q390" i="2"/>
  <c r="P390" i="2"/>
  <c r="M390" i="2"/>
  <c r="G390" i="2"/>
  <c r="F390" i="2"/>
  <c r="B390" i="2"/>
  <c r="A390" i="2"/>
  <c r="R389" i="2"/>
  <c r="Q389" i="2"/>
  <c r="P389" i="2"/>
  <c r="M389" i="2"/>
  <c r="G389" i="2"/>
  <c r="F389" i="2"/>
  <c r="B389" i="2"/>
  <c r="C390" i="2" s="1"/>
  <c r="A389" i="2"/>
  <c r="R388" i="2"/>
  <c r="Q388" i="2"/>
  <c r="P388" i="2"/>
  <c r="M388" i="2"/>
  <c r="G388" i="2"/>
  <c r="F388" i="2"/>
  <c r="B388" i="2"/>
  <c r="A388" i="2"/>
  <c r="R387" i="2"/>
  <c r="Q387" i="2"/>
  <c r="P387" i="2"/>
  <c r="M387" i="2"/>
  <c r="G387" i="2"/>
  <c r="F387" i="2"/>
  <c r="B387" i="2"/>
  <c r="A387" i="2"/>
  <c r="R386" i="2"/>
  <c r="Q386" i="2"/>
  <c r="P386" i="2"/>
  <c r="M386" i="2"/>
  <c r="G386" i="2"/>
  <c r="F386" i="2"/>
  <c r="B386" i="2"/>
  <c r="A386" i="2"/>
  <c r="R385" i="2"/>
  <c r="Q385" i="2"/>
  <c r="P385" i="2"/>
  <c r="M385" i="2"/>
  <c r="G385" i="2"/>
  <c r="F385" i="2"/>
  <c r="B385" i="2"/>
  <c r="A385" i="2"/>
  <c r="R384" i="2"/>
  <c r="Q384" i="2"/>
  <c r="P384" i="2"/>
  <c r="M384" i="2"/>
  <c r="G384" i="2"/>
  <c r="F384" i="2"/>
  <c r="B384" i="2"/>
  <c r="A384" i="2"/>
  <c r="R383" i="2"/>
  <c r="Q383" i="2"/>
  <c r="P383" i="2"/>
  <c r="M383" i="2"/>
  <c r="G383" i="2"/>
  <c r="F383" i="2"/>
  <c r="B383" i="2"/>
  <c r="A383" i="2"/>
  <c r="R382" i="2"/>
  <c r="Q382" i="2"/>
  <c r="P382" i="2"/>
  <c r="M382" i="2"/>
  <c r="G382" i="2"/>
  <c r="F382" i="2"/>
  <c r="B382" i="2"/>
  <c r="A382" i="2"/>
  <c r="R381" i="2"/>
  <c r="Q381" i="2"/>
  <c r="P381" i="2"/>
  <c r="M381" i="2"/>
  <c r="G381" i="2"/>
  <c r="F381" i="2"/>
  <c r="B381" i="2"/>
  <c r="A381" i="2"/>
  <c r="R380" i="2"/>
  <c r="Q380" i="2"/>
  <c r="P380" i="2"/>
  <c r="M380" i="2"/>
  <c r="G380" i="2"/>
  <c r="F380" i="2"/>
  <c r="B380" i="2"/>
  <c r="A380" i="2"/>
  <c r="R379" i="2"/>
  <c r="Q379" i="2"/>
  <c r="P379" i="2"/>
  <c r="M379" i="2"/>
  <c r="G379" i="2"/>
  <c r="F379" i="2"/>
  <c r="B379" i="2"/>
  <c r="A379" i="2"/>
  <c r="R378" i="2"/>
  <c r="Q378" i="2"/>
  <c r="P378" i="2"/>
  <c r="M378" i="2"/>
  <c r="G378" i="2"/>
  <c r="F378" i="2"/>
  <c r="B378" i="2"/>
  <c r="A378" i="2"/>
  <c r="R377" i="2"/>
  <c r="Q377" i="2"/>
  <c r="P377" i="2"/>
  <c r="M377" i="2"/>
  <c r="G377" i="2"/>
  <c r="F377" i="2"/>
  <c r="B377" i="2"/>
  <c r="A377" i="2"/>
  <c r="R376" i="2"/>
  <c r="Q376" i="2"/>
  <c r="P376" i="2"/>
  <c r="M376" i="2"/>
  <c r="G376" i="2"/>
  <c r="F376" i="2"/>
  <c r="B376" i="2"/>
  <c r="A376" i="2"/>
  <c r="R375" i="2"/>
  <c r="Q375" i="2"/>
  <c r="P375" i="2"/>
  <c r="M375" i="2"/>
  <c r="G375" i="2"/>
  <c r="F375" i="2"/>
  <c r="B375" i="2"/>
  <c r="A375" i="2"/>
  <c r="R374" i="2"/>
  <c r="Q374" i="2"/>
  <c r="P374" i="2"/>
  <c r="M374" i="2"/>
  <c r="G374" i="2"/>
  <c r="F374" i="2"/>
  <c r="B374" i="2"/>
  <c r="A374" i="2"/>
  <c r="R373" i="2"/>
  <c r="Q373" i="2"/>
  <c r="P373" i="2"/>
  <c r="M373" i="2"/>
  <c r="G373" i="2"/>
  <c r="F373" i="2"/>
  <c r="B373" i="2"/>
  <c r="A373" i="2"/>
  <c r="R372" i="2"/>
  <c r="Q372" i="2"/>
  <c r="P372" i="2"/>
  <c r="M372" i="2"/>
  <c r="G372" i="2"/>
  <c r="F372" i="2"/>
  <c r="B372" i="2"/>
  <c r="A372" i="2"/>
  <c r="R371" i="2"/>
  <c r="Q371" i="2"/>
  <c r="P371" i="2"/>
  <c r="M371" i="2"/>
  <c r="G371" i="2"/>
  <c r="F371" i="2"/>
  <c r="B371" i="2"/>
  <c r="A371" i="2"/>
  <c r="R370" i="2"/>
  <c r="Q370" i="2"/>
  <c r="P370" i="2"/>
  <c r="M370" i="2"/>
  <c r="G370" i="2"/>
  <c r="F370" i="2"/>
  <c r="B370" i="2"/>
  <c r="A370" i="2"/>
  <c r="R369" i="2"/>
  <c r="Q369" i="2"/>
  <c r="P369" i="2"/>
  <c r="M369" i="2"/>
  <c r="G369" i="2"/>
  <c r="F369" i="2"/>
  <c r="B369" i="2"/>
  <c r="A369" i="2"/>
  <c r="R368" i="2"/>
  <c r="Q368" i="2"/>
  <c r="P368" i="2"/>
  <c r="M368" i="2"/>
  <c r="G368" i="2"/>
  <c r="F368" i="2"/>
  <c r="B368" i="2"/>
  <c r="A368" i="2"/>
  <c r="R367" i="2"/>
  <c r="Q367" i="2"/>
  <c r="P367" i="2"/>
  <c r="M367" i="2"/>
  <c r="G367" i="2"/>
  <c r="F367" i="2"/>
  <c r="B367" i="2"/>
  <c r="A367" i="2"/>
  <c r="R366" i="2"/>
  <c r="Q366" i="2"/>
  <c r="P366" i="2"/>
  <c r="M366" i="2"/>
  <c r="G366" i="2"/>
  <c r="F366" i="2"/>
  <c r="B366" i="2"/>
  <c r="A366" i="2"/>
  <c r="R365" i="2"/>
  <c r="Q365" i="2"/>
  <c r="P365" i="2"/>
  <c r="M365" i="2"/>
  <c r="G365" i="2"/>
  <c r="F365" i="2"/>
  <c r="B365" i="2"/>
  <c r="A365" i="2"/>
  <c r="R364" i="2"/>
  <c r="Q364" i="2"/>
  <c r="P364" i="2"/>
  <c r="M364" i="2"/>
  <c r="G364" i="2"/>
  <c r="F364" i="2"/>
  <c r="B364" i="2"/>
  <c r="A364" i="2"/>
  <c r="R363" i="2"/>
  <c r="Q363" i="2"/>
  <c r="P363" i="2"/>
  <c r="M363" i="2"/>
  <c r="G363" i="2"/>
  <c r="F363" i="2"/>
  <c r="B363" i="2"/>
  <c r="A363" i="2"/>
  <c r="R362" i="2"/>
  <c r="Q362" i="2"/>
  <c r="P362" i="2"/>
  <c r="M362" i="2"/>
  <c r="G362" i="2"/>
  <c r="F362" i="2"/>
  <c r="B362" i="2"/>
  <c r="A362" i="2"/>
  <c r="R361" i="2"/>
  <c r="Q361" i="2"/>
  <c r="P361" i="2"/>
  <c r="M361" i="2"/>
  <c r="G361" i="2"/>
  <c r="F361" i="2"/>
  <c r="B361" i="2"/>
  <c r="A361" i="2"/>
  <c r="R360" i="2"/>
  <c r="Q360" i="2"/>
  <c r="P360" i="2"/>
  <c r="M360" i="2"/>
  <c r="G360" i="2"/>
  <c r="F360" i="2"/>
  <c r="B360" i="2"/>
  <c r="A360" i="2"/>
  <c r="R359" i="2"/>
  <c r="Q359" i="2"/>
  <c r="P359" i="2"/>
  <c r="M359" i="2"/>
  <c r="G359" i="2"/>
  <c r="F359" i="2"/>
  <c r="B359" i="2"/>
  <c r="A359" i="2"/>
  <c r="R358" i="2"/>
  <c r="Q358" i="2"/>
  <c r="P358" i="2"/>
  <c r="M358" i="2"/>
  <c r="G358" i="2"/>
  <c r="F358" i="2"/>
  <c r="B358" i="2"/>
  <c r="A358" i="2"/>
  <c r="R357" i="2"/>
  <c r="Q357" i="2"/>
  <c r="P357" i="2"/>
  <c r="M357" i="2"/>
  <c r="G357" i="2"/>
  <c r="F357" i="2"/>
  <c r="B357" i="2"/>
  <c r="A357" i="2"/>
  <c r="R356" i="2"/>
  <c r="Q356" i="2"/>
  <c r="P356" i="2"/>
  <c r="M356" i="2"/>
  <c r="G356" i="2"/>
  <c r="F356" i="2"/>
  <c r="B356" i="2"/>
  <c r="A356" i="2"/>
  <c r="R355" i="2"/>
  <c r="Q355" i="2"/>
  <c r="P355" i="2"/>
  <c r="M355" i="2"/>
  <c r="G355" i="2"/>
  <c r="F355" i="2"/>
  <c r="B355" i="2"/>
  <c r="A355" i="2"/>
  <c r="R354" i="2"/>
  <c r="Q354" i="2"/>
  <c r="P354" i="2"/>
  <c r="M354" i="2"/>
  <c r="G354" i="2"/>
  <c r="F354" i="2"/>
  <c r="B354" i="2"/>
  <c r="A354" i="2"/>
  <c r="R353" i="2"/>
  <c r="Q353" i="2"/>
  <c r="P353" i="2"/>
  <c r="M353" i="2"/>
  <c r="G353" i="2"/>
  <c r="F353" i="2"/>
  <c r="B353" i="2"/>
  <c r="A353" i="2"/>
  <c r="R352" i="2"/>
  <c r="Q352" i="2"/>
  <c r="P352" i="2"/>
  <c r="M352" i="2"/>
  <c r="G352" i="2"/>
  <c r="F352" i="2"/>
  <c r="B352" i="2"/>
  <c r="A352" i="2"/>
  <c r="R351" i="2"/>
  <c r="Q351" i="2"/>
  <c r="P351" i="2"/>
  <c r="M351" i="2"/>
  <c r="G351" i="2"/>
  <c r="F351" i="2"/>
  <c r="B351" i="2"/>
  <c r="A351" i="2"/>
  <c r="R350" i="2"/>
  <c r="Q350" i="2"/>
  <c r="P350" i="2"/>
  <c r="M350" i="2"/>
  <c r="G350" i="2"/>
  <c r="F350" i="2"/>
  <c r="B350" i="2"/>
  <c r="A350" i="2"/>
  <c r="R349" i="2"/>
  <c r="Q349" i="2"/>
  <c r="P349" i="2"/>
  <c r="M349" i="2"/>
  <c r="G349" i="2"/>
  <c r="F349" i="2"/>
  <c r="B349" i="2"/>
  <c r="A349" i="2"/>
  <c r="R348" i="2"/>
  <c r="Q348" i="2"/>
  <c r="P348" i="2"/>
  <c r="M348" i="2"/>
  <c r="G348" i="2"/>
  <c r="F348" i="2"/>
  <c r="B348" i="2"/>
  <c r="A348" i="2"/>
  <c r="R347" i="2"/>
  <c r="Q347" i="2"/>
  <c r="P347" i="2"/>
  <c r="M347" i="2"/>
  <c r="G347" i="2"/>
  <c r="F347" i="2"/>
  <c r="B347" i="2"/>
  <c r="A347" i="2"/>
  <c r="R346" i="2"/>
  <c r="Q346" i="2"/>
  <c r="P346" i="2"/>
  <c r="M346" i="2"/>
  <c r="G346" i="2"/>
  <c r="F346" i="2"/>
  <c r="B346" i="2"/>
  <c r="A346" i="2"/>
  <c r="R345" i="2"/>
  <c r="Q345" i="2"/>
  <c r="P345" i="2"/>
  <c r="M345" i="2"/>
  <c r="G345" i="2"/>
  <c r="F345" i="2"/>
  <c r="B345" i="2"/>
  <c r="A345" i="2"/>
  <c r="R344" i="2"/>
  <c r="Q344" i="2"/>
  <c r="P344" i="2"/>
  <c r="M344" i="2"/>
  <c r="G344" i="2"/>
  <c r="F344" i="2"/>
  <c r="B344" i="2"/>
  <c r="A344" i="2"/>
  <c r="R343" i="2"/>
  <c r="Q343" i="2"/>
  <c r="P343" i="2"/>
  <c r="M343" i="2"/>
  <c r="G343" i="2"/>
  <c r="F343" i="2"/>
  <c r="B343" i="2"/>
  <c r="A343" i="2"/>
  <c r="R342" i="2"/>
  <c r="Q342" i="2"/>
  <c r="P342" i="2"/>
  <c r="M342" i="2"/>
  <c r="G342" i="2"/>
  <c r="F342" i="2"/>
  <c r="B342" i="2"/>
  <c r="A342" i="2"/>
  <c r="R341" i="2"/>
  <c r="Q341" i="2"/>
  <c r="P341" i="2"/>
  <c r="M341" i="2"/>
  <c r="G341" i="2"/>
  <c r="F341" i="2"/>
  <c r="B341" i="2"/>
  <c r="A341" i="2"/>
  <c r="R340" i="2"/>
  <c r="Q340" i="2"/>
  <c r="P340" i="2"/>
  <c r="M340" i="2"/>
  <c r="G340" i="2"/>
  <c r="F340" i="2"/>
  <c r="B340" i="2"/>
  <c r="A340" i="2"/>
  <c r="R339" i="2"/>
  <c r="Q339" i="2"/>
  <c r="P339" i="2"/>
  <c r="M339" i="2"/>
  <c r="G339" i="2"/>
  <c r="F339" i="2"/>
  <c r="B339" i="2"/>
  <c r="A339" i="2"/>
  <c r="R338" i="2"/>
  <c r="Q338" i="2"/>
  <c r="P338" i="2"/>
  <c r="M338" i="2"/>
  <c r="G338" i="2"/>
  <c r="F338" i="2"/>
  <c r="B338" i="2"/>
  <c r="A338" i="2"/>
  <c r="R337" i="2"/>
  <c r="Q337" i="2"/>
  <c r="P337" i="2"/>
  <c r="M337" i="2"/>
  <c r="G337" i="2"/>
  <c r="F337" i="2"/>
  <c r="B337" i="2"/>
  <c r="A337" i="2"/>
  <c r="R336" i="2"/>
  <c r="Q336" i="2"/>
  <c r="P336" i="2"/>
  <c r="M336" i="2"/>
  <c r="G336" i="2"/>
  <c r="F336" i="2"/>
  <c r="B336" i="2"/>
  <c r="A336" i="2"/>
  <c r="R335" i="2"/>
  <c r="Q335" i="2"/>
  <c r="P335" i="2"/>
  <c r="M335" i="2"/>
  <c r="G335" i="2"/>
  <c r="F335" i="2"/>
  <c r="B335" i="2"/>
  <c r="A335" i="2"/>
  <c r="R334" i="2"/>
  <c r="Q334" i="2"/>
  <c r="P334" i="2"/>
  <c r="M334" i="2"/>
  <c r="G334" i="2"/>
  <c r="F334" i="2"/>
  <c r="B334" i="2"/>
  <c r="A334" i="2"/>
  <c r="R333" i="2"/>
  <c r="Q333" i="2"/>
  <c r="P333" i="2"/>
  <c r="M333" i="2"/>
  <c r="G333" i="2"/>
  <c r="F333" i="2"/>
  <c r="B333" i="2"/>
  <c r="A333" i="2"/>
  <c r="R332" i="2"/>
  <c r="Q332" i="2"/>
  <c r="P332" i="2"/>
  <c r="M332" i="2"/>
  <c r="G332" i="2"/>
  <c r="F332" i="2"/>
  <c r="B332" i="2"/>
  <c r="A332" i="2"/>
  <c r="R331" i="2"/>
  <c r="Q331" i="2"/>
  <c r="P331" i="2"/>
  <c r="M331" i="2"/>
  <c r="G331" i="2"/>
  <c r="F331" i="2"/>
  <c r="B331" i="2"/>
  <c r="A331" i="2"/>
  <c r="R330" i="2"/>
  <c r="Q330" i="2"/>
  <c r="P330" i="2"/>
  <c r="M330" i="2"/>
  <c r="G330" i="2"/>
  <c r="F330" i="2"/>
  <c r="B330" i="2"/>
  <c r="A330" i="2"/>
  <c r="R329" i="2"/>
  <c r="Q329" i="2"/>
  <c r="P329" i="2"/>
  <c r="M329" i="2"/>
  <c r="G329" i="2"/>
  <c r="F329" i="2"/>
  <c r="B329" i="2"/>
  <c r="A329" i="2"/>
  <c r="R328" i="2"/>
  <c r="Q328" i="2"/>
  <c r="P328" i="2"/>
  <c r="M328" i="2"/>
  <c r="G328" i="2"/>
  <c r="F328" i="2"/>
  <c r="B328" i="2"/>
  <c r="A328" i="2"/>
  <c r="R327" i="2"/>
  <c r="Q327" i="2"/>
  <c r="P327" i="2"/>
  <c r="M327" i="2"/>
  <c r="G327" i="2"/>
  <c r="F327" i="2"/>
  <c r="B327" i="2"/>
  <c r="A327" i="2"/>
  <c r="R326" i="2"/>
  <c r="Q326" i="2"/>
  <c r="P326" i="2"/>
  <c r="M326" i="2"/>
  <c r="G326" i="2"/>
  <c r="F326" i="2"/>
  <c r="B326" i="2"/>
  <c r="A326" i="2"/>
  <c r="R325" i="2"/>
  <c r="Q325" i="2"/>
  <c r="P325" i="2"/>
  <c r="M325" i="2"/>
  <c r="G325" i="2"/>
  <c r="F325" i="2"/>
  <c r="B325" i="2"/>
  <c r="A325" i="2"/>
  <c r="R324" i="2"/>
  <c r="Q324" i="2"/>
  <c r="P324" i="2"/>
  <c r="M324" i="2"/>
  <c r="G324" i="2"/>
  <c r="F324" i="2"/>
  <c r="B324" i="2"/>
  <c r="A324" i="2"/>
  <c r="R323" i="2"/>
  <c r="Q323" i="2"/>
  <c r="P323" i="2"/>
  <c r="M323" i="2"/>
  <c r="G323" i="2"/>
  <c r="F323" i="2"/>
  <c r="B323" i="2"/>
  <c r="A323" i="2"/>
  <c r="R322" i="2"/>
  <c r="Q322" i="2"/>
  <c r="P322" i="2"/>
  <c r="M322" i="2"/>
  <c r="G322" i="2"/>
  <c r="F322" i="2"/>
  <c r="B322" i="2"/>
  <c r="A322" i="2"/>
  <c r="R321" i="2"/>
  <c r="Q321" i="2"/>
  <c r="P321" i="2"/>
  <c r="M321" i="2"/>
  <c r="G321" i="2"/>
  <c r="F321" i="2"/>
  <c r="B321" i="2"/>
  <c r="A321" i="2"/>
  <c r="R320" i="2"/>
  <c r="Q320" i="2"/>
  <c r="P320" i="2"/>
  <c r="M320" i="2"/>
  <c r="G320" i="2"/>
  <c r="F320" i="2"/>
  <c r="B320" i="2"/>
  <c r="A320" i="2"/>
  <c r="R319" i="2"/>
  <c r="Q319" i="2"/>
  <c r="P319" i="2"/>
  <c r="M319" i="2"/>
  <c r="G319" i="2"/>
  <c r="F319" i="2"/>
  <c r="B319" i="2"/>
  <c r="A319" i="2"/>
  <c r="R318" i="2"/>
  <c r="Q318" i="2"/>
  <c r="P318" i="2"/>
  <c r="M318" i="2"/>
  <c r="G318" i="2"/>
  <c r="F318" i="2"/>
  <c r="B318" i="2"/>
  <c r="A318" i="2"/>
  <c r="R317" i="2"/>
  <c r="Q317" i="2"/>
  <c r="P317" i="2"/>
  <c r="M317" i="2"/>
  <c r="G317" i="2"/>
  <c r="F317" i="2"/>
  <c r="B317" i="2"/>
  <c r="C318" i="2" s="1"/>
  <c r="A317" i="2"/>
  <c r="R316" i="2"/>
  <c r="Q316" i="2"/>
  <c r="P316" i="2"/>
  <c r="M316" i="2"/>
  <c r="G316" i="2"/>
  <c r="F316" i="2"/>
  <c r="B316" i="2"/>
  <c r="A316" i="2"/>
  <c r="R315" i="2"/>
  <c r="Q315" i="2"/>
  <c r="P315" i="2"/>
  <c r="M315" i="2"/>
  <c r="G315" i="2"/>
  <c r="F315" i="2"/>
  <c r="B315" i="2"/>
  <c r="A315" i="2"/>
  <c r="R314" i="2"/>
  <c r="Q314" i="2"/>
  <c r="P314" i="2"/>
  <c r="M314" i="2"/>
  <c r="G314" i="2"/>
  <c r="F314" i="2"/>
  <c r="B314" i="2"/>
  <c r="A314" i="2"/>
  <c r="R313" i="2"/>
  <c r="Q313" i="2"/>
  <c r="P313" i="2"/>
  <c r="M313" i="2"/>
  <c r="G313" i="2"/>
  <c r="F313" i="2"/>
  <c r="B313" i="2"/>
  <c r="A313" i="2"/>
  <c r="R312" i="2"/>
  <c r="Q312" i="2"/>
  <c r="P312" i="2"/>
  <c r="M312" i="2"/>
  <c r="G312" i="2"/>
  <c r="F312" i="2"/>
  <c r="B312" i="2"/>
  <c r="A312" i="2"/>
  <c r="R311" i="2"/>
  <c r="Q311" i="2"/>
  <c r="P311" i="2"/>
  <c r="M311" i="2"/>
  <c r="G311" i="2"/>
  <c r="F311" i="2"/>
  <c r="B311" i="2"/>
  <c r="A311" i="2"/>
  <c r="R310" i="2"/>
  <c r="Q310" i="2"/>
  <c r="P310" i="2"/>
  <c r="M310" i="2"/>
  <c r="G310" i="2"/>
  <c r="F310" i="2"/>
  <c r="B310" i="2"/>
  <c r="A310" i="2"/>
  <c r="R309" i="2"/>
  <c r="Q309" i="2"/>
  <c r="P309" i="2"/>
  <c r="M309" i="2"/>
  <c r="G309" i="2"/>
  <c r="F309" i="2"/>
  <c r="B309" i="2"/>
  <c r="A309" i="2"/>
  <c r="R308" i="2"/>
  <c r="Q308" i="2"/>
  <c r="P308" i="2"/>
  <c r="M308" i="2"/>
  <c r="G308" i="2"/>
  <c r="F308" i="2"/>
  <c r="B308" i="2"/>
  <c r="A308" i="2"/>
  <c r="R307" i="2"/>
  <c r="Q307" i="2"/>
  <c r="P307" i="2"/>
  <c r="M307" i="2"/>
  <c r="G307" i="2"/>
  <c r="F307" i="2"/>
  <c r="B307" i="2"/>
  <c r="A307" i="2"/>
  <c r="R306" i="2"/>
  <c r="Q306" i="2"/>
  <c r="P306" i="2"/>
  <c r="M306" i="2"/>
  <c r="G306" i="2"/>
  <c r="F306" i="2"/>
  <c r="B306" i="2"/>
  <c r="A306" i="2"/>
  <c r="R305" i="2"/>
  <c r="Q305" i="2"/>
  <c r="P305" i="2"/>
  <c r="M305" i="2"/>
  <c r="G305" i="2"/>
  <c r="F305" i="2"/>
  <c r="B305" i="2"/>
  <c r="A305" i="2"/>
  <c r="R304" i="2"/>
  <c r="Q304" i="2"/>
  <c r="P304" i="2"/>
  <c r="M304" i="2"/>
  <c r="G304" i="2"/>
  <c r="F304" i="2"/>
  <c r="B304" i="2"/>
  <c r="A304" i="2"/>
  <c r="R303" i="2"/>
  <c r="Q303" i="2"/>
  <c r="P303" i="2"/>
  <c r="M303" i="2"/>
  <c r="G303" i="2"/>
  <c r="F303" i="2"/>
  <c r="B303" i="2"/>
  <c r="A303" i="2"/>
  <c r="R302" i="2"/>
  <c r="Q302" i="2"/>
  <c r="P302" i="2"/>
  <c r="M302" i="2"/>
  <c r="G302" i="2"/>
  <c r="F302" i="2"/>
  <c r="B302" i="2"/>
  <c r="A302" i="2"/>
  <c r="R301" i="2"/>
  <c r="Q301" i="2"/>
  <c r="P301" i="2"/>
  <c r="M301" i="2"/>
  <c r="G301" i="2"/>
  <c r="F301" i="2"/>
  <c r="B301" i="2"/>
  <c r="A301" i="2"/>
  <c r="R300" i="2"/>
  <c r="Q300" i="2"/>
  <c r="P300" i="2"/>
  <c r="M300" i="2"/>
  <c r="G300" i="2"/>
  <c r="F300" i="2"/>
  <c r="B300" i="2"/>
  <c r="A300" i="2"/>
  <c r="R299" i="2"/>
  <c r="Q299" i="2"/>
  <c r="P299" i="2"/>
  <c r="M299" i="2"/>
  <c r="G299" i="2"/>
  <c r="F299" i="2"/>
  <c r="B299" i="2"/>
  <c r="A299" i="2"/>
  <c r="R298" i="2"/>
  <c r="Q298" i="2"/>
  <c r="P298" i="2"/>
  <c r="M298" i="2"/>
  <c r="G298" i="2"/>
  <c r="F298" i="2"/>
  <c r="B298" i="2"/>
  <c r="A298" i="2"/>
  <c r="R297" i="2"/>
  <c r="Q297" i="2"/>
  <c r="P297" i="2"/>
  <c r="M297" i="2"/>
  <c r="G297" i="2"/>
  <c r="F297" i="2"/>
  <c r="B297" i="2"/>
  <c r="A297" i="2"/>
  <c r="R296" i="2"/>
  <c r="Q296" i="2"/>
  <c r="P296" i="2"/>
  <c r="M296" i="2"/>
  <c r="G296" i="2"/>
  <c r="F296" i="2"/>
  <c r="B296" i="2"/>
  <c r="A296" i="2"/>
  <c r="R295" i="2"/>
  <c r="Q295" i="2"/>
  <c r="P295" i="2"/>
  <c r="M295" i="2"/>
  <c r="G295" i="2"/>
  <c r="F295" i="2"/>
  <c r="B295" i="2"/>
  <c r="A295" i="2"/>
  <c r="R294" i="2"/>
  <c r="Q294" i="2"/>
  <c r="P294" i="2"/>
  <c r="M294" i="2"/>
  <c r="G294" i="2"/>
  <c r="F294" i="2"/>
  <c r="B294" i="2"/>
  <c r="A294" i="2"/>
  <c r="R293" i="2"/>
  <c r="Q293" i="2"/>
  <c r="P293" i="2"/>
  <c r="M293" i="2"/>
  <c r="G293" i="2"/>
  <c r="F293" i="2"/>
  <c r="B293" i="2"/>
  <c r="A293" i="2"/>
  <c r="R292" i="2"/>
  <c r="Q292" i="2"/>
  <c r="P292" i="2"/>
  <c r="M292" i="2"/>
  <c r="G292" i="2"/>
  <c r="F292" i="2"/>
  <c r="B292" i="2"/>
  <c r="A292" i="2"/>
  <c r="R291" i="2"/>
  <c r="Q291" i="2"/>
  <c r="P291" i="2"/>
  <c r="M291" i="2"/>
  <c r="G291" i="2"/>
  <c r="F291" i="2"/>
  <c r="B291" i="2"/>
  <c r="A291" i="2"/>
  <c r="R290" i="2"/>
  <c r="Q290" i="2"/>
  <c r="P290" i="2"/>
  <c r="M290" i="2"/>
  <c r="G290" i="2"/>
  <c r="F290" i="2"/>
  <c r="B290" i="2"/>
  <c r="A290" i="2"/>
  <c r="R289" i="2"/>
  <c r="Q289" i="2"/>
  <c r="P289" i="2"/>
  <c r="M289" i="2"/>
  <c r="G289" i="2"/>
  <c r="F289" i="2"/>
  <c r="B289" i="2"/>
  <c r="A289" i="2"/>
  <c r="R288" i="2"/>
  <c r="Q288" i="2"/>
  <c r="P288" i="2"/>
  <c r="M288" i="2"/>
  <c r="G288" i="2"/>
  <c r="F288" i="2"/>
  <c r="B288" i="2"/>
  <c r="A288" i="2"/>
  <c r="R287" i="2"/>
  <c r="Q287" i="2"/>
  <c r="P287" i="2"/>
  <c r="M287" i="2"/>
  <c r="G287" i="2"/>
  <c r="F287" i="2"/>
  <c r="B287" i="2"/>
  <c r="A287" i="2"/>
  <c r="R286" i="2"/>
  <c r="Q286" i="2"/>
  <c r="P286" i="2"/>
  <c r="M286" i="2"/>
  <c r="G286" i="2"/>
  <c r="F286" i="2"/>
  <c r="B286" i="2"/>
  <c r="A286" i="2"/>
  <c r="R285" i="2"/>
  <c r="Q285" i="2"/>
  <c r="P285" i="2"/>
  <c r="M285" i="2"/>
  <c r="G285" i="2"/>
  <c r="F285" i="2"/>
  <c r="B285" i="2"/>
  <c r="A285" i="2"/>
  <c r="R284" i="2"/>
  <c r="Q284" i="2"/>
  <c r="P284" i="2"/>
  <c r="M284" i="2"/>
  <c r="G284" i="2"/>
  <c r="F284" i="2"/>
  <c r="B284" i="2"/>
  <c r="A284" i="2"/>
  <c r="R283" i="2"/>
  <c r="Q283" i="2"/>
  <c r="P283" i="2"/>
  <c r="M283" i="2"/>
  <c r="G283" i="2"/>
  <c r="F283" i="2"/>
  <c r="B283" i="2"/>
  <c r="A283" i="2"/>
  <c r="R282" i="2"/>
  <c r="Q282" i="2"/>
  <c r="P282" i="2"/>
  <c r="M282" i="2"/>
  <c r="G282" i="2"/>
  <c r="F282" i="2"/>
  <c r="B282" i="2"/>
  <c r="A282" i="2"/>
  <c r="R281" i="2"/>
  <c r="Q281" i="2"/>
  <c r="P281" i="2"/>
  <c r="M281" i="2"/>
  <c r="G281" i="2"/>
  <c r="F281" i="2"/>
  <c r="B281" i="2"/>
  <c r="A281" i="2"/>
  <c r="R280" i="2"/>
  <c r="Q280" i="2"/>
  <c r="P280" i="2"/>
  <c r="M280" i="2"/>
  <c r="G280" i="2"/>
  <c r="F280" i="2"/>
  <c r="B280" i="2"/>
  <c r="A280" i="2"/>
  <c r="R279" i="2"/>
  <c r="Q279" i="2"/>
  <c r="P279" i="2"/>
  <c r="M279" i="2"/>
  <c r="G279" i="2"/>
  <c r="F279" i="2"/>
  <c r="B279" i="2"/>
  <c r="A279" i="2"/>
  <c r="R278" i="2"/>
  <c r="Q278" i="2"/>
  <c r="P278" i="2"/>
  <c r="M278" i="2"/>
  <c r="G278" i="2"/>
  <c r="F278" i="2"/>
  <c r="B278" i="2"/>
  <c r="A278" i="2"/>
  <c r="R277" i="2"/>
  <c r="Q277" i="2"/>
  <c r="P277" i="2"/>
  <c r="M277" i="2"/>
  <c r="G277" i="2"/>
  <c r="F277" i="2"/>
  <c r="B277" i="2"/>
  <c r="A277" i="2"/>
  <c r="R276" i="2"/>
  <c r="Q276" i="2"/>
  <c r="P276" i="2"/>
  <c r="M276" i="2"/>
  <c r="G276" i="2"/>
  <c r="F276" i="2"/>
  <c r="B276" i="2"/>
  <c r="A276" i="2"/>
  <c r="R275" i="2"/>
  <c r="Q275" i="2"/>
  <c r="P275" i="2"/>
  <c r="M275" i="2"/>
  <c r="G275" i="2"/>
  <c r="F275" i="2"/>
  <c r="B275" i="2"/>
  <c r="A275" i="2"/>
  <c r="R274" i="2"/>
  <c r="Q274" i="2"/>
  <c r="P274" i="2"/>
  <c r="M274" i="2"/>
  <c r="G274" i="2"/>
  <c r="F274" i="2"/>
  <c r="B274" i="2"/>
  <c r="A274" i="2"/>
  <c r="R273" i="2"/>
  <c r="Q273" i="2"/>
  <c r="P273" i="2"/>
  <c r="M273" i="2"/>
  <c r="G273" i="2"/>
  <c r="F273" i="2"/>
  <c r="B273" i="2"/>
  <c r="A273" i="2"/>
  <c r="R272" i="2"/>
  <c r="Q272" i="2"/>
  <c r="P272" i="2"/>
  <c r="M272" i="2"/>
  <c r="G272" i="2"/>
  <c r="F272" i="2"/>
  <c r="B272" i="2"/>
  <c r="A272" i="2"/>
  <c r="R271" i="2"/>
  <c r="Q271" i="2"/>
  <c r="P271" i="2"/>
  <c r="M271" i="2"/>
  <c r="G271" i="2"/>
  <c r="F271" i="2"/>
  <c r="B271" i="2"/>
  <c r="A271" i="2"/>
  <c r="R270" i="2"/>
  <c r="Q270" i="2"/>
  <c r="P270" i="2"/>
  <c r="M270" i="2"/>
  <c r="G270" i="2"/>
  <c r="F270" i="2"/>
  <c r="B270" i="2"/>
  <c r="A270" i="2"/>
  <c r="R269" i="2"/>
  <c r="Q269" i="2"/>
  <c r="P269" i="2"/>
  <c r="M269" i="2"/>
  <c r="G269" i="2"/>
  <c r="F269" i="2"/>
  <c r="B269" i="2"/>
  <c r="A269" i="2"/>
  <c r="R268" i="2"/>
  <c r="Q268" i="2"/>
  <c r="P268" i="2"/>
  <c r="M268" i="2"/>
  <c r="G268" i="2"/>
  <c r="F268" i="2"/>
  <c r="B268" i="2"/>
  <c r="A268" i="2"/>
  <c r="R267" i="2"/>
  <c r="Q267" i="2"/>
  <c r="P267" i="2"/>
  <c r="M267" i="2"/>
  <c r="G267" i="2"/>
  <c r="F267" i="2"/>
  <c r="B267" i="2"/>
  <c r="A267" i="2"/>
  <c r="R266" i="2"/>
  <c r="Q266" i="2"/>
  <c r="P266" i="2"/>
  <c r="M266" i="2"/>
  <c r="G266" i="2"/>
  <c r="F266" i="2"/>
  <c r="B266" i="2"/>
  <c r="A266" i="2"/>
  <c r="R265" i="2"/>
  <c r="Q265" i="2"/>
  <c r="P265" i="2"/>
  <c r="M265" i="2"/>
  <c r="G265" i="2"/>
  <c r="F265" i="2"/>
  <c r="B265" i="2"/>
  <c r="A265" i="2"/>
  <c r="R264" i="2"/>
  <c r="Q264" i="2"/>
  <c r="P264" i="2"/>
  <c r="M264" i="2"/>
  <c r="G264" i="2"/>
  <c r="F264" i="2"/>
  <c r="B264" i="2"/>
  <c r="A264" i="2"/>
  <c r="R263" i="2"/>
  <c r="Q263" i="2"/>
  <c r="P263" i="2"/>
  <c r="M263" i="2"/>
  <c r="G263" i="2"/>
  <c r="F263" i="2"/>
  <c r="B263" i="2"/>
  <c r="A263" i="2"/>
  <c r="R262" i="2"/>
  <c r="Q262" i="2"/>
  <c r="P262" i="2"/>
  <c r="M262" i="2"/>
  <c r="G262" i="2"/>
  <c r="F262" i="2"/>
  <c r="B262" i="2"/>
  <c r="A262" i="2"/>
  <c r="R261" i="2"/>
  <c r="Q261" i="2"/>
  <c r="P261" i="2"/>
  <c r="M261" i="2"/>
  <c r="G261" i="2"/>
  <c r="F261" i="2"/>
  <c r="B261" i="2"/>
  <c r="A261" i="2"/>
  <c r="R260" i="2"/>
  <c r="Q260" i="2"/>
  <c r="P260" i="2"/>
  <c r="M260" i="2"/>
  <c r="G260" i="2"/>
  <c r="F260" i="2"/>
  <c r="B260" i="2"/>
  <c r="A260" i="2"/>
  <c r="R259" i="2"/>
  <c r="Q259" i="2"/>
  <c r="P259" i="2"/>
  <c r="M259" i="2"/>
  <c r="G259" i="2"/>
  <c r="F259" i="2"/>
  <c r="B259" i="2"/>
  <c r="A259" i="2"/>
  <c r="R258" i="2"/>
  <c r="Q258" i="2"/>
  <c r="P258" i="2"/>
  <c r="M258" i="2"/>
  <c r="G258" i="2"/>
  <c r="F258" i="2"/>
  <c r="B258" i="2"/>
  <c r="A258" i="2"/>
  <c r="R257" i="2"/>
  <c r="Q257" i="2"/>
  <c r="P257" i="2"/>
  <c r="M257" i="2"/>
  <c r="G257" i="2"/>
  <c r="F257" i="2"/>
  <c r="B257" i="2"/>
  <c r="A257" i="2"/>
  <c r="R256" i="2"/>
  <c r="Q256" i="2"/>
  <c r="P256" i="2"/>
  <c r="M256" i="2"/>
  <c r="G256" i="2"/>
  <c r="F256" i="2"/>
  <c r="B256" i="2"/>
  <c r="A256" i="2"/>
  <c r="R255" i="2"/>
  <c r="Q255" i="2"/>
  <c r="P255" i="2"/>
  <c r="M255" i="2"/>
  <c r="G255" i="2"/>
  <c r="F255" i="2"/>
  <c r="B255" i="2"/>
  <c r="A255" i="2"/>
  <c r="R254" i="2"/>
  <c r="Q254" i="2"/>
  <c r="P254" i="2"/>
  <c r="M254" i="2"/>
  <c r="G254" i="2"/>
  <c r="F254" i="2"/>
  <c r="B254" i="2"/>
  <c r="A254" i="2"/>
  <c r="R253" i="2"/>
  <c r="Q253" i="2"/>
  <c r="P253" i="2"/>
  <c r="M253" i="2"/>
  <c r="G253" i="2"/>
  <c r="F253" i="2"/>
  <c r="B253" i="2"/>
  <c r="A253" i="2"/>
  <c r="R252" i="2"/>
  <c r="Q252" i="2"/>
  <c r="P252" i="2"/>
  <c r="M252" i="2"/>
  <c r="G252" i="2"/>
  <c r="F252" i="2"/>
  <c r="B252" i="2"/>
  <c r="A252" i="2"/>
  <c r="R251" i="2"/>
  <c r="Q251" i="2"/>
  <c r="P251" i="2"/>
  <c r="M251" i="2"/>
  <c r="G251" i="2"/>
  <c r="F251" i="2"/>
  <c r="B251" i="2"/>
  <c r="A251" i="2"/>
  <c r="R250" i="2"/>
  <c r="Q250" i="2"/>
  <c r="P250" i="2"/>
  <c r="M250" i="2"/>
  <c r="G250" i="2"/>
  <c r="F250" i="2"/>
  <c r="B250" i="2"/>
  <c r="A250" i="2"/>
  <c r="R249" i="2"/>
  <c r="Q249" i="2"/>
  <c r="P249" i="2"/>
  <c r="M249" i="2"/>
  <c r="G249" i="2"/>
  <c r="F249" i="2"/>
  <c r="B249" i="2"/>
  <c r="A249" i="2"/>
  <c r="R248" i="2"/>
  <c r="Q248" i="2"/>
  <c r="P248" i="2"/>
  <c r="M248" i="2"/>
  <c r="G248" i="2"/>
  <c r="F248" i="2"/>
  <c r="B248" i="2"/>
  <c r="A248" i="2"/>
  <c r="R247" i="2"/>
  <c r="Q247" i="2"/>
  <c r="P247" i="2"/>
  <c r="M247" i="2"/>
  <c r="G247" i="2"/>
  <c r="F247" i="2"/>
  <c r="B247" i="2"/>
  <c r="A247" i="2"/>
  <c r="R246" i="2"/>
  <c r="Q246" i="2"/>
  <c r="P246" i="2"/>
  <c r="M246" i="2"/>
  <c r="G246" i="2"/>
  <c r="F246" i="2"/>
  <c r="B246" i="2"/>
  <c r="A246" i="2"/>
  <c r="R245" i="2"/>
  <c r="Q245" i="2"/>
  <c r="P245" i="2"/>
  <c r="M245" i="2"/>
  <c r="G245" i="2"/>
  <c r="F245" i="2"/>
  <c r="B245" i="2"/>
  <c r="A245" i="2"/>
  <c r="R244" i="2"/>
  <c r="Q244" i="2"/>
  <c r="P244" i="2"/>
  <c r="M244" i="2"/>
  <c r="G244" i="2"/>
  <c r="F244" i="2"/>
  <c r="B244" i="2"/>
  <c r="A244" i="2"/>
  <c r="R243" i="2"/>
  <c r="Q243" i="2"/>
  <c r="P243" i="2"/>
  <c r="M243" i="2"/>
  <c r="G243" i="2"/>
  <c r="F243" i="2"/>
  <c r="B243" i="2"/>
  <c r="A243" i="2"/>
  <c r="R242" i="2"/>
  <c r="Q242" i="2"/>
  <c r="P242" i="2"/>
  <c r="M242" i="2"/>
  <c r="G242" i="2"/>
  <c r="F242" i="2"/>
  <c r="B242" i="2"/>
  <c r="A242" i="2"/>
  <c r="R241" i="2"/>
  <c r="Q241" i="2"/>
  <c r="P241" i="2"/>
  <c r="M241" i="2"/>
  <c r="G241" i="2"/>
  <c r="F241" i="2"/>
  <c r="B241" i="2"/>
  <c r="A241" i="2"/>
  <c r="R240" i="2"/>
  <c r="Q240" i="2"/>
  <c r="P240" i="2"/>
  <c r="M240" i="2"/>
  <c r="G240" i="2"/>
  <c r="F240" i="2"/>
  <c r="B240" i="2"/>
  <c r="A240" i="2"/>
  <c r="R239" i="2"/>
  <c r="Q239" i="2"/>
  <c r="P239" i="2"/>
  <c r="M239" i="2"/>
  <c r="G239" i="2"/>
  <c r="F239" i="2"/>
  <c r="B239" i="2"/>
  <c r="A239" i="2"/>
  <c r="R238" i="2"/>
  <c r="Q238" i="2"/>
  <c r="P238" i="2"/>
  <c r="M238" i="2"/>
  <c r="G238" i="2"/>
  <c r="F238" i="2"/>
  <c r="B238" i="2"/>
  <c r="A238" i="2"/>
  <c r="R237" i="2"/>
  <c r="Q237" i="2"/>
  <c r="P237" i="2"/>
  <c r="M237" i="2"/>
  <c r="G237" i="2"/>
  <c r="F237" i="2"/>
  <c r="B237" i="2"/>
  <c r="A237" i="2"/>
  <c r="R236" i="2"/>
  <c r="Q236" i="2"/>
  <c r="P236" i="2"/>
  <c r="M236" i="2"/>
  <c r="G236" i="2"/>
  <c r="F236" i="2"/>
  <c r="B236" i="2"/>
  <c r="A236" i="2"/>
  <c r="R235" i="2"/>
  <c r="Q235" i="2"/>
  <c r="P235" i="2"/>
  <c r="M235" i="2"/>
  <c r="G235" i="2"/>
  <c r="F235" i="2"/>
  <c r="B235" i="2"/>
  <c r="A235" i="2"/>
  <c r="R234" i="2"/>
  <c r="Q234" i="2"/>
  <c r="P234" i="2"/>
  <c r="M234" i="2"/>
  <c r="G234" i="2"/>
  <c r="F234" i="2"/>
  <c r="B234" i="2"/>
  <c r="A234" i="2"/>
  <c r="R233" i="2"/>
  <c r="Q233" i="2"/>
  <c r="P233" i="2"/>
  <c r="M233" i="2"/>
  <c r="G233" i="2"/>
  <c r="F233" i="2"/>
  <c r="B233" i="2"/>
  <c r="A233" i="2"/>
  <c r="R232" i="2"/>
  <c r="Q232" i="2"/>
  <c r="P232" i="2"/>
  <c r="M232" i="2"/>
  <c r="G232" i="2"/>
  <c r="F232" i="2"/>
  <c r="B232" i="2"/>
  <c r="A232" i="2"/>
  <c r="R231" i="2"/>
  <c r="Q231" i="2"/>
  <c r="P231" i="2"/>
  <c r="M231" i="2"/>
  <c r="G231" i="2"/>
  <c r="F231" i="2"/>
  <c r="B231" i="2"/>
  <c r="A231" i="2"/>
  <c r="R230" i="2"/>
  <c r="Q230" i="2"/>
  <c r="P230" i="2"/>
  <c r="M230" i="2"/>
  <c r="G230" i="2"/>
  <c r="F230" i="2"/>
  <c r="B230" i="2"/>
  <c r="A230" i="2"/>
  <c r="R229" i="2"/>
  <c r="Q229" i="2"/>
  <c r="P229" i="2"/>
  <c r="M229" i="2"/>
  <c r="G229" i="2"/>
  <c r="F229" i="2"/>
  <c r="B229" i="2"/>
  <c r="A229" i="2"/>
  <c r="R228" i="2"/>
  <c r="Q228" i="2"/>
  <c r="P228" i="2"/>
  <c r="M228" i="2"/>
  <c r="G228" i="2"/>
  <c r="F228" i="2"/>
  <c r="B228" i="2"/>
  <c r="A228" i="2"/>
  <c r="R227" i="2"/>
  <c r="Q227" i="2"/>
  <c r="P227" i="2"/>
  <c r="M227" i="2"/>
  <c r="G227" i="2"/>
  <c r="F227" i="2"/>
  <c r="B227" i="2"/>
  <c r="A227" i="2"/>
  <c r="R226" i="2"/>
  <c r="Q226" i="2"/>
  <c r="P226" i="2"/>
  <c r="M226" i="2"/>
  <c r="G226" i="2"/>
  <c r="F226" i="2"/>
  <c r="B226" i="2"/>
  <c r="A226" i="2"/>
  <c r="R225" i="2"/>
  <c r="Q225" i="2"/>
  <c r="P225" i="2"/>
  <c r="M225" i="2"/>
  <c r="G225" i="2"/>
  <c r="F225" i="2"/>
  <c r="B225" i="2"/>
  <c r="A225" i="2"/>
  <c r="R224" i="2"/>
  <c r="Q224" i="2"/>
  <c r="P224" i="2"/>
  <c r="M224" i="2"/>
  <c r="G224" i="2"/>
  <c r="F224" i="2"/>
  <c r="B224" i="2"/>
  <c r="A224" i="2"/>
  <c r="R223" i="2"/>
  <c r="Q223" i="2"/>
  <c r="P223" i="2"/>
  <c r="M223" i="2"/>
  <c r="G223" i="2"/>
  <c r="F223" i="2"/>
  <c r="B223" i="2"/>
  <c r="A223" i="2"/>
  <c r="R222" i="2"/>
  <c r="Q222" i="2"/>
  <c r="P222" i="2"/>
  <c r="M222" i="2"/>
  <c r="G222" i="2"/>
  <c r="F222" i="2"/>
  <c r="B222" i="2"/>
  <c r="A222" i="2"/>
  <c r="R221" i="2"/>
  <c r="Q221" i="2"/>
  <c r="P221" i="2"/>
  <c r="M221" i="2"/>
  <c r="G221" i="2"/>
  <c r="F221" i="2"/>
  <c r="B221" i="2"/>
  <c r="A221" i="2"/>
  <c r="R220" i="2"/>
  <c r="Q220" i="2"/>
  <c r="P220" i="2"/>
  <c r="M220" i="2"/>
  <c r="G220" i="2"/>
  <c r="F220" i="2"/>
  <c r="B220" i="2"/>
  <c r="A220" i="2"/>
  <c r="R219" i="2"/>
  <c r="Q219" i="2"/>
  <c r="P219" i="2"/>
  <c r="M219" i="2"/>
  <c r="G219" i="2"/>
  <c r="F219" i="2"/>
  <c r="B219" i="2"/>
  <c r="A219" i="2"/>
  <c r="R218" i="2"/>
  <c r="Q218" i="2"/>
  <c r="P218" i="2"/>
  <c r="M218" i="2"/>
  <c r="G218" i="2"/>
  <c r="F218" i="2"/>
  <c r="B218" i="2"/>
  <c r="A218" i="2"/>
  <c r="R217" i="2"/>
  <c r="Q217" i="2"/>
  <c r="P217" i="2"/>
  <c r="M217" i="2"/>
  <c r="G217" i="2"/>
  <c r="F217" i="2"/>
  <c r="B217" i="2"/>
  <c r="A217" i="2"/>
  <c r="R216" i="2"/>
  <c r="Q216" i="2"/>
  <c r="P216" i="2"/>
  <c r="M216" i="2"/>
  <c r="G216" i="2"/>
  <c r="F216" i="2"/>
  <c r="B216" i="2"/>
  <c r="A216" i="2"/>
  <c r="R215" i="2"/>
  <c r="Q215" i="2"/>
  <c r="P215" i="2"/>
  <c r="M215" i="2"/>
  <c r="G215" i="2"/>
  <c r="F215" i="2"/>
  <c r="B215" i="2"/>
  <c r="A215" i="2"/>
  <c r="R214" i="2"/>
  <c r="Q214" i="2"/>
  <c r="P214" i="2"/>
  <c r="M214" i="2"/>
  <c r="G214" i="2"/>
  <c r="F214" i="2"/>
  <c r="B214" i="2"/>
  <c r="A214" i="2"/>
  <c r="R213" i="2"/>
  <c r="Q213" i="2"/>
  <c r="P213" i="2"/>
  <c r="M213" i="2"/>
  <c r="G213" i="2"/>
  <c r="F213" i="2"/>
  <c r="B213" i="2"/>
  <c r="A213" i="2"/>
  <c r="R212" i="2"/>
  <c r="Q212" i="2"/>
  <c r="P212" i="2"/>
  <c r="M212" i="2"/>
  <c r="G212" i="2"/>
  <c r="F212" i="2"/>
  <c r="B212" i="2"/>
  <c r="A212" i="2"/>
  <c r="R211" i="2"/>
  <c r="Q211" i="2"/>
  <c r="P211" i="2"/>
  <c r="M211" i="2"/>
  <c r="G211" i="2"/>
  <c r="F211" i="2"/>
  <c r="B211" i="2"/>
  <c r="A211" i="2"/>
  <c r="R210" i="2"/>
  <c r="Q210" i="2"/>
  <c r="P210" i="2"/>
  <c r="M210" i="2"/>
  <c r="G210" i="2"/>
  <c r="F210" i="2"/>
  <c r="B210" i="2"/>
  <c r="A210" i="2"/>
  <c r="R209" i="2"/>
  <c r="Q209" i="2"/>
  <c r="P209" i="2"/>
  <c r="M209" i="2"/>
  <c r="G209" i="2"/>
  <c r="F209" i="2"/>
  <c r="B209" i="2"/>
  <c r="A209" i="2"/>
  <c r="R208" i="2"/>
  <c r="Q208" i="2"/>
  <c r="P208" i="2"/>
  <c r="M208" i="2"/>
  <c r="G208" i="2"/>
  <c r="F208" i="2"/>
  <c r="B208" i="2"/>
  <c r="A208" i="2"/>
  <c r="R207" i="2"/>
  <c r="Q207" i="2"/>
  <c r="P207" i="2"/>
  <c r="M207" i="2"/>
  <c r="G207" i="2"/>
  <c r="F207" i="2"/>
  <c r="B207" i="2"/>
  <c r="A207" i="2"/>
  <c r="R206" i="2"/>
  <c r="Q206" i="2"/>
  <c r="P206" i="2"/>
  <c r="M206" i="2"/>
  <c r="G206" i="2"/>
  <c r="F206" i="2"/>
  <c r="B206" i="2"/>
  <c r="A206" i="2"/>
  <c r="R205" i="2"/>
  <c r="Q205" i="2"/>
  <c r="P205" i="2"/>
  <c r="M205" i="2"/>
  <c r="G205" i="2"/>
  <c r="F205" i="2"/>
  <c r="B205" i="2"/>
  <c r="A205" i="2"/>
  <c r="R204" i="2"/>
  <c r="Q204" i="2"/>
  <c r="P204" i="2"/>
  <c r="M204" i="2"/>
  <c r="G204" i="2"/>
  <c r="F204" i="2"/>
  <c r="B204" i="2"/>
  <c r="C205" i="2" s="1"/>
  <c r="A204" i="2"/>
  <c r="R203" i="2"/>
  <c r="Q203" i="2"/>
  <c r="P203" i="2"/>
  <c r="M203" i="2"/>
  <c r="G203" i="2"/>
  <c r="F203" i="2"/>
  <c r="B203" i="2"/>
  <c r="A203" i="2"/>
  <c r="R202" i="2"/>
  <c r="Q202" i="2"/>
  <c r="P202" i="2"/>
  <c r="M202" i="2"/>
  <c r="G202" i="2"/>
  <c r="F202" i="2"/>
  <c r="B202" i="2"/>
  <c r="A202" i="2"/>
  <c r="R201" i="2"/>
  <c r="Q201" i="2"/>
  <c r="P201" i="2"/>
  <c r="M201" i="2"/>
  <c r="G201" i="2"/>
  <c r="F201" i="2"/>
  <c r="B201" i="2"/>
  <c r="A201" i="2"/>
  <c r="R200" i="2"/>
  <c r="Q200" i="2"/>
  <c r="P200" i="2"/>
  <c r="M200" i="2"/>
  <c r="G200" i="2"/>
  <c r="F200" i="2"/>
  <c r="B200" i="2"/>
  <c r="A200" i="2"/>
  <c r="R199" i="2"/>
  <c r="Q199" i="2"/>
  <c r="P199" i="2"/>
  <c r="M199" i="2"/>
  <c r="G199" i="2"/>
  <c r="F199" i="2"/>
  <c r="B199" i="2"/>
  <c r="A199" i="2"/>
  <c r="R198" i="2"/>
  <c r="Q198" i="2"/>
  <c r="P198" i="2"/>
  <c r="M198" i="2"/>
  <c r="G198" i="2"/>
  <c r="F198" i="2"/>
  <c r="B198" i="2"/>
  <c r="A198" i="2"/>
  <c r="R197" i="2"/>
  <c r="Q197" i="2"/>
  <c r="P197" i="2"/>
  <c r="M197" i="2"/>
  <c r="G197" i="2"/>
  <c r="F197" i="2"/>
  <c r="B197" i="2"/>
  <c r="A197" i="2"/>
  <c r="R196" i="2"/>
  <c r="Q196" i="2"/>
  <c r="P196" i="2"/>
  <c r="M196" i="2"/>
  <c r="G196" i="2"/>
  <c r="F196" i="2"/>
  <c r="B196" i="2"/>
  <c r="A196" i="2"/>
  <c r="R195" i="2"/>
  <c r="Q195" i="2"/>
  <c r="P195" i="2"/>
  <c r="M195" i="2"/>
  <c r="G195" i="2"/>
  <c r="F195" i="2"/>
  <c r="B195" i="2"/>
  <c r="A195" i="2"/>
  <c r="R194" i="2"/>
  <c r="Q194" i="2"/>
  <c r="P194" i="2"/>
  <c r="M194" i="2"/>
  <c r="G194" i="2"/>
  <c r="F194" i="2"/>
  <c r="B194" i="2"/>
  <c r="A194" i="2"/>
  <c r="R193" i="2"/>
  <c r="Q193" i="2"/>
  <c r="P193" i="2"/>
  <c r="M193" i="2"/>
  <c r="G193" i="2"/>
  <c r="F193" i="2"/>
  <c r="B193" i="2"/>
  <c r="A193" i="2"/>
  <c r="R192" i="2"/>
  <c r="Q192" i="2"/>
  <c r="P192" i="2"/>
  <c r="M192" i="2"/>
  <c r="G192" i="2"/>
  <c r="F192" i="2"/>
  <c r="B192" i="2"/>
  <c r="A192" i="2"/>
  <c r="R191" i="2"/>
  <c r="Q191" i="2"/>
  <c r="P191" i="2"/>
  <c r="M191" i="2"/>
  <c r="G191" i="2"/>
  <c r="F191" i="2"/>
  <c r="B191" i="2"/>
  <c r="A191" i="2"/>
  <c r="R190" i="2"/>
  <c r="Q190" i="2"/>
  <c r="P190" i="2"/>
  <c r="M190" i="2"/>
  <c r="G190" i="2"/>
  <c r="F190" i="2"/>
  <c r="B190" i="2"/>
  <c r="A190" i="2"/>
  <c r="R189" i="2"/>
  <c r="Q189" i="2"/>
  <c r="P189" i="2"/>
  <c r="M189" i="2"/>
  <c r="G189" i="2"/>
  <c r="F189" i="2"/>
  <c r="B189" i="2"/>
  <c r="A189" i="2"/>
  <c r="R188" i="2"/>
  <c r="Q188" i="2"/>
  <c r="P188" i="2"/>
  <c r="M188" i="2"/>
  <c r="G188" i="2"/>
  <c r="F188" i="2"/>
  <c r="B188" i="2"/>
  <c r="A188" i="2"/>
  <c r="R187" i="2"/>
  <c r="Q187" i="2"/>
  <c r="P187" i="2"/>
  <c r="M187" i="2"/>
  <c r="G187" i="2"/>
  <c r="F187" i="2"/>
  <c r="B187" i="2"/>
  <c r="A187" i="2"/>
  <c r="R186" i="2"/>
  <c r="Q186" i="2"/>
  <c r="P186" i="2"/>
  <c r="M186" i="2"/>
  <c r="G186" i="2"/>
  <c r="F186" i="2"/>
  <c r="B186" i="2"/>
  <c r="A186" i="2"/>
  <c r="R185" i="2"/>
  <c r="Q185" i="2"/>
  <c r="P185" i="2"/>
  <c r="M185" i="2"/>
  <c r="G185" i="2"/>
  <c r="F185" i="2"/>
  <c r="B185" i="2"/>
  <c r="A185" i="2"/>
  <c r="R184" i="2"/>
  <c r="Q184" i="2"/>
  <c r="P184" i="2"/>
  <c r="M184" i="2"/>
  <c r="G184" i="2"/>
  <c r="F184" i="2"/>
  <c r="B184" i="2"/>
  <c r="A184" i="2"/>
  <c r="R183" i="2"/>
  <c r="Q183" i="2"/>
  <c r="P183" i="2"/>
  <c r="M183" i="2"/>
  <c r="G183" i="2"/>
  <c r="F183" i="2"/>
  <c r="B183" i="2"/>
  <c r="A183" i="2"/>
  <c r="R182" i="2"/>
  <c r="Q182" i="2"/>
  <c r="P182" i="2"/>
  <c r="M182" i="2"/>
  <c r="G182" i="2"/>
  <c r="F182" i="2"/>
  <c r="B182" i="2"/>
  <c r="A182" i="2"/>
  <c r="R181" i="2"/>
  <c r="Q181" i="2"/>
  <c r="P181" i="2"/>
  <c r="M181" i="2"/>
  <c r="G181" i="2"/>
  <c r="F181" i="2"/>
  <c r="B181" i="2"/>
  <c r="A181" i="2"/>
  <c r="R180" i="2"/>
  <c r="Q180" i="2"/>
  <c r="P180" i="2"/>
  <c r="M180" i="2"/>
  <c r="G180" i="2"/>
  <c r="F180" i="2"/>
  <c r="B180" i="2"/>
  <c r="A180" i="2"/>
  <c r="R179" i="2"/>
  <c r="Q179" i="2"/>
  <c r="P179" i="2"/>
  <c r="M179" i="2"/>
  <c r="G179" i="2"/>
  <c r="F179" i="2"/>
  <c r="B179" i="2"/>
  <c r="A179" i="2"/>
  <c r="R178" i="2"/>
  <c r="Q178" i="2"/>
  <c r="P178" i="2"/>
  <c r="M178" i="2"/>
  <c r="G178" i="2"/>
  <c r="F178" i="2"/>
  <c r="B178" i="2"/>
  <c r="A178" i="2"/>
  <c r="R177" i="2"/>
  <c r="Q177" i="2"/>
  <c r="P177" i="2"/>
  <c r="M177" i="2"/>
  <c r="G177" i="2"/>
  <c r="F177" i="2"/>
  <c r="B177" i="2"/>
  <c r="A177" i="2"/>
  <c r="R176" i="2"/>
  <c r="Q176" i="2"/>
  <c r="P176" i="2"/>
  <c r="M176" i="2"/>
  <c r="G176" i="2"/>
  <c r="F176" i="2"/>
  <c r="B176" i="2"/>
  <c r="A176" i="2"/>
  <c r="R175" i="2"/>
  <c r="Q175" i="2"/>
  <c r="P175" i="2"/>
  <c r="M175" i="2"/>
  <c r="G175" i="2"/>
  <c r="F175" i="2"/>
  <c r="B175" i="2"/>
  <c r="A175" i="2"/>
  <c r="R174" i="2"/>
  <c r="Q174" i="2"/>
  <c r="P174" i="2"/>
  <c r="M174" i="2"/>
  <c r="G174" i="2"/>
  <c r="F174" i="2"/>
  <c r="B174" i="2"/>
  <c r="A174" i="2"/>
  <c r="R173" i="2"/>
  <c r="Q173" i="2"/>
  <c r="P173" i="2"/>
  <c r="M173" i="2"/>
  <c r="G173" i="2"/>
  <c r="F173" i="2"/>
  <c r="B173" i="2"/>
  <c r="A173" i="2"/>
  <c r="R172" i="2"/>
  <c r="Q172" i="2"/>
  <c r="P172" i="2"/>
  <c r="M172" i="2"/>
  <c r="G172" i="2"/>
  <c r="F172" i="2"/>
  <c r="B172" i="2"/>
  <c r="C173" i="2" s="1"/>
  <c r="A172" i="2"/>
  <c r="R171" i="2"/>
  <c r="Q171" i="2"/>
  <c r="P171" i="2"/>
  <c r="M171" i="2"/>
  <c r="G171" i="2"/>
  <c r="F171" i="2"/>
  <c r="B171" i="2"/>
  <c r="A171" i="2"/>
  <c r="R170" i="2"/>
  <c r="Q170" i="2"/>
  <c r="P170" i="2"/>
  <c r="M170" i="2"/>
  <c r="G170" i="2"/>
  <c r="F170" i="2"/>
  <c r="B170" i="2"/>
  <c r="C170" i="2" s="1"/>
  <c r="A170" i="2"/>
  <c r="R169" i="2"/>
  <c r="Q169" i="2"/>
  <c r="P169" i="2"/>
  <c r="M169" i="2"/>
  <c r="G169" i="2"/>
  <c r="F169" i="2"/>
  <c r="C169" i="2"/>
  <c r="B169" i="2"/>
  <c r="A169" i="2"/>
  <c r="R168" i="2"/>
  <c r="Q168" i="2"/>
  <c r="P168" i="2"/>
  <c r="M168" i="2"/>
  <c r="G168" i="2"/>
  <c r="F168" i="2"/>
  <c r="B168" i="2"/>
  <c r="A168" i="2"/>
  <c r="R167" i="2"/>
  <c r="Q167" i="2"/>
  <c r="P167" i="2"/>
  <c r="M167" i="2"/>
  <c r="G167" i="2"/>
  <c r="F167" i="2"/>
  <c r="B167" i="2"/>
  <c r="A167" i="2"/>
  <c r="R166" i="2"/>
  <c r="Q166" i="2"/>
  <c r="P166" i="2"/>
  <c r="M166" i="2"/>
  <c r="G166" i="2"/>
  <c r="F166" i="2"/>
  <c r="B166" i="2"/>
  <c r="A166" i="2"/>
  <c r="R165" i="2"/>
  <c r="Q165" i="2"/>
  <c r="P165" i="2"/>
  <c r="M165" i="2"/>
  <c r="G165" i="2"/>
  <c r="F165" i="2"/>
  <c r="B165" i="2"/>
  <c r="A165" i="2"/>
  <c r="R164" i="2"/>
  <c r="Q164" i="2"/>
  <c r="P164" i="2"/>
  <c r="M164" i="2"/>
  <c r="G164" i="2"/>
  <c r="F164" i="2"/>
  <c r="B164" i="2"/>
  <c r="A164" i="2"/>
  <c r="R163" i="2"/>
  <c r="Q163" i="2"/>
  <c r="P163" i="2"/>
  <c r="M163" i="2"/>
  <c r="G163" i="2"/>
  <c r="F163" i="2"/>
  <c r="B163" i="2"/>
  <c r="A163" i="2"/>
  <c r="R162" i="2"/>
  <c r="Q162" i="2"/>
  <c r="P162" i="2"/>
  <c r="M162" i="2"/>
  <c r="G162" i="2"/>
  <c r="F162" i="2"/>
  <c r="B162" i="2"/>
  <c r="A162" i="2"/>
  <c r="R161" i="2"/>
  <c r="Q161" i="2"/>
  <c r="P161" i="2"/>
  <c r="M161" i="2"/>
  <c r="G161" i="2"/>
  <c r="F161" i="2"/>
  <c r="B161" i="2"/>
  <c r="A161" i="2"/>
  <c r="R160" i="2"/>
  <c r="Q160" i="2"/>
  <c r="P160" i="2"/>
  <c r="M160" i="2"/>
  <c r="G160" i="2"/>
  <c r="F160" i="2"/>
  <c r="B160" i="2"/>
  <c r="A160" i="2"/>
  <c r="R159" i="2"/>
  <c r="Q159" i="2"/>
  <c r="P159" i="2"/>
  <c r="M159" i="2"/>
  <c r="G159" i="2"/>
  <c r="F159" i="2"/>
  <c r="B159" i="2"/>
  <c r="A159" i="2"/>
  <c r="R158" i="2"/>
  <c r="Q158" i="2"/>
  <c r="P158" i="2"/>
  <c r="M158" i="2"/>
  <c r="G158" i="2"/>
  <c r="F158" i="2"/>
  <c r="B158" i="2"/>
  <c r="A158" i="2"/>
  <c r="R157" i="2"/>
  <c r="Q157" i="2"/>
  <c r="P157" i="2"/>
  <c r="M157" i="2"/>
  <c r="G157" i="2"/>
  <c r="F157" i="2"/>
  <c r="B157" i="2"/>
  <c r="A157" i="2"/>
  <c r="R156" i="2"/>
  <c r="Q156" i="2"/>
  <c r="P156" i="2"/>
  <c r="M156" i="2"/>
  <c r="G156" i="2"/>
  <c r="F156" i="2"/>
  <c r="B156" i="2"/>
  <c r="A156" i="2"/>
  <c r="R155" i="2"/>
  <c r="Q155" i="2"/>
  <c r="P155" i="2"/>
  <c r="M155" i="2"/>
  <c r="G155" i="2"/>
  <c r="F155" i="2"/>
  <c r="B155" i="2"/>
  <c r="A155" i="2"/>
  <c r="R154" i="2"/>
  <c r="Q154" i="2"/>
  <c r="P154" i="2"/>
  <c r="M154" i="2"/>
  <c r="G154" i="2"/>
  <c r="F154" i="2"/>
  <c r="B154" i="2"/>
  <c r="A154" i="2"/>
  <c r="R153" i="2"/>
  <c r="Q153" i="2"/>
  <c r="P153" i="2"/>
  <c r="M153" i="2"/>
  <c r="G153" i="2"/>
  <c r="F153" i="2"/>
  <c r="B153" i="2"/>
  <c r="A153" i="2"/>
  <c r="R152" i="2"/>
  <c r="Q152" i="2"/>
  <c r="P152" i="2"/>
  <c r="M152" i="2"/>
  <c r="G152" i="2"/>
  <c r="F152" i="2"/>
  <c r="B152" i="2"/>
  <c r="A152" i="2"/>
  <c r="R151" i="2"/>
  <c r="Q151" i="2"/>
  <c r="P151" i="2"/>
  <c r="M151" i="2"/>
  <c r="G151" i="2"/>
  <c r="F151" i="2"/>
  <c r="B151" i="2"/>
  <c r="A151" i="2"/>
  <c r="R150" i="2"/>
  <c r="Q150" i="2"/>
  <c r="P150" i="2"/>
  <c r="M150" i="2"/>
  <c r="G150" i="2"/>
  <c r="F150" i="2"/>
  <c r="B150" i="2"/>
  <c r="A150" i="2"/>
  <c r="R149" i="2"/>
  <c r="Q149" i="2"/>
  <c r="P149" i="2"/>
  <c r="M149" i="2"/>
  <c r="G149" i="2"/>
  <c r="F149" i="2"/>
  <c r="B149" i="2"/>
  <c r="A149" i="2"/>
  <c r="R148" i="2"/>
  <c r="Q148" i="2"/>
  <c r="P148" i="2"/>
  <c r="M148" i="2"/>
  <c r="G148" i="2"/>
  <c r="F148" i="2"/>
  <c r="B148" i="2"/>
  <c r="A148" i="2"/>
  <c r="R147" i="2"/>
  <c r="Q147" i="2"/>
  <c r="P147" i="2"/>
  <c r="M147" i="2"/>
  <c r="G147" i="2"/>
  <c r="F147" i="2"/>
  <c r="B147" i="2"/>
  <c r="A147" i="2"/>
  <c r="R146" i="2"/>
  <c r="Q146" i="2"/>
  <c r="P146" i="2"/>
  <c r="M146" i="2"/>
  <c r="G146" i="2"/>
  <c r="F146" i="2"/>
  <c r="B146" i="2"/>
  <c r="A146" i="2"/>
  <c r="R145" i="2"/>
  <c r="Q145" i="2"/>
  <c r="P145" i="2"/>
  <c r="M145" i="2"/>
  <c r="G145" i="2"/>
  <c r="F145" i="2"/>
  <c r="B145" i="2"/>
  <c r="A145" i="2"/>
  <c r="R144" i="2"/>
  <c r="Q144" i="2"/>
  <c r="P144" i="2"/>
  <c r="M144" i="2"/>
  <c r="G144" i="2"/>
  <c r="F144" i="2"/>
  <c r="B144" i="2"/>
  <c r="A144" i="2"/>
  <c r="R143" i="2"/>
  <c r="Q143" i="2"/>
  <c r="P143" i="2"/>
  <c r="M143" i="2"/>
  <c r="G143" i="2"/>
  <c r="F143" i="2"/>
  <c r="B143" i="2"/>
  <c r="A143" i="2"/>
  <c r="R142" i="2"/>
  <c r="Q142" i="2"/>
  <c r="P142" i="2"/>
  <c r="M142" i="2"/>
  <c r="G142" i="2"/>
  <c r="F142" i="2"/>
  <c r="B142" i="2"/>
  <c r="A142" i="2"/>
  <c r="R141" i="2"/>
  <c r="Q141" i="2"/>
  <c r="P141" i="2"/>
  <c r="M141" i="2"/>
  <c r="G141" i="2"/>
  <c r="F141" i="2"/>
  <c r="B141" i="2"/>
  <c r="A141" i="2"/>
  <c r="R140" i="2"/>
  <c r="Q140" i="2"/>
  <c r="P140" i="2"/>
  <c r="M140" i="2"/>
  <c r="G140" i="2"/>
  <c r="F140" i="2"/>
  <c r="B140" i="2"/>
  <c r="A140" i="2"/>
  <c r="R139" i="2"/>
  <c r="Q139" i="2"/>
  <c r="P139" i="2"/>
  <c r="M139" i="2"/>
  <c r="G139" i="2"/>
  <c r="F139" i="2"/>
  <c r="B139" i="2"/>
  <c r="A139" i="2"/>
  <c r="R138" i="2"/>
  <c r="Q138" i="2"/>
  <c r="P138" i="2"/>
  <c r="M138" i="2"/>
  <c r="G138" i="2"/>
  <c r="F138" i="2"/>
  <c r="B138" i="2"/>
  <c r="C139" i="2" s="1"/>
  <c r="A138" i="2"/>
  <c r="R137" i="2"/>
  <c r="Q137" i="2"/>
  <c r="P137" i="2"/>
  <c r="M137" i="2"/>
  <c r="G137" i="2"/>
  <c r="F137" i="2"/>
  <c r="B137" i="2"/>
  <c r="A137" i="2"/>
  <c r="R136" i="2"/>
  <c r="Q136" i="2"/>
  <c r="P136" i="2"/>
  <c r="M136" i="2"/>
  <c r="G136" i="2"/>
  <c r="F136" i="2"/>
  <c r="B136" i="2"/>
  <c r="A136" i="2"/>
  <c r="R135" i="2"/>
  <c r="Q135" i="2"/>
  <c r="P135" i="2"/>
  <c r="M135" i="2"/>
  <c r="G135" i="2"/>
  <c r="F135" i="2"/>
  <c r="B135" i="2"/>
  <c r="A135" i="2"/>
  <c r="R134" i="2"/>
  <c r="Q134" i="2"/>
  <c r="P134" i="2"/>
  <c r="M134" i="2"/>
  <c r="G134" i="2"/>
  <c r="F134" i="2"/>
  <c r="B134" i="2"/>
  <c r="C135" i="2" s="1"/>
  <c r="A134" i="2"/>
  <c r="R133" i="2"/>
  <c r="Q133" i="2"/>
  <c r="P133" i="2"/>
  <c r="M133" i="2"/>
  <c r="G133" i="2"/>
  <c r="F133" i="2"/>
  <c r="B133" i="2"/>
  <c r="A133" i="2"/>
  <c r="R132" i="2"/>
  <c r="Q132" i="2"/>
  <c r="P132" i="2"/>
  <c r="M132" i="2"/>
  <c r="G132" i="2"/>
  <c r="F132" i="2"/>
  <c r="B132" i="2"/>
  <c r="A132" i="2"/>
  <c r="R131" i="2"/>
  <c r="Q131" i="2"/>
  <c r="P131" i="2"/>
  <c r="M131" i="2"/>
  <c r="G131" i="2"/>
  <c r="F131" i="2"/>
  <c r="B131" i="2"/>
  <c r="A131" i="2"/>
  <c r="R130" i="2"/>
  <c r="Q130" i="2"/>
  <c r="P130" i="2"/>
  <c r="M130" i="2"/>
  <c r="G130" i="2"/>
  <c r="F130" i="2"/>
  <c r="B130" i="2"/>
  <c r="A130" i="2"/>
  <c r="R129" i="2"/>
  <c r="Q129" i="2"/>
  <c r="P129" i="2"/>
  <c r="M129" i="2"/>
  <c r="G129" i="2"/>
  <c r="F129" i="2"/>
  <c r="B129" i="2"/>
  <c r="A129" i="2"/>
  <c r="R128" i="2"/>
  <c r="Q128" i="2"/>
  <c r="P128" i="2"/>
  <c r="M128" i="2"/>
  <c r="G128" i="2"/>
  <c r="F128" i="2"/>
  <c r="B128" i="2"/>
  <c r="A128" i="2"/>
  <c r="R127" i="2"/>
  <c r="Q127" i="2"/>
  <c r="P127" i="2"/>
  <c r="M127" i="2"/>
  <c r="G127" i="2"/>
  <c r="F127" i="2"/>
  <c r="B127" i="2"/>
  <c r="A127" i="2"/>
  <c r="R126" i="2"/>
  <c r="Q126" i="2"/>
  <c r="P126" i="2"/>
  <c r="M126" i="2"/>
  <c r="G126" i="2"/>
  <c r="F126" i="2"/>
  <c r="B126" i="2"/>
  <c r="A126" i="2"/>
  <c r="R125" i="2"/>
  <c r="Q125" i="2"/>
  <c r="P125" i="2"/>
  <c r="M125" i="2"/>
  <c r="G125" i="2"/>
  <c r="F125" i="2"/>
  <c r="B125" i="2"/>
  <c r="A125" i="2"/>
  <c r="R124" i="2"/>
  <c r="Q124" i="2"/>
  <c r="P124" i="2"/>
  <c r="M124" i="2"/>
  <c r="G124" i="2"/>
  <c r="F124" i="2"/>
  <c r="B124" i="2"/>
  <c r="A124" i="2"/>
  <c r="R123" i="2"/>
  <c r="Q123" i="2"/>
  <c r="P123" i="2"/>
  <c r="M123" i="2"/>
  <c r="G123" i="2"/>
  <c r="F123" i="2"/>
  <c r="B123" i="2"/>
  <c r="A123" i="2"/>
  <c r="R122" i="2"/>
  <c r="Q122" i="2"/>
  <c r="P122" i="2"/>
  <c r="M122" i="2"/>
  <c r="G122" i="2"/>
  <c r="F122" i="2"/>
  <c r="B122" i="2"/>
  <c r="A122" i="2"/>
  <c r="R121" i="2"/>
  <c r="Q121" i="2"/>
  <c r="P121" i="2"/>
  <c r="M121" i="2"/>
  <c r="G121" i="2"/>
  <c r="F121" i="2"/>
  <c r="B121" i="2"/>
  <c r="A121" i="2"/>
  <c r="R120" i="2"/>
  <c r="Q120" i="2"/>
  <c r="P120" i="2"/>
  <c r="M120" i="2"/>
  <c r="G120" i="2"/>
  <c r="F120" i="2"/>
  <c r="B120" i="2"/>
  <c r="A120" i="2"/>
  <c r="R119" i="2"/>
  <c r="Q119" i="2"/>
  <c r="P119" i="2"/>
  <c r="M119" i="2"/>
  <c r="G119" i="2"/>
  <c r="F119" i="2"/>
  <c r="B119" i="2"/>
  <c r="A119" i="2"/>
  <c r="R118" i="2"/>
  <c r="Q118" i="2"/>
  <c r="P118" i="2"/>
  <c r="M118" i="2"/>
  <c r="G118" i="2"/>
  <c r="F118" i="2"/>
  <c r="B118" i="2"/>
  <c r="A118" i="2"/>
  <c r="R117" i="2"/>
  <c r="Q117" i="2"/>
  <c r="P117" i="2"/>
  <c r="M117" i="2"/>
  <c r="G117" i="2"/>
  <c r="F117" i="2"/>
  <c r="B117" i="2"/>
  <c r="A117" i="2"/>
  <c r="R116" i="2"/>
  <c r="Q116" i="2"/>
  <c r="P116" i="2"/>
  <c r="M116" i="2"/>
  <c r="G116" i="2"/>
  <c r="F116" i="2"/>
  <c r="B116" i="2"/>
  <c r="A116" i="2"/>
  <c r="R115" i="2"/>
  <c r="Q115" i="2"/>
  <c r="P115" i="2"/>
  <c r="M115" i="2"/>
  <c r="G115" i="2"/>
  <c r="F115" i="2"/>
  <c r="B115" i="2"/>
  <c r="A115" i="2"/>
  <c r="R114" i="2"/>
  <c r="Q114" i="2"/>
  <c r="P114" i="2"/>
  <c r="M114" i="2"/>
  <c r="G114" i="2"/>
  <c r="F114" i="2"/>
  <c r="B114" i="2"/>
  <c r="A114" i="2"/>
  <c r="R113" i="2"/>
  <c r="Q113" i="2"/>
  <c r="P113" i="2"/>
  <c r="M113" i="2"/>
  <c r="G113" i="2"/>
  <c r="F113" i="2"/>
  <c r="B113" i="2"/>
  <c r="A113" i="2"/>
  <c r="R112" i="2"/>
  <c r="Q112" i="2"/>
  <c r="P112" i="2"/>
  <c r="M112" i="2"/>
  <c r="G112" i="2"/>
  <c r="F112" i="2"/>
  <c r="B112" i="2"/>
  <c r="A112" i="2"/>
  <c r="R111" i="2"/>
  <c r="Q111" i="2"/>
  <c r="P111" i="2"/>
  <c r="M111" i="2"/>
  <c r="G111" i="2"/>
  <c r="F111" i="2"/>
  <c r="B111" i="2"/>
  <c r="A111" i="2"/>
  <c r="R110" i="2"/>
  <c r="Q110" i="2"/>
  <c r="P110" i="2"/>
  <c r="M110" i="2"/>
  <c r="G110" i="2"/>
  <c r="F110" i="2"/>
  <c r="B110" i="2"/>
  <c r="A110" i="2"/>
  <c r="R109" i="2"/>
  <c r="Q109" i="2"/>
  <c r="P109" i="2"/>
  <c r="M109" i="2"/>
  <c r="G109" i="2"/>
  <c r="F109" i="2"/>
  <c r="B109" i="2"/>
  <c r="A109" i="2"/>
  <c r="R108" i="2"/>
  <c r="Q108" i="2"/>
  <c r="P108" i="2"/>
  <c r="M108" i="2"/>
  <c r="G108" i="2"/>
  <c r="F108" i="2"/>
  <c r="B108" i="2"/>
  <c r="A108" i="2"/>
  <c r="R107" i="2"/>
  <c r="Q107" i="2"/>
  <c r="P107" i="2"/>
  <c r="M107" i="2"/>
  <c r="G107" i="2"/>
  <c r="F107" i="2"/>
  <c r="B107" i="2"/>
  <c r="A107" i="2"/>
  <c r="R106" i="2"/>
  <c r="Q106" i="2"/>
  <c r="P106" i="2"/>
  <c r="M106" i="2"/>
  <c r="G106" i="2"/>
  <c r="F106" i="2"/>
  <c r="B106" i="2"/>
  <c r="A106" i="2"/>
  <c r="R105" i="2"/>
  <c r="Q105" i="2"/>
  <c r="P105" i="2"/>
  <c r="M105" i="2"/>
  <c r="G105" i="2"/>
  <c r="F105" i="2"/>
  <c r="B105" i="2"/>
  <c r="A105" i="2"/>
  <c r="R104" i="2"/>
  <c r="Q104" i="2"/>
  <c r="P104" i="2"/>
  <c r="M104" i="2"/>
  <c r="G104" i="2"/>
  <c r="F104" i="2"/>
  <c r="B104" i="2"/>
  <c r="A104" i="2"/>
  <c r="R103" i="2"/>
  <c r="Q103" i="2"/>
  <c r="P103" i="2"/>
  <c r="M103" i="2"/>
  <c r="G103" i="2"/>
  <c r="F103" i="2"/>
  <c r="B103" i="2"/>
  <c r="A103" i="2"/>
  <c r="R102" i="2"/>
  <c r="Q102" i="2"/>
  <c r="P102" i="2"/>
  <c r="M102" i="2"/>
  <c r="G102" i="2"/>
  <c r="F102" i="2"/>
  <c r="B102" i="2"/>
  <c r="A102" i="2"/>
  <c r="R101" i="2"/>
  <c r="Q101" i="2"/>
  <c r="P101" i="2"/>
  <c r="M101" i="2"/>
  <c r="G101" i="2"/>
  <c r="F101" i="2"/>
  <c r="B101" i="2"/>
  <c r="A101" i="2"/>
  <c r="R100" i="2"/>
  <c r="Q100" i="2"/>
  <c r="P100" i="2"/>
  <c r="M100" i="2"/>
  <c r="G100" i="2"/>
  <c r="F100" i="2"/>
  <c r="B100" i="2"/>
  <c r="A100" i="2"/>
  <c r="R99" i="2"/>
  <c r="Q99" i="2"/>
  <c r="P99" i="2"/>
  <c r="M99" i="2"/>
  <c r="G99" i="2"/>
  <c r="F99" i="2"/>
  <c r="A99" i="2"/>
  <c r="B99" i="2" s="1"/>
  <c r="R98" i="2"/>
  <c r="Q98" i="2"/>
  <c r="P98" i="2"/>
  <c r="M98" i="2"/>
  <c r="G98" i="2"/>
  <c r="F98" i="2"/>
  <c r="B98" i="2"/>
  <c r="A98" i="2"/>
  <c r="R97" i="2"/>
  <c r="Q97" i="2"/>
  <c r="P97" i="2"/>
  <c r="M97" i="2"/>
  <c r="G97" i="2"/>
  <c r="F97" i="2"/>
  <c r="B97" i="2"/>
  <c r="A97" i="2"/>
  <c r="R96" i="2"/>
  <c r="Q96" i="2"/>
  <c r="P96" i="2"/>
  <c r="M96" i="2"/>
  <c r="G96" i="2"/>
  <c r="F96" i="2"/>
  <c r="B96" i="2"/>
  <c r="A96" i="2"/>
  <c r="R95" i="2"/>
  <c r="Q95" i="2"/>
  <c r="P95" i="2"/>
  <c r="M95" i="2"/>
  <c r="G95" i="2"/>
  <c r="F95" i="2"/>
  <c r="B95" i="2"/>
  <c r="A95" i="2"/>
  <c r="R94" i="2"/>
  <c r="Q94" i="2"/>
  <c r="P94" i="2"/>
  <c r="M94" i="2"/>
  <c r="G94" i="2"/>
  <c r="F94" i="2"/>
  <c r="B94" i="2"/>
  <c r="A94" i="2"/>
  <c r="R93" i="2"/>
  <c r="Q93" i="2"/>
  <c r="P93" i="2"/>
  <c r="M93" i="2"/>
  <c r="F93" i="2"/>
  <c r="B93" i="2"/>
  <c r="A93" i="2"/>
  <c r="R92" i="2"/>
  <c r="Q92" i="2"/>
  <c r="P92" i="2"/>
  <c r="M92" i="2"/>
  <c r="G92" i="2"/>
  <c r="F92" i="2"/>
  <c r="R91" i="2"/>
  <c r="Q91" i="2"/>
  <c r="P91" i="2"/>
  <c r="M91" i="2"/>
  <c r="G91" i="2"/>
  <c r="F91" i="2"/>
  <c r="R90" i="2"/>
  <c r="Q90" i="2"/>
  <c r="P90" i="2"/>
  <c r="M90" i="2"/>
  <c r="G90" i="2"/>
  <c r="F90" i="2"/>
  <c r="R89" i="2"/>
  <c r="Q89" i="2"/>
  <c r="P89" i="2"/>
  <c r="M89" i="2"/>
  <c r="G89" i="2"/>
  <c r="F89" i="2"/>
  <c r="B89" i="2"/>
  <c r="A89" i="2"/>
  <c r="R88" i="2"/>
  <c r="Q88" i="2"/>
  <c r="P88" i="2"/>
  <c r="M88" i="2"/>
  <c r="G88" i="2"/>
  <c r="F88" i="2"/>
  <c r="B88" i="2"/>
  <c r="A88" i="2"/>
  <c r="R87" i="2"/>
  <c r="Q87" i="2"/>
  <c r="P87" i="2"/>
  <c r="M87" i="2"/>
  <c r="G87" i="2"/>
  <c r="F87" i="2"/>
  <c r="R86" i="2"/>
  <c r="Q86" i="2"/>
  <c r="P86" i="2"/>
  <c r="M86" i="2"/>
  <c r="G86" i="2"/>
  <c r="F86" i="2"/>
  <c r="R85" i="2"/>
  <c r="Q85" i="2"/>
  <c r="P85" i="2"/>
  <c r="M85" i="2"/>
  <c r="G85" i="2"/>
  <c r="F85" i="2"/>
  <c r="R84" i="2"/>
  <c r="Q84" i="2"/>
  <c r="P84" i="2"/>
  <c r="M84" i="2"/>
  <c r="G84" i="2"/>
  <c r="F84" i="2"/>
  <c r="R83" i="2"/>
  <c r="Q83" i="2"/>
  <c r="P83" i="2"/>
  <c r="M83" i="2"/>
  <c r="G83" i="2"/>
  <c r="F83" i="2"/>
  <c r="A83" i="2"/>
  <c r="B83" i="2" s="1"/>
  <c r="R82" i="2"/>
  <c r="Q82" i="2"/>
  <c r="P82" i="2"/>
  <c r="M82" i="2"/>
  <c r="R81" i="2"/>
  <c r="Q81" i="2"/>
  <c r="P81" i="2"/>
  <c r="M81" i="2"/>
  <c r="R80" i="2"/>
  <c r="Q80" i="2"/>
  <c r="P80" i="2"/>
  <c r="M80" i="2"/>
  <c r="A80" i="2"/>
  <c r="B80" i="2" s="1"/>
  <c r="R79" i="2"/>
  <c r="Q79" i="2"/>
  <c r="P79" i="2"/>
  <c r="M79" i="2"/>
  <c r="A79" i="2"/>
  <c r="B79" i="2" s="1"/>
  <c r="R78" i="2"/>
  <c r="Q78" i="2"/>
  <c r="P78" i="2"/>
  <c r="M78" i="2"/>
  <c r="R77" i="2"/>
  <c r="Q77" i="2"/>
  <c r="P77" i="2"/>
  <c r="M77" i="2"/>
  <c r="R76" i="2"/>
  <c r="Q76" i="2"/>
  <c r="P76" i="2"/>
  <c r="M76" i="2"/>
  <c r="R75" i="2"/>
  <c r="Q75" i="2"/>
  <c r="P75" i="2"/>
  <c r="M75" i="2"/>
  <c r="R74" i="2"/>
  <c r="Q74" i="2"/>
  <c r="P74" i="2"/>
  <c r="M74" i="2"/>
  <c r="R73" i="2"/>
  <c r="Q73" i="2"/>
  <c r="P73" i="2"/>
  <c r="M73" i="2"/>
  <c r="R72" i="2"/>
  <c r="Q72" i="2"/>
  <c r="P72" i="2"/>
  <c r="M72" i="2"/>
  <c r="R71" i="2"/>
  <c r="Q71" i="2"/>
  <c r="P71" i="2"/>
  <c r="M71" i="2"/>
  <c r="R70" i="2"/>
  <c r="Q70" i="2"/>
  <c r="P70" i="2"/>
  <c r="M70" i="2"/>
  <c r="R69" i="2"/>
  <c r="Q69" i="2"/>
  <c r="P69" i="2"/>
  <c r="M69" i="2"/>
  <c r="R68" i="2"/>
  <c r="Q68" i="2"/>
  <c r="P68" i="2"/>
  <c r="M68" i="2"/>
  <c r="R67" i="2"/>
  <c r="Q67" i="2"/>
  <c r="P67" i="2"/>
  <c r="M67" i="2"/>
  <c r="R66" i="2"/>
  <c r="Q66" i="2"/>
  <c r="P66" i="2"/>
  <c r="M66" i="2"/>
  <c r="G66" i="2"/>
  <c r="F66" i="2"/>
  <c r="A67" i="2" s="1"/>
  <c r="B66" i="2"/>
  <c r="A66" i="2"/>
  <c r="R65" i="2"/>
  <c r="Q65" i="2"/>
  <c r="P65" i="2"/>
  <c r="M65" i="2"/>
  <c r="G65" i="2"/>
  <c r="F65" i="2"/>
  <c r="R64" i="2"/>
  <c r="Q64" i="2"/>
  <c r="P64" i="2"/>
  <c r="M64" i="2"/>
  <c r="G64" i="2"/>
  <c r="F64" i="2"/>
  <c r="R63" i="2"/>
  <c r="Q63" i="2"/>
  <c r="P63" i="2"/>
  <c r="M63" i="2"/>
  <c r="G63" i="2"/>
  <c r="F63" i="2"/>
  <c r="R62" i="2"/>
  <c r="Q62" i="2"/>
  <c r="P62" i="2"/>
  <c r="M62" i="2"/>
  <c r="G62" i="2"/>
  <c r="F62" i="2"/>
  <c r="R61" i="2"/>
  <c r="Q61" i="2"/>
  <c r="P61" i="2"/>
  <c r="M61" i="2"/>
  <c r="G61" i="2"/>
  <c r="F61" i="2"/>
  <c r="R60" i="2"/>
  <c r="Q60" i="2"/>
  <c r="P60" i="2"/>
  <c r="M60" i="2"/>
  <c r="G60" i="2"/>
  <c r="F60" i="2"/>
  <c r="R59" i="2"/>
  <c r="Q59" i="2"/>
  <c r="P59" i="2"/>
  <c r="M59" i="2"/>
  <c r="G59" i="2"/>
  <c r="F59" i="2"/>
  <c r="R58" i="2"/>
  <c r="Q58" i="2"/>
  <c r="P58" i="2"/>
  <c r="M58" i="2"/>
  <c r="G58" i="2"/>
  <c r="F58" i="2"/>
  <c r="R57" i="2"/>
  <c r="Q57" i="2"/>
  <c r="P57" i="2"/>
  <c r="M57" i="2"/>
  <c r="G57" i="2"/>
  <c r="F57" i="2"/>
  <c r="R56" i="2"/>
  <c r="Q56" i="2"/>
  <c r="P56" i="2"/>
  <c r="M56" i="2"/>
  <c r="G56" i="2"/>
  <c r="F56" i="2"/>
  <c r="R55" i="2"/>
  <c r="Q55" i="2"/>
  <c r="P55" i="2"/>
  <c r="M55" i="2"/>
  <c r="G55" i="2"/>
  <c r="F55" i="2"/>
  <c r="R54" i="2"/>
  <c r="Q54" i="2"/>
  <c r="P54" i="2"/>
  <c r="M54" i="2"/>
  <c r="G54" i="2"/>
  <c r="F54" i="2"/>
  <c r="R53" i="2"/>
  <c r="Q53" i="2"/>
  <c r="P53" i="2"/>
  <c r="M53" i="2"/>
  <c r="G53" i="2"/>
  <c r="F53" i="2"/>
  <c r="R52" i="2"/>
  <c r="Q52" i="2"/>
  <c r="P52" i="2"/>
  <c r="M52" i="2"/>
  <c r="G52" i="2"/>
  <c r="F52" i="2"/>
  <c r="R51" i="2"/>
  <c r="Q51" i="2"/>
  <c r="P51" i="2"/>
  <c r="M51" i="2"/>
  <c r="G51" i="2"/>
  <c r="F51" i="2"/>
  <c r="R50" i="2"/>
  <c r="Q50" i="2"/>
  <c r="P50" i="2"/>
  <c r="M50" i="2"/>
  <c r="G50" i="2"/>
  <c r="F50" i="2"/>
  <c r="R49" i="2"/>
  <c r="Q49" i="2"/>
  <c r="P49" i="2"/>
  <c r="M49" i="2"/>
  <c r="G49" i="2"/>
  <c r="F49" i="2"/>
  <c r="R48" i="2"/>
  <c r="Q48" i="2"/>
  <c r="P48" i="2"/>
  <c r="M48" i="2"/>
  <c r="G48" i="2"/>
  <c r="F48" i="2"/>
  <c r="R47" i="2"/>
  <c r="Q47" i="2"/>
  <c r="P47" i="2"/>
  <c r="M47" i="2"/>
  <c r="G47" i="2"/>
  <c r="F47" i="2"/>
  <c r="R46" i="2"/>
  <c r="Q46" i="2"/>
  <c r="P46" i="2"/>
  <c r="M46" i="2"/>
  <c r="G46" i="2"/>
  <c r="F46" i="2"/>
  <c r="R45" i="2"/>
  <c r="Q45" i="2"/>
  <c r="P45" i="2"/>
  <c r="M45" i="2"/>
  <c r="R44" i="2"/>
  <c r="Q44" i="2"/>
  <c r="P44" i="2"/>
  <c r="M44" i="2"/>
  <c r="R43" i="2"/>
  <c r="Q43" i="2"/>
  <c r="P43" i="2"/>
  <c r="M43" i="2"/>
  <c r="R42" i="2"/>
  <c r="Q42" i="2"/>
  <c r="P42" i="2"/>
  <c r="M42" i="2"/>
  <c r="R41" i="2"/>
  <c r="Q41" i="2"/>
  <c r="P41" i="2"/>
  <c r="M41" i="2"/>
  <c r="R40" i="2"/>
  <c r="Q40" i="2"/>
  <c r="P40" i="2"/>
  <c r="M40" i="2"/>
  <c r="R39" i="2"/>
  <c r="Q39" i="2"/>
  <c r="P39" i="2"/>
  <c r="M39" i="2"/>
  <c r="R38" i="2"/>
  <c r="Q38" i="2"/>
  <c r="P38" i="2"/>
  <c r="M38" i="2"/>
  <c r="R37" i="2"/>
  <c r="Q37" i="2"/>
  <c r="P37" i="2"/>
  <c r="M37" i="2"/>
  <c r="R36" i="2"/>
  <c r="Q36" i="2"/>
  <c r="P36" i="2"/>
  <c r="M36" i="2"/>
  <c r="B36" i="2"/>
  <c r="A36" i="2"/>
  <c r="A37" i="2" s="1"/>
  <c r="R35" i="2"/>
  <c r="Q35" i="2"/>
  <c r="P35" i="2"/>
  <c r="M35" i="2"/>
  <c r="R34" i="2"/>
  <c r="Q34" i="2"/>
  <c r="P34" i="2"/>
  <c r="M34" i="2"/>
  <c r="R33" i="2"/>
  <c r="Q33" i="2"/>
  <c r="P33" i="2"/>
  <c r="M33" i="2"/>
  <c r="R32" i="2"/>
  <c r="Q32" i="2"/>
  <c r="P32" i="2"/>
  <c r="M32" i="2"/>
  <c r="R31" i="2"/>
  <c r="Q31" i="2"/>
  <c r="P31" i="2"/>
  <c r="M31" i="2"/>
  <c r="G31" i="2"/>
  <c r="F31" i="2"/>
  <c r="R30" i="2"/>
  <c r="Q30" i="2"/>
  <c r="P30" i="2"/>
  <c r="M30" i="2"/>
  <c r="G30" i="2"/>
  <c r="F30" i="2"/>
  <c r="R29" i="2"/>
  <c r="Q29" i="2"/>
  <c r="P29" i="2"/>
  <c r="M29" i="2"/>
  <c r="G29" i="2"/>
  <c r="F29" i="2"/>
  <c r="R28" i="2"/>
  <c r="Q28" i="2"/>
  <c r="P28" i="2"/>
  <c r="M28" i="2"/>
  <c r="R27" i="2"/>
  <c r="Q27" i="2"/>
  <c r="P27" i="2"/>
  <c r="M27" i="2"/>
  <c r="R26" i="2"/>
  <c r="Q26" i="2"/>
  <c r="P26" i="2"/>
  <c r="M26" i="2"/>
  <c r="A26" i="2"/>
  <c r="B26" i="2" s="1"/>
  <c r="R25" i="2"/>
  <c r="Q25" i="2"/>
  <c r="P25" i="2"/>
  <c r="M25" i="2"/>
  <c r="G25" i="2"/>
  <c r="F25" i="2"/>
  <c r="R24" i="2"/>
  <c r="Q24" i="2"/>
  <c r="P24" i="2"/>
  <c r="M24" i="2"/>
  <c r="G24" i="2"/>
  <c r="F24" i="2"/>
  <c r="R23" i="2"/>
  <c r="Q23" i="2"/>
  <c r="P23" i="2"/>
  <c r="M23" i="2"/>
  <c r="G23" i="2"/>
  <c r="F23" i="2"/>
  <c r="R22" i="2"/>
  <c r="Q22" i="2"/>
  <c r="P22" i="2"/>
  <c r="M22" i="2"/>
  <c r="G22" i="2"/>
  <c r="F22" i="2"/>
  <c r="R21" i="2"/>
  <c r="Q21" i="2"/>
  <c r="P21" i="2"/>
  <c r="M21" i="2"/>
  <c r="G21" i="2"/>
  <c r="F21" i="2"/>
  <c r="R20" i="2"/>
  <c r="Q20" i="2"/>
  <c r="P20" i="2"/>
  <c r="M20" i="2"/>
  <c r="G20" i="2"/>
  <c r="F20" i="2"/>
  <c r="A21" i="2" s="1"/>
  <c r="B21" i="2" s="1"/>
  <c r="A20" i="2"/>
  <c r="B20" i="2" s="1"/>
  <c r="R19" i="2"/>
  <c r="Q19" i="2"/>
  <c r="P19" i="2"/>
  <c r="M19" i="2"/>
  <c r="G19" i="2"/>
  <c r="F19" i="2"/>
  <c r="B19" i="2"/>
  <c r="A19" i="2"/>
  <c r="R18" i="2"/>
  <c r="Q18" i="2"/>
  <c r="P18" i="2"/>
  <c r="M18" i="2"/>
  <c r="G18" i="2"/>
  <c r="F18" i="2"/>
  <c r="R17" i="2"/>
  <c r="Q17" i="2"/>
  <c r="P17" i="2"/>
  <c r="M17" i="2"/>
  <c r="G17" i="2"/>
  <c r="F17" i="2"/>
  <c r="R16" i="2"/>
  <c r="Q16" i="2"/>
  <c r="P16" i="2"/>
  <c r="M16" i="2"/>
  <c r="G16" i="2"/>
  <c r="F16" i="2"/>
  <c r="A17" i="2" s="1"/>
  <c r="B17" i="2" s="1"/>
  <c r="A16" i="2"/>
  <c r="B16" i="2" s="1"/>
  <c r="R15" i="2"/>
  <c r="Q15" i="2"/>
  <c r="P15" i="2"/>
  <c r="M15" i="2"/>
  <c r="G15" i="2"/>
  <c r="F15" i="2"/>
  <c r="R14" i="2"/>
  <c r="Q14" i="2"/>
  <c r="P14" i="2"/>
  <c r="M14" i="2"/>
  <c r="G14" i="2"/>
  <c r="F14" i="2"/>
  <c r="A14" i="2" s="1"/>
  <c r="B14" i="2" s="1"/>
  <c r="C6" i="2" s="1"/>
  <c r="R13" i="2"/>
  <c r="Q13" i="2"/>
  <c r="P13" i="2"/>
  <c r="M13" i="2"/>
  <c r="G13" i="2"/>
  <c r="F13" i="2"/>
  <c r="B13" i="2"/>
  <c r="A13" i="2"/>
  <c r="R12" i="2"/>
  <c r="Q12" i="2"/>
  <c r="P12" i="2"/>
  <c r="M12" i="2"/>
  <c r="G12" i="2"/>
  <c r="F12" i="2"/>
  <c r="R11" i="2"/>
  <c r="Q11" i="2"/>
  <c r="P11" i="2"/>
  <c r="M11" i="2"/>
  <c r="G11" i="2"/>
  <c r="F11" i="2"/>
  <c r="A11" i="2" s="1"/>
  <c r="B11" i="2" s="1"/>
  <c r="R10" i="2"/>
  <c r="Q10" i="2"/>
  <c r="P10" i="2"/>
  <c r="M10" i="2"/>
  <c r="G10" i="2"/>
  <c r="F10" i="2"/>
  <c r="A10" i="2"/>
  <c r="B10" i="2" s="1"/>
  <c r="R9" i="2"/>
  <c r="Q9" i="2"/>
  <c r="P9" i="2"/>
  <c r="M9" i="2"/>
  <c r="G9" i="2"/>
  <c r="F9" i="2"/>
  <c r="R8" i="2"/>
  <c r="Q8" i="2"/>
  <c r="P8" i="2"/>
  <c r="M8" i="2"/>
  <c r="G8" i="2"/>
  <c r="A8" i="2" s="1"/>
  <c r="B8" i="2" s="1"/>
  <c r="F8" i="2"/>
  <c r="R7" i="2"/>
  <c r="Q7" i="2"/>
  <c r="P7" i="2"/>
  <c r="M7" i="2"/>
  <c r="G7" i="2"/>
  <c r="F7" i="2"/>
  <c r="B7" i="2"/>
  <c r="A7" i="2"/>
  <c r="C16" i="12" l="1"/>
  <c r="N16" i="12"/>
  <c r="N17" i="12"/>
  <c r="N18" i="12" s="1"/>
  <c r="N19" i="12" s="1"/>
  <c r="C17" i="12"/>
  <c r="C18" i="12" s="1"/>
  <c r="C19" i="12" s="1"/>
  <c r="C83" i="12"/>
  <c r="C87" i="12"/>
  <c r="C343" i="12"/>
  <c r="C350" i="12"/>
  <c r="C113" i="12"/>
  <c r="C325" i="12"/>
  <c r="C329" i="12"/>
  <c r="C481" i="12"/>
  <c r="C107" i="12"/>
  <c r="C32" i="12"/>
  <c r="C36" i="12"/>
  <c r="C44" i="12"/>
  <c r="C68" i="12"/>
  <c r="C96" i="12"/>
  <c r="C23" i="12"/>
  <c r="C35" i="12"/>
  <c r="C106" i="12"/>
  <c r="C33" i="12"/>
  <c r="C37" i="12"/>
  <c r="C73" i="12"/>
  <c r="C46" i="12"/>
  <c r="C58" i="12"/>
  <c r="C74" i="12"/>
  <c r="C82" i="12"/>
  <c r="C371" i="12"/>
  <c r="C375" i="12"/>
  <c r="C403" i="12"/>
  <c r="C408" i="12"/>
  <c r="C451" i="12"/>
  <c r="C455" i="12"/>
  <c r="C463" i="12"/>
  <c r="C487" i="12"/>
  <c r="C491" i="12"/>
  <c r="C499" i="12"/>
  <c r="C30" i="12"/>
  <c r="C114" i="12"/>
  <c r="C9" i="12"/>
  <c r="C334" i="12"/>
  <c r="C374" i="12"/>
  <c r="C116" i="12"/>
  <c r="C244" i="12"/>
  <c r="C248" i="12"/>
  <c r="C264" i="12"/>
  <c r="C268" i="12"/>
  <c r="C276" i="12"/>
  <c r="C280" i="12"/>
  <c r="C296" i="12"/>
  <c r="C300" i="12"/>
  <c r="C308" i="12"/>
  <c r="C41" i="12"/>
  <c r="C45" i="12"/>
  <c r="C495" i="12"/>
  <c r="C24" i="12"/>
  <c r="C90" i="12"/>
  <c r="C98" i="12"/>
  <c r="C438" i="12"/>
  <c r="C52" i="12"/>
  <c r="C56" i="12"/>
  <c r="C120" i="12"/>
  <c r="C5" i="12"/>
  <c r="C26" i="12"/>
  <c r="C91" i="12"/>
  <c r="C131" i="12"/>
  <c r="C135" i="12"/>
  <c r="C139" i="12"/>
  <c r="C147" i="12"/>
  <c r="C151" i="12"/>
  <c r="C155" i="12"/>
  <c r="C159" i="12"/>
  <c r="C163" i="12"/>
  <c r="C171" i="12"/>
  <c r="C179" i="12"/>
  <c r="C183" i="12"/>
  <c r="C187" i="12"/>
  <c r="C203" i="12"/>
  <c r="C440" i="12"/>
  <c r="C448" i="12"/>
  <c r="C51" i="12"/>
  <c r="C483" i="12"/>
  <c r="C467" i="12"/>
  <c r="C110" i="12"/>
  <c r="C211" i="12"/>
  <c r="C320" i="12"/>
  <c r="C324" i="12"/>
  <c r="C380" i="12"/>
  <c r="C118" i="12"/>
  <c r="C123" i="12"/>
  <c r="C126" i="12"/>
  <c r="C457" i="12"/>
  <c r="C473" i="12"/>
  <c r="C391" i="12"/>
  <c r="C137" i="12"/>
  <c r="C411" i="12"/>
  <c r="C423" i="12"/>
  <c r="C464" i="12"/>
  <c r="C480" i="12"/>
  <c r="C225" i="12"/>
  <c r="C237" i="12"/>
  <c r="C305" i="12"/>
  <c r="C309" i="12"/>
  <c r="C313" i="12"/>
  <c r="C317" i="12"/>
  <c r="C321" i="12"/>
  <c r="C354" i="12"/>
  <c r="C366" i="12"/>
  <c r="C370" i="12"/>
  <c r="C378" i="12"/>
  <c r="C382" i="12"/>
  <c r="C386" i="12"/>
  <c r="C390" i="12"/>
  <c r="C394" i="12"/>
  <c r="C398" i="12"/>
  <c r="C431" i="12"/>
  <c r="C447" i="12"/>
  <c r="C145" i="12"/>
  <c r="C399" i="12"/>
  <c r="C471" i="12"/>
  <c r="C475" i="12"/>
  <c r="C479" i="12"/>
  <c r="C4" i="12"/>
  <c r="C29" i="12"/>
  <c r="C50" i="12"/>
  <c r="C63" i="12"/>
  <c r="C99" i="12"/>
  <c r="C3" i="12"/>
  <c r="C7" i="12"/>
  <c r="C28" i="12"/>
  <c r="C49" i="12"/>
  <c r="C62" i="12"/>
  <c r="C66" i="12"/>
  <c r="C70" i="12"/>
  <c r="C78" i="12"/>
  <c r="C111" i="12"/>
  <c r="C136" i="12"/>
  <c r="C144" i="12"/>
  <c r="C148" i="12"/>
  <c r="C241" i="12"/>
  <c r="C245" i="12"/>
  <c r="C249" i="12"/>
  <c r="C253" i="12"/>
  <c r="C257" i="12"/>
  <c r="C344" i="12"/>
  <c r="C368" i="12"/>
  <c r="C377" i="12"/>
  <c r="C427" i="12"/>
  <c r="C478" i="12"/>
  <c r="C8" i="12"/>
  <c r="C27" i="12"/>
  <c r="C53" i="12"/>
  <c r="C95" i="12"/>
  <c r="C115" i="12"/>
  <c r="C119" i="12"/>
  <c r="C233" i="12"/>
  <c r="C236" i="12"/>
  <c r="C269" i="12"/>
  <c r="C273" i="12"/>
  <c r="C277" i="12"/>
  <c r="C281" i="12"/>
  <c r="C285" i="12"/>
  <c r="C289" i="12"/>
  <c r="C297" i="12"/>
  <c r="C406" i="12"/>
  <c r="C410" i="12"/>
  <c r="C414" i="12"/>
  <c r="C418" i="12"/>
  <c r="C422" i="12"/>
  <c r="C435" i="12"/>
  <c r="C439" i="12"/>
  <c r="C443" i="12"/>
  <c r="C465" i="12"/>
  <c r="C2" i="12"/>
  <c r="C81" i="12"/>
  <c r="C127" i="12"/>
  <c r="C301" i="12"/>
  <c r="C367" i="12"/>
  <c r="C456" i="12"/>
  <c r="C13" i="12"/>
  <c r="C22" i="12"/>
  <c r="C34" i="12"/>
  <c r="C43" i="12"/>
  <c r="C47" i="12"/>
  <c r="C69" i="12"/>
  <c r="C77" i="12"/>
  <c r="C130" i="12"/>
  <c r="C134" i="12"/>
  <c r="C138" i="12"/>
  <c r="C142" i="12"/>
  <c r="C146" i="12"/>
  <c r="C150" i="12"/>
  <c r="C167" i="12"/>
  <c r="C312" i="12"/>
  <c r="C345" i="12"/>
  <c r="C379" i="12"/>
  <c r="C383" i="12"/>
  <c r="C450" i="12"/>
  <c r="C459" i="12"/>
  <c r="C21" i="12"/>
  <c r="C38" i="12"/>
  <c r="C42" i="12"/>
  <c r="C55" i="12"/>
  <c r="C59" i="12"/>
  <c r="C88" i="12"/>
  <c r="C104" i="12"/>
  <c r="C195" i="12"/>
  <c r="C215" i="12"/>
  <c r="C218" i="12"/>
  <c r="C222" i="12"/>
  <c r="C230" i="12"/>
  <c r="C332" i="12"/>
  <c r="C425" i="12"/>
  <c r="C441" i="12"/>
  <c r="C484" i="12"/>
  <c r="C76" i="12"/>
  <c r="C419" i="12"/>
  <c r="C407" i="12"/>
  <c r="C112" i="12"/>
  <c r="C210" i="12"/>
  <c r="C256" i="12"/>
  <c r="C288" i="12"/>
  <c r="C376" i="12"/>
  <c r="C387" i="12"/>
  <c r="C415" i="12"/>
  <c r="C442" i="12"/>
  <c r="C472" i="12"/>
  <c r="C152" i="12"/>
  <c r="C67" i="12"/>
  <c r="C424" i="12"/>
  <c r="C57" i="12"/>
  <c r="C105" i="12"/>
  <c r="C117" i="12"/>
  <c r="C219" i="12"/>
  <c r="C260" i="12"/>
  <c r="C265" i="12"/>
  <c r="C292" i="12"/>
  <c r="C364" i="12"/>
  <c r="C409" i="12"/>
  <c r="C446" i="12"/>
  <c r="C466" i="12"/>
  <c r="C355" i="12"/>
  <c r="C122" i="12"/>
  <c r="C94" i="12"/>
  <c r="C121" i="12"/>
  <c r="C272" i="12"/>
  <c r="C304" i="12"/>
  <c r="C328" i="12"/>
  <c r="C359" i="12"/>
  <c r="C384" i="12"/>
  <c r="C413" i="12"/>
  <c r="C454" i="12"/>
  <c r="C14" i="12"/>
  <c r="C25" i="12"/>
  <c r="C40" i="12"/>
  <c r="C48" i="12"/>
  <c r="C54" i="12"/>
  <c r="C143" i="12"/>
  <c r="C149" i="12"/>
  <c r="C395" i="12"/>
  <c r="C429" i="12"/>
  <c r="C449" i="12"/>
  <c r="C10" i="12"/>
  <c r="C72" i="12"/>
  <c r="C80" i="12"/>
  <c r="C92" i="12"/>
  <c r="C202" i="12"/>
  <c r="C220" i="12"/>
  <c r="C252" i="12"/>
  <c r="C284" i="12"/>
  <c r="C316" i="12"/>
  <c r="C361" i="12"/>
  <c r="C393" i="12"/>
  <c r="C462" i="12"/>
  <c r="C184" i="11"/>
  <c r="C187" i="11"/>
  <c r="C192" i="11"/>
  <c r="C195" i="11"/>
  <c r="C198" i="11"/>
  <c r="C199" i="11"/>
  <c r="C203" i="11"/>
  <c r="C324" i="11"/>
  <c r="C335" i="11"/>
  <c r="C336" i="11"/>
  <c r="C340" i="11"/>
  <c r="C357" i="11"/>
  <c r="C446" i="11"/>
  <c r="C62" i="11"/>
  <c r="C86" i="11"/>
  <c r="C90" i="11"/>
  <c r="C368" i="11"/>
  <c r="C448" i="11"/>
  <c r="C444" i="11"/>
  <c r="C455" i="11"/>
  <c r="C460" i="11"/>
  <c r="C465" i="11"/>
  <c r="C468" i="11"/>
  <c r="C387" i="11"/>
  <c r="C388" i="11"/>
  <c r="C395" i="11"/>
  <c r="C397" i="11"/>
  <c r="C403" i="11"/>
  <c r="C404" i="11"/>
  <c r="C120" i="11"/>
  <c r="C122" i="11"/>
  <c r="C123" i="11"/>
  <c r="C134" i="11"/>
  <c r="C135" i="11"/>
  <c r="C139" i="11"/>
  <c r="C151" i="11"/>
  <c r="C247" i="11"/>
  <c r="C248" i="11"/>
  <c r="C251" i="11"/>
  <c r="C259" i="11"/>
  <c r="C270" i="11"/>
  <c r="C278" i="11"/>
  <c r="C409" i="11"/>
  <c r="C415" i="11"/>
  <c r="C35" i="11"/>
  <c r="C43" i="11"/>
  <c r="C47" i="11"/>
  <c r="C68" i="11"/>
  <c r="C76" i="11"/>
  <c r="C156" i="11"/>
  <c r="C55" i="11"/>
  <c r="C423" i="11"/>
  <c r="C427" i="11"/>
  <c r="C431" i="11"/>
  <c r="C432" i="11"/>
  <c r="C489" i="11"/>
  <c r="C491" i="11"/>
  <c r="C495" i="11"/>
  <c r="C186" i="11"/>
  <c r="C124" i="11"/>
  <c r="C125" i="11"/>
  <c r="C188" i="11"/>
  <c r="C194" i="11"/>
  <c r="C456" i="11"/>
  <c r="C64" i="11"/>
  <c r="C66" i="11"/>
  <c r="C67" i="11"/>
  <c r="C72" i="11"/>
  <c r="C80" i="11"/>
  <c r="C136" i="11"/>
  <c r="C138" i="11"/>
  <c r="C265" i="11"/>
  <c r="C267" i="11"/>
  <c r="C339" i="11"/>
  <c r="C398" i="11"/>
  <c r="C430" i="11"/>
  <c r="C492" i="11"/>
  <c r="C128" i="11"/>
  <c r="C132" i="11"/>
  <c r="C189" i="11"/>
  <c r="C394" i="11"/>
  <c r="C424" i="11"/>
  <c r="C490" i="11"/>
  <c r="C40" i="11"/>
  <c r="C87" i="11"/>
  <c r="C140" i="11"/>
  <c r="C141" i="11"/>
  <c r="C144" i="11"/>
  <c r="C148" i="11"/>
  <c r="C150" i="11"/>
  <c r="C200" i="11"/>
  <c r="C202" i="11"/>
  <c r="C275" i="11"/>
  <c r="C345" i="11"/>
  <c r="C346" i="11"/>
  <c r="C350" i="11"/>
  <c r="C466" i="11"/>
  <c r="C467" i="11"/>
  <c r="C498" i="11"/>
  <c r="C499" i="11"/>
  <c r="C91" i="11"/>
  <c r="C152" i="11"/>
  <c r="C154" i="11"/>
  <c r="C204" i="11"/>
  <c r="C205" i="11"/>
  <c r="C208" i="11"/>
  <c r="C210" i="11"/>
  <c r="C211" i="11"/>
  <c r="C283" i="11"/>
  <c r="C358" i="11"/>
  <c r="C407" i="11"/>
  <c r="C435" i="11"/>
  <c r="C469" i="11"/>
  <c r="C19" i="11"/>
  <c r="A25" i="11"/>
  <c r="C101" i="11"/>
  <c r="C102" i="11"/>
  <c r="C157" i="11"/>
  <c r="C160" i="11"/>
  <c r="C164" i="11"/>
  <c r="C291" i="11"/>
  <c r="C413" i="11"/>
  <c r="C441" i="11"/>
  <c r="C474" i="11"/>
  <c r="C48" i="11"/>
  <c r="C50" i="11"/>
  <c r="C51" i="11"/>
  <c r="C73" i="11"/>
  <c r="C81" i="11"/>
  <c r="C96" i="11"/>
  <c r="C98" i="11"/>
  <c r="C106" i="11"/>
  <c r="C170" i="11"/>
  <c r="C219" i="11"/>
  <c r="C297" i="11"/>
  <c r="C299" i="11"/>
  <c r="C369" i="11"/>
  <c r="C379" i="11"/>
  <c r="C33" i="11"/>
  <c r="C38" i="11"/>
  <c r="C41" i="11"/>
  <c r="C46" i="11"/>
  <c r="C112" i="11"/>
  <c r="C116" i="11"/>
  <c r="C118" i="11"/>
  <c r="C173" i="11"/>
  <c r="C176" i="11"/>
  <c r="C178" i="11"/>
  <c r="C179" i="11"/>
  <c r="C235" i="11"/>
  <c r="C315" i="11"/>
  <c r="C479" i="11"/>
  <c r="A20" i="11"/>
  <c r="B20" i="11" s="1"/>
  <c r="C21" i="11" s="1"/>
  <c r="C22" i="11" s="1"/>
  <c r="B25" i="11"/>
  <c r="A26" i="11"/>
  <c r="B26" i="11" s="1"/>
  <c r="A23" i="11"/>
  <c r="B23" i="11" s="1"/>
  <c r="C410" i="11"/>
  <c r="C39" i="11"/>
  <c r="C60" i="11"/>
  <c r="C71" i="11"/>
  <c r="C79" i="11"/>
  <c r="C92" i="11"/>
  <c r="C110" i="11"/>
  <c r="C126" i="11"/>
  <c r="C142" i="11"/>
  <c r="C158" i="11"/>
  <c r="C174" i="11"/>
  <c r="C190" i="11"/>
  <c r="C206" i="11"/>
  <c r="C230" i="11"/>
  <c r="C300" i="11"/>
  <c r="C301" i="11"/>
  <c r="C305" i="11"/>
  <c r="C351" i="11"/>
  <c r="C371" i="11"/>
  <c r="C411" i="11"/>
  <c r="C425" i="11"/>
  <c r="C426" i="11"/>
  <c r="C439" i="11"/>
  <c r="C470" i="11"/>
  <c r="C483" i="11"/>
  <c r="C496" i="11"/>
  <c r="C234" i="11"/>
  <c r="C273" i="11"/>
  <c r="C309" i="11"/>
  <c r="C313" i="11"/>
  <c r="C377" i="11"/>
  <c r="C378" i="11"/>
  <c r="C442" i="11"/>
  <c r="C37" i="11"/>
  <c r="C45" i="11"/>
  <c r="C49" i="11"/>
  <c r="C65" i="11"/>
  <c r="C69" i="11"/>
  <c r="C77" i="11"/>
  <c r="C97" i="11"/>
  <c r="N99" i="11"/>
  <c r="C114" i="11"/>
  <c r="C130" i="11"/>
  <c r="C146" i="11"/>
  <c r="C162" i="11"/>
  <c r="C240" i="11"/>
  <c r="C276" i="11"/>
  <c r="C277" i="11"/>
  <c r="C316" i="11"/>
  <c r="C317" i="11"/>
  <c r="C321" i="11"/>
  <c r="C355" i="11"/>
  <c r="C381" i="11"/>
  <c r="C382" i="11"/>
  <c r="C399" i="11"/>
  <c r="C414" i="11"/>
  <c r="C428" i="11"/>
  <c r="C443" i="11"/>
  <c r="C457" i="11"/>
  <c r="C458" i="11"/>
  <c r="C459" i="11"/>
  <c r="C472" i="11"/>
  <c r="C487" i="11"/>
  <c r="C117" i="11"/>
  <c r="C133" i="11"/>
  <c r="C149" i="11"/>
  <c r="C165" i="11"/>
  <c r="C180" i="11"/>
  <c r="C181" i="11"/>
  <c r="C196" i="11"/>
  <c r="C197" i="11"/>
  <c r="C212" i="11"/>
  <c r="C213" i="11"/>
  <c r="C281" i="11"/>
  <c r="C325" i="11"/>
  <c r="C329" i="11"/>
  <c r="C334" i="11"/>
  <c r="C383" i="11"/>
  <c r="C52" i="11"/>
  <c r="C84" i="11"/>
  <c r="C166" i="11"/>
  <c r="C182" i="11"/>
  <c r="C284" i="11"/>
  <c r="C285" i="11"/>
  <c r="C361" i="11"/>
  <c r="C362" i="11"/>
  <c r="C365" i="11"/>
  <c r="C366" i="11"/>
  <c r="C34" i="11"/>
  <c r="C42" i="11"/>
  <c r="C74" i="11"/>
  <c r="C82" i="11"/>
  <c r="C218" i="11"/>
  <c r="C250" i="11"/>
  <c r="C289" i="11"/>
  <c r="C109" i="11"/>
  <c r="C393" i="11"/>
  <c r="C56" i="11"/>
  <c r="C57" i="11"/>
  <c r="C88" i="11"/>
  <c r="C89" i="11"/>
  <c r="N100" i="11"/>
  <c r="N101" i="11" s="1"/>
  <c r="N102" i="11" s="1"/>
  <c r="N103" i="11" s="1"/>
  <c r="N104" i="11" s="1"/>
  <c r="N105" i="11" s="1"/>
  <c r="N106" i="11" s="1"/>
  <c r="N107" i="11" s="1"/>
  <c r="N108" i="11" s="1"/>
  <c r="N109" i="11" s="1"/>
  <c r="N110" i="11" s="1"/>
  <c r="N111" i="11" s="1"/>
  <c r="N112" i="11" s="1"/>
  <c r="N113" i="11" s="1"/>
  <c r="N114" i="11" s="1"/>
  <c r="N115" i="11" s="1"/>
  <c r="N116" i="11" s="1"/>
  <c r="N117" i="11" s="1"/>
  <c r="N118" i="11" s="1"/>
  <c r="N119" i="11" s="1"/>
  <c r="N120" i="11" s="1"/>
  <c r="N121" i="11" s="1"/>
  <c r="N122" i="11" s="1"/>
  <c r="N123" i="11" s="1"/>
  <c r="N124" i="11" s="1"/>
  <c r="N125" i="11" s="1"/>
  <c r="N126" i="11" s="1"/>
  <c r="N127" i="11" s="1"/>
  <c r="N128" i="11" s="1"/>
  <c r="N129" i="11" s="1"/>
  <c r="N130" i="11" s="1"/>
  <c r="N131" i="11" s="1"/>
  <c r="N132" i="11" s="1"/>
  <c r="N133" i="11" s="1"/>
  <c r="N134" i="11" s="1"/>
  <c r="N135" i="11" s="1"/>
  <c r="N136" i="11" s="1"/>
  <c r="N137" i="11" s="1"/>
  <c r="N138" i="11" s="1"/>
  <c r="N139" i="11" s="1"/>
  <c r="N140" i="11" s="1"/>
  <c r="N141" i="11" s="1"/>
  <c r="N142" i="11" s="1"/>
  <c r="N143" i="11" s="1"/>
  <c r="N144" i="11" s="1"/>
  <c r="N145" i="11" s="1"/>
  <c r="N146" i="11" s="1"/>
  <c r="N147" i="11" s="1"/>
  <c r="N148" i="11" s="1"/>
  <c r="N149" i="11" s="1"/>
  <c r="N150" i="11" s="1"/>
  <c r="N151" i="11" s="1"/>
  <c r="N152" i="11" s="1"/>
  <c r="N153" i="11" s="1"/>
  <c r="N154" i="11" s="1"/>
  <c r="N155" i="11" s="1"/>
  <c r="N156" i="11" s="1"/>
  <c r="N157" i="11" s="1"/>
  <c r="N158" i="11" s="1"/>
  <c r="N159" i="11" s="1"/>
  <c r="N160" i="11" s="1"/>
  <c r="N161" i="11" s="1"/>
  <c r="N162" i="11" s="1"/>
  <c r="N163" i="11" s="1"/>
  <c r="N164" i="11" s="1"/>
  <c r="N165" i="11" s="1"/>
  <c r="N166" i="11" s="1"/>
  <c r="N167" i="11" s="1"/>
  <c r="N168" i="11" s="1"/>
  <c r="N169" i="11" s="1"/>
  <c r="N170" i="11" s="1"/>
  <c r="N171" i="11" s="1"/>
  <c r="N172" i="11" s="1"/>
  <c r="N173" i="11" s="1"/>
  <c r="N174" i="11" s="1"/>
  <c r="N175" i="11" s="1"/>
  <c r="N176" i="11" s="1"/>
  <c r="N177" i="11" s="1"/>
  <c r="N178" i="11" s="1"/>
  <c r="N179" i="11" s="1"/>
  <c r="N180" i="11" s="1"/>
  <c r="N181" i="11" s="1"/>
  <c r="N182" i="11" s="1"/>
  <c r="N183" i="11" s="1"/>
  <c r="N184" i="11" s="1"/>
  <c r="N185" i="11" s="1"/>
  <c r="N186" i="11" s="1"/>
  <c r="N187" i="11" s="1"/>
  <c r="N188" i="11" s="1"/>
  <c r="N189" i="11" s="1"/>
  <c r="N190" i="11" s="1"/>
  <c r="N191" i="11" s="1"/>
  <c r="N192" i="11" s="1"/>
  <c r="N193" i="11" s="1"/>
  <c r="N194" i="11" s="1"/>
  <c r="N195" i="11" s="1"/>
  <c r="N196" i="11" s="1"/>
  <c r="N197" i="11" s="1"/>
  <c r="N198" i="11" s="1"/>
  <c r="N199" i="11" s="1"/>
  <c r="N200" i="11" s="1"/>
  <c r="N201" i="11" s="1"/>
  <c r="N202" i="11" s="1"/>
  <c r="N203" i="11" s="1"/>
  <c r="N204" i="11" s="1"/>
  <c r="N205" i="11" s="1"/>
  <c r="N206" i="11" s="1"/>
  <c r="N207" i="11" s="1"/>
  <c r="N208" i="11" s="1"/>
  <c r="N209" i="11" s="1"/>
  <c r="N210" i="11" s="1"/>
  <c r="N211" i="11" s="1"/>
  <c r="N212" i="11" s="1"/>
  <c r="N213" i="11" s="1"/>
  <c r="N214" i="11" s="1"/>
  <c r="N215" i="11" s="1"/>
  <c r="N216" i="11" s="1"/>
  <c r="N217" i="11" s="1"/>
  <c r="N218" i="11" s="1"/>
  <c r="N219" i="11" s="1"/>
  <c r="N220" i="11" s="1"/>
  <c r="N221" i="11" s="1"/>
  <c r="N222" i="11" s="1"/>
  <c r="N223" i="11" s="1"/>
  <c r="N224" i="11" s="1"/>
  <c r="N225" i="11" s="1"/>
  <c r="N226" i="11" s="1"/>
  <c r="N227" i="11" s="1"/>
  <c r="N228" i="11" s="1"/>
  <c r="N229" i="11" s="1"/>
  <c r="N230" i="11" s="1"/>
  <c r="N231" i="11" s="1"/>
  <c r="N232" i="11" s="1"/>
  <c r="N233" i="11" s="1"/>
  <c r="N234" i="11" s="1"/>
  <c r="N235" i="11" s="1"/>
  <c r="N236" i="11" s="1"/>
  <c r="N237" i="11" s="1"/>
  <c r="N238" i="11" s="1"/>
  <c r="N239" i="11" s="1"/>
  <c r="N240" i="11" s="1"/>
  <c r="N241" i="11" s="1"/>
  <c r="N242" i="11" s="1"/>
  <c r="N243" i="11" s="1"/>
  <c r="N244" i="11" s="1"/>
  <c r="N245" i="11" s="1"/>
  <c r="N246" i="11" s="1"/>
  <c r="N247" i="11" s="1"/>
  <c r="N248" i="11" s="1"/>
  <c r="N249" i="11" s="1"/>
  <c r="N250" i="11" s="1"/>
  <c r="N251" i="11" s="1"/>
  <c r="N252" i="11" s="1"/>
  <c r="N253" i="11" s="1"/>
  <c r="N254" i="11" s="1"/>
  <c r="N255" i="11" s="1"/>
  <c r="N256" i="11" s="1"/>
  <c r="N257" i="11" s="1"/>
  <c r="N258" i="11" s="1"/>
  <c r="N259" i="11" s="1"/>
  <c r="N260" i="11" s="1"/>
  <c r="N261" i="11" s="1"/>
  <c r="N262" i="11" s="1"/>
  <c r="N263" i="11" s="1"/>
  <c r="N264" i="11" s="1"/>
  <c r="N265" i="11" s="1"/>
  <c r="N266" i="11" s="1"/>
  <c r="N267" i="11" s="1"/>
  <c r="N268" i="11" s="1"/>
  <c r="N269" i="11" s="1"/>
  <c r="N270" i="11" s="1"/>
  <c r="N271" i="11" s="1"/>
  <c r="N272" i="11" s="1"/>
  <c r="N273" i="11" s="1"/>
  <c r="N274" i="11" s="1"/>
  <c r="N275" i="11" s="1"/>
  <c r="N276" i="11" s="1"/>
  <c r="N277" i="11" s="1"/>
  <c r="N278" i="11" s="1"/>
  <c r="N279" i="11" s="1"/>
  <c r="N280" i="11" s="1"/>
  <c r="N281" i="11" s="1"/>
  <c r="N282" i="11" s="1"/>
  <c r="N283" i="11" s="1"/>
  <c r="N284" i="11" s="1"/>
  <c r="N285" i="11" s="1"/>
  <c r="N286" i="11" s="1"/>
  <c r="N287" i="11" s="1"/>
  <c r="N288" i="11" s="1"/>
  <c r="N289" i="11" s="1"/>
  <c r="N290" i="11" s="1"/>
  <c r="N291" i="11" s="1"/>
  <c r="N292" i="11" s="1"/>
  <c r="N293" i="11" s="1"/>
  <c r="N294" i="11" s="1"/>
  <c r="N295" i="11" s="1"/>
  <c r="N296" i="11" s="1"/>
  <c r="N297" i="11" s="1"/>
  <c r="N298" i="11" s="1"/>
  <c r="N299" i="11" s="1"/>
  <c r="N300" i="11" s="1"/>
  <c r="N301" i="11" s="1"/>
  <c r="N302" i="11" s="1"/>
  <c r="N303" i="11" s="1"/>
  <c r="N304" i="11" s="1"/>
  <c r="N305" i="11" s="1"/>
  <c r="N306" i="11" s="1"/>
  <c r="N307" i="11" s="1"/>
  <c r="N308" i="11" s="1"/>
  <c r="N309" i="11" s="1"/>
  <c r="N310" i="11" s="1"/>
  <c r="N311" i="11" s="1"/>
  <c r="N312" i="11" s="1"/>
  <c r="N313" i="11" s="1"/>
  <c r="N314" i="11" s="1"/>
  <c r="N315" i="11" s="1"/>
  <c r="N316" i="11" s="1"/>
  <c r="N317" i="11" s="1"/>
  <c r="N318" i="11" s="1"/>
  <c r="N319" i="11" s="1"/>
  <c r="N320" i="11" s="1"/>
  <c r="N321" i="11" s="1"/>
  <c r="N322" i="11" s="1"/>
  <c r="N323" i="11" s="1"/>
  <c r="N324" i="11" s="1"/>
  <c r="N325" i="11" s="1"/>
  <c r="N326" i="11" s="1"/>
  <c r="N327" i="11" s="1"/>
  <c r="N328" i="11" s="1"/>
  <c r="N329" i="11" s="1"/>
  <c r="N330" i="11" s="1"/>
  <c r="N331" i="11" s="1"/>
  <c r="N332" i="11" s="1"/>
  <c r="N333" i="11" s="1"/>
  <c r="N334" i="11" s="1"/>
  <c r="N335" i="11" s="1"/>
  <c r="N336" i="11" s="1"/>
  <c r="N337" i="11" s="1"/>
  <c r="N338" i="11" s="1"/>
  <c r="N339" i="11" s="1"/>
  <c r="N340" i="11" s="1"/>
  <c r="N341" i="11" s="1"/>
  <c r="N342" i="11" s="1"/>
  <c r="N343" i="11" s="1"/>
  <c r="N344" i="11" s="1"/>
  <c r="N345" i="11" s="1"/>
  <c r="N346" i="11" s="1"/>
  <c r="N347" i="11" s="1"/>
  <c r="N348" i="11" s="1"/>
  <c r="N349" i="11" s="1"/>
  <c r="N350" i="11" s="1"/>
  <c r="N351" i="11" s="1"/>
  <c r="N352" i="11" s="1"/>
  <c r="N353" i="11" s="1"/>
  <c r="N354" i="11" s="1"/>
  <c r="N355" i="11" s="1"/>
  <c r="N356" i="11" s="1"/>
  <c r="N357" i="11" s="1"/>
  <c r="N358" i="11" s="1"/>
  <c r="N359" i="11" s="1"/>
  <c r="N360" i="11" s="1"/>
  <c r="N361" i="11" s="1"/>
  <c r="N362" i="11" s="1"/>
  <c r="N363" i="11" s="1"/>
  <c r="N364" i="11" s="1"/>
  <c r="N365" i="11" s="1"/>
  <c r="N366" i="11" s="1"/>
  <c r="N367" i="11" s="1"/>
  <c r="N368" i="11" s="1"/>
  <c r="N369" i="11" s="1"/>
  <c r="N370" i="11" s="1"/>
  <c r="N371" i="11" s="1"/>
  <c r="N372" i="11" s="1"/>
  <c r="N373" i="11" s="1"/>
  <c r="N374" i="11" s="1"/>
  <c r="N375" i="11" s="1"/>
  <c r="N376" i="11" s="1"/>
  <c r="N377" i="11" s="1"/>
  <c r="N378" i="11" s="1"/>
  <c r="N379" i="11" s="1"/>
  <c r="N380" i="11" s="1"/>
  <c r="N381" i="11" s="1"/>
  <c r="N382" i="11" s="1"/>
  <c r="N383" i="11" s="1"/>
  <c r="N384" i="11" s="1"/>
  <c r="N385" i="11" s="1"/>
  <c r="N386" i="11" s="1"/>
  <c r="N387" i="11" s="1"/>
  <c r="N388" i="11" s="1"/>
  <c r="N389" i="11" s="1"/>
  <c r="N390" i="11" s="1"/>
  <c r="N391" i="11" s="1"/>
  <c r="N392" i="11" s="1"/>
  <c r="N393" i="11" s="1"/>
  <c r="N394" i="11" s="1"/>
  <c r="N395" i="11" s="1"/>
  <c r="N396" i="11" s="1"/>
  <c r="N397" i="11" s="1"/>
  <c r="N398" i="11" s="1"/>
  <c r="N399" i="11" s="1"/>
  <c r="N400" i="11" s="1"/>
  <c r="N401" i="11" s="1"/>
  <c r="N402" i="11" s="1"/>
  <c r="N403" i="11" s="1"/>
  <c r="N404" i="11" s="1"/>
  <c r="N405" i="11" s="1"/>
  <c r="N406" i="11" s="1"/>
  <c r="N407" i="11" s="1"/>
  <c r="N408" i="11" s="1"/>
  <c r="N409" i="11" s="1"/>
  <c r="N410" i="11" s="1"/>
  <c r="N411" i="11" s="1"/>
  <c r="N412" i="11" s="1"/>
  <c r="N413" i="11" s="1"/>
  <c r="N414" i="11" s="1"/>
  <c r="N415" i="11" s="1"/>
  <c r="N416" i="11" s="1"/>
  <c r="N417" i="11" s="1"/>
  <c r="N418" i="11" s="1"/>
  <c r="N419" i="11" s="1"/>
  <c r="N420" i="11" s="1"/>
  <c r="N421" i="11" s="1"/>
  <c r="N422" i="11" s="1"/>
  <c r="N423" i="11" s="1"/>
  <c r="N424" i="11" s="1"/>
  <c r="N425" i="11" s="1"/>
  <c r="N426" i="11" s="1"/>
  <c r="N427" i="11" s="1"/>
  <c r="N428" i="11" s="1"/>
  <c r="N429" i="11" s="1"/>
  <c r="N430" i="11" s="1"/>
  <c r="N431" i="11" s="1"/>
  <c r="N432" i="11" s="1"/>
  <c r="N433" i="11" s="1"/>
  <c r="N434" i="11" s="1"/>
  <c r="N435" i="11" s="1"/>
  <c r="N436" i="11" s="1"/>
  <c r="N437" i="11" s="1"/>
  <c r="N438" i="11" s="1"/>
  <c r="N439" i="11" s="1"/>
  <c r="N440" i="11" s="1"/>
  <c r="N441" i="11" s="1"/>
  <c r="N442" i="11" s="1"/>
  <c r="N443" i="11" s="1"/>
  <c r="N444" i="11" s="1"/>
  <c r="N445" i="11" s="1"/>
  <c r="N446" i="11" s="1"/>
  <c r="N447" i="11" s="1"/>
  <c r="N448" i="11" s="1"/>
  <c r="N449" i="11" s="1"/>
  <c r="N450" i="11" s="1"/>
  <c r="N451" i="11" s="1"/>
  <c r="N452" i="11" s="1"/>
  <c r="N453" i="11" s="1"/>
  <c r="N454" i="11" s="1"/>
  <c r="N455" i="11" s="1"/>
  <c r="N456" i="11" s="1"/>
  <c r="N457" i="11" s="1"/>
  <c r="N458" i="11" s="1"/>
  <c r="N459" i="11" s="1"/>
  <c r="N460" i="11" s="1"/>
  <c r="N461" i="11" s="1"/>
  <c r="N462" i="11" s="1"/>
  <c r="N463" i="11" s="1"/>
  <c r="N464" i="11" s="1"/>
  <c r="N465" i="11" s="1"/>
  <c r="N466" i="11" s="1"/>
  <c r="N467" i="11" s="1"/>
  <c r="N468" i="11" s="1"/>
  <c r="N469" i="11" s="1"/>
  <c r="N470" i="11" s="1"/>
  <c r="N471" i="11" s="1"/>
  <c r="N472" i="11" s="1"/>
  <c r="N473" i="11" s="1"/>
  <c r="N474" i="11" s="1"/>
  <c r="N475" i="11" s="1"/>
  <c r="N476" i="11" s="1"/>
  <c r="N477" i="11" s="1"/>
  <c r="N478" i="11" s="1"/>
  <c r="N479" i="11" s="1"/>
  <c r="N480" i="11" s="1"/>
  <c r="N481" i="11" s="1"/>
  <c r="N482" i="11" s="1"/>
  <c r="N483" i="11" s="1"/>
  <c r="N484" i="11" s="1"/>
  <c r="N485" i="11" s="1"/>
  <c r="N486" i="11" s="1"/>
  <c r="N487" i="11" s="1"/>
  <c r="N488" i="11" s="1"/>
  <c r="N489" i="11" s="1"/>
  <c r="N490" i="11" s="1"/>
  <c r="N491" i="11" s="1"/>
  <c r="N492" i="11" s="1"/>
  <c r="N493" i="11" s="1"/>
  <c r="N494" i="11" s="1"/>
  <c r="N495" i="11" s="1"/>
  <c r="N496" i="11" s="1"/>
  <c r="N497" i="11" s="1"/>
  <c r="N498" i="11" s="1"/>
  <c r="N499" i="11" s="1"/>
  <c r="C224" i="11"/>
  <c r="C257" i="11"/>
  <c r="C292" i="11"/>
  <c r="C293" i="11"/>
  <c r="C100" i="13"/>
  <c r="N99" i="13"/>
  <c r="C99" i="13"/>
  <c r="N100" i="13"/>
  <c r="N101" i="13" s="1"/>
  <c r="N102" i="13" s="1"/>
  <c r="N103" i="13" s="1"/>
  <c r="N104" i="13" s="1"/>
  <c r="N105" i="13" s="1"/>
  <c r="N106" i="13" s="1"/>
  <c r="N107" i="13" s="1"/>
  <c r="N108" i="13" s="1"/>
  <c r="N109" i="13" s="1"/>
  <c r="N110" i="13" s="1"/>
  <c r="N111" i="13" s="1"/>
  <c r="N112" i="13" s="1"/>
  <c r="N113" i="13" s="1"/>
  <c r="N114" i="13" s="1"/>
  <c r="N115" i="13" s="1"/>
  <c r="N116" i="13" s="1"/>
  <c r="N117" i="13" s="1"/>
  <c r="N118" i="13" s="1"/>
  <c r="N119" i="13" s="1"/>
  <c r="N120" i="13" s="1"/>
  <c r="N121" i="13" s="1"/>
  <c r="N122" i="13" s="1"/>
  <c r="N123" i="13" s="1"/>
  <c r="N124" i="13" s="1"/>
  <c r="N125" i="13" s="1"/>
  <c r="N126" i="13" s="1"/>
  <c r="N127" i="13" s="1"/>
  <c r="N128" i="13" s="1"/>
  <c r="N129" i="13" s="1"/>
  <c r="N130" i="13" s="1"/>
  <c r="N131" i="13" s="1"/>
  <c r="N132" i="13" s="1"/>
  <c r="N133" i="13" s="1"/>
  <c r="N134" i="13" s="1"/>
  <c r="N135" i="13" s="1"/>
  <c r="N136" i="13" s="1"/>
  <c r="N137" i="13" s="1"/>
  <c r="N138" i="13" s="1"/>
  <c r="N139" i="13" s="1"/>
  <c r="N140" i="13" s="1"/>
  <c r="N141" i="13" s="1"/>
  <c r="N142" i="13" s="1"/>
  <c r="N143" i="13" s="1"/>
  <c r="N144" i="13" s="1"/>
  <c r="N145" i="13" s="1"/>
  <c r="N146" i="13" s="1"/>
  <c r="N147" i="13" s="1"/>
  <c r="N148" i="13" s="1"/>
  <c r="N149" i="13" s="1"/>
  <c r="N150" i="13" s="1"/>
  <c r="N151" i="13" s="1"/>
  <c r="N152" i="13" s="1"/>
  <c r="N153" i="13" s="1"/>
  <c r="N154" i="13" s="1"/>
  <c r="N155" i="13" s="1"/>
  <c r="N156" i="13" s="1"/>
  <c r="N157" i="13" s="1"/>
  <c r="N158" i="13" s="1"/>
  <c r="N159" i="13" s="1"/>
  <c r="N160" i="13" s="1"/>
  <c r="N161" i="13" s="1"/>
  <c r="N162" i="13" s="1"/>
  <c r="N163" i="13" s="1"/>
  <c r="N164" i="13" s="1"/>
  <c r="N165" i="13" s="1"/>
  <c r="N166" i="13" s="1"/>
  <c r="N167" i="13" s="1"/>
  <c r="N168" i="13" s="1"/>
  <c r="N169" i="13" s="1"/>
  <c r="N170" i="13" s="1"/>
  <c r="N171" i="13" s="1"/>
  <c r="N172" i="13" s="1"/>
  <c r="N173" i="13" s="1"/>
  <c r="N174" i="13" s="1"/>
  <c r="N175" i="13" s="1"/>
  <c r="N176" i="13" s="1"/>
  <c r="N177" i="13" s="1"/>
  <c r="N178" i="13" s="1"/>
  <c r="N179" i="13" s="1"/>
  <c r="N180" i="13" s="1"/>
  <c r="N181" i="13" s="1"/>
  <c r="N182" i="13" s="1"/>
  <c r="N183" i="13" s="1"/>
  <c r="N184" i="13" s="1"/>
  <c r="N185" i="13" s="1"/>
  <c r="N186" i="13" s="1"/>
  <c r="N187" i="13" s="1"/>
  <c r="N188" i="13" s="1"/>
  <c r="N189" i="13" s="1"/>
  <c r="N190" i="13" s="1"/>
  <c r="N191" i="13" s="1"/>
  <c r="N192" i="13" s="1"/>
  <c r="N193" i="13" s="1"/>
  <c r="N194" i="13" s="1"/>
  <c r="N195" i="13" s="1"/>
  <c r="N196" i="13" s="1"/>
  <c r="N197" i="13" s="1"/>
  <c r="N198" i="13" s="1"/>
  <c r="N199" i="13" s="1"/>
  <c r="N200" i="13" s="1"/>
  <c r="N201" i="13" s="1"/>
  <c r="N202" i="13" s="1"/>
  <c r="N203" i="13" s="1"/>
  <c r="N204" i="13" s="1"/>
  <c r="N205" i="13" s="1"/>
  <c r="N206" i="13" s="1"/>
  <c r="N207" i="13" s="1"/>
  <c r="N208" i="13" s="1"/>
  <c r="N209" i="13" s="1"/>
  <c r="N210" i="13" s="1"/>
  <c r="N211" i="13" s="1"/>
  <c r="N212" i="13" s="1"/>
  <c r="N213" i="13" s="1"/>
  <c r="N214" i="13" s="1"/>
  <c r="N215" i="13" s="1"/>
  <c r="N216" i="13" s="1"/>
  <c r="N217" i="13" s="1"/>
  <c r="N218" i="13" s="1"/>
  <c r="N219" i="13" s="1"/>
  <c r="N220" i="13" s="1"/>
  <c r="N221" i="13" s="1"/>
  <c r="N222" i="13" s="1"/>
  <c r="N223" i="13" s="1"/>
  <c r="N224" i="13" s="1"/>
  <c r="N225" i="13" s="1"/>
  <c r="N226" i="13" s="1"/>
  <c r="N227" i="13" s="1"/>
  <c r="N228" i="13" s="1"/>
  <c r="N229" i="13" s="1"/>
  <c r="N230" i="13" s="1"/>
  <c r="N231" i="13" s="1"/>
  <c r="N232" i="13" s="1"/>
  <c r="N233" i="13" s="1"/>
  <c r="N234" i="13" s="1"/>
  <c r="N235" i="13" s="1"/>
  <c r="N236" i="13" s="1"/>
  <c r="N237" i="13" s="1"/>
  <c r="N238" i="13" s="1"/>
  <c r="N239" i="13" s="1"/>
  <c r="N240" i="13" s="1"/>
  <c r="N241" i="13" s="1"/>
  <c r="N242" i="13" s="1"/>
  <c r="N243" i="13" s="1"/>
  <c r="N244" i="13" s="1"/>
  <c r="N245" i="13" s="1"/>
  <c r="N246" i="13" s="1"/>
  <c r="N247" i="13" s="1"/>
  <c r="N248" i="13" s="1"/>
  <c r="N249" i="13" s="1"/>
  <c r="N250" i="13" s="1"/>
  <c r="N251" i="13" s="1"/>
  <c r="N252" i="13" s="1"/>
  <c r="N253" i="13" s="1"/>
  <c r="N254" i="13" s="1"/>
  <c r="N255" i="13" s="1"/>
  <c r="N256" i="13" s="1"/>
  <c r="N257" i="13" s="1"/>
  <c r="N258" i="13" s="1"/>
  <c r="N259" i="13" s="1"/>
  <c r="N260" i="13" s="1"/>
  <c r="N261" i="13" s="1"/>
  <c r="N262" i="13" s="1"/>
  <c r="N263" i="13" s="1"/>
  <c r="N264" i="13" s="1"/>
  <c r="N265" i="13" s="1"/>
  <c r="N266" i="13" s="1"/>
  <c r="N267" i="13" s="1"/>
  <c r="N268" i="13" s="1"/>
  <c r="N269" i="13" s="1"/>
  <c r="N270" i="13" s="1"/>
  <c r="N271" i="13" s="1"/>
  <c r="N272" i="13" s="1"/>
  <c r="N273" i="13" s="1"/>
  <c r="N274" i="13" s="1"/>
  <c r="N275" i="13" s="1"/>
  <c r="N276" i="13" s="1"/>
  <c r="N277" i="13" s="1"/>
  <c r="N278" i="13" s="1"/>
  <c r="N279" i="13" s="1"/>
  <c r="N280" i="13" s="1"/>
  <c r="N281" i="13" s="1"/>
  <c r="N282" i="13" s="1"/>
  <c r="N283" i="13" s="1"/>
  <c r="N284" i="13" s="1"/>
  <c r="N285" i="13" s="1"/>
  <c r="N286" i="13" s="1"/>
  <c r="N287" i="13" s="1"/>
  <c r="N288" i="13" s="1"/>
  <c r="N289" i="13" s="1"/>
  <c r="N290" i="13" s="1"/>
  <c r="N291" i="13" s="1"/>
  <c r="N292" i="13" s="1"/>
  <c r="N293" i="13" s="1"/>
  <c r="N294" i="13" s="1"/>
  <c r="N295" i="13" s="1"/>
  <c r="N296" i="13" s="1"/>
  <c r="N297" i="13" s="1"/>
  <c r="N298" i="13" s="1"/>
  <c r="N299" i="13" s="1"/>
  <c r="N300" i="13" s="1"/>
  <c r="N301" i="13" s="1"/>
  <c r="N302" i="13" s="1"/>
  <c r="N303" i="13" s="1"/>
  <c r="N304" i="13" s="1"/>
  <c r="N305" i="13" s="1"/>
  <c r="N306" i="13" s="1"/>
  <c r="N307" i="13" s="1"/>
  <c r="N308" i="13" s="1"/>
  <c r="N309" i="13" s="1"/>
  <c r="N310" i="13" s="1"/>
  <c r="N311" i="13" s="1"/>
  <c r="N312" i="13" s="1"/>
  <c r="N313" i="13" s="1"/>
  <c r="N314" i="13" s="1"/>
  <c r="N315" i="13" s="1"/>
  <c r="N316" i="13" s="1"/>
  <c r="N317" i="13" s="1"/>
  <c r="N318" i="13" s="1"/>
  <c r="N319" i="13" s="1"/>
  <c r="N320" i="13" s="1"/>
  <c r="N321" i="13" s="1"/>
  <c r="N322" i="13" s="1"/>
  <c r="N323" i="13" s="1"/>
  <c r="N324" i="13" s="1"/>
  <c r="N325" i="13" s="1"/>
  <c r="N326" i="13" s="1"/>
  <c r="N327" i="13" s="1"/>
  <c r="N328" i="13" s="1"/>
  <c r="N329" i="13" s="1"/>
  <c r="N330" i="13" s="1"/>
  <c r="N331" i="13" s="1"/>
  <c r="N332" i="13" s="1"/>
  <c r="N333" i="13" s="1"/>
  <c r="N334" i="13" s="1"/>
  <c r="N335" i="13" s="1"/>
  <c r="N336" i="13" s="1"/>
  <c r="N337" i="13" s="1"/>
  <c r="N338" i="13" s="1"/>
  <c r="N339" i="13" s="1"/>
  <c r="N340" i="13" s="1"/>
  <c r="N341" i="13" s="1"/>
  <c r="N342" i="13" s="1"/>
  <c r="N343" i="13" s="1"/>
  <c r="N344" i="13" s="1"/>
  <c r="N345" i="13" s="1"/>
  <c r="N346" i="13" s="1"/>
  <c r="N347" i="13" s="1"/>
  <c r="N348" i="13" s="1"/>
  <c r="N349" i="13" s="1"/>
  <c r="N350" i="13" s="1"/>
  <c r="N351" i="13" s="1"/>
  <c r="N352" i="13" s="1"/>
  <c r="N353" i="13" s="1"/>
  <c r="N354" i="13" s="1"/>
  <c r="N355" i="13" s="1"/>
  <c r="N356" i="13" s="1"/>
  <c r="N357" i="13" s="1"/>
  <c r="N358" i="13" s="1"/>
  <c r="N359" i="13" s="1"/>
  <c r="N360" i="13" s="1"/>
  <c r="N361" i="13" s="1"/>
  <c r="N362" i="13" s="1"/>
  <c r="N363" i="13" s="1"/>
  <c r="N364" i="13" s="1"/>
  <c r="N365" i="13" s="1"/>
  <c r="N366" i="13" s="1"/>
  <c r="N367" i="13" s="1"/>
  <c r="N368" i="13" s="1"/>
  <c r="N369" i="13" s="1"/>
  <c r="N370" i="13" s="1"/>
  <c r="N371" i="13" s="1"/>
  <c r="N372" i="13" s="1"/>
  <c r="N373" i="13" s="1"/>
  <c r="N374" i="13" s="1"/>
  <c r="N375" i="13" s="1"/>
  <c r="N376" i="13" s="1"/>
  <c r="N377" i="13" s="1"/>
  <c r="N378" i="13" s="1"/>
  <c r="N379" i="13" s="1"/>
  <c r="N380" i="13" s="1"/>
  <c r="N381" i="13" s="1"/>
  <c r="N382" i="13" s="1"/>
  <c r="N383" i="13" s="1"/>
  <c r="N384" i="13" s="1"/>
  <c r="N385" i="13" s="1"/>
  <c r="N386" i="13" s="1"/>
  <c r="N387" i="13" s="1"/>
  <c r="N388" i="13" s="1"/>
  <c r="N389" i="13" s="1"/>
  <c r="N390" i="13" s="1"/>
  <c r="N391" i="13" s="1"/>
  <c r="N392" i="13" s="1"/>
  <c r="N393" i="13" s="1"/>
  <c r="N394" i="13" s="1"/>
  <c r="N395" i="13" s="1"/>
  <c r="N396" i="13" s="1"/>
  <c r="N397" i="13" s="1"/>
  <c r="N398" i="13" s="1"/>
  <c r="N399" i="13" s="1"/>
  <c r="N400" i="13" s="1"/>
  <c r="N401" i="13" s="1"/>
  <c r="N402" i="13" s="1"/>
  <c r="N403" i="13" s="1"/>
  <c r="N404" i="13" s="1"/>
  <c r="N405" i="13" s="1"/>
  <c r="N406" i="13" s="1"/>
  <c r="N407" i="13" s="1"/>
  <c r="N408" i="13" s="1"/>
  <c r="N409" i="13" s="1"/>
  <c r="N410" i="13" s="1"/>
  <c r="N411" i="13" s="1"/>
  <c r="N412" i="13" s="1"/>
  <c r="N413" i="13" s="1"/>
  <c r="N414" i="13" s="1"/>
  <c r="N415" i="13" s="1"/>
  <c r="N416" i="13" s="1"/>
  <c r="N417" i="13" s="1"/>
  <c r="N418" i="13" s="1"/>
  <c r="N419" i="13" s="1"/>
  <c r="N420" i="13" s="1"/>
  <c r="N421" i="13" s="1"/>
  <c r="N422" i="13" s="1"/>
  <c r="N423" i="13" s="1"/>
  <c r="N424" i="13" s="1"/>
  <c r="N425" i="13" s="1"/>
  <c r="N426" i="13" s="1"/>
  <c r="N427" i="13" s="1"/>
  <c r="N428" i="13" s="1"/>
  <c r="N429" i="13" s="1"/>
  <c r="N430" i="13" s="1"/>
  <c r="N431" i="13" s="1"/>
  <c r="N432" i="13" s="1"/>
  <c r="N433" i="13" s="1"/>
  <c r="N434" i="13" s="1"/>
  <c r="N435" i="13" s="1"/>
  <c r="N436" i="13" s="1"/>
  <c r="N437" i="13" s="1"/>
  <c r="N438" i="13" s="1"/>
  <c r="N439" i="13" s="1"/>
  <c r="N440" i="13" s="1"/>
  <c r="N441" i="13" s="1"/>
  <c r="N442" i="13" s="1"/>
  <c r="N443" i="13" s="1"/>
  <c r="N444" i="13" s="1"/>
  <c r="N445" i="13" s="1"/>
  <c r="N446" i="13" s="1"/>
  <c r="N447" i="13" s="1"/>
  <c r="N448" i="13" s="1"/>
  <c r="N449" i="13" s="1"/>
  <c r="N450" i="13" s="1"/>
  <c r="N451" i="13" s="1"/>
  <c r="N452" i="13" s="1"/>
  <c r="N453" i="13" s="1"/>
  <c r="N454" i="13" s="1"/>
  <c r="N455" i="13" s="1"/>
  <c r="N456" i="13" s="1"/>
  <c r="N457" i="13" s="1"/>
  <c r="N458" i="13" s="1"/>
  <c r="N459" i="13" s="1"/>
  <c r="N460" i="13" s="1"/>
  <c r="N461" i="13" s="1"/>
  <c r="N462" i="13" s="1"/>
  <c r="N463" i="13" s="1"/>
  <c r="N464" i="13" s="1"/>
  <c r="N465" i="13" s="1"/>
  <c r="N466" i="13" s="1"/>
  <c r="N467" i="13" s="1"/>
  <c r="N468" i="13" s="1"/>
  <c r="N469" i="13" s="1"/>
  <c r="N470" i="13" s="1"/>
  <c r="N471" i="13" s="1"/>
  <c r="N472" i="13" s="1"/>
  <c r="N473" i="13" s="1"/>
  <c r="N474" i="13" s="1"/>
  <c r="N475" i="13" s="1"/>
  <c r="N476" i="13" s="1"/>
  <c r="N477" i="13" s="1"/>
  <c r="N478" i="13" s="1"/>
  <c r="N479" i="13" s="1"/>
  <c r="N480" i="13" s="1"/>
  <c r="N481" i="13" s="1"/>
  <c r="N482" i="13" s="1"/>
  <c r="N483" i="13" s="1"/>
  <c r="N484" i="13" s="1"/>
  <c r="N485" i="13" s="1"/>
  <c r="N486" i="13" s="1"/>
  <c r="N487" i="13" s="1"/>
  <c r="N488" i="13" s="1"/>
  <c r="N489" i="13" s="1"/>
  <c r="N490" i="13" s="1"/>
  <c r="N491" i="13" s="1"/>
  <c r="N492" i="13" s="1"/>
  <c r="N493" i="13" s="1"/>
  <c r="N494" i="13" s="1"/>
  <c r="N495" i="13" s="1"/>
  <c r="N496" i="13" s="1"/>
  <c r="N497" i="13" s="1"/>
  <c r="N498" i="13" s="1"/>
  <c r="N499" i="13" s="1"/>
  <c r="N9" i="13"/>
  <c r="N10" i="13" s="1"/>
  <c r="N11" i="13" s="1"/>
  <c r="N12" i="13" s="1"/>
  <c r="N13" i="13" s="1"/>
  <c r="N14" i="13" s="1"/>
  <c r="N15" i="13" s="1"/>
  <c r="N16" i="13" s="1"/>
  <c r="N17" i="13" s="1"/>
  <c r="N18" i="13" s="1"/>
  <c r="N19" i="13" s="1"/>
  <c r="N20" i="13" s="1"/>
  <c r="N21" i="13" s="1"/>
  <c r="N22" i="13" s="1"/>
  <c r="N23" i="13" s="1"/>
  <c r="N24" i="13" s="1"/>
  <c r="N25" i="13" s="1"/>
  <c r="N26" i="13" s="1"/>
  <c r="N27" i="13" s="1"/>
  <c r="N28" i="13" s="1"/>
  <c r="N29" i="13" s="1"/>
  <c r="N30" i="13" s="1"/>
  <c r="N31" i="13" s="1"/>
  <c r="N32" i="13" s="1"/>
  <c r="N33" i="13" s="1"/>
  <c r="N34" i="13" s="1"/>
  <c r="N35" i="13" s="1"/>
  <c r="N36" i="13" s="1"/>
  <c r="N37" i="13" s="1"/>
  <c r="N38" i="13" s="1"/>
  <c r="N39" i="13" s="1"/>
  <c r="N40" i="13" s="1"/>
  <c r="N41" i="13" s="1"/>
  <c r="N42" i="13" s="1"/>
  <c r="N43" i="13" s="1"/>
  <c r="N44" i="13" s="1"/>
  <c r="N45" i="13" s="1"/>
  <c r="N46" i="13" s="1"/>
  <c r="N47" i="13" s="1"/>
  <c r="N48" i="13" s="1"/>
  <c r="N49" i="13" s="1"/>
  <c r="N50" i="13" s="1"/>
  <c r="N51" i="13" s="1"/>
  <c r="N52" i="13" s="1"/>
  <c r="N53" i="13" s="1"/>
  <c r="N54" i="13" s="1"/>
  <c r="N55" i="13" s="1"/>
  <c r="N56" i="13" s="1"/>
  <c r="N57" i="13" s="1"/>
  <c r="N58" i="13" s="1"/>
  <c r="N59" i="13" s="1"/>
  <c r="N60" i="13" s="1"/>
  <c r="N61" i="13" s="1"/>
  <c r="N62" i="13" s="1"/>
  <c r="N63" i="13" s="1"/>
  <c r="N64" i="13" s="1"/>
  <c r="N65" i="13" s="1"/>
  <c r="N66" i="13" s="1"/>
  <c r="N67" i="13" s="1"/>
  <c r="N68" i="13" s="1"/>
  <c r="N69" i="13" s="1"/>
  <c r="N70" i="13" s="1"/>
  <c r="N71" i="13" s="1"/>
  <c r="N72" i="13" s="1"/>
  <c r="N73" i="13" s="1"/>
  <c r="N74" i="13" s="1"/>
  <c r="N75" i="13" s="1"/>
  <c r="N76" i="13" s="1"/>
  <c r="N77" i="13" s="1"/>
  <c r="N78" i="13" s="1"/>
  <c r="N79" i="13" s="1"/>
  <c r="N80" i="13" s="1"/>
  <c r="N81" i="13" s="1"/>
  <c r="N82" i="13" s="1"/>
  <c r="N83" i="13" s="1"/>
  <c r="N84" i="13" s="1"/>
  <c r="N85" i="13" s="1"/>
  <c r="N86" i="13" s="1"/>
  <c r="N87" i="13" s="1"/>
  <c r="N88" i="13" s="1"/>
  <c r="N89" i="13" s="1"/>
  <c r="N90" i="13" s="1"/>
  <c r="N91" i="13" s="1"/>
  <c r="N92" i="13" s="1"/>
  <c r="N93" i="13" s="1"/>
  <c r="N94" i="13" s="1"/>
  <c r="N95" i="13" s="1"/>
  <c r="N96" i="13" s="1"/>
  <c r="N97" i="13" s="1"/>
  <c r="N98" i="13" s="1"/>
  <c r="C486" i="13"/>
  <c r="C485" i="13"/>
  <c r="C16" i="14"/>
  <c r="C15" i="14"/>
  <c r="C83" i="15"/>
  <c r="C84" i="15"/>
  <c r="C288" i="13"/>
  <c r="C304" i="13"/>
  <c r="C320" i="13"/>
  <c r="C392" i="13"/>
  <c r="C394" i="13"/>
  <c r="C393" i="13"/>
  <c r="C424" i="13"/>
  <c r="C426" i="13"/>
  <c r="C425" i="13"/>
  <c r="C456" i="13"/>
  <c r="C458" i="13"/>
  <c r="C457" i="13"/>
  <c r="C488" i="13"/>
  <c r="C490" i="13"/>
  <c r="C489" i="13"/>
  <c r="C18" i="14"/>
  <c r="C20" i="14"/>
  <c r="C19" i="14"/>
  <c r="C27" i="14"/>
  <c r="C51" i="14"/>
  <c r="C69" i="14"/>
  <c r="C73" i="14"/>
  <c r="C77" i="14"/>
  <c r="C81" i="14"/>
  <c r="N99" i="14"/>
  <c r="C99" i="14"/>
  <c r="N100" i="14"/>
  <c r="C5" i="13"/>
  <c r="C9" i="13"/>
  <c r="C13" i="13"/>
  <c r="C17" i="13"/>
  <c r="C21" i="13"/>
  <c r="C25" i="13"/>
  <c r="C46" i="13"/>
  <c r="C50" i="13"/>
  <c r="C54" i="13"/>
  <c r="C58" i="13"/>
  <c r="C62" i="13"/>
  <c r="C66" i="13"/>
  <c r="C86" i="13"/>
  <c r="C90" i="13"/>
  <c r="C94" i="13"/>
  <c r="C98" i="13"/>
  <c r="C102" i="13"/>
  <c r="C106" i="13"/>
  <c r="C110" i="13"/>
  <c r="C114" i="13"/>
  <c r="C118" i="13"/>
  <c r="C122" i="13"/>
  <c r="C126" i="13"/>
  <c r="C130" i="13"/>
  <c r="C134" i="13"/>
  <c r="C138" i="13"/>
  <c r="C142" i="13"/>
  <c r="C146" i="13"/>
  <c r="C150" i="13"/>
  <c r="C154" i="13"/>
  <c r="C158" i="13"/>
  <c r="C162" i="13"/>
  <c r="C166" i="13"/>
  <c r="C170" i="13"/>
  <c r="C174" i="13"/>
  <c r="C178" i="13"/>
  <c r="C182" i="13"/>
  <c r="C186" i="13"/>
  <c r="C190" i="13"/>
  <c r="C194" i="13"/>
  <c r="C198" i="13"/>
  <c r="C202" i="13"/>
  <c r="C206" i="13"/>
  <c r="C210" i="13"/>
  <c r="C214" i="13"/>
  <c r="C218" i="13"/>
  <c r="C222" i="13"/>
  <c r="C226" i="13"/>
  <c r="C230" i="13"/>
  <c r="C234" i="13"/>
  <c r="C238" i="13"/>
  <c r="C242" i="13"/>
  <c r="C246" i="13"/>
  <c r="C250" i="13"/>
  <c r="C254" i="13"/>
  <c r="C258" i="13"/>
  <c r="C262" i="13"/>
  <c r="C266" i="13"/>
  <c r="C270" i="13"/>
  <c r="C274" i="13"/>
  <c r="C289" i="13"/>
  <c r="C294" i="13"/>
  <c r="C305" i="13"/>
  <c r="C310" i="13"/>
  <c r="C321" i="13"/>
  <c r="C329" i="13"/>
  <c r="C337" i="13"/>
  <c r="C345" i="13"/>
  <c r="C353" i="13"/>
  <c r="C361" i="13"/>
  <c r="C369" i="13"/>
  <c r="C377" i="13"/>
  <c r="C396" i="13"/>
  <c r="C398" i="13"/>
  <c r="C397" i="13"/>
  <c r="C428" i="13"/>
  <c r="C430" i="13"/>
  <c r="C429" i="13"/>
  <c r="C460" i="13"/>
  <c r="C462" i="13"/>
  <c r="C461" i="13"/>
  <c r="C492" i="13"/>
  <c r="C494" i="13"/>
  <c r="C493" i="13"/>
  <c r="C22" i="14"/>
  <c r="C55" i="14"/>
  <c r="C103" i="14"/>
  <c r="C388" i="13"/>
  <c r="C484" i="13"/>
  <c r="C14" i="14"/>
  <c r="C284" i="13"/>
  <c r="C300" i="13"/>
  <c r="C316" i="13"/>
  <c r="C400" i="13"/>
  <c r="C402" i="13"/>
  <c r="C401" i="13"/>
  <c r="C432" i="13"/>
  <c r="C434" i="13"/>
  <c r="C433" i="13"/>
  <c r="C464" i="13"/>
  <c r="C466" i="13"/>
  <c r="C465" i="13"/>
  <c r="C496" i="13"/>
  <c r="C498" i="13"/>
  <c r="C497" i="13"/>
  <c r="C26" i="14"/>
  <c r="C59" i="14"/>
  <c r="C68" i="14"/>
  <c r="C72" i="14"/>
  <c r="C76" i="14"/>
  <c r="C80" i="14"/>
  <c r="C362" i="13"/>
  <c r="C370" i="13"/>
  <c r="C378" i="13"/>
  <c r="C404" i="13"/>
  <c r="C406" i="13"/>
  <c r="C405" i="13"/>
  <c r="C436" i="13"/>
  <c r="C438" i="13"/>
  <c r="C437" i="13"/>
  <c r="C468" i="13"/>
  <c r="C470" i="13"/>
  <c r="C469" i="13"/>
  <c r="N2" i="14"/>
  <c r="C2" i="14"/>
  <c r="N3" i="14"/>
  <c r="C3" i="14"/>
  <c r="N4" i="14"/>
  <c r="N5" i="14" s="1"/>
  <c r="N6" i="14" s="1"/>
  <c r="N7" i="14" s="1"/>
  <c r="N8" i="14" s="1"/>
  <c r="N9" i="14" s="1"/>
  <c r="N10" i="14" s="1"/>
  <c r="N11" i="14" s="1"/>
  <c r="N12" i="14" s="1"/>
  <c r="N13" i="14" s="1"/>
  <c r="N14" i="14" s="1"/>
  <c r="N15" i="14" s="1"/>
  <c r="N16" i="14" s="1"/>
  <c r="N17" i="14" s="1"/>
  <c r="N18" i="14" s="1"/>
  <c r="N19" i="14" s="1"/>
  <c r="N20" i="14" s="1"/>
  <c r="N21" i="14" s="1"/>
  <c r="N22" i="14" s="1"/>
  <c r="N23" i="14" s="1"/>
  <c r="N24" i="14" s="1"/>
  <c r="N25" i="14" s="1"/>
  <c r="N26" i="14" s="1"/>
  <c r="N27" i="14" s="1"/>
  <c r="N28" i="14" s="1"/>
  <c r="N29" i="14" s="1"/>
  <c r="N30" i="14" s="1"/>
  <c r="N31" i="14" s="1"/>
  <c r="N32" i="14" s="1"/>
  <c r="N33" i="14" s="1"/>
  <c r="N34" i="14" s="1"/>
  <c r="N35" i="14" s="1"/>
  <c r="N36" i="14" s="1"/>
  <c r="N37" i="14" s="1"/>
  <c r="N38" i="14" s="1"/>
  <c r="N39" i="14" s="1"/>
  <c r="N40" i="14" s="1"/>
  <c r="N41" i="14" s="1"/>
  <c r="N42" i="14" s="1"/>
  <c r="N43" i="14" s="1"/>
  <c r="N44" i="14" s="1"/>
  <c r="N45" i="14" s="1"/>
  <c r="N46" i="14" s="1"/>
  <c r="N47" i="14" s="1"/>
  <c r="N48" i="14" s="1"/>
  <c r="N49" i="14" s="1"/>
  <c r="N50" i="14" s="1"/>
  <c r="N51" i="14" s="1"/>
  <c r="N52" i="14" s="1"/>
  <c r="N53" i="14" s="1"/>
  <c r="N54" i="14" s="1"/>
  <c r="N55" i="14" s="1"/>
  <c r="N56" i="14" s="1"/>
  <c r="N57" i="14" s="1"/>
  <c r="N58" i="14" s="1"/>
  <c r="N59" i="14" s="1"/>
  <c r="N60" i="14" s="1"/>
  <c r="N61" i="14" s="1"/>
  <c r="N62" i="14" s="1"/>
  <c r="N63" i="14" s="1"/>
  <c r="N64" i="14" s="1"/>
  <c r="N65" i="14" s="1"/>
  <c r="N66" i="14" s="1"/>
  <c r="C63" i="14"/>
  <c r="C108" i="14"/>
  <c r="C420" i="13"/>
  <c r="C452" i="13"/>
  <c r="C47" i="14"/>
  <c r="C380" i="13"/>
  <c r="C382" i="13"/>
  <c r="C381" i="13"/>
  <c r="C408" i="13"/>
  <c r="C410" i="13"/>
  <c r="C409" i="13"/>
  <c r="C440" i="13"/>
  <c r="C442" i="13"/>
  <c r="C441" i="13"/>
  <c r="C472" i="13"/>
  <c r="C474" i="13"/>
  <c r="C473" i="13"/>
  <c r="C29" i="14"/>
  <c r="N67" i="14"/>
  <c r="N68" i="14" s="1"/>
  <c r="N69" i="14" s="1"/>
  <c r="N70" i="14" s="1"/>
  <c r="N71" i="14" s="1"/>
  <c r="N72" i="14" s="1"/>
  <c r="N73" i="14" s="1"/>
  <c r="N74" i="14" s="1"/>
  <c r="N75" i="14" s="1"/>
  <c r="N76" i="14" s="1"/>
  <c r="N77" i="14" s="1"/>
  <c r="N78" i="14" s="1"/>
  <c r="N79" i="14" s="1"/>
  <c r="N80" i="14" s="1"/>
  <c r="N81" i="14" s="1"/>
  <c r="N82" i="14" s="1"/>
  <c r="N83" i="14" s="1"/>
  <c r="N84" i="14" s="1"/>
  <c r="N85" i="14" s="1"/>
  <c r="N86" i="14" s="1"/>
  <c r="N87" i="14" s="1"/>
  <c r="N88" i="14" s="1"/>
  <c r="N89" i="14" s="1"/>
  <c r="N90" i="14" s="1"/>
  <c r="N91" i="14" s="1"/>
  <c r="N92" i="14" s="1"/>
  <c r="N93" i="14" s="1"/>
  <c r="N94" i="14" s="1"/>
  <c r="N95" i="14" s="1"/>
  <c r="N96" i="14" s="1"/>
  <c r="N97" i="14" s="1"/>
  <c r="N98" i="14" s="1"/>
  <c r="C67" i="14"/>
  <c r="C71" i="14"/>
  <c r="C75" i="14"/>
  <c r="C79" i="14"/>
  <c r="C83" i="14"/>
  <c r="C114" i="14"/>
  <c r="C390" i="13"/>
  <c r="C389" i="13"/>
  <c r="C281" i="13"/>
  <c r="C286" i="13"/>
  <c r="C297" i="13"/>
  <c r="C302" i="13"/>
  <c r="C313" i="13"/>
  <c r="C318" i="13"/>
  <c r="C325" i="13"/>
  <c r="C333" i="13"/>
  <c r="C341" i="13"/>
  <c r="C349" i="13"/>
  <c r="C357" i="13"/>
  <c r="C365" i="13"/>
  <c r="C373" i="13"/>
  <c r="C412" i="13"/>
  <c r="C414" i="13"/>
  <c r="C413" i="13"/>
  <c r="C444" i="13"/>
  <c r="C446" i="13"/>
  <c r="C445" i="13"/>
  <c r="C476" i="13"/>
  <c r="C478" i="13"/>
  <c r="C477" i="13"/>
  <c r="C6" i="14"/>
  <c r="C8" i="14"/>
  <c r="C7" i="14"/>
  <c r="C87" i="14"/>
  <c r="C422" i="13"/>
  <c r="C421" i="13"/>
  <c r="C454" i="13"/>
  <c r="C453" i="13"/>
  <c r="C95" i="14"/>
  <c r="C115" i="15"/>
  <c r="C116" i="15"/>
  <c r="C384" i="13"/>
  <c r="C386" i="13"/>
  <c r="C385" i="13"/>
  <c r="C416" i="13"/>
  <c r="C418" i="13"/>
  <c r="C417" i="13"/>
  <c r="C448" i="13"/>
  <c r="C450" i="13"/>
  <c r="C449" i="13"/>
  <c r="C480" i="13"/>
  <c r="C482" i="13"/>
  <c r="C481" i="13"/>
  <c r="C10" i="14"/>
  <c r="C12" i="14"/>
  <c r="C11" i="14"/>
  <c r="C28" i="14"/>
  <c r="C70" i="14"/>
  <c r="C74" i="14"/>
  <c r="C78" i="14"/>
  <c r="C82" i="14"/>
  <c r="C91" i="14"/>
  <c r="N101" i="14"/>
  <c r="N102" i="14" s="1"/>
  <c r="N103" i="14" s="1"/>
  <c r="N104" i="14" s="1"/>
  <c r="N105" i="14" s="1"/>
  <c r="N106" i="14" s="1"/>
  <c r="N107" i="14" s="1"/>
  <c r="N108" i="14" s="1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7" i="14"/>
  <c r="C208" i="14"/>
  <c r="C209" i="14"/>
  <c r="C211" i="14"/>
  <c r="C212" i="14"/>
  <c r="C213" i="14"/>
  <c r="C215" i="14"/>
  <c r="C216" i="14"/>
  <c r="C217" i="14"/>
  <c r="C219" i="14"/>
  <c r="C220" i="14"/>
  <c r="C221" i="14"/>
  <c r="C223" i="14"/>
  <c r="C224" i="14"/>
  <c r="C225" i="14"/>
  <c r="C227" i="14"/>
  <c r="C228" i="14"/>
  <c r="C229" i="14"/>
  <c r="C231" i="14"/>
  <c r="C232" i="14"/>
  <c r="C233" i="14"/>
  <c r="C235" i="14"/>
  <c r="C236" i="14"/>
  <c r="C237" i="14"/>
  <c r="C239" i="14"/>
  <c r="C240" i="14"/>
  <c r="C241" i="14"/>
  <c r="C243" i="14"/>
  <c r="C244" i="14"/>
  <c r="C245" i="14"/>
  <c r="C247" i="14"/>
  <c r="C248" i="14"/>
  <c r="C249" i="14"/>
  <c r="C251" i="14"/>
  <c r="C252" i="14"/>
  <c r="C253" i="14"/>
  <c r="C255" i="14"/>
  <c r="C256" i="14"/>
  <c r="C257" i="14"/>
  <c r="C259" i="14"/>
  <c r="C260" i="14"/>
  <c r="C261" i="14"/>
  <c r="C263" i="14"/>
  <c r="C264" i="14"/>
  <c r="C265" i="14"/>
  <c r="C267" i="14"/>
  <c r="C268" i="14"/>
  <c r="C269" i="14"/>
  <c r="C271" i="14"/>
  <c r="C272" i="14"/>
  <c r="C273" i="14"/>
  <c r="C275" i="14"/>
  <c r="C276" i="14"/>
  <c r="C277" i="14"/>
  <c r="C279" i="14"/>
  <c r="C280" i="14"/>
  <c r="C281" i="14"/>
  <c r="C283" i="14"/>
  <c r="C284" i="14"/>
  <c r="C285" i="14"/>
  <c r="C287" i="14"/>
  <c r="C288" i="14"/>
  <c r="C289" i="14"/>
  <c r="C291" i="14"/>
  <c r="C292" i="14"/>
  <c r="C293" i="14"/>
  <c r="C295" i="14"/>
  <c r="C296" i="14"/>
  <c r="C297" i="14"/>
  <c r="C299" i="14"/>
  <c r="C300" i="14"/>
  <c r="C301" i="14"/>
  <c r="C303" i="14"/>
  <c r="C304" i="14"/>
  <c r="C305" i="14"/>
  <c r="C307" i="14"/>
  <c r="C308" i="14"/>
  <c r="C309" i="14"/>
  <c r="C311" i="14"/>
  <c r="C312" i="14"/>
  <c r="C313" i="14"/>
  <c r="C315" i="14"/>
  <c r="C316" i="14"/>
  <c r="C317" i="14"/>
  <c r="C319" i="14"/>
  <c r="C320" i="14"/>
  <c r="C321" i="14"/>
  <c r="C323" i="14"/>
  <c r="C324" i="14"/>
  <c r="C325" i="14"/>
  <c r="C327" i="14"/>
  <c r="C328" i="14"/>
  <c r="C329" i="14"/>
  <c r="C331" i="14"/>
  <c r="C332" i="14"/>
  <c r="C333" i="14"/>
  <c r="C335" i="14"/>
  <c r="C336" i="14"/>
  <c r="C337" i="14"/>
  <c r="C339" i="14"/>
  <c r="C340" i="14"/>
  <c r="C341" i="14"/>
  <c r="C412" i="14"/>
  <c r="C413" i="14"/>
  <c r="C444" i="14"/>
  <c r="C445" i="14"/>
  <c r="C476" i="14"/>
  <c r="C477" i="14"/>
  <c r="C109" i="14"/>
  <c r="C23" i="14"/>
  <c r="C30" i="14"/>
  <c r="C48" i="14"/>
  <c r="C52" i="14"/>
  <c r="C56" i="14"/>
  <c r="C60" i="14"/>
  <c r="C64" i="14"/>
  <c r="C84" i="14"/>
  <c r="C88" i="14"/>
  <c r="C92" i="14"/>
  <c r="C96" i="14"/>
  <c r="C100" i="14"/>
  <c r="C104" i="14"/>
  <c r="C420" i="14"/>
  <c r="C421" i="14"/>
  <c r="C452" i="14"/>
  <c r="C453" i="14"/>
  <c r="C484" i="14"/>
  <c r="C485" i="14"/>
  <c r="C10" i="15"/>
  <c r="C11" i="15"/>
  <c r="C159" i="15"/>
  <c r="C160" i="15"/>
  <c r="C191" i="15"/>
  <c r="C192" i="15"/>
  <c r="C223" i="15"/>
  <c r="C224" i="15"/>
  <c r="C255" i="15"/>
  <c r="C256" i="15"/>
  <c r="C287" i="15"/>
  <c r="C288" i="15"/>
  <c r="C319" i="15"/>
  <c r="C320" i="15"/>
  <c r="C105" i="14"/>
  <c r="C345" i="14"/>
  <c r="C72" i="15"/>
  <c r="N99" i="15"/>
  <c r="C99" i="15"/>
  <c r="C100" i="15"/>
  <c r="N100" i="15"/>
  <c r="C131" i="15"/>
  <c r="C132" i="15"/>
  <c r="C24" i="14"/>
  <c r="C31" i="14"/>
  <c r="C49" i="14"/>
  <c r="C53" i="14"/>
  <c r="C57" i="14"/>
  <c r="C61" i="14"/>
  <c r="C65" i="14"/>
  <c r="C85" i="14"/>
  <c r="C89" i="14"/>
  <c r="C93" i="14"/>
  <c r="C97" i="14"/>
  <c r="C101" i="14"/>
  <c r="C428" i="14"/>
  <c r="C429" i="14"/>
  <c r="C460" i="14"/>
  <c r="C461" i="14"/>
  <c r="C492" i="14"/>
  <c r="C493" i="14"/>
  <c r="C18" i="15"/>
  <c r="C19" i="15"/>
  <c r="N109" i="14"/>
  <c r="N110" i="14" s="1"/>
  <c r="N111" i="14" s="1"/>
  <c r="N112" i="14" s="1"/>
  <c r="N113" i="14" s="1"/>
  <c r="N114" i="14" s="1"/>
  <c r="N115" i="14" s="1"/>
  <c r="N116" i="14" s="1"/>
  <c r="N117" i="14" s="1"/>
  <c r="N118" i="14" s="1"/>
  <c r="N119" i="14" s="1"/>
  <c r="N120" i="14" s="1"/>
  <c r="N121" i="14" s="1"/>
  <c r="N122" i="14" s="1"/>
  <c r="N123" i="14" s="1"/>
  <c r="N124" i="14" s="1"/>
  <c r="N125" i="14" s="1"/>
  <c r="N126" i="14" s="1"/>
  <c r="N127" i="14" s="1"/>
  <c r="N128" i="14" s="1"/>
  <c r="N129" i="14" s="1"/>
  <c r="N130" i="14" s="1"/>
  <c r="N131" i="14" s="1"/>
  <c r="N132" i="14" s="1"/>
  <c r="N133" i="14" s="1"/>
  <c r="N134" i="14" s="1"/>
  <c r="N135" i="14" s="1"/>
  <c r="N136" i="14" s="1"/>
  <c r="N137" i="14" s="1"/>
  <c r="N138" i="14" s="1"/>
  <c r="N139" i="14" s="1"/>
  <c r="N140" i="14" s="1"/>
  <c r="N141" i="14" s="1"/>
  <c r="N142" i="14" s="1"/>
  <c r="N143" i="14" s="1"/>
  <c r="N144" i="14" s="1"/>
  <c r="N145" i="14" s="1"/>
  <c r="N146" i="14" s="1"/>
  <c r="N147" i="14" s="1"/>
  <c r="N148" i="14" s="1"/>
  <c r="N149" i="14" s="1"/>
  <c r="N150" i="14" s="1"/>
  <c r="N151" i="14" s="1"/>
  <c r="N152" i="14" s="1"/>
  <c r="N153" i="14" s="1"/>
  <c r="N154" i="14" s="1"/>
  <c r="N155" i="14" s="1"/>
  <c r="N156" i="14" s="1"/>
  <c r="N157" i="14" s="1"/>
  <c r="N158" i="14" s="1"/>
  <c r="N159" i="14" s="1"/>
  <c r="N160" i="14" s="1"/>
  <c r="N161" i="14" s="1"/>
  <c r="N162" i="14" s="1"/>
  <c r="N163" i="14" s="1"/>
  <c r="N164" i="14" s="1"/>
  <c r="N165" i="14" s="1"/>
  <c r="N166" i="14" s="1"/>
  <c r="N167" i="14" s="1"/>
  <c r="N168" i="14" s="1"/>
  <c r="N169" i="14" s="1"/>
  <c r="N170" i="14" s="1"/>
  <c r="N171" i="14" s="1"/>
  <c r="N172" i="14" s="1"/>
  <c r="N173" i="14" s="1"/>
  <c r="N174" i="14" s="1"/>
  <c r="N175" i="14" s="1"/>
  <c r="N176" i="14" s="1"/>
  <c r="N177" i="14" s="1"/>
  <c r="N178" i="14" s="1"/>
  <c r="N179" i="14" s="1"/>
  <c r="N180" i="14" s="1"/>
  <c r="N181" i="14" s="1"/>
  <c r="N182" i="14" s="1"/>
  <c r="N183" i="14" s="1"/>
  <c r="N184" i="14" s="1"/>
  <c r="N185" i="14" s="1"/>
  <c r="N186" i="14" s="1"/>
  <c r="N187" i="14" s="1"/>
  <c r="N188" i="14" s="1"/>
  <c r="N189" i="14" s="1"/>
  <c r="N190" i="14" s="1"/>
  <c r="N191" i="14" s="1"/>
  <c r="N192" i="14" s="1"/>
  <c r="N193" i="14" s="1"/>
  <c r="N194" i="14" s="1"/>
  <c r="N195" i="14" s="1"/>
  <c r="N196" i="14" s="1"/>
  <c r="N197" i="14" s="1"/>
  <c r="N198" i="14" s="1"/>
  <c r="N199" i="14" s="1"/>
  <c r="N200" i="14" s="1"/>
  <c r="N201" i="14" s="1"/>
  <c r="N202" i="14" s="1"/>
  <c r="N203" i="14" s="1"/>
  <c r="N204" i="14" s="1"/>
  <c r="N205" i="14" s="1"/>
  <c r="N206" i="14" s="1"/>
  <c r="N207" i="14" s="1"/>
  <c r="N208" i="14" s="1"/>
  <c r="N209" i="14" s="1"/>
  <c r="N210" i="14" s="1"/>
  <c r="N211" i="14" s="1"/>
  <c r="N212" i="14" s="1"/>
  <c r="N213" i="14" s="1"/>
  <c r="N214" i="14" s="1"/>
  <c r="N215" i="14" s="1"/>
  <c r="N216" i="14" s="1"/>
  <c r="N217" i="14" s="1"/>
  <c r="N218" i="14" s="1"/>
  <c r="N219" i="14" s="1"/>
  <c r="N220" i="14" s="1"/>
  <c r="N221" i="14" s="1"/>
  <c r="N222" i="14" s="1"/>
  <c r="N223" i="14" s="1"/>
  <c r="N224" i="14" s="1"/>
  <c r="N225" i="14" s="1"/>
  <c r="N226" i="14" s="1"/>
  <c r="N227" i="14" s="1"/>
  <c r="N228" i="14" s="1"/>
  <c r="N229" i="14" s="1"/>
  <c r="N230" i="14" s="1"/>
  <c r="N231" i="14" s="1"/>
  <c r="N232" i="14" s="1"/>
  <c r="N233" i="14" s="1"/>
  <c r="N234" i="14" s="1"/>
  <c r="N235" i="14" s="1"/>
  <c r="N236" i="14" s="1"/>
  <c r="N237" i="14" s="1"/>
  <c r="N238" i="14" s="1"/>
  <c r="N239" i="14" s="1"/>
  <c r="N240" i="14" s="1"/>
  <c r="N241" i="14" s="1"/>
  <c r="N242" i="14" s="1"/>
  <c r="N243" i="14" s="1"/>
  <c r="N244" i="14" s="1"/>
  <c r="N245" i="14" s="1"/>
  <c r="N246" i="14" s="1"/>
  <c r="N247" i="14" s="1"/>
  <c r="N248" i="14" s="1"/>
  <c r="N249" i="14" s="1"/>
  <c r="N250" i="14" s="1"/>
  <c r="N251" i="14" s="1"/>
  <c r="N252" i="14" s="1"/>
  <c r="N253" i="14" s="1"/>
  <c r="N254" i="14" s="1"/>
  <c r="N255" i="14" s="1"/>
  <c r="N256" i="14" s="1"/>
  <c r="N257" i="14" s="1"/>
  <c r="N258" i="14" s="1"/>
  <c r="N259" i="14" s="1"/>
  <c r="N260" i="14" s="1"/>
  <c r="N261" i="14" s="1"/>
  <c r="N262" i="14" s="1"/>
  <c r="N263" i="14" s="1"/>
  <c r="N264" i="14" s="1"/>
  <c r="N265" i="14" s="1"/>
  <c r="N266" i="14" s="1"/>
  <c r="N267" i="14" s="1"/>
  <c r="N268" i="14" s="1"/>
  <c r="N269" i="14" s="1"/>
  <c r="N270" i="14" s="1"/>
  <c r="N271" i="14" s="1"/>
  <c r="N272" i="14" s="1"/>
  <c r="N273" i="14" s="1"/>
  <c r="N274" i="14" s="1"/>
  <c r="N275" i="14" s="1"/>
  <c r="N276" i="14" s="1"/>
  <c r="N277" i="14" s="1"/>
  <c r="N278" i="14" s="1"/>
  <c r="N279" i="14" s="1"/>
  <c r="N280" i="14" s="1"/>
  <c r="N281" i="14" s="1"/>
  <c r="N282" i="14" s="1"/>
  <c r="N283" i="14" s="1"/>
  <c r="N284" i="14" s="1"/>
  <c r="N285" i="14" s="1"/>
  <c r="N286" i="14" s="1"/>
  <c r="N287" i="14" s="1"/>
  <c r="N288" i="14" s="1"/>
  <c r="N289" i="14" s="1"/>
  <c r="N290" i="14" s="1"/>
  <c r="N291" i="14" s="1"/>
  <c r="N292" i="14" s="1"/>
  <c r="N293" i="14" s="1"/>
  <c r="N294" i="14" s="1"/>
  <c r="N295" i="14" s="1"/>
  <c r="N296" i="14" s="1"/>
  <c r="N297" i="14" s="1"/>
  <c r="N298" i="14" s="1"/>
  <c r="N299" i="14" s="1"/>
  <c r="N300" i="14" s="1"/>
  <c r="N301" i="14" s="1"/>
  <c r="N302" i="14" s="1"/>
  <c r="N303" i="14" s="1"/>
  <c r="N304" i="14" s="1"/>
  <c r="N305" i="14" s="1"/>
  <c r="N306" i="14" s="1"/>
  <c r="N307" i="14" s="1"/>
  <c r="N308" i="14" s="1"/>
  <c r="N309" i="14" s="1"/>
  <c r="N310" i="14" s="1"/>
  <c r="N311" i="14" s="1"/>
  <c r="N312" i="14" s="1"/>
  <c r="N313" i="14" s="1"/>
  <c r="N314" i="14" s="1"/>
  <c r="N315" i="14" s="1"/>
  <c r="N316" i="14" s="1"/>
  <c r="N317" i="14" s="1"/>
  <c r="N318" i="14" s="1"/>
  <c r="N319" i="14" s="1"/>
  <c r="N320" i="14" s="1"/>
  <c r="N321" i="14" s="1"/>
  <c r="N322" i="14" s="1"/>
  <c r="N323" i="14" s="1"/>
  <c r="N324" i="14" s="1"/>
  <c r="N325" i="14" s="1"/>
  <c r="N326" i="14" s="1"/>
  <c r="N327" i="14" s="1"/>
  <c r="N328" i="14" s="1"/>
  <c r="N329" i="14" s="1"/>
  <c r="N330" i="14" s="1"/>
  <c r="N331" i="14" s="1"/>
  <c r="N332" i="14" s="1"/>
  <c r="N333" i="14" s="1"/>
  <c r="N334" i="14" s="1"/>
  <c r="N335" i="14" s="1"/>
  <c r="N336" i="14" s="1"/>
  <c r="N337" i="14" s="1"/>
  <c r="N338" i="14" s="1"/>
  <c r="N339" i="14" s="1"/>
  <c r="N340" i="14" s="1"/>
  <c r="N341" i="14" s="1"/>
  <c r="N342" i="14" s="1"/>
  <c r="N343" i="14" s="1"/>
  <c r="N344" i="14" s="1"/>
  <c r="N345" i="14" s="1"/>
  <c r="N346" i="14" s="1"/>
  <c r="N347" i="14" s="1"/>
  <c r="N348" i="14" s="1"/>
  <c r="N349" i="14" s="1"/>
  <c r="N350" i="14" s="1"/>
  <c r="N351" i="14" s="1"/>
  <c r="N352" i="14" s="1"/>
  <c r="N353" i="14" s="1"/>
  <c r="N354" i="14" s="1"/>
  <c r="N355" i="14" s="1"/>
  <c r="N356" i="14" s="1"/>
  <c r="N357" i="14" s="1"/>
  <c r="N358" i="14" s="1"/>
  <c r="N359" i="14" s="1"/>
  <c r="N360" i="14" s="1"/>
  <c r="N361" i="14" s="1"/>
  <c r="N362" i="14" s="1"/>
  <c r="N363" i="14" s="1"/>
  <c r="N364" i="14" s="1"/>
  <c r="N365" i="14" s="1"/>
  <c r="N366" i="14" s="1"/>
  <c r="N367" i="14" s="1"/>
  <c r="N368" i="14" s="1"/>
  <c r="N369" i="14" s="1"/>
  <c r="N370" i="14" s="1"/>
  <c r="N371" i="14" s="1"/>
  <c r="N372" i="14" s="1"/>
  <c r="N373" i="14" s="1"/>
  <c r="N374" i="14" s="1"/>
  <c r="N375" i="14" s="1"/>
  <c r="N376" i="14" s="1"/>
  <c r="N377" i="14" s="1"/>
  <c r="N378" i="14" s="1"/>
  <c r="N379" i="14" s="1"/>
  <c r="N380" i="14" s="1"/>
  <c r="N381" i="14" s="1"/>
  <c r="N382" i="14" s="1"/>
  <c r="N383" i="14" s="1"/>
  <c r="N384" i="14" s="1"/>
  <c r="N385" i="14" s="1"/>
  <c r="N386" i="14" s="1"/>
  <c r="N387" i="14" s="1"/>
  <c r="N388" i="14" s="1"/>
  <c r="N389" i="14" s="1"/>
  <c r="N390" i="14" s="1"/>
  <c r="N391" i="14" s="1"/>
  <c r="N392" i="14" s="1"/>
  <c r="N393" i="14" s="1"/>
  <c r="N394" i="14" s="1"/>
  <c r="N395" i="14" s="1"/>
  <c r="N396" i="14" s="1"/>
  <c r="N397" i="14" s="1"/>
  <c r="N398" i="14" s="1"/>
  <c r="N399" i="14" s="1"/>
  <c r="N400" i="14" s="1"/>
  <c r="N401" i="14" s="1"/>
  <c r="N402" i="14" s="1"/>
  <c r="N403" i="14" s="1"/>
  <c r="N404" i="14" s="1"/>
  <c r="N405" i="14" s="1"/>
  <c r="N406" i="14" s="1"/>
  <c r="N407" i="14" s="1"/>
  <c r="N408" i="14" s="1"/>
  <c r="N409" i="14" s="1"/>
  <c r="N410" i="14" s="1"/>
  <c r="N411" i="14" s="1"/>
  <c r="N412" i="14" s="1"/>
  <c r="N413" i="14" s="1"/>
  <c r="N414" i="14" s="1"/>
  <c r="N415" i="14" s="1"/>
  <c r="N416" i="14" s="1"/>
  <c r="N417" i="14" s="1"/>
  <c r="N418" i="14" s="1"/>
  <c r="N419" i="14" s="1"/>
  <c r="N420" i="14" s="1"/>
  <c r="N421" i="14" s="1"/>
  <c r="N422" i="14" s="1"/>
  <c r="N423" i="14" s="1"/>
  <c r="N424" i="14" s="1"/>
  <c r="N425" i="14" s="1"/>
  <c r="N426" i="14" s="1"/>
  <c r="N427" i="14" s="1"/>
  <c r="N428" i="14" s="1"/>
  <c r="N429" i="14" s="1"/>
  <c r="N430" i="14" s="1"/>
  <c r="N431" i="14" s="1"/>
  <c r="N432" i="14" s="1"/>
  <c r="N433" i="14" s="1"/>
  <c r="N434" i="14" s="1"/>
  <c r="N435" i="14" s="1"/>
  <c r="N436" i="14" s="1"/>
  <c r="N437" i="14" s="1"/>
  <c r="N438" i="14" s="1"/>
  <c r="N439" i="14" s="1"/>
  <c r="N440" i="14" s="1"/>
  <c r="N441" i="14" s="1"/>
  <c r="N442" i="14" s="1"/>
  <c r="N443" i="14" s="1"/>
  <c r="N444" i="14" s="1"/>
  <c r="N445" i="14" s="1"/>
  <c r="N446" i="14" s="1"/>
  <c r="N447" i="14" s="1"/>
  <c r="N448" i="14" s="1"/>
  <c r="N449" i="14" s="1"/>
  <c r="N450" i="14" s="1"/>
  <c r="N451" i="14" s="1"/>
  <c r="N452" i="14" s="1"/>
  <c r="N453" i="14" s="1"/>
  <c r="N454" i="14" s="1"/>
  <c r="N455" i="14" s="1"/>
  <c r="N456" i="14" s="1"/>
  <c r="N457" i="14" s="1"/>
  <c r="N458" i="14" s="1"/>
  <c r="N459" i="14" s="1"/>
  <c r="N460" i="14" s="1"/>
  <c r="N461" i="14" s="1"/>
  <c r="N462" i="14" s="1"/>
  <c r="N463" i="14" s="1"/>
  <c r="N464" i="14" s="1"/>
  <c r="N465" i="14" s="1"/>
  <c r="N466" i="14" s="1"/>
  <c r="N467" i="14" s="1"/>
  <c r="N468" i="14" s="1"/>
  <c r="N469" i="14" s="1"/>
  <c r="N470" i="14" s="1"/>
  <c r="N471" i="14" s="1"/>
  <c r="N472" i="14" s="1"/>
  <c r="N473" i="14" s="1"/>
  <c r="N474" i="14" s="1"/>
  <c r="N475" i="14" s="1"/>
  <c r="N476" i="14" s="1"/>
  <c r="N477" i="14" s="1"/>
  <c r="N478" i="14" s="1"/>
  <c r="N479" i="14" s="1"/>
  <c r="N480" i="14" s="1"/>
  <c r="N481" i="14" s="1"/>
  <c r="N482" i="14" s="1"/>
  <c r="N483" i="14" s="1"/>
  <c r="N484" i="14" s="1"/>
  <c r="N485" i="14" s="1"/>
  <c r="N486" i="14" s="1"/>
  <c r="N487" i="14" s="1"/>
  <c r="N488" i="14" s="1"/>
  <c r="N489" i="14" s="1"/>
  <c r="N490" i="14" s="1"/>
  <c r="N491" i="14" s="1"/>
  <c r="N492" i="14" s="1"/>
  <c r="N493" i="14" s="1"/>
  <c r="N494" i="14" s="1"/>
  <c r="N495" i="14" s="1"/>
  <c r="N496" i="14" s="1"/>
  <c r="N497" i="14" s="1"/>
  <c r="N498" i="14" s="1"/>
  <c r="N499" i="14" s="1"/>
  <c r="C111" i="14"/>
  <c r="C112" i="14"/>
  <c r="C349" i="14"/>
  <c r="C350" i="14"/>
  <c r="C351" i="14"/>
  <c r="C356" i="14"/>
  <c r="C357" i="14"/>
  <c r="C358" i="14"/>
  <c r="C359" i="14"/>
  <c r="C364" i="14"/>
  <c r="C365" i="14"/>
  <c r="C366" i="14"/>
  <c r="C367" i="14"/>
  <c r="C372" i="14"/>
  <c r="C373" i="14"/>
  <c r="C374" i="14"/>
  <c r="C375" i="14"/>
  <c r="C380" i="14"/>
  <c r="C381" i="14"/>
  <c r="C382" i="14"/>
  <c r="C383" i="14"/>
  <c r="C388" i="14"/>
  <c r="C389" i="14"/>
  <c r="C390" i="14"/>
  <c r="C391" i="14"/>
  <c r="C396" i="14"/>
  <c r="C397" i="14"/>
  <c r="C398" i="14"/>
  <c r="C399" i="14"/>
  <c r="C404" i="14"/>
  <c r="C405" i="14"/>
  <c r="C436" i="14"/>
  <c r="C437" i="14"/>
  <c r="C468" i="14"/>
  <c r="C469" i="14"/>
  <c r="N2" i="15"/>
  <c r="N3" i="15" s="1"/>
  <c r="N4" i="15" s="1"/>
  <c r="N5" i="15" s="1"/>
  <c r="N6" i="15" s="1"/>
  <c r="N7" i="15" s="1"/>
  <c r="C2" i="15"/>
  <c r="C26" i="15"/>
  <c r="C392" i="15"/>
  <c r="C95" i="15"/>
  <c r="C96" i="15"/>
  <c r="C111" i="15"/>
  <c r="C112" i="15"/>
  <c r="C127" i="15"/>
  <c r="C128" i="15"/>
  <c r="C151" i="15"/>
  <c r="C152" i="15"/>
  <c r="C183" i="15"/>
  <c r="C184" i="15"/>
  <c r="C215" i="15"/>
  <c r="C216" i="15"/>
  <c r="C247" i="15"/>
  <c r="C248" i="15"/>
  <c r="C279" i="15"/>
  <c r="C280" i="15"/>
  <c r="C311" i="15"/>
  <c r="C312" i="15"/>
  <c r="C155" i="15"/>
  <c r="C156" i="15"/>
  <c r="C187" i="15"/>
  <c r="C188" i="15"/>
  <c r="C219" i="15"/>
  <c r="C220" i="15"/>
  <c r="C47" i="15"/>
  <c r="C55" i="15"/>
  <c r="C63" i="15"/>
  <c r="C69" i="15"/>
  <c r="C76" i="15"/>
  <c r="C135" i="15"/>
  <c r="C136" i="15"/>
  <c r="C163" i="15"/>
  <c r="C164" i="15"/>
  <c r="C195" i="15"/>
  <c r="C196" i="15"/>
  <c r="C227" i="15"/>
  <c r="C228" i="15"/>
  <c r="C346" i="14"/>
  <c r="C352" i="14"/>
  <c r="C360" i="14"/>
  <c r="C368" i="14"/>
  <c r="C376" i="14"/>
  <c r="C384" i="14"/>
  <c r="C392" i="14"/>
  <c r="C400" i="14"/>
  <c r="C408" i="14"/>
  <c r="C416" i="14"/>
  <c r="C424" i="14"/>
  <c r="C432" i="14"/>
  <c r="C440" i="14"/>
  <c r="C448" i="14"/>
  <c r="C456" i="14"/>
  <c r="C464" i="14"/>
  <c r="C472" i="14"/>
  <c r="C480" i="14"/>
  <c r="C488" i="14"/>
  <c r="C496" i="14"/>
  <c r="C6" i="15"/>
  <c r="C14" i="15"/>
  <c r="C22" i="15"/>
  <c r="C87" i="15"/>
  <c r="C88" i="15"/>
  <c r="C103" i="15"/>
  <c r="C104" i="15"/>
  <c r="C119" i="15"/>
  <c r="C120" i="15"/>
  <c r="C167" i="15"/>
  <c r="C168" i="15"/>
  <c r="C199" i="15"/>
  <c r="C200" i="15"/>
  <c r="C231" i="15"/>
  <c r="C232" i="15"/>
  <c r="C263" i="15"/>
  <c r="C264" i="15"/>
  <c r="C295" i="15"/>
  <c r="C296" i="15"/>
  <c r="C401" i="14"/>
  <c r="C409" i="14"/>
  <c r="C417" i="14"/>
  <c r="C425" i="14"/>
  <c r="C433" i="14"/>
  <c r="C441" i="14"/>
  <c r="C449" i="14"/>
  <c r="C457" i="14"/>
  <c r="C465" i="14"/>
  <c r="C473" i="14"/>
  <c r="C481" i="14"/>
  <c r="C489" i="14"/>
  <c r="C497" i="14"/>
  <c r="C15" i="15"/>
  <c r="C23" i="15"/>
  <c r="C29" i="15"/>
  <c r="C68" i="15"/>
  <c r="C139" i="15"/>
  <c r="C140" i="15"/>
  <c r="C171" i="15"/>
  <c r="C172" i="15"/>
  <c r="C203" i="15"/>
  <c r="C204" i="15"/>
  <c r="C235" i="15"/>
  <c r="C236" i="15"/>
  <c r="C342" i="14"/>
  <c r="C347" i="14"/>
  <c r="C354" i="14"/>
  <c r="C362" i="14"/>
  <c r="C370" i="14"/>
  <c r="C378" i="14"/>
  <c r="C386" i="14"/>
  <c r="C394" i="14"/>
  <c r="C402" i="14"/>
  <c r="C28" i="15"/>
  <c r="C30" i="15"/>
  <c r="C73" i="15"/>
  <c r="C80" i="15"/>
  <c r="C91" i="15"/>
  <c r="C92" i="15"/>
  <c r="C107" i="15"/>
  <c r="C108" i="15"/>
  <c r="C123" i="15"/>
  <c r="C124" i="15"/>
  <c r="C143" i="15"/>
  <c r="C144" i="15"/>
  <c r="C175" i="15"/>
  <c r="C176" i="15"/>
  <c r="C207" i="15"/>
  <c r="C208" i="15"/>
  <c r="C239" i="15"/>
  <c r="C240" i="15"/>
  <c r="C271" i="15"/>
  <c r="C272" i="15"/>
  <c r="C303" i="15"/>
  <c r="C304" i="15"/>
  <c r="C371" i="15"/>
  <c r="C372" i="15"/>
  <c r="C417" i="15"/>
  <c r="C27" i="15"/>
  <c r="C51" i="15"/>
  <c r="C59" i="15"/>
  <c r="C147" i="15"/>
  <c r="C148" i="15"/>
  <c r="C179" i="15"/>
  <c r="C180" i="15"/>
  <c r="C211" i="15"/>
  <c r="C212" i="15"/>
  <c r="C243" i="15"/>
  <c r="C244" i="15"/>
  <c r="C339" i="15"/>
  <c r="C340" i="15"/>
  <c r="C481" i="15"/>
  <c r="C70" i="15"/>
  <c r="C78" i="15"/>
  <c r="C327" i="15"/>
  <c r="C359" i="15"/>
  <c r="C393" i="15"/>
  <c r="C457" i="15"/>
  <c r="C23" i="16"/>
  <c r="C251" i="16"/>
  <c r="C347" i="15"/>
  <c r="C379" i="15"/>
  <c r="C433" i="15"/>
  <c r="C497" i="15"/>
  <c r="C335" i="15"/>
  <c r="C348" i="15"/>
  <c r="C367" i="15"/>
  <c r="C380" i="15"/>
  <c r="C409" i="15"/>
  <c r="C473" i="15"/>
  <c r="C150" i="16"/>
  <c r="C151" i="16"/>
  <c r="C409" i="16"/>
  <c r="C410" i="16"/>
  <c r="C251" i="15"/>
  <c r="C259" i="15"/>
  <c r="C267" i="15"/>
  <c r="C275" i="15"/>
  <c r="C283" i="15"/>
  <c r="C291" i="15"/>
  <c r="C299" i="15"/>
  <c r="C307" i="15"/>
  <c r="C315" i="15"/>
  <c r="C323" i="15"/>
  <c r="C355" i="15"/>
  <c r="C387" i="15"/>
  <c r="C449" i="15"/>
  <c r="C15" i="16"/>
  <c r="C74" i="15"/>
  <c r="C82" i="15"/>
  <c r="C252" i="15"/>
  <c r="C260" i="15"/>
  <c r="C268" i="15"/>
  <c r="C276" i="15"/>
  <c r="C284" i="15"/>
  <c r="C292" i="15"/>
  <c r="C300" i="15"/>
  <c r="C308" i="15"/>
  <c r="C316" i="15"/>
  <c r="C324" i="15"/>
  <c r="C343" i="15"/>
  <c r="C356" i="15"/>
  <c r="C375" i="15"/>
  <c r="C388" i="15"/>
  <c r="C425" i="15"/>
  <c r="C489" i="15"/>
  <c r="C99" i="16"/>
  <c r="C100" i="16"/>
  <c r="N100" i="16"/>
  <c r="N101" i="16" s="1"/>
  <c r="N102" i="16" s="1"/>
  <c r="N103" i="16" s="1"/>
  <c r="N104" i="16" s="1"/>
  <c r="N105" i="16" s="1"/>
  <c r="N106" i="16" s="1"/>
  <c r="N107" i="16" s="1"/>
  <c r="N108" i="16" s="1"/>
  <c r="N109" i="16" s="1"/>
  <c r="N110" i="16" s="1"/>
  <c r="N111" i="16" s="1"/>
  <c r="N112" i="16" s="1"/>
  <c r="N113" i="16" s="1"/>
  <c r="N114" i="16" s="1"/>
  <c r="N115" i="16" s="1"/>
  <c r="N116" i="16" s="1"/>
  <c r="N117" i="16" s="1"/>
  <c r="N118" i="16" s="1"/>
  <c r="N119" i="16" s="1"/>
  <c r="N120" i="16" s="1"/>
  <c r="N121" i="16" s="1"/>
  <c r="N122" i="16" s="1"/>
  <c r="N123" i="16" s="1"/>
  <c r="N124" i="16" s="1"/>
  <c r="N125" i="16" s="1"/>
  <c r="N126" i="16" s="1"/>
  <c r="N127" i="16" s="1"/>
  <c r="N128" i="16" s="1"/>
  <c r="N129" i="16" s="1"/>
  <c r="N130" i="16" s="1"/>
  <c r="N131" i="16" s="1"/>
  <c r="N132" i="16" s="1"/>
  <c r="N133" i="16" s="1"/>
  <c r="N134" i="16" s="1"/>
  <c r="N135" i="16" s="1"/>
  <c r="N136" i="16" s="1"/>
  <c r="N137" i="16" s="1"/>
  <c r="N138" i="16" s="1"/>
  <c r="N139" i="16" s="1"/>
  <c r="N140" i="16" s="1"/>
  <c r="N141" i="16" s="1"/>
  <c r="N142" i="16" s="1"/>
  <c r="N143" i="16" s="1"/>
  <c r="N144" i="16" s="1"/>
  <c r="N145" i="16" s="1"/>
  <c r="N146" i="16" s="1"/>
  <c r="N147" i="16" s="1"/>
  <c r="N148" i="16" s="1"/>
  <c r="N149" i="16" s="1"/>
  <c r="N150" i="16" s="1"/>
  <c r="N151" i="16" s="1"/>
  <c r="N152" i="16" s="1"/>
  <c r="N153" i="16" s="1"/>
  <c r="N154" i="16" s="1"/>
  <c r="N155" i="16" s="1"/>
  <c r="N156" i="16" s="1"/>
  <c r="N157" i="16" s="1"/>
  <c r="N158" i="16" s="1"/>
  <c r="N159" i="16" s="1"/>
  <c r="N160" i="16" s="1"/>
  <c r="N161" i="16" s="1"/>
  <c r="N162" i="16" s="1"/>
  <c r="N163" i="16" s="1"/>
  <c r="N164" i="16" s="1"/>
  <c r="N165" i="16" s="1"/>
  <c r="N166" i="16" s="1"/>
  <c r="N167" i="16" s="1"/>
  <c r="N168" i="16" s="1"/>
  <c r="N169" i="16" s="1"/>
  <c r="N170" i="16" s="1"/>
  <c r="N171" i="16" s="1"/>
  <c r="N172" i="16" s="1"/>
  <c r="N173" i="16" s="1"/>
  <c r="N174" i="16" s="1"/>
  <c r="N175" i="16" s="1"/>
  <c r="N176" i="16" s="1"/>
  <c r="N177" i="16" s="1"/>
  <c r="N178" i="16" s="1"/>
  <c r="N179" i="16" s="1"/>
  <c r="N180" i="16" s="1"/>
  <c r="N181" i="16" s="1"/>
  <c r="N182" i="16" s="1"/>
  <c r="N183" i="16" s="1"/>
  <c r="N184" i="16" s="1"/>
  <c r="N185" i="16" s="1"/>
  <c r="N186" i="16" s="1"/>
  <c r="N187" i="16" s="1"/>
  <c r="N188" i="16" s="1"/>
  <c r="N189" i="16" s="1"/>
  <c r="N190" i="16" s="1"/>
  <c r="N191" i="16" s="1"/>
  <c r="N192" i="16" s="1"/>
  <c r="N193" i="16" s="1"/>
  <c r="N194" i="16" s="1"/>
  <c r="N195" i="16" s="1"/>
  <c r="N196" i="16" s="1"/>
  <c r="N197" i="16" s="1"/>
  <c r="N198" i="16" s="1"/>
  <c r="N199" i="16" s="1"/>
  <c r="N200" i="16" s="1"/>
  <c r="N201" i="16" s="1"/>
  <c r="N202" i="16" s="1"/>
  <c r="N203" i="16" s="1"/>
  <c r="N204" i="16" s="1"/>
  <c r="N205" i="16" s="1"/>
  <c r="N206" i="16" s="1"/>
  <c r="N207" i="16" s="1"/>
  <c r="N208" i="16" s="1"/>
  <c r="N209" i="16" s="1"/>
  <c r="N210" i="16" s="1"/>
  <c r="N211" i="16" s="1"/>
  <c r="N212" i="16" s="1"/>
  <c r="N213" i="16" s="1"/>
  <c r="N214" i="16" s="1"/>
  <c r="N215" i="16" s="1"/>
  <c r="N216" i="16" s="1"/>
  <c r="N217" i="16" s="1"/>
  <c r="N218" i="16" s="1"/>
  <c r="N219" i="16" s="1"/>
  <c r="N220" i="16" s="1"/>
  <c r="N221" i="16" s="1"/>
  <c r="N222" i="16" s="1"/>
  <c r="N223" i="16" s="1"/>
  <c r="N224" i="16" s="1"/>
  <c r="N225" i="16" s="1"/>
  <c r="N226" i="16" s="1"/>
  <c r="N227" i="16" s="1"/>
  <c r="N228" i="16" s="1"/>
  <c r="N229" i="16" s="1"/>
  <c r="N230" i="16" s="1"/>
  <c r="N231" i="16" s="1"/>
  <c r="N232" i="16" s="1"/>
  <c r="N233" i="16" s="1"/>
  <c r="N234" i="16" s="1"/>
  <c r="N235" i="16" s="1"/>
  <c r="N236" i="16" s="1"/>
  <c r="N237" i="16" s="1"/>
  <c r="N238" i="16" s="1"/>
  <c r="N239" i="16" s="1"/>
  <c r="N240" i="16" s="1"/>
  <c r="N241" i="16" s="1"/>
  <c r="N242" i="16" s="1"/>
  <c r="N243" i="16" s="1"/>
  <c r="N244" i="16" s="1"/>
  <c r="N245" i="16" s="1"/>
  <c r="N246" i="16" s="1"/>
  <c r="N247" i="16" s="1"/>
  <c r="N248" i="16" s="1"/>
  <c r="N249" i="16" s="1"/>
  <c r="N250" i="16" s="1"/>
  <c r="N251" i="16" s="1"/>
  <c r="N252" i="16" s="1"/>
  <c r="N253" i="16" s="1"/>
  <c r="N254" i="16" s="1"/>
  <c r="N255" i="16" s="1"/>
  <c r="N256" i="16" s="1"/>
  <c r="N257" i="16" s="1"/>
  <c r="N258" i="16" s="1"/>
  <c r="N259" i="16" s="1"/>
  <c r="N260" i="16" s="1"/>
  <c r="N261" i="16" s="1"/>
  <c r="N262" i="16" s="1"/>
  <c r="N263" i="16" s="1"/>
  <c r="N264" i="16" s="1"/>
  <c r="N265" i="16" s="1"/>
  <c r="N266" i="16" s="1"/>
  <c r="N267" i="16" s="1"/>
  <c r="N268" i="16" s="1"/>
  <c r="N269" i="16" s="1"/>
  <c r="N270" i="16" s="1"/>
  <c r="N271" i="16" s="1"/>
  <c r="N272" i="16" s="1"/>
  <c r="N273" i="16" s="1"/>
  <c r="N274" i="16" s="1"/>
  <c r="N275" i="16" s="1"/>
  <c r="N276" i="16" s="1"/>
  <c r="N277" i="16" s="1"/>
  <c r="N278" i="16" s="1"/>
  <c r="N279" i="16" s="1"/>
  <c r="N280" i="16" s="1"/>
  <c r="N281" i="16" s="1"/>
  <c r="N282" i="16" s="1"/>
  <c r="N283" i="16" s="1"/>
  <c r="N284" i="16" s="1"/>
  <c r="N285" i="16" s="1"/>
  <c r="N286" i="16" s="1"/>
  <c r="N287" i="16" s="1"/>
  <c r="N288" i="16" s="1"/>
  <c r="N289" i="16" s="1"/>
  <c r="N290" i="16" s="1"/>
  <c r="N291" i="16" s="1"/>
  <c r="N292" i="16" s="1"/>
  <c r="N293" i="16" s="1"/>
  <c r="N294" i="16" s="1"/>
  <c r="N295" i="16" s="1"/>
  <c r="N296" i="16" s="1"/>
  <c r="N297" i="16" s="1"/>
  <c r="N298" i="16" s="1"/>
  <c r="N299" i="16" s="1"/>
  <c r="N300" i="16" s="1"/>
  <c r="N301" i="16" s="1"/>
  <c r="N302" i="16" s="1"/>
  <c r="N303" i="16" s="1"/>
  <c r="N304" i="16" s="1"/>
  <c r="N305" i="16" s="1"/>
  <c r="N306" i="16" s="1"/>
  <c r="N307" i="16" s="1"/>
  <c r="N308" i="16" s="1"/>
  <c r="N309" i="16" s="1"/>
  <c r="N310" i="16" s="1"/>
  <c r="N311" i="16" s="1"/>
  <c r="N312" i="16" s="1"/>
  <c r="N313" i="16" s="1"/>
  <c r="N314" i="16" s="1"/>
  <c r="N315" i="16" s="1"/>
  <c r="N316" i="16" s="1"/>
  <c r="N317" i="16" s="1"/>
  <c r="N318" i="16" s="1"/>
  <c r="N319" i="16" s="1"/>
  <c r="N320" i="16" s="1"/>
  <c r="N321" i="16" s="1"/>
  <c r="N322" i="16" s="1"/>
  <c r="N323" i="16" s="1"/>
  <c r="N324" i="16" s="1"/>
  <c r="N325" i="16" s="1"/>
  <c r="N326" i="16" s="1"/>
  <c r="N327" i="16" s="1"/>
  <c r="N328" i="16" s="1"/>
  <c r="N329" i="16" s="1"/>
  <c r="N330" i="16" s="1"/>
  <c r="N331" i="16" s="1"/>
  <c r="N332" i="16" s="1"/>
  <c r="N333" i="16" s="1"/>
  <c r="N334" i="16" s="1"/>
  <c r="N335" i="16" s="1"/>
  <c r="N336" i="16" s="1"/>
  <c r="N337" i="16" s="1"/>
  <c r="N338" i="16" s="1"/>
  <c r="N339" i="16" s="1"/>
  <c r="N340" i="16" s="1"/>
  <c r="N341" i="16" s="1"/>
  <c r="N342" i="16" s="1"/>
  <c r="N343" i="16" s="1"/>
  <c r="N344" i="16" s="1"/>
  <c r="N345" i="16" s="1"/>
  <c r="N346" i="16" s="1"/>
  <c r="N347" i="16" s="1"/>
  <c r="N348" i="16" s="1"/>
  <c r="N349" i="16" s="1"/>
  <c r="N350" i="16" s="1"/>
  <c r="N351" i="16" s="1"/>
  <c r="N352" i="16" s="1"/>
  <c r="N353" i="16" s="1"/>
  <c r="N354" i="16" s="1"/>
  <c r="N355" i="16" s="1"/>
  <c r="N356" i="16" s="1"/>
  <c r="N357" i="16" s="1"/>
  <c r="N358" i="16" s="1"/>
  <c r="N359" i="16" s="1"/>
  <c r="N360" i="16" s="1"/>
  <c r="N361" i="16" s="1"/>
  <c r="N362" i="16" s="1"/>
  <c r="N363" i="16" s="1"/>
  <c r="N364" i="16" s="1"/>
  <c r="N365" i="16" s="1"/>
  <c r="N366" i="16" s="1"/>
  <c r="N367" i="16" s="1"/>
  <c r="N368" i="16" s="1"/>
  <c r="N369" i="16" s="1"/>
  <c r="N370" i="16" s="1"/>
  <c r="N371" i="16" s="1"/>
  <c r="N372" i="16" s="1"/>
  <c r="N373" i="16" s="1"/>
  <c r="N374" i="16" s="1"/>
  <c r="N375" i="16" s="1"/>
  <c r="N376" i="16" s="1"/>
  <c r="N377" i="16" s="1"/>
  <c r="N378" i="16" s="1"/>
  <c r="N379" i="16" s="1"/>
  <c r="N380" i="16" s="1"/>
  <c r="N381" i="16" s="1"/>
  <c r="N382" i="16" s="1"/>
  <c r="N383" i="16" s="1"/>
  <c r="N384" i="16" s="1"/>
  <c r="N385" i="16" s="1"/>
  <c r="N386" i="16" s="1"/>
  <c r="N387" i="16" s="1"/>
  <c r="N388" i="16" s="1"/>
  <c r="N389" i="16" s="1"/>
  <c r="N390" i="16" s="1"/>
  <c r="N391" i="16" s="1"/>
  <c r="N392" i="16" s="1"/>
  <c r="N393" i="16" s="1"/>
  <c r="N394" i="16" s="1"/>
  <c r="N395" i="16" s="1"/>
  <c r="N396" i="16" s="1"/>
  <c r="N397" i="16" s="1"/>
  <c r="N398" i="16" s="1"/>
  <c r="N399" i="16" s="1"/>
  <c r="N400" i="16" s="1"/>
  <c r="N401" i="16" s="1"/>
  <c r="N402" i="16" s="1"/>
  <c r="N403" i="16" s="1"/>
  <c r="N404" i="16" s="1"/>
  <c r="N405" i="16" s="1"/>
  <c r="N406" i="16" s="1"/>
  <c r="N407" i="16" s="1"/>
  <c r="N408" i="16" s="1"/>
  <c r="N409" i="16" s="1"/>
  <c r="N410" i="16" s="1"/>
  <c r="N411" i="16" s="1"/>
  <c r="N412" i="16" s="1"/>
  <c r="N413" i="16" s="1"/>
  <c r="N414" i="16" s="1"/>
  <c r="N415" i="16" s="1"/>
  <c r="N416" i="16" s="1"/>
  <c r="N417" i="16" s="1"/>
  <c r="N418" i="16" s="1"/>
  <c r="N419" i="16" s="1"/>
  <c r="N420" i="16" s="1"/>
  <c r="N421" i="16" s="1"/>
  <c r="N422" i="16" s="1"/>
  <c r="N423" i="16" s="1"/>
  <c r="N424" i="16" s="1"/>
  <c r="N425" i="16" s="1"/>
  <c r="N426" i="16" s="1"/>
  <c r="N427" i="16" s="1"/>
  <c r="N428" i="16" s="1"/>
  <c r="N429" i="16" s="1"/>
  <c r="N430" i="16" s="1"/>
  <c r="N431" i="16" s="1"/>
  <c r="N432" i="16" s="1"/>
  <c r="N433" i="16" s="1"/>
  <c r="N434" i="16" s="1"/>
  <c r="N435" i="16" s="1"/>
  <c r="N436" i="16" s="1"/>
  <c r="N437" i="16" s="1"/>
  <c r="N438" i="16" s="1"/>
  <c r="N439" i="16" s="1"/>
  <c r="N440" i="16" s="1"/>
  <c r="N441" i="16" s="1"/>
  <c r="N442" i="16" s="1"/>
  <c r="N443" i="16" s="1"/>
  <c r="N444" i="16" s="1"/>
  <c r="N445" i="16" s="1"/>
  <c r="N446" i="16" s="1"/>
  <c r="N447" i="16" s="1"/>
  <c r="N448" i="16" s="1"/>
  <c r="N449" i="16" s="1"/>
  <c r="N450" i="16" s="1"/>
  <c r="N451" i="16" s="1"/>
  <c r="N452" i="16" s="1"/>
  <c r="N453" i="16" s="1"/>
  <c r="N454" i="16" s="1"/>
  <c r="N455" i="16" s="1"/>
  <c r="N456" i="16" s="1"/>
  <c r="N457" i="16" s="1"/>
  <c r="N458" i="16" s="1"/>
  <c r="N459" i="16" s="1"/>
  <c r="N460" i="16" s="1"/>
  <c r="N461" i="16" s="1"/>
  <c r="N462" i="16" s="1"/>
  <c r="N463" i="16" s="1"/>
  <c r="N464" i="16" s="1"/>
  <c r="N465" i="16" s="1"/>
  <c r="N466" i="16" s="1"/>
  <c r="N467" i="16" s="1"/>
  <c r="N468" i="16" s="1"/>
  <c r="N469" i="16" s="1"/>
  <c r="N470" i="16" s="1"/>
  <c r="N471" i="16" s="1"/>
  <c r="N472" i="16" s="1"/>
  <c r="N473" i="16" s="1"/>
  <c r="N474" i="16" s="1"/>
  <c r="N475" i="16" s="1"/>
  <c r="N476" i="16" s="1"/>
  <c r="N477" i="16" s="1"/>
  <c r="N478" i="16" s="1"/>
  <c r="N479" i="16" s="1"/>
  <c r="N480" i="16" s="1"/>
  <c r="N481" i="16" s="1"/>
  <c r="N482" i="16" s="1"/>
  <c r="N483" i="16" s="1"/>
  <c r="N484" i="16" s="1"/>
  <c r="N485" i="16" s="1"/>
  <c r="N486" i="16" s="1"/>
  <c r="N487" i="16" s="1"/>
  <c r="N488" i="16" s="1"/>
  <c r="N489" i="16" s="1"/>
  <c r="N490" i="16" s="1"/>
  <c r="N491" i="16" s="1"/>
  <c r="N492" i="16" s="1"/>
  <c r="N493" i="16" s="1"/>
  <c r="N494" i="16" s="1"/>
  <c r="N495" i="16" s="1"/>
  <c r="N496" i="16" s="1"/>
  <c r="N497" i="16" s="1"/>
  <c r="N498" i="16" s="1"/>
  <c r="N499" i="16" s="1"/>
  <c r="C331" i="15"/>
  <c r="C363" i="15"/>
  <c r="C401" i="15"/>
  <c r="C465" i="15"/>
  <c r="C124" i="16"/>
  <c r="C125" i="16"/>
  <c r="C199" i="16"/>
  <c r="C351" i="15"/>
  <c r="C383" i="15"/>
  <c r="C441" i="15"/>
  <c r="C7" i="16"/>
  <c r="C203" i="16"/>
  <c r="C204" i="16"/>
  <c r="C205" i="16"/>
  <c r="C279" i="16"/>
  <c r="N8" i="15"/>
  <c r="N9" i="15" s="1"/>
  <c r="N10" i="15" s="1"/>
  <c r="N11" i="15" s="1"/>
  <c r="N12" i="15" s="1"/>
  <c r="N13" i="15" s="1"/>
  <c r="N14" i="15" s="1"/>
  <c r="N15" i="15" s="1"/>
  <c r="N16" i="15" s="1"/>
  <c r="N17" i="15" s="1"/>
  <c r="N18" i="15" s="1"/>
  <c r="N19" i="15" s="1"/>
  <c r="N20" i="15" s="1"/>
  <c r="N21" i="15" s="1"/>
  <c r="N22" i="15" s="1"/>
  <c r="N23" i="15" s="1"/>
  <c r="N24" i="15" s="1"/>
  <c r="N25" i="15" s="1"/>
  <c r="N26" i="15" s="1"/>
  <c r="N27" i="15" s="1"/>
  <c r="N28" i="15" s="1"/>
  <c r="N29" i="15" s="1"/>
  <c r="N30" i="15" s="1"/>
  <c r="N31" i="15" s="1"/>
  <c r="N32" i="15" s="1"/>
  <c r="N33" i="15" s="1"/>
  <c r="N34" i="15" s="1"/>
  <c r="N35" i="15" s="1"/>
  <c r="N36" i="15" s="1"/>
  <c r="N37" i="15" s="1"/>
  <c r="N38" i="15" s="1"/>
  <c r="N39" i="15" s="1"/>
  <c r="N40" i="15" s="1"/>
  <c r="N41" i="15" s="1"/>
  <c r="N42" i="15" s="1"/>
  <c r="N43" i="15" s="1"/>
  <c r="N44" i="15" s="1"/>
  <c r="N45" i="15" s="1"/>
  <c r="N46" i="15" s="1"/>
  <c r="N47" i="15" s="1"/>
  <c r="N48" i="15" s="1"/>
  <c r="N49" i="15" s="1"/>
  <c r="N50" i="15" s="1"/>
  <c r="N51" i="15" s="1"/>
  <c r="N52" i="15" s="1"/>
  <c r="N53" i="15" s="1"/>
  <c r="N54" i="15" s="1"/>
  <c r="N55" i="15" s="1"/>
  <c r="N56" i="15" s="1"/>
  <c r="N57" i="15" s="1"/>
  <c r="N58" i="15" s="1"/>
  <c r="N59" i="15" s="1"/>
  <c r="N60" i="15" s="1"/>
  <c r="N61" i="15" s="1"/>
  <c r="N62" i="15" s="1"/>
  <c r="N63" i="15" s="1"/>
  <c r="N64" i="15" s="1"/>
  <c r="N65" i="15" s="1"/>
  <c r="N66" i="15" s="1"/>
  <c r="N67" i="15" s="1"/>
  <c r="N68" i="15" s="1"/>
  <c r="N69" i="15" s="1"/>
  <c r="N70" i="15" s="1"/>
  <c r="N71" i="15" s="1"/>
  <c r="N72" i="15" s="1"/>
  <c r="N73" i="15" s="1"/>
  <c r="N74" i="15" s="1"/>
  <c r="N75" i="15" s="1"/>
  <c r="N76" i="15" s="1"/>
  <c r="N77" i="15" s="1"/>
  <c r="N78" i="15" s="1"/>
  <c r="N79" i="15" s="1"/>
  <c r="N80" i="15" s="1"/>
  <c r="N81" i="15" s="1"/>
  <c r="N82" i="15" s="1"/>
  <c r="N83" i="15" s="1"/>
  <c r="N84" i="15" s="1"/>
  <c r="N85" i="15" s="1"/>
  <c r="N86" i="15" s="1"/>
  <c r="N87" i="15" s="1"/>
  <c r="N88" i="15" s="1"/>
  <c r="N89" i="15" s="1"/>
  <c r="N90" i="15" s="1"/>
  <c r="N91" i="15" s="1"/>
  <c r="N92" i="15" s="1"/>
  <c r="N93" i="15" s="1"/>
  <c r="N94" i="15" s="1"/>
  <c r="N95" i="15" s="1"/>
  <c r="N96" i="15" s="1"/>
  <c r="N97" i="15" s="1"/>
  <c r="N98" i="15" s="1"/>
  <c r="N101" i="15"/>
  <c r="N102" i="15" s="1"/>
  <c r="N103" i="15" s="1"/>
  <c r="N104" i="15" s="1"/>
  <c r="N105" i="15" s="1"/>
  <c r="N106" i="15" s="1"/>
  <c r="N107" i="15" s="1"/>
  <c r="N108" i="15" s="1"/>
  <c r="N109" i="15" s="1"/>
  <c r="N110" i="15" s="1"/>
  <c r="N111" i="15" s="1"/>
  <c r="N112" i="15" s="1"/>
  <c r="N113" i="15" s="1"/>
  <c r="N114" i="15" s="1"/>
  <c r="N115" i="15" s="1"/>
  <c r="N116" i="15" s="1"/>
  <c r="N117" i="15" s="1"/>
  <c r="N118" i="15" s="1"/>
  <c r="N119" i="15" s="1"/>
  <c r="N120" i="15" s="1"/>
  <c r="N121" i="15" s="1"/>
  <c r="N122" i="15" s="1"/>
  <c r="N123" i="15" s="1"/>
  <c r="N124" i="15" s="1"/>
  <c r="N125" i="15" s="1"/>
  <c r="N126" i="15" s="1"/>
  <c r="N127" i="15" s="1"/>
  <c r="N128" i="15" s="1"/>
  <c r="N129" i="15" s="1"/>
  <c r="N130" i="15" s="1"/>
  <c r="N131" i="15" s="1"/>
  <c r="N132" i="15" s="1"/>
  <c r="N133" i="15" s="1"/>
  <c r="N134" i="15" s="1"/>
  <c r="N135" i="15" s="1"/>
  <c r="N136" i="15" s="1"/>
  <c r="N137" i="15" s="1"/>
  <c r="N138" i="15" s="1"/>
  <c r="N139" i="15" s="1"/>
  <c r="N140" i="15" s="1"/>
  <c r="N141" i="15" s="1"/>
  <c r="N142" i="15" s="1"/>
  <c r="N143" i="15" s="1"/>
  <c r="N144" i="15" s="1"/>
  <c r="N145" i="15" s="1"/>
  <c r="N146" i="15" s="1"/>
  <c r="N147" i="15" s="1"/>
  <c r="N148" i="15" s="1"/>
  <c r="N149" i="15" s="1"/>
  <c r="N150" i="15" s="1"/>
  <c r="N151" i="15" s="1"/>
  <c r="N152" i="15" s="1"/>
  <c r="N153" i="15" s="1"/>
  <c r="N154" i="15" s="1"/>
  <c r="N155" i="15" s="1"/>
  <c r="N156" i="15" s="1"/>
  <c r="N157" i="15" s="1"/>
  <c r="N158" i="15" s="1"/>
  <c r="N159" i="15" s="1"/>
  <c r="N160" i="15" s="1"/>
  <c r="N161" i="15" s="1"/>
  <c r="N162" i="15" s="1"/>
  <c r="N163" i="15" s="1"/>
  <c r="N164" i="15" s="1"/>
  <c r="N165" i="15" s="1"/>
  <c r="N166" i="15" s="1"/>
  <c r="N167" i="15" s="1"/>
  <c r="N168" i="15" s="1"/>
  <c r="N169" i="15" s="1"/>
  <c r="N170" i="15" s="1"/>
  <c r="N171" i="15" s="1"/>
  <c r="N172" i="15" s="1"/>
  <c r="N173" i="15" s="1"/>
  <c r="N174" i="15" s="1"/>
  <c r="N175" i="15" s="1"/>
  <c r="N176" i="15" s="1"/>
  <c r="N177" i="15" s="1"/>
  <c r="N178" i="15" s="1"/>
  <c r="N179" i="15" s="1"/>
  <c r="N180" i="15" s="1"/>
  <c r="N181" i="15" s="1"/>
  <c r="N182" i="15" s="1"/>
  <c r="N183" i="15" s="1"/>
  <c r="N184" i="15" s="1"/>
  <c r="N185" i="15" s="1"/>
  <c r="N186" i="15" s="1"/>
  <c r="N187" i="15" s="1"/>
  <c r="N188" i="15" s="1"/>
  <c r="N189" i="15" s="1"/>
  <c r="N190" i="15" s="1"/>
  <c r="N191" i="15" s="1"/>
  <c r="N192" i="15" s="1"/>
  <c r="N193" i="15" s="1"/>
  <c r="N194" i="15" s="1"/>
  <c r="N195" i="15" s="1"/>
  <c r="N196" i="15" s="1"/>
  <c r="N197" i="15" s="1"/>
  <c r="N198" i="15" s="1"/>
  <c r="N199" i="15" s="1"/>
  <c r="N200" i="15" s="1"/>
  <c r="N201" i="15" s="1"/>
  <c r="N202" i="15" s="1"/>
  <c r="N203" i="15" s="1"/>
  <c r="N204" i="15" s="1"/>
  <c r="N205" i="15" s="1"/>
  <c r="N206" i="15" s="1"/>
  <c r="N207" i="15" s="1"/>
  <c r="N208" i="15" s="1"/>
  <c r="N209" i="15" s="1"/>
  <c r="N210" i="15" s="1"/>
  <c r="N211" i="15" s="1"/>
  <c r="N212" i="15" s="1"/>
  <c r="N213" i="15" s="1"/>
  <c r="N214" i="15" s="1"/>
  <c r="N215" i="15" s="1"/>
  <c r="N216" i="15" s="1"/>
  <c r="N217" i="15" s="1"/>
  <c r="N218" i="15" s="1"/>
  <c r="N219" i="15" s="1"/>
  <c r="N220" i="15" s="1"/>
  <c r="N221" i="15" s="1"/>
  <c r="N222" i="15" s="1"/>
  <c r="N223" i="15" s="1"/>
  <c r="N224" i="15" s="1"/>
  <c r="N225" i="15" s="1"/>
  <c r="N226" i="15" s="1"/>
  <c r="N227" i="15" s="1"/>
  <c r="N228" i="15" s="1"/>
  <c r="N229" i="15" s="1"/>
  <c r="N230" i="15" s="1"/>
  <c r="N231" i="15" s="1"/>
  <c r="N232" i="15" s="1"/>
  <c r="N233" i="15" s="1"/>
  <c r="N234" i="15" s="1"/>
  <c r="N235" i="15" s="1"/>
  <c r="N236" i="15" s="1"/>
  <c r="N237" i="15" s="1"/>
  <c r="N238" i="15" s="1"/>
  <c r="N239" i="15" s="1"/>
  <c r="N240" i="15" s="1"/>
  <c r="N241" i="15" s="1"/>
  <c r="N242" i="15" s="1"/>
  <c r="N243" i="15" s="1"/>
  <c r="N244" i="15" s="1"/>
  <c r="N245" i="15" s="1"/>
  <c r="N246" i="15" s="1"/>
  <c r="N247" i="15" s="1"/>
  <c r="N248" i="15" s="1"/>
  <c r="N249" i="15" s="1"/>
  <c r="N250" i="15" s="1"/>
  <c r="N251" i="15" s="1"/>
  <c r="N252" i="15" s="1"/>
  <c r="N253" i="15" s="1"/>
  <c r="N254" i="15" s="1"/>
  <c r="N255" i="15" s="1"/>
  <c r="N256" i="15" s="1"/>
  <c r="N257" i="15" s="1"/>
  <c r="N258" i="15" s="1"/>
  <c r="N259" i="15" s="1"/>
  <c r="N260" i="15" s="1"/>
  <c r="N261" i="15" s="1"/>
  <c r="N262" i="15" s="1"/>
  <c r="N263" i="15" s="1"/>
  <c r="N264" i="15" s="1"/>
  <c r="N265" i="15" s="1"/>
  <c r="N266" i="15" s="1"/>
  <c r="N267" i="15" s="1"/>
  <c r="N268" i="15" s="1"/>
  <c r="N269" i="15" s="1"/>
  <c r="N270" i="15" s="1"/>
  <c r="N271" i="15" s="1"/>
  <c r="N272" i="15" s="1"/>
  <c r="N273" i="15" s="1"/>
  <c r="N274" i="15" s="1"/>
  <c r="N275" i="15" s="1"/>
  <c r="N276" i="15" s="1"/>
  <c r="N277" i="15" s="1"/>
  <c r="N278" i="15" s="1"/>
  <c r="N279" i="15" s="1"/>
  <c r="N280" i="15" s="1"/>
  <c r="N281" i="15" s="1"/>
  <c r="N282" i="15" s="1"/>
  <c r="N283" i="15" s="1"/>
  <c r="N284" i="15" s="1"/>
  <c r="N285" i="15" s="1"/>
  <c r="N286" i="15" s="1"/>
  <c r="N287" i="15" s="1"/>
  <c r="N288" i="15" s="1"/>
  <c r="N289" i="15" s="1"/>
  <c r="N290" i="15" s="1"/>
  <c r="N291" i="15" s="1"/>
  <c r="N292" i="15" s="1"/>
  <c r="N293" i="15" s="1"/>
  <c r="N294" i="15" s="1"/>
  <c r="N295" i="15" s="1"/>
  <c r="N296" i="15" s="1"/>
  <c r="N297" i="15" s="1"/>
  <c r="N298" i="15" s="1"/>
  <c r="N299" i="15" s="1"/>
  <c r="N300" i="15" s="1"/>
  <c r="N301" i="15" s="1"/>
  <c r="N302" i="15" s="1"/>
  <c r="N303" i="15" s="1"/>
  <c r="N304" i="15" s="1"/>
  <c r="N305" i="15" s="1"/>
  <c r="N306" i="15" s="1"/>
  <c r="N307" i="15" s="1"/>
  <c r="N308" i="15" s="1"/>
  <c r="N309" i="15" s="1"/>
  <c r="N310" i="15" s="1"/>
  <c r="N311" i="15" s="1"/>
  <c r="N312" i="15" s="1"/>
  <c r="N313" i="15" s="1"/>
  <c r="N314" i="15" s="1"/>
  <c r="N315" i="15" s="1"/>
  <c r="N316" i="15" s="1"/>
  <c r="N317" i="15" s="1"/>
  <c r="N318" i="15" s="1"/>
  <c r="N319" i="15" s="1"/>
  <c r="N320" i="15" s="1"/>
  <c r="N321" i="15" s="1"/>
  <c r="N322" i="15" s="1"/>
  <c r="N323" i="15" s="1"/>
  <c r="N324" i="15" s="1"/>
  <c r="N325" i="15" s="1"/>
  <c r="N326" i="15" s="1"/>
  <c r="N327" i="15" s="1"/>
  <c r="N328" i="15" s="1"/>
  <c r="N329" i="15" s="1"/>
  <c r="N330" i="15" s="1"/>
  <c r="N331" i="15" s="1"/>
  <c r="N332" i="15" s="1"/>
  <c r="N333" i="15" s="1"/>
  <c r="N334" i="15" s="1"/>
  <c r="N335" i="15" s="1"/>
  <c r="N336" i="15" s="1"/>
  <c r="N337" i="15" s="1"/>
  <c r="N338" i="15" s="1"/>
  <c r="N339" i="15" s="1"/>
  <c r="N340" i="15" s="1"/>
  <c r="N341" i="15" s="1"/>
  <c r="N342" i="15" s="1"/>
  <c r="N343" i="15" s="1"/>
  <c r="N344" i="15" s="1"/>
  <c r="N345" i="15" s="1"/>
  <c r="N346" i="15" s="1"/>
  <c r="N347" i="15" s="1"/>
  <c r="N348" i="15" s="1"/>
  <c r="N349" i="15" s="1"/>
  <c r="N350" i="15" s="1"/>
  <c r="N351" i="15" s="1"/>
  <c r="N352" i="15" s="1"/>
  <c r="N353" i="15" s="1"/>
  <c r="N354" i="15" s="1"/>
  <c r="N355" i="15" s="1"/>
  <c r="N356" i="15" s="1"/>
  <c r="N357" i="15" s="1"/>
  <c r="N358" i="15" s="1"/>
  <c r="N359" i="15" s="1"/>
  <c r="N360" i="15" s="1"/>
  <c r="N361" i="15" s="1"/>
  <c r="N362" i="15" s="1"/>
  <c r="N363" i="15" s="1"/>
  <c r="N364" i="15" s="1"/>
  <c r="N365" i="15" s="1"/>
  <c r="N366" i="15" s="1"/>
  <c r="N367" i="15" s="1"/>
  <c r="N368" i="15" s="1"/>
  <c r="N369" i="15" s="1"/>
  <c r="N370" i="15" s="1"/>
  <c r="N371" i="15" s="1"/>
  <c r="N372" i="15" s="1"/>
  <c r="N373" i="15" s="1"/>
  <c r="N374" i="15" s="1"/>
  <c r="N375" i="15" s="1"/>
  <c r="N376" i="15" s="1"/>
  <c r="N377" i="15" s="1"/>
  <c r="N378" i="15" s="1"/>
  <c r="N379" i="15" s="1"/>
  <c r="N380" i="15" s="1"/>
  <c r="N381" i="15" s="1"/>
  <c r="N382" i="15" s="1"/>
  <c r="N383" i="15" s="1"/>
  <c r="N384" i="15" s="1"/>
  <c r="N385" i="15" s="1"/>
  <c r="N386" i="15" s="1"/>
  <c r="N387" i="15" s="1"/>
  <c r="N388" i="15" s="1"/>
  <c r="N389" i="15" s="1"/>
  <c r="N390" i="15" s="1"/>
  <c r="N391" i="15" s="1"/>
  <c r="N392" i="15" s="1"/>
  <c r="N393" i="15" s="1"/>
  <c r="N394" i="15" s="1"/>
  <c r="N395" i="15" s="1"/>
  <c r="N396" i="15" s="1"/>
  <c r="N397" i="15" s="1"/>
  <c r="N398" i="15" s="1"/>
  <c r="N399" i="15" s="1"/>
  <c r="N400" i="15" s="1"/>
  <c r="N401" i="15" s="1"/>
  <c r="N402" i="15" s="1"/>
  <c r="N403" i="15" s="1"/>
  <c r="N404" i="15" s="1"/>
  <c r="N405" i="15" s="1"/>
  <c r="N406" i="15" s="1"/>
  <c r="N407" i="15" s="1"/>
  <c r="N408" i="15" s="1"/>
  <c r="N409" i="15" s="1"/>
  <c r="N410" i="15" s="1"/>
  <c r="N411" i="15" s="1"/>
  <c r="N412" i="15" s="1"/>
  <c r="N413" i="15" s="1"/>
  <c r="N414" i="15" s="1"/>
  <c r="N415" i="15" s="1"/>
  <c r="N416" i="15" s="1"/>
  <c r="N417" i="15" s="1"/>
  <c r="N418" i="15" s="1"/>
  <c r="N419" i="15" s="1"/>
  <c r="N420" i="15" s="1"/>
  <c r="N421" i="15" s="1"/>
  <c r="N422" i="15" s="1"/>
  <c r="N423" i="15" s="1"/>
  <c r="N424" i="15" s="1"/>
  <c r="N425" i="15" s="1"/>
  <c r="N426" i="15" s="1"/>
  <c r="N427" i="15" s="1"/>
  <c r="N428" i="15" s="1"/>
  <c r="N429" i="15" s="1"/>
  <c r="N430" i="15" s="1"/>
  <c r="N431" i="15" s="1"/>
  <c r="N432" i="15" s="1"/>
  <c r="N433" i="15" s="1"/>
  <c r="N434" i="15" s="1"/>
  <c r="N435" i="15" s="1"/>
  <c r="N436" i="15" s="1"/>
  <c r="N437" i="15" s="1"/>
  <c r="N438" i="15" s="1"/>
  <c r="N439" i="15" s="1"/>
  <c r="N440" i="15" s="1"/>
  <c r="N441" i="15" s="1"/>
  <c r="N442" i="15" s="1"/>
  <c r="N443" i="15" s="1"/>
  <c r="N444" i="15" s="1"/>
  <c r="N445" i="15" s="1"/>
  <c r="N446" i="15" s="1"/>
  <c r="N447" i="15" s="1"/>
  <c r="N448" i="15" s="1"/>
  <c r="N449" i="15" s="1"/>
  <c r="N450" i="15" s="1"/>
  <c r="N451" i="15" s="1"/>
  <c r="N452" i="15" s="1"/>
  <c r="N453" i="15" s="1"/>
  <c r="N454" i="15" s="1"/>
  <c r="N455" i="15" s="1"/>
  <c r="N456" i="15" s="1"/>
  <c r="N457" i="15" s="1"/>
  <c r="N458" i="15" s="1"/>
  <c r="N459" i="15" s="1"/>
  <c r="N460" i="15" s="1"/>
  <c r="N461" i="15" s="1"/>
  <c r="N462" i="15" s="1"/>
  <c r="N463" i="15" s="1"/>
  <c r="N464" i="15" s="1"/>
  <c r="N465" i="15" s="1"/>
  <c r="N466" i="15" s="1"/>
  <c r="N467" i="15" s="1"/>
  <c r="N468" i="15" s="1"/>
  <c r="N469" i="15" s="1"/>
  <c r="N470" i="15" s="1"/>
  <c r="N471" i="15" s="1"/>
  <c r="N472" i="15" s="1"/>
  <c r="N473" i="15" s="1"/>
  <c r="N474" i="15" s="1"/>
  <c r="N475" i="15" s="1"/>
  <c r="N476" i="15" s="1"/>
  <c r="N477" i="15" s="1"/>
  <c r="N478" i="15" s="1"/>
  <c r="N479" i="15" s="1"/>
  <c r="N480" i="15" s="1"/>
  <c r="N481" i="15" s="1"/>
  <c r="N482" i="15" s="1"/>
  <c r="N483" i="15" s="1"/>
  <c r="N484" i="15" s="1"/>
  <c r="N485" i="15" s="1"/>
  <c r="N486" i="15" s="1"/>
  <c r="N487" i="15" s="1"/>
  <c r="N488" i="15" s="1"/>
  <c r="N489" i="15" s="1"/>
  <c r="N490" i="15" s="1"/>
  <c r="N491" i="15" s="1"/>
  <c r="N492" i="15" s="1"/>
  <c r="N493" i="15" s="1"/>
  <c r="N494" i="15" s="1"/>
  <c r="N495" i="15" s="1"/>
  <c r="N496" i="15" s="1"/>
  <c r="N497" i="15" s="1"/>
  <c r="N498" i="15" s="1"/>
  <c r="N499" i="15" s="1"/>
  <c r="C394" i="15"/>
  <c r="C402" i="15"/>
  <c r="C410" i="15"/>
  <c r="C418" i="15"/>
  <c r="C426" i="15"/>
  <c r="C434" i="15"/>
  <c r="C442" i="15"/>
  <c r="C450" i="15"/>
  <c r="C458" i="15"/>
  <c r="C466" i="15"/>
  <c r="C474" i="15"/>
  <c r="C482" i="15"/>
  <c r="C490" i="15"/>
  <c r="C498" i="15"/>
  <c r="N4" i="16"/>
  <c r="C8" i="16"/>
  <c r="C16" i="16"/>
  <c r="C24" i="16"/>
  <c r="C101" i="16"/>
  <c r="C126" i="16"/>
  <c r="C127" i="16"/>
  <c r="C154" i="16"/>
  <c r="C155" i="16"/>
  <c r="C156" i="16"/>
  <c r="C157" i="16"/>
  <c r="C231" i="16"/>
  <c r="C283" i="16"/>
  <c r="C62" i="17"/>
  <c r="C65" i="17"/>
  <c r="C64" i="17"/>
  <c r="C112" i="16"/>
  <c r="C183" i="16"/>
  <c r="C235" i="16"/>
  <c r="C114" i="16"/>
  <c r="C134" i="16"/>
  <c r="C135" i="16"/>
  <c r="C187" i="16"/>
  <c r="C188" i="16"/>
  <c r="C189" i="16"/>
  <c r="C263" i="16"/>
  <c r="C389" i="15"/>
  <c r="C105" i="16"/>
  <c r="C104" i="16"/>
  <c r="C138" i="16"/>
  <c r="C139" i="16"/>
  <c r="C140" i="16"/>
  <c r="C141" i="16"/>
  <c r="C215" i="16"/>
  <c r="C267" i="16"/>
  <c r="C462" i="16"/>
  <c r="C461" i="16"/>
  <c r="C464" i="16"/>
  <c r="C463" i="16"/>
  <c r="C494" i="15"/>
  <c r="C12" i="16"/>
  <c r="C20" i="16"/>
  <c r="C117" i="16"/>
  <c r="C167" i="16"/>
  <c r="C219" i="16"/>
  <c r="C220" i="16"/>
  <c r="C221" i="16"/>
  <c r="N5" i="17"/>
  <c r="N6" i="17" s="1"/>
  <c r="N7" i="17" s="1"/>
  <c r="N8" i="17" s="1"/>
  <c r="N9" i="17" s="1"/>
  <c r="N10" i="17" s="1"/>
  <c r="N11" i="17" s="1"/>
  <c r="N12" i="17" s="1"/>
  <c r="C5" i="17"/>
  <c r="N5" i="16"/>
  <c r="N6" i="16" s="1"/>
  <c r="N7" i="16" s="1"/>
  <c r="N8" i="16" s="1"/>
  <c r="N9" i="16" s="1"/>
  <c r="N10" i="16" s="1"/>
  <c r="N11" i="16" s="1"/>
  <c r="N12" i="16" s="1"/>
  <c r="N13" i="16" s="1"/>
  <c r="N14" i="16" s="1"/>
  <c r="N15" i="16" s="1"/>
  <c r="N16" i="16" s="1"/>
  <c r="N17" i="16" s="1"/>
  <c r="N18" i="16" s="1"/>
  <c r="N19" i="16" s="1"/>
  <c r="N20" i="16" s="1"/>
  <c r="N21" i="16" s="1"/>
  <c r="N22" i="16" s="1"/>
  <c r="N23" i="16" s="1"/>
  <c r="N24" i="16" s="1"/>
  <c r="N25" i="16" s="1"/>
  <c r="N26" i="16" s="1"/>
  <c r="N27" i="16" s="1"/>
  <c r="N28" i="16" s="1"/>
  <c r="N29" i="16" s="1"/>
  <c r="N30" i="16" s="1"/>
  <c r="N31" i="16" s="1"/>
  <c r="N32" i="16" s="1"/>
  <c r="N33" i="16" s="1"/>
  <c r="N34" i="16" s="1"/>
  <c r="N35" i="16" s="1"/>
  <c r="N36" i="16" s="1"/>
  <c r="N37" i="16" s="1"/>
  <c r="N38" i="16" s="1"/>
  <c r="N39" i="16" s="1"/>
  <c r="N40" i="16" s="1"/>
  <c r="N41" i="16" s="1"/>
  <c r="N42" i="16" s="1"/>
  <c r="N43" i="16" s="1"/>
  <c r="N44" i="16" s="1"/>
  <c r="N45" i="16" s="1"/>
  <c r="N46" i="16" s="1"/>
  <c r="N47" i="16" s="1"/>
  <c r="N48" i="16" s="1"/>
  <c r="N49" i="16" s="1"/>
  <c r="N50" i="16" s="1"/>
  <c r="N51" i="16" s="1"/>
  <c r="N52" i="16" s="1"/>
  <c r="N53" i="16" s="1"/>
  <c r="N54" i="16" s="1"/>
  <c r="N55" i="16" s="1"/>
  <c r="N56" i="16" s="1"/>
  <c r="N57" i="16" s="1"/>
  <c r="N58" i="16" s="1"/>
  <c r="N59" i="16" s="1"/>
  <c r="N60" i="16" s="1"/>
  <c r="N61" i="16" s="1"/>
  <c r="N62" i="16" s="1"/>
  <c r="N63" i="16" s="1"/>
  <c r="N64" i="16" s="1"/>
  <c r="N65" i="16" s="1"/>
  <c r="N66" i="16" s="1"/>
  <c r="N67" i="16" s="1"/>
  <c r="N68" i="16" s="1"/>
  <c r="N69" i="16" s="1"/>
  <c r="N70" i="16" s="1"/>
  <c r="N71" i="16" s="1"/>
  <c r="N72" i="16" s="1"/>
  <c r="N73" i="16" s="1"/>
  <c r="N74" i="16" s="1"/>
  <c r="N75" i="16" s="1"/>
  <c r="N76" i="16" s="1"/>
  <c r="N77" i="16" s="1"/>
  <c r="N78" i="16" s="1"/>
  <c r="N79" i="16" s="1"/>
  <c r="N80" i="16" s="1"/>
  <c r="N81" i="16" s="1"/>
  <c r="N82" i="16" s="1"/>
  <c r="N83" i="16" s="1"/>
  <c r="N84" i="16" s="1"/>
  <c r="N85" i="16" s="1"/>
  <c r="N86" i="16" s="1"/>
  <c r="N87" i="16" s="1"/>
  <c r="N88" i="16" s="1"/>
  <c r="N89" i="16" s="1"/>
  <c r="N90" i="16" s="1"/>
  <c r="N91" i="16" s="1"/>
  <c r="N92" i="16" s="1"/>
  <c r="N93" i="16" s="1"/>
  <c r="N94" i="16" s="1"/>
  <c r="N95" i="16" s="1"/>
  <c r="N96" i="16" s="1"/>
  <c r="N97" i="16" s="1"/>
  <c r="N98" i="16" s="1"/>
  <c r="C97" i="16"/>
  <c r="C119" i="16"/>
  <c r="C171" i="16"/>
  <c r="C172" i="16"/>
  <c r="C173" i="16"/>
  <c r="C247" i="16"/>
  <c r="C99" i="17"/>
  <c r="N99" i="17"/>
  <c r="C236" i="16"/>
  <c r="C252" i="16"/>
  <c r="C268" i="16"/>
  <c r="C284" i="16"/>
  <c r="C399" i="16"/>
  <c r="C416" i="16"/>
  <c r="C415" i="16"/>
  <c r="C436" i="16"/>
  <c r="C435" i="16"/>
  <c r="C478" i="16"/>
  <c r="C477" i="16"/>
  <c r="C480" i="16"/>
  <c r="C479" i="16"/>
  <c r="C33" i="17"/>
  <c r="C325" i="18"/>
  <c r="C324" i="18"/>
  <c r="C468" i="18"/>
  <c r="C142" i="16"/>
  <c r="C143" i="16"/>
  <c r="C158" i="16"/>
  <c r="C159" i="16"/>
  <c r="C237" i="16"/>
  <c r="C253" i="16"/>
  <c r="C269" i="16"/>
  <c r="C285" i="16"/>
  <c r="C301" i="16"/>
  <c r="C317" i="16"/>
  <c r="C333" i="16"/>
  <c r="C349" i="16"/>
  <c r="C365" i="16"/>
  <c r="C381" i="16"/>
  <c r="C46" i="17"/>
  <c r="C49" i="17"/>
  <c r="C48" i="17"/>
  <c r="C282" i="17"/>
  <c r="C283" i="17"/>
  <c r="C109" i="16"/>
  <c r="C115" i="16"/>
  <c r="C120" i="16"/>
  <c r="C128" i="16"/>
  <c r="C144" i="16"/>
  <c r="C160" i="16"/>
  <c r="C176" i="16"/>
  <c r="C192" i="16"/>
  <c r="C208" i="16"/>
  <c r="C224" i="16"/>
  <c r="C240" i="16"/>
  <c r="C256" i="16"/>
  <c r="C272" i="16"/>
  <c r="C446" i="16"/>
  <c r="C445" i="16"/>
  <c r="C448" i="16"/>
  <c r="C447" i="16"/>
  <c r="C31" i="17"/>
  <c r="C30" i="17"/>
  <c r="C110" i="16"/>
  <c r="C121" i="16"/>
  <c r="C129" i="16"/>
  <c r="C130" i="16"/>
  <c r="C131" i="16"/>
  <c r="C146" i="16"/>
  <c r="C147" i="16"/>
  <c r="C162" i="16"/>
  <c r="C163" i="16"/>
  <c r="C494" i="16"/>
  <c r="C493" i="16"/>
  <c r="C496" i="16"/>
  <c r="C495" i="16"/>
  <c r="C111" i="16"/>
  <c r="C123" i="16"/>
  <c r="C132" i="16"/>
  <c r="C148" i="16"/>
  <c r="C164" i="16"/>
  <c r="C180" i="16"/>
  <c r="C196" i="16"/>
  <c r="C212" i="16"/>
  <c r="C228" i="16"/>
  <c r="C244" i="16"/>
  <c r="C260" i="16"/>
  <c r="C276" i="16"/>
  <c r="C20" i="17"/>
  <c r="C19" i="17"/>
  <c r="C22" i="17"/>
  <c r="C21" i="17"/>
  <c r="C245" i="17"/>
  <c r="C136" i="16"/>
  <c r="C152" i="16"/>
  <c r="C168" i="16"/>
  <c r="C184" i="16"/>
  <c r="C200" i="16"/>
  <c r="C216" i="16"/>
  <c r="C232" i="16"/>
  <c r="C248" i="16"/>
  <c r="C264" i="16"/>
  <c r="C280" i="16"/>
  <c r="C393" i="16"/>
  <c r="C395" i="16"/>
  <c r="C394" i="16"/>
  <c r="C428" i="16"/>
  <c r="C427" i="16"/>
  <c r="C35" i="17"/>
  <c r="C330" i="17"/>
  <c r="C331" i="17"/>
  <c r="C405" i="16"/>
  <c r="C450" i="16"/>
  <c r="C449" i="16"/>
  <c r="C466" i="16"/>
  <c r="C465" i="16"/>
  <c r="C482" i="16"/>
  <c r="C481" i="16"/>
  <c r="C498" i="16"/>
  <c r="C497" i="16"/>
  <c r="C8" i="17"/>
  <c r="C7" i="17"/>
  <c r="C24" i="17"/>
  <c r="C23" i="17"/>
  <c r="C68" i="17"/>
  <c r="C83" i="17"/>
  <c r="C84" i="17"/>
  <c r="N100" i="17"/>
  <c r="C100" i="17"/>
  <c r="C115" i="17"/>
  <c r="C116" i="17"/>
  <c r="C251" i="17"/>
  <c r="C252" i="17"/>
  <c r="C166" i="16"/>
  <c r="C170" i="16"/>
  <c r="C174" i="16"/>
  <c r="C178" i="16"/>
  <c r="C182" i="16"/>
  <c r="C186" i="16"/>
  <c r="C190" i="16"/>
  <c r="C194" i="16"/>
  <c r="C198" i="16"/>
  <c r="C202" i="16"/>
  <c r="C206" i="16"/>
  <c r="C210" i="16"/>
  <c r="C214" i="16"/>
  <c r="C218" i="16"/>
  <c r="C222" i="16"/>
  <c r="C226" i="16"/>
  <c r="C230" i="16"/>
  <c r="C234" i="16"/>
  <c r="C238" i="16"/>
  <c r="C242" i="16"/>
  <c r="C246" i="16"/>
  <c r="C250" i="16"/>
  <c r="C254" i="16"/>
  <c r="C258" i="16"/>
  <c r="C262" i="16"/>
  <c r="C266" i="16"/>
  <c r="C270" i="16"/>
  <c r="C274" i="16"/>
  <c r="C278" i="16"/>
  <c r="C282" i="16"/>
  <c r="C286" i="16"/>
  <c r="C290" i="16"/>
  <c r="C294" i="16"/>
  <c r="C298" i="16"/>
  <c r="C302" i="16"/>
  <c r="C306" i="16"/>
  <c r="C310" i="16"/>
  <c r="C314" i="16"/>
  <c r="C318" i="16"/>
  <c r="C322" i="16"/>
  <c r="C326" i="16"/>
  <c r="C330" i="16"/>
  <c r="C334" i="16"/>
  <c r="C338" i="16"/>
  <c r="C342" i="16"/>
  <c r="C346" i="16"/>
  <c r="C350" i="16"/>
  <c r="C354" i="16"/>
  <c r="C358" i="16"/>
  <c r="C362" i="16"/>
  <c r="C366" i="16"/>
  <c r="C370" i="16"/>
  <c r="C374" i="16"/>
  <c r="C378" i="16"/>
  <c r="C382" i="16"/>
  <c r="C386" i="16"/>
  <c r="C390" i="16"/>
  <c r="C400" i="16"/>
  <c r="C429" i="16"/>
  <c r="C437" i="16"/>
  <c r="C452" i="16"/>
  <c r="C468" i="16"/>
  <c r="C484" i="16"/>
  <c r="C10" i="17"/>
  <c r="C26" i="17"/>
  <c r="C32" i="17"/>
  <c r="C40" i="17"/>
  <c r="C51" i="17"/>
  <c r="C52" i="17"/>
  <c r="C53" i="17"/>
  <c r="C54" i="17"/>
  <c r="C57" i="17"/>
  <c r="C478" i="17"/>
  <c r="C454" i="16"/>
  <c r="C453" i="16"/>
  <c r="C470" i="16"/>
  <c r="C469" i="16"/>
  <c r="C486" i="16"/>
  <c r="C485" i="16"/>
  <c r="C12" i="17"/>
  <c r="C11" i="17"/>
  <c r="C39" i="17"/>
  <c r="C67" i="17"/>
  <c r="C72" i="17"/>
  <c r="C213" i="17"/>
  <c r="C234" i="17"/>
  <c r="C257" i="17"/>
  <c r="C256" i="17"/>
  <c r="C258" i="17"/>
  <c r="C259" i="17"/>
  <c r="C321" i="17"/>
  <c r="C320" i="17"/>
  <c r="C322" i="17"/>
  <c r="C323" i="17"/>
  <c r="C182" i="18"/>
  <c r="C421" i="18"/>
  <c r="C420" i="18"/>
  <c r="C343" i="16"/>
  <c r="C347" i="16"/>
  <c r="C351" i="16"/>
  <c r="C355" i="16"/>
  <c r="C359" i="16"/>
  <c r="C363" i="16"/>
  <c r="C367" i="16"/>
  <c r="C371" i="16"/>
  <c r="C375" i="16"/>
  <c r="C379" i="16"/>
  <c r="C383" i="16"/>
  <c r="C387" i="16"/>
  <c r="C391" i="16"/>
  <c r="C412" i="16"/>
  <c r="C424" i="16"/>
  <c r="C432" i="16"/>
  <c r="C440" i="16"/>
  <c r="C456" i="16"/>
  <c r="C472" i="16"/>
  <c r="C488" i="16"/>
  <c r="N13" i="17"/>
  <c r="N14" i="17" s="1"/>
  <c r="N15" i="17" s="1"/>
  <c r="N16" i="17" s="1"/>
  <c r="N17" i="17" s="1"/>
  <c r="N18" i="17" s="1"/>
  <c r="N19" i="17" s="1"/>
  <c r="N20" i="17" s="1"/>
  <c r="N21" i="17" s="1"/>
  <c r="N22" i="17" s="1"/>
  <c r="N23" i="17" s="1"/>
  <c r="N24" i="17" s="1"/>
  <c r="N25" i="17" s="1"/>
  <c r="N26" i="17" s="1"/>
  <c r="N27" i="17" s="1"/>
  <c r="N28" i="17" s="1"/>
  <c r="N29" i="17" s="1"/>
  <c r="N30" i="17" s="1"/>
  <c r="N31" i="17" s="1"/>
  <c r="N32" i="17" s="1"/>
  <c r="N33" i="17" s="1"/>
  <c r="N34" i="17" s="1"/>
  <c r="N35" i="17" s="1"/>
  <c r="N36" i="17" s="1"/>
  <c r="N37" i="17" s="1"/>
  <c r="N38" i="17" s="1"/>
  <c r="N39" i="17" s="1"/>
  <c r="N40" i="17" s="1"/>
  <c r="N41" i="17" s="1"/>
  <c r="N42" i="17" s="1"/>
  <c r="N43" i="17" s="1"/>
  <c r="N44" i="17" s="1"/>
  <c r="N45" i="17" s="1"/>
  <c r="N46" i="17" s="1"/>
  <c r="N47" i="17" s="1"/>
  <c r="N48" i="17" s="1"/>
  <c r="N49" i="17" s="1"/>
  <c r="N50" i="17" s="1"/>
  <c r="N51" i="17" s="1"/>
  <c r="N52" i="17" s="1"/>
  <c r="N53" i="17" s="1"/>
  <c r="N54" i="17" s="1"/>
  <c r="N55" i="17" s="1"/>
  <c r="N56" i="17" s="1"/>
  <c r="N57" i="17" s="1"/>
  <c r="N58" i="17" s="1"/>
  <c r="N59" i="17" s="1"/>
  <c r="N60" i="17" s="1"/>
  <c r="N61" i="17" s="1"/>
  <c r="N62" i="17" s="1"/>
  <c r="N63" i="17" s="1"/>
  <c r="N64" i="17" s="1"/>
  <c r="N65" i="17" s="1"/>
  <c r="N66" i="17" s="1"/>
  <c r="N67" i="17" s="1"/>
  <c r="N68" i="17" s="1"/>
  <c r="N69" i="17" s="1"/>
  <c r="N70" i="17" s="1"/>
  <c r="N71" i="17" s="1"/>
  <c r="N72" i="17" s="1"/>
  <c r="N73" i="17" s="1"/>
  <c r="N74" i="17" s="1"/>
  <c r="N75" i="17" s="1"/>
  <c r="N76" i="17" s="1"/>
  <c r="N77" i="17" s="1"/>
  <c r="N78" i="17" s="1"/>
  <c r="N79" i="17" s="1"/>
  <c r="N80" i="17" s="1"/>
  <c r="N81" i="17" s="1"/>
  <c r="N82" i="17" s="1"/>
  <c r="N83" i="17" s="1"/>
  <c r="N84" i="17" s="1"/>
  <c r="N85" i="17" s="1"/>
  <c r="N86" i="17" s="1"/>
  <c r="N87" i="17" s="1"/>
  <c r="N88" i="17" s="1"/>
  <c r="N89" i="17" s="1"/>
  <c r="N90" i="17" s="1"/>
  <c r="N91" i="17" s="1"/>
  <c r="N92" i="17" s="1"/>
  <c r="N93" i="17" s="1"/>
  <c r="N94" i="17" s="1"/>
  <c r="N95" i="17" s="1"/>
  <c r="N96" i="17" s="1"/>
  <c r="N97" i="17" s="1"/>
  <c r="N98" i="17" s="1"/>
  <c r="C14" i="17"/>
  <c r="C38" i="17"/>
  <c r="C43" i="17"/>
  <c r="C76" i="17"/>
  <c r="C219" i="17"/>
  <c r="C305" i="17"/>
  <c r="C304" i="17"/>
  <c r="C306" i="17"/>
  <c r="C307" i="17"/>
  <c r="C41" i="18"/>
  <c r="C50" i="18"/>
  <c r="C55" i="18"/>
  <c r="C397" i="16"/>
  <c r="C407" i="16"/>
  <c r="C418" i="16"/>
  <c r="C423" i="16"/>
  <c r="C431" i="16"/>
  <c r="C439" i="16"/>
  <c r="C442" i="16"/>
  <c r="C441" i="16"/>
  <c r="C455" i="16"/>
  <c r="C458" i="16"/>
  <c r="C457" i="16"/>
  <c r="C471" i="16"/>
  <c r="C474" i="16"/>
  <c r="C473" i="16"/>
  <c r="C487" i="16"/>
  <c r="C490" i="16"/>
  <c r="C489" i="16"/>
  <c r="C3" i="17"/>
  <c r="N4" i="17"/>
  <c r="C13" i="17"/>
  <c r="C16" i="17"/>
  <c r="C15" i="17"/>
  <c r="C37" i="17"/>
  <c r="C91" i="17"/>
  <c r="C92" i="17"/>
  <c r="C107" i="17"/>
  <c r="N108" i="17"/>
  <c r="N109" i="17" s="1"/>
  <c r="N110" i="17" s="1"/>
  <c r="C108" i="17"/>
  <c r="C220" i="17"/>
  <c r="C221" i="17"/>
  <c r="C408" i="16"/>
  <c r="C425" i="16"/>
  <c r="C433" i="16"/>
  <c r="C444" i="16"/>
  <c r="C460" i="16"/>
  <c r="C476" i="16"/>
  <c r="C492" i="16"/>
  <c r="C18" i="17"/>
  <c r="C36" i="17"/>
  <c r="C75" i="17"/>
  <c r="C80" i="17"/>
  <c r="C225" i="17"/>
  <c r="C224" i="17"/>
  <c r="C74" i="17"/>
  <c r="C82" i="17"/>
  <c r="C209" i="17"/>
  <c r="C208" i="17"/>
  <c r="C235" i="17"/>
  <c r="C60" i="18"/>
  <c r="C168" i="18"/>
  <c r="C169" i="18"/>
  <c r="C170" i="18"/>
  <c r="C45" i="17"/>
  <c r="C47" i="17"/>
  <c r="C63" i="17"/>
  <c r="C73" i="17"/>
  <c r="C81" i="17"/>
  <c r="C85" i="17"/>
  <c r="C93" i="17"/>
  <c r="N101" i="17"/>
  <c r="N102" i="17" s="1"/>
  <c r="C101" i="17"/>
  <c r="C109" i="17"/>
  <c r="C117" i="17"/>
  <c r="C125" i="17"/>
  <c r="C133" i="17"/>
  <c r="C141" i="17"/>
  <c r="C149" i="17"/>
  <c r="C157" i="17"/>
  <c r="C165" i="17"/>
  <c r="C173" i="17"/>
  <c r="C181" i="17"/>
  <c r="C189" i="17"/>
  <c r="C273" i="17"/>
  <c r="C272" i="17"/>
  <c r="C274" i="17"/>
  <c r="C275" i="17"/>
  <c r="C298" i="17"/>
  <c r="C299" i="17"/>
  <c r="C344" i="17"/>
  <c r="C345" i="17"/>
  <c r="C360" i="17"/>
  <c r="C361" i="17"/>
  <c r="C376" i="17"/>
  <c r="C377" i="17"/>
  <c r="C392" i="17"/>
  <c r="C393" i="17"/>
  <c r="C408" i="17"/>
  <c r="C409" i="17"/>
  <c r="C424" i="17"/>
  <c r="C425" i="17"/>
  <c r="C446" i="17"/>
  <c r="C59" i="17"/>
  <c r="C87" i="17"/>
  <c r="C95" i="17"/>
  <c r="C103" i="17"/>
  <c r="N103" i="17"/>
  <c r="N104" i="17" s="1"/>
  <c r="N105" i="17" s="1"/>
  <c r="N106" i="17" s="1"/>
  <c r="N107" i="17" s="1"/>
  <c r="C111" i="17"/>
  <c r="N111" i="17"/>
  <c r="N112" i="17" s="1"/>
  <c r="N113" i="17" s="1"/>
  <c r="N114" i="17" s="1"/>
  <c r="N115" i="17" s="1"/>
  <c r="N116" i="17" s="1"/>
  <c r="N117" i="17" s="1"/>
  <c r="N118" i="17" s="1"/>
  <c r="N119" i="17" s="1"/>
  <c r="N120" i="17" s="1"/>
  <c r="N121" i="17" s="1"/>
  <c r="N122" i="17" s="1"/>
  <c r="N123" i="17" s="1"/>
  <c r="N124" i="17" s="1"/>
  <c r="N125" i="17" s="1"/>
  <c r="N126" i="17" s="1"/>
  <c r="N127" i="17" s="1"/>
  <c r="N128" i="17" s="1"/>
  <c r="N129" i="17" s="1"/>
  <c r="N130" i="17" s="1"/>
  <c r="N131" i="17" s="1"/>
  <c r="N132" i="17" s="1"/>
  <c r="N133" i="17" s="1"/>
  <c r="N134" i="17" s="1"/>
  <c r="N135" i="17" s="1"/>
  <c r="N136" i="17" s="1"/>
  <c r="N137" i="17" s="1"/>
  <c r="N138" i="17" s="1"/>
  <c r="N139" i="17" s="1"/>
  <c r="N140" i="17" s="1"/>
  <c r="N141" i="17" s="1"/>
  <c r="N142" i="17" s="1"/>
  <c r="N143" i="17" s="1"/>
  <c r="N144" i="17" s="1"/>
  <c r="N145" i="17" s="1"/>
  <c r="N146" i="17" s="1"/>
  <c r="N147" i="17" s="1"/>
  <c r="N148" i="17" s="1"/>
  <c r="N149" i="17" s="1"/>
  <c r="N150" i="17" s="1"/>
  <c r="N151" i="17" s="1"/>
  <c r="N152" i="17" s="1"/>
  <c r="N153" i="17" s="1"/>
  <c r="N154" i="17" s="1"/>
  <c r="N155" i="17" s="1"/>
  <c r="N156" i="17" s="1"/>
  <c r="N157" i="17" s="1"/>
  <c r="N158" i="17" s="1"/>
  <c r="N159" i="17" s="1"/>
  <c r="N160" i="17" s="1"/>
  <c r="N161" i="17" s="1"/>
  <c r="N162" i="17" s="1"/>
  <c r="N163" i="17" s="1"/>
  <c r="N164" i="17" s="1"/>
  <c r="N165" i="17" s="1"/>
  <c r="N166" i="17" s="1"/>
  <c r="N167" i="17" s="1"/>
  <c r="N168" i="17" s="1"/>
  <c r="N169" i="17" s="1"/>
  <c r="N170" i="17" s="1"/>
  <c r="N171" i="17" s="1"/>
  <c r="N172" i="17" s="1"/>
  <c r="N173" i="17" s="1"/>
  <c r="N174" i="17" s="1"/>
  <c r="N175" i="17" s="1"/>
  <c r="N176" i="17" s="1"/>
  <c r="N177" i="17" s="1"/>
  <c r="N178" i="17" s="1"/>
  <c r="N179" i="17" s="1"/>
  <c r="N180" i="17" s="1"/>
  <c r="N181" i="17" s="1"/>
  <c r="N182" i="17" s="1"/>
  <c r="N183" i="17" s="1"/>
  <c r="N184" i="17" s="1"/>
  <c r="N185" i="17" s="1"/>
  <c r="N186" i="17" s="1"/>
  <c r="N187" i="17" s="1"/>
  <c r="N188" i="17" s="1"/>
  <c r="N189" i="17" s="1"/>
  <c r="N190" i="17" s="1"/>
  <c r="N191" i="17" s="1"/>
  <c r="N192" i="17" s="1"/>
  <c r="N193" i="17" s="1"/>
  <c r="N194" i="17" s="1"/>
  <c r="N195" i="17" s="1"/>
  <c r="N196" i="17" s="1"/>
  <c r="N197" i="17" s="1"/>
  <c r="N198" i="17" s="1"/>
  <c r="N199" i="17" s="1"/>
  <c r="N200" i="17" s="1"/>
  <c r="N201" i="17" s="1"/>
  <c r="N202" i="17" s="1"/>
  <c r="N203" i="17" s="1"/>
  <c r="N204" i="17" s="1"/>
  <c r="N205" i="17" s="1"/>
  <c r="N206" i="17" s="1"/>
  <c r="N207" i="17" s="1"/>
  <c r="N208" i="17" s="1"/>
  <c r="N209" i="17" s="1"/>
  <c r="N210" i="17" s="1"/>
  <c r="N211" i="17" s="1"/>
  <c r="N212" i="17" s="1"/>
  <c r="N213" i="17" s="1"/>
  <c r="N214" i="17" s="1"/>
  <c r="N215" i="17" s="1"/>
  <c r="N216" i="17" s="1"/>
  <c r="N217" i="17" s="1"/>
  <c r="N218" i="17" s="1"/>
  <c r="N219" i="17" s="1"/>
  <c r="N220" i="17" s="1"/>
  <c r="N221" i="17" s="1"/>
  <c r="N222" i="17" s="1"/>
  <c r="N223" i="17" s="1"/>
  <c r="N224" i="17" s="1"/>
  <c r="N225" i="17" s="1"/>
  <c r="N226" i="17" s="1"/>
  <c r="N227" i="17" s="1"/>
  <c r="N228" i="17" s="1"/>
  <c r="N229" i="17" s="1"/>
  <c r="N230" i="17" s="1"/>
  <c r="N231" i="17" s="1"/>
  <c r="N232" i="17" s="1"/>
  <c r="N233" i="17" s="1"/>
  <c r="N234" i="17" s="1"/>
  <c r="N235" i="17" s="1"/>
  <c r="N236" i="17" s="1"/>
  <c r="N237" i="17" s="1"/>
  <c r="N238" i="17" s="1"/>
  <c r="N239" i="17" s="1"/>
  <c r="N240" i="17" s="1"/>
  <c r="N241" i="17" s="1"/>
  <c r="N242" i="17" s="1"/>
  <c r="N243" i="17" s="1"/>
  <c r="N244" i="17" s="1"/>
  <c r="N245" i="17" s="1"/>
  <c r="N246" i="17" s="1"/>
  <c r="N247" i="17" s="1"/>
  <c r="N248" i="17" s="1"/>
  <c r="N249" i="17" s="1"/>
  <c r="N250" i="17" s="1"/>
  <c r="N251" i="17" s="1"/>
  <c r="N252" i="17" s="1"/>
  <c r="N253" i="17" s="1"/>
  <c r="N254" i="17" s="1"/>
  <c r="N255" i="17" s="1"/>
  <c r="N256" i="17" s="1"/>
  <c r="N257" i="17" s="1"/>
  <c r="N258" i="17" s="1"/>
  <c r="N259" i="17" s="1"/>
  <c r="N260" i="17" s="1"/>
  <c r="N261" i="17" s="1"/>
  <c r="N262" i="17" s="1"/>
  <c r="N263" i="17" s="1"/>
  <c r="N264" i="17" s="1"/>
  <c r="N265" i="17" s="1"/>
  <c r="N266" i="17" s="1"/>
  <c r="N267" i="17" s="1"/>
  <c r="N268" i="17" s="1"/>
  <c r="N269" i="17" s="1"/>
  <c r="N270" i="17" s="1"/>
  <c r="N271" i="17" s="1"/>
  <c r="N272" i="17" s="1"/>
  <c r="N273" i="17" s="1"/>
  <c r="N274" i="17" s="1"/>
  <c r="N275" i="17" s="1"/>
  <c r="N276" i="17" s="1"/>
  <c r="N277" i="17" s="1"/>
  <c r="N278" i="17" s="1"/>
  <c r="N279" i="17" s="1"/>
  <c r="N280" i="17" s="1"/>
  <c r="N281" i="17" s="1"/>
  <c r="N282" i="17" s="1"/>
  <c r="N283" i="17" s="1"/>
  <c r="N284" i="17" s="1"/>
  <c r="N285" i="17" s="1"/>
  <c r="N286" i="17" s="1"/>
  <c r="N287" i="17" s="1"/>
  <c r="N288" i="17" s="1"/>
  <c r="N289" i="17" s="1"/>
  <c r="N290" i="17" s="1"/>
  <c r="N291" i="17" s="1"/>
  <c r="N292" i="17" s="1"/>
  <c r="N293" i="17" s="1"/>
  <c r="N294" i="17" s="1"/>
  <c r="N295" i="17" s="1"/>
  <c r="N296" i="17" s="1"/>
  <c r="N297" i="17" s="1"/>
  <c r="N298" i="17" s="1"/>
  <c r="N299" i="17" s="1"/>
  <c r="N300" i="17" s="1"/>
  <c r="N301" i="17" s="1"/>
  <c r="N302" i="17" s="1"/>
  <c r="N303" i="17" s="1"/>
  <c r="N304" i="17" s="1"/>
  <c r="N305" i="17" s="1"/>
  <c r="N306" i="17" s="1"/>
  <c r="N307" i="17" s="1"/>
  <c r="N308" i="17" s="1"/>
  <c r="N309" i="17" s="1"/>
  <c r="N310" i="17" s="1"/>
  <c r="N311" i="17" s="1"/>
  <c r="N312" i="17" s="1"/>
  <c r="N313" i="17" s="1"/>
  <c r="N314" i="17" s="1"/>
  <c r="N315" i="17" s="1"/>
  <c r="N316" i="17" s="1"/>
  <c r="N317" i="17" s="1"/>
  <c r="N318" i="17" s="1"/>
  <c r="N319" i="17" s="1"/>
  <c r="N320" i="17" s="1"/>
  <c r="N321" i="17" s="1"/>
  <c r="N322" i="17" s="1"/>
  <c r="N323" i="17" s="1"/>
  <c r="N324" i="17" s="1"/>
  <c r="N325" i="17" s="1"/>
  <c r="N326" i="17" s="1"/>
  <c r="N327" i="17" s="1"/>
  <c r="N328" i="17" s="1"/>
  <c r="N329" i="17" s="1"/>
  <c r="N330" i="17" s="1"/>
  <c r="N331" i="17" s="1"/>
  <c r="N332" i="17" s="1"/>
  <c r="N333" i="17" s="1"/>
  <c r="N334" i="17" s="1"/>
  <c r="N335" i="17" s="1"/>
  <c r="N336" i="17" s="1"/>
  <c r="N337" i="17" s="1"/>
  <c r="N338" i="17" s="1"/>
  <c r="N339" i="17" s="1"/>
  <c r="N340" i="17" s="1"/>
  <c r="N341" i="17" s="1"/>
  <c r="N342" i="17" s="1"/>
  <c r="N343" i="17" s="1"/>
  <c r="N344" i="17" s="1"/>
  <c r="N345" i="17" s="1"/>
  <c r="N346" i="17" s="1"/>
  <c r="N347" i="17" s="1"/>
  <c r="N348" i="17" s="1"/>
  <c r="N349" i="17" s="1"/>
  <c r="N350" i="17" s="1"/>
  <c r="N351" i="17" s="1"/>
  <c r="N352" i="17" s="1"/>
  <c r="N353" i="17" s="1"/>
  <c r="N354" i="17" s="1"/>
  <c r="N355" i="17" s="1"/>
  <c r="N356" i="17" s="1"/>
  <c r="N357" i="17" s="1"/>
  <c r="N358" i="17" s="1"/>
  <c r="N359" i="17" s="1"/>
  <c r="N360" i="17" s="1"/>
  <c r="N361" i="17" s="1"/>
  <c r="N362" i="17" s="1"/>
  <c r="N363" i="17" s="1"/>
  <c r="N364" i="17" s="1"/>
  <c r="N365" i="17" s="1"/>
  <c r="N366" i="17" s="1"/>
  <c r="N367" i="17" s="1"/>
  <c r="N368" i="17" s="1"/>
  <c r="N369" i="17" s="1"/>
  <c r="N370" i="17" s="1"/>
  <c r="N371" i="17" s="1"/>
  <c r="N372" i="17" s="1"/>
  <c r="N373" i="17" s="1"/>
  <c r="N374" i="17" s="1"/>
  <c r="N375" i="17" s="1"/>
  <c r="N376" i="17" s="1"/>
  <c r="N377" i="17" s="1"/>
  <c r="N378" i="17" s="1"/>
  <c r="N379" i="17" s="1"/>
  <c r="N380" i="17" s="1"/>
  <c r="N381" i="17" s="1"/>
  <c r="N382" i="17" s="1"/>
  <c r="N383" i="17" s="1"/>
  <c r="N384" i="17" s="1"/>
  <c r="N385" i="17" s="1"/>
  <c r="N386" i="17" s="1"/>
  <c r="N387" i="17" s="1"/>
  <c r="N388" i="17" s="1"/>
  <c r="N389" i="17" s="1"/>
  <c r="N390" i="17" s="1"/>
  <c r="N391" i="17" s="1"/>
  <c r="N392" i="17" s="1"/>
  <c r="N393" i="17" s="1"/>
  <c r="N394" i="17" s="1"/>
  <c r="N395" i="17" s="1"/>
  <c r="N396" i="17" s="1"/>
  <c r="N397" i="17" s="1"/>
  <c r="N398" i="17" s="1"/>
  <c r="N399" i="17" s="1"/>
  <c r="N400" i="17" s="1"/>
  <c r="N401" i="17" s="1"/>
  <c r="N402" i="17" s="1"/>
  <c r="N403" i="17" s="1"/>
  <c r="N404" i="17" s="1"/>
  <c r="N405" i="17" s="1"/>
  <c r="N406" i="17" s="1"/>
  <c r="N407" i="17" s="1"/>
  <c r="N408" i="17" s="1"/>
  <c r="N409" i="17" s="1"/>
  <c r="N410" i="17" s="1"/>
  <c r="N411" i="17" s="1"/>
  <c r="N412" i="17" s="1"/>
  <c r="N413" i="17" s="1"/>
  <c r="N414" i="17" s="1"/>
  <c r="N415" i="17" s="1"/>
  <c r="N416" i="17" s="1"/>
  <c r="N417" i="17" s="1"/>
  <c r="N418" i="17" s="1"/>
  <c r="N419" i="17" s="1"/>
  <c r="N420" i="17" s="1"/>
  <c r="N421" i="17" s="1"/>
  <c r="N422" i="17" s="1"/>
  <c r="N423" i="17" s="1"/>
  <c r="N424" i="17" s="1"/>
  <c r="N425" i="17" s="1"/>
  <c r="N426" i="17" s="1"/>
  <c r="N427" i="17" s="1"/>
  <c r="N428" i="17" s="1"/>
  <c r="N429" i="17" s="1"/>
  <c r="N430" i="17" s="1"/>
  <c r="N431" i="17" s="1"/>
  <c r="N432" i="17" s="1"/>
  <c r="N433" i="17" s="1"/>
  <c r="N434" i="17" s="1"/>
  <c r="N435" i="17" s="1"/>
  <c r="N436" i="17" s="1"/>
  <c r="N437" i="17" s="1"/>
  <c r="N438" i="17" s="1"/>
  <c r="N439" i="17" s="1"/>
  <c r="N440" i="17" s="1"/>
  <c r="N441" i="17" s="1"/>
  <c r="N442" i="17" s="1"/>
  <c r="N443" i="17" s="1"/>
  <c r="N444" i="17" s="1"/>
  <c r="N445" i="17" s="1"/>
  <c r="N446" i="17" s="1"/>
  <c r="N447" i="17" s="1"/>
  <c r="N448" i="17" s="1"/>
  <c r="N449" i="17" s="1"/>
  <c r="N450" i="17" s="1"/>
  <c r="N451" i="17" s="1"/>
  <c r="N452" i="17" s="1"/>
  <c r="N453" i="17" s="1"/>
  <c r="N454" i="17" s="1"/>
  <c r="N455" i="17" s="1"/>
  <c r="N456" i="17" s="1"/>
  <c r="N457" i="17" s="1"/>
  <c r="N458" i="17" s="1"/>
  <c r="N459" i="17" s="1"/>
  <c r="N460" i="17" s="1"/>
  <c r="N461" i="17" s="1"/>
  <c r="N462" i="17" s="1"/>
  <c r="N463" i="17" s="1"/>
  <c r="N464" i="17" s="1"/>
  <c r="N465" i="17" s="1"/>
  <c r="N466" i="17" s="1"/>
  <c r="N467" i="17" s="1"/>
  <c r="N468" i="17" s="1"/>
  <c r="N469" i="17" s="1"/>
  <c r="N470" i="17" s="1"/>
  <c r="N471" i="17" s="1"/>
  <c r="N472" i="17" s="1"/>
  <c r="N473" i="17" s="1"/>
  <c r="N474" i="17" s="1"/>
  <c r="N475" i="17" s="1"/>
  <c r="N476" i="17" s="1"/>
  <c r="N477" i="17" s="1"/>
  <c r="N478" i="17" s="1"/>
  <c r="N479" i="17" s="1"/>
  <c r="N480" i="17" s="1"/>
  <c r="N481" i="17" s="1"/>
  <c r="N482" i="17" s="1"/>
  <c r="N483" i="17" s="1"/>
  <c r="N484" i="17" s="1"/>
  <c r="N485" i="17" s="1"/>
  <c r="N486" i="17" s="1"/>
  <c r="N487" i="17" s="1"/>
  <c r="N488" i="17" s="1"/>
  <c r="N489" i="17" s="1"/>
  <c r="N490" i="17" s="1"/>
  <c r="N491" i="17" s="1"/>
  <c r="N492" i="17" s="1"/>
  <c r="N493" i="17" s="1"/>
  <c r="N494" i="17" s="1"/>
  <c r="N495" i="17" s="1"/>
  <c r="N496" i="17" s="1"/>
  <c r="N497" i="17" s="1"/>
  <c r="N498" i="17" s="1"/>
  <c r="N499" i="17" s="1"/>
  <c r="C119" i="17"/>
  <c r="C227" i="17"/>
  <c r="C266" i="17"/>
  <c r="C267" i="17"/>
  <c r="C71" i="18"/>
  <c r="C42" i="17"/>
  <c r="C70" i="17"/>
  <c r="C78" i="17"/>
  <c r="C120" i="17"/>
  <c r="C203" i="17"/>
  <c r="C241" i="17"/>
  <c r="C240" i="17"/>
  <c r="C289" i="17"/>
  <c r="C288" i="17"/>
  <c r="C290" i="17"/>
  <c r="C291" i="17"/>
  <c r="C314" i="17"/>
  <c r="C315" i="17"/>
  <c r="C79" i="18"/>
  <c r="C41" i="17"/>
  <c r="C69" i="17"/>
  <c r="C77" i="17"/>
  <c r="C89" i="17"/>
  <c r="C97" i="17"/>
  <c r="C105" i="17"/>
  <c r="C113" i="17"/>
  <c r="C121" i="17"/>
  <c r="C129" i="17"/>
  <c r="C137" i="17"/>
  <c r="C145" i="17"/>
  <c r="C153" i="17"/>
  <c r="C161" i="17"/>
  <c r="C169" i="17"/>
  <c r="C177" i="17"/>
  <c r="C185" i="17"/>
  <c r="C193" i="17"/>
  <c r="C205" i="17"/>
  <c r="C336" i="17"/>
  <c r="C337" i="17"/>
  <c r="C352" i="17"/>
  <c r="C353" i="17"/>
  <c r="C368" i="17"/>
  <c r="C369" i="17"/>
  <c r="C384" i="17"/>
  <c r="C385" i="17"/>
  <c r="C400" i="17"/>
  <c r="C401" i="17"/>
  <c r="C416" i="17"/>
  <c r="C417" i="17"/>
  <c r="C432" i="17"/>
  <c r="C433" i="17"/>
  <c r="C462" i="17"/>
  <c r="C2" i="18"/>
  <c r="N2" i="18"/>
  <c r="N3" i="18" s="1"/>
  <c r="N4" i="18" s="1"/>
  <c r="N5" i="18" s="1"/>
  <c r="C74" i="18"/>
  <c r="C198" i="17"/>
  <c r="C214" i="17"/>
  <c r="C230" i="17"/>
  <c r="C246" i="17"/>
  <c r="C447" i="17"/>
  <c r="C450" i="17"/>
  <c r="C449" i="17"/>
  <c r="C463" i="17"/>
  <c r="C466" i="17"/>
  <c r="C465" i="17"/>
  <c r="C479" i="17"/>
  <c r="C4" i="18"/>
  <c r="C75" i="18"/>
  <c r="C247" i="18"/>
  <c r="C246" i="18"/>
  <c r="C255" i="18"/>
  <c r="C254" i="18"/>
  <c r="C338" i="17"/>
  <c r="C346" i="17"/>
  <c r="C354" i="17"/>
  <c r="C362" i="17"/>
  <c r="C370" i="17"/>
  <c r="C378" i="17"/>
  <c r="C386" i="17"/>
  <c r="C394" i="17"/>
  <c r="C402" i="17"/>
  <c r="C410" i="17"/>
  <c r="C418" i="17"/>
  <c r="C495" i="17"/>
  <c r="C44" i="18"/>
  <c r="C58" i="18"/>
  <c r="C59" i="18"/>
  <c r="C340" i="17"/>
  <c r="C348" i="17"/>
  <c r="C356" i="17"/>
  <c r="C364" i="17"/>
  <c r="C372" i="17"/>
  <c r="C380" i="17"/>
  <c r="C388" i="17"/>
  <c r="C396" i="17"/>
  <c r="C404" i="17"/>
  <c r="C412" i="17"/>
  <c r="C420" i="17"/>
  <c r="C428" i="17"/>
  <c r="C436" i="17"/>
  <c r="C438" i="17"/>
  <c r="C439" i="17"/>
  <c r="C452" i="17"/>
  <c r="C454" i="17"/>
  <c r="C455" i="17"/>
  <c r="C468" i="17"/>
  <c r="C470" i="17"/>
  <c r="C471" i="17"/>
  <c r="C18" i="18"/>
  <c r="C19" i="18"/>
  <c r="C21" i="18"/>
  <c r="C20" i="18"/>
  <c r="C83" i="18"/>
  <c r="C136" i="18"/>
  <c r="C183" i="18"/>
  <c r="C185" i="18"/>
  <c r="C184" i="18"/>
  <c r="C190" i="18"/>
  <c r="C198" i="18"/>
  <c r="C200" i="17"/>
  <c r="C206" i="17"/>
  <c r="C216" i="17"/>
  <c r="C222" i="17"/>
  <c r="C232" i="17"/>
  <c r="C238" i="17"/>
  <c r="C248" i="17"/>
  <c r="C254" i="17"/>
  <c r="C264" i="17"/>
  <c r="C280" i="17"/>
  <c r="C296" i="17"/>
  <c r="C312" i="17"/>
  <c r="C328" i="17"/>
  <c r="C341" i="17"/>
  <c r="C349" i="17"/>
  <c r="C357" i="17"/>
  <c r="C365" i="17"/>
  <c r="C373" i="17"/>
  <c r="C381" i="17"/>
  <c r="C389" i="17"/>
  <c r="C397" i="17"/>
  <c r="C405" i="17"/>
  <c r="C413" i="17"/>
  <c r="C421" i="17"/>
  <c r="C429" i="17"/>
  <c r="C441" i="17"/>
  <c r="C457" i="17"/>
  <c r="C27" i="18"/>
  <c r="C84" i="18"/>
  <c r="C85" i="18"/>
  <c r="C104" i="18"/>
  <c r="C120" i="18"/>
  <c r="C121" i="18"/>
  <c r="C137" i="18"/>
  <c r="C201" i="17"/>
  <c r="C217" i="17"/>
  <c r="C233" i="17"/>
  <c r="C249" i="17"/>
  <c r="C265" i="17"/>
  <c r="C281" i="17"/>
  <c r="C297" i="17"/>
  <c r="C313" i="17"/>
  <c r="C329" i="17"/>
  <c r="C342" i="17"/>
  <c r="C350" i="17"/>
  <c r="C358" i="17"/>
  <c r="C366" i="17"/>
  <c r="C374" i="17"/>
  <c r="C382" i="17"/>
  <c r="C390" i="17"/>
  <c r="C398" i="17"/>
  <c r="C406" i="17"/>
  <c r="C414" i="17"/>
  <c r="C422" i="17"/>
  <c r="C484" i="17"/>
  <c r="C485" i="17"/>
  <c r="C487" i="17"/>
  <c r="C486" i="17"/>
  <c r="C13" i="18"/>
  <c r="C67" i="18"/>
  <c r="C82" i="18"/>
  <c r="C88" i="18"/>
  <c r="C89" i="18"/>
  <c r="C105" i="18"/>
  <c r="C51" i="18"/>
  <c r="C96" i="18"/>
  <c r="C128" i="18"/>
  <c r="C215" i="18"/>
  <c r="C437" i="17"/>
  <c r="C442" i="17"/>
  <c r="C448" i="17"/>
  <c r="C453" i="17"/>
  <c r="C458" i="17"/>
  <c r="C464" i="17"/>
  <c r="C469" i="17"/>
  <c r="C474" i="17"/>
  <c r="C480" i="17"/>
  <c r="C490" i="17"/>
  <c r="N6" i="18"/>
  <c r="N7" i="18" s="1"/>
  <c r="N8" i="18" s="1"/>
  <c r="N9" i="18" s="1"/>
  <c r="N10" i="18" s="1"/>
  <c r="C8" i="18"/>
  <c r="N11" i="18"/>
  <c r="N12" i="18" s="1"/>
  <c r="N13" i="18" s="1"/>
  <c r="N14" i="18" s="1"/>
  <c r="N15" i="18" s="1"/>
  <c r="N16" i="18" s="1"/>
  <c r="N17" i="18" s="1"/>
  <c r="N18" i="18" s="1"/>
  <c r="N19" i="18" s="1"/>
  <c r="N20" i="18" s="1"/>
  <c r="N21" i="18" s="1"/>
  <c r="N22" i="18" s="1"/>
  <c r="N23" i="18" s="1"/>
  <c r="N24" i="18" s="1"/>
  <c r="N25" i="18" s="1"/>
  <c r="N26" i="18" s="1"/>
  <c r="N27" i="18" s="1"/>
  <c r="N28" i="18" s="1"/>
  <c r="N29" i="18" s="1"/>
  <c r="N30" i="18" s="1"/>
  <c r="N31" i="18" s="1"/>
  <c r="N32" i="18" s="1"/>
  <c r="N33" i="18" s="1"/>
  <c r="N34" i="18" s="1"/>
  <c r="N35" i="18" s="1"/>
  <c r="N36" i="18" s="1"/>
  <c r="N37" i="18" s="1"/>
  <c r="N38" i="18" s="1"/>
  <c r="N39" i="18" s="1"/>
  <c r="N40" i="18" s="1"/>
  <c r="N41" i="18" s="1"/>
  <c r="N42" i="18" s="1"/>
  <c r="N43" i="18" s="1"/>
  <c r="N44" i="18" s="1"/>
  <c r="N45" i="18" s="1"/>
  <c r="N46" i="18" s="1"/>
  <c r="N47" i="18" s="1"/>
  <c r="N48" i="18" s="1"/>
  <c r="N49" i="18" s="1"/>
  <c r="N50" i="18" s="1"/>
  <c r="N51" i="18" s="1"/>
  <c r="N52" i="18" s="1"/>
  <c r="N53" i="18" s="1"/>
  <c r="N54" i="18" s="1"/>
  <c r="N55" i="18" s="1"/>
  <c r="N56" i="18" s="1"/>
  <c r="N57" i="18" s="1"/>
  <c r="N58" i="18" s="1"/>
  <c r="N59" i="18" s="1"/>
  <c r="N60" i="18" s="1"/>
  <c r="N61" i="18" s="1"/>
  <c r="N62" i="18" s="1"/>
  <c r="N63" i="18" s="1"/>
  <c r="N64" i="18" s="1"/>
  <c r="N65" i="18" s="1"/>
  <c r="N66" i="18" s="1"/>
  <c r="N67" i="18" s="1"/>
  <c r="N68" i="18" s="1"/>
  <c r="N69" i="18" s="1"/>
  <c r="N70" i="18" s="1"/>
  <c r="N71" i="18" s="1"/>
  <c r="N72" i="18" s="1"/>
  <c r="N73" i="18" s="1"/>
  <c r="N74" i="18" s="1"/>
  <c r="N75" i="18" s="1"/>
  <c r="N76" i="18" s="1"/>
  <c r="N77" i="18" s="1"/>
  <c r="N78" i="18" s="1"/>
  <c r="N79" i="18" s="1"/>
  <c r="N80" i="18" s="1"/>
  <c r="N81" i="18" s="1"/>
  <c r="N82" i="18" s="1"/>
  <c r="N83" i="18" s="1"/>
  <c r="N84" i="18" s="1"/>
  <c r="N85" i="18" s="1"/>
  <c r="N86" i="18" s="1"/>
  <c r="N87" i="18" s="1"/>
  <c r="N88" i="18" s="1"/>
  <c r="N89" i="18" s="1"/>
  <c r="N90" i="18" s="1"/>
  <c r="N91" i="18" s="1"/>
  <c r="N92" i="18" s="1"/>
  <c r="N93" i="18" s="1"/>
  <c r="N94" i="18" s="1"/>
  <c r="N95" i="18" s="1"/>
  <c r="N96" i="18" s="1"/>
  <c r="N97" i="18" s="1"/>
  <c r="N98" i="18" s="1"/>
  <c r="C24" i="18"/>
  <c r="C28" i="18"/>
  <c r="C52" i="18"/>
  <c r="C53" i="18"/>
  <c r="C61" i="18"/>
  <c r="C72" i="18"/>
  <c r="C80" i="18"/>
  <c r="C217" i="18"/>
  <c r="C216" i="18"/>
  <c r="C223" i="18"/>
  <c r="C222" i="18"/>
  <c r="C265" i="18"/>
  <c r="C264" i="18"/>
  <c r="C281" i="18"/>
  <c r="C280" i="18"/>
  <c r="C329" i="18"/>
  <c r="C328" i="18"/>
  <c r="C389" i="18"/>
  <c r="C388" i="18"/>
  <c r="C31" i="18"/>
  <c r="C40" i="18"/>
  <c r="C47" i="18"/>
  <c r="C56" i="18"/>
  <c r="C69" i="18"/>
  <c r="C77" i="18"/>
  <c r="C112" i="18"/>
  <c r="C152" i="18"/>
  <c r="C241" i="18"/>
  <c r="C240" i="18"/>
  <c r="C440" i="17"/>
  <c r="C445" i="17"/>
  <c r="C456" i="17"/>
  <c r="C461" i="17"/>
  <c r="C472" i="17"/>
  <c r="C477" i="17"/>
  <c r="C493" i="17"/>
  <c r="C11" i="18"/>
  <c r="C32" i="18"/>
  <c r="C45" i="18"/>
  <c r="C68" i="18"/>
  <c r="C76" i="18"/>
  <c r="C144" i="18"/>
  <c r="C38" i="18"/>
  <c r="C46" i="18"/>
  <c r="C62" i="18"/>
  <c r="C90" i="18"/>
  <c r="C98" i="18"/>
  <c r="C106" i="18"/>
  <c r="C114" i="18"/>
  <c r="C171" i="18"/>
  <c r="C191" i="18"/>
  <c r="C193" i="18"/>
  <c r="C192" i="18"/>
  <c r="C225" i="18"/>
  <c r="C224" i="18"/>
  <c r="C249" i="18"/>
  <c r="C248" i="18"/>
  <c r="C349" i="18"/>
  <c r="C348" i="18"/>
  <c r="C381" i="18"/>
  <c r="C380" i="18"/>
  <c r="C444" i="18"/>
  <c r="C477" i="18"/>
  <c r="C476" i="18"/>
  <c r="C92" i="18"/>
  <c r="N100" i="18"/>
  <c r="N101" i="18" s="1"/>
  <c r="C100" i="18"/>
  <c r="C108" i="18"/>
  <c r="C116" i="18"/>
  <c r="C124" i="18"/>
  <c r="C132" i="18"/>
  <c r="C140" i="18"/>
  <c r="C148" i="18"/>
  <c r="C156" i="18"/>
  <c r="C199" i="18"/>
  <c r="C201" i="18"/>
  <c r="C200" i="18"/>
  <c r="C231" i="18"/>
  <c r="C257" i="18"/>
  <c r="C256" i="18"/>
  <c r="C277" i="18"/>
  <c r="C276" i="18"/>
  <c r="C425" i="18"/>
  <c r="C452" i="18"/>
  <c r="C485" i="18"/>
  <c r="C484" i="18"/>
  <c r="C43" i="18"/>
  <c r="C125" i="18"/>
  <c r="C133" i="18"/>
  <c r="C207" i="18"/>
  <c r="C230" i="18"/>
  <c r="C233" i="18"/>
  <c r="C232" i="18"/>
  <c r="C341" i="18"/>
  <c r="C340" i="18"/>
  <c r="C424" i="18"/>
  <c r="C42" i="18"/>
  <c r="C54" i="18"/>
  <c r="C86" i="18"/>
  <c r="C177" i="18"/>
  <c r="C176" i="18"/>
  <c r="C206" i="18"/>
  <c r="C209" i="18"/>
  <c r="C208" i="18"/>
  <c r="C239" i="18"/>
  <c r="C263" i="18"/>
  <c r="C288" i="18"/>
  <c r="C437" i="18"/>
  <c r="C460" i="18"/>
  <c r="C492" i="18"/>
  <c r="C219" i="18"/>
  <c r="C235" i="18"/>
  <c r="C251" i="18"/>
  <c r="C267" i="18"/>
  <c r="C293" i="18"/>
  <c r="C313" i="18"/>
  <c r="C312" i="18"/>
  <c r="C320" i="18"/>
  <c r="C361" i="18"/>
  <c r="C413" i="18"/>
  <c r="C412" i="18"/>
  <c r="C453" i="18"/>
  <c r="C469" i="18"/>
  <c r="N102" i="18"/>
  <c r="N103" i="18" s="1"/>
  <c r="N104" i="18" s="1"/>
  <c r="N105" i="18" s="1"/>
  <c r="N106" i="18" s="1"/>
  <c r="N107" i="18" s="1"/>
  <c r="N108" i="18" s="1"/>
  <c r="N109" i="18" s="1"/>
  <c r="N110" i="18" s="1"/>
  <c r="N111" i="18" s="1"/>
  <c r="N112" i="18" s="1"/>
  <c r="N113" i="18" s="1"/>
  <c r="N114" i="18" s="1"/>
  <c r="N115" i="18" s="1"/>
  <c r="N116" i="18" s="1"/>
  <c r="N117" i="18" s="1"/>
  <c r="N118" i="18" s="1"/>
  <c r="N119" i="18" s="1"/>
  <c r="N120" i="18" s="1"/>
  <c r="N121" i="18" s="1"/>
  <c r="N122" i="18" s="1"/>
  <c r="N123" i="18" s="1"/>
  <c r="N124" i="18" s="1"/>
  <c r="N125" i="18" s="1"/>
  <c r="N126" i="18" s="1"/>
  <c r="N127" i="18" s="1"/>
  <c r="N128" i="18" s="1"/>
  <c r="N129" i="18" s="1"/>
  <c r="N130" i="18" s="1"/>
  <c r="N131" i="18" s="1"/>
  <c r="N132" i="18" s="1"/>
  <c r="N133" i="18" s="1"/>
  <c r="N134" i="18" s="1"/>
  <c r="N135" i="18" s="1"/>
  <c r="N136" i="18" s="1"/>
  <c r="N137" i="18" s="1"/>
  <c r="N138" i="18" s="1"/>
  <c r="N139" i="18" s="1"/>
  <c r="N140" i="18" s="1"/>
  <c r="N141" i="18" s="1"/>
  <c r="N142" i="18" s="1"/>
  <c r="N143" i="18" s="1"/>
  <c r="N144" i="18" s="1"/>
  <c r="N145" i="18" s="1"/>
  <c r="N146" i="18" s="1"/>
  <c r="N147" i="18" s="1"/>
  <c r="N148" i="18" s="1"/>
  <c r="N149" i="18" s="1"/>
  <c r="N150" i="18" s="1"/>
  <c r="N151" i="18" s="1"/>
  <c r="N152" i="18" s="1"/>
  <c r="N153" i="18" s="1"/>
  <c r="N154" i="18" s="1"/>
  <c r="N155" i="18" s="1"/>
  <c r="N156" i="18" s="1"/>
  <c r="N157" i="18" s="1"/>
  <c r="N158" i="18" s="1"/>
  <c r="N159" i="18" s="1"/>
  <c r="N160" i="18" s="1"/>
  <c r="N161" i="18" s="1"/>
  <c r="N162" i="18" s="1"/>
  <c r="N163" i="18" s="1"/>
  <c r="N164" i="18" s="1"/>
  <c r="N165" i="18" s="1"/>
  <c r="N166" i="18" s="1"/>
  <c r="N167" i="18" s="1"/>
  <c r="N168" i="18" s="1"/>
  <c r="N169" i="18" s="1"/>
  <c r="N170" i="18" s="1"/>
  <c r="N171" i="18" s="1"/>
  <c r="N172" i="18" s="1"/>
  <c r="N173" i="18" s="1"/>
  <c r="N174" i="18" s="1"/>
  <c r="N175" i="18" s="1"/>
  <c r="N176" i="18" s="1"/>
  <c r="N177" i="18" s="1"/>
  <c r="N178" i="18" s="1"/>
  <c r="N179" i="18" s="1"/>
  <c r="N180" i="18" s="1"/>
  <c r="N181" i="18" s="1"/>
  <c r="N182" i="18" s="1"/>
  <c r="N183" i="18" s="1"/>
  <c r="N184" i="18" s="1"/>
  <c r="N185" i="18" s="1"/>
  <c r="N186" i="18" s="1"/>
  <c r="N187" i="18" s="1"/>
  <c r="N188" i="18" s="1"/>
  <c r="N189" i="18" s="1"/>
  <c r="N190" i="18" s="1"/>
  <c r="N191" i="18" s="1"/>
  <c r="N192" i="18" s="1"/>
  <c r="N193" i="18" s="1"/>
  <c r="N194" i="18" s="1"/>
  <c r="N195" i="18" s="1"/>
  <c r="N196" i="18" s="1"/>
  <c r="N197" i="18" s="1"/>
  <c r="N198" i="18" s="1"/>
  <c r="N199" i="18" s="1"/>
  <c r="N200" i="18" s="1"/>
  <c r="N201" i="18" s="1"/>
  <c r="N202" i="18" s="1"/>
  <c r="N203" i="18" s="1"/>
  <c r="N204" i="18" s="1"/>
  <c r="N205" i="18" s="1"/>
  <c r="N206" i="18" s="1"/>
  <c r="N207" i="18" s="1"/>
  <c r="N208" i="18" s="1"/>
  <c r="N209" i="18" s="1"/>
  <c r="N210" i="18" s="1"/>
  <c r="N211" i="18" s="1"/>
  <c r="N212" i="18" s="1"/>
  <c r="N213" i="18" s="1"/>
  <c r="N214" i="18" s="1"/>
  <c r="N215" i="18" s="1"/>
  <c r="N216" i="18" s="1"/>
  <c r="N217" i="18" s="1"/>
  <c r="N218" i="18" s="1"/>
  <c r="N219" i="18" s="1"/>
  <c r="N220" i="18" s="1"/>
  <c r="N221" i="18" s="1"/>
  <c r="N222" i="18" s="1"/>
  <c r="N223" i="18" s="1"/>
  <c r="N224" i="18" s="1"/>
  <c r="N225" i="18" s="1"/>
  <c r="N226" i="18" s="1"/>
  <c r="N227" i="18" s="1"/>
  <c r="N228" i="18" s="1"/>
  <c r="N229" i="18" s="1"/>
  <c r="N230" i="18" s="1"/>
  <c r="N231" i="18" s="1"/>
  <c r="N232" i="18" s="1"/>
  <c r="N233" i="18" s="1"/>
  <c r="N234" i="18" s="1"/>
  <c r="N235" i="18" s="1"/>
  <c r="N236" i="18" s="1"/>
  <c r="N237" i="18" s="1"/>
  <c r="N238" i="18" s="1"/>
  <c r="N239" i="18" s="1"/>
  <c r="N240" i="18" s="1"/>
  <c r="N241" i="18" s="1"/>
  <c r="N242" i="18" s="1"/>
  <c r="N243" i="18" s="1"/>
  <c r="N244" i="18" s="1"/>
  <c r="N245" i="18" s="1"/>
  <c r="N246" i="18" s="1"/>
  <c r="N247" i="18" s="1"/>
  <c r="N248" i="18" s="1"/>
  <c r="N249" i="18" s="1"/>
  <c r="N250" i="18" s="1"/>
  <c r="N251" i="18" s="1"/>
  <c r="N252" i="18" s="1"/>
  <c r="N253" i="18" s="1"/>
  <c r="N254" i="18" s="1"/>
  <c r="N255" i="18" s="1"/>
  <c r="N256" i="18" s="1"/>
  <c r="N257" i="18" s="1"/>
  <c r="N258" i="18" s="1"/>
  <c r="N259" i="18" s="1"/>
  <c r="N260" i="18" s="1"/>
  <c r="N261" i="18" s="1"/>
  <c r="N262" i="18" s="1"/>
  <c r="N263" i="18" s="1"/>
  <c r="N264" i="18" s="1"/>
  <c r="N265" i="18" s="1"/>
  <c r="N266" i="18" s="1"/>
  <c r="N267" i="18" s="1"/>
  <c r="N268" i="18" s="1"/>
  <c r="N269" i="18" s="1"/>
  <c r="N270" i="18" s="1"/>
  <c r="N271" i="18" s="1"/>
  <c r="N272" i="18" s="1"/>
  <c r="N273" i="18" s="1"/>
  <c r="N274" i="18" s="1"/>
  <c r="N275" i="18" s="1"/>
  <c r="N276" i="18" s="1"/>
  <c r="N277" i="18" s="1"/>
  <c r="N278" i="18" s="1"/>
  <c r="N279" i="18" s="1"/>
  <c r="N280" i="18" s="1"/>
  <c r="N281" i="18" s="1"/>
  <c r="N282" i="18" s="1"/>
  <c r="N283" i="18" s="1"/>
  <c r="N284" i="18" s="1"/>
  <c r="N285" i="18" s="1"/>
  <c r="N286" i="18" s="1"/>
  <c r="N287" i="18" s="1"/>
  <c r="N288" i="18" s="1"/>
  <c r="N289" i="18" s="1"/>
  <c r="N290" i="18" s="1"/>
  <c r="N291" i="18" s="1"/>
  <c r="N292" i="18" s="1"/>
  <c r="N293" i="18" s="1"/>
  <c r="N294" i="18" s="1"/>
  <c r="N295" i="18" s="1"/>
  <c r="N296" i="18" s="1"/>
  <c r="N297" i="18" s="1"/>
  <c r="N298" i="18" s="1"/>
  <c r="N299" i="18" s="1"/>
  <c r="N300" i="18" s="1"/>
  <c r="N301" i="18" s="1"/>
  <c r="N302" i="18" s="1"/>
  <c r="N303" i="18" s="1"/>
  <c r="N304" i="18" s="1"/>
  <c r="N305" i="18" s="1"/>
  <c r="N306" i="18" s="1"/>
  <c r="N307" i="18" s="1"/>
  <c r="N308" i="18" s="1"/>
  <c r="N309" i="18" s="1"/>
  <c r="N310" i="18" s="1"/>
  <c r="N311" i="18" s="1"/>
  <c r="N312" i="18" s="1"/>
  <c r="N313" i="18" s="1"/>
  <c r="N314" i="18" s="1"/>
  <c r="N315" i="18" s="1"/>
  <c r="N316" i="18" s="1"/>
  <c r="N317" i="18" s="1"/>
  <c r="N318" i="18" s="1"/>
  <c r="N319" i="18" s="1"/>
  <c r="N320" i="18" s="1"/>
  <c r="N321" i="18" s="1"/>
  <c r="N322" i="18" s="1"/>
  <c r="N323" i="18" s="1"/>
  <c r="N324" i="18" s="1"/>
  <c r="N325" i="18" s="1"/>
  <c r="N326" i="18" s="1"/>
  <c r="N327" i="18" s="1"/>
  <c r="N328" i="18" s="1"/>
  <c r="N329" i="18" s="1"/>
  <c r="N330" i="18" s="1"/>
  <c r="N331" i="18" s="1"/>
  <c r="N332" i="18" s="1"/>
  <c r="N333" i="18" s="1"/>
  <c r="N334" i="18" s="1"/>
  <c r="N335" i="18" s="1"/>
  <c r="N336" i="18" s="1"/>
  <c r="N337" i="18" s="1"/>
  <c r="N338" i="18" s="1"/>
  <c r="N339" i="18" s="1"/>
  <c r="N340" i="18" s="1"/>
  <c r="N341" i="18" s="1"/>
  <c r="N342" i="18" s="1"/>
  <c r="N343" i="18" s="1"/>
  <c r="N344" i="18" s="1"/>
  <c r="N345" i="18" s="1"/>
  <c r="N346" i="18" s="1"/>
  <c r="N347" i="18" s="1"/>
  <c r="N348" i="18" s="1"/>
  <c r="N349" i="18" s="1"/>
  <c r="N350" i="18" s="1"/>
  <c r="N351" i="18" s="1"/>
  <c r="N352" i="18" s="1"/>
  <c r="N353" i="18" s="1"/>
  <c r="N354" i="18" s="1"/>
  <c r="N355" i="18" s="1"/>
  <c r="N356" i="18" s="1"/>
  <c r="N357" i="18" s="1"/>
  <c r="N358" i="18" s="1"/>
  <c r="N359" i="18" s="1"/>
  <c r="N360" i="18" s="1"/>
  <c r="N361" i="18" s="1"/>
  <c r="N362" i="18" s="1"/>
  <c r="N363" i="18" s="1"/>
  <c r="N364" i="18" s="1"/>
  <c r="N365" i="18" s="1"/>
  <c r="N366" i="18" s="1"/>
  <c r="N367" i="18" s="1"/>
  <c r="N368" i="18" s="1"/>
  <c r="N369" i="18" s="1"/>
  <c r="N370" i="18" s="1"/>
  <c r="N371" i="18" s="1"/>
  <c r="N372" i="18" s="1"/>
  <c r="N373" i="18" s="1"/>
  <c r="N374" i="18" s="1"/>
  <c r="N375" i="18" s="1"/>
  <c r="N376" i="18" s="1"/>
  <c r="N377" i="18" s="1"/>
  <c r="N378" i="18" s="1"/>
  <c r="N379" i="18" s="1"/>
  <c r="N380" i="18" s="1"/>
  <c r="N381" i="18" s="1"/>
  <c r="N382" i="18" s="1"/>
  <c r="N383" i="18" s="1"/>
  <c r="N384" i="18" s="1"/>
  <c r="N385" i="18" s="1"/>
  <c r="N386" i="18" s="1"/>
  <c r="N387" i="18" s="1"/>
  <c r="N388" i="18" s="1"/>
  <c r="N389" i="18" s="1"/>
  <c r="N390" i="18" s="1"/>
  <c r="N391" i="18" s="1"/>
  <c r="N392" i="18" s="1"/>
  <c r="N393" i="18" s="1"/>
  <c r="N394" i="18" s="1"/>
  <c r="N395" i="18" s="1"/>
  <c r="N396" i="18" s="1"/>
  <c r="N397" i="18" s="1"/>
  <c r="N398" i="18" s="1"/>
  <c r="N399" i="18" s="1"/>
  <c r="N400" i="18" s="1"/>
  <c r="N401" i="18" s="1"/>
  <c r="N402" i="18" s="1"/>
  <c r="N403" i="18" s="1"/>
  <c r="N404" i="18" s="1"/>
  <c r="N405" i="18" s="1"/>
  <c r="N406" i="18" s="1"/>
  <c r="N407" i="18" s="1"/>
  <c r="N408" i="18" s="1"/>
  <c r="N409" i="18" s="1"/>
  <c r="N410" i="18" s="1"/>
  <c r="N411" i="18" s="1"/>
  <c r="N412" i="18" s="1"/>
  <c r="N413" i="18" s="1"/>
  <c r="N414" i="18" s="1"/>
  <c r="N415" i="18" s="1"/>
  <c r="N416" i="18" s="1"/>
  <c r="N417" i="18" s="1"/>
  <c r="N418" i="18" s="1"/>
  <c r="N419" i="18" s="1"/>
  <c r="N420" i="18" s="1"/>
  <c r="N421" i="18" s="1"/>
  <c r="N422" i="18" s="1"/>
  <c r="N423" i="18" s="1"/>
  <c r="N424" i="18" s="1"/>
  <c r="N425" i="18" s="1"/>
  <c r="N426" i="18" s="1"/>
  <c r="N427" i="18" s="1"/>
  <c r="N428" i="18" s="1"/>
  <c r="N429" i="18" s="1"/>
  <c r="N430" i="18" s="1"/>
  <c r="N431" i="18" s="1"/>
  <c r="N432" i="18" s="1"/>
  <c r="N433" i="18" s="1"/>
  <c r="N434" i="18" s="1"/>
  <c r="N435" i="18" s="1"/>
  <c r="N436" i="18" s="1"/>
  <c r="N437" i="18" s="1"/>
  <c r="N438" i="18" s="1"/>
  <c r="N439" i="18" s="1"/>
  <c r="N440" i="18" s="1"/>
  <c r="N441" i="18" s="1"/>
  <c r="N442" i="18" s="1"/>
  <c r="N443" i="18" s="1"/>
  <c r="N444" i="18" s="1"/>
  <c r="N445" i="18" s="1"/>
  <c r="N446" i="18" s="1"/>
  <c r="N447" i="18" s="1"/>
  <c r="N448" i="18" s="1"/>
  <c r="N449" i="18" s="1"/>
  <c r="N450" i="18" s="1"/>
  <c r="N451" i="18" s="1"/>
  <c r="N452" i="18" s="1"/>
  <c r="N453" i="18" s="1"/>
  <c r="N454" i="18" s="1"/>
  <c r="N455" i="18" s="1"/>
  <c r="N456" i="18" s="1"/>
  <c r="N457" i="18" s="1"/>
  <c r="N458" i="18" s="1"/>
  <c r="N459" i="18" s="1"/>
  <c r="N460" i="18" s="1"/>
  <c r="N461" i="18" s="1"/>
  <c r="N462" i="18" s="1"/>
  <c r="N463" i="18" s="1"/>
  <c r="N464" i="18" s="1"/>
  <c r="N465" i="18" s="1"/>
  <c r="N466" i="18" s="1"/>
  <c r="N467" i="18" s="1"/>
  <c r="N468" i="18" s="1"/>
  <c r="N469" i="18" s="1"/>
  <c r="N470" i="18" s="1"/>
  <c r="N471" i="18" s="1"/>
  <c r="N472" i="18" s="1"/>
  <c r="N473" i="18" s="1"/>
  <c r="N474" i="18" s="1"/>
  <c r="N475" i="18" s="1"/>
  <c r="N476" i="18" s="1"/>
  <c r="N477" i="18" s="1"/>
  <c r="N478" i="18" s="1"/>
  <c r="N479" i="18" s="1"/>
  <c r="N480" i="18" s="1"/>
  <c r="N481" i="18" s="1"/>
  <c r="N482" i="18" s="1"/>
  <c r="N483" i="18" s="1"/>
  <c r="N484" i="18" s="1"/>
  <c r="N485" i="18" s="1"/>
  <c r="N486" i="18" s="1"/>
  <c r="N487" i="18" s="1"/>
  <c r="N488" i="18" s="1"/>
  <c r="N489" i="18" s="1"/>
  <c r="N490" i="18" s="1"/>
  <c r="N491" i="18" s="1"/>
  <c r="N492" i="18" s="1"/>
  <c r="N493" i="18" s="1"/>
  <c r="N494" i="18" s="1"/>
  <c r="N495" i="18" s="1"/>
  <c r="N496" i="18" s="1"/>
  <c r="N497" i="18" s="1"/>
  <c r="N498" i="18" s="1"/>
  <c r="N499" i="18" s="1"/>
  <c r="C160" i="18"/>
  <c r="C164" i="18"/>
  <c r="C174" i="18"/>
  <c r="C186" i="18"/>
  <c r="C187" i="18"/>
  <c r="C189" i="18"/>
  <c r="C188" i="18"/>
  <c r="C202" i="18"/>
  <c r="C203" i="18"/>
  <c r="C205" i="18"/>
  <c r="C204" i="18"/>
  <c r="C218" i="18"/>
  <c r="C221" i="18"/>
  <c r="C220" i="18"/>
  <c r="C234" i="18"/>
  <c r="C237" i="18"/>
  <c r="C236" i="18"/>
  <c r="C250" i="18"/>
  <c r="C253" i="18"/>
  <c r="C252" i="18"/>
  <c r="C266" i="18"/>
  <c r="C269" i="18"/>
  <c r="C268" i="18"/>
  <c r="C292" i="18"/>
  <c r="C321" i="18"/>
  <c r="C360" i="18"/>
  <c r="C405" i="18"/>
  <c r="C211" i="18"/>
  <c r="C227" i="18"/>
  <c r="C243" i="18"/>
  <c r="C259" i="18"/>
  <c r="C273" i="18"/>
  <c r="C272" i="18"/>
  <c r="C373" i="18"/>
  <c r="C445" i="18"/>
  <c r="C461" i="18"/>
  <c r="C493" i="18"/>
  <c r="C166" i="18"/>
  <c r="C172" i="18"/>
  <c r="C178" i="18"/>
  <c r="C179" i="18"/>
  <c r="C181" i="18"/>
  <c r="C180" i="18"/>
  <c r="C194" i="18"/>
  <c r="C195" i="18"/>
  <c r="C197" i="18"/>
  <c r="C196" i="18"/>
  <c r="C210" i="18"/>
  <c r="C213" i="18"/>
  <c r="C212" i="18"/>
  <c r="C229" i="18"/>
  <c r="C228" i="18"/>
  <c r="C245" i="18"/>
  <c r="C244" i="18"/>
  <c r="C261" i="18"/>
  <c r="C260" i="18"/>
  <c r="C357" i="18"/>
  <c r="C356" i="18"/>
  <c r="C372" i="18"/>
  <c r="C393" i="18"/>
  <c r="C337" i="18"/>
  <c r="C369" i="18"/>
  <c r="C401" i="18"/>
  <c r="C433" i="18"/>
  <c r="C285" i="18"/>
  <c r="C317" i="18"/>
  <c r="C345" i="18"/>
  <c r="C377" i="18"/>
  <c r="C409" i="18"/>
  <c r="C473" i="18"/>
  <c r="C481" i="18"/>
  <c r="C308" i="18"/>
  <c r="C333" i="18"/>
  <c r="C344" i="18"/>
  <c r="C365" i="18"/>
  <c r="C376" i="18"/>
  <c r="C397" i="18"/>
  <c r="C408" i="18"/>
  <c r="C429" i="18"/>
  <c r="C440" i="18"/>
  <c r="C441" i="18"/>
  <c r="C448" i="18"/>
  <c r="C449" i="18"/>
  <c r="C456" i="18"/>
  <c r="C457" i="18"/>
  <c r="C464" i="18"/>
  <c r="C465" i="18"/>
  <c r="C472" i="18"/>
  <c r="C480" i="18"/>
  <c r="C488" i="18"/>
  <c r="C489" i="18"/>
  <c r="C496" i="18"/>
  <c r="C497" i="18"/>
  <c r="C353" i="18"/>
  <c r="C385" i="18"/>
  <c r="C417" i="18"/>
  <c r="C286" i="12"/>
  <c r="C455" i="10"/>
  <c r="N105" i="10"/>
  <c r="N106" i="10" s="1"/>
  <c r="N107" i="10" s="1"/>
  <c r="N108" i="10" s="1"/>
  <c r="C232" i="11"/>
  <c r="C64" i="12"/>
  <c r="C302" i="11"/>
  <c r="N101" i="10"/>
  <c r="N102" i="10" s="1"/>
  <c r="N103" i="10" s="1"/>
  <c r="N104" i="10" s="1"/>
  <c r="N109" i="10"/>
  <c r="N110" i="10" s="1"/>
  <c r="N111" i="10" s="1"/>
  <c r="N112" i="10" s="1"/>
  <c r="N113" i="10" s="1"/>
  <c r="N114" i="10" s="1"/>
  <c r="N115" i="10" s="1"/>
  <c r="N116" i="10" s="1"/>
  <c r="N117" i="10" s="1"/>
  <c r="N118" i="10" s="1"/>
  <c r="N119" i="10" s="1"/>
  <c r="N120" i="10" s="1"/>
  <c r="N121" i="10" s="1"/>
  <c r="N122" i="10" s="1"/>
  <c r="N123" i="10" s="1"/>
  <c r="N124" i="10" s="1"/>
  <c r="N125" i="10" s="1"/>
  <c r="N126" i="10" s="1"/>
  <c r="N127" i="10" s="1"/>
  <c r="N128" i="10" s="1"/>
  <c r="N129" i="10" s="1"/>
  <c r="N130" i="10" s="1"/>
  <c r="N131" i="10" s="1"/>
  <c r="N132" i="10" s="1"/>
  <c r="N133" i="10" s="1"/>
  <c r="N134" i="10" s="1"/>
  <c r="N135" i="10" s="1"/>
  <c r="N136" i="10" s="1"/>
  <c r="N137" i="10" s="1"/>
  <c r="N138" i="10" s="1"/>
  <c r="N139" i="10" s="1"/>
  <c r="N140" i="10" s="1"/>
  <c r="N141" i="10" s="1"/>
  <c r="N142" i="10" s="1"/>
  <c r="N143" i="10" s="1"/>
  <c r="N144" i="10" s="1"/>
  <c r="N145" i="10" s="1"/>
  <c r="N146" i="10" s="1"/>
  <c r="N147" i="10" s="1"/>
  <c r="N148" i="10" s="1"/>
  <c r="N149" i="10" s="1"/>
  <c r="N150" i="10" s="1"/>
  <c r="N151" i="10" s="1"/>
  <c r="N152" i="10" s="1"/>
  <c r="N153" i="10" s="1"/>
  <c r="N154" i="10" s="1"/>
  <c r="N155" i="10" s="1"/>
  <c r="N156" i="10" s="1"/>
  <c r="N157" i="10" s="1"/>
  <c r="N158" i="10" s="1"/>
  <c r="N159" i="10" s="1"/>
  <c r="N160" i="10" s="1"/>
  <c r="N161" i="10" s="1"/>
  <c r="N162" i="10" s="1"/>
  <c r="N163" i="10" s="1"/>
  <c r="N164" i="10" s="1"/>
  <c r="N165" i="10" s="1"/>
  <c r="N166" i="10" s="1"/>
  <c r="N167" i="10" s="1"/>
  <c r="N168" i="10" s="1"/>
  <c r="N169" i="10" s="1"/>
  <c r="N170" i="10" s="1"/>
  <c r="N171" i="10" s="1"/>
  <c r="N172" i="10" s="1"/>
  <c r="N173" i="10" s="1"/>
  <c r="N174" i="10" s="1"/>
  <c r="N175" i="10" s="1"/>
  <c r="N176" i="10" s="1"/>
  <c r="N177" i="10" s="1"/>
  <c r="N178" i="10" s="1"/>
  <c r="N179" i="10" s="1"/>
  <c r="N180" i="10" s="1"/>
  <c r="N181" i="10" s="1"/>
  <c r="N182" i="10" s="1"/>
  <c r="N183" i="10" s="1"/>
  <c r="N184" i="10" s="1"/>
  <c r="N185" i="10" s="1"/>
  <c r="N186" i="10" s="1"/>
  <c r="N187" i="10" s="1"/>
  <c r="N188" i="10" s="1"/>
  <c r="N189" i="10" s="1"/>
  <c r="N190" i="10" s="1"/>
  <c r="N191" i="10" s="1"/>
  <c r="N192" i="10" s="1"/>
  <c r="N193" i="10" s="1"/>
  <c r="N194" i="10" s="1"/>
  <c r="N195" i="10" s="1"/>
  <c r="N196" i="10" s="1"/>
  <c r="N197" i="10" s="1"/>
  <c r="N198" i="10" s="1"/>
  <c r="N199" i="10" s="1"/>
  <c r="N200" i="10" s="1"/>
  <c r="N201" i="10" s="1"/>
  <c r="N202" i="10" s="1"/>
  <c r="N203" i="10" s="1"/>
  <c r="N204" i="10" s="1"/>
  <c r="N205" i="10" s="1"/>
  <c r="N206" i="10" s="1"/>
  <c r="N207" i="10" s="1"/>
  <c r="N208" i="10" s="1"/>
  <c r="N209" i="10" s="1"/>
  <c r="N210" i="10" s="1"/>
  <c r="N211" i="10" s="1"/>
  <c r="N212" i="10" s="1"/>
  <c r="N213" i="10" s="1"/>
  <c r="N214" i="10" s="1"/>
  <c r="N215" i="10" s="1"/>
  <c r="N216" i="10" s="1"/>
  <c r="N217" i="10" s="1"/>
  <c r="N218" i="10" s="1"/>
  <c r="N219" i="10" s="1"/>
  <c r="N220" i="10" s="1"/>
  <c r="N221" i="10" s="1"/>
  <c r="N222" i="10" s="1"/>
  <c r="N223" i="10" s="1"/>
  <c r="N224" i="10" s="1"/>
  <c r="N225" i="10" s="1"/>
  <c r="N226" i="10" s="1"/>
  <c r="N227" i="10" s="1"/>
  <c r="N228" i="10" s="1"/>
  <c r="N229" i="10" s="1"/>
  <c r="N230" i="10" s="1"/>
  <c r="N231" i="10" s="1"/>
  <c r="N232" i="10" s="1"/>
  <c r="N233" i="10" s="1"/>
  <c r="N234" i="10" s="1"/>
  <c r="N235" i="10" s="1"/>
  <c r="N236" i="10" s="1"/>
  <c r="N237" i="10" s="1"/>
  <c r="N238" i="10" s="1"/>
  <c r="N239" i="10" s="1"/>
  <c r="N240" i="10" s="1"/>
  <c r="N241" i="10" s="1"/>
  <c r="N242" i="10" s="1"/>
  <c r="N243" i="10" s="1"/>
  <c r="N244" i="10" s="1"/>
  <c r="N245" i="10" s="1"/>
  <c r="N246" i="10" s="1"/>
  <c r="N247" i="10" s="1"/>
  <c r="N248" i="10" s="1"/>
  <c r="N249" i="10" s="1"/>
  <c r="N250" i="10" s="1"/>
  <c r="N251" i="10" s="1"/>
  <c r="N252" i="10" s="1"/>
  <c r="N253" i="10" s="1"/>
  <c r="N254" i="10" s="1"/>
  <c r="N255" i="10" s="1"/>
  <c r="N256" i="10" s="1"/>
  <c r="N257" i="10" s="1"/>
  <c r="N258" i="10" s="1"/>
  <c r="N259" i="10" s="1"/>
  <c r="N260" i="10" s="1"/>
  <c r="N261" i="10" s="1"/>
  <c r="N262" i="10" s="1"/>
  <c r="N263" i="10" s="1"/>
  <c r="N264" i="10" s="1"/>
  <c r="N265" i="10" s="1"/>
  <c r="N266" i="10" s="1"/>
  <c r="N267" i="10" s="1"/>
  <c r="N268" i="10" s="1"/>
  <c r="N269" i="10" s="1"/>
  <c r="N270" i="10" s="1"/>
  <c r="N271" i="10" s="1"/>
  <c r="N272" i="10" s="1"/>
  <c r="N273" i="10" s="1"/>
  <c r="N274" i="10" s="1"/>
  <c r="N275" i="10" s="1"/>
  <c r="N276" i="10" s="1"/>
  <c r="N277" i="10" s="1"/>
  <c r="N278" i="10" s="1"/>
  <c r="N279" i="10" s="1"/>
  <c r="N280" i="10" s="1"/>
  <c r="N281" i="10" s="1"/>
  <c r="N282" i="10" s="1"/>
  <c r="N283" i="10" s="1"/>
  <c r="N284" i="10" s="1"/>
  <c r="N285" i="10" s="1"/>
  <c r="N286" i="10" s="1"/>
  <c r="N287" i="10" s="1"/>
  <c r="N288" i="10" s="1"/>
  <c r="N289" i="10" s="1"/>
  <c r="N290" i="10" s="1"/>
  <c r="N291" i="10" s="1"/>
  <c r="N292" i="10" s="1"/>
  <c r="N293" i="10" s="1"/>
  <c r="N294" i="10" s="1"/>
  <c r="N295" i="10" s="1"/>
  <c r="N296" i="10" s="1"/>
  <c r="N297" i="10" s="1"/>
  <c r="N298" i="10" s="1"/>
  <c r="N299" i="10" s="1"/>
  <c r="N300" i="10" s="1"/>
  <c r="N301" i="10" s="1"/>
  <c r="N302" i="10" s="1"/>
  <c r="N303" i="10" s="1"/>
  <c r="N304" i="10" s="1"/>
  <c r="N305" i="10" s="1"/>
  <c r="N306" i="10" s="1"/>
  <c r="N307" i="10" s="1"/>
  <c r="N308" i="10" s="1"/>
  <c r="N309" i="10" s="1"/>
  <c r="N310" i="10" s="1"/>
  <c r="N311" i="10" s="1"/>
  <c r="N312" i="10" s="1"/>
  <c r="N313" i="10" s="1"/>
  <c r="N314" i="10" s="1"/>
  <c r="N315" i="10" s="1"/>
  <c r="N316" i="10" s="1"/>
  <c r="N317" i="10" s="1"/>
  <c r="N318" i="10" s="1"/>
  <c r="N319" i="10" s="1"/>
  <c r="N320" i="10" s="1"/>
  <c r="N321" i="10" s="1"/>
  <c r="N322" i="10" s="1"/>
  <c r="N323" i="10" s="1"/>
  <c r="N324" i="10" s="1"/>
  <c r="N325" i="10" s="1"/>
  <c r="N326" i="10" s="1"/>
  <c r="N327" i="10" s="1"/>
  <c r="N328" i="10" s="1"/>
  <c r="N329" i="10" s="1"/>
  <c r="N330" i="10" s="1"/>
  <c r="N331" i="10" s="1"/>
  <c r="N332" i="10" s="1"/>
  <c r="N333" i="10" s="1"/>
  <c r="N334" i="10" s="1"/>
  <c r="N335" i="10" s="1"/>
  <c r="N336" i="10" s="1"/>
  <c r="N337" i="10" s="1"/>
  <c r="N338" i="10" s="1"/>
  <c r="N339" i="10" s="1"/>
  <c r="N340" i="10" s="1"/>
  <c r="N341" i="10" s="1"/>
  <c r="N342" i="10" s="1"/>
  <c r="N343" i="10" s="1"/>
  <c r="N344" i="10" s="1"/>
  <c r="N345" i="10" s="1"/>
  <c r="N346" i="10" s="1"/>
  <c r="N347" i="10" s="1"/>
  <c r="N348" i="10" s="1"/>
  <c r="N349" i="10" s="1"/>
  <c r="N350" i="10" s="1"/>
  <c r="N351" i="10" s="1"/>
  <c r="N352" i="10" s="1"/>
  <c r="N353" i="10" s="1"/>
  <c r="N354" i="10" s="1"/>
  <c r="N355" i="10" s="1"/>
  <c r="N356" i="10" s="1"/>
  <c r="N357" i="10" s="1"/>
  <c r="N358" i="10" s="1"/>
  <c r="N359" i="10" s="1"/>
  <c r="N360" i="10" s="1"/>
  <c r="N361" i="10" s="1"/>
  <c r="N362" i="10" s="1"/>
  <c r="N363" i="10" s="1"/>
  <c r="N364" i="10" s="1"/>
  <c r="N365" i="10" s="1"/>
  <c r="N366" i="10" s="1"/>
  <c r="N367" i="10" s="1"/>
  <c r="N368" i="10" s="1"/>
  <c r="N369" i="10" s="1"/>
  <c r="N370" i="10" s="1"/>
  <c r="N371" i="10" s="1"/>
  <c r="N372" i="10" s="1"/>
  <c r="N373" i="10" s="1"/>
  <c r="N374" i="10" s="1"/>
  <c r="N375" i="10" s="1"/>
  <c r="N376" i="10" s="1"/>
  <c r="N377" i="10" s="1"/>
  <c r="N378" i="10" s="1"/>
  <c r="N379" i="10" s="1"/>
  <c r="N380" i="10" s="1"/>
  <c r="N381" i="10" s="1"/>
  <c r="N382" i="10" s="1"/>
  <c r="N383" i="10" s="1"/>
  <c r="N384" i="10" s="1"/>
  <c r="N385" i="10" s="1"/>
  <c r="N386" i="10" s="1"/>
  <c r="N387" i="10" s="1"/>
  <c r="N388" i="10" s="1"/>
  <c r="N389" i="10" s="1"/>
  <c r="N390" i="10" s="1"/>
  <c r="N391" i="10" s="1"/>
  <c r="N392" i="10" s="1"/>
  <c r="N393" i="10" s="1"/>
  <c r="N394" i="10" s="1"/>
  <c r="N395" i="10" s="1"/>
  <c r="N396" i="10" s="1"/>
  <c r="N397" i="10" s="1"/>
  <c r="N398" i="10" s="1"/>
  <c r="N399" i="10" s="1"/>
  <c r="N400" i="10" s="1"/>
  <c r="N401" i="10" s="1"/>
  <c r="N402" i="10" s="1"/>
  <c r="N403" i="10" s="1"/>
  <c r="N404" i="10" s="1"/>
  <c r="N405" i="10" s="1"/>
  <c r="N406" i="10" s="1"/>
  <c r="N407" i="10" s="1"/>
  <c r="N408" i="10" s="1"/>
  <c r="N409" i="10" s="1"/>
  <c r="N410" i="10" s="1"/>
  <c r="N411" i="10" s="1"/>
  <c r="N412" i="10" s="1"/>
  <c r="N413" i="10" s="1"/>
  <c r="N414" i="10" s="1"/>
  <c r="N415" i="10" s="1"/>
  <c r="N416" i="10" s="1"/>
  <c r="N417" i="10" s="1"/>
  <c r="N418" i="10" s="1"/>
  <c r="N419" i="10" s="1"/>
  <c r="N420" i="10" s="1"/>
  <c r="N421" i="10" s="1"/>
  <c r="N422" i="10" s="1"/>
  <c r="N423" i="10" s="1"/>
  <c r="N424" i="10" s="1"/>
  <c r="N425" i="10" s="1"/>
  <c r="N426" i="10" s="1"/>
  <c r="N427" i="10" s="1"/>
  <c r="N428" i="10" s="1"/>
  <c r="N429" i="10" s="1"/>
  <c r="N430" i="10" s="1"/>
  <c r="N431" i="10" s="1"/>
  <c r="N432" i="10" s="1"/>
  <c r="N433" i="10" s="1"/>
  <c r="N434" i="10" s="1"/>
  <c r="N435" i="10" s="1"/>
  <c r="N436" i="10" s="1"/>
  <c r="N437" i="10" s="1"/>
  <c r="N438" i="10" s="1"/>
  <c r="N439" i="10" s="1"/>
  <c r="N440" i="10" s="1"/>
  <c r="N441" i="10" s="1"/>
  <c r="N442" i="10" s="1"/>
  <c r="N443" i="10" s="1"/>
  <c r="N444" i="10" s="1"/>
  <c r="N445" i="10" s="1"/>
  <c r="N446" i="10" s="1"/>
  <c r="N447" i="10" s="1"/>
  <c r="N448" i="10" s="1"/>
  <c r="N449" i="10" s="1"/>
  <c r="N450" i="10" s="1"/>
  <c r="N451" i="10" s="1"/>
  <c r="N452" i="10" s="1"/>
  <c r="N453" i="10" s="1"/>
  <c r="N454" i="10" s="1"/>
  <c r="N455" i="10" s="1"/>
  <c r="N456" i="10" s="1"/>
  <c r="N457" i="10" s="1"/>
  <c r="N458" i="10" s="1"/>
  <c r="N459" i="10" s="1"/>
  <c r="N460" i="10" s="1"/>
  <c r="N461" i="10" s="1"/>
  <c r="N462" i="10" s="1"/>
  <c r="N463" i="10" s="1"/>
  <c r="N464" i="10" s="1"/>
  <c r="N465" i="10" s="1"/>
  <c r="N466" i="10" s="1"/>
  <c r="N467" i="10" s="1"/>
  <c r="N468" i="10" s="1"/>
  <c r="N469" i="10" s="1"/>
  <c r="N470" i="10" s="1"/>
  <c r="N471" i="10" s="1"/>
  <c r="N472" i="10" s="1"/>
  <c r="N473" i="10" s="1"/>
  <c r="N474" i="10" s="1"/>
  <c r="N475" i="10" s="1"/>
  <c r="N476" i="10" s="1"/>
  <c r="N477" i="10" s="1"/>
  <c r="N478" i="10" s="1"/>
  <c r="N479" i="10" s="1"/>
  <c r="N480" i="10" s="1"/>
  <c r="N481" i="10" s="1"/>
  <c r="N482" i="10" s="1"/>
  <c r="N483" i="10" s="1"/>
  <c r="N484" i="10" s="1"/>
  <c r="N485" i="10" s="1"/>
  <c r="N486" i="10" s="1"/>
  <c r="N487" i="10" s="1"/>
  <c r="N488" i="10" s="1"/>
  <c r="N489" i="10" s="1"/>
  <c r="N490" i="10" s="1"/>
  <c r="N491" i="10" s="1"/>
  <c r="N492" i="10" s="1"/>
  <c r="N493" i="10" s="1"/>
  <c r="N494" i="10" s="1"/>
  <c r="N495" i="10" s="1"/>
  <c r="N496" i="10" s="1"/>
  <c r="N497" i="10" s="1"/>
  <c r="N498" i="10" s="1"/>
  <c r="N499" i="10" s="1"/>
  <c r="C463" i="10"/>
  <c r="C373" i="11"/>
  <c r="C190" i="12"/>
  <c r="C191" i="12"/>
  <c r="C471" i="10"/>
  <c r="C279" i="11"/>
  <c r="N7" i="10"/>
  <c r="N8" i="10" s="1"/>
  <c r="N9" i="10" s="1"/>
  <c r="N10" i="10" s="1"/>
  <c r="N11" i="10" s="1"/>
  <c r="N12" i="10" s="1"/>
  <c r="N13" i="10" s="1"/>
  <c r="N14" i="10" s="1"/>
  <c r="N15" i="10" s="1"/>
  <c r="N16" i="10" s="1"/>
  <c r="N17" i="10" s="1"/>
  <c r="N18" i="10" s="1"/>
  <c r="N19" i="10" s="1"/>
  <c r="N20" i="10" s="1"/>
  <c r="N21" i="10" s="1"/>
  <c r="N22" i="10" s="1"/>
  <c r="N23" i="10" s="1"/>
  <c r="N24" i="10" s="1"/>
  <c r="N25" i="10" s="1"/>
  <c r="N26" i="10" s="1"/>
  <c r="N27" i="10" s="1"/>
  <c r="N28" i="10" s="1"/>
  <c r="N29" i="10" s="1"/>
  <c r="N30" i="10" s="1"/>
  <c r="N31" i="10" s="1"/>
  <c r="N32" i="10" s="1"/>
  <c r="N33" i="10" s="1"/>
  <c r="N34" i="10" s="1"/>
  <c r="N35" i="10" s="1"/>
  <c r="N36" i="10" s="1"/>
  <c r="N37" i="10" s="1"/>
  <c r="N38" i="10" s="1"/>
  <c r="N39" i="10" s="1"/>
  <c r="N40" i="10" s="1"/>
  <c r="N41" i="10" s="1"/>
  <c r="N42" i="10" s="1"/>
  <c r="N43" i="10" s="1"/>
  <c r="N44" i="10" s="1"/>
  <c r="N45" i="10" s="1"/>
  <c r="N46" i="10" s="1"/>
  <c r="N47" i="10" s="1"/>
  <c r="N48" i="10" s="1"/>
  <c r="N49" i="10" s="1"/>
  <c r="N50" i="10" s="1"/>
  <c r="N51" i="10" s="1"/>
  <c r="N52" i="10" s="1"/>
  <c r="N53" i="10" s="1"/>
  <c r="N54" i="10" s="1"/>
  <c r="N55" i="10" s="1"/>
  <c r="N56" i="10" s="1"/>
  <c r="N57" i="10" s="1"/>
  <c r="N58" i="10" s="1"/>
  <c r="N59" i="10" s="1"/>
  <c r="N60" i="10" s="1"/>
  <c r="N61" i="10" s="1"/>
  <c r="N62" i="10" s="1"/>
  <c r="N63" i="10" s="1"/>
  <c r="N64" i="10" s="1"/>
  <c r="N65" i="10" s="1"/>
  <c r="N66" i="10" s="1"/>
  <c r="N67" i="10" s="1"/>
  <c r="N68" i="10" s="1"/>
  <c r="N69" i="10" s="1"/>
  <c r="N70" i="10" s="1"/>
  <c r="N71" i="10" s="1"/>
  <c r="N72" i="10" s="1"/>
  <c r="N73" i="10" s="1"/>
  <c r="N74" i="10" s="1"/>
  <c r="N75" i="10" s="1"/>
  <c r="N76" i="10" s="1"/>
  <c r="N77" i="10" s="1"/>
  <c r="N78" i="10" s="1"/>
  <c r="N79" i="10" s="1"/>
  <c r="N80" i="10" s="1"/>
  <c r="N81" i="10" s="1"/>
  <c r="N82" i="10" s="1"/>
  <c r="N83" i="10" s="1"/>
  <c r="N84" i="10" s="1"/>
  <c r="N85" i="10" s="1"/>
  <c r="N86" i="10" s="1"/>
  <c r="N87" i="10" s="1"/>
  <c r="N88" i="10" s="1"/>
  <c r="N89" i="10" s="1"/>
  <c r="N90" i="10" s="1"/>
  <c r="N91" i="10" s="1"/>
  <c r="N92" i="10" s="1"/>
  <c r="N93" i="10" s="1"/>
  <c r="N94" i="10" s="1"/>
  <c r="N95" i="10" s="1"/>
  <c r="N96" i="10" s="1"/>
  <c r="N97" i="10" s="1"/>
  <c r="N98" i="10" s="1"/>
  <c r="C241" i="11"/>
  <c r="C252" i="11"/>
  <c r="C295" i="11"/>
  <c r="C337" i="11"/>
  <c r="C462" i="10"/>
  <c r="C470" i="10"/>
  <c r="C478" i="10"/>
  <c r="C486" i="10"/>
  <c r="C494" i="10"/>
  <c r="C12" i="11"/>
  <c r="C20" i="11"/>
  <c r="C105" i="11"/>
  <c r="C113" i="11"/>
  <c r="C121" i="11"/>
  <c r="C129" i="11"/>
  <c r="C137" i="11"/>
  <c r="C145" i="11"/>
  <c r="C153" i="11"/>
  <c r="C161" i="11"/>
  <c r="C169" i="11"/>
  <c r="C177" i="11"/>
  <c r="C185" i="11"/>
  <c r="C193" i="11"/>
  <c r="C201" i="11"/>
  <c r="C209" i="11"/>
  <c r="C216" i="11"/>
  <c r="C242" i="11"/>
  <c r="C244" i="11"/>
  <c r="C243" i="11"/>
  <c r="C254" i="11"/>
  <c r="C255" i="11"/>
  <c r="C318" i="11"/>
  <c r="C319" i="11"/>
  <c r="C260" i="11"/>
  <c r="C303" i="11"/>
  <c r="C374" i="11"/>
  <c r="C376" i="11"/>
  <c r="C375" i="11"/>
  <c r="C437" i="11"/>
  <c r="C438" i="11"/>
  <c r="C485" i="11"/>
  <c r="C132" i="12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56" i="10"/>
  <c r="C457" i="10"/>
  <c r="C464" i="10"/>
  <c r="C465" i="10"/>
  <c r="C472" i="10"/>
  <c r="C473" i="10"/>
  <c r="C480" i="10"/>
  <c r="C481" i="10"/>
  <c r="C488" i="10"/>
  <c r="C489" i="10"/>
  <c r="C496" i="10"/>
  <c r="C497" i="10"/>
  <c r="N3" i="11"/>
  <c r="C6" i="11"/>
  <c r="C14" i="11"/>
  <c r="C15" i="11"/>
  <c r="C99" i="11"/>
  <c r="C100" i="11"/>
  <c r="C220" i="11"/>
  <c r="C221" i="11"/>
  <c r="C222" i="11"/>
  <c r="C262" i="11"/>
  <c r="C263" i="11"/>
  <c r="C326" i="11"/>
  <c r="C327" i="11"/>
  <c r="C341" i="11"/>
  <c r="C347" i="11"/>
  <c r="C364" i="11"/>
  <c r="C363" i="11"/>
  <c r="C449" i="11"/>
  <c r="C234" i="12"/>
  <c r="C451" i="10"/>
  <c r="N4" i="11"/>
  <c r="N5" i="11" s="1"/>
  <c r="N6" i="11" s="1"/>
  <c r="N7" i="11" s="1"/>
  <c r="N8" i="11" s="1"/>
  <c r="N9" i="11" s="1"/>
  <c r="N10" i="11" s="1"/>
  <c r="N11" i="11" s="1"/>
  <c r="N12" i="11"/>
  <c r="N13" i="11" s="1"/>
  <c r="N14" i="11" s="1"/>
  <c r="N15" i="11" s="1"/>
  <c r="N16" i="11" s="1"/>
  <c r="N17" i="11" s="1"/>
  <c r="N18" i="11" s="1"/>
  <c r="N19" i="11" s="1"/>
  <c r="N20" i="11" s="1"/>
  <c r="N21" i="11" s="1"/>
  <c r="N22" i="11" s="1"/>
  <c r="C287" i="11"/>
  <c r="C405" i="11"/>
  <c r="C406" i="11"/>
  <c r="C168" i="12"/>
  <c r="C31" i="11"/>
  <c r="C53" i="11"/>
  <c r="C61" i="11"/>
  <c r="C85" i="11"/>
  <c r="C93" i="11"/>
  <c r="C225" i="11"/>
  <c r="C236" i="11"/>
  <c r="C237" i="11"/>
  <c r="C238" i="11"/>
  <c r="C268" i="11"/>
  <c r="C310" i="11"/>
  <c r="C311" i="11"/>
  <c r="C459" i="10"/>
  <c r="C467" i="10"/>
  <c r="C475" i="10"/>
  <c r="C483" i="10"/>
  <c r="C491" i="10"/>
  <c r="C499" i="10"/>
  <c r="C228" i="11"/>
  <c r="C227" i="11"/>
  <c r="C271" i="11"/>
  <c r="C353" i="11"/>
  <c r="C433" i="11"/>
  <c r="C253" i="11"/>
  <c r="C261" i="11"/>
  <c r="C269" i="11"/>
  <c r="C342" i="11"/>
  <c r="C344" i="11"/>
  <c r="C343" i="11"/>
  <c r="C421" i="11"/>
  <c r="C422" i="11"/>
  <c r="C254" i="12"/>
  <c r="C217" i="11"/>
  <c r="C233" i="11"/>
  <c r="C249" i="11"/>
  <c r="C256" i="11"/>
  <c r="C264" i="11"/>
  <c r="C272" i="11"/>
  <c r="C280" i="11"/>
  <c r="C288" i="11"/>
  <c r="C296" i="11"/>
  <c r="C304" i="11"/>
  <c r="C312" i="11"/>
  <c r="C320" i="11"/>
  <c r="C328" i="11"/>
  <c r="C348" i="11"/>
  <c r="C349" i="11"/>
  <c r="C461" i="11"/>
  <c r="C481" i="11"/>
  <c r="C84" i="12"/>
  <c r="C174" i="12"/>
  <c r="C175" i="12"/>
  <c r="C380" i="11"/>
  <c r="C417" i="11"/>
  <c r="C216" i="12"/>
  <c r="C223" i="11"/>
  <c r="C229" i="11"/>
  <c r="C239" i="11"/>
  <c r="C245" i="11"/>
  <c r="C330" i="11"/>
  <c r="C360" i="11"/>
  <c r="C359" i="11"/>
  <c r="C389" i="11"/>
  <c r="C390" i="11"/>
  <c r="C392" i="11"/>
  <c r="C391" i="11"/>
  <c r="C401" i="11"/>
  <c r="C15" i="12"/>
  <c r="C31" i="12"/>
  <c r="C108" i="12"/>
  <c r="C109" i="12"/>
  <c r="C140" i="12"/>
  <c r="C258" i="11"/>
  <c r="C266" i="11"/>
  <c r="C274" i="11"/>
  <c r="C282" i="11"/>
  <c r="C290" i="11"/>
  <c r="C298" i="11"/>
  <c r="C306" i="11"/>
  <c r="C314" i="11"/>
  <c r="C322" i="11"/>
  <c r="C331" i="11"/>
  <c r="C332" i="11"/>
  <c r="C333" i="11"/>
  <c r="C453" i="11"/>
  <c r="C454" i="11"/>
  <c r="C493" i="11"/>
  <c r="C494" i="11"/>
  <c r="C100" i="12"/>
  <c r="C486" i="11"/>
  <c r="C20" i="12"/>
  <c r="C85" i="12"/>
  <c r="C101" i="12"/>
  <c r="C133" i="12"/>
  <c r="C192" i="12"/>
  <c r="C214" i="12"/>
  <c r="C282" i="12"/>
  <c r="C335" i="12"/>
  <c r="C141" i="12"/>
  <c r="C176" i="12"/>
  <c r="C198" i="12"/>
  <c r="C238" i="12"/>
  <c r="C314" i="12"/>
  <c r="C372" i="12"/>
  <c r="C338" i="11"/>
  <c r="C354" i="11"/>
  <c r="C370" i="11"/>
  <c r="C386" i="11"/>
  <c r="C396" i="11"/>
  <c r="C402" i="11"/>
  <c r="C418" i="11"/>
  <c r="C434" i="11"/>
  <c r="C450" i="11"/>
  <c r="C482" i="11"/>
  <c r="N3" i="12"/>
  <c r="N4" i="12" s="1"/>
  <c r="N5" i="12" s="1"/>
  <c r="N6" i="12" s="1"/>
  <c r="N7" i="12" s="1"/>
  <c r="N8" i="12" s="1"/>
  <c r="N9" i="12" s="1"/>
  <c r="N10" i="12" s="1"/>
  <c r="N11" i="12" s="1"/>
  <c r="N12" i="12" s="1"/>
  <c r="N13" i="12" s="1"/>
  <c r="N14" i="12" s="1"/>
  <c r="N15" i="12" s="1"/>
  <c r="N20" i="12" s="1"/>
  <c r="N21" i="12" s="1"/>
  <c r="N22" i="12" s="1"/>
  <c r="N23" i="12" s="1"/>
  <c r="N24" i="12" s="1"/>
  <c r="N25" i="12" s="1"/>
  <c r="N26" i="12" s="1"/>
  <c r="N27" i="12" s="1"/>
  <c r="N28" i="12" s="1"/>
  <c r="N29" i="12" s="1"/>
  <c r="N30" i="12" s="1"/>
  <c r="N31" i="12" s="1"/>
  <c r="N32" i="12" s="1"/>
  <c r="N33" i="12" s="1"/>
  <c r="N34" i="12" s="1"/>
  <c r="N35" i="12" s="1"/>
  <c r="N36" i="12" s="1"/>
  <c r="N37" i="12" s="1"/>
  <c r="N38" i="12" s="1"/>
  <c r="N39" i="12" s="1"/>
  <c r="N40" i="12" s="1"/>
  <c r="N41" i="12" s="1"/>
  <c r="N42" i="12" s="1"/>
  <c r="N43" i="12" s="1"/>
  <c r="N44" i="12" s="1"/>
  <c r="N45" i="12" s="1"/>
  <c r="N46" i="12" s="1"/>
  <c r="N47" i="12" s="1"/>
  <c r="N48" i="12" s="1"/>
  <c r="N49" i="12" s="1"/>
  <c r="N50" i="12" s="1"/>
  <c r="N51" i="12" s="1"/>
  <c r="N52" i="12" s="1"/>
  <c r="N53" i="12" s="1"/>
  <c r="N54" i="12" s="1"/>
  <c r="N55" i="12" s="1"/>
  <c r="N56" i="12" s="1"/>
  <c r="N57" i="12" s="1"/>
  <c r="N58" i="12" s="1"/>
  <c r="N59" i="12" s="1"/>
  <c r="N60" i="12" s="1"/>
  <c r="N61" i="12" s="1"/>
  <c r="N62" i="12" s="1"/>
  <c r="N63" i="12" s="1"/>
  <c r="N64" i="12" s="1"/>
  <c r="N65" i="12" s="1"/>
  <c r="N66" i="12" s="1"/>
  <c r="N67" i="12" s="1"/>
  <c r="N68" i="12" s="1"/>
  <c r="N69" i="12" s="1"/>
  <c r="N70" i="12" s="1"/>
  <c r="N71" i="12" s="1"/>
  <c r="N72" i="12" s="1"/>
  <c r="N73" i="12" s="1"/>
  <c r="N74" i="12" s="1"/>
  <c r="N75" i="12" s="1"/>
  <c r="N76" i="12" s="1"/>
  <c r="N77" i="12" s="1"/>
  <c r="N78" i="12" s="1"/>
  <c r="N79" i="12" s="1"/>
  <c r="N80" i="12" s="1"/>
  <c r="N81" i="12" s="1"/>
  <c r="N82" i="12" s="1"/>
  <c r="N83" i="12" s="1"/>
  <c r="N84" i="12" s="1"/>
  <c r="N85" i="12" s="1"/>
  <c r="N86" i="12" s="1"/>
  <c r="N87" i="12" s="1"/>
  <c r="N88" i="12" s="1"/>
  <c r="N89" i="12" s="1"/>
  <c r="N90" i="12" s="1"/>
  <c r="N91" i="12" s="1"/>
  <c r="N92" i="12" s="1"/>
  <c r="N93" i="12" s="1"/>
  <c r="N94" i="12" s="1"/>
  <c r="N95" i="12" s="1"/>
  <c r="N96" i="12" s="1"/>
  <c r="N97" i="12" s="1"/>
  <c r="N98" i="12" s="1"/>
  <c r="N99" i="12" s="1"/>
  <c r="N100" i="12" s="1"/>
  <c r="N101" i="12" s="1"/>
  <c r="N102" i="12" s="1"/>
  <c r="N103" i="12" s="1"/>
  <c r="N104" i="12" s="1"/>
  <c r="N105" i="12" s="1"/>
  <c r="N106" i="12" s="1"/>
  <c r="N107" i="12" s="1"/>
  <c r="N108" i="12" s="1"/>
  <c r="N109" i="12" s="1"/>
  <c r="N110" i="12" s="1"/>
  <c r="N111" i="12" s="1"/>
  <c r="N112" i="12" s="1"/>
  <c r="N113" i="12" s="1"/>
  <c r="N114" i="12" s="1"/>
  <c r="N115" i="12" s="1"/>
  <c r="N116" i="12" s="1"/>
  <c r="N117" i="12" s="1"/>
  <c r="N118" i="12" s="1"/>
  <c r="N119" i="12" s="1"/>
  <c r="N120" i="12" s="1"/>
  <c r="N121" i="12" s="1"/>
  <c r="N122" i="12" s="1"/>
  <c r="N123" i="12" s="1"/>
  <c r="N124" i="12" s="1"/>
  <c r="N125" i="12" s="1"/>
  <c r="N126" i="12" s="1"/>
  <c r="N127" i="12" s="1"/>
  <c r="N128" i="12" s="1"/>
  <c r="N129" i="12" s="1"/>
  <c r="N130" i="12" s="1"/>
  <c r="N131" i="12" s="1"/>
  <c r="N132" i="12" s="1"/>
  <c r="N133" i="12" s="1"/>
  <c r="N134" i="12" s="1"/>
  <c r="N135" i="12" s="1"/>
  <c r="N136" i="12" s="1"/>
  <c r="N137" i="12" s="1"/>
  <c r="N138" i="12" s="1"/>
  <c r="N139" i="12" s="1"/>
  <c r="N140" i="12" s="1"/>
  <c r="N141" i="12" s="1"/>
  <c r="N142" i="12" s="1"/>
  <c r="N143" i="12" s="1"/>
  <c r="N144" i="12" s="1"/>
  <c r="N145" i="12" s="1"/>
  <c r="N146" i="12" s="1"/>
  <c r="N147" i="12" s="1"/>
  <c r="N148" i="12" s="1"/>
  <c r="N149" i="12" s="1"/>
  <c r="N150" i="12" s="1"/>
  <c r="N151" i="12" s="1"/>
  <c r="N152" i="12" s="1"/>
  <c r="N153" i="12" s="1"/>
  <c r="N154" i="12" s="1"/>
  <c r="N155" i="12" s="1"/>
  <c r="N156" i="12" s="1"/>
  <c r="N157" i="12" s="1"/>
  <c r="N158" i="12" s="1"/>
  <c r="N159" i="12" s="1"/>
  <c r="N160" i="12" s="1"/>
  <c r="N161" i="12" s="1"/>
  <c r="N162" i="12" s="1"/>
  <c r="N163" i="12" s="1"/>
  <c r="N164" i="12" s="1"/>
  <c r="N165" i="12" s="1"/>
  <c r="N166" i="12" s="1"/>
  <c r="N167" i="12" s="1"/>
  <c r="N168" i="12" s="1"/>
  <c r="N169" i="12" s="1"/>
  <c r="N170" i="12" s="1"/>
  <c r="N171" i="12" s="1"/>
  <c r="N172" i="12" s="1"/>
  <c r="N173" i="12" s="1"/>
  <c r="N174" i="12" s="1"/>
  <c r="N175" i="12" s="1"/>
  <c r="N176" i="12" s="1"/>
  <c r="N177" i="12" s="1"/>
  <c r="N178" i="12" s="1"/>
  <c r="N179" i="12" s="1"/>
  <c r="N180" i="12" s="1"/>
  <c r="N181" i="12" s="1"/>
  <c r="N182" i="12" s="1"/>
  <c r="N183" i="12" s="1"/>
  <c r="N184" i="12" s="1"/>
  <c r="N185" i="12" s="1"/>
  <c r="N186" i="12" s="1"/>
  <c r="N187" i="12" s="1"/>
  <c r="N188" i="12" s="1"/>
  <c r="N189" i="12" s="1"/>
  <c r="N190" i="12" s="1"/>
  <c r="N191" i="12" s="1"/>
  <c r="N192" i="12" s="1"/>
  <c r="N193" i="12" s="1"/>
  <c r="N194" i="12" s="1"/>
  <c r="N195" i="12" s="1"/>
  <c r="N196" i="12" s="1"/>
  <c r="N197" i="12" s="1"/>
  <c r="N198" i="12" s="1"/>
  <c r="N199" i="12" s="1"/>
  <c r="N200" i="12" s="1"/>
  <c r="N201" i="12" s="1"/>
  <c r="N202" i="12" s="1"/>
  <c r="N203" i="12" s="1"/>
  <c r="N204" i="12" s="1"/>
  <c r="N205" i="12" s="1"/>
  <c r="N206" i="12" s="1"/>
  <c r="N207" i="12" s="1"/>
  <c r="N208" i="12" s="1"/>
  <c r="N209" i="12" s="1"/>
  <c r="N210" i="12" s="1"/>
  <c r="N211" i="12" s="1"/>
  <c r="N212" i="12" s="1"/>
  <c r="N213" i="12" s="1"/>
  <c r="N214" i="12" s="1"/>
  <c r="N215" i="12" s="1"/>
  <c r="N216" i="12" s="1"/>
  <c r="N217" i="12" s="1"/>
  <c r="N218" i="12" s="1"/>
  <c r="N219" i="12" s="1"/>
  <c r="N220" i="12" s="1"/>
  <c r="N221" i="12" s="1"/>
  <c r="N222" i="12" s="1"/>
  <c r="N223" i="12" s="1"/>
  <c r="N224" i="12" s="1"/>
  <c r="N225" i="12" s="1"/>
  <c r="N226" i="12" s="1"/>
  <c r="N227" i="12" s="1"/>
  <c r="N228" i="12" s="1"/>
  <c r="N229" i="12" s="1"/>
  <c r="N230" i="12" s="1"/>
  <c r="N231" i="12" s="1"/>
  <c r="N232" i="12" s="1"/>
  <c r="N233" i="12" s="1"/>
  <c r="N234" i="12" s="1"/>
  <c r="N235" i="12" s="1"/>
  <c r="N236" i="12" s="1"/>
  <c r="N237" i="12" s="1"/>
  <c r="N238" i="12" s="1"/>
  <c r="N239" i="12" s="1"/>
  <c r="N240" i="12" s="1"/>
  <c r="N241" i="12" s="1"/>
  <c r="N242" i="12" s="1"/>
  <c r="N243" i="12" s="1"/>
  <c r="N244" i="12" s="1"/>
  <c r="N245" i="12" s="1"/>
  <c r="N246" i="12" s="1"/>
  <c r="N247" i="12" s="1"/>
  <c r="N248" i="12" s="1"/>
  <c r="N249" i="12" s="1"/>
  <c r="N250" i="12" s="1"/>
  <c r="N251" i="12" s="1"/>
  <c r="N252" i="12" s="1"/>
  <c r="N253" i="12" s="1"/>
  <c r="N254" i="12" s="1"/>
  <c r="N255" i="12" s="1"/>
  <c r="N256" i="12" s="1"/>
  <c r="N257" i="12" s="1"/>
  <c r="N258" i="12" s="1"/>
  <c r="N259" i="12" s="1"/>
  <c r="N260" i="12" s="1"/>
  <c r="N261" i="12" s="1"/>
  <c r="N262" i="12" s="1"/>
  <c r="N263" i="12" s="1"/>
  <c r="N264" i="12" s="1"/>
  <c r="N265" i="12" s="1"/>
  <c r="N266" i="12" s="1"/>
  <c r="N267" i="12" s="1"/>
  <c r="N268" i="12" s="1"/>
  <c r="N269" i="12" s="1"/>
  <c r="N270" i="12" s="1"/>
  <c r="N271" i="12" s="1"/>
  <c r="N272" i="12" s="1"/>
  <c r="N273" i="12" s="1"/>
  <c r="N274" i="12" s="1"/>
  <c r="N275" i="12" s="1"/>
  <c r="N276" i="12" s="1"/>
  <c r="N277" i="12" s="1"/>
  <c r="N278" i="12" s="1"/>
  <c r="N279" i="12" s="1"/>
  <c r="N280" i="12" s="1"/>
  <c r="N281" i="12" s="1"/>
  <c r="N282" i="12" s="1"/>
  <c r="N283" i="12" s="1"/>
  <c r="N284" i="12" s="1"/>
  <c r="N285" i="12" s="1"/>
  <c r="N286" i="12" s="1"/>
  <c r="N287" i="12" s="1"/>
  <c r="N288" i="12" s="1"/>
  <c r="N289" i="12" s="1"/>
  <c r="N290" i="12" s="1"/>
  <c r="N291" i="12" s="1"/>
  <c r="N292" i="12" s="1"/>
  <c r="N293" i="12" s="1"/>
  <c r="N294" i="12" s="1"/>
  <c r="N295" i="12" s="1"/>
  <c r="N296" i="12" s="1"/>
  <c r="N297" i="12" s="1"/>
  <c r="N298" i="12" s="1"/>
  <c r="N299" i="12" s="1"/>
  <c r="N300" i="12" s="1"/>
  <c r="N301" i="12" s="1"/>
  <c r="N302" i="12" s="1"/>
  <c r="N303" i="12" s="1"/>
  <c r="N304" i="12" s="1"/>
  <c r="N305" i="12" s="1"/>
  <c r="N306" i="12" s="1"/>
  <c r="N307" i="12" s="1"/>
  <c r="N308" i="12" s="1"/>
  <c r="N309" i="12" s="1"/>
  <c r="N310" i="12" s="1"/>
  <c r="N311" i="12" s="1"/>
  <c r="N312" i="12" s="1"/>
  <c r="N313" i="12" s="1"/>
  <c r="N314" i="12" s="1"/>
  <c r="N315" i="12" s="1"/>
  <c r="N316" i="12" s="1"/>
  <c r="N317" i="12" s="1"/>
  <c r="N318" i="12" s="1"/>
  <c r="N319" i="12" s="1"/>
  <c r="N320" i="12" s="1"/>
  <c r="N321" i="12" s="1"/>
  <c r="N322" i="12" s="1"/>
  <c r="N323" i="12" s="1"/>
  <c r="N324" i="12" s="1"/>
  <c r="N325" i="12" s="1"/>
  <c r="N326" i="12" s="1"/>
  <c r="N327" i="12" s="1"/>
  <c r="N328" i="12" s="1"/>
  <c r="N329" i="12" s="1"/>
  <c r="N330" i="12" s="1"/>
  <c r="N331" i="12" s="1"/>
  <c r="N332" i="12" s="1"/>
  <c r="N333" i="12" s="1"/>
  <c r="N334" i="12" s="1"/>
  <c r="N335" i="12" s="1"/>
  <c r="N336" i="12" s="1"/>
  <c r="N337" i="12" s="1"/>
  <c r="N338" i="12" s="1"/>
  <c r="N339" i="12" s="1"/>
  <c r="N340" i="12" s="1"/>
  <c r="N341" i="12" s="1"/>
  <c r="N342" i="12" s="1"/>
  <c r="N343" i="12" s="1"/>
  <c r="N344" i="12" s="1"/>
  <c r="N345" i="12" s="1"/>
  <c r="N346" i="12" s="1"/>
  <c r="N347" i="12" s="1"/>
  <c r="N348" i="12" s="1"/>
  <c r="N349" i="12" s="1"/>
  <c r="N350" i="12" s="1"/>
  <c r="N351" i="12" s="1"/>
  <c r="N352" i="12" s="1"/>
  <c r="N353" i="12" s="1"/>
  <c r="N354" i="12" s="1"/>
  <c r="N355" i="12" s="1"/>
  <c r="N356" i="12" s="1"/>
  <c r="N357" i="12" s="1"/>
  <c r="N358" i="12" s="1"/>
  <c r="N359" i="12" s="1"/>
  <c r="N360" i="12" s="1"/>
  <c r="N361" i="12" s="1"/>
  <c r="N362" i="12" s="1"/>
  <c r="N363" i="12" s="1"/>
  <c r="N364" i="12" s="1"/>
  <c r="N365" i="12" s="1"/>
  <c r="N366" i="12" s="1"/>
  <c r="N367" i="12" s="1"/>
  <c r="N368" i="12" s="1"/>
  <c r="N369" i="12" s="1"/>
  <c r="N370" i="12" s="1"/>
  <c r="N371" i="12" s="1"/>
  <c r="N372" i="12" s="1"/>
  <c r="N373" i="12" s="1"/>
  <c r="N374" i="12" s="1"/>
  <c r="N375" i="12" s="1"/>
  <c r="N376" i="12" s="1"/>
  <c r="N377" i="12" s="1"/>
  <c r="N378" i="12" s="1"/>
  <c r="N379" i="12" s="1"/>
  <c r="N380" i="12" s="1"/>
  <c r="N381" i="12" s="1"/>
  <c r="N382" i="12" s="1"/>
  <c r="N383" i="12" s="1"/>
  <c r="N384" i="12" s="1"/>
  <c r="N385" i="12" s="1"/>
  <c r="N386" i="12" s="1"/>
  <c r="N387" i="12" s="1"/>
  <c r="N388" i="12" s="1"/>
  <c r="N389" i="12" s="1"/>
  <c r="N390" i="12" s="1"/>
  <c r="N391" i="12" s="1"/>
  <c r="N392" i="12" s="1"/>
  <c r="N393" i="12" s="1"/>
  <c r="N394" i="12" s="1"/>
  <c r="N395" i="12" s="1"/>
  <c r="N396" i="12" s="1"/>
  <c r="N397" i="12" s="1"/>
  <c r="N398" i="12" s="1"/>
  <c r="N399" i="12" s="1"/>
  <c r="N400" i="12" s="1"/>
  <c r="N401" i="12" s="1"/>
  <c r="N402" i="12" s="1"/>
  <c r="N403" i="12" s="1"/>
  <c r="N404" i="12" s="1"/>
  <c r="N405" i="12" s="1"/>
  <c r="N406" i="12" s="1"/>
  <c r="N407" i="12" s="1"/>
  <c r="N408" i="12" s="1"/>
  <c r="N409" i="12" s="1"/>
  <c r="N410" i="12" s="1"/>
  <c r="N411" i="12" s="1"/>
  <c r="N412" i="12" s="1"/>
  <c r="N413" i="12" s="1"/>
  <c r="N414" i="12" s="1"/>
  <c r="N415" i="12" s="1"/>
  <c r="N416" i="12" s="1"/>
  <c r="N417" i="12" s="1"/>
  <c r="N418" i="12" s="1"/>
  <c r="N419" i="12" s="1"/>
  <c r="N420" i="12" s="1"/>
  <c r="N421" i="12" s="1"/>
  <c r="N422" i="12" s="1"/>
  <c r="N423" i="12" s="1"/>
  <c r="N424" i="12" s="1"/>
  <c r="N425" i="12" s="1"/>
  <c r="N426" i="12" s="1"/>
  <c r="N427" i="12" s="1"/>
  <c r="N428" i="12" s="1"/>
  <c r="N429" i="12" s="1"/>
  <c r="N430" i="12" s="1"/>
  <c r="N431" i="12" s="1"/>
  <c r="N432" i="12" s="1"/>
  <c r="N433" i="12" s="1"/>
  <c r="N434" i="12" s="1"/>
  <c r="N435" i="12" s="1"/>
  <c r="N436" i="12" s="1"/>
  <c r="N437" i="12" s="1"/>
  <c r="N438" i="12" s="1"/>
  <c r="N439" i="12" s="1"/>
  <c r="N440" i="12" s="1"/>
  <c r="N441" i="12" s="1"/>
  <c r="N442" i="12" s="1"/>
  <c r="N443" i="12" s="1"/>
  <c r="N444" i="12" s="1"/>
  <c r="N445" i="12" s="1"/>
  <c r="N446" i="12" s="1"/>
  <c r="N447" i="12" s="1"/>
  <c r="N448" i="12" s="1"/>
  <c r="N449" i="12" s="1"/>
  <c r="N450" i="12" s="1"/>
  <c r="N451" i="12" s="1"/>
  <c r="N452" i="12" s="1"/>
  <c r="N453" i="12" s="1"/>
  <c r="N454" i="12" s="1"/>
  <c r="N455" i="12" s="1"/>
  <c r="N456" i="12" s="1"/>
  <c r="N457" i="12" s="1"/>
  <c r="N458" i="12" s="1"/>
  <c r="N459" i="12" s="1"/>
  <c r="N460" i="12" s="1"/>
  <c r="N461" i="12" s="1"/>
  <c r="N462" i="12" s="1"/>
  <c r="N463" i="12" s="1"/>
  <c r="N464" i="12" s="1"/>
  <c r="N465" i="12" s="1"/>
  <c r="N466" i="12" s="1"/>
  <c r="N467" i="12" s="1"/>
  <c r="N468" i="12" s="1"/>
  <c r="N469" i="12" s="1"/>
  <c r="N470" i="12" s="1"/>
  <c r="N471" i="12" s="1"/>
  <c r="N472" i="12" s="1"/>
  <c r="N473" i="12" s="1"/>
  <c r="N474" i="12" s="1"/>
  <c r="N475" i="12" s="1"/>
  <c r="N476" i="12" s="1"/>
  <c r="N477" i="12" s="1"/>
  <c r="N478" i="12" s="1"/>
  <c r="N479" i="12" s="1"/>
  <c r="N480" i="12" s="1"/>
  <c r="N481" i="12" s="1"/>
  <c r="N482" i="12" s="1"/>
  <c r="N483" i="12" s="1"/>
  <c r="N484" i="12" s="1"/>
  <c r="N485" i="12" s="1"/>
  <c r="N486" i="12" s="1"/>
  <c r="N487" i="12" s="1"/>
  <c r="N488" i="12" s="1"/>
  <c r="N489" i="12" s="1"/>
  <c r="N490" i="12" s="1"/>
  <c r="N491" i="12" s="1"/>
  <c r="N492" i="12" s="1"/>
  <c r="N493" i="12" s="1"/>
  <c r="N494" i="12" s="1"/>
  <c r="N495" i="12" s="1"/>
  <c r="N496" i="12" s="1"/>
  <c r="N497" i="12" s="1"/>
  <c r="N498" i="12" s="1"/>
  <c r="N499" i="12" s="1"/>
  <c r="C65" i="12"/>
  <c r="C128" i="12"/>
  <c r="C129" i="12"/>
  <c r="C158" i="12"/>
  <c r="C199" i="12"/>
  <c r="C200" i="12"/>
  <c r="C266" i="12"/>
  <c r="C318" i="12"/>
  <c r="C160" i="12"/>
  <c r="C182" i="12"/>
  <c r="C270" i="12"/>
  <c r="C460" i="12"/>
  <c r="C184" i="12"/>
  <c r="C206" i="12"/>
  <c r="C223" i="12"/>
  <c r="C298" i="12"/>
  <c r="C477" i="11"/>
  <c r="C478" i="11"/>
  <c r="C11" i="12"/>
  <c r="C12" i="12"/>
  <c r="C60" i="12"/>
  <c r="C61" i="12"/>
  <c r="C124" i="12"/>
  <c r="C125" i="12"/>
  <c r="C166" i="12"/>
  <c r="C207" i="12"/>
  <c r="C208" i="12"/>
  <c r="C250" i="12"/>
  <c r="C302" i="12"/>
  <c r="C405" i="12"/>
  <c r="C404" i="12"/>
  <c r="C153" i="12"/>
  <c r="C161" i="12"/>
  <c r="C169" i="12"/>
  <c r="C177" i="12"/>
  <c r="C185" i="12"/>
  <c r="C193" i="12"/>
  <c r="C201" i="12"/>
  <c r="C209" i="12"/>
  <c r="C217" i="12"/>
  <c r="C226" i="12"/>
  <c r="C227" i="12"/>
  <c r="C239" i="12"/>
  <c r="C255" i="12"/>
  <c r="C271" i="12"/>
  <c r="C287" i="12"/>
  <c r="C303" i="12"/>
  <c r="C336" i="12"/>
  <c r="C421" i="12"/>
  <c r="C420" i="12"/>
  <c r="C462" i="11"/>
  <c r="C89" i="12"/>
  <c r="C93" i="12"/>
  <c r="C97" i="12"/>
  <c r="C154" i="12"/>
  <c r="C162" i="12"/>
  <c r="C170" i="12"/>
  <c r="C178" i="12"/>
  <c r="C186" i="12"/>
  <c r="C194" i="12"/>
  <c r="C228" i="12"/>
  <c r="C229" i="12"/>
  <c r="C242" i="12"/>
  <c r="C258" i="12"/>
  <c r="C274" i="12"/>
  <c r="C290" i="12"/>
  <c r="C306" i="12"/>
  <c r="C323" i="12"/>
  <c r="C322" i="12"/>
  <c r="C388" i="12"/>
  <c r="C327" i="12"/>
  <c r="C346" i="12"/>
  <c r="C437" i="12"/>
  <c r="C436" i="12"/>
  <c r="C156" i="12"/>
  <c r="C157" i="12"/>
  <c r="C164" i="12"/>
  <c r="C165" i="12"/>
  <c r="C172" i="12"/>
  <c r="C173" i="12"/>
  <c r="C180" i="12"/>
  <c r="C181" i="12"/>
  <c r="C188" i="12"/>
  <c r="C189" i="12"/>
  <c r="C196" i="12"/>
  <c r="C197" i="12"/>
  <c r="C204" i="12"/>
  <c r="C205" i="12"/>
  <c r="C212" i="12"/>
  <c r="C213" i="12"/>
  <c r="C221" i="12"/>
  <c r="C231" i="12"/>
  <c r="C246" i="12"/>
  <c r="C247" i="12"/>
  <c r="C262" i="12"/>
  <c r="C263" i="12"/>
  <c r="C278" i="12"/>
  <c r="C279" i="12"/>
  <c r="C294" i="12"/>
  <c r="C295" i="12"/>
  <c r="C310" i="12"/>
  <c r="C311" i="12"/>
  <c r="C326" i="12"/>
  <c r="C373" i="12"/>
  <c r="C389" i="12"/>
  <c r="C232" i="12"/>
  <c r="C240" i="12"/>
  <c r="C417" i="12"/>
  <c r="C416" i="12"/>
  <c r="C433" i="12"/>
  <c r="C432" i="12"/>
  <c r="C452" i="12"/>
  <c r="C356" i="12"/>
  <c r="C357" i="12"/>
  <c r="C492" i="12"/>
  <c r="C493" i="12"/>
  <c r="C331" i="12"/>
  <c r="C468" i="12"/>
  <c r="C235" i="12"/>
  <c r="C243" i="12"/>
  <c r="C251" i="12"/>
  <c r="C259" i="12"/>
  <c r="C267" i="12"/>
  <c r="C275" i="12"/>
  <c r="C283" i="12"/>
  <c r="C291" i="12"/>
  <c r="C299" i="12"/>
  <c r="C307" i="12"/>
  <c r="C315" i="12"/>
  <c r="C330" i="12"/>
  <c r="C339" i="12"/>
  <c r="C351" i="12"/>
  <c r="C352" i="12"/>
  <c r="C363" i="12"/>
  <c r="C444" i="12"/>
  <c r="C224" i="12"/>
  <c r="C340" i="12"/>
  <c r="C341" i="12"/>
  <c r="C362" i="12"/>
  <c r="C488" i="12"/>
  <c r="C445" i="12"/>
  <c r="C453" i="12"/>
  <c r="C461" i="12"/>
  <c r="C469" i="12"/>
  <c r="C489" i="12"/>
  <c r="C319" i="12"/>
  <c r="C337" i="12"/>
  <c r="C342" i="12"/>
  <c r="C347" i="12"/>
  <c r="C353" i="12"/>
  <c r="C358" i="12"/>
  <c r="C369" i="12"/>
  <c r="C385" i="12"/>
  <c r="C401" i="12"/>
  <c r="C476" i="12"/>
  <c r="C477" i="12"/>
  <c r="C412" i="12"/>
  <c r="C428" i="12"/>
  <c r="C496" i="12"/>
  <c r="C497" i="12"/>
  <c r="C333" i="12"/>
  <c r="C338" i="12"/>
  <c r="C349" i="12"/>
  <c r="C365" i="12"/>
  <c r="C381" i="12"/>
  <c r="C397" i="12"/>
  <c r="C485" i="12"/>
  <c r="N99" i="8"/>
  <c r="C100" i="8"/>
  <c r="C99" i="8"/>
  <c r="N100" i="8"/>
  <c r="N101" i="8" s="1"/>
  <c r="N102" i="8" s="1"/>
  <c r="N103" i="8" s="1"/>
  <c r="N7" i="8"/>
  <c r="N8" i="8" s="1"/>
  <c r="N9" i="8" s="1"/>
  <c r="N10" i="8" s="1"/>
  <c r="N11" i="8"/>
  <c r="N12" i="8" s="1"/>
  <c r="N13" i="8" s="1"/>
  <c r="N14" i="8" s="1"/>
  <c r="N15" i="8" s="1"/>
  <c r="N16" i="8" s="1"/>
  <c r="N17" i="8" s="1"/>
  <c r="N18" i="8" s="1"/>
  <c r="N19" i="8" s="1"/>
  <c r="N20" i="8" s="1"/>
  <c r="N21" i="8" s="1"/>
  <c r="N22" i="8" s="1"/>
  <c r="N23" i="8" s="1"/>
  <c r="N24" i="8" s="1"/>
  <c r="N25" i="8" s="1"/>
  <c r="N26" i="8" s="1"/>
  <c r="N27" i="8" s="1"/>
  <c r="N28" i="8" s="1"/>
  <c r="N29" i="8" s="1"/>
  <c r="N30" i="8" s="1"/>
  <c r="N31" i="8" s="1"/>
  <c r="N32" i="8" s="1"/>
  <c r="N33" i="8" s="1"/>
  <c r="N34" i="8" s="1"/>
  <c r="N35" i="8" s="1"/>
  <c r="N36" i="8" s="1"/>
  <c r="N37" i="8" s="1"/>
  <c r="N38" i="8" s="1"/>
  <c r="N39" i="8" s="1"/>
  <c r="N40" i="8" s="1"/>
  <c r="N41" i="8" s="1"/>
  <c r="N42" i="8" s="1"/>
  <c r="N43" i="8" s="1"/>
  <c r="N44" i="8" s="1"/>
  <c r="N45" i="8" s="1"/>
  <c r="N46" i="8" s="1"/>
  <c r="N47" i="8" s="1"/>
  <c r="N48" i="8" s="1"/>
  <c r="N49" i="8" s="1"/>
  <c r="N50" i="8" s="1"/>
  <c r="N51" i="8" s="1"/>
  <c r="N52" i="8" s="1"/>
  <c r="N53" i="8" s="1"/>
  <c r="N54" i="8" s="1"/>
  <c r="N55" i="8" s="1"/>
  <c r="N56" i="8" s="1"/>
  <c r="N57" i="8" s="1"/>
  <c r="N58" i="8" s="1"/>
  <c r="N59" i="8" s="1"/>
  <c r="N60" i="8" s="1"/>
  <c r="N61" i="8" s="1"/>
  <c r="N62" i="8" s="1"/>
  <c r="N63" i="8" s="1"/>
  <c r="N64" i="8" s="1"/>
  <c r="N65" i="8" s="1"/>
  <c r="N66" i="8" s="1"/>
  <c r="N67" i="8" s="1"/>
  <c r="N68" i="8" s="1"/>
  <c r="N69" i="8" s="1"/>
  <c r="N70" i="8" s="1"/>
  <c r="N71" i="8" s="1"/>
  <c r="N72" i="8" s="1"/>
  <c r="N73" i="8" s="1"/>
  <c r="N74" i="8" s="1"/>
  <c r="N75" i="8" s="1"/>
  <c r="N76" i="8" s="1"/>
  <c r="N77" i="8" s="1"/>
  <c r="N78" i="8" s="1"/>
  <c r="N79" i="8" s="1"/>
  <c r="N80" i="8" s="1"/>
  <c r="N81" i="8" s="1"/>
  <c r="N82" i="8" s="1"/>
  <c r="N83" i="8" s="1"/>
  <c r="N84" i="8" s="1"/>
  <c r="N85" i="8" s="1"/>
  <c r="N86" i="8" s="1"/>
  <c r="N87" i="8" s="1"/>
  <c r="N88" i="8" s="1"/>
  <c r="N89" i="8" s="1"/>
  <c r="N90" i="8" s="1"/>
  <c r="N91" i="8" s="1"/>
  <c r="N92" i="8" s="1"/>
  <c r="N93" i="8" s="1"/>
  <c r="N94" i="8" s="1"/>
  <c r="N95" i="8" s="1"/>
  <c r="N96" i="8" s="1"/>
  <c r="N97" i="8" s="1"/>
  <c r="N98" i="8" s="1"/>
  <c r="C249" i="8"/>
  <c r="C123" i="8"/>
  <c r="C124" i="8"/>
  <c r="C125" i="8"/>
  <c r="C139" i="8"/>
  <c r="C140" i="8"/>
  <c r="C141" i="8"/>
  <c r="C156" i="8"/>
  <c r="C157" i="8"/>
  <c r="C172" i="8"/>
  <c r="C173" i="8"/>
  <c r="C189" i="8"/>
  <c r="C261" i="8"/>
  <c r="C262" i="8"/>
  <c r="C289" i="8"/>
  <c r="C322" i="8"/>
  <c r="C116" i="9"/>
  <c r="C117" i="9"/>
  <c r="C238" i="8"/>
  <c r="C239" i="8"/>
  <c r="C265" i="8"/>
  <c r="C301" i="8"/>
  <c r="C302" i="8"/>
  <c r="C341" i="8"/>
  <c r="C425" i="8"/>
  <c r="C23" i="9"/>
  <c r="C24" i="9"/>
  <c r="C441" i="8"/>
  <c r="C7" i="8"/>
  <c r="C11" i="8"/>
  <c r="C48" i="8"/>
  <c r="C88" i="8"/>
  <c r="C211" i="8"/>
  <c r="C106" i="8"/>
  <c r="C113" i="8"/>
  <c r="C128" i="8"/>
  <c r="C129" i="8"/>
  <c r="C144" i="8"/>
  <c r="C145" i="8"/>
  <c r="C160" i="8"/>
  <c r="C161" i="8"/>
  <c r="C175" i="8"/>
  <c r="C176" i="8"/>
  <c r="C177" i="8"/>
  <c r="C193" i="8"/>
  <c r="C212" i="8"/>
  <c r="C240" i="8"/>
  <c r="C241" i="8"/>
  <c r="C277" i="8"/>
  <c r="C278" i="8"/>
  <c r="C389" i="8"/>
  <c r="C390" i="8"/>
  <c r="C391" i="8"/>
  <c r="C180" i="9"/>
  <c r="C181" i="9"/>
  <c r="C188" i="8"/>
  <c r="C3" i="8"/>
  <c r="C30" i="8"/>
  <c r="C52" i="8"/>
  <c r="C56" i="8"/>
  <c r="C60" i="8"/>
  <c r="C8" i="8"/>
  <c r="C12" i="8"/>
  <c r="C16" i="8"/>
  <c r="C20" i="8"/>
  <c r="C24" i="8"/>
  <c r="C31" i="8"/>
  <c r="C49" i="8"/>
  <c r="C53" i="8"/>
  <c r="C57" i="8"/>
  <c r="C61" i="8"/>
  <c r="C65" i="8"/>
  <c r="C85" i="8"/>
  <c r="C89" i="8"/>
  <c r="C93" i="8"/>
  <c r="C97" i="8"/>
  <c r="C114" i="8"/>
  <c r="C130" i="8"/>
  <c r="C146" i="8"/>
  <c r="C162" i="8"/>
  <c r="C178" i="8"/>
  <c r="C194" i="8"/>
  <c r="C196" i="8"/>
  <c r="C221" i="8"/>
  <c r="C222" i="8"/>
  <c r="C253" i="8"/>
  <c r="C254" i="8"/>
  <c r="C281" i="8"/>
  <c r="C353" i="8"/>
  <c r="C354" i="8"/>
  <c r="C463" i="8"/>
  <c r="C464" i="8"/>
  <c r="C465" i="8"/>
  <c r="C6" i="9"/>
  <c r="C7" i="9"/>
  <c r="C8" i="9"/>
  <c r="C191" i="9"/>
  <c r="C23" i="8"/>
  <c r="C64" i="8"/>
  <c r="C84" i="8"/>
  <c r="C102" i="8"/>
  <c r="C115" i="8"/>
  <c r="C116" i="8"/>
  <c r="C117" i="8"/>
  <c r="C131" i="8"/>
  <c r="C132" i="8"/>
  <c r="C133" i="8"/>
  <c r="C147" i="8"/>
  <c r="C148" i="8"/>
  <c r="C149" i="8"/>
  <c r="C163" i="8"/>
  <c r="C164" i="8"/>
  <c r="C165" i="8"/>
  <c r="C179" i="8"/>
  <c r="C180" i="8"/>
  <c r="C181" i="8"/>
  <c r="C195" i="8"/>
  <c r="C257" i="8"/>
  <c r="C402" i="8"/>
  <c r="C401" i="8"/>
  <c r="C299" i="9"/>
  <c r="N104" i="8"/>
  <c r="N105" i="8" s="1"/>
  <c r="N106" i="8" s="1"/>
  <c r="N107" i="8" s="1"/>
  <c r="N108" i="8" s="1"/>
  <c r="N109" i="8" s="1"/>
  <c r="N110" i="8" s="1"/>
  <c r="N111" i="8" s="1"/>
  <c r="N112" i="8" s="1"/>
  <c r="N113" i="8" s="1"/>
  <c r="N114" i="8" s="1"/>
  <c r="N115" i="8" s="1"/>
  <c r="N116" i="8" s="1"/>
  <c r="N117" i="8" s="1"/>
  <c r="N118" i="8" s="1"/>
  <c r="N119" i="8" s="1"/>
  <c r="N120" i="8" s="1"/>
  <c r="N121" i="8" s="1"/>
  <c r="N122" i="8" s="1"/>
  <c r="N123" i="8" s="1"/>
  <c r="N124" i="8" s="1"/>
  <c r="N125" i="8" s="1"/>
  <c r="N126" i="8" s="1"/>
  <c r="N127" i="8" s="1"/>
  <c r="N128" i="8" s="1"/>
  <c r="N129" i="8" s="1"/>
  <c r="N130" i="8" s="1"/>
  <c r="N131" i="8" s="1"/>
  <c r="N132" i="8" s="1"/>
  <c r="N133" i="8" s="1"/>
  <c r="N134" i="8" s="1"/>
  <c r="N135" i="8" s="1"/>
  <c r="N136" i="8" s="1"/>
  <c r="N137" i="8" s="1"/>
  <c r="N138" i="8" s="1"/>
  <c r="N139" i="8" s="1"/>
  <c r="N140" i="8" s="1"/>
  <c r="N141" i="8" s="1"/>
  <c r="N142" i="8" s="1"/>
  <c r="N143" i="8" s="1"/>
  <c r="N144" i="8" s="1"/>
  <c r="N145" i="8" s="1"/>
  <c r="N146" i="8" s="1"/>
  <c r="N147" i="8" s="1"/>
  <c r="N148" i="8" s="1"/>
  <c r="N149" i="8" s="1"/>
  <c r="N150" i="8" s="1"/>
  <c r="N151" i="8" s="1"/>
  <c r="N152" i="8" s="1"/>
  <c r="N153" i="8" s="1"/>
  <c r="N154" i="8" s="1"/>
  <c r="N155" i="8" s="1"/>
  <c r="N156" i="8" s="1"/>
  <c r="N157" i="8" s="1"/>
  <c r="N158" i="8" s="1"/>
  <c r="N159" i="8" s="1"/>
  <c r="N160" i="8" s="1"/>
  <c r="N161" i="8" s="1"/>
  <c r="N162" i="8" s="1"/>
  <c r="N163" i="8" s="1"/>
  <c r="N164" i="8" s="1"/>
  <c r="N165" i="8" s="1"/>
  <c r="N166" i="8" s="1"/>
  <c r="N167" i="8" s="1"/>
  <c r="N168" i="8" s="1"/>
  <c r="N169" i="8" s="1"/>
  <c r="N170" i="8" s="1"/>
  <c r="N171" i="8" s="1"/>
  <c r="N172" i="8" s="1"/>
  <c r="N173" i="8" s="1"/>
  <c r="N174" i="8" s="1"/>
  <c r="N175" i="8" s="1"/>
  <c r="N176" i="8" s="1"/>
  <c r="N177" i="8" s="1"/>
  <c r="N178" i="8" s="1"/>
  <c r="N179" i="8" s="1"/>
  <c r="N180" i="8" s="1"/>
  <c r="N181" i="8" s="1"/>
  <c r="N182" i="8" s="1"/>
  <c r="N183" i="8" s="1"/>
  <c r="N184" i="8" s="1"/>
  <c r="N185" i="8" s="1"/>
  <c r="N186" i="8" s="1"/>
  <c r="N187" i="8" s="1"/>
  <c r="N188" i="8" s="1"/>
  <c r="N189" i="8" s="1"/>
  <c r="N190" i="8" s="1"/>
  <c r="N191" i="8" s="1"/>
  <c r="N192" i="8" s="1"/>
  <c r="N193" i="8" s="1"/>
  <c r="N194" i="8" s="1"/>
  <c r="N195" i="8" s="1"/>
  <c r="N196" i="8" s="1"/>
  <c r="N197" i="8" s="1"/>
  <c r="N198" i="8" s="1"/>
  <c r="N199" i="8" s="1"/>
  <c r="N200" i="8" s="1"/>
  <c r="N201" i="8" s="1"/>
  <c r="N202" i="8" s="1"/>
  <c r="N203" i="8" s="1"/>
  <c r="N204" i="8" s="1"/>
  <c r="N205" i="8" s="1"/>
  <c r="N206" i="8" s="1"/>
  <c r="N207" i="8" s="1"/>
  <c r="N208" i="8" s="1"/>
  <c r="N209" i="8" s="1"/>
  <c r="N210" i="8" s="1"/>
  <c r="N211" i="8" s="1"/>
  <c r="N212" i="8" s="1"/>
  <c r="N213" i="8" s="1"/>
  <c r="N214" i="8" s="1"/>
  <c r="N215" i="8" s="1"/>
  <c r="N216" i="8" s="1"/>
  <c r="N217" i="8" s="1"/>
  <c r="N218" i="8" s="1"/>
  <c r="N219" i="8" s="1"/>
  <c r="N220" i="8" s="1"/>
  <c r="N221" i="8" s="1"/>
  <c r="N222" i="8" s="1"/>
  <c r="N223" i="8" s="1"/>
  <c r="N224" i="8" s="1"/>
  <c r="N225" i="8" s="1"/>
  <c r="N226" i="8" s="1"/>
  <c r="N227" i="8" s="1"/>
  <c r="N228" i="8" s="1"/>
  <c r="N229" i="8" s="1"/>
  <c r="N230" i="8" s="1"/>
  <c r="N231" i="8" s="1"/>
  <c r="N232" i="8" s="1"/>
  <c r="N233" i="8" s="1"/>
  <c r="N234" i="8" s="1"/>
  <c r="N235" i="8" s="1"/>
  <c r="N236" i="8" s="1"/>
  <c r="N237" i="8" s="1"/>
  <c r="N238" i="8" s="1"/>
  <c r="N239" i="8" s="1"/>
  <c r="N240" i="8" s="1"/>
  <c r="N241" i="8" s="1"/>
  <c r="N242" i="8" s="1"/>
  <c r="N243" i="8" s="1"/>
  <c r="N244" i="8" s="1"/>
  <c r="N245" i="8" s="1"/>
  <c r="N246" i="8" s="1"/>
  <c r="N247" i="8" s="1"/>
  <c r="N248" i="8" s="1"/>
  <c r="N249" i="8" s="1"/>
  <c r="N250" i="8" s="1"/>
  <c r="N251" i="8" s="1"/>
  <c r="N252" i="8" s="1"/>
  <c r="N253" i="8" s="1"/>
  <c r="N254" i="8" s="1"/>
  <c r="N255" i="8" s="1"/>
  <c r="N256" i="8" s="1"/>
  <c r="N257" i="8" s="1"/>
  <c r="N258" i="8" s="1"/>
  <c r="N259" i="8" s="1"/>
  <c r="N260" i="8" s="1"/>
  <c r="N261" i="8" s="1"/>
  <c r="N262" i="8" s="1"/>
  <c r="N263" i="8" s="1"/>
  <c r="N264" i="8" s="1"/>
  <c r="N265" i="8" s="1"/>
  <c r="N266" i="8" s="1"/>
  <c r="N267" i="8" s="1"/>
  <c r="N268" i="8" s="1"/>
  <c r="N269" i="8" s="1"/>
  <c r="N270" i="8" s="1"/>
  <c r="N271" i="8" s="1"/>
  <c r="N272" i="8" s="1"/>
  <c r="N273" i="8" s="1"/>
  <c r="N274" i="8" s="1"/>
  <c r="N275" i="8" s="1"/>
  <c r="N276" i="8" s="1"/>
  <c r="N277" i="8" s="1"/>
  <c r="N278" i="8" s="1"/>
  <c r="N279" i="8" s="1"/>
  <c r="N280" i="8" s="1"/>
  <c r="N281" i="8" s="1"/>
  <c r="N282" i="8" s="1"/>
  <c r="N283" i="8" s="1"/>
  <c r="N284" i="8" s="1"/>
  <c r="N285" i="8" s="1"/>
  <c r="N286" i="8" s="1"/>
  <c r="N287" i="8" s="1"/>
  <c r="N288" i="8" s="1"/>
  <c r="N289" i="8" s="1"/>
  <c r="N290" i="8" s="1"/>
  <c r="N291" i="8" s="1"/>
  <c r="N292" i="8" s="1"/>
  <c r="N293" i="8" s="1"/>
  <c r="N294" i="8" s="1"/>
  <c r="N295" i="8" s="1"/>
  <c r="N296" i="8" s="1"/>
  <c r="N297" i="8" s="1"/>
  <c r="N298" i="8" s="1"/>
  <c r="N299" i="8" s="1"/>
  <c r="N300" i="8" s="1"/>
  <c r="N301" i="8" s="1"/>
  <c r="N302" i="8" s="1"/>
  <c r="N303" i="8" s="1"/>
  <c r="N304" i="8" s="1"/>
  <c r="N305" i="8" s="1"/>
  <c r="N306" i="8" s="1"/>
  <c r="N307" i="8" s="1"/>
  <c r="N308" i="8" s="1"/>
  <c r="N309" i="8" s="1"/>
  <c r="N310" i="8" s="1"/>
  <c r="N311" i="8" s="1"/>
  <c r="N312" i="8" s="1"/>
  <c r="N313" i="8" s="1"/>
  <c r="N314" i="8" s="1"/>
  <c r="N315" i="8" s="1"/>
  <c r="N316" i="8" s="1"/>
  <c r="N317" i="8" s="1"/>
  <c r="N318" i="8" s="1"/>
  <c r="N319" i="8" s="1"/>
  <c r="N320" i="8" s="1"/>
  <c r="N321" i="8" s="1"/>
  <c r="N322" i="8" s="1"/>
  <c r="N323" i="8" s="1"/>
  <c r="N324" i="8" s="1"/>
  <c r="N325" i="8" s="1"/>
  <c r="N326" i="8" s="1"/>
  <c r="N327" i="8" s="1"/>
  <c r="N328" i="8" s="1"/>
  <c r="N329" i="8" s="1"/>
  <c r="N330" i="8" s="1"/>
  <c r="N331" i="8" s="1"/>
  <c r="N332" i="8" s="1"/>
  <c r="N333" i="8" s="1"/>
  <c r="N334" i="8" s="1"/>
  <c r="N335" i="8" s="1"/>
  <c r="N336" i="8" s="1"/>
  <c r="N337" i="8" s="1"/>
  <c r="N338" i="8" s="1"/>
  <c r="N339" i="8" s="1"/>
  <c r="N340" i="8" s="1"/>
  <c r="N341" i="8" s="1"/>
  <c r="N342" i="8" s="1"/>
  <c r="N343" i="8" s="1"/>
  <c r="N344" i="8" s="1"/>
  <c r="N345" i="8" s="1"/>
  <c r="N346" i="8" s="1"/>
  <c r="N347" i="8" s="1"/>
  <c r="N348" i="8" s="1"/>
  <c r="N349" i="8" s="1"/>
  <c r="N350" i="8" s="1"/>
  <c r="N351" i="8" s="1"/>
  <c r="N352" i="8" s="1"/>
  <c r="N353" i="8" s="1"/>
  <c r="N354" i="8" s="1"/>
  <c r="N355" i="8" s="1"/>
  <c r="N356" i="8" s="1"/>
  <c r="N357" i="8" s="1"/>
  <c r="N358" i="8" s="1"/>
  <c r="N359" i="8" s="1"/>
  <c r="N360" i="8" s="1"/>
  <c r="N361" i="8" s="1"/>
  <c r="N362" i="8" s="1"/>
  <c r="N363" i="8" s="1"/>
  <c r="N364" i="8" s="1"/>
  <c r="N365" i="8" s="1"/>
  <c r="N366" i="8" s="1"/>
  <c r="N367" i="8" s="1"/>
  <c r="N368" i="8" s="1"/>
  <c r="N369" i="8" s="1"/>
  <c r="N370" i="8" s="1"/>
  <c r="N371" i="8" s="1"/>
  <c r="N372" i="8" s="1"/>
  <c r="N373" i="8" s="1"/>
  <c r="N374" i="8" s="1"/>
  <c r="N375" i="8" s="1"/>
  <c r="N376" i="8" s="1"/>
  <c r="N377" i="8" s="1"/>
  <c r="N378" i="8" s="1"/>
  <c r="N379" i="8" s="1"/>
  <c r="N380" i="8" s="1"/>
  <c r="N381" i="8" s="1"/>
  <c r="N382" i="8" s="1"/>
  <c r="N383" i="8" s="1"/>
  <c r="N384" i="8" s="1"/>
  <c r="N385" i="8" s="1"/>
  <c r="N386" i="8" s="1"/>
  <c r="N387" i="8" s="1"/>
  <c r="N388" i="8" s="1"/>
  <c r="N389" i="8" s="1"/>
  <c r="N390" i="8" s="1"/>
  <c r="N391" i="8" s="1"/>
  <c r="N392" i="8" s="1"/>
  <c r="N393" i="8" s="1"/>
  <c r="N394" i="8" s="1"/>
  <c r="N395" i="8" s="1"/>
  <c r="N396" i="8" s="1"/>
  <c r="N397" i="8" s="1"/>
  <c r="N398" i="8" s="1"/>
  <c r="N399" i="8" s="1"/>
  <c r="N400" i="8" s="1"/>
  <c r="N401" i="8" s="1"/>
  <c r="N402" i="8" s="1"/>
  <c r="N403" i="8" s="1"/>
  <c r="N404" i="8" s="1"/>
  <c r="N405" i="8" s="1"/>
  <c r="N406" i="8" s="1"/>
  <c r="N407" i="8" s="1"/>
  <c r="N408" i="8" s="1"/>
  <c r="N409" i="8" s="1"/>
  <c r="N410" i="8" s="1"/>
  <c r="N411" i="8" s="1"/>
  <c r="N412" i="8" s="1"/>
  <c r="N413" i="8" s="1"/>
  <c r="N414" i="8" s="1"/>
  <c r="N415" i="8" s="1"/>
  <c r="N416" i="8" s="1"/>
  <c r="N417" i="8" s="1"/>
  <c r="N418" i="8" s="1"/>
  <c r="N419" i="8" s="1"/>
  <c r="N420" i="8" s="1"/>
  <c r="N421" i="8" s="1"/>
  <c r="N422" i="8" s="1"/>
  <c r="N423" i="8" s="1"/>
  <c r="N424" i="8" s="1"/>
  <c r="N425" i="8" s="1"/>
  <c r="N426" i="8" s="1"/>
  <c r="N427" i="8" s="1"/>
  <c r="N428" i="8" s="1"/>
  <c r="N429" i="8" s="1"/>
  <c r="N430" i="8" s="1"/>
  <c r="N431" i="8" s="1"/>
  <c r="N432" i="8" s="1"/>
  <c r="N433" i="8" s="1"/>
  <c r="N434" i="8" s="1"/>
  <c r="N435" i="8" s="1"/>
  <c r="N436" i="8" s="1"/>
  <c r="N437" i="8" s="1"/>
  <c r="N438" i="8" s="1"/>
  <c r="N439" i="8" s="1"/>
  <c r="N440" i="8" s="1"/>
  <c r="N441" i="8" s="1"/>
  <c r="N442" i="8" s="1"/>
  <c r="N443" i="8" s="1"/>
  <c r="N444" i="8" s="1"/>
  <c r="N445" i="8" s="1"/>
  <c r="N446" i="8" s="1"/>
  <c r="N447" i="8" s="1"/>
  <c r="N448" i="8" s="1"/>
  <c r="N449" i="8" s="1"/>
  <c r="N450" i="8" s="1"/>
  <c r="N451" i="8" s="1"/>
  <c r="N452" i="8" s="1"/>
  <c r="N453" i="8" s="1"/>
  <c r="N454" i="8" s="1"/>
  <c r="N455" i="8" s="1"/>
  <c r="N456" i="8" s="1"/>
  <c r="N457" i="8" s="1"/>
  <c r="N458" i="8" s="1"/>
  <c r="N459" i="8" s="1"/>
  <c r="N460" i="8" s="1"/>
  <c r="N461" i="8" s="1"/>
  <c r="N462" i="8" s="1"/>
  <c r="N463" i="8" s="1"/>
  <c r="N464" i="8" s="1"/>
  <c r="N465" i="8" s="1"/>
  <c r="N466" i="8" s="1"/>
  <c r="N467" i="8" s="1"/>
  <c r="N468" i="8" s="1"/>
  <c r="N469" i="8" s="1"/>
  <c r="N470" i="8" s="1"/>
  <c r="N471" i="8" s="1"/>
  <c r="N472" i="8" s="1"/>
  <c r="N473" i="8" s="1"/>
  <c r="N474" i="8" s="1"/>
  <c r="N475" i="8" s="1"/>
  <c r="N476" i="8" s="1"/>
  <c r="N477" i="8" s="1"/>
  <c r="N478" i="8" s="1"/>
  <c r="N479" i="8" s="1"/>
  <c r="N480" i="8" s="1"/>
  <c r="N481" i="8" s="1"/>
  <c r="N482" i="8" s="1"/>
  <c r="N483" i="8" s="1"/>
  <c r="N484" i="8" s="1"/>
  <c r="N485" i="8" s="1"/>
  <c r="N486" i="8" s="1"/>
  <c r="N487" i="8" s="1"/>
  <c r="N488" i="8" s="1"/>
  <c r="N489" i="8" s="1"/>
  <c r="N490" i="8" s="1"/>
  <c r="N491" i="8" s="1"/>
  <c r="N492" i="8" s="1"/>
  <c r="N493" i="8" s="1"/>
  <c r="N494" i="8" s="1"/>
  <c r="N495" i="8" s="1"/>
  <c r="N496" i="8" s="1"/>
  <c r="N497" i="8" s="1"/>
  <c r="N498" i="8" s="1"/>
  <c r="N499" i="8" s="1"/>
  <c r="C217" i="8"/>
  <c r="C479" i="8"/>
  <c r="C19" i="8"/>
  <c r="C111" i="8"/>
  <c r="C192" i="8"/>
  <c r="C201" i="8"/>
  <c r="C202" i="8"/>
  <c r="C206" i="8"/>
  <c r="C233" i="8"/>
  <c r="C234" i="8"/>
  <c r="C297" i="8"/>
  <c r="C374" i="8"/>
  <c r="C375" i="8"/>
  <c r="C379" i="8"/>
  <c r="C378" i="8"/>
  <c r="C298" i="9"/>
  <c r="C300" i="9"/>
  <c r="C105" i="8"/>
  <c r="C108" i="8"/>
  <c r="C109" i="8"/>
  <c r="C119" i="8"/>
  <c r="C120" i="8"/>
  <c r="C121" i="8"/>
  <c r="C135" i="8"/>
  <c r="C136" i="8"/>
  <c r="C137" i="8"/>
  <c r="C151" i="8"/>
  <c r="C152" i="8"/>
  <c r="C153" i="8"/>
  <c r="C167" i="8"/>
  <c r="C168" i="8"/>
  <c r="C169" i="8"/>
  <c r="C183" i="8"/>
  <c r="C184" i="8"/>
  <c r="C185" i="8"/>
  <c r="C207" i="8"/>
  <c r="C245" i="8"/>
  <c r="C246" i="8"/>
  <c r="C273" i="8"/>
  <c r="C309" i="8"/>
  <c r="C310" i="8"/>
  <c r="C342" i="8"/>
  <c r="C417" i="8"/>
  <c r="C480" i="8"/>
  <c r="C481" i="8"/>
  <c r="C482" i="8"/>
  <c r="C495" i="8"/>
  <c r="C496" i="8"/>
  <c r="C75" i="9"/>
  <c r="C79" i="9"/>
  <c r="C212" i="9"/>
  <c r="C213" i="9"/>
  <c r="C276" i="9"/>
  <c r="C406" i="8"/>
  <c r="C407" i="8"/>
  <c r="C457" i="8"/>
  <c r="C48" i="9"/>
  <c r="C49" i="9"/>
  <c r="C96" i="9"/>
  <c r="C97" i="9"/>
  <c r="C148" i="9"/>
  <c r="C149" i="9"/>
  <c r="C258" i="9"/>
  <c r="C370" i="9"/>
  <c r="C371" i="9"/>
  <c r="C242" i="8"/>
  <c r="C250" i="8"/>
  <c r="C258" i="8"/>
  <c r="C266" i="8"/>
  <c r="C282" i="8"/>
  <c r="C317" i="8"/>
  <c r="C318" i="8"/>
  <c r="C349" i="8"/>
  <c r="C350" i="8"/>
  <c r="C368" i="8"/>
  <c r="C370" i="8"/>
  <c r="C369" i="8"/>
  <c r="C394" i="8"/>
  <c r="C431" i="8"/>
  <c r="C432" i="8"/>
  <c r="C433" i="8"/>
  <c r="C73" i="9"/>
  <c r="C198" i="8"/>
  <c r="C203" i="8"/>
  <c r="C208" i="8"/>
  <c r="C214" i="8"/>
  <c r="C219" i="8"/>
  <c r="C224" i="8"/>
  <c r="C230" i="8"/>
  <c r="C235" i="8"/>
  <c r="C243" i="8"/>
  <c r="C305" i="8"/>
  <c r="C306" i="8"/>
  <c r="C337" i="8"/>
  <c r="C338" i="8"/>
  <c r="C357" i="8"/>
  <c r="C358" i="8"/>
  <c r="C359" i="8"/>
  <c r="C395" i="8"/>
  <c r="C471" i="8"/>
  <c r="C472" i="8"/>
  <c r="C473" i="8"/>
  <c r="C18" i="9"/>
  <c r="C239" i="9"/>
  <c r="C386" i="8"/>
  <c r="C385" i="8"/>
  <c r="C449" i="8"/>
  <c r="C488" i="8"/>
  <c r="C63" i="9"/>
  <c r="C64" i="9"/>
  <c r="C65" i="9"/>
  <c r="C324" i="9"/>
  <c r="C364" i="8"/>
  <c r="C380" i="8"/>
  <c r="C396" i="8"/>
  <c r="C412" i="8"/>
  <c r="C489" i="8"/>
  <c r="C490" i="8"/>
  <c r="C354" i="9"/>
  <c r="C355" i="9"/>
  <c r="C270" i="8"/>
  <c r="C274" i="8"/>
  <c r="C286" i="8"/>
  <c r="C290" i="8"/>
  <c r="C294" i="8"/>
  <c r="C298" i="8"/>
  <c r="C418" i="8"/>
  <c r="C426" i="8"/>
  <c r="C434" i="8"/>
  <c r="C442" i="8"/>
  <c r="C450" i="8"/>
  <c r="C458" i="8"/>
  <c r="C466" i="8"/>
  <c r="C474" i="8"/>
  <c r="C499" i="8"/>
  <c r="C72" i="9"/>
  <c r="C100" i="9"/>
  <c r="N101" i="9"/>
  <c r="N100" i="9"/>
  <c r="C101" i="9"/>
  <c r="C132" i="9"/>
  <c r="C133" i="9"/>
  <c r="C164" i="9"/>
  <c r="C165" i="9"/>
  <c r="C223" i="9"/>
  <c r="C360" i="8"/>
  <c r="C376" i="8"/>
  <c r="C11" i="9"/>
  <c r="C52" i="9"/>
  <c r="C71" i="9"/>
  <c r="C83" i="9"/>
  <c r="C84" i="9"/>
  <c r="C196" i="9"/>
  <c r="C197" i="9"/>
  <c r="C268" i="9"/>
  <c r="C290" i="9"/>
  <c r="C484" i="8"/>
  <c r="C12" i="9"/>
  <c r="C13" i="9"/>
  <c r="C14" i="9"/>
  <c r="C53" i="9"/>
  <c r="C82" i="9"/>
  <c r="C85" i="9"/>
  <c r="C313" i="9"/>
  <c r="C315" i="9"/>
  <c r="C314" i="9"/>
  <c r="C338" i="9"/>
  <c r="C356" i="8"/>
  <c r="C366" i="8"/>
  <c r="C372" i="8"/>
  <c r="C382" i="8"/>
  <c r="C388" i="8"/>
  <c r="C398" i="8"/>
  <c r="C404" i="8"/>
  <c r="C414" i="8"/>
  <c r="C493" i="8"/>
  <c r="C81" i="9"/>
  <c r="C207" i="9"/>
  <c r="C228" i="9"/>
  <c r="C229" i="9"/>
  <c r="C339" i="9"/>
  <c r="C340" i="9"/>
  <c r="C112" i="9"/>
  <c r="C128" i="9"/>
  <c r="C144" i="9"/>
  <c r="C160" i="9"/>
  <c r="C176" i="9"/>
  <c r="C192" i="9"/>
  <c r="C208" i="9"/>
  <c r="C224" i="9"/>
  <c r="C240" i="9"/>
  <c r="C259" i="9"/>
  <c r="C291" i="9"/>
  <c r="C316" i="9"/>
  <c r="C356" i="9"/>
  <c r="C386" i="9"/>
  <c r="C473" i="9"/>
  <c r="C474" i="9"/>
  <c r="C485" i="8"/>
  <c r="C3" i="9"/>
  <c r="C19" i="9"/>
  <c r="N102" i="9"/>
  <c r="N103" i="9" s="1"/>
  <c r="N104" i="9" s="1"/>
  <c r="N105" i="9" s="1"/>
  <c r="N106" i="9" s="1"/>
  <c r="N107" i="9" s="1"/>
  <c r="N108" i="9" s="1"/>
  <c r="N109" i="9" s="1"/>
  <c r="N110" i="9" s="1"/>
  <c r="N111" i="9" s="1"/>
  <c r="N112" i="9" s="1"/>
  <c r="N113" i="9" s="1"/>
  <c r="N114" i="9" s="1"/>
  <c r="N115" i="9" s="1"/>
  <c r="N116" i="9" s="1"/>
  <c r="N117" i="9" s="1"/>
  <c r="N118" i="9" s="1"/>
  <c r="N119" i="9" s="1"/>
  <c r="N120" i="9" s="1"/>
  <c r="N121" i="9" s="1"/>
  <c r="N122" i="9" s="1"/>
  <c r="N123" i="9" s="1"/>
  <c r="N124" i="9" s="1"/>
  <c r="N125" i="9" s="1"/>
  <c r="N126" i="9" s="1"/>
  <c r="N127" i="9" s="1"/>
  <c r="N128" i="9" s="1"/>
  <c r="N129" i="9" s="1"/>
  <c r="N130" i="9" s="1"/>
  <c r="N131" i="9" s="1"/>
  <c r="N132" i="9" s="1"/>
  <c r="N133" i="9" s="1"/>
  <c r="N134" i="9" s="1"/>
  <c r="N135" i="9" s="1"/>
  <c r="N136" i="9" s="1"/>
  <c r="N137" i="9" s="1"/>
  <c r="N138" i="9" s="1"/>
  <c r="N139" i="9" s="1"/>
  <c r="N140" i="9" s="1"/>
  <c r="N141" i="9" s="1"/>
  <c r="N142" i="9" s="1"/>
  <c r="N143" i="9" s="1"/>
  <c r="N144" i="9" s="1"/>
  <c r="N145" i="9" s="1"/>
  <c r="N146" i="9" s="1"/>
  <c r="N147" i="9" s="1"/>
  <c r="N148" i="9" s="1"/>
  <c r="N149" i="9" s="1"/>
  <c r="N150" i="9" s="1"/>
  <c r="N151" i="9" s="1"/>
  <c r="N152" i="9" s="1"/>
  <c r="N153" i="9" s="1"/>
  <c r="N154" i="9" s="1"/>
  <c r="N155" i="9" s="1"/>
  <c r="N156" i="9" s="1"/>
  <c r="N157" i="9" s="1"/>
  <c r="N158" i="9" s="1"/>
  <c r="N159" i="9" s="1"/>
  <c r="N160" i="9" s="1"/>
  <c r="N161" i="9" s="1"/>
  <c r="N162" i="9" s="1"/>
  <c r="N163" i="9" s="1"/>
  <c r="N164" i="9" s="1"/>
  <c r="N165" i="9" s="1"/>
  <c r="N166" i="9" s="1"/>
  <c r="N167" i="9" s="1"/>
  <c r="N168" i="9" s="1"/>
  <c r="N169" i="9" s="1"/>
  <c r="N170" i="9" s="1"/>
  <c r="N171" i="9" s="1"/>
  <c r="N172" i="9" s="1"/>
  <c r="N173" i="9" s="1"/>
  <c r="N174" i="9" s="1"/>
  <c r="N175" i="9" s="1"/>
  <c r="N176" i="9" s="1"/>
  <c r="N177" i="9" s="1"/>
  <c r="N178" i="9" s="1"/>
  <c r="N179" i="9" s="1"/>
  <c r="N180" i="9" s="1"/>
  <c r="N181" i="9" s="1"/>
  <c r="N182" i="9" s="1"/>
  <c r="N183" i="9" s="1"/>
  <c r="N184" i="9" s="1"/>
  <c r="N185" i="9" s="1"/>
  <c r="N186" i="9" s="1"/>
  <c r="N187" i="9" s="1"/>
  <c r="N188" i="9" s="1"/>
  <c r="N189" i="9" s="1"/>
  <c r="N190" i="9" s="1"/>
  <c r="N191" i="9" s="1"/>
  <c r="N192" i="9" s="1"/>
  <c r="N193" i="9" s="1"/>
  <c r="N194" i="9" s="1"/>
  <c r="N195" i="9" s="1"/>
  <c r="N196" i="9" s="1"/>
  <c r="N197" i="9" s="1"/>
  <c r="N198" i="9" s="1"/>
  <c r="N199" i="9" s="1"/>
  <c r="N200" i="9" s="1"/>
  <c r="N201" i="9" s="1"/>
  <c r="N202" i="9" s="1"/>
  <c r="N203" i="9" s="1"/>
  <c r="N204" i="9" s="1"/>
  <c r="N205" i="9" s="1"/>
  <c r="N206" i="9" s="1"/>
  <c r="N207" i="9" s="1"/>
  <c r="N208" i="9" s="1"/>
  <c r="N209" i="9" s="1"/>
  <c r="N210" i="9" s="1"/>
  <c r="N211" i="9" s="1"/>
  <c r="N212" i="9" s="1"/>
  <c r="N213" i="9" s="1"/>
  <c r="N214" i="9" s="1"/>
  <c r="N215" i="9" s="1"/>
  <c r="N216" i="9" s="1"/>
  <c r="N217" i="9" s="1"/>
  <c r="N218" i="9" s="1"/>
  <c r="N219" i="9" s="1"/>
  <c r="N220" i="9" s="1"/>
  <c r="N221" i="9" s="1"/>
  <c r="N222" i="9" s="1"/>
  <c r="N223" i="9" s="1"/>
  <c r="N224" i="9" s="1"/>
  <c r="N225" i="9" s="1"/>
  <c r="N226" i="9" s="1"/>
  <c r="N227" i="9" s="1"/>
  <c r="N228" i="9" s="1"/>
  <c r="N229" i="9" s="1"/>
  <c r="N230" i="9" s="1"/>
  <c r="N231" i="9" s="1"/>
  <c r="N232" i="9" s="1"/>
  <c r="N233" i="9" s="1"/>
  <c r="N234" i="9" s="1"/>
  <c r="N235" i="9" s="1"/>
  <c r="N236" i="9" s="1"/>
  <c r="N237" i="9" s="1"/>
  <c r="N238" i="9" s="1"/>
  <c r="N239" i="9" s="1"/>
  <c r="N240" i="9" s="1"/>
  <c r="N241" i="9" s="1"/>
  <c r="N242" i="9" s="1"/>
  <c r="N243" i="9" s="1"/>
  <c r="N244" i="9" s="1"/>
  <c r="N245" i="9" s="1"/>
  <c r="N246" i="9" s="1"/>
  <c r="N247" i="9" s="1"/>
  <c r="N248" i="9" s="1"/>
  <c r="N249" i="9" s="1"/>
  <c r="N250" i="9" s="1"/>
  <c r="N251" i="9" s="1"/>
  <c r="N252" i="9" s="1"/>
  <c r="N253" i="9" s="1"/>
  <c r="N254" i="9" s="1"/>
  <c r="N255" i="9" s="1"/>
  <c r="N256" i="9" s="1"/>
  <c r="N257" i="9" s="1"/>
  <c r="N258" i="9" s="1"/>
  <c r="N259" i="9" s="1"/>
  <c r="N260" i="9" s="1"/>
  <c r="N261" i="9" s="1"/>
  <c r="N262" i="9" s="1"/>
  <c r="N263" i="9" s="1"/>
  <c r="N264" i="9" s="1"/>
  <c r="N265" i="9" s="1"/>
  <c r="N266" i="9" s="1"/>
  <c r="N267" i="9" s="1"/>
  <c r="N268" i="9" s="1"/>
  <c r="N269" i="9" s="1"/>
  <c r="N270" i="9" s="1"/>
  <c r="N271" i="9" s="1"/>
  <c r="N272" i="9" s="1"/>
  <c r="N273" i="9" s="1"/>
  <c r="N274" i="9" s="1"/>
  <c r="N275" i="9" s="1"/>
  <c r="N276" i="9" s="1"/>
  <c r="N277" i="9" s="1"/>
  <c r="N278" i="9" s="1"/>
  <c r="N279" i="9" s="1"/>
  <c r="N280" i="9" s="1"/>
  <c r="N281" i="9" s="1"/>
  <c r="N282" i="9" s="1"/>
  <c r="N283" i="9" s="1"/>
  <c r="N284" i="9" s="1"/>
  <c r="N285" i="9" s="1"/>
  <c r="N286" i="9" s="1"/>
  <c r="N287" i="9" s="1"/>
  <c r="N288" i="9" s="1"/>
  <c r="N289" i="9" s="1"/>
  <c r="N290" i="9" s="1"/>
  <c r="N291" i="9" s="1"/>
  <c r="N292" i="9" s="1"/>
  <c r="N293" i="9" s="1"/>
  <c r="N294" i="9" s="1"/>
  <c r="N295" i="9" s="1"/>
  <c r="N296" i="9" s="1"/>
  <c r="N297" i="9" s="1"/>
  <c r="N298" i="9" s="1"/>
  <c r="N299" i="9" s="1"/>
  <c r="N300" i="9" s="1"/>
  <c r="N301" i="9" s="1"/>
  <c r="N302" i="9" s="1"/>
  <c r="N303" i="9" s="1"/>
  <c r="N304" i="9" s="1"/>
  <c r="N305" i="9" s="1"/>
  <c r="N306" i="9" s="1"/>
  <c r="N307" i="9" s="1"/>
  <c r="N308" i="9" s="1"/>
  <c r="N309" i="9" s="1"/>
  <c r="N310" i="9" s="1"/>
  <c r="N311" i="9" s="1"/>
  <c r="N312" i="9" s="1"/>
  <c r="N313" i="9" s="1"/>
  <c r="N314" i="9" s="1"/>
  <c r="N315" i="9" s="1"/>
  <c r="N316" i="9" s="1"/>
  <c r="N317" i="9" s="1"/>
  <c r="N318" i="9" s="1"/>
  <c r="N319" i="9" s="1"/>
  <c r="N320" i="9" s="1"/>
  <c r="N321" i="9" s="1"/>
  <c r="N322" i="9" s="1"/>
  <c r="N323" i="9" s="1"/>
  <c r="N324" i="9" s="1"/>
  <c r="N325" i="9" s="1"/>
  <c r="N326" i="9" s="1"/>
  <c r="N327" i="9" s="1"/>
  <c r="N328" i="9" s="1"/>
  <c r="N329" i="9" s="1"/>
  <c r="N330" i="9" s="1"/>
  <c r="N331" i="9" s="1"/>
  <c r="N332" i="9" s="1"/>
  <c r="N333" i="9" s="1"/>
  <c r="N334" i="9" s="1"/>
  <c r="N335" i="9" s="1"/>
  <c r="N336" i="9" s="1"/>
  <c r="N337" i="9" s="1"/>
  <c r="N338" i="9" s="1"/>
  <c r="N339" i="9" s="1"/>
  <c r="N340" i="9" s="1"/>
  <c r="N341" i="9" s="1"/>
  <c r="N342" i="9" s="1"/>
  <c r="N343" i="9" s="1"/>
  <c r="N344" i="9" s="1"/>
  <c r="N345" i="9" s="1"/>
  <c r="N346" i="9" s="1"/>
  <c r="N347" i="9" s="1"/>
  <c r="N348" i="9" s="1"/>
  <c r="N349" i="9" s="1"/>
  <c r="N350" i="9" s="1"/>
  <c r="N351" i="9" s="1"/>
  <c r="N352" i="9" s="1"/>
  <c r="N353" i="9" s="1"/>
  <c r="N354" i="9" s="1"/>
  <c r="N355" i="9" s="1"/>
  <c r="N356" i="9" s="1"/>
  <c r="N357" i="9" s="1"/>
  <c r="N358" i="9" s="1"/>
  <c r="N359" i="9" s="1"/>
  <c r="N360" i="9" s="1"/>
  <c r="N361" i="9" s="1"/>
  <c r="N362" i="9" s="1"/>
  <c r="N363" i="9" s="1"/>
  <c r="N364" i="9" s="1"/>
  <c r="N365" i="9" s="1"/>
  <c r="N366" i="9" s="1"/>
  <c r="N367" i="9" s="1"/>
  <c r="N368" i="9" s="1"/>
  <c r="N369" i="9" s="1"/>
  <c r="N370" i="9" s="1"/>
  <c r="N371" i="9" s="1"/>
  <c r="N372" i="9" s="1"/>
  <c r="N373" i="9" s="1"/>
  <c r="N374" i="9" s="1"/>
  <c r="N375" i="9" s="1"/>
  <c r="N376" i="9" s="1"/>
  <c r="N377" i="9" s="1"/>
  <c r="N378" i="9" s="1"/>
  <c r="N379" i="9" s="1"/>
  <c r="N380" i="9" s="1"/>
  <c r="N381" i="9" s="1"/>
  <c r="N382" i="9" s="1"/>
  <c r="N383" i="9" s="1"/>
  <c r="N384" i="9" s="1"/>
  <c r="N385" i="9" s="1"/>
  <c r="N386" i="9" s="1"/>
  <c r="N387" i="9" s="1"/>
  <c r="N388" i="9" s="1"/>
  <c r="N389" i="9" s="1"/>
  <c r="N390" i="9" s="1"/>
  <c r="N391" i="9" s="1"/>
  <c r="N392" i="9" s="1"/>
  <c r="N393" i="9" s="1"/>
  <c r="N394" i="9" s="1"/>
  <c r="N395" i="9" s="1"/>
  <c r="N396" i="9" s="1"/>
  <c r="N397" i="9" s="1"/>
  <c r="N398" i="9" s="1"/>
  <c r="N399" i="9" s="1"/>
  <c r="N400" i="9" s="1"/>
  <c r="N401" i="9" s="1"/>
  <c r="N402" i="9" s="1"/>
  <c r="N403" i="9" s="1"/>
  <c r="N404" i="9" s="1"/>
  <c r="N405" i="9" s="1"/>
  <c r="N406" i="9" s="1"/>
  <c r="N407" i="9" s="1"/>
  <c r="N408" i="9" s="1"/>
  <c r="N409" i="9" s="1"/>
  <c r="N410" i="9" s="1"/>
  <c r="N411" i="9" s="1"/>
  <c r="N412" i="9" s="1"/>
  <c r="N413" i="9" s="1"/>
  <c r="N414" i="9" s="1"/>
  <c r="N415" i="9" s="1"/>
  <c r="N416" i="9" s="1"/>
  <c r="N417" i="9" s="1"/>
  <c r="N418" i="9" s="1"/>
  <c r="N419" i="9" s="1"/>
  <c r="N420" i="9" s="1"/>
  <c r="N421" i="9" s="1"/>
  <c r="N422" i="9" s="1"/>
  <c r="N423" i="9" s="1"/>
  <c r="N424" i="9" s="1"/>
  <c r="N425" i="9" s="1"/>
  <c r="N426" i="9" s="1"/>
  <c r="N427" i="9" s="1"/>
  <c r="N428" i="9" s="1"/>
  <c r="N429" i="9" s="1"/>
  <c r="N430" i="9" s="1"/>
  <c r="N431" i="9" s="1"/>
  <c r="N432" i="9" s="1"/>
  <c r="N433" i="9" s="1"/>
  <c r="N434" i="9" s="1"/>
  <c r="N435" i="9" s="1"/>
  <c r="N436" i="9" s="1"/>
  <c r="N437" i="9" s="1"/>
  <c r="N438" i="9" s="1"/>
  <c r="N439" i="9" s="1"/>
  <c r="N440" i="9" s="1"/>
  <c r="N441" i="9" s="1"/>
  <c r="N442" i="9" s="1"/>
  <c r="N443" i="9" s="1"/>
  <c r="N444" i="9" s="1"/>
  <c r="N445" i="9" s="1"/>
  <c r="N446" i="9" s="1"/>
  <c r="N447" i="9" s="1"/>
  <c r="N448" i="9" s="1"/>
  <c r="N449" i="9" s="1"/>
  <c r="N450" i="9" s="1"/>
  <c r="N451" i="9" s="1"/>
  <c r="N452" i="9" s="1"/>
  <c r="N453" i="9" s="1"/>
  <c r="N454" i="9" s="1"/>
  <c r="N455" i="9" s="1"/>
  <c r="N456" i="9" s="1"/>
  <c r="N457" i="9" s="1"/>
  <c r="N458" i="9" s="1"/>
  <c r="N459" i="9" s="1"/>
  <c r="N460" i="9" s="1"/>
  <c r="N461" i="9" s="1"/>
  <c r="N462" i="9" s="1"/>
  <c r="N463" i="9" s="1"/>
  <c r="N464" i="9" s="1"/>
  <c r="N465" i="9" s="1"/>
  <c r="N466" i="9" s="1"/>
  <c r="N467" i="9" s="1"/>
  <c r="N468" i="9" s="1"/>
  <c r="N469" i="9" s="1"/>
  <c r="N470" i="9" s="1"/>
  <c r="N471" i="9" s="1"/>
  <c r="N472" i="9" s="1"/>
  <c r="N473" i="9" s="1"/>
  <c r="N474" i="9" s="1"/>
  <c r="N475" i="9" s="1"/>
  <c r="N476" i="9" s="1"/>
  <c r="N477" i="9" s="1"/>
  <c r="N478" i="9" s="1"/>
  <c r="N479" i="9" s="1"/>
  <c r="N480" i="9" s="1"/>
  <c r="N481" i="9" s="1"/>
  <c r="N482" i="9" s="1"/>
  <c r="N483" i="9" s="1"/>
  <c r="N484" i="9" s="1"/>
  <c r="N485" i="9" s="1"/>
  <c r="N486" i="9" s="1"/>
  <c r="N487" i="9" s="1"/>
  <c r="N488" i="9" s="1"/>
  <c r="N489" i="9" s="1"/>
  <c r="N490" i="9" s="1"/>
  <c r="N491" i="9" s="1"/>
  <c r="N492" i="9" s="1"/>
  <c r="N493" i="9" s="1"/>
  <c r="N494" i="9" s="1"/>
  <c r="N495" i="9" s="1"/>
  <c r="N496" i="9" s="1"/>
  <c r="N497" i="9" s="1"/>
  <c r="N498" i="9" s="1"/>
  <c r="N499" i="9" s="1"/>
  <c r="C249" i="9"/>
  <c r="C260" i="9"/>
  <c r="C281" i="9"/>
  <c r="C292" i="9"/>
  <c r="C329" i="9"/>
  <c r="C331" i="9"/>
  <c r="C387" i="9"/>
  <c r="C402" i="9"/>
  <c r="C28" i="9"/>
  <c r="C30" i="9"/>
  <c r="C60" i="9"/>
  <c r="C70" i="9"/>
  <c r="C78" i="9"/>
  <c r="C92" i="9"/>
  <c r="C108" i="9"/>
  <c r="C113" i="9"/>
  <c r="C124" i="9"/>
  <c r="C129" i="9"/>
  <c r="C140" i="9"/>
  <c r="C145" i="9"/>
  <c r="C156" i="9"/>
  <c r="C161" i="9"/>
  <c r="C172" i="9"/>
  <c r="C177" i="9"/>
  <c r="C188" i="9"/>
  <c r="C193" i="9"/>
  <c r="C204" i="9"/>
  <c r="C209" i="9"/>
  <c r="C220" i="9"/>
  <c r="C225" i="9"/>
  <c r="C236" i="9"/>
  <c r="C241" i="9"/>
  <c r="C250" i="9"/>
  <c r="C251" i="9"/>
  <c r="C282" i="9"/>
  <c r="C283" i="9"/>
  <c r="C305" i="9"/>
  <c r="C307" i="9"/>
  <c r="C330" i="9"/>
  <c r="C403" i="9"/>
  <c r="C418" i="9"/>
  <c r="C27" i="9"/>
  <c r="C69" i="9"/>
  <c r="C77" i="9"/>
  <c r="C252" i="9"/>
  <c r="C284" i="9"/>
  <c r="C308" i="9"/>
  <c r="C345" i="9"/>
  <c r="C347" i="9"/>
  <c r="C434" i="9"/>
  <c r="C457" i="9"/>
  <c r="C485" i="9"/>
  <c r="C486" i="9"/>
  <c r="N5" i="9"/>
  <c r="N6" i="9" s="1"/>
  <c r="N7" i="9" s="1"/>
  <c r="N8" i="9" s="1"/>
  <c r="N9" i="9" s="1"/>
  <c r="N10" i="9" s="1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N22" i="9" s="1"/>
  <c r="N23" i="9" s="1"/>
  <c r="N24" i="9" s="1"/>
  <c r="N25" i="9" s="1"/>
  <c r="N26" i="9" s="1"/>
  <c r="N27" i="9" s="1"/>
  <c r="N28" i="9" s="1"/>
  <c r="N29" i="9" s="1"/>
  <c r="N30" i="9" s="1"/>
  <c r="N31" i="9" s="1"/>
  <c r="N32" i="9" s="1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N43" i="9" s="1"/>
  <c r="N44" i="9" s="1"/>
  <c r="N45" i="9" s="1"/>
  <c r="N46" i="9" s="1"/>
  <c r="N47" i="9" s="1"/>
  <c r="N48" i="9" s="1"/>
  <c r="N49" i="9" s="1"/>
  <c r="N50" i="9" s="1"/>
  <c r="N51" i="9" s="1"/>
  <c r="N52" i="9" s="1"/>
  <c r="N53" i="9" s="1"/>
  <c r="N54" i="9" s="1"/>
  <c r="N55" i="9" s="1"/>
  <c r="N56" i="9" s="1"/>
  <c r="N57" i="9" s="1"/>
  <c r="N58" i="9" s="1"/>
  <c r="N59" i="9" s="1"/>
  <c r="N60" i="9" s="1"/>
  <c r="N61" i="9" s="1"/>
  <c r="N62" i="9" s="1"/>
  <c r="N63" i="9" s="1"/>
  <c r="N64" i="9" s="1"/>
  <c r="N65" i="9" s="1"/>
  <c r="N66" i="9" s="1"/>
  <c r="N67" i="9" s="1"/>
  <c r="N68" i="9" s="1"/>
  <c r="N69" i="9" s="1"/>
  <c r="N70" i="9" s="1"/>
  <c r="N71" i="9" s="1"/>
  <c r="N72" i="9" s="1"/>
  <c r="N73" i="9" s="1"/>
  <c r="N74" i="9" s="1"/>
  <c r="N75" i="9" s="1"/>
  <c r="N76" i="9" s="1"/>
  <c r="N77" i="9" s="1"/>
  <c r="N78" i="9" s="1"/>
  <c r="N79" i="9" s="1"/>
  <c r="N80" i="9" s="1"/>
  <c r="N81" i="9" s="1"/>
  <c r="N82" i="9" s="1"/>
  <c r="N83" i="9" s="1"/>
  <c r="N84" i="9" s="1"/>
  <c r="N85" i="9" s="1"/>
  <c r="N86" i="9" s="1"/>
  <c r="N87" i="9" s="1"/>
  <c r="N88" i="9" s="1"/>
  <c r="N89" i="9" s="1"/>
  <c r="N90" i="9" s="1"/>
  <c r="N91" i="9" s="1"/>
  <c r="N92" i="9" s="1"/>
  <c r="N93" i="9" s="1"/>
  <c r="N94" i="9" s="1"/>
  <c r="N95" i="9" s="1"/>
  <c r="N96" i="9" s="1"/>
  <c r="N97" i="9" s="1"/>
  <c r="N98" i="9" s="1"/>
  <c r="C26" i="9"/>
  <c r="C68" i="9"/>
  <c r="C76" i="9"/>
  <c r="C243" i="9"/>
  <c r="C321" i="9"/>
  <c r="C323" i="9"/>
  <c r="C346" i="9"/>
  <c r="C435" i="9"/>
  <c r="C458" i="9"/>
  <c r="C357" i="9"/>
  <c r="C358" i="9"/>
  <c r="C366" i="9"/>
  <c r="C373" i="9"/>
  <c r="C374" i="9"/>
  <c r="C382" i="9"/>
  <c r="C389" i="9"/>
  <c r="C390" i="9"/>
  <c r="C398" i="9"/>
  <c r="C405" i="9"/>
  <c r="C406" i="9"/>
  <c r="C414" i="9"/>
  <c r="C421" i="9"/>
  <c r="C422" i="9"/>
  <c r="C430" i="9"/>
  <c r="C437" i="9"/>
  <c r="C438" i="9"/>
  <c r="C446" i="9"/>
  <c r="C489" i="9"/>
  <c r="C245" i="9"/>
  <c r="C253" i="9"/>
  <c r="C261" i="9"/>
  <c r="C269" i="9"/>
  <c r="C277" i="9"/>
  <c r="C285" i="9"/>
  <c r="C293" i="9"/>
  <c r="C301" i="9"/>
  <c r="C303" i="9"/>
  <c r="C309" i="9"/>
  <c r="C311" i="9"/>
  <c r="C317" i="9"/>
  <c r="C319" i="9"/>
  <c r="C325" i="9"/>
  <c r="C327" i="9"/>
  <c r="C341" i="9"/>
  <c r="C342" i="9"/>
  <c r="C350" i="9"/>
  <c r="C367" i="9"/>
  <c r="C383" i="9"/>
  <c r="C399" i="9"/>
  <c r="C415" i="9"/>
  <c r="C431" i="9"/>
  <c r="C447" i="9"/>
  <c r="C453" i="9"/>
  <c r="C454" i="9"/>
  <c r="C490" i="9"/>
  <c r="C335" i="9"/>
  <c r="C336" i="9"/>
  <c r="C361" i="9"/>
  <c r="C363" i="9"/>
  <c r="C377" i="9"/>
  <c r="C379" i="9"/>
  <c r="C393" i="9"/>
  <c r="C395" i="9"/>
  <c r="C409" i="9"/>
  <c r="C411" i="9"/>
  <c r="C425" i="9"/>
  <c r="C427" i="9"/>
  <c r="C441" i="9"/>
  <c r="C443" i="9"/>
  <c r="C469" i="9"/>
  <c r="C470" i="9"/>
  <c r="C337" i="9"/>
  <c r="C353" i="9"/>
  <c r="C349" i="9"/>
  <c r="N99" i="7"/>
  <c r="C99" i="7"/>
  <c r="N100" i="7"/>
  <c r="N101" i="7" s="1"/>
  <c r="N102" i="7" s="1"/>
  <c r="N103" i="7" s="1"/>
  <c r="N104" i="7" s="1"/>
  <c r="N105" i="7" s="1"/>
  <c r="N106" i="7" s="1"/>
  <c r="N107" i="7" s="1"/>
  <c r="N108" i="7" s="1"/>
  <c r="N109" i="7" s="1"/>
  <c r="N110" i="7" s="1"/>
  <c r="N111" i="7" s="1"/>
  <c r="N112" i="7" s="1"/>
  <c r="N113" i="7" s="1"/>
  <c r="N114" i="7" s="1"/>
  <c r="N115" i="7" s="1"/>
  <c r="N116" i="7" s="1"/>
  <c r="N117" i="7" s="1"/>
  <c r="N118" i="7" s="1"/>
  <c r="N119" i="7" s="1"/>
  <c r="N120" i="7" s="1"/>
  <c r="N121" i="7" s="1"/>
  <c r="N122" i="7" s="1"/>
  <c r="N123" i="7" s="1"/>
  <c r="N124" i="7" s="1"/>
  <c r="N125" i="7" s="1"/>
  <c r="N126" i="7" s="1"/>
  <c r="N127" i="7" s="1"/>
  <c r="N128" i="7" s="1"/>
  <c r="N129" i="7" s="1"/>
  <c r="N130" i="7" s="1"/>
  <c r="N131" i="7" s="1"/>
  <c r="N132" i="7" s="1"/>
  <c r="N133" i="7" s="1"/>
  <c r="N134" i="7" s="1"/>
  <c r="N135" i="7" s="1"/>
  <c r="N136" i="7" s="1"/>
  <c r="N137" i="7" s="1"/>
  <c r="N138" i="7" s="1"/>
  <c r="N139" i="7" s="1"/>
  <c r="N140" i="7" s="1"/>
  <c r="N141" i="7" s="1"/>
  <c r="N142" i="7" s="1"/>
  <c r="N143" i="7" s="1"/>
  <c r="N144" i="7" s="1"/>
  <c r="N145" i="7" s="1"/>
  <c r="N146" i="7" s="1"/>
  <c r="N147" i="7" s="1"/>
  <c r="N148" i="7" s="1"/>
  <c r="N149" i="7" s="1"/>
  <c r="N150" i="7" s="1"/>
  <c r="N151" i="7" s="1"/>
  <c r="N152" i="7" s="1"/>
  <c r="N153" i="7" s="1"/>
  <c r="N154" i="7" s="1"/>
  <c r="N155" i="7" s="1"/>
  <c r="N156" i="7" s="1"/>
  <c r="N157" i="7" s="1"/>
  <c r="N158" i="7" s="1"/>
  <c r="N159" i="7" s="1"/>
  <c r="N160" i="7" s="1"/>
  <c r="N161" i="7" s="1"/>
  <c r="N162" i="7" s="1"/>
  <c r="N163" i="7" s="1"/>
  <c r="N164" i="7" s="1"/>
  <c r="N165" i="7" s="1"/>
  <c r="N166" i="7" s="1"/>
  <c r="N167" i="7" s="1"/>
  <c r="N168" i="7" s="1"/>
  <c r="N169" i="7" s="1"/>
  <c r="N170" i="7" s="1"/>
  <c r="N171" i="7" s="1"/>
  <c r="N172" i="7" s="1"/>
  <c r="N173" i="7" s="1"/>
  <c r="N174" i="7" s="1"/>
  <c r="N175" i="7" s="1"/>
  <c r="N176" i="7" s="1"/>
  <c r="N177" i="7" s="1"/>
  <c r="N178" i="7" s="1"/>
  <c r="N179" i="7" s="1"/>
  <c r="N180" i="7" s="1"/>
  <c r="N181" i="7" s="1"/>
  <c r="N182" i="7" s="1"/>
  <c r="N183" i="7" s="1"/>
  <c r="N184" i="7" s="1"/>
  <c r="N185" i="7" s="1"/>
  <c r="N186" i="7" s="1"/>
  <c r="N187" i="7" s="1"/>
  <c r="N188" i="7" s="1"/>
  <c r="N189" i="7" s="1"/>
  <c r="N190" i="7" s="1"/>
  <c r="N191" i="7" s="1"/>
  <c r="N192" i="7" s="1"/>
  <c r="N193" i="7" s="1"/>
  <c r="N194" i="7" s="1"/>
  <c r="N195" i="7" s="1"/>
  <c r="N196" i="7" s="1"/>
  <c r="N197" i="7" s="1"/>
  <c r="N198" i="7" s="1"/>
  <c r="N199" i="7" s="1"/>
  <c r="N200" i="7" s="1"/>
  <c r="N201" i="7" s="1"/>
  <c r="N202" i="7" s="1"/>
  <c r="N203" i="7" s="1"/>
  <c r="N204" i="7" s="1"/>
  <c r="N205" i="7" s="1"/>
  <c r="N206" i="7" s="1"/>
  <c r="N207" i="7" s="1"/>
  <c r="N208" i="7" s="1"/>
  <c r="N209" i="7" s="1"/>
  <c r="N210" i="7" s="1"/>
  <c r="N211" i="7" s="1"/>
  <c r="N212" i="7" s="1"/>
  <c r="N213" i="7" s="1"/>
  <c r="N214" i="7" s="1"/>
  <c r="N215" i="7" s="1"/>
  <c r="N216" i="7" s="1"/>
  <c r="N217" i="7" s="1"/>
  <c r="N218" i="7" s="1"/>
  <c r="N219" i="7" s="1"/>
  <c r="N220" i="7" s="1"/>
  <c r="N221" i="7" s="1"/>
  <c r="N222" i="7" s="1"/>
  <c r="N223" i="7" s="1"/>
  <c r="N224" i="7" s="1"/>
  <c r="N225" i="7" s="1"/>
  <c r="N226" i="7" s="1"/>
  <c r="N227" i="7" s="1"/>
  <c r="N228" i="7" s="1"/>
  <c r="N229" i="7" s="1"/>
  <c r="N230" i="7" s="1"/>
  <c r="N231" i="7" s="1"/>
  <c r="N232" i="7" s="1"/>
  <c r="N233" i="7" s="1"/>
  <c r="N234" i="7" s="1"/>
  <c r="N235" i="7" s="1"/>
  <c r="N236" i="7" s="1"/>
  <c r="N237" i="7" s="1"/>
  <c r="N238" i="7" s="1"/>
  <c r="N239" i="7" s="1"/>
  <c r="N240" i="7" s="1"/>
  <c r="N241" i="7" s="1"/>
  <c r="N242" i="7" s="1"/>
  <c r="N243" i="7" s="1"/>
  <c r="N244" i="7" s="1"/>
  <c r="N245" i="7" s="1"/>
  <c r="N246" i="7" s="1"/>
  <c r="N247" i="7" s="1"/>
  <c r="N248" i="7" s="1"/>
  <c r="N249" i="7" s="1"/>
  <c r="N250" i="7" s="1"/>
  <c r="N251" i="7" s="1"/>
  <c r="N252" i="7" s="1"/>
  <c r="N253" i="7" s="1"/>
  <c r="N254" i="7" s="1"/>
  <c r="N255" i="7" s="1"/>
  <c r="N256" i="7" s="1"/>
  <c r="N257" i="7" s="1"/>
  <c r="N258" i="7" s="1"/>
  <c r="N259" i="7" s="1"/>
  <c r="N260" i="7" s="1"/>
  <c r="N261" i="7" s="1"/>
  <c r="N262" i="7" s="1"/>
  <c r="N263" i="7" s="1"/>
  <c r="N264" i="7" s="1"/>
  <c r="N265" i="7" s="1"/>
  <c r="N266" i="7" s="1"/>
  <c r="N267" i="7" s="1"/>
  <c r="N268" i="7" s="1"/>
  <c r="N269" i="7" s="1"/>
  <c r="N270" i="7" s="1"/>
  <c r="N271" i="7" s="1"/>
  <c r="N272" i="7" s="1"/>
  <c r="N273" i="7" s="1"/>
  <c r="N274" i="7" s="1"/>
  <c r="N275" i="7" s="1"/>
  <c r="N276" i="7" s="1"/>
  <c r="N277" i="7" s="1"/>
  <c r="N278" i="7" s="1"/>
  <c r="N279" i="7" s="1"/>
  <c r="N280" i="7" s="1"/>
  <c r="N281" i="7" s="1"/>
  <c r="N282" i="7" s="1"/>
  <c r="N283" i="7" s="1"/>
  <c r="N284" i="7" s="1"/>
  <c r="N285" i="7" s="1"/>
  <c r="N286" i="7" s="1"/>
  <c r="N287" i="7" s="1"/>
  <c r="N288" i="7" s="1"/>
  <c r="N289" i="7" s="1"/>
  <c r="N290" i="7" s="1"/>
  <c r="N291" i="7" s="1"/>
  <c r="N292" i="7" s="1"/>
  <c r="N293" i="7" s="1"/>
  <c r="N294" i="7" s="1"/>
  <c r="N295" i="7" s="1"/>
  <c r="N296" i="7" s="1"/>
  <c r="N297" i="7" s="1"/>
  <c r="N298" i="7" s="1"/>
  <c r="N299" i="7" s="1"/>
  <c r="N300" i="7" s="1"/>
  <c r="N301" i="7" s="1"/>
  <c r="N302" i="7" s="1"/>
  <c r="N303" i="7" s="1"/>
  <c r="N304" i="7" s="1"/>
  <c r="N305" i="7" s="1"/>
  <c r="N306" i="7" s="1"/>
  <c r="N307" i="7" s="1"/>
  <c r="N308" i="7" s="1"/>
  <c r="N309" i="7" s="1"/>
  <c r="N310" i="7" s="1"/>
  <c r="N311" i="7" s="1"/>
  <c r="N312" i="7" s="1"/>
  <c r="N313" i="7" s="1"/>
  <c r="N314" i="7" s="1"/>
  <c r="N315" i="7" s="1"/>
  <c r="N316" i="7" s="1"/>
  <c r="N317" i="7" s="1"/>
  <c r="N318" i="7" s="1"/>
  <c r="N319" i="7" s="1"/>
  <c r="N320" i="7" s="1"/>
  <c r="N321" i="7" s="1"/>
  <c r="N322" i="7" s="1"/>
  <c r="N323" i="7" s="1"/>
  <c r="N324" i="7" s="1"/>
  <c r="N325" i="7" s="1"/>
  <c r="N326" i="7" s="1"/>
  <c r="N327" i="7" s="1"/>
  <c r="N328" i="7" s="1"/>
  <c r="N329" i="7" s="1"/>
  <c r="N330" i="7" s="1"/>
  <c r="N331" i="7" s="1"/>
  <c r="N332" i="7" s="1"/>
  <c r="N333" i="7" s="1"/>
  <c r="N334" i="7" s="1"/>
  <c r="N335" i="7" s="1"/>
  <c r="N336" i="7" s="1"/>
  <c r="N337" i="7" s="1"/>
  <c r="N338" i="7" s="1"/>
  <c r="N339" i="7" s="1"/>
  <c r="N340" i="7" s="1"/>
  <c r="N341" i="7" s="1"/>
  <c r="N342" i="7" s="1"/>
  <c r="N343" i="7" s="1"/>
  <c r="N344" i="7" s="1"/>
  <c r="N345" i="7" s="1"/>
  <c r="N346" i="7" s="1"/>
  <c r="N347" i="7" s="1"/>
  <c r="N348" i="7" s="1"/>
  <c r="N349" i="7" s="1"/>
  <c r="N350" i="7" s="1"/>
  <c r="N351" i="7" s="1"/>
  <c r="N352" i="7" s="1"/>
  <c r="N353" i="7" s="1"/>
  <c r="N354" i="7" s="1"/>
  <c r="N355" i="7" s="1"/>
  <c r="N356" i="7" s="1"/>
  <c r="N357" i="7" s="1"/>
  <c r="N358" i="7" s="1"/>
  <c r="N359" i="7" s="1"/>
  <c r="N360" i="7" s="1"/>
  <c r="N361" i="7" s="1"/>
  <c r="N362" i="7" s="1"/>
  <c r="N363" i="7" s="1"/>
  <c r="N364" i="7" s="1"/>
  <c r="N365" i="7" s="1"/>
  <c r="N366" i="7" s="1"/>
  <c r="N367" i="7" s="1"/>
  <c r="N368" i="7" s="1"/>
  <c r="N369" i="7" s="1"/>
  <c r="N370" i="7" s="1"/>
  <c r="N371" i="7" s="1"/>
  <c r="N372" i="7" s="1"/>
  <c r="N373" i="7" s="1"/>
  <c r="N374" i="7" s="1"/>
  <c r="N375" i="7" s="1"/>
  <c r="N376" i="7" s="1"/>
  <c r="N377" i="7" s="1"/>
  <c r="N378" i="7" s="1"/>
  <c r="N379" i="7" s="1"/>
  <c r="N380" i="7" s="1"/>
  <c r="N381" i="7" s="1"/>
  <c r="N382" i="7" s="1"/>
  <c r="N383" i="7" s="1"/>
  <c r="N384" i="7" s="1"/>
  <c r="N385" i="7" s="1"/>
  <c r="N386" i="7" s="1"/>
  <c r="N387" i="7" s="1"/>
  <c r="N388" i="7" s="1"/>
  <c r="N389" i="7" s="1"/>
  <c r="N390" i="7" s="1"/>
  <c r="N391" i="7" s="1"/>
  <c r="N392" i="7" s="1"/>
  <c r="N393" i="7" s="1"/>
  <c r="N394" i="7" s="1"/>
  <c r="N395" i="7" s="1"/>
  <c r="N396" i="7" s="1"/>
  <c r="N397" i="7" s="1"/>
  <c r="N398" i="7" s="1"/>
  <c r="N399" i="7" s="1"/>
  <c r="N400" i="7" s="1"/>
  <c r="N401" i="7" s="1"/>
  <c r="N402" i="7" s="1"/>
  <c r="N403" i="7" s="1"/>
  <c r="N404" i="7" s="1"/>
  <c r="N405" i="7" s="1"/>
  <c r="N406" i="7" s="1"/>
  <c r="N407" i="7" s="1"/>
  <c r="N408" i="7" s="1"/>
  <c r="N409" i="7" s="1"/>
  <c r="N410" i="7" s="1"/>
  <c r="N411" i="7" s="1"/>
  <c r="N412" i="7" s="1"/>
  <c r="N413" i="7" s="1"/>
  <c r="N414" i="7" s="1"/>
  <c r="N415" i="7" s="1"/>
  <c r="N416" i="7" s="1"/>
  <c r="N417" i="7" s="1"/>
  <c r="N418" i="7" s="1"/>
  <c r="N419" i="7" s="1"/>
  <c r="N420" i="7" s="1"/>
  <c r="N421" i="7" s="1"/>
  <c r="N422" i="7" s="1"/>
  <c r="N423" i="7" s="1"/>
  <c r="N424" i="7" s="1"/>
  <c r="N425" i="7" s="1"/>
  <c r="N426" i="7" s="1"/>
  <c r="N427" i="7" s="1"/>
  <c r="N428" i="7" s="1"/>
  <c r="N429" i="7" s="1"/>
  <c r="N430" i="7" s="1"/>
  <c r="N431" i="7" s="1"/>
  <c r="N432" i="7" s="1"/>
  <c r="N433" i="7" s="1"/>
  <c r="N434" i="7" s="1"/>
  <c r="N435" i="7" s="1"/>
  <c r="N436" i="7" s="1"/>
  <c r="N437" i="7" s="1"/>
  <c r="N438" i="7" s="1"/>
  <c r="N439" i="7" s="1"/>
  <c r="N440" i="7" s="1"/>
  <c r="N441" i="7" s="1"/>
  <c r="N442" i="7" s="1"/>
  <c r="N443" i="7" s="1"/>
  <c r="N444" i="7" s="1"/>
  <c r="N445" i="7" s="1"/>
  <c r="N446" i="7" s="1"/>
  <c r="N447" i="7" s="1"/>
  <c r="N448" i="7" s="1"/>
  <c r="N449" i="7" s="1"/>
  <c r="N450" i="7" s="1"/>
  <c r="N451" i="7" s="1"/>
  <c r="N452" i="7" s="1"/>
  <c r="N453" i="7" s="1"/>
  <c r="N454" i="7" s="1"/>
  <c r="N455" i="7" s="1"/>
  <c r="N456" i="7" s="1"/>
  <c r="N457" i="7" s="1"/>
  <c r="N458" i="7" s="1"/>
  <c r="N459" i="7" s="1"/>
  <c r="N460" i="7" s="1"/>
  <c r="N461" i="7" s="1"/>
  <c r="N462" i="7" s="1"/>
  <c r="N463" i="7" s="1"/>
  <c r="N464" i="7" s="1"/>
  <c r="N465" i="7" s="1"/>
  <c r="N466" i="7" s="1"/>
  <c r="N467" i="7" s="1"/>
  <c r="N468" i="7" s="1"/>
  <c r="N469" i="7" s="1"/>
  <c r="N470" i="7" s="1"/>
  <c r="N471" i="7" s="1"/>
  <c r="N472" i="7" s="1"/>
  <c r="N473" i="7" s="1"/>
  <c r="N474" i="7" s="1"/>
  <c r="N475" i="7" s="1"/>
  <c r="N476" i="7" s="1"/>
  <c r="N477" i="7" s="1"/>
  <c r="N478" i="7" s="1"/>
  <c r="N479" i="7" s="1"/>
  <c r="N480" i="7" s="1"/>
  <c r="N481" i="7" s="1"/>
  <c r="N482" i="7" s="1"/>
  <c r="N483" i="7" s="1"/>
  <c r="N484" i="7" s="1"/>
  <c r="N485" i="7" s="1"/>
  <c r="N486" i="7" s="1"/>
  <c r="N487" i="7" s="1"/>
  <c r="N488" i="7" s="1"/>
  <c r="N489" i="7" s="1"/>
  <c r="N490" i="7" s="1"/>
  <c r="N491" i="7" s="1"/>
  <c r="N492" i="7" s="1"/>
  <c r="N493" i="7" s="1"/>
  <c r="N494" i="7" s="1"/>
  <c r="N495" i="7" s="1"/>
  <c r="N496" i="7" s="1"/>
  <c r="N497" i="7" s="1"/>
  <c r="N498" i="7" s="1"/>
  <c r="N499" i="7" s="1"/>
  <c r="C100" i="7"/>
  <c r="N17" i="7"/>
  <c r="N18" i="7" s="1"/>
  <c r="N19" i="7" s="1"/>
  <c r="N20" i="7" s="1"/>
  <c r="N21" i="7" s="1"/>
  <c r="N22" i="7" s="1"/>
  <c r="N23" i="7" s="1"/>
  <c r="N24" i="7" s="1"/>
  <c r="N25" i="7" s="1"/>
  <c r="N26" i="7" s="1"/>
  <c r="N27" i="7" s="1"/>
  <c r="N28" i="7" s="1"/>
  <c r="N29" i="7" s="1"/>
  <c r="N30" i="7" s="1"/>
  <c r="N31" i="7" s="1"/>
  <c r="N32" i="7" s="1"/>
  <c r="N33" i="7" s="1"/>
  <c r="N34" i="7" s="1"/>
  <c r="N35" i="7" s="1"/>
  <c r="N36" i="7" s="1"/>
  <c r="N37" i="7" s="1"/>
  <c r="N38" i="7" s="1"/>
  <c r="N39" i="7" s="1"/>
  <c r="N40" i="7" s="1"/>
  <c r="N41" i="7" s="1"/>
  <c r="N42" i="7" s="1"/>
  <c r="N43" i="7" s="1"/>
  <c r="N44" i="7" s="1"/>
  <c r="N45" i="7" s="1"/>
  <c r="N46" i="7" s="1"/>
  <c r="N47" i="7" s="1"/>
  <c r="N48" i="7" s="1"/>
  <c r="N49" i="7" s="1"/>
  <c r="N50" i="7" s="1"/>
  <c r="N51" i="7" s="1"/>
  <c r="N52" i="7" s="1"/>
  <c r="N53" i="7" s="1"/>
  <c r="N54" i="7" s="1"/>
  <c r="N55" i="7" s="1"/>
  <c r="N56" i="7" s="1"/>
  <c r="N57" i="7" s="1"/>
  <c r="N58" i="7" s="1"/>
  <c r="N59" i="7" s="1"/>
  <c r="N60" i="7" s="1"/>
  <c r="N61" i="7" s="1"/>
  <c r="N62" i="7" s="1"/>
  <c r="N63" i="7" s="1"/>
  <c r="N64" i="7" s="1"/>
  <c r="N65" i="7" s="1"/>
  <c r="N66" i="7" s="1"/>
  <c r="N67" i="7" s="1"/>
  <c r="N68" i="7" s="1"/>
  <c r="N69" i="7" s="1"/>
  <c r="N70" i="7" s="1"/>
  <c r="N71" i="7" s="1"/>
  <c r="N72" i="7" s="1"/>
  <c r="N73" i="7" s="1"/>
  <c r="N74" i="7" s="1"/>
  <c r="N75" i="7" s="1"/>
  <c r="N76" i="7" s="1"/>
  <c r="N77" i="7" s="1"/>
  <c r="N78" i="7" s="1"/>
  <c r="N79" i="7" s="1"/>
  <c r="N80" i="7" s="1"/>
  <c r="N81" i="7" s="1"/>
  <c r="N82" i="7" s="1"/>
  <c r="N83" i="7" s="1"/>
  <c r="N84" i="7" s="1"/>
  <c r="N85" i="7" s="1"/>
  <c r="N86" i="7" s="1"/>
  <c r="N87" i="7" s="1"/>
  <c r="N88" i="7" s="1"/>
  <c r="N89" i="7" s="1"/>
  <c r="N90" i="7" s="1"/>
  <c r="N91" i="7" s="1"/>
  <c r="N92" i="7" s="1"/>
  <c r="N93" i="7" s="1"/>
  <c r="N94" i="7" s="1"/>
  <c r="N95" i="7" s="1"/>
  <c r="N96" i="7" s="1"/>
  <c r="N97" i="7" s="1"/>
  <c r="N98" i="7" s="1"/>
  <c r="C131" i="7"/>
  <c r="C132" i="7"/>
  <c r="C147" i="7"/>
  <c r="C148" i="7"/>
  <c r="C163" i="7"/>
  <c r="C164" i="7"/>
  <c r="C227" i="7"/>
  <c r="C228" i="7"/>
  <c r="C233" i="7"/>
  <c r="C234" i="7"/>
  <c r="C292" i="7"/>
  <c r="C297" i="7"/>
  <c r="C299" i="7"/>
  <c r="C298" i="7"/>
  <c r="C357" i="7"/>
  <c r="C358" i="7"/>
  <c r="C121" i="7"/>
  <c r="C133" i="7"/>
  <c r="C149" i="7"/>
  <c r="C165" i="7"/>
  <c r="C181" i="7"/>
  <c r="C197" i="7"/>
  <c r="C213" i="7"/>
  <c r="C237" i="7"/>
  <c r="C238" i="7"/>
  <c r="C241" i="7"/>
  <c r="C301" i="7"/>
  <c r="C303" i="7"/>
  <c r="C302" i="7"/>
  <c r="C305" i="7"/>
  <c r="C307" i="7"/>
  <c r="C469" i="7"/>
  <c r="C470" i="7"/>
  <c r="C135" i="7"/>
  <c r="C136" i="7"/>
  <c r="C167" i="7"/>
  <c r="C168" i="7"/>
  <c r="C244" i="7"/>
  <c r="C250" i="7"/>
  <c r="C313" i="7"/>
  <c r="C347" i="7"/>
  <c r="C346" i="7"/>
  <c r="C123" i="7"/>
  <c r="C153" i="7"/>
  <c r="C169" i="7"/>
  <c r="C201" i="7"/>
  <c r="C217" i="7"/>
  <c r="C253" i="7"/>
  <c r="C257" i="7"/>
  <c r="C319" i="7"/>
  <c r="C318" i="7"/>
  <c r="C323" i="7"/>
  <c r="C117" i="7"/>
  <c r="C138" i="7"/>
  <c r="C139" i="7"/>
  <c r="C140" i="7"/>
  <c r="C154" i="7"/>
  <c r="C155" i="7"/>
  <c r="C156" i="7"/>
  <c r="C171" i="7"/>
  <c r="C186" i="7"/>
  <c r="C187" i="7"/>
  <c r="C203" i="7"/>
  <c r="C219" i="7"/>
  <c r="C259" i="7"/>
  <c r="C260" i="7"/>
  <c r="C265" i="7"/>
  <c r="C266" i="7"/>
  <c r="C322" i="7"/>
  <c r="C324" i="7"/>
  <c r="C329" i="7"/>
  <c r="C331" i="7"/>
  <c r="C330" i="7"/>
  <c r="C151" i="7"/>
  <c r="C152" i="7"/>
  <c r="C249" i="7"/>
  <c r="C308" i="7"/>
  <c r="C315" i="7"/>
  <c r="C314" i="7"/>
  <c r="C389" i="7"/>
  <c r="C390" i="7"/>
  <c r="C116" i="7"/>
  <c r="C137" i="7"/>
  <c r="C185" i="7"/>
  <c r="C254" i="7"/>
  <c r="C317" i="7"/>
  <c r="C321" i="7"/>
  <c r="C421" i="7"/>
  <c r="C422" i="7"/>
  <c r="C125" i="7"/>
  <c r="C141" i="7"/>
  <c r="C157" i="7"/>
  <c r="C173" i="7"/>
  <c r="C189" i="7"/>
  <c r="C205" i="7"/>
  <c r="C221" i="7"/>
  <c r="C269" i="7"/>
  <c r="C270" i="7"/>
  <c r="C273" i="7"/>
  <c r="C334" i="7"/>
  <c r="C336" i="7"/>
  <c r="C127" i="7"/>
  <c r="C128" i="7"/>
  <c r="C143" i="7"/>
  <c r="C144" i="7"/>
  <c r="C159" i="7"/>
  <c r="C160" i="7"/>
  <c r="C276" i="7"/>
  <c r="C281" i="7"/>
  <c r="C282" i="7"/>
  <c r="C485" i="7"/>
  <c r="C486" i="7"/>
  <c r="C119" i="7"/>
  <c r="C129" i="7"/>
  <c r="C145" i="7"/>
  <c r="C161" i="7"/>
  <c r="C177" i="7"/>
  <c r="C193" i="7"/>
  <c r="C209" i="7"/>
  <c r="C225" i="7"/>
  <c r="C285" i="7"/>
  <c r="C286" i="7"/>
  <c r="C289" i="7"/>
  <c r="C239" i="7"/>
  <c r="C240" i="7"/>
  <c r="C255" i="7"/>
  <c r="C271" i="7"/>
  <c r="C287" i="7"/>
  <c r="C373" i="7"/>
  <c r="C374" i="7"/>
  <c r="C229" i="7"/>
  <c r="C245" i="7"/>
  <c r="C261" i="7"/>
  <c r="C277" i="7"/>
  <c r="C293" i="7"/>
  <c r="C295" i="7"/>
  <c r="C309" i="7"/>
  <c r="C311" i="7"/>
  <c r="C325" i="7"/>
  <c r="C327" i="7"/>
  <c r="C350" i="7"/>
  <c r="C453" i="7"/>
  <c r="C454" i="7"/>
  <c r="C230" i="7"/>
  <c r="C231" i="7"/>
  <c r="C232" i="7"/>
  <c r="C246" i="7"/>
  <c r="C247" i="7"/>
  <c r="C262" i="7"/>
  <c r="C263" i="7"/>
  <c r="C278" i="7"/>
  <c r="C279" i="7"/>
  <c r="C294" i="7"/>
  <c r="C310" i="7"/>
  <c r="C326" i="7"/>
  <c r="C339" i="7"/>
  <c r="C351" i="7"/>
  <c r="C437" i="7"/>
  <c r="C438" i="7"/>
  <c r="C235" i="7"/>
  <c r="C236" i="7"/>
  <c r="C251" i="7"/>
  <c r="C267" i="7"/>
  <c r="C283" i="7"/>
  <c r="C341" i="7"/>
  <c r="C342" i="7"/>
  <c r="C343" i="7"/>
  <c r="C354" i="7"/>
  <c r="C355" i="7"/>
  <c r="C405" i="7"/>
  <c r="C406" i="7"/>
  <c r="C333" i="7"/>
  <c r="C370" i="7"/>
  <c r="C386" i="7"/>
  <c r="C402" i="7"/>
  <c r="C418" i="7"/>
  <c r="C434" i="7"/>
  <c r="C450" i="7"/>
  <c r="C466" i="7"/>
  <c r="C136" i="2"/>
  <c r="C166" i="2"/>
  <c r="C476" i="2"/>
  <c r="C201" i="2"/>
  <c r="C209" i="2"/>
  <c r="C472" i="2"/>
  <c r="C202" i="2"/>
  <c r="C210" i="2"/>
  <c r="C213" i="2"/>
  <c r="C398" i="2"/>
  <c r="C414" i="2"/>
  <c r="C89" i="2"/>
  <c r="C108" i="2"/>
  <c r="C116" i="2"/>
  <c r="C120" i="2"/>
  <c r="C126" i="2"/>
  <c r="C137" i="2"/>
  <c r="C153" i="2"/>
  <c r="C477" i="2"/>
  <c r="C148" i="2"/>
  <c r="C114" i="2"/>
  <c r="C154" i="2"/>
  <c r="C462" i="2"/>
  <c r="C121" i="2"/>
  <c r="C214" i="2"/>
  <c r="C174" i="2"/>
  <c r="C177" i="2"/>
  <c r="C181" i="2"/>
  <c r="C197" i="2"/>
  <c r="C480" i="2"/>
  <c r="C161" i="2"/>
  <c r="C117" i="2"/>
  <c r="C198" i="2"/>
  <c r="C124" i="2"/>
  <c r="C140" i="2"/>
  <c r="C142" i="2"/>
  <c r="C146" i="2"/>
  <c r="C217" i="2"/>
  <c r="C110" i="2"/>
  <c r="C406" i="2"/>
  <c r="C156" i="2"/>
  <c r="C158" i="2"/>
  <c r="C125" i="2"/>
  <c r="C206" i="2"/>
  <c r="C446" i="2"/>
  <c r="C454" i="2"/>
  <c r="C130" i="2"/>
  <c r="C132" i="2"/>
  <c r="C102" i="2"/>
  <c r="C104" i="2"/>
  <c r="C473" i="2"/>
  <c r="C109" i="2"/>
  <c r="C141" i="2"/>
  <c r="C175" i="2"/>
  <c r="C358" i="2"/>
  <c r="C374" i="2"/>
  <c r="C178" i="2"/>
  <c r="C481" i="2"/>
  <c r="C182" i="2"/>
  <c r="C185" i="2"/>
  <c r="C193" i="2"/>
  <c r="C326" i="2"/>
  <c r="C346" i="2"/>
  <c r="C98" i="2"/>
  <c r="C105" i="2"/>
  <c r="C106" i="2"/>
  <c r="C186" i="2"/>
  <c r="C189" i="2"/>
  <c r="C128" i="2"/>
  <c r="C322" i="2"/>
  <c r="C330" i="2"/>
  <c r="C94" i="2"/>
  <c r="C133" i="2"/>
  <c r="C159" i="2"/>
  <c r="C194" i="2"/>
  <c r="C112" i="2"/>
  <c r="C164" i="2"/>
  <c r="C118" i="2"/>
  <c r="C144" i="2"/>
  <c r="C122" i="2"/>
  <c r="C150" i="2"/>
  <c r="C430" i="2"/>
  <c r="C113" i="2"/>
  <c r="C129" i="2"/>
  <c r="C145" i="2"/>
  <c r="C147" i="2"/>
  <c r="C190" i="2"/>
  <c r="C191" i="2"/>
  <c r="C347" i="2"/>
  <c r="C433" i="2"/>
  <c r="C437" i="2"/>
  <c r="C441" i="2"/>
  <c r="C445" i="2"/>
  <c r="C97" i="2"/>
  <c r="C101" i="2"/>
  <c r="C199" i="2"/>
  <c r="C388" i="2"/>
  <c r="C449" i="2"/>
  <c r="C453" i="2"/>
  <c r="C134" i="2"/>
  <c r="C172" i="2"/>
  <c r="C392" i="2"/>
  <c r="C396" i="2"/>
  <c r="C457" i="2"/>
  <c r="C461" i="2"/>
  <c r="C157" i="2"/>
  <c r="C207" i="2"/>
  <c r="C400" i="2"/>
  <c r="C404" i="2"/>
  <c r="C465" i="2"/>
  <c r="C469" i="2"/>
  <c r="C138" i="2"/>
  <c r="C408" i="2"/>
  <c r="C412" i="2"/>
  <c r="C143" i="2"/>
  <c r="C160" i="2"/>
  <c r="C183" i="2"/>
  <c r="C215" i="2"/>
  <c r="C416" i="2"/>
  <c r="C420" i="2"/>
  <c r="C421" i="2"/>
  <c r="C309" i="2"/>
  <c r="C310" i="2"/>
  <c r="C313" i="2"/>
  <c r="C314" i="2"/>
  <c r="C331" i="2"/>
  <c r="C336" i="2"/>
  <c r="C339" i="2"/>
  <c r="C344" i="2"/>
  <c r="C424" i="2"/>
  <c r="C425" i="2"/>
  <c r="C428" i="2"/>
  <c r="C429" i="2"/>
  <c r="C485" i="2"/>
  <c r="C489" i="2"/>
  <c r="C493" i="2"/>
  <c r="C497" i="2"/>
  <c r="A9" i="2"/>
  <c r="B9" i="2" s="1"/>
  <c r="C10" i="2" s="1"/>
  <c r="C11" i="2" s="1"/>
  <c r="A18" i="2"/>
  <c r="B18" i="2" s="1"/>
  <c r="C19" i="2" s="1"/>
  <c r="A12" i="2"/>
  <c r="B12" i="2" s="1"/>
  <c r="C4" i="2" s="1"/>
  <c r="A38" i="2"/>
  <c r="B37" i="2"/>
  <c r="A22" i="2"/>
  <c r="B22" i="2" s="1"/>
  <c r="A15" i="2"/>
  <c r="B15" i="2" s="1"/>
  <c r="C7" i="2" s="1"/>
  <c r="C8" i="2" s="1"/>
  <c r="C20" i="2"/>
  <c r="C21" i="2" s="1"/>
  <c r="A68" i="2"/>
  <c r="B67" i="2"/>
  <c r="C162" i="2"/>
  <c r="C179" i="2"/>
  <c r="C180" i="2"/>
  <c r="C348" i="2"/>
  <c r="C349" i="2"/>
  <c r="A27" i="2"/>
  <c r="C203" i="2"/>
  <c r="C204" i="2"/>
  <c r="A81" i="2"/>
  <c r="C151" i="2"/>
  <c r="C152" i="2"/>
  <c r="C167" i="2"/>
  <c r="C168" i="2"/>
  <c r="C187" i="2"/>
  <c r="C188" i="2"/>
  <c r="C211" i="2"/>
  <c r="C212" i="2"/>
  <c r="C100" i="2"/>
  <c r="C99" i="2"/>
  <c r="A85" i="2"/>
  <c r="B85" i="2" s="1"/>
  <c r="A90" i="2"/>
  <c r="C195" i="2"/>
  <c r="C196" i="2"/>
  <c r="A84" i="2"/>
  <c r="B84" i="2" s="1"/>
  <c r="C95" i="2"/>
  <c r="C103" i="2"/>
  <c r="C107" i="2"/>
  <c r="C111" i="2"/>
  <c r="C115" i="2"/>
  <c r="C119" i="2"/>
  <c r="C123" i="2"/>
  <c r="C127" i="2"/>
  <c r="C131" i="2"/>
  <c r="C163" i="2"/>
  <c r="C96" i="2"/>
  <c r="C149" i="2"/>
  <c r="C155" i="2"/>
  <c r="C165" i="2"/>
  <c r="C171" i="2"/>
  <c r="C176" i="2"/>
  <c r="C184" i="2"/>
  <c r="C192" i="2"/>
  <c r="C200" i="2"/>
  <c r="C208" i="2"/>
  <c r="C216" i="2"/>
  <c r="C361" i="2"/>
  <c r="C362" i="2"/>
  <c r="C442" i="2"/>
  <c r="C377" i="2"/>
  <c r="C378" i="2"/>
  <c r="C393" i="2"/>
  <c r="C394" i="2"/>
  <c r="C458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9" i="2"/>
  <c r="C250" i="2"/>
  <c r="C251" i="2"/>
  <c r="C253" i="2"/>
  <c r="C254" i="2"/>
  <c r="C255" i="2"/>
  <c r="C257" i="2"/>
  <c r="C258" i="2"/>
  <c r="C259" i="2"/>
  <c r="C261" i="2"/>
  <c r="C262" i="2"/>
  <c r="C263" i="2"/>
  <c r="C265" i="2"/>
  <c r="C266" i="2"/>
  <c r="C267" i="2"/>
  <c r="C269" i="2"/>
  <c r="C270" i="2"/>
  <c r="C271" i="2"/>
  <c r="C273" i="2"/>
  <c r="C274" i="2"/>
  <c r="C275" i="2"/>
  <c r="C277" i="2"/>
  <c r="C278" i="2"/>
  <c r="C279" i="2"/>
  <c r="C281" i="2"/>
  <c r="C282" i="2"/>
  <c r="C283" i="2"/>
  <c r="C285" i="2"/>
  <c r="C286" i="2"/>
  <c r="C287" i="2"/>
  <c r="C289" i="2"/>
  <c r="C290" i="2"/>
  <c r="C291" i="2"/>
  <c r="C293" i="2"/>
  <c r="C294" i="2"/>
  <c r="C295" i="2"/>
  <c r="C297" i="2"/>
  <c r="C298" i="2"/>
  <c r="C299" i="2"/>
  <c r="C301" i="2"/>
  <c r="C302" i="2"/>
  <c r="C303" i="2"/>
  <c r="C305" i="2"/>
  <c r="C306" i="2"/>
  <c r="C307" i="2"/>
  <c r="C311" i="2"/>
  <c r="C315" i="2"/>
  <c r="C319" i="2"/>
  <c r="C320" i="2"/>
  <c r="C323" i="2"/>
  <c r="C324" i="2"/>
  <c r="C327" i="2"/>
  <c r="C328" i="2"/>
  <c r="C332" i="2"/>
  <c r="C333" i="2"/>
  <c r="C409" i="2"/>
  <c r="C410" i="2"/>
  <c r="C340" i="2"/>
  <c r="C341" i="2"/>
  <c r="C426" i="2"/>
  <c r="C363" i="2"/>
  <c r="C364" i="2"/>
  <c r="C379" i="2"/>
  <c r="C380" i="2"/>
  <c r="C365" i="2"/>
  <c r="C381" i="2"/>
  <c r="C397" i="2"/>
  <c r="C413" i="2"/>
  <c r="C248" i="2"/>
  <c r="C252" i="2"/>
  <c r="C256" i="2"/>
  <c r="C260" i="2"/>
  <c r="C264" i="2"/>
  <c r="C268" i="2"/>
  <c r="C272" i="2"/>
  <c r="C276" i="2"/>
  <c r="C280" i="2"/>
  <c r="C284" i="2"/>
  <c r="C288" i="2"/>
  <c r="C292" i="2"/>
  <c r="C296" i="2"/>
  <c r="C300" i="2"/>
  <c r="C304" i="2"/>
  <c r="C308" i="2"/>
  <c r="C312" i="2"/>
  <c r="C316" i="2"/>
  <c r="C334" i="2"/>
  <c r="C335" i="2"/>
  <c r="C342" i="2"/>
  <c r="C343" i="2"/>
  <c r="C350" i="2"/>
  <c r="C351" i="2"/>
  <c r="C352" i="2"/>
  <c r="C366" i="2"/>
  <c r="C367" i="2"/>
  <c r="C368" i="2"/>
  <c r="C382" i="2"/>
  <c r="C383" i="2"/>
  <c r="C384" i="2"/>
  <c r="C353" i="2"/>
  <c r="C369" i="2"/>
  <c r="C385" i="2"/>
  <c r="C401" i="2"/>
  <c r="C417" i="2"/>
  <c r="C466" i="2"/>
  <c r="C470" i="2"/>
  <c r="C317" i="2"/>
  <c r="C321" i="2"/>
  <c r="C325" i="2"/>
  <c r="C329" i="2"/>
  <c r="C354" i="2"/>
  <c r="C355" i="2"/>
  <c r="C356" i="2"/>
  <c r="C370" i="2"/>
  <c r="C371" i="2"/>
  <c r="C372" i="2"/>
  <c r="C386" i="2"/>
  <c r="C402" i="2"/>
  <c r="C418" i="2"/>
  <c r="C434" i="2"/>
  <c r="C450" i="2"/>
  <c r="C474" i="2"/>
  <c r="C337" i="2"/>
  <c r="C345" i="2"/>
  <c r="C357" i="2"/>
  <c r="C373" i="2"/>
  <c r="C389" i="2"/>
  <c r="C405" i="2"/>
  <c r="C478" i="2"/>
  <c r="C338" i="2"/>
  <c r="C359" i="2"/>
  <c r="C360" i="2"/>
  <c r="C375" i="2"/>
  <c r="C376" i="2"/>
  <c r="C482" i="2"/>
  <c r="C486" i="2"/>
  <c r="C490" i="2"/>
  <c r="C494" i="2"/>
  <c r="C498" i="2"/>
  <c r="C387" i="2"/>
  <c r="C391" i="2"/>
  <c r="C395" i="2"/>
  <c r="C399" i="2"/>
  <c r="C403" i="2"/>
  <c r="C407" i="2"/>
  <c r="C411" i="2"/>
  <c r="C415" i="2"/>
  <c r="C419" i="2"/>
  <c r="C423" i="2"/>
  <c r="C427" i="2"/>
  <c r="C431" i="2"/>
  <c r="C435" i="2"/>
  <c r="C439" i="2"/>
  <c r="C443" i="2"/>
  <c r="C447" i="2"/>
  <c r="C451" i="2"/>
  <c r="C455" i="2"/>
  <c r="C459" i="2"/>
  <c r="C463" i="2"/>
  <c r="C467" i="2"/>
  <c r="C471" i="2"/>
  <c r="C475" i="2"/>
  <c r="C479" i="2"/>
  <c r="C483" i="2"/>
  <c r="C487" i="2"/>
  <c r="C491" i="2"/>
  <c r="C495" i="2"/>
  <c r="C499" i="2"/>
  <c r="C432" i="2"/>
  <c r="C436" i="2"/>
  <c r="C440" i="2"/>
  <c r="C444" i="2"/>
  <c r="C448" i="2"/>
  <c r="C452" i="2"/>
  <c r="C456" i="2"/>
  <c r="C460" i="2"/>
  <c r="C464" i="2"/>
  <c r="C468" i="2"/>
  <c r="C484" i="2"/>
  <c r="C488" i="2"/>
  <c r="C492" i="2"/>
  <c r="C496" i="2"/>
  <c r="N23" i="11" l="1"/>
  <c r="N24" i="11" s="1"/>
  <c r="N25" i="11" s="1"/>
  <c r="N26" i="11" s="1"/>
  <c r="N27" i="11" s="1"/>
  <c r="N28" i="11" s="1"/>
  <c r="N29" i="11" s="1"/>
  <c r="N30" i="11" s="1"/>
  <c r="N31" i="11" s="1"/>
  <c r="N32" i="11" s="1"/>
  <c r="N33" i="11" s="1"/>
  <c r="N34" i="11" s="1"/>
  <c r="N35" i="11" s="1"/>
  <c r="N36" i="11" s="1"/>
  <c r="N37" i="11" s="1"/>
  <c r="N38" i="11" s="1"/>
  <c r="N39" i="11" s="1"/>
  <c r="N40" i="11" s="1"/>
  <c r="N41" i="11" s="1"/>
  <c r="N42" i="11" s="1"/>
  <c r="N43" i="11" s="1"/>
  <c r="N44" i="11" s="1"/>
  <c r="N45" i="11" s="1"/>
  <c r="N46" i="11" s="1"/>
  <c r="N47" i="11" s="1"/>
  <c r="N48" i="11" s="1"/>
  <c r="N49" i="11" s="1"/>
  <c r="N50" i="11" s="1"/>
  <c r="N51" i="11" s="1"/>
  <c r="N52" i="11" s="1"/>
  <c r="N53" i="11" s="1"/>
  <c r="N54" i="11" s="1"/>
  <c r="N55" i="11" s="1"/>
  <c r="N56" i="11" s="1"/>
  <c r="N57" i="11" s="1"/>
  <c r="N58" i="11" s="1"/>
  <c r="N59" i="11" s="1"/>
  <c r="N60" i="11" s="1"/>
  <c r="N61" i="11" s="1"/>
  <c r="N62" i="11" s="1"/>
  <c r="N63" i="11" s="1"/>
  <c r="N64" i="11" s="1"/>
  <c r="N65" i="11" s="1"/>
  <c r="N66" i="11" s="1"/>
  <c r="N67" i="11" s="1"/>
  <c r="N68" i="11" s="1"/>
  <c r="N69" i="11" s="1"/>
  <c r="N70" i="11" s="1"/>
  <c r="N71" i="11" s="1"/>
  <c r="N72" i="11" s="1"/>
  <c r="N73" i="11" s="1"/>
  <c r="N74" i="11" s="1"/>
  <c r="N75" i="11" s="1"/>
  <c r="N76" i="11" s="1"/>
  <c r="N77" i="11" s="1"/>
  <c r="N78" i="11" s="1"/>
  <c r="N79" i="11" s="1"/>
  <c r="N80" i="11" s="1"/>
  <c r="N81" i="11" s="1"/>
  <c r="N82" i="11" s="1"/>
  <c r="N83" i="11" s="1"/>
  <c r="N84" i="11" s="1"/>
  <c r="N85" i="11" s="1"/>
  <c r="N86" i="11" s="1"/>
  <c r="N87" i="11" s="1"/>
  <c r="N88" i="11" s="1"/>
  <c r="N89" i="11" s="1"/>
  <c r="N90" i="11" s="1"/>
  <c r="N91" i="11" s="1"/>
  <c r="N92" i="11" s="1"/>
  <c r="N93" i="11" s="1"/>
  <c r="N94" i="11" s="1"/>
  <c r="N95" i="11" s="1"/>
  <c r="N96" i="11" s="1"/>
  <c r="N97" i="11" s="1"/>
  <c r="N98" i="11" s="1"/>
  <c r="C26" i="11"/>
  <c r="C23" i="11"/>
  <c r="C27" i="11"/>
  <c r="C28" i="11" s="1"/>
  <c r="C24" i="11"/>
  <c r="C25" i="11" s="1"/>
  <c r="B90" i="2"/>
  <c r="A91" i="2"/>
  <c r="B68" i="2"/>
  <c r="A69" i="2"/>
  <c r="A86" i="2"/>
  <c r="B81" i="2"/>
  <c r="A82" i="2"/>
  <c r="B82" i="2" s="1"/>
  <c r="A23" i="2"/>
  <c r="B27" i="2"/>
  <c r="A28" i="2"/>
  <c r="C22" i="2"/>
  <c r="A39" i="2"/>
  <c r="B38" i="2"/>
  <c r="C9" i="2"/>
  <c r="C12" i="2"/>
  <c r="C13" i="2"/>
  <c r="C14" i="2" s="1"/>
  <c r="C67" i="2"/>
  <c r="C15" i="2"/>
  <c r="C16" i="2"/>
  <c r="C17" i="2" s="1"/>
  <c r="C18" i="2" s="1"/>
  <c r="A87" i="2" l="1"/>
  <c r="B87" i="2" s="1"/>
  <c r="B86" i="2"/>
  <c r="B28" i="2"/>
  <c r="A29" i="2"/>
  <c r="A40" i="2"/>
  <c r="B39" i="2"/>
  <c r="B23" i="2"/>
  <c r="A24" i="2"/>
  <c r="B69" i="2"/>
  <c r="A70" i="2"/>
  <c r="C83" i="2"/>
  <c r="C84" i="2" s="1"/>
  <c r="C85" i="2" s="1"/>
  <c r="C68" i="2"/>
  <c r="B91" i="2"/>
  <c r="A92" i="2"/>
  <c r="B92" i="2" s="1"/>
  <c r="C90" i="2"/>
  <c r="C93" i="2" l="1"/>
  <c r="C91" i="2"/>
  <c r="C92" i="2" s="1"/>
  <c r="A41" i="2"/>
  <c r="B40" i="2"/>
  <c r="A71" i="2"/>
  <c r="B70" i="2"/>
  <c r="B29" i="2"/>
  <c r="A30" i="2"/>
  <c r="C28" i="2"/>
  <c r="C69" i="2"/>
  <c r="B24" i="2"/>
  <c r="A25" i="2"/>
  <c r="B25" i="2" s="1"/>
  <c r="C23" i="2"/>
  <c r="C86" i="2"/>
  <c r="C87" i="2"/>
  <c r="C88" i="2"/>
  <c r="A42" i="2" l="1"/>
  <c r="B41" i="2"/>
  <c r="B30" i="2"/>
  <c r="A31" i="2"/>
  <c r="C29" i="2"/>
  <c r="C70" i="2"/>
  <c r="C25" i="2"/>
  <c r="C26" i="2"/>
  <c r="C27" i="2" s="1"/>
  <c r="C24" i="2"/>
  <c r="C40" i="2"/>
  <c r="A72" i="2"/>
  <c r="B71" i="2"/>
  <c r="B72" i="2" l="1"/>
  <c r="A73" i="2"/>
  <c r="B31" i="2"/>
  <c r="A32" i="2"/>
  <c r="C30" i="2"/>
  <c r="C41" i="2"/>
  <c r="C71" i="2"/>
  <c r="A43" i="2"/>
  <c r="B42" i="2"/>
  <c r="A44" i="2" l="1"/>
  <c r="B43" i="2"/>
  <c r="C42" i="2"/>
  <c r="A33" i="2"/>
  <c r="B32" i="2"/>
  <c r="C31" i="2"/>
  <c r="B73" i="2"/>
  <c r="A74" i="2"/>
  <c r="C72" i="2"/>
  <c r="C32" i="2" l="1"/>
  <c r="A75" i="2"/>
  <c r="B74" i="2"/>
  <c r="A34" i="2"/>
  <c r="B33" i="2"/>
  <c r="C43" i="2"/>
  <c r="C73" i="2"/>
  <c r="A45" i="2"/>
  <c r="B44" i="2"/>
  <c r="A35" i="2" l="1"/>
  <c r="B35" i="2" s="1"/>
  <c r="B34" i="2"/>
  <c r="C74" i="2"/>
  <c r="C33" i="2"/>
  <c r="A76" i="2"/>
  <c r="B75" i="2"/>
  <c r="C44" i="2"/>
  <c r="B45" i="2"/>
  <c r="A46" i="2"/>
  <c r="C75" i="2" l="1"/>
  <c r="B76" i="2"/>
  <c r="A77" i="2"/>
  <c r="B46" i="2"/>
  <c r="A47" i="2"/>
  <c r="C45" i="2"/>
  <c r="C34" i="2"/>
  <c r="C36" i="2"/>
  <c r="C37" i="2" s="1"/>
  <c r="C38" i="2" s="1"/>
  <c r="C39" i="2" s="1"/>
  <c r="C35" i="2"/>
  <c r="B47" i="2" l="1"/>
  <c r="A48" i="2"/>
  <c r="C46" i="2"/>
  <c r="B77" i="2"/>
  <c r="A78" i="2"/>
  <c r="B78" i="2" s="1"/>
  <c r="C76" i="2"/>
  <c r="C79" i="2" l="1"/>
  <c r="C80" i="2" s="1"/>
  <c r="C81" i="2" s="1"/>
  <c r="C82" i="2" s="1"/>
  <c r="C77" i="2"/>
  <c r="C78" i="2" s="1"/>
  <c r="B48" i="2"/>
  <c r="A49" i="2"/>
  <c r="C47" i="2"/>
  <c r="B49" i="2" l="1"/>
  <c r="A50" i="2"/>
  <c r="C48" i="2"/>
  <c r="A51" i="2" l="1"/>
  <c r="B50" i="2"/>
  <c r="C49" i="2"/>
  <c r="C50" i="2" l="1"/>
  <c r="B51" i="2"/>
  <c r="A52" i="2"/>
  <c r="B52" i="2" l="1"/>
  <c r="A53" i="2"/>
  <c r="C51" i="2"/>
  <c r="B53" i="2" l="1"/>
  <c r="A54" i="2"/>
  <c r="C52" i="2"/>
  <c r="A55" i="2" l="1"/>
  <c r="B54" i="2"/>
  <c r="C53" i="2"/>
  <c r="C54" i="2" l="1"/>
  <c r="B55" i="2"/>
  <c r="A56" i="2"/>
  <c r="B56" i="2" l="1"/>
  <c r="A57" i="2"/>
  <c r="C55" i="2"/>
  <c r="B57" i="2" l="1"/>
  <c r="A58" i="2"/>
  <c r="C56" i="2"/>
  <c r="B58" i="2" l="1"/>
  <c r="A59" i="2"/>
  <c r="C57" i="2"/>
  <c r="B59" i="2" l="1"/>
  <c r="A60" i="2"/>
  <c r="C58" i="2"/>
  <c r="B60" i="2" l="1"/>
  <c r="A61" i="2"/>
  <c r="C59" i="2"/>
  <c r="A62" i="2" l="1"/>
  <c r="B61" i="2"/>
  <c r="C60" i="2"/>
  <c r="C61" i="2" l="1"/>
  <c r="A63" i="2"/>
  <c r="B62" i="2"/>
  <c r="B63" i="2" l="1"/>
  <c r="A64" i="2"/>
  <c r="C62" i="2"/>
  <c r="B64" i="2" l="1"/>
  <c r="A65" i="2"/>
  <c r="B65" i="2" s="1"/>
  <c r="C63" i="2"/>
  <c r="C65" i="2" l="1"/>
  <c r="C66" i="2"/>
  <c r="C64" i="2"/>
  <c r="C6" i="1" l="1"/>
  <c r="C7" i="1"/>
  <c r="C3" i="1"/>
  <c r="F8" i="1"/>
  <c r="F9" i="1" s="1"/>
  <c r="F10" i="1" s="1"/>
  <c r="E9" i="1"/>
  <c r="E10" i="1" s="1"/>
  <c r="E8" i="1"/>
  <c r="D6" i="1"/>
  <c r="B6" i="1"/>
  <c r="B7" i="1"/>
  <c r="D7" i="1" s="1"/>
  <c r="B5" i="1"/>
  <c r="B4" i="1"/>
  <c r="C4" i="1" s="1"/>
  <c r="B3" i="1"/>
  <c r="B2" i="1"/>
  <c r="C2" i="1" s="1"/>
  <c r="B1" i="1"/>
  <c r="C1" i="1" s="1"/>
  <c r="A8" i="1"/>
  <c r="D1" i="1" l="1"/>
  <c r="D5" i="1"/>
  <c r="B8" i="1"/>
  <c r="C8" i="1"/>
  <c r="C9" i="1" s="1"/>
  <c r="C10" i="1" s="1"/>
  <c r="D8" i="1"/>
  <c r="D9" i="1" s="1"/>
</calcChain>
</file>

<file path=xl/sharedStrings.xml><?xml version="1.0" encoding="utf-8"?>
<sst xmlns="http://schemas.openxmlformats.org/spreadsheetml/2006/main" count="7981" uniqueCount="777">
  <si>
    <t>Count</t>
  </si>
  <si>
    <t>Transaction 
Number</t>
  </si>
  <si>
    <t>Detail #</t>
  </si>
  <si>
    <t>Date</t>
  </si>
  <si>
    <t>Establishment Id</t>
  </si>
  <si>
    <t>Establishment</t>
  </si>
  <si>
    <t>Branch</t>
  </si>
  <si>
    <t>Payment Type</t>
  </si>
  <si>
    <t>Amount</t>
  </si>
  <si>
    <t>Account</t>
  </si>
  <si>
    <t>Quantity</t>
  </si>
  <si>
    <t>Unit Price</t>
  </si>
  <si>
    <t>Total</t>
  </si>
  <si>
    <t>Item ID</t>
  </si>
  <si>
    <t>Brand</t>
  </si>
  <si>
    <t>Type</t>
  </si>
  <si>
    <t>Details</t>
  </si>
  <si>
    <t>Notes</t>
  </si>
  <si>
    <t xml:space="preserve"> </t>
  </si>
  <si>
    <t>Metro Department-Super Metro (Basak)</t>
  </si>
  <si>
    <t>MetroBank</t>
  </si>
  <si>
    <t>Household-2nd Floor-00000</t>
  </si>
  <si>
    <t xml:space="preserve">Unliquidated(Items) </t>
  </si>
  <si>
    <t>LEB Bulb 15Watts Daylight</t>
  </si>
  <si>
    <t>Scrapper Set</t>
  </si>
  <si>
    <t>School-Kaleb-00000</t>
  </si>
  <si>
    <t>Shoe Lace</t>
  </si>
  <si>
    <t>Chowking-Guadalupe</t>
  </si>
  <si>
    <t>Cash</t>
  </si>
  <si>
    <t>Meal-Bedian-00000</t>
  </si>
  <si>
    <t xml:space="preserve">Dish(Chowking) Pork ChowFan </t>
  </si>
  <si>
    <t>Meal-Zach-00000</t>
  </si>
  <si>
    <t>Dish(Chowking) Wanton Noodles Large</t>
  </si>
  <si>
    <t>Thai Boran-Don Gil Garcia st.</t>
  </si>
  <si>
    <t>Leisure-Zach-00000</t>
  </si>
  <si>
    <t>Massage (Swedish) 1 hour</t>
  </si>
  <si>
    <t>Service Tips</t>
  </si>
  <si>
    <t>Metro Grocery-Super Metro (Basak)</t>
  </si>
  <si>
    <t>Grocery-3rd Floor-00000</t>
  </si>
  <si>
    <t>Carenderia 14th Floor-ACC Tower Cebu Business Park</t>
  </si>
  <si>
    <t>Dish Rice</t>
  </si>
  <si>
    <t>Dish Fried Chicken</t>
  </si>
  <si>
    <t>Dish Burger Steak</t>
  </si>
  <si>
    <t>Street Vendor</t>
  </si>
  <si>
    <t>Fried Chicken Seller</t>
  </si>
  <si>
    <t>BPI Debit</t>
  </si>
  <si>
    <t>B. Rodriguez</t>
  </si>
  <si>
    <t>Carenderia</t>
  </si>
  <si>
    <t>Don Gil Garcia st.</t>
  </si>
  <si>
    <t>Carvedilol(Cardipres) 25mg</t>
  </si>
  <si>
    <t>Entresto(Sacubitril, Valsartan) 200mg</t>
  </si>
  <si>
    <t>Methformin(Glumet) 1g</t>
  </si>
  <si>
    <t>Glyxambi(Empagliflozin Linagliptin) 25mg/5mg</t>
  </si>
  <si>
    <t>Massage</t>
  </si>
  <si>
    <t>HSBC</t>
  </si>
  <si>
    <t>GC</t>
  </si>
  <si>
    <t>ID</t>
  </si>
  <si>
    <t>One Time</t>
  </si>
  <si>
    <t>1st AutoGas</t>
  </si>
  <si>
    <t>Panagdait</t>
  </si>
  <si>
    <t>A.N.G Cellshoppe</t>
  </si>
  <si>
    <t>Colon Street</t>
  </si>
  <si>
    <t>Ace Hardware</t>
  </si>
  <si>
    <t>SM City, Cebu</t>
  </si>
  <si>
    <t>SM Seaside, Cebu</t>
  </si>
  <si>
    <t>Achi Ichiban</t>
  </si>
  <si>
    <t>Aircon Master</t>
  </si>
  <si>
    <t>R. Landon street</t>
  </si>
  <si>
    <t>Alberto's Pizza</t>
  </si>
  <si>
    <t>Basak, Pardo</t>
  </si>
  <si>
    <t>Asian Homes Appliance</t>
  </si>
  <si>
    <t>Osmenia Blvd.</t>
  </si>
  <si>
    <t>Azian Thai Massage and SPA</t>
  </si>
  <si>
    <t>Sancianko Street</t>
  </si>
  <si>
    <t>Banana Stall</t>
  </si>
  <si>
    <t>F. Llamas</t>
  </si>
  <si>
    <t>Burger King</t>
  </si>
  <si>
    <t>Carenderia 14th Floor</t>
  </si>
  <si>
    <t>ACC Tower Cebu Business Park</t>
  </si>
  <si>
    <t>CFG Quickstop</t>
  </si>
  <si>
    <t>Cebu Atlantic Hardware</t>
  </si>
  <si>
    <t>Bulacao</t>
  </si>
  <si>
    <t>Cebu Bolt and Screw Sales</t>
  </si>
  <si>
    <t>Leon Kilat</t>
  </si>
  <si>
    <t>Cebu Chinese Drug</t>
  </si>
  <si>
    <t>Plaridel Street</t>
  </si>
  <si>
    <t>Cebu Eastern College</t>
  </si>
  <si>
    <t>Cebu LakeView</t>
  </si>
  <si>
    <t>KM 30, Transcentral Highway, Sito Inaad, Tabunan</t>
  </si>
  <si>
    <t>Cebu Massive Auto Parts, Incorporated</t>
  </si>
  <si>
    <t>Mambaling Highway</t>
  </si>
  <si>
    <t>Cebu Paper Sales, Inc.</t>
  </si>
  <si>
    <t>F. Gonzales Street</t>
  </si>
  <si>
    <t>Cebu Polar Marketing</t>
  </si>
  <si>
    <t>Mabini</t>
  </si>
  <si>
    <t>Chinese Way Marketing</t>
  </si>
  <si>
    <t>GQS Plaza, Banilad</t>
  </si>
  <si>
    <t>Chong Hua Hospital</t>
  </si>
  <si>
    <t>Mandaue</t>
  </si>
  <si>
    <t>Chowking</t>
  </si>
  <si>
    <t>Ayala Center Cebu</t>
  </si>
  <si>
    <t>Fuente Osmena</t>
  </si>
  <si>
    <t>Gaisano Capital Colon</t>
  </si>
  <si>
    <t>Guadalupe</t>
  </si>
  <si>
    <t>Citi Hardware</t>
  </si>
  <si>
    <t>Colonnade</t>
  </si>
  <si>
    <t>Crown Hardware</t>
  </si>
  <si>
    <t>Delux Bakery</t>
  </si>
  <si>
    <t>Magallanes</t>
  </si>
  <si>
    <t>Department of Health</t>
  </si>
  <si>
    <t>Vivente Sotto Memorial Medical Center</t>
  </si>
  <si>
    <t>Diatoms</t>
  </si>
  <si>
    <t>Katipunan</t>
  </si>
  <si>
    <t>Dimsum Break</t>
  </si>
  <si>
    <t>Domings</t>
  </si>
  <si>
    <t>Dr. Edward Chua</t>
  </si>
  <si>
    <t>Perpetuaql Hospital</t>
  </si>
  <si>
    <t>Dunkin Donuts</t>
  </si>
  <si>
    <t>Super Metro (Basak San Nicolas)</t>
  </si>
  <si>
    <t>Echo Appliance Center</t>
  </si>
  <si>
    <t>Egg Seller</t>
  </si>
  <si>
    <t>C. Padilla (Mambaling)</t>
  </si>
  <si>
    <t>Eggcelsior</t>
  </si>
  <si>
    <t>7Tsi - Guadalupe</t>
  </si>
  <si>
    <t xml:space="preserve">Facebook </t>
  </si>
  <si>
    <t>Online Seller</t>
  </si>
  <si>
    <t>Familia House</t>
  </si>
  <si>
    <t xml:space="preserve">P. Lopez </t>
  </si>
  <si>
    <t>Fooda</t>
  </si>
  <si>
    <t>Mango Ave.</t>
  </si>
  <si>
    <t>Francisco L. Chio, Jr.</t>
  </si>
  <si>
    <t>Chong Hua Medical Arts</t>
  </si>
  <si>
    <t>Fruitas</t>
  </si>
  <si>
    <t>Gaisano Capital</t>
  </si>
  <si>
    <t>Gigi Massage Chair</t>
  </si>
  <si>
    <t>Gil's Barbershop</t>
  </si>
  <si>
    <t>Goldilocks Bakeshop</t>
  </si>
  <si>
    <t>ShopWise</t>
  </si>
  <si>
    <t>GV Botica</t>
  </si>
  <si>
    <t>Handyman</t>
  </si>
  <si>
    <t>Parkmall</t>
  </si>
  <si>
    <t>Happy Valley</t>
  </si>
  <si>
    <t>Happy-Haus Donut</t>
  </si>
  <si>
    <t>AB Aznar Street, SWU</t>
  </si>
  <si>
    <t>Hel-An Thai Massage And Spa</t>
  </si>
  <si>
    <t>Osmeña Blvd</t>
  </si>
  <si>
    <t>Hi Grain</t>
  </si>
  <si>
    <t>P. Gullas</t>
  </si>
  <si>
    <t>Hi Precision</t>
  </si>
  <si>
    <t>Fuente</t>
  </si>
  <si>
    <t>HPDS</t>
  </si>
  <si>
    <t>Junquera Street</t>
  </si>
  <si>
    <t xml:space="preserve">Hygea Wellness Spa </t>
  </si>
  <si>
    <t>Iben's Pharmacy</t>
  </si>
  <si>
    <t>Don Jose Avila, Capitol</t>
  </si>
  <si>
    <t>Integrated Cardiovascular Wellness and Lifestyle Center Inc. (HeartHub)</t>
  </si>
  <si>
    <t>City Time Square, Mandaue</t>
  </si>
  <si>
    <t>Jim Lechon</t>
  </si>
  <si>
    <t>F. Llamas Street</t>
  </si>
  <si>
    <t>Jollibee</t>
  </si>
  <si>
    <t>Boulevard Capitol</t>
  </si>
  <si>
    <t>JOYOJoyo Marketing</t>
  </si>
  <si>
    <t>JPV</t>
  </si>
  <si>
    <t>V. Rama Ave.</t>
  </si>
  <si>
    <t>at the back of Phoenix Gasoline Station</t>
  </si>
  <si>
    <t>Julies Bakeshope</t>
  </si>
  <si>
    <t>Basak San Nicolas</t>
  </si>
  <si>
    <t>Junquera Ext</t>
  </si>
  <si>
    <t>Tisa</t>
  </si>
  <si>
    <t>Urgello</t>
  </si>
  <si>
    <t>Kakeng</t>
  </si>
  <si>
    <t>Plaridel</t>
  </si>
  <si>
    <t>Kapitan AutoParts</t>
  </si>
  <si>
    <t>Boromeo st.</t>
  </si>
  <si>
    <t>KFC</t>
  </si>
  <si>
    <t>La Fortuna Bakery</t>
  </si>
  <si>
    <t>Borromeo</t>
  </si>
  <si>
    <t>Lazada</t>
  </si>
  <si>
    <t>Online</t>
  </si>
  <si>
    <t>Leona</t>
  </si>
  <si>
    <t>Juan Luna</t>
  </si>
  <si>
    <t>Lumpia House</t>
  </si>
  <si>
    <t>Manalili</t>
  </si>
  <si>
    <t>Manila Foodshoppe</t>
  </si>
  <si>
    <t>Capitol Square</t>
  </si>
  <si>
    <t>Mark &amp; Spencer</t>
  </si>
  <si>
    <t>McDonald</t>
  </si>
  <si>
    <t>Arcenas, Banawa</t>
  </si>
  <si>
    <t>Cebu Basak San Nicolas</t>
  </si>
  <si>
    <t>Cebu Business Park (Bohol Street)</t>
  </si>
  <si>
    <t>Cebu Escario</t>
  </si>
  <si>
    <t>Osmena Blvd. (Fuente)</t>
  </si>
  <si>
    <t>Mercury Drug</t>
  </si>
  <si>
    <t>Metro Department</t>
  </si>
  <si>
    <t>Super Metro (Basak)</t>
  </si>
  <si>
    <t>Metro Drug</t>
  </si>
  <si>
    <t>Metro (Colon)</t>
  </si>
  <si>
    <t>Metro Grocery</t>
  </si>
  <si>
    <t>Nedz Lechon</t>
  </si>
  <si>
    <t>Jai-Alai C. Padilla</t>
  </si>
  <si>
    <t>NoeCar</t>
  </si>
  <si>
    <t>B. Zubiri st, Labangon</t>
  </si>
  <si>
    <t>Ong King Kin</t>
  </si>
  <si>
    <t>Osmena Blvd</t>
  </si>
  <si>
    <t>Orange Brutus</t>
  </si>
  <si>
    <t xml:space="preserve">Palawan Express </t>
  </si>
  <si>
    <t>Parking</t>
  </si>
  <si>
    <t>Road</t>
  </si>
  <si>
    <t>PCQuickbuys</t>
  </si>
  <si>
    <t>People's Educational Supply</t>
  </si>
  <si>
    <t>Colon</t>
  </si>
  <si>
    <t>Pinoy Siopao</t>
  </si>
  <si>
    <t>Pizza Hut</t>
  </si>
  <si>
    <t>Rachel Luang</t>
  </si>
  <si>
    <t>Rago Lumber</t>
  </si>
  <si>
    <t>Basak</t>
  </si>
  <si>
    <t>RePhil</t>
  </si>
  <si>
    <t>Bulacao Pardo</t>
  </si>
  <si>
    <t>Rose Pharmacy</t>
  </si>
  <si>
    <t>Salvador Ext. Labangon</t>
  </si>
  <si>
    <t>Tita Gwapa F. Llamas</t>
  </si>
  <si>
    <t>Sandia Massage Spa</t>
  </si>
  <si>
    <t>F. Ramos Street</t>
  </si>
  <si>
    <t>Segura Marketing Inc.</t>
  </si>
  <si>
    <t>J. Climaco Street</t>
  </si>
  <si>
    <t>Shopee</t>
  </si>
  <si>
    <t>Sit and Rest</t>
  </si>
  <si>
    <t>SM - The Store</t>
  </si>
  <si>
    <t>SM Grocery</t>
  </si>
  <si>
    <t>SM Store</t>
  </si>
  <si>
    <t>SouthStar Drug</t>
  </si>
  <si>
    <t>Robinsons Cybergate</t>
  </si>
  <si>
    <t>Super Metro</t>
  </si>
  <si>
    <t>Taoist Temple of the Golden Light</t>
  </si>
  <si>
    <t>Samson Road</t>
  </si>
  <si>
    <t>Tay Bee</t>
  </si>
  <si>
    <t>Thai Boran</t>
  </si>
  <si>
    <t>The Lemon Co.</t>
  </si>
  <si>
    <t>Thinking Tools Inc.</t>
  </si>
  <si>
    <t>Thirsty</t>
  </si>
  <si>
    <t>ThreeSixty Pharmacy</t>
  </si>
  <si>
    <t>La Paloma Branch</t>
  </si>
  <si>
    <t>Tiny Bubbles</t>
  </si>
  <si>
    <t>Tommy's Electronics</t>
  </si>
  <si>
    <t>Ton's Water</t>
  </si>
  <si>
    <t>Tri-J Marketting Inc.</t>
  </si>
  <si>
    <t>Cebu South Road</t>
  </si>
  <si>
    <t>Unitop</t>
  </si>
  <si>
    <t>Osmena Blvd. (Downtown)</t>
  </si>
  <si>
    <t>Vicente Sotty Memorial Medical Center (DOH)</t>
  </si>
  <si>
    <t>B. Rodriguez Street</t>
  </si>
  <si>
    <t>Victory Educational Supply</t>
  </si>
  <si>
    <t>Visayan Educational Supply</t>
  </si>
  <si>
    <t>Waffle Time</t>
  </si>
  <si>
    <t>Water Refilling Station</t>
  </si>
  <si>
    <t>Carlock</t>
  </si>
  <si>
    <t>Watermelon Massage Spa</t>
  </si>
  <si>
    <t>Escario Street</t>
  </si>
  <si>
    <t xml:space="preserve">Watson </t>
  </si>
  <si>
    <t>Banawa-Guadalupe</t>
  </si>
  <si>
    <t>Capitol Site</t>
  </si>
  <si>
    <t>Wellnessland Wellness Center</t>
  </si>
  <si>
    <t>Sikatuna St., Zapatera, Cebu City</t>
  </si>
  <si>
    <t>Wired Systems Corporation</t>
  </si>
  <si>
    <t>St. Patricks Square</t>
  </si>
  <si>
    <t>Detail</t>
  </si>
  <si>
    <t>Accessories</t>
  </si>
  <si>
    <t>Zach</t>
  </si>
  <si>
    <t>00000</t>
  </si>
  <si>
    <t>Baking</t>
  </si>
  <si>
    <t>Bonding</t>
  </si>
  <si>
    <t>Family</t>
  </si>
  <si>
    <t>00001</t>
  </si>
  <si>
    <t>Bedian</t>
  </si>
  <si>
    <t>00002</t>
  </si>
  <si>
    <t>Kids</t>
  </si>
  <si>
    <t>00003</t>
  </si>
  <si>
    <t>Brayton</t>
  </si>
  <si>
    <t>00004</t>
  </si>
  <si>
    <t>Kaleb</t>
  </si>
  <si>
    <t>Car</t>
  </si>
  <si>
    <t>Maintenance</t>
  </si>
  <si>
    <t>Avanza</t>
  </si>
  <si>
    <t>Fuel</t>
  </si>
  <si>
    <t>Laundry</t>
  </si>
  <si>
    <t>Expense</t>
  </si>
  <si>
    <t>Carens</t>
  </si>
  <si>
    <t>Celebration</t>
  </si>
  <si>
    <t>Cellphone</t>
  </si>
  <si>
    <t>Clothing</t>
  </si>
  <si>
    <t>Computer</t>
  </si>
  <si>
    <t>Twins</t>
  </si>
  <si>
    <t>Oldhouse</t>
  </si>
  <si>
    <t>3rd Floor</t>
  </si>
  <si>
    <t>Discount</t>
  </si>
  <si>
    <t>Promo</t>
  </si>
  <si>
    <t>Change</t>
  </si>
  <si>
    <t>Donation</t>
  </si>
  <si>
    <t>Educational</t>
  </si>
  <si>
    <t>2nd Floor</t>
  </si>
  <si>
    <t>Charmaine</t>
  </si>
  <si>
    <t>Phyllis</t>
  </si>
  <si>
    <t>Roxan</t>
  </si>
  <si>
    <t>Shirley</t>
  </si>
  <si>
    <t>Keng Offering</t>
  </si>
  <si>
    <t>Expense-Mama's Offering</t>
  </si>
  <si>
    <t>Mama's Offering</t>
  </si>
  <si>
    <t>Parent's Offering</t>
  </si>
  <si>
    <t>0000</t>
  </si>
  <si>
    <t>Shipping and Delivery</t>
  </si>
  <si>
    <t>Gift</t>
  </si>
  <si>
    <t>Others</t>
  </si>
  <si>
    <t>Grocery</t>
  </si>
  <si>
    <t>Grooming</t>
  </si>
  <si>
    <t>Health</t>
  </si>
  <si>
    <t>All</t>
  </si>
  <si>
    <t>Protection</t>
  </si>
  <si>
    <t>Diagnostic</t>
  </si>
  <si>
    <t>Doctor</t>
  </si>
  <si>
    <t>Hardware</t>
  </si>
  <si>
    <t>Tools</t>
  </si>
  <si>
    <t>Hobby</t>
  </si>
  <si>
    <t>Household</t>
  </si>
  <si>
    <t>General</t>
  </si>
  <si>
    <t>Leisure</t>
  </si>
  <si>
    <t>Meal</t>
  </si>
  <si>
    <t>Medicine</t>
  </si>
  <si>
    <t>Mama</t>
  </si>
  <si>
    <t>Personal</t>
  </si>
  <si>
    <t>Receivable</t>
  </si>
  <si>
    <t>Religious</t>
  </si>
  <si>
    <t>School</t>
  </si>
  <si>
    <t>Supplies</t>
  </si>
  <si>
    <t>Office</t>
  </si>
  <si>
    <t>Electrical</t>
  </si>
  <si>
    <t>Plumbing</t>
  </si>
  <si>
    <t>Snacks</t>
  </si>
  <si>
    <t>Transportation</t>
  </si>
  <si>
    <t>Tips</t>
  </si>
  <si>
    <t>Vitamins</t>
  </si>
  <si>
    <t>Work</t>
  </si>
  <si>
    <t>Category</t>
  </si>
  <si>
    <t>0. One Time only</t>
  </si>
  <si>
    <t>1. Medicine</t>
  </si>
  <si>
    <t>2. Food and Drinks</t>
  </si>
  <si>
    <t>4. Snacks</t>
  </si>
  <si>
    <t>5. Automotive</t>
  </si>
  <si>
    <t>6. Service</t>
  </si>
  <si>
    <t>7. Household</t>
  </si>
  <si>
    <t>8. Religious</t>
  </si>
  <si>
    <t>9. Discount and Tips</t>
  </si>
  <si>
    <t>10. Appliance</t>
  </si>
  <si>
    <t>Items</t>
  </si>
  <si>
    <t>Unliquidated</t>
  </si>
  <si>
    <t>Omega</t>
  </si>
  <si>
    <t>120ml</t>
  </si>
  <si>
    <t>60ml</t>
  </si>
  <si>
    <t>Rosuvastatin</t>
  </si>
  <si>
    <t>5mg</t>
  </si>
  <si>
    <t>Fluimucil</t>
  </si>
  <si>
    <t xml:space="preserve">Acetylcysteine </t>
  </si>
  <si>
    <t>100mg</t>
  </si>
  <si>
    <t>Spironolactone</t>
  </si>
  <si>
    <t>Aldactone</t>
  </si>
  <si>
    <t>25mg</t>
  </si>
  <si>
    <t>Aldactone(Spironolactone) 50mg</t>
  </si>
  <si>
    <t>50mg</t>
  </si>
  <si>
    <t>Amlodipine(Rite-Med) 5mg</t>
  </si>
  <si>
    <t>Rite-Med</t>
  </si>
  <si>
    <t>Amlodipine</t>
  </si>
  <si>
    <t>Maalox</t>
  </si>
  <si>
    <t>Antasid</t>
  </si>
  <si>
    <t xml:space="preserve">Rhea </t>
  </si>
  <si>
    <t>Ascorbic Acid</t>
  </si>
  <si>
    <t>500mg</t>
  </si>
  <si>
    <t>Aspilets</t>
  </si>
  <si>
    <t>Aspirin</t>
  </si>
  <si>
    <t>80mg</t>
  </si>
  <si>
    <t>Zithromax</t>
  </si>
  <si>
    <t>AZITHROMYCIN Dihydrate</t>
  </si>
  <si>
    <t>15ml</t>
  </si>
  <si>
    <t>22.5ml</t>
  </si>
  <si>
    <t>Bilastine</t>
  </si>
  <si>
    <t>Bilaxten</t>
  </si>
  <si>
    <t>20mg</t>
  </si>
  <si>
    <t>Sinecod</t>
  </si>
  <si>
    <t>Butamirate Forte</t>
  </si>
  <si>
    <t>Carvedilol(BetaCard) 25mg</t>
  </si>
  <si>
    <t>BetaCard</t>
  </si>
  <si>
    <t>Carvedilol</t>
  </si>
  <si>
    <t>Cardipres</t>
  </si>
  <si>
    <t>Carvid(Carvedilol) 25mg</t>
  </si>
  <si>
    <t>Carvid</t>
  </si>
  <si>
    <t>Cetirizine HCL</t>
  </si>
  <si>
    <t>10mg</t>
  </si>
  <si>
    <t>Clonipress</t>
  </si>
  <si>
    <t>Clonidine HC1</t>
  </si>
  <si>
    <t>75mcg</t>
  </si>
  <si>
    <t>Clopidogrel(PLAZ) 175mg</t>
  </si>
  <si>
    <t>PLAZ</t>
  </si>
  <si>
    <t>Clopidogrel</t>
  </si>
  <si>
    <t>175mg</t>
  </si>
  <si>
    <t>Clopidogrel(Rhea) 175mg</t>
  </si>
  <si>
    <t>Rhea</t>
  </si>
  <si>
    <t>dapagliflozin(ForXiga) 10mg</t>
  </si>
  <si>
    <t>ForXiga</t>
  </si>
  <si>
    <t>dapagliflozin</t>
  </si>
  <si>
    <t>xigduo</t>
  </si>
  <si>
    <t>dapagliflozin/Metformin HCl</t>
  </si>
  <si>
    <t>10mg/1000mg Tablet</t>
  </si>
  <si>
    <t>Diamicron(Gliclazide ) 60mg</t>
  </si>
  <si>
    <t xml:space="preserve">Gliclazide </t>
  </si>
  <si>
    <t>Diamicron</t>
  </si>
  <si>
    <t>60mg</t>
  </si>
  <si>
    <t>Ansimar</t>
  </si>
  <si>
    <t>Doxofylline</t>
  </si>
  <si>
    <t>100mg/5ml</t>
  </si>
  <si>
    <t>Chocolate</t>
  </si>
  <si>
    <t>Energen</t>
  </si>
  <si>
    <t>8x30x40g</t>
  </si>
  <si>
    <t>Entresto(Sacubitril, Valsartan) 100mg</t>
  </si>
  <si>
    <t>Sacubitril, Valsartan</t>
  </si>
  <si>
    <t>Entresto</t>
  </si>
  <si>
    <t>200mg</t>
  </si>
  <si>
    <t>Generic</t>
  </si>
  <si>
    <t>Face Mask</t>
  </si>
  <si>
    <t>KN95</t>
  </si>
  <si>
    <t>Surgical</t>
  </si>
  <si>
    <t>Empagliflozin Linagliptin</t>
  </si>
  <si>
    <t>Glyxambi</t>
  </si>
  <si>
    <t>25mg/5mg</t>
  </si>
  <si>
    <t>Glyxambi(Empagliflozin Linagliptin) T10/5mg</t>
  </si>
  <si>
    <t>T10/5mg</t>
  </si>
  <si>
    <t>Vicks</t>
  </si>
  <si>
    <t>Inhaler</t>
  </si>
  <si>
    <t>Keychain</t>
  </si>
  <si>
    <t>Pulmodual</t>
  </si>
  <si>
    <t>IPRATROPIUM Bromide SABUTAMOL</t>
  </si>
  <si>
    <t>500mcg / 2.5mg per 2.5mL</t>
  </si>
  <si>
    <t>Kefir</t>
  </si>
  <si>
    <t>Loperamide(Diatabs) 2mg</t>
  </si>
  <si>
    <t>Diatabs</t>
  </si>
  <si>
    <t>Loperamide</t>
  </si>
  <si>
    <t>2mg</t>
  </si>
  <si>
    <t>Losartan(Neosartan) 100mg</t>
  </si>
  <si>
    <t>Neosartan</t>
  </si>
  <si>
    <t>Losartan</t>
  </si>
  <si>
    <t>Mefenamic</t>
  </si>
  <si>
    <t>Mefenamic(Rite-Med) 500mg</t>
  </si>
  <si>
    <t>Melandy MR</t>
  </si>
  <si>
    <t>Neoform</t>
  </si>
  <si>
    <t>Metformin</t>
  </si>
  <si>
    <t>Fornidd XR</t>
  </si>
  <si>
    <t>Methformin Hydrochloride</t>
  </si>
  <si>
    <t>1g</t>
  </si>
  <si>
    <t>Glumet-XR</t>
  </si>
  <si>
    <t>Glumet</t>
  </si>
  <si>
    <t>Methformin</t>
  </si>
  <si>
    <t>Methformin(Glumet) 500mg</t>
  </si>
  <si>
    <t>Methformin(NeoForm) 100g</t>
  </si>
  <si>
    <t>NeoForm</t>
  </si>
  <si>
    <t>100g</t>
  </si>
  <si>
    <t>Methformin(Rhea) 500mg</t>
  </si>
  <si>
    <t>Efficascent Relaxscent Oil</t>
  </si>
  <si>
    <t>Methol Camphor Eucalyptus Oil</t>
  </si>
  <si>
    <t>Efficascent</t>
  </si>
  <si>
    <t>6ml [Roll-On]</t>
  </si>
  <si>
    <t>(Efficascent Oil) 6ml</t>
  </si>
  <si>
    <t>Co-Altria Ped</t>
  </si>
  <si>
    <t>MONTELUKAST Sodium/LEVOCETIRIZINE Dihydrochloride</t>
  </si>
  <si>
    <t>5mg/5mg Chewable</t>
  </si>
  <si>
    <t>Cecon</t>
  </si>
  <si>
    <t>Multivitamin</t>
  </si>
  <si>
    <t>Plus Zinc</t>
  </si>
  <si>
    <t>Pharmaton Essential</t>
  </si>
  <si>
    <t>Multivitamins with B Complex</t>
  </si>
  <si>
    <t>9 + 1</t>
  </si>
  <si>
    <t>Enervon</t>
  </si>
  <si>
    <t>Multivitamins</t>
  </si>
  <si>
    <t>ImmunPro</t>
  </si>
  <si>
    <t>Sodium Ascorbate Zinc</t>
  </si>
  <si>
    <t xml:space="preserve">Sanjo </t>
  </si>
  <si>
    <t xml:space="preserve">Nebulizer Kit Mask </t>
  </si>
  <si>
    <t>Pedia</t>
  </si>
  <si>
    <t>Omacor(Elcosapentaenoic Acid, Docosahexaenoic Acid) 460mg/380mg</t>
  </si>
  <si>
    <t>Elcosapentaenoic Acid, Docosahexaenoic Acid</t>
  </si>
  <si>
    <t>Omacor</t>
  </si>
  <si>
    <t>460mg/380mg</t>
  </si>
  <si>
    <t>Lesofat</t>
  </si>
  <si>
    <t>Orlistat</t>
  </si>
  <si>
    <t>120mg</t>
  </si>
  <si>
    <t>Panto Plus</t>
  </si>
  <si>
    <t>Pantoprazole + Domperidone</t>
  </si>
  <si>
    <t>40mg/30mg</t>
  </si>
  <si>
    <t>Decolgen</t>
  </si>
  <si>
    <t>Paracetamol</t>
  </si>
  <si>
    <t>Forte</t>
  </si>
  <si>
    <t>Scotts</t>
  </si>
  <si>
    <t>Pastilles</t>
  </si>
  <si>
    <t>30Mg30</t>
  </si>
  <si>
    <t>Valda</t>
  </si>
  <si>
    <t>Menthol</t>
  </si>
  <si>
    <t>Lemon Menthol Pastilles</t>
  </si>
  <si>
    <t>20g</t>
  </si>
  <si>
    <t>Apollo</t>
  </si>
  <si>
    <t>Petroleum Jelly</t>
  </si>
  <si>
    <t>200g</t>
  </si>
  <si>
    <t>GDN</t>
  </si>
  <si>
    <t>Plaster</t>
  </si>
  <si>
    <t>Plastic</t>
  </si>
  <si>
    <t>Pred 20</t>
  </si>
  <si>
    <t>Prednisolone</t>
  </si>
  <si>
    <t>20mg/5mL Syrup</t>
  </si>
  <si>
    <t>C-Lium</t>
  </si>
  <si>
    <t>Psyllium Fiber Husk</t>
  </si>
  <si>
    <t>Fibre</t>
  </si>
  <si>
    <t>Hidrasec</t>
  </si>
  <si>
    <t>Racecadotril</t>
  </si>
  <si>
    <t>Vaporin</t>
  </si>
  <si>
    <t>Refreshing Oil</t>
  </si>
  <si>
    <t>10ml</t>
  </si>
  <si>
    <t>Rovista</t>
  </si>
  <si>
    <t>Unilab Inc. - Roswin</t>
  </si>
  <si>
    <t>Ventolin</t>
  </si>
  <si>
    <t>Sabutamol</t>
  </si>
  <si>
    <t>Nebules 2.5ml</t>
  </si>
  <si>
    <t xml:space="preserve">Seretide </t>
  </si>
  <si>
    <t>Salmeterol + Fluticasone propionate</t>
  </si>
  <si>
    <t>25/125 mg</t>
  </si>
  <si>
    <t>25/50 mg</t>
  </si>
  <si>
    <t>Velmetia</t>
  </si>
  <si>
    <t>Sitagliptin Metformin</t>
  </si>
  <si>
    <t>50mg/1g Film Coated</t>
  </si>
  <si>
    <t>Spire</t>
  </si>
  <si>
    <t>Blue Eco Farm</t>
  </si>
  <si>
    <t>Spirulina</t>
  </si>
  <si>
    <t>Powder 90grams</t>
  </si>
  <si>
    <t>Erceflora</t>
  </si>
  <si>
    <t>Spore Probiotic</t>
  </si>
  <si>
    <t>5ml</t>
  </si>
  <si>
    <t>Tempra</t>
  </si>
  <si>
    <t>Syrup</t>
  </si>
  <si>
    <t>120mg/5ml 60ml</t>
  </si>
  <si>
    <t>Vastarel OD</t>
  </si>
  <si>
    <t>Trimetazidine Dihydrochloride</t>
  </si>
  <si>
    <t>Vymada</t>
  </si>
  <si>
    <t>Zeltine-MR</t>
  </si>
  <si>
    <t>Pill Cutter</t>
  </si>
  <si>
    <t>Union</t>
  </si>
  <si>
    <t>Electric Fan</t>
  </si>
  <si>
    <t>Industrial 18"</t>
  </si>
  <si>
    <t>Yakult</t>
  </si>
  <si>
    <t>80ml</t>
  </si>
  <si>
    <t>Family Choice</t>
  </si>
  <si>
    <t>3in1 Mixes</t>
  </si>
  <si>
    <t>250g</t>
  </si>
  <si>
    <t>Nissin</t>
  </si>
  <si>
    <t>Biscuits</t>
  </si>
  <si>
    <t>Eggnog 130g</t>
  </si>
  <si>
    <t>Malkist</t>
  </si>
  <si>
    <t>Olezz Cheese Choco 100g</t>
  </si>
  <si>
    <t>Marky's</t>
  </si>
  <si>
    <t>Pacencia Biscuit 210g</t>
  </si>
  <si>
    <t>Skyflakes</t>
  </si>
  <si>
    <t>200g HPack</t>
  </si>
  <si>
    <t>25g</t>
  </si>
  <si>
    <t>Presto Cream</t>
  </si>
  <si>
    <t>Chocholate Biscuits</t>
  </si>
  <si>
    <t>30g</t>
  </si>
  <si>
    <t>Chocholate Peanut Biscuits</t>
  </si>
  <si>
    <t>Cream-o</t>
  </si>
  <si>
    <t>Choco Fudge Cream-Filled Chocolate Sandwich Biscuits</t>
  </si>
  <si>
    <t>Jack 'n Jill Drewberry</t>
  </si>
  <si>
    <t>Strawberry's Cream Biscuits</t>
  </si>
  <si>
    <t>33g</t>
  </si>
  <si>
    <t>Drewberries'n Cream Biscuits</t>
  </si>
  <si>
    <t>Rebisco</t>
  </si>
  <si>
    <t>Crackers</t>
  </si>
  <si>
    <t>33gx10s</t>
  </si>
  <si>
    <t xml:space="preserve">Bread </t>
  </si>
  <si>
    <t>French Bread</t>
  </si>
  <si>
    <t>Julies</t>
  </si>
  <si>
    <t xml:space="preserve">Sliced Bread Regular </t>
  </si>
  <si>
    <t>Century Egg</t>
  </si>
  <si>
    <t>6 pcs pack</t>
  </si>
  <si>
    <t>Chop Suey</t>
  </si>
  <si>
    <t>Milo</t>
  </si>
  <si>
    <t>Cocoa Powder</t>
  </si>
  <si>
    <t>24g</t>
  </si>
  <si>
    <t>Active Go 300g</t>
  </si>
  <si>
    <t>Kopiko</t>
  </si>
  <si>
    <t>Coffee [3in1]</t>
  </si>
  <si>
    <t>Black 30g</t>
  </si>
  <si>
    <t>Cappuccino 25g</t>
  </si>
  <si>
    <t>Nescafe</t>
  </si>
  <si>
    <t>Original 26g</t>
  </si>
  <si>
    <t>Dish</t>
  </si>
  <si>
    <t>Adobo Chicken</t>
  </si>
  <si>
    <t>Bam-i</t>
  </si>
  <si>
    <t>Batong [String Beans]</t>
  </si>
  <si>
    <t>Bihon</t>
  </si>
  <si>
    <t>Buffalo Chicken</t>
  </si>
  <si>
    <t>Burger Steak</t>
  </si>
  <si>
    <t>Dinuguan</t>
  </si>
  <si>
    <t>Fried Chicken</t>
  </si>
  <si>
    <t>Fried Chicken Internals</t>
  </si>
  <si>
    <t>Mongoes Soup</t>
  </si>
  <si>
    <t>Paklai</t>
  </si>
  <si>
    <t>Pansit</t>
  </si>
  <si>
    <t>Pork Chop</t>
  </si>
  <si>
    <t>Pork Soup</t>
  </si>
  <si>
    <t>Hangging Rice 5s</t>
  </si>
  <si>
    <t>Rice</t>
  </si>
  <si>
    <t>Boiled Egg</t>
  </si>
  <si>
    <t>fish soup</t>
  </si>
  <si>
    <t>Beefsteak</t>
  </si>
  <si>
    <t>SariSari Vegetable</t>
  </si>
  <si>
    <t>Teriyaki Chicken</t>
  </si>
  <si>
    <t>Pork Barbecue</t>
  </si>
  <si>
    <t>Liver</t>
  </si>
  <si>
    <t>Beef</t>
  </si>
  <si>
    <t>Pinakbit</t>
  </si>
  <si>
    <t>2 pcs. Chicken</t>
  </si>
  <si>
    <t xml:space="preserve">2 pcs. Chicken(Chowking) </t>
  </si>
  <si>
    <t xml:space="preserve">Pork ChowFan </t>
  </si>
  <si>
    <t xml:space="preserve">Pork ChowFan (Chowking) </t>
  </si>
  <si>
    <t>Pork ChowFan with Ice Tea</t>
  </si>
  <si>
    <t>Pork ChowFan (Chowking) with Ice Tea</t>
  </si>
  <si>
    <t>with Ice Tea</t>
  </si>
  <si>
    <t>Wanton Noodles</t>
  </si>
  <si>
    <t xml:space="preserve">Wanton Noodles(Chowking) </t>
  </si>
  <si>
    <t>Wanton Noodles Large</t>
  </si>
  <si>
    <t>Wanton Soup</t>
  </si>
  <si>
    <t xml:space="preserve">Wanton Soup(Chowking) </t>
  </si>
  <si>
    <t>Takoyaki</t>
  </si>
  <si>
    <t>Yasai</t>
  </si>
  <si>
    <t>Citrus</t>
  </si>
  <si>
    <t>Orange Juice Drinks</t>
  </si>
  <si>
    <t>1L</t>
  </si>
  <si>
    <t>Powder Juice Drinks</t>
  </si>
  <si>
    <t>Orange 20G</t>
  </si>
  <si>
    <t>Cucumber Lemonade Juice</t>
  </si>
  <si>
    <t>22Oz</t>
  </si>
  <si>
    <t>Old Fashion Lemonade Juice</t>
  </si>
  <si>
    <t>Absolute</t>
  </si>
  <si>
    <t>Drinks</t>
  </si>
  <si>
    <t>Calamansi Juice</t>
  </si>
  <si>
    <t>6 Liter</t>
  </si>
  <si>
    <t>Nature Spring</t>
  </si>
  <si>
    <t>Spring Water 1 Liter</t>
  </si>
  <si>
    <t>Eggs</t>
  </si>
  <si>
    <t>Flour</t>
  </si>
  <si>
    <t>Banana</t>
  </si>
  <si>
    <t>Taro</t>
  </si>
  <si>
    <t>Magnolia</t>
  </si>
  <si>
    <t>Fresh Milk - Full Cream</t>
  </si>
  <si>
    <t xml:space="preserve">Alaska </t>
  </si>
  <si>
    <t>Fresh Milk</t>
  </si>
  <si>
    <t>1Lx2</t>
  </si>
  <si>
    <t>Nestle</t>
  </si>
  <si>
    <t>Boy Bawang</t>
  </si>
  <si>
    <t>Garlic</t>
  </si>
  <si>
    <t>500g</t>
  </si>
  <si>
    <t>Swiss Miss</t>
  </si>
  <si>
    <t>Hot Cocoa Mix (Dark Chocolate)</t>
  </si>
  <si>
    <t>31g</t>
  </si>
  <si>
    <t>Hot Cocoa Mix (Marshmallow)</t>
  </si>
  <si>
    <t>ION Supply Drink(Pocari Sweat) 500ml</t>
  </si>
  <si>
    <t>Pocari Sweat</t>
  </si>
  <si>
    <t>ION Supply Drink</t>
  </si>
  <si>
    <t>500ml</t>
  </si>
  <si>
    <t>Lechon</t>
  </si>
  <si>
    <t>Per Kilo</t>
  </si>
  <si>
    <t>Gallo</t>
  </si>
  <si>
    <t>Misua</t>
  </si>
  <si>
    <t>1kg</t>
  </si>
  <si>
    <t>Original</t>
  </si>
  <si>
    <t>Nescafe Blen and Brew  3in1</t>
  </si>
  <si>
    <t>Dozen</t>
  </si>
  <si>
    <t>Diabetasol</t>
  </si>
  <si>
    <t>Nutritional Powder for Diabetic</t>
  </si>
  <si>
    <t>600g</t>
  </si>
  <si>
    <t>Swiss Cottage</t>
  </si>
  <si>
    <t>Pastries</t>
  </si>
  <si>
    <t>Chifon Cake (Chocolate)</t>
  </si>
  <si>
    <t>Peanut Cream Roll</t>
  </si>
  <si>
    <t>Tuna De Leche</t>
  </si>
  <si>
    <t xml:space="preserve">Pork Chop </t>
  </si>
  <si>
    <t>in Sauce</t>
  </si>
  <si>
    <t>Alaska</t>
  </si>
  <si>
    <t>Powder Milk</t>
  </si>
  <si>
    <t>1700g</t>
  </si>
  <si>
    <t>Ganador</t>
  </si>
  <si>
    <t>10kg</t>
  </si>
  <si>
    <t>Shakes</t>
  </si>
  <si>
    <t>Fruit</t>
  </si>
  <si>
    <t>Sibot with Tongkoy</t>
  </si>
  <si>
    <t>Sweetened Cocoa</t>
  </si>
  <si>
    <t>Veega</t>
  </si>
  <si>
    <t>Vegan</t>
  </si>
  <si>
    <t>Tapa</t>
  </si>
  <si>
    <t>Tocino</t>
  </si>
  <si>
    <t>Water</t>
  </si>
  <si>
    <t>Purified - Refill</t>
  </si>
  <si>
    <t>Metro Select</t>
  </si>
  <si>
    <t>White Pepper Powder</t>
  </si>
  <si>
    <t>Goya</t>
  </si>
  <si>
    <t>Choco Double Hazelnut Spread</t>
  </si>
  <si>
    <t>750g</t>
  </si>
  <si>
    <t xml:space="preserve">Magnum </t>
  </si>
  <si>
    <t>Almond Single</t>
  </si>
  <si>
    <t>Each</t>
  </si>
  <si>
    <t>Bread Sticks</t>
  </si>
  <si>
    <t>130g</t>
  </si>
  <si>
    <t>FitBar</t>
  </si>
  <si>
    <t>Energy Bar</t>
  </si>
  <si>
    <t>Buy 2 Get 1 24x3x25G</t>
  </si>
  <si>
    <t>Dark Almond 33g</t>
  </si>
  <si>
    <t>Classic</t>
  </si>
  <si>
    <t>Happy-Haus</t>
  </si>
  <si>
    <t>Donut</t>
  </si>
  <si>
    <t>Assorted</t>
  </si>
  <si>
    <t>Gingerbon</t>
  </si>
  <si>
    <t>Ginger Chewy Candy (Extra Strong)</t>
  </si>
  <si>
    <t>125g</t>
  </si>
  <si>
    <t>Ginger Chewy Candy (Regular)</t>
  </si>
  <si>
    <t>Macademia</t>
  </si>
  <si>
    <t>24/80ml</t>
  </si>
  <si>
    <t>Professional Fee</t>
  </si>
  <si>
    <t>Medical Checkup</t>
  </si>
  <si>
    <t>Snack Food</t>
  </si>
  <si>
    <t>Biko</t>
  </si>
  <si>
    <t>White Almond</t>
  </si>
  <si>
    <t>Diesel</t>
  </si>
  <si>
    <t xml:space="preserve">Motolite </t>
  </si>
  <si>
    <t>N70ZL</t>
  </si>
  <si>
    <t xml:space="preserve">Gold </t>
  </si>
  <si>
    <t>Castrol</t>
  </si>
  <si>
    <t>Oil</t>
  </si>
  <si>
    <t>CRB Turbo</t>
  </si>
  <si>
    <t>Body Care</t>
  </si>
  <si>
    <t>Service</t>
  </si>
  <si>
    <t>Hair-cut</t>
  </si>
  <si>
    <t>Vehicle</t>
  </si>
  <si>
    <t>Change Oil</t>
  </si>
  <si>
    <t>Freon Charging</t>
  </si>
  <si>
    <t>Body Scrub and Massage Package</t>
  </si>
  <si>
    <t xml:space="preserve">Turkish </t>
  </si>
  <si>
    <t>Watermelon</t>
  </si>
  <si>
    <t>Turkish</t>
  </si>
  <si>
    <t>Labor</t>
  </si>
  <si>
    <t>Service Fee</t>
  </si>
  <si>
    <t>Chair</t>
  </si>
  <si>
    <t xml:space="preserve">Massage </t>
  </si>
  <si>
    <t>1 hour</t>
  </si>
  <si>
    <t>Swedish</t>
  </si>
  <si>
    <t>1 and a half hour</t>
  </si>
  <si>
    <t>Thai</t>
  </si>
  <si>
    <t>Car Wash</t>
  </si>
  <si>
    <t>Zonrox</t>
  </si>
  <si>
    <t>Chlorine</t>
  </si>
  <si>
    <t>Packs</t>
  </si>
  <si>
    <t>Colgate</t>
  </si>
  <si>
    <t>Toothpaste</t>
  </si>
  <si>
    <t>Active Salt 2x180g</t>
  </si>
  <si>
    <t xml:space="preserve">Joss  Sticks </t>
  </si>
  <si>
    <t>Long</t>
  </si>
  <si>
    <t>Short</t>
  </si>
  <si>
    <t>Joss Paper</t>
  </si>
  <si>
    <t>Gold</t>
  </si>
  <si>
    <t>Silver</t>
  </si>
  <si>
    <t>Offering</t>
  </si>
  <si>
    <t>Celestial Oil</t>
  </si>
  <si>
    <t>KFC-Redemptorist</t>
  </si>
  <si>
    <t>Bucket Meal(KFC) Fried Chicken</t>
  </si>
  <si>
    <t>Bucket Meal (6pcs)</t>
  </si>
  <si>
    <t>Meal-Kaleb-00000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</si>
</sst>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/>
    <xf numFmtId="164" fontId="0" fillId="0" borderId="0" xfId="0" applyNumberFormat="1"/>
    <xf numFmtId="43" fontId="3" fillId="0" borderId="0" xfId="0" applyNumberFormat="1" applyFont="1"/>
    <xf numFmtId="0" fontId="1" fillId="0" borderId="0" xfId="1"/>
    <xf numFmtId="0" fontId="3" fillId="0" borderId="0" xfId="1" applyFont="1"/>
    <xf numFmtId="49" fontId="3" fillId="0" borderId="0" xfId="1" applyNumberFormat="1" applyFont="1"/>
    <xf numFmtId="43" fontId="3" fillId="0" borderId="0" xfId="1" applyNumberFormat="1" applyFont="1"/>
    <xf numFmtId="0" fontId="3" fillId="0" borderId="0" xfId="1" applyFont="1" applyAlignment="1">
      <alignment horizontal="center" vertical="top"/>
    </xf>
    <xf numFmtId="0" fontId="0" fillId="0" borderId="0" xfId="1" applyFont="1"/>
    <xf numFmtId="164" fontId="2" fillId="0" borderId="0" xfId="0" applyNumberFormat="1" applyFont="1"/>
    <xf numFmtId="0" fontId="4" fillId="0" borderId="0" xfId="0" applyFont="1"/>
    <xf numFmtId="164" fontId="4" fillId="0" borderId="0" xfId="0" applyNumberFormat="1" applyFont="1"/>
    <xf numFmtId="4" fontId="4" fillId="0" borderId="0" xfId="0" applyNumberFormat="1" applyFont="1"/>
  </cellXfs>
  <cellStyles count="2">
    <cellStyle name="Normal" xfId="0" builtinId="0"/>
    <cellStyle name="Normal 2" xfId="1" xr:uid="{37EBCCED-EC48-4120-91CB-0E005A1825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cuments\Career\Expense%20(New).xlsx" TargetMode="External"/><Relationship Id="rId1" Type="http://schemas.openxmlformats.org/officeDocument/2006/relationships/externalLinkPath" Target="Expense%20(New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(1)1-4"/>
      <sheetName val="(2)5-11"/>
      <sheetName val="(3)12-18"/>
      <sheetName val="(4)19-25"/>
      <sheetName val="(5)26-30"/>
      <sheetName val="New"/>
      <sheetName val="Misc"/>
      <sheetName val="Establishment"/>
      <sheetName val="Accounts"/>
      <sheetName val="Items"/>
      <sheetName val="Establishment Search"/>
      <sheetName val="Accounts Search"/>
      <sheetName val="Items Sear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 xml:space="preserve"> </v>
          </cell>
          <cell r="B2" t="str">
            <v xml:space="preserve"> </v>
          </cell>
          <cell r="C2" t="str">
            <v xml:space="preserve"> </v>
          </cell>
        </row>
        <row r="3">
          <cell r="A3" t="str">
            <v>One Time-</v>
          </cell>
          <cell r="B3" t="str">
            <v>One Time</v>
          </cell>
        </row>
        <row r="4">
          <cell r="A4" t="str">
            <v>1st AutoGas-Panagdait</v>
          </cell>
          <cell r="B4" t="str">
            <v>1st AutoGas</v>
          </cell>
          <cell r="C4" t="str">
            <v>Panagdait</v>
          </cell>
        </row>
        <row r="5">
          <cell r="A5" t="str">
            <v xml:space="preserve">7-Eleven- </v>
          </cell>
          <cell r="B5" t="str">
            <v>7-Eleven</v>
          </cell>
          <cell r="C5" t="str">
            <v xml:space="preserve"> </v>
          </cell>
        </row>
        <row r="6">
          <cell r="A6" t="str">
            <v>A.N.G Cellshoppe-Colon Street</v>
          </cell>
          <cell r="B6" t="str">
            <v>A.N.G Cellshoppe</v>
          </cell>
          <cell r="C6" t="str">
            <v>Colon Street</v>
          </cell>
        </row>
        <row r="7">
          <cell r="A7" t="str">
            <v>Ace Hardware-SM City, Cebu</v>
          </cell>
          <cell r="B7" t="str">
            <v>Ace Hardware</v>
          </cell>
          <cell r="C7" t="str">
            <v>SM City, Cebu</v>
          </cell>
        </row>
        <row r="8">
          <cell r="A8" t="str">
            <v>Ace Hardware-SM Seaside, Cebu</v>
          </cell>
          <cell r="B8" t="str">
            <v>Ace Hardware</v>
          </cell>
          <cell r="C8" t="str">
            <v>SM Seaside, Cebu</v>
          </cell>
        </row>
        <row r="9">
          <cell r="A9" t="str">
            <v>Achi Ichiban-SM City, Cebu</v>
          </cell>
          <cell r="B9" t="str">
            <v>Achi Ichiban</v>
          </cell>
          <cell r="C9" t="str">
            <v>SM City, Cebu</v>
          </cell>
        </row>
        <row r="10">
          <cell r="A10" t="str">
            <v>Aircon Master-R. Landon street</v>
          </cell>
          <cell r="B10" t="str">
            <v>Aircon Master</v>
          </cell>
          <cell r="C10" t="str">
            <v>R. Landon street</v>
          </cell>
        </row>
        <row r="11">
          <cell r="A11" t="str">
            <v>Alberto's Pizza-Basak, Pardo</v>
          </cell>
          <cell r="B11" t="str">
            <v>Alberto's Pizza</v>
          </cell>
          <cell r="C11" t="str">
            <v>Basak, Pardo</v>
          </cell>
        </row>
        <row r="12">
          <cell r="A12" t="str">
            <v>Asian Homes Appliance-Osmenia Blvd.</v>
          </cell>
          <cell r="B12" t="str">
            <v>Asian Homes Appliance</v>
          </cell>
          <cell r="C12" t="str">
            <v>Osmenia Blvd.</v>
          </cell>
        </row>
        <row r="13">
          <cell r="A13" t="str">
            <v>Azian Thai Massage and SPA-Sancianko Street</v>
          </cell>
          <cell r="B13" t="str">
            <v>Azian Thai Massage and SPA</v>
          </cell>
          <cell r="C13" t="str">
            <v>Sancianko Street</v>
          </cell>
        </row>
        <row r="14">
          <cell r="A14" t="str">
            <v>Banana Stall-F. Llamas</v>
          </cell>
          <cell r="B14" t="str">
            <v>Banana Stall</v>
          </cell>
          <cell r="C14" t="str">
            <v>F. Llamas</v>
          </cell>
        </row>
        <row r="15">
          <cell r="A15" t="str">
            <v>Brownies Unlimited-SM Seaside, Cebu</v>
          </cell>
          <cell r="B15" t="str">
            <v>Brownies Unlimited</v>
          </cell>
          <cell r="C15" t="str">
            <v>SM Seaside, Cebu</v>
          </cell>
        </row>
        <row r="16">
          <cell r="A16" t="str">
            <v>Burger King-Panagdait</v>
          </cell>
          <cell r="B16" t="str">
            <v>Burger King</v>
          </cell>
          <cell r="C16" t="str">
            <v>Panagdait</v>
          </cell>
        </row>
        <row r="17">
          <cell r="A17" t="str">
            <v>Carenderia 14th Floor-ACC Tower Cebu Business Park</v>
          </cell>
          <cell r="B17" t="str">
            <v>Carenderia 14th Floor</v>
          </cell>
          <cell r="C17" t="str">
            <v>ACC Tower Cebu Business Park</v>
          </cell>
        </row>
        <row r="18">
          <cell r="A18" t="str">
            <v>CFG Quickstop-Don Gil Garcia st.</v>
          </cell>
          <cell r="B18" t="str">
            <v>CFG Quickstop</v>
          </cell>
          <cell r="C18" t="str">
            <v>Don Gil Garcia st.</v>
          </cell>
        </row>
        <row r="19">
          <cell r="A19" t="str">
            <v>Cebu Atlantic Hardware-Bulacao</v>
          </cell>
          <cell r="B19" t="str">
            <v>Cebu Atlantic Hardware</v>
          </cell>
          <cell r="C19" t="str">
            <v>Bulacao</v>
          </cell>
        </row>
        <row r="20">
          <cell r="A20" t="str">
            <v>Cebu Bolt and Screw Sales-Leon Kilat</v>
          </cell>
          <cell r="B20" t="str">
            <v>Cebu Bolt and Screw Sales</v>
          </cell>
          <cell r="C20" t="str">
            <v>Leon Kilat</v>
          </cell>
        </row>
        <row r="21">
          <cell r="A21" t="str">
            <v>Cebu Chinese Drug-Plaridel Street</v>
          </cell>
          <cell r="B21" t="str">
            <v>Cebu Chinese Drug</v>
          </cell>
          <cell r="C21" t="str">
            <v>Plaridel Street</v>
          </cell>
        </row>
        <row r="22">
          <cell r="A22" t="str">
            <v>Cebu Eastern College-Leon Kilat</v>
          </cell>
          <cell r="B22" t="str">
            <v>Cebu Eastern College</v>
          </cell>
          <cell r="C22" t="str">
            <v>Leon Kilat</v>
          </cell>
        </row>
        <row r="23">
          <cell r="A23" t="str">
            <v>Cebu LakeView-KM 30, Transcentral Highway, Sito Inaad, Tabunan</v>
          </cell>
          <cell r="B23" t="str">
            <v>Cebu LakeView</v>
          </cell>
          <cell r="C23" t="str">
            <v>KM 30, Transcentral Highway, Sito Inaad, Tabunan</v>
          </cell>
        </row>
        <row r="24">
          <cell r="A24" t="str">
            <v>Cebu Massive Auto Parts, Incorporated-Mambaling Highway</v>
          </cell>
          <cell r="B24" t="str">
            <v>Cebu Massive Auto Parts, Incorporated</v>
          </cell>
          <cell r="C24" t="str">
            <v>Mambaling Highway</v>
          </cell>
        </row>
        <row r="25">
          <cell r="A25" t="str">
            <v>Cebu Paper Sales, Inc.-F. Gonzales Street</v>
          </cell>
          <cell r="B25" t="str">
            <v>Cebu Paper Sales, Inc.</v>
          </cell>
          <cell r="C25" t="str">
            <v>F. Gonzales Street</v>
          </cell>
        </row>
        <row r="26">
          <cell r="A26" t="str">
            <v>Cebu Polar Marketing-Mabini</v>
          </cell>
          <cell r="B26" t="str">
            <v>Cebu Polar Marketing</v>
          </cell>
          <cell r="C26" t="str">
            <v>Mabini</v>
          </cell>
        </row>
        <row r="27">
          <cell r="A27" t="str">
            <v>Chinese Way Marketing-GQS Plaza, Banilad</v>
          </cell>
          <cell r="B27" t="str">
            <v>Chinese Way Marketing</v>
          </cell>
          <cell r="C27" t="str">
            <v>GQS Plaza, Banilad</v>
          </cell>
        </row>
        <row r="28">
          <cell r="A28" t="str">
            <v>Chong Hua Hospital-Mandaue</v>
          </cell>
          <cell r="B28" t="str">
            <v>Chong Hua Hospital</v>
          </cell>
          <cell r="C28" t="str">
            <v>Mandaue</v>
          </cell>
        </row>
        <row r="29">
          <cell r="A29" t="str">
            <v>Chowking-Ayala Center Cebu</v>
          </cell>
          <cell r="B29" t="str">
            <v>Chowking</v>
          </cell>
          <cell r="C29" t="str">
            <v>Ayala Center Cebu</v>
          </cell>
        </row>
        <row r="30">
          <cell r="A30" t="str">
            <v>Chowking-Fuente Osmena</v>
          </cell>
          <cell r="B30" t="str">
            <v>Chowking</v>
          </cell>
          <cell r="C30" t="str">
            <v>Fuente Osmena</v>
          </cell>
        </row>
        <row r="31">
          <cell r="A31" t="str">
            <v>Chowking-Gaisano Capital Colon</v>
          </cell>
          <cell r="B31" t="str">
            <v>Chowking</v>
          </cell>
          <cell r="C31" t="str">
            <v>Gaisano Capital Colon</v>
          </cell>
        </row>
        <row r="32">
          <cell r="A32" t="str">
            <v>Chowking-Guadalupe</v>
          </cell>
          <cell r="B32" t="str">
            <v>Chowking</v>
          </cell>
          <cell r="C32" t="str">
            <v>Guadalupe</v>
          </cell>
        </row>
        <row r="33">
          <cell r="A33" t="str">
            <v>Chowking-SM City, Cebu</v>
          </cell>
          <cell r="B33" t="str">
            <v>Chowking</v>
          </cell>
          <cell r="C33" t="str">
            <v>SM City, Cebu</v>
          </cell>
        </row>
        <row r="34">
          <cell r="A34" t="str">
            <v>Chowking-SM Seaside, Cebu</v>
          </cell>
          <cell r="B34" t="str">
            <v>Chowking</v>
          </cell>
          <cell r="C34" t="str">
            <v>SM Seaside, Cebu</v>
          </cell>
        </row>
        <row r="35">
          <cell r="A35" t="str">
            <v>Citi Hardware-Bulacao</v>
          </cell>
          <cell r="B35" t="str">
            <v>Citi Hardware</v>
          </cell>
          <cell r="C35" t="str">
            <v>Bulacao</v>
          </cell>
        </row>
        <row r="36">
          <cell r="A36" t="str">
            <v>Colonnade-Colon Street</v>
          </cell>
          <cell r="B36" t="str">
            <v>Colonnade</v>
          </cell>
          <cell r="C36" t="str">
            <v>Colon Street</v>
          </cell>
        </row>
        <row r="37">
          <cell r="A37" t="str">
            <v>Crown Hardware-</v>
          </cell>
          <cell r="B37" t="str">
            <v>Crown Hardware</v>
          </cell>
        </row>
        <row r="38">
          <cell r="A38" t="str">
            <v>Delux Bakery-Magallanes</v>
          </cell>
          <cell r="B38" t="str">
            <v>Delux Bakery</v>
          </cell>
          <cell r="C38" t="str">
            <v>Magallanes</v>
          </cell>
        </row>
        <row r="39">
          <cell r="A39" t="str">
            <v>Department of Health-Vivente Sotto Memorial Medical Center</v>
          </cell>
          <cell r="B39" t="str">
            <v>Department of Health</v>
          </cell>
          <cell r="C39" t="str">
            <v>Vivente Sotto Memorial Medical Center</v>
          </cell>
        </row>
        <row r="40">
          <cell r="A40" t="str">
            <v>Diatoms-Katipunan</v>
          </cell>
          <cell r="B40" t="str">
            <v>Diatoms</v>
          </cell>
          <cell r="C40" t="str">
            <v>Katipunan</v>
          </cell>
        </row>
        <row r="41">
          <cell r="A41" t="str">
            <v>Dimsum Break-SM City, Cebu</v>
          </cell>
          <cell r="B41" t="str">
            <v>Dimsum Break</v>
          </cell>
          <cell r="C41" t="str">
            <v>SM City, Cebu</v>
          </cell>
        </row>
        <row r="42">
          <cell r="A42" t="str">
            <v>Domings-Guadalupe</v>
          </cell>
          <cell r="B42" t="str">
            <v>Domings</v>
          </cell>
          <cell r="C42" t="str">
            <v>Guadalupe</v>
          </cell>
        </row>
        <row r="43">
          <cell r="A43" t="str">
            <v>Dr. Edward Chua-Perpetuaql Hospital</v>
          </cell>
          <cell r="B43" t="str">
            <v>Dr. Edward Chua</v>
          </cell>
          <cell r="C43" t="str">
            <v>Perpetuaql Hospital</v>
          </cell>
        </row>
        <row r="44">
          <cell r="A44" t="str">
            <v>Dunkin Donuts-Ayala Center Cebu</v>
          </cell>
          <cell r="B44" t="str">
            <v>Dunkin Donuts</v>
          </cell>
          <cell r="C44" t="str">
            <v>Ayala Center Cebu</v>
          </cell>
        </row>
        <row r="45">
          <cell r="A45" t="str">
            <v>Dunkin Donuts-SM City, Cebu</v>
          </cell>
          <cell r="B45" t="str">
            <v>Dunkin Donuts</v>
          </cell>
          <cell r="C45" t="str">
            <v>SM City, Cebu</v>
          </cell>
        </row>
        <row r="46">
          <cell r="A46" t="str">
            <v>Dunkin Donuts-Super Metro (Basak San Nicolas)</v>
          </cell>
          <cell r="B46" t="str">
            <v>Dunkin Donuts</v>
          </cell>
          <cell r="C46" t="str">
            <v>Super Metro (Basak San Nicolas)</v>
          </cell>
        </row>
        <row r="47">
          <cell r="A47" t="str">
            <v>Echo Appliance Center-Magallanes</v>
          </cell>
          <cell r="B47" t="str">
            <v>Echo Appliance Center</v>
          </cell>
          <cell r="C47" t="str">
            <v>Magallanes</v>
          </cell>
        </row>
        <row r="48">
          <cell r="A48" t="str">
            <v>E&amp;E's Takuyaki-Robinsons Cybergate</v>
          </cell>
          <cell r="B48" t="str">
            <v>E&amp;E's Takuyaki</v>
          </cell>
          <cell r="C48" t="str">
            <v>Robinsons Cybergate</v>
          </cell>
        </row>
        <row r="49">
          <cell r="A49" t="str">
            <v>Egg Seller-C. Padilla (Mambaling)</v>
          </cell>
          <cell r="B49" t="str">
            <v>Egg Seller</v>
          </cell>
          <cell r="C49" t="str">
            <v>C. Padilla (Mambaling)</v>
          </cell>
        </row>
        <row r="50">
          <cell r="A50" t="str">
            <v>Eggcelsior-7Tsi - Guadalupe</v>
          </cell>
          <cell r="B50" t="str">
            <v>Eggcelsior</v>
          </cell>
          <cell r="C50" t="str">
            <v>7Tsi - Guadalupe</v>
          </cell>
        </row>
        <row r="51">
          <cell r="A51" t="str">
            <v>Facebook -Online Seller</v>
          </cell>
          <cell r="B51" t="str">
            <v xml:space="preserve">Facebook </v>
          </cell>
          <cell r="C51" t="str">
            <v>Online Seller</v>
          </cell>
        </row>
        <row r="52">
          <cell r="A52" t="str">
            <v xml:space="preserve">Familia House-P. Lopez </v>
          </cell>
          <cell r="B52" t="str">
            <v>Familia House</v>
          </cell>
          <cell r="C52" t="str">
            <v xml:space="preserve">P. Lopez </v>
          </cell>
        </row>
        <row r="53">
          <cell r="A53" t="str">
            <v>Fooda-Guadalupe</v>
          </cell>
          <cell r="B53" t="str">
            <v>Fooda</v>
          </cell>
          <cell r="C53" t="str">
            <v>Guadalupe</v>
          </cell>
        </row>
        <row r="54">
          <cell r="A54" t="str">
            <v>Fooda-Mango Ave.</v>
          </cell>
          <cell r="B54" t="str">
            <v>Fooda</v>
          </cell>
          <cell r="C54" t="str">
            <v>Mango Ave.</v>
          </cell>
        </row>
        <row r="55">
          <cell r="A55" t="str">
            <v>Francisco L. Chio, Jr.-Chong Hua Medical Arts</v>
          </cell>
          <cell r="B55" t="str">
            <v>Francisco L. Chio, Jr.</v>
          </cell>
          <cell r="C55" t="str">
            <v>Chong Hua Medical Arts</v>
          </cell>
        </row>
        <row r="56">
          <cell r="A56" t="str">
            <v>Fruitas-SM Seaside, Cebu</v>
          </cell>
          <cell r="B56" t="str">
            <v>Fruitas</v>
          </cell>
          <cell r="C56" t="str">
            <v>SM Seaside, Cebu</v>
          </cell>
        </row>
        <row r="57">
          <cell r="A57" t="str">
            <v>Gaisano Capital-Colon Street</v>
          </cell>
          <cell r="B57" t="str">
            <v>Gaisano Capital</v>
          </cell>
          <cell r="C57" t="str">
            <v>Colon Street</v>
          </cell>
        </row>
        <row r="58">
          <cell r="A58" t="str">
            <v>Gigi Massage Chair-SM Seaside, Cebu</v>
          </cell>
          <cell r="B58" t="str">
            <v>Gigi Massage Chair</v>
          </cell>
          <cell r="C58" t="str">
            <v>SM Seaside, Cebu</v>
          </cell>
        </row>
        <row r="59">
          <cell r="A59" t="str">
            <v>Gil's Barbershop-F. Llamas</v>
          </cell>
          <cell r="B59" t="str">
            <v>Gil's Barbershop</v>
          </cell>
          <cell r="C59" t="str">
            <v>F. Llamas</v>
          </cell>
        </row>
        <row r="60">
          <cell r="A60" t="str">
            <v>Goldilocks Bakeshop-Ayala Center Cebu</v>
          </cell>
          <cell r="B60" t="str">
            <v>Goldilocks Bakeshop</v>
          </cell>
          <cell r="C60" t="str">
            <v>Ayala Center Cebu</v>
          </cell>
        </row>
        <row r="61">
          <cell r="A61" t="str">
            <v>Goldilocks Bakeshop-F. Llamas</v>
          </cell>
          <cell r="B61" t="str">
            <v>Goldilocks Bakeshop</v>
          </cell>
          <cell r="C61" t="str">
            <v>F. Llamas</v>
          </cell>
        </row>
        <row r="62">
          <cell r="A62" t="str">
            <v>Goldilocks Bakeshop-ShopWise</v>
          </cell>
          <cell r="B62" t="str">
            <v>Goldilocks Bakeshop</v>
          </cell>
          <cell r="C62" t="str">
            <v>ShopWise</v>
          </cell>
        </row>
        <row r="63">
          <cell r="A63" t="str">
            <v>GV Botica-Katipunan</v>
          </cell>
          <cell r="B63" t="str">
            <v>GV Botica</v>
          </cell>
          <cell r="C63" t="str">
            <v>Katipunan</v>
          </cell>
        </row>
        <row r="64">
          <cell r="A64" t="str">
            <v>Handyman-Parkmall</v>
          </cell>
          <cell r="B64" t="str">
            <v>Handyman</v>
          </cell>
          <cell r="C64" t="str">
            <v>Parkmall</v>
          </cell>
        </row>
        <row r="65">
          <cell r="A65" t="str">
            <v>Happy Valley-Happy Valley</v>
          </cell>
          <cell r="B65" t="str">
            <v>Happy Valley</v>
          </cell>
          <cell r="C65" t="str">
            <v>Happy Valley</v>
          </cell>
        </row>
        <row r="66">
          <cell r="A66" t="str">
            <v>Happy-Haus Donut-AB Aznar Street, SWU</v>
          </cell>
          <cell r="B66" t="str">
            <v>Happy-Haus Donut</v>
          </cell>
          <cell r="C66" t="str">
            <v>AB Aznar Street, SWU</v>
          </cell>
        </row>
        <row r="67">
          <cell r="A67" t="str">
            <v>Hel-An Thai Massage And Spa-Osmeña Blvd</v>
          </cell>
          <cell r="B67" t="str">
            <v>Hel-An Thai Massage And Spa</v>
          </cell>
          <cell r="C67" t="str">
            <v>Osmeña Blvd</v>
          </cell>
        </row>
        <row r="68">
          <cell r="A68" t="str">
            <v>Hi Grain-P. Gullas</v>
          </cell>
          <cell r="B68" t="str">
            <v>Hi Grain</v>
          </cell>
          <cell r="C68" t="str">
            <v>P. Gullas</v>
          </cell>
        </row>
        <row r="69">
          <cell r="A69" t="str">
            <v>Hi Precision-Fuente</v>
          </cell>
          <cell r="B69" t="str">
            <v>Hi Precision</v>
          </cell>
          <cell r="C69" t="str">
            <v>Fuente</v>
          </cell>
        </row>
        <row r="70">
          <cell r="A70" t="str">
            <v>HPDS-Junquera Street</v>
          </cell>
          <cell r="B70" t="str">
            <v>HPDS</v>
          </cell>
          <cell r="C70" t="str">
            <v>Junquera Street</v>
          </cell>
        </row>
        <row r="71">
          <cell r="A71" t="str">
            <v>Hygea Wellness Spa -Ayala Center Cebu</v>
          </cell>
          <cell r="B71" t="str">
            <v xml:space="preserve">Hygea Wellness Spa </v>
          </cell>
          <cell r="C71" t="str">
            <v>Ayala Center Cebu</v>
          </cell>
        </row>
        <row r="72">
          <cell r="A72" t="str">
            <v>Iben's Pharmacy-Don Jose Avila, Capitol</v>
          </cell>
          <cell r="B72" t="str">
            <v>Iben's Pharmacy</v>
          </cell>
          <cell r="C72" t="str">
            <v>Don Jose Avila, Capitol</v>
          </cell>
        </row>
        <row r="73">
          <cell r="A73" t="str">
            <v>Integrated Cardiovascular Wellness and Lifestyle Center Inc. (HeartHub)-City Time Square, Mandaue</v>
          </cell>
          <cell r="B73" t="str">
            <v>Integrated Cardiovascular Wellness and Lifestyle Center Inc. (HeartHub)</v>
          </cell>
          <cell r="C73" t="str">
            <v>City Time Square, Mandaue</v>
          </cell>
        </row>
        <row r="74">
          <cell r="A74" t="str">
            <v>Jim Lechon-F. Llamas Street</v>
          </cell>
          <cell r="B74" t="str">
            <v>Jim Lechon</v>
          </cell>
          <cell r="C74" t="str">
            <v>F. Llamas Street</v>
          </cell>
        </row>
        <row r="75">
          <cell r="A75" t="str">
            <v>Jollibee-Boulevard Capitol</v>
          </cell>
          <cell r="B75" t="str">
            <v>Jollibee</v>
          </cell>
          <cell r="C75" t="str">
            <v>Boulevard Capitol</v>
          </cell>
        </row>
        <row r="76">
          <cell r="A76" t="str">
            <v>JOYOJoyo Marketing-SM Seaside, Cebu</v>
          </cell>
          <cell r="B76" t="str">
            <v>JOYOJoyo Marketing</v>
          </cell>
          <cell r="C76" t="str">
            <v>SM Seaside, Cebu</v>
          </cell>
        </row>
        <row r="77">
          <cell r="A77" t="str">
            <v>JPV-V. Rama Ave.</v>
          </cell>
          <cell r="B77" t="str">
            <v>JPV</v>
          </cell>
          <cell r="C77" t="str">
            <v>V. Rama Ave.</v>
          </cell>
        </row>
        <row r="78">
          <cell r="A78" t="str">
            <v>Julies Bakeshope-Basak San Nicolas</v>
          </cell>
          <cell r="B78" t="str">
            <v>Julies Bakeshope</v>
          </cell>
          <cell r="C78" t="str">
            <v>Basak San Nicolas</v>
          </cell>
        </row>
        <row r="79">
          <cell r="A79" t="str">
            <v>Julies Bakeshope-F. Llamas</v>
          </cell>
          <cell r="B79" t="str">
            <v>Julies Bakeshope</v>
          </cell>
          <cell r="C79" t="str">
            <v>F. Llamas</v>
          </cell>
        </row>
        <row r="80">
          <cell r="A80" t="str">
            <v>Julies Bakeshope-Junquera Ext</v>
          </cell>
          <cell r="B80" t="str">
            <v>Julies Bakeshope</v>
          </cell>
          <cell r="C80" t="str">
            <v>Junquera Ext</v>
          </cell>
        </row>
        <row r="81">
          <cell r="A81" t="str">
            <v>Julies Bakeshope-Tisa</v>
          </cell>
          <cell r="B81" t="str">
            <v>Julies Bakeshope</v>
          </cell>
          <cell r="C81" t="str">
            <v>Tisa</v>
          </cell>
        </row>
        <row r="82">
          <cell r="A82" t="str">
            <v>Julies Bakeshope-Urgello</v>
          </cell>
          <cell r="B82" t="str">
            <v>Julies Bakeshope</v>
          </cell>
          <cell r="C82" t="str">
            <v>Urgello</v>
          </cell>
        </row>
        <row r="83">
          <cell r="A83" t="str">
            <v>Kakeng-Parkmall</v>
          </cell>
          <cell r="B83" t="str">
            <v>Kakeng</v>
          </cell>
          <cell r="C83" t="str">
            <v>Parkmall</v>
          </cell>
        </row>
        <row r="84">
          <cell r="A84" t="str">
            <v>Kakeng-Plaridel</v>
          </cell>
          <cell r="B84" t="str">
            <v>Kakeng</v>
          </cell>
          <cell r="C84" t="str">
            <v>Plaridel</v>
          </cell>
        </row>
        <row r="85">
          <cell r="A85" t="str">
            <v>Kapitan AutoParts-Boromeo st.</v>
          </cell>
          <cell r="B85" t="str">
            <v>Kapitan AutoParts</v>
          </cell>
          <cell r="C85" t="str">
            <v>Boromeo st.</v>
          </cell>
        </row>
        <row r="86">
          <cell r="A86" t="str">
            <v>KFC-Redemptorist</v>
          </cell>
          <cell r="B86" t="str">
            <v>KFC</v>
          </cell>
          <cell r="C86" t="str">
            <v>Redemptorist</v>
          </cell>
        </row>
        <row r="87">
          <cell r="A87" t="str">
            <v>KFC-Panagdait</v>
          </cell>
          <cell r="B87" t="str">
            <v>KFC</v>
          </cell>
          <cell r="C87" t="str">
            <v>Panagdait</v>
          </cell>
        </row>
        <row r="88">
          <cell r="A88" t="str">
            <v>KFC-SM Seaside, Cebu</v>
          </cell>
          <cell r="B88" t="str">
            <v>KFC</v>
          </cell>
          <cell r="C88" t="str">
            <v>SM Seaside, Cebu</v>
          </cell>
        </row>
        <row r="89">
          <cell r="A89" t="str">
            <v>La Fortuna Bakery-Borromeo</v>
          </cell>
          <cell r="B89" t="str">
            <v>La Fortuna Bakery</v>
          </cell>
          <cell r="C89" t="str">
            <v>Borromeo</v>
          </cell>
        </row>
        <row r="90">
          <cell r="A90" t="str">
            <v>Lazada-Online</v>
          </cell>
          <cell r="B90" t="str">
            <v>Lazada</v>
          </cell>
          <cell r="C90" t="str">
            <v>Online</v>
          </cell>
        </row>
        <row r="91">
          <cell r="A91" t="str">
            <v>Leona-Juan Luna</v>
          </cell>
          <cell r="B91" t="str">
            <v>Leona</v>
          </cell>
          <cell r="C91" t="str">
            <v>Juan Luna</v>
          </cell>
        </row>
        <row r="92">
          <cell r="A92" t="str">
            <v>Leona-SM Seaside, Cebu</v>
          </cell>
          <cell r="B92" t="str">
            <v>Leona</v>
          </cell>
          <cell r="C92" t="str">
            <v>SM Seaside, Cebu</v>
          </cell>
        </row>
        <row r="93">
          <cell r="A93" t="str">
            <v>Lumpia House-Manalili</v>
          </cell>
          <cell r="B93" t="str">
            <v>Lumpia House</v>
          </cell>
          <cell r="C93" t="str">
            <v>Manalili</v>
          </cell>
        </row>
        <row r="94">
          <cell r="A94" t="str">
            <v>Leylam-SM Seaside, Cebu</v>
          </cell>
          <cell r="B94" t="str">
            <v>Leylam</v>
          </cell>
          <cell r="C94" t="str">
            <v>SM Seaside, Cebu</v>
          </cell>
        </row>
        <row r="95">
          <cell r="A95" t="str">
            <v>Leylam-Robinsons Cybergate</v>
          </cell>
          <cell r="B95" t="str">
            <v>Leylam</v>
          </cell>
          <cell r="C95" t="str">
            <v>Robinsons Cybergate</v>
          </cell>
        </row>
        <row r="96">
          <cell r="A96" t="str">
            <v>Mark &amp; Spencer-Ayala Center Cebu</v>
          </cell>
          <cell r="B96" t="str">
            <v>Mark &amp; Spencer</v>
          </cell>
          <cell r="C96" t="str">
            <v>Ayala Center Cebu</v>
          </cell>
        </row>
        <row r="97">
          <cell r="A97" t="str">
            <v>McDonald-Arcenas, Banawa</v>
          </cell>
          <cell r="B97" t="str">
            <v>McDonald</v>
          </cell>
          <cell r="C97" t="str">
            <v>Arcenas, Banawa</v>
          </cell>
        </row>
        <row r="98">
          <cell r="A98" t="str">
            <v>McDonald-Cebu Basak San Nicolas</v>
          </cell>
          <cell r="B98" t="str">
            <v>McDonald</v>
          </cell>
          <cell r="C98" t="str">
            <v>Cebu Basak San Nicolas</v>
          </cell>
        </row>
        <row r="99">
          <cell r="A99" t="str">
            <v>McDonald-Cebu Business Park (Bohol Street)</v>
          </cell>
          <cell r="B99" t="str">
            <v>McDonald</v>
          </cell>
          <cell r="C99" t="str">
            <v>Cebu Business Park (Bohol Street)</v>
          </cell>
        </row>
        <row r="100">
          <cell r="A100" t="str">
            <v>McDonald-Cebu Escario</v>
          </cell>
          <cell r="B100" t="str">
            <v>McDonald</v>
          </cell>
          <cell r="C100" t="str">
            <v>Cebu Escario</v>
          </cell>
        </row>
        <row r="101">
          <cell r="A101" t="str">
            <v>McDonald-Osmena Blvd. (Fuente)</v>
          </cell>
          <cell r="B101" t="str">
            <v>McDonald</v>
          </cell>
          <cell r="C101" t="str">
            <v>Osmena Blvd. (Fuente)</v>
          </cell>
        </row>
        <row r="102">
          <cell r="A102" t="str">
            <v>Mercury Drug-ACC Tower Cebu Business Park</v>
          </cell>
          <cell r="B102" t="str">
            <v>Mercury Drug</v>
          </cell>
          <cell r="C102" t="str">
            <v>ACC Tower Cebu Business Park</v>
          </cell>
        </row>
        <row r="103">
          <cell r="A103" t="str">
            <v>Mercury Drug-F. Llamas</v>
          </cell>
          <cell r="B103" t="str">
            <v>Mercury Drug</v>
          </cell>
          <cell r="C103" t="str">
            <v>F. Llamas</v>
          </cell>
        </row>
        <row r="104">
          <cell r="A104" t="str">
            <v>Mercury Drug-Fuente</v>
          </cell>
          <cell r="B104" t="str">
            <v>Mercury Drug</v>
          </cell>
          <cell r="C104" t="str">
            <v>Fuente</v>
          </cell>
        </row>
        <row r="105">
          <cell r="A105" t="str">
            <v>Metro Department-Ayala Center Cebu</v>
          </cell>
          <cell r="B105" t="str">
            <v>Metro Department</v>
          </cell>
          <cell r="C105" t="str">
            <v>Ayala Center Cebu</v>
          </cell>
        </row>
        <row r="106">
          <cell r="A106" t="str">
            <v>Metro Department-Super Metro (Basak)</v>
          </cell>
          <cell r="B106" t="str">
            <v>Metro Department</v>
          </cell>
          <cell r="C106" t="str">
            <v>Super Metro (Basak)</v>
          </cell>
        </row>
        <row r="107">
          <cell r="A107" t="str">
            <v>Metro Drug-Metro (Colon)</v>
          </cell>
          <cell r="B107" t="str">
            <v>Metro Drug</v>
          </cell>
          <cell r="C107" t="str">
            <v>Metro (Colon)</v>
          </cell>
        </row>
        <row r="108">
          <cell r="A108" t="str">
            <v>Metro Drug-Super Metro (Basak)</v>
          </cell>
          <cell r="B108" t="str">
            <v>Metro Drug</v>
          </cell>
          <cell r="C108" t="str">
            <v>Super Metro (Basak)</v>
          </cell>
        </row>
        <row r="109">
          <cell r="A109" t="str">
            <v>Metro Grocery-Ayala Center Cebu</v>
          </cell>
          <cell r="B109" t="str">
            <v>Metro Grocery</v>
          </cell>
          <cell r="C109" t="str">
            <v>Ayala Center Cebu</v>
          </cell>
        </row>
        <row r="110">
          <cell r="A110" t="str">
            <v>Metro Grocery-Super Metro (Basak)</v>
          </cell>
          <cell r="B110" t="str">
            <v>Metro Grocery</v>
          </cell>
          <cell r="C110" t="str">
            <v>Super Metro (Basak)</v>
          </cell>
        </row>
        <row r="111">
          <cell r="A111" t="str">
            <v>Nedz Lechon-Jai-Alai C. Padilla</v>
          </cell>
          <cell r="B111" t="str">
            <v>Nedz Lechon</v>
          </cell>
          <cell r="C111" t="str">
            <v>Jai-Alai C. Padilla</v>
          </cell>
        </row>
        <row r="112">
          <cell r="A112" t="str">
            <v>NoeCar-B. Zubiri st, Labangon</v>
          </cell>
          <cell r="B112" t="str">
            <v>NoeCar</v>
          </cell>
          <cell r="C112" t="str">
            <v>B. Zubiri st, Labangon</v>
          </cell>
        </row>
        <row r="113">
          <cell r="A113" t="str">
            <v>Ong King Kin-Osmena Blvd</v>
          </cell>
          <cell r="B113" t="str">
            <v>Ong King Kin</v>
          </cell>
          <cell r="C113" t="str">
            <v>Osmena Blvd</v>
          </cell>
        </row>
        <row r="114">
          <cell r="A114" t="str">
            <v>Ong King Kin-Plaridel Street</v>
          </cell>
          <cell r="B114" t="str">
            <v>Ong King Kin</v>
          </cell>
          <cell r="C114" t="str">
            <v>Plaridel Street</v>
          </cell>
        </row>
        <row r="115">
          <cell r="A115" t="str">
            <v>Orange Brutus-Fuente Osmena</v>
          </cell>
          <cell r="B115" t="str">
            <v>Orange Brutus</v>
          </cell>
          <cell r="C115" t="str">
            <v>Fuente Osmena</v>
          </cell>
        </row>
        <row r="116">
          <cell r="A116" t="str">
            <v>Palawan Express -F. Llamas Street</v>
          </cell>
          <cell r="B116" t="str">
            <v xml:space="preserve">Palawan Express </v>
          </cell>
          <cell r="C116" t="str">
            <v>F. Llamas Street</v>
          </cell>
        </row>
        <row r="117">
          <cell r="A117" t="str">
            <v>Parking-Ayala Center Cebu</v>
          </cell>
          <cell r="B117" t="str">
            <v>Parking</v>
          </cell>
          <cell r="C117" t="str">
            <v>Ayala Center Cebu</v>
          </cell>
        </row>
        <row r="118">
          <cell r="A118" t="str">
            <v>Parking-Road</v>
          </cell>
          <cell r="B118" t="str">
            <v>Parking</v>
          </cell>
          <cell r="C118" t="str">
            <v>Road</v>
          </cell>
        </row>
        <row r="119">
          <cell r="A119" t="str">
            <v>Parking-SM City, Cebu</v>
          </cell>
          <cell r="B119" t="str">
            <v>Parking</v>
          </cell>
          <cell r="C119" t="str">
            <v>SM City, Cebu</v>
          </cell>
        </row>
        <row r="120">
          <cell r="A120" t="str">
            <v>PCQuickbuys-SM City, Cebu</v>
          </cell>
          <cell r="B120" t="str">
            <v>PCQuickbuys</v>
          </cell>
          <cell r="C120" t="str">
            <v>SM City, Cebu</v>
          </cell>
        </row>
        <row r="121">
          <cell r="A121" t="str">
            <v>People's Educational Supply-Colon</v>
          </cell>
          <cell r="B121" t="str">
            <v>People's Educational Supply</v>
          </cell>
          <cell r="C121" t="str">
            <v>Colon</v>
          </cell>
        </row>
        <row r="122">
          <cell r="A122" t="str">
            <v xml:space="preserve">People's Educational Supply-P. Lopez </v>
          </cell>
          <cell r="B122" t="str">
            <v>People's Educational Supply</v>
          </cell>
          <cell r="C122" t="str">
            <v xml:space="preserve">P. Lopez </v>
          </cell>
        </row>
        <row r="123">
          <cell r="A123" t="str">
            <v>Pinoy Siopao-Ayala Center Cebu</v>
          </cell>
          <cell r="B123" t="str">
            <v>Pinoy Siopao</v>
          </cell>
          <cell r="C123" t="str">
            <v>Ayala Center Cebu</v>
          </cell>
        </row>
        <row r="124">
          <cell r="A124" t="str">
            <v>Pizza Hut-Ayala Center Cebu</v>
          </cell>
          <cell r="B124" t="str">
            <v>Pizza Hut</v>
          </cell>
          <cell r="C124" t="str">
            <v>Ayala Center Cebu</v>
          </cell>
        </row>
        <row r="125">
          <cell r="A125" t="str">
            <v>Pizza Hut-SM City, Cebu</v>
          </cell>
          <cell r="B125" t="str">
            <v>Pizza Hut</v>
          </cell>
          <cell r="C125" t="str">
            <v>SM City, Cebu</v>
          </cell>
        </row>
        <row r="126">
          <cell r="A126" t="str">
            <v>Pizza Hut-SM Seaside, Cebu</v>
          </cell>
          <cell r="B126" t="str">
            <v>Pizza Hut</v>
          </cell>
          <cell r="C126" t="str">
            <v>SM Seaside, Cebu</v>
          </cell>
        </row>
        <row r="127">
          <cell r="A127" t="str">
            <v>Potato Corner-SM Seaside, Cebu</v>
          </cell>
          <cell r="B127" t="str">
            <v>Potato Corner</v>
          </cell>
          <cell r="C127" t="str">
            <v>SM Seaside, Cebu</v>
          </cell>
        </row>
        <row r="128">
          <cell r="A128" t="str">
            <v>Rachel Luang-Tisa</v>
          </cell>
          <cell r="B128" t="str">
            <v>Rachel Luang</v>
          </cell>
          <cell r="C128" t="str">
            <v>Tisa</v>
          </cell>
        </row>
        <row r="129">
          <cell r="A129" t="str">
            <v>Rago Lumber-Basak</v>
          </cell>
          <cell r="B129" t="str">
            <v>Rago Lumber</v>
          </cell>
          <cell r="C129" t="str">
            <v>Basak</v>
          </cell>
        </row>
        <row r="130">
          <cell r="A130" t="str">
            <v>RePhil-Bulacao Pardo</v>
          </cell>
          <cell r="B130" t="str">
            <v>RePhil</v>
          </cell>
          <cell r="C130" t="str">
            <v>Bulacao Pardo</v>
          </cell>
        </row>
        <row r="131">
          <cell r="A131" t="str">
            <v>Rose Pharmacy-Ayala Center Cebu</v>
          </cell>
          <cell r="B131" t="str">
            <v>Rose Pharmacy</v>
          </cell>
          <cell r="C131" t="str">
            <v>Ayala Center Cebu</v>
          </cell>
        </row>
        <row r="132">
          <cell r="A132" t="str">
            <v>Rose Pharmacy-Salvador Ext. Labangon</v>
          </cell>
          <cell r="B132" t="str">
            <v>Rose Pharmacy</v>
          </cell>
          <cell r="C132" t="str">
            <v>Salvador Ext. Labangon</v>
          </cell>
        </row>
        <row r="133">
          <cell r="A133" t="str">
            <v>Rose Pharmacy-ShopWise</v>
          </cell>
          <cell r="B133" t="str">
            <v>Rose Pharmacy</v>
          </cell>
          <cell r="C133" t="str">
            <v>ShopWise</v>
          </cell>
        </row>
        <row r="134">
          <cell r="A134" t="str">
            <v>Rose Pharmacy-Tita Gwapa F. Llamas</v>
          </cell>
          <cell r="B134" t="str">
            <v>Rose Pharmacy</v>
          </cell>
          <cell r="C134" t="str">
            <v>Tita Gwapa F. Llamas</v>
          </cell>
        </row>
        <row r="135">
          <cell r="A135" t="str">
            <v>Sandia Massage Spa-F. Ramos Street</v>
          </cell>
          <cell r="B135" t="str">
            <v>Sandia Massage Spa</v>
          </cell>
          <cell r="C135" t="str">
            <v>F. Ramos Street</v>
          </cell>
        </row>
        <row r="136">
          <cell r="A136" t="str">
            <v>Segura Marketing Inc.-J. Climaco Street</v>
          </cell>
          <cell r="B136" t="str">
            <v>Segura Marketing Inc.</v>
          </cell>
          <cell r="C136" t="str">
            <v>J. Climaco Street</v>
          </cell>
        </row>
        <row r="137">
          <cell r="A137" t="str">
            <v>Shopee-Online</v>
          </cell>
          <cell r="B137" t="str">
            <v>Shopee</v>
          </cell>
          <cell r="C137" t="str">
            <v>Online</v>
          </cell>
        </row>
        <row r="138">
          <cell r="A138" t="str">
            <v>ShopWise-Basak</v>
          </cell>
          <cell r="B138" t="str">
            <v>ShopWise</v>
          </cell>
          <cell r="C138" t="str">
            <v>Basak</v>
          </cell>
        </row>
        <row r="139">
          <cell r="A139" t="str">
            <v>Sit and Rest-SM Seaside, Cebu</v>
          </cell>
          <cell r="B139" t="str">
            <v>Sit and Rest</v>
          </cell>
          <cell r="C139" t="str">
            <v>SM Seaside, Cebu</v>
          </cell>
        </row>
        <row r="140">
          <cell r="A140" t="str">
            <v>SM - The Store-SM Seaside, Cebu</v>
          </cell>
          <cell r="B140" t="str">
            <v>SM - The Store</v>
          </cell>
          <cell r="C140" t="str">
            <v>SM Seaside, Cebu</v>
          </cell>
        </row>
        <row r="141">
          <cell r="A141" t="str">
            <v>SM Grocery-SM City, Cebu</v>
          </cell>
          <cell r="B141" t="str">
            <v>SM Grocery</v>
          </cell>
          <cell r="C141" t="str">
            <v>SM City, Cebu</v>
          </cell>
        </row>
        <row r="142">
          <cell r="A142" t="str">
            <v>SM Grocery-SM Seaside, Cebu</v>
          </cell>
          <cell r="B142" t="str">
            <v>SM Grocery</v>
          </cell>
          <cell r="C142" t="str">
            <v>SM Seaside, Cebu</v>
          </cell>
        </row>
        <row r="143">
          <cell r="A143" t="str">
            <v>SM Store-SM Seaside, Cebu</v>
          </cell>
          <cell r="B143" t="str">
            <v>SM Store</v>
          </cell>
          <cell r="C143" t="str">
            <v>SM Seaside, Cebu</v>
          </cell>
        </row>
        <row r="144">
          <cell r="A144" t="str">
            <v>SouthStar Drug-Robinsons Cybergate</v>
          </cell>
          <cell r="B144" t="str">
            <v>SouthStar Drug</v>
          </cell>
          <cell r="C144" t="str">
            <v>Robinsons Cybergate</v>
          </cell>
        </row>
        <row r="145">
          <cell r="A145" t="str">
            <v>Squeeze It Lemons and Juices -SM Seaside, Cebu</v>
          </cell>
          <cell r="B145" t="str">
            <v xml:space="preserve">Squeeze It Lemons and Juices </v>
          </cell>
          <cell r="C145" t="str">
            <v>SM Seaside, Cebu</v>
          </cell>
        </row>
        <row r="146">
          <cell r="A146" t="str">
            <v>Super Metro-Basak</v>
          </cell>
          <cell r="B146" t="str">
            <v>Super Metro</v>
          </cell>
          <cell r="C146" t="str">
            <v>Basak</v>
          </cell>
        </row>
        <row r="147">
          <cell r="A147" t="str">
            <v>Taoist Temple of the Golden Light-Samson Road</v>
          </cell>
          <cell r="B147" t="str">
            <v>Taoist Temple of the Golden Light</v>
          </cell>
          <cell r="C147" t="str">
            <v>Samson Road</v>
          </cell>
        </row>
        <row r="148">
          <cell r="A148" t="str">
            <v>Tay Bee-Manalili</v>
          </cell>
          <cell r="B148" t="str">
            <v>Tay Bee</v>
          </cell>
          <cell r="C148" t="str">
            <v>Manalili</v>
          </cell>
        </row>
        <row r="149">
          <cell r="A149" t="str">
            <v>Thai Boran-Don Gil Garcia st.</v>
          </cell>
          <cell r="B149" t="str">
            <v>Thai Boran</v>
          </cell>
          <cell r="C149" t="str">
            <v>Don Gil Garcia st.</v>
          </cell>
        </row>
        <row r="150">
          <cell r="A150" t="str">
            <v>The Lemon Co.-Robinsons Cybergate</v>
          </cell>
          <cell r="B150" t="str">
            <v>The Lemon Co.</v>
          </cell>
          <cell r="C150" t="str">
            <v>Robinsons Cybergate</v>
          </cell>
        </row>
        <row r="151">
          <cell r="A151" t="str">
            <v>Thinking Tools Inc.-SM City, Cebu</v>
          </cell>
          <cell r="B151" t="str">
            <v>Thinking Tools Inc.</v>
          </cell>
          <cell r="C151" t="str">
            <v>SM City, Cebu</v>
          </cell>
        </row>
        <row r="152">
          <cell r="A152" t="str">
            <v>Thirsty-Robinsons Cybergate</v>
          </cell>
          <cell r="B152" t="str">
            <v>Thirsty</v>
          </cell>
          <cell r="C152" t="str">
            <v>Robinsons Cybergate</v>
          </cell>
        </row>
        <row r="153">
          <cell r="A153" t="str">
            <v>Thirsty-SM City, Cebu</v>
          </cell>
          <cell r="B153" t="str">
            <v>Thirsty</v>
          </cell>
          <cell r="C153" t="str">
            <v>SM City, Cebu</v>
          </cell>
        </row>
        <row r="154">
          <cell r="A154" t="str">
            <v>Thirsty-SM Seaside, Cebu</v>
          </cell>
          <cell r="B154" t="str">
            <v>Thirsty</v>
          </cell>
          <cell r="C154" t="str">
            <v>SM Seaside, Cebu</v>
          </cell>
        </row>
        <row r="155">
          <cell r="A155" t="str">
            <v>ThreeSixty Pharmacy-La Paloma Branch</v>
          </cell>
          <cell r="B155" t="str">
            <v>ThreeSixty Pharmacy</v>
          </cell>
          <cell r="C155" t="str">
            <v>La Paloma Branch</v>
          </cell>
        </row>
        <row r="156">
          <cell r="A156" t="str">
            <v>Tiny Bubbles-F. Llamas</v>
          </cell>
          <cell r="B156" t="str">
            <v>Tiny Bubbles</v>
          </cell>
          <cell r="C156" t="str">
            <v>F. Llamas</v>
          </cell>
        </row>
        <row r="157">
          <cell r="A157" t="str">
            <v>Tommy's Electronics-Colon Street</v>
          </cell>
          <cell r="B157" t="str">
            <v>Tommy's Electronics</v>
          </cell>
          <cell r="C157" t="str">
            <v>Colon Street</v>
          </cell>
        </row>
        <row r="158">
          <cell r="A158" t="str">
            <v>Ton's Water-F. Llamas</v>
          </cell>
          <cell r="B158" t="str">
            <v>Ton's Water</v>
          </cell>
          <cell r="C158" t="str">
            <v>F. Llamas</v>
          </cell>
        </row>
        <row r="159">
          <cell r="A159" t="str">
            <v>Tri-J Marketting Inc.-Cebu South Road</v>
          </cell>
          <cell r="B159" t="str">
            <v>Tri-J Marketting Inc.</v>
          </cell>
          <cell r="C159" t="str">
            <v>Cebu South Road</v>
          </cell>
        </row>
        <row r="160">
          <cell r="A160" t="str">
            <v>Unitop-Osmena Blvd. (Downtown)</v>
          </cell>
          <cell r="B160" t="str">
            <v>Unitop</v>
          </cell>
          <cell r="C160" t="str">
            <v>Osmena Blvd. (Downtown)</v>
          </cell>
        </row>
        <row r="161">
          <cell r="A161" t="str">
            <v>Vicente Sotty Memorial Medical Center (DOH)-B. Rodriguez Street</v>
          </cell>
          <cell r="B161" t="str">
            <v>Vicente Sotty Memorial Medical Center (DOH)</v>
          </cell>
          <cell r="C161" t="str">
            <v>B. Rodriguez Street</v>
          </cell>
        </row>
        <row r="162">
          <cell r="A162" t="str">
            <v xml:space="preserve">Victory Educational Supply-P. Lopez </v>
          </cell>
          <cell r="B162" t="str">
            <v>Victory Educational Supply</v>
          </cell>
          <cell r="C162" t="str">
            <v xml:space="preserve">P. Lopez </v>
          </cell>
        </row>
        <row r="163">
          <cell r="A163" t="str">
            <v>Visayan Educational Supply-Magallanes</v>
          </cell>
          <cell r="B163" t="str">
            <v>Visayan Educational Supply</v>
          </cell>
          <cell r="C163" t="str">
            <v>Magallanes</v>
          </cell>
        </row>
        <row r="164">
          <cell r="A164" t="str">
            <v>Waffle Time-SM Seaside, Cebu</v>
          </cell>
          <cell r="B164" t="str">
            <v>Waffle Time</v>
          </cell>
          <cell r="C164" t="str">
            <v>SM Seaside, Cebu</v>
          </cell>
        </row>
        <row r="165">
          <cell r="A165" t="str">
            <v>Water Refilling Station-Carlock</v>
          </cell>
          <cell r="B165" t="str">
            <v>Water Refilling Station</v>
          </cell>
          <cell r="C165" t="str">
            <v>Carlock</v>
          </cell>
        </row>
        <row r="166">
          <cell r="A166" t="str">
            <v>Watermelon Massage Spa-Escario Street</v>
          </cell>
          <cell r="B166" t="str">
            <v>Watermelon Massage Spa</v>
          </cell>
          <cell r="C166" t="str">
            <v>Escario Street</v>
          </cell>
        </row>
        <row r="167">
          <cell r="A167" t="str">
            <v>Watson -Banawa-Guadalupe</v>
          </cell>
          <cell r="B167" t="str">
            <v xml:space="preserve">Watson </v>
          </cell>
          <cell r="C167" t="str">
            <v>Banawa-Guadalupe</v>
          </cell>
        </row>
        <row r="168">
          <cell r="A168" t="str">
            <v>Watson -Capitol Site</v>
          </cell>
          <cell r="B168" t="str">
            <v xml:space="preserve">Watson </v>
          </cell>
          <cell r="C168" t="str">
            <v>Capitol Site</v>
          </cell>
        </row>
        <row r="169">
          <cell r="A169" t="str">
            <v>Watson -SM Seaside, Cebu</v>
          </cell>
          <cell r="B169" t="str">
            <v xml:space="preserve">Watson </v>
          </cell>
          <cell r="C169" t="str">
            <v>SM Seaside, Cebu</v>
          </cell>
        </row>
        <row r="170">
          <cell r="A170" t="str">
            <v>Wellnessland Wellness Center-Sikatuna St., Zapatera, Cebu City</v>
          </cell>
          <cell r="B170" t="str">
            <v>Wellnessland Wellness Center</v>
          </cell>
          <cell r="C170" t="str">
            <v>Sikatuna St., Zapatera, Cebu City</v>
          </cell>
        </row>
        <row r="171">
          <cell r="A171" t="str">
            <v>Wired Systems Corporation-St. Patricks Square</v>
          </cell>
          <cell r="B171" t="str">
            <v>Wired Systems Corporation</v>
          </cell>
          <cell r="C171" t="str">
            <v>St. Patricks Square</v>
          </cell>
        </row>
        <row r="172">
          <cell r="A172" t="str">
            <v>-</v>
          </cell>
        </row>
        <row r="173">
          <cell r="A173" t="str">
            <v>-</v>
          </cell>
        </row>
        <row r="174">
          <cell r="A174" t="str">
            <v>-</v>
          </cell>
        </row>
        <row r="175">
          <cell r="A175" t="str">
            <v>-</v>
          </cell>
        </row>
        <row r="176">
          <cell r="A176" t="str">
            <v>-</v>
          </cell>
        </row>
        <row r="177">
          <cell r="A177" t="str">
            <v>-</v>
          </cell>
        </row>
        <row r="178">
          <cell r="A178" t="str">
            <v>-</v>
          </cell>
        </row>
        <row r="179">
          <cell r="A179" t="str">
            <v>-</v>
          </cell>
        </row>
        <row r="180">
          <cell r="A180" t="str">
            <v>-</v>
          </cell>
        </row>
        <row r="181">
          <cell r="A181" t="str">
            <v>-</v>
          </cell>
        </row>
        <row r="182">
          <cell r="A182" t="str">
            <v>-</v>
          </cell>
        </row>
        <row r="183">
          <cell r="A183" t="str">
            <v>-</v>
          </cell>
        </row>
        <row r="184">
          <cell r="A184" t="str">
            <v>-</v>
          </cell>
        </row>
        <row r="185">
          <cell r="A185" t="str">
            <v>-</v>
          </cell>
        </row>
        <row r="186">
          <cell r="A186" t="str">
            <v>-</v>
          </cell>
        </row>
        <row r="187">
          <cell r="A187" t="str">
            <v>-</v>
          </cell>
        </row>
        <row r="188">
          <cell r="A188" t="str">
            <v>-</v>
          </cell>
        </row>
        <row r="189">
          <cell r="A189" t="str">
            <v>-</v>
          </cell>
        </row>
        <row r="190">
          <cell r="A190" t="str">
            <v>-</v>
          </cell>
        </row>
        <row r="191">
          <cell r="A191" t="str">
            <v>-</v>
          </cell>
        </row>
        <row r="192">
          <cell r="A192" t="str">
            <v>-</v>
          </cell>
        </row>
        <row r="193">
          <cell r="A193" t="str">
            <v>-</v>
          </cell>
        </row>
        <row r="194">
          <cell r="A194" t="str">
            <v>-</v>
          </cell>
        </row>
        <row r="195">
          <cell r="A195" t="str">
            <v>-</v>
          </cell>
        </row>
        <row r="196">
          <cell r="A196" t="str">
            <v>-</v>
          </cell>
        </row>
        <row r="197">
          <cell r="A197" t="str">
            <v>-</v>
          </cell>
        </row>
        <row r="198">
          <cell r="A198" t="str">
            <v>-</v>
          </cell>
        </row>
        <row r="199">
          <cell r="A199" t="str">
            <v>-</v>
          </cell>
        </row>
        <row r="200">
          <cell r="A200" t="str">
            <v>-</v>
          </cell>
        </row>
        <row r="201">
          <cell r="A201" t="str">
            <v>-</v>
          </cell>
        </row>
        <row r="202">
          <cell r="A202" t="str">
            <v>-</v>
          </cell>
        </row>
        <row r="203">
          <cell r="A203" t="str">
            <v>-</v>
          </cell>
        </row>
        <row r="204">
          <cell r="A204" t="str">
            <v>-</v>
          </cell>
        </row>
        <row r="205">
          <cell r="A205" t="str">
            <v>-</v>
          </cell>
        </row>
        <row r="206">
          <cell r="A206" t="str">
            <v>-</v>
          </cell>
        </row>
        <row r="207">
          <cell r="A207" t="str">
            <v>-</v>
          </cell>
        </row>
        <row r="208">
          <cell r="A208" t="str">
            <v>-</v>
          </cell>
        </row>
        <row r="209">
          <cell r="A209" t="str">
            <v>-</v>
          </cell>
        </row>
        <row r="210">
          <cell r="A210" t="str">
            <v>-</v>
          </cell>
        </row>
        <row r="211">
          <cell r="A211" t="str">
            <v>-</v>
          </cell>
        </row>
        <row r="212">
          <cell r="A212" t="str">
            <v>-</v>
          </cell>
        </row>
        <row r="213">
          <cell r="A213" t="str">
            <v>-</v>
          </cell>
        </row>
        <row r="214">
          <cell r="A214" t="str">
            <v>-</v>
          </cell>
        </row>
        <row r="215">
          <cell r="A215" t="str">
            <v>-</v>
          </cell>
        </row>
        <row r="216">
          <cell r="A216" t="str">
            <v>-</v>
          </cell>
        </row>
        <row r="217">
          <cell r="A217" t="str">
            <v>-</v>
          </cell>
        </row>
        <row r="218">
          <cell r="A218" t="str">
            <v>-</v>
          </cell>
        </row>
        <row r="219">
          <cell r="A219" t="str">
            <v>-</v>
          </cell>
        </row>
        <row r="220">
          <cell r="A220" t="str">
            <v>-</v>
          </cell>
        </row>
        <row r="221">
          <cell r="A221" t="str">
            <v>-</v>
          </cell>
        </row>
        <row r="222">
          <cell r="A222" t="str">
            <v>-</v>
          </cell>
        </row>
        <row r="223">
          <cell r="A223" t="str">
            <v>-</v>
          </cell>
        </row>
        <row r="224">
          <cell r="A224" t="str">
            <v>-</v>
          </cell>
        </row>
        <row r="225">
          <cell r="A225" t="str">
            <v>-</v>
          </cell>
        </row>
        <row r="226">
          <cell r="A226" t="str">
            <v>-</v>
          </cell>
        </row>
        <row r="227">
          <cell r="A227" t="str">
            <v>-</v>
          </cell>
        </row>
        <row r="228">
          <cell r="A228" t="str">
            <v>-</v>
          </cell>
        </row>
        <row r="229">
          <cell r="A229" t="str">
            <v>-</v>
          </cell>
        </row>
        <row r="230">
          <cell r="A230" t="str">
            <v>-</v>
          </cell>
        </row>
        <row r="231">
          <cell r="A231" t="str">
            <v>-</v>
          </cell>
        </row>
        <row r="232">
          <cell r="A232" t="str">
            <v>-</v>
          </cell>
        </row>
        <row r="233">
          <cell r="A233" t="str">
            <v>-</v>
          </cell>
        </row>
        <row r="234">
          <cell r="A234" t="str">
            <v>-</v>
          </cell>
        </row>
        <row r="235">
          <cell r="A235" t="str">
            <v>-</v>
          </cell>
        </row>
        <row r="236">
          <cell r="A236" t="str">
            <v>-</v>
          </cell>
        </row>
        <row r="237">
          <cell r="A237" t="str">
            <v>-</v>
          </cell>
        </row>
        <row r="238">
          <cell r="A238" t="str">
            <v>-</v>
          </cell>
        </row>
        <row r="239">
          <cell r="A239" t="str">
            <v>-</v>
          </cell>
        </row>
        <row r="240">
          <cell r="A240" t="str">
            <v>-</v>
          </cell>
        </row>
        <row r="241">
          <cell r="A241" t="str">
            <v>-</v>
          </cell>
        </row>
        <row r="242">
          <cell r="A242" t="str">
            <v>-</v>
          </cell>
        </row>
        <row r="243">
          <cell r="A243" t="str">
            <v>-</v>
          </cell>
        </row>
      </sheetData>
      <sheetData sheetId="9" refreshError="1"/>
      <sheetData sheetId="10">
        <row r="12">
          <cell r="A12" t="str">
            <v xml:space="preserve"> </v>
          </cell>
          <cell r="B12" t="str">
            <v xml:space="preserve"> </v>
          </cell>
          <cell r="C12" t="str">
            <v xml:space="preserve"> </v>
          </cell>
          <cell r="D12" t="str">
            <v xml:space="preserve"> </v>
          </cell>
        </row>
        <row r="15">
          <cell r="A15" t="str">
            <v xml:space="preserve">Unliquidated(Items) </v>
          </cell>
          <cell r="B15" t="str">
            <v>Items</v>
          </cell>
          <cell r="C15" t="str">
            <v>Unliquidated</v>
          </cell>
        </row>
        <row r="16">
          <cell r="A16" t="str">
            <v>One Time</v>
          </cell>
          <cell r="B16" t="str">
            <v xml:space="preserve"> </v>
          </cell>
          <cell r="C16" t="str">
            <v>One Time</v>
          </cell>
          <cell r="D16" t="str">
            <v xml:space="preserve"> </v>
          </cell>
        </row>
        <row r="17">
          <cell r="A17" t="str">
            <v>(Omega) 120ml</v>
          </cell>
          <cell r="B17" t="str">
            <v>Omega</v>
          </cell>
          <cell r="D17" t="str">
            <v>120ml</v>
          </cell>
        </row>
        <row r="18">
          <cell r="A18" t="str">
            <v>(Omega) 60ml</v>
          </cell>
          <cell r="B18" t="str">
            <v>Omega</v>
          </cell>
          <cell r="D18" t="str">
            <v>60ml</v>
          </cell>
        </row>
        <row r="19">
          <cell r="A19" t="str">
            <v>(Rosuvastatin) 5mg</v>
          </cell>
          <cell r="B19" t="str">
            <v>Rosuvastatin</v>
          </cell>
          <cell r="D19" t="str">
            <v>5mg</v>
          </cell>
        </row>
        <row r="20">
          <cell r="A20" t="str">
            <v>Acetylcysteine (Fluimucil) 100mg</v>
          </cell>
          <cell r="B20" t="str">
            <v>Fluimucil</v>
          </cell>
          <cell r="C20" t="str">
            <v xml:space="preserve">Acetylcysteine </v>
          </cell>
          <cell r="D20" t="str">
            <v>100mg</v>
          </cell>
        </row>
        <row r="21">
          <cell r="A21" t="str">
            <v>Aldactone(Spironolactone) 25mg</v>
          </cell>
          <cell r="B21" t="str">
            <v>Spironolactone</v>
          </cell>
          <cell r="C21" t="str">
            <v>Aldactone</v>
          </cell>
          <cell r="D21" t="str">
            <v>25mg</v>
          </cell>
        </row>
        <row r="22">
          <cell r="A22" t="str">
            <v>Aldactone(Spironolactone) 50mg</v>
          </cell>
          <cell r="B22" t="str">
            <v>Spironolactone</v>
          </cell>
          <cell r="C22" t="str">
            <v>Aldactone</v>
          </cell>
          <cell r="D22" t="str">
            <v>50mg</v>
          </cell>
        </row>
        <row r="23">
          <cell r="A23" t="str">
            <v>Amlodipine(Rite-Med) 5mg</v>
          </cell>
          <cell r="B23" t="str">
            <v>Rite-Med</v>
          </cell>
          <cell r="C23" t="str">
            <v>Amlodipine</v>
          </cell>
          <cell r="D23" t="str">
            <v>5mg</v>
          </cell>
        </row>
        <row r="24">
          <cell r="A24" t="str">
            <v xml:space="preserve">Antasid(Maalox) </v>
          </cell>
          <cell r="B24" t="str">
            <v>Maalox</v>
          </cell>
          <cell r="C24" t="str">
            <v>Antasid</v>
          </cell>
        </row>
        <row r="25">
          <cell r="A25" t="str">
            <v>Ascorbic Acid(Rhea ) 500mg</v>
          </cell>
          <cell r="B25" t="str">
            <v xml:space="preserve">Rhea </v>
          </cell>
          <cell r="C25" t="str">
            <v>Ascorbic Acid</v>
          </cell>
          <cell r="D25" t="str">
            <v>500mg</v>
          </cell>
        </row>
        <row r="26">
          <cell r="A26" t="str">
            <v>Aspirin(Aspilets) 80mg</v>
          </cell>
          <cell r="B26" t="str">
            <v>Aspilets</v>
          </cell>
          <cell r="C26" t="str">
            <v>Aspirin</v>
          </cell>
          <cell r="D26" t="str">
            <v>80mg</v>
          </cell>
        </row>
        <row r="27">
          <cell r="A27" t="str">
            <v>Co-amoxiclav 642.pmg/5ml(Augmeniin) 100ml</v>
          </cell>
          <cell r="B27" t="str">
            <v>Augmeniin</v>
          </cell>
          <cell r="C27" t="str">
            <v>Co-amoxiclav 642.pmg/5ml</v>
          </cell>
          <cell r="D27" t="str">
            <v>100ml</v>
          </cell>
        </row>
        <row r="28">
          <cell r="A28" t="str">
            <v>AZITHROMYCIN Dihydrate(Zithromax) 15ml</v>
          </cell>
          <cell r="B28" t="str">
            <v>Zithromax</v>
          </cell>
          <cell r="C28" t="str">
            <v>AZITHROMYCIN Dihydrate</v>
          </cell>
          <cell r="D28" t="str">
            <v>15ml</v>
          </cell>
        </row>
        <row r="29">
          <cell r="A29" t="str">
            <v>AZITHROMYCIN Dihydrate(Zithromax) 22.5ml</v>
          </cell>
          <cell r="B29" t="str">
            <v>Zithromax</v>
          </cell>
          <cell r="C29" t="str">
            <v>AZITHROMYCIN Dihydrate</v>
          </cell>
          <cell r="D29" t="str">
            <v>22.5ml</v>
          </cell>
        </row>
        <row r="30">
          <cell r="A30" t="str">
            <v>Bilaxten(Bilastine) 20mg</v>
          </cell>
          <cell r="B30" t="str">
            <v>Bilastine</v>
          </cell>
          <cell r="C30" t="str">
            <v>Bilaxten</v>
          </cell>
          <cell r="D30" t="str">
            <v>20mg</v>
          </cell>
        </row>
        <row r="31">
          <cell r="A31" t="str">
            <v>Butamirate Forte(Sinecod) 50mg</v>
          </cell>
          <cell r="B31" t="str">
            <v>Sinecod</v>
          </cell>
          <cell r="C31" t="str">
            <v>Butamirate Forte</v>
          </cell>
          <cell r="D31" t="str">
            <v>50mg</v>
          </cell>
        </row>
        <row r="32">
          <cell r="A32" t="str">
            <v>Carvedilol(BetaCard) 25mg</v>
          </cell>
          <cell r="B32" t="str">
            <v>BetaCard</v>
          </cell>
          <cell r="C32" t="str">
            <v>Carvedilol</v>
          </cell>
          <cell r="D32" t="str">
            <v>25mg</v>
          </cell>
        </row>
        <row r="33">
          <cell r="A33" t="str">
            <v>Carvedilol(Cardipres) 25mg</v>
          </cell>
          <cell r="B33" t="str">
            <v>Cardipres</v>
          </cell>
          <cell r="C33" t="str">
            <v>Carvedilol</v>
          </cell>
          <cell r="D33" t="str">
            <v>25mg</v>
          </cell>
        </row>
        <row r="34">
          <cell r="A34" t="str">
            <v>Carvid(Carvedilol) 25mg</v>
          </cell>
          <cell r="B34" t="str">
            <v>Carvedilol</v>
          </cell>
          <cell r="C34" t="str">
            <v>Carvid</v>
          </cell>
          <cell r="D34" t="str">
            <v>25mg</v>
          </cell>
        </row>
        <row r="35">
          <cell r="A35" t="str">
            <v>Cetirizine HCL(Rose Pharmacy) 10mg</v>
          </cell>
          <cell r="B35" t="str">
            <v>Rose Pharmacy</v>
          </cell>
          <cell r="C35" t="str">
            <v>Cetirizine HCL</v>
          </cell>
          <cell r="D35" t="str">
            <v>10mg</v>
          </cell>
        </row>
        <row r="36">
          <cell r="A36" t="str">
            <v>Clonidine HC1(Clonipress) 75mcg</v>
          </cell>
          <cell r="B36" t="str">
            <v>Clonipress</v>
          </cell>
          <cell r="C36" t="str">
            <v>Clonidine HC1</v>
          </cell>
          <cell r="D36" t="str">
            <v>75mcg</v>
          </cell>
        </row>
        <row r="37">
          <cell r="A37" t="str">
            <v>Clopidogrel(PLAZ) 175mg</v>
          </cell>
          <cell r="B37" t="str">
            <v>PLAZ</v>
          </cell>
          <cell r="C37" t="str">
            <v>Clopidogrel</v>
          </cell>
          <cell r="D37" t="str">
            <v>175mg</v>
          </cell>
        </row>
        <row r="38">
          <cell r="A38" t="str">
            <v>Clopidogrel(Rhea) 175mg</v>
          </cell>
          <cell r="B38" t="str">
            <v>Rhea</v>
          </cell>
          <cell r="C38" t="str">
            <v>Clopidogrel</v>
          </cell>
          <cell r="D38" t="str">
            <v>175mg</v>
          </cell>
        </row>
        <row r="39">
          <cell r="A39" t="str">
            <v>dapagliflozin(ForXiga) 10mg</v>
          </cell>
          <cell r="B39" t="str">
            <v>ForXiga</v>
          </cell>
          <cell r="C39" t="str">
            <v>dapagliflozin</v>
          </cell>
          <cell r="D39" t="str">
            <v>10mg</v>
          </cell>
        </row>
        <row r="40">
          <cell r="A40" t="str">
            <v>dapagliflozin/Metformin HCl(xigduo) 10mg/1000mg Tablet</v>
          </cell>
          <cell r="B40" t="str">
            <v>xigduo</v>
          </cell>
          <cell r="C40" t="str">
            <v>dapagliflozin/Metformin HCl</v>
          </cell>
          <cell r="D40" t="str">
            <v>10mg/1000mg Tablet</v>
          </cell>
        </row>
        <row r="41">
          <cell r="A41" t="str">
            <v>Diamicron(Gliclazide ) 60mg</v>
          </cell>
          <cell r="B41" t="str">
            <v xml:space="preserve">Gliclazide </v>
          </cell>
          <cell r="C41" t="str">
            <v>Diamicron</v>
          </cell>
          <cell r="D41" t="str">
            <v>60mg</v>
          </cell>
        </row>
        <row r="42">
          <cell r="A42" t="str">
            <v>Doxofylline(Ansimar) 100mg/5ml</v>
          </cell>
          <cell r="B42" t="str">
            <v>Ansimar</v>
          </cell>
          <cell r="C42" t="str">
            <v>Doxofylline</v>
          </cell>
          <cell r="D42" t="str">
            <v>100mg/5ml</v>
          </cell>
        </row>
        <row r="43">
          <cell r="A43" t="str">
            <v>Energen(Chocolate) 8x30x40g</v>
          </cell>
          <cell r="B43" t="str">
            <v>Chocolate</v>
          </cell>
          <cell r="C43" t="str">
            <v>Energen</v>
          </cell>
          <cell r="D43" t="str">
            <v>8x30x40g</v>
          </cell>
        </row>
        <row r="44">
          <cell r="A44" t="str">
            <v>Entresto(Sacubitril, Valsartan) 100mg</v>
          </cell>
          <cell r="B44" t="str">
            <v>Sacubitril, Valsartan</v>
          </cell>
          <cell r="C44" t="str">
            <v>Entresto</v>
          </cell>
          <cell r="D44" t="str">
            <v>100mg</v>
          </cell>
        </row>
        <row r="45">
          <cell r="A45" t="str">
            <v>Entresto(Sacubitril, Valsartan) 200mg</v>
          </cell>
          <cell r="B45" t="str">
            <v>Sacubitril, Valsartan</v>
          </cell>
          <cell r="C45" t="str">
            <v>Entresto</v>
          </cell>
          <cell r="D45" t="str">
            <v>200mg</v>
          </cell>
        </row>
        <row r="46">
          <cell r="A46" t="str">
            <v>Face Mask(Generic) KN95</v>
          </cell>
          <cell r="B46" t="str">
            <v>Generic</v>
          </cell>
          <cell r="C46" t="str">
            <v>Face Mask</v>
          </cell>
          <cell r="D46" t="str">
            <v>KN95</v>
          </cell>
        </row>
        <row r="47">
          <cell r="A47" t="str">
            <v>Face Mask(Generic) Surgical</v>
          </cell>
          <cell r="B47" t="str">
            <v>Generic</v>
          </cell>
          <cell r="C47" t="str">
            <v>Face Mask</v>
          </cell>
          <cell r="D47" t="str">
            <v>Surgical</v>
          </cell>
        </row>
        <row r="48">
          <cell r="A48" t="str">
            <v>Glyxambi(Empagliflozin Linagliptin) 25mg/5mg</v>
          </cell>
          <cell r="B48" t="str">
            <v>Empagliflozin Linagliptin</v>
          </cell>
          <cell r="C48" t="str">
            <v>Glyxambi</v>
          </cell>
          <cell r="D48" t="str">
            <v>25mg/5mg</v>
          </cell>
        </row>
        <row r="49">
          <cell r="A49" t="str">
            <v>Glyxambi(Empagliflozin Linagliptin) T10/5mg</v>
          </cell>
          <cell r="B49" t="str">
            <v>Empagliflozin Linagliptin</v>
          </cell>
          <cell r="C49" t="str">
            <v>Glyxambi</v>
          </cell>
          <cell r="D49" t="str">
            <v>T10/5mg</v>
          </cell>
        </row>
        <row r="50">
          <cell r="A50" t="str">
            <v>Inhaler(Vicks) Keychain</v>
          </cell>
          <cell r="B50" t="str">
            <v>Vicks</v>
          </cell>
          <cell r="C50" t="str">
            <v>Inhaler</v>
          </cell>
          <cell r="D50" t="str">
            <v>Keychain</v>
          </cell>
        </row>
        <row r="51">
          <cell r="A51" t="str">
            <v>IPRATROPIUM Bromide SABUTAMOL(Pulmodual) 500mcg / 2.5mg per 2.5mL</v>
          </cell>
          <cell r="B51" t="str">
            <v>Pulmodual</v>
          </cell>
          <cell r="C51" t="str">
            <v>IPRATROPIUM Bromide SABUTAMOL</v>
          </cell>
          <cell r="D51" t="str">
            <v>500mcg / 2.5mg per 2.5mL</v>
          </cell>
        </row>
        <row r="52">
          <cell r="A52" t="str">
            <v xml:space="preserve">Kefir(Wellnessland Wellness Center) </v>
          </cell>
          <cell r="B52" t="str">
            <v>Wellnessland Wellness Center</v>
          </cell>
          <cell r="C52" t="str">
            <v>Kefir</v>
          </cell>
        </row>
        <row r="53">
          <cell r="A53" t="str">
            <v>Loperamide(Diatabs) 2mg</v>
          </cell>
          <cell r="B53" t="str">
            <v>Diatabs</v>
          </cell>
          <cell r="C53" t="str">
            <v>Loperamide</v>
          </cell>
          <cell r="D53" t="str">
            <v>2mg</v>
          </cell>
        </row>
        <row r="54">
          <cell r="A54" t="str">
            <v>Losartan(Neosartan) 100mg</v>
          </cell>
          <cell r="B54" t="str">
            <v>Neosartan</v>
          </cell>
          <cell r="C54" t="str">
            <v>Losartan</v>
          </cell>
          <cell r="D54" t="str">
            <v>100mg</v>
          </cell>
        </row>
        <row r="55">
          <cell r="A55" t="str">
            <v>Losartan(Rite-Med) 100mg</v>
          </cell>
          <cell r="B55" t="str">
            <v>Rite-Med</v>
          </cell>
          <cell r="C55" t="str">
            <v>Losartan</v>
          </cell>
          <cell r="D55" t="str">
            <v>100mg</v>
          </cell>
        </row>
        <row r="56">
          <cell r="A56" t="str">
            <v>Losartan(Rose Pharmacy) 100mg</v>
          </cell>
          <cell r="B56" t="str">
            <v>Rose Pharmacy</v>
          </cell>
          <cell r="C56" t="str">
            <v>Losartan</v>
          </cell>
          <cell r="D56" t="str">
            <v>100mg</v>
          </cell>
        </row>
        <row r="57">
          <cell r="A57" t="str">
            <v>Mefenamic(Rhea) 500mg</v>
          </cell>
          <cell r="B57" t="str">
            <v>Rhea</v>
          </cell>
          <cell r="C57" t="str">
            <v>Mefenamic</v>
          </cell>
          <cell r="D57" t="str">
            <v>500mg</v>
          </cell>
        </row>
        <row r="58">
          <cell r="A58" t="str">
            <v>Mefenamic(Rite-Med) 500mg</v>
          </cell>
          <cell r="B58" t="str">
            <v>Rite-Med</v>
          </cell>
          <cell r="C58" t="str">
            <v>Mefenamic</v>
          </cell>
          <cell r="D58" t="str">
            <v>500mg</v>
          </cell>
        </row>
        <row r="59">
          <cell r="A59" t="str">
            <v>Melandy MR(Gliclazide ) 60mg</v>
          </cell>
          <cell r="B59" t="str">
            <v xml:space="preserve">Gliclazide </v>
          </cell>
          <cell r="C59" t="str">
            <v>Melandy MR</v>
          </cell>
          <cell r="D59" t="str">
            <v>60mg</v>
          </cell>
        </row>
        <row r="60">
          <cell r="A60" t="str">
            <v>Metformin(Neoform) 500mg</v>
          </cell>
          <cell r="B60" t="str">
            <v>Neoform</v>
          </cell>
          <cell r="C60" t="str">
            <v>Metformin</v>
          </cell>
          <cell r="D60" t="str">
            <v>500mg</v>
          </cell>
        </row>
        <row r="61">
          <cell r="A61" t="str">
            <v>Methformin Hydrochloride(Fornidd XR) 1g</v>
          </cell>
          <cell r="B61" t="str">
            <v>Fornidd XR</v>
          </cell>
          <cell r="C61" t="str">
            <v>Methformin Hydrochloride</v>
          </cell>
          <cell r="D61" t="str">
            <v>1g</v>
          </cell>
        </row>
        <row r="62">
          <cell r="A62" t="str">
            <v>Methformin Hydrochloride(Glumet-XR) 500mg</v>
          </cell>
          <cell r="B62" t="str">
            <v>Glumet-XR</v>
          </cell>
          <cell r="C62" t="str">
            <v>Methformin Hydrochloride</v>
          </cell>
          <cell r="D62" t="str">
            <v>500mg</v>
          </cell>
        </row>
        <row r="63">
          <cell r="A63" t="str">
            <v>Methformin(Glumet) 1g</v>
          </cell>
          <cell r="B63" t="str">
            <v>Glumet</v>
          </cell>
          <cell r="C63" t="str">
            <v>Methformin</v>
          </cell>
          <cell r="D63" t="str">
            <v>1g</v>
          </cell>
        </row>
        <row r="64">
          <cell r="A64" t="str">
            <v>Methformin(Glumet) 500mg</v>
          </cell>
          <cell r="B64" t="str">
            <v>Glumet</v>
          </cell>
          <cell r="C64" t="str">
            <v>Methformin</v>
          </cell>
          <cell r="D64" t="str">
            <v>500mg</v>
          </cell>
        </row>
        <row r="65">
          <cell r="A65" t="str">
            <v>Methformin(NeoForm) 100g</v>
          </cell>
          <cell r="B65" t="str">
            <v>NeoForm</v>
          </cell>
          <cell r="C65" t="str">
            <v>Methformin</v>
          </cell>
          <cell r="D65" t="str">
            <v>100g</v>
          </cell>
        </row>
        <row r="66">
          <cell r="A66" t="str">
            <v>Methformin(Rhea) 500mg</v>
          </cell>
          <cell r="B66" t="str">
            <v>Rhea</v>
          </cell>
          <cell r="C66" t="str">
            <v>Methformin</v>
          </cell>
          <cell r="D66" t="str">
            <v>500mg</v>
          </cell>
        </row>
        <row r="67">
          <cell r="A67" t="str">
            <v>Methol Camphor Eucalyptus Oil(Efficascent Relaxscent Oil) 500mg</v>
          </cell>
          <cell r="B67" t="str">
            <v>Efficascent Relaxscent Oil</v>
          </cell>
          <cell r="C67" t="str">
            <v>Methol Camphor Eucalyptus Oil</v>
          </cell>
          <cell r="D67" t="str">
            <v>500mg</v>
          </cell>
        </row>
        <row r="68">
          <cell r="A68" t="str">
            <v>Methol Camphor Eucalyptus Oil(Efficascent) 6ml [Roll-On]</v>
          </cell>
          <cell r="B68" t="str">
            <v>Efficascent</v>
          </cell>
          <cell r="C68" t="str">
            <v>Methol Camphor Eucalyptus Oil</v>
          </cell>
          <cell r="D68" t="str">
            <v>6ml [Roll-On]</v>
          </cell>
        </row>
        <row r="69">
          <cell r="A69" t="str">
            <v>MONTELUKAST Sodium/LEVOCETIRIZINE Dihydrochloride(Co-Altria Ped) 5mg/5mg Chewable</v>
          </cell>
          <cell r="B69" t="str">
            <v>Co-Altria Ped</v>
          </cell>
          <cell r="C69" t="str">
            <v>MONTELUKAST Sodium/LEVOCETIRIZINE Dihydrochloride</v>
          </cell>
          <cell r="D69" t="str">
            <v>5mg/5mg Chewable</v>
          </cell>
        </row>
        <row r="70">
          <cell r="A70" t="str">
            <v>Multivitamin(Cecon) Plus Zinc</v>
          </cell>
          <cell r="B70" t="str">
            <v>Cecon</v>
          </cell>
          <cell r="C70" t="str">
            <v>Multivitamin</v>
          </cell>
          <cell r="D70" t="str">
            <v>Plus Zinc</v>
          </cell>
        </row>
        <row r="71">
          <cell r="A71" t="str">
            <v>Multivitamins with B Complex(Pharmaton Essential) 9 + 1</v>
          </cell>
          <cell r="B71" t="str">
            <v>Pharmaton Essential</v>
          </cell>
          <cell r="C71" t="str">
            <v>Multivitamins with B Complex</v>
          </cell>
          <cell r="D71" t="str">
            <v>9 + 1</v>
          </cell>
        </row>
        <row r="72">
          <cell r="A72" t="str">
            <v xml:space="preserve">Multivitamins(Enervon) </v>
          </cell>
          <cell r="B72" t="str">
            <v>Enervon</v>
          </cell>
          <cell r="C72" t="str">
            <v>Multivitamins</v>
          </cell>
        </row>
        <row r="73">
          <cell r="A73" t="str">
            <v>Multivitamins(Enervon) 30</v>
          </cell>
          <cell r="B73" t="str">
            <v>Enervon</v>
          </cell>
          <cell r="C73" t="str">
            <v>Multivitamins</v>
          </cell>
          <cell r="D73">
            <v>30</v>
          </cell>
        </row>
        <row r="74">
          <cell r="A74" t="str">
            <v>Sodium Ascorbate Zinc(ImmunPro) 500mg</v>
          </cell>
          <cell r="B74" t="str">
            <v>ImmunPro</v>
          </cell>
          <cell r="C74" t="str">
            <v>Sodium Ascorbate Zinc</v>
          </cell>
          <cell r="D74" t="str">
            <v>500mg</v>
          </cell>
        </row>
        <row r="75">
          <cell r="A75" t="str">
            <v>Nebulizer Kit Mask (Sanjo ) Pedia</v>
          </cell>
          <cell r="B75" t="str">
            <v xml:space="preserve">Sanjo </v>
          </cell>
          <cell r="C75" t="str">
            <v xml:space="preserve">Nebulizer Kit Mask </v>
          </cell>
          <cell r="D75" t="str">
            <v>Pedia</v>
          </cell>
        </row>
        <row r="76">
          <cell r="A76" t="str">
            <v>Omacor(Elcosapentaenoic Acid, Docosahexaenoic Acid) 460mg/380mg</v>
          </cell>
          <cell r="B76" t="str">
            <v>Elcosapentaenoic Acid, Docosahexaenoic Acid</v>
          </cell>
          <cell r="C76" t="str">
            <v>Omacor</v>
          </cell>
          <cell r="D76" t="str">
            <v>460mg/380mg</v>
          </cell>
        </row>
        <row r="77">
          <cell r="A77" t="str">
            <v>Orlistat(Lesofat) 120mg</v>
          </cell>
          <cell r="B77" t="str">
            <v>Lesofat</v>
          </cell>
          <cell r="C77" t="str">
            <v>Orlistat</v>
          </cell>
          <cell r="D77" t="str">
            <v>120mg</v>
          </cell>
        </row>
        <row r="78">
          <cell r="A78" t="str">
            <v>Pantoprazole + Domperidone(Panto Plus) 40mg/30mg</v>
          </cell>
          <cell r="B78" t="str">
            <v>Panto Plus</v>
          </cell>
          <cell r="C78" t="str">
            <v>Pantoprazole + Domperidone</v>
          </cell>
          <cell r="D78" t="str">
            <v>40mg/30mg</v>
          </cell>
        </row>
        <row r="79">
          <cell r="A79" t="str">
            <v>Paracetamol(Decolgen) Forte</v>
          </cell>
          <cell r="B79" t="str">
            <v>Decolgen</v>
          </cell>
          <cell r="C79" t="str">
            <v>Paracetamol</v>
          </cell>
          <cell r="D79" t="str">
            <v>Forte</v>
          </cell>
        </row>
        <row r="80">
          <cell r="A80" t="str">
            <v>Pastilles(Scotts) 30Mg30</v>
          </cell>
          <cell r="B80" t="str">
            <v>Scotts</v>
          </cell>
          <cell r="C80" t="str">
            <v>Pastilles</v>
          </cell>
          <cell r="D80" t="str">
            <v>30Mg30</v>
          </cell>
        </row>
        <row r="81">
          <cell r="A81" t="str">
            <v>Pastilles(Valda) Menthol</v>
          </cell>
          <cell r="B81" t="str">
            <v>Valda</v>
          </cell>
          <cell r="C81" t="str">
            <v>Pastilles</v>
          </cell>
          <cell r="D81" t="str">
            <v>Menthol</v>
          </cell>
        </row>
        <row r="82">
          <cell r="A82" t="str">
            <v>Lemon Menthol Pastilles(Valda) 20g</v>
          </cell>
          <cell r="B82" t="str">
            <v>Valda</v>
          </cell>
          <cell r="C82" t="str">
            <v>Lemon Menthol Pastilles</v>
          </cell>
          <cell r="D82" t="str">
            <v>20g</v>
          </cell>
        </row>
        <row r="83">
          <cell r="A83" t="str">
            <v>Petroleum Jelly(Apollo) 200g</v>
          </cell>
          <cell r="B83" t="str">
            <v>Apollo</v>
          </cell>
          <cell r="C83" t="str">
            <v>Petroleum Jelly</v>
          </cell>
          <cell r="D83" t="str">
            <v>200g</v>
          </cell>
        </row>
        <row r="84">
          <cell r="A84" t="str">
            <v>Plaster(GDN) Plastic</v>
          </cell>
          <cell r="B84" t="str">
            <v>GDN</v>
          </cell>
          <cell r="C84" t="str">
            <v>Plaster</v>
          </cell>
          <cell r="D84" t="str">
            <v>Plastic</v>
          </cell>
        </row>
        <row r="85">
          <cell r="A85" t="str">
            <v>Prednisolone(Pred 20) 20mg/5mL Syrup</v>
          </cell>
          <cell r="B85" t="str">
            <v>Pred 20</v>
          </cell>
          <cell r="C85" t="str">
            <v>Prednisolone</v>
          </cell>
          <cell r="D85" t="str">
            <v>20mg/5mL Syrup</v>
          </cell>
        </row>
        <row r="86">
          <cell r="A86" t="str">
            <v>Psyllium Fiber Husk(C-Lium) Fibre</v>
          </cell>
          <cell r="B86" t="str">
            <v>C-Lium</v>
          </cell>
          <cell r="C86" t="str">
            <v>Psyllium Fiber Husk</v>
          </cell>
          <cell r="D86" t="str">
            <v>Fibre</v>
          </cell>
        </row>
        <row r="87">
          <cell r="A87" t="str">
            <v>Racecadotril(Hidrasec) 100mg</v>
          </cell>
          <cell r="B87" t="str">
            <v>Hidrasec</v>
          </cell>
          <cell r="C87" t="str">
            <v>Racecadotril</v>
          </cell>
          <cell r="D87" t="str">
            <v>100mg</v>
          </cell>
        </row>
        <row r="88">
          <cell r="A88" t="str">
            <v>Refreshing Oil(Vaporin) 10ml</v>
          </cell>
          <cell r="B88" t="str">
            <v>Vaporin</v>
          </cell>
          <cell r="C88" t="str">
            <v>Refreshing Oil</v>
          </cell>
          <cell r="D88" t="str">
            <v>10ml</v>
          </cell>
        </row>
        <row r="89">
          <cell r="A89" t="str">
            <v>Rosuvastatin(Rovista) 5mg</v>
          </cell>
          <cell r="B89" t="str">
            <v>Rovista</v>
          </cell>
          <cell r="C89" t="str">
            <v>Rosuvastatin</v>
          </cell>
          <cell r="D89" t="str">
            <v>5mg</v>
          </cell>
        </row>
        <row r="90">
          <cell r="A90" t="str">
            <v>Rosuvastatin(Unilab Inc. - Roswin) 5mg</v>
          </cell>
          <cell r="B90" t="str">
            <v>Unilab Inc. - Roswin</v>
          </cell>
          <cell r="C90" t="str">
            <v>Rosuvastatin</v>
          </cell>
          <cell r="D90" t="str">
            <v>5mg</v>
          </cell>
        </row>
        <row r="91">
          <cell r="A91" t="str">
            <v>Sabutamol(Ventolin) Nebules 2.5ml</v>
          </cell>
          <cell r="B91" t="str">
            <v>Ventolin</v>
          </cell>
          <cell r="C91" t="str">
            <v>Sabutamol</v>
          </cell>
          <cell r="D91" t="str">
            <v>Nebules 2.5ml</v>
          </cell>
        </row>
        <row r="92">
          <cell r="A92" t="str">
            <v>Salmeterol + Fluticasone propionate(Seretide ) 25/125 mg</v>
          </cell>
          <cell r="B92" t="str">
            <v xml:space="preserve">Seretide </v>
          </cell>
          <cell r="C92" t="str">
            <v>Salmeterol + Fluticasone propionate</v>
          </cell>
          <cell r="D92" t="str">
            <v>25/125 mg</v>
          </cell>
        </row>
        <row r="93">
          <cell r="A93" t="str">
            <v>Salmeterol + Fluticasone propionate(Seretide ) 25/50 mg</v>
          </cell>
          <cell r="B93" t="str">
            <v xml:space="preserve">Seretide </v>
          </cell>
          <cell r="C93" t="str">
            <v>Salmeterol + Fluticasone propionate</v>
          </cell>
          <cell r="D93" t="str">
            <v>25/50 mg</v>
          </cell>
        </row>
        <row r="94">
          <cell r="A94" t="str">
            <v>Sitagliptin Metformin(Velmetia) 50mg/1g Film Coated</v>
          </cell>
          <cell r="B94" t="str">
            <v>Velmetia</v>
          </cell>
          <cell r="C94" t="str">
            <v>Sitagliptin Metformin</v>
          </cell>
          <cell r="D94" t="str">
            <v>50mg/1g Film Coated</v>
          </cell>
        </row>
        <row r="95">
          <cell r="A95" t="str">
            <v>Spironolactone(Spire) 50mg</v>
          </cell>
          <cell r="B95" t="str">
            <v>Spire</v>
          </cell>
          <cell r="C95" t="str">
            <v>Spironolactone</v>
          </cell>
          <cell r="D95" t="str">
            <v>50mg</v>
          </cell>
        </row>
        <row r="96">
          <cell r="A96" t="str">
            <v>Spirulina(Blue Eco Farm) Powder 90grams</v>
          </cell>
          <cell r="B96" t="str">
            <v>Blue Eco Farm</v>
          </cell>
          <cell r="C96" t="str">
            <v>Spirulina</v>
          </cell>
          <cell r="D96" t="str">
            <v>Powder 90grams</v>
          </cell>
        </row>
        <row r="97">
          <cell r="A97" t="str">
            <v>Spore Probiotic(Erceflora) 5ml</v>
          </cell>
          <cell r="B97" t="str">
            <v>Erceflora</v>
          </cell>
          <cell r="C97" t="str">
            <v>Spore Probiotic</v>
          </cell>
          <cell r="D97" t="str">
            <v>5ml</v>
          </cell>
        </row>
        <row r="98">
          <cell r="A98" t="str">
            <v>Syrup(Tempra) 120mg/5ml 60ml</v>
          </cell>
          <cell r="B98" t="str">
            <v>Tempra</v>
          </cell>
          <cell r="C98" t="str">
            <v>Syrup</v>
          </cell>
          <cell r="D98" t="str">
            <v>120mg/5ml 60ml</v>
          </cell>
        </row>
        <row r="99">
          <cell r="A99" t="str">
            <v>Trimetazidine Dihydrochloride(Vastarel OD) 80mg</v>
          </cell>
          <cell r="B99" t="str">
            <v>Vastarel OD</v>
          </cell>
          <cell r="C99" t="str">
            <v>Trimetazidine Dihydrochloride</v>
          </cell>
          <cell r="D99" t="str">
            <v>80mg</v>
          </cell>
        </row>
        <row r="100">
          <cell r="A100" t="str">
            <v>Vymada(Sacubitril, Valsartan) 100mg</v>
          </cell>
          <cell r="B100" t="str">
            <v>Sacubitril, Valsartan</v>
          </cell>
          <cell r="C100" t="str">
            <v>Vymada</v>
          </cell>
          <cell r="D100" t="str">
            <v>100mg</v>
          </cell>
        </row>
        <row r="101">
          <cell r="A101" t="str">
            <v>Vymada(Sacubitril, Valsartan) 200mg</v>
          </cell>
          <cell r="B101" t="str">
            <v>Sacubitril, Valsartan</v>
          </cell>
          <cell r="C101" t="str">
            <v>Vymada</v>
          </cell>
          <cell r="D101" t="str">
            <v>200mg</v>
          </cell>
        </row>
        <row r="102">
          <cell r="A102" t="str">
            <v>Vymada(Sacubitril, Valsartan) 200mg</v>
          </cell>
          <cell r="B102" t="str">
            <v>Sacubitril, Valsartan</v>
          </cell>
          <cell r="C102" t="str">
            <v>Vymada</v>
          </cell>
          <cell r="D102" t="str">
            <v>200mg</v>
          </cell>
        </row>
        <row r="103">
          <cell r="A103" t="str">
            <v>Zeltine-MR(Gliclazide ) 60mg</v>
          </cell>
          <cell r="B103" t="str">
            <v xml:space="preserve">Gliclazide </v>
          </cell>
          <cell r="C103" t="str">
            <v>Zeltine-MR</v>
          </cell>
          <cell r="D103" t="str">
            <v>60mg</v>
          </cell>
        </row>
        <row r="104">
          <cell r="A104" t="str">
            <v xml:space="preserve">Pill Cutter </v>
          </cell>
          <cell r="C104" t="str">
            <v>Pill Cutter</v>
          </cell>
        </row>
        <row r="105">
          <cell r="A105" t="str">
            <v>Electric Fan(Union) Industrial 18"</v>
          </cell>
          <cell r="B105" t="str">
            <v>Union</v>
          </cell>
          <cell r="C105" t="str">
            <v>Electric Fan</v>
          </cell>
          <cell r="D105" t="str">
            <v>Industrial 18"</v>
          </cell>
        </row>
        <row r="106">
          <cell r="A106" t="str">
            <v xml:space="preserve"> (Yakult) 80ml</v>
          </cell>
          <cell r="B106" t="str">
            <v>Yakult</v>
          </cell>
          <cell r="C106" t="str">
            <v xml:space="preserve"> </v>
          </cell>
          <cell r="D106" t="str">
            <v>80ml</v>
          </cell>
        </row>
        <row r="107">
          <cell r="A107" t="str">
            <v>3in1 Mixes(Family Choice) 250g</v>
          </cell>
          <cell r="B107" t="str">
            <v>Family Choice</v>
          </cell>
          <cell r="C107" t="str">
            <v>3in1 Mixes</v>
          </cell>
          <cell r="D107" t="str">
            <v>250g</v>
          </cell>
        </row>
        <row r="108">
          <cell r="A108" t="str">
            <v>Biscuits(Nissin) Eggnog 130g</v>
          </cell>
          <cell r="B108" t="str">
            <v>Nissin</v>
          </cell>
          <cell r="C108" t="str">
            <v>Biscuits</v>
          </cell>
          <cell r="D108" t="str">
            <v>Eggnog 130g</v>
          </cell>
        </row>
        <row r="109">
          <cell r="A109" t="str">
            <v>Biscuits(Malkist) Olezz Cheese Choco 100g</v>
          </cell>
          <cell r="B109" t="str">
            <v>Malkist</v>
          </cell>
          <cell r="C109" t="str">
            <v>Biscuits</v>
          </cell>
          <cell r="D109" t="str">
            <v>Olezz Cheese Choco 100g</v>
          </cell>
        </row>
        <row r="110">
          <cell r="A110" t="str">
            <v>Biscuits(Marky's) Pacencia Biscuit 210g</v>
          </cell>
          <cell r="B110" t="str">
            <v>Marky's</v>
          </cell>
          <cell r="C110" t="str">
            <v>Biscuits</v>
          </cell>
          <cell r="D110" t="str">
            <v>Pacencia Biscuit 210g</v>
          </cell>
        </row>
        <row r="111">
          <cell r="A111" t="str">
            <v>Biscuits(Skyflakes) 200g HPack</v>
          </cell>
          <cell r="B111" t="str">
            <v>Skyflakes</v>
          </cell>
          <cell r="C111" t="str">
            <v>Biscuits</v>
          </cell>
          <cell r="D111" t="str">
            <v>200g HPack</v>
          </cell>
        </row>
        <row r="112">
          <cell r="A112" t="str">
            <v>Biscuits(Skyflakes) 25g</v>
          </cell>
          <cell r="B112" t="str">
            <v>Skyflakes</v>
          </cell>
          <cell r="C112" t="str">
            <v>Biscuits</v>
          </cell>
          <cell r="D112" t="str">
            <v>25g</v>
          </cell>
        </row>
        <row r="113">
          <cell r="A113" t="str">
            <v>Chocholate Biscuits(Presto Cream) 30g</v>
          </cell>
          <cell r="B113" t="str">
            <v>Presto Cream</v>
          </cell>
          <cell r="C113" t="str">
            <v>Chocholate Biscuits</v>
          </cell>
          <cell r="D113" t="str">
            <v>30g</v>
          </cell>
        </row>
        <row r="114">
          <cell r="A114" t="str">
            <v>Chocholate Peanut Biscuits(Presto Cream) 30g</v>
          </cell>
          <cell r="B114" t="str">
            <v>Presto Cream</v>
          </cell>
          <cell r="C114" t="str">
            <v>Chocholate Peanut Biscuits</v>
          </cell>
          <cell r="D114" t="str">
            <v>30g</v>
          </cell>
        </row>
        <row r="115">
          <cell r="A115" t="str">
            <v>Choco Fudge Cream-Filled Chocolate Sandwich Biscuits(Cream-o) 30g</v>
          </cell>
          <cell r="B115" t="str">
            <v>Cream-o</v>
          </cell>
          <cell r="C115" t="str">
            <v>Choco Fudge Cream-Filled Chocolate Sandwich Biscuits</v>
          </cell>
          <cell r="D115" t="str">
            <v>30g</v>
          </cell>
        </row>
        <row r="116">
          <cell r="A116" t="str">
            <v>Strawberry's Cream Biscuits(Jack 'n Jill Drewberry) 33g</v>
          </cell>
          <cell r="B116" t="str">
            <v>Jack 'n Jill Drewberry</v>
          </cell>
          <cell r="C116" t="str">
            <v>Strawberry's Cream Biscuits</v>
          </cell>
          <cell r="D116" t="str">
            <v>33g</v>
          </cell>
        </row>
        <row r="117">
          <cell r="A117" t="str">
            <v>Drewberries'n Cream Biscuits(Jack 'n Jill Drewberry) 33g</v>
          </cell>
          <cell r="B117" t="str">
            <v>Jack 'n Jill Drewberry</v>
          </cell>
          <cell r="C117" t="str">
            <v>Drewberries'n Cream Biscuits</v>
          </cell>
          <cell r="D117" t="str">
            <v>33g</v>
          </cell>
        </row>
        <row r="118">
          <cell r="A118" t="str">
            <v>Crackers(Rebisco) 33gx10s</v>
          </cell>
          <cell r="B118" t="str">
            <v>Rebisco</v>
          </cell>
          <cell r="C118" t="str">
            <v>Crackers</v>
          </cell>
          <cell r="D118" t="str">
            <v>33gx10s</v>
          </cell>
        </row>
        <row r="119">
          <cell r="A119" t="str">
            <v>Bread  French Bread</v>
          </cell>
          <cell r="C119" t="str">
            <v xml:space="preserve">Bread </v>
          </cell>
          <cell r="D119" t="str">
            <v>French Bread</v>
          </cell>
        </row>
        <row r="120">
          <cell r="A120" t="str">
            <v xml:space="preserve">Bread (Julies) Sliced Bread Regular </v>
          </cell>
          <cell r="B120" t="str">
            <v>Julies</v>
          </cell>
          <cell r="C120" t="str">
            <v xml:space="preserve">Bread </v>
          </cell>
          <cell r="D120" t="str">
            <v xml:space="preserve">Sliced Bread Regular </v>
          </cell>
        </row>
        <row r="121">
          <cell r="A121" t="str">
            <v>Century Egg 6 pcs pack</v>
          </cell>
          <cell r="C121" t="str">
            <v>Century Egg</v>
          </cell>
          <cell r="D121" t="str">
            <v>6 pcs pack</v>
          </cell>
        </row>
        <row r="122">
          <cell r="A122" t="str">
            <v xml:space="preserve">Chop Suey </v>
          </cell>
          <cell r="C122" t="str">
            <v>Chop Suey</v>
          </cell>
        </row>
        <row r="123">
          <cell r="A123" t="str">
            <v>Cocoa Powder(Milo) 24g</v>
          </cell>
          <cell r="B123" t="str">
            <v>Milo</v>
          </cell>
          <cell r="C123" t="str">
            <v>Cocoa Powder</v>
          </cell>
          <cell r="D123" t="str">
            <v>24g</v>
          </cell>
        </row>
        <row r="124">
          <cell r="A124" t="str">
            <v>Cocoa Powder(Milo) Active Go 300g</v>
          </cell>
          <cell r="B124" t="str">
            <v>Milo</v>
          </cell>
          <cell r="C124" t="str">
            <v>Cocoa Powder</v>
          </cell>
          <cell r="D124" t="str">
            <v>Active Go 300g</v>
          </cell>
        </row>
        <row r="125">
          <cell r="A125" t="str">
            <v>Cocoa Powder(Milo) 1Kg</v>
          </cell>
          <cell r="B125" t="str">
            <v>Milo</v>
          </cell>
          <cell r="C125" t="str">
            <v>Cocoa Powder</v>
          </cell>
          <cell r="D125" t="str">
            <v>1Kg</v>
          </cell>
        </row>
        <row r="126">
          <cell r="A126" t="str">
            <v>Cocoa Powder(Energen Champion) 35g</v>
          </cell>
          <cell r="B126" t="str">
            <v>Energen Champion</v>
          </cell>
          <cell r="C126" t="str">
            <v>Cocoa Powder</v>
          </cell>
          <cell r="D126" t="str">
            <v>35g</v>
          </cell>
        </row>
        <row r="127">
          <cell r="A127" t="str">
            <v>Coffee [3in1](Kopiko) Black 30g</v>
          </cell>
          <cell r="B127" t="str">
            <v>Kopiko</v>
          </cell>
          <cell r="C127" t="str">
            <v>Coffee [3in1]</v>
          </cell>
          <cell r="D127" t="str">
            <v>Black 30g</v>
          </cell>
        </row>
        <row r="128">
          <cell r="A128" t="str">
            <v>Coffee [3in1](Kopiko) Cappuccino 25g</v>
          </cell>
          <cell r="B128" t="str">
            <v>Kopiko</v>
          </cell>
          <cell r="C128" t="str">
            <v>Coffee [3in1]</v>
          </cell>
          <cell r="D128" t="str">
            <v>Cappuccino 25g</v>
          </cell>
        </row>
        <row r="129">
          <cell r="A129" t="str">
            <v>Coffee [3in1](Nescafe) Original 26g</v>
          </cell>
          <cell r="B129" t="str">
            <v>Nescafe</v>
          </cell>
          <cell r="C129" t="str">
            <v>Coffee [3in1]</v>
          </cell>
          <cell r="D129" t="str">
            <v>Original 26g</v>
          </cell>
        </row>
        <row r="130">
          <cell r="A130" t="str">
            <v xml:space="preserve">Coffee Beans </v>
          </cell>
          <cell r="C130" t="str">
            <v>Coffee Beans</v>
          </cell>
        </row>
        <row r="131">
          <cell r="A131" t="str">
            <v>Dish Adobo Chicken</v>
          </cell>
          <cell r="C131" t="str">
            <v>Dish</v>
          </cell>
          <cell r="D131" t="str">
            <v>Adobo Chicken</v>
          </cell>
        </row>
        <row r="132">
          <cell r="A132" t="str">
            <v>Dish Bam-i</v>
          </cell>
          <cell r="C132" t="str">
            <v>Dish</v>
          </cell>
          <cell r="D132" t="str">
            <v>Bam-i</v>
          </cell>
        </row>
        <row r="133">
          <cell r="A133" t="str">
            <v>Dish Batong [String Beans]</v>
          </cell>
          <cell r="C133" t="str">
            <v>Dish</v>
          </cell>
          <cell r="D133" t="str">
            <v>Batong [String Beans]</v>
          </cell>
        </row>
        <row r="134">
          <cell r="A134" t="str">
            <v>Dish Bihon</v>
          </cell>
          <cell r="C134" t="str">
            <v>Dish</v>
          </cell>
          <cell r="D134" t="str">
            <v>Bihon</v>
          </cell>
        </row>
        <row r="135">
          <cell r="A135" t="str">
            <v>Dish Buffalo Chicken</v>
          </cell>
          <cell r="C135" t="str">
            <v>Dish</v>
          </cell>
          <cell r="D135" t="str">
            <v>Buffalo Chicken</v>
          </cell>
        </row>
        <row r="136">
          <cell r="A136" t="str">
            <v>Dish Burger Steak</v>
          </cell>
          <cell r="C136" t="str">
            <v>Dish</v>
          </cell>
          <cell r="D136" t="str">
            <v>Burger Steak</v>
          </cell>
        </row>
        <row r="137">
          <cell r="A137" t="str">
            <v>Dish Dinuguan</v>
          </cell>
          <cell r="C137" t="str">
            <v>Dish</v>
          </cell>
          <cell r="D137" t="str">
            <v>Dinuguan</v>
          </cell>
        </row>
        <row r="138">
          <cell r="A138" t="str">
            <v>Dish Fried Chicken</v>
          </cell>
          <cell r="C138" t="str">
            <v>Dish</v>
          </cell>
          <cell r="D138" t="str">
            <v>Fried Chicken</v>
          </cell>
        </row>
        <row r="139">
          <cell r="A139" t="str">
            <v>Dish Fried Chicken Internals</v>
          </cell>
          <cell r="C139" t="str">
            <v>Dish</v>
          </cell>
          <cell r="D139" t="str">
            <v>Fried Chicken Internals</v>
          </cell>
        </row>
        <row r="140">
          <cell r="A140" t="str">
            <v>Dish Mongoes Soup</v>
          </cell>
          <cell r="C140" t="str">
            <v>Dish</v>
          </cell>
          <cell r="D140" t="str">
            <v>Mongoes Soup</v>
          </cell>
        </row>
        <row r="141">
          <cell r="A141" t="str">
            <v>Dish Paklai</v>
          </cell>
          <cell r="C141" t="str">
            <v>Dish</v>
          </cell>
          <cell r="D141" t="str">
            <v>Paklai</v>
          </cell>
        </row>
        <row r="142">
          <cell r="A142" t="str">
            <v>Dish Pansit</v>
          </cell>
          <cell r="C142" t="str">
            <v>Dish</v>
          </cell>
          <cell r="D142" t="str">
            <v>Pansit</v>
          </cell>
        </row>
        <row r="143">
          <cell r="A143" t="str">
            <v>Dish Pork Chop</v>
          </cell>
          <cell r="C143" t="str">
            <v>Dish</v>
          </cell>
          <cell r="D143" t="str">
            <v>Pork Chop</v>
          </cell>
        </row>
        <row r="144">
          <cell r="A144" t="str">
            <v>Dish Pork Soup</v>
          </cell>
          <cell r="C144" t="str">
            <v>Dish</v>
          </cell>
          <cell r="D144" t="str">
            <v>Pork Soup</v>
          </cell>
        </row>
        <row r="145">
          <cell r="A145" t="str">
            <v>Dish Hangging Rice 5s</v>
          </cell>
          <cell r="C145" t="str">
            <v>Dish</v>
          </cell>
          <cell r="D145" t="str">
            <v>Hangging Rice 5s</v>
          </cell>
        </row>
        <row r="146">
          <cell r="A146" t="str">
            <v>Dish Rice</v>
          </cell>
          <cell r="C146" t="str">
            <v>Dish</v>
          </cell>
          <cell r="D146" t="str">
            <v>Rice</v>
          </cell>
        </row>
        <row r="147">
          <cell r="A147" t="str">
            <v>Dish Boiled Egg</v>
          </cell>
          <cell r="C147" t="str">
            <v>Dish</v>
          </cell>
          <cell r="D147" t="str">
            <v>Boiled Egg</v>
          </cell>
        </row>
        <row r="148">
          <cell r="A148" t="str">
            <v>Dish fish soup</v>
          </cell>
          <cell r="C148" t="str">
            <v>Dish</v>
          </cell>
          <cell r="D148" t="str">
            <v>fish soup</v>
          </cell>
        </row>
        <row r="149">
          <cell r="A149" t="str">
            <v>Dish Beefsteak</v>
          </cell>
          <cell r="C149" t="str">
            <v>Dish</v>
          </cell>
          <cell r="D149" t="str">
            <v>Beefsteak</v>
          </cell>
        </row>
        <row r="150">
          <cell r="A150" t="str">
            <v>Dish SariSari Vegetable</v>
          </cell>
          <cell r="C150" t="str">
            <v>Dish</v>
          </cell>
          <cell r="D150" t="str">
            <v>SariSari Vegetable</v>
          </cell>
        </row>
        <row r="151">
          <cell r="A151" t="str">
            <v>Dish Teriyaki Chicken</v>
          </cell>
          <cell r="C151" t="str">
            <v>Dish</v>
          </cell>
          <cell r="D151" t="str">
            <v>Teriyaki Chicken</v>
          </cell>
        </row>
        <row r="152">
          <cell r="A152" t="str">
            <v>Dish Pork Barbecue</v>
          </cell>
          <cell r="C152" t="str">
            <v>Dish</v>
          </cell>
          <cell r="D152" t="str">
            <v>Pork Barbecue</v>
          </cell>
        </row>
        <row r="153">
          <cell r="A153" t="str">
            <v>Dish Liver</v>
          </cell>
          <cell r="C153" t="str">
            <v>Dish</v>
          </cell>
          <cell r="D153" t="str">
            <v>Liver</v>
          </cell>
        </row>
        <row r="154">
          <cell r="A154" t="str">
            <v>Dish Beef</v>
          </cell>
          <cell r="C154" t="str">
            <v>Dish</v>
          </cell>
          <cell r="D154" t="str">
            <v>Beef</v>
          </cell>
        </row>
        <row r="155">
          <cell r="A155" t="str">
            <v>Dish Pinakbit</v>
          </cell>
          <cell r="C155" t="str">
            <v>Dish</v>
          </cell>
          <cell r="D155" t="str">
            <v>Pinakbit</v>
          </cell>
        </row>
        <row r="156">
          <cell r="A156" t="str">
            <v xml:space="preserve">Dish </v>
          </cell>
          <cell r="C156" t="str">
            <v>Dish</v>
          </cell>
        </row>
        <row r="157">
          <cell r="A157" t="str">
            <v>Dish Meat Ball</v>
          </cell>
          <cell r="C157" t="str">
            <v>Dish</v>
          </cell>
          <cell r="D157" t="str">
            <v>Meat Ball</v>
          </cell>
        </row>
        <row r="158">
          <cell r="A158" t="str">
            <v>Dish(Chowking) 2 pcs. Chicken</v>
          </cell>
          <cell r="B158" t="str">
            <v>Chowking</v>
          </cell>
          <cell r="C158" t="str">
            <v>Dish</v>
          </cell>
          <cell r="D158" t="str">
            <v>2 pcs. Chicken</v>
          </cell>
        </row>
        <row r="159">
          <cell r="A159" t="str">
            <v xml:space="preserve">Dish(Chowking) Pork ChowFan </v>
          </cell>
          <cell r="B159" t="str">
            <v>Chowking</v>
          </cell>
          <cell r="C159" t="str">
            <v>Dish</v>
          </cell>
          <cell r="D159" t="str">
            <v xml:space="preserve">Pork ChowFan </v>
          </cell>
        </row>
        <row r="160">
          <cell r="A160" t="str">
            <v>Dish(Chowking) Pork ChowFan with Ice Tea</v>
          </cell>
          <cell r="B160" t="str">
            <v>Chowking</v>
          </cell>
          <cell r="C160" t="str">
            <v>Dish</v>
          </cell>
          <cell r="D160" t="str">
            <v>Pork ChowFan with Ice Tea</v>
          </cell>
        </row>
        <row r="161">
          <cell r="A161" t="str">
            <v>Dish(Chowking) Wanton Noodles</v>
          </cell>
          <cell r="B161" t="str">
            <v>Chowking</v>
          </cell>
          <cell r="C161" t="str">
            <v>Dish</v>
          </cell>
          <cell r="D161" t="str">
            <v>Wanton Noodles</v>
          </cell>
        </row>
        <row r="162">
          <cell r="A162" t="str">
            <v>Dish(Chowking) Wanton Noodles Large</v>
          </cell>
          <cell r="B162" t="str">
            <v>Chowking</v>
          </cell>
          <cell r="C162" t="str">
            <v>Dish</v>
          </cell>
          <cell r="D162" t="str">
            <v>Wanton Noodles Large</v>
          </cell>
        </row>
        <row r="163">
          <cell r="A163" t="str">
            <v>Dish(Chowking) Wanton Soup</v>
          </cell>
          <cell r="B163" t="str">
            <v>Chowking</v>
          </cell>
          <cell r="C163" t="str">
            <v>Dish</v>
          </cell>
          <cell r="D163" t="str">
            <v>Wanton Soup</v>
          </cell>
        </row>
        <row r="164">
          <cell r="A164" t="str">
            <v>Bucket Meal(KFC) Fried Chicken</v>
          </cell>
          <cell r="B164" t="str">
            <v>KFC</v>
          </cell>
          <cell r="C164" t="str">
            <v>Bucket Meal</v>
          </cell>
          <cell r="D164" t="str">
            <v>Fried Chicken</v>
          </cell>
        </row>
        <row r="165">
          <cell r="A165" t="str">
            <v>Dish(Takoyaki) Yasai</v>
          </cell>
          <cell r="B165" t="str">
            <v>Takoyaki</v>
          </cell>
          <cell r="C165" t="str">
            <v>Dish</v>
          </cell>
          <cell r="D165" t="str">
            <v>Yasai</v>
          </cell>
        </row>
        <row r="166">
          <cell r="A166" t="str">
            <v>Orange Juice Drinks(Citrus) 1L</v>
          </cell>
          <cell r="B166" t="str">
            <v>Citrus</v>
          </cell>
          <cell r="C166" t="str">
            <v>Orange Juice Drinks</v>
          </cell>
          <cell r="D166" t="str">
            <v>1L</v>
          </cell>
        </row>
        <row r="167">
          <cell r="A167" t="str">
            <v>Powder Juice Drinks(Citrus) Orange 20G</v>
          </cell>
          <cell r="B167" t="str">
            <v>Citrus</v>
          </cell>
          <cell r="C167" t="str">
            <v>Powder Juice Drinks</v>
          </cell>
          <cell r="D167" t="str">
            <v>Orange 20G</v>
          </cell>
        </row>
        <row r="168">
          <cell r="A168" t="str">
            <v xml:space="preserve">Powder Juice Drinks(Tang) </v>
          </cell>
          <cell r="B168" t="str">
            <v>Tang</v>
          </cell>
          <cell r="C168" t="str">
            <v>Powder Juice Drinks</v>
          </cell>
        </row>
        <row r="169">
          <cell r="A169" t="str">
            <v>Cucumber Lemonade Juice 22Oz</v>
          </cell>
          <cell r="C169" t="str">
            <v>Cucumber Lemonade Juice</v>
          </cell>
          <cell r="D169" t="str">
            <v>22Oz</v>
          </cell>
        </row>
        <row r="170">
          <cell r="A170" t="str">
            <v>Old Fashion Lemonade Juice 22Oz</v>
          </cell>
          <cell r="C170" t="str">
            <v>Old Fashion Lemonade Juice</v>
          </cell>
          <cell r="D170" t="str">
            <v>22Oz</v>
          </cell>
        </row>
        <row r="171">
          <cell r="A171" t="str">
            <v>Old Fashion Lemonade Juice(Absolute) 1L</v>
          </cell>
          <cell r="B171" t="str">
            <v>Absolute</v>
          </cell>
          <cell r="C171" t="str">
            <v>Old Fashion Lemonade Juice</v>
          </cell>
          <cell r="D171" t="str">
            <v>1L</v>
          </cell>
        </row>
        <row r="172">
          <cell r="A172" t="str">
            <v>Drinks Calamansi Juice</v>
          </cell>
          <cell r="C172" t="str">
            <v>Drinks</v>
          </cell>
          <cell r="D172" t="str">
            <v>Calamansi Juice</v>
          </cell>
        </row>
        <row r="173">
          <cell r="A173" t="str">
            <v>Drinks(Absolute) 6 Liter</v>
          </cell>
          <cell r="B173" t="str">
            <v>Absolute</v>
          </cell>
          <cell r="C173" t="str">
            <v>Drinks</v>
          </cell>
          <cell r="D173" t="str">
            <v>6 Liter</v>
          </cell>
        </row>
        <row r="174">
          <cell r="A174" t="str">
            <v>Drinks(Nature Spring) Spring Water 1 Liter</v>
          </cell>
          <cell r="B174" t="str">
            <v>Nature Spring</v>
          </cell>
          <cell r="C174" t="str">
            <v>Drinks</v>
          </cell>
          <cell r="D174" t="str">
            <v>Spring Water 1 Liter</v>
          </cell>
        </row>
        <row r="175">
          <cell r="A175" t="str">
            <v>Drinks Bottled Water</v>
          </cell>
          <cell r="C175" t="str">
            <v>Drinks</v>
          </cell>
          <cell r="D175" t="str">
            <v>Bottled Water</v>
          </cell>
        </row>
        <row r="176">
          <cell r="A176" t="str">
            <v xml:space="preserve">Eggs </v>
          </cell>
          <cell r="C176" t="str">
            <v>Eggs</v>
          </cell>
        </row>
        <row r="177">
          <cell r="A177" t="str">
            <v>Flour Banana</v>
          </cell>
          <cell r="C177" t="str">
            <v>Flour</v>
          </cell>
          <cell r="D177" t="str">
            <v>Banana</v>
          </cell>
        </row>
        <row r="178">
          <cell r="A178" t="str">
            <v>Flour Taro</v>
          </cell>
          <cell r="C178" t="str">
            <v>Flour</v>
          </cell>
          <cell r="D178" t="str">
            <v>Taro</v>
          </cell>
        </row>
        <row r="179">
          <cell r="A179" t="str">
            <v>Fresh Milk - Full Cream(Magnolia) 1L</v>
          </cell>
          <cell r="B179" t="str">
            <v>Magnolia</v>
          </cell>
          <cell r="C179" t="str">
            <v>Fresh Milk - Full Cream</v>
          </cell>
          <cell r="D179" t="str">
            <v>1L</v>
          </cell>
        </row>
        <row r="180">
          <cell r="A180" t="str">
            <v>Fresh Milk(Alaska ) 1L</v>
          </cell>
          <cell r="B180" t="str">
            <v xml:space="preserve">Alaska </v>
          </cell>
          <cell r="C180" t="str">
            <v>Fresh Milk</v>
          </cell>
          <cell r="D180" t="str">
            <v>1L</v>
          </cell>
        </row>
        <row r="181">
          <cell r="A181" t="str">
            <v>Fresh Milk(Alaska ) 1Lx2</v>
          </cell>
          <cell r="B181" t="str">
            <v xml:space="preserve">Alaska </v>
          </cell>
          <cell r="C181" t="str">
            <v>Fresh Milk</v>
          </cell>
          <cell r="D181" t="str">
            <v>1Lx2</v>
          </cell>
        </row>
        <row r="182">
          <cell r="A182" t="str">
            <v>Fresh Milk(Nestle) 1L</v>
          </cell>
          <cell r="B182" t="str">
            <v>Nestle</v>
          </cell>
          <cell r="C182" t="str">
            <v>Fresh Milk</v>
          </cell>
          <cell r="D182" t="str">
            <v>1L</v>
          </cell>
        </row>
        <row r="183">
          <cell r="A183" t="str">
            <v>Garlic(Boy Bawang) 500g</v>
          </cell>
          <cell r="B183" t="str">
            <v>Boy Bawang</v>
          </cell>
          <cell r="C183" t="str">
            <v>Garlic</v>
          </cell>
          <cell r="D183" t="str">
            <v>500g</v>
          </cell>
        </row>
        <row r="184">
          <cell r="A184" t="str">
            <v>Hot Cocoa Mix (Dark Chocolate)(Swiss Miss) 31g</v>
          </cell>
          <cell r="B184" t="str">
            <v>Swiss Miss</v>
          </cell>
          <cell r="C184" t="str">
            <v>Hot Cocoa Mix (Dark Chocolate)</v>
          </cell>
          <cell r="D184" t="str">
            <v>31g</v>
          </cell>
        </row>
        <row r="185">
          <cell r="A185" t="str">
            <v>Hot Cocoa Mix (Marshmallow)(Swiss Miss) 20g</v>
          </cell>
          <cell r="B185" t="str">
            <v>Swiss Miss</v>
          </cell>
          <cell r="C185" t="str">
            <v>Hot Cocoa Mix (Marshmallow)</v>
          </cell>
          <cell r="D185" t="str">
            <v>20g</v>
          </cell>
        </row>
        <row r="186">
          <cell r="A186" t="str">
            <v>ION Supply Drink(Pocari Sweat) 500ml</v>
          </cell>
          <cell r="B186" t="str">
            <v>Pocari Sweat</v>
          </cell>
          <cell r="C186" t="str">
            <v>ION Supply Drink</v>
          </cell>
          <cell r="D186" t="str">
            <v>500ml</v>
          </cell>
        </row>
        <row r="187">
          <cell r="A187" t="str">
            <v>Lechon Per Kilo</v>
          </cell>
          <cell r="C187" t="str">
            <v>Lechon</v>
          </cell>
          <cell r="D187" t="str">
            <v>Per Kilo</v>
          </cell>
        </row>
        <row r="188">
          <cell r="A188" t="str">
            <v>Misua(Gallo) 1kg</v>
          </cell>
          <cell r="B188" t="str">
            <v>Gallo</v>
          </cell>
          <cell r="C188" t="str">
            <v>Misua</v>
          </cell>
          <cell r="D188" t="str">
            <v>1kg</v>
          </cell>
        </row>
        <row r="189">
          <cell r="A189" t="str">
            <v>Nescafe Blen and Brew  3in1(Original) Dozen</v>
          </cell>
          <cell r="B189" t="str">
            <v>Original</v>
          </cell>
          <cell r="C189" t="str">
            <v>Nescafe Blen and Brew  3in1</v>
          </cell>
          <cell r="D189" t="str">
            <v>Dozen</v>
          </cell>
        </row>
        <row r="190">
          <cell r="A190" t="str">
            <v>Nutritional Powder for Diabetic(Diabetasol) 600g</v>
          </cell>
          <cell r="B190" t="str">
            <v>Diabetasol</v>
          </cell>
          <cell r="C190" t="str">
            <v>Nutritional Powder for Diabetic</v>
          </cell>
          <cell r="D190" t="str">
            <v>600g</v>
          </cell>
        </row>
        <row r="191">
          <cell r="A191" t="str">
            <v>Pastries(Swiss Cottage) Chifon Cake (Chocolate)</v>
          </cell>
          <cell r="B191" t="str">
            <v>Swiss Cottage</v>
          </cell>
          <cell r="C191" t="str">
            <v>Pastries</v>
          </cell>
          <cell r="D191" t="str">
            <v>Chifon Cake (Chocolate)</v>
          </cell>
        </row>
        <row r="192">
          <cell r="A192" t="str">
            <v>Pastries(Swiss Cottage) Peanut Cream Roll</v>
          </cell>
          <cell r="B192" t="str">
            <v>Swiss Cottage</v>
          </cell>
          <cell r="C192" t="str">
            <v>Pastries</v>
          </cell>
          <cell r="D192" t="str">
            <v>Peanut Cream Roll</v>
          </cell>
        </row>
        <row r="193">
          <cell r="A193" t="str">
            <v>Pastries(Swiss Cottage) Tuna De Leche</v>
          </cell>
          <cell r="B193" t="str">
            <v>Swiss Cottage</v>
          </cell>
          <cell r="C193" t="str">
            <v>Pastries</v>
          </cell>
          <cell r="D193" t="str">
            <v>Tuna De Leche</v>
          </cell>
        </row>
        <row r="194">
          <cell r="A194" t="str">
            <v>Pork Chop  in Sauce</v>
          </cell>
          <cell r="C194" t="str">
            <v xml:space="preserve">Pork Chop </v>
          </cell>
          <cell r="D194" t="str">
            <v>in Sauce</v>
          </cell>
        </row>
        <row r="195">
          <cell r="A195" t="str">
            <v>Powder Milk(Alaska) 1700g</v>
          </cell>
          <cell r="B195" t="str">
            <v>Alaska</v>
          </cell>
          <cell r="C195" t="str">
            <v>Powder Milk</v>
          </cell>
          <cell r="D195" t="str">
            <v>1700g</v>
          </cell>
        </row>
        <row r="196">
          <cell r="A196" t="str">
            <v>Rice(Ganador) 10kg</v>
          </cell>
          <cell r="B196" t="str">
            <v>Ganador</v>
          </cell>
          <cell r="C196" t="str">
            <v>Rice</v>
          </cell>
          <cell r="D196" t="str">
            <v>10kg</v>
          </cell>
        </row>
        <row r="197">
          <cell r="A197" t="str">
            <v>Shakes Fruit</v>
          </cell>
          <cell r="C197" t="str">
            <v>Shakes</v>
          </cell>
          <cell r="D197" t="str">
            <v>Fruit</v>
          </cell>
        </row>
        <row r="198">
          <cell r="A198" t="str">
            <v xml:space="preserve">Sibot with Tongkoy </v>
          </cell>
          <cell r="C198" t="str">
            <v>Sibot with Tongkoy</v>
          </cell>
        </row>
        <row r="199">
          <cell r="A199" t="str">
            <v>Sweetened Cocoa(Family Choice) 250g</v>
          </cell>
          <cell r="B199" t="str">
            <v>Family Choice</v>
          </cell>
          <cell r="C199" t="str">
            <v>Sweetened Cocoa</v>
          </cell>
          <cell r="D199" t="str">
            <v>250g</v>
          </cell>
        </row>
        <row r="200">
          <cell r="A200" t="str">
            <v>Sweetened Cocoa(Family Choice) 500g</v>
          </cell>
          <cell r="B200" t="str">
            <v>Family Choice</v>
          </cell>
          <cell r="C200" t="str">
            <v>Sweetened Cocoa</v>
          </cell>
          <cell r="D200" t="str">
            <v>500g</v>
          </cell>
        </row>
        <row r="201">
          <cell r="A201" t="str">
            <v>Vegan(Veega) Tapa</v>
          </cell>
          <cell r="B201" t="str">
            <v>Veega</v>
          </cell>
          <cell r="C201" t="str">
            <v>Vegan</v>
          </cell>
          <cell r="D201" t="str">
            <v>Tapa</v>
          </cell>
        </row>
        <row r="202">
          <cell r="A202" t="str">
            <v>Vegan(Veega) Tocino</v>
          </cell>
          <cell r="B202" t="str">
            <v>Veega</v>
          </cell>
          <cell r="C202" t="str">
            <v>Vegan</v>
          </cell>
          <cell r="D202" t="str">
            <v>Tocino</v>
          </cell>
        </row>
        <row r="203">
          <cell r="A203" t="str">
            <v>Water Purified - Refill</v>
          </cell>
          <cell r="C203" t="str">
            <v>Water</v>
          </cell>
          <cell r="D203" t="str">
            <v>Purified - Refill</v>
          </cell>
        </row>
        <row r="204">
          <cell r="A204" t="str">
            <v>White Pepper Powder(Metro Select) 30g</v>
          </cell>
          <cell r="B204" t="str">
            <v>Metro Select</v>
          </cell>
          <cell r="C204" t="str">
            <v>White Pepper Powder</v>
          </cell>
          <cell r="D204" t="str">
            <v>30g</v>
          </cell>
        </row>
        <row r="205">
          <cell r="A205" t="str">
            <v>Choco Double Hazelnut Spread(Goya) 750g</v>
          </cell>
          <cell r="B205" t="str">
            <v>Goya</v>
          </cell>
          <cell r="C205" t="str">
            <v>Choco Double Hazelnut Spread</v>
          </cell>
          <cell r="D205" t="str">
            <v>750g</v>
          </cell>
        </row>
        <row r="206">
          <cell r="A206" t="str">
            <v>Almond Single(Magnum ) Each</v>
          </cell>
          <cell r="B206" t="str">
            <v xml:space="preserve">Magnum </v>
          </cell>
          <cell r="C206" t="str">
            <v>Almond Single</v>
          </cell>
          <cell r="D206" t="str">
            <v>Each</v>
          </cell>
        </row>
        <row r="207">
          <cell r="A207" t="str">
            <v>Bread Sticks(Nissin) 130g</v>
          </cell>
          <cell r="B207" t="str">
            <v>Nissin</v>
          </cell>
          <cell r="C207" t="str">
            <v>Bread Sticks</v>
          </cell>
          <cell r="D207" t="str">
            <v>130g</v>
          </cell>
        </row>
        <row r="208">
          <cell r="A208" t="str">
            <v>Energy Bar(FitBar) Buy 2 Get 1 24x3x25G</v>
          </cell>
          <cell r="B208" t="str">
            <v>FitBar</v>
          </cell>
          <cell r="C208" t="str">
            <v>Energy Bar</v>
          </cell>
          <cell r="D208" t="str">
            <v>Buy 2 Get 1 24x3x25G</v>
          </cell>
        </row>
        <row r="209">
          <cell r="A209" t="str">
            <v>Chocolate(Goya) Dark Almond 33g</v>
          </cell>
          <cell r="B209" t="str">
            <v>Goya</v>
          </cell>
          <cell r="C209" t="str">
            <v>Chocolate</v>
          </cell>
          <cell r="D209" t="str">
            <v>Dark Almond 33g</v>
          </cell>
        </row>
        <row r="210">
          <cell r="A210" t="str">
            <v>Classic(Magnum ) Each</v>
          </cell>
          <cell r="B210" t="str">
            <v xml:space="preserve">Magnum </v>
          </cell>
          <cell r="C210" t="str">
            <v>Classic</v>
          </cell>
          <cell r="D210" t="str">
            <v>Each</v>
          </cell>
        </row>
        <row r="211">
          <cell r="A211" t="str">
            <v>Donut(Happy-Haus) Assorted</v>
          </cell>
          <cell r="B211" t="str">
            <v>Happy-Haus</v>
          </cell>
          <cell r="C211" t="str">
            <v>Donut</v>
          </cell>
          <cell r="D211" t="str">
            <v>Assorted</v>
          </cell>
        </row>
        <row r="212">
          <cell r="A212" t="str">
            <v>Ginger Chewy Candy (Extra Strong)(Gingerbon) 125g</v>
          </cell>
          <cell r="B212" t="str">
            <v>Gingerbon</v>
          </cell>
          <cell r="C212" t="str">
            <v>Ginger Chewy Candy (Extra Strong)</v>
          </cell>
          <cell r="D212" t="str">
            <v>125g</v>
          </cell>
        </row>
        <row r="213">
          <cell r="A213" t="str">
            <v>Ginger Chewy Candy (Regular)(Gingerbon) 20g</v>
          </cell>
          <cell r="B213" t="str">
            <v>Gingerbon</v>
          </cell>
          <cell r="C213" t="str">
            <v>Ginger Chewy Candy (Regular)</v>
          </cell>
          <cell r="D213" t="str">
            <v>20g</v>
          </cell>
        </row>
        <row r="214">
          <cell r="A214" t="str">
            <v>Macademia(Magnum ) 24/80ml</v>
          </cell>
          <cell r="B214" t="str">
            <v xml:space="preserve">Magnum </v>
          </cell>
          <cell r="C214" t="str">
            <v>Macademia</v>
          </cell>
          <cell r="D214" t="str">
            <v>24/80ml</v>
          </cell>
        </row>
        <row r="215">
          <cell r="A215" t="str">
            <v>Professional Fee(Doctor) Medical Checkup</v>
          </cell>
          <cell r="B215" t="str">
            <v>Doctor</v>
          </cell>
          <cell r="C215" t="str">
            <v>Professional Fee</v>
          </cell>
          <cell r="D215" t="str">
            <v>Medical Checkup</v>
          </cell>
        </row>
        <row r="216">
          <cell r="A216" t="str">
            <v xml:space="preserve">Takuyaki Balls </v>
          </cell>
          <cell r="C216" t="str">
            <v>Takuyaki Balls</v>
          </cell>
        </row>
        <row r="217">
          <cell r="A217" t="str">
            <v xml:space="preserve">Snack Food </v>
          </cell>
          <cell r="C217" t="str">
            <v>Snack Food</v>
          </cell>
        </row>
        <row r="218">
          <cell r="A218" t="str">
            <v>White Almond(Magnum ) 24/80ml</v>
          </cell>
          <cell r="B218" t="str">
            <v xml:space="preserve">Magnum </v>
          </cell>
          <cell r="C218" t="str">
            <v>White Almond</v>
          </cell>
          <cell r="D218" t="str">
            <v>24/80ml</v>
          </cell>
        </row>
        <row r="219">
          <cell r="A219" t="str">
            <v>Fuel Diesel</v>
          </cell>
          <cell r="C219" t="str">
            <v>Fuel</v>
          </cell>
          <cell r="D219" t="str">
            <v>Diesel</v>
          </cell>
        </row>
        <row r="220">
          <cell r="A220" t="str">
            <v>Fuel Unleaded</v>
          </cell>
          <cell r="C220" t="str">
            <v>Fuel</v>
          </cell>
          <cell r="D220" t="str">
            <v>Unleaded</v>
          </cell>
        </row>
        <row r="221">
          <cell r="A221" t="str">
            <v xml:space="preserve">N70ZL(Motolite ) Gold </v>
          </cell>
          <cell r="B221" t="str">
            <v xml:space="preserve">Motolite </v>
          </cell>
          <cell r="C221" t="str">
            <v>N70ZL</v>
          </cell>
          <cell r="D221" t="str">
            <v xml:space="preserve">Gold </v>
          </cell>
        </row>
        <row r="222">
          <cell r="A222" t="str">
            <v>Oil(Castrol) CRB Turbo</v>
          </cell>
          <cell r="B222" t="str">
            <v>Castrol</v>
          </cell>
          <cell r="C222" t="str">
            <v>Oil</v>
          </cell>
          <cell r="D222" t="str">
            <v>CRB Turbo</v>
          </cell>
        </row>
        <row r="223">
          <cell r="A223" t="str">
            <v>Parking(Vehicle) Hourly</v>
          </cell>
          <cell r="B223" t="str">
            <v>Vehicle</v>
          </cell>
          <cell r="C223" t="str">
            <v>Parking</v>
          </cell>
          <cell r="D223" t="str">
            <v>Hourly</v>
          </cell>
        </row>
        <row r="224">
          <cell r="A224" t="str">
            <v>Service(Body Care) Hair-cut</v>
          </cell>
          <cell r="B224" t="str">
            <v>Body Care</v>
          </cell>
          <cell r="C224" t="str">
            <v>Service</v>
          </cell>
          <cell r="D224" t="str">
            <v>Hair-cut</v>
          </cell>
        </row>
        <row r="225">
          <cell r="A225" t="str">
            <v>Service(Vehicle) Change Oil</v>
          </cell>
          <cell r="B225" t="str">
            <v>Vehicle</v>
          </cell>
          <cell r="C225" t="str">
            <v>Service</v>
          </cell>
          <cell r="D225" t="str">
            <v>Change Oil</v>
          </cell>
        </row>
        <row r="226">
          <cell r="A226" t="str">
            <v>Service(Vehicle) Freon Charging</v>
          </cell>
          <cell r="B226" t="str">
            <v>Vehicle</v>
          </cell>
          <cell r="C226" t="str">
            <v>Service</v>
          </cell>
          <cell r="D226" t="str">
            <v>Freon Charging</v>
          </cell>
        </row>
        <row r="227">
          <cell r="A227" t="str">
            <v xml:space="preserve">Body Scrub and Massage Package </v>
          </cell>
          <cell r="C227" t="str">
            <v>Body Scrub and Massage Package</v>
          </cell>
        </row>
        <row r="228">
          <cell r="A228" t="str">
            <v>Body Scrub and Massage Package(Turkish ) Watermelon</v>
          </cell>
          <cell r="B228" t="str">
            <v xml:space="preserve">Turkish </v>
          </cell>
          <cell r="C228" t="str">
            <v>Body Scrub and Massage Package</v>
          </cell>
          <cell r="D228" t="str">
            <v>Watermelon</v>
          </cell>
        </row>
        <row r="229">
          <cell r="A229" t="str">
            <v xml:space="preserve">Body Scrub and Massage Package(Turkish) </v>
          </cell>
          <cell r="B229" t="str">
            <v>Turkish</v>
          </cell>
          <cell r="C229" t="str">
            <v>Body Scrub and Massage Package</v>
          </cell>
        </row>
        <row r="230">
          <cell r="A230" t="str">
            <v>Labor</v>
          </cell>
          <cell r="C230" t="str">
            <v>Service Fee</v>
          </cell>
        </row>
        <row r="231">
          <cell r="A231" t="str">
            <v>Massage (Chair) 1 hour</v>
          </cell>
          <cell r="B231" t="str">
            <v>Chair</v>
          </cell>
          <cell r="C231" t="str">
            <v xml:space="preserve">Massage </v>
          </cell>
          <cell r="D231" t="str">
            <v>1 hour</v>
          </cell>
        </row>
        <row r="232">
          <cell r="A232" t="str">
            <v>Massage (Swedish) 1 and a half hour</v>
          </cell>
          <cell r="B232" t="str">
            <v>Swedish</v>
          </cell>
          <cell r="C232" t="str">
            <v xml:space="preserve">Massage </v>
          </cell>
          <cell r="D232" t="str">
            <v>1 and a half hour</v>
          </cell>
        </row>
        <row r="233">
          <cell r="A233" t="str">
            <v>Massage (Swedish) 1 hour</v>
          </cell>
          <cell r="B233" t="str">
            <v>Swedish</v>
          </cell>
          <cell r="C233" t="str">
            <v xml:space="preserve">Massage </v>
          </cell>
          <cell r="D233" t="str">
            <v>1 hour</v>
          </cell>
        </row>
        <row r="234">
          <cell r="A234" t="str">
            <v>Massage(Thai) 1 hour</v>
          </cell>
          <cell r="B234" t="str">
            <v>Thai</v>
          </cell>
          <cell r="C234" t="str">
            <v>Massage</v>
          </cell>
          <cell r="D234" t="str">
            <v>1 hour</v>
          </cell>
        </row>
        <row r="235">
          <cell r="A235" t="str">
            <v>Service Tips</v>
          </cell>
          <cell r="C235" t="str">
            <v>Service</v>
          </cell>
          <cell r="D235" t="str">
            <v>Tips</v>
          </cell>
        </row>
        <row r="236">
          <cell r="A236" t="str">
            <v>Service(Household) Laundry</v>
          </cell>
          <cell r="B236" t="str">
            <v>Household</v>
          </cell>
          <cell r="C236" t="str">
            <v>Service</v>
          </cell>
          <cell r="D236" t="str">
            <v>Laundry</v>
          </cell>
        </row>
        <row r="237">
          <cell r="A237" t="str">
            <v>Service(Vehicle) Car Wash</v>
          </cell>
          <cell r="B237" t="str">
            <v>Vehicle</v>
          </cell>
          <cell r="C237" t="str">
            <v>Service</v>
          </cell>
          <cell r="D237" t="str">
            <v>Car Wash</v>
          </cell>
        </row>
        <row r="238">
          <cell r="A238" t="str">
            <v>Chlorine(Zonrox) Packs</v>
          </cell>
          <cell r="B238" t="str">
            <v>Zonrox</v>
          </cell>
          <cell r="C238" t="str">
            <v>Chlorine</v>
          </cell>
          <cell r="D238" t="str">
            <v>Packs</v>
          </cell>
        </row>
        <row r="239">
          <cell r="A239" t="str">
            <v>Adhesive(Croco) Double sided Tape</v>
          </cell>
          <cell r="B239" t="str">
            <v>Croco</v>
          </cell>
          <cell r="C239" t="str">
            <v>Adhesive</v>
          </cell>
          <cell r="D239" t="str">
            <v>Double sided Tape</v>
          </cell>
        </row>
        <row r="240">
          <cell r="A240" t="str">
            <v>Toothpaste(Colgate) Active Salt 2x180g</v>
          </cell>
          <cell r="B240" t="str">
            <v>Colgate</v>
          </cell>
          <cell r="C240" t="str">
            <v>Toothpaste</v>
          </cell>
          <cell r="D240" t="str">
            <v>Active Salt 2x180g</v>
          </cell>
        </row>
        <row r="241">
          <cell r="A241" t="str">
            <v>Joss  Sticks  Long</v>
          </cell>
          <cell r="C241" t="str">
            <v xml:space="preserve">Joss  Sticks </v>
          </cell>
          <cell r="D241" t="str">
            <v>Long</v>
          </cell>
        </row>
        <row r="242">
          <cell r="A242" t="str">
            <v>Joss  Sticks  Short</v>
          </cell>
          <cell r="C242" t="str">
            <v xml:space="preserve">Joss  Sticks </v>
          </cell>
          <cell r="D242" t="str">
            <v>Short</v>
          </cell>
        </row>
        <row r="243">
          <cell r="A243" t="str">
            <v>Joss Paper Gold</v>
          </cell>
          <cell r="C243" t="str">
            <v>Joss Paper</v>
          </cell>
          <cell r="D243" t="str">
            <v>Gold</v>
          </cell>
        </row>
        <row r="244">
          <cell r="A244" t="str">
            <v>Joss Paper Silver</v>
          </cell>
          <cell r="C244" t="str">
            <v>Joss Paper</v>
          </cell>
          <cell r="D244" t="str">
            <v>Silver</v>
          </cell>
        </row>
        <row r="245">
          <cell r="A245" t="str">
            <v>Offering Celestial Oil</v>
          </cell>
          <cell r="C245" t="str">
            <v>Offering</v>
          </cell>
          <cell r="D245" t="str">
            <v>Celestial Oil</v>
          </cell>
        </row>
        <row r="246">
          <cell r="A246" t="str">
            <v xml:space="preserve">Discount </v>
          </cell>
          <cell r="C246" t="str">
            <v>Discount</v>
          </cell>
        </row>
        <row r="247">
          <cell r="A247" t="str">
            <v>Drill Bit Masonry</v>
          </cell>
          <cell r="C247" t="str">
            <v>Drill Bit</v>
          </cell>
          <cell r="D247" t="str">
            <v>Masonry</v>
          </cell>
        </row>
        <row r="248">
          <cell r="A248" t="str">
            <v xml:space="preserve">Drill Bit </v>
          </cell>
          <cell r="C248" t="str">
            <v>Drill Bit</v>
          </cell>
        </row>
        <row r="249">
          <cell r="A249" t="str">
            <v>Tox with Metal Screw</v>
          </cell>
          <cell r="C249" t="str">
            <v>Tox</v>
          </cell>
          <cell r="D249" t="str">
            <v>with Metal Screw</v>
          </cell>
        </row>
        <row r="250">
          <cell r="A250" t="str">
            <v xml:space="preserve">Bond Paper </v>
          </cell>
          <cell r="C250" t="str">
            <v>Bond Paper</v>
          </cell>
        </row>
        <row r="251">
          <cell r="A251" t="str">
            <v xml:space="preserve">Photo Paper </v>
          </cell>
          <cell r="C251" t="str">
            <v>Photo Paper</v>
          </cell>
        </row>
        <row r="252">
          <cell r="A252" t="str">
            <v>Underwear Men</v>
          </cell>
          <cell r="C252" t="str">
            <v>Underwear</v>
          </cell>
          <cell r="D252" t="str">
            <v>Men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F620-5CD8-4C0C-BEF9-7E2C266E71AE}">
  <dimension ref="A1:S499"/>
  <sheetViews>
    <sheetView zoomScale="145" zoomScaleNormal="145"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bestFit="1" customWidth="1"/>
    <col min="2" max="2" width="11.140625" bestFit="1" customWidth="1"/>
    <col min="3" max="3" width="11.140625" customWidth="1"/>
    <col min="4" max="4" width="10.7109375" bestFit="1" customWidth="1"/>
    <col min="5" max="5" width="21.140625" bestFit="1" customWidth="1"/>
    <col min="6" max="6" width="13.7109375" bestFit="1" customWidth="1"/>
    <col min="7" max="7" width="9.7109375" bestFit="1" customWidth="1"/>
    <col min="8" max="8" width="13.7109375" bestFit="1" customWidth="1"/>
    <col min="9" max="9" width="8.140625" bestFit="1" customWidth="1"/>
    <col min="10" max="10" width="18.5703125" bestFit="1" customWidth="1"/>
    <col min="11" max="11" width="8.7109375" bestFit="1" customWidth="1"/>
    <col min="12" max="12" width="9.5703125" bestFit="1" customWidth="1"/>
    <col min="13" max="13" width="8.140625" bestFit="1" customWidth="1"/>
    <col min="14" max="14" width="11.140625" bestFit="1" customWidth="1"/>
    <col min="15" max="15" width="25.7109375" bestFit="1" customWidth="1"/>
    <col min="16" max="16" width="6.140625" bestFit="1" customWidth="1"/>
    <col min="17" max="17" width="12.7109375" bestFit="1" customWidth="1"/>
    <col min="18" max="18" width="7.140625" bestFit="1" customWidth="1"/>
  </cols>
  <sheetData>
    <row r="1" spans="1:19" ht="30" x14ac:dyDescent="0.25">
      <c r="A1" t="s">
        <v>0</v>
      </c>
      <c r="B1" s="2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f t="shared" ref="A2:A6" si="0">IF(OR(D2&lt;&gt;D1,D2=""),1,IF(NOT(AND(E2=E1,F2=F1,G2=G1)),A1+1,IF(OR(H2="",AND(H2&lt;&gt;"",H2&lt;&gt;H1,H1&lt;&gt;"")),A1,A1+1)))</f>
        <v>1</v>
      </c>
      <c r="B2" t="str">
        <f t="shared" ref="B2:B6" si="1">IF(D2&lt;&gt;"",TEXT(D2,"YYYYMMDD")&amp;CHAR(64+A2),"")</f>
        <v/>
      </c>
      <c r="C2">
        <f t="shared" ref="C2:C6" si="2">IF(OR(B2="",B2&lt;&gt;B10),1,C10+1)</f>
        <v>1</v>
      </c>
      <c r="D2" s="4"/>
      <c r="F2" t="e">
        <f>INDEX(Establishment!B$2:B$1005,MATCH($E2,Establishment!$A$2:$A$1005,0))</f>
        <v>#N/A</v>
      </c>
      <c r="G2" t="e">
        <f>INDEX(Establishment!C$2:C$1005,MATCH($E2,Establishment!$A$2:$A$1005,0))</f>
        <v>#N/A</v>
      </c>
      <c r="M2">
        <f t="shared" ref="M2:M6" si="3">K2*L2</f>
        <v>0</v>
      </c>
      <c r="N2">
        <f>IF(B2=B1,N1+M2,M2)</f>
        <v>0</v>
      </c>
      <c r="P2" t="e">
        <f>INDEX(Items!B$2:B$1032,MATCH($O2,Items!$A$2:$A$1032,0))</f>
        <v>#N/A</v>
      </c>
      <c r="Q2" t="e">
        <f>INDEX(Items!C$2:C$1032,MATCH($O2,Items!$A$2:$A$1032,0))</f>
        <v>#N/A</v>
      </c>
      <c r="R2" t="e">
        <f>INDEX(Items!D$2:D$1032,MATCH($O2,Items!$A$2:$A$1032,0))</f>
        <v>#N/A</v>
      </c>
    </row>
    <row r="3" spans="1:19" x14ac:dyDescent="0.25">
      <c r="A3">
        <f t="shared" si="0"/>
        <v>1</v>
      </c>
      <c r="B3" t="str">
        <f t="shared" si="1"/>
        <v/>
      </c>
      <c r="C3">
        <f t="shared" si="2"/>
        <v>1</v>
      </c>
      <c r="D3" s="4"/>
      <c r="F3" t="e">
        <f>INDEX(Establishment!B$2:B$1005,MATCH($E3,Establishment!$A$2:$A$1005,0))</f>
        <v>#N/A</v>
      </c>
      <c r="G3" t="e">
        <f>INDEX(Establishment!C$2:C$1005,MATCH($E3,Establishment!$A$2:$A$1005,0))</f>
        <v>#N/A</v>
      </c>
      <c r="M3">
        <f t="shared" si="3"/>
        <v>0</v>
      </c>
      <c r="N3">
        <f t="shared" ref="N3:N66" si="4">IF(B3=B2,N2+M3,M3)</f>
        <v>0</v>
      </c>
      <c r="P3" t="e">
        <f>INDEX(Items!B$2:B$1032,MATCH($O3,Items!$A$2:$A$1032,0))</f>
        <v>#N/A</v>
      </c>
      <c r="Q3" t="e">
        <f>INDEX(Items!C$2:C$1032,MATCH($O3,Items!$A$2:$A$1032,0))</f>
        <v>#N/A</v>
      </c>
      <c r="R3" t="e">
        <f>INDEX(Items!D$2:D$1032,MATCH($O3,Items!$A$2:$A$1032,0))</f>
        <v>#N/A</v>
      </c>
    </row>
    <row r="4" spans="1:19" x14ac:dyDescent="0.25">
      <c r="A4">
        <f t="shared" si="0"/>
        <v>1</v>
      </c>
      <c r="B4" t="str">
        <f t="shared" si="1"/>
        <v/>
      </c>
      <c r="C4">
        <f t="shared" si="2"/>
        <v>1</v>
      </c>
      <c r="D4" s="4"/>
      <c r="F4" t="e">
        <f>INDEX(Establishment!B$2:B$1005,MATCH($E4,Establishment!$A$2:$A$1005,0))</f>
        <v>#N/A</v>
      </c>
      <c r="G4" t="e">
        <f>INDEX(Establishment!C$2:C$1005,MATCH($E4,Establishment!$A$2:$A$1005,0))</f>
        <v>#N/A</v>
      </c>
      <c r="M4">
        <f t="shared" si="3"/>
        <v>0</v>
      </c>
      <c r="N4">
        <f t="shared" si="4"/>
        <v>0</v>
      </c>
      <c r="P4" t="e">
        <f>INDEX(Items!B$2:B$1032,MATCH($O4,Items!$A$2:$A$1032,0))</f>
        <v>#N/A</v>
      </c>
      <c r="Q4" t="e">
        <f>INDEX(Items!C$2:C$1032,MATCH($O4,Items!$A$2:$A$1032,0))</f>
        <v>#N/A</v>
      </c>
      <c r="R4" t="e">
        <f>INDEX(Items!D$2:D$1032,MATCH($O4,Items!$A$2:$A$1032,0))</f>
        <v>#N/A</v>
      </c>
    </row>
    <row r="5" spans="1:19" x14ac:dyDescent="0.25">
      <c r="A5">
        <f t="shared" si="0"/>
        <v>1</v>
      </c>
      <c r="B5" t="str">
        <f t="shared" si="1"/>
        <v/>
      </c>
      <c r="C5">
        <f t="shared" si="2"/>
        <v>1</v>
      </c>
      <c r="D5" s="4"/>
      <c r="F5" t="e">
        <f>INDEX(Establishment!B$2:B$1005,MATCH($E5,Establishment!$A$2:$A$1005,0))</f>
        <v>#N/A</v>
      </c>
      <c r="G5" t="e">
        <f>INDEX(Establishment!C$2:C$1005,MATCH($E5,Establishment!$A$2:$A$1005,0))</f>
        <v>#N/A</v>
      </c>
      <c r="M5">
        <f t="shared" si="3"/>
        <v>0</v>
      </c>
      <c r="N5">
        <f t="shared" si="4"/>
        <v>0</v>
      </c>
      <c r="P5" t="e">
        <f>INDEX(Items!B$2:B$1032,MATCH($O5,Items!$A$2:$A$1032,0))</f>
        <v>#N/A</v>
      </c>
      <c r="Q5" t="e">
        <f>INDEX(Items!C$2:C$1032,MATCH($O5,Items!$A$2:$A$1032,0))</f>
        <v>#N/A</v>
      </c>
      <c r="R5" t="e">
        <f>INDEX(Items!D$2:D$1032,MATCH($O5,Items!$A$2:$A$1032,0))</f>
        <v>#N/A</v>
      </c>
    </row>
    <row r="6" spans="1:19" x14ac:dyDescent="0.25">
      <c r="A6">
        <f t="shared" si="0"/>
        <v>1</v>
      </c>
      <c r="B6" t="str">
        <f t="shared" si="1"/>
        <v/>
      </c>
      <c r="C6">
        <f t="shared" si="2"/>
        <v>1</v>
      </c>
      <c r="D6" s="4"/>
      <c r="F6" t="e">
        <f>INDEX(Establishment!B$2:B$1005,MATCH($E6,Establishment!$A$2:$A$1005,0))</f>
        <v>#N/A</v>
      </c>
      <c r="G6" t="e">
        <f>INDEX(Establishment!C$2:C$1005,MATCH($E6,Establishment!$A$2:$A$1005,0))</f>
        <v>#N/A</v>
      </c>
      <c r="M6">
        <f t="shared" si="3"/>
        <v>0</v>
      </c>
      <c r="N6">
        <f t="shared" si="4"/>
        <v>0</v>
      </c>
      <c r="P6" t="e">
        <f>INDEX(Items!B$2:B$1032,MATCH($O6,Items!$A$2:$A$1032,0))</f>
        <v>#N/A</v>
      </c>
      <c r="Q6" t="e">
        <f>INDEX(Items!C$2:C$1032,MATCH($O6,Items!$A$2:$A$1032,0))</f>
        <v>#N/A</v>
      </c>
      <c r="R6" t="e">
        <f>INDEX(Items!D$2:D$1032,MATCH($O6,Items!$A$2:$A$1032,0))</f>
        <v>#N/A</v>
      </c>
    </row>
    <row r="7" spans="1:19" x14ac:dyDescent="0.25">
      <c r="A7">
        <f t="shared" ref="A7:A65" si="5">IF(OR(D7&lt;&gt;D6,D7=""),1,IF(NOT(AND(E7=E6,F7=F6,G7=G6)),A6+1,IF(OR(H7="",AND(H7&lt;&gt;"",H7&lt;&gt;H6,H6&lt;&gt;"")),A6,A6+1)))</f>
        <v>1</v>
      </c>
      <c r="B7" t="str">
        <f t="shared" ref="B7:B70" si="6">IF(D7&lt;&gt;"",TEXT(D7,"YYYYMMDD")&amp;CHAR(64+A7),"")</f>
        <v/>
      </c>
      <c r="C7">
        <f>IF(OR(B7="",B7&lt;&gt;B15),1,C15+1)</f>
        <v>1</v>
      </c>
      <c r="D7" s="4"/>
      <c r="F7" t="e">
        <f>INDEX(Establishment!B$2:B$1005,MATCH($E7,Establishment!$A$2:$A$1005,0))</f>
        <v>#N/A</v>
      </c>
      <c r="G7" t="e">
        <f>INDEX(Establishment!C$2:C$1005,MATCH($E7,Establishment!$A$2:$A$1005,0))</f>
        <v>#N/A</v>
      </c>
      <c r="M7">
        <f>K7*L7</f>
        <v>0</v>
      </c>
      <c r="N7">
        <f t="shared" si="4"/>
        <v>0</v>
      </c>
      <c r="P7" t="e">
        <f>INDEX(Items!B$2:B$1032,MATCH($O7,Items!$A$2:$A$1032,0))</f>
        <v>#N/A</v>
      </c>
      <c r="Q7" t="e">
        <f>INDEX(Items!C$2:C$1032,MATCH($O7,Items!$A$2:$A$1032,0))</f>
        <v>#N/A</v>
      </c>
      <c r="R7" t="e">
        <f>INDEX(Items!D$2:D$1032,MATCH($O7,Items!$A$2:$A$1032,0))</f>
        <v>#N/A</v>
      </c>
    </row>
    <row r="8" spans="1:19" x14ac:dyDescent="0.25">
      <c r="A8">
        <f t="shared" si="5"/>
        <v>1</v>
      </c>
      <c r="B8" t="str">
        <f t="shared" si="6"/>
        <v/>
      </c>
      <c r="C8">
        <f>IF(OR(B8="",B8&lt;&gt;B7),1,C7+1)</f>
        <v>1</v>
      </c>
      <c r="D8" s="4"/>
      <c r="F8" t="e">
        <f>INDEX(Establishment!B$2:B$1005,MATCH($E8,Establishment!$A$2:$A$1005,0))</f>
        <v>#N/A</v>
      </c>
      <c r="G8" t="e">
        <f>INDEX(Establishment!C$2:C$1005,MATCH($E8,Establishment!$A$2:$A$1005,0))</f>
        <v>#N/A</v>
      </c>
      <c r="M8">
        <f>K8*L8</f>
        <v>0</v>
      </c>
      <c r="N8">
        <f t="shared" si="4"/>
        <v>0</v>
      </c>
      <c r="P8" t="e">
        <f>INDEX(Items!B$2:B$1032,MATCH($O8,Items!$A$2:$A$1032,0))</f>
        <v>#N/A</v>
      </c>
      <c r="Q8" t="e">
        <f>INDEX(Items!C$2:C$1032,MATCH($O8,Items!$A$2:$A$1032,0))</f>
        <v>#N/A</v>
      </c>
      <c r="R8" t="e">
        <f>INDEX(Items!D$2:D$1032,MATCH($O8,Items!$A$2:$A$1032,0))</f>
        <v>#N/A</v>
      </c>
    </row>
    <row r="9" spans="1:19" x14ac:dyDescent="0.25">
      <c r="A9">
        <f t="shared" si="5"/>
        <v>1</v>
      </c>
      <c r="B9" t="str">
        <f t="shared" si="6"/>
        <v/>
      </c>
      <c r="C9">
        <f>IF(OR(B9="",B9&lt;&gt;B8),1,C8+1)</f>
        <v>1</v>
      </c>
      <c r="D9" s="4"/>
      <c r="F9" t="e">
        <f>INDEX(Establishment!B$2:B$1005,MATCH($E9,Establishment!$A$2:$A$1005,0))</f>
        <v>#N/A</v>
      </c>
      <c r="G9" t="e">
        <f>INDEX(Establishment!C$2:C$1005,MATCH($E9,Establishment!$A$2:$A$1005,0))</f>
        <v>#N/A</v>
      </c>
      <c r="M9">
        <f>K9*L9</f>
        <v>0</v>
      </c>
      <c r="N9">
        <f t="shared" si="4"/>
        <v>0</v>
      </c>
      <c r="P9" t="e">
        <f>INDEX(Items!B$2:B$1032,MATCH($O9,Items!$A$2:$A$1032,0))</f>
        <v>#N/A</v>
      </c>
      <c r="Q9" t="e">
        <f>INDEX(Items!C$2:C$1032,MATCH($O9,Items!$A$2:$A$1032,0))</f>
        <v>#N/A</v>
      </c>
      <c r="R9" t="e">
        <f>INDEX(Items!D$2:D$1032,MATCH($O9,Items!$A$2:$A$1032,0))</f>
        <v>#N/A</v>
      </c>
    </row>
    <row r="10" spans="1:19" x14ac:dyDescent="0.25">
      <c r="A10">
        <f t="shared" si="5"/>
        <v>1</v>
      </c>
      <c r="B10" t="str">
        <f t="shared" si="6"/>
        <v/>
      </c>
      <c r="C10">
        <f t="shared" ref="C10:C73" si="7">IF(OR(B10="",B10&lt;&gt;B9),1,C9+1)</f>
        <v>1</v>
      </c>
      <c r="D10" s="4"/>
      <c r="F10" t="e">
        <f>INDEX(Establishment!B$2:B$1005,MATCH($E10,Establishment!$A$2:$A$1005,0))</f>
        <v>#N/A</v>
      </c>
      <c r="G10" t="e">
        <f>INDEX(Establishment!C$2:C$1005,MATCH($E10,Establishment!$A$2:$A$1005,0))</f>
        <v>#N/A</v>
      </c>
      <c r="M10">
        <f t="shared" ref="M10:M67" si="8">K10*L10</f>
        <v>0</v>
      </c>
      <c r="N10">
        <f t="shared" si="4"/>
        <v>0</v>
      </c>
      <c r="P10" t="e">
        <f>INDEX(Items!B$2:B$1032,MATCH($O10,Items!$A$2:$A$1032,0))</f>
        <v>#N/A</v>
      </c>
      <c r="Q10" t="e">
        <f>INDEX(Items!C$2:C$1032,MATCH($O10,Items!$A$2:$A$1032,0))</f>
        <v>#N/A</v>
      </c>
      <c r="R10" t="e">
        <f>INDEX(Items!D$2:D$1032,MATCH($O10,Items!$A$2:$A$1032,0))</f>
        <v>#N/A</v>
      </c>
    </row>
    <row r="11" spans="1:19" x14ac:dyDescent="0.25">
      <c r="A11">
        <f t="shared" si="5"/>
        <v>1</v>
      </c>
      <c r="B11" t="str">
        <f t="shared" si="6"/>
        <v/>
      </c>
      <c r="C11">
        <f t="shared" si="7"/>
        <v>1</v>
      </c>
      <c r="D11" s="4"/>
      <c r="F11" t="e">
        <f>INDEX(Establishment!B$2:B$1005,MATCH($E11,Establishment!$A$2:$A$1005,0))</f>
        <v>#N/A</v>
      </c>
      <c r="G11" t="e">
        <f>INDEX(Establishment!C$2:C$1005,MATCH($E11,Establishment!$A$2:$A$1005,0))</f>
        <v>#N/A</v>
      </c>
      <c r="M11">
        <f t="shared" si="8"/>
        <v>0</v>
      </c>
      <c r="N11">
        <f t="shared" si="4"/>
        <v>0</v>
      </c>
      <c r="P11" t="e">
        <f>INDEX(Items!B$2:B$1032,MATCH($O11,Items!$A$2:$A$1032,0))</f>
        <v>#N/A</v>
      </c>
      <c r="Q11" t="e">
        <f>INDEX(Items!C$2:C$1032,MATCH($O11,Items!$A$2:$A$1032,0))</f>
        <v>#N/A</v>
      </c>
      <c r="R11" t="e">
        <f>INDEX(Items!D$2:D$1032,MATCH($O11,Items!$A$2:$A$1032,0))</f>
        <v>#N/A</v>
      </c>
    </row>
    <row r="12" spans="1:19" x14ac:dyDescent="0.25">
      <c r="A12">
        <f t="shared" si="5"/>
        <v>1</v>
      </c>
      <c r="B12" t="str">
        <f t="shared" si="6"/>
        <v/>
      </c>
      <c r="C12">
        <f t="shared" si="7"/>
        <v>1</v>
      </c>
      <c r="D12" s="4"/>
      <c r="F12" t="e">
        <f>INDEX(Establishment!B$2:B$1005,MATCH($E12,Establishment!$A$2:$A$1005,0))</f>
        <v>#N/A</v>
      </c>
      <c r="G12" t="e">
        <f>INDEX(Establishment!C$2:C$1005,MATCH($E12,Establishment!$A$2:$A$1005,0))</f>
        <v>#N/A</v>
      </c>
      <c r="M12">
        <f t="shared" si="8"/>
        <v>0</v>
      </c>
      <c r="N12">
        <f t="shared" si="4"/>
        <v>0</v>
      </c>
      <c r="P12" t="e">
        <f>INDEX(Items!B$2:B$1032,MATCH($O12,Items!$A$2:$A$1032,0))</f>
        <v>#N/A</v>
      </c>
      <c r="Q12" t="e">
        <f>INDEX(Items!C$2:C$1032,MATCH($O12,Items!$A$2:$A$1032,0))</f>
        <v>#N/A</v>
      </c>
      <c r="R12" t="e">
        <f>INDEX(Items!D$2:D$1032,MATCH($O12,Items!$A$2:$A$1032,0))</f>
        <v>#N/A</v>
      </c>
    </row>
    <row r="13" spans="1:19" x14ac:dyDescent="0.25">
      <c r="A13">
        <f t="shared" si="5"/>
        <v>1</v>
      </c>
      <c r="B13" t="str">
        <f t="shared" si="6"/>
        <v/>
      </c>
      <c r="C13">
        <f t="shared" si="7"/>
        <v>1</v>
      </c>
      <c r="D13" s="4"/>
      <c r="F13" t="e">
        <f>INDEX(Establishment!B$2:B$1005,MATCH($E13,Establishment!$A$2:$A$1005,0))</f>
        <v>#N/A</v>
      </c>
      <c r="G13" t="e">
        <f>INDEX(Establishment!C$2:C$1005,MATCH($E13,Establishment!$A$2:$A$1005,0))</f>
        <v>#N/A</v>
      </c>
      <c r="M13">
        <f t="shared" si="8"/>
        <v>0</v>
      </c>
      <c r="N13">
        <f t="shared" si="4"/>
        <v>0</v>
      </c>
      <c r="P13" t="e">
        <f>INDEX(Items!B$2:B$1032,MATCH($O13,Items!$A$2:$A$1032,0))</f>
        <v>#N/A</v>
      </c>
      <c r="Q13" t="e">
        <f>INDEX(Items!C$2:C$1032,MATCH($O13,Items!$A$2:$A$1032,0))</f>
        <v>#N/A</v>
      </c>
      <c r="R13" t="e">
        <f>INDEX(Items!D$2:D$1032,MATCH($O13,Items!$A$2:$A$1032,0))</f>
        <v>#N/A</v>
      </c>
    </row>
    <row r="14" spans="1:19" x14ac:dyDescent="0.25">
      <c r="A14">
        <f t="shared" si="5"/>
        <v>1</v>
      </c>
      <c r="B14" t="str">
        <f t="shared" si="6"/>
        <v/>
      </c>
      <c r="C14">
        <f t="shared" si="7"/>
        <v>1</v>
      </c>
      <c r="D14" s="4"/>
      <c r="F14" t="e">
        <f>INDEX(Establishment!B$2:B$1005,MATCH($E14,Establishment!$A$2:$A$1005,0))</f>
        <v>#N/A</v>
      </c>
      <c r="G14" t="e">
        <f>INDEX(Establishment!C$2:C$1005,MATCH($E14,Establishment!$A$2:$A$1005,0))</f>
        <v>#N/A</v>
      </c>
      <c r="M14">
        <f t="shared" si="8"/>
        <v>0</v>
      </c>
      <c r="N14">
        <f t="shared" si="4"/>
        <v>0</v>
      </c>
      <c r="P14" t="e">
        <f>INDEX(Items!B$2:B$1032,MATCH($O14,Items!$A$2:$A$1032,0))</f>
        <v>#N/A</v>
      </c>
      <c r="Q14" t="e">
        <f>INDEX(Items!C$2:C$1032,MATCH($O14,Items!$A$2:$A$1032,0))</f>
        <v>#N/A</v>
      </c>
      <c r="R14" t="e">
        <f>INDEX(Items!D$2:D$1032,MATCH($O14,Items!$A$2:$A$1032,0))</f>
        <v>#N/A</v>
      </c>
    </row>
    <row r="15" spans="1:19" x14ac:dyDescent="0.25">
      <c r="A15">
        <f t="shared" si="5"/>
        <v>1</v>
      </c>
      <c r="B15" t="str">
        <f t="shared" si="6"/>
        <v/>
      </c>
      <c r="C15">
        <f t="shared" si="7"/>
        <v>1</v>
      </c>
      <c r="D15" s="4"/>
      <c r="F15" t="e">
        <f>INDEX(Establishment!B$2:B$1005,MATCH($E15,Establishment!$A$2:$A$1005,0))</f>
        <v>#N/A</v>
      </c>
      <c r="G15" t="e">
        <f>INDEX(Establishment!C$2:C$1005,MATCH($E15,Establishment!$A$2:$A$1005,0))</f>
        <v>#N/A</v>
      </c>
      <c r="M15">
        <f>K15*L15</f>
        <v>0</v>
      </c>
      <c r="N15">
        <f t="shared" si="4"/>
        <v>0</v>
      </c>
      <c r="P15" t="e">
        <f>INDEX(Items!B$2:B$1032,MATCH($O15,Items!$A$2:$A$1032,0))</f>
        <v>#N/A</v>
      </c>
      <c r="Q15" t="e">
        <f>INDEX(Items!C$2:C$1032,MATCH($O15,Items!$A$2:$A$1032,0))</f>
        <v>#N/A</v>
      </c>
      <c r="R15" t="e">
        <f>INDEX(Items!D$2:D$1032,MATCH($O15,Items!$A$2:$A$1032,0))</f>
        <v>#N/A</v>
      </c>
    </row>
    <row r="16" spans="1:19" x14ac:dyDescent="0.25">
      <c r="A16">
        <f t="shared" si="5"/>
        <v>1</v>
      </c>
      <c r="B16" t="str">
        <f t="shared" si="6"/>
        <v/>
      </c>
      <c r="C16">
        <f t="shared" si="7"/>
        <v>1</v>
      </c>
      <c r="D16" s="4"/>
      <c r="F16" t="e">
        <f>INDEX(Establishment!B$2:B$1005,MATCH($E16,Establishment!$A$2:$A$1005,0))</f>
        <v>#N/A</v>
      </c>
      <c r="G16" t="e">
        <f>INDEX(Establishment!C$2:C$1005,MATCH($E16,Establishment!$A$2:$A$1005,0))</f>
        <v>#N/A</v>
      </c>
      <c r="M16">
        <f t="shared" si="8"/>
        <v>0</v>
      </c>
      <c r="N16">
        <f t="shared" si="4"/>
        <v>0</v>
      </c>
      <c r="P16" t="e">
        <f>INDEX(Items!B$2:B$1032,MATCH($O16,Items!$A$2:$A$1032,0))</f>
        <v>#N/A</v>
      </c>
      <c r="Q16" t="e">
        <f>INDEX(Items!C$2:C$1032,MATCH($O16,Items!$A$2:$A$1032,0))</f>
        <v>#N/A</v>
      </c>
      <c r="R16" t="e">
        <f>INDEX(Items!D$2:D$1032,MATCH($O16,Items!$A$2:$A$1032,0))</f>
        <v>#N/A</v>
      </c>
    </row>
    <row r="17" spans="1:18" x14ac:dyDescent="0.25">
      <c r="A17">
        <f t="shared" si="5"/>
        <v>1</v>
      </c>
      <c r="B17" t="str">
        <f t="shared" si="6"/>
        <v/>
      </c>
      <c r="C17">
        <f t="shared" si="7"/>
        <v>1</v>
      </c>
      <c r="D17" s="4"/>
      <c r="F17" t="e">
        <f>INDEX(Establishment!B$2:B$1005,MATCH($E17,Establishment!$A$2:$A$1005,0))</f>
        <v>#N/A</v>
      </c>
      <c r="G17" t="e">
        <f>INDEX(Establishment!C$2:C$1005,MATCH($E17,Establishment!$A$2:$A$1005,0))</f>
        <v>#N/A</v>
      </c>
      <c r="M17">
        <f t="shared" si="8"/>
        <v>0</v>
      </c>
      <c r="N17">
        <f t="shared" si="4"/>
        <v>0</v>
      </c>
      <c r="P17" t="e">
        <f>INDEX(Items!B$2:B$1032,MATCH($O17,Items!$A$2:$A$1032,0))</f>
        <v>#N/A</v>
      </c>
      <c r="Q17" t="e">
        <f>INDEX(Items!C$2:C$1032,MATCH($O17,Items!$A$2:$A$1032,0))</f>
        <v>#N/A</v>
      </c>
      <c r="R17" t="e">
        <f>INDEX(Items!D$2:D$1032,MATCH($O17,Items!$A$2:$A$1032,0))</f>
        <v>#N/A</v>
      </c>
    </row>
    <row r="18" spans="1:18" x14ac:dyDescent="0.25">
      <c r="A18">
        <f t="shared" si="5"/>
        <v>1</v>
      </c>
      <c r="B18" t="str">
        <f t="shared" si="6"/>
        <v/>
      </c>
      <c r="C18">
        <f t="shared" si="7"/>
        <v>1</v>
      </c>
      <c r="D18" s="4"/>
      <c r="F18" t="e">
        <f>INDEX(Establishment!B$2:B$1005,MATCH($E18,Establishment!$A$2:$A$1005,0))</f>
        <v>#N/A</v>
      </c>
      <c r="G18" t="e">
        <f>INDEX(Establishment!C$2:C$1005,MATCH($E18,Establishment!$A$2:$A$1005,0))</f>
        <v>#N/A</v>
      </c>
      <c r="M18">
        <f t="shared" si="8"/>
        <v>0</v>
      </c>
      <c r="N18">
        <f t="shared" si="4"/>
        <v>0</v>
      </c>
      <c r="P18" t="e">
        <f>INDEX(Items!B$2:B$1032,MATCH($O18,Items!$A$2:$A$1032,0))</f>
        <v>#N/A</v>
      </c>
      <c r="Q18" t="e">
        <f>INDEX(Items!C$2:C$1032,MATCH($O18,Items!$A$2:$A$1032,0))</f>
        <v>#N/A</v>
      </c>
      <c r="R18" t="e">
        <f>INDEX(Items!D$2:D$1032,MATCH($O18,Items!$A$2:$A$1032,0))</f>
        <v>#N/A</v>
      </c>
    </row>
    <row r="19" spans="1:18" x14ac:dyDescent="0.25">
      <c r="A19">
        <f t="shared" si="5"/>
        <v>1</v>
      </c>
      <c r="B19" t="str">
        <f t="shared" si="6"/>
        <v/>
      </c>
      <c r="C19">
        <f t="shared" si="7"/>
        <v>1</v>
      </c>
      <c r="D19" s="4"/>
      <c r="F19" t="e">
        <f>INDEX(Establishment!B$2:B$1005,MATCH($E19,Establishment!$A$2:$A$1005,0))</f>
        <v>#N/A</v>
      </c>
      <c r="G19" t="e">
        <f>INDEX(Establishment!C$2:C$1005,MATCH($E19,Establishment!$A$2:$A$1005,0))</f>
        <v>#N/A</v>
      </c>
      <c r="M19">
        <f t="shared" si="8"/>
        <v>0</v>
      </c>
      <c r="N19">
        <f t="shared" si="4"/>
        <v>0</v>
      </c>
      <c r="P19" t="e">
        <f>INDEX(Items!B$2:B$1032,MATCH($O19,Items!$A$2:$A$1032,0))</f>
        <v>#N/A</v>
      </c>
      <c r="Q19" t="e">
        <f>INDEX(Items!C$2:C$1032,MATCH($O19,Items!$A$2:$A$1032,0))</f>
        <v>#N/A</v>
      </c>
      <c r="R19" t="e">
        <f>INDEX(Items!D$2:D$1032,MATCH($O19,Items!$A$2:$A$1032,0))</f>
        <v>#N/A</v>
      </c>
    </row>
    <row r="20" spans="1:18" x14ac:dyDescent="0.25">
      <c r="A20">
        <f t="shared" si="5"/>
        <v>1</v>
      </c>
      <c r="B20" t="str">
        <f t="shared" si="6"/>
        <v/>
      </c>
      <c r="C20">
        <f t="shared" si="7"/>
        <v>1</v>
      </c>
      <c r="D20" s="4"/>
      <c r="F20" t="e">
        <f>INDEX(Establishment!B$2:B$1005,MATCH($E20,Establishment!$A$2:$A$1005,0))</f>
        <v>#N/A</v>
      </c>
      <c r="G20" t="e">
        <f>INDEX(Establishment!C$2:C$1005,MATCH($E20,Establishment!$A$2:$A$1005,0))</f>
        <v>#N/A</v>
      </c>
      <c r="M20">
        <f t="shared" si="8"/>
        <v>0</v>
      </c>
      <c r="N20">
        <f t="shared" si="4"/>
        <v>0</v>
      </c>
      <c r="P20" t="e">
        <f>INDEX(Items!B$2:B$1032,MATCH($O20,Items!$A$2:$A$1032,0))</f>
        <v>#N/A</v>
      </c>
      <c r="Q20" t="e">
        <f>INDEX(Items!C$2:C$1032,MATCH($O20,Items!$A$2:$A$1032,0))</f>
        <v>#N/A</v>
      </c>
      <c r="R20" t="e">
        <f>INDEX(Items!D$2:D$1032,MATCH($O20,Items!$A$2:$A$1032,0))</f>
        <v>#N/A</v>
      </c>
    </row>
    <row r="21" spans="1:18" x14ac:dyDescent="0.25">
      <c r="A21">
        <f t="shared" si="5"/>
        <v>1</v>
      </c>
      <c r="B21" t="str">
        <f t="shared" si="6"/>
        <v/>
      </c>
      <c r="C21">
        <f t="shared" si="7"/>
        <v>1</v>
      </c>
      <c r="D21" s="4"/>
      <c r="F21" t="e">
        <f>INDEX(Establishment!B$2:B$1005,MATCH($E21,Establishment!$A$2:$A$1005,0))</f>
        <v>#N/A</v>
      </c>
      <c r="G21" t="e">
        <f>INDEX(Establishment!C$2:C$1005,MATCH($E21,Establishment!$A$2:$A$1005,0))</f>
        <v>#N/A</v>
      </c>
      <c r="M21">
        <f t="shared" si="8"/>
        <v>0</v>
      </c>
      <c r="N21">
        <f t="shared" si="4"/>
        <v>0</v>
      </c>
      <c r="P21" t="e">
        <f>INDEX(Items!B$2:B$1032,MATCH($O21,Items!$A$2:$A$1032,0))</f>
        <v>#N/A</v>
      </c>
      <c r="Q21" t="e">
        <f>INDEX(Items!C$2:C$1032,MATCH($O21,Items!$A$2:$A$1032,0))</f>
        <v>#N/A</v>
      </c>
      <c r="R21" t="e">
        <f>INDEX(Items!D$2:D$1032,MATCH($O21,Items!$A$2:$A$1032,0))</f>
        <v>#N/A</v>
      </c>
    </row>
    <row r="22" spans="1:18" x14ac:dyDescent="0.25">
      <c r="A22">
        <f t="shared" si="5"/>
        <v>1</v>
      </c>
      <c r="B22" t="str">
        <f t="shared" si="6"/>
        <v/>
      </c>
      <c r="C22">
        <f t="shared" si="7"/>
        <v>1</v>
      </c>
      <c r="D22" s="4"/>
      <c r="F22" t="e">
        <f>INDEX(Establishment!B$2:B$1005,MATCH($E22,Establishment!$A$2:$A$1005,0))</f>
        <v>#N/A</v>
      </c>
      <c r="G22" t="e">
        <f>INDEX(Establishment!C$2:C$1005,MATCH($E22,Establishment!$A$2:$A$1005,0))</f>
        <v>#N/A</v>
      </c>
      <c r="M22">
        <f t="shared" si="8"/>
        <v>0</v>
      </c>
      <c r="N22">
        <f t="shared" si="4"/>
        <v>0</v>
      </c>
      <c r="P22" t="e">
        <f>INDEX(Items!B$2:B$1032,MATCH($O22,Items!$A$2:$A$1032,0))</f>
        <v>#N/A</v>
      </c>
      <c r="Q22" t="e">
        <f>INDEX(Items!C$2:C$1032,MATCH($O22,Items!$A$2:$A$1032,0))</f>
        <v>#N/A</v>
      </c>
      <c r="R22" t="e">
        <f>INDEX(Items!D$2:D$1032,MATCH($O22,Items!$A$2:$A$1032,0))</f>
        <v>#N/A</v>
      </c>
    </row>
    <row r="23" spans="1:18" x14ac:dyDescent="0.25">
      <c r="A23">
        <f t="shared" si="5"/>
        <v>1</v>
      </c>
      <c r="B23" t="str">
        <f t="shared" si="6"/>
        <v/>
      </c>
      <c r="C23">
        <f t="shared" si="7"/>
        <v>1</v>
      </c>
      <c r="D23" s="4"/>
      <c r="F23" t="e">
        <f>INDEX(Establishment!B$2:B$1005,MATCH($E23,Establishment!$A$2:$A$1005,0))</f>
        <v>#N/A</v>
      </c>
      <c r="G23" t="e">
        <f>INDEX(Establishment!C$2:C$1005,MATCH($E23,Establishment!$A$2:$A$1005,0))</f>
        <v>#N/A</v>
      </c>
      <c r="M23">
        <f t="shared" si="8"/>
        <v>0</v>
      </c>
      <c r="N23">
        <f t="shared" si="4"/>
        <v>0</v>
      </c>
      <c r="P23" t="e">
        <f>INDEX(Items!B$2:B$1032,MATCH($O23,Items!$A$2:$A$1032,0))</f>
        <v>#N/A</v>
      </c>
      <c r="Q23" t="e">
        <f>INDEX(Items!C$2:C$1032,MATCH($O23,Items!$A$2:$A$1032,0))</f>
        <v>#N/A</v>
      </c>
      <c r="R23" t="e">
        <f>INDEX(Items!D$2:D$1032,MATCH($O23,Items!$A$2:$A$1032,0))</f>
        <v>#N/A</v>
      </c>
    </row>
    <row r="24" spans="1:18" x14ac:dyDescent="0.25">
      <c r="A24">
        <f t="shared" si="5"/>
        <v>1</v>
      </c>
      <c r="B24" t="str">
        <f t="shared" si="6"/>
        <v/>
      </c>
      <c r="C24">
        <f t="shared" si="7"/>
        <v>1</v>
      </c>
      <c r="D24" s="4"/>
      <c r="F24" t="e">
        <f>INDEX(Establishment!B$2:B$1005,MATCH($E24,Establishment!$A$2:$A$1005,0))</f>
        <v>#N/A</v>
      </c>
      <c r="G24" t="e">
        <f>INDEX(Establishment!C$2:C$1005,MATCH($E24,Establishment!$A$2:$A$1005,0))</f>
        <v>#N/A</v>
      </c>
      <c r="M24">
        <f t="shared" si="8"/>
        <v>0</v>
      </c>
      <c r="N24">
        <f t="shared" si="4"/>
        <v>0</v>
      </c>
      <c r="P24" t="e">
        <f>INDEX(Items!B$2:B$1032,MATCH($O24,Items!$A$2:$A$1032,0))</f>
        <v>#N/A</v>
      </c>
      <c r="Q24" t="e">
        <f>INDEX(Items!C$2:C$1032,MATCH($O24,Items!$A$2:$A$1032,0))</f>
        <v>#N/A</v>
      </c>
      <c r="R24" t="e">
        <f>INDEX(Items!D$2:D$1032,MATCH($O24,Items!$A$2:$A$1032,0))</f>
        <v>#N/A</v>
      </c>
    </row>
    <row r="25" spans="1:18" x14ac:dyDescent="0.25">
      <c r="A25">
        <f t="shared" si="5"/>
        <v>1</v>
      </c>
      <c r="B25" t="str">
        <f t="shared" si="6"/>
        <v/>
      </c>
      <c r="C25">
        <f t="shared" si="7"/>
        <v>1</v>
      </c>
      <c r="D25" s="4"/>
      <c r="F25" t="e">
        <f>INDEX(Establishment!B$2:B$1005,MATCH($E25,Establishment!$A$2:$A$1005,0))</f>
        <v>#N/A</v>
      </c>
      <c r="G25" t="e">
        <f>INDEX(Establishment!C$2:C$1005,MATCH($E25,Establishment!$A$2:$A$1005,0))</f>
        <v>#N/A</v>
      </c>
      <c r="M25">
        <f t="shared" si="8"/>
        <v>0</v>
      </c>
      <c r="N25">
        <f t="shared" si="4"/>
        <v>0</v>
      </c>
      <c r="P25" t="e">
        <f>INDEX(Items!B$2:B$1032,MATCH($O25,Items!$A$2:$A$1032,0))</f>
        <v>#N/A</v>
      </c>
      <c r="Q25" t="e">
        <f>INDEX(Items!C$2:C$1032,MATCH($O25,Items!$A$2:$A$1032,0))</f>
        <v>#N/A</v>
      </c>
      <c r="R25" t="e">
        <f>INDEX(Items!D$2:D$1032,MATCH($O25,Items!$A$2:$A$1032,0))</f>
        <v>#N/A</v>
      </c>
    </row>
    <row r="26" spans="1:18" x14ac:dyDescent="0.25">
      <c r="A26">
        <f t="shared" si="5"/>
        <v>1</v>
      </c>
      <c r="B26" t="str">
        <f t="shared" si="6"/>
        <v/>
      </c>
      <c r="C26">
        <f t="shared" si="7"/>
        <v>1</v>
      </c>
      <c r="D26" s="4"/>
      <c r="F26" t="s">
        <v>43</v>
      </c>
      <c r="G26" t="s">
        <v>44</v>
      </c>
      <c r="M26">
        <f t="shared" si="8"/>
        <v>0</v>
      </c>
      <c r="N26">
        <f t="shared" si="4"/>
        <v>0</v>
      </c>
      <c r="P26" t="e">
        <f>INDEX(Items!B$2:B$1032,MATCH($O26,Items!$A$2:$A$1032,0))</f>
        <v>#N/A</v>
      </c>
      <c r="Q26" t="e">
        <f>INDEX(Items!C$2:C$1032,MATCH($O26,Items!$A$2:$A$1032,0))</f>
        <v>#N/A</v>
      </c>
      <c r="R26" t="e">
        <f>INDEX(Items!D$2:D$1032,MATCH($O26,Items!$A$2:$A$1032,0))</f>
        <v>#N/A</v>
      </c>
    </row>
    <row r="27" spans="1:18" x14ac:dyDescent="0.25">
      <c r="A27">
        <f t="shared" si="5"/>
        <v>1</v>
      </c>
      <c r="B27" t="str">
        <f t="shared" si="6"/>
        <v/>
      </c>
      <c r="C27">
        <f t="shared" si="7"/>
        <v>1</v>
      </c>
      <c r="D27" s="4"/>
      <c r="F27" t="s">
        <v>43</v>
      </c>
      <c r="G27" t="s">
        <v>44</v>
      </c>
      <c r="M27">
        <f t="shared" si="8"/>
        <v>0</v>
      </c>
      <c r="N27">
        <f t="shared" si="4"/>
        <v>0</v>
      </c>
      <c r="P27" t="e">
        <f>INDEX(Items!B$2:B$1032,MATCH($O27,Items!$A$2:$A$1032,0))</f>
        <v>#N/A</v>
      </c>
      <c r="Q27" t="e">
        <f>INDEX(Items!C$2:C$1032,MATCH($O27,Items!$A$2:$A$1032,0))</f>
        <v>#N/A</v>
      </c>
      <c r="R27" t="e">
        <f>INDEX(Items!D$2:D$1032,MATCH($O27,Items!$A$2:$A$1032,0))</f>
        <v>#N/A</v>
      </c>
    </row>
    <row r="28" spans="1:18" x14ac:dyDescent="0.25">
      <c r="A28">
        <f t="shared" si="5"/>
        <v>1</v>
      </c>
      <c r="B28" t="str">
        <f t="shared" si="6"/>
        <v/>
      </c>
      <c r="C28">
        <f t="shared" si="7"/>
        <v>1</v>
      </c>
      <c r="D28" s="4"/>
      <c r="F28" t="s">
        <v>43</v>
      </c>
      <c r="G28" t="s">
        <v>44</v>
      </c>
      <c r="M28">
        <f t="shared" si="8"/>
        <v>0</v>
      </c>
      <c r="N28">
        <f t="shared" si="4"/>
        <v>0</v>
      </c>
      <c r="P28" t="e">
        <f>INDEX(Items!B$2:B$1032,MATCH($O28,Items!$A$2:$A$1032,0))</f>
        <v>#N/A</v>
      </c>
      <c r="Q28" t="e">
        <f>INDEX(Items!C$2:C$1032,MATCH($O28,Items!$A$2:$A$1032,0))</f>
        <v>#N/A</v>
      </c>
      <c r="R28" t="e">
        <f>INDEX(Items!D$2:D$1032,MATCH($O28,Items!$A$2:$A$1032,0))</f>
        <v>#N/A</v>
      </c>
    </row>
    <row r="29" spans="1:18" x14ac:dyDescent="0.25">
      <c r="A29">
        <f t="shared" si="5"/>
        <v>1</v>
      </c>
      <c r="B29" t="str">
        <f t="shared" si="6"/>
        <v/>
      </c>
      <c r="C29">
        <f t="shared" si="7"/>
        <v>1</v>
      </c>
      <c r="D29" s="4"/>
      <c r="F29" t="e">
        <f>INDEX(Establishment!B$2:B$1005,MATCH($E29,Establishment!$A$2:$A$1005,0))</f>
        <v>#N/A</v>
      </c>
      <c r="G29" t="e">
        <f>INDEX(Establishment!C$2:C$1005,MATCH($E29,Establishment!$A$2:$A$1005,0))</f>
        <v>#N/A</v>
      </c>
      <c r="M29">
        <f t="shared" si="8"/>
        <v>0</v>
      </c>
      <c r="N29">
        <f t="shared" si="4"/>
        <v>0</v>
      </c>
      <c r="P29" t="e">
        <f>INDEX(Items!B$2:B$1032,MATCH($O29,Items!$A$2:$A$1032,0))</f>
        <v>#N/A</v>
      </c>
      <c r="Q29" t="e">
        <f>INDEX(Items!C$2:C$1032,MATCH($O29,Items!$A$2:$A$1032,0))</f>
        <v>#N/A</v>
      </c>
      <c r="R29" t="e">
        <f>INDEX(Items!D$2:D$1032,MATCH($O29,Items!$A$2:$A$1032,0))</f>
        <v>#N/A</v>
      </c>
    </row>
    <row r="30" spans="1:18" x14ac:dyDescent="0.25">
      <c r="A30">
        <f t="shared" si="5"/>
        <v>1</v>
      </c>
      <c r="B30" t="str">
        <f t="shared" si="6"/>
        <v/>
      </c>
      <c r="C30">
        <f t="shared" si="7"/>
        <v>1</v>
      </c>
      <c r="D30" s="4"/>
      <c r="F30" t="e">
        <f>INDEX(Establishment!B$2:B$1005,MATCH($E30,Establishment!$A$2:$A$1005,0))</f>
        <v>#N/A</v>
      </c>
      <c r="G30" t="e">
        <f>INDEX(Establishment!C$2:C$1005,MATCH($E30,Establishment!$A$2:$A$1005,0))</f>
        <v>#N/A</v>
      </c>
      <c r="M30">
        <f t="shared" si="8"/>
        <v>0</v>
      </c>
      <c r="N30">
        <f t="shared" si="4"/>
        <v>0</v>
      </c>
      <c r="P30" t="e">
        <f>INDEX(Items!B$2:B$1032,MATCH($O30,Items!$A$2:$A$1032,0))</f>
        <v>#N/A</v>
      </c>
      <c r="Q30" t="e">
        <f>INDEX(Items!C$2:C$1032,MATCH($O30,Items!$A$2:$A$1032,0))</f>
        <v>#N/A</v>
      </c>
      <c r="R30" t="e">
        <f>INDEX(Items!D$2:D$1032,MATCH($O30,Items!$A$2:$A$1032,0))</f>
        <v>#N/A</v>
      </c>
    </row>
    <row r="31" spans="1:18" x14ac:dyDescent="0.25">
      <c r="A31">
        <f t="shared" si="5"/>
        <v>1</v>
      </c>
      <c r="B31" t="str">
        <f t="shared" si="6"/>
        <v/>
      </c>
      <c r="C31">
        <f t="shared" si="7"/>
        <v>1</v>
      </c>
      <c r="D31" s="4"/>
      <c r="F31" t="e">
        <f>INDEX(Establishment!B$2:B$1005,MATCH($E31,Establishment!$A$2:$A$1005,0))</f>
        <v>#N/A</v>
      </c>
      <c r="G31" t="e">
        <f>INDEX(Establishment!C$2:C$1005,MATCH($E31,Establishment!$A$2:$A$1005,0))</f>
        <v>#N/A</v>
      </c>
      <c r="M31">
        <f t="shared" si="8"/>
        <v>0</v>
      </c>
      <c r="N31">
        <f t="shared" si="4"/>
        <v>0</v>
      </c>
      <c r="P31" t="e">
        <f>INDEX(Items!B$2:B$1032,MATCH($O31,Items!$A$2:$A$1032,0))</f>
        <v>#N/A</v>
      </c>
      <c r="Q31" t="e">
        <f>INDEX(Items!C$2:C$1032,MATCH($O31,Items!$A$2:$A$1032,0))</f>
        <v>#N/A</v>
      </c>
      <c r="R31" t="e">
        <f>INDEX(Items!D$2:D$1032,MATCH($O31,Items!$A$2:$A$1032,0))</f>
        <v>#N/A</v>
      </c>
    </row>
    <row r="32" spans="1:18" x14ac:dyDescent="0.25">
      <c r="A32">
        <f t="shared" si="5"/>
        <v>1</v>
      </c>
      <c r="B32" t="str">
        <f t="shared" si="6"/>
        <v/>
      </c>
      <c r="C32">
        <f t="shared" si="7"/>
        <v>1</v>
      </c>
      <c r="D32" s="4"/>
      <c r="F32" t="s">
        <v>43</v>
      </c>
      <c r="G32" t="s">
        <v>46</v>
      </c>
      <c r="M32">
        <f t="shared" si="8"/>
        <v>0</v>
      </c>
      <c r="N32">
        <f t="shared" si="4"/>
        <v>0</v>
      </c>
      <c r="P32" t="e">
        <f>INDEX(Items!B$2:B$1032,MATCH($O32,Items!$A$2:$A$1032,0))</f>
        <v>#N/A</v>
      </c>
      <c r="Q32" t="e">
        <f>INDEX(Items!C$2:C$1032,MATCH($O32,Items!$A$2:$A$1032,0))</f>
        <v>#N/A</v>
      </c>
      <c r="R32" t="e">
        <f>INDEX(Items!D$2:D$1032,MATCH($O32,Items!$A$2:$A$1032,0))</f>
        <v>#N/A</v>
      </c>
    </row>
    <row r="33" spans="1:18" x14ac:dyDescent="0.25">
      <c r="A33">
        <f t="shared" si="5"/>
        <v>1</v>
      </c>
      <c r="B33" t="str">
        <f t="shared" si="6"/>
        <v/>
      </c>
      <c r="C33">
        <f t="shared" si="7"/>
        <v>1</v>
      </c>
      <c r="D33" s="4"/>
      <c r="F33" t="s">
        <v>43</v>
      </c>
      <c r="G33" t="s">
        <v>46</v>
      </c>
      <c r="M33">
        <f t="shared" si="8"/>
        <v>0</v>
      </c>
      <c r="N33">
        <f t="shared" si="4"/>
        <v>0</v>
      </c>
      <c r="P33" t="e">
        <f>INDEX(Items!B$2:B$1032,MATCH($O33,Items!$A$2:$A$1032,0))</f>
        <v>#N/A</v>
      </c>
      <c r="Q33" t="e">
        <f>INDEX(Items!C$2:C$1032,MATCH($O33,Items!$A$2:$A$1032,0))</f>
        <v>#N/A</v>
      </c>
      <c r="R33" t="e">
        <f>INDEX(Items!D$2:D$1032,MATCH($O33,Items!$A$2:$A$1032,0))</f>
        <v>#N/A</v>
      </c>
    </row>
    <row r="34" spans="1:18" x14ac:dyDescent="0.25">
      <c r="A34">
        <f t="shared" si="5"/>
        <v>1</v>
      </c>
      <c r="B34" t="str">
        <f t="shared" si="6"/>
        <v/>
      </c>
      <c r="C34">
        <f t="shared" si="7"/>
        <v>1</v>
      </c>
      <c r="D34" s="4"/>
      <c r="F34" t="s">
        <v>43</v>
      </c>
      <c r="G34" t="s">
        <v>46</v>
      </c>
      <c r="M34">
        <f t="shared" si="8"/>
        <v>0</v>
      </c>
      <c r="N34">
        <f t="shared" si="4"/>
        <v>0</v>
      </c>
      <c r="P34" t="e">
        <f>INDEX(Items!B$2:B$1032,MATCH($O34,Items!$A$2:$A$1032,0))</f>
        <v>#N/A</v>
      </c>
      <c r="Q34" t="e">
        <f>INDEX(Items!C$2:C$1032,MATCH($O34,Items!$A$2:$A$1032,0))</f>
        <v>#N/A</v>
      </c>
      <c r="R34" t="e">
        <f>INDEX(Items!D$2:D$1032,MATCH($O34,Items!$A$2:$A$1032,0))</f>
        <v>#N/A</v>
      </c>
    </row>
    <row r="35" spans="1:18" x14ac:dyDescent="0.25">
      <c r="A35">
        <f t="shared" si="5"/>
        <v>1</v>
      </c>
      <c r="B35" t="str">
        <f t="shared" si="6"/>
        <v/>
      </c>
      <c r="C35">
        <f t="shared" si="7"/>
        <v>1</v>
      </c>
      <c r="D35" s="4"/>
      <c r="F35" t="s">
        <v>43</v>
      </c>
      <c r="G35" t="s">
        <v>46</v>
      </c>
      <c r="M35">
        <f t="shared" si="8"/>
        <v>0</v>
      </c>
      <c r="N35">
        <f t="shared" si="4"/>
        <v>0</v>
      </c>
      <c r="P35" t="e">
        <f>INDEX(Items!B$2:B$1032,MATCH($O35,Items!$A$2:$A$1032,0))</f>
        <v>#N/A</v>
      </c>
      <c r="Q35" t="e">
        <f>INDEX(Items!C$2:C$1032,MATCH($O35,Items!$A$2:$A$1032,0))</f>
        <v>#N/A</v>
      </c>
      <c r="R35" t="e">
        <f>INDEX(Items!D$2:D$1032,MATCH($O35,Items!$A$2:$A$1032,0))</f>
        <v>#N/A</v>
      </c>
    </row>
    <row r="36" spans="1:18" x14ac:dyDescent="0.25">
      <c r="A36">
        <f t="shared" si="5"/>
        <v>1</v>
      </c>
      <c r="B36" t="str">
        <f t="shared" si="6"/>
        <v/>
      </c>
      <c r="C36">
        <f t="shared" si="7"/>
        <v>1</v>
      </c>
      <c r="D36" s="4"/>
      <c r="F36" t="s">
        <v>47</v>
      </c>
      <c r="G36" t="s">
        <v>46</v>
      </c>
      <c r="M36">
        <f t="shared" si="8"/>
        <v>0</v>
      </c>
      <c r="N36">
        <f t="shared" si="4"/>
        <v>0</v>
      </c>
      <c r="P36" t="e">
        <f>INDEX(Items!B$2:B$1032,MATCH($O36,Items!$A$2:$A$1032,0))</f>
        <v>#N/A</v>
      </c>
      <c r="Q36" t="e">
        <f>INDEX(Items!C$2:C$1032,MATCH($O36,Items!$A$2:$A$1032,0))</f>
        <v>#N/A</v>
      </c>
      <c r="R36" t="e">
        <f>INDEX(Items!D$2:D$1032,MATCH($O36,Items!$A$2:$A$1032,0))</f>
        <v>#N/A</v>
      </c>
    </row>
    <row r="37" spans="1:18" x14ac:dyDescent="0.25">
      <c r="A37">
        <f t="shared" si="5"/>
        <v>1</v>
      </c>
      <c r="B37" t="str">
        <f t="shared" si="6"/>
        <v/>
      </c>
      <c r="C37">
        <f t="shared" si="7"/>
        <v>1</v>
      </c>
      <c r="D37" s="4"/>
      <c r="F37" t="s">
        <v>47</v>
      </c>
      <c r="G37" t="s">
        <v>46</v>
      </c>
      <c r="M37">
        <f t="shared" si="8"/>
        <v>0</v>
      </c>
      <c r="N37">
        <f t="shared" si="4"/>
        <v>0</v>
      </c>
      <c r="P37" t="e">
        <f>INDEX(Items!B$2:B$1032,MATCH($O37,Items!$A$2:$A$1032,0))</f>
        <v>#N/A</v>
      </c>
      <c r="Q37" t="e">
        <f>INDEX(Items!C$2:C$1032,MATCH($O37,Items!$A$2:$A$1032,0))</f>
        <v>#N/A</v>
      </c>
      <c r="R37" t="e">
        <f>INDEX(Items!D$2:D$1032,MATCH($O37,Items!$A$2:$A$1032,0))</f>
        <v>#N/A</v>
      </c>
    </row>
    <row r="38" spans="1:18" x14ac:dyDescent="0.25">
      <c r="A38">
        <f t="shared" si="5"/>
        <v>1</v>
      </c>
      <c r="B38" t="str">
        <f t="shared" si="6"/>
        <v/>
      </c>
      <c r="C38">
        <f t="shared" si="7"/>
        <v>1</v>
      </c>
      <c r="D38" s="4"/>
      <c r="F38" t="s">
        <v>47</v>
      </c>
      <c r="G38" t="s">
        <v>46</v>
      </c>
      <c r="M38">
        <f t="shared" si="8"/>
        <v>0</v>
      </c>
      <c r="N38">
        <f t="shared" si="4"/>
        <v>0</v>
      </c>
      <c r="P38" t="e">
        <f>INDEX(Items!B$2:B$1032,MATCH($O38,Items!$A$2:$A$1032,0))</f>
        <v>#N/A</v>
      </c>
      <c r="Q38" t="e">
        <f>INDEX(Items!C$2:C$1032,MATCH($O38,Items!$A$2:$A$1032,0))</f>
        <v>#N/A</v>
      </c>
      <c r="R38" t="e">
        <f>INDEX(Items!D$2:D$1032,MATCH($O38,Items!$A$2:$A$1032,0))</f>
        <v>#N/A</v>
      </c>
    </row>
    <row r="39" spans="1:18" x14ac:dyDescent="0.25">
      <c r="A39">
        <f t="shared" si="5"/>
        <v>1</v>
      </c>
      <c r="B39" t="str">
        <f t="shared" si="6"/>
        <v/>
      </c>
      <c r="C39">
        <f t="shared" si="7"/>
        <v>1</v>
      </c>
      <c r="D39" s="4"/>
      <c r="F39" t="s">
        <v>47</v>
      </c>
      <c r="G39" t="s">
        <v>46</v>
      </c>
      <c r="M39">
        <f t="shared" si="8"/>
        <v>0</v>
      </c>
      <c r="N39">
        <f t="shared" si="4"/>
        <v>0</v>
      </c>
      <c r="P39" t="e">
        <f>INDEX(Items!B$2:B$1032,MATCH($O39,Items!$A$2:$A$1032,0))</f>
        <v>#N/A</v>
      </c>
      <c r="Q39" t="e">
        <f>INDEX(Items!C$2:C$1032,MATCH($O39,Items!$A$2:$A$1032,0))</f>
        <v>#N/A</v>
      </c>
      <c r="R39" t="e">
        <f>INDEX(Items!D$2:D$1032,MATCH($O39,Items!$A$2:$A$1032,0))</f>
        <v>#N/A</v>
      </c>
    </row>
    <row r="40" spans="1:18" x14ac:dyDescent="0.25">
      <c r="A40">
        <f t="shared" si="5"/>
        <v>1</v>
      </c>
      <c r="B40" t="str">
        <f t="shared" si="6"/>
        <v/>
      </c>
      <c r="C40">
        <f t="shared" si="7"/>
        <v>1</v>
      </c>
      <c r="D40" s="4"/>
      <c r="F40" t="s">
        <v>47</v>
      </c>
      <c r="G40" t="s">
        <v>46</v>
      </c>
      <c r="M40">
        <f t="shared" si="8"/>
        <v>0</v>
      </c>
      <c r="N40">
        <f t="shared" si="4"/>
        <v>0</v>
      </c>
      <c r="P40" t="e">
        <f>INDEX(Items!B$2:B$1032,MATCH($O40,Items!$A$2:$A$1032,0))</f>
        <v>#N/A</v>
      </c>
      <c r="Q40" t="e">
        <f>INDEX(Items!C$2:C$1032,MATCH($O40,Items!$A$2:$A$1032,0))</f>
        <v>#N/A</v>
      </c>
      <c r="R40" t="e">
        <f>INDEX(Items!D$2:D$1032,MATCH($O40,Items!$A$2:$A$1032,0))</f>
        <v>#N/A</v>
      </c>
    </row>
    <row r="41" spans="1:18" x14ac:dyDescent="0.25">
      <c r="A41">
        <f t="shared" si="5"/>
        <v>1</v>
      </c>
      <c r="B41" t="str">
        <f t="shared" si="6"/>
        <v/>
      </c>
      <c r="C41">
        <f t="shared" si="7"/>
        <v>1</v>
      </c>
      <c r="D41" s="4"/>
      <c r="F41" t="s">
        <v>47</v>
      </c>
      <c r="G41" t="s">
        <v>46</v>
      </c>
      <c r="M41">
        <f t="shared" si="8"/>
        <v>0</v>
      </c>
      <c r="N41">
        <f t="shared" si="4"/>
        <v>0</v>
      </c>
      <c r="P41" t="e">
        <f>INDEX(Items!B$2:B$1032,MATCH($O41,Items!$A$2:$A$1032,0))</f>
        <v>#N/A</v>
      </c>
      <c r="Q41" t="e">
        <f>INDEX(Items!C$2:C$1032,MATCH($O41,Items!$A$2:$A$1032,0))</f>
        <v>#N/A</v>
      </c>
      <c r="R41" t="e">
        <f>INDEX(Items!D$2:D$1032,MATCH($O41,Items!$A$2:$A$1032,0))</f>
        <v>#N/A</v>
      </c>
    </row>
    <row r="42" spans="1:18" x14ac:dyDescent="0.25">
      <c r="A42">
        <f t="shared" si="5"/>
        <v>1</v>
      </c>
      <c r="B42" t="str">
        <f t="shared" si="6"/>
        <v/>
      </c>
      <c r="C42">
        <f t="shared" si="7"/>
        <v>1</v>
      </c>
      <c r="D42" s="4"/>
      <c r="F42" t="s">
        <v>47</v>
      </c>
      <c r="G42" t="s">
        <v>46</v>
      </c>
      <c r="M42">
        <f t="shared" si="8"/>
        <v>0</v>
      </c>
      <c r="N42">
        <f t="shared" si="4"/>
        <v>0</v>
      </c>
      <c r="P42" t="e">
        <f>INDEX(Items!B$2:B$1032,MATCH($O42,Items!$A$2:$A$1032,0))</f>
        <v>#N/A</v>
      </c>
      <c r="Q42" t="e">
        <f>INDEX(Items!C$2:C$1032,MATCH($O42,Items!$A$2:$A$1032,0))</f>
        <v>#N/A</v>
      </c>
      <c r="R42" t="e">
        <f>INDEX(Items!D$2:D$1032,MATCH($O42,Items!$A$2:$A$1032,0))</f>
        <v>#N/A</v>
      </c>
    </row>
    <row r="43" spans="1:18" x14ac:dyDescent="0.25">
      <c r="A43">
        <f t="shared" si="5"/>
        <v>1</v>
      </c>
      <c r="B43" t="str">
        <f t="shared" si="6"/>
        <v/>
      </c>
      <c r="C43">
        <f t="shared" si="7"/>
        <v>1</v>
      </c>
      <c r="D43" s="4"/>
      <c r="F43" t="s">
        <v>47</v>
      </c>
      <c r="G43" t="s">
        <v>46</v>
      </c>
      <c r="M43">
        <f t="shared" si="8"/>
        <v>0</v>
      </c>
      <c r="N43">
        <f t="shared" si="4"/>
        <v>0</v>
      </c>
      <c r="P43" t="e">
        <f>INDEX(Items!B$2:B$1032,MATCH($O43,Items!$A$2:$A$1032,0))</f>
        <v>#N/A</v>
      </c>
      <c r="Q43" t="e">
        <f>INDEX(Items!C$2:C$1032,MATCH($O43,Items!$A$2:$A$1032,0))</f>
        <v>#N/A</v>
      </c>
      <c r="R43" t="e">
        <f>INDEX(Items!D$2:D$1032,MATCH($O43,Items!$A$2:$A$1032,0))</f>
        <v>#N/A</v>
      </c>
    </row>
    <row r="44" spans="1:18" x14ac:dyDescent="0.25">
      <c r="A44">
        <f t="shared" si="5"/>
        <v>1</v>
      </c>
      <c r="B44" t="str">
        <f t="shared" si="6"/>
        <v/>
      </c>
      <c r="C44">
        <f t="shared" si="7"/>
        <v>1</v>
      </c>
      <c r="D44" s="4"/>
      <c r="F44" t="s">
        <v>43</v>
      </c>
      <c r="G44" t="s">
        <v>48</v>
      </c>
      <c r="M44">
        <f t="shared" si="8"/>
        <v>0</v>
      </c>
      <c r="N44">
        <f t="shared" si="4"/>
        <v>0</v>
      </c>
      <c r="P44" t="e">
        <f>INDEX(Items!B$2:B$1032,MATCH($O44,Items!$A$2:$A$1032,0))</f>
        <v>#N/A</v>
      </c>
      <c r="Q44" t="e">
        <f>INDEX(Items!C$2:C$1032,MATCH($O44,Items!$A$2:$A$1032,0))</f>
        <v>#N/A</v>
      </c>
      <c r="R44" t="e">
        <f>INDEX(Items!D$2:D$1032,MATCH($O44,Items!$A$2:$A$1032,0))</f>
        <v>#N/A</v>
      </c>
    </row>
    <row r="45" spans="1:18" x14ac:dyDescent="0.25">
      <c r="A45">
        <f t="shared" si="5"/>
        <v>1</v>
      </c>
      <c r="B45" t="str">
        <f t="shared" si="6"/>
        <v/>
      </c>
      <c r="C45">
        <f t="shared" si="7"/>
        <v>1</v>
      </c>
      <c r="D45" s="4"/>
      <c r="F45" t="s">
        <v>43</v>
      </c>
      <c r="G45" t="s">
        <v>48</v>
      </c>
      <c r="M45">
        <f t="shared" si="8"/>
        <v>0</v>
      </c>
      <c r="N45">
        <f t="shared" si="4"/>
        <v>0</v>
      </c>
      <c r="P45" t="e">
        <f>INDEX(Items!B$2:B$1032,MATCH($O45,Items!$A$2:$A$1032,0))</f>
        <v>#N/A</v>
      </c>
      <c r="Q45" t="e">
        <f>INDEX(Items!C$2:C$1032,MATCH($O45,Items!$A$2:$A$1032,0))</f>
        <v>#N/A</v>
      </c>
      <c r="R45" t="e">
        <f>INDEX(Items!D$2:D$1032,MATCH($O45,Items!$A$2:$A$1032,0))</f>
        <v>#N/A</v>
      </c>
    </row>
    <row r="46" spans="1:18" x14ac:dyDescent="0.25">
      <c r="A46">
        <f t="shared" si="5"/>
        <v>1</v>
      </c>
      <c r="B46" t="str">
        <f t="shared" si="6"/>
        <v/>
      </c>
      <c r="C46">
        <f t="shared" si="7"/>
        <v>1</v>
      </c>
      <c r="D46" s="4"/>
      <c r="F46" t="e">
        <f>INDEX(Establishment!B$2:B$1005,MATCH($E46,Establishment!$A$2:$A$1005,0))</f>
        <v>#N/A</v>
      </c>
      <c r="G46" t="e">
        <f>INDEX(Establishment!C$2:C$1005,MATCH($E46,Establishment!$A$2:$A$1005,0))</f>
        <v>#N/A</v>
      </c>
      <c r="M46">
        <f t="shared" si="8"/>
        <v>0</v>
      </c>
      <c r="N46">
        <f t="shared" si="4"/>
        <v>0</v>
      </c>
      <c r="P46" t="e">
        <f>INDEX(Items!B$2:B$1032,MATCH($O46,Items!$A$2:$A$1032,0))</f>
        <v>#N/A</v>
      </c>
      <c r="Q46" t="e">
        <f>INDEX(Items!C$2:C$1032,MATCH($O46,Items!$A$2:$A$1032,0))</f>
        <v>#N/A</v>
      </c>
      <c r="R46" t="e">
        <f>INDEX(Items!D$2:D$1032,MATCH($O46,Items!$A$2:$A$1032,0))</f>
        <v>#N/A</v>
      </c>
    </row>
    <row r="47" spans="1:18" x14ac:dyDescent="0.25">
      <c r="A47">
        <f t="shared" si="5"/>
        <v>1</v>
      </c>
      <c r="B47" t="str">
        <f t="shared" si="6"/>
        <v/>
      </c>
      <c r="C47">
        <f t="shared" si="7"/>
        <v>1</v>
      </c>
      <c r="D47" s="4"/>
      <c r="F47" t="e">
        <f>INDEX(Establishment!B$2:B$1005,MATCH($E47,Establishment!$A$2:$A$1005,0))</f>
        <v>#N/A</v>
      </c>
      <c r="G47" t="e">
        <f>INDEX(Establishment!C$2:C$1005,MATCH($E47,Establishment!$A$2:$A$1005,0))</f>
        <v>#N/A</v>
      </c>
      <c r="M47">
        <f t="shared" si="8"/>
        <v>0</v>
      </c>
      <c r="N47">
        <f t="shared" si="4"/>
        <v>0</v>
      </c>
      <c r="P47" t="e">
        <f>INDEX(Items!B$2:B$1032,MATCH($O47,Items!$A$2:$A$1032,0))</f>
        <v>#N/A</v>
      </c>
      <c r="Q47" t="e">
        <f>INDEX(Items!C$2:C$1032,MATCH($O47,Items!$A$2:$A$1032,0))</f>
        <v>#N/A</v>
      </c>
      <c r="R47" t="e">
        <f>INDEX(Items!D$2:D$1032,MATCH($O47,Items!$A$2:$A$1032,0))</f>
        <v>#N/A</v>
      </c>
    </row>
    <row r="48" spans="1:18" x14ac:dyDescent="0.25">
      <c r="A48">
        <f t="shared" si="5"/>
        <v>1</v>
      </c>
      <c r="B48" t="str">
        <f t="shared" si="6"/>
        <v/>
      </c>
      <c r="C48">
        <f t="shared" si="7"/>
        <v>1</v>
      </c>
      <c r="D48" s="4"/>
      <c r="F48" t="e">
        <f>INDEX(Establishment!B$2:B$1005,MATCH($E48,Establishment!$A$2:$A$1005,0))</f>
        <v>#N/A</v>
      </c>
      <c r="G48" t="e">
        <f>INDEX(Establishment!C$2:C$1005,MATCH($E48,Establishment!$A$2:$A$1005,0))</f>
        <v>#N/A</v>
      </c>
      <c r="M48">
        <f t="shared" si="8"/>
        <v>0</v>
      </c>
      <c r="N48">
        <f t="shared" si="4"/>
        <v>0</v>
      </c>
      <c r="P48" t="e">
        <f>INDEX(Items!B$2:B$1032,MATCH($O48,Items!$A$2:$A$1032,0))</f>
        <v>#N/A</v>
      </c>
      <c r="Q48" t="e">
        <f>INDEX(Items!C$2:C$1032,MATCH($O48,Items!$A$2:$A$1032,0))</f>
        <v>#N/A</v>
      </c>
      <c r="R48" t="e">
        <f>INDEX(Items!D$2:D$1032,MATCH($O48,Items!$A$2:$A$1032,0))</f>
        <v>#N/A</v>
      </c>
    </row>
    <row r="49" spans="1:18" x14ac:dyDescent="0.25">
      <c r="A49">
        <f t="shared" si="5"/>
        <v>1</v>
      </c>
      <c r="B49" t="str">
        <f t="shared" si="6"/>
        <v/>
      </c>
      <c r="C49">
        <f t="shared" si="7"/>
        <v>1</v>
      </c>
      <c r="D49" s="4"/>
      <c r="F49" t="e">
        <f>INDEX(Establishment!B$2:B$1005,MATCH($E49,Establishment!$A$2:$A$1005,0))</f>
        <v>#N/A</v>
      </c>
      <c r="G49" t="e">
        <f>INDEX(Establishment!C$2:C$1005,MATCH($E49,Establishment!$A$2:$A$1005,0))</f>
        <v>#N/A</v>
      </c>
      <c r="M49">
        <f t="shared" si="8"/>
        <v>0</v>
      </c>
      <c r="N49">
        <f t="shared" si="4"/>
        <v>0</v>
      </c>
      <c r="P49" t="e">
        <f>INDEX(Items!B$2:B$1032,MATCH($O49,Items!$A$2:$A$1032,0))</f>
        <v>#N/A</v>
      </c>
      <c r="Q49" t="e">
        <f>INDEX(Items!C$2:C$1032,MATCH($O49,Items!$A$2:$A$1032,0))</f>
        <v>#N/A</v>
      </c>
      <c r="R49" t="e">
        <f>INDEX(Items!D$2:D$1032,MATCH($O49,Items!$A$2:$A$1032,0))</f>
        <v>#N/A</v>
      </c>
    </row>
    <row r="50" spans="1:18" x14ac:dyDescent="0.25">
      <c r="A50">
        <f t="shared" si="5"/>
        <v>1</v>
      </c>
      <c r="B50" t="str">
        <f t="shared" si="6"/>
        <v/>
      </c>
      <c r="C50">
        <f t="shared" si="7"/>
        <v>1</v>
      </c>
      <c r="D50" s="4"/>
      <c r="F50" t="e">
        <f>INDEX(Establishment!B$2:B$1005,MATCH($E50,Establishment!$A$2:$A$1005,0))</f>
        <v>#N/A</v>
      </c>
      <c r="G50" t="e">
        <f>INDEX(Establishment!C$2:C$1005,MATCH($E50,Establishment!$A$2:$A$1005,0))</f>
        <v>#N/A</v>
      </c>
      <c r="M50">
        <f t="shared" si="8"/>
        <v>0</v>
      </c>
      <c r="N50">
        <f t="shared" si="4"/>
        <v>0</v>
      </c>
      <c r="P50" t="e">
        <f>INDEX(Items!B$2:B$1032,MATCH($O50,Items!$A$2:$A$1032,0))</f>
        <v>#N/A</v>
      </c>
      <c r="Q50" t="e">
        <f>INDEX(Items!C$2:C$1032,MATCH($O50,Items!$A$2:$A$1032,0))</f>
        <v>#N/A</v>
      </c>
      <c r="R50" t="e">
        <f>INDEX(Items!D$2:D$1032,MATCH($O50,Items!$A$2:$A$1032,0))</f>
        <v>#N/A</v>
      </c>
    </row>
    <row r="51" spans="1:18" x14ac:dyDescent="0.25">
      <c r="A51">
        <f t="shared" si="5"/>
        <v>1</v>
      </c>
      <c r="B51" t="str">
        <f t="shared" si="6"/>
        <v/>
      </c>
      <c r="C51">
        <f t="shared" si="7"/>
        <v>1</v>
      </c>
      <c r="D51" s="4"/>
      <c r="F51" t="e">
        <f>INDEX(Establishment!B$2:B$1005,MATCH($E51,Establishment!$A$2:$A$1005,0))</f>
        <v>#N/A</v>
      </c>
      <c r="G51" t="e">
        <f>INDEX(Establishment!C$2:C$1005,MATCH($E51,Establishment!$A$2:$A$1005,0))</f>
        <v>#N/A</v>
      </c>
      <c r="M51">
        <f t="shared" si="8"/>
        <v>0</v>
      </c>
      <c r="N51">
        <f t="shared" si="4"/>
        <v>0</v>
      </c>
      <c r="P51" t="e">
        <f>INDEX(Items!B$2:B$1032,MATCH($O51,Items!$A$2:$A$1032,0))</f>
        <v>#N/A</v>
      </c>
      <c r="Q51" t="e">
        <f>INDEX(Items!C$2:C$1032,MATCH($O51,Items!$A$2:$A$1032,0))</f>
        <v>#N/A</v>
      </c>
      <c r="R51" t="e">
        <f>INDEX(Items!D$2:D$1032,MATCH($O51,Items!$A$2:$A$1032,0))</f>
        <v>#N/A</v>
      </c>
    </row>
    <row r="52" spans="1:18" x14ac:dyDescent="0.25">
      <c r="A52">
        <f t="shared" si="5"/>
        <v>1</v>
      </c>
      <c r="B52" t="str">
        <f t="shared" si="6"/>
        <v/>
      </c>
      <c r="C52">
        <f t="shared" si="7"/>
        <v>1</v>
      </c>
      <c r="D52" s="4"/>
      <c r="F52" t="e">
        <f>INDEX(Establishment!B$2:B$1005,MATCH($E52,Establishment!$A$2:$A$1005,0))</f>
        <v>#N/A</v>
      </c>
      <c r="G52" t="e">
        <f>INDEX(Establishment!C$2:C$1005,MATCH($E52,Establishment!$A$2:$A$1005,0))</f>
        <v>#N/A</v>
      </c>
      <c r="M52">
        <f t="shared" si="8"/>
        <v>0</v>
      </c>
      <c r="N52">
        <f t="shared" si="4"/>
        <v>0</v>
      </c>
      <c r="P52" t="e">
        <f>INDEX(Items!B$2:B$1032,MATCH($O52,Items!$A$2:$A$1032,0))</f>
        <v>#N/A</v>
      </c>
      <c r="Q52" t="e">
        <f>INDEX(Items!C$2:C$1032,MATCH($O52,Items!$A$2:$A$1032,0))</f>
        <v>#N/A</v>
      </c>
      <c r="R52" t="e">
        <f>INDEX(Items!D$2:D$1032,MATCH($O52,Items!$A$2:$A$1032,0))</f>
        <v>#N/A</v>
      </c>
    </row>
    <row r="53" spans="1:18" x14ac:dyDescent="0.25">
      <c r="A53">
        <f t="shared" si="5"/>
        <v>1</v>
      </c>
      <c r="B53" t="str">
        <f t="shared" si="6"/>
        <v/>
      </c>
      <c r="C53">
        <f t="shared" si="7"/>
        <v>1</v>
      </c>
      <c r="D53" s="4"/>
      <c r="F53" t="e">
        <f>INDEX(Establishment!B$2:B$1005,MATCH($E53,Establishment!$A$2:$A$1005,0))</f>
        <v>#N/A</v>
      </c>
      <c r="G53" t="e">
        <f>INDEX(Establishment!C$2:C$1005,MATCH($E53,Establishment!$A$2:$A$1005,0))</f>
        <v>#N/A</v>
      </c>
      <c r="M53">
        <f t="shared" si="8"/>
        <v>0</v>
      </c>
      <c r="N53">
        <f t="shared" si="4"/>
        <v>0</v>
      </c>
      <c r="P53" t="e">
        <f>INDEX(Items!B$2:B$1032,MATCH($O53,Items!$A$2:$A$1032,0))</f>
        <v>#N/A</v>
      </c>
      <c r="Q53" t="e">
        <f>INDEX(Items!C$2:C$1032,MATCH($O53,Items!$A$2:$A$1032,0))</f>
        <v>#N/A</v>
      </c>
      <c r="R53" t="e">
        <f>INDEX(Items!D$2:D$1032,MATCH($O53,Items!$A$2:$A$1032,0))</f>
        <v>#N/A</v>
      </c>
    </row>
    <row r="54" spans="1:18" x14ac:dyDescent="0.25">
      <c r="A54">
        <f t="shared" si="5"/>
        <v>1</v>
      </c>
      <c r="B54" t="str">
        <f t="shared" si="6"/>
        <v/>
      </c>
      <c r="C54">
        <f t="shared" si="7"/>
        <v>1</v>
      </c>
      <c r="D54" s="4"/>
      <c r="F54" t="e">
        <f>INDEX(Establishment!B$2:B$1005,MATCH($E54,Establishment!$A$2:$A$1005,0))</f>
        <v>#N/A</v>
      </c>
      <c r="G54" t="e">
        <f>INDEX(Establishment!C$2:C$1005,MATCH($E54,Establishment!$A$2:$A$1005,0))</f>
        <v>#N/A</v>
      </c>
      <c r="M54">
        <f t="shared" si="8"/>
        <v>0</v>
      </c>
      <c r="N54">
        <f t="shared" si="4"/>
        <v>0</v>
      </c>
      <c r="P54" t="e">
        <f>INDEX(Items!B$2:B$1032,MATCH($O54,Items!$A$2:$A$1032,0))</f>
        <v>#N/A</v>
      </c>
      <c r="Q54" t="e">
        <f>INDEX(Items!C$2:C$1032,MATCH($O54,Items!$A$2:$A$1032,0))</f>
        <v>#N/A</v>
      </c>
      <c r="R54" t="e">
        <f>INDEX(Items!D$2:D$1032,MATCH($O54,Items!$A$2:$A$1032,0))</f>
        <v>#N/A</v>
      </c>
    </row>
    <row r="55" spans="1:18" x14ac:dyDescent="0.25">
      <c r="A55">
        <f t="shared" si="5"/>
        <v>1</v>
      </c>
      <c r="B55" t="str">
        <f t="shared" si="6"/>
        <v/>
      </c>
      <c r="C55">
        <f t="shared" si="7"/>
        <v>1</v>
      </c>
      <c r="D55" s="4"/>
      <c r="F55" t="e">
        <f>INDEX(Establishment!B$2:B$1005,MATCH($E55,Establishment!$A$2:$A$1005,0))</f>
        <v>#N/A</v>
      </c>
      <c r="G55" t="e">
        <f>INDEX(Establishment!C$2:C$1005,MATCH($E55,Establishment!$A$2:$A$1005,0))</f>
        <v>#N/A</v>
      </c>
      <c r="M55">
        <f t="shared" si="8"/>
        <v>0</v>
      </c>
      <c r="N55">
        <f t="shared" si="4"/>
        <v>0</v>
      </c>
      <c r="P55" t="e">
        <f>INDEX(Items!B$2:B$1032,MATCH($O55,Items!$A$2:$A$1032,0))</f>
        <v>#N/A</v>
      </c>
      <c r="Q55" t="e">
        <f>INDEX(Items!C$2:C$1032,MATCH($O55,Items!$A$2:$A$1032,0))</f>
        <v>#N/A</v>
      </c>
      <c r="R55" t="e">
        <f>INDEX(Items!D$2:D$1032,MATCH($O55,Items!$A$2:$A$1032,0))</f>
        <v>#N/A</v>
      </c>
    </row>
    <row r="56" spans="1:18" x14ac:dyDescent="0.25">
      <c r="A56">
        <f t="shared" si="5"/>
        <v>1</v>
      </c>
      <c r="B56" t="str">
        <f t="shared" si="6"/>
        <v/>
      </c>
      <c r="C56">
        <f t="shared" si="7"/>
        <v>1</v>
      </c>
      <c r="D56" s="4"/>
      <c r="F56" t="e">
        <f>INDEX(Establishment!B$2:B$1005,MATCH($E56,Establishment!$A$2:$A$1005,0))</f>
        <v>#N/A</v>
      </c>
      <c r="G56" t="e">
        <f>INDEX(Establishment!C$2:C$1005,MATCH($E56,Establishment!$A$2:$A$1005,0))</f>
        <v>#N/A</v>
      </c>
      <c r="M56">
        <f t="shared" si="8"/>
        <v>0</v>
      </c>
      <c r="N56">
        <f t="shared" si="4"/>
        <v>0</v>
      </c>
      <c r="P56" t="e">
        <f>INDEX(Items!B$2:B$1032,MATCH($O56,Items!$A$2:$A$1032,0))</f>
        <v>#N/A</v>
      </c>
      <c r="Q56" t="e">
        <f>INDEX(Items!C$2:C$1032,MATCH($O56,Items!$A$2:$A$1032,0))</f>
        <v>#N/A</v>
      </c>
      <c r="R56" t="e">
        <f>INDEX(Items!D$2:D$1032,MATCH($O56,Items!$A$2:$A$1032,0))</f>
        <v>#N/A</v>
      </c>
    </row>
    <row r="57" spans="1:18" x14ac:dyDescent="0.25">
      <c r="A57">
        <f t="shared" si="5"/>
        <v>1</v>
      </c>
      <c r="B57" t="str">
        <f t="shared" si="6"/>
        <v/>
      </c>
      <c r="C57">
        <f t="shared" si="7"/>
        <v>1</v>
      </c>
      <c r="D57" s="4"/>
      <c r="F57" t="e">
        <f>INDEX(Establishment!B$2:B$1005,MATCH($E57,Establishment!$A$2:$A$1005,0))</f>
        <v>#N/A</v>
      </c>
      <c r="G57" t="e">
        <f>INDEX(Establishment!C$2:C$1005,MATCH($E57,Establishment!$A$2:$A$1005,0))</f>
        <v>#N/A</v>
      </c>
      <c r="M57">
        <f t="shared" si="8"/>
        <v>0</v>
      </c>
      <c r="N57">
        <f t="shared" si="4"/>
        <v>0</v>
      </c>
      <c r="P57" t="e">
        <f>INDEX(Items!B$2:B$1032,MATCH($O57,Items!$A$2:$A$1032,0))</f>
        <v>#N/A</v>
      </c>
      <c r="Q57" t="e">
        <f>INDEX(Items!C$2:C$1032,MATCH($O57,Items!$A$2:$A$1032,0))</f>
        <v>#N/A</v>
      </c>
      <c r="R57" t="e">
        <f>INDEX(Items!D$2:D$1032,MATCH($O57,Items!$A$2:$A$1032,0))</f>
        <v>#N/A</v>
      </c>
    </row>
    <row r="58" spans="1:18" x14ac:dyDescent="0.25">
      <c r="A58">
        <f t="shared" si="5"/>
        <v>1</v>
      </c>
      <c r="B58" t="str">
        <f t="shared" si="6"/>
        <v/>
      </c>
      <c r="C58">
        <f t="shared" si="7"/>
        <v>1</v>
      </c>
      <c r="D58" s="4"/>
      <c r="F58" t="e">
        <f>INDEX(Establishment!B$2:B$1005,MATCH($E58,Establishment!$A$2:$A$1005,0))</f>
        <v>#N/A</v>
      </c>
      <c r="G58" t="e">
        <f>INDEX(Establishment!C$2:C$1005,MATCH($E58,Establishment!$A$2:$A$1005,0))</f>
        <v>#N/A</v>
      </c>
      <c r="M58">
        <f t="shared" si="8"/>
        <v>0</v>
      </c>
      <c r="N58">
        <f t="shared" si="4"/>
        <v>0</v>
      </c>
      <c r="P58" t="e">
        <f>INDEX(Items!B$2:B$1032,MATCH($O58,Items!$A$2:$A$1032,0))</f>
        <v>#N/A</v>
      </c>
      <c r="Q58" t="e">
        <f>INDEX(Items!C$2:C$1032,MATCH($O58,Items!$A$2:$A$1032,0))</f>
        <v>#N/A</v>
      </c>
      <c r="R58" t="e">
        <f>INDEX(Items!D$2:D$1032,MATCH($O58,Items!$A$2:$A$1032,0))</f>
        <v>#N/A</v>
      </c>
    </row>
    <row r="59" spans="1:18" x14ac:dyDescent="0.25">
      <c r="A59">
        <f t="shared" si="5"/>
        <v>1</v>
      </c>
      <c r="B59" t="str">
        <f t="shared" si="6"/>
        <v/>
      </c>
      <c r="C59">
        <f t="shared" si="7"/>
        <v>1</v>
      </c>
      <c r="D59" s="4"/>
      <c r="F59" t="e">
        <f>INDEX(Establishment!B$2:B$1005,MATCH($E59,Establishment!$A$2:$A$1005,0))</f>
        <v>#N/A</v>
      </c>
      <c r="G59" t="e">
        <f>INDEX(Establishment!C$2:C$1005,MATCH($E59,Establishment!$A$2:$A$1005,0))</f>
        <v>#N/A</v>
      </c>
      <c r="M59">
        <f t="shared" si="8"/>
        <v>0</v>
      </c>
      <c r="N59">
        <f t="shared" si="4"/>
        <v>0</v>
      </c>
      <c r="P59" t="e">
        <f>INDEX(Items!B$2:B$1032,MATCH($O59,Items!$A$2:$A$1032,0))</f>
        <v>#N/A</v>
      </c>
      <c r="Q59" t="e">
        <f>INDEX(Items!C$2:C$1032,MATCH($O59,Items!$A$2:$A$1032,0))</f>
        <v>#N/A</v>
      </c>
      <c r="R59" t="e">
        <f>INDEX(Items!D$2:D$1032,MATCH($O59,Items!$A$2:$A$1032,0))</f>
        <v>#N/A</v>
      </c>
    </row>
    <row r="60" spans="1:18" x14ac:dyDescent="0.25">
      <c r="A60">
        <f t="shared" si="5"/>
        <v>1</v>
      </c>
      <c r="B60" t="str">
        <f t="shared" si="6"/>
        <v/>
      </c>
      <c r="C60">
        <f t="shared" si="7"/>
        <v>1</v>
      </c>
      <c r="D60" s="4"/>
      <c r="F60" t="e">
        <f>INDEX(Establishment!B$2:B$1005,MATCH($E60,Establishment!$A$2:$A$1005,0))</f>
        <v>#N/A</v>
      </c>
      <c r="G60" t="e">
        <f>INDEX(Establishment!C$2:C$1005,MATCH($E60,Establishment!$A$2:$A$1005,0))</f>
        <v>#N/A</v>
      </c>
      <c r="M60">
        <f t="shared" si="8"/>
        <v>0</v>
      </c>
      <c r="N60">
        <f t="shared" si="4"/>
        <v>0</v>
      </c>
      <c r="P60" t="e">
        <f>INDEX(Items!B$2:B$1032,MATCH($O60,Items!$A$2:$A$1032,0))</f>
        <v>#N/A</v>
      </c>
      <c r="Q60" t="e">
        <f>INDEX(Items!C$2:C$1032,MATCH($O60,Items!$A$2:$A$1032,0))</f>
        <v>#N/A</v>
      </c>
      <c r="R60" t="e">
        <f>INDEX(Items!D$2:D$1032,MATCH($O60,Items!$A$2:$A$1032,0))</f>
        <v>#N/A</v>
      </c>
    </row>
    <row r="61" spans="1:18" x14ac:dyDescent="0.25">
      <c r="A61">
        <f t="shared" si="5"/>
        <v>1</v>
      </c>
      <c r="B61" t="str">
        <f t="shared" si="6"/>
        <v/>
      </c>
      <c r="C61">
        <f t="shared" si="7"/>
        <v>1</v>
      </c>
      <c r="D61" s="4"/>
      <c r="F61" t="e">
        <f>INDEX(Establishment!B$2:B$1005,MATCH($E61,Establishment!$A$2:$A$1005,0))</f>
        <v>#N/A</v>
      </c>
      <c r="G61" t="e">
        <f>INDEX(Establishment!C$2:C$1005,MATCH($E61,Establishment!$A$2:$A$1005,0))</f>
        <v>#N/A</v>
      </c>
      <c r="M61">
        <f t="shared" si="8"/>
        <v>0</v>
      </c>
      <c r="N61">
        <f t="shared" si="4"/>
        <v>0</v>
      </c>
      <c r="P61" t="e">
        <f>INDEX(Items!B$2:B$1032,MATCH($O61,Items!$A$2:$A$1032,0))</f>
        <v>#N/A</v>
      </c>
      <c r="Q61" t="e">
        <f>INDEX(Items!C$2:C$1032,MATCH($O61,Items!$A$2:$A$1032,0))</f>
        <v>#N/A</v>
      </c>
      <c r="R61" t="e">
        <f>INDEX(Items!D$2:D$1032,MATCH($O61,Items!$A$2:$A$1032,0))</f>
        <v>#N/A</v>
      </c>
    </row>
    <row r="62" spans="1:18" x14ac:dyDescent="0.25">
      <c r="A62">
        <f t="shared" si="5"/>
        <v>1</v>
      </c>
      <c r="B62" t="str">
        <f t="shared" si="6"/>
        <v/>
      </c>
      <c r="C62">
        <f t="shared" si="7"/>
        <v>1</v>
      </c>
      <c r="D62" s="4"/>
      <c r="F62" t="e">
        <f>INDEX(Establishment!B$2:B$1005,MATCH($E62,Establishment!$A$2:$A$1005,0))</f>
        <v>#N/A</v>
      </c>
      <c r="G62" t="e">
        <f>INDEX(Establishment!C$2:C$1005,MATCH($E62,Establishment!$A$2:$A$1005,0))</f>
        <v>#N/A</v>
      </c>
      <c r="M62">
        <f t="shared" si="8"/>
        <v>0</v>
      </c>
      <c r="N62">
        <f t="shared" si="4"/>
        <v>0</v>
      </c>
      <c r="P62" t="e">
        <f>INDEX(Items!B$2:B$1032,MATCH($O62,Items!$A$2:$A$1032,0))</f>
        <v>#N/A</v>
      </c>
      <c r="Q62" t="e">
        <f>INDEX(Items!C$2:C$1032,MATCH($O62,Items!$A$2:$A$1032,0))</f>
        <v>#N/A</v>
      </c>
      <c r="R62" t="e">
        <f>INDEX(Items!D$2:D$1032,MATCH($O62,Items!$A$2:$A$1032,0))</f>
        <v>#N/A</v>
      </c>
    </row>
    <row r="63" spans="1:18" x14ac:dyDescent="0.25">
      <c r="A63">
        <f t="shared" si="5"/>
        <v>1</v>
      </c>
      <c r="B63" t="str">
        <f t="shared" si="6"/>
        <v/>
      </c>
      <c r="C63">
        <f t="shared" si="7"/>
        <v>1</v>
      </c>
      <c r="D63" s="4"/>
      <c r="F63" t="e">
        <f>INDEX(Establishment!B$2:B$1005,MATCH($E63,Establishment!$A$2:$A$1005,0))</f>
        <v>#N/A</v>
      </c>
      <c r="G63" t="e">
        <f>INDEX(Establishment!C$2:C$1005,MATCH($E63,Establishment!$A$2:$A$1005,0))</f>
        <v>#N/A</v>
      </c>
      <c r="M63">
        <f t="shared" si="8"/>
        <v>0</v>
      </c>
      <c r="N63">
        <f t="shared" si="4"/>
        <v>0</v>
      </c>
      <c r="P63" t="e">
        <f>INDEX(Items!B$2:B$1032,MATCH($O63,Items!$A$2:$A$1032,0))</f>
        <v>#N/A</v>
      </c>
      <c r="Q63" t="e">
        <f>INDEX(Items!C$2:C$1032,MATCH($O63,Items!$A$2:$A$1032,0))</f>
        <v>#N/A</v>
      </c>
      <c r="R63" t="e">
        <f>INDEX(Items!D$2:D$1032,MATCH($O63,Items!$A$2:$A$1032,0))</f>
        <v>#N/A</v>
      </c>
    </row>
    <row r="64" spans="1:18" x14ac:dyDescent="0.25">
      <c r="A64">
        <f t="shared" si="5"/>
        <v>1</v>
      </c>
      <c r="B64" t="str">
        <f t="shared" si="6"/>
        <v/>
      </c>
      <c r="C64">
        <f t="shared" si="7"/>
        <v>1</v>
      </c>
      <c r="D64" s="4"/>
      <c r="F64" t="e">
        <f>INDEX(Establishment!B$2:B$1005,MATCH($E64,Establishment!$A$2:$A$1005,0))</f>
        <v>#N/A</v>
      </c>
      <c r="G64" t="e">
        <f>INDEX(Establishment!C$2:C$1005,MATCH($E64,Establishment!$A$2:$A$1005,0))</f>
        <v>#N/A</v>
      </c>
      <c r="M64">
        <f t="shared" si="8"/>
        <v>0</v>
      </c>
      <c r="N64">
        <f t="shared" si="4"/>
        <v>0</v>
      </c>
      <c r="P64" t="e">
        <f>INDEX(Items!B$2:B$1032,MATCH($O64,Items!$A$2:$A$1032,0))</f>
        <v>#N/A</v>
      </c>
      <c r="Q64" t="e">
        <f>INDEX(Items!C$2:C$1032,MATCH($O64,Items!$A$2:$A$1032,0))</f>
        <v>#N/A</v>
      </c>
      <c r="R64" t="e">
        <f>INDEX(Items!D$2:D$1032,MATCH($O64,Items!$A$2:$A$1032,0))</f>
        <v>#N/A</v>
      </c>
    </row>
    <row r="65" spans="1:18" x14ac:dyDescent="0.25">
      <c r="A65">
        <f t="shared" si="5"/>
        <v>1</v>
      </c>
      <c r="B65" t="str">
        <f t="shared" si="6"/>
        <v/>
      </c>
      <c r="C65">
        <f t="shared" si="7"/>
        <v>1</v>
      </c>
      <c r="D65" s="4"/>
      <c r="F65" t="e">
        <f>INDEX(Establishment!B$2:B$1005,MATCH($E65,Establishment!$A$2:$A$1005,0))</f>
        <v>#N/A</v>
      </c>
      <c r="G65" t="e">
        <f>INDEX(Establishment!C$2:C$1005,MATCH($E65,Establishment!$A$2:$A$1005,0))</f>
        <v>#N/A</v>
      </c>
      <c r="M65">
        <f t="shared" si="8"/>
        <v>0</v>
      </c>
      <c r="N65">
        <f t="shared" si="4"/>
        <v>0</v>
      </c>
      <c r="P65" t="e">
        <f>INDEX(Items!B$2:B$1032,MATCH($O65,Items!$A$2:$A$1032,0))</f>
        <v>#N/A</v>
      </c>
      <c r="Q65" t="e">
        <f>INDEX(Items!C$2:C$1032,MATCH($O65,Items!$A$2:$A$1032,0))</f>
        <v>#N/A</v>
      </c>
      <c r="R65" t="e">
        <f>INDEX(Items!D$2:D$1032,MATCH($O65,Items!$A$2:$A$1032,0))</f>
        <v>#N/A</v>
      </c>
    </row>
    <row r="66" spans="1:18" x14ac:dyDescent="0.25">
      <c r="A66">
        <f t="shared" ref="A66:A129" si="9">IF(OR(D66&lt;&gt;D65,D66=""),1,IF(NOT(AND(E66=E65,F66=F65,G66=G65)),A65+1,IF(OR(H66="",AND(H66&lt;&gt;"",H66&lt;&gt;H65,H65&lt;&gt;"")),A65,A65+1)))</f>
        <v>1</v>
      </c>
      <c r="B66" t="str">
        <f t="shared" si="6"/>
        <v/>
      </c>
      <c r="C66">
        <f t="shared" si="7"/>
        <v>1</v>
      </c>
      <c r="D66" s="4"/>
      <c r="F66" t="e">
        <f>INDEX(Establishment!B$2:B$1005,MATCH($E66,Establishment!$A$2:$A$1005,0))</f>
        <v>#N/A</v>
      </c>
      <c r="G66" t="e">
        <f>INDEX(Establishment!C$2:C$1005,MATCH($E66,Establishment!$A$2:$A$1005,0))</f>
        <v>#N/A</v>
      </c>
      <c r="M66">
        <f t="shared" si="8"/>
        <v>0</v>
      </c>
      <c r="N66">
        <f t="shared" si="4"/>
        <v>0</v>
      </c>
      <c r="P66" t="e">
        <f>INDEX(Items!B$2:B$1032,MATCH($O66,Items!$A$2:$A$1032,0))</f>
        <v>#N/A</v>
      </c>
      <c r="Q66" t="e">
        <f>INDEX(Items!C$2:C$1032,MATCH($O66,Items!$A$2:$A$1032,0))</f>
        <v>#N/A</v>
      </c>
      <c r="R66" t="e">
        <f>INDEX(Items!D$2:D$1032,MATCH($O66,Items!$A$2:$A$1032,0))</f>
        <v>#N/A</v>
      </c>
    </row>
    <row r="67" spans="1:18" x14ac:dyDescent="0.25">
      <c r="A67">
        <f t="shared" si="9"/>
        <v>1</v>
      </c>
      <c r="B67" t="str">
        <f t="shared" si="6"/>
        <v/>
      </c>
      <c r="C67">
        <f t="shared" si="7"/>
        <v>1</v>
      </c>
      <c r="D67" s="4"/>
      <c r="F67" t="s">
        <v>43</v>
      </c>
      <c r="G67" t="s">
        <v>46</v>
      </c>
      <c r="M67">
        <f t="shared" si="8"/>
        <v>0</v>
      </c>
      <c r="N67">
        <f t="shared" ref="N67:N130" si="10">IF(B67=B66,N66+M67,M67)</f>
        <v>0</v>
      </c>
      <c r="P67" t="e">
        <f>INDEX(Items!B$2:B$1032,MATCH($O67,Items!$A$2:$A$1032,0))</f>
        <v>#N/A</v>
      </c>
      <c r="Q67" t="e">
        <f>INDEX(Items!C$2:C$1032,MATCH($O67,Items!$A$2:$A$1032,0))</f>
        <v>#N/A</v>
      </c>
      <c r="R67" t="e">
        <f>INDEX(Items!D$2:D$1032,MATCH($O67,Items!$A$2:$A$1032,0))</f>
        <v>#N/A</v>
      </c>
    </row>
    <row r="68" spans="1:18" x14ac:dyDescent="0.25">
      <c r="A68">
        <f t="shared" si="9"/>
        <v>1</v>
      </c>
      <c r="B68" t="str">
        <f t="shared" si="6"/>
        <v/>
      </c>
      <c r="C68">
        <f t="shared" si="7"/>
        <v>1</v>
      </c>
      <c r="D68" s="4"/>
      <c r="F68" t="s">
        <v>43</v>
      </c>
      <c r="G68" t="s">
        <v>46</v>
      </c>
      <c r="M68">
        <f t="shared" ref="M68:M131" si="11">K68*L68</f>
        <v>0</v>
      </c>
      <c r="N68">
        <f t="shared" si="10"/>
        <v>0</v>
      </c>
      <c r="P68" t="e">
        <f>INDEX(Items!B$2:B$1032,MATCH($O68,Items!$A$2:$A$1032,0))</f>
        <v>#N/A</v>
      </c>
      <c r="Q68" t="e">
        <f>INDEX(Items!C$2:C$1032,MATCH($O68,Items!$A$2:$A$1032,0))</f>
        <v>#N/A</v>
      </c>
      <c r="R68" t="e">
        <f>INDEX(Items!D$2:D$1032,MATCH($O68,Items!$A$2:$A$1032,0))</f>
        <v>#N/A</v>
      </c>
    </row>
    <row r="69" spans="1:18" x14ac:dyDescent="0.25">
      <c r="A69">
        <f t="shared" si="9"/>
        <v>1</v>
      </c>
      <c r="B69" t="str">
        <f t="shared" si="6"/>
        <v/>
      </c>
      <c r="C69">
        <f t="shared" si="7"/>
        <v>1</v>
      </c>
      <c r="D69" s="4"/>
      <c r="F69" t="s">
        <v>43</v>
      </c>
      <c r="G69" t="s">
        <v>46</v>
      </c>
      <c r="M69">
        <f t="shared" si="11"/>
        <v>0</v>
      </c>
      <c r="N69">
        <f t="shared" si="10"/>
        <v>0</v>
      </c>
      <c r="P69" t="e">
        <f>INDEX(Items!B$2:B$1032,MATCH($O69,Items!$A$2:$A$1032,0))</f>
        <v>#N/A</v>
      </c>
      <c r="Q69" t="e">
        <f>INDEX(Items!C$2:C$1032,MATCH($O69,Items!$A$2:$A$1032,0))</f>
        <v>#N/A</v>
      </c>
      <c r="R69" t="e">
        <f>INDEX(Items!D$2:D$1032,MATCH($O69,Items!$A$2:$A$1032,0))</f>
        <v>#N/A</v>
      </c>
    </row>
    <row r="70" spans="1:18" x14ac:dyDescent="0.25">
      <c r="A70">
        <f t="shared" si="9"/>
        <v>1</v>
      </c>
      <c r="B70" t="str">
        <f t="shared" si="6"/>
        <v/>
      </c>
      <c r="C70">
        <f t="shared" si="7"/>
        <v>1</v>
      </c>
      <c r="D70" s="4"/>
      <c r="F70" t="s">
        <v>43</v>
      </c>
      <c r="G70" t="s">
        <v>46</v>
      </c>
      <c r="M70">
        <f t="shared" si="11"/>
        <v>0</v>
      </c>
      <c r="N70">
        <f t="shared" si="10"/>
        <v>0</v>
      </c>
      <c r="P70" t="e">
        <f>INDEX(Items!B$2:B$1032,MATCH($O70,Items!$A$2:$A$1032,0))</f>
        <v>#N/A</v>
      </c>
      <c r="Q70" t="e">
        <f>INDEX(Items!C$2:C$1032,MATCH($O70,Items!$A$2:$A$1032,0))</f>
        <v>#N/A</v>
      </c>
      <c r="R70" t="e">
        <f>INDEX(Items!D$2:D$1032,MATCH($O70,Items!$A$2:$A$1032,0))</f>
        <v>#N/A</v>
      </c>
    </row>
    <row r="71" spans="1:18" x14ac:dyDescent="0.25">
      <c r="A71">
        <f t="shared" si="9"/>
        <v>1</v>
      </c>
      <c r="B71" t="str">
        <f t="shared" ref="B71:B134" si="12">IF(D71&lt;&gt;"",TEXT(D71,"YYYYMMDD")&amp;CHAR(64+A71),"")</f>
        <v/>
      </c>
      <c r="C71">
        <f t="shared" si="7"/>
        <v>1</v>
      </c>
      <c r="D71" s="4"/>
      <c r="F71" t="s">
        <v>43</v>
      </c>
      <c r="G71" t="s">
        <v>46</v>
      </c>
      <c r="M71">
        <f t="shared" si="11"/>
        <v>0</v>
      </c>
      <c r="N71">
        <f t="shared" si="10"/>
        <v>0</v>
      </c>
      <c r="P71" t="e">
        <f>INDEX(Items!B$2:B$1032,MATCH($O71,Items!$A$2:$A$1032,0))</f>
        <v>#N/A</v>
      </c>
      <c r="Q71" t="e">
        <f>INDEX(Items!C$2:C$1032,MATCH($O71,Items!$A$2:$A$1032,0))</f>
        <v>#N/A</v>
      </c>
      <c r="R71" t="e">
        <f>INDEX(Items!D$2:D$1032,MATCH($O71,Items!$A$2:$A$1032,0))</f>
        <v>#N/A</v>
      </c>
    </row>
    <row r="72" spans="1:18" x14ac:dyDescent="0.25">
      <c r="A72">
        <f t="shared" si="9"/>
        <v>1</v>
      </c>
      <c r="B72" t="str">
        <f t="shared" si="12"/>
        <v/>
      </c>
      <c r="C72">
        <f t="shared" si="7"/>
        <v>1</v>
      </c>
      <c r="D72" s="4"/>
      <c r="F72" t="s">
        <v>53</v>
      </c>
      <c r="G72" t="s">
        <v>48</v>
      </c>
      <c r="M72">
        <f t="shared" si="11"/>
        <v>0</v>
      </c>
      <c r="N72">
        <f t="shared" si="10"/>
        <v>0</v>
      </c>
      <c r="P72" t="e">
        <f>INDEX(Items!B$2:B$1032,MATCH($O72,Items!$A$2:$A$1032,0))</f>
        <v>#N/A</v>
      </c>
      <c r="Q72" t="e">
        <f>INDEX(Items!C$2:C$1032,MATCH($O72,Items!$A$2:$A$1032,0))</f>
        <v>#N/A</v>
      </c>
      <c r="R72" t="e">
        <f>INDEX(Items!D$2:D$1032,MATCH($O72,Items!$A$2:$A$1032,0))</f>
        <v>#N/A</v>
      </c>
    </row>
    <row r="73" spans="1:18" x14ac:dyDescent="0.25">
      <c r="A73">
        <f t="shared" si="9"/>
        <v>1</v>
      </c>
      <c r="B73" t="str">
        <f t="shared" si="12"/>
        <v/>
      </c>
      <c r="C73">
        <f t="shared" si="7"/>
        <v>1</v>
      </c>
      <c r="D73" s="4"/>
      <c r="F73" t="s">
        <v>53</v>
      </c>
      <c r="G73" t="s">
        <v>48</v>
      </c>
      <c r="M73">
        <f t="shared" si="11"/>
        <v>0</v>
      </c>
      <c r="N73">
        <f t="shared" si="10"/>
        <v>0</v>
      </c>
      <c r="P73" t="e">
        <f>INDEX(Items!B$2:B$1032,MATCH($O73,Items!$A$2:$A$1032,0))</f>
        <v>#N/A</v>
      </c>
      <c r="Q73" t="e">
        <f>INDEX(Items!C$2:C$1032,MATCH($O73,Items!$A$2:$A$1032,0))</f>
        <v>#N/A</v>
      </c>
      <c r="R73" t="e">
        <f>INDEX(Items!D$2:D$1032,MATCH($O73,Items!$A$2:$A$1032,0))</f>
        <v>#N/A</v>
      </c>
    </row>
    <row r="74" spans="1:18" x14ac:dyDescent="0.25">
      <c r="A74">
        <f t="shared" si="9"/>
        <v>1</v>
      </c>
      <c r="B74" t="str">
        <f t="shared" si="12"/>
        <v/>
      </c>
      <c r="C74">
        <f t="shared" ref="C74:C137" si="13">IF(OR(B74="",B74&lt;&gt;B73),1,C73+1)</f>
        <v>1</v>
      </c>
      <c r="D74" s="4"/>
      <c r="F74" t="s">
        <v>43</v>
      </c>
      <c r="G74" t="s">
        <v>48</v>
      </c>
      <c r="M74">
        <f t="shared" si="11"/>
        <v>0</v>
      </c>
      <c r="N74">
        <f t="shared" si="10"/>
        <v>0</v>
      </c>
      <c r="P74" t="e">
        <f>INDEX(Items!B$2:B$1032,MATCH($O74,Items!$A$2:$A$1032,0))</f>
        <v>#N/A</v>
      </c>
      <c r="Q74" t="e">
        <f>INDEX(Items!C$2:C$1032,MATCH($O74,Items!$A$2:$A$1032,0))</f>
        <v>#N/A</v>
      </c>
      <c r="R74" t="e">
        <f>INDEX(Items!D$2:D$1032,MATCH($O74,Items!$A$2:$A$1032,0))</f>
        <v>#N/A</v>
      </c>
    </row>
    <row r="75" spans="1:18" x14ac:dyDescent="0.25">
      <c r="A75">
        <f t="shared" si="9"/>
        <v>1</v>
      </c>
      <c r="B75" t="str">
        <f t="shared" si="12"/>
        <v/>
      </c>
      <c r="C75">
        <f t="shared" si="13"/>
        <v>1</v>
      </c>
      <c r="D75" s="4"/>
      <c r="F75" t="s">
        <v>43</v>
      </c>
      <c r="G75" t="s">
        <v>48</v>
      </c>
      <c r="M75">
        <f t="shared" si="11"/>
        <v>0</v>
      </c>
      <c r="N75">
        <f t="shared" si="10"/>
        <v>0</v>
      </c>
      <c r="P75" t="e">
        <f>INDEX(Items!B$2:B$1032,MATCH($O75,Items!$A$2:$A$1032,0))</f>
        <v>#N/A</v>
      </c>
      <c r="Q75" t="e">
        <f>INDEX(Items!C$2:C$1032,MATCH($O75,Items!$A$2:$A$1032,0))</f>
        <v>#N/A</v>
      </c>
      <c r="R75" t="e">
        <f>INDEX(Items!D$2:D$1032,MATCH($O75,Items!$A$2:$A$1032,0))</f>
        <v>#N/A</v>
      </c>
    </row>
    <row r="76" spans="1:18" x14ac:dyDescent="0.25">
      <c r="A76">
        <f t="shared" si="9"/>
        <v>1</v>
      </c>
      <c r="B76" t="str">
        <f t="shared" si="12"/>
        <v/>
      </c>
      <c r="C76">
        <f t="shared" si="13"/>
        <v>1</v>
      </c>
      <c r="D76" s="4"/>
      <c r="F76" t="s">
        <v>43</v>
      </c>
      <c r="G76" t="s">
        <v>48</v>
      </c>
      <c r="M76">
        <f t="shared" si="11"/>
        <v>0</v>
      </c>
      <c r="N76">
        <f t="shared" si="10"/>
        <v>0</v>
      </c>
      <c r="P76" t="e">
        <f>INDEX(Items!B$2:B$1032,MATCH($O76,Items!$A$2:$A$1032,0))</f>
        <v>#N/A</v>
      </c>
      <c r="Q76" t="e">
        <f>INDEX(Items!C$2:C$1032,MATCH($O76,Items!$A$2:$A$1032,0))</f>
        <v>#N/A</v>
      </c>
      <c r="R76" t="e">
        <f>INDEX(Items!D$2:D$1032,MATCH($O76,Items!$A$2:$A$1032,0))</f>
        <v>#N/A</v>
      </c>
    </row>
    <row r="77" spans="1:18" x14ac:dyDescent="0.25">
      <c r="A77">
        <f t="shared" si="9"/>
        <v>1</v>
      </c>
      <c r="B77" t="str">
        <f t="shared" si="12"/>
        <v/>
      </c>
      <c r="C77">
        <f t="shared" si="13"/>
        <v>1</v>
      </c>
      <c r="D77" s="4"/>
      <c r="F77" t="s">
        <v>43</v>
      </c>
      <c r="G77" t="s">
        <v>48</v>
      </c>
      <c r="M77">
        <f t="shared" si="11"/>
        <v>0</v>
      </c>
      <c r="N77">
        <f t="shared" si="10"/>
        <v>0</v>
      </c>
      <c r="P77" t="e">
        <f>INDEX(Items!B$2:B$1032,MATCH($O77,Items!$A$2:$A$1032,0))</f>
        <v>#N/A</v>
      </c>
      <c r="Q77" t="e">
        <f>INDEX(Items!C$2:C$1032,MATCH($O77,Items!$A$2:$A$1032,0))</f>
        <v>#N/A</v>
      </c>
      <c r="R77" t="e">
        <f>INDEX(Items!D$2:D$1032,MATCH($O77,Items!$A$2:$A$1032,0))</f>
        <v>#N/A</v>
      </c>
    </row>
    <row r="78" spans="1:18" x14ac:dyDescent="0.25">
      <c r="A78">
        <f t="shared" si="9"/>
        <v>1</v>
      </c>
      <c r="B78" t="str">
        <f t="shared" si="12"/>
        <v/>
      </c>
      <c r="C78">
        <f t="shared" si="13"/>
        <v>1</v>
      </c>
      <c r="D78" s="4"/>
      <c r="F78" t="s">
        <v>43</v>
      </c>
      <c r="G78" t="s">
        <v>48</v>
      </c>
      <c r="M78">
        <f t="shared" si="11"/>
        <v>0</v>
      </c>
      <c r="N78">
        <f t="shared" si="10"/>
        <v>0</v>
      </c>
      <c r="P78" t="e">
        <f>INDEX(Items!B$2:B$1032,MATCH($O78,Items!$A$2:$A$1032,0))</f>
        <v>#N/A</v>
      </c>
      <c r="Q78" t="e">
        <f>INDEX(Items!C$2:C$1032,MATCH($O78,Items!$A$2:$A$1032,0))</f>
        <v>#N/A</v>
      </c>
      <c r="R78" t="e">
        <f>INDEX(Items!D$2:D$1032,MATCH($O78,Items!$A$2:$A$1032,0))</f>
        <v>#N/A</v>
      </c>
    </row>
    <row r="79" spans="1:18" x14ac:dyDescent="0.25">
      <c r="A79">
        <f t="shared" si="9"/>
        <v>1</v>
      </c>
      <c r="B79" t="str">
        <f t="shared" si="12"/>
        <v/>
      </c>
      <c r="C79">
        <f t="shared" si="13"/>
        <v>1</v>
      </c>
      <c r="D79" s="4"/>
      <c r="F79" t="s">
        <v>43</v>
      </c>
      <c r="G79" t="s">
        <v>46</v>
      </c>
      <c r="M79">
        <f t="shared" si="11"/>
        <v>0</v>
      </c>
      <c r="N79">
        <f t="shared" si="10"/>
        <v>0</v>
      </c>
      <c r="P79" t="e">
        <f>INDEX(Items!B$2:B$1032,MATCH($O79,Items!$A$2:$A$1032,0))</f>
        <v>#N/A</v>
      </c>
      <c r="Q79" t="e">
        <f>INDEX(Items!C$2:C$1032,MATCH($O79,Items!$A$2:$A$1032,0))</f>
        <v>#N/A</v>
      </c>
      <c r="R79" t="e">
        <f>INDEX(Items!D$2:D$1032,MATCH($O79,Items!$A$2:$A$1032,0))</f>
        <v>#N/A</v>
      </c>
    </row>
    <row r="80" spans="1:18" x14ac:dyDescent="0.25">
      <c r="A80">
        <f t="shared" si="9"/>
        <v>1</v>
      </c>
      <c r="B80" t="str">
        <f t="shared" si="12"/>
        <v/>
      </c>
      <c r="C80">
        <f t="shared" si="13"/>
        <v>1</v>
      </c>
      <c r="D80" s="4"/>
      <c r="F80" t="s">
        <v>43</v>
      </c>
      <c r="G80" t="s">
        <v>46</v>
      </c>
      <c r="M80">
        <f t="shared" si="11"/>
        <v>0</v>
      </c>
      <c r="N80">
        <f t="shared" si="10"/>
        <v>0</v>
      </c>
      <c r="P80" t="e">
        <f>INDEX(Items!B$2:B$1032,MATCH($O80,Items!$A$2:$A$1032,0))</f>
        <v>#N/A</v>
      </c>
      <c r="Q80" t="e">
        <f>INDEX(Items!C$2:C$1032,MATCH($O80,Items!$A$2:$A$1032,0))</f>
        <v>#N/A</v>
      </c>
      <c r="R80" t="e">
        <f>INDEX(Items!D$2:D$1032,MATCH($O80,Items!$A$2:$A$1032,0))</f>
        <v>#N/A</v>
      </c>
    </row>
    <row r="81" spans="1:18" x14ac:dyDescent="0.25">
      <c r="A81">
        <f t="shared" si="9"/>
        <v>1</v>
      </c>
      <c r="B81" t="str">
        <f t="shared" si="12"/>
        <v/>
      </c>
      <c r="C81">
        <f t="shared" si="13"/>
        <v>1</v>
      </c>
      <c r="D81" s="4"/>
      <c r="F81" t="s">
        <v>43</v>
      </c>
      <c r="G81" t="s">
        <v>46</v>
      </c>
      <c r="M81">
        <f t="shared" si="11"/>
        <v>0</v>
      </c>
      <c r="N81">
        <f t="shared" si="10"/>
        <v>0</v>
      </c>
      <c r="P81" t="e">
        <f>INDEX(Items!B$2:B$1032,MATCH($O81,Items!$A$2:$A$1032,0))</f>
        <v>#N/A</v>
      </c>
      <c r="Q81" t="e">
        <f>INDEX(Items!C$2:C$1032,MATCH($O81,Items!$A$2:$A$1032,0))</f>
        <v>#N/A</v>
      </c>
      <c r="R81" t="e">
        <f>INDEX(Items!D$2:D$1032,MATCH($O81,Items!$A$2:$A$1032,0))</f>
        <v>#N/A</v>
      </c>
    </row>
    <row r="82" spans="1:18" x14ac:dyDescent="0.25">
      <c r="A82">
        <f t="shared" si="9"/>
        <v>1</v>
      </c>
      <c r="B82" t="str">
        <f t="shared" si="12"/>
        <v/>
      </c>
      <c r="C82">
        <f t="shared" si="13"/>
        <v>1</v>
      </c>
      <c r="D82" s="4"/>
      <c r="F82" t="s">
        <v>43</v>
      </c>
      <c r="G82" t="s">
        <v>46</v>
      </c>
      <c r="M82">
        <f t="shared" si="11"/>
        <v>0</v>
      </c>
      <c r="N82">
        <f t="shared" si="10"/>
        <v>0</v>
      </c>
      <c r="P82" t="e">
        <f>INDEX(Items!B$2:B$1032,MATCH($O82,Items!$A$2:$A$1032,0))</f>
        <v>#N/A</v>
      </c>
      <c r="Q82" t="e">
        <f>INDEX(Items!C$2:C$1032,MATCH($O82,Items!$A$2:$A$1032,0))</f>
        <v>#N/A</v>
      </c>
      <c r="R82" t="e">
        <f>INDEX(Items!D$2:D$1032,MATCH($O82,Items!$A$2:$A$1032,0))</f>
        <v>#N/A</v>
      </c>
    </row>
    <row r="83" spans="1:18" x14ac:dyDescent="0.25">
      <c r="A83">
        <f t="shared" si="9"/>
        <v>1</v>
      </c>
      <c r="B83" t="str">
        <f t="shared" si="12"/>
        <v/>
      </c>
      <c r="C83">
        <f t="shared" si="13"/>
        <v>1</v>
      </c>
      <c r="D83" s="4"/>
      <c r="F83" t="e">
        <f>INDEX(Establishment!B$2:B$1005,MATCH($E83,Establishment!$A$2:$A$1005,0))</f>
        <v>#N/A</v>
      </c>
      <c r="G83" t="e">
        <f>INDEX(Establishment!C$2:C$1005,MATCH($E83,Establishment!$A$2:$A$1005,0))</f>
        <v>#N/A</v>
      </c>
      <c r="M83">
        <f t="shared" si="11"/>
        <v>0</v>
      </c>
      <c r="N83">
        <f t="shared" si="10"/>
        <v>0</v>
      </c>
      <c r="P83" t="e">
        <f>INDEX(Items!B$2:B$1032,MATCH($O83,Items!$A$2:$A$1032,0))</f>
        <v>#N/A</v>
      </c>
      <c r="Q83" t="e">
        <f>INDEX(Items!C$2:C$1032,MATCH($O83,Items!$A$2:$A$1032,0))</f>
        <v>#N/A</v>
      </c>
      <c r="R83" t="e">
        <f>INDEX(Items!D$2:D$1032,MATCH($O83,Items!$A$2:$A$1032,0))</f>
        <v>#N/A</v>
      </c>
    </row>
    <row r="84" spans="1:18" x14ac:dyDescent="0.25">
      <c r="A84">
        <f t="shared" si="9"/>
        <v>1</v>
      </c>
      <c r="B84" t="str">
        <f t="shared" si="12"/>
        <v/>
      </c>
      <c r="C84">
        <f t="shared" si="13"/>
        <v>1</v>
      </c>
      <c r="D84" s="4"/>
      <c r="F84" t="e">
        <f>INDEX(Establishment!B$2:B$1005,MATCH($E84,Establishment!$A$2:$A$1005,0))</f>
        <v>#N/A</v>
      </c>
      <c r="G84" t="e">
        <f>INDEX(Establishment!C$2:C$1005,MATCH($E84,Establishment!$A$2:$A$1005,0))</f>
        <v>#N/A</v>
      </c>
      <c r="M84">
        <f t="shared" si="11"/>
        <v>0</v>
      </c>
      <c r="N84">
        <f t="shared" si="10"/>
        <v>0</v>
      </c>
      <c r="P84" t="e">
        <f>INDEX(Items!B$2:B$1032,MATCH($O84,Items!$A$2:$A$1032,0))</f>
        <v>#N/A</v>
      </c>
      <c r="Q84" t="e">
        <f>INDEX(Items!C$2:C$1032,MATCH($O84,Items!$A$2:$A$1032,0))</f>
        <v>#N/A</v>
      </c>
      <c r="R84" t="e">
        <f>INDEX(Items!D$2:D$1032,MATCH($O84,Items!$A$2:$A$1032,0))</f>
        <v>#N/A</v>
      </c>
    </row>
    <row r="85" spans="1:18" x14ac:dyDescent="0.25">
      <c r="A85">
        <f t="shared" si="9"/>
        <v>1</v>
      </c>
      <c r="B85" t="str">
        <f t="shared" si="12"/>
        <v/>
      </c>
      <c r="C85">
        <f t="shared" si="13"/>
        <v>1</v>
      </c>
      <c r="D85" s="4"/>
      <c r="F85" t="e">
        <f>INDEX(Establishment!B$2:B$1005,MATCH($E85,Establishment!$A$2:$A$1005,0))</f>
        <v>#N/A</v>
      </c>
      <c r="G85" t="e">
        <f>INDEX(Establishment!C$2:C$1005,MATCH($E85,Establishment!$A$2:$A$1005,0))</f>
        <v>#N/A</v>
      </c>
      <c r="M85">
        <f t="shared" si="11"/>
        <v>0</v>
      </c>
      <c r="N85">
        <f t="shared" si="10"/>
        <v>0</v>
      </c>
      <c r="P85" t="e">
        <f>INDEX(Items!B$2:B$1032,MATCH($O85,Items!$A$2:$A$1032,0))</f>
        <v>#N/A</v>
      </c>
      <c r="Q85" t="e">
        <f>INDEX(Items!C$2:C$1032,MATCH($O85,Items!$A$2:$A$1032,0))</f>
        <v>#N/A</v>
      </c>
      <c r="R85" t="e">
        <f>INDEX(Items!D$2:D$1032,MATCH($O85,Items!$A$2:$A$1032,0))</f>
        <v>#N/A</v>
      </c>
    </row>
    <row r="86" spans="1:18" x14ac:dyDescent="0.25">
      <c r="A86">
        <f t="shared" si="9"/>
        <v>1</v>
      </c>
      <c r="B86" t="str">
        <f t="shared" si="12"/>
        <v/>
      </c>
      <c r="C86">
        <f t="shared" si="13"/>
        <v>1</v>
      </c>
      <c r="D86" s="4"/>
      <c r="F86" t="e">
        <f>INDEX(Establishment!B$2:B$1005,MATCH($E86,Establishment!$A$2:$A$1005,0))</f>
        <v>#N/A</v>
      </c>
      <c r="G86" t="e">
        <f>INDEX(Establishment!C$2:C$1005,MATCH($E86,Establishment!$A$2:$A$1005,0))</f>
        <v>#N/A</v>
      </c>
      <c r="M86">
        <f t="shared" si="11"/>
        <v>0</v>
      </c>
      <c r="N86">
        <f t="shared" si="10"/>
        <v>0</v>
      </c>
      <c r="P86" t="e">
        <f>INDEX(Items!B$2:B$1032,MATCH($O86,Items!$A$2:$A$1032,0))</f>
        <v>#N/A</v>
      </c>
      <c r="Q86" t="e">
        <f>INDEX(Items!C$2:C$1032,MATCH($O86,Items!$A$2:$A$1032,0))</f>
        <v>#N/A</v>
      </c>
      <c r="R86" t="e">
        <f>INDEX(Items!D$2:D$1032,MATCH($O86,Items!$A$2:$A$1032,0))</f>
        <v>#N/A</v>
      </c>
    </row>
    <row r="87" spans="1:18" x14ac:dyDescent="0.25">
      <c r="A87">
        <f t="shared" si="9"/>
        <v>1</v>
      </c>
      <c r="B87" t="str">
        <f t="shared" si="12"/>
        <v/>
      </c>
      <c r="C87">
        <f t="shared" si="13"/>
        <v>1</v>
      </c>
      <c r="D87" s="4"/>
      <c r="F87" t="e">
        <f>INDEX(Establishment!B$2:B$1005,MATCH($E87,Establishment!$A$2:$A$1005,0))</f>
        <v>#N/A</v>
      </c>
      <c r="G87" t="e">
        <f>INDEX(Establishment!C$2:C$1005,MATCH($E87,Establishment!$A$2:$A$1005,0))</f>
        <v>#N/A</v>
      </c>
      <c r="M87">
        <f t="shared" si="11"/>
        <v>0</v>
      </c>
      <c r="N87">
        <f t="shared" si="10"/>
        <v>0</v>
      </c>
      <c r="P87" t="e">
        <f>INDEX(Items!B$2:B$1032,MATCH($O87,Items!$A$2:$A$1032,0))</f>
        <v>#N/A</v>
      </c>
      <c r="Q87" t="e">
        <f>INDEX(Items!C$2:C$1032,MATCH($O87,Items!$A$2:$A$1032,0))</f>
        <v>#N/A</v>
      </c>
      <c r="R87" t="e">
        <f>INDEX(Items!D$2:D$1032,MATCH($O87,Items!$A$2:$A$1032,0))</f>
        <v>#N/A</v>
      </c>
    </row>
    <row r="88" spans="1:18" x14ac:dyDescent="0.25">
      <c r="A88">
        <f t="shared" si="9"/>
        <v>1</v>
      </c>
      <c r="B88" t="str">
        <f t="shared" si="12"/>
        <v/>
      </c>
      <c r="C88">
        <f t="shared" si="13"/>
        <v>1</v>
      </c>
      <c r="D88" s="4"/>
      <c r="F88" t="e">
        <f>INDEX(Establishment!B$2:B$1005,MATCH($E88,Establishment!$A$2:$A$1005,0))</f>
        <v>#N/A</v>
      </c>
      <c r="G88" t="e">
        <f>INDEX(Establishment!C$2:C$1005,MATCH($E88,Establishment!$A$2:$A$1005,0))</f>
        <v>#N/A</v>
      </c>
      <c r="M88">
        <f t="shared" si="11"/>
        <v>0</v>
      </c>
      <c r="N88">
        <f t="shared" si="10"/>
        <v>0</v>
      </c>
      <c r="P88" t="e">
        <f>INDEX(Items!B$2:B$1032,MATCH($O88,Items!$A$2:$A$1032,0))</f>
        <v>#N/A</v>
      </c>
      <c r="Q88" t="e">
        <f>INDEX(Items!C$2:C$1032,MATCH($O88,Items!$A$2:$A$1032,0))</f>
        <v>#N/A</v>
      </c>
      <c r="R88" t="e">
        <f>INDEX(Items!D$2:D$1032,MATCH($O88,Items!$A$2:$A$1032,0))</f>
        <v>#N/A</v>
      </c>
    </row>
    <row r="89" spans="1:18" x14ac:dyDescent="0.25">
      <c r="A89">
        <f t="shared" si="9"/>
        <v>1</v>
      </c>
      <c r="B89" t="str">
        <f t="shared" si="12"/>
        <v/>
      </c>
      <c r="C89">
        <f t="shared" si="13"/>
        <v>1</v>
      </c>
      <c r="D89" s="4"/>
      <c r="F89" t="e">
        <f>INDEX(Establishment!B$2:B$1005,MATCH($E89,Establishment!$A$2:$A$1005,0))</f>
        <v>#N/A</v>
      </c>
      <c r="G89" t="e">
        <f>INDEX(Establishment!C$2:C$1005,MATCH($E89,Establishment!$A$2:$A$1005,0))</f>
        <v>#N/A</v>
      </c>
      <c r="M89">
        <f t="shared" si="11"/>
        <v>0</v>
      </c>
      <c r="N89">
        <f t="shared" si="10"/>
        <v>0</v>
      </c>
      <c r="P89" t="e">
        <f>INDEX(Items!B$2:B$1032,MATCH($O89,Items!$A$2:$A$1032,0))</f>
        <v>#N/A</v>
      </c>
      <c r="Q89" t="e">
        <f>INDEX(Items!C$2:C$1032,MATCH($O89,Items!$A$2:$A$1032,0))</f>
        <v>#N/A</v>
      </c>
      <c r="R89" t="e">
        <f>INDEX(Items!D$2:D$1032,MATCH($O89,Items!$A$2:$A$1032,0))</f>
        <v>#N/A</v>
      </c>
    </row>
    <row r="90" spans="1:18" x14ac:dyDescent="0.25">
      <c r="A90">
        <f t="shared" si="9"/>
        <v>1</v>
      </c>
      <c r="B90" t="str">
        <f t="shared" si="12"/>
        <v/>
      </c>
      <c r="C90">
        <f t="shared" si="13"/>
        <v>1</v>
      </c>
      <c r="D90" s="4"/>
      <c r="F90" t="e">
        <f>INDEX(Establishment!B$2:B$1005,MATCH($E90,Establishment!$A$2:$A$1005,0))</f>
        <v>#N/A</v>
      </c>
      <c r="G90" t="e">
        <f>INDEX(Establishment!C$2:C$1005,MATCH($E90,Establishment!$A$2:$A$1005,0))</f>
        <v>#N/A</v>
      </c>
      <c r="M90">
        <f t="shared" si="11"/>
        <v>0</v>
      </c>
      <c r="N90">
        <f t="shared" si="10"/>
        <v>0</v>
      </c>
      <c r="P90" t="e">
        <f>INDEX(Items!B$2:B$1032,MATCH($O90,Items!$A$2:$A$1032,0))</f>
        <v>#N/A</v>
      </c>
      <c r="Q90" t="e">
        <f>INDEX(Items!C$2:C$1032,MATCH($O90,Items!$A$2:$A$1032,0))</f>
        <v>#N/A</v>
      </c>
      <c r="R90" t="e">
        <f>INDEX(Items!D$2:D$1032,MATCH($O90,Items!$A$2:$A$1032,0))</f>
        <v>#N/A</v>
      </c>
    </row>
    <row r="91" spans="1:18" x14ac:dyDescent="0.25">
      <c r="A91">
        <f t="shared" si="9"/>
        <v>1</v>
      </c>
      <c r="B91" t="str">
        <f t="shared" si="12"/>
        <v/>
      </c>
      <c r="C91">
        <f t="shared" si="13"/>
        <v>1</v>
      </c>
      <c r="D91" s="4"/>
      <c r="F91" t="e">
        <f>INDEX(Establishment!B$2:B$1005,MATCH($E91,Establishment!$A$2:$A$1005,0))</f>
        <v>#N/A</v>
      </c>
      <c r="G91" t="e">
        <f>INDEX(Establishment!C$2:C$1005,MATCH($E91,Establishment!$A$2:$A$1005,0))</f>
        <v>#N/A</v>
      </c>
      <c r="M91">
        <f t="shared" si="11"/>
        <v>0</v>
      </c>
      <c r="N91">
        <f t="shared" si="10"/>
        <v>0</v>
      </c>
      <c r="P91" t="e">
        <f>INDEX(Items!B$2:B$1032,MATCH($O91,Items!$A$2:$A$1032,0))</f>
        <v>#N/A</v>
      </c>
      <c r="Q91" t="e">
        <f>INDEX(Items!C$2:C$1032,MATCH($O91,Items!$A$2:$A$1032,0))</f>
        <v>#N/A</v>
      </c>
      <c r="R91" t="e">
        <f>INDEX(Items!D$2:D$1032,MATCH($O91,Items!$A$2:$A$1032,0))</f>
        <v>#N/A</v>
      </c>
    </row>
    <row r="92" spans="1:18" x14ac:dyDescent="0.25">
      <c r="A92">
        <f t="shared" si="9"/>
        <v>1</v>
      </c>
      <c r="B92" t="str">
        <f t="shared" si="12"/>
        <v/>
      </c>
      <c r="C92">
        <f t="shared" si="13"/>
        <v>1</v>
      </c>
      <c r="D92" s="4"/>
      <c r="F92" t="e">
        <f>INDEX(Establishment!B$2:B$1005,MATCH($E92,Establishment!$A$2:$A$1005,0))</f>
        <v>#N/A</v>
      </c>
      <c r="G92" t="e">
        <f>INDEX(Establishment!C$2:C$1005,MATCH($E92,Establishment!$A$2:$A$1005,0))</f>
        <v>#N/A</v>
      </c>
      <c r="M92">
        <f t="shared" si="11"/>
        <v>0</v>
      </c>
      <c r="N92">
        <f t="shared" si="10"/>
        <v>0</v>
      </c>
      <c r="P92" t="e">
        <f>INDEX(Items!B$2:B$1032,MATCH($O92,Items!$A$2:$A$1032,0))</f>
        <v>#N/A</v>
      </c>
      <c r="Q92" t="e">
        <f>INDEX(Items!C$2:C$1032,MATCH($O92,Items!$A$2:$A$1032,0))</f>
        <v>#N/A</v>
      </c>
      <c r="R92" t="e">
        <f>INDEX(Items!D$2:D$1032,MATCH($O92,Items!$A$2:$A$1032,0))</f>
        <v>#N/A</v>
      </c>
    </row>
    <row r="93" spans="1:18" x14ac:dyDescent="0.25">
      <c r="A93">
        <f t="shared" si="9"/>
        <v>1</v>
      </c>
      <c r="B93" t="str">
        <f t="shared" si="12"/>
        <v/>
      </c>
      <c r="C93">
        <f t="shared" si="13"/>
        <v>1</v>
      </c>
      <c r="D93" s="4"/>
      <c r="E93" t="s">
        <v>18</v>
      </c>
      <c r="F93" t="str">
        <f>INDEX(Establishment!B$2:B$1005,MATCH($E93,Establishment!$A$2:$A$1005,0))</f>
        <v xml:space="preserve"> </v>
      </c>
      <c r="G93" t="str">
        <f>INDEX(Establishment!C$2:C$1005,MATCH($E93,Establishment!$A$2:$A$1005,0))</f>
        <v xml:space="preserve"> </v>
      </c>
      <c r="M93">
        <f t="shared" si="11"/>
        <v>0</v>
      </c>
      <c r="N93">
        <f t="shared" si="10"/>
        <v>0</v>
      </c>
      <c r="P93" t="e">
        <f>INDEX(Items!B$2:B$1032,MATCH($O93,Items!$A$2:$A$1032,0))</f>
        <v>#N/A</v>
      </c>
      <c r="Q93" t="e">
        <f>INDEX(Items!C$2:C$1032,MATCH($O93,Items!$A$2:$A$1032,0))</f>
        <v>#N/A</v>
      </c>
      <c r="R93" t="e">
        <f>INDEX(Items!D$2:D$1032,MATCH($O93,Items!$A$2:$A$1032,0))</f>
        <v>#N/A</v>
      </c>
    </row>
    <row r="94" spans="1:18" x14ac:dyDescent="0.25">
      <c r="A94">
        <f t="shared" si="9"/>
        <v>1</v>
      </c>
      <c r="B94" t="str">
        <f t="shared" si="12"/>
        <v/>
      </c>
      <c r="C94">
        <f t="shared" si="13"/>
        <v>1</v>
      </c>
      <c r="D94" s="4"/>
      <c r="E94" t="s">
        <v>18</v>
      </c>
      <c r="F94" t="str">
        <f>INDEX(Establishment!B$2:B$1005,MATCH($E94,Establishment!$A$2:$A$1005,0))</f>
        <v xml:space="preserve"> </v>
      </c>
      <c r="G94" t="str">
        <f>INDEX(Establishment!C$2:C$1005,MATCH($E94,Establishment!$A$2:$A$1005,0))</f>
        <v xml:space="preserve"> </v>
      </c>
      <c r="M94">
        <f t="shared" si="11"/>
        <v>0</v>
      </c>
      <c r="N94">
        <f t="shared" si="10"/>
        <v>0</v>
      </c>
      <c r="P94" t="e">
        <f>INDEX(Items!B$2:B$1032,MATCH($O94,Items!$A$2:$A$1032,0))</f>
        <v>#N/A</v>
      </c>
      <c r="Q94" t="e">
        <f>INDEX(Items!C$2:C$1032,MATCH($O94,Items!$A$2:$A$1032,0))</f>
        <v>#N/A</v>
      </c>
      <c r="R94" t="e">
        <f>INDEX(Items!D$2:D$1032,MATCH($O94,Items!$A$2:$A$1032,0))</f>
        <v>#N/A</v>
      </c>
    </row>
    <row r="95" spans="1:18" x14ac:dyDescent="0.25">
      <c r="A95">
        <f t="shared" si="9"/>
        <v>1</v>
      </c>
      <c r="B95" t="str">
        <f t="shared" si="12"/>
        <v/>
      </c>
      <c r="C95">
        <f t="shared" si="13"/>
        <v>1</v>
      </c>
      <c r="D95" s="4"/>
      <c r="E95" t="s">
        <v>18</v>
      </c>
      <c r="F95" t="str">
        <f>INDEX(Establishment!B$2:B$1005,MATCH($E95,Establishment!$A$2:$A$1005,0))</f>
        <v xml:space="preserve"> </v>
      </c>
      <c r="G95" t="str">
        <f>INDEX(Establishment!C$2:C$1005,MATCH($E95,Establishment!$A$2:$A$1005,0))</f>
        <v xml:space="preserve"> </v>
      </c>
      <c r="M95">
        <f t="shared" si="11"/>
        <v>0</v>
      </c>
      <c r="N95">
        <f t="shared" si="10"/>
        <v>0</v>
      </c>
      <c r="P95" t="e">
        <f>INDEX(Items!B$2:B$1032,MATCH($O95,Items!$A$2:$A$1032,0))</f>
        <v>#N/A</v>
      </c>
      <c r="Q95" t="e">
        <f>INDEX(Items!C$2:C$1032,MATCH($O95,Items!$A$2:$A$1032,0))</f>
        <v>#N/A</v>
      </c>
      <c r="R95" t="e">
        <f>INDEX(Items!D$2:D$1032,MATCH($O95,Items!$A$2:$A$1032,0))</f>
        <v>#N/A</v>
      </c>
    </row>
    <row r="96" spans="1:18" x14ac:dyDescent="0.25">
      <c r="A96">
        <f t="shared" si="9"/>
        <v>1</v>
      </c>
      <c r="B96" t="str">
        <f t="shared" si="12"/>
        <v/>
      </c>
      <c r="C96">
        <f t="shared" si="13"/>
        <v>1</v>
      </c>
      <c r="D96" s="4"/>
      <c r="E96" t="s">
        <v>18</v>
      </c>
      <c r="F96" t="str">
        <f>INDEX(Establishment!B$2:B$1005,MATCH($E96,Establishment!$A$2:$A$1005,0))</f>
        <v xml:space="preserve"> </v>
      </c>
      <c r="G96" t="str">
        <f>INDEX(Establishment!C$2:C$1005,MATCH($E96,Establishment!$A$2:$A$1005,0))</f>
        <v xml:space="preserve"> </v>
      </c>
      <c r="M96">
        <f t="shared" si="11"/>
        <v>0</v>
      </c>
      <c r="N96">
        <f t="shared" si="10"/>
        <v>0</v>
      </c>
      <c r="P96" t="e">
        <f>INDEX(Items!B$2:B$1032,MATCH($O96,Items!$A$2:$A$1032,0))</f>
        <v>#N/A</v>
      </c>
      <c r="Q96" t="e">
        <f>INDEX(Items!C$2:C$1032,MATCH($O96,Items!$A$2:$A$1032,0))</f>
        <v>#N/A</v>
      </c>
      <c r="R96" t="e">
        <f>INDEX(Items!D$2:D$1032,MATCH($O96,Items!$A$2:$A$1032,0))</f>
        <v>#N/A</v>
      </c>
    </row>
    <row r="97" spans="1:18" x14ac:dyDescent="0.25">
      <c r="A97">
        <f t="shared" si="9"/>
        <v>1</v>
      </c>
      <c r="B97" t="str">
        <f t="shared" si="12"/>
        <v/>
      </c>
      <c r="C97">
        <f t="shared" si="13"/>
        <v>1</v>
      </c>
      <c r="D97" s="4"/>
      <c r="E97" t="s">
        <v>18</v>
      </c>
      <c r="F97" t="str">
        <f>INDEX(Establishment!B$2:B$1005,MATCH($E97,Establishment!$A$2:$A$1005,0))</f>
        <v xml:space="preserve"> </v>
      </c>
      <c r="G97" t="str">
        <f>INDEX(Establishment!C$2:C$1005,MATCH($E97,Establishment!$A$2:$A$1005,0))</f>
        <v xml:space="preserve"> </v>
      </c>
      <c r="M97">
        <f t="shared" si="11"/>
        <v>0</v>
      </c>
      <c r="N97">
        <f t="shared" si="10"/>
        <v>0</v>
      </c>
      <c r="P97" t="e">
        <f>INDEX(Items!B$2:B$1032,MATCH($O97,Items!$A$2:$A$1032,0))</f>
        <v>#N/A</v>
      </c>
      <c r="Q97" t="e">
        <f>INDEX(Items!C$2:C$1032,MATCH($O97,Items!$A$2:$A$1032,0))</f>
        <v>#N/A</v>
      </c>
      <c r="R97" t="e">
        <f>INDEX(Items!D$2:D$1032,MATCH($O97,Items!$A$2:$A$1032,0))</f>
        <v>#N/A</v>
      </c>
    </row>
    <row r="98" spans="1:18" x14ac:dyDescent="0.25">
      <c r="A98">
        <f t="shared" si="9"/>
        <v>1</v>
      </c>
      <c r="B98" t="str">
        <f t="shared" si="12"/>
        <v/>
      </c>
      <c r="C98">
        <f t="shared" si="13"/>
        <v>1</v>
      </c>
      <c r="D98" s="4"/>
      <c r="E98" t="s">
        <v>18</v>
      </c>
      <c r="F98" t="str">
        <f>INDEX(Establishment!B$2:B$1005,MATCH($E98,Establishment!$A$2:$A$1005,0))</f>
        <v xml:space="preserve"> </v>
      </c>
      <c r="G98" t="str">
        <f>INDEX(Establishment!C$2:C$1005,MATCH($E98,Establishment!$A$2:$A$1005,0))</f>
        <v xml:space="preserve"> </v>
      </c>
      <c r="M98">
        <f t="shared" si="11"/>
        <v>0</v>
      </c>
      <c r="N98">
        <f t="shared" si="10"/>
        <v>0</v>
      </c>
      <c r="P98" t="e">
        <f>INDEX(Items!B$2:B$1032,MATCH($O98,Items!$A$2:$A$1032,0))</f>
        <v>#N/A</v>
      </c>
      <c r="Q98" t="e">
        <f>INDEX(Items!C$2:C$1032,MATCH($O98,Items!$A$2:$A$1032,0))</f>
        <v>#N/A</v>
      </c>
      <c r="R98" t="e">
        <f>INDEX(Items!D$2:D$1032,MATCH($O98,Items!$A$2:$A$1032,0))</f>
        <v>#N/A</v>
      </c>
    </row>
    <row r="99" spans="1:18" x14ac:dyDescent="0.25">
      <c r="A99">
        <f t="shared" si="9"/>
        <v>1</v>
      </c>
      <c r="B99" t="str">
        <f t="shared" si="12"/>
        <v>20230621A</v>
      </c>
      <c r="C99">
        <f t="shared" si="13"/>
        <v>1</v>
      </c>
      <c r="D99" s="4">
        <v>45098</v>
      </c>
      <c r="E99" t="s">
        <v>39</v>
      </c>
      <c r="F99" t="str">
        <f>INDEX(Establishment!B$2:B$1005,MATCH($E99,Establishment!$A$2:$A$1005,0))</f>
        <v>Carenderia 14th Floor</v>
      </c>
      <c r="G99" t="str">
        <f>INDEX(Establishment!C$2:C$1005,MATCH($E99,Establishment!$A$2:$A$1005,0))</f>
        <v>ACC Tower Cebu Business Park</v>
      </c>
      <c r="M99">
        <f t="shared" si="11"/>
        <v>0</v>
      </c>
      <c r="N99">
        <f t="shared" si="10"/>
        <v>0</v>
      </c>
      <c r="P99" t="e">
        <f>INDEX(Items!B$2:B$1032,MATCH($O99,Items!$A$2:$A$1032,0))</f>
        <v>#N/A</v>
      </c>
      <c r="Q99" t="e">
        <f>INDEX(Items!C$2:C$1032,MATCH($O99,Items!$A$2:$A$1032,0))</f>
        <v>#N/A</v>
      </c>
      <c r="R99" t="e">
        <f>INDEX(Items!D$2:D$1032,MATCH($O99,Items!$A$2:$A$1032,0))</f>
        <v>#N/A</v>
      </c>
    </row>
    <row r="100" spans="1:18" x14ac:dyDescent="0.25">
      <c r="A100">
        <f t="shared" si="9"/>
        <v>1</v>
      </c>
      <c r="B100" t="str">
        <f t="shared" si="12"/>
        <v/>
      </c>
      <c r="C100">
        <f t="shared" si="13"/>
        <v>1</v>
      </c>
      <c r="D100" s="4"/>
      <c r="F100" t="e">
        <f>INDEX(Establishment!B$2:B$1005,MATCH($E100,Establishment!$A$2:$A$1005,0))</f>
        <v>#N/A</v>
      </c>
      <c r="G100" t="e">
        <f>INDEX(Establishment!C$2:C$1005,MATCH($E100,Establishment!$A$2:$A$1005,0))</f>
        <v>#N/A</v>
      </c>
      <c r="M100">
        <f t="shared" si="11"/>
        <v>0</v>
      </c>
      <c r="N100">
        <f t="shared" si="10"/>
        <v>0</v>
      </c>
      <c r="P100" t="e">
        <f>INDEX(Items!B$2:B$1032,MATCH($O100,Items!$A$2:$A$1032,0))</f>
        <v>#N/A</v>
      </c>
      <c r="Q100" t="e">
        <f>INDEX(Items!C$2:C$1032,MATCH($O100,Items!$A$2:$A$1032,0))</f>
        <v>#N/A</v>
      </c>
      <c r="R100" t="e">
        <f>INDEX(Items!D$2:D$1032,MATCH($O100,Items!$A$2:$A$1032,0))</f>
        <v>#N/A</v>
      </c>
    </row>
    <row r="101" spans="1:18" x14ac:dyDescent="0.25">
      <c r="A101">
        <f t="shared" si="9"/>
        <v>1</v>
      </c>
      <c r="B101" t="str">
        <f t="shared" si="12"/>
        <v/>
      </c>
      <c r="C101">
        <f t="shared" si="13"/>
        <v>1</v>
      </c>
      <c r="D101" s="4"/>
      <c r="E101" t="s">
        <v>18</v>
      </c>
      <c r="F101" t="str">
        <f>INDEX(Establishment!B$2:B$1005,MATCH($E101,Establishment!$A$2:$A$1005,0))</f>
        <v xml:space="preserve"> </v>
      </c>
      <c r="G101" t="str">
        <f>INDEX(Establishment!C$2:C$1005,MATCH($E101,Establishment!$A$2:$A$1005,0))</f>
        <v xml:space="preserve"> </v>
      </c>
      <c r="M101">
        <f t="shared" si="11"/>
        <v>0</v>
      </c>
      <c r="N101">
        <f t="shared" si="10"/>
        <v>0</v>
      </c>
      <c r="P101" t="e">
        <f>INDEX(Items!B$2:B$1032,MATCH($O101,Items!$A$2:$A$1032,0))</f>
        <v>#N/A</v>
      </c>
      <c r="Q101" t="e">
        <f>INDEX(Items!C$2:C$1032,MATCH($O101,Items!$A$2:$A$1032,0))</f>
        <v>#N/A</v>
      </c>
      <c r="R101" t="e">
        <f>INDEX(Items!D$2:D$1032,MATCH($O101,Items!$A$2:$A$1032,0))</f>
        <v>#N/A</v>
      </c>
    </row>
    <row r="102" spans="1:18" x14ac:dyDescent="0.25">
      <c r="A102">
        <f t="shared" si="9"/>
        <v>1</v>
      </c>
      <c r="B102" t="str">
        <f t="shared" si="12"/>
        <v/>
      </c>
      <c r="C102">
        <f t="shared" si="13"/>
        <v>1</v>
      </c>
      <c r="D102" s="4"/>
      <c r="E102" t="s">
        <v>18</v>
      </c>
      <c r="F102" t="str">
        <f>INDEX(Establishment!B$2:B$1005,MATCH($E102,Establishment!$A$2:$A$1005,0))</f>
        <v xml:space="preserve"> </v>
      </c>
      <c r="G102" t="str">
        <f>INDEX(Establishment!C$2:C$1005,MATCH($E102,Establishment!$A$2:$A$1005,0))</f>
        <v xml:space="preserve"> </v>
      </c>
      <c r="M102">
        <f t="shared" si="11"/>
        <v>0</v>
      </c>
      <c r="N102">
        <f t="shared" si="10"/>
        <v>0</v>
      </c>
      <c r="P102" t="e">
        <f>INDEX(Items!B$2:B$1032,MATCH($O102,Items!$A$2:$A$1032,0))</f>
        <v>#N/A</v>
      </c>
      <c r="Q102" t="e">
        <f>INDEX(Items!C$2:C$1032,MATCH($O102,Items!$A$2:$A$1032,0))</f>
        <v>#N/A</v>
      </c>
      <c r="R102" t="e">
        <f>INDEX(Items!D$2:D$1032,MATCH($O102,Items!$A$2:$A$1032,0))</f>
        <v>#N/A</v>
      </c>
    </row>
    <row r="103" spans="1:18" x14ac:dyDescent="0.25">
      <c r="A103">
        <f t="shared" si="9"/>
        <v>1</v>
      </c>
      <c r="B103" t="str">
        <f t="shared" si="12"/>
        <v/>
      </c>
      <c r="C103">
        <f t="shared" si="13"/>
        <v>1</v>
      </c>
      <c r="D103" s="4"/>
      <c r="E103" t="s">
        <v>18</v>
      </c>
      <c r="F103" t="str">
        <f>INDEX(Establishment!B$2:B$1005,MATCH($E103,Establishment!$A$2:$A$1005,0))</f>
        <v xml:space="preserve"> </v>
      </c>
      <c r="G103" t="str">
        <f>INDEX(Establishment!C$2:C$1005,MATCH($E103,Establishment!$A$2:$A$1005,0))</f>
        <v xml:space="preserve"> </v>
      </c>
      <c r="M103">
        <f t="shared" si="11"/>
        <v>0</v>
      </c>
      <c r="N103">
        <f t="shared" si="10"/>
        <v>0</v>
      </c>
      <c r="P103" t="e">
        <f>INDEX(Items!B$2:B$1032,MATCH($O103,Items!$A$2:$A$1032,0))</f>
        <v>#N/A</v>
      </c>
      <c r="Q103" t="e">
        <f>INDEX(Items!C$2:C$1032,MATCH($O103,Items!$A$2:$A$1032,0))</f>
        <v>#N/A</v>
      </c>
      <c r="R103" t="e">
        <f>INDEX(Items!D$2:D$1032,MATCH($O103,Items!$A$2:$A$1032,0))</f>
        <v>#N/A</v>
      </c>
    </row>
    <row r="104" spans="1:18" x14ac:dyDescent="0.25">
      <c r="A104">
        <f t="shared" si="9"/>
        <v>1</v>
      </c>
      <c r="B104" t="str">
        <f t="shared" si="12"/>
        <v/>
      </c>
      <c r="C104">
        <f t="shared" si="13"/>
        <v>1</v>
      </c>
      <c r="D104" s="4"/>
      <c r="E104" t="s">
        <v>18</v>
      </c>
      <c r="F104" t="str">
        <f>INDEX(Establishment!B$2:B$1005,MATCH($E104,Establishment!$A$2:$A$1005,0))</f>
        <v xml:space="preserve"> </v>
      </c>
      <c r="G104" t="str">
        <f>INDEX(Establishment!C$2:C$1005,MATCH($E104,Establishment!$A$2:$A$1005,0))</f>
        <v xml:space="preserve"> </v>
      </c>
      <c r="M104">
        <f t="shared" si="11"/>
        <v>0</v>
      </c>
      <c r="N104">
        <f t="shared" si="10"/>
        <v>0</v>
      </c>
      <c r="P104" t="e">
        <f>INDEX(Items!B$2:B$1032,MATCH($O104,Items!$A$2:$A$1032,0))</f>
        <v>#N/A</v>
      </c>
      <c r="Q104" t="e">
        <f>INDEX(Items!C$2:C$1032,MATCH($O104,Items!$A$2:$A$1032,0))</f>
        <v>#N/A</v>
      </c>
      <c r="R104" t="e">
        <f>INDEX(Items!D$2:D$1032,MATCH($O104,Items!$A$2:$A$1032,0))</f>
        <v>#N/A</v>
      </c>
    </row>
    <row r="105" spans="1:18" x14ac:dyDescent="0.25">
      <c r="A105">
        <f t="shared" si="9"/>
        <v>1</v>
      </c>
      <c r="B105" t="str">
        <f t="shared" si="12"/>
        <v/>
      </c>
      <c r="C105">
        <f t="shared" si="13"/>
        <v>1</v>
      </c>
      <c r="D105" s="4"/>
      <c r="E105" t="s">
        <v>18</v>
      </c>
      <c r="F105" t="str">
        <f>INDEX(Establishment!B$2:B$1005,MATCH($E105,Establishment!$A$2:$A$1005,0))</f>
        <v xml:space="preserve"> </v>
      </c>
      <c r="G105" t="str">
        <f>INDEX(Establishment!C$2:C$1005,MATCH($E105,Establishment!$A$2:$A$1005,0))</f>
        <v xml:space="preserve"> </v>
      </c>
      <c r="M105">
        <f t="shared" si="11"/>
        <v>0</v>
      </c>
      <c r="N105">
        <f t="shared" si="10"/>
        <v>0</v>
      </c>
      <c r="P105" t="e">
        <f>INDEX(Items!B$2:B$1032,MATCH($O105,Items!$A$2:$A$1032,0))</f>
        <v>#N/A</v>
      </c>
      <c r="Q105" t="e">
        <f>INDEX(Items!C$2:C$1032,MATCH($O105,Items!$A$2:$A$1032,0))</f>
        <v>#N/A</v>
      </c>
      <c r="R105" t="e">
        <f>INDEX(Items!D$2:D$1032,MATCH($O105,Items!$A$2:$A$1032,0))</f>
        <v>#N/A</v>
      </c>
    </row>
    <row r="106" spans="1:18" x14ac:dyDescent="0.25">
      <c r="A106">
        <f t="shared" si="9"/>
        <v>1</v>
      </c>
      <c r="B106" t="str">
        <f t="shared" si="12"/>
        <v/>
      </c>
      <c r="C106">
        <f t="shared" si="13"/>
        <v>1</v>
      </c>
      <c r="D106" s="4"/>
      <c r="E106" t="s">
        <v>18</v>
      </c>
      <c r="F106" t="str">
        <f>INDEX(Establishment!B$2:B$1005,MATCH($E106,Establishment!$A$2:$A$1005,0))</f>
        <v xml:space="preserve"> </v>
      </c>
      <c r="G106" t="str">
        <f>INDEX(Establishment!C$2:C$1005,MATCH($E106,Establishment!$A$2:$A$1005,0))</f>
        <v xml:space="preserve"> </v>
      </c>
      <c r="M106">
        <f t="shared" si="11"/>
        <v>0</v>
      </c>
      <c r="N106">
        <f t="shared" si="10"/>
        <v>0</v>
      </c>
      <c r="P106" t="e">
        <f>INDEX(Items!B$2:B$1032,MATCH($O106,Items!$A$2:$A$1032,0))</f>
        <v>#N/A</v>
      </c>
      <c r="Q106" t="e">
        <f>INDEX(Items!C$2:C$1032,MATCH($O106,Items!$A$2:$A$1032,0))</f>
        <v>#N/A</v>
      </c>
      <c r="R106" t="e">
        <f>INDEX(Items!D$2:D$1032,MATCH($O106,Items!$A$2:$A$1032,0))</f>
        <v>#N/A</v>
      </c>
    </row>
    <row r="107" spans="1:18" x14ac:dyDescent="0.25">
      <c r="A107">
        <f t="shared" si="9"/>
        <v>1</v>
      </c>
      <c r="B107" t="str">
        <f t="shared" si="12"/>
        <v/>
      </c>
      <c r="C107">
        <f t="shared" si="13"/>
        <v>1</v>
      </c>
      <c r="D107" s="4"/>
      <c r="E107" t="s">
        <v>18</v>
      </c>
      <c r="F107" t="str">
        <f>INDEX(Establishment!B$2:B$1005,MATCH($E107,Establishment!$A$2:$A$1005,0))</f>
        <v xml:space="preserve"> </v>
      </c>
      <c r="G107" t="str">
        <f>INDEX(Establishment!C$2:C$1005,MATCH($E107,Establishment!$A$2:$A$1005,0))</f>
        <v xml:space="preserve"> </v>
      </c>
      <c r="M107">
        <f t="shared" si="11"/>
        <v>0</v>
      </c>
      <c r="N107">
        <f t="shared" si="10"/>
        <v>0</v>
      </c>
      <c r="P107" t="e">
        <f>INDEX(Items!B$2:B$1032,MATCH($O107,Items!$A$2:$A$1032,0))</f>
        <v>#N/A</v>
      </c>
      <c r="Q107" t="e">
        <f>INDEX(Items!C$2:C$1032,MATCH($O107,Items!$A$2:$A$1032,0))</f>
        <v>#N/A</v>
      </c>
      <c r="R107" t="e">
        <f>INDEX(Items!D$2:D$1032,MATCH($O107,Items!$A$2:$A$1032,0))</f>
        <v>#N/A</v>
      </c>
    </row>
    <row r="108" spans="1:18" x14ac:dyDescent="0.25">
      <c r="A108">
        <f t="shared" si="9"/>
        <v>1</v>
      </c>
      <c r="B108" t="str">
        <f t="shared" si="12"/>
        <v/>
      </c>
      <c r="C108">
        <f t="shared" si="13"/>
        <v>1</v>
      </c>
      <c r="D108" s="4"/>
      <c r="E108" t="s">
        <v>18</v>
      </c>
      <c r="F108" t="str">
        <f>INDEX(Establishment!B$2:B$1005,MATCH($E108,Establishment!$A$2:$A$1005,0))</f>
        <v xml:space="preserve"> </v>
      </c>
      <c r="G108" t="str">
        <f>INDEX(Establishment!C$2:C$1005,MATCH($E108,Establishment!$A$2:$A$1005,0))</f>
        <v xml:space="preserve"> </v>
      </c>
      <c r="M108">
        <f t="shared" si="11"/>
        <v>0</v>
      </c>
      <c r="N108">
        <f t="shared" si="10"/>
        <v>0</v>
      </c>
      <c r="P108" t="e">
        <f>INDEX(Items!B$2:B$1032,MATCH($O108,Items!$A$2:$A$1032,0))</f>
        <v>#N/A</v>
      </c>
      <c r="Q108" t="e">
        <f>INDEX(Items!C$2:C$1032,MATCH($O108,Items!$A$2:$A$1032,0))</f>
        <v>#N/A</v>
      </c>
      <c r="R108" t="e">
        <f>INDEX(Items!D$2:D$1032,MATCH($O108,Items!$A$2:$A$1032,0))</f>
        <v>#N/A</v>
      </c>
    </row>
    <row r="109" spans="1:18" x14ac:dyDescent="0.25">
      <c r="A109">
        <f t="shared" si="9"/>
        <v>1</v>
      </c>
      <c r="B109" t="str">
        <f t="shared" si="12"/>
        <v/>
      </c>
      <c r="C109">
        <f t="shared" si="13"/>
        <v>1</v>
      </c>
      <c r="D109" s="4"/>
      <c r="E109" t="s">
        <v>18</v>
      </c>
      <c r="F109" t="str">
        <f>INDEX(Establishment!B$2:B$1005,MATCH($E109,Establishment!$A$2:$A$1005,0))</f>
        <v xml:space="preserve"> </v>
      </c>
      <c r="G109" t="str">
        <f>INDEX(Establishment!C$2:C$1005,MATCH($E109,Establishment!$A$2:$A$1005,0))</f>
        <v xml:space="preserve"> </v>
      </c>
      <c r="M109">
        <f t="shared" si="11"/>
        <v>0</v>
      </c>
      <c r="N109">
        <f t="shared" si="10"/>
        <v>0</v>
      </c>
      <c r="P109" t="e">
        <f>INDEX(Items!B$2:B$1032,MATCH($O109,Items!$A$2:$A$1032,0))</f>
        <v>#N/A</v>
      </c>
      <c r="Q109" t="e">
        <f>INDEX(Items!C$2:C$1032,MATCH($O109,Items!$A$2:$A$1032,0))</f>
        <v>#N/A</v>
      </c>
      <c r="R109" t="e">
        <f>INDEX(Items!D$2:D$1032,MATCH($O109,Items!$A$2:$A$1032,0))</f>
        <v>#N/A</v>
      </c>
    </row>
    <row r="110" spans="1:18" x14ac:dyDescent="0.25">
      <c r="A110">
        <f t="shared" si="9"/>
        <v>1</v>
      </c>
      <c r="B110" t="str">
        <f t="shared" si="12"/>
        <v/>
      </c>
      <c r="C110">
        <f t="shared" si="13"/>
        <v>1</v>
      </c>
      <c r="D110" s="4"/>
      <c r="E110" t="s">
        <v>18</v>
      </c>
      <c r="F110" t="str">
        <f>INDEX(Establishment!B$2:B$1005,MATCH($E110,Establishment!$A$2:$A$1005,0))</f>
        <v xml:space="preserve"> </v>
      </c>
      <c r="G110" t="str">
        <f>INDEX(Establishment!C$2:C$1005,MATCH($E110,Establishment!$A$2:$A$1005,0))</f>
        <v xml:space="preserve"> </v>
      </c>
      <c r="M110">
        <f t="shared" si="11"/>
        <v>0</v>
      </c>
      <c r="N110">
        <f t="shared" si="10"/>
        <v>0</v>
      </c>
      <c r="P110" t="e">
        <f>INDEX(Items!B$2:B$1032,MATCH($O110,Items!$A$2:$A$1032,0))</f>
        <v>#N/A</v>
      </c>
      <c r="Q110" t="e">
        <f>INDEX(Items!C$2:C$1032,MATCH($O110,Items!$A$2:$A$1032,0))</f>
        <v>#N/A</v>
      </c>
      <c r="R110" t="e">
        <f>INDEX(Items!D$2:D$1032,MATCH($O110,Items!$A$2:$A$1032,0))</f>
        <v>#N/A</v>
      </c>
    </row>
    <row r="111" spans="1:18" x14ac:dyDescent="0.25">
      <c r="A111">
        <f t="shared" si="9"/>
        <v>1</v>
      </c>
      <c r="B111" t="str">
        <f t="shared" si="12"/>
        <v/>
      </c>
      <c r="C111">
        <f t="shared" si="13"/>
        <v>1</v>
      </c>
      <c r="D111" s="4"/>
      <c r="E111" t="s">
        <v>18</v>
      </c>
      <c r="F111" t="str">
        <f>INDEX(Establishment!B$2:B$1005,MATCH($E111,Establishment!$A$2:$A$1005,0))</f>
        <v xml:space="preserve"> </v>
      </c>
      <c r="G111" t="str">
        <f>INDEX(Establishment!C$2:C$1005,MATCH($E111,Establishment!$A$2:$A$1005,0))</f>
        <v xml:space="preserve"> </v>
      </c>
      <c r="M111">
        <f t="shared" si="11"/>
        <v>0</v>
      </c>
      <c r="N111">
        <f t="shared" si="10"/>
        <v>0</v>
      </c>
      <c r="P111" t="e">
        <f>INDEX(Items!B$2:B$1032,MATCH($O111,Items!$A$2:$A$1032,0))</f>
        <v>#N/A</v>
      </c>
      <c r="Q111" t="e">
        <f>INDEX(Items!C$2:C$1032,MATCH($O111,Items!$A$2:$A$1032,0))</f>
        <v>#N/A</v>
      </c>
      <c r="R111" t="e">
        <f>INDEX(Items!D$2:D$1032,MATCH($O111,Items!$A$2:$A$1032,0))</f>
        <v>#N/A</v>
      </c>
    </row>
    <row r="112" spans="1:18" x14ac:dyDescent="0.25">
      <c r="A112">
        <f t="shared" si="9"/>
        <v>1</v>
      </c>
      <c r="B112" t="str">
        <f t="shared" si="12"/>
        <v/>
      </c>
      <c r="C112">
        <f t="shared" si="13"/>
        <v>1</v>
      </c>
      <c r="D112" s="4"/>
      <c r="E112" t="s">
        <v>18</v>
      </c>
      <c r="F112" t="str">
        <f>INDEX(Establishment!B$2:B$1005,MATCH($E112,Establishment!$A$2:$A$1005,0))</f>
        <v xml:space="preserve"> </v>
      </c>
      <c r="G112" t="str">
        <f>INDEX(Establishment!C$2:C$1005,MATCH($E112,Establishment!$A$2:$A$1005,0))</f>
        <v xml:space="preserve"> </v>
      </c>
      <c r="M112">
        <f t="shared" si="11"/>
        <v>0</v>
      </c>
      <c r="N112">
        <f t="shared" si="10"/>
        <v>0</v>
      </c>
      <c r="P112" t="e">
        <f>INDEX(Items!B$2:B$1032,MATCH($O112,Items!$A$2:$A$1032,0))</f>
        <v>#N/A</v>
      </c>
      <c r="Q112" t="e">
        <f>INDEX(Items!C$2:C$1032,MATCH($O112,Items!$A$2:$A$1032,0))</f>
        <v>#N/A</v>
      </c>
      <c r="R112" t="e">
        <f>INDEX(Items!D$2:D$1032,MATCH($O112,Items!$A$2:$A$1032,0))</f>
        <v>#N/A</v>
      </c>
    </row>
    <row r="113" spans="1:18" x14ac:dyDescent="0.25">
      <c r="A113">
        <f t="shared" si="9"/>
        <v>1</v>
      </c>
      <c r="B113" t="str">
        <f t="shared" si="12"/>
        <v/>
      </c>
      <c r="C113">
        <f t="shared" si="13"/>
        <v>1</v>
      </c>
      <c r="D113" s="4"/>
      <c r="E113" t="s">
        <v>18</v>
      </c>
      <c r="F113" t="str">
        <f>INDEX(Establishment!B$2:B$1005,MATCH($E113,Establishment!$A$2:$A$1005,0))</f>
        <v xml:space="preserve"> </v>
      </c>
      <c r="G113" t="str">
        <f>INDEX(Establishment!C$2:C$1005,MATCH($E113,Establishment!$A$2:$A$1005,0))</f>
        <v xml:space="preserve"> </v>
      </c>
      <c r="M113">
        <f t="shared" si="11"/>
        <v>0</v>
      </c>
      <c r="N113">
        <f t="shared" si="10"/>
        <v>0</v>
      </c>
      <c r="P113" t="e">
        <f>INDEX(Items!B$2:B$1032,MATCH($O113,Items!$A$2:$A$1032,0))</f>
        <v>#N/A</v>
      </c>
      <c r="Q113" t="e">
        <f>INDEX(Items!C$2:C$1032,MATCH($O113,Items!$A$2:$A$1032,0))</f>
        <v>#N/A</v>
      </c>
      <c r="R113" t="e">
        <f>INDEX(Items!D$2:D$1032,MATCH($O113,Items!$A$2:$A$1032,0))</f>
        <v>#N/A</v>
      </c>
    </row>
    <row r="114" spans="1:18" x14ac:dyDescent="0.25">
      <c r="A114">
        <f t="shared" si="9"/>
        <v>1</v>
      </c>
      <c r="B114" t="str">
        <f t="shared" si="12"/>
        <v/>
      </c>
      <c r="C114">
        <f t="shared" si="13"/>
        <v>1</v>
      </c>
      <c r="D114" s="4"/>
      <c r="E114" t="s">
        <v>18</v>
      </c>
      <c r="F114" t="str">
        <f>INDEX(Establishment!B$2:B$1005,MATCH($E114,Establishment!$A$2:$A$1005,0))</f>
        <v xml:space="preserve"> </v>
      </c>
      <c r="G114" t="str">
        <f>INDEX(Establishment!C$2:C$1005,MATCH($E114,Establishment!$A$2:$A$1005,0))</f>
        <v xml:space="preserve"> </v>
      </c>
      <c r="M114">
        <f t="shared" si="11"/>
        <v>0</v>
      </c>
      <c r="N114">
        <f t="shared" si="10"/>
        <v>0</v>
      </c>
      <c r="P114" t="e">
        <f>INDEX(Items!B$2:B$1032,MATCH($O114,Items!$A$2:$A$1032,0))</f>
        <v>#N/A</v>
      </c>
      <c r="Q114" t="e">
        <f>INDEX(Items!C$2:C$1032,MATCH($O114,Items!$A$2:$A$1032,0))</f>
        <v>#N/A</v>
      </c>
      <c r="R114" t="e">
        <f>INDEX(Items!D$2:D$1032,MATCH($O114,Items!$A$2:$A$1032,0))</f>
        <v>#N/A</v>
      </c>
    </row>
    <row r="115" spans="1:18" x14ac:dyDescent="0.25">
      <c r="A115">
        <f t="shared" si="9"/>
        <v>1</v>
      </c>
      <c r="B115" t="str">
        <f t="shared" si="12"/>
        <v/>
      </c>
      <c r="C115">
        <f t="shared" si="13"/>
        <v>1</v>
      </c>
      <c r="D115" s="4"/>
      <c r="E115" t="s">
        <v>18</v>
      </c>
      <c r="F115" t="str">
        <f>INDEX(Establishment!B$2:B$1005,MATCH($E115,Establishment!$A$2:$A$1005,0))</f>
        <v xml:space="preserve"> </v>
      </c>
      <c r="G115" t="str">
        <f>INDEX(Establishment!C$2:C$1005,MATCH($E115,Establishment!$A$2:$A$1005,0))</f>
        <v xml:space="preserve"> </v>
      </c>
      <c r="M115">
        <f t="shared" si="11"/>
        <v>0</v>
      </c>
      <c r="N115">
        <f t="shared" si="10"/>
        <v>0</v>
      </c>
      <c r="P115" t="e">
        <f>INDEX(Items!B$2:B$1032,MATCH($O115,Items!$A$2:$A$1032,0))</f>
        <v>#N/A</v>
      </c>
      <c r="Q115" t="e">
        <f>INDEX(Items!C$2:C$1032,MATCH($O115,Items!$A$2:$A$1032,0))</f>
        <v>#N/A</v>
      </c>
      <c r="R115" t="e">
        <f>INDEX(Items!D$2:D$1032,MATCH($O115,Items!$A$2:$A$1032,0))</f>
        <v>#N/A</v>
      </c>
    </row>
    <row r="116" spans="1:18" x14ac:dyDescent="0.25">
      <c r="A116">
        <f t="shared" si="9"/>
        <v>1</v>
      </c>
      <c r="B116" t="str">
        <f t="shared" si="12"/>
        <v/>
      </c>
      <c r="C116">
        <f t="shared" si="13"/>
        <v>1</v>
      </c>
      <c r="D116" s="4"/>
      <c r="E116" t="s">
        <v>18</v>
      </c>
      <c r="F116" t="str">
        <f>INDEX(Establishment!B$2:B$1005,MATCH($E116,Establishment!$A$2:$A$1005,0))</f>
        <v xml:space="preserve"> </v>
      </c>
      <c r="G116" t="str">
        <f>INDEX(Establishment!C$2:C$1005,MATCH($E116,Establishment!$A$2:$A$1005,0))</f>
        <v xml:space="preserve"> </v>
      </c>
      <c r="M116">
        <f t="shared" si="11"/>
        <v>0</v>
      </c>
      <c r="N116">
        <f t="shared" si="10"/>
        <v>0</v>
      </c>
      <c r="P116" t="e">
        <f>INDEX(Items!B$2:B$1032,MATCH($O116,Items!$A$2:$A$1032,0))</f>
        <v>#N/A</v>
      </c>
      <c r="Q116" t="e">
        <f>INDEX(Items!C$2:C$1032,MATCH($O116,Items!$A$2:$A$1032,0))</f>
        <v>#N/A</v>
      </c>
      <c r="R116" t="e">
        <f>INDEX(Items!D$2:D$1032,MATCH($O116,Items!$A$2:$A$1032,0))</f>
        <v>#N/A</v>
      </c>
    </row>
    <row r="117" spans="1:18" x14ac:dyDescent="0.25">
      <c r="A117">
        <f t="shared" si="9"/>
        <v>1</v>
      </c>
      <c r="B117" t="str">
        <f t="shared" si="12"/>
        <v/>
      </c>
      <c r="C117">
        <f t="shared" si="13"/>
        <v>1</v>
      </c>
      <c r="D117" s="4"/>
      <c r="E117" t="s">
        <v>18</v>
      </c>
      <c r="F117" t="str">
        <f>INDEX(Establishment!B$2:B$1005,MATCH($E117,Establishment!$A$2:$A$1005,0))</f>
        <v xml:space="preserve"> </v>
      </c>
      <c r="G117" t="str">
        <f>INDEX(Establishment!C$2:C$1005,MATCH($E117,Establishment!$A$2:$A$1005,0))</f>
        <v xml:space="preserve"> </v>
      </c>
      <c r="M117">
        <f t="shared" si="11"/>
        <v>0</v>
      </c>
      <c r="N117">
        <f t="shared" si="10"/>
        <v>0</v>
      </c>
      <c r="P117" t="e">
        <f>INDEX(Items!B$2:B$1032,MATCH($O117,Items!$A$2:$A$1032,0))</f>
        <v>#N/A</v>
      </c>
      <c r="Q117" t="e">
        <f>INDEX(Items!C$2:C$1032,MATCH($O117,Items!$A$2:$A$1032,0))</f>
        <v>#N/A</v>
      </c>
      <c r="R117" t="e">
        <f>INDEX(Items!D$2:D$1032,MATCH($O117,Items!$A$2:$A$1032,0))</f>
        <v>#N/A</v>
      </c>
    </row>
    <row r="118" spans="1:18" x14ac:dyDescent="0.25">
      <c r="A118">
        <f t="shared" si="9"/>
        <v>1</v>
      </c>
      <c r="B118" t="str">
        <f t="shared" si="12"/>
        <v/>
      </c>
      <c r="C118">
        <f t="shared" si="13"/>
        <v>1</v>
      </c>
      <c r="D118" s="4"/>
      <c r="E118" t="s">
        <v>18</v>
      </c>
      <c r="F118" t="str">
        <f>INDEX(Establishment!B$2:B$1005,MATCH($E118,Establishment!$A$2:$A$1005,0))</f>
        <v xml:space="preserve"> </v>
      </c>
      <c r="G118" t="str">
        <f>INDEX(Establishment!C$2:C$1005,MATCH($E118,Establishment!$A$2:$A$1005,0))</f>
        <v xml:space="preserve"> </v>
      </c>
      <c r="M118">
        <f t="shared" si="11"/>
        <v>0</v>
      </c>
      <c r="N118">
        <f t="shared" si="10"/>
        <v>0</v>
      </c>
      <c r="P118" t="e">
        <f>INDEX(Items!B$2:B$1032,MATCH($O118,Items!$A$2:$A$1032,0))</f>
        <v>#N/A</v>
      </c>
      <c r="Q118" t="e">
        <f>INDEX(Items!C$2:C$1032,MATCH($O118,Items!$A$2:$A$1032,0))</f>
        <v>#N/A</v>
      </c>
      <c r="R118" t="e">
        <f>INDEX(Items!D$2:D$1032,MATCH($O118,Items!$A$2:$A$1032,0))</f>
        <v>#N/A</v>
      </c>
    </row>
    <row r="119" spans="1:18" x14ac:dyDescent="0.25">
      <c r="A119">
        <f t="shared" si="9"/>
        <v>1</v>
      </c>
      <c r="B119" t="str">
        <f t="shared" si="12"/>
        <v/>
      </c>
      <c r="C119">
        <f t="shared" si="13"/>
        <v>1</v>
      </c>
      <c r="D119" s="4"/>
      <c r="E119" t="s">
        <v>18</v>
      </c>
      <c r="F119" t="str">
        <f>INDEX(Establishment!B$2:B$1005,MATCH($E119,Establishment!$A$2:$A$1005,0))</f>
        <v xml:space="preserve"> </v>
      </c>
      <c r="G119" t="str">
        <f>INDEX(Establishment!C$2:C$1005,MATCH($E119,Establishment!$A$2:$A$1005,0))</f>
        <v xml:space="preserve"> </v>
      </c>
      <c r="M119">
        <f t="shared" si="11"/>
        <v>0</v>
      </c>
      <c r="N119">
        <f t="shared" si="10"/>
        <v>0</v>
      </c>
      <c r="P119" t="e">
        <f>INDEX(Items!B$2:B$1032,MATCH($O119,Items!$A$2:$A$1032,0))</f>
        <v>#N/A</v>
      </c>
      <c r="Q119" t="e">
        <f>INDEX(Items!C$2:C$1032,MATCH($O119,Items!$A$2:$A$1032,0))</f>
        <v>#N/A</v>
      </c>
      <c r="R119" t="e">
        <f>INDEX(Items!D$2:D$1032,MATCH($O119,Items!$A$2:$A$1032,0))</f>
        <v>#N/A</v>
      </c>
    </row>
    <row r="120" spans="1:18" x14ac:dyDescent="0.25">
      <c r="A120">
        <f t="shared" si="9"/>
        <v>1</v>
      </c>
      <c r="B120" t="str">
        <f t="shared" si="12"/>
        <v/>
      </c>
      <c r="C120">
        <f t="shared" si="13"/>
        <v>1</v>
      </c>
      <c r="D120" s="4"/>
      <c r="E120" t="s">
        <v>18</v>
      </c>
      <c r="F120" t="str">
        <f>INDEX(Establishment!B$2:B$1005,MATCH($E120,Establishment!$A$2:$A$1005,0))</f>
        <v xml:space="preserve"> </v>
      </c>
      <c r="G120" t="str">
        <f>INDEX(Establishment!C$2:C$1005,MATCH($E120,Establishment!$A$2:$A$1005,0))</f>
        <v xml:space="preserve"> </v>
      </c>
      <c r="M120">
        <f t="shared" si="11"/>
        <v>0</v>
      </c>
      <c r="N120">
        <f t="shared" si="10"/>
        <v>0</v>
      </c>
      <c r="P120" t="e">
        <f>INDEX(Items!B$2:B$1032,MATCH($O120,Items!$A$2:$A$1032,0))</f>
        <v>#N/A</v>
      </c>
      <c r="Q120" t="e">
        <f>INDEX(Items!C$2:C$1032,MATCH($O120,Items!$A$2:$A$1032,0))</f>
        <v>#N/A</v>
      </c>
      <c r="R120" t="e">
        <f>INDEX(Items!D$2:D$1032,MATCH($O120,Items!$A$2:$A$1032,0))</f>
        <v>#N/A</v>
      </c>
    </row>
    <row r="121" spans="1:18" x14ac:dyDescent="0.25">
      <c r="A121">
        <f t="shared" si="9"/>
        <v>1</v>
      </c>
      <c r="B121" t="str">
        <f t="shared" si="12"/>
        <v/>
      </c>
      <c r="C121">
        <f t="shared" si="13"/>
        <v>1</v>
      </c>
      <c r="D121" s="4"/>
      <c r="E121" t="s">
        <v>18</v>
      </c>
      <c r="F121" t="str">
        <f>INDEX(Establishment!B$2:B$1005,MATCH($E121,Establishment!$A$2:$A$1005,0))</f>
        <v xml:space="preserve"> </v>
      </c>
      <c r="G121" t="str">
        <f>INDEX(Establishment!C$2:C$1005,MATCH($E121,Establishment!$A$2:$A$1005,0))</f>
        <v xml:space="preserve"> </v>
      </c>
      <c r="M121">
        <f t="shared" si="11"/>
        <v>0</v>
      </c>
      <c r="N121">
        <f t="shared" si="10"/>
        <v>0</v>
      </c>
      <c r="P121" t="e">
        <f>INDEX(Items!B$2:B$1032,MATCH($O121,Items!$A$2:$A$1032,0))</f>
        <v>#N/A</v>
      </c>
      <c r="Q121" t="e">
        <f>INDEX(Items!C$2:C$1032,MATCH($O121,Items!$A$2:$A$1032,0))</f>
        <v>#N/A</v>
      </c>
      <c r="R121" t="e">
        <f>INDEX(Items!D$2:D$1032,MATCH($O121,Items!$A$2:$A$1032,0))</f>
        <v>#N/A</v>
      </c>
    </row>
    <row r="122" spans="1:18" x14ac:dyDescent="0.25">
      <c r="A122">
        <f t="shared" si="9"/>
        <v>1</v>
      </c>
      <c r="B122" t="str">
        <f t="shared" si="12"/>
        <v/>
      </c>
      <c r="C122">
        <f t="shared" si="13"/>
        <v>1</v>
      </c>
      <c r="D122" s="4"/>
      <c r="E122" t="s">
        <v>18</v>
      </c>
      <c r="F122" t="str">
        <f>INDEX(Establishment!B$2:B$1005,MATCH($E122,Establishment!$A$2:$A$1005,0))</f>
        <v xml:space="preserve"> </v>
      </c>
      <c r="G122" t="str">
        <f>INDEX(Establishment!C$2:C$1005,MATCH($E122,Establishment!$A$2:$A$1005,0))</f>
        <v xml:space="preserve"> </v>
      </c>
      <c r="M122">
        <f t="shared" si="11"/>
        <v>0</v>
      </c>
      <c r="N122">
        <f t="shared" si="10"/>
        <v>0</v>
      </c>
      <c r="P122" t="e">
        <f>INDEX(Items!B$2:B$1032,MATCH($O122,Items!$A$2:$A$1032,0))</f>
        <v>#N/A</v>
      </c>
      <c r="Q122" t="e">
        <f>INDEX(Items!C$2:C$1032,MATCH($O122,Items!$A$2:$A$1032,0))</f>
        <v>#N/A</v>
      </c>
      <c r="R122" t="e">
        <f>INDEX(Items!D$2:D$1032,MATCH($O122,Items!$A$2:$A$1032,0))</f>
        <v>#N/A</v>
      </c>
    </row>
    <row r="123" spans="1:18" x14ac:dyDescent="0.25">
      <c r="A123">
        <f t="shared" si="9"/>
        <v>1</v>
      </c>
      <c r="B123" t="str">
        <f t="shared" si="12"/>
        <v/>
      </c>
      <c r="C123">
        <f t="shared" si="13"/>
        <v>1</v>
      </c>
      <c r="D123" s="4"/>
      <c r="E123" t="s">
        <v>18</v>
      </c>
      <c r="F123" t="str">
        <f>INDEX(Establishment!B$2:B$1005,MATCH($E123,Establishment!$A$2:$A$1005,0))</f>
        <v xml:space="preserve"> </v>
      </c>
      <c r="G123" t="str">
        <f>INDEX(Establishment!C$2:C$1005,MATCH($E123,Establishment!$A$2:$A$1005,0))</f>
        <v xml:space="preserve"> </v>
      </c>
      <c r="M123">
        <f t="shared" si="11"/>
        <v>0</v>
      </c>
      <c r="N123">
        <f t="shared" si="10"/>
        <v>0</v>
      </c>
      <c r="P123" t="e">
        <f>INDEX(Items!B$2:B$1032,MATCH($O123,Items!$A$2:$A$1032,0))</f>
        <v>#N/A</v>
      </c>
      <c r="Q123" t="e">
        <f>INDEX(Items!C$2:C$1032,MATCH($O123,Items!$A$2:$A$1032,0))</f>
        <v>#N/A</v>
      </c>
      <c r="R123" t="e">
        <f>INDEX(Items!D$2:D$1032,MATCH($O123,Items!$A$2:$A$1032,0))</f>
        <v>#N/A</v>
      </c>
    </row>
    <row r="124" spans="1:18" x14ac:dyDescent="0.25">
      <c r="A124">
        <f t="shared" si="9"/>
        <v>1</v>
      </c>
      <c r="B124" t="str">
        <f t="shared" si="12"/>
        <v/>
      </c>
      <c r="C124">
        <f t="shared" si="13"/>
        <v>1</v>
      </c>
      <c r="D124" s="4"/>
      <c r="E124" t="s">
        <v>18</v>
      </c>
      <c r="F124" t="str">
        <f>INDEX(Establishment!B$2:B$1005,MATCH($E124,Establishment!$A$2:$A$1005,0))</f>
        <v xml:space="preserve"> </v>
      </c>
      <c r="G124" t="str">
        <f>INDEX(Establishment!C$2:C$1005,MATCH($E124,Establishment!$A$2:$A$1005,0))</f>
        <v xml:space="preserve"> </v>
      </c>
      <c r="M124">
        <f t="shared" si="11"/>
        <v>0</v>
      </c>
      <c r="N124">
        <f t="shared" si="10"/>
        <v>0</v>
      </c>
      <c r="P124" t="e">
        <f>INDEX(Items!B$2:B$1032,MATCH($O124,Items!$A$2:$A$1032,0))</f>
        <v>#N/A</v>
      </c>
      <c r="Q124" t="e">
        <f>INDEX(Items!C$2:C$1032,MATCH($O124,Items!$A$2:$A$1032,0))</f>
        <v>#N/A</v>
      </c>
      <c r="R124" t="e">
        <f>INDEX(Items!D$2:D$1032,MATCH($O124,Items!$A$2:$A$1032,0))</f>
        <v>#N/A</v>
      </c>
    </row>
    <row r="125" spans="1:18" x14ac:dyDescent="0.25">
      <c r="A125">
        <f t="shared" si="9"/>
        <v>1</v>
      </c>
      <c r="B125" t="str">
        <f t="shared" si="12"/>
        <v/>
      </c>
      <c r="C125">
        <f t="shared" si="13"/>
        <v>1</v>
      </c>
      <c r="D125" s="4"/>
      <c r="E125" t="s">
        <v>18</v>
      </c>
      <c r="F125" t="str">
        <f>INDEX(Establishment!B$2:B$1005,MATCH($E125,Establishment!$A$2:$A$1005,0))</f>
        <v xml:space="preserve"> </v>
      </c>
      <c r="G125" t="str">
        <f>INDEX(Establishment!C$2:C$1005,MATCH($E125,Establishment!$A$2:$A$1005,0))</f>
        <v xml:space="preserve"> </v>
      </c>
      <c r="M125">
        <f t="shared" si="11"/>
        <v>0</v>
      </c>
      <c r="N125">
        <f t="shared" si="10"/>
        <v>0</v>
      </c>
      <c r="P125" t="e">
        <f>INDEX(Items!B$2:B$1032,MATCH($O125,Items!$A$2:$A$1032,0))</f>
        <v>#N/A</v>
      </c>
      <c r="Q125" t="e">
        <f>INDEX(Items!C$2:C$1032,MATCH($O125,Items!$A$2:$A$1032,0))</f>
        <v>#N/A</v>
      </c>
      <c r="R125" t="e">
        <f>INDEX(Items!D$2:D$1032,MATCH($O125,Items!$A$2:$A$1032,0))</f>
        <v>#N/A</v>
      </c>
    </row>
    <row r="126" spans="1:18" x14ac:dyDescent="0.25">
      <c r="A126">
        <f t="shared" si="9"/>
        <v>1</v>
      </c>
      <c r="B126" t="str">
        <f t="shared" si="12"/>
        <v/>
      </c>
      <c r="C126">
        <f t="shared" si="13"/>
        <v>1</v>
      </c>
      <c r="D126" s="4"/>
      <c r="E126" t="s">
        <v>18</v>
      </c>
      <c r="F126" t="str">
        <f>INDEX(Establishment!B$2:B$1005,MATCH($E126,Establishment!$A$2:$A$1005,0))</f>
        <v xml:space="preserve"> </v>
      </c>
      <c r="G126" t="str">
        <f>INDEX(Establishment!C$2:C$1005,MATCH($E126,Establishment!$A$2:$A$1005,0))</f>
        <v xml:space="preserve"> </v>
      </c>
      <c r="M126">
        <f t="shared" si="11"/>
        <v>0</v>
      </c>
      <c r="N126">
        <f t="shared" si="10"/>
        <v>0</v>
      </c>
      <c r="P126" t="e">
        <f>INDEX(Items!B$2:B$1032,MATCH($O126,Items!$A$2:$A$1032,0))</f>
        <v>#N/A</v>
      </c>
      <c r="Q126" t="e">
        <f>INDEX(Items!C$2:C$1032,MATCH($O126,Items!$A$2:$A$1032,0))</f>
        <v>#N/A</v>
      </c>
      <c r="R126" t="e">
        <f>INDEX(Items!D$2:D$1032,MATCH($O126,Items!$A$2:$A$1032,0))</f>
        <v>#N/A</v>
      </c>
    </row>
    <row r="127" spans="1:18" x14ac:dyDescent="0.25">
      <c r="A127">
        <f t="shared" si="9"/>
        <v>1</v>
      </c>
      <c r="B127" t="str">
        <f t="shared" si="12"/>
        <v/>
      </c>
      <c r="C127">
        <f t="shared" si="13"/>
        <v>1</v>
      </c>
      <c r="D127" s="4"/>
      <c r="E127" t="s">
        <v>18</v>
      </c>
      <c r="F127" t="str">
        <f>INDEX(Establishment!B$2:B$1005,MATCH($E127,Establishment!$A$2:$A$1005,0))</f>
        <v xml:space="preserve"> </v>
      </c>
      <c r="G127" t="str">
        <f>INDEX(Establishment!C$2:C$1005,MATCH($E127,Establishment!$A$2:$A$1005,0))</f>
        <v xml:space="preserve"> </v>
      </c>
      <c r="M127">
        <f t="shared" si="11"/>
        <v>0</v>
      </c>
      <c r="N127">
        <f t="shared" si="10"/>
        <v>0</v>
      </c>
      <c r="P127" t="e">
        <f>INDEX(Items!B$2:B$1032,MATCH($O127,Items!$A$2:$A$1032,0))</f>
        <v>#N/A</v>
      </c>
      <c r="Q127" t="e">
        <f>INDEX(Items!C$2:C$1032,MATCH($O127,Items!$A$2:$A$1032,0))</f>
        <v>#N/A</v>
      </c>
      <c r="R127" t="e">
        <f>INDEX(Items!D$2:D$1032,MATCH($O127,Items!$A$2:$A$1032,0))</f>
        <v>#N/A</v>
      </c>
    </row>
    <row r="128" spans="1:18" x14ac:dyDescent="0.25">
      <c r="A128">
        <f t="shared" si="9"/>
        <v>1</v>
      </c>
      <c r="B128" t="str">
        <f t="shared" si="12"/>
        <v/>
      </c>
      <c r="C128">
        <f t="shared" si="13"/>
        <v>1</v>
      </c>
      <c r="D128" s="4"/>
      <c r="E128" t="s">
        <v>18</v>
      </c>
      <c r="F128" t="str">
        <f>INDEX(Establishment!B$2:B$1005,MATCH($E128,Establishment!$A$2:$A$1005,0))</f>
        <v xml:space="preserve"> </v>
      </c>
      <c r="G128" t="str">
        <f>INDEX(Establishment!C$2:C$1005,MATCH($E128,Establishment!$A$2:$A$1005,0))</f>
        <v xml:space="preserve"> </v>
      </c>
      <c r="M128">
        <f t="shared" si="11"/>
        <v>0</v>
      </c>
      <c r="N128">
        <f t="shared" si="10"/>
        <v>0</v>
      </c>
      <c r="P128" t="e">
        <f>INDEX(Items!B$2:B$1032,MATCH($O128,Items!$A$2:$A$1032,0))</f>
        <v>#N/A</v>
      </c>
      <c r="Q128" t="e">
        <f>INDEX(Items!C$2:C$1032,MATCH($O128,Items!$A$2:$A$1032,0))</f>
        <v>#N/A</v>
      </c>
      <c r="R128" t="e">
        <f>INDEX(Items!D$2:D$1032,MATCH($O128,Items!$A$2:$A$1032,0))</f>
        <v>#N/A</v>
      </c>
    </row>
    <row r="129" spans="1:18" x14ac:dyDescent="0.25">
      <c r="A129">
        <f t="shared" si="9"/>
        <v>1</v>
      </c>
      <c r="B129" t="str">
        <f t="shared" si="12"/>
        <v/>
      </c>
      <c r="C129">
        <f t="shared" si="13"/>
        <v>1</v>
      </c>
      <c r="D129" s="4"/>
      <c r="E129" t="s">
        <v>18</v>
      </c>
      <c r="F129" t="str">
        <f>INDEX(Establishment!B$2:B$1005,MATCH($E129,Establishment!$A$2:$A$1005,0))</f>
        <v xml:space="preserve"> </v>
      </c>
      <c r="G129" t="str">
        <f>INDEX(Establishment!C$2:C$1005,MATCH($E129,Establishment!$A$2:$A$1005,0))</f>
        <v xml:space="preserve"> </v>
      </c>
      <c r="M129">
        <f t="shared" si="11"/>
        <v>0</v>
      </c>
      <c r="N129">
        <f t="shared" si="10"/>
        <v>0</v>
      </c>
      <c r="P129" t="e">
        <f>INDEX(Items!B$2:B$1032,MATCH($O129,Items!$A$2:$A$1032,0))</f>
        <v>#N/A</v>
      </c>
      <c r="Q129" t="e">
        <f>INDEX(Items!C$2:C$1032,MATCH($O129,Items!$A$2:$A$1032,0))</f>
        <v>#N/A</v>
      </c>
      <c r="R129" t="e">
        <f>INDEX(Items!D$2:D$1032,MATCH($O129,Items!$A$2:$A$1032,0))</f>
        <v>#N/A</v>
      </c>
    </row>
    <row r="130" spans="1:18" x14ac:dyDescent="0.25">
      <c r="A130">
        <f t="shared" ref="A130:A193" si="14">IF(OR(D130&lt;&gt;D129,D130=""),1,IF(NOT(AND(E130=E129,F130=F129,G130=G129)),A129+1,IF(OR(H130="",AND(H130&lt;&gt;"",H130&lt;&gt;H129,H129&lt;&gt;"")),A129,A129+1)))</f>
        <v>1</v>
      </c>
      <c r="B130" t="str">
        <f t="shared" si="12"/>
        <v/>
      </c>
      <c r="C130">
        <f t="shared" si="13"/>
        <v>1</v>
      </c>
      <c r="D130" s="4"/>
      <c r="E130" t="s">
        <v>18</v>
      </c>
      <c r="F130" t="str">
        <f>INDEX(Establishment!B$2:B$1005,MATCH($E130,Establishment!$A$2:$A$1005,0))</f>
        <v xml:space="preserve"> </v>
      </c>
      <c r="G130" t="str">
        <f>INDEX(Establishment!C$2:C$1005,MATCH($E130,Establishment!$A$2:$A$1005,0))</f>
        <v xml:space="preserve"> </v>
      </c>
      <c r="M130">
        <f t="shared" si="11"/>
        <v>0</v>
      </c>
      <c r="N130">
        <f t="shared" si="10"/>
        <v>0</v>
      </c>
      <c r="P130" t="e">
        <f>INDEX(Items!B$2:B$1032,MATCH($O130,Items!$A$2:$A$1032,0))</f>
        <v>#N/A</v>
      </c>
      <c r="Q130" t="e">
        <f>INDEX(Items!C$2:C$1032,MATCH($O130,Items!$A$2:$A$1032,0))</f>
        <v>#N/A</v>
      </c>
      <c r="R130" t="e">
        <f>INDEX(Items!D$2:D$1032,MATCH($O130,Items!$A$2:$A$1032,0))</f>
        <v>#N/A</v>
      </c>
    </row>
    <row r="131" spans="1:18" x14ac:dyDescent="0.25">
      <c r="A131">
        <f t="shared" si="14"/>
        <v>1</v>
      </c>
      <c r="B131" t="str">
        <f t="shared" si="12"/>
        <v/>
      </c>
      <c r="C131">
        <f t="shared" si="13"/>
        <v>1</v>
      </c>
      <c r="D131" s="4"/>
      <c r="E131" t="s">
        <v>18</v>
      </c>
      <c r="F131" t="str">
        <f>INDEX(Establishment!B$2:B$1005,MATCH($E131,Establishment!$A$2:$A$1005,0))</f>
        <v xml:space="preserve"> </v>
      </c>
      <c r="G131" t="str">
        <f>INDEX(Establishment!C$2:C$1005,MATCH($E131,Establishment!$A$2:$A$1005,0))</f>
        <v xml:space="preserve"> </v>
      </c>
      <c r="M131">
        <f t="shared" si="11"/>
        <v>0</v>
      </c>
      <c r="N131">
        <f t="shared" ref="N131:N194" si="15">IF(B131=B130,N130+M131,M131)</f>
        <v>0</v>
      </c>
      <c r="P131" t="e">
        <f>INDEX(Items!B$2:B$1032,MATCH($O131,Items!$A$2:$A$1032,0))</f>
        <v>#N/A</v>
      </c>
      <c r="Q131" t="e">
        <f>INDEX(Items!C$2:C$1032,MATCH($O131,Items!$A$2:$A$1032,0))</f>
        <v>#N/A</v>
      </c>
      <c r="R131" t="e">
        <f>INDEX(Items!D$2:D$1032,MATCH($O131,Items!$A$2:$A$1032,0))</f>
        <v>#N/A</v>
      </c>
    </row>
    <row r="132" spans="1:18" x14ac:dyDescent="0.25">
      <c r="A132">
        <f t="shared" si="14"/>
        <v>1</v>
      </c>
      <c r="B132" t="str">
        <f t="shared" si="12"/>
        <v/>
      </c>
      <c r="C132">
        <f t="shared" si="13"/>
        <v>1</v>
      </c>
      <c r="D132" s="4"/>
      <c r="E132" t="s">
        <v>18</v>
      </c>
      <c r="F132" t="str">
        <f>INDEX(Establishment!B$2:B$1005,MATCH($E132,Establishment!$A$2:$A$1005,0))</f>
        <v xml:space="preserve"> </v>
      </c>
      <c r="G132" t="str">
        <f>INDEX(Establishment!C$2:C$1005,MATCH($E132,Establishment!$A$2:$A$1005,0))</f>
        <v xml:space="preserve"> </v>
      </c>
      <c r="M132">
        <f t="shared" ref="M132:M195" si="16">K132*L132</f>
        <v>0</v>
      </c>
      <c r="N132">
        <f t="shared" si="15"/>
        <v>0</v>
      </c>
      <c r="P132" t="e">
        <f>INDEX(Items!B$2:B$1032,MATCH($O132,Items!$A$2:$A$1032,0))</f>
        <v>#N/A</v>
      </c>
      <c r="Q132" t="e">
        <f>INDEX(Items!C$2:C$1032,MATCH($O132,Items!$A$2:$A$1032,0))</f>
        <v>#N/A</v>
      </c>
      <c r="R132" t="e">
        <f>INDEX(Items!D$2:D$1032,MATCH($O132,Items!$A$2:$A$1032,0))</f>
        <v>#N/A</v>
      </c>
    </row>
    <row r="133" spans="1:18" x14ac:dyDescent="0.25">
      <c r="A133">
        <f t="shared" si="14"/>
        <v>1</v>
      </c>
      <c r="B133" t="str">
        <f t="shared" si="12"/>
        <v/>
      </c>
      <c r="C133">
        <f t="shared" si="13"/>
        <v>1</v>
      </c>
      <c r="D133" s="4"/>
      <c r="E133" t="s">
        <v>18</v>
      </c>
      <c r="F133" t="str">
        <f>INDEX(Establishment!B$2:B$1005,MATCH($E133,Establishment!$A$2:$A$1005,0))</f>
        <v xml:space="preserve"> </v>
      </c>
      <c r="G133" t="str">
        <f>INDEX(Establishment!C$2:C$1005,MATCH($E133,Establishment!$A$2:$A$1005,0))</f>
        <v xml:space="preserve"> </v>
      </c>
      <c r="M133">
        <f t="shared" si="16"/>
        <v>0</v>
      </c>
      <c r="N133">
        <f t="shared" si="15"/>
        <v>0</v>
      </c>
      <c r="P133" t="e">
        <f>INDEX(Items!B$2:B$1032,MATCH($O133,Items!$A$2:$A$1032,0))</f>
        <v>#N/A</v>
      </c>
      <c r="Q133" t="e">
        <f>INDEX(Items!C$2:C$1032,MATCH($O133,Items!$A$2:$A$1032,0))</f>
        <v>#N/A</v>
      </c>
      <c r="R133" t="e">
        <f>INDEX(Items!D$2:D$1032,MATCH($O133,Items!$A$2:$A$1032,0))</f>
        <v>#N/A</v>
      </c>
    </row>
    <row r="134" spans="1:18" x14ac:dyDescent="0.25">
      <c r="A134">
        <f t="shared" si="14"/>
        <v>1</v>
      </c>
      <c r="B134" t="str">
        <f t="shared" si="12"/>
        <v/>
      </c>
      <c r="C134">
        <f t="shared" si="13"/>
        <v>1</v>
      </c>
      <c r="D134" s="4"/>
      <c r="E134" t="s">
        <v>18</v>
      </c>
      <c r="F134" t="str">
        <f>INDEX(Establishment!B$2:B$1005,MATCH($E134,Establishment!$A$2:$A$1005,0))</f>
        <v xml:space="preserve"> </v>
      </c>
      <c r="G134" t="str">
        <f>INDEX(Establishment!C$2:C$1005,MATCH($E134,Establishment!$A$2:$A$1005,0))</f>
        <v xml:space="preserve"> </v>
      </c>
      <c r="M134">
        <f t="shared" si="16"/>
        <v>0</v>
      </c>
      <c r="N134">
        <f t="shared" si="15"/>
        <v>0</v>
      </c>
      <c r="P134" t="e">
        <f>INDEX(Items!B$2:B$1032,MATCH($O134,Items!$A$2:$A$1032,0))</f>
        <v>#N/A</v>
      </c>
      <c r="Q134" t="e">
        <f>INDEX(Items!C$2:C$1032,MATCH($O134,Items!$A$2:$A$1032,0))</f>
        <v>#N/A</v>
      </c>
      <c r="R134" t="e">
        <f>INDEX(Items!D$2:D$1032,MATCH($O134,Items!$A$2:$A$1032,0))</f>
        <v>#N/A</v>
      </c>
    </row>
    <row r="135" spans="1:18" x14ac:dyDescent="0.25">
      <c r="A135">
        <f t="shared" si="14"/>
        <v>1</v>
      </c>
      <c r="B135" t="str">
        <f t="shared" ref="B135:B198" si="17">IF(D135&lt;&gt;"",TEXT(D135,"YYYYMMDD")&amp;CHAR(64+A135),"")</f>
        <v/>
      </c>
      <c r="C135">
        <f t="shared" si="13"/>
        <v>1</v>
      </c>
      <c r="D135" s="4"/>
      <c r="E135" t="s">
        <v>18</v>
      </c>
      <c r="F135" t="str">
        <f>INDEX(Establishment!B$2:B$1005,MATCH($E135,Establishment!$A$2:$A$1005,0))</f>
        <v xml:space="preserve"> </v>
      </c>
      <c r="G135" t="str">
        <f>INDEX(Establishment!C$2:C$1005,MATCH($E135,Establishment!$A$2:$A$1005,0))</f>
        <v xml:space="preserve"> </v>
      </c>
      <c r="M135">
        <f t="shared" si="16"/>
        <v>0</v>
      </c>
      <c r="N135">
        <f t="shared" si="15"/>
        <v>0</v>
      </c>
      <c r="P135" t="e">
        <f>INDEX(Items!B$2:B$1032,MATCH($O135,Items!$A$2:$A$1032,0))</f>
        <v>#N/A</v>
      </c>
      <c r="Q135" t="e">
        <f>INDEX(Items!C$2:C$1032,MATCH($O135,Items!$A$2:$A$1032,0))</f>
        <v>#N/A</v>
      </c>
      <c r="R135" t="e">
        <f>INDEX(Items!D$2:D$1032,MATCH($O135,Items!$A$2:$A$1032,0))</f>
        <v>#N/A</v>
      </c>
    </row>
    <row r="136" spans="1:18" x14ac:dyDescent="0.25">
      <c r="A136">
        <f t="shared" si="14"/>
        <v>1</v>
      </c>
      <c r="B136" t="str">
        <f t="shared" si="17"/>
        <v/>
      </c>
      <c r="C136">
        <f t="shared" si="13"/>
        <v>1</v>
      </c>
      <c r="D136" s="4"/>
      <c r="E136" t="s">
        <v>18</v>
      </c>
      <c r="F136" t="str">
        <f>INDEX(Establishment!B$2:B$1005,MATCH($E136,Establishment!$A$2:$A$1005,0))</f>
        <v xml:space="preserve"> </v>
      </c>
      <c r="G136" t="str">
        <f>INDEX(Establishment!C$2:C$1005,MATCH($E136,Establishment!$A$2:$A$1005,0))</f>
        <v xml:space="preserve"> </v>
      </c>
      <c r="M136">
        <f t="shared" si="16"/>
        <v>0</v>
      </c>
      <c r="N136">
        <f t="shared" si="15"/>
        <v>0</v>
      </c>
      <c r="P136" t="e">
        <f>INDEX(Items!B$2:B$1032,MATCH($O136,Items!$A$2:$A$1032,0))</f>
        <v>#N/A</v>
      </c>
      <c r="Q136" t="e">
        <f>INDEX(Items!C$2:C$1032,MATCH($O136,Items!$A$2:$A$1032,0))</f>
        <v>#N/A</v>
      </c>
      <c r="R136" t="e">
        <f>INDEX(Items!D$2:D$1032,MATCH($O136,Items!$A$2:$A$1032,0))</f>
        <v>#N/A</v>
      </c>
    </row>
    <row r="137" spans="1:18" x14ac:dyDescent="0.25">
      <c r="A137">
        <f t="shared" si="14"/>
        <v>1</v>
      </c>
      <c r="B137" t="str">
        <f t="shared" si="17"/>
        <v/>
      </c>
      <c r="C137">
        <f t="shared" si="13"/>
        <v>1</v>
      </c>
      <c r="D137" s="4"/>
      <c r="E137" t="s">
        <v>18</v>
      </c>
      <c r="F137" t="str">
        <f>INDEX(Establishment!B$2:B$1005,MATCH($E137,Establishment!$A$2:$A$1005,0))</f>
        <v xml:space="preserve"> </v>
      </c>
      <c r="G137" t="str">
        <f>INDEX(Establishment!C$2:C$1005,MATCH($E137,Establishment!$A$2:$A$1005,0))</f>
        <v xml:space="preserve"> </v>
      </c>
      <c r="M137">
        <f t="shared" si="16"/>
        <v>0</v>
      </c>
      <c r="N137">
        <f t="shared" si="15"/>
        <v>0</v>
      </c>
      <c r="P137" t="e">
        <f>INDEX(Items!B$2:B$1032,MATCH($O137,Items!$A$2:$A$1032,0))</f>
        <v>#N/A</v>
      </c>
      <c r="Q137" t="e">
        <f>INDEX(Items!C$2:C$1032,MATCH($O137,Items!$A$2:$A$1032,0))</f>
        <v>#N/A</v>
      </c>
      <c r="R137" t="e">
        <f>INDEX(Items!D$2:D$1032,MATCH($O137,Items!$A$2:$A$1032,0))</f>
        <v>#N/A</v>
      </c>
    </row>
    <row r="138" spans="1:18" x14ac:dyDescent="0.25">
      <c r="A138">
        <f t="shared" si="14"/>
        <v>1</v>
      </c>
      <c r="B138" t="str">
        <f t="shared" si="17"/>
        <v/>
      </c>
      <c r="C138">
        <f t="shared" ref="C138:C201" si="18">IF(OR(B138="",B138&lt;&gt;B137),1,C137+1)</f>
        <v>1</v>
      </c>
      <c r="D138" s="4"/>
      <c r="E138" t="s">
        <v>18</v>
      </c>
      <c r="F138" t="str">
        <f>INDEX(Establishment!B$2:B$1005,MATCH($E138,Establishment!$A$2:$A$1005,0))</f>
        <v xml:space="preserve"> </v>
      </c>
      <c r="G138" t="str">
        <f>INDEX(Establishment!C$2:C$1005,MATCH($E138,Establishment!$A$2:$A$1005,0))</f>
        <v xml:space="preserve"> </v>
      </c>
      <c r="M138">
        <f t="shared" si="16"/>
        <v>0</v>
      </c>
      <c r="N138">
        <f t="shared" si="15"/>
        <v>0</v>
      </c>
      <c r="P138" t="e">
        <f>INDEX(Items!B$2:B$1032,MATCH($O138,Items!$A$2:$A$1032,0))</f>
        <v>#N/A</v>
      </c>
      <c r="Q138" t="e">
        <f>INDEX(Items!C$2:C$1032,MATCH($O138,Items!$A$2:$A$1032,0))</f>
        <v>#N/A</v>
      </c>
      <c r="R138" t="e">
        <f>INDEX(Items!D$2:D$1032,MATCH($O138,Items!$A$2:$A$1032,0))</f>
        <v>#N/A</v>
      </c>
    </row>
    <row r="139" spans="1:18" x14ac:dyDescent="0.25">
      <c r="A139">
        <f t="shared" si="14"/>
        <v>1</v>
      </c>
      <c r="B139" t="str">
        <f t="shared" si="17"/>
        <v/>
      </c>
      <c r="C139">
        <f t="shared" si="18"/>
        <v>1</v>
      </c>
      <c r="D139" s="4"/>
      <c r="E139" t="s">
        <v>18</v>
      </c>
      <c r="F139" t="str">
        <f>INDEX(Establishment!B$2:B$1005,MATCH($E139,Establishment!$A$2:$A$1005,0))</f>
        <v xml:space="preserve"> </v>
      </c>
      <c r="G139" t="str">
        <f>INDEX(Establishment!C$2:C$1005,MATCH($E139,Establishment!$A$2:$A$1005,0))</f>
        <v xml:space="preserve"> </v>
      </c>
      <c r="M139">
        <f t="shared" si="16"/>
        <v>0</v>
      </c>
      <c r="N139">
        <f t="shared" si="15"/>
        <v>0</v>
      </c>
      <c r="P139" t="e">
        <f>INDEX(Items!B$2:B$1032,MATCH($O139,Items!$A$2:$A$1032,0))</f>
        <v>#N/A</v>
      </c>
      <c r="Q139" t="e">
        <f>INDEX(Items!C$2:C$1032,MATCH($O139,Items!$A$2:$A$1032,0))</f>
        <v>#N/A</v>
      </c>
      <c r="R139" t="e">
        <f>INDEX(Items!D$2:D$1032,MATCH($O139,Items!$A$2:$A$1032,0))</f>
        <v>#N/A</v>
      </c>
    </row>
    <row r="140" spans="1:18" x14ac:dyDescent="0.25">
      <c r="A140">
        <f t="shared" si="14"/>
        <v>1</v>
      </c>
      <c r="B140" t="str">
        <f t="shared" si="17"/>
        <v/>
      </c>
      <c r="C140">
        <f t="shared" si="18"/>
        <v>1</v>
      </c>
      <c r="D140" s="4"/>
      <c r="E140" t="s">
        <v>18</v>
      </c>
      <c r="F140" t="str">
        <f>INDEX(Establishment!B$2:B$1005,MATCH($E140,Establishment!$A$2:$A$1005,0))</f>
        <v xml:space="preserve"> </v>
      </c>
      <c r="G140" t="str">
        <f>INDEX(Establishment!C$2:C$1005,MATCH($E140,Establishment!$A$2:$A$1005,0))</f>
        <v xml:space="preserve"> </v>
      </c>
      <c r="M140">
        <f t="shared" si="16"/>
        <v>0</v>
      </c>
      <c r="N140">
        <f t="shared" si="15"/>
        <v>0</v>
      </c>
      <c r="P140" t="e">
        <f>INDEX(Items!B$2:B$1032,MATCH($O140,Items!$A$2:$A$1032,0))</f>
        <v>#N/A</v>
      </c>
      <c r="Q140" t="e">
        <f>INDEX(Items!C$2:C$1032,MATCH($O140,Items!$A$2:$A$1032,0))</f>
        <v>#N/A</v>
      </c>
      <c r="R140" t="e">
        <f>INDEX(Items!D$2:D$1032,MATCH($O140,Items!$A$2:$A$1032,0))</f>
        <v>#N/A</v>
      </c>
    </row>
    <row r="141" spans="1:18" x14ac:dyDescent="0.25">
      <c r="A141">
        <f t="shared" si="14"/>
        <v>1</v>
      </c>
      <c r="B141" t="str">
        <f t="shared" si="17"/>
        <v/>
      </c>
      <c r="C141">
        <f t="shared" si="18"/>
        <v>1</v>
      </c>
      <c r="D141" s="4"/>
      <c r="E141" t="s">
        <v>18</v>
      </c>
      <c r="F141" t="str">
        <f>INDEX(Establishment!B$2:B$1005,MATCH($E141,Establishment!$A$2:$A$1005,0))</f>
        <v xml:space="preserve"> </v>
      </c>
      <c r="G141" t="str">
        <f>INDEX(Establishment!C$2:C$1005,MATCH($E141,Establishment!$A$2:$A$1005,0))</f>
        <v xml:space="preserve"> </v>
      </c>
      <c r="M141">
        <f t="shared" si="16"/>
        <v>0</v>
      </c>
      <c r="N141">
        <f t="shared" si="15"/>
        <v>0</v>
      </c>
      <c r="P141" t="e">
        <f>INDEX(Items!B$2:B$1032,MATCH($O141,Items!$A$2:$A$1032,0))</f>
        <v>#N/A</v>
      </c>
      <c r="Q141" t="e">
        <f>INDEX(Items!C$2:C$1032,MATCH($O141,Items!$A$2:$A$1032,0))</f>
        <v>#N/A</v>
      </c>
      <c r="R141" t="e">
        <f>INDEX(Items!D$2:D$1032,MATCH($O141,Items!$A$2:$A$1032,0))</f>
        <v>#N/A</v>
      </c>
    </row>
    <row r="142" spans="1:18" x14ac:dyDescent="0.25">
      <c r="A142">
        <f t="shared" si="14"/>
        <v>1</v>
      </c>
      <c r="B142" t="str">
        <f t="shared" si="17"/>
        <v/>
      </c>
      <c r="C142">
        <f t="shared" si="18"/>
        <v>1</v>
      </c>
      <c r="D142" s="4"/>
      <c r="E142" t="s">
        <v>18</v>
      </c>
      <c r="F142" t="str">
        <f>INDEX(Establishment!B$2:B$1005,MATCH($E142,Establishment!$A$2:$A$1005,0))</f>
        <v xml:space="preserve"> </v>
      </c>
      <c r="G142" t="str">
        <f>INDEX(Establishment!C$2:C$1005,MATCH($E142,Establishment!$A$2:$A$1005,0))</f>
        <v xml:space="preserve"> </v>
      </c>
      <c r="M142">
        <f t="shared" si="16"/>
        <v>0</v>
      </c>
      <c r="N142">
        <f t="shared" si="15"/>
        <v>0</v>
      </c>
      <c r="P142" t="e">
        <f>INDEX(Items!B$2:B$1032,MATCH($O142,Items!$A$2:$A$1032,0))</f>
        <v>#N/A</v>
      </c>
      <c r="Q142" t="e">
        <f>INDEX(Items!C$2:C$1032,MATCH($O142,Items!$A$2:$A$1032,0))</f>
        <v>#N/A</v>
      </c>
      <c r="R142" t="e">
        <f>INDEX(Items!D$2:D$1032,MATCH($O142,Items!$A$2:$A$1032,0))</f>
        <v>#N/A</v>
      </c>
    </row>
    <row r="143" spans="1:18" x14ac:dyDescent="0.25">
      <c r="A143">
        <f t="shared" si="14"/>
        <v>1</v>
      </c>
      <c r="B143" t="str">
        <f t="shared" si="17"/>
        <v/>
      </c>
      <c r="C143">
        <f t="shared" si="18"/>
        <v>1</v>
      </c>
      <c r="D143" s="4"/>
      <c r="E143" t="s">
        <v>18</v>
      </c>
      <c r="F143" t="str">
        <f>INDEX(Establishment!B$2:B$1005,MATCH($E143,Establishment!$A$2:$A$1005,0))</f>
        <v xml:space="preserve"> </v>
      </c>
      <c r="G143" t="str">
        <f>INDEX(Establishment!C$2:C$1005,MATCH($E143,Establishment!$A$2:$A$1005,0))</f>
        <v xml:space="preserve"> </v>
      </c>
      <c r="M143">
        <f t="shared" si="16"/>
        <v>0</v>
      </c>
      <c r="N143">
        <f t="shared" si="15"/>
        <v>0</v>
      </c>
      <c r="P143" t="e">
        <f>INDEX(Items!B$2:B$1032,MATCH($O143,Items!$A$2:$A$1032,0))</f>
        <v>#N/A</v>
      </c>
      <c r="Q143" t="e">
        <f>INDEX(Items!C$2:C$1032,MATCH($O143,Items!$A$2:$A$1032,0))</f>
        <v>#N/A</v>
      </c>
      <c r="R143" t="e">
        <f>INDEX(Items!D$2:D$1032,MATCH($O143,Items!$A$2:$A$1032,0))</f>
        <v>#N/A</v>
      </c>
    </row>
    <row r="144" spans="1:18" x14ac:dyDescent="0.25">
      <c r="A144">
        <f t="shared" si="14"/>
        <v>1</v>
      </c>
      <c r="B144" t="str">
        <f t="shared" si="17"/>
        <v/>
      </c>
      <c r="C144">
        <f t="shared" si="18"/>
        <v>1</v>
      </c>
      <c r="D144" s="4"/>
      <c r="E144" t="s">
        <v>18</v>
      </c>
      <c r="F144" t="str">
        <f>INDEX(Establishment!B$2:B$1005,MATCH($E144,Establishment!$A$2:$A$1005,0))</f>
        <v xml:space="preserve"> </v>
      </c>
      <c r="G144" t="str">
        <f>INDEX(Establishment!C$2:C$1005,MATCH($E144,Establishment!$A$2:$A$1005,0))</f>
        <v xml:space="preserve"> </v>
      </c>
      <c r="M144">
        <f t="shared" si="16"/>
        <v>0</v>
      </c>
      <c r="N144">
        <f t="shared" si="15"/>
        <v>0</v>
      </c>
      <c r="P144" t="e">
        <f>INDEX(Items!B$2:B$1032,MATCH($O144,Items!$A$2:$A$1032,0))</f>
        <v>#N/A</v>
      </c>
      <c r="Q144" t="e">
        <f>INDEX(Items!C$2:C$1032,MATCH($O144,Items!$A$2:$A$1032,0))</f>
        <v>#N/A</v>
      </c>
      <c r="R144" t="e">
        <f>INDEX(Items!D$2:D$1032,MATCH($O144,Items!$A$2:$A$1032,0))</f>
        <v>#N/A</v>
      </c>
    </row>
    <row r="145" spans="1:18" x14ac:dyDescent="0.25">
      <c r="A145">
        <f t="shared" si="14"/>
        <v>1</v>
      </c>
      <c r="B145" t="str">
        <f t="shared" si="17"/>
        <v/>
      </c>
      <c r="C145">
        <f t="shared" si="18"/>
        <v>1</v>
      </c>
      <c r="D145" s="4"/>
      <c r="E145" t="s">
        <v>18</v>
      </c>
      <c r="F145" t="str">
        <f>INDEX(Establishment!B$2:B$1005,MATCH($E145,Establishment!$A$2:$A$1005,0))</f>
        <v xml:space="preserve"> </v>
      </c>
      <c r="G145" t="str">
        <f>INDEX(Establishment!C$2:C$1005,MATCH($E145,Establishment!$A$2:$A$1005,0))</f>
        <v xml:space="preserve"> </v>
      </c>
      <c r="M145">
        <f t="shared" si="16"/>
        <v>0</v>
      </c>
      <c r="N145">
        <f t="shared" si="15"/>
        <v>0</v>
      </c>
      <c r="P145" t="e">
        <f>INDEX(Items!B$2:B$1032,MATCH($O145,Items!$A$2:$A$1032,0))</f>
        <v>#N/A</v>
      </c>
      <c r="Q145" t="e">
        <f>INDEX(Items!C$2:C$1032,MATCH($O145,Items!$A$2:$A$1032,0))</f>
        <v>#N/A</v>
      </c>
      <c r="R145" t="e">
        <f>INDEX(Items!D$2:D$1032,MATCH($O145,Items!$A$2:$A$1032,0))</f>
        <v>#N/A</v>
      </c>
    </row>
    <row r="146" spans="1:18" x14ac:dyDescent="0.25">
      <c r="A146">
        <f t="shared" si="14"/>
        <v>1</v>
      </c>
      <c r="B146" t="str">
        <f t="shared" si="17"/>
        <v/>
      </c>
      <c r="C146">
        <f t="shared" si="18"/>
        <v>1</v>
      </c>
      <c r="D146" s="4"/>
      <c r="E146" t="s">
        <v>18</v>
      </c>
      <c r="F146" t="str">
        <f>INDEX(Establishment!B$2:B$1005,MATCH($E146,Establishment!$A$2:$A$1005,0))</f>
        <v xml:space="preserve"> </v>
      </c>
      <c r="G146" t="str">
        <f>INDEX(Establishment!C$2:C$1005,MATCH($E146,Establishment!$A$2:$A$1005,0))</f>
        <v xml:space="preserve"> </v>
      </c>
      <c r="M146">
        <f t="shared" si="16"/>
        <v>0</v>
      </c>
      <c r="N146">
        <f t="shared" si="15"/>
        <v>0</v>
      </c>
      <c r="P146" t="e">
        <f>INDEX(Items!B$2:B$1032,MATCH($O146,Items!$A$2:$A$1032,0))</f>
        <v>#N/A</v>
      </c>
      <c r="Q146" t="e">
        <f>INDEX(Items!C$2:C$1032,MATCH($O146,Items!$A$2:$A$1032,0))</f>
        <v>#N/A</v>
      </c>
      <c r="R146" t="e">
        <f>INDEX(Items!D$2:D$1032,MATCH($O146,Items!$A$2:$A$1032,0))</f>
        <v>#N/A</v>
      </c>
    </row>
    <row r="147" spans="1:18" x14ac:dyDescent="0.25">
      <c r="A147">
        <f t="shared" si="14"/>
        <v>1</v>
      </c>
      <c r="B147" t="str">
        <f t="shared" si="17"/>
        <v/>
      </c>
      <c r="C147">
        <f t="shared" si="18"/>
        <v>1</v>
      </c>
      <c r="D147" s="4"/>
      <c r="E147" t="s">
        <v>18</v>
      </c>
      <c r="F147" t="str">
        <f>INDEX(Establishment!B$2:B$1005,MATCH($E147,Establishment!$A$2:$A$1005,0))</f>
        <v xml:space="preserve"> </v>
      </c>
      <c r="G147" t="str">
        <f>INDEX(Establishment!C$2:C$1005,MATCH($E147,Establishment!$A$2:$A$1005,0))</f>
        <v xml:space="preserve"> </v>
      </c>
      <c r="M147">
        <f t="shared" si="16"/>
        <v>0</v>
      </c>
      <c r="N147">
        <f t="shared" si="15"/>
        <v>0</v>
      </c>
      <c r="P147" t="e">
        <f>INDEX(Items!B$2:B$1032,MATCH($O147,Items!$A$2:$A$1032,0))</f>
        <v>#N/A</v>
      </c>
      <c r="Q147" t="e">
        <f>INDEX(Items!C$2:C$1032,MATCH($O147,Items!$A$2:$A$1032,0))</f>
        <v>#N/A</v>
      </c>
      <c r="R147" t="e">
        <f>INDEX(Items!D$2:D$1032,MATCH($O147,Items!$A$2:$A$1032,0))</f>
        <v>#N/A</v>
      </c>
    </row>
    <row r="148" spans="1:18" x14ac:dyDescent="0.25">
      <c r="A148">
        <f t="shared" si="14"/>
        <v>1</v>
      </c>
      <c r="B148" t="str">
        <f t="shared" si="17"/>
        <v/>
      </c>
      <c r="C148">
        <f t="shared" si="18"/>
        <v>1</v>
      </c>
      <c r="D148" s="4"/>
      <c r="E148" t="s">
        <v>18</v>
      </c>
      <c r="F148" t="str">
        <f>INDEX(Establishment!B$2:B$1005,MATCH($E148,Establishment!$A$2:$A$1005,0))</f>
        <v xml:space="preserve"> </v>
      </c>
      <c r="G148" t="str">
        <f>INDEX(Establishment!C$2:C$1005,MATCH($E148,Establishment!$A$2:$A$1005,0))</f>
        <v xml:space="preserve"> </v>
      </c>
      <c r="M148">
        <f t="shared" si="16"/>
        <v>0</v>
      </c>
      <c r="N148">
        <f t="shared" si="15"/>
        <v>0</v>
      </c>
      <c r="P148" t="e">
        <f>INDEX(Items!B$2:B$1032,MATCH($O148,Items!$A$2:$A$1032,0))</f>
        <v>#N/A</v>
      </c>
      <c r="Q148" t="e">
        <f>INDEX(Items!C$2:C$1032,MATCH($O148,Items!$A$2:$A$1032,0))</f>
        <v>#N/A</v>
      </c>
      <c r="R148" t="e">
        <f>INDEX(Items!D$2:D$1032,MATCH($O148,Items!$A$2:$A$1032,0))</f>
        <v>#N/A</v>
      </c>
    </row>
    <row r="149" spans="1:18" x14ac:dyDescent="0.25">
      <c r="A149">
        <f t="shared" si="14"/>
        <v>1</v>
      </c>
      <c r="B149" t="str">
        <f t="shared" si="17"/>
        <v/>
      </c>
      <c r="C149">
        <f t="shared" si="18"/>
        <v>1</v>
      </c>
      <c r="D149" s="4"/>
      <c r="E149" t="s">
        <v>18</v>
      </c>
      <c r="F149" t="str">
        <f>INDEX(Establishment!B$2:B$1005,MATCH($E149,Establishment!$A$2:$A$1005,0))</f>
        <v xml:space="preserve"> </v>
      </c>
      <c r="G149" t="str">
        <f>INDEX(Establishment!C$2:C$1005,MATCH($E149,Establishment!$A$2:$A$1005,0))</f>
        <v xml:space="preserve"> </v>
      </c>
      <c r="M149">
        <f t="shared" si="16"/>
        <v>0</v>
      </c>
      <c r="N149">
        <f t="shared" si="15"/>
        <v>0</v>
      </c>
      <c r="P149" t="e">
        <f>INDEX(Items!B$2:B$1032,MATCH($O149,Items!$A$2:$A$1032,0))</f>
        <v>#N/A</v>
      </c>
      <c r="Q149" t="e">
        <f>INDEX(Items!C$2:C$1032,MATCH($O149,Items!$A$2:$A$1032,0))</f>
        <v>#N/A</v>
      </c>
      <c r="R149" t="e">
        <f>INDEX(Items!D$2:D$1032,MATCH($O149,Items!$A$2:$A$1032,0))</f>
        <v>#N/A</v>
      </c>
    </row>
    <row r="150" spans="1:18" x14ac:dyDescent="0.25">
      <c r="A150">
        <f t="shared" si="14"/>
        <v>1</v>
      </c>
      <c r="B150" t="str">
        <f t="shared" si="17"/>
        <v/>
      </c>
      <c r="C150">
        <f t="shared" si="18"/>
        <v>1</v>
      </c>
      <c r="D150" s="4"/>
      <c r="E150" t="s">
        <v>18</v>
      </c>
      <c r="F150" t="str">
        <f>INDEX(Establishment!B$2:B$1005,MATCH($E150,Establishment!$A$2:$A$1005,0))</f>
        <v xml:space="preserve"> </v>
      </c>
      <c r="G150" t="str">
        <f>INDEX(Establishment!C$2:C$1005,MATCH($E150,Establishment!$A$2:$A$1005,0))</f>
        <v xml:space="preserve"> </v>
      </c>
      <c r="M150">
        <f t="shared" si="16"/>
        <v>0</v>
      </c>
      <c r="N150">
        <f t="shared" si="15"/>
        <v>0</v>
      </c>
      <c r="P150" t="e">
        <f>INDEX(Items!B$2:B$1032,MATCH($O150,Items!$A$2:$A$1032,0))</f>
        <v>#N/A</v>
      </c>
      <c r="Q150" t="e">
        <f>INDEX(Items!C$2:C$1032,MATCH($O150,Items!$A$2:$A$1032,0))</f>
        <v>#N/A</v>
      </c>
      <c r="R150" t="e">
        <f>INDEX(Items!D$2:D$1032,MATCH($O150,Items!$A$2:$A$1032,0))</f>
        <v>#N/A</v>
      </c>
    </row>
    <row r="151" spans="1:18" x14ac:dyDescent="0.25">
      <c r="A151">
        <f t="shared" si="14"/>
        <v>1</v>
      </c>
      <c r="B151" t="str">
        <f t="shared" si="17"/>
        <v/>
      </c>
      <c r="C151">
        <f t="shared" si="18"/>
        <v>1</v>
      </c>
      <c r="D151" s="4"/>
      <c r="E151" t="s">
        <v>18</v>
      </c>
      <c r="F151" t="str">
        <f>INDEX(Establishment!B$2:B$1005,MATCH($E151,Establishment!$A$2:$A$1005,0))</f>
        <v xml:space="preserve"> </v>
      </c>
      <c r="G151" t="str">
        <f>INDEX(Establishment!C$2:C$1005,MATCH($E151,Establishment!$A$2:$A$1005,0))</f>
        <v xml:space="preserve"> </v>
      </c>
      <c r="M151">
        <f t="shared" si="16"/>
        <v>0</v>
      </c>
      <c r="N151">
        <f t="shared" si="15"/>
        <v>0</v>
      </c>
      <c r="P151" t="e">
        <f>INDEX(Items!B$2:B$1032,MATCH($O151,Items!$A$2:$A$1032,0))</f>
        <v>#N/A</v>
      </c>
      <c r="Q151" t="e">
        <f>INDEX(Items!C$2:C$1032,MATCH($O151,Items!$A$2:$A$1032,0))</f>
        <v>#N/A</v>
      </c>
      <c r="R151" t="e">
        <f>INDEX(Items!D$2:D$1032,MATCH($O151,Items!$A$2:$A$1032,0))</f>
        <v>#N/A</v>
      </c>
    </row>
    <row r="152" spans="1:18" x14ac:dyDescent="0.25">
      <c r="A152">
        <f t="shared" si="14"/>
        <v>1</v>
      </c>
      <c r="B152" t="str">
        <f t="shared" si="17"/>
        <v/>
      </c>
      <c r="C152">
        <f t="shared" si="18"/>
        <v>1</v>
      </c>
      <c r="D152" s="4"/>
      <c r="E152" t="s">
        <v>18</v>
      </c>
      <c r="F152" t="str">
        <f>INDEX(Establishment!B$2:B$1005,MATCH($E152,Establishment!$A$2:$A$1005,0))</f>
        <v xml:space="preserve"> </v>
      </c>
      <c r="G152" t="str">
        <f>INDEX(Establishment!C$2:C$1005,MATCH($E152,Establishment!$A$2:$A$1005,0))</f>
        <v xml:space="preserve"> </v>
      </c>
      <c r="M152">
        <f t="shared" si="16"/>
        <v>0</v>
      </c>
      <c r="N152">
        <f t="shared" si="15"/>
        <v>0</v>
      </c>
      <c r="P152" t="e">
        <f>INDEX(Items!B$2:B$1032,MATCH($O152,Items!$A$2:$A$1032,0))</f>
        <v>#N/A</v>
      </c>
      <c r="Q152" t="e">
        <f>INDEX(Items!C$2:C$1032,MATCH($O152,Items!$A$2:$A$1032,0))</f>
        <v>#N/A</v>
      </c>
      <c r="R152" t="e">
        <f>INDEX(Items!D$2:D$1032,MATCH($O152,Items!$A$2:$A$1032,0))</f>
        <v>#N/A</v>
      </c>
    </row>
    <row r="153" spans="1:18" x14ac:dyDescent="0.25">
      <c r="A153">
        <f t="shared" si="14"/>
        <v>1</v>
      </c>
      <c r="B153" t="str">
        <f t="shared" si="17"/>
        <v/>
      </c>
      <c r="C153">
        <f t="shared" si="18"/>
        <v>1</v>
      </c>
      <c r="D153" s="4"/>
      <c r="E153" t="s">
        <v>18</v>
      </c>
      <c r="F153" t="str">
        <f>INDEX(Establishment!B$2:B$1005,MATCH($E153,Establishment!$A$2:$A$1005,0))</f>
        <v xml:space="preserve"> </v>
      </c>
      <c r="G153" t="str">
        <f>INDEX(Establishment!C$2:C$1005,MATCH($E153,Establishment!$A$2:$A$1005,0))</f>
        <v xml:space="preserve"> </v>
      </c>
      <c r="M153">
        <f t="shared" si="16"/>
        <v>0</v>
      </c>
      <c r="N153">
        <f t="shared" si="15"/>
        <v>0</v>
      </c>
      <c r="P153" t="e">
        <f>INDEX(Items!B$2:B$1032,MATCH($O153,Items!$A$2:$A$1032,0))</f>
        <v>#N/A</v>
      </c>
      <c r="Q153" t="e">
        <f>INDEX(Items!C$2:C$1032,MATCH($O153,Items!$A$2:$A$1032,0))</f>
        <v>#N/A</v>
      </c>
      <c r="R153" t="e">
        <f>INDEX(Items!D$2:D$1032,MATCH($O153,Items!$A$2:$A$1032,0))</f>
        <v>#N/A</v>
      </c>
    </row>
    <row r="154" spans="1:18" x14ac:dyDescent="0.25">
      <c r="A154">
        <f t="shared" si="14"/>
        <v>1</v>
      </c>
      <c r="B154" t="str">
        <f t="shared" si="17"/>
        <v/>
      </c>
      <c r="C154">
        <f t="shared" si="18"/>
        <v>1</v>
      </c>
      <c r="D154" s="4"/>
      <c r="E154" t="s">
        <v>18</v>
      </c>
      <c r="F154" t="str">
        <f>INDEX(Establishment!B$2:B$1005,MATCH($E154,Establishment!$A$2:$A$1005,0))</f>
        <v xml:space="preserve"> </v>
      </c>
      <c r="G154" t="str">
        <f>INDEX(Establishment!C$2:C$1005,MATCH($E154,Establishment!$A$2:$A$1005,0))</f>
        <v xml:space="preserve"> </v>
      </c>
      <c r="M154">
        <f t="shared" si="16"/>
        <v>0</v>
      </c>
      <c r="N154">
        <f t="shared" si="15"/>
        <v>0</v>
      </c>
      <c r="P154" t="e">
        <f>INDEX(Items!B$2:B$1032,MATCH($O154,Items!$A$2:$A$1032,0))</f>
        <v>#N/A</v>
      </c>
      <c r="Q154" t="e">
        <f>INDEX(Items!C$2:C$1032,MATCH($O154,Items!$A$2:$A$1032,0))</f>
        <v>#N/A</v>
      </c>
      <c r="R154" t="e">
        <f>INDEX(Items!D$2:D$1032,MATCH($O154,Items!$A$2:$A$1032,0))</f>
        <v>#N/A</v>
      </c>
    </row>
    <row r="155" spans="1:18" x14ac:dyDescent="0.25">
      <c r="A155">
        <f t="shared" si="14"/>
        <v>1</v>
      </c>
      <c r="B155" t="str">
        <f t="shared" si="17"/>
        <v/>
      </c>
      <c r="C155">
        <f t="shared" si="18"/>
        <v>1</v>
      </c>
      <c r="D155" s="4"/>
      <c r="E155" t="s">
        <v>18</v>
      </c>
      <c r="F155" t="str">
        <f>INDEX(Establishment!B$2:B$1005,MATCH($E155,Establishment!$A$2:$A$1005,0))</f>
        <v xml:space="preserve"> </v>
      </c>
      <c r="G155" t="str">
        <f>INDEX(Establishment!C$2:C$1005,MATCH($E155,Establishment!$A$2:$A$1005,0))</f>
        <v xml:space="preserve"> </v>
      </c>
      <c r="M155">
        <f t="shared" si="16"/>
        <v>0</v>
      </c>
      <c r="N155">
        <f t="shared" si="15"/>
        <v>0</v>
      </c>
      <c r="P155" t="e">
        <f>INDEX(Items!B$2:B$1032,MATCH($O155,Items!$A$2:$A$1032,0))</f>
        <v>#N/A</v>
      </c>
      <c r="Q155" t="e">
        <f>INDEX(Items!C$2:C$1032,MATCH($O155,Items!$A$2:$A$1032,0))</f>
        <v>#N/A</v>
      </c>
      <c r="R155" t="e">
        <f>INDEX(Items!D$2:D$1032,MATCH($O155,Items!$A$2:$A$1032,0))</f>
        <v>#N/A</v>
      </c>
    </row>
    <row r="156" spans="1:18" x14ac:dyDescent="0.25">
      <c r="A156">
        <f t="shared" si="14"/>
        <v>1</v>
      </c>
      <c r="B156" t="str">
        <f t="shared" si="17"/>
        <v/>
      </c>
      <c r="C156">
        <f t="shared" si="18"/>
        <v>1</v>
      </c>
      <c r="D156" s="4"/>
      <c r="E156" t="s">
        <v>18</v>
      </c>
      <c r="F156" t="str">
        <f>INDEX(Establishment!B$2:B$1005,MATCH($E156,Establishment!$A$2:$A$1005,0))</f>
        <v xml:space="preserve"> </v>
      </c>
      <c r="G156" t="str">
        <f>INDEX(Establishment!C$2:C$1005,MATCH($E156,Establishment!$A$2:$A$1005,0))</f>
        <v xml:space="preserve"> </v>
      </c>
      <c r="M156">
        <f t="shared" si="16"/>
        <v>0</v>
      </c>
      <c r="N156">
        <f t="shared" si="15"/>
        <v>0</v>
      </c>
      <c r="P156" t="e">
        <f>INDEX(Items!B$2:B$1032,MATCH($O156,Items!$A$2:$A$1032,0))</f>
        <v>#N/A</v>
      </c>
      <c r="Q156" t="e">
        <f>INDEX(Items!C$2:C$1032,MATCH($O156,Items!$A$2:$A$1032,0))</f>
        <v>#N/A</v>
      </c>
      <c r="R156" t="e">
        <f>INDEX(Items!D$2:D$1032,MATCH($O156,Items!$A$2:$A$1032,0))</f>
        <v>#N/A</v>
      </c>
    </row>
    <row r="157" spans="1:18" x14ac:dyDescent="0.25">
      <c r="A157">
        <f t="shared" si="14"/>
        <v>1</v>
      </c>
      <c r="B157" t="str">
        <f t="shared" si="17"/>
        <v/>
      </c>
      <c r="C157">
        <f t="shared" si="18"/>
        <v>1</v>
      </c>
      <c r="D157" s="4"/>
      <c r="E157" t="s">
        <v>18</v>
      </c>
      <c r="F157" t="str">
        <f>INDEX(Establishment!B$2:B$1005,MATCH($E157,Establishment!$A$2:$A$1005,0))</f>
        <v xml:space="preserve"> </v>
      </c>
      <c r="G157" t="str">
        <f>INDEX(Establishment!C$2:C$1005,MATCH($E157,Establishment!$A$2:$A$1005,0))</f>
        <v xml:space="preserve"> </v>
      </c>
      <c r="M157">
        <f t="shared" si="16"/>
        <v>0</v>
      </c>
      <c r="N157">
        <f t="shared" si="15"/>
        <v>0</v>
      </c>
      <c r="P157" t="e">
        <f>INDEX(Items!B$2:B$1032,MATCH($O157,Items!$A$2:$A$1032,0))</f>
        <v>#N/A</v>
      </c>
      <c r="Q157" t="e">
        <f>INDEX(Items!C$2:C$1032,MATCH($O157,Items!$A$2:$A$1032,0))</f>
        <v>#N/A</v>
      </c>
      <c r="R157" t="e">
        <f>INDEX(Items!D$2:D$1032,MATCH($O157,Items!$A$2:$A$1032,0))</f>
        <v>#N/A</v>
      </c>
    </row>
    <row r="158" spans="1:18" x14ac:dyDescent="0.25">
      <c r="A158">
        <f t="shared" si="14"/>
        <v>1</v>
      </c>
      <c r="B158" t="str">
        <f t="shared" si="17"/>
        <v/>
      </c>
      <c r="C158">
        <f t="shared" si="18"/>
        <v>1</v>
      </c>
      <c r="D158" s="4"/>
      <c r="E158" t="s">
        <v>18</v>
      </c>
      <c r="F158" t="str">
        <f>INDEX(Establishment!B$2:B$1005,MATCH($E158,Establishment!$A$2:$A$1005,0))</f>
        <v xml:space="preserve"> </v>
      </c>
      <c r="G158" t="str">
        <f>INDEX(Establishment!C$2:C$1005,MATCH($E158,Establishment!$A$2:$A$1005,0))</f>
        <v xml:space="preserve"> </v>
      </c>
      <c r="M158">
        <f t="shared" si="16"/>
        <v>0</v>
      </c>
      <c r="N158">
        <f t="shared" si="15"/>
        <v>0</v>
      </c>
      <c r="P158" t="e">
        <f>INDEX(Items!B$2:B$1032,MATCH($O158,Items!$A$2:$A$1032,0))</f>
        <v>#N/A</v>
      </c>
      <c r="Q158" t="e">
        <f>INDEX(Items!C$2:C$1032,MATCH($O158,Items!$A$2:$A$1032,0))</f>
        <v>#N/A</v>
      </c>
      <c r="R158" t="e">
        <f>INDEX(Items!D$2:D$1032,MATCH($O158,Items!$A$2:$A$1032,0))</f>
        <v>#N/A</v>
      </c>
    </row>
    <row r="159" spans="1:18" x14ac:dyDescent="0.25">
      <c r="A159">
        <f t="shared" si="14"/>
        <v>1</v>
      </c>
      <c r="B159" t="str">
        <f t="shared" si="17"/>
        <v/>
      </c>
      <c r="C159">
        <f t="shared" si="18"/>
        <v>1</v>
      </c>
      <c r="D159" s="4"/>
      <c r="E159" t="s">
        <v>18</v>
      </c>
      <c r="F159" t="str">
        <f>INDEX(Establishment!B$2:B$1005,MATCH($E159,Establishment!$A$2:$A$1005,0))</f>
        <v xml:space="preserve"> </v>
      </c>
      <c r="G159" t="str">
        <f>INDEX(Establishment!C$2:C$1005,MATCH($E159,Establishment!$A$2:$A$1005,0))</f>
        <v xml:space="preserve"> </v>
      </c>
      <c r="M159">
        <f t="shared" si="16"/>
        <v>0</v>
      </c>
      <c r="N159">
        <f t="shared" si="15"/>
        <v>0</v>
      </c>
      <c r="P159" t="e">
        <f>INDEX(Items!B$2:B$1032,MATCH($O159,Items!$A$2:$A$1032,0))</f>
        <v>#N/A</v>
      </c>
      <c r="Q159" t="e">
        <f>INDEX(Items!C$2:C$1032,MATCH($O159,Items!$A$2:$A$1032,0))</f>
        <v>#N/A</v>
      </c>
      <c r="R159" t="e">
        <f>INDEX(Items!D$2:D$1032,MATCH($O159,Items!$A$2:$A$1032,0))</f>
        <v>#N/A</v>
      </c>
    </row>
    <row r="160" spans="1:18" x14ac:dyDescent="0.25">
      <c r="A160">
        <f t="shared" si="14"/>
        <v>1</v>
      </c>
      <c r="B160" t="str">
        <f t="shared" si="17"/>
        <v/>
      </c>
      <c r="C160">
        <f t="shared" si="18"/>
        <v>1</v>
      </c>
      <c r="D160" s="4"/>
      <c r="E160" t="s">
        <v>18</v>
      </c>
      <c r="F160" t="str">
        <f>INDEX(Establishment!B$2:B$1005,MATCH($E160,Establishment!$A$2:$A$1005,0))</f>
        <v xml:space="preserve"> </v>
      </c>
      <c r="G160" t="str">
        <f>INDEX(Establishment!C$2:C$1005,MATCH($E160,Establishment!$A$2:$A$1005,0))</f>
        <v xml:space="preserve"> </v>
      </c>
      <c r="M160">
        <f t="shared" si="16"/>
        <v>0</v>
      </c>
      <c r="N160">
        <f t="shared" si="15"/>
        <v>0</v>
      </c>
      <c r="P160" t="e">
        <f>INDEX(Items!B$2:B$1032,MATCH($O160,Items!$A$2:$A$1032,0))</f>
        <v>#N/A</v>
      </c>
      <c r="Q160" t="e">
        <f>INDEX(Items!C$2:C$1032,MATCH($O160,Items!$A$2:$A$1032,0))</f>
        <v>#N/A</v>
      </c>
      <c r="R160" t="e">
        <f>INDEX(Items!D$2:D$1032,MATCH($O160,Items!$A$2:$A$1032,0))</f>
        <v>#N/A</v>
      </c>
    </row>
    <row r="161" spans="1:18" x14ac:dyDescent="0.25">
      <c r="A161">
        <f t="shared" si="14"/>
        <v>1</v>
      </c>
      <c r="B161" t="str">
        <f t="shared" si="17"/>
        <v/>
      </c>
      <c r="C161">
        <f t="shared" si="18"/>
        <v>1</v>
      </c>
      <c r="D161" s="4"/>
      <c r="E161" t="s">
        <v>18</v>
      </c>
      <c r="F161" t="str">
        <f>INDEX(Establishment!B$2:B$1005,MATCH($E161,Establishment!$A$2:$A$1005,0))</f>
        <v xml:space="preserve"> </v>
      </c>
      <c r="G161" t="str">
        <f>INDEX(Establishment!C$2:C$1005,MATCH($E161,Establishment!$A$2:$A$1005,0))</f>
        <v xml:space="preserve"> </v>
      </c>
      <c r="M161">
        <f t="shared" si="16"/>
        <v>0</v>
      </c>
      <c r="N161">
        <f t="shared" si="15"/>
        <v>0</v>
      </c>
      <c r="P161" t="e">
        <f>INDEX(Items!B$2:B$1032,MATCH($O161,Items!$A$2:$A$1032,0))</f>
        <v>#N/A</v>
      </c>
      <c r="Q161" t="e">
        <f>INDEX(Items!C$2:C$1032,MATCH($O161,Items!$A$2:$A$1032,0))</f>
        <v>#N/A</v>
      </c>
      <c r="R161" t="e">
        <f>INDEX(Items!D$2:D$1032,MATCH($O161,Items!$A$2:$A$1032,0))</f>
        <v>#N/A</v>
      </c>
    </row>
    <row r="162" spans="1:18" x14ac:dyDescent="0.25">
      <c r="A162">
        <f t="shared" si="14"/>
        <v>1</v>
      </c>
      <c r="B162" t="str">
        <f t="shared" si="17"/>
        <v/>
      </c>
      <c r="C162">
        <f t="shared" si="18"/>
        <v>1</v>
      </c>
      <c r="D162" s="4"/>
      <c r="E162" t="s">
        <v>18</v>
      </c>
      <c r="F162" t="str">
        <f>INDEX(Establishment!B$2:B$1005,MATCH($E162,Establishment!$A$2:$A$1005,0))</f>
        <v xml:space="preserve"> </v>
      </c>
      <c r="G162" t="str">
        <f>INDEX(Establishment!C$2:C$1005,MATCH($E162,Establishment!$A$2:$A$1005,0))</f>
        <v xml:space="preserve"> </v>
      </c>
      <c r="M162">
        <f t="shared" si="16"/>
        <v>0</v>
      </c>
      <c r="N162">
        <f t="shared" si="15"/>
        <v>0</v>
      </c>
      <c r="P162" t="e">
        <f>INDEX(Items!B$2:B$1032,MATCH($O162,Items!$A$2:$A$1032,0))</f>
        <v>#N/A</v>
      </c>
      <c r="Q162" t="e">
        <f>INDEX(Items!C$2:C$1032,MATCH($O162,Items!$A$2:$A$1032,0))</f>
        <v>#N/A</v>
      </c>
      <c r="R162" t="e">
        <f>INDEX(Items!D$2:D$1032,MATCH($O162,Items!$A$2:$A$1032,0))</f>
        <v>#N/A</v>
      </c>
    </row>
    <row r="163" spans="1:18" x14ac:dyDescent="0.25">
      <c r="A163">
        <f t="shared" si="14"/>
        <v>1</v>
      </c>
      <c r="B163" t="str">
        <f t="shared" si="17"/>
        <v/>
      </c>
      <c r="C163">
        <f t="shared" si="18"/>
        <v>1</v>
      </c>
      <c r="D163" s="4"/>
      <c r="E163" t="s">
        <v>18</v>
      </c>
      <c r="F163" t="str">
        <f>INDEX(Establishment!B$2:B$1005,MATCH($E163,Establishment!$A$2:$A$1005,0))</f>
        <v xml:space="preserve"> </v>
      </c>
      <c r="G163" t="str">
        <f>INDEX(Establishment!C$2:C$1005,MATCH($E163,Establishment!$A$2:$A$1005,0))</f>
        <v xml:space="preserve"> </v>
      </c>
      <c r="M163">
        <f t="shared" si="16"/>
        <v>0</v>
      </c>
      <c r="N163">
        <f t="shared" si="15"/>
        <v>0</v>
      </c>
      <c r="P163" t="e">
        <f>INDEX(Items!B$2:B$1032,MATCH($O163,Items!$A$2:$A$1032,0))</f>
        <v>#N/A</v>
      </c>
      <c r="Q163" t="e">
        <f>INDEX(Items!C$2:C$1032,MATCH($O163,Items!$A$2:$A$1032,0))</f>
        <v>#N/A</v>
      </c>
      <c r="R163" t="e">
        <f>INDEX(Items!D$2:D$1032,MATCH($O163,Items!$A$2:$A$1032,0))</f>
        <v>#N/A</v>
      </c>
    </row>
    <row r="164" spans="1:18" x14ac:dyDescent="0.25">
      <c r="A164">
        <f t="shared" si="14"/>
        <v>1</v>
      </c>
      <c r="B164" t="str">
        <f t="shared" si="17"/>
        <v/>
      </c>
      <c r="C164">
        <f t="shared" si="18"/>
        <v>1</v>
      </c>
      <c r="D164" s="4"/>
      <c r="E164" t="s">
        <v>18</v>
      </c>
      <c r="F164" t="str">
        <f>INDEX(Establishment!B$2:B$1005,MATCH($E164,Establishment!$A$2:$A$1005,0))</f>
        <v xml:space="preserve"> </v>
      </c>
      <c r="G164" t="str">
        <f>INDEX(Establishment!C$2:C$1005,MATCH($E164,Establishment!$A$2:$A$1005,0))</f>
        <v xml:space="preserve"> </v>
      </c>
      <c r="M164">
        <f t="shared" si="16"/>
        <v>0</v>
      </c>
      <c r="N164">
        <f t="shared" si="15"/>
        <v>0</v>
      </c>
      <c r="P164" t="e">
        <f>INDEX(Items!B$2:B$1032,MATCH($O164,Items!$A$2:$A$1032,0))</f>
        <v>#N/A</v>
      </c>
      <c r="Q164" t="e">
        <f>INDEX(Items!C$2:C$1032,MATCH($O164,Items!$A$2:$A$1032,0))</f>
        <v>#N/A</v>
      </c>
      <c r="R164" t="e">
        <f>INDEX(Items!D$2:D$1032,MATCH($O164,Items!$A$2:$A$1032,0))</f>
        <v>#N/A</v>
      </c>
    </row>
    <row r="165" spans="1:18" x14ac:dyDescent="0.25">
      <c r="A165">
        <f t="shared" si="14"/>
        <v>1</v>
      </c>
      <c r="B165" t="str">
        <f t="shared" si="17"/>
        <v/>
      </c>
      <c r="C165">
        <f t="shared" si="18"/>
        <v>1</v>
      </c>
      <c r="D165" s="4"/>
      <c r="E165" t="s">
        <v>18</v>
      </c>
      <c r="F165" t="str">
        <f>INDEX(Establishment!B$2:B$1005,MATCH($E165,Establishment!$A$2:$A$1005,0))</f>
        <v xml:space="preserve"> </v>
      </c>
      <c r="G165" t="str">
        <f>INDEX(Establishment!C$2:C$1005,MATCH($E165,Establishment!$A$2:$A$1005,0))</f>
        <v xml:space="preserve"> </v>
      </c>
      <c r="M165">
        <f t="shared" si="16"/>
        <v>0</v>
      </c>
      <c r="N165">
        <f t="shared" si="15"/>
        <v>0</v>
      </c>
      <c r="P165" t="e">
        <f>INDEX(Items!B$2:B$1032,MATCH($O165,Items!$A$2:$A$1032,0))</f>
        <v>#N/A</v>
      </c>
      <c r="Q165" t="e">
        <f>INDEX(Items!C$2:C$1032,MATCH($O165,Items!$A$2:$A$1032,0))</f>
        <v>#N/A</v>
      </c>
      <c r="R165" t="e">
        <f>INDEX(Items!D$2:D$1032,MATCH($O165,Items!$A$2:$A$1032,0))</f>
        <v>#N/A</v>
      </c>
    </row>
    <row r="166" spans="1:18" x14ac:dyDescent="0.25">
      <c r="A166">
        <f t="shared" si="14"/>
        <v>1</v>
      </c>
      <c r="B166" t="str">
        <f t="shared" si="17"/>
        <v/>
      </c>
      <c r="C166">
        <f t="shared" si="18"/>
        <v>1</v>
      </c>
      <c r="D166" s="4"/>
      <c r="E166" t="s">
        <v>18</v>
      </c>
      <c r="F166" t="str">
        <f>INDEX(Establishment!B$2:B$1005,MATCH($E166,Establishment!$A$2:$A$1005,0))</f>
        <v xml:space="preserve"> </v>
      </c>
      <c r="G166" t="str">
        <f>INDEX(Establishment!C$2:C$1005,MATCH($E166,Establishment!$A$2:$A$1005,0))</f>
        <v xml:space="preserve"> </v>
      </c>
      <c r="M166">
        <f t="shared" si="16"/>
        <v>0</v>
      </c>
      <c r="N166">
        <f t="shared" si="15"/>
        <v>0</v>
      </c>
      <c r="P166" t="e">
        <f>INDEX(Items!B$2:B$1032,MATCH($O166,Items!$A$2:$A$1032,0))</f>
        <v>#N/A</v>
      </c>
      <c r="Q166" t="e">
        <f>INDEX(Items!C$2:C$1032,MATCH($O166,Items!$A$2:$A$1032,0))</f>
        <v>#N/A</v>
      </c>
      <c r="R166" t="e">
        <f>INDEX(Items!D$2:D$1032,MATCH($O166,Items!$A$2:$A$1032,0))</f>
        <v>#N/A</v>
      </c>
    </row>
    <row r="167" spans="1:18" x14ac:dyDescent="0.25">
      <c r="A167">
        <f t="shared" si="14"/>
        <v>1</v>
      </c>
      <c r="B167" t="str">
        <f t="shared" si="17"/>
        <v/>
      </c>
      <c r="C167">
        <f t="shared" si="18"/>
        <v>1</v>
      </c>
      <c r="D167" s="4"/>
      <c r="E167" t="s">
        <v>18</v>
      </c>
      <c r="F167" t="str">
        <f>INDEX(Establishment!B$2:B$1005,MATCH($E167,Establishment!$A$2:$A$1005,0))</f>
        <v xml:space="preserve"> </v>
      </c>
      <c r="G167" t="str">
        <f>INDEX(Establishment!C$2:C$1005,MATCH($E167,Establishment!$A$2:$A$1005,0))</f>
        <v xml:space="preserve"> </v>
      </c>
      <c r="M167">
        <f t="shared" si="16"/>
        <v>0</v>
      </c>
      <c r="N167">
        <f t="shared" si="15"/>
        <v>0</v>
      </c>
      <c r="P167" t="e">
        <f>INDEX(Items!B$2:B$1032,MATCH($O167,Items!$A$2:$A$1032,0))</f>
        <v>#N/A</v>
      </c>
      <c r="Q167" t="e">
        <f>INDEX(Items!C$2:C$1032,MATCH($O167,Items!$A$2:$A$1032,0))</f>
        <v>#N/A</v>
      </c>
      <c r="R167" t="e">
        <f>INDEX(Items!D$2:D$1032,MATCH($O167,Items!$A$2:$A$1032,0))</f>
        <v>#N/A</v>
      </c>
    </row>
    <row r="168" spans="1:18" x14ac:dyDescent="0.25">
      <c r="A168">
        <f t="shared" si="14"/>
        <v>1</v>
      </c>
      <c r="B168" t="str">
        <f t="shared" si="17"/>
        <v/>
      </c>
      <c r="C168">
        <f t="shared" si="18"/>
        <v>1</v>
      </c>
      <c r="D168" s="4"/>
      <c r="E168" t="s">
        <v>18</v>
      </c>
      <c r="F168" t="str">
        <f>INDEX(Establishment!B$2:B$1005,MATCH($E168,Establishment!$A$2:$A$1005,0))</f>
        <v xml:space="preserve"> </v>
      </c>
      <c r="G168" t="str">
        <f>INDEX(Establishment!C$2:C$1005,MATCH($E168,Establishment!$A$2:$A$1005,0))</f>
        <v xml:space="preserve"> </v>
      </c>
      <c r="M168">
        <f t="shared" si="16"/>
        <v>0</v>
      </c>
      <c r="N168">
        <f t="shared" si="15"/>
        <v>0</v>
      </c>
      <c r="P168" t="e">
        <f>INDEX(Items!B$2:B$1032,MATCH($O168,Items!$A$2:$A$1032,0))</f>
        <v>#N/A</v>
      </c>
      <c r="Q168" t="e">
        <f>INDEX(Items!C$2:C$1032,MATCH($O168,Items!$A$2:$A$1032,0))</f>
        <v>#N/A</v>
      </c>
      <c r="R168" t="e">
        <f>INDEX(Items!D$2:D$1032,MATCH($O168,Items!$A$2:$A$1032,0))</f>
        <v>#N/A</v>
      </c>
    </row>
    <row r="169" spans="1:18" x14ac:dyDescent="0.25">
      <c r="A169">
        <f t="shared" si="14"/>
        <v>1</v>
      </c>
      <c r="B169" t="str">
        <f t="shared" si="17"/>
        <v/>
      </c>
      <c r="C169">
        <f t="shared" si="18"/>
        <v>1</v>
      </c>
      <c r="D169" s="4"/>
      <c r="E169" t="s">
        <v>18</v>
      </c>
      <c r="F169" t="str">
        <f>INDEX(Establishment!B$2:B$1005,MATCH($E169,Establishment!$A$2:$A$1005,0))</f>
        <v xml:space="preserve"> </v>
      </c>
      <c r="G169" t="str">
        <f>INDEX(Establishment!C$2:C$1005,MATCH($E169,Establishment!$A$2:$A$1005,0))</f>
        <v xml:space="preserve"> </v>
      </c>
      <c r="M169">
        <f t="shared" si="16"/>
        <v>0</v>
      </c>
      <c r="N169">
        <f t="shared" si="15"/>
        <v>0</v>
      </c>
      <c r="P169" t="e">
        <f>INDEX(Items!B$2:B$1032,MATCH($O169,Items!$A$2:$A$1032,0))</f>
        <v>#N/A</v>
      </c>
      <c r="Q169" t="e">
        <f>INDEX(Items!C$2:C$1032,MATCH($O169,Items!$A$2:$A$1032,0))</f>
        <v>#N/A</v>
      </c>
      <c r="R169" t="e">
        <f>INDEX(Items!D$2:D$1032,MATCH($O169,Items!$A$2:$A$1032,0))</f>
        <v>#N/A</v>
      </c>
    </row>
    <row r="170" spans="1:18" x14ac:dyDescent="0.25">
      <c r="A170">
        <f t="shared" si="14"/>
        <v>1</v>
      </c>
      <c r="B170" t="str">
        <f t="shared" si="17"/>
        <v/>
      </c>
      <c r="C170">
        <f t="shared" si="18"/>
        <v>1</v>
      </c>
      <c r="D170" s="4"/>
      <c r="E170" t="s">
        <v>18</v>
      </c>
      <c r="F170" t="str">
        <f>INDEX(Establishment!B$2:B$1005,MATCH($E170,Establishment!$A$2:$A$1005,0))</f>
        <v xml:space="preserve"> </v>
      </c>
      <c r="G170" t="str">
        <f>INDEX(Establishment!C$2:C$1005,MATCH($E170,Establishment!$A$2:$A$1005,0))</f>
        <v xml:space="preserve"> </v>
      </c>
      <c r="M170">
        <f t="shared" si="16"/>
        <v>0</v>
      </c>
      <c r="N170">
        <f t="shared" si="15"/>
        <v>0</v>
      </c>
      <c r="P170" t="e">
        <f>INDEX(Items!B$2:B$1032,MATCH($O170,Items!$A$2:$A$1032,0))</f>
        <v>#N/A</v>
      </c>
      <c r="Q170" t="e">
        <f>INDEX(Items!C$2:C$1032,MATCH($O170,Items!$A$2:$A$1032,0))</f>
        <v>#N/A</v>
      </c>
      <c r="R170" t="e">
        <f>INDEX(Items!D$2:D$1032,MATCH($O170,Items!$A$2:$A$1032,0))</f>
        <v>#N/A</v>
      </c>
    </row>
    <row r="171" spans="1:18" x14ac:dyDescent="0.25">
      <c r="A171">
        <f t="shared" si="14"/>
        <v>1</v>
      </c>
      <c r="B171" t="str">
        <f t="shared" si="17"/>
        <v/>
      </c>
      <c r="C171">
        <f t="shared" si="18"/>
        <v>1</v>
      </c>
      <c r="D171" s="4"/>
      <c r="E171" t="s">
        <v>18</v>
      </c>
      <c r="F171" t="str">
        <f>INDEX(Establishment!B$2:B$1005,MATCH($E171,Establishment!$A$2:$A$1005,0))</f>
        <v xml:space="preserve"> </v>
      </c>
      <c r="G171" t="str">
        <f>INDEX(Establishment!C$2:C$1005,MATCH($E171,Establishment!$A$2:$A$1005,0))</f>
        <v xml:space="preserve"> </v>
      </c>
      <c r="M171">
        <f t="shared" si="16"/>
        <v>0</v>
      </c>
      <c r="N171">
        <f t="shared" si="15"/>
        <v>0</v>
      </c>
      <c r="P171" t="e">
        <f>INDEX(Items!B$2:B$1032,MATCH($O171,Items!$A$2:$A$1032,0))</f>
        <v>#N/A</v>
      </c>
      <c r="Q171" t="e">
        <f>INDEX(Items!C$2:C$1032,MATCH($O171,Items!$A$2:$A$1032,0))</f>
        <v>#N/A</v>
      </c>
      <c r="R171" t="e">
        <f>INDEX(Items!D$2:D$1032,MATCH($O171,Items!$A$2:$A$1032,0))</f>
        <v>#N/A</v>
      </c>
    </row>
    <row r="172" spans="1:18" x14ac:dyDescent="0.25">
      <c r="A172">
        <f t="shared" si="14"/>
        <v>1</v>
      </c>
      <c r="B172" t="str">
        <f t="shared" si="17"/>
        <v/>
      </c>
      <c r="C172">
        <f t="shared" si="18"/>
        <v>1</v>
      </c>
      <c r="D172" s="4"/>
      <c r="E172" t="s">
        <v>18</v>
      </c>
      <c r="F172" t="str">
        <f>INDEX(Establishment!B$2:B$1005,MATCH($E172,Establishment!$A$2:$A$1005,0))</f>
        <v xml:space="preserve"> </v>
      </c>
      <c r="G172" t="str">
        <f>INDEX(Establishment!C$2:C$1005,MATCH($E172,Establishment!$A$2:$A$1005,0))</f>
        <v xml:space="preserve"> </v>
      </c>
      <c r="M172">
        <f t="shared" si="16"/>
        <v>0</v>
      </c>
      <c r="N172">
        <f t="shared" si="15"/>
        <v>0</v>
      </c>
      <c r="P172" t="e">
        <f>INDEX(Items!B$2:B$1032,MATCH($O172,Items!$A$2:$A$1032,0))</f>
        <v>#N/A</v>
      </c>
      <c r="Q172" t="e">
        <f>INDEX(Items!C$2:C$1032,MATCH($O172,Items!$A$2:$A$1032,0))</f>
        <v>#N/A</v>
      </c>
      <c r="R172" t="e">
        <f>INDEX(Items!D$2:D$1032,MATCH($O172,Items!$A$2:$A$1032,0))</f>
        <v>#N/A</v>
      </c>
    </row>
    <row r="173" spans="1:18" x14ac:dyDescent="0.25">
      <c r="A173">
        <f t="shared" si="14"/>
        <v>1</v>
      </c>
      <c r="B173" t="str">
        <f t="shared" si="17"/>
        <v/>
      </c>
      <c r="C173">
        <f t="shared" si="18"/>
        <v>1</v>
      </c>
      <c r="D173" s="4"/>
      <c r="E173" t="s">
        <v>18</v>
      </c>
      <c r="F173" t="str">
        <f>INDEX(Establishment!B$2:B$1005,MATCH($E173,Establishment!$A$2:$A$1005,0))</f>
        <v xml:space="preserve"> </v>
      </c>
      <c r="G173" t="str">
        <f>INDEX(Establishment!C$2:C$1005,MATCH($E173,Establishment!$A$2:$A$1005,0))</f>
        <v xml:space="preserve"> </v>
      </c>
      <c r="M173">
        <f t="shared" si="16"/>
        <v>0</v>
      </c>
      <c r="N173">
        <f t="shared" si="15"/>
        <v>0</v>
      </c>
      <c r="P173" t="e">
        <f>INDEX(Items!B$2:B$1032,MATCH($O173,Items!$A$2:$A$1032,0))</f>
        <v>#N/A</v>
      </c>
      <c r="Q173" t="e">
        <f>INDEX(Items!C$2:C$1032,MATCH($O173,Items!$A$2:$A$1032,0))</f>
        <v>#N/A</v>
      </c>
      <c r="R173" t="e">
        <f>INDEX(Items!D$2:D$1032,MATCH($O173,Items!$A$2:$A$1032,0))</f>
        <v>#N/A</v>
      </c>
    </row>
    <row r="174" spans="1:18" x14ac:dyDescent="0.25">
      <c r="A174">
        <f t="shared" si="14"/>
        <v>1</v>
      </c>
      <c r="B174" t="str">
        <f t="shared" si="17"/>
        <v/>
      </c>
      <c r="C174">
        <f t="shared" si="18"/>
        <v>1</v>
      </c>
      <c r="D174" s="4"/>
      <c r="E174" t="s">
        <v>18</v>
      </c>
      <c r="F174" t="str">
        <f>INDEX(Establishment!B$2:B$1005,MATCH($E174,Establishment!$A$2:$A$1005,0))</f>
        <v xml:space="preserve"> </v>
      </c>
      <c r="G174" t="str">
        <f>INDEX(Establishment!C$2:C$1005,MATCH($E174,Establishment!$A$2:$A$1005,0))</f>
        <v xml:space="preserve"> </v>
      </c>
      <c r="M174">
        <f t="shared" si="16"/>
        <v>0</v>
      </c>
      <c r="N174">
        <f t="shared" si="15"/>
        <v>0</v>
      </c>
      <c r="P174" t="e">
        <f>INDEX(Items!B$2:B$1032,MATCH($O174,Items!$A$2:$A$1032,0))</f>
        <v>#N/A</v>
      </c>
      <c r="Q174" t="e">
        <f>INDEX(Items!C$2:C$1032,MATCH($O174,Items!$A$2:$A$1032,0))</f>
        <v>#N/A</v>
      </c>
      <c r="R174" t="e">
        <f>INDEX(Items!D$2:D$1032,MATCH($O174,Items!$A$2:$A$1032,0))</f>
        <v>#N/A</v>
      </c>
    </row>
    <row r="175" spans="1:18" x14ac:dyDescent="0.25">
      <c r="A175">
        <f t="shared" si="14"/>
        <v>1</v>
      </c>
      <c r="B175" t="str">
        <f t="shared" si="17"/>
        <v/>
      </c>
      <c r="C175">
        <f t="shared" si="18"/>
        <v>1</v>
      </c>
      <c r="D175" s="4"/>
      <c r="E175" t="s">
        <v>18</v>
      </c>
      <c r="F175" t="str">
        <f>INDEX(Establishment!B$2:B$1005,MATCH($E175,Establishment!$A$2:$A$1005,0))</f>
        <v xml:space="preserve"> </v>
      </c>
      <c r="G175" t="str">
        <f>INDEX(Establishment!C$2:C$1005,MATCH($E175,Establishment!$A$2:$A$1005,0))</f>
        <v xml:space="preserve"> </v>
      </c>
      <c r="M175">
        <f t="shared" si="16"/>
        <v>0</v>
      </c>
      <c r="N175">
        <f t="shared" si="15"/>
        <v>0</v>
      </c>
      <c r="P175" t="e">
        <f>INDEX(Items!B$2:B$1032,MATCH($O175,Items!$A$2:$A$1032,0))</f>
        <v>#N/A</v>
      </c>
      <c r="Q175" t="e">
        <f>INDEX(Items!C$2:C$1032,MATCH($O175,Items!$A$2:$A$1032,0))</f>
        <v>#N/A</v>
      </c>
      <c r="R175" t="e">
        <f>INDEX(Items!D$2:D$1032,MATCH($O175,Items!$A$2:$A$1032,0))</f>
        <v>#N/A</v>
      </c>
    </row>
    <row r="176" spans="1:18" x14ac:dyDescent="0.25">
      <c r="A176">
        <f t="shared" si="14"/>
        <v>1</v>
      </c>
      <c r="B176" t="str">
        <f t="shared" si="17"/>
        <v/>
      </c>
      <c r="C176">
        <f t="shared" si="18"/>
        <v>1</v>
      </c>
      <c r="D176" s="4"/>
      <c r="E176" t="s">
        <v>18</v>
      </c>
      <c r="F176" t="str">
        <f>INDEX(Establishment!B$2:B$1005,MATCH($E176,Establishment!$A$2:$A$1005,0))</f>
        <v xml:space="preserve"> </v>
      </c>
      <c r="G176" t="str">
        <f>INDEX(Establishment!C$2:C$1005,MATCH($E176,Establishment!$A$2:$A$1005,0))</f>
        <v xml:space="preserve"> </v>
      </c>
      <c r="M176">
        <f t="shared" si="16"/>
        <v>0</v>
      </c>
      <c r="N176">
        <f t="shared" si="15"/>
        <v>0</v>
      </c>
      <c r="P176" t="e">
        <f>INDEX(Items!B$2:B$1032,MATCH($O176,Items!$A$2:$A$1032,0))</f>
        <v>#N/A</v>
      </c>
      <c r="Q176" t="e">
        <f>INDEX(Items!C$2:C$1032,MATCH($O176,Items!$A$2:$A$1032,0))</f>
        <v>#N/A</v>
      </c>
      <c r="R176" t="e">
        <f>INDEX(Items!D$2:D$1032,MATCH($O176,Items!$A$2:$A$1032,0))</f>
        <v>#N/A</v>
      </c>
    </row>
    <row r="177" spans="1:18" x14ac:dyDescent="0.25">
      <c r="A177">
        <f t="shared" si="14"/>
        <v>1</v>
      </c>
      <c r="B177" t="str">
        <f t="shared" si="17"/>
        <v/>
      </c>
      <c r="C177">
        <f t="shared" si="18"/>
        <v>1</v>
      </c>
      <c r="D177" s="4"/>
      <c r="E177" t="s">
        <v>18</v>
      </c>
      <c r="F177" t="str">
        <f>INDEX(Establishment!B$2:B$1005,MATCH($E177,Establishment!$A$2:$A$1005,0))</f>
        <v xml:space="preserve"> </v>
      </c>
      <c r="G177" t="str">
        <f>INDEX(Establishment!C$2:C$1005,MATCH($E177,Establishment!$A$2:$A$1005,0))</f>
        <v xml:space="preserve"> </v>
      </c>
      <c r="M177">
        <f t="shared" si="16"/>
        <v>0</v>
      </c>
      <c r="N177">
        <f t="shared" si="15"/>
        <v>0</v>
      </c>
      <c r="P177" t="e">
        <f>INDEX(Items!B$2:B$1032,MATCH($O177,Items!$A$2:$A$1032,0))</f>
        <v>#N/A</v>
      </c>
      <c r="Q177" t="e">
        <f>INDEX(Items!C$2:C$1032,MATCH($O177,Items!$A$2:$A$1032,0))</f>
        <v>#N/A</v>
      </c>
      <c r="R177" t="e">
        <f>INDEX(Items!D$2:D$1032,MATCH($O177,Items!$A$2:$A$1032,0))</f>
        <v>#N/A</v>
      </c>
    </row>
    <row r="178" spans="1:18" x14ac:dyDescent="0.25">
      <c r="A178">
        <f t="shared" si="14"/>
        <v>1</v>
      </c>
      <c r="B178" t="str">
        <f t="shared" si="17"/>
        <v/>
      </c>
      <c r="C178">
        <f t="shared" si="18"/>
        <v>1</v>
      </c>
      <c r="D178" s="4"/>
      <c r="E178" t="s">
        <v>18</v>
      </c>
      <c r="F178" t="str">
        <f>INDEX(Establishment!B$2:B$1005,MATCH($E178,Establishment!$A$2:$A$1005,0))</f>
        <v xml:space="preserve"> </v>
      </c>
      <c r="G178" t="str">
        <f>INDEX(Establishment!C$2:C$1005,MATCH($E178,Establishment!$A$2:$A$1005,0))</f>
        <v xml:space="preserve"> </v>
      </c>
      <c r="M178">
        <f t="shared" si="16"/>
        <v>0</v>
      </c>
      <c r="N178">
        <f t="shared" si="15"/>
        <v>0</v>
      </c>
      <c r="P178" t="e">
        <f>INDEX(Items!B$2:B$1032,MATCH($O178,Items!$A$2:$A$1032,0))</f>
        <v>#N/A</v>
      </c>
      <c r="Q178" t="e">
        <f>INDEX(Items!C$2:C$1032,MATCH($O178,Items!$A$2:$A$1032,0))</f>
        <v>#N/A</v>
      </c>
      <c r="R178" t="e">
        <f>INDEX(Items!D$2:D$1032,MATCH($O178,Items!$A$2:$A$1032,0))</f>
        <v>#N/A</v>
      </c>
    </row>
    <row r="179" spans="1:18" x14ac:dyDescent="0.25">
      <c r="A179">
        <f t="shared" si="14"/>
        <v>1</v>
      </c>
      <c r="B179" t="str">
        <f t="shared" si="17"/>
        <v/>
      </c>
      <c r="C179">
        <f t="shared" si="18"/>
        <v>1</v>
      </c>
      <c r="D179" s="4"/>
      <c r="E179" t="s">
        <v>18</v>
      </c>
      <c r="F179" t="str">
        <f>INDEX(Establishment!B$2:B$1005,MATCH($E179,Establishment!$A$2:$A$1005,0))</f>
        <v xml:space="preserve"> </v>
      </c>
      <c r="G179" t="str">
        <f>INDEX(Establishment!C$2:C$1005,MATCH($E179,Establishment!$A$2:$A$1005,0))</f>
        <v xml:space="preserve"> </v>
      </c>
      <c r="M179">
        <f t="shared" si="16"/>
        <v>0</v>
      </c>
      <c r="N179">
        <f t="shared" si="15"/>
        <v>0</v>
      </c>
      <c r="P179" t="e">
        <f>INDEX(Items!B$2:B$1032,MATCH($O179,Items!$A$2:$A$1032,0))</f>
        <v>#N/A</v>
      </c>
      <c r="Q179" t="e">
        <f>INDEX(Items!C$2:C$1032,MATCH($O179,Items!$A$2:$A$1032,0))</f>
        <v>#N/A</v>
      </c>
      <c r="R179" t="e">
        <f>INDEX(Items!D$2:D$1032,MATCH($O179,Items!$A$2:$A$1032,0))</f>
        <v>#N/A</v>
      </c>
    </row>
    <row r="180" spans="1:18" x14ac:dyDescent="0.25">
      <c r="A180">
        <f t="shared" si="14"/>
        <v>1</v>
      </c>
      <c r="B180" t="str">
        <f t="shared" si="17"/>
        <v/>
      </c>
      <c r="C180">
        <f t="shared" si="18"/>
        <v>1</v>
      </c>
      <c r="D180" s="4"/>
      <c r="E180" t="s">
        <v>18</v>
      </c>
      <c r="F180" t="str">
        <f>INDEX(Establishment!B$2:B$1005,MATCH($E180,Establishment!$A$2:$A$1005,0))</f>
        <v xml:space="preserve"> </v>
      </c>
      <c r="G180" t="str">
        <f>INDEX(Establishment!C$2:C$1005,MATCH($E180,Establishment!$A$2:$A$1005,0))</f>
        <v xml:space="preserve"> </v>
      </c>
      <c r="M180">
        <f t="shared" si="16"/>
        <v>0</v>
      </c>
      <c r="N180">
        <f t="shared" si="15"/>
        <v>0</v>
      </c>
      <c r="P180" t="e">
        <f>INDEX(Items!B$2:B$1032,MATCH($O180,Items!$A$2:$A$1032,0))</f>
        <v>#N/A</v>
      </c>
      <c r="Q180" t="e">
        <f>INDEX(Items!C$2:C$1032,MATCH($O180,Items!$A$2:$A$1032,0))</f>
        <v>#N/A</v>
      </c>
      <c r="R180" t="e">
        <f>INDEX(Items!D$2:D$1032,MATCH($O180,Items!$A$2:$A$1032,0))</f>
        <v>#N/A</v>
      </c>
    </row>
    <row r="181" spans="1:18" x14ac:dyDescent="0.25">
      <c r="A181">
        <f t="shared" si="14"/>
        <v>1</v>
      </c>
      <c r="B181" t="str">
        <f t="shared" si="17"/>
        <v/>
      </c>
      <c r="C181">
        <f t="shared" si="18"/>
        <v>1</v>
      </c>
      <c r="D181" s="4"/>
      <c r="E181" t="s">
        <v>18</v>
      </c>
      <c r="F181" t="str">
        <f>INDEX(Establishment!B$2:B$1005,MATCH($E181,Establishment!$A$2:$A$1005,0))</f>
        <v xml:space="preserve"> </v>
      </c>
      <c r="G181" t="str">
        <f>INDEX(Establishment!C$2:C$1005,MATCH($E181,Establishment!$A$2:$A$1005,0))</f>
        <v xml:space="preserve"> </v>
      </c>
      <c r="M181">
        <f t="shared" si="16"/>
        <v>0</v>
      </c>
      <c r="N181">
        <f t="shared" si="15"/>
        <v>0</v>
      </c>
      <c r="P181" t="e">
        <f>INDEX(Items!B$2:B$1032,MATCH($O181,Items!$A$2:$A$1032,0))</f>
        <v>#N/A</v>
      </c>
      <c r="Q181" t="e">
        <f>INDEX(Items!C$2:C$1032,MATCH($O181,Items!$A$2:$A$1032,0))</f>
        <v>#N/A</v>
      </c>
      <c r="R181" t="e">
        <f>INDEX(Items!D$2:D$1032,MATCH($O181,Items!$A$2:$A$1032,0))</f>
        <v>#N/A</v>
      </c>
    </row>
    <row r="182" spans="1:18" x14ac:dyDescent="0.25">
      <c r="A182">
        <f t="shared" si="14"/>
        <v>1</v>
      </c>
      <c r="B182" t="str">
        <f t="shared" si="17"/>
        <v/>
      </c>
      <c r="C182">
        <f t="shared" si="18"/>
        <v>1</v>
      </c>
      <c r="D182" s="4"/>
      <c r="E182" t="s">
        <v>18</v>
      </c>
      <c r="F182" t="str">
        <f>INDEX(Establishment!B$2:B$1005,MATCH($E182,Establishment!$A$2:$A$1005,0))</f>
        <v xml:space="preserve"> </v>
      </c>
      <c r="G182" t="str">
        <f>INDEX(Establishment!C$2:C$1005,MATCH($E182,Establishment!$A$2:$A$1005,0))</f>
        <v xml:space="preserve"> </v>
      </c>
      <c r="M182">
        <f t="shared" si="16"/>
        <v>0</v>
      </c>
      <c r="N182">
        <f t="shared" si="15"/>
        <v>0</v>
      </c>
      <c r="P182" t="e">
        <f>INDEX(Items!B$2:B$1032,MATCH($O182,Items!$A$2:$A$1032,0))</f>
        <v>#N/A</v>
      </c>
      <c r="Q182" t="e">
        <f>INDEX(Items!C$2:C$1032,MATCH($O182,Items!$A$2:$A$1032,0))</f>
        <v>#N/A</v>
      </c>
      <c r="R182" t="e">
        <f>INDEX(Items!D$2:D$1032,MATCH($O182,Items!$A$2:$A$1032,0))</f>
        <v>#N/A</v>
      </c>
    </row>
    <row r="183" spans="1:18" x14ac:dyDescent="0.25">
      <c r="A183">
        <f t="shared" si="14"/>
        <v>1</v>
      </c>
      <c r="B183" t="str">
        <f t="shared" si="17"/>
        <v/>
      </c>
      <c r="C183">
        <f t="shared" si="18"/>
        <v>1</v>
      </c>
      <c r="D183" s="4"/>
      <c r="E183" t="s">
        <v>18</v>
      </c>
      <c r="F183" t="str">
        <f>INDEX(Establishment!B$2:B$1005,MATCH($E183,Establishment!$A$2:$A$1005,0))</f>
        <v xml:space="preserve"> </v>
      </c>
      <c r="G183" t="str">
        <f>INDEX(Establishment!C$2:C$1005,MATCH($E183,Establishment!$A$2:$A$1005,0))</f>
        <v xml:space="preserve"> </v>
      </c>
      <c r="M183">
        <f t="shared" si="16"/>
        <v>0</v>
      </c>
      <c r="N183">
        <f t="shared" si="15"/>
        <v>0</v>
      </c>
      <c r="P183" t="e">
        <f>INDEX(Items!B$2:B$1032,MATCH($O183,Items!$A$2:$A$1032,0))</f>
        <v>#N/A</v>
      </c>
      <c r="Q183" t="e">
        <f>INDEX(Items!C$2:C$1032,MATCH($O183,Items!$A$2:$A$1032,0))</f>
        <v>#N/A</v>
      </c>
      <c r="R183" t="e">
        <f>INDEX(Items!D$2:D$1032,MATCH($O183,Items!$A$2:$A$1032,0))</f>
        <v>#N/A</v>
      </c>
    </row>
    <row r="184" spans="1:18" x14ac:dyDescent="0.25">
      <c r="A184">
        <f t="shared" si="14"/>
        <v>1</v>
      </c>
      <c r="B184" t="str">
        <f t="shared" si="17"/>
        <v/>
      </c>
      <c r="C184">
        <f t="shared" si="18"/>
        <v>1</v>
      </c>
      <c r="D184" s="4"/>
      <c r="E184" t="s">
        <v>18</v>
      </c>
      <c r="F184" t="str">
        <f>INDEX(Establishment!B$2:B$1005,MATCH($E184,Establishment!$A$2:$A$1005,0))</f>
        <v xml:space="preserve"> </v>
      </c>
      <c r="G184" t="str">
        <f>INDEX(Establishment!C$2:C$1005,MATCH($E184,Establishment!$A$2:$A$1005,0))</f>
        <v xml:space="preserve"> </v>
      </c>
      <c r="M184">
        <f t="shared" si="16"/>
        <v>0</v>
      </c>
      <c r="N184">
        <f t="shared" si="15"/>
        <v>0</v>
      </c>
      <c r="P184" t="e">
        <f>INDEX(Items!B$2:B$1032,MATCH($O184,Items!$A$2:$A$1032,0))</f>
        <v>#N/A</v>
      </c>
      <c r="Q184" t="e">
        <f>INDEX(Items!C$2:C$1032,MATCH($O184,Items!$A$2:$A$1032,0))</f>
        <v>#N/A</v>
      </c>
      <c r="R184" t="e">
        <f>INDEX(Items!D$2:D$1032,MATCH($O184,Items!$A$2:$A$1032,0))</f>
        <v>#N/A</v>
      </c>
    </row>
    <row r="185" spans="1:18" x14ac:dyDescent="0.25">
      <c r="A185">
        <f t="shared" si="14"/>
        <v>1</v>
      </c>
      <c r="B185" t="str">
        <f t="shared" si="17"/>
        <v/>
      </c>
      <c r="C185">
        <f t="shared" si="18"/>
        <v>1</v>
      </c>
      <c r="D185" s="4"/>
      <c r="E185" t="s">
        <v>18</v>
      </c>
      <c r="F185" t="str">
        <f>INDEX(Establishment!B$2:B$1005,MATCH($E185,Establishment!$A$2:$A$1005,0))</f>
        <v xml:space="preserve"> </v>
      </c>
      <c r="G185" t="str">
        <f>INDEX(Establishment!C$2:C$1005,MATCH($E185,Establishment!$A$2:$A$1005,0))</f>
        <v xml:space="preserve"> </v>
      </c>
      <c r="M185">
        <f t="shared" si="16"/>
        <v>0</v>
      </c>
      <c r="N185">
        <f t="shared" si="15"/>
        <v>0</v>
      </c>
      <c r="P185" t="e">
        <f>INDEX(Items!B$2:B$1032,MATCH($O185,Items!$A$2:$A$1032,0))</f>
        <v>#N/A</v>
      </c>
      <c r="Q185" t="e">
        <f>INDEX(Items!C$2:C$1032,MATCH($O185,Items!$A$2:$A$1032,0))</f>
        <v>#N/A</v>
      </c>
      <c r="R185" t="e">
        <f>INDEX(Items!D$2:D$1032,MATCH($O185,Items!$A$2:$A$1032,0))</f>
        <v>#N/A</v>
      </c>
    </row>
    <row r="186" spans="1:18" x14ac:dyDescent="0.25">
      <c r="A186">
        <f t="shared" si="14"/>
        <v>1</v>
      </c>
      <c r="B186" t="str">
        <f t="shared" si="17"/>
        <v/>
      </c>
      <c r="C186">
        <f t="shared" si="18"/>
        <v>1</v>
      </c>
      <c r="D186" s="4"/>
      <c r="E186" t="s">
        <v>18</v>
      </c>
      <c r="F186" t="str">
        <f>INDEX(Establishment!B$2:B$1005,MATCH($E186,Establishment!$A$2:$A$1005,0))</f>
        <v xml:space="preserve"> </v>
      </c>
      <c r="G186" t="str">
        <f>INDEX(Establishment!C$2:C$1005,MATCH($E186,Establishment!$A$2:$A$1005,0))</f>
        <v xml:space="preserve"> </v>
      </c>
      <c r="M186">
        <f t="shared" si="16"/>
        <v>0</v>
      </c>
      <c r="N186">
        <f t="shared" si="15"/>
        <v>0</v>
      </c>
      <c r="P186" t="e">
        <f>INDEX(Items!B$2:B$1032,MATCH($O186,Items!$A$2:$A$1032,0))</f>
        <v>#N/A</v>
      </c>
      <c r="Q186" t="e">
        <f>INDEX(Items!C$2:C$1032,MATCH($O186,Items!$A$2:$A$1032,0))</f>
        <v>#N/A</v>
      </c>
      <c r="R186" t="e">
        <f>INDEX(Items!D$2:D$1032,MATCH($O186,Items!$A$2:$A$1032,0))</f>
        <v>#N/A</v>
      </c>
    </row>
    <row r="187" spans="1:18" x14ac:dyDescent="0.25">
      <c r="A187">
        <f t="shared" si="14"/>
        <v>1</v>
      </c>
      <c r="B187" t="str">
        <f t="shared" si="17"/>
        <v/>
      </c>
      <c r="C187">
        <f t="shared" si="18"/>
        <v>1</v>
      </c>
      <c r="D187" s="4"/>
      <c r="E187" t="s">
        <v>18</v>
      </c>
      <c r="F187" t="str">
        <f>INDEX(Establishment!B$2:B$1005,MATCH($E187,Establishment!$A$2:$A$1005,0))</f>
        <v xml:space="preserve"> </v>
      </c>
      <c r="G187" t="str">
        <f>INDEX(Establishment!C$2:C$1005,MATCH($E187,Establishment!$A$2:$A$1005,0))</f>
        <v xml:space="preserve"> </v>
      </c>
      <c r="M187">
        <f t="shared" si="16"/>
        <v>0</v>
      </c>
      <c r="N187">
        <f t="shared" si="15"/>
        <v>0</v>
      </c>
      <c r="P187" t="e">
        <f>INDEX(Items!B$2:B$1032,MATCH($O187,Items!$A$2:$A$1032,0))</f>
        <v>#N/A</v>
      </c>
      <c r="Q187" t="e">
        <f>INDEX(Items!C$2:C$1032,MATCH($O187,Items!$A$2:$A$1032,0))</f>
        <v>#N/A</v>
      </c>
      <c r="R187" t="e">
        <f>INDEX(Items!D$2:D$1032,MATCH($O187,Items!$A$2:$A$1032,0))</f>
        <v>#N/A</v>
      </c>
    </row>
    <row r="188" spans="1:18" x14ac:dyDescent="0.25">
      <c r="A188">
        <f t="shared" si="14"/>
        <v>1</v>
      </c>
      <c r="B188" t="str">
        <f t="shared" si="17"/>
        <v/>
      </c>
      <c r="C188">
        <f t="shared" si="18"/>
        <v>1</v>
      </c>
      <c r="D188" s="4"/>
      <c r="E188" t="s">
        <v>18</v>
      </c>
      <c r="F188" t="str">
        <f>INDEX(Establishment!B$2:B$1005,MATCH($E188,Establishment!$A$2:$A$1005,0))</f>
        <v xml:space="preserve"> </v>
      </c>
      <c r="G188" t="str">
        <f>INDEX(Establishment!C$2:C$1005,MATCH($E188,Establishment!$A$2:$A$1005,0))</f>
        <v xml:space="preserve"> </v>
      </c>
      <c r="M188">
        <f t="shared" si="16"/>
        <v>0</v>
      </c>
      <c r="N188">
        <f t="shared" si="15"/>
        <v>0</v>
      </c>
      <c r="P188" t="e">
        <f>INDEX(Items!B$2:B$1032,MATCH($O188,Items!$A$2:$A$1032,0))</f>
        <v>#N/A</v>
      </c>
      <c r="Q188" t="e">
        <f>INDEX(Items!C$2:C$1032,MATCH($O188,Items!$A$2:$A$1032,0))</f>
        <v>#N/A</v>
      </c>
      <c r="R188" t="e">
        <f>INDEX(Items!D$2:D$1032,MATCH($O188,Items!$A$2:$A$1032,0))</f>
        <v>#N/A</v>
      </c>
    </row>
    <row r="189" spans="1:18" x14ac:dyDescent="0.25">
      <c r="A189">
        <f t="shared" si="14"/>
        <v>1</v>
      </c>
      <c r="B189" t="str">
        <f t="shared" si="17"/>
        <v/>
      </c>
      <c r="C189">
        <f t="shared" si="18"/>
        <v>1</v>
      </c>
      <c r="D189" s="4"/>
      <c r="E189" t="s">
        <v>18</v>
      </c>
      <c r="F189" t="str">
        <f>INDEX(Establishment!B$2:B$1005,MATCH($E189,Establishment!$A$2:$A$1005,0))</f>
        <v xml:space="preserve"> </v>
      </c>
      <c r="G189" t="str">
        <f>INDEX(Establishment!C$2:C$1005,MATCH($E189,Establishment!$A$2:$A$1005,0))</f>
        <v xml:space="preserve"> </v>
      </c>
      <c r="M189">
        <f t="shared" si="16"/>
        <v>0</v>
      </c>
      <c r="N189">
        <f t="shared" si="15"/>
        <v>0</v>
      </c>
      <c r="P189" t="e">
        <f>INDEX(Items!B$2:B$1032,MATCH($O189,Items!$A$2:$A$1032,0))</f>
        <v>#N/A</v>
      </c>
      <c r="Q189" t="e">
        <f>INDEX(Items!C$2:C$1032,MATCH($O189,Items!$A$2:$A$1032,0))</f>
        <v>#N/A</v>
      </c>
      <c r="R189" t="e">
        <f>INDEX(Items!D$2:D$1032,MATCH($O189,Items!$A$2:$A$1032,0))</f>
        <v>#N/A</v>
      </c>
    </row>
    <row r="190" spans="1:18" x14ac:dyDescent="0.25">
      <c r="A190">
        <f t="shared" si="14"/>
        <v>1</v>
      </c>
      <c r="B190" t="str">
        <f t="shared" si="17"/>
        <v/>
      </c>
      <c r="C190">
        <f t="shared" si="18"/>
        <v>1</v>
      </c>
      <c r="D190" s="4"/>
      <c r="E190" t="s">
        <v>18</v>
      </c>
      <c r="F190" t="str">
        <f>INDEX(Establishment!B$2:B$1005,MATCH($E190,Establishment!$A$2:$A$1005,0))</f>
        <v xml:space="preserve"> </v>
      </c>
      <c r="G190" t="str">
        <f>INDEX(Establishment!C$2:C$1005,MATCH($E190,Establishment!$A$2:$A$1005,0))</f>
        <v xml:space="preserve"> </v>
      </c>
      <c r="M190">
        <f t="shared" si="16"/>
        <v>0</v>
      </c>
      <c r="N190">
        <f t="shared" si="15"/>
        <v>0</v>
      </c>
      <c r="P190" t="e">
        <f>INDEX(Items!B$2:B$1032,MATCH($O190,Items!$A$2:$A$1032,0))</f>
        <v>#N/A</v>
      </c>
      <c r="Q190" t="e">
        <f>INDEX(Items!C$2:C$1032,MATCH($O190,Items!$A$2:$A$1032,0))</f>
        <v>#N/A</v>
      </c>
      <c r="R190" t="e">
        <f>INDEX(Items!D$2:D$1032,MATCH($O190,Items!$A$2:$A$1032,0))</f>
        <v>#N/A</v>
      </c>
    </row>
    <row r="191" spans="1:18" x14ac:dyDescent="0.25">
      <c r="A191">
        <f t="shared" si="14"/>
        <v>1</v>
      </c>
      <c r="B191" t="str">
        <f t="shared" si="17"/>
        <v/>
      </c>
      <c r="C191">
        <f t="shared" si="18"/>
        <v>1</v>
      </c>
      <c r="D191" s="4"/>
      <c r="E191" t="s">
        <v>18</v>
      </c>
      <c r="F191" t="str">
        <f>INDEX(Establishment!B$2:B$1005,MATCH($E191,Establishment!$A$2:$A$1005,0))</f>
        <v xml:space="preserve"> </v>
      </c>
      <c r="G191" t="str">
        <f>INDEX(Establishment!C$2:C$1005,MATCH($E191,Establishment!$A$2:$A$1005,0))</f>
        <v xml:space="preserve"> </v>
      </c>
      <c r="M191">
        <f t="shared" si="16"/>
        <v>0</v>
      </c>
      <c r="N191">
        <f t="shared" si="15"/>
        <v>0</v>
      </c>
      <c r="P191" t="e">
        <f>INDEX(Items!B$2:B$1032,MATCH($O191,Items!$A$2:$A$1032,0))</f>
        <v>#N/A</v>
      </c>
      <c r="Q191" t="e">
        <f>INDEX(Items!C$2:C$1032,MATCH($O191,Items!$A$2:$A$1032,0))</f>
        <v>#N/A</v>
      </c>
      <c r="R191" t="e">
        <f>INDEX(Items!D$2:D$1032,MATCH($O191,Items!$A$2:$A$1032,0))</f>
        <v>#N/A</v>
      </c>
    </row>
    <row r="192" spans="1:18" x14ac:dyDescent="0.25">
      <c r="A192">
        <f t="shared" si="14"/>
        <v>1</v>
      </c>
      <c r="B192" t="str">
        <f t="shared" si="17"/>
        <v/>
      </c>
      <c r="C192">
        <f t="shared" si="18"/>
        <v>1</v>
      </c>
      <c r="D192" s="4"/>
      <c r="E192" t="s">
        <v>18</v>
      </c>
      <c r="F192" t="str">
        <f>INDEX(Establishment!B$2:B$1005,MATCH($E192,Establishment!$A$2:$A$1005,0))</f>
        <v xml:space="preserve"> </v>
      </c>
      <c r="G192" t="str">
        <f>INDEX(Establishment!C$2:C$1005,MATCH($E192,Establishment!$A$2:$A$1005,0))</f>
        <v xml:space="preserve"> </v>
      </c>
      <c r="M192">
        <f t="shared" si="16"/>
        <v>0</v>
      </c>
      <c r="N192">
        <f t="shared" si="15"/>
        <v>0</v>
      </c>
      <c r="P192" t="e">
        <f>INDEX(Items!B$2:B$1032,MATCH($O192,Items!$A$2:$A$1032,0))</f>
        <v>#N/A</v>
      </c>
      <c r="Q192" t="e">
        <f>INDEX(Items!C$2:C$1032,MATCH($O192,Items!$A$2:$A$1032,0))</f>
        <v>#N/A</v>
      </c>
      <c r="R192" t="e">
        <f>INDEX(Items!D$2:D$1032,MATCH($O192,Items!$A$2:$A$1032,0))</f>
        <v>#N/A</v>
      </c>
    </row>
    <row r="193" spans="1:18" x14ac:dyDescent="0.25">
      <c r="A193">
        <f t="shared" si="14"/>
        <v>1</v>
      </c>
      <c r="B193" t="str">
        <f t="shared" si="17"/>
        <v/>
      </c>
      <c r="C193">
        <f t="shared" si="18"/>
        <v>1</v>
      </c>
      <c r="D193" s="4"/>
      <c r="E193" t="s">
        <v>18</v>
      </c>
      <c r="F193" t="str">
        <f>INDEX(Establishment!B$2:B$1005,MATCH($E193,Establishment!$A$2:$A$1005,0))</f>
        <v xml:space="preserve"> </v>
      </c>
      <c r="G193" t="str">
        <f>INDEX(Establishment!C$2:C$1005,MATCH($E193,Establishment!$A$2:$A$1005,0))</f>
        <v xml:space="preserve"> </v>
      </c>
      <c r="M193">
        <f t="shared" si="16"/>
        <v>0</v>
      </c>
      <c r="N193">
        <f t="shared" si="15"/>
        <v>0</v>
      </c>
      <c r="P193" t="e">
        <f>INDEX(Items!B$2:B$1032,MATCH($O193,Items!$A$2:$A$1032,0))</f>
        <v>#N/A</v>
      </c>
      <c r="Q193" t="e">
        <f>INDEX(Items!C$2:C$1032,MATCH($O193,Items!$A$2:$A$1032,0))</f>
        <v>#N/A</v>
      </c>
      <c r="R193" t="e">
        <f>INDEX(Items!D$2:D$1032,MATCH($O193,Items!$A$2:$A$1032,0))</f>
        <v>#N/A</v>
      </c>
    </row>
    <row r="194" spans="1:18" x14ac:dyDescent="0.25">
      <c r="A194">
        <f t="shared" ref="A194:A257" si="19">IF(OR(D194&lt;&gt;D193,D194=""),1,IF(NOT(AND(E194=E193,F194=F193,G194=G193)),A193+1,IF(OR(H194="",AND(H194&lt;&gt;"",H194&lt;&gt;H193,H193&lt;&gt;"")),A193,A193+1)))</f>
        <v>1</v>
      </c>
      <c r="B194" t="str">
        <f t="shared" si="17"/>
        <v/>
      </c>
      <c r="C194">
        <f t="shared" si="18"/>
        <v>1</v>
      </c>
      <c r="D194" s="4"/>
      <c r="E194" t="s">
        <v>18</v>
      </c>
      <c r="F194" t="str">
        <f>INDEX(Establishment!B$2:B$1005,MATCH($E194,Establishment!$A$2:$A$1005,0))</f>
        <v xml:space="preserve"> </v>
      </c>
      <c r="G194" t="str">
        <f>INDEX(Establishment!C$2:C$1005,MATCH($E194,Establishment!$A$2:$A$1005,0))</f>
        <v xml:space="preserve"> </v>
      </c>
      <c r="M194">
        <f t="shared" si="16"/>
        <v>0</v>
      </c>
      <c r="N194">
        <f t="shared" si="15"/>
        <v>0</v>
      </c>
      <c r="P194" t="e">
        <f>INDEX(Items!B$2:B$1032,MATCH($O194,Items!$A$2:$A$1032,0))</f>
        <v>#N/A</v>
      </c>
      <c r="Q194" t="e">
        <f>INDEX(Items!C$2:C$1032,MATCH($O194,Items!$A$2:$A$1032,0))</f>
        <v>#N/A</v>
      </c>
      <c r="R194" t="e">
        <f>INDEX(Items!D$2:D$1032,MATCH($O194,Items!$A$2:$A$1032,0))</f>
        <v>#N/A</v>
      </c>
    </row>
    <row r="195" spans="1:18" x14ac:dyDescent="0.25">
      <c r="A195">
        <f t="shared" si="19"/>
        <v>1</v>
      </c>
      <c r="B195" t="str">
        <f t="shared" si="17"/>
        <v/>
      </c>
      <c r="C195">
        <f t="shared" si="18"/>
        <v>1</v>
      </c>
      <c r="D195" s="4"/>
      <c r="E195" t="s">
        <v>18</v>
      </c>
      <c r="F195" t="str">
        <f>INDEX(Establishment!B$2:B$1005,MATCH($E195,Establishment!$A$2:$A$1005,0))</f>
        <v xml:space="preserve"> </v>
      </c>
      <c r="G195" t="str">
        <f>INDEX(Establishment!C$2:C$1005,MATCH($E195,Establishment!$A$2:$A$1005,0))</f>
        <v xml:space="preserve"> </v>
      </c>
      <c r="M195">
        <f t="shared" si="16"/>
        <v>0</v>
      </c>
      <c r="N195">
        <f t="shared" ref="N195:N258" si="20">IF(B195=B194,N194+M195,M195)</f>
        <v>0</v>
      </c>
      <c r="P195" t="e">
        <f>INDEX(Items!B$2:B$1032,MATCH($O195,Items!$A$2:$A$1032,0))</f>
        <v>#N/A</v>
      </c>
      <c r="Q195" t="e">
        <f>INDEX(Items!C$2:C$1032,MATCH($O195,Items!$A$2:$A$1032,0))</f>
        <v>#N/A</v>
      </c>
      <c r="R195" t="e">
        <f>INDEX(Items!D$2:D$1032,MATCH($O195,Items!$A$2:$A$1032,0))</f>
        <v>#N/A</v>
      </c>
    </row>
    <row r="196" spans="1:18" x14ac:dyDescent="0.25">
      <c r="A196">
        <f t="shared" si="19"/>
        <v>1</v>
      </c>
      <c r="B196" t="str">
        <f t="shared" si="17"/>
        <v/>
      </c>
      <c r="C196">
        <f t="shared" si="18"/>
        <v>1</v>
      </c>
      <c r="D196" s="4"/>
      <c r="E196" t="s">
        <v>18</v>
      </c>
      <c r="F196" t="str">
        <f>INDEX(Establishment!B$2:B$1005,MATCH($E196,Establishment!$A$2:$A$1005,0))</f>
        <v xml:space="preserve"> </v>
      </c>
      <c r="G196" t="str">
        <f>INDEX(Establishment!C$2:C$1005,MATCH($E196,Establishment!$A$2:$A$1005,0))</f>
        <v xml:space="preserve"> </v>
      </c>
      <c r="M196">
        <f t="shared" ref="M196:M259" si="21">K196*L196</f>
        <v>0</v>
      </c>
      <c r="N196">
        <f t="shared" si="20"/>
        <v>0</v>
      </c>
      <c r="P196" t="e">
        <f>INDEX(Items!B$2:B$1032,MATCH($O196,Items!$A$2:$A$1032,0))</f>
        <v>#N/A</v>
      </c>
      <c r="Q196" t="e">
        <f>INDEX(Items!C$2:C$1032,MATCH($O196,Items!$A$2:$A$1032,0))</f>
        <v>#N/A</v>
      </c>
      <c r="R196" t="e">
        <f>INDEX(Items!D$2:D$1032,MATCH($O196,Items!$A$2:$A$1032,0))</f>
        <v>#N/A</v>
      </c>
    </row>
    <row r="197" spans="1:18" x14ac:dyDescent="0.25">
      <c r="A197">
        <f t="shared" si="19"/>
        <v>1</v>
      </c>
      <c r="B197" t="str">
        <f t="shared" si="17"/>
        <v/>
      </c>
      <c r="C197">
        <f t="shared" si="18"/>
        <v>1</v>
      </c>
      <c r="D197" s="4"/>
      <c r="E197" t="s">
        <v>18</v>
      </c>
      <c r="F197" t="str">
        <f>INDEX(Establishment!B$2:B$1005,MATCH($E197,Establishment!$A$2:$A$1005,0))</f>
        <v xml:space="preserve"> </v>
      </c>
      <c r="G197" t="str">
        <f>INDEX(Establishment!C$2:C$1005,MATCH($E197,Establishment!$A$2:$A$1005,0))</f>
        <v xml:space="preserve"> </v>
      </c>
      <c r="M197">
        <f t="shared" si="21"/>
        <v>0</v>
      </c>
      <c r="N197">
        <f t="shared" si="20"/>
        <v>0</v>
      </c>
      <c r="P197" t="e">
        <f>INDEX(Items!B$2:B$1032,MATCH($O197,Items!$A$2:$A$1032,0))</f>
        <v>#N/A</v>
      </c>
      <c r="Q197" t="e">
        <f>INDEX(Items!C$2:C$1032,MATCH($O197,Items!$A$2:$A$1032,0))</f>
        <v>#N/A</v>
      </c>
      <c r="R197" t="e">
        <f>INDEX(Items!D$2:D$1032,MATCH($O197,Items!$A$2:$A$1032,0))</f>
        <v>#N/A</v>
      </c>
    </row>
    <row r="198" spans="1:18" x14ac:dyDescent="0.25">
      <c r="A198">
        <f t="shared" si="19"/>
        <v>1</v>
      </c>
      <c r="B198" t="str">
        <f t="shared" si="17"/>
        <v/>
      </c>
      <c r="C198">
        <f t="shared" si="18"/>
        <v>1</v>
      </c>
      <c r="D198" s="4"/>
      <c r="E198" t="s">
        <v>18</v>
      </c>
      <c r="F198" t="str">
        <f>INDEX(Establishment!B$2:B$1005,MATCH($E198,Establishment!$A$2:$A$1005,0))</f>
        <v xml:space="preserve"> </v>
      </c>
      <c r="G198" t="str">
        <f>INDEX(Establishment!C$2:C$1005,MATCH($E198,Establishment!$A$2:$A$1005,0))</f>
        <v xml:space="preserve"> </v>
      </c>
      <c r="M198">
        <f t="shared" si="21"/>
        <v>0</v>
      </c>
      <c r="N198">
        <f t="shared" si="20"/>
        <v>0</v>
      </c>
      <c r="P198" t="e">
        <f>INDEX(Items!B$2:B$1032,MATCH($O198,Items!$A$2:$A$1032,0))</f>
        <v>#N/A</v>
      </c>
      <c r="Q198" t="e">
        <f>INDEX(Items!C$2:C$1032,MATCH($O198,Items!$A$2:$A$1032,0))</f>
        <v>#N/A</v>
      </c>
      <c r="R198" t="e">
        <f>INDEX(Items!D$2:D$1032,MATCH($O198,Items!$A$2:$A$1032,0))</f>
        <v>#N/A</v>
      </c>
    </row>
    <row r="199" spans="1:18" x14ac:dyDescent="0.25">
      <c r="A199">
        <f t="shared" si="19"/>
        <v>1</v>
      </c>
      <c r="B199" t="str">
        <f t="shared" ref="B199:B262" si="22">IF(D199&lt;&gt;"",TEXT(D199,"YYYYMMDD")&amp;CHAR(64+A199),"")</f>
        <v/>
      </c>
      <c r="C199">
        <f t="shared" si="18"/>
        <v>1</v>
      </c>
      <c r="D199" s="4"/>
      <c r="E199" t="s">
        <v>18</v>
      </c>
      <c r="F199" t="str">
        <f>INDEX(Establishment!B$2:B$1005,MATCH($E199,Establishment!$A$2:$A$1005,0))</f>
        <v xml:space="preserve"> </v>
      </c>
      <c r="G199" t="str">
        <f>INDEX(Establishment!C$2:C$1005,MATCH($E199,Establishment!$A$2:$A$1005,0))</f>
        <v xml:space="preserve"> </v>
      </c>
      <c r="M199">
        <f t="shared" si="21"/>
        <v>0</v>
      </c>
      <c r="N199">
        <f t="shared" si="20"/>
        <v>0</v>
      </c>
      <c r="P199" t="e">
        <f>INDEX(Items!B$2:B$1032,MATCH($O199,Items!$A$2:$A$1032,0))</f>
        <v>#N/A</v>
      </c>
      <c r="Q199" t="e">
        <f>INDEX(Items!C$2:C$1032,MATCH($O199,Items!$A$2:$A$1032,0))</f>
        <v>#N/A</v>
      </c>
      <c r="R199" t="e">
        <f>INDEX(Items!D$2:D$1032,MATCH($O199,Items!$A$2:$A$1032,0))</f>
        <v>#N/A</v>
      </c>
    </row>
    <row r="200" spans="1:18" x14ac:dyDescent="0.25">
      <c r="A200">
        <f t="shared" si="19"/>
        <v>1</v>
      </c>
      <c r="B200" t="str">
        <f t="shared" si="22"/>
        <v/>
      </c>
      <c r="C200">
        <f t="shared" si="18"/>
        <v>1</v>
      </c>
      <c r="D200" s="4"/>
      <c r="E200" t="s">
        <v>18</v>
      </c>
      <c r="F200" t="str">
        <f>INDEX(Establishment!B$2:B$1005,MATCH($E200,Establishment!$A$2:$A$1005,0))</f>
        <v xml:space="preserve"> </v>
      </c>
      <c r="G200" t="str">
        <f>INDEX(Establishment!C$2:C$1005,MATCH($E200,Establishment!$A$2:$A$1005,0))</f>
        <v xml:space="preserve"> </v>
      </c>
      <c r="M200">
        <f t="shared" si="21"/>
        <v>0</v>
      </c>
      <c r="N200">
        <f t="shared" si="20"/>
        <v>0</v>
      </c>
      <c r="P200" t="e">
        <f>INDEX(Items!B$2:B$1032,MATCH($O200,Items!$A$2:$A$1032,0))</f>
        <v>#N/A</v>
      </c>
      <c r="Q200" t="e">
        <f>INDEX(Items!C$2:C$1032,MATCH($O200,Items!$A$2:$A$1032,0))</f>
        <v>#N/A</v>
      </c>
      <c r="R200" t="e">
        <f>INDEX(Items!D$2:D$1032,MATCH($O200,Items!$A$2:$A$1032,0))</f>
        <v>#N/A</v>
      </c>
    </row>
    <row r="201" spans="1:18" x14ac:dyDescent="0.25">
      <c r="A201">
        <f t="shared" si="19"/>
        <v>1</v>
      </c>
      <c r="B201" t="str">
        <f t="shared" si="22"/>
        <v/>
      </c>
      <c r="C201">
        <f t="shared" si="18"/>
        <v>1</v>
      </c>
      <c r="D201" s="4"/>
      <c r="E201" t="s">
        <v>18</v>
      </c>
      <c r="F201" t="str">
        <f>INDEX(Establishment!B$2:B$1005,MATCH($E201,Establishment!$A$2:$A$1005,0))</f>
        <v xml:space="preserve"> </v>
      </c>
      <c r="G201" t="str">
        <f>INDEX(Establishment!C$2:C$1005,MATCH($E201,Establishment!$A$2:$A$1005,0))</f>
        <v xml:space="preserve"> </v>
      </c>
      <c r="M201">
        <f t="shared" si="21"/>
        <v>0</v>
      </c>
      <c r="N201">
        <f t="shared" si="20"/>
        <v>0</v>
      </c>
      <c r="P201" t="e">
        <f>INDEX(Items!B$2:B$1032,MATCH($O201,Items!$A$2:$A$1032,0))</f>
        <v>#N/A</v>
      </c>
      <c r="Q201" t="e">
        <f>INDEX(Items!C$2:C$1032,MATCH($O201,Items!$A$2:$A$1032,0))</f>
        <v>#N/A</v>
      </c>
      <c r="R201" t="e">
        <f>INDEX(Items!D$2:D$1032,MATCH($O201,Items!$A$2:$A$1032,0))</f>
        <v>#N/A</v>
      </c>
    </row>
    <row r="202" spans="1:18" x14ac:dyDescent="0.25">
      <c r="A202">
        <f t="shared" si="19"/>
        <v>1</v>
      </c>
      <c r="B202" t="str">
        <f t="shared" si="22"/>
        <v/>
      </c>
      <c r="C202">
        <f t="shared" ref="C202:C265" si="23">IF(OR(B202="",B202&lt;&gt;B201),1,C201+1)</f>
        <v>1</v>
      </c>
      <c r="D202" s="4"/>
      <c r="E202" t="s">
        <v>18</v>
      </c>
      <c r="F202" t="str">
        <f>INDEX(Establishment!B$2:B$1005,MATCH($E202,Establishment!$A$2:$A$1005,0))</f>
        <v xml:space="preserve"> </v>
      </c>
      <c r="G202" t="str">
        <f>INDEX(Establishment!C$2:C$1005,MATCH($E202,Establishment!$A$2:$A$1005,0))</f>
        <v xml:space="preserve"> </v>
      </c>
      <c r="M202">
        <f t="shared" si="21"/>
        <v>0</v>
      </c>
      <c r="N202">
        <f t="shared" si="20"/>
        <v>0</v>
      </c>
      <c r="P202" t="e">
        <f>INDEX(Items!B$2:B$1032,MATCH($O202,Items!$A$2:$A$1032,0))</f>
        <v>#N/A</v>
      </c>
      <c r="Q202" t="e">
        <f>INDEX(Items!C$2:C$1032,MATCH($O202,Items!$A$2:$A$1032,0))</f>
        <v>#N/A</v>
      </c>
      <c r="R202" t="e">
        <f>INDEX(Items!D$2:D$1032,MATCH($O202,Items!$A$2:$A$1032,0))</f>
        <v>#N/A</v>
      </c>
    </row>
    <row r="203" spans="1:18" x14ac:dyDescent="0.25">
      <c r="A203">
        <f t="shared" si="19"/>
        <v>1</v>
      </c>
      <c r="B203" t="str">
        <f t="shared" si="22"/>
        <v/>
      </c>
      <c r="C203">
        <f t="shared" si="23"/>
        <v>1</v>
      </c>
      <c r="D203" s="4"/>
      <c r="E203" t="s">
        <v>18</v>
      </c>
      <c r="F203" t="str">
        <f>INDEX(Establishment!B$2:B$1005,MATCH($E203,Establishment!$A$2:$A$1005,0))</f>
        <v xml:space="preserve"> </v>
      </c>
      <c r="G203" t="str">
        <f>INDEX(Establishment!C$2:C$1005,MATCH($E203,Establishment!$A$2:$A$1005,0))</f>
        <v xml:space="preserve"> </v>
      </c>
      <c r="M203">
        <f t="shared" si="21"/>
        <v>0</v>
      </c>
      <c r="N203">
        <f t="shared" si="20"/>
        <v>0</v>
      </c>
      <c r="P203" t="e">
        <f>INDEX(Items!B$2:B$1032,MATCH($O203,Items!$A$2:$A$1032,0))</f>
        <v>#N/A</v>
      </c>
      <c r="Q203" t="e">
        <f>INDEX(Items!C$2:C$1032,MATCH($O203,Items!$A$2:$A$1032,0))</f>
        <v>#N/A</v>
      </c>
      <c r="R203" t="e">
        <f>INDEX(Items!D$2:D$1032,MATCH($O203,Items!$A$2:$A$1032,0))</f>
        <v>#N/A</v>
      </c>
    </row>
    <row r="204" spans="1:18" x14ac:dyDescent="0.25">
      <c r="A204">
        <f t="shared" si="19"/>
        <v>1</v>
      </c>
      <c r="B204" t="str">
        <f t="shared" si="22"/>
        <v/>
      </c>
      <c r="C204">
        <f t="shared" si="23"/>
        <v>1</v>
      </c>
      <c r="D204" s="4"/>
      <c r="E204" t="s">
        <v>18</v>
      </c>
      <c r="F204" t="str">
        <f>INDEX(Establishment!B$2:B$1005,MATCH($E204,Establishment!$A$2:$A$1005,0))</f>
        <v xml:space="preserve"> </v>
      </c>
      <c r="G204" t="str">
        <f>INDEX(Establishment!C$2:C$1005,MATCH($E204,Establishment!$A$2:$A$1005,0))</f>
        <v xml:space="preserve"> </v>
      </c>
      <c r="M204">
        <f t="shared" si="21"/>
        <v>0</v>
      </c>
      <c r="N204">
        <f t="shared" si="20"/>
        <v>0</v>
      </c>
      <c r="P204" t="e">
        <f>INDEX(Items!B$2:B$1032,MATCH($O204,Items!$A$2:$A$1032,0))</f>
        <v>#N/A</v>
      </c>
      <c r="Q204" t="e">
        <f>INDEX(Items!C$2:C$1032,MATCH($O204,Items!$A$2:$A$1032,0))</f>
        <v>#N/A</v>
      </c>
      <c r="R204" t="e">
        <f>INDEX(Items!D$2:D$1032,MATCH($O204,Items!$A$2:$A$1032,0))</f>
        <v>#N/A</v>
      </c>
    </row>
    <row r="205" spans="1:18" x14ac:dyDescent="0.25">
      <c r="A205">
        <f t="shared" si="19"/>
        <v>1</v>
      </c>
      <c r="B205" t="str">
        <f t="shared" si="22"/>
        <v/>
      </c>
      <c r="C205">
        <f t="shared" si="23"/>
        <v>1</v>
      </c>
      <c r="D205" s="4"/>
      <c r="E205" t="s">
        <v>18</v>
      </c>
      <c r="F205" t="str">
        <f>INDEX(Establishment!B$2:B$1005,MATCH($E205,Establishment!$A$2:$A$1005,0))</f>
        <v xml:space="preserve"> </v>
      </c>
      <c r="G205" t="str">
        <f>INDEX(Establishment!C$2:C$1005,MATCH($E205,Establishment!$A$2:$A$1005,0))</f>
        <v xml:space="preserve"> </v>
      </c>
      <c r="M205">
        <f t="shared" si="21"/>
        <v>0</v>
      </c>
      <c r="N205">
        <f t="shared" si="20"/>
        <v>0</v>
      </c>
      <c r="P205" t="e">
        <f>INDEX(Items!B$2:B$1032,MATCH($O205,Items!$A$2:$A$1032,0))</f>
        <v>#N/A</v>
      </c>
      <c r="Q205" t="e">
        <f>INDEX(Items!C$2:C$1032,MATCH($O205,Items!$A$2:$A$1032,0))</f>
        <v>#N/A</v>
      </c>
      <c r="R205" t="e">
        <f>INDEX(Items!D$2:D$1032,MATCH($O205,Items!$A$2:$A$1032,0))</f>
        <v>#N/A</v>
      </c>
    </row>
    <row r="206" spans="1:18" x14ac:dyDescent="0.25">
      <c r="A206">
        <f t="shared" si="19"/>
        <v>1</v>
      </c>
      <c r="B206" t="str">
        <f t="shared" si="22"/>
        <v/>
      </c>
      <c r="C206">
        <f t="shared" si="23"/>
        <v>1</v>
      </c>
      <c r="D206" s="4"/>
      <c r="E206" t="s">
        <v>18</v>
      </c>
      <c r="F206" t="str">
        <f>INDEX(Establishment!B$2:B$1005,MATCH($E206,Establishment!$A$2:$A$1005,0))</f>
        <v xml:space="preserve"> </v>
      </c>
      <c r="G206" t="str">
        <f>INDEX(Establishment!C$2:C$1005,MATCH($E206,Establishment!$A$2:$A$1005,0))</f>
        <v xml:space="preserve"> </v>
      </c>
      <c r="M206">
        <f t="shared" si="21"/>
        <v>0</v>
      </c>
      <c r="N206">
        <f t="shared" si="20"/>
        <v>0</v>
      </c>
      <c r="P206" t="e">
        <f>INDEX(Items!B$2:B$1032,MATCH($O206,Items!$A$2:$A$1032,0))</f>
        <v>#N/A</v>
      </c>
      <c r="Q206" t="e">
        <f>INDEX(Items!C$2:C$1032,MATCH($O206,Items!$A$2:$A$1032,0))</f>
        <v>#N/A</v>
      </c>
      <c r="R206" t="e">
        <f>INDEX(Items!D$2:D$1032,MATCH($O206,Items!$A$2:$A$1032,0))</f>
        <v>#N/A</v>
      </c>
    </row>
    <row r="207" spans="1:18" x14ac:dyDescent="0.25">
      <c r="A207">
        <f t="shared" si="19"/>
        <v>1</v>
      </c>
      <c r="B207" t="str">
        <f t="shared" si="22"/>
        <v/>
      </c>
      <c r="C207">
        <f t="shared" si="23"/>
        <v>1</v>
      </c>
      <c r="D207" s="4"/>
      <c r="E207" t="s">
        <v>18</v>
      </c>
      <c r="F207" t="str">
        <f>INDEX(Establishment!B$2:B$1005,MATCH($E207,Establishment!$A$2:$A$1005,0))</f>
        <v xml:space="preserve"> </v>
      </c>
      <c r="G207" t="str">
        <f>INDEX(Establishment!C$2:C$1005,MATCH($E207,Establishment!$A$2:$A$1005,0))</f>
        <v xml:space="preserve"> </v>
      </c>
      <c r="M207">
        <f t="shared" si="21"/>
        <v>0</v>
      </c>
      <c r="N207">
        <f t="shared" si="20"/>
        <v>0</v>
      </c>
      <c r="P207" t="e">
        <f>INDEX(Items!B$2:B$1032,MATCH($O207,Items!$A$2:$A$1032,0))</f>
        <v>#N/A</v>
      </c>
      <c r="Q207" t="e">
        <f>INDEX(Items!C$2:C$1032,MATCH($O207,Items!$A$2:$A$1032,0))</f>
        <v>#N/A</v>
      </c>
      <c r="R207" t="e">
        <f>INDEX(Items!D$2:D$1032,MATCH($O207,Items!$A$2:$A$1032,0))</f>
        <v>#N/A</v>
      </c>
    </row>
    <row r="208" spans="1:18" x14ac:dyDescent="0.25">
      <c r="A208">
        <f t="shared" si="19"/>
        <v>1</v>
      </c>
      <c r="B208" t="str">
        <f t="shared" si="22"/>
        <v/>
      </c>
      <c r="C208">
        <f t="shared" si="23"/>
        <v>1</v>
      </c>
      <c r="D208" s="4"/>
      <c r="E208" t="s">
        <v>18</v>
      </c>
      <c r="F208" t="str">
        <f>INDEX(Establishment!B$2:B$1005,MATCH($E208,Establishment!$A$2:$A$1005,0))</f>
        <v xml:space="preserve"> </v>
      </c>
      <c r="G208" t="str">
        <f>INDEX(Establishment!C$2:C$1005,MATCH($E208,Establishment!$A$2:$A$1005,0))</f>
        <v xml:space="preserve"> </v>
      </c>
      <c r="M208">
        <f t="shared" si="21"/>
        <v>0</v>
      </c>
      <c r="N208">
        <f t="shared" si="20"/>
        <v>0</v>
      </c>
      <c r="P208" t="e">
        <f>INDEX(Items!B$2:B$1032,MATCH($O208,Items!$A$2:$A$1032,0))</f>
        <v>#N/A</v>
      </c>
      <c r="Q208" t="e">
        <f>INDEX(Items!C$2:C$1032,MATCH($O208,Items!$A$2:$A$1032,0))</f>
        <v>#N/A</v>
      </c>
      <c r="R208" t="e">
        <f>INDEX(Items!D$2:D$1032,MATCH($O208,Items!$A$2:$A$1032,0))</f>
        <v>#N/A</v>
      </c>
    </row>
    <row r="209" spans="1:18" x14ac:dyDescent="0.25">
      <c r="A209">
        <f t="shared" si="19"/>
        <v>1</v>
      </c>
      <c r="B209" t="str">
        <f t="shared" si="22"/>
        <v/>
      </c>
      <c r="C209">
        <f t="shared" si="23"/>
        <v>1</v>
      </c>
      <c r="D209" s="4"/>
      <c r="E209" t="s">
        <v>18</v>
      </c>
      <c r="F209" t="str">
        <f>INDEX(Establishment!B$2:B$1005,MATCH($E209,Establishment!$A$2:$A$1005,0))</f>
        <v xml:space="preserve"> </v>
      </c>
      <c r="G209" t="str">
        <f>INDEX(Establishment!C$2:C$1005,MATCH($E209,Establishment!$A$2:$A$1005,0))</f>
        <v xml:space="preserve"> </v>
      </c>
      <c r="M209">
        <f t="shared" si="21"/>
        <v>0</v>
      </c>
      <c r="N209">
        <f t="shared" si="20"/>
        <v>0</v>
      </c>
      <c r="P209" t="e">
        <f>INDEX(Items!B$2:B$1032,MATCH($O209,Items!$A$2:$A$1032,0))</f>
        <v>#N/A</v>
      </c>
      <c r="Q209" t="e">
        <f>INDEX(Items!C$2:C$1032,MATCH($O209,Items!$A$2:$A$1032,0))</f>
        <v>#N/A</v>
      </c>
      <c r="R209" t="e">
        <f>INDEX(Items!D$2:D$1032,MATCH($O209,Items!$A$2:$A$1032,0))</f>
        <v>#N/A</v>
      </c>
    </row>
    <row r="210" spans="1:18" x14ac:dyDescent="0.25">
      <c r="A210">
        <f t="shared" si="19"/>
        <v>1</v>
      </c>
      <c r="B210" t="str">
        <f t="shared" si="22"/>
        <v/>
      </c>
      <c r="C210">
        <f t="shared" si="23"/>
        <v>1</v>
      </c>
      <c r="D210" s="4"/>
      <c r="E210" t="s">
        <v>18</v>
      </c>
      <c r="F210" t="str">
        <f>INDEX(Establishment!B$2:B$1005,MATCH($E210,Establishment!$A$2:$A$1005,0))</f>
        <v xml:space="preserve"> </v>
      </c>
      <c r="G210" t="str">
        <f>INDEX(Establishment!C$2:C$1005,MATCH($E210,Establishment!$A$2:$A$1005,0))</f>
        <v xml:space="preserve"> </v>
      </c>
      <c r="M210">
        <f t="shared" si="21"/>
        <v>0</v>
      </c>
      <c r="N210">
        <f t="shared" si="20"/>
        <v>0</v>
      </c>
      <c r="P210" t="e">
        <f>INDEX(Items!B$2:B$1032,MATCH($O210,Items!$A$2:$A$1032,0))</f>
        <v>#N/A</v>
      </c>
      <c r="Q210" t="e">
        <f>INDEX(Items!C$2:C$1032,MATCH($O210,Items!$A$2:$A$1032,0))</f>
        <v>#N/A</v>
      </c>
      <c r="R210" t="e">
        <f>INDEX(Items!D$2:D$1032,MATCH($O210,Items!$A$2:$A$1032,0))</f>
        <v>#N/A</v>
      </c>
    </row>
    <row r="211" spans="1:18" x14ac:dyDescent="0.25">
      <c r="A211">
        <f t="shared" si="19"/>
        <v>1</v>
      </c>
      <c r="B211" t="str">
        <f t="shared" si="22"/>
        <v/>
      </c>
      <c r="C211">
        <f t="shared" si="23"/>
        <v>1</v>
      </c>
      <c r="D211" s="4"/>
      <c r="E211" t="s">
        <v>18</v>
      </c>
      <c r="F211" t="str">
        <f>INDEX(Establishment!B$2:B$1005,MATCH($E211,Establishment!$A$2:$A$1005,0))</f>
        <v xml:space="preserve"> </v>
      </c>
      <c r="G211" t="str">
        <f>INDEX(Establishment!C$2:C$1005,MATCH($E211,Establishment!$A$2:$A$1005,0))</f>
        <v xml:space="preserve"> </v>
      </c>
      <c r="M211">
        <f t="shared" si="21"/>
        <v>0</v>
      </c>
      <c r="N211">
        <f t="shared" si="20"/>
        <v>0</v>
      </c>
      <c r="P211" t="e">
        <f>INDEX(Items!B$2:B$1032,MATCH($O211,Items!$A$2:$A$1032,0))</f>
        <v>#N/A</v>
      </c>
      <c r="Q211" t="e">
        <f>INDEX(Items!C$2:C$1032,MATCH($O211,Items!$A$2:$A$1032,0))</f>
        <v>#N/A</v>
      </c>
      <c r="R211" t="e">
        <f>INDEX(Items!D$2:D$1032,MATCH($O211,Items!$A$2:$A$1032,0))</f>
        <v>#N/A</v>
      </c>
    </row>
    <row r="212" spans="1:18" x14ac:dyDescent="0.25">
      <c r="A212">
        <f t="shared" si="19"/>
        <v>1</v>
      </c>
      <c r="B212" t="str">
        <f t="shared" si="22"/>
        <v/>
      </c>
      <c r="C212">
        <f t="shared" si="23"/>
        <v>1</v>
      </c>
      <c r="D212" s="4"/>
      <c r="E212" t="s">
        <v>18</v>
      </c>
      <c r="F212" t="str">
        <f>INDEX(Establishment!B$2:B$1005,MATCH($E212,Establishment!$A$2:$A$1005,0))</f>
        <v xml:space="preserve"> </v>
      </c>
      <c r="G212" t="str">
        <f>INDEX(Establishment!C$2:C$1005,MATCH($E212,Establishment!$A$2:$A$1005,0))</f>
        <v xml:space="preserve"> </v>
      </c>
      <c r="M212">
        <f t="shared" si="21"/>
        <v>0</v>
      </c>
      <c r="N212">
        <f t="shared" si="20"/>
        <v>0</v>
      </c>
      <c r="P212" t="e">
        <f>INDEX(Items!B$2:B$1032,MATCH($O212,Items!$A$2:$A$1032,0))</f>
        <v>#N/A</v>
      </c>
      <c r="Q212" t="e">
        <f>INDEX(Items!C$2:C$1032,MATCH($O212,Items!$A$2:$A$1032,0))</f>
        <v>#N/A</v>
      </c>
      <c r="R212" t="e">
        <f>INDEX(Items!D$2:D$1032,MATCH($O212,Items!$A$2:$A$1032,0))</f>
        <v>#N/A</v>
      </c>
    </row>
    <row r="213" spans="1:18" x14ac:dyDescent="0.25">
      <c r="A213">
        <f t="shared" si="19"/>
        <v>1</v>
      </c>
      <c r="B213" t="str">
        <f t="shared" si="22"/>
        <v/>
      </c>
      <c r="C213">
        <f t="shared" si="23"/>
        <v>1</v>
      </c>
      <c r="D213" s="4"/>
      <c r="E213" t="s">
        <v>18</v>
      </c>
      <c r="F213" t="str">
        <f>INDEX(Establishment!B$2:B$1005,MATCH($E213,Establishment!$A$2:$A$1005,0))</f>
        <v xml:space="preserve"> </v>
      </c>
      <c r="G213" t="str">
        <f>INDEX(Establishment!C$2:C$1005,MATCH($E213,Establishment!$A$2:$A$1005,0))</f>
        <v xml:space="preserve"> </v>
      </c>
      <c r="M213">
        <f t="shared" si="21"/>
        <v>0</v>
      </c>
      <c r="N213">
        <f t="shared" si="20"/>
        <v>0</v>
      </c>
      <c r="P213" t="e">
        <f>INDEX(Items!B$2:B$1032,MATCH($O213,Items!$A$2:$A$1032,0))</f>
        <v>#N/A</v>
      </c>
      <c r="Q213" t="e">
        <f>INDEX(Items!C$2:C$1032,MATCH($O213,Items!$A$2:$A$1032,0))</f>
        <v>#N/A</v>
      </c>
      <c r="R213" t="e">
        <f>INDEX(Items!D$2:D$1032,MATCH($O213,Items!$A$2:$A$1032,0))</f>
        <v>#N/A</v>
      </c>
    </row>
    <row r="214" spans="1:18" x14ac:dyDescent="0.25">
      <c r="A214">
        <f t="shared" si="19"/>
        <v>1</v>
      </c>
      <c r="B214" t="str">
        <f t="shared" si="22"/>
        <v/>
      </c>
      <c r="C214">
        <f t="shared" si="23"/>
        <v>1</v>
      </c>
      <c r="D214" s="4"/>
      <c r="E214" t="s">
        <v>18</v>
      </c>
      <c r="F214" t="str">
        <f>INDEX(Establishment!B$2:B$1005,MATCH($E214,Establishment!$A$2:$A$1005,0))</f>
        <v xml:space="preserve"> </v>
      </c>
      <c r="G214" t="str">
        <f>INDEX(Establishment!C$2:C$1005,MATCH($E214,Establishment!$A$2:$A$1005,0))</f>
        <v xml:space="preserve"> </v>
      </c>
      <c r="M214">
        <f t="shared" si="21"/>
        <v>0</v>
      </c>
      <c r="N214">
        <f t="shared" si="20"/>
        <v>0</v>
      </c>
      <c r="P214" t="e">
        <f>INDEX(Items!B$2:B$1032,MATCH($O214,Items!$A$2:$A$1032,0))</f>
        <v>#N/A</v>
      </c>
      <c r="Q214" t="e">
        <f>INDEX(Items!C$2:C$1032,MATCH($O214,Items!$A$2:$A$1032,0))</f>
        <v>#N/A</v>
      </c>
      <c r="R214" t="e">
        <f>INDEX(Items!D$2:D$1032,MATCH($O214,Items!$A$2:$A$1032,0))</f>
        <v>#N/A</v>
      </c>
    </row>
    <row r="215" spans="1:18" x14ac:dyDescent="0.25">
      <c r="A215">
        <f t="shared" si="19"/>
        <v>1</v>
      </c>
      <c r="B215" t="str">
        <f t="shared" si="22"/>
        <v/>
      </c>
      <c r="C215">
        <f t="shared" si="23"/>
        <v>1</v>
      </c>
      <c r="D215" s="4"/>
      <c r="E215" t="s">
        <v>18</v>
      </c>
      <c r="F215" t="str">
        <f>INDEX(Establishment!B$2:B$1005,MATCH($E215,Establishment!$A$2:$A$1005,0))</f>
        <v xml:space="preserve"> </v>
      </c>
      <c r="G215" t="str">
        <f>INDEX(Establishment!C$2:C$1005,MATCH($E215,Establishment!$A$2:$A$1005,0))</f>
        <v xml:space="preserve"> </v>
      </c>
      <c r="M215">
        <f t="shared" si="21"/>
        <v>0</v>
      </c>
      <c r="N215">
        <f t="shared" si="20"/>
        <v>0</v>
      </c>
      <c r="P215" t="e">
        <f>INDEX(Items!B$2:B$1032,MATCH($O215,Items!$A$2:$A$1032,0))</f>
        <v>#N/A</v>
      </c>
      <c r="Q215" t="e">
        <f>INDEX(Items!C$2:C$1032,MATCH($O215,Items!$A$2:$A$1032,0))</f>
        <v>#N/A</v>
      </c>
      <c r="R215" t="e">
        <f>INDEX(Items!D$2:D$1032,MATCH($O215,Items!$A$2:$A$1032,0))</f>
        <v>#N/A</v>
      </c>
    </row>
    <row r="216" spans="1:18" x14ac:dyDescent="0.25">
      <c r="A216">
        <f t="shared" si="19"/>
        <v>1</v>
      </c>
      <c r="B216" t="str">
        <f t="shared" si="22"/>
        <v/>
      </c>
      <c r="C216">
        <f t="shared" si="23"/>
        <v>1</v>
      </c>
      <c r="D216" s="4"/>
      <c r="E216" t="s">
        <v>18</v>
      </c>
      <c r="F216" t="str">
        <f>INDEX(Establishment!B$2:B$1005,MATCH($E216,Establishment!$A$2:$A$1005,0))</f>
        <v xml:space="preserve"> </v>
      </c>
      <c r="G216" t="str">
        <f>INDEX(Establishment!C$2:C$1005,MATCH($E216,Establishment!$A$2:$A$1005,0))</f>
        <v xml:space="preserve"> </v>
      </c>
      <c r="M216">
        <f t="shared" si="21"/>
        <v>0</v>
      </c>
      <c r="N216">
        <f t="shared" si="20"/>
        <v>0</v>
      </c>
      <c r="P216" t="e">
        <f>INDEX(Items!B$2:B$1032,MATCH($O216,Items!$A$2:$A$1032,0))</f>
        <v>#N/A</v>
      </c>
      <c r="Q216" t="e">
        <f>INDEX(Items!C$2:C$1032,MATCH($O216,Items!$A$2:$A$1032,0))</f>
        <v>#N/A</v>
      </c>
      <c r="R216" t="e">
        <f>INDEX(Items!D$2:D$1032,MATCH($O216,Items!$A$2:$A$1032,0))</f>
        <v>#N/A</v>
      </c>
    </row>
    <row r="217" spans="1:18" x14ac:dyDescent="0.25">
      <c r="A217">
        <f t="shared" si="19"/>
        <v>1</v>
      </c>
      <c r="B217" t="str">
        <f t="shared" si="22"/>
        <v/>
      </c>
      <c r="C217">
        <f t="shared" si="23"/>
        <v>1</v>
      </c>
      <c r="D217" s="4"/>
      <c r="E217" t="s">
        <v>18</v>
      </c>
      <c r="F217" t="str">
        <f>INDEX(Establishment!B$2:B$1005,MATCH($E217,Establishment!$A$2:$A$1005,0))</f>
        <v xml:space="preserve"> </v>
      </c>
      <c r="G217" t="str">
        <f>INDEX(Establishment!C$2:C$1005,MATCH($E217,Establishment!$A$2:$A$1005,0))</f>
        <v xml:space="preserve"> </v>
      </c>
      <c r="M217">
        <f t="shared" si="21"/>
        <v>0</v>
      </c>
      <c r="N217">
        <f t="shared" si="20"/>
        <v>0</v>
      </c>
      <c r="P217" t="e">
        <f>INDEX(Items!B$2:B$1032,MATCH($O217,Items!$A$2:$A$1032,0))</f>
        <v>#N/A</v>
      </c>
      <c r="Q217" t="e">
        <f>INDEX(Items!C$2:C$1032,MATCH($O217,Items!$A$2:$A$1032,0))</f>
        <v>#N/A</v>
      </c>
      <c r="R217" t="e">
        <f>INDEX(Items!D$2:D$1032,MATCH($O217,Items!$A$2:$A$1032,0))</f>
        <v>#N/A</v>
      </c>
    </row>
    <row r="218" spans="1:18" x14ac:dyDescent="0.25">
      <c r="A218">
        <f t="shared" si="19"/>
        <v>1</v>
      </c>
      <c r="B218" t="str">
        <f t="shared" si="22"/>
        <v/>
      </c>
      <c r="C218">
        <f t="shared" si="23"/>
        <v>1</v>
      </c>
      <c r="D218" s="4"/>
      <c r="E218" t="s">
        <v>18</v>
      </c>
      <c r="F218" t="str">
        <f>INDEX(Establishment!B$2:B$1005,MATCH($E218,Establishment!$A$2:$A$1005,0))</f>
        <v xml:space="preserve"> </v>
      </c>
      <c r="G218" t="str">
        <f>INDEX(Establishment!C$2:C$1005,MATCH($E218,Establishment!$A$2:$A$1005,0))</f>
        <v xml:space="preserve"> </v>
      </c>
      <c r="M218">
        <f t="shared" si="21"/>
        <v>0</v>
      </c>
      <c r="N218">
        <f t="shared" si="20"/>
        <v>0</v>
      </c>
      <c r="P218" t="e">
        <f>INDEX(Items!B$2:B$1032,MATCH($O218,Items!$A$2:$A$1032,0))</f>
        <v>#N/A</v>
      </c>
      <c r="Q218" t="e">
        <f>INDEX(Items!C$2:C$1032,MATCH($O218,Items!$A$2:$A$1032,0))</f>
        <v>#N/A</v>
      </c>
      <c r="R218" t="e">
        <f>INDEX(Items!D$2:D$1032,MATCH($O218,Items!$A$2:$A$1032,0))</f>
        <v>#N/A</v>
      </c>
    </row>
    <row r="219" spans="1:18" x14ac:dyDescent="0.25">
      <c r="A219">
        <f t="shared" si="19"/>
        <v>1</v>
      </c>
      <c r="B219" t="str">
        <f t="shared" si="22"/>
        <v/>
      </c>
      <c r="C219">
        <f t="shared" si="23"/>
        <v>1</v>
      </c>
      <c r="D219" s="4"/>
      <c r="E219" t="s">
        <v>18</v>
      </c>
      <c r="F219" t="str">
        <f>INDEX(Establishment!B$2:B$1005,MATCH($E219,Establishment!$A$2:$A$1005,0))</f>
        <v xml:space="preserve"> </v>
      </c>
      <c r="G219" t="str">
        <f>INDEX(Establishment!C$2:C$1005,MATCH($E219,Establishment!$A$2:$A$1005,0))</f>
        <v xml:space="preserve"> </v>
      </c>
      <c r="M219">
        <f t="shared" si="21"/>
        <v>0</v>
      </c>
      <c r="N219">
        <f t="shared" si="20"/>
        <v>0</v>
      </c>
      <c r="P219" t="e">
        <f>INDEX(Items!B$2:B$1032,MATCH($O219,Items!$A$2:$A$1032,0))</f>
        <v>#N/A</v>
      </c>
      <c r="Q219" t="e">
        <f>INDEX(Items!C$2:C$1032,MATCH($O219,Items!$A$2:$A$1032,0))</f>
        <v>#N/A</v>
      </c>
      <c r="R219" t="e">
        <f>INDEX(Items!D$2:D$1032,MATCH($O219,Items!$A$2:$A$1032,0))</f>
        <v>#N/A</v>
      </c>
    </row>
    <row r="220" spans="1:18" x14ac:dyDescent="0.25">
      <c r="A220">
        <f t="shared" si="19"/>
        <v>1</v>
      </c>
      <c r="B220" t="str">
        <f t="shared" si="22"/>
        <v/>
      </c>
      <c r="C220">
        <f t="shared" si="23"/>
        <v>1</v>
      </c>
      <c r="D220" s="4"/>
      <c r="E220" t="s">
        <v>18</v>
      </c>
      <c r="F220" t="str">
        <f>INDEX(Establishment!B$2:B$1005,MATCH($E220,Establishment!$A$2:$A$1005,0))</f>
        <v xml:space="preserve"> </v>
      </c>
      <c r="G220" t="str">
        <f>INDEX(Establishment!C$2:C$1005,MATCH($E220,Establishment!$A$2:$A$1005,0))</f>
        <v xml:space="preserve"> </v>
      </c>
      <c r="M220">
        <f t="shared" si="21"/>
        <v>0</v>
      </c>
      <c r="N220">
        <f t="shared" si="20"/>
        <v>0</v>
      </c>
      <c r="P220" t="e">
        <f>INDEX(Items!B$2:B$1032,MATCH($O220,Items!$A$2:$A$1032,0))</f>
        <v>#N/A</v>
      </c>
      <c r="Q220" t="e">
        <f>INDEX(Items!C$2:C$1032,MATCH($O220,Items!$A$2:$A$1032,0))</f>
        <v>#N/A</v>
      </c>
      <c r="R220" t="e">
        <f>INDEX(Items!D$2:D$1032,MATCH($O220,Items!$A$2:$A$1032,0))</f>
        <v>#N/A</v>
      </c>
    </row>
    <row r="221" spans="1:18" x14ac:dyDescent="0.25">
      <c r="A221">
        <f t="shared" si="19"/>
        <v>1</v>
      </c>
      <c r="B221" t="str">
        <f t="shared" si="22"/>
        <v/>
      </c>
      <c r="C221">
        <f t="shared" si="23"/>
        <v>1</v>
      </c>
      <c r="D221" s="4"/>
      <c r="E221" t="s">
        <v>18</v>
      </c>
      <c r="F221" t="str">
        <f>INDEX(Establishment!B$2:B$1005,MATCH($E221,Establishment!$A$2:$A$1005,0))</f>
        <v xml:space="preserve"> </v>
      </c>
      <c r="G221" t="str">
        <f>INDEX(Establishment!C$2:C$1005,MATCH($E221,Establishment!$A$2:$A$1005,0))</f>
        <v xml:space="preserve"> </v>
      </c>
      <c r="M221">
        <f t="shared" si="21"/>
        <v>0</v>
      </c>
      <c r="N221">
        <f t="shared" si="20"/>
        <v>0</v>
      </c>
      <c r="P221" t="e">
        <f>INDEX(Items!B$2:B$1032,MATCH($O221,Items!$A$2:$A$1032,0))</f>
        <v>#N/A</v>
      </c>
      <c r="Q221" t="e">
        <f>INDEX(Items!C$2:C$1032,MATCH($O221,Items!$A$2:$A$1032,0))</f>
        <v>#N/A</v>
      </c>
      <c r="R221" t="e">
        <f>INDEX(Items!D$2:D$1032,MATCH($O221,Items!$A$2:$A$1032,0))</f>
        <v>#N/A</v>
      </c>
    </row>
    <row r="222" spans="1:18" x14ac:dyDescent="0.25">
      <c r="A222">
        <f t="shared" si="19"/>
        <v>1</v>
      </c>
      <c r="B222" t="str">
        <f t="shared" si="22"/>
        <v/>
      </c>
      <c r="C222">
        <f t="shared" si="23"/>
        <v>1</v>
      </c>
      <c r="D222" s="4"/>
      <c r="E222" t="s">
        <v>18</v>
      </c>
      <c r="F222" t="str">
        <f>INDEX(Establishment!B$2:B$1005,MATCH($E222,Establishment!$A$2:$A$1005,0))</f>
        <v xml:space="preserve"> </v>
      </c>
      <c r="G222" t="str">
        <f>INDEX(Establishment!C$2:C$1005,MATCH($E222,Establishment!$A$2:$A$1005,0))</f>
        <v xml:space="preserve"> </v>
      </c>
      <c r="M222">
        <f t="shared" si="21"/>
        <v>0</v>
      </c>
      <c r="N222">
        <f t="shared" si="20"/>
        <v>0</v>
      </c>
      <c r="P222" t="e">
        <f>INDEX(Items!B$2:B$1032,MATCH($O222,Items!$A$2:$A$1032,0))</f>
        <v>#N/A</v>
      </c>
      <c r="Q222" t="e">
        <f>INDEX(Items!C$2:C$1032,MATCH($O222,Items!$A$2:$A$1032,0))</f>
        <v>#N/A</v>
      </c>
      <c r="R222" t="e">
        <f>INDEX(Items!D$2:D$1032,MATCH($O222,Items!$A$2:$A$1032,0))</f>
        <v>#N/A</v>
      </c>
    </row>
    <row r="223" spans="1:18" x14ac:dyDescent="0.25">
      <c r="A223">
        <f t="shared" si="19"/>
        <v>1</v>
      </c>
      <c r="B223" t="str">
        <f t="shared" si="22"/>
        <v/>
      </c>
      <c r="C223">
        <f t="shared" si="23"/>
        <v>1</v>
      </c>
      <c r="D223" s="4"/>
      <c r="E223" t="s">
        <v>18</v>
      </c>
      <c r="F223" t="str">
        <f>INDEX(Establishment!B$2:B$1005,MATCH($E223,Establishment!$A$2:$A$1005,0))</f>
        <v xml:space="preserve"> </v>
      </c>
      <c r="G223" t="str">
        <f>INDEX(Establishment!C$2:C$1005,MATCH($E223,Establishment!$A$2:$A$1005,0))</f>
        <v xml:space="preserve"> </v>
      </c>
      <c r="M223">
        <f t="shared" si="21"/>
        <v>0</v>
      </c>
      <c r="N223">
        <f t="shared" si="20"/>
        <v>0</v>
      </c>
      <c r="P223" t="e">
        <f>INDEX(Items!B$2:B$1032,MATCH($O223,Items!$A$2:$A$1032,0))</f>
        <v>#N/A</v>
      </c>
      <c r="Q223" t="e">
        <f>INDEX(Items!C$2:C$1032,MATCH($O223,Items!$A$2:$A$1032,0))</f>
        <v>#N/A</v>
      </c>
      <c r="R223" t="e">
        <f>INDEX(Items!D$2:D$1032,MATCH($O223,Items!$A$2:$A$1032,0))</f>
        <v>#N/A</v>
      </c>
    </row>
    <row r="224" spans="1:18" x14ac:dyDescent="0.25">
      <c r="A224">
        <f t="shared" si="19"/>
        <v>1</v>
      </c>
      <c r="B224" t="str">
        <f t="shared" si="22"/>
        <v/>
      </c>
      <c r="C224">
        <f t="shared" si="23"/>
        <v>1</v>
      </c>
      <c r="D224" s="4"/>
      <c r="E224" t="s">
        <v>18</v>
      </c>
      <c r="F224" t="str">
        <f>INDEX(Establishment!B$2:B$1005,MATCH($E224,Establishment!$A$2:$A$1005,0))</f>
        <v xml:space="preserve"> </v>
      </c>
      <c r="G224" t="str">
        <f>INDEX(Establishment!C$2:C$1005,MATCH($E224,Establishment!$A$2:$A$1005,0))</f>
        <v xml:space="preserve"> </v>
      </c>
      <c r="M224">
        <f t="shared" si="21"/>
        <v>0</v>
      </c>
      <c r="N224">
        <f t="shared" si="20"/>
        <v>0</v>
      </c>
      <c r="P224" t="e">
        <f>INDEX(Items!B$2:B$1032,MATCH($O224,Items!$A$2:$A$1032,0))</f>
        <v>#N/A</v>
      </c>
      <c r="Q224" t="e">
        <f>INDEX(Items!C$2:C$1032,MATCH($O224,Items!$A$2:$A$1032,0))</f>
        <v>#N/A</v>
      </c>
      <c r="R224" t="e">
        <f>INDEX(Items!D$2:D$1032,MATCH($O224,Items!$A$2:$A$1032,0))</f>
        <v>#N/A</v>
      </c>
    </row>
    <row r="225" spans="1:18" x14ac:dyDescent="0.25">
      <c r="A225">
        <f t="shared" si="19"/>
        <v>1</v>
      </c>
      <c r="B225" t="str">
        <f t="shared" si="22"/>
        <v/>
      </c>
      <c r="C225">
        <f t="shared" si="23"/>
        <v>1</v>
      </c>
      <c r="D225" s="4"/>
      <c r="E225" t="s">
        <v>18</v>
      </c>
      <c r="F225" t="str">
        <f>INDEX(Establishment!B$2:B$1005,MATCH($E225,Establishment!$A$2:$A$1005,0))</f>
        <v xml:space="preserve"> </v>
      </c>
      <c r="G225" t="str">
        <f>INDEX(Establishment!C$2:C$1005,MATCH($E225,Establishment!$A$2:$A$1005,0))</f>
        <v xml:space="preserve"> </v>
      </c>
      <c r="M225">
        <f t="shared" si="21"/>
        <v>0</v>
      </c>
      <c r="N225">
        <f t="shared" si="20"/>
        <v>0</v>
      </c>
      <c r="P225" t="e">
        <f>INDEX(Items!B$2:B$1032,MATCH($O225,Items!$A$2:$A$1032,0))</f>
        <v>#N/A</v>
      </c>
      <c r="Q225" t="e">
        <f>INDEX(Items!C$2:C$1032,MATCH($O225,Items!$A$2:$A$1032,0))</f>
        <v>#N/A</v>
      </c>
      <c r="R225" t="e">
        <f>INDEX(Items!D$2:D$1032,MATCH($O225,Items!$A$2:$A$1032,0))</f>
        <v>#N/A</v>
      </c>
    </row>
    <row r="226" spans="1:18" x14ac:dyDescent="0.25">
      <c r="A226">
        <f t="shared" si="19"/>
        <v>1</v>
      </c>
      <c r="B226" t="str">
        <f t="shared" si="22"/>
        <v/>
      </c>
      <c r="C226">
        <f t="shared" si="23"/>
        <v>1</v>
      </c>
      <c r="D226" s="4"/>
      <c r="E226" t="s">
        <v>18</v>
      </c>
      <c r="F226" t="str">
        <f>INDEX(Establishment!B$2:B$1005,MATCH($E226,Establishment!$A$2:$A$1005,0))</f>
        <v xml:space="preserve"> </v>
      </c>
      <c r="G226" t="str">
        <f>INDEX(Establishment!C$2:C$1005,MATCH($E226,Establishment!$A$2:$A$1005,0))</f>
        <v xml:space="preserve"> </v>
      </c>
      <c r="M226">
        <f t="shared" si="21"/>
        <v>0</v>
      </c>
      <c r="N226">
        <f t="shared" si="20"/>
        <v>0</v>
      </c>
      <c r="P226" t="e">
        <f>INDEX(Items!B$2:B$1032,MATCH($O226,Items!$A$2:$A$1032,0))</f>
        <v>#N/A</v>
      </c>
      <c r="Q226" t="e">
        <f>INDEX(Items!C$2:C$1032,MATCH($O226,Items!$A$2:$A$1032,0))</f>
        <v>#N/A</v>
      </c>
      <c r="R226" t="e">
        <f>INDEX(Items!D$2:D$1032,MATCH($O226,Items!$A$2:$A$1032,0))</f>
        <v>#N/A</v>
      </c>
    </row>
    <row r="227" spans="1:18" x14ac:dyDescent="0.25">
      <c r="A227">
        <f t="shared" si="19"/>
        <v>1</v>
      </c>
      <c r="B227" t="str">
        <f t="shared" si="22"/>
        <v/>
      </c>
      <c r="C227">
        <f t="shared" si="23"/>
        <v>1</v>
      </c>
      <c r="D227" s="4"/>
      <c r="E227" t="s">
        <v>18</v>
      </c>
      <c r="F227" t="str">
        <f>INDEX(Establishment!B$2:B$1005,MATCH($E227,Establishment!$A$2:$A$1005,0))</f>
        <v xml:space="preserve"> </v>
      </c>
      <c r="G227" t="str">
        <f>INDEX(Establishment!C$2:C$1005,MATCH($E227,Establishment!$A$2:$A$1005,0))</f>
        <v xml:space="preserve"> </v>
      </c>
      <c r="M227">
        <f t="shared" si="21"/>
        <v>0</v>
      </c>
      <c r="N227">
        <f t="shared" si="20"/>
        <v>0</v>
      </c>
      <c r="P227" t="e">
        <f>INDEX(Items!B$2:B$1032,MATCH($O227,Items!$A$2:$A$1032,0))</f>
        <v>#N/A</v>
      </c>
      <c r="Q227" t="e">
        <f>INDEX(Items!C$2:C$1032,MATCH($O227,Items!$A$2:$A$1032,0))</f>
        <v>#N/A</v>
      </c>
      <c r="R227" t="e">
        <f>INDEX(Items!D$2:D$1032,MATCH($O227,Items!$A$2:$A$1032,0))</f>
        <v>#N/A</v>
      </c>
    </row>
    <row r="228" spans="1:18" x14ac:dyDescent="0.25">
      <c r="A228">
        <f t="shared" si="19"/>
        <v>1</v>
      </c>
      <c r="B228" t="str">
        <f t="shared" si="22"/>
        <v/>
      </c>
      <c r="C228">
        <f t="shared" si="23"/>
        <v>1</v>
      </c>
      <c r="D228" s="4"/>
      <c r="E228" t="s">
        <v>18</v>
      </c>
      <c r="F228" t="str">
        <f>INDEX(Establishment!B$2:B$1005,MATCH($E228,Establishment!$A$2:$A$1005,0))</f>
        <v xml:space="preserve"> </v>
      </c>
      <c r="G228" t="str">
        <f>INDEX(Establishment!C$2:C$1005,MATCH($E228,Establishment!$A$2:$A$1005,0))</f>
        <v xml:space="preserve"> </v>
      </c>
      <c r="M228">
        <f t="shared" si="21"/>
        <v>0</v>
      </c>
      <c r="N228">
        <f t="shared" si="20"/>
        <v>0</v>
      </c>
      <c r="P228" t="e">
        <f>INDEX(Items!B$2:B$1032,MATCH($O228,Items!$A$2:$A$1032,0))</f>
        <v>#N/A</v>
      </c>
      <c r="Q228" t="e">
        <f>INDEX(Items!C$2:C$1032,MATCH($O228,Items!$A$2:$A$1032,0))</f>
        <v>#N/A</v>
      </c>
      <c r="R228" t="e">
        <f>INDEX(Items!D$2:D$1032,MATCH($O228,Items!$A$2:$A$1032,0))</f>
        <v>#N/A</v>
      </c>
    </row>
    <row r="229" spans="1:18" x14ac:dyDescent="0.25">
      <c r="A229">
        <f t="shared" si="19"/>
        <v>1</v>
      </c>
      <c r="B229" t="str">
        <f t="shared" si="22"/>
        <v/>
      </c>
      <c r="C229">
        <f t="shared" si="23"/>
        <v>1</v>
      </c>
      <c r="D229" s="4"/>
      <c r="E229" t="s">
        <v>18</v>
      </c>
      <c r="F229" t="str">
        <f>INDEX(Establishment!B$2:B$1005,MATCH($E229,Establishment!$A$2:$A$1005,0))</f>
        <v xml:space="preserve"> </v>
      </c>
      <c r="G229" t="str">
        <f>INDEX(Establishment!C$2:C$1005,MATCH($E229,Establishment!$A$2:$A$1005,0))</f>
        <v xml:space="preserve"> </v>
      </c>
      <c r="M229">
        <f t="shared" si="21"/>
        <v>0</v>
      </c>
      <c r="N229">
        <f t="shared" si="20"/>
        <v>0</v>
      </c>
      <c r="P229" t="e">
        <f>INDEX(Items!B$2:B$1032,MATCH($O229,Items!$A$2:$A$1032,0))</f>
        <v>#N/A</v>
      </c>
      <c r="Q229" t="e">
        <f>INDEX(Items!C$2:C$1032,MATCH($O229,Items!$A$2:$A$1032,0))</f>
        <v>#N/A</v>
      </c>
      <c r="R229" t="e">
        <f>INDEX(Items!D$2:D$1032,MATCH($O229,Items!$A$2:$A$1032,0))</f>
        <v>#N/A</v>
      </c>
    </row>
    <row r="230" spans="1:18" x14ac:dyDescent="0.25">
      <c r="A230">
        <f t="shared" si="19"/>
        <v>1</v>
      </c>
      <c r="B230" t="str">
        <f t="shared" si="22"/>
        <v/>
      </c>
      <c r="C230">
        <f t="shared" si="23"/>
        <v>1</v>
      </c>
      <c r="D230" s="4"/>
      <c r="E230" t="s">
        <v>18</v>
      </c>
      <c r="F230" t="str">
        <f>INDEX(Establishment!B$2:B$1005,MATCH($E230,Establishment!$A$2:$A$1005,0))</f>
        <v xml:space="preserve"> </v>
      </c>
      <c r="G230" t="str">
        <f>INDEX(Establishment!C$2:C$1005,MATCH($E230,Establishment!$A$2:$A$1005,0))</f>
        <v xml:space="preserve"> </v>
      </c>
      <c r="M230">
        <f t="shared" si="21"/>
        <v>0</v>
      </c>
      <c r="N230">
        <f t="shared" si="20"/>
        <v>0</v>
      </c>
      <c r="P230" t="e">
        <f>INDEX(Items!B$2:B$1032,MATCH($O230,Items!$A$2:$A$1032,0))</f>
        <v>#N/A</v>
      </c>
      <c r="Q230" t="e">
        <f>INDEX(Items!C$2:C$1032,MATCH($O230,Items!$A$2:$A$1032,0))</f>
        <v>#N/A</v>
      </c>
      <c r="R230" t="e">
        <f>INDEX(Items!D$2:D$1032,MATCH($O230,Items!$A$2:$A$1032,0))</f>
        <v>#N/A</v>
      </c>
    </row>
    <row r="231" spans="1:18" x14ac:dyDescent="0.25">
      <c r="A231">
        <f t="shared" si="19"/>
        <v>1</v>
      </c>
      <c r="B231" t="str">
        <f t="shared" si="22"/>
        <v/>
      </c>
      <c r="C231">
        <f t="shared" si="23"/>
        <v>1</v>
      </c>
      <c r="D231" s="4"/>
      <c r="E231" t="s">
        <v>18</v>
      </c>
      <c r="F231" t="str">
        <f>INDEX(Establishment!B$2:B$1005,MATCH($E231,Establishment!$A$2:$A$1005,0))</f>
        <v xml:space="preserve"> </v>
      </c>
      <c r="G231" t="str">
        <f>INDEX(Establishment!C$2:C$1005,MATCH($E231,Establishment!$A$2:$A$1005,0))</f>
        <v xml:space="preserve"> </v>
      </c>
      <c r="M231">
        <f t="shared" si="21"/>
        <v>0</v>
      </c>
      <c r="N231">
        <f t="shared" si="20"/>
        <v>0</v>
      </c>
      <c r="P231" t="e">
        <f>INDEX(Items!B$2:B$1032,MATCH($O231,Items!$A$2:$A$1032,0))</f>
        <v>#N/A</v>
      </c>
      <c r="Q231" t="e">
        <f>INDEX(Items!C$2:C$1032,MATCH($O231,Items!$A$2:$A$1032,0))</f>
        <v>#N/A</v>
      </c>
      <c r="R231" t="e">
        <f>INDEX(Items!D$2:D$1032,MATCH($O231,Items!$A$2:$A$1032,0))</f>
        <v>#N/A</v>
      </c>
    </row>
    <row r="232" spans="1:18" x14ac:dyDescent="0.25">
      <c r="A232">
        <f t="shared" si="19"/>
        <v>1</v>
      </c>
      <c r="B232" t="str">
        <f t="shared" si="22"/>
        <v/>
      </c>
      <c r="C232">
        <f t="shared" si="23"/>
        <v>1</v>
      </c>
      <c r="D232" s="4"/>
      <c r="E232" t="s">
        <v>18</v>
      </c>
      <c r="F232" t="str">
        <f>INDEX(Establishment!B$2:B$1005,MATCH($E232,Establishment!$A$2:$A$1005,0))</f>
        <v xml:space="preserve"> </v>
      </c>
      <c r="G232" t="str">
        <f>INDEX(Establishment!C$2:C$1005,MATCH($E232,Establishment!$A$2:$A$1005,0))</f>
        <v xml:space="preserve"> </v>
      </c>
      <c r="M232">
        <f t="shared" si="21"/>
        <v>0</v>
      </c>
      <c r="N232">
        <f t="shared" si="20"/>
        <v>0</v>
      </c>
      <c r="P232" t="e">
        <f>INDEX(Items!B$2:B$1032,MATCH($O232,Items!$A$2:$A$1032,0))</f>
        <v>#N/A</v>
      </c>
      <c r="Q232" t="e">
        <f>INDEX(Items!C$2:C$1032,MATCH($O232,Items!$A$2:$A$1032,0))</f>
        <v>#N/A</v>
      </c>
      <c r="R232" t="e">
        <f>INDEX(Items!D$2:D$1032,MATCH($O232,Items!$A$2:$A$1032,0))</f>
        <v>#N/A</v>
      </c>
    </row>
    <row r="233" spans="1:18" x14ac:dyDescent="0.25">
      <c r="A233">
        <f t="shared" si="19"/>
        <v>1</v>
      </c>
      <c r="B233" t="str">
        <f t="shared" si="22"/>
        <v/>
      </c>
      <c r="C233">
        <f t="shared" si="23"/>
        <v>1</v>
      </c>
      <c r="D233" s="4"/>
      <c r="E233" t="s">
        <v>18</v>
      </c>
      <c r="F233" t="str">
        <f>INDEX(Establishment!B$2:B$1005,MATCH($E233,Establishment!$A$2:$A$1005,0))</f>
        <v xml:space="preserve"> </v>
      </c>
      <c r="G233" t="str">
        <f>INDEX(Establishment!C$2:C$1005,MATCH($E233,Establishment!$A$2:$A$1005,0))</f>
        <v xml:space="preserve"> </v>
      </c>
      <c r="M233">
        <f t="shared" si="21"/>
        <v>0</v>
      </c>
      <c r="N233">
        <f t="shared" si="20"/>
        <v>0</v>
      </c>
      <c r="P233" t="e">
        <f>INDEX(Items!B$2:B$1032,MATCH($O233,Items!$A$2:$A$1032,0))</f>
        <v>#N/A</v>
      </c>
      <c r="Q233" t="e">
        <f>INDEX(Items!C$2:C$1032,MATCH($O233,Items!$A$2:$A$1032,0))</f>
        <v>#N/A</v>
      </c>
      <c r="R233" t="e">
        <f>INDEX(Items!D$2:D$1032,MATCH($O233,Items!$A$2:$A$1032,0))</f>
        <v>#N/A</v>
      </c>
    </row>
    <row r="234" spans="1:18" x14ac:dyDescent="0.25">
      <c r="A234">
        <f t="shared" si="19"/>
        <v>1</v>
      </c>
      <c r="B234" t="str">
        <f t="shared" si="22"/>
        <v/>
      </c>
      <c r="C234">
        <f t="shared" si="23"/>
        <v>1</v>
      </c>
      <c r="D234" s="4"/>
      <c r="E234" t="s">
        <v>18</v>
      </c>
      <c r="F234" t="str">
        <f>INDEX(Establishment!B$2:B$1005,MATCH($E234,Establishment!$A$2:$A$1005,0))</f>
        <v xml:space="preserve"> </v>
      </c>
      <c r="G234" t="str">
        <f>INDEX(Establishment!C$2:C$1005,MATCH($E234,Establishment!$A$2:$A$1005,0))</f>
        <v xml:space="preserve"> </v>
      </c>
      <c r="M234">
        <f t="shared" si="21"/>
        <v>0</v>
      </c>
      <c r="N234">
        <f t="shared" si="20"/>
        <v>0</v>
      </c>
      <c r="P234" t="e">
        <f>INDEX(Items!B$2:B$1032,MATCH($O234,Items!$A$2:$A$1032,0))</f>
        <v>#N/A</v>
      </c>
      <c r="Q234" t="e">
        <f>INDEX(Items!C$2:C$1032,MATCH($O234,Items!$A$2:$A$1032,0))</f>
        <v>#N/A</v>
      </c>
      <c r="R234" t="e">
        <f>INDEX(Items!D$2:D$1032,MATCH($O234,Items!$A$2:$A$1032,0))</f>
        <v>#N/A</v>
      </c>
    </row>
    <row r="235" spans="1:18" x14ac:dyDescent="0.25">
      <c r="A235">
        <f t="shared" si="19"/>
        <v>1</v>
      </c>
      <c r="B235" t="str">
        <f t="shared" si="22"/>
        <v/>
      </c>
      <c r="C235">
        <f t="shared" si="23"/>
        <v>1</v>
      </c>
      <c r="D235" s="4"/>
      <c r="E235" t="s">
        <v>18</v>
      </c>
      <c r="F235" t="str">
        <f>INDEX(Establishment!B$2:B$1005,MATCH($E235,Establishment!$A$2:$A$1005,0))</f>
        <v xml:space="preserve"> </v>
      </c>
      <c r="G235" t="str">
        <f>INDEX(Establishment!C$2:C$1005,MATCH($E235,Establishment!$A$2:$A$1005,0))</f>
        <v xml:space="preserve"> </v>
      </c>
      <c r="M235">
        <f t="shared" si="21"/>
        <v>0</v>
      </c>
      <c r="N235">
        <f t="shared" si="20"/>
        <v>0</v>
      </c>
      <c r="P235" t="e">
        <f>INDEX(Items!B$2:B$1032,MATCH($O235,Items!$A$2:$A$1032,0))</f>
        <v>#N/A</v>
      </c>
      <c r="Q235" t="e">
        <f>INDEX(Items!C$2:C$1032,MATCH($O235,Items!$A$2:$A$1032,0))</f>
        <v>#N/A</v>
      </c>
      <c r="R235" t="e">
        <f>INDEX(Items!D$2:D$1032,MATCH($O235,Items!$A$2:$A$1032,0))</f>
        <v>#N/A</v>
      </c>
    </row>
    <row r="236" spans="1:18" x14ac:dyDescent="0.25">
      <c r="A236">
        <f t="shared" si="19"/>
        <v>1</v>
      </c>
      <c r="B236" t="str">
        <f t="shared" si="22"/>
        <v/>
      </c>
      <c r="C236">
        <f t="shared" si="23"/>
        <v>1</v>
      </c>
      <c r="D236" s="4"/>
      <c r="E236" t="s">
        <v>18</v>
      </c>
      <c r="F236" t="str">
        <f>INDEX(Establishment!B$2:B$1005,MATCH($E236,Establishment!$A$2:$A$1005,0))</f>
        <v xml:space="preserve"> </v>
      </c>
      <c r="G236" t="str">
        <f>INDEX(Establishment!C$2:C$1005,MATCH($E236,Establishment!$A$2:$A$1005,0))</f>
        <v xml:space="preserve"> </v>
      </c>
      <c r="M236">
        <f t="shared" si="21"/>
        <v>0</v>
      </c>
      <c r="N236">
        <f t="shared" si="20"/>
        <v>0</v>
      </c>
      <c r="P236" t="e">
        <f>INDEX(Items!B$2:B$1032,MATCH($O236,Items!$A$2:$A$1032,0))</f>
        <v>#N/A</v>
      </c>
      <c r="Q236" t="e">
        <f>INDEX(Items!C$2:C$1032,MATCH($O236,Items!$A$2:$A$1032,0))</f>
        <v>#N/A</v>
      </c>
      <c r="R236" t="e">
        <f>INDEX(Items!D$2:D$1032,MATCH($O236,Items!$A$2:$A$1032,0))</f>
        <v>#N/A</v>
      </c>
    </row>
    <row r="237" spans="1:18" x14ac:dyDescent="0.25">
      <c r="A237">
        <f t="shared" si="19"/>
        <v>1</v>
      </c>
      <c r="B237" t="str">
        <f t="shared" si="22"/>
        <v/>
      </c>
      <c r="C237">
        <f t="shared" si="23"/>
        <v>1</v>
      </c>
      <c r="D237" s="4"/>
      <c r="E237" t="s">
        <v>18</v>
      </c>
      <c r="F237" t="str">
        <f>INDEX(Establishment!B$2:B$1005,MATCH($E237,Establishment!$A$2:$A$1005,0))</f>
        <v xml:space="preserve"> </v>
      </c>
      <c r="G237" t="str">
        <f>INDEX(Establishment!C$2:C$1005,MATCH($E237,Establishment!$A$2:$A$1005,0))</f>
        <v xml:space="preserve"> </v>
      </c>
      <c r="M237">
        <f t="shared" si="21"/>
        <v>0</v>
      </c>
      <c r="N237">
        <f t="shared" si="20"/>
        <v>0</v>
      </c>
      <c r="P237" t="e">
        <f>INDEX(Items!B$2:B$1032,MATCH($O237,Items!$A$2:$A$1032,0))</f>
        <v>#N/A</v>
      </c>
      <c r="Q237" t="e">
        <f>INDEX(Items!C$2:C$1032,MATCH($O237,Items!$A$2:$A$1032,0))</f>
        <v>#N/A</v>
      </c>
      <c r="R237" t="e">
        <f>INDEX(Items!D$2:D$1032,MATCH($O237,Items!$A$2:$A$1032,0))</f>
        <v>#N/A</v>
      </c>
    </row>
    <row r="238" spans="1:18" x14ac:dyDescent="0.25">
      <c r="A238">
        <f t="shared" si="19"/>
        <v>1</v>
      </c>
      <c r="B238" t="str">
        <f t="shared" si="22"/>
        <v/>
      </c>
      <c r="C238">
        <f t="shared" si="23"/>
        <v>1</v>
      </c>
      <c r="D238" s="4"/>
      <c r="E238" t="s">
        <v>18</v>
      </c>
      <c r="F238" t="str">
        <f>INDEX(Establishment!B$2:B$1005,MATCH($E238,Establishment!$A$2:$A$1005,0))</f>
        <v xml:space="preserve"> </v>
      </c>
      <c r="G238" t="str">
        <f>INDEX(Establishment!C$2:C$1005,MATCH($E238,Establishment!$A$2:$A$1005,0))</f>
        <v xml:space="preserve"> </v>
      </c>
      <c r="M238">
        <f t="shared" si="21"/>
        <v>0</v>
      </c>
      <c r="N238">
        <f t="shared" si="20"/>
        <v>0</v>
      </c>
      <c r="P238" t="e">
        <f>INDEX(Items!B$2:B$1032,MATCH($O238,Items!$A$2:$A$1032,0))</f>
        <v>#N/A</v>
      </c>
      <c r="Q238" t="e">
        <f>INDEX(Items!C$2:C$1032,MATCH($O238,Items!$A$2:$A$1032,0))</f>
        <v>#N/A</v>
      </c>
      <c r="R238" t="e">
        <f>INDEX(Items!D$2:D$1032,MATCH($O238,Items!$A$2:$A$1032,0))</f>
        <v>#N/A</v>
      </c>
    </row>
    <row r="239" spans="1:18" x14ac:dyDescent="0.25">
      <c r="A239">
        <f t="shared" si="19"/>
        <v>1</v>
      </c>
      <c r="B239" t="str">
        <f t="shared" si="22"/>
        <v/>
      </c>
      <c r="C239">
        <f t="shared" si="23"/>
        <v>1</v>
      </c>
      <c r="D239" s="4"/>
      <c r="E239" t="s">
        <v>18</v>
      </c>
      <c r="F239" t="str">
        <f>INDEX(Establishment!B$2:B$1005,MATCH($E239,Establishment!$A$2:$A$1005,0))</f>
        <v xml:space="preserve"> </v>
      </c>
      <c r="G239" t="str">
        <f>INDEX(Establishment!C$2:C$1005,MATCH($E239,Establishment!$A$2:$A$1005,0))</f>
        <v xml:space="preserve"> </v>
      </c>
      <c r="M239">
        <f t="shared" si="21"/>
        <v>0</v>
      </c>
      <c r="N239">
        <f t="shared" si="20"/>
        <v>0</v>
      </c>
      <c r="P239" t="e">
        <f>INDEX(Items!B$2:B$1032,MATCH($O239,Items!$A$2:$A$1032,0))</f>
        <v>#N/A</v>
      </c>
      <c r="Q239" t="e">
        <f>INDEX(Items!C$2:C$1032,MATCH($O239,Items!$A$2:$A$1032,0))</f>
        <v>#N/A</v>
      </c>
      <c r="R239" t="e">
        <f>INDEX(Items!D$2:D$1032,MATCH($O239,Items!$A$2:$A$1032,0))</f>
        <v>#N/A</v>
      </c>
    </row>
    <row r="240" spans="1:18" x14ac:dyDescent="0.25">
      <c r="A240">
        <f t="shared" si="19"/>
        <v>1</v>
      </c>
      <c r="B240" t="str">
        <f t="shared" si="22"/>
        <v/>
      </c>
      <c r="C240">
        <f t="shared" si="23"/>
        <v>1</v>
      </c>
      <c r="D240" s="4"/>
      <c r="E240" t="s">
        <v>18</v>
      </c>
      <c r="F240" t="str">
        <f>INDEX(Establishment!B$2:B$1005,MATCH($E240,Establishment!$A$2:$A$1005,0))</f>
        <v xml:space="preserve"> </v>
      </c>
      <c r="G240" t="str">
        <f>INDEX(Establishment!C$2:C$1005,MATCH($E240,Establishment!$A$2:$A$1005,0))</f>
        <v xml:space="preserve"> </v>
      </c>
      <c r="M240">
        <f t="shared" si="21"/>
        <v>0</v>
      </c>
      <c r="N240">
        <f t="shared" si="20"/>
        <v>0</v>
      </c>
      <c r="P240" t="e">
        <f>INDEX(Items!B$2:B$1032,MATCH($O240,Items!$A$2:$A$1032,0))</f>
        <v>#N/A</v>
      </c>
      <c r="Q240" t="e">
        <f>INDEX(Items!C$2:C$1032,MATCH($O240,Items!$A$2:$A$1032,0))</f>
        <v>#N/A</v>
      </c>
      <c r="R240" t="e">
        <f>INDEX(Items!D$2:D$1032,MATCH($O240,Items!$A$2:$A$1032,0))</f>
        <v>#N/A</v>
      </c>
    </row>
    <row r="241" spans="1:18" x14ac:dyDescent="0.25">
      <c r="A241">
        <f t="shared" si="19"/>
        <v>1</v>
      </c>
      <c r="B241" t="str">
        <f t="shared" si="22"/>
        <v/>
      </c>
      <c r="C241">
        <f t="shared" si="23"/>
        <v>1</v>
      </c>
      <c r="D241" s="4"/>
      <c r="E241" t="s">
        <v>18</v>
      </c>
      <c r="F241" t="str">
        <f>INDEX(Establishment!B$2:B$1005,MATCH($E241,Establishment!$A$2:$A$1005,0))</f>
        <v xml:space="preserve"> </v>
      </c>
      <c r="G241" t="str">
        <f>INDEX(Establishment!C$2:C$1005,MATCH($E241,Establishment!$A$2:$A$1005,0))</f>
        <v xml:space="preserve"> </v>
      </c>
      <c r="M241">
        <f t="shared" si="21"/>
        <v>0</v>
      </c>
      <c r="N241">
        <f t="shared" si="20"/>
        <v>0</v>
      </c>
      <c r="P241" t="e">
        <f>INDEX(Items!B$2:B$1032,MATCH($O241,Items!$A$2:$A$1032,0))</f>
        <v>#N/A</v>
      </c>
      <c r="Q241" t="e">
        <f>INDEX(Items!C$2:C$1032,MATCH($O241,Items!$A$2:$A$1032,0))</f>
        <v>#N/A</v>
      </c>
      <c r="R241" t="e">
        <f>INDEX(Items!D$2:D$1032,MATCH($O241,Items!$A$2:$A$1032,0))</f>
        <v>#N/A</v>
      </c>
    </row>
    <row r="242" spans="1:18" x14ac:dyDescent="0.25">
      <c r="A242">
        <f t="shared" si="19"/>
        <v>1</v>
      </c>
      <c r="B242" t="str">
        <f t="shared" si="22"/>
        <v/>
      </c>
      <c r="C242">
        <f t="shared" si="23"/>
        <v>1</v>
      </c>
      <c r="D242" s="4"/>
      <c r="E242" t="s">
        <v>18</v>
      </c>
      <c r="F242" t="str">
        <f>INDEX(Establishment!B$2:B$1005,MATCH($E242,Establishment!$A$2:$A$1005,0))</f>
        <v xml:space="preserve"> </v>
      </c>
      <c r="G242" t="str">
        <f>INDEX(Establishment!C$2:C$1005,MATCH($E242,Establishment!$A$2:$A$1005,0))</f>
        <v xml:space="preserve"> </v>
      </c>
      <c r="M242">
        <f t="shared" si="21"/>
        <v>0</v>
      </c>
      <c r="N242">
        <f t="shared" si="20"/>
        <v>0</v>
      </c>
      <c r="P242" t="e">
        <f>INDEX(Items!B$2:B$1032,MATCH($O242,Items!$A$2:$A$1032,0))</f>
        <v>#N/A</v>
      </c>
      <c r="Q242" t="e">
        <f>INDEX(Items!C$2:C$1032,MATCH($O242,Items!$A$2:$A$1032,0))</f>
        <v>#N/A</v>
      </c>
      <c r="R242" t="e">
        <f>INDEX(Items!D$2:D$1032,MATCH($O242,Items!$A$2:$A$1032,0))</f>
        <v>#N/A</v>
      </c>
    </row>
    <row r="243" spans="1:18" x14ac:dyDescent="0.25">
      <c r="A243">
        <f t="shared" si="19"/>
        <v>1</v>
      </c>
      <c r="B243" t="str">
        <f t="shared" si="22"/>
        <v/>
      </c>
      <c r="C243">
        <f t="shared" si="23"/>
        <v>1</v>
      </c>
      <c r="D243" s="4"/>
      <c r="E243" t="s">
        <v>18</v>
      </c>
      <c r="F243" t="str">
        <f>INDEX(Establishment!B$2:B$1005,MATCH($E243,Establishment!$A$2:$A$1005,0))</f>
        <v xml:space="preserve"> </v>
      </c>
      <c r="G243" t="str">
        <f>INDEX(Establishment!C$2:C$1005,MATCH($E243,Establishment!$A$2:$A$1005,0))</f>
        <v xml:space="preserve"> </v>
      </c>
      <c r="M243">
        <f t="shared" si="21"/>
        <v>0</v>
      </c>
      <c r="N243">
        <f t="shared" si="20"/>
        <v>0</v>
      </c>
      <c r="P243" t="e">
        <f>INDEX(Items!B$2:B$1032,MATCH($O243,Items!$A$2:$A$1032,0))</f>
        <v>#N/A</v>
      </c>
      <c r="Q243" t="e">
        <f>INDEX(Items!C$2:C$1032,MATCH($O243,Items!$A$2:$A$1032,0))</f>
        <v>#N/A</v>
      </c>
      <c r="R243" t="e">
        <f>INDEX(Items!D$2:D$1032,MATCH($O243,Items!$A$2:$A$1032,0))</f>
        <v>#N/A</v>
      </c>
    </row>
    <row r="244" spans="1:18" x14ac:dyDescent="0.25">
      <c r="A244">
        <f t="shared" si="19"/>
        <v>1</v>
      </c>
      <c r="B244" t="str">
        <f t="shared" si="22"/>
        <v/>
      </c>
      <c r="C244">
        <f t="shared" si="23"/>
        <v>1</v>
      </c>
      <c r="D244" s="4"/>
      <c r="E244" t="s">
        <v>18</v>
      </c>
      <c r="F244" t="str">
        <f>INDEX(Establishment!B$2:B$1005,MATCH($E244,Establishment!$A$2:$A$1005,0))</f>
        <v xml:space="preserve"> </v>
      </c>
      <c r="G244" t="str">
        <f>INDEX(Establishment!C$2:C$1005,MATCH($E244,Establishment!$A$2:$A$1005,0))</f>
        <v xml:space="preserve"> </v>
      </c>
      <c r="M244">
        <f t="shared" si="21"/>
        <v>0</v>
      </c>
      <c r="N244">
        <f t="shared" si="20"/>
        <v>0</v>
      </c>
      <c r="P244" t="e">
        <f>INDEX(Items!B$2:B$1032,MATCH($O244,Items!$A$2:$A$1032,0))</f>
        <v>#N/A</v>
      </c>
      <c r="Q244" t="e">
        <f>INDEX(Items!C$2:C$1032,MATCH($O244,Items!$A$2:$A$1032,0))</f>
        <v>#N/A</v>
      </c>
      <c r="R244" t="e">
        <f>INDEX(Items!D$2:D$1032,MATCH($O244,Items!$A$2:$A$1032,0))</f>
        <v>#N/A</v>
      </c>
    </row>
    <row r="245" spans="1:18" x14ac:dyDescent="0.25">
      <c r="A245">
        <f t="shared" si="19"/>
        <v>1</v>
      </c>
      <c r="B245" t="str">
        <f t="shared" si="22"/>
        <v/>
      </c>
      <c r="C245">
        <f t="shared" si="23"/>
        <v>1</v>
      </c>
      <c r="D245" s="4"/>
      <c r="E245" t="s">
        <v>18</v>
      </c>
      <c r="F245" t="str">
        <f>INDEX(Establishment!B$2:B$1005,MATCH($E245,Establishment!$A$2:$A$1005,0))</f>
        <v xml:space="preserve"> </v>
      </c>
      <c r="G245" t="str">
        <f>INDEX(Establishment!C$2:C$1005,MATCH($E245,Establishment!$A$2:$A$1005,0))</f>
        <v xml:space="preserve"> </v>
      </c>
      <c r="M245">
        <f t="shared" si="21"/>
        <v>0</v>
      </c>
      <c r="N245">
        <f t="shared" si="20"/>
        <v>0</v>
      </c>
      <c r="P245" t="e">
        <f>INDEX(Items!B$2:B$1032,MATCH($O245,Items!$A$2:$A$1032,0))</f>
        <v>#N/A</v>
      </c>
      <c r="Q245" t="e">
        <f>INDEX(Items!C$2:C$1032,MATCH($O245,Items!$A$2:$A$1032,0))</f>
        <v>#N/A</v>
      </c>
      <c r="R245" t="e">
        <f>INDEX(Items!D$2:D$1032,MATCH($O245,Items!$A$2:$A$1032,0))</f>
        <v>#N/A</v>
      </c>
    </row>
    <row r="246" spans="1:18" x14ac:dyDescent="0.25">
      <c r="A246">
        <f t="shared" si="19"/>
        <v>1</v>
      </c>
      <c r="B246" t="str">
        <f t="shared" si="22"/>
        <v/>
      </c>
      <c r="C246">
        <f t="shared" si="23"/>
        <v>1</v>
      </c>
      <c r="D246" s="4"/>
      <c r="E246" t="s">
        <v>18</v>
      </c>
      <c r="F246" t="str">
        <f>INDEX(Establishment!B$2:B$1005,MATCH($E246,Establishment!$A$2:$A$1005,0))</f>
        <v xml:space="preserve"> </v>
      </c>
      <c r="G246" t="str">
        <f>INDEX(Establishment!C$2:C$1005,MATCH($E246,Establishment!$A$2:$A$1005,0))</f>
        <v xml:space="preserve"> </v>
      </c>
      <c r="M246">
        <f t="shared" si="21"/>
        <v>0</v>
      </c>
      <c r="N246">
        <f t="shared" si="20"/>
        <v>0</v>
      </c>
      <c r="P246" t="e">
        <f>INDEX(Items!B$2:B$1032,MATCH($O246,Items!$A$2:$A$1032,0))</f>
        <v>#N/A</v>
      </c>
      <c r="Q246" t="e">
        <f>INDEX(Items!C$2:C$1032,MATCH($O246,Items!$A$2:$A$1032,0))</f>
        <v>#N/A</v>
      </c>
      <c r="R246" t="e">
        <f>INDEX(Items!D$2:D$1032,MATCH($O246,Items!$A$2:$A$1032,0))</f>
        <v>#N/A</v>
      </c>
    </row>
    <row r="247" spans="1:18" x14ac:dyDescent="0.25">
      <c r="A247">
        <f t="shared" si="19"/>
        <v>1</v>
      </c>
      <c r="B247" t="str">
        <f t="shared" si="22"/>
        <v/>
      </c>
      <c r="C247">
        <f t="shared" si="23"/>
        <v>1</v>
      </c>
      <c r="D247" s="4"/>
      <c r="E247" t="s">
        <v>18</v>
      </c>
      <c r="F247" t="str">
        <f>INDEX(Establishment!B$2:B$1005,MATCH($E247,Establishment!$A$2:$A$1005,0))</f>
        <v xml:space="preserve"> </v>
      </c>
      <c r="G247" t="str">
        <f>INDEX(Establishment!C$2:C$1005,MATCH($E247,Establishment!$A$2:$A$1005,0))</f>
        <v xml:space="preserve"> </v>
      </c>
      <c r="M247">
        <f t="shared" si="21"/>
        <v>0</v>
      </c>
      <c r="N247">
        <f t="shared" si="20"/>
        <v>0</v>
      </c>
      <c r="P247" t="e">
        <f>INDEX(Items!B$2:B$1032,MATCH($O247,Items!$A$2:$A$1032,0))</f>
        <v>#N/A</v>
      </c>
      <c r="Q247" t="e">
        <f>INDEX(Items!C$2:C$1032,MATCH($O247,Items!$A$2:$A$1032,0))</f>
        <v>#N/A</v>
      </c>
      <c r="R247" t="e">
        <f>INDEX(Items!D$2:D$1032,MATCH($O247,Items!$A$2:$A$1032,0))</f>
        <v>#N/A</v>
      </c>
    </row>
    <row r="248" spans="1:18" x14ac:dyDescent="0.25">
      <c r="A248">
        <f t="shared" si="19"/>
        <v>1</v>
      </c>
      <c r="B248" t="str">
        <f t="shared" si="22"/>
        <v/>
      </c>
      <c r="C248">
        <f t="shared" si="23"/>
        <v>1</v>
      </c>
      <c r="D248" s="4"/>
      <c r="E248" t="s">
        <v>18</v>
      </c>
      <c r="F248" t="str">
        <f>INDEX(Establishment!B$2:B$1005,MATCH($E248,Establishment!$A$2:$A$1005,0))</f>
        <v xml:space="preserve"> </v>
      </c>
      <c r="G248" t="str">
        <f>INDEX(Establishment!C$2:C$1005,MATCH($E248,Establishment!$A$2:$A$1005,0))</f>
        <v xml:space="preserve"> </v>
      </c>
      <c r="M248">
        <f t="shared" si="21"/>
        <v>0</v>
      </c>
      <c r="N248">
        <f t="shared" si="20"/>
        <v>0</v>
      </c>
      <c r="P248" t="e">
        <f>INDEX(Items!B$2:B$1032,MATCH($O248,Items!$A$2:$A$1032,0))</f>
        <v>#N/A</v>
      </c>
      <c r="Q248" t="e">
        <f>INDEX(Items!C$2:C$1032,MATCH($O248,Items!$A$2:$A$1032,0))</f>
        <v>#N/A</v>
      </c>
      <c r="R248" t="e">
        <f>INDEX(Items!D$2:D$1032,MATCH($O248,Items!$A$2:$A$1032,0))</f>
        <v>#N/A</v>
      </c>
    </row>
    <row r="249" spans="1:18" x14ac:dyDescent="0.25">
      <c r="A249">
        <f t="shared" si="19"/>
        <v>1</v>
      </c>
      <c r="B249" t="str">
        <f t="shared" si="22"/>
        <v/>
      </c>
      <c r="C249">
        <f t="shared" si="23"/>
        <v>1</v>
      </c>
      <c r="D249" s="4"/>
      <c r="E249" t="s">
        <v>18</v>
      </c>
      <c r="F249" t="str">
        <f>INDEX(Establishment!B$2:B$1005,MATCH($E249,Establishment!$A$2:$A$1005,0))</f>
        <v xml:space="preserve"> </v>
      </c>
      <c r="G249" t="str">
        <f>INDEX(Establishment!C$2:C$1005,MATCH($E249,Establishment!$A$2:$A$1005,0))</f>
        <v xml:space="preserve"> </v>
      </c>
      <c r="M249">
        <f t="shared" si="21"/>
        <v>0</v>
      </c>
      <c r="N249">
        <f t="shared" si="20"/>
        <v>0</v>
      </c>
      <c r="P249" t="e">
        <f>INDEX(Items!B$2:B$1032,MATCH($O249,Items!$A$2:$A$1032,0))</f>
        <v>#N/A</v>
      </c>
      <c r="Q249" t="e">
        <f>INDEX(Items!C$2:C$1032,MATCH($O249,Items!$A$2:$A$1032,0))</f>
        <v>#N/A</v>
      </c>
      <c r="R249" t="e">
        <f>INDEX(Items!D$2:D$1032,MATCH($O249,Items!$A$2:$A$1032,0))</f>
        <v>#N/A</v>
      </c>
    </row>
    <row r="250" spans="1:18" x14ac:dyDescent="0.25">
      <c r="A250">
        <f t="shared" si="19"/>
        <v>1</v>
      </c>
      <c r="B250" t="str">
        <f t="shared" si="22"/>
        <v/>
      </c>
      <c r="C250">
        <f t="shared" si="23"/>
        <v>1</v>
      </c>
      <c r="D250" s="4"/>
      <c r="E250" t="s">
        <v>18</v>
      </c>
      <c r="F250" t="str">
        <f>INDEX(Establishment!B$2:B$1005,MATCH($E250,Establishment!$A$2:$A$1005,0))</f>
        <v xml:space="preserve"> </v>
      </c>
      <c r="G250" t="str">
        <f>INDEX(Establishment!C$2:C$1005,MATCH($E250,Establishment!$A$2:$A$1005,0))</f>
        <v xml:space="preserve"> </v>
      </c>
      <c r="M250">
        <f t="shared" si="21"/>
        <v>0</v>
      </c>
      <c r="N250">
        <f t="shared" si="20"/>
        <v>0</v>
      </c>
      <c r="P250" t="e">
        <f>INDEX(Items!B$2:B$1032,MATCH($O250,Items!$A$2:$A$1032,0))</f>
        <v>#N/A</v>
      </c>
      <c r="Q250" t="e">
        <f>INDEX(Items!C$2:C$1032,MATCH($O250,Items!$A$2:$A$1032,0))</f>
        <v>#N/A</v>
      </c>
      <c r="R250" t="e">
        <f>INDEX(Items!D$2:D$1032,MATCH($O250,Items!$A$2:$A$1032,0))</f>
        <v>#N/A</v>
      </c>
    </row>
    <row r="251" spans="1:18" x14ac:dyDescent="0.25">
      <c r="A251">
        <f t="shared" si="19"/>
        <v>1</v>
      </c>
      <c r="B251" t="str">
        <f t="shared" si="22"/>
        <v/>
      </c>
      <c r="C251">
        <f t="shared" si="23"/>
        <v>1</v>
      </c>
      <c r="D251" s="4"/>
      <c r="E251" t="s">
        <v>18</v>
      </c>
      <c r="F251" t="str">
        <f>INDEX(Establishment!B$2:B$1005,MATCH($E251,Establishment!$A$2:$A$1005,0))</f>
        <v xml:space="preserve"> </v>
      </c>
      <c r="G251" t="str">
        <f>INDEX(Establishment!C$2:C$1005,MATCH($E251,Establishment!$A$2:$A$1005,0))</f>
        <v xml:space="preserve"> </v>
      </c>
      <c r="M251">
        <f t="shared" si="21"/>
        <v>0</v>
      </c>
      <c r="N251">
        <f t="shared" si="20"/>
        <v>0</v>
      </c>
      <c r="P251" t="e">
        <f>INDEX(Items!B$2:B$1032,MATCH($O251,Items!$A$2:$A$1032,0))</f>
        <v>#N/A</v>
      </c>
      <c r="Q251" t="e">
        <f>INDEX(Items!C$2:C$1032,MATCH($O251,Items!$A$2:$A$1032,0))</f>
        <v>#N/A</v>
      </c>
      <c r="R251" t="e">
        <f>INDEX(Items!D$2:D$1032,MATCH($O251,Items!$A$2:$A$1032,0))</f>
        <v>#N/A</v>
      </c>
    </row>
    <row r="252" spans="1:18" x14ac:dyDescent="0.25">
      <c r="A252">
        <f t="shared" si="19"/>
        <v>1</v>
      </c>
      <c r="B252" t="str">
        <f t="shared" si="22"/>
        <v/>
      </c>
      <c r="C252">
        <f t="shared" si="23"/>
        <v>1</v>
      </c>
      <c r="D252" s="4"/>
      <c r="E252" t="s">
        <v>18</v>
      </c>
      <c r="F252" t="str">
        <f>INDEX(Establishment!B$2:B$1005,MATCH($E252,Establishment!$A$2:$A$1005,0))</f>
        <v xml:space="preserve"> </v>
      </c>
      <c r="G252" t="str">
        <f>INDEX(Establishment!C$2:C$1005,MATCH($E252,Establishment!$A$2:$A$1005,0))</f>
        <v xml:space="preserve"> </v>
      </c>
      <c r="M252">
        <f t="shared" si="21"/>
        <v>0</v>
      </c>
      <c r="N252">
        <f t="shared" si="20"/>
        <v>0</v>
      </c>
      <c r="P252" t="e">
        <f>INDEX(Items!B$2:B$1032,MATCH($O252,Items!$A$2:$A$1032,0))</f>
        <v>#N/A</v>
      </c>
      <c r="Q252" t="e">
        <f>INDEX(Items!C$2:C$1032,MATCH($O252,Items!$A$2:$A$1032,0))</f>
        <v>#N/A</v>
      </c>
      <c r="R252" t="e">
        <f>INDEX(Items!D$2:D$1032,MATCH($O252,Items!$A$2:$A$1032,0))</f>
        <v>#N/A</v>
      </c>
    </row>
    <row r="253" spans="1:18" x14ac:dyDescent="0.25">
      <c r="A253">
        <f t="shared" si="19"/>
        <v>1</v>
      </c>
      <c r="B253" t="str">
        <f t="shared" si="22"/>
        <v/>
      </c>
      <c r="C253">
        <f t="shared" si="23"/>
        <v>1</v>
      </c>
      <c r="D253" s="4"/>
      <c r="E253" t="s">
        <v>18</v>
      </c>
      <c r="F253" t="str">
        <f>INDEX(Establishment!B$2:B$1005,MATCH($E253,Establishment!$A$2:$A$1005,0))</f>
        <v xml:space="preserve"> </v>
      </c>
      <c r="G253" t="str">
        <f>INDEX(Establishment!C$2:C$1005,MATCH($E253,Establishment!$A$2:$A$1005,0))</f>
        <v xml:space="preserve"> </v>
      </c>
      <c r="M253">
        <f t="shared" si="21"/>
        <v>0</v>
      </c>
      <c r="N253">
        <f t="shared" si="20"/>
        <v>0</v>
      </c>
      <c r="P253" t="e">
        <f>INDEX(Items!B$2:B$1032,MATCH($O253,Items!$A$2:$A$1032,0))</f>
        <v>#N/A</v>
      </c>
      <c r="Q253" t="e">
        <f>INDEX(Items!C$2:C$1032,MATCH($O253,Items!$A$2:$A$1032,0))</f>
        <v>#N/A</v>
      </c>
      <c r="R253" t="e">
        <f>INDEX(Items!D$2:D$1032,MATCH($O253,Items!$A$2:$A$1032,0))</f>
        <v>#N/A</v>
      </c>
    </row>
    <row r="254" spans="1:18" x14ac:dyDescent="0.25">
      <c r="A254">
        <f t="shared" si="19"/>
        <v>1</v>
      </c>
      <c r="B254" t="str">
        <f t="shared" si="22"/>
        <v/>
      </c>
      <c r="C254">
        <f t="shared" si="23"/>
        <v>1</v>
      </c>
      <c r="D254" s="4"/>
      <c r="E254" t="s">
        <v>18</v>
      </c>
      <c r="F254" t="str">
        <f>INDEX(Establishment!B$2:B$1005,MATCH($E254,Establishment!$A$2:$A$1005,0))</f>
        <v xml:space="preserve"> </v>
      </c>
      <c r="G254" t="str">
        <f>INDEX(Establishment!C$2:C$1005,MATCH($E254,Establishment!$A$2:$A$1005,0))</f>
        <v xml:space="preserve"> </v>
      </c>
      <c r="M254">
        <f t="shared" si="21"/>
        <v>0</v>
      </c>
      <c r="N254">
        <f t="shared" si="20"/>
        <v>0</v>
      </c>
      <c r="P254" t="e">
        <f>INDEX(Items!B$2:B$1032,MATCH($O254,Items!$A$2:$A$1032,0))</f>
        <v>#N/A</v>
      </c>
      <c r="Q254" t="e">
        <f>INDEX(Items!C$2:C$1032,MATCH($O254,Items!$A$2:$A$1032,0))</f>
        <v>#N/A</v>
      </c>
      <c r="R254" t="e">
        <f>INDEX(Items!D$2:D$1032,MATCH($O254,Items!$A$2:$A$1032,0))</f>
        <v>#N/A</v>
      </c>
    </row>
    <row r="255" spans="1:18" x14ac:dyDescent="0.25">
      <c r="A255">
        <f t="shared" si="19"/>
        <v>1</v>
      </c>
      <c r="B255" t="str">
        <f t="shared" si="22"/>
        <v/>
      </c>
      <c r="C255">
        <f t="shared" si="23"/>
        <v>1</v>
      </c>
      <c r="D255" s="4"/>
      <c r="E255" t="s">
        <v>18</v>
      </c>
      <c r="F255" t="str">
        <f>INDEX(Establishment!B$2:B$1005,MATCH($E255,Establishment!$A$2:$A$1005,0))</f>
        <v xml:space="preserve"> </v>
      </c>
      <c r="G255" t="str">
        <f>INDEX(Establishment!C$2:C$1005,MATCH($E255,Establishment!$A$2:$A$1005,0))</f>
        <v xml:space="preserve"> </v>
      </c>
      <c r="M255">
        <f t="shared" si="21"/>
        <v>0</v>
      </c>
      <c r="N255">
        <f t="shared" si="20"/>
        <v>0</v>
      </c>
      <c r="P255" t="e">
        <f>INDEX(Items!B$2:B$1032,MATCH($O255,Items!$A$2:$A$1032,0))</f>
        <v>#N/A</v>
      </c>
      <c r="Q255" t="e">
        <f>INDEX(Items!C$2:C$1032,MATCH($O255,Items!$A$2:$A$1032,0))</f>
        <v>#N/A</v>
      </c>
      <c r="R255" t="e">
        <f>INDEX(Items!D$2:D$1032,MATCH($O255,Items!$A$2:$A$1032,0))</f>
        <v>#N/A</v>
      </c>
    </row>
    <row r="256" spans="1:18" x14ac:dyDescent="0.25">
      <c r="A256">
        <f t="shared" si="19"/>
        <v>1</v>
      </c>
      <c r="B256" t="str">
        <f t="shared" si="22"/>
        <v/>
      </c>
      <c r="C256">
        <f t="shared" si="23"/>
        <v>1</v>
      </c>
      <c r="D256" s="4"/>
      <c r="E256" t="s">
        <v>18</v>
      </c>
      <c r="F256" t="str">
        <f>INDEX(Establishment!B$2:B$1005,MATCH($E256,Establishment!$A$2:$A$1005,0))</f>
        <v xml:space="preserve"> </v>
      </c>
      <c r="G256" t="str">
        <f>INDEX(Establishment!C$2:C$1005,MATCH($E256,Establishment!$A$2:$A$1005,0))</f>
        <v xml:space="preserve"> </v>
      </c>
      <c r="M256">
        <f t="shared" si="21"/>
        <v>0</v>
      </c>
      <c r="N256">
        <f t="shared" si="20"/>
        <v>0</v>
      </c>
      <c r="P256" t="e">
        <f>INDEX(Items!B$2:B$1032,MATCH($O256,Items!$A$2:$A$1032,0))</f>
        <v>#N/A</v>
      </c>
      <c r="Q256" t="e">
        <f>INDEX(Items!C$2:C$1032,MATCH($O256,Items!$A$2:$A$1032,0))</f>
        <v>#N/A</v>
      </c>
      <c r="R256" t="e">
        <f>INDEX(Items!D$2:D$1032,MATCH($O256,Items!$A$2:$A$1032,0))</f>
        <v>#N/A</v>
      </c>
    </row>
    <row r="257" spans="1:18" x14ac:dyDescent="0.25">
      <c r="A257">
        <f t="shared" si="19"/>
        <v>1</v>
      </c>
      <c r="B257" t="str">
        <f t="shared" si="22"/>
        <v/>
      </c>
      <c r="C257">
        <f t="shared" si="23"/>
        <v>1</v>
      </c>
      <c r="D257" s="4"/>
      <c r="E257" t="s">
        <v>18</v>
      </c>
      <c r="F257" t="str">
        <f>INDEX(Establishment!B$2:B$1005,MATCH($E257,Establishment!$A$2:$A$1005,0))</f>
        <v xml:space="preserve"> </v>
      </c>
      <c r="G257" t="str">
        <f>INDEX(Establishment!C$2:C$1005,MATCH($E257,Establishment!$A$2:$A$1005,0))</f>
        <v xml:space="preserve"> </v>
      </c>
      <c r="M257">
        <f t="shared" si="21"/>
        <v>0</v>
      </c>
      <c r="N257">
        <f t="shared" si="20"/>
        <v>0</v>
      </c>
      <c r="P257" t="e">
        <f>INDEX(Items!B$2:B$1032,MATCH($O257,Items!$A$2:$A$1032,0))</f>
        <v>#N/A</v>
      </c>
      <c r="Q257" t="e">
        <f>INDEX(Items!C$2:C$1032,MATCH($O257,Items!$A$2:$A$1032,0))</f>
        <v>#N/A</v>
      </c>
      <c r="R257" t="e">
        <f>INDEX(Items!D$2:D$1032,MATCH($O257,Items!$A$2:$A$1032,0))</f>
        <v>#N/A</v>
      </c>
    </row>
    <row r="258" spans="1:18" x14ac:dyDescent="0.25">
      <c r="A258">
        <f t="shared" ref="A258:A321" si="24">IF(OR(D258&lt;&gt;D257,D258=""),1,IF(NOT(AND(E258=E257,F258=F257,G258=G257)),A257+1,IF(OR(H258="",AND(H258&lt;&gt;"",H258&lt;&gt;H257,H257&lt;&gt;"")),A257,A257+1)))</f>
        <v>1</v>
      </c>
      <c r="B258" t="str">
        <f t="shared" si="22"/>
        <v/>
      </c>
      <c r="C258">
        <f t="shared" si="23"/>
        <v>1</v>
      </c>
      <c r="D258" s="4"/>
      <c r="E258" t="s">
        <v>18</v>
      </c>
      <c r="F258" t="str">
        <f>INDEX(Establishment!B$2:B$1005,MATCH($E258,Establishment!$A$2:$A$1005,0))</f>
        <v xml:space="preserve"> </v>
      </c>
      <c r="G258" t="str">
        <f>INDEX(Establishment!C$2:C$1005,MATCH($E258,Establishment!$A$2:$A$1005,0))</f>
        <v xml:space="preserve"> </v>
      </c>
      <c r="M258">
        <f t="shared" si="21"/>
        <v>0</v>
      </c>
      <c r="N258">
        <f t="shared" si="20"/>
        <v>0</v>
      </c>
      <c r="P258" t="e">
        <f>INDEX(Items!B$2:B$1032,MATCH($O258,Items!$A$2:$A$1032,0))</f>
        <v>#N/A</v>
      </c>
      <c r="Q258" t="e">
        <f>INDEX(Items!C$2:C$1032,MATCH($O258,Items!$A$2:$A$1032,0))</f>
        <v>#N/A</v>
      </c>
      <c r="R258" t="e">
        <f>INDEX(Items!D$2:D$1032,MATCH($O258,Items!$A$2:$A$1032,0))</f>
        <v>#N/A</v>
      </c>
    </row>
    <row r="259" spans="1:18" x14ac:dyDescent="0.25">
      <c r="A259">
        <f t="shared" si="24"/>
        <v>1</v>
      </c>
      <c r="B259" t="str">
        <f t="shared" si="22"/>
        <v/>
      </c>
      <c r="C259">
        <f t="shared" si="23"/>
        <v>1</v>
      </c>
      <c r="D259" s="4"/>
      <c r="E259" t="s">
        <v>18</v>
      </c>
      <c r="F259" t="str">
        <f>INDEX(Establishment!B$2:B$1005,MATCH($E259,Establishment!$A$2:$A$1005,0))</f>
        <v xml:space="preserve"> </v>
      </c>
      <c r="G259" t="str">
        <f>INDEX(Establishment!C$2:C$1005,MATCH($E259,Establishment!$A$2:$A$1005,0))</f>
        <v xml:space="preserve"> </v>
      </c>
      <c r="M259">
        <f t="shared" si="21"/>
        <v>0</v>
      </c>
      <c r="N259">
        <f t="shared" ref="N259:N322" si="25">IF(B259=B258,N258+M259,M259)</f>
        <v>0</v>
      </c>
      <c r="P259" t="e">
        <f>INDEX(Items!B$2:B$1032,MATCH($O259,Items!$A$2:$A$1032,0))</f>
        <v>#N/A</v>
      </c>
      <c r="Q259" t="e">
        <f>INDEX(Items!C$2:C$1032,MATCH($O259,Items!$A$2:$A$1032,0))</f>
        <v>#N/A</v>
      </c>
      <c r="R259" t="e">
        <f>INDEX(Items!D$2:D$1032,MATCH($O259,Items!$A$2:$A$1032,0))</f>
        <v>#N/A</v>
      </c>
    </row>
    <row r="260" spans="1:18" x14ac:dyDescent="0.25">
      <c r="A260">
        <f t="shared" si="24"/>
        <v>1</v>
      </c>
      <c r="B260" t="str">
        <f t="shared" si="22"/>
        <v/>
      </c>
      <c r="C260">
        <f t="shared" si="23"/>
        <v>1</v>
      </c>
      <c r="D260" s="4"/>
      <c r="E260" t="s">
        <v>18</v>
      </c>
      <c r="F260" t="str">
        <f>INDEX(Establishment!B$2:B$1005,MATCH($E260,Establishment!$A$2:$A$1005,0))</f>
        <v xml:space="preserve"> </v>
      </c>
      <c r="G260" t="str">
        <f>INDEX(Establishment!C$2:C$1005,MATCH($E260,Establishment!$A$2:$A$1005,0))</f>
        <v xml:space="preserve"> </v>
      </c>
      <c r="M260">
        <f t="shared" ref="M260:M323" si="26">K260*L260</f>
        <v>0</v>
      </c>
      <c r="N260">
        <f t="shared" si="25"/>
        <v>0</v>
      </c>
      <c r="P260" t="e">
        <f>INDEX(Items!B$2:B$1032,MATCH($O260,Items!$A$2:$A$1032,0))</f>
        <v>#N/A</v>
      </c>
      <c r="Q260" t="e">
        <f>INDEX(Items!C$2:C$1032,MATCH($O260,Items!$A$2:$A$1032,0))</f>
        <v>#N/A</v>
      </c>
      <c r="R260" t="e">
        <f>INDEX(Items!D$2:D$1032,MATCH($O260,Items!$A$2:$A$1032,0))</f>
        <v>#N/A</v>
      </c>
    </row>
    <row r="261" spans="1:18" x14ac:dyDescent="0.25">
      <c r="A261">
        <f t="shared" si="24"/>
        <v>1</v>
      </c>
      <c r="B261" t="str">
        <f t="shared" si="22"/>
        <v/>
      </c>
      <c r="C261">
        <f t="shared" si="23"/>
        <v>1</v>
      </c>
      <c r="D261" s="4"/>
      <c r="E261" t="s">
        <v>18</v>
      </c>
      <c r="F261" t="str">
        <f>INDEX(Establishment!B$2:B$1005,MATCH($E261,Establishment!$A$2:$A$1005,0))</f>
        <v xml:space="preserve"> </v>
      </c>
      <c r="G261" t="str">
        <f>INDEX(Establishment!C$2:C$1005,MATCH($E261,Establishment!$A$2:$A$1005,0))</f>
        <v xml:space="preserve"> </v>
      </c>
      <c r="M261">
        <f t="shared" si="26"/>
        <v>0</v>
      </c>
      <c r="N261">
        <f t="shared" si="25"/>
        <v>0</v>
      </c>
      <c r="P261" t="e">
        <f>INDEX(Items!B$2:B$1032,MATCH($O261,Items!$A$2:$A$1032,0))</f>
        <v>#N/A</v>
      </c>
      <c r="Q261" t="e">
        <f>INDEX(Items!C$2:C$1032,MATCH($O261,Items!$A$2:$A$1032,0))</f>
        <v>#N/A</v>
      </c>
      <c r="R261" t="e">
        <f>INDEX(Items!D$2:D$1032,MATCH($O261,Items!$A$2:$A$1032,0))</f>
        <v>#N/A</v>
      </c>
    </row>
    <row r="262" spans="1:18" x14ac:dyDescent="0.25">
      <c r="A262">
        <f t="shared" si="24"/>
        <v>1</v>
      </c>
      <c r="B262" t="str">
        <f t="shared" si="22"/>
        <v/>
      </c>
      <c r="C262">
        <f t="shared" si="23"/>
        <v>1</v>
      </c>
      <c r="D262" s="4"/>
      <c r="E262" t="s">
        <v>18</v>
      </c>
      <c r="F262" t="str">
        <f>INDEX(Establishment!B$2:B$1005,MATCH($E262,Establishment!$A$2:$A$1005,0))</f>
        <v xml:space="preserve"> </v>
      </c>
      <c r="G262" t="str">
        <f>INDEX(Establishment!C$2:C$1005,MATCH($E262,Establishment!$A$2:$A$1005,0))</f>
        <v xml:space="preserve"> </v>
      </c>
      <c r="M262">
        <f t="shared" si="26"/>
        <v>0</v>
      </c>
      <c r="N262">
        <f t="shared" si="25"/>
        <v>0</v>
      </c>
      <c r="P262" t="e">
        <f>INDEX(Items!B$2:B$1032,MATCH($O262,Items!$A$2:$A$1032,0))</f>
        <v>#N/A</v>
      </c>
      <c r="Q262" t="e">
        <f>INDEX(Items!C$2:C$1032,MATCH($O262,Items!$A$2:$A$1032,0))</f>
        <v>#N/A</v>
      </c>
      <c r="R262" t="e">
        <f>INDEX(Items!D$2:D$1032,MATCH($O262,Items!$A$2:$A$1032,0))</f>
        <v>#N/A</v>
      </c>
    </row>
    <row r="263" spans="1:18" x14ac:dyDescent="0.25">
      <c r="A263">
        <f t="shared" si="24"/>
        <v>1</v>
      </c>
      <c r="B263" t="str">
        <f t="shared" ref="B263:B326" si="27">IF(D263&lt;&gt;"",TEXT(D263,"YYYYMMDD")&amp;CHAR(64+A263),"")</f>
        <v/>
      </c>
      <c r="C263">
        <f t="shared" si="23"/>
        <v>1</v>
      </c>
      <c r="D263" s="4"/>
      <c r="E263" t="s">
        <v>18</v>
      </c>
      <c r="F263" t="str">
        <f>INDEX(Establishment!B$2:B$1005,MATCH($E263,Establishment!$A$2:$A$1005,0))</f>
        <v xml:space="preserve"> </v>
      </c>
      <c r="G263" t="str">
        <f>INDEX(Establishment!C$2:C$1005,MATCH($E263,Establishment!$A$2:$A$1005,0))</f>
        <v xml:space="preserve"> </v>
      </c>
      <c r="M263">
        <f t="shared" si="26"/>
        <v>0</v>
      </c>
      <c r="N263">
        <f t="shared" si="25"/>
        <v>0</v>
      </c>
      <c r="P263" t="e">
        <f>INDEX(Items!B$2:B$1032,MATCH($O263,Items!$A$2:$A$1032,0))</f>
        <v>#N/A</v>
      </c>
      <c r="Q263" t="e">
        <f>INDEX(Items!C$2:C$1032,MATCH($O263,Items!$A$2:$A$1032,0))</f>
        <v>#N/A</v>
      </c>
      <c r="R263" t="e">
        <f>INDEX(Items!D$2:D$1032,MATCH($O263,Items!$A$2:$A$1032,0))</f>
        <v>#N/A</v>
      </c>
    </row>
    <row r="264" spans="1:18" x14ac:dyDescent="0.25">
      <c r="A264">
        <f t="shared" si="24"/>
        <v>1</v>
      </c>
      <c r="B264" t="str">
        <f t="shared" si="27"/>
        <v/>
      </c>
      <c r="C264">
        <f t="shared" si="23"/>
        <v>1</v>
      </c>
      <c r="D264" s="4"/>
      <c r="E264" t="s">
        <v>18</v>
      </c>
      <c r="F264" t="str">
        <f>INDEX(Establishment!B$2:B$1005,MATCH($E264,Establishment!$A$2:$A$1005,0))</f>
        <v xml:space="preserve"> </v>
      </c>
      <c r="G264" t="str">
        <f>INDEX(Establishment!C$2:C$1005,MATCH($E264,Establishment!$A$2:$A$1005,0))</f>
        <v xml:space="preserve"> </v>
      </c>
      <c r="M264">
        <f t="shared" si="26"/>
        <v>0</v>
      </c>
      <c r="N264">
        <f t="shared" si="25"/>
        <v>0</v>
      </c>
      <c r="P264" t="e">
        <f>INDEX(Items!B$2:B$1032,MATCH($O264,Items!$A$2:$A$1032,0))</f>
        <v>#N/A</v>
      </c>
      <c r="Q264" t="e">
        <f>INDEX(Items!C$2:C$1032,MATCH($O264,Items!$A$2:$A$1032,0))</f>
        <v>#N/A</v>
      </c>
      <c r="R264" t="e">
        <f>INDEX(Items!D$2:D$1032,MATCH($O264,Items!$A$2:$A$1032,0))</f>
        <v>#N/A</v>
      </c>
    </row>
    <row r="265" spans="1:18" x14ac:dyDescent="0.25">
      <c r="A265">
        <f t="shared" si="24"/>
        <v>1</v>
      </c>
      <c r="B265" t="str">
        <f t="shared" si="27"/>
        <v/>
      </c>
      <c r="C265">
        <f t="shared" si="23"/>
        <v>1</v>
      </c>
      <c r="D265" s="4"/>
      <c r="E265" t="s">
        <v>18</v>
      </c>
      <c r="F265" t="str">
        <f>INDEX(Establishment!B$2:B$1005,MATCH($E265,Establishment!$A$2:$A$1005,0))</f>
        <v xml:space="preserve"> </v>
      </c>
      <c r="G265" t="str">
        <f>INDEX(Establishment!C$2:C$1005,MATCH($E265,Establishment!$A$2:$A$1005,0))</f>
        <v xml:space="preserve"> </v>
      </c>
      <c r="M265">
        <f t="shared" si="26"/>
        <v>0</v>
      </c>
      <c r="N265">
        <f t="shared" si="25"/>
        <v>0</v>
      </c>
      <c r="P265" t="e">
        <f>INDEX(Items!B$2:B$1032,MATCH($O265,Items!$A$2:$A$1032,0))</f>
        <v>#N/A</v>
      </c>
      <c r="Q265" t="e">
        <f>INDEX(Items!C$2:C$1032,MATCH($O265,Items!$A$2:$A$1032,0))</f>
        <v>#N/A</v>
      </c>
      <c r="R265" t="e">
        <f>INDEX(Items!D$2:D$1032,MATCH($O265,Items!$A$2:$A$1032,0))</f>
        <v>#N/A</v>
      </c>
    </row>
    <row r="266" spans="1:18" x14ac:dyDescent="0.25">
      <c r="A266">
        <f t="shared" si="24"/>
        <v>1</v>
      </c>
      <c r="B266" t="str">
        <f t="shared" si="27"/>
        <v/>
      </c>
      <c r="C266">
        <f t="shared" ref="C266:C329" si="28">IF(OR(B266="",B266&lt;&gt;B265),1,C265+1)</f>
        <v>1</v>
      </c>
      <c r="D266" s="4"/>
      <c r="E266" t="s">
        <v>18</v>
      </c>
      <c r="F266" t="str">
        <f>INDEX(Establishment!B$2:B$1005,MATCH($E266,Establishment!$A$2:$A$1005,0))</f>
        <v xml:space="preserve"> </v>
      </c>
      <c r="G266" t="str">
        <f>INDEX(Establishment!C$2:C$1005,MATCH($E266,Establishment!$A$2:$A$1005,0))</f>
        <v xml:space="preserve"> </v>
      </c>
      <c r="M266">
        <f t="shared" si="26"/>
        <v>0</v>
      </c>
      <c r="N266">
        <f t="shared" si="25"/>
        <v>0</v>
      </c>
      <c r="P266" t="e">
        <f>INDEX(Items!B$2:B$1032,MATCH($O266,Items!$A$2:$A$1032,0))</f>
        <v>#N/A</v>
      </c>
      <c r="Q266" t="e">
        <f>INDEX(Items!C$2:C$1032,MATCH($O266,Items!$A$2:$A$1032,0))</f>
        <v>#N/A</v>
      </c>
      <c r="R266" t="e">
        <f>INDEX(Items!D$2:D$1032,MATCH($O266,Items!$A$2:$A$1032,0))</f>
        <v>#N/A</v>
      </c>
    </row>
    <row r="267" spans="1:18" x14ac:dyDescent="0.25">
      <c r="A267">
        <f t="shared" si="24"/>
        <v>1</v>
      </c>
      <c r="B267" t="str">
        <f t="shared" si="27"/>
        <v/>
      </c>
      <c r="C267">
        <f t="shared" si="28"/>
        <v>1</v>
      </c>
      <c r="D267" s="4"/>
      <c r="E267" t="s">
        <v>18</v>
      </c>
      <c r="F267" t="str">
        <f>INDEX(Establishment!B$2:B$1005,MATCH($E267,Establishment!$A$2:$A$1005,0))</f>
        <v xml:space="preserve"> </v>
      </c>
      <c r="G267" t="str">
        <f>INDEX(Establishment!C$2:C$1005,MATCH($E267,Establishment!$A$2:$A$1005,0))</f>
        <v xml:space="preserve"> </v>
      </c>
      <c r="M267">
        <f t="shared" si="26"/>
        <v>0</v>
      </c>
      <c r="N267">
        <f t="shared" si="25"/>
        <v>0</v>
      </c>
      <c r="P267" t="e">
        <f>INDEX(Items!B$2:B$1032,MATCH($O267,Items!$A$2:$A$1032,0))</f>
        <v>#N/A</v>
      </c>
      <c r="Q267" t="e">
        <f>INDEX(Items!C$2:C$1032,MATCH($O267,Items!$A$2:$A$1032,0))</f>
        <v>#N/A</v>
      </c>
      <c r="R267" t="e">
        <f>INDEX(Items!D$2:D$1032,MATCH($O267,Items!$A$2:$A$1032,0))</f>
        <v>#N/A</v>
      </c>
    </row>
    <row r="268" spans="1:18" x14ac:dyDescent="0.25">
      <c r="A268">
        <f t="shared" si="24"/>
        <v>1</v>
      </c>
      <c r="B268" t="str">
        <f t="shared" si="27"/>
        <v/>
      </c>
      <c r="C268">
        <f t="shared" si="28"/>
        <v>1</v>
      </c>
      <c r="D268" s="4"/>
      <c r="E268" t="s">
        <v>18</v>
      </c>
      <c r="F268" t="str">
        <f>INDEX(Establishment!B$2:B$1005,MATCH($E268,Establishment!$A$2:$A$1005,0))</f>
        <v xml:space="preserve"> </v>
      </c>
      <c r="G268" t="str">
        <f>INDEX(Establishment!C$2:C$1005,MATCH($E268,Establishment!$A$2:$A$1005,0))</f>
        <v xml:space="preserve"> </v>
      </c>
      <c r="M268">
        <f t="shared" si="26"/>
        <v>0</v>
      </c>
      <c r="N268">
        <f t="shared" si="25"/>
        <v>0</v>
      </c>
      <c r="P268" t="e">
        <f>INDEX(Items!B$2:B$1032,MATCH($O268,Items!$A$2:$A$1032,0))</f>
        <v>#N/A</v>
      </c>
      <c r="Q268" t="e">
        <f>INDEX(Items!C$2:C$1032,MATCH($O268,Items!$A$2:$A$1032,0))</f>
        <v>#N/A</v>
      </c>
      <c r="R268" t="e">
        <f>INDEX(Items!D$2:D$1032,MATCH($O268,Items!$A$2:$A$1032,0))</f>
        <v>#N/A</v>
      </c>
    </row>
    <row r="269" spans="1:18" x14ac:dyDescent="0.25">
      <c r="A269">
        <f t="shared" si="24"/>
        <v>1</v>
      </c>
      <c r="B269" t="str">
        <f t="shared" si="27"/>
        <v/>
      </c>
      <c r="C269">
        <f t="shared" si="28"/>
        <v>1</v>
      </c>
      <c r="D269" s="4"/>
      <c r="E269" t="s">
        <v>18</v>
      </c>
      <c r="F269" t="str">
        <f>INDEX(Establishment!B$2:B$1005,MATCH($E269,Establishment!$A$2:$A$1005,0))</f>
        <v xml:space="preserve"> </v>
      </c>
      <c r="G269" t="str">
        <f>INDEX(Establishment!C$2:C$1005,MATCH($E269,Establishment!$A$2:$A$1005,0))</f>
        <v xml:space="preserve"> </v>
      </c>
      <c r="M269">
        <f t="shared" si="26"/>
        <v>0</v>
      </c>
      <c r="N269">
        <f t="shared" si="25"/>
        <v>0</v>
      </c>
      <c r="P269" t="e">
        <f>INDEX(Items!B$2:B$1032,MATCH($O269,Items!$A$2:$A$1032,0))</f>
        <v>#N/A</v>
      </c>
      <c r="Q269" t="e">
        <f>INDEX(Items!C$2:C$1032,MATCH($O269,Items!$A$2:$A$1032,0))</f>
        <v>#N/A</v>
      </c>
      <c r="R269" t="e">
        <f>INDEX(Items!D$2:D$1032,MATCH($O269,Items!$A$2:$A$1032,0))</f>
        <v>#N/A</v>
      </c>
    </row>
    <row r="270" spans="1:18" x14ac:dyDescent="0.25">
      <c r="A270">
        <f t="shared" si="24"/>
        <v>1</v>
      </c>
      <c r="B270" t="str">
        <f t="shared" si="27"/>
        <v/>
      </c>
      <c r="C270">
        <f t="shared" si="28"/>
        <v>1</v>
      </c>
      <c r="D270" s="4"/>
      <c r="E270" t="s">
        <v>18</v>
      </c>
      <c r="F270" t="str">
        <f>INDEX(Establishment!B$2:B$1005,MATCH($E270,Establishment!$A$2:$A$1005,0))</f>
        <v xml:space="preserve"> </v>
      </c>
      <c r="G270" t="str">
        <f>INDEX(Establishment!C$2:C$1005,MATCH($E270,Establishment!$A$2:$A$1005,0))</f>
        <v xml:space="preserve"> </v>
      </c>
      <c r="M270">
        <f t="shared" si="26"/>
        <v>0</v>
      </c>
      <c r="N270">
        <f t="shared" si="25"/>
        <v>0</v>
      </c>
      <c r="P270" t="e">
        <f>INDEX(Items!B$2:B$1032,MATCH($O270,Items!$A$2:$A$1032,0))</f>
        <v>#N/A</v>
      </c>
      <c r="Q270" t="e">
        <f>INDEX(Items!C$2:C$1032,MATCH($O270,Items!$A$2:$A$1032,0))</f>
        <v>#N/A</v>
      </c>
      <c r="R270" t="e">
        <f>INDEX(Items!D$2:D$1032,MATCH($O270,Items!$A$2:$A$1032,0))</f>
        <v>#N/A</v>
      </c>
    </row>
    <row r="271" spans="1:18" x14ac:dyDescent="0.25">
      <c r="A271">
        <f t="shared" si="24"/>
        <v>1</v>
      </c>
      <c r="B271" t="str">
        <f t="shared" si="27"/>
        <v/>
      </c>
      <c r="C271">
        <f t="shared" si="28"/>
        <v>1</v>
      </c>
      <c r="D271" s="4"/>
      <c r="E271" t="s">
        <v>18</v>
      </c>
      <c r="F271" t="str">
        <f>INDEX(Establishment!B$2:B$1005,MATCH($E271,Establishment!$A$2:$A$1005,0))</f>
        <v xml:space="preserve"> </v>
      </c>
      <c r="G271" t="str">
        <f>INDEX(Establishment!C$2:C$1005,MATCH($E271,Establishment!$A$2:$A$1005,0))</f>
        <v xml:space="preserve"> </v>
      </c>
      <c r="M271">
        <f t="shared" si="26"/>
        <v>0</v>
      </c>
      <c r="N271">
        <f t="shared" si="25"/>
        <v>0</v>
      </c>
      <c r="P271" t="e">
        <f>INDEX(Items!B$2:B$1032,MATCH($O271,Items!$A$2:$A$1032,0))</f>
        <v>#N/A</v>
      </c>
      <c r="Q271" t="e">
        <f>INDEX(Items!C$2:C$1032,MATCH($O271,Items!$A$2:$A$1032,0))</f>
        <v>#N/A</v>
      </c>
      <c r="R271" t="e">
        <f>INDEX(Items!D$2:D$1032,MATCH($O271,Items!$A$2:$A$1032,0))</f>
        <v>#N/A</v>
      </c>
    </row>
    <row r="272" spans="1:18" x14ac:dyDescent="0.25">
      <c r="A272">
        <f t="shared" si="24"/>
        <v>1</v>
      </c>
      <c r="B272" t="str">
        <f t="shared" si="27"/>
        <v/>
      </c>
      <c r="C272">
        <f t="shared" si="28"/>
        <v>1</v>
      </c>
      <c r="D272" s="4"/>
      <c r="E272" t="s">
        <v>18</v>
      </c>
      <c r="F272" t="str">
        <f>INDEX(Establishment!B$2:B$1005,MATCH($E272,Establishment!$A$2:$A$1005,0))</f>
        <v xml:space="preserve"> </v>
      </c>
      <c r="G272" t="str">
        <f>INDEX(Establishment!C$2:C$1005,MATCH($E272,Establishment!$A$2:$A$1005,0))</f>
        <v xml:space="preserve"> </v>
      </c>
      <c r="M272">
        <f t="shared" si="26"/>
        <v>0</v>
      </c>
      <c r="N272">
        <f t="shared" si="25"/>
        <v>0</v>
      </c>
      <c r="P272" t="e">
        <f>INDEX(Items!B$2:B$1032,MATCH($O272,Items!$A$2:$A$1032,0))</f>
        <v>#N/A</v>
      </c>
      <c r="Q272" t="e">
        <f>INDEX(Items!C$2:C$1032,MATCH($O272,Items!$A$2:$A$1032,0))</f>
        <v>#N/A</v>
      </c>
      <c r="R272" t="e">
        <f>INDEX(Items!D$2:D$1032,MATCH($O272,Items!$A$2:$A$1032,0))</f>
        <v>#N/A</v>
      </c>
    </row>
    <row r="273" spans="1:18" x14ac:dyDescent="0.25">
      <c r="A273">
        <f t="shared" si="24"/>
        <v>1</v>
      </c>
      <c r="B273" t="str">
        <f t="shared" si="27"/>
        <v/>
      </c>
      <c r="C273">
        <f t="shared" si="28"/>
        <v>1</v>
      </c>
      <c r="D273" s="4"/>
      <c r="E273" t="s">
        <v>18</v>
      </c>
      <c r="F273" t="str">
        <f>INDEX(Establishment!B$2:B$1005,MATCH($E273,Establishment!$A$2:$A$1005,0))</f>
        <v xml:space="preserve"> </v>
      </c>
      <c r="G273" t="str">
        <f>INDEX(Establishment!C$2:C$1005,MATCH($E273,Establishment!$A$2:$A$1005,0))</f>
        <v xml:space="preserve"> </v>
      </c>
      <c r="M273">
        <f t="shared" si="26"/>
        <v>0</v>
      </c>
      <c r="N273">
        <f t="shared" si="25"/>
        <v>0</v>
      </c>
      <c r="P273" t="e">
        <f>INDEX(Items!B$2:B$1032,MATCH($O273,Items!$A$2:$A$1032,0))</f>
        <v>#N/A</v>
      </c>
      <c r="Q273" t="e">
        <f>INDEX(Items!C$2:C$1032,MATCH($O273,Items!$A$2:$A$1032,0))</f>
        <v>#N/A</v>
      </c>
      <c r="R273" t="e">
        <f>INDEX(Items!D$2:D$1032,MATCH($O273,Items!$A$2:$A$1032,0))</f>
        <v>#N/A</v>
      </c>
    </row>
    <row r="274" spans="1:18" x14ac:dyDescent="0.25">
      <c r="A274">
        <f t="shared" si="24"/>
        <v>1</v>
      </c>
      <c r="B274" t="str">
        <f t="shared" si="27"/>
        <v/>
      </c>
      <c r="C274">
        <f t="shared" si="28"/>
        <v>1</v>
      </c>
      <c r="D274" s="4"/>
      <c r="E274" t="s">
        <v>18</v>
      </c>
      <c r="F274" t="str">
        <f>INDEX(Establishment!B$2:B$1005,MATCH($E274,Establishment!$A$2:$A$1005,0))</f>
        <v xml:space="preserve"> </v>
      </c>
      <c r="G274" t="str">
        <f>INDEX(Establishment!C$2:C$1005,MATCH($E274,Establishment!$A$2:$A$1005,0))</f>
        <v xml:space="preserve"> </v>
      </c>
      <c r="M274">
        <f t="shared" si="26"/>
        <v>0</v>
      </c>
      <c r="N274">
        <f t="shared" si="25"/>
        <v>0</v>
      </c>
      <c r="P274" t="e">
        <f>INDEX(Items!B$2:B$1032,MATCH($O274,Items!$A$2:$A$1032,0))</f>
        <v>#N/A</v>
      </c>
      <c r="Q274" t="e">
        <f>INDEX(Items!C$2:C$1032,MATCH($O274,Items!$A$2:$A$1032,0))</f>
        <v>#N/A</v>
      </c>
      <c r="R274" t="e">
        <f>INDEX(Items!D$2:D$1032,MATCH($O274,Items!$A$2:$A$1032,0))</f>
        <v>#N/A</v>
      </c>
    </row>
    <row r="275" spans="1:18" x14ac:dyDescent="0.25">
      <c r="A275">
        <f t="shared" si="24"/>
        <v>1</v>
      </c>
      <c r="B275" t="str">
        <f t="shared" si="27"/>
        <v/>
      </c>
      <c r="C275">
        <f t="shared" si="28"/>
        <v>1</v>
      </c>
      <c r="D275" s="4"/>
      <c r="E275" t="s">
        <v>18</v>
      </c>
      <c r="F275" t="str">
        <f>INDEX(Establishment!B$2:B$1005,MATCH($E275,Establishment!$A$2:$A$1005,0))</f>
        <v xml:space="preserve"> </v>
      </c>
      <c r="G275" t="str">
        <f>INDEX(Establishment!C$2:C$1005,MATCH($E275,Establishment!$A$2:$A$1005,0))</f>
        <v xml:space="preserve"> </v>
      </c>
      <c r="M275">
        <f t="shared" si="26"/>
        <v>0</v>
      </c>
      <c r="N275">
        <f t="shared" si="25"/>
        <v>0</v>
      </c>
      <c r="P275" t="e">
        <f>INDEX(Items!B$2:B$1032,MATCH($O275,Items!$A$2:$A$1032,0))</f>
        <v>#N/A</v>
      </c>
      <c r="Q275" t="e">
        <f>INDEX(Items!C$2:C$1032,MATCH($O275,Items!$A$2:$A$1032,0))</f>
        <v>#N/A</v>
      </c>
      <c r="R275" t="e">
        <f>INDEX(Items!D$2:D$1032,MATCH($O275,Items!$A$2:$A$1032,0))</f>
        <v>#N/A</v>
      </c>
    </row>
    <row r="276" spans="1:18" x14ac:dyDescent="0.25">
      <c r="A276">
        <f t="shared" si="24"/>
        <v>1</v>
      </c>
      <c r="B276" t="str">
        <f t="shared" si="27"/>
        <v/>
      </c>
      <c r="C276">
        <f t="shared" si="28"/>
        <v>1</v>
      </c>
      <c r="D276" s="4"/>
      <c r="E276" t="s">
        <v>18</v>
      </c>
      <c r="F276" t="str">
        <f>INDEX(Establishment!B$2:B$1005,MATCH($E276,Establishment!$A$2:$A$1005,0))</f>
        <v xml:space="preserve"> </v>
      </c>
      <c r="G276" t="str">
        <f>INDEX(Establishment!C$2:C$1005,MATCH($E276,Establishment!$A$2:$A$1005,0))</f>
        <v xml:space="preserve"> </v>
      </c>
      <c r="M276">
        <f t="shared" si="26"/>
        <v>0</v>
      </c>
      <c r="N276">
        <f t="shared" si="25"/>
        <v>0</v>
      </c>
      <c r="P276" t="e">
        <f>INDEX(Items!B$2:B$1032,MATCH($O276,Items!$A$2:$A$1032,0))</f>
        <v>#N/A</v>
      </c>
      <c r="Q276" t="e">
        <f>INDEX(Items!C$2:C$1032,MATCH($O276,Items!$A$2:$A$1032,0))</f>
        <v>#N/A</v>
      </c>
      <c r="R276" t="e">
        <f>INDEX(Items!D$2:D$1032,MATCH($O276,Items!$A$2:$A$1032,0))</f>
        <v>#N/A</v>
      </c>
    </row>
    <row r="277" spans="1:18" x14ac:dyDescent="0.25">
      <c r="A277">
        <f t="shared" si="24"/>
        <v>1</v>
      </c>
      <c r="B277" t="str">
        <f t="shared" si="27"/>
        <v/>
      </c>
      <c r="C277">
        <f t="shared" si="28"/>
        <v>1</v>
      </c>
      <c r="D277" s="4"/>
      <c r="E277" t="s">
        <v>18</v>
      </c>
      <c r="F277" t="str">
        <f>INDEX(Establishment!B$2:B$1005,MATCH($E277,Establishment!$A$2:$A$1005,0))</f>
        <v xml:space="preserve"> </v>
      </c>
      <c r="G277" t="str">
        <f>INDEX(Establishment!C$2:C$1005,MATCH($E277,Establishment!$A$2:$A$1005,0))</f>
        <v xml:space="preserve"> </v>
      </c>
      <c r="M277">
        <f t="shared" si="26"/>
        <v>0</v>
      </c>
      <c r="N277">
        <f t="shared" si="25"/>
        <v>0</v>
      </c>
      <c r="P277" t="e">
        <f>INDEX(Items!B$2:B$1032,MATCH($O277,Items!$A$2:$A$1032,0))</f>
        <v>#N/A</v>
      </c>
      <c r="Q277" t="e">
        <f>INDEX(Items!C$2:C$1032,MATCH($O277,Items!$A$2:$A$1032,0))</f>
        <v>#N/A</v>
      </c>
      <c r="R277" t="e">
        <f>INDEX(Items!D$2:D$1032,MATCH($O277,Items!$A$2:$A$1032,0))</f>
        <v>#N/A</v>
      </c>
    </row>
    <row r="278" spans="1:18" x14ac:dyDescent="0.25">
      <c r="A278">
        <f t="shared" si="24"/>
        <v>1</v>
      </c>
      <c r="B278" t="str">
        <f t="shared" si="27"/>
        <v/>
      </c>
      <c r="C278">
        <f t="shared" si="28"/>
        <v>1</v>
      </c>
      <c r="D278" s="4"/>
      <c r="E278" t="s">
        <v>18</v>
      </c>
      <c r="F278" t="str">
        <f>INDEX(Establishment!B$2:B$1005,MATCH($E278,Establishment!$A$2:$A$1005,0))</f>
        <v xml:space="preserve"> </v>
      </c>
      <c r="G278" t="str">
        <f>INDEX(Establishment!C$2:C$1005,MATCH($E278,Establishment!$A$2:$A$1005,0))</f>
        <v xml:space="preserve"> </v>
      </c>
      <c r="M278">
        <f t="shared" si="26"/>
        <v>0</v>
      </c>
      <c r="N278">
        <f t="shared" si="25"/>
        <v>0</v>
      </c>
      <c r="P278" t="e">
        <f>INDEX(Items!B$2:B$1032,MATCH($O278,Items!$A$2:$A$1032,0))</f>
        <v>#N/A</v>
      </c>
      <c r="Q278" t="e">
        <f>INDEX(Items!C$2:C$1032,MATCH($O278,Items!$A$2:$A$1032,0))</f>
        <v>#N/A</v>
      </c>
      <c r="R278" t="e">
        <f>INDEX(Items!D$2:D$1032,MATCH($O278,Items!$A$2:$A$1032,0))</f>
        <v>#N/A</v>
      </c>
    </row>
    <row r="279" spans="1:18" x14ac:dyDescent="0.25">
      <c r="A279">
        <f t="shared" si="24"/>
        <v>1</v>
      </c>
      <c r="B279" t="str">
        <f t="shared" si="27"/>
        <v/>
      </c>
      <c r="C279">
        <f t="shared" si="28"/>
        <v>1</v>
      </c>
      <c r="D279" s="4"/>
      <c r="E279" t="s">
        <v>18</v>
      </c>
      <c r="F279" t="str">
        <f>INDEX(Establishment!B$2:B$1005,MATCH($E279,Establishment!$A$2:$A$1005,0))</f>
        <v xml:space="preserve"> </v>
      </c>
      <c r="G279" t="str">
        <f>INDEX(Establishment!C$2:C$1005,MATCH($E279,Establishment!$A$2:$A$1005,0))</f>
        <v xml:space="preserve"> </v>
      </c>
      <c r="M279">
        <f t="shared" si="26"/>
        <v>0</v>
      </c>
      <c r="N279">
        <f t="shared" si="25"/>
        <v>0</v>
      </c>
      <c r="P279" t="e">
        <f>INDEX(Items!B$2:B$1032,MATCH($O279,Items!$A$2:$A$1032,0))</f>
        <v>#N/A</v>
      </c>
      <c r="Q279" t="e">
        <f>INDEX(Items!C$2:C$1032,MATCH($O279,Items!$A$2:$A$1032,0))</f>
        <v>#N/A</v>
      </c>
      <c r="R279" t="e">
        <f>INDEX(Items!D$2:D$1032,MATCH($O279,Items!$A$2:$A$1032,0))</f>
        <v>#N/A</v>
      </c>
    </row>
    <row r="280" spans="1:18" x14ac:dyDescent="0.25">
      <c r="A280">
        <f t="shared" si="24"/>
        <v>1</v>
      </c>
      <c r="B280" t="str">
        <f t="shared" si="27"/>
        <v/>
      </c>
      <c r="C280">
        <f t="shared" si="28"/>
        <v>1</v>
      </c>
      <c r="D280" s="4"/>
      <c r="E280" t="s">
        <v>18</v>
      </c>
      <c r="F280" t="str">
        <f>INDEX(Establishment!B$2:B$1005,MATCH($E280,Establishment!$A$2:$A$1005,0))</f>
        <v xml:space="preserve"> </v>
      </c>
      <c r="G280" t="str">
        <f>INDEX(Establishment!C$2:C$1005,MATCH($E280,Establishment!$A$2:$A$1005,0))</f>
        <v xml:space="preserve"> </v>
      </c>
      <c r="M280">
        <f t="shared" si="26"/>
        <v>0</v>
      </c>
      <c r="N280">
        <f t="shared" si="25"/>
        <v>0</v>
      </c>
      <c r="P280" t="e">
        <f>INDEX(Items!B$2:B$1032,MATCH($O280,Items!$A$2:$A$1032,0))</f>
        <v>#N/A</v>
      </c>
      <c r="Q280" t="e">
        <f>INDEX(Items!C$2:C$1032,MATCH($O280,Items!$A$2:$A$1032,0))</f>
        <v>#N/A</v>
      </c>
      <c r="R280" t="e">
        <f>INDEX(Items!D$2:D$1032,MATCH($O280,Items!$A$2:$A$1032,0))</f>
        <v>#N/A</v>
      </c>
    </row>
    <row r="281" spans="1:18" x14ac:dyDescent="0.25">
      <c r="A281">
        <f t="shared" si="24"/>
        <v>1</v>
      </c>
      <c r="B281" t="str">
        <f t="shared" si="27"/>
        <v/>
      </c>
      <c r="C281">
        <f t="shared" si="28"/>
        <v>1</v>
      </c>
      <c r="D281" s="4"/>
      <c r="E281" t="s">
        <v>18</v>
      </c>
      <c r="F281" t="str">
        <f>INDEX(Establishment!B$2:B$1005,MATCH($E281,Establishment!$A$2:$A$1005,0))</f>
        <v xml:space="preserve"> </v>
      </c>
      <c r="G281" t="str">
        <f>INDEX(Establishment!C$2:C$1005,MATCH($E281,Establishment!$A$2:$A$1005,0))</f>
        <v xml:space="preserve"> </v>
      </c>
      <c r="M281">
        <f t="shared" si="26"/>
        <v>0</v>
      </c>
      <c r="N281">
        <f t="shared" si="25"/>
        <v>0</v>
      </c>
      <c r="P281" t="e">
        <f>INDEX(Items!B$2:B$1032,MATCH($O281,Items!$A$2:$A$1032,0))</f>
        <v>#N/A</v>
      </c>
      <c r="Q281" t="e">
        <f>INDEX(Items!C$2:C$1032,MATCH($O281,Items!$A$2:$A$1032,0))</f>
        <v>#N/A</v>
      </c>
      <c r="R281" t="e">
        <f>INDEX(Items!D$2:D$1032,MATCH($O281,Items!$A$2:$A$1032,0))</f>
        <v>#N/A</v>
      </c>
    </row>
    <row r="282" spans="1:18" x14ac:dyDescent="0.25">
      <c r="A282">
        <f t="shared" si="24"/>
        <v>1</v>
      </c>
      <c r="B282" t="str">
        <f t="shared" si="27"/>
        <v/>
      </c>
      <c r="C282">
        <f t="shared" si="28"/>
        <v>1</v>
      </c>
      <c r="D282" s="4"/>
      <c r="E282" t="s">
        <v>18</v>
      </c>
      <c r="F282" t="str">
        <f>INDEX(Establishment!B$2:B$1005,MATCH($E282,Establishment!$A$2:$A$1005,0))</f>
        <v xml:space="preserve"> </v>
      </c>
      <c r="G282" t="str">
        <f>INDEX(Establishment!C$2:C$1005,MATCH($E282,Establishment!$A$2:$A$1005,0))</f>
        <v xml:space="preserve"> </v>
      </c>
      <c r="M282">
        <f t="shared" si="26"/>
        <v>0</v>
      </c>
      <c r="N282">
        <f t="shared" si="25"/>
        <v>0</v>
      </c>
      <c r="P282" t="e">
        <f>INDEX(Items!B$2:B$1032,MATCH($O282,Items!$A$2:$A$1032,0))</f>
        <v>#N/A</v>
      </c>
      <c r="Q282" t="e">
        <f>INDEX(Items!C$2:C$1032,MATCH($O282,Items!$A$2:$A$1032,0))</f>
        <v>#N/A</v>
      </c>
      <c r="R282" t="e">
        <f>INDEX(Items!D$2:D$1032,MATCH($O282,Items!$A$2:$A$1032,0))</f>
        <v>#N/A</v>
      </c>
    </row>
    <row r="283" spans="1:18" x14ac:dyDescent="0.25">
      <c r="A283">
        <f t="shared" si="24"/>
        <v>1</v>
      </c>
      <c r="B283" t="str">
        <f t="shared" si="27"/>
        <v/>
      </c>
      <c r="C283">
        <f t="shared" si="28"/>
        <v>1</v>
      </c>
      <c r="D283" s="4"/>
      <c r="E283" t="s">
        <v>18</v>
      </c>
      <c r="F283" t="str">
        <f>INDEX(Establishment!B$2:B$1005,MATCH($E283,Establishment!$A$2:$A$1005,0))</f>
        <v xml:space="preserve"> </v>
      </c>
      <c r="G283" t="str">
        <f>INDEX(Establishment!C$2:C$1005,MATCH($E283,Establishment!$A$2:$A$1005,0))</f>
        <v xml:space="preserve"> </v>
      </c>
      <c r="M283">
        <f t="shared" si="26"/>
        <v>0</v>
      </c>
      <c r="N283">
        <f t="shared" si="25"/>
        <v>0</v>
      </c>
      <c r="P283" t="e">
        <f>INDEX(Items!B$2:B$1032,MATCH($O283,Items!$A$2:$A$1032,0))</f>
        <v>#N/A</v>
      </c>
      <c r="Q283" t="e">
        <f>INDEX(Items!C$2:C$1032,MATCH($O283,Items!$A$2:$A$1032,0))</f>
        <v>#N/A</v>
      </c>
      <c r="R283" t="e">
        <f>INDEX(Items!D$2:D$1032,MATCH($O283,Items!$A$2:$A$1032,0))</f>
        <v>#N/A</v>
      </c>
    </row>
    <row r="284" spans="1:18" x14ac:dyDescent="0.25">
      <c r="A284">
        <f t="shared" si="24"/>
        <v>1</v>
      </c>
      <c r="B284" t="str">
        <f t="shared" si="27"/>
        <v/>
      </c>
      <c r="C284">
        <f t="shared" si="28"/>
        <v>1</v>
      </c>
      <c r="D284" s="4"/>
      <c r="E284" t="s">
        <v>18</v>
      </c>
      <c r="F284" t="str">
        <f>INDEX(Establishment!B$2:B$1005,MATCH($E284,Establishment!$A$2:$A$1005,0))</f>
        <v xml:space="preserve"> </v>
      </c>
      <c r="G284" t="str">
        <f>INDEX(Establishment!C$2:C$1005,MATCH($E284,Establishment!$A$2:$A$1005,0))</f>
        <v xml:space="preserve"> </v>
      </c>
      <c r="M284">
        <f t="shared" si="26"/>
        <v>0</v>
      </c>
      <c r="N284">
        <f t="shared" si="25"/>
        <v>0</v>
      </c>
      <c r="P284" t="e">
        <f>INDEX(Items!B$2:B$1032,MATCH($O284,Items!$A$2:$A$1032,0))</f>
        <v>#N/A</v>
      </c>
      <c r="Q284" t="e">
        <f>INDEX(Items!C$2:C$1032,MATCH($O284,Items!$A$2:$A$1032,0))</f>
        <v>#N/A</v>
      </c>
      <c r="R284" t="e">
        <f>INDEX(Items!D$2:D$1032,MATCH($O284,Items!$A$2:$A$1032,0))</f>
        <v>#N/A</v>
      </c>
    </row>
    <row r="285" spans="1:18" x14ac:dyDescent="0.25">
      <c r="A285">
        <f t="shared" si="24"/>
        <v>1</v>
      </c>
      <c r="B285" t="str">
        <f t="shared" si="27"/>
        <v/>
      </c>
      <c r="C285">
        <f t="shared" si="28"/>
        <v>1</v>
      </c>
      <c r="D285" s="4"/>
      <c r="E285" t="s">
        <v>18</v>
      </c>
      <c r="F285" t="str">
        <f>INDEX(Establishment!B$2:B$1005,MATCH($E285,Establishment!$A$2:$A$1005,0))</f>
        <v xml:space="preserve"> </v>
      </c>
      <c r="G285" t="str">
        <f>INDEX(Establishment!C$2:C$1005,MATCH($E285,Establishment!$A$2:$A$1005,0))</f>
        <v xml:space="preserve"> </v>
      </c>
      <c r="M285">
        <f t="shared" si="26"/>
        <v>0</v>
      </c>
      <c r="N285">
        <f t="shared" si="25"/>
        <v>0</v>
      </c>
      <c r="P285" t="e">
        <f>INDEX(Items!B$2:B$1032,MATCH($O285,Items!$A$2:$A$1032,0))</f>
        <v>#N/A</v>
      </c>
      <c r="Q285" t="e">
        <f>INDEX(Items!C$2:C$1032,MATCH($O285,Items!$A$2:$A$1032,0))</f>
        <v>#N/A</v>
      </c>
      <c r="R285" t="e">
        <f>INDEX(Items!D$2:D$1032,MATCH($O285,Items!$A$2:$A$1032,0))</f>
        <v>#N/A</v>
      </c>
    </row>
    <row r="286" spans="1:18" x14ac:dyDescent="0.25">
      <c r="A286">
        <f t="shared" si="24"/>
        <v>1</v>
      </c>
      <c r="B286" t="str">
        <f t="shared" si="27"/>
        <v/>
      </c>
      <c r="C286">
        <f t="shared" si="28"/>
        <v>1</v>
      </c>
      <c r="D286" s="4"/>
      <c r="E286" t="s">
        <v>18</v>
      </c>
      <c r="F286" t="str">
        <f>INDEX(Establishment!B$2:B$1005,MATCH($E286,Establishment!$A$2:$A$1005,0))</f>
        <v xml:space="preserve"> </v>
      </c>
      <c r="G286" t="str">
        <f>INDEX(Establishment!C$2:C$1005,MATCH($E286,Establishment!$A$2:$A$1005,0))</f>
        <v xml:space="preserve"> </v>
      </c>
      <c r="M286">
        <f t="shared" si="26"/>
        <v>0</v>
      </c>
      <c r="N286">
        <f t="shared" si="25"/>
        <v>0</v>
      </c>
      <c r="P286" t="e">
        <f>INDEX(Items!B$2:B$1032,MATCH($O286,Items!$A$2:$A$1032,0))</f>
        <v>#N/A</v>
      </c>
      <c r="Q286" t="e">
        <f>INDEX(Items!C$2:C$1032,MATCH($O286,Items!$A$2:$A$1032,0))</f>
        <v>#N/A</v>
      </c>
      <c r="R286" t="e">
        <f>INDEX(Items!D$2:D$1032,MATCH($O286,Items!$A$2:$A$1032,0))</f>
        <v>#N/A</v>
      </c>
    </row>
    <row r="287" spans="1:18" x14ac:dyDescent="0.25">
      <c r="A287">
        <f t="shared" si="24"/>
        <v>1</v>
      </c>
      <c r="B287" t="str">
        <f t="shared" si="27"/>
        <v/>
      </c>
      <c r="C287">
        <f t="shared" si="28"/>
        <v>1</v>
      </c>
      <c r="D287" s="4"/>
      <c r="E287" t="s">
        <v>18</v>
      </c>
      <c r="F287" t="str">
        <f>INDEX(Establishment!B$2:B$1005,MATCH($E287,Establishment!$A$2:$A$1005,0))</f>
        <v xml:space="preserve"> </v>
      </c>
      <c r="G287" t="str">
        <f>INDEX(Establishment!C$2:C$1005,MATCH($E287,Establishment!$A$2:$A$1005,0))</f>
        <v xml:space="preserve"> </v>
      </c>
      <c r="M287">
        <f t="shared" si="26"/>
        <v>0</v>
      </c>
      <c r="N287">
        <f t="shared" si="25"/>
        <v>0</v>
      </c>
      <c r="P287" t="e">
        <f>INDEX(Items!B$2:B$1032,MATCH($O287,Items!$A$2:$A$1032,0))</f>
        <v>#N/A</v>
      </c>
      <c r="Q287" t="e">
        <f>INDEX(Items!C$2:C$1032,MATCH($O287,Items!$A$2:$A$1032,0))</f>
        <v>#N/A</v>
      </c>
      <c r="R287" t="e">
        <f>INDEX(Items!D$2:D$1032,MATCH($O287,Items!$A$2:$A$1032,0))</f>
        <v>#N/A</v>
      </c>
    </row>
    <row r="288" spans="1:18" x14ac:dyDescent="0.25">
      <c r="A288">
        <f t="shared" si="24"/>
        <v>1</v>
      </c>
      <c r="B288" t="str">
        <f t="shared" si="27"/>
        <v/>
      </c>
      <c r="C288">
        <f t="shared" si="28"/>
        <v>1</v>
      </c>
      <c r="D288" s="4"/>
      <c r="E288" t="s">
        <v>18</v>
      </c>
      <c r="F288" t="str">
        <f>INDEX(Establishment!B$2:B$1005,MATCH($E288,Establishment!$A$2:$A$1005,0))</f>
        <v xml:space="preserve"> </v>
      </c>
      <c r="G288" t="str">
        <f>INDEX(Establishment!C$2:C$1005,MATCH($E288,Establishment!$A$2:$A$1005,0))</f>
        <v xml:space="preserve"> </v>
      </c>
      <c r="M288">
        <f t="shared" si="26"/>
        <v>0</v>
      </c>
      <c r="N288">
        <f t="shared" si="25"/>
        <v>0</v>
      </c>
      <c r="P288" t="e">
        <f>INDEX(Items!B$2:B$1032,MATCH($O288,Items!$A$2:$A$1032,0))</f>
        <v>#N/A</v>
      </c>
      <c r="Q288" t="e">
        <f>INDEX(Items!C$2:C$1032,MATCH($O288,Items!$A$2:$A$1032,0))</f>
        <v>#N/A</v>
      </c>
      <c r="R288" t="e">
        <f>INDEX(Items!D$2:D$1032,MATCH($O288,Items!$A$2:$A$1032,0))</f>
        <v>#N/A</v>
      </c>
    </row>
    <row r="289" spans="1:18" x14ac:dyDescent="0.25">
      <c r="A289">
        <f t="shared" si="24"/>
        <v>1</v>
      </c>
      <c r="B289" t="str">
        <f t="shared" si="27"/>
        <v/>
      </c>
      <c r="C289">
        <f t="shared" si="28"/>
        <v>1</v>
      </c>
      <c r="D289" s="4"/>
      <c r="E289" t="s">
        <v>18</v>
      </c>
      <c r="F289" t="str">
        <f>INDEX(Establishment!B$2:B$1005,MATCH($E289,Establishment!$A$2:$A$1005,0))</f>
        <v xml:space="preserve"> </v>
      </c>
      <c r="G289" t="str">
        <f>INDEX(Establishment!C$2:C$1005,MATCH($E289,Establishment!$A$2:$A$1005,0))</f>
        <v xml:space="preserve"> </v>
      </c>
      <c r="M289">
        <f t="shared" si="26"/>
        <v>0</v>
      </c>
      <c r="N289">
        <f t="shared" si="25"/>
        <v>0</v>
      </c>
      <c r="P289" t="e">
        <f>INDEX(Items!B$2:B$1032,MATCH($O289,Items!$A$2:$A$1032,0))</f>
        <v>#N/A</v>
      </c>
      <c r="Q289" t="e">
        <f>INDEX(Items!C$2:C$1032,MATCH($O289,Items!$A$2:$A$1032,0))</f>
        <v>#N/A</v>
      </c>
      <c r="R289" t="e">
        <f>INDEX(Items!D$2:D$1032,MATCH($O289,Items!$A$2:$A$1032,0))</f>
        <v>#N/A</v>
      </c>
    </row>
    <row r="290" spans="1:18" x14ac:dyDescent="0.25">
      <c r="A290">
        <f t="shared" si="24"/>
        <v>1</v>
      </c>
      <c r="B290" t="str">
        <f t="shared" si="27"/>
        <v/>
      </c>
      <c r="C290">
        <f t="shared" si="28"/>
        <v>1</v>
      </c>
      <c r="D290" s="4"/>
      <c r="E290" t="s">
        <v>18</v>
      </c>
      <c r="F290" t="str">
        <f>INDEX(Establishment!B$2:B$1005,MATCH($E290,Establishment!$A$2:$A$1005,0))</f>
        <v xml:space="preserve"> </v>
      </c>
      <c r="G290" t="str">
        <f>INDEX(Establishment!C$2:C$1005,MATCH($E290,Establishment!$A$2:$A$1005,0))</f>
        <v xml:space="preserve"> </v>
      </c>
      <c r="M290">
        <f t="shared" si="26"/>
        <v>0</v>
      </c>
      <c r="N290">
        <f t="shared" si="25"/>
        <v>0</v>
      </c>
      <c r="P290" t="e">
        <f>INDEX(Items!B$2:B$1032,MATCH($O290,Items!$A$2:$A$1032,0))</f>
        <v>#N/A</v>
      </c>
      <c r="Q290" t="e">
        <f>INDEX(Items!C$2:C$1032,MATCH($O290,Items!$A$2:$A$1032,0))</f>
        <v>#N/A</v>
      </c>
      <c r="R290" t="e">
        <f>INDEX(Items!D$2:D$1032,MATCH($O290,Items!$A$2:$A$1032,0))</f>
        <v>#N/A</v>
      </c>
    </row>
    <row r="291" spans="1:18" x14ac:dyDescent="0.25">
      <c r="A291">
        <f t="shared" si="24"/>
        <v>1</v>
      </c>
      <c r="B291" t="str">
        <f t="shared" si="27"/>
        <v/>
      </c>
      <c r="C291">
        <f t="shared" si="28"/>
        <v>1</v>
      </c>
      <c r="D291" s="4"/>
      <c r="E291" t="s">
        <v>18</v>
      </c>
      <c r="F291" t="str">
        <f>INDEX(Establishment!B$2:B$1005,MATCH($E291,Establishment!$A$2:$A$1005,0))</f>
        <v xml:space="preserve"> </v>
      </c>
      <c r="G291" t="str">
        <f>INDEX(Establishment!C$2:C$1005,MATCH($E291,Establishment!$A$2:$A$1005,0))</f>
        <v xml:space="preserve"> </v>
      </c>
      <c r="M291">
        <f t="shared" si="26"/>
        <v>0</v>
      </c>
      <c r="N291">
        <f t="shared" si="25"/>
        <v>0</v>
      </c>
      <c r="P291" t="e">
        <f>INDEX(Items!B$2:B$1032,MATCH($O291,Items!$A$2:$A$1032,0))</f>
        <v>#N/A</v>
      </c>
      <c r="Q291" t="e">
        <f>INDEX(Items!C$2:C$1032,MATCH($O291,Items!$A$2:$A$1032,0))</f>
        <v>#N/A</v>
      </c>
      <c r="R291" t="e">
        <f>INDEX(Items!D$2:D$1032,MATCH($O291,Items!$A$2:$A$1032,0))</f>
        <v>#N/A</v>
      </c>
    </row>
    <row r="292" spans="1:18" x14ac:dyDescent="0.25">
      <c r="A292">
        <f t="shared" si="24"/>
        <v>1</v>
      </c>
      <c r="B292" t="str">
        <f t="shared" si="27"/>
        <v/>
      </c>
      <c r="C292">
        <f t="shared" si="28"/>
        <v>1</v>
      </c>
      <c r="D292" s="4"/>
      <c r="E292" t="s">
        <v>18</v>
      </c>
      <c r="F292" t="str">
        <f>INDEX(Establishment!B$2:B$1005,MATCH($E292,Establishment!$A$2:$A$1005,0))</f>
        <v xml:space="preserve"> </v>
      </c>
      <c r="G292" t="str">
        <f>INDEX(Establishment!C$2:C$1005,MATCH($E292,Establishment!$A$2:$A$1005,0))</f>
        <v xml:space="preserve"> </v>
      </c>
      <c r="M292">
        <f t="shared" si="26"/>
        <v>0</v>
      </c>
      <c r="N292">
        <f t="shared" si="25"/>
        <v>0</v>
      </c>
      <c r="P292" t="e">
        <f>INDEX(Items!B$2:B$1032,MATCH($O292,Items!$A$2:$A$1032,0))</f>
        <v>#N/A</v>
      </c>
      <c r="Q292" t="e">
        <f>INDEX(Items!C$2:C$1032,MATCH($O292,Items!$A$2:$A$1032,0))</f>
        <v>#N/A</v>
      </c>
      <c r="R292" t="e">
        <f>INDEX(Items!D$2:D$1032,MATCH($O292,Items!$A$2:$A$1032,0))</f>
        <v>#N/A</v>
      </c>
    </row>
    <row r="293" spans="1:18" x14ac:dyDescent="0.25">
      <c r="A293">
        <f t="shared" si="24"/>
        <v>1</v>
      </c>
      <c r="B293" t="str">
        <f t="shared" si="27"/>
        <v/>
      </c>
      <c r="C293">
        <f t="shared" si="28"/>
        <v>1</v>
      </c>
      <c r="D293" s="4"/>
      <c r="E293" t="s">
        <v>18</v>
      </c>
      <c r="F293" t="str">
        <f>INDEX(Establishment!B$2:B$1005,MATCH($E293,Establishment!$A$2:$A$1005,0))</f>
        <v xml:space="preserve"> </v>
      </c>
      <c r="G293" t="str">
        <f>INDEX(Establishment!C$2:C$1005,MATCH($E293,Establishment!$A$2:$A$1005,0))</f>
        <v xml:space="preserve"> </v>
      </c>
      <c r="M293">
        <f t="shared" si="26"/>
        <v>0</v>
      </c>
      <c r="N293">
        <f t="shared" si="25"/>
        <v>0</v>
      </c>
      <c r="P293" t="e">
        <f>INDEX(Items!B$2:B$1032,MATCH($O293,Items!$A$2:$A$1032,0))</f>
        <v>#N/A</v>
      </c>
      <c r="Q293" t="e">
        <f>INDEX(Items!C$2:C$1032,MATCH($O293,Items!$A$2:$A$1032,0))</f>
        <v>#N/A</v>
      </c>
      <c r="R293" t="e">
        <f>INDEX(Items!D$2:D$1032,MATCH($O293,Items!$A$2:$A$1032,0))</f>
        <v>#N/A</v>
      </c>
    </row>
    <row r="294" spans="1:18" x14ac:dyDescent="0.25">
      <c r="A294">
        <f t="shared" si="24"/>
        <v>1</v>
      </c>
      <c r="B294" t="str">
        <f t="shared" si="27"/>
        <v/>
      </c>
      <c r="C294">
        <f t="shared" si="28"/>
        <v>1</v>
      </c>
      <c r="D294" s="4"/>
      <c r="E294" t="s">
        <v>18</v>
      </c>
      <c r="F294" t="str">
        <f>INDEX(Establishment!B$2:B$1005,MATCH($E294,Establishment!$A$2:$A$1005,0))</f>
        <v xml:space="preserve"> </v>
      </c>
      <c r="G294" t="str">
        <f>INDEX(Establishment!C$2:C$1005,MATCH($E294,Establishment!$A$2:$A$1005,0))</f>
        <v xml:space="preserve"> </v>
      </c>
      <c r="M294">
        <f t="shared" si="26"/>
        <v>0</v>
      </c>
      <c r="N294">
        <f t="shared" si="25"/>
        <v>0</v>
      </c>
      <c r="P294" t="e">
        <f>INDEX(Items!B$2:B$1032,MATCH($O294,Items!$A$2:$A$1032,0))</f>
        <v>#N/A</v>
      </c>
      <c r="Q294" t="e">
        <f>INDEX(Items!C$2:C$1032,MATCH($O294,Items!$A$2:$A$1032,0))</f>
        <v>#N/A</v>
      </c>
      <c r="R294" t="e">
        <f>INDEX(Items!D$2:D$1032,MATCH($O294,Items!$A$2:$A$1032,0))</f>
        <v>#N/A</v>
      </c>
    </row>
    <row r="295" spans="1:18" x14ac:dyDescent="0.25">
      <c r="A295">
        <f t="shared" si="24"/>
        <v>1</v>
      </c>
      <c r="B295" t="str">
        <f t="shared" si="27"/>
        <v/>
      </c>
      <c r="C295">
        <f t="shared" si="28"/>
        <v>1</v>
      </c>
      <c r="D295" s="4"/>
      <c r="E295" t="s">
        <v>18</v>
      </c>
      <c r="F295" t="str">
        <f>INDEX(Establishment!B$2:B$1005,MATCH($E295,Establishment!$A$2:$A$1005,0))</f>
        <v xml:space="preserve"> </v>
      </c>
      <c r="G295" t="str">
        <f>INDEX(Establishment!C$2:C$1005,MATCH($E295,Establishment!$A$2:$A$1005,0))</f>
        <v xml:space="preserve"> </v>
      </c>
      <c r="M295">
        <f t="shared" si="26"/>
        <v>0</v>
      </c>
      <c r="N295">
        <f t="shared" si="25"/>
        <v>0</v>
      </c>
      <c r="P295" t="e">
        <f>INDEX(Items!B$2:B$1032,MATCH($O295,Items!$A$2:$A$1032,0))</f>
        <v>#N/A</v>
      </c>
      <c r="Q295" t="e">
        <f>INDEX(Items!C$2:C$1032,MATCH($O295,Items!$A$2:$A$1032,0))</f>
        <v>#N/A</v>
      </c>
      <c r="R295" t="e">
        <f>INDEX(Items!D$2:D$1032,MATCH($O295,Items!$A$2:$A$1032,0))</f>
        <v>#N/A</v>
      </c>
    </row>
    <row r="296" spans="1:18" x14ac:dyDescent="0.25">
      <c r="A296">
        <f t="shared" si="24"/>
        <v>1</v>
      </c>
      <c r="B296" t="str">
        <f t="shared" si="27"/>
        <v/>
      </c>
      <c r="C296">
        <f t="shared" si="28"/>
        <v>1</v>
      </c>
      <c r="D296" s="4"/>
      <c r="E296" t="s">
        <v>18</v>
      </c>
      <c r="F296" t="str">
        <f>INDEX(Establishment!B$2:B$1005,MATCH($E296,Establishment!$A$2:$A$1005,0))</f>
        <v xml:space="preserve"> </v>
      </c>
      <c r="G296" t="str">
        <f>INDEX(Establishment!C$2:C$1005,MATCH($E296,Establishment!$A$2:$A$1005,0))</f>
        <v xml:space="preserve"> </v>
      </c>
      <c r="M296">
        <f t="shared" si="26"/>
        <v>0</v>
      </c>
      <c r="N296">
        <f t="shared" si="25"/>
        <v>0</v>
      </c>
      <c r="P296" t="e">
        <f>INDEX(Items!B$2:B$1032,MATCH($O296,Items!$A$2:$A$1032,0))</f>
        <v>#N/A</v>
      </c>
      <c r="Q296" t="e">
        <f>INDEX(Items!C$2:C$1032,MATCH($O296,Items!$A$2:$A$1032,0))</f>
        <v>#N/A</v>
      </c>
      <c r="R296" t="e">
        <f>INDEX(Items!D$2:D$1032,MATCH($O296,Items!$A$2:$A$1032,0))</f>
        <v>#N/A</v>
      </c>
    </row>
    <row r="297" spans="1:18" x14ac:dyDescent="0.25">
      <c r="A297">
        <f t="shared" si="24"/>
        <v>1</v>
      </c>
      <c r="B297" t="str">
        <f t="shared" si="27"/>
        <v/>
      </c>
      <c r="C297">
        <f t="shared" si="28"/>
        <v>1</v>
      </c>
      <c r="D297" s="4"/>
      <c r="E297" t="s">
        <v>18</v>
      </c>
      <c r="F297" t="str">
        <f>INDEX(Establishment!B$2:B$1005,MATCH($E297,Establishment!$A$2:$A$1005,0))</f>
        <v xml:space="preserve"> </v>
      </c>
      <c r="G297" t="str">
        <f>INDEX(Establishment!C$2:C$1005,MATCH($E297,Establishment!$A$2:$A$1005,0))</f>
        <v xml:space="preserve"> </v>
      </c>
      <c r="M297">
        <f t="shared" si="26"/>
        <v>0</v>
      </c>
      <c r="N297">
        <f t="shared" si="25"/>
        <v>0</v>
      </c>
      <c r="P297" t="e">
        <f>INDEX(Items!B$2:B$1032,MATCH($O297,Items!$A$2:$A$1032,0))</f>
        <v>#N/A</v>
      </c>
      <c r="Q297" t="e">
        <f>INDEX(Items!C$2:C$1032,MATCH($O297,Items!$A$2:$A$1032,0))</f>
        <v>#N/A</v>
      </c>
      <c r="R297" t="e">
        <f>INDEX(Items!D$2:D$1032,MATCH($O297,Items!$A$2:$A$1032,0))</f>
        <v>#N/A</v>
      </c>
    </row>
    <row r="298" spans="1:18" x14ac:dyDescent="0.25">
      <c r="A298">
        <f t="shared" si="24"/>
        <v>1</v>
      </c>
      <c r="B298" t="str">
        <f t="shared" si="27"/>
        <v/>
      </c>
      <c r="C298">
        <f t="shared" si="28"/>
        <v>1</v>
      </c>
      <c r="D298" s="4"/>
      <c r="E298" t="s">
        <v>18</v>
      </c>
      <c r="F298" t="str">
        <f>INDEX(Establishment!B$2:B$1005,MATCH($E298,Establishment!$A$2:$A$1005,0))</f>
        <v xml:space="preserve"> </v>
      </c>
      <c r="G298" t="str">
        <f>INDEX(Establishment!C$2:C$1005,MATCH($E298,Establishment!$A$2:$A$1005,0))</f>
        <v xml:space="preserve"> </v>
      </c>
      <c r="M298">
        <f t="shared" si="26"/>
        <v>0</v>
      </c>
      <c r="N298">
        <f t="shared" si="25"/>
        <v>0</v>
      </c>
      <c r="P298" t="e">
        <f>INDEX(Items!B$2:B$1032,MATCH($O298,Items!$A$2:$A$1032,0))</f>
        <v>#N/A</v>
      </c>
      <c r="Q298" t="e">
        <f>INDEX(Items!C$2:C$1032,MATCH($O298,Items!$A$2:$A$1032,0))</f>
        <v>#N/A</v>
      </c>
      <c r="R298" t="e">
        <f>INDEX(Items!D$2:D$1032,MATCH($O298,Items!$A$2:$A$1032,0))</f>
        <v>#N/A</v>
      </c>
    </row>
    <row r="299" spans="1:18" x14ac:dyDescent="0.25">
      <c r="A299">
        <f t="shared" si="24"/>
        <v>1</v>
      </c>
      <c r="B299" t="str">
        <f t="shared" si="27"/>
        <v/>
      </c>
      <c r="C299">
        <f t="shared" si="28"/>
        <v>1</v>
      </c>
      <c r="D299" s="4"/>
      <c r="E299" t="s">
        <v>18</v>
      </c>
      <c r="F299" t="str">
        <f>INDEX(Establishment!B$2:B$1005,MATCH($E299,Establishment!$A$2:$A$1005,0))</f>
        <v xml:space="preserve"> </v>
      </c>
      <c r="G299" t="str">
        <f>INDEX(Establishment!C$2:C$1005,MATCH($E299,Establishment!$A$2:$A$1005,0))</f>
        <v xml:space="preserve"> </v>
      </c>
      <c r="M299">
        <f t="shared" si="26"/>
        <v>0</v>
      </c>
      <c r="N299">
        <f t="shared" si="25"/>
        <v>0</v>
      </c>
      <c r="P299" t="e">
        <f>INDEX(Items!B$2:B$1032,MATCH($O299,Items!$A$2:$A$1032,0))</f>
        <v>#N/A</v>
      </c>
      <c r="Q299" t="e">
        <f>INDEX(Items!C$2:C$1032,MATCH($O299,Items!$A$2:$A$1032,0))</f>
        <v>#N/A</v>
      </c>
      <c r="R299" t="e">
        <f>INDEX(Items!D$2:D$1032,MATCH($O299,Items!$A$2:$A$1032,0))</f>
        <v>#N/A</v>
      </c>
    </row>
    <row r="300" spans="1:18" x14ac:dyDescent="0.25">
      <c r="A300">
        <f t="shared" si="24"/>
        <v>1</v>
      </c>
      <c r="B300" t="str">
        <f t="shared" si="27"/>
        <v/>
      </c>
      <c r="C300">
        <f t="shared" si="28"/>
        <v>1</v>
      </c>
      <c r="D300" s="4"/>
      <c r="E300" t="s">
        <v>18</v>
      </c>
      <c r="F300" t="str">
        <f>INDEX(Establishment!B$2:B$1005,MATCH($E300,Establishment!$A$2:$A$1005,0))</f>
        <v xml:space="preserve"> </v>
      </c>
      <c r="G300" t="str">
        <f>INDEX(Establishment!C$2:C$1005,MATCH($E300,Establishment!$A$2:$A$1005,0))</f>
        <v xml:space="preserve"> </v>
      </c>
      <c r="M300">
        <f t="shared" si="26"/>
        <v>0</v>
      </c>
      <c r="N300">
        <f t="shared" si="25"/>
        <v>0</v>
      </c>
      <c r="P300" t="e">
        <f>INDEX(Items!B$2:B$1032,MATCH($O300,Items!$A$2:$A$1032,0))</f>
        <v>#N/A</v>
      </c>
      <c r="Q300" t="e">
        <f>INDEX(Items!C$2:C$1032,MATCH($O300,Items!$A$2:$A$1032,0))</f>
        <v>#N/A</v>
      </c>
      <c r="R300" t="e">
        <f>INDEX(Items!D$2:D$1032,MATCH($O300,Items!$A$2:$A$1032,0))</f>
        <v>#N/A</v>
      </c>
    </row>
    <row r="301" spans="1:18" x14ac:dyDescent="0.25">
      <c r="A301">
        <f t="shared" si="24"/>
        <v>1</v>
      </c>
      <c r="B301" t="str">
        <f t="shared" si="27"/>
        <v/>
      </c>
      <c r="C301">
        <f t="shared" si="28"/>
        <v>1</v>
      </c>
      <c r="D301" s="4"/>
      <c r="E301" t="s">
        <v>18</v>
      </c>
      <c r="F301" t="str">
        <f>INDEX(Establishment!B$2:B$1005,MATCH($E301,Establishment!$A$2:$A$1005,0))</f>
        <v xml:space="preserve"> </v>
      </c>
      <c r="G301" t="str">
        <f>INDEX(Establishment!C$2:C$1005,MATCH($E301,Establishment!$A$2:$A$1005,0))</f>
        <v xml:space="preserve"> </v>
      </c>
      <c r="M301">
        <f t="shared" si="26"/>
        <v>0</v>
      </c>
      <c r="N301">
        <f t="shared" si="25"/>
        <v>0</v>
      </c>
      <c r="P301" t="e">
        <f>INDEX(Items!B$2:B$1032,MATCH($O301,Items!$A$2:$A$1032,0))</f>
        <v>#N/A</v>
      </c>
      <c r="Q301" t="e">
        <f>INDEX(Items!C$2:C$1032,MATCH($O301,Items!$A$2:$A$1032,0))</f>
        <v>#N/A</v>
      </c>
      <c r="R301" t="e">
        <f>INDEX(Items!D$2:D$1032,MATCH($O301,Items!$A$2:$A$1032,0))</f>
        <v>#N/A</v>
      </c>
    </row>
    <row r="302" spans="1:18" x14ac:dyDescent="0.25">
      <c r="A302">
        <f t="shared" si="24"/>
        <v>1</v>
      </c>
      <c r="B302" t="str">
        <f t="shared" si="27"/>
        <v/>
      </c>
      <c r="C302">
        <f t="shared" si="28"/>
        <v>1</v>
      </c>
      <c r="D302" s="4"/>
      <c r="E302" t="s">
        <v>18</v>
      </c>
      <c r="F302" t="str">
        <f>INDEX(Establishment!B$2:B$1005,MATCH($E302,Establishment!$A$2:$A$1005,0))</f>
        <v xml:space="preserve"> </v>
      </c>
      <c r="G302" t="str">
        <f>INDEX(Establishment!C$2:C$1005,MATCH($E302,Establishment!$A$2:$A$1005,0))</f>
        <v xml:space="preserve"> </v>
      </c>
      <c r="M302">
        <f t="shared" si="26"/>
        <v>0</v>
      </c>
      <c r="N302">
        <f t="shared" si="25"/>
        <v>0</v>
      </c>
      <c r="P302" t="e">
        <f>INDEX(Items!B$2:B$1032,MATCH($O302,Items!$A$2:$A$1032,0))</f>
        <v>#N/A</v>
      </c>
      <c r="Q302" t="e">
        <f>INDEX(Items!C$2:C$1032,MATCH($O302,Items!$A$2:$A$1032,0))</f>
        <v>#N/A</v>
      </c>
      <c r="R302" t="e">
        <f>INDEX(Items!D$2:D$1032,MATCH($O302,Items!$A$2:$A$1032,0))</f>
        <v>#N/A</v>
      </c>
    </row>
    <row r="303" spans="1:18" x14ac:dyDescent="0.25">
      <c r="A303">
        <f t="shared" si="24"/>
        <v>1</v>
      </c>
      <c r="B303" t="str">
        <f t="shared" si="27"/>
        <v/>
      </c>
      <c r="C303">
        <f t="shared" si="28"/>
        <v>1</v>
      </c>
      <c r="D303" s="4"/>
      <c r="E303" t="s">
        <v>18</v>
      </c>
      <c r="F303" t="str">
        <f>INDEX(Establishment!B$2:B$1005,MATCH($E303,Establishment!$A$2:$A$1005,0))</f>
        <v xml:space="preserve"> </v>
      </c>
      <c r="G303" t="str">
        <f>INDEX(Establishment!C$2:C$1005,MATCH($E303,Establishment!$A$2:$A$1005,0))</f>
        <v xml:space="preserve"> </v>
      </c>
      <c r="M303">
        <f t="shared" si="26"/>
        <v>0</v>
      </c>
      <c r="N303">
        <f t="shared" si="25"/>
        <v>0</v>
      </c>
      <c r="P303" t="e">
        <f>INDEX(Items!B$2:B$1032,MATCH($O303,Items!$A$2:$A$1032,0))</f>
        <v>#N/A</v>
      </c>
      <c r="Q303" t="e">
        <f>INDEX(Items!C$2:C$1032,MATCH($O303,Items!$A$2:$A$1032,0))</f>
        <v>#N/A</v>
      </c>
      <c r="R303" t="e">
        <f>INDEX(Items!D$2:D$1032,MATCH($O303,Items!$A$2:$A$1032,0))</f>
        <v>#N/A</v>
      </c>
    </row>
    <row r="304" spans="1:18" x14ac:dyDescent="0.25">
      <c r="A304">
        <f t="shared" si="24"/>
        <v>1</v>
      </c>
      <c r="B304" t="str">
        <f t="shared" si="27"/>
        <v/>
      </c>
      <c r="C304">
        <f t="shared" si="28"/>
        <v>1</v>
      </c>
      <c r="D304" s="4"/>
      <c r="E304" t="s">
        <v>18</v>
      </c>
      <c r="F304" t="str">
        <f>INDEX(Establishment!B$2:B$1005,MATCH($E304,Establishment!$A$2:$A$1005,0))</f>
        <v xml:space="preserve"> </v>
      </c>
      <c r="G304" t="str">
        <f>INDEX(Establishment!C$2:C$1005,MATCH($E304,Establishment!$A$2:$A$1005,0))</f>
        <v xml:space="preserve"> </v>
      </c>
      <c r="M304">
        <f t="shared" si="26"/>
        <v>0</v>
      </c>
      <c r="N304">
        <f t="shared" si="25"/>
        <v>0</v>
      </c>
      <c r="P304" t="e">
        <f>INDEX(Items!B$2:B$1032,MATCH($O304,Items!$A$2:$A$1032,0))</f>
        <v>#N/A</v>
      </c>
      <c r="Q304" t="e">
        <f>INDEX(Items!C$2:C$1032,MATCH($O304,Items!$A$2:$A$1032,0))</f>
        <v>#N/A</v>
      </c>
      <c r="R304" t="e">
        <f>INDEX(Items!D$2:D$1032,MATCH($O304,Items!$A$2:$A$1032,0))</f>
        <v>#N/A</v>
      </c>
    </row>
    <row r="305" spans="1:18" x14ac:dyDescent="0.25">
      <c r="A305">
        <f t="shared" si="24"/>
        <v>1</v>
      </c>
      <c r="B305" t="str">
        <f t="shared" si="27"/>
        <v/>
      </c>
      <c r="C305">
        <f t="shared" si="28"/>
        <v>1</v>
      </c>
      <c r="D305" s="4"/>
      <c r="E305" t="s">
        <v>18</v>
      </c>
      <c r="F305" t="str">
        <f>INDEX(Establishment!B$2:B$1005,MATCH($E305,Establishment!$A$2:$A$1005,0))</f>
        <v xml:space="preserve"> </v>
      </c>
      <c r="G305" t="str">
        <f>INDEX(Establishment!C$2:C$1005,MATCH($E305,Establishment!$A$2:$A$1005,0))</f>
        <v xml:space="preserve"> </v>
      </c>
      <c r="M305">
        <f t="shared" si="26"/>
        <v>0</v>
      </c>
      <c r="N305">
        <f t="shared" si="25"/>
        <v>0</v>
      </c>
      <c r="P305" t="e">
        <f>INDEX(Items!B$2:B$1032,MATCH($O305,Items!$A$2:$A$1032,0))</f>
        <v>#N/A</v>
      </c>
      <c r="Q305" t="e">
        <f>INDEX(Items!C$2:C$1032,MATCH($O305,Items!$A$2:$A$1032,0))</f>
        <v>#N/A</v>
      </c>
      <c r="R305" t="e">
        <f>INDEX(Items!D$2:D$1032,MATCH($O305,Items!$A$2:$A$1032,0))</f>
        <v>#N/A</v>
      </c>
    </row>
    <row r="306" spans="1:18" x14ac:dyDescent="0.25">
      <c r="A306">
        <f t="shared" si="24"/>
        <v>1</v>
      </c>
      <c r="B306" t="str">
        <f t="shared" si="27"/>
        <v/>
      </c>
      <c r="C306">
        <f t="shared" si="28"/>
        <v>1</v>
      </c>
      <c r="D306" s="4"/>
      <c r="E306" t="s">
        <v>18</v>
      </c>
      <c r="F306" t="str">
        <f>INDEX(Establishment!B$2:B$1005,MATCH($E306,Establishment!$A$2:$A$1005,0))</f>
        <v xml:space="preserve"> </v>
      </c>
      <c r="G306" t="str">
        <f>INDEX(Establishment!C$2:C$1005,MATCH($E306,Establishment!$A$2:$A$1005,0))</f>
        <v xml:space="preserve"> </v>
      </c>
      <c r="M306">
        <f t="shared" si="26"/>
        <v>0</v>
      </c>
      <c r="N306">
        <f t="shared" si="25"/>
        <v>0</v>
      </c>
      <c r="P306" t="e">
        <f>INDEX(Items!B$2:B$1032,MATCH($O306,Items!$A$2:$A$1032,0))</f>
        <v>#N/A</v>
      </c>
      <c r="Q306" t="e">
        <f>INDEX(Items!C$2:C$1032,MATCH($O306,Items!$A$2:$A$1032,0))</f>
        <v>#N/A</v>
      </c>
      <c r="R306" t="e">
        <f>INDEX(Items!D$2:D$1032,MATCH($O306,Items!$A$2:$A$1032,0))</f>
        <v>#N/A</v>
      </c>
    </row>
    <row r="307" spans="1:18" x14ac:dyDescent="0.25">
      <c r="A307">
        <f t="shared" si="24"/>
        <v>1</v>
      </c>
      <c r="B307" t="str">
        <f t="shared" si="27"/>
        <v/>
      </c>
      <c r="C307">
        <f t="shared" si="28"/>
        <v>1</v>
      </c>
      <c r="D307" s="4"/>
      <c r="E307" t="s">
        <v>18</v>
      </c>
      <c r="F307" t="str">
        <f>INDEX(Establishment!B$2:B$1005,MATCH($E307,Establishment!$A$2:$A$1005,0))</f>
        <v xml:space="preserve"> </v>
      </c>
      <c r="G307" t="str">
        <f>INDEX(Establishment!C$2:C$1005,MATCH($E307,Establishment!$A$2:$A$1005,0))</f>
        <v xml:space="preserve"> </v>
      </c>
      <c r="M307">
        <f t="shared" si="26"/>
        <v>0</v>
      </c>
      <c r="N307">
        <f t="shared" si="25"/>
        <v>0</v>
      </c>
      <c r="P307" t="e">
        <f>INDEX(Items!B$2:B$1032,MATCH($O307,Items!$A$2:$A$1032,0))</f>
        <v>#N/A</v>
      </c>
      <c r="Q307" t="e">
        <f>INDEX(Items!C$2:C$1032,MATCH($O307,Items!$A$2:$A$1032,0))</f>
        <v>#N/A</v>
      </c>
      <c r="R307" t="e">
        <f>INDEX(Items!D$2:D$1032,MATCH($O307,Items!$A$2:$A$1032,0))</f>
        <v>#N/A</v>
      </c>
    </row>
    <row r="308" spans="1:18" x14ac:dyDescent="0.25">
      <c r="A308">
        <f t="shared" si="24"/>
        <v>1</v>
      </c>
      <c r="B308" t="str">
        <f t="shared" si="27"/>
        <v/>
      </c>
      <c r="C308">
        <f t="shared" si="28"/>
        <v>1</v>
      </c>
      <c r="D308" s="4"/>
      <c r="E308" t="s">
        <v>18</v>
      </c>
      <c r="F308" t="str">
        <f>INDEX(Establishment!B$2:B$1005,MATCH($E308,Establishment!$A$2:$A$1005,0))</f>
        <v xml:space="preserve"> </v>
      </c>
      <c r="G308" t="str">
        <f>INDEX(Establishment!C$2:C$1005,MATCH($E308,Establishment!$A$2:$A$1005,0))</f>
        <v xml:space="preserve"> </v>
      </c>
      <c r="M308">
        <f t="shared" si="26"/>
        <v>0</v>
      </c>
      <c r="N308">
        <f t="shared" si="25"/>
        <v>0</v>
      </c>
      <c r="P308" t="e">
        <f>INDEX(Items!B$2:B$1032,MATCH($O308,Items!$A$2:$A$1032,0))</f>
        <v>#N/A</v>
      </c>
      <c r="Q308" t="e">
        <f>INDEX(Items!C$2:C$1032,MATCH($O308,Items!$A$2:$A$1032,0))</f>
        <v>#N/A</v>
      </c>
      <c r="R308" t="e">
        <f>INDEX(Items!D$2:D$1032,MATCH($O308,Items!$A$2:$A$1032,0))</f>
        <v>#N/A</v>
      </c>
    </row>
    <row r="309" spans="1:18" x14ac:dyDescent="0.25">
      <c r="A309">
        <f t="shared" si="24"/>
        <v>1</v>
      </c>
      <c r="B309" t="str">
        <f t="shared" si="27"/>
        <v/>
      </c>
      <c r="C309">
        <f t="shared" si="28"/>
        <v>1</v>
      </c>
      <c r="D309" s="4"/>
      <c r="E309" t="s">
        <v>18</v>
      </c>
      <c r="F309" t="str">
        <f>INDEX(Establishment!B$2:B$1005,MATCH($E309,Establishment!$A$2:$A$1005,0))</f>
        <v xml:space="preserve"> </v>
      </c>
      <c r="G309" t="str">
        <f>INDEX(Establishment!C$2:C$1005,MATCH($E309,Establishment!$A$2:$A$1005,0))</f>
        <v xml:space="preserve"> </v>
      </c>
      <c r="M309">
        <f t="shared" si="26"/>
        <v>0</v>
      </c>
      <c r="N309">
        <f t="shared" si="25"/>
        <v>0</v>
      </c>
      <c r="P309" t="e">
        <f>INDEX(Items!B$2:B$1032,MATCH($O309,Items!$A$2:$A$1032,0))</f>
        <v>#N/A</v>
      </c>
      <c r="Q309" t="e">
        <f>INDEX(Items!C$2:C$1032,MATCH($O309,Items!$A$2:$A$1032,0))</f>
        <v>#N/A</v>
      </c>
      <c r="R309" t="e">
        <f>INDEX(Items!D$2:D$1032,MATCH($O309,Items!$A$2:$A$1032,0))</f>
        <v>#N/A</v>
      </c>
    </row>
    <row r="310" spans="1:18" x14ac:dyDescent="0.25">
      <c r="A310">
        <f t="shared" si="24"/>
        <v>1</v>
      </c>
      <c r="B310" t="str">
        <f t="shared" si="27"/>
        <v/>
      </c>
      <c r="C310">
        <f t="shared" si="28"/>
        <v>1</v>
      </c>
      <c r="D310" s="4"/>
      <c r="E310" t="s">
        <v>18</v>
      </c>
      <c r="F310" t="str">
        <f>INDEX(Establishment!B$2:B$1005,MATCH($E310,Establishment!$A$2:$A$1005,0))</f>
        <v xml:space="preserve"> </v>
      </c>
      <c r="G310" t="str">
        <f>INDEX(Establishment!C$2:C$1005,MATCH($E310,Establishment!$A$2:$A$1005,0))</f>
        <v xml:space="preserve"> </v>
      </c>
      <c r="M310">
        <f t="shared" si="26"/>
        <v>0</v>
      </c>
      <c r="N310">
        <f t="shared" si="25"/>
        <v>0</v>
      </c>
      <c r="P310" t="e">
        <f>INDEX(Items!B$2:B$1032,MATCH($O310,Items!$A$2:$A$1032,0))</f>
        <v>#N/A</v>
      </c>
      <c r="Q310" t="e">
        <f>INDEX(Items!C$2:C$1032,MATCH($O310,Items!$A$2:$A$1032,0))</f>
        <v>#N/A</v>
      </c>
      <c r="R310" t="e">
        <f>INDEX(Items!D$2:D$1032,MATCH($O310,Items!$A$2:$A$1032,0))</f>
        <v>#N/A</v>
      </c>
    </row>
    <row r="311" spans="1:18" x14ac:dyDescent="0.25">
      <c r="A311">
        <f t="shared" si="24"/>
        <v>1</v>
      </c>
      <c r="B311" t="str">
        <f t="shared" si="27"/>
        <v/>
      </c>
      <c r="C311">
        <f t="shared" si="28"/>
        <v>1</v>
      </c>
      <c r="D311" s="4"/>
      <c r="E311" t="s">
        <v>18</v>
      </c>
      <c r="F311" t="str">
        <f>INDEX(Establishment!B$2:B$1005,MATCH($E311,Establishment!$A$2:$A$1005,0))</f>
        <v xml:space="preserve"> </v>
      </c>
      <c r="G311" t="str">
        <f>INDEX(Establishment!C$2:C$1005,MATCH($E311,Establishment!$A$2:$A$1005,0))</f>
        <v xml:space="preserve"> </v>
      </c>
      <c r="M311">
        <f t="shared" si="26"/>
        <v>0</v>
      </c>
      <c r="N311">
        <f t="shared" si="25"/>
        <v>0</v>
      </c>
      <c r="P311" t="e">
        <f>INDEX(Items!B$2:B$1032,MATCH($O311,Items!$A$2:$A$1032,0))</f>
        <v>#N/A</v>
      </c>
      <c r="Q311" t="e">
        <f>INDEX(Items!C$2:C$1032,MATCH($O311,Items!$A$2:$A$1032,0))</f>
        <v>#N/A</v>
      </c>
      <c r="R311" t="e">
        <f>INDEX(Items!D$2:D$1032,MATCH($O311,Items!$A$2:$A$1032,0))</f>
        <v>#N/A</v>
      </c>
    </row>
    <row r="312" spans="1:18" x14ac:dyDescent="0.25">
      <c r="A312">
        <f t="shared" si="24"/>
        <v>1</v>
      </c>
      <c r="B312" t="str">
        <f t="shared" si="27"/>
        <v/>
      </c>
      <c r="C312">
        <f t="shared" si="28"/>
        <v>1</v>
      </c>
      <c r="D312" s="4"/>
      <c r="E312" t="s">
        <v>18</v>
      </c>
      <c r="F312" t="str">
        <f>INDEX(Establishment!B$2:B$1005,MATCH($E312,Establishment!$A$2:$A$1005,0))</f>
        <v xml:space="preserve"> </v>
      </c>
      <c r="G312" t="str">
        <f>INDEX(Establishment!C$2:C$1005,MATCH($E312,Establishment!$A$2:$A$1005,0))</f>
        <v xml:space="preserve"> </v>
      </c>
      <c r="M312">
        <f t="shared" si="26"/>
        <v>0</v>
      </c>
      <c r="N312">
        <f t="shared" si="25"/>
        <v>0</v>
      </c>
      <c r="P312" t="e">
        <f>INDEX(Items!B$2:B$1032,MATCH($O312,Items!$A$2:$A$1032,0))</f>
        <v>#N/A</v>
      </c>
      <c r="Q312" t="e">
        <f>INDEX(Items!C$2:C$1032,MATCH($O312,Items!$A$2:$A$1032,0))</f>
        <v>#N/A</v>
      </c>
      <c r="R312" t="e">
        <f>INDEX(Items!D$2:D$1032,MATCH($O312,Items!$A$2:$A$1032,0))</f>
        <v>#N/A</v>
      </c>
    </row>
    <row r="313" spans="1:18" x14ac:dyDescent="0.25">
      <c r="A313">
        <f t="shared" si="24"/>
        <v>1</v>
      </c>
      <c r="B313" t="str">
        <f t="shared" si="27"/>
        <v/>
      </c>
      <c r="C313">
        <f t="shared" si="28"/>
        <v>1</v>
      </c>
      <c r="D313" s="4"/>
      <c r="E313" t="s">
        <v>18</v>
      </c>
      <c r="F313" t="str">
        <f>INDEX(Establishment!B$2:B$1005,MATCH($E313,Establishment!$A$2:$A$1005,0))</f>
        <v xml:space="preserve"> </v>
      </c>
      <c r="G313" t="str">
        <f>INDEX(Establishment!C$2:C$1005,MATCH($E313,Establishment!$A$2:$A$1005,0))</f>
        <v xml:space="preserve"> </v>
      </c>
      <c r="M313">
        <f t="shared" si="26"/>
        <v>0</v>
      </c>
      <c r="N313">
        <f t="shared" si="25"/>
        <v>0</v>
      </c>
      <c r="P313" t="e">
        <f>INDEX(Items!B$2:B$1032,MATCH($O313,Items!$A$2:$A$1032,0))</f>
        <v>#N/A</v>
      </c>
      <c r="Q313" t="e">
        <f>INDEX(Items!C$2:C$1032,MATCH($O313,Items!$A$2:$A$1032,0))</f>
        <v>#N/A</v>
      </c>
      <c r="R313" t="e">
        <f>INDEX(Items!D$2:D$1032,MATCH($O313,Items!$A$2:$A$1032,0))</f>
        <v>#N/A</v>
      </c>
    </row>
    <row r="314" spans="1:18" x14ac:dyDescent="0.25">
      <c r="A314">
        <f t="shared" si="24"/>
        <v>1</v>
      </c>
      <c r="B314" t="str">
        <f t="shared" si="27"/>
        <v/>
      </c>
      <c r="C314">
        <f t="shared" si="28"/>
        <v>1</v>
      </c>
      <c r="D314" s="4"/>
      <c r="E314" t="s">
        <v>18</v>
      </c>
      <c r="F314" t="str">
        <f>INDEX(Establishment!B$2:B$1005,MATCH($E314,Establishment!$A$2:$A$1005,0))</f>
        <v xml:space="preserve"> </v>
      </c>
      <c r="G314" t="str">
        <f>INDEX(Establishment!C$2:C$1005,MATCH($E314,Establishment!$A$2:$A$1005,0))</f>
        <v xml:space="preserve"> </v>
      </c>
      <c r="M314">
        <f t="shared" si="26"/>
        <v>0</v>
      </c>
      <c r="N314">
        <f t="shared" si="25"/>
        <v>0</v>
      </c>
      <c r="P314" t="e">
        <f>INDEX(Items!B$2:B$1032,MATCH($O314,Items!$A$2:$A$1032,0))</f>
        <v>#N/A</v>
      </c>
      <c r="Q314" t="e">
        <f>INDEX(Items!C$2:C$1032,MATCH($O314,Items!$A$2:$A$1032,0))</f>
        <v>#N/A</v>
      </c>
      <c r="R314" t="e">
        <f>INDEX(Items!D$2:D$1032,MATCH($O314,Items!$A$2:$A$1032,0))</f>
        <v>#N/A</v>
      </c>
    </row>
    <row r="315" spans="1:18" x14ac:dyDescent="0.25">
      <c r="A315">
        <f t="shared" si="24"/>
        <v>1</v>
      </c>
      <c r="B315" t="str">
        <f t="shared" si="27"/>
        <v/>
      </c>
      <c r="C315">
        <f t="shared" si="28"/>
        <v>1</v>
      </c>
      <c r="D315" s="4"/>
      <c r="E315" t="s">
        <v>18</v>
      </c>
      <c r="F315" t="str">
        <f>INDEX(Establishment!B$2:B$1005,MATCH($E315,Establishment!$A$2:$A$1005,0))</f>
        <v xml:space="preserve"> </v>
      </c>
      <c r="G315" t="str">
        <f>INDEX(Establishment!C$2:C$1005,MATCH($E315,Establishment!$A$2:$A$1005,0))</f>
        <v xml:space="preserve"> </v>
      </c>
      <c r="M315">
        <f t="shared" si="26"/>
        <v>0</v>
      </c>
      <c r="N315">
        <f t="shared" si="25"/>
        <v>0</v>
      </c>
      <c r="P315" t="e">
        <f>INDEX(Items!B$2:B$1032,MATCH($O315,Items!$A$2:$A$1032,0))</f>
        <v>#N/A</v>
      </c>
      <c r="Q315" t="e">
        <f>INDEX(Items!C$2:C$1032,MATCH($O315,Items!$A$2:$A$1032,0))</f>
        <v>#N/A</v>
      </c>
      <c r="R315" t="e">
        <f>INDEX(Items!D$2:D$1032,MATCH($O315,Items!$A$2:$A$1032,0))</f>
        <v>#N/A</v>
      </c>
    </row>
    <row r="316" spans="1:18" x14ac:dyDescent="0.25">
      <c r="A316">
        <f t="shared" si="24"/>
        <v>1</v>
      </c>
      <c r="B316" t="str">
        <f t="shared" si="27"/>
        <v/>
      </c>
      <c r="C316">
        <f t="shared" si="28"/>
        <v>1</v>
      </c>
      <c r="D316" s="4"/>
      <c r="E316" t="s">
        <v>18</v>
      </c>
      <c r="F316" t="str">
        <f>INDEX(Establishment!B$2:B$1005,MATCH($E316,Establishment!$A$2:$A$1005,0))</f>
        <v xml:space="preserve"> </v>
      </c>
      <c r="G316" t="str">
        <f>INDEX(Establishment!C$2:C$1005,MATCH($E316,Establishment!$A$2:$A$1005,0))</f>
        <v xml:space="preserve"> </v>
      </c>
      <c r="M316">
        <f t="shared" si="26"/>
        <v>0</v>
      </c>
      <c r="N316">
        <f t="shared" si="25"/>
        <v>0</v>
      </c>
      <c r="P316" t="e">
        <f>INDEX(Items!B$2:B$1032,MATCH($O316,Items!$A$2:$A$1032,0))</f>
        <v>#N/A</v>
      </c>
      <c r="Q316" t="e">
        <f>INDEX(Items!C$2:C$1032,MATCH($O316,Items!$A$2:$A$1032,0))</f>
        <v>#N/A</v>
      </c>
      <c r="R316" t="e">
        <f>INDEX(Items!D$2:D$1032,MATCH($O316,Items!$A$2:$A$1032,0))</f>
        <v>#N/A</v>
      </c>
    </row>
    <row r="317" spans="1:18" x14ac:dyDescent="0.25">
      <c r="A317">
        <f t="shared" si="24"/>
        <v>1</v>
      </c>
      <c r="B317" t="str">
        <f t="shared" si="27"/>
        <v/>
      </c>
      <c r="C317">
        <f t="shared" si="28"/>
        <v>1</v>
      </c>
      <c r="D317" s="4"/>
      <c r="E317" t="s">
        <v>18</v>
      </c>
      <c r="F317" t="str">
        <f>INDEX(Establishment!B$2:B$1005,MATCH($E317,Establishment!$A$2:$A$1005,0))</f>
        <v xml:space="preserve"> </v>
      </c>
      <c r="G317" t="str">
        <f>INDEX(Establishment!C$2:C$1005,MATCH($E317,Establishment!$A$2:$A$1005,0))</f>
        <v xml:space="preserve"> </v>
      </c>
      <c r="M317">
        <f t="shared" si="26"/>
        <v>0</v>
      </c>
      <c r="N317">
        <f t="shared" si="25"/>
        <v>0</v>
      </c>
      <c r="P317" t="e">
        <f>INDEX(Items!B$2:B$1032,MATCH($O317,Items!$A$2:$A$1032,0))</f>
        <v>#N/A</v>
      </c>
      <c r="Q317" t="e">
        <f>INDEX(Items!C$2:C$1032,MATCH($O317,Items!$A$2:$A$1032,0))</f>
        <v>#N/A</v>
      </c>
      <c r="R317" t="e">
        <f>INDEX(Items!D$2:D$1032,MATCH($O317,Items!$A$2:$A$1032,0))</f>
        <v>#N/A</v>
      </c>
    </row>
    <row r="318" spans="1:18" x14ac:dyDescent="0.25">
      <c r="A318">
        <f t="shared" si="24"/>
        <v>1</v>
      </c>
      <c r="B318" t="str">
        <f t="shared" si="27"/>
        <v/>
      </c>
      <c r="C318">
        <f t="shared" si="28"/>
        <v>1</v>
      </c>
      <c r="D318" s="4"/>
      <c r="E318" t="s">
        <v>18</v>
      </c>
      <c r="F318" t="str">
        <f>INDEX(Establishment!B$2:B$1005,MATCH($E318,Establishment!$A$2:$A$1005,0))</f>
        <v xml:space="preserve"> </v>
      </c>
      <c r="G318" t="str">
        <f>INDEX(Establishment!C$2:C$1005,MATCH($E318,Establishment!$A$2:$A$1005,0))</f>
        <v xml:space="preserve"> </v>
      </c>
      <c r="M318">
        <f t="shared" si="26"/>
        <v>0</v>
      </c>
      <c r="N318">
        <f t="shared" si="25"/>
        <v>0</v>
      </c>
      <c r="P318" t="e">
        <f>INDEX(Items!B$2:B$1032,MATCH($O318,Items!$A$2:$A$1032,0))</f>
        <v>#N/A</v>
      </c>
      <c r="Q318" t="e">
        <f>INDEX(Items!C$2:C$1032,MATCH($O318,Items!$A$2:$A$1032,0))</f>
        <v>#N/A</v>
      </c>
      <c r="R318" t="e">
        <f>INDEX(Items!D$2:D$1032,MATCH($O318,Items!$A$2:$A$1032,0))</f>
        <v>#N/A</v>
      </c>
    </row>
    <row r="319" spans="1:18" x14ac:dyDescent="0.25">
      <c r="A319">
        <f t="shared" si="24"/>
        <v>1</v>
      </c>
      <c r="B319" t="str">
        <f t="shared" si="27"/>
        <v/>
      </c>
      <c r="C319">
        <f t="shared" si="28"/>
        <v>1</v>
      </c>
      <c r="D319" s="4"/>
      <c r="E319" t="s">
        <v>18</v>
      </c>
      <c r="F319" t="str">
        <f>INDEX(Establishment!B$2:B$1005,MATCH($E319,Establishment!$A$2:$A$1005,0))</f>
        <v xml:space="preserve"> </v>
      </c>
      <c r="G319" t="str">
        <f>INDEX(Establishment!C$2:C$1005,MATCH($E319,Establishment!$A$2:$A$1005,0))</f>
        <v xml:space="preserve"> </v>
      </c>
      <c r="M319">
        <f t="shared" si="26"/>
        <v>0</v>
      </c>
      <c r="N319">
        <f t="shared" si="25"/>
        <v>0</v>
      </c>
      <c r="P319" t="e">
        <f>INDEX(Items!B$2:B$1032,MATCH($O319,Items!$A$2:$A$1032,0))</f>
        <v>#N/A</v>
      </c>
      <c r="Q319" t="e">
        <f>INDEX(Items!C$2:C$1032,MATCH($O319,Items!$A$2:$A$1032,0))</f>
        <v>#N/A</v>
      </c>
      <c r="R319" t="e">
        <f>INDEX(Items!D$2:D$1032,MATCH($O319,Items!$A$2:$A$1032,0))</f>
        <v>#N/A</v>
      </c>
    </row>
    <row r="320" spans="1:18" x14ac:dyDescent="0.25">
      <c r="A320">
        <f t="shared" si="24"/>
        <v>1</v>
      </c>
      <c r="B320" t="str">
        <f t="shared" si="27"/>
        <v/>
      </c>
      <c r="C320">
        <f t="shared" si="28"/>
        <v>1</v>
      </c>
      <c r="D320" s="4"/>
      <c r="E320" t="s">
        <v>18</v>
      </c>
      <c r="F320" t="str">
        <f>INDEX(Establishment!B$2:B$1005,MATCH($E320,Establishment!$A$2:$A$1005,0))</f>
        <v xml:space="preserve"> </v>
      </c>
      <c r="G320" t="str">
        <f>INDEX(Establishment!C$2:C$1005,MATCH($E320,Establishment!$A$2:$A$1005,0))</f>
        <v xml:space="preserve"> </v>
      </c>
      <c r="M320">
        <f t="shared" si="26"/>
        <v>0</v>
      </c>
      <c r="N320">
        <f t="shared" si="25"/>
        <v>0</v>
      </c>
      <c r="P320" t="e">
        <f>INDEX(Items!B$2:B$1032,MATCH($O320,Items!$A$2:$A$1032,0))</f>
        <v>#N/A</v>
      </c>
      <c r="Q320" t="e">
        <f>INDEX(Items!C$2:C$1032,MATCH($O320,Items!$A$2:$A$1032,0))</f>
        <v>#N/A</v>
      </c>
      <c r="R320" t="e">
        <f>INDEX(Items!D$2:D$1032,MATCH($O320,Items!$A$2:$A$1032,0))</f>
        <v>#N/A</v>
      </c>
    </row>
    <row r="321" spans="1:18" x14ac:dyDescent="0.25">
      <c r="A321">
        <f t="shared" si="24"/>
        <v>1</v>
      </c>
      <c r="B321" t="str">
        <f t="shared" si="27"/>
        <v/>
      </c>
      <c r="C321">
        <f t="shared" si="28"/>
        <v>1</v>
      </c>
      <c r="D321" s="4"/>
      <c r="E321" t="s">
        <v>18</v>
      </c>
      <c r="F321" t="str">
        <f>INDEX(Establishment!B$2:B$1005,MATCH($E321,Establishment!$A$2:$A$1005,0))</f>
        <v xml:space="preserve"> </v>
      </c>
      <c r="G321" t="str">
        <f>INDEX(Establishment!C$2:C$1005,MATCH($E321,Establishment!$A$2:$A$1005,0))</f>
        <v xml:space="preserve"> </v>
      </c>
      <c r="M321">
        <f t="shared" si="26"/>
        <v>0</v>
      </c>
      <c r="N321">
        <f t="shared" si="25"/>
        <v>0</v>
      </c>
      <c r="P321" t="e">
        <f>INDEX(Items!B$2:B$1032,MATCH($O321,Items!$A$2:$A$1032,0))</f>
        <v>#N/A</v>
      </c>
      <c r="Q321" t="e">
        <f>INDEX(Items!C$2:C$1032,MATCH($O321,Items!$A$2:$A$1032,0))</f>
        <v>#N/A</v>
      </c>
      <c r="R321" t="e">
        <f>INDEX(Items!D$2:D$1032,MATCH($O321,Items!$A$2:$A$1032,0))</f>
        <v>#N/A</v>
      </c>
    </row>
    <row r="322" spans="1:18" x14ac:dyDescent="0.25">
      <c r="A322">
        <f t="shared" ref="A322:A385" si="29">IF(OR(D322&lt;&gt;D321,D322=""),1,IF(NOT(AND(E322=E321,F322=F321,G322=G321)),A321+1,IF(OR(H322="",AND(H322&lt;&gt;"",H322&lt;&gt;H321,H321&lt;&gt;"")),A321,A321+1)))</f>
        <v>1</v>
      </c>
      <c r="B322" t="str">
        <f t="shared" si="27"/>
        <v/>
      </c>
      <c r="C322">
        <f t="shared" si="28"/>
        <v>1</v>
      </c>
      <c r="D322" s="4"/>
      <c r="E322" t="s">
        <v>18</v>
      </c>
      <c r="F322" t="str">
        <f>INDEX(Establishment!B$2:B$1005,MATCH($E322,Establishment!$A$2:$A$1005,0))</f>
        <v xml:space="preserve"> </v>
      </c>
      <c r="G322" t="str">
        <f>INDEX(Establishment!C$2:C$1005,MATCH($E322,Establishment!$A$2:$A$1005,0))</f>
        <v xml:space="preserve"> </v>
      </c>
      <c r="M322">
        <f t="shared" si="26"/>
        <v>0</v>
      </c>
      <c r="N322">
        <f t="shared" si="25"/>
        <v>0</v>
      </c>
      <c r="P322" t="e">
        <f>INDEX(Items!B$2:B$1032,MATCH($O322,Items!$A$2:$A$1032,0))</f>
        <v>#N/A</v>
      </c>
      <c r="Q322" t="e">
        <f>INDEX(Items!C$2:C$1032,MATCH($O322,Items!$A$2:$A$1032,0))</f>
        <v>#N/A</v>
      </c>
      <c r="R322" t="e">
        <f>INDEX(Items!D$2:D$1032,MATCH($O322,Items!$A$2:$A$1032,0))</f>
        <v>#N/A</v>
      </c>
    </row>
    <row r="323" spans="1:18" x14ac:dyDescent="0.25">
      <c r="A323">
        <f t="shared" si="29"/>
        <v>1</v>
      </c>
      <c r="B323" t="str">
        <f t="shared" si="27"/>
        <v/>
      </c>
      <c r="C323">
        <f t="shared" si="28"/>
        <v>1</v>
      </c>
      <c r="D323" s="4"/>
      <c r="E323" t="s">
        <v>18</v>
      </c>
      <c r="F323" t="str">
        <f>INDEX(Establishment!B$2:B$1005,MATCH($E323,Establishment!$A$2:$A$1005,0))</f>
        <v xml:space="preserve"> </v>
      </c>
      <c r="G323" t="str">
        <f>INDEX(Establishment!C$2:C$1005,MATCH($E323,Establishment!$A$2:$A$1005,0))</f>
        <v xml:space="preserve"> </v>
      </c>
      <c r="M323">
        <f t="shared" si="26"/>
        <v>0</v>
      </c>
      <c r="N323">
        <f t="shared" ref="N323:N386" si="30">IF(B323=B322,N322+M323,M323)</f>
        <v>0</v>
      </c>
      <c r="P323" t="e">
        <f>INDEX(Items!B$2:B$1032,MATCH($O323,Items!$A$2:$A$1032,0))</f>
        <v>#N/A</v>
      </c>
      <c r="Q323" t="e">
        <f>INDEX(Items!C$2:C$1032,MATCH($O323,Items!$A$2:$A$1032,0))</f>
        <v>#N/A</v>
      </c>
      <c r="R323" t="e">
        <f>INDEX(Items!D$2:D$1032,MATCH($O323,Items!$A$2:$A$1032,0))</f>
        <v>#N/A</v>
      </c>
    </row>
    <row r="324" spans="1:18" x14ac:dyDescent="0.25">
      <c r="A324">
        <f t="shared" si="29"/>
        <v>1</v>
      </c>
      <c r="B324" t="str">
        <f t="shared" si="27"/>
        <v/>
      </c>
      <c r="C324">
        <f t="shared" si="28"/>
        <v>1</v>
      </c>
      <c r="D324" s="4"/>
      <c r="E324" t="s">
        <v>18</v>
      </c>
      <c r="F324" t="str">
        <f>INDEX(Establishment!B$2:B$1005,MATCH($E324,Establishment!$A$2:$A$1005,0))</f>
        <v xml:space="preserve"> </v>
      </c>
      <c r="G324" t="str">
        <f>INDEX(Establishment!C$2:C$1005,MATCH($E324,Establishment!$A$2:$A$1005,0))</f>
        <v xml:space="preserve"> </v>
      </c>
      <c r="M324">
        <f t="shared" ref="M324:M387" si="31">K324*L324</f>
        <v>0</v>
      </c>
      <c r="N324">
        <f t="shared" si="30"/>
        <v>0</v>
      </c>
      <c r="P324" t="e">
        <f>INDEX(Items!B$2:B$1032,MATCH($O324,Items!$A$2:$A$1032,0))</f>
        <v>#N/A</v>
      </c>
      <c r="Q324" t="e">
        <f>INDEX(Items!C$2:C$1032,MATCH($O324,Items!$A$2:$A$1032,0))</f>
        <v>#N/A</v>
      </c>
      <c r="R324" t="e">
        <f>INDEX(Items!D$2:D$1032,MATCH($O324,Items!$A$2:$A$1032,0))</f>
        <v>#N/A</v>
      </c>
    </row>
    <row r="325" spans="1:18" x14ac:dyDescent="0.25">
      <c r="A325">
        <f t="shared" si="29"/>
        <v>1</v>
      </c>
      <c r="B325" t="str">
        <f t="shared" si="27"/>
        <v/>
      </c>
      <c r="C325">
        <f t="shared" si="28"/>
        <v>1</v>
      </c>
      <c r="D325" s="4"/>
      <c r="E325" t="s">
        <v>18</v>
      </c>
      <c r="F325" t="str">
        <f>INDEX(Establishment!B$2:B$1005,MATCH($E325,Establishment!$A$2:$A$1005,0))</f>
        <v xml:space="preserve"> </v>
      </c>
      <c r="G325" t="str">
        <f>INDEX(Establishment!C$2:C$1005,MATCH($E325,Establishment!$A$2:$A$1005,0))</f>
        <v xml:space="preserve"> </v>
      </c>
      <c r="M325">
        <f t="shared" si="31"/>
        <v>0</v>
      </c>
      <c r="N325">
        <f t="shared" si="30"/>
        <v>0</v>
      </c>
      <c r="P325" t="e">
        <f>INDEX(Items!B$2:B$1032,MATCH($O325,Items!$A$2:$A$1032,0))</f>
        <v>#N/A</v>
      </c>
      <c r="Q325" t="e">
        <f>INDEX(Items!C$2:C$1032,MATCH($O325,Items!$A$2:$A$1032,0))</f>
        <v>#N/A</v>
      </c>
      <c r="R325" t="e">
        <f>INDEX(Items!D$2:D$1032,MATCH($O325,Items!$A$2:$A$1032,0))</f>
        <v>#N/A</v>
      </c>
    </row>
    <row r="326" spans="1:18" x14ac:dyDescent="0.25">
      <c r="A326">
        <f t="shared" si="29"/>
        <v>1</v>
      </c>
      <c r="B326" t="str">
        <f t="shared" si="27"/>
        <v/>
      </c>
      <c r="C326">
        <f t="shared" si="28"/>
        <v>1</v>
      </c>
      <c r="D326" s="4"/>
      <c r="E326" t="s">
        <v>18</v>
      </c>
      <c r="F326" t="str">
        <f>INDEX(Establishment!B$2:B$1005,MATCH($E326,Establishment!$A$2:$A$1005,0))</f>
        <v xml:space="preserve"> </v>
      </c>
      <c r="G326" t="str">
        <f>INDEX(Establishment!C$2:C$1005,MATCH($E326,Establishment!$A$2:$A$1005,0))</f>
        <v xml:space="preserve"> </v>
      </c>
      <c r="M326">
        <f t="shared" si="31"/>
        <v>0</v>
      </c>
      <c r="N326">
        <f t="shared" si="30"/>
        <v>0</v>
      </c>
      <c r="P326" t="e">
        <f>INDEX(Items!B$2:B$1032,MATCH($O326,Items!$A$2:$A$1032,0))</f>
        <v>#N/A</v>
      </c>
      <c r="Q326" t="e">
        <f>INDEX(Items!C$2:C$1032,MATCH($O326,Items!$A$2:$A$1032,0))</f>
        <v>#N/A</v>
      </c>
      <c r="R326" t="e">
        <f>INDEX(Items!D$2:D$1032,MATCH($O326,Items!$A$2:$A$1032,0))</f>
        <v>#N/A</v>
      </c>
    </row>
    <row r="327" spans="1:18" x14ac:dyDescent="0.25">
      <c r="A327">
        <f t="shared" si="29"/>
        <v>1</v>
      </c>
      <c r="B327" t="str">
        <f t="shared" ref="B327:B390" si="32">IF(D327&lt;&gt;"",TEXT(D327,"YYYYMMDD")&amp;CHAR(64+A327),"")</f>
        <v/>
      </c>
      <c r="C327">
        <f t="shared" si="28"/>
        <v>1</v>
      </c>
      <c r="D327" s="4"/>
      <c r="E327" t="s">
        <v>18</v>
      </c>
      <c r="F327" t="str">
        <f>INDEX(Establishment!B$2:B$1005,MATCH($E327,Establishment!$A$2:$A$1005,0))</f>
        <v xml:space="preserve"> </v>
      </c>
      <c r="G327" t="str">
        <f>INDEX(Establishment!C$2:C$1005,MATCH($E327,Establishment!$A$2:$A$1005,0))</f>
        <v xml:space="preserve"> </v>
      </c>
      <c r="M327">
        <f t="shared" si="31"/>
        <v>0</v>
      </c>
      <c r="N327">
        <f t="shared" si="30"/>
        <v>0</v>
      </c>
      <c r="P327" t="e">
        <f>INDEX(Items!B$2:B$1032,MATCH($O327,Items!$A$2:$A$1032,0))</f>
        <v>#N/A</v>
      </c>
      <c r="Q327" t="e">
        <f>INDEX(Items!C$2:C$1032,MATCH($O327,Items!$A$2:$A$1032,0))</f>
        <v>#N/A</v>
      </c>
      <c r="R327" t="e">
        <f>INDEX(Items!D$2:D$1032,MATCH($O327,Items!$A$2:$A$1032,0))</f>
        <v>#N/A</v>
      </c>
    </row>
    <row r="328" spans="1:18" x14ac:dyDescent="0.25">
      <c r="A328">
        <f t="shared" si="29"/>
        <v>1</v>
      </c>
      <c r="B328" t="str">
        <f t="shared" si="32"/>
        <v/>
      </c>
      <c r="C328">
        <f t="shared" si="28"/>
        <v>1</v>
      </c>
      <c r="D328" s="4"/>
      <c r="E328" t="s">
        <v>18</v>
      </c>
      <c r="F328" t="str">
        <f>INDEX(Establishment!B$2:B$1005,MATCH($E328,Establishment!$A$2:$A$1005,0))</f>
        <v xml:space="preserve"> </v>
      </c>
      <c r="G328" t="str">
        <f>INDEX(Establishment!C$2:C$1005,MATCH($E328,Establishment!$A$2:$A$1005,0))</f>
        <v xml:space="preserve"> </v>
      </c>
      <c r="M328">
        <f t="shared" si="31"/>
        <v>0</v>
      </c>
      <c r="N328">
        <f t="shared" si="30"/>
        <v>0</v>
      </c>
      <c r="P328" t="e">
        <f>INDEX(Items!B$2:B$1032,MATCH($O328,Items!$A$2:$A$1032,0))</f>
        <v>#N/A</v>
      </c>
      <c r="Q328" t="e">
        <f>INDEX(Items!C$2:C$1032,MATCH($O328,Items!$A$2:$A$1032,0))</f>
        <v>#N/A</v>
      </c>
      <c r="R328" t="e">
        <f>INDEX(Items!D$2:D$1032,MATCH($O328,Items!$A$2:$A$1032,0))</f>
        <v>#N/A</v>
      </c>
    </row>
    <row r="329" spans="1:18" x14ac:dyDescent="0.25">
      <c r="A329">
        <f t="shared" si="29"/>
        <v>1</v>
      </c>
      <c r="B329" t="str">
        <f t="shared" si="32"/>
        <v/>
      </c>
      <c r="C329">
        <f t="shared" si="28"/>
        <v>1</v>
      </c>
      <c r="D329" s="4"/>
      <c r="E329" t="s">
        <v>18</v>
      </c>
      <c r="F329" t="str">
        <f>INDEX(Establishment!B$2:B$1005,MATCH($E329,Establishment!$A$2:$A$1005,0))</f>
        <v xml:space="preserve"> </v>
      </c>
      <c r="G329" t="str">
        <f>INDEX(Establishment!C$2:C$1005,MATCH($E329,Establishment!$A$2:$A$1005,0))</f>
        <v xml:space="preserve"> </v>
      </c>
      <c r="M329">
        <f t="shared" si="31"/>
        <v>0</v>
      </c>
      <c r="N329">
        <f t="shared" si="30"/>
        <v>0</v>
      </c>
      <c r="P329" t="e">
        <f>INDEX(Items!B$2:B$1032,MATCH($O329,Items!$A$2:$A$1032,0))</f>
        <v>#N/A</v>
      </c>
      <c r="Q329" t="e">
        <f>INDEX(Items!C$2:C$1032,MATCH($O329,Items!$A$2:$A$1032,0))</f>
        <v>#N/A</v>
      </c>
      <c r="R329" t="e">
        <f>INDEX(Items!D$2:D$1032,MATCH($O329,Items!$A$2:$A$1032,0))</f>
        <v>#N/A</v>
      </c>
    </row>
    <row r="330" spans="1:18" x14ac:dyDescent="0.25">
      <c r="A330">
        <f t="shared" si="29"/>
        <v>1</v>
      </c>
      <c r="B330" t="str">
        <f t="shared" si="32"/>
        <v/>
      </c>
      <c r="C330">
        <f t="shared" ref="C330:C393" si="33">IF(OR(B330="",B330&lt;&gt;B329),1,C329+1)</f>
        <v>1</v>
      </c>
      <c r="D330" s="4"/>
      <c r="E330" t="s">
        <v>18</v>
      </c>
      <c r="F330" t="str">
        <f>INDEX(Establishment!B$2:B$1005,MATCH($E330,Establishment!$A$2:$A$1005,0))</f>
        <v xml:space="preserve"> </v>
      </c>
      <c r="G330" t="str">
        <f>INDEX(Establishment!C$2:C$1005,MATCH($E330,Establishment!$A$2:$A$1005,0))</f>
        <v xml:space="preserve"> </v>
      </c>
      <c r="M330">
        <f t="shared" si="31"/>
        <v>0</v>
      </c>
      <c r="N330">
        <f t="shared" si="30"/>
        <v>0</v>
      </c>
      <c r="P330" t="e">
        <f>INDEX(Items!B$2:B$1032,MATCH($O330,Items!$A$2:$A$1032,0))</f>
        <v>#N/A</v>
      </c>
      <c r="Q330" t="e">
        <f>INDEX(Items!C$2:C$1032,MATCH($O330,Items!$A$2:$A$1032,0))</f>
        <v>#N/A</v>
      </c>
      <c r="R330" t="e">
        <f>INDEX(Items!D$2:D$1032,MATCH($O330,Items!$A$2:$A$1032,0))</f>
        <v>#N/A</v>
      </c>
    </row>
    <row r="331" spans="1:18" x14ac:dyDescent="0.25">
      <c r="A331">
        <f t="shared" si="29"/>
        <v>1</v>
      </c>
      <c r="B331" t="str">
        <f t="shared" si="32"/>
        <v/>
      </c>
      <c r="C331">
        <f t="shared" si="33"/>
        <v>1</v>
      </c>
      <c r="D331" s="4"/>
      <c r="E331" t="s">
        <v>18</v>
      </c>
      <c r="F331" t="str">
        <f>INDEX(Establishment!B$2:B$1005,MATCH($E331,Establishment!$A$2:$A$1005,0))</f>
        <v xml:space="preserve"> </v>
      </c>
      <c r="G331" t="str">
        <f>INDEX(Establishment!C$2:C$1005,MATCH($E331,Establishment!$A$2:$A$1005,0))</f>
        <v xml:space="preserve"> </v>
      </c>
      <c r="M331">
        <f t="shared" si="31"/>
        <v>0</v>
      </c>
      <c r="N331">
        <f t="shared" si="30"/>
        <v>0</v>
      </c>
      <c r="P331" t="e">
        <f>INDEX(Items!B$2:B$1032,MATCH($O331,Items!$A$2:$A$1032,0))</f>
        <v>#N/A</v>
      </c>
      <c r="Q331" t="e">
        <f>INDEX(Items!C$2:C$1032,MATCH($O331,Items!$A$2:$A$1032,0))</f>
        <v>#N/A</v>
      </c>
      <c r="R331" t="e">
        <f>INDEX(Items!D$2:D$1032,MATCH($O331,Items!$A$2:$A$1032,0))</f>
        <v>#N/A</v>
      </c>
    </row>
    <row r="332" spans="1:18" x14ac:dyDescent="0.25">
      <c r="A332">
        <f t="shared" si="29"/>
        <v>1</v>
      </c>
      <c r="B332" t="str">
        <f t="shared" si="32"/>
        <v/>
      </c>
      <c r="C332">
        <f t="shared" si="33"/>
        <v>1</v>
      </c>
      <c r="D332" s="4"/>
      <c r="E332" t="s">
        <v>18</v>
      </c>
      <c r="F332" t="str">
        <f>INDEX(Establishment!B$2:B$1005,MATCH($E332,Establishment!$A$2:$A$1005,0))</f>
        <v xml:space="preserve"> </v>
      </c>
      <c r="G332" t="str">
        <f>INDEX(Establishment!C$2:C$1005,MATCH($E332,Establishment!$A$2:$A$1005,0))</f>
        <v xml:space="preserve"> </v>
      </c>
      <c r="M332">
        <f t="shared" si="31"/>
        <v>0</v>
      </c>
      <c r="N332">
        <f t="shared" si="30"/>
        <v>0</v>
      </c>
      <c r="P332" t="e">
        <f>INDEX(Items!B$2:B$1032,MATCH($O332,Items!$A$2:$A$1032,0))</f>
        <v>#N/A</v>
      </c>
      <c r="Q332" t="e">
        <f>INDEX(Items!C$2:C$1032,MATCH($O332,Items!$A$2:$A$1032,0))</f>
        <v>#N/A</v>
      </c>
      <c r="R332" t="e">
        <f>INDEX(Items!D$2:D$1032,MATCH($O332,Items!$A$2:$A$1032,0))</f>
        <v>#N/A</v>
      </c>
    </row>
    <row r="333" spans="1:18" x14ac:dyDescent="0.25">
      <c r="A333">
        <f t="shared" si="29"/>
        <v>1</v>
      </c>
      <c r="B333" t="str">
        <f t="shared" si="32"/>
        <v/>
      </c>
      <c r="C333">
        <f t="shared" si="33"/>
        <v>1</v>
      </c>
      <c r="D333" s="4"/>
      <c r="E333" t="s">
        <v>18</v>
      </c>
      <c r="F333" t="str">
        <f>INDEX(Establishment!B$2:B$1005,MATCH($E333,Establishment!$A$2:$A$1005,0))</f>
        <v xml:space="preserve"> </v>
      </c>
      <c r="G333" t="str">
        <f>INDEX(Establishment!C$2:C$1005,MATCH($E333,Establishment!$A$2:$A$1005,0))</f>
        <v xml:space="preserve"> </v>
      </c>
      <c r="M333">
        <f t="shared" si="31"/>
        <v>0</v>
      </c>
      <c r="N333">
        <f t="shared" si="30"/>
        <v>0</v>
      </c>
      <c r="P333" t="e">
        <f>INDEX(Items!B$2:B$1032,MATCH($O333,Items!$A$2:$A$1032,0))</f>
        <v>#N/A</v>
      </c>
      <c r="Q333" t="e">
        <f>INDEX(Items!C$2:C$1032,MATCH($O333,Items!$A$2:$A$1032,0))</f>
        <v>#N/A</v>
      </c>
      <c r="R333" t="e">
        <f>INDEX(Items!D$2:D$1032,MATCH($O333,Items!$A$2:$A$1032,0))</f>
        <v>#N/A</v>
      </c>
    </row>
    <row r="334" spans="1:18" x14ac:dyDescent="0.25">
      <c r="A334">
        <f t="shared" si="29"/>
        <v>1</v>
      </c>
      <c r="B334" t="str">
        <f t="shared" si="32"/>
        <v/>
      </c>
      <c r="C334">
        <f t="shared" si="33"/>
        <v>1</v>
      </c>
      <c r="D334" s="4"/>
      <c r="E334" t="s">
        <v>18</v>
      </c>
      <c r="F334" t="str">
        <f>INDEX(Establishment!B$2:B$1005,MATCH($E334,Establishment!$A$2:$A$1005,0))</f>
        <v xml:space="preserve"> </v>
      </c>
      <c r="G334" t="str">
        <f>INDEX(Establishment!C$2:C$1005,MATCH($E334,Establishment!$A$2:$A$1005,0))</f>
        <v xml:space="preserve"> </v>
      </c>
      <c r="M334">
        <f t="shared" si="31"/>
        <v>0</v>
      </c>
      <c r="N334">
        <f t="shared" si="30"/>
        <v>0</v>
      </c>
      <c r="P334" t="e">
        <f>INDEX(Items!B$2:B$1032,MATCH($O334,Items!$A$2:$A$1032,0))</f>
        <v>#N/A</v>
      </c>
      <c r="Q334" t="e">
        <f>INDEX(Items!C$2:C$1032,MATCH($O334,Items!$A$2:$A$1032,0))</f>
        <v>#N/A</v>
      </c>
      <c r="R334" t="e">
        <f>INDEX(Items!D$2:D$1032,MATCH($O334,Items!$A$2:$A$1032,0))</f>
        <v>#N/A</v>
      </c>
    </row>
    <row r="335" spans="1:18" x14ac:dyDescent="0.25">
      <c r="A335">
        <f t="shared" si="29"/>
        <v>1</v>
      </c>
      <c r="B335" t="str">
        <f t="shared" si="32"/>
        <v/>
      </c>
      <c r="C335">
        <f t="shared" si="33"/>
        <v>1</v>
      </c>
      <c r="D335" s="4"/>
      <c r="E335" t="s">
        <v>18</v>
      </c>
      <c r="F335" t="str">
        <f>INDEX(Establishment!B$2:B$1005,MATCH($E335,Establishment!$A$2:$A$1005,0))</f>
        <v xml:space="preserve"> </v>
      </c>
      <c r="G335" t="str">
        <f>INDEX(Establishment!C$2:C$1005,MATCH($E335,Establishment!$A$2:$A$1005,0))</f>
        <v xml:space="preserve"> </v>
      </c>
      <c r="M335">
        <f t="shared" si="31"/>
        <v>0</v>
      </c>
      <c r="N335">
        <f t="shared" si="30"/>
        <v>0</v>
      </c>
      <c r="P335" t="e">
        <f>INDEX(Items!B$2:B$1032,MATCH($O335,Items!$A$2:$A$1032,0))</f>
        <v>#N/A</v>
      </c>
      <c r="Q335" t="e">
        <f>INDEX(Items!C$2:C$1032,MATCH($O335,Items!$A$2:$A$1032,0))</f>
        <v>#N/A</v>
      </c>
      <c r="R335" t="e">
        <f>INDEX(Items!D$2:D$1032,MATCH($O335,Items!$A$2:$A$1032,0))</f>
        <v>#N/A</v>
      </c>
    </row>
    <row r="336" spans="1:18" x14ac:dyDescent="0.25">
      <c r="A336">
        <f t="shared" si="29"/>
        <v>1</v>
      </c>
      <c r="B336" t="str">
        <f t="shared" si="32"/>
        <v/>
      </c>
      <c r="C336">
        <f t="shared" si="33"/>
        <v>1</v>
      </c>
      <c r="D336" s="4"/>
      <c r="E336" t="s">
        <v>18</v>
      </c>
      <c r="F336" t="str">
        <f>INDEX(Establishment!B$2:B$1005,MATCH($E336,Establishment!$A$2:$A$1005,0))</f>
        <v xml:space="preserve"> </v>
      </c>
      <c r="G336" t="str">
        <f>INDEX(Establishment!C$2:C$1005,MATCH($E336,Establishment!$A$2:$A$1005,0))</f>
        <v xml:space="preserve"> </v>
      </c>
      <c r="M336">
        <f t="shared" si="31"/>
        <v>0</v>
      </c>
      <c r="N336">
        <f t="shared" si="30"/>
        <v>0</v>
      </c>
      <c r="P336" t="e">
        <f>INDEX(Items!B$2:B$1032,MATCH($O336,Items!$A$2:$A$1032,0))</f>
        <v>#N/A</v>
      </c>
      <c r="Q336" t="e">
        <f>INDEX(Items!C$2:C$1032,MATCH($O336,Items!$A$2:$A$1032,0))</f>
        <v>#N/A</v>
      </c>
      <c r="R336" t="e">
        <f>INDEX(Items!D$2:D$1032,MATCH($O336,Items!$A$2:$A$1032,0))</f>
        <v>#N/A</v>
      </c>
    </row>
    <row r="337" spans="1:18" x14ac:dyDescent="0.25">
      <c r="A337">
        <f t="shared" si="29"/>
        <v>1</v>
      </c>
      <c r="B337" t="str">
        <f t="shared" si="32"/>
        <v/>
      </c>
      <c r="C337">
        <f t="shared" si="33"/>
        <v>1</v>
      </c>
      <c r="D337" s="4"/>
      <c r="E337" t="s">
        <v>18</v>
      </c>
      <c r="F337" t="str">
        <f>INDEX(Establishment!B$2:B$1005,MATCH($E337,Establishment!$A$2:$A$1005,0))</f>
        <v xml:space="preserve"> </v>
      </c>
      <c r="G337" t="str">
        <f>INDEX(Establishment!C$2:C$1005,MATCH($E337,Establishment!$A$2:$A$1005,0))</f>
        <v xml:space="preserve"> </v>
      </c>
      <c r="M337">
        <f t="shared" si="31"/>
        <v>0</v>
      </c>
      <c r="N337">
        <f t="shared" si="30"/>
        <v>0</v>
      </c>
      <c r="P337" t="e">
        <f>INDEX(Items!B$2:B$1032,MATCH($O337,Items!$A$2:$A$1032,0))</f>
        <v>#N/A</v>
      </c>
      <c r="Q337" t="e">
        <f>INDEX(Items!C$2:C$1032,MATCH($O337,Items!$A$2:$A$1032,0))</f>
        <v>#N/A</v>
      </c>
      <c r="R337" t="e">
        <f>INDEX(Items!D$2:D$1032,MATCH($O337,Items!$A$2:$A$1032,0))</f>
        <v>#N/A</v>
      </c>
    </row>
    <row r="338" spans="1:18" x14ac:dyDescent="0.25">
      <c r="A338">
        <f t="shared" si="29"/>
        <v>1</v>
      </c>
      <c r="B338" t="str">
        <f t="shared" si="32"/>
        <v/>
      </c>
      <c r="C338">
        <f t="shared" si="33"/>
        <v>1</v>
      </c>
      <c r="D338" s="4"/>
      <c r="E338" t="s">
        <v>18</v>
      </c>
      <c r="F338" t="str">
        <f>INDEX(Establishment!B$2:B$1005,MATCH($E338,Establishment!$A$2:$A$1005,0))</f>
        <v xml:space="preserve"> </v>
      </c>
      <c r="G338" t="str">
        <f>INDEX(Establishment!C$2:C$1005,MATCH($E338,Establishment!$A$2:$A$1005,0))</f>
        <v xml:space="preserve"> </v>
      </c>
      <c r="M338">
        <f t="shared" si="31"/>
        <v>0</v>
      </c>
      <c r="N338">
        <f t="shared" si="30"/>
        <v>0</v>
      </c>
      <c r="P338" t="e">
        <f>INDEX(Items!B$2:B$1032,MATCH($O338,Items!$A$2:$A$1032,0))</f>
        <v>#N/A</v>
      </c>
      <c r="Q338" t="e">
        <f>INDEX(Items!C$2:C$1032,MATCH($O338,Items!$A$2:$A$1032,0))</f>
        <v>#N/A</v>
      </c>
      <c r="R338" t="e">
        <f>INDEX(Items!D$2:D$1032,MATCH($O338,Items!$A$2:$A$1032,0))</f>
        <v>#N/A</v>
      </c>
    </row>
    <row r="339" spans="1:18" x14ac:dyDescent="0.25">
      <c r="A339">
        <f t="shared" si="29"/>
        <v>1</v>
      </c>
      <c r="B339" t="str">
        <f t="shared" si="32"/>
        <v/>
      </c>
      <c r="C339">
        <f t="shared" si="33"/>
        <v>1</v>
      </c>
      <c r="D339" s="4"/>
      <c r="E339" t="s">
        <v>18</v>
      </c>
      <c r="F339" t="str">
        <f>INDEX(Establishment!B$2:B$1005,MATCH($E339,Establishment!$A$2:$A$1005,0))</f>
        <v xml:space="preserve"> </v>
      </c>
      <c r="G339" t="str">
        <f>INDEX(Establishment!C$2:C$1005,MATCH($E339,Establishment!$A$2:$A$1005,0))</f>
        <v xml:space="preserve"> </v>
      </c>
      <c r="M339">
        <f t="shared" si="31"/>
        <v>0</v>
      </c>
      <c r="N339">
        <f t="shared" si="30"/>
        <v>0</v>
      </c>
      <c r="P339" t="e">
        <f>INDEX(Items!B$2:B$1032,MATCH($O339,Items!$A$2:$A$1032,0))</f>
        <v>#N/A</v>
      </c>
      <c r="Q339" t="e">
        <f>INDEX(Items!C$2:C$1032,MATCH($O339,Items!$A$2:$A$1032,0))</f>
        <v>#N/A</v>
      </c>
      <c r="R339" t="e">
        <f>INDEX(Items!D$2:D$1032,MATCH($O339,Items!$A$2:$A$1032,0))</f>
        <v>#N/A</v>
      </c>
    </row>
    <row r="340" spans="1:18" x14ac:dyDescent="0.25">
      <c r="A340">
        <f t="shared" si="29"/>
        <v>1</v>
      </c>
      <c r="B340" t="str">
        <f t="shared" si="32"/>
        <v/>
      </c>
      <c r="C340">
        <f t="shared" si="33"/>
        <v>1</v>
      </c>
      <c r="D340" s="4"/>
      <c r="E340" t="s">
        <v>18</v>
      </c>
      <c r="F340" t="str">
        <f>INDEX(Establishment!B$2:B$1005,MATCH($E340,Establishment!$A$2:$A$1005,0))</f>
        <v xml:space="preserve"> </v>
      </c>
      <c r="G340" t="str">
        <f>INDEX(Establishment!C$2:C$1005,MATCH($E340,Establishment!$A$2:$A$1005,0))</f>
        <v xml:space="preserve"> </v>
      </c>
      <c r="M340">
        <f t="shared" si="31"/>
        <v>0</v>
      </c>
      <c r="N340">
        <f t="shared" si="30"/>
        <v>0</v>
      </c>
      <c r="P340" t="e">
        <f>INDEX(Items!B$2:B$1032,MATCH($O340,Items!$A$2:$A$1032,0))</f>
        <v>#N/A</v>
      </c>
      <c r="Q340" t="e">
        <f>INDEX(Items!C$2:C$1032,MATCH($O340,Items!$A$2:$A$1032,0))</f>
        <v>#N/A</v>
      </c>
      <c r="R340" t="e">
        <f>INDEX(Items!D$2:D$1032,MATCH($O340,Items!$A$2:$A$1032,0))</f>
        <v>#N/A</v>
      </c>
    </row>
    <row r="341" spans="1:18" x14ac:dyDescent="0.25">
      <c r="A341">
        <f t="shared" si="29"/>
        <v>1</v>
      </c>
      <c r="B341" t="str">
        <f t="shared" si="32"/>
        <v/>
      </c>
      <c r="C341">
        <f t="shared" si="33"/>
        <v>1</v>
      </c>
      <c r="D341" s="4"/>
      <c r="E341" t="s">
        <v>18</v>
      </c>
      <c r="F341" t="str">
        <f>INDEX(Establishment!B$2:B$1005,MATCH($E341,Establishment!$A$2:$A$1005,0))</f>
        <v xml:space="preserve"> </v>
      </c>
      <c r="G341" t="str">
        <f>INDEX(Establishment!C$2:C$1005,MATCH($E341,Establishment!$A$2:$A$1005,0))</f>
        <v xml:space="preserve"> </v>
      </c>
      <c r="M341">
        <f t="shared" si="31"/>
        <v>0</v>
      </c>
      <c r="N341">
        <f t="shared" si="30"/>
        <v>0</v>
      </c>
      <c r="P341" t="e">
        <f>INDEX(Items!B$2:B$1032,MATCH($O341,Items!$A$2:$A$1032,0))</f>
        <v>#N/A</v>
      </c>
      <c r="Q341" t="e">
        <f>INDEX(Items!C$2:C$1032,MATCH($O341,Items!$A$2:$A$1032,0))</f>
        <v>#N/A</v>
      </c>
      <c r="R341" t="e">
        <f>INDEX(Items!D$2:D$1032,MATCH($O341,Items!$A$2:$A$1032,0))</f>
        <v>#N/A</v>
      </c>
    </row>
    <row r="342" spans="1:18" x14ac:dyDescent="0.25">
      <c r="A342">
        <f t="shared" si="29"/>
        <v>1</v>
      </c>
      <c r="B342" t="str">
        <f t="shared" si="32"/>
        <v/>
      </c>
      <c r="C342">
        <f t="shared" si="33"/>
        <v>1</v>
      </c>
      <c r="D342" s="4"/>
      <c r="E342" t="s">
        <v>18</v>
      </c>
      <c r="F342" t="str">
        <f>INDEX(Establishment!B$2:B$1005,MATCH($E342,Establishment!$A$2:$A$1005,0))</f>
        <v xml:space="preserve"> </v>
      </c>
      <c r="G342" t="str">
        <f>INDEX(Establishment!C$2:C$1005,MATCH($E342,Establishment!$A$2:$A$1005,0))</f>
        <v xml:space="preserve"> </v>
      </c>
      <c r="M342">
        <f t="shared" si="31"/>
        <v>0</v>
      </c>
      <c r="N342">
        <f t="shared" si="30"/>
        <v>0</v>
      </c>
      <c r="P342" t="e">
        <f>INDEX(Items!B$2:B$1032,MATCH($O342,Items!$A$2:$A$1032,0))</f>
        <v>#N/A</v>
      </c>
      <c r="Q342" t="e">
        <f>INDEX(Items!C$2:C$1032,MATCH($O342,Items!$A$2:$A$1032,0))</f>
        <v>#N/A</v>
      </c>
      <c r="R342" t="e">
        <f>INDEX(Items!D$2:D$1032,MATCH($O342,Items!$A$2:$A$1032,0))</f>
        <v>#N/A</v>
      </c>
    </row>
    <row r="343" spans="1:18" x14ac:dyDescent="0.25">
      <c r="A343">
        <f t="shared" si="29"/>
        <v>1</v>
      </c>
      <c r="B343" t="str">
        <f t="shared" si="32"/>
        <v/>
      </c>
      <c r="C343">
        <f t="shared" si="33"/>
        <v>1</v>
      </c>
      <c r="D343" s="4"/>
      <c r="E343" t="s">
        <v>18</v>
      </c>
      <c r="F343" t="str">
        <f>INDEX(Establishment!B$2:B$1005,MATCH($E343,Establishment!$A$2:$A$1005,0))</f>
        <v xml:space="preserve"> </v>
      </c>
      <c r="G343" t="str">
        <f>INDEX(Establishment!C$2:C$1005,MATCH($E343,Establishment!$A$2:$A$1005,0))</f>
        <v xml:space="preserve"> </v>
      </c>
      <c r="M343">
        <f t="shared" si="31"/>
        <v>0</v>
      </c>
      <c r="N343">
        <f t="shared" si="30"/>
        <v>0</v>
      </c>
      <c r="P343" t="e">
        <f>INDEX(Items!B$2:B$1032,MATCH($O343,Items!$A$2:$A$1032,0))</f>
        <v>#N/A</v>
      </c>
      <c r="Q343" t="e">
        <f>INDEX(Items!C$2:C$1032,MATCH($O343,Items!$A$2:$A$1032,0))</f>
        <v>#N/A</v>
      </c>
      <c r="R343" t="e">
        <f>INDEX(Items!D$2:D$1032,MATCH($O343,Items!$A$2:$A$1032,0))</f>
        <v>#N/A</v>
      </c>
    </row>
    <row r="344" spans="1:18" x14ac:dyDescent="0.25">
      <c r="A344">
        <f t="shared" si="29"/>
        <v>1</v>
      </c>
      <c r="B344" t="str">
        <f t="shared" si="32"/>
        <v/>
      </c>
      <c r="C344">
        <f t="shared" si="33"/>
        <v>1</v>
      </c>
      <c r="D344" s="4"/>
      <c r="E344" t="s">
        <v>18</v>
      </c>
      <c r="F344" t="str">
        <f>INDEX(Establishment!B$2:B$1005,MATCH($E344,Establishment!$A$2:$A$1005,0))</f>
        <v xml:space="preserve"> </v>
      </c>
      <c r="G344" t="str">
        <f>INDEX(Establishment!C$2:C$1005,MATCH($E344,Establishment!$A$2:$A$1005,0))</f>
        <v xml:space="preserve"> </v>
      </c>
      <c r="M344">
        <f t="shared" si="31"/>
        <v>0</v>
      </c>
      <c r="N344">
        <f t="shared" si="30"/>
        <v>0</v>
      </c>
      <c r="P344" t="e">
        <f>INDEX(Items!B$2:B$1032,MATCH($O344,Items!$A$2:$A$1032,0))</f>
        <v>#N/A</v>
      </c>
      <c r="Q344" t="e">
        <f>INDEX(Items!C$2:C$1032,MATCH($O344,Items!$A$2:$A$1032,0))</f>
        <v>#N/A</v>
      </c>
      <c r="R344" t="e">
        <f>INDEX(Items!D$2:D$1032,MATCH($O344,Items!$A$2:$A$1032,0))</f>
        <v>#N/A</v>
      </c>
    </row>
    <row r="345" spans="1:18" x14ac:dyDescent="0.25">
      <c r="A345">
        <f t="shared" si="29"/>
        <v>1</v>
      </c>
      <c r="B345" t="str">
        <f t="shared" si="32"/>
        <v/>
      </c>
      <c r="C345">
        <f t="shared" si="33"/>
        <v>1</v>
      </c>
      <c r="D345" s="4"/>
      <c r="E345" t="s">
        <v>18</v>
      </c>
      <c r="F345" t="str">
        <f>INDEX(Establishment!B$2:B$1005,MATCH($E345,Establishment!$A$2:$A$1005,0))</f>
        <v xml:space="preserve"> </v>
      </c>
      <c r="G345" t="str">
        <f>INDEX(Establishment!C$2:C$1005,MATCH($E345,Establishment!$A$2:$A$1005,0))</f>
        <v xml:space="preserve"> </v>
      </c>
      <c r="M345">
        <f t="shared" si="31"/>
        <v>0</v>
      </c>
      <c r="N345">
        <f t="shared" si="30"/>
        <v>0</v>
      </c>
      <c r="P345" t="e">
        <f>INDEX(Items!B$2:B$1032,MATCH($O345,Items!$A$2:$A$1032,0))</f>
        <v>#N/A</v>
      </c>
      <c r="Q345" t="e">
        <f>INDEX(Items!C$2:C$1032,MATCH($O345,Items!$A$2:$A$1032,0))</f>
        <v>#N/A</v>
      </c>
      <c r="R345" t="e">
        <f>INDEX(Items!D$2:D$1032,MATCH($O345,Items!$A$2:$A$1032,0))</f>
        <v>#N/A</v>
      </c>
    </row>
    <row r="346" spans="1:18" x14ac:dyDescent="0.25">
      <c r="A346">
        <f t="shared" si="29"/>
        <v>1</v>
      </c>
      <c r="B346" t="str">
        <f t="shared" si="32"/>
        <v/>
      </c>
      <c r="C346">
        <f t="shared" si="33"/>
        <v>1</v>
      </c>
      <c r="D346" s="4"/>
      <c r="E346" t="s">
        <v>18</v>
      </c>
      <c r="F346" t="str">
        <f>INDEX(Establishment!B$2:B$1005,MATCH($E346,Establishment!$A$2:$A$1005,0))</f>
        <v xml:space="preserve"> </v>
      </c>
      <c r="G346" t="str">
        <f>INDEX(Establishment!C$2:C$1005,MATCH($E346,Establishment!$A$2:$A$1005,0))</f>
        <v xml:space="preserve"> </v>
      </c>
      <c r="M346">
        <f t="shared" si="31"/>
        <v>0</v>
      </c>
      <c r="N346">
        <f t="shared" si="30"/>
        <v>0</v>
      </c>
      <c r="P346" t="e">
        <f>INDEX(Items!B$2:B$1032,MATCH($O346,Items!$A$2:$A$1032,0))</f>
        <v>#N/A</v>
      </c>
      <c r="Q346" t="e">
        <f>INDEX(Items!C$2:C$1032,MATCH($O346,Items!$A$2:$A$1032,0))</f>
        <v>#N/A</v>
      </c>
      <c r="R346" t="e">
        <f>INDEX(Items!D$2:D$1032,MATCH($O346,Items!$A$2:$A$1032,0))</f>
        <v>#N/A</v>
      </c>
    </row>
    <row r="347" spans="1:18" x14ac:dyDescent="0.25">
      <c r="A347">
        <f t="shared" si="29"/>
        <v>1</v>
      </c>
      <c r="B347" t="str">
        <f t="shared" si="32"/>
        <v/>
      </c>
      <c r="C347">
        <f t="shared" si="33"/>
        <v>1</v>
      </c>
      <c r="D347" s="4"/>
      <c r="E347" t="s">
        <v>18</v>
      </c>
      <c r="F347" t="str">
        <f>INDEX(Establishment!B$2:B$1005,MATCH($E347,Establishment!$A$2:$A$1005,0))</f>
        <v xml:space="preserve"> </v>
      </c>
      <c r="G347" t="str">
        <f>INDEX(Establishment!C$2:C$1005,MATCH($E347,Establishment!$A$2:$A$1005,0))</f>
        <v xml:space="preserve"> </v>
      </c>
      <c r="M347">
        <f t="shared" si="31"/>
        <v>0</v>
      </c>
      <c r="N347">
        <f t="shared" si="30"/>
        <v>0</v>
      </c>
      <c r="P347" t="e">
        <f>INDEX(Items!B$2:B$1032,MATCH($O347,Items!$A$2:$A$1032,0))</f>
        <v>#N/A</v>
      </c>
      <c r="Q347" t="e">
        <f>INDEX(Items!C$2:C$1032,MATCH($O347,Items!$A$2:$A$1032,0))</f>
        <v>#N/A</v>
      </c>
      <c r="R347" t="e">
        <f>INDEX(Items!D$2:D$1032,MATCH($O347,Items!$A$2:$A$1032,0))</f>
        <v>#N/A</v>
      </c>
    </row>
    <row r="348" spans="1:18" x14ac:dyDescent="0.25">
      <c r="A348">
        <f t="shared" si="29"/>
        <v>1</v>
      </c>
      <c r="B348" t="str">
        <f t="shared" si="32"/>
        <v/>
      </c>
      <c r="C348">
        <f t="shared" si="33"/>
        <v>1</v>
      </c>
      <c r="D348" s="4"/>
      <c r="E348" t="s">
        <v>18</v>
      </c>
      <c r="F348" t="str">
        <f>INDEX(Establishment!B$2:B$1005,MATCH($E348,Establishment!$A$2:$A$1005,0))</f>
        <v xml:space="preserve"> </v>
      </c>
      <c r="G348" t="str">
        <f>INDEX(Establishment!C$2:C$1005,MATCH($E348,Establishment!$A$2:$A$1005,0))</f>
        <v xml:space="preserve"> </v>
      </c>
      <c r="M348">
        <f t="shared" si="31"/>
        <v>0</v>
      </c>
      <c r="N348">
        <f t="shared" si="30"/>
        <v>0</v>
      </c>
      <c r="P348" t="e">
        <f>INDEX(Items!B$2:B$1032,MATCH($O348,Items!$A$2:$A$1032,0))</f>
        <v>#N/A</v>
      </c>
      <c r="Q348" t="e">
        <f>INDEX(Items!C$2:C$1032,MATCH($O348,Items!$A$2:$A$1032,0))</f>
        <v>#N/A</v>
      </c>
      <c r="R348" t="e">
        <f>INDEX(Items!D$2:D$1032,MATCH($O348,Items!$A$2:$A$1032,0))</f>
        <v>#N/A</v>
      </c>
    </row>
    <row r="349" spans="1:18" x14ac:dyDescent="0.25">
      <c r="A349">
        <f t="shared" si="29"/>
        <v>1</v>
      </c>
      <c r="B349" t="str">
        <f t="shared" si="32"/>
        <v/>
      </c>
      <c r="C349">
        <f t="shared" si="33"/>
        <v>1</v>
      </c>
      <c r="D349" s="4"/>
      <c r="E349" t="s">
        <v>18</v>
      </c>
      <c r="F349" t="str">
        <f>INDEX(Establishment!B$2:B$1005,MATCH($E349,Establishment!$A$2:$A$1005,0))</f>
        <v xml:space="preserve"> </v>
      </c>
      <c r="G349" t="str">
        <f>INDEX(Establishment!C$2:C$1005,MATCH($E349,Establishment!$A$2:$A$1005,0))</f>
        <v xml:space="preserve"> </v>
      </c>
      <c r="M349">
        <f t="shared" si="31"/>
        <v>0</v>
      </c>
      <c r="N349">
        <f t="shared" si="30"/>
        <v>0</v>
      </c>
      <c r="P349" t="e">
        <f>INDEX(Items!B$2:B$1032,MATCH($O349,Items!$A$2:$A$1032,0))</f>
        <v>#N/A</v>
      </c>
      <c r="Q349" t="e">
        <f>INDEX(Items!C$2:C$1032,MATCH($O349,Items!$A$2:$A$1032,0))</f>
        <v>#N/A</v>
      </c>
      <c r="R349" t="e">
        <f>INDEX(Items!D$2:D$1032,MATCH($O349,Items!$A$2:$A$1032,0))</f>
        <v>#N/A</v>
      </c>
    </row>
    <row r="350" spans="1:18" x14ac:dyDescent="0.25">
      <c r="A350">
        <f t="shared" si="29"/>
        <v>1</v>
      </c>
      <c r="B350" t="str">
        <f t="shared" si="32"/>
        <v/>
      </c>
      <c r="C350">
        <f t="shared" si="33"/>
        <v>1</v>
      </c>
      <c r="D350" s="4"/>
      <c r="E350" t="s">
        <v>18</v>
      </c>
      <c r="F350" t="str">
        <f>INDEX(Establishment!B$2:B$1005,MATCH($E350,Establishment!$A$2:$A$1005,0))</f>
        <v xml:space="preserve"> </v>
      </c>
      <c r="G350" t="str">
        <f>INDEX(Establishment!C$2:C$1005,MATCH($E350,Establishment!$A$2:$A$1005,0))</f>
        <v xml:space="preserve"> </v>
      </c>
      <c r="M350">
        <f t="shared" si="31"/>
        <v>0</v>
      </c>
      <c r="N350">
        <f t="shared" si="30"/>
        <v>0</v>
      </c>
      <c r="P350" t="e">
        <f>INDEX(Items!B$2:B$1032,MATCH($O350,Items!$A$2:$A$1032,0))</f>
        <v>#N/A</v>
      </c>
      <c r="Q350" t="e">
        <f>INDEX(Items!C$2:C$1032,MATCH($O350,Items!$A$2:$A$1032,0))</f>
        <v>#N/A</v>
      </c>
      <c r="R350" t="e">
        <f>INDEX(Items!D$2:D$1032,MATCH($O350,Items!$A$2:$A$1032,0))</f>
        <v>#N/A</v>
      </c>
    </row>
    <row r="351" spans="1:18" x14ac:dyDescent="0.25">
      <c r="A351">
        <f t="shared" si="29"/>
        <v>1</v>
      </c>
      <c r="B351" t="str">
        <f t="shared" si="32"/>
        <v/>
      </c>
      <c r="C351">
        <f t="shared" si="33"/>
        <v>1</v>
      </c>
      <c r="D351" s="4"/>
      <c r="E351" t="s">
        <v>18</v>
      </c>
      <c r="F351" t="str">
        <f>INDEX(Establishment!B$2:B$1005,MATCH($E351,Establishment!$A$2:$A$1005,0))</f>
        <v xml:space="preserve"> </v>
      </c>
      <c r="G351" t="str">
        <f>INDEX(Establishment!C$2:C$1005,MATCH($E351,Establishment!$A$2:$A$1005,0))</f>
        <v xml:space="preserve"> </v>
      </c>
      <c r="M351">
        <f t="shared" si="31"/>
        <v>0</v>
      </c>
      <c r="N351">
        <f t="shared" si="30"/>
        <v>0</v>
      </c>
      <c r="P351" t="e">
        <f>INDEX(Items!B$2:B$1032,MATCH($O351,Items!$A$2:$A$1032,0))</f>
        <v>#N/A</v>
      </c>
      <c r="Q351" t="e">
        <f>INDEX(Items!C$2:C$1032,MATCH($O351,Items!$A$2:$A$1032,0))</f>
        <v>#N/A</v>
      </c>
      <c r="R351" t="e">
        <f>INDEX(Items!D$2:D$1032,MATCH($O351,Items!$A$2:$A$1032,0))</f>
        <v>#N/A</v>
      </c>
    </row>
    <row r="352" spans="1:18" x14ac:dyDescent="0.25">
      <c r="A352">
        <f t="shared" si="29"/>
        <v>1</v>
      </c>
      <c r="B352" t="str">
        <f t="shared" si="32"/>
        <v/>
      </c>
      <c r="C352">
        <f t="shared" si="33"/>
        <v>1</v>
      </c>
      <c r="D352" s="4"/>
      <c r="E352" t="s">
        <v>18</v>
      </c>
      <c r="F352" t="str">
        <f>INDEX(Establishment!B$2:B$1005,MATCH($E352,Establishment!$A$2:$A$1005,0))</f>
        <v xml:space="preserve"> </v>
      </c>
      <c r="G352" t="str">
        <f>INDEX(Establishment!C$2:C$1005,MATCH($E352,Establishment!$A$2:$A$1005,0))</f>
        <v xml:space="preserve"> </v>
      </c>
      <c r="M352">
        <f t="shared" si="31"/>
        <v>0</v>
      </c>
      <c r="N352">
        <f t="shared" si="30"/>
        <v>0</v>
      </c>
      <c r="P352" t="e">
        <f>INDEX(Items!B$2:B$1032,MATCH($O352,Items!$A$2:$A$1032,0))</f>
        <v>#N/A</v>
      </c>
      <c r="Q352" t="e">
        <f>INDEX(Items!C$2:C$1032,MATCH($O352,Items!$A$2:$A$1032,0))</f>
        <v>#N/A</v>
      </c>
      <c r="R352" t="e">
        <f>INDEX(Items!D$2:D$1032,MATCH($O352,Items!$A$2:$A$1032,0))</f>
        <v>#N/A</v>
      </c>
    </row>
    <row r="353" spans="1:18" x14ac:dyDescent="0.25">
      <c r="A353">
        <f t="shared" si="29"/>
        <v>1</v>
      </c>
      <c r="B353" t="str">
        <f t="shared" si="32"/>
        <v/>
      </c>
      <c r="C353">
        <f t="shared" si="33"/>
        <v>1</v>
      </c>
      <c r="D353" s="4"/>
      <c r="E353" t="s">
        <v>18</v>
      </c>
      <c r="F353" t="str">
        <f>INDEX(Establishment!B$2:B$1005,MATCH($E353,Establishment!$A$2:$A$1005,0))</f>
        <v xml:space="preserve"> </v>
      </c>
      <c r="G353" t="str">
        <f>INDEX(Establishment!C$2:C$1005,MATCH($E353,Establishment!$A$2:$A$1005,0))</f>
        <v xml:space="preserve"> </v>
      </c>
      <c r="M353">
        <f t="shared" si="31"/>
        <v>0</v>
      </c>
      <c r="N353">
        <f t="shared" si="30"/>
        <v>0</v>
      </c>
      <c r="P353" t="e">
        <f>INDEX(Items!B$2:B$1032,MATCH($O353,Items!$A$2:$A$1032,0))</f>
        <v>#N/A</v>
      </c>
      <c r="Q353" t="e">
        <f>INDEX(Items!C$2:C$1032,MATCH($O353,Items!$A$2:$A$1032,0))</f>
        <v>#N/A</v>
      </c>
      <c r="R353" t="e">
        <f>INDEX(Items!D$2:D$1032,MATCH($O353,Items!$A$2:$A$1032,0))</f>
        <v>#N/A</v>
      </c>
    </row>
    <row r="354" spans="1:18" x14ac:dyDescent="0.25">
      <c r="A354">
        <f t="shared" si="29"/>
        <v>1</v>
      </c>
      <c r="B354" t="str">
        <f t="shared" si="32"/>
        <v/>
      </c>
      <c r="C354">
        <f t="shared" si="33"/>
        <v>1</v>
      </c>
      <c r="D354" s="4"/>
      <c r="E354" t="s">
        <v>18</v>
      </c>
      <c r="F354" t="str">
        <f>INDEX(Establishment!B$2:B$1005,MATCH($E354,Establishment!$A$2:$A$1005,0))</f>
        <v xml:space="preserve"> </v>
      </c>
      <c r="G354" t="str">
        <f>INDEX(Establishment!C$2:C$1005,MATCH($E354,Establishment!$A$2:$A$1005,0))</f>
        <v xml:space="preserve"> </v>
      </c>
      <c r="M354">
        <f t="shared" si="31"/>
        <v>0</v>
      </c>
      <c r="N354">
        <f t="shared" si="30"/>
        <v>0</v>
      </c>
      <c r="P354" t="e">
        <f>INDEX(Items!B$2:B$1032,MATCH($O354,Items!$A$2:$A$1032,0))</f>
        <v>#N/A</v>
      </c>
      <c r="Q354" t="e">
        <f>INDEX(Items!C$2:C$1032,MATCH($O354,Items!$A$2:$A$1032,0))</f>
        <v>#N/A</v>
      </c>
      <c r="R354" t="e">
        <f>INDEX(Items!D$2:D$1032,MATCH($O354,Items!$A$2:$A$1032,0))</f>
        <v>#N/A</v>
      </c>
    </row>
    <row r="355" spans="1:18" x14ac:dyDescent="0.25">
      <c r="A355">
        <f t="shared" si="29"/>
        <v>1</v>
      </c>
      <c r="B355" t="str">
        <f t="shared" si="32"/>
        <v/>
      </c>
      <c r="C355">
        <f t="shared" si="33"/>
        <v>1</v>
      </c>
      <c r="D355" s="4"/>
      <c r="E355" t="s">
        <v>18</v>
      </c>
      <c r="F355" t="str">
        <f>INDEX(Establishment!B$2:B$1005,MATCH($E355,Establishment!$A$2:$A$1005,0))</f>
        <v xml:space="preserve"> </v>
      </c>
      <c r="G355" t="str">
        <f>INDEX(Establishment!C$2:C$1005,MATCH($E355,Establishment!$A$2:$A$1005,0))</f>
        <v xml:space="preserve"> </v>
      </c>
      <c r="M355">
        <f t="shared" si="31"/>
        <v>0</v>
      </c>
      <c r="N355">
        <f t="shared" si="30"/>
        <v>0</v>
      </c>
      <c r="P355" t="e">
        <f>INDEX(Items!B$2:B$1032,MATCH($O355,Items!$A$2:$A$1032,0))</f>
        <v>#N/A</v>
      </c>
      <c r="Q355" t="e">
        <f>INDEX(Items!C$2:C$1032,MATCH($O355,Items!$A$2:$A$1032,0))</f>
        <v>#N/A</v>
      </c>
      <c r="R355" t="e">
        <f>INDEX(Items!D$2:D$1032,MATCH($O355,Items!$A$2:$A$1032,0))</f>
        <v>#N/A</v>
      </c>
    </row>
    <row r="356" spans="1:18" x14ac:dyDescent="0.25">
      <c r="A356">
        <f t="shared" si="29"/>
        <v>1</v>
      </c>
      <c r="B356" t="str">
        <f t="shared" si="32"/>
        <v/>
      </c>
      <c r="C356">
        <f t="shared" si="33"/>
        <v>1</v>
      </c>
      <c r="D356" s="4"/>
      <c r="E356" t="s">
        <v>18</v>
      </c>
      <c r="F356" t="str">
        <f>INDEX(Establishment!B$2:B$1005,MATCH($E356,Establishment!$A$2:$A$1005,0))</f>
        <v xml:space="preserve"> </v>
      </c>
      <c r="G356" t="str">
        <f>INDEX(Establishment!C$2:C$1005,MATCH($E356,Establishment!$A$2:$A$1005,0))</f>
        <v xml:space="preserve"> </v>
      </c>
      <c r="M356">
        <f t="shared" si="31"/>
        <v>0</v>
      </c>
      <c r="N356">
        <f t="shared" si="30"/>
        <v>0</v>
      </c>
      <c r="P356" t="e">
        <f>INDEX(Items!B$2:B$1032,MATCH($O356,Items!$A$2:$A$1032,0))</f>
        <v>#N/A</v>
      </c>
      <c r="Q356" t="e">
        <f>INDEX(Items!C$2:C$1032,MATCH($O356,Items!$A$2:$A$1032,0))</f>
        <v>#N/A</v>
      </c>
      <c r="R356" t="e">
        <f>INDEX(Items!D$2:D$1032,MATCH($O356,Items!$A$2:$A$1032,0))</f>
        <v>#N/A</v>
      </c>
    </row>
    <row r="357" spans="1:18" x14ac:dyDescent="0.25">
      <c r="A357">
        <f t="shared" si="29"/>
        <v>1</v>
      </c>
      <c r="B357" t="str">
        <f t="shared" si="32"/>
        <v/>
      </c>
      <c r="C357">
        <f t="shared" si="33"/>
        <v>1</v>
      </c>
      <c r="D357" s="4"/>
      <c r="E357" t="s">
        <v>18</v>
      </c>
      <c r="F357" t="str">
        <f>INDEX(Establishment!B$2:B$1005,MATCH($E357,Establishment!$A$2:$A$1005,0))</f>
        <v xml:space="preserve"> </v>
      </c>
      <c r="G357" t="str">
        <f>INDEX(Establishment!C$2:C$1005,MATCH($E357,Establishment!$A$2:$A$1005,0))</f>
        <v xml:space="preserve"> </v>
      </c>
      <c r="M357">
        <f t="shared" si="31"/>
        <v>0</v>
      </c>
      <c r="N357">
        <f t="shared" si="30"/>
        <v>0</v>
      </c>
      <c r="P357" t="e">
        <f>INDEX(Items!B$2:B$1032,MATCH($O357,Items!$A$2:$A$1032,0))</f>
        <v>#N/A</v>
      </c>
      <c r="Q357" t="e">
        <f>INDEX(Items!C$2:C$1032,MATCH($O357,Items!$A$2:$A$1032,0))</f>
        <v>#N/A</v>
      </c>
      <c r="R357" t="e">
        <f>INDEX(Items!D$2:D$1032,MATCH($O357,Items!$A$2:$A$1032,0))</f>
        <v>#N/A</v>
      </c>
    </row>
    <row r="358" spans="1:18" x14ac:dyDescent="0.25">
      <c r="A358">
        <f t="shared" si="29"/>
        <v>1</v>
      </c>
      <c r="B358" t="str">
        <f t="shared" si="32"/>
        <v/>
      </c>
      <c r="C358">
        <f t="shared" si="33"/>
        <v>1</v>
      </c>
      <c r="D358" s="4"/>
      <c r="E358" t="s">
        <v>18</v>
      </c>
      <c r="F358" t="str">
        <f>INDEX(Establishment!B$2:B$1005,MATCH($E358,Establishment!$A$2:$A$1005,0))</f>
        <v xml:space="preserve"> </v>
      </c>
      <c r="G358" t="str">
        <f>INDEX(Establishment!C$2:C$1005,MATCH($E358,Establishment!$A$2:$A$1005,0))</f>
        <v xml:space="preserve"> </v>
      </c>
      <c r="M358">
        <f t="shared" si="31"/>
        <v>0</v>
      </c>
      <c r="N358">
        <f t="shared" si="30"/>
        <v>0</v>
      </c>
      <c r="P358" t="e">
        <f>INDEX(Items!B$2:B$1032,MATCH($O358,Items!$A$2:$A$1032,0))</f>
        <v>#N/A</v>
      </c>
      <c r="Q358" t="e">
        <f>INDEX(Items!C$2:C$1032,MATCH($O358,Items!$A$2:$A$1032,0))</f>
        <v>#N/A</v>
      </c>
      <c r="R358" t="e">
        <f>INDEX(Items!D$2:D$1032,MATCH($O358,Items!$A$2:$A$1032,0))</f>
        <v>#N/A</v>
      </c>
    </row>
    <row r="359" spans="1:18" x14ac:dyDescent="0.25">
      <c r="A359">
        <f t="shared" si="29"/>
        <v>1</v>
      </c>
      <c r="B359" t="str">
        <f t="shared" si="32"/>
        <v/>
      </c>
      <c r="C359">
        <f t="shared" si="33"/>
        <v>1</v>
      </c>
      <c r="D359" s="4"/>
      <c r="E359" t="s">
        <v>18</v>
      </c>
      <c r="F359" t="str">
        <f>INDEX(Establishment!B$2:B$1005,MATCH($E359,Establishment!$A$2:$A$1005,0))</f>
        <v xml:space="preserve"> </v>
      </c>
      <c r="G359" t="str">
        <f>INDEX(Establishment!C$2:C$1005,MATCH($E359,Establishment!$A$2:$A$1005,0))</f>
        <v xml:space="preserve"> </v>
      </c>
      <c r="M359">
        <f t="shared" si="31"/>
        <v>0</v>
      </c>
      <c r="N359">
        <f t="shared" si="30"/>
        <v>0</v>
      </c>
      <c r="P359" t="e">
        <f>INDEX(Items!B$2:B$1032,MATCH($O359,Items!$A$2:$A$1032,0))</f>
        <v>#N/A</v>
      </c>
      <c r="Q359" t="e">
        <f>INDEX(Items!C$2:C$1032,MATCH($O359,Items!$A$2:$A$1032,0))</f>
        <v>#N/A</v>
      </c>
      <c r="R359" t="e">
        <f>INDEX(Items!D$2:D$1032,MATCH($O359,Items!$A$2:$A$1032,0))</f>
        <v>#N/A</v>
      </c>
    </row>
    <row r="360" spans="1:18" x14ac:dyDescent="0.25">
      <c r="A360">
        <f t="shared" si="29"/>
        <v>1</v>
      </c>
      <c r="B360" t="str">
        <f t="shared" si="32"/>
        <v/>
      </c>
      <c r="C360">
        <f t="shared" si="33"/>
        <v>1</v>
      </c>
      <c r="D360" s="4"/>
      <c r="E360" t="s">
        <v>18</v>
      </c>
      <c r="F360" t="str">
        <f>INDEX(Establishment!B$2:B$1005,MATCH($E360,Establishment!$A$2:$A$1005,0))</f>
        <v xml:space="preserve"> </v>
      </c>
      <c r="G360" t="str">
        <f>INDEX(Establishment!C$2:C$1005,MATCH($E360,Establishment!$A$2:$A$1005,0))</f>
        <v xml:space="preserve"> </v>
      </c>
      <c r="M360">
        <f t="shared" si="31"/>
        <v>0</v>
      </c>
      <c r="N360">
        <f t="shared" si="30"/>
        <v>0</v>
      </c>
      <c r="P360" t="e">
        <f>INDEX(Items!B$2:B$1032,MATCH($O360,Items!$A$2:$A$1032,0))</f>
        <v>#N/A</v>
      </c>
      <c r="Q360" t="e">
        <f>INDEX(Items!C$2:C$1032,MATCH($O360,Items!$A$2:$A$1032,0))</f>
        <v>#N/A</v>
      </c>
      <c r="R360" t="e">
        <f>INDEX(Items!D$2:D$1032,MATCH($O360,Items!$A$2:$A$1032,0))</f>
        <v>#N/A</v>
      </c>
    </row>
    <row r="361" spans="1:18" x14ac:dyDescent="0.25">
      <c r="A361">
        <f t="shared" si="29"/>
        <v>1</v>
      </c>
      <c r="B361" t="str">
        <f t="shared" si="32"/>
        <v/>
      </c>
      <c r="C361">
        <f t="shared" si="33"/>
        <v>1</v>
      </c>
      <c r="D361" s="4"/>
      <c r="E361" t="s">
        <v>18</v>
      </c>
      <c r="F361" t="str">
        <f>INDEX(Establishment!B$2:B$1005,MATCH($E361,Establishment!$A$2:$A$1005,0))</f>
        <v xml:space="preserve"> </v>
      </c>
      <c r="G361" t="str">
        <f>INDEX(Establishment!C$2:C$1005,MATCH($E361,Establishment!$A$2:$A$1005,0))</f>
        <v xml:space="preserve"> </v>
      </c>
      <c r="M361">
        <f t="shared" si="31"/>
        <v>0</v>
      </c>
      <c r="N361">
        <f t="shared" si="30"/>
        <v>0</v>
      </c>
      <c r="P361" t="e">
        <f>INDEX(Items!B$2:B$1032,MATCH($O361,Items!$A$2:$A$1032,0))</f>
        <v>#N/A</v>
      </c>
      <c r="Q361" t="e">
        <f>INDEX(Items!C$2:C$1032,MATCH($O361,Items!$A$2:$A$1032,0))</f>
        <v>#N/A</v>
      </c>
      <c r="R361" t="e">
        <f>INDEX(Items!D$2:D$1032,MATCH($O361,Items!$A$2:$A$1032,0))</f>
        <v>#N/A</v>
      </c>
    </row>
    <row r="362" spans="1:18" x14ac:dyDescent="0.25">
      <c r="A362">
        <f t="shared" si="29"/>
        <v>1</v>
      </c>
      <c r="B362" t="str">
        <f t="shared" si="32"/>
        <v/>
      </c>
      <c r="C362">
        <f t="shared" si="33"/>
        <v>1</v>
      </c>
      <c r="D362" s="4"/>
      <c r="E362" t="s">
        <v>18</v>
      </c>
      <c r="F362" t="str">
        <f>INDEX(Establishment!B$2:B$1005,MATCH($E362,Establishment!$A$2:$A$1005,0))</f>
        <v xml:space="preserve"> </v>
      </c>
      <c r="G362" t="str">
        <f>INDEX(Establishment!C$2:C$1005,MATCH($E362,Establishment!$A$2:$A$1005,0))</f>
        <v xml:space="preserve"> </v>
      </c>
      <c r="M362">
        <f t="shared" si="31"/>
        <v>0</v>
      </c>
      <c r="N362">
        <f t="shared" si="30"/>
        <v>0</v>
      </c>
      <c r="P362" t="e">
        <f>INDEX(Items!B$2:B$1032,MATCH($O362,Items!$A$2:$A$1032,0))</f>
        <v>#N/A</v>
      </c>
      <c r="Q362" t="e">
        <f>INDEX(Items!C$2:C$1032,MATCH($O362,Items!$A$2:$A$1032,0))</f>
        <v>#N/A</v>
      </c>
      <c r="R362" t="e">
        <f>INDEX(Items!D$2:D$1032,MATCH($O362,Items!$A$2:$A$1032,0))</f>
        <v>#N/A</v>
      </c>
    </row>
    <row r="363" spans="1:18" x14ac:dyDescent="0.25">
      <c r="A363">
        <f t="shared" si="29"/>
        <v>1</v>
      </c>
      <c r="B363" t="str">
        <f t="shared" si="32"/>
        <v/>
      </c>
      <c r="C363">
        <f t="shared" si="33"/>
        <v>1</v>
      </c>
      <c r="D363" s="4"/>
      <c r="E363" t="s">
        <v>18</v>
      </c>
      <c r="F363" t="str">
        <f>INDEX(Establishment!B$2:B$1005,MATCH($E363,Establishment!$A$2:$A$1005,0))</f>
        <v xml:space="preserve"> </v>
      </c>
      <c r="G363" t="str">
        <f>INDEX(Establishment!C$2:C$1005,MATCH($E363,Establishment!$A$2:$A$1005,0))</f>
        <v xml:space="preserve"> </v>
      </c>
      <c r="M363">
        <f t="shared" si="31"/>
        <v>0</v>
      </c>
      <c r="N363">
        <f t="shared" si="30"/>
        <v>0</v>
      </c>
      <c r="P363" t="e">
        <f>INDEX(Items!B$2:B$1032,MATCH($O363,Items!$A$2:$A$1032,0))</f>
        <v>#N/A</v>
      </c>
      <c r="Q363" t="e">
        <f>INDEX(Items!C$2:C$1032,MATCH($O363,Items!$A$2:$A$1032,0))</f>
        <v>#N/A</v>
      </c>
      <c r="R363" t="e">
        <f>INDEX(Items!D$2:D$1032,MATCH($O363,Items!$A$2:$A$1032,0))</f>
        <v>#N/A</v>
      </c>
    </row>
    <row r="364" spans="1:18" x14ac:dyDescent="0.25">
      <c r="A364">
        <f t="shared" si="29"/>
        <v>1</v>
      </c>
      <c r="B364" t="str">
        <f t="shared" si="32"/>
        <v/>
      </c>
      <c r="C364">
        <f t="shared" si="33"/>
        <v>1</v>
      </c>
      <c r="D364" s="4"/>
      <c r="E364" t="s">
        <v>18</v>
      </c>
      <c r="F364" t="str">
        <f>INDEX(Establishment!B$2:B$1005,MATCH($E364,Establishment!$A$2:$A$1005,0))</f>
        <v xml:space="preserve"> </v>
      </c>
      <c r="G364" t="str">
        <f>INDEX(Establishment!C$2:C$1005,MATCH($E364,Establishment!$A$2:$A$1005,0))</f>
        <v xml:space="preserve"> </v>
      </c>
      <c r="M364">
        <f t="shared" si="31"/>
        <v>0</v>
      </c>
      <c r="N364">
        <f t="shared" si="30"/>
        <v>0</v>
      </c>
      <c r="P364" t="e">
        <f>INDEX(Items!B$2:B$1032,MATCH($O364,Items!$A$2:$A$1032,0))</f>
        <v>#N/A</v>
      </c>
      <c r="Q364" t="e">
        <f>INDEX(Items!C$2:C$1032,MATCH($O364,Items!$A$2:$A$1032,0))</f>
        <v>#N/A</v>
      </c>
      <c r="R364" t="e">
        <f>INDEX(Items!D$2:D$1032,MATCH($O364,Items!$A$2:$A$1032,0))</f>
        <v>#N/A</v>
      </c>
    </row>
    <row r="365" spans="1:18" x14ac:dyDescent="0.25">
      <c r="A365">
        <f t="shared" si="29"/>
        <v>1</v>
      </c>
      <c r="B365" t="str">
        <f t="shared" si="32"/>
        <v/>
      </c>
      <c r="C365">
        <f t="shared" si="33"/>
        <v>1</v>
      </c>
      <c r="D365" s="4"/>
      <c r="E365" t="s">
        <v>18</v>
      </c>
      <c r="F365" t="str">
        <f>INDEX(Establishment!B$2:B$1005,MATCH($E365,Establishment!$A$2:$A$1005,0))</f>
        <v xml:space="preserve"> </v>
      </c>
      <c r="G365" t="str">
        <f>INDEX(Establishment!C$2:C$1005,MATCH($E365,Establishment!$A$2:$A$1005,0))</f>
        <v xml:space="preserve"> </v>
      </c>
      <c r="M365">
        <f t="shared" si="31"/>
        <v>0</v>
      </c>
      <c r="N365">
        <f t="shared" si="30"/>
        <v>0</v>
      </c>
      <c r="P365" t="e">
        <f>INDEX(Items!B$2:B$1032,MATCH($O365,Items!$A$2:$A$1032,0))</f>
        <v>#N/A</v>
      </c>
      <c r="Q365" t="e">
        <f>INDEX(Items!C$2:C$1032,MATCH($O365,Items!$A$2:$A$1032,0))</f>
        <v>#N/A</v>
      </c>
      <c r="R365" t="e">
        <f>INDEX(Items!D$2:D$1032,MATCH($O365,Items!$A$2:$A$1032,0))</f>
        <v>#N/A</v>
      </c>
    </row>
    <row r="366" spans="1:18" x14ac:dyDescent="0.25">
      <c r="A366">
        <f t="shared" si="29"/>
        <v>1</v>
      </c>
      <c r="B366" t="str">
        <f t="shared" si="32"/>
        <v/>
      </c>
      <c r="C366">
        <f t="shared" si="33"/>
        <v>1</v>
      </c>
      <c r="D366" s="4"/>
      <c r="E366" t="s">
        <v>18</v>
      </c>
      <c r="F366" t="str">
        <f>INDEX(Establishment!B$2:B$1005,MATCH($E366,Establishment!$A$2:$A$1005,0))</f>
        <v xml:space="preserve"> </v>
      </c>
      <c r="G366" t="str">
        <f>INDEX(Establishment!C$2:C$1005,MATCH($E366,Establishment!$A$2:$A$1005,0))</f>
        <v xml:space="preserve"> </v>
      </c>
      <c r="M366">
        <f t="shared" si="31"/>
        <v>0</v>
      </c>
      <c r="N366">
        <f t="shared" si="30"/>
        <v>0</v>
      </c>
      <c r="P366" t="e">
        <f>INDEX(Items!B$2:B$1032,MATCH($O366,Items!$A$2:$A$1032,0))</f>
        <v>#N/A</v>
      </c>
      <c r="Q366" t="e">
        <f>INDEX(Items!C$2:C$1032,MATCH($O366,Items!$A$2:$A$1032,0))</f>
        <v>#N/A</v>
      </c>
      <c r="R366" t="e">
        <f>INDEX(Items!D$2:D$1032,MATCH($O366,Items!$A$2:$A$1032,0))</f>
        <v>#N/A</v>
      </c>
    </row>
    <row r="367" spans="1:18" x14ac:dyDescent="0.25">
      <c r="A367">
        <f t="shared" si="29"/>
        <v>1</v>
      </c>
      <c r="B367" t="str">
        <f t="shared" si="32"/>
        <v/>
      </c>
      <c r="C367">
        <f t="shared" si="33"/>
        <v>1</v>
      </c>
      <c r="D367" s="4"/>
      <c r="E367" t="s">
        <v>18</v>
      </c>
      <c r="F367" t="str">
        <f>INDEX(Establishment!B$2:B$1005,MATCH($E367,Establishment!$A$2:$A$1005,0))</f>
        <v xml:space="preserve"> </v>
      </c>
      <c r="G367" t="str">
        <f>INDEX(Establishment!C$2:C$1005,MATCH($E367,Establishment!$A$2:$A$1005,0))</f>
        <v xml:space="preserve"> </v>
      </c>
      <c r="M367">
        <f t="shared" si="31"/>
        <v>0</v>
      </c>
      <c r="N367">
        <f t="shared" si="30"/>
        <v>0</v>
      </c>
      <c r="P367" t="e">
        <f>INDEX(Items!B$2:B$1032,MATCH($O367,Items!$A$2:$A$1032,0))</f>
        <v>#N/A</v>
      </c>
      <c r="Q367" t="e">
        <f>INDEX(Items!C$2:C$1032,MATCH($O367,Items!$A$2:$A$1032,0))</f>
        <v>#N/A</v>
      </c>
      <c r="R367" t="e">
        <f>INDEX(Items!D$2:D$1032,MATCH($O367,Items!$A$2:$A$1032,0))</f>
        <v>#N/A</v>
      </c>
    </row>
    <row r="368" spans="1:18" x14ac:dyDescent="0.25">
      <c r="A368">
        <f t="shared" si="29"/>
        <v>1</v>
      </c>
      <c r="B368" t="str">
        <f t="shared" si="32"/>
        <v/>
      </c>
      <c r="C368">
        <f t="shared" si="33"/>
        <v>1</v>
      </c>
      <c r="D368" s="4"/>
      <c r="E368" t="s">
        <v>18</v>
      </c>
      <c r="F368" t="str">
        <f>INDEX(Establishment!B$2:B$1005,MATCH($E368,Establishment!$A$2:$A$1005,0))</f>
        <v xml:space="preserve"> </v>
      </c>
      <c r="G368" t="str">
        <f>INDEX(Establishment!C$2:C$1005,MATCH($E368,Establishment!$A$2:$A$1005,0))</f>
        <v xml:space="preserve"> </v>
      </c>
      <c r="M368">
        <f t="shared" si="31"/>
        <v>0</v>
      </c>
      <c r="N368">
        <f t="shared" si="30"/>
        <v>0</v>
      </c>
      <c r="P368" t="e">
        <f>INDEX(Items!B$2:B$1032,MATCH($O368,Items!$A$2:$A$1032,0))</f>
        <v>#N/A</v>
      </c>
      <c r="Q368" t="e">
        <f>INDEX(Items!C$2:C$1032,MATCH($O368,Items!$A$2:$A$1032,0))</f>
        <v>#N/A</v>
      </c>
      <c r="R368" t="e">
        <f>INDEX(Items!D$2:D$1032,MATCH($O368,Items!$A$2:$A$1032,0))</f>
        <v>#N/A</v>
      </c>
    </row>
    <row r="369" spans="1:18" x14ac:dyDescent="0.25">
      <c r="A369">
        <f t="shared" si="29"/>
        <v>1</v>
      </c>
      <c r="B369" t="str">
        <f t="shared" si="32"/>
        <v/>
      </c>
      <c r="C369">
        <f t="shared" si="33"/>
        <v>1</v>
      </c>
      <c r="D369" s="4"/>
      <c r="E369" t="s">
        <v>18</v>
      </c>
      <c r="F369" t="str">
        <f>INDEX(Establishment!B$2:B$1005,MATCH($E369,Establishment!$A$2:$A$1005,0))</f>
        <v xml:space="preserve"> </v>
      </c>
      <c r="G369" t="str">
        <f>INDEX(Establishment!C$2:C$1005,MATCH($E369,Establishment!$A$2:$A$1005,0))</f>
        <v xml:space="preserve"> </v>
      </c>
      <c r="M369">
        <f t="shared" si="31"/>
        <v>0</v>
      </c>
      <c r="N369">
        <f t="shared" si="30"/>
        <v>0</v>
      </c>
      <c r="P369" t="e">
        <f>INDEX(Items!B$2:B$1032,MATCH($O369,Items!$A$2:$A$1032,0))</f>
        <v>#N/A</v>
      </c>
      <c r="Q369" t="e">
        <f>INDEX(Items!C$2:C$1032,MATCH($O369,Items!$A$2:$A$1032,0))</f>
        <v>#N/A</v>
      </c>
      <c r="R369" t="e">
        <f>INDEX(Items!D$2:D$1032,MATCH($O369,Items!$A$2:$A$1032,0))</f>
        <v>#N/A</v>
      </c>
    </row>
    <row r="370" spans="1:18" x14ac:dyDescent="0.25">
      <c r="A370">
        <f t="shared" si="29"/>
        <v>1</v>
      </c>
      <c r="B370" t="str">
        <f t="shared" si="32"/>
        <v/>
      </c>
      <c r="C370">
        <f t="shared" si="33"/>
        <v>1</v>
      </c>
      <c r="D370" s="4"/>
      <c r="E370" t="s">
        <v>18</v>
      </c>
      <c r="F370" t="str">
        <f>INDEX(Establishment!B$2:B$1005,MATCH($E370,Establishment!$A$2:$A$1005,0))</f>
        <v xml:space="preserve"> </v>
      </c>
      <c r="G370" t="str">
        <f>INDEX(Establishment!C$2:C$1005,MATCH($E370,Establishment!$A$2:$A$1005,0))</f>
        <v xml:space="preserve"> </v>
      </c>
      <c r="M370">
        <f t="shared" si="31"/>
        <v>0</v>
      </c>
      <c r="N370">
        <f t="shared" si="30"/>
        <v>0</v>
      </c>
      <c r="P370" t="e">
        <f>INDEX(Items!B$2:B$1032,MATCH($O370,Items!$A$2:$A$1032,0))</f>
        <v>#N/A</v>
      </c>
      <c r="Q370" t="e">
        <f>INDEX(Items!C$2:C$1032,MATCH($O370,Items!$A$2:$A$1032,0))</f>
        <v>#N/A</v>
      </c>
      <c r="R370" t="e">
        <f>INDEX(Items!D$2:D$1032,MATCH($O370,Items!$A$2:$A$1032,0))</f>
        <v>#N/A</v>
      </c>
    </row>
    <row r="371" spans="1:18" x14ac:dyDescent="0.25">
      <c r="A371">
        <f t="shared" si="29"/>
        <v>1</v>
      </c>
      <c r="B371" t="str">
        <f t="shared" si="32"/>
        <v/>
      </c>
      <c r="C371">
        <f t="shared" si="33"/>
        <v>1</v>
      </c>
      <c r="D371" s="4"/>
      <c r="E371" t="s">
        <v>18</v>
      </c>
      <c r="F371" t="str">
        <f>INDEX(Establishment!B$2:B$1005,MATCH($E371,Establishment!$A$2:$A$1005,0))</f>
        <v xml:space="preserve"> </v>
      </c>
      <c r="G371" t="str">
        <f>INDEX(Establishment!C$2:C$1005,MATCH($E371,Establishment!$A$2:$A$1005,0))</f>
        <v xml:space="preserve"> </v>
      </c>
      <c r="M371">
        <f t="shared" si="31"/>
        <v>0</v>
      </c>
      <c r="N371">
        <f t="shared" si="30"/>
        <v>0</v>
      </c>
      <c r="P371" t="e">
        <f>INDEX(Items!B$2:B$1032,MATCH($O371,Items!$A$2:$A$1032,0))</f>
        <v>#N/A</v>
      </c>
      <c r="Q371" t="e">
        <f>INDEX(Items!C$2:C$1032,MATCH($O371,Items!$A$2:$A$1032,0))</f>
        <v>#N/A</v>
      </c>
      <c r="R371" t="e">
        <f>INDEX(Items!D$2:D$1032,MATCH($O371,Items!$A$2:$A$1032,0))</f>
        <v>#N/A</v>
      </c>
    </row>
    <row r="372" spans="1:18" x14ac:dyDescent="0.25">
      <c r="A372">
        <f t="shared" si="29"/>
        <v>1</v>
      </c>
      <c r="B372" t="str">
        <f t="shared" si="32"/>
        <v/>
      </c>
      <c r="C372">
        <f t="shared" si="33"/>
        <v>1</v>
      </c>
      <c r="D372" s="4"/>
      <c r="E372" t="s">
        <v>18</v>
      </c>
      <c r="F372" t="str">
        <f>INDEX(Establishment!B$2:B$1005,MATCH($E372,Establishment!$A$2:$A$1005,0))</f>
        <v xml:space="preserve"> </v>
      </c>
      <c r="G372" t="str">
        <f>INDEX(Establishment!C$2:C$1005,MATCH($E372,Establishment!$A$2:$A$1005,0))</f>
        <v xml:space="preserve"> </v>
      </c>
      <c r="M372">
        <f t="shared" si="31"/>
        <v>0</v>
      </c>
      <c r="N372">
        <f t="shared" si="30"/>
        <v>0</v>
      </c>
      <c r="P372" t="e">
        <f>INDEX(Items!B$2:B$1032,MATCH($O372,Items!$A$2:$A$1032,0))</f>
        <v>#N/A</v>
      </c>
      <c r="Q372" t="e">
        <f>INDEX(Items!C$2:C$1032,MATCH($O372,Items!$A$2:$A$1032,0))</f>
        <v>#N/A</v>
      </c>
      <c r="R372" t="e">
        <f>INDEX(Items!D$2:D$1032,MATCH($O372,Items!$A$2:$A$1032,0))</f>
        <v>#N/A</v>
      </c>
    </row>
    <row r="373" spans="1:18" x14ac:dyDescent="0.25">
      <c r="A373">
        <f t="shared" si="29"/>
        <v>1</v>
      </c>
      <c r="B373" t="str">
        <f t="shared" si="32"/>
        <v/>
      </c>
      <c r="C373">
        <f t="shared" si="33"/>
        <v>1</v>
      </c>
      <c r="D373" s="4"/>
      <c r="E373" t="s">
        <v>18</v>
      </c>
      <c r="F373" t="str">
        <f>INDEX(Establishment!B$2:B$1005,MATCH($E373,Establishment!$A$2:$A$1005,0))</f>
        <v xml:space="preserve"> </v>
      </c>
      <c r="G373" t="str">
        <f>INDEX(Establishment!C$2:C$1005,MATCH($E373,Establishment!$A$2:$A$1005,0))</f>
        <v xml:space="preserve"> </v>
      </c>
      <c r="M373">
        <f t="shared" si="31"/>
        <v>0</v>
      </c>
      <c r="N373">
        <f t="shared" si="30"/>
        <v>0</v>
      </c>
      <c r="P373" t="e">
        <f>INDEX(Items!B$2:B$1032,MATCH($O373,Items!$A$2:$A$1032,0))</f>
        <v>#N/A</v>
      </c>
      <c r="Q373" t="e">
        <f>INDEX(Items!C$2:C$1032,MATCH($O373,Items!$A$2:$A$1032,0))</f>
        <v>#N/A</v>
      </c>
      <c r="R373" t="e">
        <f>INDEX(Items!D$2:D$1032,MATCH($O373,Items!$A$2:$A$1032,0))</f>
        <v>#N/A</v>
      </c>
    </row>
    <row r="374" spans="1:18" x14ac:dyDescent="0.25">
      <c r="A374">
        <f t="shared" si="29"/>
        <v>1</v>
      </c>
      <c r="B374" t="str">
        <f t="shared" si="32"/>
        <v/>
      </c>
      <c r="C374">
        <f t="shared" si="33"/>
        <v>1</v>
      </c>
      <c r="D374" s="4"/>
      <c r="E374" t="s">
        <v>18</v>
      </c>
      <c r="F374" t="str">
        <f>INDEX(Establishment!B$2:B$1005,MATCH($E374,Establishment!$A$2:$A$1005,0))</f>
        <v xml:space="preserve"> </v>
      </c>
      <c r="G374" t="str">
        <f>INDEX(Establishment!C$2:C$1005,MATCH($E374,Establishment!$A$2:$A$1005,0))</f>
        <v xml:space="preserve"> </v>
      </c>
      <c r="M374">
        <f t="shared" si="31"/>
        <v>0</v>
      </c>
      <c r="N374">
        <f t="shared" si="30"/>
        <v>0</v>
      </c>
      <c r="P374" t="e">
        <f>INDEX(Items!B$2:B$1032,MATCH($O374,Items!$A$2:$A$1032,0))</f>
        <v>#N/A</v>
      </c>
      <c r="Q374" t="e">
        <f>INDEX(Items!C$2:C$1032,MATCH($O374,Items!$A$2:$A$1032,0))</f>
        <v>#N/A</v>
      </c>
      <c r="R374" t="e">
        <f>INDEX(Items!D$2:D$1032,MATCH($O374,Items!$A$2:$A$1032,0))</f>
        <v>#N/A</v>
      </c>
    </row>
    <row r="375" spans="1:18" x14ac:dyDescent="0.25">
      <c r="A375">
        <f t="shared" si="29"/>
        <v>1</v>
      </c>
      <c r="B375" t="str">
        <f t="shared" si="32"/>
        <v/>
      </c>
      <c r="C375">
        <f t="shared" si="33"/>
        <v>1</v>
      </c>
      <c r="D375" s="4"/>
      <c r="E375" t="s">
        <v>18</v>
      </c>
      <c r="F375" t="str">
        <f>INDEX(Establishment!B$2:B$1005,MATCH($E375,Establishment!$A$2:$A$1005,0))</f>
        <v xml:space="preserve"> </v>
      </c>
      <c r="G375" t="str">
        <f>INDEX(Establishment!C$2:C$1005,MATCH($E375,Establishment!$A$2:$A$1005,0))</f>
        <v xml:space="preserve"> </v>
      </c>
      <c r="M375">
        <f t="shared" si="31"/>
        <v>0</v>
      </c>
      <c r="N375">
        <f t="shared" si="30"/>
        <v>0</v>
      </c>
      <c r="P375" t="e">
        <f>INDEX(Items!B$2:B$1032,MATCH($O375,Items!$A$2:$A$1032,0))</f>
        <v>#N/A</v>
      </c>
      <c r="Q375" t="e">
        <f>INDEX(Items!C$2:C$1032,MATCH($O375,Items!$A$2:$A$1032,0))</f>
        <v>#N/A</v>
      </c>
      <c r="R375" t="e">
        <f>INDEX(Items!D$2:D$1032,MATCH($O375,Items!$A$2:$A$1032,0))</f>
        <v>#N/A</v>
      </c>
    </row>
    <row r="376" spans="1:18" x14ac:dyDescent="0.25">
      <c r="A376">
        <f t="shared" si="29"/>
        <v>1</v>
      </c>
      <c r="B376" t="str">
        <f t="shared" si="32"/>
        <v/>
      </c>
      <c r="C376">
        <f t="shared" si="33"/>
        <v>1</v>
      </c>
      <c r="D376" s="4"/>
      <c r="E376" t="s">
        <v>18</v>
      </c>
      <c r="F376" t="str">
        <f>INDEX(Establishment!B$2:B$1005,MATCH($E376,Establishment!$A$2:$A$1005,0))</f>
        <v xml:space="preserve"> </v>
      </c>
      <c r="G376" t="str">
        <f>INDEX(Establishment!C$2:C$1005,MATCH($E376,Establishment!$A$2:$A$1005,0))</f>
        <v xml:space="preserve"> </v>
      </c>
      <c r="M376">
        <f t="shared" si="31"/>
        <v>0</v>
      </c>
      <c r="N376">
        <f t="shared" si="30"/>
        <v>0</v>
      </c>
      <c r="P376" t="e">
        <f>INDEX(Items!B$2:B$1032,MATCH($O376,Items!$A$2:$A$1032,0))</f>
        <v>#N/A</v>
      </c>
      <c r="Q376" t="e">
        <f>INDEX(Items!C$2:C$1032,MATCH($O376,Items!$A$2:$A$1032,0))</f>
        <v>#N/A</v>
      </c>
      <c r="R376" t="e">
        <f>INDEX(Items!D$2:D$1032,MATCH($O376,Items!$A$2:$A$1032,0))</f>
        <v>#N/A</v>
      </c>
    </row>
    <row r="377" spans="1:18" x14ac:dyDescent="0.25">
      <c r="A377">
        <f t="shared" si="29"/>
        <v>1</v>
      </c>
      <c r="B377" t="str">
        <f t="shared" si="32"/>
        <v/>
      </c>
      <c r="C377">
        <f t="shared" si="33"/>
        <v>1</v>
      </c>
      <c r="D377" s="4"/>
      <c r="E377" t="s">
        <v>18</v>
      </c>
      <c r="F377" t="str">
        <f>INDEX(Establishment!B$2:B$1005,MATCH($E377,Establishment!$A$2:$A$1005,0))</f>
        <v xml:space="preserve"> </v>
      </c>
      <c r="G377" t="str">
        <f>INDEX(Establishment!C$2:C$1005,MATCH($E377,Establishment!$A$2:$A$1005,0))</f>
        <v xml:space="preserve"> </v>
      </c>
      <c r="M377">
        <f t="shared" si="31"/>
        <v>0</v>
      </c>
      <c r="N377">
        <f t="shared" si="30"/>
        <v>0</v>
      </c>
      <c r="P377" t="e">
        <f>INDEX(Items!B$2:B$1032,MATCH($O377,Items!$A$2:$A$1032,0))</f>
        <v>#N/A</v>
      </c>
      <c r="Q377" t="e">
        <f>INDEX(Items!C$2:C$1032,MATCH($O377,Items!$A$2:$A$1032,0))</f>
        <v>#N/A</v>
      </c>
      <c r="R377" t="e">
        <f>INDEX(Items!D$2:D$1032,MATCH($O377,Items!$A$2:$A$1032,0))</f>
        <v>#N/A</v>
      </c>
    </row>
    <row r="378" spans="1:18" x14ac:dyDescent="0.25">
      <c r="A378">
        <f t="shared" si="29"/>
        <v>1</v>
      </c>
      <c r="B378" t="str">
        <f t="shared" si="32"/>
        <v/>
      </c>
      <c r="C378">
        <f t="shared" si="33"/>
        <v>1</v>
      </c>
      <c r="D378" s="4"/>
      <c r="E378" t="s">
        <v>18</v>
      </c>
      <c r="F378" t="str">
        <f>INDEX(Establishment!B$2:B$1005,MATCH($E378,Establishment!$A$2:$A$1005,0))</f>
        <v xml:space="preserve"> </v>
      </c>
      <c r="G378" t="str">
        <f>INDEX(Establishment!C$2:C$1005,MATCH($E378,Establishment!$A$2:$A$1005,0))</f>
        <v xml:space="preserve"> </v>
      </c>
      <c r="M378">
        <f t="shared" si="31"/>
        <v>0</v>
      </c>
      <c r="N378">
        <f t="shared" si="30"/>
        <v>0</v>
      </c>
      <c r="P378" t="e">
        <f>INDEX(Items!B$2:B$1032,MATCH($O378,Items!$A$2:$A$1032,0))</f>
        <v>#N/A</v>
      </c>
      <c r="Q378" t="e">
        <f>INDEX(Items!C$2:C$1032,MATCH($O378,Items!$A$2:$A$1032,0))</f>
        <v>#N/A</v>
      </c>
      <c r="R378" t="e">
        <f>INDEX(Items!D$2:D$1032,MATCH($O378,Items!$A$2:$A$1032,0))</f>
        <v>#N/A</v>
      </c>
    </row>
    <row r="379" spans="1:18" x14ac:dyDescent="0.25">
      <c r="A379">
        <f t="shared" si="29"/>
        <v>1</v>
      </c>
      <c r="B379" t="str">
        <f t="shared" si="32"/>
        <v/>
      </c>
      <c r="C379">
        <f t="shared" si="33"/>
        <v>1</v>
      </c>
      <c r="D379" s="4"/>
      <c r="E379" t="s">
        <v>18</v>
      </c>
      <c r="F379" t="str">
        <f>INDEX(Establishment!B$2:B$1005,MATCH($E379,Establishment!$A$2:$A$1005,0))</f>
        <v xml:space="preserve"> </v>
      </c>
      <c r="G379" t="str">
        <f>INDEX(Establishment!C$2:C$1005,MATCH($E379,Establishment!$A$2:$A$1005,0))</f>
        <v xml:space="preserve"> </v>
      </c>
      <c r="M379">
        <f t="shared" si="31"/>
        <v>0</v>
      </c>
      <c r="N379">
        <f t="shared" si="30"/>
        <v>0</v>
      </c>
      <c r="P379" t="e">
        <f>INDEX(Items!B$2:B$1032,MATCH($O379,Items!$A$2:$A$1032,0))</f>
        <v>#N/A</v>
      </c>
      <c r="Q379" t="e">
        <f>INDEX(Items!C$2:C$1032,MATCH($O379,Items!$A$2:$A$1032,0))</f>
        <v>#N/A</v>
      </c>
      <c r="R379" t="e">
        <f>INDEX(Items!D$2:D$1032,MATCH($O379,Items!$A$2:$A$1032,0))</f>
        <v>#N/A</v>
      </c>
    </row>
    <row r="380" spans="1:18" x14ac:dyDescent="0.25">
      <c r="A380">
        <f t="shared" si="29"/>
        <v>1</v>
      </c>
      <c r="B380" t="str">
        <f t="shared" si="32"/>
        <v/>
      </c>
      <c r="C380">
        <f t="shared" si="33"/>
        <v>1</v>
      </c>
      <c r="D380" s="4"/>
      <c r="E380" t="s">
        <v>18</v>
      </c>
      <c r="F380" t="str">
        <f>INDEX(Establishment!B$2:B$1005,MATCH($E380,Establishment!$A$2:$A$1005,0))</f>
        <v xml:space="preserve"> </v>
      </c>
      <c r="G380" t="str">
        <f>INDEX(Establishment!C$2:C$1005,MATCH($E380,Establishment!$A$2:$A$1005,0))</f>
        <v xml:space="preserve"> </v>
      </c>
      <c r="M380">
        <f t="shared" si="31"/>
        <v>0</v>
      </c>
      <c r="N380">
        <f t="shared" si="30"/>
        <v>0</v>
      </c>
      <c r="P380" t="e">
        <f>INDEX(Items!B$2:B$1032,MATCH($O380,Items!$A$2:$A$1032,0))</f>
        <v>#N/A</v>
      </c>
      <c r="Q380" t="e">
        <f>INDEX(Items!C$2:C$1032,MATCH($O380,Items!$A$2:$A$1032,0))</f>
        <v>#N/A</v>
      </c>
      <c r="R380" t="e">
        <f>INDEX(Items!D$2:D$1032,MATCH($O380,Items!$A$2:$A$1032,0))</f>
        <v>#N/A</v>
      </c>
    </row>
    <row r="381" spans="1:18" x14ac:dyDescent="0.25">
      <c r="A381">
        <f t="shared" si="29"/>
        <v>1</v>
      </c>
      <c r="B381" t="str">
        <f t="shared" si="32"/>
        <v/>
      </c>
      <c r="C381">
        <f t="shared" si="33"/>
        <v>1</v>
      </c>
      <c r="D381" s="4"/>
      <c r="E381" t="s">
        <v>18</v>
      </c>
      <c r="F381" t="str">
        <f>INDEX(Establishment!B$2:B$1005,MATCH($E381,Establishment!$A$2:$A$1005,0))</f>
        <v xml:space="preserve"> </v>
      </c>
      <c r="G381" t="str">
        <f>INDEX(Establishment!C$2:C$1005,MATCH($E381,Establishment!$A$2:$A$1005,0))</f>
        <v xml:space="preserve"> </v>
      </c>
      <c r="M381">
        <f t="shared" si="31"/>
        <v>0</v>
      </c>
      <c r="N381">
        <f t="shared" si="30"/>
        <v>0</v>
      </c>
      <c r="P381" t="e">
        <f>INDEX(Items!B$2:B$1032,MATCH($O381,Items!$A$2:$A$1032,0))</f>
        <v>#N/A</v>
      </c>
      <c r="Q381" t="e">
        <f>INDEX(Items!C$2:C$1032,MATCH($O381,Items!$A$2:$A$1032,0))</f>
        <v>#N/A</v>
      </c>
      <c r="R381" t="e">
        <f>INDEX(Items!D$2:D$1032,MATCH($O381,Items!$A$2:$A$1032,0))</f>
        <v>#N/A</v>
      </c>
    </row>
    <row r="382" spans="1:18" x14ac:dyDescent="0.25">
      <c r="A382">
        <f t="shared" si="29"/>
        <v>1</v>
      </c>
      <c r="B382" t="str">
        <f t="shared" si="32"/>
        <v/>
      </c>
      <c r="C382">
        <f t="shared" si="33"/>
        <v>1</v>
      </c>
      <c r="D382" s="4"/>
      <c r="E382" t="s">
        <v>18</v>
      </c>
      <c r="F382" t="str">
        <f>INDEX(Establishment!B$2:B$1005,MATCH($E382,Establishment!$A$2:$A$1005,0))</f>
        <v xml:space="preserve"> </v>
      </c>
      <c r="G382" t="str">
        <f>INDEX(Establishment!C$2:C$1005,MATCH($E382,Establishment!$A$2:$A$1005,0))</f>
        <v xml:space="preserve"> </v>
      </c>
      <c r="M382">
        <f t="shared" si="31"/>
        <v>0</v>
      </c>
      <c r="N382">
        <f t="shared" si="30"/>
        <v>0</v>
      </c>
      <c r="P382" t="e">
        <f>INDEX(Items!B$2:B$1032,MATCH($O382,Items!$A$2:$A$1032,0))</f>
        <v>#N/A</v>
      </c>
      <c r="Q382" t="e">
        <f>INDEX(Items!C$2:C$1032,MATCH($O382,Items!$A$2:$A$1032,0))</f>
        <v>#N/A</v>
      </c>
      <c r="R382" t="e">
        <f>INDEX(Items!D$2:D$1032,MATCH($O382,Items!$A$2:$A$1032,0))</f>
        <v>#N/A</v>
      </c>
    </row>
    <row r="383" spans="1:18" x14ac:dyDescent="0.25">
      <c r="A383">
        <f t="shared" si="29"/>
        <v>1</v>
      </c>
      <c r="B383" t="str">
        <f t="shared" si="32"/>
        <v/>
      </c>
      <c r="C383">
        <f t="shared" si="33"/>
        <v>1</v>
      </c>
      <c r="D383" s="4"/>
      <c r="E383" t="s">
        <v>18</v>
      </c>
      <c r="F383" t="str">
        <f>INDEX(Establishment!B$2:B$1005,MATCH($E383,Establishment!$A$2:$A$1005,0))</f>
        <v xml:space="preserve"> </v>
      </c>
      <c r="G383" t="str">
        <f>INDEX(Establishment!C$2:C$1005,MATCH($E383,Establishment!$A$2:$A$1005,0))</f>
        <v xml:space="preserve"> </v>
      </c>
      <c r="M383">
        <f t="shared" si="31"/>
        <v>0</v>
      </c>
      <c r="N383">
        <f t="shared" si="30"/>
        <v>0</v>
      </c>
      <c r="P383" t="e">
        <f>INDEX(Items!B$2:B$1032,MATCH($O383,Items!$A$2:$A$1032,0))</f>
        <v>#N/A</v>
      </c>
      <c r="Q383" t="e">
        <f>INDEX(Items!C$2:C$1032,MATCH($O383,Items!$A$2:$A$1032,0))</f>
        <v>#N/A</v>
      </c>
      <c r="R383" t="e">
        <f>INDEX(Items!D$2:D$1032,MATCH($O383,Items!$A$2:$A$1032,0))</f>
        <v>#N/A</v>
      </c>
    </row>
    <row r="384" spans="1:18" x14ac:dyDescent="0.25">
      <c r="A384">
        <f t="shared" si="29"/>
        <v>1</v>
      </c>
      <c r="B384" t="str">
        <f t="shared" si="32"/>
        <v/>
      </c>
      <c r="C384">
        <f t="shared" si="33"/>
        <v>1</v>
      </c>
      <c r="D384" s="4"/>
      <c r="E384" t="s">
        <v>18</v>
      </c>
      <c r="F384" t="str">
        <f>INDEX(Establishment!B$2:B$1005,MATCH($E384,Establishment!$A$2:$A$1005,0))</f>
        <v xml:space="preserve"> </v>
      </c>
      <c r="G384" t="str">
        <f>INDEX(Establishment!C$2:C$1005,MATCH($E384,Establishment!$A$2:$A$1005,0))</f>
        <v xml:space="preserve"> </v>
      </c>
      <c r="M384">
        <f t="shared" si="31"/>
        <v>0</v>
      </c>
      <c r="N384">
        <f t="shared" si="30"/>
        <v>0</v>
      </c>
      <c r="P384" t="e">
        <f>INDEX(Items!B$2:B$1032,MATCH($O384,Items!$A$2:$A$1032,0))</f>
        <v>#N/A</v>
      </c>
      <c r="Q384" t="e">
        <f>INDEX(Items!C$2:C$1032,MATCH($O384,Items!$A$2:$A$1032,0))</f>
        <v>#N/A</v>
      </c>
      <c r="R384" t="e">
        <f>INDEX(Items!D$2:D$1032,MATCH($O384,Items!$A$2:$A$1032,0))</f>
        <v>#N/A</v>
      </c>
    </row>
    <row r="385" spans="1:18" x14ac:dyDescent="0.25">
      <c r="A385">
        <f t="shared" si="29"/>
        <v>1</v>
      </c>
      <c r="B385" t="str">
        <f t="shared" si="32"/>
        <v/>
      </c>
      <c r="C385">
        <f t="shared" si="33"/>
        <v>1</v>
      </c>
      <c r="D385" s="4"/>
      <c r="E385" t="s">
        <v>18</v>
      </c>
      <c r="F385" t="str">
        <f>INDEX(Establishment!B$2:B$1005,MATCH($E385,Establishment!$A$2:$A$1005,0))</f>
        <v xml:space="preserve"> </v>
      </c>
      <c r="G385" t="str">
        <f>INDEX(Establishment!C$2:C$1005,MATCH($E385,Establishment!$A$2:$A$1005,0))</f>
        <v xml:space="preserve"> </v>
      </c>
      <c r="M385">
        <f t="shared" si="31"/>
        <v>0</v>
      </c>
      <c r="N385">
        <f t="shared" si="30"/>
        <v>0</v>
      </c>
      <c r="P385" t="e">
        <f>INDEX(Items!B$2:B$1032,MATCH($O385,Items!$A$2:$A$1032,0))</f>
        <v>#N/A</v>
      </c>
      <c r="Q385" t="e">
        <f>INDEX(Items!C$2:C$1032,MATCH($O385,Items!$A$2:$A$1032,0))</f>
        <v>#N/A</v>
      </c>
      <c r="R385" t="e">
        <f>INDEX(Items!D$2:D$1032,MATCH($O385,Items!$A$2:$A$1032,0))</f>
        <v>#N/A</v>
      </c>
    </row>
    <row r="386" spans="1:18" x14ac:dyDescent="0.25">
      <c r="A386">
        <f t="shared" ref="A386:A449" si="34">IF(OR(D386&lt;&gt;D385,D386=""),1,IF(NOT(AND(E386=E385,F386=F385,G386=G385)),A385+1,IF(OR(H386="",AND(H386&lt;&gt;"",H386&lt;&gt;H385,H385&lt;&gt;"")),A385,A385+1)))</f>
        <v>1</v>
      </c>
      <c r="B386" t="str">
        <f t="shared" si="32"/>
        <v/>
      </c>
      <c r="C386">
        <f t="shared" si="33"/>
        <v>1</v>
      </c>
      <c r="D386" s="4"/>
      <c r="E386" t="s">
        <v>18</v>
      </c>
      <c r="F386" t="str">
        <f>INDEX(Establishment!B$2:B$1005,MATCH($E386,Establishment!$A$2:$A$1005,0))</f>
        <v xml:space="preserve"> </v>
      </c>
      <c r="G386" t="str">
        <f>INDEX(Establishment!C$2:C$1005,MATCH($E386,Establishment!$A$2:$A$1005,0))</f>
        <v xml:space="preserve"> </v>
      </c>
      <c r="M386">
        <f t="shared" si="31"/>
        <v>0</v>
      </c>
      <c r="N386">
        <f t="shared" si="30"/>
        <v>0</v>
      </c>
      <c r="P386" t="e">
        <f>INDEX(Items!B$2:B$1032,MATCH($O386,Items!$A$2:$A$1032,0))</f>
        <v>#N/A</v>
      </c>
      <c r="Q386" t="e">
        <f>INDEX(Items!C$2:C$1032,MATCH($O386,Items!$A$2:$A$1032,0))</f>
        <v>#N/A</v>
      </c>
      <c r="R386" t="e">
        <f>INDEX(Items!D$2:D$1032,MATCH($O386,Items!$A$2:$A$1032,0))</f>
        <v>#N/A</v>
      </c>
    </row>
    <row r="387" spans="1:18" x14ac:dyDescent="0.25">
      <c r="A387">
        <f t="shared" si="34"/>
        <v>1</v>
      </c>
      <c r="B387" t="str">
        <f t="shared" si="32"/>
        <v/>
      </c>
      <c r="C387">
        <f t="shared" si="33"/>
        <v>1</v>
      </c>
      <c r="D387" s="4"/>
      <c r="E387" t="s">
        <v>18</v>
      </c>
      <c r="F387" t="str">
        <f>INDEX(Establishment!B$2:B$1005,MATCH($E387,Establishment!$A$2:$A$1005,0))</f>
        <v xml:space="preserve"> </v>
      </c>
      <c r="G387" t="str">
        <f>INDEX(Establishment!C$2:C$1005,MATCH($E387,Establishment!$A$2:$A$1005,0))</f>
        <v xml:space="preserve"> </v>
      </c>
      <c r="M387">
        <f t="shared" si="31"/>
        <v>0</v>
      </c>
      <c r="N387">
        <f t="shared" ref="N387:N450" si="35">IF(B387=B386,N386+M387,M387)</f>
        <v>0</v>
      </c>
      <c r="P387" t="e">
        <f>INDEX(Items!B$2:B$1032,MATCH($O387,Items!$A$2:$A$1032,0))</f>
        <v>#N/A</v>
      </c>
      <c r="Q387" t="e">
        <f>INDEX(Items!C$2:C$1032,MATCH($O387,Items!$A$2:$A$1032,0))</f>
        <v>#N/A</v>
      </c>
      <c r="R387" t="e">
        <f>INDEX(Items!D$2:D$1032,MATCH($O387,Items!$A$2:$A$1032,0))</f>
        <v>#N/A</v>
      </c>
    </row>
    <row r="388" spans="1:18" x14ac:dyDescent="0.25">
      <c r="A388">
        <f t="shared" si="34"/>
        <v>1</v>
      </c>
      <c r="B388" t="str">
        <f t="shared" si="32"/>
        <v/>
      </c>
      <c r="C388">
        <f t="shared" si="33"/>
        <v>1</v>
      </c>
      <c r="D388" s="4"/>
      <c r="E388" t="s">
        <v>18</v>
      </c>
      <c r="F388" t="str">
        <f>INDEX(Establishment!B$2:B$1005,MATCH($E388,Establishment!$A$2:$A$1005,0))</f>
        <v xml:space="preserve"> </v>
      </c>
      <c r="G388" t="str">
        <f>INDEX(Establishment!C$2:C$1005,MATCH($E388,Establishment!$A$2:$A$1005,0))</f>
        <v xml:space="preserve"> </v>
      </c>
      <c r="M388">
        <f t="shared" ref="M388:M451" si="36">K388*L388</f>
        <v>0</v>
      </c>
      <c r="N388">
        <f t="shared" si="35"/>
        <v>0</v>
      </c>
      <c r="P388" t="e">
        <f>INDEX(Items!B$2:B$1032,MATCH($O388,Items!$A$2:$A$1032,0))</f>
        <v>#N/A</v>
      </c>
      <c r="Q388" t="e">
        <f>INDEX(Items!C$2:C$1032,MATCH($O388,Items!$A$2:$A$1032,0))</f>
        <v>#N/A</v>
      </c>
      <c r="R388" t="e">
        <f>INDEX(Items!D$2:D$1032,MATCH($O388,Items!$A$2:$A$1032,0))</f>
        <v>#N/A</v>
      </c>
    </row>
    <row r="389" spans="1:18" x14ac:dyDescent="0.25">
      <c r="A389">
        <f t="shared" si="34"/>
        <v>1</v>
      </c>
      <c r="B389" t="str">
        <f t="shared" si="32"/>
        <v/>
      </c>
      <c r="C389">
        <f t="shared" si="33"/>
        <v>1</v>
      </c>
      <c r="D389" s="4"/>
      <c r="E389" t="s">
        <v>18</v>
      </c>
      <c r="F389" t="str">
        <f>INDEX(Establishment!B$2:B$1005,MATCH($E389,Establishment!$A$2:$A$1005,0))</f>
        <v xml:space="preserve"> </v>
      </c>
      <c r="G389" t="str">
        <f>INDEX(Establishment!C$2:C$1005,MATCH($E389,Establishment!$A$2:$A$1005,0))</f>
        <v xml:space="preserve"> </v>
      </c>
      <c r="M389">
        <f t="shared" si="36"/>
        <v>0</v>
      </c>
      <c r="N389">
        <f t="shared" si="35"/>
        <v>0</v>
      </c>
      <c r="P389" t="e">
        <f>INDEX(Items!B$2:B$1032,MATCH($O389,Items!$A$2:$A$1032,0))</f>
        <v>#N/A</v>
      </c>
      <c r="Q389" t="e">
        <f>INDEX(Items!C$2:C$1032,MATCH($O389,Items!$A$2:$A$1032,0))</f>
        <v>#N/A</v>
      </c>
      <c r="R389" t="e">
        <f>INDEX(Items!D$2:D$1032,MATCH($O389,Items!$A$2:$A$1032,0))</f>
        <v>#N/A</v>
      </c>
    </row>
    <row r="390" spans="1:18" x14ac:dyDescent="0.25">
      <c r="A390">
        <f t="shared" si="34"/>
        <v>1</v>
      </c>
      <c r="B390" t="str">
        <f t="shared" si="32"/>
        <v/>
      </c>
      <c r="C390">
        <f t="shared" si="33"/>
        <v>1</v>
      </c>
      <c r="D390" s="4"/>
      <c r="E390" t="s">
        <v>18</v>
      </c>
      <c r="F390" t="str">
        <f>INDEX(Establishment!B$2:B$1005,MATCH($E390,Establishment!$A$2:$A$1005,0))</f>
        <v xml:space="preserve"> </v>
      </c>
      <c r="G390" t="str">
        <f>INDEX(Establishment!C$2:C$1005,MATCH($E390,Establishment!$A$2:$A$1005,0))</f>
        <v xml:space="preserve"> </v>
      </c>
      <c r="M390">
        <f t="shared" si="36"/>
        <v>0</v>
      </c>
      <c r="N390">
        <f t="shared" si="35"/>
        <v>0</v>
      </c>
      <c r="P390" t="e">
        <f>INDEX(Items!B$2:B$1032,MATCH($O390,Items!$A$2:$A$1032,0))</f>
        <v>#N/A</v>
      </c>
      <c r="Q390" t="e">
        <f>INDEX(Items!C$2:C$1032,MATCH($O390,Items!$A$2:$A$1032,0))</f>
        <v>#N/A</v>
      </c>
      <c r="R390" t="e">
        <f>INDEX(Items!D$2:D$1032,MATCH($O390,Items!$A$2:$A$1032,0))</f>
        <v>#N/A</v>
      </c>
    </row>
    <row r="391" spans="1:18" x14ac:dyDescent="0.25">
      <c r="A391">
        <f t="shared" si="34"/>
        <v>1</v>
      </c>
      <c r="B391" t="str">
        <f t="shared" ref="B391:B454" si="37">IF(D391&lt;&gt;"",TEXT(D391,"YYYYMMDD")&amp;CHAR(64+A391),"")</f>
        <v/>
      </c>
      <c r="C391">
        <f t="shared" si="33"/>
        <v>1</v>
      </c>
      <c r="D391" s="4"/>
      <c r="E391" t="s">
        <v>18</v>
      </c>
      <c r="F391" t="str">
        <f>INDEX(Establishment!B$2:B$1005,MATCH($E391,Establishment!$A$2:$A$1005,0))</f>
        <v xml:space="preserve"> </v>
      </c>
      <c r="G391" t="str">
        <f>INDEX(Establishment!C$2:C$1005,MATCH($E391,Establishment!$A$2:$A$1005,0))</f>
        <v xml:space="preserve"> </v>
      </c>
      <c r="M391">
        <f t="shared" si="36"/>
        <v>0</v>
      </c>
      <c r="N391">
        <f t="shared" si="35"/>
        <v>0</v>
      </c>
      <c r="P391" t="e">
        <f>INDEX(Items!B$2:B$1032,MATCH($O391,Items!$A$2:$A$1032,0))</f>
        <v>#N/A</v>
      </c>
      <c r="Q391" t="e">
        <f>INDEX(Items!C$2:C$1032,MATCH($O391,Items!$A$2:$A$1032,0))</f>
        <v>#N/A</v>
      </c>
      <c r="R391" t="e">
        <f>INDEX(Items!D$2:D$1032,MATCH($O391,Items!$A$2:$A$1032,0))</f>
        <v>#N/A</v>
      </c>
    </row>
    <row r="392" spans="1:18" x14ac:dyDescent="0.25">
      <c r="A392">
        <f t="shared" si="34"/>
        <v>1</v>
      </c>
      <c r="B392" t="str">
        <f t="shared" si="37"/>
        <v/>
      </c>
      <c r="C392">
        <f t="shared" si="33"/>
        <v>1</v>
      </c>
      <c r="D392" s="4"/>
      <c r="E392" t="s">
        <v>18</v>
      </c>
      <c r="F392" t="str">
        <f>INDEX(Establishment!B$2:B$1005,MATCH($E392,Establishment!$A$2:$A$1005,0))</f>
        <v xml:space="preserve"> </v>
      </c>
      <c r="G392" t="str">
        <f>INDEX(Establishment!C$2:C$1005,MATCH($E392,Establishment!$A$2:$A$1005,0))</f>
        <v xml:space="preserve"> </v>
      </c>
      <c r="M392">
        <f t="shared" si="36"/>
        <v>0</v>
      </c>
      <c r="N392">
        <f t="shared" si="35"/>
        <v>0</v>
      </c>
      <c r="P392" t="e">
        <f>INDEX(Items!B$2:B$1032,MATCH($O392,Items!$A$2:$A$1032,0))</f>
        <v>#N/A</v>
      </c>
      <c r="Q392" t="e">
        <f>INDEX(Items!C$2:C$1032,MATCH($O392,Items!$A$2:$A$1032,0))</f>
        <v>#N/A</v>
      </c>
      <c r="R392" t="e">
        <f>INDEX(Items!D$2:D$1032,MATCH($O392,Items!$A$2:$A$1032,0))</f>
        <v>#N/A</v>
      </c>
    </row>
    <row r="393" spans="1:18" x14ac:dyDescent="0.25">
      <c r="A393">
        <f t="shared" si="34"/>
        <v>1</v>
      </c>
      <c r="B393" t="str">
        <f t="shared" si="37"/>
        <v/>
      </c>
      <c r="C393">
        <f t="shared" si="33"/>
        <v>1</v>
      </c>
      <c r="D393" s="4"/>
      <c r="E393" t="s">
        <v>18</v>
      </c>
      <c r="F393" t="str">
        <f>INDEX(Establishment!B$2:B$1005,MATCH($E393,Establishment!$A$2:$A$1005,0))</f>
        <v xml:space="preserve"> </v>
      </c>
      <c r="G393" t="str">
        <f>INDEX(Establishment!C$2:C$1005,MATCH($E393,Establishment!$A$2:$A$1005,0))</f>
        <v xml:space="preserve"> </v>
      </c>
      <c r="M393">
        <f t="shared" si="36"/>
        <v>0</v>
      </c>
      <c r="N393">
        <f t="shared" si="35"/>
        <v>0</v>
      </c>
      <c r="P393" t="e">
        <f>INDEX(Items!B$2:B$1032,MATCH($O393,Items!$A$2:$A$1032,0))</f>
        <v>#N/A</v>
      </c>
      <c r="Q393" t="e">
        <f>INDEX(Items!C$2:C$1032,MATCH($O393,Items!$A$2:$A$1032,0))</f>
        <v>#N/A</v>
      </c>
      <c r="R393" t="e">
        <f>INDEX(Items!D$2:D$1032,MATCH($O393,Items!$A$2:$A$1032,0))</f>
        <v>#N/A</v>
      </c>
    </row>
    <row r="394" spans="1:18" x14ac:dyDescent="0.25">
      <c r="A394">
        <f t="shared" si="34"/>
        <v>1</v>
      </c>
      <c r="B394" t="str">
        <f t="shared" si="37"/>
        <v/>
      </c>
      <c r="C394">
        <f t="shared" ref="C394:C457" si="38">IF(OR(B394="",B394&lt;&gt;B393),1,C393+1)</f>
        <v>1</v>
      </c>
      <c r="D394" s="4"/>
      <c r="E394" t="s">
        <v>18</v>
      </c>
      <c r="F394" t="str">
        <f>INDEX(Establishment!B$2:B$1005,MATCH($E394,Establishment!$A$2:$A$1005,0))</f>
        <v xml:space="preserve"> </v>
      </c>
      <c r="G394" t="str">
        <f>INDEX(Establishment!C$2:C$1005,MATCH($E394,Establishment!$A$2:$A$1005,0))</f>
        <v xml:space="preserve"> </v>
      </c>
      <c r="M394">
        <f t="shared" si="36"/>
        <v>0</v>
      </c>
      <c r="N394">
        <f t="shared" si="35"/>
        <v>0</v>
      </c>
      <c r="P394" t="e">
        <f>INDEX(Items!B$2:B$1032,MATCH($O394,Items!$A$2:$A$1032,0))</f>
        <v>#N/A</v>
      </c>
      <c r="Q394" t="e">
        <f>INDEX(Items!C$2:C$1032,MATCH($O394,Items!$A$2:$A$1032,0))</f>
        <v>#N/A</v>
      </c>
      <c r="R394" t="e">
        <f>INDEX(Items!D$2:D$1032,MATCH($O394,Items!$A$2:$A$1032,0))</f>
        <v>#N/A</v>
      </c>
    </row>
    <row r="395" spans="1:18" x14ac:dyDescent="0.25">
      <c r="A395">
        <f t="shared" si="34"/>
        <v>1</v>
      </c>
      <c r="B395" t="str">
        <f t="shared" si="37"/>
        <v/>
      </c>
      <c r="C395">
        <f t="shared" si="38"/>
        <v>1</v>
      </c>
      <c r="D395" s="4"/>
      <c r="E395" t="s">
        <v>18</v>
      </c>
      <c r="F395" t="str">
        <f>INDEX(Establishment!B$2:B$1005,MATCH($E395,Establishment!$A$2:$A$1005,0))</f>
        <v xml:space="preserve"> </v>
      </c>
      <c r="G395" t="str">
        <f>INDEX(Establishment!C$2:C$1005,MATCH($E395,Establishment!$A$2:$A$1005,0))</f>
        <v xml:space="preserve"> </v>
      </c>
      <c r="M395">
        <f t="shared" si="36"/>
        <v>0</v>
      </c>
      <c r="N395">
        <f t="shared" si="35"/>
        <v>0</v>
      </c>
      <c r="P395" t="e">
        <f>INDEX(Items!B$2:B$1032,MATCH($O395,Items!$A$2:$A$1032,0))</f>
        <v>#N/A</v>
      </c>
      <c r="Q395" t="e">
        <f>INDEX(Items!C$2:C$1032,MATCH($O395,Items!$A$2:$A$1032,0))</f>
        <v>#N/A</v>
      </c>
      <c r="R395" t="e">
        <f>INDEX(Items!D$2:D$1032,MATCH($O395,Items!$A$2:$A$1032,0))</f>
        <v>#N/A</v>
      </c>
    </row>
    <row r="396" spans="1:18" x14ac:dyDescent="0.25">
      <c r="A396">
        <f t="shared" si="34"/>
        <v>1</v>
      </c>
      <c r="B396" t="str">
        <f t="shared" si="37"/>
        <v/>
      </c>
      <c r="C396">
        <f t="shared" si="38"/>
        <v>1</v>
      </c>
      <c r="D396" s="4"/>
      <c r="E396" t="s">
        <v>18</v>
      </c>
      <c r="F396" t="str">
        <f>INDEX(Establishment!B$2:B$1005,MATCH($E396,Establishment!$A$2:$A$1005,0))</f>
        <v xml:space="preserve"> </v>
      </c>
      <c r="G396" t="str">
        <f>INDEX(Establishment!C$2:C$1005,MATCH($E396,Establishment!$A$2:$A$1005,0))</f>
        <v xml:space="preserve"> </v>
      </c>
      <c r="M396">
        <f t="shared" si="36"/>
        <v>0</v>
      </c>
      <c r="N396">
        <f t="shared" si="35"/>
        <v>0</v>
      </c>
      <c r="P396" t="e">
        <f>INDEX(Items!B$2:B$1032,MATCH($O396,Items!$A$2:$A$1032,0))</f>
        <v>#N/A</v>
      </c>
      <c r="Q396" t="e">
        <f>INDEX(Items!C$2:C$1032,MATCH($O396,Items!$A$2:$A$1032,0))</f>
        <v>#N/A</v>
      </c>
      <c r="R396" t="e">
        <f>INDEX(Items!D$2:D$1032,MATCH($O396,Items!$A$2:$A$1032,0))</f>
        <v>#N/A</v>
      </c>
    </row>
    <row r="397" spans="1:18" x14ac:dyDescent="0.25">
      <c r="A397">
        <f t="shared" si="34"/>
        <v>1</v>
      </c>
      <c r="B397" t="str">
        <f t="shared" si="37"/>
        <v/>
      </c>
      <c r="C397">
        <f t="shared" si="38"/>
        <v>1</v>
      </c>
      <c r="D397" s="4"/>
      <c r="E397" t="s">
        <v>18</v>
      </c>
      <c r="F397" t="str">
        <f>INDEX(Establishment!B$2:B$1005,MATCH($E397,Establishment!$A$2:$A$1005,0))</f>
        <v xml:space="preserve"> </v>
      </c>
      <c r="G397" t="str">
        <f>INDEX(Establishment!C$2:C$1005,MATCH($E397,Establishment!$A$2:$A$1005,0))</f>
        <v xml:space="preserve"> </v>
      </c>
      <c r="M397">
        <f t="shared" si="36"/>
        <v>0</v>
      </c>
      <c r="N397">
        <f t="shared" si="35"/>
        <v>0</v>
      </c>
      <c r="P397" t="e">
        <f>INDEX(Items!B$2:B$1032,MATCH($O397,Items!$A$2:$A$1032,0))</f>
        <v>#N/A</v>
      </c>
      <c r="Q397" t="e">
        <f>INDEX(Items!C$2:C$1032,MATCH($O397,Items!$A$2:$A$1032,0))</f>
        <v>#N/A</v>
      </c>
      <c r="R397" t="e">
        <f>INDEX(Items!D$2:D$1032,MATCH($O397,Items!$A$2:$A$1032,0))</f>
        <v>#N/A</v>
      </c>
    </row>
    <row r="398" spans="1:18" x14ac:dyDescent="0.25">
      <c r="A398">
        <f t="shared" si="34"/>
        <v>1</v>
      </c>
      <c r="B398" t="str">
        <f t="shared" si="37"/>
        <v/>
      </c>
      <c r="C398">
        <f t="shared" si="38"/>
        <v>1</v>
      </c>
      <c r="D398" s="4"/>
      <c r="E398" t="s">
        <v>18</v>
      </c>
      <c r="F398" t="str">
        <f>INDEX(Establishment!B$2:B$1005,MATCH($E398,Establishment!$A$2:$A$1005,0))</f>
        <v xml:space="preserve"> </v>
      </c>
      <c r="G398" t="str">
        <f>INDEX(Establishment!C$2:C$1005,MATCH($E398,Establishment!$A$2:$A$1005,0))</f>
        <v xml:space="preserve"> </v>
      </c>
      <c r="M398">
        <f t="shared" si="36"/>
        <v>0</v>
      </c>
      <c r="N398">
        <f t="shared" si="35"/>
        <v>0</v>
      </c>
      <c r="P398" t="e">
        <f>INDEX(Items!B$2:B$1032,MATCH($O398,Items!$A$2:$A$1032,0))</f>
        <v>#N/A</v>
      </c>
      <c r="Q398" t="e">
        <f>INDEX(Items!C$2:C$1032,MATCH($O398,Items!$A$2:$A$1032,0))</f>
        <v>#N/A</v>
      </c>
      <c r="R398" t="e">
        <f>INDEX(Items!D$2:D$1032,MATCH($O398,Items!$A$2:$A$1032,0))</f>
        <v>#N/A</v>
      </c>
    </row>
    <row r="399" spans="1:18" x14ac:dyDescent="0.25">
      <c r="A399">
        <f t="shared" si="34"/>
        <v>1</v>
      </c>
      <c r="B399" t="str">
        <f t="shared" si="37"/>
        <v/>
      </c>
      <c r="C399">
        <f t="shared" si="38"/>
        <v>1</v>
      </c>
      <c r="D399" s="4"/>
      <c r="E399" t="s">
        <v>18</v>
      </c>
      <c r="F399" t="str">
        <f>INDEX(Establishment!B$2:B$1005,MATCH($E399,Establishment!$A$2:$A$1005,0))</f>
        <v xml:space="preserve"> </v>
      </c>
      <c r="G399" t="str">
        <f>INDEX(Establishment!C$2:C$1005,MATCH($E399,Establishment!$A$2:$A$1005,0))</f>
        <v xml:space="preserve"> </v>
      </c>
      <c r="M399">
        <f t="shared" si="36"/>
        <v>0</v>
      </c>
      <c r="N399">
        <f t="shared" si="35"/>
        <v>0</v>
      </c>
      <c r="P399" t="e">
        <f>INDEX(Items!B$2:B$1032,MATCH($O399,Items!$A$2:$A$1032,0))</f>
        <v>#N/A</v>
      </c>
      <c r="Q399" t="e">
        <f>INDEX(Items!C$2:C$1032,MATCH($O399,Items!$A$2:$A$1032,0))</f>
        <v>#N/A</v>
      </c>
      <c r="R399" t="e">
        <f>INDEX(Items!D$2:D$1032,MATCH($O399,Items!$A$2:$A$1032,0))</f>
        <v>#N/A</v>
      </c>
    </row>
    <row r="400" spans="1:18" x14ac:dyDescent="0.25">
      <c r="A400">
        <f t="shared" si="34"/>
        <v>1</v>
      </c>
      <c r="B400" t="str">
        <f t="shared" si="37"/>
        <v/>
      </c>
      <c r="C400">
        <f t="shared" si="38"/>
        <v>1</v>
      </c>
      <c r="D400" s="4"/>
      <c r="E400" t="s">
        <v>18</v>
      </c>
      <c r="F400" t="str">
        <f>INDEX(Establishment!B$2:B$1005,MATCH($E400,Establishment!$A$2:$A$1005,0))</f>
        <v xml:space="preserve"> </v>
      </c>
      <c r="G400" t="str">
        <f>INDEX(Establishment!C$2:C$1005,MATCH($E400,Establishment!$A$2:$A$1005,0))</f>
        <v xml:space="preserve"> </v>
      </c>
      <c r="M400">
        <f t="shared" si="36"/>
        <v>0</v>
      </c>
      <c r="N400">
        <f t="shared" si="35"/>
        <v>0</v>
      </c>
      <c r="P400" t="e">
        <f>INDEX(Items!B$2:B$1032,MATCH($O400,Items!$A$2:$A$1032,0))</f>
        <v>#N/A</v>
      </c>
      <c r="Q400" t="e">
        <f>INDEX(Items!C$2:C$1032,MATCH($O400,Items!$A$2:$A$1032,0))</f>
        <v>#N/A</v>
      </c>
      <c r="R400" t="e">
        <f>INDEX(Items!D$2:D$1032,MATCH($O400,Items!$A$2:$A$1032,0))</f>
        <v>#N/A</v>
      </c>
    </row>
    <row r="401" spans="1:18" x14ac:dyDescent="0.25">
      <c r="A401">
        <f t="shared" si="34"/>
        <v>1</v>
      </c>
      <c r="B401" t="str">
        <f t="shared" si="37"/>
        <v/>
      </c>
      <c r="C401">
        <f t="shared" si="38"/>
        <v>1</v>
      </c>
      <c r="D401" s="4"/>
      <c r="E401" t="s">
        <v>18</v>
      </c>
      <c r="F401" t="str">
        <f>INDEX(Establishment!B$2:B$1005,MATCH($E401,Establishment!$A$2:$A$1005,0))</f>
        <v xml:space="preserve"> </v>
      </c>
      <c r="G401" t="str">
        <f>INDEX(Establishment!C$2:C$1005,MATCH($E401,Establishment!$A$2:$A$1005,0))</f>
        <v xml:space="preserve"> </v>
      </c>
      <c r="M401">
        <f t="shared" si="36"/>
        <v>0</v>
      </c>
      <c r="N401">
        <f t="shared" si="35"/>
        <v>0</v>
      </c>
      <c r="P401" t="e">
        <f>INDEX(Items!B$2:B$1032,MATCH($O401,Items!$A$2:$A$1032,0))</f>
        <v>#N/A</v>
      </c>
      <c r="Q401" t="e">
        <f>INDEX(Items!C$2:C$1032,MATCH($O401,Items!$A$2:$A$1032,0))</f>
        <v>#N/A</v>
      </c>
      <c r="R401" t="e">
        <f>INDEX(Items!D$2:D$1032,MATCH($O401,Items!$A$2:$A$1032,0))</f>
        <v>#N/A</v>
      </c>
    </row>
    <row r="402" spans="1:18" x14ac:dyDescent="0.25">
      <c r="A402">
        <f t="shared" si="34"/>
        <v>1</v>
      </c>
      <c r="B402" t="str">
        <f t="shared" si="37"/>
        <v/>
      </c>
      <c r="C402">
        <f t="shared" si="38"/>
        <v>1</v>
      </c>
      <c r="D402" s="4"/>
      <c r="E402" t="s">
        <v>18</v>
      </c>
      <c r="F402" t="str">
        <f>INDEX(Establishment!B$2:B$1005,MATCH($E402,Establishment!$A$2:$A$1005,0))</f>
        <v xml:space="preserve"> </v>
      </c>
      <c r="G402" t="str">
        <f>INDEX(Establishment!C$2:C$1005,MATCH($E402,Establishment!$A$2:$A$1005,0))</f>
        <v xml:space="preserve"> </v>
      </c>
      <c r="M402">
        <f t="shared" si="36"/>
        <v>0</v>
      </c>
      <c r="N402">
        <f t="shared" si="35"/>
        <v>0</v>
      </c>
      <c r="P402" t="e">
        <f>INDEX(Items!B$2:B$1032,MATCH($O402,Items!$A$2:$A$1032,0))</f>
        <v>#N/A</v>
      </c>
      <c r="Q402" t="e">
        <f>INDEX(Items!C$2:C$1032,MATCH($O402,Items!$A$2:$A$1032,0))</f>
        <v>#N/A</v>
      </c>
      <c r="R402" t="e">
        <f>INDEX(Items!D$2:D$1032,MATCH($O402,Items!$A$2:$A$1032,0))</f>
        <v>#N/A</v>
      </c>
    </row>
    <row r="403" spans="1:18" x14ac:dyDescent="0.25">
      <c r="A403">
        <f t="shared" si="34"/>
        <v>1</v>
      </c>
      <c r="B403" t="str">
        <f t="shared" si="37"/>
        <v/>
      </c>
      <c r="C403">
        <f t="shared" si="38"/>
        <v>1</v>
      </c>
      <c r="D403" s="4"/>
      <c r="E403" t="s">
        <v>18</v>
      </c>
      <c r="F403" t="str">
        <f>INDEX(Establishment!B$2:B$1005,MATCH($E403,Establishment!$A$2:$A$1005,0))</f>
        <v xml:space="preserve"> </v>
      </c>
      <c r="G403" t="str">
        <f>INDEX(Establishment!C$2:C$1005,MATCH($E403,Establishment!$A$2:$A$1005,0))</f>
        <v xml:space="preserve"> </v>
      </c>
      <c r="M403">
        <f t="shared" si="36"/>
        <v>0</v>
      </c>
      <c r="N403">
        <f t="shared" si="35"/>
        <v>0</v>
      </c>
      <c r="P403" t="e">
        <f>INDEX(Items!B$2:B$1032,MATCH($O403,Items!$A$2:$A$1032,0))</f>
        <v>#N/A</v>
      </c>
      <c r="Q403" t="e">
        <f>INDEX(Items!C$2:C$1032,MATCH($O403,Items!$A$2:$A$1032,0))</f>
        <v>#N/A</v>
      </c>
      <c r="R403" t="e">
        <f>INDEX(Items!D$2:D$1032,MATCH($O403,Items!$A$2:$A$1032,0))</f>
        <v>#N/A</v>
      </c>
    </row>
    <row r="404" spans="1:18" x14ac:dyDescent="0.25">
      <c r="A404">
        <f t="shared" si="34"/>
        <v>1</v>
      </c>
      <c r="B404" t="str">
        <f t="shared" si="37"/>
        <v/>
      </c>
      <c r="C404">
        <f t="shared" si="38"/>
        <v>1</v>
      </c>
      <c r="D404" s="4"/>
      <c r="E404" t="s">
        <v>18</v>
      </c>
      <c r="F404" t="str">
        <f>INDEX(Establishment!B$2:B$1005,MATCH($E404,Establishment!$A$2:$A$1005,0))</f>
        <v xml:space="preserve"> </v>
      </c>
      <c r="G404" t="str">
        <f>INDEX(Establishment!C$2:C$1005,MATCH($E404,Establishment!$A$2:$A$1005,0))</f>
        <v xml:space="preserve"> </v>
      </c>
      <c r="M404">
        <f t="shared" si="36"/>
        <v>0</v>
      </c>
      <c r="N404">
        <f t="shared" si="35"/>
        <v>0</v>
      </c>
      <c r="P404" t="e">
        <f>INDEX(Items!B$2:B$1032,MATCH($O404,Items!$A$2:$A$1032,0))</f>
        <v>#N/A</v>
      </c>
      <c r="Q404" t="e">
        <f>INDEX(Items!C$2:C$1032,MATCH($O404,Items!$A$2:$A$1032,0))</f>
        <v>#N/A</v>
      </c>
      <c r="R404" t="e">
        <f>INDEX(Items!D$2:D$1032,MATCH($O404,Items!$A$2:$A$1032,0))</f>
        <v>#N/A</v>
      </c>
    </row>
    <row r="405" spans="1:18" x14ac:dyDescent="0.25">
      <c r="A405">
        <f t="shared" si="34"/>
        <v>1</v>
      </c>
      <c r="B405" t="str">
        <f t="shared" si="37"/>
        <v/>
      </c>
      <c r="C405">
        <f t="shared" si="38"/>
        <v>1</v>
      </c>
      <c r="D405" s="4"/>
      <c r="E405" t="s">
        <v>18</v>
      </c>
      <c r="F405" t="str">
        <f>INDEX(Establishment!B$2:B$1005,MATCH($E405,Establishment!$A$2:$A$1005,0))</f>
        <v xml:space="preserve"> </v>
      </c>
      <c r="G405" t="str">
        <f>INDEX(Establishment!C$2:C$1005,MATCH($E405,Establishment!$A$2:$A$1005,0))</f>
        <v xml:space="preserve"> </v>
      </c>
      <c r="M405">
        <f t="shared" si="36"/>
        <v>0</v>
      </c>
      <c r="N405">
        <f t="shared" si="35"/>
        <v>0</v>
      </c>
      <c r="P405" t="e">
        <f>INDEX(Items!B$2:B$1032,MATCH($O405,Items!$A$2:$A$1032,0))</f>
        <v>#N/A</v>
      </c>
      <c r="Q405" t="e">
        <f>INDEX(Items!C$2:C$1032,MATCH($O405,Items!$A$2:$A$1032,0))</f>
        <v>#N/A</v>
      </c>
      <c r="R405" t="e">
        <f>INDEX(Items!D$2:D$1032,MATCH($O405,Items!$A$2:$A$1032,0))</f>
        <v>#N/A</v>
      </c>
    </row>
    <row r="406" spans="1:18" x14ac:dyDescent="0.25">
      <c r="A406">
        <f t="shared" si="34"/>
        <v>1</v>
      </c>
      <c r="B406" t="str">
        <f t="shared" si="37"/>
        <v/>
      </c>
      <c r="C406">
        <f t="shared" si="38"/>
        <v>1</v>
      </c>
      <c r="D406" s="4"/>
      <c r="E406" t="s">
        <v>18</v>
      </c>
      <c r="F406" t="str">
        <f>INDEX(Establishment!B$2:B$1005,MATCH($E406,Establishment!$A$2:$A$1005,0))</f>
        <v xml:space="preserve"> </v>
      </c>
      <c r="G406" t="str">
        <f>INDEX(Establishment!C$2:C$1005,MATCH($E406,Establishment!$A$2:$A$1005,0))</f>
        <v xml:space="preserve"> </v>
      </c>
      <c r="M406">
        <f t="shared" si="36"/>
        <v>0</v>
      </c>
      <c r="N406">
        <f t="shared" si="35"/>
        <v>0</v>
      </c>
      <c r="P406" t="e">
        <f>INDEX(Items!B$2:B$1032,MATCH($O406,Items!$A$2:$A$1032,0))</f>
        <v>#N/A</v>
      </c>
      <c r="Q406" t="e">
        <f>INDEX(Items!C$2:C$1032,MATCH($O406,Items!$A$2:$A$1032,0))</f>
        <v>#N/A</v>
      </c>
      <c r="R406" t="e">
        <f>INDEX(Items!D$2:D$1032,MATCH($O406,Items!$A$2:$A$1032,0))</f>
        <v>#N/A</v>
      </c>
    </row>
    <row r="407" spans="1:18" x14ac:dyDescent="0.25">
      <c r="A407">
        <f t="shared" si="34"/>
        <v>1</v>
      </c>
      <c r="B407" t="str">
        <f t="shared" si="37"/>
        <v/>
      </c>
      <c r="C407">
        <f t="shared" si="38"/>
        <v>1</v>
      </c>
      <c r="D407" s="4"/>
      <c r="E407" t="s">
        <v>18</v>
      </c>
      <c r="F407" t="str">
        <f>INDEX(Establishment!B$2:B$1005,MATCH($E407,Establishment!$A$2:$A$1005,0))</f>
        <v xml:space="preserve"> </v>
      </c>
      <c r="G407" t="str">
        <f>INDEX(Establishment!C$2:C$1005,MATCH($E407,Establishment!$A$2:$A$1005,0))</f>
        <v xml:space="preserve"> </v>
      </c>
      <c r="M407">
        <f t="shared" si="36"/>
        <v>0</v>
      </c>
      <c r="N407">
        <f t="shared" si="35"/>
        <v>0</v>
      </c>
      <c r="P407" t="e">
        <f>INDEX(Items!B$2:B$1032,MATCH($O407,Items!$A$2:$A$1032,0))</f>
        <v>#N/A</v>
      </c>
      <c r="Q407" t="e">
        <f>INDEX(Items!C$2:C$1032,MATCH($O407,Items!$A$2:$A$1032,0))</f>
        <v>#N/A</v>
      </c>
      <c r="R407" t="e">
        <f>INDEX(Items!D$2:D$1032,MATCH($O407,Items!$A$2:$A$1032,0))</f>
        <v>#N/A</v>
      </c>
    </row>
    <row r="408" spans="1:18" x14ac:dyDescent="0.25">
      <c r="A408">
        <f t="shared" si="34"/>
        <v>1</v>
      </c>
      <c r="B408" t="str">
        <f t="shared" si="37"/>
        <v/>
      </c>
      <c r="C408">
        <f t="shared" si="38"/>
        <v>1</v>
      </c>
      <c r="D408" s="4"/>
      <c r="E408" t="s">
        <v>18</v>
      </c>
      <c r="F408" t="str">
        <f>INDEX(Establishment!B$2:B$1005,MATCH($E408,Establishment!$A$2:$A$1005,0))</f>
        <v xml:space="preserve"> </v>
      </c>
      <c r="G408" t="str">
        <f>INDEX(Establishment!C$2:C$1005,MATCH($E408,Establishment!$A$2:$A$1005,0))</f>
        <v xml:space="preserve"> </v>
      </c>
      <c r="M408">
        <f t="shared" si="36"/>
        <v>0</v>
      </c>
      <c r="N408">
        <f t="shared" si="35"/>
        <v>0</v>
      </c>
      <c r="P408" t="e">
        <f>INDEX(Items!B$2:B$1032,MATCH($O408,Items!$A$2:$A$1032,0))</f>
        <v>#N/A</v>
      </c>
      <c r="Q408" t="e">
        <f>INDEX(Items!C$2:C$1032,MATCH($O408,Items!$A$2:$A$1032,0))</f>
        <v>#N/A</v>
      </c>
      <c r="R408" t="e">
        <f>INDEX(Items!D$2:D$1032,MATCH($O408,Items!$A$2:$A$1032,0))</f>
        <v>#N/A</v>
      </c>
    </row>
    <row r="409" spans="1:18" x14ac:dyDescent="0.25">
      <c r="A409">
        <f t="shared" si="34"/>
        <v>1</v>
      </c>
      <c r="B409" t="str">
        <f t="shared" si="37"/>
        <v/>
      </c>
      <c r="C409">
        <f t="shared" si="38"/>
        <v>1</v>
      </c>
      <c r="D409" s="4"/>
      <c r="E409" t="s">
        <v>18</v>
      </c>
      <c r="F409" t="str">
        <f>INDEX(Establishment!B$2:B$1005,MATCH($E409,Establishment!$A$2:$A$1005,0))</f>
        <v xml:space="preserve"> </v>
      </c>
      <c r="G409" t="str">
        <f>INDEX(Establishment!C$2:C$1005,MATCH($E409,Establishment!$A$2:$A$1005,0))</f>
        <v xml:space="preserve"> </v>
      </c>
      <c r="M409">
        <f t="shared" si="36"/>
        <v>0</v>
      </c>
      <c r="N409">
        <f t="shared" si="35"/>
        <v>0</v>
      </c>
      <c r="P409" t="e">
        <f>INDEX(Items!B$2:B$1032,MATCH($O409,Items!$A$2:$A$1032,0))</f>
        <v>#N/A</v>
      </c>
      <c r="Q409" t="e">
        <f>INDEX(Items!C$2:C$1032,MATCH($O409,Items!$A$2:$A$1032,0))</f>
        <v>#N/A</v>
      </c>
      <c r="R409" t="e">
        <f>INDEX(Items!D$2:D$1032,MATCH($O409,Items!$A$2:$A$1032,0))</f>
        <v>#N/A</v>
      </c>
    </row>
    <row r="410" spans="1:18" x14ac:dyDescent="0.25">
      <c r="A410">
        <f t="shared" si="34"/>
        <v>1</v>
      </c>
      <c r="B410" t="str">
        <f t="shared" si="37"/>
        <v/>
      </c>
      <c r="C410">
        <f t="shared" si="38"/>
        <v>1</v>
      </c>
      <c r="D410" s="4"/>
      <c r="E410" t="s">
        <v>18</v>
      </c>
      <c r="F410" t="str">
        <f>INDEX(Establishment!B$2:B$1005,MATCH($E410,Establishment!$A$2:$A$1005,0))</f>
        <v xml:space="preserve"> </v>
      </c>
      <c r="G410" t="str">
        <f>INDEX(Establishment!C$2:C$1005,MATCH($E410,Establishment!$A$2:$A$1005,0))</f>
        <v xml:space="preserve"> </v>
      </c>
      <c r="M410">
        <f t="shared" si="36"/>
        <v>0</v>
      </c>
      <c r="N410">
        <f t="shared" si="35"/>
        <v>0</v>
      </c>
      <c r="P410" t="e">
        <f>INDEX(Items!B$2:B$1032,MATCH($O410,Items!$A$2:$A$1032,0))</f>
        <v>#N/A</v>
      </c>
      <c r="Q410" t="e">
        <f>INDEX(Items!C$2:C$1032,MATCH($O410,Items!$A$2:$A$1032,0))</f>
        <v>#N/A</v>
      </c>
      <c r="R410" t="e">
        <f>INDEX(Items!D$2:D$1032,MATCH($O410,Items!$A$2:$A$1032,0))</f>
        <v>#N/A</v>
      </c>
    </row>
    <row r="411" spans="1:18" x14ac:dyDescent="0.25">
      <c r="A411">
        <f t="shared" si="34"/>
        <v>1</v>
      </c>
      <c r="B411" t="str">
        <f t="shared" si="37"/>
        <v/>
      </c>
      <c r="C411">
        <f t="shared" si="38"/>
        <v>1</v>
      </c>
      <c r="D411" s="4"/>
      <c r="E411" t="s">
        <v>18</v>
      </c>
      <c r="F411" t="str">
        <f>INDEX(Establishment!B$2:B$1005,MATCH($E411,Establishment!$A$2:$A$1005,0))</f>
        <v xml:space="preserve"> </v>
      </c>
      <c r="G411" t="str">
        <f>INDEX(Establishment!C$2:C$1005,MATCH($E411,Establishment!$A$2:$A$1005,0))</f>
        <v xml:space="preserve"> </v>
      </c>
      <c r="M411">
        <f t="shared" si="36"/>
        <v>0</v>
      </c>
      <c r="N411">
        <f t="shared" si="35"/>
        <v>0</v>
      </c>
      <c r="P411" t="e">
        <f>INDEX(Items!B$2:B$1032,MATCH($O411,Items!$A$2:$A$1032,0))</f>
        <v>#N/A</v>
      </c>
      <c r="Q411" t="e">
        <f>INDEX(Items!C$2:C$1032,MATCH($O411,Items!$A$2:$A$1032,0))</f>
        <v>#N/A</v>
      </c>
      <c r="R411" t="e">
        <f>INDEX(Items!D$2:D$1032,MATCH($O411,Items!$A$2:$A$1032,0))</f>
        <v>#N/A</v>
      </c>
    </row>
    <row r="412" spans="1:18" x14ac:dyDescent="0.25">
      <c r="A412">
        <f t="shared" si="34"/>
        <v>1</v>
      </c>
      <c r="B412" t="str">
        <f t="shared" si="37"/>
        <v/>
      </c>
      <c r="C412">
        <f t="shared" si="38"/>
        <v>1</v>
      </c>
      <c r="D412" s="4"/>
      <c r="E412" t="s">
        <v>18</v>
      </c>
      <c r="F412" t="str">
        <f>INDEX(Establishment!B$2:B$1005,MATCH($E412,Establishment!$A$2:$A$1005,0))</f>
        <v xml:space="preserve"> </v>
      </c>
      <c r="G412" t="str">
        <f>INDEX(Establishment!C$2:C$1005,MATCH($E412,Establishment!$A$2:$A$1005,0))</f>
        <v xml:space="preserve"> </v>
      </c>
      <c r="M412">
        <f t="shared" si="36"/>
        <v>0</v>
      </c>
      <c r="N412">
        <f t="shared" si="35"/>
        <v>0</v>
      </c>
      <c r="P412" t="e">
        <f>INDEX(Items!B$2:B$1032,MATCH($O412,Items!$A$2:$A$1032,0))</f>
        <v>#N/A</v>
      </c>
      <c r="Q412" t="e">
        <f>INDEX(Items!C$2:C$1032,MATCH($O412,Items!$A$2:$A$1032,0))</f>
        <v>#N/A</v>
      </c>
      <c r="R412" t="e">
        <f>INDEX(Items!D$2:D$1032,MATCH($O412,Items!$A$2:$A$1032,0))</f>
        <v>#N/A</v>
      </c>
    </row>
    <row r="413" spans="1:18" x14ac:dyDescent="0.25">
      <c r="A413">
        <f t="shared" si="34"/>
        <v>1</v>
      </c>
      <c r="B413" t="str">
        <f t="shared" si="37"/>
        <v/>
      </c>
      <c r="C413">
        <f t="shared" si="38"/>
        <v>1</v>
      </c>
      <c r="D413" s="4"/>
      <c r="E413" t="s">
        <v>18</v>
      </c>
      <c r="F413" t="str">
        <f>INDEX(Establishment!B$2:B$1005,MATCH($E413,Establishment!$A$2:$A$1005,0))</f>
        <v xml:space="preserve"> </v>
      </c>
      <c r="G413" t="str">
        <f>INDEX(Establishment!C$2:C$1005,MATCH($E413,Establishment!$A$2:$A$1005,0))</f>
        <v xml:space="preserve"> </v>
      </c>
      <c r="M413">
        <f t="shared" si="36"/>
        <v>0</v>
      </c>
      <c r="N413">
        <f t="shared" si="35"/>
        <v>0</v>
      </c>
      <c r="P413" t="e">
        <f>INDEX(Items!B$2:B$1032,MATCH($O413,Items!$A$2:$A$1032,0))</f>
        <v>#N/A</v>
      </c>
      <c r="Q413" t="e">
        <f>INDEX(Items!C$2:C$1032,MATCH($O413,Items!$A$2:$A$1032,0))</f>
        <v>#N/A</v>
      </c>
      <c r="R413" t="e">
        <f>INDEX(Items!D$2:D$1032,MATCH($O413,Items!$A$2:$A$1032,0))</f>
        <v>#N/A</v>
      </c>
    </row>
    <row r="414" spans="1:18" x14ac:dyDescent="0.25">
      <c r="A414">
        <f t="shared" si="34"/>
        <v>1</v>
      </c>
      <c r="B414" t="str">
        <f t="shared" si="37"/>
        <v/>
      </c>
      <c r="C414">
        <f t="shared" si="38"/>
        <v>1</v>
      </c>
      <c r="D414" s="4"/>
      <c r="E414" t="s">
        <v>18</v>
      </c>
      <c r="F414" t="str">
        <f>INDEX(Establishment!B$2:B$1005,MATCH($E414,Establishment!$A$2:$A$1005,0))</f>
        <v xml:space="preserve"> </v>
      </c>
      <c r="G414" t="str">
        <f>INDEX(Establishment!C$2:C$1005,MATCH($E414,Establishment!$A$2:$A$1005,0))</f>
        <v xml:space="preserve"> </v>
      </c>
      <c r="M414">
        <f t="shared" si="36"/>
        <v>0</v>
      </c>
      <c r="N414">
        <f t="shared" si="35"/>
        <v>0</v>
      </c>
      <c r="P414" t="e">
        <f>INDEX(Items!B$2:B$1032,MATCH($O414,Items!$A$2:$A$1032,0))</f>
        <v>#N/A</v>
      </c>
      <c r="Q414" t="e">
        <f>INDEX(Items!C$2:C$1032,MATCH($O414,Items!$A$2:$A$1032,0))</f>
        <v>#N/A</v>
      </c>
      <c r="R414" t="e">
        <f>INDEX(Items!D$2:D$1032,MATCH($O414,Items!$A$2:$A$1032,0))</f>
        <v>#N/A</v>
      </c>
    </row>
    <row r="415" spans="1:18" x14ac:dyDescent="0.25">
      <c r="A415">
        <f t="shared" si="34"/>
        <v>1</v>
      </c>
      <c r="B415" t="str">
        <f t="shared" si="37"/>
        <v/>
      </c>
      <c r="C415">
        <f t="shared" si="38"/>
        <v>1</v>
      </c>
      <c r="D415" s="4"/>
      <c r="E415" t="s">
        <v>18</v>
      </c>
      <c r="F415" t="str">
        <f>INDEX(Establishment!B$2:B$1005,MATCH($E415,Establishment!$A$2:$A$1005,0))</f>
        <v xml:space="preserve"> </v>
      </c>
      <c r="G415" t="str">
        <f>INDEX(Establishment!C$2:C$1005,MATCH($E415,Establishment!$A$2:$A$1005,0))</f>
        <v xml:space="preserve"> </v>
      </c>
      <c r="M415">
        <f t="shared" si="36"/>
        <v>0</v>
      </c>
      <c r="N415">
        <f t="shared" si="35"/>
        <v>0</v>
      </c>
      <c r="P415" t="e">
        <f>INDEX(Items!B$2:B$1032,MATCH($O415,Items!$A$2:$A$1032,0))</f>
        <v>#N/A</v>
      </c>
      <c r="Q415" t="e">
        <f>INDEX(Items!C$2:C$1032,MATCH($O415,Items!$A$2:$A$1032,0))</f>
        <v>#N/A</v>
      </c>
      <c r="R415" t="e">
        <f>INDEX(Items!D$2:D$1032,MATCH($O415,Items!$A$2:$A$1032,0))</f>
        <v>#N/A</v>
      </c>
    </row>
    <row r="416" spans="1:18" x14ac:dyDescent="0.25">
      <c r="A416">
        <f t="shared" si="34"/>
        <v>1</v>
      </c>
      <c r="B416" t="str">
        <f t="shared" si="37"/>
        <v/>
      </c>
      <c r="C416">
        <f t="shared" si="38"/>
        <v>1</v>
      </c>
      <c r="D416" s="4"/>
      <c r="E416" t="s">
        <v>18</v>
      </c>
      <c r="F416" t="str">
        <f>INDEX(Establishment!B$2:B$1005,MATCH($E416,Establishment!$A$2:$A$1005,0))</f>
        <v xml:space="preserve"> </v>
      </c>
      <c r="G416" t="str">
        <f>INDEX(Establishment!C$2:C$1005,MATCH($E416,Establishment!$A$2:$A$1005,0))</f>
        <v xml:space="preserve"> </v>
      </c>
      <c r="M416">
        <f t="shared" si="36"/>
        <v>0</v>
      </c>
      <c r="N416">
        <f t="shared" si="35"/>
        <v>0</v>
      </c>
      <c r="P416" t="e">
        <f>INDEX(Items!B$2:B$1032,MATCH($O416,Items!$A$2:$A$1032,0))</f>
        <v>#N/A</v>
      </c>
      <c r="Q416" t="e">
        <f>INDEX(Items!C$2:C$1032,MATCH($O416,Items!$A$2:$A$1032,0))</f>
        <v>#N/A</v>
      </c>
      <c r="R416" t="e">
        <f>INDEX(Items!D$2:D$1032,MATCH($O416,Items!$A$2:$A$1032,0))</f>
        <v>#N/A</v>
      </c>
    </row>
    <row r="417" spans="1:18" x14ac:dyDescent="0.25">
      <c r="A417">
        <f t="shared" si="34"/>
        <v>1</v>
      </c>
      <c r="B417" t="str">
        <f t="shared" si="37"/>
        <v/>
      </c>
      <c r="C417">
        <f t="shared" si="38"/>
        <v>1</v>
      </c>
      <c r="D417" s="4"/>
      <c r="E417" t="s">
        <v>18</v>
      </c>
      <c r="F417" t="str">
        <f>INDEX(Establishment!B$2:B$1005,MATCH($E417,Establishment!$A$2:$A$1005,0))</f>
        <v xml:space="preserve"> </v>
      </c>
      <c r="G417" t="str">
        <f>INDEX(Establishment!C$2:C$1005,MATCH($E417,Establishment!$A$2:$A$1005,0))</f>
        <v xml:space="preserve"> </v>
      </c>
      <c r="M417">
        <f t="shared" si="36"/>
        <v>0</v>
      </c>
      <c r="N417">
        <f t="shared" si="35"/>
        <v>0</v>
      </c>
      <c r="P417" t="e">
        <f>INDEX(Items!B$2:B$1032,MATCH($O417,Items!$A$2:$A$1032,0))</f>
        <v>#N/A</v>
      </c>
      <c r="Q417" t="e">
        <f>INDEX(Items!C$2:C$1032,MATCH($O417,Items!$A$2:$A$1032,0))</f>
        <v>#N/A</v>
      </c>
      <c r="R417" t="e">
        <f>INDEX(Items!D$2:D$1032,MATCH($O417,Items!$A$2:$A$1032,0))</f>
        <v>#N/A</v>
      </c>
    </row>
    <row r="418" spans="1:18" x14ac:dyDescent="0.25">
      <c r="A418">
        <f t="shared" si="34"/>
        <v>1</v>
      </c>
      <c r="B418" t="str">
        <f t="shared" si="37"/>
        <v/>
      </c>
      <c r="C418">
        <f t="shared" si="38"/>
        <v>1</v>
      </c>
      <c r="D418" s="4"/>
      <c r="E418" t="s">
        <v>18</v>
      </c>
      <c r="F418" t="str">
        <f>INDEX(Establishment!B$2:B$1005,MATCH($E418,Establishment!$A$2:$A$1005,0))</f>
        <v xml:space="preserve"> </v>
      </c>
      <c r="G418" t="str">
        <f>INDEX(Establishment!C$2:C$1005,MATCH($E418,Establishment!$A$2:$A$1005,0))</f>
        <v xml:space="preserve"> </v>
      </c>
      <c r="M418">
        <f t="shared" si="36"/>
        <v>0</v>
      </c>
      <c r="N418">
        <f t="shared" si="35"/>
        <v>0</v>
      </c>
      <c r="P418" t="e">
        <f>INDEX(Items!B$2:B$1032,MATCH($O418,Items!$A$2:$A$1032,0))</f>
        <v>#N/A</v>
      </c>
      <c r="Q418" t="e">
        <f>INDEX(Items!C$2:C$1032,MATCH($O418,Items!$A$2:$A$1032,0))</f>
        <v>#N/A</v>
      </c>
      <c r="R418" t="e">
        <f>INDEX(Items!D$2:D$1032,MATCH($O418,Items!$A$2:$A$1032,0))</f>
        <v>#N/A</v>
      </c>
    </row>
    <row r="419" spans="1:18" x14ac:dyDescent="0.25">
      <c r="A419">
        <f t="shared" si="34"/>
        <v>1</v>
      </c>
      <c r="B419" t="str">
        <f t="shared" si="37"/>
        <v/>
      </c>
      <c r="C419">
        <f t="shared" si="38"/>
        <v>1</v>
      </c>
      <c r="D419" s="4"/>
      <c r="E419" t="s">
        <v>18</v>
      </c>
      <c r="F419" t="str">
        <f>INDEX(Establishment!B$2:B$1005,MATCH($E419,Establishment!$A$2:$A$1005,0))</f>
        <v xml:space="preserve"> </v>
      </c>
      <c r="G419" t="str">
        <f>INDEX(Establishment!C$2:C$1005,MATCH($E419,Establishment!$A$2:$A$1005,0))</f>
        <v xml:space="preserve"> </v>
      </c>
      <c r="M419">
        <f t="shared" si="36"/>
        <v>0</v>
      </c>
      <c r="N419">
        <f t="shared" si="35"/>
        <v>0</v>
      </c>
      <c r="P419" t="e">
        <f>INDEX(Items!B$2:B$1032,MATCH($O419,Items!$A$2:$A$1032,0))</f>
        <v>#N/A</v>
      </c>
      <c r="Q419" t="e">
        <f>INDEX(Items!C$2:C$1032,MATCH($O419,Items!$A$2:$A$1032,0))</f>
        <v>#N/A</v>
      </c>
      <c r="R419" t="e">
        <f>INDEX(Items!D$2:D$1032,MATCH($O419,Items!$A$2:$A$1032,0))</f>
        <v>#N/A</v>
      </c>
    </row>
    <row r="420" spans="1:18" x14ac:dyDescent="0.25">
      <c r="A420">
        <f t="shared" si="34"/>
        <v>1</v>
      </c>
      <c r="B420" t="str">
        <f t="shared" si="37"/>
        <v/>
      </c>
      <c r="C420">
        <f t="shared" si="38"/>
        <v>1</v>
      </c>
      <c r="D420" s="4"/>
      <c r="E420" t="s">
        <v>18</v>
      </c>
      <c r="F420" t="str">
        <f>INDEX(Establishment!B$2:B$1005,MATCH($E420,Establishment!$A$2:$A$1005,0))</f>
        <v xml:space="preserve"> </v>
      </c>
      <c r="G420" t="str">
        <f>INDEX(Establishment!C$2:C$1005,MATCH($E420,Establishment!$A$2:$A$1005,0))</f>
        <v xml:space="preserve"> </v>
      </c>
      <c r="M420">
        <f t="shared" si="36"/>
        <v>0</v>
      </c>
      <c r="N420">
        <f t="shared" si="35"/>
        <v>0</v>
      </c>
      <c r="P420" t="e">
        <f>INDEX(Items!B$2:B$1032,MATCH($O420,Items!$A$2:$A$1032,0))</f>
        <v>#N/A</v>
      </c>
      <c r="Q420" t="e">
        <f>INDEX(Items!C$2:C$1032,MATCH($O420,Items!$A$2:$A$1032,0))</f>
        <v>#N/A</v>
      </c>
      <c r="R420" t="e">
        <f>INDEX(Items!D$2:D$1032,MATCH($O420,Items!$A$2:$A$1032,0))</f>
        <v>#N/A</v>
      </c>
    </row>
    <row r="421" spans="1:18" x14ac:dyDescent="0.25">
      <c r="A421">
        <f t="shared" si="34"/>
        <v>1</v>
      </c>
      <c r="B421" t="str">
        <f t="shared" si="37"/>
        <v/>
      </c>
      <c r="C421">
        <f t="shared" si="38"/>
        <v>1</v>
      </c>
      <c r="D421" s="4"/>
      <c r="E421" t="s">
        <v>18</v>
      </c>
      <c r="F421" t="str">
        <f>INDEX(Establishment!B$2:B$1005,MATCH($E421,Establishment!$A$2:$A$1005,0))</f>
        <v xml:space="preserve"> </v>
      </c>
      <c r="G421" t="str">
        <f>INDEX(Establishment!C$2:C$1005,MATCH($E421,Establishment!$A$2:$A$1005,0))</f>
        <v xml:space="preserve"> </v>
      </c>
      <c r="M421">
        <f t="shared" si="36"/>
        <v>0</v>
      </c>
      <c r="N421">
        <f t="shared" si="35"/>
        <v>0</v>
      </c>
      <c r="P421" t="e">
        <f>INDEX(Items!B$2:B$1032,MATCH($O421,Items!$A$2:$A$1032,0))</f>
        <v>#N/A</v>
      </c>
      <c r="Q421" t="e">
        <f>INDEX(Items!C$2:C$1032,MATCH($O421,Items!$A$2:$A$1032,0))</f>
        <v>#N/A</v>
      </c>
      <c r="R421" t="e">
        <f>INDEX(Items!D$2:D$1032,MATCH($O421,Items!$A$2:$A$1032,0))</f>
        <v>#N/A</v>
      </c>
    </row>
    <row r="422" spans="1:18" x14ac:dyDescent="0.25">
      <c r="A422">
        <f t="shared" si="34"/>
        <v>1</v>
      </c>
      <c r="B422" t="str">
        <f t="shared" si="37"/>
        <v/>
      </c>
      <c r="C422">
        <f t="shared" si="38"/>
        <v>1</v>
      </c>
      <c r="D422" s="4"/>
      <c r="E422" t="s">
        <v>18</v>
      </c>
      <c r="F422" t="str">
        <f>INDEX(Establishment!B$2:B$1005,MATCH($E422,Establishment!$A$2:$A$1005,0))</f>
        <v xml:space="preserve"> </v>
      </c>
      <c r="G422" t="str">
        <f>INDEX(Establishment!C$2:C$1005,MATCH($E422,Establishment!$A$2:$A$1005,0))</f>
        <v xml:space="preserve"> </v>
      </c>
      <c r="M422">
        <f t="shared" si="36"/>
        <v>0</v>
      </c>
      <c r="N422">
        <f t="shared" si="35"/>
        <v>0</v>
      </c>
      <c r="P422" t="e">
        <f>INDEX(Items!B$2:B$1032,MATCH($O422,Items!$A$2:$A$1032,0))</f>
        <v>#N/A</v>
      </c>
      <c r="Q422" t="e">
        <f>INDEX(Items!C$2:C$1032,MATCH($O422,Items!$A$2:$A$1032,0))</f>
        <v>#N/A</v>
      </c>
      <c r="R422" t="e">
        <f>INDEX(Items!D$2:D$1032,MATCH($O422,Items!$A$2:$A$1032,0))</f>
        <v>#N/A</v>
      </c>
    </row>
    <row r="423" spans="1:18" x14ac:dyDescent="0.25">
      <c r="A423">
        <f t="shared" si="34"/>
        <v>1</v>
      </c>
      <c r="B423" t="str">
        <f t="shared" si="37"/>
        <v/>
      </c>
      <c r="C423">
        <f t="shared" si="38"/>
        <v>1</v>
      </c>
      <c r="D423" s="4"/>
      <c r="E423" t="s">
        <v>18</v>
      </c>
      <c r="F423" t="str">
        <f>INDEX(Establishment!B$2:B$1005,MATCH($E423,Establishment!$A$2:$A$1005,0))</f>
        <v xml:space="preserve"> </v>
      </c>
      <c r="G423" t="str">
        <f>INDEX(Establishment!C$2:C$1005,MATCH($E423,Establishment!$A$2:$A$1005,0))</f>
        <v xml:space="preserve"> </v>
      </c>
      <c r="M423">
        <f t="shared" si="36"/>
        <v>0</v>
      </c>
      <c r="N423">
        <f t="shared" si="35"/>
        <v>0</v>
      </c>
      <c r="P423" t="e">
        <f>INDEX(Items!B$2:B$1032,MATCH($O423,Items!$A$2:$A$1032,0))</f>
        <v>#N/A</v>
      </c>
      <c r="Q423" t="e">
        <f>INDEX(Items!C$2:C$1032,MATCH($O423,Items!$A$2:$A$1032,0))</f>
        <v>#N/A</v>
      </c>
      <c r="R423" t="e">
        <f>INDEX(Items!D$2:D$1032,MATCH($O423,Items!$A$2:$A$1032,0))</f>
        <v>#N/A</v>
      </c>
    </row>
    <row r="424" spans="1:18" x14ac:dyDescent="0.25">
      <c r="A424">
        <f t="shared" si="34"/>
        <v>1</v>
      </c>
      <c r="B424" t="str">
        <f t="shared" si="37"/>
        <v/>
      </c>
      <c r="C424">
        <f t="shared" si="38"/>
        <v>1</v>
      </c>
      <c r="D424" s="4"/>
      <c r="E424" t="s">
        <v>18</v>
      </c>
      <c r="F424" t="str">
        <f>INDEX(Establishment!B$2:B$1005,MATCH($E424,Establishment!$A$2:$A$1005,0))</f>
        <v xml:space="preserve"> </v>
      </c>
      <c r="G424" t="str">
        <f>INDEX(Establishment!C$2:C$1005,MATCH($E424,Establishment!$A$2:$A$1005,0))</f>
        <v xml:space="preserve"> </v>
      </c>
      <c r="M424">
        <f t="shared" si="36"/>
        <v>0</v>
      </c>
      <c r="N424">
        <f t="shared" si="35"/>
        <v>0</v>
      </c>
      <c r="P424" t="e">
        <f>INDEX(Items!B$2:B$1032,MATCH($O424,Items!$A$2:$A$1032,0))</f>
        <v>#N/A</v>
      </c>
      <c r="Q424" t="e">
        <f>INDEX(Items!C$2:C$1032,MATCH($O424,Items!$A$2:$A$1032,0))</f>
        <v>#N/A</v>
      </c>
      <c r="R424" t="e">
        <f>INDEX(Items!D$2:D$1032,MATCH($O424,Items!$A$2:$A$1032,0))</f>
        <v>#N/A</v>
      </c>
    </row>
    <row r="425" spans="1:18" x14ac:dyDescent="0.25">
      <c r="A425">
        <f t="shared" si="34"/>
        <v>1</v>
      </c>
      <c r="B425" t="str">
        <f t="shared" si="37"/>
        <v/>
      </c>
      <c r="C425">
        <f t="shared" si="38"/>
        <v>1</v>
      </c>
      <c r="D425" s="4"/>
      <c r="E425" t="s">
        <v>18</v>
      </c>
      <c r="F425" t="str">
        <f>INDEX(Establishment!B$2:B$1005,MATCH($E425,Establishment!$A$2:$A$1005,0))</f>
        <v xml:space="preserve"> </v>
      </c>
      <c r="G425" t="str">
        <f>INDEX(Establishment!C$2:C$1005,MATCH($E425,Establishment!$A$2:$A$1005,0))</f>
        <v xml:space="preserve"> </v>
      </c>
      <c r="M425">
        <f t="shared" si="36"/>
        <v>0</v>
      </c>
      <c r="N425">
        <f t="shared" si="35"/>
        <v>0</v>
      </c>
      <c r="P425" t="e">
        <f>INDEX(Items!B$2:B$1032,MATCH($O425,Items!$A$2:$A$1032,0))</f>
        <v>#N/A</v>
      </c>
      <c r="Q425" t="e">
        <f>INDEX(Items!C$2:C$1032,MATCH($O425,Items!$A$2:$A$1032,0))</f>
        <v>#N/A</v>
      </c>
      <c r="R425" t="e">
        <f>INDEX(Items!D$2:D$1032,MATCH($O425,Items!$A$2:$A$1032,0))</f>
        <v>#N/A</v>
      </c>
    </row>
    <row r="426" spans="1:18" x14ac:dyDescent="0.25">
      <c r="A426">
        <f t="shared" si="34"/>
        <v>1</v>
      </c>
      <c r="B426" t="str">
        <f t="shared" si="37"/>
        <v/>
      </c>
      <c r="C426">
        <f t="shared" si="38"/>
        <v>1</v>
      </c>
      <c r="D426" s="4"/>
      <c r="E426" t="s">
        <v>18</v>
      </c>
      <c r="F426" t="str">
        <f>INDEX(Establishment!B$2:B$1005,MATCH($E426,Establishment!$A$2:$A$1005,0))</f>
        <v xml:space="preserve"> </v>
      </c>
      <c r="G426" t="str">
        <f>INDEX(Establishment!C$2:C$1005,MATCH($E426,Establishment!$A$2:$A$1005,0))</f>
        <v xml:space="preserve"> </v>
      </c>
      <c r="M426">
        <f t="shared" si="36"/>
        <v>0</v>
      </c>
      <c r="N426">
        <f t="shared" si="35"/>
        <v>0</v>
      </c>
      <c r="P426" t="e">
        <f>INDEX(Items!B$2:B$1032,MATCH($O426,Items!$A$2:$A$1032,0))</f>
        <v>#N/A</v>
      </c>
      <c r="Q426" t="e">
        <f>INDEX(Items!C$2:C$1032,MATCH($O426,Items!$A$2:$A$1032,0))</f>
        <v>#N/A</v>
      </c>
      <c r="R426" t="e">
        <f>INDEX(Items!D$2:D$1032,MATCH($O426,Items!$A$2:$A$1032,0))</f>
        <v>#N/A</v>
      </c>
    </row>
    <row r="427" spans="1:18" x14ac:dyDescent="0.25">
      <c r="A427">
        <f t="shared" si="34"/>
        <v>1</v>
      </c>
      <c r="B427" t="str">
        <f t="shared" si="37"/>
        <v/>
      </c>
      <c r="C427">
        <f t="shared" si="38"/>
        <v>1</v>
      </c>
      <c r="D427" s="4"/>
      <c r="E427" t="s">
        <v>18</v>
      </c>
      <c r="F427" t="str">
        <f>INDEX(Establishment!B$2:B$1005,MATCH($E427,Establishment!$A$2:$A$1005,0))</f>
        <v xml:space="preserve"> </v>
      </c>
      <c r="G427" t="str">
        <f>INDEX(Establishment!C$2:C$1005,MATCH($E427,Establishment!$A$2:$A$1005,0))</f>
        <v xml:space="preserve"> </v>
      </c>
      <c r="M427">
        <f t="shared" si="36"/>
        <v>0</v>
      </c>
      <c r="N427">
        <f t="shared" si="35"/>
        <v>0</v>
      </c>
      <c r="P427" t="e">
        <f>INDEX(Items!B$2:B$1032,MATCH($O427,Items!$A$2:$A$1032,0))</f>
        <v>#N/A</v>
      </c>
      <c r="Q427" t="e">
        <f>INDEX(Items!C$2:C$1032,MATCH($O427,Items!$A$2:$A$1032,0))</f>
        <v>#N/A</v>
      </c>
      <c r="R427" t="e">
        <f>INDEX(Items!D$2:D$1032,MATCH($O427,Items!$A$2:$A$1032,0))</f>
        <v>#N/A</v>
      </c>
    </row>
    <row r="428" spans="1:18" x14ac:dyDescent="0.25">
      <c r="A428">
        <f t="shared" si="34"/>
        <v>1</v>
      </c>
      <c r="B428" t="str">
        <f t="shared" si="37"/>
        <v/>
      </c>
      <c r="C428">
        <f t="shared" si="38"/>
        <v>1</v>
      </c>
      <c r="D428" s="4"/>
      <c r="E428" t="s">
        <v>18</v>
      </c>
      <c r="F428" t="str">
        <f>INDEX(Establishment!B$2:B$1005,MATCH($E428,Establishment!$A$2:$A$1005,0))</f>
        <v xml:space="preserve"> </v>
      </c>
      <c r="G428" t="str">
        <f>INDEX(Establishment!C$2:C$1005,MATCH($E428,Establishment!$A$2:$A$1005,0))</f>
        <v xml:space="preserve"> </v>
      </c>
      <c r="M428">
        <f t="shared" si="36"/>
        <v>0</v>
      </c>
      <c r="N428">
        <f t="shared" si="35"/>
        <v>0</v>
      </c>
      <c r="P428" t="e">
        <f>INDEX(Items!B$2:B$1032,MATCH($O428,Items!$A$2:$A$1032,0))</f>
        <v>#N/A</v>
      </c>
      <c r="Q428" t="e">
        <f>INDEX(Items!C$2:C$1032,MATCH($O428,Items!$A$2:$A$1032,0))</f>
        <v>#N/A</v>
      </c>
      <c r="R428" t="e">
        <f>INDEX(Items!D$2:D$1032,MATCH($O428,Items!$A$2:$A$1032,0))</f>
        <v>#N/A</v>
      </c>
    </row>
    <row r="429" spans="1:18" x14ac:dyDescent="0.25">
      <c r="A429">
        <f t="shared" si="34"/>
        <v>1</v>
      </c>
      <c r="B429" t="str">
        <f t="shared" si="37"/>
        <v/>
      </c>
      <c r="C429">
        <f t="shared" si="38"/>
        <v>1</v>
      </c>
      <c r="D429" s="4"/>
      <c r="E429" t="s">
        <v>18</v>
      </c>
      <c r="F429" t="str">
        <f>INDEX(Establishment!B$2:B$1005,MATCH($E429,Establishment!$A$2:$A$1005,0))</f>
        <v xml:space="preserve"> </v>
      </c>
      <c r="G429" t="str">
        <f>INDEX(Establishment!C$2:C$1005,MATCH($E429,Establishment!$A$2:$A$1005,0))</f>
        <v xml:space="preserve"> </v>
      </c>
      <c r="M429">
        <f t="shared" si="36"/>
        <v>0</v>
      </c>
      <c r="N429">
        <f t="shared" si="35"/>
        <v>0</v>
      </c>
      <c r="P429" t="e">
        <f>INDEX(Items!B$2:B$1032,MATCH($O429,Items!$A$2:$A$1032,0))</f>
        <v>#N/A</v>
      </c>
      <c r="Q429" t="e">
        <f>INDEX(Items!C$2:C$1032,MATCH($O429,Items!$A$2:$A$1032,0))</f>
        <v>#N/A</v>
      </c>
      <c r="R429" t="e">
        <f>INDEX(Items!D$2:D$1032,MATCH($O429,Items!$A$2:$A$1032,0))</f>
        <v>#N/A</v>
      </c>
    </row>
    <row r="430" spans="1:18" x14ac:dyDescent="0.25">
      <c r="A430">
        <f t="shared" si="34"/>
        <v>1</v>
      </c>
      <c r="B430" t="str">
        <f t="shared" si="37"/>
        <v/>
      </c>
      <c r="C430">
        <f t="shared" si="38"/>
        <v>1</v>
      </c>
      <c r="D430" s="4"/>
      <c r="E430" t="s">
        <v>18</v>
      </c>
      <c r="F430" t="str">
        <f>INDEX(Establishment!B$2:B$1005,MATCH($E430,Establishment!$A$2:$A$1005,0))</f>
        <v xml:space="preserve"> </v>
      </c>
      <c r="G430" t="str">
        <f>INDEX(Establishment!C$2:C$1005,MATCH($E430,Establishment!$A$2:$A$1005,0))</f>
        <v xml:space="preserve"> </v>
      </c>
      <c r="M430">
        <f t="shared" si="36"/>
        <v>0</v>
      </c>
      <c r="N430">
        <f t="shared" si="35"/>
        <v>0</v>
      </c>
      <c r="P430" t="e">
        <f>INDEX(Items!B$2:B$1032,MATCH($O430,Items!$A$2:$A$1032,0))</f>
        <v>#N/A</v>
      </c>
      <c r="Q430" t="e">
        <f>INDEX(Items!C$2:C$1032,MATCH($O430,Items!$A$2:$A$1032,0))</f>
        <v>#N/A</v>
      </c>
      <c r="R430" t="e">
        <f>INDEX(Items!D$2:D$1032,MATCH($O430,Items!$A$2:$A$1032,0))</f>
        <v>#N/A</v>
      </c>
    </row>
    <row r="431" spans="1:18" x14ac:dyDescent="0.25">
      <c r="A431">
        <f t="shared" si="34"/>
        <v>1</v>
      </c>
      <c r="B431" t="str">
        <f t="shared" si="37"/>
        <v/>
      </c>
      <c r="C431">
        <f t="shared" si="38"/>
        <v>1</v>
      </c>
      <c r="D431" s="4"/>
      <c r="E431" t="s">
        <v>18</v>
      </c>
      <c r="F431" t="str">
        <f>INDEX(Establishment!B$2:B$1005,MATCH($E431,Establishment!$A$2:$A$1005,0))</f>
        <v xml:space="preserve"> </v>
      </c>
      <c r="G431" t="str">
        <f>INDEX(Establishment!C$2:C$1005,MATCH($E431,Establishment!$A$2:$A$1005,0))</f>
        <v xml:space="preserve"> </v>
      </c>
      <c r="M431">
        <f t="shared" si="36"/>
        <v>0</v>
      </c>
      <c r="N431">
        <f t="shared" si="35"/>
        <v>0</v>
      </c>
      <c r="P431" t="e">
        <f>INDEX(Items!B$2:B$1032,MATCH($O431,Items!$A$2:$A$1032,0))</f>
        <v>#N/A</v>
      </c>
      <c r="Q431" t="e">
        <f>INDEX(Items!C$2:C$1032,MATCH($O431,Items!$A$2:$A$1032,0))</f>
        <v>#N/A</v>
      </c>
      <c r="R431" t="e">
        <f>INDEX(Items!D$2:D$1032,MATCH($O431,Items!$A$2:$A$1032,0))</f>
        <v>#N/A</v>
      </c>
    </row>
    <row r="432" spans="1:18" x14ac:dyDescent="0.25">
      <c r="A432">
        <f t="shared" si="34"/>
        <v>1</v>
      </c>
      <c r="B432" t="str">
        <f t="shared" si="37"/>
        <v/>
      </c>
      <c r="C432">
        <f t="shared" si="38"/>
        <v>1</v>
      </c>
      <c r="D432" s="4"/>
      <c r="E432" t="s">
        <v>18</v>
      </c>
      <c r="F432" t="str">
        <f>INDEX(Establishment!B$2:B$1005,MATCH($E432,Establishment!$A$2:$A$1005,0))</f>
        <v xml:space="preserve"> </v>
      </c>
      <c r="G432" t="str">
        <f>INDEX(Establishment!C$2:C$1005,MATCH($E432,Establishment!$A$2:$A$1005,0))</f>
        <v xml:space="preserve"> </v>
      </c>
      <c r="M432">
        <f t="shared" si="36"/>
        <v>0</v>
      </c>
      <c r="N432">
        <f t="shared" si="35"/>
        <v>0</v>
      </c>
      <c r="P432" t="e">
        <f>INDEX(Items!B$2:B$1032,MATCH($O432,Items!$A$2:$A$1032,0))</f>
        <v>#N/A</v>
      </c>
      <c r="Q432" t="e">
        <f>INDEX(Items!C$2:C$1032,MATCH($O432,Items!$A$2:$A$1032,0))</f>
        <v>#N/A</v>
      </c>
      <c r="R432" t="e">
        <f>INDEX(Items!D$2:D$1032,MATCH($O432,Items!$A$2:$A$1032,0))</f>
        <v>#N/A</v>
      </c>
    </row>
    <row r="433" spans="1:18" x14ac:dyDescent="0.25">
      <c r="A433">
        <f t="shared" si="34"/>
        <v>1</v>
      </c>
      <c r="B433" t="str">
        <f t="shared" si="37"/>
        <v/>
      </c>
      <c r="C433">
        <f t="shared" si="38"/>
        <v>1</v>
      </c>
      <c r="D433" s="4"/>
      <c r="E433" t="s">
        <v>18</v>
      </c>
      <c r="F433" t="str">
        <f>INDEX(Establishment!B$2:B$1005,MATCH($E433,Establishment!$A$2:$A$1005,0))</f>
        <v xml:space="preserve"> </v>
      </c>
      <c r="G433" t="str">
        <f>INDEX(Establishment!C$2:C$1005,MATCH($E433,Establishment!$A$2:$A$1005,0))</f>
        <v xml:space="preserve"> </v>
      </c>
      <c r="M433">
        <f t="shared" si="36"/>
        <v>0</v>
      </c>
      <c r="N433">
        <f t="shared" si="35"/>
        <v>0</v>
      </c>
      <c r="P433" t="e">
        <f>INDEX(Items!B$2:B$1032,MATCH($O433,Items!$A$2:$A$1032,0))</f>
        <v>#N/A</v>
      </c>
      <c r="Q433" t="e">
        <f>INDEX(Items!C$2:C$1032,MATCH($O433,Items!$A$2:$A$1032,0))</f>
        <v>#N/A</v>
      </c>
      <c r="R433" t="e">
        <f>INDEX(Items!D$2:D$1032,MATCH($O433,Items!$A$2:$A$1032,0))</f>
        <v>#N/A</v>
      </c>
    </row>
    <row r="434" spans="1:18" x14ac:dyDescent="0.25">
      <c r="A434">
        <f t="shared" si="34"/>
        <v>1</v>
      </c>
      <c r="B434" t="str">
        <f t="shared" si="37"/>
        <v/>
      </c>
      <c r="C434">
        <f t="shared" si="38"/>
        <v>1</v>
      </c>
      <c r="D434" s="4"/>
      <c r="E434" t="s">
        <v>18</v>
      </c>
      <c r="F434" t="str">
        <f>INDEX(Establishment!B$2:B$1005,MATCH($E434,Establishment!$A$2:$A$1005,0))</f>
        <v xml:space="preserve"> </v>
      </c>
      <c r="G434" t="str">
        <f>INDEX(Establishment!C$2:C$1005,MATCH($E434,Establishment!$A$2:$A$1005,0))</f>
        <v xml:space="preserve"> </v>
      </c>
      <c r="M434">
        <f t="shared" si="36"/>
        <v>0</v>
      </c>
      <c r="N434">
        <f t="shared" si="35"/>
        <v>0</v>
      </c>
      <c r="P434" t="e">
        <f>INDEX(Items!B$2:B$1032,MATCH($O434,Items!$A$2:$A$1032,0))</f>
        <v>#N/A</v>
      </c>
      <c r="Q434" t="e">
        <f>INDEX(Items!C$2:C$1032,MATCH($O434,Items!$A$2:$A$1032,0))</f>
        <v>#N/A</v>
      </c>
      <c r="R434" t="e">
        <f>INDEX(Items!D$2:D$1032,MATCH($O434,Items!$A$2:$A$1032,0))</f>
        <v>#N/A</v>
      </c>
    </row>
    <row r="435" spans="1:18" x14ac:dyDescent="0.25">
      <c r="A435">
        <f t="shared" si="34"/>
        <v>1</v>
      </c>
      <c r="B435" t="str">
        <f t="shared" si="37"/>
        <v/>
      </c>
      <c r="C435">
        <f t="shared" si="38"/>
        <v>1</v>
      </c>
      <c r="D435" s="4"/>
      <c r="E435" t="s">
        <v>18</v>
      </c>
      <c r="F435" t="str">
        <f>INDEX(Establishment!B$2:B$1005,MATCH($E435,Establishment!$A$2:$A$1005,0))</f>
        <v xml:space="preserve"> </v>
      </c>
      <c r="G435" t="str">
        <f>INDEX(Establishment!C$2:C$1005,MATCH($E435,Establishment!$A$2:$A$1005,0))</f>
        <v xml:space="preserve"> </v>
      </c>
      <c r="M435">
        <f t="shared" si="36"/>
        <v>0</v>
      </c>
      <c r="N435">
        <f t="shared" si="35"/>
        <v>0</v>
      </c>
      <c r="P435" t="e">
        <f>INDEX(Items!B$2:B$1032,MATCH($O435,Items!$A$2:$A$1032,0))</f>
        <v>#N/A</v>
      </c>
      <c r="Q435" t="e">
        <f>INDEX(Items!C$2:C$1032,MATCH($O435,Items!$A$2:$A$1032,0))</f>
        <v>#N/A</v>
      </c>
      <c r="R435" t="e">
        <f>INDEX(Items!D$2:D$1032,MATCH($O435,Items!$A$2:$A$1032,0))</f>
        <v>#N/A</v>
      </c>
    </row>
    <row r="436" spans="1:18" x14ac:dyDescent="0.25">
      <c r="A436">
        <f t="shared" si="34"/>
        <v>1</v>
      </c>
      <c r="B436" t="str">
        <f t="shared" si="37"/>
        <v/>
      </c>
      <c r="C436">
        <f t="shared" si="38"/>
        <v>1</v>
      </c>
      <c r="D436" s="4"/>
      <c r="E436" t="s">
        <v>18</v>
      </c>
      <c r="F436" t="str">
        <f>INDEX(Establishment!B$2:B$1005,MATCH($E436,Establishment!$A$2:$A$1005,0))</f>
        <v xml:space="preserve"> </v>
      </c>
      <c r="G436" t="str">
        <f>INDEX(Establishment!C$2:C$1005,MATCH($E436,Establishment!$A$2:$A$1005,0))</f>
        <v xml:space="preserve"> </v>
      </c>
      <c r="M436">
        <f t="shared" si="36"/>
        <v>0</v>
      </c>
      <c r="N436">
        <f t="shared" si="35"/>
        <v>0</v>
      </c>
      <c r="P436" t="e">
        <f>INDEX(Items!B$2:B$1032,MATCH($O436,Items!$A$2:$A$1032,0))</f>
        <v>#N/A</v>
      </c>
      <c r="Q436" t="e">
        <f>INDEX(Items!C$2:C$1032,MATCH($O436,Items!$A$2:$A$1032,0))</f>
        <v>#N/A</v>
      </c>
      <c r="R436" t="e">
        <f>INDEX(Items!D$2:D$1032,MATCH($O436,Items!$A$2:$A$1032,0))</f>
        <v>#N/A</v>
      </c>
    </row>
    <row r="437" spans="1:18" x14ac:dyDescent="0.25">
      <c r="A437">
        <f t="shared" si="34"/>
        <v>1</v>
      </c>
      <c r="B437" t="str">
        <f t="shared" si="37"/>
        <v/>
      </c>
      <c r="C437">
        <f t="shared" si="38"/>
        <v>1</v>
      </c>
      <c r="D437" s="4"/>
      <c r="E437" t="s">
        <v>18</v>
      </c>
      <c r="F437" t="str">
        <f>INDEX(Establishment!B$2:B$1005,MATCH($E437,Establishment!$A$2:$A$1005,0))</f>
        <v xml:space="preserve"> </v>
      </c>
      <c r="G437" t="str">
        <f>INDEX(Establishment!C$2:C$1005,MATCH($E437,Establishment!$A$2:$A$1005,0))</f>
        <v xml:space="preserve"> </v>
      </c>
      <c r="M437">
        <f t="shared" si="36"/>
        <v>0</v>
      </c>
      <c r="N437">
        <f t="shared" si="35"/>
        <v>0</v>
      </c>
      <c r="P437" t="e">
        <f>INDEX(Items!B$2:B$1032,MATCH($O437,Items!$A$2:$A$1032,0))</f>
        <v>#N/A</v>
      </c>
      <c r="Q437" t="e">
        <f>INDEX(Items!C$2:C$1032,MATCH($O437,Items!$A$2:$A$1032,0))</f>
        <v>#N/A</v>
      </c>
      <c r="R437" t="e">
        <f>INDEX(Items!D$2:D$1032,MATCH($O437,Items!$A$2:$A$1032,0))</f>
        <v>#N/A</v>
      </c>
    </row>
    <row r="438" spans="1:18" x14ac:dyDescent="0.25">
      <c r="A438">
        <f t="shared" si="34"/>
        <v>1</v>
      </c>
      <c r="B438" t="str">
        <f t="shared" si="37"/>
        <v/>
      </c>
      <c r="C438">
        <f t="shared" si="38"/>
        <v>1</v>
      </c>
      <c r="D438" s="4"/>
      <c r="E438" t="s">
        <v>18</v>
      </c>
      <c r="F438" t="str">
        <f>INDEX(Establishment!B$2:B$1005,MATCH($E438,Establishment!$A$2:$A$1005,0))</f>
        <v xml:space="preserve"> </v>
      </c>
      <c r="G438" t="str">
        <f>INDEX(Establishment!C$2:C$1005,MATCH($E438,Establishment!$A$2:$A$1005,0))</f>
        <v xml:space="preserve"> </v>
      </c>
      <c r="M438">
        <f t="shared" si="36"/>
        <v>0</v>
      </c>
      <c r="N438">
        <f t="shared" si="35"/>
        <v>0</v>
      </c>
      <c r="P438" t="e">
        <f>INDEX(Items!B$2:B$1032,MATCH($O438,Items!$A$2:$A$1032,0))</f>
        <v>#N/A</v>
      </c>
      <c r="Q438" t="e">
        <f>INDEX(Items!C$2:C$1032,MATCH($O438,Items!$A$2:$A$1032,0))</f>
        <v>#N/A</v>
      </c>
      <c r="R438" t="e">
        <f>INDEX(Items!D$2:D$1032,MATCH($O438,Items!$A$2:$A$1032,0))</f>
        <v>#N/A</v>
      </c>
    </row>
    <row r="439" spans="1:18" x14ac:dyDescent="0.25">
      <c r="A439">
        <f t="shared" si="34"/>
        <v>1</v>
      </c>
      <c r="B439" t="str">
        <f t="shared" si="37"/>
        <v/>
      </c>
      <c r="C439">
        <f t="shared" si="38"/>
        <v>1</v>
      </c>
      <c r="D439" s="4"/>
      <c r="E439" t="s">
        <v>18</v>
      </c>
      <c r="F439" t="str">
        <f>INDEX(Establishment!B$2:B$1005,MATCH($E439,Establishment!$A$2:$A$1005,0))</f>
        <v xml:space="preserve"> </v>
      </c>
      <c r="G439" t="str">
        <f>INDEX(Establishment!C$2:C$1005,MATCH($E439,Establishment!$A$2:$A$1005,0))</f>
        <v xml:space="preserve"> </v>
      </c>
      <c r="M439">
        <f t="shared" si="36"/>
        <v>0</v>
      </c>
      <c r="N439">
        <f t="shared" si="35"/>
        <v>0</v>
      </c>
      <c r="P439" t="e">
        <f>INDEX(Items!B$2:B$1032,MATCH($O439,Items!$A$2:$A$1032,0))</f>
        <v>#N/A</v>
      </c>
      <c r="Q439" t="e">
        <f>INDEX(Items!C$2:C$1032,MATCH($O439,Items!$A$2:$A$1032,0))</f>
        <v>#N/A</v>
      </c>
      <c r="R439" t="e">
        <f>INDEX(Items!D$2:D$1032,MATCH($O439,Items!$A$2:$A$1032,0))</f>
        <v>#N/A</v>
      </c>
    </row>
    <row r="440" spans="1:18" x14ac:dyDescent="0.25">
      <c r="A440">
        <f t="shared" si="34"/>
        <v>1</v>
      </c>
      <c r="B440" t="str">
        <f t="shared" si="37"/>
        <v/>
      </c>
      <c r="C440">
        <f t="shared" si="38"/>
        <v>1</v>
      </c>
      <c r="D440" s="4"/>
      <c r="E440" t="s">
        <v>18</v>
      </c>
      <c r="F440" t="str">
        <f>INDEX(Establishment!B$2:B$1005,MATCH($E440,Establishment!$A$2:$A$1005,0))</f>
        <v xml:space="preserve"> </v>
      </c>
      <c r="G440" t="str">
        <f>INDEX(Establishment!C$2:C$1005,MATCH($E440,Establishment!$A$2:$A$1005,0))</f>
        <v xml:space="preserve"> </v>
      </c>
      <c r="M440">
        <f t="shared" si="36"/>
        <v>0</v>
      </c>
      <c r="N440">
        <f t="shared" si="35"/>
        <v>0</v>
      </c>
      <c r="P440" t="e">
        <f>INDEX(Items!B$2:B$1032,MATCH($O440,Items!$A$2:$A$1032,0))</f>
        <v>#N/A</v>
      </c>
      <c r="Q440" t="e">
        <f>INDEX(Items!C$2:C$1032,MATCH($O440,Items!$A$2:$A$1032,0))</f>
        <v>#N/A</v>
      </c>
      <c r="R440" t="e">
        <f>INDEX(Items!D$2:D$1032,MATCH($O440,Items!$A$2:$A$1032,0))</f>
        <v>#N/A</v>
      </c>
    </row>
    <row r="441" spans="1:18" x14ac:dyDescent="0.25">
      <c r="A441">
        <f t="shared" si="34"/>
        <v>1</v>
      </c>
      <c r="B441" t="str">
        <f t="shared" si="37"/>
        <v/>
      </c>
      <c r="C441">
        <f t="shared" si="38"/>
        <v>1</v>
      </c>
      <c r="D441" s="4"/>
      <c r="E441" t="s">
        <v>18</v>
      </c>
      <c r="F441" t="str">
        <f>INDEX(Establishment!B$2:B$1005,MATCH($E441,Establishment!$A$2:$A$1005,0))</f>
        <v xml:space="preserve"> </v>
      </c>
      <c r="G441" t="str">
        <f>INDEX(Establishment!C$2:C$1005,MATCH($E441,Establishment!$A$2:$A$1005,0))</f>
        <v xml:space="preserve"> </v>
      </c>
      <c r="M441">
        <f t="shared" si="36"/>
        <v>0</v>
      </c>
      <c r="N441">
        <f t="shared" si="35"/>
        <v>0</v>
      </c>
      <c r="P441" t="e">
        <f>INDEX(Items!B$2:B$1032,MATCH($O441,Items!$A$2:$A$1032,0))</f>
        <v>#N/A</v>
      </c>
      <c r="Q441" t="e">
        <f>INDEX(Items!C$2:C$1032,MATCH($O441,Items!$A$2:$A$1032,0))</f>
        <v>#N/A</v>
      </c>
      <c r="R441" t="e">
        <f>INDEX(Items!D$2:D$1032,MATCH($O441,Items!$A$2:$A$1032,0))</f>
        <v>#N/A</v>
      </c>
    </row>
    <row r="442" spans="1:18" x14ac:dyDescent="0.25">
      <c r="A442">
        <f t="shared" si="34"/>
        <v>1</v>
      </c>
      <c r="B442" t="str">
        <f t="shared" si="37"/>
        <v/>
      </c>
      <c r="C442">
        <f t="shared" si="38"/>
        <v>1</v>
      </c>
      <c r="D442" s="4"/>
      <c r="E442" t="s">
        <v>18</v>
      </c>
      <c r="F442" t="str">
        <f>INDEX(Establishment!B$2:B$1005,MATCH($E442,Establishment!$A$2:$A$1005,0))</f>
        <v xml:space="preserve"> </v>
      </c>
      <c r="G442" t="str">
        <f>INDEX(Establishment!C$2:C$1005,MATCH($E442,Establishment!$A$2:$A$1005,0))</f>
        <v xml:space="preserve"> </v>
      </c>
      <c r="M442">
        <f t="shared" si="36"/>
        <v>0</v>
      </c>
      <c r="N442">
        <f t="shared" si="35"/>
        <v>0</v>
      </c>
      <c r="P442" t="e">
        <f>INDEX(Items!B$2:B$1032,MATCH($O442,Items!$A$2:$A$1032,0))</f>
        <v>#N/A</v>
      </c>
      <c r="Q442" t="e">
        <f>INDEX(Items!C$2:C$1032,MATCH($O442,Items!$A$2:$A$1032,0))</f>
        <v>#N/A</v>
      </c>
      <c r="R442" t="e">
        <f>INDEX(Items!D$2:D$1032,MATCH($O442,Items!$A$2:$A$1032,0))</f>
        <v>#N/A</v>
      </c>
    </row>
    <row r="443" spans="1:18" x14ac:dyDescent="0.25">
      <c r="A443">
        <f t="shared" si="34"/>
        <v>1</v>
      </c>
      <c r="B443" t="str">
        <f t="shared" si="37"/>
        <v/>
      </c>
      <c r="C443">
        <f t="shared" si="38"/>
        <v>1</v>
      </c>
      <c r="D443" s="4"/>
      <c r="E443" t="s">
        <v>18</v>
      </c>
      <c r="F443" t="str">
        <f>INDEX(Establishment!B$2:B$1005,MATCH($E443,Establishment!$A$2:$A$1005,0))</f>
        <v xml:space="preserve"> </v>
      </c>
      <c r="G443" t="str">
        <f>INDEX(Establishment!C$2:C$1005,MATCH($E443,Establishment!$A$2:$A$1005,0))</f>
        <v xml:space="preserve"> </v>
      </c>
      <c r="M443">
        <f t="shared" si="36"/>
        <v>0</v>
      </c>
      <c r="N443">
        <f t="shared" si="35"/>
        <v>0</v>
      </c>
      <c r="P443" t="e">
        <f>INDEX(Items!B$2:B$1032,MATCH($O443,Items!$A$2:$A$1032,0))</f>
        <v>#N/A</v>
      </c>
      <c r="Q443" t="e">
        <f>INDEX(Items!C$2:C$1032,MATCH($O443,Items!$A$2:$A$1032,0))</f>
        <v>#N/A</v>
      </c>
      <c r="R443" t="e">
        <f>INDEX(Items!D$2:D$1032,MATCH($O443,Items!$A$2:$A$1032,0))</f>
        <v>#N/A</v>
      </c>
    </row>
    <row r="444" spans="1:18" x14ac:dyDescent="0.25">
      <c r="A444">
        <f t="shared" si="34"/>
        <v>1</v>
      </c>
      <c r="B444" t="str">
        <f t="shared" si="37"/>
        <v/>
      </c>
      <c r="C444">
        <f t="shared" si="38"/>
        <v>1</v>
      </c>
      <c r="D444" s="4"/>
      <c r="E444" t="s">
        <v>18</v>
      </c>
      <c r="F444" t="str">
        <f>INDEX(Establishment!B$2:B$1005,MATCH($E444,Establishment!$A$2:$A$1005,0))</f>
        <v xml:space="preserve"> </v>
      </c>
      <c r="G444" t="str">
        <f>INDEX(Establishment!C$2:C$1005,MATCH($E444,Establishment!$A$2:$A$1005,0))</f>
        <v xml:space="preserve"> </v>
      </c>
      <c r="M444">
        <f t="shared" si="36"/>
        <v>0</v>
      </c>
      <c r="N444">
        <f t="shared" si="35"/>
        <v>0</v>
      </c>
      <c r="P444" t="e">
        <f>INDEX(Items!B$2:B$1032,MATCH($O444,Items!$A$2:$A$1032,0))</f>
        <v>#N/A</v>
      </c>
      <c r="Q444" t="e">
        <f>INDEX(Items!C$2:C$1032,MATCH($O444,Items!$A$2:$A$1032,0))</f>
        <v>#N/A</v>
      </c>
      <c r="R444" t="e">
        <f>INDEX(Items!D$2:D$1032,MATCH($O444,Items!$A$2:$A$1032,0))</f>
        <v>#N/A</v>
      </c>
    </row>
    <row r="445" spans="1:18" x14ac:dyDescent="0.25">
      <c r="A445">
        <f t="shared" si="34"/>
        <v>1</v>
      </c>
      <c r="B445" t="str">
        <f t="shared" si="37"/>
        <v/>
      </c>
      <c r="C445">
        <f t="shared" si="38"/>
        <v>1</v>
      </c>
      <c r="D445" s="4"/>
      <c r="E445" t="s">
        <v>18</v>
      </c>
      <c r="F445" t="str">
        <f>INDEX(Establishment!B$2:B$1005,MATCH($E445,Establishment!$A$2:$A$1005,0))</f>
        <v xml:space="preserve"> </v>
      </c>
      <c r="G445" t="str">
        <f>INDEX(Establishment!C$2:C$1005,MATCH($E445,Establishment!$A$2:$A$1005,0))</f>
        <v xml:space="preserve"> </v>
      </c>
      <c r="M445">
        <f t="shared" si="36"/>
        <v>0</v>
      </c>
      <c r="N445">
        <f t="shared" si="35"/>
        <v>0</v>
      </c>
      <c r="P445" t="e">
        <f>INDEX(Items!B$2:B$1032,MATCH($O445,Items!$A$2:$A$1032,0))</f>
        <v>#N/A</v>
      </c>
      <c r="Q445" t="e">
        <f>INDEX(Items!C$2:C$1032,MATCH($O445,Items!$A$2:$A$1032,0))</f>
        <v>#N/A</v>
      </c>
      <c r="R445" t="e">
        <f>INDEX(Items!D$2:D$1032,MATCH($O445,Items!$A$2:$A$1032,0))</f>
        <v>#N/A</v>
      </c>
    </row>
    <row r="446" spans="1:18" x14ac:dyDescent="0.25">
      <c r="A446">
        <f t="shared" si="34"/>
        <v>1</v>
      </c>
      <c r="B446" t="str">
        <f t="shared" si="37"/>
        <v/>
      </c>
      <c r="C446">
        <f t="shared" si="38"/>
        <v>1</v>
      </c>
      <c r="D446" s="4"/>
      <c r="E446" t="s">
        <v>18</v>
      </c>
      <c r="F446" t="str">
        <f>INDEX(Establishment!B$2:B$1005,MATCH($E446,Establishment!$A$2:$A$1005,0))</f>
        <v xml:space="preserve"> </v>
      </c>
      <c r="G446" t="str">
        <f>INDEX(Establishment!C$2:C$1005,MATCH($E446,Establishment!$A$2:$A$1005,0))</f>
        <v xml:space="preserve"> </v>
      </c>
      <c r="M446">
        <f t="shared" si="36"/>
        <v>0</v>
      </c>
      <c r="N446">
        <f t="shared" si="35"/>
        <v>0</v>
      </c>
      <c r="P446" t="e">
        <f>INDEX(Items!B$2:B$1032,MATCH($O446,Items!$A$2:$A$1032,0))</f>
        <v>#N/A</v>
      </c>
      <c r="Q446" t="e">
        <f>INDEX(Items!C$2:C$1032,MATCH($O446,Items!$A$2:$A$1032,0))</f>
        <v>#N/A</v>
      </c>
      <c r="R446" t="e">
        <f>INDEX(Items!D$2:D$1032,MATCH($O446,Items!$A$2:$A$1032,0))</f>
        <v>#N/A</v>
      </c>
    </row>
    <row r="447" spans="1:18" x14ac:dyDescent="0.25">
      <c r="A447">
        <f t="shared" si="34"/>
        <v>1</v>
      </c>
      <c r="B447" t="str">
        <f t="shared" si="37"/>
        <v/>
      </c>
      <c r="C447">
        <f t="shared" si="38"/>
        <v>1</v>
      </c>
      <c r="D447" s="4"/>
      <c r="E447" t="s">
        <v>18</v>
      </c>
      <c r="F447" t="str">
        <f>INDEX(Establishment!B$2:B$1005,MATCH($E447,Establishment!$A$2:$A$1005,0))</f>
        <v xml:space="preserve"> </v>
      </c>
      <c r="G447" t="str">
        <f>INDEX(Establishment!C$2:C$1005,MATCH($E447,Establishment!$A$2:$A$1005,0))</f>
        <v xml:space="preserve"> </v>
      </c>
      <c r="M447">
        <f t="shared" si="36"/>
        <v>0</v>
      </c>
      <c r="N447">
        <f t="shared" si="35"/>
        <v>0</v>
      </c>
      <c r="P447" t="e">
        <f>INDEX(Items!B$2:B$1032,MATCH($O447,Items!$A$2:$A$1032,0))</f>
        <v>#N/A</v>
      </c>
      <c r="Q447" t="e">
        <f>INDEX(Items!C$2:C$1032,MATCH($O447,Items!$A$2:$A$1032,0))</f>
        <v>#N/A</v>
      </c>
      <c r="R447" t="e">
        <f>INDEX(Items!D$2:D$1032,MATCH($O447,Items!$A$2:$A$1032,0))</f>
        <v>#N/A</v>
      </c>
    </row>
    <row r="448" spans="1:18" x14ac:dyDescent="0.25">
      <c r="A448">
        <f t="shared" si="34"/>
        <v>1</v>
      </c>
      <c r="B448" t="str">
        <f t="shared" si="37"/>
        <v/>
      </c>
      <c r="C448">
        <f t="shared" si="38"/>
        <v>1</v>
      </c>
      <c r="D448" s="4"/>
      <c r="E448" t="s">
        <v>18</v>
      </c>
      <c r="F448" t="str">
        <f>INDEX(Establishment!B$2:B$1005,MATCH($E448,Establishment!$A$2:$A$1005,0))</f>
        <v xml:space="preserve"> </v>
      </c>
      <c r="G448" t="str">
        <f>INDEX(Establishment!C$2:C$1005,MATCH($E448,Establishment!$A$2:$A$1005,0))</f>
        <v xml:space="preserve"> </v>
      </c>
      <c r="M448">
        <f t="shared" si="36"/>
        <v>0</v>
      </c>
      <c r="N448">
        <f t="shared" si="35"/>
        <v>0</v>
      </c>
      <c r="P448" t="e">
        <f>INDEX(Items!B$2:B$1032,MATCH($O448,Items!$A$2:$A$1032,0))</f>
        <v>#N/A</v>
      </c>
      <c r="Q448" t="e">
        <f>INDEX(Items!C$2:C$1032,MATCH($O448,Items!$A$2:$A$1032,0))</f>
        <v>#N/A</v>
      </c>
      <c r="R448" t="e">
        <f>INDEX(Items!D$2:D$1032,MATCH($O448,Items!$A$2:$A$1032,0))</f>
        <v>#N/A</v>
      </c>
    </row>
    <row r="449" spans="1:18" x14ac:dyDescent="0.25">
      <c r="A449">
        <f t="shared" si="34"/>
        <v>1</v>
      </c>
      <c r="B449" t="str">
        <f t="shared" si="37"/>
        <v/>
      </c>
      <c r="C449">
        <f t="shared" si="38"/>
        <v>1</v>
      </c>
      <c r="D449" s="4"/>
      <c r="E449" t="s">
        <v>18</v>
      </c>
      <c r="F449" t="str">
        <f>INDEX(Establishment!B$2:B$1005,MATCH($E449,Establishment!$A$2:$A$1005,0))</f>
        <v xml:space="preserve"> </v>
      </c>
      <c r="G449" t="str">
        <f>INDEX(Establishment!C$2:C$1005,MATCH($E449,Establishment!$A$2:$A$1005,0))</f>
        <v xml:space="preserve"> </v>
      </c>
      <c r="M449">
        <f t="shared" si="36"/>
        <v>0</v>
      </c>
      <c r="N449">
        <f t="shared" si="35"/>
        <v>0</v>
      </c>
      <c r="P449" t="e">
        <f>INDEX(Items!B$2:B$1032,MATCH($O449,Items!$A$2:$A$1032,0))</f>
        <v>#N/A</v>
      </c>
      <c r="Q449" t="e">
        <f>INDEX(Items!C$2:C$1032,MATCH($O449,Items!$A$2:$A$1032,0))</f>
        <v>#N/A</v>
      </c>
      <c r="R449" t="e">
        <f>INDEX(Items!D$2:D$1032,MATCH($O449,Items!$A$2:$A$1032,0))</f>
        <v>#N/A</v>
      </c>
    </row>
    <row r="450" spans="1:18" x14ac:dyDescent="0.25">
      <c r="A450">
        <f t="shared" ref="A450:A499" si="39">IF(OR(D450&lt;&gt;D449,D450=""),1,IF(NOT(AND(E450=E449,F450=F449,G450=G449)),A449+1,IF(OR(H450="",AND(H450&lt;&gt;"",H450&lt;&gt;H449,H449&lt;&gt;"")),A449,A449+1)))</f>
        <v>1</v>
      </c>
      <c r="B450" t="str">
        <f t="shared" si="37"/>
        <v/>
      </c>
      <c r="C450">
        <f t="shared" si="38"/>
        <v>1</v>
      </c>
      <c r="D450" s="4"/>
      <c r="E450" t="s">
        <v>18</v>
      </c>
      <c r="F450" t="str">
        <f>INDEX(Establishment!B$2:B$1005,MATCH($E450,Establishment!$A$2:$A$1005,0))</f>
        <v xml:space="preserve"> </v>
      </c>
      <c r="G450" t="str">
        <f>INDEX(Establishment!C$2:C$1005,MATCH($E450,Establishment!$A$2:$A$1005,0))</f>
        <v xml:space="preserve"> </v>
      </c>
      <c r="M450">
        <f t="shared" si="36"/>
        <v>0</v>
      </c>
      <c r="N450">
        <f t="shared" si="35"/>
        <v>0</v>
      </c>
      <c r="P450" t="e">
        <f>INDEX(Items!B$2:B$1032,MATCH($O450,Items!$A$2:$A$1032,0))</f>
        <v>#N/A</v>
      </c>
      <c r="Q450" t="e">
        <f>INDEX(Items!C$2:C$1032,MATCH($O450,Items!$A$2:$A$1032,0))</f>
        <v>#N/A</v>
      </c>
      <c r="R450" t="e">
        <f>INDEX(Items!D$2:D$1032,MATCH($O450,Items!$A$2:$A$1032,0))</f>
        <v>#N/A</v>
      </c>
    </row>
    <row r="451" spans="1:18" x14ac:dyDescent="0.25">
      <c r="A451">
        <f t="shared" si="39"/>
        <v>1</v>
      </c>
      <c r="B451" t="str">
        <f t="shared" si="37"/>
        <v/>
      </c>
      <c r="C451">
        <f t="shared" si="38"/>
        <v>1</v>
      </c>
      <c r="D451" s="4"/>
      <c r="E451" t="s">
        <v>18</v>
      </c>
      <c r="F451" t="str">
        <f>INDEX(Establishment!B$2:B$1005,MATCH($E451,Establishment!$A$2:$A$1005,0))</f>
        <v xml:space="preserve"> </v>
      </c>
      <c r="G451" t="str">
        <f>INDEX(Establishment!C$2:C$1005,MATCH($E451,Establishment!$A$2:$A$1005,0))</f>
        <v xml:space="preserve"> </v>
      </c>
      <c r="M451">
        <f t="shared" si="36"/>
        <v>0</v>
      </c>
      <c r="N451">
        <f t="shared" ref="N451:N499" si="40">IF(B451=B450,N450+M451,M451)</f>
        <v>0</v>
      </c>
      <c r="P451" t="e">
        <f>INDEX(Items!B$2:B$1032,MATCH($O451,Items!$A$2:$A$1032,0))</f>
        <v>#N/A</v>
      </c>
      <c r="Q451" t="e">
        <f>INDEX(Items!C$2:C$1032,MATCH($O451,Items!$A$2:$A$1032,0))</f>
        <v>#N/A</v>
      </c>
      <c r="R451" t="e">
        <f>INDEX(Items!D$2:D$1032,MATCH($O451,Items!$A$2:$A$1032,0))</f>
        <v>#N/A</v>
      </c>
    </row>
    <row r="452" spans="1:18" x14ac:dyDescent="0.25">
      <c r="A452">
        <f t="shared" si="39"/>
        <v>1</v>
      </c>
      <c r="B452" t="str">
        <f t="shared" si="37"/>
        <v/>
      </c>
      <c r="C452">
        <f t="shared" si="38"/>
        <v>1</v>
      </c>
      <c r="D452" s="4"/>
      <c r="E452" t="s">
        <v>18</v>
      </c>
      <c r="F452" t="str">
        <f>INDEX(Establishment!B$2:B$1005,MATCH($E452,Establishment!$A$2:$A$1005,0))</f>
        <v xml:space="preserve"> </v>
      </c>
      <c r="G452" t="str">
        <f>INDEX(Establishment!C$2:C$1005,MATCH($E452,Establishment!$A$2:$A$1005,0))</f>
        <v xml:space="preserve"> </v>
      </c>
      <c r="M452">
        <f t="shared" ref="M452:M499" si="41">K452*L452</f>
        <v>0</v>
      </c>
      <c r="N452">
        <f t="shared" si="40"/>
        <v>0</v>
      </c>
      <c r="P452" t="e">
        <f>INDEX(Items!B$2:B$1032,MATCH($O452,Items!$A$2:$A$1032,0))</f>
        <v>#N/A</v>
      </c>
      <c r="Q452" t="e">
        <f>INDEX(Items!C$2:C$1032,MATCH($O452,Items!$A$2:$A$1032,0))</f>
        <v>#N/A</v>
      </c>
      <c r="R452" t="e">
        <f>INDEX(Items!D$2:D$1032,MATCH($O452,Items!$A$2:$A$1032,0))</f>
        <v>#N/A</v>
      </c>
    </row>
    <row r="453" spans="1:18" x14ac:dyDescent="0.25">
      <c r="A453">
        <f t="shared" si="39"/>
        <v>1</v>
      </c>
      <c r="B453" t="str">
        <f t="shared" si="37"/>
        <v/>
      </c>
      <c r="C453">
        <f t="shared" si="38"/>
        <v>1</v>
      </c>
      <c r="D453" s="4"/>
      <c r="E453" t="s">
        <v>18</v>
      </c>
      <c r="F453" t="str">
        <f>INDEX(Establishment!B$2:B$1005,MATCH($E453,Establishment!$A$2:$A$1005,0))</f>
        <v xml:space="preserve"> </v>
      </c>
      <c r="G453" t="str">
        <f>INDEX(Establishment!C$2:C$1005,MATCH($E453,Establishment!$A$2:$A$1005,0))</f>
        <v xml:space="preserve"> </v>
      </c>
      <c r="M453">
        <f t="shared" si="41"/>
        <v>0</v>
      </c>
      <c r="N453">
        <f t="shared" si="40"/>
        <v>0</v>
      </c>
      <c r="P453" t="e">
        <f>INDEX(Items!B$2:B$1032,MATCH($O453,Items!$A$2:$A$1032,0))</f>
        <v>#N/A</v>
      </c>
      <c r="Q453" t="e">
        <f>INDEX(Items!C$2:C$1032,MATCH($O453,Items!$A$2:$A$1032,0))</f>
        <v>#N/A</v>
      </c>
      <c r="R453" t="e">
        <f>INDEX(Items!D$2:D$1032,MATCH($O453,Items!$A$2:$A$1032,0))</f>
        <v>#N/A</v>
      </c>
    </row>
    <row r="454" spans="1:18" x14ac:dyDescent="0.25">
      <c r="A454">
        <f t="shared" si="39"/>
        <v>1</v>
      </c>
      <c r="B454" t="str">
        <f t="shared" si="37"/>
        <v/>
      </c>
      <c r="C454">
        <f t="shared" si="38"/>
        <v>1</v>
      </c>
      <c r="D454" s="4"/>
      <c r="E454" t="s">
        <v>18</v>
      </c>
      <c r="F454" t="str">
        <f>INDEX(Establishment!B$2:B$1005,MATCH($E454,Establishment!$A$2:$A$1005,0))</f>
        <v xml:space="preserve"> </v>
      </c>
      <c r="G454" t="str">
        <f>INDEX(Establishment!C$2:C$1005,MATCH($E454,Establishment!$A$2:$A$1005,0))</f>
        <v xml:space="preserve"> </v>
      </c>
      <c r="M454">
        <f t="shared" si="41"/>
        <v>0</v>
      </c>
      <c r="N454">
        <f t="shared" si="40"/>
        <v>0</v>
      </c>
      <c r="P454" t="e">
        <f>INDEX(Items!B$2:B$1032,MATCH($O454,Items!$A$2:$A$1032,0))</f>
        <v>#N/A</v>
      </c>
      <c r="Q454" t="e">
        <f>INDEX(Items!C$2:C$1032,MATCH($O454,Items!$A$2:$A$1032,0))</f>
        <v>#N/A</v>
      </c>
      <c r="R454" t="e">
        <f>INDEX(Items!D$2:D$1032,MATCH($O454,Items!$A$2:$A$1032,0))</f>
        <v>#N/A</v>
      </c>
    </row>
    <row r="455" spans="1:18" x14ac:dyDescent="0.25">
      <c r="A455">
        <f t="shared" si="39"/>
        <v>1</v>
      </c>
      <c r="B455" t="str">
        <f t="shared" ref="B455:B499" si="42">IF(D455&lt;&gt;"",TEXT(D455,"YYYYMMDD")&amp;CHAR(64+A455),"")</f>
        <v/>
      </c>
      <c r="C455">
        <f t="shared" si="38"/>
        <v>1</v>
      </c>
      <c r="D455" s="4"/>
      <c r="E455" t="s">
        <v>18</v>
      </c>
      <c r="F455" t="str">
        <f>INDEX(Establishment!B$2:B$1005,MATCH($E455,Establishment!$A$2:$A$1005,0))</f>
        <v xml:space="preserve"> </v>
      </c>
      <c r="G455" t="str">
        <f>INDEX(Establishment!C$2:C$1005,MATCH($E455,Establishment!$A$2:$A$1005,0))</f>
        <v xml:space="preserve"> </v>
      </c>
      <c r="M455">
        <f t="shared" si="41"/>
        <v>0</v>
      </c>
      <c r="N455">
        <f t="shared" si="40"/>
        <v>0</v>
      </c>
      <c r="P455" t="e">
        <f>INDEX(Items!B$2:B$1032,MATCH($O455,Items!$A$2:$A$1032,0))</f>
        <v>#N/A</v>
      </c>
      <c r="Q455" t="e">
        <f>INDEX(Items!C$2:C$1032,MATCH($O455,Items!$A$2:$A$1032,0))</f>
        <v>#N/A</v>
      </c>
      <c r="R455" t="e">
        <f>INDEX(Items!D$2:D$1032,MATCH($O455,Items!$A$2:$A$1032,0))</f>
        <v>#N/A</v>
      </c>
    </row>
    <row r="456" spans="1:18" x14ac:dyDescent="0.25">
      <c r="A456">
        <f t="shared" si="39"/>
        <v>1</v>
      </c>
      <c r="B456" t="str">
        <f t="shared" si="42"/>
        <v/>
      </c>
      <c r="C456">
        <f t="shared" si="38"/>
        <v>1</v>
      </c>
      <c r="D456" s="4"/>
      <c r="E456" t="s">
        <v>18</v>
      </c>
      <c r="F456" t="str">
        <f>INDEX(Establishment!B$2:B$1005,MATCH($E456,Establishment!$A$2:$A$1005,0))</f>
        <v xml:space="preserve"> </v>
      </c>
      <c r="G456" t="str">
        <f>INDEX(Establishment!C$2:C$1005,MATCH($E456,Establishment!$A$2:$A$1005,0))</f>
        <v xml:space="preserve"> </v>
      </c>
      <c r="M456">
        <f t="shared" si="41"/>
        <v>0</v>
      </c>
      <c r="N456">
        <f t="shared" si="40"/>
        <v>0</v>
      </c>
      <c r="P456" t="e">
        <f>INDEX(Items!B$2:B$1032,MATCH($O456,Items!$A$2:$A$1032,0))</f>
        <v>#N/A</v>
      </c>
      <c r="Q456" t="e">
        <f>INDEX(Items!C$2:C$1032,MATCH($O456,Items!$A$2:$A$1032,0))</f>
        <v>#N/A</v>
      </c>
      <c r="R456" t="e">
        <f>INDEX(Items!D$2:D$1032,MATCH($O456,Items!$A$2:$A$1032,0))</f>
        <v>#N/A</v>
      </c>
    </row>
    <row r="457" spans="1:18" x14ac:dyDescent="0.25">
      <c r="A457">
        <f t="shared" si="39"/>
        <v>1</v>
      </c>
      <c r="B457" t="str">
        <f t="shared" si="42"/>
        <v/>
      </c>
      <c r="C457">
        <f t="shared" si="38"/>
        <v>1</v>
      </c>
      <c r="D457" s="4"/>
      <c r="E457" t="s">
        <v>18</v>
      </c>
      <c r="F457" t="str">
        <f>INDEX(Establishment!B$2:B$1005,MATCH($E457,Establishment!$A$2:$A$1005,0))</f>
        <v xml:space="preserve"> </v>
      </c>
      <c r="G457" t="str">
        <f>INDEX(Establishment!C$2:C$1005,MATCH($E457,Establishment!$A$2:$A$1005,0))</f>
        <v xml:space="preserve"> </v>
      </c>
      <c r="M457">
        <f t="shared" si="41"/>
        <v>0</v>
      </c>
      <c r="N457">
        <f t="shared" si="40"/>
        <v>0</v>
      </c>
      <c r="P457" t="e">
        <f>INDEX(Items!B$2:B$1032,MATCH($O457,Items!$A$2:$A$1032,0))</f>
        <v>#N/A</v>
      </c>
      <c r="Q457" t="e">
        <f>INDEX(Items!C$2:C$1032,MATCH($O457,Items!$A$2:$A$1032,0))</f>
        <v>#N/A</v>
      </c>
      <c r="R457" t="e">
        <f>INDEX(Items!D$2:D$1032,MATCH($O457,Items!$A$2:$A$1032,0))</f>
        <v>#N/A</v>
      </c>
    </row>
    <row r="458" spans="1:18" x14ac:dyDescent="0.25">
      <c r="A458">
        <f t="shared" si="39"/>
        <v>1</v>
      </c>
      <c r="B458" t="str">
        <f t="shared" si="42"/>
        <v/>
      </c>
      <c r="C458">
        <f t="shared" ref="C458:C499" si="43">IF(OR(B458="",B458&lt;&gt;B457),1,C457+1)</f>
        <v>1</v>
      </c>
      <c r="D458" s="4"/>
      <c r="E458" t="s">
        <v>18</v>
      </c>
      <c r="F458" t="str">
        <f>INDEX(Establishment!B$2:B$1005,MATCH($E458,Establishment!$A$2:$A$1005,0))</f>
        <v xml:space="preserve"> </v>
      </c>
      <c r="G458" t="str">
        <f>INDEX(Establishment!C$2:C$1005,MATCH($E458,Establishment!$A$2:$A$1005,0))</f>
        <v xml:space="preserve"> </v>
      </c>
      <c r="M458">
        <f t="shared" si="41"/>
        <v>0</v>
      </c>
      <c r="N458">
        <f t="shared" si="40"/>
        <v>0</v>
      </c>
      <c r="P458" t="e">
        <f>INDEX(Items!B$2:B$1032,MATCH($O458,Items!$A$2:$A$1032,0))</f>
        <v>#N/A</v>
      </c>
      <c r="Q458" t="e">
        <f>INDEX(Items!C$2:C$1032,MATCH($O458,Items!$A$2:$A$1032,0))</f>
        <v>#N/A</v>
      </c>
      <c r="R458" t="e">
        <f>INDEX(Items!D$2:D$1032,MATCH($O458,Items!$A$2:$A$1032,0))</f>
        <v>#N/A</v>
      </c>
    </row>
    <row r="459" spans="1:18" x14ac:dyDescent="0.25">
      <c r="A459">
        <f t="shared" si="39"/>
        <v>1</v>
      </c>
      <c r="B459" t="str">
        <f t="shared" si="42"/>
        <v/>
      </c>
      <c r="C459">
        <f t="shared" si="43"/>
        <v>1</v>
      </c>
      <c r="D459" s="4"/>
      <c r="E459" t="s">
        <v>18</v>
      </c>
      <c r="F459" t="str">
        <f>INDEX(Establishment!B$2:B$1005,MATCH($E459,Establishment!$A$2:$A$1005,0))</f>
        <v xml:space="preserve"> </v>
      </c>
      <c r="G459" t="str">
        <f>INDEX(Establishment!C$2:C$1005,MATCH($E459,Establishment!$A$2:$A$1005,0))</f>
        <v xml:space="preserve"> </v>
      </c>
      <c r="M459">
        <f t="shared" si="41"/>
        <v>0</v>
      </c>
      <c r="N459">
        <f t="shared" si="40"/>
        <v>0</v>
      </c>
      <c r="P459" t="e">
        <f>INDEX(Items!B$2:B$1032,MATCH($O459,Items!$A$2:$A$1032,0))</f>
        <v>#N/A</v>
      </c>
      <c r="Q459" t="e">
        <f>INDEX(Items!C$2:C$1032,MATCH($O459,Items!$A$2:$A$1032,0))</f>
        <v>#N/A</v>
      </c>
      <c r="R459" t="e">
        <f>INDEX(Items!D$2:D$1032,MATCH($O459,Items!$A$2:$A$1032,0))</f>
        <v>#N/A</v>
      </c>
    </row>
    <row r="460" spans="1:18" x14ac:dyDescent="0.25">
      <c r="A460">
        <f t="shared" si="39"/>
        <v>1</v>
      </c>
      <c r="B460" t="str">
        <f t="shared" si="42"/>
        <v/>
      </c>
      <c r="C460">
        <f t="shared" si="43"/>
        <v>1</v>
      </c>
      <c r="D460" s="4"/>
      <c r="E460" t="s">
        <v>18</v>
      </c>
      <c r="F460" t="str">
        <f>INDEX(Establishment!B$2:B$1005,MATCH($E460,Establishment!$A$2:$A$1005,0))</f>
        <v xml:space="preserve"> </v>
      </c>
      <c r="G460" t="str">
        <f>INDEX(Establishment!C$2:C$1005,MATCH($E460,Establishment!$A$2:$A$1005,0))</f>
        <v xml:space="preserve"> </v>
      </c>
      <c r="M460">
        <f t="shared" si="41"/>
        <v>0</v>
      </c>
      <c r="N460">
        <f t="shared" si="40"/>
        <v>0</v>
      </c>
      <c r="P460" t="e">
        <f>INDEX(Items!B$2:B$1032,MATCH($O460,Items!$A$2:$A$1032,0))</f>
        <v>#N/A</v>
      </c>
      <c r="Q460" t="e">
        <f>INDEX(Items!C$2:C$1032,MATCH($O460,Items!$A$2:$A$1032,0))</f>
        <v>#N/A</v>
      </c>
      <c r="R460" t="e">
        <f>INDEX(Items!D$2:D$1032,MATCH($O460,Items!$A$2:$A$1032,0))</f>
        <v>#N/A</v>
      </c>
    </row>
    <row r="461" spans="1:18" x14ac:dyDescent="0.25">
      <c r="A461">
        <f t="shared" si="39"/>
        <v>1</v>
      </c>
      <c r="B461" t="str">
        <f t="shared" si="42"/>
        <v/>
      </c>
      <c r="C461">
        <f t="shared" si="43"/>
        <v>1</v>
      </c>
      <c r="D461" s="4"/>
      <c r="E461" t="s">
        <v>18</v>
      </c>
      <c r="F461" t="str">
        <f>INDEX(Establishment!B$2:B$1005,MATCH($E461,Establishment!$A$2:$A$1005,0))</f>
        <v xml:space="preserve"> </v>
      </c>
      <c r="G461" t="str">
        <f>INDEX(Establishment!C$2:C$1005,MATCH($E461,Establishment!$A$2:$A$1005,0))</f>
        <v xml:space="preserve"> </v>
      </c>
      <c r="M461">
        <f t="shared" si="41"/>
        <v>0</v>
      </c>
      <c r="N461">
        <f t="shared" si="40"/>
        <v>0</v>
      </c>
      <c r="P461" t="e">
        <f>INDEX(Items!B$2:B$1032,MATCH($O461,Items!$A$2:$A$1032,0))</f>
        <v>#N/A</v>
      </c>
      <c r="Q461" t="e">
        <f>INDEX(Items!C$2:C$1032,MATCH($O461,Items!$A$2:$A$1032,0))</f>
        <v>#N/A</v>
      </c>
      <c r="R461" t="e">
        <f>INDEX(Items!D$2:D$1032,MATCH($O461,Items!$A$2:$A$1032,0))</f>
        <v>#N/A</v>
      </c>
    </row>
    <row r="462" spans="1:18" x14ac:dyDescent="0.25">
      <c r="A462">
        <f t="shared" si="39"/>
        <v>1</v>
      </c>
      <c r="B462" t="str">
        <f t="shared" si="42"/>
        <v/>
      </c>
      <c r="C462">
        <f t="shared" si="43"/>
        <v>1</v>
      </c>
      <c r="D462" s="4"/>
      <c r="E462" t="s">
        <v>18</v>
      </c>
      <c r="F462" t="str">
        <f>INDEX(Establishment!B$2:B$1005,MATCH($E462,Establishment!$A$2:$A$1005,0))</f>
        <v xml:space="preserve"> </v>
      </c>
      <c r="G462" t="str">
        <f>INDEX(Establishment!C$2:C$1005,MATCH($E462,Establishment!$A$2:$A$1005,0))</f>
        <v xml:space="preserve"> </v>
      </c>
      <c r="M462">
        <f t="shared" si="41"/>
        <v>0</v>
      </c>
      <c r="N462">
        <f t="shared" si="40"/>
        <v>0</v>
      </c>
      <c r="P462" t="e">
        <f>INDEX(Items!B$2:B$1032,MATCH($O462,Items!$A$2:$A$1032,0))</f>
        <v>#N/A</v>
      </c>
      <c r="Q462" t="e">
        <f>INDEX(Items!C$2:C$1032,MATCH($O462,Items!$A$2:$A$1032,0))</f>
        <v>#N/A</v>
      </c>
      <c r="R462" t="e">
        <f>INDEX(Items!D$2:D$1032,MATCH($O462,Items!$A$2:$A$1032,0))</f>
        <v>#N/A</v>
      </c>
    </row>
    <row r="463" spans="1:18" x14ac:dyDescent="0.25">
      <c r="A463">
        <f t="shared" si="39"/>
        <v>1</v>
      </c>
      <c r="B463" t="str">
        <f t="shared" si="42"/>
        <v/>
      </c>
      <c r="C463">
        <f t="shared" si="43"/>
        <v>1</v>
      </c>
      <c r="D463" s="4"/>
      <c r="E463" t="s">
        <v>18</v>
      </c>
      <c r="F463" t="str">
        <f>INDEX(Establishment!B$2:B$1005,MATCH($E463,Establishment!$A$2:$A$1005,0))</f>
        <v xml:space="preserve"> </v>
      </c>
      <c r="G463" t="str">
        <f>INDEX(Establishment!C$2:C$1005,MATCH($E463,Establishment!$A$2:$A$1005,0))</f>
        <v xml:space="preserve"> </v>
      </c>
      <c r="M463">
        <f t="shared" si="41"/>
        <v>0</v>
      </c>
      <c r="N463">
        <f t="shared" si="40"/>
        <v>0</v>
      </c>
      <c r="P463" t="e">
        <f>INDEX(Items!B$2:B$1032,MATCH($O463,Items!$A$2:$A$1032,0))</f>
        <v>#N/A</v>
      </c>
      <c r="Q463" t="e">
        <f>INDEX(Items!C$2:C$1032,MATCH($O463,Items!$A$2:$A$1032,0))</f>
        <v>#N/A</v>
      </c>
      <c r="R463" t="e">
        <f>INDEX(Items!D$2:D$1032,MATCH($O463,Items!$A$2:$A$1032,0))</f>
        <v>#N/A</v>
      </c>
    </row>
    <row r="464" spans="1:18" x14ac:dyDescent="0.25">
      <c r="A464">
        <f t="shared" si="39"/>
        <v>1</v>
      </c>
      <c r="B464" t="str">
        <f t="shared" si="42"/>
        <v/>
      </c>
      <c r="C464">
        <f t="shared" si="43"/>
        <v>1</v>
      </c>
      <c r="D464" s="4"/>
      <c r="E464" t="s">
        <v>18</v>
      </c>
      <c r="F464" t="str">
        <f>INDEX(Establishment!B$2:B$1005,MATCH($E464,Establishment!$A$2:$A$1005,0))</f>
        <v xml:space="preserve"> </v>
      </c>
      <c r="G464" t="str">
        <f>INDEX(Establishment!C$2:C$1005,MATCH($E464,Establishment!$A$2:$A$1005,0))</f>
        <v xml:space="preserve"> </v>
      </c>
      <c r="M464">
        <f t="shared" si="41"/>
        <v>0</v>
      </c>
      <c r="N464">
        <f t="shared" si="40"/>
        <v>0</v>
      </c>
      <c r="P464" t="e">
        <f>INDEX(Items!B$2:B$1032,MATCH($O464,Items!$A$2:$A$1032,0))</f>
        <v>#N/A</v>
      </c>
      <c r="Q464" t="e">
        <f>INDEX(Items!C$2:C$1032,MATCH($O464,Items!$A$2:$A$1032,0))</f>
        <v>#N/A</v>
      </c>
      <c r="R464" t="e">
        <f>INDEX(Items!D$2:D$1032,MATCH($O464,Items!$A$2:$A$1032,0))</f>
        <v>#N/A</v>
      </c>
    </row>
    <row r="465" spans="1:18" x14ac:dyDescent="0.25">
      <c r="A465">
        <f t="shared" si="39"/>
        <v>1</v>
      </c>
      <c r="B465" t="str">
        <f t="shared" si="42"/>
        <v/>
      </c>
      <c r="C465">
        <f t="shared" si="43"/>
        <v>1</v>
      </c>
      <c r="D465" s="4"/>
      <c r="E465" t="s">
        <v>18</v>
      </c>
      <c r="F465" t="str">
        <f>INDEX(Establishment!B$2:B$1005,MATCH($E465,Establishment!$A$2:$A$1005,0))</f>
        <v xml:space="preserve"> </v>
      </c>
      <c r="G465" t="str">
        <f>INDEX(Establishment!C$2:C$1005,MATCH($E465,Establishment!$A$2:$A$1005,0))</f>
        <v xml:space="preserve"> </v>
      </c>
      <c r="M465">
        <f t="shared" si="41"/>
        <v>0</v>
      </c>
      <c r="N465">
        <f t="shared" si="40"/>
        <v>0</v>
      </c>
      <c r="P465" t="e">
        <f>INDEX(Items!B$2:B$1032,MATCH($O465,Items!$A$2:$A$1032,0))</f>
        <v>#N/A</v>
      </c>
      <c r="Q465" t="e">
        <f>INDEX(Items!C$2:C$1032,MATCH($O465,Items!$A$2:$A$1032,0))</f>
        <v>#N/A</v>
      </c>
      <c r="R465" t="e">
        <f>INDEX(Items!D$2:D$1032,MATCH($O465,Items!$A$2:$A$1032,0))</f>
        <v>#N/A</v>
      </c>
    </row>
    <row r="466" spans="1:18" x14ac:dyDescent="0.25">
      <c r="A466">
        <f t="shared" si="39"/>
        <v>1</v>
      </c>
      <c r="B466" t="str">
        <f t="shared" si="42"/>
        <v/>
      </c>
      <c r="C466">
        <f t="shared" si="43"/>
        <v>1</v>
      </c>
      <c r="D466" s="4"/>
      <c r="E466" t="s">
        <v>18</v>
      </c>
      <c r="F466" t="str">
        <f>INDEX(Establishment!B$2:B$1005,MATCH($E466,Establishment!$A$2:$A$1005,0))</f>
        <v xml:space="preserve"> </v>
      </c>
      <c r="G466" t="str">
        <f>INDEX(Establishment!C$2:C$1005,MATCH($E466,Establishment!$A$2:$A$1005,0))</f>
        <v xml:space="preserve"> </v>
      </c>
      <c r="M466">
        <f t="shared" si="41"/>
        <v>0</v>
      </c>
      <c r="N466">
        <f t="shared" si="40"/>
        <v>0</v>
      </c>
      <c r="P466" t="e">
        <f>INDEX(Items!B$2:B$1032,MATCH($O466,Items!$A$2:$A$1032,0))</f>
        <v>#N/A</v>
      </c>
      <c r="Q466" t="e">
        <f>INDEX(Items!C$2:C$1032,MATCH($O466,Items!$A$2:$A$1032,0))</f>
        <v>#N/A</v>
      </c>
      <c r="R466" t="e">
        <f>INDEX(Items!D$2:D$1032,MATCH($O466,Items!$A$2:$A$1032,0))</f>
        <v>#N/A</v>
      </c>
    </row>
    <row r="467" spans="1:18" x14ac:dyDescent="0.25">
      <c r="A467">
        <f t="shared" si="39"/>
        <v>1</v>
      </c>
      <c r="B467" t="str">
        <f t="shared" si="42"/>
        <v/>
      </c>
      <c r="C467">
        <f t="shared" si="43"/>
        <v>1</v>
      </c>
      <c r="D467" s="4"/>
      <c r="E467" t="s">
        <v>18</v>
      </c>
      <c r="F467" t="str">
        <f>INDEX(Establishment!B$2:B$1005,MATCH($E467,Establishment!$A$2:$A$1005,0))</f>
        <v xml:space="preserve"> </v>
      </c>
      <c r="G467" t="str">
        <f>INDEX(Establishment!C$2:C$1005,MATCH($E467,Establishment!$A$2:$A$1005,0))</f>
        <v xml:space="preserve"> </v>
      </c>
      <c r="M467">
        <f t="shared" si="41"/>
        <v>0</v>
      </c>
      <c r="N467">
        <f t="shared" si="40"/>
        <v>0</v>
      </c>
      <c r="P467" t="e">
        <f>INDEX(Items!B$2:B$1032,MATCH($O467,Items!$A$2:$A$1032,0))</f>
        <v>#N/A</v>
      </c>
      <c r="Q467" t="e">
        <f>INDEX(Items!C$2:C$1032,MATCH($O467,Items!$A$2:$A$1032,0))</f>
        <v>#N/A</v>
      </c>
      <c r="R467" t="e">
        <f>INDEX(Items!D$2:D$1032,MATCH($O467,Items!$A$2:$A$1032,0))</f>
        <v>#N/A</v>
      </c>
    </row>
    <row r="468" spans="1:18" x14ac:dyDescent="0.25">
      <c r="A468">
        <f t="shared" si="39"/>
        <v>1</v>
      </c>
      <c r="B468" t="str">
        <f t="shared" si="42"/>
        <v/>
      </c>
      <c r="C468">
        <f t="shared" si="43"/>
        <v>1</v>
      </c>
      <c r="D468" s="4"/>
      <c r="E468" t="s">
        <v>18</v>
      </c>
      <c r="F468" t="str">
        <f>INDEX(Establishment!B$2:B$1005,MATCH($E468,Establishment!$A$2:$A$1005,0))</f>
        <v xml:space="preserve"> </v>
      </c>
      <c r="G468" t="str">
        <f>INDEX(Establishment!C$2:C$1005,MATCH($E468,Establishment!$A$2:$A$1005,0))</f>
        <v xml:space="preserve"> </v>
      </c>
      <c r="M468">
        <f t="shared" si="41"/>
        <v>0</v>
      </c>
      <c r="N468">
        <f t="shared" si="40"/>
        <v>0</v>
      </c>
      <c r="P468" t="e">
        <f>INDEX(Items!B$2:B$1032,MATCH($O468,Items!$A$2:$A$1032,0))</f>
        <v>#N/A</v>
      </c>
      <c r="Q468" t="e">
        <f>INDEX(Items!C$2:C$1032,MATCH($O468,Items!$A$2:$A$1032,0))</f>
        <v>#N/A</v>
      </c>
      <c r="R468" t="e">
        <f>INDEX(Items!D$2:D$1032,MATCH($O468,Items!$A$2:$A$1032,0))</f>
        <v>#N/A</v>
      </c>
    </row>
    <row r="469" spans="1:18" x14ac:dyDescent="0.25">
      <c r="A469">
        <f t="shared" si="39"/>
        <v>1</v>
      </c>
      <c r="B469" t="str">
        <f t="shared" si="42"/>
        <v/>
      </c>
      <c r="C469">
        <f t="shared" si="43"/>
        <v>1</v>
      </c>
      <c r="D469" s="4"/>
      <c r="E469" t="s">
        <v>18</v>
      </c>
      <c r="F469" t="str">
        <f>INDEX(Establishment!B$2:B$1005,MATCH($E469,Establishment!$A$2:$A$1005,0))</f>
        <v xml:space="preserve"> </v>
      </c>
      <c r="G469" t="str">
        <f>INDEX(Establishment!C$2:C$1005,MATCH($E469,Establishment!$A$2:$A$1005,0))</f>
        <v xml:space="preserve"> </v>
      </c>
      <c r="M469">
        <f t="shared" si="41"/>
        <v>0</v>
      </c>
      <c r="N469">
        <f t="shared" si="40"/>
        <v>0</v>
      </c>
      <c r="P469" t="e">
        <f>INDEX(Items!B$2:B$1032,MATCH($O469,Items!$A$2:$A$1032,0))</f>
        <v>#N/A</v>
      </c>
      <c r="Q469" t="e">
        <f>INDEX(Items!C$2:C$1032,MATCH($O469,Items!$A$2:$A$1032,0))</f>
        <v>#N/A</v>
      </c>
      <c r="R469" t="e">
        <f>INDEX(Items!D$2:D$1032,MATCH($O469,Items!$A$2:$A$1032,0))</f>
        <v>#N/A</v>
      </c>
    </row>
    <row r="470" spans="1:18" x14ac:dyDescent="0.25">
      <c r="A470">
        <f t="shared" si="39"/>
        <v>1</v>
      </c>
      <c r="B470" t="str">
        <f t="shared" si="42"/>
        <v/>
      </c>
      <c r="C470">
        <f t="shared" si="43"/>
        <v>1</v>
      </c>
      <c r="D470" s="4"/>
      <c r="E470" t="s">
        <v>18</v>
      </c>
      <c r="F470" t="str">
        <f>INDEX(Establishment!B$2:B$1005,MATCH($E470,Establishment!$A$2:$A$1005,0))</f>
        <v xml:space="preserve"> </v>
      </c>
      <c r="G470" t="str">
        <f>INDEX(Establishment!C$2:C$1005,MATCH($E470,Establishment!$A$2:$A$1005,0))</f>
        <v xml:space="preserve"> </v>
      </c>
      <c r="M470">
        <f t="shared" si="41"/>
        <v>0</v>
      </c>
      <c r="N470">
        <f t="shared" si="40"/>
        <v>0</v>
      </c>
      <c r="P470" t="e">
        <f>INDEX(Items!B$2:B$1032,MATCH($O470,Items!$A$2:$A$1032,0))</f>
        <v>#N/A</v>
      </c>
      <c r="Q470" t="e">
        <f>INDEX(Items!C$2:C$1032,MATCH($O470,Items!$A$2:$A$1032,0))</f>
        <v>#N/A</v>
      </c>
      <c r="R470" t="e">
        <f>INDEX(Items!D$2:D$1032,MATCH($O470,Items!$A$2:$A$1032,0))</f>
        <v>#N/A</v>
      </c>
    </row>
    <row r="471" spans="1:18" x14ac:dyDescent="0.25">
      <c r="A471">
        <f t="shared" si="39"/>
        <v>1</v>
      </c>
      <c r="B471" t="str">
        <f t="shared" si="42"/>
        <v/>
      </c>
      <c r="C471">
        <f t="shared" si="43"/>
        <v>1</v>
      </c>
      <c r="D471" s="4"/>
      <c r="E471" t="s">
        <v>18</v>
      </c>
      <c r="F471" t="str">
        <f>INDEX(Establishment!B$2:B$1005,MATCH($E471,Establishment!$A$2:$A$1005,0))</f>
        <v xml:space="preserve"> </v>
      </c>
      <c r="G471" t="str">
        <f>INDEX(Establishment!C$2:C$1005,MATCH($E471,Establishment!$A$2:$A$1005,0))</f>
        <v xml:space="preserve"> </v>
      </c>
      <c r="M471">
        <f t="shared" si="41"/>
        <v>0</v>
      </c>
      <c r="N471">
        <f t="shared" si="40"/>
        <v>0</v>
      </c>
      <c r="P471" t="e">
        <f>INDEX(Items!B$2:B$1032,MATCH($O471,Items!$A$2:$A$1032,0))</f>
        <v>#N/A</v>
      </c>
      <c r="Q471" t="e">
        <f>INDEX(Items!C$2:C$1032,MATCH($O471,Items!$A$2:$A$1032,0))</f>
        <v>#N/A</v>
      </c>
      <c r="R471" t="e">
        <f>INDEX(Items!D$2:D$1032,MATCH($O471,Items!$A$2:$A$1032,0))</f>
        <v>#N/A</v>
      </c>
    </row>
    <row r="472" spans="1:18" x14ac:dyDescent="0.25">
      <c r="A472">
        <f t="shared" si="39"/>
        <v>1</v>
      </c>
      <c r="B472" t="str">
        <f t="shared" si="42"/>
        <v/>
      </c>
      <c r="C472">
        <f t="shared" si="43"/>
        <v>1</v>
      </c>
      <c r="D472" s="4"/>
      <c r="E472" t="s">
        <v>18</v>
      </c>
      <c r="F472" t="str">
        <f>INDEX(Establishment!B$2:B$1005,MATCH($E472,Establishment!$A$2:$A$1005,0))</f>
        <v xml:space="preserve"> </v>
      </c>
      <c r="G472" t="str">
        <f>INDEX(Establishment!C$2:C$1005,MATCH($E472,Establishment!$A$2:$A$1005,0))</f>
        <v xml:space="preserve"> </v>
      </c>
      <c r="M472">
        <f t="shared" si="41"/>
        <v>0</v>
      </c>
      <c r="N472">
        <f t="shared" si="40"/>
        <v>0</v>
      </c>
      <c r="P472" t="e">
        <f>INDEX(Items!B$2:B$1032,MATCH($O472,Items!$A$2:$A$1032,0))</f>
        <v>#N/A</v>
      </c>
      <c r="Q472" t="e">
        <f>INDEX(Items!C$2:C$1032,MATCH($O472,Items!$A$2:$A$1032,0))</f>
        <v>#N/A</v>
      </c>
      <c r="R472" t="e">
        <f>INDEX(Items!D$2:D$1032,MATCH($O472,Items!$A$2:$A$1032,0))</f>
        <v>#N/A</v>
      </c>
    </row>
    <row r="473" spans="1:18" x14ac:dyDescent="0.25">
      <c r="A473">
        <f t="shared" si="39"/>
        <v>1</v>
      </c>
      <c r="B473" t="str">
        <f t="shared" si="42"/>
        <v/>
      </c>
      <c r="C473">
        <f t="shared" si="43"/>
        <v>1</v>
      </c>
      <c r="D473" s="4"/>
      <c r="E473" t="s">
        <v>18</v>
      </c>
      <c r="F473" t="str">
        <f>INDEX(Establishment!B$2:B$1005,MATCH($E473,Establishment!$A$2:$A$1005,0))</f>
        <v xml:space="preserve"> </v>
      </c>
      <c r="G473" t="str">
        <f>INDEX(Establishment!C$2:C$1005,MATCH($E473,Establishment!$A$2:$A$1005,0))</f>
        <v xml:space="preserve"> </v>
      </c>
      <c r="M473">
        <f t="shared" si="41"/>
        <v>0</v>
      </c>
      <c r="N473">
        <f t="shared" si="40"/>
        <v>0</v>
      </c>
      <c r="P473" t="e">
        <f>INDEX(Items!B$2:B$1032,MATCH($O473,Items!$A$2:$A$1032,0))</f>
        <v>#N/A</v>
      </c>
      <c r="Q473" t="e">
        <f>INDEX(Items!C$2:C$1032,MATCH($O473,Items!$A$2:$A$1032,0))</f>
        <v>#N/A</v>
      </c>
      <c r="R473" t="e">
        <f>INDEX(Items!D$2:D$1032,MATCH($O473,Items!$A$2:$A$1032,0))</f>
        <v>#N/A</v>
      </c>
    </row>
    <row r="474" spans="1:18" x14ac:dyDescent="0.25">
      <c r="A474">
        <f t="shared" si="39"/>
        <v>1</v>
      </c>
      <c r="B474" t="str">
        <f t="shared" si="42"/>
        <v/>
      </c>
      <c r="C474">
        <f t="shared" si="43"/>
        <v>1</v>
      </c>
      <c r="D474" s="4"/>
      <c r="E474" t="s">
        <v>18</v>
      </c>
      <c r="F474" t="str">
        <f>INDEX(Establishment!B$2:B$1005,MATCH($E474,Establishment!$A$2:$A$1005,0))</f>
        <v xml:space="preserve"> </v>
      </c>
      <c r="G474" t="str">
        <f>INDEX(Establishment!C$2:C$1005,MATCH($E474,Establishment!$A$2:$A$1005,0))</f>
        <v xml:space="preserve"> </v>
      </c>
      <c r="M474">
        <f t="shared" si="41"/>
        <v>0</v>
      </c>
      <c r="N474">
        <f t="shared" si="40"/>
        <v>0</v>
      </c>
      <c r="P474" t="e">
        <f>INDEX(Items!B$2:B$1032,MATCH($O474,Items!$A$2:$A$1032,0))</f>
        <v>#N/A</v>
      </c>
      <c r="Q474" t="e">
        <f>INDEX(Items!C$2:C$1032,MATCH($O474,Items!$A$2:$A$1032,0))</f>
        <v>#N/A</v>
      </c>
      <c r="R474" t="e">
        <f>INDEX(Items!D$2:D$1032,MATCH($O474,Items!$A$2:$A$1032,0))</f>
        <v>#N/A</v>
      </c>
    </row>
    <row r="475" spans="1:18" x14ac:dyDescent="0.25">
      <c r="A475">
        <f t="shared" si="39"/>
        <v>1</v>
      </c>
      <c r="B475" t="str">
        <f t="shared" si="42"/>
        <v/>
      </c>
      <c r="C475">
        <f t="shared" si="43"/>
        <v>1</v>
      </c>
      <c r="D475" s="4"/>
      <c r="E475" t="s">
        <v>18</v>
      </c>
      <c r="F475" t="str">
        <f>INDEX(Establishment!B$2:B$1005,MATCH($E475,Establishment!$A$2:$A$1005,0))</f>
        <v xml:space="preserve"> </v>
      </c>
      <c r="G475" t="str">
        <f>INDEX(Establishment!C$2:C$1005,MATCH($E475,Establishment!$A$2:$A$1005,0))</f>
        <v xml:space="preserve"> </v>
      </c>
      <c r="M475">
        <f t="shared" si="41"/>
        <v>0</v>
      </c>
      <c r="N475">
        <f t="shared" si="40"/>
        <v>0</v>
      </c>
      <c r="P475" t="e">
        <f>INDEX(Items!B$2:B$1032,MATCH($O475,Items!$A$2:$A$1032,0))</f>
        <v>#N/A</v>
      </c>
      <c r="Q475" t="e">
        <f>INDEX(Items!C$2:C$1032,MATCH($O475,Items!$A$2:$A$1032,0))</f>
        <v>#N/A</v>
      </c>
      <c r="R475" t="e">
        <f>INDEX(Items!D$2:D$1032,MATCH($O475,Items!$A$2:$A$1032,0))</f>
        <v>#N/A</v>
      </c>
    </row>
    <row r="476" spans="1:18" x14ac:dyDescent="0.25">
      <c r="A476">
        <f t="shared" si="39"/>
        <v>1</v>
      </c>
      <c r="B476" t="str">
        <f t="shared" si="42"/>
        <v/>
      </c>
      <c r="C476">
        <f t="shared" si="43"/>
        <v>1</v>
      </c>
      <c r="D476" s="4"/>
      <c r="E476" t="s">
        <v>18</v>
      </c>
      <c r="F476" t="str">
        <f>INDEX(Establishment!B$2:B$1005,MATCH($E476,Establishment!$A$2:$A$1005,0))</f>
        <v xml:space="preserve"> </v>
      </c>
      <c r="G476" t="str">
        <f>INDEX(Establishment!C$2:C$1005,MATCH($E476,Establishment!$A$2:$A$1005,0))</f>
        <v xml:space="preserve"> </v>
      </c>
      <c r="M476">
        <f t="shared" si="41"/>
        <v>0</v>
      </c>
      <c r="N476">
        <f t="shared" si="40"/>
        <v>0</v>
      </c>
      <c r="P476" t="e">
        <f>INDEX(Items!B$2:B$1032,MATCH($O476,Items!$A$2:$A$1032,0))</f>
        <v>#N/A</v>
      </c>
      <c r="Q476" t="e">
        <f>INDEX(Items!C$2:C$1032,MATCH($O476,Items!$A$2:$A$1032,0))</f>
        <v>#N/A</v>
      </c>
      <c r="R476" t="e">
        <f>INDEX(Items!D$2:D$1032,MATCH($O476,Items!$A$2:$A$1032,0))</f>
        <v>#N/A</v>
      </c>
    </row>
    <row r="477" spans="1:18" x14ac:dyDescent="0.25">
      <c r="A477">
        <f t="shared" si="39"/>
        <v>1</v>
      </c>
      <c r="B477" t="str">
        <f t="shared" si="42"/>
        <v/>
      </c>
      <c r="C477">
        <f t="shared" si="43"/>
        <v>1</v>
      </c>
      <c r="D477" s="4"/>
      <c r="E477" t="s">
        <v>18</v>
      </c>
      <c r="F477" t="str">
        <f>INDEX(Establishment!B$2:B$1005,MATCH($E477,Establishment!$A$2:$A$1005,0))</f>
        <v xml:space="preserve"> </v>
      </c>
      <c r="G477" t="str">
        <f>INDEX(Establishment!C$2:C$1005,MATCH($E477,Establishment!$A$2:$A$1005,0))</f>
        <v xml:space="preserve"> </v>
      </c>
      <c r="M477">
        <f t="shared" si="41"/>
        <v>0</v>
      </c>
      <c r="N477">
        <f t="shared" si="40"/>
        <v>0</v>
      </c>
      <c r="P477" t="e">
        <f>INDEX(Items!B$2:B$1032,MATCH($O477,Items!$A$2:$A$1032,0))</f>
        <v>#N/A</v>
      </c>
      <c r="Q477" t="e">
        <f>INDEX(Items!C$2:C$1032,MATCH($O477,Items!$A$2:$A$1032,0))</f>
        <v>#N/A</v>
      </c>
      <c r="R477" t="e">
        <f>INDEX(Items!D$2:D$1032,MATCH($O477,Items!$A$2:$A$1032,0))</f>
        <v>#N/A</v>
      </c>
    </row>
    <row r="478" spans="1:18" x14ac:dyDescent="0.25">
      <c r="A478">
        <f t="shared" si="39"/>
        <v>1</v>
      </c>
      <c r="B478" t="str">
        <f t="shared" si="42"/>
        <v/>
      </c>
      <c r="C478">
        <f t="shared" si="43"/>
        <v>1</v>
      </c>
      <c r="D478" s="4"/>
      <c r="E478" t="s">
        <v>18</v>
      </c>
      <c r="F478" t="str">
        <f>INDEX(Establishment!B$2:B$1005,MATCH($E478,Establishment!$A$2:$A$1005,0))</f>
        <v xml:space="preserve"> </v>
      </c>
      <c r="G478" t="str">
        <f>INDEX(Establishment!C$2:C$1005,MATCH($E478,Establishment!$A$2:$A$1005,0))</f>
        <v xml:space="preserve"> </v>
      </c>
      <c r="M478">
        <f t="shared" si="41"/>
        <v>0</v>
      </c>
      <c r="N478">
        <f t="shared" si="40"/>
        <v>0</v>
      </c>
      <c r="P478" t="e">
        <f>INDEX(Items!B$2:B$1032,MATCH($O478,Items!$A$2:$A$1032,0))</f>
        <v>#N/A</v>
      </c>
      <c r="Q478" t="e">
        <f>INDEX(Items!C$2:C$1032,MATCH($O478,Items!$A$2:$A$1032,0))</f>
        <v>#N/A</v>
      </c>
      <c r="R478" t="e">
        <f>INDEX(Items!D$2:D$1032,MATCH($O478,Items!$A$2:$A$1032,0))</f>
        <v>#N/A</v>
      </c>
    </row>
    <row r="479" spans="1:18" x14ac:dyDescent="0.25">
      <c r="A479">
        <f t="shared" si="39"/>
        <v>1</v>
      </c>
      <c r="B479" t="str">
        <f t="shared" si="42"/>
        <v/>
      </c>
      <c r="C479">
        <f t="shared" si="43"/>
        <v>1</v>
      </c>
      <c r="D479" s="4"/>
      <c r="E479" t="s">
        <v>18</v>
      </c>
      <c r="F479" t="str">
        <f>INDEX(Establishment!B$2:B$1005,MATCH($E479,Establishment!$A$2:$A$1005,0))</f>
        <v xml:space="preserve"> </v>
      </c>
      <c r="G479" t="str">
        <f>INDEX(Establishment!C$2:C$1005,MATCH($E479,Establishment!$A$2:$A$1005,0))</f>
        <v xml:space="preserve"> </v>
      </c>
      <c r="M479">
        <f t="shared" si="41"/>
        <v>0</v>
      </c>
      <c r="N479">
        <f t="shared" si="40"/>
        <v>0</v>
      </c>
      <c r="P479" t="e">
        <f>INDEX(Items!B$2:B$1032,MATCH($O479,Items!$A$2:$A$1032,0))</f>
        <v>#N/A</v>
      </c>
      <c r="Q479" t="e">
        <f>INDEX(Items!C$2:C$1032,MATCH($O479,Items!$A$2:$A$1032,0))</f>
        <v>#N/A</v>
      </c>
      <c r="R479" t="e">
        <f>INDEX(Items!D$2:D$1032,MATCH($O479,Items!$A$2:$A$1032,0))</f>
        <v>#N/A</v>
      </c>
    </row>
    <row r="480" spans="1:18" x14ac:dyDescent="0.25">
      <c r="A480">
        <f t="shared" si="39"/>
        <v>1</v>
      </c>
      <c r="B480" t="str">
        <f t="shared" si="42"/>
        <v/>
      </c>
      <c r="C480">
        <f t="shared" si="43"/>
        <v>1</v>
      </c>
      <c r="D480" s="4"/>
      <c r="E480" t="s">
        <v>18</v>
      </c>
      <c r="F480" t="str">
        <f>INDEX(Establishment!B$2:B$1005,MATCH($E480,Establishment!$A$2:$A$1005,0))</f>
        <v xml:space="preserve"> </v>
      </c>
      <c r="G480" t="str">
        <f>INDEX(Establishment!C$2:C$1005,MATCH($E480,Establishment!$A$2:$A$1005,0))</f>
        <v xml:space="preserve"> </v>
      </c>
      <c r="M480">
        <f t="shared" si="41"/>
        <v>0</v>
      </c>
      <c r="N480">
        <f t="shared" si="40"/>
        <v>0</v>
      </c>
      <c r="P480" t="e">
        <f>INDEX(Items!B$2:B$1032,MATCH($O480,Items!$A$2:$A$1032,0))</f>
        <v>#N/A</v>
      </c>
      <c r="Q480" t="e">
        <f>INDEX(Items!C$2:C$1032,MATCH($O480,Items!$A$2:$A$1032,0))</f>
        <v>#N/A</v>
      </c>
      <c r="R480" t="e">
        <f>INDEX(Items!D$2:D$1032,MATCH($O480,Items!$A$2:$A$1032,0))</f>
        <v>#N/A</v>
      </c>
    </row>
    <row r="481" spans="1:18" x14ac:dyDescent="0.25">
      <c r="A481">
        <f t="shared" si="39"/>
        <v>1</v>
      </c>
      <c r="B481" t="str">
        <f t="shared" si="42"/>
        <v/>
      </c>
      <c r="C481">
        <f t="shared" si="43"/>
        <v>1</v>
      </c>
      <c r="D481" s="4"/>
      <c r="E481" t="s">
        <v>18</v>
      </c>
      <c r="F481" t="str">
        <f>INDEX(Establishment!B$2:B$1005,MATCH($E481,Establishment!$A$2:$A$1005,0))</f>
        <v xml:space="preserve"> </v>
      </c>
      <c r="G481" t="str">
        <f>INDEX(Establishment!C$2:C$1005,MATCH($E481,Establishment!$A$2:$A$1005,0))</f>
        <v xml:space="preserve"> </v>
      </c>
      <c r="M481">
        <f t="shared" si="41"/>
        <v>0</v>
      </c>
      <c r="N481">
        <f t="shared" si="40"/>
        <v>0</v>
      </c>
      <c r="P481" t="e">
        <f>INDEX(Items!B$2:B$1032,MATCH($O481,Items!$A$2:$A$1032,0))</f>
        <v>#N/A</v>
      </c>
      <c r="Q481" t="e">
        <f>INDEX(Items!C$2:C$1032,MATCH($O481,Items!$A$2:$A$1032,0))</f>
        <v>#N/A</v>
      </c>
      <c r="R481" t="e">
        <f>INDEX(Items!D$2:D$1032,MATCH($O481,Items!$A$2:$A$1032,0))</f>
        <v>#N/A</v>
      </c>
    </row>
    <row r="482" spans="1:18" x14ac:dyDescent="0.25">
      <c r="A482">
        <f t="shared" si="39"/>
        <v>1</v>
      </c>
      <c r="B482" t="str">
        <f t="shared" si="42"/>
        <v/>
      </c>
      <c r="C482">
        <f t="shared" si="43"/>
        <v>1</v>
      </c>
      <c r="D482" s="4"/>
      <c r="E482" t="s">
        <v>18</v>
      </c>
      <c r="F482" t="str">
        <f>INDEX(Establishment!B$2:B$1005,MATCH($E482,Establishment!$A$2:$A$1005,0))</f>
        <v xml:space="preserve"> </v>
      </c>
      <c r="G482" t="str">
        <f>INDEX(Establishment!C$2:C$1005,MATCH($E482,Establishment!$A$2:$A$1005,0))</f>
        <v xml:space="preserve"> </v>
      </c>
      <c r="M482">
        <f t="shared" si="41"/>
        <v>0</v>
      </c>
      <c r="N482">
        <f t="shared" si="40"/>
        <v>0</v>
      </c>
      <c r="P482" t="e">
        <f>INDEX(Items!B$2:B$1032,MATCH($O482,Items!$A$2:$A$1032,0))</f>
        <v>#N/A</v>
      </c>
      <c r="Q482" t="e">
        <f>INDEX(Items!C$2:C$1032,MATCH($O482,Items!$A$2:$A$1032,0))</f>
        <v>#N/A</v>
      </c>
      <c r="R482" t="e">
        <f>INDEX(Items!D$2:D$1032,MATCH($O482,Items!$A$2:$A$1032,0))</f>
        <v>#N/A</v>
      </c>
    </row>
    <row r="483" spans="1:18" x14ac:dyDescent="0.25">
      <c r="A483">
        <f t="shared" si="39"/>
        <v>1</v>
      </c>
      <c r="B483" t="str">
        <f t="shared" si="42"/>
        <v/>
      </c>
      <c r="C483">
        <f t="shared" si="43"/>
        <v>1</v>
      </c>
      <c r="D483" s="4"/>
      <c r="E483" t="s">
        <v>18</v>
      </c>
      <c r="F483" t="str">
        <f>INDEX(Establishment!B$2:B$1005,MATCH($E483,Establishment!$A$2:$A$1005,0))</f>
        <v xml:space="preserve"> </v>
      </c>
      <c r="G483" t="str">
        <f>INDEX(Establishment!C$2:C$1005,MATCH($E483,Establishment!$A$2:$A$1005,0))</f>
        <v xml:space="preserve"> </v>
      </c>
      <c r="M483">
        <f t="shared" si="41"/>
        <v>0</v>
      </c>
      <c r="N483">
        <f t="shared" si="40"/>
        <v>0</v>
      </c>
      <c r="P483" t="e">
        <f>INDEX(Items!B$2:B$1032,MATCH($O483,Items!$A$2:$A$1032,0))</f>
        <v>#N/A</v>
      </c>
      <c r="Q483" t="e">
        <f>INDEX(Items!C$2:C$1032,MATCH($O483,Items!$A$2:$A$1032,0))</f>
        <v>#N/A</v>
      </c>
      <c r="R483" t="e">
        <f>INDEX(Items!D$2:D$1032,MATCH($O483,Items!$A$2:$A$1032,0))</f>
        <v>#N/A</v>
      </c>
    </row>
    <row r="484" spans="1:18" x14ac:dyDescent="0.25">
      <c r="A484">
        <f t="shared" si="39"/>
        <v>1</v>
      </c>
      <c r="B484" t="str">
        <f t="shared" si="42"/>
        <v/>
      </c>
      <c r="C484">
        <f t="shared" si="43"/>
        <v>1</v>
      </c>
      <c r="D484" s="4"/>
      <c r="E484" t="s">
        <v>18</v>
      </c>
      <c r="F484" t="str">
        <f>INDEX(Establishment!B$2:B$1005,MATCH($E484,Establishment!$A$2:$A$1005,0))</f>
        <v xml:space="preserve"> </v>
      </c>
      <c r="G484" t="str">
        <f>INDEX(Establishment!C$2:C$1005,MATCH($E484,Establishment!$A$2:$A$1005,0))</f>
        <v xml:space="preserve"> </v>
      </c>
      <c r="M484">
        <f t="shared" si="41"/>
        <v>0</v>
      </c>
      <c r="N484">
        <f t="shared" si="40"/>
        <v>0</v>
      </c>
      <c r="P484" t="e">
        <f>INDEX(Items!B$2:B$1032,MATCH($O484,Items!$A$2:$A$1032,0))</f>
        <v>#N/A</v>
      </c>
      <c r="Q484" t="e">
        <f>INDEX(Items!C$2:C$1032,MATCH($O484,Items!$A$2:$A$1032,0))</f>
        <v>#N/A</v>
      </c>
      <c r="R484" t="e">
        <f>INDEX(Items!D$2:D$1032,MATCH($O484,Items!$A$2:$A$1032,0))</f>
        <v>#N/A</v>
      </c>
    </row>
    <row r="485" spans="1:18" x14ac:dyDescent="0.25">
      <c r="A485">
        <f t="shared" si="39"/>
        <v>1</v>
      </c>
      <c r="B485" t="str">
        <f t="shared" si="42"/>
        <v/>
      </c>
      <c r="C485">
        <f t="shared" si="43"/>
        <v>1</v>
      </c>
      <c r="D485" s="4"/>
      <c r="E485" t="s">
        <v>18</v>
      </c>
      <c r="F485" t="str">
        <f>INDEX(Establishment!B$2:B$1005,MATCH($E485,Establishment!$A$2:$A$1005,0))</f>
        <v xml:space="preserve"> </v>
      </c>
      <c r="G485" t="str">
        <f>INDEX(Establishment!C$2:C$1005,MATCH($E485,Establishment!$A$2:$A$1005,0))</f>
        <v xml:space="preserve"> </v>
      </c>
      <c r="M485">
        <f t="shared" si="41"/>
        <v>0</v>
      </c>
      <c r="N485">
        <f t="shared" si="40"/>
        <v>0</v>
      </c>
      <c r="P485" t="e">
        <f>INDEX(Items!B$2:B$1032,MATCH($O485,Items!$A$2:$A$1032,0))</f>
        <v>#N/A</v>
      </c>
      <c r="Q485" t="e">
        <f>INDEX(Items!C$2:C$1032,MATCH($O485,Items!$A$2:$A$1032,0))</f>
        <v>#N/A</v>
      </c>
      <c r="R485" t="e">
        <f>INDEX(Items!D$2:D$1032,MATCH($O485,Items!$A$2:$A$1032,0))</f>
        <v>#N/A</v>
      </c>
    </row>
    <row r="486" spans="1:18" x14ac:dyDescent="0.25">
      <c r="A486">
        <f t="shared" si="39"/>
        <v>1</v>
      </c>
      <c r="B486" t="str">
        <f t="shared" si="42"/>
        <v/>
      </c>
      <c r="C486">
        <f t="shared" si="43"/>
        <v>1</v>
      </c>
      <c r="D486" s="4"/>
      <c r="E486" t="s">
        <v>18</v>
      </c>
      <c r="F486" t="str">
        <f>INDEX(Establishment!B$2:B$1005,MATCH($E486,Establishment!$A$2:$A$1005,0))</f>
        <v xml:space="preserve"> </v>
      </c>
      <c r="G486" t="str">
        <f>INDEX(Establishment!C$2:C$1005,MATCH($E486,Establishment!$A$2:$A$1005,0))</f>
        <v xml:space="preserve"> </v>
      </c>
      <c r="M486">
        <f t="shared" si="41"/>
        <v>0</v>
      </c>
      <c r="N486">
        <f t="shared" si="40"/>
        <v>0</v>
      </c>
      <c r="P486" t="e">
        <f>INDEX(Items!B$2:B$1032,MATCH($O486,Items!$A$2:$A$1032,0))</f>
        <v>#N/A</v>
      </c>
      <c r="Q486" t="e">
        <f>INDEX(Items!C$2:C$1032,MATCH($O486,Items!$A$2:$A$1032,0))</f>
        <v>#N/A</v>
      </c>
      <c r="R486" t="e">
        <f>INDEX(Items!D$2:D$1032,MATCH($O486,Items!$A$2:$A$1032,0))</f>
        <v>#N/A</v>
      </c>
    </row>
    <row r="487" spans="1:18" x14ac:dyDescent="0.25">
      <c r="A487">
        <f t="shared" si="39"/>
        <v>1</v>
      </c>
      <c r="B487" t="str">
        <f t="shared" si="42"/>
        <v/>
      </c>
      <c r="C487">
        <f t="shared" si="43"/>
        <v>1</v>
      </c>
      <c r="D487" s="4"/>
      <c r="E487" t="s">
        <v>18</v>
      </c>
      <c r="F487" t="str">
        <f>INDEX(Establishment!B$2:B$1005,MATCH($E487,Establishment!$A$2:$A$1005,0))</f>
        <v xml:space="preserve"> </v>
      </c>
      <c r="G487" t="str">
        <f>INDEX(Establishment!C$2:C$1005,MATCH($E487,Establishment!$A$2:$A$1005,0))</f>
        <v xml:space="preserve"> </v>
      </c>
      <c r="M487">
        <f t="shared" si="41"/>
        <v>0</v>
      </c>
      <c r="N487">
        <f t="shared" si="40"/>
        <v>0</v>
      </c>
      <c r="P487" t="e">
        <f>INDEX(Items!B$2:B$1032,MATCH($O487,Items!$A$2:$A$1032,0))</f>
        <v>#N/A</v>
      </c>
      <c r="Q487" t="e">
        <f>INDEX(Items!C$2:C$1032,MATCH($O487,Items!$A$2:$A$1032,0))</f>
        <v>#N/A</v>
      </c>
      <c r="R487" t="e">
        <f>INDEX(Items!D$2:D$1032,MATCH($O487,Items!$A$2:$A$1032,0))</f>
        <v>#N/A</v>
      </c>
    </row>
    <row r="488" spans="1:18" x14ac:dyDescent="0.25">
      <c r="A488">
        <f t="shared" si="39"/>
        <v>1</v>
      </c>
      <c r="B488" t="str">
        <f t="shared" si="42"/>
        <v/>
      </c>
      <c r="C488">
        <f t="shared" si="43"/>
        <v>1</v>
      </c>
      <c r="D488" s="4"/>
      <c r="E488" t="s">
        <v>18</v>
      </c>
      <c r="F488" t="str">
        <f>INDEX(Establishment!B$2:B$1005,MATCH($E488,Establishment!$A$2:$A$1005,0))</f>
        <v xml:space="preserve"> </v>
      </c>
      <c r="G488" t="str">
        <f>INDEX(Establishment!C$2:C$1005,MATCH($E488,Establishment!$A$2:$A$1005,0))</f>
        <v xml:space="preserve"> </v>
      </c>
      <c r="M488">
        <f t="shared" si="41"/>
        <v>0</v>
      </c>
      <c r="N488">
        <f t="shared" si="40"/>
        <v>0</v>
      </c>
      <c r="P488" t="e">
        <f>INDEX(Items!B$2:B$1032,MATCH($O488,Items!$A$2:$A$1032,0))</f>
        <v>#N/A</v>
      </c>
      <c r="Q488" t="e">
        <f>INDEX(Items!C$2:C$1032,MATCH($O488,Items!$A$2:$A$1032,0))</f>
        <v>#N/A</v>
      </c>
      <c r="R488" t="e">
        <f>INDEX(Items!D$2:D$1032,MATCH($O488,Items!$A$2:$A$1032,0))</f>
        <v>#N/A</v>
      </c>
    </row>
    <row r="489" spans="1:18" x14ac:dyDescent="0.25">
      <c r="A489">
        <f t="shared" si="39"/>
        <v>1</v>
      </c>
      <c r="B489" t="str">
        <f t="shared" si="42"/>
        <v/>
      </c>
      <c r="C489">
        <f t="shared" si="43"/>
        <v>1</v>
      </c>
      <c r="D489" s="4"/>
      <c r="E489" t="s">
        <v>18</v>
      </c>
      <c r="F489" t="str">
        <f>INDEX(Establishment!B$2:B$1005,MATCH($E489,Establishment!$A$2:$A$1005,0))</f>
        <v xml:space="preserve"> </v>
      </c>
      <c r="G489" t="str">
        <f>INDEX(Establishment!C$2:C$1005,MATCH($E489,Establishment!$A$2:$A$1005,0))</f>
        <v xml:space="preserve"> </v>
      </c>
      <c r="M489">
        <f t="shared" si="41"/>
        <v>0</v>
      </c>
      <c r="N489">
        <f t="shared" si="40"/>
        <v>0</v>
      </c>
      <c r="P489" t="e">
        <f>INDEX(Items!B$2:B$1032,MATCH($O489,Items!$A$2:$A$1032,0))</f>
        <v>#N/A</v>
      </c>
      <c r="Q489" t="e">
        <f>INDEX(Items!C$2:C$1032,MATCH($O489,Items!$A$2:$A$1032,0))</f>
        <v>#N/A</v>
      </c>
      <c r="R489" t="e">
        <f>INDEX(Items!D$2:D$1032,MATCH($O489,Items!$A$2:$A$1032,0))</f>
        <v>#N/A</v>
      </c>
    </row>
    <row r="490" spans="1:18" x14ac:dyDescent="0.25">
      <c r="A490">
        <f t="shared" si="39"/>
        <v>1</v>
      </c>
      <c r="B490" t="str">
        <f t="shared" si="42"/>
        <v/>
      </c>
      <c r="C490">
        <f t="shared" si="43"/>
        <v>1</v>
      </c>
      <c r="D490" s="4"/>
      <c r="E490" t="s">
        <v>18</v>
      </c>
      <c r="F490" t="str">
        <f>INDEX(Establishment!B$2:B$1005,MATCH($E490,Establishment!$A$2:$A$1005,0))</f>
        <v xml:space="preserve"> </v>
      </c>
      <c r="G490" t="str">
        <f>INDEX(Establishment!C$2:C$1005,MATCH($E490,Establishment!$A$2:$A$1005,0))</f>
        <v xml:space="preserve"> </v>
      </c>
      <c r="M490">
        <f t="shared" si="41"/>
        <v>0</v>
      </c>
      <c r="N490">
        <f t="shared" si="40"/>
        <v>0</v>
      </c>
      <c r="P490" t="e">
        <f>INDEX(Items!B$2:B$1032,MATCH($O490,Items!$A$2:$A$1032,0))</f>
        <v>#N/A</v>
      </c>
      <c r="Q490" t="e">
        <f>INDEX(Items!C$2:C$1032,MATCH($O490,Items!$A$2:$A$1032,0))</f>
        <v>#N/A</v>
      </c>
      <c r="R490" t="e">
        <f>INDEX(Items!D$2:D$1032,MATCH($O490,Items!$A$2:$A$1032,0))</f>
        <v>#N/A</v>
      </c>
    </row>
    <row r="491" spans="1:18" x14ac:dyDescent="0.25">
      <c r="A491">
        <f t="shared" si="39"/>
        <v>1</v>
      </c>
      <c r="B491" t="str">
        <f t="shared" si="42"/>
        <v/>
      </c>
      <c r="C491">
        <f t="shared" si="43"/>
        <v>1</v>
      </c>
      <c r="D491" s="4"/>
      <c r="E491" t="s">
        <v>18</v>
      </c>
      <c r="F491" t="str">
        <f>INDEX(Establishment!B$2:B$1005,MATCH($E491,Establishment!$A$2:$A$1005,0))</f>
        <v xml:space="preserve"> </v>
      </c>
      <c r="G491" t="str">
        <f>INDEX(Establishment!C$2:C$1005,MATCH($E491,Establishment!$A$2:$A$1005,0))</f>
        <v xml:space="preserve"> </v>
      </c>
      <c r="M491">
        <f t="shared" si="41"/>
        <v>0</v>
      </c>
      <c r="N491">
        <f t="shared" si="40"/>
        <v>0</v>
      </c>
      <c r="P491" t="e">
        <f>INDEX(Items!B$2:B$1032,MATCH($O491,Items!$A$2:$A$1032,0))</f>
        <v>#N/A</v>
      </c>
      <c r="Q491" t="e">
        <f>INDEX(Items!C$2:C$1032,MATCH($O491,Items!$A$2:$A$1032,0))</f>
        <v>#N/A</v>
      </c>
      <c r="R491" t="e">
        <f>INDEX(Items!D$2:D$1032,MATCH($O491,Items!$A$2:$A$1032,0))</f>
        <v>#N/A</v>
      </c>
    </row>
    <row r="492" spans="1:18" x14ac:dyDescent="0.25">
      <c r="A492">
        <f t="shared" si="39"/>
        <v>1</v>
      </c>
      <c r="B492" t="str">
        <f t="shared" si="42"/>
        <v/>
      </c>
      <c r="C492">
        <f t="shared" si="43"/>
        <v>1</v>
      </c>
      <c r="D492" s="4"/>
      <c r="E492" t="s">
        <v>18</v>
      </c>
      <c r="F492" t="str">
        <f>INDEX(Establishment!B$2:B$1005,MATCH($E492,Establishment!$A$2:$A$1005,0))</f>
        <v xml:space="preserve"> </v>
      </c>
      <c r="G492" t="str">
        <f>INDEX(Establishment!C$2:C$1005,MATCH($E492,Establishment!$A$2:$A$1005,0))</f>
        <v xml:space="preserve"> </v>
      </c>
      <c r="M492">
        <f t="shared" si="41"/>
        <v>0</v>
      </c>
      <c r="N492">
        <f t="shared" si="40"/>
        <v>0</v>
      </c>
      <c r="P492" t="e">
        <f>INDEX(Items!B$2:B$1032,MATCH($O492,Items!$A$2:$A$1032,0))</f>
        <v>#N/A</v>
      </c>
      <c r="Q492" t="e">
        <f>INDEX(Items!C$2:C$1032,MATCH($O492,Items!$A$2:$A$1032,0))</f>
        <v>#N/A</v>
      </c>
      <c r="R492" t="e">
        <f>INDEX(Items!D$2:D$1032,MATCH($O492,Items!$A$2:$A$1032,0))</f>
        <v>#N/A</v>
      </c>
    </row>
    <row r="493" spans="1:18" x14ac:dyDescent="0.25">
      <c r="A493">
        <f t="shared" si="39"/>
        <v>1</v>
      </c>
      <c r="B493" t="str">
        <f t="shared" si="42"/>
        <v/>
      </c>
      <c r="C493">
        <f t="shared" si="43"/>
        <v>1</v>
      </c>
      <c r="D493" s="4"/>
      <c r="E493" t="s">
        <v>18</v>
      </c>
      <c r="F493" t="str">
        <f>INDEX(Establishment!B$2:B$1005,MATCH($E493,Establishment!$A$2:$A$1005,0))</f>
        <v xml:space="preserve"> </v>
      </c>
      <c r="G493" t="str">
        <f>INDEX(Establishment!C$2:C$1005,MATCH($E493,Establishment!$A$2:$A$1005,0))</f>
        <v xml:space="preserve"> </v>
      </c>
      <c r="M493">
        <f t="shared" si="41"/>
        <v>0</v>
      </c>
      <c r="N493">
        <f t="shared" si="40"/>
        <v>0</v>
      </c>
      <c r="P493" t="e">
        <f>INDEX(Items!B$2:B$1032,MATCH($O493,Items!$A$2:$A$1032,0))</f>
        <v>#N/A</v>
      </c>
      <c r="Q493" t="e">
        <f>INDEX(Items!C$2:C$1032,MATCH($O493,Items!$A$2:$A$1032,0))</f>
        <v>#N/A</v>
      </c>
      <c r="R493" t="e">
        <f>INDEX(Items!D$2:D$1032,MATCH($O493,Items!$A$2:$A$1032,0))</f>
        <v>#N/A</v>
      </c>
    </row>
    <row r="494" spans="1:18" x14ac:dyDescent="0.25">
      <c r="A494">
        <f t="shared" si="39"/>
        <v>1</v>
      </c>
      <c r="B494" t="str">
        <f t="shared" si="42"/>
        <v/>
      </c>
      <c r="C494">
        <f t="shared" si="43"/>
        <v>1</v>
      </c>
      <c r="D494" s="4"/>
      <c r="E494" t="s">
        <v>18</v>
      </c>
      <c r="F494" t="str">
        <f>INDEX(Establishment!B$2:B$1005,MATCH($E494,Establishment!$A$2:$A$1005,0))</f>
        <v xml:space="preserve"> </v>
      </c>
      <c r="G494" t="str">
        <f>INDEX(Establishment!C$2:C$1005,MATCH($E494,Establishment!$A$2:$A$1005,0))</f>
        <v xml:space="preserve"> </v>
      </c>
      <c r="M494">
        <f t="shared" si="41"/>
        <v>0</v>
      </c>
      <c r="N494">
        <f t="shared" si="40"/>
        <v>0</v>
      </c>
      <c r="P494" t="e">
        <f>INDEX(Items!B$2:B$1032,MATCH($O494,Items!$A$2:$A$1032,0))</f>
        <v>#N/A</v>
      </c>
      <c r="Q494" t="e">
        <f>INDEX(Items!C$2:C$1032,MATCH($O494,Items!$A$2:$A$1032,0))</f>
        <v>#N/A</v>
      </c>
      <c r="R494" t="e">
        <f>INDEX(Items!D$2:D$1032,MATCH($O494,Items!$A$2:$A$1032,0))</f>
        <v>#N/A</v>
      </c>
    </row>
    <row r="495" spans="1:18" x14ac:dyDescent="0.25">
      <c r="A495">
        <f t="shared" si="39"/>
        <v>1</v>
      </c>
      <c r="B495" t="str">
        <f t="shared" si="42"/>
        <v/>
      </c>
      <c r="C495">
        <f t="shared" si="43"/>
        <v>1</v>
      </c>
      <c r="D495" s="4"/>
      <c r="E495" t="s">
        <v>18</v>
      </c>
      <c r="F495" t="str">
        <f>INDEX(Establishment!B$2:B$1005,MATCH($E495,Establishment!$A$2:$A$1005,0))</f>
        <v xml:space="preserve"> </v>
      </c>
      <c r="G495" t="str">
        <f>INDEX(Establishment!C$2:C$1005,MATCH($E495,Establishment!$A$2:$A$1005,0))</f>
        <v xml:space="preserve"> </v>
      </c>
      <c r="M495">
        <f t="shared" si="41"/>
        <v>0</v>
      </c>
      <c r="N495">
        <f t="shared" si="40"/>
        <v>0</v>
      </c>
      <c r="P495" t="e">
        <f>INDEX(Items!B$2:B$1032,MATCH($O495,Items!$A$2:$A$1032,0))</f>
        <v>#N/A</v>
      </c>
      <c r="Q495" t="e">
        <f>INDEX(Items!C$2:C$1032,MATCH($O495,Items!$A$2:$A$1032,0))</f>
        <v>#N/A</v>
      </c>
      <c r="R495" t="e">
        <f>INDEX(Items!D$2:D$1032,MATCH($O495,Items!$A$2:$A$1032,0))</f>
        <v>#N/A</v>
      </c>
    </row>
    <row r="496" spans="1:18" x14ac:dyDescent="0.25">
      <c r="A496">
        <f t="shared" si="39"/>
        <v>1</v>
      </c>
      <c r="B496" t="str">
        <f t="shared" si="42"/>
        <v/>
      </c>
      <c r="C496">
        <f t="shared" si="43"/>
        <v>1</v>
      </c>
      <c r="D496" s="4"/>
      <c r="E496" t="s">
        <v>18</v>
      </c>
      <c r="F496" t="str">
        <f>INDEX(Establishment!B$2:B$1005,MATCH($E496,Establishment!$A$2:$A$1005,0))</f>
        <v xml:space="preserve"> </v>
      </c>
      <c r="G496" t="str">
        <f>INDEX(Establishment!C$2:C$1005,MATCH($E496,Establishment!$A$2:$A$1005,0))</f>
        <v xml:space="preserve"> </v>
      </c>
      <c r="M496">
        <f t="shared" si="41"/>
        <v>0</v>
      </c>
      <c r="N496">
        <f t="shared" si="40"/>
        <v>0</v>
      </c>
      <c r="P496" t="e">
        <f>INDEX(Items!B$2:B$1032,MATCH($O496,Items!$A$2:$A$1032,0))</f>
        <v>#N/A</v>
      </c>
      <c r="Q496" t="e">
        <f>INDEX(Items!C$2:C$1032,MATCH($O496,Items!$A$2:$A$1032,0))</f>
        <v>#N/A</v>
      </c>
      <c r="R496" t="e">
        <f>INDEX(Items!D$2:D$1032,MATCH($O496,Items!$A$2:$A$1032,0))</f>
        <v>#N/A</v>
      </c>
    </row>
    <row r="497" spans="1:18" x14ac:dyDescent="0.25">
      <c r="A497">
        <f t="shared" si="39"/>
        <v>1</v>
      </c>
      <c r="B497" t="str">
        <f t="shared" si="42"/>
        <v/>
      </c>
      <c r="C497">
        <f t="shared" si="43"/>
        <v>1</v>
      </c>
      <c r="D497" s="4"/>
      <c r="E497" t="s">
        <v>18</v>
      </c>
      <c r="F497" t="str">
        <f>INDEX(Establishment!B$2:B$1005,MATCH($E497,Establishment!$A$2:$A$1005,0))</f>
        <v xml:space="preserve"> </v>
      </c>
      <c r="G497" t="str">
        <f>INDEX(Establishment!C$2:C$1005,MATCH($E497,Establishment!$A$2:$A$1005,0))</f>
        <v xml:space="preserve"> </v>
      </c>
      <c r="M497">
        <f t="shared" si="41"/>
        <v>0</v>
      </c>
      <c r="N497">
        <f t="shared" si="40"/>
        <v>0</v>
      </c>
      <c r="P497" t="e">
        <f>INDEX(Items!B$2:B$1032,MATCH($O497,Items!$A$2:$A$1032,0))</f>
        <v>#N/A</v>
      </c>
      <c r="Q497" t="e">
        <f>INDEX(Items!C$2:C$1032,MATCH($O497,Items!$A$2:$A$1032,0))</f>
        <v>#N/A</v>
      </c>
      <c r="R497" t="e">
        <f>INDEX(Items!D$2:D$1032,MATCH($O497,Items!$A$2:$A$1032,0))</f>
        <v>#N/A</v>
      </c>
    </row>
    <row r="498" spans="1:18" x14ac:dyDescent="0.25">
      <c r="A498">
        <f t="shared" si="39"/>
        <v>1</v>
      </c>
      <c r="B498" t="str">
        <f t="shared" si="42"/>
        <v/>
      </c>
      <c r="C498">
        <f t="shared" si="43"/>
        <v>1</v>
      </c>
      <c r="D498" s="4"/>
      <c r="E498" t="s">
        <v>18</v>
      </c>
      <c r="F498" t="str">
        <f>INDEX(Establishment!B$2:B$1005,MATCH($E498,Establishment!$A$2:$A$1005,0))</f>
        <v xml:space="preserve"> </v>
      </c>
      <c r="G498" t="str">
        <f>INDEX(Establishment!C$2:C$1005,MATCH($E498,Establishment!$A$2:$A$1005,0))</f>
        <v xml:space="preserve"> </v>
      </c>
      <c r="M498">
        <f t="shared" si="41"/>
        <v>0</v>
      </c>
      <c r="N498">
        <f t="shared" si="40"/>
        <v>0</v>
      </c>
      <c r="P498" t="e">
        <f>INDEX(Items!B$2:B$1032,MATCH($O498,Items!$A$2:$A$1032,0))</f>
        <v>#N/A</v>
      </c>
      <c r="Q498" t="e">
        <f>INDEX(Items!C$2:C$1032,MATCH($O498,Items!$A$2:$A$1032,0))</f>
        <v>#N/A</v>
      </c>
      <c r="R498" t="e">
        <f>INDEX(Items!D$2:D$1032,MATCH($O498,Items!$A$2:$A$1032,0))</f>
        <v>#N/A</v>
      </c>
    </row>
    <row r="499" spans="1:18" x14ac:dyDescent="0.25">
      <c r="A499">
        <f t="shared" si="39"/>
        <v>1</v>
      </c>
      <c r="B499" t="str">
        <f t="shared" si="42"/>
        <v/>
      </c>
      <c r="C499">
        <f t="shared" si="43"/>
        <v>1</v>
      </c>
      <c r="D499" s="4"/>
      <c r="E499" t="s">
        <v>18</v>
      </c>
      <c r="F499" t="str">
        <f>INDEX(Establishment!B$2:B$1005,MATCH($E499,Establishment!$A$2:$A$1005,0))</f>
        <v xml:space="preserve"> </v>
      </c>
      <c r="G499" t="str">
        <f>INDEX(Establishment!C$2:C$1005,MATCH($E499,Establishment!$A$2:$A$1005,0))</f>
        <v xml:space="preserve"> </v>
      </c>
      <c r="M499">
        <f t="shared" si="41"/>
        <v>0</v>
      </c>
      <c r="N499">
        <f t="shared" si="40"/>
        <v>0</v>
      </c>
      <c r="P499" t="e">
        <f>INDEX(Items!B$2:B$1032,MATCH($O499,Items!$A$2:$A$1032,0))</f>
        <v>#N/A</v>
      </c>
      <c r="Q499" t="e">
        <f>INDEX(Items!C$2:C$1032,MATCH($O499,Items!$A$2:$A$1032,0))</f>
        <v>#N/A</v>
      </c>
      <c r="R499" t="e">
        <f>INDEX(Items!D$2:D$1032,MATCH($O499,Items!$A$2:$A$1032,0))</f>
        <v>#N/A</v>
      </c>
    </row>
  </sheetData>
  <autoFilter ref="A1:S499" xr:uid="{5F0E76B2-0B92-47EE-AE22-5D9D037037E9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F6DB28E-A1C6-42E0-8F21-F488B61EA775}">
          <x14:formula1>
            <xm:f>Misc!$A$2:$A$8</xm:f>
          </x14:formula1>
          <xm:sqref>H1:H1048576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05130-2FAC-4BBE-B50E-F58A2B4E1185}">
  <dimension ref="A1:A6"/>
  <sheetViews>
    <sheetView workbookViewId="0">
      <selection activeCell="H92" sqref="H92"/>
    </sheetView>
  </sheetViews>
  <sheetFormatPr defaultRowHeight="15" x14ac:dyDescent="0.25"/>
  <cols>
    <col min="1" max="1" width="13.7109375" bestFit="1" customWidth="1"/>
  </cols>
  <sheetData>
    <row r="1" spans="1:1" x14ac:dyDescent="0.25">
      <c r="A1" t="s">
        <v>7</v>
      </c>
    </row>
    <row r="2" spans="1:1" x14ac:dyDescent="0.25">
      <c r="A2" s="5" t="s">
        <v>28</v>
      </c>
    </row>
    <row r="3" spans="1:1" x14ac:dyDescent="0.25">
      <c r="A3" s="5" t="s">
        <v>20</v>
      </c>
    </row>
    <row r="4" spans="1:1" x14ac:dyDescent="0.25">
      <c r="A4" s="5" t="s">
        <v>54</v>
      </c>
    </row>
    <row r="5" spans="1:1" x14ac:dyDescent="0.25">
      <c r="A5" s="5" t="s">
        <v>45</v>
      </c>
    </row>
    <row r="6" spans="1:1" x14ac:dyDescent="0.25">
      <c r="A6" s="5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DE665-B665-4CA1-B2BC-01F295BCB874}">
  <dimension ref="A1:Z1035"/>
  <sheetViews>
    <sheetView workbookViewId="0">
      <pane ySplit="143" topLeftCell="A144" activePane="bottomLeft" state="frozen"/>
      <selection activeCell="H92" sqref="H92"/>
      <selection pane="bottomLeft" activeCell="H92" sqref="H92"/>
    </sheetView>
  </sheetViews>
  <sheetFormatPr defaultColWidth="14.42578125" defaultRowHeight="15" customHeight="1" x14ac:dyDescent="0.25"/>
  <cols>
    <col min="1" max="1" width="91.85546875" style="6" customWidth="1"/>
    <col min="2" max="2" width="66" style="6" customWidth="1"/>
    <col min="3" max="3" width="25.7109375" style="6" customWidth="1"/>
    <col min="4" max="26" width="8.7109375" style="6" customWidth="1"/>
    <col min="27" max="16384" width="14.42578125" style="6"/>
  </cols>
  <sheetData>
    <row r="1" spans="1:26" x14ac:dyDescent="0.25">
      <c r="A1" s="6" t="s">
        <v>56</v>
      </c>
      <c r="B1" s="6" t="s">
        <v>5</v>
      </c>
      <c r="C1" s="6" t="s">
        <v>6</v>
      </c>
    </row>
    <row r="2" spans="1:26" x14ac:dyDescent="0.25">
      <c r="A2" s="6" t="s">
        <v>18</v>
      </c>
      <c r="B2" s="6" t="s">
        <v>18</v>
      </c>
      <c r="C2" s="6" t="s">
        <v>18</v>
      </c>
    </row>
    <row r="3" spans="1:26" x14ac:dyDescent="0.25">
      <c r="A3" s="6" t="str">
        <f t="shared" ref="A3:A66" si="0">B3&amp;"-"&amp;C3</f>
        <v>One Time-</v>
      </c>
      <c r="B3" s="6" t="s">
        <v>57</v>
      </c>
    </row>
    <row r="4" spans="1:26" x14ac:dyDescent="0.25">
      <c r="A4" s="6" t="str">
        <f t="shared" si="0"/>
        <v>1st AutoGas-Panagdait</v>
      </c>
      <c r="B4" s="6" t="s">
        <v>58</v>
      </c>
      <c r="C4" s="6" t="s">
        <v>59</v>
      </c>
    </row>
    <row r="5" spans="1:26" x14ac:dyDescent="0.25">
      <c r="A5" s="6" t="str">
        <f t="shared" si="0"/>
        <v>A.N.G Cellshoppe-Colon Street</v>
      </c>
      <c r="B5" s="6" t="s">
        <v>60</v>
      </c>
      <c r="C5" s="6" t="s">
        <v>61</v>
      </c>
    </row>
    <row r="6" spans="1:26" x14ac:dyDescent="0.25">
      <c r="A6" s="6" t="str">
        <f t="shared" si="0"/>
        <v>Ace Hardware-SM City, Cebu</v>
      </c>
      <c r="B6" s="6" t="s">
        <v>62</v>
      </c>
      <c r="C6" s="6" t="s">
        <v>63</v>
      </c>
    </row>
    <row r="7" spans="1:26" x14ac:dyDescent="0.25">
      <c r="A7" s="6" t="str">
        <f t="shared" si="0"/>
        <v>Ace Hardware-SM Seaside, Cebu</v>
      </c>
      <c r="B7" s="6" t="s">
        <v>62</v>
      </c>
      <c r="C7" s="6" t="s">
        <v>64</v>
      </c>
    </row>
    <row r="8" spans="1:26" x14ac:dyDescent="0.25">
      <c r="A8" s="6" t="str">
        <f t="shared" si="0"/>
        <v>Achi Ichiban-SM City, Cebu</v>
      </c>
      <c r="B8" s="6" t="s">
        <v>65</v>
      </c>
      <c r="C8" s="6" t="s">
        <v>63</v>
      </c>
    </row>
    <row r="9" spans="1:26" x14ac:dyDescent="0.25">
      <c r="A9" s="7" t="str">
        <f t="shared" si="0"/>
        <v>Aircon Master-R. Landon street</v>
      </c>
      <c r="B9" s="7" t="s">
        <v>66</v>
      </c>
      <c r="C9" s="7" t="s">
        <v>67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5">
      <c r="A10" s="6" t="str">
        <f t="shared" si="0"/>
        <v>Alberto's Pizza-Basak, Pardo</v>
      </c>
      <c r="B10" s="6" t="s">
        <v>68</v>
      </c>
      <c r="C10" s="6" t="s">
        <v>69</v>
      </c>
    </row>
    <row r="11" spans="1:26" x14ac:dyDescent="0.25">
      <c r="A11" s="6" t="str">
        <f t="shared" si="0"/>
        <v>Asian Homes Appliance-Osmenia Blvd.</v>
      </c>
      <c r="B11" s="6" t="s">
        <v>70</v>
      </c>
      <c r="C11" s="6" t="s">
        <v>71</v>
      </c>
    </row>
    <row r="12" spans="1:26" x14ac:dyDescent="0.25">
      <c r="A12" s="6" t="str">
        <f t="shared" si="0"/>
        <v>Azian Thai Massage and SPA-Sancianko Street</v>
      </c>
      <c r="B12" s="6" t="s">
        <v>72</v>
      </c>
      <c r="C12" s="6" t="s">
        <v>73</v>
      </c>
    </row>
    <row r="13" spans="1:26" x14ac:dyDescent="0.25">
      <c r="A13" s="6" t="str">
        <f t="shared" si="0"/>
        <v>Banana Stall-F. Llamas</v>
      </c>
      <c r="B13" s="6" t="s">
        <v>74</v>
      </c>
      <c r="C13" s="6" t="s">
        <v>75</v>
      </c>
    </row>
    <row r="14" spans="1:26" x14ac:dyDescent="0.25">
      <c r="A14" s="6" t="str">
        <f t="shared" si="0"/>
        <v>Burger King-Panagdait</v>
      </c>
      <c r="B14" s="6" t="s">
        <v>76</v>
      </c>
      <c r="C14" s="6" t="s">
        <v>59</v>
      </c>
    </row>
    <row r="15" spans="1:26" x14ac:dyDescent="0.25">
      <c r="A15" s="6" t="str">
        <f t="shared" si="0"/>
        <v>Carenderia 14th Floor-ACC Tower Cebu Business Park</v>
      </c>
      <c r="B15" s="6" t="s">
        <v>77</v>
      </c>
      <c r="C15" s="6" t="s">
        <v>78</v>
      </c>
    </row>
    <row r="16" spans="1:26" x14ac:dyDescent="0.25">
      <c r="A16" s="6" t="str">
        <f t="shared" si="0"/>
        <v>CFG Quickstop-Don Gil Garcia st.</v>
      </c>
      <c r="B16" s="6" t="s">
        <v>79</v>
      </c>
      <c r="C16" s="6" t="s">
        <v>48</v>
      </c>
    </row>
    <row r="17" spans="1:4" x14ac:dyDescent="0.25">
      <c r="A17" s="6" t="str">
        <f t="shared" si="0"/>
        <v>Cebu Atlantic Hardware-Bulacao</v>
      </c>
      <c r="B17" s="6" t="s">
        <v>80</v>
      </c>
      <c r="C17" s="6" t="s">
        <v>81</v>
      </c>
    </row>
    <row r="18" spans="1:4" x14ac:dyDescent="0.25">
      <c r="A18" s="6" t="str">
        <f t="shared" si="0"/>
        <v>Cebu Bolt and Screw Sales-Leon Kilat</v>
      </c>
      <c r="B18" s="6" t="s">
        <v>82</v>
      </c>
      <c r="C18" s="6" t="s">
        <v>83</v>
      </c>
    </row>
    <row r="19" spans="1:4" x14ac:dyDescent="0.25">
      <c r="A19" s="6" t="str">
        <f t="shared" si="0"/>
        <v>Cebu Chinese Drug-Plaridel Street</v>
      </c>
      <c r="B19" s="6" t="s">
        <v>84</v>
      </c>
      <c r="C19" s="6" t="s">
        <v>85</v>
      </c>
    </row>
    <row r="20" spans="1:4" x14ac:dyDescent="0.25">
      <c r="A20" s="7" t="str">
        <f t="shared" si="0"/>
        <v>Cebu Eastern College-Leon Kilat</v>
      </c>
      <c r="B20" s="7" t="s">
        <v>86</v>
      </c>
      <c r="C20" s="7" t="s">
        <v>83</v>
      </c>
      <c r="D20" s="7"/>
    </row>
    <row r="21" spans="1:4" x14ac:dyDescent="0.25">
      <c r="A21" s="6" t="str">
        <f t="shared" si="0"/>
        <v>Cebu LakeView-KM 30, Transcentral Highway, Sito Inaad, Tabunan</v>
      </c>
      <c r="B21" s="6" t="s">
        <v>87</v>
      </c>
      <c r="C21" s="6" t="s">
        <v>88</v>
      </c>
    </row>
    <row r="22" spans="1:4" x14ac:dyDescent="0.25">
      <c r="A22" s="6" t="str">
        <f t="shared" si="0"/>
        <v>Cebu Massive Auto Parts, Incorporated-Mambaling Highway</v>
      </c>
      <c r="B22" s="6" t="s">
        <v>89</v>
      </c>
      <c r="C22" s="6" t="s">
        <v>90</v>
      </c>
    </row>
    <row r="23" spans="1:4" x14ac:dyDescent="0.25">
      <c r="A23" s="6" t="str">
        <f t="shared" si="0"/>
        <v>Cebu Paper Sales, Inc.-F. Gonzales Street</v>
      </c>
      <c r="B23" s="6" t="s">
        <v>91</v>
      </c>
      <c r="C23" s="6" t="s">
        <v>92</v>
      </c>
    </row>
    <row r="24" spans="1:4" x14ac:dyDescent="0.25">
      <c r="A24" s="6" t="str">
        <f t="shared" si="0"/>
        <v>Cebu Polar Marketing-Mabini</v>
      </c>
      <c r="B24" s="6" t="s">
        <v>93</v>
      </c>
      <c r="C24" s="6" t="s">
        <v>94</v>
      </c>
    </row>
    <row r="25" spans="1:4" x14ac:dyDescent="0.25">
      <c r="A25" s="6" t="str">
        <f t="shared" si="0"/>
        <v>Chinese Way Marketing-GQS Plaza, Banilad</v>
      </c>
      <c r="B25" s="6" t="s">
        <v>95</v>
      </c>
      <c r="C25" s="6" t="s">
        <v>96</v>
      </c>
    </row>
    <row r="26" spans="1:4" ht="15.75" customHeight="1" x14ac:dyDescent="0.25">
      <c r="A26" s="6" t="str">
        <f t="shared" si="0"/>
        <v>Chong Hua Hospital-Mandaue</v>
      </c>
      <c r="B26" s="6" t="s">
        <v>97</v>
      </c>
      <c r="C26" s="6" t="s">
        <v>98</v>
      </c>
    </row>
    <row r="27" spans="1:4" ht="15.75" customHeight="1" x14ac:dyDescent="0.25">
      <c r="A27" s="6" t="str">
        <f t="shared" si="0"/>
        <v>Chowking-Ayala Center Cebu</v>
      </c>
      <c r="B27" s="6" t="s">
        <v>99</v>
      </c>
      <c r="C27" s="6" t="s">
        <v>100</v>
      </c>
    </row>
    <row r="28" spans="1:4" ht="15.75" customHeight="1" x14ac:dyDescent="0.25">
      <c r="A28" s="6" t="str">
        <f t="shared" si="0"/>
        <v>Chowking-Fuente Osmena</v>
      </c>
      <c r="B28" s="6" t="s">
        <v>99</v>
      </c>
      <c r="C28" s="6" t="s">
        <v>101</v>
      </c>
    </row>
    <row r="29" spans="1:4" ht="15.75" customHeight="1" x14ac:dyDescent="0.25">
      <c r="A29" s="6" t="str">
        <f t="shared" si="0"/>
        <v>Chowking-Gaisano Capital Colon</v>
      </c>
      <c r="B29" s="6" t="s">
        <v>99</v>
      </c>
      <c r="C29" s="6" t="s">
        <v>102</v>
      </c>
    </row>
    <row r="30" spans="1:4" ht="15.75" customHeight="1" x14ac:dyDescent="0.25">
      <c r="A30" s="7" t="str">
        <f t="shared" si="0"/>
        <v>Chowking-Guadalupe</v>
      </c>
      <c r="B30" s="7" t="s">
        <v>99</v>
      </c>
      <c r="C30" s="7" t="s">
        <v>103</v>
      </c>
      <c r="D30" s="7"/>
    </row>
    <row r="31" spans="1:4" ht="15.75" customHeight="1" x14ac:dyDescent="0.25">
      <c r="A31" s="6" t="str">
        <f t="shared" si="0"/>
        <v>Chowking-SM City, Cebu</v>
      </c>
      <c r="B31" s="6" t="s">
        <v>99</v>
      </c>
      <c r="C31" s="6" t="s">
        <v>63</v>
      </c>
    </row>
    <row r="32" spans="1:4" ht="15.75" customHeight="1" x14ac:dyDescent="0.25">
      <c r="A32" s="6" t="str">
        <f t="shared" si="0"/>
        <v>Chowking-SM Seaside, Cebu</v>
      </c>
      <c r="B32" s="6" t="s">
        <v>99</v>
      </c>
      <c r="C32" s="6" t="s">
        <v>64</v>
      </c>
    </row>
    <row r="33" spans="1:26" ht="15.75" customHeight="1" x14ac:dyDescent="0.25">
      <c r="A33" s="6" t="str">
        <f t="shared" si="0"/>
        <v>Citi Hardware-Bulacao</v>
      </c>
      <c r="B33" s="6" t="s">
        <v>104</v>
      </c>
      <c r="C33" s="6" t="s">
        <v>81</v>
      </c>
    </row>
    <row r="34" spans="1:26" ht="15.75" customHeight="1" x14ac:dyDescent="0.25">
      <c r="A34" s="7" t="str">
        <f t="shared" si="0"/>
        <v>Colonnade-Colon Street</v>
      </c>
      <c r="B34" s="7" t="s">
        <v>105</v>
      </c>
      <c r="C34" s="7" t="s">
        <v>61</v>
      </c>
      <c r="D34" s="7"/>
    </row>
    <row r="35" spans="1:26" ht="15.75" customHeight="1" x14ac:dyDescent="0.25">
      <c r="A35" s="6" t="str">
        <f t="shared" si="0"/>
        <v>Crown Hardware-</v>
      </c>
      <c r="B35" s="6" t="s">
        <v>106</v>
      </c>
    </row>
    <row r="36" spans="1:26" ht="15.75" customHeight="1" x14ac:dyDescent="0.25">
      <c r="A36" s="6" t="str">
        <f t="shared" si="0"/>
        <v>Delux Bakery-Magallanes</v>
      </c>
      <c r="B36" s="6" t="s">
        <v>107</v>
      </c>
      <c r="C36" s="6" t="s">
        <v>108</v>
      </c>
    </row>
    <row r="37" spans="1:26" ht="15.75" customHeight="1" x14ac:dyDescent="0.25">
      <c r="A37" s="7" t="str">
        <f t="shared" si="0"/>
        <v>Department of Health-Vivente Sotto Memorial Medical Center</v>
      </c>
      <c r="B37" s="7" t="s">
        <v>109</v>
      </c>
      <c r="C37" s="7" t="s">
        <v>110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25">
      <c r="A38" s="6" t="str">
        <f t="shared" si="0"/>
        <v>Diatoms-Katipunan</v>
      </c>
      <c r="B38" s="6" t="s">
        <v>111</v>
      </c>
      <c r="C38" s="6" t="s">
        <v>112</v>
      </c>
    </row>
    <row r="39" spans="1:26" ht="15.75" customHeight="1" x14ac:dyDescent="0.25">
      <c r="A39" s="6" t="str">
        <f t="shared" si="0"/>
        <v>Dimsum Break-SM City, Cebu</v>
      </c>
      <c r="B39" s="6" t="s">
        <v>113</v>
      </c>
      <c r="C39" s="6" t="s">
        <v>63</v>
      </c>
    </row>
    <row r="40" spans="1:26" ht="15.75" customHeight="1" x14ac:dyDescent="0.25">
      <c r="A40" s="6" t="str">
        <f t="shared" si="0"/>
        <v>Domings-Guadalupe</v>
      </c>
      <c r="B40" s="6" t="s">
        <v>114</v>
      </c>
      <c r="C40" s="6" t="s">
        <v>103</v>
      </c>
    </row>
    <row r="41" spans="1:26" ht="15.75" customHeight="1" x14ac:dyDescent="0.25">
      <c r="A41" s="6" t="str">
        <f t="shared" si="0"/>
        <v>Dr. Edward Chua-Perpetuaql Hospital</v>
      </c>
      <c r="B41" s="6" t="s">
        <v>115</v>
      </c>
      <c r="C41" s="6" t="s">
        <v>116</v>
      </c>
    </row>
    <row r="42" spans="1:26" ht="15.75" customHeight="1" x14ac:dyDescent="0.25">
      <c r="A42" s="6" t="str">
        <f t="shared" si="0"/>
        <v>Dunkin Donuts-Ayala Center Cebu</v>
      </c>
      <c r="B42" s="6" t="s">
        <v>117</v>
      </c>
      <c r="C42" s="6" t="s">
        <v>100</v>
      </c>
    </row>
    <row r="43" spans="1:26" ht="15.75" customHeight="1" x14ac:dyDescent="0.25">
      <c r="A43" s="6" t="str">
        <f t="shared" si="0"/>
        <v>Dunkin Donuts-SM City, Cebu</v>
      </c>
      <c r="B43" s="6" t="s">
        <v>117</v>
      </c>
      <c r="C43" s="6" t="s">
        <v>63</v>
      </c>
    </row>
    <row r="44" spans="1:26" ht="15.75" customHeight="1" x14ac:dyDescent="0.25">
      <c r="A44" s="6" t="str">
        <f t="shared" si="0"/>
        <v>Dunkin Donuts-Super Metro (Basak San Nicolas)</v>
      </c>
      <c r="B44" s="6" t="s">
        <v>117</v>
      </c>
      <c r="C44" s="6" t="s">
        <v>118</v>
      </c>
    </row>
    <row r="45" spans="1:26" ht="15.75" customHeight="1" x14ac:dyDescent="0.25">
      <c r="A45" s="7" t="str">
        <f t="shared" si="0"/>
        <v>Echo Appliance Center-Magallanes</v>
      </c>
      <c r="B45" s="7" t="s">
        <v>119</v>
      </c>
      <c r="C45" s="7" t="s">
        <v>108</v>
      </c>
      <c r="D45" s="7"/>
    </row>
    <row r="46" spans="1:26" ht="15.75" customHeight="1" x14ac:dyDescent="0.25">
      <c r="A46" s="6" t="str">
        <f t="shared" si="0"/>
        <v>Egg Seller-C. Padilla (Mambaling)</v>
      </c>
      <c r="B46" s="6" t="s">
        <v>120</v>
      </c>
      <c r="C46" s="6" t="s">
        <v>121</v>
      </c>
    </row>
    <row r="47" spans="1:26" ht="15.75" customHeight="1" x14ac:dyDescent="0.25">
      <c r="A47" s="6" t="str">
        <f t="shared" si="0"/>
        <v>Eggcelsior-7Tsi - Guadalupe</v>
      </c>
      <c r="B47" s="6" t="s">
        <v>122</v>
      </c>
      <c r="C47" s="6" t="s">
        <v>123</v>
      </c>
    </row>
    <row r="48" spans="1:26" ht="15.75" customHeight="1" x14ac:dyDescent="0.25">
      <c r="A48" s="6" t="str">
        <f t="shared" si="0"/>
        <v>Facebook -Online Seller</v>
      </c>
      <c r="B48" s="6" t="s">
        <v>124</v>
      </c>
      <c r="C48" s="6" t="s">
        <v>125</v>
      </c>
    </row>
    <row r="49" spans="1:26" ht="15.75" customHeight="1" x14ac:dyDescent="0.25">
      <c r="A49" s="6" t="str">
        <f t="shared" si="0"/>
        <v xml:space="preserve">Familia House-P. Lopez </v>
      </c>
      <c r="B49" s="6" t="s">
        <v>126</v>
      </c>
      <c r="C49" s="6" t="s">
        <v>127</v>
      </c>
    </row>
    <row r="50" spans="1:26" ht="15.75" customHeight="1" x14ac:dyDescent="0.25">
      <c r="A50" s="6" t="str">
        <f t="shared" si="0"/>
        <v>Fooda-Guadalupe</v>
      </c>
      <c r="B50" s="6" t="s">
        <v>128</v>
      </c>
      <c r="C50" s="6" t="s">
        <v>103</v>
      </c>
    </row>
    <row r="51" spans="1:26" ht="15.75" customHeight="1" x14ac:dyDescent="0.25">
      <c r="A51" s="6" t="str">
        <f t="shared" si="0"/>
        <v>Fooda-Mango Ave.</v>
      </c>
      <c r="B51" s="6" t="s">
        <v>128</v>
      </c>
      <c r="C51" s="6" t="s">
        <v>129</v>
      </c>
    </row>
    <row r="52" spans="1:26" ht="15.75" customHeight="1" x14ac:dyDescent="0.25">
      <c r="A52" s="6" t="str">
        <f t="shared" si="0"/>
        <v>Francisco L. Chio, Jr.-Chong Hua Medical Arts</v>
      </c>
      <c r="B52" s="6" t="s">
        <v>130</v>
      </c>
      <c r="C52" s="6" t="s">
        <v>131</v>
      </c>
    </row>
    <row r="53" spans="1:26" ht="15.75" customHeight="1" x14ac:dyDescent="0.25">
      <c r="A53" s="6" t="str">
        <f t="shared" si="0"/>
        <v>Fruitas-SM Seaside, Cebu</v>
      </c>
      <c r="B53" s="6" t="s">
        <v>132</v>
      </c>
      <c r="C53" s="6" t="s">
        <v>64</v>
      </c>
    </row>
    <row r="54" spans="1:26" ht="15.75" customHeight="1" x14ac:dyDescent="0.25">
      <c r="A54" s="6" t="str">
        <f t="shared" si="0"/>
        <v>Gaisano Capital-Colon Street</v>
      </c>
      <c r="B54" s="6" t="s">
        <v>133</v>
      </c>
      <c r="C54" s="6" t="s">
        <v>61</v>
      </c>
    </row>
    <row r="55" spans="1:26" ht="15.75" customHeight="1" x14ac:dyDescent="0.25">
      <c r="A55" s="6" t="str">
        <f t="shared" si="0"/>
        <v>Gigi Massage Chair-SM Seaside, Cebu</v>
      </c>
      <c r="B55" s="6" t="s">
        <v>134</v>
      </c>
      <c r="C55" s="6" t="s">
        <v>64</v>
      </c>
    </row>
    <row r="56" spans="1:26" ht="15.75" customHeight="1" x14ac:dyDescent="0.25">
      <c r="A56" s="6" t="str">
        <f t="shared" si="0"/>
        <v>Gil's Barbershop-F. Llamas</v>
      </c>
      <c r="B56" s="6" t="s">
        <v>135</v>
      </c>
      <c r="C56" s="6" t="s">
        <v>75</v>
      </c>
    </row>
    <row r="57" spans="1:26" ht="15.75" customHeight="1" x14ac:dyDescent="0.25">
      <c r="A57" s="7" t="str">
        <f t="shared" si="0"/>
        <v>Goldilocks Bakeshop-Ayala Center Cebu</v>
      </c>
      <c r="B57" s="7" t="s">
        <v>136</v>
      </c>
      <c r="C57" s="7" t="s">
        <v>100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25">
      <c r="A58" s="6" t="str">
        <f t="shared" si="0"/>
        <v>Goldilocks Bakeshop-F. Llamas</v>
      </c>
      <c r="B58" s="6" t="s">
        <v>136</v>
      </c>
      <c r="C58" s="6" t="s">
        <v>75</v>
      </c>
    </row>
    <row r="59" spans="1:26" ht="15.75" customHeight="1" x14ac:dyDescent="0.25">
      <c r="A59" s="6" t="str">
        <f t="shared" si="0"/>
        <v>Goldilocks Bakeshop-ShopWise</v>
      </c>
      <c r="B59" s="6" t="s">
        <v>136</v>
      </c>
      <c r="C59" s="6" t="s">
        <v>137</v>
      </c>
    </row>
    <row r="60" spans="1:26" ht="15.75" customHeight="1" x14ac:dyDescent="0.25">
      <c r="A60" s="6" t="str">
        <f t="shared" si="0"/>
        <v>GV Botica-Katipunan</v>
      </c>
      <c r="B60" s="6" t="s">
        <v>138</v>
      </c>
      <c r="C60" s="6" t="s">
        <v>112</v>
      </c>
    </row>
    <row r="61" spans="1:26" ht="15.75" customHeight="1" x14ac:dyDescent="0.25">
      <c r="A61" s="6" t="str">
        <f t="shared" si="0"/>
        <v>Handyman-Parkmall</v>
      </c>
      <c r="B61" s="6" t="s">
        <v>139</v>
      </c>
      <c r="C61" s="6" t="s">
        <v>140</v>
      </c>
    </row>
    <row r="62" spans="1:26" ht="15.75" customHeight="1" x14ac:dyDescent="0.25">
      <c r="A62" s="6" t="str">
        <f t="shared" si="0"/>
        <v>Happy Valley-Happy Valley</v>
      </c>
      <c r="B62" s="6" t="s">
        <v>141</v>
      </c>
      <c r="C62" s="6" t="s">
        <v>141</v>
      </c>
    </row>
    <row r="63" spans="1:26" ht="15.75" customHeight="1" x14ac:dyDescent="0.25">
      <c r="A63" s="6" t="str">
        <f t="shared" si="0"/>
        <v>Happy-Haus Donut-AB Aznar Street, SWU</v>
      </c>
      <c r="B63" s="6" t="s">
        <v>142</v>
      </c>
      <c r="C63" s="6" t="s">
        <v>143</v>
      </c>
    </row>
    <row r="64" spans="1:26" ht="15.75" customHeight="1" x14ac:dyDescent="0.25">
      <c r="A64" s="6" t="str">
        <f t="shared" si="0"/>
        <v>Hel-An Thai Massage And Spa-Osmeña Blvd</v>
      </c>
      <c r="B64" s="6" t="s">
        <v>144</v>
      </c>
      <c r="C64" s="6" t="s">
        <v>145</v>
      </c>
    </row>
    <row r="65" spans="1:4" ht="15.75" customHeight="1" x14ac:dyDescent="0.25">
      <c r="A65" s="6" t="str">
        <f t="shared" si="0"/>
        <v>Hi Grain-P. Gullas</v>
      </c>
      <c r="B65" s="6" t="s">
        <v>146</v>
      </c>
      <c r="C65" s="6" t="s">
        <v>147</v>
      </c>
    </row>
    <row r="66" spans="1:4" ht="15.75" customHeight="1" x14ac:dyDescent="0.25">
      <c r="A66" s="6" t="str">
        <f t="shared" si="0"/>
        <v>Hi Precision-Fuente</v>
      </c>
      <c r="B66" s="6" t="s">
        <v>148</v>
      </c>
      <c r="C66" s="6" t="s">
        <v>149</v>
      </c>
    </row>
    <row r="67" spans="1:4" ht="15.75" customHeight="1" x14ac:dyDescent="0.25">
      <c r="A67" s="6" t="str">
        <f t="shared" ref="A67:A130" si="1">B67&amp;"-"&amp;C67</f>
        <v>HPDS-Junquera Street</v>
      </c>
      <c r="B67" s="6" t="s">
        <v>150</v>
      </c>
      <c r="C67" s="6" t="s">
        <v>151</v>
      </c>
    </row>
    <row r="68" spans="1:4" ht="15.75" customHeight="1" x14ac:dyDescent="0.25">
      <c r="A68" s="6" t="str">
        <f t="shared" si="1"/>
        <v>Hygea Wellness Spa -Ayala Center Cebu</v>
      </c>
      <c r="B68" s="6" t="s">
        <v>152</v>
      </c>
      <c r="C68" s="6" t="s">
        <v>100</v>
      </c>
    </row>
    <row r="69" spans="1:4" ht="15.75" customHeight="1" x14ac:dyDescent="0.25">
      <c r="A69" s="6" t="str">
        <f t="shared" si="1"/>
        <v>Iben's Pharmacy-Don Jose Avila, Capitol</v>
      </c>
      <c r="B69" s="6" t="s">
        <v>153</v>
      </c>
      <c r="C69" s="6" t="s">
        <v>154</v>
      </c>
    </row>
    <row r="70" spans="1:4" ht="15.75" customHeight="1" x14ac:dyDescent="0.25">
      <c r="A70" s="6" t="str">
        <f t="shared" si="1"/>
        <v>Integrated Cardiovascular Wellness and Lifestyle Center Inc. (HeartHub)-City Time Square, Mandaue</v>
      </c>
      <c r="B70" s="6" t="s">
        <v>155</v>
      </c>
      <c r="C70" s="6" t="s">
        <v>156</v>
      </c>
    </row>
    <row r="71" spans="1:4" ht="15.75" customHeight="1" x14ac:dyDescent="0.25">
      <c r="A71" s="6" t="str">
        <f t="shared" si="1"/>
        <v>Jim Lechon-F. Llamas Street</v>
      </c>
      <c r="B71" s="6" t="s">
        <v>157</v>
      </c>
      <c r="C71" s="6" t="s">
        <v>158</v>
      </c>
    </row>
    <row r="72" spans="1:4" ht="15.75" customHeight="1" x14ac:dyDescent="0.25">
      <c r="A72" s="6" t="str">
        <f t="shared" si="1"/>
        <v>Jollibee-Boulevard Capitol</v>
      </c>
      <c r="B72" s="6" t="s">
        <v>159</v>
      </c>
      <c r="C72" s="6" t="s">
        <v>160</v>
      </c>
    </row>
    <row r="73" spans="1:4" ht="15.75" customHeight="1" x14ac:dyDescent="0.25">
      <c r="A73" s="6" t="str">
        <f t="shared" si="1"/>
        <v>JOYOJoyo Marketing-SM Seaside, Cebu</v>
      </c>
      <c r="B73" s="6" t="s">
        <v>161</v>
      </c>
      <c r="C73" s="6" t="s">
        <v>64</v>
      </c>
    </row>
    <row r="74" spans="1:4" ht="15.75" customHeight="1" x14ac:dyDescent="0.25">
      <c r="A74" s="6" t="str">
        <f t="shared" si="1"/>
        <v>JPV-V. Rama Ave.</v>
      </c>
      <c r="B74" s="6" t="s">
        <v>162</v>
      </c>
      <c r="C74" s="6" t="s">
        <v>163</v>
      </c>
      <c r="D74" s="6" t="s">
        <v>164</v>
      </c>
    </row>
    <row r="75" spans="1:4" ht="15.75" customHeight="1" x14ac:dyDescent="0.25">
      <c r="A75" s="6" t="str">
        <f t="shared" si="1"/>
        <v>Julies Bakeshope-Basak San Nicolas</v>
      </c>
      <c r="B75" s="6" t="s">
        <v>165</v>
      </c>
      <c r="C75" s="6" t="s">
        <v>166</v>
      </c>
    </row>
    <row r="76" spans="1:4" ht="15.75" customHeight="1" x14ac:dyDescent="0.25">
      <c r="A76" s="6" t="str">
        <f t="shared" si="1"/>
        <v>Julies Bakeshope-F. Llamas</v>
      </c>
      <c r="B76" s="6" t="s">
        <v>165</v>
      </c>
      <c r="C76" s="6" t="s">
        <v>75</v>
      </c>
    </row>
    <row r="77" spans="1:4" ht="15.75" customHeight="1" x14ac:dyDescent="0.25">
      <c r="A77" s="6" t="str">
        <f t="shared" si="1"/>
        <v>Julies Bakeshope-Junquera Ext</v>
      </c>
      <c r="B77" s="6" t="s">
        <v>165</v>
      </c>
      <c r="C77" s="6" t="s">
        <v>167</v>
      </c>
    </row>
    <row r="78" spans="1:4" ht="15.75" customHeight="1" x14ac:dyDescent="0.25">
      <c r="A78" s="6" t="str">
        <f t="shared" si="1"/>
        <v>Julies Bakeshope-Tisa</v>
      </c>
      <c r="B78" s="6" t="s">
        <v>165</v>
      </c>
      <c r="C78" s="6" t="s">
        <v>168</v>
      </c>
    </row>
    <row r="79" spans="1:4" ht="15.75" customHeight="1" x14ac:dyDescent="0.25">
      <c r="A79" s="7" t="str">
        <f t="shared" si="1"/>
        <v>Julies Bakeshope-Urgello</v>
      </c>
      <c r="B79" s="7" t="s">
        <v>165</v>
      </c>
      <c r="C79" s="7" t="s">
        <v>169</v>
      </c>
      <c r="D79" s="7"/>
    </row>
    <row r="80" spans="1:4" ht="15.75" customHeight="1" x14ac:dyDescent="0.25">
      <c r="A80" s="6" t="str">
        <f t="shared" si="1"/>
        <v>Kakeng-Parkmall</v>
      </c>
      <c r="B80" s="6" t="s">
        <v>170</v>
      </c>
      <c r="C80" s="6" t="s">
        <v>140</v>
      </c>
    </row>
    <row r="81" spans="1:26" ht="15.75" customHeight="1" x14ac:dyDescent="0.25">
      <c r="A81" s="6" t="str">
        <f t="shared" si="1"/>
        <v>Kakeng-Plaridel</v>
      </c>
      <c r="B81" s="6" t="s">
        <v>170</v>
      </c>
      <c r="C81" s="6" t="s">
        <v>171</v>
      </c>
    </row>
    <row r="82" spans="1:26" ht="15.75" customHeight="1" x14ac:dyDescent="0.25">
      <c r="A82" s="6" t="str">
        <f t="shared" si="1"/>
        <v>Kapitan AutoParts-Boromeo st.</v>
      </c>
      <c r="B82" s="6" t="s">
        <v>172</v>
      </c>
      <c r="C82" s="6" t="s">
        <v>173</v>
      </c>
    </row>
    <row r="83" spans="1:26" ht="15.75" customHeight="1" x14ac:dyDescent="0.25">
      <c r="A83" s="6" t="str">
        <f t="shared" si="1"/>
        <v>KFC-Panagdait</v>
      </c>
      <c r="B83" s="6" t="s">
        <v>174</v>
      </c>
      <c r="C83" s="6" t="s">
        <v>59</v>
      </c>
    </row>
    <row r="84" spans="1:26" ht="15.75" customHeight="1" x14ac:dyDescent="0.25">
      <c r="A84" s="6" t="str">
        <f t="shared" si="1"/>
        <v>KFC-SM Seaside, Cebu</v>
      </c>
      <c r="B84" s="6" t="s">
        <v>174</v>
      </c>
      <c r="C84" s="6" t="s">
        <v>64</v>
      </c>
    </row>
    <row r="85" spans="1:26" ht="15.75" customHeight="1" x14ac:dyDescent="0.25">
      <c r="A85" s="6" t="str">
        <f t="shared" si="1"/>
        <v>La Fortuna Bakery-Borromeo</v>
      </c>
      <c r="B85" s="6" t="s">
        <v>175</v>
      </c>
      <c r="C85" s="6" t="s">
        <v>176</v>
      </c>
    </row>
    <row r="86" spans="1:26" ht="15.75" customHeight="1" x14ac:dyDescent="0.25">
      <c r="A86" s="6" t="str">
        <f t="shared" si="1"/>
        <v>Lazada-Online</v>
      </c>
      <c r="B86" s="6" t="s">
        <v>177</v>
      </c>
      <c r="C86" s="6" t="s">
        <v>178</v>
      </c>
    </row>
    <row r="87" spans="1:26" ht="15.75" customHeight="1" x14ac:dyDescent="0.25">
      <c r="A87" s="6" t="str">
        <f t="shared" si="1"/>
        <v>Leona-Juan Luna</v>
      </c>
      <c r="B87" s="6" t="s">
        <v>179</v>
      </c>
      <c r="C87" s="6" t="s">
        <v>180</v>
      </c>
    </row>
    <row r="88" spans="1:26" ht="15.75" customHeight="1" x14ac:dyDescent="0.25">
      <c r="A88" s="6" t="str">
        <f t="shared" si="1"/>
        <v>Leona-SM Seaside, Cebu</v>
      </c>
      <c r="B88" s="6" t="s">
        <v>179</v>
      </c>
      <c r="C88" s="6" t="s">
        <v>64</v>
      </c>
    </row>
    <row r="89" spans="1:26" ht="15.75" customHeight="1" x14ac:dyDescent="0.25">
      <c r="A89" s="6" t="str">
        <f t="shared" si="1"/>
        <v>Lumpia House-Manalili</v>
      </c>
      <c r="B89" s="6" t="s">
        <v>181</v>
      </c>
      <c r="C89" s="6" t="s">
        <v>182</v>
      </c>
    </row>
    <row r="90" spans="1:26" ht="15.75" customHeight="1" x14ac:dyDescent="0.25">
      <c r="A90" s="6" t="str">
        <f t="shared" si="1"/>
        <v>Manila Foodshoppe-Capitol Square</v>
      </c>
      <c r="B90" s="6" t="s">
        <v>183</v>
      </c>
      <c r="C90" s="6" t="s">
        <v>184</v>
      </c>
    </row>
    <row r="91" spans="1:26" ht="15.75" customHeight="1" x14ac:dyDescent="0.25">
      <c r="A91" s="7" t="str">
        <f t="shared" si="1"/>
        <v>Mark &amp; Spencer-Ayala Center Cebu</v>
      </c>
      <c r="B91" s="7" t="s">
        <v>185</v>
      </c>
      <c r="C91" s="7" t="s">
        <v>100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25">
      <c r="A92" s="6" t="str">
        <f t="shared" si="1"/>
        <v>McDonald-Arcenas, Banawa</v>
      </c>
      <c r="B92" s="6" t="s">
        <v>186</v>
      </c>
      <c r="C92" s="6" t="s">
        <v>187</v>
      </c>
    </row>
    <row r="93" spans="1:26" ht="15.75" customHeight="1" x14ac:dyDescent="0.25">
      <c r="A93" s="6" t="str">
        <f t="shared" si="1"/>
        <v>McDonald-Cebu Basak San Nicolas</v>
      </c>
      <c r="B93" s="6" t="s">
        <v>186</v>
      </c>
      <c r="C93" s="6" t="s">
        <v>188</v>
      </c>
    </row>
    <row r="94" spans="1:26" ht="15.75" customHeight="1" x14ac:dyDescent="0.25">
      <c r="A94" s="7" t="str">
        <f t="shared" si="1"/>
        <v>McDonald-Cebu Business Park (Bohol Street)</v>
      </c>
      <c r="B94" s="7" t="s">
        <v>186</v>
      </c>
      <c r="C94" s="7" t="s">
        <v>189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25">
      <c r="A95" s="7" t="str">
        <f t="shared" si="1"/>
        <v>McDonald-Cebu Escario</v>
      </c>
      <c r="B95" s="7" t="s">
        <v>186</v>
      </c>
      <c r="C95" s="7" t="s">
        <v>190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25">
      <c r="A96" s="6" t="str">
        <f t="shared" si="1"/>
        <v>McDonald-Osmena Blvd. (Fuente)</v>
      </c>
      <c r="B96" s="6" t="s">
        <v>186</v>
      </c>
      <c r="C96" s="6" t="s">
        <v>191</v>
      </c>
    </row>
    <row r="97" spans="1:26" ht="15.75" customHeight="1" x14ac:dyDescent="0.25">
      <c r="A97" s="7" t="str">
        <f t="shared" si="1"/>
        <v>Mercury Drug-ACC Tower Cebu Business Park</v>
      </c>
      <c r="B97" s="7" t="s">
        <v>192</v>
      </c>
      <c r="C97" s="7" t="s">
        <v>78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25">
      <c r="A98" s="6" t="str">
        <f t="shared" si="1"/>
        <v>Mercury Drug-F. Llamas</v>
      </c>
      <c r="B98" s="6" t="s">
        <v>192</v>
      </c>
      <c r="C98" s="6" t="s">
        <v>75</v>
      </c>
    </row>
    <row r="99" spans="1:26" ht="15.75" customHeight="1" x14ac:dyDescent="0.25">
      <c r="A99" s="6" t="str">
        <f t="shared" si="1"/>
        <v>Mercury Drug-Fuente</v>
      </c>
      <c r="B99" s="6" t="s">
        <v>192</v>
      </c>
      <c r="C99" s="6" t="s">
        <v>149</v>
      </c>
    </row>
    <row r="100" spans="1:26" ht="15.75" customHeight="1" x14ac:dyDescent="0.25">
      <c r="A100" s="6" t="str">
        <f t="shared" si="1"/>
        <v>Metro Department-Ayala Center Cebu</v>
      </c>
      <c r="B100" s="6" t="s">
        <v>193</v>
      </c>
      <c r="C100" s="6" t="s">
        <v>100</v>
      </c>
    </row>
    <row r="101" spans="1:26" ht="15.75" customHeight="1" x14ac:dyDescent="0.25">
      <c r="A101" s="6" t="str">
        <f t="shared" si="1"/>
        <v>Metro Department-Super Metro (Basak)</v>
      </c>
      <c r="B101" s="6" t="s">
        <v>193</v>
      </c>
      <c r="C101" s="6" t="s">
        <v>194</v>
      </c>
    </row>
    <row r="102" spans="1:26" ht="15.75" customHeight="1" x14ac:dyDescent="0.25">
      <c r="A102" s="6" t="str">
        <f t="shared" si="1"/>
        <v>Metro Drug-Metro (Colon)</v>
      </c>
      <c r="B102" s="6" t="s">
        <v>195</v>
      </c>
      <c r="C102" s="6" t="s">
        <v>196</v>
      </c>
    </row>
    <row r="103" spans="1:26" ht="15.75" customHeight="1" x14ac:dyDescent="0.25">
      <c r="A103" s="6" t="str">
        <f t="shared" si="1"/>
        <v>Metro Drug-Super Metro (Basak)</v>
      </c>
      <c r="B103" s="6" t="s">
        <v>195</v>
      </c>
      <c r="C103" s="6" t="s">
        <v>194</v>
      </c>
    </row>
    <row r="104" spans="1:26" ht="15.75" customHeight="1" x14ac:dyDescent="0.25">
      <c r="A104" s="7" t="str">
        <f t="shared" si="1"/>
        <v>Metro Grocery-Ayala Center Cebu</v>
      </c>
      <c r="B104" s="7" t="s">
        <v>197</v>
      </c>
      <c r="C104" s="7" t="s">
        <v>100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25">
      <c r="A105" s="6" t="str">
        <f t="shared" si="1"/>
        <v>Metro Grocery-Super Metro (Basak)</v>
      </c>
      <c r="B105" s="6" t="s">
        <v>197</v>
      </c>
      <c r="C105" s="6" t="s">
        <v>194</v>
      </c>
    </row>
    <row r="106" spans="1:26" ht="15.75" customHeight="1" x14ac:dyDescent="0.25">
      <c r="A106" s="6" t="str">
        <f t="shared" si="1"/>
        <v>Nedz Lechon-Jai-Alai C. Padilla</v>
      </c>
      <c r="B106" s="6" t="s">
        <v>198</v>
      </c>
      <c r="C106" s="6" t="s">
        <v>199</v>
      </c>
    </row>
    <row r="107" spans="1:26" ht="15.75" customHeight="1" x14ac:dyDescent="0.25">
      <c r="A107" s="6" t="str">
        <f t="shared" si="1"/>
        <v>NoeCar-B. Zubiri st, Labangon</v>
      </c>
      <c r="B107" s="6" t="s">
        <v>200</v>
      </c>
      <c r="C107" s="6" t="s">
        <v>201</v>
      </c>
    </row>
    <row r="108" spans="1:26" ht="15.75" customHeight="1" x14ac:dyDescent="0.25">
      <c r="A108" s="6" t="str">
        <f t="shared" si="1"/>
        <v>Ong King Kin-Osmena Blvd</v>
      </c>
      <c r="B108" s="6" t="s">
        <v>202</v>
      </c>
      <c r="C108" s="6" t="s">
        <v>203</v>
      </c>
    </row>
    <row r="109" spans="1:26" ht="15.75" customHeight="1" x14ac:dyDescent="0.25">
      <c r="A109" s="6" t="str">
        <f t="shared" si="1"/>
        <v>Ong King Kin-Plaridel Street</v>
      </c>
      <c r="B109" s="6" t="s">
        <v>202</v>
      </c>
      <c r="C109" s="6" t="s">
        <v>85</v>
      </c>
    </row>
    <row r="110" spans="1:26" ht="15.75" customHeight="1" x14ac:dyDescent="0.25">
      <c r="A110" s="6" t="str">
        <f t="shared" si="1"/>
        <v>Orange Brutus-Fuente Osmena</v>
      </c>
      <c r="B110" s="6" t="s">
        <v>204</v>
      </c>
      <c r="C110" s="6" t="s">
        <v>101</v>
      </c>
    </row>
    <row r="111" spans="1:26" ht="15.75" customHeight="1" x14ac:dyDescent="0.25">
      <c r="A111" s="6" t="str">
        <f t="shared" si="1"/>
        <v>Palawan Express -F. Llamas Street</v>
      </c>
      <c r="B111" s="6" t="s">
        <v>205</v>
      </c>
      <c r="C111" s="6" t="s">
        <v>158</v>
      </c>
    </row>
    <row r="112" spans="1:26" ht="15.75" customHeight="1" x14ac:dyDescent="0.25">
      <c r="A112" s="6" t="str">
        <f t="shared" si="1"/>
        <v>Parking-Ayala Center Cebu</v>
      </c>
      <c r="B112" s="6" t="s">
        <v>206</v>
      </c>
      <c r="C112" s="6" t="s">
        <v>100</v>
      </c>
    </row>
    <row r="113" spans="1:4" ht="15.75" customHeight="1" x14ac:dyDescent="0.25">
      <c r="A113" s="7" t="str">
        <f t="shared" si="1"/>
        <v>Parking-Road</v>
      </c>
      <c r="B113" s="7" t="s">
        <v>206</v>
      </c>
      <c r="C113" s="7" t="s">
        <v>207</v>
      </c>
      <c r="D113" s="7"/>
    </row>
    <row r="114" spans="1:4" ht="15.75" customHeight="1" x14ac:dyDescent="0.25">
      <c r="A114" s="6" t="str">
        <f t="shared" si="1"/>
        <v>Parking-SM City, Cebu</v>
      </c>
      <c r="B114" s="6" t="s">
        <v>206</v>
      </c>
      <c r="C114" s="6" t="s">
        <v>63</v>
      </c>
    </row>
    <row r="115" spans="1:4" ht="15.75" customHeight="1" x14ac:dyDescent="0.25">
      <c r="A115" s="6" t="str">
        <f t="shared" si="1"/>
        <v>PCQuickbuys-SM City, Cebu</v>
      </c>
      <c r="B115" s="6" t="s">
        <v>208</v>
      </c>
      <c r="C115" s="6" t="s">
        <v>63</v>
      </c>
    </row>
    <row r="116" spans="1:4" ht="15.75" customHeight="1" x14ac:dyDescent="0.25">
      <c r="A116" s="6" t="str">
        <f t="shared" si="1"/>
        <v>People's Educational Supply-Colon</v>
      </c>
      <c r="B116" s="6" t="s">
        <v>209</v>
      </c>
      <c r="C116" s="6" t="s">
        <v>210</v>
      </c>
    </row>
    <row r="117" spans="1:4" ht="15.75" customHeight="1" x14ac:dyDescent="0.25">
      <c r="A117" s="6" t="str">
        <f t="shared" si="1"/>
        <v xml:space="preserve">People's Educational Supply-P. Lopez </v>
      </c>
      <c r="B117" s="6" t="s">
        <v>209</v>
      </c>
      <c r="C117" s="6" t="s">
        <v>127</v>
      </c>
    </row>
    <row r="118" spans="1:4" ht="15.75" customHeight="1" x14ac:dyDescent="0.25">
      <c r="A118" s="6" t="str">
        <f t="shared" si="1"/>
        <v>Pinoy Siopao-Ayala Center Cebu</v>
      </c>
      <c r="B118" s="6" t="s">
        <v>211</v>
      </c>
      <c r="C118" s="6" t="s">
        <v>100</v>
      </c>
    </row>
    <row r="119" spans="1:4" ht="15.75" customHeight="1" x14ac:dyDescent="0.25">
      <c r="A119" s="7" t="str">
        <f t="shared" si="1"/>
        <v>Pizza Hut-Ayala Center Cebu</v>
      </c>
      <c r="B119" s="7" t="s">
        <v>212</v>
      </c>
      <c r="C119" s="7" t="s">
        <v>100</v>
      </c>
      <c r="D119" s="7"/>
    </row>
    <row r="120" spans="1:4" ht="15.75" customHeight="1" x14ac:dyDescent="0.25">
      <c r="A120" s="6" t="str">
        <f t="shared" si="1"/>
        <v>Pizza Hut-SM City, Cebu</v>
      </c>
      <c r="B120" s="6" t="s">
        <v>212</v>
      </c>
      <c r="C120" s="6" t="s">
        <v>63</v>
      </c>
    </row>
    <row r="121" spans="1:4" ht="15.75" customHeight="1" x14ac:dyDescent="0.25">
      <c r="A121" s="6" t="str">
        <f t="shared" si="1"/>
        <v>Pizza Hut-SM Seaside, Cebu</v>
      </c>
      <c r="B121" s="6" t="s">
        <v>212</v>
      </c>
      <c r="C121" s="6" t="s">
        <v>64</v>
      </c>
    </row>
    <row r="122" spans="1:4" ht="15.75" customHeight="1" x14ac:dyDescent="0.25">
      <c r="A122" s="6" t="str">
        <f t="shared" si="1"/>
        <v>Rachel Luang-Tisa</v>
      </c>
      <c r="B122" s="6" t="s">
        <v>213</v>
      </c>
      <c r="C122" s="6" t="s">
        <v>168</v>
      </c>
    </row>
    <row r="123" spans="1:4" ht="15.75" customHeight="1" x14ac:dyDescent="0.25">
      <c r="A123" s="6" t="str">
        <f t="shared" si="1"/>
        <v>Rago Lumber-Basak</v>
      </c>
      <c r="B123" s="6" t="s">
        <v>214</v>
      </c>
      <c r="C123" s="6" t="s">
        <v>215</v>
      </c>
    </row>
    <row r="124" spans="1:4" ht="15.75" customHeight="1" x14ac:dyDescent="0.25">
      <c r="A124" s="6" t="str">
        <f t="shared" si="1"/>
        <v>RePhil-Bulacao Pardo</v>
      </c>
      <c r="B124" s="6" t="s">
        <v>216</v>
      </c>
      <c r="C124" s="6" t="s">
        <v>217</v>
      </c>
    </row>
    <row r="125" spans="1:4" ht="15.75" customHeight="1" x14ac:dyDescent="0.25">
      <c r="A125" s="7" t="str">
        <f t="shared" si="1"/>
        <v>Rose Pharmacy-Ayala Center Cebu</v>
      </c>
      <c r="B125" s="7" t="s">
        <v>218</v>
      </c>
      <c r="C125" s="7" t="s">
        <v>100</v>
      </c>
      <c r="D125" s="7"/>
    </row>
    <row r="126" spans="1:4" ht="15.75" customHeight="1" x14ac:dyDescent="0.25">
      <c r="A126" s="6" t="str">
        <f t="shared" si="1"/>
        <v>Rose Pharmacy-Salvador Ext. Labangon</v>
      </c>
      <c r="B126" s="6" t="s">
        <v>218</v>
      </c>
      <c r="C126" s="6" t="s">
        <v>219</v>
      </c>
    </row>
    <row r="127" spans="1:4" ht="15.75" customHeight="1" x14ac:dyDescent="0.25">
      <c r="A127" s="6" t="str">
        <f t="shared" si="1"/>
        <v>Rose Pharmacy-ShopWise</v>
      </c>
      <c r="B127" s="6" t="s">
        <v>218</v>
      </c>
      <c r="C127" s="6" t="s">
        <v>137</v>
      </c>
    </row>
    <row r="128" spans="1:4" ht="15.75" customHeight="1" x14ac:dyDescent="0.25">
      <c r="A128" s="6" t="str">
        <f t="shared" si="1"/>
        <v>Rose Pharmacy-Tita Gwapa F. Llamas</v>
      </c>
      <c r="B128" s="6" t="s">
        <v>218</v>
      </c>
      <c r="C128" s="6" t="s">
        <v>220</v>
      </c>
    </row>
    <row r="129" spans="1:3" ht="15.75" customHeight="1" x14ac:dyDescent="0.25">
      <c r="A129" s="6" t="str">
        <f t="shared" si="1"/>
        <v>Sandia Massage Spa-F. Ramos Street</v>
      </c>
      <c r="B129" s="6" t="s">
        <v>221</v>
      </c>
      <c r="C129" s="6" t="s">
        <v>222</v>
      </c>
    </row>
    <row r="130" spans="1:3" ht="15.75" customHeight="1" x14ac:dyDescent="0.25">
      <c r="A130" s="6" t="str">
        <f t="shared" si="1"/>
        <v>Segura Marketing Inc.-J. Climaco Street</v>
      </c>
      <c r="B130" s="6" t="s">
        <v>223</v>
      </c>
      <c r="C130" s="6" t="s">
        <v>224</v>
      </c>
    </row>
    <row r="131" spans="1:3" ht="15.75" customHeight="1" x14ac:dyDescent="0.25">
      <c r="A131" s="6" t="str">
        <f t="shared" ref="A131:A194" si="2">B131&amp;"-"&amp;C131</f>
        <v>Shopee-Online</v>
      </c>
      <c r="B131" s="6" t="s">
        <v>225</v>
      </c>
      <c r="C131" s="6" t="s">
        <v>178</v>
      </c>
    </row>
    <row r="132" spans="1:3" ht="15.75" customHeight="1" x14ac:dyDescent="0.25">
      <c r="A132" s="6" t="str">
        <f t="shared" si="2"/>
        <v>ShopWise-Basak</v>
      </c>
      <c r="B132" s="6" t="s">
        <v>137</v>
      </c>
      <c r="C132" s="6" t="s">
        <v>215</v>
      </c>
    </row>
    <row r="133" spans="1:3" ht="15.75" customHeight="1" x14ac:dyDescent="0.25">
      <c r="A133" s="6" t="str">
        <f t="shared" si="2"/>
        <v>Sit and Rest-SM Seaside, Cebu</v>
      </c>
      <c r="B133" s="6" t="s">
        <v>226</v>
      </c>
      <c r="C133" s="6" t="s">
        <v>64</v>
      </c>
    </row>
    <row r="134" spans="1:3" ht="15.75" customHeight="1" x14ac:dyDescent="0.25">
      <c r="A134" s="6" t="str">
        <f t="shared" si="2"/>
        <v>SM - The Store-SM Seaside, Cebu</v>
      </c>
      <c r="B134" s="6" t="s">
        <v>227</v>
      </c>
      <c r="C134" s="6" t="s">
        <v>64</v>
      </c>
    </row>
    <row r="135" spans="1:3" ht="15.75" customHeight="1" x14ac:dyDescent="0.25">
      <c r="A135" s="6" t="str">
        <f t="shared" si="2"/>
        <v>SM Grocery-SM City, Cebu</v>
      </c>
      <c r="B135" s="6" t="s">
        <v>228</v>
      </c>
      <c r="C135" s="6" t="s">
        <v>63</v>
      </c>
    </row>
    <row r="136" spans="1:3" ht="15.75" customHeight="1" x14ac:dyDescent="0.25">
      <c r="A136" s="6" t="str">
        <f t="shared" si="2"/>
        <v>SM Grocery-SM Seaside, Cebu</v>
      </c>
      <c r="B136" s="6" t="s">
        <v>228</v>
      </c>
      <c r="C136" s="6" t="s">
        <v>64</v>
      </c>
    </row>
    <row r="137" spans="1:3" ht="15.75" customHeight="1" x14ac:dyDescent="0.25">
      <c r="A137" s="6" t="str">
        <f t="shared" si="2"/>
        <v>SM Store-SM Seaside, Cebu</v>
      </c>
      <c r="B137" s="6" t="s">
        <v>229</v>
      </c>
      <c r="C137" s="6" t="s">
        <v>64</v>
      </c>
    </row>
    <row r="138" spans="1:3" ht="15.75" customHeight="1" x14ac:dyDescent="0.25">
      <c r="A138" s="6" t="str">
        <f t="shared" si="2"/>
        <v>SouthStar Drug-Robinsons Cybergate</v>
      </c>
      <c r="B138" s="6" t="s">
        <v>230</v>
      </c>
      <c r="C138" s="6" t="s">
        <v>231</v>
      </c>
    </row>
    <row r="139" spans="1:3" ht="15.75" customHeight="1" x14ac:dyDescent="0.25">
      <c r="A139" s="6" t="str">
        <f t="shared" si="2"/>
        <v>Super Metro-Basak</v>
      </c>
      <c r="B139" s="6" t="s">
        <v>232</v>
      </c>
      <c r="C139" s="6" t="s">
        <v>215</v>
      </c>
    </row>
    <row r="140" spans="1:3" ht="15.75" customHeight="1" x14ac:dyDescent="0.25">
      <c r="A140" s="6" t="str">
        <f t="shared" si="2"/>
        <v>Taoist Temple of the Golden Light-Samson Road</v>
      </c>
      <c r="B140" s="6" t="s">
        <v>233</v>
      </c>
      <c r="C140" s="6" t="s">
        <v>234</v>
      </c>
    </row>
    <row r="141" spans="1:3" ht="15.75" customHeight="1" x14ac:dyDescent="0.25">
      <c r="A141" s="6" t="str">
        <f t="shared" si="2"/>
        <v>Tay Bee-Manalili</v>
      </c>
      <c r="B141" s="6" t="s">
        <v>235</v>
      </c>
      <c r="C141" s="6" t="s">
        <v>182</v>
      </c>
    </row>
    <row r="142" spans="1:3" ht="15.75" customHeight="1" x14ac:dyDescent="0.25">
      <c r="A142" s="6" t="str">
        <f t="shared" si="2"/>
        <v>Thai Boran-Don Gil Garcia st.</v>
      </c>
      <c r="B142" s="6" t="s">
        <v>236</v>
      </c>
      <c r="C142" s="6" t="s">
        <v>48</v>
      </c>
    </row>
    <row r="143" spans="1:3" ht="15.75" customHeight="1" x14ac:dyDescent="0.25">
      <c r="A143" s="6" t="str">
        <f t="shared" si="2"/>
        <v>The Lemon Co.-Robinsons Cybergate</v>
      </c>
      <c r="B143" s="6" t="s">
        <v>237</v>
      </c>
      <c r="C143" s="6" t="s">
        <v>231</v>
      </c>
    </row>
    <row r="144" spans="1:3" ht="15.75" customHeight="1" x14ac:dyDescent="0.25">
      <c r="A144" s="6" t="str">
        <f t="shared" si="2"/>
        <v>Thinking Tools Inc.-SM City, Cebu</v>
      </c>
      <c r="B144" s="6" t="s">
        <v>238</v>
      </c>
      <c r="C144" s="6" t="s">
        <v>63</v>
      </c>
    </row>
    <row r="145" spans="1:4" ht="15.75" customHeight="1" x14ac:dyDescent="0.25">
      <c r="A145" s="7" t="str">
        <f t="shared" si="2"/>
        <v>Thirsty-Robinsons Cybergate</v>
      </c>
      <c r="B145" s="7" t="s">
        <v>239</v>
      </c>
      <c r="C145" s="7" t="s">
        <v>231</v>
      </c>
    </row>
    <row r="146" spans="1:4" ht="15.75" customHeight="1" x14ac:dyDescent="0.25">
      <c r="A146" s="6" t="str">
        <f t="shared" si="2"/>
        <v>Thirsty-SM City, Cebu</v>
      </c>
      <c r="B146" s="6" t="s">
        <v>239</v>
      </c>
      <c r="C146" s="6" t="s">
        <v>63</v>
      </c>
    </row>
    <row r="147" spans="1:4" ht="15.75" customHeight="1" x14ac:dyDescent="0.25">
      <c r="A147" s="6" t="str">
        <f t="shared" si="2"/>
        <v>Thirsty-SM Seaside, Cebu</v>
      </c>
      <c r="B147" s="6" t="s">
        <v>239</v>
      </c>
      <c r="C147" s="6" t="s">
        <v>64</v>
      </c>
    </row>
    <row r="148" spans="1:4" ht="15.75" customHeight="1" x14ac:dyDescent="0.25">
      <c r="A148" s="6" t="str">
        <f t="shared" si="2"/>
        <v>ThreeSixty Pharmacy-La Paloma Branch</v>
      </c>
      <c r="B148" s="6" t="s">
        <v>240</v>
      </c>
      <c r="C148" s="6" t="s">
        <v>241</v>
      </c>
    </row>
    <row r="149" spans="1:4" ht="15.75" customHeight="1" x14ac:dyDescent="0.25">
      <c r="A149" s="7" t="str">
        <f t="shared" si="2"/>
        <v>Tiny Bubbles-F. Llamas</v>
      </c>
      <c r="B149" s="7" t="s">
        <v>242</v>
      </c>
      <c r="C149" s="6" t="s">
        <v>75</v>
      </c>
      <c r="D149" s="7"/>
    </row>
    <row r="150" spans="1:4" ht="15.75" customHeight="1" x14ac:dyDescent="0.25">
      <c r="A150" s="6" t="str">
        <f t="shared" si="2"/>
        <v>Tommy's Electronics-Colon Street</v>
      </c>
      <c r="B150" s="6" t="s">
        <v>243</v>
      </c>
      <c r="C150" s="6" t="s">
        <v>61</v>
      </c>
    </row>
    <row r="151" spans="1:4" ht="15.75" customHeight="1" x14ac:dyDescent="0.25">
      <c r="A151" s="6" t="str">
        <f t="shared" si="2"/>
        <v>Ton's Water-F. Llamas</v>
      </c>
      <c r="B151" s="6" t="s">
        <v>244</v>
      </c>
      <c r="C151" s="6" t="s">
        <v>75</v>
      </c>
    </row>
    <row r="152" spans="1:4" ht="15.75" customHeight="1" x14ac:dyDescent="0.25">
      <c r="A152" s="6" t="str">
        <f t="shared" si="2"/>
        <v>Tri-J Marketting Inc.-Cebu South Road</v>
      </c>
      <c r="B152" s="6" t="s">
        <v>245</v>
      </c>
      <c r="C152" s="6" t="s">
        <v>246</v>
      </c>
    </row>
    <row r="153" spans="1:4" ht="15.75" customHeight="1" x14ac:dyDescent="0.25">
      <c r="A153" s="6" t="str">
        <f t="shared" si="2"/>
        <v>Unitop-Osmena Blvd. (Downtown)</v>
      </c>
      <c r="B153" s="6" t="s">
        <v>247</v>
      </c>
      <c r="C153" s="6" t="s">
        <v>248</v>
      </c>
    </row>
    <row r="154" spans="1:4" ht="15.75" customHeight="1" x14ac:dyDescent="0.25">
      <c r="A154" s="6" t="str">
        <f t="shared" si="2"/>
        <v>Vicente Sotty Memorial Medical Center (DOH)-B. Rodriguez Street</v>
      </c>
      <c r="B154" s="6" t="s">
        <v>249</v>
      </c>
      <c r="C154" s="6" t="s">
        <v>250</v>
      </c>
    </row>
    <row r="155" spans="1:4" ht="15.75" customHeight="1" x14ac:dyDescent="0.25">
      <c r="A155" s="6" t="str">
        <f t="shared" si="2"/>
        <v xml:space="preserve">Victory Educational Supply-P. Lopez </v>
      </c>
      <c r="B155" s="6" t="s">
        <v>251</v>
      </c>
      <c r="C155" s="6" t="s">
        <v>127</v>
      </c>
    </row>
    <row r="156" spans="1:4" ht="15.75" customHeight="1" x14ac:dyDescent="0.25">
      <c r="A156" s="6" t="str">
        <f t="shared" si="2"/>
        <v>Visayan Educational Supply-Magallanes</v>
      </c>
      <c r="B156" s="6" t="s">
        <v>252</v>
      </c>
      <c r="C156" s="6" t="s">
        <v>108</v>
      </c>
    </row>
    <row r="157" spans="1:4" ht="15.75" customHeight="1" x14ac:dyDescent="0.25">
      <c r="A157" s="6" t="str">
        <f t="shared" si="2"/>
        <v>Waffle Time-SM Seaside, Cebu</v>
      </c>
      <c r="B157" s="6" t="s">
        <v>253</v>
      </c>
      <c r="C157" s="6" t="s">
        <v>64</v>
      </c>
    </row>
    <row r="158" spans="1:4" ht="15.75" customHeight="1" x14ac:dyDescent="0.25">
      <c r="A158" s="7" t="str">
        <f t="shared" si="2"/>
        <v>Water Refilling Station-Carlock</v>
      </c>
      <c r="B158" s="7" t="s">
        <v>254</v>
      </c>
      <c r="C158" s="7" t="s">
        <v>255</v>
      </c>
      <c r="D158" s="7"/>
    </row>
    <row r="159" spans="1:4" ht="15.75" customHeight="1" x14ac:dyDescent="0.25">
      <c r="A159" s="6" t="str">
        <f t="shared" si="2"/>
        <v>Watermelon Massage Spa-Escario Street</v>
      </c>
      <c r="B159" s="6" t="s">
        <v>256</v>
      </c>
      <c r="C159" s="6" t="s">
        <v>257</v>
      </c>
    </row>
    <row r="160" spans="1:4" ht="15.75" customHeight="1" x14ac:dyDescent="0.25">
      <c r="A160" s="6" t="str">
        <f t="shared" si="2"/>
        <v>Watson -Banawa-Guadalupe</v>
      </c>
      <c r="B160" s="6" t="s">
        <v>258</v>
      </c>
      <c r="C160" s="6" t="s">
        <v>259</v>
      </c>
    </row>
    <row r="161" spans="1:3" ht="15.75" customHeight="1" x14ac:dyDescent="0.25">
      <c r="A161" s="6" t="str">
        <f t="shared" si="2"/>
        <v>Watson -Capitol Site</v>
      </c>
      <c r="B161" s="6" t="s">
        <v>258</v>
      </c>
      <c r="C161" s="6" t="s">
        <v>260</v>
      </c>
    </row>
    <row r="162" spans="1:3" ht="15.75" customHeight="1" x14ac:dyDescent="0.25">
      <c r="A162" s="6" t="str">
        <f t="shared" si="2"/>
        <v>Watson -SM Seaside, Cebu</v>
      </c>
      <c r="B162" s="6" t="s">
        <v>258</v>
      </c>
      <c r="C162" s="6" t="s">
        <v>64</v>
      </c>
    </row>
    <row r="163" spans="1:3" ht="15.75" customHeight="1" x14ac:dyDescent="0.25">
      <c r="A163" s="6" t="str">
        <f t="shared" si="2"/>
        <v>Wellnessland Wellness Center-Sikatuna St., Zapatera, Cebu City</v>
      </c>
      <c r="B163" s="6" t="s">
        <v>261</v>
      </c>
      <c r="C163" s="6" t="s">
        <v>262</v>
      </c>
    </row>
    <row r="164" spans="1:3" ht="15.75" customHeight="1" x14ac:dyDescent="0.25">
      <c r="A164" s="6" t="str">
        <f t="shared" si="2"/>
        <v>Wired Systems Corporation-St. Patricks Square</v>
      </c>
      <c r="B164" s="6" t="s">
        <v>263</v>
      </c>
      <c r="C164" s="6" t="s">
        <v>264</v>
      </c>
    </row>
    <row r="165" spans="1:3" ht="15.75" customHeight="1" x14ac:dyDescent="0.25">
      <c r="A165" s="6" t="str">
        <f t="shared" si="2"/>
        <v>-</v>
      </c>
    </row>
    <row r="166" spans="1:3" ht="15.75" customHeight="1" x14ac:dyDescent="0.25">
      <c r="A166" s="6" t="str">
        <f t="shared" si="2"/>
        <v>-</v>
      </c>
    </row>
    <row r="167" spans="1:3" ht="15.75" customHeight="1" x14ac:dyDescent="0.25">
      <c r="A167" s="6" t="str">
        <f t="shared" si="2"/>
        <v>-</v>
      </c>
    </row>
    <row r="168" spans="1:3" ht="15.75" customHeight="1" x14ac:dyDescent="0.25">
      <c r="A168" s="6" t="str">
        <f t="shared" si="2"/>
        <v>-</v>
      </c>
    </row>
    <row r="169" spans="1:3" ht="15.75" customHeight="1" x14ac:dyDescent="0.25">
      <c r="A169" s="6" t="str">
        <f t="shared" si="2"/>
        <v>-</v>
      </c>
    </row>
    <row r="170" spans="1:3" ht="15.75" customHeight="1" x14ac:dyDescent="0.25">
      <c r="A170" s="6" t="str">
        <f t="shared" si="2"/>
        <v>-</v>
      </c>
    </row>
    <row r="171" spans="1:3" ht="15.75" customHeight="1" x14ac:dyDescent="0.25">
      <c r="A171" s="6" t="str">
        <f t="shared" si="2"/>
        <v>-</v>
      </c>
    </row>
    <row r="172" spans="1:3" ht="15.75" customHeight="1" x14ac:dyDescent="0.25">
      <c r="A172" s="6" t="str">
        <f t="shared" si="2"/>
        <v>-</v>
      </c>
    </row>
    <row r="173" spans="1:3" ht="15.75" customHeight="1" x14ac:dyDescent="0.25">
      <c r="A173" s="6" t="str">
        <f t="shared" si="2"/>
        <v>-</v>
      </c>
    </row>
    <row r="174" spans="1:3" ht="15.75" customHeight="1" x14ac:dyDescent="0.25">
      <c r="A174" s="6" t="str">
        <f t="shared" si="2"/>
        <v>-</v>
      </c>
    </row>
    <row r="175" spans="1:3" ht="15.75" customHeight="1" x14ac:dyDescent="0.25">
      <c r="A175" s="6" t="str">
        <f t="shared" si="2"/>
        <v>-</v>
      </c>
    </row>
    <row r="176" spans="1:3" ht="15.75" customHeight="1" x14ac:dyDescent="0.25">
      <c r="A176" s="6" t="str">
        <f t="shared" si="2"/>
        <v>-</v>
      </c>
    </row>
    <row r="177" spans="1:1" ht="15.75" customHeight="1" x14ac:dyDescent="0.25">
      <c r="A177" s="6" t="str">
        <f t="shared" si="2"/>
        <v>-</v>
      </c>
    </row>
    <row r="178" spans="1:1" ht="15.75" customHeight="1" x14ac:dyDescent="0.25">
      <c r="A178" s="6" t="str">
        <f t="shared" si="2"/>
        <v>-</v>
      </c>
    </row>
    <row r="179" spans="1:1" ht="15.75" customHeight="1" x14ac:dyDescent="0.25">
      <c r="A179" s="6" t="str">
        <f t="shared" si="2"/>
        <v>-</v>
      </c>
    </row>
    <row r="180" spans="1:1" ht="15.75" customHeight="1" x14ac:dyDescent="0.25">
      <c r="A180" s="6" t="str">
        <f t="shared" si="2"/>
        <v>-</v>
      </c>
    </row>
    <row r="181" spans="1:1" ht="15.75" customHeight="1" x14ac:dyDescent="0.25">
      <c r="A181" s="6" t="str">
        <f t="shared" si="2"/>
        <v>-</v>
      </c>
    </row>
    <row r="182" spans="1:1" ht="15.75" customHeight="1" x14ac:dyDescent="0.25">
      <c r="A182" s="6" t="str">
        <f t="shared" si="2"/>
        <v>-</v>
      </c>
    </row>
    <row r="183" spans="1:1" ht="15.75" customHeight="1" x14ac:dyDescent="0.25">
      <c r="A183" s="6" t="str">
        <f t="shared" si="2"/>
        <v>-</v>
      </c>
    </row>
    <row r="184" spans="1:1" ht="15.75" customHeight="1" x14ac:dyDescent="0.25">
      <c r="A184" s="6" t="str">
        <f t="shared" si="2"/>
        <v>-</v>
      </c>
    </row>
    <row r="185" spans="1:1" ht="15.75" customHeight="1" x14ac:dyDescent="0.25">
      <c r="A185" s="6" t="str">
        <f t="shared" si="2"/>
        <v>-</v>
      </c>
    </row>
    <row r="186" spans="1:1" ht="15.75" customHeight="1" x14ac:dyDescent="0.25">
      <c r="A186" s="6" t="str">
        <f t="shared" si="2"/>
        <v>-</v>
      </c>
    </row>
    <row r="187" spans="1:1" ht="15.75" customHeight="1" x14ac:dyDescent="0.25">
      <c r="A187" s="6" t="str">
        <f t="shared" si="2"/>
        <v>-</v>
      </c>
    </row>
    <row r="188" spans="1:1" ht="15.75" customHeight="1" x14ac:dyDescent="0.25">
      <c r="A188" s="6" t="str">
        <f t="shared" si="2"/>
        <v>-</v>
      </c>
    </row>
    <row r="189" spans="1:1" ht="15.75" customHeight="1" x14ac:dyDescent="0.25">
      <c r="A189" s="6" t="str">
        <f t="shared" si="2"/>
        <v>-</v>
      </c>
    </row>
    <row r="190" spans="1:1" ht="15.75" customHeight="1" x14ac:dyDescent="0.25">
      <c r="A190" s="6" t="str">
        <f t="shared" si="2"/>
        <v>-</v>
      </c>
    </row>
    <row r="191" spans="1:1" ht="15.75" customHeight="1" x14ac:dyDescent="0.25">
      <c r="A191" s="6" t="str">
        <f t="shared" si="2"/>
        <v>-</v>
      </c>
    </row>
    <row r="192" spans="1:1" ht="15.75" customHeight="1" x14ac:dyDescent="0.25">
      <c r="A192" s="6" t="str">
        <f t="shared" si="2"/>
        <v>-</v>
      </c>
    </row>
    <row r="193" spans="1:1" ht="15.75" customHeight="1" x14ac:dyDescent="0.25">
      <c r="A193" s="6" t="str">
        <f t="shared" si="2"/>
        <v>-</v>
      </c>
    </row>
    <row r="194" spans="1:1" ht="15.75" customHeight="1" x14ac:dyDescent="0.25">
      <c r="A194" s="6" t="str">
        <f t="shared" si="2"/>
        <v>-</v>
      </c>
    </row>
    <row r="195" spans="1:1" ht="15.75" customHeight="1" x14ac:dyDescent="0.25">
      <c r="A195" s="6" t="str">
        <f t="shared" ref="A195:A236" si="3">B195&amp;"-"&amp;C195</f>
        <v>-</v>
      </c>
    </row>
    <row r="196" spans="1:1" ht="15.75" customHeight="1" x14ac:dyDescent="0.25">
      <c r="A196" s="6" t="str">
        <f t="shared" si="3"/>
        <v>-</v>
      </c>
    </row>
    <row r="197" spans="1:1" ht="15.75" customHeight="1" x14ac:dyDescent="0.25">
      <c r="A197" s="6" t="str">
        <f t="shared" si="3"/>
        <v>-</v>
      </c>
    </row>
    <row r="198" spans="1:1" ht="15.75" customHeight="1" x14ac:dyDescent="0.25">
      <c r="A198" s="6" t="str">
        <f t="shared" si="3"/>
        <v>-</v>
      </c>
    </row>
    <row r="199" spans="1:1" ht="15.75" customHeight="1" x14ac:dyDescent="0.25">
      <c r="A199" s="6" t="str">
        <f t="shared" si="3"/>
        <v>-</v>
      </c>
    </row>
    <row r="200" spans="1:1" ht="15.75" customHeight="1" x14ac:dyDescent="0.25">
      <c r="A200" s="6" t="str">
        <f t="shared" si="3"/>
        <v>-</v>
      </c>
    </row>
    <row r="201" spans="1:1" ht="15.75" customHeight="1" x14ac:dyDescent="0.25">
      <c r="A201" s="6" t="str">
        <f t="shared" si="3"/>
        <v>-</v>
      </c>
    </row>
    <row r="202" spans="1:1" ht="15.75" customHeight="1" x14ac:dyDescent="0.25">
      <c r="A202" s="6" t="str">
        <f t="shared" si="3"/>
        <v>-</v>
      </c>
    </row>
    <row r="203" spans="1:1" ht="15.75" customHeight="1" x14ac:dyDescent="0.25">
      <c r="A203" s="6" t="str">
        <f t="shared" si="3"/>
        <v>-</v>
      </c>
    </row>
    <row r="204" spans="1:1" ht="15.75" customHeight="1" x14ac:dyDescent="0.25">
      <c r="A204" s="6" t="str">
        <f t="shared" si="3"/>
        <v>-</v>
      </c>
    </row>
    <row r="205" spans="1:1" ht="15.75" customHeight="1" x14ac:dyDescent="0.25">
      <c r="A205" s="6" t="str">
        <f t="shared" si="3"/>
        <v>-</v>
      </c>
    </row>
    <row r="206" spans="1:1" ht="15.75" customHeight="1" x14ac:dyDescent="0.25">
      <c r="A206" s="6" t="str">
        <f t="shared" si="3"/>
        <v>-</v>
      </c>
    </row>
    <row r="207" spans="1:1" ht="15.75" customHeight="1" x14ac:dyDescent="0.25">
      <c r="A207" s="6" t="str">
        <f t="shared" si="3"/>
        <v>-</v>
      </c>
    </row>
    <row r="208" spans="1:1" ht="15.75" customHeight="1" x14ac:dyDescent="0.25">
      <c r="A208" s="6" t="str">
        <f t="shared" si="3"/>
        <v>-</v>
      </c>
    </row>
    <row r="209" spans="1:1" ht="15.75" customHeight="1" x14ac:dyDescent="0.25">
      <c r="A209" s="6" t="str">
        <f t="shared" si="3"/>
        <v>-</v>
      </c>
    </row>
    <row r="210" spans="1:1" ht="15.75" customHeight="1" x14ac:dyDescent="0.25">
      <c r="A210" s="6" t="str">
        <f t="shared" si="3"/>
        <v>-</v>
      </c>
    </row>
    <row r="211" spans="1:1" ht="15.75" customHeight="1" x14ac:dyDescent="0.25">
      <c r="A211" s="6" t="str">
        <f t="shared" si="3"/>
        <v>-</v>
      </c>
    </row>
    <row r="212" spans="1:1" ht="15.75" customHeight="1" x14ac:dyDescent="0.25">
      <c r="A212" s="6" t="str">
        <f t="shared" si="3"/>
        <v>-</v>
      </c>
    </row>
    <row r="213" spans="1:1" ht="15.75" customHeight="1" x14ac:dyDescent="0.25">
      <c r="A213" s="6" t="str">
        <f t="shared" si="3"/>
        <v>-</v>
      </c>
    </row>
    <row r="214" spans="1:1" ht="15.75" customHeight="1" x14ac:dyDescent="0.25">
      <c r="A214" s="6" t="str">
        <f t="shared" si="3"/>
        <v>-</v>
      </c>
    </row>
    <row r="215" spans="1:1" ht="15.75" customHeight="1" x14ac:dyDescent="0.25">
      <c r="A215" s="6" t="str">
        <f t="shared" si="3"/>
        <v>-</v>
      </c>
    </row>
    <row r="216" spans="1:1" ht="15.75" customHeight="1" x14ac:dyDescent="0.25">
      <c r="A216" s="6" t="str">
        <f t="shared" si="3"/>
        <v>-</v>
      </c>
    </row>
    <row r="217" spans="1:1" ht="15.75" customHeight="1" x14ac:dyDescent="0.25">
      <c r="A217" s="6" t="str">
        <f t="shared" si="3"/>
        <v>-</v>
      </c>
    </row>
    <row r="218" spans="1:1" ht="15.75" customHeight="1" x14ac:dyDescent="0.25">
      <c r="A218" s="6" t="str">
        <f t="shared" si="3"/>
        <v>-</v>
      </c>
    </row>
    <row r="219" spans="1:1" ht="15.75" customHeight="1" x14ac:dyDescent="0.25">
      <c r="A219" s="6" t="str">
        <f t="shared" si="3"/>
        <v>-</v>
      </c>
    </row>
    <row r="220" spans="1:1" ht="15.75" customHeight="1" x14ac:dyDescent="0.25">
      <c r="A220" s="6" t="str">
        <f t="shared" si="3"/>
        <v>-</v>
      </c>
    </row>
    <row r="221" spans="1:1" ht="15.75" customHeight="1" x14ac:dyDescent="0.25">
      <c r="A221" s="6" t="str">
        <f t="shared" si="3"/>
        <v>-</v>
      </c>
    </row>
    <row r="222" spans="1:1" ht="15.75" customHeight="1" x14ac:dyDescent="0.25">
      <c r="A222" s="6" t="str">
        <f t="shared" si="3"/>
        <v>-</v>
      </c>
    </row>
    <row r="223" spans="1:1" ht="15.75" customHeight="1" x14ac:dyDescent="0.25">
      <c r="A223" s="6" t="str">
        <f t="shared" si="3"/>
        <v>-</v>
      </c>
    </row>
    <row r="224" spans="1:1" ht="15.75" customHeight="1" x14ac:dyDescent="0.25">
      <c r="A224" s="6" t="str">
        <f t="shared" si="3"/>
        <v>-</v>
      </c>
    </row>
    <row r="225" spans="1:1" ht="15.75" customHeight="1" x14ac:dyDescent="0.25">
      <c r="A225" s="6" t="str">
        <f t="shared" si="3"/>
        <v>-</v>
      </c>
    </row>
    <row r="226" spans="1:1" ht="15.75" customHeight="1" x14ac:dyDescent="0.25">
      <c r="A226" s="6" t="str">
        <f t="shared" si="3"/>
        <v>-</v>
      </c>
    </row>
    <row r="227" spans="1:1" ht="15.75" customHeight="1" x14ac:dyDescent="0.25">
      <c r="A227" s="6" t="str">
        <f t="shared" si="3"/>
        <v>-</v>
      </c>
    </row>
    <row r="228" spans="1:1" ht="15.75" customHeight="1" x14ac:dyDescent="0.25">
      <c r="A228" s="6" t="str">
        <f t="shared" si="3"/>
        <v>-</v>
      </c>
    </row>
    <row r="229" spans="1:1" ht="15.75" customHeight="1" x14ac:dyDescent="0.25">
      <c r="A229" s="6" t="str">
        <f t="shared" si="3"/>
        <v>-</v>
      </c>
    </row>
    <row r="230" spans="1:1" ht="15.75" customHeight="1" x14ac:dyDescent="0.25">
      <c r="A230" s="6" t="str">
        <f t="shared" si="3"/>
        <v>-</v>
      </c>
    </row>
    <row r="231" spans="1:1" ht="15.75" customHeight="1" x14ac:dyDescent="0.25">
      <c r="A231" s="6" t="str">
        <f t="shared" si="3"/>
        <v>-</v>
      </c>
    </row>
    <row r="232" spans="1:1" ht="15.75" customHeight="1" x14ac:dyDescent="0.25">
      <c r="A232" s="6" t="str">
        <f t="shared" si="3"/>
        <v>-</v>
      </c>
    </row>
    <row r="233" spans="1:1" ht="15.75" customHeight="1" x14ac:dyDescent="0.25">
      <c r="A233" s="6" t="str">
        <f t="shared" si="3"/>
        <v>-</v>
      </c>
    </row>
    <row r="234" spans="1:1" ht="15.75" customHeight="1" x14ac:dyDescent="0.25">
      <c r="A234" s="6" t="str">
        <f t="shared" si="3"/>
        <v>-</v>
      </c>
    </row>
    <row r="235" spans="1:1" ht="15.75" customHeight="1" x14ac:dyDescent="0.25">
      <c r="A235" s="6" t="str">
        <f t="shared" si="3"/>
        <v>-</v>
      </c>
    </row>
    <row r="236" spans="1:1" ht="15.75" customHeight="1" x14ac:dyDescent="0.25">
      <c r="A236" s="6" t="str">
        <f t="shared" si="3"/>
        <v>-</v>
      </c>
    </row>
    <row r="237" spans="1:1" ht="15.75" customHeight="1" x14ac:dyDescent="0.25"/>
    <row r="238" spans="1:1" ht="15.75" customHeight="1" x14ac:dyDescent="0.25"/>
    <row r="239" spans="1:1" ht="15.75" customHeight="1" x14ac:dyDescent="0.25"/>
    <row r="240" spans="1:1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2D95-8346-43EA-8DE1-DE3EC3A5B02E}">
  <dimension ref="A1:Y1011"/>
  <sheetViews>
    <sheetView topLeftCell="A2" workbookViewId="0">
      <selection activeCell="H92" sqref="H92"/>
    </sheetView>
  </sheetViews>
  <sheetFormatPr defaultColWidth="14.42578125" defaultRowHeight="15" customHeight="1" x14ac:dyDescent="0.25"/>
  <cols>
    <col min="1" max="1" width="24" style="6" customWidth="1"/>
    <col min="2" max="3" width="9.7109375" style="6" customWidth="1"/>
    <col min="4" max="4" width="12.7109375" style="6" customWidth="1"/>
    <col min="5" max="25" width="8.7109375" style="6" customWidth="1"/>
    <col min="26" max="16384" width="14.42578125" style="6"/>
  </cols>
  <sheetData>
    <row r="1" spans="1:25" x14ac:dyDescent="0.25">
      <c r="A1" s="6" t="s">
        <v>56</v>
      </c>
      <c r="B1" s="6" t="s">
        <v>15</v>
      </c>
      <c r="C1" s="8" t="s">
        <v>9</v>
      </c>
      <c r="D1" s="8" t="s">
        <v>265</v>
      </c>
    </row>
    <row r="2" spans="1:25" x14ac:dyDescent="0.25">
      <c r="A2" s="6" t="str">
        <f t="shared" ref="A2:A46" si="0">B2&amp;"-"&amp;C2&amp;"-"&amp;D2</f>
        <v>Accessories-Zach-00000</v>
      </c>
      <c r="B2" s="9" t="s">
        <v>266</v>
      </c>
      <c r="C2" s="8" t="s">
        <v>267</v>
      </c>
      <c r="D2" s="8" t="s">
        <v>268</v>
      </c>
    </row>
    <row r="3" spans="1:25" x14ac:dyDescent="0.25">
      <c r="A3" s="6" t="str">
        <f t="shared" si="0"/>
        <v>Baking-00000-00000</v>
      </c>
      <c r="B3" s="9" t="s">
        <v>269</v>
      </c>
      <c r="C3" s="8" t="s">
        <v>268</v>
      </c>
      <c r="D3" s="8" t="s">
        <v>268</v>
      </c>
    </row>
    <row r="4" spans="1:25" x14ac:dyDescent="0.25">
      <c r="A4" s="6" t="str">
        <f t="shared" si="0"/>
        <v>Bonding-00000-Family</v>
      </c>
      <c r="B4" s="9" t="s">
        <v>270</v>
      </c>
      <c r="C4" s="8" t="s">
        <v>268</v>
      </c>
      <c r="D4" s="8" t="s">
        <v>271</v>
      </c>
    </row>
    <row r="5" spans="1:25" x14ac:dyDescent="0.25">
      <c r="A5" s="6" t="str">
        <f t="shared" si="0"/>
        <v>Bonding-00001-Bedian</v>
      </c>
      <c r="B5" s="9" t="s">
        <v>270</v>
      </c>
      <c r="C5" s="8" t="s">
        <v>272</v>
      </c>
      <c r="D5" s="8" t="s">
        <v>273</v>
      </c>
    </row>
    <row r="6" spans="1:25" x14ac:dyDescent="0.25">
      <c r="A6" s="6" t="str">
        <f t="shared" si="0"/>
        <v>Bonding-00002-Kids</v>
      </c>
      <c r="B6" s="9" t="s">
        <v>270</v>
      </c>
      <c r="C6" s="8" t="s">
        <v>274</v>
      </c>
      <c r="D6" s="8" t="s">
        <v>275</v>
      </c>
    </row>
    <row r="7" spans="1:25" x14ac:dyDescent="0.25">
      <c r="A7" s="7" t="str">
        <f t="shared" si="0"/>
        <v>Bonding-00003-Brayton</v>
      </c>
      <c r="B7" s="9" t="s">
        <v>270</v>
      </c>
      <c r="C7" s="8" t="s">
        <v>276</v>
      </c>
      <c r="D7" s="8" t="s">
        <v>277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x14ac:dyDescent="0.25">
      <c r="A8" s="7" t="str">
        <f t="shared" si="0"/>
        <v>Bonding-00004-Kaleb</v>
      </c>
      <c r="B8" s="9" t="s">
        <v>270</v>
      </c>
      <c r="C8" s="8" t="s">
        <v>278</v>
      </c>
      <c r="D8" s="8" t="s">
        <v>279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25">
      <c r="A9" s="7" t="str">
        <f t="shared" si="0"/>
        <v>Car-00000-Maintenance</v>
      </c>
      <c r="B9" s="9" t="s">
        <v>280</v>
      </c>
      <c r="C9" s="8" t="s">
        <v>268</v>
      </c>
      <c r="D9" s="8" t="s">
        <v>281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25">
      <c r="A10" s="7" t="str">
        <f t="shared" si="0"/>
        <v>Car-Avanza-Fuel</v>
      </c>
      <c r="B10" s="9" t="s">
        <v>280</v>
      </c>
      <c r="C10" s="8" t="s">
        <v>282</v>
      </c>
      <c r="D10" s="8" t="s">
        <v>283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25">
      <c r="A11" s="7" t="str">
        <f t="shared" si="0"/>
        <v>Car-Avanza-Laundry</v>
      </c>
      <c r="B11" s="9" t="s">
        <v>280</v>
      </c>
      <c r="C11" s="8" t="s">
        <v>282</v>
      </c>
      <c r="D11" s="8" t="s">
        <v>284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25">
      <c r="A12" s="7" t="str">
        <f t="shared" si="0"/>
        <v>Car-Avanza-Maintenance</v>
      </c>
      <c r="B12" s="9" t="s">
        <v>280</v>
      </c>
      <c r="C12" s="8" t="s">
        <v>282</v>
      </c>
      <c r="D12" s="8" t="s">
        <v>281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25">
      <c r="A13" s="7" t="str">
        <f t="shared" si="0"/>
        <v>Car-Avanza-Expense</v>
      </c>
      <c r="B13" s="9" t="s">
        <v>280</v>
      </c>
      <c r="C13" s="8" t="s">
        <v>282</v>
      </c>
      <c r="D13" s="8" t="s">
        <v>285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25">
      <c r="A14" s="7" t="str">
        <f t="shared" si="0"/>
        <v>Car-Carens-Fuel</v>
      </c>
      <c r="B14" s="9" t="s">
        <v>280</v>
      </c>
      <c r="C14" s="8" t="s">
        <v>286</v>
      </c>
      <c r="D14" s="8" t="s">
        <v>283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25">
      <c r="A15" s="7" t="str">
        <f t="shared" si="0"/>
        <v>Car-Carens-Maintenance</v>
      </c>
      <c r="B15" s="9" t="s">
        <v>280</v>
      </c>
      <c r="C15" s="8" t="s">
        <v>286</v>
      </c>
      <c r="D15" s="8" t="s">
        <v>281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x14ac:dyDescent="0.25">
      <c r="A16" s="7" t="str">
        <f t="shared" si="0"/>
        <v>Car-Carens-Expense</v>
      </c>
      <c r="B16" s="9" t="s">
        <v>280</v>
      </c>
      <c r="C16" s="8" t="s">
        <v>286</v>
      </c>
      <c r="D16" s="8" t="s">
        <v>285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x14ac:dyDescent="0.25">
      <c r="A17" s="7" t="str">
        <f t="shared" si="0"/>
        <v>Car-Parking-</v>
      </c>
      <c r="B17" s="9" t="s">
        <v>280</v>
      </c>
      <c r="C17" s="8" t="s">
        <v>206</v>
      </c>
      <c r="D17" s="8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x14ac:dyDescent="0.25">
      <c r="A18" s="7" t="str">
        <f t="shared" si="0"/>
        <v>Celebration-Zach-00000</v>
      </c>
      <c r="B18" s="9" t="s">
        <v>287</v>
      </c>
      <c r="C18" s="8" t="s">
        <v>267</v>
      </c>
      <c r="D18" s="8" t="s">
        <v>268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x14ac:dyDescent="0.25">
      <c r="A19" s="7" t="str">
        <f t="shared" si="0"/>
        <v>Cellphone-Kaleb-00000</v>
      </c>
      <c r="B19" s="9" t="s">
        <v>288</v>
      </c>
      <c r="C19" s="8" t="s">
        <v>279</v>
      </c>
      <c r="D19" s="8" t="s">
        <v>268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x14ac:dyDescent="0.25">
      <c r="A20" s="7" t="str">
        <f t="shared" si="0"/>
        <v>Cellphone-Bedian-00000</v>
      </c>
      <c r="B20" s="9" t="s">
        <v>288</v>
      </c>
      <c r="C20" s="8" t="s">
        <v>273</v>
      </c>
      <c r="D20" s="8" t="s">
        <v>268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x14ac:dyDescent="0.25">
      <c r="A21" s="7" t="str">
        <f t="shared" si="0"/>
        <v>Cellphone-Brayton-00000</v>
      </c>
      <c r="B21" s="9" t="s">
        <v>288</v>
      </c>
      <c r="C21" s="8" t="s">
        <v>277</v>
      </c>
      <c r="D21" s="8" t="s">
        <v>268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x14ac:dyDescent="0.25">
      <c r="A22" s="7" t="str">
        <f t="shared" si="0"/>
        <v>Cellphone-Zach-00000</v>
      </c>
      <c r="B22" s="9" t="s">
        <v>288</v>
      </c>
      <c r="C22" s="8" t="s">
        <v>267</v>
      </c>
      <c r="D22" s="8" t="s">
        <v>268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25">
      <c r="A23" s="7" t="str">
        <f t="shared" si="0"/>
        <v>Clothing-Brayton-00000</v>
      </c>
      <c r="B23" s="9" t="s">
        <v>289</v>
      </c>
      <c r="C23" s="8" t="s">
        <v>277</v>
      </c>
      <c r="D23" s="8" t="s">
        <v>268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25">
      <c r="A24" s="7" t="str">
        <f t="shared" si="0"/>
        <v>Clothing-Kaleb-00000</v>
      </c>
      <c r="B24" s="9" t="s">
        <v>289</v>
      </c>
      <c r="C24" s="8" t="s">
        <v>279</v>
      </c>
      <c r="D24" s="8" t="s">
        <v>268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25">
      <c r="A25" s="7" t="str">
        <f t="shared" si="0"/>
        <v>Computer-Twins-00000</v>
      </c>
      <c r="B25" s="9" t="s">
        <v>290</v>
      </c>
      <c r="C25" s="8" t="s">
        <v>291</v>
      </c>
      <c r="D25" s="8" t="s">
        <v>268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customHeight="1" x14ac:dyDescent="0.25">
      <c r="A26" s="7" t="str">
        <f t="shared" si="0"/>
        <v>Computer-Bedian-00000</v>
      </c>
      <c r="B26" s="9" t="s">
        <v>290</v>
      </c>
      <c r="C26" s="8" t="s">
        <v>273</v>
      </c>
      <c r="D26" s="8" t="s">
        <v>268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.75" customHeight="1" x14ac:dyDescent="0.25">
      <c r="A27" s="7" t="str">
        <f t="shared" si="0"/>
        <v>Computer-Brayton-00000</v>
      </c>
      <c r="B27" s="9" t="s">
        <v>290</v>
      </c>
      <c r="C27" s="8" t="s">
        <v>277</v>
      </c>
      <c r="D27" s="8" t="s">
        <v>268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.75" customHeight="1" x14ac:dyDescent="0.25">
      <c r="A28" s="7" t="str">
        <f t="shared" si="0"/>
        <v>Computer-Kaleb-00000</v>
      </c>
      <c r="B28" s="9" t="s">
        <v>290</v>
      </c>
      <c r="C28" s="8" t="s">
        <v>279</v>
      </c>
      <c r="D28" s="8" t="s">
        <v>268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customHeight="1" x14ac:dyDescent="0.25">
      <c r="A29" s="7" t="str">
        <f t="shared" si="0"/>
        <v>Computer-Oldhouse-00000</v>
      </c>
      <c r="B29" s="9" t="s">
        <v>290</v>
      </c>
      <c r="C29" s="8" t="s">
        <v>292</v>
      </c>
      <c r="D29" s="8" t="s">
        <v>268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customHeight="1" x14ac:dyDescent="0.25">
      <c r="A30" s="7" t="str">
        <f t="shared" si="0"/>
        <v>Computer-3rd Floor-00000</v>
      </c>
      <c r="B30" s="9" t="s">
        <v>290</v>
      </c>
      <c r="C30" s="8" t="s">
        <v>293</v>
      </c>
      <c r="D30" s="8" t="s">
        <v>268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customHeight="1" x14ac:dyDescent="0.25">
      <c r="A31" s="7" t="str">
        <f t="shared" si="0"/>
        <v>Computer-Zach-00000</v>
      </c>
      <c r="B31" s="9" t="s">
        <v>290</v>
      </c>
      <c r="C31" s="8" t="s">
        <v>267</v>
      </c>
      <c r="D31" s="8" t="s">
        <v>268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customHeight="1" x14ac:dyDescent="0.25">
      <c r="A32" s="7" t="str">
        <f t="shared" si="0"/>
        <v>Discount-Promo-00000</v>
      </c>
      <c r="B32" s="9" t="s">
        <v>294</v>
      </c>
      <c r="C32" s="8" t="s">
        <v>295</v>
      </c>
      <c r="D32" s="8" t="s">
        <v>268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customHeight="1" x14ac:dyDescent="0.25">
      <c r="A33" s="7" t="str">
        <f t="shared" si="0"/>
        <v>Discount-Change-00000</v>
      </c>
      <c r="B33" s="9" t="s">
        <v>294</v>
      </c>
      <c r="C33" s="8" t="s">
        <v>296</v>
      </c>
      <c r="D33" s="8" t="s">
        <v>268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customHeight="1" x14ac:dyDescent="0.25">
      <c r="A34" s="7" t="str">
        <f t="shared" si="0"/>
        <v>Donation-Bedian-00000</v>
      </c>
      <c r="B34" s="9" t="s">
        <v>297</v>
      </c>
      <c r="C34" s="8" t="s">
        <v>273</v>
      </c>
      <c r="D34" s="8" t="s">
        <v>268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customHeight="1" x14ac:dyDescent="0.25">
      <c r="A35" s="7" t="str">
        <f t="shared" si="0"/>
        <v>Donation-Brayton-00000</v>
      </c>
      <c r="B35" s="9" t="s">
        <v>297</v>
      </c>
      <c r="C35" s="8" t="s">
        <v>277</v>
      </c>
      <c r="D35" s="8" t="s">
        <v>268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customHeight="1" x14ac:dyDescent="0.25">
      <c r="A36" s="7" t="str">
        <f t="shared" si="0"/>
        <v>Donation-Kaleb-00000</v>
      </c>
      <c r="B36" s="9" t="s">
        <v>297</v>
      </c>
      <c r="C36" s="8" t="s">
        <v>279</v>
      </c>
      <c r="D36" s="8" t="s">
        <v>268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customHeight="1" x14ac:dyDescent="0.25">
      <c r="A37" s="7" t="str">
        <f t="shared" si="0"/>
        <v>Donation-Zach-00000</v>
      </c>
      <c r="B37" s="9" t="s">
        <v>297</v>
      </c>
      <c r="C37" s="8" t="s">
        <v>267</v>
      </c>
      <c r="D37" s="8" t="s">
        <v>268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customHeight="1" x14ac:dyDescent="0.25">
      <c r="A38" s="7" t="str">
        <f t="shared" si="0"/>
        <v>Educational-Brayton-00000</v>
      </c>
      <c r="B38" s="9" t="s">
        <v>298</v>
      </c>
      <c r="C38" s="8" t="s">
        <v>277</v>
      </c>
      <c r="D38" s="8" t="s">
        <v>268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customHeight="1" x14ac:dyDescent="0.25">
      <c r="A39" s="7" t="str">
        <f t="shared" si="0"/>
        <v>Educational-Kaleb-00000</v>
      </c>
      <c r="B39" s="9" t="s">
        <v>298</v>
      </c>
      <c r="C39" s="8" t="s">
        <v>279</v>
      </c>
      <c r="D39" s="8" t="s">
        <v>268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customHeight="1" x14ac:dyDescent="0.25">
      <c r="A40" s="7" t="str">
        <f t="shared" si="0"/>
        <v>Expense-2nd Floor-00000</v>
      </c>
      <c r="B40" s="9" t="s">
        <v>285</v>
      </c>
      <c r="C40" s="8" t="s">
        <v>299</v>
      </c>
      <c r="D40" s="8" t="s">
        <v>268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customHeight="1" x14ac:dyDescent="0.25">
      <c r="A41" s="7" t="str">
        <f t="shared" si="0"/>
        <v>Expense-Oldhouse-00000</v>
      </c>
      <c r="B41" s="9" t="s">
        <v>285</v>
      </c>
      <c r="C41" s="8" t="s">
        <v>292</v>
      </c>
      <c r="D41" s="8" t="s">
        <v>268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customHeight="1" x14ac:dyDescent="0.25">
      <c r="A42" s="7" t="str">
        <f t="shared" si="0"/>
        <v>Expense-Charmaine-00000</v>
      </c>
      <c r="B42" s="9" t="s">
        <v>285</v>
      </c>
      <c r="C42" s="8" t="s">
        <v>300</v>
      </c>
      <c r="D42" s="8" t="s">
        <v>268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customHeight="1" x14ac:dyDescent="0.25">
      <c r="A43" s="7" t="str">
        <f t="shared" si="0"/>
        <v>Expense-Phyllis-00000</v>
      </c>
      <c r="B43" s="9" t="s">
        <v>285</v>
      </c>
      <c r="C43" s="8" t="s">
        <v>301</v>
      </c>
      <c r="D43" s="8" t="s">
        <v>268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customHeight="1" x14ac:dyDescent="0.25">
      <c r="A44" s="7" t="str">
        <f t="shared" si="0"/>
        <v>Expense-Roxan-00000</v>
      </c>
      <c r="B44" s="9" t="s">
        <v>285</v>
      </c>
      <c r="C44" s="8" t="s">
        <v>302</v>
      </c>
      <c r="D44" s="8" t="s">
        <v>268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customHeight="1" x14ac:dyDescent="0.25">
      <c r="A45" s="7" t="str">
        <f t="shared" si="0"/>
        <v>Expense-Shirley-00000</v>
      </c>
      <c r="B45" s="9" t="s">
        <v>285</v>
      </c>
      <c r="C45" s="8" t="s">
        <v>303</v>
      </c>
      <c r="D45" s="8" t="s">
        <v>268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customHeight="1" x14ac:dyDescent="0.25">
      <c r="A46" s="7" t="str">
        <f t="shared" si="0"/>
        <v>Expense-Keng Offering-</v>
      </c>
      <c r="B46" s="9" t="s">
        <v>285</v>
      </c>
      <c r="C46" s="8" t="s">
        <v>304</v>
      </c>
      <c r="D46" s="8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customHeight="1" x14ac:dyDescent="0.25">
      <c r="A47" s="7" t="s">
        <v>305</v>
      </c>
      <c r="B47" s="9" t="s">
        <v>285</v>
      </c>
      <c r="C47" s="8" t="s">
        <v>306</v>
      </c>
      <c r="D47" s="8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customHeight="1" x14ac:dyDescent="0.25">
      <c r="A48" s="7" t="str">
        <f t="shared" ref="A48:A111" si="1">B48&amp;"-"&amp;C48&amp;"-"&amp;D48</f>
        <v>Expense-Parent's Offering-</v>
      </c>
      <c r="B48" s="9" t="s">
        <v>285</v>
      </c>
      <c r="C48" s="8" t="s">
        <v>307</v>
      </c>
      <c r="D48" s="8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customHeight="1" x14ac:dyDescent="0.25">
      <c r="A49" s="7" t="str">
        <f t="shared" si="1"/>
        <v>Expense-Bedian-0000</v>
      </c>
      <c r="B49" s="9" t="s">
        <v>285</v>
      </c>
      <c r="C49" s="8" t="s">
        <v>273</v>
      </c>
      <c r="D49" s="8" t="s">
        <v>308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75" customHeight="1" x14ac:dyDescent="0.25">
      <c r="A50" s="7" t="str">
        <f t="shared" si="1"/>
        <v>Expense-Zach-0000</v>
      </c>
      <c r="B50" s="9" t="s">
        <v>285</v>
      </c>
      <c r="C50" s="8" t="s">
        <v>267</v>
      </c>
      <c r="D50" s="8" t="s">
        <v>308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75" customHeight="1" x14ac:dyDescent="0.25">
      <c r="A51" s="7" t="str">
        <f t="shared" si="1"/>
        <v>Expense-Shipping and Delivery-0000</v>
      </c>
      <c r="B51" s="9" t="s">
        <v>285</v>
      </c>
      <c r="C51" s="8" t="s">
        <v>309</v>
      </c>
      <c r="D51" s="8" t="s">
        <v>308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customHeight="1" x14ac:dyDescent="0.25">
      <c r="A52" s="7" t="str">
        <f t="shared" si="1"/>
        <v>Gift-Twins-00000</v>
      </c>
      <c r="B52" s="9" t="s">
        <v>310</v>
      </c>
      <c r="C52" s="8" t="s">
        <v>291</v>
      </c>
      <c r="D52" s="8" t="s">
        <v>268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75" customHeight="1" x14ac:dyDescent="0.25">
      <c r="A53" s="7" t="str">
        <f t="shared" si="1"/>
        <v>Gift-Bedian-00000</v>
      </c>
      <c r="B53" s="9" t="s">
        <v>310</v>
      </c>
      <c r="C53" s="8" t="s">
        <v>273</v>
      </c>
      <c r="D53" s="8" t="s">
        <v>268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.75" customHeight="1" x14ac:dyDescent="0.25">
      <c r="A54" s="7" t="str">
        <f t="shared" si="1"/>
        <v>Gift-Brayton-00000</v>
      </c>
      <c r="B54" s="9" t="s">
        <v>310</v>
      </c>
      <c r="C54" s="8" t="s">
        <v>277</v>
      </c>
      <c r="D54" s="8" t="s">
        <v>268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.75" customHeight="1" x14ac:dyDescent="0.25">
      <c r="A55" s="7" t="str">
        <f t="shared" si="1"/>
        <v>Gift-Others-00000</v>
      </c>
      <c r="B55" s="9" t="s">
        <v>310</v>
      </c>
      <c r="C55" s="8" t="s">
        <v>311</v>
      </c>
      <c r="D55" s="8" t="s">
        <v>268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75" customHeight="1" x14ac:dyDescent="0.25">
      <c r="A56" s="7" t="str">
        <f t="shared" si="1"/>
        <v>Gift-Kaleb-00000</v>
      </c>
      <c r="B56" s="9" t="s">
        <v>310</v>
      </c>
      <c r="C56" s="8" t="s">
        <v>279</v>
      </c>
      <c r="D56" s="8" t="s">
        <v>268</v>
      </c>
      <c r="E56" s="7"/>
      <c r="F56" s="7"/>
      <c r="G56" s="9"/>
      <c r="H56" s="8"/>
      <c r="I56" s="8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75" customHeight="1" x14ac:dyDescent="0.25">
      <c r="A57" s="7" t="str">
        <f t="shared" si="1"/>
        <v>Grocery-00000-00000</v>
      </c>
      <c r="B57" s="9" t="s">
        <v>312</v>
      </c>
      <c r="C57" s="8" t="s">
        <v>268</v>
      </c>
      <c r="D57" s="8" t="s">
        <v>268</v>
      </c>
      <c r="E57" s="7"/>
      <c r="F57" s="7"/>
      <c r="G57" s="9"/>
      <c r="H57" s="8"/>
      <c r="I57" s="8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75" customHeight="1" x14ac:dyDescent="0.25">
      <c r="A58" s="7" t="str">
        <f t="shared" si="1"/>
        <v>Grocery-2nd Floor-00000</v>
      </c>
      <c r="B58" s="9" t="s">
        <v>312</v>
      </c>
      <c r="C58" s="8" t="s">
        <v>299</v>
      </c>
      <c r="D58" s="8" t="s">
        <v>268</v>
      </c>
      <c r="E58" s="7"/>
      <c r="F58" s="7"/>
      <c r="G58" s="9"/>
      <c r="H58" s="8"/>
      <c r="I58" s="8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75" customHeight="1" x14ac:dyDescent="0.25">
      <c r="A59" s="7" t="str">
        <f t="shared" si="1"/>
        <v>Grocery-3rd Floor-00000</v>
      </c>
      <c r="B59" s="9" t="s">
        <v>312</v>
      </c>
      <c r="C59" s="8" t="s">
        <v>293</v>
      </c>
      <c r="D59" s="8" t="s">
        <v>268</v>
      </c>
      <c r="E59" s="7"/>
      <c r="F59" s="7"/>
      <c r="G59" s="9"/>
      <c r="H59" s="8"/>
      <c r="I59" s="8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75" customHeight="1" x14ac:dyDescent="0.25">
      <c r="A60" s="7" t="str">
        <f t="shared" si="1"/>
        <v>Grocery-Oldhouse-00000</v>
      </c>
      <c r="B60" s="9" t="s">
        <v>312</v>
      </c>
      <c r="C60" s="8" t="s">
        <v>292</v>
      </c>
      <c r="D60" s="8" t="s">
        <v>268</v>
      </c>
      <c r="E60" s="7"/>
      <c r="F60" s="7"/>
      <c r="G60" s="9"/>
      <c r="H60" s="8"/>
      <c r="I60" s="8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75" customHeight="1" x14ac:dyDescent="0.25">
      <c r="A61" s="7" t="str">
        <f t="shared" si="1"/>
        <v>Grooming-Zach-00000</v>
      </c>
      <c r="B61" s="9" t="s">
        <v>313</v>
      </c>
      <c r="C61" s="8" t="s">
        <v>267</v>
      </c>
      <c r="D61" s="8" t="s">
        <v>268</v>
      </c>
      <c r="E61" s="7"/>
      <c r="F61" s="7"/>
      <c r="G61" s="9"/>
      <c r="H61" s="8"/>
      <c r="I61" s="8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.75" customHeight="1" x14ac:dyDescent="0.25">
      <c r="A62" s="7" t="str">
        <f t="shared" si="1"/>
        <v>Health-All-Protection</v>
      </c>
      <c r="B62" s="9" t="s">
        <v>314</v>
      </c>
      <c r="C62" s="8" t="s">
        <v>315</v>
      </c>
      <c r="D62" s="8" t="s">
        <v>316</v>
      </c>
      <c r="E62" s="7"/>
      <c r="F62" s="7"/>
      <c r="G62" s="9"/>
      <c r="H62" s="8"/>
      <c r="I62" s="8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customHeight="1" x14ac:dyDescent="0.25">
      <c r="A63" s="7" t="str">
        <f t="shared" si="1"/>
        <v>Health-Bedian-Diagnostic</v>
      </c>
      <c r="B63" s="9" t="s">
        <v>314</v>
      </c>
      <c r="C63" s="8" t="s">
        <v>273</v>
      </c>
      <c r="D63" s="8" t="s">
        <v>317</v>
      </c>
      <c r="E63" s="7"/>
      <c r="F63" s="7"/>
      <c r="G63" s="9"/>
      <c r="H63" s="8"/>
      <c r="I63" s="8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.75" customHeight="1" x14ac:dyDescent="0.25">
      <c r="A64" s="7" t="str">
        <f t="shared" si="1"/>
        <v>Health-Bedian-Doctor</v>
      </c>
      <c r="B64" s="9" t="s">
        <v>314</v>
      </c>
      <c r="C64" s="8" t="s">
        <v>273</v>
      </c>
      <c r="D64" s="8" t="s">
        <v>318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customHeight="1" x14ac:dyDescent="0.25">
      <c r="A65" s="7" t="str">
        <f t="shared" si="1"/>
        <v>Health-Kaleb-Doctor</v>
      </c>
      <c r="B65" s="9" t="s">
        <v>314</v>
      </c>
      <c r="C65" s="8" t="s">
        <v>279</v>
      </c>
      <c r="D65" s="8" t="s">
        <v>318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customHeight="1" x14ac:dyDescent="0.25">
      <c r="A66" s="7" t="str">
        <f t="shared" si="1"/>
        <v>Health-Zach-Diagnostic</v>
      </c>
      <c r="B66" s="9" t="s">
        <v>314</v>
      </c>
      <c r="C66" s="8" t="s">
        <v>267</v>
      </c>
      <c r="D66" s="8" t="s">
        <v>317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customHeight="1" x14ac:dyDescent="0.25">
      <c r="A67" s="7" t="str">
        <f t="shared" si="1"/>
        <v>Health-Zach-Doctor</v>
      </c>
      <c r="B67" s="9" t="s">
        <v>314</v>
      </c>
      <c r="C67" s="8" t="s">
        <v>267</v>
      </c>
      <c r="D67" s="8" t="s">
        <v>318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customHeight="1" x14ac:dyDescent="0.25">
      <c r="A68" s="7" t="str">
        <f t="shared" si="1"/>
        <v>Health-Zach-Protection</v>
      </c>
      <c r="B68" s="9" t="s">
        <v>314</v>
      </c>
      <c r="C68" s="8" t="s">
        <v>267</v>
      </c>
      <c r="D68" s="8" t="s">
        <v>316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.75" customHeight="1" x14ac:dyDescent="0.25">
      <c r="A69" s="7" t="str">
        <f t="shared" si="1"/>
        <v>Hardware-Tools-00000</v>
      </c>
      <c r="B69" s="9" t="s">
        <v>319</v>
      </c>
      <c r="C69" s="8" t="s">
        <v>320</v>
      </c>
      <c r="D69" s="8" t="s">
        <v>268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.75" customHeight="1" x14ac:dyDescent="0.25">
      <c r="A70" s="7" t="str">
        <f t="shared" si="1"/>
        <v>Hobby-Kaleb-00000</v>
      </c>
      <c r="B70" s="9" t="s">
        <v>321</v>
      </c>
      <c r="C70" s="8" t="s">
        <v>279</v>
      </c>
      <c r="D70" s="8" t="s">
        <v>268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.75" customHeight="1" x14ac:dyDescent="0.25">
      <c r="A71" s="7" t="str">
        <f t="shared" si="1"/>
        <v>Household-General-00000</v>
      </c>
      <c r="B71" s="9" t="s">
        <v>322</v>
      </c>
      <c r="C71" s="8" t="s">
        <v>323</v>
      </c>
      <c r="D71" s="8" t="s">
        <v>268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.75" customHeight="1" x14ac:dyDescent="0.25">
      <c r="A72" s="7" t="str">
        <f t="shared" si="1"/>
        <v>Household-2nd Floor-00000</v>
      </c>
      <c r="B72" s="9" t="s">
        <v>322</v>
      </c>
      <c r="C72" s="8" t="s">
        <v>299</v>
      </c>
      <c r="D72" s="8" t="s">
        <v>268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.75" customHeight="1" x14ac:dyDescent="0.25">
      <c r="A73" s="7" t="str">
        <f t="shared" si="1"/>
        <v>Household-3rd Floor-00000</v>
      </c>
      <c r="B73" s="9" t="s">
        <v>322</v>
      </c>
      <c r="C73" s="8" t="s">
        <v>293</v>
      </c>
      <c r="D73" s="8" t="s">
        <v>268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.75" customHeight="1" x14ac:dyDescent="0.25">
      <c r="A74" s="7" t="str">
        <f t="shared" si="1"/>
        <v>Leisure-Bedian-00000</v>
      </c>
      <c r="B74" s="9" t="s">
        <v>324</v>
      </c>
      <c r="C74" s="8" t="s">
        <v>273</v>
      </c>
      <c r="D74" s="8" t="s">
        <v>268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.75" customHeight="1" x14ac:dyDescent="0.25">
      <c r="A75" s="7" t="str">
        <f t="shared" si="1"/>
        <v>Leisure-Zach-00000</v>
      </c>
      <c r="B75" s="9" t="s">
        <v>324</v>
      </c>
      <c r="C75" s="8" t="s">
        <v>267</v>
      </c>
      <c r="D75" s="8" t="s">
        <v>268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.75" customHeight="1" x14ac:dyDescent="0.25">
      <c r="A76" s="7" t="str">
        <f t="shared" si="1"/>
        <v>Meal-Oldhouse-00000</v>
      </c>
      <c r="B76" s="9" t="s">
        <v>325</v>
      </c>
      <c r="C76" s="8" t="s">
        <v>292</v>
      </c>
      <c r="D76" s="8" t="s">
        <v>268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.75" customHeight="1" x14ac:dyDescent="0.25">
      <c r="A77" s="7" t="str">
        <f t="shared" si="1"/>
        <v>Meal-3rd Floor-00000</v>
      </c>
      <c r="B77" s="9" t="s">
        <v>325</v>
      </c>
      <c r="C77" s="8" t="s">
        <v>293</v>
      </c>
      <c r="D77" s="8" t="s">
        <v>268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.75" customHeight="1" x14ac:dyDescent="0.25">
      <c r="A78" s="7" t="str">
        <f t="shared" si="1"/>
        <v>Meal-Bedian-00000</v>
      </c>
      <c r="B78" s="9" t="s">
        <v>325</v>
      </c>
      <c r="C78" s="8" t="s">
        <v>273</v>
      </c>
      <c r="D78" s="8" t="s">
        <v>268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.75" customHeight="1" x14ac:dyDescent="0.25">
      <c r="A79" s="7" t="str">
        <f t="shared" si="1"/>
        <v>Meal-Brayton-00000</v>
      </c>
      <c r="B79" s="9" t="s">
        <v>325</v>
      </c>
      <c r="C79" s="8" t="s">
        <v>277</v>
      </c>
      <c r="D79" s="8" t="s">
        <v>268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.75" customHeight="1" x14ac:dyDescent="0.25">
      <c r="A80" s="7" t="str">
        <f t="shared" si="1"/>
        <v>Meal-Kaleb-00000</v>
      </c>
      <c r="B80" s="9" t="s">
        <v>325</v>
      </c>
      <c r="C80" s="8" t="s">
        <v>279</v>
      </c>
      <c r="D80" s="8" t="s">
        <v>268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.75" customHeight="1" x14ac:dyDescent="0.25">
      <c r="A81" s="7" t="str">
        <f t="shared" si="1"/>
        <v>Meal-Zach-00000</v>
      </c>
      <c r="B81" s="9" t="s">
        <v>325</v>
      </c>
      <c r="C81" s="8" t="s">
        <v>267</v>
      </c>
      <c r="D81" s="8" t="s">
        <v>268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.75" customHeight="1" x14ac:dyDescent="0.25">
      <c r="A82" s="7" t="str">
        <f t="shared" si="1"/>
        <v>Medicine-Mama-00000</v>
      </c>
      <c r="B82" s="9" t="s">
        <v>326</v>
      </c>
      <c r="C82" s="8" t="s">
        <v>327</v>
      </c>
      <c r="D82" s="8" t="s">
        <v>268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.75" customHeight="1" x14ac:dyDescent="0.25">
      <c r="A83" s="7" t="str">
        <f t="shared" si="1"/>
        <v>Medicine-3rd Floor-00000</v>
      </c>
      <c r="B83" s="9" t="s">
        <v>326</v>
      </c>
      <c r="C83" s="8" t="s">
        <v>293</v>
      </c>
      <c r="D83" s="8" t="s">
        <v>268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.75" customHeight="1" x14ac:dyDescent="0.25">
      <c r="A84" s="7" t="str">
        <f t="shared" si="1"/>
        <v>Medicine-Bedian-00000</v>
      </c>
      <c r="B84" s="9" t="s">
        <v>326</v>
      </c>
      <c r="C84" s="8" t="s">
        <v>273</v>
      </c>
      <c r="D84" s="8" t="s">
        <v>268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.75" customHeight="1" x14ac:dyDescent="0.25">
      <c r="A85" s="7" t="str">
        <f t="shared" si="1"/>
        <v>Medicine-Brayton-00000</v>
      </c>
      <c r="B85" s="9" t="s">
        <v>326</v>
      </c>
      <c r="C85" s="8" t="s">
        <v>277</v>
      </c>
      <c r="D85" s="8" t="s">
        <v>268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.75" customHeight="1" x14ac:dyDescent="0.25">
      <c r="A86" s="7" t="str">
        <f t="shared" si="1"/>
        <v>Medicine-Kaleb-00000</v>
      </c>
      <c r="B86" s="9" t="s">
        <v>326</v>
      </c>
      <c r="C86" s="8" t="s">
        <v>279</v>
      </c>
      <c r="D86" s="8" t="s">
        <v>268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.75" customHeight="1" x14ac:dyDescent="0.25">
      <c r="A87" s="7" t="str">
        <f t="shared" si="1"/>
        <v>Medicine-Zach-00000</v>
      </c>
      <c r="B87" s="9" t="s">
        <v>326</v>
      </c>
      <c r="C87" s="8" t="s">
        <v>267</v>
      </c>
      <c r="D87" s="8" t="s">
        <v>268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.75" customHeight="1" x14ac:dyDescent="0.25">
      <c r="A88" s="7" t="str">
        <f t="shared" si="1"/>
        <v>Oldhouse-00000-00000</v>
      </c>
      <c r="B88" s="9" t="s">
        <v>292</v>
      </c>
      <c r="C88" s="8" t="s">
        <v>268</v>
      </c>
      <c r="D88" s="8" t="s">
        <v>268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.75" customHeight="1" x14ac:dyDescent="0.25">
      <c r="A89" s="7" t="str">
        <f t="shared" si="1"/>
        <v>Personal-Zach-00000</v>
      </c>
      <c r="B89" s="9" t="s">
        <v>328</v>
      </c>
      <c r="C89" s="8" t="s">
        <v>267</v>
      </c>
      <c r="D89" s="8" t="s">
        <v>268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.75" customHeight="1" x14ac:dyDescent="0.25">
      <c r="A90" s="7" t="str">
        <f t="shared" si="1"/>
        <v>Receivable-Twins-00000</v>
      </c>
      <c r="B90" s="9" t="s">
        <v>329</v>
      </c>
      <c r="C90" s="8" t="s">
        <v>291</v>
      </c>
      <c r="D90" s="8" t="s">
        <v>268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.75" customHeight="1" x14ac:dyDescent="0.25">
      <c r="A91" s="7" t="str">
        <f t="shared" si="1"/>
        <v>Religious-Zach-00000</v>
      </c>
      <c r="B91" s="9" t="s">
        <v>330</v>
      </c>
      <c r="C91" s="8" t="s">
        <v>267</v>
      </c>
      <c r="D91" s="8" t="s">
        <v>268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.75" customHeight="1" x14ac:dyDescent="0.25">
      <c r="A92" s="7" t="str">
        <f t="shared" si="1"/>
        <v>School-Brayton-00000</v>
      </c>
      <c r="B92" s="9" t="s">
        <v>331</v>
      </c>
      <c r="C92" s="8" t="s">
        <v>277</v>
      </c>
      <c r="D92" s="8" t="s">
        <v>268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.75" customHeight="1" x14ac:dyDescent="0.25">
      <c r="A93" s="7" t="str">
        <f t="shared" si="1"/>
        <v>School-Kaleb-00000</v>
      </c>
      <c r="B93" s="9" t="s">
        <v>331</v>
      </c>
      <c r="C93" s="8" t="s">
        <v>279</v>
      </c>
      <c r="D93" s="8" t="s">
        <v>268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.75" customHeight="1" x14ac:dyDescent="0.25">
      <c r="A94" s="7" t="str">
        <f t="shared" si="1"/>
        <v>Supplies-School-00000</v>
      </c>
      <c r="B94" s="9" t="s">
        <v>332</v>
      </c>
      <c r="C94" s="8" t="s">
        <v>331</v>
      </c>
      <c r="D94" s="8" t="s">
        <v>268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.75" customHeight="1" x14ac:dyDescent="0.25">
      <c r="A95" s="7" t="str">
        <f t="shared" si="1"/>
        <v>Supplies-Office-00000</v>
      </c>
      <c r="B95" s="9" t="s">
        <v>332</v>
      </c>
      <c r="C95" s="8" t="s">
        <v>333</v>
      </c>
      <c r="D95" s="8" t="s">
        <v>268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.75" customHeight="1" x14ac:dyDescent="0.25">
      <c r="A96" s="7" t="str">
        <f t="shared" si="1"/>
        <v>Supplies-Electrical-00000</v>
      </c>
      <c r="B96" s="9" t="s">
        <v>332</v>
      </c>
      <c r="C96" s="8" t="s">
        <v>334</v>
      </c>
      <c r="D96" s="8" t="s">
        <v>268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75" customHeight="1" x14ac:dyDescent="0.25">
      <c r="A97" s="7" t="str">
        <f t="shared" si="1"/>
        <v>Supplies-Plumbing-00000</v>
      </c>
      <c r="B97" s="9" t="s">
        <v>332</v>
      </c>
      <c r="C97" s="8" t="s">
        <v>335</v>
      </c>
      <c r="D97" s="8" t="s">
        <v>268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customHeight="1" x14ac:dyDescent="0.25">
      <c r="A98" s="7" t="str">
        <f t="shared" si="1"/>
        <v>Snacks-3rd Floor-00000</v>
      </c>
      <c r="B98" s="9" t="s">
        <v>336</v>
      </c>
      <c r="C98" s="8" t="s">
        <v>293</v>
      </c>
      <c r="D98" s="8" t="s">
        <v>268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customHeight="1" x14ac:dyDescent="0.25">
      <c r="A99" s="7" t="str">
        <f t="shared" si="1"/>
        <v>Snacks-Bedian-00000</v>
      </c>
      <c r="B99" s="9" t="s">
        <v>336</v>
      </c>
      <c r="C99" s="8" t="s">
        <v>273</v>
      </c>
      <c r="D99" s="8" t="s">
        <v>268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75" customHeight="1" x14ac:dyDescent="0.25">
      <c r="A100" s="7" t="str">
        <f t="shared" si="1"/>
        <v>Snacks-Brayton-00000</v>
      </c>
      <c r="B100" s="9" t="s">
        <v>336</v>
      </c>
      <c r="C100" s="8" t="s">
        <v>277</v>
      </c>
      <c r="D100" s="8" t="s">
        <v>268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customHeight="1" x14ac:dyDescent="0.25">
      <c r="A101" s="7" t="str">
        <f t="shared" si="1"/>
        <v>Snacks-Kaleb-00000</v>
      </c>
      <c r="B101" s="9" t="s">
        <v>336</v>
      </c>
      <c r="C101" s="8" t="s">
        <v>279</v>
      </c>
      <c r="D101" s="8" t="s">
        <v>268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customHeight="1" x14ac:dyDescent="0.25">
      <c r="A102" s="7" t="str">
        <f t="shared" si="1"/>
        <v>Snacks-Zach-00000</v>
      </c>
      <c r="B102" s="9" t="s">
        <v>336</v>
      </c>
      <c r="C102" s="8" t="s">
        <v>267</v>
      </c>
      <c r="D102" s="8" t="s">
        <v>268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customHeight="1" x14ac:dyDescent="0.25">
      <c r="A103" s="7" t="str">
        <f t="shared" si="1"/>
        <v>Transportation-Bedian-00000</v>
      </c>
      <c r="B103" s="9" t="s">
        <v>337</v>
      </c>
      <c r="C103" s="8" t="s">
        <v>273</v>
      </c>
      <c r="D103" s="8" t="s">
        <v>268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customHeight="1" x14ac:dyDescent="0.25">
      <c r="A104" s="7" t="str">
        <f t="shared" si="1"/>
        <v>Transportation-Zach-00000</v>
      </c>
      <c r="B104" s="9" t="s">
        <v>337</v>
      </c>
      <c r="C104" s="8" t="s">
        <v>267</v>
      </c>
      <c r="D104" s="8" t="s">
        <v>268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customHeight="1" x14ac:dyDescent="0.25">
      <c r="A105" s="7" t="str">
        <f t="shared" si="1"/>
        <v>Tips-3rd Floor-00000</v>
      </c>
      <c r="B105" s="9" t="s">
        <v>338</v>
      </c>
      <c r="C105" s="8" t="s">
        <v>293</v>
      </c>
      <c r="D105" s="8" t="s">
        <v>268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customHeight="1" x14ac:dyDescent="0.25">
      <c r="A106" s="7" t="str">
        <f t="shared" si="1"/>
        <v>Tips-Zach-00000</v>
      </c>
      <c r="B106" s="9" t="s">
        <v>338</v>
      </c>
      <c r="C106" s="8" t="s">
        <v>267</v>
      </c>
      <c r="D106" s="8" t="s">
        <v>268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customHeight="1" x14ac:dyDescent="0.25">
      <c r="A107" s="7" t="str">
        <f t="shared" si="1"/>
        <v>Tools-3rd Floor-00000</v>
      </c>
      <c r="B107" s="9" t="s">
        <v>320</v>
      </c>
      <c r="C107" s="8" t="s">
        <v>293</v>
      </c>
      <c r="D107" s="8" t="s">
        <v>268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customHeight="1" x14ac:dyDescent="0.25">
      <c r="A108" s="7" t="str">
        <f t="shared" si="1"/>
        <v>Vitamins-Bedian-00000</v>
      </c>
      <c r="B108" s="9" t="s">
        <v>339</v>
      </c>
      <c r="C108" s="8" t="s">
        <v>273</v>
      </c>
      <c r="D108" s="8" t="s">
        <v>268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customHeight="1" x14ac:dyDescent="0.25">
      <c r="A109" s="7" t="str">
        <f t="shared" si="1"/>
        <v>Vitamins-Zach-00000</v>
      </c>
      <c r="B109" s="9" t="s">
        <v>339</v>
      </c>
      <c r="C109" s="8" t="s">
        <v>267</v>
      </c>
      <c r="D109" s="8" t="s">
        <v>268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customHeight="1" x14ac:dyDescent="0.25">
      <c r="A110" s="7" t="str">
        <f t="shared" si="1"/>
        <v>Vitamins-Brayton-00000</v>
      </c>
      <c r="B110" s="9" t="s">
        <v>339</v>
      </c>
      <c r="C110" s="8" t="s">
        <v>277</v>
      </c>
      <c r="D110" s="8" t="s">
        <v>268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customHeight="1" x14ac:dyDescent="0.25">
      <c r="A111" s="7" t="str">
        <f t="shared" si="1"/>
        <v>Vitamins-Kaleb-00000</v>
      </c>
      <c r="B111" s="9" t="s">
        <v>339</v>
      </c>
      <c r="C111" s="8" t="s">
        <v>279</v>
      </c>
      <c r="D111" s="8" t="s">
        <v>268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customHeight="1" x14ac:dyDescent="0.25">
      <c r="A112" s="7" t="str">
        <f t="shared" ref="A112:A123" si="2">B112&amp;"-"&amp;C112&amp;"-"&amp;D112</f>
        <v>Work-Zach-00000</v>
      </c>
      <c r="B112" s="9" t="s">
        <v>340</v>
      </c>
      <c r="C112" s="8" t="s">
        <v>267</v>
      </c>
      <c r="D112" s="8" t="s">
        <v>268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customHeight="1" x14ac:dyDescent="0.25">
      <c r="A113" s="7" t="str">
        <f t="shared" si="2"/>
        <v>Work-Bedian-00000</v>
      </c>
      <c r="B113" s="9" t="s">
        <v>340</v>
      </c>
      <c r="C113" s="8" t="s">
        <v>273</v>
      </c>
      <c r="D113" s="8" t="s">
        <v>268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 x14ac:dyDescent="0.25">
      <c r="A114" s="7" t="str">
        <f t="shared" si="2"/>
        <v>--</v>
      </c>
      <c r="B114" s="7"/>
      <c r="C114" s="8"/>
      <c r="D114" s="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 x14ac:dyDescent="0.25">
      <c r="A115" s="7" t="str">
        <f t="shared" si="2"/>
        <v>--</v>
      </c>
      <c r="B115" s="7"/>
      <c r="C115" s="8"/>
      <c r="D115" s="8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 x14ac:dyDescent="0.25">
      <c r="A116" s="7" t="str">
        <f t="shared" si="2"/>
        <v>--</v>
      </c>
      <c r="B116" s="7"/>
      <c r="C116" s="8"/>
      <c r="D116" s="8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customHeight="1" x14ac:dyDescent="0.25">
      <c r="A117" s="7" t="str">
        <f t="shared" si="2"/>
        <v>--</v>
      </c>
      <c r="B117" s="7"/>
      <c r="C117" s="8"/>
      <c r="D117" s="8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customHeight="1" x14ac:dyDescent="0.25">
      <c r="A118" s="7" t="str">
        <f t="shared" si="2"/>
        <v>--</v>
      </c>
      <c r="B118" s="7"/>
      <c r="C118" s="8"/>
      <c r="D118" s="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customHeight="1" x14ac:dyDescent="0.25">
      <c r="A119" s="7" t="str">
        <f t="shared" si="2"/>
        <v>--</v>
      </c>
      <c r="B119" s="7"/>
      <c r="C119" s="8"/>
      <c r="D119" s="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customHeight="1" x14ac:dyDescent="0.25">
      <c r="A120" s="7" t="str">
        <f t="shared" si="2"/>
        <v>--</v>
      </c>
      <c r="B120" s="7"/>
      <c r="C120" s="8"/>
      <c r="D120" s="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customHeight="1" x14ac:dyDescent="0.25">
      <c r="A121" s="7" t="str">
        <f t="shared" si="2"/>
        <v>--</v>
      </c>
      <c r="B121" s="7"/>
      <c r="C121" s="8"/>
      <c r="D121" s="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customHeight="1" x14ac:dyDescent="0.25">
      <c r="A122" s="7" t="str">
        <f t="shared" si="2"/>
        <v>--</v>
      </c>
      <c r="B122" s="7"/>
      <c r="C122" s="8"/>
      <c r="D122" s="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customHeight="1" x14ac:dyDescent="0.25">
      <c r="A123" s="7" t="str">
        <f t="shared" si="2"/>
        <v>--</v>
      </c>
      <c r="B123" s="7"/>
      <c r="C123" s="8"/>
      <c r="D123" s="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customHeight="1" x14ac:dyDescent="0.25">
      <c r="C124" s="8"/>
      <c r="D124" s="8"/>
    </row>
    <row r="125" spans="1:25" ht="15.75" customHeight="1" x14ac:dyDescent="0.25">
      <c r="C125" s="8"/>
      <c r="D125" s="8"/>
    </row>
    <row r="126" spans="1:25" ht="15.75" customHeight="1" x14ac:dyDescent="0.25">
      <c r="C126" s="8"/>
      <c r="D126" s="8"/>
    </row>
    <row r="127" spans="1:25" ht="15.75" customHeight="1" x14ac:dyDescent="0.25">
      <c r="C127" s="8"/>
      <c r="D127" s="8"/>
    </row>
    <row r="128" spans="1:25" ht="15.75" customHeight="1" x14ac:dyDescent="0.25">
      <c r="C128" s="8"/>
      <c r="D128" s="8"/>
    </row>
    <row r="129" spans="3:4" ht="15.75" customHeight="1" x14ac:dyDescent="0.25">
      <c r="C129" s="8"/>
      <c r="D129" s="8"/>
    </row>
    <row r="130" spans="3:4" ht="15.75" customHeight="1" x14ac:dyDescent="0.25">
      <c r="C130" s="8"/>
      <c r="D130" s="8"/>
    </row>
    <row r="131" spans="3:4" ht="15.75" customHeight="1" x14ac:dyDescent="0.25">
      <c r="C131" s="8"/>
      <c r="D131" s="8"/>
    </row>
    <row r="132" spans="3:4" ht="15.75" customHeight="1" x14ac:dyDescent="0.25">
      <c r="C132" s="8"/>
      <c r="D132" s="8"/>
    </row>
    <row r="133" spans="3:4" ht="15.75" customHeight="1" x14ac:dyDescent="0.25">
      <c r="C133" s="8"/>
      <c r="D133" s="8"/>
    </row>
    <row r="134" spans="3:4" ht="15.75" customHeight="1" x14ac:dyDescent="0.25">
      <c r="C134" s="8"/>
      <c r="D134" s="8"/>
    </row>
    <row r="135" spans="3:4" ht="15.75" customHeight="1" x14ac:dyDescent="0.25">
      <c r="C135" s="8"/>
      <c r="D135" s="8"/>
    </row>
    <row r="136" spans="3:4" ht="15.75" customHeight="1" x14ac:dyDescent="0.25">
      <c r="C136" s="8"/>
      <c r="D136" s="8"/>
    </row>
    <row r="137" spans="3:4" ht="15.75" customHeight="1" x14ac:dyDescent="0.25">
      <c r="C137" s="8"/>
      <c r="D137" s="8"/>
    </row>
    <row r="138" spans="3:4" ht="15.75" customHeight="1" x14ac:dyDescent="0.25">
      <c r="C138" s="8"/>
      <c r="D138" s="8"/>
    </row>
    <row r="139" spans="3:4" ht="15.75" customHeight="1" x14ac:dyDescent="0.25">
      <c r="C139" s="8"/>
      <c r="D139" s="8"/>
    </row>
    <row r="140" spans="3:4" ht="15.75" customHeight="1" x14ac:dyDescent="0.25">
      <c r="C140" s="8"/>
      <c r="D140" s="8"/>
    </row>
    <row r="141" spans="3:4" ht="15.75" customHeight="1" x14ac:dyDescent="0.25">
      <c r="C141" s="8"/>
      <c r="D141" s="8"/>
    </row>
    <row r="142" spans="3:4" ht="15.75" customHeight="1" x14ac:dyDescent="0.25">
      <c r="C142" s="8"/>
      <c r="D142" s="8"/>
    </row>
    <row r="143" spans="3:4" ht="15.75" customHeight="1" x14ac:dyDescent="0.25">
      <c r="C143" s="8"/>
      <c r="D143" s="8"/>
    </row>
    <row r="144" spans="3:4" ht="15.75" customHeight="1" x14ac:dyDescent="0.25">
      <c r="C144" s="8"/>
      <c r="D144" s="8"/>
    </row>
    <row r="145" spans="3:4" ht="15.75" customHeight="1" x14ac:dyDescent="0.25">
      <c r="C145" s="8"/>
      <c r="D145" s="8"/>
    </row>
    <row r="146" spans="3:4" ht="15.75" customHeight="1" x14ac:dyDescent="0.25">
      <c r="C146" s="8"/>
      <c r="D146" s="8"/>
    </row>
    <row r="147" spans="3:4" ht="15.75" customHeight="1" x14ac:dyDescent="0.25">
      <c r="C147" s="8"/>
      <c r="D147" s="8"/>
    </row>
    <row r="148" spans="3:4" ht="15.75" customHeight="1" x14ac:dyDescent="0.25">
      <c r="C148" s="8"/>
      <c r="D148" s="8"/>
    </row>
    <row r="149" spans="3:4" ht="15.75" customHeight="1" x14ac:dyDescent="0.25">
      <c r="C149" s="8"/>
      <c r="D149" s="8"/>
    </row>
    <row r="150" spans="3:4" ht="15.75" customHeight="1" x14ac:dyDescent="0.25">
      <c r="C150" s="8"/>
      <c r="D150" s="8"/>
    </row>
    <row r="151" spans="3:4" ht="15.75" customHeight="1" x14ac:dyDescent="0.25">
      <c r="C151" s="8"/>
      <c r="D151" s="8"/>
    </row>
    <row r="152" spans="3:4" ht="15.75" customHeight="1" x14ac:dyDescent="0.25">
      <c r="C152" s="8"/>
      <c r="D152" s="8"/>
    </row>
    <row r="153" spans="3:4" ht="15.75" customHeight="1" x14ac:dyDescent="0.25">
      <c r="C153" s="8"/>
      <c r="D153" s="8"/>
    </row>
    <row r="154" spans="3:4" ht="15.75" customHeight="1" x14ac:dyDescent="0.25">
      <c r="C154" s="8"/>
      <c r="D154" s="8"/>
    </row>
    <row r="155" spans="3:4" ht="15.75" customHeight="1" x14ac:dyDescent="0.25">
      <c r="C155" s="8"/>
      <c r="D155" s="8"/>
    </row>
    <row r="156" spans="3:4" ht="15.75" customHeight="1" x14ac:dyDescent="0.25">
      <c r="C156" s="8"/>
      <c r="D156" s="8"/>
    </row>
    <row r="157" spans="3:4" ht="15.75" customHeight="1" x14ac:dyDescent="0.25">
      <c r="C157" s="8"/>
      <c r="D157" s="8"/>
    </row>
    <row r="158" spans="3:4" ht="15.75" customHeight="1" x14ac:dyDescent="0.25">
      <c r="C158" s="8"/>
      <c r="D158" s="8"/>
    </row>
    <row r="159" spans="3:4" ht="15.75" customHeight="1" x14ac:dyDescent="0.25">
      <c r="C159" s="8"/>
      <c r="D159" s="8"/>
    </row>
    <row r="160" spans="3:4" ht="15.75" customHeight="1" x14ac:dyDescent="0.25">
      <c r="C160" s="8"/>
      <c r="D160" s="8"/>
    </row>
    <row r="161" spans="3:4" ht="15.75" customHeight="1" x14ac:dyDescent="0.25">
      <c r="C161" s="8"/>
      <c r="D161" s="8"/>
    </row>
    <row r="162" spans="3:4" ht="15.75" customHeight="1" x14ac:dyDescent="0.25">
      <c r="C162" s="8"/>
      <c r="D162" s="8"/>
    </row>
    <row r="163" spans="3:4" ht="15.75" customHeight="1" x14ac:dyDescent="0.25">
      <c r="C163" s="8"/>
      <c r="D163" s="8"/>
    </row>
    <row r="164" spans="3:4" ht="15.75" customHeight="1" x14ac:dyDescent="0.25">
      <c r="C164" s="8"/>
      <c r="D164" s="8"/>
    </row>
    <row r="165" spans="3:4" ht="15.75" customHeight="1" x14ac:dyDescent="0.25">
      <c r="C165" s="8"/>
      <c r="D165" s="8"/>
    </row>
    <row r="166" spans="3:4" ht="15.75" customHeight="1" x14ac:dyDescent="0.25">
      <c r="C166" s="8"/>
      <c r="D166" s="8"/>
    </row>
    <row r="167" spans="3:4" ht="15.75" customHeight="1" x14ac:dyDescent="0.25">
      <c r="C167" s="8"/>
      <c r="D167" s="8"/>
    </row>
    <row r="168" spans="3:4" ht="15.75" customHeight="1" x14ac:dyDescent="0.25">
      <c r="C168" s="8"/>
      <c r="D168" s="8"/>
    </row>
    <row r="169" spans="3:4" ht="15.75" customHeight="1" x14ac:dyDescent="0.25">
      <c r="C169" s="8"/>
      <c r="D169" s="8"/>
    </row>
    <row r="170" spans="3:4" ht="15.75" customHeight="1" x14ac:dyDescent="0.25">
      <c r="C170" s="8"/>
      <c r="D170" s="8"/>
    </row>
    <row r="171" spans="3:4" ht="15.75" customHeight="1" x14ac:dyDescent="0.25">
      <c r="C171" s="8"/>
      <c r="D171" s="8"/>
    </row>
    <row r="172" spans="3:4" ht="15.75" customHeight="1" x14ac:dyDescent="0.25">
      <c r="C172" s="8"/>
      <c r="D172" s="8"/>
    </row>
    <row r="173" spans="3:4" ht="15.75" customHeight="1" x14ac:dyDescent="0.25">
      <c r="C173" s="8"/>
      <c r="D173" s="8"/>
    </row>
    <row r="174" spans="3:4" ht="15.75" customHeight="1" x14ac:dyDescent="0.25">
      <c r="C174" s="8"/>
      <c r="D174" s="8"/>
    </row>
    <row r="175" spans="3:4" ht="15.75" customHeight="1" x14ac:dyDescent="0.25">
      <c r="C175" s="8"/>
      <c r="D175" s="8"/>
    </row>
    <row r="176" spans="3:4" ht="15.75" customHeight="1" x14ac:dyDescent="0.25">
      <c r="C176" s="8"/>
      <c r="D176" s="8"/>
    </row>
    <row r="177" spans="3:4" ht="15.75" customHeight="1" x14ac:dyDescent="0.25">
      <c r="C177" s="8"/>
      <c r="D177" s="8"/>
    </row>
    <row r="178" spans="3:4" ht="15.75" customHeight="1" x14ac:dyDescent="0.25">
      <c r="C178" s="8"/>
      <c r="D178" s="8"/>
    </row>
    <row r="179" spans="3:4" ht="15.75" customHeight="1" x14ac:dyDescent="0.25">
      <c r="C179" s="8"/>
      <c r="D179" s="8"/>
    </row>
    <row r="180" spans="3:4" ht="15.75" customHeight="1" x14ac:dyDescent="0.25">
      <c r="C180" s="8"/>
      <c r="D180" s="8"/>
    </row>
    <row r="181" spans="3:4" ht="15.75" customHeight="1" x14ac:dyDescent="0.25">
      <c r="C181" s="8"/>
      <c r="D181" s="8"/>
    </row>
    <row r="182" spans="3:4" ht="15.75" customHeight="1" x14ac:dyDescent="0.25">
      <c r="C182" s="8"/>
      <c r="D182" s="8"/>
    </row>
    <row r="183" spans="3:4" ht="15.75" customHeight="1" x14ac:dyDescent="0.25">
      <c r="C183" s="8"/>
      <c r="D183" s="8"/>
    </row>
    <row r="184" spans="3:4" ht="15.75" customHeight="1" x14ac:dyDescent="0.25">
      <c r="C184" s="8"/>
      <c r="D184" s="8"/>
    </row>
    <row r="185" spans="3:4" ht="15.75" customHeight="1" x14ac:dyDescent="0.25">
      <c r="C185" s="8"/>
      <c r="D185" s="8"/>
    </row>
    <row r="186" spans="3:4" ht="15.75" customHeight="1" x14ac:dyDescent="0.25">
      <c r="C186" s="8"/>
      <c r="D186" s="8"/>
    </row>
    <row r="187" spans="3:4" ht="15.75" customHeight="1" x14ac:dyDescent="0.25">
      <c r="C187" s="8"/>
      <c r="D187" s="8"/>
    </row>
    <row r="188" spans="3:4" ht="15.75" customHeight="1" x14ac:dyDescent="0.25">
      <c r="C188" s="8"/>
      <c r="D188" s="8"/>
    </row>
    <row r="189" spans="3:4" ht="15.75" customHeight="1" x14ac:dyDescent="0.25">
      <c r="C189" s="8"/>
      <c r="D189" s="8"/>
    </row>
    <row r="190" spans="3:4" ht="15.75" customHeight="1" x14ac:dyDescent="0.25">
      <c r="C190" s="8"/>
      <c r="D190" s="8"/>
    </row>
    <row r="191" spans="3:4" ht="15.75" customHeight="1" x14ac:dyDescent="0.25">
      <c r="C191" s="8"/>
      <c r="D191" s="8"/>
    </row>
    <row r="192" spans="3:4" ht="15.75" customHeight="1" x14ac:dyDescent="0.25">
      <c r="C192" s="8"/>
      <c r="D192" s="8"/>
    </row>
    <row r="193" spans="3:4" ht="15.75" customHeight="1" x14ac:dyDescent="0.25">
      <c r="C193" s="8"/>
      <c r="D193" s="8"/>
    </row>
    <row r="194" spans="3:4" ht="15.75" customHeight="1" x14ac:dyDescent="0.25">
      <c r="C194" s="8"/>
      <c r="D194" s="8"/>
    </row>
    <row r="195" spans="3:4" ht="15.75" customHeight="1" x14ac:dyDescent="0.25">
      <c r="C195" s="8"/>
      <c r="D195" s="8"/>
    </row>
    <row r="196" spans="3:4" ht="15.75" customHeight="1" x14ac:dyDescent="0.25">
      <c r="C196" s="8"/>
      <c r="D196" s="8"/>
    </row>
    <row r="197" spans="3:4" ht="15.75" customHeight="1" x14ac:dyDescent="0.25">
      <c r="C197" s="8"/>
      <c r="D197" s="8"/>
    </row>
    <row r="198" spans="3:4" ht="15.75" customHeight="1" x14ac:dyDescent="0.25">
      <c r="C198" s="8"/>
      <c r="D198" s="8"/>
    </row>
    <row r="199" spans="3:4" ht="15.75" customHeight="1" x14ac:dyDescent="0.25">
      <c r="C199" s="8"/>
      <c r="D199" s="8"/>
    </row>
    <row r="200" spans="3:4" ht="15.75" customHeight="1" x14ac:dyDescent="0.25">
      <c r="C200" s="8"/>
      <c r="D200" s="8"/>
    </row>
    <row r="201" spans="3:4" ht="15.75" customHeight="1" x14ac:dyDescent="0.25">
      <c r="C201" s="8"/>
      <c r="D201" s="8"/>
    </row>
    <row r="202" spans="3:4" ht="15.75" customHeight="1" x14ac:dyDescent="0.25">
      <c r="C202" s="8"/>
      <c r="D202" s="8"/>
    </row>
    <row r="203" spans="3:4" ht="15.75" customHeight="1" x14ac:dyDescent="0.25">
      <c r="C203" s="8"/>
      <c r="D203" s="8"/>
    </row>
    <row r="204" spans="3:4" ht="15.75" customHeight="1" x14ac:dyDescent="0.25">
      <c r="C204" s="8"/>
      <c r="D204" s="8"/>
    </row>
    <row r="205" spans="3:4" ht="15.75" customHeight="1" x14ac:dyDescent="0.25">
      <c r="C205" s="8"/>
      <c r="D205" s="8"/>
    </row>
    <row r="206" spans="3:4" ht="15.75" customHeight="1" x14ac:dyDescent="0.25">
      <c r="C206" s="8"/>
      <c r="D206" s="8"/>
    </row>
    <row r="207" spans="3:4" ht="15.75" customHeight="1" x14ac:dyDescent="0.25">
      <c r="C207" s="8"/>
      <c r="D207" s="8"/>
    </row>
    <row r="208" spans="3:4" ht="15.75" customHeight="1" x14ac:dyDescent="0.25">
      <c r="C208" s="8"/>
      <c r="D208" s="8"/>
    </row>
    <row r="209" spans="3:4" ht="15.75" customHeight="1" x14ac:dyDescent="0.25">
      <c r="C209" s="8"/>
      <c r="D209" s="8"/>
    </row>
    <row r="210" spans="3:4" ht="15.75" customHeight="1" x14ac:dyDescent="0.25">
      <c r="C210" s="8"/>
      <c r="D210" s="8"/>
    </row>
    <row r="211" spans="3:4" ht="15.75" customHeight="1" x14ac:dyDescent="0.25">
      <c r="C211" s="8"/>
      <c r="D211" s="8"/>
    </row>
    <row r="212" spans="3:4" ht="15.75" customHeight="1" x14ac:dyDescent="0.25">
      <c r="C212" s="8"/>
      <c r="D212" s="8"/>
    </row>
    <row r="213" spans="3:4" ht="15.75" customHeight="1" x14ac:dyDescent="0.25">
      <c r="C213" s="8"/>
      <c r="D213" s="8"/>
    </row>
    <row r="214" spans="3:4" ht="15.75" customHeight="1" x14ac:dyDescent="0.25">
      <c r="C214" s="8"/>
      <c r="D214" s="8"/>
    </row>
    <row r="215" spans="3:4" ht="15.75" customHeight="1" x14ac:dyDescent="0.25">
      <c r="C215" s="8"/>
      <c r="D215" s="8"/>
    </row>
    <row r="216" spans="3:4" ht="15.75" customHeight="1" x14ac:dyDescent="0.25">
      <c r="C216" s="8"/>
      <c r="D216" s="8"/>
    </row>
    <row r="217" spans="3:4" ht="15.75" customHeight="1" x14ac:dyDescent="0.25">
      <c r="C217" s="8"/>
      <c r="D217" s="8"/>
    </row>
    <row r="218" spans="3:4" ht="15.75" customHeight="1" x14ac:dyDescent="0.25">
      <c r="C218" s="8"/>
      <c r="D218" s="8"/>
    </row>
    <row r="219" spans="3:4" ht="15.75" customHeight="1" x14ac:dyDescent="0.25">
      <c r="C219" s="8"/>
      <c r="D219" s="8"/>
    </row>
    <row r="220" spans="3:4" ht="15.75" customHeight="1" x14ac:dyDescent="0.25">
      <c r="C220" s="8"/>
      <c r="D220" s="8"/>
    </row>
    <row r="221" spans="3:4" ht="15.75" customHeight="1" x14ac:dyDescent="0.25">
      <c r="C221" s="8"/>
      <c r="D221" s="8"/>
    </row>
    <row r="222" spans="3:4" ht="15.75" customHeight="1" x14ac:dyDescent="0.25">
      <c r="C222" s="8"/>
      <c r="D222" s="8"/>
    </row>
    <row r="223" spans="3:4" ht="15.75" customHeight="1" x14ac:dyDescent="0.25">
      <c r="C223" s="8"/>
      <c r="D223" s="8"/>
    </row>
    <row r="224" spans="3:4" ht="15.75" customHeight="1" x14ac:dyDescent="0.25">
      <c r="C224" s="8"/>
      <c r="D224" s="8"/>
    </row>
    <row r="225" spans="3:4" ht="15.75" customHeight="1" x14ac:dyDescent="0.25">
      <c r="C225" s="8"/>
      <c r="D225" s="8"/>
    </row>
    <row r="226" spans="3:4" ht="15.75" customHeight="1" x14ac:dyDescent="0.25">
      <c r="C226" s="8"/>
      <c r="D226" s="8"/>
    </row>
    <row r="227" spans="3:4" ht="15.75" customHeight="1" x14ac:dyDescent="0.25">
      <c r="C227" s="8"/>
      <c r="D227" s="8"/>
    </row>
    <row r="228" spans="3:4" ht="15.75" customHeight="1" x14ac:dyDescent="0.25">
      <c r="C228" s="8"/>
      <c r="D228" s="8"/>
    </row>
    <row r="229" spans="3:4" ht="15.75" customHeight="1" x14ac:dyDescent="0.25">
      <c r="C229" s="8"/>
      <c r="D229" s="8"/>
    </row>
    <row r="230" spans="3:4" ht="15.75" customHeight="1" x14ac:dyDescent="0.25">
      <c r="C230" s="8"/>
      <c r="D230" s="8"/>
    </row>
    <row r="231" spans="3:4" ht="15.75" customHeight="1" x14ac:dyDescent="0.25">
      <c r="C231" s="8"/>
      <c r="D231" s="8"/>
    </row>
    <row r="232" spans="3:4" ht="15.75" customHeight="1" x14ac:dyDescent="0.25">
      <c r="C232" s="8"/>
      <c r="D232" s="8"/>
    </row>
    <row r="233" spans="3:4" ht="15.75" customHeight="1" x14ac:dyDescent="0.25">
      <c r="C233" s="8"/>
      <c r="D233" s="8"/>
    </row>
    <row r="234" spans="3:4" ht="15.75" customHeight="1" x14ac:dyDescent="0.25">
      <c r="C234" s="8"/>
      <c r="D234" s="8"/>
    </row>
    <row r="235" spans="3:4" ht="15.75" customHeight="1" x14ac:dyDescent="0.25">
      <c r="C235" s="8"/>
      <c r="D235" s="8"/>
    </row>
    <row r="236" spans="3:4" ht="15.75" customHeight="1" x14ac:dyDescent="0.25">
      <c r="C236" s="8"/>
      <c r="D236" s="8"/>
    </row>
    <row r="237" spans="3:4" ht="15.75" customHeight="1" x14ac:dyDescent="0.25">
      <c r="C237" s="8"/>
      <c r="D237" s="8"/>
    </row>
    <row r="238" spans="3:4" ht="15.75" customHeight="1" x14ac:dyDescent="0.25">
      <c r="C238" s="8"/>
      <c r="D238" s="8"/>
    </row>
    <row r="239" spans="3:4" ht="15.75" customHeight="1" x14ac:dyDescent="0.25">
      <c r="C239" s="8"/>
      <c r="D239" s="8"/>
    </row>
    <row r="240" spans="3:4" ht="15.75" customHeight="1" x14ac:dyDescent="0.25">
      <c r="C240" s="8"/>
      <c r="D240" s="8"/>
    </row>
    <row r="241" spans="3:4" ht="15.75" customHeight="1" x14ac:dyDescent="0.25">
      <c r="C241" s="8"/>
      <c r="D241" s="8"/>
    </row>
    <row r="242" spans="3:4" ht="15.75" customHeight="1" x14ac:dyDescent="0.25">
      <c r="C242" s="8"/>
      <c r="D242" s="8"/>
    </row>
    <row r="243" spans="3:4" ht="15.75" customHeight="1" x14ac:dyDescent="0.25">
      <c r="C243" s="8"/>
      <c r="D243" s="8"/>
    </row>
    <row r="244" spans="3:4" ht="15.75" customHeight="1" x14ac:dyDescent="0.25">
      <c r="C244" s="8"/>
      <c r="D244" s="8"/>
    </row>
    <row r="245" spans="3:4" ht="15.75" customHeight="1" x14ac:dyDescent="0.25">
      <c r="C245" s="8"/>
      <c r="D245" s="8"/>
    </row>
    <row r="246" spans="3:4" ht="15.75" customHeight="1" x14ac:dyDescent="0.25">
      <c r="C246" s="8"/>
      <c r="D246" s="8"/>
    </row>
    <row r="247" spans="3:4" ht="15.75" customHeight="1" x14ac:dyDescent="0.25">
      <c r="C247" s="8"/>
      <c r="D247" s="8"/>
    </row>
    <row r="248" spans="3:4" ht="15.75" customHeight="1" x14ac:dyDescent="0.25">
      <c r="C248" s="8"/>
      <c r="D248" s="8"/>
    </row>
    <row r="249" spans="3:4" ht="15.75" customHeight="1" x14ac:dyDescent="0.25">
      <c r="C249" s="8"/>
      <c r="D249" s="8"/>
    </row>
    <row r="250" spans="3:4" ht="15.75" customHeight="1" x14ac:dyDescent="0.25">
      <c r="C250" s="8"/>
      <c r="D250" s="8"/>
    </row>
    <row r="251" spans="3:4" ht="15.75" customHeight="1" x14ac:dyDescent="0.25">
      <c r="C251" s="8"/>
      <c r="D251" s="8"/>
    </row>
    <row r="252" spans="3:4" ht="15.75" customHeight="1" x14ac:dyDescent="0.25">
      <c r="C252" s="8"/>
      <c r="D252" s="8"/>
    </row>
    <row r="253" spans="3:4" ht="15.75" customHeight="1" x14ac:dyDescent="0.25">
      <c r="C253" s="8"/>
      <c r="D253" s="8"/>
    </row>
    <row r="254" spans="3:4" ht="15.75" customHeight="1" x14ac:dyDescent="0.25">
      <c r="C254" s="8"/>
      <c r="D254" s="8"/>
    </row>
    <row r="255" spans="3:4" ht="15.75" customHeight="1" x14ac:dyDescent="0.25">
      <c r="C255" s="8"/>
      <c r="D255" s="8"/>
    </row>
    <row r="256" spans="3:4" ht="15.75" customHeight="1" x14ac:dyDescent="0.25">
      <c r="C256" s="8"/>
      <c r="D256" s="8"/>
    </row>
    <row r="257" spans="3:4" ht="15.75" customHeight="1" x14ac:dyDescent="0.25">
      <c r="C257" s="8"/>
      <c r="D257" s="8"/>
    </row>
    <row r="258" spans="3:4" ht="15.75" customHeight="1" x14ac:dyDescent="0.25">
      <c r="C258" s="8"/>
      <c r="D258" s="8"/>
    </row>
    <row r="259" spans="3:4" ht="15.75" customHeight="1" x14ac:dyDescent="0.25">
      <c r="C259" s="8"/>
      <c r="D259" s="8"/>
    </row>
    <row r="260" spans="3:4" ht="15.75" customHeight="1" x14ac:dyDescent="0.25">
      <c r="C260" s="8"/>
      <c r="D260" s="8"/>
    </row>
    <row r="261" spans="3:4" ht="15.75" customHeight="1" x14ac:dyDescent="0.25">
      <c r="C261" s="8"/>
      <c r="D261" s="8"/>
    </row>
    <row r="262" spans="3:4" ht="15.75" customHeight="1" x14ac:dyDescent="0.25">
      <c r="C262" s="8"/>
      <c r="D262" s="8"/>
    </row>
    <row r="263" spans="3:4" ht="15.75" customHeight="1" x14ac:dyDescent="0.25">
      <c r="C263" s="8"/>
      <c r="D263" s="8"/>
    </row>
    <row r="264" spans="3:4" ht="15.75" customHeight="1" x14ac:dyDescent="0.25">
      <c r="C264" s="8"/>
      <c r="D264" s="8"/>
    </row>
    <row r="265" spans="3:4" ht="15.75" customHeight="1" x14ac:dyDescent="0.25">
      <c r="C265" s="8"/>
      <c r="D265" s="8"/>
    </row>
    <row r="266" spans="3:4" ht="15.75" customHeight="1" x14ac:dyDescent="0.25">
      <c r="C266" s="8"/>
      <c r="D266" s="8"/>
    </row>
    <row r="267" spans="3:4" ht="15.75" customHeight="1" x14ac:dyDescent="0.25">
      <c r="C267" s="8"/>
      <c r="D267" s="8"/>
    </row>
    <row r="268" spans="3:4" ht="15.75" customHeight="1" x14ac:dyDescent="0.25">
      <c r="C268" s="8"/>
      <c r="D268" s="8"/>
    </row>
    <row r="269" spans="3:4" ht="15.75" customHeight="1" x14ac:dyDescent="0.25">
      <c r="C269" s="8"/>
      <c r="D269" s="8"/>
    </row>
    <row r="270" spans="3:4" ht="15.75" customHeight="1" x14ac:dyDescent="0.25">
      <c r="C270" s="8"/>
      <c r="D270" s="8"/>
    </row>
    <row r="271" spans="3:4" ht="15.75" customHeight="1" x14ac:dyDescent="0.25">
      <c r="C271" s="8"/>
      <c r="D271" s="8"/>
    </row>
    <row r="272" spans="3:4" ht="15.75" customHeight="1" x14ac:dyDescent="0.25">
      <c r="C272" s="8"/>
      <c r="D272" s="8"/>
    </row>
    <row r="273" spans="3:4" ht="15.75" customHeight="1" x14ac:dyDescent="0.25">
      <c r="C273" s="8"/>
      <c r="D273" s="8"/>
    </row>
    <row r="274" spans="3:4" ht="15.75" customHeight="1" x14ac:dyDescent="0.25">
      <c r="C274" s="8"/>
      <c r="D274" s="8"/>
    </row>
    <row r="275" spans="3:4" ht="15.75" customHeight="1" x14ac:dyDescent="0.25">
      <c r="C275" s="8"/>
      <c r="D275" s="8"/>
    </row>
    <row r="276" spans="3:4" ht="15.75" customHeight="1" x14ac:dyDescent="0.25">
      <c r="C276" s="8"/>
      <c r="D276" s="8"/>
    </row>
    <row r="277" spans="3:4" ht="15.75" customHeight="1" x14ac:dyDescent="0.25">
      <c r="C277" s="8"/>
      <c r="D277" s="8"/>
    </row>
    <row r="278" spans="3:4" ht="15.75" customHeight="1" x14ac:dyDescent="0.25">
      <c r="C278" s="8"/>
      <c r="D278" s="8"/>
    </row>
    <row r="279" spans="3:4" ht="15.75" customHeight="1" x14ac:dyDescent="0.25">
      <c r="C279" s="8"/>
      <c r="D279" s="8"/>
    </row>
    <row r="280" spans="3:4" ht="15.75" customHeight="1" x14ac:dyDescent="0.25">
      <c r="C280" s="8"/>
      <c r="D280" s="8"/>
    </row>
    <row r="281" spans="3:4" ht="15.75" customHeight="1" x14ac:dyDescent="0.25">
      <c r="C281" s="8"/>
      <c r="D281" s="8"/>
    </row>
    <row r="282" spans="3:4" ht="15.75" customHeight="1" x14ac:dyDescent="0.25">
      <c r="C282" s="8"/>
      <c r="D282" s="8"/>
    </row>
    <row r="283" spans="3:4" ht="15.75" customHeight="1" x14ac:dyDescent="0.25">
      <c r="C283" s="8"/>
      <c r="D283" s="8"/>
    </row>
    <row r="284" spans="3:4" ht="15.75" customHeight="1" x14ac:dyDescent="0.25">
      <c r="C284" s="8"/>
      <c r="D284" s="8"/>
    </row>
    <row r="285" spans="3:4" ht="15.75" customHeight="1" x14ac:dyDescent="0.25">
      <c r="C285" s="8"/>
      <c r="D285" s="8"/>
    </row>
    <row r="286" spans="3:4" ht="15.75" customHeight="1" x14ac:dyDescent="0.25">
      <c r="C286" s="8"/>
      <c r="D286" s="8"/>
    </row>
    <row r="287" spans="3:4" ht="15.75" customHeight="1" x14ac:dyDescent="0.25">
      <c r="C287" s="8"/>
      <c r="D287" s="8"/>
    </row>
    <row r="288" spans="3:4" ht="15.75" customHeight="1" x14ac:dyDescent="0.25">
      <c r="C288" s="8"/>
      <c r="D288" s="8"/>
    </row>
    <row r="289" spans="3:4" ht="15.75" customHeight="1" x14ac:dyDescent="0.25">
      <c r="C289" s="8"/>
      <c r="D289" s="8"/>
    </row>
    <row r="290" spans="3:4" ht="15.75" customHeight="1" x14ac:dyDescent="0.25">
      <c r="C290" s="8"/>
      <c r="D290" s="8"/>
    </row>
    <row r="291" spans="3:4" ht="15.75" customHeight="1" x14ac:dyDescent="0.25">
      <c r="C291" s="8"/>
      <c r="D291" s="8"/>
    </row>
    <row r="292" spans="3:4" ht="15.75" customHeight="1" x14ac:dyDescent="0.25">
      <c r="C292" s="8"/>
      <c r="D292" s="8"/>
    </row>
    <row r="293" spans="3:4" ht="15.75" customHeight="1" x14ac:dyDescent="0.25">
      <c r="C293" s="8"/>
      <c r="D293" s="8"/>
    </row>
    <row r="294" spans="3:4" ht="15.75" customHeight="1" x14ac:dyDescent="0.25">
      <c r="C294" s="8"/>
      <c r="D294" s="8"/>
    </row>
    <row r="295" spans="3:4" ht="15.75" customHeight="1" x14ac:dyDescent="0.25">
      <c r="C295" s="8"/>
      <c r="D295" s="8"/>
    </row>
    <row r="296" spans="3:4" ht="15.75" customHeight="1" x14ac:dyDescent="0.25">
      <c r="C296" s="8"/>
      <c r="D296" s="8"/>
    </row>
    <row r="297" spans="3:4" ht="15.75" customHeight="1" x14ac:dyDescent="0.25">
      <c r="C297" s="8"/>
      <c r="D297" s="8"/>
    </row>
    <row r="298" spans="3:4" ht="15.75" customHeight="1" x14ac:dyDescent="0.25">
      <c r="C298" s="8"/>
      <c r="D298" s="8"/>
    </row>
    <row r="299" spans="3:4" ht="15.75" customHeight="1" x14ac:dyDescent="0.25">
      <c r="C299" s="8"/>
      <c r="D299" s="8"/>
    </row>
    <row r="300" spans="3:4" ht="15.75" customHeight="1" x14ac:dyDescent="0.25">
      <c r="C300" s="8"/>
      <c r="D300" s="8"/>
    </row>
    <row r="301" spans="3:4" ht="15.75" customHeight="1" x14ac:dyDescent="0.25">
      <c r="C301" s="8"/>
      <c r="D301" s="8"/>
    </row>
    <row r="302" spans="3:4" ht="15.75" customHeight="1" x14ac:dyDescent="0.25">
      <c r="C302" s="8"/>
      <c r="D302" s="8"/>
    </row>
    <row r="303" spans="3:4" ht="15.75" customHeight="1" x14ac:dyDescent="0.25">
      <c r="C303" s="8"/>
      <c r="D303" s="8"/>
    </row>
    <row r="304" spans="3:4" ht="15.75" customHeight="1" x14ac:dyDescent="0.25">
      <c r="C304" s="8"/>
      <c r="D304" s="8"/>
    </row>
    <row r="305" spans="3:4" ht="15.75" customHeight="1" x14ac:dyDescent="0.25">
      <c r="C305" s="8"/>
      <c r="D305" s="8"/>
    </row>
    <row r="306" spans="3:4" ht="15.75" customHeight="1" x14ac:dyDescent="0.25">
      <c r="C306" s="8"/>
      <c r="D306" s="8"/>
    </row>
    <row r="307" spans="3:4" ht="15.75" customHeight="1" x14ac:dyDescent="0.25">
      <c r="C307" s="8"/>
      <c r="D307" s="8"/>
    </row>
    <row r="308" spans="3:4" ht="15.75" customHeight="1" x14ac:dyDescent="0.25">
      <c r="C308" s="8"/>
      <c r="D308" s="8"/>
    </row>
    <row r="309" spans="3:4" ht="15.75" customHeight="1" x14ac:dyDescent="0.25">
      <c r="C309" s="8"/>
      <c r="D309" s="8"/>
    </row>
    <row r="310" spans="3:4" ht="15.75" customHeight="1" x14ac:dyDescent="0.25">
      <c r="C310" s="8"/>
      <c r="D310" s="8"/>
    </row>
    <row r="311" spans="3:4" ht="15.75" customHeight="1" x14ac:dyDescent="0.25">
      <c r="C311" s="8"/>
      <c r="D311" s="8"/>
    </row>
    <row r="312" spans="3:4" ht="15.75" customHeight="1" x14ac:dyDescent="0.25">
      <c r="C312" s="8"/>
      <c r="D312" s="8"/>
    </row>
    <row r="313" spans="3:4" ht="15.75" customHeight="1" x14ac:dyDescent="0.25">
      <c r="C313" s="8"/>
      <c r="D313" s="8"/>
    </row>
    <row r="314" spans="3:4" ht="15.75" customHeight="1" x14ac:dyDescent="0.25">
      <c r="C314" s="8"/>
      <c r="D314" s="8"/>
    </row>
    <row r="315" spans="3:4" ht="15.75" customHeight="1" x14ac:dyDescent="0.25">
      <c r="C315" s="8"/>
      <c r="D315" s="8"/>
    </row>
    <row r="316" spans="3:4" ht="15.75" customHeight="1" x14ac:dyDescent="0.25">
      <c r="C316" s="8"/>
      <c r="D316" s="8"/>
    </row>
    <row r="317" spans="3:4" ht="15.75" customHeight="1" x14ac:dyDescent="0.25">
      <c r="C317" s="8"/>
      <c r="D317" s="8"/>
    </row>
    <row r="318" spans="3:4" ht="15.75" customHeight="1" x14ac:dyDescent="0.25">
      <c r="C318" s="8"/>
      <c r="D318" s="8"/>
    </row>
    <row r="319" spans="3:4" ht="15.75" customHeight="1" x14ac:dyDescent="0.25">
      <c r="C319" s="8"/>
      <c r="D319" s="8"/>
    </row>
    <row r="320" spans="3:4" ht="15.75" customHeight="1" x14ac:dyDescent="0.25">
      <c r="C320" s="8"/>
      <c r="D320" s="8"/>
    </row>
    <row r="321" spans="3:4" ht="15.75" customHeight="1" x14ac:dyDescent="0.25">
      <c r="C321" s="8"/>
      <c r="D321" s="8"/>
    </row>
    <row r="322" spans="3:4" ht="15.75" customHeight="1" x14ac:dyDescent="0.25">
      <c r="C322" s="8"/>
      <c r="D322" s="8"/>
    </row>
    <row r="323" spans="3:4" ht="15.75" customHeight="1" x14ac:dyDescent="0.25">
      <c r="C323" s="8"/>
      <c r="D323" s="8"/>
    </row>
    <row r="324" spans="3:4" ht="15.75" customHeight="1" x14ac:dyDescent="0.25">
      <c r="C324" s="8"/>
      <c r="D324" s="8"/>
    </row>
    <row r="325" spans="3:4" ht="15.75" customHeight="1" x14ac:dyDescent="0.25">
      <c r="C325" s="8"/>
      <c r="D325" s="8"/>
    </row>
    <row r="326" spans="3:4" ht="15.75" customHeight="1" x14ac:dyDescent="0.25">
      <c r="C326" s="8"/>
      <c r="D326" s="8"/>
    </row>
    <row r="327" spans="3:4" ht="15.75" customHeight="1" x14ac:dyDescent="0.25">
      <c r="C327" s="8"/>
      <c r="D327" s="8"/>
    </row>
    <row r="328" spans="3:4" ht="15.75" customHeight="1" x14ac:dyDescent="0.25">
      <c r="C328" s="8"/>
      <c r="D328" s="8"/>
    </row>
    <row r="329" spans="3:4" ht="15.75" customHeight="1" x14ac:dyDescent="0.25">
      <c r="C329" s="8"/>
      <c r="D329" s="8"/>
    </row>
    <row r="330" spans="3:4" ht="15.75" customHeight="1" x14ac:dyDescent="0.25">
      <c r="C330" s="8"/>
      <c r="D330" s="8"/>
    </row>
    <row r="331" spans="3:4" ht="15.75" customHeight="1" x14ac:dyDescent="0.25">
      <c r="C331" s="8"/>
      <c r="D331" s="8"/>
    </row>
    <row r="332" spans="3:4" ht="15.75" customHeight="1" x14ac:dyDescent="0.25">
      <c r="C332" s="8"/>
      <c r="D332" s="8"/>
    </row>
    <row r="333" spans="3:4" ht="15.75" customHeight="1" x14ac:dyDescent="0.25">
      <c r="C333" s="8"/>
      <c r="D333" s="8"/>
    </row>
    <row r="334" spans="3:4" ht="15.75" customHeight="1" x14ac:dyDescent="0.25">
      <c r="C334" s="8"/>
      <c r="D334" s="8"/>
    </row>
    <row r="335" spans="3:4" ht="15.75" customHeight="1" x14ac:dyDescent="0.25">
      <c r="C335" s="8"/>
      <c r="D335" s="8"/>
    </row>
    <row r="336" spans="3:4" ht="15.75" customHeight="1" x14ac:dyDescent="0.25">
      <c r="C336" s="8"/>
      <c r="D336" s="8"/>
    </row>
    <row r="337" spans="3:4" ht="15.75" customHeight="1" x14ac:dyDescent="0.25">
      <c r="C337" s="8"/>
      <c r="D337" s="8"/>
    </row>
    <row r="338" spans="3:4" ht="15.75" customHeight="1" x14ac:dyDescent="0.25">
      <c r="C338" s="8"/>
      <c r="D338" s="8"/>
    </row>
    <row r="339" spans="3:4" ht="15.75" customHeight="1" x14ac:dyDescent="0.25">
      <c r="C339" s="8"/>
      <c r="D339" s="8"/>
    </row>
    <row r="340" spans="3:4" ht="15.75" customHeight="1" x14ac:dyDescent="0.25">
      <c r="C340" s="8"/>
      <c r="D340" s="8"/>
    </row>
    <row r="341" spans="3:4" ht="15.75" customHeight="1" x14ac:dyDescent="0.25">
      <c r="C341" s="8"/>
      <c r="D341" s="8"/>
    </row>
    <row r="342" spans="3:4" ht="15.75" customHeight="1" x14ac:dyDescent="0.25">
      <c r="C342" s="8"/>
      <c r="D342" s="8"/>
    </row>
    <row r="343" spans="3:4" ht="15.75" customHeight="1" x14ac:dyDescent="0.25">
      <c r="C343" s="8"/>
      <c r="D343" s="8"/>
    </row>
    <row r="344" spans="3:4" ht="15.75" customHeight="1" x14ac:dyDescent="0.25">
      <c r="C344" s="8"/>
      <c r="D344" s="8"/>
    </row>
    <row r="345" spans="3:4" ht="15.75" customHeight="1" x14ac:dyDescent="0.25">
      <c r="C345" s="8"/>
      <c r="D345" s="8"/>
    </row>
    <row r="346" spans="3:4" ht="15.75" customHeight="1" x14ac:dyDescent="0.25">
      <c r="C346" s="8"/>
      <c r="D346" s="8"/>
    </row>
    <row r="347" spans="3:4" ht="15.75" customHeight="1" x14ac:dyDescent="0.25">
      <c r="C347" s="8"/>
      <c r="D347" s="8"/>
    </row>
    <row r="348" spans="3:4" ht="15.75" customHeight="1" x14ac:dyDescent="0.25">
      <c r="C348" s="8"/>
      <c r="D348" s="8"/>
    </row>
    <row r="349" spans="3:4" ht="15.75" customHeight="1" x14ac:dyDescent="0.25">
      <c r="C349" s="8"/>
      <c r="D349" s="8"/>
    </row>
    <row r="350" spans="3:4" ht="15.75" customHeight="1" x14ac:dyDescent="0.25">
      <c r="C350" s="8"/>
      <c r="D350" s="8"/>
    </row>
    <row r="351" spans="3:4" ht="15.75" customHeight="1" x14ac:dyDescent="0.25">
      <c r="C351" s="8"/>
      <c r="D351" s="8"/>
    </row>
    <row r="352" spans="3:4" ht="15.75" customHeight="1" x14ac:dyDescent="0.25">
      <c r="C352" s="8"/>
      <c r="D352" s="8"/>
    </row>
    <row r="353" spans="3:4" ht="15.75" customHeight="1" x14ac:dyDescent="0.25">
      <c r="C353" s="8"/>
      <c r="D353" s="8"/>
    </row>
    <row r="354" spans="3:4" ht="15.75" customHeight="1" x14ac:dyDescent="0.25">
      <c r="C354" s="8"/>
      <c r="D354" s="8"/>
    </row>
    <row r="355" spans="3:4" ht="15.75" customHeight="1" x14ac:dyDescent="0.25">
      <c r="C355" s="8"/>
      <c r="D355" s="8"/>
    </row>
    <row r="356" spans="3:4" ht="15.75" customHeight="1" x14ac:dyDescent="0.25">
      <c r="C356" s="8"/>
      <c r="D356" s="8"/>
    </row>
    <row r="357" spans="3:4" ht="15.75" customHeight="1" x14ac:dyDescent="0.25">
      <c r="C357" s="8"/>
      <c r="D357" s="8"/>
    </row>
    <row r="358" spans="3:4" ht="15.75" customHeight="1" x14ac:dyDescent="0.25">
      <c r="C358" s="8"/>
      <c r="D358" s="8"/>
    </row>
    <row r="359" spans="3:4" ht="15.75" customHeight="1" x14ac:dyDescent="0.25">
      <c r="C359" s="8"/>
      <c r="D359" s="8"/>
    </row>
    <row r="360" spans="3:4" ht="15.75" customHeight="1" x14ac:dyDescent="0.25">
      <c r="C360" s="8"/>
      <c r="D360" s="8"/>
    </row>
    <row r="361" spans="3:4" ht="15.75" customHeight="1" x14ac:dyDescent="0.25">
      <c r="C361" s="8"/>
      <c r="D361" s="8"/>
    </row>
    <row r="362" spans="3:4" ht="15.75" customHeight="1" x14ac:dyDescent="0.25">
      <c r="C362" s="8"/>
      <c r="D362" s="8"/>
    </row>
    <row r="363" spans="3:4" ht="15.75" customHeight="1" x14ac:dyDescent="0.25">
      <c r="C363" s="8"/>
      <c r="D363" s="8"/>
    </row>
    <row r="364" spans="3:4" ht="15.75" customHeight="1" x14ac:dyDescent="0.25">
      <c r="C364" s="8"/>
      <c r="D364" s="8"/>
    </row>
    <row r="365" spans="3:4" ht="15.75" customHeight="1" x14ac:dyDescent="0.25">
      <c r="C365" s="8"/>
      <c r="D365" s="8"/>
    </row>
    <row r="366" spans="3:4" ht="15.75" customHeight="1" x14ac:dyDescent="0.25">
      <c r="C366" s="8"/>
      <c r="D366" s="8"/>
    </row>
    <row r="367" spans="3:4" ht="15.75" customHeight="1" x14ac:dyDescent="0.25">
      <c r="C367" s="8"/>
      <c r="D367" s="8"/>
    </row>
    <row r="368" spans="3:4" ht="15.75" customHeight="1" x14ac:dyDescent="0.25">
      <c r="C368" s="8"/>
      <c r="D368" s="8"/>
    </row>
    <row r="369" spans="3:4" ht="15.75" customHeight="1" x14ac:dyDescent="0.25">
      <c r="C369" s="8"/>
      <c r="D369" s="8"/>
    </row>
    <row r="370" spans="3:4" ht="15.75" customHeight="1" x14ac:dyDescent="0.25">
      <c r="C370" s="8"/>
      <c r="D370" s="8"/>
    </row>
    <row r="371" spans="3:4" ht="15.75" customHeight="1" x14ac:dyDescent="0.25">
      <c r="C371" s="8"/>
      <c r="D371" s="8"/>
    </row>
    <row r="372" spans="3:4" ht="15.75" customHeight="1" x14ac:dyDescent="0.25">
      <c r="C372" s="8"/>
      <c r="D372" s="8"/>
    </row>
    <row r="373" spans="3:4" ht="15.75" customHeight="1" x14ac:dyDescent="0.25">
      <c r="C373" s="8"/>
      <c r="D373" s="8"/>
    </row>
    <row r="374" spans="3:4" ht="15.75" customHeight="1" x14ac:dyDescent="0.25">
      <c r="C374" s="8"/>
      <c r="D374" s="8"/>
    </row>
    <row r="375" spans="3:4" ht="15.75" customHeight="1" x14ac:dyDescent="0.25">
      <c r="C375" s="8"/>
      <c r="D375" s="8"/>
    </row>
    <row r="376" spans="3:4" ht="15.75" customHeight="1" x14ac:dyDescent="0.25">
      <c r="C376" s="8"/>
      <c r="D376" s="8"/>
    </row>
    <row r="377" spans="3:4" ht="15.75" customHeight="1" x14ac:dyDescent="0.25">
      <c r="C377" s="8"/>
      <c r="D377" s="8"/>
    </row>
    <row r="378" spans="3:4" ht="15.75" customHeight="1" x14ac:dyDescent="0.25">
      <c r="C378" s="8"/>
      <c r="D378" s="8"/>
    </row>
    <row r="379" spans="3:4" ht="15.75" customHeight="1" x14ac:dyDescent="0.25">
      <c r="C379" s="8"/>
      <c r="D379" s="8"/>
    </row>
    <row r="380" spans="3:4" ht="15.75" customHeight="1" x14ac:dyDescent="0.25">
      <c r="C380" s="8"/>
      <c r="D380" s="8"/>
    </row>
    <row r="381" spans="3:4" ht="15.75" customHeight="1" x14ac:dyDescent="0.25">
      <c r="C381" s="8"/>
      <c r="D381" s="8"/>
    </row>
    <row r="382" spans="3:4" ht="15.75" customHeight="1" x14ac:dyDescent="0.25">
      <c r="C382" s="8"/>
      <c r="D382" s="8"/>
    </row>
    <row r="383" spans="3:4" ht="15.75" customHeight="1" x14ac:dyDescent="0.25">
      <c r="C383" s="8"/>
      <c r="D383" s="8"/>
    </row>
    <row r="384" spans="3:4" ht="15.75" customHeight="1" x14ac:dyDescent="0.25">
      <c r="C384" s="8"/>
      <c r="D384" s="8"/>
    </row>
    <row r="385" spans="3:4" ht="15.75" customHeight="1" x14ac:dyDescent="0.25">
      <c r="C385" s="8"/>
      <c r="D385" s="8"/>
    </row>
    <row r="386" spans="3:4" ht="15.75" customHeight="1" x14ac:dyDescent="0.25">
      <c r="C386" s="8"/>
      <c r="D386" s="8"/>
    </row>
    <row r="387" spans="3:4" ht="15.75" customHeight="1" x14ac:dyDescent="0.25">
      <c r="C387" s="8"/>
      <c r="D387" s="8"/>
    </row>
    <row r="388" spans="3:4" ht="15.75" customHeight="1" x14ac:dyDescent="0.25">
      <c r="C388" s="8"/>
      <c r="D388" s="8"/>
    </row>
    <row r="389" spans="3:4" ht="15.75" customHeight="1" x14ac:dyDescent="0.25">
      <c r="C389" s="8"/>
      <c r="D389" s="8"/>
    </row>
    <row r="390" spans="3:4" ht="15.75" customHeight="1" x14ac:dyDescent="0.25">
      <c r="C390" s="8"/>
      <c r="D390" s="8"/>
    </row>
    <row r="391" spans="3:4" ht="15.75" customHeight="1" x14ac:dyDescent="0.25">
      <c r="C391" s="8"/>
      <c r="D391" s="8"/>
    </row>
    <row r="392" spans="3:4" ht="15.75" customHeight="1" x14ac:dyDescent="0.25">
      <c r="C392" s="8"/>
      <c r="D392" s="8"/>
    </row>
    <row r="393" spans="3:4" ht="15.75" customHeight="1" x14ac:dyDescent="0.25">
      <c r="C393" s="8"/>
      <c r="D393" s="8"/>
    </row>
    <row r="394" spans="3:4" ht="15.75" customHeight="1" x14ac:dyDescent="0.25">
      <c r="C394" s="8"/>
      <c r="D394" s="8"/>
    </row>
    <row r="395" spans="3:4" ht="15.75" customHeight="1" x14ac:dyDescent="0.25">
      <c r="C395" s="8"/>
      <c r="D395" s="8"/>
    </row>
    <row r="396" spans="3:4" ht="15.75" customHeight="1" x14ac:dyDescent="0.25">
      <c r="C396" s="8"/>
      <c r="D396" s="8"/>
    </row>
    <row r="397" spans="3:4" ht="15.75" customHeight="1" x14ac:dyDescent="0.25">
      <c r="C397" s="8"/>
      <c r="D397" s="8"/>
    </row>
    <row r="398" spans="3:4" ht="15.75" customHeight="1" x14ac:dyDescent="0.25">
      <c r="C398" s="8"/>
      <c r="D398" s="8"/>
    </row>
    <row r="399" spans="3:4" ht="15.75" customHeight="1" x14ac:dyDescent="0.25">
      <c r="C399" s="8"/>
      <c r="D399" s="8"/>
    </row>
    <row r="400" spans="3:4" ht="15.75" customHeight="1" x14ac:dyDescent="0.25">
      <c r="C400" s="8"/>
      <c r="D400" s="8"/>
    </row>
    <row r="401" spans="3:4" ht="15.75" customHeight="1" x14ac:dyDescent="0.25">
      <c r="C401" s="8"/>
      <c r="D401" s="8"/>
    </row>
    <row r="402" spans="3:4" ht="15.75" customHeight="1" x14ac:dyDescent="0.25">
      <c r="C402" s="8"/>
      <c r="D402" s="8"/>
    </row>
    <row r="403" spans="3:4" ht="15.75" customHeight="1" x14ac:dyDescent="0.25">
      <c r="C403" s="8"/>
      <c r="D403" s="8"/>
    </row>
    <row r="404" spans="3:4" ht="15.75" customHeight="1" x14ac:dyDescent="0.25">
      <c r="C404" s="8"/>
      <c r="D404" s="8"/>
    </row>
    <row r="405" spans="3:4" ht="15.75" customHeight="1" x14ac:dyDescent="0.25">
      <c r="C405" s="8"/>
      <c r="D405" s="8"/>
    </row>
    <row r="406" spans="3:4" ht="15.75" customHeight="1" x14ac:dyDescent="0.25">
      <c r="C406" s="8"/>
      <c r="D406" s="8"/>
    </row>
    <row r="407" spans="3:4" ht="15.75" customHeight="1" x14ac:dyDescent="0.25">
      <c r="C407" s="8"/>
      <c r="D407" s="8"/>
    </row>
    <row r="408" spans="3:4" ht="15.75" customHeight="1" x14ac:dyDescent="0.25">
      <c r="C408" s="8"/>
      <c r="D408" s="8"/>
    </row>
    <row r="409" spans="3:4" ht="15.75" customHeight="1" x14ac:dyDescent="0.25">
      <c r="C409" s="8"/>
      <c r="D409" s="8"/>
    </row>
    <row r="410" spans="3:4" ht="15.75" customHeight="1" x14ac:dyDescent="0.25">
      <c r="C410" s="8"/>
      <c r="D410" s="8"/>
    </row>
    <row r="411" spans="3:4" ht="15.75" customHeight="1" x14ac:dyDescent="0.25">
      <c r="C411" s="8"/>
      <c r="D411" s="8"/>
    </row>
    <row r="412" spans="3:4" ht="15.75" customHeight="1" x14ac:dyDescent="0.25">
      <c r="C412" s="8"/>
      <c r="D412" s="8"/>
    </row>
    <row r="413" spans="3:4" ht="15.75" customHeight="1" x14ac:dyDescent="0.25">
      <c r="C413" s="8"/>
      <c r="D413" s="8"/>
    </row>
    <row r="414" spans="3:4" ht="15.75" customHeight="1" x14ac:dyDescent="0.25">
      <c r="C414" s="8"/>
      <c r="D414" s="8"/>
    </row>
    <row r="415" spans="3:4" ht="15.75" customHeight="1" x14ac:dyDescent="0.25">
      <c r="C415" s="8"/>
      <c r="D415" s="8"/>
    </row>
    <row r="416" spans="3:4" ht="15.75" customHeight="1" x14ac:dyDescent="0.25">
      <c r="C416" s="8"/>
      <c r="D416" s="8"/>
    </row>
    <row r="417" spans="3:4" ht="15.75" customHeight="1" x14ac:dyDescent="0.25">
      <c r="C417" s="8"/>
      <c r="D417" s="8"/>
    </row>
    <row r="418" spans="3:4" ht="15.75" customHeight="1" x14ac:dyDescent="0.25">
      <c r="C418" s="8"/>
      <c r="D418" s="8"/>
    </row>
    <row r="419" spans="3:4" ht="15.75" customHeight="1" x14ac:dyDescent="0.25">
      <c r="C419" s="8"/>
      <c r="D419" s="8"/>
    </row>
    <row r="420" spans="3:4" ht="15.75" customHeight="1" x14ac:dyDescent="0.25">
      <c r="C420" s="8"/>
      <c r="D420" s="8"/>
    </row>
    <row r="421" spans="3:4" ht="15.75" customHeight="1" x14ac:dyDescent="0.25">
      <c r="C421" s="8"/>
      <c r="D421" s="8"/>
    </row>
    <row r="422" spans="3:4" ht="15.75" customHeight="1" x14ac:dyDescent="0.25">
      <c r="C422" s="8"/>
      <c r="D422" s="8"/>
    </row>
    <row r="423" spans="3:4" ht="15.75" customHeight="1" x14ac:dyDescent="0.25">
      <c r="C423" s="8"/>
      <c r="D423" s="8"/>
    </row>
    <row r="424" spans="3:4" ht="15.75" customHeight="1" x14ac:dyDescent="0.25">
      <c r="C424" s="8"/>
      <c r="D424" s="8"/>
    </row>
    <row r="425" spans="3:4" ht="15.75" customHeight="1" x14ac:dyDescent="0.25">
      <c r="C425" s="8"/>
      <c r="D425" s="8"/>
    </row>
    <row r="426" spans="3:4" ht="15.75" customHeight="1" x14ac:dyDescent="0.25">
      <c r="C426" s="8"/>
      <c r="D426" s="8"/>
    </row>
    <row r="427" spans="3:4" ht="15.75" customHeight="1" x14ac:dyDescent="0.25">
      <c r="C427" s="8"/>
      <c r="D427" s="8"/>
    </row>
    <row r="428" spans="3:4" ht="15.75" customHeight="1" x14ac:dyDescent="0.25">
      <c r="C428" s="8"/>
      <c r="D428" s="8"/>
    </row>
    <row r="429" spans="3:4" ht="15.75" customHeight="1" x14ac:dyDescent="0.25">
      <c r="C429" s="8"/>
      <c r="D429" s="8"/>
    </row>
    <row r="430" spans="3:4" ht="15.75" customHeight="1" x14ac:dyDescent="0.25">
      <c r="C430" s="8"/>
      <c r="D430" s="8"/>
    </row>
    <row r="431" spans="3:4" ht="15.75" customHeight="1" x14ac:dyDescent="0.25">
      <c r="C431" s="8"/>
      <c r="D431" s="8"/>
    </row>
    <row r="432" spans="3:4" ht="15.75" customHeight="1" x14ac:dyDescent="0.25">
      <c r="C432" s="8"/>
      <c r="D432" s="8"/>
    </row>
    <row r="433" spans="3:4" ht="15.75" customHeight="1" x14ac:dyDescent="0.25">
      <c r="C433" s="8"/>
      <c r="D433" s="8"/>
    </row>
    <row r="434" spans="3:4" ht="15.75" customHeight="1" x14ac:dyDescent="0.25">
      <c r="C434" s="8"/>
      <c r="D434" s="8"/>
    </row>
    <row r="435" spans="3:4" ht="15.75" customHeight="1" x14ac:dyDescent="0.25">
      <c r="C435" s="8"/>
      <c r="D435" s="8"/>
    </row>
    <row r="436" spans="3:4" ht="15.75" customHeight="1" x14ac:dyDescent="0.25">
      <c r="C436" s="8"/>
      <c r="D436" s="8"/>
    </row>
    <row r="437" spans="3:4" ht="15.75" customHeight="1" x14ac:dyDescent="0.25">
      <c r="C437" s="8"/>
      <c r="D437" s="8"/>
    </row>
    <row r="438" spans="3:4" ht="15.75" customHeight="1" x14ac:dyDescent="0.25">
      <c r="C438" s="8"/>
      <c r="D438" s="8"/>
    </row>
    <row r="439" spans="3:4" ht="15.75" customHeight="1" x14ac:dyDescent="0.25">
      <c r="C439" s="8"/>
      <c r="D439" s="8"/>
    </row>
    <row r="440" spans="3:4" ht="15.75" customHeight="1" x14ac:dyDescent="0.25">
      <c r="C440" s="8"/>
      <c r="D440" s="8"/>
    </row>
    <row r="441" spans="3:4" ht="15.75" customHeight="1" x14ac:dyDescent="0.25">
      <c r="C441" s="8"/>
      <c r="D441" s="8"/>
    </row>
    <row r="442" spans="3:4" ht="15.75" customHeight="1" x14ac:dyDescent="0.25">
      <c r="C442" s="8"/>
      <c r="D442" s="8"/>
    </row>
    <row r="443" spans="3:4" ht="15.75" customHeight="1" x14ac:dyDescent="0.25">
      <c r="C443" s="8"/>
      <c r="D443" s="8"/>
    </row>
    <row r="444" spans="3:4" ht="15.75" customHeight="1" x14ac:dyDescent="0.25">
      <c r="C444" s="8"/>
      <c r="D444" s="8"/>
    </row>
    <row r="445" spans="3:4" ht="15.75" customHeight="1" x14ac:dyDescent="0.25">
      <c r="C445" s="8"/>
      <c r="D445" s="8"/>
    </row>
    <row r="446" spans="3:4" ht="15.75" customHeight="1" x14ac:dyDescent="0.25">
      <c r="C446" s="8"/>
      <c r="D446" s="8"/>
    </row>
    <row r="447" spans="3:4" ht="15.75" customHeight="1" x14ac:dyDescent="0.25">
      <c r="C447" s="8"/>
      <c r="D447" s="8"/>
    </row>
    <row r="448" spans="3:4" ht="15.75" customHeight="1" x14ac:dyDescent="0.25">
      <c r="C448" s="8"/>
      <c r="D448" s="8"/>
    </row>
    <row r="449" spans="3:4" ht="15.75" customHeight="1" x14ac:dyDescent="0.25">
      <c r="C449" s="8"/>
      <c r="D449" s="8"/>
    </row>
    <row r="450" spans="3:4" ht="15.75" customHeight="1" x14ac:dyDescent="0.25">
      <c r="C450" s="8"/>
      <c r="D450" s="8"/>
    </row>
    <row r="451" spans="3:4" ht="15.75" customHeight="1" x14ac:dyDescent="0.25">
      <c r="C451" s="8"/>
      <c r="D451" s="8"/>
    </row>
    <row r="452" spans="3:4" ht="15.75" customHeight="1" x14ac:dyDescent="0.25">
      <c r="C452" s="8"/>
      <c r="D452" s="8"/>
    </row>
    <row r="453" spans="3:4" ht="15.75" customHeight="1" x14ac:dyDescent="0.25">
      <c r="C453" s="8"/>
      <c r="D453" s="8"/>
    </row>
    <row r="454" spans="3:4" ht="15.75" customHeight="1" x14ac:dyDescent="0.25">
      <c r="C454" s="8"/>
      <c r="D454" s="8"/>
    </row>
    <row r="455" spans="3:4" ht="15.75" customHeight="1" x14ac:dyDescent="0.25">
      <c r="C455" s="8"/>
      <c r="D455" s="8"/>
    </row>
    <row r="456" spans="3:4" ht="15.75" customHeight="1" x14ac:dyDescent="0.25">
      <c r="C456" s="8"/>
      <c r="D456" s="8"/>
    </row>
    <row r="457" spans="3:4" ht="15.75" customHeight="1" x14ac:dyDescent="0.25">
      <c r="C457" s="8"/>
      <c r="D457" s="8"/>
    </row>
    <row r="458" spans="3:4" ht="15.75" customHeight="1" x14ac:dyDescent="0.25">
      <c r="C458" s="8"/>
      <c r="D458" s="8"/>
    </row>
    <row r="459" spans="3:4" ht="15.75" customHeight="1" x14ac:dyDescent="0.25">
      <c r="C459" s="8"/>
      <c r="D459" s="8"/>
    </row>
    <row r="460" spans="3:4" ht="15.75" customHeight="1" x14ac:dyDescent="0.25">
      <c r="C460" s="8"/>
      <c r="D460" s="8"/>
    </row>
    <row r="461" spans="3:4" ht="15.75" customHeight="1" x14ac:dyDescent="0.25">
      <c r="C461" s="8"/>
      <c r="D461" s="8"/>
    </row>
    <row r="462" spans="3:4" ht="15.75" customHeight="1" x14ac:dyDescent="0.25">
      <c r="C462" s="8"/>
      <c r="D462" s="8"/>
    </row>
    <row r="463" spans="3:4" ht="15.75" customHeight="1" x14ac:dyDescent="0.25">
      <c r="C463" s="8"/>
      <c r="D463" s="8"/>
    </row>
    <row r="464" spans="3:4" ht="15.75" customHeight="1" x14ac:dyDescent="0.25">
      <c r="C464" s="8"/>
      <c r="D464" s="8"/>
    </row>
    <row r="465" spans="3:4" ht="15.75" customHeight="1" x14ac:dyDescent="0.25">
      <c r="C465" s="8"/>
      <c r="D465" s="8"/>
    </row>
    <row r="466" spans="3:4" ht="15.75" customHeight="1" x14ac:dyDescent="0.25">
      <c r="C466" s="8"/>
      <c r="D466" s="8"/>
    </row>
    <row r="467" spans="3:4" ht="15.75" customHeight="1" x14ac:dyDescent="0.25">
      <c r="C467" s="8"/>
      <c r="D467" s="8"/>
    </row>
    <row r="468" spans="3:4" ht="15.75" customHeight="1" x14ac:dyDescent="0.25">
      <c r="C468" s="8"/>
      <c r="D468" s="8"/>
    </row>
    <row r="469" spans="3:4" ht="15.75" customHeight="1" x14ac:dyDescent="0.25">
      <c r="C469" s="8"/>
      <c r="D469" s="8"/>
    </row>
    <row r="470" spans="3:4" ht="15.75" customHeight="1" x14ac:dyDescent="0.25">
      <c r="C470" s="8"/>
      <c r="D470" s="8"/>
    </row>
    <row r="471" spans="3:4" ht="15.75" customHeight="1" x14ac:dyDescent="0.25">
      <c r="C471" s="8"/>
      <c r="D471" s="8"/>
    </row>
    <row r="472" spans="3:4" ht="15.75" customHeight="1" x14ac:dyDescent="0.25">
      <c r="C472" s="8"/>
      <c r="D472" s="8"/>
    </row>
    <row r="473" spans="3:4" ht="15.75" customHeight="1" x14ac:dyDescent="0.25">
      <c r="C473" s="8"/>
      <c r="D473" s="8"/>
    </row>
    <row r="474" spans="3:4" ht="15.75" customHeight="1" x14ac:dyDescent="0.25">
      <c r="C474" s="8"/>
      <c r="D474" s="8"/>
    </row>
    <row r="475" spans="3:4" ht="15.75" customHeight="1" x14ac:dyDescent="0.25">
      <c r="C475" s="8"/>
      <c r="D475" s="8"/>
    </row>
    <row r="476" spans="3:4" ht="15.75" customHeight="1" x14ac:dyDescent="0.25">
      <c r="C476" s="8"/>
      <c r="D476" s="8"/>
    </row>
    <row r="477" spans="3:4" ht="15.75" customHeight="1" x14ac:dyDescent="0.25">
      <c r="C477" s="8"/>
      <c r="D477" s="8"/>
    </row>
    <row r="478" spans="3:4" ht="15.75" customHeight="1" x14ac:dyDescent="0.25">
      <c r="C478" s="8"/>
      <c r="D478" s="8"/>
    </row>
    <row r="479" spans="3:4" ht="15.75" customHeight="1" x14ac:dyDescent="0.25">
      <c r="C479" s="8"/>
      <c r="D479" s="8"/>
    </row>
    <row r="480" spans="3:4" ht="15.75" customHeight="1" x14ac:dyDescent="0.25">
      <c r="C480" s="8"/>
      <c r="D480" s="8"/>
    </row>
    <row r="481" spans="3:4" ht="15.75" customHeight="1" x14ac:dyDescent="0.25">
      <c r="C481" s="8"/>
      <c r="D481" s="8"/>
    </row>
    <row r="482" spans="3:4" ht="15.75" customHeight="1" x14ac:dyDescent="0.25">
      <c r="C482" s="8"/>
      <c r="D482" s="8"/>
    </row>
    <row r="483" spans="3:4" ht="15.75" customHeight="1" x14ac:dyDescent="0.25">
      <c r="C483" s="8"/>
      <c r="D483" s="8"/>
    </row>
    <row r="484" spans="3:4" ht="15.75" customHeight="1" x14ac:dyDescent="0.25">
      <c r="C484" s="8"/>
      <c r="D484" s="8"/>
    </row>
    <row r="485" spans="3:4" ht="15.75" customHeight="1" x14ac:dyDescent="0.25">
      <c r="C485" s="8"/>
      <c r="D485" s="8"/>
    </row>
    <row r="486" spans="3:4" ht="15.75" customHeight="1" x14ac:dyDescent="0.25">
      <c r="C486" s="8"/>
      <c r="D486" s="8"/>
    </row>
    <row r="487" spans="3:4" ht="15.75" customHeight="1" x14ac:dyDescent="0.25">
      <c r="C487" s="8"/>
      <c r="D487" s="8"/>
    </row>
    <row r="488" spans="3:4" ht="15.75" customHeight="1" x14ac:dyDescent="0.25">
      <c r="C488" s="8"/>
      <c r="D488" s="8"/>
    </row>
    <row r="489" spans="3:4" ht="15.75" customHeight="1" x14ac:dyDescent="0.25">
      <c r="C489" s="8"/>
      <c r="D489" s="8"/>
    </row>
    <row r="490" spans="3:4" ht="15.75" customHeight="1" x14ac:dyDescent="0.25">
      <c r="C490" s="8"/>
      <c r="D490" s="8"/>
    </row>
    <row r="491" spans="3:4" ht="15.75" customHeight="1" x14ac:dyDescent="0.25">
      <c r="C491" s="8"/>
      <c r="D491" s="8"/>
    </row>
    <row r="492" spans="3:4" ht="15.75" customHeight="1" x14ac:dyDescent="0.25">
      <c r="C492" s="8"/>
      <c r="D492" s="8"/>
    </row>
    <row r="493" spans="3:4" ht="15.75" customHeight="1" x14ac:dyDescent="0.25">
      <c r="C493" s="8"/>
      <c r="D493" s="8"/>
    </row>
    <row r="494" spans="3:4" ht="15.75" customHeight="1" x14ac:dyDescent="0.25">
      <c r="C494" s="8"/>
      <c r="D494" s="8"/>
    </row>
    <row r="495" spans="3:4" ht="15.75" customHeight="1" x14ac:dyDescent="0.25">
      <c r="C495" s="8"/>
      <c r="D495" s="8"/>
    </row>
    <row r="496" spans="3:4" ht="15.75" customHeight="1" x14ac:dyDescent="0.25">
      <c r="C496" s="8"/>
      <c r="D496" s="8"/>
    </row>
    <row r="497" spans="3:4" ht="15.75" customHeight="1" x14ac:dyDescent="0.25">
      <c r="C497" s="8"/>
      <c r="D497" s="8"/>
    </row>
    <row r="498" spans="3:4" ht="15.75" customHeight="1" x14ac:dyDescent="0.25">
      <c r="C498" s="8"/>
      <c r="D498" s="8"/>
    </row>
    <row r="499" spans="3:4" ht="15.75" customHeight="1" x14ac:dyDescent="0.25">
      <c r="C499" s="8"/>
      <c r="D499" s="8"/>
    </row>
    <row r="500" spans="3:4" ht="15.75" customHeight="1" x14ac:dyDescent="0.25">
      <c r="C500" s="8"/>
      <c r="D500" s="8"/>
    </row>
    <row r="501" spans="3:4" ht="15.75" customHeight="1" x14ac:dyDescent="0.25">
      <c r="C501" s="8"/>
      <c r="D501" s="8"/>
    </row>
    <row r="502" spans="3:4" ht="15.75" customHeight="1" x14ac:dyDescent="0.25">
      <c r="C502" s="8"/>
      <c r="D502" s="8"/>
    </row>
    <row r="503" spans="3:4" ht="15.75" customHeight="1" x14ac:dyDescent="0.25">
      <c r="C503" s="8"/>
      <c r="D503" s="8"/>
    </row>
    <row r="504" spans="3:4" ht="15.75" customHeight="1" x14ac:dyDescent="0.25">
      <c r="C504" s="8"/>
      <c r="D504" s="8"/>
    </row>
    <row r="505" spans="3:4" ht="15.75" customHeight="1" x14ac:dyDescent="0.25">
      <c r="C505" s="8"/>
      <c r="D505" s="8"/>
    </row>
    <row r="506" spans="3:4" ht="15.75" customHeight="1" x14ac:dyDescent="0.25">
      <c r="C506" s="8"/>
      <c r="D506" s="8"/>
    </row>
    <row r="507" spans="3:4" ht="15.75" customHeight="1" x14ac:dyDescent="0.25">
      <c r="C507" s="8"/>
      <c r="D507" s="8"/>
    </row>
    <row r="508" spans="3:4" ht="15.75" customHeight="1" x14ac:dyDescent="0.25">
      <c r="C508" s="8"/>
      <c r="D508" s="8"/>
    </row>
    <row r="509" spans="3:4" ht="15.75" customHeight="1" x14ac:dyDescent="0.25">
      <c r="C509" s="8"/>
      <c r="D509" s="8"/>
    </row>
    <row r="510" spans="3:4" ht="15.75" customHeight="1" x14ac:dyDescent="0.25">
      <c r="C510" s="8"/>
      <c r="D510" s="8"/>
    </row>
    <row r="511" spans="3:4" ht="15.75" customHeight="1" x14ac:dyDescent="0.25">
      <c r="C511" s="8"/>
      <c r="D511" s="8"/>
    </row>
    <row r="512" spans="3:4" ht="15.75" customHeight="1" x14ac:dyDescent="0.25">
      <c r="C512" s="8"/>
      <c r="D512" s="8"/>
    </row>
    <row r="513" spans="3:4" ht="15.75" customHeight="1" x14ac:dyDescent="0.25">
      <c r="C513" s="8"/>
      <c r="D513" s="8"/>
    </row>
    <row r="514" spans="3:4" ht="15.75" customHeight="1" x14ac:dyDescent="0.25">
      <c r="C514" s="8"/>
      <c r="D514" s="8"/>
    </row>
    <row r="515" spans="3:4" ht="15.75" customHeight="1" x14ac:dyDescent="0.25">
      <c r="C515" s="8"/>
      <c r="D515" s="8"/>
    </row>
    <row r="516" spans="3:4" ht="15.75" customHeight="1" x14ac:dyDescent="0.25">
      <c r="C516" s="8"/>
      <c r="D516" s="8"/>
    </row>
    <row r="517" spans="3:4" ht="15.75" customHeight="1" x14ac:dyDescent="0.25">
      <c r="C517" s="8"/>
      <c r="D517" s="8"/>
    </row>
    <row r="518" spans="3:4" ht="15.75" customHeight="1" x14ac:dyDescent="0.25">
      <c r="C518" s="8"/>
      <c r="D518" s="8"/>
    </row>
    <row r="519" spans="3:4" ht="15.75" customHeight="1" x14ac:dyDescent="0.25">
      <c r="C519" s="8"/>
      <c r="D519" s="8"/>
    </row>
    <row r="520" spans="3:4" ht="15.75" customHeight="1" x14ac:dyDescent="0.25">
      <c r="C520" s="8"/>
      <c r="D520" s="8"/>
    </row>
    <row r="521" spans="3:4" ht="15.75" customHeight="1" x14ac:dyDescent="0.25">
      <c r="C521" s="8"/>
      <c r="D521" s="8"/>
    </row>
    <row r="522" spans="3:4" ht="15.75" customHeight="1" x14ac:dyDescent="0.25">
      <c r="C522" s="8"/>
      <c r="D522" s="8"/>
    </row>
    <row r="523" spans="3:4" ht="15.75" customHeight="1" x14ac:dyDescent="0.25">
      <c r="C523" s="8"/>
      <c r="D523" s="8"/>
    </row>
    <row r="524" spans="3:4" ht="15.75" customHeight="1" x14ac:dyDescent="0.25">
      <c r="C524" s="8"/>
      <c r="D524" s="8"/>
    </row>
    <row r="525" spans="3:4" ht="15.75" customHeight="1" x14ac:dyDescent="0.25">
      <c r="C525" s="8"/>
      <c r="D525" s="8"/>
    </row>
    <row r="526" spans="3:4" ht="15.75" customHeight="1" x14ac:dyDescent="0.25">
      <c r="C526" s="8"/>
      <c r="D526" s="8"/>
    </row>
    <row r="527" spans="3:4" ht="15.75" customHeight="1" x14ac:dyDescent="0.25">
      <c r="C527" s="8"/>
      <c r="D527" s="8"/>
    </row>
    <row r="528" spans="3:4" ht="15.75" customHeight="1" x14ac:dyDescent="0.25">
      <c r="C528" s="8"/>
      <c r="D528" s="8"/>
    </row>
    <row r="529" spans="3:4" ht="15.75" customHeight="1" x14ac:dyDescent="0.25">
      <c r="C529" s="8"/>
      <c r="D529" s="8"/>
    </row>
    <row r="530" spans="3:4" ht="15.75" customHeight="1" x14ac:dyDescent="0.25">
      <c r="C530" s="8"/>
      <c r="D530" s="8"/>
    </row>
    <row r="531" spans="3:4" ht="15.75" customHeight="1" x14ac:dyDescent="0.25">
      <c r="C531" s="8"/>
      <c r="D531" s="8"/>
    </row>
    <row r="532" spans="3:4" ht="15.75" customHeight="1" x14ac:dyDescent="0.25">
      <c r="C532" s="8"/>
      <c r="D532" s="8"/>
    </row>
    <row r="533" spans="3:4" ht="15.75" customHeight="1" x14ac:dyDescent="0.25">
      <c r="C533" s="8"/>
      <c r="D533" s="8"/>
    </row>
    <row r="534" spans="3:4" ht="15.75" customHeight="1" x14ac:dyDescent="0.25">
      <c r="C534" s="8"/>
      <c r="D534" s="8"/>
    </row>
    <row r="535" spans="3:4" ht="15.75" customHeight="1" x14ac:dyDescent="0.25">
      <c r="C535" s="8"/>
      <c r="D535" s="8"/>
    </row>
    <row r="536" spans="3:4" ht="15.75" customHeight="1" x14ac:dyDescent="0.25">
      <c r="C536" s="8"/>
      <c r="D536" s="8"/>
    </row>
    <row r="537" spans="3:4" ht="15.75" customHeight="1" x14ac:dyDescent="0.25">
      <c r="C537" s="8"/>
      <c r="D537" s="8"/>
    </row>
    <row r="538" spans="3:4" ht="15.75" customHeight="1" x14ac:dyDescent="0.25">
      <c r="C538" s="8"/>
      <c r="D538" s="8"/>
    </row>
    <row r="539" spans="3:4" ht="15.75" customHeight="1" x14ac:dyDescent="0.25">
      <c r="C539" s="8"/>
      <c r="D539" s="8"/>
    </row>
    <row r="540" spans="3:4" ht="15.75" customHeight="1" x14ac:dyDescent="0.25">
      <c r="C540" s="8"/>
      <c r="D540" s="8"/>
    </row>
    <row r="541" spans="3:4" ht="15.75" customHeight="1" x14ac:dyDescent="0.25">
      <c r="C541" s="8"/>
      <c r="D541" s="8"/>
    </row>
    <row r="542" spans="3:4" ht="15.75" customHeight="1" x14ac:dyDescent="0.25">
      <c r="C542" s="8"/>
      <c r="D542" s="8"/>
    </row>
    <row r="543" spans="3:4" ht="15.75" customHeight="1" x14ac:dyDescent="0.25">
      <c r="C543" s="8"/>
      <c r="D543" s="8"/>
    </row>
    <row r="544" spans="3:4" ht="15.75" customHeight="1" x14ac:dyDescent="0.25">
      <c r="C544" s="8"/>
      <c r="D544" s="8"/>
    </row>
    <row r="545" spans="3:4" ht="15.75" customHeight="1" x14ac:dyDescent="0.25">
      <c r="C545" s="8"/>
      <c r="D545" s="8"/>
    </row>
    <row r="546" spans="3:4" ht="15.75" customHeight="1" x14ac:dyDescent="0.25">
      <c r="C546" s="8"/>
      <c r="D546" s="8"/>
    </row>
    <row r="547" spans="3:4" ht="15.75" customHeight="1" x14ac:dyDescent="0.25">
      <c r="C547" s="8"/>
      <c r="D547" s="8"/>
    </row>
    <row r="548" spans="3:4" ht="15.75" customHeight="1" x14ac:dyDescent="0.25">
      <c r="C548" s="8"/>
      <c r="D548" s="8"/>
    </row>
    <row r="549" spans="3:4" ht="15.75" customHeight="1" x14ac:dyDescent="0.25">
      <c r="C549" s="8"/>
      <c r="D549" s="8"/>
    </row>
    <row r="550" spans="3:4" ht="15.75" customHeight="1" x14ac:dyDescent="0.25">
      <c r="C550" s="8"/>
      <c r="D550" s="8"/>
    </row>
    <row r="551" spans="3:4" ht="15.75" customHeight="1" x14ac:dyDescent="0.25">
      <c r="C551" s="8"/>
      <c r="D551" s="8"/>
    </row>
    <row r="552" spans="3:4" ht="15.75" customHeight="1" x14ac:dyDescent="0.25">
      <c r="C552" s="8"/>
      <c r="D552" s="8"/>
    </row>
    <row r="553" spans="3:4" ht="15.75" customHeight="1" x14ac:dyDescent="0.25">
      <c r="C553" s="8"/>
      <c r="D553" s="8"/>
    </row>
    <row r="554" spans="3:4" ht="15.75" customHeight="1" x14ac:dyDescent="0.25">
      <c r="C554" s="8"/>
      <c r="D554" s="8"/>
    </row>
    <row r="555" spans="3:4" ht="15.75" customHeight="1" x14ac:dyDescent="0.25">
      <c r="C555" s="8"/>
      <c r="D555" s="8"/>
    </row>
    <row r="556" spans="3:4" ht="15.75" customHeight="1" x14ac:dyDescent="0.25">
      <c r="C556" s="8"/>
      <c r="D556" s="8"/>
    </row>
    <row r="557" spans="3:4" ht="15.75" customHeight="1" x14ac:dyDescent="0.25">
      <c r="C557" s="8"/>
      <c r="D557" s="8"/>
    </row>
    <row r="558" spans="3:4" ht="15.75" customHeight="1" x14ac:dyDescent="0.25">
      <c r="C558" s="8"/>
      <c r="D558" s="8"/>
    </row>
    <row r="559" spans="3:4" ht="15.75" customHeight="1" x14ac:dyDescent="0.25">
      <c r="C559" s="8"/>
      <c r="D559" s="8"/>
    </row>
    <row r="560" spans="3:4" ht="15.75" customHeight="1" x14ac:dyDescent="0.25">
      <c r="C560" s="8"/>
      <c r="D560" s="8"/>
    </row>
    <row r="561" spans="3:4" ht="15.75" customHeight="1" x14ac:dyDescent="0.25">
      <c r="C561" s="8"/>
      <c r="D561" s="8"/>
    </row>
    <row r="562" spans="3:4" ht="15.75" customHeight="1" x14ac:dyDescent="0.25">
      <c r="C562" s="8"/>
      <c r="D562" s="8"/>
    </row>
    <row r="563" spans="3:4" ht="15.75" customHeight="1" x14ac:dyDescent="0.25">
      <c r="C563" s="8"/>
      <c r="D563" s="8"/>
    </row>
    <row r="564" spans="3:4" ht="15.75" customHeight="1" x14ac:dyDescent="0.25">
      <c r="C564" s="8"/>
      <c r="D564" s="8"/>
    </row>
    <row r="565" spans="3:4" ht="15.75" customHeight="1" x14ac:dyDescent="0.25">
      <c r="C565" s="8"/>
      <c r="D565" s="8"/>
    </row>
    <row r="566" spans="3:4" ht="15.75" customHeight="1" x14ac:dyDescent="0.25">
      <c r="C566" s="8"/>
      <c r="D566" s="8"/>
    </row>
    <row r="567" spans="3:4" ht="15.75" customHeight="1" x14ac:dyDescent="0.25">
      <c r="C567" s="8"/>
      <c r="D567" s="8"/>
    </row>
    <row r="568" spans="3:4" ht="15.75" customHeight="1" x14ac:dyDescent="0.25">
      <c r="C568" s="8"/>
      <c r="D568" s="8"/>
    </row>
    <row r="569" spans="3:4" ht="15.75" customHeight="1" x14ac:dyDescent="0.25">
      <c r="C569" s="8"/>
      <c r="D569" s="8"/>
    </row>
    <row r="570" spans="3:4" ht="15.75" customHeight="1" x14ac:dyDescent="0.25">
      <c r="C570" s="8"/>
      <c r="D570" s="8"/>
    </row>
    <row r="571" spans="3:4" ht="15.75" customHeight="1" x14ac:dyDescent="0.25">
      <c r="C571" s="8"/>
      <c r="D571" s="8"/>
    </row>
    <row r="572" spans="3:4" ht="15.75" customHeight="1" x14ac:dyDescent="0.25">
      <c r="C572" s="8"/>
      <c r="D572" s="8"/>
    </row>
    <row r="573" spans="3:4" ht="15.75" customHeight="1" x14ac:dyDescent="0.25">
      <c r="C573" s="8"/>
      <c r="D573" s="8"/>
    </row>
    <row r="574" spans="3:4" ht="15.75" customHeight="1" x14ac:dyDescent="0.25">
      <c r="C574" s="8"/>
      <c r="D574" s="8"/>
    </row>
    <row r="575" spans="3:4" ht="15.75" customHeight="1" x14ac:dyDescent="0.25">
      <c r="C575" s="8"/>
      <c r="D575" s="8"/>
    </row>
    <row r="576" spans="3:4" ht="15.75" customHeight="1" x14ac:dyDescent="0.25">
      <c r="C576" s="8"/>
      <c r="D576" s="8"/>
    </row>
    <row r="577" spans="3:4" ht="15.75" customHeight="1" x14ac:dyDescent="0.25">
      <c r="C577" s="8"/>
      <c r="D577" s="8"/>
    </row>
    <row r="578" spans="3:4" ht="15.75" customHeight="1" x14ac:dyDescent="0.25">
      <c r="C578" s="8"/>
      <c r="D578" s="8"/>
    </row>
    <row r="579" spans="3:4" ht="15.75" customHeight="1" x14ac:dyDescent="0.25">
      <c r="C579" s="8"/>
      <c r="D579" s="8"/>
    </row>
    <row r="580" spans="3:4" ht="15.75" customHeight="1" x14ac:dyDescent="0.25">
      <c r="C580" s="8"/>
      <c r="D580" s="8"/>
    </row>
    <row r="581" spans="3:4" ht="15.75" customHeight="1" x14ac:dyDescent="0.25">
      <c r="C581" s="8"/>
      <c r="D581" s="8"/>
    </row>
    <row r="582" spans="3:4" ht="15.75" customHeight="1" x14ac:dyDescent="0.25">
      <c r="C582" s="8"/>
      <c r="D582" s="8"/>
    </row>
    <row r="583" spans="3:4" ht="15.75" customHeight="1" x14ac:dyDescent="0.25">
      <c r="C583" s="8"/>
      <c r="D583" s="8"/>
    </row>
    <row r="584" spans="3:4" ht="15.75" customHeight="1" x14ac:dyDescent="0.25">
      <c r="C584" s="8"/>
      <c r="D584" s="8"/>
    </row>
    <row r="585" spans="3:4" ht="15.75" customHeight="1" x14ac:dyDescent="0.25">
      <c r="C585" s="8"/>
      <c r="D585" s="8"/>
    </row>
    <row r="586" spans="3:4" ht="15.75" customHeight="1" x14ac:dyDescent="0.25">
      <c r="C586" s="8"/>
      <c r="D586" s="8"/>
    </row>
    <row r="587" spans="3:4" ht="15.75" customHeight="1" x14ac:dyDescent="0.25">
      <c r="C587" s="8"/>
      <c r="D587" s="8"/>
    </row>
    <row r="588" spans="3:4" ht="15.75" customHeight="1" x14ac:dyDescent="0.25">
      <c r="C588" s="8"/>
      <c r="D588" s="8"/>
    </row>
    <row r="589" spans="3:4" ht="15.75" customHeight="1" x14ac:dyDescent="0.25">
      <c r="C589" s="8"/>
      <c r="D589" s="8"/>
    </row>
    <row r="590" spans="3:4" ht="15.75" customHeight="1" x14ac:dyDescent="0.25">
      <c r="C590" s="8"/>
      <c r="D590" s="8"/>
    </row>
    <row r="591" spans="3:4" ht="15.75" customHeight="1" x14ac:dyDescent="0.25">
      <c r="C591" s="8"/>
      <c r="D591" s="8"/>
    </row>
    <row r="592" spans="3:4" ht="15.75" customHeight="1" x14ac:dyDescent="0.25">
      <c r="C592" s="8"/>
      <c r="D592" s="8"/>
    </row>
    <row r="593" spans="3:4" ht="15.75" customHeight="1" x14ac:dyDescent="0.25">
      <c r="C593" s="8"/>
      <c r="D593" s="8"/>
    </row>
    <row r="594" spans="3:4" ht="15.75" customHeight="1" x14ac:dyDescent="0.25">
      <c r="C594" s="8"/>
      <c r="D594" s="8"/>
    </row>
    <row r="595" spans="3:4" ht="15.75" customHeight="1" x14ac:dyDescent="0.25">
      <c r="C595" s="8"/>
      <c r="D595" s="8"/>
    </row>
    <row r="596" spans="3:4" ht="15.75" customHeight="1" x14ac:dyDescent="0.25">
      <c r="C596" s="8"/>
      <c r="D596" s="8"/>
    </row>
    <row r="597" spans="3:4" ht="15.75" customHeight="1" x14ac:dyDescent="0.25">
      <c r="C597" s="8"/>
      <c r="D597" s="8"/>
    </row>
    <row r="598" spans="3:4" ht="15.75" customHeight="1" x14ac:dyDescent="0.25">
      <c r="C598" s="8"/>
      <c r="D598" s="8"/>
    </row>
    <row r="599" spans="3:4" ht="15.75" customHeight="1" x14ac:dyDescent="0.25">
      <c r="C599" s="8"/>
      <c r="D599" s="8"/>
    </row>
    <row r="600" spans="3:4" ht="15.75" customHeight="1" x14ac:dyDescent="0.25">
      <c r="C600" s="8"/>
      <c r="D600" s="8"/>
    </row>
    <row r="601" spans="3:4" ht="15.75" customHeight="1" x14ac:dyDescent="0.25">
      <c r="C601" s="8"/>
      <c r="D601" s="8"/>
    </row>
    <row r="602" spans="3:4" ht="15.75" customHeight="1" x14ac:dyDescent="0.25">
      <c r="C602" s="8"/>
      <c r="D602" s="8"/>
    </row>
    <row r="603" spans="3:4" ht="15.75" customHeight="1" x14ac:dyDescent="0.25">
      <c r="C603" s="8"/>
      <c r="D603" s="8"/>
    </row>
    <row r="604" spans="3:4" ht="15.75" customHeight="1" x14ac:dyDescent="0.25">
      <c r="C604" s="8"/>
      <c r="D604" s="8"/>
    </row>
    <row r="605" spans="3:4" ht="15.75" customHeight="1" x14ac:dyDescent="0.25">
      <c r="C605" s="8"/>
      <c r="D605" s="8"/>
    </row>
    <row r="606" spans="3:4" ht="15.75" customHeight="1" x14ac:dyDescent="0.25">
      <c r="C606" s="8"/>
      <c r="D606" s="8"/>
    </row>
    <row r="607" spans="3:4" ht="15.75" customHeight="1" x14ac:dyDescent="0.25">
      <c r="C607" s="8"/>
      <c r="D607" s="8"/>
    </row>
    <row r="608" spans="3:4" ht="15.75" customHeight="1" x14ac:dyDescent="0.25">
      <c r="C608" s="8"/>
      <c r="D608" s="8"/>
    </row>
    <row r="609" spans="3:4" ht="15.75" customHeight="1" x14ac:dyDescent="0.25">
      <c r="C609" s="8"/>
      <c r="D609" s="8"/>
    </row>
    <row r="610" spans="3:4" ht="15.75" customHeight="1" x14ac:dyDescent="0.25">
      <c r="C610" s="8"/>
      <c r="D610" s="8"/>
    </row>
    <row r="611" spans="3:4" ht="15.75" customHeight="1" x14ac:dyDescent="0.25">
      <c r="C611" s="8"/>
      <c r="D611" s="8"/>
    </row>
    <row r="612" spans="3:4" ht="15.75" customHeight="1" x14ac:dyDescent="0.25">
      <c r="C612" s="8"/>
      <c r="D612" s="8"/>
    </row>
    <row r="613" spans="3:4" ht="15.75" customHeight="1" x14ac:dyDescent="0.25">
      <c r="C613" s="8"/>
      <c r="D613" s="8"/>
    </row>
    <row r="614" spans="3:4" ht="15.75" customHeight="1" x14ac:dyDescent="0.25">
      <c r="C614" s="8"/>
      <c r="D614" s="8"/>
    </row>
    <row r="615" spans="3:4" ht="15.75" customHeight="1" x14ac:dyDescent="0.25">
      <c r="C615" s="8"/>
      <c r="D615" s="8"/>
    </row>
    <row r="616" spans="3:4" ht="15.75" customHeight="1" x14ac:dyDescent="0.25">
      <c r="C616" s="8"/>
      <c r="D616" s="8"/>
    </row>
    <row r="617" spans="3:4" ht="15.75" customHeight="1" x14ac:dyDescent="0.25">
      <c r="C617" s="8"/>
      <c r="D617" s="8"/>
    </row>
    <row r="618" spans="3:4" ht="15.75" customHeight="1" x14ac:dyDescent="0.25">
      <c r="C618" s="8"/>
      <c r="D618" s="8"/>
    </row>
    <row r="619" spans="3:4" ht="15.75" customHeight="1" x14ac:dyDescent="0.25">
      <c r="C619" s="8"/>
      <c r="D619" s="8"/>
    </row>
    <row r="620" spans="3:4" ht="15.75" customHeight="1" x14ac:dyDescent="0.25">
      <c r="C620" s="8"/>
      <c r="D620" s="8"/>
    </row>
    <row r="621" spans="3:4" ht="15.75" customHeight="1" x14ac:dyDescent="0.25">
      <c r="C621" s="8"/>
      <c r="D621" s="8"/>
    </row>
    <row r="622" spans="3:4" ht="15.75" customHeight="1" x14ac:dyDescent="0.25">
      <c r="C622" s="8"/>
      <c r="D622" s="8"/>
    </row>
    <row r="623" spans="3:4" ht="15.75" customHeight="1" x14ac:dyDescent="0.25">
      <c r="C623" s="8"/>
      <c r="D623" s="8"/>
    </row>
    <row r="624" spans="3:4" ht="15.75" customHeight="1" x14ac:dyDescent="0.25">
      <c r="C624" s="8"/>
      <c r="D624" s="8"/>
    </row>
    <row r="625" spans="3:4" ht="15.75" customHeight="1" x14ac:dyDescent="0.25">
      <c r="C625" s="8"/>
      <c r="D625" s="8"/>
    </row>
    <row r="626" spans="3:4" ht="15.75" customHeight="1" x14ac:dyDescent="0.25">
      <c r="C626" s="8"/>
      <c r="D626" s="8"/>
    </row>
    <row r="627" spans="3:4" ht="15.75" customHeight="1" x14ac:dyDescent="0.25">
      <c r="C627" s="8"/>
      <c r="D627" s="8"/>
    </row>
    <row r="628" spans="3:4" ht="15.75" customHeight="1" x14ac:dyDescent="0.25">
      <c r="C628" s="8"/>
      <c r="D628" s="8"/>
    </row>
    <row r="629" spans="3:4" ht="15.75" customHeight="1" x14ac:dyDescent="0.25">
      <c r="C629" s="8"/>
      <c r="D629" s="8"/>
    </row>
    <row r="630" spans="3:4" ht="15.75" customHeight="1" x14ac:dyDescent="0.25">
      <c r="C630" s="8"/>
      <c r="D630" s="8"/>
    </row>
    <row r="631" spans="3:4" ht="15.75" customHeight="1" x14ac:dyDescent="0.25">
      <c r="C631" s="8"/>
      <c r="D631" s="8"/>
    </row>
    <row r="632" spans="3:4" ht="15.75" customHeight="1" x14ac:dyDescent="0.25">
      <c r="C632" s="8"/>
      <c r="D632" s="8"/>
    </row>
    <row r="633" spans="3:4" ht="15.75" customHeight="1" x14ac:dyDescent="0.25">
      <c r="C633" s="8"/>
      <c r="D633" s="8"/>
    </row>
    <row r="634" spans="3:4" ht="15.75" customHeight="1" x14ac:dyDescent="0.25">
      <c r="C634" s="8"/>
      <c r="D634" s="8"/>
    </row>
    <row r="635" spans="3:4" ht="15.75" customHeight="1" x14ac:dyDescent="0.25">
      <c r="C635" s="8"/>
      <c r="D635" s="8"/>
    </row>
    <row r="636" spans="3:4" ht="15.75" customHeight="1" x14ac:dyDescent="0.25">
      <c r="C636" s="8"/>
      <c r="D636" s="8"/>
    </row>
    <row r="637" spans="3:4" ht="15.75" customHeight="1" x14ac:dyDescent="0.25">
      <c r="C637" s="8"/>
      <c r="D637" s="8"/>
    </row>
    <row r="638" spans="3:4" ht="15.75" customHeight="1" x14ac:dyDescent="0.25">
      <c r="C638" s="8"/>
      <c r="D638" s="8"/>
    </row>
    <row r="639" spans="3:4" ht="15.75" customHeight="1" x14ac:dyDescent="0.25">
      <c r="C639" s="8"/>
      <c r="D639" s="8"/>
    </row>
    <row r="640" spans="3:4" ht="15.75" customHeight="1" x14ac:dyDescent="0.25">
      <c r="C640" s="8"/>
      <c r="D640" s="8"/>
    </row>
    <row r="641" spans="3:4" ht="15.75" customHeight="1" x14ac:dyDescent="0.25">
      <c r="C641" s="8"/>
      <c r="D641" s="8"/>
    </row>
    <row r="642" spans="3:4" ht="15.75" customHeight="1" x14ac:dyDescent="0.25">
      <c r="C642" s="8"/>
      <c r="D642" s="8"/>
    </row>
    <row r="643" spans="3:4" ht="15.75" customHeight="1" x14ac:dyDescent="0.25">
      <c r="C643" s="8"/>
      <c r="D643" s="8"/>
    </row>
    <row r="644" spans="3:4" ht="15.75" customHeight="1" x14ac:dyDescent="0.25">
      <c r="C644" s="8"/>
      <c r="D644" s="8"/>
    </row>
    <row r="645" spans="3:4" ht="15.75" customHeight="1" x14ac:dyDescent="0.25">
      <c r="C645" s="8"/>
      <c r="D645" s="8"/>
    </row>
    <row r="646" spans="3:4" ht="15.75" customHeight="1" x14ac:dyDescent="0.25">
      <c r="C646" s="8"/>
      <c r="D646" s="8"/>
    </row>
    <row r="647" spans="3:4" ht="15.75" customHeight="1" x14ac:dyDescent="0.25">
      <c r="C647" s="8"/>
      <c r="D647" s="8"/>
    </row>
    <row r="648" spans="3:4" ht="15.75" customHeight="1" x14ac:dyDescent="0.25">
      <c r="C648" s="8"/>
      <c r="D648" s="8"/>
    </row>
    <row r="649" spans="3:4" ht="15.75" customHeight="1" x14ac:dyDescent="0.25">
      <c r="C649" s="8"/>
      <c r="D649" s="8"/>
    </row>
    <row r="650" spans="3:4" ht="15.75" customHeight="1" x14ac:dyDescent="0.25">
      <c r="C650" s="8"/>
      <c r="D650" s="8"/>
    </row>
    <row r="651" spans="3:4" ht="15.75" customHeight="1" x14ac:dyDescent="0.25">
      <c r="C651" s="8"/>
      <c r="D651" s="8"/>
    </row>
    <row r="652" spans="3:4" ht="15.75" customHeight="1" x14ac:dyDescent="0.25">
      <c r="C652" s="8"/>
      <c r="D652" s="8"/>
    </row>
    <row r="653" spans="3:4" ht="15.75" customHeight="1" x14ac:dyDescent="0.25">
      <c r="C653" s="8"/>
      <c r="D653" s="8"/>
    </row>
    <row r="654" spans="3:4" ht="15.75" customHeight="1" x14ac:dyDescent="0.25">
      <c r="C654" s="8"/>
      <c r="D654" s="8"/>
    </row>
    <row r="655" spans="3:4" ht="15.75" customHeight="1" x14ac:dyDescent="0.25">
      <c r="C655" s="8"/>
      <c r="D655" s="8"/>
    </row>
    <row r="656" spans="3:4" ht="15.75" customHeight="1" x14ac:dyDescent="0.25">
      <c r="C656" s="8"/>
      <c r="D656" s="8"/>
    </row>
    <row r="657" spans="3:4" ht="15.75" customHeight="1" x14ac:dyDescent="0.25">
      <c r="C657" s="8"/>
      <c r="D657" s="8"/>
    </row>
    <row r="658" spans="3:4" ht="15.75" customHeight="1" x14ac:dyDescent="0.25">
      <c r="C658" s="8"/>
      <c r="D658" s="8"/>
    </row>
    <row r="659" spans="3:4" ht="15.75" customHeight="1" x14ac:dyDescent="0.25">
      <c r="C659" s="8"/>
      <c r="D659" s="8"/>
    </row>
    <row r="660" spans="3:4" ht="15.75" customHeight="1" x14ac:dyDescent="0.25">
      <c r="C660" s="8"/>
      <c r="D660" s="8"/>
    </row>
    <row r="661" spans="3:4" ht="15.75" customHeight="1" x14ac:dyDescent="0.25">
      <c r="C661" s="8"/>
      <c r="D661" s="8"/>
    </row>
    <row r="662" spans="3:4" ht="15.75" customHeight="1" x14ac:dyDescent="0.25">
      <c r="C662" s="8"/>
      <c r="D662" s="8"/>
    </row>
    <row r="663" spans="3:4" ht="15.75" customHeight="1" x14ac:dyDescent="0.25">
      <c r="C663" s="8"/>
      <c r="D663" s="8"/>
    </row>
    <row r="664" spans="3:4" ht="15.75" customHeight="1" x14ac:dyDescent="0.25">
      <c r="C664" s="8"/>
      <c r="D664" s="8"/>
    </row>
    <row r="665" spans="3:4" ht="15.75" customHeight="1" x14ac:dyDescent="0.25">
      <c r="C665" s="8"/>
      <c r="D665" s="8"/>
    </row>
    <row r="666" spans="3:4" ht="15.75" customHeight="1" x14ac:dyDescent="0.25">
      <c r="C666" s="8"/>
      <c r="D666" s="8"/>
    </row>
    <row r="667" spans="3:4" ht="15.75" customHeight="1" x14ac:dyDescent="0.25">
      <c r="C667" s="8"/>
      <c r="D667" s="8"/>
    </row>
    <row r="668" spans="3:4" ht="15.75" customHeight="1" x14ac:dyDescent="0.25">
      <c r="C668" s="8"/>
      <c r="D668" s="8"/>
    </row>
    <row r="669" spans="3:4" ht="15.75" customHeight="1" x14ac:dyDescent="0.25">
      <c r="C669" s="8"/>
      <c r="D669" s="8"/>
    </row>
    <row r="670" spans="3:4" ht="15.75" customHeight="1" x14ac:dyDescent="0.25">
      <c r="C670" s="8"/>
      <c r="D670" s="8"/>
    </row>
    <row r="671" spans="3:4" ht="15.75" customHeight="1" x14ac:dyDescent="0.25">
      <c r="C671" s="8"/>
      <c r="D671" s="8"/>
    </row>
    <row r="672" spans="3:4" ht="15.75" customHeight="1" x14ac:dyDescent="0.25">
      <c r="C672" s="8"/>
      <c r="D672" s="8"/>
    </row>
    <row r="673" spans="3:4" ht="15.75" customHeight="1" x14ac:dyDescent="0.25">
      <c r="C673" s="8"/>
      <c r="D673" s="8"/>
    </row>
    <row r="674" spans="3:4" ht="15.75" customHeight="1" x14ac:dyDescent="0.25">
      <c r="C674" s="8"/>
      <c r="D674" s="8"/>
    </row>
    <row r="675" spans="3:4" ht="15.75" customHeight="1" x14ac:dyDescent="0.25">
      <c r="C675" s="8"/>
      <c r="D675" s="8"/>
    </row>
    <row r="676" spans="3:4" ht="15.75" customHeight="1" x14ac:dyDescent="0.25">
      <c r="C676" s="8"/>
      <c r="D676" s="8"/>
    </row>
    <row r="677" spans="3:4" ht="15.75" customHeight="1" x14ac:dyDescent="0.25">
      <c r="C677" s="8"/>
      <c r="D677" s="8"/>
    </row>
    <row r="678" spans="3:4" ht="15.75" customHeight="1" x14ac:dyDescent="0.25">
      <c r="C678" s="8"/>
      <c r="D678" s="8"/>
    </row>
    <row r="679" spans="3:4" ht="15.75" customHeight="1" x14ac:dyDescent="0.25">
      <c r="C679" s="8"/>
      <c r="D679" s="8"/>
    </row>
    <row r="680" spans="3:4" ht="15.75" customHeight="1" x14ac:dyDescent="0.25">
      <c r="C680" s="8"/>
      <c r="D680" s="8"/>
    </row>
    <row r="681" spans="3:4" ht="15.75" customHeight="1" x14ac:dyDescent="0.25">
      <c r="C681" s="8"/>
      <c r="D681" s="8"/>
    </row>
    <row r="682" spans="3:4" ht="15.75" customHeight="1" x14ac:dyDescent="0.25">
      <c r="C682" s="8"/>
      <c r="D682" s="8"/>
    </row>
    <row r="683" spans="3:4" ht="15.75" customHeight="1" x14ac:dyDescent="0.25">
      <c r="C683" s="8"/>
      <c r="D683" s="8"/>
    </row>
    <row r="684" spans="3:4" ht="15.75" customHeight="1" x14ac:dyDescent="0.25">
      <c r="C684" s="8"/>
      <c r="D684" s="8"/>
    </row>
    <row r="685" spans="3:4" ht="15.75" customHeight="1" x14ac:dyDescent="0.25">
      <c r="C685" s="8"/>
      <c r="D685" s="8"/>
    </row>
    <row r="686" spans="3:4" ht="15.75" customHeight="1" x14ac:dyDescent="0.25">
      <c r="C686" s="8"/>
      <c r="D686" s="8"/>
    </row>
    <row r="687" spans="3:4" ht="15.75" customHeight="1" x14ac:dyDescent="0.25">
      <c r="C687" s="8"/>
      <c r="D687" s="8"/>
    </row>
    <row r="688" spans="3:4" ht="15.75" customHeight="1" x14ac:dyDescent="0.25">
      <c r="C688" s="8"/>
      <c r="D688" s="8"/>
    </row>
    <row r="689" spans="3:4" ht="15.75" customHeight="1" x14ac:dyDescent="0.25">
      <c r="C689" s="8"/>
      <c r="D689" s="8"/>
    </row>
    <row r="690" spans="3:4" ht="15.75" customHeight="1" x14ac:dyDescent="0.25">
      <c r="C690" s="8"/>
      <c r="D690" s="8"/>
    </row>
    <row r="691" spans="3:4" ht="15.75" customHeight="1" x14ac:dyDescent="0.25">
      <c r="C691" s="8"/>
      <c r="D691" s="8"/>
    </row>
    <row r="692" spans="3:4" ht="15.75" customHeight="1" x14ac:dyDescent="0.25">
      <c r="C692" s="8"/>
      <c r="D692" s="8"/>
    </row>
    <row r="693" spans="3:4" ht="15.75" customHeight="1" x14ac:dyDescent="0.25">
      <c r="C693" s="8"/>
      <c r="D693" s="8"/>
    </row>
    <row r="694" spans="3:4" ht="15.75" customHeight="1" x14ac:dyDescent="0.25">
      <c r="C694" s="8"/>
      <c r="D694" s="8"/>
    </row>
    <row r="695" spans="3:4" ht="15.75" customHeight="1" x14ac:dyDescent="0.25">
      <c r="C695" s="8"/>
      <c r="D695" s="8"/>
    </row>
    <row r="696" spans="3:4" ht="15.75" customHeight="1" x14ac:dyDescent="0.25">
      <c r="C696" s="8"/>
      <c r="D696" s="8"/>
    </row>
    <row r="697" spans="3:4" ht="15.75" customHeight="1" x14ac:dyDescent="0.25">
      <c r="C697" s="8"/>
      <c r="D697" s="8"/>
    </row>
    <row r="698" spans="3:4" ht="15.75" customHeight="1" x14ac:dyDescent="0.25">
      <c r="C698" s="8"/>
      <c r="D698" s="8"/>
    </row>
    <row r="699" spans="3:4" ht="15.75" customHeight="1" x14ac:dyDescent="0.25">
      <c r="C699" s="8"/>
      <c r="D699" s="8"/>
    </row>
    <row r="700" spans="3:4" ht="15.75" customHeight="1" x14ac:dyDescent="0.25">
      <c r="C700" s="8"/>
      <c r="D700" s="8"/>
    </row>
    <row r="701" spans="3:4" ht="15.75" customHeight="1" x14ac:dyDescent="0.25">
      <c r="C701" s="8"/>
      <c r="D701" s="8"/>
    </row>
    <row r="702" spans="3:4" ht="15.75" customHeight="1" x14ac:dyDescent="0.25">
      <c r="C702" s="8"/>
      <c r="D702" s="8"/>
    </row>
    <row r="703" spans="3:4" ht="15.75" customHeight="1" x14ac:dyDescent="0.25">
      <c r="C703" s="8"/>
      <c r="D703" s="8"/>
    </row>
    <row r="704" spans="3:4" ht="15.75" customHeight="1" x14ac:dyDescent="0.25">
      <c r="C704" s="8"/>
      <c r="D704" s="8"/>
    </row>
    <row r="705" spans="3:4" ht="15.75" customHeight="1" x14ac:dyDescent="0.25">
      <c r="C705" s="8"/>
      <c r="D705" s="8"/>
    </row>
    <row r="706" spans="3:4" ht="15.75" customHeight="1" x14ac:dyDescent="0.25">
      <c r="C706" s="8"/>
      <c r="D706" s="8"/>
    </row>
    <row r="707" spans="3:4" ht="15.75" customHeight="1" x14ac:dyDescent="0.25">
      <c r="C707" s="8"/>
      <c r="D707" s="8"/>
    </row>
    <row r="708" spans="3:4" ht="15.75" customHeight="1" x14ac:dyDescent="0.25">
      <c r="C708" s="8"/>
      <c r="D708" s="8"/>
    </row>
    <row r="709" spans="3:4" ht="15.75" customHeight="1" x14ac:dyDescent="0.25">
      <c r="C709" s="8"/>
      <c r="D709" s="8"/>
    </row>
    <row r="710" spans="3:4" ht="15.75" customHeight="1" x14ac:dyDescent="0.25">
      <c r="C710" s="8"/>
      <c r="D710" s="8"/>
    </row>
    <row r="711" spans="3:4" ht="15.75" customHeight="1" x14ac:dyDescent="0.25">
      <c r="C711" s="8"/>
      <c r="D711" s="8"/>
    </row>
    <row r="712" spans="3:4" ht="15.75" customHeight="1" x14ac:dyDescent="0.25">
      <c r="C712" s="8"/>
      <c r="D712" s="8"/>
    </row>
    <row r="713" spans="3:4" ht="15.75" customHeight="1" x14ac:dyDescent="0.25">
      <c r="C713" s="8"/>
      <c r="D713" s="8"/>
    </row>
    <row r="714" spans="3:4" ht="15.75" customHeight="1" x14ac:dyDescent="0.25">
      <c r="C714" s="8"/>
      <c r="D714" s="8"/>
    </row>
    <row r="715" spans="3:4" ht="15.75" customHeight="1" x14ac:dyDescent="0.25">
      <c r="C715" s="8"/>
      <c r="D715" s="8"/>
    </row>
    <row r="716" spans="3:4" ht="15.75" customHeight="1" x14ac:dyDescent="0.25">
      <c r="C716" s="8"/>
      <c r="D716" s="8"/>
    </row>
    <row r="717" spans="3:4" ht="15.75" customHeight="1" x14ac:dyDescent="0.25">
      <c r="C717" s="8"/>
      <c r="D717" s="8"/>
    </row>
    <row r="718" spans="3:4" ht="15.75" customHeight="1" x14ac:dyDescent="0.25">
      <c r="C718" s="8"/>
      <c r="D718" s="8"/>
    </row>
    <row r="719" spans="3:4" ht="15.75" customHeight="1" x14ac:dyDescent="0.25">
      <c r="C719" s="8"/>
      <c r="D719" s="8"/>
    </row>
    <row r="720" spans="3:4" ht="15.75" customHeight="1" x14ac:dyDescent="0.25">
      <c r="C720" s="8"/>
      <c r="D720" s="8"/>
    </row>
    <row r="721" spans="3:4" ht="15.75" customHeight="1" x14ac:dyDescent="0.25">
      <c r="C721" s="8"/>
      <c r="D721" s="8"/>
    </row>
    <row r="722" spans="3:4" ht="15.75" customHeight="1" x14ac:dyDescent="0.25">
      <c r="C722" s="8"/>
      <c r="D722" s="8"/>
    </row>
    <row r="723" spans="3:4" ht="15.75" customHeight="1" x14ac:dyDescent="0.25">
      <c r="C723" s="8"/>
      <c r="D723" s="8"/>
    </row>
    <row r="724" spans="3:4" ht="15.75" customHeight="1" x14ac:dyDescent="0.25">
      <c r="C724" s="8"/>
      <c r="D724" s="8"/>
    </row>
    <row r="725" spans="3:4" ht="15.75" customHeight="1" x14ac:dyDescent="0.25">
      <c r="C725" s="8"/>
      <c r="D725" s="8"/>
    </row>
    <row r="726" spans="3:4" ht="15.75" customHeight="1" x14ac:dyDescent="0.25">
      <c r="C726" s="8"/>
      <c r="D726" s="8"/>
    </row>
    <row r="727" spans="3:4" ht="15.75" customHeight="1" x14ac:dyDescent="0.25">
      <c r="C727" s="8"/>
      <c r="D727" s="8"/>
    </row>
    <row r="728" spans="3:4" ht="15.75" customHeight="1" x14ac:dyDescent="0.25">
      <c r="C728" s="8"/>
      <c r="D728" s="8"/>
    </row>
    <row r="729" spans="3:4" ht="15.75" customHeight="1" x14ac:dyDescent="0.25">
      <c r="C729" s="8"/>
      <c r="D729" s="8"/>
    </row>
    <row r="730" spans="3:4" ht="15.75" customHeight="1" x14ac:dyDescent="0.25">
      <c r="C730" s="8"/>
      <c r="D730" s="8"/>
    </row>
    <row r="731" spans="3:4" ht="15.75" customHeight="1" x14ac:dyDescent="0.25">
      <c r="C731" s="8"/>
      <c r="D731" s="8"/>
    </row>
    <row r="732" spans="3:4" ht="15.75" customHeight="1" x14ac:dyDescent="0.25">
      <c r="C732" s="8"/>
      <c r="D732" s="8"/>
    </row>
    <row r="733" spans="3:4" ht="15.75" customHeight="1" x14ac:dyDescent="0.25">
      <c r="C733" s="8"/>
      <c r="D733" s="8"/>
    </row>
    <row r="734" spans="3:4" ht="15.75" customHeight="1" x14ac:dyDescent="0.25">
      <c r="C734" s="8"/>
      <c r="D734" s="8"/>
    </row>
    <row r="735" spans="3:4" ht="15.75" customHeight="1" x14ac:dyDescent="0.25">
      <c r="C735" s="8"/>
      <c r="D735" s="8"/>
    </row>
    <row r="736" spans="3:4" ht="15.75" customHeight="1" x14ac:dyDescent="0.25">
      <c r="C736" s="8"/>
      <c r="D736" s="8"/>
    </row>
    <row r="737" spans="3:4" ht="15.75" customHeight="1" x14ac:dyDescent="0.25">
      <c r="C737" s="8"/>
      <c r="D737" s="8"/>
    </row>
    <row r="738" spans="3:4" ht="15.75" customHeight="1" x14ac:dyDescent="0.25">
      <c r="C738" s="8"/>
      <c r="D738" s="8"/>
    </row>
    <row r="739" spans="3:4" ht="15.75" customHeight="1" x14ac:dyDescent="0.25">
      <c r="C739" s="8"/>
      <c r="D739" s="8"/>
    </row>
    <row r="740" spans="3:4" ht="15.75" customHeight="1" x14ac:dyDescent="0.25">
      <c r="C740" s="8"/>
      <c r="D740" s="8"/>
    </row>
    <row r="741" spans="3:4" ht="15.75" customHeight="1" x14ac:dyDescent="0.25">
      <c r="C741" s="8"/>
      <c r="D741" s="8"/>
    </row>
    <row r="742" spans="3:4" ht="15.75" customHeight="1" x14ac:dyDescent="0.25">
      <c r="C742" s="8"/>
      <c r="D742" s="8"/>
    </row>
    <row r="743" spans="3:4" ht="15.75" customHeight="1" x14ac:dyDescent="0.25">
      <c r="C743" s="8"/>
      <c r="D743" s="8"/>
    </row>
    <row r="744" spans="3:4" ht="15.75" customHeight="1" x14ac:dyDescent="0.25">
      <c r="C744" s="8"/>
      <c r="D744" s="8"/>
    </row>
    <row r="745" spans="3:4" ht="15.75" customHeight="1" x14ac:dyDescent="0.25">
      <c r="C745" s="8"/>
      <c r="D745" s="8"/>
    </row>
    <row r="746" spans="3:4" ht="15.75" customHeight="1" x14ac:dyDescent="0.25">
      <c r="C746" s="8"/>
      <c r="D746" s="8"/>
    </row>
    <row r="747" spans="3:4" ht="15.75" customHeight="1" x14ac:dyDescent="0.25">
      <c r="C747" s="8"/>
      <c r="D747" s="8"/>
    </row>
    <row r="748" spans="3:4" ht="15.75" customHeight="1" x14ac:dyDescent="0.25">
      <c r="C748" s="8"/>
      <c r="D748" s="8"/>
    </row>
    <row r="749" spans="3:4" ht="15.75" customHeight="1" x14ac:dyDescent="0.25">
      <c r="C749" s="8"/>
      <c r="D749" s="8"/>
    </row>
    <row r="750" spans="3:4" ht="15.75" customHeight="1" x14ac:dyDescent="0.25">
      <c r="C750" s="8"/>
      <c r="D750" s="8"/>
    </row>
    <row r="751" spans="3:4" ht="15.75" customHeight="1" x14ac:dyDescent="0.25">
      <c r="C751" s="8"/>
      <c r="D751" s="8"/>
    </row>
    <row r="752" spans="3:4" ht="15.75" customHeight="1" x14ac:dyDescent="0.25">
      <c r="C752" s="8"/>
      <c r="D752" s="8"/>
    </row>
    <row r="753" spans="3:4" ht="15.75" customHeight="1" x14ac:dyDescent="0.25">
      <c r="C753" s="8"/>
      <c r="D753" s="8"/>
    </row>
    <row r="754" spans="3:4" ht="15.75" customHeight="1" x14ac:dyDescent="0.25">
      <c r="C754" s="8"/>
      <c r="D754" s="8"/>
    </row>
    <row r="755" spans="3:4" ht="15.75" customHeight="1" x14ac:dyDescent="0.25">
      <c r="C755" s="8"/>
      <c r="D755" s="8"/>
    </row>
    <row r="756" spans="3:4" ht="15.75" customHeight="1" x14ac:dyDescent="0.25">
      <c r="C756" s="8"/>
      <c r="D756" s="8"/>
    </row>
    <row r="757" spans="3:4" ht="15.75" customHeight="1" x14ac:dyDescent="0.25">
      <c r="C757" s="8"/>
      <c r="D757" s="8"/>
    </row>
    <row r="758" spans="3:4" ht="15.75" customHeight="1" x14ac:dyDescent="0.25">
      <c r="C758" s="8"/>
      <c r="D758" s="8"/>
    </row>
    <row r="759" spans="3:4" ht="15.75" customHeight="1" x14ac:dyDescent="0.25">
      <c r="C759" s="8"/>
      <c r="D759" s="8"/>
    </row>
    <row r="760" spans="3:4" ht="15.75" customHeight="1" x14ac:dyDescent="0.25">
      <c r="C760" s="8"/>
      <c r="D760" s="8"/>
    </row>
    <row r="761" spans="3:4" ht="15.75" customHeight="1" x14ac:dyDescent="0.25">
      <c r="C761" s="8"/>
      <c r="D761" s="8"/>
    </row>
    <row r="762" spans="3:4" ht="15.75" customHeight="1" x14ac:dyDescent="0.25">
      <c r="C762" s="8"/>
      <c r="D762" s="8"/>
    </row>
    <row r="763" spans="3:4" ht="15.75" customHeight="1" x14ac:dyDescent="0.25">
      <c r="C763" s="8"/>
      <c r="D763" s="8"/>
    </row>
    <row r="764" spans="3:4" ht="15.75" customHeight="1" x14ac:dyDescent="0.25">
      <c r="C764" s="8"/>
      <c r="D764" s="8"/>
    </row>
    <row r="765" spans="3:4" ht="15.75" customHeight="1" x14ac:dyDescent="0.25">
      <c r="C765" s="8"/>
      <c r="D765" s="8"/>
    </row>
    <row r="766" spans="3:4" ht="15.75" customHeight="1" x14ac:dyDescent="0.25">
      <c r="C766" s="8"/>
      <c r="D766" s="8"/>
    </row>
    <row r="767" spans="3:4" ht="15.75" customHeight="1" x14ac:dyDescent="0.25">
      <c r="C767" s="8"/>
      <c r="D767" s="8"/>
    </row>
    <row r="768" spans="3:4" ht="15.75" customHeight="1" x14ac:dyDescent="0.25">
      <c r="C768" s="8"/>
      <c r="D768" s="8"/>
    </row>
    <row r="769" spans="3:4" ht="15.75" customHeight="1" x14ac:dyDescent="0.25">
      <c r="C769" s="8"/>
      <c r="D769" s="8"/>
    </row>
    <row r="770" spans="3:4" ht="15.75" customHeight="1" x14ac:dyDescent="0.25">
      <c r="C770" s="8"/>
      <c r="D770" s="8"/>
    </row>
    <row r="771" spans="3:4" ht="15.75" customHeight="1" x14ac:dyDescent="0.25">
      <c r="C771" s="8"/>
      <c r="D771" s="8"/>
    </row>
    <row r="772" spans="3:4" ht="15.75" customHeight="1" x14ac:dyDescent="0.25">
      <c r="C772" s="8"/>
      <c r="D772" s="8"/>
    </row>
    <row r="773" spans="3:4" ht="15.75" customHeight="1" x14ac:dyDescent="0.25">
      <c r="C773" s="8"/>
      <c r="D773" s="8"/>
    </row>
    <row r="774" spans="3:4" ht="15.75" customHeight="1" x14ac:dyDescent="0.25">
      <c r="C774" s="8"/>
      <c r="D774" s="8"/>
    </row>
    <row r="775" spans="3:4" ht="15.75" customHeight="1" x14ac:dyDescent="0.25">
      <c r="C775" s="8"/>
      <c r="D775" s="8"/>
    </row>
    <row r="776" spans="3:4" ht="15.75" customHeight="1" x14ac:dyDescent="0.25">
      <c r="C776" s="8"/>
      <c r="D776" s="8"/>
    </row>
    <row r="777" spans="3:4" ht="15.75" customHeight="1" x14ac:dyDescent="0.25">
      <c r="C777" s="8"/>
      <c r="D777" s="8"/>
    </row>
    <row r="778" spans="3:4" ht="15.75" customHeight="1" x14ac:dyDescent="0.25">
      <c r="C778" s="8"/>
      <c r="D778" s="8"/>
    </row>
    <row r="779" spans="3:4" ht="15.75" customHeight="1" x14ac:dyDescent="0.25">
      <c r="C779" s="8"/>
      <c r="D779" s="8"/>
    </row>
    <row r="780" spans="3:4" ht="15.75" customHeight="1" x14ac:dyDescent="0.25">
      <c r="C780" s="8"/>
      <c r="D780" s="8"/>
    </row>
    <row r="781" spans="3:4" ht="15.75" customHeight="1" x14ac:dyDescent="0.25">
      <c r="C781" s="8"/>
      <c r="D781" s="8"/>
    </row>
    <row r="782" spans="3:4" ht="15.75" customHeight="1" x14ac:dyDescent="0.25">
      <c r="C782" s="8"/>
      <c r="D782" s="8"/>
    </row>
    <row r="783" spans="3:4" ht="15.75" customHeight="1" x14ac:dyDescent="0.25">
      <c r="C783" s="8"/>
      <c r="D783" s="8"/>
    </row>
    <row r="784" spans="3:4" ht="15.75" customHeight="1" x14ac:dyDescent="0.25">
      <c r="C784" s="8"/>
      <c r="D784" s="8"/>
    </row>
    <row r="785" spans="3:4" ht="15.75" customHeight="1" x14ac:dyDescent="0.25">
      <c r="C785" s="8"/>
      <c r="D785" s="8"/>
    </row>
    <row r="786" spans="3:4" ht="15.75" customHeight="1" x14ac:dyDescent="0.25">
      <c r="C786" s="8"/>
      <c r="D786" s="8"/>
    </row>
    <row r="787" spans="3:4" ht="15.75" customHeight="1" x14ac:dyDescent="0.25">
      <c r="C787" s="8"/>
      <c r="D787" s="8"/>
    </row>
    <row r="788" spans="3:4" ht="15.75" customHeight="1" x14ac:dyDescent="0.25">
      <c r="C788" s="8"/>
      <c r="D788" s="8"/>
    </row>
    <row r="789" spans="3:4" ht="15.75" customHeight="1" x14ac:dyDescent="0.25">
      <c r="C789" s="8"/>
      <c r="D789" s="8"/>
    </row>
    <row r="790" spans="3:4" ht="15.75" customHeight="1" x14ac:dyDescent="0.25">
      <c r="C790" s="8"/>
      <c r="D790" s="8"/>
    </row>
    <row r="791" spans="3:4" ht="15.75" customHeight="1" x14ac:dyDescent="0.25">
      <c r="C791" s="8"/>
      <c r="D791" s="8"/>
    </row>
    <row r="792" spans="3:4" ht="15.75" customHeight="1" x14ac:dyDescent="0.25">
      <c r="C792" s="8"/>
      <c r="D792" s="8"/>
    </row>
    <row r="793" spans="3:4" ht="15.75" customHeight="1" x14ac:dyDescent="0.25">
      <c r="C793" s="8"/>
      <c r="D793" s="8"/>
    </row>
    <row r="794" spans="3:4" ht="15.75" customHeight="1" x14ac:dyDescent="0.25">
      <c r="C794" s="8"/>
      <c r="D794" s="8"/>
    </row>
    <row r="795" spans="3:4" ht="15.75" customHeight="1" x14ac:dyDescent="0.25">
      <c r="C795" s="8"/>
      <c r="D795" s="8"/>
    </row>
    <row r="796" spans="3:4" ht="15.75" customHeight="1" x14ac:dyDescent="0.25">
      <c r="C796" s="8"/>
      <c r="D796" s="8"/>
    </row>
    <row r="797" spans="3:4" ht="15.75" customHeight="1" x14ac:dyDescent="0.25">
      <c r="C797" s="8"/>
      <c r="D797" s="8"/>
    </row>
    <row r="798" spans="3:4" ht="15.75" customHeight="1" x14ac:dyDescent="0.25">
      <c r="C798" s="8"/>
      <c r="D798" s="8"/>
    </row>
    <row r="799" spans="3:4" ht="15.75" customHeight="1" x14ac:dyDescent="0.25">
      <c r="C799" s="8"/>
      <c r="D799" s="8"/>
    </row>
    <row r="800" spans="3:4" ht="15.75" customHeight="1" x14ac:dyDescent="0.25">
      <c r="C800" s="8"/>
      <c r="D800" s="8"/>
    </row>
    <row r="801" spans="3:4" ht="15.75" customHeight="1" x14ac:dyDescent="0.25">
      <c r="C801" s="8"/>
      <c r="D801" s="8"/>
    </row>
    <row r="802" spans="3:4" ht="15.75" customHeight="1" x14ac:dyDescent="0.25">
      <c r="C802" s="8"/>
      <c r="D802" s="8"/>
    </row>
    <row r="803" spans="3:4" ht="15.75" customHeight="1" x14ac:dyDescent="0.25">
      <c r="C803" s="8"/>
      <c r="D803" s="8"/>
    </row>
    <row r="804" spans="3:4" ht="15.75" customHeight="1" x14ac:dyDescent="0.25">
      <c r="C804" s="8"/>
      <c r="D804" s="8"/>
    </row>
    <row r="805" spans="3:4" ht="15.75" customHeight="1" x14ac:dyDescent="0.25">
      <c r="C805" s="8"/>
      <c r="D805" s="8"/>
    </row>
    <row r="806" spans="3:4" ht="15.75" customHeight="1" x14ac:dyDescent="0.25">
      <c r="C806" s="8"/>
      <c r="D806" s="8"/>
    </row>
    <row r="807" spans="3:4" ht="15.75" customHeight="1" x14ac:dyDescent="0.25">
      <c r="C807" s="8"/>
      <c r="D807" s="8"/>
    </row>
    <row r="808" spans="3:4" ht="15.75" customHeight="1" x14ac:dyDescent="0.25">
      <c r="C808" s="8"/>
      <c r="D808" s="8"/>
    </row>
    <row r="809" spans="3:4" ht="15.75" customHeight="1" x14ac:dyDescent="0.25">
      <c r="C809" s="8"/>
      <c r="D809" s="8"/>
    </row>
    <row r="810" spans="3:4" ht="15.75" customHeight="1" x14ac:dyDescent="0.25">
      <c r="C810" s="8"/>
      <c r="D810" s="8"/>
    </row>
    <row r="811" spans="3:4" ht="15.75" customHeight="1" x14ac:dyDescent="0.25">
      <c r="C811" s="8"/>
      <c r="D811" s="8"/>
    </row>
    <row r="812" spans="3:4" ht="15.75" customHeight="1" x14ac:dyDescent="0.25">
      <c r="C812" s="8"/>
      <c r="D812" s="8"/>
    </row>
    <row r="813" spans="3:4" ht="15.75" customHeight="1" x14ac:dyDescent="0.25">
      <c r="C813" s="8"/>
      <c r="D813" s="8"/>
    </row>
    <row r="814" spans="3:4" ht="15.75" customHeight="1" x14ac:dyDescent="0.25">
      <c r="C814" s="8"/>
      <c r="D814" s="8"/>
    </row>
    <row r="815" spans="3:4" ht="15.75" customHeight="1" x14ac:dyDescent="0.25">
      <c r="C815" s="8"/>
      <c r="D815" s="8"/>
    </row>
    <row r="816" spans="3:4" ht="15.75" customHeight="1" x14ac:dyDescent="0.25">
      <c r="C816" s="8"/>
      <c r="D816" s="8"/>
    </row>
    <row r="817" spans="3:4" ht="15.75" customHeight="1" x14ac:dyDescent="0.25">
      <c r="C817" s="8"/>
      <c r="D817" s="8"/>
    </row>
    <row r="818" spans="3:4" ht="15.75" customHeight="1" x14ac:dyDescent="0.25">
      <c r="C818" s="8"/>
      <c r="D818" s="8"/>
    </row>
    <row r="819" spans="3:4" ht="15.75" customHeight="1" x14ac:dyDescent="0.25">
      <c r="C819" s="8"/>
      <c r="D819" s="8"/>
    </row>
    <row r="820" spans="3:4" ht="15.75" customHeight="1" x14ac:dyDescent="0.25">
      <c r="C820" s="8"/>
      <c r="D820" s="8"/>
    </row>
    <row r="821" spans="3:4" ht="15.75" customHeight="1" x14ac:dyDescent="0.25">
      <c r="C821" s="8"/>
      <c r="D821" s="8"/>
    </row>
    <row r="822" spans="3:4" ht="15.75" customHeight="1" x14ac:dyDescent="0.25">
      <c r="C822" s="8"/>
      <c r="D822" s="8"/>
    </row>
    <row r="823" spans="3:4" ht="15.75" customHeight="1" x14ac:dyDescent="0.25">
      <c r="C823" s="8"/>
      <c r="D823" s="8"/>
    </row>
    <row r="824" spans="3:4" ht="15.75" customHeight="1" x14ac:dyDescent="0.25">
      <c r="C824" s="8"/>
      <c r="D824" s="8"/>
    </row>
    <row r="825" spans="3:4" ht="15.75" customHeight="1" x14ac:dyDescent="0.25">
      <c r="C825" s="8"/>
      <c r="D825" s="8"/>
    </row>
    <row r="826" spans="3:4" ht="15.75" customHeight="1" x14ac:dyDescent="0.25">
      <c r="C826" s="8"/>
      <c r="D826" s="8"/>
    </row>
    <row r="827" spans="3:4" ht="15.75" customHeight="1" x14ac:dyDescent="0.25">
      <c r="C827" s="8"/>
      <c r="D827" s="8"/>
    </row>
    <row r="828" spans="3:4" ht="15.75" customHeight="1" x14ac:dyDescent="0.25">
      <c r="C828" s="8"/>
      <c r="D828" s="8"/>
    </row>
    <row r="829" spans="3:4" ht="15.75" customHeight="1" x14ac:dyDescent="0.25">
      <c r="C829" s="8"/>
      <c r="D829" s="8"/>
    </row>
    <row r="830" spans="3:4" ht="15.75" customHeight="1" x14ac:dyDescent="0.25">
      <c r="C830" s="8"/>
      <c r="D830" s="8"/>
    </row>
    <row r="831" spans="3:4" ht="15.75" customHeight="1" x14ac:dyDescent="0.25">
      <c r="C831" s="8"/>
      <c r="D831" s="8"/>
    </row>
    <row r="832" spans="3:4" ht="15.75" customHeight="1" x14ac:dyDescent="0.25">
      <c r="C832" s="8"/>
      <c r="D832" s="8"/>
    </row>
    <row r="833" spans="3:4" ht="15.75" customHeight="1" x14ac:dyDescent="0.25">
      <c r="C833" s="8"/>
      <c r="D833" s="8"/>
    </row>
    <row r="834" spans="3:4" ht="15.75" customHeight="1" x14ac:dyDescent="0.25">
      <c r="C834" s="8"/>
      <c r="D834" s="8"/>
    </row>
    <row r="835" spans="3:4" ht="15.75" customHeight="1" x14ac:dyDescent="0.25">
      <c r="C835" s="8"/>
      <c r="D835" s="8"/>
    </row>
    <row r="836" spans="3:4" ht="15.75" customHeight="1" x14ac:dyDescent="0.25">
      <c r="C836" s="8"/>
      <c r="D836" s="8"/>
    </row>
    <row r="837" spans="3:4" ht="15.75" customHeight="1" x14ac:dyDescent="0.25">
      <c r="C837" s="8"/>
      <c r="D837" s="8"/>
    </row>
    <row r="838" spans="3:4" ht="15.75" customHeight="1" x14ac:dyDescent="0.25">
      <c r="C838" s="8"/>
      <c r="D838" s="8"/>
    </row>
    <row r="839" spans="3:4" ht="15.75" customHeight="1" x14ac:dyDescent="0.25">
      <c r="C839" s="8"/>
      <c r="D839" s="8"/>
    </row>
    <row r="840" spans="3:4" ht="15.75" customHeight="1" x14ac:dyDescent="0.25">
      <c r="C840" s="8"/>
      <c r="D840" s="8"/>
    </row>
    <row r="841" spans="3:4" ht="15.75" customHeight="1" x14ac:dyDescent="0.25">
      <c r="C841" s="8"/>
      <c r="D841" s="8"/>
    </row>
    <row r="842" spans="3:4" ht="15.75" customHeight="1" x14ac:dyDescent="0.25">
      <c r="C842" s="8"/>
      <c r="D842" s="8"/>
    </row>
    <row r="843" spans="3:4" ht="15.75" customHeight="1" x14ac:dyDescent="0.25">
      <c r="C843" s="8"/>
      <c r="D843" s="8"/>
    </row>
    <row r="844" spans="3:4" ht="15.75" customHeight="1" x14ac:dyDescent="0.25">
      <c r="C844" s="8"/>
      <c r="D844" s="8"/>
    </row>
    <row r="845" spans="3:4" ht="15.75" customHeight="1" x14ac:dyDescent="0.25">
      <c r="C845" s="8"/>
      <c r="D845" s="8"/>
    </row>
    <row r="846" spans="3:4" ht="15.75" customHeight="1" x14ac:dyDescent="0.25">
      <c r="C846" s="8"/>
      <c r="D846" s="8"/>
    </row>
    <row r="847" spans="3:4" ht="15.75" customHeight="1" x14ac:dyDescent="0.25">
      <c r="C847" s="8"/>
      <c r="D847" s="8"/>
    </row>
    <row r="848" spans="3:4" ht="15.75" customHeight="1" x14ac:dyDescent="0.25">
      <c r="C848" s="8"/>
      <c r="D848" s="8"/>
    </row>
    <row r="849" spans="3:4" ht="15.75" customHeight="1" x14ac:dyDescent="0.25">
      <c r="C849" s="8"/>
      <c r="D849" s="8"/>
    </row>
    <row r="850" spans="3:4" ht="15.75" customHeight="1" x14ac:dyDescent="0.25">
      <c r="C850" s="8"/>
      <c r="D850" s="8"/>
    </row>
    <row r="851" spans="3:4" ht="15.75" customHeight="1" x14ac:dyDescent="0.25">
      <c r="C851" s="8"/>
      <c r="D851" s="8"/>
    </row>
    <row r="852" spans="3:4" ht="15.75" customHeight="1" x14ac:dyDescent="0.25">
      <c r="C852" s="8"/>
      <c r="D852" s="8"/>
    </row>
    <row r="853" spans="3:4" ht="15.75" customHeight="1" x14ac:dyDescent="0.25">
      <c r="C853" s="8"/>
      <c r="D853" s="8"/>
    </row>
    <row r="854" spans="3:4" ht="15.75" customHeight="1" x14ac:dyDescent="0.25">
      <c r="C854" s="8"/>
      <c r="D854" s="8"/>
    </row>
    <row r="855" spans="3:4" ht="15.75" customHeight="1" x14ac:dyDescent="0.25">
      <c r="C855" s="8"/>
      <c r="D855" s="8"/>
    </row>
    <row r="856" spans="3:4" ht="15.75" customHeight="1" x14ac:dyDescent="0.25">
      <c r="C856" s="8"/>
      <c r="D856" s="8"/>
    </row>
    <row r="857" spans="3:4" ht="15.75" customHeight="1" x14ac:dyDescent="0.25">
      <c r="C857" s="8"/>
      <c r="D857" s="8"/>
    </row>
    <row r="858" spans="3:4" ht="15.75" customHeight="1" x14ac:dyDescent="0.25">
      <c r="C858" s="8"/>
      <c r="D858" s="8"/>
    </row>
    <row r="859" spans="3:4" ht="15.75" customHeight="1" x14ac:dyDescent="0.25">
      <c r="C859" s="8"/>
      <c r="D859" s="8"/>
    </row>
    <row r="860" spans="3:4" ht="15.75" customHeight="1" x14ac:dyDescent="0.25">
      <c r="C860" s="8"/>
      <c r="D860" s="8"/>
    </row>
    <row r="861" spans="3:4" ht="15.75" customHeight="1" x14ac:dyDescent="0.25">
      <c r="C861" s="8"/>
      <c r="D861" s="8"/>
    </row>
    <row r="862" spans="3:4" ht="15.75" customHeight="1" x14ac:dyDescent="0.25">
      <c r="C862" s="8"/>
      <c r="D862" s="8"/>
    </row>
    <row r="863" spans="3:4" ht="15.75" customHeight="1" x14ac:dyDescent="0.25">
      <c r="C863" s="8"/>
      <c r="D863" s="8"/>
    </row>
    <row r="864" spans="3:4" ht="15.75" customHeight="1" x14ac:dyDescent="0.25">
      <c r="C864" s="8"/>
      <c r="D864" s="8"/>
    </row>
    <row r="865" spans="3:4" ht="15.75" customHeight="1" x14ac:dyDescent="0.25">
      <c r="C865" s="8"/>
      <c r="D865" s="8"/>
    </row>
    <row r="866" spans="3:4" ht="15.75" customHeight="1" x14ac:dyDescent="0.25">
      <c r="C866" s="8"/>
      <c r="D866" s="8"/>
    </row>
    <row r="867" spans="3:4" ht="15.75" customHeight="1" x14ac:dyDescent="0.25">
      <c r="C867" s="8"/>
      <c r="D867" s="8"/>
    </row>
    <row r="868" spans="3:4" ht="15.75" customHeight="1" x14ac:dyDescent="0.25">
      <c r="C868" s="8"/>
      <c r="D868" s="8"/>
    </row>
    <row r="869" spans="3:4" ht="15.75" customHeight="1" x14ac:dyDescent="0.25">
      <c r="C869" s="8"/>
      <c r="D869" s="8"/>
    </row>
    <row r="870" spans="3:4" ht="15.75" customHeight="1" x14ac:dyDescent="0.25">
      <c r="C870" s="8"/>
      <c r="D870" s="8"/>
    </row>
    <row r="871" spans="3:4" ht="15.75" customHeight="1" x14ac:dyDescent="0.25">
      <c r="C871" s="8"/>
      <c r="D871" s="8"/>
    </row>
    <row r="872" spans="3:4" ht="15.75" customHeight="1" x14ac:dyDescent="0.25">
      <c r="C872" s="8"/>
      <c r="D872" s="8"/>
    </row>
    <row r="873" spans="3:4" ht="15.75" customHeight="1" x14ac:dyDescent="0.25">
      <c r="C873" s="8"/>
      <c r="D873" s="8"/>
    </row>
    <row r="874" spans="3:4" ht="15.75" customHeight="1" x14ac:dyDescent="0.25">
      <c r="C874" s="8"/>
      <c r="D874" s="8"/>
    </row>
    <row r="875" spans="3:4" ht="15.75" customHeight="1" x14ac:dyDescent="0.25">
      <c r="C875" s="8"/>
      <c r="D875" s="8"/>
    </row>
    <row r="876" spans="3:4" ht="15.75" customHeight="1" x14ac:dyDescent="0.25">
      <c r="C876" s="8"/>
      <c r="D876" s="8"/>
    </row>
    <row r="877" spans="3:4" ht="15.75" customHeight="1" x14ac:dyDescent="0.25">
      <c r="C877" s="8"/>
      <c r="D877" s="8"/>
    </row>
    <row r="878" spans="3:4" ht="15.75" customHeight="1" x14ac:dyDescent="0.25">
      <c r="C878" s="8"/>
      <c r="D878" s="8"/>
    </row>
    <row r="879" spans="3:4" ht="15.75" customHeight="1" x14ac:dyDescent="0.25">
      <c r="C879" s="8"/>
      <c r="D879" s="8"/>
    </row>
    <row r="880" spans="3:4" ht="15.75" customHeight="1" x14ac:dyDescent="0.25">
      <c r="C880" s="8"/>
      <c r="D880" s="8"/>
    </row>
    <row r="881" spans="3:4" ht="15.75" customHeight="1" x14ac:dyDescent="0.25">
      <c r="C881" s="8"/>
      <c r="D881" s="8"/>
    </row>
    <row r="882" spans="3:4" ht="15.75" customHeight="1" x14ac:dyDescent="0.25">
      <c r="C882" s="8"/>
      <c r="D882" s="8"/>
    </row>
    <row r="883" spans="3:4" ht="15.75" customHeight="1" x14ac:dyDescent="0.25">
      <c r="C883" s="8"/>
      <c r="D883" s="8"/>
    </row>
    <row r="884" spans="3:4" ht="15.75" customHeight="1" x14ac:dyDescent="0.25">
      <c r="C884" s="8"/>
      <c r="D884" s="8"/>
    </row>
    <row r="885" spans="3:4" ht="15.75" customHeight="1" x14ac:dyDescent="0.25">
      <c r="C885" s="8"/>
      <c r="D885" s="8"/>
    </row>
    <row r="886" spans="3:4" ht="15.75" customHeight="1" x14ac:dyDescent="0.25">
      <c r="C886" s="8"/>
      <c r="D886" s="8"/>
    </row>
    <row r="887" spans="3:4" ht="15.75" customHeight="1" x14ac:dyDescent="0.25">
      <c r="C887" s="8"/>
      <c r="D887" s="8"/>
    </row>
    <row r="888" spans="3:4" ht="15.75" customHeight="1" x14ac:dyDescent="0.25">
      <c r="C888" s="8"/>
      <c r="D888" s="8"/>
    </row>
    <row r="889" spans="3:4" ht="15.75" customHeight="1" x14ac:dyDescent="0.25">
      <c r="C889" s="8"/>
      <c r="D889" s="8"/>
    </row>
    <row r="890" spans="3:4" ht="15.75" customHeight="1" x14ac:dyDescent="0.25">
      <c r="C890" s="8"/>
      <c r="D890" s="8"/>
    </row>
    <row r="891" spans="3:4" ht="15.75" customHeight="1" x14ac:dyDescent="0.25">
      <c r="C891" s="8"/>
      <c r="D891" s="8"/>
    </row>
    <row r="892" spans="3:4" ht="15.75" customHeight="1" x14ac:dyDescent="0.25">
      <c r="C892" s="8"/>
      <c r="D892" s="8"/>
    </row>
    <row r="893" spans="3:4" ht="15.75" customHeight="1" x14ac:dyDescent="0.25">
      <c r="C893" s="8"/>
      <c r="D893" s="8"/>
    </row>
    <row r="894" spans="3:4" ht="15.75" customHeight="1" x14ac:dyDescent="0.25">
      <c r="C894" s="8"/>
      <c r="D894" s="8"/>
    </row>
    <row r="895" spans="3:4" ht="15.75" customHeight="1" x14ac:dyDescent="0.25">
      <c r="C895" s="8"/>
      <c r="D895" s="8"/>
    </row>
    <row r="896" spans="3:4" ht="15.75" customHeight="1" x14ac:dyDescent="0.25">
      <c r="C896" s="8"/>
      <c r="D896" s="8"/>
    </row>
    <row r="897" spans="3:4" ht="15.75" customHeight="1" x14ac:dyDescent="0.25">
      <c r="C897" s="8"/>
      <c r="D897" s="8"/>
    </row>
    <row r="898" spans="3:4" ht="15.75" customHeight="1" x14ac:dyDescent="0.25">
      <c r="C898" s="8"/>
      <c r="D898" s="8"/>
    </row>
    <row r="899" spans="3:4" ht="15.75" customHeight="1" x14ac:dyDescent="0.25">
      <c r="C899" s="8"/>
      <c r="D899" s="8"/>
    </row>
    <row r="900" spans="3:4" ht="15.75" customHeight="1" x14ac:dyDescent="0.25">
      <c r="C900" s="8"/>
      <c r="D900" s="8"/>
    </row>
    <row r="901" spans="3:4" ht="15.75" customHeight="1" x14ac:dyDescent="0.25">
      <c r="C901" s="8"/>
      <c r="D901" s="8"/>
    </row>
    <row r="902" spans="3:4" ht="15.75" customHeight="1" x14ac:dyDescent="0.25">
      <c r="C902" s="8"/>
      <c r="D902" s="8"/>
    </row>
    <row r="903" spans="3:4" ht="15.75" customHeight="1" x14ac:dyDescent="0.25">
      <c r="C903" s="8"/>
      <c r="D903" s="8"/>
    </row>
    <row r="904" spans="3:4" ht="15.75" customHeight="1" x14ac:dyDescent="0.25">
      <c r="C904" s="8"/>
      <c r="D904" s="8"/>
    </row>
    <row r="905" spans="3:4" ht="15.75" customHeight="1" x14ac:dyDescent="0.25">
      <c r="C905" s="8"/>
      <c r="D905" s="8"/>
    </row>
    <row r="906" spans="3:4" ht="15.75" customHeight="1" x14ac:dyDescent="0.25">
      <c r="C906" s="8"/>
      <c r="D906" s="8"/>
    </row>
    <row r="907" spans="3:4" ht="15.75" customHeight="1" x14ac:dyDescent="0.25">
      <c r="C907" s="8"/>
      <c r="D907" s="8"/>
    </row>
    <row r="908" spans="3:4" ht="15.75" customHeight="1" x14ac:dyDescent="0.25">
      <c r="C908" s="8"/>
      <c r="D908" s="8"/>
    </row>
    <row r="909" spans="3:4" ht="15.75" customHeight="1" x14ac:dyDescent="0.25">
      <c r="C909" s="8"/>
      <c r="D909" s="8"/>
    </row>
    <row r="910" spans="3:4" ht="15.75" customHeight="1" x14ac:dyDescent="0.25">
      <c r="C910" s="8"/>
      <c r="D910" s="8"/>
    </row>
    <row r="911" spans="3:4" ht="15.75" customHeight="1" x14ac:dyDescent="0.25">
      <c r="C911" s="8"/>
      <c r="D911" s="8"/>
    </row>
    <row r="912" spans="3:4" ht="15.75" customHeight="1" x14ac:dyDescent="0.25">
      <c r="C912" s="8"/>
      <c r="D912" s="8"/>
    </row>
    <row r="913" spans="3:4" ht="15.75" customHeight="1" x14ac:dyDescent="0.25">
      <c r="C913" s="8"/>
      <c r="D913" s="8"/>
    </row>
    <row r="914" spans="3:4" ht="15.75" customHeight="1" x14ac:dyDescent="0.25">
      <c r="C914" s="8"/>
      <c r="D914" s="8"/>
    </row>
    <row r="915" spans="3:4" ht="15.75" customHeight="1" x14ac:dyDescent="0.25">
      <c r="C915" s="8"/>
      <c r="D915" s="8"/>
    </row>
    <row r="916" spans="3:4" ht="15.75" customHeight="1" x14ac:dyDescent="0.25">
      <c r="C916" s="8"/>
      <c r="D916" s="8"/>
    </row>
    <row r="917" spans="3:4" ht="15.75" customHeight="1" x14ac:dyDescent="0.25">
      <c r="C917" s="8"/>
      <c r="D917" s="8"/>
    </row>
    <row r="918" spans="3:4" ht="15.75" customHeight="1" x14ac:dyDescent="0.25">
      <c r="C918" s="8"/>
      <c r="D918" s="8"/>
    </row>
    <row r="919" spans="3:4" ht="15.75" customHeight="1" x14ac:dyDescent="0.25">
      <c r="C919" s="8"/>
      <c r="D919" s="8"/>
    </row>
    <row r="920" spans="3:4" ht="15.75" customHeight="1" x14ac:dyDescent="0.25">
      <c r="C920" s="8"/>
      <c r="D920" s="8"/>
    </row>
    <row r="921" spans="3:4" ht="15.75" customHeight="1" x14ac:dyDescent="0.25">
      <c r="C921" s="8"/>
      <c r="D921" s="8"/>
    </row>
    <row r="922" spans="3:4" ht="15.75" customHeight="1" x14ac:dyDescent="0.25">
      <c r="C922" s="8"/>
      <c r="D922" s="8"/>
    </row>
    <row r="923" spans="3:4" ht="15.75" customHeight="1" x14ac:dyDescent="0.25">
      <c r="C923" s="8"/>
      <c r="D923" s="8"/>
    </row>
    <row r="924" spans="3:4" ht="15.75" customHeight="1" x14ac:dyDescent="0.25">
      <c r="C924" s="8"/>
      <c r="D924" s="8"/>
    </row>
    <row r="925" spans="3:4" ht="15.75" customHeight="1" x14ac:dyDescent="0.25">
      <c r="C925" s="8"/>
      <c r="D925" s="8"/>
    </row>
    <row r="926" spans="3:4" ht="15.75" customHeight="1" x14ac:dyDescent="0.25">
      <c r="C926" s="8"/>
      <c r="D926" s="8"/>
    </row>
    <row r="927" spans="3:4" ht="15.75" customHeight="1" x14ac:dyDescent="0.25">
      <c r="C927" s="8"/>
      <c r="D927" s="8"/>
    </row>
    <row r="928" spans="3:4" ht="15.75" customHeight="1" x14ac:dyDescent="0.25">
      <c r="C928" s="8"/>
      <c r="D928" s="8"/>
    </row>
    <row r="929" spans="3:4" ht="15.75" customHeight="1" x14ac:dyDescent="0.25">
      <c r="C929" s="8"/>
      <c r="D929" s="8"/>
    </row>
    <row r="930" spans="3:4" ht="15.75" customHeight="1" x14ac:dyDescent="0.25">
      <c r="C930" s="8"/>
      <c r="D930" s="8"/>
    </row>
    <row r="931" spans="3:4" ht="15.75" customHeight="1" x14ac:dyDescent="0.25">
      <c r="C931" s="8"/>
      <c r="D931" s="8"/>
    </row>
    <row r="932" spans="3:4" ht="15.75" customHeight="1" x14ac:dyDescent="0.25">
      <c r="C932" s="8"/>
      <c r="D932" s="8"/>
    </row>
    <row r="933" spans="3:4" ht="15.75" customHeight="1" x14ac:dyDescent="0.25">
      <c r="C933" s="8"/>
      <c r="D933" s="8"/>
    </row>
    <row r="934" spans="3:4" ht="15.75" customHeight="1" x14ac:dyDescent="0.25">
      <c r="C934" s="8"/>
      <c r="D934" s="8"/>
    </row>
    <row r="935" spans="3:4" ht="15.75" customHeight="1" x14ac:dyDescent="0.25">
      <c r="C935" s="8"/>
      <c r="D935" s="8"/>
    </row>
    <row r="936" spans="3:4" ht="15.75" customHeight="1" x14ac:dyDescent="0.25">
      <c r="C936" s="8"/>
      <c r="D936" s="8"/>
    </row>
    <row r="937" spans="3:4" ht="15.75" customHeight="1" x14ac:dyDescent="0.25">
      <c r="C937" s="8"/>
      <c r="D937" s="8"/>
    </row>
    <row r="938" spans="3:4" ht="15.75" customHeight="1" x14ac:dyDescent="0.25">
      <c r="C938" s="8"/>
      <c r="D938" s="8"/>
    </row>
    <row r="939" spans="3:4" ht="15.75" customHeight="1" x14ac:dyDescent="0.25">
      <c r="C939" s="8"/>
      <c r="D939" s="8"/>
    </row>
    <row r="940" spans="3:4" ht="15.75" customHeight="1" x14ac:dyDescent="0.25">
      <c r="C940" s="8"/>
      <c r="D940" s="8"/>
    </row>
    <row r="941" spans="3:4" ht="15.75" customHeight="1" x14ac:dyDescent="0.25">
      <c r="C941" s="8"/>
      <c r="D941" s="8"/>
    </row>
    <row r="942" spans="3:4" ht="15.75" customHeight="1" x14ac:dyDescent="0.25">
      <c r="C942" s="8"/>
      <c r="D942" s="8"/>
    </row>
    <row r="943" spans="3:4" ht="15.75" customHeight="1" x14ac:dyDescent="0.25">
      <c r="C943" s="8"/>
      <c r="D943" s="8"/>
    </row>
    <row r="944" spans="3:4" ht="15.75" customHeight="1" x14ac:dyDescent="0.25">
      <c r="C944" s="8"/>
      <c r="D944" s="8"/>
    </row>
    <row r="945" spans="3:4" ht="15.75" customHeight="1" x14ac:dyDescent="0.25">
      <c r="C945" s="8"/>
      <c r="D945" s="8"/>
    </row>
    <row r="946" spans="3:4" ht="15.75" customHeight="1" x14ac:dyDescent="0.25">
      <c r="C946" s="8"/>
      <c r="D946" s="8"/>
    </row>
    <row r="947" spans="3:4" ht="15.75" customHeight="1" x14ac:dyDescent="0.25">
      <c r="C947" s="8"/>
      <c r="D947" s="8"/>
    </row>
    <row r="948" spans="3:4" ht="15.75" customHeight="1" x14ac:dyDescent="0.25">
      <c r="C948" s="8"/>
      <c r="D948" s="8"/>
    </row>
    <row r="949" spans="3:4" ht="15.75" customHeight="1" x14ac:dyDescent="0.25">
      <c r="C949" s="8"/>
      <c r="D949" s="8"/>
    </row>
    <row r="950" spans="3:4" ht="15.75" customHeight="1" x14ac:dyDescent="0.25">
      <c r="C950" s="8"/>
      <c r="D950" s="8"/>
    </row>
    <row r="951" spans="3:4" ht="15.75" customHeight="1" x14ac:dyDescent="0.25">
      <c r="C951" s="8"/>
      <c r="D951" s="8"/>
    </row>
    <row r="952" spans="3:4" ht="15.75" customHeight="1" x14ac:dyDescent="0.25">
      <c r="C952" s="8"/>
      <c r="D952" s="8"/>
    </row>
    <row r="953" spans="3:4" ht="15.75" customHeight="1" x14ac:dyDescent="0.25">
      <c r="C953" s="8"/>
      <c r="D953" s="8"/>
    </row>
    <row r="954" spans="3:4" ht="15.75" customHeight="1" x14ac:dyDescent="0.25">
      <c r="C954" s="8"/>
      <c r="D954" s="8"/>
    </row>
    <row r="955" spans="3:4" ht="15.75" customHeight="1" x14ac:dyDescent="0.25">
      <c r="C955" s="8"/>
      <c r="D955" s="8"/>
    </row>
    <row r="956" spans="3:4" ht="15.75" customHeight="1" x14ac:dyDescent="0.25">
      <c r="C956" s="8"/>
      <c r="D956" s="8"/>
    </row>
    <row r="957" spans="3:4" ht="15.75" customHeight="1" x14ac:dyDescent="0.25">
      <c r="C957" s="8"/>
      <c r="D957" s="8"/>
    </row>
    <row r="958" spans="3:4" ht="15.75" customHeight="1" x14ac:dyDescent="0.25">
      <c r="C958" s="8"/>
      <c r="D958" s="8"/>
    </row>
    <row r="959" spans="3:4" ht="15.75" customHeight="1" x14ac:dyDescent="0.25">
      <c r="C959" s="8"/>
      <c r="D959" s="8"/>
    </row>
    <row r="960" spans="3:4" ht="15.75" customHeight="1" x14ac:dyDescent="0.25">
      <c r="C960" s="8"/>
      <c r="D960" s="8"/>
    </row>
    <row r="961" spans="3:4" ht="15.75" customHeight="1" x14ac:dyDescent="0.25">
      <c r="C961" s="8"/>
      <c r="D961" s="8"/>
    </row>
    <row r="962" spans="3:4" ht="15.75" customHeight="1" x14ac:dyDescent="0.25">
      <c r="C962" s="8"/>
      <c r="D962" s="8"/>
    </row>
    <row r="963" spans="3:4" ht="15.75" customHeight="1" x14ac:dyDescent="0.25">
      <c r="C963" s="8"/>
      <c r="D963" s="8"/>
    </row>
    <row r="964" spans="3:4" ht="15.75" customHeight="1" x14ac:dyDescent="0.25">
      <c r="C964" s="8"/>
      <c r="D964" s="8"/>
    </row>
    <row r="965" spans="3:4" ht="15.75" customHeight="1" x14ac:dyDescent="0.25">
      <c r="C965" s="8"/>
      <c r="D965" s="8"/>
    </row>
    <row r="966" spans="3:4" ht="15.75" customHeight="1" x14ac:dyDescent="0.25">
      <c r="C966" s="8"/>
      <c r="D966" s="8"/>
    </row>
    <row r="967" spans="3:4" ht="15.75" customHeight="1" x14ac:dyDescent="0.25">
      <c r="C967" s="8"/>
      <c r="D967" s="8"/>
    </row>
    <row r="968" spans="3:4" ht="15.75" customHeight="1" x14ac:dyDescent="0.25">
      <c r="C968" s="8"/>
      <c r="D968" s="8"/>
    </row>
    <row r="969" spans="3:4" ht="15.75" customHeight="1" x14ac:dyDescent="0.25">
      <c r="C969" s="8"/>
      <c r="D969" s="8"/>
    </row>
    <row r="970" spans="3:4" ht="15.75" customHeight="1" x14ac:dyDescent="0.25">
      <c r="C970" s="8"/>
      <c r="D970" s="8"/>
    </row>
    <row r="971" spans="3:4" ht="15.75" customHeight="1" x14ac:dyDescent="0.25">
      <c r="C971" s="8"/>
      <c r="D971" s="8"/>
    </row>
    <row r="972" spans="3:4" ht="15.75" customHeight="1" x14ac:dyDescent="0.25">
      <c r="C972" s="8"/>
      <c r="D972" s="8"/>
    </row>
    <row r="973" spans="3:4" ht="15.75" customHeight="1" x14ac:dyDescent="0.25">
      <c r="C973" s="8"/>
      <c r="D973" s="8"/>
    </row>
    <row r="974" spans="3:4" ht="15.75" customHeight="1" x14ac:dyDescent="0.25">
      <c r="C974" s="8"/>
      <c r="D974" s="8"/>
    </row>
    <row r="975" spans="3:4" ht="15.75" customHeight="1" x14ac:dyDescent="0.25">
      <c r="C975" s="8"/>
      <c r="D975" s="8"/>
    </row>
    <row r="976" spans="3:4" ht="15.75" customHeight="1" x14ac:dyDescent="0.25">
      <c r="C976" s="8"/>
      <c r="D976" s="8"/>
    </row>
    <row r="977" spans="3:4" ht="15.75" customHeight="1" x14ac:dyDescent="0.25">
      <c r="C977" s="8"/>
      <c r="D977" s="8"/>
    </row>
    <row r="978" spans="3:4" ht="15.75" customHeight="1" x14ac:dyDescent="0.25">
      <c r="C978" s="8"/>
      <c r="D978" s="8"/>
    </row>
    <row r="979" spans="3:4" ht="15.75" customHeight="1" x14ac:dyDescent="0.25">
      <c r="C979" s="8"/>
      <c r="D979" s="8"/>
    </row>
    <row r="980" spans="3:4" ht="15.75" customHeight="1" x14ac:dyDescent="0.25">
      <c r="C980" s="8"/>
      <c r="D980" s="8"/>
    </row>
    <row r="981" spans="3:4" ht="15.75" customHeight="1" x14ac:dyDescent="0.25">
      <c r="C981" s="8"/>
      <c r="D981" s="8"/>
    </row>
    <row r="982" spans="3:4" ht="15.75" customHeight="1" x14ac:dyDescent="0.25">
      <c r="C982" s="8"/>
      <c r="D982" s="8"/>
    </row>
    <row r="983" spans="3:4" ht="15.75" customHeight="1" x14ac:dyDescent="0.25">
      <c r="C983" s="8"/>
      <c r="D983" s="8"/>
    </row>
    <row r="984" spans="3:4" ht="15.75" customHeight="1" x14ac:dyDescent="0.25">
      <c r="C984" s="8"/>
      <c r="D984" s="8"/>
    </row>
    <row r="985" spans="3:4" ht="15.75" customHeight="1" x14ac:dyDescent="0.25">
      <c r="C985" s="8"/>
      <c r="D985" s="8"/>
    </row>
    <row r="986" spans="3:4" ht="15.75" customHeight="1" x14ac:dyDescent="0.25">
      <c r="C986" s="8"/>
      <c r="D986" s="8"/>
    </row>
    <row r="987" spans="3:4" ht="15.75" customHeight="1" x14ac:dyDescent="0.25">
      <c r="C987" s="8"/>
      <c r="D987" s="8"/>
    </row>
    <row r="988" spans="3:4" ht="15.75" customHeight="1" x14ac:dyDescent="0.25">
      <c r="C988" s="8"/>
      <c r="D988" s="8"/>
    </row>
    <row r="989" spans="3:4" ht="15.75" customHeight="1" x14ac:dyDescent="0.25">
      <c r="C989" s="8"/>
      <c r="D989" s="8"/>
    </row>
    <row r="990" spans="3:4" ht="15.75" customHeight="1" x14ac:dyDescent="0.25">
      <c r="C990" s="8"/>
      <c r="D990" s="8"/>
    </row>
    <row r="991" spans="3:4" ht="15.75" customHeight="1" x14ac:dyDescent="0.25">
      <c r="C991" s="8"/>
      <c r="D991" s="8"/>
    </row>
    <row r="992" spans="3:4" ht="15.75" customHeight="1" x14ac:dyDescent="0.25">
      <c r="C992" s="8"/>
      <c r="D992" s="8"/>
    </row>
    <row r="993" spans="3:4" ht="15.75" customHeight="1" x14ac:dyDescent="0.25">
      <c r="C993" s="8"/>
      <c r="D993" s="8"/>
    </row>
    <row r="994" spans="3:4" ht="15.75" customHeight="1" x14ac:dyDescent="0.25">
      <c r="C994" s="8"/>
      <c r="D994" s="8"/>
    </row>
    <row r="995" spans="3:4" ht="15.75" customHeight="1" x14ac:dyDescent="0.25">
      <c r="C995" s="8"/>
      <c r="D995" s="8"/>
    </row>
    <row r="996" spans="3:4" ht="15.75" customHeight="1" x14ac:dyDescent="0.25">
      <c r="C996" s="8"/>
      <c r="D996" s="8"/>
    </row>
    <row r="997" spans="3:4" ht="15.75" customHeight="1" x14ac:dyDescent="0.25">
      <c r="C997" s="8"/>
      <c r="D997" s="8"/>
    </row>
    <row r="998" spans="3:4" ht="15.75" customHeight="1" x14ac:dyDescent="0.25">
      <c r="C998" s="8"/>
      <c r="D998" s="8"/>
    </row>
    <row r="999" spans="3:4" ht="15.75" customHeight="1" x14ac:dyDescent="0.25">
      <c r="C999" s="8"/>
      <c r="D999" s="8"/>
    </row>
    <row r="1000" spans="3:4" ht="15.75" customHeight="1" x14ac:dyDescent="0.25">
      <c r="C1000" s="8"/>
      <c r="D1000" s="8"/>
    </row>
    <row r="1001" spans="3:4" ht="15.75" customHeight="1" x14ac:dyDescent="0.25">
      <c r="C1001" s="8"/>
      <c r="D1001" s="8"/>
    </row>
    <row r="1002" spans="3:4" ht="15.75" customHeight="1" x14ac:dyDescent="0.25">
      <c r="C1002" s="8"/>
      <c r="D1002" s="8"/>
    </row>
    <row r="1003" spans="3:4" ht="15.75" customHeight="1" x14ac:dyDescent="0.25">
      <c r="C1003" s="8"/>
      <c r="D1003" s="8"/>
    </row>
    <row r="1004" spans="3:4" ht="15.75" customHeight="1" x14ac:dyDescent="0.25">
      <c r="C1004" s="8"/>
      <c r="D1004" s="8"/>
    </row>
    <row r="1005" spans="3:4" ht="15.75" customHeight="1" x14ac:dyDescent="0.25">
      <c r="C1005" s="8"/>
      <c r="D1005" s="8"/>
    </row>
    <row r="1006" spans="3:4" ht="15.75" customHeight="1" x14ac:dyDescent="0.25">
      <c r="C1006" s="8"/>
      <c r="D1006" s="8"/>
    </row>
    <row r="1007" spans="3:4" ht="15.75" customHeight="1" x14ac:dyDescent="0.25">
      <c r="C1007" s="8"/>
      <c r="D1007" s="8"/>
    </row>
    <row r="1008" spans="3:4" ht="15.75" customHeight="1" x14ac:dyDescent="0.25">
      <c r="C1008" s="8"/>
      <c r="D1008" s="8"/>
    </row>
    <row r="1009" spans="3:4" ht="15.75" customHeight="1" x14ac:dyDescent="0.25">
      <c r="C1009" s="8"/>
      <c r="D1009" s="8"/>
    </row>
    <row r="1010" spans="3:4" ht="15.75" customHeight="1" x14ac:dyDescent="0.25">
      <c r="C1010" s="8"/>
      <c r="D1010" s="8"/>
    </row>
    <row r="1011" spans="3:4" ht="15.75" customHeight="1" x14ac:dyDescent="0.25">
      <c r="C1011" s="8"/>
      <c r="D1011" s="8"/>
    </row>
  </sheetData>
  <autoFilter ref="B1:E123" xr:uid="{00000000-0009-0000-0000-000010000000}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123F-832B-4E3E-83A0-835DCAB6B8C4}">
  <dimension ref="A1:Z1064"/>
  <sheetViews>
    <sheetView workbookViewId="0">
      <pane ySplit="1" topLeftCell="A12" activePane="bottomLeft" state="frozen"/>
      <selection activeCell="H92" sqref="H92"/>
      <selection pane="bottomLeft" activeCell="H92" sqref="H92"/>
    </sheetView>
  </sheetViews>
  <sheetFormatPr defaultColWidth="14.42578125" defaultRowHeight="15" customHeight="1" x14ac:dyDescent="0.25"/>
  <cols>
    <col min="1" max="1" width="52.28515625" style="6" customWidth="1"/>
    <col min="2" max="2" width="39.28515625" style="6" customWidth="1"/>
    <col min="3" max="3" width="52.28515625" style="6" customWidth="1"/>
    <col min="4" max="4" width="24" style="6" customWidth="1"/>
    <col min="5" max="5" width="18.140625" style="6" customWidth="1"/>
    <col min="6" max="26" width="8.7109375" style="6" customWidth="1"/>
    <col min="27" max="16384" width="14.42578125" style="6"/>
  </cols>
  <sheetData>
    <row r="1" spans="1:26" x14ac:dyDescent="0.25">
      <c r="A1" s="10" t="s">
        <v>56</v>
      </c>
      <c r="B1" s="10" t="s">
        <v>14</v>
      </c>
      <c r="C1" s="10" t="s">
        <v>15</v>
      </c>
      <c r="D1" s="10" t="s">
        <v>16</v>
      </c>
      <c r="E1" s="10" t="s">
        <v>341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25">
      <c r="E2" s="6" t="s">
        <v>341</v>
      </c>
      <c r="G2" s="6" t="s">
        <v>342</v>
      </c>
    </row>
    <row r="3" spans="1:26" x14ac:dyDescent="0.25">
      <c r="E3" s="6" t="s">
        <v>341</v>
      </c>
      <c r="G3" s="6" t="s">
        <v>343</v>
      </c>
    </row>
    <row r="4" spans="1:26" x14ac:dyDescent="0.25">
      <c r="E4" s="6" t="s">
        <v>341</v>
      </c>
      <c r="G4" s="6" t="s">
        <v>344</v>
      </c>
    </row>
    <row r="5" spans="1:26" x14ac:dyDescent="0.25">
      <c r="E5" s="6" t="s">
        <v>341</v>
      </c>
      <c r="G5" s="6" t="s">
        <v>345</v>
      </c>
    </row>
    <row r="6" spans="1:26" x14ac:dyDescent="0.25">
      <c r="E6" s="6" t="s">
        <v>341</v>
      </c>
      <c r="G6" s="6" t="s">
        <v>346</v>
      </c>
    </row>
    <row r="7" spans="1:26" x14ac:dyDescent="0.25">
      <c r="E7" s="6" t="s">
        <v>341</v>
      </c>
      <c r="G7" s="6" t="s">
        <v>347</v>
      </c>
    </row>
    <row r="8" spans="1:26" x14ac:dyDescent="0.25">
      <c r="E8" s="6" t="s">
        <v>341</v>
      </c>
      <c r="G8" s="6" t="s">
        <v>348</v>
      </c>
    </row>
    <row r="9" spans="1:26" x14ac:dyDescent="0.25">
      <c r="E9" s="6" t="s">
        <v>341</v>
      </c>
      <c r="G9" s="6" t="s">
        <v>349</v>
      </c>
    </row>
    <row r="10" spans="1:26" x14ac:dyDescent="0.25">
      <c r="E10" s="6" t="s">
        <v>341</v>
      </c>
      <c r="G10" s="6" t="s">
        <v>350</v>
      </c>
    </row>
    <row r="11" spans="1:26" x14ac:dyDescent="0.25">
      <c r="E11" s="6" t="s">
        <v>341</v>
      </c>
      <c r="G11" s="6" t="s">
        <v>351</v>
      </c>
    </row>
    <row r="12" spans="1:26" x14ac:dyDescent="0.25">
      <c r="A12" s="6" t="s">
        <v>18</v>
      </c>
      <c r="B12" s="6" t="s">
        <v>18</v>
      </c>
      <c r="C12" s="6" t="s">
        <v>18</v>
      </c>
      <c r="D12" s="6" t="s">
        <v>18</v>
      </c>
      <c r="E12" s="6" t="s">
        <v>341</v>
      </c>
    </row>
    <row r="13" spans="1:26" ht="15.75" customHeight="1" x14ac:dyDescent="0.25">
      <c r="A13" s="6" t="str">
        <f>C13&amp;IF(B13&lt;&gt;"","("&amp;B13&amp;") "," ")&amp;D13</f>
        <v xml:space="preserve">Unliquidated(Items) </v>
      </c>
      <c r="B13" s="6" t="s">
        <v>352</v>
      </c>
      <c r="C13" s="6" t="s">
        <v>353</v>
      </c>
    </row>
    <row r="14" spans="1:26" x14ac:dyDescent="0.25">
      <c r="A14" s="6" t="s">
        <v>57</v>
      </c>
      <c r="B14" s="6" t="s">
        <v>18</v>
      </c>
      <c r="C14" s="6" t="s">
        <v>57</v>
      </c>
      <c r="D14" s="6" t="s">
        <v>18</v>
      </c>
      <c r="E14" s="6" t="s">
        <v>342</v>
      </c>
    </row>
    <row r="15" spans="1:26" x14ac:dyDescent="0.25">
      <c r="A15" s="6" t="str">
        <f>C15&amp;IF(B15&lt;&gt;"","("&amp;B15&amp;") "," ")&amp;D15</f>
        <v>(Omega) 120ml</v>
      </c>
      <c r="B15" s="6" t="s">
        <v>354</v>
      </c>
      <c r="D15" s="6" t="s">
        <v>355</v>
      </c>
      <c r="E15" s="6" t="s">
        <v>343</v>
      </c>
    </row>
    <row r="16" spans="1:26" x14ac:dyDescent="0.25">
      <c r="A16" s="6" t="str">
        <f>C16&amp;IF(B16&lt;&gt;"","("&amp;B16&amp;") "," ")&amp;D16</f>
        <v>(Omega) 60ml</v>
      </c>
      <c r="B16" s="6" t="s">
        <v>354</v>
      </c>
      <c r="D16" s="6" t="s">
        <v>356</v>
      </c>
      <c r="E16" s="6" t="s">
        <v>343</v>
      </c>
    </row>
    <row r="17" spans="1:25" x14ac:dyDescent="0.25">
      <c r="A17" s="6" t="str">
        <f>C17&amp;IF(B17&lt;&gt;"","("&amp;B17&amp;") "," ")&amp;D17</f>
        <v>(Rosuvastatin) 5mg</v>
      </c>
      <c r="B17" s="6" t="s">
        <v>357</v>
      </c>
      <c r="D17" s="6" t="s">
        <v>358</v>
      </c>
      <c r="E17" s="6" t="s">
        <v>343</v>
      </c>
    </row>
    <row r="18" spans="1:25" x14ac:dyDescent="0.25">
      <c r="A18" s="6" t="str">
        <f>C18&amp;IF(B18&lt;&gt;"","("&amp;B18&amp;") "," ")&amp;D18</f>
        <v>Acetylcysteine (Fluimucil) 100mg</v>
      </c>
      <c r="B18" s="7" t="s">
        <v>359</v>
      </c>
      <c r="C18" s="7" t="s">
        <v>360</v>
      </c>
      <c r="D18" s="7" t="s">
        <v>361</v>
      </c>
      <c r="E18" s="7" t="s">
        <v>343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x14ac:dyDescent="0.25">
      <c r="A19" s="6" t="str">
        <f>C19&amp;IF(B19&lt;&gt;"","("&amp;B19&amp;") "," ")&amp;D19</f>
        <v>Aldactone(Spironolactone) 25mg</v>
      </c>
      <c r="B19" s="6" t="s">
        <v>362</v>
      </c>
      <c r="C19" s="6" t="s">
        <v>363</v>
      </c>
      <c r="D19" s="6" t="s">
        <v>364</v>
      </c>
      <c r="E19" s="6" t="s">
        <v>343</v>
      </c>
    </row>
    <row r="20" spans="1:25" x14ac:dyDescent="0.25">
      <c r="A20" s="6" t="s">
        <v>365</v>
      </c>
      <c r="B20" s="6" t="s">
        <v>362</v>
      </c>
      <c r="C20" s="6" t="s">
        <v>363</v>
      </c>
      <c r="D20" s="6" t="s">
        <v>366</v>
      </c>
      <c r="E20" s="6" t="s">
        <v>343</v>
      </c>
    </row>
    <row r="21" spans="1:25" x14ac:dyDescent="0.25">
      <c r="A21" s="6" t="s">
        <v>367</v>
      </c>
      <c r="B21" s="6" t="s">
        <v>368</v>
      </c>
      <c r="C21" s="6" t="s">
        <v>369</v>
      </c>
      <c r="D21" s="6" t="s">
        <v>358</v>
      </c>
      <c r="E21" s="6" t="s">
        <v>343</v>
      </c>
    </row>
    <row r="22" spans="1:25" x14ac:dyDescent="0.25">
      <c r="A22" s="6" t="str">
        <f t="shared" ref="A22:A28" si="0">C22&amp;IF(B22&lt;&gt;"","("&amp;B22&amp;") "," ")&amp;D22</f>
        <v xml:space="preserve">Antasid(Maalox) </v>
      </c>
      <c r="B22" s="6" t="s">
        <v>370</v>
      </c>
      <c r="C22" s="6" t="s">
        <v>371</v>
      </c>
      <c r="E22" s="6" t="s">
        <v>343</v>
      </c>
    </row>
    <row r="23" spans="1:25" x14ac:dyDescent="0.25">
      <c r="A23" s="6" t="str">
        <f t="shared" si="0"/>
        <v>Ascorbic Acid(Rhea ) 500mg</v>
      </c>
      <c r="B23" s="6" t="s">
        <v>372</v>
      </c>
      <c r="C23" s="6" t="s">
        <v>373</v>
      </c>
      <c r="D23" s="6" t="s">
        <v>374</v>
      </c>
      <c r="E23" s="6" t="s">
        <v>343</v>
      </c>
    </row>
    <row r="24" spans="1:25" x14ac:dyDescent="0.25">
      <c r="A24" s="6" t="str">
        <f t="shared" si="0"/>
        <v>Aspirin(Aspilets) 80mg</v>
      </c>
      <c r="B24" s="6" t="s">
        <v>375</v>
      </c>
      <c r="C24" s="6" t="s">
        <v>376</v>
      </c>
      <c r="D24" s="6" t="s">
        <v>377</v>
      </c>
      <c r="E24" s="6" t="s">
        <v>343</v>
      </c>
    </row>
    <row r="25" spans="1:25" x14ac:dyDescent="0.25">
      <c r="A25" s="6" t="str">
        <f t="shared" si="0"/>
        <v>AZITHROMYCIN Dihydrate(Zithromax) 15ml</v>
      </c>
      <c r="B25" s="6" t="s">
        <v>378</v>
      </c>
      <c r="C25" s="6" t="s">
        <v>379</v>
      </c>
      <c r="D25" s="6" t="s">
        <v>380</v>
      </c>
      <c r="E25" s="6" t="s">
        <v>343</v>
      </c>
    </row>
    <row r="26" spans="1:25" x14ac:dyDescent="0.25">
      <c r="A26" s="6" t="str">
        <f t="shared" si="0"/>
        <v>AZITHROMYCIN Dihydrate(Zithromax) 22.5ml</v>
      </c>
      <c r="B26" s="6" t="s">
        <v>378</v>
      </c>
      <c r="C26" s="6" t="s">
        <v>379</v>
      </c>
      <c r="D26" s="6" t="s">
        <v>381</v>
      </c>
      <c r="E26" s="6" t="s">
        <v>343</v>
      </c>
    </row>
    <row r="27" spans="1:25" x14ac:dyDescent="0.25">
      <c r="A27" s="6" t="str">
        <f t="shared" si="0"/>
        <v>Bilaxten(Bilastine) 20mg</v>
      </c>
      <c r="B27" s="6" t="s">
        <v>382</v>
      </c>
      <c r="C27" s="6" t="s">
        <v>383</v>
      </c>
      <c r="D27" s="6" t="s">
        <v>384</v>
      </c>
      <c r="E27" s="6" t="s">
        <v>343</v>
      </c>
    </row>
    <row r="28" spans="1:25" ht="15.75" customHeight="1" x14ac:dyDescent="0.25">
      <c r="A28" s="7" t="str">
        <f t="shared" si="0"/>
        <v>Butamirate Forte(Sinecod) 50mg</v>
      </c>
      <c r="B28" s="7" t="s">
        <v>385</v>
      </c>
      <c r="C28" s="7" t="s">
        <v>386</v>
      </c>
      <c r="D28" s="7" t="s">
        <v>366</v>
      </c>
      <c r="E28" s="7" t="s">
        <v>343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x14ac:dyDescent="0.25">
      <c r="A29" s="6" t="s">
        <v>387</v>
      </c>
      <c r="B29" s="6" t="s">
        <v>388</v>
      </c>
      <c r="C29" s="6" t="s">
        <v>389</v>
      </c>
      <c r="D29" s="6" t="s">
        <v>364</v>
      </c>
      <c r="E29" s="6" t="s">
        <v>343</v>
      </c>
    </row>
    <row r="30" spans="1:25" x14ac:dyDescent="0.25">
      <c r="A30" s="6" t="s">
        <v>49</v>
      </c>
      <c r="B30" s="6" t="s">
        <v>390</v>
      </c>
      <c r="C30" s="6" t="s">
        <v>389</v>
      </c>
      <c r="D30" s="6" t="s">
        <v>364</v>
      </c>
      <c r="E30" s="6" t="s">
        <v>343</v>
      </c>
    </row>
    <row r="31" spans="1:25" x14ac:dyDescent="0.25">
      <c r="A31" s="6" t="s">
        <v>391</v>
      </c>
      <c r="B31" s="6" t="s">
        <v>389</v>
      </c>
      <c r="C31" s="6" t="s">
        <v>392</v>
      </c>
      <c r="D31" s="6" t="s">
        <v>364</v>
      </c>
      <c r="E31" s="6" t="s">
        <v>343</v>
      </c>
    </row>
    <row r="32" spans="1:25" x14ac:dyDescent="0.25">
      <c r="A32" s="6" t="str">
        <f>C32&amp;IF(B32&lt;&gt;"","("&amp;B32&amp;") "," ")&amp;D32</f>
        <v>Cetirizine HCL(Rose Pharmacy) 10mg</v>
      </c>
      <c r="B32" s="6" t="s">
        <v>218</v>
      </c>
      <c r="C32" s="6" t="s">
        <v>393</v>
      </c>
      <c r="D32" s="6" t="s">
        <v>394</v>
      </c>
      <c r="E32" s="6" t="s">
        <v>343</v>
      </c>
    </row>
    <row r="33" spans="1:26" x14ac:dyDescent="0.25">
      <c r="A33" s="6" t="str">
        <f>C33&amp;IF(B33&lt;&gt;"","("&amp;B33&amp;") "," ")&amp;D33</f>
        <v>Clonidine HC1(Clonipress) 75mcg</v>
      </c>
      <c r="B33" s="6" t="s">
        <v>395</v>
      </c>
      <c r="C33" s="6" t="s">
        <v>396</v>
      </c>
      <c r="D33" s="6" t="s">
        <v>397</v>
      </c>
      <c r="E33" s="6" t="s">
        <v>343</v>
      </c>
    </row>
    <row r="34" spans="1:26" x14ac:dyDescent="0.25">
      <c r="A34" s="6" t="s">
        <v>398</v>
      </c>
      <c r="B34" s="6" t="s">
        <v>399</v>
      </c>
      <c r="C34" s="6" t="s">
        <v>400</v>
      </c>
      <c r="D34" s="6" t="s">
        <v>401</v>
      </c>
      <c r="E34" s="6" t="s">
        <v>343</v>
      </c>
    </row>
    <row r="35" spans="1:26" x14ac:dyDescent="0.25">
      <c r="A35" s="6" t="s">
        <v>402</v>
      </c>
      <c r="B35" s="6" t="s">
        <v>403</v>
      </c>
      <c r="C35" s="6" t="s">
        <v>400</v>
      </c>
      <c r="D35" s="6" t="s">
        <v>401</v>
      </c>
      <c r="E35" s="6" t="s">
        <v>343</v>
      </c>
    </row>
    <row r="36" spans="1:26" x14ac:dyDescent="0.25">
      <c r="A36" s="6" t="s">
        <v>404</v>
      </c>
      <c r="B36" s="6" t="s">
        <v>405</v>
      </c>
      <c r="C36" s="6" t="s">
        <v>406</v>
      </c>
      <c r="D36" s="6" t="s">
        <v>394</v>
      </c>
      <c r="E36" s="6" t="s">
        <v>343</v>
      </c>
    </row>
    <row r="37" spans="1:26" x14ac:dyDescent="0.25">
      <c r="A37" s="6" t="str">
        <f>C37&amp;IF(B37&lt;&gt;"","("&amp;B37&amp;") "," ")&amp;D37</f>
        <v>dapagliflozin/Metformin HCl(xigduo) 10mg/1000mg Tablet</v>
      </c>
      <c r="B37" s="6" t="s">
        <v>407</v>
      </c>
      <c r="C37" s="6" t="s">
        <v>408</v>
      </c>
      <c r="D37" s="6" t="s">
        <v>409</v>
      </c>
      <c r="E37" s="6" t="s">
        <v>343</v>
      </c>
    </row>
    <row r="38" spans="1:26" x14ac:dyDescent="0.25">
      <c r="A38" s="6" t="s">
        <v>410</v>
      </c>
      <c r="B38" s="6" t="s">
        <v>411</v>
      </c>
      <c r="C38" s="6" t="s">
        <v>412</v>
      </c>
      <c r="D38" s="6" t="s">
        <v>413</v>
      </c>
      <c r="E38" s="6" t="s">
        <v>343</v>
      </c>
    </row>
    <row r="39" spans="1:26" ht="15.75" customHeight="1" x14ac:dyDescent="0.25">
      <c r="A39" s="6" t="str">
        <f>C39&amp;IF(B39&lt;&gt;"","("&amp;B39&amp;") "," ")&amp;D39</f>
        <v>Doxofylline(Ansimar) 100mg/5ml</v>
      </c>
      <c r="B39" s="6" t="s">
        <v>414</v>
      </c>
      <c r="C39" s="6" t="s">
        <v>415</v>
      </c>
      <c r="D39" s="6" t="s">
        <v>416</v>
      </c>
      <c r="E39" s="6" t="s">
        <v>343</v>
      </c>
    </row>
    <row r="40" spans="1:26" ht="15.75" customHeight="1" x14ac:dyDescent="0.25">
      <c r="A40" s="6" t="str">
        <f>C40&amp;IF(B40&lt;&gt;"","("&amp;B40&amp;") "," ")&amp;D40</f>
        <v>Energen(Chocolate) 8x30x40g</v>
      </c>
      <c r="B40" s="6" t="s">
        <v>417</v>
      </c>
      <c r="C40" s="6" t="s">
        <v>418</v>
      </c>
      <c r="D40" s="6" t="s">
        <v>419</v>
      </c>
      <c r="E40" s="6" t="s">
        <v>343</v>
      </c>
    </row>
    <row r="41" spans="1:26" ht="15.75" customHeight="1" x14ac:dyDescent="0.25">
      <c r="A41" s="6" t="s">
        <v>420</v>
      </c>
      <c r="B41" s="6" t="s">
        <v>421</v>
      </c>
      <c r="C41" s="6" t="s">
        <v>422</v>
      </c>
      <c r="D41" s="6" t="s">
        <v>361</v>
      </c>
      <c r="E41" s="6" t="s">
        <v>343</v>
      </c>
    </row>
    <row r="42" spans="1:26" ht="15.75" customHeight="1" x14ac:dyDescent="0.25">
      <c r="A42" s="6" t="s">
        <v>50</v>
      </c>
      <c r="B42" s="6" t="s">
        <v>421</v>
      </c>
      <c r="C42" s="6" t="s">
        <v>422</v>
      </c>
      <c r="D42" s="6" t="s">
        <v>423</v>
      </c>
      <c r="E42" s="6" t="s">
        <v>343</v>
      </c>
    </row>
    <row r="43" spans="1:26" ht="15.75" customHeight="1" x14ac:dyDescent="0.25">
      <c r="A43" s="6" t="str">
        <f>C43&amp;IF(B43&lt;&gt;"","("&amp;B43&amp;") "," ")&amp;D43</f>
        <v>Face Mask(Generic) KN95</v>
      </c>
      <c r="B43" s="6" t="s">
        <v>424</v>
      </c>
      <c r="C43" s="6" t="s">
        <v>425</v>
      </c>
      <c r="D43" s="6" t="s">
        <v>426</v>
      </c>
      <c r="E43" s="6" t="s">
        <v>343</v>
      </c>
      <c r="Z43" s="7"/>
    </row>
    <row r="44" spans="1:26" ht="15.75" customHeight="1" x14ac:dyDescent="0.25">
      <c r="A44" s="6" t="str">
        <f>C44&amp;IF(B44&lt;&gt;"","("&amp;B44&amp;") "," ")&amp;D44</f>
        <v>Face Mask(Generic) Surgical</v>
      </c>
      <c r="B44" s="6" t="s">
        <v>424</v>
      </c>
      <c r="C44" s="6" t="s">
        <v>425</v>
      </c>
      <c r="D44" s="6" t="s">
        <v>427</v>
      </c>
      <c r="E44" s="6" t="s">
        <v>343</v>
      </c>
    </row>
    <row r="45" spans="1:26" ht="15.75" customHeight="1" x14ac:dyDescent="0.25">
      <c r="A45" s="6" t="s">
        <v>52</v>
      </c>
      <c r="B45" s="6" t="s">
        <v>428</v>
      </c>
      <c r="C45" s="6" t="s">
        <v>429</v>
      </c>
      <c r="D45" s="6" t="s">
        <v>430</v>
      </c>
      <c r="E45" s="6" t="s">
        <v>343</v>
      </c>
    </row>
    <row r="46" spans="1:26" ht="15.75" customHeight="1" x14ac:dyDescent="0.25">
      <c r="A46" s="6" t="s">
        <v>431</v>
      </c>
      <c r="B46" s="6" t="s">
        <v>428</v>
      </c>
      <c r="C46" s="6" t="s">
        <v>429</v>
      </c>
      <c r="D46" s="6" t="s">
        <v>432</v>
      </c>
      <c r="E46" s="6" t="s">
        <v>343</v>
      </c>
    </row>
    <row r="47" spans="1:26" ht="15.75" customHeight="1" x14ac:dyDescent="0.25">
      <c r="A47" s="6" t="str">
        <f>C47&amp;IF(B47&lt;&gt;"","("&amp;B47&amp;") "," ")&amp;D47</f>
        <v>Inhaler(Vicks) Keychain</v>
      </c>
      <c r="B47" s="6" t="s">
        <v>433</v>
      </c>
      <c r="C47" s="6" t="s">
        <v>434</v>
      </c>
      <c r="D47" s="6" t="s">
        <v>435</v>
      </c>
      <c r="E47" s="6" t="s">
        <v>343</v>
      </c>
    </row>
    <row r="48" spans="1:26" ht="15.75" customHeight="1" x14ac:dyDescent="0.25">
      <c r="A48" s="6" t="str">
        <f>C48&amp;IF(B48&lt;&gt;"","("&amp;B48&amp;") "," ")&amp;D48</f>
        <v>IPRATROPIUM Bromide SABUTAMOL(Pulmodual) 500mcg / 2.5mg per 2.5mL</v>
      </c>
      <c r="B48" s="6" t="s">
        <v>436</v>
      </c>
      <c r="C48" s="6" t="s">
        <v>437</v>
      </c>
      <c r="D48" s="6" t="s">
        <v>438</v>
      </c>
      <c r="E48" s="6" t="s">
        <v>343</v>
      </c>
    </row>
    <row r="49" spans="1:25" ht="15.75" customHeight="1" x14ac:dyDescent="0.25">
      <c r="A49" s="6" t="str">
        <f>C49&amp;IF(B49&lt;&gt;"","("&amp;B49&amp;") "," ")&amp;D49</f>
        <v xml:space="preserve">Kefir(Wellnessland Wellness Center) </v>
      </c>
      <c r="B49" s="6" t="s">
        <v>261</v>
      </c>
      <c r="C49" s="6" t="s">
        <v>439</v>
      </c>
      <c r="E49" s="6" t="s">
        <v>343</v>
      </c>
    </row>
    <row r="50" spans="1:25" ht="15.75" customHeight="1" x14ac:dyDescent="0.25">
      <c r="A50" s="6" t="s">
        <v>440</v>
      </c>
      <c r="B50" s="6" t="s">
        <v>441</v>
      </c>
      <c r="C50" s="6" t="s">
        <v>442</v>
      </c>
      <c r="D50" s="6" t="s">
        <v>443</v>
      </c>
      <c r="E50" s="6" t="s">
        <v>343</v>
      </c>
    </row>
    <row r="51" spans="1:25" ht="15.75" customHeight="1" x14ac:dyDescent="0.25">
      <c r="A51" s="6" t="s">
        <v>444</v>
      </c>
      <c r="B51" s="6" t="s">
        <v>445</v>
      </c>
      <c r="C51" s="6" t="s">
        <v>446</v>
      </c>
      <c r="D51" s="6" t="s">
        <v>361</v>
      </c>
      <c r="E51" s="6" t="s">
        <v>343</v>
      </c>
    </row>
    <row r="52" spans="1:25" ht="15.75" customHeight="1" x14ac:dyDescent="0.25">
      <c r="A52" s="6" t="str">
        <f>C52&amp;IF(B52&lt;&gt;"","("&amp;B52&amp;") "," ")&amp;D52</f>
        <v>Losartan(Rite-Med) 100mg</v>
      </c>
      <c r="B52" s="6" t="s">
        <v>368</v>
      </c>
      <c r="C52" s="6" t="s">
        <v>446</v>
      </c>
      <c r="D52" s="6" t="s">
        <v>361</v>
      </c>
      <c r="E52" s="6" t="s">
        <v>343</v>
      </c>
    </row>
    <row r="53" spans="1:25" ht="15.75" customHeight="1" x14ac:dyDescent="0.25">
      <c r="A53" s="6" t="str">
        <f>C53&amp;IF(B53&lt;&gt;"","("&amp;B53&amp;") "," ")&amp;D53</f>
        <v>Losartan(Rose Pharmacy) 100mg</v>
      </c>
      <c r="B53" s="6" t="s">
        <v>218</v>
      </c>
      <c r="C53" s="6" t="s">
        <v>446</v>
      </c>
      <c r="D53" s="6" t="s">
        <v>361</v>
      </c>
      <c r="E53" s="6" t="s">
        <v>343</v>
      </c>
      <c r="F53" s="6" t="s">
        <v>444</v>
      </c>
      <c r="G53" s="6" t="s">
        <v>445</v>
      </c>
      <c r="H53" s="6" t="s">
        <v>446</v>
      </c>
      <c r="I53" s="6" t="s">
        <v>361</v>
      </c>
      <c r="J53" s="6" t="s">
        <v>343</v>
      </c>
      <c r="K53" s="6" t="s">
        <v>444</v>
      </c>
      <c r="L53" s="6" t="s">
        <v>445</v>
      </c>
      <c r="M53" s="6" t="s">
        <v>446</v>
      </c>
      <c r="N53" s="6" t="s">
        <v>361</v>
      </c>
      <c r="O53" s="6" t="s">
        <v>343</v>
      </c>
      <c r="P53" s="6" t="s">
        <v>444</v>
      </c>
      <c r="Q53" s="6" t="s">
        <v>445</v>
      </c>
      <c r="R53" s="6" t="s">
        <v>446</v>
      </c>
      <c r="S53" s="6" t="s">
        <v>361</v>
      </c>
      <c r="T53" s="6" t="s">
        <v>343</v>
      </c>
      <c r="U53" s="6" t="s">
        <v>444</v>
      </c>
      <c r="V53" s="6" t="s">
        <v>445</v>
      </c>
      <c r="W53" s="6" t="s">
        <v>446</v>
      </c>
      <c r="X53" s="6" t="s">
        <v>361</v>
      </c>
      <c r="Y53" s="6" t="s">
        <v>343</v>
      </c>
    </row>
    <row r="54" spans="1:25" ht="15.75" customHeight="1" x14ac:dyDescent="0.25">
      <c r="A54" s="6" t="str">
        <f>C54&amp;IF(B54&lt;&gt;"","("&amp;B54&amp;") "," ")&amp;D54</f>
        <v>Mefenamic(Rhea) 500mg</v>
      </c>
      <c r="B54" s="6" t="s">
        <v>403</v>
      </c>
      <c r="C54" s="6" t="s">
        <v>447</v>
      </c>
      <c r="D54" s="6" t="s">
        <v>374</v>
      </c>
      <c r="E54" s="6" t="s">
        <v>343</v>
      </c>
    </row>
    <row r="55" spans="1:25" ht="15.75" customHeight="1" x14ac:dyDescent="0.25">
      <c r="A55" s="6" t="s">
        <v>448</v>
      </c>
      <c r="B55" s="6" t="s">
        <v>368</v>
      </c>
      <c r="C55" s="6" t="s">
        <v>447</v>
      </c>
      <c r="D55" s="6" t="s">
        <v>374</v>
      </c>
      <c r="E55" s="6" t="s">
        <v>343</v>
      </c>
    </row>
    <row r="56" spans="1:25" ht="15.75" customHeight="1" x14ac:dyDescent="0.25">
      <c r="A56" s="6" t="str">
        <f>C56&amp;IF(B56&lt;&gt;"","("&amp;B56&amp;") "," ")&amp;D56</f>
        <v>Melandy MR(Gliclazide ) 60mg</v>
      </c>
      <c r="B56" s="6" t="s">
        <v>411</v>
      </c>
      <c r="C56" s="6" t="s">
        <v>449</v>
      </c>
      <c r="D56" s="6" t="s">
        <v>413</v>
      </c>
      <c r="E56" s="6" t="s">
        <v>343</v>
      </c>
    </row>
    <row r="57" spans="1:25" ht="15.75" customHeight="1" x14ac:dyDescent="0.25">
      <c r="A57" s="6" t="str">
        <f>C57&amp;IF(B57&lt;&gt;"","("&amp;B57&amp;") "," ")&amp;D57</f>
        <v>Metformin(Neoform) 500mg</v>
      </c>
      <c r="B57" s="6" t="s">
        <v>450</v>
      </c>
      <c r="C57" s="6" t="s">
        <v>451</v>
      </c>
      <c r="D57" s="6" t="s">
        <v>374</v>
      </c>
      <c r="E57" s="6" t="s">
        <v>343</v>
      </c>
    </row>
    <row r="58" spans="1:25" ht="15.75" customHeight="1" x14ac:dyDescent="0.25">
      <c r="A58" s="6" t="str">
        <f>C58&amp;IF(B58&lt;&gt;"","("&amp;B58&amp;") "," ")&amp;D58</f>
        <v>Methformin Hydrochloride(Fornidd XR) 1g</v>
      </c>
      <c r="B58" s="6" t="s">
        <v>452</v>
      </c>
      <c r="C58" s="6" t="s">
        <v>453</v>
      </c>
      <c r="D58" s="6" t="s">
        <v>454</v>
      </c>
      <c r="E58" s="6" t="s">
        <v>343</v>
      </c>
    </row>
    <row r="59" spans="1:25" ht="15.75" customHeight="1" x14ac:dyDescent="0.25">
      <c r="A59" s="6" t="str">
        <f>C59&amp;IF(B59&lt;&gt;"","("&amp;B59&amp;") "," ")&amp;D59</f>
        <v>Methformin Hydrochloride(Glumet-XR) 500mg</v>
      </c>
      <c r="B59" s="6" t="s">
        <v>455</v>
      </c>
      <c r="C59" s="6" t="s">
        <v>453</v>
      </c>
      <c r="D59" s="6" t="s">
        <v>374</v>
      </c>
      <c r="E59" s="6" t="s">
        <v>343</v>
      </c>
    </row>
    <row r="60" spans="1:25" ht="15.75" customHeight="1" x14ac:dyDescent="0.25">
      <c r="A60" s="6" t="s">
        <v>51</v>
      </c>
      <c r="B60" s="6" t="s">
        <v>456</v>
      </c>
      <c r="C60" s="6" t="s">
        <v>457</v>
      </c>
      <c r="D60" s="6" t="s">
        <v>454</v>
      </c>
      <c r="E60" s="6" t="s">
        <v>343</v>
      </c>
    </row>
    <row r="61" spans="1:25" ht="15.75" customHeight="1" x14ac:dyDescent="0.25">
      <c r="A61" s="6" t="s">
        <v>458</v>
      </c>
      <c r="B61" s="6" t="s">
        <v>456</v>
      </c>
      <c r="C61" s="6" t="s">
        <v>457</v>
      </c>
      <c r="D61" s="6" t="s">
        <v>374</v>
      </c>
      <c r="E61" s="6" t="s">
        <v>343</v>
      </c>
    </row>
    <row r="62" spans="1:25" ht="15.75" customHeight="1" x14ac:dyDescent="0.25">
      <c r="A62" s="6" t="s">
        <v>459</v>
      </c>
      <c r="B62" s="6" t="s">
        <v>460</v>
      </c>
      <c r="C62" s="6" t="s">
        <v>457</v>
      </c>
      <c r="D62" s="6" t="s">
        <v>461</v>
      </c>
      <c r="E62" s="6" t="s">
        <v>343</v>
      </c>
    </row>
    <row r="63" spans="1:25" ht="15.75" customHeight="1" x14ac:dyDescent="0.25">
      <c r="A63" s="6" t="s">
        <v>462</v>
      </c>
      <c r="B63" s="6" t="s">
        <v>403</v>
      </c>
      <c r="C63" s="6" t="s">
        <v>457</v>
      </c>
      <c r="D63" s="6" t="s">
        <v>374</v>
      </c>
      <c r="E63" s="6" t="s">
        <v>343</v>
      </c>
    </row>
    <row r="64" spans="1:25" ht="15.75" customHeight="1" x14ac:dyDescent="0.25">
      <c r="A64" s="6" t="str">
        <f t="shared" ref="A64:A72" si="1">C64&amp;IF(B64&lt;&gt;"","("&amp;B64&amp;") "," ")&amp;D64</f>
        <v>Methol Camphor Eucalyptus Oil(Efficascent Relaxscent Oil) 500mg</v>
      </c>
      <c r="B64" s="6" t="s">
        <v>463</v>
      </c>
      <c r="C64" s="6" t="s">
        <v>464</v>
      </c>
      <c r="D64" s="6" t="s">
        <v>374</v>
      </c>
      <c r="E64" s="6" t="s">
        <v>343</v>
      </c>
    </row>
    <row r="65" spans="1:6" ht="15.75" customHeight="1" x14ac:dyDescent="0.25">
      <c r="A65" s="6" t="str">
        <f t="shared" si="1"/>
        <v>Methol Camphor Eucalyptus Oil(Efficascent) 6ml [Roll-On]</v>
      </c>
      <c r="B65" s="6" t="s">
        <v>465</v>
      </c>
      <c r="C65" s="6" t="s">
        <v>464</v>
      </c>
      <c r="D65" s="6" t="s">
        <v>466</v>
      </c>
      <c r="E65" s="6" t="s">
        <v>343</v>
      </c>
      <c r="F65" s="6" t="s">
        <v>467</v>
      </c>
    </row>
    <row r="66" spans="1:6" ht="15.75" customHeight="1" x14ac:dyDescent="0.25">
      <c r="A66" s="6" t="str">
        <f t="shared" si="1"/>
        <v>MONTELUKAST Sodium/LEVOCETIRIZINE Dihydrochloride(Co-Altria Ped) 5mg/5mg Chewable</v>
      </c>
      <c r="B66" s="6" t="s">
        <v>468</v>
      </c>
      <c r="C66" s="6" t="s">
        <v>469</v>
      </c>
      <c r="D66" s="6" t="s">
        <v>470</v>
      </c>
      <c r="E66" s="6" t="s">
        <v>343</v>
      </c>
    </row>
    <row r="67" spans="1:6" ht="15.75" customHeight="1" x14ac:dyDescent="0.25">
      <c r="A67" s="6" t="str">
        <f t="shared" si="1"/>
        <v>Multivitamin(Cecon) Plus Zinc</v>
      </c>
      <c r="B67" s="6" t="s">
        <v>471</v>
      </c>
      <c r="C67" s="6" t="s">
        <v>472</v>
      </c>
      <c r="D67" s="6" t="s">
        <v>473</v>
      </c>
      <c r="E67" s="6" t="s">
        <v>343</v>
      </c>
    </row>
    <row r="68" spans="1:6" ht="15.75" customHeight="1" x14ac:dyDescent="0.25">
      <c r="A68" s="6" t="str">
        <f t="shared" si="1"/>
        <v>Multivitamins with B Complex(Pharmaton Essential) 9 + 1</v>
      </c>
      <c r="B68" s="6" t="s">
        <v>474</v>
      </c>
      <c r="C68" s="6" t="s">
        <v>475</v>
      </c>
      <c r="D68" s="6" t="s">
        <v>476</v>
      </c>
      <c r="E68" s="6" t="s">
        <v>343</v>
      </c>
    </row>
    <row r="69" spans="1:6" ht="15.75" customHeight="1" x14ac:dyDescent="0.25">
      <c r="A69" s="6" t="str">
        <f t="shared" si="1"/>
        <v xml:space="preserve">Multivitamins(Enervon) </v>
      </c>
      <c r="B69" s="6" t="s">
        <v>477</v>
      </c>
      <c r="C69" s="6" t="s">
        <v>478</v>
      </c>
      <c r="E69" s="6" t="s">
        <v>343</v>
      </c>
    </row>
    <row r="70" spans="1:6" ht="15.75" customHeight="1" x14ac:dyDescent="0.25">
      <c r="A70" s="6" t="str">
        <f t="shared" si="1"/>
        <v>Multivitamins(Enervon) 30</v>
      </c>
      <c r="B70" s="6" t="s">
        <v>477</v>
      </c>
      <c r="C70" s="6" t="s">
        <v>478</v>
      </c>
      <c r="D70" s="6">
        <v>30</v>
      </c>
      <c r="E70" s="6" t="s">
        <v>343</v>
      </c>
    </row>
    <row r="71" spans="1:6" ht="15.75" customHeight="1" x14ac:dyDescent="0.25">
      <c r="A71" s="6" t="str">
        <f t="shared" si="1"/>
        <v>Sodium Ascorbate Zinc(ImmunPro) 500mg</v>
      </c>
      <c r="B71" s="6" t="s">
        <v>479</v>
      </c>
      <c r="C71" s="6" t="s">
        <v>480</v>
      </c>
      <c r="D71" s="6" t="s">
        <v>374</v>
      </c>
      <c r="E71" s="6" t="s">
        <v>343</v>
      </c>
    </row>
    <row r="72" spans="1:6" ht="15.75" customHeight="1" x14ac:dyDescent="0.25">
      <c r="A72" s="6" t="str">
        <f t="shared" si="1"/>
        <v>Nebulizer Kit Mask (Sanjo ) Pedia</v>
      </c>
      <c r="B72" s="6" t="s">
        <v>481</v>
      </c>
      <c r="C72" s="6" t="s">
        <v>482</v>
      </c>
      <c r="D72" s="6" t="s">
        <v>483</v>
      </c>
      <c r="E72" s="6" t="s">
        <v>343</v>
      </c>
    </row>
    <row r="73" spans="1:6" ht="15.75" customHeight="1" x14ac:dyDescent="0.25">
      <c r="A73" s="6" t="s">
        <v>484</v>
      </c>
      <c r="B73" s="6" t="s">
        <v>485</v>
      </c>
      <c r="C73" s="6" t="s">
        <v>486</v>
      </c>
      <c r="D73" s="6" t="s">
        <v>487</v>
      </c>
      <c r="E73" s="6" t="s">
        <v>343</v>
      </c>
    </row>
    <row r="74" spans="1:6" ht="15.75" customHeight="1" x14ac:dyDescent="0.25">
      <c r="A74" s="6" t="str">
        <f t="shared" ref="A74:A137" si="2">C74&amp;IF(B74&lt;&gt;"","("&amp;B74&amp;") "," ")&amp;D74</f>
        <v>Orlistat(Lesofat) 120mg</v>
      </c>
      <c r="B74" s="6" t="s">
        <v>488</v>
      </c>
      <c r="C74" s="6" t="s">
        <v>489</v>
      </c>
      <c r="D74" s="6" t="s">
        <v>490</v>
      </c>
      <c r="E74" s="6" t="s">
        <v>343</v>
      </c>
    </row>
    <row r="75" spans="1:6" ht="15.75" customHeight="1" x14ac:dyDescent="0.25">
      <c r="A75" s="6" t="str">
        <f t="shared" si="2"/>
        <v>Pantoprazole + Domperidone(Panto Plus) 40mg/30mg</v>
      </c>
      <c r="B75" s="6" t="s">
        <v>491</v>
      </c>
      <c r="C75" s="6" t="s">
        <v>492</v>
      </c>
      <c r="D75" s="6" t="s">
        <v>493</v>
      </c>
      <c r="E75" s="6" t="s">
        <v>343</v>
      </c>
    </row>
    <row r="76" spans="1:6" ht="15.75" customHeight="1" x14ac:dyDescent="0.25">
      <c r="A76" s="6" t="str">
        <f t="shared" si="2"/>
        <v>Paracetamol(Decolgen) Forte</v>
      </c>
      <c r="B76" s="6" t="s">
        <v>494</v>
      </c>
      <c r="C76" s="6" t="s">
        <v>495</v>
      </c>
      <c r="D76" s="6" t="s">
        <v>496</v>
      </c>
      <c r="E76" s="6" t="s">
        <v>343</v>
      </c>
    </row>
    <row r="77" spans="1:6" ht="15.75" customHeight="1" x14ac:dyDescent="0.25">
      <c r="A77" s="6" t="str">
        <f t="shared" si="2"/>
        <v>Pastilles(Scotts) 30Mg30</v>
      </c>
      <c r="B77" s="6" t="s">
        <v>497</v>
      </c>
      <c r="C77" s="6" t="s">
        <v>498</v>
      </c>
      <c r="D77" s="6" t="s">
        <v>499</v>
      </c>
      <c r="E77" s="6" t="s">
        <v>343</v>
      </c>
    </row>
    <row r="78" spans="1:6" ht="15.75" customHeight="1" x14ac:dyDescent="0.25">
      <c r="A78" s="6" t="str">
        <f t="shared" si="2"/>
        <v>Pastilles(Valda) Menthol</v>
      </c>
      <c r="B78" s="6" t="s">
        <v>500</v>
      </c>
      <c r="C78" s="6" t="s">
        <v>498</v>
      </c>
      <c r="D78" s="6" t="s">
        <v>501</v>
      </c>
      <c r="E78" s="6" t="s">
        <v>343</v>
      </c>
    </row>
    <row r="79" spans="1:6" ht="15.75" customHeight="1" x14ac:dyDescent="0.25">
      <c r="A79" s="6" t="str">
        <f t="shared" si="2"/>
        <v>Lemon Menthol Pastilles(Valda) 20g</v>
      </c>
      <c r="B79" s="6" t="s">
        <v>500</v>
      </c>
      <c r="C79" s="6" t="s">
        <v>502</v>
      </c>
      <c r="D79" s="6" t="s">
        <v>503</v>
      </c>
      <c r="E79" s="6" t="s">
        <v>343</v>
      </c>
    </row>
    <row r="80" spans="1:6" ht="15.75" customHeight="1" x14ac:dyDescent="0.25">
      <c r="A80" s="6" t="str">
        <f t="shared" si="2"/>
        <v>Petroleum Jelly(Apollo) 200g</v>
      </c>
      <c r="B80" s="6" t="s">
        <v>504</v>
      </c>
      <c r="C80" s="6" t="s">
        <v>505</v>
      </c>
      <c r="D80" s="6" t="s">
        <v>506</v>
      </c>
      <c r="E80" s="6" t="s">
        <v>343</v>
      </c>
    </row>
    <row r="81" spans="1:26" ht="15.75" customHeight="1" x14ac:dyDescent="0.25">
      <c r="A81" s="6" t="str">
        <f t="shared" si="2"/>
        <v>Plaster(GDN) Plastic</v>
      </c>
      <c r="B81" s="6" t="s">
        <v>507</v>
      </c>
      <c r="C81" s="6" t="s">
        <v>508</v>
      </c>
      <c r="D81" s="6" t="s">
        <v>509</v>
      </c>
      <c r="E81" s="6" t="s">
        <v>343</v>
      </c>
    </row>
    <row r="82" spans="1:26" ht="15.75" customHeight="1" x14ac:dyDescent="0.25">
      <c r="A82" s="6" t="str">
        <f t="shared" si="2"/>
        <v>Prednisolone(Pred 20) 20mg/5mL Syrup</v>
      </c>
      <c r="B82" s="6" t="s">
        <v>510</v>
      </c>
      <c r="C82" s="6" t="s">
        <v>511</v>
      </c>
      <c r="D82" s="6" t="s">
        <v>512</v>
      </c>
      <c r="E82" s="6" t="s">
        <v>343</v>
      </c>
    </row>
    <row r="83" spans="1:26" ht="15.75" customHeight="1" x14ac:dyDescent="0.25">
      <c r="A83" s="6" t="str">
        <f t="shared" si="2"/>
        <v>Psyllium Fiber Husk(C-Lium) Fibre</v>
      </c>
      <c r="B83" s="6" t="s">
        <v>513</v>
      </c>
      <c r="C83" s="6" t="s">
        <v>514</v>
      </c>
      <c r="D83" s="6" t="s">
        <v>515</v>
      </c>
      <c r="E83" s="6" t="s">
        <v>343</v>
      </c>
    </row>
    <row r="84" spans="1:26" ht="15.75" customHeight="1" x14ac:dyDescent="0.25">
      <c r="A84" s="6" t="str">
        <f t="shared" si="2"/>
        <v>Racecadotril(Hidrasec) 100mg</v>
      </c>
      <c r="B84" s="6" t="s">
        <v>516</v>
      </c>
      <c r="C84" s="6" t="s">
        <v>517</v>
      </c>
      <c r="D84" s="6" t="s">
        <v>361</v>
      </c>
      <c r="E84" s="6" t="s">
        <v>343</v>
      </c>
    </row>
    <row r="85" spans="1:26" ht="15.75" customHeight="1" x14ac:dyDescent="0.25">
      <c r="A85" s="6" t="str">
        <f t="shared" si="2"/>
        <v>Refreshing Oil(Vaporin) 10ml</v>
      </c>
      <c r="B85" s="6" t="s">
        <v>518</v>
      </c>
      <c r="C85" s="6" t="s">
        <v>519</v>
      </c>
      <c r="D85" s="6" t="s">
        <v>520</v>
      </c>
      <c r="E85" s="6" t="s">
        <v>343</v>
      </c>
    </row>
    <row r="86" spans="1:26" ht="15.75" customHeight="1" x14ac:dyDescent="0.25">
      <c r="A86" s="6" t="str">
        <f t="shared" si="2"/>
        <v>Rosuvastatin(Rovista) 5mg</v>
      </c>
      <c r="B86" s="6" t="s">
        <v>521</v>
      </c>
      <c r="C86" s="6" t="s">
        <v>357</v>
      </c>
      <c r="D86" s="6" t="s">
        <v>358</v>
      </c>
      <c r="E86" s="6" t="s">
        <v>343</v>
      </c>
    </row>
    <row r="87" spans="1:26" ht="15.75" customHeight="1" x14ac:dyDescent="0.25">
      <c r="A87" s="6" t="str">
        <f t="shared" si="2"/>
        <v>Rosuvastatin(Unilab Inc. - Roswin) 5mg</v>
      </c>
      <c r="B87" s="6" t="s">
        <v>522</v>
      </c>
      <c r="C87" s="6" t="s">
        <v>357</v>
      </c>
      <c r="D87" s="6" t="s">
        <v>358</v>
      </c>
      <c r="E87" s="6" t="s">
        <v>343</v>
      </c>
    </row>
    <row r="88" spans="1:26" ht="15.75" customHeight="1" x14ac:dyDescent="0.25">
      <c r="A88" s="6" t="str">
        <f t="shared" si="2"/>
        <v>Sabutamol(Ventolin) Nebules 2.5ml</v>
      </c>
      <c r="B88" s="6" t="s">
        <v>523</v>
      </c>
      <c r="C88" s="6" t="s">
        <v>524</v>
      </c>
      <c r="D88" s="6" t="s">
        <v>525</v>
      </c>
      <c r="E88" s="6" t="s">
        <v>343</v>
      </c>
    </row>
    <row r="89" spans="1:26" ht="15.75" customHeight="1" x14ac:dyDescent="0.25">
      <c r="A89" s="6" t="str">
        <f t="shared" si="2"/>
        <v>Salmeterol + Fluticasone propionate(Seretide ) 25/125 mg</v>
      </c>
      <c r="B89" s="6" t="s">
        <v>526</v>
      </c>
      <c r="C89" s="6" t="s">
        <v>527</v>
      </c>
      <c r="D89" s="6" t="s">
        <v>528</v>
      </c>
      <c r="E89" s="6" t="s">
        <v>343</v>
      </c>
    </row>
    <row r="90" spans="1:26" ht="15.75" customHeight="1" x14ac:dyDescent="0.25">
      <c r="A90" s="7" t="str">
        <f t="shared" si="2"/>
        <v>Salmeterol + Fluticasone propionate(Seretide ) 25/50 mg</v>
      </c>
      <c r="B90" s="7" t="s">
        <v>526</v>
      </c>
      <c r="C90" s="7" t="s">
        <v>527</v>
      </c>
      <c r="D90" s="7" t="s">
        <v>529</v>
      </c>
      <c r="E90" s="7" t="s">
        <v>343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6" ht="15.75" customHeight="1" x14ac:dyDescent="0.25">
      <c r="A91" s="6" t="str">
        <f t="shared" si="2"/>
        <v>Sitagliptin Metformin(Velmetia) 50mg/1g Film Coated</v>
      </c>
      <c r="B91" s="6" t="s">
        <v>530</v>
      </c>
      <c r="C91" s="6" t="s">
        <v>531</v>
      </c>
      <c r="D91" s="6" t="s">
        <v>532</v>
      </c>
      <c r="E91" s="6" t="s">
        <v>343</v>
      </c>
    </row>
    <row r="92" spans="1:26" ht="15.75" customHeight="1" x14ac:dyDescent="0.25">
      <c r="A92" s="6" t="str">
        <f t="shared" si="2"/>
        <v>Spironolactone(Spire) 50mg</v>
      </c>
      <c r="B92" s="6" t="s">
        <v>533</v>
      </c>
      <c r="C92" s="6" t="s">
        <v>362</v>
      </c>
      <c r="D92" s="6" t="s">
        <v>366</v>
      </c>
      <c r="E92" s="6" t="s">
        <v>343</v>
      </c>
    </row>
    <row r="93" spans="1:26" ht="15.75" customHeight="1" x14ac:dyDescent="0.25">
      <c r="A93" s="6" t="str">
        <f t="shared" si="2"/>
        <v>Spirulina(Blue Eco Farm) Powder 90grams</v>
      </c>
      <c r="B93" s="6" t="s">
        <v>534</v>
      </c>
      <c r="C93" s="6" t="s">
        <v>535</v>
      </c>
      <c r="D93" s="6" t="s">
        <v>536</v>
      </c>
      <c r="E93" s="6" t="s">
        <v>343</v>
      </c>
    </row>
    <row r="94" spans="1:26" ht="15.75" customHeight="1" x14ac:dyDescent="0.25">
      <c r="A94" s="6" t="str">
        <f t="shared" si="2"/>
        <v>Spore Probiotic(Erceflora) 5ml</v>
      </c>
      <c r="B94" s="6" t="s">
        <v>537</v>
      </c>
      <c r="C94" s="6" t="s">
        <v>538</v>
      </c>
      <c r="D94" s="6" t="s">
        <v>539</v>
      </c>
      <c r="E94" s="6" t="s">
        <v>343</v>
      </c>
    </row>
    <row r="95" spans="1:26" ht="15.75" customHeight="1" x14ac:dyDescent="0.25">
      <c r="A95" s="6" t="str">
        <f t="shared" si="2"/>
        <v>Syrup(Tempra) 120mg/5ml 60ml</v>
      </c>
      <c r="B95" s="6" t="s">
        <v>540</v>
      </c>
      <c r="C95" s="6" t="s">
        <v>541</v>
      </c>
      <c r="D95" s="6" t="s">
        <v>542</v>
      </c>
      <c r="E95" s="6" t="s">
        <v>343</v>
      </c>
      <c r="Z95" s="7"/>
    </row>
    <row r="96" spans="1:26" ht="15.75" customHeight="1" x14ac:dyDescent="0.25">
      <c r="A96" s="6" t="str">
        <f t="shared" si="2"/>
        <v>Trimetazidine Dihydrochloride(Vastarel OD) 80mg</v>
      </c>
      <c r="B96" s="6" t="s">
        <v>543</v>
      </c>
      <c r="C96" s="6" t="s">
        <v>544</v>
      </c>
      <c r="D96" s="6" t="s">
        <v>377</v>
      </c>
      <c r="E96" s="6" t="s">
        <v>343</v>
      </c>
      <c r="Z96" s="7"/>
    </row>
    <row r="97" spans="1:25" ht="15.75" customHeight="1" x14ac:dyDescent="0.25">
      <c r="A97" s="6" t="str">
        <f t="shared" si="2"/>
        <v>Vymada(Sacubitril, Valsartan) 100mg</v>
      </c>
      <c r="B97" s="7" t="s">
        <v>421</v>
      </c>
      <c r="C97" s="7" t="s">
        <v>545</v>
      </c>
      <c r="D97" s="7" t="s">
        <v>361</v>
      </c>
      <c r="E97" s="7" t="s">
        <v>343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customHeight="1" x14ac:dyDescent="0.25">
      <c r="A98" s="6" t="str">
        <f t="shared" si="2"/>
        <v>Vymada(Sacubitril, Valsartan) 200mg</v>
      </c>
      <c r="B98" s="7" t="s">
        <v>421</v>
      </c>
      <c r="C98" s="7" t="s">
        <v>545</v>
      </c>
      <c r="D98" s="6" t="s">
        <v>423</v>
      </c>
      <c r="E98" s="7" t="s">
        <v>343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customHeight="1" x14ac:dyDescent="0.25">
      <c r="A99" s="6" t="str">
        <f t="shared" si="2"/>
        <v>Vymada(Sacubitril, Valsartan) 200mg</v>
      </c>
      <c r="B99" s="6" t="s">
        <v>421</v>
      </c>
      <c r="C99" s="6" t="s">
        <v>545</v>
      </c>
      <c r="D99" s="6" t="s">
        <v>423</v>
      </c>
      <c r="E99" s="6" t="s">
        <v>343</v>
      </c>
    </row>
    <row r="100" spans="1:25" ht="15.75" customHeight="1" x14ac:dyDescent="0.25">
      <c r="A100" s="6" t="str">
        <f t="shared" si="2"/>
        <v>Zeltine-MR(Gliclazide ) 60mg</v>
      </c>
      <c r="B100" s="6" t="s">
        <v>411</v>
      </c>
      <c r="C100" s="6" t="s">
        <v>546</v>
      </c>
      <c r="D100" s="6" t="s">
        <v>413</v>
      </c>
      <c r="E100" s="6" t="s">
        <v>343</v>
      </c>
    </row>
    <row r="101" spans="1:25" ht="15.75" customHeight="1" x14ac:dyDescent="0.25">
      <c r="A101" s="6" t="str">
        <f t="shared" si="2"/>
        <v xml:space="preserve">Pill Cutter </v>
      </c>
      <c r="C101" s="6" t="s">
        <v>547</v>
      </c>
      <c r="E101" s="6" t="s">
        <v>343</v>
      </c>
    </row>
    <row r="102" spans="1:25" ht="15.75" customHeight="1" x14ac:dyDescent="0.25">
      <c r="A102" s="6" t="str">
        <f t="shared" si="2"/>
        <v>Electric Fan(Union) Industrial 18"</v>
      </c>
      <c r="B102" s="6" t="s">
        <v>548</v>
      </c>
      <c r="C102" s="6" t="s">
        <v>549</v>
      </c>
      <c r="D102" s="6" t="s">
        <v>550</v>
      </c>
      <c r="E102" s="6" t="s">
        <v>351</v>
      </c>
    </row>
    <row r="103" spans="1:25" ht="15.75" customHeight="1" x14ac:dyDescent="0.25">
      <c r="A103" s="6" t="str">
        <f t="shared" si="2"/>
        <v xml:space="preserve"> (Yakult) 80ml</v>
      </c>
      <c r="B103" s="6" t="s">
        <v>551</v>
      </c>
      <c r="C103" s="6" t="s">
        <v>18</v>
      </c>
      <c r="D103" s="6" t="s">
        <v>552</v>
      </c>
      <c r="E103" s="6" t="s">
        <v>344</v>
      </c>
    </row>
    <row r="104" spans="1:25" ht="15.75" customHeight="1" x14ac:dyDescent="0.25">
      <c r="A104" s="6" t="str">
        <f t="shared" si="2"/>
        <v>3in1 Mixes(Family Choice) 250g</v>
      </c>
      <c r="B104" s="6" t="s">
        <v>553</v>
      </c>
      <c r="C104" s="6" t="s">
        <v>554</v>
      </c>
      <c r="D104" s="6" t="s">
        <v>555</v>
      </c>
      <c r="E104" s="6" t="s">
        <v>344</v>
      </c>
    </row>
    <row r="105" spans="1:25" ht="15.75" customHeight="1" x14ac:dyDescent="0.25">
      <c r="A105" s="6" t="str">
        <f>C105&amp;IF(B105&lt;&gt;"","("&amp;B105&amp;") "," ")&amp;D105</f>
        <v>Biscuits(Nissin) Eggnog 130g</v>
      </c>
      <c r="B105" s="6" t="s">
        <v>556</v>
      </c>
      <c r="C105" s="6" t="s">
        <v>557</v>
      </c>
      <c r="D105" s="6" t="s">
        <v>558</v>
      </c>
      <c r="E105" s="6" t="s">
        <v>345</v>
      </c>
    </row>
    <row r="106" spans="1:25" ht="15.75" customHeight="1" x14ac:dyDescent="0.25">
      <c r="A106" s="6" t="str">
        <f t="shared" si="2"/>
        <v>Biscuits(Malkist) Olezz Cheese Choco 100g</v>
      </c>
      <c r="B106" s="6" t="s">
        <v>559</v>
      </c>
      <c r="C106" s="6" t="s">
        <v>557</v>
      </c>
      <c r="D106" s="6" t="s">
        <v>560</v>
      </c>
      <c r="E106" s="6" t="s">
        <v>345</v>
      </c>
    </row>
    <row r="107" spans="1:25" ht="15.75" customHeight="1" x14ac:dyDescent="0.25">
      <c r="A107" s="6" t="str">
        <f t="shared" si="2"/>
        <v>Biscuits(Marky's) Pacencia Biscuit 210g</v>
      </c>
      <c r="B107" s="6" t="s">
        <v>561</v>
      </c>
      <c r="C107" s="6" t="s">
        <v>557</v>
      </c>
      <c r="D107" s="6" t="s">
        <v>562</v>
      </c>
      <c r="E107" s="6" t="s">
        <v>345</v>
      </c>
    </row>
    <row r="108" spans="1:25" ht="15.75" customHeight="1" x14ac:dyDescent="0.25">
      <c r="A108" s="7" t="str">
        <f t="shared" si="2"/>
        <v>Biscuits(Skyflakes) 200g HPack</v>
      </c>
      <c r="B108" s="7" t="s">
        <v>563</v>
      </c>
      <c r="C108" s="7" t="s">
        <v>557</v>
      </c>
      <c r="D108" s="7" t="s">
        <v>564</v>
      </c>
      <c r="E108" s="6" t="s">
        <v>345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customHeight="1" x14ac:dyDescent="0.25">
      <c r="A109" s="7" t="str">
        <f t="shared" si="2"/>
        <v>Biscuits(Skyflakes) 25g</v>
      </c>
      <c r="B109" s="7" t="s">
        <v>563</v>
      </c>
      <c r="C109" s="7" t="s">
        <v>557</v>
      </c>
      <c r="D109" s="7" t="s">
        <v>565</v>
      </c>
      <c r="E109" s="6" t="s">
        <v>345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customHeight="1" x14ac:dyDescent="0.25">
      <c r="A110" s="6" t="str">
        <f t="shared" si="2"/>
        <v>Chocholate Biscuits(Presto Cream) 30g</v>
      </c>
      <c r="B110" s="6" t="s">
        <v>566</v>
      </c>
      <c r="C110" s="6" t="s">
        <v>567</v>
      </c>
      <c r="D110" s="6" t="s">
        <v>568</v>
      </c>
      <c r="E110" s="6" t="s">
        <v>345</v>
      </c>
      <c r="J110" s="6" t="str">
        <f>A110</f>
        <v>Chocholate Biscuits(Presto Cream) 30g</v>
      </c>
    </row>
    <row r="111" spans="1:25" ht="15.75" customHeight="1" x14ac:dyDescent="0.25">
      <c r="A111" s="7" t="str">
        <f>C111&amp;IF(B111&lt;&gt;"","("&amp;B111&amp;") "," ")&amp;D111</f>
        <v>Chocholate Peanut Biscuits(Presto Cream) 30g</v>
      </c>
      <c r="B111" s="6" t="s">
        <v>566</v>
      </c>
      <c r="C111" s="6" t="s">
        <v>569</v>
      </c>
      <c r="D111" s="6" t="s">
        <v>568</v>
      </c>
      <c r="E111" s="6" t="s">
        <v>345</v>
      </c>
      <c r="F111" s="7"/>
      <c r="G111" s="7"/>
      <c r="H111" s="7"/>
      <c r="I111" s="7"/>
      <c r="J111" s="6" t="str">
        <f t="shared" ref="J111:J126" si="3">A111</f>
        <v>Chocholate Peanut Biscuits(Presto Cream) 30g</v>
      </c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customHeight="1" x14ac:dyDescent="0.25">
      <c r="A112" s="6" t="str">
        <f t="shared" si="2"/>
        <v>Choco Fudge Cream-Filled Chocolate Sandwich Biscuits(Cream-o) 30g</v>
      </c>
      <c r="B112" s="6" t="s">
        <v>570</v>
      </c>
      <c r="C112" s="6" t="s">
        <v>571</v>
      </c>
      <c r="D112" s="6" t="s">
        <v>568</v>
      </c>
      <c r="E112" s="6" t="s">
        <v>345</v>
      </c>
      <c r="J112" s="6" t="str">
        <f t="shared" si="3"/>
        <v>Choco Fudge Cream-Filled Chocolate Sandwich Biscuits(Cream-o) 30g</v>
      </c>
    </row>
    <row r="113" spans="1:25" ht="15.75" customHeight="1" x14ac:dyDescent="0.25">
      <c r="A113" s="7" t="str">
        <f t="shared" si="2"/>
        <v>Strawberry's Cream Biscuits(Jack 'n Jill Drewberry) 33g</v>
      </c>
      <c r="B113" s="7" t="s">
        <v>572</v>
      </c>
      <c r="C113" s="7" t="s">
        <v>573</v>
      </c>
      <c r="D113" s="7" t="s">
        <v>574</v>
      </c>
      <c r="E113" s="6" t="s">
        <v>345</v>
      </c>
      <c r="F113" s="7"/>
      <c r="G113" s="7"/>
      <c r="H113" s="7"/>
      <c r="I113" s="7"/>
      <c r="J113" s="6" t="str">
        <f t="shared" si="3"/>
        <v>Strawberry's Cream Biscuits(Jack 'n Jill Drewberry) 33g</v>
      </c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 x14ac:dyDescent="0.25">
      <c r="A114" s="7" t="str">
        <f t="shared" si="2"/>
        <v>Drewberries'n Cream Biscuits(Jack 'n Jill Drewberry) 33g</v>
      </c>
      <c r="B114" s="7" t="s">
        <v>572</v>
      </c>
      <c r="C114" s="7" t="s">
        <v>575</v>
      </c>
      <c r="D114" s="7" t="s">
        <v>574</v>
      </c>
      <c r="E114" s="6" t="s">
        <v>345</v>
      </c>
      <c r="F114" s="7"/>
      <c r="G114" s="7"/>
      <c r="H114" s="7"/>
      <c r="I114" s="7"/>
      <c r="J114" s="6" t="str">
        <f t="shared" si="3"/>
        <v>Drewberries'n Cream Biscuits(Jack 'n Jill Drewberry) 33g</v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 x14ac:dyDescent="0.25">
      <c r="A115" s="7" t="str">
        <f t="shared" si="2"/>
        <v>Crackers(Rebisco) 33gx10s</v>
      </c>
      <c r="B115" s="7" t="s">
        <v>576</v>
      </c>
      <c r="C115" s="7" t="s">
        <v>577</v>
      </c>
      <c r="D115" s="7" t="s">
        <v>578</v>
      </c>
      <c r="E115" s="6" t="s">
        <v>345</v>
      </c>
      <c r="F115" s="7"/>
      <c r="G115" s="7"/>
      <c r="H115" s="7"/>
      <c r="I115" s="7"/>
      <c r="J115" s="6" t="str">
        <f t="shared" si="3"/>
        <v>Crackers(Rebisco) 33gx10s</v>
      </c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 x14ac:dyDescent="0.25">
      <c r="A116" s="6" t="str">
        <f t="shared" si="2"/>
        <v>Bread  French Bread</v>
      </c>
      <c r="C116" s="6" t="s">
        <v>579</v>
      </c>
      <c r="D116" s="6" t="s">
        <v>580</v>
      </c>
      <c r="E116" s="6" t="s">
        <v>344</v>
      </c>
      <c r="J116" s="6" t="str">
        <f t="shared" si="3"/>
        <v>Bread  French Bread</v>
      </c>
    </row>
    <row r="117" spans="1:25" ht="15.75" customHeight="1" x14ac:dyDescent="0.25">
      <c r="A117" s="6" t="str">
        <f t="shared" si="2"/>
        <v xml:space="preserve">Bread (Julies) Sliced Bread Regular </v>
      </c>
      <c r="B117" s="6" t="s">
        <v>581</v>
      </c>
      <c r="C117" s="6" t="s">
        <v>579</v>
      </c>
      <c r="D117" s="6" t="s">
        <v>582</v>
      </c>
      <c r="E117" s="6" t="s">
        <v>344</v>
      </c>
      <c r="J117" s="6" t="str">
        <f t="shared" si="3"/>
        <v xml:space="preserve">Bread (Julies) Sliced Bread Regular </v>
      </c>
    </row>
    <row r="118" spans="1:25" ht="15.75" customHeight="1" x14ac:dyDescent="0.25">
      <c r="A118" s="6" t="str">
        <f t="shared" si="2"/>
        <v>Century Egg 6 pcs pack</v>
      </c>
      <c r="C118" s="6" t="s">
        <v>583</v>
      </c>
      <c r="D118" s="6" t="s">
        <v>584</v>
      </c>
      <c r="E118" s="6" t="s">
        <v>344</v>
      </c>
      <c r="J118" s="6" t="str">
        <f t="shared" si="3"/>
        <v>Century Egg 6 pcs pack</v>
      </c>
    </row>
    <row r="119" spans="1:25" ht="15.75" customHeight="1" x14ac:dyDescent="0.25">
      <c r="A119" s="6" t="str">
        <f t="shared" si="2"/>
        <v xml:space="preserve">Chop Suey </v>
      </c>
      <c r="C119" s="6" t="s">
        <v>585</v>
      </c>
      <c r="E119" s="6" t="s">
        <v>344</v>
      </c>
      <c r="J119" s="6" t="str">
        <f t="shared" si="3"/>
        <v xml:space="preserve">Chop Suey </v>
      </c>
    </row>
    <row r="120" spans="1:25" ht="15.75" customHeight="1" x14ac:dyDescent="0.25">
      <c r="A120" s="7" t="str">
        <f t="shared" si="2"/>
        <v>Cocoa Powder(Milo) 24g</v>
      </c>
      <c r="B120" s="7" t="s">
        <v>586</v>
      </c>
      <c r="C120" s="6" t="s">
        <v>587</v>
      </c>
      <c r="D120" s="7" t="s">
        <v>588</v>
      </c>
      <c r="E120" s="7" t="s">
        <v>344</v>
      </c>
      <c r="F120" s="7"/>
      <c r="G120" s="7"/>
      <c r="H120" s="7"/>
      <c r="I120" s="7"/>
      <c r="J120" s="6" t="str">
        <f t="shared" si="3"/>
        <v>Cocoa Powder(Milo) 24g</v>
      </c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customHeight="1" x14ac:dyDescent="0.25">
      <c r="A121" s="7" t="str">
        <f t="shared" si="2"/>
        <v>Cocoa Powder(Milo) Active Go 300g</v>
      </c>
      <c r="B121" s="7" t="s">
        <v>586</v>
      </c>
      <c r="C121" s="6" t="s">
        <v>587</v>
      </c>
      <c r="D121" s="7" t="s">
        <v>589</v>
      </c>
      <c r="E121" s="7" t="s">
        <v>344</v>
      </c>
      <c r="F121" s="7"/>
      <c r="G121" s="7"/>
      <c r="H121" s="7"/>
      <c r="I121" s="7"/>
      <c r="J121" s="6" t="str">
        <f t="shared" si="3"/>
        <v>Cocoa Powder(Milo) Active Go 300g</v>
      </c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customHeight="1" x14ac:dyDescent="0.25">
      <c r="A122" s="6" t="str">
        <f t="shared" si="2"/>
        <v>Coffee [3in1](Kopiko) Black 30g</v>
      </c>
      <c r="B122" s="6" t="s">
        <v>590</v>
      </c>
      <c r="C122" s="6" t="s">
        <v>591</v>
      </c>
      <c r="D122" s="6" t="s">
        <v>592</v>
      </c>
      <c r="E122" s="6" t="s">
        <v>344</v>
      </c>
      <c r="J122" s="6" t="str">
        <f t="shared" si="3"/>
        <v>Coffee [3in1](Kopiko) Black 30g</v>
      </c>
    </row>
    <row r="123" spans="1:25" ht="15.75" customHeight="1" x14ac:dyDescent="0.25">
      <c r="A123" s="6" t="str">
        <f t="shared" si="2"/>
        <v>Coffee [3in1](Kopiko) Cappuccino 25g</v>
      </c>
      <c r="B123" s="6" t="s">
        <v>590</v>
      </c>
      <c r="C123" s="6" t="s">
        <v>591</v>
      </c>
      <c r="D123" s="6" t="s">
        <v>593</v>
      </c>
      <c r="E123" s="6" t="s">
        <v>344</v>
      </c>
      <c r="J123" s="6" t="str">
        <f t="shared" si="3"/>
        <v>Coffee [3in1](Kopiko) Cappuccino 25g</v>
      </c>
    </row>
    <row r="124" spans="1:25" ht="15.75" customHeight="1" x14ac:dyDescent="0.25">
      <c r="A124" s="6" t="str">
        <f t="shared" si="2"/>
        <v>Coffee [3in1](Nescafe) Original 26g</v>
      </c>
      <c r="B124" s="6" t="s">
        <v>594</v>
      </c>
      <c r="C124" s="6" t="s">
        <v>591</v>
      </c>
      <c r="D124" s="6" t="s">
        <v>595</v>
      </c>
      <c r="E124" s="6" t="s">
        <v>344</v>
      </c>
      <c r="J124" s="6" t="str">
        <f t="shared" si="3"/>
        <v>Coffee [3in1](Nescafe) Original 26g</v>
      </c>
    </row>
    <row r="125" spans="1:25" ht="15.75" customHeight="1" x14ac:dyDescent="0.25">
      <c r="A125" s="6" t="str">
        <f t="shared" si="2"/>
        <v>Dish Adobo Chicken</v>
      </c>
      <c r="C125" s="6" t="s">
        <v>596</v>
      </c>
      <c r="D125" s="6" t="s">
        <v>597</v>
      </c>
      <c r="E125" s="6" t="s">
        <v>344</v>
      </c>
      <c r="J125" s="6" t="str">
        <f t="shared" si="3"/>
        <v>Dish Adobo Chicken</v>
      </c>
    </row>
    <row r="126" spans="1:25" ht="15.75" customHeight="1" x14ac:dyDescent="0.25">
      <c r="A126" s="6" t="str">
        <f t="shared" si="2"/>
        <v>Dish Bam-i</v>
      </c>
      <c r="C126" s="6" t="s">
        <v>596</v>
      </c>
      <c r="D126" s="6" t="s">
        <v>598</v>
      </c>
      <c r="E126" s="6" t="s">
        <v>344</v>
      </c>
      <c r="J126" s="6" t="str">
        <f t="shared" si="3"/>
        <v>Dish Bam-i</v>
      </c>
    </row>
    <row r="127" spans="1:25" ht="15.75" customHeight="1" x14ac:dyDescent="0.25">
      <c r="A127" s="6" t="str">
        <f t="shared" si="2"/>
        <v>Dish Batong [String Beans]</v>
      </c>
      <c r="C127" s="6" t="s">
        <v>596</v>
      </c>
      <c r="D127" s="6" t="s">
        <v>599</v>
      </c>
      <c r="E127" s="6" t="s">
        <v>344</v>
      </c>
    </row>
    <row r="128" spans="1:25" ht="15.75" customHeight="1" x14ac:dyDescent="0.25">
      <c r="A128" s="7" t="str">
        <f t="shared" si="2"/>
        <v>Dish Bihon</v>
      </c>
      <c r="B128" s="7"/>
      <c r="C128" s="7" t="s">
        <v>596</v>
      </c>
      <c r="D128" s="7" t="s">
        <v>600</v>
      </c>
      <c r="E128" s="7" t="s">
        <v>344</v>
      </c>
      <c r="F128" s="7"/>
      <c r="G128" s="7" t="s">
        <v>596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6" ht="15.75" customHeight="1" x14ac:dyDescent="0.25">
      <c r="A129" s="6" t="str">
        <f t="shared" si="2"/>
        <v>Dish Buffalo Chicken</v>
      </c>
      <c r="C129" s="6" t="s">
        <v>596</v>
      </c>
      <c r="D129" s="6" t="s">
        <v>601</v>
      </c>
      <c r="E129" s="6" t="s">
        <v>344</v>
      </c>
      <c r="G129" s="6" t="s">
        <v>596</v>
      </c>
    </row>
    <row r="130" spans="1:26" ht="15.75" customHeight="1" x14ac:dyDescent="0.25">
      <c r="A130" s="6" t="str">
        <f t="shared" si="2"/>
        <v>Dish Burger Steak</v>
      </c>
      <c r="C130" s="6" t="s">
        <v>596</v>
      </c>
      <c r="D130" s="6" t="s">
        <v>602</v>
      </c>
      <c r="E130" s="6" t="s">
        <v>344</v>
      </c>
    </row>
    <row r="131" spans="1:26" ht="15.75" customHeight="1" x14ac:dyDescent="0.25">
      <c r="A131" s="6" t="str">
        <f t="shared" si="2"/>
        <v>Dish Dinuguan</v>
      </c>
      <c r="C131" s="6" t="s">
        <v>596</v>
      </c>
      <c r="D131" s="6" t="s">
        <v>603</v>
      </c>
      <c r="E131" s="6" t="s">
        <v>344</v>
      </c>
      <c r="G131" s="6" t="s">
        <v>596</v>
      </c>
    </row>
    <row r="132" spans="1:26" ht="15.75" customHeight="1" x14ac:dyDescent="0.25">
      <c r="A132" s="6" t="str">
        <f t="shared" si="2"/>
        <v>Dish Fried Chicken</v>
      </c>
      <c r="C132" s="6" t="s">
        <v>596</v>
      </c>
      <c r="D132" s="6" t="s">
        <v>604</v>
      </c>
      <c r="E132" s="6" t="s">
        <v>344</v>
      </c>
      <c r="Z132" s="7"/>
    </row>
    <row r="133" spans="1:26" ht="15.75" customHeight="1" x14ac:dyDescent="0.25">
      <c r="A133" s="6" t="str">
        <f t="shared" si="2"/>
        <v>Dish Fried Chicken Internals</v>
      </c>
      <c r="C133" s="6" t="s">
        <v>596</v>
      </c>
      <c r="D133" s="6" t="s">
        <v>605</v>
      </c>
      <c r="E133" s="6" t="s">
        <v>344</v>
      </c>
      <c r="Z133" s="7"/>
    </row>
    <row r="134" spans="1:26" ht="15.75" customHeight="1" x14ac:dyDescent="0.25">
      <c r="A134" s="6" t="str">
        <f t="shared" si="2"/>
        <v>Dish Mongoes Soup</v>
      </c>
      <c r="C134" s="6" t="s">
        <v>596</v>
      </c>
      <c r="D134" s="6" t="s">
        <v>606</v>
      </c>
      <c r="E134" s="6" t="s">
        <v>344</v>
      </c>
      <c r="G134" s="6" t="s">
        <v>596</v>
      </c>
    </row>
    <row r="135" spans="1:26" ht="15.75" customHeight="1" x14ac:dyDescent="0.25">
      <c r="A135" s="6" t="str">
        <f t="shared" si="2"/>
        <v>Dish Paklai</v>
      </c>
      <c r="C135" s="6" t="s">
        <v>596</v>
      </c>
      <c r="D135" s="6" t="s">
        <v>607</v>
      </c>
      <c r="E135" s="6" t="s">
        <v>344</v>
      </c>
      <c r="G135" s="6" t="s">
        <v>596</v>
      </c>
    </row>
    <row r="136" spans="1:26" ht="15.75" customHeight="1" x14ac:dyDescent="0.25">
      <c r="A136" s="6" t="str">
        <f t="shared" si="2"/>
        <v>Dish Pansit</v>
      </c>
      <c r="C136" s="6" t="s">
        <v>596</v>
      </c>
      <c r="D136" s="6" t="s">
        <v>608</v>
      </c>
      <c r="E136" s="6" t="s">
        <v>344</v>
      </c>
      <c r="G136" s="6" t="s">
        <v>596</v>
      </c>
    </row>
    <row r="137" spans="1:26" ht="15.75" customHeight="1" x14ac:dyDescent="0.25">
      <c r="A137" s="6" t="str">
        <f t="shared" si="2"/>
        <v>Dish Pork Chop</v>
      </c>
      <c r="C137" s="6" t="s">
        <v>596</v>
      </c>
      <c r="D137" s="6" t="s">
        <v>609</v>
      </c>
      <c r="E137" s="6" t="s">
        <v>344</v>
      </c>
    </row>
    <row r="138" spans="1:26" ht="15.75" customHeight="1" x14ac:dyDescent="0.25">
      <c r="A138" s="6" t="str">
        <f t="shared" ref="A138:A174" si="4">C138&amp;IF(B138&lt;&gt;"","("&amp;B138&amp;") "," ")&amp;D138</f>
        <v>Dish Pork Soup</v>
      </c>
      <c r="C138" s="6" t="s">
        <v>596</v>
      </c>
      <c r="D138" s="6" t="s">
        <v>610</v>
      </c>
      <c r="E138" s="6" t="s">
        <v>344</v>
      </c>
    </row>
    <row r="139" spans="1:26" ht="15.75" customHeight="1" x14ac:dyDescent="0.25">
      <c r="A139" s="6" t="str">
        <f t="shared" si="4"/>
        <v>Dish Hangging Rice 5s</v>
      </c>
      <c r="C139" s="6" t="s">
        <v>596</v>
      </c>
      <c r="D139" s="6" t="s">
        <v>611</v>
      </c>
      <c r="E139" s="6" t="s">
        <v>344</v>
      </c>
      <c r="G139" s="6" t="s">
        <v>596</v>
      </c>
    </row>
    <row r="140" spans="1:26" ht="15.75" customHeight="1" x14ac:dyDescent="0.25">
      <c r="A140" s="6" t="str">
        <f t="shared" si="4"/>
        <v>Dish Rice</v>
      </c>
      <c r="C140" s="6" t="s">
        <v>596</v>
      </c>
      <c r="D140" s="6" t="s">
        <v>612</v>
      </c>
      <c r="E140" s="6" t="s">
        <v>344</v>
      </c>
      <c r="G140" s="6" t="s">
        <v>596</v>
      </c>
    </row>
    <row r="141" spans="1:26" ht="15.75" customHeight="1" x14ac:dyDescent="0.25">
      <c r="A141" s="6" t="str">
        <f t="shared" si="4"/>
        <v>Dish Boiled Egg</v>
      </c>
      <c r="C141" s="6" t="s">
        <v>596</v>
      </c>
      <c r="D141" s="6" t="s">
        <v>613</v>
      </c>
      <c r="E141" s="6" t="s">
        <v>344</v>
      </c>
      <c r="G141" s="6" t="s">
        <v>596</v>
      </c>
    </row>
    <row r="142" spans="1:26" ht="15.75" customHeight="1" x14ac:dyDescent="0.25">
      <c r="A142" s="6" t="str">
        <f t="shared" si="4"/>
        <v>Dish fish soup</v>
      </c>
      <c r="C142" s="6" t="s">
        <v>596</v>
      </c>
      <c r="D142" s="6" t="s">
        <v>614</v>
      </c>
      <c r="E142" s="6" t="s">
        <v>344</v>
      </c>
    </row>
    <row r="143" spans="1:26" ht="15.75" customHeight="1" x14ac:dyDescent="0.25">
      <c r="A143" s="6" t="str">
        <f t="shared" si="4"/>
        <v>Dish Beefsteak</v>
      </c>
      <c r="C143" s="6" t="s">
        <v>596</v>
      </c>
      <c r="D143" s="6" t="s">
        <v>615</v>
      </c>
      <c r="E143" s="6" t="s">
        <v>344</v>
      </c>
    </row>
    <row r="144" spans="1:26" ht="15.75" customHeight="1" x14ac:dyDescent="0.25">
      <c r="A144" s="6" t="str">
        <f t="shared" si="4"/>
        <v>Dish SariSari Vegetable</v>
      </c>
      <c r="C144" s="6" t="s">
        <v>596</v>
      </c>
      <c r="D144" s="6" t="s">
        <v>616</v>
      </c>
      <c r="E144" s="6" t="s">
        <v>344</v>
      </c>
      <c r="G144" s="6" t="s">
        <v>596</v>
      </c>
    </row>
    <row r="145" spans="1:25" ht="15.75" customHeight="1" x14ac:dyDescent="0.25">
      <c r="A145" s="6" t="str">
        <f t="shared" si="4"/>
        <v>Dish Teriyaki Chicken</v>
      </c>
      <c r="C145" s="6" t="s">
        <v>596</v>
      </c>
      <c r="D145" s="6" t="s">
        <v>617</v>
      </c>
      <c r="E145" s="6" t="s">
        <v>344</v>
      </c>
    </row>
    <row r="146" spans="1:25" ht="15.75" customHeight="1" x14ac:dyDescent="0.25">
      <c r="A146" s="6" t="str">
        <f t="shared" si="4"/>
        <v>Dish Pork Barbecue</v>
      </c>
      <c r="C146" s="6" t="s">
        <v>596</v>
      </c>
      <c r="D146" s="11" t="s">
        <v>618</v>
      </c>
      <c r="E146" s="6" t="s">
        <v>344</v>
      </c>
    </row>
    <row r="147" spans="1:25" ht="15.75" customHeight="1" x14ac:dyDescent="0.25">
      <c r="A147" s="6" t="str">
        <f t="shared" si="4"/>
        <v>Dish Liver</v>
      </c>
      <c r="C147" s="6" t="s">
        <v>596</v>
      </c>
      <c r="D147" t="s">
        <v>619</v>
      </c>
      <c r="E147" s="6" t="s">
        <v>344</v>
      </c>
      <c r="G147" s="6" t="s">
        <v>596</v>
      </c>
    </row>
    <row r="148" spans="1:25" ht="15.75" customHeight="1" x14ac:dyDescent="0.25">
      <c r="A148" s="6" t="str">
        <f t="shared" si="4"/>
        <v>Dish Beef</v>
      </c>
      <c r="C148" s="6" t="s">
        <v>596</v>
      </c>
      <c r="D148" t="s">
        <v>620</v>
      </c>
      <c r="E148" s="6" t="s">
        <v>344</v>
      </c>
    </row>
    <row r="149" spans="1:25" ht="15.75" customHeight="1" x14ac:dyDescent="0.25">
      <c r="A149" s="6" t="str">
        <f t="shared" si="4"/>
        <v>Dish Pinakbit</v>
      </c>
      <c r="C149" s="6" t="s">
        <v>596</v>
      </c>
      <c r="D149" t="s">
        <v>621</v>
      </c>
      <c r="E149" s="6" t="s">
        <v>344</v>
      </c>
    </row>
    <row r="150" spans="1:25" ht="15.75" customHeight="1" x14ac:dyDescent="0.25">
      <c r="A150" s="6" t="str">
        <f t="shared" si="4"/>
        <v>Dish(Chowking) 2 pcs. Chicken</v>
      </c>
      <c r="B150" s="6" t="s">
        <v>99</v>
      </c>
      <c r="C150" s="6" t="s">
        <v>596</v>
      </c>
      <c r="D150" s="6" t="s">
        <v>622</v>
      </c>
      <c r="E150" s="6" t="s">
        <v>344</v>
      </c>
      <c r="G150" s="6" t="s">
        <v>623</v>
      </c>
      <c r="J150" s="6" t="s">
        <v>596</v>
      </c>
    </row>
    <row r="151" spans="1:25" ht="15.75" customHeight="1" x14ac:dyDescent="0.25">
      <c r="A151" s="6" t="str">
        <f t="shared" si="4"/>
        <v xml:space="preserve">Dish(Chowking) Pork ChowFan </v>
      </c>
      <c r="B151" s="6" t="s">
        <v>99</v>
      </c>
      <c r="C151" s="6" t="s">
        <v>596</v>
      </c>
      <c r="D151" s="6" t="s">
        <v>624</v>
      </c>
      <c r="E151" s="6" t="s">
        <v>344</v>
      </c>
      <c r="G151" s="6" t="s">
        <v>625</v>
      </c>
      <c r="J151" s="6" t="s">
        <v>596</v>
      </c>
    </row>
    <row r="152" spans="1:25" ht="15.75" customHeight="1" x14ac:dyDescent="0.25">
      <c r="A152" s="7" t="str">
        <f t="shared" si="4"/>
        <v>Dish(Chowking) Pork ChowFan with Ice Tea</v>
      </c>
      <c r="B152" s="7" t="s">
        <v>99</v>
      </c>
      <c r="C152" s="6" t="s">
        <v>596</v>
      </c>
      <c r="D152" s="7" t="s">
        <v>626</v>
      </c>
      <c r="E152" s="7" t="s">
        <v>344</v>
      </c>
      <c r="F152" s="7"/>
      <c r="G152" s="7" t="s">
        <v>627</v>
      </c>
      <c r="H152" s="7"/>
      <c r="I152" s="7"/>
      <c r="J152" s="7" t="s">
        <v>628</v>
      </c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customHeight="1" x14ac:dyDescent="0.25">
      <c r="A153" s="6" t="str">
        <f t="shared" si="4"/>
        <v>Dish(Chowking) Wanton Noodles</v>
      </c>
      <c r="B153" s="6" t="s">
        <v>99</v>
      </c>
      <c r="C153" s="6" t="s">
        <v>596</v>
      </c>
      <c r="D153" s="6" t="s">
        <v>629</v>
      </c>
      <c r="E153" s="6" t="s">
        <v>344</v>
      </c>
      <c r="G153" s="6" t="s">
        <v>630</v>
      </c>
    </row>
    <row r="154" spans="1:25" ht="15.75" customHeight="1" x14ac:dyDescent="0.25">
      <c r="A154" s="6" t="str">
        <f t="shared" si="4"/>
        <v>Dish(Chowking) Wanton Noodles Large</v>
      </c>
      <c r="B154" s="6" t="s">
        <v>99</v>
      </c>
      <c r="C154" s="6" t="s">
        <v>596</v>
      </c>
      <c r="D154" s="6" t="s">
        <v>631</v>
      </c>
      <c r="E154" s="6" t="s">
        <v>344</v>
      </c>
      <c r="G154" s="6" t="s">
        <v>630</v>
      </c>
    </row>
    <row r="155" spans="1:25" ht="15.75" customHeight="1" x14ac:dyDescent="0.25">
      <c r="A155" s="6" t="str">
        <f t="shared" si="4"/>
        <v>Dish(Chowking) Wanton Soup</v>
      </c>
      <c r="B155" s="6" t="s">
        <v>99</v>
      </c>
      <c r="C155" s="6" t="s">
        <v>596</v>
      </c>
      <c r="D155" s="6" t="s">
        <v>632</v>
      </c>
      <c r="E155" s="6" t="s">
        <v>344</v>
      </c>
      <c r="G155" s="6" t="s">
        <v>633</v>
      </c>
      <c r="J155" s="6" t="s">
        <v>596</v>
      </c>
    </row>
    <row r="156" spans="1:25" ht="15.75" customHeight="1" x14ac:dyDescent="0.25">
      <c r="A156" s="6" t="str">
        <f t="shared" si="4"/>
        <v>Dish(Takoyaki) Yasai</v>
      </c>
      <c r="B156" s="6" t="s">
        <v>634</v>
      </c>
      <c r="C156" s="6" t="s">
        <v>596</v>
      </c>
      <c r="D156" s="6" t="s">
        <v>635</v>
      </c>
      <c r="E156" s="6" t="s">
        <v>344</v>
      </c>
    </row>
    <row r="157" spans="1:25" ht="15.75" customHeight="1" x14ac:dyDescent="0.25">
      <c r="A157" s="6" t="str">
        <f t="shared" si="4"/>
        <v>Orange Juice Drinks(Citrus) 1L</v>
      </c>
      <c r="B157" s="6" t="s">
        <v>636</v>
      </c>
      <c r="C157" s="6" t="s">
        <v>637</v>
      </c>
      <c r="D157" s="6" t="s">
        <v>638</v>
      </c>
      <c r="E157" s="6" t="s">
        <v>344</v>
      </c>
    </row>
    <row r="158" spans="1:25" ht="15.75" customHeight="1" x14ac:dyDescent="0.25">
      <c r="A158" s="6" t="str">
        <f t="shared" si="4"/>
        <v>Powder Juice Drinks(Citrus) Orange 20G</v>
      </c>
      <c r="B158" s="6" t="s">
        <v>636</v>
      </c>
      <c r="C158" s="6" t="s">
        <v>639</v>
      </c>
      <c r="D158" s="6" t="s">
        <v>640</v>
      </c>
      <c r="E158" s="6" t="s">
        <v>344</v>
      </c>
    </row>
    <row r="159" spans="1:25" ht="15.75" customHeight="1" x14ac:dyDescent="0.25">
      <c r="A159" s="6" t="str">
        <f t="shared" si="4"/>
        <v>Cucumber Lemonade Juice 22Oz</v>
      </c>
      <c r="C159" s="6" t="s">
        <v>641</v>
      </c>
      <c r="D159" s="6" t="s">
        <v>642</v>
      </c>
      <c r="E159" s="6" t="s">
        <v>344</v>
      </c>
    </row>
    <row r="160" spans="1:25" ht="15.75" customHeight="1" x14ac:dyDescent="0.25">
      <c r="A160" s="6" t="str">
        <f t="shared" si="4"/>
        <v>Old Fashion Lemonade Juice 22Oz</v>
      </c>
      <c r="C160" s="6" t="s">
        <v>643</v>
      </c>
      <c r="D160" s="6" t="s">
        <v>642</v>
      </c>
      <c r="E160" s="6" t="s">
        <v>344</v>
      </c>
    </row>
    <row r="161" spans="1:5" ht="15.75" customHeight="1" x14ac:dyDescent="0.25">
      <c r="A161" s="6" t="str">
        <f t="shared" si="4"/>
        <v>Old Fashion Lemonade Juice(Absolute) 1L</v>
      </c>
      <c r="B161" s="6" t="s">
        <v>644</v>
      </c>
      <c r="C161" s="6" t="s">
        <v>643</v>
      </c>
      <c r="D161" s="6" t="s">
        <v>638</v>
      </c>
      <c r="E161" s="6" t="s">
        <v>344</v>
      </c>
    </row>
    <row r="162" spans="1:5" ht="15.75" customHeight="1" x14ac:dyDescent="0.25">
      <c r="A162" s="6" t="str">
        <f t="shared" si="4"/>
        <v>Drinks Calamansi Juice</v>
      </c>
      <c r="C162" s="6" t="s">
        <v>645</v>
      </c>
      <c r="D162" s="6" t="s">
        <v>646</v>
      </c>
      <c r="E162" s="6" t="s">
        <v>344</v>
      </c>
    </row>
    <row r="163" spans="1:5" ht="15.75" customHeight="1" x14ac:dyDescent="0.25">
      <c r="A163" s="6" t="str">
        <f t="shared" si="4"/>
        <v>Drinks(Absolute) 6 Liter</v>
      </c>
      <c r="B163" s="6" t="s">
        <v>644</v>
      </c>
      <c r="C163" s="6" t="s">
        <v>645</v>
      </c>
      <c r="D163" s="6" t="s">
        <v>647</v>
      </c>
      <c r="E163" s="6" t="s">
        <v>344</v>
      </c>
    </row>
    <row r="164" spans="1:5" ht="15.75" customHeight="1" x14ac:dyDescent="0.25">
      <c r="A164" s="6" t="str">
        <f t="shared" si="4"/>
        <v>Drinks(Nature Spring) Spring Water 1 Liter</v>
      </c>
      <c r="B164" s="6" t="s">
        <v>648</v>
      </c>
      <c r="C164" s="6" t="s">
        <v>645</v>
      </c>
      <c r="D164" s="6" t="s">
        <v>649</v>
      </c>
      <c r="E164" s="6" t="s">
        <v>344</v>
      </c>
    </row>
    <row r="165" spans="1:5" ht="15.75" customHeight="1" x14ac:dyDescent="0.25">
      <c r="A165" s="6" t="str">
        <f t="shared" si="4"/>
        <v xml:space="preserve">Eggs </v>
      </c>
      <c r="C165" s="6" t="s">
        <v>650</v>
      </c>
      <c r="E165" s="6" t="s">
        <v>344</v>
      </c>
    </row>
    <row r="166" spans="1:5" ht="15.75" customHeight="1" x14ac:dyDescent="0.25">
      <c r="A166" s="6" t="str">
        <f t="shared" si="4"/>
        <v>Flour Banana</v>
      </c>
      <c r="C166" s="6" t="s">
        <v>651</v>
      </c>
      <c r="D166" s="6" t="s">
        <v>652</v>
      </c>
      <c r="E166" s="6" t="s">
        <v>344</v>
      </c>
    </row>
    <row r="167" spans="1:5" ht="15.75" customHeight="1" x14ac:dyDescent="0.25">
      <c r="A167" s="6" t="str">
        <f t="shared" si="4"/>
        <v>Flour Taro</v>
      </c>
      <c r="C167" s="6" t="s">
        <v>651</v>
      </c>
      <c r="D167" s="6" t="s">
        <v>653</v>
      </c>
      <c r="E167" s="6" t="s">
        <v>344</v>
      </c>
    </row>
    <row r="168" spans="1:5" ht="15.75" customHeight="1" x14ac:dyDescent="0.25">
      <c r="A168" s="6" t="str">
        <f t="shared" si="4"/>
        <v>Fresh Milk - Full Cream(Magnolia) 1L</v>
      </c>
      <c r="B168" s="6" t="s">
        <v>654</v>
      </c>
      <c r="C168" s="6" t="s">
        <v>655</v>
      </c>
      <c r="D168" s="6" t="s">
        <v>638</v>
      </c>
      <c r="E168" s="6" t="s">
        <v>344</v>
      </c>
    </row>
    <row r="169" spans="1:5" ht="15.75" customHeight="1" x14ac:dyDescent="0.25">
      <c r="A169" s="6" t="str">
        <f t="shared" si="4"/>
        <v>Fresh Milk(Alaska ) 1L</v>
      </c>
      <c r="B169" s="6" t="s">
        <v>656</v>
      </c>
      <c r="C169" s="6" t="s">
        <v>657</v>
      </c>
      <c r="D169" s="6" t="s">
        <v>638</v>
      </c>
      <c r="E169" s="6" t="s">
        <v>344</v>
      </c>
    </row>
    <row r="170" spans="1:5" ht="15.75" customHeight="1" x14ac:dyDescent="0.25">
      <c r="A170" s="6" t="str">
        <f t="shared" si="4"/>
        <v>Fresh Milk(Alaska ) 1Lx2</v>
      </c>
      <c r="B170" s="6" t="s">
        <v>656</v>
      </c>
      <c r="C170" s="6" t="s">
        <v>657</v>
      </c>
      <c r="D170" s="6" t="s">
        <v>658</v>
      </c>
      <c r="E170" s="6" t="s">
        <v>344</v>
      </c>
    </row>
    <row r="171" spans="1:5" ht="15.75" customHeight="1" x14ac:dyDescent="0.25">
      <c r="A171" s="6" t="str">
        <f t="shared" si="4"/>
        <v>Fresh Milk(Nestle) 1L</v>
      </c>
      <c r="B171" s="6" t="s">
        <v>659</v>
      </c>
      <c r="C171" s="6" t="s">
        <v>657</v>
      </c>
      <c r="D171" s="6" t="s">
        <v>638</v>
      </c>
      <c r="E171" s="6" t="s">
        <v>344</v>
      </c>
    </row>
    <row r="172" spans="1:5" ht="15.75" customHeight="1" x14ac:dyDescent="0.25">
      <c r="A172" s="6" t="str">
        <f t="shared" si="4"/>
        <v>Garlic(Boy Bawang) 500g</v>
      </c>
      <c r="B172" s="6" t="s">
        <v>660</v>
      </c>
      <c r="C172" s="6" t="s">
        <v>661</v>
      </c>
      <c r="D172" s="6" t="s">
        <v>662</v>
      </c>
      <c r="E172" s="6" t="s">
        <v>344</v>
      </c>
    </row>
    <row r="173" spans="1:5" ht="15.75" customHeight="1" x14ac:dyDescent="0.25">
      <c r="A173" s="6" t="str">
        <f t="shared" si="4"/>
        <v>Hot Cocoa Mix (Dark Chocolate)(Swiss Miss) 31g</v>
      </c>
      <c r="B173" s="6" t="s">
        <v>663</v>
      </c>
      <c r="C173" s="6" t="s">
        <v>664</v>
      </c>
      <c r="D173" s="6" t="s">
        <v>665</v>
      </c>
      <c r="E173" s="6" t="s">
        <v>344</v>
      </c>
    </row>
    <row r="174" spans="1:5" ht="15.75" customHeight="1" x14ac:dyDescent="0.25">
      <c r="A174" s="6" t="str">
        <f t="shared" si="4"/>
        <v>Hot Cocoa Mix (Marshmallow)(Swiss Miss) 20g</v>
      </c>
      <c r="B174" s="6" t="s">
        <v>663</v>
      </c>
      <c r="C174" s="6" t="s">
        <v>666</v>
      </c>
      <c r="D174" s="6" t="s">
        <v>503</v>
      </c>
      <c r="E174" s="6" t="s">
        <v>344</v>
      </c>
    </row>
    <row r="175" spans="1:5" ht="15.75" customHeight="1" x14ac:dyDescent="0.25">
      <c r="A175" s="6" t="s">
        <v>667</v>
      </c>
      <c r="B175" s="6" t="s">
        <v>668</v>
      </c>
      <c r="C175" s="6" t="s">
        <v>669</v>
      </c>
      <c r="D175" s="6" t="s">
        <v>670</v>
      </c>
      <c r="E175" s="6" t="s">
        <v>344</v>
      </c>
    </row>
    <row r="176" spans="1:5" ht="15.75" customHeight="1" x14ac:dyDescent="0.25">
      <c r="A176" s="6" t="str">
        <f t="shared" ref="A176:A215" si="5">C176&amp;IF(B176&lt;&gt;"","("&amp;B176&amp;") "," ")&amp;D176</f>
        <v>Lechon Per Kilo</v>
      </c>
      <c r="C176" s="6" t="s">
        <v>671</v>
      </c>
      <c r="D176" s="6" t="s">
        <v>672</v>
      </c>
      <c r="E176" s="6" t="s">
        <v>344</v>
      </c>
    </row>
    <row r="177" spans="1:5" ht="15.75" customHeight="1" x14ac:dyDescent="0.25">
      <c r="A177" s="6" t="str">
        <f t="shared" si="5"/>
        <v>Misua(Gallo) 1kg</v>
      </c>
      <c r="B177" s="6" t="s">
        <v>673</v>
      </c>
      <c r="C177" s="6" t="s">
        <v>674</v>
      </c>
      <c r="D177" s="6" t="s">
        <v>675</v>
      </c>
      <c r="E177" s="6" t="s">
        <v>344</v>
      </c>
    </row>
    <row r="178" spans="1:5" ht="15.75" customHeight="1" x14ac:dyDescent="0.25">
      <c r="A178" s="6" t="str">
        <f t="shared" si="5"/>
        <v>Nescafe Blen and Brew  3in1(Original) Dozen</v>
      </c>
      <c r="B178" s="6" t="s">
        <v>676</v>
      </c>
      <c r="C178" s="6" t="s">
        <v>677</v>
      </c>
      <c r="D178" s="6" t="s">
        <v>678</v>
      </c>
      <c r="E178" s="6" t="s">
        <v>344</v>
      </c>
    </row>
    <row r="179" spans="1:5" ht="15.75" customHeight="1" x14ac:dyDescent="0.25">
      <c r="A179" s="6" t="str">
        <f t="shared" si="5"/>
        <v>Nutritional Powder for Diabetic(Diabetasol) 600g</v>
      </c>
      <c r="B179" s="6" t="s">
        <v>679</v>
      </c>
      <c r="C179" s="6" t="s">
        <v>680</v>
      </c>
      <c r="D179" s="6" t="s">
        <v>681</v>
      </c>
      <c r="E179" s="6" t="s">
        <v>344</v>
      </c>
    </row>
    <row r="180" spans="1:5" ht="15.75" customHeight="1" x14ac:dyDescent="0.25">
      <c r="A180" s="6" t="str">
        <f t="shared" si="5"/>
        <v>Pastries(Swiss Cottage) Chifon Cake (Chocolate)</v>
      </c>
      <c r="B180" s="6" t="s">
        <v>682</v>
      </c>
      <c r="C180" s="6" t="s">
        <v>683</v>
      </c>
      <c r="D180" s="6" t="s">
        <v>684</v>
      </c>
      <c r="E180" s="6" t="s">
        <v>344</v>
      </c>
    </row>
    <row r="181" spans="1:5" ht="15.75" customHeight="1" x14ac:dyDescent="0.25">
      <c r="A181" s="6" t="str">
        <f t="shared" si="5"/>
        <v>Pastries(Swiss Cottage) Peanut Cream Roll</v>
      </c>
      <c r="B181" s="6" t="s">
        <v>682</v>
      </c>
      <c r="C181" s="6" t="s">
        <v>683</v>
      </c>
      <c r="D181" s="6" t="s">
        <v>685</v>
      </c>
      <c r="E181" s="6" t="s">
        <v>344</v>
      </c>
    </row>
    <row r="182" spans="1:5" ht="15.75" customHeight="1" x14ac:dyDescent="0.25">
      <c r="A182" s="6" t="str">
        <f t="shared" si="5"/>
        <v>Pastries(Swiss Cottage) Tuna De Leche</v>
      </c>
      <c r="B182" s="6" t="s">
        <v>682</v>
      </c>
      <c r="C182" s="6" t="s">
        <v>683</v>
      </c>
      <c r="D182" s="6" t="s">
        <v>686</v>
      </c>
      <c r="E182" s="6" t="s">
        <v>344</v>
      </c>
    </row>
    <row r="183" spans="1:5" ht="15.75" customHeight="1" x14ac:dyDescent="0.25">
      <c r="A183" s="6" t="str">
        <f t="shared" si="5"/>
        <v>Pork Chop  in Sauce</v>
      </c>
      <c r="C183" s="6" t="s">
        <v>687</v>
      </c>
      <c r="D183" s="6" t="s">
        <v>688</v>
      </c>
      <c r="E183" s="6" t="s">
        <v>344</v>
      </c>
    </row>
    <row r="184" spans="1:5" ht="15.75" customHeight="1" x14ac:dyDescent="0.25">
      <c r="A184" s="6" t="str">
        <f t="shared" si="5"/>
        <v>Powder Milk(Alaska) 1700g</v>
      </c>
      <c r="B184" s="6" t="s">
        <v>689</v>
      </c>
      <c r="C184" s="6" t="s">
        <v>690</v>
      </c>
      <c r="D184" s="6" t="s">
        <v>691</v>
      </c>
      <c r="E184" s="6" t="s">
        <v>344</v>
      </c>
    </row>
    <row r="185" spans="1:5" ht="15.75" customHeight="1" x14ac:dyDescent="0.25">
      <c r="A185" s="6" t="str">
        <f t="shared" si="5"/>
        <v>Rice(Ganador) 10kg</v>
      </c>
      <c r="B185" s="6" t="s">
        <v>692</v>
      </c>
      <c r="C185" s="6" t="s">
        <v>612</v>
      </c>
      <c r="D185" s="6" t="s">
        <v>693</v>
      </c>
      <c r="E185" s="6" t="s">
        <v>344</v>
      </c>
    </row>
    <row r="186" spans="1:5" ht="15.75" customHeight="1" x14ac:dyDescent="0.25">
      <c r="A186" s="6" t="str">
        <f t="shared" si="5"/>
        <v>Shakes Fruit</v>
      </c>
      <c r="C186" s="6" t="s">
        <v>694</v>
      </c>
      <c r="D186" s="6" t="s">
        <v>695</v>
      </c>
      <c r="E186" s="6" t="s">
        <v>344</v>
      </c>
    </row>
    <row r="187" spans="1:5" ht="15.75" customHeight="1" x14ac:dyDescent="0.25">
      <c r="A187" s="6" t="str">
        <f t="shared" si="5"/>
        <v xml:space="preserve">Sibot with Tongkoy </v>
      </c>
      <c r="C187" s="6" t="s">
        <v>696</v>
      </c>
      <c r="E187" s="6" t="s">
        <v>344</v>
      </c>
    </row>
    <row r="188" spans="1:5" ht="15.75" customHeight="1" x14ac:dyDescent="0.25">
      <c r="A188" s="6" t="str">
        <f t="shared" si="5"/>
        <v>Sweetened Cocoa(Family Choice) 250g</v>
      </c>
      <c r="B188" s="6" t="s">
        <v>553</v>
      </c>
      <c r="C188" s="6" t="s">
        <v>697</v>
      </c>
      <c r="D188" s="6" t="s">
        <v>555</v>
      </c>
      <c r="E188" s="6" t="s">
        <v>344</v>
      </c>
    </row>
    <row r="189" spans="1:5" ht="15.75" customHeight="1" x14ac:dyDescent="0.25">
      <c r="A189" s="6" t="str">
        <f t="shared" si="5"/>
        <v>Sweetened Cocoa(Family Choice) 500g</v>
      </c>
      <c r="B189" s="6" t="s">
        <v>553</v>
      </c>
      <c r="C189" s="6" t="s">
        <v>697</v>
      </c>
      <c r="D189" s="6" t="s">
        <v>662</v>
      </c>
      <c r="E189" s="6" t="s">
        <v>344</v>
      </c>
    </row>
    <row r="190" spans="1:5" ht="15.75" customHeight="1" x14ac:dyDescent="0.25">
      <c r="A190" s="6" t="str">
        <f t="shared" si="5"/>
        <v>Vegan(Veega) Tapa</v>
      </c>
      <c r="B190" s="6" t="s">
        <v>698</v>
      </c>
      <c r="C190" s="6" t="s">
        <v>699</v>
      </c>
      <c r="D190" s="6" t="s">
        <v>700</v>
      </c>
      <c r="E190" s="6" t="s">
        <v>344</v>
      </c>
    </row>
    <row r="191" spans="1:5" ht="15.75" customHeight="1" x14ac:dyDescent="0.25">
      <c r="A191" s="6" t="str">
        <f t="shared" si="5"/>
        <v>Vegan(Veega) Tocino</v>
      </c>
      <c r="B191" s="6" t="s">
        <v>698</v>
      </c>
      <c r="C191" s="6" t="s">
        <v>699</v>
      </c>
      <c r="D191" s="6" t="s">
        <v>701</v>
      </c>
      <c r="E191" s="6" t="s">
        <v>344</v>
      </c>
    </row>
    <row r="192" spans="1:5" ht="15.75" customHeight="1" x14ac:dyDescent="0.25">
      <c r="A192" s="6" t="str">
        <f t="shared" si="5"/>
        <v>Water Purified - Refill</v>
      </c>
      <c r="C192" s="6" t="s">
        <v>702</v>
      </c>
      <c r="D192" s="6" t="s">
        <v>703</v>
      </c>
      <c r="E192" s="6" t="s">
        <v>344</v>
      </c>
    </row>
    <row r="193" spans="1:25" ht="15.75" customHeight="1" x14ac:dyDescent="0.25">
      <c r="A193" s="6" t="str">
        <f t="shared" si="5"/>
        <v>White Pepper Powder(Metro Select) 30g</v>
      </c>
      <c r="B193" s="6" t="s">
        <v>704</v>
      </c>
      <c r="C193" s="6" t="s">
        <v>705</v>
      </c>
      <c r="D193" s="6" t="s">
        <v>568</v>
      </c>
      <c r="E193" s="6" t="s">
        <v>344</v>
      </c>
    </row>
    <row r="194" spans="1:25" ht="15.75" customHeight="1" x14ac:dyDescent="0.25">
      <c r="A194" s="6" t="str">
        <f t="shared" si="5"/>
        <v>Choco Double Hazelnut Spread(Goya) 750g</v>
      </c>
      <c r="B194" s="6" t="s">
        <v>706</v>
      </c>
      <c r="C194" s="6" t="s">
        <v>707</v>
      </c>
      <c r="D194" s="6" t="s">
        <v>708</v>
      </c>
      <c r="E194" s="6" t="s">
        <v>344</v>
      </c>
    </row>
    <row r="195" spans="1:25" ht="15.75" customHeight="1" x14ac:dyDescent="0.25">
      <c r="A195" s="6" t="str">
        <f t="shared" si="5"/>
        <v>Almond Single(Magnum ) Each</v>
      </c>
      <c r="B195" s="6" t="s">
        <v>709</v>
      </c>
      <c r="C195" s="6" t="s">
        <v>710</v>
      </c>
      <c r="D195" s="6" t="s">
        <v>711</v>
      </c>
      <c r="E195" s="6" t="s">
        <v>345</v>
      </c>
    </row>
    <row r="196" spans="1:25" ht="15.75" customHeight="1" x14ac:dyDescent="0.25">
      <c r="A196" s="6" t="str">
        <f t="shared" si="5"/>
        <v>Bread Sticks(Nissin) 130g</v>
      </c>
      <c r="B196" s="6" t="s">
        <v>556</v>
      </c>
      <c r="C196" s="6" t="s">
        <v>712</v>
      </c>
      <c r="D196" s="6" t="s">
        <v>713</v>
      </c>
      <c r="E196" s="6" t="s">
        <v>345</v>
      </c>
    </row>
    <row r="197" spans="1:25" ht="15.75" customHeight="1" x14ac:dyDescent="0.25">
      <c r="A197" s="6" t="str">
        <f t="shared" si="5"/>
        <v>Energy Bar(FitBar) Buy 2 Get 1 24x3x25G</v>
      </c>
      <c r="B197" s="6" t="s">
        <v>714</v>
      </c>
      <c r="C197" s="6" t="s">
        <v>715</v>
      </c>
      <c r="D197" s="6" t="s">
        <v>716</v>
      </c>
      <c r="E197" s="6" t="s">
        <v>345</v>
      </c>
    </row>
    <row r="198" spans="1:25" ht="15.75" customHeight="1" x14ac:dyDescent="0.25">
      <c r="A198" s="6" t="str">
        <f t="shared" si="5"/>
        <v>Chocolate(Goya) Dark Almond 33g</v>
      </c>
      <c r="B198" s="6" t="s">
        <v>706</v>
      </c>
      <c r="C198" s="6" t="s">
        <v>417</v>
      </c>
      <c r="D198" s="6" t="s">
        <v>717</v>
      </c>
      <c r="E198" s="6" t="s">
        <v>345</v>
      </c>
    </row>
    <row r="199" spans="1:25" ht="15.75" customHeight="1" x14ac:dyDescent="0.25">
      <c r="A199" s="6" t="str">
        <f t="shared" si="5"/>
        <v>Classic(Magnum ) Each</v>
      </c>
      <c r="B199" s="6" t="s">
        <v>709</v>
      </c>
      <c r="C199" s="6" t="s">
        <v>718</v>
      </c>
      <c r="D199" s="6" t="s">
        <v>711</v>
      </c>
      <c r="E199" s="6" t="s">
        <v>345</v>
      </c>
    </row>
    <row r="200" spans="1:25" ht="15.75" customHeight="1" x14ac:dyDescent="0.25">
      <c r="A200" s="6" t="str">
        <f t="shared" si="5"/>
        <v>Donut(Happy-Haus) Assorted</v>
      </c>
      <c r="B200" s="6" t="s">
        <v>719</v>
      </c>
      <c r="C200" s="6" t="s">
        <v>720</v>
      </c>
      <c r="D200" s="6" t="s">
        <v>721</v>
      </c>
      <c r="E200" s="6" t="s">
        <v>345</v>
      </c>
    </row>
    <row r="201" spans="1:25" ht="15.75" customHeight="1" x14ac:dyDescent="0.25">
      <c r="A201" s="6" t="str">
        <f t="shared" si="5"/>
        <v>Ginger Chewy Candy (Extra Strong)(Gingerbon) 125g</v>
      </c>
      <c r="B201" s="6" t="s">
        <v>722</v>
      </c>
      <c r="C201" s="6" t="s">
        <v>723</v>
      </c>
      <c r="D201" s="6" t="s">
        <v>724</v>
      </c>
      <c r="E201" s="6" t="s">
        <v>345</v>
      </c>
    </row>
    <row r="202" spans="1:25" ht="15.75" customHeight="1" x14ac:dyDescent="0.25">
      <c r="A202" s="6" t="str">
        <f t="shared" si="5"/>
        <v>Ginger Chewy Candy (Regular)(Gingerbon) 20g</v>
      </c>
      <c r="B202" s="6" t="s">
        <v>722</v>
      </c>
      <c r="C202" s="6" t="s">
        <v>725</v>
      </c>
      <c r="D202" s="6" t="s">
        <v>503</v>
      </c>
      <c r="E202" s="6" t="s">
        <v>345</v>
      </c>
    </row>
    <row r="203" spans="1:25" ht="15.75" customHeight="1" x14ac:dyDescent="0.25">
      <c r="A203" s="6" t="str">
        <f t="shared" si="5"/>
        <v>Macademia(Magnum ) 24/80ml</v>
      </c>
      <c r="B203" s="6" t="s">
        <v>709</v>
      </c>
      <c r="C203" s="6" t="s">
        <v>726</v>
      </c>
      <c r="D203" s="6" t="s">
        <v>727</v>
      </c>
      <c r="E203" s="6" t="s">
        <v>345</v>
      </c>
    </row>
    <row r="204" spans="1:25" ht="15.75" customHeight="1" x14ac:dyDescent="0.25">
      <c r="A204" s="6" t="str">
        <f t="shared" si="5"/>
        <v>Professional Fee(Doctor) Medical Checkup</v>
      </c>
      <c r="B204" s="6" t="s">
        <v>318</v>
      </c>
      <c r="C204" s="6" t="s">
        <v>728</v>
      </c>
      <c r="D204" s="6" t="s">
        <v>729</v>
      </c>
      <c r="E204" s="6" t="s">
        <v>345</v>
      </c>
    </row>
    <row r="205" spans="1:25" ht="15.75" customHeight="1" x14ac:dyDescent="0.25">
      <c r="A205" s="7" t="str">
        <f t="shared" si="5"/>
        <v>Snack Food Biko</v>
      </c>
      <c r="B205" s="7"/>
      <c r="C205" s="7" t="s">
        <v>730</v>
      </c>
      <c r="D205" s="7" t="s">
        <v>731</v>
      </c>
      <c r="E205" s="7" t="s">
        <v>345</v>
      </c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customHeight="1" x14ac:dyDescent="0.25">
      <c r="A206" s="6" t="str">
        <f t="shared" si="5"/>
        <v>White Almond(Magnum ) 24/80ml</v>
      </c>
      <c r="B206" s="6" t="s">
        <v>709</v>
      </c>
      <c r="C206" s="6" t="s">
        <v>732</v>
      </c>
      <c r="D206" s="6" t="s">
        <v>727</v>
      </c>
      <c r="E206" s="6" t="s">
        <v>345</v>
      </c>
    </row>
    <row r="207" spans="1:25" ht="15.75" customHeight="1" x14ac:dyDescent="0.25">
      <c r="A207" s="6" t="str">
        <f t="shared" si="5"/>
        <v>Fuel Diesel</v>
      </c>
      <c r="C207" s="6" t="s">
        <v>283</v>
      </c>
      <c r="D207" s="6" t="s">
        <v>733</v>
      </c>
      <c r="E207" s="6" t="s">
        <v>346</v>
      </c>
    </row>
    <row r="208" spans="1:25" ht="15.75" customHeight="1" x14ac:dyDescent="0.25">
      <c r="A208" s="6" t="str">
        <f t="shared" si="5"/>
        <v xml:space="preserve">N70ZL(Motolite ) Gold </v>
      </c>
      <c r="B208" s="6" t="s">
        <v>734</v>
      </c>
      <c r="C208" s="6" t="s">
        <v>735</v>
      </c>
      <c r="D208" s="6" t="s">
        <v>736</v>
      </c>
      <c r="E208" s="6" t="s">
        <v>346</v>
      </c>
    </row>
    <row r="209" spans="1:25" ht="15.75" customHeight="1" x14ac:dyDescent="0.25">
      <c r="A209" s="6" t="str">
        <f t="shared" si="5"/>
        <v>Oil(Castrol) CRB Turbo</v>
      </c>
      <c r="B209" s="6" t="s">
        <v>737</v>
      </c>
      <c r="C209" s="6" t="s">
        <v>738</v>
      </c>
      <c r="D209" s="6" t="s">
        <v>739</v>
      </c>
      <c r="E209" s="6" t="s">
        <v>346</v>
      </c>
    </row>
    <row r="210" spans="1:25" ht="15.75" customHeight="1" x14ac:dyDescent="0.25">
      <c r="A210" s="7" t="str">
        <f t="shared" si="5"/>
        <v>Service(Body Care) Hair-cut</v>
      </c>
      <c r="B210" s="7" t="s">
        <v>740</v>
      </c>
      <c r="C210" s="7" t="s">
        <v>741</v>
      </c>
      <c r="D210" s="7" t="s">
        <v>742</v>
      </c>
      <c r="E210" s="7" t="s">
        <v>346</v>
      </c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customHeight="1" x14ac:dyDescent="0.25">
      <c r="A211" s="6" t="str">
        <f t="shared" si="5"/>
        <v>Service(Vehicle) Change Oil</v>
      </c>
      <c r="B211" s="6" t="s">
        <v>743</v>
      </c>
      <c r="C211" s="6" t="s">
        <v>741</v>
      </c>
      <c r="D211" s="6" t="s">
        <v>744</v>
      </c>
      <c r="E211" s="6" t="s">
        <v>346</v>
      </c>
    </row>
    <row r="212" spans="1:25" ht="15.75" customHeight="1" x14ac:dyDescent="0.25">
      <c r="A212" s="7" t="str">
        <f t="shared" si="5"/>
        <v>Service(Vehicle) Freon Charging</v>
      </c>
      <c r="B212" s="7" t="s">
        <v>743</v>
      </c>
      <c r="C212" s="7" t="s">
        <v>741</v>
      </c>
      <c r="D212" s="7" t="s">
        <v>745</v>
      </c>
      <c r="E212" s="7" t="s">
        <v>346</v>
      </c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customHeight="1" x14ac:dyDescent="0.25">
      <c r="A213" s="6" t="str">
        <f t="shared" si="5"/>
        <v xml:space="preserve">Body Scrub and Massage Package </v>
      </c>
      <c r="C213" s="6" t="s">
        <v>746</v>
      </c>
      <c r="E213" s="6" t="s">
        <v>347</v>
      </c>
    </row>
    <row r="214" spans="1:25" ht="15.75" customHeight="1" x14ac:dyDescent="0.25">
      <c r="A214" s="6" t="str">
        <f t="shared" si="5"/>
        <v>Body Scrub and Massage Package(Turkish ) Watermelon</v>
      </c>
      <c r="B214" s="6" t="s">
        <v>747</v>
      </c>
      <c r="C214" s="6" t="s">
        <v>746</v>
      </c>
      <c r="D214" s="6" t="s">
        <v>748</v>
      </c>
      <c r="E214" s="6" t="s">
        <v>347</v>
      </c>
    </row>
    <row r="215" spans="1:25" ht="15.75" customHeight="1" x14ac:dyDescent="0.25">
      <c r="A215" s="6" t="str">
        <f t="shared" si="5"/>
        <v xml:space="preserve">Body Scrub and Massage Package(Turkish) </v>
      </c>
      <c r="B215" s="6" t="s">
        <v>749</v>
      </c>
      <c r="C215" s="6" t="s">
        <v>746</v>
      </c>
      <c r="E215" s="6" t="s">
        <v>347</v>
      </c>
    </row>
    <row r="216" spans="1:25" ht="15.75" customHeight="1" x14ac:dyDescent="0.25">
      <c r="A216" s="6" t="s">
        <v>750</v>
      </c>
      <c r="C216" s="6" t="s">
        <v>751</v>
      </c>
      <c r="E216" s="6" t="s">
        <v>347</v>
      </c>
    </row>
    <row r="217" spans="1:25" ht="15.75" customHeight="1" x14ac:dyDescent="0.25">
      <c r="A217" s="6" t="str">
        <f t="shared" ref="A217:A231" si="6">C217&amp;IF(B217&lt;&gt;"","("&amp;B217&amp;") "," ")&amp;D217</f>
        <v>Massage (Chair) 1 hour</v>
      </c>
      <c r="B217" s="6" t="s">
        <v>752</v>
      </c>
      <c r="C217" s="6" t="s">
        <v>753</v>
      </c>
      <c r="D217" s="6" t="s">
        <v>754</v>
      </c>
      <c r="E217" s="6" t="s">
        <v>347</v>
      </c>
    </row>
    <row r="218" spans="1:25" ht="15.75" customHeight="1" x14ac:dyDescent="0.25">
      <c r="A218" s="6" t="str">
        <f t="shared" si="6"/>
        <v>Massage (Swedish) 1 and a half hour</v>
      </c>
      <c r="B218" s="6" t="s">
        <v>755</v>
      </c>
      <c r="C218" s="6" t="s">
        <v>753</v>
      </c>
      <c r="D218" s="6" t="s">
        <v>756</v>
      </c>
      <c r="E218" s="6" t="s">
        <v>347</v>
      </c>
    </row>
    <row r="219" spans="1:25" ht="15.75" customHeight="1" x14ac:dyDescent="0.25">
      <c r="A219" s="6" t="str">
        <f t="shared" si="6"/>
        <v>Massage (Swedish) 1 hour</v>
      </c>
      <c r="B219" s="6" t="s">
        <v>755</v>
      </c>
      <c r="C219" s="6" t="s">
        <v>753</v>
      </c>
      <c r="D219" s="6" t="s">
        <v>754</v>
      </c>
      <c r="E219" s="6" t="s">
        <v>347</v>
      </c>
    </row>
    <row r="220" spans="1:25" ht="15.75" customHeight="1" x14ac:dyDescent="0.25">
      <c r="A220" s="6" t="str">
        <f t="shared" si="6"/>
        <v>Massage(Thai) 1 hour</v>
      </c>
      <c r="B220" s="6" t="s">
        <v>757</v>
      </c>
      <c r="C220" s="6" t="s">
        <v>53</v>
      </c>
      <c r="D220" s="6" t="s">
        <v>754</v>
      </c>
      <c r="E220" s="6" t="s">
        <v>347</v>
      </c>
    </row>
    <row r="221" spans="1:25" ht="15.75" customHeight="1" x14ac:dyDescent="0.25">
      <c r="A221" s="6" t="str">
        <f t="shared" si="6"/>
        <v>Service Tips</v>
      </c>
      <c r="C221" s="6" t="s">
        <v>741</v>
      </c>
      <c r="D221" s="6" t="s">
        <v>338</v>
      </c>
      <c r="E221" s="6" t="s">
        <v>347</v>
      </c>
    </row>
    <row r="222" spans="1:25" ht="15.75" customHeight="1" x14ac:dyDescent="0.25">
      <c r="A222" s="6" t="str">
        <f t="shared" si="6"/>
        <v>Service(Household) Laundry</v>
      </c>
      <c r="B222" s="6" t="s">
        <v>322</v>
      </c>
      <c r="C222" s="6" t="s">
        <v>741</v>
      </c>
      <c r="D222" s="6" t="s">
        <v>284</v>
      </c>
      <c r="E222" s="6" t="s">
        <v>347</v>
      </c>
    </row>
    <row r="223" spans="1:25" ht="15.75" customHeight="1" x14ac:dyDescent="0.25">
      <c r="A223" s="6" t="str">
        <f t="shared" si="6"/>
        <v>Service(Vehicle) Car Wash</v>
      </c>
      <c r="B223" s="6" t="s">
        <v>743</v>
      </c>
      <c r="C223" s="6" t="s">
        <v>741</v>
      </c>
      <c r="D223" s="6" t="s">
        <v>758</v>
      </c>
      <c r="E223" s="6" t="s">
        <v>347</v>
      </c>
    </row>
    <row r="224" spans="1:25" ht="15.75" customHeight="1" x14ac:dyDescent="0.25">
      <c r="A224" s="6" t="str">
        <f t="shared" si="6"/>
        <v>Chlorine(Zonrox) Packs</v>
      </c>
      <c r="B224" s="6" t="s">
        <v>759</v>
      </c>
      <c r="C224" s="6" t="s">
        <v>760</v>
      </c>
      <c r="D224" s="6" t="s">
        <v>761</v>
      </c>
      <c r="E224" s="6" t="s">
        <v>348</v>
      </c>
    </row>
    <row r="225" spans="1:5" ht="15.75" customHeight="1" x14ac:dyDescent="0.25">
      <c r="A225" s="6" t="str">
        <f t="shared" si="6"/>
        <v>Toothpaste(Colgate) Active Salt 2x180g</v>
      </c>
      <c r="B225" s="6" t="s">
        <v>762</v>
      </c>
      <c r="C225" s="6" t="s">
        <v>763</v>
      </c>
      <c r="D225" s="6" t="s">
        <v>764</v>
      </c>
      <c r="E225" s="6" t="s">
        <v>348</v>
      </c>
    </row>
    <row r="226" spans="1:5" ht="15.75" customHeight="1" x14ac:dyDescent="0.25">
      <c r="A226" s="6" t="str">
        <f t="shared" si="6"/>
        <v>Joss  Sticks  Long</v>
      </c>
      <c r="C226" s="6" t="s">
        <v>765</v>
      </c>
      <c r="D226" s="6" t="s">
        <v>766</v>
      </c>
      <c r="E226" s="6" t="s">
        <v>349</v>
      </c>
    </row>
    <row r="227" spans="1:5" ht="15.75" customHeight="1" x14ac:dyDescent="0.25">
      <c r="A227" s="6" t="str">
        <f t="shared" si="6"/>
        <v>Joss  Sticks  Short</v>
      </c>
      <c r="C227" s="6" t="s">
        <v>765</v>
      </c>
      <c r="D227" s="6" t="s">
        <v>767</v>
      </c>
      <c r="E227" s="6" t="s">
        <v>349</v>
      </c>
    </row>
    <row r="228" spans="1:5" ht="15.75" customHeight="1" x14ac:dyDescent="0.25">
      <c r="A228" s="6" t="str">
        <f t="shared" si="6"/>
        <v>Joss Paper Gold</v>
      </c>
      <c r="C228" s="6" t="s">
        <v>768</v>
      </c>
      <c r="D228" s="6" t="s">
        <v>769</v>
      </c>
      <c r="E228" s="6" t="s">
        <v>349</v>
      </c>
    </row>
    <row r="229" spans="1:5" ht="15.75" customHeight="1" x14ac:dyDescent="0.25">
      <c r="A229" s="6" t="str">
        <f t="shared" si="6"/>
        <v>Joss Paper Silver</v>
      </c>
      <c r="C229" s="6" t="s">
        <v>768</v>
      </c>
      <c r="D229" s="6" t="s">
        <v>770</v>
      </c>
      <c r="E229" s="6" t="s">
        <v>349</v>
      </c>
    </row>
    <row r="230" spans="1:5" ht="15.75" customHeight="1" x14ac:dyDescent="0.25">
      <c r="A230" s="6" t="str">
        <f t="shared" si="6"/>
        <v>Offering Celestial Oil</v>
      </c>
      <c r="C230" s="6" t="s">
        <v>771</v>
      </c>
      <c r="D230" s="6" t="s">
        <v>772</v>
      </c>
      <c r="E230" s="6" t="s">
        <v>349</v>
      </c>
    </row>
    <row r="231" spans="1:5" ht="15.75" customHeight="1" x14ac:dyDescent="0.25">
      <c r="A231" s="6" t="str">
        <f t="shared" si="6"/>
        <v xml:space="preserve">Discount </v>
      </c>
      <c r="C231" s="6" t="s">
        <v>294</v>
      </c>
      <c r="E231" s="6" t="s">
        <v>350</v>
      </c>
    </row>
    <row r="232" spans="1:5" ht="15.75" customHeight="1" x14ac:dyDescent="0.25"/>
    <row r="233" spans="1:5" ht="15.75" customHeight="1" x14ac:dyDescent="0.25"/>
    <row r="234" spans="1:5" ht="15.75" customHeight="1" x14ac:dyDescent="0.25"/>
    <row r="235" spans="1:5" ht="15.75" customHeight="1" x14ac:dyDescent="0.25"/>
    <row r="236" spans="1:5" ht="15.75" customHeight="1" x14ac:dyDescent="0.25"/>
    <row r="237" spans="1:5" ht="15.75" customHeight="1" x14ac:dyDescent="0.25"/>
    <row r="238" spans="1:5" ht="15.75" customHeight="1" x14ac:dyDescent="0.25"/>
    <row r="239" spans="1:5" ht="15.75" customHeight="1" x14ac:dyDescent="0.25"/>
    <row r="240" spans="1:5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</sheetData>
  <autoFilter ref="A1:E249" xr:uid="{00000000-0009-0000-0000-00000C000000}"/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151DC-53F3-4BA1-A46C-FC6ECA7E7602}">
  <dimension ref="A1:F10"/>
  <sheetViews>
    <sheetView workbookViewId="0">
      <selection activeCell="J19" sqref="J19"/>
    </sheetView>
  </sheetViews>
  <sheetFormatPr defaultRowHeight="15" x14ac:dyDescent="0.25"/>
  <sheetData>
    <row r="1" spans="1:6" x14ac:dyDescent="0.25">
      <c r="A1">
        <v>26.698</v>
      </c>
      <c r="B1">
        <f t="shared" ref="B1:C4" si="0">A1</f>
        <v>26.698</v>
      </c>
      <c r="C1">
        <f t="shared" si="0"/>
        <v>26.698</v>
      </c>
      <c r="D1">
        <f>B1</f>
        <v>26.698</v>
      </c>
      <c r="F1">
        <v>26.698</v>
      </c>
    </row>
    <row r="2" spans="1:6" x14ac:dyDescent="0.25">
      <c r="A2">
        <v>24.469000000000001</v>
      </c>
      <c r="B2">
        <f t="shared" si="0"/>
        <v>24.469000000000001</v>
      </c>
      <c r="C2">
        <f t="shared" si="0"/>
        <v>24.469000000000001</v>
      </c>
      <c r="E2">
        <v>24.469000000000001</v>
      </c>
    </row>
    <row r="3" spans="1:6" x14ac:dyDescent="0.25">
      <c r="A3">
        <v>23.582999999999998</v>
      </c>
      <c r="B3">
        <f t="shared" si="0"/>
        <v>23.582999999999998</v>
      </c>
      <c r="C3">
        <f t="shared" si="0"/>
        <v>23.582999999999998</v>
      </c>
      <c r="E3">
        <v>23.582999999999998</v>
      </c>
    </row>
    <row r="4" spans="1:6" x14ac:dyDescent="0.25">
      <c r="A4">
        <v>20</v>
      </c>
      <c r="B4">
        <f t="shared" si="0"/>
        <v>20</v>
      </c>
      <c r="C4">
        <f t="shared" si="0"/>
        <v>20</v>
      </c>
    </row>
    <row r="5" spans="1:6" x14ac:dyDescent="0.25">
      <c r="A5">
        <v>18.486999999999998</v>
      </c>
      <c r="B5">
        <f>A5</f>
        <v>18.486999999999998</v>
      </c>
      <c r="C5" s="1">
        <v>9</v>
      </c>
      <c r="D5">
        <f>B5</f>
        <v>18.486999999999998</v>
      </c>
      <c r="F5">
        <v>18.486999999999998</v>
      </c>
    </row>
    <row r="6" spans="1:6" x14ac:dyDescent="0.25">
      <c r="A6">
        <v>13.523</v>
      </c>
      <c r="B6">
        <f>A6</f>
        <v>13.523</v>
      </c>
      <c r="C6">
        <f>B6</f>
        <v>13.523</v>
      </c>
      <c r="D6">
        <f>B6</f>
        <v>13.523</v>
      </c>
    </row>
    <row r="7" spans="1:6" x14ac:dyDescent="0.25">
      <c r="A7">
        <v>2.7269999999999999</v>
      </c>
      <c r="B7">
        <f>A7</f>
        <v>2.7269999999999999</v>
      </c>
      <c r="C7">
        <f>B7</f>
        <v>2.7269999999999999</v>
      </c>
      <c r="D7">
        <f>B7</f>
        <v>2.7269999999999999</v>
      </c>
      <c r="F7">
        <v>2.7269999999999999</v>
      </c>
    </row>
    <row r="8" spans="1:6" x14ac:dyDescent="0.25">
      <c r="A8">
        <f t="shared" ref="A8:F8" si="1">SUM(A1:A7)</f>
        <v>129.48699999999999</v>
      </c>
      <c r="B8">
        <f t="shared" si="1"/>
        <v>129.48699999999999</v>
      </c>
      <c r="C8">
        <f t="shared" si="1"/>
        <v>120</v>
      </c>
      <c r="D8">
        <f t="shared" si="1"/>
        <v>61.434999999999995</v>
      </c>
      <c r="E8">
        <f t="shared" si="1"/>
        <v>48.052</v>
      </c>
      <c r="F8">
        <f t="shared" si="1"/>
        <v>47.911999999999999</v>
      </c>
    </row>
    <row r="9" spans="1:6" x14ac:dyDescent="0.25">
      <c r="C9">
        <f>C8-120</f>
        <v>0</v>
      </c>
      <c r="D9">
        <f>D8-60</f>
        <v>1.4349999999999952</v>
      </c>
      <c r="E9">
        <f>E8-60</f>
        <v>-11.948</v>
      </c>
      <c r="F9">
        <f>F8-60</f>
        <v>-12.088000000000001</v>
      </c>
    </row>
    <row r="10" spans="1:6" x14ac:dyDescent="0.25">
      <c r="C10">
        <f>57*C9</f>
        <v>0</v>
      </c>
      <c r="E10">
        <f>57*E9</f>
        <v>-681.03600000000006</v>
      </c>
      <c r="F10">
        <f>57*F9</f>
        <v>-689.01600000000008</v>
      </c>
    </row>
  </sheetData>
  <sortState xmlns:xlrd2="http://schemas.microsoft.com/office/spreadsheetml/2017/richdata2" ref="A1:B7">
    <sortCondition descending="1" ref="A1:A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1408A-BCA6-4291-9829-0DA33E2B3BF1}">
  <dimension ref="A1:S499"/>
  <sheetViews>
    <sheetView zoomScale="145" zoomScaleNormal="145"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bestFit="1" customWidth="1"/>
    <col min="2" max="2" width="11.140625" bestFit="1" customWidth="1"/>
    <col min="3" max="3" width="11.140625" customWidth="1"/>
    <col min="4" max="4" width="10.7109375" bestFit="1" customWidth="1"/>
    <col min="5" max="5" width="21.140625" bestFit="1" customWidth="1"/>
    <col min="6" max="6" width="13.7109375" bestFit="1" customWidth="1"/>
    <col min="7" max="7" width="9.7109375" bestFit="1" customWidth="1"/>
    <col min="8" max="8" width="13.7109375" bestFit="1" customWidth="1"/>
    <col min="9" max="9" width="8.140625" bestFit="1" customWidth="1"/>
    <col min="10" max="10" width="18.5703125" bestFit="1" customWidth="1"/>
    <col min="11" max="11" width="8.7109375" bestFit="1" customWidth="1"/>
    <col min="12" max="12" width="9.5703125" bestFit="1" customWidth="1"/>
    <col min="13" max="13" width="8.140625" bestFit="1" customWidth="1"/>
    <col min="14" max="14" width="11.140625" bestFit="1" customWidth="1"/>
    <col min="15" max="15" width="25.7109375" bestFit="1" customWidth="1"/>
    <col min="16" max="16" width="6.140625" bestFit="1" customWidth="1"/>
    <col min="17" max="17" width="12.7109375" bestFit="1" customWidth="1"/>
    <col min="18" max="18" width="7.140625" bestFit="1" customWidth="1"/>
  </cols>
  <sheetData>
    <row r="1" spans="1:19" ht="30" x14ac:dyDescent="0.25">
      <c r="A1" t="s">
        <v>0</v>
      </c>
      <c r="B1" s="2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f t="shared" ref="A2:A65" si="0">IF(OR(D2&lt;&gt;D1,D2=""),1,IF(NOT(AND(E2=E1,F2=F1,G2=G1)),A1+1,IF(OR(H2="",AND(H2&lt;&gt;"",H2&lt;&gt;H1,H1&lt;&gt;"")),A1,A1+1)))</f>
        <v>1</v>
      </c>
      <c r="B2" t="str">
        <f t="shared" ref="B2:B65" si="1">IF(D2&lt;&gt;"",TEXT(D2,"YYYYMMDD")&amp;CHAR(64+A2),"")</f>
        <v/>
      </c>
      <c r="C2">
        <f t="shared" ref="C2:C6" si="2">IF(OR(B2="",B2&lt;&gt;B10),1,C10+1)</f>
        <v>1</v>
      </c>
      <c r="D2" s="4"/>
      <c r="F2" t="e">
        <f>INDEX(Establishment!B$2:B$1005,MATCH($E2,Establishment!$A$2:$A$1005,0))</f>
        <v>#N/A</v>
      </c>
      <c r="G2" t="e">
        <f>INDEX(Establishment!C$2:C$1005,MATCH($E2,Establishment!$A$2:$A$1005,0))</f>
        <v>#N/A</v>
      </c>
      <c r="M2">
        <f t="shared" ref="M2:M6" si="3">K2*L2</f>
        <v>0</v>
      </c>
      <c r="N2">
        <f>IF(B2=B1,N1+M2,M2)</f>
        <v>0</v>
      </c>
      <c r="P2" t="e">
        <f>INDEX(Items!B$2:B$1032,MATCH($O2,Items!$A$2:$A$1032,0))</f>
        <v>#N/A</v>
      </c>
      <c r="Q2" t="e">
        <f>INDEX(Items!C$2:C$1032,MATCH($O2,Items!$A$2:$A$1032,0))</f>
        <v>#N/A</v>
      </c>
      <c r="R2" t="e">
        <f>INDEX(Items!D$2:D$1032,MATCH($O2,Items!$A$2:$A$1032,0))</f>
        <v>#N/A</v>
      </c>
    </row>
    <row r="3" spans="1:19" x14ac:dyDescent="0.25">
      <c r="A3">
        <f t="shared" si="0"/>
        <v>1</v>
      </c>
      <c r="B3" t="str">
        <f t="shared" si="1"/>
        <v/>
      </c>
      <c r="C3">
        <f t="shared" si="2"/>
        <v>1</v>
      </c>
      <c r="D3" s="4"/>
      <c r="F3" t="e">
        <f>INDEX(Establishment!B$2:B$1005,MATCH($E3,Establishment!$A$2:$A$1005,0))</f>
        <v>#N/A</v>
      </c>
      <c r="G3" t="e">
        <f>INDEX(Establishment!C$2:C$1005,MATCH($E3,Establishment!$A$2:$A$1005,0))</f>
        <v>#N/A</v>
      </c>
      <c r="M3">
        <f t="shared" si="3"/>
        <v>0</v>
      </c>
      <c r="N3">
        <f t="shared" ref="N3:N66" si="4">IF(B3=B2,N2+M3,M3)</f>
        <v>0</v>
      </c>
      <c r="P3" t="e">
        <f>INDEX(Items!B$2:B$1032,MATCH($O3,Items!$A$2:$A$1032,0))</f>
        <v>#N/A</v>
      </c>
      <c r="Q3" t="e">
        <f>INDEX(Items!C$2:C$1032,MATCH($O3,Items!$A$2:$A$1032,0))</f>
        <v>#N/A</v>
      </c>
      <c r="R3" t="e">
        <f>INDEX(Items!D$2:D$1032,MATCH($O3,Items!$A$2:$A$1032,0))</f>
        <v>#N/A</v>
      </c>
    </row>
    <row r="4" spans="1:19" x14ac:dyDescent="0.25">
      <c r="A4">
        <f t="shared" si="0"/>
        <v>1</v>
      </c>
      <c r="B4" t="str">
        <f t="shared" si="1"/>
        <v/>
      </c>
      <c r="C4">
        <f t="shared" si="2"/>
        <v>1</v>
      </c>
      <c r="D4" s="4"/>
      <c r="F4" t="e">
        <f>INDEX(Establishment!B$2:B$1005,MATCH($E4,Establishment!$A$2:$A$1005,0))</f>
        <v>#N/A</v>
      </c>
      <c r="G4" t="e">
        <f>INDEX(Establishment!C$2:C$1005,MATCH($E4,Establishment!$A$2:$A$1005,0))</f>
        <v>#N/A</v>
      </c>
      <c r="M4">
        <f t="shared" si="3"/>
        <v>0</v>
      </c>
      <c r="N4">
        <f t="shared" si="4"/>
        <v>0</v>
      </c>
      <c r="P4" t="e">
        <f>INDEX(Items!B$2:B$1032,MATCH($O4,Items!$A$2:$A$1032,0))</f>
        <v>#N/A</v>
      </c>
      <c r="Q4" t="e">
        <f>INDEX(Items!C$2:C$1032,MATCH($O4,Items!$A$2:$A$1032,0))</f>
        <v>#N/A</v>
      </c>
      <c r="R4" t="e">
        <f>INDEX(Items!D$2:D$1032,MATCH($O4,Items!$A$2:$A$1032,0))</f>
        <v>#N/A</v>
      </c>
    </row>
    <row r="5" spans="1:19" x14ac:dyDescent="0.25">
      <c r="A5">
        <f t="shared" si="0"/>
        <v>1</v>
      </c>
      <c r="B5" t="str">
        <f t="shared" si="1"/>
        <v/>
      </c>
      <c r="C5">
        <f t="shared" si="2"/>
        <v>1</v>
      </c>
      <c r="D5" s="4"/>
      <c r="F5" t="e">
        <f>INDEX(Establishment!B$2:B$1005,MATCH($E5,Establishment!$A$2:$A$1005,0))</f>
        <v>#N/A</v>
      </c>
      <c r="G5" t="e">
        <f>INDEX(Establishment!C$2:C$1005,MATCH($E5,Establishment!$A$2:$A$1005,0))</f>
        <v>#N/A</v>
      </c>
      <c r="M5">
        <f t="shared" si="3"/>
        <v>0</v>
      </c>
      <c r="N5">
        <f t="shared" si="4"/>
        <v>0</v>
      </c>
      <c r="P5" t="e">
        <f>INDEX(Items!B$2:B$1032,MATCH($O5,Items!$A$2:$A$1032,0))</f>
        <v>#N/A</v>
      </c>
      <c r="Q5" t="e">
        <f>INDEX(Items!C$2:C$1032,MATCH($O5,Items!$A$2:$A$1032,0))</f>
        <v>#N/A</v>
      </c>
      <c r="R5" t="e">
        <f>INDEX(Items!D$2:D$1032,MATCH($O5,Items!$A$2:$A$1032,0))</f>
        <v>#N/A</v>
      </c>
    </row>
    <row r="6" spans="1:19" x14ac:dyDescent="0.25">
      <c r="A6">
        <f t="shared" si="0"/>
        <v>1</v>
      </c>
      <c r="B6" t="str">
        <f t="shared" si="1"/>
        <v/>
      </c>
      <c r="C6">
        <f t="shared" si="2"/>
        <v>1</v>
      </c>
      <c r="D6" s="4"/>
      <c r="F6" t="e">
        <f>INDEX(Establishment!B$2:B$1005,MATCH($E6,Establishment!$A$2:$A$1005,0))</f>
        <v>#N/A</v>
      </c>
      <c r="G6" t="e">
        <f>INDEX(Establishment!C$2:C$1005,MATCH($E6,Establishment!$A$2:$A$1005,0))</f>
        <v>#N/A</v>
      </c>
      <c r="M6">
        <f t="shared" si="3"/>
        <v>0</v>
      </c>
      <c r="N6">
        <f t="shared" si="4"/>
        <v>0</v>
      </c>
      <c r="P6" t="e">
        <f>INDEX(Items!B$2:B$1032,MATCH($O6,Items!$A$2:$A$1032,0))</f>
        <v>#N/A</v>
      </c>
      <c r="Q6" t="e">
        <f>INDEX(Items!C$2:C$1032,MATCH($O6,Items!$A$2:$A$1032,0))</f>
        <v>#N/A</v>
      </c>
      <c r="R6" t="e">
        <f>INDEX(Items!D$2:D$1032,MATCH($O6,Items!$A$2:$A$1032,0))</f>
        <v>#N/A</v>
      </c>
    </row>
    <row r="7" spans="1:19" x14ac:dyDescent="0.25">
      <c r="A7">
        <f t="shared" si="0"/>
        <v>1</v>
      </c>
      <c r="B7" t="str">
        <f t="shared" si="1"/>
        <v/>
      </c>
      <c r="C7">
        <f>IF(OR(B7="",B7&lt;&gt;B15),1,C15+1)</f>
        <v>1</v>
      </c>
      <c r="D7" s="4"/>
      <c r="F7" t="e">
        <f>INDEX(Establishment!B$2:B$1005,MATCH($E7,Establishment!$A$2:$A$1005,0))</f>
        <v>#N/A</v>
      </c>
      <c r="G7" t="e">
        <f>INDEX(Establishment!C$2:C$1005,MATCH($E7,Establishment!$A$2:$A$1005,0))</f>
        <v>#N/A</v>
      </c>
      <c r="M7">
        <f>K7*L7</f>
        <v>0</v>
      </c>
      <c r="N7">
        <f t="shared" si="4"/>
        <v>0</v>
      </c>
      <c r="P7" t="e">
        <f>INDEX(Items!B$2:B$1032,MATCH($O7,Items!$A$2:$A$1032,0))</f>
        <v>#N/A</v>
      </c>
      <c r="Q7" t="e">
        <f>INDEX(Items!C$2:C$1032,MATCH($O7,Items!$A$2:$A$1032,0))</f>
        <v>#N/A</v>
      </c>
      <c r="R7" t="e">
        <f>INDEX(Items!D$2:D$1032,MATCH($O7,Items!$A$2:$A$1032,0))</f>
        <v>#N/A</v>
      </c>
    </row>
    <row r="8" spans="1:19" x14ac:dyDescent="0.25">
      <c r="A8">
        <f t="shared" si="0"/>
        <v>1</v>
      </c>
      <c r="B8" t="str">
        <f t="shared" si="1"/>
        <v/>
      </c>
      <c r="C8">
        <f>IF(OR(B8="",B8&lt;&gt;B7),1,C7+1)</f>
        <v>1</v>
      </c>
      <c r="D8" s="4"/>
      <c r="F8" t="e">
        <f>INDEX(Establishment!B$2:B$1005,MATCH($E8,Establishment!$A$2:$A$1005,0))</f>
        <v>#N/A</v>
      </c>
      <c r="G8" t="e">
        <f>INDEX(Establishment!C$2:C$1005,MATCH($E8,Establishment!$A$2:$A$1005,0))</f>
        <v>#N/A</v>
      </c>
      <c r="M8">
        <f>K8*L8</f>
        <v>0</v>
      </c>
      <c r="N8">
        <f t="shared" si="4"/>
        <v>0</v>
      </c>
      <c r="P8" t="e">
        <f>INDEX(Items!B$2:B$1032,MATCH($O8,Items!$A$2:$A$1032,0))</f>
        <v>#N/A</v>
      </c>
      <c r="Q8" t="e">
        <f>INDEX(Items!C$2:C$1032,MATCH($O8,Items!$A$2:$A$1032,0))</f>
        <v>#N/A</v>
      </c>
      <c r="R8" t="e">
        <f>INDEX(Items!D$2:D$1032,MATCH($O8,Items!$A$2:$A$1032,0))</f>
        <v>#N/A</v>
      </c>
    </row>
    <row r="9" spans="1:19" x14ac:dyDescent="0.25">
      <c r="A9">
        <f t="shared" si="0"/>
        <v>1</v>
      </c>
      <c r="B9" t="str">
        <f t="shared" si="1"/>
        <v/>
      </c>
      <c r="C9">
        <f>IF(OR(B9="",B9&lt;&gt;B8),1,C8+1)</f>
        <v>1</v>
      </c>
      <c r="D9" s="4"/>
      <c r="F9" t="e">
        <f>INDEX(Establishment!B$2:B$1005,MATCH($E9,Establishment!$A$2:$A$1005,0))</f>
        <v>#N/A</v>
      </c>
      <c r="G9" t="e">
        <f>INDEX(Establishment!C$2:C$1005,MATCH($E9,Establishment!$A$2:$A$1005,0))</f>
        <v>#N/A</v>
      </c>
      <c r="M9">
        <f>K9*L9</f>
        <v>0</v>
      </c>
      <c r="N9">
        <f t="shared" si="4"/>
        <v>0</v>
      </c>
      <c r="P9" t="e">
        <f>INDEX(Items!B$2:B$1032,MATCH($O9,Items!$A$2:$A$1032,0))</f>
        <v>#N/A</v>
      </c>
      <c r="Q9" t="e">
        <f>INDEX(Items!C$2:C$1032,MATCH($O9,Items!$A$2:$A$1032,0))</f>
        <v>#N/A</v>
      </c>
      <c r="R9" t="e">
        <f>INDEX(Items!D$2:D$1032,MATCH($O9,Items!$A$2:$A$1032,0))</f>
        <v>#N/A</v>
      </c>
    </row>
    <row r="10" spans="1:19" x14ac:dyDescent="0.25">
      <c r="A10">
        <f t="shared" si="0"/>
        <v>1</v>
      </c>
      <c r="B10" t="str">
        <f t="shared" si="1"/>
        <v/>
      </c>
      <c r="C10">
        <f t="shared" ref="C10:C73" si="5">IF(OR(B10="",B10&lt;&gt;B9),1,C9+1)</f>
        <v>1</v>
      </c>
      <c r="D10" s="4"/>
      <c r="F10" t="e">
        <f>INDEX(Establishment!B$2:B$1005,MATCH($E10,Establishment!$A$2:$A$1005,0))</f>
        <v>#N/A</v>
      </c>
      <c r="G10" t="e">
        <f>INDEX(Establishment!C$2:C$1005,MATCH($E10,Establishment!$A$2:$A$1005,0))</f>
        <v>#N/A</v>
      </c>
      <c r="M10">
        <f t="shared" ref="M10:M73" si="6">K10*L10</f>
        <v>0</v>
      </c>
      <c r="N10">
        <f t="shared" si="4"/>
        <v>0</v>
      </c>
      <c r="P10" t="e">
        <f>INDEX(Items!B$2:B$1032,MATCH($O10,Items!$A$2:$A$1032,0))</f>
        <v>#N/A</v>
      </c>
      <c r="Q10" t="e">
        <f>INDEX(Items!C$2:C$1032,MATCH($O10,Items!$A$2:$A$1032,0))</f>
        <v>#N/A</v>
      </c>
      <c r="R10" t="e">
        <f>INDEX(Items!D$2:D$1032,MATCH($O10,Items!$A$2:$A$1032,0))</f>
        <v>#N/A</v>
      </c>
    </row>
    <row r="11" spans="1:19" x14ac:dyDescent="0.25">
      <c r="A11">
        <f t="shared" si="0"/>
        <v>1</v>
      </c>
      <c r="B11" t="str">
        <f t="shared" si="1"/>
        <v/>
      </c>
      <c r="C11">
        <f t="shared" si="5"/>
        <v>1</v>
      </c>
      <c r="D11" s="4"/>
      <c r="F11" t="e">
        <f>INDEX(Establishment!B$2:B$1005,MATCH($E11,Establishment!$A$2:$A$1005,0))</f>
        <v>#N/A</v>
      </c>
      <c r="G11" t="e">
        <f>INDEX(Establishment!C$2:C$1005,MATCH($E11,Establishment!$A$2:$A$1005,0))</f>
        <v>#N/A</v>
      </c>
      <c r="M11">
        <f t="shared" si="6"/>
        <v>0</v>
      </c>
      <c r="N11">
        <f t="shared" si="4"/>
        <v>0</v>
      </c>
      <c r="P11" t="e">
        <f>INDEX(Items!B$2:B$1032,MATCH($O11,Items!$A$2:$A$1032,0))</f>
        <v>#N/A</v>
      </c>
      <c r="Q11" t="e">
        <f>INDEX(Items!C$2:C$1032,MATCH($O11,Items!$A$2:$A$1032,0))</f>
        <v>#N/A</v>
      </c>
      <c r="R11" t="e">
        <f>INDEX(Items!D$2:D$1032,MATCH($O11,Items!$A$2:$A$1032,0))</f>
        <v>#N/A</v>
      </c>
    </row>
    <row r="12" spans="1:19" x14ac:dyDescent="0.25">
      <c r="A12">
        <f t="shared" si="0"/>
        <v>1</v>
      </c>
      <c r="B12" t="str">
        <f t="shared" si="1"/>
        <v/>
      </c>
      <c r="C12">
        <f t="shared" si="5"/>
        <v>1</v>
      </c>
      <c r="D12" s="4"/>
      <c r="F12" t="e">
        <f>INDEX(Establishment!B$2:B$1005,MATCH($E12,Establishment!$A$2:$A$1005,0))</f>
        <v>#N/A</v>
      </c>
      <c r="G12" t="e">
        <f>INDEX(Establishment!C$2:C$1005,MATCH($E12,Establishment!$A$2:$A$1005,0))</f>
        <v>#N/A</v>
      </c>
      <c r="M12">
        <f t="shared" si="6"/>
        <v>0</v>
      </c>
      <c r="N12">
        <f t="shared" si="4"/>
        <v>0</v>
      </c>
      <c r="P12" t="e">
        <f>INDEX(Items!B$2:B$1032,MATCH($O12,Items!$A$2:$A$1032,0))</f>
        <v>#N/A</v>
      </c>
      <c r="Q12" t="e">
        <f>INDEX(Items!C$2:C$1032,MATCH($O12,Items!$A$2:$A$1032,0))</f>
        <v>#N/A</v>
      </c>
      <c r="R12" t="e">
        <f>INDEX(Items!D$2:D$1032,MATCH($O12,Items!$A$2:$A$1032,0))</f>
        <v>#N/A</v>
      </c>
    </row>
    <row r="13" spans="1:19" x14ac:dyDescent="0.25">
      <c r="A13">
        <f t="shared" si="0"/>
        <v>1</v>
      </c>
      <c r="B13" t="str">
        <f t="shared" si="1"/>
        <v/>
      </c>
      <c r="C13">
        <f t="shared" si="5"/>
        <v>1</v>
      </c>
      <c r="D13" s="4"/>
      <c r="F13" t="e">
        <f>INDEX(Establishment!B$2:B$1005,MATCH($E13,Establishment!$A$2:$A$1005,0))</f>
        <v>#N/A</v>
      </c>
      <c r="G13" t="e">
        <f>INDEX(Establishment!C$2:C$1005,MATCH($E13,Establishment!$A$2:$A$1005,0))</f>
        <v>#N/A</v>
      </c>
      <c r="M13">
        <f t="shared" si="6"/>
        <v>0</v>
      </c>
      <c r="N13">
        <f t="shared" si="4"/>
        <v>0</v>
      </c>
      <c r="P13" t="e">
        <f>INDEX(Items!B$2:B$1032,MATCH($O13,Items!$A$2:$A$1032,0))</f>
        <v>#N/A</v>
      </c>
      <c r="Q13" t="e">
        <f>INDEX(Items!C$2:C$1032,MATCH($O13,Items!$A$2:$A$1032,0))</f>
        <v>#N/A</v>
      </c>
      <c r="R13" t="e">
        <f>INDEX(Items!D$2:D$1032,MATCH($O13,Items!$A$2:$A$1032,0))</f>
        <v>#N/A</v>
      </c>
    </row>
    <row r="14" spans="1:19" x14ac:dyDescent="0.25">
      <c r="A14">
        <f t="shared" si="0"/>
        <v>1</v>
      </c>
      <c r="B14" t="str">
        <f t="shared" si="1"/>
        <v/>
      </c>
      <c r="C14">
        <f t="shared" si="5"/>
        <v>1</v>
      </c>
      <c r="D14" s="4"/>
      <c r="F14" t="e">
        <f>INDEX(Establishment!B$2:B$1005,MATCH($E14,Establishment!$A$2:$A$1005,0))</f>
        <v>#N/A</v>
      </c>
      <c r="G14" t="e">
        <f>INDEX(Establishment!C$2:C$1005,MATCH($E14,Establishment!$A$2:$A$1005,0))</f>
        <v>#N/A</v>
      </c>
      <c r="M14">
        <f t="shared" si="6"/>
        <v>0</v>
      </c>
      <c r="N14">
        <f t="shared" si="4"/>
        <v>0</v>
      </c>
      <c r="P14" t="e">
        <f>INDEX(Items!B$2:B$1032,MATCH($O14,Items!$A$2:$A$1032,0))</f>
        <v>#N/A</v>
      </c>
      <c r="Q14" t="e">
        <f>INDEX(Items!C$2:C$1032,MATCH($O14,Items!$A$2:$A$1032,0))</f>
        <v>#N/A</v>
      </c>
      <c r="R14" t="e">
        <f>INDEX(Items!D$2:D$1032,MATCH($O14,Items!$A$2:$A$1032,0))</f>
        <v>#N/A</v>
      </c>
    </row>
    <row r="15" spans="1:19" x14ac:dyDescent="0.25">
      <c r="A15">
        <f t="shared" si="0"/>
        <v>1</v>
      </c>
      <c r="B15" t="str">
        <f t="shared" si="1"/>
        <v/>
      </c>
      <c r="C15">
        <f t="shared" si="5"/>
        <v>1</v>
      </c>
      <c r="D15" s="4"/>
      <c r="F15" t="e">
        <f>INDEX(Establishment!B$2:B$1005,MATCH($E15,Establishment!$A$2:$A$1005,0))</f>
        <v>#N/A</v>
      </c>
      <c r="G15" t="e">
        <f>INDEX(Establishment!C$2:C$1005,MATCH($E15,Establishment!$A$2:$A$1005,0))</f>
        <v>#N/A</v>
      </c>
      <c r="M15">
        <f>K15*L15</f>
        <v>0</v>
      </c>
      <c r="N15">
        <f t="shared" si="4"/>
        <v>0</v>
      </c>
      <c r="P15" t="e">
        <f>INDEX(Items!B$2:B$1032,MATCH($O15,Items!$A$2:$A$1032,0))</f>
        <v>#N/A</v>
      </c>
      <c r="Q15" t="e">
        <f>INDEX(Items!C$2:C$1032,MATCH($O15,Items!$A$2:$A$1032,0))</f>
        <v>#N/A</v>
      </c>
      <c r="R15" t="e">
        <f>INDEX(Items!D$2:D$1032,MATCH($O15,Items!$A$2:$A$1032,0))</f>
        <v>#N/A</v>
      </c>
    </row>
    <row r="16" spans="1:19" x14ac:dyDescent="0.25">
      <c r="A16">
        <f t="shared" si="0"/>
        <v>1</v>
      </c>
      <c r="B16" t="str">
        <f t="shared" si="1"/>
        <v/>
      </c>
      <c r="C16">
        <f t="shared" si="5"/>
        <v>1</v>
      </c>
      <c r="D16" s="4"/>
      <c r="F16" t="e">
        <f>INDEX(Establishment!B$2:B$1005,MATCH($E16,Establishment!$A$2:$A$1005,0))</f>
        <v>#N/A</v>
      </c>
      <c r="G16" t="e">
        <f>INDEX(Establishment!C$2:C$1005,MATCH($E16,Establishment!$A$2:$A$1005,0))</f>
        <v>#N/A</v>
      </c>
      <c r="M16">
        <f t="shared" si="6"/>
        <v>0</v>
      </c>
      <c r="N16">
        <f t="shared" si="4"/>
        <v>0</v>
      </c>
      <c r="P16" t="e">
        <f>INDEX(Items!B$2:B$1032,MATCH($O16,Items!$A$2:$A$1032,0))</f>
        <v>#N/A</v>
      </c>
      <c r="Q16" t="e">
        <f>INDEX(Items!C$2:C$1032,MATCH($O16,Items!$A$2:$A$1032,0))</f>
        <v>#N/A</v>
      </c>
      <c r="R16" t="e">
        <f>INDEX(Items!D$2:D$1032,MATCH($O16,Items!$A$2:$A$1032,0))</f>
        <v>#N/A</v>
      </c>
    </row>
    <row r="17" spans="1:18" x14ac:dyDescent="0.25">
      <c r="A17">
        <f t="shared" si="0"/>
        <v>1</v>
      </c>
      <c r="B17" t="str">
        <f t="shared" si="1"/>
        <v/>
      </c>
      <c r="C17">
        <f t="shared" si="5"/>
        <v>1</v>
      </c>
      <c r="D17" s="4"/>
      <c r="F17" t="e">
        <f>INDEX(Establishment!B$2:B$1005,MATCH($E17,Establishment!$A$2:$A$1005,0))</f>
        <v>#N/A</v>
      </c>
      <c r="G17" t="e">
        <f>INDEX(Establishment!C$2:C$1005,MATCH($E17,Establishment!$A$2:$A$1005,0))</f>
        <v>#N/A</v>
      </c>
      <c r="M17">
        <f t="shared" si="6"/>
        <v>0</v>
      </c>
      <c r="N17">
        <f t="shared" si="4"/>
        <v>0</v>
      </c>
      <c r="P17" t="e">
        <f>INDEX(Items!B$2:B$1032,MATCH($O17,Items!$A$2:$A$1032,0))</f>
        <v>#N/A</v>
      </c>
      <c r="Q17" t="e">
        <f>INDEX(Items!C$2:C$1032,MATCH($O17,Items!$A$2:$A$1032,0))</f>
        <v>#N/A</v>
      </c>
      <c r="R17" t="e">
        <f>INDEX(Items!D$2:D$1032,MATCH($O17,Items!$A$2:$A$1032,0))</f>
        <v>#N/A</v>
      </c>
    </row>
    <row r="18" spans="1:18" x14ac:dyDescent="0.25">
      <c r="A18">
        <f t="shared" si="0"/>
        <v>1</v>
      </c>
      <c r="B18" t="str">
        <f t="shared" si="1"/>
        <v/>
      </c>
      <c r="C18">
        <f t="shared" si="5"/>
        <v>1</v>
      </c>
      <c r="D18" s="4"/>
      <c r="F18" t="e">
        <f>INDEX(Establishment!B$2:B$1005,MATCH($E18,Establishment!$A$2:$A$1005,0))</f>
        <v>#N/A</v>
      </c>
      <c r="G18" t="e">
        <f>INDEX(Establishment!C$2:C$1005,MATCH($E18,Establishment!$A$2:$A$1005,0))</f>
        <v>#N/A</v>
      </c>
      <c r="M18">
        <f t="shared" si="6"/>
        <v>0</v>
      </c>
      <c r="N18">
        <f t="shared" si="4"/>
        <v>0</v>
      </c>
      <c r="P18" t="e">
        <f>INDEX(Items!B$2:B$1032,MATCH($O18,Items!$A$2:$A$1032,0))</f>
        <v>#N/A</v>
      </c>
      <c r="Q18" t="e">
        <f>INDEX(Items!C$2:C$1032,MATCH($O18,Items!$A$2:$A$1032,0))</f>
        <v>#N/A</v>
      </c>
      <c r="R18" t="e">
        <f>INDEX(Items!D$2:D$1032,MATCH($O18,Items!$A$2:$A$1032,0))</f>
        <v>#N/A</v>
      </c>
    </row>
    <row r="19" spans="1:18" x14ac:dyDescent="0.25">
      <c r="A19">
        <f t="shared" si="0"/>
        <v>1</v>
      </c>
      <c r="B19" t="str">
        <f t="shared" si="1"/>
        <v/>
      </c>
      <c r="C19">
        <f t="shared" si="5"/>
        <v>1</v>
      </c>
      <c r="D19" s="4"/>
      <c r="F19" t="e">
        <f>INDEX(Establishment!B$2:B$1005,MATCH($E19,Establishment!$A$2:$A$1005,0))</f>
        <v>#N/A</v>
      </c>
      <c r="G19" t="e">
        <f>INDEX(Establishment!C$2:C$1005,MATCH($E19,Establishment!$A$2:$A$1005,0))</f>
        <v>#N/A</v>
      </c>
      <c r="M19">
        <f t="shared" si="6"/>
        <v>0</v>
      </c>
      <c r="N19">
        <f t="shared" si="4"/>
        <v>0</v>
      </c>
      <c r="P19" t="e">
        <f>INDEX(Items!B$2:B$1032,MATCH($O19,Items!$A$2:$A$1032,0))</f>
        <v>#N/A</v>
      </c>
      <c r="Q19" t="e">
        <f>INDEX(Items!C$2:C$1032,MATCH($O19,Items!$A$2:$A$1032,0))</f>
        <v>#N/A</v>
      </c>
      <c r="R19" t="e">
        <f>INDEX(Items!D$2:D$1032,MATCH($O19,Items!$A$2:$A$1032,0))</f>
        <v>#N/A</v>
      </c>
    </row>
    <row r="20" spans="1:18" x14ac:dyDescent="0.25">
      <c r="A20">
        <f t="shared" si="0"/>
        <v>1</v>
      </c>
      <c r="B20" t="str">
        <f t="shared" si="1"/>
        <v/>
      </c>
      <c r="C20">
        <f t="shared" si="5"/>
        <v>1</v>
      </c>
      <c r="D20" s="4"/>
      <c r="F20" t="e">
        <f>INDEX(Establishment!B$2:B$1005,MATCH($E20,Establishment!$A$2:$A$1005,0))</f>
        <v>#N/A</v>
      </c>
      <c r="G20" t="e">
        <f>INDEX(Establishment!C$2:C$1005,MATCH($E20,Establishment!$A$2:$A$1005,0))</f>
        <v>#N/A</v>
      </c>
      <c r="M20">
        <f t="shared" si="6"/>
        <v>0</v>
      </c>
      <c r="N20">
        <f t="shared" si="4"/>
        <v>0</v>
      </c>
      <c r="P20" t="e">
        <f>INDEX(Items!B$2:B$1032,MATCH($O20,Items!$A$2:$A$1032,0))</f>
        <v>#N/A</v>
      </c>
      <c r="Q20" t="e">
        <f>INDEX(Items!C$2:C$1032,MATCH($O20,Items!$A$2:$A$1032,0))</f>
        <v>#N/A</v>
      </c>
      <c r="R20" t="e">
        <f>INDEX(Items!D$2:D$1032,MATCH($O20,Items!$A$2:$A$1032,0))</f>
        <v>#N/A</v>
      </c>
    </row>
    <row r="21" spans="1:18" x14ac:dyDescent="0.25">
      <c r="A21">
        <f t="shared" si="0"/>
        <v>1</v>
      </c>
      <c r="B21" t="str">
        <f t="shared" si="1"/>
        <v/>
      </c>
      <c r="C21">
        <f t="shared" si="5"/>
        <v>1</v>
      </c>
      <c r="D21" s="4"/>
      <c r="F21" t="e">
        <f>INDEX(Establishment!B$2:B$1005,MATCH($E21,Establishment!$A$2:$A$1005,0))</f>
        <v>#N/A</v>
      </c>
      <c r="G21" t="e">
        <f>INDEX(Establishment!C$2:C$1005,MATCH($E21,Establishment!$A$2:$A$1005,0))</f>
        <v>#N/A</v>
      </c>
      <c r="M21">
        <f t="shared" si="6"/>
        <v>0</v>
      </c>
      <c r="N21">
        <f t="shared" si="4"/>
        <v>0</v>
      </c>
      <c r="P21" t="e">
        <f>INDEX(Items!B$2:B$1032,MATCH($O21,Items!$A$2:$A$1032,0))</f>
        <v>#N/A</v>
      </c>
      <c r="Q21" t="e">
        <f>INDEX(Items!C$2:C$1032,MATCH($O21,Items!$A$2:$A$1032,0))</f>
        <v>#N/A</v>
      </c>
      <c r="R21" t="e">
        <f>INDEX(Items!D$2:D$1032,MATCH($O21,Items!$A$2:$A$1032,0))</f>
        <v>#N/A</v>
      </c>
    </row>
    <row r="22" spans="1:18" x14ac:dyDescent="0.25">
      <c r="A22">
        <f t="shared" si="0"/>
        <v>1</v>
      </c>
      <c r="B22" t="str">
        <f t="shared" si="1"/>
        <v/>
      </c>
      <c r="C22">
        <f t="shared" si="5"/>
        <v>1</v>
      </c>
      <c r="D22" s="4"/>
      <c r="F22" t="e">
        <f>INDEX(Establishment!B$2:B$1005,MATCH($E22,Establishment!$A$2:$A$1005,0))</f>
        <v>#N/A</v>
      </c>
      <c r="G22" t="e">
        <f>INDEX(Establishment!C$2:C$1005,MATCH($E22,Establishment!$A$2:$A$1005,0))</f>
        <v>#N/A</v>
      </c>
      <c r="M22">
        <f t="shared" si="6"/>
        <v>0</v>
      </c>
      <c r="N22">
        <f t="shared" si="4"/>
        <v>0</v>
      </c>
      <c r="P22" t="e">
        <f>INDEX(Items!B$2:B$1032,MATCH($O22,Items!$A$2:$A$1032,0))</f>
        <v>#N/A</v>
      </c>
      <c r="Q22" t="e">
        <f>INDEX(Items!C$2:C$1032,MATCH($O22,Items!$A$2:$A$1032,0))</f>
        <v>#N/A</v>
      </c>
      <c r="R22" t="e">
        <f>INDEX(Items!D$2:D$1032,MATCH($O22,Items!$A$2:$A$1032,0))</f>
        <v>#N/A</v>
      </c>
    </row>
    <row r="23" spans="1:18" x14ac:dyDescent="0.25">
      <c r="A23">
        <f t="shared" si="0"/>
        <v>1</v>
      </c>
      <c r="B23" t="str">
        <f t="shared" si="1"/>
        <v/>
      </c>
      <c r="C23">
        <f t="shared" si="5"/>
        <v>1</v>
      </c>
      <c r="D23" s="4"/>
      <c r="F23" t="e">
        <f>INDEX(Establishment!B$2:B$1005,MATCH($E23,Establishment!$A$2:$A$1005,0))</f>
        <v>#N/A</v>
      </c>
      <c r="G23" t="e">
        <f>INDEX(Establishment!C$2:C$1005,MATCH($E23,Establishment!$A$2:$A$1005,0))</f>
        <v>#N/A</v>
      </c>
      <c r="M23">
        <f t="shared" si="6"/>
        <v>0</v>
      </c>
      <c r="N23">
        <f t="shared" si="4"/>
        <v>0</v>
      </c>
      <c r="P23" t="e">
        <f>INDEX(Items!B$2:B$1032,MATCH($O23,Items!$A$2:$A$1032,0))</f>
        <v>#N/A</v>
      </c>
      <c r="Q23" t="e">
        <f>INDEX(Items!C$2:C$1032,MATCH($O23,Items!$A$2:$A$1032,0))</f>
        <v>#N/A</v>
      </c>
      <c r="R23" t="e">
        <f>INDEX(Items!D$2:D$1032,MATCH($O23,Items!$A$2:$A$1032,0))</f>
        <v>#N/A</v>
      </c>
    </row>
    <row r="24" spans="1:18" x14ac:dyDescent="0.25">
      <c r="A24">
        <f t="shared" si="0"/>
        <v>1</v>
      </c>
      <c r="B24" t="str">
        <f t="shared" si="1"/>
        <v/>
      </c>
      <c r="C24">
        <f t="shared" si="5"/>
        <v>1</v>
      </c>
      <c r="D24" s="4"/>
      <c r="F24" t="e">
        <f>INDEX(Establishment!B$2:B$1005,MATCH($E24,Establishment!$A$2:$A$1005,0))</f>
        <v>#N/A</v>
      </c>
      <c r="G24" t="e">
        <f>INDEX(Establishment!C$2:C$1005,MATCH($E24,Establishment!$A$2:$A$1005,0))</f>
        <v>#N/A</v>
      </c>
      <c r="M24">
        <f t="shared" si="6"/>
        <v>0</v>
      </c>
      <c r="N24">
        <f t="shared" si="4"/>
        <v>0</v>
      </c>
      <c r="P24" t="e">
        <f>INDEX(Items!B$2:B$1032,MATCH($O24,Items!$A$2:$A$1032,0))</f>
        <v>#N/A</v>
      </c>
      <c r="Q24" t="e">
        <f>INDEX(Items!C$2:C$1032,MATCH($O24,Items!$A$2:$A$1032,0))</f>
        <v>#N/A</v>
      </c>
      <c r="R24" t="e">
        <f>INDEX(Items!D$2:D$1032,MATCH($O24,Items!$A$2:$A$1032,0))</f>
        <v>#N/A</v>
      </c>
    </row>
    <row r="25" spans="1:18" x14ac:dyDescent="0.25">
      <c r="A25">
        <f t="shared" si="0"/>
        <v>1</v>
      </c>
      <c r="B25" t="str">
        <f t="shared" si="1"/>
        <v/>
      </c>
      <c r="C25">
        <f t="shared" si="5"/>
        <v>1</v>
      </c>
      <c r="D25" s="4"/>
      <c r="F25" t="e">
        <f>INDEX(Establishment!B$2:B$1005,MATCH($E25,Establishment!$A$2:$A$1005,0))</f>
        <v>#N/A</v>
      </c>
      <c r="G25" t="e">
        <f>INDEX(Establishment!C$2:C$1005,MATCH($E25,Establishment!$A$2:$A$1005,0))</f>
        <v>#N/A</v>
      </c>
      <c r="M25">
        <f t="shared" si="6"/>
        <v>0</v>
      </c>
      <c r="N25">
        <f t="shared" si="4"/>
        <v>0</v>
      </c>
      <c r="P25" t="e">
        <f>INDEX(Items!B$2:B$1032,MATCH($O25,Items!$A$2:$A$1032,0))</f>
        <v>#N/A</v>
      </c>
      <c r="Q25" t="e">
        <f>INDEX(Items!C$2:C$1032,MATCH($O25,Items!$A$2:$A$1032,0))</f>
        <v>#N/A</v>
      </c>
      <c r="R25" t="e">
        <f>INDEX(Items!D$2:D$1032,MATCH($O25,Items!$A$2:$A$1032,0))</f>
        <v>#N/A</v>
      </c>
    </row>
    <row r="26" spans="1:18" x14ac:dyDescent="0.25">
      <c r="A26">
        <f t="shared" si="0"/>
        <v>1</v>
      </c>
      <c r="B26" t="str">
        <f t="shared" si="1"/>
        <v/>
      </c>
      <c r="C26">
        <f t="shared" si="5"/>
        <v>1</v>
      </c>
      <c r="D26" s="4"/>
      <c r="F26" t="s">
        <v>43</v>
      </c>
      <c r="G26" t="s">
        <v>44</v>
      </c>
      <c r="M26">
        <f t="shared" si="6"/>
        <v>0</v>
      </c>
      <c r="N26">
        <f t="shared" si="4"/>
        <v>0</v>
      </c>
      <c r="P26" t="e">
        <f>INDEX(Items!B$2:B$1032,MATCH($O26,Items!$A$2:$A$1032,0))</f>
        <v>#N/A</v>
      </c>
      <c r="Q26" t="e">
        <f>INDEX(Items!C$2:C$1032,MATCH($O26,Items!$A$2:$A$1032,0))</f>
        <v>#N/A</v>
      </c>
      <c r="R26" t="e">
        <f>INDEX(Items!D$2:D$1032,MATCH($O26,Items!$A$2:$A$1032,0))</f>
        <v>#N/A</v>
      </c>
    </row>
    <row r="27" spans="1:18" x14ac:dyDescent="0.25">
      <c r="A27">
        <f t="shared" si="0"/>
        <v>1</v>
      </c>
      <c r="B27" t="str">
        <f t="shared" si="1"/>
        <v/>
      </c>
      <c r="C27">
        <f t="shared" si="5"/>
        <v>1</v>
      </c>
      <c r="D27" s="4"/>
      <c r="F27" t="s">
        <v>43</v>
      </c>
      <c r="G27" t="s">
        <v>44</v>
      </c>
      <c r="M27">
        <f t="shared" si="6"/>
        <v>0</v>
      </c>
      <c r="N27">
        <f t="shared" si="4"/>
        <v>0</v>
      </c>
      <c r="P27" t="e">
        <f>INDEX(Items!B$2:B$1032,MATCH($O27,Items!$A$2:$A$1032,0))</f>
        <v>#N/A</v>
      </c>
      <c r="Q27" t="e">
        <f>INDEX(Items!C$2:C$1032,MATCH($O27,Items!$A$2:$A$1032,0))</f>
        <v>#N/A</v>
      </c>
      <c r="R27" t="e">
        <f>INDEX(Items!D$2:D$1032,MATCH($O27,Items!$A$2:$A$1032,0))</f>
        <v>#N/A</v>
      </c>
    </row>
    <row r="28" spans="1:18" x14ac:dyDescent="0.25">
      <c r="A28">
        <f t="shared" si="0"/>
        <v>1</v>
      </c>
      <c r="B28" t="str">
        <f t="shared" si="1"/>
        <v/>
      </c>
      <c r="C28">
        <f t="shared" si="5"/>
        <v>1</v>
      </c>
      <c r="D28" s="4"/>
      <c r="F28" t="s">
        <v>43</v>
      </c>
      <c r="G28" t="s">
        <v>44</v>
      </c>
      <c r="M28">
        <f t="shared" si="6"/>
        <v>0</v>
      </c>
      <c r="N28">
        <f t="shared" si="4"/>
        <v>0</v>
      </c>
      <c r="P28" t="e">
        <f>INDEX(Items!B$2:B$1032,MATCH($O28,Items!$A$2:$A$1032,0))</f>
        <v>#N/A</v>
      </c>
      <c r="Q28" t="e">
        <f>INDEX(Items!C$2:C$1032,MATCH($O28,Items!$A$2:$A$1032,0))</f>
        <v>#N/A</v>
      </c>
      <c r="R28" t="e">
        <f>INDEX(Items!D$2:D$1032,MATCH($O28,Items!$A$2:$A$1032,0))</f>
        <v>#N/A</v>
      </c>
    </row>
    <row r="29" spans="1:18" x14ac:dyDescent="0.25">
      <c r="A29">
        <f t="shared" si="0"/>
        <v>1</v>
      </c>
      <c r="B29" t="str">
        <f t="shared" si="1"/>
        <v/>
      </c>
      <c r="C29">
        <f t="shared" si="5"/>
        <v>1</v>
      </c>
      <c r="D29" s="4"/>
      <c r="F29" t="e">
        <f>INDEX(Establishment!B$2:B$1005,MATCH($E29,Establishment!$A$2:$A$1005,0))</f>
        <v>#N/A</v>
      </c>
      <c r="G29" t="e">
        <f>INDEX(Establishment!C$2:C$1005,MATCH($E29,Establishment!$A$2:$A$1005,0))</f>
        <v>#N/A</v>
      </c>
      <c r="M29">
        <f t="shared" si="6"/>
        <v>0</v>
      </c>
      <c r="N29">
        <f t="shared" si="4"/>
        <v>0</v>
      </c>
      <c r="P29" t="e">
        <f>INDEX(Items!B$2:B$1032,MATCH($O29,Items!$A$2:$A$1032,0))</f>
        <v>#N/A</v>
      </c>
      <c r="Q29" t="e">
        <f>INDEX(Items!C$2:C$1032,MATCH($O29,Items!$A$2:$A$1032,0))</f>
        <v>#N/A</v>
      </c>
      <c r="R29" t="e">
        <f>INDEX(Items!D$2:D$1032,MATCH($O29,Items!$A$2:$A$1032,0))</f>
        <v>#N/A</v>
      </c>
    </row>
    <row r="30" spans="1:18" x14ac:dyDescent="0.25">
      <c r="A30">
        <f t="shared" si="0"/>
        <v>1</v>
      </c>
      <c r="B30" t="str">
        <f t="shared" si="1"/>
        <v/>
      </c>
      <c r="C30">
        <f t="shared" si="5"/>
        <v>1</v>
      </c>
      <c r="D30" s="4"/>
      <c r="F30" t="e">
        <f>INDEX(Establishment!B$2:B$1005,MATCH($E30,Establishment!$A$2:$A$1005,0))</f>
        <v>#N/A</v>
      </c>
      <c r="G30" t="e">
        <f>INDEX(Establishment!C$2:C$1005,MATCH($E30,Establishment!$A$2:$A$1005,0))</f>
        <v>#N/A</v>
      </c>
      <c r="M30">
        <f t="shared" si="6"/>
        <v>0</v>
      </c>
      <c r="N30">
        <f t="shared" si="4"/>
        <v>0</v>
      </c>
      <c r="P30" t="e">
        <f>INDEX(Items!B$2:B$1032,MATCH($O30,Items!$A$2:$A$1032,0))</f>
        <v>#N/A</v>
      </c>
      <c r="Q30" t="e">
        <f>INDEX(Items!C$2:C$1032,MATCH($O30,Items!$A$2:$A$1032,0))</f>
        <v>#N/A</v>
      </c>
      <c r="R30" t="e">
        <f>INDEX(Items!D$2:D$1032,MATCH($O30,Items!$A$2:$A$1032,0))</f>
        <v>#N/A</v>
      </c>
    </row>
    <row r="31" spans="1:18" x14ac:dyDescent="0.25">
      <c r="A31">
        <f t="shared" si="0"/>
        <v>1</v>
      </c>
      <c r="B31" t="str">
        <f t="shared" si="1"/>
        <v/>
      </c>
      <c r="C31">
        <f t="shared" si="5"/>
        <v>1</v>
      </c>
      <c r="D31" s="4"/>
      <c r="F31" t="e">
        <f>INDEX(Establishment!B$2:B$1005,MATCH($E31,Establishment!$A$2:$A$1005,0))</f>
        <v>#N/A</v>
      </c>
      <c r="G31" t="e">
        <f>INDEX(Establishment!C$2:C$1005,MATCH($E31,Establishment!$A$2:$A$1005,0))</f>
        <v>#N/A</v>
      </c>
      <c r="M31">
        <f t="shared" si="6"/>
        <v>0</v>
      </c>
      <c r="N31">
        <f t="shared" si="4"/>
        <v>0</v>
      </c>
      <c r="P31" t="e">
        <f>INDEX(Items!B$2:B$1032,MATCH($O31,Items!$A$2:$A$1032,0))</f>
        <v>#N/A</v>
      </c>
      <c r="Q31" t="e">
        <f>INDEX(Items!C$2:C$1032,MATCH($O31,Items!$A$2:$A$1032,0))</f>
        <v>#N/A</v>
      </c>
      <c r="R31" t="e">
        <f>INDEX(Items!D$2:D$1032,MATCH($O31,Items!$A$2:$A$1032,0))</f>
        <v>#N/A</v>
      </c>
    </row>
    <row r="32" spans="1:18" x14ac:dyDescent="0.25">
      <c r="A32">
        <f t="shared" si="0"/>
        <v>1</v>
      </c>
      <c r="B32" t="str">
        <f t="shared" si="1"/>
        <v/>
      </c>
      <c r="C32">
        <f t="shared" si="5"/>
        <v>1</v>
      </c>
      <c r="D32" s="4"/>
      <c r="F32" t="s">
        <v>43</v>
      </c>
      <c r="G32" t="s">
        <v>46</v>
      </c>
      <c r="M32">
        <f t="shared" si="6"/>
        <v>0</v>
      </c>
      <c r="N32">
        <f t="shared" si="4"/>
        <v>0</v>
      </c>
      <c r="P32" t="e">
        <f>INDEX(Items!B$2:B$1032,MATCH($O32,Items!$A$2:$A$1032,0))</f>
        <v>#N/A</v>
      </c>
      <c r="Q32" t="e">
        <f>INDEX(Items!C$2:C$1032,MATCH($O32,Items!$A$2:$A$1032,0))</f>
        <v>#N/A</v>
      </c>
      <c r="R32" t="e">
        <f>INDEX(Items!D$2:D$1032,MATCH($O32,Items!$A$2:$A$1032,0))</f>
        <v>#N/A</v>
      </c>
    </row>
    <row r="33" spans="1:18" x14ac:dyDescent="0.25">
      <c r="A33">
        <f t="shared" si="0"/>
        <v>1</v>
      </c>
      <c r="B33" t="str">
        <f t="shared" si="1"/>
        <v/>
      </c>
      <c r="C33">
        <f t="shared" si="5"/>
        <v>1</v>
      </c>
      <c r="D33" s="4"/>
      <c r="F33" t="s">
        <v>43</v>
      </c>
      <c r="G33" t="s">
        <v>46</v>
      </c>
      <c r="M33">
        <f t="shared" si="6"/>
        <v>0</v>
      </c>
      <c r="N33">
        <f t="shared" si="4"/>
        <v>0</v>
      </c>
      <c r="P33" t="e">
        <f>INDEX(Items!B$2:B$1032,MATCH($O33,Items!$A$2:$A$1032,0))</f>
        <v>#N/A</v>
      </c>
      <c r="Q33" t="e">
        <f>INDEX(Items!C$2:C$1032,MATCH($O33,Items!$A$2:$A$1032,0))</f>
        <v>#N/A</v>
      </c>
      <c r="R33" t="e">
        <f>INDEX(Items!D$2:D$1032,MATCH($O33,Items!$A$2:$A$1032,0))</f>
        <v>#N/A</v>
      </c>
    </row>
    <row r="34" spans="1:18" x14ac:dyDescent="0.25">
      <c r="A34">
        <f t="shared" si="0"/>
        <v>1</v>
      </c>
      <c r="B34" t="str">
        <f t="shared" si="1"/>
        <v/>
      </c>
      <c r="C34">
        <f t="shared" si="5"/>
        <v>1</v>
      </c>
      <c r="D34" s="4"/>
      <c r="F34" t="s">
        <v>43</v>
      </c>
      <c r="G34" t="s">
        <v>46</v>
      </c>
      <c r="M34">
        <f t="shared" si="6"/>
        <v>0</v>
      </c>
      <c r="N34">
        <f t="shared" si="4"/>
        <v>0</v>
      </c>
      <c r="P34" t="e">
        <f>INDEX(Items!B$2:B$1032,MATCH($O34,Items!$A$2:$A$1032,0))</f>
        <v>#N/A</v>
      </c>
      <c r="Q34" t="e">
        <f>INDEX(Items!C$2:C$1032,MATCH($O34,Items!$A$2:$A$1032,0))</f>
        <v>#N/A</v>
      </c>
      <c r="R34" t="e">
        <f>INDEX(Items!D$2:D$1032,MATCH($O34,Items!$A$2:$A$1032,0))</f>
        <v>#N/A</v>
      </c>
    </row>
    <row r="35" spans="1:18" x14ac:dyDescent="0.25">
      <c r="A35">
        <f t="shared" si="0"/>
        <v>1</v>
      </c>
      <c r="B35" t="str">
        <f t="shared" si="1"/>
        <v/>
      </c>
      <c r="C35">
        <f t="shared" si="5"/>
        <v>1</v>
      </c>
      <c r="D35" s="4"/>
      <c r="F35" t="s">
        <v>43</v>
      </c>
      <c r="G35" t="s">
        <v>46</v>
      </c>
      <c r="M35">
        <f t="shared" si="6"/>
        <v>0</v>
      </c>
      <c r="N35">
        <f t="shared" si="4"/>
        <v>0</v>
      </c>
      <c r="P35" t="e">
        <f>INDEX(Items!B$2:B$1032,MATCH($O35,Items!$A$2:$A$1032,0))</f>
        <v>#N/A</v>
      </c>
      <c r="Q35" t="e">
        <f>INDEX(Items!C$2:C$1032,MATCH($O35,Items!$A$2:$A$1032,0))</f>
        <v>#N/A</v>
      </c>
      <c r="R35" t="e">
        <f>INDEX(Items!D$2:D$1032,MATCH($O35,Items!$A$2:$A$1032,0))</f>
        <v>#N/A</v>
      </c>
    </row>
    <row r="36" spans="1:18" x14ac:dyDescent="0.25">
      <c r="A36">
        <f t="shared" si="0"/>
        <v>1</v>
      </c>
      <c r="B36" t="str">
        <f t="shared" si="1"/>
        <v/>
      </c>
      <c r="C36">
        <f t="shared" si="5"/>
        <v>1</v>
      </c>
      <c r="D36" s="4"/>
      <c r="F36" t="s">
        <v>47</v>
      </c>
      <c r="G36" t="s">
        <v>46</v>
      </c>
      <c r="M36">
        <f t="shared" si="6"/>
        <v>0</v>
      </c>
      <c r="N36">
        <f t="shared" si="4"/>
        <v>0</v>
      </c>
      <c r="P36" t="e">
        <f>INDEX(Items!B$2:B$1032,MATCH($O36,Items!$A$2:$A$1032,0))</f>
        <v>#N/A</v>
      </c>
      <c r="Q36" t="e">
        <f>INDEX(Items!C$2:C$1032,MATCH($O36,Items!$A$2:$A$1032,0))</f>
        <v>#N/A</v>
      </c>
      <c r="R36" t="e">
        <f>INDEX(Items!D$2:D$1032,MATCH($O36,Items!$A$2:$A$1032,0))</f>
        <v>#N/A</v>
      </c>
    </row>
    <row r="37" spans="1:18" x14ac:dyDescent="0.25">
      <c r="A37">
        <f t="shared" si="0"/>
        <v>1</v>
      </c>
      <c r="B37" t="str">
        <f t="shared" si="1"/>
        <v/>
      </c>
      <c r="C37">
        <f t="shared" si="5"/>
        <v>1</v>
      </c>
      <c r="D37" s="4"/>
      <c r="F37" t="s">
        <v>47</v>
      </c>
      <c r="G37" t="s">
        <v>46</v>
      </c>
      <c r="M37">
        <f t="shared" si="6"/>
        <v>0</v>
      </c>
      <c r="N37">
        <f t="shared" si="4"/>
        <v>0</v>
      </c>
      <c r="P37" t="e">
        <f>INDEX(Items!B$2:B$1032,MATCH($O37,Items!$A$2:$A$1032,0))</f>
        <v>#N/A</v>
      </c>
      <c r="Q37" t="e">
        <f>INDEX(Items!C$2:C$1032,MATCH($O37,Items!$A$2:$A$1032,0))</f>
        <v>#N/A</v>
      </c>
      <c r="R37" t="e">
        <f>INDEX(Items!D$2:D$1032,MATCH($O37,Items!$A$2:$A$1032,0))</f>
        <v>#N/A</v>
      </c>
    </row>
    <row r="38" spans="1:18" x14ac:dyDescent="0.25">
      <c r="A38">
        <f t="shared" si="0"/>
        <v>1</v>
      </c>
      <c r="B38" t="str">
        <f t="shared" si="1"/>
        <v/>
      </c>
      <c r="C38">
        <f t="shared" si="5"/>
        <v>1</v>
      </c>
      <c r="D38" s="4"/>
      <c r="F38" t="s">
        <v>47</v>
      </c>
      <c r="G38" t="s">
        <v>46</v>
      </c>
      <c r="M38">
        <f t="shared" si="6"/>
        <v>0</v>
      </c>
      <c r="N38">
        <f t="shared" si="4"/>
        <v>0</v>
      </c>
      <c r="P38" t="e">
        <f>INDEX(Items!B$2:B$1032,MATCH($O38,Items!$A$2:$A$1032,0))</f>
        <v>#N/A</v>
      </c>
      <c r="Q38" t="e">
        <f>INDEX(Items!C$2:C$1032,MATCH($O38,Items!$A$2:$A$1032,0))</f>
        <v>#N/A</v>
      </c>
      <c r="R38" t="e">
        <f>INDEX(Items!D$2:D$1032,MATCH($O38,Items!$A$2:$A$1032,0))</f>
        <v>#N/A</v>
      </c>
    </row>
    <row r="39" spans="1:18" x14ac:dyDescent="0.25">
      <c r="A39">
        <f t="shared" si="0"/>
        <v>1</v>
      </c>
      <c r="B39" t="str">
        <f t="shared" si="1"/>
        <v/>
      </c>
      <c r="C39">
        <f t="shared" si="5"/>
        <v>1</v>
      </c>
      <c r="D39" s="4"/>
      <c r="F39" t="s">
        <v>47</v>
      </c>
      <c r="G39" t="s">
        <v>46</v>
      </c>
      <c r="M39">
        <f t="shared" si="6"/>
        <v>0</v>
      </c>
      <c r="N39">
        <f t="shared" si="4"/>
        <v>0</v>
      </c>
      <c r="P39" t="e">
        <f>INDEX(Items!B$2:B$1032,MATCH($O39,Items!$A$2:$A$1032,0))</f>
        <v>#N/A</v>
      </c>
      <c r="Q39" t="e">
        <f>INDEX(Items!C$2:C$1032,MATCH($O39,Items!$A$2:$A$1032,0))</f>
        <v>#N/A</v>
      </c>
      <c r="R39" t="e">
        <f>INDEX(Items!D$2:D$1032,MATCH($O39,Items!$A$2:$A$1032,0))</f>
        <v>#N/A</v>
      </c>
    </row>
    <row r="40" spans="1:18" x14ac:dyDescent="0.25">
      <c r="A40">
        <f t="shared" si="0"/>
        <v>1</v>
      </c>
      <c r="B40" t="str">
        <f t="shared" si="1"/>
        <v/>
      </c>
      <c r="C40">
        <f t="shared" si="5"/>
        <v>1</v>
      </c>
      <c r="D40" s="4"/>
      <c r="F40" t="s">
        <v>47</v>
      </c>
      <c r="G40" t="s">
        <v>46</v>
      </c>
      <c r="M40">
        <f t="shared" si="6"/>
        <v>0</v>
      </c>
      <c r="N40">
        <f t="shared" si="4"/>
        <v>0</v>
      </c>
      <c r="P40" t="e">
        <f>INDEX(Items!B$2:B$1032,MATCH($O40,Items!$A$2:$A$1032,0))</f>
        <v>#N/A</v>
      </c>
      <c r="Q40" t="e">
        <f>INDEX(Items!C$2:C$1032,MATCH($O40,Items!$A$2:$A$1032,0))</f>
        <v>#N/A</v>
      </c>
      <c r="R40" t="e">
        <f>INDEX(Items!D$2:D$1032,MATCH($O40,Items!$A$2:$A$1032,0))</f>
        <v>#N/A</v>
      </c>
    </row>
    <row r="41" spans="1:18" x14ac:dyDescent="0.25">
      <c r="A41">
        <f t="shared" si="0"/>
        <v>1</v>
      </c>
      <c r="B41" t="str">
        <f t="shared" si="1"/>
        <v/>
      </c>
      <c r="C41">
        <f t="shared" si="5"/>
        <v>1</v>
      </c>
      <c r="D41" s="4"/>
      <c r="F41" t="s">
        <v>47</v>
      </c>
      <c r="G41" t="s">
        <v>46</v>
      </c>
      <c r="M41">
        <f t="shared" si="6"/>
        <v>0</v>
      </c>
      <c r="N41">
        <f t="shared" si="4"/>
        <v>0</v>
      </c>
      <c r="P41" t="e">
        <f>INDEX(Items!B$2:B$1032,MATCH($O41,Items!$A$2:$A$1032,0))</f>
        <v>#N/A</v>
      </c>
      <c r="Q41" t="e">
        <f>INDEX(Items!C$2:C$1032,MATCH($O41,Items!$A$2:$A$1032,0))</f>
        <v>#N/A</v>
      </c>
      <c r="R41" t="e">
        <f>INDEX(Items!D$2:D$1032,MATCH($O41,Items!$A$2:$A$1032,0))</f>
        <v>#N/A</v>
      </c>
    </row>
    <row r="42" spans="1:18" x14ac:dyDescent="0.25">
      <c r="A42">
        <f t="shared" si="0"/>
        <v>1</v>
      </c>
      <c r="B42" t="str">
        <f t="shared" si="1"/>
        <v/>
      </c>
      <c r="C42">
        <f t="shared" si="5"/>
        <v>1</v>
      </c>
      <c r="D42" s="4"/>
      <c r="F42" t="s">
        <v>47</v>
      </c>
      <c r="G42" t="s">
        <v>46</v>
      </c>
      <c r="M42">
        <f t="shared" si="6"/>
        <v>0</v>
      </c>
      <c r="N42">
        <f t="shared" si="4"/>
        <v>0</v>
      </c>
      <c r="P42" t="e">
        <f>INDEX(Items!B$2:B$1032,MATCH($O42,Items!$A$2:$A$1032,0))</f>
        <v>#N/A</v>
      </c>
      <c r="Q42" t="e">
        <f>INDEX(Items!C$2:C$1032,MATCH($O42,Items!$A$2:$A$1032,0))</f>
        <v>#N/A</v>
      </c>
      <c r="R42" t="e">
        <f>INDEX(Items!D$2:D$1032,MATCH($O42,Items!$A$2:$A$1032,0))</f>
        <v>#N/A</v>
      </c>
    </row>
    <row r="43" spans="1:18" x14ac:dyDescent="0.25">
      <c r="A43">
        <f t="shared" si="0"/>
        <v>1</v>
      </c>
      <c r="B43" t="str">
        <f t="shared" si="1"/>
        <v/>
      </c>
      <c r="C43">
        <f t="shared" si="5"/>
        <v>1</v>
      </c>
      <c r="D43" s="4"/>
      <c r="F43" t="s">
        <v>47</v>
      </c>
      <c r="G43" t="s">
        <v>46</v>
      </c>
      <c r="M43">
        <f t="shared" si="6"/>
        <v>0</v>
      </c>
      <c r="N43">
        <f t="shared" si="4"/>
        <v>0</v>
      </c>
      <c r="P43" t="e">
        <f>INDEX(Items!B$2:B$1032,MATCH($O43,Items!$A$2:$A$1032,0))</f>
        <v>#N/A</v>
      </c>
      <c r="Q43" t="e">
        <f>INDEX(Items!C$2:C$1032,MATCH($O43,Items!$A$2:$A$1032,0))</f>
        <v>#N/A</v>
      </c>
      <c r="R43" t="e">
        <f>INDEX(Items!D$2:D$1032,MATCH($O43,Items!$A$2:$A$1032,0))</f>
        <v>#N/A</v>
      </c>
    </row>
    <row r="44" spans="1:18" x14ac:dyDescent="0.25">
      <c r="A44">
        <f t="shared" si="0"/>
        <v>1</v>
      </c>
      <c r="B44" t="str">
        <f t="shared" si="1"/>
        <v/>
      </c>
      <c r="C44">
        <f t="shared" si="5"/>
        <v>1</v>
      </c>
      <c r="D44" s="4"/>
      <c r="F44" t="s">
        <v>43</v>
      </c>
      <c r="G44" t="s">
        <v>48</v>
      </c>
      <c r="M44">
        <f t="shared" si="6"/>
        <v>0</v>
      </c>
      <c r="N44">
        <f t="shared" si="4"/>
        <v>0</v>
      </c>
      <c r="P44" t="e">
        <f>INDEX(Items!B$2:B$1032,MATCH($O44,Items!$A$2:$A$1032,0))</f>
        <v>#N/A</v>
      </c>
      <c r="Q44" t="e">
        <f>INDEX(Items!C$2:C$1032,MATCH($O44,Items!$A$2:$A$1032,0))</f>
        <v>#N/A</v>
      </c>
      <c r="R44" t="e">
        <f>INDEX(Items!D$2:D$1032,MATCH($O44,Items!$A$2:$A$1032,0))</f>
        <v>#N/A</v>
      </c>
    </row>
    <row r="45" spans="1:18" x14ac:dyDescent="0.25">
      <c r="A45">
        <f t="shared" si="0"/>
        <v>1</v>
      </c>
      <c r="B45" t="str">
        <f t="shared" si="1"/>
        <v/>
      </c>
      <c r="C45">
        <f t="shared" si="5"/>
        <v>1</v>
      </c>
      <c r="D45" s="4"/>
      <c r="F45" t="s">
        <v>43</v>
      </c>
      <c r="G45" t="s">
        <v>48</v>
      </c>
      <c r="M45">
        <f t="shared" si="6"/>
        <v>0</v>
      </c>
      <c r="N45">
        <f t="shared" si="4"/>
        <v>0</v>
      </c>
      <c r="P45" t="e">
        <f>INDEX(Items!B$2:B$1032,MATCH($O45,Items!$A$2:$A$1032,0))</f>
        <v>#N/A</v>
      </c>
      <c r="Q45" t="e">
        <f>INDEX(Items!C$2:C$1032,MATCH($O45,Items!$A$2:$A$1032,0))</f>
        <v>#N/A</v>
      </c>
      <c r="R45" t="e">
        <f>INDEX(Items!D$2:D$1032,MATCH($O45,Items!$A$2:$A$1032,0))</f>
        <v>#N/A</v>
      </c>
    </row>
    <row r="46" spans="1:18" x14ac:dyDescent="0.25">
      <c r="A46">
        <f t="shared" si="0"/>
        <v>1</v>
      </c>
      <c r="B46" t="str">
        <f t="shared" si="1"/>
        <v/>
      </c>
      <c r="C46">
        <f t="shared" si="5"/>
        <v>1</v>
      </c>
      <c r="D46" s="4"/>
      <c r="F46" t="e">
        <f>INDEX(Establishment!B$2:B$1005,MATCH($E46,Establishment!$A$2:$A$1005,0))</f>
        <v>#N/A</v>
      </c>
      <c r="G46" t="e">
        <f>INDEX(Establishment!C$2:C$1005,MATCH($E46,Establishment!$A$2:$A$1005,0))</f>
        <v>#N/A</v>
      </c>
      <c r="M46">
        <f t="shared" si="6"/>
        <v>0</v>
      </c>
      <c r="N46">
        <f t="shared" si="4"/>
        <v>0</v>
      </c>
      <c r="P46" t="e">
        <f>INDEX(Items!B$2:B$1032,MATCH($O46,Items!$A$2:$A$1032,0))</f>
        <v>#N/A</v>
      </c>
      <c r="Q46" t="e">
        <f>INDEX(Items!C$2:C$1032,MATCH($O46,Items!$A$2:$A$1032,0))</f>
        <v>#N/A</v>
      </c>
      <c r="R46" t="e">
        <f>INDEX(Items!D$2:D$1032,MATCH($O46,Items!$A$2:$A$1032,0))</f>
        <v>#N/A</v>
      </c>
    </row>
    <row r="47" spans="1:18" x14ac:dyDescent="0.25">
      <c r="A47">
        <f t="shared" si="0"/>
        <v>1</v>
      </c>
      <c r="B47" t="str">
        <f t="shared" si="1"/>
        <v/>
      </c>
      <c r="C47">
        <f t="shared" si="5"/>
        <v>1</v>
      </c>
      <c r="D47" s="4"/>
      <c r="F47" t="e">
        <f>INDEX(Establishment!B$2:B$1005,MATCH($E47,Establishment!$A$2:$A$1005,0))</f>
        <v>#N/A</v>
      </c>
      <c r="G47" t="e">
        <f>INDEX(Establishment!C$2:C$1005,MATCH($E47,Establishment!$A$2:$A$1005,0))</f>
        <v>#N/A</v>
      </c>
      <c r="M47">
        <f t="shared" si="6"/>
        <v>0</v>
      </c>
      <c r="N47">
        <f t="shared" si="4"/>
        <v>0</v>
      </c>
      <c r="P47" t="e">
        <f>INDEX(Items!B$2:B$1032,MATCH($O47,Items!$A$2:$A$1032,0))</f>
        <v>#N/A</v>
      </c>
      <c r="Q47" t="e">
        <f>INDEX(Items!C$2:C$1032,MATCH($O47,Items!$A$2:$A$1032,0))</f>
        <v>#N/A</v>
      </c>
      <c r="R47" t="e">
        <f>INDEX(Items!D$2:D$1032,MATCH($O47,Items!$A$2:$A$1032,0))</f>
        <v>#N/A</v>
      </c>
    </row>
    <row r="48" spans="1:18" x14ac:dyDescent="0.25">
      <c r="A48">
        <f t="shared" si="0"/>
        <v>1</v>
      </c>
      <c r="B48" t="str">
        <f t="shared" si="1"/>
        <v/>
      </c>
      <c r="C48">
        <f t="shared" si="5"/>
        <v>1</v>
      </c>
      <c r="D48" s="4"/>
      <c r="F48" t="e">
        <f>INDEX(Establishment!B$2:B$1005,MATCH($E48,Establishment!$A$2:$A$1005,0))</f>
        <v>#N/A</v>
      </c>
      <c r="G48" t="e">
        <f>INDEX(Establishment!C$2:C$1005,MATCH($E48,Establishment!$A$2:$A$1005,0))</f>
        <v>#N/A</v>
      </c>
      <c r="M48">
        <f t="shared" si="6"/>
        <v>0</v>
      </c>
      <c r="N48">
        <f t="shared" si="4"/>
        <v>0</v>
      </c>
      <c r="P48" t="e">
        <f>INDEX(Items!B$2:B$1032,MATCH($O48,Items!$A$2:$A$1032,0))</f>
        <v>#N/A</v>
      </c>
      <c r="Q48" t="e">
        <f>INDEX(Items!C$2:C$1032,MATCH($O48,Items!$A$2:$A$1032,0))</f>
        <v>#N/A</v>
      </c>
      <c r="R48" t="e">
        <f>INDEX(Items!D$2:D$1032,MATCH($O48,Items!$A$2:$A$1032,0))</f>
        <v>#N/A</v>
      </c>
    </row>
    <row r="49" spans="1:18" x14ac:dyDescent="0.25">
      <c r="A49">
        <f t="shared" si="0"/>
        <v>1</v>
      </c>
      <c r="B49" t="str">
        <f t="shared" si="1"/>
        <v/>
      </c>
      <c r="C49">
        <f t="shared" si="5"/>
        <v>1</v>
      </c>
      <c r="D49" s="4"/>
      <c r="F49" t="e">
        <f>INDEX(Establishment!B$2:B$1005,MATCH($E49,Establishment!$A$2:$A$1005,0))</f>
        <v>#N/A</v>
      </c>
      <c r="G49" t="e">
        <f>INDEX(Establishment!C$2:C$1005,MATCH($E49,Establishment!$A$2:$A$1005,0))</f>
        <v>#N/A</v>
      </c>
      <c r="M49">
        <f t="shared" si="6"/>
        <v>0</v>
      </c>
      <c r="N49">
        <f t="shared" si="4"/>
        <v>0</v>
      </c>
      <c r="P49" t="e">
        <f>INDEX(Items!B$2:B$1032,MATCH($O49,Items!$A$2:$A$1032,0))</f>
        <v>#N/A</v>
      </c>
      <c r="Q49" t="e">
        <f>INDEX(Items!C$2:C$1032,MATCH($O49,Items!$A$2:$A$1032,0))</f>
        <v>#N/A</v>
      </c>
      <c r="R49" t="e">
        <f>INDEX(Items!D$2:D$1032,MATCH($O49,Items!$A$2:$A$1032,0))</f>
        <v>#N/A</v>
      </c>
    </row>
    <row r="50" spans="1:18" x14ac:dyDescent="0.25">
      <c r="A50">
        <f t="shared" si="0"/>
        <v>1</v>
      </c>
      <c r="B50" t="str">
        <f t="shared" si="1"/>
        <v/>
      </c>
      <c r="C50">
        <f t="shared" si="5"/>
        <v>1</v>
      </c>
      <c r="D50" s="4"/>
      <c r="F50" t="e">
        <f>INDEX(Establishment!B$2:B$1005,MATCH($E50,Establishment!$A$2:$A$1005,0))</f>
        <v>#N/A</v>
      </c>
      <c r="G50" t="e">
        <f>INDEX(Establishment!C$2:C$1005,MATCH($E50,Establishment!$A$2:$A$1005,0))</f>
        <v>#N/A</v>
      </c>
      <c r="M50">
        <f t="shared" si="6"/>
        <v>0</v>
      </c>
      <c r="N50">
        <f t="shared" si="4"/>
        <v>0</v>
      </c>
      <c r="P50" t="e">
        <f>INDEX(Items!B$2:B$1032,MATCH($O50,Items!$A$2:$A$1032,0))</f>
        <v>#N/A</v>
      </c>
      <c r="Q50" t="e">
        <f>INDEX(Items!C$2:C$1032,MATCH($O50,Items!$A$2:$A$1032,0))</f>
        <v>#N/A</v>
      </c>
      <c r="R50" t="e">
        <f>INDEX(Items!D$2:D$1032,MATCH($O50,Items!$A$2:$A$1032,0))</f>
        <v>#N/A</v>
      </c>
    </row>
    <row r="51" spans="1:18" x14ac:dyDescent="0.25">
      <c r="A51">
        <f t="shared" si="0"/>
        <v>1</v>
      </c>
      <c r="B51" t="str">
        <f t="shared" si="1"/>
        <v/>
      </c>
      <c r="C51">
        <f t="shared" si="5"/>
        <v>1</v>
      </c>
      <c r="D51" s="4"/>
      <c r="F51" t="e">
        <f>INDEX(Establishment!B$2:B$1005,MATCH($E51,Establishment!$A$2:$A$1005,0))</f>
        <v>#N/A</v>
      </c>
      <c r="G51" t="e">
        <f>INDEX(Establishment!C$2:C$1005,MATCH($E51,Establishment!$A$2:$A$1005,0))</f>
        <v>#N/A</v>
      </c>
      <c r="M51">
        <f t="shared" si="6"/>
        <v>0</v>
      </c>
      <c r="N51">
        <f t="shared" si="4"/>
        <v>0</v>
      </c>
      <c r="P51" t="e">
        <f>INDEX(Items!B$2:B$1032,MATCH($O51,Items!$A$2:$A$1032,0))</f>
        <v>#N/A</v>
      </c>
      <c r="Q51" t="e">
        <f>INDEX(Items!C$2:C$1032,MATCH($O51,Items!$A$2:$A$1032,0))</f>
        <v>#N/A</v>
      </c>
      <c r="R51" t="e">
        <f>INDEX(Items!D$2:D$1032,MATCH($O51,Items!$A$2:$A$1032,0))</f>
        <v>#N/A</v>
      </c>
    </row>
    <row r="52" spans="1:18" x14ac:dyDescent="0.25">
      <c r="A52">
        <f t="shared" si="0"/>
        <v>1</v>
      </c>
      <c r="B52" t="str">
        <f t="shared" si="1"/>
        <v/>
      </c>
      <c r="C52">
        <f t="shared" si="5"/>
        <v>1</v>
      </c>
      <c r="D52" s="4"/>
      <c r="F52" t="e">
        <f>INDEX(Establishment!B$2:B$1005,MATCH($E52,Establishment!$A$2:$A$1005,0))</f>
        <v>#N/A</v>
      </c>
      <c r="G52" t="e">
        <f>INDEX(Establishment!C$2:C$1005,MATCH($E52,Establishment!$A$2:$A$1005,0))</f>
        <v>#N/A</v>
      </c>
      <c r="M52">
        <f t="shared" si="6"/>
        <v>0</v>
      </c>
      <c r="N52">
        <f t="shared" si="4"/>
        <v>0</v>
      </c>
      <c r="P52" t="e">
        <f>INDEX(Items!B$2:B$1032,MATCH($O52,Items!$A$2:$A$1032,0))</f>
        <v>#N/A</v>
      </c>
      <c r="Q52" t="e">
        <f>INDEX(Items!C$2:C$1032,MATCH($O52,Items!$A$2:$A$1032,0))</f>
        <v>#N/A</v>
      </c>
      <c r="R52" t="e">
        <f>INDEX(Items!D$2:D$1032,MATCH($O52,Items!$A$2:$A$1032,0))</f>
        <v>#N/A</v>
      </c>
    </row>
    <row r="53" spans="1:18" x14ac:dyDescent="0.25">
      <c r="A53">
        <f t="shared" si="0"/>
        <v>1</v>
      </c>
      <c r="B53" t="str">
        <f t="shared" si="1"/>
        <v/>
      </c>
      <c r="C53">
        <f t="shared" si="5"/>
        <v>1</v>
      </c>
      <c r="D53" s="4"/>
      <c r="F53" t="e">
        <f>INDEX(Establishment!B$2:B$1005,MATCH($E53,Establishment!$A$2:$A$1005,0))</f>
        <v>#N/A</v>
      </c>
      <c r="G53" t="e">
        <f>INDEX(Establishment!C$2:C$1005,MATCH($E53,Establishment!$A$2:$A$1005,0))</f>
        <v>#N/A</v>
      </c>
      <c r="M53">
        <f t="shared" si="6"/>
        <v>0</v>
      </c>
      <c r="N53">
        <f t="shared" si="4"/>
        <v>0</v>
      </c>
      <c r="P53" t="e">
        <f>INDEX(Items!B$2:B$1032,MATCH($O53,Items!$A$2:$A$1032,0))</f>
        <v>#N/A</v>
      </c>
      <c r="Q53" t="e">
        <f>INDEX(Items!C$2:C$1032,MATCH($O53,Items!$A$2:$A$1032,0))</f>
        <v>#N/A</v>
      </c>
      <c r="R53" t="e">
        <f>INDEX(Items!D$2:D$1032,MATCH($O53,Items!$A$2:$A$1032,0))</f>
        <v>#N/A</v>
      </c>
    </row>
    <row r="54" spans="1:18" x14ac:dyDescent="0.25">
      <c r="A54">
        <f t="shared" si="0"/>
        <v>1</v>
      </c>
      <c r="B54" t="str">
        <f t="shared" si="1"/>
        <v/>
      </c>
      <c r="C54">
        <f t="shared" si="5"/>
        <v>1</v>
      </c>
      <c r="D54" s="4"/>
      <c r="F54" t="e">
        <f>INDEX(Establishment!B$2:B$1005,MATCH($E54,Establishment!$A$2:$A$1005,0))</f>
        <v>#N/A</v>
      </c>
      <c r="G54" t="e">
        <f>INDEX(Establishment!C$2:C$1005,MATCH($E54,Establishment!$A$2:$A$1005,0))</f>
        <v>#N/A</v>
      </c>
      <c r="M54">
        <f t="shared" si="6"/>
        <v>0</v>
      </c>
      <c r="N54">
        <f t="shared" si="4"/>
        <v>0</v>
      </c>
      <c r="P54" t="e">
        <f>INDEX(Items!B$2:B$1032,MATCH($O54,Items!$A$2:$A$1032,0))</f>
        <v>#N/A</v>
      </c>
      <c r="Q54" t="e">
        <f>INDEX(Items!C$2:C$1032,MATCH($O54,Items!$A$2:$A$1032,0))</f>
        <v>#N/A</v>
      </c>
      <c r="R54" t="e">
        <f>INDEX(Items!D$2:D$1032,MATCH($O54,Items!$A$2:$A$1032,0))</f>
        <v>#N/A</v>
      </c>
    </row>
    <row r="55" spans="1:18" x14ac:dyDescent="0.25">
      <c r="A55">
        <f t="shared" si="0"/>
        <v>1</v>
      </c>
      <c r="B55" t="str">
        <f t="shared" si="1"/>
        <v/>
      </c>
      <c r="C55">
        <f t="shared" si="5"/>
        <v>1</v>
      </c>
      <c r="D55" s="4"/>
      <c r="F55" t="e">
        <f>INDEX(Establishment!B$2:B$1005,MATCH($E55,Establishment!$A$2:$A$1005,0))</f>
        <v>#N/A</v>
      </c>
      <c r="G55" t="e">
        <f>INDEX(Establishment!C$2:C$1005,MATCH($E55,Establishment!$A$2:$A$1005,0))</f>
        <v>#N/A</v>
      </c>
      <c r="M55">
        <f t="shared" si="6"/>
        <v>0</v>
      </c>
      <c r="N55">
        <f t="shared" si="4"/>
        <v>0</v>
      </c>
      <c r="P55" t="e">
        <f>INDEX(Items!B$2:B$1032,MATCH($O55,Items!$A$2:$A$1032,0))</f>
        <v>#N/A</v>
      </c>
      <c r="Q55" t="e">
        <f>INDEX(Items!C$2:C$1032,MATCH($O55,Items!$A$2:$A$1032,0))</f>
        <v>#N/A</v>
      </c>
      <c r="R55" t="e">
        <f>INDEX(Items!D$2:D$1032,MATCH($O55,Items!$A$2:$A$1032,0))</f>
        <v>#N/A</v>
      </c>
    </row>
    <row r="56" spans="1:18" x14ac:dyDescent="0.25">
      <c r="A56">
        <f t="shared" si="0"/>
        <v>1</v>
      </c>
      <c r="B56" t="str">
        <f t="shared" si="1"/>
        <v/>
      </c>
      <c r="C56">
        <f t="shared" si="5"/>
        <v>1</v>
      </c>
      <c r="D56" s="4"/>
      <c r="F56" t="e">
        <f>INDEX(Establishment!B$2:B$1005,MATCH($E56,Establishment!$A$2:$A$1005,0))</f>
        <v>#N/A</v>
      </c>
      <c r="G56" t="e">
        <f>INDEX(Establishment!C$2:C$1005,MATCH($E56,Establishment!$A$2:$A$1005,0))</f>
        <v>#N/A</v>
      </c>
      <c r="M56">
        <f t="shared" si="6"/>
        <v>0</v>
      </c>
      <c r="N56">
        <f t="shared" si="4"/>
        <v>0</v>
      </c>
      <c r="P56" t="e">
        <f>INDEX(Items!B$2:B$1032,MATCH($O56,Items!$A$2:$A$1032,0))</f>
        <v>#N/A</v>
      </c>
      <c r="Q56" t="e">
        <f>INDEX(Items!C$2:C$1032,MATCH($O56,Items!$A$2:$A$1032,0))</f>
        <v>#N/A</v>
      </c>
      <c r="R56" t="e">
        <f>INDEX(Items!D$2:D$1032,MATCH($O56,Items!$A$2:$A$1032,0))</f>
        <v>#N/A</v>
      </c>
    </row>
    <row r="57" spans="1:18" x14ac:dyDescent="0.25">
      <c r="A57">
        <f t="shared" si="0"/>
        <v>1</v>
      </c>
      <c r="B57" t="str">
        <f t="shared" si="1"/>
        <v/>
      </c>
      <c r="C57">
        <f t="shared" si="5"/>
        <v>1</v>
      </c>
      <c r="D57" s="4"/>
      <c r="F57" t="e">
        <f>INDEX(Establishment!B$2:B$1005,MATCH($E57,Establishment!$A$2:$A$1005,0))</f>
        <v>#N/A</v>
      </c>
      <c r="G57" t="e">
        <f>INDEX(Establishment!C$2:C$1005,MATCH($E57,Establishment!$A$2:$A$1005,0))</f>
        <v>#N/A</v>
      </c>
      <c r="M57">
        <f t="shared" si="6"/>
        <v>0</v>
      </c>
      <c r="N57">
        <f t="shared" si="4"/>
        <v>0</v>
      </c>
      <c r="P57" t="e">
        <f>INDEX(Items!B$2:B$1032,MATCH($O57,Items!$A$2:$A$1032,0))</f>
        <v>#N/A</v>
      </c>
      <c r="Q57" t="e">
        <f>INDEX(Items!C$2:C$1032,MATCH($O57,Items!$A$2:$A$1032,0))</f>
        <v>#N/A</v>
      </c>
      <c r="R57" t="e">
        <f>INDEX(Items!D$2:D$1032,MATCH($O57,Items!$A$2:$A$1032,0))</f>
        <v>#N/A</v>
      </c>
    </row>
    <row r="58" spans="1:18" x14ac:dyDescent="0.25">
      <c r="A58">
        <f t="shared" si="0"/>
        <v>1</v>
      </c>
      <c r="B58" t="str">
        <f t="shared" si="1"/>
        <v/>
      </c>
      <c r="C58">
        <f t="shared" si="5"/>
        <v>1</v>
      </c>
      <c r="D58" s="4"/>
      <c r="F58" t="e">
        <f>INDEX(Establishment!B$2:B$1005,MATCH($E58,Establishment!$A$2:$A$1005,0))</f>
        <v>#N/A</v>
      </c>
      <c r="G58" t="e">
        <f>INDEX(Establishment!C$2:C$1005,MATCH($E58,Establishment!$A$2:$A$1005,0))</f>
        <v>#N/A</v>
      </c>
      <c r="M58">
        <f t="shared" si="6"/>
        <v>0</v>
      </c>
      <c r="N58">
        <f t="shared" si="4"/>
        <v>0</v>
      </c>
      <c r="P58" t="e">
        <f>INDEX(Items!B$2:B$1032,MATCH($O58,Items!$A$2:$A$1032,0))</f>
        <v>#N/A</v>
      </c>
      <c r="Q58" t="e">
        <f>INDEX(Items!C$2:C$1032,MATCH($O58,Items!$A$2:$A$1032,0))</f>
        <v>#N/A</v>
      </c>
      <c r="R58" t="e">
        <f>INDEX(Items!D$2:D$1032,MATCH($O58,Items!$A$2:$A$1032,0))</f>
        <v>#N/A</v>
      </c>
    </row>
    <row r="59" spans="1:18" x14ac:dyDescent="0.25">
      <c r="A59">
        <f t="shared" si="0"/>
        <v>1</v>
      </c>
      <c r="B59" t="str">
        <f t="shared" si="1"/>
        <v/>
      </c>
      <c r="C59">
        <f t="shared" si="5"/>
        <v>1</v>
      </c>
      <c r="D59" s="4"/>
      <c r="F59" t="e">
        <f>INDEX(Establishment!B$2:B$1005,MATCH($E59,Establishment!$A$2:$A$1005,0))</f>
        <v>#N/A</v>
      </c>
      <c r="G59" t="e">
        <f>INDEX(Establishment!C$2:C$1005,MATCH($E59,Establishment!$A$2:$A$1005,0))</f>
        <v>#N/A</v>
      </c>
      <c r="M59">
        <f t="shared" si="6"/>
        <v>0</v>
      </c>
      <c r="N59">
        <f t="shared" si="4"/>
        <v>0</v>
      </c>
      <c r="P59" t="e">
        <f>INDEX(Items!B$2:B$1032,MATCH($O59,Items!$A$2:$A$1032,0))</f>
        <v>#N/A</v>
      </c>
      <c r="Q59" t="e">
        <f>INDEX(Items!C$2:C$1032,MATCH($O59,Items!$A$2:$A$1032,0))</f>
        <v>#N/A</v>
      </c>
      <c r="R59" t="e">
        <f>INDEX(Items!D$2:D$1032,MATCH($O59,Items!$A$2:$A$1032,0))</f>
        <v>#N/A</v>
      </c>
    </row>
    <row r="60" spans="1:18" x14ac:dyDescent="0.25">
      <c r="A60">
        <f t="shared" si="0"/>
        <v>1</v>
      </c>
      <c r="B60" t="str">
        <f t="shared" si="1"/>
        <v/>
      </c>
      <c r="C60">
        <f t="shared" si="5"/>
        <v>1</v>
      </c>
      <c r="D60" s="4"/>
      <c r="F60" t="e">
        <f>INDEX(Establishment!B$2:B$1005,MATCH($E60,Establishment!$A$2:$A$1005,0))</f>
        <v>#N/A</v>
      </c>
      <c r="G60" t="e">
        <f>INDEX(Establishment!C$2:C$1005,MATCH($E60,Establishment!$A$2:$A$1005,0))</f>
        <v>#N/A</v>
      </c>
      <c r="M60">
        <f t="shared" si="6"/>
        <v>0</v>
      </c>
      <c r="N60">
        <f t="shared" si="4"/>
        <v>0</v>
      </c>
      <c r="P60" t="e">
        <f>INDEX(Items!B$2:B$1032,MATCH($O60,Items!$A$2:$A$1032,0))</f>
        <v>#N/A</v>
      </c>
      <c r="Q60" t="e">
        <f>INDEX(Items!C$2:C$1032,MATCH($O60,Items!$A$2:$A$1032,0))</f>
        <v>#N/A</v>
      </c>
      <c r="R60" t="e">
        <f>INDEX(Items!D$2:D$1032,MATCH($O60,Items!$A$2:$A$1032,0))</f>
        <v>#N/A</v>
      </c>
    </row>
    <row r="61" spans="1:18" x14ac:dyDescent="0.25">
      <c r="A61">
        <f t="shared" si="0"/>
        <v>1</v>
      </c>
      <c r="B61" t="str">
        <f t="shared" si="1"/>
        <v/>
      </c>
      <c r="C61">
        <f t="shared" si="5"/>
        <v>1</v>
      </c>
      <c r="D61" s="4"/>
      <c r="F61" t="e">
        <f>INDEX(Establishment!B$2:B$1005,MATCH($E61,Establishment!$A$2:$A$1005,0))</f>
        <v>#N/A</v>
      </c>
      <c r="G61" t="e">
        <f>INDEX(Establishment!C$2:C$1005,MATCH($E61,Establishment!$A$2:$A$1005,0))</f>
        <v>#N/A</v>
      </c>
      <c r="M61">
        <f t="shared" si="6"/>
        <v>0</v>
      </c>
      <c r="N61">
        <f t="shared" si="4"/>
        <v>0</v>
      </c>
      <c r="P61" t="e">
        <f>INDEX(Items!B$2:B$1032,MATCH($O61,Items!$A$2:$A$1032,0))</f>
        <v>#N/A</v>
      </c>
      <c r="Q61" t="e">
        <f>INDEX(Items!C$2:C$1032,MATCH($O61,Items!$A$2:$A$1032,0))</f>
        <v>#N/A</v>
      </c>
      <c r="R61" t="e">
        <f>INDEX(Items!D$2:D$1032,MATCH($O61,Items!$A$2:$A$1032,0))</f>
        <v>#N/A</v>
      </c>
    </row>
    <row r="62" spans="1:18" x14ac:dyDescent="0.25">
      <c r="A62">
        <f t="shared" si="0"/>
        <v>1</v>
      </c>
      <c r="B62" t="str">
        <f t="shared" si="1"/>
        <v/>
      </c>
      <c r="C62">
        <f t="shared" si="5"/>
        <v>1</v>
      </c>
      <c r="D62" s="4"/>
      <c r="F62" t="e">
        <f>INDEX(Establishment!B$2:B$1005,MATCH($E62,Establishment!$A$2:$A$1005,0))</f>
        <v>#N/A</v>
      </c>
      <c r="G62" t="e">
        <f>INDEX(Establishment!C$2:C$1005,MATCH($E62,Establishment!$A$2:$A$1005,0))</f>
        <v>#N/A</v>
      </c>
      <c r="M62">
        <f t="shared" si="6"/>
        <v>0</v>
      </c>
      <c r="N62">
        <f t="shared" si="4"/>
        <v>0</v>
      </c>
      <c r="P62" t="e">
        <f>INDEX(Items!B$2:B$1032,MATCH($O62,Items!$A$2:$A$1032,0))</f>
        <v>#N/A</v>
      </c>
      <c r="Q62" t="e">
        <f>INDEX(Items!C$2:C$1032,MATCH($O62,Items!$A$2:$A$1032,0))</f>
        <v>#N/A</v>
      </c>
      <c r="R62" t="e">
        <f>INDEX(Items!D$2:D$1032,MATCH($O62,Items!$A$2:$A$1032,0))</f>
        <v>#N/A</v>
      </c>
    </row>
    <row r="63" spans="1:18" x14ac:dyDescent="0.25">
      <c r="A63">
        <f t="shared" si="0"/>
        <v>1</v>
      </c>
      <c r="B63" t="str">
        <f t="shared" si="1"/>
        <v/>
      </c>
      <c r="C63">
        <f t="shared" si="5"/>
        <v>1</v>
      </c>
      <c r="D63" s="4"/>
      <c r="F63" t="e">
        <f>INDEX(Establishment!B$2:B$1005,MATCH($E63,Establishment!$A$2:$A$1005,0))</f>
        <v>#N/A</v>
      </c>
      <c r="G63" t="e">
        <f>INDEX(Establishment!C$2:C$1005,MATCH($E63,Establishment!$A$2:$A$1005,0))</f>
        <v>#N/A</v>
      </c>
      <c r="M63">
        <f t="shared" si="6"/>
        <v>0</v>
      </c>
      <c r="N63">
        <f t="shared" si="4"/>
        <v>0</v>
      </c>
      <c r="P63" t="e">
        <f>INDEX(Items!B$2:B$1032,MATCH($O63,Items!$A$2:$A$1032,0))</f>
        <v>#N/A</v>
      </c>
      <c r="Q63" t="e">
        <f>INDEX(Items!C$2:C$1032,MATCH($O63,Items!$A$2:$A$1032,0))</f>
        <v>#N/A</v>
      </c>
      <c r="R63" t="e">
        <f>INDEX(Items!D$2:D$1032,MATCH($O63,Items!$A$2:$A$1032,0))</f>
        <v>#N/A</v>
      </c>
    </row>
    <row r="64" spans="1:18" x14ac:dyDescent="0.25">
      <c r="A64">
        <f t="shared" si="0"/>
        <v>1</v>
      </c>
      <c r="B64" t="str">
        <f t="shared" si="1"/>
        <v/>
      </c>
      <c r="C64">
        <f t="shared" si="5"/>
        <v>1</v>
      </c>
      <c r="D64" s="4"/>
      <c r="F64" t="e">
        <f>INDEX(Establishment!B$2:B$1005,MATCH($E64,Establishment!$A$2:$A$1005,0))</f>
        <v>#N/A</v>
      </c>
      <c r="G64" t="e">
        <f>INDEX(Establishment!C$2:C$1005,MATCH($E64,Establishment!$A$2:$A$1005,0))</f>
        <v>#N/A</v>
      </c>
      <c r="M64">
        <f t="shared" si="6"/>
        <v>0</v>
      </c>
      <c r="N64">
        <f t="shared" si="4"/>
        <v>0</v>
      </c>
      <c r="P64" t="e">
        <f>INDEX(Items!B$2:B$1032,MATCH($O64,Items!$A$2:$A$1032,0))</f>
        <v>#N/A</v>
      </c>
      <c r="Q64" t="e">
        <f>INDEX(Items!C$2:C$1032,MATCH($O64,Items!$A$2:$A$1032,0))</f>
        <v>#N/A</v>
      </c>
      <c r="R64" t="e">
        <f>INDEX(Items!D$2:D$1032,MATCH($O64,Items!$A$2:$A$1032,0))</f>
        <v>#N/A</v>
      </c>
    </row>
    <row r="65" spans="1:18" x14ac:dyDescent="0.25">
      <c r="A65">
        <f t="shared" si="0"/>
        <v>1</v>
      </c>
      <c r="B65" t="str">
        <f t="shared" si="1"/>
        <v/>
      </c>
      <c r="C65">
        <f t="shared" si="5"/>
        <v>1</v>
      </c>
      <c r="D65" s="4"/>
      <c r="F65" t="e">
        <f>INDEX(Establishment!B$2:B$1005,MATCH($E65,Establishment!$A$2:$A$1005,0))</f>
        <v>#N/A</v>
      </c>
      <c r="G65" t="e">
        <f>INDEX(Establishment!C$2:C$1005,MATCH($E65,Establishment!$A$2:$A$1005,0))</f>
        <v>#N/A</v>
      </c>
      <c r="M65">
        <f t="shared" si="6"/>
        <v>0</v>
      </c>
      <c r="N65">
        <f t="shared" si="4"/>
        <v>0</v>
      </c>
      <c r="P65" t="e">
        <f>INDEX(Items!B$2:B$1032,MATCH($O65,Items!$A$2:$A$1032,0))</f>
        <v>#N/A</v>
      </c>
      <c r="Q65" t="e">
        <f>INDEX(Items!C$2:C$1032,MATCH($O65,Items!$A$2:$A$1032,0))</f>
        <v>#N/A</v>
      </c>
      <c r="R65" t="e">
        <f>INDEX(Items!D$2:D$1032,MATCH($O65,Items!$A$2:$A$1032,0))</f>
        <v>#N/A</v>
      </c>
    </row>
    <row r="66" spans="1:18" x14ac:dyDescent="0.25">
      <c r="A66">
        <f t="shared" ref="A66:A129" si="7">IF(OR(D66&lt;&gt;D65,D66=""),1,IF(NOT(AND(E66=E65,F66=F65,G66=G65)),A65+1,IF(OR(H66="",AND(H66&lt;&gt;"",H66&lt;&gt;H65,H65&lt;&gt;"")),A65,A65+1)))</f>
        <v>1</v>
      </c>
      <c r="B66" t="str">
        <f t="shared" ref="B66:B129" si="8">IF(D66&lt;&gt;"",TEXT(D66,"YYYYMMDD")&amp;CHAR(64+A66),"")</f>
        <v/>
      </c>
      <c r="C66">
        <f t="shared" si="5"/>
        <v>1</v>
      </c>
      <c r="D66" s="4"/>
      <c r="F66" t="e">
        <f>INDEX(Establishment!B$2:B$1005,MATCH($E66,Establishment!$A$2:$A$1005,0))</f>
        <v>#N/A</v>
      </c>
      <c r="G66" t="e">
        <f>INDEX(Establishment!C$2:C$1005,MATCH($E66,Establishment!$A$2:$A$1005,0))</f>
        <v>#N/A</v>
      </c>
      <c r="M66">
        <f t="shared" si="6"/>
        <v>0</v>
      </c>
      <c r="N66">
        <f t="shared" si="4"/>
        <v>0</v>
      </c>
      <c r="P66" t="e">
        <f>INDEX(Items!B$2:B$1032,MATCH($O66,Items!$A$2:$A$1032,0))</f>
        <v>#N/A</v>
      </c>
      <c r="Q66" t="e">
        <f>INDEX(Items!C$2:C$1032,MATCH($O66,Items!$A$2:$A$1032,0))</f>
        <v>#N/A</v>
      </c>
      <c r="R66" t="e">
        <f>INDEX(Items!D$2:D$1032,MATCH($O66,Items!$A$2:$A$1032,0))</f>
        <v>#N/A</v>
      </c>
    </row>
    <row r="67" spans="1:18" x14ac:dyDescent="0.25">
      <c r="A67">
        <f t="shared" si="7"/>
        <v>1</v>
      </c>
      <c r="B67" t="str">
        <f t="shared" si="8"/>
        <v/>
      </c>
      <c r="C67">
        <f t="shared" si="5"/>
        <v>1</v>
      </c>
      <c r="D67" s="4"/>
      <c r="F67" t="s">
        <v>43</v>
      </c>
      <c r="G67" t="s">
        <v>46</v>
      </c>
      <c r="M67">
        <f t="shared" si="6"/>
        <v>0</v>
      </c>
      <c r="N67">
        <f t="shared" ref="N67:N130" si="9">IF(B67=B66,N66+M67,M67)</f>
        <v>0</v>
      </c>
      <c r="P67" t="e">
        <f>INDEX(Items!B$2:B$1032,MATCH($O67,Items!$A$2:$A$1032,0))</f>
        <v>#N/A</v>
      </c>
      <c r="Q67" t="e">
        <f>INDEX(Items!C$2:C$1032,MATCH($O67,Items!$A$2:$A$1032,0))</f>
        <v>#N/A</v>
      </c>
      <c r="R67" t="e">
        <f>INDEX(Items!D$2:D$1032,MATCH($O67,Items!$A$2:$A$1032,0))</f>
        <v>#N/A</v>
      </c>
    </row>
    <row r="68" spans="1:18" x14ac:dyDescent="0.25">
      <c r="A68">
        <f t="shared" si="7"/>
        <v>1</v>
      </c>
      <c r="B68" t="str">
        <f t="shared" si="8"/>
        <v/>
      </c>
      <c r="C68">
        <f t="shared" si="5"/>
        <v>1</v>
      </c>
      <c r="D68" s="4"/>
      <c r="F68" t="s">
        <v>43</v>
      </c>
      <c r="G68" t="s">
        <v>46</v>
      </c>
      <c r="M68">
        <f t="shared" si="6"/>
        <v>0</v>
      </c>
      <c r="N68">
        <f t="shared" si="9"/>
        <v>0</v>
      </c>
      <c r="P68" t="e">
        <f>INDEX(Items!B$2:B$1032,MATCH($O68,Items!$A$2:$A$1032,0))</f>
        <v>#N/A</v>
      </c>
      <c r="Q68" t="e">
        <f>INDEX(Items!C$2:C$1032,MATCH($O68,Items!$A$2:$A$1032,0))</f>
        <v>#N/A</v>
      </c>
      <c r="R68" t="e">
        <f>INDEX(Items!D$2:D$1032,MATCH($O68,Items!$A$2:$A$1032,0))</f>
        <v>#N/A</v>
      </c>
    </row>
    <row r="69" spans="1:18" x14ac:dyDescent="0.25">
      <c r="A69">
        <f t="shared" si="7"/>
        <v>1</v>
      </c>
      <c r="B69" t="str">
        <f t="shared" si="8"/>
        <v/>
      </c>
      <c r="C69">
        <f t="shared" si="5"/>
        <v>1</v>
      </c>
      <c r="D69" s="4"/>
      <c r="F69" t="s">
        <v>43</v>
      </c>
      <c r="G69" t="s">
        <v>46</v>
      </c>
      <c r="M69">
        <f t="shared" si="6"/>
        <v>0</v>
      </c>
      <c r="N69">
        <f t="shared" si="9"/>
        <v>0</v>
      </c>
      <c r="P69" t="e">
        <f>INDEX(Items!B$2:B$1032,MATCH($O69,Items!$A$2:$A$1032,0))</f>
        <v>#N/A</v>
      </c>
      <c r="Q69" t="e">
        <f>INDEX(Items!C$2:C$1032,MATCH($O69,Items!$A$2:$A$1032,0))</f>
        <v>#N/A</v>
      </c>
      <c r="R69" t="e">
        <f>INDEX(Items!D$2:D$1032,MATCH($O69,Items!$A$2:$A$1032,0))</f>
        <v>#N/A</v>
      </c>
    </row>
    <row r="70" spans="1:18" x14ac:dyDescent="0.25">
      <c r="A70">
        <f t="shared" si="7"/>
        <v>1</v>
      </c>
      <c r="B70" t="str">
        <f t="shared" si="8"/>
        <v/>
      </c>
      <c r="C70">
        <f t="shared" si="5"/>
        <v>1</v>
      </c>
      <c r="D70" s="4"/>
      <c r="F70" t="s">
        <v>43</v>
      </c>
      <c r="G70" t="s">
        <v>46</v>
      </c>
      <c r="M70">
        <f t="shared" si="6"/>
        <v>0</v>
      </c>
      <c r="N70">
        <f t="shared" si="9"/>
        <v>0</v>
      </c>
      <c r="P70" t="e">
        <f>INDEX(Items!B$2:B$1032,MATCH($O70,Items!$A$2:$A$1032,0))</f>
        <v>#N/A</v>
      </c>
      <c r="Q70" t="e">
        <f>INDEX(Items!C$2:C$1032,MATCH($O70,Items!$A$2:$A$1032,0))</f>
        <v>#N/A</v>
      </c>
      <c r="R70" t="e">
        <f>INDEX(Items!D$2:D$1032,MATCH($O70,Items!$A$2:$A$1032,0))</f>
        <v>#N/A</v>
      </c>
    </row>
    <row r="71" spans="1:18" x14ac:dyDescent="0.25">
      <c r="A71">
        <f t="shared" si="7"/>
        <v>1</v>
      </c>
      <c r="B71" t="str">
        <f t="shared" si="8"/>
        <v/>
      </c>
      <c r="C71">
        <f t="shared" si="5"/>
        <v>1</v>
      </c>
      <c r="D71" s="4"/>
      <c r="F71" t="s">
        <v>43</v>
      </c>
      <c r="G71" t="s">
        <v>46</v>
      </c>
      <c r="M71">
        <f t="shared" si="6"/>
        <v>0</v>
      </c>
      <c r="N71">
        <f t="shared" si="9"/>
        <v>0</v>
      </c>
      <c r="P71" t="e">
        <f>INDEX(Items!B$2:B$1032,MATCH($O71,Items!$A$2:$A$1032,0))</f>
        <v>#N/A</v>
      </c>
      <c r="Q71" t="e">
        <f>INDEX(Items!C$2:C$1032,MATCH($O71,Items!$A$2:$A$1032,0))</f>
        <v>#N/A</v>
      </c>
      <c r="R71" t="e">
        <f>INDEX(Items!D$2:D$1032,MATCH($O71,Items!$A$2:$A$1032,0))</f>
        <v>#N/A</v>
      </c>
    </row>
    <row r="72" spans="1:18" x14ac:dyDescent="0.25">
      <c r="A72">
        <f t="shared" si="7"/>
        <v>1</v>
      </c>
      <c r="B72" t="str">
        <f t="shared" si="8"/>
        <v/>
      </c>
      <c r="C72">
        <f t="shared" si="5"/>
        <v>1</v>
      </c>
      <c r="D72" s="4"/>
      <c r="F72" t="s">
        <v>53</v>
      </c>
      <c r="G72" t="s">
        <v>48</v>
      </c>
      <c r="M72">
        <f t="shared" si="6"/>
        <v>0</v>
      </c>
      <c r="N72">
        <f t="shared" si="9"/>
        <v>0</v>
      </c>
      <c r="P72" t="e">
        <f>INDEX(Items!B$2:B$1032,MATCH($O72,Items!$A$2:$A$1032,0))</f>
        <v>#N/A</v>
      </c>
      <c r="Q72" t="e">
        <f>INDEX(Items!C$2:C$1032,MATCH($O72,Items!$A$2:$A$1032,0))</f>
        <v>#N/A</v>
      </c>
      <c r="R72" t="e">
        <f>INDEX(Items!D$2:D$1032,MATCH($O72,Items!$A$2:$A$1032,0))</f>
        <v>#N/A</v>
      </c>
    </row>
    <row r="73" spans="1:18" x14ac:dyDescent="0.25">
      <c r="A73">
        <f t="shared" si="7"/>
        <v>1</v>
      </c>
      <c r="B73" t="str">
        <f t="shared" si="8"/>
        <v/>
      </c>
      <c r="C73">
        <f t="shared" si="5"/>
        <v>1</v>
      </c>
      <c r="D73" s="4"/>
      <c r="F73" t="s">
        <v>53</v>
      </c>
      <c r="G73" t="s">
        <v>48</v>
      </c>
      <c r="M73">
        <f t="shared" si="6"/>
        <v>0</v>
      </c>
      <c r="N73">
        <f t="shared" si="9"/>
        <v>0</v>
      </c>
      <c r="P73" t="e">
        <f>INDEX(Items!B$2:B$1032,MATCH($O73,Items!$A$2:$A$1032,0))</f>
        <v>#N/A</v>
      </c>
      <c r="Q73" t="e">
        <f>INDEX(Items!C$2:C$1032,MATCH($O73,Items!$A$2:$A$1032,0))</f>
        <v>#N/A</v>
      </c>
      <c r="R73" t="e">
        <f>INDEX(Items!D$2:D$1032,MATCH($O73,Items!$A$2:$A$1032,0))</f>
        <v>#N/A</v>
      </c>
    </row>
    <row r="74" spans="1:18" x14ac:dyDescent="0.25">
      <c r="A74">
        <f t="shared" si="7"/>
        <v>1</v>
      </c>
      <c r="B74" t="str">
        <f t="shared" si="8"/>
        <v/>
      </c>
      <c r="C74">
        <f t="shared" ref="C74:C137" si="10">IF(OR(B74="",B74&lt;&gt;B73),1,C73+1)</f>
        <v>1</v>
      </c>
      <c r="D74" s="4"/>
      <c r="F74" t="s">
        <v>43</v>
      </c>
      <c r="G74" t="s">
        <v>48</v>
      </c>
      <c r="M74">
        <f t="shared" ref="M74:M137" si="11">K74*L74</f>
        <v>0</v>
      </c>
      <c r="N74">
        <f t="shared" si="9"/>
        <v>0</v>
      </c>
      <c r="P74" t="e">
        <f>INDEX(Items!B$2:B$1032,MATCH($O74,Items!$A$2:$A$1032,0))</f>
        <v>#N/A</v>
      </c>
      <c r="Q74" t="e">
        <f>INDEX(Items!C$2:C$1032,MATCH($O74,Items!$A$2:$A$1032,0))</f>
        <v>#N/A</v>
      </c>
      <c r="R74" t="e">
        <f>INDEX(Items!D$2:D$1032,MATCH($O74,Items!$A$2:$A$1032,0))</f>
        <v>#N/A</v>
      </c>
    </row>
    <row r="75" spans="1:18" x14ac:dyDescent="0.25">
      <c r="A75">
        <f t="shared" si="7"/>
        <v>1</v>
      </c>
      <c r="B75" t="str">
        <f t="shared" si="8"/>
        <v/>
      </c>
      <c r="C75">
        <f t="shared" si="10"/>
        <v>1</v>
      </c>
      <c r="D75" s="4"/>
      <c r="F75" t="s">
        <v>43</v>
      </c>
      <c r="G75" t="s">
        <v>48</v>
      </c>
      <c r="M75">
        <f t="shared" si="11"/>
        <v>0</v>
      </c>
      <c r="N75">
        <f t="shared" si="9"/>
        <v>0</v>
      </c>
      <c r="P75" t="e">
        <f>INDEX(Items!B$2:B$1032,MATCH($O75,Items!$A$2:$A$1032,0))</f>
        <v>#N/A</v>
      </c>
      <c r="Q75" t="e">
        <f>INDEX(Items!C$2:C$1032,MATCH($O75,Items!$A$2:$A$1032,0))</f>
        <v>#N/A</v>
      </c>
      <c r="R75" t="e">
        <f>INDEX(Items!D$2:D$1032,MATCH($O75,Items!$A$2:$A$1032,0))</f>
        <v>#N/A</v>
      </c>
    </row>
    <row r="76" spans="1:18" x14ac:dyDescent="0.25">
      <c r="A76">
        <f t="shared" si="7"/>
        <v>1</v>
      </c>
      <c r="B76" t="str">
        <f t="shared" si="8"/>
        <v/>
      </c>
      <c r="C76">
        <f t="shared" si="10"/>
        <v>1</v>
      </c>
      <c r="D76" s="4"/>
      <c r="F76" t="s">
        <v>43</v>
      </c>
      <c r="G76" t="s">
        <v>48</v>
      </c>
      <c r="M76">
        <f t="shared" si="11"/>
        <v>0</v>
      </c>
      <c r="N76">
        <f t="shared" si="9"/>
        <v>0</v>
      </c>
      <c r="P76" t="e">
        <f>INDEX(Items!B$2:B$1032,MATCH($O76,Items!$A$2:$A$1032,0))</f>
        <v>#N/A</v>
      </c>
      <c r="Q76" t="e">
        <f>INDEX(Items!C$2:C$1032,MATCH($O76,Items!$A$2:$A$1032,0))</f>
        <v>#N/A</v>
      </c>
      <c r="R76" t="e">
        <f>INDEX(Items!D$2:D$1032,MATCH($O76,Items!$A$2:$A$1032,0))</f>
        <v>#N/A</v>
      </c>
    </row>
    <row r="77" spans="1:18" x14ac:dyDescent="0.25">
      <c r="A77">
        <f t="shared" si="7"/>
        <v>1</v>
      </c>
      <c r="B77" t="str">
        <f t="shared" si="8"/>
        <v/>
      </c>
      <c r="C77">
        <f t="shared" si="10"/>
        <v>1</v>
      </c>
      <c r="D77" s="4"/>
      <c r="F77" t="s">
        <v>43</v>
      </c>
      <c r="G77" t="s">
        <v>48</v>
      </c>
      <c r="M77">
        <f t="shared" si="11"/>
        <v>0</v>
      </c>
      <c r="N77">
        <f t="shared" si="9"/>
        <v>0</v>
      </c>
      <c r="P77" t="e">
        <f>INDEX(Items!B$2:B$1032,MATCH($O77,Items!$A$2:$A$1032,0))</f>
        <v>#N/A</v>
      </c>
      <c r="Q77" t="e">
        <f>INDEX(Items!C$2:C$1032,MATCH($O77,Items!$A$2:$A$1032,0))</f>
        <v>#N/A</v>
      </c>
      <c r="R77" t="e">
        <f>INDEX(Items!D$2:D$1032,MATCH($O77,Items!$A$2:$A$1032,0))</f>
        <v>#N/A</v>
      </c>
    </row>
    <row r="78" spans="1:18" x14ac:dyDescent="0.25">
      <c r="A78">
        <f t="shared" si="7"/>
        <v>1</v>
      </c>
      <c r="B78" t="str">
        <f t="shared" si="8"/>
        <v/>
      </c>
      <c r="C78">
        <f t="shared" si="10"/>
        <v>1</v>
      </c>
      <c r="D78" s="4"/>
      <c r="F78" t="s">
        <v>43</v>
      </c>
      <c r="G78" t="s">
        <v>48</v>
      </c>
      <c r="M78">
        <f t="shared" si="11"/>
        <v>0</v>
      </c>
      <c r="N78">
        <f t="shared" si="9"/>
        <v>0</v>
      </c>
      <c r="P78" t="e">
        <f>INDEX(Items!B$2:B$1032,MATCH($O78,Items!$A$2:$A$1032,0))</f>
        <v>#N/A</v>
      </c>
      <c r="Q78" t="e">
        <f>INDEX(Items!C$2:C$1032,MATCH($O78,Items!$A$2:$A$1032,0))</f>
        <v>#N/A</v>
      </c>
      <c r="R78" t="e">
        <f>INDEX(Items!D$2:D$1032,MATCH($O78,Items!$A$2:$A$1032,0))</f>
        <v>#N/A</v>
      </c>
    </row>
    <row r="79" spans="1:18" x14ac:dyDescent="0.25">
      <c r="A79">
        <f t="shared" si="7"/>
        <v>1</v>
      </c>
      <c r="B79" t="str">
        <f t="shared" si="8"/>
        <v/>
      </c>
      <c r="C79">
        <f t="shared" si="10"/>
        <v>1</v>
      </c>
      <c r="D79" s="4"/>
      <c r="F79" t="s">
        <v>43</v>
      </c>
      <c r="G79" t="s">
        <v>46</v>
      </c>
      <c r="M79">
        <f t="shared" si="11"/>
        <v>0</v>
      </c>
      <c r="N79">
        <f t="shared" si="9"/>
        <v>0</v>
      </c>
      <c r="P79" t="e">
        <f>INDEX(Items!B$2:B$1032,MATCH($O79,Items!$A$2:$A$1032,0))</f>
        <v>#N/A</v>
      </c>
      <c r="Q79" t="e">
        <f>INDEX(Items!C$2:C$1032,MATCH($O79,Items!$A$2:$A$1032,0))</f>
        <v>#N/A</v>
      </c>
      <c r="R79" t="e">
        <f>INDEX(Items!D$2:D$1032,MATCH($O79,Items!$A$2:$A$1032,0))</f>
        <v>#N/A</v>
      </c>
    </row>
    <row r="80" spans="1:18" x14ac:dyDescent="0.25">
      <c r="A80">
        <f t="shared" si="7"/>
        <v>1</v>
      </c>
      <c r="B80" t="str">
        <f t="shared" si="8"/>
        <v/>
      </c>
      <c r="C80">
        <f t="shared" si="10"/>
        <v>1</v>
      </c>
      <c r="D80" s="4"/>
      <c r="F80" t="s">
        <v>43</v>
      </c>
      <c r="G80" t="s">
        <v>46</v>
      </c>
      <c r="M80">
        <f t="shared" si="11"/>
        <v>0</v>
      </c>
      <c r="N80">
        <f t="shared" si="9"/>
        <v>0</v>
      </c>
      <c r="P80" t="e">
        <f>INDEX(Items!B$2:B$1032,MATCH($O80,Items!$A$2:$A$1032,0))</f>
        <v>#N/A</v>
      </c>
      <c r="Q80" t="e">
        <f>INDEX(Items!C$2:C$1032,MATCH($O80,Items!$A$2:$A$1032,0))</f>
        <v>#N/A</v>
      </c>
      <c r="R80" t="e">
        <f>INDEX(Items!D$2:D$1032,MATCH($O80,Items!$A$2:$A$1032,0))</f>
        <v>#N/A</v>
      </c>
    </row>
    <row r="81" spans="1:18" x14ac:dyDescent="0.25">
      <c r="A81">
        <f t="shared" si="7"/>
        <v>1</v>
      </c>
      <c r="B81" t="str">
        <f t="shared" si="8"/>
        <v/>
      </c>
      <c r="C81">
        <f t="shared" si="10"/>
        <v>1</v>
      </c>
      <c r="D81" s="4"/>
      <c r="F81" t="s">
        <v>43</v>
      </c>
      <c r="G81" t="s">
        <v>46</v>
      </c>
      <c r="M81">
        <f t="shared" si="11"/>
        <v>0</v>
      </c>
      <c r="N81">
        <f t="shared" si="9"/>
        <v>0</v>
      </c>
      <c r="P81" t="e">
        <f>INDEX(Items!B$2:B$1032,MATCH($O81,Items!$A$2:$A$1032,0))</f>
        <v>#N/A</v>
      </c>
      <c r="Q81" t="e">
        <f>INDEX(Items!C$2:C$1032,MATCH($O81,Items!$A$2:$A$1032,0))</f>
        <v>#N/A</v>
      </c>
      <c r="R81" t="e">
        <f>INDEX(Items!D$2:D$1032,MATCH($O81,Items!$A$2:$A$1032,0))</f>
        <v>#N/A</v>
      </c>
    </row>
    <row r="82" spans="1:18" x14ac:dyDescent="0.25">
      <c r="A82">
        <f t="shared" si="7"/>
        <v>1</v>
      </c>
      <c r="B82" t="str">
        <f t="shared" si="8"/>
        <v/>
      </c>
      <c r="C82">
        <f t="shared" si="10"/>
        <v>1</v>
      </c>
      <c r="D82" s="4"/>
      <c r="F82" t="s">
        <v>43</v>
      </c>
      <c r="G82" t="s">
        <v>46</v>
      </c>
      <c r="M82">
        <f t="shared" si="11"/>
        <v>0</v>
      </c>
      <c r="N82">
        <f t="shared" si="9"/>
        <v>0</v>
      </c>
      <c r="P82" t="e">
        <f>INDEX(Items!B$2:B$1032,MATCH($O82,Items!$A$2:$A$1032,0))</f>
        <v>#N/A</v>
      </c>
      <c r="Q82" t="e">
        <f>INDEX(Items!C$2:C$1032,MATCH($O82,Items!$A$2:$A$1032,0))</f>
        <v>#N/A</v>
      </c>
      <c r="R82" t="e">
        <f>INDEX(Items!D$2:D$1032,MATCH($O82,Items!$A$2:$A$1032,0))</f>
        <v>#N/A</v>
      </c>
    </row>
    <row r="83" spans="1:18" x14ac:dyDescent="0.25">
      <c r="A83">
        <f t="shared" si="7"/>
        <v>1</v>
      </c>
      <c r="B83" t="str">
        <f t="shared" si="8"/>
        <v/>
      </c>
      <c r="C83">
        <f t="shared" si="10"/>
        <v>1</v>
      </c>
      <c r="D83" s="4"/>
      <c r="F83" t="e">
        <f>INDEX(Establishment!B$2:B$1005,MATCH($E83,Establishment!$A$2:$A$1005,0))</f>
        <v>#N/A</v>
      </c>
      <c r="G83" t="e">
        <f>INDEX(Establishment!C$2:C$1005,MATCH($E83,Establishment!$A$2:$A$1005,0))</f>
        <v>#N/A</v>
      </c>
      <c r="M83">
        <f t="shared" si="11"/>
        <v>0</v>
      </c>
      <c r="N83">
        <f t="shared" si="9"/>
        <v>0</v>
      </c>
      <c r="P83" t="e">
        <f>INDEX(Items!B$2:B$1032,MATCH($O83,Items!$A$2:$A$1032,0))</f>
        <v>#N/A</v>
      </c>
      <c r="Q83" t="e">
        <f>INDEX(Items!C$2:C$1032,MATCH($O83,Items!$A$2:$A$1032,0))</f>
        <v>#N/A</v>
      </c>
      <c r="R83" t="e">
        <f>INDEX(Items!D$2:D$1032,MATCH($O83,Items!$A$2:$A$1032,0))</f>
        <v>#N/A</v>
      </c>
    </row>
    <row r="84" spans="1:18" x14ac:dyDescent="0.25">
      <c r="A84">
        <f t="shared" si="7"/>
        <v>1</v>
      </c>
      <c r="B84" t="str">
        <f t="shared" si="8"/>
        <v/>
      </c>
      <c r="C84">
        <f t="shared" si="10"/>
        <v>1</v>
      </c>
      <c r="D84" s="4"/>
      <c r="F84" t="e">
        <f>INDEX(Establishment!B$2:B$1005,MATCH($E84,Establishment!$A$2:$A$1005,0))</f>
        <v>#N/A</v>
      </c>
      <c r="G84" t="e">
        <f>INDEX(Establishment!C$2:C$1005,MATCH($E84,Establishment!$A$2:$A$1005,0))</f>
        <v>#N/A</v>
      </c>
      <c r="M84">
        <f t="shared" si="11"/>
        <v>0</v>
      </c>
      <c r="N84">
        <f t="shared" si="9"/>
        <v>0</v>
      </c>
      <c r="P84" t="e">
        <f>INDEX(Items!B$2:B$1032,MATCH($O84,Items!$A$2:$A$1032,0))</f>
        <v>#N/A</v>
      </c>
      <c r="Q84" t="e">
        <f>INDEX(Items!C$2:C$1032,MATCH($O84,Items!$A$2:$A$1032,0))</f>
        <v>#N/A</v>
      </c>
      <c r="R84" t="e">
        <f>INDEX(Items!D$2:D$1032,MATCH($O84,Items!$A$2:$A$1032,0))</f>
        <v>#N/A</v>
      </c>
    </row>
    <row r="85" spans="1:18" x14ac:dyDescent="0.25">
      <c r="A85">
        <f t="shared" si="7"/>
        <v>1</v>
      </c>
      <c r="B85" t="str">
        <f t="shared" si="8"/>
        <v/>
      </c>
      <c r="C85">
        <f t="shared" si="10"/>
        <v>1</v>
      </c>
      <c r="D85" s="4"/>
      <c r="F85" t="e">
        <f>INDEX(Establishment!B$2:B$1005,MATCH($E85,Establishment!$A$2:$A$1005,0))</f>
        <v>#N/A</v>
      </c>
      <c r="G85" t="e">
        <f>INDEX(Establishment!C$2:C$1005,MATCH($E85,Establishment!$A$2:$A$1005,0))</f>
        <v>#N/A</v>
      </c>
      <c r="M85">
        <f t="shared" si="11"/>
        <v>0</v>
      </c>
      <c r="N85">
        <f t="shared" si="9"/>
        <v>0</v>
      </c>
      <c r="P85" t="e">
        <f>INDEX(Items!B$2:B$1032,MATCH($O85,Items!$A$2:$A$1032,0))</f>
        <v>#N/A</v>
      </c>
      <c r="Q85" t="e">
        <f>INDEX(Items!C$2:C$1032,MATCH($O85,Items!$A$2:$A$1032,0))</f>
        <v>#N/A</v>
      </c>
      <c r="R85" t="e">
        <f>INDEX(Items!D$2:D$1032,MATCH($O85,Items!$A$2:$A$1032,0))</f>
        <v>#N/A</v>
      </c>
    </row>
    <row r="86" spans="1:18" x14ac:dyDescent="0.25">
      <c r="A86">
        <f t="shared" si="7"/>
        <v>1</v>
      </c>
      <c r="B86" t="str">
        <f t="shared" si="8"/>
        <v/>
      </c>
      <c r="C86">
        <f t="shared" si="10"/>
        <v>1</v>
      </c>
      <c r="D86" s="4"/>
      <c r="F86" t="e">
        <f>INDEX(Establishment!B$2:B$1005,MATCH($E86,Establishment!$A$2:$A$1005,0))</f>
        <v>#N/A</v>
      </c>
      <c r="G86" t="e">
        <f>INDEX(Establishment!C$2:C$1005,MATCH($E86,Establishment!$A$2:$A$1005,0))</f>
        <v>#N/A</v>
      </c>
      <c r="M86">
        <f t="shared" si="11"/>
        <v>0</v>
      </c>
      <c r="N86">
        <f t="shared" si="9"/>
        <v>0</v>
      </c>
      <c r="P86" t="e">
        <f>INDEX(Items!B$2:B$1032,MATCH($O86,Items!$A$2:$A$1032,0))</f>
        <v>#N/A</v>
      </c>
      <c r="Q86" t="e">
        <f>INDEX(Items!C$2:C$1032,MATCH($O86,Items!$A$2:$A$1032,0))</f>
        <v>#N/A</v>
      </c>
      <c r="R86" t="e">
        <f>INDEX(Items!D$2:D$1032,MATCH($O86,Items!$A$2:$A$1032,0))</f>
        <v>#N/A</v>
      </c>
    </row>
    <row r="87" spans="1:18" x14ac:dyDescent="0.25">
      <c r="A87">
        <f t="shared" si="7"/>
        <v>1</v>
      </c>
      <c r="B87" t="str">
        <f t="shared" si="8"/>
        <v/>
      </c>
      <c r="C87">
        <f t="shared" si="10"/>
        <v>1</v>
      </c>
      <c r="D87" s="4"/>
      <c r="F87" t="e">
        <f>INDEX(Establishment!B$2:B$1005,MATCH($E87,Establishment!$A$2:$A$1005,0))</f>
        <v>#N/A</v>
      </c>
      <c r="G87" t="e">
        <f>INDEX(Establishment!C$2:C$1005,MATCH($E87,Establishment!$A$2:$A$1005,0))</f>
        <v>#N/A</v>
      </c>
      <c r="M87">
        <f t="shared" si="11"/>
        <v>0</v>
      </c>
      <c r="N87">
        <f t="shared" si="9"/>
        <v>0</v>
      </c>
      <c r="P87" t="e">
        <f>INDEX(Items!B$2:B$1032,MATCH($O87,Items!$A$2:$A$1032,0))</f>
        <v>#N/A</v>
      </c>
      <c r="Q87" t="e">
        <f>INDEX(Items!C$2:C$1032,MATCH($O87,Items!$A$2:$A$1032,0))</f>
        <v>#N/A</v>
      </c>
      <c r="R87" t="e">
        <f>INDEX(Items!D$2:D$1032,MATCH($O87,Items!$A$2:$A$1032,0))</f>
        <v>#N/A</v>
      </c>
    </row>
    <row r="88" spans="1:18" x14ac:dyDescent="0.25">
      <c r="A88">
        <f t="shared" si="7"/>
        <v>1</v>
      </c>
      <c r="B88" t="str">
        <f t="shared" si="8"/>
        <v/>
      </c>
      <c r="C88">
        <f t="shared" si="10"/>
        <v>1</v>
      </c>
      <c r="D88" s="4"/>
      <c r="F88" t="e">
        <f>INDEX(Establishment!B$2:B$1005,MATCH($E88,Establishment!$A$2:$A$1005,0))</f>
        <v>#N/A</v>
      </c>
      <c r="G88" t="e">
        <f>INDEX(Establishment!C$2:C$1005,MATCH($E88,Establishment!$A$2:$A$1005,0))</f>
        <v>#N/A</v>
      </c>
      <c r="M88">
        <f t="shared" si="11"/>
        <v>0</v>
      </c>
      <c r="N88">
        <f t="shared" si="9"/>
        <v>0</v>
      </c>
      <c r="P88" t="e">
        <f>INDEX(Items!B$2:B$1032,MATCH($O88,Items!$A$2:$A$1032,0))</f>
        <v>#N/A</v>
      </c>
      <c r="Q88" t="e">
        <f>INDEX(Items!C$2:C$1032,MATCH($O88,Items!$A$2:$A$1032,0))</f>
        <v>#N/A</v>
      </c>
      <c r="R88" t="e">
        <f>INDEX(Items!D$2:D$1032,MATCH($O88,Items!$A$2:$A$1032,0))</f>
        <v>#N/A</v>
      </c>
    </row>
    <row r="89" spans="1:18" x14ac:dyDescent="0.25">
      <c r="A89">
        <f t="shared" si="7"/>
        <v>1</v>
      </c>
      <c r="B89" t="str">
        <f t="shared" si="8"/>
        <v/>
      </c>
      <c r="C89">
        <f t="shared" si="10"/>
        <v>1</v>
      </c>
      <c r="D89" s="4"/>
      <c r="F89" t="e">
        <f>INDEX(Establishment!B$2:B$1005,MATCH($E89,Establishment!$A$2:$A$1005,0))</f>
        <v>#N/A</v>
      </c>
      <c r="G89" t="e">
        <f>INDEX(Establishment!C$2:C$1005,MATCH($E89,Establishment!$A$2:$A$1005,0))</f>
        <v>#N/A</v>
      </c>
      <c r="M89">
        <f t="shared" si="11"/>
        <v>0</v>
      </c>
      <c r="N89">
        <f t="shared" si="9"/>
        <v>0</v>
      </c>
      <c r="P89" t="e">
        <f>INDEX(Items!B$2:B$1032,MATCH($O89,Items!$A$2:$A$1032,0))</f>
        <v>#N/A</v>
      </c>
      <c r="Q89" t="e">
        <f>INDEX(Items!C$2:C$1032,MATCH($O89,Items!$A$2:$A$1032,0))</f>
        <v>#N/A</v>
      </c>
      <c r="R89" t="e">
        <f>INDEX(Items!D$2:D$1032,MATCH($O89,Items!$A$2:$A$1032,0))</f>
        <v>#N/A</v>
      </c>
    </row>
    <row r="90" spans="1:18" x14ac:dyDescent="0.25">
      <c r="A90">
        <f t="shared" si="7"/>
        <v>1</v>
      </c>
      <c r="B90" t="str">
        <f t="shared" si="8"/>
        <v/>
      </c>
      <c r="C90">
        <f t="shared" si="10"/>
        <v>1</v>
      </c>
      <c r="D90" s="4"/>
      <c r="F90" t="e">
        <f>INDEX(Establishment!B$2:B$1005,MATCH($E90,Establishment!$A$2:$A$1005,0))</f>
        <v>#N/A</v>
      </c>
      <c r="G90" t="e">
        <f>INDEX(Establishment!C$2:C$1005,MATCH($E90,Establishment!$A$2:$A$1005,0))</f>
        <v>#N/A</v>
      </c>
      <c r="M90">
        <f t="shared" si="11"/>
        <v>0</v>
      </c>
      <c r="N90">
        <f t="shared" si="9"/>
        <v>0</v>
      </c>
      <c r="P90" t="e">
        <f>INDEX(Items!B$2:B$1032,MATCH($O90,Items!$A$2:$A$1032,0))</f>
        <v>#N/A</v>
      </c>
      <c r="Q90" t="e">
        <f>INDEX(Items!C$2:C$1032,MATCH($O90,Items!$A$2:$A$1032,0))</f>
        <v>#N/A</v>
      </c>
      <c r="R90" t="e">
        <f>INDEX(Items!D$2:D$1032,MATCH($O90,Items!$A$2:$A$1032,0))</f>
        <v>#N/A</v>
      </c>
    </row>
    <row r="91" spans="1:18" x14ac:dyDescent="0.25">
      <c r="A91">
        <f t="shared" si="7"/>
        <v>1</v>
      </c>
      <c r="B91" t="str">
        <f t="shared" si="8"/>
        <v/>
      </c>
      <c r="C91">
        <f t="shared" si="10"/>
        <v>1</v>
      </c>
      <c r="D91" s="4"/>
      <c r="F91" t="e">
        <f>INDEX(Establishment!B$2:B$1005,MATCH($E91,Establishment!$A$2:$A$1005,0))</f>
        <v>#N/A</v>
      </c>
      <c r="G91" t="e">
        <f>INDEX(Establishment!C$2:C$1005,MATCH($E91,Establishment!$A$2:$A$1005,0))</f>
        <v>#N/A</v>
      </c>
      <c r="M91">
        <f t="shared" si="11"/>
        <v>0</v>
      </c>
      <c r="N91">
        <f t="shared" si="9"/>
        <v>0</v>
      </c>
      <c r="P91" t="e">
        <f>INDEX(Items!B$2:B$1032,MATCH($O91,Items!$A$2:$A$1032,0))</f>
        <v>#N/A</v>
      </c>
      <c r="Q91" t="e">
        <f>INDEX(Items!C$2:C$1032,MATCH($O91,Items!$A$2:$A$1032,0))</f>
        <v>#N/A</v>
      </c>
      <c r="R91" t="e">
        <f>INDEX(Items!D$2:D$1032,MATCH($O91,Items!$A$2:$A$1032,0))</f>
        <v>#N/A</v>
      </c>
    </row>
    <row r="92" spans="1:18" x14ac:dyDescent="0.25">
      <c r="A92">
        <f t="shared" si="7"/>
        <v>1</v>
      </c>
      <c r="B92" t="str">
        <f t="shared" si="8"/>
        <v/>
      </c>
      <c r="C92">
        <f t="shared" si="10"/>
        <v>1</v>
      </c>
      <c r="D92" s="4"/>
      <c r="F92" t="e">
        <f>INDEX(Establishment!B$2:B$1005,MATCH($E92,Establishment!$A$2:$A$1005,0))</f>
        <v>#N/A</v>
      </c>
      <c r="G92" t="e">
        <f>INDEX(Establishment!C$2:C$1005,MATCH($E92,Establishment!$A$2:$A$1005,0))</f>
        <v>#N/A</v>
      </c>
      <c r="M92">
        <f t="shared" si="11"/>
        <v>0</v>
      </c>
      <c r="N92">
        <f t="shared" si="9"/>
        <v>0</v>
      </c>
      <c r="P92" t="e">
        <f>INDEX(Items!B$2:B$1032,MATCH($O92,Items!$A$2:$A$1032,0))</f>
        <v>#N/A</v>
      </c>
      <c r="Q92" t="e">
        <f>INDEX(Items!C$2:C$1032,MATCH($O92,Items!$A$2:$A$1032,0))</f>
        <v>#N/A</v>
      </c>
      <c r="R92" t="e">
        <f>INDEX(Items!D$2:D$1032,MATCH($O92,Items!$A$2:$A$1032,0))</f>
        <v>#N/A</v>
      </c>
    </row>
    <row r="93" spans="1:18" x14ac:dyDescent="0.25">
      <c r="A93">
        <f t="shared" si="7"/>
        <v>1</v>
      </c>
      <c r="B93" t="str">
        <f t="shared" si="8"/>
        <v/>
      </c>
      <c r="C93">
        <f t="shared" si="10"/>
        <v>1</v>
      </c>
      <c r="D93" s="4"/>
      <c r="E93" t="s">
        <v>18</v>
      </c>
      <c r="F93" t="str">
        <f>INDEX(Establishment!B$2:B$1005,MATCH($E93,Establishment!$A$2:$A$1005,0))</f>
        <v xml:space="preserve"> </v>
      </c>
      <c r="G93" t="str">
        <f>INDEX(Establishment!C$2:C$1005,MATCH($E93,Establishment!$A$2:$A$1005,0))</f>
        <v xml:space="preserve"> </v>
      </c>
      <c r="M93">
        <f t="shared" si="11"/>
        <v>0</v>
      </c>
      <c r="N93">
        <f t="shared" si="9"/>
        <v>0</v>
      </c>
      <c r="P93" t="e">
        <f>INDEX(Items!B$2:B$1032,MATCH($O93,Items!$A$2:$A$1032,0))</f>
        <v>#N/A</v>
      </c>
      <c r="Q93" t="e">
        <f>INDEX(Items!C$2:C$1032,MATCH($O93,Items!$A$2:$A$1032,0))</f>
        <v>#N/A</v>
      </c>
      <c r="R93" t="e">
        <f>INDEX(Items!D$2:D$1032,MATCH($O93,Items!$A$2:$A$1032,0))</f>
        <v>#N/A</v>
      </c>
    </row>
    <row r="94" spans="1:18" x14ac:dyDescent="0.25">
      <c r="A94">
        <f t="shared" si="7"/>
        <v>1</v>
      </c>
      <c r="B94" t="str">
        <f t="shared" si="8"/>
        <v/>
      </c>
      <c r="C94">
        <f t="shared" si="10"/>
        <v>1</v>
      </c>
      <c r="D94" s="4"/>
      <c r="E94" t="s">
        <v>18</v>
      </c>
      <c r="F94" t="str">
        <f>INDEX(Establishment!B$2:B$1005,MATCH($E94,Establishment!$A$2:$A$1005,0))</f>
        <v xml:space="preserve"> </v>
      </c>
      <c r="G94" t="str">
        <f>INDEX(Establishment!C$2:C$1005,MATCH($E94,Establishment!$A$2:$A$1005,0))</f>
        <v xml:space="preserve"> </v>
      </c>
      <c r="M94">
        <f t="shared" si="11"/>
        <v>0</v>
      </c>
      <c r="N94">
        <f t="shared" si="9"/>
        <v>0</v>
      </c>
      <c r="P94" t="e">
        <f>INDEX(Items!B$2:B$1032,MATCH($O94,Items!$A$2:$A$1032,0))</f>
        <v>#N/A</v>
      </c>
      <c r="Q94" t="e">
        <f>INDEX(Items!C$2:C$1032,MATCH($O94,Items!$A$2:$A$1032,0))</f>
        <v>#N/A</v>
      </c>
      <c r="R94" t="e">
        <f>INDEX(Items!D$2:D$1032,MATCH($O94,Items!$A$2:$A$1032,0))</f>
        <v>#N/A</v>
      </c>
    </row>
    <row r="95" spans="1:18" x14ac:dyDescent="0.25">
      <c r="A95">
        <f t="shared" si="7"/>
        <v>1</v>
      </c>
      <c r="B95" t="str">
        <f t="shared" si="8"/>
        <v/>
      </c>
      <c r="C95">
        <f t="shared" si="10"/>
        <v>1</v>
      </c>
      <c r="D95" s="4"/>
      <c r="E95" t="s">
        <v>18</v>
      </c>
      <c r="F95" t="str">
        <f>INDEX(Establishment!B$2:B$1005,MATCH($E95,Establishment!$A$2:$A$1005,0))</f>
        <v xml:space="preserve"> </v>
      </c>
      <c r="G95" t="str">
        <f>INDEX(Establishment!C$2:C$1005,MATCH($E95,Establishment!$A$2:$A$1005,0))</f>
        <v xml:space="preserve"> </v>
      </c>
      <c r="M95">
        <f t="shared" si="11"/>
        <v>0</v>
      </c>
      <c r="N95">
        <f t="shared" si="9"/>
        <v>0</v>
      </c>
      <c r="P95" t="e">
        <f>INDEX(Items!B$2:B$1032,MATCH($O95,Items!$A$2:$A$1032,0))</f>
        <v>#N/A</v>
      </c>
      <c r="Q95" t="e">
        <f>INDEX(Items!C$2:C$1032,MATCH($O95,Items!$A$2:$A$1032,0))</f>
        <v>#N/A</v>
      </c>
      <c r="R95" t="e">
        <f>INDEX(Items!D$2:D$1032,MATCH($O95,Items!$A$2:$A$1032,0))</f>
        <v>#N/A</v>
      </c>
    </row>
    <row r="96" spans="1:18" x14ac:dyDescent="0.25">
      <c r="A96">
        <f t="shared" si="7"/>
        <v>1</v>
      </c>
      <c r="B96" t="str">
        <f t="shared" si="8"/>
        <v/>
      </c>
      <c r="C96">
        <f t="shared" si="10"/>
        <v>1</v>
      </c>
      <c r="D96" s="4"/>
      <c r="E96" t="s">
        <v>18</v>
      </c>
      <c r="F96" t="str">
        <f>INDEX(Establishment!B$2:B$1005,MATCH($E96,Establishment!$A$2:$A$1005,0))</f>
        <v xml:space="preserve"> </v>
      </c>
      <c r="G96" t="str">
        <f>INDEX(Establishment!C$2:C$1005,MATCH($E96,Establishment!$A$2:$A$1005,0))</f>
        <v xml:space="preserve"> </v>
      </c>
      <c r="M96">
        <f t="shared" si="11"/>
        <v>0</v>
      </c>
      <c r="N96">
        <f t="shared" si="9"/>
        <v>0</v>
      </c>
      <c r="P96" t="e">
        <f>INDEX(Items!B$2:B$1032,MATCH($O96,Items!$A$2:$A$1032,0))</f>
        <v>#N/A</v>
      </c>
      <c r="Q96" t="e">
        <f>INDEX(Items!C$2:C$1032,MATCH($O96,Items!$A$2:$A$1032,0))</f>
        <v>#N/A</v>
      </c>
      <c r="R96" t="e">
        <f>INDEX(Items!D$2:D$1032,MATCH($O96,Items!$A$2:$A$1032,0))</f>
        <v>#N/A</v>
      </c>
    </row>
    <row r="97" spans="1:18" x14ac:dyDescent="0.25">
      <c r="A97">
        <f t="shared" si="7"/>
        <v>1</v>
      </c>
      <c r="B97" t="str">
        <f t="shared" si="8"/>
        <v/>
      </c>
      <c r="C97">
        <f t="shared" si="10"/>
        <v>1</v>
      </c>
      <c r="D97" s="4"/>
      <c r="E97" t="s">
        <v>18</v>
      </c>
      <c r="F97" t="str">
        <f>INDEX(Establishment!B$2:B$1005,MATCH($E97,Establishment!$A$2:$A$1005,0))</f>
        <v xml:space="preserve"> </v>
      </c>
      <c r="G97" t="str">
        <f>INDEX(Establishment!C$2:C$1005,MATCH($E97,Establishment!$A$2:$A$1005,0))</f>
        <v xml:space="preserve"> </v>
      </c>
      <c r="M97">
        <f t="shared" si="11"/>
        <v>0</v>
      </c>
      <c r="N97">
        <f t="shared" si="9"/>
        <v>0</v>
      </c>
      <c r="P97" t="e">
        <f>INDEX(Items!B$2:B$1032,MATCH($O97,Items!$A$2:$A$1032,0))</f>
        <v>#N/A</v>
      </c>
      <c r="Q97" t="e">
        <f>INDEX(Items!C$2:C$1032,MATCH($O97,Items!$A$2:$A$1032,0))</f>
        <v>#N/A</v>
      </c>
      <c r="R97" t="e">
        <f>INDEX(Items!D$2:D$1032,MATCH($O97,Items!$A$2:$A$1032,0))</f>
        <v>#N/A</v>
      </c>
    </row>
    <row r="98" spans="1:18" x14ac:dyDescent="0.25">
      <c r="A98">
        <f t="shared" si="7"/>
        <v>1</v>
      </c>
      <c r="B98" t="str">
        <f t="shared" si="8"/>
        <v/>
      </c>
      <c r="C98">
        <f t="shared" si="10"/>
        <v>1</v>
      </c>
      <c r="D98" s="4"/>
      <c r="E98" t="s">
        <v>18</v>
      </c>
      <c r="F98" t="str">
        <f>INDEX(Establishment!B$2:B$1005,MATCH($E98,Establishment!$A$2:$A$1005,0))</f>
        <v xml:space="preserve"> </v>
      </c>
      <c r="G98" t="str">
        <f>INDEX(Establishment!C$2:C$1005,MATCH($E98,Establishment!$A$2:$A$1005,0))</f>
        <v xml:space="preserve"> </v>
      </c>
      <c r="M98">
        <f t="shared" si="11"/>
        <v>0</v>
      </c>
      <c r="N98">
        <f t="shared" si="9"/>
        <v>0</v>
      </c>
      <c r="P98" t="e">
        <f>INDEX(Items!B$2:B$1032,MATCH($O98,Items!$A$2:$A$1032,0))</f>
        <v>#N/A</v>
      </c>
      <c r="Q98" t="e">
        <f>INDEX(Items!C$2:C$1032,MATCH($O98,Items!$A$2:$A$1032,0))</f>
        <v>#N/A</v>
      </c>
      <c r="R98" t="e">
        <f>INDEX(Items!D$2:D$1032,MATCH($O98,Items!$A$2:$A$1032,0))</f>
        <v>#N/A</v>
      </c>
    </row>
    <row r="99" spans="1:18" x14ac:dyDescent="0.25">
      <c r="A99">
        <f t="shared" si="7"/>
        <v>1</v>
      </c>
      <c r="B99" t="str">
        <f t="shared" si="8"/>
        <v>20230621A</v>
      </c>
      <c r="C99">
        <f t="shared" si="10"/>
        <v>1</v>
      </c>
      <c r="D99" s="4">
        <v>45098</v>
      </c>
      <c r="E99" t="s">
        <v>39</v>
      </c>
      <c r="F99" t="str">
        <f>INDEX(Establishment!B$2:B$1005,MATCH($E99,Establishment!$A$2:$A$1005,0))</f>
        <v>Carenderia 14th Floor</v>
      </c>
      <c r="G99" t="str">
        <f>INDEX(Establishment!C$2:C$1005,MATCH($E99,Establishment!$A$2:$A$1005,0))</f>
        <v>ACC Tower Cebu Business Park</v>
      </c>
      <c r="M99">
        <f t="shared" si="11"/>
        <v>0</v>
      </c>
      <c r="N99">
        <f t="shared" si="9"/>
        <v>0</v>
      </c>
      <c r="P99" t="e">
        <f>INDEX(Items!B$2:B$1032,MATCH($O99,Items!$A$2:$A$1032,0))</f>
        <v>#N/A</v>
      </c>
      <c r="Q99" t="e">
        <f>INDEX(Items!C$2:C$1032,MATCH($O99,Items!$A$2:$A$1032,0))</f>
        <v>#N/A</v>
      </c>
      <c r="R99" t="e">
        <f>INDEX(Items!D$2:D$1032,MATCH($O99,Items!$A$2:$A$1032,0))</f>
        <v>#N/A</v>
      </c>
    </row>
    <row r="100" spans="1:18" x14ac:dyDescent="0.25">
      <c r="A100">
        <f t="shared" si="7"/>
        <v>1</v>
      </c>
      <c r="B100" t="str">
        <f t="shared" si="8"/>
        <v/>
      </c>
      <c r="C100">
        <f t="shared" si="10"/>
        <v>1</v>
      </c>
      <c r="D100" s="4"/>
      <c r="F100" t="e">
        <f>INDEX(Establishment!B$2:B$1005,MATCH($E100,Establishment!$A$2:$A$1005,0))</f>
        <v>#N/A</v>
      </c>
      <c r="G100" t="e">
        <f>INDEX(Establishment!C$2:C$1005,MATCH($E100,Establishment!$A$2:$A$1005,0))</f>
        <v>#N/A</v>
      </c>
      <c r="M100">
        <f t="shared" si="11"/>
        <v>0</v>
      </c>
      <c r="N100">
        <f t="shared" si="9"/>
        <v>0</v>
      </c>
      <c r="P100" t="e">
        <f>INDEX(Items!B$2:B$1032,MATCH($O100,Items!$A$2:$A$1032,0))</f>
        <v>#N/A</v>
      </c>
      <c r="Q100" t="e">
        <f>INDEX(Items!C$2:C$1032,MATCH($O100,Items!$A$2:$A$1032,0))</f>
        <v>#N/A</v>
      </c>
      <c r="R100" t="e">
        <f>INDEX(Items!D$2:D$1032,MATCH($O100,Items!$A$2:$A$1032,0))</f>
        <v>#N/A</v>
      </c>
    </row>
    <row r="101" spans="1:18" x14ac:dyDescent="0.25">
      <c r="A101">
        <f t="shared" si="7"/>
        <v>1</v>
      </c>
      <c r="B101" t="str">
        <f t="shared" si="8"/>
        <v/>
      </c>
      <c r="C101">
        <f t="shared" si="10"/>
        <v>1</v>
      </c>
      <c r="D101" s="4"/>
      <c r="E101" t="s">
        <v>18</v>
      </c>
      <c r="F101" t="str">
        <f>INDEX(Establishment!B$2:B$1005,MATCH($E101,Establishment!$A$2:$A$1005,0))</f>
        <v xml:space="preserve"> </v>
      </c>
      <c r="G101" t="str">
        <f>INDEX(Establishment!C$2:C$1005,MATCH($E101,Establishment!$A$2:$A$1005,0))</f>
        <v xml:space="preserve"> </v>
      </c>
      <c r="M101">
        <f t="shared" si="11"/>
        <v>0</v>
      </c>
      <c r="N101">
        <f t="shared" si="9"/>
        <v>0</v>
      </c>
      <c r="P101" t="e">
        <f>INDEX(Items!B$2:B$1032,MATCH($O101,Items!$A$2:$A$1032,0))</f>
        <v>#N/A</v>
      </c>
      <c r="Q101" t="e">
        <f>INDEX(Items!C$2:C$1032,MATCH($O101,Items!$A$2:$A$1032,0))</f>
        <v>#N/A</v>
      </c>
      <c r="R101" t="e">
        <f>INDEX(Items!D$2:D$1032,MATCH($O101,Items!$A$2:$A$1032,0))</f>
        <v>#N/A</v>
      </c>
    </row>
    <row r="102" spans="1:18" x14ac:dyDescent="0.25">
      <c r="A102">
        <f t="shared" si="7"/>
        <v>1</v>
      </c>
      <c r="B102" t="str">
        <f t="shared" si="8"/>
        <v/>
      </c>
      <c r="C102">
        <f t="shared" si="10"/>
        <v>1</v>
      </c>
      <c r="D102" s="4"/>
      <c r="E102" t="s">
        <v>18</v>
      </c>
      <c r="F102" t="str">
        <f>INDEX(Establishment!B$2:B$1005,MATCH($E102,Establishment!$A$2:$A$1005,0))</f>
        <v xml:space="preserve"> </v>
      </c>
      <c r="G102" t="str">
        <f>INDEX(Establishment!C$2:C$1005,MATCH($E102,Establishment!$A$2:$A$1005,0))</f>
        <v xml:space="preserve"> </v>
      </c>
      <c r="M102">
        <f t="shared" si="11"/>
        <v>0</v>
      </c>
      <c r="N102">
        <f t="shared" si="9"/>
        <v>0</v>
      </c>
      <c r="P102" t="e">
        <f>INDEX(Items!B$2:B$1032,MATCH($O102,Items!$A$2:$A$1032,0))</f>
        <v>#N/A</v>
      </c>
      <c r="Q102" t="e">
        <f>INDEX(Items!C$2:C$1032,MATCH($O102,Items!$A$2:$A$1032,0))</f>
        <v>#N/A</v>
      </c>
      <c r="R102" t="e">
        <f>INDEX(Items!D$2:D$1032,MATCH($O102,Items!$A$2:$A$1032,0))</f>
        <v>#N/A</v>
      </c>
    </row>
    <row r="103" spans="1:18" x14ac:dyDescent="0.25">
      <c r="A103">
        <f t="shared" si="7"/>
        <v>1</v>
      </c>
      <c r="B103" t="str">
        <f t="shared" si="8"/>
        <v/>
      </c>
      <c r="C103">
        <f t="shared" si="10"/>
        <v>1</v>
      </c>
      <c r="D103" s="4"/>
      <c r="E103" t="s">
        <v>18</v>
      </c>
      <c r="F103" t="str">
        <f>INDEX(Establishment!B$2:B$1005,MATCH($E103,Establishment!$A$2:$A$1005,0))</f>
        <v xml:space="preserve"> </v>
      </c>
      <c r="G103" t="str">
        <f>INDEX(Establishment!C$2:C$1005,MATCH($E103,Establishment!$A$2:$A$1005,0))</f>
        <v xml:space="preserve"> </v>
      </c>
      <c r="M103">
        <f t="shared" si="11"/>
        <v>0</v>
      </c>
      <c r="N103">
        <f t="shared" si="9"/>
        <v>0</v>
      </c>
      <c r="P103" t="e">
        <f>INDEX(Items!B$2:B$1032,MATCH($O103,Items!$A$2:$A$1032,0))</f>
        <v>#N/A</v>
      </c>
      <c r="Q103" t="e">
        <f>INDEX(Items!C$2:C$1032,MATCH($O103,Items!$A$2:$A$1032,0))</f>
        <v>#N/A</v>
      </c>
      <c r="R103" t="e">
        <f>INDEX(Items!D$2:D$1032,MATCH($O103,Items!$A$2:$A$1032,0))</f>
        <v>#N/A</v>
      </c>
    </row>
    <row r="104" spans="1:18" x14ac:dyDescent="0.25">
      <c r="A104">
        <f t="shared" si="7"/>
        <v>1</v>
      </c>
      <c r="B104" t="str">
        <f t="shared" si="8"/>
        <v/>
      </c>
      <c r="C104">
        <f t="shared" si="10"/>
        <v>1</v>
      </c>
      <c r="D104" s="4"/>
      <c r="E104" t="s">
        <v>18</v>
      </c>
      <c r="F104" t="str">
        <f>INDEX(Establishment!B$2:B$1005,MATCH($E104,Establishment!$A$2:$A$1005,0))</f>
        <v xml:space="preserve"> </v>
      </c>
      <c r="G104" t="str">
        <f>INDEX(Establishment!C$2:C$1005,MATCH($E104,Establishment!$A$2:$A$1005,0))</f>
        <v xml:space="preserve"> </v>
      </c>
      <c r="M104">
        <f t="shared" si="11"/>
        <v>0</v>
      </c>
      <c r="N104">
        <f t="shared" si="9"/>
        <v>0</v>
      </c>
      <c r="P104" t="e">
        <f>INDEX(Items!B$2:B$1032,MATCH($O104,Items!$A$2:$A$1032,0))</f>
        <v>#N/A</v>
      </c>
      <c r="Q104" t="e">
        <f>INDEX(Items!C$2:C$1032,MATCH($O104,Items!$A$2:$A$1032,0))</f>
        <v>#N/A</v>
      </c>
      <c r="R104" t="e">
        <f>INDEX(Items!D$2:D$1032,MATCH($O104,Items!$A$2:$A$1032,0))</f>
        <v>#N/A</v>
      </c>
    </row>
    <row r="105" spans="1:18" x14ac:dyDescent="0.25">
      <c r="A105">
        <f t="shared" si="7"/>
        <v>1</v>
      </c>
      <c r="B105" t="str">
        <f t="shared" si="8"/>
        <v/>
      </c>
      <c r="C105">
        <f t="shared" si="10"/>
        <v>1</v>
      </c>
      <c r="D105" s="4"/>
      <c r="E105" t="s">
        <v>18</v>
      </c>
      <c r="F105" t="str">
        <f>INDEX(Establishment!B$2:B$1005,MATCH($E105,Establishment!$A$2:$A$1005,0))</f>
        <v xml:space="preserve"> </v>
      </c>
      <c r="G105" t="str">
        <f>INDEX(Establishment!C$2:C$1005,MATCH($E105,Establishment!$A$2:$A$1005,0))</f>
        <v xml:space="preserve"> </v>
      </c>
      <c r="M105">
        <f t="shared" si="11"/>
        <v>0</v>
      </c>
      <c r="N105">
        <f t="shared" si="9"/>
        <v>0</v>
      </c>
      <c r="P105" t="e">
        <f>INDEX(Items!B$2:B$1032,MATCH($O105,Items!$A$2:$A$1032,0))</f>
        <v>#N/A</v>
      </c>
      <c r="Q105" t="e">
        <f>INDEX(Items!C$2:C$1032,MATCH($O105,Items!$A$2:$A$1032,0))</f>
        <v>#N/A</v>
      </c>
      <c r="R105" t="e">
        <f>INDEX(Items!D$2:D$1032,MATCH($O105,Items!$A$2:$A$1032,0))</f>
        <v>#N/A</v>
      </c>
    </row>
    <row r="106" spans="1:18" x14ac:dyDescent="0.25">
      <c r="A106">
        <f t="shared" si="7"/>
        <v>1</v>
      </c>
      <c r="B106" t="str">
        <f t="shared" si="8"/>
        <v/>
      </c>
      <c r="C106">
        <f t="shared" si="10"/>
        <v>1</v>
      </c>
      <c r="D106" s="4"/>
      <c r="E106" t="s">
        <v>18</v>
      </c>
      <c r="F106" t="str">
        <f>INDEX(Establishment!B$2:B$1005,MATCH($E106,Establishment!$A$2:$A$1005,0))</f>
        <v xml:space="preserve"> </v>
      </c>
      <c r="G106" t="str">
        <f>INDEX(Establishment!C$2:C$1005,MATCH($E106,Establishment!$A$2:$A$1005,0))</f>
        <v xml:space="preserve"> </v>
      </c>
      <c r="M106">
        <f t="shared" si="11"/>
        <v>0</v>
      </c>
      <c r="N106">
        <f t="shared" si="9"/>
        <v>0</v>
      </c>
      <c r="P106" t="e">
        <f>INDEX(Items!B$2:B$1032,MATCH($O106,Items!$A$2:$A$1032,0))</f>
        <v>#N/A</v>
      </c>
      <c r="Q106" t="e">
        <f>INDEX(Items!C$2:C$1032,MATCH($O106,Items!$A$2:$A$1032,0))</f>
        <v>#N/A</v>
      </c>
      <c r="R106" t="e">
        <f>INDEX(Items!D$2:D$1032,MATCH($O106,Items!$A$2:$A$1032,0))</f>
        <v>#N/A</v>
      </c>
    </row>
    <row r="107" spans="1:18" x14ac:dyDescent="0.25">
      <c r="A107">
        <f t="shared" si="7"/>
        <v>1</v>
      </c>
      <c r="B107" t="str">
        <f t="shared" si="8"/>
        <v/>
      </c>
      <c r="C107">
        <f t="shared" si="10"/>
        <v>1</v>
      </c>
      <c r="D107" s="4"/>
      <c r="E107" t="s">
        <v>18</v>
      </c>
      <c r="F107" t="str">
        <f>INDEX(Establishment!B$2:B$1005,MATCH($E107,Establishment!$A$2:$A$1005,0))</f>
        <v xml:space="preserve"> </v>
      </c>
      <c r="G107" t="str">
        <f>INDEX(Establishment!C$2:C$1005,MATCH($E107,Establishment!$A$2:$A$1005,0))</f>
        <v xml:space="preserve"> </v>
      </c>
      <c r="M107">
        <f t="shared" si="11"/>
        <v>0</v>
      </c>
      <c r="N107">
        <f t="shared" si="9"/>
        <v>0</v>
      </c>
      <c r="P107" t="e">
        <f>INDEX(Items!B$2:B$1032,MATCH($O107,Items!$A$2:$A$1032,0))</f>
        <v>#N/A</v>
      </c>
      <c r="Q107" t="e">
        <f>INDEX(Items!C$2:C$1032,MATCH($O107,Items!$A$2:$A$1032,0))</f>
        <v>#N/A</v>
      </c>
      <c r="R107" t="e">
        <f>INDEX(Items!D$2:D$1032,MATCH($O107,Items!$A$2:$A$1032,0))</f>
        <v>#N/A</v>
      </c>
    </row>
    <row r="108" spans="1:18" x14ac:dyDescent="0.25">
      <c r="A108">
        <f t="shared" si="7"/>
        <v>1</v>
      </c>
      <c r="B108" t="str">
        <f t="shared" si="8"/>
        <v/>
      </c>
      <c r="C108">
        <f t="shared" si="10"/>
        <v>1</v>
      </c>
      <c r="D108" s="4"/>
      <c r="E108" t="s">
        <v>18</v>
      </c>
      <c r="F108" t="str">
        <f>INDEX(Establishment!B$2:B$1005,MATCH($E108,Establishment!$A$2:$A$1005,0))</f>
        <v xml:space="preserve"> </v>
      </c>
      <c r="G108" t="str">
        <f>INDEX(Establishment!C$2:C$1005,MATCH($E108,Establishment!$A$2:$A$1005,0))</f>
        <v xml:space="preserve"> </v>
      </c>
      <c r="M108">
        <f t="shared" si="11"/>
        <v>0</v>
      </c>
      <c r="N108">
        <f t="shared" si="9"/>
        <v>0</v>
      </c>
      <c r="P108" t="e">
        <f>INDEX(Items!B$2:B$1032,MATCH($O108,Items!$A$2:$A$1032,0))</f>
        <v>#N/A</v>
      </c>
      <c r="Q108" t="e">
        <f>INDEX(Items!C$2:C$1032,MATCH($O108,Items!$A$2:$A$1032,0))</f>
        <v>#N/A</v>
      </c>
      <c r="R108" t="e">
        <f>INDEX(Items!D$2:D$1032,MATCH($O108,Items!$A$2:$A$1032,0))</f>
        <v>#N/A</v>
      </c>
    </row>
    <row r="109" spans="1:18" x14ac:dyDescent="0.25">
      <c r="A109">
        <f t="shared" si="7"/>
        <v>1</v>
      </c>
      <c r="B109" t="str">
        <f t="shared" si="8"/>
        <v/>
      </c>
      <c r="C109">
        <f t="shared" si="10"/>
        <v>1</v>
      </c>
      <c r="D109" s="4"/>
      <c r="E109" t="s">
        <v>18</v>
      </c>
      <c r="F109" t="str">
        <f>INDEX(Establishment!B$2:B$1005,MATCH($E109,Establishment!$A$2:$A$1005,0))</f>
        <v xml:space="preserve"> </v>
      </c>
      <c r="G109" t="str">
        <f>INDEX(Establishment!C$2:C$1005,MATCH($E109,Establishment!$A$2:$A$1005,0))</f>
        <v xml:space="preserve"> </v>
      </c>
      <c r="M109">
        <f t="shared" si="11"/>
        <v>0</v>
      </c>
      <c r="N109">
        <f t="shared" si="9"/>
        <v>0</v>
      </c>
      <c r="P109" t="e">
        <f>INDEX(Items!B$2:B$1032,MATCH($O109,Items!$A$2:$A$1032,0))</f>
        <v>#N/A</v>
      </c>
      <c r="Q109" t="e">
        <f>INDEX(Items!C$2:C$1032,MATCH($O109,Items!$A$2:$A$1032,0))</f>
        <v>#N/A</v>
      </c>
      <c r="R109" t="e">
        <f>INDEX(Items!D$2:D$1032,MATCH($O109,Items!$A$2:$A$1032,0))</f>
        <v>#N/A</v>
      </c>
    </row>
    <row r="110" spans="1:18" x14ac:dyDescent="0.25">
      <c r="A110">
        <f t="shared" si="7"/>
        <v>1</v>
      </c>
      <c r="B110" t="str">
        <f t="shared" si="8"/>
        <v/>
      </c>
      <c r="C110">
        <f t="shared" si="10"/>
        <v>1</v>
      </c>
      <c r="D110" s="4"/>
      <c r="E110" t="s">
        <v>18</v>
      </c>
      <c r="F110" t="str">
        <f>INDEX(Establishment!B$2:B$1005,MATCH($E110,Establishment!$A$2:$A$1005,0))</f>
        <v xml:space="preserve"> </v>
      </c>
      <c r="G110" t="str">
        <f>INDEX(Establishment!C$2:C$1005,MATCH($E110,Establishment!$A$2:$A$1005,0))</f>
        <v xml:space="preserve"> </v>
      </c>
      <c r="M110">
        <f t="shared" si="11"/>
        <v>0</v>
      </c>
      <c r="N110">
        <f t="shared" si="9"/>
        <v>0</v>
      </c>
      <c r="P110" t="e">
        <f>INDEX(Items!B$2:B$1032,MATCH($O110,Items!$A$2:$A$1032,0))</f>
        <v>#N/A</v>
      </c>
      <c r="Q110" t="e">
        <f>INDEX(Items!C$2:C$1032,MATCH($O110,Items!$A$2:$A$1032,0))</f>
        <v>#N/A</v>
      </c>
      <c r="R110" t="e">
        <f>INDEX(Items!D$2:D$1032,MATCH($O110,Items!$A$2:$A$1032,0))</f>
        <v>#N/A</v>
      </c>
    </row>
    <row r="111" spans="1:18" x14ac:dyDescent="0.25">
      <c r="A111">
        <f t="shared" si="7"/>
        <v>1</v>
      </c>
      <c r="B111" t="str">
        <f t="shared" si="8"/>
        <v/>
      </c>
      <c r="C111">
        <f t="shared" si="10"/>
        <v>1</v>
      </c>
      <c r="D111" s="4"/>
      <c r="E111" t="s">
        <v>18</v>
      </c>
      <c r="F111" t="str">
        <f>INDEX(Establishment!B$2:B$1005,MATCH($E111,Establishment!$A$2:$A$1005,0))</f>
        <v xml:space="preserve"> </v>
      </c>
      <c r="G111" t="str">
        <f>INDEX(Establishment!C$2:C$1005,MATCH($E111,Establishment!$A$2:$A$1005,0))</f>
        <v xml:space="preserve"> </v>
      </c>
      <c r="M111">
        <f t="shared" si="11"/>
        <v>0</v>
      </c>
      <c r="N111">
        <f t="shared" si="9"/>
        <v>0</v>
      </c>
      <c r="P111" t="e">
        <f>INDEX(Items!B$2:B$1032,MATCH($O111,Items!$A$2:$A$1032,0))</f>
        <v>#N/A</v>
      </c>
      <c r="Q111" t="e">
        <f>INDEX(Items!C$2:C$1032,MATCH($O111,Items!$A$2:$A$1032,0))</f>
        <v>#N/A</v>
      </c>
      <c r="R111" t="e">
        <f>INDEX(Items!D$2:D$1032,MATCH($O111,Items!$A$2:$A$1032,0))</f>
        <v>#N/A</v>
      </c>
    </row>
    <row r="112" spans="1:18" x14ac:dyDescent="0.25">
      <c r="A112">
        <f t="shared" si="7"/>
        <v>1</v>
      </c>
      <c r="B112" t="str">
        <f t="shared" si="8"/>
        <v/>
      </c>
      <c r="C112">
        <f t="shared" si="10"/>
        <v>1</v>
      </c>
      <c r="D112" s="4"/>
      <c r="E112" t="s">
        <v>18</v>
      </c>
      <c r="F112" t="str">
        <f>INDEX(Establishment!B$2:B$1005,MATCH($E112,Establishment!$A$2:$A$1005,0))</f>
        <v xml:space="preserve"> </v>
      </c>
      <c r="G112" t="str">
        <f>INDEX(Establishment!C$2:C$1005,MATCH($E112,Establishment!$A$2:$A$1005,0))</f>
        <v xml:space="preserve"> </v>
      </c>
      <c r="M112">
        <f t="shared" si="11"/>
        <v>0</v>
      </c>
      <c r="N112">
        <f t="shared" si="9"/>
        <v>0</v>
      </c>
      <c r="P112" t="e">
        <f>INDEX(Items!B$2:B$1032,MATCH($O112,Items!$A$2:$A$1032,0))</f>
        <v>#N/A</v>
      </c>
      <c r="Q112" t="e">
        <f>INDEX(Items!C$2:C$1032,MATCH($O112,Items!$A$2:$A$1032,0))</f>
        <v>#N/A</v>
      </c>
      <c r="R112" t="e">
        <f>INDEX(Items!D$2:D$1032,MATCH($O112,Items!$A$2:$A$1032,0))</f>
        <v>#N/A</v>
      </c>
    </row>
    <row r="113" spans="1:18" x14ac:dyDescent="0.25">
      <c r="A113">
        <f t="shared" si="7"/>
        <v>1</v>
      </c>
      <c r="B113" t="str">
        <f t="shared" si="8"/>
        <v/>
      </c>
      <c r="C113">
        <f t="shared" si="10"/>
        <v>1</v>
      </c>
      <c r="D113" s="4"/>
      <c r="E113" t="s">
        <v>18</v>
      </c>
      <c r="F113" t="str">
        <f>INDEX(Establishment!B$2:B$1005,MATCH($E113,Establishment!$A$2:$A$1005,0))</f>
        <v xml:space="preserve"> </v>
      </c>
      <c r="G113" t="str">
        <f>INDEX(Establishment!C$2:C$1005,MATCH($E113,Establishment!$A$2:$A$1005,0))</f>
        <v xml:space="preserve"> </v>
      </c>
      <c r="M113">
        <f t="shared" si="11"/>
        <v>0</v>
      </c>
      <c r="N113">
        <f t="shared" si="9"/>
        <v>0</v>
      </c>
      <c r="P113" t="e">
        <f>INDEX(Items!B$2:B$1032,MATCH($O113,Items!$A$2:$A$1032,0))</f>
        <v>#N/A</v>
      </c>
      <c r="Q113" t="e">
        <f>INDEX(Items!C$2:C$1032,MATCH($O113,Items!$A$2:$A$1032,0))</f>
        <v>#N/A</v>
      </c>
      <c r="R113" t="e">
        <f>INDEX(Items!D$2:D$1032,MATCH($O113,Items!$A$2:$A$1032,0))</f>
        <v>#N/A</v>
      </c>
    </row>
    <row r="114" spans="1:18" x14ac:dyDescent="0.25">
      <c r="A114">
        <f t="shared" si="7"/>
        <v>1</v>
      </c>
      <c r="B114" t="str">
        <f t="shared" si="8"/>
        <v/>
      </c>
      <c r="C114">
        <f t="shared" si="10"/>
        <v>1</v>
      </c>
      <c r="D114" s="4"/>
      <c r="E114" t="s">
        <v>18</v>
      </c>
      <c r="F114" t="str">
        <f>INDEX(Establishment!B$2:B$1005,MATCH($E114,Establishment!$A$2:$A$1005,0))</f>
        <v xml:space="preserve"> </v>
      </c>
      <c r="G114" t="str">
        <f>INDEX(Establishment!C$2:C$1005,MATCH($E114,Establishment!$A$2:$A$1005,0))</f>
        <v xml:space="preserve"> </v>
      </c>
      <c r="M114">
        <f t="shared" si="11"/>
        <v>0</v>
      </c>
      <c r="N114">
        <f t="shared" si="9"/>
        <v>0</v>
      </c>
      <c r="P114" t="e">
        <f>INDEX(Items!B$2:B$1032,MATCH($O114,Items!$A$2:$A$1032,0))</f>
        <v>#N/A</v>
      </c>
      <c r="Q114" t="e">
        <f>INDEX(Items!C$2:C$1032,MATCH($O114,Items!$A$2:$A$1032,0))</f>
        <v>#N/A</v>
      </c>
      <c r="R114" t="e">
        <f>INDEX(Items!D$2:D$1032,MATCH($O114,Items!$A$2:$A$1032,0))</f>
        <v>#N/A</v>
      </c>
    </row>
    <row r="115" spans="1:18" x14ac:dyDescent="0.25">
      <c r="A115">
        <f t="shared" si="7"/>
        <v>1</v>
      </c>
      <c r="B115" t="str">
        <f t="shared" si="8"/>
        <v/>
      </c>
      <c r="C115">
        <f t="shared" si="10"/>
        <v>1</v>
      </c>
      <c r="D115" s="4"/>
      <c r="E115" t="s">
        <v>18</v>
      </c>
      <c r="F115" t="str">
        <f>INDEX(Establishment!B$2:B$1005,MATCH($E115,Establishment!$A$2:$A$1005,0))</f>
        <v xml:space="preserve"> </v>
      </c>
      <c r="G115" t="str">
        <f>INDEX(Establishment!C$2:C$1005,MATCH($E115,Establishment!$A$2:$A$1005,0))</f>
        <v xml:space="preserve"> </v>
      </c>
      <c r="M115">
        <f t="shared" si="11"/>
        <v>0</v>
      </c>
      <c r="N115">
        <f t="shared" si="9"/>
        <v>0</v>
      </c>
      <c r="P115" t="e">
        <f>INDEX(Items!B$2:B$1032,MATCH($O115,Items!$A$2:$A$1032,0))</f>
        <v>#N/A</v>
      </c>
      <c r="Q115" t="e">
        <f>INDEX(Items!C$2:C$1032,MATCH($O115,Items!$A$2:$A$1032,0))</f>
        <v>#N/A</v>
      </c>
      <c r="R115" t="e">
        <f>INDEX(Items!D$2:D$1032,MATCH($O115,Items!$A$2:$A$1032,0))</f>
        <v>#N/A</v>
      </c>
    </row>
    <row r="116" spans="1:18" x14ac:dyDescent="0.25">
      <c r="A116">
        <f t="shared" si="7"/>
        <v>1</v>
      </c>
      <c r="B116" t="str">
        <f t="shared" si="8"/>
        <v/>
      </c>
      <c r="C116">
        <f t="shared" si="10"/>
        <v>1</v>
      </c>
      <c r="D116" s="4"/>
      <c r="E116" t="s">
        <v>18</v>
      </c>
      <c r="F116" t="str">
        <f>INDEX(Establishment!B$2:B$1005,MATCH($E116,Establishment!$A$2:$A$1005,0))</f>
        <v xml:space="preserve"> </v>
      </c>
      <c r="G116" t="str">
        <f>INDEX(Establishment!C$2:C$1005,MATCH($E116,Establishment!$A$2:$A$1005,0))</f>
        <v xml:space="preserve"> </v>
      </c>
      <c r="M116">
        <f t="shared" si="11"/>
        <v>0</v>
      </c>
      <c r="N116">
        <f t="shared" si="9"/>
        <v>0</v>
      </c>
      <c r="P116" t="e">
        <f>INDEX(Items!B$2:B$1032,MATCH($O116,Items!$A$2:$A$1032,0))</f>
        <v>#N/A</v>
      </c>
      <c r="Q116" t="e">
        <f>INDEX(Items!C$2:C$1032,MATCH($O116,Items!$A$2:$A$1032,0))</f>
        <v>#N/A</v>
      </c>
      <c r="R116" t="e">
        <f>INDEX(Items!D$2:D$1032,MATCH($O116,Items!$A$2:$A$1032,0))</f>
        <v>#N/A</v>
      </c>
    </row>
    <row r="117" spans="1:18" x14ac:dyDescent="0.25">
      <c r="A117">
        <f t="shared" si="7"/>
        <v>1</v>
      </c>
      <c r="B117" t="str">
        <f t="shared" si="8"/>
        <v/>
      </c>
      <c r="C117">
        <f t="shared" si="10"/>
        <v>1</v>
      </c>
      <c r="D117" s="4"/>
      <c r="E117" t="s">
        <v>18</v>
      </c>
      <c r="F117" t="str">
        <f>INDEX(Establishment!B$2:B$1005,MATCH($E117,Establishment!$A$2:$A$1005,0))</f>
        <v xml:space="preserve"> </v>
      </c>
      <c r="G117" t="str">
        <f>INDEX(Establishment!C$2:C$1005,MATCH($E117,Establishment!$A$2:$A$1005,0))</f>
        <v xml:space="preserve"> </v>
      </c>
      <c r="M117">
        <f t="shared" si="11"/>
        <v>0</v>
      </c>
      <c r="N117">
        <f t="shared" si="9"/>
        <v>0</v>
      </c>
      <c r="P117" t="e">
        <f>INDEX(Items!B$2:B$1032,MATCH($O117,Items!$A$2:$A$1032,0))</f>
        <v>#N/A</v>
      </c>
      <c r="Q117" t="e">
        <f>INDEX(Items!C$2:C$1032,MATCH($O117,Items!$A$2:$A$1032,0))</f>
        <v>#N/A</v>
      </c>
      <c r="R117" t="e">
        <f>INDEX(Items!D$2:D$1032,MATCH($O117,Items!$A$2:$A$1032,0))</f>
        <v>#N/A</v>
      </c>
    </row>
    <row r="118" spans="1:18" x14ac:dyDescent="0.25">
      <c r="A118">
        <f t="shared" si="7"/>
        <v>1</v>
      </c>
      <c r="B118" t="str">
        <f t="shared" si="8"/>
        <v/>
      </c>
      <c r="C118">
        <f t="shared" si="10"/>
        <v>1</v>
      </c>
      <c r="D118" s="4"/>
      <c r="E118" t="s">
        <v>18</v>
      </c>
      <c r="F118" t="str">
        <f>INDEX(Establishment!B$2:B$1005,MATCH($E118,Establishment!$A$2:$A$1005,0))</f>
        <v xml:space="preserve"> </v>
      </c>
      <c r="G118" t="str">
        <f>INDEX(Establishment!C$2:C$1005,MATCH($E118,Establishment!$A$2:$A$1005,0))</f>
        <v xml:space="preserve"> </v>
      </c>
      <c r="M118">
        <f t="shared" si="11"/>
        <v>0</v>
      </c>
      <c r="N118">
        <f t="shared" si="9"/>
        <v>0</v>
      </c>
      <c r="P118" t="e">
        <f>INDEX(Items!B$2:B$1032,MATCH($O118,Items!$A$2:$A$1032,0))</f>
        <v>#N/A</v>
      </c>
      <c r="Q118" t="e">
        <f>INDEX(Items!C$2:C$1032,MATCH($O118,Items!$A$2:$A$1032,0))</f>
        <v>#N/A</v>
      </c>
      <c r="R118" t="e">
        <f>INDEX(Items!D$2:D$1032,MATCH($O118,Items!$A$2:$A$1032,0))</f>
        <v>#N/A</v>
      </c>
    </row>
    <row r="119" spans="1:18" x14ac:dyDescent="0.25">
      <c r="A119">
        <f t="shared" si="7"/>
        <v>1</v>
      </c>
      <c r="B119" t="str">
        <f t="shared" si="8"/>
        <v/>
      </c>
      <c r="C119">
        <f t="shared" si="10"/>
        <v>1</v>
      </c>
      <c r="D119" s="4"/>
      <c r="E119" t="s">
        <v>18</v>
      </c>
      <c r="F119" t="str">
        <f>INDEX(Establishment!B$2:B$1005,MATCH($E119,Establishment!$A$2:$A$1005,0))</f>
        <v xml:space="preserve"> </v>
      </c>
      <c r="G119" t="str">
        <f>INDEX(Establishment!C$2:C$1005,MATCH($E119,Establishment!$A$2:$A$1005,0))</f>
        <v xml:space="preserve"> </v>
      </c>
      <c r="M119">
        <f t="shared" si="11"/>
        <v>0</v>
      </c>
      <c r="N119">
        <f t="shared" si="9"/>
        <v>0</v>
      </c>
      <c r="P119" t="e">
        <f>INDEX(Items!B$2:B$1032,MATCH($O119,Items!$A$2:$A$1032,0))</f>
        <v>#N/A</v>
      </c>
      <c r="Q119" t="e">
        <f>INDEX(Items!C$2:C$1032,MATCH($O119,Items!$A$2:$A$1032,0))</f>
        <v>#N/A</v>
      </c>
      <c r="R119" t="e">
        <f>INDEX(Items!D$2:D$1032,MATCH($O119,Items!$A$2:$A$1032,0))</f>
        <v>#N/A</v>
      </c>
    </row>
    <row r="120" spans="1:18" x14ac:dyDescent="0.25">
      <c r="A120">
        <f t="shared" si="7"/>
        <v>1</v>
      </c>
      <c r="B120" t="str">
        <f t="shared" si="8"/>
        <v/>
      </c>
      <c r="C120">
        <f t="shared" si="10"/>
        <v>1</v>
      </c>
      <c r="D120" s="4"/>
      <c r="E120" t="s">
        <v>18</v>
      </c>
      <c r="F120" t="str">
        <f>INDEX(Establishment!B$2:B$1005,MATCH($E120,Establishment!$A$2:$A$1005,0))</f>
        <v xml:space="preserve"> </v>
      </c>
      <c r="G120" t="str">
        <f>INDEX(Establishment!C$2:C$1005,MATCH($E120,Establishment!$A$2:$A$1005,0))</f>
        <v xml:space="preserve"> </v>
      </c>
      <c r="M120">
        <f t="shared" si="11"/>
        <v>0</v>
      </c>
      <c r="N120">
        <f t="shared" si="9"/>
        <v>0</v>
      </c>
      <c r="P120" t="e">
        <f>INDEX(Items!B$2:B$1032,MATCH($O120,Items!$A$2:$A$1032,0))</f>
        <v>#N/A</v>
      </c>
      <c r="Q120" t="e">
        <f>INDEX(Items!C$2:C$1032,MATCH($O120,Items!$A$2:$A$1032,0))</f>
        <v>#N/A</v>
      </c>
      <c r="R120" t="e">
        <f>INDEX(Items!D$2:D$1032,MATCH($O120,Items!$A$2:$A$1032,0))</f>
        <v>#N/A</v>
      </c>
    </row>
    <row r="121" spans="1:18" x14ac:dyDescent="0.25">
      <c r="A121">
        <f t="shared" si="7"/>
        <v>1</v>
      </c>
      <c r="B121" t="str">
        <f t="shared" si="8"/>
        <v/>
      </c>
      <c r="C121">
        <f t="shared" si="10"/>
        <v>1</v>
      </c>
      <c r="D121" s="4"/>
      <c r="E121" t="s">
        <v>18</v>
      </c>
      <c r="F121" t="str">
        <f>INDEX(Establishment!B$2:B$1005,MATCH($E121,Establishment!$A$2:$A$1005,0))</f>
        <v xml:space="preserve"> </v>
      </c>
      <c r="G121" t="str">
        <f>INDEX(Establishment!C$2:C$1005,MATCH($E121,Establishment!$A$2:$A$1005,0))</f>
        <v xml:space="preserve"> </v>
      </c>
      <c r="M121">
        <f t="shared" si="11"/>
        <v>0</v>
      </c>
      <c r="N121">
        <f t="shared" si="9"/>
        <v>0</v>
      </c>
      <c r="P121" t="e">
        <f>INDEX(Items!B$2:B$1032,MATCH($O121,Items!$A$2:$A$1032,0))</f>
        <v>#N/A</v>
      </c>
      <c r="Q121" t="e">
        <f>INDEX(Items!C$2:C$1032,MATCH($O121,Items!$A$2:$A$1032,0))</f>
        <v>#N/A</v>
      </c>
      <c r="R121" t="e">
        <f>INDEX(Items!D$2:D$1032,MATCH($O121,Items!$A$2:$A$1032,0))</f>
        <v>#N/A</v>
      </c>
    </row>
    <row r="122" spans="1:18" x14ac:dyDescent="0.25">
      <c r="A122">
        <f t="shared" si="7"/>
        <v>1</v>
      </c>
      <c r="B122" t="str">
        <f t="shared" si="8"/>
        <v/>
      </c>
      <c r="C122">
        <f t="shared" si="10"/>
        <v>1</v>
      </c>
      <c r="D122" s="4"/>
      <c r="E122" t="s">
        <v>18</v>
      </c>
      <c r="F122" t="str">
        <f>INDEX(Establishment!B$2:B$1005,MATCH($E122,Establishment!$A$2:$A$1005,0))</f>
        <v xml:space="preserve"> </v>
      </c>
      <c r="G122" t="str">
        <f>INDEX(Establishment!C$2:C$1005,MATCH($E122,Establishment!$A$2:$A$1005,0))</f>
        <v xml:space="preserve"> </v>
      </c>
      <c r="M122">
        <f t="shared" si="11"/>
        <v>0</v>
      </c>
      <c r="N122">
        <f t="shared" si="9"/>
        <v>0</v>
      </c>
      <c r="P122" t="e">
        <f>INDEX(Items!B$2:B$1032,MATCH($O122,Items!$A$2:$A$1032,0))</f>
        <v>#N/A</v>
      </c>
      <c r="Q122" t="e">
        <f>INDEX(Items!C$2:C$1032,MATCH($O122,Items!$A$2:$A$1032,0))</f>
        <v>#N/A</v>
      </c>
      <c r="R122" t="e">
        <f>INDEX(Items!D$2:D$1032,MATCH($O122,Items!$A$2:$A$1032,0))</f>
        <v>#N/A</v>
      </c>
    </row>
    <row r="123" spans="1:18" x14ac:dyDescent="0.25">
      <c r="A123">
        <f t="shared" si="7"/>
        <v>1</v>
      </c>
      <c r="B123" t="str">
        <f t="shared" si="8"/>
        <v/>
      </c>
      <c r="C123">
        <f t="shared" si="10"/>
        <v>1</v>
      </c>
      <c r="D123" s="4"/>
      <c r="E123" t="s">
        <v>18</v>
      </c>
      <c r="F123" t="str">
        <f>INDEX(Establishment!B$2:B$1005,MATCH($E123,Establishment!$A$2:$A$1005,0))</f>
        <v xml:space="preserve"> </v>
      </c>
      <c r="G123" t="str">
        <f>INDEX(Establishment!C$2:C$1005,MATCH($E123,Establishment!$A$2:$A$1005,0))</f>
        <v xml:space="preserve"> </v>
      </c>
      <c r="M123">
        <f t="shared" si="11"/>
        <v>0</v>
      </c>
      <c r="N123">
        <f t="shared" si="9"/>
        <v>0</v>
      </c>
      <c r="P123" t="e">
        <f>INDEX(Items!B$2:B$1032,MATCH($O123,Items!$A$2:$A$1032,0))</f>
        <v>#N/A</v>
      </c>
      <c r="Q123" t="e">
        <f>INDEX(Items!C$2:C$1032,MATCH($O123,Items!$A$2:$A$1032,0))</f>
        <v>#N/A</v>
      </c>
      <c r="R123" t="e">
        <f>INDEX(Items!D$2:D$1032,MATCH($O123,Items!$A$2:$A$1032,0))</f>
        <v>#N/A</v>
      </c>
    </row>
    <row r="124" spans="1:18" x14ac:dyDescent="0.25">
      <c r="A124">
        <f t="shared" si="7"/>
        <v>1</v>
      </c>
      <c r="B124" t="str">
        <f t="shared" si="8"/>
        <v/>
      </c>
      <c r="C124">
        <f t="shared" si="10"/>
        <v>1</v>
      </c>
      <c r="D124" s="4"/>
      <c r="E124" t="s">
        <v>18</v>
      </c>
      <c r="F124" t="str">
        <f>INDEX(Establishment!B$2:B$1005,MATCH($E124,Establishment!$A$2:$A$1005,0))</f>
        <v xml:space="preserve"> </v>
      </c>
      <c r="G124" t="str">
        <f>INDEX(Establishment!C$2:C$1005,MATCH($E124,Establishment!$A$2:$A$1005,0))</f>
        <v xml:space="preserve"> </v>
      </c>
      <c r="M124">
        <f t="shared" si="11"/>
        <v>0</v>
      </c>
      <c r="N124">
        <f t="shared" si="9"/>
        <v>0</v>
      </c>
      <c r="P124" t="e">
        <f>INDEX(Items!B$2:B$1032,MATCH($O124,Items!$A$2:$A$1032,0))</f>
        <v>#N/A</v>
      </c>
      <c r="Q124" t="e">
        <f>INDEX(Items!C$2:C$1032,MATCH($O124,Items!$A$2:$A$1032,0))</f>
        <v>#N/A</v>
      </c>
      <c r="R124" t="e">
        <f>INDEX(Items!D$2:D$1032,MATCH($O124,Items!$A$2:$A$1032,0))</f>
        <v>#N/A</v>
      </c>
    </row>
    <row r="125" spans="1:18" x14ac:dyDescent="0.25">
      <c r="A125">
        <f t="shared" si="7"/>
        <v>1</v>
      </c>
      <c r="B125" t="str">
        <f t="shared" si="8"/>
        <v/>
      </c>
      <c r="C125">
        <f t="shared" si="10"/>
        <v>1</v>
      </c>
      <c r="D125" s="4"/>
      <c r="E125" t="s">
        <v>18</v>
      </c>
      <c r="F125" t="str">
        <f>INDEX(Establishment!B$2:B$1005,MATCH($E125,Establishment!$A$2:$A$1005,0))</f>
        <v xml:space="preserve"> </v>
      </c>
      <c r="G125" t="str">
        <f>INDEX(Establishment!C$2:C$1005,MATCH($E125,Establishment!$A$2:$A$1005,0))</f>
        <v xml:space="preserve"> </v>
      </c>
      <c r="M125">
        <f t="shared" si="11"/>
        <v>0</v>
      </c>
      <c r="N125">
        <f t="shared" si="9"/>
        <v>0</v>
      </c>
      <c r="P125" t="e">
        <f>INDEX(Items!B$2:B$1032,MATCH($O125,Items!$A$2:$A$1032,0))</f>
        <v>#N/A</v>
      </c>
      <c r="Q125" t="e">
        <f>INDEX(Items!C$2:C$1032,MATCH($O125,Items!$A$2:$A$1032,0))</f>
        <v>#N/A</v>
      </c>
      <c r="R125" t="e">
        <f>INDEX(Items!D$2:D$1032,MATCH($O125,Items!$A$2:$A$1032,0))</f>
        <v>#N/A</v>
      </c>
    </row>
    <row r="126" spans="1:18" x14ac:dyDescent="0.25">
      <c r="A126">
        <f t="shared" si="7"/>
        <v>1</v>
      </c>
      <c r="B126" t="str">
        <f t="shared" si="8"/>
        <v/>
      </c>
      <c r="C126">
        <f t="shared" si="10"/>
        <v>1</v>
      </c>
      <c r="D126" s="4"/>
      <c r="E126" t="s">
        <v>18</v>
      </c>
      <c r="F126" t="str">
        <f>INDEX(Establishment!B$2:B$1005,MATCH($E126,Establishment!$A$2:$A$1005,0))</f>
        <v xml:space="preserve"> </v>
      </c>
      <c r="G126" t="str">
        <f>INDEX(Establishment!C$2:C$1005,MATCH($E126,Establishment!$A$2:$A$1005,0))</f>
        <v xml:space="preserve"> </v>
      </c>
      <c r="M126">
        <f t="shared" si="11"/>
        <v>0</v>
      </c>
      <c r="N126">
        <f t="shared" si="9"/>
        <v>0</v>
      </c>
      <c r="P126" t="e">
        <f>INDEX(Items!B$2:B$1032,MATCH($O126,Items!$A$2:$A$1032,0))</f>
        <v>#N/A</v>
      </c>
      <c r="Q126" t="e">
        <f>INDEX(Items!C$2:C$1032,MATCH($O126,Items!$A$2:$A$1032,0))</f>
        <v>#N/A</v>
      </c>
      <c r="R126" t="e">
        <f>INDEX(Items!D$2:D$1032,MATCH($O126,Items!$A$2:$A$1032,0))</f>
        <v>#N/A</v>
      </c>
    </row>
    <row r="127" spans="1:18" x14ac:dyDescent="0.25">
      <c r="A127">
        <f t="shared" si="7"/>
        <v>1</v>
      </c>
      <c r="B127" t="str">
        <f t="shared" si="8"/>
        <v/>
      </c>
      <c r="C127">
        <f t="shared" si="10"/>
        <v>1</v>
      </c>
      <c r="D127" s="4"/>
      <c r="E127" t="s">
        <v>18</v>
      </c>
      <c r="F127" t="str">
        <f>INDEX(Establishment!B$2:B$1005,MATCH($E127,Establishment!$A$2:$A$1005,0))</f>
        <v xml:space="preserve"> </v>
      </c>
      <c r="G127" t="str">
        <f>INDEX(Establishment!C$2:C$1005,MATCH($E127,Establishment!$A$2:$A$1005,0))</f>
        <v xml:space="preserve"> </v>
      </c>
      <c r="M127">
        <f t="shared" si="11"/>
        <v>0</v>
      </c>
      <c r="N127">
        <f t="shared" si="9"/>
        <v>0</v>
      </c>
      <c r="P127" t="e">
        <f>INDEX(Items!B$2:B$1032,MATCH($O127,Items!$A$2:$A$1032,0))</f>
        <v>#N/A</v>
      </c>
      <c r="Q127" t="e">
        <f>INDEX(Items!C$2:C$1032,MATCH($O127,Items!$A$2:$A$1032,0))</f>
        <v>#N/A</v>
      </c>
      <c r="R127" t="e">
        <f>INDEX(Items!D$2:D$1032,MATCH($O127,Items!$A$2:$A$1032,0))</f>
        <v>#N/A</v>
      </c>
    </row>
    <row r="128" spans="1:18" x14ac:dyDescent="0.25">
      <c r="A128">
        <f t="shared" si="7"/>
        <v>1</v>
      </c>
      <c r="B128" t="str">
        <f t="shared" si="8"/>
        <v/>
      </c>
      <c r="C128">
        <f t="shared" si="10"/>
        <v>1</v>
      </c>
      <c r="D128" s="4"/>
      <c r="E128" t="s">
        <v>18</v>
      </c>
      <c r="F128" t="str">
        <f>INDEX(Establishment!B$2:B$1005,MATCH($E128,Establishment!$A$2:$A$1005,0))</f>
        <v xml:space="preserve"> </v>
      </c>
      <c r="G128" t="str">
        <f>INDEX(Establishment!C$2:C$1005,MATCH($E128,Establishment!$A$2:$A$1005,0))</f>
        <v xml:space="preserve"> </v>
      </c>
      <c r="M128">
        <f t="shared" si="11"/>
        <v>0</v>
      </c>
      <c r="N128">
        <f t="shared" si="9"/>
        <v>0</v>
      </c>
      <c r="P128" t="e">
        <f>INDEX(Items!B$2:B$1032,MATCH($O128,Items!$A$2:$A$1032,0))</f>
        <v>#N/A</v>
      </c>
      <c r="Q128" t="e">
        <f>INDEX(Items!C$2:C$1032,MATCH($O128,Items!$A$2:$A$1032,0))</f>
        <v>#N/A</v>
      </c>
      <c r="R128" t="e">
        <f>INDEX(Items!D$2:D$1032,MATCH($O128,Items!$A$2:$A$1032,0))</f>
        <v>#N/A</v>
      </c>
    </row>
    <row r="129" spans="1:18" x14ac:dyDescent="0.25">
      <c r="A129">
        <f t="shared" si="7"/>
        <v>1</v>
      </c>
      <c r="B129" t="str">
        <f t="shared" si="8"/>
        <v/>
      </c>
      <c r="C129">
        <f t="shared" si="10"/>
        <v>1</v>
      </c>
      <c r="D129" s="4"/>
      <c r="E129" t="s">
        <v>18</v>
      </c>
      <c r="F129" t="str">
        <f>INDEX(Establishment!B$2:B$1005,MATCH($E129,Establishment!$A$2:$A$1005,0))</f>
        <v xml:space="preserve"> </v>
      </c>
      <c r="G129" t="str">
        <f>INDEX(Establishment!C$2:C$1005,MATCH($E129,Establishment!$A$2:$A$1005,0))</f>
        <v xml:space="preserve"> </v>
      </c>
      <c r="M129">
        <f t="shared" si="11"/>
        <v>0</v>
      </c>
      <c r="N129">
        <f t="shared" si="9"/>
        <v>0</v>
      </c>
      <c r="P129" t="e">
        <f>INDEX(Items!B$2:B$1032,MATCH($O129,Items!$A$2:$A$1032,0))</f>
        <v>#N/A</v>
      </c>
      <c r="Q129" t="e">
        <f>INDEX(Items!C$2:C$1032,MATCH($O129,Items!$A$2:$A$1032,0))</f>
        <v>#N/A</v>
      </c>
      <c r="R129" t="e">
        <f>INDEX(Items!D$2:D$1032,MATCH($O129,Items!$A$2:$A$1032,0))</f>
        <v>#N/A</v>
      </c>
    </row>
    <row r="130" spans="1:18" x14ac:dyDescent="0.25">
      <c r="A130">
        <f t="shared" ref="A130:A193" si="12">IF(OR(D130&lt;&gt;D129,D130=""),1,IF(NOT(AND(E130=E129,F130=F129,G130=G129)),A129+1,IF(OR(H130="",AND(H130&lt;&gt;"",H130&lt;&gt;H129,H129&lt;&gt;"")),A129,A129+1)))</f>
        <v>1</v>
      </c>
      <c r="B130" t="str">
        <f t="shared" ref="B130:B193" si="13">IF(D130&lt;&gt;"",TEXT(D130,"YYYYMMDD")&amp;CHAR(64+A130),"")</f>
        <v/>
      </c>
      <c r="C130">
        <f t="shared" si="10"/>
        <v>1</v>
      </c>
      <c r="D130" s="4"/>
      <c r="E130" t="s">
        <v>18</v>
      </c>
      <c r="F130" t="str">
        <f>INDEX(Establishment!B$2:B$1005,MATCH($E130,Establishment!$A$2:$A$1005,0))</f>
        <v xml:space="preserve"> </v>
      </c>
      <c r="G130" t="str">
        <f>INDEX(Establishment!C$2:C$1005,MATCH($E130,Establishment!$A$2:$A$1005,0))</f>
        <v xml:space="preserve"> </v>
      </c>
      <c r="M130">
        <f t="shared" si="11"/>
        <v>0</v>
      </c>
      <c r="N130">
        <f t="shared" si="9"/>
        <v>0</v>
      </c>
      <c r="P130" t="e">
        <f>INDEX(Items!B$2:B$1032,MATCH($O130,Items!$A$2:$A$1032,0))</f>
        <v>#N/A</v>
      </c>
      <c r="Q130" t="e">
        <f>INDEX(Items!C$2:C$1032,MATCH($O130,Items!$A$2:$A$1032,0))</f>
        <v>#N/A</v>
      </c>
      <c r="R130" t="e">
        <f>INDEX(Items!D$2:D$1032,MATCH($O130,Items!$A$2:$A$1032,0))</f>
        <v>#N/A</v>
      </c>
    </row>
    <row r="131" spans="1:18" x14ac:dyDescent="0.25">
      <c r="A131">
        <f t="shared" si="12"/>
        <v>1</v>
      </c>
      <c r="B131" t="str">
        <f t="shared" si="13"/>
        <v/>
      </c>
      <c r="C131">
        <f t="shared" si="10"/>
        <v>1</v>
      </c>
      <c r="D131" s="4"/>
      <c r="E131" t="s">
        <v>18</v>
      </c>
      <c r="F131" t="str">
        <f>INDEX(Establishment!B$2:B$1005,MATCH($E131,Establishment!$A$2:$A$1005,0))</f>
        <v xml:space="preserve"> </v>
      </c>
      <c r="G131" t="str">
        <f>INDEX(Establishment!C$2:C$1005,MATCH($E131,Establishment!$A$2:$A$1005,0))</f>
        <v xml:space="preserve"> </v>
      </c>
      <c r="M131">
        <f t="shared" si="11"/>
        <v>0</v>
      </c>
      <c r="N131">
        <f t="shared" ref="N131:N194" si="14">IF(B131=B130,N130+M131,M131)</f>
        <v>0</v>
      </c>
      <c r="P131" t="e">
        <f>INDEX(Items!B$2:B$1032,MATCH($O131,Items!$A$2:$A$1032,0))</f>
        <v>#N/A</v>
      </c>
      <c r="Q131" t="e">
        <f>INDEX(Items!C$2:C$1032,MATCH($O131,Items!$A$2:$A$1032,0))</f>
        <v>#N/A</v>
      </c>
      <c r="R131" t="e">
        <f>INDEX(Items!D$2:D$1032,MATCH($O131,Items!$A$2:$A$1032,0))</f>
        <v>#N/A</v>
      </c>
    </row>
    <row r="132" spans="1:18" x14ac:dyDescent="0.25">
      <c r="A132">
        <f t="shared" si="12"/>
        <v>1</v>
      </c>
      <c r="B132" t="str">
        <f t="shared" si="13"/>
        <v/>
      </c>
      <c r="C132">
        <f t="shared" si="10"/>
        <v>1</v>
      </c>
      <c r="D132" s="4"/>
      <c r="E132" t="s">
        <v>18</v>
      </c>
      <c r="F132" t="str">
        <f>INDEX(Establishment!B$2:B$1005,MATCH($E132,Establishment!$A$2:$A$1005,0))</f>
        <v xml:space="preserve"> </v>
      </c>
      <c r="G132" t="str">
        <f>INDEX(Establishment!C$2:C$1005,MATCH($E132,Establishment!$A$2:$A$1005,0))</f>
        <v xml:space="preserve"> </v>
      </c>
      <c r="M132">
        <f t="shared" si="11"/>
        <v>0</v>
      </c>
      <c r="N132">
        <f t="shared" si="14"/>
        <v>0</v>
      </c>
      <c r="P132" t="e">
        <f>INDEX(Items!B$2:B$1032,MATCH($O132,Items!$A$2:$A$1032,0))</f>
        <v>#N/A</v>
      </c>
      <c r="Q132" t="e">
        <f>INDEX(Items!C$2:C$1032,MATCH($O132,Items!$A$2:$A$1032,0))</f>
        <v>#N/A</v>
      </c>
      <c r="R132" t="e">
        <f>INDEX(Items!D$2:D$1032,MATCH($O132,Items!$A$2:$A$1032,0))</f>
        <v>#N/A</v>
      </c>
    </row>
    <row r="133" spans="1:18" x14ac:dyDescent="0.25">
      <c r="A133">
        <f t="shared" si="12"/>
        <v>1</v>
      </c>
      <c r="B133" t="str">
        <f t="shared" si="13"/>
        <v/>
      </c>
      <c r="C133">
        <f t="shared" si="10"/>
        <v>1</v>
      </c>
      <c r="D133" s="4"/>
      <c r="E133" t="s">
        <v>18</v>
      </c>
      <c r="F133" t="str">
        <f>INDEX(Establishment!B$2:B$1005,MATCH($E133,Establishment!$A$2:$A$1005,0))</f>
        <v xml:space="preserve"> </v>
      </c>
      <c r="G133" t="str">
        <f>INDEX(Establishment!C$2:C$1005,MATCH($E133,Establishment!$A$2:$A$1005,0))</f>
        <v xml:space="preserve"> </v>
      </c>
      <c r="M133">
        <f t="shared" si="11"/>
        <v>0</v>
      </c>
      <c r="N133">
        <f t="shared" si="14"/>
        <v>0</v>
      </c>
      <c r="P133" t="e">
        <f>INDEX(Items!B$2:B$1032,MATCH($O133,Items!$A$2:$A$1032,0))</f>
        <v>#N/A</v>
      </c>
      <c r="Q133" t="e">
        <f>INDEX(Items!C$2:C$1032,MATCH($O133,Items!$A$2:$A$1032,0))</f>
        <v>#N/A</v>
      </c>
      <c r="R133" t="e">
        <f>INDEX(Items!D$2:D$1032,MATCH($O133,Items!$A$2:$A$1032,0))</f>
        <v>#N/A</v>
      </c>
    </row>
    <row r="134" spans="1:18" x14ac:dyDescent="0.25">
      <c r="A134">
        <f t="shared" si="12"/>
        <v>1</v>
      </c>
      <c r="B134" t="str">
        <f t="shared" si="13"/>
        <v/>
      </c>
      <c r="C134">
        <f t="shared" si="10"/>
        <v>1</v>
      </c>
      <c r="D134" s="4"/>
      <c r="E134" t="s">
        <v>18</v>
      </c>
      <c r="F134" t="str">
        <f>INDEX(Establishment!B$2:B$1005,MATCH($E134,Establishment!$A$2:$A$1005,0))</f>
        <v xml:space="preserve"> </v>
      </c>
      <c r="G134" t="str">
        <f>INDEX(Establishment!C$2:C$1005,MATCH($E134,Establishment!$A$2:$A$1005,0))</f>
        <v xml:space="preserve"> </v>
      </c>
      <c r="M134">
        <f t="shared" si="11"/>
        <v>0</v>
      </c>
      <c r="N134">
        <f t="shared" si="14"/>
        <v>0</v>
      </c>
      <c r="P134" t="e">
        <f>INDEX(Items!B$2:B$1032,MATCH($O134,Items!$A$2:$A$1032,0))</f>
        <v>#N/A</v>
      </c>
      <c r="Q134" t="e">
        <f>INDEX(Items!C$2:C$1032,MATCH($O134,Items!$A$2:$A$1032,0))</f>
        <v>#N/A</v>
      </c>
      <c r="R134" t="e">
        <f>INDEX(Items!D$2:D$1032,MATCH($O134,Items!$A$2:$A$1032,0))</f>
        <v>#N/A</v>
      </c>
    </row>
    <row r="135" spans="1:18" x14ac:dyDescent="0.25">
      <c r="A135">
        <f t="shared" si="12"/>
        <v>1</v>
      </c>
      <c r="B135" t="str">
        <f t="shared" si="13"/>
        <v/>
      </c>
      <c r="C135">
        <f t="shared" si="10"/>
        <v>1</v>
      </c>
      <c r="D135" s="4"/>
      <c r="E135" t="s">
        <v>18</v>
      </c>
      <c r="F135" t="str">
        <f>INDEX(Establishment!B$2:B$1005,MATCH($E135,Establishment!$A$2:$A$1005,0))</f>
        <v xml:space="preserve"> </v>
      </c>
      <c r="G135" t="str">
        <f>INDEX(Establishment!C$2:C$1005,MATCH($E135,Establishment!$A$2:$A$1005,0))</f>
        <v xml:space="preserve"> </v>
      </c>
      <c r="M135">
        <f t="shared" si="11"/>
        <v>0</v>
      </c>
      <c r="N135">
        <f t="shared" si="14"/>
        <v>0</v>
      </c>
      <c r="P135" t="e">
        <f>INDEX(Items!B$2:B$1032,MATCH($O135,Items!$A$2:$A$1032,0))</f>
        <v>#N/A</v>
      </c>
      <c r="Q135" t="e">
        <f>INDEX(Items!C$2:C$1032,MATCH($O135,Items!$A$2:$A$1032,0))</f>
        <v>#N/A</v>
      </c>
      <c r="R135" t="e">
        <f>INDEX(Items!D$2:D$1032,MATCH($O135,Items!$A$2:$A$1032,0))</f>
        <v>#N/A</v>
      </c>
    </row>
    <row r="136" spans="1:18" x14ac:dyDescent="0.25">
      <c r="A136">
        <f t="shared" si="12"/>
        <v>1</v>
      </c>
      <c r="B136" t="str">
        <f t="shared" si="13"/>
        <v/>
      </c>
      <c r="C136">
        <f t="shared" si="10"/>
        <v>1</v>
      </c>
      <c r="D136" s="4"/>
      <c r="E136" t="s">
        <v>18</v>
      </c>
      <c r="F136" t="str">
        <f>INDEX(Establishment!B$2:B$1005,MATCH($E136,Establishment!$A$2:$A$1005,0))</f>
        <v xml:space="preserve"> </v>
      </c>
      <c r="G136" t="str">
        <f>INDEX(Establishment!C$2:C$1005,MATCH($E136,Establishment!$A$2:$A$1005,0))</f>
        <v xml:space="preserve"> </v>
      </c>
      <c r="M136">
        <f t="shared" si="11"/>
        <v>0</v>
      </c>
      <c r="N136">
        <f t="shared" si="14"/>
        <v>0</v>
      </c>
      <c r="P136" t="e">
        <f>INDEX(Items!B$2:B$1032,MATCH($O136,Items!$A$2:$A$1032,0))</f>
        <v>#N/A</v>
      </c>
      <c r="Q136" t="e">
        <f>INDEX(Items!C$2:C$1032,MATCH($O136,Items!$A$2:$A$1032,0))</f>
        <v>#N/A</v>
      </c>
      <c r="R136" t="e">
        <f>INDEX(Items!D$2:D$1032,MATCH($O136,Items!$A$2:$A$1032,0))</f>
        <v>#N/A</v>
      </c>
    </row>
    <row r="137" spans="1:18" x14ac:dyDescent="0.25">
      <c r="A137">
        <f t="shared" si="12"/>
        <v>1</v>
      </c>
      <c r="B137" t="str">
        <f t="shared" si="13"/>
        <v/>
      </c>
      <c r="C137">
        <f t="shared" si="10"/>
        <v>1</v>
      </c>
      <c r="D137" s="4"/>
      <c r="E137" t="s">
        <v>18</v>
      </c>
      <c r="F137" t="str">
        <f>INDEX(Establishment!B$2:B$1005,MATCH($E137,Establishment!$A$2:$A$1005,0))</f>
        <v xml:space="preserve"> </v>
      </c>
      <c r="G137" t="str">
        <f>INDEX(Establishment!C$2:C$1005,MATCH($E137,Establishment!$A$2:$A$1005,0))</f>
        <v xml:space="preserve"> </v>
      </c>
      <c r="M137">
        <f t="shared" si="11"/>
        <v>0</v>
      </c>
      <c r="N137">
        <f t="shared" si="14"/>
        <v>0</v>
      </c>
      <c r="P137" t="e">
        <f>INDEX(Items!B$2:B$1032,MATCH($O137,Items!$A$2:$A$1032,0))</f>
        <v>#N/A</v>
      </c>
      <c r="Q137" t="e">
        <f>INDEX(Items!C$2:C$1032,MATCH($O137,Items!$A$2:$A$1032,0))</f>
        <v>#N/A</v>
      </c>
      <c r="R137" t="e">
        <f>INDEX(Items!D$2:D$1032,MATCH($O137,Items!$A$2:$A$1032,0))</f>
        <v>#N/A</v>
      </c>
    </row>
    <row r="138" spans="1:18" x14ac:dyDescent="0.25">
      <c r="A138">
        <f t="shared" si="12"/>
        <v>1</v>
      </c>
      <c r="B138" t="str">
        <f t="shared" si="13"/>
        <v/>
      </c>
      <c r="C138">
        <f t="shared" ref="C138:C201" si="15">IF(OR(B138="",B138&lt;&gt;B137),1,C137+1)</f>
        <v>1</v>
      </c>
      <c r="D138" s="4"/>
      <c r="E138" t="s">
        <v>18</v>
      </c>
      <c r="F138" t="str">
        <f>INDEX(Establishment!B$2:B$1005,MATCH($E138,Establishment!$A$2:$A$1005,0))</f>
        <v xml:space="preserve"> </v>
      </c>
      <c r="G138" t="str">
        <f>INDEX(Establishment!C$2:C$1005,MATCH($E138,Establishment!$A$2:$A$1005,0))</f>
        <v xml:space="preserve"> </v>
      </c>
      <c r="M138">
        <f t="shared" ref="M138:M201" si="16">K138*L138</f>
        <v>0</v>
      </c>
      <c r="N138">
        <f t="shared" si="14"/>
        <v>0</v>
      </c>
      <c r="P138" t="e">
        <f>INDEX(Items!B$2:B$1032,MATCH($O138,Items!$A$2:$A$1032,0))</f>
        <v>#N/A</v>
      </c>
      <c r="Q138" t="e">
        <f>INDEX(Items!C$2:C$1032,MATCH($O138,Items!$A$2:$A$1032,0))</f>
        <v>#N/A</v>
      </c>
      <c r="R138" t="e">
        <f>INDEX(Items!D$2:D$1032,MATCH($O138,Items!$A$2:$A$1032,0))</f>
        <v>#N/A</v>
      </c>
    </row>
    <row r="139" spans="1:18" x14ac:dyDescent="0.25">
      <c r="A139">
        <f t="shared" si="12"/>
        <v>1</v>
      </c>
      <c r="B139" t="str">
        <f t="shared" si="13"/>
        <v/>
      </c>
      <c r="C139">
        <f t="shared" si="15"/>
        <v>1</v>
      </c>
      <c r="D139" s="4"/>
      <c r="E139" t="s">
        <v>18</v>
      </c>
      <c r="F139" t="str">
        <f>INDEX(Establishment!B$2:B$1005,MATCH($E139,Establishment!$A$2:$A$1005,0))</f>
        <v xml:space="preserve"> </v>
      </c>
      <c r="G139" t="str">
        <f>INDEX(Establishment!C$2:C$1005,MATCH($E139,Establishment!$A$2:$A$1005,0))</f>
        <v xml:space="preserve"> </v>
      </c>
      <c r="M139">
        <f t="shared" si="16"/>
        <v>0</v>
      </c>
      <c r="N139">
        <f t="shared" si="14"/>
        <v>0</v>
      </c>
      <c r="P139" t="e">
        <f>INDEX(Items!B$2:B$1032,MATCH($O139,Items!$A$2:$A$1032,0))</f>
        <v>#N/A</v>
      </c>
      <c r="Q139" t="e">
        <f>INDEX(Items!C$2:C$1032,MATCH($O139,Items!$A$2:$A$1032,0))</f>
        <v>#N/A</v>
      </c>
      <c r="R139" t="e">
        <f>INDEX(Items!D$2:D$1032,MATCH($O139,Items!$A$2:$A$1032,0))</f>
        <v>#N/A</v>
      </c>
    </row>
    <row r="140" spans="1:18" x14ac:dyDescent="0.25">
      <c r="A140">
        <f t="shared" si="12"/>
        <v>1</v>
      </c>
      <c r="B140" t="str">
        <f t="shared" si="13"/>
        <v/>
      </c>
      <c r="C140">
        <f t="shared" si="15"/>
        <v>1</v>
      </c>
      <c r="D140" s="4"/>
      <c r="E140" t="s">
        <v>18</v>
      </c>
      <c r="F140" t="str">
        <f>INDEX(Establishment!B$2:B$1005,MATCH($E140,Establishment!$A$2:$A$1005,0))</f>
        <v xml:space="preserve"> </v>
      </c>
      <c r="G140" t="str">
        <f>INDEX(Establishment!C$2:C$1005,MATCH($E140,Establishment!$A$2:$A$1005,0))</f>
        <v xml:space="preserve"> </v>
      </c>
      <c r="M140">
        <f t="shared" si="16"/>
        <v>0</v>
      </c>
      <c r="N140">
        <f t="shared" si="14"/>
        <v>0</v>
      </c>
      <c r="P140" t="e">
        <f>INDEX(Items!B$2:B$1032,MATCH($O140,Items!$A$2:$A$1032,0))</f>
        <v>#N/A</v>
      </c>
      <c r="Q140" t="e">
        <f>INDEX(Items!C$2:C$1032,MATCH($O140,Items!$A$2:$A$1032,0))</f>
        <v>#N/A</v>
      </c>
      <c r="R140" t="e">
        <f>INDEX(Items!D$2:D$1032,MATCH($O140,Items!$A$2:$A$1032,0))</f>
        <v>#N/A</v>
      </c>
    </row>
    <row r="141" spans="1:18" x14ac:dyDescent="0.25">
      <c r="A141">
        <f t="shared" si="12"/>
        <v>1</v>
      </c>
      <c r="B141" t="str">
        <f t="shared" si="13"/>
        <v/>
      </c>
      <c r="C141">
        <f t="shared" si="15"/>
        <v>1</v>
      </c>
      <c r="D141" s="4"/>
      <c r="E141" t="s">
        <v>18</v>
      </c>
      <c r="F141" t="str">
        <f>INDEX(Establishment!B$2:B$1005,MATCH($E141,Establishment!$A$2:$A$1005,0))</f>
        <v xml:space="preserve"> </v>
      </c>
      <c r="G141" t="str">
        <f>INDEX(Establishment!C$2:C$1005,MATCH($E141,Establishment!$A$2:$A$1005,0))</f>
        <v xml:space="preserve"> </v>
      </c>
      <c r="M141">
        <f t="shared" si="16"/>
        <v>0</v>
      </c>
      <c r="N141">
        <f t="shared" si="14"/>
        <v>0</v>
      </c>
      <c r="P141" t="e">
        <f>INDEX(Items!B$2:B$1032,MATCH($O141,Items!$A$2:$A$1032,0))</f>
        <v>#N/A</v>
      </c>
      <c r="Q141" t="e">
        <f>INDEX(Items!C$2:C$1032,MATCH($O141,Items!$A$2:$A$1032,0))</f>
        <v>#N/A</v>
      </c>
      <c r="R141" t="e">
        <f>INDEX(Items!D$2:D$1032,MATCH($O141,Items!$A$2:$A$1032,0))</f>
        <v>#N/A</v>
      </c>
    </row>
    <row r="142" spans="1:18" x14ac:dyDescent="0.25">
      <c r="A142">
        <f t="shared" si="12"/>
        <v>1</v>
      </c>
      <c r="B142" t="str">
        <f t="shared" si="13"/>
        <v/>
      </c>
      <c r="C142">
        <f t="shared" si="15"/>
        <v>1</v>
      </c>
      <c r="D142" s="4"/>
      <c r="E142" t="s">
        <v>18</v>
      </c>
      <c r="F142" t="str">
        <f>INDEX(Establishment!B$2:B$1005,MATCH($E142,Establishment!$A$2:$A$1005,0))</f>
        <v xml:space="preserve"> </v>
      </c>
      <c r="G142" t="str">
        <f>INDEX(Establishment!C$2:C$1005,MATCH($E142,Establishment!$A$2:$A$1005,0))</f>
        <v xml:space="preserve"> </v>
      </c>
      <c r="M142">
        <f t="shared" si="16"/>
        <v>0</v>
      </c>
      <c r="N142">
        <f t="shared" si="14"/>
        <v>0</v>
      </c>
      <c r="P142" t="e">
        <f>INDEX(Items!B$2:B$1032,MATCH($O142,Items!$A$2:$A$1032,0))</f>
        <v>#N/A</v>
      </c>
      <c r="Q142" t="e">
        <f>INDEX(Items!C$2:C$1032,MATCH($O142,Items!$A$2:$A$1032,0))</f>
        <v>#N/A</v>
      </c>
      <c r="R142" t="e">
        <f>INDEX(Items!D$2:D$1032,MATCH($O142,Items!$A$2:$A$1032,0))</f>
        <v>#N/A</v>
      </c>
    </row>
    <row r="143" spans="1:18" x14ac:dyDescent="0.25">
      <c r="A143">
        <f t="shared" si="12"/>
        <v>1</v>
      </c>
      <c r="B143" t="str">
        <f t="shared" si="13"/>
        <v/>
      </c>
      <c r="C143">
        <f t="shared" si="15"/>
        <v>1</v>
      </c>
      <c r="D143" s="4"/>
      <c r="E143" t="s">
        <v>18</v>
      </c>
      <c r="F143" t="str">
        <f>INDEX(Establishment!B$2:B$1005,MATCH($E143,Establishment!$A$2:$A$1005,0))</f>
        <v xml:space="preserve"> </v>
      </c>
      <c r="G143" t="str">
        <f>INDEX(Establishment!C$2:C$1005,MATCH($E143,Establishment!$A$2:$A$1005,0))</f>
        <v xml:space="preserve"> </v>
      </c>
      <c r="M143">
        <f t="shared" si="16"/>
        <v>0</v>
      </c>
      <c r="N143">
        <f t="shared" si="14"/>
        <v>0</v>
      </c>
      <c r="P143" t="e">
        <f>INDEX(Items!B$2:B$1032,MATCH($O143,Items!$A$2:$A$1032,0))</f>
        <v>#N/A</v>
      </c>
      <c r="Q143" t="e">
        <f>INDEX(Items!C$2:C$1032,MATCH($O143,Items!$A$2:$A$1032,0))</f>
        <v>#N/A</v>
      </c>
      <c r="R143" t="e">
        <f>INDEX(Items!D$2:D$1032,MATCH($O143,Items!$A$2:$A$1032,0))</f>
        <v>#N/A</v>
      </c>
    </row>
    <row r="144" spans="1:18" x14ac:dyDescent="0.25">
      <c r="A144">
        <f t="shared" si="12"/>
        <v>1</v>
      </c>
      <c r="B144" t="str">
        <f t="shared" si="13"/>
        <v/>
      </c>
      <c r="C144">
        <f t="shared" si="15"/>
        <v>1</v>
      </c>
      <c r="D144" s="4"/>
      <c r="E144" t="s">
        <v>18</v>
      </c>
      <c r="F144" t="str">
        <f>INDEX(Establishment!B$2:B$1005,MATCH($E144,Establishment!$A$2:$A$1005,0))</f>
        <v xml:space="preserve"> </v>
      </c>
      <c r="G144" t="str">
        <f>INDEX(Establishment!C$2:C$1005,MATCH($E144,Establishment!$A$2:$A$1005,0))</f>
        <v xml:space="preserve"> </v>
      </c>
      <c r="M144">
        <f t="shared" si="16"/>
        <v>0</v>
      </c>
      <c r="N144">
        <f t="shared" si="14"/>
        <v>0</v>
      </c>
      <c r="P144" t="e">
        <f>INDEX(Items!B$2:B$1032,MATCH($O144,Items!$A$2:$A$1032,0))</f>
        <v>#N/A</v>
      </c>
      <c r="Q144" t="e">
        <f>INDEX(Items!C$2:C$1032,MATCH($O144,Items!$A$2:$A$1032,0))</f>
        <v>#N/A</v>
      </c>
      <c r="R144" t="e">
        <f>INDEX(Items!D$2:D$1032,MATCH($O144,Items!$A$2:$A$1032,0))</f>
        <v>#N/A</v>
      </c>
    </row>
    <row r="145" spans="1:18" x14ac:dyDescent="0.25">
      <c r="A145">
        <f t="shared" si="12"/>
        <v>1</v>
      </c>
      <c r="B145" t="str">
        <f t="shared" si="13"/>
        <v/>
      </c>
      <c r="C145">
        <f t="shared" si="15"/>
        <v>1</v>
      </c>
      <c r="D145" s="4"/>
      <c r="E145" t="s">
        <v>18</v>
      </c>
      <c r="F145" t="str">
        <f>INDEX(Establishment!B$2:B$1005,MATCH($E145,Establishment!$A$2:$A$1005,0))</f>
        <v xml:space="preserve"> </v>
      </c>
      <c r="G145" t="str">
        <f>INDEX(Establishment!C$2:C$1005,MATCH($E145,Establishment!$A$2:$A$1005,0))</f>
        <v xml:space="preserve"> </v>
      </c>
      <c r="M145">
        <f t="shared" si="16"/>
        <v>0</v>
      </c>
      <c r="N145">
        <f t="shared" si="14"/>
        <v>0</v>
      </c>
      <c r="P145" t="e">
        <f>INDEX(Items!B$2:B$1032,MATCH($O145,Items!$A$2:$A$1032,0))</f>
        <v>#N/A</v>
      </c>
      <c r="Q145" t="e">
        <f>INDEX(Items!C$2:C$1032,MATCH($O145,Items!$A$2:$A$1032,0))</f>
        <v>#N/A</v>
      </c>
      <c r="R145" t="e">
        <f>INDEX(Items!D$2:D$1032,MATCH($O145,Items!$A$2:$A$1032,0))</f>
        <v>#N/A</v>
      </c>
    </row>
    <row r="146" spans="1:18" x14ac:dyDescent="0.25">
      <c r="A146">
        <f t="shared" si="12"/>
        <v>1</v>
      </c>
      <c r="B146" t="str">
        <f t="shared" si="13"/>
        <v/>
      </c>
      <c r="C146">
        <f t="shared" si="15"/>
        <v>1</v>
      </c>
      <c r="D146" s="4"/>
      <c r="E146" t="s">
        <v>18</v>
      </c>
      <c r="F146" t="str">
        <f>INDEX(Establishment!B$2:B$1005,MATCH($E146,Establishment!$A$2:$A$1005,0))</f>
        <v xml:space="preserve"> </v>
      </c>
      <c r="G146" t="str">
        <f>INDEX(Establishment!C$2:C$1005,MATCH($E146,Establishment!$A$2:$A$1005,0))</f>
        <v xml:space="preserve"> </v>
      </c>
      <c r="M146">
        <f t="shared" si="16"/>
        <v>0</v>
      </c>
      <c r="N146">
        <f t="shared" si="14"/>
        <v>0</v>
      </c>
      <c r="P146" t="e">
        <f>INDEX(Items!B$2:B$1032,MATCH($O146,Items!$A$2:$A$1032,0))</f>
        <v>#N/A</v>
      </c>
      <c r="Q146" t="e">
        <f>INDEX(Items!C$2:C$1032,MATCH($O146,Items!$A$2:$A$1032,0))</f>
        <v>#N/A</v>
      </c>
      <c r="R146" t="e">
        <f>INDEX(Items!D$2:D$1032,MATCH($O146,Items!$A$2:$A$1032,0))</f>
        <v>#N/A</v>
      </c>
    </row>
    <row r="147" spans="1:18" x14ac:dyDescent="0.25">
      <c r="A147">
        <f t="shared" si="12"/>
        <v>1</v>
      </c>
      <c r="B147" t="str">
        <f t="shared" si="13"/>
        <v/>
      </c>
      <c r="C147">
        <f t="shared" si="15"/>
        <v>1</v>
      </c>
      <c r="D147" s="4"/>
      <c r="E147" t="s">
        <v>18</v>
      </c>
      <c r="F147" t="str">
        <f>INDEX(Establishment!B$2:B$1005,MATCH($E147,Establishment!$A$2:$A$1005,0))</f>
        <v xml:space="preserve"> </v>
      </c>
      <c r="G147" t="str">
        <f>INDEX(Establishment!C$2:C$1005,MATCH($E147,Establishment!$A$2:$A$1005,0))</f>
        <v xml:space="preserve"> </v>
      </c>
      <c r="M147">
        <f t="shared" si="16"/>
        <v>0</v>
      </c>
      <c r="N147">
        <f t="shared" si="14"/>
        <v>0</v>
      </c>
      <c r="P147" t="e">
        <f>INDEX(Items!B$2:B$1032,MATCH($O147,Items!$A$2:$A$1032,0))</f>
        <v>#N/A</v>
      </c>
      <c r="Q147" t="e">
        <f>INDEX(Items!C$2:C$1032,MATCH($O147,Items!$A$2:$A$1032,0))</f>
        <v>#N/A</v>
      </c>
      <c r="R147" t="e">
        <f>INDEX(Items!D$2:D$1032,MATCH($O147,Items!$A$2:$A$1032,0))</f>
        <v>#N/A</v>
      </c>
    </row>
    <row r="148" spans="1:18" x14ac:dyDescent="0.25">
      <c r="A148">
        <f t="shared" si="12"/>
        <v>1</v>
      </c>
      <c r="B148" t="str">
        <f t="shared" si="13"/>
        <v/>
      </c>
      <c r="C148">
        <f t="shared" si="15"/>
        <v>1</v>
      </c>
      <c r="D148" s="4"/>
      <c r="E148" t="s">
        <v>18</v>
      </c>
      <c r="F148" t="str">
        <f>INDEX(Establishment!B$2:B$1005,MATCH($E148,Establishment!$A$2:$A$1005,0))</f>
        <v xml:space="preserve"> </v>
      </c>
      <c r="G148" t="str">
        <f>INDEX(Establishment!C$2:C$1005,MATCH($E148,Establishment!$A$2:$A$1005,0))</f>
        <v xml:space="preserve"> </v>
      </c>
      <c r="M148">
        <f t="shared" si="16"/>
        <v>0</v>
      </c>
      <c r="N148">
        <f t="shared" si="14"/>
        <v>0</v>
      </c>
      <c r="P148" t="e">
        <f>INDEX(Items!B$2:B$1032,MATCH($O148,Items!$A$2:$A$1032,0))</f>
        <v>#N/A</v>
      </c>
      <c r="Q148" t="e">
        <f>INDEX(Items!C$2:C$1032,MATCH($O148,Items!$A$2:$A$1032,0))</f>
        <v>#N/A</v>
      </c>
      <c r="R148" t="e">
        <f>INDEX(Items!D$2:D$1032,MATCH($O148,Items!$A$2:$A$1032,0))</f>
        <v>#N/A</v>
      </c>
    </row>
    <row r="149" spans="1:18" x14ac:dyDescent="0.25">
      <c r="A149">
        <f t="shared" si="12"/>
        <v>1</v>
      </c>
      <c r="B149" t="str">
        <f t="shared" si="13"/>
        <v/>
      </c>
      <c r="C149">
        <f t="shared" si="15"/>
        <v>1</v>
      </c>
      <c r="D149" s="4"/>
      <c r="E149" t="s">
        <v>18</v>
      </c>
      <c r="F149" t="str">
        <f>INDEX(Establishment!B$2:B$1005,MATCH($E149,Establishment!$A$2:$A$1005,0))</f>
        <v xml:space="preserve"> </v>
      </c>
      <c r="G149" t="str">
        <f>INDEX(Establishment!C$2:C$1005,MATCH($E149,Establishment!$A$2:$A$1005,0))</f>
        <v xml:space="preserve"> </v>
      </c>
      <c r="M149">
        <f t="shared" si="16"/>
        <v>0</v>
      </c>
      <c r="N149">
        <f t="shared" si="14"/>
        <v>0</v>
      </c>
      <c r="P149" t="e">
        <f>INDEX(Items!B$2:B$1032,MATCH($O149,Items!$A$2:$A$1032,0))</f>
        <v>#N/A</v>
      </c>
      <c r="Q149" t="e">
        <f>INDEX(Items!C$2:C$1032,MATCH($O149,Items!$A$2:$A$1032,0))</f>
        <v>#N/A</v>
      </c>
      <c r="R149" t="e">
        <f>INDEX(Items!D$2:D$1032,MATCH($O149,Items!$A$2:$A$1032,0))</f>
        <v>#N/A</v>
      </c>
    </row>
    <row r="150" spans="1:18" x14ac:dyDescent="0.25">
      <c r="A150">
        <f t="shared" si="12"/>
        <v>1</v>
      </c>
      <c r="B150" t="str">
        <f t="shared" si="13"/>
        <v/>
      </c>
      <c r="C150">
        <f t="shared" si="15"/>
        <v>1</v>
      </c>
      <c r="D150" s="4"/>
      <c r="E150" t="s">
        <v>18</v>
      </c>
      <c r="F150" t="str">
        <f>INDEX(Establishment!B$2:B$1005,MATCH($E150,Establishment!$A$2:$A$1005,0))</f>
        <v xml:space="preserve"> </v>
      </c>
      <c r="G150" t="str">
        <f>INDEX(Establishment!C$2:C$1005,MATCH($E150,Establishment!$A$2:$A$1005,0))</f>
        <v xml:space="preserve"> </v>
      </c>
      <c r="M150">
        <f t="shared" si="16"/>
        <v>0</v>
      </c>
      <c r="N150">
        <f t="shared" si="14"/>
        <v>0</v>
      </c>
      <c r="P150" t="e">
        <f>INDEX(Items!B$2:B$1032,MATCH($O150,Items!$A$2:$A$1032,0))</f>
        <v>#N/A</v>
      </c>
      <c r="Q150" t="e">
        <f>INDEX(Items!C$2:C$1032,MATCH($O150,Items!$A$2:$A$1032,0))</f>
        <v>#N/A</v>
      </c>
      <c r="R150" t="e">
        <f>INDEX(Items!D$2:D$1032,MATCH($O150,Items!$A$2:$A$1032,0))</f>
        <v>#N/A</v>
      </c>
    </row>
    <row r="151" spans="1:18" x14ac:dyDescent="0.25">
      <c r="A151">
        <f t="shared" si="12"/>
        <v>1</v>
      </c>
      <c r="B151" t="str">
        <f t="shared" si="13"/>
        <v/>
      </c>
      <c r="C151">
        <f t="shared" si="15"/>
        <v>1</v>
      </c>
      <c r="D151" s="4"/>
      <c r="E151" t="s">
        <v>18</v>
      </c>
      <c r="F151" t="str">
        <f>INDEX(Establishment!B$2:B$1005,MATCH($E151,Establishment!$A$2:$A$1005,0))</f>
        <v xml:space="preserve"> </v>
      </c>
      <c r="G151" t="str">
        <f>INDEX(Establishment!C$2:C$1005,MATCH($E151,Establishment!$A$2:$A$1005,0))</f>
        <v xml:space="preserve"> </v>
      </c>
      <c r="M151">
        <f t="shared" si="16"/>
        <v>0</v>
      </c>
      <c r="N151">
        <f t="shared" si="14"/>
        <v>0</v>
      </c>
      <c r="P151" t="e">
        <f>INDEX(Items!B$2:B$1032,MATCH($O151,Items!$A$2:$A$1032,0))</f>
        <v>#N/A</v>
      </c>
      <c r="Q151" t="e">
        <f>INDEX(Items!C$2:C$1032,MATCH($O151,Items!$A$2:$A$1032,0))</f>
        <v>#N/A</v>
      </c>
      <c r="R151" t="e">
        <f>INDEX(Items!D$2:D$1032,MATCH($O151,Items!$A$2:$A$1032,0))</f>
        <v>#N/A</v>
      </c>
    </row>
    <row r="152" spans="1:18" x14ac:dyDescent="0.25">
      <c r="A152">
        <f t="shared" si="12"/>
        <v>1</v>
      </c>
      <c r="B152" t="str">
        <f t="shared" si="13"/>
        <v/>
      </c>
      <c r="C152">
        <f t="shared" si="15"/>
        <v>1</v>
      </c>
      <c r="D152" s="4"/>
      <c r="E152" t="s">
        <v>18</v>
      </c>
      <c r="F152" t="str">
        <f>INDEX(Establishment!B$2:B$1005,MATCH($E152,Establishment!$A$2:$A$1005,0))</f>
        <v xml:space="preserve"> </v>
      </c>
      <c r="G152" t="str">
        <f>INDEX(Establishment!C$2:C$1005,MATCH($E152,Establishment!$A$2:$A$1005,0))</f>
        <v xml:space="preserve"> </v>
      </c>
      <c r="M152">
        <f t="shared" si="16"/>
        <v>0</v>
      </c>
      <c r="N152">
        <f t="shared" si="14"/>
        <v>0</v>
      </c>
      <c r="P152" t="e">
        <f>INDEX(Items!B$2:B$1032,MATCH($O152,Items!$A$2:$A$1032,0))</f>
        <v>#N/A</v>
      </c>
      <c r="Q152" t="e">
        <f>INDEX(Items!C$2:C$1032,MATCH($O152,Items!$A$2:$A$1032,0))</f>
        <v>#N/A</v>
      </c>
      <c r="R152" t="e">
        <f>INDEX(Items!D$2:D$1032,MATCH($O152,Items!$A$2:$A$1032,0))</f>
        <v>#N/A</v>
      </c>
    </row>
    <row r="153" spans="1:18" x14ac:dyDescent="0.25">
      <c r="A153">
        <f t="shared" si="12"/>
        <v>1</v>
      </c>
      <c r="B153" t="str">
        <f t="shared" si="13"/>
        <v/>
      </c>
      <c r="C153">
        <f t="shared" si="15"/>
        <v>1</v>
      </c>
      <c r="D153" s="4"/>
      <c r="E153" t="s">
        <v>18</v>
      </c>
      <c r="F153" t="str">
        <f>INDEX(Establishment!B$2:B$1005,MATCH($E153,Establishment!$A$2:$A$1005,0))</f>
        <v xml:space="preserve"> </v>
      </c>
      <c r="G153" t="str">
        <f>INDEX(Establishment!C$2:C$1005,MATCH($E153,Establishment!$A$2:$A$1005,0))</f>
        <v xml:space="preserve"> </v>
      </c>
      <c r="M153">
        <f t="shared" si="16"/>
        <v>0</v>
      </c>
      <c r="N153">
        <f t="shared" si="14"/>
        <v>0</v>
      </c>
      <c r="P153" t="e">
        <f>INDEX(Items!B$2:B$1032,MATCH($O153,Items!$A$2:$A$1032,0))</f>
        <v>#N/A</v>
      </c>
      <c r="Q153" t="e">
        <f>INDEX(Items!C$2:C$1032,MATCH($O153,Items!$A$2:$A$1032,0))</f>
        <v>#N/A</v>
      </c>
      <c r="R153" t="e">
        <f>INDEX(Items!D$2:D$1032,MATCH($O153,Items!$A$2:$A$1032,0))</f>
        <v>#N/A</v>
      </c>
    </row>
    <row r="154" spans="1:18" x14ac:dyDescent="0.25">
      <c r="A154">
        <f t="shared" si="12"/>
        <v>1</v>
      </c>
      <c r="B154" t="str">
        <f t="shared" si="13"/>
        <v/>
      </c>
      <c r="C154">
        <f t="shared" si="15"/>
        <v>1</v>
      </c>
      <c r="D154" s="4"/>
      <c r="E154" t="s">
        <v>18</v>
      </c>
      <c r="F154" t="str">
        <f>INDEX(Establishment!B$2:B$1005,MATCH($E154,Establishment!$A$2:$A$1005,0))</f>
        <v xml:space="preserve"> </v>
      </c>
      <c r="G154" t="str">
        <f>INDEX(Establishment!C$2:C$1005,MATCH($E154,Establishment!$A$2:$A$1005,0))</f>
        <v xml:space="preserve"> </v>
      </c>
      <c r="M154">
        <f t="shared" si="16"/>
        <v>0</v>
      </c>
      <c r="N154">
        <f t="shared" si="14"/>
        <v>0</v>
      </c>
      <c r="P154" t="e">
        <f>INDEX(Items!B$2:B$1032,MATCH($O154,Items!$A$2:$A$1032,0))</f>
        <v>#N/A</v>
      </c>
      <c r="Q154" t="e">
        <f>INDEX(Items!C$2:C$1032,MATCH($O154,Items!$A$2:$A$1032,0))</f>
        <v>#N/A</v>
      </c>
      <c r="R154" t="e">
        <f>INDEX(Items!D$2:D$1032,MATCH($O154,Items!$A$2:$A$1032,0))</f>
        <v>#N/A</v>
      </c>
    </row>
    <row r="155" spans="1:18" x14ac:dyDescent="0.25">
      <c r="A155">
        <f t="shared" si="12"/>
        <v>1</v>
      </c>
      <c r="B155" t="str">
        <f t="shared" si="13"/>
        <v/>
      </c>
      <c r="C155">
        <f t="shared" si="15"/>
        <v>1</v>
      </c>
      <c r="D155" s="4"/>
      <c r="E155" t="s">
        <v>18</v>
      </c>
      <c r="F155" t="str">
        <f>INDEX(Establishment!B$2:B$1005,MATCH($E155,Establishment!$A$2:$A$1005,0))</f>
        <v xml:space="preserve"> </v>
      </c>
      <c r="G155" t="str">
        <f>INDEX(Establishment!C$2:C$1005,MATCH($E155,Establishment!$A$2:$A$1005,0))</f>
        <v xml:space="preserve"> </v>
      </c>
      <c r="M155">
        <f t="shared" si="16"/>
        <v>0</v>
      </c>
      <c r="N155">
        <f t="shared" si="14"/>
        <v>0</v>
      </c>
      <c r="P155" t="e">
        <f>INDEX(Items!B$2:B$1032,MATCH($O155,Items!$A$2:$A$1032,0))</f>
        <v>#N/A</v>
      </c>
      <c r="Q155" t="e">
        <f>INDEX(Items!C$2:C$1032,MATCH($O155,Items!$A$2:$A$1032,0))</f>
        <v>#N/A</v>
      </c>
      <c r="R155" t="e">
        <f>INDEX(Items!D$2:D$1032,MATCH($O155,Items!$A$2:$A$1032,0))</f>
        <v>#N/A</v>
      </c>
    </row>
    <row r="156" spans="1:18" x14ac:dyDescent="0.25">
      <c r="A156">
        <f t="shared" si="12"/>
        <v>1</v>
      </c>
      <c r="B156" t="str">
        <f t="shared" si="13"/>
        <v/>
      </c>
      <c r="C156">
        <f t="shared" si="15"/>
        <v>1</v>
      </c>
      <c r="D156" s="4"/>
      <c r="E156" t="s">
        <v>18</v>
      </c>
      <c r="F156" t="str">
        <f>INDEX(Establishment!B$2:B$1005,MATCH($E156,Establishment!$A$2:$A$1005,0))</f>
        <v xml:space="preserve"> </v>
      </c>
      <c r="G156" t="str">
        <f>INDEX(Establishment!C$2:C$1005,MATCH($E156,Establishment!$A$2:$A$1005,0))</f>
        <v xml:space="preserve"> </v>
      </c>
      <c r="M156">
        <f t="shared" si="16"/>
        <v>0</v>
      </c>
      <c r="N156">
        <f t="shared" si="14"/>
        <v>0</v>
      </c>
      <c r="P156" t="e">
        <f>INDEX(Items!B$2:B$1032,MATCH($O156,Items!$A$2:$A$1032,0))</f>
        <v>#N/A</v>
      </c>
      <c r="Q156" t="e">
        <f>INDEX(Items!C$2:C$1032,MATCH($O156,Items!$A$2:$A$1032,0))</f>
        <v>#N/A</v>
      </c>
      <c r="R156" t="e">
        <f>INDEX(Items!D$2:D$1032,MATCH($O156,Items!$A$2:$A$1032,0))</f>
        <v>#N/A</v>
      </c>
    </row>
    <row r="157" spans="1:18" x14ac:dyDescent="0.25">
      <c r="A157">
        <f t="shared" si="12"/>
        <v>1</v>
      </c>
      <c r="B157" t="str">
        <f t="shared" si="13"/>
        <v/>
      </c>
      <c r="C157">
        <f t="shared" si="15"/>
        <v>1</v>
      </c>
      <c r="D157" s="4"/>
      <c r="E157" t="s">
        <v>18</v>
      </c>
      <c r="F157" t="str">
        <f>INDEX(Establishment!B$2:B$1005,MATCH($E157,Establishment!$A$2:$A$1005,0))</f>
        <v xml:space="preserve"> </v>
      </c>
      <c r="G157" t="str">
        <f>INDEX(Establishment!C$2:C$1005,MATCH($E157,Establishment!$A$2:$A$1005,0))</f>
        <v xml:space="preserve"> </v>
      </c>
      <c r="M157">
        <f t="shared" si="16"/>
        <v>0</v>
      </c>
      <c r="N157">
        <f t="shared" si="14"/>
        <v>0</v>
      </c>
      <c r="P157" t="e">
        <f>INDEX(Items!B$2:B$1032,MATCH($O157,Items!$A$2:$A$1032,0))</f>
        <v>#N/A</v>
      </c>
      <c r="Q157" t="e">
        <f>INDEX(Items!C$2:C$1032,MATCH($O157,Items!$A$2:$A$1032,0))</f>
        <v>#N/A</v>
      </c>
      <c r="R157" t="e">
        <f>INDEX(Items!D$2:D$1032,MATCH($O157,Items!$A$2:$A$1032,0))</f>
        <v>#N/A</v>
      </c>
    </row>
    <row r="158" spans="1:18" x14ac:dyDescent="0.25">
      <c r="A158">
        <f t="shared" si="12"/>
        <v>1</v>
      </c>
      <c r="B158" t="str">
        <f t="shared" si="13"/>
        <v/>
      </c>
      <c r="C158">
        <f t="shared" si="15"/>
        <v>1</v>
      </c>
      <c r="D158" s="4"/>
      <c r="E158" t="s">
        <v>18</v>
      </c>
      <c r="F158" t="str">
        <f>INDEX(Establishment!B$2:B$1005,MATCH($E158,Establishment!$A$2:$A$1005,0))</f>
        <v xml:space="preserve"> </v>
      </c>
      <c r="G158" t="str">
        <f>INDEX(Establishment!C$2:C$1005,MATCH($E158,Establishment!$A$2:$A$1005,0))</f>
        <v xml:space="preserve"> </v>
      </c>
      <c r="M158">
        <f t="shared" si="16"/>
        <v>0</v>
      </c>
      <c r="N158">
        <f t="shared" si="14"/>
        <v>0</v>
      </c>
      <c r="P158" t="e">
        <f>INDEX(Items!B$2:B$1032,MATCH($O158,Items!$A$2:$A$1032,0))</f>
        <v>#N/A</v>
      </c>
      <c r="Q158" t="e">
        <f>INDEX(Items!C$2:C$1032,MATCH($O158,Items!$A$2:$A$1032,0))</f>
        <v>#N/A</v>
      </c>
      <c r="R158" t="e">
        <f>INDEX(Items!D$2:D$1032,MATCH($O158,Items!$A$2:$A$1032,0))</f>
        <v>#N/A</v>
      </c>
    </row>
    <row r="159" spans="1:18" x14ac:dyDescent="0.25">
      <c r="A159">
        <f t="shared" si="12"/>
        <v>1</v>
      </c>
      <c r="B159" t="str">
        <f t="shared" si="13"/>
        <v/>
      </c>
      <c r="C159">
        <f t="shared" si="15"/>
        <v>1</v>
      </c>
      <c r="D159" s="4"/>
      <c r="E159" t="s">
        <v>18</v>
      </c>
      <c r="F159" t="str">
        <f>INDEX(Establishment!B$2:B$1005,MATCH($E159,Establishment!$A$2:$A$1005,0))</f>
        <v xml:space="preserve"> </v>
      </c>
      <c r="G159" t="str">
        <f>INDEX(Establishment!C$2:C$1005,MATCH($E159,Establishment!$A$2:$A$1005,0))</f>
        <v xml:space="preserve"> </v>
      </c>
      <c r="M159">
        <f t="shared" si="16"/>
        <v>0</v>
      </c>
      <c r="N159">
        <f t="shared" si="14"/>
        <v>0</v>
      </c>
      <c r="P159" t="e">
        <f>INDEX(Items!B$2:B$1032,MATCH($O159,Items!$A$2:$A$1032,0))</f>
        <v>#N/A</v>
      </c>
      <c r="Q159" t="e">
        <f>INDEX(Items!C$2:C$1032,MATCH($O159,Items!$A$2:$A$1032,0))</f>
        <v>#N/A</v>
      </c>
      <c r="R159" t="e">
        <f>INDEX(Items!D$2:D$1032,MATCH($O159,Items!$A$2:$A$1032,0))</f>
        <v>#N/A</v>
      </c>
    </row>
    <row r="160" spans="1:18" x14ac:dyDescent="0.25">
      <c r="A160">
        <f t="shared" si="12"/>
        <v>1</v>
      </c>
      <c r="B160" t="str">
        <f t="shared" si="13"/>
        <v/>
      </c>
      <c r="C160">
        <f t="shared" si="15"/>
        <v>1</v>
      </c>
      <c r="D160" s="4"/>
      <c r="E160" t="s">
        <v>18</v>
      </c>
      <c r="F160" t="str">
        <f>INDEX(Establishment!B$2:B$1005,MATCH($E160,Establishment!$A$2:$A$1005,0))</f>
        <v xml:space="preserve"> </v>
      </c>
      <c r="G160" t="str">
        <f>INDEX(Establishment!C$2:C$1005,MATCH($E160,Establishment!$A$2:$A$1005,0))</f>
        <v xml:space="preserve"> </v>
      </c>
      <c r="M160">
        <f t="shared" si="16"/>
        <v>0</v>
      </c>
      <c r="N160">
        <f t="shared" si="14"/>
        <v>0</v>
      </c>
      <c r="P160" t="e">
        <f>INDEX(Items!B$2:B$1032,MATCH($O160,Items!$A$2:$A$1032,0))</f>
        <v>#N/A</v>
      </c>
      <c r="Q160" t="e">
        <f>INDEX(Items!C$2:C$1032,MATCH($O160,Items!$A$2:$A$1032,0))</f>
        <v>#N/A</v>
      </c>
      <c r="R160" t="e">
        <f>INDEX(Items!D$2:D$1032,MATCH($O160,Items!$A$2:$A$1032,0))</f>
        <v>#N/A</v>
      </c>
    </row>
    <row r="161" spans="1:18" x14ac:dyDescent="0.25">
      <c r="A161">
        <f t="shared" si="12"/>
        <v>1</v>
      </c>
      <c r="B161" t="str">
        <f t="shared" si="13"/>
        <v/>
      </c>
      <c r="C161">
        <f t="shared" si="15"/>
        <v>1</v>
      </c>
      <c r="D161" s="4"/>
      <c r="E161" t="s">
        <v>18</v>
      </c>
      <c r="F161" t="str">
        <f>INDEX(Establishment!B$2:B$1005,MATCH($E161,Establishment!$A$2:$A$1005,0))</f>
        <v xml:space="preserve"> </v>
      </c>
      <c r="G161" t="str">
        <f>INDEX(Establishment!C$2:C$1005,MATCH($E161,Establishment!$A$2:$A$1005,0))</f>
        <v xml:space="preserve"> </v>
      </c>
      <c r="M161">
        <f t="shared" si="16"/>
        <v>0</v>
      </c>
      <c r="N161">
        <f t="shared" si="14"/>
        <v>0</v>
      </c>
      <c r="P161" t="e">
        <f>INDEX(Items!B$2:B$1032,MATCH($O161,Items!$A$2:$A$1032,0))</f>
        <v>#N/A</v>
      </c>
      <c r="Q161" t="e">
        <f>INDEX(Items!C$2:C$1032,MATCH($O161,Items!$A$2:$A$1032,0))</f>
        <v>#N/A</v>
      </c>
      <c r="R161" t="e">
        <f>INDEX(Items!D$2:D$1032,MATCH($O161,Items!$A$2:$A$1032,0))</f>
        <v>#N/A</v>
      </c>
    </row>
    <row r="162" spans="1:18" x14ac:dyDescent="0.25">
      <c r="A162">
        <f t="shared" si="12"/>
        <v>1</v>
      </c>
      <c r="B162" t="str">
        <f t="shared" si="13"/>
        <v/>
      </c>
      <c r="C162">
        <f t="shared" si="15"/>
        <v>1</v>
      </c>
      <c r="D162" s="4"/>
      <c r="E162" t="s">
        <v>18</v>
      </c>
      <c r="F162" t="str">
        <f>INDEX(Establishment!B$2:B$1005,MATCH($E162,Establishment!$A$2:$A$1005,0))</f>
        <v xml:space="preserve"> </v>
      </c>
      <c r="G162" t="str">
        <f>INDEX(Establishment!C$2:C$1005,MATCH($E162,Establishment!$A$2:$A$1005,0))</f>
        <v xml:space="preserve"> </v>
      </c>
      <c r="M162">
        <f t="shared" si="16"/>
        <v>0</v>
      </c>
      <c r="N162">
        <f t="shared" si="14"/>
        <v>0</v>
      </c>
      <c r="P162" t="e">
        <f>INDEX(Items!B$2:B$1032,MATCH($O162,Items!$A$2:$A$1032,0))</f>
        <v>#N/A</v>
      </c>
      <c r="Q162" t="e">
        <f>INDEX(Items!C$2:C$1032,MATCH($O162,Items!$A$2:$A$1032,0))</f>
        <v>#N/A</v>
      </c>
      <c r="R162" t="e">
        <f>INDEX(Items!D$2:D$1032,MATCH($O162,Items!$A$2:$A$1032,0))</f>
        <v>#N/A</v>
      </c>
    </row>
    <row r="163" spans="1:18" x14ac:dyDescent="0.25">
      <c r="A163">
        <f t="shared" si="12"/>
        <v>1</v>
      </c>
      <c r="B163" t="str">
        <f t="shared" si="13"/>
        <v/>
      </c>
      <c r="C163">
        <f t="shared" si="15"/>
        <v>1</v>
      </c>
      <c r="D163" s="4"/>
      <c r="E163" t="s">
        <v>18</v>
      </c>
      <c r="F163" t="str">
        <f>INDEX(Establishment!B$2:B$1005,MATCH($E163,Establishment!$A$2:$A$1005,0))</f>
        <v xml:space="preserve"> </v>
      </c>
      <c r="G163" t="str">
        <f>INDEX(Establishment!C$2:C$1005,MATCH($E163,Establishment!$A$2:$A$1005,0))</f>
        <v xml:space="preserve"> </v>
      </c>
      <c r="M163">
        <f t="shared" si="16"/>
        <v>0</v>
      </c>
      <c r="N163">
        <f t="shared" si="14"/>
        <v>0</v>
      </c>
      <c r="P163" t="e">
        <f>INDEX(Items!B$2:B$1032,MATCH($O163,Items!$A$2:$A$1032,0))</f>
        <v>#N/A</v>
      </c>
      <c r="Q163" t="e">
        <f>INDEX(Items!C$2:C$1032,MATCH($O163,Items!$A$2:$A$1032,0))</f>
        <v>#N/A</v>
      </c>
      <c r="R163" t="e">
        <f>INDEX(Items!D$2:D$1032,MATCH($O163,Items!$A$2:$A$1032,0))</f>
        <v>#N/A</v>
      </c>
    </row>
    <row r="164" spans="1:18" x14ac:dyDescent="0.25">
      <c r="A164">
        <f t="shared" si="12"/>
        <v>1</v>
      </c>
      <c r="B164" t="str">
        <f t="shared" si="13"/>
        <v/>
      </c>
      <c r="C164">
        <f t="shared" si="15"/>
        <v>1</v>
      </c>
      <c r="D164" s="4"/>
      <c r="E164" t="s">
        <v>18</v>
      </c>
      <c r="F164" t="str">
        <f>INDEX(Establishment!B$2:B$1005,MATCH($E164,Establishment!$A$2:$A$1005,0))</f>
        <v xml:space="preserve"> </v>
      </c>
      <c r="G164" t="str">
        <f>INDEX(Establishment!C$2:C$1005,MATCH($E164,Establishment!$A$2:$A$1005,0))</f>
        <v xml:space="preserve"> </v>
      </c>
      <c r="M164">
        <f t="shared" si="16"/>
        <v>0</v>
      </c>
      <c r="N164">
        <f t="shared" si="14"/>
        <v>0</v>
      </c>
      <c r="P164" t="e">
        <f>INDEX(Items!B$2:B$1032,MATCH($O164,Items!$A$2:$A$1032,0))</f>
        <v>#N/A</v>
      </c>
      <c r="Q164" t="e">
        <f>INDEX(Items!C$2:C$1032,MATCH($O164,Items!$A$2:$A$1032,0))</f>
        <v>#N/A</v>
      </c>
      <c r="R164" t="e">
        <f>INDEX(Items!D$2:D$1032,MATCH($O164,Items!$A$2:$A$1032,0))</f>
        <v>#N/A</v>
      </c>
    </row>
    <row r="165" spans="1:18" x14ac:dyDescent="0.25">
      <c r="A165">
        <f t="shared" si="12"/>
        <v>1</v>
      </c>
      <c r="B165" t="str">
        <f t="shared" si="13"/>
        <v/>
      </c>
      <c r="C165">
        <f t="shared" si="15"/>
        <v>1</v>
      </c>
      <c r="D165" s="4"/>
      <c r="E165" t="s">
        <v>18</v>
      </c>
      <c r="F165" t="str">
        <f>INDEX(Establishment!B$2:B$1005,MATCH($E165,Establishment!$A$2:$A$1005,0))</f>
        <v xml:space="preserve"> </v>
      </c>
      <c r="G165" t="str">
        <f>INDEX(Establishment!C$2:C$1005,MATCH($E165,Establishment!$A$2:$A$1005,0))</f>
        <v xml:space="preserve"> </v>
      </c>
      <c r="M165">
        <f t="shared" si="16"/>
        <v>0</v>
      </c>
      <c r="N165">
        <f t="shared" si="14"/>
        <v>0</v>
      </c>
      <c r="P165" t="e">
        <f>INDEX(Items!B$2:B$1032,MATCH($O165,Items!$A$2:$A$1032,0))</f>
        <v>#N/A</v>
      </c>
      <c r="Q165" t="e">
        <f>INDEX(Items!C$2:C$1032,MATCH($O165,Items!$A$2:$A$1032,0))</f>
        <v>#N/A</v>
      </c>
      <c r="R165" t="e">
        <f>INDEX(Items!D$2:D$1032,MATCH($O165,Items!$A$2:$A$1032,0))</f>
        <v>#N/A</v>
      </c>
    </row>
    <row r="166" spans="1:18" x14ac:dyDescent="0.25">
      <c r="A166">
        <f t="shared" si="12"/>
        <v>1</v>
      </c>
      <c r="B166" t="str">
        <f t="shared" si="13"/>
        <v/>
      </c>
      <c r="C166">
        <f t="shared" si="15"/>
        <v>1</v>
      </c>
      <c r="D166" s="4"/>
      <c r="E166" t="s">
        <v>18</v>
      </c>
      <c r="F166" t="str">
        <f>INDEX(Establishment!B$2:B$1005,MATCH($E166,Establishment!$A$2:$A$1005,0))</f>
        <v xml:space="preserve"> </v>
      </c>
      <c r="G166" t="str">
        <f>INDEX(Establishment!C$2:C$1005,MATCH($E166,Establishment!$A$2:$A$1005,0))</f>
        <v xml:space="preserve"> </v>
      </c>
      <c r="M166">
        <f t="shared" si="16"/>
        <v>0</v>
      </c>
      <c r="N166">
        <f t="shared" si="14"/>
        <v>0</v>
      </c>
      <c r="P166" t="e">
        <f>INDEX(Items!B$2:B$1032,MATCH($O166,Items!$A$2:$A$1032,0))</f>
        <v>#N/A</v>
      </c>
      <c r="Q166" t="e">
        <f>INDEX(Items!C$2:C$1032,MATCH($O166,Items!$A$2:$A$1032,0))</f>
        <v>#N/A</v>
      </c>
      <c r="R166" t="e">
        <f>INDEX(Items!D$2:D$1032,MATCH($O166,Items!$A$2:$A$1032,0))</f>
        <v>#N/A</v>
      </c>
    </row>
    <row r="167" spans="1:18" x14ac:dyDescent="0.25">
      <c r="A167">
        <f t="shared" si="12"/>
        <v>1</v>
      </c>
      <c r="B167" t="str">
        <f t="shared" si="13"/>
        <v/>
      </c>
      <c r="C167">
        <f t="shared" si="15"/>
        <v>1</v>
      </c>
      <c r="D167" s="4"/>
      <c r="E167" t="s">
        <v>18</v>
      </c>
      <c r="F167" t="str">
        <f>INDEX(Establishment!B$2:B$1005,MATCH($E167,Establishment!$A$2:$A$1005,0))</f>
        <v xml:space="preserve"> </v>
      </c>
      <c r="G167" t="str">
        <f>INDEX(Establishment!C$2:C$1005,MATCH($E167,Establishment!$A$2:$A$1005,0))</f>
        <v xml:space="preserve"> </v>
      </c>
      <c r="M167">
        <f t="shared" si="16"/>
        <v>0</v>
      </c>
      <c r="N167">
        <f t="shared" si="14"/>
        <v>0</v>
      </c>
      <c r="P167" t="e">
        <f>INDEX(Items!B$2:B$1032,MATCH($O167,Items!$A$2:$A$1032,0))</f>
        <v>#N/A</v>
      </c>
      <c r="Q167" t="e">
        <f>INDEX(Items!C$2:C$1032,MATCH($O167,Items!$A$2:$A$1032,0))</f>
        <v>#N/A</v>
      </c>
      <c r="R167" t="e">
        <f>INDEX(Items!D$2:D$1032,MATCH($O167,Items!$A$2:$A$1032,0))</f>
        <v>#N/A</v>
      </c>
    </row>
    <row r="168" spans="1:18" x14ac:dyDescent="0.25">
      <c r="A168">
        <f t="shared" si="12"/>
        <v>1</v>
      </c>
      <c r="B168" t="str">
        <f t="shared" si="13"/>
        <v/>
      </c>
      <c r="C168">
        <f t="shared" si="15"/>
        <v>1</v>
      </c>
      <c r="D168" s="4"/>
      <c r="E168" t="s">
        <v>18</v>
      </c>
      <c r="F168" t="str">
        <f>INDEX(Establishment!B$2:B$1005,MATCH($E168,Establishment!$A$2:$A$1005,0))</f>
        <v xml:space="preserve"> </v>
      </c>
      <c r="G168" t="str">
        <f>INDEX(Establishment!C$2:C$1005,MATCH($E168,Establishment!$A$2:$A$1005,0))</f>
        <v xml:space="preserve"> </v>
      </c>
      <c r="M168">
        <f t="shared" si="16"/>
        <v>0</v>
      </c>
      <c r="N168">
        <f t="shared" si="14"/>
        <v>0</v>
      </c>
      <c r="P168" t="e">
        <f>INDEX(Items!B$2:B$1032,MATCH($O168,Items!$A$2:$A$1032,0))</f>
        <v>#N/A</v>
      </c>
      <c r="Q168" t="e">
        <f>INDEX(Items!C$2:C$1032,MATCH($O168,Items!$A$2:$A$1032,0))</f>
        <v>#N/A</v>
      </c>
      <c r="R168" t="e">
        <f>INDEX(Items!D$2:D$1032,MATCH($O168,Items!$A$2:$A$1032,0))</f>
        <v>#N/A</v>
      </c>
    </row>
    <row r="169" spans="1:18" x14ac:dyDescent="0.25">
      <c r="A169">
        <f t="shared" si="12"/>
        <v>1</v>
      </c>
      <c r="B169" t="str">
        <f t="shared" si="13"/>
        <v/>
      </c>
      <c r="C169">
        <f t="shared" si="15"/>
        <v>1</v>
      </c>
      <c r="D169" s="4"/>
      <c r="E169" t="s">
        <v>18</v>
      </c>
      <c r="F169" t="str">
        <f>INDEX(Establishment!B$2:B$1005,MATCH($E169,Establishment!$A$2:$A$1005,0))</f>
        <v xml:space="preserve"> </v>
      </c>
      <c r="G169" t="str">
        <f>INDEX(Establishment!C$2:C$1005,MATCH($E169,Establishment!$A$2:$A$1005,0))</f>
        <v xml:space="preserve"> </v>
      </c>
      <c r="M169">
        <f t="shared" si="16"/>
        <v>0</v>
      </c>
      <c r="N169">
        <f t="shared" si="14"/>
        <v>0</v>
      </c>
      <c r="P169" t="e">
        <f>INDEX(Items!B$2:B$1032,MATCH($O169,Items!$A$2:$A$1032,0))</f>
        <v>#N/A</v>
      </c>
      <c r="Q169" t="e">
        <f>INDEX(Items!C$2:C$1032,MATCH($O169,Items!$A$2:$A$1032,0))</f>
        <v>#N/A</v>
      </c>
      <c r="R169" t="e">
        <f>INDEX(Items!D$2:D$1032,MATCH($O169,Items!$A$2:$A$1032,0))</f>
        <v>#N/A</v>
      </c>
    </row>
    <row r="170" spans="1:18" x14ac:dyDescent="0.25">
      <c r="A170">
        <f t="shared" si="12"/>
        <v>1</v>
      </c>
      <c r="B170" t="str">
        <f t="shared" si="13"/>
        <v/>
      </c>
      <c r="C170">
        <f t="shared" si="15"/>
        <v>1</v>
      </c>
      <c r="D170" s="4"/>
      <c r="E170" t="s">
        <v>18</v>
      </c>
      <c r="F170" t="str">
        <f>INDEX(Establishment!B$2:B$1005,MATCH($E170,Establishment!$A$2:$A$1005,0))</f>
        <v xml:space="preserve"> </v>
      </c>
      <c r="G170" t="str">
        <f>INDEX(Establishment!C$2:C$1005,MATCH($E170,Establishment!$A$2:$A$1005,0))</f>
        <v xml:space="preserve"> </v>
      </c>
      <c r="M170">
        <f t="shared" si="16"/>
        <v>0</v>
      </c>
      <c r="N170">
        <f t="shared" si="14"/>
        <v>0</v>
      </c>
      <c r="P170" t="e">
        <f>INDEX(Items!B$2:B$1032,MATCH($O170,Items!$A$2:$A$1032,0))</f>
        <v>#N/A</v>
      </c>
      <c r="Q170" t="e">
        <f>INDEX(Items!C$2:C$1032,MATCH($O170,Items!$A$2:$A$1032,0))</f>
        <v>#N/A</v>
      </c>
      <c r="R170" t="e">
        <f>INDEX(Items!D$2:D$1032,MATCH($O170,Items!$A$2:$A$1032,0))</f>
        <v>#N/A</v>
      </c>
    </row>
    <row r="171" spans="1:18" x14ac:dyDescent="0.25">
      <c r="A171">
        <f t="shared" si="12"/>
        <v>1</v>
      </c>
      <c r="B171" t="str">
        <f t="shared" si="13"/>
        <v/>
      </c>
      <c r="C171">
        <f t="shared" si="15"/>
        <v>1</v>
      </c>
      <c r="D171" s="4"/>
      <c r="E171" t="s">
        <v>18</v>
      </c>
      <c r="F171" t="str">
        <f>INDEX(Establishment!B$2:B$1005,MATCH($E171,Establishment!$A$2:$A$1005,0))</f>
        <v xml:space="preserve"> </v>
      </c>
      <c r="G171" t="str">
        <f>INDEX(Establishment!C$2:C$1005,MATCH($E171,Establishment!$A$2:$A$1005,0))</f>
        <v xml:space="preserve"> </v>
      </c>
      <c r="M171">
        <f t="shared" si="16"/>
        <v>0</v>
      </c>
      <c r="N171">
        <f t="shared" si="14"/>
        <v>0</v>
      </c>
      <c r="P171" t="e">
        <f>INDEX(Items!B$2:B$1032,MATCH($O171,Items!$A$2:$A$1032,0))</f>
        <v>#N/A</v>
      </c>
      <c r="Q171" t="e">
        <f>INDEX(Items!C$2:C$1032,MATCH($O171,Items!$A$2:$A$1032,0))</f>
        <v>#N/A</v>
      </c>
      <c r="R171" t="e">
        <f>INDEX(Items!D$2:D$1032,MATCH($O171,Items!$A$2:$A$1032,0))</f>
        <v>#N/A</v>
      </c>
    </row>
    <row r="172" spans="1:18" x14ac:dyDescent="0.25">
      <c r="A172">
        <f t="shared" si="12"/>
        <v>1</v>
      </c>
      <c r="B172" t="str">
        <f t="shared" si="13"/>
        <v/>
      </c>
      <c r="C172">
        <f t="shared" si="15"/>
        <v>1</v>
      </c>
      <c r="D172" s="4"/>
      <c r="E172" t="s">
        <v>18</v>
      </c>
      <c r="F172" t="str">
        <f>INDEX(Establishment!B$2:B$1005,MATCH($E172,Establishment!$A$2:$A$1005,0))</f>
        <v xml:space="preserve"> </v>
      </c>
      <c r="G172" t="str">
        <f>INDEX(Establishment!C$2:C$1005,MATCH($E172,Establishment!$A$2:$A$1005,0))</f>
        <v xml:space="preserve"> </v>
      </c>
      <c r="M172">
        <f t="shared" si="16"/>
        <v>0</v>
      </c>
      <c r="N172">
        <f t="shared" si="14"/>
        <v>0</v>
      </c>
      <c r="P172" t="e">
        <f>INDEX(Items!B$2:B$1032,MATCH($O172,Items!$A$2:$A$1032,0))</f>
        <v>#N/A</v>
      </c>
      <c r="Q172" t="e">
        <f>INDEX(Items!C$2:C$1032,MATCH($O172,Items!$A$2:$A$1032,0))</f>
        <v>#N/A</v>
      </c>
      <c r="R172" t="e">
        <f>INDEX(Items!D$2:D$1032,MATCH($O172,Items!$A$2:$A$1032,0))</f>
        <v>#N/A</v>
      </c>
    </row>
    <row r="173" spans="1:18" x14ac:dyDescent="0.25">
      <c r="A173">
        <f t="shared" si="12"/>
        <v>1</v>
      </c>
      <c r="B173" t="str">
        <f t="shared" si="13"/>
        <v/>
      </c>
      <c r="C173">
        <f t="shared" si="15"/>
        <v>1</v>
      </c>
      <c r="D173" s="4"/>
      <c r="E173" t="s">
        <v>18</v>
      </c>
      <c r="F173" t="str">
        <f>INDEX(Establishment!B$2:B$1005,MATCH($E173,Establishment!$A$2:$A$1005,0))</f>
        <v xml:space="preserve"> </v>
      </c>
      <c r="G173" t="str">
        <f>INDEX(Establishment!C$2:C$1005,MATCH($E173,Establishment!$A$2:$A$1005,0))</f>
        <v xml:space="preserve"> </v>
      </c>
      <c r="M173">
        <f t="shared" si="16"/>
        <v>0</v>
      </c>
      <c r="N173">
        <f t="shared" si="14"/>
        <v>0</v>
      </c>
      <c r="P173" t="e">
        <f>INDEX(Items!B$2:B$1032,MATCH($O173,Items!$A$2:$A$1032,0))</f>
        <v>#N/A</v>
      </c>
      <c r="Q173" t="e">
        <f>INDEX(Items!C$2:C$1032,MATCH($O173,Items!$A$2:$A$1032,0))</f>
        <v>#N/A</v>
      </c>
      <c r="R173" t="e">
        <f>INDEX(Items!D$2:D$1032,MATCH($O173,Items!$A$2:$A$1032,0))</f>
        <v>#N/A</v>
      </c>
    </row>
    <row r="174" spans="1:18" x14ac:dyDescent="0.25">
      <c r="A174">
        <f t="shared" si="12"/>
        <v>1</v>
      </c>
      <c r="B174" t="str">
        <f t="shared" si="13"/>
        <v/>
      </c>
      <c r="C174">
        <f t="shared" si="15"/>
        <v>1</v>
      </c>
      <c r="D174" s="4"/>
      <c r="E174" t="s">
        <v>18</v>
      </c>
      <c r="F174" t="str">
        <f>INDEX(Establishment!B$2:B$1005,MATCH($E174,Establishment!$A$2:$A$1005,0))</f>
        <v xml:space="preserve"> </v>
      </c>
      <c r="G174" t="str">
        <f>INDEX(Establishment!C$2:C$1005,MATCH($E174,Establishment!$A$2:$A$1005,0))</f>
        <v xml:space="preserve"> </v>
      </c>
      <c r="M174">
        <f t="shared" si="16"/>
        <v>0</v>
      </c>
      <c r="N174">
        <f t="shared" si="14"/>
        <v>0</v>
      </c>
      <c r="P174" t="e">
        <f>INDEX(Items!B$2:B$1032,MATCH($O174,Items!$A$2:$A$1032,0))</f>
        <v>#N/A</v>
      </c>
      <c r="Q174" t="e">
        <f>INDEX(Items!C$2:C$1032,MATCH($O174,Items!$A$2:$A$1032,0))</f>
        <v>#N/A</v>
      </c>
      <c r="R174" t="e">
        <f>INDEX(Items!D$2:D$1032,MATCH($O174,Items!$A$2:$A$1032,0))</f>
        <v>#N/A</v>
      </c>
    </row>
    <row r="175" spans="1:18" x14ac:dyDescent="0.25">
      <c r="A175">
        <f t="shared" si="12"/>
        <v>1</v>
      </c>
      <c r="B175" t="str">
        <f t="shared" si="13"/>
        <v/>
      </c>
      <c r="C175">
        <f t="shared" si="15"/>
        <v>1</v>
      </c>
      <c r="D175" s="4"/>
      <c r="E175" t="s">
        <v>18</v>
      </c>
      <c r="F175" t="str">
        <f>INDEX(Establishment!B$2:B$1005,MATCH($E175,Establishment!$A$2:$A$1005,0))</f>
        <v xml:space="preserve"> </v>
      </c>
      <c r="G175" t="str">
        <f>INDEX(Establishment!C$2:C$1005,MATCH($E175,Establishment!$A$2:$A$1005,0))</f>
        <v xml:space="preserve"> </v>
      </c>
      <c r="M175">
        <f t="shared" si="16"/>
        <v>0</v>
      </c>
      <c r="N175">
        <f t="shared" si="14"/>
        <v>0</v>
      </c>
      <c r="P175" t="e">
        <f>INDEX(Items!B$2:B$1032,MATCH($O175,Items!$A$2:$A$1032,0))</f>
        <v>#N/A</v>
      </c>
      <c r="Q175" t="e">
        <f>INDEX(Items!C$2:C$1032,MATCH($O175,Items!$A$2:$A$1032,0))</f>
        <v>#N/A</v>
      </c>
      <c r="R175" t="e">
        <f>INDEX(Items!D$2:D$1032,MATCH($O175,Items!$A$2:$A$1032,0))</f>
        <v>#N/A</v>
      </c>
    </row>
    <row r="176" spans="1:18" x14ac:dyDescent="0.25">
      <c r="A176">
        <f t="shared" si="12"/>
        <v>1</v>
      </c>
      <c r="B176" t="str">
        <f t="shared" si="13"/>
        <v/>
      </c>
      <c r="C176">
        <f t="shared" si="15"/>
        <v>1</v>
      </c>
      <c r="D176" s="4"/>
      <c r="E176" t="s">
        <v>18</v>
      </c>
      <c r="F176" t="str">
        <f>INDEX(Establishment!B$2:B$1005,MATCH($E176,Establishment!$A$2:$A$1005,0))</f>
        <v xml:space="preserve"> </v>
      </c>
      <c r="G176" t="str">
        <f>INDEX(Establishment!C$2:C$1005,MATCH($E176,Establishment!$A$2:$A$1005,0))</f>
        <v xml:space="preserve"> </v>
      </c>
      <c r="M176">
        <f t="shared" si="16"/>
        <v>0</v>
      </c>
      <c r="N176">
        <f t="shared" si="14"/>
        <v>0</v>
      </c>
      <c r="P176" t="e">
        <f>INDEX(Items!B$2:B$1032,MATCH($O176,Items!$A$2:$A$1032,0))</f>
        <v>#N/A</v>
      </c>
      <c r="Q176" t="e">
        <f>INDEX(Items!C$2:C$1032,MATCH($O176,Items!$A$2:$A$1032,0))</f>
        <v>#N/A</v>
      </c>
      <c r="R176" t="e">
        <f>INDEX(Items!D$2:D$1032,MATCH($O176,Items!$A$2:$A$1032,0))</f>
        <v>#N/A</v>
      </c>
    </row>
    <row r="177" spans="1:18" x14ac:dyDescent="0.25">
      <c r="A177">
        <f t="shared" si="12"/>
        <v>1</v>
      </c>
      <c r="B177" t="str">
        <f t="shared" si="13"/>
        <v/>
      </c>
      <c r="C177">
        <f t="shared" si="15"/>
        <v>1</v>
      </c>
      <c r="D177" s="4"/>
      <c r="E177" t="s">
        <v>18</v>
      </c>
      <c r="F177" t="str">
        <f>INDEX(Establishment!B$2:B$1005,MATCH($E177,Establishment!$A$2:$A$1005,0))</f>
        <v xml:space="preserve"> </v>
      </c>
      <c r="G177" t="str">
        <f>INDEX(Establishment!C$2:C$1005,MATCH($E177,Establishment!$A$2:$A$1005,0))</f>
        <v xml:space="preserve"> </v>
      </c>
      <c r="M177">
        <f t="shared" si="16"/>
        <v>0</v>
      </c>
      <c r="N177">
        <f t="shared" si="14"/>
        <v>0</v>
      </c>
      <c r="P177" t="e">
        <f>INDEX(Items!B$2:B$1032,MATCH($O177,Items!$A$2:$A$1032,0))</f>
        <v>#N/A</v>
      </c>
      <c r="Q177" t="e">
        <f>INDEX(Items!C$2:C$1032,MATCH($O177,Items!$A$2:$A$1032,0))</f>
        <v>#N/A</v>
      </c>
      <c r="R177" t="e">
        <f>INDEX(Items!D$2:D$1032,MATCH($O177,Items!$A$2:$A$1032,0))</f>
        <v>#N/A</v>
      </c>
    </row>
    <row r="178" spans="1:18" x14ac:dyDescent="0.25">
      <c r="A178">
        <f t="shared" si="12"/>
        <v>1</v>
      </c>
      <c r="B178" t="str">
        <f t="shared" si="13"/>
        <v/>
      </c>
      <c r="C178">
        <f t="shared" si="15"/>
        <v>1</v>
      </c>
      <c r="D178" s="4"/>
      <c r="E178" t="s">
        <v>18</v>
      </c>
      <c r="F178" t="str">
        <f>INDEX(Establishment!B$2:B$1005,MATCH($E178,Establishment!$A$2:$A$1005,0))</f>
        <v xml:space="preserve"> </v>
      </c>
      <c r="G178" t="str">
        <f>INDEX(Establishment!C$2:C$1005,MATCH($E178,Establishment!$A$2:$A$1005,0))</f>
        <v xml:space="preserve"> </v>
      </c>
      <c r="M178">
        <f t="shared" si="16"/>
        <v>0</v>
      </c>
      <c r="N178">
        <f t="shared" si="14"/>
        <v>0</v>
      </c>
      <c r="P178" t="e">
        <f>INDEX(Items!B$2:B$1032,MATCH($O178,Items!$A$2:$A$1032,0))</f>
        <v>#N/A</v>
      </c>
      <c r="Q178" t="e">
        <f>INDEX(Items!C$2:C$1032,MATCH($O178,Items!$A$2:$A$1032,0))</f>
        <v>#N/A</v>
      </c>
      <c r="R178" t="e">
        <f>INDEX(Items!D$2:D$1032,MATCH($O178,Items!$A$2:$A$1032,0))</f>
        <v>#N/A</v>
      </c>
    </row>
    <row r="179" spans="1:18" x14ac:dyDescent="0.25">
      <c r="A179">
        <f t="shared" si="12"/>
        <v>1</v>
      </c>
      <c r="B179" t="str">
        <f t="shared" si="13"/>
        <v/>
      </c>
      <c r="C179">
        <f t="shared" si="15"/>
        <v>1</v>
      </c>
      <c r="D179" s="4"/>
      <c r="E179" t="s">
        <v>18</v>
      </c>
      <c r="F179" t="str">
        <f>INDEX(Establishment!B$2:B$1005,MATCH($E179,Establishment!$A$2:$A$1005,0))</f>
        <v xml:space="preserve"> </v>
      </c>
      <c r="G179" t="str">
        <f>INDEX(Establishment!C$2:C$1005,MATCH($E179,Establishment!$A$2:$A$1005,0))</f>
        <v xml:space="preserve"> </v>
      </c>
      <c r="M179">
        <f t="shared" si="16"/>
        <v>0</v>
      </c>
      <c r="N179">
        <f t="shared" si="14"/>
        <v>0</v>
      </c>
      <c r="P179" t="e">
        <f>INDEX(Items!B$2:B$1032,MATCH($O179,Items!$A$2:$A$1032,0))</f>
        <v>#N/A</v>
      </c>
      <c r="Q179" t="e">
        <f>INDEX(Items!C$2:C$1032,MATCH($O179,Items!$A$2:$A$1032,0))</f>
        <v>#N/A</v>
      </c>
      <c r="R179" t="e">
        <f>INDEX(Items!D$2:D$1032,MATCH($O179,Items!$A$2:$A$1032,0))</f>
        <v>#N/A</v>
      </c>
    </row>
    <row r="180" spans="1:18" x14ac:dyDescent="0.25">
      <c r="A180">
        <f t="shared" si="12"/>
        <v>1</v>
      </c>
      <c r="B180" t="str">
        <f t="shared" si="13"/>
        <v/>
      </c>
      <c r="C180">
        <f t="shared" si="15"/>
        <v>1</v>
      </c>
      <c r="D180" s="4"/>
      <c r="E180" t="s">
        <v>18</v>
      </c>
      <c r="F180" t="str">
        <f>INDEX(Establishment!B$2:B$1005,MATCH($E180,Establishment!$A$2:$A$1005,0))</f>
        <v xml:space="preserve"> </v>
      </c>
      <c r="G180" t="str">
        <f>INDEX(Establishment!C$2:C$1005,MATCH($E180,Establishment!$A$2:$A$1005,0))</f>
        <v xml:space="preserve"> </v>
      </c>
      <c r="M180">
        <f t="shared" si="16"/>
        <v>0</v>
      </c>
      <c r="N180">
        <f t="shared" si="14"/>
        <v>0</v>
      </c>
      <c r="P180" t="e">
        <f>INDEX(Items!B$2:B$1032,MATCH($O180,Items!$A$2:$A$1032,0))</f>
        <v>#N/A</v>
      </c>
      <c r="Q180" t="e">
        <f>INDEX(Items!C$2:C$1032,MATCH($O180,Items!$A$2:$A$1032,0))</f>
        <v>#N/A</v>
      </c>
      <c r="R180" t="e">
        <f>INDEX(Items!D$2:D$1032,MATCH($O180,Items!$A$2:$A$1032,0))</f>
        <v>#N/A</v>
      </c>
    </row>
    <row r="181" spans="1:18" x14ac:dyDescent="0.25">
      <c r="A181">
        <f t="shared" si="12"/>
        <v>1</v>
      </c>
      <c r="B181" t="str">
        <f t="shared" si="13"/>
        <v/>
      </c>
      <c r="C181">
        <f t="shared" si="15"/>
        <v>1</v>
      </c>
      <c r="D181" s="4"/>
      <c r="E181" t="s">
        <v>18</v>
      </c>
      <c r="F181" t="str">
        <f>INDEX(Establishment!B$2:B$1005,MATCH($E181,Establishment!$A$2:$A$1005,0))</f>
        <v xml:space="preserve"> </v>
      </c>
      <c r="G181" t="str">
        <f>INDEX(Establishment!C$2:C$1005,MATCH($E181,Establishment!$A$2:$A$1005,0))</f>
        <v xml:space="preserve"> </v>
      </c>
      <c r="M181">
        <f t="shared" si="16"/>
        <v>0</v>
      </c>
      <c r="N181">
        <f t="shared" si="14"/>
        <v>0</v>
      </c>
      <c r="P181" t="e">
        <f>INDEX(Items!B$2:B$1032,MATCH($O181,Items!$A$2:$A$1032,0))</f>
        <v>#N/A</v>
      </c>
      <c r="Q181" t="e">
        <f>INDEX(Items!C$2:C$1032,MATCH($O181,Items!$A$2:$A$1032,0))</f>
        <v>#N/A</v>
      </c>
      <c r="R181" t="e">
        <f>INDEX(Items!D$2:D$1032,MATCH($O181,Items!$A$2:$A$1032,0))</f>
        <v>#N/A</v>
      </c>
    </row>
    <row r="182" spans="1:18" x14ac:dyDescent="0.25">
      <c r="A182">
        <f t="shared" si="12"/>
        <v>1</v>
      </c>
      <c r="B182" t="str">
        <f t="shared" si="13"/>
        <v/>
      </c>
      <c r="C182">
        <f t="shared" si="15"/>
        <v>1</v>
      </c>
      <c r="D182" s="4"/>
      <c r="E182" t="s">
        <v>18</v>
      </c>
      <c r="F182" t="str">
        <f>INDEX(Establishment!B$2:B$1005,MATCH($E182,Establishment!$A$2:$A$1005,0))</f>
        <v xml:space="preserve"> </v>
      </c>
      <c r="G182" t="str">
        <f>INDEX(Establishment!C$2:C$1005,MATCH($E182,Establishment!$A$2:$A$1005,0))</f>
        <v xml:space="preserve"> </v>
      </c>
      <c r="M182">
        <f t="shared" si="16"/>
        <v>0</v>
      </c>
      <c r="N182">
        <f t="shared" si="14"/>
        <v>0</v>
      </c>
      <c r="P182" t="e">
        <f>INDEX(Items!B$2:B$1032,MATCH($O182,Items!$A$2:$A$1032,0))</f>
        <v>#N/A</v>
      </c>
      <c r="Q182" t="e">
        <f>INDEX(Items!C$2:C$1032,MATCH($O182,Items!$A$2:$A$1032,0))</f>
        <v>#N/A</v>
      </c>
      <c r="R182" t="e">
        <f>INDEX(Items!D$2:D$1032,MATCH($O182,Items!$A$2:$A$1032,0))</f>
        <v>#N/A</v>
      </c>
    </row>
    <row r="183" spans="1:18" x14ac:dyDescent="0.25">
      <c r="A183">
        <f t="shared" si="12"/>
        <v>1</v>
      </c>
      <c r="B183" t="str">
        <f t="shared" si="13"/>
        <v/>
      </c>
      <c r="C183">
        <f t="shared" si="15"/>
        <v>1</v>
      </c>
      <c r="D183" s="4"/>
      <c r="E183" t="s">
        <v>18</v>
      </c>
      <c r="F183" t="str">
        <f>INDEX(Establishment!B$2:B$1005,MATCH($E183,Establishment!$A$2:$A$1005,0))</f>
        <v xml:space="preserve"> </v>
      </c>
      <c r="G183" t="str">
        <f>INDEX(Establishment!C$2:C$1005,MATCH($E183,Establishment!$A$2:$A$1005,0))</f>
        <v xml:space="preserve"> </v>
      </c>
      <c r="M183">
        <f t="shared" si="16"/>
        <v>0</v>
      </c>
      <c r="N183">
        <f t="shared" si="14"/>
        <v>0</v>
      </c>
      <c r="P183" t="e">
        <f>INDEX(Items!B$2:B$1032,MATCH($O183,Items!$A$2:$A$1032,0))</f>
        <v>#N/A</v>
      </c>
      <c r="Q183" t="e">
        <f>INDEX(Items!C$2:C$1032,MATCH($O183,Items!$A$2:$A$1032,0))</f>
        <v>#N/A</v>
      </c>
      <c r="R183" t="e">
        <f>INDEX(Items!D$2:D$1032,MATCH($O183,Items!$A$2:$A$1032,0))</f>
        <v>#N/A</v>
      </c>
    </row>
    <row r="184" spans="1:18" x14ac:dyDescent="0.25">
      <c r="A184">
        <f t="shared" si="12"/>
        <v>1</v>
      </c>
      <c r="B184" t="str">
        <f t="shared" si="13"/>
        <v/>
      </c>
      <c r="C184">
        <f t="shared" si="15"/>
        <v>1</v>
      </c>
      <c r="D184" s="4"/>
      <c r="E184" t="s">
        <v>18</v>
      </c>
      <c r="F184" t="str">
        <f>INDEX(Establishment!B$2:B$1005,MATCH($E184,Establishment!$A$2:$A$1005,0))</f>
        <v xml:space="preserve"> </v>
      </c>
      <c r="G184" t="str">
        <f>INDEX(Establishment!C$2:C$1005,MATCH($E184,Establishment!$A$2:$A$1005,0))</f>
        <v xml:space="preserve"> </v>
      </c>
      <c r="M184">
        <f t="shared" si="16"/>
        <v>0</v>
      </c>
      <c r="N184">
        <f t="shared" si="14"/>
        <v>0</v>
      </c>
      <c r="P184" t="e">
        <f>INDEX(Items!B$2:B$1032,MATCH($O184,Items!$A$2:$A$1032,0))</f>
        <v>#N/A</v>
      </c>
      <c r="Q184" t="e">
        <f>INDEX(Items!C$2:C$1032,MATCH($O184,Items!$A$2:$A$1032,0))</f>
        <v>#N/A</v>
      </c>
      <c r="R184" t="e">
        <f>INDEX(Items!D$2:D$1032,MATCH($O184,Items!$A$2:$A$1032,0))</f>
        <v>#N/A</v>
      </c>
    </row>
    <row r="185" spans="1:18" x14ac:dyDescent="0.25">
      <c r="A185">
        <f t="shared" si="12"/>
        <v>1</v>
      </c>
      <c r="B185" t="str">
        <f t="shared" si="13"/>
        <v/>
      </c>
      <c r="C185">
        <f t="shared" si="15"/>
        <v>1</v>
      </c>
      <c r="D185" s="4"/>
      <c r="E185" t="s">
        <v>18</v>
      </c>
      <c r="F185" t="str">
        <f>INDEX(Establishment!B$2:B$1005,MATCH($E185,Establishment!$A$2:$A$1005,0))</f>
        <v xml:space="preserve"> </v>
      </c>
      <c r="G185" t="str">
        <f>INDEX(Establishment!C$2:C$1005,MATCH($E185,Establishment!$A$2:$A$1005,0))</f>
        <v xml:space="preserve"> </v>
      </c>
      <c r="M185">
        <f t="shared" si="16"/>
        <v>0</v>
      </c>
      <c r="N185">
        <f t="shared" si="14"/>
        <v>0</v>
      </c>
      <c r="P185" t="e">
        <f>INDEX(Items!B$2:B$1032,MATCH($O185,Items!$A$2:$A$1032,0))</f>
        <v>#N/A</v>
      </c>
      <c r="Q185" t="e">
        <f>INDEX(Items!C$2:C$1032,MATCH($O185,Items!$A$2:$A$1032,0))</f>
        <v>#N/A</v>
      </c>
      <c r="R185" t="e">
        <f>INDEX(Items!D$2:D$1032,MATCH($O185,Items!$A$2:$A$1032,0))</f>
        <v>#N/A</v>
      </c>
    </row>
    <row r="186" spans="1:18" x14ac:dyDescent="0.25">
      <c r="A186">
        <f t="shared" si="12"/>
        <v>1</v>
      </c>
      <c r="B186" t="str">
        <f t="shared" si="13"/>
        <v/>
      </c>
      <c r="C186">
        <f t="shared" si="15"/>
        <v>1</v>
      </c>
      <c r="D186" s="4"/>
      <c r="E186" t="s">
        <v>18</v>
      </c>
      <c r="F186" t="str">
        <f>INDEX(Establishment!B$2:B$1005,MATCH($E186,Establishment!$A$2:$A$1005,0))</f>
        <v xml:space="preserve"> </v>
      </c>
      <c r="G186" t="str">
        <f>INDEX(Establishment!C$2:C$1005,MATCH($E186,Establishment!$A$2:$A$1005,0))</f>
        <v xml:space="preserve"> </v>
      </c>
      <c r="M186">
        <f t="shared" si="16"/>
        <v>0</v>
      </c>
      <c r="N186">
        <f t="shared" si="14"/>
        <v>0</v>
      </c>
      <c r="P186" t="e">
        <f>INDEX(Items!B$2:B$1032,MATCH($O186,Items!$A$2:$A$1032,0))</f>
        <v>#N/A</v>
      </c>
      <c r="Q186" t="e">
        <f>INDEX(Items!C$2:C$1032,MATCH($O186,Items!$A$2:$A$1032,0))</f>
        <v>#N/A</v>
      </c>
      <c r="R186" t="e">
        <f>INDEX(Items!D$2:D$1032,MATCH($O186,Items!$A$2:$A$1032,0))</f>
        <v>#N/A</v>
      </c>
    </row>
    <row r="187" spans="1:18" x14ac:dyDescent="0.25">
      <c r="A187">
        <f t="shared" si="12"/>
        <v>1</v>
      </c>
      <c r="B187" t="str">
        <f t="shared" si="13"/>
        <v/>
      </c>
      <c r="C187">
        <f t="shared" si="15"/>
        <v>1</v>
      </c>
      <c r="D187" s="4"/>
      <c r="E187" t="s">
        <v>18</v>
      </c>
      <c r="F187" t="str">
        <f>INDEX(Establishment!B$2:B$1005,MATCH($E187,Establishment!$A$2:$A$1005,0))</f>
        <v xml:space="preserve"> </v>
      </c>
      <c r="G187" t="str">
        <f>INDEX(Establishment!C$2:C$1005,MATCH($E187,Establishment!$A$2:$A$1005,0))</f>
        <v xml:space="preserve"> </v>
      </c>
      <c r="M187">
        <f t="shared" si="16"/>
        <v>0</v>
      </c>
      <c r="N187">
        <f t="shared" si="14"/>
        <v>0</v>
      </c>
      <c r="P187" t="e">
        <f>INDEX(Items!B$2:B$1032,MATCH($O187,Items!$A$2:$A$1032,0))</f>
        <v>#N/A</v>
      </c>
      <c r="Q187" t="e">
        <f>INDEX(Items!C$2:C$1032,MATCH($O187,Items!$A$2:$A$1032,0))</f>
        <v>#N/A</v>
      </c>
      <c r="R187" t="e">
        <f>INDEX(Items!D$2:D$1032,MATCH($O187,Items!$A$2:$A$1032,0))</f>
        <v>#N/A</v>
      </c>
    </row>
    <row r="188" spans="1:18" x14ac:dyDescent="0.25">
      <c r="A188">
        <f t="shared" si="12"/>
        <v>1</v>
      </c>
      <c r="B188" t="str">
        <f t="shared" si="13"/>
        <v/>
      </c>
      <c r="C188">
        <f t="shared" si="15"/>
        <v>1</v>
      </c>
      <c r="D188" s="4"/>
      <c r="E188" t="s">
        <v>18</v>
      </c>
      <c r="F188" t="str">
        <f>INDEX(Establishment!B$2:B$1005,MATCH($E188,Establishment!$A$2:$A$1005,0))</f>
        <v xml:space="preserve"> </v>
      </c>
      <c r="G188" t="str">
        <f>INDEX(Establishment!C$2:C$1005,MATCH($E188,Establishment!$A$2:$A$1005,0))</f>
        <v xml:space="preserve"> </v>
      </c>
      <c r="M188">
        <f t="shared" si="16"/>
        <v>0</v>
      </c>
      <c r="N188">
        <f t="shared" si="14"/>
        <v>0</v>
      </c>
      <c r="P188" t="e">
        <f>INDEX(Items!B$2:B$1032,MATCH($O188,Items!$A$2:$A$1032,0))</f>
        <v>#N/A</v>
      </c>
      <c r="Q188" t="e">
        <f>INDEX(Items!C$2:C$1032,MATCH($O188,Items!$A$2:$A$1032,0))</f>
        <v>#N/A</v>
      </c>
      <c r="R188" t="e">
        <f>INDEX(Items!D$2:D$1032,MATCH($O188,Items!$A$2:$A$1032,0))</f>
        <v>#N/A</v>
      </c>
    </row>
    <row r="189" spans="1:18" x14ac:dyDescent="0.25">
      <c r="A189">
        <f t="shared" si="12"/>
        <v>1</v>
      </c>
      <c r="B189" t="str">
        <f t="shared" si="13"/>
        <v/>
      </c>
      <c r="C189">
        <f t="shared" si="15"/>
        <v>1</v>
      </c>
      <c r="D189" s="4"/>
      <c r="E189" t="s">
        <v>18</v>
      </c>
      <c r="F189" t="str">
        <f>INDEX(Establishment!B$2:B$1005,MATCH($E189,Establishment!$A$2:$A$1005,0))</f>
        <v xml:space="preserve"> </v>
      </c>
      <c r="G189" t="str">
        <f>INDEX(Establishment!C$2:C$1005,MATCH($E189,Establishment!$A$2:$A$1005,0))</f>
        <v xml:space="preserve"> </v>
      </c>
      <c r="M189">
        <f t="shared" si="16"/>
        <v>0</v>
      </c>
      <c r="N189">
        <f t="shared" si="14"/>
        <v>0</v>
      </c>
      <c r="P189" t="e">
        <f>INDEX(Items!B$2:B$1032,MATCH($O189,Items!$A$2:$A$1032,0))</f>
        <v>#N/A</v>
      </c>
      <c r="Q189" t="e">
        <f>INDEX(Items!C$2:C$1032,MATCH($O189,Items!$A$2:$A$1032,0))</f>
        <v>#N/A</v>
      </c>
      <c r="R189" t="e">
        <f>INDEX(Items!D$2:D$1032,MATCH($O189,Items!$A$2:$A$1032,0))</f>
        <v>#N/A</v>
      </c>
    </row>
    <row r="190" spans="1:18" x14ac:dyDescent="0.25">
      <c r="A190">
        <f t="shared" si="12"/>
        <v>1</v>
      </c>
      <c r="B190" t="str">
        <f t="shared" si="13"/>
        <v/>
      </c>
      <c r="C190">
        <f t="shared" si="15"/>
        <v>1</v>
      </c>
      <c r="D190" s="4"/>
      <c r="E190" t="s">
        <v>18</v>
      </c>
      <c r="F190" t="str">
        <f>INDEX(Establishment!B$2:B$1005,MATCH($E190,Establishment!$A$2:$A$1005,0))</f>
        <v xml:space="preserve"> </v>
      </c>
      <c r="G190" t="str">
        <f>INDEX(Establishment!C$2:C$1005,MATCH($E190,Establishment!$A$2:$A$1005,0))</f>
        <v xml:space="preserve"> </v>
      </c>
      <c r="M190">
        <f t="shared" si="16"/>
        <v>0</v>
      </c>
      <c r="N190">
        <f t="shared" si="14"/>
        <v>0</v>
      </c>
      <c r="P190" t="e">
        <f>INDEX(Items!B$2:B$1032,MATCH($O190,Items!$A$2:$A$1032,0))</f>
        <v>#N/A</v>
      </c>
      <c r="Q190" t="e">
        <f>INDEX(Items!C$2:C$1032,MATCH($O190,Items!$A$2:$A$1032,0))</f>
        <v>#N/A</v>
      </c>
      <c r="R190" t="e">
        <f>INDEX(Items!D$2:D$1032,MATCH($O190,Items!$A$2:$A$1032,0))</f>
        <v>#N/A</v>
      </c>
    </row>
    <row r="191" spans="1:18" x14ac:dyDescent="0.25">
      <c r="A191">
        <f t="shared" si="12"/>
        <v>1</v>
      </c>
      <c r="B191" t="str">
        <f t="shared" si="13"/>
        <v/>
      </c>
      <c r="C191">
        <f t="shared" si="15"/>
        <v>1</v>
      </c>
      <c r="D191" s="4"/>
      <c r="E191" t="s">
        <v>18</v>
      </c>
      <c r="F191" t="str">
        <f>INDEX(Establishment!B$2:B$1005,MATCH($E191,Establishment!$A$2:$A$1005,0))</f>
        <v xml:space="preserve"> </v>
      </c>
      <c r="G191" t="str">
        <f>INDEX(Establishment!C$2:C$1005,MATCH($E191,Establishment!$A$2:$A$1005,0))</f>
        <v xml:space="preserve"> </v>
      </c>
      <c r="M191">
        <f t="shared" si="16"/>
        <v>0</v>
      </c>
      <c r="N191">
        <f t="shared" si="14"/>
        <v>0</v>
      </c>
      <c r="P191" t="e">
        <f>INDEX(Items!B$2:B$1032,MATCH($O191,Items!$A$2:$A$1032,0))</f>
        <v>#N/A</v>
      </c>
      <c r="Q191" t="e">
        <f>INDEX(Items!C$2:C$1032,MATCH($O191,Items!$A$2:$A$1032,0))</f>
        <v>#N/A</v>
      </c>
      <c r="R191" t="e">
        <f>INDEX(Items!D$2:D$1032,MATCH($O191,Items!$A$2:$A$1032,0))</f>
        <v>#N/A</v>
      </c>
    </row>
    <row r="192" spans="1:18" x14ac:dyDescent="0.25">
      <c r="A192">
        <f t="shared" si="12"/>
        <v>1</v>
      </c>
      <c r="B192" t="str">
        <f t="shared" si="13"/>
        <v/>
      </c>
      <c r="C192">
        <f t="shared" si="15"/>
        <v>1</v>
      </c>
      <c r="D192" s="4"/>
      <c r="E192" t="s">
        <v>18</v>
      </c>
      <c r="F192" t="str">
        <f>INDEX(Establishment!B$2:B$1005,MATCH($E192,Establishment!$A$2:$A$1005,0))</f>
        <v xml:space="preserve"> </v>
      </c>
      <c r="G192" t="str">
        <f>INDEX(Establishment!C$2:C$1005,MATCH($E192,Establishment!$A$2:$A$1005,0))</f>
        <v xml:space="preserve"> </v>
      </c>
      <c r="M192">
        <f t="shared" si="16"/>
        <v>0</v>
      </c>
      <c r="N192">
        <f t="shared" si="14"/>
        <v>0</v>
      </c>
      <c r="P192" t="e">
        <f>INDEX(Items!B$2:B$1032,MATCH($O192,Items!$A$2:$A$1032,0))</f>
        <v>#N/A</v>
      </c>
      <c r="Q192" t="e">
        <f>INDEX(Items!C$2:C$1032,MATCH($O192,Items!$A$2:$A$1032,0))</f>
        <v>#N/A</v>
      </c>
      <c r="R192" t="e">
        <f>INDEX(Items!D$2:D$1032,MATCH($O192,Items!$A$2:$A$1032,0))</f>
        <v>#N/A</v>
      </c>
    </row>
    <row r="193" spans="1:18" x14ac:dyDescent="0.25">
      <c r="A193">
        <f t="shared" si="12"/>
        <v>1</v>
      </c>
      <c r="B193" t="str">
        <f t="shared" si="13"/>
        <v/>
      </c>
      <c r="C193">
        <f t="shared" si="15"/>
        <v>1</v>
      </c>
      <c r="D193" s="4"/>
      <c r="E193" t="s">
        <v>18</v>
      </c>
      <c r="F193" t="str">
        <f>INDEX(Establishment!B$2:B$1005,MATCH($E193,Establishment!$A$2:$A$1005,0))</f>
        <v xml:space="preserve"> </v>
      </c>
      <c r="G193" t="str">
        <f>INDEX(Establishment!C$2:C$1005,MATCH($E193,Establishment!$A$2:$A$1005,0))</f>
        <v xml:space="preserve"> </v>
      </c>
      <c r="M193">
        <f t="shared" si="16"/>
        <v>0</v>
      </c>
      <c r="N193">
        <f t="shared" si="14"/>
        <v>0</v>
      </c>
      <c r="P193" t="e">
        <f>INDEX(Items!B$2:B$1032,MATCH($O193,Items!$A$2:$A$1032,0))</f>
        <v>#N/A</v>
      </c>
      <c r="Q193" t="e">
        <f>INDEX(Items!C$2:C$1032,MATCH($O193,Items!$A$2:$A$1032,0))</f>
        <v>#N/A</v>
      </c>
      <c r="R193" t="e">
        <f>INDEX(Items!D$2:D$1032,MATCH($O193,Items!$A$2:$A$1032,0))</f>
        <v>#N/A</v>
      </c>
    </row>
    <row r="194" spans="1:18" x14ac:dyDescent="0.25">
      <c r="A194">
        <f t="shared" ref="A194:A257" si="17">IF(OR(D194&lt;&gt;D193,D194=""),1,IF(NOT(AND(E194=E193,F194=F193,G194=G193)),A193+1,IF(OR(H194="",AND(H194&lt;&gt;"",H194&lt;&gt;H193,H193&lt;&gt;"")),A193,A193+1)))</f>
        <v>1</v>
      </c>
      <c r="B194" t="str">
        <f t="shared" ref="B194:B257" si="18">IF(D194&lt;&gt;"",TEXT(D194,"YYYYMMDD")&amp;CHAR(64+A194),"")</f>
        <v/>
      </c>
      <c r="C194">
        <f t="shared" si="15"/>
        <v>1</v>
      </c>
      <c r="D194" s="4"/>
      <c r="E194" t="s">
        <v>18</v>
      </c>
      <c r="F194" t="str">
        <f>INDEX(Establishment!B$2:B$1005,MATCH($E194,Establishment!$A$2:$A$1005,0))</f>
        <v xml:space="preserve"> </v>
      </c>
      <c r="G194" t="str">
        <f>INDEX(Establishment!C$2:C$1005,MATCH($E194,Establishment!$A$2:$A$1005,0))</f>
        <v xml:space="preserve"> </v>
      </c>
      <c r="M194">
        <f t="shared" si="16"/>
        <v>0</v>
      </c>
      <c r="N194">
        <f t="shared" si="14"/>
        <v>0</v>
      </c>
      <c r="P194" t="e">
        <f>INDEX(Items!B$2:B$1032,MATCH($O194,Items!$A$2:$A$1032,0))</f>
        <v>#N/A</v>
      </c>
      <c r="Q194" t="e">
        <f>INDEX(Items!C$2:C$1032,MATCH($O194,Items!$A$2:$A$1032,0))</f>
        <v>#N/A</v>
      </c>
      <c r="R194" t="e">
        <f>INDEX(Items!D$2:D$1032,MATCH($O194,Items!$A$2:$A$1032,0))</f>
        <v>#N/A</v>
      </c>
    </row>
    <row r="195" spans="1:18" x14ac:dyDescent="0.25">
      <c r="A195">
        <f t="shared" si="17"/>
        <v>1</v>
      </c>
      <c r="B195" t="str">
        <f t="shared" si="18"/>
        <v/>
      </c>
      <c r="C195">
        <f t="shared" si="15"/>
        <v>1</v>
      </c>
      <c r="D195" s="4"/>
      <c r="E195" t="s">
        <v>18</v>
      </c>
      <c r="F195" t="str">
        <f>INDEX(Establishment!B$2:B$1005,MATCH($E195,Establishment!$A$2:$A$1005,0))</f>
        <v xml:space="preserve"> </v>
      </c>
      <c r="G195" t="str">
        <f>INDEX(Establishment!C$2:C$1005,MATCH($E195,Establishment!$A$2:$A$1005,0))</f>
        <v xml:space="preserve"> </v>
      </c>
      <c r="M195">
        <f t="shared" si="16"/>
        <v>0</v>
      </c>
      <c r="N195">
        <f t="shared" ref="N195:N258" si="19">IF(B195=B194,N194+M195,M195)</f>
        <v>0</v>
      </c>
      <c r="P195" t="e">
        <f>INDEX(Items!B$2:B$1032,MATCH($O195,Items!$A$2:$A$1032,0))</f>
        <v>#N/A</v>
      </c>
      <c r="Q195" t="e">
        <f>INDEX(Items!C$2:C$1032,MATCH($O195,Items!$A$2:$A$1032,0))</f>
        <v>#N/A</v>
      </c>
      <c r="R195" t="e">
        <f>INDEX(Items!D$2:D$1032,MATCH($O195,Items!$A$2:$A$1032,0))</f>
        <v>#N/A</v>
      </c>
    </row>
    <row r="196" spans="1:18" x14ac:dyDescent="0.25">
      <c r="A196">
        <f t="shared" si="17"/>
        <v>1</v>
      </c>
      <c r="B196" t="str">
        <f t="shared" si="18"/>
        <v/>
      </c>
      <c r="C196">
        <f t="shared" si="15"/>
        <v>1</v>
      </c>
      <c r="D196" s="4"/>
      <c r="E196" t="s">
        <v>18</v>
      </c>
      <c r="F196" t="str">
        <f>INDEX(Establishment!B$2:B$1005,MATCH($E196,Establishment!$A$2:$A$1005,0))</f>
        <v xml:space="preserve"> </v>
      </c>
      <c r="G196" t="str">
        <f>INDEX(Establishment!C$2:C$1005,MATCH($E196,Establishment!$A$2:$A$1005,0))</f>
        <v xml:space="preserve"> </v>
      </c>
      <c r="M196">
        <f t="shared" si="16"/>
        <v>0</v>
      </c>
      <c r="N196">
        <f t="shared" si="19"/>
        <v>0</v>
      </c>
      <c r="P196" t="e">
        <f>INDEX(Items!B$2:B$1032,MATCH($O196,Items!$A$2:$A$1032,0))</f>
        <v>#N/A</v>
      </c>
      <c r="Q196" t="e">
        <f>INDEX(Items!C$2:C$1032,MATCH($O196,Items!$A$2:$A$1032,0))</f>
        <v>#N/A</v>
      </c>
      <c r="R196" t="e">
        <f>INDEX(Items!D$2:D$1032,MATCH($O196,Items!$A$2:$A$1032,0))</f>
        <v>#N/A</v>
      </c>
    </row>
    <row r="197" spans="1:18" x14ac:dyDescent="0.25">
      <c r="A197">
        <f t="shared" si="17"/>
        <v>1</v>
      </c>
      <c r="B197" t="str">
        <f t="shared" si="18"/>
        <v/>
      </c>
      <c r="C197">
        <f t="shared" si="15"/>
        <v>1</v>
      </c>
      <c r="D197" s="4"/>
      <c r="E197" t="s">
        <v>18</v>
      </c>
      <c r="F197" t="str">
        <f>INDEX(Establishment!B$2:B$1005,MATCH($E197,Establishment!$A$2:$A$1005,0))</f>
        <v xml:space="preserve"> </v>
      </c>
      <c r="G197" t="str">
        <f>INDEX(Establishment!C$2:C$1005,MATCH($E197,Establishment!$A$2:$A$1005,0))</f>
        <v xml:space="preserve"> </v>
      </c>
      <c r="M197">
        <f t="shared" si="16"/>
        <v>0</v>
      </c>
      <c r="N197">
        <f t="shared" si="19"/>
        <v>0</v>
      </c>
      <c r="P197" t="e">
        <f>INDEX(Items!B$2:B$1032,MATCH($O197,Items!$A$2:$A$1032,0))</f>
        <v>#N/A</v>
      </c>
      <c r="Q197" t="e">
        <f>INDEX(Items!C$2:C$1032,MATCH($O197,Items!$A$2:$A$1032,0))</f>
        <v>#N/A</v>
      </c>
      <c r="R197" t="e">
        <f>INDEX(Items!D$2:D$1032,MATCH($O197,Items!$A$2:$A$1032,0))</f>
        <v>#N/A</v>
      </c>
    </row>
    <row r="198" spans="1:18" x14ac:dyDescent="0.25">
      <c r="A198">
        <f t="shared" si="17"/>
        <v>1</v>
      </c>
      <c r="B198" t="str">
        <f t="shared" si="18"/>
        <v/>
      </c>
      <c r="C198">
        <f t="shared" si="15"/>
        <v>1</v>
      </c>
      <c r="D198" s="4"/>
      <c r="E198" t="s">
        <v>18</v>
      </c>
      <c r="F198" t="str">
        <f>INDEX(Establishment!B$2:B$1005,MATCH($E198,Establishment!$A$2:$A$1005,0))</f>
        <v xml:space="preserve"> </v>
      </c>
      <c r="G198" t="str">
        <f>INDEX(Establishment!C$2:C$1005,MATCH($E198,Establishment!$A$2:$A$1005,0))</f>
        <v xml:space="preserve"> </v>
      </c>
      <c r="M198">
        <f t="shared" si="16"/>
        <v>0</v>
      </c>
      <c r="N198">
        <f t="shared" si="19"/>
        <v>0</v>
      </c>
      <c r="P198" t="e">
        <f>INDEX(Items!B$2:B$1032,MATCH($O198,Items!$A$2:$A$1032,0))</f>
        <v>#N/A</v>
      </c>
      <c r="Q198" t="e">
        <f>INDEX(Items!C$2:C$1032,MATCH($O198,Items!$A$2:$A$1032,0))</f>
        <v>#N/A</v>
      </c>
      <c r="R198" t="e">
        <f>INDEX(Items!D$2:D$1032,MATCH($O198,Items!$A$2:$A$1032,0))</f>
        <v>#N/A</v>
      </c>
    </row>
    <row r="199" spans="1:18" x14ac:dyDescent="0.25">
      <c r="A199">
        <f t="shared" si="17"/>
        <v>1</v>
      </c>
      <c r="B199" t="str">
        <f t="shared" si="18"/>
        <v/>
      </c>
      <c r="C199">
        <f t="shared" si="15"/>
        <v>1</v>
      </c>
      <c r="D199" s="4"/>
      <c r="E199" t="s">
        <v>18</v>
      </c>
      <c r="F199" t="str">
        <f>INDEX(Establishment!B$2:B$1005,MATCH($E199,Establishment!$A$2:$A$1005,0))</f>
        <v xml:space="preserve"> </v>
      </c>
      <c r="G199" t="str">
        <f>INDEX(Establishment!C$2:C$1005,MATCH($E199,Establishment!$A$2:$A$1005,0))</f>
        <v xml:space="preserve"> </v>
      </c>
      <c r="M199">
        <f t="shared" si="16"/>
        <v>0</v>
      </c>
      <c r="N199">
        <f t="shared" si="19"/>
        <v>0</v>
      </c>
      <c r="P199" t="e">
        <f>INDEX(Items!B$2:B$1032,MATCH($O199,Items!$A$2:$A$1032,0))</f>
        <v>#N/A</v>
      </c>
      <c r="Q199" t="e">
        <f>INDEX(Items!C$2:C$1032,MATCH($O199,Items!$A$2:$A$1032,0))</f>
        <v>#N/A</v>
      </c>
      <c r="R199" t="e">
        <f>INDEX(Items!D$2:D$1032,MATCH($O199,Items!$A$2:$A$1032,0))</f>
        <v>#N/A</v>
      </c>
    </row>
    <row r="200" spans="1:18" x14ac:dyDescent="0.25">
      <c r="A200">
        <f t="shared" si="17"/>
        <v>1</v>
      </c>
      <c r="B200" t="str">
        <f t="shared" si="18"/>
        <v/>
      </c>
      <c r="C200">
        <f t="shared" si="15"/>
        <v>1</v>
      </c>
      <c r="D200" s="4"/>
      <c r="E200" t="s">
        <v>18</v>
      </c>
      <c r="F200" t="str">
        <f>INDEX(Establishment!B$2:B$1005,MATCH($E200,Establishment!$A$2:$A$1005,0))</f>
        <v xml:space="preserve"> </v>
      </c>
      <c r="G200" t="str">
        <f>INDEX(Establishment!C$2:C$1005,MATCH($E200,Establishment!$A$2:$A$1005,0))</f>
        <v xml:space="preserve"> </v>
      </c>
      <c r="M200">
        <f t="shared" si="16"/>
        <v>0</v>
      </c>
      <c r="N200">
        <f t="shared" si="19"/>
        <v>0</v>
      </c>
      <c r="P200" t="e">
        <f>INDEX(Items!B$2:B$1032,MATCH($O200,Items!$A$2:$A$1032,0))</f>
        <v>#N/A</v>
      </c>
      <c r="Q200" t="e">
        <f>INDEX(Items!C$2:C$1032,MATCH($O200,Items!$A$2:$A$1032,0))</f>
        <v>#N/A</v>
      </c>
      <c r="R200" t="e">
        <f>INDEX(Items!D$2:D$1032,MATCH($O200,Items!$A$2:$A$1032,0))</f>
        <v>#N/A</v>
      </c>
    </row>
    <row r="201" spans="1:18" x14ac:dyDescent="0.25">
      <c r="A201">
        <f t="shared" si="17"/>
        <v>1</v>
      </c>
      <c r="B201" t="str">
        <f t="shared" si="18"/>
        <v/>
      </c>
      <c r="C201">
        <f t="shared" si="15"/>
        <v>1</v>
      </c>
      <c r="D201" s="4"/>
      <c r="E201" t="s">
        <v>18</v>
      </c>
      <c r="F201" t="str">
        <f>INDEX(Establishment!B$2:B$1005,MATCH($E201,Establishment!$A$2:$A$1005,0))</f>
        <v xml:space="preserve"> </v>
      </c>
      <c r="G201" t="str">
        <f>INDEX(Establishment!C$2:C$1005,MATCH($E201,Establishment!$A$2:$A$1005,0))</f>
        <v xml:space="preserve"> </v>
      </c>
      <c r="M201">
        <f t="shared" si="16"/>
        <v>0</v>
      </c>
      <c r="N201">
        <f t="shared" si="19"/>
        <v>0</v>
      </c>
      <c r="P201" t="e">
        <f>INDEX(Items!B$2:B$1032,MATCH($O201,Items!$A$2:$A$1032,0))</f>
        <v>#N/A</v>
      </c>
      <c r="Q201" t="e">
        <f>INDEX(Items!C$2:C$1032,MATCH($O201,Items!$A$2:$A$1032,0))</f>
        <v>#N/A</v>
      </c>
      <c r="R201" t="e">
        <f>INDEX(Items!D$2:D$1032,MATCH($O201,Items!$A$2:$A$1032,0))</f>
        <v>#N/A</v>
      </c>
    </row>
    <row r="202" spans="1:18" x14ac:dyDescent="0.25">
      <c r="A202">
        <f t="shared" si="17"/>
        <v>1</v>
      </c>
      <c r="B202" t="str">
        <f t="shared" si="18"/>
        <v/>
      </c>
      <c r="C202">
        <f t="shared" ref="C202:C265" si="20">IF(OR(B202="",B202&lt;&gt;B201),1,C201+1)</f>
        <v>1</v>
      </c>
      <c r="D202" s="4"/>
      <c r="E202" t="s">
        <v>18</v>
      </c>
      <c r="F202" t="str">
        <f>INDEX(Establishment!B$2:B$1005,MATCH($E202,Establishment!$A$2:$A$1005,0))</f>
        <v xml:space="preserve"> </v>
      </c>
      <c r="G202" t="str">
        <f>INDEX(Establishment!C$2:C$1005,MATCH($E202,Establishment!$A$2:$A$1005,0))</f>
        <v xml:space="preserve"> </v>
      </c>
      <c r="M202">
        <f t="shared" ref="M202:M265" si="21">K202*L202</f>
        <v>0</v>
      </c>
      <c r="N202">
        <f t="shared" si="19"/>
        <v>0</v>
      </c>
      <c r="P202" t="e">
        <f>INDEX(Items!B$2:B$1032,MATCH($O202,Items!$A$2:$A$1032,0))</f>
        <v>#N/A</v>
      </c>
      <c r="Q202" t="e">
        <f>INDEX(Items!C$2:C$1032,MATCH($O202,Items!$A$2:$A$1032,0))</f>
        <v>#N/A</v>
      </c>
      <c r="R202" t="e">
        <f>INDEX(Items!D$2:D$1032,MATCH($O202,Items!$A$2:$A$1032,0))</f>
        <v>#N/A</v>
      </c>
    </row>
    <row r="203" spans="1:18" x14ac:dyDescent="0.25">
      <c r="A203">
        <f t="shared" si="17"/>
        <v>1</v>
      </c>
      <c r="B203" t="str">
        <f t="shared" si="18"/>
        <v/>
      </c>
      <c r="C203">
        <f t="shared" si="20"/>
        <v>1</v>
      </c>
      <c r="D203" s="4"/>
      <c r="E203" t="s">
        <v>18</v>
      </c>
      <c r="F203" t="str">
        <f>INDEX(Establishment!B$2:B$1005,MATCH($E203,Establishment!$A$2:$A$1005,0))</f>
        <v xml:space="preserve"> </v>
      </c>
      <c r="G203" t="str">
        <f>INDEX(Establishment!C$2:C$1005,MATCH($E203,Establishment!$A$2:$A$1005,0))</f>
        <v xml:space="preserve"> </v>
      </c>
      <c r="M203">
        <f t="shared" si="21"/>
        <v>0</v>
      </c>
      <c r="N203">
        <f t="shared" si="19"/>
        <v>0</v>
      </c>
      <c r="P203" t="e">
        <f>INDEX(Items!B$2:B$1032,MATCH($O203,Items!$A$2:$A$1032,0))</f>
        <v>#N/A</v>
      </c>
      <c r="Q203" t="e">
        <f>INDEX(Items!C$2:C$1032,MATCH($O203,Items!$A$2:$A$1032,0))</f>
        <v>#N/A</v>
      </c>
      <c r="R203" t="e">
        <f>INDEX(Items!D$2:D$1032,MATCH($O203,Items!$A$2:$A$1032,0))</f>
        <v>#N/A</v>
      </c>
    </row>
    <row r="204" spans="1:18" x14ac:dyDescent="0.25">
      <c r="A204">
        <f t="shared" si="17"/>
        <v>1</v>
      </c>
      <c r="B204" t="str">
        <f t="shared" si="18"/>
        <v/>
      </c>
      <c r="C204">
        <f t="shared" si="20"/>
        <v>1</v>
      </c>
      <c r="D204" s="4"/>
      <c r="E204" t="s">
        <v>18</v>
      </c>
      <c r="F204" t="str">
        <f>INDEX(Establishment!B$2:B$1005,MATCH($E204,Establishment!$A$2:$A$1005,0))</f>
        <v xml:space="preserve"> </v>
      </c>
      <c r="G204" t="str">
        <f>INDEX(Establishment!C$2:C$1005,MATCH($E204,Establishment!$A$2:$A$1005,0))</f>
        <v xml:space="preserve"> </v>
      </c>
      <c r="M204">
        <f t="shared" si="21"/>
        <v>0</v>
      </c>
      <c r="N204">
        <f t="shared" si="19"/>
        <v>0</v>
      </c>
      <c r="P204" t="e">
        <f>INDEX(Items!B$2:B$1032,MATCH($O204,Items!$A$2:$A$1032,0))</f>
        <v>#N/A</v>
      </c>
      <c r="Q204" t="e">
        <f>INDEX(Items!C$2:C$1032,MATCH($O204,Items!$A$2:$A$1032,0))</f>
        <v>#N/A</v>
      </c>
      <c r="R204" t="e">
        <f>INDEX(Items!D$2:D$1032,MATCH($O204,Items!$A$2:$A$1032,0))</f>
        <v>#N/A</v>
      </c>
    </row>
    <row r="205" spans="1:18" x14ac:dyDescent="0.25">
      <c r="A205">
        <f t="shared" si="17"/>
        <v>1</v>
      </c>
      <c r="B205" t="str">
        <f t="shared" si="18"/>
        <v/>
      </c>
      <c r="C205">
        <f t="shared" si="20"/>
        <v>1</v>
      </c>
      <c r="D205" s="4"/>
      <c r="E205" t="s">
        <v>18</v>
      </c>
      <c r="F205" t="str">
        <f>INDEX(Establishment!B$2:B$1005,MATCH($E205,Establishment!$A$2:$A$1005,0))</f>
        <v xml:space="preserve"> </v>
      </c>
      <c r="G205" t="str">
        <f>INDEX(Establishment!C$2:C$1005,MATCH($E205,Establishment!$A$2:$A$1005,0))</f>
        <v xml:space="preserve"> </v>
      </c>
      <c r="M205">
        <f t="shared" si="21"/>
        <v>0</v>
      </c>
      <c r="N205">
        <f t="shared" si="19"/>
        <v>0</v>
      </c>
      <c r="P205" t="e">
        <f>INDEX(Items!B$2:B$1032,MATCH($O205,Items!$A$2:$A$1032,0))</f>
        <v>#N/A</v>
      </c>
      <c r="Q205" t="e">
        <f>INDEX(Items!C$2:C$1032,MATCH($O205,Items!$A$2:$A$1032,0))</f>
        <v>#N/A</v>
      </c>
      <c r="R205" t="e">
        <f>INDEX(Items!D$2:D$1032,MATCH($O205,Items!$A$2:$A$1032,0))</f>
        <v>#N/A</v>
      </c>
    </row>
    <row r="206" spans="1:18" x14ac:dyDescent="0.25">
      <c r="A206">
        <f t="shared" si="17"/>
        <v>1</v>
      </c>
      <c r="B206" t="str">
        <f t="shared" si="18"/>
        <v/>
      </c>
      <c r="C206">
        <f t="shared" si="20"/>
        <v>1</v>
      </c>
      <c r="D206" s="4"/>
      <c r="E206" t="s">
        <v>18</v>
      </c>
      <c r="F206" t="str">
        <f>INDEX(Establishment!B$2:B$1005,MATCH($E206,Establishment!$A$2:$A$1005,0))</f>
        <v xml:space="preserve"> </v>
      </c>
      <c r="G206" t="str">
        <f>INDEX(Establishment!C$2:C$1005,MATCH($E206,Establishment!$A$2:$A$1005,0))</f>
        <v xml:space="preserve"> </v>
      </c>
      <c r="M206">
        <f t="shared" si="21"/>
        <v>0</v>
      </c>
      <c r="N206">
        <f t="shared" si="19"/>
        <v>0</v>
      </c>
      <c r="P206" t="e">
        <f>INDEX(Items!B$2:B$1032,MATCH($O206,Items!$A$2:$A$1032,0))</f>
        <v>#N/A</v>
      </c>
      <c r="Q206" t="e">
        <f>INDEX(Items!C$2:C$1032,MATCH($O206,Items!$A$2:$A$1032,0))</f>
        <v>#N/A</v>
      </c>
      <c r="R206" t="e">
        <f>INDEX(Items!D$2:D$1032,MATCH($O206,Items!$A$2:$A$1032,0))</f>
        <v>#N/A</v>
      </c>
    </row>
    <row r="207" spans="1:18" x14ac:dyDescent="0.25">
      <c r="A207">
        <f t="shared" si="17"/>
        <v>1</v>
      </c>
      <c r="B207" t="str">
        <f t="shared" si="18"/>
        <v/>
      </c>
      <c r="C207">
        <f t="shared" si="20"/>
        <v>1</v>
      </c>
      <c r="D207" s="4"/>
      <c r="E207" t="s">
        <v>18</v>
      </c>
      <c r="F207" t="str">
        <f>INDEX(Establishment!B$2:B$1005,MATCH($E207,Establishment!$A$2:$A$1005,0))</f>
        <v xml:space="preserve"> </v>
      </c>
      <c r="G207" t="str">
        <f>INDEX(Establishment!C$2:C$1005,MATCH($E207,Establishment!$A$2:$A$1005,0))</f>
        <v xml:space="preserve"> </v>
      </c>
      <c r="M207">
        <f t="shared" si="21"/>
        <v>0</v>
      </c>
      <c r="N207">
        <f t="shared" si="19"/>
        <v>0</v>
      </c>
      <c r="P207" t="e">
        <f>INDEX(Items!B$2:B$1032,MATCH($O207,Items!$A$2:$A$1032,0))</f>
        <v>#N/A</v>
      </c>
      <c r="Q207" t="e">
        <f>INDEX(Items!C$2:C$1032,MATCH($O207,Items!$A$2:$A$1032,0))</f>
        <v>#N/A</v>
      </c>
      <c r="R207" t="e">
        <f>INDEX(Items!D$2:D$1032,MATCH($O207,Items!$A$2:$A$1032,0))</f>
        <v>#N/A</v>
      </c>
    </row>
    <row r="208" spans="1:18" x14ac:dyDescent="0.25">
      <c r="A208">
        <f t="shared" si="17"/>
        <v>1</v>
      </c>
      <c r="B208" t="str">
        <f t="shared" si="18"/>
        <v/>
      </c>
      <c r="C208">
        <f t="shared" si="20"/>
        <v>1</v>
      </c>
      <c r="D208" s="4"/>
      <c r="E208" t="s">
        <v>18</v>
      </c>
      <c r="F208" t="str">
        <f>INDEX(Establishment!B$2:B$1005,MATCH($E208,Establishment!$A$2:$A$1005,0))</f>
        <v xml:space="preserve"> </v>
      </c>
      <c r="G208" t="str">
        <f>INDEX(Establishment!C$2:C$1005,MATCH($E208,Establishment!$A$2:$A$1005,0))</f>
        <v xml:space="preserve"> </v>
      </c>
      <c r="M208">
        <f t="shared" si="21"/>
        <v>0</v>
      </c>
      <c r="N208">
        <f t="shared" si="19"/>
        <v>0</v>
      </c>
      <c r="P208" t="e">
        <f>INDEX(Items!B$2:B$1032,MATCH($O208,Items!$A$2:$A$1032,0))</f>
        <v>#N/A</v>
      </c>
      <c r="Q208" t="e">
        <f>INDEX(Items!C$2:C$1032,MATCH($O208,Items!$A$2:$A$1032,0))</f>
        <v>#N/A</v>
      </c>
      <c r="R208" t="e">
        <f>INDEX(Items!D$2:D$1032,MATCH($O208,Items!$A$2:$A$1032,0))</f>
        <v>#N/A</v>
      </c>
    </row>
    <row r="209" spans="1:18" x14ac:dyDescent="0.25">
      <c r="A209">
        <f t="shared" si="17"/>
        <v>1</v>
      </c>
      <c r="B209" t="str">
        <f t="shared" si="18"/>
        <v/>
      </c>
      <c r="C209">
        <f t="shared" si="20"/>
        <v>1</v>
      </c>
      <c r="D209" s="4"/>
      <c r="E209" t="s">
        <v>18</v>
      </c>
      <c r="F209" t="str">
        <f>INDEX(Establishment!B$2:B$1005,MATCH($E209,Establishment!$A$2:$A$1005,0))</f>
        <v xml:space="preserve"> </v>
      </c>
      <c r="G209" t="str">
        <f>INDEX(Establishment!C$2:C$1005,MATCH($E209,Establishment!$A$2:$A$1005,0))</f>
        <v xml:space="preserve"> </v>
      </c>
      <c r="M209">
        <f t="shared" si="21"/>
        <v>0</v>
      </c>
      <c r="N209">
        <f t="shared" si="19"/>
        <v>0</v>
      </c>
      <c r="P209" t="e">
        <f>INDEX(Items!B$2:B$1032,MATCH($O209,Items!$A$2:$A$1032,0))</f>
        <v>#N/A</v>
      </c>
      <c r="Q209" t="e">
        <f>INDEX(Items!C$2:C$1032,MATCH($O209,Items!$A$2:$A$1032,0))</f>
        <v>#N/A</v>
      </c>
      <c r="R209" t="e">
        <f>INDEX(Items!D$2:D$1032,MATCH($O209,Items!$A$2:$A$1032,0))</f>
        <v>#N/A</v>
      </c>
    </row>
    <row r="210" spans="1:18" x14ac:dyDescent="0.25">
      <c r="A210">
        <f t="shared" si="17"/>
        <v>1</v>
      </c>
      <c r="B210" t="str">
        <f t="shared" si="18"/>
        <v/>
      </c>
      <c r="C210">
        <f t="shared" si="20"/>
        <v>1</v>
      </c>
      <c r="D210" s="4"/>
      <c r="E210" t="s">
        <v>18</v>
      </c>
      <c r="F210" t="str">
        <f>INDEX(Establishment!B$2:B$1005,MATCH($E210,Establishment!$A$2:$A$1005,0))</f>
        <v xml:space="preserve"> </v>
      </c>
      <c r="G210" t="str">
        <f>INDEX(Establishment!C$2:C$1005,MATCH($E210,Establishment!$A$2:$A$1005,0))</f>
        <v xml:space="preserve"> </v>
      </c>
      <c r="M210">
        <f t="shared" si="21"/>
        <v>0</v>
      </c>
      <c r="N210">
        <f t="shared" si="19"/>
        <v>0</v>
      </c>
      <c r="P210" t="e">
        <f>INDEX(Items!B$2:B$1032,MATCH($O210,Items!$A$2:$A$1032,0))</f>
        <v>#N/A</v>
      </c>
      <c r="Q210" t="e">
        <f>INDEX(Items!C$2:C$1032,MATCH($O210,Items!$A$2:$A$1032,0))</f>
        <v>#N/A</v>
      </c>
      <c r="R210" t="e">
        <f>INDEX(Items!D$2:D$1032,MATCH($O210,Items!$A$2:$A$1032,0))</f>
        <v>#N/A</v>
      </c>
    </row>
    <row r="211" spans="1:18" x14ac:dyDescent="0.25">
      <c r="A211">
        <f t="shared" si="17"/>
        <v>1</v>
      </c>
      <c r="B211" t="str">
        <f t="shared" si="18"/>
        <v/>
      </c>
      <c r="C211">
        <f t="shared" si="20"/>
        <v>1</v>
      </c>
      <c r="D211" s="4"/>
      <c r="E211" t="s">
        <v>18</v>
      </c>
      <c r="F211" t="str">
        <f>INDEX(Establishment!B$2:B$1005,MATCH($E211,Establishment!$A$2:$A$1005,0))</f>
        <v xml:space="preserve"> </v>
      </c>
      <c r="G211" t="str">
        <f>INDEX(Establishment!C$2:C$1005,MATCH($E211,Establishment!$A$2:$A$1005,0))</f>
        <v xml:space="preserve"> </v>
      </c>
      <c r="M211">
        <f t="shared" si="21"/>
        <v>0</v>
      </c>
      <c r="N211">
        <f t="shared" si="19"/>
        <v>0</v>
      </c>
      <c r="P211" t="e">
        <f>INDEX(Items!B$2:B$1032,MATCH($O211,Items!$A$2:$A$1032,0))</f>
        <v>#N/A</v>
      </c>
      <c r="Q211" t="e">
        <f>INDEX(Items!C$2:C$1032,MATCH($O211,Items!$A$2:$A$1032,0))</f>
        <v>#N/A</v>
      </c>
      <c r="R211" t="e">
        <f>INDEX(Items!D$2:D$1032,MATCH($O211,Items!$A$2:$A$1032,0))</f>
        <v>#N/A</v>
      </c>
    </row>
    <row r="212" spans="1:18" x14ac:dyDescent="0.25">
      <c r="A212">
        <f t="shared" si="17"/>
        <v>1</v>
      </c>
      <c r="B212" t="str">
        <f t="shared" si="18"/>
        <v/>
      </c>
      <c r="C212">
        <f t="shared" si="20"/>
        <v>1</v>
      </c>
      <c r="D212" s="4"/>
      <c r="E212" t="s">
        <v>18</v>
      </c>
      <c r="F212" t="str">
        <f>INDEX(Establishment!B$2:B$1005,MATCH($E212,Establishment!$A$2:$A$1005,0))</f>
        <v xml:space="preserve"> </v>
      </c>
      <c r="G212" t="str">
        <f>INDEX(Establishment!C$2:C$1005,MATCH($E212,Establishment!$A$2:$A$1005,0))</f>
        <v xml:space="preserve"> </v>
      </c>
      <c r="M212">
        <f t="shared" si="21"/>
        <v>0</v>
      </c>
      <c r="N212">
        <f t="shared" si="19"/>
        <v>0</v>
      </c>
      <c r="P212" t="e">
        <f>INDEX(Items!B$2:B$1032,MATCH($O212,Items!$A$2:$A$1032,0))</f>
        <v>#N/A</v>
      </c>
      <c r="Q212" t="e">
        <f>INDEX(Items!C$2:C$1032,MATCH($O212,Items!$A$2:$A$1032,0))</f>
        <v>#N/A</v>
      </c>
      <c r="R212" t="e">
        <f>INDEX(Items!D$2:D$1032,MATCH($O212,Items!$A$2:$A$1032,0))</f>
        <v>#N/A</v>
      </c>
    </row>
    <row r="213" spans="1:18" x14ac:dyDescent="0.25">
      <c r="A213">
        <f t="shared" si="17"/>
        <v>1</v>
      </c>
      <c r="B213" t="str">
        <f t="shared" si="18"/>
        <v/>
      </c>
      <c r="C213">
        <f t="shared" si="20"/>
        <v>1</v>
      </c>
      <c r="D213" s="4"/>
      <c r="E213" t="s">
        <v>18</v>
      </c>
      <c r="F213" t="str">
        <f>INDEX(Establishment!B$2:B$1005,MATCH($E213,Establishment!$A$2:$A$1005,0))</f>
        <v xml:space="preserve"> </v>
      </c>
      <c r="G213" t="str">
        <f>INDEX(Establishment!C$2:C$1005,MATCH($E213,Establishment!$A$2:$A$1005,0))</f>
        <v xml:space="preserve"> </v>
      </c>
      <c r="M213">
        <f t="shared" si="21"/>
        <v>0</v>
      </c>
      <c r="N213">
        <f t="shared" si="19"/>
        <v>0</v>
      </c>
      <c r="P213" t="e">
        <f>INDEX(Items!B$2:B$1032,MATCH($O213,Items!$A$2:$A$1032,0))</f>
        <v>#N/A</v>
      </c>
      <c r="Q213" t="e">
        <f>INDEX(Items!C$2:C$1032,MATCH($O213,Items!$A$2:$A$1032,0))</f>
        <v>#N/A</v>
      </c>
      <c r="R213" t="e">
        <f>INDEX(Items!D$2:D$1032,MATCH($O213,Items!$A$2:$A$1032,0))</f>
        <v>#N/A</v>
      </c>
    </row>
    <row r="214" spans="1:18" x14ac:dyDescent="0.25">
      <c r="A214">
        <f t="shared" si="17"/>
        <v>1</v>
      </c>
      <c r="B214" t="str">
        <f t="shared" si="18"/>
        <v/>
      </c>
      <c r="C214">
        <f t="shared" si="20"/>
        <v>1</v>
      </c>
      <c r="D214" s="4"/>
      <c r="E214" t="s">
        <v>18</v>
      </c>
      <c r="F214" t="str">
        <f>INDEX(Establishment!B$2:B$1005,MATCH($E214,Establishment!$A$2:$A$1005,0))</f>
        <v xml:space="preserve"> </v>
      </c>
      <c r="G214" t="str">
        <f>INDEX(Establishment!C$2:C$1005,MATCH($E214,Establishment!$A$2:$A$1005,0))</f>
        <v xml:space="preserve"> </v>
      </c>
      <c r="M214">
        <f t="shared" si="21"/>
        <v>0</v>
      </c>
      <c r="N214">
        <f t="shared" si="19"/>
        <v>0</v>
      </c>
      <c r="P214" t="e">
        <f>INDEX(Items!B$2:B$1032,MATCH($O214,Items!$A$2:$A$1032,0))</f>
        <v>#N/A</v>
      </c>
      <c r="Q214" t="e">
        <f>INDEX(Items!C$2:C$1032,MATCH($O214,Items!$A$2:$A$1032,0))</f>
        <v>#N/A</v>
      </c>
      <c r="R214" t="e">
        <f>INDEX(Items!D$2:D$1032,MATCH($O214,Items!$A$2:$A$1032,0))</f>
        <v>#N/A</v>
      </c>
    </row>
    <row r="215" spans="1:18" x14ac:dyDescent="0.25">
      <c r="A215">
        <f t="shared" si="17"/>
        <v>1</v>
      </c>
      <c r="B215" t="str">
        <f t="shared" si="18"/>
        <v/>
      </c>
      <c r="C215">
        <f t="shared" si="20"/>
        <v>1</v>
      </c>
      <c r="D215" s="4"/>
      <c r="E215" t="s">
        <v>18</v>
      </c>
      <c r="F215" t="str">
        <f>INDEX(Establishment!B$2:B$1005,MATCH($E215,Establishment!$A$2:$A$1005,0))</f>
        <v xml:space="preserve"> </v>
      </c>
      <c r="G215" t="str">
        <f>INDEX(Establishment!C$2:C$1005,MATCH($E215,Establishment!$A$2:$A$1005,0))</f>
        <v xml:space="preserve"> </v>
      </c>
      <c r="M215">
        <f t="shared" si="21"/>
        <v>0</v>
      </c>
      <c r="N215">
        <f t="shared" si="19"/>
        <v>0</v>
      </c>
      <c r="P215" t="e">
        <f>INDEX(Items!B$2:B$1032,MATCH($O215,Items!$A$2:$A$1032,0))</f>
        <v>#N/A</v>
      </c>
      <c r="Q215" t="e">
        <f>INDEX(Items!C$2:C$1032,MATCH($O215,Items!$A$2:$A$1032,0))</f>
        <v>#N/A</v>
      </c>
      <c r="R215" t="e">
        <f>INDEX(Items!D$2:D$1032,MATCH($O215,Items!$A$2:$A$1032,0))</f>
        <v>#N/A</v>
      </c>
    </row>
    <row r="216" spans="1:18" x14ac:dyDescent="0.25">
      <c r="A216">
        <f t="shared" si="17"/>
        <v>1</v>
      </c>
      <c r="B216" t="str">
        <f t="shared" si="18"/>
        <v/>
      </c>
      <c r="C216">
        <f t="shared" si="20"/>
        <v>1</v>
      </c>
      <c r="D216" s="4"/>
      <c r="E216" t="s">
        <v>18</v>
      </c>
      <c r="F216" t="str">
        <f>INDEX(Establishment!B$2:B$1005,MATCH($E216,Establishment!$A$2:$A$1005,0))</f>
        <v xml:space="preserve"> </v>
      </c>
      <c r="G216" t="str">
        <f>INDEX(Establishment!C$2:C$1005,MATCH($E216,Establishment!$A$2:$A$1005,0))</f>
        <v xml:space="preserve"> </v>
      </c>
      <c r="M216">
        <f t="shared" si="21"/>
        <v>0</v>
      </c>
      <c r="N216">
        <f t="shared" si="19"/>
        <v>0</v>
      </c>
      <c r="P216" t="e">
        <f>INDEX(Items!B$2:B$1032,MATCH($O216,Items!$A$2:$A$1032,0))</f>
        <v>#N/A</v>
      </c>
      <c r="Q216" t="e">
        <f>INDEX(Items!C$2:C$1032,MATCH($O216,Items!$A$2:$A$1032,0))</f>
        <v>#N/A</v>
      </c>
      <c r="R216" t="e">
        <f>INDEX(Items!D$2:D$1032,MATCH($O216,Items!$A$2:$A$1032,0))</f>
        <v>#N/A</v>
      </c>
    </row>
    <row r="217" spans="1:18" x14ac:dyDescent="0.25">
      <c r="A217">
        <f t="shared" si="17"/>
        <v>1</v>
      </c>
      <c r="B217" t="str">
        <f t="shared" si="18"/>
        <v/>
      </c>
      <c r="C217">
        <f t="shared" si="20"/>
        <v>1</v>
      </c>
      <c r="D217" s="4"/>
      <c r="E217" t="s">
        <v>18</v>
      </c>
      <c r="F217" t="str">
        <f>INDEX(Establishment!B$2:B$1005,MATCH($E217,Establishment!$A$2:$A$1005,0))</f>
        <v xml:space="preserve"> </v>
      </c>
      <c r="G217" t="str">
        <f>INDEX(Establishment!C$2:C$1005,MATCH($E217,Establishment!$A$2:$A$1005,0))</f>
        <v xml:space="preserve"> </v>
      </c>
      <c r="M217">
        <f t="shared" si="21"/>
        <v>0</v>
      </c>
      <c r="N217">
        <f t="shared" si="19"/>
        <v>0</v>
      </c>
      <c r="P217" t="e">
        <f>INDEX(Items!B$2:B$1032,MATCH($O217,Items!$A$2:$A$1032,0))</f>
        <v>#N/A</v>
      </c>
      <c r="Q217" t="e">
        <f>INDEX(Items!C$2:C$1032,MATCH($O217,Items!$A$2:$A$1032,0))</f>
        <v>#N/A</v>
      </c>
      <c r="R217" t="e">
        <f>INDEX(Items!D$2:D$1032,MATCH($O217,Items!$A$2:$A$1032,0))</f>
        <v>#N/A</v>
      </c>
    </row>
    <row r="218" spans="1:18" x14ac:dyDescent="0.25">
      <c r="A218">
        <f t="shared" si="17"/>
        <v>1</v>
      </c>
      <c r="B218" t="str">
        <f t="shared" si="18"/>
        <v/>
      </c>
      <c r="C218">
        <f t="shared" si="20"/>
        <v>1</v>
      </c>
      <c r="D218" s="4"/>
      <c r="E218" t="s">
        <v>18</v>
      </c>
      <c r="F218" t="str">
        <f>INDEX(Establishment!B$2:B$1005,MATCH($E218,Establishment!$A$2:$A$1005,0))</f>
        <v xml:space="preserve"> </v>
      </c>
      <c r="G218" t="str">
        <f>INDEX(Establishment!C$2:C$1005,MATCH($E218,Establishment!$A$2:$A$1005,0))</f>
        <v xml:space="preserve"> </v>
      </c>
      <c r="M218">
        <f t="shared" si="21"/>
        <v>0</v>
      </c>
      <c r="N218">
        <f t="shared" si="19"/>
        <v>0</v>
      </c>
      <c r="P218" t="e">
        <f>INDEX(Items!B$2:B$1032,MATCH($O218,Items!$A$2:$A$1032,0))</f>
        <v>#N/A</v>
      </c>
      <c r="Q218" t="e">
        <f>INDEX(Items!C$2:C$1032,MATCH($O218,Items!$A$2:$A$1032,0))</f>
        <v>#N/A</v>
      </c>
      <c r="R218" t="e">
        <f>INDEX(Items!D$2:D$1032,MATCH($O218,Items!$A$2:$A$1032,0))</f>
        <v>#N/A</v>
      </c>
    </row>
    <row r="219" spans="1:18" x14ac:dyDescent="0.25">
      <c r="A219">
        <f t="shared" si="17"/>
        <v>1</v>
      </c>
      <c r="B219" t="str">
        <f t="shared" si="18"/>
        <v/>
      </c>
      <c r="C219">
        <f t="shared" si="20"/>
        <v>1</v>
      </c>
      <c r="D219" s="4"/>
      <c r="E219" t="s">
        <v>18</v>
      </c>
      <c r="F219" t="str">
        <f>INDEX(Establishment!B$2:B$1005,MATCH($E219,Establishment!$A$2:$A$1005,0))</f>
        <v xml:space="preserve"> </v>
      </c>
      <c r="G219" t="str">
        <f>INDEX(Establishment!C$2:C$1005,MATCH($E219,Establishment!$A$2:$A$1005,0))</f>
        <v xml:space="preserve"> </v>
      </c>
      <c r="M219">
        <f t="shared" si="21"/>
        <v>0</v>
      </c>
      <c r="N219">
        <f t="shared" si="19"/>
        <v>0</v>
      </c>
      <c r="P219" t="e">
        <f>INDEX(Items!B$2:B$1032,MATCH($O219,Items!$A$2:$A$1032,0))</f>
        <v>#N/A</v>
      </c>
      <c r="Q219" t="e">
        <f>INDEX(Items!C$2:C$1032,MATCH($O219,Items!$A$2:$A$1032,0))</f>
        <v>#N/A</v>
      </c>
      <c r="R219" t="e">
        <f>INDEX(Items!D$2:D$1032,MATCH($O219,Items!$A$2:$A$1032,0))</f>
        <v>#N/A</v>
      </c>
    </row>
    <row r="220" spans="1:18" x14ac:dyDescent="0.25">
      <c r="A220">
        <f t="shared" si="17"/>
        <v>1</v>
      </c>
      <c r="B220" t="str">
        <f t="shared" si="18"/>
        <v/>
      </c>
      <c r="C220">
        <f t="shared" si="20"/>
        <v>1</v>
      </c>
      <c r="D220" s="4"/>
      <c r="E220" t="s">
        <v>18</v>
      </c>
      <c r="F220" t="str">
        <f>INDEX(Establishment!B$2:B$1005,MATCH($E220,Establishment!$A$2:$A$1005,0))</f>
        <v xml:space="preserve"> </v>
      </c>
      <c r="G220" t="str">
        <f>INDEX(Establishment!C$2:C$1005,MATCH($E220,Establishment!$A$2:$A$1005,0))</f>
        <v xml:space="preserve"> </v>
      </c>
      <c r="M220">
        <f t="shared" si="21"/>
        <v>0</v>
      </c>
      <c r="N220">
        <f t="shared" si="19"/>
        <v>0</v>
      </c>
      <c r="P220" t="e">
        <f>INDEX(Items!B$2:B$1032,MATCH($O220,Items!$A$2:$A$1032,0))</f>
        <v>#N/A</v>
      </c>
      <c r="Q220" t="e">
        <f>INDEX(Items!C$2:C$1032,MATCH($O220,Items!$A$2:$A$1032,0))</f>
        <v>#N/A</v>
      </c>
      <c r="R220" t="e">
        <f>INDEX(Items!D$2:D$1032,MATCH($O220,Items!$A$2:$A$1032,0))</f>
        <v>#N/A</v>
      </c>
    </row>
    <row r="221" spans="1:18" x14ac:dyDescent="0.25">
      <c r="A221">
        <f t="shared" si="17"/>
        <v>1</v>
      </c>
      <c r="B221" t="str">
        <f t="shared" si="18"/>
        <v/>
      </c>
      <c r="C221">
        <f t="shared" si="20"/>
        <v>1</v>
      </c>
      <c r="D221" s="4"/>
      <c r="E221" t="s">
        <v>18</v>
      </c>
      <c r="F221" t="str">
        <f>INDEX(Establishment!B$2:B$1005,MATCH($E221,Establishment!$A$2:$A$1005,0))</f>
        <v xml:space="preserve"> </v>
      </c>
      <c r="G221" t="str">
        <f>INDEX(Establishment!C$2:C$1005,MATCH($E221,Establishment!$A$2:$A$1005,0))</f>
        <v xml:space="preserve"> </v>
      </c>
      <c r="M221">
        <f t="shared" si="21"/>
        <v>0</v>
      </c>
      <c r="N221">
        <f t="shared" si="19"/>
        <v>0</v>
      </c>
      <c r="P221" t="e">
        <f>INDEX(Items!B$2:B$1032,MATCH($O221,Items!$A$2:$A$1032,0))</f>
        <v>#N/A</v>
      </c>
      <c r="Q221" t="e">
        <f>INDEX(Items!C$2:C$1032,MATCH($O221,Items!$A$2:$A$1032,0))</f>
        <v>#N/A</v>
      </c>
      <c r="R221" t="e">
        <f>INDEX(Items!D$2:D$1032,MATCH($O221,Items!$A$2:$A$1032,0))</f>
        <v>#N/A</v>
      </c>
    </row>
    <row r="222" spans="1:18" x14ac:dyDescent="0.25">
      <c r="A222">
        <f t="shared" si="17"/>
        <v>1</v>
      </c>
      <c r="B222" t="str">
        <f t="shared" si="18"/>
        <v/>
      </c>
      <c r="C222">
        <f t="shared" si="20"/>
        <v>1</v>
      </c>
      <c r="D222" s="4"/>
      <c r="E222" t="s">
        <v>18</v>
      </c>
      <c r="F222" t="str">
        <f>INDEX(Establishment!B$2:B$1005,MATCH($E222,Establishment!$A$2:$A$1005,0))</f>
        <v xml:space="preserve"> </v>
      </c>
      <c r="G222" t="str">
        <f>INDEX(Establishment!C$2:C$1005,MATCH($E222,Establishment!$A$2:$A$1005,0))</f>
        <v xml:space="preserve"> </v>
      </c>
      <c r="M222">
        <f t="shared" si="21"/>
        <v>0</v>
      </c>
      <c r="N222">
        <f t="shared" si="19"/>
        <v>0</v>
      </c>
      <c r="P222" t="e">
        <f>INDEX(Items!B$2:B$1032,MATCH($O222,Items!$A$2:$A$1032,0))</f>
        <v>#N/A</v>
      </c>
      <c r="Q222" t="e">
        <f>INDEX(Items!C$2:C$1032,MATCH($O222,Items!$A$2:$A$1032,0))</f>
        <v>#N/A</v>
      </c>
      <c r="R222" t="e">
        <f>INDEX(Items!D$2:D$1032,MATCH($O222,Items!$A$2:$A$1032,0))</f>
        <v>#N/A</v>
      </c>
    </row>
    <row r="223" spans="1:18" x14ac:dyDescent="0.25">
      <c r="A223">
        <f t="shared" si="17"/>
        <v>1</v>
      </c>
      <c r="B223" t="str">
        <f t="shared" si="18"/>
        <v/>
      </c>
      <c r="C223">
        <f t="shared" si="20"/>
        <v>1</v>
      </c>
      <c r="D223" s="4"/>
      <c r="E223" t="s">
        <v>18</v>
      </c>
      <c r="F223" t="str">
        <f>INDEX(Establishment!B$2:B$1005,MATCH($E223,Establishment!$A$2:$A$1005,0))</f>
        <v xml:space="preserve"> </v>
      </c>
      <c r="G223" t="str">
        <f>INDEX(Establishment!C$2:C$1005,MATCH($E223,Establishment!$A$2:$A$1005,0))</f>
        <v xml:space="preserve"> </v>
      </c>
      <c r="M223">
        <f t="shared" si="21"/>
        <v>0</v>
      </c>
      <c r="N223">
        <f t="shared" si="19"/>
        <v>0</v>
      </c>
      <c r="P223" t="e">
        <f>INDEX(Items!B$2:B$1032,MATCH($O223,Items!$A$2:$A$1032,0))</f>
        <v>#N/A</v>
      </c>
      <c r="Q223" t="e">
        <f>INDEX(Items!C$2:C$1032,MATCH($O223,Items!$A$2:$A$1032,0))</f>
        <v>#N/A</v>
      </c>
      <c r="R223" t="e">
        <f>INDEX(Items!D$2:D$1032,MATCH($O223,Items!$A$2:$A$1032,0))</f>
        <v>#N/A</v>
      </c>
    </row>
    <row r="224" spans="1:18" x14ac:dyDescent="0.25">
      <c r="A224">
        <f t="shared" si="17"/>
        <v>1</v>
      </c>
      <c r="B224" t="str">
        <f t="shared" si="18"/>
        <v/>
      </c>
      <c r="C224">
        <f t="shared" si="20"/>
        <v>1</v>
      </c>
      <c r="D224" s="4"/>
      <c r="E224" t="s">
        <v>18</v>
      </c>
      <c r="F224" t="str">
        <f>INDEX(Establishment!B$2:B$1005,MATCH($E224,Establishment!$A$2:$A$1005,0))</f>
        <v xml:space="preserve"> </v>
      </c>
      <c r="G224" t="str">
        <f>INDEX(Establishment!C$2:C$1005,MATCH($E224,Establishment!$A$2:$A$1005,0))</f>
        <v xml:space="preserve"> </v>
      </c>
      <c r="M224">
        <f t="shared" si="21"/>
        <v>0</v>
      </c>
      <c r="N224">
        <f t="shared" si="19"/>
        <v>0</v>
      </c>
      <c r="P224" t="e">
        <f>INDEX(Items!B$2:B$1032,MATCH($O224,Items!$A$2:$A$1032,0))</f>
        <v>#N/A</v>
      </c>
      <c r="Q224" t="e">
        <f>INDEX(Items!C$2:C$1032,MATCH($O224,Items!$A$2:$A$1032,0))</f>
        <v>#N/A</v>
      </c>
      <c r="R224" t="e">
        <f>INDEX(Items!D$2:D$1032,MATCH($O224,Items!$A$2:$A$1032,0))</f>
        <v>#N/A</v>
      </c>
    </row>
    <row r="225" spans="1:18" x14ac:dyDescent="0.25">
      <c r="A225">
        <f t="shared" si="17"/>
        <v>1</v>
      </c>
      <c r="B225" t="str">
        <f t="shared" si="18"/>
        <v/>
      </c>
      <c r="C225">
        <f t="shared" si="20"/>
        <v>1</v>
      </c>
      <c r="D225" s="4"/>
      <c r="E225" t="s">
        <v>18</v>
      </c>
      <c r="F225" t="str">
        <f>INDEX(Establishment!B$2:B$1005,MATCH($E225,Establishment!$A$2:$A$1005,0))</f>
        <v xml:space="preserve"> </v>
      </c>
      <c r="G225" t="str">
        <f>INDEX(Establishment!C$2:C$1005,MATCH($E225,Establishment!$A$2:$A$1005,0))</f>
        <v xml:space="preserve"> </v>
      </c>
      <c r="M225">
        <f t="shared" si="21"/>
        <v>0</v>
      </c>
      <c r="N225">
        <f t="shared" si="19"/>
        <v>0</v>
      </c>
      <c r="P225" t="e">
        <f>INDEX(Items!B$2:B$1032,MATCH($O225,Items!$A$2:$A$1032,0))</f>
        <v>#N/A</v>
      </c>
      <c r="Q225" t="e">
        <f>INDEX(Items!C$2:C$1032,MATCH($O225,Items!$A$2:$A$1032,0))</f>
        <v>#N/A</v>
      </c>
      <c r="R225" t="e">
        <f>INDEX(Items!D$2:D$1032,MATCH($O225,Items!$A$2:$A$1032,0))</f>
        <v>#N/A</v>
      </c>
    </row>
    <row r="226" spans="1:18" x14ac:dyDescent="0.25">
      <c r="A226">
        <f t="shared" si="17"/>
        <v>1</v>
      </c>
      <c r="B226" t="str">
        <f t="shared" si="18"/>
        <v/>
      </c>
      <c r="C226">
        <f t="shared" si="20"/>
        <v>1</v>
      </c>
      <c r="D226" s="4"/>
      <c r="E226" t="s">
        <v>18</v>
      </c>
      <c r="F226" t="str">
        <f>INDEX(Establishment!B$2:B$1005,MATCH($E226,Establishment!$A$2:$A$1005,0))</f>
        <v xml:space="preserve"> </v>
      </c>
      <c r="G226" t="str">
        <f>INDEX(Establishment!C$2:C$1005,MATCH($E226,Establishment!$A$2:$A$1005,0))</f>
        <v xml:space="preserve"> </v>
      </c>
      <c r="M226">
        <f t="shared" si="21"/>
        <v>0</v>
      </c>
      <c r="N226">
        <f t="shared" si="19"/>
        <v>0</v>
      </c>
      <c r="P226" t="e">
        <f>INDEX(Items!B$2:B$1032,MATCH($O226,Items!$A$2:$A$1032,0))</f>
        <v>#N/A</v>
      </c>
      <c r="Q226" t="e">
        <f>INDEX(Items!C$2:C$1032,MATCH($O226,Items!$A$2:$A$1032,0))</f>
        <v>#N/A</v>
      </c>
      <c r="R226" t="e">
        <f>INDEX(Items!D$2:D$1032,MATCH($O226,Items!$A$2:$A$1032,0))</f>
        <v>#N/A</v>
      </c>
    </row>
    <row r="227" spans="1:18" x14ac:dyDescent="0.25">
      <c r="A227">
        <f t="shared" si="17"/>
        <v>1</v>
      </c>
      <c r="B227" t="str">
        <f t="shared" si="18"/>
        <v/>
      </c>
      <c r="C227">
        <f t="shared" si="20"/>
        <v>1</v>
      </c>
      <c r="D227" s="4"/>
      <c r="E227" t="s">
        <v>18</v>
      </c>
      <c r="F227" t="str">
        <f>INDEX(Establishment!B$2:B$1005,MATCH($E227,Establishment!$A$2:$A$1005,0))</f>
        <v xml:space="preserve"> </v>
      </c>
      <c r="G227" t="str">
        <f>INDEX(Establishment!C$2:C$1005,MATCH($E227,Establishment!$A$2:$A$1005,0))</f>
        <v xml:space="preserve"> </v>
      </c>
      <c r="M227">
        <f t="shared" si="21"/>
        <v>0</v>
      </c>
      <c r="N227">
        <f t="shared" si="19"/>
        <v>0</v>
      </c>
      <c r="P227" t="e">
        <f>INDEX(Items!B$2:B$1032,MATCH($O227,Items!$A$2:$A$1032,0))</f>
        <v>#N/A</v>
      </c>
      <c r="Q227" t="e">
        <f>INDEX(Items!C$2:C$1032,MATCH($O227,Items!$A$2:$A$1032,0))</f>
        <v>#N/A</v>
      </c>
      <c r="R227" t="e">
        <f>INDEX(Items!D$2:D$1032,MATCH($O227,Items!$A$2:$A$1032,0))</f>
        <v>#N/A</v>
      </c>
    </row>
    <row r="228" spans="1:18" x14ac:dyDescent="0.25">
      <c r="A228">
        <f t="shared" si="17"/>
        <v>1</v>
      </c>
      <c r="B228" t="str">
        <f t="shared" si="18"/>
        <v/>
      </c>
      <c r="C228">
        <f t="shared" si="20"/>
        <v>1</v>
      </c>
      <c r="D228" s="4"/>
      <c r="E228" t="s">
        <v>18</v>
      </c>
      <c r="F228" t="str">
        <f>INDEX(Establishment!B$2:B$1005,MATCH($E228,Establishment!$A$2:$A$1005,0))</f>
        <v xml:space="preserve"> </v>
      </c>
      <c r="G228" t="str">
        <f>INDEX(Establishment!C$2:C$1005,MATCH($E228,Establishment!$A$2:$A$1005,0))</f>
        <v xml:space="preserve"> </v>
      </c>
      <c r="M228">
        <f t="shared" si="21"/>
        <v>0</v>
      </c>
      <c r="N228">
        <f t="shared" si="19"/>
        <v>0</v>
      </c>
      <c r="P228" t="e">
        <f>INDEX(Items!B$2:B$1032,MATCH($O228,Items!$A$2:$A$1032,0))</f>
        <v>#N/A</v>
      </c>
      <c r="Q228" t="e">
        <f>INDEX(Items!C$2:C$1032,MATCH($O228,Items!$A$2:$A$1032,0))</f>
        <v>#N/A</v>
      </c>
      <c r="R228" t="e">
        <f>INDEX(Items!D$2:D$1032,MATCH($O228,Items!$A$2:$A$1032,0))</f>
        <v>#N/A</v>
      </c>
    </row>
    <row r="229" spans="1:18" x14ac:dyDescent="0.25">
      <c r="A229">
        <f t="shared" si="17"/>
        <v>1</v>
      </c>
      <c r="B229" t="str">
        <f t="shared" si="18"/>
        <v/>
      </c>
      <c r="C229">
        <f t="shared" si="20"/>
        <v>1</v>
      </c>
      <c r="D229" s="4"/>
      <c r="E229" t="s">
        <v>18</v>
      </c>
      <c r="F229" t="str">
        <f>INDEX(Establishment!B$2:B$1005,MATCH($E229,Establishment!$A$2:$A$1005,0))</f>
        <v xml:space="preserve"> </v>
      </c>
      <c r="G229" t="str">
        <f>INDEX(Establishment!C$2:C$1005,MATCH($E229,Establishment!$A$2:$A$1005,0))</f>
        <v xml:space="preserve"> </v>
      </c>
      <c r="M229">
        <f t="shared" si="21"/>
        <v>0</v>
      </c>
      <c r="N229">
        <f t="shared" si="19"/>
        <v>0</v>
      </c>
      <c r="P229" t="e">
        <f>INDEX(Items!B$2:B$1032,MATCH($O229,Items!$A$2:$A$1032,0))</f>
        <v>#N/A</v>
      </c>
      <c r="Q229" t="e">
        <f>INDEX(Items!C$2:C$1032,MATCH($O229,Items!$A$2:$A$1032,0))</f>
        <v>#N/A</v>
      </c>
      <c r="R229" t="e">
        <f>INDEX(Items!D$2:D$1032,MATCH($O229,Items!$A$2:$A$1032,0))</f>
        <v>#N/A</v>
      </c>
    </row>
    <row r="230" spans="1:18" x14ac:dyDescent="0.25">
      <c r="A230">
        <f t="shared" si="17"/>
        <v>1</v>
      </c>
      <c r="B230" t="str">
        <f t="shared" si="18"/>
        <v/>
      </c>
      <c r="C230">
        <f t="shared" si="20"/>
        <v>1</v>
      </c>
      <c r="D230" s="4"/>
      <c r="E230" t="s">
        <v>18</v>
      </c>
      <c r="F230" t="str">
        <f>INDEX(Establishment!B$2:B$1005,MATCH($E230,Establishment!$A$2:$A$1005,0))</f>
        <v xml:space="preserve"> </v>
      </c>
      <c r="G230" t="str">
        <f>INDEX(Establishment!C$2:C$1005,MATCH($E230,Establishment!$A$2:$A$1005,0))</f>
        <v xml:space="preserve"> </v>
      </c>
      <c r="M230">
        <f t="shared" si="21"/>
        <v>0</v>
      </c>
      <c r="N230">
        <f t="shared" si="19"/>
        <v>0</v>
      </c>
      <c r="P230" t="e">
        <f>INDEX(Items!B$2:B$1032,MATCH($O230,Items!$A$2:$A$1032,0))</f>
        <v>#N/A</v>
      </c>
      <c r="Q230" t="e">
        <f>INDEX(Items!C$2:C$1032,MATCH($O230,Items!$A$2:$A$1032,0))</f>
        <v>#N/A</v>
      </c>
      <c r="R230" t="e">
        <f>INDEX(Items!D$2:D$1032,MATCH($O230,Items!$A$2:$A$1032,0))</f>
        <v>#N/A</v>
      </c>
    </row>
    <row r="231" spans="1:18" x14ac:dyDescent="0.25">
      <c r="A231">
        <f t="shared" si="17"/>
        <v>1</v>
      </c>
      <c r="B231" t="str">
        <f t="shared" si="18"/>
        <v/>
      </c>
      <c r="C231">
        <f t="shared" si="20"/>
        <v>1</v>
      </c>
      <c r="D231" s="4"/>
      <c r="E231" t="s">
        <v>18</v>
      </c>
      <c r="F231" t="str">
        <f>INDEX(Establishment!B$2:B$1005,MATCH($E231,Establishment!$A$2:$A$1005,0))</f>
        <v xml:space="preserve"> </v>
      </c>
      <c r="G231" t="str">
        <f>INDEX(Establishment!C$2:C$1005,MATCH($E231,Establishment!$A$2:$A$1005,0))</f>
        <v xml:space="preserve"> </v>
      </c>
      <c r="M231">
        <f t="shared" si="21"/>
        <v>0</v>
      </c>
      <c r="N231">
        <f t="shared" si="19"/>
        <v>0</v>
      </c>
      <c r="P231" t="e">
        <f>INDEX(Items!B$2:B$1032,MATCH($O231,Items!$A$2:$A$1032,0))</f>
        <v>#N/A</v>
      </c>
      <c r="Q231" t="e">
        <f>INDEX(Items!C$2:C$1032,MATCH($O231,Items!$A$2:$A$1032,0))</f>
        <v>#N/A</v>
      </c>
      <c r="R231" t="e">
        <f>INDEX(Items!D$2:D$1032,MATCH($O231,Items!$A$2:$A$1032,0))</f>
        <v>#N/A</v>
      </c>
    </row>
    <row r="232" spans="1:18" x14ac:dyDescent="0.25">
      <c r="A232">
        <f t="shared" si="17"/>
        <v>1</v>
      </c>
      <c r="B232" t="str">
        <f t="shared" si="18"/>
        <v/>
      </c>
      <c r="C232">
        <f t="shared" si="20"/>
        <v>1</v>
      </c>
      <c r="D232" s="4"/>
      <c r="E232" t="s">
        <v>18</v>
      </c>
      <c r="F232" t="str">
        <f>INDEX(Establishment!B$2:B$1005,MATCH($E232,Establishment!$A$2:$A$1005,0))</f>
        <v xml:space="preserve"> </v>
      </c>
      <c r="G232" t="str">
        <f>INDEX(Establishment!C$2:C$1005,MATCH($E232,Establishment!$A$2:$A$1005,0))</f>
        <v xml:space="preserve"> </v>
      </c>
      <c r="M232">
        <f t="shared" si="21"/>
        <v>0</v>
      </c>
      <c r="N232">
        <f t="shared" si="19"/>
        <v>0</v>
      </c>
      <c r="P232" t="e">
        <f>INDEX(Items!B$2:B$1032,MATCH($O232,Items!$A$2:$A$1032,0))</f>
        <v>#N/A</v>
      </c>
      <c r="Q232" t="e">
        <f>INDEX(Items!C$2:C$1032,MATCH($O232,Items!$A$2:$A$1032,0))</f>
        <v>#N/A</v>
      </c>
      <c r="R232" t="e">
        <f>INDEX(Items!D$2:D$1032,MATCH($O232,Items!$A$2:$A$1032,0))</f>
        <v>#N/A</v>
      </c>
    </row>
    <row r="233" spans="1:18" x14ac:dyDescent="0.25">
      <c r="A233">
        <f t="shared" si="17"/>
        <v>1</v>
      </c>
      <c r="B233" t="str">
        <f t="shared" si="18"/>
        <v/>
      </c>
      <c r="C233">
        <f t="shared" si="20"/>
        <v>1</v>
      </c>
      <c r="D233" s="4"/>
      <c r="E233" t="s">
        <v>18</v>
      </c>
      <c r="F233" t="str">
        <f>INDEX(Establishment!B$2:B$1005,MATCH($E233,Establishment!$A$2:$A$1005,0))</f>
        <v xml:space="preserve"> </v>
      </c>
      <c r="G233" t="str">
        <f>INDEX(Establishment!C$2:C$1005,MATCH($E233,Establishment!$A$2:$A$1005,0))</f>
        <v xml:space="preserve"> </v>
      </c>
      <c r="M233">
        <f t="shared" si="21"/>
        <v>0</v>
      </c>
      <c r="N233">
        <f t="shared" si="19"/>
        <v>0</v>
      </c>
      <c r="P233" t="e">
        <f>INDEX(Items!B$2:B$1032,MATCH($O233,Items!$A$2:$A$1032,0))</f>
        <v>#N/A</v>
      </c>
      <c r="Q233" t="e">
        <f>INDEX(Items!C$2:C$1032,MATCH($O233,Items!$A$2:$A$1032,0))</f>
        <v>#N/A</v>
      </c>
      <c r="R233" t="e">
        <f>INDEX(Items!D$2:D$1032,MATCH($O233,Items!$A$2:$A$1032,0))</f>
        <v>#N/A</v>
      </c>
    </row>
    <row r="234" spans="1:18" x14ac:dyDescent="0.25">
      <c r="A234">
        <f t="shared" si="17"/>
        <v>1</v>
      </c>
      <c r="B234" t="str">
        <f t="shared" si="18"/>
        <v/>
      </c>
      <c r="C234">
        <f t="shared" si="20"/>
        <v>1</v>
      </c>
      <c r="D234" s="4"/>
      <c r="E234" t="s">
        <v>18</v>
      </c>
      <c r="F234" t="str">
        <f>INDEX(Establishment!B$2:B$1005,MATCH($E234,Establishment!$A$2:$A$1005,0))</f>
        <v xml:space="preserve"> </v>
      </c>
      <c r="G234" t="str">
        <f>INDEX(Establishment!C$2:C$1005,MATCH($E234,Establishment!$A$2:$A$1005,0))</f>
        <v xml:space="preserve"> </v>
      </c>
      <c r="M234">
        <f t="shared" si="21"/>
        <v>0</v>
      </c>
      <c r="N234">
        <f t="shared" si="19"/>
        <v>0</v>
      </c>
      <c r="P234" t="e">
        <f>INDEX(Items!B$2:B$1032,MATCH($O234,Items!$A$2:$A$1032,0))</f>
        <v>#N/A</v>
      </c>
      <c r="Q234" t="e">
        <f>INDEX(Items!C$2:C$1032,MATCH($O234,Items!$A$2:$A$1032,0))</f>
        <v>#N/A</v>
      </c>
      <c r="R234" t="e">
        <f>INDEX(Items!D$2:D$1032,MATCH($O234,Items!$A$2:$A$1032,0))</f>
        <v>#N/A</v>
      </c>
    </row>
    <row r="235" spans="1:18" x14ac:dyDescent="0.25">
      <c r="A235">
        <f t="shared" si="17"/>
        <v>1</v>
      </c>
      <c r="B235" t="str">
        <f t="shared" si="18"/>
        <v/>
      </c>
      <c r="C235">
        <f t="shared" si="20"/>
        <v>1</v>
      </c>
      <c r="D235" s="4"/>
      <c r="E235" t="s">
        <v>18</v>
      </c>
      <c r="F235" t="str">
        <f>INDEX(Establishment!B$2:B$1005,MATCH($E235,Establishment!$A$2:$A$1005,0))</f>
        <v xml:space="preserve"> </v>
      </c>
      <c r="G235" t="str">
        <f>INDEX(Establishment!C$2:C$1005,MATCH($E235,Establishment!$A$2:$A$1005,0))</f>
        <v xml:space="preserve"> </v>
      </c>
      <c r="M235">
        <f t="shared" si="21"/>
        <v>0</v>
      </c>
      <c r="N235">
        <f t="shared" si="19"/>
        <v>0</v>
      </c>
      <c r="P235" t="e">
        <f>INDEX(Items!B$2:B$1032,MATCH($O235,Items!$A$2:$A$1032,0))</f>
        <v>#N/A</v>
      </c>
      <c r="Q235" t="e">
        <f>INDEX(Items!C$2:C$1032,MATCH($O235,Items!$A$2:$A$1032,0))</f>
        <v>#N/A</v>
      </c>
      <c r="R235" t="e">
        <f>INDEX(Items!D$2:D$1032,MATCH($O235,Items!$A$2:$A$1032,0))</f>
        <v>#N/A</v>
      </c>
    </row>
    <row r="236" spans="1:18" x14ac:dyDescent="0.25">
      <c r="A236">
        <f t="shared" si="17"/>
        <v>1</v>
      </c>
      <c r="B236" t="str">
        <f t="shared" si="18"/>
        <v/>
      </c>
      <c r="C236">
        <f t="shared" si="20"/>
        <v>1</v>
      </c>
      <c r="D236" s="4"/>
      <c r="E236" t="s">
        <v>18</v>
      </c>
      <c r="F236" t="str">
        <f>INDEX(Establishment!B$2:B$1005,MATCH($E236,Establishment!$A$2:$A$1005,0))</f>
        <v xml:space="preserve"> </v>
      </c>
      <c r="G236" t="str">
        <f>INDEX(Establishment!C$2:C$1005,MATCH($E236,Establishment!$A$2:$A$1005,0))</f>
        <v xml:space="preserve"> </v>
      </c>
      <c r="M236">
        <f t="shared" si="21"/>
        <v>0</v>
      </c>
      <c r="N236">
        <f t="shared" si="19"/>
        <v>0</v>
      </c>
      <c r="P236" t="e">
        <f>INDEX(Items!B$2:B$1032,MATCH($O236,Items!$A$2:$A$1032,0))</f>
        <v>#N/A</v>
      </c>
      <c r="Q236" t="e">
        <f>INDEX(Items!C$2:C$1032,MATCH($O236,Items!$A$2:$A$1032,0))</f>
        <v>#N/A</v>
      </c>
      <c r="R236" t="e">
        <f>INDEX(Items!D$2:D$1032,MATCH($O236,Items!$A$2:$A$1032,0))</f>
        <v>#N/A</v>
      </c>
    </row>
    <row r="237" spans="1:18" x14ac:dyDescent="0.25">
      <c r="A237">
        <f t="shared" si="17"/>
        <v>1</v>
      </c>
      <c r="B237" t="str">
        <f t="shared" si="18"/>
        <v/>
      </c>
      <c r="C237">
        <f t="shared" si="20"/>
        <v>1</v>
      </c>
      <c r="D237" s="4"/>
      <c r="E237" t="s">
        <v>18</v>
      </c>
      <c r="F237" t="str">
        <f>INDEX(Establishment!B$2:B$1005,MATCH($E237,Establishment!$A$2:$A$1005,0))</f>
        <v xml:space="preserve"> </v>
      </c>
      <c r="G237" t="str">
        <f>INDEX(Establishment!C$2:C$1005,MATCH($E237,Establishment!$A$2:$A$1005,0))</f>
        <v xml:space="preserve"> </v>
      </c>
      <c r="M237">
        <f t="shared" si="21"/>
        <v>0</v>
      </c>
      <c r="N237">
        <f t="shared" si="19"/>
        <v>0</v>
      </c>
      <c r="P237" t="e">
        <f>INDEX(Items!B$2:B$1032,MATCH($O237,Items!$A$2:$A$1032,0))</f>
        <v>#N/A</v>
      </c>
      <c r="Q237" t="e">
        <f>INDEX(Items!C$2:C$1032,MATCH($O237,Items!$A$2:$A$1032,0))</f>
        <v>#N/A</v>
      </c>
      <c r="R237" t="e">
        <f>INDEX(Items!D$2:D$1032,MATCH($O237,Items!$A$2:$A$1032,0))</f>
        <v>#N/A</v>
      </c>
    </row>
    <row r="238" spans="1:18" x14ac:dyDescent="0.25">
      <c r="A238">
        <f t="shared" si="17"/>
        <v>1</v>
      </c>
      <c r="B238" t="str">
        <f t="shared" si="18"/>
        <v/>
      </c>
      <c r="C238">
        <f t="shared" si="20"/>
        <v>1</v>
      </c>
      <c r="D238" s="4"/>
      <c r="E238" t="s">
        <v>18</v>
      </c>
      <c r="F238" t="str">
        <f>INDEX(Establishment!B$2:B$1005,MATCH($E238,Establishment!$A$2:$A$1005,0))</f>
        <v xml:space="preserve"> </v>
      </c>
      <c r="G238" t="str">
        <f>INDEX(Establishment!C$2:C$1005,MATCH($E238,Establishment!$A$2:$A$1005,0))</f>
        <v xml:space="preserve"> </v>
      </c>
      <c r="M238">
        <f t="shared" si="21"/>
        <v>0</v>
      </c>
      <c r="N238">
        <f t="shared" si="19"/>
        <v>0</v>
      </c>
      <c r="P238" t="e">
        <f>INDEX(Items!B$2:B$1032,MATCH($O238,Items!$A$2:$A$1032,0))</f>
        <v>#N/A</v>
      </c>
      <c r="Q238" t="e">
        <f>INDEX(Items!C$2:C$1032,MATCH($O238,Items!$A$2:$A$1032,0))</f>
        <v>#N/A</v>
      </c>
      <c r="R238" t="e">
        <f>INDEX(Items!D$2:D$1032,MATCH($O238,Items!$A$2:$A$1032,0))</f>
        <v>#N/A</v>
      </c>
    </row>
    <row r="239" spans="1:18" x14ac:dyDescent="0.25">
      <c r="A239">
        <f t="shared" si="17"/>
        <v>1</v>
      </c>
      <c r="B239" t="str">
        <f t="shared" si="18"/>
        <v/>
      </c>
      <c r="C239">
        <f t="shared" si="20"/>
        <v>1</v>
      </c>
      <c r="D239" s="4"/>
      <c r="E239" t="s">
        <v>18</v>
      </c>
      <c r="F239" t="str">
        <f>INDEX(Establishment!B$2:B$1005,MATCH($E239,Establishment!$A$2:$A$1005,0))</f>
        <v xml:space="preserve"> </v>
      </c>
      <c r="G239" t="str">
        <f>INDEX(Establishment!C$2:C$1005,MATCH($E239,Establishment!$A$2:$A$1005,0))</f>
        <v xml:space="preserve"> </v>
      </c>
      <c r="M239">
        <f t="shared" si="21"/>
        <v>0</v>
      </c>
      <c r="N239">
        <f t="shared" si="19"/>
        <v>0</v>
      </c>
      <c r="P239" t="e">
        <f>INDEX(Items!B$2:B$1032,MATCH($O239,Items!$A$2:$A$1032,0))</f>
        <v>#N/A</v>
      </c>
      <c r="Q239" t="e">
        <f>INDEX(Items!C$2:C$1032,MATCH($O239,Items!$A$2:$A$1032,0))</f>
        <v>#N/A</v>
      </c>
      <c r="R239" t="e">
        <f>INDEX(Items!D$2:D$1032,MATCH($O239,Items!$A$2:$A$1032,0))</f>
        <v>#N/A</v>
      </c>
    </row>
    <row r="240" spans="1:18" x14ac:dyDescent="0.25">
      <c r="A240">
        <f t="shared" si="17"/>
        <v>1</v>
      </c>
      <c r="B240" t="str">
        <f t="shared" si="18"/>
        <v/>
      </c>
      <c r="C240">
        <f t="shared" si="20"/>
        <v>1</v>
      </c>
      <c r="D240" s="4"/>
      <c r="E240" t="s">
        <v>18</v>
      </c>
      <c r="F240" t="str">
        <f>INDEX(Establishment!B$2:B$1005,MATCH($E240,Establishment!$A$2:$A$1005,0))</f>
        <v xml:space="preserve"> </v>
      </c>
      <c r="G240" t="str">
        <f>INDEX(Establishment!C$2:C$1005,MATCH($E240,Establishment!$A$2:$A$1005,0))</f>
        <v xml:space="preserve"> </v>
      </c>
      <c r="M240">
        <f t="shared" si="21"/>
        <v>0</v>
      </c>
      <c r="N240">
        <f t="shared" si="19"/>
        <v>0</v>
      </c>
      <c r="P240" t="e">
        <f>INDEX(Items!B$2:B$1032,MATCH($O240,Items!$A$2:$A$1032,0))</f>
        <v>#N/A</v>
      </c>
      <c r="Q240" t="e">
        <f>INDEX(Items!C$2:C$1032,MATCH($O240,Items!$A$2:$A$1032,0))</f>
        <v>#N/A</v>
      </c>
      <c r="R240" t="e">
        <f>INDEX(Items!D$2:D$1032,MATCH($O240,Items!$A$2:$A$1032,0))</f>
        <v>#N/A</v>
      </c>
    </row>
    <row r="241" spans="1:18" x14ac:dyDescent="0.25">
      <c r="A241">
        <f t="shared" si="17"/>
        <v>1</v>
      </c>
      <c r="B241" t="str">
        <f t="shared" si="18"/>
        <v/>
      </c>
      <c r="C241">
        <f t="shared" si="20"/>
        <v>1</v>
      </c>
      <c r="D241" s="4"/>
      <c r="E241" t="s">
        <v>18</v>
      </c>
      <c r="F241" t="str">
        <f>INDEX(Establishment!B$2:B$1005,MATCH($E241,Establishment!$A$2:$A$1005,0))</f>
        <v xml:space="preserve"> </v>
      </c>
      <c r="G241" t="str">
        <f>INDEX(Establishment!C$2:C$1005,MATCH($E241,Establishment!$A$2:$A$1005,0))</f>
        <v xml:space="preserve"> </v>
      </c>
      <c r="M241">
        <f t="shared" si="21"/>
        <v>0</v>
      </c>
      <c r="N241">
        <f t="shared" si="19"/>
        <v>0</v>
      </c>
      <c r="P241" t="e">
        <f>INDEX(Items!B$2:B$1032,MATCH($O241,Items!$A$2:$A$1032,0))</f>
        <v>#N/A</v>
      </c>
      <c r="Q241" t="e">
        <f>INDEX(Items!C$2:C$1032,MATCH($O241,Items!$A$2:$A$1032,0))</f>
        <v>#N/A</v>
      </c>
      <c r="R241" t="e">
        <f>INDEX(Items!D$2:D$1032,MATCH($O241,Items!$A$2:$A$1032,0))</f>
        <v>#N/A</v>
      </c>
    </row>
    <row r="242" spans="1:18" x14ac:dyDescent="0.25">
      <c r="A242">
        <f t="shared" si="17"/>
        <v>1</v>
      </c>
      <c r="B242" t="str">
        <f t="shared" si="18"/>
        <v/>
      </c>
      <c r="C242">
        <f t="shared" si="20"/>
        <v>1</v>
      </c>
      <c r="D242" s="4"/>
      <c r="E242" t="s">
        <v>18</v>
      </c>
      <c r="F242" t="str">
        <f>INDEX(Establishment!B$2:B$1005,MATCH($E242,Establishment!$A$2:$A$1005,0))</f>
        <v xml:space="preserve"> </v>
      </c>
      <c r="G242" t="str">
        <f>INDEX(Establishment!C$2:C$1005,MATCH($E242,Establishment!$A$2:$A$1005,0))</f>
        <v xml:space="preserve"> </v>
      </c>
      <c r="M242">
        <f t="shared" si="21"/>
        <v>0</v>
      </c>
      <c r="N242">
        <f t="shared" si="19"/>
        <v>0</v>
      </c>
      <c r="P242" t="e">
        <f>INDEX(Items!B$2:B$1032,MATCH($O242,Items!$A$2:$A$1032,0))</f>
        <v>#N/A</v>
      </c>
      <c r="Q242" t="e">
        <f>INDEX(Items!C$2:C$1032,MATCH($O242,Items!$A$2:$A$1032,0))</f>
        <v>#N/A</v>
      </c>
      <c r="R242" t="e">
        <f>INDEX(Items!D$2:D$1032,MATCH($O242,Items!$A$2:$A$1032,0))</f>
        <v>#N/A</v>
      </c>
    </row>
    <row r="243" spans="1:18" x14ac:dyDescent="0.25">
      <c r="A243">
        <f t="shared" si="17"/>
        <v>1</v>
      </c>
      <c r="B243" t="str">
        <f t="shared" si="18"/>
        <v/>
      </c>
      <c r="C243">
        <f t="shared" si="20"/>
        <v>1</v>
      </c>
      <c r="D243" s="4"/>
      <c r="E243" t="s">
        <v>18</v>
      </c>
      <c r="F243" t="str">
        <f>INDEX(Establishment!B$2:B$1005,MATCH($E243,Establishment!$A$2:$A$1005,0))</f>
        <v xml:space="preserve"> </v>
      </c>
      <c r="G243" t="str">
        <f>INDEX(Establishment!C$2:C$1005,MATCH($E243,Establishment!$A$2:$A$1005,0))</f>
        <v xml:space="preserve"> </v>
      </c>
      <c r="M243">
        <f t="shared" si="21"/>
        <v>0</v>
      </c>
      <c r="N243">
        <f t="shared" si="19"/>
        <v>0</v>
      </c>
      <c r="P243" t="e">
        <f>INDEX(Items!B$2:B$1032,MATCH($O243,Items!$A$2:$A$1032,0))</f>
        <v>#N/A</v>
      </c>
      <c r="Q243" t="e">
        <f>INDEX(Items!C$2:C$1032,MATCH($O243,Items!$A$2:$A$1032,0))</f>
        <v>#N/A</v>
      </c>
      <c r="R243" t="e">
        <f>INDEX(Items!D$2:D$1032,MATCH($O243,Items!$A$2:$A$1032,0))</f>
        <v>#N/A</v>
      </c>
    </row>
    <row r="244" spans="1:18" x14ac:dyDescent="0.25">
      <c r="A244">
        <f t="shared" si="17"/>
        <v>1</v>
      </c>
      <c r="B244" t="str">
        <f t="shared" si="18"/>
        <v/>
      </c>
      <c r="C244">
        <f t="shared" si="20"/>
        <v>1</v>
      </c>
      <c r="D244" s="4"/>
      <c r="E244" t="s">
        <v>18</v>
      </c>
      <c r="F244" t="str">
        <f>INDEX(Establishment!B$2:B$1005,MATCH($E244,Establishment!$A$2:$A$1005,0))</f>
        <v xml:space="preserve"> </v>
      </c>
      <c r="G244" t="str">
        <f>INDEX(Establishment!C$2:C$1005,MATCH($E244,Establishment!$A$2:$A$1005,0))</f>
        <v xml:space="preserve"> </v>
      </c>
      <c r="M244">
        <f t="shared" si="21"/>
        <v>0</v>
      </c>
      <c r="N244">
        <f t="shared" si="19"/>
        <v>0</v>
      </c>
      <c r="P244" t="e">
        <f>INDEX(Items!B$2:B$1032,MATCH($O244,Items!$A$2:$A$1032,0))</f>
        <v>#N/A</v>
      </c>
      <c r="Q244" t="e">
        <f>INDEX(Items!C$2:C$1032,MATCH($O244,Items!$A$2:$A$1032,0))</f>
        <v>#N/A</v>
      </c>
      <c r="R244" t="e">
        <f>INDEX(Items!D$2:D$1032,MATCH($O244,Items!$A$2:$A$1032,0))</f>
        <v>#N/A</v>
      </c>
    </row>
    <row r="245" spans="1:18" x14ac:dyDescent="0.25">
      <c r="A245">
        <f t="shared" si="17"/>
        <v>1</v>
      </c>
      <c r="B245" t="str">
        <f t="shared" si="18"/>
        <v/>
      </c>
      <c r="C245">
        <f t="shared" si="20"/>
        <v>1</v>
      </c>
      <c r="D245" s="4"/>
      <c r="E245" t="s">
        <v>18</v>
      </c>
      <c r="F245" t="str">
        <f>INDEX(Establishment!B$2:B$1005,MATCH($E245,Establishment!$A$2:$A$1005,0))</f>
        <v xml:space="preserve"> </v>
      </c>
      <c r="G245" t="str">
        <f>INDEX(Establishment!C$2:C$1005,MATCH($E245,Establishment!$A$2:$A$1005,0))</f>
        <v xml:space="preserve"> </v>
      </c>
      <c r="M245">
        <f t="shared" si="21"/>
        <v>0</v>
      </c>
      <c r="N245">
        <f t="shared" si="19"/>
        <v>0</v>
      </c>
      <c r="P245" t="e">
        <f>INDEX(Items!B$2:B$1032,MATCH($O245,Items!$A$2:$A$1032,0))</f>
        <v>#N/A</v>
      </c>
      <c r="Q245" t="e">
        <f>INDEX(Items!C$2:C$1032,MATCH($O245,Items!$A$2:$A$1032,0))</f>
        <v>#N/A</v>
      </c>
      <c r="R245" t="e">
        <f>INDEX(Items!D$2:D$1032,MATCH($O245,Items!$A$2:$A$1032,0))</f>
        <v>#N/A</v>
      </c>
    </row>
    <row r="246" spans="1:18" x14ac:dyDescent="0.25">
      <c r="A246">
        <f t="shared" si="17"/>
        <v>1</v>
      </c>
      <c r="B246" t="str">
        <f t="shared" si="18"/>
        <v/>
      </c>
      <c r="C246">
        <f t="shared" si="20"/>
        <v>1</v>
      </c>
      <c r="D246" s="4"/>
      <c r="E246" t="s">
        <v>18</v>
      </c>
      <c r="F246" t="str">
        <f>INDEX(Establishment!B$2:B$1005,MATCH($E246,Establishment!$A$2:$A$1005,0))</f>
        <v xml:space="preserve"> </v>
      </c>
      <c r="G246" t="str">
        <f>INDEX(Establishment!C$2:C$1005,MATCH($E246,Establishment!$A$2:$A$1005,0))</f>
        <v xml:space="preserve"> </v>
      </c>
      <c r="M246">
        <f t="shared" si="21"/>
        <v>0</v>
      </c>
      <c r="N246">
        <f t="shared" si="19"/>
        <v>0</v>
      </c>
      <c r="P246" t="e">
        <f>INDEX(Items!B$2:B$1032,MATCH($O246,Items!$A$2:$A$1032,0))</f>
        <v>#N/A</v>
      </c>
      <c r="Q246" t="e">
        <f>INDEX(Items!C$2:C$1032,MATCH($O246,Items!$A$2:$A$1032,0))</f>
        <v>#N/A</v>
      </c>
      <c r="R246" t="e">
        <f>INDEX(Items!D$2:D$1032,MATCH($O246,Items!$A$2:$A$1032,0))</f>
        <v>#N/A</v>
      </c>
    </row>
    <row r="247" spans="1:18" x14ac:dyDescent="0.25">
      <c r="A247">
        <f t="shared" si="17"/>
        <v>1</v>
      </c>
      <c r="B247" t="str">
        <f t="shared" si="18"/>
        <v/>
      </c>
      <c r="C247">
        <f t="shared" si="20"/>
        <v>1</v>
      </c>
      <c r="D247" s="4"/>
      <c r="E247" t="s">
        <v>18</v>
      </c>
      <c r="F247" t="str">
        <f>INDEX(Establishment!B$2:B$1005,MATCH($E247,Establishment!$A$2:$A$1005,0))</f>
        <v xml:space="preserve"> </v>
      </c>
      <c r="G247" t="str">
        <f>INDEX(Establishment!C$2:C$1005,MATCH($E247,Establishment!$A$2:$A$1005,0))</f>
        <v xml:space="preserve"> </v>
      </c>
      <c r="M247">
        <f t="shared" si="21"/>
        <v>0</v>
      </c>
      <c r="N247">
        <f t="shared" si="19"/>
        <v>0</v>
      </c>
      <c r="P247" t="e">
        <f>INDEX(Items!B$2:B$1032,MATCH($O247,Items!$A$2:$A$1032,0))</f>
        <v>#N/A</v>
      </c>
      <c r="Q247" t="e">
        <f>INDEX(Items!C$2:C$1032,MATCH($O247,Items!$A$2:$A$1032,0))</f>
        <v>#N/A</v>
      </c>
      <c r="R247" t="e">
        <f>INDEX(Items!D$2:D$1032,MATCH($O247,Items!$A$2:$A$1032,0))</f>
        <v>#N/A</v>
      </c>
    </row>
    <row r="248" spans="1:18" x14ac:dyDescent="0.25">
      <c r="A248">
        <f t="shared" si="17"/>
        <v>1</v>
      </c>
      <c r="B248" t="str">
        <f t="shared" si="18"/>
        <v/>
      </c>
      <c r="C248">
        <f t="shared" si="20"/>
        <v>1</v>
      </c>
      <c r="D248" s="4"/>
      <c r="E248" t="s">
        <v>18</v>
      </c>
      <c r="F248" t="str">
        <f>INDEX(Establishment!B$2:B$1005,MATCH($E248,Establishment!$A$2:$A$1005,0))</f>
        <v xml:space="preserve"> </v>
      </c>
      <c r="G248" t="str">
        <f>INDEX(Establishment!C$2:C$1005,MATCH($E248,Establishment!$A$2:$A$1005,0))</f>
        <v xml:space="preserve"> </v>
      </c>
      <c r="M248">
        <f t="shared" si="21"/>
        <v>0</v>
      </c>
      <c r="N248">
        <f t="shared" si="19"/>
        <v>0</v>
      </c>
      <c r="P248" t="e">
        <f>INDEX(Items!B$2:B$1032,MATCH($O248,Items!$A$2:$A$1032,0))</f>
        <v>#N/A</v>
      </c>
      <c r="Q248" t="e">
        <f>INDEX(Items!C$2:C$1032,MATCH($O248,Items!$A$2:$A$1032,0))</f>
        <v>#N/A</v>
      </c>
      <c r="R248" t="e">
        <f>INDEX(Items!D$2:D$1032,MATCH($O248,Items!$A$2:$A$1032,0))</f>
        <v>#N/A</v>
      </c>
    </row>
    <row r="249" spans="1:18" x14ac:dyDescent="0.25">
      <c r="A249">
        <f t="shared" si="17"/>
        <v>1</v>
      </c>
      <c r="B249" t="str">
        <f t="shared" si="18"/>
        <v/>
      </c>
      <c r="C249">
        <f t="shared" si="20"/>
        <v>1</v>
      </c>
      <c r="D249" s="4"/>
      <c r="E249" t="s">
        <v>18</v>
      </c>
      <c r="F249" t="str">
        <f>INDEX(Establishment!B$2:B$1005,MATCH($E249,Establishment!$A$2:$A$1005,0))</f>
        <v xml:space="preserve"> </v>
      </c>
      <c r="G249" t="str">
        <f>INDEX(Establishment!C$2:C$1005,MATCH($E249,Establishment!$A$2:$A$1005,0))</f>
        <v xml:space="preserve"> </v>
      </c>
      <c r="M249">
        <f t="shared" si="21"/>
        <v>0</v>
      </c>
      <c r="N249">
        <f t="shared" si="19"/>
        <v>0</v>
      </c>
      <c r="P249" t="e">
        <f>INDEX(Items!B$2:B$1032,MATCH($O249,Items!$A$2:$A$1032,0))</f>
        <v>#N/A</v>
      </c>
      <c r="Q249" t="e">
        <f>INDEX(Items!C$2:C$1032,MATCH($O249,Items!$A$2:$A$1032,0))</f>
        <v>#N/A</v>
      </c>
      <c r="R249" t="e">
        <f>INDEX(Items!D$2:D$1032,MATCH($O249,Items!$A$2:$A$1032,0))</f>
        <v>#N/A</v>
      </c>
    </row>
    <row r="250" spans="1:18" x14ac:dyDescent="0.25">
      <c r="A250">
        <f t="shared" si="17"/>
        <v>1</v>
      </c>
      <c r="B250" t="str">
        <f t="shared" si="18"/>
        <v/>
      </c>
      <c r="C250">
        <f t="shared" si="20"/>
        <v>1</v>
      </c>
      <c r="D250" s="4"/>
      <c r="E250" t="s">
        <v>18</v>
      </c>
      <c r="F250" t="str">
        <f>INDEX(Establishment!B$2:B$1005,MATCH($E250,Establishment!$A$2:$A$1005,0))</f>
        <v xml:space="preserve"> </v>
      </c>
      <c r="G250" t="str">
        <f>INDEX(Establishment!C$2:C$1005,MATCH($E250,Establishment!$A$2:$A$1005,0))</f>
        <v xml:space="preserve"> </v>
      </c>
      <c r="M250">
        <f t="shared" si="21"/>
        <v>0</v>
      </c>
      <c r="N250">
        <f t="shared" si="19"/>
        <v>0</v>
      </c>
      <c r="P250" t="e">
        <f>INDEX(Items!B$2:B$1032,MATCH($O250,Items!$A$2:$A$1032,0))</f>
        <v>#N/A</v>
      </c>
      <c r="Q250" t="e">
        <f>INDEX(Items!C$2:C$1032,MATCH($O250,Items!$A$2:$A$1032,0))</f>
        <v>#N/A</v>
      </c>
      <c r="R250" t="e">
        <f>INDEX(Items!D$2:D$1032,MATCH($O250,Items!$A$2:$A$1032,0))</f>
        <v>#N/A</v>
      </c>
    </row>
    <row r="251" spans="1:18" x14ac:dyDescent="0.25">
      <c r="A251">
        <f t="shared" si="17"/>
        <v>1</v>
      </c>
      <c r="B251" t="str">
        <f t="shared" si="18"/>
        <v/>
      </c>
      <c r="C251">
        <f t="shared" si="20"/>
        <v>1</v>
      </c>
      <c r="D251" s="4"/>
      <c r="E251" t="s">
        <v>18</v>
      </c>
      <c r="F251" t="str">
        <f>INDEX(Establishment!B$2:B$1005,MATCH($E251,Establishment!$A$2:$A$1005,0))</f>
        <v xml:space="preserve"> </v>
      </c>
      <c r="G251" t="str">
        <f>INDEX(Establishment!C$2:C$1005,MATCH($E251,Establishment!$A$2:$A$1005,0))</f>
        <v xml:space="preserve"> </v>
      </c>
      <c r="M251">
        <f t="shared" si="21"/>
        <v>0</v>
      </c>
      <c r="N251">
        <f t="shared" si="19"/>
        <v>0</v>
      </c>
      <c r="P251" t="e">
        <f>INDEX(Items!B$2:B$1032,MATCH($O251,Items!$A$2:$A$1032,0))</f>
        <v>#N/A</v>
      </c>
      <c r="Q251" t="e">
        <f>INDEX(Items!C$2:C$1032,MATCH($O251,Items!$A$2:$A$1032,0))</f>
        <v>#N/A</v>
      </c>
      <c r="R251" t="e">
        <f>INDEX(Items!D$2:D$1032,MATCH($O251,Items!$A$2:$A$1032,0))</f>
        <v>#N/A</v>
      </c>
    </row>
    <row r="252" spans="1:18" x14ac:dyDescent="0.25">
      <c r="A252">
        <f t="shared" si="17"/>
        <v>1</v>
      </c>
      <c r="B252" t="str">
        <f t="shared" si="18"/>
        <v/>
      </c>
      <c r="C252">
        <f t="shared" si="20"/>
        <v>1</v>
      </c>
      <c r="D252" s="4"/>
      <c r="E252" t="s">
        <v>18</v>
      </c>
      <c r="F252" t="str">
        <f>INDEX(Establishment!B$2:B$1005,MATCH($E252,Establishment!$A$2:$A$1005,0))</f>
        <v xml:space="preserve"> </v>
      </c>
      <c r="G252" t="str">
        <f>INDEX(Establishment!C$2:C$1005,MATCH($E252,Establishment!$A$2:$A$1005,0))</f>
        <v xml:space="preserve"> </v>
      </c>
      <c r="M252">
        <f t="shared" si="21"/>
        <v>0</v>
      </c>
      <c r="N252">
        <f t="shared" si="19"/>
        <v>0</v>
      </c>
      <c r="P252" t="e">
        <f>INDEX(Items!B$2:B$1032,MATCH($O252,Items!$A$2:$A$1032,0))</f>
        <v>#N/A</v>
      </c>
      <c r="Q252" t="e">
        <f>INDEX(Items!C$2:C$1032,MATCH($O252,Items!$A$2:$A$1032,0))</f>
        <v>#N/A</v>
      </c>
      <c r="R252" t="e">
        <f>INDEX(Items!D$2:D$1032,MATCH($O252,Items!$A$2:$A$1032,0))</f>
        <v>#N/A</v>
      </c>
    </row>
    <row r="253" spans="1:18" x14ac:dyDescent="0.25">
      <c r="A253">
        <f t="shared" si="17"/>
        <v>1</v>
      </c>
      <c r="B253" t="str">
        <f t="shared" si="18"/>
        <v/>
      </c>
      <c r="C253">
        <f t="shared" si="20"/>
        <v>1</v>
      </c>
      <c r="D253" s="4"/>
      <c r="E253" t="s">
        <v>18</v>
      </c>
      <c r="F253" t="str">
        <f>INDEX(Establishment!B$2:B$1005,MATCH($E253,Establishment!$A$2:$A$1005,0))</f>
        <v xml:space="preserve"> </v>
      </c>
      <c r="G253" t="str">
        <f>INDEX(Establishment!C$2:C$1005,MATCH($E253,Establishment!$A$2:$A$1005,0))</f>
        <v xml:space="preserve"> </v>
      </c>
      <c r="M253">
        <f t="shared" si="21"/>
        <v>0</v>
      </c>
      <c r="N253">
        <f t="shared" si="19"/>
        <v>0</v>
      </c>
      <c r="P253" t="e">
        <f>INDEX(Items!B$2:B$1032,MATCH($O253,Items!$A$2:$A$1032,0))</f>
        <v>#N/A</v>
      </c>
      <c r="Q253" t="e">
        <f>INDEX(Items!C$2:C$1032,MATCH($O253,Items!$A$2:$A$1032,0))</f>
        <v>#N/A</v>
      </c>
      <c r="R253" t="e">
        <f>INDEX(Items!D$2:D$1032,MATCH($O253,Items!$A$2:$A$1032,0))</f>
        <v>#N/A</v>
      </c>
    </row>
    <row r="254" spans="1:18" x14ac:dyDescent="0.25">
      <c r="A254">
        <f t="shared" si="17"/>
        <v>1</v>
      </c>
      <c r="B254" t="str">
        <f t="shared" si="18"/>
        <v/>
      </c>
      <c r="C254">
        <f t="shared" si="20"/>
        <v>1</v>
      </c>
      <c r="D254" s="4"/>
      <c r="E254" t="s">
        <v>18</v>
      </c>
      <c r="F254" t="str">
        <f>INDEX(Establishment!B$2:B$1005,MATCH($E254,Establishment!$A$2:$A$1005,0))</f>
        <v xml:space="preserve"> </v>
      </c>
      <c r="G254" t="str">
        <f>INDEX(Establishment!C$2:C$1005,MATCH($E254,Establishment!$A$2:$A$1005,0))</f>
        <v xml:space="preserve"> </v>
      </c>
      <c r="M254">
        <f t="shared" si="21"/>
        <v>0</v>
      </c>
      <c r="N254">
        <f t="shared" si="19"/>
        <v>0</v>
      </c>
      <c r="P254" t="e">
        <f>INDEX(Items!B$2:B$1032,MATCH($O254,Items!$A$2:$A$1032,0))</f>
        <v>#N/A</v>
      </c>
      <c r="Q254" t="e">
        <f>INDEX(Items!C$2:C$1032,MATCH($O254,Items!$A$2:$A$1032,0))</f>
        <v>#N/A</v>
      </c>
      <c r="R254" t="e">
        <f>INDEX(Items!D$2:D$1032,MATCH($O254,Items!$A$2:$A$1032,0))</f>
        <v>#N/A</v>
      </c>
    </row>
    <row r="255" spans="1:18" x14ac:dyDescent="0.25">
      <c r="A255">
        <f t="shared" si="17"/>
        <v>1</v>
      </c>
      <c r="B255" t="str">
        <f t="shared" si="18"/>
        <v/>
      </c>
      <c r="C255">
        <f t="shared" si="20"/>
        <v>1</v>
      </c>
      <c r="D255" s="4"/>
      <c r="E255" t="s">
        <v>18</v>
      </c>
      <c r="F255" t="str">
        <f>INDEX(Establishment!B$2:B$1005,MATCH($E255,Establishment!$A$2:$A$1005,0))</f>
        <v xml:space="preserve"> </v>
      </c>
      <c r="G255" t="str">
        <f>INDEX(Establishment!C$2:C$1005,MATCH($E255,Establishment!$A$2:$A$1005,0))</f>
        <v xml:space="preserve"> </v>
      </c>
      <c r="M255">
        <f t="shared" si="21"/>
        <v>0</v>
      </c>
      <c r="N255">
        <f t="shared" si="19"/>
        <v>0</v>
      </c>
      <c r="P255" t="e">
        <f>INDEX(Items!B$2:B$1032,MATCH($O255,Items!$A$2:$A$1032,0))</f>
        <v>#N/A</v>
      </c>
      <c r="Q255" t="e">
        <f>INDEX(Items!C$2:C$1032,MATCH($O255,Items!$A$2:$A$1032,0))</f>
        <v>#N/A</v>
      </c>
      <c r="R255" t="e">
        <f>INDEX(Items!D$2:D$1032,MATCH($O255,Items!$A$2:$A$1032,0))</f>
        <v>#N/A</v>
      </c>
    </row>
    <row r="256" spans="1:18" x14ac:dyDescent="0.25">
      <c r="A256">
        <f t="shared" si="17"/>
        <v>1</v>
      </c>
      <c r="B256" t="str">
        <f t="shared" si="18"/>
        <v/>
      </c>
      <c r="C256">
        <f t="shared" si="20"/>
        <v>1</v>
      </c>
      <c r="D256" s="4"/>
      <c r="E256" t="s">
        <v>18</v>
      </c>
      <c r="F256" t="str">
        <f>INDEX(Establishment!B$2:B$1005,MATCH($E256,Establishment!$A$2:$A$1005,0))</f>
        <v xml:space="preserve"> </v>
      </c>
      <c r="G256" t="str">
        <f>INDEX(Establishment!C$2:C$1005,MATCH($E256,Establishment!$A$2:$A$1005,0))</f>
        <v xml:space="preserve"> </v>
      </c>
      <c r="M256">
        <f t="shared" si="21"/>
        <v>0</v>
      </c>
      <c r="N256">
        <f t="shared" si="19"/>
        <v>0</v>
      </c>
      <c r="P256" t="e">
        <f>INDEX(Items!B$2:B$1032,MATCH($O256,Items!$A$2:$A$1032,0))</f>
        <v>#N/A</v>
      </c>
      <c r="Q256" t="e">
        <f>INDEX(Items!C$2:C$1032,MATCH($O256,Items!$A$2:$A$1032,0))</f>
        <v>#N/A</v>
      </c>
      <c r="R256" t="e">
        <f>INDEX(Items!D$2:D$1032,MATCH($O256,Items!$A$2:$A$1032,0))</f>
        <v>#N/A</v>
      </c>
    </row>
    <row r="257" spans="1:18" x14ac:dyDescent="0.25">
      <c r="A257">
        <f t="shared" si="17"/>
        <v>1</v>
      </c>
      <c r="B257" t="str">
        <f t="shared" si="18"/>
        <v/>
      </c>
      <c r="C257">
        <f t="shared" si="20"/>
        <v>1</v>
      </c>
      <c r="D257" s="4"/>
      <c r="E257" t="s">
        <v>18</v>
      </c>
      <c r="F257" t="str">
        <f>INDEX(Establishment!B$2:B$1005,MATCH($E257,Establishment!$A$2:$A$1005,0))</f>
        <v xml:space="preserve"> </v>
      </c>
      <c r="G257" t="str">
        <f>INDEX(Establishment!C$2:C$1005,MATCH($E257,Establishment!$A$2:$A$1005,0))</f>
        <v xml:space="preserve"> </v>
      </c>
      <c r="M257">
        <f t="shared" si="21"/>
        <v>0</v>
      </c>
      <c r="N257">
        <f t="shared" si="19"/>
        <v>0</v>
      </c>
      <c r="P257" t="e">
        <f>INDEX(Items!B$2:B$1032,MATCH($O257,Items!$A$2:$A$1032,0))</f>
        <v>#N/A</v>
      </c>
      <c r="Q257" t="e">
        <f>INDEX(Items!C$2:C$1032,MATCH($O257,Items!$A$2:$A$1032,0))</f>
        <v>#N/A</v>
      </c>
      <c r="R257" t="e">
        <f>INDEX(Items!D$2:D$1032,MATCH($O257,Items!$A$2:$A$1032,0))</f>
        <v>#N/A</v>
      </c>
    </row>
    <row r="258" spans="1:18" x14ac:dyDescent="0.25">
      <c r="A258">
        <f t="shared" ref="A258:A321" si="22">IF(OR(D258&lt;&gt;D257,D258=""),1,IF(NOT(AND(E258=E257,F258=F257,G258=G257)),A257+1,IF(OR(H258="",AND(H258&lt;&gt;"",H258&lt;&gt;H257,H257&lt;&gt;"")),A257,A257+1)))</f>
        <v>1</v>
      </c>
      <c r="B258" t="str">
        <f t="shared" ref="B258:B321" si="23">IF(D258&lt;&gt;"",TEXT(D258,"YYYYMMDD")&amp;CHAR(64+A258),"")</f>
        <v/>
      </c>
      <c r="C258">
        <f t="shared" si="20"/>
        <v>1</v>
      </c>
      <c r="D258" s="4"/>
      <c r="E258" t="s">
        <v>18</v>
      </c>
      <c r="F258" t="str">
        <f>INDEX(Establishment!B$2:B$1005,MATCH($E258,Establishment!$A$2:$A$1005,0))</f>
        <v xml:space="preserve"> </v>
      </c>
      <c r="G258" t="str">
        <f>INDEX(Establishment!C$2:C$1005,MATCH($E258,Establishment!$A$2:$A$1005,0))</f>
        <v xml:space="preserve"> </v>
      </c>
      <c r="M258">
        <f t="shared" si="21"/>
        <v>0</v>
      </c>
      <c r="N258">
        <f t="shared" si="19"/>
        <v>0</v>
      </c>
      <c r="P258" t="e">
        <f>INDEX(Items!B$2:B$1032,MATCH($O258,Items!$A$2:$A$1032,0))</f>
        <v>#N/A</v>
      </c>
      <c r="Q258" t="e">
        <f>INDEX(Items!C$2:C$1032,MATCH($O258,Items!$A$2:$A$1032,0))</f>
        <v>#N/A</v>
      </c>
      <c r="R258" t="e">
        <f>INDEX(Items!D$2:D$1032,MATCH($O258,Items!$A$2:$A$1032,0))</f>
        <v>#N/A</v>
      </c>
    </row>
    <row r="259" spans="1:18" x14ac:dyDescent="0.25">
      <c r="A259">
        <f t="shared" si="22"/>
        <v>1</v>
      </c>
      <c r="B259" t="str">
        <f t="shared" si="23"/>
        <v/>
      </c>
      <c r="C259">
        <f t="shared" si="20"/>
        <v>1</v>
      </c>
      <c r="D259" s="4"/>
      <c r="E259" t="s">
        <v>18</v>
      </c>
      <c r="F259" t="str">
        <f>INDEX(Establishment!B$2:B$1005,MATCH($E259,Establishment!$A$2:$A$1005,0))</f>
        <v xml:space="preserve"> </v>
      </c>
      <c r="G259" t="str">
        <f>INDEX(Establishment!C$2:C$1005,MATCH($E259,Establishment!$A$2:$A$1005,0))</f>
        <v xml:space="preserve"> </v>
      </c>
      <c r="M259">
        <f t="shared" si="21"/>
        <v>0</v>
      </c>
      <c r="N259">
        <f t="shared" ref="N259:N322" si="24">IF(B259=B258,N258+M259,M259)</f>
        <v>0</v>
      </c>
      <c r="P259" t="e">
        <f>INDEX(Items!B$2:B$1032,MATCH($O259,Items!$A$2:$A$1032,0))</f>
        <v>#N/A</v>
      </c>
      <c r="Q259" t="e">
        <f>INDEX(Items!C$2:C$1032,MATCH($O259,Items!$A$2:$A$1032,0))</f>
        <v>#N/A</v>
      </c>
      <c r="R259" t="e">
        <f>INDEX(Items!D$2:D$1032,MATCH($O259,Items!$A$2:$A$1032,0))</f>
        <v>#N/A</v>
      </c>
    </row>
    <row r="260" spans="1:18" x14ac:dyDescent="0.25">
      <c r="A260">
        <f t="shared" si="22"/>
        <v>1</v>
      </c>
      <c r="B260" t="str">
        <f t="shared" si="23"/>
        <v/>
      </c>
      <c r="C260">
        <f t="shared" si="20"/>
        <v>1</v>
      </c>
      <c r="D260" s="4"/>
      <c r="E260" t="s">
        <v>18</v>
      </c>
      <c r="F260" t="str">
        <f>INDEX(Establishment!B$2:B$1005,MATCH($E260,Establishment!$A$2:$A$1005,0))</f>
        <v xml:space="preserve"> </v>
      </c>
      <c r="G260" t="str">
        <f>INDEX(Establishment!C$2:C$1005,MATCH($E260,Establishment!$A$2:$A$1005,0))</f>
        <v xml:space="preserve"> </v>
      </c>
      <c r="M260">
        <f t="shared" si="21"/>
        <v>0</v>
      </c>
      <c r="N260">
        <f t="shared" si="24"/>
        <v>0</v>
      </c>
      <c r="P260" t="e">
        <f>INDEX(Items!B$2:B$1032,MATCH($O260,Items!$A$2:$A$1032,0))</f>
        <v>#N/A</v>
      </c>
      <c r="Q260" t="e">
        <f>INDEX(Items!C$2:C$1032,MATCH($O260,Items!$A$2:$A$1032,0))</f>
        <v>#N/A</v>
      </c>
      <c r="R260" t="e">
        <f>INDEX(Items!D$2:D$1032,MATCH($O260,Items!$A$2:$A$1032,0))</f>
        <v>#N/A</v>
      </c>
    </row>
    <row r="261" spans="1:18" x14ac:dyDescent="0.25">
      <c r="A261">
        <f t="shared" si="22"/>
        <v>1</v>
      </c>
      <c r="B261" t="str">
        <f t="shared" si="23"/>
        <v/>
      </c>
      <c r="C261">
        <f t="shared" si="20"/>
        <v>1</v>
      </c>
      <c r="D261" s="4"/>
      <c r="E261" t="s">
        <v>18</v>
      </c>
      <c r="F261" t="str">
        <f>INDEX(Establishment!B$2:B$1005,MATCH($E261,Establishment!$A$2:$A$1005,0))</f>
        <v xml:space="preserve"> </v>
      </c>
      <c r="G261" t="str">
        <f>INDEX(Establishment!C$2:C$1005,MATCH($E261,Establishment!$A$2:$A$1005,0))</f>
        <v xml:space="preserve"> </v>
      </c>
      <c r="M261">
        <f t="shared" si="21"/>
        <v>0</v>
      </c>
      <c r="N261">
        <f t="shared" si="24"/>
        <v>0</v>
      </c>
      <c r="P261" t="e">
        <f>INDEX(Items!B$2:B$1032,MATCH($O261,Items!$A$2:$A$1032,0))</f>
        <v>#N/A</v>
      </c>
      <c r="Q261" t="e">
        <f>INDEX(Items!C$2:C$1032,MATCH($O261,Items!$A$2:$A$1032,0))</f>
        <v>#N/A</v>
      </c>
      <c r="R261" t="e">
        <f>INDEX(Items!D$2:D$1032,MATCH($O261,Items!$A$2:$A$1032,0))</f>
        <v>#N/A</v>
      </c>
    </row>
    <row r="262" spans="1:18" x14ac:dyDescent="0.25">
      <c r="A262">
        <f t="shared" si="22"/>
        <v>1</v>
      </c>
      <c r="B262" t="str">
        <f t="shared" si="23"/>
        <v/>
      </c>
      <c r="C262">
        <f t="shared" si="20"/>
        <v>1</v>
      </c>
      <c r="D262" s="4"/>
      <c r="E262" t="s">
        <v>18</v>
      </c>
      <c r="F262" t="str">
        <f>INDEX(Establishment!B$2:B$1005,MATCH($E262,Establishment!$A$2:$A$1005,0))</f>
        <v xml:space="preserve"> </v>
      </c>
      <c r="G262" t="str">
        <f>INDEX(Establishment!C$2:C$1005,MATCH($E262,Establishment!$A$2:$A$1005,0))</f>
        <v xml:space="preserve"> </v>
      </c>
      <c r="M262">
        <f t="shared" si="21"/>
        <v>0</v>
      </c>
      <c r="N262">
        <f t="shared" si="24"/>
        <v>0</v>
      </c>
      <c r="P262" t="e">
        <f>INDEX(Items!B$2:B$1032,MATCH($O262,Items!$A$2:$A$1032,0))</f>
        <v>#N/A</v>
      </c>
      <c r="Q262" t="e">
        <f>INDEX(Items!C$2:C$1032,MATCH($O262,Items!$A$2:$A$1032,0))</f>
        <v>#N/A</v>
      </c>
      <c r="R262" t="e">
        <f>INDEX(Items!D$2:D$1032,MATCH($O262,Items!$A$2:$A$1032,0))</f>
        <v>#N/A</v>
      </c>
    </row>
    <row r="263" spans="1:18" x14ac:dyDescent="0.25">
      <c r="A263">
        <f t="shared" si="22"/>
        <v>1</v>
      </c>
      <c r="B263" t="str">
        <f t="shared" si="23"/>
        <v/>
      </c>
      <c r="C263">
        <f t="shared" si="20"/>
        <v>1</v>
      </c>
      <c r="D263" s="4"/>
      <c r="E263" t="s">
        <v>18</v>
      </c>
      <c r="F263" t="str">
        <f>INDEX(Establishment!B$2:B$1005,MATCH($E263,Establishment!$A$2:$A$1005,0))</f>
        <v xml:space="preserve"> </v>
      </c>
      <c r="G263" t="str">
        <f>INDEX(Establishment!C$2:C$1005,MATCH($E263,Establishment!$A$2:$A$1005,0))</f>
        <v xml:space="preserve"> </v>
      </c>
      <c r="M263">
        <f t="shared" si="21"/>
        <v>0</v>
      </c>
      <c r="N263">
        <f t="shared" si="24"/>
        <v>0</v>
      </c>
      <c r="P263" t="e">
        <f>INDEX(Items!B$2:B$1032,MATCH($O263,Items!$A$2:$A$1032,0))</f>
        <v>#N/A</v>
      </c>
      <c r="Q263" t="e">
        <f>INDEX(Items!C$2:C$1032,MATCH($O263,Items!$A$2:$A$1032,0))</f>
        <v>#N/A</v>
      </c>
      <c r="R263" t="e">
        <f>INDEX(Items!D$2:D$1032,MATCH($O263,Items!$A$2:$A$1032,0))</f>
        <v>#N/A</v>
      </c>
    </row>
    <row r="264" spans="1:18" x14ac:dyDescent="0.25">
      <c r="A264">
        <f t="shared" si="22"/>
        <v>1</v>
      </c>
      <c r="B264" t="str">
        <f t="shared" si="23"/>
        <v/>
      </c>
      <c r="C264">
        <f t="shared" si="20"/>
        <v>1</v>
      </c>
      <c r="D264" s="4"/>
      <c r="E264" t="s">
        <v>18</v>
      </c>
      <c r="F264" t="str">
        <f>INDEX(Establishment!B$2:B$1005,MATCH($E264,Establishment!$A$2:$A$1005,0))</f>
        <v xml:space="preserve"> </v>
      </c>
      <c r="G264" t="str">
        <f>INDEX(Establishment!C$2:C$1005,MATCH($E264,Establishment!$A$2:$A$1005,0))</f>
        <v xml:space="preserve"> </v>
      </c>
      <c r="M264">
        <f t="shared" si="21"/>
        <v>0</v>
      </c>
      <c r="N264">
        <f t="shared" si="24"/>
        <v>0</v>
      </c>
      <c r="P264" t="e">
        <f>INDEX(Items!B$2:B$1032,MATCH($O264,Items!$A$2:$A$1032,0))</f>
        <v>#N/A</v>
      </c>
      <c r="Q264" t="e">
        <f>INDEX(Items!C$2:C$1032,MATCH($O264,Items!$A$2:$A$1032,0))</f>
        <v>#N/A</v>
      </c>
      <c r="R264" t="e">
        <f>INDEX(Items!D$2:D$1032,MATCH($O264,Items!$A$2:$A$1032,0))</f>
        <v>#N/A</v>
      </c>
    </row>
    <row r="265" spans="1:18" x14ac:dyDescent="0.25">
      <c r="A265">
        <f t="shared" si="22"/>
        <v>1</v>
      </c>
      <c r="B265" t="str">
        <f t="shared" si="23"/>
        <v/>
      </c>
      <c r="C265">
        <f t="shared" si="20"/>
        <v>1</v>
      </c>
      <c r="D265" s="4"/>
      <c r="E265" t="s">
        <v>18</v>
      </c>
      <c r="F265" t="str">
        <f>INDEX(Establishment!B$2:B$1005,MATCH($E265,Establishment!$A$2:$A$1005,0))</f>
        <v xml:space="preserve"> </v>
      </c>
      <c r="G265" t="str">
        <f>INDEX(Establishment!C$2:C$1005,MATCH($E265,Establishment!$A$2:$A$1005,0))</f>
        <v xml:space="preserve"> </v>
      </c>
      <c r="M265">
        <f t="shared" si="21"/>
        <v>0</v>
      </c>
      <c r="N265">
        <f t="shared" si="24"/>
        <v>0</v>
      </c>
      <c r="P265" t="e">
        <f>INDEX(Items!B$2:B$1032,MATCH($O265,Items!$A$2:$A$1032,0))</f>
        <v>#N/A</v>
      </c>
      <c r="Q265" t="e">
        <f>INDEX(Items!C$2:C$1032,MATCH($O265,Items!$A$2:$A$1032,0))</f>
        <v>#N/A</v>
      </c>
      <c r="R265" t="e">
        <f>INDEX(Items!D$2:D$1032,MATCH($O265,Items!$A$2:$A$1032,0))</f>
        <v>#N/A</v>
      </c>
    </row>
    <row r="266" spans="1:18" x14ac:dyDescent="0.25">
      <c r="A266">
        <f t="shared" si="22"/>
        <v>1</v>
      </c>
      <c r="B266" t="str">
        <f t="shared" si="23"/>
        <v/>
      </c>
      <c r="C266">
        <f t="shared" ref="C266:C329" si="25">IF(OR(B266="",B266&lt;&gt;B265),1,C265+1)</f>
        <v>1</v>
      </c>
      <c r="D266" s="4"/>
      <c r="E266" t="s">
        <v>18</v>
      </c>
      <c r="F266" t="str">
        <f>INDEX(Establishment!B$2:B$1005,MATCH($E266,Establishment!$A$2:$A$1005,0))</f>
        <v xml:space="preserve"> </v>
      </c>
      <c r="G266" t="str">
        <f>INDEX(Establishment!C$2:C$1005,MATCH($E266,Establishment!$A$2:$A$1005,0))</f>
        <v xml:space="preserve"> </v>
      </c>
      <c r="M266">
        <f t="shared" ref="M266:M329" si="26">K266*L266</f>
        <v>0</v>
      </c>
      <c r="N266">
        <f t="shared" si="24"/>
        <v>0</v>
      </c>
      <c r="P266" t="e">
        <f>INDEX(Items!B$2:B$1032,MATCH($O266,Items!$A$2:$A$1032,0))</f>
        <v>#N/A</v>
      </c>
      <c r="Q266" t="e">
        <f>INDEX(Items!C$2:C$1032,MATCH($O266,Items!$A$2:$A$1032,0))</f>
        <v>#N/A</v>
      </c>
      <c r="R266" t="e">
        <f>INDEX(Items!D$2:D$1032,MATCH($O266,Items!$A$2:$A$1032,0))</f>
        <v>#N/A</v>
      </c>
    </row>
    <row r="267" spans="1:18" x14ac:dyDescent="0.25">
      <c r="A267">
        <f t="shared" si="22"/>
        <v>1</v>
      </c>
      <c r="B267" t="str">
        <f t="shared" si="23"/>
        <v/>
      </c>
      <c r="C267">
        <f t="shared" si="25"/>
        <v>1</v>
      </c>
      <c r="D267" s="4"/>
      <c r="E267" t="s">
        <v>18</v>
      </c>
      <c r="F267" t="str">
        <f>INDEX(Establishment!B$2:B$1005,MATCH($E267,Establishment!$A$2:$A$1005,0))</f>
        <v xml:space="preserve"> </v>
      </c>
      <c r="G267" t="str">
        <f>INDEX(Establishment!C$2:C$1005,MATCH($E267,Establishment!$A$2:$A$1005,0))</f>
        <v xml:space="preserve"> </v>
      </c>
      <c r="M267">
        <f t="shared" si="26"/>
        <v>0</v>
      </c>
      <c r="N267">
        <f t="shared" si="24"/>
        <v>0</v>
      </c>
      <c r="P267" t="e">
        <f>INDEX(Items!B$2:B$1032,MATCH($O267,Items!$A$2:$A$1032,0))</f>
        <v>#N/A</v>
      </c>
      <c r="Q267" t="e">
        <f>INDEX(Items!C$2:C$1032,MATCH($O267,Items!$A$2:$A$1032,0))</f>
        <v>#N/A</v>
      </c>
      <c r="R267" t="e">
        <f>INDEX(Items!D$2:D$1032,MATCH($O267,Items!$A$2:$A$1032,0))</f>
        <v>#N/A</v>
      </c>
    </row>
    <row r="268" spans="1:18" x14ac:dyDescent="0.25">
      <c r="A268">
        <f t="shared" si="22"/>
        <v>1</v>
      </c>
      <c r="B268" t="str">
        <f t="shared" si="23"/>
        <v/>
      </c>
      <c r="C268">
        <f t="shared" si="25"/>
        <v>1</v>
      </c>
      <c r="D268" s="4"/>
      <c r="E268" t="s">
        <v>18</v>
      </c>
      <c r="F268" t="str">
        <f>INDEX(Establishment!B$2:B$1005,MATCH($E268,Establishment!$A$2:$A$1005,0))</f>
        <v xml:space="preserve"> </v>
      </c>
      <c r="G268" t="str">
        <f>INDEX(Establishment!C$2:C$1005,MATCH($E268,Establishment!$A$2:$A$1005,0))</f>
        <v xml:space="preserve"> </v>
      </c>
      <c r="M268">
        <f t="shared" si="26"/>
        <v>0</v>
      </c>
      <c r="N268">
        <f t="shared" si="24"/>
        <v>0</v>
      </c>
      <c r="P268" t="e">
        <f>INDEX(Items!B$2:B$1032,MATCH($O268,Items!$A$2:$A$1032,0))</f>
        <v>#N/A</v>
      </c>
      <c r="Q268" t="e">
        <f>INDEX(Items!C$2:C$1032,MATCH($O268,Items!$A$2:$A$1032,0))</f>
        <v>#N/A</v>
      </c>
      <c r="R268" t="e">
        <f>INDEX(Items!D$2:D$1032,MATCH($O268,Items!$A$2:$A$1032,0))</f>
        <v>#N/A</v>
      </c>
    </row>
    <row r="269" spans="1:18" x14ac:dyDescent="0.25">
      <c r="A269">
        <f t="shared" si="22"/>
        <v>1</v>
      </c>
      <c r="B269" t="str">
        <f t="shared" si="23"/>
        <v/>
      </c>
      <c r="C269">
        <f t="shared" si="25"/>
        <v>1</v>
      </c>
      <c r="D269" s="4"/>
      <c r="E269" t="s">
        <v>18</v>
      </c>
      <c r="F269" t="str">
        <f>INDEX(Establishment!B$2:B$1005,MATCH($E269,Establishment!$A$2:$A$1005,0))</f>
        <v xml:space="preserve"> </v>
      </c>
      <c r="G269" t="str">
        <f>INDEX(Establishment!C$2:C$1005,MATCH($E269,Establishment!$A$2:$A$1005,0))</f>
        <v xml:space="preserve"> </v>
      </c>
      <c r="M269">
        <f t="shared" si="26"/>
        <v>0</v>
      </c>
      <c r="N269">
        <f t="shared" si="24"/>
        <v>0</v>
      </c>
      <c r="P269" t="e">
        <f>INDEX(Items!B$2:B$1032,MATCH($O269,Items!$A$2:$A$1032,0))</f>
        <v>#N/A</v>
      </c>
      <c r="Q269" t="e">
        <f>INDEX(Items!C$2:C$1032,MATCH($O269,Items!$A$2:$A$1032,0))</f>
        <v>#N/A</v>
      </c>
      <c r="R269" t="e">
        <f>INDEX(Items!D$2:D$1032,MATCH($O269,Items!$A$2:$A$1032,0))</f>
        <v>#N/A</v>
      </c>
    </row>
    <row r="270" spans="1:18" x14ac:dyDescent="0.25">
      <c r="A270">
        <f t="shared" si="22"/>
        <v>1</v>
      </c>
      <c r="B270" t="str">
        <f t="shared" si="23"/>
        <v/>
      </c>
      <c r="C270">
        <f t="shared" si="25"/>
        <v>1</v>
      </c>
      <c r="D270" s="4"/>
      <c r="E270" t="s">
        <v>18</v>
      </c>
      <c r="F270" t="str">
        <f>INDEX(Establishment!B$2:B$1005,MATCH($E270,Establishment!$A$2:$A$1005,0))</f>
        <v xml:space="preserve"> </v>
      </c>
      <c r="G270" t="str">
        <f>INDEX(Establishment!C$2:C$1005,MATCH($E270,Establishment!$A$2:$A$1005,0))</f>
        <v xml:space="preserve"> </v>
      </c>
      <c r="M270">
        <f t="shared" si="26"/>
        <v>0</v>
      </c>
      <c r="N270">
        <f t="shared" si="24"/>
        <v>0</v>
      </c>
      <c r="P270" t="e">
        <f>INDEX(Items!B$2:B$1032,MATCH($O270,Items!$A$2:$A$1032,0))</f>
        <v>#N/A</v>
      </c>
      <c r="Q270" t="e">
        <f>INDEX(Items!C$2:C$1032,MATCH($O270,Items!$A$2:$A$1032,0))</f>
        <v>#N/A</v>
      </c>
      <c r="R270" t="e">
        <f>INDEX(Items!D$2:D$1032,MATCH($O270,Items!$A$2:$A$1032,0))</f>
        <v>#N/A</v>
      </c>
    </row>
    <row r="271" spans="1:18" x14ac:dyDescent="0.25">
      <c r="A271">
        <f t="shared" si="22"/>
        <v>1</v>
      </c>
      <c r="B271" t="str">
        <f t="shared" si="23"/>
        <v/>
      </c>
      <c r="C271">
        <f t="shared" si="25"/>
        <v>1</v>
      </c>
      <c r="D271" s="4"/>
      <c r="E271" t="s">
        <v>18</v>
      </c>
      <c r="F271" t="str">
        <f>INDEX(Establishment!B$2:B$1005,MATCH($E271,Establishment!$A$2:$A$1005,0))</f>
        <v xml:space="preserve"> </v>
      </c>
      <c r="G271" t="str">
        <f>INDEX(Establishment!C$2:C$1005,MATCH($E271,Establishment!$A$2:$A$1005,0))</f>
        <v xml:space="preserve"> </v>
      </c>
      <c r="M271">
        <f t="shared" si="26"/>
        <v>0</v>
      </c>
      <c r="N271">
        <f t="shared" si="24"/>
        <v>0</v>
      </c>
      <c r="P271" t="e">
        <f>INDEX(Items!B$2:B$1032,MATCH($O271,Items!$A$2:$A$1032,0))</f>
        <v>#N/A</v>
      </c>
      <c r="Q271" t="e">
        <f>INDEX(Items!C$2:C$1032,MATCH($O271,Items!$A$2:$A$1032,0))</f>
        <v>#N/A</v>
      </c>
      <c r="R271" t="e">
        <f>INDEX(Items!D$2:D$1032,MATCH($O271,Items!$A$2:$A$1032,0))</f>
        <v>#N/A</v>
      </c>
    </row>
    <row r="272" spans="1:18" x14ac:dyDescent="0.25">
      <c r="A272">
        <f t="shared" si="22"/>
        <v>1</v>
      </c>
      <c r="B272" t="str">
        <f t="shared" si="23"/>
        <v/>
      </c>
      <c r="C272">
        <f t="shared" si="25"/>
        <v>1</v>
      </c>
      <c r="D272" s="4"/>
      <c r="E272" t="s">
        <v>18</v>
      </c>
      <c r="F272" t="str">
        <f>INDEX(Establishment!B$2:B$1005,MATCH($E272,Establishment!$A$2:$A$1005,0))</f>
        <v xml:space="preserve"> </v>
      </c>
      <c r="G272" t="str">
        <f>INDEX(Establishment!C$2:C$1005,MATCH($E272,Establishment!$A$2:$A$1005,0))</f>
        <v xml:space="preserve"> </v>
      </c>
      <c r="M272">
        <f t="shared" si="26"/>
        <v>0</v>
      </c>
      <c r="N272">
        <f t="shared" si="24"/>
        <v>0</v>
      </c>
      <c r="P272" t="e">
        <f>INDEX(Items!B$2:B$1032,MATCH($O272,Items!$A$2:$A$1032,0))</f>
        <v>#N/A</v>
      </c>
      <c r="Q272" t="e">
        <f>INDEX(Items!C$2:C$1032,MATCH($O272,Items!$A$2:$A$1032,0))</f>
        <v>#N/A</v>
      </c>
      <c r="R272" t="e">
        <f>INDEX(Items!D$2:D$1032,MATCH($O272,Items!$A$2:$A$1032,0))</f>
        <v>#N/A</v>
      </c>
    </row>
    <row r="273" spans="1:18" x14ac:dyDescent="0.25">
      <c r="A273">
        <f t="shared" si="22"/>
        <v>1</v>
      </c>
      <c r="B273" t="str">
        <f t="shared" si="23"/>
        <v/>
      </c>
      <c r="C273">
        <f t="shared" si="25"/>
        <v>1</v>
      </c>
      <c r="D273" s="4"/>
      <c r="E273" t="s">
        <v>18</v>
      </c>
      <c r="F273" t="str">
        <f>INDEX(Establishment!B$2:B$1005,MATCH($E273,Establishment!$A$2:$A$1005,0))</f>
        <v xml:space="preserve"> </v>
      </c>
      <c r="G273" t="str">
        <f>INDEX(Establishment!C$2:C$1005,MATCH($E273,Establishment!$A$2:$A$1005,0))</f>
        <v xml:space="preserve"> </v>
      </c>
      <c r="M273">
        <f t="shared" si="26"/>
        <v>0</v>
      </c>
      <c r="N273">
        <f t="shared" si="24"/>
        <v>0</v>
      </c>
      <c r="P273" t="e">
        <f>INDEX(Items!B$2:B$1032,MATCH($O273,Items!$A$2:$A$1032,0))</f>
        <v>#N/A</v>
      </c>
      <c r="Q273" t="e">
        <f>INDEX(Items!C$2:C$1032,MATCH($O273,Items!$A$2:$A$1032,0))</f>
        <v>#N/A</v>
      </c>
      <c r="R273" t="e">
        <f>INDEX(Items!D$2:D$1032,MATCH($O273,Items!$A$2:$A$1032,0))</f>
        <v>#N/A</v>
      </c>
    </row>
    <row r="274" spans="1:18" x14ac:dyDescent="0.25">
      <c r="A274">
        <f t="shared" si="22"/>
        <v>1</v>
      </c>
      <c r="B274" t="str">
        <f t="shared" si="23"/>
        <v/>
      </c>
      <c r="C274">
        <f t="shared" si="25"/>
        <v>1</v>
      </c>
      <c r="D274" s="4"/>
      <c r="E274" t="s">
        <v>18</v>
      </c>
      <c r="F274" t="str">
        <f>INDEX(Establishment!B$2:B$1005,MATCH($E274,Establishment!$A$2:$A$1005,0))</f>
        <v xml:space="preserve"> </v>
      </c>
      <c r="G274" t="str">
        <f>INDEX(Establishment!C$2:C$1005,MATCH($E274,Establishment!$A$2:$A$1005,0))</f>
        <v xml:space="preserve"> </v>
      </c>
      <c r="M274">
        <f t="shared" si="26"/>
        <v>0</v>
      </c>
      <c r="N274">
        <f t="shared" si="24"/>
        <v>0</v>
      </c>
      <c r="P274" t="e">
        <f>INDEX(Items!B$2:B$1032,MATCH($O274,Items!$A$2:$A$1032,0))</f>
        <v>#N/A</v>
      </c>
      <c r="Q274" t="e">
        <f>INDEX(Items!C$2:C$1032,MATCH($O274,Items!$A$2:$A$1032,0))</f>
        <v>#N/A</v>
      </c>
      <c r="R274" t="e">
        <f>INDEX(Items!D$2:D$1032,MATCH($O274,Items!$A$2:$A$1032,0))</f>
        <v>#N/A</v>
      </c>
    </row>
    <row r="275" spans="1:18" x14ac:dyDescent="0.25">
      <c r="A275">
        <f t="shared" si="22"/>
        <v>1</v>
      </c>
      <c r="B275" t="str">
        <f t="shared" si="23"/>
        <v/>
      </c>
      <c r="C275">
        <f t="shared" si="25"/>
        <v>1</v>
      </c>
      <c r="D275" s="4"/>
      <c r="E275" t="s">
        <v>18</v>
      </c>
      <c r="F275" t="str">
        <f>INDEX(Establishment!B$2:B$1005,MATCH($E275,Establishment!$A$2:$A$1005,0))</f>
        <v xml:space="preserve"> </v>
      </c>
      <c r="G275" t="str">
        <f>INDEX(Establishment!C$2:C$1005,MATCH($E275,Establishment!$A$2:$A$1005,0))</f>
        <v xml:space="preserve"> </v>
      </c>
      <c r="M275">
        <f t="shared" si="26"/>
        <v>0</v>
      </c>
      <c r="N275">
        <f t="shared" si="24"/>
        <v>0</v>
      </c>
      <c r="P275" t="e">
        <f>INDEX(Items!B$2:B$1032,MATCH($O275,Items!$A$2:$A$1032,0))</f>
        <v>#N/A</v>
      </c>
      <c r="Q275" t="e">
        <f>INDEX(Items!C$2:C$1032,MATCH($O275,Items!$A$2:$A$1032,0))</f>
        <v>#N/A</v>
      </c>
      <c r="R275" t="e">
        <f>INDEX(Items!D$2:D$1032,MATCH($O275,Items!$A$2:$A$1032,0))</f>
        <v>#N/A</v>
      </c>
    </row>
    <row r="276" spans="1:18" x14ac:dyDescent="0.25">
      <c r="A276">
        <f t="shared" si="22"/>
        <v>1</v>
      </c>
      <c r="B276" t="str">
        <f t="shared" si="23"/>
        <v/>
      </c>
      <c r="C276">
        <f t="shared" si="25"/>
        <v>1</v>
      </c>
      <c r="D276" s="4"/>
      <c r="E276" t="s">
        <v>18</v>
      </c>
      <c r="F276" t="str">
        <f>INDEX(Establishment!B$2:B$1005,MATCH($E276,Establishment!$A$2:$A$1005,0))</f>
        <v xml:space="preserve"> </v>
      </c>
      <c r="G276" t="str">
        <f>INDEX(Establishment!C$2:C$1005,MATCH($E276,Establishment!$A$2:$A$1005,0))</f>
        <v xml:space="preserve"> </v>
      </c>
      <c r="M276">
        <f t="shared" si="26"/>
        <v>0</v>
      </c>
      <c r="N276">
        <f t="shared" si="24"/>
        <v>0</v>
      </c>
      <c r="P276" t="e">
        <f>INDEX(Items!B$2:B$1032,MATCH($O276,Items!$A$2:$A$1032,0))</f>
        <v>#N/A</v>
      </c>
      <c r="Q276" t="e">
        <f>INDEX(Items!C$2:C$1032,MATCH($O276,Items!$A$2:$A$1032,0))</f>
        <v>#N/A</v>
      </c>
      <c r="R276" t="e">
        <f>INDEX(Items!D$2:D$1032,MATCH($O276,Items!$A$2:$A$1032,0))</f>
        <v>#N/A</v>
      </c>
    </row>
    <row r="277" spans="1:18" x14ac:dyDescent="0.25">
      <c r="A277">
        <f t="shared" si="22"/>
        <v>1</v>
      </c>
      <c r="B277" t="str">
        <f t="shared" si="23"/>
        <v/>
      </c>
      <c r="C277">
        <f t="shared" si="25"/>
        <v>1</v>
      </c>
      <c r="D277" s="4"/>
      <c r="E277" t="s">
        <v>18</v>
      </c>
      <c r="F277" t="str">
        <f>INDEX(Establishment!B$2:B$1005,MATCH($E277,Establishment!$A$2:$A$1005,0))</f>
        <v xml:space="preserve"> </v>
      </c>
      <c r="G277" t="str">
        <f>INDEX(Establishment!C$2:C$1005,MATCH($E277,Establishment!$A$2:$A$1005,0))</f>
        <v xml:space="preserve"> </v>
      </c>
      <c r="M277">
        <f t="shared" si="26"/>
        <v>0</v>
      </c>
      <c r="N277">
        <f t="shared" si="24"/>
        <v>0</v>
      </c>
      <c r="P277" t="e">
        <f>INDEX(Items!B$2:B$1032,MATCH($O277,Items!$A$2:$A$1032,0))</f>
        <v>#N/A</v>
      </c>
      <c r="Q277" t="e">
        <f>INDEX(Items!C$2:C$1032,MATCH($O277,Items!$A$2:$A$1032,0))</f>
        <v>#N/A</v>
      </c>
      <c r="R277" t="e">
        <f>INDEX(Items!D$2:D$1032,MATCH($O277,Items!$A$2:$A$1032,0))</f>
        <v>#N/A</v>
      </c>
    </row>
    <row r="278" spans="1:18" x14ac:dyDescent="0.25">
      <c r="A278">
        <f t="shared" si="22"/>
        <v>1</v>
      </c>
      <c r="B278" t="str">
        <f t="shared" si="23"/>
        <v/>
      </c>
      <c r="C278">
        <f t="shared" si="25"/>
        <v>1</v>
      </c>
      <c r="D278" s="4"/>
      <c r="E278" t="s">
        <v>18</v>
      </c>
      <c r="F278" t="str">
        <f>INDEX(Establishment!B$2:B$1005,MATCH($E278,Establishment!$A$2:$A$1005,0))</f>
        <v xml:space="preserve"> </v>
      </c>
      <c r="G278" t="str">
        <f>INDEX(Establishment!C$2:C$1005,MATCH($E278,Establishment!$A$2:$A$1005,0))</f>
        <v xml:space="preserve"> </v>
      </c>
      <c r="M278">
        <f t="shared" si="26"/>
        <v>0</v>
      </c>
      <c r="N278">
        <f t="shared" si="24"/>
        <v>0</v>
      </c>
      <c r="P278" t="e">
        <f>INDEX(Items!B$2:B$1032,MATCH($O278,Items!$A$2:$A$1032,0))</f>
        <v>#N/A</v>
      </c>
      <c r="Q278" t="e">
        <f>INDEX(Items!C$2:C$1032,MATCH($O278,Items!$A$2:$A$1032,0))</f>
        <v>#N/A</v>
      </c>
      <c r="R278" t="e">
        <f>INDEX(Items!D$2:D$1032,MATCH($O278,Items!$A$2:$A$1032,0))</f>
        <v>#N/A</v>
      </c>
    </row>
    <row r="279" spans="1:18" x14ac:dyDescent="0.25">
      <c r="A279">
        <f t="shared" si="22"/>
        <v>1</v>
      </c>
      <c r="B279" t="str">
        <f t="shared" si="23"/>
        <v/>
      </c>
      <c r="C279">
        <f t="shared" si="25"/>
        <v>1</v>
      </c>
      <c r="D279" s="4"/>
      <c r="E279" t="s">
        <v>18</v>
      </c>
      <c r="F279" t="str">
        <f>INDEX(Establishment!B$2:B$1005,MATCH($E279,Establishment!$A$2:$A$1005,0))</f>
        <v xml:space="preserve"> </v>
      </c>
      <c r="G279" t="str">
        <f>INDEX(Establishment!C$2:C$1005,MATCH($E279,Establishment!$A$2:$A$1005,0))</f>
        <v xml:space="preserve"> </v>
      </c>
      <c r="M279">
        <f t="shared" si="26"/>
        <v>0</v>
      </c>
      <c r="N279">
        <f t="shared" si="24"/>
        <v>0</v>
      </c>
      <c r="P279" t="e">
        <f>INDEX(Items!B$2:B$1032,MATCH($O279,Items!$A$2:$A$1032,0))</f>
        <v>#N/A</v>
      </c>
      <c r="Q279" t="e">
        <f>INDEX(Items!C$2:C$1032,MATCH($O279,Items!$A$2:$A$1032,0))</f>
        <v>#N/A</v>
      </c>
      <c r="R279" t="e">
        <f>INDEX(Items!D$2:D$1032,MATCH($O279,Items!$A$2:$A$1032,0))</f>
        <v>#N/A</v>
      </c>
    </row>
    <row r="280" spans="1:18" x14ac:dyDescent="0.25">
      <c r="A280">
        <f t="shared" si="22"/>
        <v>1</v>
      </c>
      <c r="B280" t="str">
        <f t="shared" si="23"/>
        <v/>
      </c>
      <c r="C280">
        <f t="shared" si="25"/>
        <v>1</v>
      </c>
      <c r="D280" s="4"/>
      <c r="E280" t="s">
        <v>18</v>
      </c>
      <c r="F280" t="str">
        <f>INDEX(Establishment!B$2:B$1005,MATCH($E280,Establishment!$A$2:$A$1005,0))</f>
        <v xml:space="preserve"> </v>
      </c>
      <c r="G280" t="str">
        <f>INDEX(Establishment!C$2:C$1005,MATCH($E280,Establishment!$A$2:$A$1005,0))</f>
        <v xml:space="preserve"> </v>
      </c>
      <c r="M280">
        <f t="shared" si="26"/>
        <v>0</v>
      </c>
      <c r="N280">
        <f t="shared" si="24"/>
        <v>0</v>
      </c>
      <c r="P280" t="e">
        <f>INDEX(Items!B$2:B$1032,MATCH($O280,Items!$A$2:$A$1032,0))</f>
        <v>#N/A</v>
      </c>
      <c r="Q280" t="e">
        <f>INDEX(Items!C$2:C$1032,MATCH($O280,Items!$A$2:$A$1032,0))</f>
        <v>#N/A</v>
      </c>
      <c r="R280" t="e">
        <f>INDEX(Items!D$2:D$1032,MATCH($O280,Items!$A$2:$A$1032,0))</f>
        <v>#N/A</v>
      </c>
    </row>
    <row r="281" spans="1:18" x14ac:dyDescent="0.25">
      <c r="A281">
        <f t="shared" si="22"/>
        <v>1</v>
      </c>
      <c r="B281" t="str">
        <f t="shared" si="23"/>
        <v/>
      </c>
      <c r="C281">
        <f t="shared" si="25"/>
        <v>1</v>
      </c>
      <c r="D281" s="4"/>
      <c r="E281" t="s">
        <v>18</v>
      </c>
      <c r="F281" t="str">
        <f>INDEX(Establishment!B$2:B$1005,MATCH($E281,Establishment!$A$2:$A$1005,0))</f>
        <v xml:space="preserve"> </v>
      </c>
      <c r="G281" t="str">
        <f>INDEX(Establishment!C$2:C$1005,MATCH($E281,Establishment!$A$2:$A$1005,0))</f>
        <v xml:space="preserve"> </v>
      </c>
      <c r="M281">
        <f t="shared" si="26"/>
        <v>0</v>
      </c>
      <c r="N281">
        <f t="shared" si="24"/>
        <v>0</v>
      </c>
      <c r="P281" t="e">
        <f>INDEX(Items!B$2:B$1032,MATCH($O281,Items!$A$2:$A$1032,0))</f>
        <v>#N/A</v>
      </c>
      <c r="Q281" t="e">
        <f>INDEX(Items!C$2:C$1032,MATCH($O281,Items!$A$2:$A$1032,0))</f>
        <v>#N/A</v>
      </c>
      <c r="R281" t="e">
        <f>INDEX(Items!D$2:D$1032,MATCH($O281,Items!$A$2:$A$1032,0))</f>
        <v>#N/A</v>
      </c>
    </row>
    <row r="282" spans="1:18" x14ac:dyDescent="0.25">
      <c r="A282">
        <f t="shared" si="22"/>
        <v>1</v>
      </c>
      <c r="B282" t="str">
        <f t="shared" si="23"/>
        <v/>
      </c>
      <c r="C282">
        <f t="shared" si="25"/>
        <v>1</v>
      </c>
      <c r="D282" s="4"/>
      <c r="E282" t="s">
        <v>18</v>
      </c>
      <c r="F282" t="str">
        <f>INDEX(Establishment!B$2:B$1005,MATCH($E282,Establishment!$A$2:$A$1005,0))</f>
        <v xml:space="preserve"> </v>
      </c>
      <c r="G282" t="str">
        <f>INDEX(Establishment!C$2:C$1005,MATCH($E282,Establishment!$A$2:$A$1005,0))</f>
        <v xml:space="preserve"> </v>
      </c>
      <c r="M282">
        <f t="shared" si="26"/>
        <v>0</v>
      </c>
      <c r="N282">
        <f t="shared" si="24"/>
        <v>0</v>
      </c>
      <c r="P282" t="e">
        <f>INDEX(Items!B$2:B$1032,MATCH($O282,Items!$A$2:$A$1032,0))</f>
        <v>#N/A</v>
      </c>
      <c r="Q282" t="e">
        <f>INDEX(Items!C$2:C$1032,MATCH($O282,Items!$A$2:$A$1032,0))</f>
        <v>#N/A</v>
      </c>
      <c r="R282" t="e">
        <f>INDEX(Items!D$2:D$1032,MATCH($O282,Items!$A$2:$A$1032,0))</f>
        <v>#N/A</v>
      </c>
    </row>
    <row r="283" spans="1:18" x14ac:dyDescent="0.25">
      <c r="A283">
        <f t="shared" si="22"/>
        <v>1</v>
      </c>
      <c r="B283" t="str">
        <f t="shared" si="23"/>
        <v/>
      </c>
      <c r="C283">
        <f t="shared" si="25"/>
        <v>1</v>
      </c>
      <c r="D283" s="4"/>
      <c r="E283" t="s">
        <v>18</v>
      </c>
      <c r="F283" t="str">
        <f>INDEX(Establishment!B$2:B$1005,MATCH($E283,Establishment!$A$2:$A$1005,0))</f>
        <v xml:space="preserve"> </v>
      </c>
      <c r="G283" t="str">
        <f>INDEX(Establishment!C$2:C$1005,MATCH($E283,Establishment!$A$2:$A$1005,0))</f>
        <v xml:space="preserve"> </v>
      </c>
      <c r="M283">
        <f t="shared" si="26"/>
        <v>0</v>
      </c>
      <c r="N283">
        <f t="shared" si="24"/>
        <v>0</v>
      </c>
      <c r="P283" t="e">
        <f>INDEX(Items!B$2:B$1032,MATCH($O283,Items!$A$2:$A$1032,0))</f>
        <v>#N/A</v>
      </c>
      <c r="Q283" t="e">
        <f>INDEX(Items!C$2:C$1032,MATCH($O283,Items!$A$2:$A$1032,0))</f>
        <v>#N/A</v>
      </c>
      <c r="R283" t="e">
        <f>INDEX(Items!D$2:D$1032,MATCH($O283,Items!$A$2:$A$1032,0))</f>
        <v>#N/A</v>
      </c>
    </row>
    <row r="284" spans="1:18" x14ac:dyDescent="0.25">
      <c r="A284">
        <f t="shared" si="22"/>
        <v>1</v>
      </c>
      <c r="B284" t="str">
        <f t="shared" si="23"/>
        <v/>
      </c>
      <c r="C284">
        <f t="shared" si="25"/>
        <v>1</v>
      </c>
      <c r="D284" s="4"/>
      <c r="E284" t="s">
        <v>18</v>
      </c>
      <c r="F284" t="str">
        <f>INDEX(Establishment!B$2:B$1005,MATCH($E284,Establishment!$A$2:$A$1005,0))</f>
        <v xml:space="preserve"> </v>
      </c>
      <c r="G284" t="str">
        <f>INDEX(Establishment!C$2:C$1005,MATCH($E284,Establishment!$A$2:$A$1005,0))</f>
        <v xml:space="preserve"> </v>
      </c>
      <c r="M284">
        <f t="shared" si="26"/>
        <v>0</v>
      </c>
      <c r="N284">
        <f t="shared" si="24"/>
        <v>0</v>
      </c>
      <c r="P284" t="e">
        <f>INDEX(Items!B$2:B$1032,MATCH($O284,Items!$A$2:$A$1032,0))</f>
        <v>#N/A</v>
      </c>
      <c r="Q284" t="e">
        <f>INDEX(Items!C$2:C$1032,MATCH($O284,Items!$A$2:$A$1032,0))</f>
        <v>#N/A</v>
      </c>
      <c r="R284" t="e">
        <f>INDEX(Items!D$2:D$1032,MATCH($O284,Items!$A$2:$A$1032,0))</f>
        <v>#N/A</v>
      </c>
    </row>
    <row r="285" spans="1:18" x14ac:dyDescent="0.25">
      <c r="A285">
        <f t="shared" si="22"/>
        <v>1</v>
      </c>
      <c r="B285" t="str">
        <f t="shared" si="23"/>
        <v/>
      </c>
      <c r="C285">
        <f t="shared" si="25"/>
        <v>1</v>
      </c>
      <c r="D285" s="4"/>
      <c r="E285" t="s">
        <v>18</v>
      </c>
      <c r="F285" t="str">
        <f>INDEX(Establishment!B$2:B$1005,MATCH($E285,Establishment!$A$2:$A$1005,0))</f>
        <v xml:space="preserve"> </v>
      </c>
      <c r="G285" t="str">
        <f>INDEX(Establishment!C$2:C$1005,MATCH($E285,Establishment!$A$2:$A$1005,0))</f>
        <v xml:space="preserve"> </v>
      </c>
      <c r="M285">
        <f t="shared" si="26"/>
        <v>0</v>
      </c>
      <c r="N285">
        <f t="shared" si="24"/>
        <v>0</v>
      </c>
      <c r="P285" t="e">
        <f>INDEX(Items!B$2:B$1032,MATCH($O285,Items!$A$2:$A$1032,0))</f>
        <v>#N/A</v>
      </c>
      <c r="Q285" t="e">
        <f>INDEX(Items!C$2:C$1032,MATCH($O285,Items!$A$2:$A$1032,0))</f>
        <v>#N/A</v>
      </c>
      <c r="R285" t="e">
        <f>INDEX(Items!D$2:D$1032,MATCH($O285,Items!$A$2:$A$1032,0))</f>
        <v>#N/A</v>
      </c>
    </row>
    <row r="286" spans="1:18" x14ac:dyDescent="0.25">
      <c r="A286">
        <f t="shared" si="22"/>
        <v>1</v>
      </c>
      <c r="B286" t="str">
        <f t="shared" si="23"/>
        <v/>
      </c>
      <c r="C286">
        <f t="shared" si="25"/>
        <v>1</v>
      </c>
      <c r="D286" s="4"/>
      <c r="E286" t="s">
        <v>18</v>
      </c>
      <c r="F286" t="str">
        <f>INDEX(Establishment!B$2:B$1005,MATCH($E286,Establishment!$A$2:$A$1005,0))</f>
        <v xml:space="preserve"> </v>
      </c>
      <c r="G286" t="str">
        <f>INDEX(Establishment!C$2:C$1005,MATCH($E286,Establishment!$A$2:$A$1005,0))</f>
        <v xml:space="preserve"> </v>
      </c>
      <c r="M286">
        <f t="shared" si="26"/>
        <v>0</v>
      </c>
      <c r="N286">
        <f t="shared" si="24"/>
        <v>0</v>
      </c>
      <c r="P286" t="e">
        <f>INDEX(Items!B$2:B$1032,MATCH($O286,Items!$A$2:$A$1032,0))</f>
        <v>#N/A</v>
      </c>
      <c r="Q286" t="e">
        <f>INDEX(Items!C$2:C$1032,MATCH($O286,Items!$A$2:$A$1032,0))</f>
        <v>#N/A</v>
      </c>
      <c r="R286" t="e">
        <f>INDEX(Items!D$2:D$1032,MATCH($O286,Items!$A$2:$A$1032,0))</f>
        <v>#N/A</v>
      </c>
    </row>
    <row r="287" spans="1:18" x14ac:dyDescent="0.25">
      <c r="A287">
        <f t="shared" si="22"/>
        <v>1</v>
      </c>
      <c r="B287" t="str">
        <f t="shared" si="23"/>
        <v/>
      </c>
      <c r="C287">
        <f t="shared" si="25"/>
        <v>1</v>
      </c>
      <c r="D287" s="4"/>
      <c r="E287" t="s">
        <v>18</v>
      </c>
      <c r="F287" t="str">
        <f>INDEX(Establishment!B$2:B$1005,MATCH($E287,Establishment!$A$2:$A$1005,0))</f>
        <v xml:space="preserve"> </v>
      </c>
      <c r="G287" t="str">
        <f>INDEX(Establishment!C$2:C$1005,MATCH($E287,Establishment!$A$2:$A$1005,0))</f>
        <v xml:space="preserve"> </v>
      </c>
      <c r="M287">
        <f t="shared" si="26"/>
        <v>0</v>
      </c>
      <c r="N287">
        <f t="shared" si="24"/>
        <v>0</v>
      </c>
      <c r="P287" t="e">
        <f>INDEX(Items!B$2:B$1032,MATCH($O287,Items!$A$2:$A$1032,0))</f>
        <v>#N/A</v>
      </c>
      <c r="Q287" t="e">
        <f>INDEX(Items!C$2:C$1032,MATCH($O287,Items!$A$2:$A$1032,0))</f>
        <v>#N/A</v>
      </c>
      <c r="R287" t="e">
        <f>INDEX(Items!D$2:D$1032,MATCH($O287,Items!$A$2:$A$1032,0))</f>
        <v>#N/A</v>
      </c>
    </row>
    <row r="288" spans="1:18" x14ac:dyDescent="0.25">
      <c r="A288">
        <f t="shared" si="22"/>
        <v>1</v>
      </c>
      <c r="B288" t="str">
        <f t="shared" si="23"/>
        <v/>
      </c>
      <c r="C288">
        <f t="shared" si="25"/>
        <v>1</v>
      </c>
      <c r="D288" s="4"/>
      <c r="E288" t="s">
        <v>18</v>
      </c>
      <c r="F288" t="str">
        <f>INDEX(Establishment!B$2:B$1005,MATCH($E288,Establishment!$A$2:$A$1005,0))</f>
        <v xml:space="preserve"> </v>
      </c>
      <c r="G288" t="str">
        <f>INDEX(Establishment!C$2:C$1005,MATCH($E288,Establishment!$A$2:$A$1005,0))</f>
        <v xml:space="preserve"> </v>
      </c>
      <c r="M288">
        <f t="shared" si="26"/>
        <v>0</v>
      </c>
      <c r="N288">
        <f t="shared" si="24"/>
        <v>0</v>
      </c>
      <c r="P288" t="e">
        <f>INDEX(Items!B$2:B$1032,MATCH($O288,Items!$A$2:$A$1032,0))</f>
        <v>#N/A</v>
      </c>
      <c r="Q288" t="e">
        <f>INDEX(Items!C$2:C$1032,MATCH($O288,Items!$A$2:$A$1032,0))</f>
        <v>#N/A</v>
      </c>
      <c r="R288" t="e">
        <f>INDEX(Items!D$2:D$1032,MATCH($O288,Items!$A$2:$A$1032,0))</f>
        <v>#N/A</v>
      </c>
    </row>
    <row r="289" spans="1:18" x14ac:dyDescent="0.25">
      <c r="A289">
        <f t="shared" si="22"/>
        <v>1</v>
      </c>
      <c r="B289" t="str">
        <f t="shared" si="23"/>
        <v/>
      </c>
      <c r="C289">
        <f t="shared" si="25"/>
        <v>1</v>
      </c>
      <c r="D289" s="4"/>
      <c r="E289" t="s">
        <v>18</v>
      </c>
      <c r="F289" t="str">
        <f>INDEX(Establishment!B$2:B$1005,MATCH($E289,Establishment!$A$2:$A$1005,0))</f>
        <v xml:space="preserve"> </v>
      </c>
      <c r="G289" t="str">
        <f>INDEX(Establishment!C$2:C$1005,MATCH($E289,Establishment!$A$2:$A$1005,0))</f>
        <v xml:space="preserve"> </v>
      </c>
      <c r="M289">
        <f t="shared" si="26"/>
        <v>0</v>
      </c>
      <c r="N289">
        <f t="shared" si="24"/>
        <v>0</v>
      </c>
      <c r="P289" t="e">
        <f>INDEX(Items!B$2:B$1032,MATCH($O289,Items!$A$2:$A$1032,0))</f>
        <v>#N/A</v>
      </c>
      <c r="Q289" t="e">
        <f>INDEX(Items!C$2:C$1032,MATCH($O289,Items!$A$2:$A$1032,0))</f>
        <v>#N/A</v>
      </c>
      <c r="R289" t="e">
        <f>INDEX(Items!D$2:D$1032,MATCH($O289,Items!$A$2:$A$1032,0))</f>
        <v>#N/A</v>
      </c>
    </row>
    <row r="290" spans="1:18" x14ac:dyDescent="0.25">
      <c r="A290">
        <f t="shared" si="22"/>
        <v>1</v>
      </c>
      <c r="B290" t="str">
        <f t="shared" si="23"/>
        <v/>
      </c>
      <c r="C290">
        <f t="shared" si="25"/>
        <v>1</v>
      </c>
      <c r="D290" s="4"/>
      <c r="E290" t="s">
        <v>18</v>
      </c>
      <c r="F290" t="str">
        <f>INDEX(Establishment!B$2:B$1005,MATCH($E290,Establishment!$A$2:$A$1005,0))</f>
        <v xml:space="preserve"> </v>
      </c>
      <c r="G290" t="str">
        <f>INDEX(Establishment!C$2:C$1005,MATCH($E290,Establishment!$A$2:$A$1005,0))</f>
        <v xml:space="preserve"> </v>
      </c>
      <c r="M290">
        <f t="shared" si="26"/>
        <v>0</v>
      </c>
      <c r="N290">
        <f t="shared" si="24"/>
        <v>0</v>
      </c>
      <c r="P290" t="e">
        <f>INDEX(Items!B$2:B$1032,MATCH($O290,Items!$A$2:$A$1032,0))</f>
        <v>#N/A</v>
      </c>
      <c r="Q290" t="e">
        <f>INDEX(Items!C$2:C$1032,MATCH($O290,Items!$A$2:$A$1032,0))</f>
        <v>#N/A</v>
      </c>
      <c r="R290" t="e">
        <f>INDEX(Items!D$2:D$1032,MATCH($O290,Items!$A$2:$A$1032,0))</f>
        <v>#N/A</v>
      </c>
    </row>
    <row r="291" spans="1:18" x14ac:dyDescent="0.25">
      <c r="A291">
        <f t="shared" si="22"/>
        <v>1</v>
      </c>
      <c r="B291" t="str">
        <f t="shared" si="23"/>
        <v/>
      </c>
      <c r="C291">
        <f t="shared" si="25"/>
        <v>1</v>
      </c>
      <c r="D291" s="4"/>
      <c r="E291" t="s">
        <v>18</v>
      </c>
      <c r="F291" t="str">
        <f>INDEX(Establishment!B$2:B$1005,MATCH($E291,Establishment!$A$2:$A$1005,0))</f>
        <v xml:space="preserve"> </v>
      </c>
      <c r="G291" t="str">
        <f>INDEX(Establishment!C$2:C$1005,MATCH($E291,Establishment!$A$2:$A$1005,0))</f>
        <v xml:space="preserve"> </v>
      </c>
      <c r="M291">
        <f t="shared" si="26"/>
        <v>0</v>
      </c>
      <c r="N291">
        <f t="shared" si="24"/>
        <v>0</v>
      </c>
      <c r="P291" t="e">
        <f>INDEX(Items!B$2:B$1032,MATCH($O291,Items!$A$2:$A$1032,0))</f>
        <v>#N/A</v>
      </c>
      <c r="Q291" t="e">
        <f>INDEX(Items!C$2:C$1032,MATCH($O291,Items!$A$2:$A$1032,0))</f>
        <v>#N/A</v>
      </c>
      <c r="R291" t="e">
        <f>INDEX(Items!D$2:D$1032,MATCH($O291,Items!$A$2:$A$1032,0))</f>
        <v>#N/A</v>
      </c>
    </row>
    <row r="292" spans="1:18" x14ac:dyDescent="0.25">
      <c r="A292">
        <f t="shared" si="22"/>
        <v>1</v>
      </c>
      <c r="B292" t="str">
        <f t="shared" si="23"/>
        <v/>
      </c>
      <c r="C292">
        <f t="shared" si="25"/>
        <v>1</v>
      </c>
      <c r="D292" s="4"/>
      <c r="E292" t="s">
        <v>18</v>
      </c>
      <c r="F292" t="str">
        <f>INDEX(Establishment!B$2:B$1005,MATCH($E292,Establishment!$A$2:$A$1005,0))</f>
        <v xml:space="preserve"> </v>
      </c>
      <c r="G292" t="str">
        <f>INDEX(Establishment!C$2:C$1005,MATCH($E292,Establishment!$A$2:$A$1005,0))</f>
        <v xml:space="preserve"> </v>
      </c>
      <c r="M292">
        <f t="shared" si="26"/>
        <v>0</v>
      </c>
      <c r="N292">
        <f t="shared" si="24"/>
        <v>0</v>
      </c>
      <c r="P292" t="e">
        <f>INDEX(Items!B$2:B$1032,MATCH($O292,Items!$A$2:$A$1032,0))</f>
        <v>#N/A</v>
      </c>
      <c r="Q292" t="e">
        <f>INDEX(Items!C$2:C$1032,MATCH($O292,Items!$A$2:$A$1032,0))</f>
        <v>#N/A</v>
      </c>
      <c r="R292" t="e">
        <f>INDEX(Items!D$2:D$1032,MATCH($O292,Items!$A$2:$A$1032,0))</f>
        <v>#N/A</v>
      </c>
    </row>
    <row r="293" spans="1:18" x14ac:dyDescent="0.25">
      <c r="A293">
        <f t="shared" si="22"/>
        <v>1</v>
      </c>
      <c r="B293" t="str">
        <f t="shared" si="23"/>
        <v/>
      </c>
      <c r="C293">
        <f t="shared" si="25"/>
        <v>1</v>
      </c>
      <c r="D293" s="4"/>
      <c r="E293" t="s">
        <v>18</v>
      </c>
      <c r="F293" t="str">
        <f>INDEX(Establishment!B$2:B$1005,MATCH($E293,Establishment!$A$2:$A$1005,0))</f>
        <v xml:space="preserve"> </v>
      </c>
      <c r="G293" t="str">
        <f>INDEX(Establishment!C$2:C$1005,MATCH($E293,Establishment!$A$2:$A$1005,0))</f>
        <v xml:space="preserve"> </v>
      </c>
      <c r="M293">
        <f t="shared" si="26"/>
        <v>0</v>
      </c>
      <c r="N293">
        <f t="shared" si="24"/>
        <v>0</v>
      </c>
      <c r="P293" t="e">
        <f>INDEX(Items!B$2:B$1032,MATCH($O293,Items!$A$2:$A$1032,0))</f>
        <v>#N/A</v>
      </c>
      <c r="Q293" t="e">
        <f>INDEX(Items!C$2:C$1032,MATCH($O293,Items!$A$2:$A$1032,0))</f>
        <v>#N/A</v>
      </c>
      <c r="R293" t="e">
        <f>INDEX(Items!D$2:D$1032,MATCH($O293,Items!$A$2:$A$1032,0))</f>
        <v>#N/A</v>
      </c>
    </row>
    <row r="294" spans="1:18" x14ac:dyDescent="0.25">
      <c r="A294">
        <f t="shared" si="22"/>
        <v>1</v>
      </c>
      <c r="B294" t="str">
        <f t="shared" si="23"/>
        <v/>
      </c>
      <c r="C294">
        <f t="shared" si="25"/>
        <v>1</v>
      </c>
      <c r="D294" s="4"/>
      <c r="E294" t="s">
        <v>18</v>
      </c>
      <c r="F294" t="str">
        <f>INDEX(Establishment!B$2:B$1005,MATCH($E294,Establishment!$A$2:$A$1005,0))</f>
        <v xml:space="preserve"> </v>
      </c>
      <c r="G294" t="str">
        <f>INDEX(Establishment!C$2:C$1005,MATCH($E294,Establishment!$A$2:$A$1005,0))</f>
        <v xml:space="preserve"> </v>
      </c>
      <c r="M294">
        <f t="shared" si="26"/>
        <v>0</v>
      </c>
      <c r="N294">
        <f t="shared" si="24"/>
        <v>0</v>
      </c>
      <c r="P294" t="e">
        <f>INDEX(Items!B$2:B$1032,MATCH($O294,Items!$A$2:$A$1032,0))</f>
        <v>#N/A</v>
      </c>
      <c r="Q294" t="e">
        <f>INDEX(Items!C$2:C$1032,MATCH($O294,Items!$A$2:$A$1032,0))</f>
        <v>#N/A</v>
      </c>
      <c r="R294" t="e">
        <f>INDEX(Items!D$2:D$1032,MATCH($O294,Items!$A$2:$A$1032,0))</f>
        <v>#N/A</v>
      </c>
    </row>
    <row r="295" spans="1:18" x14ac:dyDescent="0.25">
      <c r="A295">
        <f t="shared" si="22"/>
        <v>1</v>
      </c>
      <c r="B295" t="str">
        <f t="shared" si="23"/>
        <v/>
      </c>
      <c r="C295">
        <f t="shared" si="25"/>
        <v>1</v>
      </c>
      <c r="D295" s="4"/>
      <c r="E295" t="s">
        <v>18</v>
      </c>
      <c r="F295" t="str">
        <f>INDEX(Establishment!B$2:B$1005,MATCH($E295,Establishment!$A$2:$A$1005,0))</f>
        <v xml:space="preserve"> </v>
      </c>
      <c r="G295" t="str">
        <f>INDEX(Establishment!C$2:C$1005,MATCH($E295,Establishment!$A$2:$A$1005,0))</f>
        <v xml:space="preserve"> </v>
      </c>
      <c r="M295">
        <f t="shared" si="26"/>
        <v>0</v>
      </c>
      <c r="N295">
        <f t="shared" si="24"/>
        <v>0</v>
      </c>
      <c r="P295" t="e">
        <f>INDEX(Items!B$2:B$1032,MATCH($O295,Items!$A$2:$A$1032,0))</f>
        <v>#N/A</v>
      </c>
      <c r="Q295" t="e">
        <f>INDEX(Items!C$2:C$1032,MATCH($O295,Items!$A$2:$A$1032,0))</f>
        <v>#N/A</v>
      </c>
      <c r="R295" t="e">
        <f>INDEX(Items!D$2:D$1032,MATCH($O295,Items!$A$2:$A$1032,0))</f>
        <v>#N/A</v>
      </c>
    </row>
    <row r="296" spans="1:18" x14ac:dyDescent="0.25">
      <c r="A296">
        <f t="shared" si="22"/>
        <v>1</v>
      </c>
      <c r="B296" t="str">
        <f t="shared" si="23"/>
        <v/>
      </c>
      <c r="C296">
        <f t="shared" si="25"/>
        <v>1</v>
      </c>
      <c r="D296" s="4"/>
      <c r="E296" t="s">
        <v>18</v>
      </c>
      <c r="F296" t="str">
        <f>INDEX(Establishment!B$2:B$1005,MATCH($E296,Establishment!$A$2:$A$1005,0))</f>
        <v xml:space="preserve"> </v>
      </c>
      <c r="G296" t="str">
        <f>INDEX(Establishment!C$2:C$1005,MATCH($E296,Establishment!$A$2:$A$1005,0))</f>
        <v xml:space="preserve"> </v>
      </c>
      <c r="M296">
        <f t="shared" si="26"/>
        <v>0</v>
      </c>
      <c r="N296">
        <f t="shared" si="24"/>
        <v>0</v>
      </c>
      <c r="P296" t="e">
        <f>INDEX(Items!B$2:B$1032,MATCH($O296,Items!$A$2:$A$1032,0))</f>
        <v>#N/A</v>
      </c>
      <c r="Q296" t="e">
        <f>INDEX(Items!C$2:C$1032,MATCH($O296,Items!$A$2:$A$1032,0))</f>
        <v>#N/A</v>
      </c>
      <c r="R296" t="e">
        <f>INDEX(Items!D$2:D$1032,MATCH($O296,Items!$A$2:$A$1032,0))</f>
        <v>#N/A</v>
      </c>
    </row>
    <row r="297" spans="1:18" x14ac:dyDescent="0.25">
      <c r="A297">
        <f t="shared" si="22"/>
        <v>1</v>
      </c>
      <c r="B297" t="str">
        <f t="shared" si="23"/>
        <v/>
      </c>
      <c r="C297">
        <f t="shared" si="25"/>
        <v>1</v>
      </c>
      <c r="D297" s="4"/>
      <c r="E297" t="s">
        <v>18</v>
      </c>
      <c r="F297" t="str">
        <f>INDEX(Establishment!B$2:B$1005,MATCH($E297,Establishment!$A$2:$A$1005,0))</f>
        <v xml:space="preserve"> </v>
      </c>
      <c r="G297" t="str">
        <f>INDEX(Establishment!C$2:C$1005,MATCH($E297,Establishment!$A$2:$A$1005,0))</f>
        <v xml:space="preserve"> </v>
      </c>
      <c r="M297">
        <f t="shared" si="26"/>
        <v>0</v>
      </c>
      <c r="N297">
        <f t="shared" si="24"/>
        <v>0</v>
      </c>
      <c r="P297" t="e">
        <f>INDEX(Items!B$2:B$1032,MATCH($O297,Items!$A$2:$A$1032,0))</f>
        <v>#N/A</v>
      </c>
      <c r="Q297" t="e">
        <f>INDEX(Items!C$2:C$1032,MATCH($O297,Items!$A$2:$A$1032,0))</f>
        <v>#N/A</v>
      </c>
      <c r="R297" t="e">
        <f>INDEX(Items!D$2:D$1032,MATCH($O297,Items!$A$2:$A$1032,0))</f>
        <v>#N/A</v>
      </c>
    </row>
    <row r="298" spans="1:18" x14ac:dyDescent="0.25">
      <c r="A298">
        <f t="shared" si="22"/>
        <v>1</v>
      </c>
      <c r="B298" t="str">
        <f t="shared" si="23"/>
        <v/>
      </c>
      <c r="C298">
        <f t="shared" si="25"/>
        <v>1</v>
      </c>
      <c r="D298" s="4"/>
      <c r="E298" t="s">
        <v>18</v>
      </c>
      <c r="F298" t="str">
        <f>INDEX(Establishment!B$2:B$1005,MATCH($E298,Establishment!$A$2:$A$1005,0))</f>
        <v xml:space="preserve"> </v>
      </c>
      <c r="G298" t="str">
        <f>INDEX(Establishment!C$2:C$1005,MATCH($E298,Establishment!$A$2:$A$1005,0))</f>
        <v xml:space="preserve"> </v>
      </c>
      <c r="M298">
        <f t="shared" si="26"/>
        <v>0</v>
      </c>
      <c r="N298">
        <f t="shared" si="24"/>
        <v>0</v>
      </c>
      <c r="P298" t="e">
        <f>INDEX(Items!B$2:B$1032,MATCH($O298,Items!$A$2:$A$1032,0))</f>
        <v>#N/A</v>
      </c>
      <c r="Q298" t="e">
        <f>INDEX(Items!C$2:C$1032,MATCH($O298,Items!$A$2:$A$1032,0))</f>
        <v>#N/A</v>
      </c>
      <c r="R298" t="e">
        <f>INDEX(Items!D$2:D$1032,MATCH($O298,Items!$A$2:$A$1032,0))</f>
        <v>#N/A</v>
      </c>
    </row>
    <row r="299" spans="1:18" x14ac:dyDescent="0.25">
      <c r="A299">
        <f t="shared" si="22"/>
        <v>1</v>
      </c>
      <c r="B299" t="str">
        <f t="shared" si="23"/>
        <v/>
      </c>
      <c r="C299">
        <f t="shared" si="25"/>
        <v>1</v>
      </c>
      <c r="D299" s="4"/>
      <c r="E299" t="s">
        <v>18</v>
      </c>
      <c r="F299" t="str">
        <f>INDEX(Establishment!B$2:B$1005,MATCH($E299,Establishment!$A$2:$A$1005,0))</f>
        <v xml:space="preserve"> </v>
      </c>
      <c r="G299" t="str">
        <f>INDEX(Establishment!C$2:C$1005,MATCH($E299,Establishment!$A$2:$A$1005,0))</f>
        <v xml:space="preserve"> </v>
      </c>
      <c r="M299">
        <f t="shared" si="26"/>
        <v>0</v>
      </c>
      <c r="N299">
        <f t="shared" si="24"/>
        <v>0</v>
      </c>
      <c r="P299" t="e">
        <f>INDEX(Items!B$2:B$1032,MATCH($O299,Items!$A$2:$A$1032,0))</f>
        <v>#N/A</v>
      </c>
      <c r="Q299" t="e">
        <f>INDEX(Items!C$2:C$1032,MATCH($O299,Items!$A$2:$A$1032,0))</f>
        <v>#N/A</v>
      </c>
      <c r="R299" t="e">
        <f>INDEX(Items!D$2:D$1032,MATCH($O299,Items!$A$2:$A$1032,0))</f>
        <v>#N/A</v>
      </c>
    </row>
    <row r="300" spans="1:18" x14ac:dyDescent="0.25">
      <c r="A300">
        <f t="shared" si="22"/>
        <v>1</v>
      </c>
      <c r="B300" t="str">
        <f t="shared" si="23"/>
        <v/>
      </c>
      <c r="C300">
        <f t="shared" si="25"/>
        <v>1</v>
      </c>
      <c r="D300" s="4"/>
      <c r="E300" t="s">
        <v>18</v>
      </c>
      <c r="F300" t="str">
        <f>INDEX(Establishment!B$2:B$1005,MATCH($E300,Establishment!$A$2:$A$1005,0))</f>
        <v xml:space="preserve"> </v>
      </c>
      <c r="G300" t="str">
        <f>INDEX(Establishment!C$2:C$1005,MATCH($E300,Establishment!$A$2:$A$1005,0))</f>
        <v xml:space="preserve"> </v>
      </c>
      <c r="M300">
        <f t="shared" si="26"/>
        <v>0</v>
      </c>
      <c r="N300">
        <f t="shared" si="24"/>
        <v>0</v>
      </c>
      <c r="P300" t="e">
        <f>INDEX(Items!B$2:B$1032,MATCH($O300,Items!$A$2:$A$1032,0))</f>
        <v>#N/A</v>
      </c>
      <c r="Q300" t="e">
        <f>INDEX(Items!C$2:C$1032,MATCH($O300,Items!$A$2:$A$1032,0))</f>
        <v>#N/A</v>
      </c>
      <c r="R300" t="e">
        <f>INDEX(Items!D$2:D$1032,MATCH($O300,Items!$A$2:$A$1032,0))</f>
        <v>#N/A</v>
      </c>
    </row>
    <row r="301" spans="1:18" x14ac:dyDescent="0.25">
      <c r="A301">
        <f t="shared" si="22"/>
        <v>1</v>
      </c>
      <c r="B301" t="str">
        <f t="shared" si="23"/>
        <v/>
      </c>
      <c r="C301">
        <f t="shared" si="25"/>
        <v>1</v>
      </c>
      <c r="D301" s="4"/>
      <c r="E301" t="s">
        <v>18</v>
      </c>
      <c r="F301" t="str">
        <f>INDEX(Establishment!B$2:B$1005,MATCH($E301,Establishment!$A$2:$A$1005,0))</f>
        <v xml:space="preserve"> </v>
      </c>
      <c r="G301" t="str">
        <f>INDEX(Establishment!C$2:C$1005,MATCH($E301,Establishment!$A$2:$A$1005,0))</f>
        <v xml:space="preserve"> </v>
      </c>
      <c r="M301">
        <f t="shared" si="26"/>
        <v>0</v>
      </c>
      <c r="N301">
        <f t="shared" si="24"/>
        <v>0</v>
      </c>
      <c r="P301" t="e">
        <f>INDEX(Items!B$2:B$1032,MATCH($O301,Items!$A$2:$A$1032,0))</f>
        <v>#N/A</v>
      </c>
      <c r="Q301" t="e">
        <f>INDEX(Items!C$2:C$1032,MATCH($O301,Items!$A$2:$A$1032,0))</f>
        <v>#N/A</v>
      </c>
      <c r="R301" t="e">
        <f>INDEX(Items!D$2:D$1032,MATCH($O301,Items!$A$2:$A$1032,0))</f>
        <v>#N/A</v>
      </c>
    </row>
    <row r="302" spans="1:18" x14ac:dyDescent="0.25">
      <c r="A302">
        <f t="shared" si="22"/>
        <v>1</v>
      </c>
      <c r="B302" t="str">
        <f t="shared" si="23"/>
        <v/>
      </c>
      <c r="C302">
        <f t="shared" si="25"/>
        <v>1</v>
      </c>
      <c r="D302" s="4"/>
      <c r="E302" t="s">
        <v>18</v>
      </c>
      <c r="F302" t="str">
        <f>INDEX(Establishment!B$2:B$1005,MATCH($E302,Establishment!$A$2:$A$1005,0))</f>
        <v xml:space="preserve"> </v>
      </c>
      <c r="G302" t="str">
        <f>INDEX(Establishment!C$2:C$1005,MATCH($E302,Establishment!$A$2:$A$1005,0))</f>
        <v xml:space="preserve"> </v>
      </c>
      <c r="M302">
        <f t="shared" si="26"/>
        <v>0</v>
      </c>
      <c r="N302">
        <f t="shared" si="24"/>
        <v>0</v>
      </c>
      <c r="P302" t="e">
        <f>INDEX(Items!B$2:B$1032,MATCH($O302,Items!$A$2:$A$1032,0))</f>
        <v>#N/A</v>
      </c>
      <c r="Q302" t="e">
        <f>INDEX(Items!C$2:C$1032,MATCH($O302,Items!$A$2:$A$1032,0))</f>
        <v>#N/A</v>
      </c>
      <c r="R302" t="e">
        <f>INDEX(Items!D$2:D$1032,MATCH($O302,Items!$A$2:$A$1032,0))</f>
        <v>#N/A</v>
      </c>
    </row>
    <row r="303" spans="1:18" x14ac:dyDescent="0.25">
      <c r="A303">
        <f t="shared" si="22"/>
        <v>1</v>
      </c>
      <c r="B303" t="str">
        <f t="shared" si="23"/>
        <v/>
      </c>
      <c r="C303">
        <f t="shared" si="25"/>
        <v>1</v>
      </c>
      <c r="D303" s="4"/>
      <c r="E303" t="s">
        <v>18</v>
      </c>
      <c r="F303" t="str">
        <f>INDEX(Establishment!B$2:B$1005,MATCH($E303,Establishment!$A$2:$A$1005,0))</f>
        <v xml:space="preserve"> </v>
      </c>
      <c r="G303" t="str">
        <f>INDEX(Establishment!C$2:C$1005,MATCH($E303,Establishment!$A$2:$A$1005,0))</f>
        <v xml:space="preserve"> </v>
      </c>
      <c r="M303">
        <f t="shared" si="26"/>
        <v>0</v>
      </c>
      <c r="N303">
        <f t="shared" si="24"/>
        <v>0</v>
      </c>
      <c r="P303" t="e">
        <f>INDEX(Items!B$2:B$1032,MATCH($O303,Items!$A$2:$A$1032,0))</f>
        <v>#N/A</v>
      </c>
      <c r="Q303" t="e">
        <f>INDEX(Items!C$2:C$1032,MATCH($O303,Items!$A$2:$A$1032,0))</f>
        <v>#N/A</v>
      </c>
      <c r="R303" t="e">
        <f>INDEX(Items!D$2:D$1032,MATCH($O303,Items!$A$2:$A$1032,0))</f>
        <v>#N/A</v>
      </c>
    </row>
    <row r="304" spans="1:18" x14ac:dyDescent="0.25">
      <c r="A304">
        <f t="shared" si="22"/>
        <v>1</v>
      </c>
      <c r="B304" t="str">
        <f t="shared" si="23"/>
        <v/>
      </c>
      <c r="C304">
        <f t="shared" si="25"/>
        <v>1</v>
      </c>
      <c r="D304" s="4"/>
      <c r="E304" t="s">
        <v>18</v>
      </c>
      <c r="F304" t="str">
        <f>INDEX(Establishment!B$2:B$1005,MATCH($E304,Establishment!$A$2:$A$1005,0))</f>
        <v xml:space="preserve"> </v>
      </c>
      <c r="G304" t="str">
        <f>INDEX(Establishment!C$2:C$1005,MATCH($E304,Establishment!$A$2:$A$1005,0))</f>
        <v xml:space="preserve"> </v>
      </c>
      <c r="M304">
        <f t="shared" si="26"/>
        <v>0</v>
      </c>
      <c r="N304">
        <f t="shared" si="24"/>
        <v>0</v>
      </c>
      <c r="P304" t="e">
        <f>INDEX(Items!B$2:B$1032,MATCH($O304,Items!$A$2:$A$1032,0))</f>
        <v>#N/A</v>
      </c>
      <c r="Q304" t="e">
        <f>INDEX(Items!C$2:C$1032,MATCH($O304,Items!$A$2:$A$1032,0))</f>
        <v>#N/A</v>
      </c>
      <c r="R304" t="e">
        <f>INDEX(Items!D$2:D$1032,MATCH($O304,Items!$A$2:$A$1032,0))</f>
        <v>#N/A</v>
      </c>
    </row>
    <row r="305" spans="1:18" x14ac:dyDescent="0.25">
      <c r="A305">
        <f t="shared" si="22"/>
        <v>1</v>
      </c>
      <c r="B305" t="str">
        <f t="shared" si="23"/>
        <v/>
      </c>
      <c r="C305">
        <f t="shared" si="25"/>
        <v>1</v>
      </c>
      <c r="D305" s="4"/>
      <c r="E305" t="s">
        <v>18</v>
      </c>
      <c r="F305" t="str">
        <f>INDEX(Establishment!B$2:B$1005,MATCH($E305,Establishment!$A$2:$A$1005,0))</f>
        <v xml:space="preserve"> </v>
      </c>
      <c r="G305" t="str">
        <f>INDEX(Establishment!C$2:C$1005,MATCH($E305,Establishment!$A$2:$A$1005,0))</f>
        <v xml:space="preserve"> </v>
      </c>
      <c r="M305">
        <f t="shared" si="26"/>
        <v>0</v>
      </c>
      <c r="N305">
        <f t="shared" si="24"/>
        <v>0</v>
      </c>
      <c r="P305" t="e">
        <f>INDEX(Items!B$2:B$1032,MATCH($O305,Items!$A$2:$A$1032,0))</f>
        <v>#N/A</v>
      </c>
      <c r="Q305" t="e">
        <f>INDEX(Items!C$2:C$1032,MATCH($O305,Items!$A$2:$A$1032,0))</f>
        <v>#N/A</v>
      </c>
      <c r="R305" t="e">
        <f>INDEX(Items!D$2:D$1032,MATCH($O305,Items!$A$2:$A$1032,0))</f>
        <v>#N/A</v>
      </c>
    </row>
    <row r="306" spans="1:18" x14ac:dyDescent="0.25">
      <c r="A306">
        <f t="shared" si="22"/>
        <v>1</v>
      </c>
      <c r="B306" t="str">
        <f t="shared" si="23"/>
        <v/>
      </c>
      <c r="C306">
        <f t="shared" si="25"/>
        <v>1</v>
      </c>
      <c r="D306" s="4"/>
      <c r="E306" t="s">
        <v>18</v>
      </c>
      <c r="F306" t="str">
        <f>INDEX(Establishment!B$2:B$1005,MATCH($E306,Establishment!$A$2:$A$1005,0))</f>
        <v xml:space="preserve"> </v>
      </c>
      <c r="G306" t="str">
        <f>INDEX(Establishment!C$2:C$1005,MATCH($E306,Establishment!$A$2:$A$1005,0))</f>
        <v xml:space="preserve"> </v>
      </c>
      <c r="M306">
        <f t="shared" si="26"/>
        <v>0</v>
      </c>
      <c r="N306">
        <f t="shared" si="24"/>
        <v>0</v>
      </c>
      <c r="P306" t="e">
        <f>INDEX(Items!B$2:B$1032,MATCH($O306,Items!$A$2:$A$1032,0))</f>
        <v>#N/A</v>
      </c>
      <c r="Q306" t="e">
        <f>INDEX(Items!C$2:C$1032,MATCH($O306,Items!$A$2:$A$1032,0))</f>
        <v>#N/A</v>
      </c>
      <c r="R306" t="e">
        <f>INDEX(Items!D$2:D$1032,MATCH($O306,Items!$A$2:$A$1032,0))</f>
        <v>#N/A</v>
      </c>
    </row>
    <row r="307" spans="1:18" x14ac:dyDescent="0.25">
      <c r="A307">
        <f t="shared" si="22"/>
        <v>1</v>
      </c>
      <c r="B307" t="str">
        <f t="shared" si="23"/>
        <v/>
      </c>
      <c r="C307">
        <f t="shared" si="25"/>
        <v>1</v>
      </c>
      <c r="D307" s="4"/>
      <c r="E307" t="s">
        <v>18</v>
      </c>
      <c r="F307" t="str">
        <f>INDEX(Establishment!B$2:B$1005,MATCH($E307,Establishment!$A$2:$A$1005,0))</f>
        <v xml:space="preserve"> </v>
      </c>
      <c r="G307" t="str">
        <f>INDEX(Establishment!C$2:C$1005,MATCH($E307,Establishment!$A$2:$A$1005,0))</f>
        <v xml:space="preserve"> </v>
      </c>
      <c r="M307">
        <f t="shared" si="26"/>
        <v>0</v>
      </c>
      <c r="N307">
        <f t="shared" si="24"/>
        <v>0</v>
      </c>
      <c r="P307" t="e">
        <f>INDEX(Items!B$2:B$1032,MATCH($O307,Items!$A$2:$A$1032,0))</f>
        <v>#N/A</v>
      </c>
      <c r="Q307" t="e">
        <f>INDEX(Items!C$2:C$1032,MATCH($O307,Items!$A$2:$A$1032,0))</f>
        <v>#N/A</v>
      </c>
      <c r="R307" t="e">
        <f>INDEX(Items!D$2:D$1032,MATCH($O307,Items!$A$2:$A$1032,0))</f>
        <v>#N/A</v>
      </c>
    </row>
    <row r="308" spans="1:18" x14ac:dyDescent="0.25">
      <c r="A308">
        <f t="shared" si="22"/>
        <v>1</v>
      </c>
      <c r="B308" t="str">
        <f t="shared" si="23"/>
        <v/>
      </c>
      <c r="C308">
        <f t="shared" si="25"/>
        <v>1</v>
      </c>
      <c r="D308" s="4"/>
      <c r="E308" t="s">
        <v>18</v>
      </c>
      <c r="F308" t="str">
        <f>INDEX(Establishment!B$2:B$1005,MATCH($E308,Establishment!$A$2:$A$1005,0))</f>
        <v xml:space="preserve"> </v>
      </c>
      <c r="G308" t="str">
        <f>INDEX(Establishment!C$2:C$1005,MATCH($E308,Establishment!$A$2:$A$1005,0))</f>
        <v xml:space="preserve"> </v>
      </c>
      <c r="M308">
        <f t="shared" si="26"/>
        <v>0</v>
      </c>
      <c r="N308">
        <f t="shared" si="24"/>
        <v>0</v>
      </c>
      <c r="P308" t="e">
        <f>INDEX(Items!B$2:B$1032,MATCH($O308,Items!$A$2:$A$1032,0))</f>
        <v>#N/A</v>
      </c>
      <c r="Q308" t="e">
        <f>INDEX(Items!C$2:C$1032,MATCH($O308,Items!$A$2:$A$1032,0))</f>
        <v>#N/A</v>
      </c>
      <c r="R308" t="e">
        <f>INDEX(Items!D$2:D$1032,MATCH($O308,Items!$A$2:$A$1032,0))</f>
        <v>#N/A</v>
      </c>
    </row>
    <row r="309" spans="1:18" x14ac:dyDescent="0.25">
      <c r="A309">
        <f t="shared" si="22"/>
        <v>1</v>
      </c>
      <c r="B309" t="str">
        <f t="shared" si="23"/>
        <v/>
      </c>
      <c r="C309">
        <f t="shared" si="25"/>
        <v>1</v>
      </c>
      <c r="D309" s="4"/>
      <c r="E309" t="s">
        <v>18</v>
      </c>
      <c r="F309" t="str">
        <f>INDEX(Establishment!B$2:B$1005,MATCH($E309,Establishment!$A$2:$A$1005,0))</f>
        <v xml:space="preserve"> </v>
      </c>
      <c r="G309" t="str">
        <f>INDEX(Establishment!C$2:C$1005,MATCH($E309,Establishment!$A$2:$A$1005,0))</f>
        <v xml:space="preserve"> </v>
      </c>
      <c r="M309">
        <f t="shared" si="26"/>
        <v>0</v>
      </c>
      <c r="N309">
        <f t="shared" si="24"/>
        <v>0</v>
      </c>
      <c r="P309" t="e">
        <f>INDEX(Items!B$2:B$1032,MATCH($O309,Items!$A$2:$A$1032,0))</f>
        <v>#N/A</v>
      </c>
      <c r="Q309" t="e">
        <f>INDEX(Items!C$2:C$1032,MATCH($O309,Items!$A$2:$A$1032,0))</f>
        <v>#N/A</v>
      </c>
      <c r="R309" t="e">
        <f>INDEX(Items!D$2:D$1032,MATCH($O309,Items!$A$2:$A$1032,0))</f>
        <v>#N/A</v>
      </c>
    </row>
    <row r="310" spans="1:18" x14ac:dyDescent="0.25">
      <c r="A310">
        <f t="shared" si="22"/>
        <v>1</v>
      </c>
      <c r="B310" t="str">
        <f t="shared" si="23"/>
        <v/>
      </c>
      <c r="C310">
        <f t="shared" si="25"/>
        <v>1</v>
      </c>
      <c r="D310" s="4"/>
      <c r="E310" t="s">
        <v>18</v>
      </c>
      <c r="F310" t="str">
        <f>INDEX(Establishment!B$2:B$1005,MATCH($E310,Establishment!$A$2:$A$1005,0))</f>
        <v xml:space="preserve"> </v>
      </c>
      <c r="G310" t="str">
        <f>INDEX(Establishment!C$2:C$1005,MATCH($E310,Establishment!$A$2:$A$1005,0))</f>
        <v xml:space="preserve"> </v>
      </c>
      <c r="M310">
        <f t="shared" si="26"/>
        <v>0</v>
      </c>
      <c r="N310">
        <f t="shared" si="24"/>
        <v>0</v>
      </c>
      <c r="P310" t="e">
        <f>INDEX(Items!B$2:B$1032,MATCH($O310,Items!$A$2:$A$1032,0))</f>
        <v>#N/A</v>
      </c>
      <c r="Q310" t="e">
        <f>INDEX(Items!C$2:C$1032,MATCH($O310,Items!$A$2:$A$1032,0))</f>
        <v>#N/A</v>
      </c>
      <c r="R310" t="e">
        <f>INDEX(Items!D$2:D$1032,MATCH($O310,Items!$A$2:$A$1032,0))</f>
        <v>#N/A</v>
      </c>
    </row>
    <row r="311" spans="1:18" x14ac:dyDescent="0.25">
      <c r="A311">
        <f t="shared" si="22"/>
        <v>1</v>
      </c>
      <c r="B311" t="str">
        <f t="shared" si="23"/>
        <v/>
      </c>
      <c r="C311">
        <f t="shared" si="25"/>
        <v>1</v>
      </c>
      <c r="D311" s="4"/>
      <c r="E311" t="s">
        <v>18</v>
      </c>
      <c r="F311" t="str">
        <f>INDEX(Establishment!B$2:B$1005,MATCH($E311,Establishment!$A$2:$A$1005,0))</f>
        <v xml:space="preserve"> </v>
      </c>
      <c r="G311" t="str">
        <f>INDEX(Establishment!C$2:C$1005,MATCH($E311,Establishment!$A$2:$A$1005,0))</f>
        <v xml:space="preserve"> </v>
      </c>
      <c r="M311">
        <f t="shared" si="26"/>
        <v>0</v>
      </c>
      <c r="N311">
        <f t="shared" si="24"/>
        <v>0</v>
      </c>
      <c r="P311" t="e">
        <f>INDEX(Items!B$2:B$1032,MATCH($O311,Items!$A$2:$A$1032,0))</f>
        <v>#N/A</v>
      </c>
      <c r="Q311" t="e">
        <f>INDEX(Items!C$2:C$1032,MATCH($O311,Items!$A$2:$A$1032,0))</f>
        <v>#N/A</v>
      </c>
      <c r="R311" t="e">
        <f>INDEX(Items!D$2:D$1032,MATCH($O311,Items!$A$2:$A$1032,0))</f>
        <v>#N/A</v>
      </c>
    </row>
    <row r="312" spans="1:18" x14ac:dyDescent="0.25">
      <c r="A312">
        <f t="shared" si="22"/>
        <v>1</v>
      </c>
      <c r="B312" t="str">
        <f t="shared" si="23"/>
        <v/>
      </c>
      <c r="C312">
        <f t="shared" si="25"/>
        <v>1</v>
      </c>
      <c r="D312" s="4"/>
      <c r="E312" t="s">
        <v>18</v>
      </c>
      <c r="F312" t="str">
        <f>INDEX(Establishment!B$2:B$1005,MATCH($E312,Establishment!$A$2:$A$1005,0))</f>
        <v xml:space="preserve"> </v>
      </c>
      <c r="G312" t="str">
        <f>INDEX(Establishment!C$2:C$1005,MATCH($E312,Establishment!$A$2:$A$1005,0))</f>
        <v xml:space="preserve"> </v>
      </c>
      <c r="M312">
        <f t="shared" si="26"/>
        <v>0</v>
      </c>
      <c r="N312">
        <f t="shared" si="24"/>
        <v>0</v>
      </c>
      <c r="P312" t="e">
        <f>INDEX(Items!B$2:B$1032,MATCH($O312,Items!$A$2:$A$1032,0))</f>
        <v>#N/A</v>
      </c>
      <c r="Q312" t="e">
        <f>INDEX(Items!C$2:C$1032,MATCH($O312,Items!$A$2:$A$1032,0))</f>
        <v>#N/A</v>
      </c>
      <c r="R312" t="e">
        <f>INDEX(Items!D$2:D$1032,MATCH($O312,Items!$A$2:$A$1032,0))</f>
        <v>#N/A</v>
      </c>
    </row>
    <row r="313" spans="1:18" x14ac:dyDescent="0.25">
      <c r="A313">
        <f t="shared" si="22"/>
        <v>1</v>
      </c>
      <c r="B313" t="str">
        <f t="shared" si="23"/>
        <v/>
      </c>
      <c r="C313">
        <f t="shared" si="25"/>
        <v>1</v>
      </c>
      <c r="D313" s="4"/>
      <c r="E313" t="s">
        <v>18</v>
      </c>
      <c r="F313" t="str">
        <f>INDEX(Establishment!B$2:B$1005,MATCH($E313,Establishment!$A$2:$A$1005,0))</f>
        <v xml:space="preserve"> </v>
      </c>
      <c r="G313" t="str">
        <f>INDEX(Establishment!C$2:C$1005,MATCH($E313,Establishment!$A$2:$A$1005,0))</f>
        <v xml:space="preserve"> </v>
      </c>
      <c r="M313">
        <f t="shared" si="26"/>
        <v>0</v>
      </c>
      <c r="N313">
        <f t="shared" si="24"/>
        <v>0</v>
      </c>
      <c r="P313" t="e">
        <f>INDEX(Items!B$2:B$1032,MATCH($O313,Items!$A$2:$A$1032,0))</f>
        <v>#N/A</v>
      </c>
      <c r="Q313" t="e">
        <f>INDEX(Items!C$2:C$1032,MATCH($O313,Items!$A$2:$A$1032,0))</f>
        <v>#N/A</v>
      </c>
      <c r="R313" t="e">
        <f>INDEX(Items!D$2:D$1032,MATCH($O313,Items!$A$2:$A$1032,0))</f>
        <v>#N/A</v>
      </c>
    </row>
    <row r="314" spans="1:18" x14ac:dyDescent="0.25">
      <c r="A314">
        <f t="shared" si="22"/>
        <v>1</v>
      </c>
      <c r="B314" t="str">
        <f t="shared" si="23"/>
        <v/>
      </c>
      <c r="C314">
        <f t="shared" si="25"/>
        <v>1</v>
      </c>
      <c r="D314" s="4"/>
      <c r="E314" t="s">
        <v>18</v>
      </c>
      <c r="F314" t="str">
        <f>INDEX(Establishment!B$2:B$1005,MATCH($E314,Establishment!$A$2:$A$1005,0))</f>
        <v xml:space="preserve"> </v>
      </c>
      <c r="G314" t="str">
        <f>INDEX(Establishment!C$2:C$1005,MATCH($E314,Establishment!$A$2:$A$1005,0))</f>
        <v xml:space="preserve"> </v>
      </c>
      <c r="M314">
        <f t="shared" si="26"/>
        <v>0</v>
      </c>
      <c r="N314">
        <f t="shared" si="24"/>
        <v>0</v>
      </c>
      <c r="P314" t="e">
        <f>INDEX(Items!B$2:B$1032,MATCH($O314,Items!$A$2:$A$1032,0))</f>
        <v>#N/A</v>
      </c>
      <c r="Q314" t="e">
        <f>INDEX(Items!C$2:C$1032,MATCH($O314,Items!$A$2:$A$1032,0))</f>
        <v>#N/A</v>
      </c>
      <c r="R314" t="e">
        <f>INDEX(Items!D$2:D$1032,MATCH($O314,Items!$A$2:$A$1032,0))</f>
        <v>#N/A</v>
      </c>
    </row>
    <row r="315" spans="1:18" x14ac:dyDescent="0.25">
      <c r="A315">
        <f t="shared" si="22"/>
        <v>1</v>
      </c>
      <c r="B315" t="str">
        <f t="shared" si="23"/>
        <v/>
      </c>
      <c r="C315">
        <f t="shared" si="25"/>
        <v>1</v>
      </c>
      <c r="D315" s="4"/>
      <c r="E315" t="s">
        <v>18</v>
      </c>
      <c r="F315" t="str">
        <f>INDEX(Establishment!B$2:B$1005,MATCH($E315,Establishment!$A$2:$A$1005,0))</f>
        <v xml:space="preserve"> </v>
      </c>
      <c r="G315" t="str">
        <f>INDEX(Establishment!C$2:C$1005,MATCH($E315,Establishment!$A$2:$A$1005,0))</f>
        <v xml:space="preserve"> </v>
      </c>
      <c r="M315">
        <f t="shared" si="26"/>
        <v>0</v>
      </c>
      <c r="N315">
        <f t="shared" si="24"/>
        <v>0</v>
      </c>
      <c r="P315" t="e">
        <f>INDEX(Items!B$2:B$1032,MATCH($O315,Items!$A$2:$A$1032,0))</f>
        <v>#N/A</v>
      </c>
      <c r="Q315" t="e">
        <f>INDEX(Items!C$2:C$1032,MATCH($O315,Items!$A$2:$A$1032,0))</f>
        <v>#N/A</v>
      </c>
      <c r="R315" t="e">
        <f>INDEX(Items!D$2:D$1032,MATCH($O315,Items!$A$2:$A$1032,0))</f>
        <v>#N/A</v>
      </c>
    </row>
    <row r="316" spans="1:18" x14ac:dyDescent="0.25">
      <c r="A316">
        <f t="shared" si="22"/>
        <v>1</v>
      </c>
      <c r="B316" t="str">
        <f t="shared" si="23"/>
        <v/>
      </c>
      <c r="C316">
        <f t="shared" si="25"/>
        <v>1</v>
      </c>
      <c r="D316" s="4"/>
      <c r="E316" t="s">
        <v>18</v>
      </c>
      <c r="F316" t="str">
        <f>INDEX(Establishment!B$2:B$1005,MATCH($E316,Establishment!$A$2:$A$1005,0))</f>
        <v xml:space="preserve"> </v>
      </c>
      <c r="G316" t="str">
        <f>INDEX(Establishment!C$2:C$1005,MATCH($E316,Establishment!$A$2:$A$1005,0))</f>
        <v xml:space="preserve"> </v>
      </c>
      <c r="M316">
        <f t="shared" si="26"/>
        <v>0</v>
      </c>
      <c r="N316">
        <f t="shared" si="24"/>
        <v>0</v>
      </c>
      <c r="P316" t="e">
        <f>INDEX(Items!B$2:B$1032,MATCH($O316,Items!$A$2:$A$1032,0))</f>
        <v>#N/A</v>
      </c>
      <c r="Q316" t="e">
        <f>INDEX(Items!C$2:C$1032,MATCH($O316,Items!$A$2:$A$1032,0))</f>
        <v>#N/A</v>
      </c>
      <c r="R316" t="e">
        <f>INDEX(Items!D$2:D$1032,MATCH($O316,Items!$A$2:$A$1032,0))</f>
        <v>#N/A</v>
      </c>
    </row>
    <row r="317" spans="1:18" x14ac:dyDescent="0.25">
      <c r="A317">
        <f t="shared" si="22"/>
        <v>1</v>
      </c>
      <c r="B317" t="str">
        <f t="shared" si="23"/>
        <v/>
      </c>
      <c r="C317">
        <f t="shared" si="25"/>
        <v>1</v>
      </c>
      <c r="D317" s="4"/>
      <c r="E317" t="s">
        <v>18</v>
      </c>
      <c r="F317" t="str">
        <f>INDEX(Establishment!B$2:B$1005,MATCH($E317,Establishment!$A$2:$A$1005,0))</f>
        <v xml:space="preserve"> </v>
      </c>
      <c r="G317" t="str">
        <f>INDEX(Establishment!C$2:C$1005,MATCH($E317,Establishment!$A$2:$A$1005,0))</f>
        <v xml:space="preserve"> </v>
      </c>
      <c r="M317">
        <f t="shared" si="26"/>
        <v>0</v>
      </c>
      <c r="N317">
        <f t="shared" si="24"/>
        <v>0</v>
      </c>
      <c r="P317" t="e">
        <f>INDEX(Items!B$2:B$1032,MATCH($O317,Items!$A$2:$A$1032,0))</f>
        <v>#N/A</v>
      </c>
      <c r="Q317" t="e">
        <f>INDEX(Items!C$2:C$1032,MATCH($O317,Items!$A$2:$A$1032,0))</f>
        <v>#N/A</v>
      </c>
      <c r="R317" t="e">
        <f>INDEX(Items!D$2:D$1032,MATCH($O317,Items!$A$2:$A$1032,0))</f>
        <v>#N/A</v>
      </c>
    </row>
    <row r="318" spans="1:18" x14ac:dyDescent="0.25">
      <c r="A318">
        <f t="shared" si="22"/>
        <v>1</v>
      </c>
      <c r="B318" t="str">
        <f t="shared" si="23"/>
        <v/>
      </c>
      <c r="C318">
        <f t="shared" si="25"/>
        <v>1</v>
      </c>
      <c r="D318" s="4"/>
      <c r="E318" t="s">
        <v>18</v>
      </c>
      <c r="F318" t="str">
        <f>INDEX(Establishment!B$2:B$1005,MATCH($E318,Establishment!$A$2:$A$1005,0))</f>
        <v xml:space="preserve"> </v>
      </c>
      <c r="G318" t="str">
        <f>INDEX(Establishment!C$2:C$1005,MATCH($E318,Establishment!$A$2:$A$1005,0))</f>
        <v xml:space="preserve"> </v>
      </c>
      <c r="M318">
        <f t="shared" si="26"/>
        <v>0</v>
      </c>
      <c r="N318">
        <f t="shared" si="24"/>
        <v>0</v>
      </c>
      <c r="P318" t="e">
        <f>INDEX(Items!B$2:B$1032,MATCH($O318,Items!$A$2:$A$1032,0))</f>
        <v>#N/A</v>
      </c>
      <c r="Q318" t="e">
        <f>INDEX(Items!C$2:C$1032,MATCH($O318,Items!$A$2:$A$1032,0))</f>
        <v>#N/A</v>
      </c>
      <c r="R318" t="e">
        <f>INDEX(Items!D$2:D$1032,MATCH($O318,Items!$A$2:$A$1032,0))</f>
        <v>#N/A</v>
      </c>
    </row>
    <row r="319" spans="1:18" x14ac:dyDescent="0.25">
      <c r="A319">
        <f t="shared" si="22"/>
        <v>1</v>
      </c>
      <c r="B319" t="str">
        <f t="shared" si="23"/>
        <v/>
      </c>
      <c r="C319">
        <f t="shared" si="25"/>
        <v>1</v>
      </c>
      <c r="D319" s="4"/>
      <c r="E319" t="s">
        <v>18</v>
      </c>
      <c r="F319" t="str">
        <f>INDEX(Establishment!B$2:B$1005,MATCH($E319,Establishment!$A$2:$A$1005,0))</f>
        <v xml:space="preserve"> </v>
      </c>
      <c r="G319" t="str">
        <f>INDEX(Establishment!C$2:C$1005,MATCH($E319,Establishment!$A$2:$A$1005,0))</f>
        <v xml:space="preserve"> </v>
      </c>
      <c r="M319">
        <f t="shared" si="26"/>
        <v>0</v>
      </c>
      <c r="N319">
        <f t="shared" si="24"/>
        <v>0</v>
      </c>
      <c r="P319" t="e">
        <f>INDEX(Items!B$2:B$1032,MATCH($O319,Items!$A$2:$A$1032,0))</f>
        <v>#N/A</v>
      </c>
      <c r="Q319" t="e">
        <f>INDEX(Items!C$2:C$1032,MATCH($O319,Items!$A$2:$A$1032,0))</f>
        <v>#N/A</v>
      </c>
      <c r="R319" t="e">
        <f>INDEX(Items!D$2:D$1032,MATCH($O319,Items!$A$2:$A$1032,0))</f>
        <v>#N/A</v>
      </c>
    </row>
    <row r="320" spans="1:18" x14ac:dyDescent="0.25">
      <c r="A320">
        <f t="shared" si="22"/>
        <v>1</v>
      </c>
      <c r="B320" t="str">
        <f t="shared" si="23"/>
        <v/>
      </c>
      <c r="C320">
        <f t="shared" si="25"/>
        <v>1</v>
      </c>
      <c r="D320" s="4"/>
      <c r="E320" t="s">
        <v>18</v>
      </c>
      <c r="F320" t="str">
        <f>INDEX(Establishment!B$2:B$1005,MATCH($E320,Establishment!$A$2:$A$1005,0))</f>
        <v xml:space="preserve"> </v>
      </c>
      <c r="G320" t="str">
        <f>INDEX(Establishment!C$2:C$1005,MATCH($E320,Establishment!$A$2:$A$1005,0))</f>
        <v xml:space="preserve"> </v>
      </c>
      <c r="M320">
        <f t="shared" si="26"/>
        <v>0</v>
      </c>
      <c r="N320">
        <f t="shared" si="24"/>
        <v>0</v>
      </c>
      <c r="P320" t="e">
        <f>INDEX(Items!B$2:B$1032,MATCH($O320,Items!$A$2:$A$1032,0))</f>
        <v>#N/A</v>
      </c>
      <c r="Q320" t="e">
        <f>INDEX(Items!C$2:C$1032,MATCH($O320,Items!$A$2:$A$1032,0))</f>
        <v>#N/A</v>
      </c>
      <c r="R320" t="e">
        <f>INDEX(Items!D$2:D$1032,MATCH($O320,Items!$A$2:$A$1032,0))</f>
        <v>#N/A</v>
      </c>
    </row>
    <row r="321" spans="1:18" x14ac:dyDescent="0.25">
      <c r="A321">
        <f t="shared" si="22"/>
        <v>1</v>
      </c>
      <c r="B321" t="str">
        <f t="shared" si="23"/>
        <v/>
      </c>
      <c r="C321">
        <f t="shared" si="25"/>
        <v>1</v>
      </c>
      <c r="D321" s="4"/>
      <c r="E321" t="s">
        <v>18</v>
      </c>
      <c r="F321" t="str">
        <f>INDEX(Establishment!B$2:B$1005,MATCH($E321,Establishment!$A$2:$A$1005,0))</f>
        <v xml:space="preserve"> </v>
      </c>
      <c r="G321" t="str">
        <f>INDEX(Establishment!C$2:C$1005,MATCH($E321,Establishment!$A$2:$A$1005,0))</f>
        <v xml:space="preserve"> </v>
      </c>
      <c r="M321">
        <f t="shared" si="26"/>
        <v>0</v>
      </c>
      <c r="N321">
        <f t="shared" si="24"/>
        <v>0</v>
      </c>
      <c r="P321" t="e">
        <f>INDEX(Items!B$2:B$1032,MATCH($O321,Items!$A$2:$A$1032,0))</f>
        <v>#N/A</v>
      </c>
      <c r="Q321" t="e">
        <f>INDEX(Items!C$2:C$1032,MATCH($O321,Items!$A$2:$A$1032,0))</f>
        <v>#N/A</v>
      </c>
      <c r="R321" t="e">
        <f>INDEX(Items!D$2:D$1032,MATCH($O321,Items!$A$2:$A$1032,0))</f>
        <v>#N/A</v>
      </c>
    </row>
    <row r="322" spans="1:18" x14ac:dyDescent="0.25">
      <c r="A322">
        <f t="shared" ref="A322:A385" si="27">IF(OR(D322&lt;&gt;D321,D322=""),1,IF(NOT(AND(E322=E321,F322=F321,G322=G321)),A321+1,IF(OR(H322="",AND(H322&lt;&gt;"",H322&lt;&gt;H321,H321&lt;&gt;"")),A321,A321+1)))</f>
        <v>1</v>
      </c>
      <c r="B322" t="str">
        <f t="shared" ref="B322:B385" si="28">IF(D322&lt;&gt;"",TEXT(D322,"YYYYMMDD")&amp;CHAR(64+A322),"")</f>
        <v/>
      </c>
      <c r="C322">
        <f t="shared" si="25"/>
        <v>1</v>
      </c>
      <c r="D322" s="4"/>
      <c r="E322" t="s">
        <v>18</v>
      </c>
      <c r="F322" t="str">
        <f>INDEX(Establishment!B$2:B$1005,MATCH($E322,Establishment!$A$2:$A$1005,0))</f>
        <v xml:space="preserve"> </v>
      </c>
      <c r="G322" t="str">
        <f>INDEX(Establishment!C$2:C$1005,MATCH($E322,Establishment!$A$2:$A$1005,0))</f>
        <v xml:space="preserve"> </v>
      </c>
      <c r="M322">
        <f t="shared" si="26"/>
        <v>0</v>
      </c>
      <c r="N322">
        <f t="shared" si="24"/>
        <v>0</v>
      </c>
      <c r="P322" t="e">
        <f>INDEX(Items!B$2:B$1032,MATCH($O322,Items!$A$2:$A$1032,0))</f>
        <v>#N/A</v>
      </c>
      <c r="Q322" t="e">
        <f>INDEX(Items!C$2:C$1032,MATCH($O322,Items!$A$2:$A$1032,0))</f>
        <v>#N/A</v>
      </c>
      <c r="R322" t="e">
        <f>INDEX(Items!D$2:D$1032,MATCH($O322,Items!$A$2:$A$1032,0))</f>
        <v>#N/A</v>
      </c>
    </row>
    <row r="323" spans="1:18" x14ac:dyDescent="0.25">
      <c r="A323">
        <f t="shared" si="27"/>
        <v>1</v>
      </c>
      <c r="B323" t="str">
        <f t="shared" si="28"/>
        <v/>
      </c>
      <c r="C323">
        <f t="shared" si="25"/>
        <v>1</v>
      </c>
      <c r="D323" s="4"/>
      <c r="E323" t="s">
        <v>18</v>
      </c>
      <c r="F323" t="str">
        <f>INDEX(Establishment!B$2:B$1005,MATCH($E323,Establishment!$A$2:$A$1005,0))</f>
        <v xml:space="preserve"> </v>
      </c>
      <c r="G323" t="str">
        <f>INDEX(Establishment!C$2:C$1005,MATCH($E323,Establishment!$A$2:$A$1005,0))</f>
        <v xml:space="preserve"> </v>
      </c>
      <c r="M323">
        <f t="shared" si="26"/>
        <v>0</v>
      </c>
      <c r="N323">
        <f t="shared" ref="N323:N386" si="29">IF(B323=B322,N322+M323,M323)</f>
        <v>0</v>
      </c>
      <c r="P323" t="e">
        <f>INDEX(Items!B$2:B$1032,MATCH($O323,Items!$A$2:$A$1032,0))</f>
        <v>#N/A</v>
      </c>
      <c r="Q323" t="e">
        <f>INDEX(Items!C$2:C$1032,MATCH($O323,Items!$A$2:$A$1032,0))</f>
        <v>#N/A</v>
      </c>
      <c r="R323" t="e">
        <f>INDEX(Items!D$2:D$1032,MATCH($O323,Items!$A$2:$A$1032,0))</f>
        <v>#N/A</v>
      </c>
    </row>
    <row r="324" spans="1:18" x14ac:dyDescent="0.25">
      <c r="A324">
        <f t="shared" si="27"/>
        <v>1</v>
      </c>
      <c r="B324" t="str">
        <f t="shared" si="28"/>
        <v/>
      </c>
      <c r="C324">
        <f t="shared" si="25"/>
        <v>1</v>
      </c>
      <c r="D324" s="4"/>
      <c r="E324" t="s">
        <v>18</v>
      </c>
      <c r="F324" t="str">
        <f>INDEX(Establishment!B$2:B$1005,MATCH($E324,Establishment!$A$2:$A$1005,0))</f>
        <v xml:space="preserve"> </v>
      </c>
      <c r="G324" t="str">
        <f>INDEX(Establishment!C$2:C$1005,MATCH($E324,Establishment!$A$2:$A$1005,0))</f>
        <v xml:space="preserve"> </v>
      </c>
      <c r="M324">
        <f t="shared" si="26"/>
        <v>0</v>
      </c>
      <c r="N324">
        <f t="shared" si="29"/>
        <v>0</v>
      </c>
      <c r="P324" t="e">
        <f>INDEX(Items!B$2:B$1032,MATCH($O324,Items!$A$2:$A$1032,0))</f>
        <v>#N/A</v>
      </c>
      <c r="Q324" t="e">
        <f>INDEX(Items!C$2:C$1032,MATCH($O324,Items!$A$2:$A$1032,0))</f>
        <v>#N/A</v>
      </c>
      <c r="R324" t="e">
        <f>INDEX(Items!D$2:D$1032,MATCH($O324,Items!$A$2:$A$1032,0))</f>
        <v>#N/A</v>
      </c>
    </row>
    <row r="325" spans="1:18" x14ac:dyDescent="0.25">
      <c r="A325">
        <f t="shared" si="27"/>
        <v>1</v>
      </c>
      <c r="B325" t="str">
        <f t="shared" si="28"/>
        <v/>
      </c>
      <c r="C325">
        <f t="shared" si="25"/>
        <v>1</v>
      </c>
      <c r="D325" s="4"/>
      <c r="E325" t="s">
        <v>18</v>
      </c>
      <c r="F325" t="str">
        <f>INDEX(Establishment!B$2:B$1005,MATCH($E325,Establishment!$A$2:$A$1005,0))</f>
        <v xml:space="preserve"> </v>
      </c>
      <c r="G325" t="str">
        <f>INDEX(Establishment!C$2:C$1005,MATCH($E325,Establishment!$A$2:$A$1005,0))</f>
        <v xml:space="preserve"> </v>
      </c>
      <c r="M325">
        <f t="shared" si="26"/>
        <v>0</v>
      </c>
      <c r="N325">
        <f t="shared" si="29"/>
        <v>0</v>
      </c>
      <c r="P325" t="e">
        <f>INDEX(Items!B$2:B$1032,MATCH($O325,Items!$A$2:$A$1032,0))</f>
        <v>#N/A</v>
      </c>
      <c r="Q325" t="e">
        <f>INDEX(Items!C$2:C$1032,MATCH($O325,Items!$A$2:$A$1032,0))</f>
        <v>#N/A</v>
      </c>
      <c r="R325" t="e">
        <f>INDEX(Items!D$2:D$1032,MATCH($O325,Items!$A$2:$A$1032,0))</f>
        <v>#N/A</v>
      </c>
    </row>
    <row r="326" spans="1:18" x14ac:dyDescent="0.25">
      <c r="A326">
        <f t="shared" si="27"/>
        <v>1</v>
      </c>
      <c r="B326" t="str">
        <f t="shared" si="28"/>
        <v/>
      </c>
      <c r="C326">
        <f t="shared" si="25"/>
        <v>1</v>
      </c>
      <c r="D326" s="4"/>
      <c r="E326" t="s">
        <v>18</v>
      </c>
      <c r="F326" t="str">
        <f>INDEX(Establishment!B$2:B$1005,MATCH($E326,Establishment!$A$2:$A$1005,0))</f>
        <v xml:space="preserve"> </v>
      </c>
      <c r="G326" t="str">
        <f>INDEX(Establishment!C$2:C$1005,MATCH($E326,Establishment!$A$2:$A$1005,0))</f>
        <v xml:space="preserve"> </v>
      </c>
      <c r="M326">
        <f t="shared" si="26"/>
        <v>0</v>
      </c>
      <c r="N326">
        <f t="shared" si="29"/>
        <v>0</v>
      </c>
      <c r="P326" t="e">
        <f>INDEX(Items!B$2:B$1032,MATCH($O326,Items!$A$2:$A$1032,0))</f>
        <v>#N/A</v>
      </c>
      <c r="Q326" t="e">
        <f>INDEX(Items!C$2:C$1032,MATCH($O326,Items!$A$2:$A$1032,0))</f>
        <v>#N/A</v>
      </c>
      <c r="R326" t="e">
        <f>INDEX(Items!D$2:D$1032,MATCH($O326,Items!$A$2:$A$1032,0))</f>
        <v>#N/A</v>
      </c>
    </row>
    <row r="327" spans="1:18" x14ac:dyDescent="0.25">
      <c r="A327">
        <f t="shared" si="27"/>
        <v>1</v>
      </c>
      <c r="B327" t="str">
        <f t="shared" si="28"/>
        <v/>
      </c>
      <c r="C327">
        <f t="shared" si="25"/>
        <v>1</v>
      </c>
      <c r="D327" s="4"/>
      <c r="E327" t="s">
        <v>18</v>
      </c>
      <c r="F327" t="str">
        <f>INDEX(Establishment!B$2:B$1005,MATCH($E327,Establishment!$A$2:$A$1005,0))</f>
        <v xml:space="preserve"> </v>
      </c>
      <c r="G327" t="str">
        <f>INDEX(Establishment!C$2:C$1005,MATCH($E327,Establishment!$A$2:$A$1005,0))</f>
        <v xml:space="preserve"> </v>
      </c>
      <c r="M327">
        <f t="shared" si="26"/>
        <v>0</v>
      </c>
      <c r="N327">
        <f t="shared" si="29"/>
        <v>0</v>
      </c>
      <c r="P327" t="e">
        <f>INDEX(Items!B$2:B$1032,MATCH($O327,Items!$A$2:$A$1032,0))</f>
        <v>#N/A</v>
      </c>
      <c r="Q327" t="e">
        <f>INDEX(Items!C$2:C$1032,MATCH($O327,Items!$A$2:$A$1032,0))</f>
        <v>#N/A</v>
      </c>
      <c r="R327" t="e">
        <f>INDEX(Items!D$2:D$1032,MATCH($O327,Items!$A$2:$A$1032,0))</f>
        <v>#N/A</v>
      </c>
    </row>
    <row r="328" spans="1:18" x14ac:dyDescent="0.25">
      <c r="A328">
        <f t="shared" si="27"/>
        <v>1</v>
      </c>
      <c r="B328" t="str">
        <f t="shared" si="28"/>
        <v/>
      </c>
      <c r="C328">
        <f t="shared" si="25"/>
        <v>1</v>
      </c>
      <c r="D328" s="4"/>
      <c r="E328" t="s">
        <v>18</v>
      </c>
      <c r="F328" t="str">
        <f>INDEX(Establishment!B$2:B$1005,MATCH($E328,Establishment!$A$2:$A$1005,0))</f>
        <v xml:space="preserve"> </v>
      </c>
      <c r="G328" t="str">
        <f>INDEX(Establishment!C$2:C$1005,MATCH($E328,Establishment!$A$2:$A$1005,0))</f>
        <v xml:space="preserve"> </v>
      </c>
      <c r="M328">
        <f t="shared" si="26"/>
        <v>0</v>
      </c>
      <c r="N328">
        <f t="shared" si="29"/>
        <v>0</v>
      </c>
      <c r="P328" t="e">
        <f>INDEX(Items!B$2:B$1032,MATCH($O328,Items!$A$2:$A$1032,0))</f>
        <v>#N/A</v>
      </c>
      <c r="Q328" t="e">
        <f>INDEX(Items!C$2:C$1032,MATCH($O328,Items!$A$2:$A$1032,0))</f>
        <v>#N/A</v>
      </c>
      <c r="R328" t="e">
        <f>INDEX(Items!D$2:D$1032,MATCH($O328,Items!$A$2:$A$1032,0))</f>
        <v>#N/A</v>
      </c>
    </row>
    <row r="329" spans="1:18" x14ac:dyDescent="0.25">
      <c r="A329">
        <f t="shared" si="27"/>
        <v>1</v>
      </c>
      <c r="B329" t="str">
        <f t="shared" si="28"/>
        <v/>
      </c>
      <c r="C329">
        <f t="shared" si="25"/>
        <v>1</v>
      </c>
      <c r="D329" s="4"/>
      <c r="E329" t="s">
        <v>18</v>
      </c>
      <c r="F329" t="str">
        <f>INDEX(Establishment!B$2:B$1005,MATCH($E329,Establishment!$A$2:$A$1005,0))</f>
        <v xml:space="preserve"> </v>
      </c>
      <c r="G329" t="str">
        <f>INDEX(Establishment!C$2:C$1005,MATCH($E329,Establishment!$A$2:$A$1005,0))</f>
        <v xml:space="preserve"> </v>
      </c>
      <c r="M329">
        <f t="shared" si="26"/>
        <v>0</v>
      </c>
      <c r="N329">
        <f t="shared" si="29"/>
        <v>0</v>
      </c>
      <c r="P329" t="e">
        <f>INDEX(Items!B$2:B$1032,MATCH($O329,Items!$A$2:$A$1032,0))</f>
        <v>#N/A</v>
      </c>
      <c r="Q329" t="e">
        <f>INDEX(Items!C$2:C$1032,MATCH($O329,Items!$A$2:$A$1032,0))</f>
        <v>#N/A</v>
      </c>
      <c r="R329" t="e">
        <f>INDEX(Items!D$2:D$1032,MATCH($O329,Items!$A$2:$A$1032,0))</f>
        <v>#N/A</v>
      </c>
    </row>
    <row r="330" spans="1:18" x14ac:dyDescent="0.25">
      <c r="A330">
        <f t="shared" si="27"/>
        <v>1</v>
      </c>
      <c r="B330" t="str">
        <f t="shared" si="28"/>
        <v/>
      </c>
      <c r="C330">
        <f t="shared" ref="C330:C393" si="30">IF(OR(B330="",B330&lt;&gt;B329),1,C329+1)</f>
        <v>1</v>
      </c>
      <c r="D330" s="4"/>
      <c r="E330" t="s">
        <v>18</v>
      </c>
      <c r="F330" t="str">
        <f>INDEX(Establishment!B$2:B$1005,MATCH($E330,Establishment!$A$2:$A$1005,0))</f>
        <v xml:space="preserve"> </v>
      </c>
      <c r="G330" t="str">
        <f>INDEX(Establishment!C$2:C$1005,MATCH($E330,Establishment!$A$2:$A$1005,0))</f>
        <v xml:space="preserve"> </v>
      </c>
      <c r="M330">
        <f t="shared" ref="M330:M393" si="31">K330*L330</f>
        <v>0</v>
      </c>
      <c r="N330">
        <f t="shared" si="29"/>
        <v>0</v>
      </c>
      <c r="P330" t="e">
        <f>INDEX(Items!B$2:B$1032,MATCH($O330,Items!$A$2:$A$1032,0))</f>
        <v>#N/A</v>
      </c>
      <c r="Q330" t="e">
        <f>INDEX(Items!C$2:C$1032,MATCH($O330,Items!$A$2:$A$1032,0))</f>
        <v>#N/A</v>
      </c>
      <c r="R330" t="e">
        <f>INDEX(Items!D$2:D$1032,MATCH($O330,Items!$A$2:$A$1032,0))</f>
        <v>#N/A</v>
      </c>
    </row>
    <row r="331" spans="1:18" x14ac:dyDescent="0.25">
      <c r="A331">
        <f t="shared" si="27"/>
        <v>1</v>
      </c>
      <c r="B331" t="str">
        <f t="shared" si="28"/>
        <v/>
      </c>
      <c r="C331">
        <f t="shared" si="30"/>
        <v>1</v>
      </c>
      <c r="D331" s="4"/>
      <c r="E331" t="s">
        <v>18</v>
      </c>
      <c r="F331" t="str">
        <f>INDEX(Establishment!B$2:B$1005,MATCH($E331,Establishment!$A$2:$A$1005,0))</f>
        <v xml:space="preserve"> </v>
      </c>
      <c r="G331" t="str">
        <f>INDEX(Establishment!C$2:C$1005,MATCH($E331,Establishment!$A$2:$A$1005,0))</f>
        <v xml:space="preserve"> </v>
      </c>
      <c r="M331">
        <f t="shared" si="31"/>
        <v>0</v>
      </c>
      <c r="N331">
        <f t="shared" si="29"/>
        <v>0</v>
      </c>
      <c r="P331" t="e">
        <f>INDEX(Items!B$2:B$1032,MATCH($O331,Items!$A$2:$A$1032,0))</f>
        <v>#N/A</v>
      </c>
      <c r="Q331" t="e">
        <f>INDEX(Items!C$2:C$1032,MATCH($O331,Items!$A$2:$A$1032,0))</f>
        <v>#N/A</v>
      </c>
      <c r="R331" t="e">
        <f>INDEX(Items!D$2:D$1032,MATCH($O331,Items!$A$2:$A$1032,0))</f>
        <v>#N/A</v>
      </c>
    </row>
    <row r="332" spans="1:18" x14ac:dyDescent="0.25">
      <c r="A332">
        <f t="shared" si="27"/>
        <v>1</v>
      </c>
      <c r="B332" t="str">
        <f t="shared" si="28"/>
        <v/>
      </c>
      <c r="C332">
        <f t="shared" si="30"/>
        <v>1</v>
      </c>
      <c r="D332" s="4"/>
      <c r="E332" t="s">
        <v>18</v>
      </c>
      <c r="F332" t="str">
        <f>INDEX(Establishment!B$2:B$1005,MATCH($E332,Establishment!$A$2:$A$1005,0))</f>
        <v xml:space="preserve"> </v>
      </c>
      <c r="G332" t="str">
        <f>INDEX(Establishment!C$2:C$1005,MATCH($E332,Establishment!$A$2:$A$1005,0))</f>
        <v xml:space="preserve"> </v>
      </c>
      <c r="M332">
        <f t="shared" si="31"/>
        <v>0</v>
      </c>
      <c r="N332">
        <f t="shared" si="29"/>
        <v>0</v>
      </c>
      <c r="P332" t="e">
        <f>INDEX(Items!B$2:B$1032,MATCH($O332,Items!$A$2:$A$1032,0))</f>
        <v>#N/A</v>
      </c>
      <c r="Q332" t="e">
        <f>INDEX(Items!C$2:C$1032,MATCH($O332,Items!$A$2:$A$1032,0))</f>
        <v>#N/A</v>
      </c>
      <c r="R332" t="e">
        <f>INDEX(Items!D$2:D$1032,MATCH($O332,Items!$A$2:$A$1032,0))</f>
        <v>#N/A</v>
      </c>
    </row>
    <row r="333" spans="1:18" x14ac:dyDescent="0.25">
      <c r="A333">
        <f t="shared" si="27"/>
        <v>1</v>
      </c>
      <c r="B333" t="str">
        <f t="shared" si="28"/>
        <v/>
      </c>
      <c r="C333">
        <f t="shared" si="30"/>
        <v>1</v>
      </c>
      <c r="D333" s="4"/>
      <c r="E333" t="s">
        <v>18</v>
      </c>
      <c r="F333" t="str">
        <f>INDEX(Establishment!B$2:B$1005,MATCH($E333,Establishment!$A$2:$A$1005,0))</f>
        <v xml:space="preserve"> </v>
      </c>
      <c r="G333" t="str">
        <f>INDEX(Establishment!C$2:C$1005,MATCH($E333,Establishment!$A$2:$A$1005,0))</f>
        <v xml:space="preserve"> </v>
      </c>
      <c r="M333">
        <f t="shared" si="31"/>
        <v>0</v>
      </c>
      <c r="N333">
        <f t="shared" si="29"/>
        <v>0</v>
      </c>
      <c r="P333" t="e">
        <f>INDEX(Items!B$2:B$1032,MATCH($O333,Items!$A$2:$A$1032,0))</f>
        <v>#N/A</v>
      </c>
      <c r="Q333" t="e">
        <f>INDEX(Items!C$2:C$1032,MATCH($O333,Items!$A$2:$A$1032,0))</f>
        <v>#N/A</v>
      </c>
      <c r="R333" t="e">
        <f>INDEX(Items!D$2:D$1032,MATCH($O333,Items!$A$2:$A$1032,0))</f>
        <v>#N/A</v>
      </c>
    </row>
    <row r="334" spans="1:18" x14ac:dyDescent="0.25">
      <c r="A334">
        <f t="shared" si="27"/>
        <v>1</v>
      </c>
      <c r="B334" t="str">
        <f t="shared" si="28"/>
        <v/>
      </c>
      <c r="C334">
        <f t="shared" si="30"/>
        <v>1</v>
      </c>
      <c r="D334" s="4"/>
      <c r="E334" t="s">
        <v>18</v>
      </c>
      <c r="F334" t="str">
        <f>INDEX(Establishment!B$2:B$1005,MATCH($E334,Establishment!$A$2:$A$1005,0))</f>
        <v xml:space="preserve"> </v>
      </c>
      <c r="G334" t="str">
        <f>INDEX(Establishment!C$2:C$1005,MATCH($E334,Establishment!$A$2:$A$1005,0))</f>
        <v xml:space="preserve"> </v>
      </c>
      <c r="M334">
        <f t="shared" si="31"/>
        <v>0</v>
      </c>
      <c r="N334">
        <f t="shared" si="29"/>
        <v>0</v>
      </c>
      <c r="P334" t="e">
        <f>INDEX(Items!B$2:B$1032,MATCH($O334,Items!$A$2:$A$1032,0))</f>
        <v>#N/A</v>
      </c>
      <c r="Q334" t="e">
        <f>INDEX(Items!C$2:C$1032,MATCH($O334,Items!$A$2:$A$1032,0))</f>
        <v>#N/A</v>
      </c>
      <c r="R334" t="e">
        <f>INDEX(Items!D$2:D$1032,MATCH($O334,Items!$A$2:$A$1032,0))</f>
        <v>#N/A</v>
      </c>
    </row>
    <row r="335" spans="1:18" x14ac:dyDescent="0.25">
      <c r="A335">
        <f t="shared" si="27"/>
        <v>1</v>
      </c>
      <c r="B335" t="str">
        <f t="shared" si="28"/>
        <v/>
      </c>
      <c r="C335">
        <f t="shared" si="30"/>
        <v>1</v>
      </c>
      <c r="D335" s="4"/>
      <c r="E335" t="s">
        <v>18</v>
      </c>
      <c r="F335" t="str">
        <f>INDEX(Establishment!B$2:B$1005,MATCH($E335,Establishment!$A$2:$A$1005,0))</f>
        <v xml:space="preserve"> </v>
      </c>
      <c r="G335" t="str">
        <f>INDEX(Establishment!C$2:C$1005,MATCH($E335,Establishment!$A$2:$A$1005,0))</f>
        <v xml:space="preserve"> </v>
      </c>
      <c r="M335">
        <f t="shared" si="31"/>
        <v>0</v>
      </c>
      <c r="N335">
        <f t="shared" si="29"/>
        <v>0</v>
      </c>
      <c r="P335" t="e">
        <f>INDEX(Items!B$2:B$1032,MATCH($O335,Items!$A$2:$A$1032,0))</f>
        <v>#N/A</v>
      </c>
      <c r="Q335" t="e">
        <f>INDEX(Items!C$2:C$1032,MATCH($O335,Items!$A$2:$A$1032,0))</f>
        <v>#N/A</v>
      </c>
      <c r="R335" t="e">
        <f>INDEX(Items!D$2:D$1032,MATCH($O335,Items!$A$2:$A$1032,0))</f>
        <v>#N/A</v>
      </c>
    </row>
    <row r="336" spans="1:18" x14ac:dyDescent="0.25">
      <c r="A336">
        <f t="shared" si="27"/>
        <v>1</v>
      </c>
      <c r="B336" t="str">
        <f t="shared" si="28"/>
        <v/>
      </c>
      <c r="C336">
        <f t="shared" si="30"/>
        <v>1</v>
      </c>
      <c r="D336" s="4"/>
      <c r="E336" t="s">
        <v>18</v>
      </c>
      <c r="F336" t="str">
        <f>INDEX(Establishment!B$2:B$1005,MATCH($E336,Establishment!$A$2:$A$1005,0))</f>
        <v xml:space="preserve"> </v>
      </c>
      <c r="G336" t="str">
        <f>INDEX(Establishment!C$2:C$1005,MATCH($E336,Establishment!$A$2:$A$1005,0))</f>
        <v xml:space="preserve"> </v>
      </c>
      <c r="M336">
        <f t="shared" si="31"/>
        <v>0</v>
      </c>
      <c r="N336">
        <f t="shared" si="29"/>
        <v>0</v>
      </c>
      <c r="P336" t="e">
        <f>INDEX(Items!B$2:B$1032,MATCH($O336,Items!$A$2:$A$1032,0))</f>
        <v>#N/A</v>
      </c>
      <c r="Q336" t="e">
        <f>INDEX(Items!C$2:C$1032,MATCH($O336,Items!$A$2:$A$1032,0))</f>
        <v>#N/A</v>
      </c>
      <c r="R336" t="e">
        <f>INDEX(Items!D$2:D$1032,MATCH($O336,Items!$A$2:$A$1032,0))</f>
        <v>#N/A</v>
      </c>
    </row>
    <row r="337" spans="1:18" x14ac:dyDescent="0.25">
      <c r="A337">
        <f t="shared" si="27"/>
        <v>1</v>
      </c>
      <c r="B337" t="str">
        <f t="shared" si="28"/>
        <v/>
      </c>
      <c r="C337">
        <f t="shared" si="30"/>
        <v>1</v>
      </c>
      <c r="D337" s="4"/>
      <c r="E337" t="s">
        <v>18</v>
      </c>
      <c r="F337" t="str">
        <f>INDEX(Establishment!B$2:B$1005,MATCH($E337,Establishment!$A$2:$A$1005,0))</f>
        <v xml:space="preserve"> </v>
      </c>
      <c r="G337" t="str">
        <f>INDEX(Establishment!C$2:C$1005,MATCH($E337,Establishment!$A$2:$A$1005,0))</f>
        <v xml:space="preserve"> </v>
      </c>
      <c r="M337">
        <f t="shared" si="31"/>
        <v>0</v>
      </c>
      <c r="N337">
        <f t="shared" si="29"/>
        <v>0</v>
      </c>
      <c r="P337" t="e">
        <f>INDEX(Items!B$2:B$1032,MATCH($O337,Items!$A$2:$A$1032,0))</f>
        <v>#N/A</v>
      </c>
      <c r="Q337" t="e">
        <f>INDEX(Items!C$2:C$1032,MATCH($O337,Items!$A$2:$A$1032,0))</f>
        <v>#N/A</v>
      </c>
      <c r="R337" t="e">
        <f>INDEX(Items!D$2:D$1032,MATCH($O337,Items!$A$2:$A$1032,0))</f>
        <v>#N/A</v>
      </c>
    </row>
    <row r="338" spans="1:18" x14ac:dyDescent="0.25">
      <c r="A338">
        <f t="shared" si="27"/>
        <v>1</v>
      </c>
      <c r="B338" t="str">
        <f t="shared" si="28"/>
        <v/>
      </c>
      <c r="C338">
        <f t="shared" si="30"/>
        <v>1</v>
      </c>
      <c r="D338" s="4"/>
      <c r="E338" t="s">
        <v>18</v>
      </c>
      <c r="F338" t="str">
        <f>INDEX(Establishment!B$2:B$1005,MATCH($E338,Establishment!$A$2:$A$1005,0))</f>
        <v xml:space="preserve"> </v>
      </c>
      <c r="G338" t="str">
        <f>INDEX(Establishment!C$2:C$1005,MATCH($E338,Establishment!$A$2:$A$1005,0))</f>
        <v xml:space="preserve"> </v>
      </c>
      <c r="M338">
        <f t="shared" si="31"/>
        <v>0</v>
      </c>
      <c r="N338">
        <f t="shared" si="29"/>
        <v>0</v>
      </c>
      <c r="P338" t="e">
        <f>INDEX(Items!B$2:B$1032,MATCH($O338,Items!$A$2:$A$1032,0))</f>
        <v>#N/A</v>
      </c>
      <c r="Q338" t="e">
        <f>INDEX(Items!C$2:C$1032,MATCH($O338,Items!$A$2:$A$1032,0))</f>
        <v>#N/A</v>
      </c>
      <c r="R338" t="e">
        <f>INDEX(Items!D$2:D$1032,MATCH($O338,Items!$A$2:$A$1032,0))</f>
        <v>#N/A</v>
      </c>
    </row>
    <row r="339" spans="1:18" x14ac:dyDescent="0.25">
      <c r="A339">
        <f t="shared" si="27"/>
        <v>1</v>
      </c>
      <c r="B339" t="str">
        <f t="shared" si="28"/>
        <v/>
      </c>
      <c r="C339">
        <f t="shared" si="30"/>
        <v>1</v>
      </c>
      <c r="D339" s="4"/>
      <c r="E339" t="s">
        <v>18</v>
      </c>
      <c r="F339" t="str">
        <f>INDEX(Establishment!B$2:B$1005,MATCH($E339,Establishment!$A$2:$A$1005,0))</f>
        <v xml:space="preserve"> </v>
      </c>
      <c r="G339" t="str">
        <f>INDEX(Establishment!C$2:C$1005,MATCH($E339,Establishment!$A$2:$A$1005,0))</f>
        <v xml:space="preserve"> </v>
      </c>
      <c r="M339">
        <f t="shared" si="31"/>
        <v>0</v>
      </c>
      <c r="N339">
        <f t="shared" si="29"/>
        <v>0</v>
      </c>
      <c r="P339" t="e">
        <f>INDEX(Items!B$2:B$1032,MATCH($O339,Items!$A$2:$A$1032,0))</f>
        <v>#N/A</v>
      </c>
      <c r="Q339" t="e">
        <f>INDEX(Items!C$2:C$1032,MATCH($O339,Items!$A$2:$A$1032,0))</f>
        <v>#N/A</v>
      </c>
      <c r="R339" t="e">
        <f>INDEX(Items!D$2:D$1032,MATCH($O339,Items!$A$2:$A$1032,0))</f>
        <v>#N/A</v>
      </c>
    </row>
    <row r="340" spans="1:18" x14ac:dyDescent="0.25">
      <c r="A340">
        <f t="shared" si="27"/>
        <v>1</v>
      </c>
      <c r="B340" t="str">
        <f t="shared" si="28"/>
        <v/>
      </c>
      <c r="C340">
        <f t="shared" si="30"/>
        <v>1</v>
      </c>
      <c r="D340" s="4"/>
      <c r="E340" t="s">
        <v>18</v>
      </c>
      <c r="F340" t="str">
        <f>INDEX(Establishment!B$2:B$1005,MATCH($E340,Establishment!$A$2:$A$1005,0))</f>
        <v xml:space="preserve"> </v>
      </c>
      <c r="G340" t="str">
        <f>INDEX(Establishment!C$2:C$1005,MATCH($E340,Establishment!$A$2:$A$1005,0))</f>
        <v xml:space="preserve"> </v>
      </c>
      <c r="M340">
        <f t="shared" si="31"/>
        <v>0</v>
      </c>
      <c r="N340">
        <f t="shared" si="29"/>
        <v>0</v>
      </c>
      <c r="P340" t="e">
        <f>INDEX(Items!B$2:B$1032,MATCH($O340,Items!$A$2:$A$1032,0))</f>
        <v>#N/A</v>
      </c>
      <c r="Q340" t="e">
        <f>INDEX(Items!C$2:C$1032,MATCH($O340,Items!$A$2:$A$1032,0))</f>
        <v>#N/A</v>
      </c>
      <c r="R340" t="e">
        <f>INDEX(Items!D$2:D$1032,MATCH($O340,Items!$A$2:$A$1032,0))</f>
        <v>#N/A</v>
      </c>
    </row>
    <row r="341" spans="1:18" x14ac:dyDescent="0.25">
      <c r="A341">
        <f t="shared" si="27"/>
        <v>1</v>
      </c>
      <c r="B341" t="str">
        <f t="shared" si="28"/>
        <v/>
      </c>
      <c r="C341">
        <f t="shared" si="30"/>
        <v>1</v>
      </c>
      <c r="D341" s="4"/>
      <c r="E341" t="s">
        <v>18</v>
      </c>
      <c r="F341" t="str">
        <f>INDEX(Establishment!B$2:B$1005,MATCH($E341,Establishment!$A$2:$A$1005,0))</f>
        <v xml:space="preserve"> </v>
      </c>
      <c r="G341" t="str">
        <f>INDEX(Establishment!C$2:C$1005,MATCH($E341,Establishment!$A$2:$A$1005,0))</f>
        <v xml:space="preserve"> </v>
      </c>
      <c r="M341">
        <f t="shared" si="31"/>
        <v>0</v>
      </c>
      <c r="N341">
        <f t="shared" si="29"/>
        <v>0</v>
      </c>
      <c r="P341" t="e">
        <f>INDEX(Items!B$2:B$1032,MATCH($O341,Items!$A$2:$A$1032,0))</f>
        <v>#N/A</v>
      </c>
      <c r="Q341" t="e">
        <f>INDEX(Items!C$2:C$1032,MATCH($O341,Items!$A$2:$A$1032,0))</f>
        <v>#N/A</v>
      </c>
      <c r="R341" t="e">
        <f>INDEX(Items!D$2:D$1032,MATCH($O341,Items!$A$2:$A$1032,0))</f>
        <v>#N/A</v>
      </c>
    </row>
    <row r="342" spans="1:18" x14ac:dyDescent="0.25">
      <c r="A342">
        <f t="shared" si="27"/>
        <v>1</v>
      </c>
      <c r="B342" t="str">
        <f t="shared" si="28"/>
        <v/>
      </c>
      <c r="C342">
        <f t="shared" si="30"/>
        <v>1</v>
      </c>
      <c r="D342" s="4"/>
      <c r="E342" t="s">
        <v>18</v>
      </c>
      <c r="F342" t="str">
        <f>INDEX(Establishment!B$2:B$1005,MATCH($E342,Establishment!$A$2:$A$1005,0))</f>
        <v xml:space="preserve"> </v>
      </c>
      <c r="G342" t="str">
        <f>INDEX(Establishment!C$2:C$1005,MATCH($E342,Establishment!$A$2:$A$1005,0))</f>
        <v xml:space="preserve"> </v>
      </c>
      <c r="M342">
        <f t="shared" si="31"/>
        <v>0</v>
      </c>
      <c r="N342">
        <f t="shared" si="29"/>
        <v>0</v>
      </c>
      <c r="P342" t="e">
        <f>INDEX(Items!B$2:B$1032,MATCH($O342,Items!$A$2:$A$1032,0))</f>
        <v>#N/A</v>
      </c>
      <c r="Q342" t="e">
        <f>INDEX(Items!C$2:C$1032,MATCH($O342,Items!$A$2:$A$1032,0))</f>
        <v>#N/A</v>
      </c>
      <c r="R342" t="e">
        <f>INDEX(Items!D$2:D$1032,MATCH($O342,Items!$A$2:$A$1032,0))</f>
        <v>#N/A</v>
      </c>
    </row>
    <row r="343" spans="1:18" x14ac:dyDescent="0.25">
      <c r="A343">
        <f t="shared" si="27"/>
        <v>1</v>
      </c>
      <c r="B343" t="str">
        <f t="shared" si="28"/>
        <v/>
      </c>
      <c r="C343">
        <f t="shared" si="30"/>
        <v>1</v>
      </c>
      <c r="D343" s="4"/>
      <c r="E343" t="s">
        <v>18</v>
      </c>
      <c r="F343" t="str">
        <f>INDEX(Establishment!B$2:B$1005,MATCH($E343,Establishment!$A$2:$A$1005,0))</f>
        <v xml:space="preserve"> </v>
      </c>
      <c r="G343" t="str">
        <f>INDEX(Establishment!C$2:C$1005,MATCH($E343,Establishment!$A$2:$A$1005,0))</f>
        <v xml:space="preserve"> </v>
      </c>
      <c r="M343">
        <f t="shared" si="31"/>
        <v>0</v>
      </c>
      <c r="N343">
        <f t="shared" si="29"/>
        <v>0</v>
      </c>
      <c r="P343" t="e">
        <f>INDEX(Items!B$2:B$1032,MATCH($O343,Items!$A$2:$A$1032,0))</f>
        <v>#N/A</v>
      </c>
      <c r="Q343" t="e">
        <f>INDEX(Items!C$2:C$1032,MATCH($O343,Items!$A$2:$A$1032,0))</f>
        <v>#N/A</v>
      </c>
      <c r="R343" t="e">
        <f>INDEX(Items!D$2:D$1032,MATCH($O343,Items!$A$2:$A$1032,0))</f>
        <v>#N/A</v>
      </c>
    </row>
    <row r="344" spans="1:18" x14ac:dyDescent="0.25">
      <c r="A344">
        <f t="shared" si="27"/>
        <v>1</v>
      </c>
      <c r="B344" t="str">
        <f t="shared" si="28"/>
        <v/>
      </c>
      <c r="C344">
        <f t="shared" si="30"/>
        <v>1</v>
      </c>
      <c r="D344" s="4"/>
      <c r="E344" t="s">
        <v>18</v>
      </c>
      <c r="F344" t="str">
        <f>INDEX(Establishment!B$2:B$1005,MATCH($E344,Establishment!$A$2:$A$1005,0))</f>
        <v xml:space="preserve"> </v>
      </c>
      <c r="G344" t="str">
        <f>INDEX(Establishment!C$2:C$1005,MATCH($E344,Establishment!$A$2:$A$1005,0))</f>
        <v xml:space="preserve"> </v>
      </c>
      <c r="M344">
        <f t="shared" si="31"/>
        <v>0</v>
      </c>
      <c r="N344">
        <f t="shared" si="29"/>
        <v>0</v>
      </c>
      <c r="P344" t="e">
        <f>INDEX(Items!B$2:B$1032,MATCH($O344,Items!$A$2:$A$1032,0))</f>
        <v>#N/A</v>
      </c>
      <c r="Q344" t="e">
        <f>INDEX(Items!C$2:C$1032,MATCH($O344,Items!$A$2:$A$1032,0))</f>
        <v>#N/A</v>
      </c>
      <c r="R344" t="e">
        <f>INDEX(Items!D$2:D$1032,MATCH($O344,Items!$A$2:$A$1032,0))</f>
        <v>#N/A</v>
      </c>
    </row>
    <row r="345" spans="1:18" x14ac:dyDescent="0.25">
      <c r="A345">
        <f t="shared" si="27"/>
        <v>1</v>
      </c>
      <c r="B345" t="str">
        <f t="shared" si="28"/>
        <v/>
      </c>
      <c r="C345">
        <f t="shared" si="30"/>
        <v>1</v>
      </c>
      <c r="D345" s="4"/>
      <c r="E345" t="s">
        <v>18</v>
      </c>
      <c r="F345" t="str">
        <f>INDEX(Establishment!B$2:B$1005,MATCH($E345,Establishment!$A$2:$A$1005,0))</f>
        <v xml:space="preserve"> </v>
      </c>
      <c r="G345" t="str">
        <f>INDEX(Establishment!C$2:C$1005,MATCH($E345,Establishment!$A$2:$A$1005,0))</f>
        <v xml:space="preserve"> </v>
      </c>
      <c r="M345">
        <f t="shared" si="31"/>
        <v>0</v>
      </c>
      <c r="N345">
        <f t="shared" si="29"/>
        <v>0</v>
      </c>
      <c r="P345" t="e">
        <f>INDEX(Items!B$2:B$1032,MATCH($O345,Items!$A$2:$A$1032,0))</f>
        <v>#N/A</v>
      </c>
      <c r="Q345" t="e">
        <f>INDEX(Items!C$2:C$1032,MATCH($O345,Items!$A$2:$A$1032,0))</f>
        <v>#N/A</v>
      </c>
      <c r="R345" t="e">
        <f>INDEX(Items!D$2:D$1032,MATCH($O345,Items!$A$2:$A$1032,0))</f>
        <v>#N/A</v>
      </c>
    </row>
    <row r="346" spans="1:18" x14ac:dyDescent="0.25">
      <c r="A346">
        <f t="shared" si="27"/>
        <v>1</v>
      </c>
      <c r="B346" t="str">
        <f t="shared" si="28"/>
        <v/>
      </c>
      <c r="C346">
        <f t="shared" si="30"/>
        <v>1</v>
      </c>
      <c r="D346" s="4"/>
      <c r="E346" t="s">
        <v>18</v>
      </c>
      <c r="F346" t="str">
        <f>INDEX(Establishment!B$2:B$1005,MATCH($E346,Establishment!$A$2:$A$1005,0))</f>
        <v xml:space="preserve"> </v>
      </c>
      <c r="G346" t="str">
        <f>INDEX(Establishment!C$2:C$1005,MATCH($E346,Establishment!$A$2:$A$1005,0))</f>
        <v xml:space="preserve"> </v>
      </c>
      <c r="M346">
        <f t="shared" si="31"/>
        <v>0</v>
      </c>
      <c r="N346">
        <f t="shared" si="29"/>
        <v>0</v>
      </c>
      <c r="P346" t="e">
        <f>INDEX(Items!B$2:B$1032,MATCH($O346,Items!$A$2:$A$1032,0))</f>
        <v>#N/A</v>
      </c>
      <c r="Q346" t="e">
        <f>INDEX(Items!C$2:C$1032,MATCH($O346,Items!$A$2:$A$1032,0))</f>
        <v>#N/A</v>
      </c>
      <c r="R346" t="e">
        <f>INDEX(Items!D$2:D$1032,MATCH($O346,Items!$A$2:$A$1032,0))</f>
        <v>#N/A</v>
      </c>
    </row>
    <row r="347" spans="1:18" x14ac:dyDescent="0.25">
      <c r="A347">
        <f t="shared" si="27"/>
        <v>1</v>
      </c>
      <c r="B347" t="str">
        <f t="shared" si="28"/>
        <v/>
      </c>
      <c r="C347">
        <f t="shared" si="30"/>
        <v>1</v>
      </c>
      <c r="D347" s="4"/>
      <c r="E347" t="s">
        <v>18</v>
      </c>
      <c r="F347" t="str">
        <f>INDEX(Establishment!B$2:B$1005,MATCH($E347,Establishment!$A$2:$A$1005,0))</f>
        <v xml:space="preserve"> </v>
      </c>
      <c r="G347" t="str">
        <f>INDEX(Establishment!C$2:C$1005,MATCH($E347,Establishment!$A$2:$A$1005,0))</f>
        <v xml:space="preserve"> </v>
      </c>
      <c r="M347">
        <f t="shared" si="31"/>
        <v>0</v>
      </c>
      <c r="N347">
        <f t="shared" si="29"/>
        <v>0</v>
      </c>
      <c r="P347" t="e">
        <f>INDEX(Items!B$2:B$1032,MATCH($O347,Items!$A$2:$A$1032,0))</f>
        <v>#N/A</v>
      </c>
      <c r="Q347" t="e">
        <f>INDEX(Items!C$2:C$1032,MATCH($O347,Items!$A$2:$A$1032,0))</f>
        <v>#N/A</v>
      </c>
      <c r="R347" t="e">
        <f>INDEX(Items!D$2:D$1032,MATCH($O347,Items!$A$2:$A$1032,0))</f>
        <v>#N/A</v>
      </c>
    </row>
    <row r="348" spans="1:18" x14ac:dyDescent="0.25">
      <c r="A348">
        <f t="shared" si="27"/>
        <v>1</v>
      </c>
      <c r="B348" t="str">
        <f t="shared" si="28"/>
        <v/>
      </c>
      <c r="C348">
        <f t="shared" si="30"/>
        <v>1</v>
      </c>
      <c r="D348" s="4"/>
      <c r="E348" t="s">
        <v>18</v>
      </c>
      <c r="F348" t="str">
        <f>INDEX(Establishment!B$2:B$1005,MATCH($E348,Establishment!$A$2:$A$1005,0))</f>
        <v xml:space="preserve"> </v>
      </c>
      <c r="G348" t="str">
        <f>INDEX(Establishment!C$2:C$1005,MATCH($E348,Establishment!$A$2:$A$1005,0))</f>
        <v xml:space="preserve"> </v>
      </c>
      <c r="M348">
        <f t="shared" si="31"/>
        <v>0</v>
      </c>
      <c r="N348">
        <f t="shared" si="29"/>
        <v>0</v>
      </c>
      <c r="P348" t="e">
        <f>INDEX(Items!B$2:B$1032,MATCH($O348,Items!$A$2:$A$1032,0))</f>
        <v>#N/A</v>
      </c>
      <c r="Q348" t="e">
        <f>INDEX(Items!C$2:C$1032,MATCH($O348,Items!$A$2:$A$1032,0))</f>
        <v>#N/A</v>
      </c>
      <c r="R348" t="e">
        <f>INDEX(Items!D$2:D$1032,MATCH($O348,Items!$A$2:$A$1032,0))</f>
        <v>#N/A</v>
      </c>
    </row>
    <row r="349" spans="1:18" x14ac:dyDescent="0.25">
      <c r="A349">
        <f t="shared" si="27"/>
        <v>1</v>
      </c>
      <c r="B349" t="str">
        <f t="shared" si="28"/>
        <v/>
      </c>
      <c r="C349">
        <f t="shared" si="30"/>
        <v>1</v>
      </c>
      <c r="D349" s="4"/>
      <c r="E349" t="s">
        <v>18</v>
      </c>
      <c r="F349" t="str">
        <f>INDEX(Establishment!B$2:B$1005,MATCH($E349,Establishment!$A$2:$A$1005,0))</f>
        <v xml:space="preserve"> </v>
      </c>
      <c r="G349" t="str">
        <f>INDEX(Establishment!C$2:C$1005,MATCH($E349,Establishment!$A$2:$A$1005,0))</f>
        <v xml:space="preserve"> </v>
      </c>
      <c r="M349">
        <f t="shared" si="31"/>
        <v>0</v>
      </c>
      <c r="N349">
        <f t="shared" si="29"/>
        <v>0</v>
      </c>
      <c r="P349" t="e">
        <f>INDEX(Items!B$2:B$1032,MATCH($O349,Items!$A$2:$A$1032,0))</f>
        <v>#N/A</v>
      </c>
      <c r="Q349" t="e">
        <f>INDEX(Items!C$2:C$1032,MATCH($O349,Items!$A$2:$A$1032,0))</f>
        <v>#N/A</v>
      </c>
      <c r="R349" t="e">
        <f>INDEX(Items!D$2:D$1032,MATCH($O349,Items!$A$2:$A$1032,0))</f>
        <v>#N/A</v>
      </c>
    </row>
    <row r="350" spans="1:18" x14ac:dyDescent="0.25">
      <c r="A350">
        <f t="shared" si="27"/>
        <v>1</v>
      </c>
      <c r="B350" t="str">
        <f t="shared" si="28"/>
        <v/>
      </c>
      <c r="C350">
        <f t="shared" si="30"/>
        <v>1</v>
      </c>
      <c r="D350" s="4"/>
      <c r="E350" t="s">
        <v>18</v>
      </c>
      <c r="F350" t="str">
        <f>INDEX(Establishment!B$2:B$1005,MATCH($E350,Establishment!$A$2:$A$1005,0))</f>
        <v xml:space="preserve"> </v>
      </c>
      <c r="G350" t="str">
        <f>INDEX(Establishment!C$2:C$1005,MATCH($E350,Establishment!$A$2:$A$1005,0))</f>
        <v xml:space="preserve"> </v>
      </c>
      <c r="M350">
        <f t="shared" si="31"/>
        <v>0</v>
      </c>
      <c r="N350">
        <f t="shared" si="29"/>
        <v>0</v>
      </c>
      <c r="P350" t="e">
        <f>INDEX(Items!B$2:B$1032,MATCH($O350,Items!$A$2:$A$1032,0))</f>
        <v>#N/A</v>
      </c>
      <c r="Q350" t="e">
        <f>INDEX(Items!C$2:C$1032,MATCH($O350,Items!$A$2:$A$1032,0))</f>
        <v>#N/A</v>
      </c>
      <c r="R350" t="e">
        <f>INDEX(Items!D$2:D$1032,MATCH($O350,Items!$A$2:$A$1032,0))</f>
        <v>#N/A</v>
      </c>
    </row>
    <row r="351" spans="1:18" x14ac:dyDescent="0.25">
      <c r="A351">
        <f t="shared" si="27"/>
        <v>1</v>
      </c>
      <c r="B351" t="str">
        <f t="shared" si="28"/>
        <v/>
      </c>
      <c r="C351">
        <f t="shared" si="30"/>
        <v>1</v>
      </c>
      <c r="D351" s="4"/>
      <c r="E351" t="s">
        <v>18</v>
      </c>
      <c r="F351" t="str">
        <f>INDEX(Establishment!B$2:B$1005,MATCH($E351,Establishment!$A$2:$A$1005,0))</f>
        <v xml:space="preserve"> </v>
      </c>
      <c r="G351" t="str">
        <f>INDEX(Establishment!C$2:C$1005,MATCH($E351,Establishment!$A$2:$A$1005,0))</f>
        <v xml:space="preserve"> </v>
      </c>
      <c r="M351">
        <f t="shared" si="31"/>
        <v>0</v>
      </c>
      <c r="N351">
        <f t="shared" si="29"/>
        <v>0</v>
      </c>
      <c r="P351" t="e">
        <f>INDEX(Items!B$2:B$1032,MATCH($O351,Items!$A$2:$A$1032,0))</f>
        <v>#N/A</v>
      </c>
      <c r="Q351" t="e">
        <f>INDEX(Items!C$2:C$1032,MATCH($O351,Items!$A$2:$A$1032,0))</f>
        <v>#N/A</v>
      </c>
      <c r="R351" t="e">
        <f>INDEX(Items!D$2:D$1032,MATCH($O351,Items!$A$2:$A$1032,0))</f>
        <v>#N/A</v>
      </c>
    </row>
    <row r="352" spans="1:18" x14ac:dyDescent="0.25">
      <c r="A352">
        <f t="shared" si="27"/>
        <v>1</v>
      </c>
      <c r="B352" t="str">
        <f t="shared" si="28"/>
        <v/>
      </c>
      <c r="C352">
        <f t="shared" si="30"/>
        <v>1</v>
      </c>
      <c r="D352" s="4"/>
      <c r="E352" t="s">
        <v>18</v>
      </c>
      <c r="F352" t="str">
        <f>INDEX(Establishment!B$2:B$1005,MATCH($E352,Establishment!$A$2:$A$1005,0))</f>
        <v xml:space="preserve"> </v>
      </c>
      <c r="G352" t="str">
        <f>INDEX(Establishment!C$2:C$1005,MATCH($E352,Establishment!$A$2:$A$1005,0))</f>
        <v xml:space="preserve"> </v>
      </c>
      <c r="M352">
        <f t="shared" si="31"/>
        <v>0</v>
      </c>
      <c r="N352">
        <f t="shared" si="29"/>
        <v>0</v>
      </c>
      <c r="P352" t="e">
        <f>INDEX(Items!B$2:B$1032,MATCH($O352,Items!$A$2:$A$1032,0))</f>
        <v>#N/A</v>
      </c>
      <c r="Q352" t="e">
        <f>INDEX(Items!C$2:C$1032,MATCH($O352,Items!$A$2:$A$1032,0))</f>
        <v>#N/A</v>
      </c>
      <c r="R352" t="e">
        <f>INDEX(Items!D$2:D$1032,MATCH($O352,Items!$A$2:$A$1032,0))</f>
        <v>#N/A</v>
      </c>
    </row>
    <row r="353" spans="1:18" x14ac:dyDescent="0.25">
      <c r="A353">
        <f t="shared" si="27"/>
        <v>1</v>
      </c>
      <c r="B353" t="str">
        <f t="shared" si="28"/>
        <v/>
      </c>
      <c r="C353">
        <f t="shared" si="30"/>
        <v>1</v>
      </c>
      <c r="D353" s="4"/>
      <c r="E353" t="s">
        <v>18</v>
      </c>
      <c r="F353" t="str">
        <f>INDEX(Establishment!B$2:B$1005,MATCH($E353,Establishment!$A$2:$A$1005,0))</f>
        <v xml:space="preserve"> </v>
      </c>
      <c r="G353" t="str">
        <f>INDEX(Establishment!C$2:C$1005,MATCH($E353,Establishment!$A$2:$A$1005,0))</f>
        <v xml:space="preserve"> </v>
      </c>
      <c r="M353">
        <f t="shared" si="31"/>
        <v>0</v>
      </c>
      <c r="N353">
        <f t="shared" si="29"/>
        <v>0</v>
      </c>
      <c r="P353" t="e">
        <f>INDEX(Items!B$2:B$1032,MATCH($O353,Items!$A$2:$A$1032,0))</f>
        <v>#N/A</v>
      </c>
      <c r="Q353" t="e">
        <f>INDEX(Items!C$2:C$1032,MATCH($O353,Items!$A$2:$A$1032,0))</f>
        <v>#N/A</v>
      </c>
      <c r="R353" t="e">
        <f>INDEX(Items!D$2:D$1032,MATCH($O353,Items!$A$2:$A$1032,0))</f>
        <v>#N/A</v>
      </c>
    </row>
    <row r="354" spans="1:18" x14ac:dyDescent="0.25">
      <c r="A354">
        <f t="shared" si="27"/>
        <v>1</v>
      </c>
      <c r="B354" t="str">
        <f t="shared" si="28"/>
        <v/>
      </c>
      <c r="C354">
        <f t="shared" si="30"/>
        <v>1</v>
      </c>
      <c r="D354" s="4"/>
      <c r="E354" t="s">
        <v>18</v>
      </c>
      <c r="F354" t="str">
        <f>INDEX(Establishment!B$2:B$1005,MATCH($E354,Establishment!$A$2:$A$1005,0))</f>
        <v xml:space="preserve"> </v>
      </c>
      <c r="G354" t="str">
        <f>INDEX(Establishment!C$2:C$1005,MATCH($E354,Establishment!$A$2:$A$1005,0))</f>
        <v xml:space="preserve"> </v>
      </c>
      <c r="M354">
        <f t="shared" si="31"/>
        <v>0</v>
      </c>
      <c r="N354">
        <f t="shared" si="29"/>
        <v>0</v>
      </c>
      <c r="P354" t="e">
        <f>INDEX(Items!B$2:B$1032,MATCH($O354,Items!$A$2:$A$1032,0))</f>
        <v>#N/A</v>
      </c>
      <c r="Q354" t="e">
        <f>INDEX(Items!C$2:C$1032,MATCH($O354,Items!$A$2:$A$1032,0))</f>
        <v>#N/A</v>
      </c>
      <c r="R354" t="e">
        <f>INDEX(Items!D$2:D$1032,MATCH($O354,Items!$A$2:$A$1032,0))</f>
        <v>#N/A</v>
      </c>
    </row>
    <row r="355" spans="1:18" x14ac:dyDescent="0.25">
      <c r="A355">
        <f t="shared" si="27"/>
        <v>1</v>
      </c>
      <c r="B355" t="str">
        <f t="shared" si="28"/>
        <v/>
      </c>
      <c r="C355">
        <f t="shared" si="30"/>
        <v>1</v>
      </c>
      <c r="D355" s="4"/>
      <c r="E355" t="s">
        <v>18</v>
      </c>
      <c r="F355" t="str">
        <f>INDEX(Establishment!B$2:B$1005,MATCH($E355,Establishment!$A$2:$A$1005,0))</f>
        <v xml:space="preserve"> </v>
      </c>
      <c r="G355" t="str">
        <f>INDEX(Establishment!C$2:C$1005,MATCH($E355,Establishment!$A$2:$A$1005,0))</f>
        <v xml:space="preserve"> </v>
      </c>
      <c r="M355">
        <f t="shared" si="31"/>
        <v>0</v>
      </c>
      <c r="N355">
        <f t="shared" si="29"/>
        <v>0</v>
      </c>
      <c r="P355" t="e">
        <f>INDEX(Items!B$2:B$1032,MATCH($O355,Items!$A$2:$A$1032,0))</f>
        <v>#N/A</v>
      </c>
      <c r="Q355" t="e">
        <f>INDEX(Items!C$2:C$1032,MATCH($O355,Items!$A$2:$A$1032,0))</f>
        <v>#N/A</v>
      </c>
      <c r="R355" t="e">
        <f>INDEX(Items!D$2:D$1032,MATCH($O355,Items!$A$2:$A$1032,0))</f>
        <v>#N/A</v>
      </c>
    </row>
    <row r="356" spans="1:18" x14ac:dyDescent="0.25">
      <c r="A356">
        <f t="shared" si="27"/>
        <v>1</v>
      </c>
      <c r="B356" t="str">
        <f t="shared" si="28"/>
        <v/>
      </c>
      <c r="C356">
        <f t="shared" si="30"/>
        <v>1</v>
      </c>
      <c r="D356" s="4"/>
      <c r="E356" t="s">
        <v>18</v>
      </c>
      <c r="F356" t="str">
        <f>INDEX(Establishment!B$2:B$1005,MATCH($E356,Establishment!$A$2:$A$1005,0))</f>
        <v xml:space="preserve"> </v>
      </c>
      <c r="G356" t="str">
        <f>INDEX(Establishment!C$2:C$1005,MATCH($E356,Establishment!$A$2:$A$1005,0))</f>
        <v xml:space="preserve"> </v>
      </c>
      <c r="M356">
        <f t="shared" si="31"/>
        <v>0</v>
      </c>
      <c r="N356">
        <f t="shared" si="29"/>
        <v>0</v>
      </c>
      <c r="P356" t="e">
        <f>INDEX(Items!B$2:B$1032,MATCH($O356,Items!$A$2:$A$1032,0))</f>
        <v>#N/A</v>
      </c>
      <c r="Q356" t="e">
        <f>INDEX(Items!C$2:C$1032,MATCH($O356,Items!$A$2:$A$1032,0))</f>
        <v>#N/A</v>
      </c>
      <c r="R356" t="e">
        <f>INDEX(Items!D$2:D$1032,MATCH($O356,Items!$A$2:$A$1032,0))</f>
        <v>#N/A</v>
      </c>
    </row>
    <row r="357" spans="1:18" x14ac:dyDescent="0.25">
      <c r="A357">
        <f t="shared" si="27"/>
        <v>1</v>
      </c>
      <c r="B357" t="str">
        <f t="shared" si="28"/>
        <v/>
      </c>
      <c r="C357">
        <f t="shared" si="30"/>
        <v>1</v>
      </c>
      <c r="D357" s="4"/>
      <c r="E357" t="s">
        <v>18</v>
      </c>
      <c r="F357" t="str">
        <f>INDEX(Establishment!B$2:B$1005,MATCH($E357,Establishment!$A$2:$A$1005,0))</f>
        <v xml:space="preserve"> </v>
      </c>
      <c r="G357" t="str">
        <f>INDEX(Establishment!C$2:C$1005,MATCH($E357,Establishment!$A$2:$A$1005,0))</f>
        <v xml:space="preserve"> </v>
      </c>
      <c r="M357">
        <f t="shared" si="31"/>
        <v>0</v>
      </c>
      <c r="N357">
        <f t="shared" si="29"/>
        <v>0</v>
      </c>
      <c r="P357" t="e">
        <f>INDEX(Items!B$2:B$1032,MATCH($O357,Items!$A$2:$A$1032,0))</f>
        <v>#N/A</v>
      </c>
      <c r="Q357" t="e">
        <f>INDEX(Items!C$2:C$1032,MATCH($O357,Items!$A$2:$A$1032,0))</f>
        <v>#N/A</v>
      </c>
      <c r="R357" t="e">
        <f>INDEX(Items!D$2:D$1032,MATCH($O357,Items!$A$2:$A$1032,0))</f>
        <v>#N/A</v>
      </c>
    </row>
    <row r="358" spans="1:18" x14ac:dyDescent="0.25">
      <c r="A358">
        <f t="shared" si="27"/>
        <v>1</v>
      </c>
      <c r="B358" t="str">
        <f t="shared" si="28"/>
        <v/>
      </c>
      <c r="C358">
        <f t="shared" si="30"/>
        <v>1</v>
      </c>
      <c r="D358" s="4"/>
      <c r="E358" t="s">
        <v>18</v>
      </c>
      <c r="F358" t="str">
        <f>INDEX(Establishment!B$2:B$1005,MATCH($E358,Establishment!$A$2:$A$1005,0))</f>
        <v xml:space="preserve"> </v>
      </c>
      <c r="G358" t="str">
        <f>INDEX(Establishment!C$2:C$1005,MATCH($E358,Establishment!$A$2:$A$1005,0))</f>
        <v xml:space="preserve"> </v>
      </c>
      <c r="M358">
        <f t="shared" si="31"/>
        <v>0</v>
      </c>
      <c r="N358">
        <f t="shared" si="29"/>
        <v>0</v>
      </c>
      <c r="P358" t="e">
        <f>INDEX(Items!B$2:B$1032,MATCH($O358,Items!$A$2:$A$1032,0))</f>
        <v>#N/A</v>
      </c>
      <c r="Q358" t="e">
        <f>INDEX(Items!C$2:C$1032,MATCH($O358,Items!$A$2:$A$1032,0))</f>
        <v>#N/A</v>
      </c>
      <c r="R358" t="e">
        <f>INDEX(Items!D$2:D$1032,MATCH($O358,Items!$A$2:$A$1032,0))</f>
        <v>#N/A</v>
      </c>
    </row>
    <row r="359" spans="1:18" x14ac:dyDescent="0.25">
      <c r="A359">
        <f t="shared" si="27"/>
        <v>1</v>
      </c>
      <c r="B359" t="str">
        <f t="shared" si="28"/>
        <v/>
      </c>
      <c r="C359">
        <f t="shared" si="30"/>
        <v>1</v>
      </c>
      <c r="D359" s="4"/>
      <c r="E359" t="s">
        <v>18</v>
      </c>
      <c r="F359" t="str">
        <f>INDEX(Establishment!B$2:B$1005,MATCH($E359,Establishment!$A$2:$A$1005,0))</f>
        <v xml:space="preserve"> </v>
      </c>
      <c r="G359" t="str">
        <f>INDEX(Establishment!C$2:C$1005,MATCH($E359,Establishment!$A$2:$A$1005,0))</f>
        <v xml:space="preserve"> </v>
      </c>
      <c r="M359">
        <f t="shared" si="31"/>
        <v>0</v>
      </c>
      <c r="N359">
        <f t="shared" si="29"/>
        <v>0</v>
      </c>
      <c r="P359" t="e">
        <f>INDEX(Items!B$2:B$1032,MATCH($O359,Items!$A$2:$A$1032,0))</f>
        <v>#N/A</v>
      </c>
      <c r="Q359" t="e">
        <f>INDEX(Items!C$2:C$1032,MATCH($O359,Items!$A$2:$A$1032,0))</f>
        <v>#N/A</v>
      </c>
      <c r="R359" t="e">
        <f>INDEX(Items!D$2:D$1032,MATCH($O359,Items!$A$2:$A$1032,0))</f>
        <v>#N/A</v>
      </c>
    </row>
    <row r="360" spans="1:18" x14ac:dyDescent="0.25">
      <c r="A360">
        <f t="shared" si="27"/>
        <v>1</v>
      </c>
      <c r="B360" t="str">
        <f t="shared" si="28"/>
        <v/>
      </c>
      <c r="C360">
        <f t="shared" si="30"/>
        <v>1</v>
      </c>
      <c r="D360" s="4"/>
      <c r="E360" t="s">
        <v>18</v>
      </c>
      <c r="F360" t="str">
        <f>INDEX(Establishment!B$2:B$1005,MATCH($E360,Establishment!$A$2:$A$1005,0))</f>
        <v xml:space="preserve"> </v>
      </c>
      <c r="G360" t="str">
        <f>INDEX(Establishment!C$2:C$1005,MATCH($E360,Establishment!$A$2:$A$1005,0))</f>
        <v xml:space="preserve"> </v>
      </c>
      <c r="M360">
        <f t="shared" si="31"/>
        <v>0</v>
      </c>
      <c r="N360">
        <f t="shared" si="29"/>
        <v>0</v>
      </c>
      <c r="P360" t="e">
        <f>INDEX(Items!B$2:B$1032,MATCH($O360,Items!$A$2:$A$1032,0))</f>
        <v>#N/A</v>
      </c>
      <c r="Q360" t="e">
        <f>INDEX(Items!C$2:C$1032,MATCH($O360,Items!$A$2:$A$1032,0))</f>
        <v>#N/A</v>
      </c>
      <c r="R360" t="e">
        <f>INDEX(Items!D$2:D$1032,MATCH($O360,Items!$A$2:$A$1032,0))</f>
        <v>#N/A</v>
      </c>
    </row>
    <row r="361" spans="1:18" x14ac:dyDescent="0.25">
      <c r="A361">
        <f t="shared" si="27"/>
        <v>1</v>
      </c>
      <c r="B361" t="str">
        <f t="shared" si="28"/>
        <v/>
      </c>
      <c r="C361">
        <f t="shared" si="30"/>
        <v>1</v>
      </c>
      <c r="D361" s="4"/>
      <c r="E361" t="s">
        <v>18</v>
      </c>
      <c r="F361" t="str">
        <f>INDEX(Establishment!B$2:B$1005,MATCH($E361,Establishment!$A$2:$A$1005,0))</f>
        <v xml:space="preserve"> </v>
      </c>
      <c r="G361" t="str">
        <f>INDEX(Establishment!C$2:C$1005,MATCH($E361,Establishment!$A$2:$A$1005,0))</f>
        <v xml:space="preserve"> </v>
      </c>
      <c r="M361">
        <f t="shared" si="31"/>
        <v>0</v>
      </c>
      <c r="N361">
        <f t="shared" si="29"/>
        <v>0</v>
      </c>
      <c r="P361" t="e">
        <f>INDEX(Items!B$2:B$1032,MATCH($O361,Items!$A$2:$A$1032,0))</f>
        <v>#N/A</v>
      </c>
      <c r="Q361" t="e">
        <f>INDEX(Items!C$2:C$1032,MATCH($O361,Items!$A$2:$A$1032,0))</f>
        <v>#N/A</v>
      </c>
      <c r="R361" t="e">
        <f>INDEX(Items!D$2:D$1032,MATCH($O361,Items!$A$2:$A$1032,0))</f>
        <v>#N/A</v>
      </c>
    </row>
    <row r="362" spans="1:18" x14ac:dyDescent="0.25">
      <c r="A362">
        <f t="shared" si="27"/>
        <v>1</v>
      </c>
      <c r="B362" t="str">
        <f t="shared" si="28"/>
        <v/>
      </c>
      <c r="C362">
        <f t="shared" si="30"/>
        <v>1</v>
      </c>
      <c r="D362" s="4"/>
      <c r="E362" t="s">
        <v>18</v>
      </c>
      <c r="F362" t="str">
        <f>INDEX(Establishment!B$2:B$1005,MATCH($E362,Establishment!$A$2:$A$1005,0))</f>
        <v xml:space="preserve"> </v>
      </c>
      <c r="G362" t="str">
        <f>INDEX(Establishment!C$2:C$1005,MATCH($E362,Establishment!$A$2:$A$1005,0))</f>
        <v xml:space="preserve"> </v>
      </c>
      <c r="M362">
        <f t="shared" si="31"/>
        <v>0</v>
      </c>
      <c r="N362">
        <f t="shared" si="29"/>
        <v>0</v>
      </c>
      <c r="P362" t="e">
        <f>INDEX(Items!B$2:B$1032,MATCH($O362,Items!$A$2:$A$1032,0))</f>
        <v>#N/A</v>
      </c>
      <c r="Q362" t="e">
        <f>INDEX(Items!C$2:C$1032,MATCH($O362,Items!$A$2:$A$1032,0))</f>
        <v>#N/A</v>
      </c>
      <c r="R362" t="e">
        <f>INDEX(Items!D$2:D$1032,MATCH($O362,Items!$A$2:$A$1032,0))</f>
        <v>#N/A</v>
      </c>
    </row>
    <row r="363" spans="1:18" x14ac:dyDescent="0.25">
      <c r="A363">
        <f t="shared" si="27"/>
        <v>1</v>
      </c>
      <c r="B363" t="str">
        <f t="shared" si="28"/>
        <v/>
      </c>
      <c r="C363">
        <f t="shared" si="30"/>
        <v>1</v>
      </c>
      <c r="D363" s="4"/>
      <c r="E363" t="s">
        <v>18</v>
      </c>
      <c r="F363" t="str">
        <f>INDEX(Establishment!B$2:B$1005,MATCH($E363,Establishment!$A$2:$A$1005,0))</f>
        <v xml:space="preserve"> </v>
      </c>
      <c r="G363" t="str">
        <f>INDEX(Establishment!C$2:C$1005,MATCH($E363,Establishment!$A$2:$A$1005,0))</f>
        <v xml:space="preserve"> </v>
      </c>
      <c r="M363">
        <f t="shared" si="31"/>
        <v>0</v>
      </c>
      <c r="N363">
        <f t="shared" si="29"/>
        <v>0</v>
      </c>
      <c r="P363" t="e">
        <f>INDEX(Items!B$2:B$1032,MATCH($O363,Items!$A$2:$A$1032,0))</f>
        <v>#N/A</v>
      </c>
      <c r="Q363" t="e">
        <f>INDEX(Items!C$2:C$1032,MATCH($O363,Items!$A$2:$A$1032,0))</f>
        <v>#N/A</v>
      </c>
      <c r="R363" t="e">
        <f>INDEX(Items!D$2:D$1032,MATCH($O363,Items!$A$2:$A$1032,0))</f>
        <v>#N/A</v>
      </c>
    </row>
    <row r="364" spans="1:18" x14ac:dyDescent="0.25">
      <c r="A364">
        <f t="shared" si="27"/>
        <v>1</v>
      </c>
      <c r="B364" t="str">
        <f t="shared" si="28"/>
        <v/>
      </c>
      <c r="C364">
        <f t="shared" si="30"/>
        <v>1</v>
      </c>
      <c r="D364" s="4"/>
      <c r="E364" t="s">
        <v>18</v>
      </c>
      <c r="F364" t="str">
        <f>INDEX(Establishment!B$2:B$1005,MATCH($E364,Establishment!$A$2:$A$1005,0))</f>
        <v xml:space="preserve"> </v>
      </c>
      <c r="G364" t="str">
        <f>INDEX(Establishment!C$2:C$1005,MATCH($E364,Establishment!$A$2:$A$1005,0))</f>
        <v xml:space="preserve"> </v>
      </c>
      <c r="M364">
        <f t="shared" si="31"/>
        <v>0</v>
      </c>
      <c r="N364">
        <f t="shared" si="29"/>
        <v>0</v>
      </c>
      <c r="P364" t="e">
        <f>INDEX(Items!B$2:B$1032,MATCH($O364,Items!$A$2:$A$1032,0))</f>
        <v>#N/A</v>
      </c>
      <c r="Q364" t="e">
        <f>INDEX(Items!C$2:C$1032,MATCH($O364,Items!$A$2:$A$1032,0))</f>
        <v>#N/A</v>
      </c>
      <c r="R364" t="e">
        <f>INDEX(Items!D$2:D$1032,MATCH($O364,Items!$A$2:$A$1032,0))</f>
        <v>#N/A</v>
      </c>
    </row>
    <row r="365" spans="1:18" x14ac:dyDescent="0.25">
      <c r="A365">
        <f t="shared" si="27"/>
        <v>1</v>
      </c>
      <c r="B365" t="str">
        <f t="shared" si="28"/>
        <v/>
      </c>
      <c r="C365">
        <f t="shared" si="30"/>
        <v>1</v>
      </c>
      <c r="D365" s="4"/>
      <c r="E365" t="s">
        <v>18</v>
      </c>
      <c r="F365" t="str">
        <f>INDEX(Establishment!B$2:B$1005,MATCH($E365,Establishment!$A$2:$A$1005,0))</f>
        <v xml:space="preserve"> </v>
      </c>
      <c r="G365" t="str">
        <f>INDEX(Establishment!C$2:C$1005,MATCH($E365,Establishment!$A$2:$A$1005,0))</f>
        <v xml:space="preserve"> </v>
      </c>
      <c r="M365">
        <f t="shared" si="31"/>
        <v>0</v>
      </c>
      <c r="N365">
        <f t="shared" si="29"/>
        <v>0</v>
      </c>
      <c r="P365" t="e">
        <f>INDEX(Items!B$2:B$1032,MATCH($O365,Items!$A$2:$A$1032,0))</f>
        <v>#N/A</v>
      </c>
      <c r="Q365" t="e">
        <f>INDEX(Items!C$2:C$1032,MATCH($O365,Items!$A$2:$A$1032,0))</f>
        <v>#N/A</v>
      </c>
      <c r="R365" t="e">
        <f>INDEX(Items!D$2:D$1032,MATCH($O365,Items!$A$2:$A$1032,0))</f>
        <v>#N/A</v>
      </c>
    </row>
    <row r="366" spans="1:18" x14ac:dyDescent="0.25">
      <c r="A366">
        <f t="shared" si="27"/>
        <v>1</v>
      </c>
      <c r="B366" t="str">
        <f t="shared" si="28"/>
        <v/>
      </c>
      <c r="C366">
        <f t="shared" si="30"/>
        <v>1</v>
      </c>
      <c r="D366" s="4"/>
      <c r="E366" t="s">
        <v>18</v>
      </c>
      <c r="F366" t="str">
        <f>INDEX(Establishment!B$2:B$1005,MATCH($E366,Establishment!$A$2:$A$1005,0))</f>
        <v xml:space="preserve"> </v>
      </c>
      <c r="G366" t="str">
        <f>INDEX(Establishment!C$2:C$1005,MATCH($E366,Establishment!$A$2:$A$1005,0))</f>
        <v xml:space="preserve"> </v>
      </c>
      <c r="M366">
        <f t="shared" si="31"/>
        <v>0</v>
      </c>
      <c r="N366">
        <f t="shared" si="29"/>
        <v>0</v>
      </c>
      <c r="P366" t="e">
        <f>INDEX(Items!B$2:B$1032,MATCH($O366,Items!$A$2:$A$1032,0))</f>
        <v>#N/A</v>
      </c>
      <c r="Q366" t="e">
        <f>INDEX(Items!C$2:C$1032,MATCH($O366,Items!$A$2:$A$1032,0))</f>
        <v>#N/A</v>
      </c>
      <c r="R366" t="e">
        <f>INDEX(Items!D$2:D$1032,MATCH($O366,Items!$A$2:$A$1032,0))</f>
        <v>#N/A</v>
      </c>
    </row>
    <row r="367" spans="1:18" x14ac:dyDescent="0.25">
      <c r="A367">
        <f t="shared" si="27"/>
        <v>1</v>
      </c>
      <c r="B367" t="str">
        <f t="shared" si="28"/>
        <v/>
      </c>
      <c r="C367">
        <f t="shared" si="30"/>
        <v>1</v>
      </c>
      <c r="D367" s="4"/>
      <c r="E367" t="s">
        <v>18</v>
      </c>
      <c r="F367" t="str">
        <f>INDEX(Establishment!B$2:B$1005,MATCH($E367,Establishment!$A$2:$A$1005,0))</f>
        <v xml:space="preserve"> </v>
      </c>
      <c r="G367" t="str">
        <f>INDEX(Establishment!C$2:C$1005,MATCH($E367,Establishment!$A$2:$A$1005,0))</f>
        <v xml:space="preserve"> </v>
      </c>
      <c r="M367">
        <f t="shared" si="31"/>
        <v>0</v>
      </c>
      <c r="N367">
        <f t="shared" si="29"/>
        <v>0</v>
      </c>
      <c r="P367" t="e">
        <f>INDEX(Items!B$2:B$1032,MATCH($O367,Items!$A$2:$A$1032,0))</f>
        <v>#N/A</v>
      </c>
      <c r="Q367" t="e">
        <f>INDEX(Items!C$2:C$1032,MATCH($O367,Items!$A$2:$A$1032,0))</f>
        <v>#N/A</v>
      </c>
      <c r="R367" t="e">
        <f>INDEX(Items!D$2:D$1032,MATCH($O367,Items!$A$2:$A$1032,0))</f>
        <v>#N/A</v>
      </c>
    </row>
    <row r="368" spans="1:18" x14ac:dyDescent="0.25">
      <c r="A368">
        <f t="shared" si="27"/>
        <v>1</v>
      </c>
      <c r="B368" t="str">
        <f t="shared" si="28"/>
        <v/>
      </c>
      <c r="C368">
        <f t="shared" si="30"/>
        <v>1</v>
      </c>
      <c r="D368" s="4"/>
      <c r="E368" t="s">
        <v>18</v>
      </c>
      <c r="F368" t="str">
        <f>INDEX(Establishment!B$2:B$1005,MATCH($E368,Establishment!$A$2:$A$1005,0))</f>
        <v xml:space="preserve"> </v>
      </c>
      <c r="G368" t="str">
        <f>INDEX(Establishment!C$2:C$1005,MATCH($E368,Establishment!$A$2:$A$1005,0))</f>
        <v xml:space="preserve"> </v>
      </c>
      <c r="M368">
        <f t="shared" si="31"/>
        <v>0</v>
      </c>
      <c r="N368">
        <f t="shared" si="29"/>
        <v>0</v>
      </c>
      <c r="P368" t="e">
        <f>INDEX(Items!B$2:B$1032,MATCH($O368,Items!$A$2:$A$1032,0))</f>
        <v>#N/A</v>
      </c>
      <c r="Q368" t="e">
        <f>INDEX(Items!C$2:C$1032,MATCH($O368,Items!$A$2:$A$1032,0))</f>
        <v>#N/A</v>
      </c>
      <c r="R368" t="e">
        <f>INDEX(Items!D$2:D$1032,MATCH($O368,Items!$A$2:$A$1032,0))</f>
        <v>#N/A</v>
      </c>
    </row>
    <row r="369" spans="1:18" x14ac:dyDescent="0.25">
      <c r="A369">
        <f t="shared" si="27"/>
        <v>1</v>
      </c>
      <c r="B369" t="str">
        <f t="shared" si="28"/>
        <v/>
      </c>
      <c r="C369">
        <f t="shared" si="30"/>
        <v>1</v>
      </c>
      <c r="D369" s="4"/>
      <c r="E369" t="s">
        <v>18</v>
      </c>
      <c r="F369" t="str">
        <f>INDEX(Establishment!B$2:B$1005,MATCH($E369,Establishment!$A$2:$A$1005,0))</f>
        <v xml:space="preserve"> </v>
      </c>
      <c r="G369" t="str">
        <f>INDEX(Establishment!C$2:C$1005,MATCH($E369,Establishment!$A$2:$A$1005,0))</f>
        <v xml:space="preserve"> </v>
      </c>
      <c r="M369">
        <f t="shared" si="31"/>
        <v>0</v>
      </c>
      <c r="N369">
        <f t="shared" si="29"/>
        <v>0</v>
      </c>
      <c r="P369" t="e">
        <f>INDEX(Items!B$2:B$1032,MATCH($O369,Items!$A$2:$A$1032,0))</f>
        <v>#N/A</v>
      </c>
      <c r="Q369" t="e">
        <f>INDEX(Items!C$2:C$1032,MATCH($O369,Items!$A$2:$A$1032,0))</f>
        <v>#N/A</v>
      </c>
      <c r="R369" t="e">
        <f>INDEX(Items!D$2:D$1032,MATCH($O369,Items!$A$2:$A$1032,0))</f>
        <v>#N/A</v>
      </c>
    </row>
    <row r="370" spans="1:18" x14ac:dyDescent="0.25">
      <c r="A370">
        <f t="shared" si="27"/>
        <v>1</v>
      </c>
      <c r="B370" t="str">
        <f t="shared" si="28"/>
        <v/>
      </c>
      <c r="C370">
        <f t="shared" si="30"/>
        <v>1</v>
      </c>
      <c r="D370" s="4"/>
      <c r="E370" t="s">
        <v>18</v>
      </c>
      <c r="F370" t="str">
        <f>INDEX(Establishment!B$2:B$1005,MATCH($E370,Establishment!$A$2:$A$1005,0))</f>
        <v xml:space="preserve"> </v>
      </c>
      <c r="G370" t="str">
        <f>INDEX(Establishment!C$2:C$1005,MATCH($E370,Establishment!$A$2:$A$1005,0))</f>
        <v xml:space="preserve"> </v>
      </c>
      <c r="M370">
        <f t="shared" si="31"/>
        <v>0</v>
      </c>
      <c r="N370">
        <f t="shared" si="29"/>
        <v>0</v>
      </c>
      <c r="P370" t="e">
        <f>INDEX(Items!B$2:B$1032,MATCH($O370,Items!$A$2:$A$1032,0))</f>
        <v>#N/A</v>
      </c>
      <c r="Q370" t="e">
        <f>INDEX(Items!C$2:C$1032,MATCH($O370,Items!$A$2:$A$1032,0))</f>
        <v>#N/A</v>
      </c>
      <c r="R370" t="e">
        <f>INDEX(Items!D$2:D$1032,MATCH($O370,Items!$A$2:$A$1032,0))</f>
        <v>#N/A</v>
      </c>
    </row>
    <row r="371" spans="1:18" x14ac:dyDescent="0.25">
      <c r="A371">
        <f t="shared" si="27"/>
        <v>1</v>
      </c>
      <c r="B371" t="str">
        <f t="shared" si="28"/>
        <v/>
      </c>
      <c r="C371">
        <f t="shared" si="30"/>
        <v>1</v>
      </c>
      <c r="D371" s="4"/>
      <c r="E371" t="s">
        <v>18</v>
      </c>
      <c r="F371" t="str">
        <f>INDEX(Establishment!B$2:B$1005,MATCH($E371,Establishment!$A$2:$A$1005,0))</f>
        <v xml:space="preserve"> </v>
      </c>
      <c r="G371" t="str">
        <f>INDEX(Establishment!C$2:C$1005,MATCH($E371,Establishment!$A$2:$A$1005,0))</f>
        <v xml:space="preserve"> </v>
      </c>
      <c r="M371">
        <f t="shared" si="31"/>
        <v>0</v>
      </c>
      <c r="N371">
        <f t="shared" si="29"/>
        <v>0</v>
      </c>
      <c r="P371" t="e">
        <f>INDEX(Items!B$2:B$1032,MATCH($O371,Items!$A$2:$A$1032,0))</f>
        <v>#N/A</v>
      </c>
      <c r="Q371" t="e">
        <f>INDEX(Items!C$2:C$1032,MATCH($O371,Items!$A$2:$A$1032,0))</f>
        <v>#N/A</v>
      </c>
      <c r="R371" t="e">
        <f>INDEX(Items!D$2:D$1032,MATCH($O371,Items!$A$2:$A$1032,0))</f>
        <v>#N/A</v>
      </c>
    </row>
    <row r="372" spans="1:18" x14ac:dyDescent="0.25">
      <c r="A372">
        <f t="shared" si="27"/>
        <v>1</v>
      </c>
      <c r="B372" t="str">
        <f t="shared" si="28"/>
        <v/>
      </c>
      <c r="C372">
        <f t="shared" si="30"/>
        <v>1</v>
      </c>
      <c r="D372" s="4"/>
      <c r="E372" t="s">
        <v>18</v>
      </c>
      <c r="F372" t="str">
        <f>INDEX(Establishment!B$2:B$1005,MATCH($E372,Establishment!$A$2:$A$1005,0))</f>
        <v xml:space="preserve"> </v>
      </c>
      <c r="G372" t="str">
        <f>INDEX(Establishment!C$2:C$1005,MATCH($E372,Establishment!$A$2:$A$1005,0))</f>
        <v xml:space="preserve"> </v>
      </c>
      <c r="M372">
        <f t="shared" si="31"/>
        <v>0</v>
      </c>
      <c r="N372">
        <f t="shared" si="29"/>
        <v>0</v>
      </c>
      <c r="P372" t="e">
        <f>INDEX(Items!B$2:B$1032,MATCH($O372,Items!$A$2:$A$1032,0))</f>
        <v>#N/A</v>
      </c>
      <c r="Q372" t="e">
        <f>INDEX(Items!C$2:C$1032,MATCH($O372,Items!$A$2:$A$1032,0))</f>
        <v>#N/A</v>
      </c>
      <c r="R372" t="e">
        <f>INDEX(Items!D$2:D$1032,MATCH($O372,Items!$A$2:$A$1032,0))</f>
        <v>#N/A</v>
      </c>
    </row>
    <row r="373" spans="1:18" x14ac:dyDescent="0.25">
      <c r="A373">
        <f t="shared" si="27"/>
        <v>1</v>
      </c>
      <c r="B373" t="str">
        <f t="shared" si="28"/>
        <v/>
      </c>
      <c r="C373">
        <f t="shared" si="30"/>
        <v>1</v>
      </c>
      <c r="D373" s="4"/>
      <c r="E373" t="s">
        <v>18</v>
      </c>
      <c r="F373" t="str">
        <f>INDEX(Establishment!B$2:B$1005,MATCH($E373,Establishment!$A$2:$A$1005,0))</f>
        <v xml:space="preserve"> </v>
      </c>
      <c r="G373" t="str">
        <f>INDEX(Establishment!C$2:C$1005,MATCH($E373,Establishment!$A$2:$A$1005,0))</f>
        <v xml:space="preserve"> </v>
      </c>
      <c r="M373">
        <f t="shared" si="31"/>
        <v>0</v>
      </c>
      <c r="N373">
        <f t="shared" si="29"/>
        <v>0</v>
      </c>
      <c r="P373" t="e">
        <f>INDEX(Items!B$2:B$1032,MATCH($O373,Items!$A$2:$A$1032,0))</f>
        <v>#N/A</v>
      </c>
      <c r="Q373" t="e">
        <f>INDEX(Items!C$2:C$1032,MATCH($O373,Items!$A$2:$A$1032,0))</f>
        <v>#N/A</v>
      </c>
      <c r="R373" t="e">
        <f>INDEX(Items!D$2:D$1032,MATCH($O373,Items!$A$2:$A$1032,0))</f>
        <v>#N/A</v>
      </c>
    </row>
    <row r="374" spans="1:18" x14ac:dyDescent="0.25">
      <c r="A374">
        <f t="shared" si="27"/>
        <v>1</v>
      </c>
      <c r="B374" t="str">
        <f t="shared" si="28"/>
        <v/>
      </c>
      <c r="C374">
        <f t="shared" si="30"/>
        <v>1</v>
      </c>
      <c r="D374" s="4"/>
      <c r="E374" t="s">
        <v>18</v>
      </c>
      <c r="F374" t="str">
        <f>INDEX(Establishment!B$2:B$1005,MATCH($E374,Establishment!$A$2:$A$1005,0))</f>
        <v xml:space="preserve"> </v>
      </c>
      <c r="G374" t="str">
        <f>INDEX(Establishment!C$2:C$1005,MATCH($E374,Establishment!$A$2:$A$1005,0))</f>
        <v xml:space="preserve"> </v>
      </c>
      <c r="M374">
        <f t="shared" si="31"/>
        <v>0</v>
      </c>
      <c r="N374">
        <f t="shared" si="29"/>
        <v>0</v>
      </c>
      <c r="P374" t="e">
        <f>INDEX(Items!B$2:B$1032,MATCH($O374,Items!$A$2:$A$1032,0))</f>
        <v>#N/A</v>
      </c>
      <c r="Q374" t="e">
        <f>INDEX(Items!C$2:C$1032,MATCH($O374,Items!$A$2:$A$1032,0))</f>
        <v>#N/A</v>
      </c>
      <c r="R374" t="e">
        <f>INDEX(Items!D$2:D$1032,MATCH($O374,Items!$A$2:$A$1032,0))</f>
        <v>#N/A</v>
      </c>
    </row>
    <row r="375" spans="1:18" x14ac:dyDescent="0.25">
      <c r="A375">
        <f t="shared" si="27"/>
        <v>1</v>
      </c>
      <c r="B375" t="str">
        <f t="shared" si="28"/>
        <v/>
      </c>
      <c r="C375">
        <f t="shared" si="30"/>
        <v>1</v>
      </c>
      <c r="D375" s="4"/>
      <c r="E375" t="s">
        <v>18</v>
      </c>
      <c r="F375" t="str">
        <f>INDEX(Establishment!B$2:B$1005,MATCH($E375,Establishment!$A$2:$A$1005,0))</f>
        <v xml:space="preserve"> </v>
      </c>
      <c r="G375" t="str">
        <f>INDEX(Establishment!C$2:C$1005,MATCH($E375,Establishment!$A$2:$A$1005,0))</f>
        <v xml:space="preserve"> </v>
      </c>
      <c r="M375">
        <f t="shared" si="31"/>
        <v>0</v>
      </c>
      <c r="N375">
        <f t="shared" si="29"/>
        <v>0</v>
      </c>
      <c r="P375" t="e">
        <f>INDEX(Items!B$2:B$1032,MATCH($O375,Items!$A$2:$A$1032,0))</f>
        <v>#N/A</v>
      </c>
      <c r="Q375" t="e">
        <f>INDEX(Items!C$2:C$1032,MATCH($O375,Items!$A$2:$A$1032,0))</f>
        <v>#N/A</v>
      </c>
      <c r="R375" t="e">
        <f>INDEX(Items!D$2:D$1032,MATCH($O375,Items!$A$2:$A$1032,0))</f>
        <v>#N/A</v>
      </c>
    </row>
    <row r="376" spans="1:18" x14ac:dyDescent="0.25">
      <c r="A376">
        <f t="shared" si="27"/>
        <v>1</v>
      </c>
      <c r="B376" t="str">
        <f t="shared" si="28"/>
        <v/>
      </c>
      <c r="C376">
        <f t="shared" si="30"/>
        <v>1</v>
      </c>
      <c r="D376" s="4"/>
      <c r="E376" t="s">
        <v>18</v>
      </c>
      <c r="F376" t="str">
        <f>INDEX(Establishment!B$2:B$1005,MATCH($E376,Establishment!$A$2:$A$1005,0))</f>
        <v xml:space="preserve"> </v>
      </c>
      <c r="G376" t="str">
        <f>INDEX(Establishment!C$2:C$1005,MATCH($E376,Establishment!$A$2:$A$1005,0))</f>
        <v xml:space="preserve"> </v>
      </c>
      <c r="M376">
        <f t="shared" si="31"/>
        <v>0</v>
      </c>
      <c r="N376">
        <f t="shared" si="29"/>
        <v>0</v>
      </c>
      <c r="P376" t="e">
        <f>INDEX(Items!B$2:B$1032,MATCH($O376,Items!$A$2:$A$1032,0))</f>
        <v>#N/A</v>
      </c>
      <c r="Q376" t="e">
        <f>INDEX(Items!C$2:C$1032,MATCH($O376,Items!$A$2:$A$1032,0))</f>
        <v>#N/A</v>
      </c>
      <c r="R376" t="e">
        <f>INDEX(Items!D$2:D$1032,MATCH($O376,Items!$A$2:$A$1032,0))</f>
        <v>#N/A</v>
      </c>
    </row>
    <row r="377" spans="1:18" x14ac:dyDescent="0.25">
      <c r="A377">
        <f t="shared" si="27"/>
        <v>1</v>
      </c>
      <c r="B377" t="str">
        <f t="shared" si="28"/>
        <v/>
      </c>
      <c r="C377">
        <f t="shared" si="30"/>
        <v>1</v>
      </c>
      <c r="D377" s="4"/>
      <c r="E377" t="s">
        <v>18</v>
      </c>
      <c r="F377" t="str">
        <f>INDEX(Establishment!B$2:B$1005,MATCH($E377,Establishment!$A$2:$A$1005,0))</f>
        <v xml:space="preserve"> </v>
      </c>
      <c r="G377" t="str">
        <f>INDEX(Establishment!C$2:C$1005,MATCH($E377,Establishment!$A$2:$A$1005,0))</f>
        <v xml:space="preserve"> </v>
      </c>
      <c r="M377">
        <f t="shared" si="31"/>
        <v>0</v>
      </c>
      <c r="N377">
        <f t="shared" si="29"/>
        <v>0</v>
      </c>
      <c r="P377" t="e">
        <f>INDEX(Items!B$2:B$1032,MATCH($O377,Items!$A$2:$A$1032,0))</f>
        <v>#N/A</v>
      </c>
      <c r="Q377" t="e">
        <f>INDEX(Items!C$2:C$1032,MATCH($O377,Items!$A$2:$A$1032,0))</f>
        <v>#N/A</v>
      </c>
      <c r="R377" t="e">
        <f>INDEX(Items!D$2:D$1032,MATCH($O377,Items!$A$2:$A$1032,0))</f>
        <v>#N/A</v>
      </c>
    </row>
    <row r="378" spans="1:18" x14ac:dyDescent="0.25">
      <c r="A378">
        <f t="shared" si="27"/>
        <v>1</v>
      </c>
      <c r="B378" t="str">
        <f t="shared" si="28"/>
        <v/>
      </c>
      <c r="C378">
        <f t="shared" si="30"/>
        <v>1</v>
      </c>
      <c r="D378" s="4"/>
      <c r="E378" t="s">
        <v>18</v>
      </c>
      <c r="F378" t="str">
        <f>INDEX(Establishment!B$2:B$1005,MATCH($E378,Establishment!$A$2:$A$1005,0))</f>
        <v xml:space="preserve"> </v>
      </c>
      <c r="G378" t="str">
        <f>INDEX(Establishment!C$2:C$1005,MATCH($E378,Establishment!$A$2:$A$1005,0))</f>
        <v xml:space="preserve"> </v>
      </c>
      <c r="M378">
        <f t="shared" si="31"/>
        <v>0</v>
      </c>
      <c r="N378">
        <f t="shared" si="29"/>
        <v>0</v>
      </c>
      <c r="P378" t="e">
        <f>INDEX(Items!B$2:B$1032,MATCH($O378,Items!$A$2:$A$1032,0))</f>
        <v>#N/A</v>
      </c>
      <c r="Q378" t="e">
        <f>INDEX(Items!C$2:C$1032,MATCH($O378,Items!$A$2:$A$1032,0))</f>
        <v>#N/A</v>
      </c>
      <c r="R378" t="e">
        <f>INDEX(Items!D$2:D$1032,MATCH($O378,Items!$A$2:$A$1032,0))</f>
        <v>#N/A</v>
      </c>
    </row>
    <row r="379" spans="1:18" x14ac:dyDescent="0.25">
      <c r="A379">
        <f t="shared" si="27"/>
        <v>1</v>
      </c>
      <c r="B379" t="str">
        <f t="shared" si="28"/>
        <v/>
      </c>
      <c r="C379">
        <f t="shared" si="30"/>
        <v>1</v>
      </c>
      <c r="D379" s="4"/>
      <c r="E379" t="s">
        <v>18</v>
      </c>
      <c r="F379" t="str">
        <f>INDEX(Establishment!B$2:B$1005,MATCH($E379,Establishment!$A$2:$A$1005,0))</f>
        <v xml:space="preserve"> </v>
      </c>
      <c r="G379" t="str">
        <f>INDEX(Establishment!C$2:C$1005,MATCH($E379,Establishment!$A$2:$A$1005,0))</f>
        <v xml:space="preserve"> </v>
      </c>
      <c r="M379">
        <f t="shared" si="31"/>
        <v>0</v>
      </c>
      <c r="N379">
        <f t="shared" si="29"/>
        <v>0</v>
      </c>
      <c r="P379" t="e">
        <f>INDEX(Items!B$2:B$1032,MATCH($O379,Items!$A$2:$A$1032,0))</f>
        <v>#N/A</v>
      </c>
      <c r="Q379" t="e">
        <f>INDEX(Items!C$2:C$1032,MATCH($O379,Items!$A$2:$A$1032,0))</f>
        <v>#N/A</v>
      </c>
      <c r="R379" t="e">
        <f>INDEX(Items!D$2:D$1032,MATCH($O379,Items!$A$2:$A$1032,0))</f>
        <v>#N/A</v>
      </c>
    </row>
    <row r="380" spans="1:18" x14ac:dyDescent="0.25">
      <c r="A380">
        <f t="shared" si="27"/>
        <v>1</v>
      </c>
      <c r="B380" t="str">
        <f t="shared" si="28"/>
        <v/>
      </c>
      <c r="C380">
        <f t="shared" si="30"/>
        <v>1</v>
      </c>
      <c r="D380" s="4"/>
      <c r="E380" t="s">
        <v>18</v>
      </c>
      <c r="F380" t="str">
        <f>INDEX(Establishment!B$2:B$1005,MATCH($E380,Establishment!$A$2:$A$1005,0))</f>
        <v xml:space="preserve"> </v>
      </c>
      <c r="G380" t="str">
        <f>INDEX(Establishment!C$2:C$1005,MATCH($E380,Establishment!$A$2:$A$1005,0))</f>
        <v xml:space="preserve"> </v>
      </c>
      <c r="M380">
        <f t="shared" si="31"/>
        <v>0</v>
      </c>
      <c r="N380">
        <f t="shared" si="29"/>
        <v>0</v>
      </c>
      <c r="P380" t="e">
        <f>INDEX(Items!B$2:B$1032,MATCH($O380,Items!$A$2:$A$1032,0))</f>
        <v>#N/A</v>
      </c>
      <c r="Q380" t="e">
        <f>INDEX(Items!C$2:C$1032,MATCH($O380,Items!$A$2:$A$1032,0))</f>
        <v>#N/A</v>
      </c>
      <c r="R380" t="e">
        <f>INDEX(Items!D$2:D$1032,MATCH($O380,Items!$A$2:$A$1032,0))</f>
        <v>#N/A</v>
      </c>
    </row>
    <row r="381" spans="1:18" x14ac:dyDescent="0.25">
      <c r="A381">
        <f t="shared" si="27"/>
        <v>1</v>
      </c>
      <c r="B381" t="str">
        <f t="shared" si="28"/>
        <v/>
      </c>
      <c r="C381">
        <f t="shared" si="30"/>
        <v>1</v>
      </c>
      <c r="D381" s="4"/>
      <c r="E381" t="s">
        <v>18</v>
      </c>
      <c r="F381" t="str">
        <f>INDEX(Establishment!B$2:B$1005,MATCH($E381,Establishment!$A$2:$A$1005,0))</f>
        <v xml:space="preserve"> </v>
      </c>
      <c r="G381" t="str">
        <f>INDEX(Establishment!C$2:C$1005,MATCH($E381,Establishment!$A$2:$A$1005,0))</f>
        <v xml:space="preserve"> </v>
      </c>
      <c r="M381">
        <f t="shared" si="31"/>
        <v>0</v>
      </c>
      <c r="N381">
        <f t="shared" si="29"/>
        <v>0</v>
      </c>
      <c r="P381" t="e">
        <f>INDEX(Items!B$2:B$1032,MATCH($O381,Items!$A$2:$A$1032,0))</f>
        <v>#N/A</v>
      </c>
      <c r="Q381" t="e">
        <f>INDEX(Items!C$2:C$1032,MATCH($O381,Items!$A$2:$A$1032,0))</f>
        <v>#N/A</v>
      </c>
      <c r="R381" t="e">
        <f>INDEX(Items!D$2:D$1032,MATCH($O381,Items!$A$2:$A$1032,0))</f>
        <v>#N/A</v>
      </c>
    </row>
    <row r="382" spans="1:18" x14ac:dyDescent="0.25">
      <c r="A382">
        <f t="shared" si="27"/>
        <v>1</v>
      </c>
      <c r="B382" t="str">
        <f t="shared" si="28"/>
        <v/>
      </c>
      <c r="C382">
        <f t="shared" si="30"/>
        <v>1</v>
      </c>
      <c r="D382" s="4"/>
      <c r="E382" t="s">
        <v>18</v>
      </c>
      <c r="F382" t="str">
        <f>INDEX(Establishment!B$2:B$1005,MATCH($E382,Establishment!$A$2:$A$1005,0))</f>
        <v xml:space="preserve"> </v>
      </c>
      <c r="G382" t="str">
        <f>INDEX(Establishment!C$2:C$1005,MATCH($E382,Establishment!$A$2:$A$1005,0))</f>
        <v xml:space="preserve"> </v>
      </c>
      <c r="M382">
        <f t="shared" si="31"/>
        <v>0</v>
      </c>
      <c r="N382">
        <f t="shared" si="29"/>
        <v>0</v>
      </c>
      <c r="P382" t="e">
        <f>INDEX(Items!B$2:B$1032,MATCH($O382,Items!$A$2:$A$1032,0))</f>
        <v>#N/A</v>
      </c>
      <c r="Q382" t="e">
        <f>INDEX(Items!C$2:C$1032,MATCH($O382,Items!$A$2:$A$1032,0))</f>
        <v>#N/A</v>
      </c>
      <c r="R382" t="e">
        <f>INDEX(Items!D$2:D$1032,MATCH($O382,Items!$A$2:$A$1032,0))</f>
        <v>#N/A</v>
      </c>
    </row>
    <row r="383" spans="1:18" x14ac:dyDescent="0.25">
      <c r="A383">
        <f t="shared" si="27"/>
        <v>1</v>
      </c>
      <c r="B383" t="str">
        <f t="shared" si="28"/>
        <v/>
      </c>
      <c r="C383">
        <f t="shared" si="30"/>
        <v>1</v>
      </c>
      <c r="D383" s="4"/>
      <c r="E383" t="s">
        <v>18</v>
      </c>
      <c r="F383" t="str">
        <f>INDEX(Establishment!B$2:B$1005,MATCH($E383,Establishment!$A$2:$A$1005,0))</f>
        <v xml:space="preserve"> </v>
      </c>
      <c r="G383" t="str">
        <f>INDEX(Establishment!C$2:C$1005,MATCH($E383,Establishment!$A$2:$A$1005,0))</f>
        <v xml:space="preserve"> </v>
      </c>
      <c r="M383">
        <f t="shared" si="31"/>
        <v>0</v>
      </c>
      <c r="N383">
        <f t="shared" si="29"/>
        <v>0</v>
      </c>
      <c r="P383" t="e">
        <f>INDEX(Items!B$2:B$1032,MATCH($O383,Items!$A$2:$A$1032,0))</f>
        <v>#N/A</v>
      </c>
      <c r="Q383" t="e">
        <f>INDEX(Items!C$2:C$1032,MATCH($O383,Items!$A$2:$A$1032,0))</f>
        <v>#N/A</v>
      </c>
      <c r="R383" t="e">
        <f>INDEX(Items!D$2:D$1032,MATCH($O383,Items!$A$2:$A$1032,0))</f>
        <v>#N/A</v>
      </c>
    </row>
    <row r="384" spans="1:18" x14ac:dyDescent="0.25">
      <c r="A384">
        <f t="shared" si="27"/>
        <v>1</v>
      </c>
      <c r="B384" t="str">
        <f t="shared" si="28"/>
        <v/>
      </c>
      <c r="C384">
        <f t="shared" si="30"/>
        <v>1</v>
      </c>
      <c r="D384" s="4"/>
      <c r="E384" t="s">
        <v>18</v>
      </c>
      <c r="F384" t="str">
        <f>INDEX(Establishment!B$2:B$1005,MATCH($E384,Establishment!$A$2:$A$1005,0))</f>
        <v xml:space="preserve"> </v>
      </c>
      <c r="G384" t="str">
        <f>INDEX(Establishment!C$2:C$1005,MATCH($E384,Establishment!$A$2:$A$1005,0))</f>
        <v xml:space="preserve"> </v>
      </c>
      <c r="M384">
        <f t="shared" si="31"/>
        <v>0</v>
      </c>
      <c r="N384">
        <f t="shared" si="29"/>
        <v>0</v>
      </c>
      <c r="P384" t="e">
        <f>INDEX(Items!B$2:B$1032,MATCH($O384,Items!$A$2:$A$1032,0))</f>
        <v>#N/A</v>
      </c>
      <c r="Q384" t="e">
        <f>INDEX(Items!C$2:C$1032,MATCH($O384,Items!$A$2:$A$1032,0))</f>
        <v>#N/A</v>
      </c>
      <c r="R384" t="e">
        <f>INDEX(Items!D$2:D$1032,MATCH($O384,Items!$A$2:$A$1032,0))</f>
        <v>#N/A</v>
      </c>
    </row>
    <row r="385" spans="1:18" x14ac:dyDescent="0.25">
      <c r="A385">
        <f t="shared" si="27"/>
        <v>1</v>
      </c>
      <c r="B385" t="str">
        <f t="shared" si="28"/>
        <v/>
      </c>
      <c r="C385">
        <f t="shared" si="30"/>
        <v>1</v>
      </c>
      <c r="D385" s="4"/>
      <c r="E385" t="s">
        <v>18</v>
      </c>
      <c r="F385" t="str">
        <f>INDEX(Establishment!B$2:B$1005,MATCH($E385,Establishment!$A$2:$A$1005,0))</f>
        <v xml:space="preserve"> </v>
      </c>
      <c r="G385" t="str">
        <f>INDEX(Establishment!C$2:C$1005,MATCH($E385,Establishment!$A$2:$A$1005,0))</f>
        <v xml:space="preserve"> </v>
      </c>
      <c r="M385">
        <f t="shared" si="31"/>
        <v>0</v>
      </c>
      <c r="N385">
        <f t="shared" si="29"/>
        <v>0</v>
      </c>
      <c r="P385" t="e">
        <f>INDEX(Items!B$2:B$1032,MATCH($O385,Items!$A$2:$A$1032,0))</f>
        <v>#N/A</v>
      </c>
      <c r="Q385" t="e">
        <f>INDEX(Items!C$2:C$1032,MATCH($O385,Items!$A$2:$A$1032,0))</f>
        <v>#N/A</v>
      </c>
      <c r="R385" t="e">
        <f>INDEX(Items!D$2:D$1032,MATCH($O385,Items!$A$2:$A$1032,0))</f>
        <v>#N/A</v>
      </c>
    </row>
    <row r="386" spans="1:18" x14ac:dyDescent="0.25">
      <c r="A386">
        <f t="shared" ref="A386:A449" si="32">IF(OR(D386&lt;&gt;D385,D386=""),1,IF(NOT(AND(E386=E385,F386=F385,G386=G385)),A385+1,IF(OR(H386="",AND(H386&lt;&gt;"",H386&lt;&gt;H385,H385&lt;&gt;"")),A385,A385+1)))</f>
        <v>1</v>
      </c>
      <c r="B386" t="str">
        <f t="shared" ref="B386:B449" si="33">IF(D386&lt;&gt;"",TEXT(D386,"YYYYMMDD")&amp;CHAR(64+A386),"")</f>
        <v/>
      </c>
      <c r="C386">
        <f t="shared" si="30"/>
        <v>1</v>
      </c>
      <c r="D386" s="4"/>
      <c r="E386" t="s">
        <v>18</v>
      </c>
      <c r="F386" t="str">
        <f>INDEX(Establishment!B$2:B$1005,MATCH($E386,Establishment!$A$2:$A$1005,0))</f>
        <v xml:space="preserve"> </v>
      </c>
      <c r="G386" t="str">
        <f>INDEX(Establishment!C$2:C$1005,MATCH($E386,Establishment!$A$2:$A$1005,0))</f>
        <v xml:space="preserve"> </v>
      </c>
      <c r="M386">
        <f t="shared" si="31"/>
        <v>0</v>
      </c>
      <c r="N386">
        <f t="shared" si="29"/>
        <v>0</v>
      </c>
      <c r="P386" t="e">
        <f>INDEX(Items!B$2:B$1032,MATCH($O386,Items!$A$2:$A$1032,0))</f>
        <v>#N/A</v>
      </c>
      <c r="Q386" t="e">
        <f>INDEX(Items!C$2:C$1032,MATCH($O386,Items!$A$2:$A$1032,0))</f>
        <v>#N/A</v>
      </c>
      <c r="R386" t="e">
        <f>INDEX(Items!D$2:D$1032,MATCH($O386,Items!$A$2:$A$1032,0))</f>
        <v>#N/A</v>
      </c>
    </row>
    <row r="387" spans="1:18" x14ac:dyDescent="0.25">
      <c r="A387">
        <f t="shared" si="32"/>
        <v>1</v>
      </c>
      <c r="B387" t="str">
        <f t="shared" si="33"/>
        <v/>
      </c>
      <c r="C387">
        <f t="shared" si="30"/>
        <v>1</v>
      </c>
      <c r="D387" s="4"/>
      <c r="E387" t="s">
        <v>18</v>
      </c>
      <c r="F387" t="str">
        <f>INDEX(Establishment!B$2:B$1005,MATCH($E387,Establishment!$A$2:$A$1005,0))</f>
        <v xml:space="preserve"> </v>
      </c>
      <c r="G387" t="str">
        <f>INDEX(Establishment!C$2:C$1005,MATCH($E387,Establishment!$A$2:$A$1005,0))</f>
        <v xml:space="preserve"> </v>
      </c>
      <c r="M387">
        <f t="shared" si="31"/>
        <v>0</v>
      </c>
      <c r="N387">
        <f t="shared" ref="N387:N450" si="34">IF(B387=B386,N386+M387,M387)</f>
        <v>0</v>
      </c>
      <c r="P387" t="e">
        <f>INDEX(Items!B$2:B$1032,MATCH($O387,Items!$A$2:$A$1032,0))</f>
        <v>#N/A</v>
      </c>
      <c r="Q387" t="e">
        <f>INDEX(Items!C$2:C$1032,MATCH($O387,Items!$A$2:$A$1032,0))</f>
        <v>#N/A</v>
      </c>
      <c r="R387" t="e">
        <f>INDEX(Items!D$2:D$1032,MATCH($O387,Items!$A$2:$A$1032,0))</f>
        <v>#N/A</v>
      </c>
    </row>
    <row r="388" spans="1:18" x14ac:dyDescent="0.25">
      <c r="A388">
        <f t="shared" si="32"/>
        <v>1</v>
      </c>
      <c r="B388" t="str">
        <f t="shared" si="33"/>
        <v/>
      </c>
      <c r="C388">
        <f t="shared" si="30"/>
        <v>1</v>
      </c>
      <c r="D388" s="4"/>
      <c r="E388" t="s">
        <v>18</v>
      </c>
      <c r="F388" t="str">
        <f>INDEX(Establishment!B$2:B$1005,MATCH($E388,Establishment!$A$2:$A$1005,0))</f>
        <v xml:space="preserve"> </v>
      </c>
      <c r="G388" t="str">
        <f>INDEX(Establishment!C$2:C$1005,MATCH($E388,Establishment!$A$2:$A$1005,0))</f>
        <v xml:space="preserve"> </v>
      </c>
      <c r="M388">
        <f t="shared" si="31"/>
        <v>0</v>
      </c>
      <c r="N388">
        <f t="shared" si="34"/>
        <v>0</v>
      </c>
      <c r="P388" t="e">
        <f>INDEX(Items!B$2:B$1032,MATCH($O388,Items!$A$2:$A$1032,0))</f>
        <v>#N/A</v>
      </c>
      <c r="Q388" t="e">
        <f>INDEX(Items!C$2:C$1032,MATCH($O388,Items!$A$2:$A$1032,0))</f>
        <v>#N/A</v>
      </c>
      <c r="R388" t="e">
        <f>INDEX(Items!D$2:D$1032,MATCH($O388,Items!$A$2:$A$1032,0))</f>
        <v>#N/A</v>
      </c>
    </row>
    <row r="389" spans="1:18" x14ac:dyDescent="0.25">
      <c r="A389">
        <f t="shared" si="32"/>
        <v>1</v>
      </c>
      <c r="B389" t="str">
        <f t="shared" si="33"/>
        <v/>
      </c>
      <c r="C389">
        <f t="shared" si="30"/>
        <v>1</v>
      </c>
      <c r="D389" s="4"/>
      <c r="E389" t="s">
        <v>18</v>
      </c>
      <c r="F389" t="str">
        <f>INDEX(Establishment!B$2:B$1005,MATCH($E389,Establishment!$A$2:$A$1005,0))</f>
        <v xml:space="preserve"> </v>
      </c>
      <c r="G389" t="str">
        <f>INDEX(Establishment!C$2:C$1005,MATCH($E389,Establishment!$A$2:$A$1005,0))</f>
        <v xml:space="preserve"> </v>
      </c>
      <c r="M389">
        <f t="shared" si="31"/>
        <v>0</v>
      </c>
      <c r="N389">
        <f t="shared" si="34"/>
        <v>0</v>
      </c>
      <c r="P389" t="e">
        <f>INDEX(Items!B$2:B$1032,MATCH($O389,Items!$A$2:$A$1032,0))</f>
        <v>#N/A</v>
      </c>
      <c r="Q389" t="e">
        <f>INDEX(Items!C$2:C$1032,MATCH($O389,Items!$A$2:$A$1032,0))</f>
        <v>#N/A</v>
      </c>
      <c r="R389" t="e">
        <f>INDEX(Items!D$2:D$1032,MATCH($O389,Items!$A$2:$A$1032,0))</f>
        <v>#N/A</v>
      </c>
    </row>
    <row r="390" spans="1:18" x14ac:dyDescent="0.25">
      <c r="A390">
        <f t="shared" si="32"/>
        <v>1</v>
      </c>
      <c r="B390" t="str">
        <f t="shared" si="33"/>
        <v/>
      </c>
      <c r="C390">
        <f t="shared" si="30"/>
        <v>1</v>
      </c>
      <c r="D390" s="4"/>
      <c r="E390" t="s">
        <v>18</v>
      </c>
      <c r="F390" t="str">
        <f>INDEX(Establishment!B$2:B$1005,MATCH($E390,Establishment!$A$2:$A$1005,0))</f>
        <v xml:space="preserve"> </v>
      </c>
      <c r="G390" t="str">
        <f>INDEX(Establishment!C$2:C$1005,MATCH($E390,Establishment!$A$2:$A$1005,0))</f>
        <v xml:space="preserve"> </v>
      </c>
      <c r="M390">
        <f t="shared" si="31"/>
        <v>0</v>
      </c>
      <c r="N390">
        <f t="shared" si="34"/>
        <v>0</v>
      </c>
      <c r="P390" t="e">
        <f>INDEX(Items!B$2:B$1032,MATCH($O390,Items!$A$2:$A$1032,0))</f>
        <v>#N/A</v>
      </c>
      <c r="Q390" t="e">
        <f>INDEX(Items!C$2:C$1032,MATCH($O390,Items!$A$2:$A$1032,0))</f>
        <v>#N/A</v>
      </c>
      <c r="R390" t="e">
        <f>INDEX(Items!D$2:D$1032,MATCH($O390,Items!$A$2:$A$1032,0))</f>
        <v>#N/A</v>
      </c>
    </row>
    <row r="391" spans="1:18" x14ac:dyDescent="0.25">
      <c r="A391">
        <f t="shared" si="32"/>
        <v>1</v>
      </c>
      <c r="B391" t="str">
        <f t="shared" si="33"/>
        <v/>
      </c>
      <c r="C391">
        <f t="shared" si="30"/>
        <v>1</v>
      </c>
      <c r="D391" s="4"/>
      <c r="E391" t="s">
        <v>18</v>
      </c>
      <c r="F391" t="str">
        <f>INDEX(Establishment!B$2:B$1005,MATCH($E391,Establishment!$A$2:$A$1005,0))</f>
        <v xml:space="preserve"> </v>
      </c>
      <c r="G391" t="str">
        <f>INDEX(Establishment!C$2:C$1005,MATCH($E391,Establishment!$A$2:$A$1005,0))</f>
        <v xml:space="preserve"> </v>
      </c>
      <c r="M391">
        <f t="shared" si="31"/>
        <v>0</v>
      </c>
      <c r="N391">
        <f t="shared" si="34"/>
        <v>0</v>
      </c>
      <c r="P391" t="e">
        <f>INDEX(Items!B$2:B$1032,MATCH($O391,Items!$A$2:$A$1032,0))</f>
        <v>#N/A</v>
      </c>
      <c r="Q391" t="e">
        <f>INDEX(Items!C$2:C$1032,MATCH($O391,Items!$A$2:$A$1032,0))</f>
        <v>#N/A</v>
      </c>
      <c r="R391" t="e">
        <f>INDEX(Items!D$2:D$1032,MATCH($O391,Items!$A$2:$A$1032,0))</f>
        <v>#N/A</v>
      </c>
    </row>
    <row r="392" spans="1:18" x14ac:dyDescent="0.25">
      <c r="A392">
        <f t="shared" si="32"/>
        <v>1</v>
      </c>
      <c r="B392" t="str">
        <f t="shared" si="33"/>
        <v/>
      </c>
      <c r="C392">
        <f t="shared" si="30"/>
        <v>1</v>
      </c>
      <c r="D392" s="4"/>
      <c r="E392" t="s">
        <v>18</v>
      </c>
      <c r="F392" t="str">
        <f>INDEX(Establishment!B$2:B$1005,MATCH($E392,Establishment!$A$2:$A$1005,0))</f>
        <v xml:space="preserve"> </v>
      </c>
      <c r="G392" t="str">
        <f>INDEX(Establishment!C$2:C$1005,MATCH($E392,Establishment!$A$2:$A$1005,0))</f>
        <v xml:space="preserve"> </v>
      </c>
      <c r="M392">
        <f t="shared" si="31"/>
        <v>0</v>
      </c>
      <c r="N392">
        <f t="shared" si="34"/>
        <v>0</v>
      </c>
      <c r="P392" t="e">
        <f>INDEX(Items!B$2:B$1032,MATCH($O392,Items!$A$2:$A$1032,0))</f>
        <v>#N/A</v>
      </c>
      <c r="Q392" t="e">
        <f>INDEX(Items!C$2:C$1032,MATCH($O392,Items!$A$2:$A$1032,0))</f>
        <v>#N/A</v>
      </c>
      <c r="R392" t="e">
        <f>INDEX(Items!D$2:D$1032,MATCH($O392,Items!$A$2:$A$1032,0))</f>
        <v>#N/A</v>
      </c>
    </row>
    <row r="393" spans="1:18" x14ac:dyDescent="0.25">
      <c r="A393">
        <f t="shared" si="32"/>
        <v>1</v>
      </c>
      <c r="B393" t="str">
        <f t="shared" si="33"/>
        <v/>
      </c>
      <c r="C393">
        <f t="shared" si="30"/>
        <v>1</v>
      </c>
      <c r="D393" s="4"/>
      <c r="E393" t="s">
        <v>18</v>
      </c>
      <c r="F393" t="str">
        <f>INDEX(Establishment!B$2:B$1005,MATCH($E393,Establishment!$A$2:$A$1005,0))</f>
        <v xml:space="preserve"> </v>
      </c>
      <c r="G393" t="str">
        <f>INDEX(Establishment!C$2:C$1005,MATCH($E393,Establishment!$A$2:$A$1005,0))</f>
        <v xml:space="preserve"> </v>
      </c>
      <c r="M393">
        <f t="shared" si="31"/>
        <v>0</v>
      </c>
      <c r="N393">
        <f t="shared" si="34"/>
        <v>0</v>
      </c>
      <c r="P393" t="e">
        <f>INDEX(Items!B$2:B$1032,MATCH($O393,Items!$A$2:$A$1032,0))</f>
        <v>#N/A</v>
      </c>
      <c r="Q393" t="e">
        <f>INDEX(Items!C$2:C$1032,MATCH($O393,Items!$A$2:$A$1032,0))</f>
        <v>#N/A</v>
      </c>
      <c r="R393" t="e">
        <f>INDEX(Items!D$2:D$1032,MATCH($O393,Items!$A$2:$A$1032,0))</f>
        <v>#N/A</v>
      </c>
    </row>
    <row r="394" spans="1:18" x14ac:dyDescent="0.25">
      <c r="A394">
        <f t="shared" si="32"/>
        <v>1</v>
      </c>
      <c r="B394" t="str">
        <f t="shared" si="33"/>
        <v/>
      </c>
      <c r="C394">
        <f t="shared" ref="C394:C457" si="35">IF(OR(B394="",B394&lt;&gt;B393),1,C393+1)</f>
        <v>1</v>
      </c>
      <c r="D394" s="4"/>
      <c r="E394" t="s">
        <v>18</v>
      </c>
      <c r="F394" t="str">
        <f>INDEX(Establishment!B$2:B$1005,MATCH($E394,Establishment!$A$2:$A$1005,0))</f>
        <v xml:space="preserve"> </v>
      </c>
      <c r="G394" t="str">
        <f>INDEX(Establishment!C$2:C$1005,MATCH($E394,Establishment!$A$2:$A$1005,0))</f>
        <v xml:space="preserve"> </v>
      </c>
      <c r="M394">
        <f t="shared" ref="M394:M457" si="36">K394*L394</f>
        <v>0</v>
      </c>
      <c r="N394">
        <f t="shared" si="34"/>
        <v>0</v>
      </c>
      <c r="P394" t="e">
        <f>INDEX(Items!B$2:B$1032,MATCH($O394,Items!$A$2:$A$1032,0))</f>
        <v>#N/A</v>
      </c>
      <c r="Q394" t="e">
        <f>INDEX(Items!C$2:C$1032,MATCH($O394,Items!$A$2:$A$1032,0))</f>
        <v>#N/A</v>
      </c>
      <c r="R394" t="e">
        <f>INDEX(Items!D$2:D$1032,MATCH($O394,Items!$A$2:$A$1032,0))</f>
        <v>#N/A</v>
      </c>
    </row>
    <row r="395" spans="1:18" x14ac:dyDescent="0.25">
      <c r="A395">
        <f t="shared" si="32"/>
        <v>1</v>
      </c>
      <c r="B395" t="str">
        <f t="shared" si="33"/>
        <v/>
      </c>
      <c r="C395">
        <f t="shared" si="35"/>
        <v>1</v>
      </c>
      <c r="D395" s="4"/>
      <c r="E395" t="s">
        <v>18</v>
      </c>
      <c r="F395" t="str">
        <f>INDEX(Establishment!B$2:B$1005,MATCH($E395,Establishment!$A$2:$A$1005,0))</f>
        <v xml:space="preserve"> </v>
      </c>
      <c r="G395" t="str">
        <f>INDEX(Establishment!C$2:C$1005,MATCH($E395,Establishment!$A$2:$A$1005,0))</f>
        <v xml:space="preserve"> </v>
      </c>
      <c r="M395">
        <f t="shared" si="36"/>
        <v>0</v>
      </c>
      <c r="N395">
        <f t="shared" si="34"/>
        <v>0</v>
      </c>
      <c r="P395" t="e">
        <f>INDEX(Items!B$2:B$1032,MATCH($O395,Items!$A$2:$A$1032,0))</f>
        <v>#N/A</v>
      </c>
      <c r="Q395" t="e">
        <f>INDEX(Items!C$2:C$1032,MATCH($O395,Items!$A$2:$A$1032,0))</f>
        <v>#N/A</v>
      </c>
      <c r="R395" t="e">
        <f>INDEX(Items!D$2:D$1032,MATCH($O395,Items!$A$2:$A$1032,0))</f>
        <v>#N/A</v>
      </c>
    </row>
    <row r="396" spans="1:18" x14ac:dyDescent="0.25">
      <c r="A396">
        <f t="shared" si="32"/>
        <v>1</v>
      </c>
      <c r="B396" t="str">
        <f t="shared" si="33"/>
        <v/>
      </c>
      <c r="C396">
        <f t="shared" si="35"/>
        <v>1</v>
      </c>
      <c r="D396" s="4"/>
      <c r="E396" t="s">
        <v>18</v>
      </c>
      <c r="F396" t="str">
        <f>INDEX(Establishment!B$2:B$1005,MATCH($E396,Establishment!$A$2:$A$1005,0))</f>
        <v xml:space="preserve"> </v>
      </c>
      <c r="G396" t="str">
        <f>INDEX(Establishment!C$2:C$1005,MATCH($E396,Establishment!$A$2:$A$1005,0))</f>
        <v xml:space="preserve"> </v>
      </c>
      <c r="M396">
        <f t="shared" si="36"/>
        <v>0</v>
      </c>
      <c r="N396">
        <f t="shared" si="34"/>
        <v>0</v>
      </c>
      <c r="P396" t="e">
        <f>INDEX(Items!B$2:B$1032,MATCH($O396,Items!$A$2:$A$1032,0))</f>
        <v>#N/A</v>
      </c>
      <c r="Q396" t="e">
        <f>INDEX(Items!C$2:C$1032,MATCH($O396,Items!$A$2:$A$1032,0))</f>
        <v>#N/A</v>
      </c>
      <c r="R396" t="e">
        <f>INDEX(Items!D$2:D$1032,MATCH($O396,Items!$A$2:$A$1032,0))</f>
        <v>#N/A</v>
      </c>
    </row>
    <row r="397" spans="1:18" x14ac:dyDescent="0.25">
      <c r="A397">
        <f t="shared" si="32"/>
        <v>1</v>
      </c>
      <c r="B397" t="str">
        <f t="shared" si="33"/>
        <v/>
      </c>
      <c r="C397">
        <f t="shared" si="35"/>
        <v>1</v>
      </c>
      <c r="D397" s="4"/>
      <c r="E397" t="s">
        <v>18</v>
      </c>
      <c r="F397" t="str">
        <f>INDEX(Establishment!B$2:B$1005,MATCH($E397,Establishment!$A$2:$A$1005,0))</f>
        <v xml:space="preserve"> </v>
      </c>
      <c r="G397" t="str">
        <f>INDEX(Establishment!C$2:C$1005,MATCH($E397,Establishment!$A$2:$A$1005,0))</f>
        <v xml:space="preserve"> </v>
      </c>
      <c r="M397">
        <f t="shared" si="36"/>
        <v>0</v>
      </c>
      <c r="N397">
        <f t="shared" si="34"/>
        <v>0</v>
      </c>
      <c r="P397" t="e">
        <f>INDEX(Items!B$2:B$1032,MATCH($O397,Items!$A$2:$A$1032,0))</f>
        <v>#N/A</v>
      </c>
      <c r="Q397" t="e">
        <f>INDEX(Items!C$2:C$1032,MATCH($O397,Items!$A$2:$A$1032,0))</f>
        <v>#N/A</v>
      </c>
      <c r="R397" t="e">
        <f>INDEX(Items!D$2:D$1032,MATCH($O397,Items!$A$2:$A$1032,0))</f>
        <v>#N/A</v>
      </c>
    </row>
    <row r="398" spans="1:18" x14ac:dyDescent="0.25">
      <c r="A398">
        <f t="shared" si="32"/>
        <v>1</v>
      </c>
      <c r="B398" t="str">
        <f t="shared" si="33"/>
        <v/>
      </c>
      <c r="C398">
        <f t="shared" si="35"/>
        <v>1</v>
      </c>
      <c r="D398" s="4"/>
      <c r="E398" t="s">
        <v>18</v>
      </c>
      <c r="F398" t="str">
        <f>INDEX(Establishment!B$2:B$1005,MATCH($E398,Establishment!$A$2:$A$1005,0))</f>
        <v xml:space="preserve"> </v>
      </c>
      <c r="G398" t="str">
        <f>INDEX(Establishment!C$2:C$1005,MATCH($E398,Establishment!$A$2:$A$1005,0))</f>
        <v xml:space="preserve"> </v>
      </c>
      <c r="M398">
        <f t="shared" si="36"/>
        <v>0</v>
      </c>
      <c r="N398">
        <f t="shared" si="34"/>
        <v>0</v>
      </c>
      <c r="P398" t="e">
        <f>INDEX(Items!B$2:B$1032,MATCH($O398,Items!$A$2:$A$1032,0))</f>
        <v>#N/A</v>
      </c>
      <c r="Q398" t="e">
        <f>INDEX(Items!C$2:C$1032,MATCH($O398,Items!$A$2:$A$1032,0))</f>
        <v>#N/A</v>
      </c>
      <c r="R398" t="e">
        <f>INDEX(Items!D$2:D$1032,MATCH($O398,Items!$A$2:$A$1032,0))</f>
        <v>#N/A</v>
      </c>
    </row>
    <row r="399" spans="1:18" x14ac:dyDescent="0.25">
      <c r="A399">
        <f t="shared" si="32"/>
        <v>1</v>
      </c>
      <c r="B399" t="str">
        <f t="shared" si="33"/>
        <v/>
      </c>
      <c r="C399">
        <f t="shared" si="35"/>
        <v>1</v>
      </c>
      <c r="D399" s="4"/>
      <c r="E399" t="s">
        <v>18</v>
      </c>
      <c r="F399" t="str">
        <f>INDEX(Establishment!B$2:B$1005,MATCH($E399,Establishment!$A$2:$A$1005,0))</f>
        <v xml:space="preserve"> </v>
      </c>
      <c r="G399" t="str">
        <f>INDEX(Establishment!C$2:C$1005,MATCH($E399,Establishment!$A$2:$A$1005,0))</f>
        <v xml:space="preserve"> </v>
      </c>
      <c r="M399">
        <f t="shared" si="36"/>
        <v>0</v>
      </c>
      <c r="N399">
        <f t="shared" si="34"/>
        <v>0</v>
      </c>
      <c r="P399" t="e">
        <f>INDEX(Items!B$2:B$1032,MATCH($O399,Items!$A$2:$A$1032,0))</f>
        <v>#N/A</v>
      </c>
      <c r="Q399" t="e">
        <f>INDEX(Items!C$2:C$1032,MATCH($O399,Items!$A$2:$A$1032,0))</f>
        <v>#N/A</v>
      </c>
      <c r="R399" t="e">
        <f>INDEX(Items!D$2:D$1032,MATCH($O399,Items!$A$2:$A$1032,0))</f>
        <v>#N/A</v>
      </c>
    </row>
    <row r="400" spans="1:18" x14ac:dyDescent="0.25">
      <c r="A400">
        <f t="shared" si="32"/>
        <v>1</v>
      </c>
      <c r="B400" t="str">
        <f t="shared" si="33"/>
        <v/>
      </c>
      <c r="C400">
        <f t="shared" si="35"/>
        <v>1</v>
      </c>
      <c r="D400" s="4"/>
      <c r="E400" t="s">
        <v>18</v>
      </c>
      <c r="F400" t="str">
        <f>INDEX(Establishment!B$2:B$1005,MATCH($E400,Establishment!$A$2:$A$1005,0))</f>
        <v xml:space="preserve"> </v>
      </c>
      <c r="G400" t="str">
        <f>INDEX(Establishment!C$2:C$1005,MATCH($E400,Establishment!$A$2:$A$1005,0))</f>
        <v xml:space="preserve"> </v>
      </c>
      <c r="M400">
        <f t="shared" si="36"/>
        <v>0</v>
      </c>
      <c r="N400">
        <f t="shared" si="34"/>
        <v>0</v>
      </c>
      <c r="P400" t="e">
        <f>INDEX(Items!B$2:B$1032,MATCH($O400,Items!$A$2:$A$1032,0))</f>
        <v>#N/A</v>
      </c>
      <c r="Q400" t="e">
        <f>INDEX(Items!C$2:C$1032,MATCH($O400,Items!$A$2:$A$1032,0))</f>
        <v>#N/A</v>
      </c>
      <c r="R400" t="e">
        <f>INDEX(Items!D$2:D$1032,MATCH($O400,Items!$A$2:$A$1032,0))</f>
        <v>#N/A</v>
      </c>
    </row>
    <row r="401" spans="1:18" x14ac:dyDescent="0.25">
      <c r="A401">
        <f t="shared" si="32"/>
        <v>1</v>
      </c>
      <c r="B401" t="str">
        <f t="shared" si="33"/>
        <v/>
      </c>
      <c r="C401">
        <f t="shared" si="35"/>
        <v>1</v>
      </c>
      <c r="D401" s="4"/>
      <c r="E401" t="s">
        <v>18</v>
      </c>
      <c r="F401" t="str">
        <f>INDEX(Establishment!B$2:B$1005,MATCH($E401,Establishment!$A$2:$A$1005,0))</f>
        <v xml:space="preserve"> </v>
      </c>
      <c r="G401" t="str">
        <f>INDEX(Establishment!C$2:C$1005,MATCH($E401,Establishment!$A$2:$A$1005,0))</f>
        <v xml:space="preserve"> </v>
      </c>
      <c r="M401">
        <f t="shared" si="36"/>
        <v>0</v>
      </c>
      <c r="N401">
        <f t="shared" si="34"/>
        <v>0</v>
      </c>
      <c r="P401" t="e">
        <f>INDEX(Items!B$2:B$1032,MATCH($O401,Items!$A$2:$A$1032,0))</f>
        <v>#N/A</v>
      </c>
      <c r="Q401" t="e">
        <f>INDEX(Items!C$2:C$1032,MATCH($O401,Items!$A$2:$A$1032,0))</f>
        <v>#N/A</v>
      </c>
      <c r="R401" t="e">
        <f>INDEX(Items!D$2:D$1032,MATCH($O401,Items!$A$2:$A$1032,0))</f>
        <v>#N/A</v>
      </c>
    </row>
    <row r="402" spans="1:18" x14ac:dyDescent="0.25">
      <c r="A402">
        <f t="shared" si="32"/>
        <v>1</v>
      </c>
      <c r="B402" t="str">
        <f t="shared" si="33"/>
        <v/>
      </c>
      <c r="C402">
        <f t="shared" si="35"/>
        <v>1</v>
      </c>
      <c r="D402" s="4"/>
      <c r="E402" t="s">
        <v>18</v>
      </c>
      <c r="F402" t="str">
        <f>INDEX(Establishment!B$2:B$1005,MATCH($E402,Establishment!$A$2:$A$1005,0))</f>
        <v xml:space="preserve"> </v>
      </c>
      <c r="G402" t="str">
        <f>INDEX(Establishment!C$2:C$1005,MATCH($E402,Establishment!$A$2:$A$1005,0))</f>
        <v xml:space="preserve"> </v>
      </c>
      <c r="M402">
        <f t="shared" si="36"/>
        <v>0</v>
      </c>
      <c r="N402">
        <f t="shared" si="34"/>
        <v>0</v>
      </c>
      <c r="P402" t="e">
        <f>INDEX(Items!B$2:B$1032,MATCH($O402,Items!$A$2:$A$1032,0))</f>
        <v>#N/A</v>
      </c>
      <c r="Q402" t="e">
        <f>INDEX(Items!C$2:C$1032,MATCH($O402,Items!$A$2:$A$1032,0))</f>
        <v>#N/A</v>
      </c>
      <c r="R402" t="e">
        <f>INDEX(Items!D$2:D$1032,MATCH($O402,Items!$A$2:$A$1032,0))</f>
        <v>#N/A</v>
      </c>
    </row>
    <row r="403" spans="1:18" x14ac:dyDescent="0.25">
      <c r="A403">
        <f t="shared" si="32"/>
        <v>1</v>
      </c>
      <c r="B403" t="str">
        <f t="shared" si="33"/>
        <v/>
      </c>
      <c r="C403">
        <f t="shared" si="35"/>
        <v>1</v>
      </c>
      <c r="D403" s="4"/>
      <c r="E403" t="s">
        <v>18</v>
      </c>
      <c r="F403" t="str">
        <f>INDEX(Establishment!B$2:B$1005,MATCH($E403,Establishment!$A$2:$A$1005,0))</f>
        <v xml:space="preserve"> </v>
      </c>
      <c r="G403" t="str">
        <f>INDEX(Establishment!C$2:C$1005,MATCH($E403,Establishment!$A$2:$A$1005,0))</f>
        <v xml:space="preserve"> </v>
      </c>
      <c r="M403">
        <f t="shared" si="36"/>
        <v>0</v>
      </c>
      <c r="N403">
        <f t="shared" si="34"/>
        <v>0</v>
      </c>
      <c r="P403" t="e">
        <f>INDEX(Items!B$2:B$1032,MATCH($O403,Items!$A$2:$A$1032,0))</f>
        <v>#N/A</v>
      </c>
      <c r="Q403" t="e">
        <f>INDEX(Items!C$2:C$1032,MATCH($O403,Items!$A$2:$A$1032,0))</f>
        <v>#N/A</v>
      </c>
      <c r="R403" t="e">
        <f>INDEX(Items!D$2:D$1032,MATCH($O403,Items!$A$2:$A$1032,0))</f>
        <v>#N/A</v>
      </c>
    </row>
    <row r="404" spans="1:18" x14ac:dyDescent="0.25">
      <c r="A404">
        <f t="shared" si="32"/>
        <v>1</v>
      </c>
      <c r="B404" t="str">
        <f t="shared" si="33"/>
        <v/>
      </c>
      <c r="C404">
        <f t="shared" si="35"/>
        <v>1</v>
      </c>
      <c r="D404" s="4"/>
      <c r="E404" t="s">
        <v>18</v>
      </c>
      <c r="F404" t="str">
        <f>INDEX(Establishment!B$2:B$1005,MATCH($E404,Establishment!$A$2:$A$1005,0))</f>
        <v xml:space="preserve"> </v>
      </c>
      <c r="G404" t="str">
        <f>INDEX(Establishment!C$2:C$1005,MATCH($E404,Establishment!$A$2:$A$1005,0))</f>
        <v xml:space="preserve"> </v>
      </c>
      <c r="M404">
        <f t="shared" si="36"/>
        <v>0</v>
      </c>
      <c r="N404">
        <f t="shared" si="34"/>
        <v>0</v>
      </c>
      <c r="P404" t="e">
        <f>INDEX(Items!B$2:B$1032,MATCH($O404,Items!$A$2:$A$1032,0))</f>
        <v>#N/A</v>
      </c>
      <c r="Q404" t="e">
        <f>INDEX(Items!C$2:C$1032,MATCH($O404,Items!$A$2:$A$1032,0))</f>
        <v>#N/A</v>
      </c>
      <c r="R404" t="e">
        <f>INDEX(Items!D$2:D$1032,MATCH($O404,Items!$A$2:$A$1032,0))</f>
        <v>#N/A</v>
      </c>
    </row>
    <row r="405" spans="1:18" x14ac:dyDescent="0.25">
      <c r="A405">
        <f t="shared" si="32"/>
        <v>1</v>
      </c>
      <c r="B405" t="str">
        <f t="shared" si="33"/>
        <v/>
      </c>
      <c r="C405">
        <f t="shared" si="35"/>
        <v>1</v>
      </c>
      <c r="D405" s="4"/>
      <c r="E405" t="s">
        <v>18</v>
      </c>
      <c r="F405" t="str">
        <f>INDEX(Establishment!B$2:B$1005,MATCH($E405,Establishment!$A$2:$A$1005,0))</f>
        <v xml:space="preserve"> </v>
      </c>
      <c r="G405" t="str">
        <f>INDEX(Establishment!C$2:C$1005,MATCH($E405,Establishment!$A$2:$A$1005,0))</f>
        <v xml:space="preserve"> </v>
      </c>
      <c r="M405">
        <f t="shared" si="36"/>
        <v>0</v>
      </c>
      <c r="N405">
        <f t="shared" si="34"/>
        <v>0</v>
      </c>
      <c r="P405" t="e">
        <f>INDEX(Items!B$2:B$1032,MATCH($O405,Items!$A$2:$A$1032,0))</f>
        <v>#N/A</v>
      </c>
      <c r="Q405" t="e">
        <f>INDEX(Items!C$2:C$1032,MATCH($O405,Items!$A$2:$A$1032,0))</f>
        <v>#N/A</v>
      </c>
      <c r="R405" t="e">
        <f>INDEX(Items!D$2:D$1032,MATCH($O405,Items!$A$2:$A$1032,0))</f>
        <v>#N/A</v>
      </c>
    </row>
    <row r="406" spans="1:18" x14ac:dyDescent="0.25">
      <c r="A406">
        <f t="shared" si="32"/>
        <v>1</v>
      </c>
      <c r="B406" t="str">
        <f t="shared" si="33"/>
        <v/>
      </c>
      <c r="C406">
        <f t="shared" si="35"/>
        <v>1</v>
      </c>
      <c r="D406" s="4"/>
      <c r="E406" t="s">
        <v>18</v>
      </c>
      <c r="F406" t="str">
        <f>INDEX(Establishment!B$2:B$1005,MATCH($E406,Establishment!$A$2:$A$1005,0))</f>
        <v xml:space="preserve"> </v>
      </c>
      <c r="G406" t="str">
        <f>INDEX(Establishment!C$2:C$1005,MATCH($E406,Establishment!$A$2:$A$1005,0))</f>
        <v xml:space="preserve"> </v>
      </c>
      <c r="M406">
        <f t="shared" si="36"/>
        <v>0</v>
      </c>
      <c r="N406">
        <f t="shared" si="34"/>
        <v>0</v>
      </c>
      <c r="P406" t="e">
        <f>INDEX(Items!B$2:B$1032,MATCH($O406,Items!$A$2:$A$1032,0))</f>
        <v>#N/A</v>
      </c>
      <c r="Q406" t="e">
        <f>INDEX(Items!C$2:C$1032,MATCH($O406,Items!$A$2:$A$1032,0))</f>
        <v>#N/A</v>
      </c>
      <c r="R406" t="e">
        <f>INDEX(Items!D$2:D$1032,MATCH($O406,Items!$A$2:$A$1032,0))</f>
        <v>#N/A</v>
      </c>
    </row>
    <row r="407" spans="1:18" x14ac:dyDescent="0.25">
      <c r="A407">
        <f t="shared" si="32"/>
        <v>1</v>
      </c>
      <c r="B407" t="str">
        <f t="shared" si="33"/>
        <v/>
      </c>
      <c r="C407">
        <f t="shared" si="35"/>
        <v>1</v>
      </c>
      <c r="D407" s="4"/>
      <c r="E407" t="s">
        <v>18</v>
      </c>
      <c r="F407" t="str">
        <f>INDEX(Establishment!B$2:B$1005,MATCH($E407,Establishment!$A$2:$A$1005,0))</f>
        <v xml:space="preserve"> </v>
      </c>
      <c r="G407" t="str">
        <f>INDEX(Establishment!C$2:C$1005,MATCH($E407,Establishment!$A$2:$A$1005,0))</f>
        <v xml:space="preserve"> </v>
      </c>
      <c r="M407">
        <f t="shared" si="36"/>
        <v>0</v>
      </c>
      <c r="N407">
        <f t="shared" si="34"/>
        <v>0</v>
      </c>
      <c r="P407" t="e">
        <f>INDEX(Items!B$2:B$1032,MATCH($O407,Items!$A$2:$A$1032,0))</f>
        <v>#N/A</v>
      </c>
      <c r="Q407" t="e">
        <f>INDEX(Items!C$2:C$1032,MATCH($O407,Items!$A$2:$A$1032,0))</f>
        <v>#N/A</v>
      </c>
      <c r="R407" t="e">
        <f>INDEX(Items!D$2:D$1032,MATCH($O407,Items!$A$2:$A$1032,0))</f>
        <v>#N/A</v>
      </c>
    </row>
    <row r="408" spans="1:18" x14ac:dyDescent="0.25">
      <c r="A408">
        <f t="shared" si="32"/>
        <v>1</v>
      </c>
      <c r="B408" t="str">
        <f t="shared" si="33"/>
        <v/>
      </c>
      <c r="C408">
        <f t="shared" si="35"/>
        <v>1</v>
      </c>
      <c r="D408" s="4"/>
      <c r="E408" t="s">
        <v>18</v>
      </c>
      <c r="F408" t="str">
        <f>INDEX(Establishment!B$2:B$1005,MATCH($E408,Establishment!$A$2:$A$1005,0))</f>
        <v xml:space="preserve"> </v>
      </c>
      <c r="G408" t="str">
        <f>INDEX(Establishment!C$2:C$1005,MATCH($E408,Establishment!$A$2:$A$1005,0))</f>
        <v xml:space="preserve"> </v>
      </c>
      <c r="M408">
        <f t="shared" si="36"/>
        <v>0</v>
      </c>
      <c r="N408">
        <f t="shared" si="34"/>
        <v>0</v>
      </c>
      <c r="P408" t="e">
        <f>INDEX(Items!B$2:B$1032,MATCH($O408,Items!$A$2:$A$1032,0))</f>
        <v>#N/A</v>
      </c>
      <c r="Q408" t="e">
        <f>INDEX(Items!C$2:C$1032,MATCH($O408,Items!$A$2:$A$1032,0))</f>
        <v>#N/A</v>
      </c>
      <c r="R408" t="e">
        <f>INDEX(Items!D$2:D$1032,MATCH($O408,Items!$A$2:$A$1032,0))</f>
        <v>#N/A</v>
      </c>
    </row>
    <row r="409" spans="1:18" x14ac:dyDescent="0.25">
      <c r="A409">
        <f t="shared" si="32"/>
        <v>1</v>
      </c>
      <c r="B409" t="str">
        <f t="shared" si="33"/>
        <v/>
      </c>
      <c r="C409">
        <f t="shared" si="35"/>
        <v>1</v>
      </c>
      <c r="D409" s="4"/>
      <c r="E409" t="s">
        <v>18</v>
      </c>
      <c r="F409" t="str">
        <f>INDEX(Establishment!B$2:B$1005,MATCH($E409,Establishment!$A$2:$A$1005,0))</f>
        <v xml:space="preserve"> </v>
      </c>
      <c r="G409" t="str">
        <f>INDEX(Establishment!C$2:C$1005,MATCH($E409,Establishment!$A$2:$A$1005,0))</f>
        <v xml:space="preserve"> </v>
      </c>
      <c r="M409">
        <f t="shared" si="36"/>
        <v>0</v>
      </c>
      <c r="N409">
        <f t="shared" si="34"/>
        <v>0</v>
      </c>
      <c r="P409" t="e">
        <f>INDEX(Items!B$2:B$1032,MATCH($O409,Items!$A$2:$A$1032,0))</f>
        <v>#N/A</v>
      </c>
      <c r="Q409" t="e">
        <f>INDEX(Items!C$2:C$1032,MATCH($O409,Items!$A$2:$A$1032,0))</f>
        <v>#N/A</v>
      </c>
      <c r="R409" t="e">
        <f>INDEX(Items!D$2:D$1032,MATCH($O409,Items!$A$2:$A$1032,0))</f>
        <v>#N/A</v>
      </c>
    </row>
    <row r="410" spans="1:18" x14ac:dyDescent="0.25">
      <c r="A410">
        <f t="shared" si="32"/>
        <v>1</v>
      </c>
      <c r="B410" t="str">
        <f t="shared" si="33"/>
        <v/>
      </c>
      <c r="C410">
        <f t="shared" si="35"/>
        <v>1</v>
      </c>
      <c r="D410" s="4"/>
      <c r="E410" t="s">
        <v>18</v>
      </c>
      <c r="F410" t="str">
        <f>INDEX(Establishment!B$2:B$1005,MATCH($E410,Establishment!$A$2:$A$1005,0))</f>
        <v xml:space="preserve"> </v>
      </c>
      <c r="G410" t="str">
        <f>INDEX(Establishment!C$2:C$1005,MATCH($E410,Establishment!$A$2:$A$1005,0))</f>
        <v xml:space="preserve"> </v>
      </c>
      <c r="M410">
        <f t="shared" si="36"/>
        <v>0</v>
      </c>
      <c r="N410">
        <f t="shared" si="34"/>
        <v>0</v>
      </c>
      <c r="P410" t="e">
        <f>INDEX(Items!B$2:B$1032,MATCH($O410,Items!$A$2:$A$1032,0))</f>
        <v>#N/A</v>
      </c>
      <c r="Q410" t="e">
        <f>INDEX(Items!C$2:C$1032,MATCH($O410,Items!$A$2:$A$1032,0))</f>
        <v>#N/A</v>
      </c>
      <c r="R410" t="e">
        <f>INDEX(Items!D$2:D$1032,MATCH($O410,Items!$A$2:$A$1032,0))</f>
        <v>#N/A</v>
      </c>
    </row>
    <row r="411" spans="1:18" x14ac:dyDescent="0.25">
      <c r="A411">
        <f t="shared" si="32"/>
        <v>1</v>
      </c>
      <c r="B411" t="str">
        <f t="shared" si="33"/>
        <v/>
      </c>
      <c r="C411">
        <f t="shared" si="35"/>
        <v>1</v>
      </c>
      <c r="D411" s="4"/>
      <c r="E411" t="s">
        <v>18</v>
      </c>
      <c r="F411" t="str">
        <f>INDEX(Establishment!B$2:B$1005,MATCH($E411,Establishment!$A$2:$A$1005,0))</f>
        <v xml:space="preserve"> </v>
      </c>
      <c r="G411" t="str">
        <f>INDEX(Establishment!C$2:C$1005,MATCH($E411,Establishment!$A$2:$A$1005,0))</f>
        <v xml:space="preserve"> </v>
      </c>
      <c r="M411">
        <f t="shared" si="36"/>
        <v>0</v>
      </c>
      <c r="N411">
        <f t="shared" si="34"/>
        <v>0</v>
      </c>
      <c r="P411" t="e">
        <f>INDEX(Items!B$2:B$1032,MATCH($O411,Items!$A$2:$A$1032,0))</f>
        <v>#N/A</v>
      </c>
      <c r="Q411" t="e">
        <f>INDEX(Items!C$2:C$1032,MATCH($O411,Items!$A$2:$A$1032,0))</f>
        <v>#N/A</v>
      </c>
      <c r="R411" t="e">
        <f>INDEX(Items!D$2:D$1032,MATCH($O411,Items!$A$2:$A$1032,0))</f>
        <v>#N/A</v>
      </c>
    </row>
    <row r="412" spans="1:18" x14ac:dyDescent="0.25">
      <c r="A412">
        <f t="shared" si="32"/>
        <v>1</v>
      </c>
      <c r="B412" t="str">
        <f t="shared" si="33"/>
        <v/>
      </c>
      <c r="C412">
        <f t="shared" si="35"/>
        <v>1</v>
      </c>
      <c r="D412" s="4"/>
      <c r="E412" t="s">
        <v>18</v>
      </c>
      <c r="F412" t="str">
        <f>INDEX(Establishment!B$2:B$1005,MATCH($E412,Establishment!$A$2:$A$1005,0))</f>
        <v xml:space="preserve"> </v>
      </c>
      <c r="G412" t="str">
        <f>INDEX(Establishment!C$2:C$1005,MATCH($E412,Establishment!$A$2:$A$1005,0))</f>
        <v xml:space="preserve"> </v>
      </c>
      <c r="M412">
        <f t="shared" si="36"/>
        <v>0</v>
      </c>
      <c r="N412">
        <f t="shared" si="34"/>
        <v>0</v>
      </c>
      <c r="P412" t="e">
        <f>INDEX(Items!B$2:B$1032,MATCH($O412,Items!$A$2:$A$1032,0))</f>
        <v>#N/A</v>
      </c>
      <c r="Q412" t="e">
        <f>INDEX(Items!C$2:C$1032,MATCH($O412,Items!$A$2:$A$1032,0))</f>
        <v>#N/A</v>
      </c>
      <c r="R412" t="e">
        <f>INDEX(Items!D$2:D$1032,MATCH($O412,Items!$A$2:$A$1032,0))</f>
        <v>#N/A</v>
      </c>
    </row>
    <row r="413" spans="1:18" x14ac:dyDescent="0.25">
      <c r="A413">
        <f t="shared" si="32"/>
        <v>1</v>
      </c>
      <c r="B413" t="str">
        <f t="shared" si="33"/>
        <v/>
      </c>
      <c r="C413">
        <f t="shared" si="35"/>
        <v>1</v>
      </c>
      <c r="D413" s="4"/>
      <c r="E413" t="s">
        <v>18</v>
      </c>
      <c r="F413" t="str">
        <f>INDEX(Establishment!B$2:B$1005,MATCH($E413,Establishment!$A$2:$A$1005,0))</f>
        <v xml:space="preserve"> </v>
      </c>
      <c r="G413" t="str">
        <f>INDEX(Establishment!C$2:C$1005,MATCH($E413,Establishment!$A$2:$A$1005,0))</f>
        <v xml:space="preserve"> </v>
      </c>
      <c r="M413">
        <f t="shared" si="36"/>
        <v>0</v>
      </c>
      <c r="N413">
        <f t="shared" si="34"/>
        <v>0</v>
      </c>
      <c r="P413" t="e">
        <f>INDEX(Items!B$2:B$1032,MATCH($O413,Items!$A$2:$A$1032,0))</f>
        <v>#N/A</v>
      </c>
      <c r="Q413" t="e">
        <f>INDEX(Items!C$2:C$1032,MATCH($O413,Items!$A$2:$A$1032,0))</f>
        <v>#N/A</v>
      </c>
      <c r="R413" t="e">
        <f>INDEX(Items!D$2:D$1032,MATCH($O413,Items!$A$2:$A$1032,0))</f>
        <v>#N/A</v>
      </c>
    </row>
    <row r="414" spans="1:18" x14ac:dyDescent="0.25">
      <c r="A414">
        <f t="shared" si="32"/>
        <v>1</v>
      </c>
      <c r="B414" t="str">
        <f t="shared" si="33"/>
        <v/>
      </c>
      <c r="C414">
        <f t="shared" si="35"/>
        <v>1</v>
      </c>
      <c r="D414" s="4"/>
      <c r="E414" t="s">
        <v>18</v>
      </c>
      <c r="F414" t="str">
        <f>INDEX(Establishment!B$2:B$1005,MATCH($E414,Establishment!$A$2:$A$1005,0))</f>
        <v xml:space="preserve"> </v>
      </c>
      <c r="G414" t="str">
        <f>INDEX(Establishment!C$2:C$1005,MATCH($E414,Establishment!$A$2:$A$1005,0))</f>
        <v xml:space="preserve"> </v>
      </c>
      <c r="M414">
        <f t="shared" si="36"/>
        <v>0</v>
      </c>
      <c r="N414">
        <f t="shared" si="34"/>
        <v>0</v>
      </c>
      <c r="P414" t="e">
        <f>INDEX(Items!B$2:B$1032,MATCH($O414,Items!$A$2:$A$1032,0))</f>
        <v>#N/A</v>
      </c>
      <c r="Q414" t="e">
        <f>INDEX(Items!C$2:C$1032,MATCH($O414,Items!$A$2:$A$1032,0))</f>
        <v>#N/A</v>
      </c>
      <c r="R414" t="e">
        <f>INDEX(Items!D$2:D$1032,MATCH($O414,Items!$A$2:$A$1032,0))</f>
        <v>#N/A</v>
      </c>
    </row>
    <row r="415" spans="1:18" x14ac:dyDescent="0.25">
      <c r="A415">
        <f t="shared" si="32"/>
        <v>1</v>
      </c>
      <c r="B415" t="str">
        <f t="shared" si="33"/>
        <v/>
      </c>
      <c r="C415">
        <f t="shared" si="35"/>
        <v>1</v>
      </c>
      <c r="D415" s="4"/>
      <c r="E415" t="s">
        <v>18</v>
      </c>
      <c r="F415" t="str">
        <f>INDEX(Establishment!B$2:B$1005,MATCH($E415,Establishment!$A$2:$A$1005,0))</f>
        <v xml:space="preserve"> </v>
      </c>
      <c r="G415" t="str">
        <f>INDEX(Establishment!C$2:C$1005,MATCH($E415,Establishment!$A$2:$A$1005,0))</f>
        <v xml:space="preserve"> </v>
      </c>
      <c r="M415">
        <f t="shared" si="36"/>
        <v>0</v>
      </c>
      <c r="N415">
        <f t="shared" si="34"/>
        <v>0</v>
      </c>
      <c r="P415" t="e">
        <f>INDEX(Items!B$2:B$1032,MATCH($O415,Items!$A$2:$A$1032,0))</f>
        <v>#N/A</v>
      </c>
      <c r="Q415" t="e">
        <f>INDEX(Items!C$2:C$1032,MATCH($O415,Items!$A$2:$A$1032,0))</f>
        <v>#N/A</v>
      </c>
      <c r="R415" t="e">
        <f>INDEX(Items!D$2:D$1032,MATCH($O415,Items!$A$2:$A$1032,0))</f>
        <v>#N/A</v>
      </c>
    </row>
    <row r="416" spans="1:18" x14ac:dyDescent="0.25">
      <c r="A416">
        <f t="shared" si="32"/>
        <v>1</v>
      </c>
      <c r="B416" t="str">
        <f t="shared" si="33"/>
        <v/>
      </c>
      <c r="C416">
        <f t="shared" si="35"/>
        <v>1</v>
      </c>
      <c r="D416" s="4"/>
      <c r="E416" t="s">
        <v>18</v>
      </c>
      <c r="F416" t="str">
        <f>INDEX(Establishment!B$2:B$1005,MATCH($E416,Establishment!$A$2:$A$1005,0))</f>
        <v xml:space="preserve"> </v>
      </c>
      <c r="G416" t="str">
        <f>INDEX(Establishment!C$2:C$1005,MATCH($E416,Establishment!$A$2:$A$1005,0))</f>
        <v xml:space="preserve"> </v>
      </c>
      <c r="M416">
        <f t="shared" si="36"/>
        <v>0</v>
      </c>
      <c r="N416">
        <f t="shared" si="34"/>
        <v>0</v>
      </c>
      <c r="P416" t="e">
        <f>INDEX(Items!B$2:B$1032,MATCH($O416,Items!$A$2:$A$1032,0))</f>
        <v>#N/A</v>
      </c>
      <c r="Q416" t="e">
        <f>INDEX(Items!C$2:C$1032,MATCH($O416,Items!$A$2:$A$1032,0))</f>
        <v>#N/A</v>
      </c>
      <c r="R416" t="e">
        <f>INDEX(Items!D$2:D$1032,MATCH($O416,Items!$A$2:$A$1032,0))</f>
        <v>#N/A</v>
      </c>
    </row>
    <row r="417" spans="1:18" x14ac:dyDescent="0.25">
      <c r="A417">
        <f t="shared" si="32"/>
        <v>1</v>
      </c>
      <c r="B417" t="str">
        <f t="shared" si="33"/>
        <v/>
      </c>
      <c r="C417">
        <f t="shared" si="35"/>
        <v>1</v>
      </c>
      <c r="D417" s="4"/>
      <c r="E417" t="s">
        <v>18</v>
      </c>
      <c r="F417" t="str">
        <f>INDEX(Establishment!B$2:B$1005,MATCH($E417,Establishment!$A$2:$A$1005,0))</f>
        <v xml:space="preserve"> </v>
      </c>
      <c r="G417" t="str">
        <f>INDEX(Establishment!C$2:C$1005,MATCH($E417,Establishment!$A$2:$A$1005,0))</f>
        <v xml:space="preserve"> </v>
      </c>
      <c r="M417">
        <f t="shared" si="36"/>
        <v>0</v>
      </c>
      <c r="N417">
        <f t="shared" si="34"/>
        <v>0</v>
      </c>
      <c r="P417" t="e">
        <f>INDEX(Items!B$2:B$1032,MATCH($O417,Items!$A$2:$A$1032,0))</f>
        <v>#N/A</v>
      </c>
      <c r="Q417" t="e">
        <f>INDEX(Items!C$2:C$1032,MATCH($O417,Items!$A$2:$A$1032,0))</f>
        <v>#N/A</v>
      </c>
      <c r="R417" t="e">
        <f>INDEX(Items!D$2:D$1032,MATCH($O417,Items!$A$2:$A$1032,0))</f>
        <v>#N/A</v>
      </c>
    </row>
    <row r="418" spans="1:18" x14ac:dyDescent="0.25">
      <c r="A418">
        <f t="shared" si="32"/>
        <v>1</v>
      </c>
      <c r="B418" t="str">
        <f t="shared" si="33"/>
        <v/>
      </c>
      <c r="C418">
        <f t="shared" si="35"/>
        <v>1</v>
      </c>
      <c r="D418" s="4"/>
      <c r="E418" t="s">
        <v>18</v>
      </c>
      <c r="F418" t="str">
        <f>INDEX(Establishment!B$2:B$1005,MATCH($E418,Establishment!$A$2:$A$1005,0))</f>
        <v xml:space="preserve"> </v>
      </c>
      <c r="G418" t="str">
        <f>INDEX(Establishment!C$2:C$1005,MATCH($E418,Establishment!$A$2:$A$1005,0))</f>
        <v xml:space="preserve"> </v>
      </c>
      <c r="M418">
        <f t="shared" si="36"/>
        <v>0</v>
      </c>
      <c r="N418">
        <f t="shared" si="34"/>
        <v>0</v>
      </c>
      <c r="P418" t="e">
        <f>INDEX(Items!B$2:B$1032,MATCH($O418,Items!$A$2:$A$1032,0))</f>
        <v>#N/A</v>
      </c>
      <c r="Q418" t="e">
        <f>INDEX(Items!C$2:C$1032,MATCH($O418,Items!$A$2:$A$1032,0))</f>
        <v>#N/A</v>
      </c>
      <c r="R418" t="e">
        <f>INDEX(Items!D$2:D$1032,MATCH($O418,Items!$A$2:$A$1032,0))</f>
        <v>#N/A</v>
      </c>
    </row>
    <row r="419" spans="1:18" x14ac:dyDescent="0.25">
      <c r="A419">
        <f t="shared" si="32"/>
        <v>1</v>
      </c>
      <c r="B419" t="str">
        <f t="shared" si="33"/>
        <v/>
      </c>
      <c r="C419">
        <f t="shared" si="35"/>
        <v>1</v>
      </c>
      <c r="D419" s="4"/>
      <c r="E419" t="s">
        <v>18</v>
      </c>
      <c r="F419" t="str">
        <f>INDEX(Establishment!B$2:B$1005,MATCH($E419,Establishment!$A$2:$A$1005,0))</f>
        <v xml:space="preserve"> </v>
      </c>
      <c r="G419" t="str">
        <f>INDEX(Establishment!C$2:C$1005,MATCH($E419,Establishment!$A$2:$A$1005,0))</f>
        <v xml:space="preserve"> </v>
      </c>
      <c r="M419">
        <f t="shared" si="36"/>
        <v>0</v>
      </c>
      <c r="N419">
        <f t="shared" si="34"/>
        <v>0</v>
      </c>
      <c r="P419" t="e">
        <f>INDEX(Items!B$2:B$1032,MATCH($O419,Items!$A$2:$A$1032,0))</f>
        <v>#N/A</v>
      </c>
      <c r="Q419" t="e">
        <f>INDEX(Items!C$2:C$1032,MATCH($O419,Items!$A$2:$A$1032,0))</f>
        <v>#N/A</v>
      </c>
      <c r="R419" t="e">
        <f>INDEX(Items!D$2:D$1032,MATCH($O419,Items!$A$2:$A$1032,0))</f>
        <v>#N/A</v>
      </c>
    </row>
    <row r="420" spans="1:18" x14ac:dyDescent="0.25">
      <c r="A420">
        <f t="shared" si="32"/>
        <v>1</v>
      </c>
      <c r="B420" t="str">
        <f t="shared" si="33"/>
        <v/>
      </c>
      <c r="C420">
        <f t="shared" si="35"/>
        <v>1</v>
      </c>
      <c r="D420" s="4"/>
      <c r="E420" t="s">
        <v>18</v>
      </c>
      <c r="F420" t="str">
        <f>INDEX(Establishment!B$2:B$1005,MATCH($E420,Establishment!$A$2:$A$1005,0))</f>
        <v xml:space="preserve"> </v>
      </c>
      <c r="G420" t="str">
        <f>INDEX(Establishment!C$2:C$1005,MATCH($E420,Establishment!$A$2:$A$1005,0))</f>
        <v xml:space="preserve"> </v>
      </c>
      <c r="M420">
        <f t="shared" si="36"/>
        <v>0</v>
      </c>
      <c r="N420">
        <f t="shared" si="34"/>
        <v>0</v>
      </c>
      <c r="P420" t="e">
        <f>INDEX(Items!B$2:B$1032,MATCH($O420,Items!$A$2:$A$1032,0))</f>
        <v>#N/A</v>
      </c>
      <c r="Q420" t="e">
        <f>INDEX(Items!C$2:C$1032,MATCH($O420,Items!$A$2:$A$1032,0))</f>
        <v>#N/A</v>
      </c>
      <c r="R420" t="e">
        <f>INDEX(Items!D$2:D$1032,MATCH($O420,Items!$A$2:$A$1032,0))</f>
        <v>#N/A</v>
      </c>
    </row>
    <row r="421" spans="1:18" x14ac:dyDescent="0.25">
      <c r="A421">
        <f t="shared" si="32"/>
        <v>1</v>
      </c>
      <c r="B421" t="str">
        <f t="shared" si="33"/>
        <v/>
      </c>
      <c r="C421">
        <f t="shared" si="35"/>
        <v>1</v>
      </c>
      <c r="D421" s="4"/>
      <c r="E421" t="s">
        <v>18</v>
      </c>
      <c r="F421" t="str">
        <f>INDEX(Establishment!B$2:B$1005,MATCH($E421,Establishment!$A$2:$A$1005,0))</f>
        <v xml:space="preserve"> </v>
      </c>
      <c r="G421" t="str">
        <f>INDEX(Establishment!C$2:C$1005,MATCH($E421,Establishment!$A$2:$A$1005,0))</f>
        <v xml:space="preserve"> </v>
      </c>
      <c r="M421">
        <f t="shared" si="36"/>
        <v>0</v>
      </c>
      <c r="N421">
        <f t="shared" si="34"/>
        <v>0</v>
      </c>
      <c r="P421" t="e">
        <f>INDEX(Items!B$2:B$1032,MATCH($O421,Items!$A$2:$A$1032,0))</f>
        <v>#N/A</v>
      </c>
      <c r="Q421" t="e">
        <f>INDEX(Items!C$2:C$1032,MATCH($O421,Items!$A$2:$A$1032,0))</f>
        <v>#N/A</v>
      </c>
      <c r="R421" t="e">
        <f>INDEX(Items!D$2:D$1032,MATCH($O421,Items!$A$2:$A$1032,0))</f>
        <v>#N/A</v>
      </c>
    </row>
    <row r="422" spans="1:18" x14ac:dyDescent="0.25">
      <c r="A422">
        <f t="shared" si="32"/>
        <v>1</v>
      </c>
      <c r="B422" t="str">
        <f t="shared" si="33"/>
        <v/>
      </c>
      <c r="C422">
        <f t="shared" si="35"/>
        <v>1</v>
      </c>
      <c r="D422" s="4"/>
      <c r="E422" t="s">
        <v>18</v>
      </c>
      <c r="F422" t="str">
        <f>INDEX(Establishment!B$2:B$1005,MATCH($E422,Establishment!$A$2:$A$1005,0))</f>
        <v xml:space="preserve"> </v>
      </c>
      <c r="G422" t="str">
        <f>INDEX(Establishment!C$2:C$1005,MATCH($E422,Establishment!$A$2:$A$1005,0))</f>
        <v xml:space="preserve"> </v>
      </c>
      <c r="M422">
        <f t="shared" si="36"/>
        <v>0</v>
      </c>
      <c r="N422">
        <f t="shared" si="34"/>
        <v>0</v>
      </c>
      <c r="P422" t="e">
        <f>INDEX(Items!B$2:B$1032,MATCH($O422,Items!$A$2:$A$1032,0))</f>
        <v>#N/A</v>
      </c>
      <c r="Q422" t="e">
        <f>INDEX(Items!C$2:C$1032,MATCH($O422,Items!$A$2:$A$1032,0))</f>
        <v>#N/A</v>
      </c>
      <c r="R422" t="e">
        <f>INDEX(Items!D$2:D$1032,MATCH($O422,Items!$A$2:$A$1032,0))</f>
        <v>#N/A</v>
      </c>
    </row>
    <row r="423" spans="1:18" x14ac:dyDescent="0.25">
      <c r="A423">
        <f t="shared" si="32"/>
        <v>1</v>
      </c>
      <c r="B423" t="str">
        <f t="shared" si="33"/>
        <v/>
      </c>
      <c r="C423">
        <f t="shared" si="35"/>
        <v>1</v>
      </c>
      <c r="D423" s="4"/>
      <c r="E423" t="s">
        <v>18</v>
      </c>
      <c r="F423" t="str">
        <f>INDEX(Establishment!B$2:B$1005,MATCH($E423,Establishment!$A$2:$A$1005,0))</f>
        <v xml:space="preserve"> </v>
      </c>
      <c r="G423" t="str">
        <f>INDEX(Establishment!C$2:C$1005,MATCH($E423,Establishment!$A$2:$A$1005,0))</f>
        <v xml:space="preserve"> </v>
      </c>
      <c r="M423">
        <f t="shared" si="36"/>
        <v>0</v>
      </c>
      <c r="N423">
        <f t="shared" si="34"/>
        <v>0</v>
      </c>
      <c r="P423" t="e">
        <f>INDEX(Items!B$2:B$1032,MATCH($O423,Items!$A$2:$A$1032,0))</f>
        <v>#N/A</v>
      </c>
      <c r="Q423" t="e">
        <f>INDEX(Items!C$2:C$1032,MATCH($O423,Items!$A$2:$A$1032,0))</f>
        <v>#N/A</v>
      </c>
      <c r="R423" t="e">
        <f>INDEX(Items!D$2:D$1032,MATCH($O423,Items!$A$2:$A$1032,0))</f>
        <v>#N/A</v>
      </c>
    </row>
    <row r="424" spans="1:18" x14ac:dyDescent="0.25">
      <c r="A424">
        <f t="shared" si="32"/>
        <v>1</v>
      </c>
      <c r="B424" t="str">
        <f t="shared" si="33"/>
        <v/>
      </c>
      <c r="C424">
        <f t="shared" si="35"/>
        <v>1</v>
      </c>
      <c r="D424" s="4"/>
      <c r="E424" t="s">
        <v>18</v>
      </c>
      <c r="F424" t="str">
        <f>INDEX(Establishment!B$2:B$1005,MATCH($E424,Establishment!$A$2:$A$1005,0))</f>
        <v xml:space="preserve"> </v>
      </c>
      <c r="G424" t="str">
        <f>INDEX(Establishment!C$2:C$1005,MATCH($E424,Establishment!$A$2:$A$1005,0))</f>
        <v xml:space="preserve"> </v>
      </c>
      <c r="M424">
        <f t="shared" si="36"/>
        <v>0</v>
      </c>
      <c r="N424">
        <f t="shared" si="34"/>
        <v>0</v>
      </c>
      <c r="P424" t="e">
        <f>INDEX(Items!B$2:B$1032,MATCH($O424,Items!$A$2:$A$1032,0))</f>
        <v>#N/A</v>
      </c>
      <c r="Q424" t="e">
        <f>INDEX(Items!C$2:C$1032,MATCH($O424,Items!$A$2:$A$1032,0))</f>
        <v>#N/A</v>
      </c>
      <c r="R424" t="e">
        <f>INDEX(Items!D$2:D$1032,MATCH($O424,Items!$A$2:$A$1032,0))</f>
        <v>#N/A</v>
      </c>
    </row>
    <row r="425" spans="1:18" x14ac:dyDescent="0.25">
      <c r="A425">
        <f t="shared" si="32"/>
        <v>1</v>
      </c>
      <c r="B425" t="str">
        <f t="shared" si="33"/>
        <v/>
      </c>
      <c r="C425">
        <f t="shared" si="35"/>
        <v>1</v>
      </c>
      <c r="D425" s="4"/>
      <c r="E425" t="s">
        <v>18</v>
      </c>
      <c r="F425" t="str">
        <f>INDEX(Establishment!B$2:B$1005,MATCH($E425,Establishment!$A$2:$A$1005,0))</f>
        <v xml:space="preserve"> </v>
      </c>
      <c r="G425" t="str">
        <f>INDEX(Establishment!C$2:C$1005,MATCH($E425,Establishment!$A$2:$A$1005,0))</f>
        <v xml:space="preserve"> </v>
      </c>
      <c r="M425">
        <f t="shared" si="36"/>
        <v>0</v>
      </c>
      <c r="N425">
        <f t="shared" si="34"/>
        <v>0</v>
      </c>
      <c r="P425" t="e">
        <f>INDEX(Items!B$2:B$1032,MATCH($O425,Items!$A$2:$A$1032,0))</f>
        <v>#N/A</v>
      </c>
      <c r="Q425" t="e">
        <f>INDEX(Items!C$2:C$1032,MATCH($O425,Items!$A$2:$A$1032,0))</f>
        <v>#N/A</v>
      </c>
      <c r="R425" t="e">
        <f>INDEX(Items!D$2:D$1032,MATCH($O425,Items!$A$2:$A$1032,0))</f>
        <v>#N/A</v>
      </c>
    </row>
    <row r="426" spans="1:18" x14ac:dyDescent="0.25">
      <c r="A426">
        <f t="shared" si="32"/>
        <v>1</v>
      </c>
      <c r="B426" t="str">
        <f t="shared" si="33"/>
        <v/>
      </c>
      <c r="C426">
        <f t="shared" si="35"/>
        <v>1</v>
      </c>
      <c r="D426" s="4"/>
      <c r="E426" t="s">
        <v>18</v>
      </c>
      <c r="F426" t="str">
        <f>INDEX(Establishment!B$2:B$1005,MATCH($E426,Establishment!$A$2:$A$1005,0))</f>
        <v xml:space="preserve"> </v>
      </c>
      <c r="G426" t="str">
        <f>INDEX(Establishment!C$2:C$1005,MATCH($E426,Establishment!$A$2:$A$1005,0))</f>
        <v xml:space="preserve"> </v>
      </c>
      <c r="M426">
        <f t="shared" si="36"/>
        <v>0</v>
      </c>
      <c r="N426">
        <f t="shared" si="34"/>
        <v>0</v>
      </c>
      <c r="P426" t="e">
        <f>INDEX(Items!B$2:B$1032,MATCH($O426,Items!$A$2:$A$1032,0))</f>
        <v>#N/A</v>
      </c>
      <c r="Q426" t="e">
        <f>INDEX(Items!C$2:C$1032,MATCH($O426,Items!$A$2:$A$1032,0))</f>
        <v>#N/A</v>
      </c>
      <c r="R426" t="e">
        <f>INDEX(Items!D$2:D$1032,MATCH($O426,Items!$A$2:$A$1032,0))</f>
        <v>#N/A</v>
      </c>
    </row>
    <row r="427" spans="1:18" x14ac:dyDescent="0.25">
      <c r="A427">
        <f t="shared" si="32"/>
        <v>1</v>
      </c>
      <c r="B427" t="str">
        <f t="shared" si="33"/>
        <v/>
      </c>
      <c r="C427">
        <f t="shared" si="35"/>
        <v>1</v>
      </c>
      <c r="D427" s="4"/>
      <c r="E427" t="s">
        <v>18</v>
      </c>
      <c r="F427" t="str">
        <f>INDEX(Establishment!B$2:B$1005,MATCH($E427,Establishment!$A$2:$A$1005,0))</f>
        <v xml:space="preserve"> </v>
      </c>
      <c r="G427" t="str">
        <f>INDEX(Establishment!C$2:C$1005,MATCH($E427,Establishment!$A$2:$A$1005,0))</f>
        <v xml:space="preserve"> </v>
      </c>
      <c r="M427">
        <f t="shared" si="36"/>
        <v>0</v>
      </c>
      <c r="N427">
        <f t="shared" si="34"/>
        <v>0</v>
      </c>
      <c r="P427" t="e">
        <f>INDEX(Items!B$2:B$1032,MATCH($O427,Items!$A$2:$A$1032,0))</f>
        <v>#N/A</v>
      </c>
      <c r="Q427" t="e">
        <f>INDEX(Items!C$2:C$1032,MATCH($O427,Items!$A$2:$A$1032,0))</f>
        <v>#N/A</v>
      </c>
      <c r="R427" t="e">
        <f>INDEX(Items!D$2:D$1032,MATCH($O427,Items!$A$2:$A$1032,0))</f>
        <v>#N/A</v>
      </c>
    </row>
    <row r="428" spans="1:18" x14ac:dyDescent="0.25">
      <c r="A428">
        <f t="shared" si="32"/>
        <v>1</v>
      </c>
      <c r="B428" t="str">
        <f t="shared" si="33"/>
        <v/>
      </c>
      <c r="C428">
        <f t="shared" si="35"/>
        <v>1</v>
      </c>
      <c r="D428" s="4"/>
      <c r="E428" t="s">
        <v>18</v>
      </c>
      <c r="F428" t="str">
        <f>INDEX(Establishment!B$2:B$1005,MATCH($E428,Establishment!$A$2:$A$1005,0))</f>
        <v xml:space="preserve"> </v>
      </c>
      <c r="G428" t="str">
        <f>INDEX(Establishment!C$2:C$1005,MATCH($E428,Establishment!$A$2:$A$1005,0))</f>
        <v xml:space="preserve"> </v>
      </c>
      <c r="M428">
        <f t="shared" si="36"/>
        <v>0</v>
      </c>
      <c r="N428">
        <f t="shared" si="34"/>
        <v>0</v>
      </c>
      <c r="P428" t="e">
        <f>INDEX(Items!B$2:B$1032,MATCH($O428,Items!$A$2:$A$1032,0))</f>
        <v>#N/A</v>
      </c>
      <c r="Q428" t="e">
        <f>INDEX(Items!C$2:C$1032,MATCH($O428,Items!$A$2:$A$1032,0))</f>
        <v>#N/A</v>
      </c>
      <c r="R428" t="e">
        <f>INDEX(Items!D$2:D$1032,MATCH($O428,Items!$A$2:$A$1032,0))</f>
        <v>#N/A</v>
      </c>
    </row>
    <row r="429" spans="1:18" x14ac:dyDescent="0.25">
      <c r="A429">
        <f t="shared" si="32"/>
        <v>1</v>
      </c>
      <c r="B429" t="str">
        <f t="shared" si="33"/>
        <v/>
      </c>
      <c r="C429">
        <f t="shared" si="35"/>
        <v>1</v>
      </c>
      <c r="D429" s="4"/>
      <c r="E429" t="s">
        <v>18</v>
      </c>
      <c r="F429" t="str">
        <f>INDEX(Establishment!B$2:B$1005,MATCH($E429,Establishment!$A$2:$A$1005,0))</f>
        <v xml:space="preserve"> </v>
      </c>
      <c r="G429" t="str">
        <f>INDEX(Establishment!C$2:C$1005,MATCH($E429,Establishment!$A$2:$A$1005,0))</f>
        <v xml:space="preserve"> </v>
      </c>
      <c r="M429">
        <f t="shared" si="36"/>
        <v>0</v>
      </c>
      <c r="N429">
        <f t="shared" si="34"/>
        <v>0</v>
      </c>
      <c r="P429" t="e">
        <f>INDEX(Items!B$2:B$1032,MATCH($O429,Items!$A$2:$A$1032,0))</f>
        <v>#N/A</v>
      </c>
      <c r="Q429" t="e">
        <f>INDEX(Items!C$2:C$1032,MATCH($O429,Items!$A$2:$A$1032,0))</f>
        <v>#N/A</v>
      </c>
      <c r="R429" t="e">
        <f>INDEX(Items!D$2:D$1032,MATCH($O429,Items!$A$2:$A$1032,0))</f>
        <v>#N/A</v>
      </c>
    </row>
    <row r="430" spans="1:18" x14ac:dyDescent="0.25">
      <c r="A430">
        <f t="shared" si="32"/>
        <v>1</v>
      </c>
      <c r="B430" t="str">
        <f t="shared" si="33"/>
        <v/>
      </c>
      <c r="C430">
        <f t="shared" si="35"/>
        <v>1</v>
      </c>
      <c r="D430" s="4"/>
      <c r="E430" t="s">
        <v>18</v>
      </c>
      <c r="F430" t="str">
        <f>INDEX(Establishment!B$2:B$1005,MATCH($E430,Establishment!$A$2:$A$1005,0))</f>
        <v xml:space="preserve"> </v>
      </c>
      <c r="G430" t="str">
        <f>INDEX(Establishment!C$2:C$1005,MATCH($E430,Establishment!$A$2:$A$1005,0))</f>
        <v xml:space="preserve"> </v>
      </c>
      <c r="M430">
        <f t="shared" si="36"/>
        <v>0</v>
      </c>
      <c r="N430">
        <f t="shared" si="34"/>
        <v>0</v>
      </c>
      <c r="P430" t="e">
        <f>INDEX(Items!B$2:B$1032,MATCH($O430,Items!$A$2:$A$1032,0))</f>
        <v>#N/A</v>
      </c>
      <c r="Q430" t="e">
        <f>INDEX(Items!C$2:C$1032,MATCH($O430,Items!$A$2:$A$1032,0))</f>
        <v>#N/A</v>
      </c>
      <c r="R430" t="e">
        <f>INDEX(Items!D$2:D$1032,MATCH($O430,Items!$A$2:$A$1032,0))</f>
        <v>#N/A</v>
      </c>
    </row>
    <row r="431" spans="1:18" x14ac:dyDescent="0.25">
      <c r="A431">
        <f t="shared" si="32"/>
        <v>1</v>
      </c>
      <c r="B431" t="str">
        <f t="shared" si="33"/>
        <v/>
      </c>
      <c r="C431">
        <f t="shared" si="35"/>
        <v>1</v>
      </c>
      <c r="D431" s="4"/>
      <c r="E431" t="s">
        <v>18</v>
      </c>
      <c r="F431" t="str">
        <f>INDEX(Establishment!B$2:B$1005,MATCH($E431,Establishment!$A$2:$A$1005,0))</f>
        <v xml:space="preserve"> </v>
      </c>
      <c r="G431" t="str">
        <f>INDEX(Establishment!C$2:C$1005,MATCH($E431,Establishment!$A$2:$A$1005,0))</f>
        <v xml:space="preserve"> </v>
      </c>
      <c r="M431">
        <f t="shared" si="36"/>
        <v>0</v>
      </c>
      <c r="N431">
        <f t="shared" si="34"/>
        <v>0</v>
      </c>
      <c r="P431" t="e">
        <f>INDEX(Items!B$2:B$1032,MATCH($O431,Items!$A$2:$A$1032,0))</f>
        <v>#N/A</v>
      </c>
      <c r="Q431" t="e">
        <f>INDEX(Items!C$2:C$1032,MATCH($O431,Items!$A$2:$A$1032,0))</f>
        <v>#N/A</v>
      </c>
      <c r="R431" t="e">
        <f>INDEX(Items!D$2:D$1032,MATCH($O431,Items!$A$2:$A$1032,0))</f>
        <v>#N/A</v>
      </c>
    </row>
    <row r="432" spans="1:18" x14ac:dyDescent="0.25">
      <c r="A432">
        <f t="shared" si="32"/>
        <v>1</v>
      </c>
      <c r="B432" t="str">
        <f t="shared" si="33"/>
        <v/>
      </c>
      <c r="C432">
        <f t="shared" si="35"/>
        <v>1</v>
      </c>
      <c r="D432" s="4"/>
      <c r="E432" t="s">
        <v>18</v>
      </c>
      <c r="F432" t="str">
        <f>INDEX(Establishment!B$2:B$1005,MATCH($E432,Establishment!$A$2:$A$1005,0))</f>
        <v xml:space="preserve"> </v>
      </c>
      <c r="G432" t="str">
        <f>INDEX(Establishment!C$2:C$1005,MATCH($E432,Establishment!$A$2:$A$1005,0))</f>
        <v xml:space="preserve"> </v>
      </c>
      <c r="M432">
        <f t="shared" si="36"/>
        <v>0</v>
      </c>
      <c r="N432">
        <f t="shared" si="34"/>
        <v>0</v>
      </c>
      <c r="P432" t="e">
        <f>INDEX(Items!B$2:B$1032,MATCH($O432,Items!$A$2:$A$1032,0))</f>
        <v>#N/A</v>
      </c>
      <c r="Q432" t="e">
        <f>INDEX(Items!C$2:C$1032,MATCH($O432,Items!$A$2:$A$1032,0))</f>
        <v>#N/A</v>
      </c>
      <c r="R432" t="e">
        <f>INDEX(Items!D$2:D$1032,MATCH($O432,Items!$A$2:$A$1032,0))</f>
        <v>#N/A</v>
      </c>
    </row>
    <row r="433" spans="1:18" x14ac:dyDescent="0.25">
      <c r="A433">
        <f t="shared" si="32"/>
        <v>1</v>
      </c>
      <c r="B433" t="str">
        <f t="shared" si="33"/>
        <v/>
      </c>
      <c r="C433">
        <f t="shared" si="35"/>
        <v>1</v>
      </c>
      <c r="D433" s="4"/>
      <c r="E433" t="s">
        <v>18</v>
      </c>
      <c r="F433" t="str">
        <f>INDEX(Establishment!B$2:B$1005,MATCH($E433,Establishment!$A$2:$A$1005,0))</f>
        <v xml:space="preserve"> </v>
      </c>
      <c r="G433" t="str">
        <f>INDEX(Establishment!C$2:C$1005,MATCH($E433,Establishment!$A$2:$A$1005,0))</f>
        <v xml:space="preserve"> </v>
      </c>
      <c r="M433">
        <f t="shared" si="36"/>
        <v>0</v>
      </c>
      <c r="N433">
        <f t="shared" si="34"/>
        <v>0</v>
      </c>
      <c r="P433" t="e">
        <f>INDEX(Items!B$2:B$1032,MATCH($O433,Items!$A$2:$A$1032,0))</f>
        <v>#N/A</v>
      </c>
      <c r="Q433" t="e">
        <f>INDEX(Items!C$2:C$1032,MATCH($O433,Items!$A$2:$A$1032,0))</f>
        <v>#N/A</v>
      </c>
      <c r="R433" t="e">
        <f>INDEX(Items!D$2:D$1032,MATCH($O433,Items!$A$2:$A$1032,0))</f>
        <v>#N/A</v>
      </c>
    </row>
    <row r="434" spans="1:18" x14ac:dyDescent="0.25">
      <c r="A434">
        <f t="shared" si="32"/>
        <v>1</v>
      </c>
      <c r="B434" t="str">
        <f t="shared" si="33"/>
        <v/>
      </c>
      <c r="C434">
        <f t="shared" si="35"/>
        <v>1</v>
      </c>
      <c r="D434" s="4"/>
      <c r="E434" t="s">
        <v>18</v>
      </c>
      <c r="F434" t="str">
        <f>INDEX(Establishment!B$2:B$1005,MATCH($E434,Establishment!$A$2:$A$1005,0))</f>
        <v xml:space="preserve"> </v>
      </c>
      <c r="G434" t="str">
        <f>INDEX(Establishment!C$2:C$1005,MATCH($E434,Establishment!$A$2:$A$1005,0))</f>
        <v xml:space="preserve"> </v>
      </c>
      <c r="M434">
        <f t="shared" si="36"/>
        <v>0</v>
      </c>
      <c r="N434">
        <f t="shared" si="34"/>
        <v>0</v>
      </c>
      <c r="P434" t="e">
        <f>INDEX(Items!B$2:B$1032,MATCH($O434,Items!$A$2:$A$1032,0))</f>
        <v>#N/A</v>
      </c>
      <c r="Q434" t="e">
        <f>INDEX(Items!C$2:C$1032,MATCH($O434,Items!$A$2:$A$1032,0))</f>
        <v>#N/A</v>
      </c>
      <c r="R434" t="e">
        <f>INDEX(Items!D$2:D$1032,MATCH($O434,Items!$A$2:$A$1032,0))</f>
        <v>#N/A</v>
      </c>
    </row>
    <row r="435" spans="1:18" x14ac:dyDescent="0.25">
      <c r="A435">
        <f t="shared" si="32"/>
        <v>1</v>
      </c>
      <c r="B435" t="str">
        <f t="shared" si="33"/>
        <v/>
      </c>
      <c r="C435">
        <f t="shared" si="35"/>
        <v>1</v>
      </c>
      <c r="D435" s="4"/>
      <c r="E435" t="s">
        <v>18</v>
      </c>
      <c r="F435" t="str">
        <f>INDEX(Establishment!B$2:B$1005,MATCH($E435,Establishment!$A$2:$A$1005,0))</f>
        <v xml:space="preserve"> </v>
      </c>
      <c r="G435" t="str">
        <f>INDEX(Establishment!C$2:C$1005,MATCH($E435,Establishment!$A$2:$A$1005,0))</f>
        <v xml:space="preserve"> </v>
      </c>
      <c r="M435">
        <f t="shared" si="36"/>
        <v>0</v>
      </c>
      <c r="N435">
        <f t="shared" si="34"/>
        <v>0</v>
      </c>
      <c r="P435" t="e">
        <f>INDEX(Items!B$2:B$1032,MATCH($O435,Items!$A$2:$A$1032,0))</f>
        <v>#N/A</v>
      </c>
      <c r="Q435" t="e">
        <f>INDEX(Items!C$2:C$1032,MATCH($O435,Items!$A$2:$A$1032,0))</f>
        <v>#N/A</v>
      </c>
      <c r="R435" t="e">
        <f>INDEX(Items!D$2:D$1032,MATCH($O435,Items!$A$2:$A$1032,0))</f>
        <v>#N/A</v>
      </c>
    </row>
    <row r="436" spans="1:18" x14ac:dyDescent="0.25">
      <c r="A436">
        <f t="shared" si="32"/>
        <v>1</v>
      </c>
      <c r="B436" t="str">
        <f t="shared" si="33"/>
        <v/>
      </c>
      <c r="C436">
        <f t="shared" si="35"/>
        <v>1</v>
      </c>
      <c r="D436" s="4"/>
      <c r="E436" t="s">
        <v>18</v>
      </c>
      <c r="F436" t="str">
        <f>INDEX(Establishment!B$2:B$1005,MATCH($E436,Establishment!$A$2:$A$1005,0))</f>
        <v xml:space="preserve"> </v>
      </c>
      <c r="G436" t="str">
        <f>INDEX(Establishment!C$2:C$1005,MATCH($E436,Establishment!$A$2:$A$1005,0))</f>
        <v xml:space="preserve"> </v>
      </c>
      <c r="M436">
        <f t="shared" si="36"/>
        <v>0</v>
      </c>
      <c r="N436">
        <f t="shared" si="34"/>
        <v>0</v>
      </c>
      <c r="P436" t="e">
        <f>INDEX(Items!B$2:B$1032,MATCH($O436,Items!$A$2:$A$1032,0))</f>
        <v>#N/A</v>
      </c>
      <c r="Q436" t="e">
        <f>INDEX(Items!C$2:C$1032,MATCH($O436,Items!$A$2:$A$1032,0))</f>
        <v>#N/A</v>
      </c>
      <c r="R436" t="e">
        <f>INDEX(Items!D$2:D$1032,MATCH($O436,Items!$A$2:$A$1032,0))</f>
        <v>#N/A</v>
      </c>
    </row>
    <row r="437" spans="1:18" x14ac:dyDescent="0.25">
      <c r="A437">
        <f t="shared" si="32"/>
        <v>1</v>
      </c>
      <c r="B437" t="str">
        <f t="shared" si="33"/>
        <v/>
      </c>
      <c r="C437">
        <f t="shared" si="35"/>
        <v>1</v>
      </c>
      <c r="D437" s="4"/>
      <c r="E437" t="s">
        <v>18</v>
      </c>
      <c r="F437" t="str">
        <f>INDEX(Establishment!B$2:B$1005,MATCH($E437,Establishment!$A$2:$A$1005,0))</f>
        <v xml:space="preserve"> </v>
      </c>
      <c r="G437" t="str">
        <f>INDEX(Establishment!C$2:C$1005,MATCH($E437,Establishment!$A$2:$A$1005,0))</f>
        <v xml:space="preserve"> </v>
      </c>
      <c r="M437">
        <f t="shared" si="36"/>
        <v>0</v>
      </c>
      <c r="N437">
        <f t="shared" si="34"/>
        <v>0</v>
      </c>
      <c r="P437" t="e">
        <f>INDEX(Items!B$2:B$1032,MATCH($O437,Items!$A$2:$A$1032,0))</f>
        <v>#N/A</v>
      </c>
      <c r="Q437" t="e">
        <f>INDEX(Items!C$2:C$1032,MATCH($O437,Items!$A$2:$A$1032,0))</f>
        <v>#N/A</v>
      </c>
      <c r="R437" t="e">
        <f>INDEX(Items!D$2:D$1032,MATCH($O437,Items!$A$2:$A$1032,0))</f>
        <v>#N/A</v>
      </c>
    </row>
    <row r="438" spans="1:18" x14ac:dyDescent="0.25">
      <c r="A438">
        <f t="shared" si="32"/>
        <v>1</v>
      </c>
      <c r="B438" t="str">
        <f t="shared" si="33"/>
        <v/>
      </c>
      <c r="C438">
        <f t="shared" si="35"/>
        <v>1</v>
      </c>
      <c r="D438" s="4"/>
      <c r="E438" t="s">
        <v>18</v>
      </c>
      <c r="F438" t="str">
        <f>INDEX(Establishment!B$2:B$1005,MATCH($E438,Establishment!$A$2:$A$1005,0))</f>
        <v xml:space="preserve"> </v>
      </c>
      <c r="G438" t="str">
        <f>INDEX(Establishment!C$2:C$1005,MATCH($E438,Establishment!$A$2:$A$1005,0))</f>
        <v xml:space="preserve"> </v>
      </c>
      <c r="M438">
        <f t="shared" si="36"/>
        <v>0</v>
      </c>
      <c r="N438">
        <f t="shared" si="34"/>
        <v>0</v>
      </c>
      <c r="P438" t="e">
        <f>INDEX(Items!B$2:B$1032,MATCH($O438,Items!$A$2:$A$1032,0))</f>
        <v>#N/A</v>
      </c>
      <c r="Q438" t="e">
        <f>INDEX(Items!C$2:C$1032,MATCH($O438,Items!$A$2:$A$1032,0))</f>
        <v>#N/A</v>
      </c>
      <c r="R438" t="e">
        <f>INDEX(Items!D$2:D$1032,MATCH($O438,Items!$A$2:$A$1032,0))</f>
        <v>#N/A</v>
      </c>
    </row>
    <row r="439" spans="1:18" x14ac:dyDescent="0.25">
      <c r="A439">
        <f t="shared" si="32"/>
        <v>1</v>
      </c>
      <c r="B439" t="str">
        <f t="shared" si="33"/>
        <v/>
      </c>
      <c r="C439">
        <f t="shared" si="35"/>
        <v>1</v>
      </c>
      <c r="D439" s="4"/>
      <c r="E439" t="s">
        <v>18</v>
      </c>
      <c r="F439" t="str">
        <f>INDEX(Establishment!B$2:B$1005,MATCH($E439,Establishment!$A$2:$A$1005,0))</f>
        <v xml:space="preserve"> </v>
      </c>
      <c r="G439" t="str">
        <f>INDEX(Establishment!C$2:C$1005,MATCH($E439,Establishment!$A$2:$A$1005,0))</f>
        <v xml:space="preserve"> </v>
      </c>
      <c r="M439">
        <f t="shared" si="36"/>
        <v>0</v>
      </c>
      <c r="N439">
        <f t="shared" si="34"/>
        <v>0</v>
      </c>
      <c r="P439" t="e">
        <f>INDEX(Items!B$2:B$1032,MATCH($O439,Items!$A$2:$A$1032,0))</f>
        <v>#N/A</v>
      </c>
      <c r="Q439" t="e">
        <f>INDEX(Items!C$2:C$1032,MATCH($O439,Items!$A$2:$A$1032,0))</f>
        <v>#N/A</v>
      </c>
      <c r="R439" t="e">
        <f>INDEX(Items!D$2:D$1032,MATCH($O439,Items!$A$2:$A$1032,0))</f>
        <v>#N/A</v>
      </c>
    </row>
    <row r="440" spans="1:18" x14ac:dyDescent="0.25">
      <c r="A440">
        <f t="shared" si="32"/>
        <v>1</v>
      </c>
      <c r="B440" t="str">
        <f t="shared" si="33"/>
        <v/>
      </c>
      <c r="C440">
        <f t="shared" si="35"/>
        <v>1</v>
      </c>
      <c r="D440" s="4"/>
      <c r="E440" t="s">
        <v>18</v>
      </c>
      <c r="F440" t="str">
        <f>INDEX(Establishment!B$2:B$1005,MATCH($E440,Establishment!$A$2:$A$1005,0))</f>
        <v xml:space="preserve"> </v>
      </c>
      <c r="G440" t="str">
        <f>INDEX(Establishment!C$2:C$1005,MATCH($E440,Establishment!$A$2:$A$1005,0))</f>
        <v xml:space="preserve"> </v>
      </c>
      <c r="M440">
        <f t="shared" si="36"/>
        <v>0</v>
      </c>
      <c r="N440">
        <f t="shared" si="34"/>
        <v>0</v>
      </c>
      <c r="P440" t="e">
        <f>INDEX(Items!B$2:B$1032,MATCH($O440,Items!$A$2:$A$1032,0))</f>
        <v>#N/A</v>
      </c>
      <c r="Q440" t="e">
        <f>INDEX(Items!C$2:C$1032,MATCH($O440,Items!$A$2:$A$1032,0))</f>
        <v>#N/A</v>
      </c>
      <c r="R440" t="e">
        <f>INDEX(Items!D$2:D$1032,MATCH($O440,Items!$A$2:$A$1032,0))</f>
        <v>#N/A</v>
      </c>
    </row>
    <row r="441" spans="1:18" x14ac:dyDescent="0.25">
      <c r="A441">
        <f t="shared" si="32"/>
        <v>1</v>
      </c>
      <c r="B441" t="str">
        <f t="shared" si="33"/>
        <v/>
      </c>
      <c r="C441">
        <f t="shared" si="35"/>
        <v>1</v>
      </c>
      <c r="D441" s="4"/>
      <c r="E441" t="s">
        <v>18</v>
      </c>
      <c r="F441" t="str">
        <f>INDEX(Establishment!B$2:B$1005,MATCH($E441,Establishment!$A$2:$A$1005,0))</f>
        <v xml:space="preserve"> </v>
      </c>
      <c r="G441" t="str">
        <f>INDEX(Establishment!C$2:C$1005,MATCH($E441,Establishment!$A$2:$A$1005,0))</f>
        <v xml:space="preserve"> </v>
      </c>
      <c r="M441">
        <f t="shared" si="36"/>
        <v>0</v>
      </c>
      <c r="N441">
        <f t="shared" si="34"/>
        <v>0</v>
      </c>
      <c r="P441" t="e">
        <f>INDEX(Items!B$2:B$1032,MATCH($O441,Items!$A$2:$A$1032,0))</f>
        <v>#N/A</v>
      </c>
      <c r="Q441" t="e">
        <f>INDEX(Items!C$2:C$1032,MATCH($O441,Items!$A$2:$A$1032,0))</f>
        <v>#N/A</v>
      </c>
      <c r="R441" t="e">
        <f>INDEX(Items!D$2:D$1032,MATCH($O441,Items!$A$2:$A$1032,0))</f>
        <v>#N/A</v>
      </c>
    </row>
    <row r="442" spans="1:18" x14ac:dyDescent="0.25">
      <c r="A442">
        <f t="shared" si="32"/>
        <v>1</v>
      </c>
      <c r="B442" t="str">
        <f t="shared" si="33"/>
        <v/>
      </c>
      <c r="C442">
        <f t="shared" si="35"/>
        <v>1</v>
      </c>
      <c r="D442" s="4"/>
      <c r="E442" t="s">
        <v>18</v>
      </c>
      <c r="F442" t="str">
        <f>INDEX(Establishment!B$2:B$1005,MATCH($E442,Establishment!$A$2:$A$1005,0))</f>
        <v xml:space="preserve"> </v>
      </c>
      <c r="G442" t="str">
        <f>INDEX(Establishment!C$2:C$1005,MATCH($E442,Establishment!$A$2:$A$1005,0))</f>
        <v xml:space="preserve"> </v>
      </c>
      <c r="M442">
        <f t="shared" si="36"/>
        <v>0</v>
      </c>
      <c r="N442">
        <f t="shared" si="34"/>
        <v>0</v>
      </c>
      <c r="P442" t="e">
        <f>INDEX(Items!B$2:B$1032,MATCH($O442,Items!$A$2:$A$1032,0))</f>
        <v>#N/A</v>
      </c>
      <c r="Q442" t="e">
        <f>INDEX(Items!C$2:C$1032,MATCH($O442,Items!$A$2:$A$1032,0))</f>
        <v>#N/A</v>
      </c>
      <c r="R442" t="e">
        <f>INDEX(Items!D$2:D$1032,MATCH($O442,Items!$A$2:$A$1032,0))</f>
        <v>#N/A</v>
      </c>
    </row>
    <row r="443" spans="1:18" x14ac:dyDescent="0.25">
      <c r="A443">
        <f t="shared" si="32"/>
        <v>1</v>
      </c>
      <c r="B443" t="str">
        <f t="shared" si="33"/>
        <v/>
      </c>
      <c r="C443">
        <f t="shared" si="35"/>
        <v>1</v>
      </c>
      <c r="D443" s="4"/>
      <c r="E443" t="s">
        <v>18</v>
      </c>
      <c r="F443" t="str">
        <f>INDEX(Establishment!B$2:B$1005,MATCH($E443,Establishment!$A$2:$A$1005,0))</f>
        <v xml:space="preserve"> </v>
      </c>
      <c r="G443" t="str">
        <f>INDEX(Establishment!C$2:C$1005,MATCH($E443,Establishment!$A$2:$A$1005,0))</f>
        <v xml:space="preserve"> </v>
      </c>
      <c r="M443">
        <f t="shared" si="36"/>
        <v>0</v>
      </c>
      <c r="N443">
        <f t="shared" si="34"/>
        <v>0</v>
      </c>
      <c r="P443" t="e">
        <f>INDEX(Items!B$2:B$1032,MATCH($O443,Items!$A$2:$A$1032,0))</f>
        <v>#N/A</v>
      </c>
      <c r="Q443" t="e">
        <f>INDEX(Items!C$2:C$1032,MATCH($O443,Items!$A$2:$A$1032,0))</f>
        <v>#N/A</v>
      </c>
      <c r="R443" t="e">
        <f>INDEX(Items!D$2:D$1032,MATCH($O443,Items!$A$2:$A$1032,0))</f>
        <v>#N/A</v>
      </c>
    </row>
    <row r="444" spans="1:18" x14ac:dyDescent="0.25">
      <c r="A444">
        <f t="shared" si="32"/>
        <v>1</v>
      </c>
      <c r="B444" t="str">
        <f t="shared" si="33"/>
        <v/>
      </c>
      <c r="C444">
        <f t="shared" si="35"/>
        <v>1</v>
      </c>
      <c r="D444" s="4"/>
      <c r="E444" t="s">
        <v>18</v>
      </c>
      <c r="F444" t="str">
        <f>INDEX(Establishment!B$2:B$1005,MATCH($E444,Establishment!$A$2:$A$1005,0))</f>
        <v xml:space="preserve"> </v>
      </c>
      <c r="G444" t="str">
        <f>INDEX(Establishment!C$2:C$1005,MATCH($E444,Establishment!$A$2:$A$1005,0))</f>
        <v xml:space="preserve"> </v>
      </c>
      <c r="M444">
        <f t="shared" si="36"/>
        <v>0</v>
      </c>
      <c r="N444">
        <f t="shared" si="34"/>
        <v>0</v>
      </c>
      <c r="P444" t="e">
        <f>INDEX(Items!B$2:B$1032,MATCH($O444,Items!$A$2:$A$1032,0))</f>
        <v>#N/A</v>
      </c>
      <c r="Q444" t="e">
        <f>INDEX(Items!C$2:C$1032,MATCH($O444,Items!$A$2:$A$1032,0))</f>
        <v>#N/A</v>
      </c>
      <c r="R444" t="e">
        <f>INDEX(Items!D$2:D$1032,MATCH($O444,Items!$A$2:$A$1032,0))</f>
        <v>#N/A</v>
      </c>
    </row>
    <row r="445" spans="1:18" x14ac:dyDescent="0.25">
      <c r="A445">
        <f t="shared" si="32"/>
        <v>1</v>
      </c>
      <c r="B445" t="str">
        <f t="shared" si="33"/>
        <v/>
      </c>
      <c r="C445">
        <f t="shared" si="35"/>
        <v>1</v>
      </c>
      <c r="D445" s="4"/>
      <c r="E445" t="s">
        <v>18</v>
      </c>
      <c r="F445" t="str">
        <f>INDEX(Establishment!B$2:B$1005,MATCH($E445,Establishment!$A$2:$A$1005,0))</f>
        <v xml:space="preserve"> </v>
      </c>
      <c r="G445" t="str">
        <f>INDEX(Establishment!C$2:C$1005,MATCH($E445,Establishment!$A$2:$A$1005,0))</f>
        <v xml:space="preserve"> </v>
      </c>
      <c r="M445">
        <f t="shared" si="36"/>
        <v>0</v>
      </c>
      <c r="N445">
        <f t="shared" si="34"/>
        <v>0</v>
      </c>
      <c r="P445" t="e">
        <f>INDEX(Items!B$2:B$1032,MATCH($O445,Items!$A$2:$A$1032,0))</f>
        <v>#N/A</v>
      </c>
      <c r="Q445" t="e">
        <f>INDEX(Items!C$2:C$1032,MATCH($O445,Items!$A$2:$A$1032,0))</f>
        <v>#N/A</v>
      </c>
      <c r="R445" t="e">
        <f>INDEX(Items!D$2:D$1032,MATCH($O445,Items!$A$2:$A$1032,0))</f>
        <v>#N/A</v>
      </c>
    </row>
    <row r="446" spans="1:18" x14ac:dyDescent="0.25">
      <c r="A446">
        <f t="shared" si="32"/>
        <v>1</v>
      </c>
      <c r="B446" t="str">
        <f t="shared" si="33"/>
        <v/>
      </c>
      <c r="C446">
        <f t="shared" si="35"/>
        <v>1</v>
      </c>
      <c r="D446" s="4"/>
      <c r="E446" t="s">
        <v>18</v>
      </c>
      <c r="F446" t="str">
        <f>INDEX(Establishment!B$2:B$1005,MATCH($E446,Establishment!$A$2:$A$1005,0))</f>
        <v xml:space="preserve"> </v>
      </c>
      <c r="G446" t="str">
        <f>INDEX(Establishment!C$2:C$1005,MATCH($E446,Establishment!$A$2:$A$1005,0))</f>
        <v xml:space="preserve"> </v>
      </c>
      <c r="M446">
        <f t="shared" si="36"/>
        <v>0</v>
      </c>
      <c r="N446">
        <f t="shared" si="34"/>
        <v>0</v>
      </c>
      <c r="P446" t="e">
        <f>INDEX(Items!B$2:B$1032,MATCH($O446,Items!$A$2:$A$1032,0))</f>
        <v>#N/A</v>
      </c>
      <c r="Q446" t="e">
        <f>INDEX(Items!C$2:C$1032,MATCH($O446,Items!$A$2:$A$1032,0))</f>
        <v>#N/A</v>
      </c>
      <c r="R446" t="e">
        <f>INDEX(Items!D$2:D$1032,MATCH($O446,Items!$A$2:$A$1032,0))</f>
        <v>#N/A</v>
      </c>
    </row>
    <row r="447" spans="1:18" x14ac:dyDescent="0.25">
      <c r="A447">
        <f t="shared" si="32"/>
        <v>1</v>
      </c>
      <c r="B447" t="str">
        <f t="shared" si="33"/>
        <v/>
      </c>
      <c r="C447">
        <f t="shared" si="35"/>
        <v>1</v>
      </c>
      <c r="D447" s="4"/>
      <c r="E447" t="s">
        <v>18</v>
      </c>
      <c r="F447" t="str">
        <f>INDEX(Establishment!B$2:B$1005,MATCH($E447,Establishment!$A$2:$A$1005,0))</f>
        <v xml:space="preserve"> </v>
      </c>
      <c r="G447" t="str">
        <f>INDEX(Establishment!C$2:C$1005,MATCH($E447,Establishment!$A$2:$A$1005,0))</f>
        <v xml:space="preserve"> </v>
      </c>
      <c r="M447">
        <f t="shared" si="36"/>
        <v>0</v>
      </c>
      <c r="N447">
        <f t="shared" si="34"/>
        <v>0</v>
      </c>
      <c r="P447" t="e">
        <f>INDEX(Items!B$2:B$1032,MATCH($O447,Items!$A$2:$A$1032,0))</f>
        <v>#N/A</v>
      </c>
      <c r="Q447" t="e">
        <f>INDEX(Items!C$2:C$1032,MATCH($O447,Items!$A$2:$A$1032,0))</f>
        <v>#N/A</v>
      </c>
      <c r="R447" t="e">
        <f>INDEX(Items!D$2:D$1032,MATCH($O447,Items!$A$2:$A$1032,0))</f>
        <v>#N/A</v>
      </c>
    </row>
    <row r="448" spans="1:18" x14ac:dyDescent="0.25">
      <c r="A448">
        <f t="shared" si="32"/>
        <v>1</v>
      </c>
      <c r="B448" t="str">
        <f t="shared" si="33"/>
        <v/>
      </c>
      <c r="C448">
        <f t="shared" si="35"/>
        <v>1</v>
      </c>
      <c r="D448" s="4"/>
      <c r="E448" t="s">
        <v>18</v>
      </c>
      <c r="F448" t="str">
        <f>INDEX(Establishment!B$2:B$1005,MATCH($E448,Establishment!$A$2:$A$1005,0))</f>
        <v xml:space="preserve"> </v>
      </c>
      <c r="G448" t="str">
        <f>INDEX(Establishment!C$2:C$1005,MATCH($E448,Establishment!$A$2:$A$1005,0))</f>
        <v xml:space="preserve"> </v>
      </c>
      <c r="M448">
        <f t="shared" si="36"/>
        <v>0</v>
      </c>
      <c r="N448">
        <f t="shared" si="34"/>
        <v>0</v>
      </c>
      <c r="P448" t="e">
        <f>INDEX(Items!B$2:B$1032,MATCH($O448,Items!$A$2:$A$1032,0))</f>
        <v>#N/A</v>
      </c>
      <c r="Q448" t="e">
        <f>INDEX(Items!C$2:C$1032,MATCH($O448,Items!$A$2:$A$1032,0))</f>
        <v>#N/A</v>
      </c>
      <c r="R448" t="e">
        <f>INDEX(Items!D$2:D$1032,MATCH($O448,Items!$A$2:$A$1032,0))</f>
        <v>#N/A</v>
      </c>
    </row>
    <row r="449" spans="1:18" x14ac:dyDescent="0.25">
      <c r="A449">
        <f t="shared" si="32"/>
        <v>1</v>
      </c>
      <c r="B449" t="str">
        <f t="shared" si="33"/>
        <v/>
      </c>
      <c r="C449">
        <f t="shared" si="35"/>
        <v>1</v>
      </c>
      <c r="D449" s="4"/>
      <c r="E449" t="s">
        <v>18</v>
      </c>
      <c r="F449" t="str">
        <f>INDEX(Establishment!B$2:B$1005,MATCH($E449,Establishment!$A$2:$A$1005,0))</f>
        <v xml:space="preserve"> </v>
      </c>
      <c r="G449" t="str">
        <f>INDEX(Establishment!C$2:C$1005,MATCH($E449,Establishment!$A$2:$A$1005,0))</f>
        <v xml:space="preserve"> </v>
      </c>
      <c r="M449">
        <f t="shared" si="36"/>
        <v>0</v>
      </c>
      <c r="N449">
        <f t="shared" si="34"/>
        <v>0</v>
      </c>
      <c r="P449" t="e">
        <f>INDEX(Items!B$2:B$1032,MATCH($O449,Items!$A$2:$A$1032,0))</f>
        <v>#N/A</v>
      </c>
      <c r="Q449" t="e">
        <f>INDEX(Items!C$2:C$1032,MATCH($O449,Items!$A$2:$A$1032,0))</f>
        <v>#N/A</v>
      </c>
      <c r="R449" t="e">
        <f>INDEX(Items!D$2:D$1032,MATCH($O449,Items!$A$2:$A$1032,0))</f>
        <v>#N/A</v>
      </c>
    </row>
    <row r="450" spans="1:18" x14ac:dyDescent="0.25">
      <c r="A450">
        <f t="shared" ref="A450:A499" si="37">IF(OR(D450&lt;&gt;D449,D450=""),1,IF(NOT(AND(E450=E449,F450=F449,G450=G449)),A449+1,IF(OR(H450="",AND(H450&lt;&gt;"",H450&lt;&gt;H449,H449&lt;&gt;"")),A449,A449+1)))</f>
        <v>1</v>
      </c>
      <c r="B450" t="str">
        <f t="shared" ref="B450:B499" si="38">IF(D450&lt;&gt;"",TEXT(D450,"YYYYMMDD")&amp;CHAR(64+A450),"")</f>
        <v/>
      </c>
      <c r="C450">
        <f t="shared" si="35"/>
        <v>1</v>
      </c>
      <c r="D450" s="4"/>
      <c r="E450" t="s">
        <v>18</v>
      </c>
      <c r="F450" t="str">
        <f>INDEX(Establishment!B$2:B$1005,MATCH($E450,Establishment!$A$2:$A$1005,0))</f>
        <v xml:space="preserve"> </v>
      </c>
      <c r="G450" t="str">
        <f>INDEX(Establishment!C$2:C$1005,MATCH($E450,Establishment!$A$2:$A$1005,0))</f>
        <v xml:space="preserve"> </v>
      </c>
      <c r="M450">
        <f t="shared" si="36"/>
        <v>0</v>
      </c>
      <c r="N450">
        <f t="shared" si="34"/>
        <v>0</v>
      </c>
      <c r="P450" t="e">
        <f>INDEX(Items!B$2:B$1032,MATCH($O450,Items!$A$2:$A$1032,0))</f>
        <v>#N/A</v>
      </c>
      <c r="Q450" t="e">
        <f>INDEX(Items!C$2:C$1032,MATCH($O450,Items!$A$2:$A$1032,0))</f>
        <v>#N/A</v>
      </c>
      <c r="R450" t="e">
        <f>INDEX(Items!D$2:D$1032,MATCH($O450,Items!$A$2:$A$1032,0))</f>
        <v>#N/A</v>
      </c>
    </row>
    <row r="451" spans="1:18" x14ac:dyDescent="0.25">
      <c r="A451">
        <f t="shared" si="37"/>
        <v>1</v>
      </c>
      <c r="B451" t="str">
        <f t="shared" si="38"/>
        <v/>
      </c>
      <c r="C451">
        <f t="shared" si="35"/>
        <v>1</v>
      </c>
      <c r="D451" s="4"/>
      <c r="E451" t="s">
        <v>18</v>
      </c>
      <c r="F451" t="str">
        <f>INDEX(Establishment!B$2:B$1005,MATCH($E451,Establishment!$A$2:$A$1005,0))</f>
        <v xml:space="preserve"> </v>
      </c>
      <c r="G451" t="str">
        <f>INDEX(Establishment!C$2:C$1005,MATCH($E451,Establishment!$A$2:$A$1005,0))</f>
        <v xml:space="preserve"> </v>
      </c>
      <c r="M451">
        <f t="shared" si="36"/>
        <v>0</v>
      </c>
      <c r="N451">
        <f t="shared" ref="N451:N499" si="39">IF(B451=B450,N450+M451,M451)</f>
        <v>0</v>
      </c>
      <c r="P451" t="e">
        <f>INDEX(Items!B$2:B$1032,MATCH($O451,Items!$A$2:$A$1032,0))</f>
        <v>#N/A</v>
      </c>
      <c r="Q451" t="e">
        <f>INDEX(Items!C$2:C$1032,MATCH($O451,Items!$A$2:$A$1032,0))</f>
        <v>#N/A</v>
      </c>
      <c r="R451" t="e">
        <f>INDEX(Items!D$2:D$1032,MATCH($O451,Items!$A$2:$A$1032,0))</f>
        <v>#N/A</v>
      </c>
    </row>
    <row r="452" spans="1:18" x14ac:dyDescent="0.25">
      <c r="A452">
        <f t="shared" si="37"/>
        <v>1</v>
      </c>
      <c r="B452" t="str">
        <f t="shared" si="38"/>
        <v/>
      </c>
      <c r="C452">
        <f t="shared" si="35"/>
        <v>1</v>
      </c>
      <c r="D452" s="4"/>
      <c r="E452" t="s">
        <v>18</v>
      </c>
      <c r="F452" t="str">
        <f>INDEX(Establishment!B$2:B$1005,MATCH($E452,Establishment!$A$2:$A$1005,0))</f>
        <v xml:space="preserve"> </v>
      </c>
      <c r="G452" t="str">
        <f>INDEX(Establishment!C$2:C$1005,MATCH($E452,Establishment!$A$2:$A$1005,0))</f>
        <v xml:space="preserve"> </v>
      </c>
      <c r="M452">
        <f t="shared" si="36"/>
        <v>0</v>
      </c>
      <c r="N452">
        <f t="shared" si="39"/>
        <v>0</v>
      </c>
      <c r="P452" t="e">
        <f>INDEX(Items!B$2:B$1032,MATCH($O452,Items!$A$2:$A$1032,0))</f>
        <v>#N/A</v>
      </c>
      <c r="Q452" t="e">
        <f>INDEX(Items!C$2:C$1032,MATCH($O452,Items!$A$2:$A$1032,0))</f>
        <v>#N/A</v>
      </c>
      <c r="R452" t="e">
        <f>INDEX(Items!D$2:D$1032,MATCH($O452,Items!$A$2:$A$1032,0))</f>
        <v>#N/A</v>
      </c>
    </row>
    <row r="453" spans="1:18" x14ac:dyDescent="0.25">
      <c r="A453">
        <f t="shared" si="37"/>
        <v>1</v>
      </c>
      <c r="B453" t="str">
        <f t="shared" si="38"/>
        <v/>
      </c>
      <c r="C453">
        <f t="shared" si="35"/>
        <v>1</v>
      </c>
      <c r="D453" s="4"/>
      <c r="E453" t="s">
        <v>18</v>
      </c>
      <c r="F453" t="str">
        <f>INDEX(Establishment!B$2:B$1005,MATCH($E453,Establishment!$A$2:$A$1005,0))</f>
        <v xml:space="preserve"> </v>
      </c>
      <c r="G453" t="str">
        <f>INDEX(Establishment!C$2:C$1005,MATCH($E453,Establishment!$A$2:$A$1005,0))</f>
        <v xml:space="preserve"> </v>
      </c>
      <c r="M453">
        <f t="shared" si="36"/>
        <v>0</v>
      </c>
      <c r="N453">
        <f t="shared" si="39"/>
        <v>0</v>
      </c>
      <c r="P453" t="e">
        <f>INDEX(Items!B$2:B$1032,MATCH($O453,Items!$A$2:$A$1032,0))</f>
        <v>#N/A</v>
      </c>
      <c r="Q453" t="e">
        <f>INDEX(Items!C$2:C$1032,MATCH($O453,Items!$A$2:$A$1032,0))</f>
        <v>#N/A</v>
      </c>
      <c r="R453" t="e">
        <f>INDEX(Items!D$2:D$1032,MATCH($O453,Items!$A$2:$A$1032,0))</f>
        <v>#N/A</v>
      </c>
    </row>
    <row r="454" spans="1:18" x14ac:dyDescent="0.25">
      <c r="A454">
        <f t="shared" si="37"/>
        <v>1</v>
      </c>
      <c r="B454" t="str">
        <f t="shared" si="38"/>
        <v/>
      </c>
      <c r="C454">
        <f t="shared" si="35"/>
        <v>1</v>
      </c>
      <c r="D454" s="4"/>
      <c r="E454" t="s">
        <v>18</v>
      </c>
      <c r="F454" t="str">
        <f>INDEX(Establishment!B$2:B$1005,MATCH($E454,Establishment!$A$2:$A$1005,0))</f>
        <v xml:space="preserve"> </v>
      </c>
      <c r="G454" t="str">
        <f>INDEX(Establishment!C$2:C$1005,MATCH($E454,Establishment!$A$2:$A$1005,0))</f>
        <v xml:space="preserve"> </v>
      </c>
      <c r="M454">
        <f t="shared" si="36"/>
        <v>0</v>
      </c>
      <c r="N454">
        <f t="shared" si="39"/>
        <v>0</v>
      </c>
      <c r="P454" t="e">
        <f>INDEX(Items!B$2:B$1032,MATCH($O454,Items!$A$2:$A$1032,0))</f>
        <v>#N/A</v>
      </c>
      <c r="Q454" t="e">
        <f>INDEX(Items!C$2:C$1032,MATCH($O454,Items!$A$2:$A$1032,0))</f>
        <v>#N/A</v>
      </c>
      <c r="R454" t="e">
        <f>INDEX(Items!D$2:D$1032,MATCH($O454,Items!$A$2:$A$1032,0))</f>
        <v>#N/A</v>
      </c>
    </row>
    <row r="455" spans="1:18" x14ac:dyDescent="0.25">
      <c r="A455">
        <f t="shared" si="37"/>
        <v>1</v>
      </c>
      <c r="B455" t="str">
        <f t="shared" si="38"/>
        <v/>
      </c>
      <c r="C455">
        <f t="shared" si="35"/>
        <v>1</v>
      </c>
      <c r="D455" s="4"/>
      <c r="E455" t="s">
        <v>18</v>
      </c>
      <c r="F455" t="str">
        <f>INDEX(Establishment!B$2:B$1005,MATCH($E455,Establishment!$A$2:$A$1005,0))</f>
        <v xml:space="preserve"> </v>
      </c>
      <c r="G455" t="str">
        <f>INDEX(Establishment!C$2:C$1005,MATCH($E455,Establishment!$A$2:$A$1005,0))</f>
        <v xml:space="preserve"> </v>
      </c>
      <c r="M455">
        <f t="shared" si="36"/>
        <v>0</v>
      </c>
      <c r="N455">
        <f t="shared" si="39"/>
        <v>0</v>
      </c>
      <c r="P455" t="e">
        <f>INDEX(Items!B$2:B$1032,MATCH($O455,Items!$A$2:$A$1032,0))</f>
        <v>#N/A</v>
      </c>
      <c r="Q455" t="e">
        <f>INDEX(Items!C$2:C$1032,MATCH($O455,Items!$A$2:$A$1032,0))</f>
        <v>#N/A</v>
      </c>
      <c r="R455" t="e">
        <f>INDEX(Items!D$2:D$1032,MATCH($O455,Items!$A$2:$A$1032,0))</f>
        <v>#N/A</v>
      </c>
    </row>
    <row r="456" spans="1:18" x14ac:dyDescent="0.25">
      <c r="A456">
        <f t="shared" si="37"/>
        <v>1</v>
      </c>
      <c r="B456" t="str">
        <f t="shared" si="38"/>
        <v/>
      </c>
      <c r="C456">
        <f t="shared" si="35"/>
        <v>1</v>
      </c>
      <c r="D456" s="4"/>
      <c r="E456" t="s">
        <v>18</v>
      </c>
      <c r="F456" t="str">
        <f>INDEX(Establishment!B$2:B$1005,MATCH($E456,Establishment!$A$2:$A$1005,0))</f>
        <v xml:space="preserve"> </v>
      </c>
      <c r="G456" t="str">
        <f>INDEX(Establishment!C$2:C$1005,MATCH($E456,Establishment!$A$2:$A$1005,0))</f>
        <v xml:space="preserve"> </v>
      </c>
      <c r="M456">
        <f t="shared" si="36"/>
        <v>0</v>
      </c>
      <c r="N456">
        <f t="shared" si="39"/>
        <v>0</v>
      </c>
      <c r="P456" t="e">
        <f>INDEX(Items!B$2:B$1032,MATCH($O456,Items!$A$2:$A$1032,0))</f>
        <v>#N/A</v>
      </c>
      <c r="Q456" t="e">
        <f>INDEX(Items!C$2:C$1032,MATCH($O456,Items!$A$2:$A$1032,0))</f>
        <v>#N/A</v>
      </c>
      <c r="R456" t="e">
        <f>INDEX(Items!D$2:D$1032,MATCH($O456,Items!$A$2:$A$1032,0))</f>
        <v>#N/A</v>
      </c>
    </row>
    <row r="457" spans="1:18" x14ac:dyDescent="0.25">
      <c r="A457">
        <f t="shared" si="37"/>
        <v>1</v>
      </c>
      <c r="B457" t="str">
        <f t="shared" si="38"/>
        <v/>
      </c>
      <c r="C457">
        <f t="shared" si="35"/>
        <v>1</v>
      </c>
      <c r="D457" s="4"/>
      <c r="E457" t="s">
        <v>18</v>
      </c>
      <c r="F457" t="str">
        <f>INDEX(Establishment!B$2:B$1005,MATCH($E457,Establishment!$A$2:$A$1005,0))</f>
        <v xml:space="preserve"> </v>
      </c>
      <c r="G457" t="str">
        <f>INDEX(Establishment!C$2:C$1005,MATCH($E457,Establishment!$A$2:$A$1005,0))</f>
        <v xml:space="preserve"> </v>
      </c>
      <c r="M457">
        <f t="shared" si="36"/>
        <v>0</v>
      </c>
      <c r="N457">
        <f t="shared" si="39"/>
        <v>0</v>
      </c>
      <c r="P457" t="e">
        <f>INDEX(Items!B$2:B$1032,MATCH($O457,Items!$A$2:$A$1032,0))</f>
        <v>#N/A</v>
      </c>
      <c r="Q457" t="e">
        <f>INDEX(Items!C$2:C$1032,MATCH($O457,Items!$A$2:$A$1032,0))</f>
        <v>#N/A</v>
      </c>
      <c r="R457" t="e">
        <f>INDEX(Items!D$2:D$1032,MATCH($O457,Items!$A$2:$A$1032,0))</f>
        <v>#N/A</v>
      </c>
    </row>
    <row r="458" spans="1:18" x14ac:dyDescent="0.25">
      <c r="A458">
        <f t="shared" si="37"/>
        <v>1</v>
      </c>
      <c r="B458" t="str">
        <f t="shared" si="38"/>
        <v/>
      </c>
      <c r="C458">
        <f t="shared" ref="C458:C499" si="40">IF(OR(B458="",B458&lt;&gt;B457),1,C457+1)</f>
        <v>1</v>
      </c>
      <c r="D458" s="4"/>
      <c r="E458" t="s">
        <v>18</v>
      </c>
      <c r="F458" t="str">
        <f>INDEX(Establishment!B$2:B$1005,MATCH($E458,Establishment!$A$2:$A$1005,0))</f>
        <v xml:space="preserve"> </v>
      </c>
      <c r="G458" t="str">
        <f>INDEX(Establishment!C$2:C$1005,MATCH($E458,Establishment!$A$2:$A$1005,0))</f>
        <v xml:space="preserve"> </v>
      </c>
      <c r="M458">
        <f t="shared" ref="M458:M499" si="41">K458*L458</f>
        <v>0</v>
      </c>
      <c r="N458">
        <f t="shared" si="39"/>
        <v>0</v>
      </c>
      <c r="P458" t="e">
        <f>INDEX(Items!B$2:B$1032,MATCH($O458,Items!$A$2:$A$1032,0))</f>
        <v>#N/A</v>
      </c>
      <c r="Q458" t="e">
        <f>INDEX(Items!C$2:C$1032,MATCH($O458,Items!$A$2:$A$1032,0))</f>
        <v>#N/A</v>
      </c>
      <c r="R458" t="e">
        <f>INDEX(Items!D$2:D$1032,MATCH($O458,Items!$A$2:$A$1032,0))</f>
        <v>#N/A</v>
      </c>
    </row>
    <row r="459" spans="1:18" x14ac:dyDescent="0.25">
      <c r="A459">
        <f t="shared" si="37"/>
        <v>1</v>
      </c>
      <c r="B459" t="str">
        <f t="shared" si="38"/>
        <v/>
      </c>
      <c r="C459">
        <f t="shared" si="40"/>
        <v>1</v>
      </c>
      <c r="D459" s="4"/>
      <c r="E459" t="s">
        <v>18</v>
      </c>
      <c r="F459" t="str">
        <f>INDEX(Establishment!B$2:B$1005,MATCH($E459,Establishment!$A$2:$A$1005,0))</f>
        <v xml:space="preserve"> </v>
      </c>
      <c r="G459" t="str">
        <f>INDEX(Establishment!C$2:C$1005,MATCH($E459,Establishment!$A$2:$A$1005,0))</f>
        <v xml:space="preserve"> </v>
      </c>
      <c r="M459">
        <f t="shared" si="41"/>
        <v>0</v>
      </c>
      <c r="N459">
        <f t="shared" si="39"/>
        <v>0</v>
      </c>
      <c r="P459" t="e">
        <f>INDEX(Items!B$2:B$1032,MATCH($O459,Items!$A$2:$A$1032,0))</f>
        <v>#N/A</v>
      </c>
      <c r="Q459" t="e">
        <f>INDEX(Items!C$2:C$1032,MATCH($O459,Items!$A$2:$A$1032,0))</f>
        <v>#N/A</v>
      </c>
      <c r="R459" t="e">
        <f>INDEX(Items!D$2:D$1032,MATCH($O459,Items!$A$2:$A$1032,0))</f>
        <v>#N/A</v>
      </c>
    </row>
    <row r="460" spans="1:18" x14ac:dyDescent="0.25">
      <c r="A460">
        <f t="shared" si="37"/>
        <v>1</v>
      </c>
      <c r="B460" t="str">
        <f t="shared" si="38"/>
        <v/>
      </c>
      <c r="C460">
        <f t="shared" si="40"/>
        <v>1</v>
      </c>
      <c r="D460" s="4"/>
      <c r="E460" t="s">
        <v>18</v>
      </c>
      <c r="F460" t="str">
        <f>INDEX(Establishment!B$2:B$1005,MATCH($E460,Establishment!$A$2:$A$1005,0))</f>
        <v xml:space="preserve"> </v>
      </c>
      <c r="G460" t="str">
        <f>INDEX(Establishment!C$2:C$1005,MATCH($E460,Establishment!$A$2:$A$1005,0))</f>
        <v xml:space="preserve"> </v>
      </c>
      <c r="M460">
        <f t="shared" si="41"/>
        <v>0</v>
      </c>
      <c r="N460">
        <f t="shared" si="39"/>
        <v>0</v>
      </c>
      <c r="P460" t="e">
        <f>INDEX(Items!B$2:B$1032,MATCH($O460,Items!$A$2:$A$1032,0))</f>
        <v>#N/A</v>
      </c>
      <c r="Q460" t="e">
        <f>INDEX(Items!C$2:C$1032,MATCH($O460,Items!$A$2:$A$1032,0))</f>
        <v>#N/A</v>
      </c>
      <c r="R460" t="e">
        <f>INDEX(Items!D$2:D$1032,MATCH($O460,Items!$A$2:$A$1032,0))</f>
        <v>#N/A</v>
      </c>
    </row>
    <row r="461" spans="1:18" x14ac:dyDescent="0.25">
      <c r="A461">
        <f t="shared" si="37"/>
        <v>1</v>
      </c>
      <c r="B461" t="str">
        <f t="shared" si="38"/>
        <v/>
      </c>
      <c r="C461">
        <f t="shared" si="40"/>
        <v>1</v>
      </c>
      <c r="D461" s="4"/>
      <c r="E461" t="s">
        <v>18</v>
      </c>
      <c r="F461" t="str">
        <f>INDEX(Establishment!B$2:B$1005,MATCH($E461,Establishment!$A$2:$A$1005,0))</f>
        <v xml:space="preserve"> </v>
      </c>
      <c r="G461" t="str">
        <f>INDEX(Establishment!C$2:C$1005,MATCH($E461,Establishment!$A$2:$A$1005,0))</f>
        <v xml:space="preserve"> </v>
      </c>
      <c r="M461">
        <f t="shared" si="41"/>
        <v>0</v>
      </c>
      <c r="N461">
        <f t="shared" si="39"/>
        <v>0</v>
      </c>
      <c r="P461" t="e">
        <f>INDEX(Items!B$2:B$1032,MATCH($O461,Items!$A$2:$A$1032,0))</f>
        <v>#N/A</v>
      </c>
      <c r="Q461" t="e">
        <f>INDEX(Items!C$2:C$1032,MATCH($O461,Items!$A$2:$A$1032,0))</f>
        <v>#N/A</v>
      </c>
      <c r="R461" t="e">
        <f>INDEX(Items!D$2:D$1032,MATCH($O461,Items!$A$2:$A$1032,0))</f>
        <v>#N/A</v>
      </c>
    </row>
    <row r="462" spans="1:18" x14ac:dyDescent="0.25">
      <c r="A462">
        <f t="shared" si="37"/>
        <v>1</v>
      </c>
      <c r="B462" t="str">
        <f t="shared" si="38"/>
        <v/>
      </c>
      <c r="C462">
        <f t="shared" si="40"/>
        <v>1</v>
      </c>
      <c r="D462" s="4"/>
      <c r="E462" t="s">
        <v>18</v>
      </c>
      <c r="F462" t="str">
        <f>INDEX(Establishment!B$2:B$1005,MATCH($E462,Establishment!$A$2:$A$1005,0))</f>
        <v xml:space="preserve"> </v>
      </c>
      <c r="G462" t="str">
        <f>INDEX(Establishment!C$2:C$1005,MATCH($E462,Establishment!$A$2:$A$1005,0))</f>
        <v xml:space="preserve"> </v>
      </c>
      <c r="M462">
        <f t="shared" si="41"/>
        <v>0</v>
      </c>
      <c r="N462">
        <f t="shared" si="39"/>
        <v>0</v>
      </c>
      <c r="P462" t="e">
        <f>INDEX(Items!B$2:B$1032,MATCH($O462,Items!$A$2:$A$1032,0))</f>
        <v>#N/A</v>
      </c>
      <c r="Q462" t="e">
        <f>INDEX(Items!C$2:C$1032,MATCH($O462,Items!$A$2:$A$1032,0))</f>
        <v>#N/A</v>
      </c>
      <c r="R462" t="e">
        <f>INDEX(Items!D$2:D$1032,MATCH($O462,Items!$A$2:$A$1032,0))</f>
        <v>#N/A</v>
      </c>
    </row>
    <row r="463" spans="1:18" x14ac:dyDescent="0.25">
      <c r="A463">
        <f t="shared" si="37"/>
        <v>1</v>
      </c>
      <c r="B463" t="str">
        <f t="shared" si="38"/>
        <v/>
      </c>
      <c r="C463">
        <f t="shared" si="40"/>
        <v>1</v>
      </c>
      <c r="D463" s="4"/>
      <c r="E463" t="s">
        <v>18</v>
      </c>
      <c r="F463" t="str">
        <f>INDEX(Establishment!B$2:B$1005,MATCH($E463,Establishment!$A$2:$A$1005,0))</f>
        <v xml:space="preserve"> </v>
      </c>
      <c r="G463" t="str">
        <f>INDEX(Establishment!C$2:C$1005,MATCH($E463,Establishment!$A$2:$A$1005,0))</f>
        <v xml:space="preserve"> </v>
      </c>
      <c r="M463">
        <f t="shared" si="41"/>
        <v>0</v>
      </c>
      <c r="N463">
        <f t="shared" si="39"/>
        <v>0</v>
      </c>
      <c r="P463" t="e">
        <f>INDEX(Items!B$2:B$1032,MATCH($O463,Items!$A$2:$A$1032,0))</f>
        <v>#N/A</v>
      </c>
      <c r="Q463" t="e">
        <f>INDEX(Items!C$2:C$1032,MATCH($O463,Items!$A$2:$A$1032,0))</f>
        <v>#N/A</v>
      </c>
      <c r="R463" t="e">
        <f>INDEX(Items!D$2:D$1032,MATCH($O463,Items!$A$2:$A$1032,0))</f>
        <v>#N/A</v>
      </c>
    </row>
    <row r="464" spans="1:18" x14ac:dyDescent="0.25">
      <c r="A464">
        <f t="shared" si="37"/>
        <v>1</v>
      </c>
      <c r="B464" t="str">
        <f t="shared" si="38"/>
        <v/>
      </c>
      <c r="C464">
        <f t="shared" si="40"/>
        <v>1</v>
      </c>
      <c r="D464" s="4"/>
      <c r="E464" t="s">
        <v>18</v>
      </c>
      <c r="F464" t="str">
        <f>INDEX(Establishment!B$2:B$1005,MATCH($E464,Establishment!$A$2:$A$1005,0))</f>
        <v xml:space="preserve"> </v>
      </c>
      <c r="G464" t="str">
        <f>INDEX(Establishment!C$2:C$1005,MATCH($E464,Establishment!$A$2:$A$1005,0))</f>
        <v xml:space="preserve"> </v>
      </c>
      <c r="M464">
        <f t="shared" si="41"/>
        <v>0</v>
      </c>
      <c r="N464">
        <f t="shared" si="39"/>
        <v>0</v>
      </c>
      <c r="P464" t="e">
        <f>INDEX(Items!B$2:B$1032,MATCH($O464,Items!$A$2:$A$1032,0))</f>
        <v>#N/A</v>
      </c>
      <c r="Q464" t="e">
        <f>INDEX(Items!C$2:C$1032,MATCH($O464,Items!$A$2:$A$1032,0))</f>
        <v>#N/A</v>
      </c>
      <c r="R464" t="e">
        <f>INDEX(Items!D$2:D$1032,MATCH($O464,Items!$A$2:$A$1032,0))</f>
        <v>#N/A</v>
      </c>
    </row>
    <row r="465" spans="1:18" x14ac:dyDescent="0.25">
      <c r="A465">
        <f t="shared" si="37"/>
        <v>1</v>
      </c>
      <c r="B465" t="str">
        <f t="shared" si="38"/>
        <v/>
      </c>
      <c r="C465">
        <f t="shared" si="40"/>
        <v>1</v>
      </c>
      <c r="D465" s="4"/>
      <c r="E465" t="s">
        <v>18</v>
      </c>
      <c r="F465" t="str">
        <f>INDEX(Establishment!B$2:B$1005,MATCH($E465,Establishment!$A$2:$A$1005,0))</f>
        <v xml:space="preserve"> </v>
      </c>
      <c r="G465" t="str">
        <f>INDEX(Establishment!C$2:C$1005,MATCH($E465,Establishment!$A$2:$A$1005,0))</f>
        <v xml:space="preserve"> </v>
      </c>
      <c r="M465">
        <f t="shared" si="41"/>
        <v>0</v>
      </c>
      <c r="N465">
        <f t="shared" si="39"/>
        <v>0</v>
      </c>
      <c r="P465" t="e">
        <f>INDEX(Items!B$2:B$1032,MATCH($O465,Items!$A$2:$A$1032,0))</f>
        <v>#N/A</v>
      </c>
      <c r="Q465" t="e">
        <f>INDEX(Items!C$2:C$1032,MATCH($O465,Items!$A$2:$A$1032,0))</f>
        <v>#N/A</v>
      </c>
      <c r="R465" t="e">
        <f>INDEX(Items!D$2:D$1032,MATCH($O465,Items!$A$2:$A$1032,0))</f>
        <v>#N/A</v>
      </c>
    </row>
    <row r="466" spans="1:18" x14ac:dyDescent="0.25">
      <c r="A466">
        <f t="shared" si="37"/>
        <v>1</v>
      </c>
      <c r="B466" t="str">
        <f t="shared" si="38"/>
        <v/>
      </c>
      <c r="C466">
        <f t="shared" si="40"/>
        <v>1</v>
      </c>
      <c r="D466" s="4"/>
      <c r="E466" t="s">
        <v>18</v>
      </c>
      <c r="F466" t="str">
        <f>INDEX(Establishment!B$2:B$1005,MATCH($E466,Establishment!$A$2:$A$1005,0))</f>
        <v xml:space="preserve"> </v>
      </c>
      <c r="G466" t="str">
        <f>INDEX(Establishment!C$2:C$1005,MATCH($E466,Establishment!$A$2:$A$1005,0))</f>
        <v xml:space="preserve"> </v>
      </c>
      <c r="M466">
        <f t="shared" si="41"/>
        <v>0</v>
      </c>
      <c r="N466">
        <f t="shared" si="39"/>
        <v>0</v>
      </c>
      <c r="P466" t="e">
        <f>INDEX(Items!B$2:B$1032,MATCH($O466,Items!$A$2:$A$1032,0))</f>
        <v>#N/A</v>
      </c>
      <c r="Q466" t="e">
        <f>INDEX(Items!C$2:C$1032,MATCH($O466,Items!$A$2:$A$1032,0))</f>
        <v>#N/A</v>
      </c>
      <c r="R466" t="e">
        <f>INDEX(Items!D$2:D$1032,MATCH($O466,Items!$A$2:$A$1032,0))</f>
        <v>#N/A</v>
      </c>
    </row>
    <row r="467" spans="1:18" x14ac:dyDescent="0.25">
      <c r="A467">
        <f t="shared" si="37"/>
        <v>1</v>
      </c>
      <c r="B467" t="str">
        <f t="shared" si="38"/>
        <v/>
      </c>
      <c r="C467">
        <f t="shared" si="40"/>
        <v>1</v>
      </c>
      <c r="D467" s="4"/>
      <c r="E467" t="s">
        <v>18</v>
      </c>
      <c r="F467" t="str">
        <f>INDEX(Establishment!B$2:B$1005,MATCH($E467,Establishment!$A$2:$A$1005,0))</f>
        <v xml:space="preserve"> </v>
      </c>
      <c r="G467" t="str">
        <f>INDEX(Establishment!C$2:C$1005,MATCH($E467,Establishment!$A$2:$A$1005,0))</f>
        <v xml:space="preserve"> </v>
      </c>
      <c r="M467">
        <f t="shared" si="41"/>
        <v>0</v>
      </c>
      <c r="N467">
        <f t="shared" si="39"/>
        <v>0</v>
      </c>
      <c r="P467" t="e">
        <f>INDEX(Items!B$2:B$1032,MATCH($O467,Items!$A$2:$A$1032,0))</f>
        <v>#N/A</v>
      </c>
      <c r="Q467" t="e">
        <f>INDEX(Items!C$2:C$1032,MATCH($O467,Items!$A$2:$A$1032,0))</f>
        <v>#N/A</v>
      </c>
      <c r="R467" t="e">
        <f>INDEX(Items!D$2:D$1032,MATCH($O467,Items!$A$2:$A$1032,0))</f>
        <v>#N/A</v>
      </c>
    </row>
    <row r="468" spans="1:18" x14ac:dyDescent="0.25">
      <c r="A468">
        <f t="shared" si="37"/>
        <v>1</v>
      </c>
      <c r="B468" t="str">
        <f t="shared" si="38"/>
        <v/>
      </c>
      <c r="C468">
        <f t="shared" si="40"/>
        <v>1</v>
      </c>
      <c r="D468" s="4"/>
      <c r="E468" t="s">
        <v>18</v>
      </c>
      <c r="F468" t="str">
        <f>INDEX(Establishment!B$2:B$1005,MATCH($E468,Establishment!$A$2:$A$1005,0))</f>
        <v xml:space="preserve"> </v>
      </c>
      <c r="G468" t="str">
        <f>INDEX(Establishment!C$2:C$1005,MATCH($E468,Establishment!$A$2:$A$1005,0))</f>
        <v xml:space="preserve"> </v>
      </c>
      <c r="M468">
        <f t="shared" si="41"/>
        <v>0</v>
      </c>
      <c r="N468">
        <f t="shared" si="39"/>
        <v>0</v>
      </c>
      <c r="P468" t="e">
        <f>INDEX(Items!B$2:B$1032,MATCH($O468,Items!$A$2:$A$1032,0))</f>
        <v>#N/A</v>
      </c>
      <c r="Q468" t="e">
        <f>INDEX(Items!C$2:C$1032,MATCH($O468,Items!$A$2:$A$1032,0))</f>
        <v>#N/A</v>
      </c>
      <c r="R468" t="e">
        <f>INDEX(Items!D$2:D$1032,MATCH($O468,Items!$A$2:$A$1032,0))</f>
        <v>#N/A</v>
      </c>
    </row>
    <row r="469" spans="1:18" x14ac:dyDescent="0.25">
      <c r="A469">
        <f t="shared" si="37"/>
        <v>1</v>
      </c>
      <c r="B469" t="str">
        <f t="shared" si="38"/>
        <v/>
      </c>
      <c r="C469">
        <f t="shared" si="40"/>
        <v>1</v>
      </c>
      <c r="D469" s="4"/>
      <c r="E469" t="s">
        <v>18</v>
      </c>
      <c r="F469" t="str">
        <f>INDEX(Establishment!B$2:B$1005,MATCH($E469,Establishment!$A$2:$A$1005,0))</f>
        <v xml:space="preserve"> </v>
      </c>
      <c r="G469" t="str">
        <f>INDEX(Establishment!C$2:C$1005,MATCH($E469,Establishment!$A$2:$A$1005,0))</f>
        <v xml:space="preserve"> </v>
      </c>
      <c r="M469">
        <f t="shared" si="41"/>
        <v>0</v>
      </c>
      <c r="N469">
        <f t="shared" si="39"/>
        <v>0</v>
      </c>
      <c r="P469" t="e">
        <f>INDEX(Items!B$2:B$1032,MATCH($O469,Items!$A$2:$A$1032,0))</f>
        <v>#N/A</v>
      </c>
      <c r="Q469" t="e">
        <f>INDEX(Items!C$2:C$1032,MATCH($O469,Items!$A$2:$A$1032,0))</f>
        <v>#N/A</v>
      </c>
      <c r="R469" t="e">
        <f>INDEX(Items!D$2:D$1032,MATCH($O469,Items!$A$2:$A$1032,0))</f>
        <v>#N/A</v>
      </c>
    </row>
    <row r="470" spans="1:18" x14ac:dyDescent="0.25">
      <c r="A470">
        <f t="shared" si="37"/>
        <v>1</v>
      </c>
      <c r="B470" t="str">
        <f t="shared" si="38"/>
        <v/>
      </c>
      <c r="C470">
        <f t="shared" si="40"/>
        <v>1</v>
      </c>
      <c r="D470" s="4"/>
      <c r="E470" t="s">
        <v>18</v>
      </c>
      <c r="F470" t="str">
        <f>INDEX(Establishment!B$2:B$1005,MATCH($E470,Establishment!$A$2:$A$1005,0))</f>
        <v xml:space="preserve"> </v>
      </c>
      <c r="G470" t="str">
        <f>INDEX(Establishment!C$2:C$1005,MATCH($E470,Establishment!$A$2:$A$1005,0))</f>
        <v xml:space="preserve"> </v>
      </c>
      <c r="M470">
        <f t="shared" si="41"/>
        <v>0</v>
      </c>
      <c r="N470">
        <f t="shared" si="39"/>
        <v>0</v>
      </c>
      <c r="P470" t="e">
        <f>INDEX(Items!B$2:B$1032,MATCH($O470,Items!$A$2:$A$1032,0))</f>
        <v>#N/A</v>
      </c>
      <c r="Q470" t="e">
        <f>INDEX(Items!C$2:C$1032,MATCH($O470,Items!$A$2:$A$1032,0))</f>
        <v>#N/A</v>
      </c>
      <c r="R470" t="e">
        <f>INDEX(Items!D$2:D$1032,MATCH($O470,Items!$A$2:$A$1032,0))</f>
        <v>#N/A</v>
      </c>
    </row>
    <row r="471" spans="1:18" x14ac:dyDescent="0.25">
      <c r="A471">
        <f t="shared" si="37"/>
        <v>1</v>
      </c>
      <c r="B471" t="str">
        <f t="shared" si="38"/>
        <v/>
      </c>
      <c r="C471">
        <f t="shared" si="40"/>
        <v>1</v>
      </c>
      <c r="D471" s="4"/>
      <c r="E471" t="s">
        <v>18</v>
      </c>
      <c r="F471" t="str">
        <f>INDEX(Establishment!B$2:B$1005,MATCH($E471,Establishment!$A$2:$A$1005,0))</f>
        <v xml:space="preserve"> </v>
      </c>
      <c r="G471" t="str">
        <f>INDEX(Establishment!C$2:C$1005,MATCH($E471,Establishment!$A$2:$A$1005,0))</f>
        <v xml:space="preserve"> </v>
      </c>
      <c r="M471">
        <f t="shared" si="41"/>
        <v>0</v>
      </c>
      <c r="N471">
        <f t="shared" si="39"/>
        <v>0</v>
      </c>
      <c r="P471" t="e">
        <f>INDEX(Items!B$2:B$1032,MATCH($O471,Items!$A$2:$A$1032,0))</f>
        <v>#N/A</v>
      </c>
      <c r="Q471" t="e">
        <f>INDEX(Items!C$2:C$1032,MATCH($O471,Items!$A$2:$A$1032,0))</f>
        <v>#N/A</v>
      </c>
      <c r="R471" t="e">
        <f>INDEX(Items!D$2:D$1032,MATCH($O471,Items!$A$2:$A$1032,0))</f>
        <v>#N/A</v>
      </c>
    </row>
    <row r="472" spans="1:18" x14ac:dyDescent="0.25">
      <c r="A472">
        <f t="shared" si="37"/>
        <v>1</v>
      </c>
      <c r="B472" t="str">
        <f t="shared" si="38"/>
        <v/>
      </c>
      <c r="C472">
        <f t="shared" si="40"/>
        <v>1</v>
      </c>
      <c r="D472" s="4"/>
      <c r="E472" t="s">
        <v>18</v>
      </c>
      <c r="F472" t="str">
        <f>INDEX(Establishment!B$2:B$1005,MATCH($E472,Establishment!$A$2:$A$1005,0))</f>
        <v xml:space="preserve"> </v>
      </c>
      <c r="G472" t="str">
        <f>INDEX(Establishment!C$2:C$1005,MATCH($E472,Establishment!$A$2:$A$1005,0))</f>
        <v xml:space="preserve"> </v>
      </c>
      <c r="M472">
        <f t="shared" si="41"/>
        <v>0</v>
      </c>
      <c r="N472">
        <f t="shared" si="39"/>
        <v>0</v>
      </c>
      <c r="P472" t="e">
        <f>INDEX(Items!B$2:B$1032,MATCH($O472,Items!$A$2:$A$1032,0))</f>
        <v>#N/A</v>
      </c>
      <c r="Q472" t="e">
        <f>INDEX(Items!C$2:C$1032,MATCH($O472,Items!$A$2:$A$1032,0))</f>
        <v>#N/A</v>
      </c>
      <c r="R472" t="e">
        <f>INDEX(Items!D$2:D$1032,MATCH($O472,Items!$A$2:$A$1032,0))</f>
        <v>#N/A</v>
      </c>
    </row>
    <row r="473" spans="1:18" x14ac:dyDescent="0.25">
      <c r="A473">
        <f t="shared" si="37"/>
        <v>1</v>
      </c>
      <c r="B473" t="str">
        <f t="shared" si="38"/>
        <v/>
      </c>
      <c r="C473">
        <f t="shared" si="40"/>
        <v>1</v>
      </c>
      <c r="D473" s="4"/>
      <c r="E473" t="s">
        <v>18</v>
      </c>
      <c r="F473" t="str">
        <f>INDEX(Establishment!B$2:B$1005,MATCH($E473,Establishment!$A$2:$A$1005,0))</f>
        <v xml:space="preserve"> </v>
      </c>
      <c r="G473" t="str">
        <f>INDEX(Establishment!C$2:C$1005,MATCH($E473,Establishment!$A$2:$A$1005,0))</f>
        <v xml:space="preserve"> </v>
      </c>
      <c r="M473">
        <f t="shared" si="41"/>
        <v>0</v>
      </c>
      <c r="N473">
        <f t="shared" si="39"/>
        <v>0</v>
      </c>
      <c r="P473" t="e">
        <f>INDEX(Items!B$2:B$1032,MATCH($O473,Items!$A$2:$A$1032,0))</f>
        <v>#N/A</v>
      </c>
      <c r="Q473" t="e">
        <f>INDEX(Items!C$2:C$1032,MATCH($O473,Items!$A$2:$A$1032,0))</f>
        <v>#N/A</v>
      </c>
      <c r="R473" t="e">
        <f>INDEX(Items!D$2:D$1032,MATCH($O473,Items!$A$2:$A$1032,0))</f>
        <v>#N/A</v>
      </c>
    </row>
    <row r="474" spans="1:18" x14ac:dyDescent="0.25">
      <c r="A474">
        <f t="shared" si="37"/>
        <v>1</v>
      </c>
      <c r="B474" t="str">
        <f t="shared" si="38"/>
        <v/>
      </c>
      <c r="C474">
        <f t="shared" si="40"/>
        <v>1</v>
      </c>
      <c r="D474" s="4"/>
      <c r="E474" t="s">
        <v>18</v>
      </c>
      <c r="F474" t="str">
        <f>INDEX(Establishment!B$2:B$1005,MATCH($E474,Establishment!$A$2:$A$1005,0))</f>
        <v xml:space="preserve"> </v>
      </c>
      <c r="G474" t="str">
        <f>INDEX(Establishment!C$2:C$1005,MATCH($E474,Establishment!$A$2:$A$1005,0))</f>
        <v xml:space="preserve"> </v>
      </c>
      <c r="M474">
        <f t="shared" si="41"/>
        <v>0</v>
      </c>
      <c r="N474">
        <f t="shared" si="39"/>
        <v>0</v>
      </c>
      <c r="P474" t="e">
        <f>INDEX(Items!B$2:B$1032,MATCH($O474,Items!$A$2:$A$1032,0))</f>
        <v>#N/A</v>
      </c>
      <c r="Q474" t="e">
        <f>INDEX(Items!C$2:C$1032,MATCH($O474,Items!$A$2:$A$1032,0))</f>
        <v>#N/A</v>
      </c>
      <c r="R474" t="e">
        <f>INDEX(Items!D$2:D$1032,MATCH($O474,Items!$A$2:$A$1032,0))</f>
        <v>#N/A</v>
      </c>
    </row>
    <row r="475" spans="1:18" x14ac:dyDescent="0.25">
      <c r="A475">
        <f t="shared" si="37"/>
        <v>1</v>
      </c>
      <c r="B475" t="str">
        <f t="shared" si="38"/>
        <v/>
      </c>
      <c r="C475">
        <f t="shared" si="40"/>
        <v>1</v>
      </c>
      <c r="D475" s="4"/>
      <c r="E475" t="s">
        <v>18</v>
      </c>
      <c r="F475" t="str">
        <f>INDEX(Establishment!B$2:B$1005,MATCH($E475,Establishment!$A$2:$A$1005,0))</f>
        <v xml:space="preserve"> </v>
      </c>
      <c r="G475" t="str">
        <f>INDEX(Establishment!C$2:C$1005,MATCH($E475,Establishment!$A$2:$A$1005,0))</f>
        <v xml:space="preserve"> </v>
      </c>
      <c r="M475">
        <f t="shared" si="41"/>
        <v>0</v>
      </c>
      <c r="N475">
        <f t="shared" si="39"/>
        <v>0</v>
      </c>
      <c r="P475" t="e">
        <f>INDEX(Items!B$2:B$1032,MATCH($O475,Items!$A$2:$A$1032,0))</f>
        <v>#N/A</v>
      </c>
      <c r="Q475" t="e">
        <f>INDEX(Items!C$2:C$1032,MATCH($O475,Items!$A$2:$A$1032,0))</f>
        <v>#N/A</v>
      </c>
      <c r="R475" t="e">
        <f>INDEX(Items!D$2:D$1032,MATCH($O475,Items!$A$2:$A$1032,0))</f>
        <v>#N/A</v>
      </c>
    </row>
    <row r="476" spans="1:18" x14ac:dyDescent="0.25">
      <c r="A476">
        <f t="shared" si="37"/>
        <v>1</v>
      </c>
      <c r="B476" t="str">
        <f t="shared" si="38"/>
        <v/>
      </c>
      <c r="C476">
        <f t="shared" si="40"/>
        <v>1</v>
      </c>
      <c r="D476" s="4"/>
      <c r="E476" t="s">
        <v>18</v>
      </c>
      <c r="F476" t="str">
        <f>INDEX(Establishment!B$2:B$1005,MATCH($E476,Establishment!$A$2:$A$1005,0))</f>
        <v xml:space="preserve"> </v>
      </c>
      <c r="G476" t="str">
        <f>INDEX(Establishment!C$2:C$1005,MATCH($E476,Establishment!$A$2:$A$1005,0))</f>
        <v xml:space="preserve"> </v>
      </c>
      <c r="M476">
        <f t="shared" si="41"/>
        <v>0</v>
      </c>
      <c r="N476">
        <f t="shared" si="39"/>
        <v>0</v>
      </c>
      <c r="P476" t="e">
        <f>INDEX(Items!B$2:B$1032,MATCH($O476,Items!$A$2:$A$1032,0))</f>
        <v>#N/A</v>
      </c>
      <c r="Q476" t="e">
        <f>INDEX(Items!C$2:C$1032,MATCH($O476,Items!$A$2:$A$1032,0))</f>
        <v>#N/A</v>
      </c>
      <c r="R476" t="e">
        <f>INDEX(Items!D$2:D$1032,MATCH($O476,Items!$A$2:$A$1032,0))</f>
        <v>#N/A</v>
      </c>
    </row>
    <row r="477" spans="1:18" x14ac:dyDescent="0.25">
      <c r="A477">
        <f t="shared" si="37"/>
        <v>1</v>
      </c>
      <c r="B477" t="str">
        <f t="shared" si="38"/>
        <v/>
      </c>
      <c r="C477">
        <f t="shared" si="40"/>
        <v>1</v>
      </c>
      <c r="D477" s="4"/>
      <c r="E477" t="s">
        <v>18</v>
      </c>
      <c r="F477" t="str">
        <f>INDEX(Establishment!B$2:B$1005,MATCH($E477,Establishment!$A$2:$A$1005,0))</f>
        <v xml:space="preserve"> </v>
      </c>
      <c r="G477" t="str">
        <f>INDEX(Establishment!C$2:C$1005,MATCH($E477,Establishment!$A$2:$A$1005,0))</f>
        <v xml:space="preserve"> </v>
      </c>
      <c r="M477">
        <f t="shared" si="41"/>
        <v>0</v>
      </c>
      <c r="N477">
        <f t="shared" si="39"/>
        <v>0</v>
      </c>
      <c r="P477" t="e">
        <f>INDEX(Items!B$2:B$1032,MATCH($O477,Items!$A$2:$A$1032,0))</f>
        <v>#N/A</v>
      </c>
      <c r="Q477" t="e">
        <f>INDEX(Items!C$2:C$1032,MATCH($O477,Items!$A$2:$A$1032,0))</f>
        <v>#N/A</v>
      </c>
      <c r="R477" t="e">
        <f>INDEX(Items!D$2:D$1032,MATCH($O477,Items!$A$2:$A$1032,0))</f>
        <v>#N/A</v>
      </c>
    </row>
    <row r="478" spans="1:18" x14ac:dyDescent="0.25">
      <c r="A478">
        <f t="shared" si="37"/>
        <v>1</v>
      </c>
      <c r="B478" t="str">
        <f t="shared" si="38"/>
        <v/>
      </c>
      <c r="C478">
        <f t="shared" si="40"/>
        <v>1</v>
      </c>
      <c r="D478" s="4"/>
      <c r="E478" t="s">
        <v>18</v>
      </c>
      <c r="F478" t="str">
        <f>INDEX(Establishment!B$2:B$1005,MATCH($E478,Establishment!$A$2:$A$1005,0))</f>
        <v xml:space="preserve"> </v>
      </c>
      <c r="G478" t="str">
        <f>INDEX(Establishment!C$2:C$1005,MATCH($E478,Establishment!$A$2:$A$1005,0))</f>
        <v xml:space="preserve"> </v>
      </c>
      <c r="M478">
        <f t="shared" si="41"/>
        <v>0</v>
      </c>
      <c r="N478">
        <f t="shared" si="39"/>
        <v>0</v>
      </c>
      <c r="P478" t="e">
        <f>INDEX(Items!B$2:B$1032,MATCH($O478,Items!$A$2:$A$1032,0))</f>
        <v>#N/A</v>
      </c>
      <c r="Q478" t="e">
        <f>INDEX(Items!C$2:C$1032,MATCH($O478,Items!$A$2:$A$1032,0))</f>
        <v>#N/A</v>
      </c>
      <c r="R478" t="e">
        <f>INDEX(Items!D$2:D$1032,MATCH($O478,Items!$A$2:$A$1032,0))</f>
        <v>#N/A</v>
      </c>
    </row>
    <row r="479" spans="1:18" x14ac:dyDescent="0.25">
      <c r="A479">
        <f t="shared" si="37"/>
        <v>1</v>
      </c>
      <c r="B479" t="str">
        <f t="shared" si="38"/>
        <v/>
      </c>
      <c r="C479">
        <f t="shared" si="40"/>
        <v>1</v>
      </c>
      <c r="D479" s="4"/>
      <c r="E479" t="s">
        <v>18</v>
      </c>
      <c r="F479" t="str">
        <f>INDEX(Establishment!B$2:B$1005,MATCH($E479,Establishment!$A$2:$A$1005,0))</f>
        <v xml:space="preserve"> </v>
      </c>
      <c r="G479" t="str">
        <f>INDEX(Establishment!C$2:C$1005,MATCH($E479,Establishment!$A$2:$A$1005,0))</f>
        <v xml:space="preserve"> </v>
      </c>
      <c r="M479">
        <f t="shared" si="41"/>
        <v>0</v>
      </c>
      <c r="N479">
        <f t="shared" si="39"/>
        <v>0</v>
      </c>
      <c r="P479" t="e">
        <f>INDEX(Items!B$2:B$1032,MATCH($O479,Items!$A$2:$A$1032,0))</f>
        <v>#N/A</v>
      </c>
      <c r="Q479" t="e">
        <f>INDEX(Items!C$2:C$1032,MATCH($O479,Items!$A$2:$A$1032,0))</f>
        <v>#N/A</v>
      </c>
      <c r="R479" t="e">
        <f>INDEX(Items!D$2:D$1032,MATCH($O479,Items!$A$2:$A$1032,0))</f>
        <v>#N/A</v>
      </c>
    </row>
    <row r="480" spans="1:18" x14ac:dyDescent="0.25">
      <c r="A480">
        <f t="shared" si="37"/>
        <v>1</v>
      </c>
      <c r="B480" t="str">
        <f t="shared" si="38"/>
        <v/>
      </c>
      <c r="C480">
        <f t="shared" si="40"/>
        <v>1</v>
      </c>
      <c r="D480" s="4"/>
      <c r="E480" t="s">
        <v>18</v>
      </c>
      <c r="F480" t="str">
        <f>INDEX(Establishment!B$2:B$1005,MATCH($E480,Establishment!$A$2:$A$1005,0))</f>
        <v xml:space="preserve"> </v>
      </c>
      <c r="G480" t="str">
        <f>INDEX(Establishment!C$2:C$1005,MATCH($E480,Establishment!$A$2:$A$1005,0))</f>
        <v xml:space="preserve"> </v>
      </c>
      <c r="M480">
        <f t="shared" si="41"/>
        <v>0</v>
      </c>
      <c r="N480">
        <f t="shared" si="39"/>
        <v>0</v>
      </c>
      <c r="P480" t="e">
        <f>INDEX(Items!B$2:B$1032,MATCH($O480,Items!$A$2:$A$1032,0))</f>
        <v>#N/A</v>
      </c>
      <c r="Q480" t="e">
        <f>INDEX(Items!C$2:C$1032,MATCH($O480,Items!$A$2:$A$1032,0))</f>
        <v>#N/A</v>
      </c>
      <c r="R480" t="e">
        <f>INDEX(Items!D$2:D$1032,MATCH($O480,Items!$A$2:$A$1032,0))</f>
        <v>#N/A</v>
      </c>
    </row>
    <row r="481" spans="1:18" x14ac:dyDescent="0.25">
      <c r="A481">
        <f t="shared" si="37"/>
        <v>1</v>
      </c>
      <c r="B481" t="str">
        <f t="shared" si="38"/>
        <v/>
      </c>
      <c r="C481">
        <f t="shared" si="40"/>
        <v>1</v>
      </c>
      <c r="D481" s="4"/>
      <c r="E481" t="s">
        <v>18</v>
      </c>
      <c r="F481" t="str">
        <f>INDEX(Establishment!B$2:B$1005,MATCH($E481,Establishment!$A$2:$A$1005,0))</f>
        <v xml:space="preserve"> </v>
      </c>
      <c r="G481" t="str">
        <f>INDEX(Establishment!C$2:C$1005,MATCH($E481,Establishment!$A$2:$A$1005,0))</f>
        <v xml:space="preserve"> </v>
      </c>
      <c r="M481">
        <f t="shared" si="41"/>
        <v>0</v>
      </c>
      <c r="N481">
        <f t="shared" si="39"/>
        <v>0</v>
      </c>
      <c r="P481" t="e">
        <f>INDEX(Items!B$2:B$1032,MATCH($O481,Items!$A$2:$A$1032,0))</f>
        <v>#N/A</v>
      </c>
      <c r="Q481" t="e">
        <f>INDEX(Items!C$2:C$1032,MATCH($O481,Items!$A$2:$A$1032,0))</f>
        <v>#N/A</v>
      </c>
      <c r="R481" t="e">
        <f>INDEX(Items!D$2:D$1032,MATCH($O481,Items!$A$2:$A$1032,0))</f>
        <v>#N/A</v>
      </c>
    </row>
    <row r="482" spans="1:18" x14ac:dyDescent="0.25">
      <c r="A482">
        <f t="shared" si="37"/>
        <v>1</v>
      </c>
      <c r="B482" t="str">
        <f t="shared" si="38"/>
        <v/>
      </c>
      <c r="C482">
        <f t="shared" si="40"/>
        <v>1</v>
      </c>
      <c r="D482" s="4"/>
      <c r="E482" t="s">
        <v>18</v>
      </c>
      <c r="F482" t="str">
        <f>INDEX(Establishment!B$2:B$1005,MATCH($E482,Establishment!$A$2:$A$1005,0))</f>
        <v xml:space="preserve"> </v>
      </c>
      <c r="G482" t="str">
        <f>INDEX(Establishment!C$2:C$1005,MATCH($E482,Establishment!$A$2:$A$1005,0))</f>
        <v xml:space="preserve"> </v>
      </c>
      <c r="M482">
        <f t="shared" si="41"/>
        <v>0</v>
      </c>
      <c r="N482">
        <f t="shared" si="39"/>
        <v>0</v>
      </c>
      <c r="P482" t="e">
        <f>INDEX(Items!B$2:B$1032,MATCH($O482,Items!$A$2:$A$1032,0))</f>
        <v>#N/A</v>
      </c>
      <c r="Q482" t="e">
        <f>INDEX(Items!C$2:C$1032,MATCH($O482,Items!$A$2:$A$1032,0))</f>
        <v>#N/A</v>
      </c>
      <c r="R482" t="e">
        <f>INDEX(Items!D$2:D$1032,MATCH($O482,Items!$A$2:$A$1032,0))</f>
        <v>#N/A</v>
      </c>
    </row>
    <row r="483" spans="1:18" x14ac:dyDescent="0.25">
      <c r="A483">
        <f t="shared" si="37"/>
        <v>1</v>
      </c>
      <c r="B483" t="str">
        <f t="shared" si="38"/>
        <v/>
      </c>
      <c r="C483">
        <f t="shared" si="40"/>
        <v>1</v>
      </c>
      <c r="D483" s="4"/>
      <c r="E483" t="s">
        <v>18</v>
      </c>
      <c r="F483" t="str">
        <f>INDEX(Establishment!B$2:B$1005,MATCH($E483,Establishment!$A$2:$A$1005,0))</f>
        <v xml:space="preserve"> </v>
      </c>
      <c r="G483" t="str">
        <f>INDEX(Establishment!C$2:C$1005,MATCH($E483,Establishment!$A$2:$A$1005,0))</f>
        <v xml:space="preserve"> </v>
      </c>
      <c r="M483">
        <f t="shared" si="41"/>
        <v>0</v>
      </c>
      <c r="N483">
        <f t="shared" si="39"/>
        <v>0</v>
      </c>
      <c r="P483" t="e">
        <f>INDEX(Items!B$2:B$1032,MATCH($O483,Items!$A$2:$A$1032,0))</f>
        <v>#N/A</v>
      </c>
      <c r="Q483" t="e">
        <f>INDEX(Items!C$2:C$1032,MATCH($O483,Items!$A$2:$A$1032,0))</f>
        <v>#N/A</v>
      </c>
      <c r="R483" t="e">
        <f>INDEX(Items!D$2:D$1032,MATCH($O483,Items!$A$2:$A$1032,0))</f>
        <v>#N/A</v>
      </c>
    </row>
    <row r="484" spans="1:18" x14ac:dyDescent="0.25">
      <c r="A484">
        <f t="shared" si="37"/>
        <v>1</v>
      </c>
      <c r="B484" t="str">
        <f t="shared" si="38"/>
        <v/>
      </c>
      <c r="C484">
        <f t="shared" si="40"/>
        <v>1</v>
      </c>
      <c r="D484" s="4"/>
      <c r="E484" t="s">
        <v>18</v>
      </c>
      <c r="F484" t="str">
        <f>INDEX(Establishment!B$2:B$1005,MATCH($E484,Establishment!$A$2:$A$1005,0))</f>
        <v xml:space="preserve"> </v>
      </c>
      <c r="G484" t="str">
        <f>INDEX(Establishment!C$2:C$1005,MATCH($E484,Establishment!$A$2:$A$1005,0))</f>
        <v xml:space="preserve"> </v>
      </c>
      <c r="M484">
        <f t="shared" si="41"/>
        <v>0</v>
      </c>
      <c r="N484">
        <f t="shared" si="39"/>
        <v>0</v>
      </c>
      <c r="P484" t="e">
        <f>INDEX(Items!B$2:B$1032,MATCH($O484,Items!$A$2:$A$1032,0))</f>
        <v>#N/A</v>
      </c>
      <c r="Q484" t="e">
        <f>INDEX(Items!C$2:C$1032,MATCH($O484,Items!$A$2:$A$1032,0))</f>
        <v>#N/A</v>
      </c>
      <c r="R484" t="e">
        <f>INDEX(Items!D$2:D$1032,MATCH($O484,Items!$A$2:$A$1032,0))</f>
        <v>#N/A</v>
      </c>
    </row>
    <row r="485" spans="1:18" x14ac:dyDescent="0.25">
      <c r="A485">
        <f t="shared" si="37"/>
        <v>1</v>
      </c>
      <c r="B485" t="str">
        <f t="shared" si="38"/>
        <v/>
      </c>
      <c r="C485">
        <f t="shared" si="40"/>
        <v>1</v>
      </c>
      <c r="D485" s="4"/>
      <c r="E485" t="s">
        <v>18</v>
      </c>
      <c r="F485" t="str">
        <f>INDEX(Establishment!B$2:B$1005,MATCH($E485,Establishment!$A$2:$A$1005,0))</f>
        <v xml:space="preserve"> </v>
      </c>
      <c r="G485" t="str">
        <f>INDEX(Establishment!C$2:C$1005,MATCH($E485,Establishment!$A$2:$A$1005,0))</f>
        <v xml:space="preserve"> </v>
      </c>
      <c r="M485">
        <f t="shared" si="41"/>
        <v>0</v>
      </c>
      <c r="N485">
        <f t="shared" si="39"/>
        <v>0</v>
      </c>
      <c r="P485" t="e">
        <f>INDEX(Items!B$2:B$1032,MATCH($O485,Items!$A$2:$A$1032,0))</f>
        <v>#N/A</v>
      </c>
      <c r="Q485" t="e">
        <f>INDEX(Items!C$2:C$1032,MATCH($O485,Items!$A$2:$A$1032,0))</f>
        <v>#N/A</v>
      </c>
      <c r="R485" t="e">
        <f>INDEX(Items!D$2:D$1032,MATCH($O485,Items!$A$2:$A$1032,0))</f>
        <v>#N/A</v>
      </c>
    </row>
    <row r="486" spans="1:18" x14ac:dyDescent="0.25">
      <c r="A486">
        <f t="shared" si="37"/>
        <v>1</v>
      </c>
      <c r="B486" t="str">
        <f t="shared" si="38"/>
        <v/>
      </c>
      <c r="C486">
        <f t="shared" si="40"/>
        <v>1</v>
      </c>
      <c r="D486" s="4"/>
      <c r="E486" t="s">
        <v>18</v>
      </c>
      <c r="F486" t="str">
        <f>INDEX(Establishment!B$2:B$1005,MATCH($E486,Establishment!$A$2:$A$1005,0))</f>
        <v xml:space="preserve"> </v>
      </c>
      <c r="G486" t="str">
        <f>INDEX(Establishment!C$2:C$1005,MATCH($E486,Establishment!$A$2:$A$1005,0))</f>
        <v xml:space="preserve"> </v>
      </c>
      <c r="M486">
        <f t="shared" si="41"/>
        <v>0</v>
      </c>
      <c r="N486">
        <f t="shared" si="39"/>
        <v>0</v>
      </c>
      <c r="P486" t="e">
        <f>INDEX(Items!B$2:B$1032,MATCH($O486,Items!$A$2:$A$1032,0))</f>
        <v>#N/A</v>
      </c>
      <c r="Q486" t="e">
        <f>INDEX(Items!C$2:C$1032,MATCH($O486,Items!$A$2:$A$1032,0))</f>
        <v>#N/A</v>
      </c>
      <c r="R486" t="e">
        <f>INDEX(Items!D$2:D$1032,MATCH($O486,Items!$A$2:$A$1032,0))</f>
        <v>#N/A</v>
      </c>
    </row>
    <row r="487" spans="1:18" x14ac:dyDescent="0.25">
      <c r="A487">
        <f t="shared" si="37"/>
        <v>1</v>
      </c>
      <c r="B487" t="str">
        <f t="shared" si="38"/>
        <v/>
      </c>
      <c r="C487">
        <f t="shared" si="40"/>
        <v>1</v>
      </c>
      <c r="D487" s="4"/>
      <c r="E487" t="s">
        <v>18</v>
      </c>
      <c r="F487" t="str">
        <f>INDEX(Establishment!B$2:B$1005,MATCH($E487,Establishment!$A$2:$A$1005,0))</f>
        <v xml:space="preserve"> </v>
      </c>
      <c r="G487" t="str">
        <f>INDEX(Establishment!C$2:C$1005,MATCH($E487,Establishment!$A$2:$A$1005,0))</f>
        <v xml:space="preserve"> </v>
      </c>
      <c r="M487">
        <f t="shared" si="41"/>
        <v>0</v>
      </c>
      <c r="N487">
        <f t="shared" si="39"/>
        <v>0</v>
      </c>
      <c r="P487" t="e">
        <f>INDEX(Items!B$2:B$1032,MATCH($O487,Items!$A$2:$A$1032,0))</f>
        <v>#N/A</v>
      </c>
      <c r="Q487" t="e">
        <f>INDEX(Items!C$2:C$1032,MATCH($O487,Items!$A$2:$A$1032,0))</f>
        <v>#N/A</v>
      </c>
      <c r="R487" t="e">
        <f>INDEX(Items!D$2:D$1032,MATCH($O487,Items!$A$2:$A$1032,0))</f>
        <v>#N/A</v>
      </c>
    </row>
    <row r="488" spans="1:18" x14ac:dyDescent="0.25">
      <c r="A488">
        <f t="shared" si="37"/>
        <v>1</v>
      </c>
      <c r="B488" t="str">
        <f t="shared" si="38"/>
        <v/>
      </c>
      <c r="C488">
        <f t="shared" si="40"/>
        <v>1</v>
      </c>
      <c r="D488" s="4"/>
      <c r="E488" t="s">
        <v>18</v>
      </c>
      <c r="F488" t="str">
        <f>INDEX(Establishment!B$2:B$1005,MATCH($E488,Establishment!$A$2:$A$1005,0))</f>
        <v xml:space="preserve"> </v>
      </c>
      <c r="G488" t="str">
        <f>INDEX(Establishment!C$2:C$1005,MATCH($E488,Establishment!$A$2:$A$1005,0))</f>
        <v xml:space="preserve"> </v>
      </c>
      <c r="M488">
        <f t="shared" si="41"/>
        <v>0</v>
      </c>
      <c r="N488">
        <f t="shared" si="39"/>
        <v>0</v>
      </c>
      <c r="P488" t="e">
        <f>INDEX(Items!B$2:B$1032,MATCH($O488,Items!$A$2:$A$1032,0))</f>
        <v>#N/A</v>
      </c>
      <c r="Q488" t="e">
        <f>INDEX(Items!C$2:C$1032,MATCH($O488,Items!$A$2:$A$1032,0))</f>
        <v>#N/A</v>
      </c>
      <c r="R488" t="e">
        <f>INDEX(Items!D$2:D$1032,MATCH($O488,Items!$A$2:$A$1032,0))</f>
        <v>#N/A</v>
      </c>
    </row>
    <row r="489" spans="1:18" x14ac:dyDescent="0.25">
      <c r="A489">
        <f t="shared" si="37"/>
        <v>1</v>
      </c>
      <c r="B489" t="str">
        <f t="shared" si="38"/>
        <v/>
      </c>
      <c r="C489">
        <f t="shared" si="40"/>
        <v>1</v>
      </c>
      <c r="D489" s="4"/>
      <c r="E489" t="s">
        <v>18</v>
      </c>
      <c r="F489" t="str">
        <f>INDEX(Establishment!B$2:B$1005,MATCH($E489,Establishment!$A$2:$A$1005,0))</f>
        <v xml:space="preserve"> </v>
      </c>
      <c r="G489" t="str">
        <f>INDEX(Establishment!C$2:C$1005,MATCH($E489,Establishment!$A$2:$A$1005,0))</f>
        <v xml:space="preserve"> </v>
      </c>
      <c r="M489">
        <f t="shared" si="41"/>
        <v>0</v>
      </c>
      <c r="N489">
        <f t="shared" si="39"/>
        <v>0</v>
      </c>
      <c r="P489" t="e">
        <f>INDEX(Items!B$2:B$1032,MATCH($O489,Items!$A$2:$A$1032,0))</f>
        <v>#N/A</v>
      </c>
      <c r="Q489" t="e">
        <f>INDEX(Items!C$2:C$1032,MATCH($O489,Items!$A$2:$A$1032,0))</f>
        <v>#N/A</v>
      </c>
      <c r="R489" t="e">
        <f>INDEX(Items!D$2:D$1032,MATCH($O489,Items!$A$2:$A$1032,0))</f>
        <v>#N/A</v>
      </c>
    </row>
    <row r="490" spans="1:18" x14ac:dyDescent="0.25">
      <c r="A490">
        <f t="shared" si="37"/>
        <v>1</v>
      </c>
      <c r="B490" t="str">
        <f t="shared" si="38"/>
        <v/>
      </c>
      <c r="C490">
        <f t="shared" si="40"/>
        <v>1</v>
      </c>
      <c r="D490" s="4"/>
      <c r="E490" t="s">
        <v>18</v>
      </c>
      <c r="F490" t="str">
        <f>INDEX(Establishment!B$2:B$1005,MATCH($E490,Establishment!$A$2:$A$1005,0))</f>
        <v xml:space="preserve"> </v>
      </c>
      <c r="G490" t="str">
        <f>INDEX(Establishment!C$2:C$1005,MATCH($E490,Establishment!$A$2:$A$1005,0))</f>
        <v xml:space="preserve"> </v>
      </c>
      <c r="M490">
        <f t="shared" si="41"/>
        <v>0</v>
      </c>
      <c r="N490">
        <f t="shared" si="39"/>
        <v>0</v>
      </c>
      <c r="P490" t="e">
        <f>INDEX(Items!B$2:B$1032,MATCH($O490,Items!$A$2:$A$1032,0))</f>
        <v>#N/A</v>
      </c>
      <c r="Q490" t="e">
        <f>INDEX(Items!C$2:C$1032,MATCH($O490,Items!$A$2:$A$1032,0))</f>
        <v>#N/A</v>
      </c>
      <c r="R490" t="e">
        <f>INDEX(Items!D$2:D$1032,MATCH($O490,Items!$A$2:$A$1032,0))</f>
        <v>#N/A</v>
      </c>
    </row>
    <row r="491" spans="1:18" x14ac:dyDescent="0.25">
      <c r="A491">
        <f t="shared" si="37"/>
        <v>1</v>
      </c>
      <c r="B491" t="str">
        <f t="shared" si="38"/>
        <v/>
      </c>
      <c r="C491">
        <f t="shared" si="40"/>
        <v>1</v>
      </c>
      <c r="D491" s="4"/>
      <c r="E491" t="s">
        <v>18</v>
      </c>
      <c r="F491" t="str">
        <f>INDEX(Establishment!B$2:B$1005,MATCH($E491,Establishment!$A$2:$A$1005,0))</f>
        <v xml:space="preserve"> </v>
      </c>
      <c r="G491" t="str">
        <f>INDEX(Establishment!C$2:C$1005,MATCH($E491,Establishment!$A$2:$A$1005,0))</f>
        <v xml:space="preserve"> </v>
      </c>
      <c r="M491">
        <f t="shared" si="41"/>
        <v>0</v>
      </c>
      <c r="N491">
        <f t="shared" si="39"/>
        <v>0</v>
      </c>
      <c r="P491" t="e">
        <f>INDEX(Items!B$2:B$1032,MATCH($O491,Items!$A$2:$A$1032,0))</f>
        <v>#N/A</v>
      </c>
      <c r="Q491" t="e">
        <f>INDEX(Items!C$2:C$1032,MATCH($O491,Items!$A$2:$A$1032,0))</f>
        <v>#N/A</v>
      </c>
      <c r="R491" t="e">
        <f>INDEX(Items!D$2:D$1032,MATCH($O491,Items!$A$2:$A$1032,0))</f>
        <v>#N/A</v>
      </c>
    </row>
    <row r="492" spans="1:18" x14ac:dyDescent="0.25">
      <c r="A492">
        <f t="shared" si="37"/>
        <v>1</v>
      </c>
      <c r="B492" t="str">
        <f t="shared" si="38"/>
        <v/>
      </c>
      <c r="C492">
        <f t="shared" si="40"/>
        <v>1</v>
      </c>
      <c r="D492" s="4"/>
      <c r="E492" t="s">
        <v>18</v>
      </c>
      <c r="F492" t="str">
        <f>INDEX(Establishment!B$2:B$1005,MATCH($E492,Establishment!$A$2:$A$1005,0))</f>
        <v xml:space="preserve"> </v>
      </c>
      <c r="G492" t="str">
        <f>INDEX(Establishment!C$2:C$1005,MATCH($E492,Establishment!$A$2:$A$1005,0))</f>
        <v xml:space="preserve"> </v>
      </c>
      <c r="M492">
        <f t="shared" si="41"/>
        <v>0</v>
      </c>
      <c r="N492">
        <f t="shared" si="39"/>
        <v>0</v>
      </c>
      <c r="P492" t="e">
        <f>INDEX(Items!B$2:B$1032,MATCH($O492,Items!$A$2:$A$1032,0))</f>
        <v>#N/A</v>
      </c>
      <c r="Q492" t="e">
        <f>INDEX(Items!C$2:C$1032,MATCH($O492,Items!$A$2:$A$1032,0))</f>
        <v>#N/A</v>
      </c>
      <c r="R492" t="e">
        <f>INDEX(Items!D$2:D$1032,MATCH($O492,Items!$A$2:$A$1032,0))</f>
        <v>#N/A</v>
      </c>
    </row>
    <row r="493" spans="1:18" x14ac:dyDescent="0.25">
      <c r="A493">
        <f t="shared" si="37"/>
        <v>1</v>
      </c>
      <c r="B493" t="str">
        <f t="shared" si="38"/>
        <v/>
      </c>
      <c r="C493">
        <f t="shared" si="40"/>
        <v>1</v>
      </c>
      <c r="D493" s="4"/>
      <c r="E493" t="s">
        <v>18</v>
      </c>
      <c r="F493" t="str">
        <f>INDEX(Establishment!B$2:B$1005,MATCH($E493,Establishment!$A$2:$A$1005,0))</f>
        <v xml:space="preserve"> </v>
      </c>
      <c r="G493" t="str">
        <f>INDEX(Establishment!C$2:C$1005,MATCH($E493,Establishment!$A$2:$A$1005,0))</f>
        <v xml:space="preserve"> </v>
      </c>
      <c r="M493">
        <f t="shared" si="41"/>
        <v>0</v>
      </c>
      <c r="N493">
        <f t="shared" si="39"/>
        <v>0</v>
      </c>
      <c r="P493" t="e">
        <f>INDEX(Items!B$2:B$1032,MATCH($O493,Items!$A$2:$A$1032,0))</f>
        <v>#N/A</v>
      </c>
      <c r="Q493" t="e">
        <f>INDEX(Items!C$2:C$1032,MATCH($O493,Items!$A$2:$A$1032,0))</f>
        <v>#N/A</v>
      </c>
      <c r="R493" t="e">
        <f>INDEX(Items!D$2:D$1032,MATCH($O493,Items!$A$2:$A$1032,0))</f>
        <v>#N/A</v>
      </c>
    </row>
    <row r="494" spans="1:18" x14ac:dyDescent="0.25">
      <c r="A494">
        <f t="shared" si="37"/>
        <v>1</v>
      </c>
      <c r="B494" t="str">
        <f t="shared" si="38"/>
        <v/>
      </c>
      <c r="C494">
        <f t="shared" si="40"/>
        <v>1</v>
      </c>
      <c r="D494" s="4"/>
      <c r="E494" t="s">
        <v>18</v>
      </c>
      <c r="F494" t="str">
        <f>INDEX(Establishment!B$2:B$1005,MATCH($E494,Establishment!$A$2:$A$1005,0))</f>
        <v xml:space="preserve"> </v>
      </c>
      <c r="G494" t="str">
        <f>INDEX(Establishment!C$2:C$1005,MATCH($E494,Establishment!$A$2:$A$1005,0))</f>
        <v xml:space="preserve"> </v>
      </c>
      <c r="M494">
        <f t="shared" si="41"/>
        <v>0</v>
      </c>
      <c r="N494">
        <f t="shared" si="39"/>
        <v>0</v>
      </c>
      <c r="P494" t="e">
        <f>INDEX(Items!B$2:B$1032,MATCH($O494,Items!$A$2:$A$1032,0))</f>
        <v>#N/A</v>
      </c>
      <c r="Q494" t="e">
        <f>INDEX(Items!C$2:C$1032,MATCH($O494,Items!$A$2:$A$1032,0))</f>
        <v>#N/A</v>
      </c>
      <c r="R494" t="e">
        <f>INDEX(Items!D$2:D$1032,MATCH($O494,Items!$A$2:$A$1032,0))</f>
        <v>#N/A</v>
      </c>
    </row>
    <row r="495" spans="1:18" x14ac:dyDescent="0.25">
      <c r="A495">
        <f t="shared" si="37"/>
        <v>1</v>
      </c>
      <c r="B495" t="str">
        <f t="shared" si="38"/>
        <v/>
      </c>
      <c r="C495">
        <f t="shared" si="40"/>
        <v>1</v>
      </c>
      <c r="D495" s="4"/>
      <c r="E495" t="s">
        <v>18</v>
      </c>
      <c r="F495" t="str">
        <f>INDEX(Establishment!B$2:B$1005,MATCH($E495,Establishment!$A$2:$A$1005,0))</f>
        <v xml:space="preserve"> </v>
      </c>
      <c r="G495" t="str">
        <f>INDEX(Establishment!C$2:C$1005,MATCH($E495,Establishment!$A$2:$A$1005,0))</f>
        <v xml:space="preserve"> </v>
      </c>
      <c r="M495">
        <f t="shared" si="41"/>
        <v>0</v>
      </c>
      <c r="N495">
        <f t="shared" si="39"/>
        <v>0</v>
      </c>
      <c r="P495" t="e">
        <f>INDEX(Items!B$2:B$1032,MATCH($O495,Items!$A$2:$A$1032,0))</f>
        <v>#N/A</v>
      </c>
      <c r="Q495" t="e">
        <f>INDEX(Items!C$2:C$1032,MATCH($O495,Items!$A$2:$A$1032,0))</f>
        <v>#N/A</v>
      </c>
      <c r="R495" t="e">
        <f>INDEX(Items!D$2:D$1032,MATCH($O495,Items!$A$2:$A$1032,0))</f>
        <v>#N/A</v>
      </c>
    </row>
    <row r="496" spans="1:18" x14ac:dyDescent="0.25">
      <c r="A496">
        <f t="shared" si="37"/>
        <v>1</v>
      </c>
      <c r="B496" t="str">
        <f t="shared" si="38"/>
        <v/>
      </c>
      <c r="C496">
        <f t="shared" si="40"/>
        <v>1</v>
      </c>
      <c r="D496" s="4"/>
      <c r="E496" t="s">
        <v>18</v>
      </c>
      <c r="F496" t="str">
        <f>INDEX(Establishment!B$2:B$1005,MATCH($E496,Establishment!$A$2:$A$1005,0))</f>
        <v xml:space="preserve"> </v>
      </c>
      <c r="G496" t="str">
        <f>INDEX(Establishment!C$2:C$1005,MATCH($E496,Establishment!$A$2:$A$1005,0))</f>
        <v xml:space="preserve"> </v>
      </c>
      <c r="M496">
        <f t="shared" si="41"/>
        <v>0</v>
      </c>
      <c r="N496">
        <f t="shared" si="39"/>
        <v>0</v>
      </c>
      <c r="P496" t="e">
        <f>INDEX(Items!B$2:B$1032,MATCH($O496,Items!$A$2:$A$1032,0))</f>
        <v>#N/A</v>
      </c>
      <c r="Q496" t="e">
        <f>INDEX(Items!C$2:C$1032,MATCH($O496,Items!$A$2:$A$1032,0))</f>
        <v>#N/A</v>
      </c>
      <c r="R496" t="e">
        <f>INDEX(Items!D$2:D$1032,MATCH($O496,Items!$A$2:$A$1032,0))</f>
        <v>#N/A</v>
      </c>
    </row>
    <row r="497" spans="1:18" x14ac:dyDescent="0.25">
      <c r="A497">
        <f t="shared" si="37"/>
        <v>1</v>
      </c>
      <c r="B497" t="str">
        <f t="shared" si="38"/>
        <v/>
      </c>
      <c r="C497">
        <f t="shared" si="40"/>
        <v>1</v>
      </c>
      <c r="D497" s="4"/>
      <c r="E497" t="s">
        <v>18</v>
      </c>
      <c r="F497" t="str">
        <f>INDEX(Establishment!B$2:B$1005,MATCH($E497,Establishment!$A$2:$A$1005,0))</f>
        <v xml:space="preserve"> </v>
      </c>
      <c r="G497" t="str">
        <f>INDEX(Establishment!C$2:C$1005,MATCH($E497,Establishment!$A$2:$A$1005,0))</f>
        <v xml:space="preserve"> </v>
      </c>
      <c r="M497">
        <f t="shared" si="41"/>
        <v>0</v>
      </c>
      <c r="N497">
        <f t="shared" si="39"/>
        <v>0</v>
      </c>
      <c r="P497" t="e">
        <f>INDEX(Items!B$2:B$1032,MATCH($O497,Items!$A$2:$A$1032,0))</f>
        <v>#N/A</v>
      </c>
      <c r="Q497" t="e">
        <f>INDEX(Items!C$2:C$1032,MATCH($O497,Items!$A$2:$A$1032,0))</f>
        <v>#N/A</v>
      </c>
      <c r="R497" t="e">
        <f>INDEX(Items!D$2:D$1032,MATCH($O497,Items!$A$2:$A$1032,0))</f>
        <v>#N/A</v>
      </c>
    </row>
    <row r="498" spans="1:18" x14ac:dyDescent="0.25">
      <c r="A498">
        <f t="shared" si="37"/>
        <v>1</v>
      </c>
      <c r="B498" t="str">
        <f t="shared" si="38"/>
        <v/>
      </c>
      <c r="C498">
        <f t="shared" si="40"/>
        <v>1</v>
      </c>
      <c r="D498" s="4"/>
      <c r="E498" t="s">
        <v>18</v>
      </c>
      <c r="F498" t="str">
        <f>INDEX(Establishment!B$2:B$1005,MATCH($E498,Establishment!$A$2:$A$1005,0))</f>
        <v xml:space="preserve"> </v>
      </c>
      <c r="G498" t="str">
        <f>INDEX(Establishment!C$2:C$1005,MATCH($E498,Establishment!$A$2:$A$1005,0))</f>
        <v xml:space="preserve"> </v>
      </c>
      <c r="M498">
        <f t="shared" si="41"/>
        <v>0</v>
      </c>
      <c r="N498">
        <f t="shared" si="39"/>
        <v>0</v>
      </c>
      <c r="P498" t="e">
        <f>INDEX(Items!B$2:B$1032,MATCH($O498,Items!$A$2:$A$1032,0))</f>
        <v>#N/A</v>
      </c>
      <c r="Q498" t="e">
        <f>INDEX(Items!C$2:C$1032,MATCH($O498,Items!$A$2:$A$1032,0))</f>
        <v>#N/A</v>
      </c>
      <c r="R498" t="e">
        <f>INDEX(Items!D$2:D$1032,MATCH($O498,Items!$A$2:$A$1032,0))</f>
        <v>#N/A</v>
      </c>
    </row>
    <row r="499" spans="1:18" x14ac:dyDescent="0.25">
      <c r="A499">
        <f t="shared" si="37"/>
        <v>1</v>
      </c>
      <c r="B499" t="str">
        <f t="shared" si="38"/>
        <v/>
      </c>
      <c r="C499">
        <f t="shared" si="40"/>
        <v>1</v>
      </c>
      <c r="D499" s="4"/>
      <c r="E499" t="s">
        <v>18</v>
      </c>
      <c r="F499" t="str">
        <f>INDEX(Establishment!B$2:B$1005,MATCH($E499,Establishment!$A$2:$A$1005,0))</f>
        <v xml:space="preserve"> </v>
      </c>
      <c r="G499" t="str">
        <f>INDEX(Establishment!C$2:C$1005,MATCH($E499,Establishment!$A$2:$A$1005,0))</f>
        <v xml:space="preserve"> </v>
      </c>
      <c r="M499">
        <f t="shared" si="41"/>
        <v>0</v>
      </c>
      <c r="N499">
        <f t="shared" si="39"/>
        <v>0</v>
      </c>
      <c r="P499" t="e">
        <f>INDEX(Items!B$2:B$1032,MATCH($O499,Items!$A$2:$A$1032,0))</f>
        <v>#N/A</v>
      </c>
      <c r="Q499" t="e">
        <f>INDEX(Items!C$2:C$1032,MATCH($O499,Items!$A$2:$A$1032,0))</f>
        <v>#N/A</v>
      </c>
      <c r="R499" t="e">
        <f>INDEX(Items!D$2:D$1032,MATCH($O499,Items!$A$2:$A$1032,0))</f>
        <v>#N/A</v>
      </c>
    </row>
  </sheetData>
  <autoFilter ref="A1:S499" xr:uid="{5F0E76B2-0B92-47EE-AE22-5D9D037037E9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C44153C6-452C-47D9-86FA-682E3F8914AA}">
          <x14:formula1>
            <xm:f>Misc!$A$2:$A$8</xm:f>
          </x14:formula1>
          <xm:sqref>H1:H1048576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E583-2CAE-438B-879D-25FBB8DC56DB}">
  <dimension ref="A1:S499"/>
  <sheetViews>
    <sheetView zoomScale="145" zoomScaleNormal="145"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bestFit="1" customWidth="1"/>
    <col min="2" max="2" width="11.140625" bestFit="1" customWidth="1"/>
    <col min="3" max="3" width="11.140625" customWidth="1"/>
    <col min="4" max="4" width="10.7109375" bestFit="1" customWidth="1"/>
    <col min="5" max="5" width="21.140625" bestFit="1" customWidth="1"/>
    <col min="6" max="6" width="13.7109375" bestFit="1" customWidth="1"/>
    <col min="7" max="7" width="9.7109375" bestFit="1" customWidth="1"/>
    <col min="8" max="8" width="13.7109375" bestFit="1" customWidth="1"/>
    <col min="9" max="9" width="8.140625" bestFit="1" customWidth="1"/>
    <col min="10" max="10" width="18.5703125" bestFit="1" customWidth="1"/>
    <col min="11" max="11" width="8.7109375" bestFit="1" customWidth="1"/>
    <col min="12" max="12" width="9.5703125" bestFit="1" customWidth="1"/>
    <col min="13" max="13" width="8.140625" bestFit="1" customWidth="1"/>
    <col min="14" max="14" width="11.140625" bestFit="1" customWidth="1"/>
    <col min="15" max="15" width="25.7109375" bestFit="1" customWidth="1"/>
    <col min="16" max="16" width="6.140625" bestFit="1" customWidth="1"/>
    <col min="17" max="17" width="12.7109375" bestFit="1" customWidth="1"/>
    <col min="18" max="18" width="7.140625" bestFit="1" customWidth="1"/>
  </cols>
  <sheetData>
    <row r="1" spans="1:19" ht="30" x14ac:dyDescent="0.25">
      <c r="A1" t="s">
        <v>0</v>
      </c>
      <c r="B1" s="2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f t="shared" ref="A2:A65" si="0">IF(OR(D2&lt;&gt;D1,D2=""),1,IF(NOT(AND(E2=E1,F2=F1,G2=G1)),A1+1,IF(OR(H2="",AND(H2&lt;&gt;"",H2&lt;&gt;H1,H1&lt;&gt;"")),A1,A1+1)))</f>
        <v>1</v>
      </c>
      <c r="B2" t="str">
        <f t="shared" ref="B2:B65" si="1">IF(D2&lt;&gt;"",TEXT(D2,"YYYYMMDD")&amp;CHAR(64+A2),"")</f>
        <v/>
      </c>
      <c r="C2">
        <f t="shared" ref="C2:C6" si="2">IF(OR(B2="",B2&lt;&gt;B10),1,C10+1)</f>
        <v>1</v>
      </c>
      <c r="D2" s="4"/>
      <c r="F2" t="e">
        <f>INDEX(Establishment!B$2:B$1005,MATCH($E2,Establishment!$A$2:$A$1005,0))</f>
        <v>#N/A</v>
      </c>
      <c r="G2" t="e">
        <f>INDEX(Establishment!C$2:C$1005,MATCH($E2,Establishment!$A$2:$A$1005,0))</f>
        <v>#N/A</v>
      </c>
      <c r="M2">
        <f t="shared" ref="M2:M6" si="3">K2*L2</f>
        <v>0</v>
      </c>
      <c r="N2">
        <f>IF(B2=B1,N1+M2,M2)</f>
        <v>0</v>
      </c>
      <c r="P2" t="e">
        <f>INDEX(Items!B$2:B$1032,MATCH($O2,Items!$A$2:$A$1032,0))</f>
        <v>#N/A</v>
      </c>
      <c r="Q2" t="e">
        <f>INDEX(Items!C$2:C$1032,MATCH($O2,Items!$A$2:$A$1032,0))</f>
        <v>#N/A</v>
      </c>
      <c r="R2" t="e">
        <f>INDEX(Items!D$2:D$1032,MATCH($O2,Items!$A$2:$A$1032,0))</f>
        <v>#N/A</v>
      </c>
    </row>
    <row r="3" spans="1:19" x14ac:dyDescent="0.25">
      <c r="A3">
        <f t="shared" si="0"/>
        <v>1</v>
      </c>
      <c r="B3" t="str">
        <f t="shared" si="1"/>
        <v/>
      </c>
      <c r="C3">
        <f t="shared" si="2"/>
        <v>1</v>
      </c>
      <c r="D3" s="4"/>
      <c r="F3" t="e">
        <f>INDEX(Establishment!B$2:B$1005,MATCH($E3,Establishment!$A$2:$A$1005,0))</f>
        <v>#N/A</v>
      </c>
      <c r="G3" t="e">
        <f>INDEX(Establishment!C$2:C$1005,MATCH($E3,Establishment!$A$2:$A$1005,0))</f>
        <v>#N/A</v>
      </c>
      <c r="M3">
        <f t="shared" si="3"/>
        <v>0</v>
      </c>
      <c r="N3">
        <f t="shared" ref="N3:N66" si="4">IF(B3=B2,N2+M3,M3)</f>
        <v>0</v>
      </c>
      <c r="P3" t="e">
        <f>INDEX(Items!B$2:B$1032,MATCH($O3,Items!$A$2:$A$1032,0))</f>
        <v>#N/A</v>
      </c>
      <c r="Q3" t="e">
        <f>INDEX(Items!C$2:C$1032,MATCH($O3,Items!$A$2:$A$1032,0))</f>
        <v>#N/A</v>
      </c>
      <c r="R3" t="e">
        <f>INDEX(Items!D$2:D$1032,MATCH($O3,Items!$A$2:$A$1032,0))</f>
        <v>#N/A</v>
      </c>
    </row>
    <row r="4" spans="1:19" x14ac:dyDescent="0.25">
      <c r="A4">
        <f t="shared" si="0"/>
        <v>1</v>
      </c>
      <c r="B4" t="str">
        <f t="shared" si="1"/>
        <v/>
      </c>
      <c r="C4">
        <f t="shared" si="2"/>
        <v>1</v>
      </c>
      <c r="D4" s="4"/>
      <c r="F4" t="e">
        <f>INDEX(Establishment!B$2:B$1005,MATCH($E4,Establishment!$A$2:$A$1005,0))</f>
        <v>#N/A</v>
      </c>
      <c r="G4" t="e">
        <f>INDEX(Establishment!C$2:C$1005,MATCH($E4,Establishment!$A$2:$A$1005,0))</f>
        <v>#N/A</v>
      </c>
      <c r="M4">
        <f t="shared" si="3"/>
        <v>0</v>
      </c>
      <c r="N4">
        <f t="shared" si="4"/>
        <v>0</v>
      </c>
      <c r="P4" t="e">
        <f>INDEX(Items!B$2:B$1032,MATCH($O4,Items!$A$2:$A$1032,0))</f>
        <v>#N/A</v>
      </c>
      <c r="Q4" t="e">
        <f>INDEX(Items!C$2:C$1032,MATCH($O4,Items!$A$2:$A$1032,0))</f>
        <v>#N/A</v>
      </c>
      <c r="R4" t="e">
        <f>INDEX(Items!D$2:D$1032,MATCH($O4,Items!$A$2:$A$1032,0))</f>
        <v>#N/A</v>
      </c>
    </row>
    <row r="5" spans="1:19" x14ac:dyDescent="0.25">
      <c r="A5">
        <f t="shared" si="0"/>
        <v>1</v>
      </c>
      <c r="B5" t="str">
        <f t="shared" si="1"/>
        <v/>
      </c>
      <c r="C5">
        <f t="shared" si="2"/>
        <v>1</v>
      </c>
      <c r="D5" s="4"/>
      <c r="F5" t="e">
        <f>INDEX(Establishment!B$2:B$1005,MATCH($E5,Establishment!$A$2:$A$1005,0))</f>
        <v>#N/A</v>
      </c>
      <c r="G5" t="e">
        <f>INDEX(Establishment!C$2:C$1005,MATCH($E5,Establishment!$A$2:$A$1005,0))</f>
        <v>#N/A</v>
      </c>
      <c r="M5">
        <f t="shared" si="3"/>
        <v>0</v>
      </c>
      <c r="N5">
        <f t="shared" si="4"/>
        <v>0</v>
      </c>
      <c r="P5" t="e">
        <f>INDEX(Items!B$2:B$1032,MATCH($O5,Items!$A$2:$A$1032,0))</f>
        <v>#N/A</v>
      </c>
      <c r="Q5" t="e">
        <f>INDEX(Items!C$2:C$1032,MATCH($O5,Items!$A$2:$A$1032,0))</f>
        <v>#N/A</v>
      </c>
      <c r="R5" t="e">
        <f>INDEX(Items!D$2:D$1032,MATCH($O5,Items!$A$2:$A$1032,0))</f>
        <v>#N/A</v>
      </c>
    </row>
    <row r="6" spans="1:19" x14ac:dyDescent="0.25">
      <c r="A6">
        <f t="shared" si="0"/>
        <v>1</v>
      </c>
      <c r="B6" t="str">
        <f t="shared" si="1"/>
        <v/>
      </c>
      <c r="C6">
        <f t="shared" si="2"/>
        <v>1</v>
      </c>
      <c r="D6" s="4"/>
      <c r="F6" t="e">
        <f>INDEX(Establishment!B$2:B$1005,MATCH($E6,Establishment!$A$2:$A$1005,0))</f>
        <v>#N/A</v>
      </c>
      <c r="G6" t="e">
        <f>INDEX(Establishment!C$2:C$1005,MATCH($E6,Establishment!$A$2:$A$1005,0))</f>
        <v>#N/A</v>
      </c>
      <c r="M6">
        <f t="shared" si="3"/>
        <v>0</v>
      </c>
      <c r="N6">
        <f t="shared" si="4"/>
        <v>0</v>
      </c>
      <c r="P6" t="e">
        <f>INDEX(Items!B$2:B$1032,MATCH($O6,Items!$A$2:$A$1032,0))</f>
        <v>#N/A</v>
      </c>
      <c r="Q6" t="e">
        <f>INDEX(Items!C$2:C$1032,MATCH($O6,Items!$A$2:$A$1032,0))</f>
        <v>#N/A</v>
      </c>
      <c r="R6" t="e">
        <f>INDEX(Items!D$2:D$1032,MATCH($O6,Items!$A$2:$A$1032,0))</f>
        <v>#N/A</v>
      </c>
    </row>
    <row r="7" spans="1:19" x14ac:dyDescent="0.25">
      <c r="A7">
        <f t="shared" si="0"/>
        <v>1</v>
      </c>
      <c r="B7" t="str">
        <f t="shared" si="1"/>
        <v/>
      </c>
      <c r="C7">
        <f>IF(OR(B7="",B7&lt;&gt;B15),1,C15+1)</f>
        <v>1</v>
      </c>
      <c r="D7" s="4"/>
      <c r="F7" t="e">
        <f>INDEX(Establishment!B$2:B$1005,MATCH($E7,Establishment!$A$2:$A$1005,0))</f>
        <v>#N/A</v>
      </c>
      <c r="G7" t="e">
        <f>INDEX(Establishment!C$2:C$1005,MATCH($E7,Establishment!$A$2:$A$1005,0))</f>
        <v>#N/A</v>
      </c>
      <c r="M7">
        <f>K7*L7</f>
        <v>0</v>
      </c>
      <c r="N7">
        <f t="shared" si="4"/>
        <v>0</v>
      </c>
      <c r="P7" t="e">
        <f>INDEX(Items!B$2:B$1032,MATCH($O7,Items!$A$2:$A$1032,0))</f>
        <v>#N/A</v>
      </c>
      <c r="Q7" t="e">
        <f>INDEX(Items!C$2:C$1032,MATCH($O7,Items!$A$2:$A$1032,0))</f>
        <v>#N/A</v>
      </c>
      <c r="R7" t="e">
        <f>INDEX(Items!D$2:D$1032,MATCH($O7,Items!$A$2:$A$1032,0))</f>
        <v>#N/A</v>
      </c>
    </row>
    <row r="8" spans="1:19" x14ac:dyDescent="0.25">
      <c r="A8">
        <f t="shared" si="0"/>
        <v>1</v>
      </c>
      <c r="B8" t="str">
        <f t="shared" si="1"/>
        <v/>
      </c>
      <c r="C8">
        <f>IF(OR(B8="",B8&lt;&gt;B7),1,C7+1)</f>
        <v>1</v>
      </c>
      <c r="D8" s="4"/>
      <c r="F8" t="e">
        <f>INDEX(Establishment!B$2:B$1005,MATCH($E8,Establishment!$A$2:$A$1005,0))</f>
        <v>#N/A</v>
      </c>
      <c r="G8" t="e">
        <f>INDEX(Establishment!C$2:C$1005,MATCH($E8,Establishment!$A$2:$A$1005,0))</f>
        <v>#N/A</v>
      </c>
      <c r="M8">
        <f>K8*L8</f>
        <v>0</v>
      </c>
      <c r="N8">
        <f t="shared" si="4"/>
        <v>0</v>
      </c>
      <c r="P8" t="e">
        <f>INDEX(Items!B$2:B$1032,MATCH($O8,Items!$A$2:$A$1032,0))</f>
        <v>#N/A</v>
      </c>
      <c r="Q8" t="e">
        <f>INDEX(Items!C$2:C$1032,MATCH($O8,Items!$A$2:$A$1032,0))</f>
        <v>#N/A</v>
      </c>
      <c r="R8" t="e">
        <f>INDEX(Items!D$2:D$1032,MATCH($O8,Items!$A$2:$A$1032,0))</f>
        <v>#N/A</v>
      </c>
    </row>
    <row r="9" spans="1:19" x14ac:dyDescent="0.25">
      <c r="A9">
        <f t="shared" si="0"/>
        <v>1</v>
      </c>
      <c r="B9" t="str">
        <f t="shared" si="1"/>
        <v/>
      </c>
      <c r="C9">
        <f>IF(OR(B9="",B9&lt;&gt;B8),1,C8+1)</f>
        <v>1</v>
      </c>
      <c r="D9" s="4"/>
      <c r="F9" t="e">
        <f>INDEX(Establishment!B$2:B$1005,MATCH($E9,Establishment!$A$2:$A$1005,0))</f>
        <v>#N/A</v>
      </c>
      <c r="G9" t="e">
        <f>INDEX(Establishment!C$2:C$1005,MATCH($E9,Establishment!$A$2:$A$1005,0))</f>
        <v>#N/A</v>
      </c>
      <c r="M9">
        <f>K9*L9</f>
        <v>0</v>
      </c>
      <c r="N9">
        <f t="shared" si="4"/>
        <v>0</v>
      </c>
      <c r="P9" t="e">
        <f>INDEX(Items!B$2:B$1032,MATCH($O9,Items!$A$2:$A$1032,0))</f>
        <v>#N/A</v>
      </c>
      <c r="Q9" t="e">
        <f>INDEX(Items!C$2:C$1032,MATCH($O9,Items!$A$2:$A$1032,0))</f>
        <v>#N/A</v>
      </c>
      <c r="R9" t="e">
        <f>INDEX(Items!D$2:D$1032,MATCH($O9,Items!$A$2:$A$1032,0))</f>
        <v>#N/A</v>
      </c>
    </row>
    <row r="10" spans="1:19" x14ac:dyDescent="0.25">
      <c r="A10">
        <f t="shared" si="0"/>
        <v>1</v>
      </c>
      <c r="B10" t="str">
        <f t="shared" si="1"/>
        <v/>
      </c>
      <c r="C10">
        <f t="shared" ref="C10:C73" si="5">IF(OR(B10="",B10&lt;&gt;B9),1,C9+1)</f>
        <v>1</v>
      </c>
      <c r="D10" s="4"/>
      <c r="F10" t="e">
        <f>INDEX(Establishment!B$2:B$1005,MATCH($E10,Establishment!$A$2:$A$1005,0))</f>
        <v>#N/A</v>
      </c>
      <c r="G10" t="e">
        <f>INDEX(Establishment!C$2:C$1005,MATCH($E10,Establishment!$A$2:$A$1005,0))</f>
        <v>#N/A</v>
      </c>
      <c r="M10">
        <f t="shared" ref="M10:M73" si="6">K10*L10</f>
        <v>0</v>
      </c>
      <c r="N10">
        <f t="shared" si="4"/>
        <v>0</v>
      </c>
      <c r="P10" t="e">
        <f>INDEX(Items!B$2:B$1032,MATCH($O10,Items!$A$2:$A$1032,0))</f>
        <v>#N/A</v>
      </c>
      <c r="Q10" t="e">
        <f>INDEX(Items!C$2:C$1032,MATCH($O10,Items!$A$2:$A$1032,0))</f>
        <v>#N/A</v>
      </c>
      <c r="R10" t="e">
        <f>INDEX(Items!D$2:D$1032,MATCH($O10,Items!$A$2:$A$1032,0))</f>
        <v>#N/A</v>
      </c>
    </row>
    <row r="11" spans="1:19" x14ac:dyDescent="0.25">
      <c r="A11">
        <f t="shared" si="0"/>
        <v>1</v>
      </c>
      <c r="B11" t="str">
        <f t="shared" si="1"/>
        <v/>
      </c>
      <c r="C11">
        <f t="shared" si="5"/>
        <v>1</v>
      </c>
      <c r="D11" s="4"/>
      <c r="F11" t="e">
        <f>INDEX(Establishment!B$2:B$1005,MATCH($E11,Establishment!$A$2:$A$1005,0))</f>
        <v>#N/A</v>
      </c>
      <c r="G11" t="e">
        <f>INDEX(Establishment!C$2:C$1005,MATCH($E11,Establishment!$A$2:$A$1005,0))</f>
        <v>#N/A</v>
      </c>
      <c r="M11">
        <f t="shared" si="6"/>
        <v>0</v>
      </c>
      <c r="N11">
        <f t="shared" si="4"/>
        <v>0</v>
      </c>
      <c r="P11" t="e">
        <f>INDEX(Items!B$2:B$1032,MATCH($O11,Items!$A$2:$A$1032,0))</f>
        <v>#N/A</v>
      </c>
      <c r="Q11" t="e">
        <f>INDEX(Items!C$2:C$1032,MATCH($O11,Items!$A$2:$A$1032,0))</f>
        <v>#N/A</v>
      </c>
      <c r="R11" t="e">
        <f>INDEX(Items!D$2:D$1032,MATCH($O11,Items!$A$2:$A$1032,0))</f>
        <v>#N/A</v>
      </c>
    </row>
    <row r="12" spans="1:19" x14ac:dyDescent="0.25">
      <c r="A12">
        <f t="shared" si="0"/>
        <v>1</v>
      </c>
      <c r="B12" t="str">
        <f t="shared" si="1"/>
        <v/>
      </c>
      <c r="C12">
        <f t="shared" si="5"/>
        <v>1</v>
      </c>
      <c r="D12" s="4"/>
      <c r="F12" t="e">
        <f>INDEX(Establishment!B$2:B$1005,MATCH($E12,Establishment!$A$2:$A$1005,0))</f>
        <v>#N/A</v>
      </c>
      <c r="G12" t="e">
        <f>INDEX(Establishment!C$2:C$1005,MATCH($E12,Establishment!$A$2:$A$1005,0))</f>
        <v>#N/A</v>
      </c>
      <c r="M12">
        <f t="shared" si="6"/>
        <v>0</v>
      </c>
      <c r="N12">
        <f t="shared" si="4"/>
        <v>0</v>
      </c>
      <c r="P12" t="e">
        <f>INDEX(Items!B$2:B$1032,MATCH($O12,Items!$A$2:$A$1032,0))</f>
        <v>#N/A</v>
      </c>
      <c r="Q12" t="e">
        <f>INDEX(Items!C$2:C$1032,MATCH($O12,Items!$A$2:$A$1032,0))</f>
        <v>#N/A</v>
      </c>
      <c r="R12" t="e">
        <f>INDEX(Items!D$2:D$1032,MATCH($O12,Items!$A$2:$A$1032,0))</f>
        <v>#N/A</v>
      </c>
    </row>
    <row r="13" spans="1:19" x14ac:dyDescent="0.25">
      <c r="A13">
        <f t="shared" si="0"/>
        <v>1</v>
      </c>
      <c r="B13" t="str">
        <f t="shared" si="1"/>
        <v/>
      </c>
      <c r="C13">
        <f t="shared" si="5"/>
        <v>1</v>
      </c>
      <c r="D13" s="4"/>
      <c r="F13" t="e">
        <f>INDEX(Establishment!B$2:B$1005,MATCH($E13,Establishment!$A$2:$A$1005,0))</f>
        <v>#N/A</v>
      </c>
      <c r="G13" t="e">
        <f>INDEX(Establishment!C$2:C$1005,MATCH($E13,Establishment!$A$2:$A$1005,0))</f>
        <v>#N/A</v>
      </c>
      <c r="M13">
        <f t="shared" si="6"/>
        <v>0</v>
      </c>
      <c r="N13">
        <f t="shared" si="4"/>
        <v>0</v>
      </c>
      <c r="P13" t="e">
        <f>INDEX(Items!B$2:B$1032,MATCH($O13,Items!$A$2:$A$1032,0))</f>
        <v>#N/A</v>
      </c>
      <c r="Q13" t="e">
        <f>INDEX(Items!C$2:C$1032,MATCH($O13,Items!$A$2:$A$1032,0))</f>
        <v>#N/A</v>
      </c>
      <c r="R13" t="e">
        <f>INDEX(Items!D$2:D$1032,MATCH($O13,Items!$A$2:$A$1032,0))</f>
        <v>#N/A</v>
      </c>
    </row>
    <row r="14" spans="1:19" x14ac:dyDescent="0.25">
      <c r="A14">
        <f t="shared" si="0"/>
        <v>1</v>
      </c>
      <c r="B14" t="str">
        <f t="shared" si="1"/>
        <v/>
      </c>
      <c r="C14">
        <f t="shared" si="5"/>
        <v>1</v>
      </c>
      <c r="D14" s="4"/>
      <c r="F14" t="e">
        <f>INDEX(Establishment!B$2:B$1005,MATCH($E14,Establishment!$A$2:$A$1005,0))</f>
        <v>#N/A</v>
      </c>
      <c r="G14" t="e">
        <f>INDEX(Establishment!C$2:C$1005,MATCH($E14,Establishment!$A$2:$A$1005,0))</f>
        <v>#N/A</v>
      </c>
      <c r="M14">
        <f t="shared" si="6"/>
        <v>0</v>
      </c>
      <c r="N14">
        <f t="shared" si="4"/>
        <v>0</v>
      </c>
      <c r="P14" t="e">
        <f>INDEX(Items!B$2:B$1032,MATCH($O14,Items!$A$2:$A$1032,0))</f>
        <v>#N/A</v>
      </c>
      <c r="Q14" t="e">
        <f>INDEX(Items!C$2:C$1032,MATCH($O14,Items!$A$2:$A$1032,0))</f>
        <v>#N/A</v>
      </c>
      <c r="R14" t="e">
        <f>INDEX(Items!D$2:D$1032,MATCH($O14,Items!$A$2:$A$1032,0))</f>
        <v>#N/A</v>
      </c>
    </row>
    <row r="15" spans="1:19" x14ac:dyDescent="0.25">
      <c r="A15">
        <f t="shared" si="0"/>
        <v>1</v>
      </c>
      <c r="B15" t="str">
        <f t="shared" si="1"/>
        <v/>
      </c>
      <c r="C15">
        <f t="shared" si="5"/>
        <v>1</v>
      </c>
      <c r="D15" s="4"/>
      <c r="F15" t="e">
        <f>INDEX(Establishment!B$2:B$1005,MATCH($E15,Establishment!$A$2:$A$1005,0))</f>
        <v>#N/A</v>
      </c>
      <c r="G15" t="e">
        <f>INDEX(Establishment!C$2:C$1005,MATCH($E15,Establishment!$A$2:$A$1005,0))</f>
        <v>#N/A</v>
      </c>
      <c r="M15">
        <f>K15*L15</f>
        <v>0</v>
      </c>
      <c r="N15">
        <f t="shared" si="4"/>
        <v>0</v>
      </c>
      <c r="P15" t="e">
        <f>INDEX(Items!B$2:B$1032,MATCH($O15,Items!$A$2:$A$1032,0))</f>
        <v>#N/A</v>
      </c>
      <c r="Q15" t="e">
        <f>INDEX(Items!C$2:C$1032,MATCH($O15,Items!$A$2:$A$1032,0))</f>
        <v>#N/A</v>
      </c>
      <c r="R15" t="e">
        <f>INDEX(Items!D$2:D$1032,MATCH($O15,Items!$A$2:$A$1032,0))</f>
        <v>#N/A</v>
      </c>
    </row>
    <row r="16" spans="1:19" x14ac:dyDescent="0.25">
      <c r="A16">
        <f t="shared" si="0"/>
        <v>1</v>
      </c>
      <c r="B16" t="str">
        <f t="shared" si="1"/>
        <v/>
      </c>
      <c r="C16">
        <f t="shared" si="5"/>
        <v>1</v>
      </c>
      <c r="D16" s="4"/>
      <c r="F16" t="e">
        <f>INDEX(Establishment!B$2:B$1005,MATCH($E16,Establishment!$A$2:$A$1005,0))</f>
        <v>#N/A</v>
      </c>
      <c r="G16" t="e">
        <f>INDEX(Establishment!C$2:C$1005,MATCH($E16,Establishment!$A$2:$A$1005,0))</f>
        <v>#N/A</v>
      </c>
      <c r="M16">
        <f t="shared" si="6"/>
        <v>0</v>
      </c>
      <c r="N16">
        <f t="shared" si="4"/>
        <v>0</v>
      </c>
      <c r="P16" t="e">
        <f>INDEX(Items!B$2:B$1032,MATCH($O16,Items!$A$2:$A$1032,0))</f>
        <v>#N/A</v>
      </c>
      <c r="Q16" t="e">
        <f>INDEX(Items!C$2:C$1032,MATCH($O16,Items!$A$2:$A$1032,0))</f>
        <v>#N/A</v>
      </c>
      <c r="R16" t="e">
        <f>INDEX(Items!D$2:D$1032,MATCH($O16,Items!$A$2:$A$1032,0))</f>
        <v>#N/A</v>
      </c>
    </row>
    <row r="17" spans="1:18" x14ac:dyDescent="0.25">
      <c r="A17">
        <f t="shared" si="0"/>
        <v>1</v>
      </c>
      <c r="B17" t="str">
        <f t="shared" si="1"/>
        <v/>
      </c>
      <c r="C17">
        <f t="shared" si="5"/>
        <v>1</v>
      </c>
      <c r="D17" s="4"/>
      <c r="F17" t="e">
        <f>INDEX(Establishment!B$2:B$1005,MATCH($E17,Establishment!$A$2:$A$1005,0))</f>
        <v>#N/A</v>
      </c>
      <c r="G17" t="e">
        <f>INDEX(Establishment!C$2:C$1005,MATCH($E17,Establishment!$A$2:$A$1005,0))</f>
        <v>#N/A</v>
      </c>
      <c r="M17">
        <f t="shared" si="6"/>
        <v>0</v>
      </c>
      <c r="N17">
        <f t="shared" si="4"/>
        <v>0</v>
      </c>
      <c r="P17" t="e">
        <f>INDEX(Items!B$2:B$1032,MATCH($O17,Items!$A$2:$A$1032,0))</f>
        <v>#N/A</v>
      </c>
      <c r="Q17" t="e">
        <f>INDEX(Items!C$2:C$1032,MATCH($O17,Items!$A$2:$A$1032,0))</f>
        <v>#N/A</v>
      </c>
      <c r="R17" t="e">
        <f>INDEX(Items!D$2:D$1032,MATCH($O17,Items!$A$2:$A$1032,0))</f>
        <v>#N/A</v>
      </c>
    </row>
    <row r="18" spans="1:18" x14ac:dyDescent="0.25">
      <c r="A18">
        <f t="shared" si="0"/>
        <v>1</v>
      </c>
      <c r="B18" t="str">
        <f t="shared" si="1"/>
        <v/>
      </c>
      <c r="C18">
        <f t="shared" si="5"/>
        <v>1</v>
      </c>
      <c r="D18" s="4"/>
      <c r="F18" t="e">
        <f>INDEX(Establishment!B$2:B$1005,MATCH($E18,Establishment!$A$2:$A$1005,0))</f>
        <v>#N/A</v>
      </c>
      <c r="G18" t="e">
        <f>INDEX(Establishment!C$2:C$1005,MATCH($E18,Establishment!$A$2:$A$1005,0))</f>
        <v>#N/A</v>
      </c>
      <c r="M18">
        <f t="shared" si="6"/>
        <v>0</v>
      </c>
      <c r="N18">
        <f t="shared" si="4"/>
        <v>0</v>
      </c>
      <c r="P18" t="e">
        <f>INDEX(Items!B$2:B$1032,MATCH($O18,Items!$A$2:$A$1032,0))</f>
        <v>#N/A</v>
      </c>
      <c r="Q18" t="e">
        <f>INDEX(Items!C$2:C$1032,MATCH($O18,Items!$A$2:$A$1032,0))</f>
        <v>#N/A</v>
      </c>
      <c r="R18" t="e">
        <f>INDEX(Items!D$2:D$1032,MATCH($O18,Items!$A$2:$A$1032,0))</f>
        <v>#N/A</v>
      </c>
    </row>
    <row r="19" spans="1:18" x14ac:dyDescent="0.25">
      <c r="A19">
        <f t="shared" si="0"/>
        <v>1</v>
      </c>
      <c r="B19" t="str">
        <f t="shared" si="1"/>
        <v/>
      </c>
      <c r="C19">
        <f t="shared" si="5"/>
        <v>1</v>
      </c>
      <c r="D19" s="4"/>
      <c r="F19" t="e">
        <f>INDEX(Establishment!B$2:B$1005,MATCH($E19,Establishment!$A$2:$A$1005,0))</f>
        <v>#N/A</v>
      </c>
      <c r="G19" t="e">
        <f>INDEX(Establishment!C$2:C$1005,MATCH($E19,Establishment!$A$2:$A$1005,0))</f>
        <v>#N/A</v>
      </c>
      <c r="M19">
        <f t="shared" si="6"/>
        <v>0</v>
      </c>
      <c r="N19">
        <f t="shared" si="4"/>
        <v>0</v>
      </c>
      <c r="P19" t="e">
        <f>INDEX(Items!B$2:B$1032,MATCH($O19,Items!$A$2:$A$1032,0))</f>
        <v>#N/A</v>
      </c>
      <c r="Q19" t="e">
        <f>INDEX(Items!C$2:C$1032,MATCH($O19,Items!$A$2:$A$1032,0))</f>
        <v>#N/A</v>
      </c>
      <c r="R19" t="e">
        <f>INDEX(Items!D$2:D$1032,MATCH($O19,Items!$A$2:$A$1032,0))</f>
        <v>#N/A</v>
      </c>
    </row>
    <row r="20" spans="1:18" x14ac:dyDescent="0.25">
      <c r="A20">
        <f t="shared" si="0"/>
        <v>1</v>
      </c>
      <c r="B20" t="str">
        <f t="shared" si="1"/>
        <v/>
      </c>
      <c r="C20">
        <f t="shared" si="5"/>
        <v>1</v>
      </c>
      <c r="D20" s="4"/>
      <c r="F20" t="e">
        <f>INDEX(Establishment!B$2:B$1005,MATCH($E20,Establishment!$A$2:$A$1005,0))</f>
        <v>#N/A</v>
      </c>
      <c r="G20" t="e">
        <f>INDEX(Establishment!C$2:C$1005,MATCH($E20,Establishment!$A$2:$A$1005,0))</f>
        <v>#N/A</v>
      </c>
      <c r="M20">
        <f t="shared" si="6"/>
        <v>0</v>
      </c>
      <c r="N20">
        <f t="shared" si="4"/>
        <v>0</v>
      </c>
      <c r="P20" t="e">
        <f>INDEX(Items!B$2:B$1032,MATCH($O20,Items!$A$2:$A$1032,0))</f>
        <v>#N/A</v>
      </c>
      <c r="Q20" t="e">
        <f>INDEX(Items!C$2:C$1032,MATCH($O20,Items!$A$2:$A$1032,0))</f>
        <v>#N/A</v>
      </c>
      <c r="R20" t="e">
        <f>INDEX(Items!D$2:D$1032,MATCH($O20,Items!$A$2:$A$1032,0))</f>
        <v>#N/A</v>
      </c>
    </row>
    <row r="21" spans="1:18" x14ac:dyDescent="0.25">
      <c r="A21">
        <f t="shared" si="0"/>
        <v>1</v>
      </c>
      <c r="B21" t="str">
        <f t="shared" si="1"/>
        <v/>
      </c>
      <c r="C21">
        <f t="shared" si="5"/>
        <v>1</v>
      </c>
      <c r="D21" s="4"/>
      <c r="F21" t="e">
        <f>INDEX(Establishment!B$2:B$1005,MATCH($E21,Establishment!$A$2:$A$1005,0))</f>
        <v>#N/A</v>
      </c>
      <c r="G21" t="e">
        <f>INDEX(Establishment!C$2:C$1005,MATCH($E21,Establishment!$A$2:$A$1005,0))</f>
        <v>#N/A</v>
      </c>
      <c r="M21">
        <f t="shared" si="6"/>
        <v>0</v>
      </c>
      <c r="N21">
        <f t="shared" si="4"/>
        <v>0</v>
      </c>
      <c r="P21" t="e">
        <f>INDEX(Items!B$2:B$1032,MATCH($O21,Items!$A$2:$A$1032,0))</f>
        <v>#N/A</v>
      </c>
      <c r="Q21" t="e">
        <f>INDEX(Items!C$2:C$1032,MATCH($O21,Items!$A$2:$A$1032,0))</f>
        <v>#N/A</v>
      </c>
      <c r="R21" t="e">
        <f>INDEX(Items!D$2:D$1032,MATCH($O21,Items!$A$2:$A$1032,0))</f>
        <v>#N/A</v>
      </c>
    </row>
    <row r="22" spans="1:18" x14ac:dyDescent="0.25">
      <c r="A22">
        <f t="shared" si="0"/>
        <v>1</v>
      </c>
      <c r="B22" t="str">
        <f t="shared" si="1"/>
        <v/>
      </c>
      <c r="C22">
        <f t="shared" si="5"/>
        <v>1</v>
      </c>
      <c r="D22" s="4"/>
      <c r="F22" t="e">
        <f>INDEX(Establishment!B$2:B$1005,MATCH($E22,Establishment!$A$2:$A$1005,0))</f>
        <v>#N/A</v>
      </c>
      <c r="G22" t="e">
        <f>INDEX(Establishment!C$2:C$1005,MATCH($E22,Establishment!$A$2:$A$1005,0))</f>
        <v>#N/A</v>
      </c>
      <c r="M22">
        <f t="shared" si="6"/>
        <v>0</v>
      </c>
      <c r="N22">
        <f t="shared" si="4"/>
        <v>0</v>
      </c>
      <c r="P22" t="e">
        <f>INDEX(Items!B$2:B$1032,MATCH($O22,Items!$A$2:$A$1032,0))</f>
        <v>#N/A</v>
      </c>
      <c r="Q22" t="e">
        <f>INDEX(Items!C$2:C$1032,MATCH($O22,Items!$A$2:$A$1032,0))</f>
        <v>#N/A</v>
      </c>
      <c r="R22" t="e">
        <f>INDEX(Items!D$2:D$1032,MATCH($O22,Items!$A$2:$A$1032,0))</f>
        <v>#N/A</v>
      </c>
    </row>
    <row r="23" spans="1:18" x14ac:dyDescent="0.25">
      <c r="A23">
        <f t="shared" si="0"/>
        <v>1</v>
      </c>
      <c r="B23" t="str">
        <f t="shared" si="1"/>
        <v/>
      </c>
      <c r="C23">
        <f t="shared" si="5"/>
        <v>1</v>
      </c>
      <c r="D23" s="4"/>
      <c r="F23" t="e">
        <f>INDEX(Establishment!B$2:B$1005,MATCH($E23,Establishment!$A$2:$A$1005,0))</f>
        <v>#N/A</v>
      </c>
      <c r="G23" t="e">
        <f>INDEX(Establishment!C$2:C$1005,MATCH($E23,Establishment!$A$2:$A$1005,0))</f>
        <v>#N/A</v>
      </c>
      <c r="M23">
        <f t="shared" si="6"/>
        <v>0</v>
      </c>
      <c r="N23">
        <f t="shared" si="4"/>
        <v>0</v>
      </c>
      <c r="P23" t="e">
        <f>INDEX(Items!B$2:B$1032,MATCH($O23,Items!$A$2:$A$1032,0))</f>
        <v>#N/A</v>
      </c>
      <c r="Q23" t="e">
        <f>INDEX(Items!C$2:C$1032,MATCH($O23,Items!$A$2:$A$1032,0))</f>
        <v>#N/A</v>
      </c>
      <c r="R23" t="e">
        <f>INDEX(Items!D$2:D$1032,MATCH($O23,Items!$A$2:$A$1032,0))</f>
        <v>#N/A</v>
      </c>
    </row>
    <row r="24" spans="1:18" x14ac:dyDescent="0.25">
      <c r="A24">
        <f t="shared" si="0"/>
        <v>1</v>
      </c>
      <c r="B24" t="str">
        <f t="shared" si="1"/>
        <v/>
      </c>
      <c r="C24">
        <f t="shared" si="5"/>
        <v>1</v>
      </c>
      <c r="D24" s="4"/>
      <c r="F24" t="e">
        <f>INDEX(Establishment!B$2:B$1005,MATCH($E24,Establishment!$A$2:$A$1005,0))</f>
        <v>#N/A</v>
      </c>
      <c r="G24" t="e">
        <f>INDEX(Establishment!C$2:C$1005,MATCH($E24,Establishment!$A$2:$A$1005,0))</f>
        <v>#N/A</v>
      </c>
      <c r="M24">
        <f t="shared" si="6"/>
        <v>0</v>
      </c>
      <c r="N24">
        <f t="shared" si="4"/>
        <v>0</v>
      </c>
      <c r="P24" t="e">
        <f>INDEX(Items!B$2:B$1032,MATCH($O24,Items!$A$2:$A$1032,0))</f>
        <v>#N/A</v>
      </c>
      <c r="Q24" t="e">
        <f>INDEX(Items!C$2:C$1032,MATCH($O24,Items!$A$2:$A$1032,0))</f>
        <v>#N/A</v>
      </c>
      <c r="R24" t="e">
        <f>INDEX(Items!D$2:D$1032,MATCH($O24,Items!$A$2:$A$1032,0))</f>
        <v>#N/A</v>
      </c>
    </row>
    <row r="25" spans="1:18" x14ac:dyDescent="0.25">
      <c r="A25">
        <f t="shared" si="0"/>
        <v>1</v>
      </c>
      <c r="B25" t="str">
        <f t="shared" si="1"/>
        <v/>
      </c>
      <c r="C25">
        <f t="shared" si="5"/>
        <v>1</v>
      </c>
      <c r="D25" s="4"/>
      <c r="F25" t="e">
        <f>INDEX(Establishment!B$2:B$1005,MATCH($E25,Establishment!$A$2:$A$1005,0))</f>
        <v>#N/A</v>
      </c>
      <c r="G25" t="e">
        <f>INDEX(Establishment!C$2:C$1005,MATCH($E25,Establishment!$A$2:$A$1005,0))</f>
        <v>#N/A</v>
      </c>
      <c r="M25">
        <f t="shared" si="6"/>
        <v>0</v>
      </c>
      <c r="N25">
        <f t="shared" si="4"/>
        <v>0</v>
      </c>
      <c r="P25" t="e">
        <f>INDEX(Items!B$2:B$1032,MATCH($O25,Items!$A$2:$A$1032,0))</f>
        <v>#N/A</v>
      </c>
      <c r="Q25" t="e">
        <f>INDEX(Items!C$2:C$1032,MATCH($O25,Items!$A$2:$A$1032,0))</f>
        <v>#N/A</v>
      </c>
      <c r="R25" t="e">
        <f>INDEX(Items!D$2:D$1032,MATCH($O25,Items!$A$2:$A$1032,0))</f>
        <v>#N/A</v>
      </c>
    </row>
    <row r="26" spans="1:18" x14ac:dyDescent="0.25">
      <c r="A26">
        <f t="shared" si="0"/>
        <v>1</v>
      </c>
      <c r="B26" t="str">
        <f t="shared" si="1"/>
        <v/>
      </c>
      <c r="C26">
        <f t="shared" si="5"/>
        <v>1</v>
      </c>
      <c r="D26" s="4"/>
      <c r="F26" t="s">
        <v>43</v>
      </c>
      <c r="G26" t="s">
        <v>44</v>
      </c>
      <c r="M26">
        <f t="shared" si="6"/>
        <v>0</v>
      </c>
      <c r="N26">
        <f t="shared" si="4"/>
        <v>0</v>
      </c>
      <c r="P26" t="e">
        <f>INDEX(Items!B$2:B$1032,MATCH($O26,Items!$A$2:$A$1032,0))</f>
        <v>#N/A</v>
      </c>
      <c r="Q26" t="e">
        <f>INDEX(Items!C$2:C$1032,MATCH($O26,Items!$A$2:$A$1032,0))</f>
        <v>#N/A</v>
      </c>
      <c r="R26" t="e">
        <f>INDEX(Items!D$2:D$1032,MATCH($O26,Items!$A$2:$A$1032,0))</f>
        <v>#N/A</v>
      </c>
    </row>
    <row r="27" spans="1:18" x14ac:dyDescent="0.25">
      <c r="A27">
        <f t="shared" si="0"/>
        <v>1</v>
      </c>
      <c r="B27" t="str">
        <f t="shared" si="1"/>
        <v/>
      </c>
      <c r="C27">
        <f t="shared" si="5"/>
        <v>1</v>
      </c>
      <c r="D27" s="4"/>
      <c r="F27" t="s">
        <v>43</v>
      </c>
      <c r="G27" t="s">
        <v>44</v>
      </c>
      <c r="M27">
        <f t="shared" si="6"/>
        <v>0</v>
      </c>
      <c r="N27">
        <f t="shared" si="4"/>
        <v>0</v>
      </c>
      <c r="P27" t="e">
        <f>INDEX(Items!B$2:B$1032,MATCH($O27,Items!$A$2:$A$1032,0))</f>
        <v>#N/A</v>
      </c>
      <c r="Q27" t="e">
        <f>INDEX(Items!C$2:C$1032,MATCH($O27,Items!$A$2:$A$1032,0))</f>
        <v>#N/A</v>
      </c>
      <c r="R27" t="e">
        <f>INDEX(Items!D$2:D$1032,MATCH($O27,Items!$A$2:$A$1032,0))</f>
        <v>#N/A</v>
      </c>
    </row>
    <row r="28" spans="1:18" x14ac:dyDescent="0.25">
      <c r="A28">
        <f t="shared" si="0"/>
        <v>1</v>
      </c>
      <c r="B28" t="str">
        <f t="shared" si="1"/>
        <v/>
      </c>
      <c r="C28">
        <f t="shared" si="5"/>
        <v>1</v>
      </c>
      <c r="D28" s="4"/>
      <c r="F28" t="s">
        <v>43</v>
      </c>
      <c r="G28" t="s">
        <v>44</v>
      </c>
      <c r="M28">
        <f t="shared" si="6"/>
        <v>0</v>
      </c>
      <c r="N28">
        <f t="shared" si="4"/>
        <v>0</v>
      </c>
      <c r="P28" t="e">
        <f>INDEX(Items!B$2:B$1032,MATCH($O28,Items!$A$2:$A$1032,0))</f>
        <v>#N/A</v>
      </c>
      <c r="Q28" t="e">
        <f>INDEX(Items!C$2:C$1032,MATCH($O28,Items!$A$2:$A$1032,0))</f>
        <v>#N/A</v>
      </c>
      <c r="R28" t="e">
        <f>INDEX(Items!D$2:D$1032,MATCH($O28,Items!$A$2:$A$1032,0))</f>
        <v>#N/A</v>
      </c>
    </row>
    <row r="29" spans="1:18" x14ac:dyDescent="0.25">
      <c r="A29">
        <f t="shared" si="0"/>
        <v>1</v>
      </c>
      <c r="B29" t="str">
        <f t="shared" si="1"/>
        <v/>
      </c>
      <c r="C29">
        <f t="shared" si="5"/>
        <v>1</v>
      </c>
      <c r="D29" s="4"/>
      <c r="F29" t="e">
        <f>INDEX(Establishment!B$2:B$1005,MATCH($E29,Establishment!$A$2:$A$1005,0))</f>
        <v>#N/A</v>
      </c>
      <c r="G29" t="e">
        <f>INDEX(Establishment!C$2:C$1005,MATCH($E29,Establishment!$A$2:$A$1005,0))</f>
        <v>#N/A</v>
      </c>
      <c r="M29">
        <f t="shared" si="6"/>
        <v>0</v>
      </c>
      <c r="N29">
        <f t="shared" si="4"/>
        <v>0</v>
      </c>
      <c r="P29" t="e">
        <f>INDEX(Items!B$2:B$1032,MATCH($O29,Items!$A$2:$A$1032,0))</f>
        <v>#N/A</v>
      </c>
      <c r="Q29" t="e">
        <f>INDEX(Items!C$2:C$1032,MATCH($O29,Items!$A$2:$A$1032,0))</f>
        <v>#N/A</v>
      </c>
      <c r="R29" t="e">
        <f>INDEX(Items!D$2:D$1032,MATCH($O29,Items!$A$2:$A$1032,0))</f>
        <v>#N/A</v>
      </c>
    </row>
    <row r="30" spans="1:18" x14ac:dyDescent="0.25">
      <c r="A30">
        <f t="shared" si="0"/>
        <v>1</v>
      </c>
      <c r="B30" t="str">
        <f t="shared" si="1"/>
        <v/>
      </c>
      <c r="C30">
        <f t="shared" si="5"/>
        <v>1</v>
      </c>
      <c r="D30" s="4"/>
      <c r="F30" t="e">
        <f>INDEX(Establishment!B$2:B$1005,MATCH($E30,Establishment!$A$2:$A$1005,0))</f>
        <v>#N/A</v>
      </c>
      <c r="G30" t="e">
        <f>INDEX(Establishment!C$2:C$1005,MATCH($E30,Establishment!$A$2:$A$1005,0))</f>
        <v>#N/A</v>
      </c>
      <c r="M30">
        <f t="shared" si="6"/>
        <v>0</v>
      </c>
      <c r="N30">
        <f t="shared" si="4"/>
        <v>0</v>
      </c>
      <c r="P30" t="e">
        <f>INDEX(Items!B$2:B$1032,MATCH($O30,Items!$A$2:$A$1032,0))</f>
        <v>#N/A</v>
      </c>
      <c r="Q30" t="e">
        <f>INDEX(Items!C$2:C$1032,MATCH($O30,Items!$A$2:$A$1032,0))</f>
        <v>#N/A</v>
      </c>
      <c r="R30" t="e">
        <f>INDEX(Items!D$2:D$1032,MATCH($O30,Items!$A$2:$A$1032,0))</f>
        <v>#N/A</v>
      </c>
    </row>
    <row r="31" spans="1:18" x14ac:dyDescent="0.25">
      <c r="A31">
        <f t="shared" si="0"/>
        <v>1</v>
      </c>
      <c r="B31" t="str">
        <f t="shared" si="1"/>
        <v/>
      </c>
      <c r="C31">
        <f t="shared" si="5"/>
        <v>1</v>
      </c>
      <c r="D31" s="4"/>
      <c r="F31" t="e">
        <f>INDEX(Establishment!B$2:B$1005,MATCH($E31,Establishment!$A$2:$A$1005,0))</f>
        <v>#N/A</v>
      </c>
      <c r="G31" t="e">
        <f>INDEX(Establishment!C$2:C$1005,MATCH($E31,Establishment!$A$2:$A$1005,0))</f>
        <v>#N/A</v>
      </c>
      <c r="M31">
        <f t="shared" si="6"/>
        <v>0</v>
      </c>
      <c r="N31">
        <f t="shared" si="4"/>
        <v>0</v>
      </c>
      <c r="P31" t="e">
        <f>INDEX(Items!B$2:B$1032,MATCH($O31,Items!$A$2:$A$1032,0))</f>
        <v>#N/A</v>
      </c>
      <c r="Q31" t="e">
        <f>INDEX(Items!C$2:C$1032,MATCH($O31,Items!$A$2:$A$1032,0))</f>
        <v>#N/A</v>
      </c>
      <c r="R31" t="e">
        <f>INDEX(Items!D$2:D$1032,MATCH($O31,Items!$A$2:$A$1032,0))</f>
        <v>#N/A</v>
      </c>
    </row>
    <row r="32" spans="1:18" x14ac:dyDescent="0.25">
      <c r="A32">
        <f t="shared" si="0"/>
        <v>1</v>
      </c>
      <c r="B32" t="str">
        <f t="shared" si="1"/>
        <v/>
      </c>
      <c r="C32">
        <f t="shared" si="5"/>
        <v>1</v>
      </c>
      <c r="D32" s="4"/>
      <c r="F32" t="s">
        <v>43</v>
      </c>
      <c r="G32" t="s">
        <v>46</v>
      </c>
      <c r="M32">
        <f t="shared" si="6"/>
        <v>0</v>
      </c>
      <c r="N32">
        <f t="shared" si="4"/>
        <v>0</v>
      </c>
      <c r="P32" t="e">
        <f>INDEX(Items!B$2:B$1032,MATCH($O32,Items!$A$2:$A$1032,0))</f>
        <v>#N/A</v>
      </c>
      <c r="Q32" t="e">
        <f>INDEX(Items!C$2:C$1032,MATCH($O32,Items!$A$2:$A$1032,0))</f>
        <v>#N/A</v>
      </c>
      <c r="R32" t="e">
        <f>INDEX(Items!D$2:D$1032,MATCH($O32,Items!$A$2:$A$1032,0))</f>
        <v>#N/A</v>
      </c>
    </row>
    <row r="33" spans="1:18" x14ac:dyDescent="0.25">
      <c r="A33">
        <f t="shared" si="0"/>
        <v>1</v>
      </c>
      <c r="B33" t="str">
        <f t="shared" si="1"/>
        <v/>
      </c>
      <c r="C33">
        <f t="shared" si="5"/>
        <v>1</v>
      </c>
      <c r="D33" s="4"/>
      <c r="F33" t="s">
        <v>43</v>
      </c>
      <c r="G33" t="s">
        <v>46</v>
      </c>
      <c r="M33">
        <f t="shared" si="6"/>
        <v>0</v>
      </c>
      <c r="N33">
        <f t="shared" si="4"/>
        <v>0</v>
      </c>
      <c r="P33" t="e">
        <f>INDEX(Items!B$2:B$1032,MATCH($O33,Items!$A$2:$A$1032,0))</f>
        <v>#N/A</v>
      </c>
      <c r="Q33" t="e">
        <f>INDEX(Items!C$2:C$1032,MATCH($O33,Items!$A$2:$A$1032,0))</f>
        <v>#N/A</v>
      </c>
      <c r="R33" t="e">
        <f>INDEX(Items!D$2:D$1032,MATCH($O33,Items!$A$2:$A$1032,0))</f>
        <v>#N/A</v>
      </c>
    </row>
    <row r="34" spans="1:18" x14ac:dyDescent="0.25">
      <c r="A34">
        <f t="shared" si="0"/>
        <v>1</v>
      </c>
      <c r="B34" t="str">
        <f t="shared" si="1"/>
        <v/>
      </c>
      <c r="C34">
        <f t="shared" si="5"/>
        <v>1</v>
      </c>
      <c r="D34" s="4"/>
      <c r="F34" t="s">
        <v>43</v>
      </c>
      <c r="G34" t="s">
        <v>46</v>
      </c>
      <c r="M34">
        <f t="shared" si="6"/>
        <v>0</v>
      </c>
      <c r="N34">
        <f t="shared" si="4"/>
        <v>0</v>
      </c>
      <c r="P34" t="e">
        <f>INDEX(Items!B$2:B$1032,MATCH($O34,Items!$A$2:$A$1032,0))</f>
        <v>#N/A</v>
      </c>
      <c r="Q34" t="e">
        <f>INDEX(Items!C$2:C$1032,MATCH($O34,Items!$A$2:$A$1032,0))</f>
        <v>#N/A</v>
      </c>
      <c r="R34" t="e">
        <f>INDEX(Items!D$2:D$1032,MATCH($O34,Items!$A$2:$A$1032,0))</f>
        <v>#N/A</v>
      </c>
    </row>
    <row r="35" spans="1:18" x14ac:dyDescent="0.25">
      <c r="A35">
        <f t="shared" si="0"/>
        <v>1</v>
      </c>
      <c r="B35" t="str">
        <f t="shared" si="1"/>
        <v/>
      </c>
      <c r="C35">
        <f t="shared" si="5"/>
        <v>1</v>
      </c>
      <c r="D35" s="4"/>
      <c r="F35" t="s">
        <v>43</v>
      </c>
      <c r="G35" t="s">
        <v>46</v>
      </c>
      <c r="M35">
        <f t="shared" si="6"/>
        <v>0</v>
      </c>
      <c r="N35">
        <f t="shared" si="4"/>
        <v>0</v>
      </c>
      <c r="P35" t="e">
        <f>INDEX(Items!B$2:B$1032,MATCH($O35,Items!$A$2:$A$1032,0))</f>
        <v>#N/A</v>
      </c>
      <c r="Q35" t="e">
        <f>INDEX(Items!C$2:C$1032,MATCH($O35,Items!$A$2:$A$1032,0))</f>
        <v>#N/A</v>
      </c>
      <c r="R35" t="e">
        <f>INDEX(Items!D$2:D$1032,MATCH($O35,Items!$A$2:$A$1032,0))</f>
        <v>#N/A</v>
      </c>
    </row>
    <row r="36" spans="1:18" x14ac:dyDescent="0.25">
      <c r="A36">
        <f t="shared" si="0"/>
        <v>1</v>
      </c>
      <c r="B36" t="str">
        <f t="shared" si="1"/>
        <v/>
      </c>
      <c r="C36">
        <f t="shared" si="5"/>
        <v>1</v>
      </c>
      <c r="D36" s="4"/>
      <c r="F36" t="s">
        <v>47</v>
      </c>
      <c r="G36" t="s">
        <v>46</v>
      </c>
      <c r="M36">
        <f t="shared" si="6"/>
        <v>0</v>
      </c>
      <c r="N36">
        <f t="shared" si="4"/>
        <v>0</v>
      </c>
      <c r="P36" t="e">
        <f>INDEX(Items!B$2:B$1032,MATCH($O36,Items!$A$2:$A$1032,0))</f>
        <v>#N/A</v>
      </c>
      <c r="Q36" t="e">
        <f>INDEX(Items!C$2:C$1032,MATCH($O36,Items!$A$2:$A$1032,0))</f>
        <v>#N/A</v>
      </c>
      <c r="R36" t="e">
        <f>INDEX(Items!D$2:D$1032,MATCH($O36,Items!$A$2:$A$1032,0))</f>
        <v>#N/A</v>
      </c>
    </row>
    <row r="37" spans="1:18" x14ac:dyDescent="0.25">
      <c r="A37">
        <f t="shared" si="0"/>
        <v>1</v>
      </c>
      <c r="B37" t="str">
        <f t="shared" si="1"/>
        <v/>
      </c>
      <c r="C37">
        <f t="shared" si="5"/>
        <v>1</v>
      </c>
      <c r="D37" s="4"/>
      <c r="F37" t="s">
        <v>47</v>
      </c>
      <c r="G37" t="s">
        <v>46</v>
      </c>
      <c r="M37">
        <f t="shared" si="6"/>
        <v>0</v>
      </c>
      <c r="N37">
        <f t="shared" si="4"/>
        <v>0</v>
      </c>
      <c r="P37" t="e">
        <f>INDEX(Items!B$2:B$1032,MATCH($O37,Items!$A$2:$A$1032,0))</f>
        <v>#N/A</v>
      </c>
      <c r="Q37" t="e">
        <f>INDEX(Items!C$2:C$1032,MATCH($O37,Items!$A$2:$A$1032,0))</f>
        <v>#N/A</v>
      </c>
      <c r="R37" t="e">
        <f>INDEX(Items!D$2:D$1032,MATCH($O37,Items!$A$2:$A$1032,0))</f>
        <v>#N/A</v>
      </c>
    </row>
    <row r="38" spans="1:18" x14ac:dyDescent="0.25">
      <c r="A38">
        <f t="shared" si="0"/>
        <v>1</v>
      </c>
      <c r="B38" t="str">
        <f t="shared" si="1"/>
        <v/>
      </c>
      <c r="C38">
        <f t="shared" si="5"/>
        <v>1</v>
      </c>
      <c r="D38" s="4"/>
      <c r="F38" t="s">
        <v>47</v>
      </c>
      <c r="G38" t="s">
        <v>46</v>
      </c>
      <c r="M38">
        <f t="shared" si="6"/>
        <v>0</v>
      </c>
      <c r="N38">
        <f t="shared" si="4"/>
        <v>0</v>
      </c>
      <c r="P38" t="e">
        <f>INDEX(Items!B$2:B$1032,MATCH($O38,Items!$A$2:$A$1032,0))</f>
        <v>#N/A</v>
      </c>
      <c r="Q38" t="e">
        <f>INDEX(Items!C$2:C$1032,MATCH($O38,Items!$A$2:$A$1032,0))</f>
        <v>#N/A</v>
      </c>
      <c r="R38" t="e">
        <f>INDEX(Items!D$2:D$1032,MATCH($O38,Items!$A$2:$A$1032,0))</f>
        <v>#N/A</v>
      </c>
    </row>
    <row r="39" spans="1:18" x14ac:dyDescent="0.25">
      <c r="A39">
        <f t="shared" si="0"/>
        <v>1</v>
      </c>
      <c r="B39" t="str">
        <f t="shared" si="1"/>
        <v/>
      </c>
      <c r="C39">
        <f t="shared" si="5"/>
        <v>1</v>
      </c>
      <c r="D39" s="4"/>
      <c r="F39" t="s">
        <v>47</v>
      </c>
      <c r="G39" t="s">
        <v>46</v>
      </c>
      <c r="M39">
        <f t="shared" si="6"/>
        <v>0</v>
      </c>
      <c r="N39">
        <f t="shared" si="4"/>
        <v>0</v>
      </c>
      <c r="P39" t="e">
        <f>INDEX(Items!B$2:B$1032,MATCH($O39,Items!$A$2:$A$1032,0))</f>
        <v>#N/A</v>
      </c>
      <c r="Q39" t="e">
        <f>INDEX(Items!C$2:C$1032,MATCH($O39,Items!$A$2:$A$1032,0))</f>
        <v>#N/A</v>
      </c>
      <c r="R39" t="e">
        <f>INDEX(Items!D$2:D$1032,MATCH($O39,Items!$A$2:$A$1032,0))</f>
        <v>#N/A</v>
      </c>
    </row>
    <row r="40" spans="1:18" x14ac:dyDescent="0.25">
      <c r="A40">
        <f t="shared" si="0"/>
        <v>1</v>
      </c>
      <c r="B40" t="str">
        <f t="shared" si="1"/>
        <v/>
      </c>
      <c r="C40">
        <f t="shared" si="5"/>
        <v>1</v>
      </c>
      <c r="D40" s="4"/>
      <c r="F40" t="s">
        <v>47</v>
      </c>
      <c r="G40" t="s">
        <v>46</v>
      </c>
      <c r="M40">
        <f t="shared" si="6"/>
        <v>0</v>
      </c>
      <c r="N40">
        <f t="shared" si="4"/>
        <v>0</v>
      </c>
      <c r="P40" t="e">
        <f>INDEX(Items!B$2:B$1032,MATCH($O40,Items!$A$2:$A$1032,0))</f>
        <v>#N/A</v>
      </c>
      <c r="Q40" t="e">
        <f>INDEX(Items!C$2:C$1032,MATCH($O40,Items!$A$2:$A$1032,0))</f>
        <v>#N/A</v>
      </c>
      <c r="R40" t="e">
        <f>INDEX(Items!D$2:D$1032,MATCH($O40,Items!$A$2:$A$1032,0))</f>
        <v>#N/A</v>
      </c>
    </row>
    <row r="41" spans="1:18" x14ac:dyDescent="0.25">
      <c r="A41">
        <f t="shared" si="0"/>
        <v>1</v>
      </c>
      <c r="B41" t="str">
        <f t="shared" si="1"/>
        <v/>
      </c>
      <c r="C41">
        <f t="shared" si="5"/>
        <v>1</v>
      </c>
      <c r="D41" s="4"/>
      <c r="F41" t="s">
        <v>47</v>
      </c>
      <c r="G41" t="s">
        <v>46</v>
      </c>
      <c r="M41">
        <f t="shared" si="6"/>
        <v>0</v>
      </c>
      <c r="N41">
        <f t="shared" si="4"/>
        <v>0</v>
      </c>
      <c r="P41" t="e">
        <f>INDEX(Items!B$2:B$1032,MATCH($O41,Items!$A$2:$A$1032,0))</f>
        <v>#N/A</v>
      </c>
      <c r="Q41" t="e">
        <f>INDEX(Items!C$2:C$1032,MATCH($O41,Items!$A$2:$A$1032,0))</f>
        <v>#N/A</v>
      </c>
      <c r="R41" t="e">
        <f>INDEX(Items!D$2:D$1032,MATCH($O41,Items!$A$2:$A$1032,0))</f>
        <v>#N/A</v>
      </c>
    </row>
    <row r="42" spans="1:18" x14ac:dyDescent="0.25">
      <c r="A42">
        <f t="shared" si="0"/>
        <v>1</v>
      </c>
      <c r="B42" t="str">
        <f t="shared" si="1"/>
        <v/>
      </c>
      <c r="C42">
        <f t="shared" si="5"/>
        <v>1</v>
      </c>
      <c r="D42" s="4"/>
      <c r="F42" t="s">
        <v>47</v>
      </c>
      <c r="G42" t="s">
        <v>46</v>
      </c>
      <c r="M42">
        <f t="shared" si="6"/>
        <v>0</v>
      </c>
      <c r="N42">
        <f t="shared" si="4"/>
        <v>0</v>
      </c>
      <c r="P42" t="e">
        <f>INDEX(Items!B$2:B$1032,MATCH($O42,Items!$A$2:$A$1032,0))</f>
        <v>#N/A</v>
      </c>
      <c r="Q42" t="e">
        <f>INDEX(Items!C$2:C$1032,MATCH($O42,Items!$A$2:$A$1032,0))</f>
        <v>#N/A</v>
      </c>
      <c r="R42" t="e">
        <f>INDEX(Items!D$2:D$1032,MATCH($O42,Items!$A$2:$A$1032,0))</f>
        <v>#N/A</v>
      </c>
    </row>
    <row r="43" spans="1:18" x14ac:dyDescent="0.25">
      <c r="A43">
        <f t="shared" si="0"/>
        <v>1</v>
      </c>
      <c r="B43" t="str">
        <f t="shared" si="1"/>
        <v/>
      </c>
      <c r="C43">
        <f t="shared" si="5"/>
        <v>1</v>
      </c>
      <c r="D43" s="4"/>
      <c r="F43" t="s">
        <v>47</v>
      </c>
      <c r="G43" t="s">
        <v>46</v>
      </c>
      <c r="M43">
        <f t="shared" si="6"/>
        <v>0</v>
      </c>
      <c r="N43">
        <f t="shared" si="4"/>
        <v>0</v>
      </c>
      <c r="P43" t="e">
        <f>INDEX(Items!B$2:B$1032,MATCH($O43,Items!$A$2:$A$1032,0))</f>
        <v>#N/A</v>
      </c>
      <c r="Q43" t="e">
        <f>INDEX(Items!C$2:C$1032,MATCH($O43,Items!$A$2:$A$1032,0))</f>
        <v>#N/A</v>
      </c>
      <c r="R43" t="e">
        <f>INDEX(Items!D$2:D$1032,MATCH($O43,Items!$A$2:$A$1032,0))</f>
        <v>#N/A</v>
      </c>
    </row>
    <row r="44" spans="1:18" x14ac:dyDescent="0.25">
      <c r="A44">
        <f t="shared" si="0"/>
        <v>1</v>
      </c>
      <c r="B44" t="str">
        <f t="shared" si="1"/>
        <v/>
      </c>
      <c r="C44">
        <f t="shared" si="5"/>
        <v>1</v>
      </c>
      <c r="D44" s="4"/>
      <c r="F44" t="s">
        <v>43</v>
      </c>
      <c r="G44" t="s">
        <v>48</v>
      </c>
      <c r="M44">
        <f t="shared" si="6"/>
        <v>0</v>
      </c>
      <c r="N44">
        <f t="shared" si="4"/>
        <v>0</v>
      </c>
      <c r="P44" t="e">
        <f>INDEX(Items!B$2:B$1032,MATCH($O44,Items!$A$2:$A$1032,0))</f>
        <v>#N/A</v>
      </c>
      <c r="Q44" t="e">
        <f>INDEX(Items!C$2:C$1032,MATCH($O44,Items!$A$2:$A$1032,0))</f>
        <v>#N/A</v>
      </c>
      <c r="R44" t="e">
        <f>INDEX(Items!D$2:D$1032,MATCH($O44,Items!$A$2:$A$1032,0))</f>
        <v>#N/A</v>
      </c>
    </row>
    <row r="45" spans="1:18" x14ac:dyDescent="0.25">
      <c r="A45">
        <f t="shared" si="0"/>
        <v>1</v>
      </c>
      <c r="B45" t="str">
        <f t="shared" si="1"/>
        <v/>
      </c>
      <c r="C45">
        <f t="shared" si="5"/>
        <v>1</v>
      </c>
      <c r="D45" s="4"/>
      <c r="F45" t="s">
        <v>43</v>
      </c>
      <c r="G45" t="s">
        <v>48</v>
      </c>
      <c r="M45">
        <f t="shared" si="6"/>
        <v>0</v>
      </c>
      <c r="N45">
        <f t="shared" si="4"/>
        <v>0</v>
      </c>
      <c r="P45" t="e">
        <f>INDEX(Items!B$2:B$1032,MATCH($O45,Items!$A$2:$A$1032,0))</f>
        <v>#N/A</v>
      </c>
      <c r="Q45" t="e">
        <f>INDEX(Items!C$2:C$1032,MATCH($O45,Items!$A$2:$A$1032,0))</f>
        <v>#N/A</v>
      </c>
      <c r="R45" t="e">
        <f>INDEX(Items!D$2:D$1032,MATCH($O45,Items!$A$2:$A$1032,0))</f>
        <v>#N/A</v>
      </c>
    </row>
    <row r="46" spans="1:18" x14ac:dyDescent="0.25">
      <c r="A46">
        <f t="shared" si="0"/>
        <v>1</v>
      </c>
      <c r="B46" t="str">
        <f t="shared" si="1"/>
        <v/>
      </c>
      <c r="C46">
        <f t="shared" si="5"/>
        <v>1</v>
      </c>
      <c r="D46" s="4"/>
      <c r="F46" t="e">
        <f>INDEX(Establishment!B$2:B$1005,MATCH($E46,Establishment!$A$2:$A$1005,0))</f>
        <v>#N/A</v>
      </c>
      <c r="G46" t="e">
        <f>INDEX(Establishment!C$2:C$1005,MATCH($E46,Establishment!$A$2:$A$1005,0))</f>
        <v>#N/A</v>
      </c>
      <c r="M46">
        <f t="shared" si="6"/>
        <v>0</v>
      </c>
      <c r="N46">
        <f t="shared" si="4"/>
        <v>0</v>
      </c>
      <c r="P46" t="e">
        <f>INDEX(Items!B$2:B$1032,MATCH($O46,Items!$A$2:$A$1032,0))</f>
        <v>#N/A</v>
      </c>
      <c r="Q46" t="e">
        <f>INDEX(Items!C$2:C$1032,MATCH($O46,Items!$A$2:$A$1032,0))</f>
        <v>#N/A</v>
      </c>
      <c r="R46" t="e">
        <f>INDEX(Items!D$2:D$1032,MATCH($O46,Items!$A$2:$A$1032,0))</f>
        <v>#N/A</v>
      </c>
    </row>
    <row r="47" spans="1:18" x14ac:dyDescent="0.25">
      <c r="A47">
        <f t="shared" si="0"/>
        <v>1</v>
      </c>
      <c r="B47" t="str">
        <f t="shared" si="1"/>
        <v/>
      </c>
      <c r="C47">
        <f t="shared" si="5"/>
        <v>1</v>
      </c>
      <c r="D47" s="4"/>
      <c r="F47" t="e">
        <f>INDEX(Establishment!B$2:B$1005,MATCH($E47,Establishment!$A$2:$A$1005,0))</f>
        <v>#N/A</v>
      </c>
      <c r="G47" t="e">
        <f>INDEX(Establishment!C$2:C$1005,MATCH($E47,Establishment!$A$2:$A$1005,0))</f>
        <v>#N/A</v>
      </c>
      <c r="M47">
        <f t="shared" si="6"/>
        <v>0</v>
      </c>
      <c r="N47">
        <f t="shared" si="4"/>
        <v>0</v>
      </c>
      <c r="P47" t="e">
        <f>INDEX(Items!B$2:B$1032,MATCH($O47,Items!$A$2:$A$1032,0))</f>
        <v>#N/A</v>
      </c>
      <c r="Q47" t="e">
        <f>INDEX(Items!C$2:C$1032,MATCH($O47,Items!$A$2:$A$1032,0))</f>
        <v>#N/A</v>
      </c>
      <c r="R47" t="e">
        <f>INDEX(Items!D$2:D$1032,MATCH($O47,Items!$A$2:$A$1032,0))</f>
        <v>#N/A</v>
      </c>
    </row>
    <row r="48" spans="1:18" x14ac:dyDescent="0.25">
      <c r="A48">
        <f t="shared" si="0"/>
        <v>1</v>
      </c>
      <c r="B48" t="str">
        <f t="shared" si="1"/>
        <v/>
      </c>
      <c r="C48">
        <f t="shared" si="5"/>
        <v>1</v>
      </c>
      <c r="D48" s="4"/>
      <c r="F48" t="e">
        <f>INDEX(Establishment!B$2:B$1005,MATCH($E48,Establishment!$A$2:$A$1005,0))</f>
        <v>#N/A</v>
      </c>
      <c r="G48" t="e">
        <f>INDEX(Establishment!C$2:C$1005,MATCH($E48,Establishment!$A$2:$A$1005,0))</f>
        <v>#N/A</v>
      </c>
      <c r="M48">
        <f t="shared" si="6"/>
        <v>0</v>
      </c>
      <c r="N48">
        <f t="shared" si="4"/>
        <v>0</v>
      </c>
      <c r="P48" t="e">
        <f>INDEX(Items!B$2:B$1032,MATCH($O48,Items!$A$2:$A$1032,0))</f>
        <v>#N/A</v>
      </c>
      <c r="Q48" t="e">
        <f>INDEX(Items!C$2:C$1032,MATCH($O48,Items!$A$2:$A$1032,0))</f>
        <v>#N/A</v>
      </c>
      <c r="R48" t="e">
        <f>INDEX(Items!D$2:D$1032,MATCH($O48,Items!$A$2:$A$1032,0))</f>
        <v>#N/A</v>
      </c>
    </row>
    <row r="49" spans="1:18" x14ac:dyDescent="0.25">
      <c r="A49">
        <f t="shared" si="0"/>
        <v>1</v>
      </c>
      <c r="B49" t="str">
        <f t="shared" si="1"/>
        <v/>
      </c>
      <c r="C49">
        <f t="shared" si="5"/>
        <v>1</v>
      </c>
      <c r="D49" s="4"/>
      <c r="F49" t="e">
        <f>INDEX(Establishment!B$2:B$1005,MATCH($E49,Establishment!$A$2:$A$1005,0))</f>
        <v>#N/A</v>
      </c>
      <c r="G49" t="e">
        <f>INDEX(Establishment!C$2:C$1005,MATCH($E49,Establishment!$A$2:$A$1005,0))</f>
        <v>#N/A</v>
      </c>
      <c r="M49">
        <f t="shared" si="6"/>
        <v>0</v>
      </c>
      <c r="N49">
        <f t="shared" si="4"/>
        <v>0</v>
      </c>
      <c r="P49" t="e">
        <f>INDEX(Items!B$2:B$1032,MATCH($O49,Items!$A$2:$A$1032,0))</f>
        <v>#N/A</v>
      </c>
      <c r="Q49" t="e">
        <f>INDEX(Items!C$2:C$1032,MATCH($O49,Items!$A$2:$A$1032,0))</f>
        <v>#N/A</v>
      </c>
      <c r="R49" t="e">
        <f>INDEX(Items!D$2:D$1032,MATCH($O49,Items!$A$2:$A$1032,0))</f>
        <v>#N/A</v>
      </c>
    </row>
    <row r="50" spans="1:18" x14ac:dyDescent="0.25">
      <c r="A50">
        <f t="shared" si="0"/>
        <v>1</v>
      </c>
      <c r="B50" t="str">
        <f t="shared" si="1"/>
        <v/>
      </c>
      <c r="C50">
        <f t="shared" si="5"/>
        <v>1</v>
      </c>
      <c r="D50" s="4"/>
      <c r="F50" t="e">
        <f>INDEX(Establishment!B$2:B$1005,MATCH($E50,Establishment!$A$2:$A$1005,0))</f>
        <v>#N/A</v>
      </c>
      <c r="G50" t="e">
        <f>INDEX(Establishment!C$2:C$1005,MATCH($E50,Establishment!$A$2:$A$1005,0))</f>
        <v>#N/A</v>
      </c>
      <c r="M50">
        <f t="shared" si="6"/>
        <v>0</v>
      </c>
      <c r="N50">
        <f t="shared" si="4"/>
        <v>0</v>
      </c>
      <c r="P50" t="e">
        <f>INDEX(Items!B$2:B$1032,MATCH($O50,Items!$A$2:$A$1032,0))</f>
        <v>#N/A</v>
      </c>
      <c r="Q50" t="e">
        <f>INDEX(Items!C$2:C$1032,MATCH($O50,Items!$A$2:$A$1032,0))</f>
        <v>#N/A</v>
      </c>
      <c r="R50" t="e">
        <f>INDEX(Items!D$2:D$1032,MATCH($O50,Items!$A$2:$A$1032,0))</f>
        <v>#N/A</v>
      </c>
    </row>
    <row r="51" spans="1:18" x14ac:dyDescent="0.25">
      <c r="A51">
        <f t="shared" si="0"/>
        <v>1</v>
      </c>
      <c r="B51" t="str">
        <f t="shared" si="1"/>
        <v/>
      </c>
      <c r="C51">
        <f t="shared" si="5"/>
        <v>1</v>
      </c>
      <c r="D51" s="4"/>
      <c r="F51" t="e">
        <f>INDEX(Establishment!B$2:B$1005,MATCH($E51,Establishment!$A$2:$A$1005,0))</f>
        <v>#N/A</v>
      </c>
      <c r="G51" t="e">
        <f>INDEX(Establishment!C$2:C$1005,MATCH($E51,Establishment!$A$2:$A$1005,0))</f>
        <v>#N/A</v>
      </c>
      <c r="M51">
        <f t="shared" si="6"/>
        <v>0</v>
      </c>
      <c r="N51">
        <f t="shared" si="4"/>
        <v>0</v>
      </c>
      <c r="P51" t="e">
        <f>INDEX(Items!B$2:B$1032,MATCH($O51,Items!$A$2:$A$1032,0))</f>
        <v>#N/A</v>
      </c>
      <c r="Q51" t="e">
        <f>INDEX(Items!C$2:C$1032,MATCH($O51,Items!$A$2:$A$1032,0))</f>
        <v>#N/A</v>
      </c>
      <c r="R51" t="e">
        <f>INDEX(Items!D$2:D$1032,MATCH($O51,Items!$A$2:$A$1032,0))</f>
        <v>#N/A</v>
      </c>
    </row>
    <row r="52" spans="1:18" x14ac:dyDescent="0.25">
      <c r="A52">
        <f t="shared" si="0"/>
        <v>1</v>
      </c>
      <c r="B52" t="str">
        <f t="shared" si="1"/>
        <v/>
      </c>
      <c r="C52">
        <f t="shared" si="5"/>
        <v>1</v>
      </c>
      <c r="D52" s="4"/>
      <c r="F52" t="e">
        <f>INDEX(Establishment!B$2:B$1005,MATCH($E52,Establishment!$A$2:$A$1005,0))</f>
        <v>#N/A</v>
      </c>
      <c r="G52" t="e">
        <f>INDEX(Establishment!C$2:C$1005,MATCH($E52,Establishment!$A$2:$A$1005,0))</f>
        <v>#N/A</v>
      </c>
      <c r="M52">
        <f t="shared" si="6"/>
        <v>0</v>
      </c>
      <c r="N52">
        <f t="shared" si="4"/>
        <v>0</v>
      </c>
      <c r="P52" t="e">
        <f>INDEX(Items!B$2:B$1032,MATCH($O52,Items!$A$2:$A$1032,0))</f>
        <v>#N/A</v>
      </c>
      <c r="Q52" t="e">
        <f>INDEX(Items!C$2:C$1032,MATCH($O52,Items!$A$2:$A$1032,0))</f>
        <v>#N/A</v>
      </c>
      <c r="R52" t="e">
        <f>INDEX(Items!D$2:D$1032,MATCH($O52,Items!$A$2:$A$1032,0))</f>
        <v>#N/A</v>
      </c>
    </row>
    <row r="53" spans="1:18" x14ac:dyDescent="0.25">
      <c r="A53">
        <f t="shared" si="0"/>
        <v>1</v>
      </c>
      <c r="B53" t="str">
        <f t="shared" si="1"/>
        <v/>
      </c>
      <c r="C53">
        <f t="shared" si="5"/>
        <v>1</v>
      </c>
      <c r="D53" s="4"/>
      <c r="F53" t="e">
        <f>INDEX(Establishment!B$2:B$1005,MATCH($E53,Establishment!$A$2:$A$1005,0))</f>
        <v>#N/A</v>
      </c>
      <c r="G53" t="e">
        <f>INDEX(Establishment!C$2:C$1005,MATCH($E53,Establishment!$A$2:$A$1005,0))</f>
        <v>#N/A</v>
      </c>
      <c r="M53">
        <f t="shared" si="6"/>
        <v>0</v>
      </c>
      <c r="N53">
        <f t="shared" si="4"/>
        <v>0</v>
      </c>
      <c r="P53" t="e">
        <f>INDEX(Items!B$2:B$1032,MATCH($O53,Items!$A$2:$A$1032,0))</f>
        <v>#N/A</v>
      </c>
      <c r="Q53" t="e">
        <f>INDEX(Items!C$2:C$1032,MATCH($O53,Items!$A$2:$A$1032,0))</f>
        <v>#N/A</v>
      </c>
      <c r="R53" t="e">
        <f>INDEX(Items!D$2:D$1032,MATCH($O53,Items!$A$2:$A$1032,0))</f>
        <v>#N/A</v>
      </c>
    </row>
    <row r="54" spans="1:18" x14ac:dyDescent="0.25">
      <c r="A54">
        <f t="shared" si="0"/>
        <v>1</v>
      </c>
      <c r="B54" t="str">
        <f t="shared" si="1"/>
        <v/>
      </c>
      <c r="C54">
        <f t="shared" si="5"/>
        <v>1</v>
      </c>
      <c r="D54" s="4"/>
      <c r="F54" t="e">
        <f>INDEX(Establishment!B$2:B$1005,MATCH($E54,Establishment!$A$2:$A$1005,0))</f>
        <v>#N/A</v>
      </c>
      <c r="G54" t="e">
        <f>INDEX(Establishment!C$2:C$1005,MATCH($E54,Establishment!$A$2:$A$1005,0))</f>
        <v>#N/A</v>
      </c>
      <c r="M54">
        <f t="shared" si="6"/>
        <v>0</v>
      </c>
      <c r="N54">
        <f t="shared" si="4"/>
        <v>0</v>
      </c>
      <c r="P54" t="e">
        <f>INDEX(Items!B$2:B$1032,MATCH($O54,Items!$A$2:$A$1032,0))</f>
        <v>#N/A</v>
      </c>
      <c r="Q54" t="e">
        <f>INDEX(Items!C$2:C$1032,MATCH($O54,Items!$A$2:$A$1032,0))</f>
        <v>#N/A</v>
      </c>
      <c r="R54" t="e">
        <f>INDEX(Items!D$2:D$1032,MATCH($O54,Items!$A$2:$A$1032,0))</f>
        <v>#N/A</v>
      </c>
    </row>
    <row r="55" spans="1:18" x14ac:dyDescent="0.25">
      <c r="A55">
        <f t="shared" si="0"/>
        <v>1</v>
      </c>
      <c r="B55" t="str">
        <f t="shared" si="1"/>
        <v/>
      </c>
      <c r="C55">
        <f t="shared" si="5"/>
        <v>1</v>
      </c>
      <c r="D55" s="4"/>
      <c r="F55" t="e">
        <f>INDEX(Establishment!B$2:B$1005,MATCH($E55,Establishment!$A$2:$A$1005,0))</f>
        <v>#N/A</v>
      </c>
      <c r="G55" t="e">
        <f>INDEX(Establishment!C$2:C$1005,MATCH($E55,Establishment!$A$2:$A$1005,0))</f>
        <v>#N/A</v>
      </c>
      <c r="M55">
        <f t="shared" si="6"/>
        <v>0</v>
      </c>
      <c r="N55">
        <f t="shared" si="4"/>
        <v>0</v>
      </c>
      <c r="P55" t="e">
        <f>INDEX(Items!B$2:B$1032,MATCH($O55,Items!$A$2:$A$1032,0))</f>
        <v>#N/A</v>
      </c>
      <c r="Q55" t="e">
        <f>INDEX(Items!C$2:C$1032,MATCH($O55,Items!$A$2:$A$1032,0))</f>
        <v>#N/A</v>
      </c>
      <c r="R55" t="e">
        <f>INDEX(Items!D$2:D$1032,MATCH($O55,Items!$A$2:$A$1032,0))</f>
        <v>#N/A</v>
      </c>
    </row>
    <row r="56" spans="1:18" x14ac:dyDescent="0.25">
      <c r="A56">
        <f t="shared" si="0"/>
        <v>1</v>
      </c>
      <c r="B56" t="str">
        <f t="shared" si="1"/>
        <v/>
      </c>
      <c r="C56">
        <f t="shared" si="5"/>
        <v>1</v>
      </c>
      <c r="D56" s="4"/>
      <c r="F56" t="e">
        <f>INDEX(Establishment!B$2:B$1005,MATCH($E56,Establishment!$A$2:$A$1005,0))</f>
        <v>#N/A</v>
      </c>
      <c r="G56" t="e">
        <f>INDEX(Establishment!C$2:C$1005,MATCH($E56,Establishment!$A$2:$A$1005,0))</f>
        <v>#N/A</v>
      </c>
      <c r="M56">
        <f t="shared" si="6"/>
        <v>0</v>
      </c>
      <c r="N56">
        <f t="shared" si="4"/>
        <v>0</v>
      </c>
      <c r="P56" t="e">
        <f>INDEX(Items!B$2:B$1032,MATCH($O56,Items!$A$2:$A$1032,0))</f>
        <v>#N/A</v>
      </c>
      <c r="Q56" t="e">
        <f>INDEX(Items!C$2:C$1032,MATCH($O56,Items!$A$2:$A$1032,0))</f>
        <v>#N/A</v>
      </c>
      <c r="R56" t="e">
        <f>INDEX(Items!D$2:D$1032,MATCH($O56,Items!$A$2:$A$1032,0))</f>
        <v>#N/A</v>
      </c>
    </row>
    <row r="57" spans="1:18" x14ac:dyDescent="0.25">
      <c r="A57">
        <f t="shared" si="0"/>
        <v>1</v>
      </c>
      <c r="B57" t="str">
        <f t="shared" si="1"/>
        <v/>
      </c>
      <c r="C57">
        <f t="shared" si="5"/>
        <v>1</v>
      </c>
      <c r="D57" s="4"/>
      <c r="F57" t="e">
        <f>INDEX(Establishment!B$2:B$1005,MATCH($E57,Establishment!$A$2:$A$1005,0))</f>
        <v>#N/A</v>
      </c>
      <c r="G57" t="e">
        <f>INDEX(Establishment!C$2:C$1005,MATCH($E57,Establishment!$A$2:$A$1005,0))</f>
        <v>#N/A</v>
      </c>
      <c r="M57">
        <f t="shared" si="6"/>
        <v>0</v>
      </c>
      <c r="N57">
        <f t="shared" si="4"/>
        <v>0</v>
      </c>
      <c r="P57" t="e">
        <f>INDEX(Items!B$2:B$1032,MATCH($O57,Items!$A$2:$A$1032,0))</f>
        <v>#N/A</v>
      </c>
      <c r="Q57" t="e">
        <f>INDEX(Items!C$2:C$1032,MATCH($O57,Items!$A$2:$A$1032,0))</f>
        <v>#N/A</v>
      </c>
      <c r="R57" t="e">
        <f>INDEX(Items!D$2:D$1032,MATCH($O57,Items!$A$2:$A$1032,0))</f>
        <v>#N/A</v>
      </c>
    </row>
    <row r="58" spans="1:18" x14ac:dyDescent="0.25">
      <c r="A58">
        <f t="shared" si="0"/>
        <v>1</v>
      </c>
      <c r="B58" t="str">
        <f t="shared" si="1"/>
        <v/>
      </c>
      <c r="C58">
        <f t="shared" si="5"/>
        <v>1</v>
      </c>
      <c r="D58" s="4"/>
      <c r="F58" t="e">
        <f>INDEX(Establishment!B$2:B$1005,MATCH($E58,Establishment!$A$2:$A$1005,0))</f>
        <v>#N/A</v>
      </c>
      <c r="G58" t="e">
        <f>INDEX(Establishment!C$2:C$1005,MATCH($E58,Establishment!$A$2:$A$1005,0))</f>
        <v>#N/A</v>
      </c>
      <c r="M58">
        <f t="shared" si="6"/>
        <v>0</v>
      </c>
      <c r="N58">
        <f t="shared" si="4"/>
        <v>0</v>
      </c>
      <c r="P58" t="e">
        <f>INDEX(Items!B$2:B$1032,MATCH($O58,Items!$A$2:$A$1032,0))</f>
        <v>#N/A</v>
      </c>
      <c r="Q58" t="e">
        <f>INDEX(Items!C$2:C$1032,MATCH($O58,Items!$A$2:$A$1032,0))</f>
        <v>#N/A</v>
      </c>
      <c r="R58" t="e">
        <f>INDEX(Items!D$2:D$1032,MATCH($O58,Items!$A$2:$A$1032,0))</f>
        <v>#N/A</v>
      </c>
    </row>
    <row r="59" spans="1:18" x14ac:dyDescent="0.25">
      <c r="A59">
        <f t="shared" si="0"/>
        <v>1</v>
      </c>
      <c r="B59" t="str">
        <f t="shared" si="1"/>
        <v/>
      </c>
      <c r="C59">
        <f t="shared" si="5"/>
        <v>1</v>
      </c>
      <c r="D59" s="4"/>
      <c r="F59" t="e">
        <f>INDEX(Establishment!B$2:B$1005,MATCH($E59,Establishment!$A$2:$A$1005,0))</f>
        <v>#N/A</v>
      </c>
      <c r="G59" t="e">
        <f>INDEX(Establishment!C$2:C$1005,MATCH($E59,Establishment!$A$2:$A$1005,0))</f>
        <v>#N/A</v>
      </c>
      <c r="M59">
        <f t="shared" si="6"/>
        <v>0</v>
      </c>
      <c r="N59">
        <f t="shared" si="4"/>
        <v>0</v>
      </c>
      <c r="P59" t="e">
        <f>INDEX(Items!B$2:B$1032,MATCH($O59,Items!$A$2:$A$1032,0))</f>
        <v>#N/A</v>
      </c>
      <c r="Q59" t="e">
        <f>INDEX(Items!C$2:C$1032,MATCH($O59,Items!$A$2:$A$1032,0))</f>
        <v>#N/A</v>
      </c>
      <c r="R59" t="e">
        <f>INDEX(Items!D$2:D$1032,MATCH($O59,Items!$A$2:$A$1032,0))</f>
        <v>#N/A</v>
      </c>
    </row>
    <row r="60" spans="1:18" x14ac:dyDescent="0.25">
      <c r="A60">
        <f t="shared" si="0"/>
        <v>1</v>
      </c>
      <c r="B60" t="str">
        <f t="shared" si="1"/>
        <v/>
      </c>
      <c r="C60">
        <f t="shared" si="5"/>
        <v>1</v>
      </c>
      <c r="D60" s="4"/>
      <c r="F60" t="e">
        <f>INDEX(Establishment!B$2:B$1005,MATCH($E60,Establishment!$A$2:$A$1005,0))</f>
        <v>#N/A</v>
      </c>
      <c r="G60" t="e">
        <f>INDEX(Establishment!C$2:C$1005,MATCH($E60,Establishment!$A$2:$A$1005,0))</f>
        <v>#N/A</v>
      </c>
      <c r="M60">
        <f t="shared" si="6"/>
        <v>0</v>
      </c>
      <c r="N60">
        <f t="shared" si="4"/>
        <v>0</v>
      </c>
      <c r="P60" t="e">
        <f>INDEX(Items!B$2:B$1032,MATCH($O60,Items!$A$2:$A$1032,0))</f>
        <v>#N/A</v>
      </c>
      <c r="Q60" t="e">
        <f>INDEX(Items!C$2:C$1032,MATCH($O60,Items!$A$2:$A$1032,0))</f>
        <v>#N/A</v>
      </c>
      <c r="R60" t="e">
        <f>INDEX(Items!D$2:D$1032,MATCH($O60,Items!$A$2:$A$1032,0))</f>
        <v>#N/A</v>
      </c>
    </row>
    <row r="61" spans="1:18" x14ac:dyDescent="0.25">
      <c r="A61">
        <f t="shared" si="0"/>
        <v>1</v>
      </c>
      <c r="B61" t="str">
        <f t="shared" si="1"/>
        <v/>
      </c>
      <c r="C61">
        <f t="shared" si="5"/>
        <v>1</v>
      </c>
      <c r="D61" s="4"/>
      <c r="F61" t="e">
        <f>INDEX(Establishment!B$2:B$1005,MATCH($E61,Establishment!$A$2:$A$1005,0))</f>
        <v>#N/A</v>
      </c>
      <c r="G61" t="e">
        <f>INDEX(Establishment!C$2:C$1005,MATCH($E61,Establishment!$A$2:$A$1005,0))</f>
        <v>#N/A</v>
      </c>
      <c r="M61">
        <f t="shared" si="6"/>
        <v>0</v>
      </c>
      <c r="N61">
        <f t="shared" si="4"/>
        <v>0</v>
      </c>
      <c r="P61" t="e">
        <f>INDEX(Items!B$2:B$1032,MATCH($O61,Items!$A$2:$A$1032,0))</f>
        <v>#N/A</v>
      </c>
      <c r="Q61" t="e">
        <f>INDEX(Items!C$2:C$1032,MATCH($O61,Items!$A$2:$A$1032,0))</f>
        <v>#N/A</v>
      </c>
      <c r="R61" t="e">
        <f>INDEX(Items!D$2:D$1032,MATCH($O61,Items!$A$2:$A$1032,0))</f>
        <v>#N/A</v>
      </c>
    </row>
    <row r="62" spans="1:18" x14ac:dyDescent="0.25">
      <c r="A62">
        <f t="shared" si="0"/>
        <v>1</v>
      </c>
      <c r="B62" t="str">
        <f t="shared" si="1"/>
        <v/>
      </c>
      <c r="C62">
        <f t="shared" si="5"/>
        <v>1</v>
      </c>
      <c r="D62" s="4"/>
      <c r="F62" t="e">
        <f>INDEX(Establishment!B$2:B$1005,MATCH($E62,Establishment!$A$2:$A$1005,0))</f>
        <v>#N/A</v>
      </c>
      <c r="G62" t="e">
        <f>INDEX(Establishment!C$2:C$1005,MATCH($E62,Establishment!$A$2:$A$1005,0))</f>
        <v>#N/A</v>
      </c>
      <c r="M62">
        <f t="shared" si="6"/>
        <v>0</v>
      </c>
      <c r="N62">
        <f t="shared" si="4"/>
        <v>0</v>
      </c>
      <c r="P62" t="e">
        <f>INDEX(Items!B$2:B$1032,MATCH($O62,Items!$A$2:$A$1032,0))</f>
        <v>#N/A</v>
      </c>
      <c r="Q62" t="e">
        <f>INDEX(Items!C$2:C$1032,MATCH($O62,Items!$A$2:$A$1032,0))</f>
        <v>#N/A</v>
      </c>
      <c r="R62" t="e">
        <f>INDEX(Items!D$2:D$1032,MATCH($O62,Items!$A$2:$A$1032,0))</f>
        <v>#N/A</v>
      </c>
    </row>
    <row r="63" spans="1:18" x14ac:dyDescent="0.25">
      <c r="A63">
        <f t="shared" si="0"/>
        <v>1</v>
      </c>
      <c r="B63" t="str">
        <f t="shared" si="1"/>
        <v/>
      </c>
      <c r="C63">
        <f t="shared" si="5"/>
        <v>1</v>
      </c>
      <c r="D63" s="4"/>
      <c r="F63" t="e">
        <f>INDEX(Establishment!B$2:B$1005,MATCH($E63,Establishment!$A$2:$A$1005,0))</f>
        <v>#N/A</v>
      </c>
      <c r="G63" t="e">
        <f>INDEX(Establishment!C$2:C$1005,MATCH($E63,Establishment!$A$2:$A$1005,0))</f>
        <v>#N/A</v>
      </c>
      <c r="M63">
        <f t="shared" si="6"/>
        <v>0</v>
      </c>
      <c r="N63">
        <f t="shared" si="4"/>
        <v>0</v>
      </c>
      <c r="P63" t="e">
        <f>INDEX(Items!B$2:B$1032,MATCH($O63,Items!$A$2:$A$1032,0))</f>
        <v>#N/A</v>
      </c>
      <c r="Q63" t="e">
        <f>INDEX(Items!C$2:C$1032,MATCH($O63,Items!$A$2:$A$1032,0))</f>
        <v>#N/A</v>
      </c>
      <c r="R63" t="e">
        <f>INDEX(Items!D$2:D$1032,MATCH($O63,Items!$A$2:$A$1032,0))</f>
        <v>#N/A</v>
      </c>
    </row>
    <row r="64" spans="1:18" x14ac:dyDescent="0.25">
      <c r="A64">
        <f t="shared" si="0"/>
        <v>1</v>
      </c>
      <c r="B64" t="str">
        <f t="shared" si="1"/>
        <v/>
      </c>
      <c r="C64">
        <f t="shared" si="5"/>
        <v>1</v>
      </c>
      <c r="D64" s="4"/>
      <c r="F64" t="e">
        <f>INDEX(Establishment!B$2:B$1005,MATCH($E64,Establishment!$A$2:$A$1005,0))</f>
        <v>#N/A</v>
      </c>
      <c r="G64" t="e">
        <f>INDEX(Establishment!C$2:C$1005,MATCH($E64,Establishment!$A$2:$A$1005,0))</f>
        <v>#N/A</v>
      </c>
      <c r="M64">
        <f t="shared" si="6"/>
        <v>0</v>
      </c>
      <c r="N64">
        <f t="shared" si="4"/>
        <v>0</v>
      </c>
      <c r="P64" t="e">
        <f>INDEX(Items!B$2:B$1032,MATCH($O64,Items!$A$2:$A$1032,0))</f>
        <v>#N/A</v>
      </c>
      <c r="Q64" t="e">
        <f>INDEX(Items!C$2:C$1032,MATCH($O64,Items!$A$2:$A$1032,0))</f>
        <v>#N/A</v>
      </c>
      <c r="R64" t="e">
        <f>INDEX(Items!D$2:D$1032,MATCH($O64,Items!$A$2:$A$1032,0))</f>
        <v>#N/A</v>
      </c>
    </row>
    <row r="65" spans="1:18" x14ac:dyDescent="0.25">
      <c r="A65">
        <f t="shared" si="0"/>
        <v>1</v>
      </c>
      <c r="B65" t="str">
        <f t="shared" si="1"/>
        <v/>
      </c>
      <c r="C65">
        <f t="shared" si="5"/>
        <v>1</v>
      </c>
      <c r="D65" s="4"/>
      <c r="F65" t="e">
        <f>INDEX(Establishment!B$2:B$1005,MATCH($E65,Establishment!$A$2:$A$1005,0))</f>
        <v>#N/A</v>
      </c>
      <c r="G65" t="e">
        <f>INDEX(Establishment!C$2:C$1005,MATCH($E65,Establishment!$A$2:$A$1005,0))</f>
        <v>#N/A</v>
      </c>
      <c r="M65">
        <f t="shared" si="6"/>
        <v>0</v>
      </c>
      <c r="N65">
        <f t="shared" si="4"/>
        <v>0</v>
      </c>
      <c r="P65" t="e">
        <f>INDEX(Items!B$2:B$1032,MATCH($O65,Items!$A$2:$A$1032,0))</f>
        <v>#N/A</v>
      </c>
      <c r="Q65" t="e">
        <f>INDEX(Items!C$2:C$1032,MATCH($O65,Items!$A$2:$A$1032,0))</f>
        <v>#N/A</v>
      </c>
      <c r="R65" t="e">
        <f>INDEX(Items!D$2:D$1032,MATCH($O65,Items!$A$2:$A$1032,0))</f>
        <v>#N/A</v>
      </c>
    </row>
    <row r="66" spans="1:18" x14ac:dyDescent="0.25">
      <c r="A66">
        <f t="shared" ref="A66:A129" si="7">IF(OR(D66&lt;&gt;D65,D66=""),1,IF(NOT(AND(E66=E65,F66=F65,G66=G65)),A65+1,IF(OR(H66="",AND(H66&lt;&gt;"",H66&lt;&gt;H65,H65&lt;&gt;"")),A65,A65+1)))</f>
        <v>1</v>
      </c>
      <c r="B66" t="str">
        <f t="shared" ref="B66:B129" si="8">IF(D66&lt;&gt;"",TEXT(D66,"YYYYMMDD")&amp;CHAR(64+A66),"")</f>
        <v/>
      </c>
      <c r="C66">
        <f t="shared" si="5"/>
        <v>1</v>
      </c>
      <c r="D66" s="4"/>
      <c r="F66" t="e">
        <f>INDEX(Establishment!B$2:B$1005,MATCH($E66,Establishment!$A$2:$A$1005,0))</f>
        <v>#N/A</v>
      </c>
      <c r="G66" t="e">
        <f>INDEX(Establishment!C$2:C$1005,MATCH($E66,Establishment!$A$2:$A$1005,0))</f>
        <v>#N/A</v>
      </c>
      <c r="M66">
        <f t="shared" si="6"/>
        <v>0</v>
      </c>
      <c r="N66">
        <f t="shared" si="4"/>
        <v>0</v>
      </c>
      <c r="P66" t="e">
        <f>INDEX(Items!B$2:B$1032,MATCH($O66,Items!$A$2:$A$1032,0))</f>
        <v>#N/A</v>
      </c>
      <c r="Q66" t="e">
        <f>INDEX(Items!C$2:C$1032,MATCH($O66,Items!$A$2:$A$1032,0))</f>
        <v>#N/A</v>
      </c>
      <c r="R66" t="e">
        <f>INDEX(Items!D$2:D$1032,MATCH($O66,Items!$A$2:$A$1032,0))</f>
        <v>#N/A</v>
      </c>
    </row>
    <row r="67" spans="1:18" x14ac:dyDescent="0.25">
      <c r="A67">
        <f t="shared" si="7"/>
        <v>1</v>
      </c>
      <c r="B67" t="str">
        <f t="shared" si="8"/>
        <v/>
      </c>
      <c r="C67">
        <f t="shared" si="5"/>
        <v>1</v>
      </c>
      <c r="D67" s="4"/>
      <c r="F67" t="s">
        <v>43</v>
      </c>
      <c r="G67" t="s">
        <v>46</v>
      </c>
      <c r="M67">
        <f t="shared" si="6"/>
        <v>0</v>
      </c>
      <c r="N67">
        <f t="shared" ref="N67:N130" si="9">IF(B67=B66,N66+M67,M67)</f>
        <v>0</v>
      </c>
      <c r="P67" t="e">
        <f>INDEX(Items!B$2:B$1032,MATCH($O67,Items!$A$2:$A$1032,0))</f>
        <v>#N/A</v>
      </c>
      <c r="Q67" t="e">
        <f>INDEX(Items!C$2:C$1032,MATCH($O67,Items!$A$2:$A$1032,0))</f>
        <v>#N/A</v>
      </c>
      <c r="R67" t="e">
        <f>INDEX(Items!D$2:D$1032,MATCH($O67,Items!$A$2:$A$1032,0))</f>
        <v>#N/A</v>
      </c>
    </row>
    <row r="68" spans="1:18" x14ac:dyDescent="0.25">
      <c r="A68">
        <f t="shared" si="7"/>
        <v>1</v>
      </c>
      <c r="B68" t="str">
        <f t="shared" si="8"/>
        <v/>
      </c>
      <c r="C68">
        <f t="shared" si="5"/>
        <v>1</v>
      </c>
      <c r="D68" s="4"/>
      <c r="F68" t="s">
        <v>43</v>
      </c>
      <c r="G68" t="s">
        <v>46</v>
      </c>
      <c r="M68">
        <f t="shared" si="6"/>
        <v>0</v>
      </c>
      <c r="N68">
        <f t="shared" si="9"/>
        <v>0</v>
      </c>
      <c r="P68" t="e">
        <f>INDEX(Items!B$2:B$1032,MATCH($O68,Items!$A$2:$A$1032,0))</f>
        <v>#N/A</v>
      </c>
      <c r="Q68" t="e">
        <f>INDEX(Items!C$2:C$1032,MATCH($O68,Items!$A$2:$A$1032,0))</f>
        <v>#N/A</v>
      </c>
      <c r="R68" t="e">
        <f>INDEX(Items!D$2:D$1032,MATCH($O68,Items!$A$2:$A$1032,0))</f>
        <v>#N/A</v>
      </c>
    </row>
    <row r="69" spans="1:18" x14ac:dyDescent="0.25">
      <c r="A69">
        <f t="shared" si="7"/>
        <v>1</v>
      </c>
      <c r="B69" t="str">
        <f t="shared" si="8"/>
        <v/>
      </c>
      <c r="C69">
        <f t="shared" si="5"/>
        <v>1</v>
      </c>
      <c r="D69" s="4"/>
      <c r="F69" t="s">
        <v>43</v>
      </c>
      <c r="G69" t="s">
        <v>46</v>
      </c>
      <c r="M69">
        <f t="shared" si="6"/>
        <v>0</v>
      </c>
      <c r="N69">
        <f t="shared" si="9"/>
        <v>0</v>
      </c>
      <c r="P69" t="e">
        <f>INDEX(Items!B$2:B$1032,MATCH($O69,Items!$A$2:$A$1032,0))</f>
        <v>#N/A</v>
      </c>
      <c r="Q69" t="e">
        <f>INDEX(Items!C$2:C$1032,MATCH($O69,Items!$A$2:$A$1032,0))</f>
        <v>#N/A</v>
      </c>
      <c r="R69" t="e">
        <f>INDEX(Items!D$2:D$1032,MATCH($O69,Items!$A$2:$A$1032,0))</f>
        <v>#N/A</v>
      </c>
    </row>
    <row r="70" spans="1:18" x14ac:dyDescent="0.25">
      <c r="A70">
        <f t="shared" si="7"/>
        <v>1</v>
      </c>
      <c r="B70" t="str">
        <f t="shared" si="8"/>
        <v/>
      </c>
      <c r="C70">
        <f t="shared" si="5"/>
        <v>1</v>
      </c>
      <c r="D70" s="4"/>
      <c r="F70" t="s">
        <v>43</v>
      </c>
      <c r="G70" t="s">
        <v>46</v>
      </c>
      <c r="M70">
        <f t="shared" si="6"/>
        <v>0</v>
      </c>
      <c r="N70">
        <f t="shared" si="9"/>
        <v>0</v>
      </c>
      <c r="P70" t="e">
        <f>INDEX(Items!B$2:B$1032,MATCH($O70,Items!$A$2:$A$1032,0))</f>
        <v>#N/A</v>
      </c>
      <c r="Q70" t="e">
        <f>INDEX(Items!C$2:C$1032,MATCH($O70,Items!$A$2:$A$1032,0))</f>
        <v>#N/A</v>
      </c>
      <c r="R70" t="e">
        <f>INDEX(Items!D$2:D$1032,MATCH($O70,Items!$A$2:$A$1032,0))</f>
        <v>#N/A</v>
      </c>
    </row>
    <row r="71" spans="1:18" x14ac:dyDescent="0.25">
      <c r="A71">
        <f t="shared" si="7"/>
        <v>1</v>
      </c>
      <c r="B71" t="str">
        <f t="shared" si="8"/>
        <v/>
      </c>
      <c r="C71">
        <f t="shared" si="5"/>
        <v>1</v>
      </c>
      <c r="D71" s="4"/>
      <c r="F71" t="s">
        <v>43</v>
      </c>
      <c r="G71" t="s">
        <v>46</v>
      </c>
      <c r="M71">
        <f t="shared" si="6"/>
        <v>0</v>
      </c>
      <c r="N71">
        <f t="shared" si="9"/>
        <v>0</v>
      </c>
      <c r="P71" t="e">
        <f>INDEX(Items!B$2:B$1032,MATCH($O71,Items!$A$2:$A$1032,0))</f>
        <v>#N/A</v>
      </c>
      <c r="Q71" t="e">
        <f>INDEX(Items!C$2:C$1032,MATCH($O71,Items!$A$2:$A$1032,0))</f>
        <v>#N/A</v>
      </c>
      <c r="R71" t="e">
        <f>INDEX(Items!D$2:D$1032,MATCH($O71,Items!$A$2:$A$1032,0))</f>
        <v>#N/A</v>
      </c>
    </row>
    <row r="72" spans="1:18" x14ac:dyDescent="0.25">
      <c r="A72">
        <f t="shared" si="7"/>
        <v>1</v>
      </c>
      <c r="B72" t="str">
        <f t="shared" si="8"/>
        <v/>
      </c>
      <c r="C72">
        <f t="shared" si="5"/>
        <v>1</v>
      </c>
      <c r="D72" s="4"/>
      <c r="F72" t="s">
        <v>53</v>
      </c>
      <c r="G72" t="s">
        <v>48</v>
      </c>
      <c r="M72">
        <f t="shared" si="6"/>
        <v>0</v>
      </c>
      <c r="N72">
        <f t="shared" si="9"/>
        <v>0</v>
      </c>
      <c r="P72" t="e">
        <f>INDEX(Items!B$2:B$1032,MATCH($O72,Items!$A$2:$A$1032,0))</f>
        <v>#N/A</v>
      </c>
      <c r="Q72" t="e">
        <f>INDEX(Items!C$2:C$1032,MATCH($O72,Items!$A$2:$A$1032,0))</f>
        <v>#N/A</v>
      </c>
      <c r="R72" t="e">
        <f>INDEX(Items!D$2:D$1032,MATCH($O72,Items!$A$2:$A$1032,0))</f>
        <v>#N/A</v>
      </c>
    </row>
    <row r="73" spans="1:18" x14ac:dyDescent="0.25">
      <c r="A73">
        <f t="shared" si="7"/>
        <v>1</v>
      </c>
      <c r="B73" t="str">
        <f t="shared" si="8"/>
        <v/>
      </c>
      <c r="C73">
        <f t="shared" si="5"/>
        <v>1</v>
      </c>
      <c r="D73" s="4"/>
      <c r="F73" t="s">
        <v>53</v>
      </c>
      <c r="G73" t="s">
        <v>48</v>
      </c>
      <c r="M73">
        <f t="shared" si="6"/>
        <v>0</v>
      </c>
      <c r="N73">
        <f t="shared" si="9"/>
        <v>0</v>
      </c>
      <c r="P73" t="e">
        <f>INDEX(Items!B$2:B$1032,MATCH($O73,Items!$A$2:$A$1032,0))</f>
        <v>#N/A</v>
      </c>
      <c r="Q73" t="e">
        <f>INDEX(Items!C$2:C$1032,MATCH($O73,Items!$A$2:$A$1032,0))</f>
        <v>#N/A</v>
      </c>
      <c r="R73" t="e">
        <f>INDEX(Items!D$2:D$1032,MATCH($O73,Items!$A$2:$A$1032,0))</f>
        <v>#N/A</v>
      </c>
    </row>
    <row r="74" spans="1:18" x14ac:dyDescent="0.25">
      <c r="A74">
        <f t="shared" si="7"/>
        <v>1</v>
      </c>
      <c r="B74" t="str">
        <f t="shared" si="8"/>
        <v/>
      </c>
      <c r="C74">
        <f t="shared" ref="C74:C137" si="10">IF(OR(B74="",B74&lt;&gt;B73),1,C73+1)</f>
        <v>1</v>
      </c>
      <c r="D74" s="4"/>
      <c r="F74" t="s">
        <v>43</v>
      </c>
      <c r="G74" t="s">
        <v>48</v>
      </c>
      <c r="M74">
        <f t="shared" ref="M74:M137" si="11">K74*L74</f>
        <v>0</v>
      </c>
      <c r="N74">
        <f t="shared" si="9"/>
        <v>0</v>
      </c>
      <c r="P74" t="e">
        <f>INDEX(Items!B$2:B$1032,MATCH($O74,Items!$A$2:$A$1032,0))</f>
        <v>#N/A</v>
      </c>
      <c r="Q74" t="e">
        <f>INDEX(Items!C$2:C$1032,MATCH($O74,Items!$A$2:$A$1032,0))</f>
        <v>#N/A</v>
      </c>
      <c r="R74" t="e">
        <f>INDEX(Items!D$2:D$1032,MATCH($O74,Items!$A$2:$A$1032,0))</f>
        <v>#N/A</v>
      </c>
    </row>
    <row r="75" spans="1:18" x14ac:dyDescent="0.25">
      <c r="A75">
        <f t="shared" si="7"/>
        <v>1</v>
      </c>
      <c r="B75" t="str">
        <f t="shared" si="8"/>
        <v/>
      </c>
      <c r="C75">
        <f t="shared" si="10"/>
        <v>1</v>
      </c>
      <c r="D75" s="4"/>
      <c r="F75" t="s">
        <v>43</v>
      </c>
      <c r="G75" t="s">
        <v>48</v>
      </c>
      <c r="M75">
        <f t="shared" si="11"/>
        <v>0</v>
      </c>
      <c r="N75">
        <f t="shared" si="9"/>
        <v>0</v>
      </c>
      <c r="P75" t="e">
        <f>INDEX(Items!B$2:B$1032,MATCH($O75,Items!$A$2:$A$1032,0))</f>
        <v>#N/A</v>
      </c>
      <c r="Q75" t="e">
        <f>INDEX(Items!C$2:C$1032,MATCH($O75,Items!$A$2:$A$1032,0))</f>
        <v>#N/A</v>
      </c>
      <c r="R75" t="e">
        <f>INDEX(Items!D$2:D$1032,MATCH($O75,Items!$A$2:$A$1032,0))</f>
        <v>#N/A</v>
      </c>
    </row>
    <row r="76" spans="1:18" x14ac:dyDescent="0.25">
      <c r="A76">
        <f t="shared" si="7"/>
        <v>1</v>
      </c>
      <c r="B76" t="str">
        <f t="shared" si="8"/>
        <v/>
      </c>
      <c r="C76">
        <f t="shared" si="10"/>
        <v>1</v>
      </c>
      <c r="D76" s="4"/>
      <c r="F76" t="s">
        <v>43</v>
      </c>
      <c r="G76" t="s">
        <v>48</v>
      </c>
      <c r="M76">
        <f t="shared" si="11"/>
        <v>0</v>
      </c>
      <c r="N76">
        <f t="shared" si="9"/>
        <v>0</v>
      </c>
      <c r="P76" t="e">
        <f>INDEX(Items!B$2:B$1032,MATCH($O76,Items!$A$2:$A$1032,0))</f>
        <v>#N/A</v>
      </c>
      <c r="Q76" t="e">
        <f>INDEX(Items!C$2:C$1032,MATCH($O76,Items!$A$2:$A$1032,0))</f>
        <v>#N/A</v>
      </c>
      <c r="R76" t="e">
        <f>INDEX(Items!D$2:D$1032,MATCH($O76,Items!$A$2:$A$1032,0))</f>
        <v>#N/A</v>
      </c>
    </row>
    <row r="77" spans="1:18" x14ac:dyDescent="0.25">
      <c r="A77">
        <f t="shared" si="7"/>
        <v>1</v>
      </c>
      <c r="B77" t="str">
        <f t="shared" si="8"/>
        <v/>
      </c>
      <c r="C77">
        <f t="shared" si="10"/>
        <v>1</v>
      </c>
      <c r="D77" s="4"/>
      <c r="F77" t="s">
        <v>43</v>
      </c>
      <c r="G77" t="s">
        <v>48</v>
      </c>
      <c r="M77">
        <f t="shared" si="11"/>
        <v>0</v>
      </c>
      <c r="N77">
        <f t="shared" si="9"/>
        <v>0</v>
      </c>
      <c r="P77" t="e">
        <f>INDEX(Items!B$2:B$1032,MATCH($O77,Items!$A$2:$A$1032,0))</f>
        <v>#N/A</v>
      </c>
      <c r="Q77" t="e">
        <f>INDEX(Items!C$2:C$1032,MATCH($O77,Items!$A$2:$A$1032,0))</f>
        <v>#N/A</v>
      </c>
      <c r="R77" t="e">
        <f>INDEX(Items!D$2:D$1032,MATCH($O77,Items!$A$2:$A$1032,0))</f>
        <v>#N/A</v>
      </c>
    </row>
    <row r="78" spans="1:18" x14ac:dyDescent="0.25">
      <c r="A78">
        <f t="shared" si="7"/>
        <v>1</v>
      </c>
      <c r="B78" t="str">
        <f t="shared" si="8"/>
        <v/>
      </c>
      <c r="C78">
        <f t="shared" si="10"/>
        <v>1</v>
      </c>
      <c r="D78" s="4"/>
      <c r="F78" t="s">
        <v>43</v>
      </c>
      <c r="G78" t="s">
        <v>48</v>
      </c>
      <c r="M78">
        <f t="shared" si="11"/>
        <v>0</v>
      </c>
      <c r="N78">
        <f t="shared" si="9"/>
        <v>0</v>
      </c>
      <c r="P78" t="e">
        <f>INDEX(Items!B$2:B$1032,MATCH($O78,Items!$A$2:$A$1032,0))</f>
        <v>#N/A</v>
      </c>
      <c r="Q78" t="e">
        <f>INDEX(Items!C$2:C$1032,MATCH($O78,Items!$A$2:$A$1032,0))</f>
        <v>#N/A</v>
      </c>
      <c r="R78" t="e">
        <f>INDEX(Items!D$2:D$1032,MATCH($O78,Items!$A$2:$A$1032,0))</f>
        <v>#N/A</v>
      </c>
    </row>
    <row r="79" spans="1:18" x14ac:dyDescent="0.25">
      <c r="A79">
        <f t="shared" si="7"/>
        <v>1</v>
      </c>
      <c r="B79" t="str">
        <f t="shared" si="8"/>
        <v/>
      </c>
      <c r="C79">
        <f t="shared" si="10"/>
        <v>1</v>
      </c>
      <c r="D79" s="4"/>
      <c r="F79" t="s">
        <v>43</v>
      </c>
      <c r="G79" t="s">
        <v>46</v>
      </c>
      <c r="M79">
        <f t="shared" si="11"/>
        <v>0</v>
      </c>
      <c r="N79">
        <f t="shared" si="9"/>
        <v>0</v>
      </c>
      <c r="P79" t="e">
        <f>INDEX(Items!B$2:B$1032,MATCH($O79,Items!$A$2:$A$1032,0))</f>
        <v>#N/A</v>
      </c>
      <c r="Q79" t="e">
        <f>INDEX(Items!C$2:C$1032,MATCH($O79,Items!$A$2:$A$1032,0))</f>
        <v>#N/A</v>
      </c>
      <c r="R79" t="e">
        <f>INDEX(Items!D$2:D$1032,MATCH($O79,Items!$A$2:$A$1032,0))</f>
        <v>#N/A</v>
      </c>
    </row>
    <row r="80" spans="1:18" x14ac:dyDescent="0.25">
      <c r="A80">
        <f t="shared" si="7"/>
        <v>1</v>
      </c>
      <c r="B80" t="str">
        <f t="shared" si="8"/>
        <v/>
      </c>
      <c r="C80">
        <f t="shared" si="10"/>
        <v>1</v>
      </c>
      <c r="D80" s="4"/>
      <c r="F80" t="s">
        <v>43</v>
      </c>
      <c r="G80" t="s">
        <v>46</v>
      </c>
      <c r="M80">
        <f t="shared" si="11"/>
        <v>0</v>
      </c>
      <c r="N80">
        <f t="shared" si="9"/>
        <v>0</v>
      </c>
      <c r="P80" t="e">
        <f>INDEX(Items!B$2:B$1032,MATCH($O80,Items!$A$2:$A$1032,0))</f>
        <v>#N/A</v>
      </c>
      <c r="Q80" t="e">
        <f>INDEX(Items!C$2:C$1032,MATCH($O80,Items!$A$2:$A$1032,0))</f>
        <v>#N/A</v>
      </c>
      <c r="R80" t="e">
        <f>INDEX(Items!D$2:D$1032,MATCH($O80,Items!$A$2:$A$1032,0))</f>
        <v>#N/A</v>
      </c>
    </row>
    <row r="81" spans="1:18" x14ac:dyDescent="0.25">
      <c r="A81">
        <f t="shared" si="7"/>
        <v>1</v>
      </c>
      <c r="B81" t="str">
        <f t="shared" si="8"/>
        <v/>
      </c>
      <c r="C81">
        <f t="shared" si="10"/>
        <v>1</v>
      </c>
      <c r="D81" s="4"/>
      <c r="F81" t="s">
        <v>43</v>
      </c>
      <c r="G81" t="s">
        <v>46</v>
      </c>
      <c r="M81">
        <f t="shared" si="11"/>
        <v>0</v>
      </c>
      <c r="N81">
        <f t="shared" si="9"/>
        <v>0</v>
      </c>
      <c r="P81" t="e">
        <f>INDEX(Items!B$2:B$1032,MATCH($O81,Items!$A$2:$A$1032,0))</f>
        <v>#N/A</v>
      </c>
      <c r="Q81" t="e">
        <f>INDEX(Items!C$2:C$1032,MATCH($O81,Items!$A$2:$A$1032,0))</f>
        <v>#N/A</v>
      </c>
      <c r="R81" t="e">
        <f>INDEX(Items!D$2:D$1032,MATCH($O81,Items!$A$2:$A$1032,0))</f>
        <v>#N/A</v>
      </c>
    </row>
    <row r="82" spans="1:18" x14ac:dyDescent="0.25">
      <c r="A82">
        <f t="shared" si="7"/>
        <v>1</v>
      </c>
      <c r="B82" t="str">
        <f t="shared" si="8"/>
        <v/>
      </c>
      <c r="C82">
        <f t="shared" si="10"/>
        <v>1</v>
      </c>
      <c r="D82" s="4"/>
      <c r="F82" t="s">
        <v>43</v>
      </c>
      <c r="G82" t="s">
        <v>46</v>
      </c>
      <c r="M82">
        <f t="shared" si="11"/>
        <v>0</v>
      </c>
      <c r="N82">
        <f t="shared" si="9"/>
        <v>0</v>
      </c>
      <c r="P82" t="e">
        <f>INDEX(Items!B$2:B$1032,MATCH($O82,Items!$A$2:$A$1032,0))</f>
        <v>#N/A</v>
      </c>
      <c r="Q82" t="e">
        <f>INDEX(Items!C$2:C$1032,MATCH($O82,Items!$A$2:$A$1032,0))</f>
        <v>#N/A</v>
      </c>
      <c r="R82" t="e">
        <f>INDEX(Items!D$2:D$1032,MATCH($O82,Items!$A$2:$A$1032,0))</f>
        <v>#N/A</v>
      </c>
    </row>
    <row r="83" spans="1:18" x14ac:dyDescent="0.25">
      <c r="A83">
        <f t="shared" si="7"/>
        <v>1</v>
      </c>
      <c r="B83" t="str">
        <f t="shared" si="8"/>
        <v/>
      </c>
      <c r="C83">
        <f t="shared" si="10"/>
        <v>1</v>
      </c>
      <c r="D83" s="4"/>
      <c r="F83" t="e">
        <f>INDEX(Establishment!B$2:B$1005,MATCH($E83,Establishment!$A$2:$A$1005,0))</f>
        <v>#N/A</v>
      </c>
      <c r="G83" t="e">
        <f>INDEX(Establishment!C$2:C$1005,MATCH($E83,Establishment!$A$2:$A$1005,0))</f>
        <v>#N/A</v>
      </c>
      <c r="M83">
        <f t="shared" si="11"/>
        <v>0</v>
      </c>
      <c r="N83">
        <f t="shared" si="9"/>
        <v>0</v>
      </c>
      <c r="P83" t="e">
        <f>INDEX(Items!B$2:B$1032,MATCH($O83,Items!$A$2:$A$1032,0))</f>
        <v>#N/A</v>
      </c>
      <c r="Q83" t="e">
        <f>INDEX(Items!C$2:C$1032,MATCH($O83,Items!$A$2:$A$1032,0))</f>
        <v>#N/A</v>
      </c>
      <c r="R83" t="e">
        <f>INDEX(Items!D$2:D$1032,MATCH($O83,Items!$A$2:$A$1032,0))</f>
        <v>#N/A</v>
      </c>
    </row>
    <row r="84" spans="1:18" x14ac:dyDescent="0.25">
      <c r="A84">
        <f t="shared" si="7"/>
        <v>1</v>
      </c>
      <c r="B84" t="str">
        <f t="shared" si="8"/>
        <v/>
      </c>
      <c r="C84">
        <f t="shared" si="10"/>
        <v>1</v>
      </c>
      <c r="D84" s="4"/>
      <c r="F84" t="e">
        <f>INDEX(Establishment!B$2:B$1005,MATCH($E84,Establishment!$A$2:$A$1005,0))</f>
        <v>#N/A</v>
      </c>
      <c r="G84" t="e">
        <f>INDEX(Establishment!C$2:C$1005,MATCH($E84,Establishment!$A$2:$A$1005,0))</f>
        <v>#N/A</v>
      </c>
      <c r="M84">
        <f t="shared" si="11"/>
        <v>0</v>
      </c>
      <c r="N84">
        <f t="shared" si="9"/>
        <v>0</v>
      </c>
      <c r="P84" t="e">
        <f>INDEX(Items!B$2:B$1032,MATCH($O84,Items!$A$2:$A$1032,0))</f>
        <v>#N/A</v>
      </c>
      <c r="Q84" t="e">
        <f>INDEX(Items!C$2:C$1032,MATCH($O84,Items!$A$2:$A$1032,0))</f>
        <v>#N/A</v>
      </c>
      <c r="R84" t="e">
        <f>INDEX(Items!D$2:D$1032,MATCH($O84,Items!$A$2:$A$1032,0))</f>
        <v>#N/A</v>
      </c>
    </row>
    <row r="85" spans="1:18" x14ac:dyDescent="0.25">
      <c r="A85">
        <f t="shared" si="7"/>
        <v>1</v>
      </c>
      <c r="B85" t="str">
        <f t="shared" si="8"/>
        <v/>
      </c>
      <c r="C85">
        <f t="shared" si="10"/>
        <v>1</v>
      </c>
      <c r="D85" s="4"/>
      <c r="F85" t="e">
        <f>INDEX(Establishment!B$2:B$1005,MATCH($E85,Establishment!$A$2:$A$1005,0))</f>
        <v>#N/A</v>
      </c>
      <c r="G85" t="e">
        <f>INDEX(Establishment!C$2:C$1005,MATCH($E85,Establishment!$A$2:$A$1005,0))</f>
        <v>#N/A</v>
      </c>
      <c r="M85">
        <f t="shared" si="11"/>
        <v>0</v>
      </c>
      <c r="N85">
        <f t="shared" si="9"/>
        <v>0</v>
      </c>
      <c r="P85" t="e">
        <f>INDEX(Items!B$2:B$1032,MATCH($O85,Items!$A$2:$A$1032,0))</f>
        <v>#N/A</v>
      </c>
      <c r="Q85" t="e">
        <f>INDEX(Items!C$2:C$1032,MATCH($O85,Items!$A$2:$A$1032,0))</f>
        <v>#N/A</v>
      </c>
      <c r="R85" t="e">
        <f>INDEX(Items!D$2:D$1032,MATCH($O85,Items!$A$2:$A$1032,0))</f>
        <v>#N/A</v>
      </c>
    </row>
    <row r="86" spans="1:18" x14ac:dyDescent="0.25">
      <c r="A86">
        <f t="shared" si="7"/>
        <v>1</v>
      </c>
      <c r="B86" t="str">
        <f t="shared" si="8"/>
        <v/>
      </c>
      <c r="C86">
        <f t="shared" si="10"/>
        <v>1</v>
      </c>
      <c r="D86" s="4"/>
      <c r="F86" t="e">
        <f>INDEX(Establishment!B$2:B$1005,MATCH($E86,Establishment!$A$2:$A$1005,0))</f>
        <v>#N/A</v>
      </c>
      <c r="G86" t="e">
        <f>INDEX(Establishment!C$2:C$1005,MATCH($E86,Establishment!$A$2:$A$1005,0))</f>
        <v>#N/A</v>
      </c>
      <c r="M86">
        <f t="shared" si="11"/>
        <v>0</v>
      </c>
      <c r="N86">
        <f t="shared" si="9"/>
        <v>0</v>
      </c>
      <c r="P86" t="e">
        <f>INDEX(Items!B$2:B$1032,MATCH($O86,Items!$A$2:$A$1032,0))</f>
        <v>#N/A</v>
      </c>
      <c r="Q86" t="e">
        <f>INDEX(Items!C$2:C$1032,MATCH($O86,Items!$A$2:$A$1032,0))</f>
        <v>#N/A</v>
      </c>
      <c r="R86" t="e">
        <f>INDEX(Items!D$2:D$1032,MATCH($O86,Items!$A$2:$A$1032,0))</f>
        <v>#N/A</v>
      </c>
    </row>
    <row r="87" spans="1:18" x14ac:dyDescent="0.25">
      <c r="A87">
        <f t="shared" si="7"/>
        <v>1</v>
      </c>
      <c r="B87" t="str">
        <f t="shared" si="8"/>
        <v/>
      </c>
      <c r="C87">
        <f t="shared" si="10"/>
        <v>1</v>
      </c>
      <c r="D87" s="4"/>
      <c r="F87" t="e">
        <f>INDEX(Establishment!B$2:B$1005,MATCH($E87,Establishment!$A$2:$A$1005,0))</f>
        <v>#N/A</v>
      </c>
      <c r="G87" t="e">
        <f>INDEX(Establishment!C$2:C$1005,MATCH($E87,Establishment!$A$2:$A$1005,0))</f>
        <v>#N/A</v>
      </c>
      <c r="M87">
        <f t="shared" si="11"/>
        <v>0</v>
      </c>
      <c r="N87">
        <f t="shared" si="9"/>
        <v>0</v>
      </c>
      <c r="P87" t="e">
        <f>INDEX(Items!B$2:B$1032,MATCH($O87,Items!$A$2:$A$1032,0))</f>
        <v>#N/A</v>
      </c>
      <c r="Q87" t="e">
        <f>INDEX(Items!C$2:C$1032,MATCH($O87,Items!$A$2:$A$1032,0))</f>
        <v>#N/A</v>
      </c>
      <c r="R87" t="e">
        <f>INDEX(Items!D$2:D$1032,MATCH($O87,Items!$A$2:$A$1032,0))</f>
        <v>#N/A</v>
      </c>
    </row>
    <row r="88" spans="1:18" x14ac:dyDescent="0.25">
      <c r="A88">
        <f t="shared" si="7"/>
        <v>1</v>
      </c>
      <c r="B88" t="str">
        <f t="shared" si="8"/>
        <v/>
      </c>
      <c r="C88">
        <f t="shared" si="10"/>
        <v>1</v>
      </c>
      <c r="D88" s="4"/>
      <c r="F88" t="e">
        <f>INDEX(Establishment!B$2:B$1005,MATCH($E88,Establishment!$A$2:$A$1005,0))</f>
        <v>#N/A</v>
      </c>
      <c r="G88" t="e">
        <f>INDEX(Establishment!C$2:C$1005,MATCH($E88,Establishment!$A$2:$A$1005,0))</f>
        <v>#N/A</v>
      </c>
      <c r="M88">
        <f t="shared" si="11"/>
        <v>0</v>
      </c>
      <c r="N88">
        <f t="shared" si="9"/>
        <v>0</v>
      </c>
      <c r="P88" t="e">
        <f>INDEX(Items!B$2:B$1032,MATCH($O88,Items!$A$2:$A$1032,0))</f>
        <v>#N/A</v>
      </c>
      <c r="Q88" t="e">
        <f>INDEX(Items!C$2:C$1032,MATCH($O88,Items!$A$2:$A$1032,0))</f>
        <v>#N/A</v>
      </c>
      <c r="R88" t="e">
        <f>INDEX(Items!D$2:D$1032,MATCH($O88,Items!$A$2:$A$1032,0))</f>
        <v>#N/A</v>
      </c>
    </row>
    <row r="89" spans="1:18" x14ac:dyDescent="0.25">
      <c r="A89">
        <f t="shared" si="7"/>
        <v>1</v>
      </c>
      <c r="B89" t="str">
        <f t="shared" si="8"/>
        <v/>
      </c>
      <c r="C89">
        <f t="shared" si="10"/>
        <v>1</v>
      </c>
      <c r="D89" s="4"/>
      <c r="F89" t="e">
        <f>INDEX(Establishment!B$2:B$1005,MATCH($E89,Establishment!$A$2:$A$1005,0))</f>
        <v>#N/A</v>
      </c>
      <c r="G89" t="e">
        <f>INDEX(Establishment!C$2:C$1005,MATCH($E89,Establishment!$A$2:$A$1005,0))</f>
        <v>#N/A</v>
      </c>
      <c r="M89">
        <f t="shared" si="11"/>
        <v>0</v>
      </c>
      <c r="N89">
        <f t="shared" si="9"/>
        <v>0</v>
      </c>
      <c r="P89" t="e">
        <f>INDEX(Items!B$2:B$1032,MATCH($O89,Items!$A$2:$A$1032,0))</f>
        <v>#N/A</v>
      </c>
      <c r="Q89" t="e">
        <f>INDEX(Items!C$2:C$1032,MATCH($O89,Items!$A$2:$A$1032,0))</f>
        <v>#N/A</v>
      </c>
      <c r="R89" t="e">
        <f>INDEX(Items!D$2:D$1032,MATCH($O89,Items!$A$2:$A$1032,0))</f>
        <v>#N/A</v>
      </c>
    </row>
    <row r="90" spans="1:18" x14ac:dyDescent="0.25">
      <c r="A90">
        <f t="shared" si="7"/>
        <v>1</v>
      </c>
      <c r="B90" t="str">
        <f t="shared" si="8"/>
        <v/>
      </c>
      <c r="C90">
        <f t="shared" si="10"/>
        <v>1</v>
      </c>
      <c r="D90" s="4"/>
      <c r="F90" t="e">
        <f>INDEX(Establishment!B$2:B$1005,MATCH($E90,Establishment!$A$2:$A$1005,0))</f>
        <v>#N/A</v>
      </c>
      <c r="G90" t="e">
        <f>INDEX(Establishment!C$2:C$1005,MATCH($E90,Establishment!$A$2:$A$1005,0))</f>
        <v>#N/A</v>
      </c>
      <c r="M90">
        <f t="shared" si="11"/>
        <v>0</v>
      </c>
      <c r="N90">
        <f t="shared" si="9"/>
        <v>0</v>
      </c>
      <c r="P90" t="e">
        <f>INDEX(Items!B$2:B$1032,MATCH($O90,Items!$A$2:$A$1032,0))</f>
        <v>#N/A</v>
      </c>
      <c r="Q90" t="e">
        <f>INDEX(Items!C$2:C$1032,MATCH($O90,Items!$A$2:$A$1032,0))</f>
        <v>#N/A</v>
      </c>
      <c r="R90" t="e">
        <f>INDEX(Items!D$2:D$1032,MATCH($O90,Items!$A$2:$A$1032,0))</f>
        <v>#N/A</v>
      </c>
    </row>
    <row r="91" spans="1:18" x14ac:dyDescent="0.25">
      <c r="A91">
        <f t="shared" si="7"/>
        <v>1</v>
      </c>
      <c r="B91" t="str">
        <f t="shared" si="8"/>
        <v/>
      </c>
      <c r="C91">
        <f t="shared" si="10"/>
        <v>1</v>
      </c>
      <c r="D91" s="4"/>
      <c r="F91" t="e">
        <f>INDEX(Establishment!B$2:B$1005,MATCH($E91,Establishment!$A$2:$A$1005,0))</f>
        <v>#N/A</v>
      </c>
      <c r="G91" t="e">
        <f>INDEX(Establishment!C$2:C$1005,MATCH($E91,Establishment!$A$2:$A$1005,0))</f>
        <v>#N/A</v>
      </c>
      <c r="M91">
        <f t="shared" si="11"/>
        <v>0</v>
      </c>
      <c r="N91">
        <f t="shared" si="9"/>
        <v>0</v>
      </c>
      <c r="P91" t="e">
        <f>INDEX(Items!B$2:B$1032,MATCH($O91,Items!$A$2:$A$1032,0))</f>
        <v>#N/A</v>
      </c>
      <c r="Q91" t="e">
        <f>INDEX(Items!C$2:C$1032,MATCH($O91,Items!$A$2:$A$1032,0))</f>
        <v>#N/A</v>
      </c>
      <c r="R91" t="e">
        <f>INDEX(Items!D$2:D$1032,MATCH($O91,Items!$A$2:$A$1032,0))</f>
        <v>#N/A</v>
      </c>
    </row>
    <row r="92" spans="1:18" x14ac:dyDescent="0.25">
      <c r="A92">
        <f t="shared" si="7"/>
        <v>1</v>
      </c>
      <c r="B92" t="str">
        <f t="shared" si="8"/>
        <v/>
      </c>
      <c r="C92">
        <f t="shared" si="10"/>
        <v>1</v>
      </c>
      <c r="D92" s="4"/>
      <c r="F92" t="e">
        <f>INDEX(Establishment!B$2:B$1005,MATCH($E92,Establishment!$A$2:$A$1005,0))</f>
        <v>#N/A</v>
      </c>
      <c r="G92" t="e">
        <f>INDEX(Establishment!C$2:C$1005,MATCH($E92,Establishment!$A$2:$A$1005,0))</f>
        <v>#N/A</v>
      </c>
      <c r="M92">
        <f t="shared" si="11"/>
        <v>0</v>
      </c>
      <c r="N92">
        <f t="shared" si="9"/>
        <v>0</v>
      </c>
      <c r="P92" t="e">
        <f>INDEX(Items!B$2:B$1032,MATCH($O92,Items!$A$2:$A$1032,0))</f>
        <v>#N/A</v>
      </c>
      <c r="Q92" t="e">
        <f>INDEX(Items!C$2:C$1032,MATCH($O92,Items!$A$2:$A$1032,0))</f>
        <v>#N/A</v>
      </c>
      <c r="R92" t="e">
        <f>INDEX(Items!D$2:D$1032,MATCH($O92,Items!$A$2:$A$1032,0))</f>
        <v>#N/A</v>
      </c>
    </row>
    <row r="93" spans="1:18" x14ac:dyDescent="0.25">
      <c r="A93">
        <f t="shared" si="7"/>
        <v>1</v>
      </c>
      <c r="B93" t="str">
        <f t="shared" si="8"/>
        <v/>
      </c>
      <c r="C93">
        <f t="shared" si="10"/>
        <v>1</v>
      </c>
      <c r="D93" s="4"/>
      <c r="E93" t="s">
        <v>18</v>
      </c>
      <c r="F93" t="str">
        <f>INDEX(Establishment!B$2:B$1005,MATCH($E93,Establishment!$A$2:$A$1005,0))</f>
        <v xml:space="preserve"> </v>
      </c>
      <c r="G93" t="str">
        <f>INDEX(Establishment!C$2:C$1005,MATCH($E93,Establishment!$A$2:$A$1005,0))</f>
        <v xml:space="preserve"> </v>
      </c>
      <c r="M93">
        <f t="shared" si="11"/>
        <v>0</v>
      </c>
      <c r="N93">
        <f t="shared" si="9"/>
        <v>0</v>
      </c>
      <c r="P93" t="e">
        <f>INDEX(Items!B$2:B$1032,MATCH($O93,Items!$A$2:$A$1032,0))</f>
        <v>#N/A</v>
      </c>
      <c r="Q93" t="e">
        <f>INDEX(Items!C$2:C$1032,MATCH($O93,Items!$A$2:$A$1032,0))</f>
        <v>#N/A</v>
      </c>
      <c r="R93" t="e">
        <f>INDEX(Items!D$2:D$1032,MATCH($O93,Items!$A$2:$A$1032,0))</f>
        <v>#N/A</v>
      </c>
    </row>
    <row r="94" spans="1:18" x14ac:dyDescent="0.25">
      <c r="A94">
        <f t="shared" si="7"/>
        <v>1</v>
      </c>
      <c r="B94" t="str">
        <f t="shared" si="8"/>
        <v/>
      </c>
      <c r="C94">
        <f t="shared" si="10"/>
        <v>1</v>
      </c>
      <c r="D94" s="4"/>
      <c r="E94" t="s">
        <v>18</v>
      </c>
      <c r="F94" t="str">
        <f>INDEX(Establishment!B$2:B$1005,MATCH($E94,Establishment!$A$2:$A$1005,0))</f>
        <v xml:space="preserve"> </v>
      </c>
      <c r="G94" t="str">
        <f>INDEX(Establishment!C$2:C$1005,MATCH($E94,Establishment!$A$2:$A$1005,0))</f>
        <v xml:space="preserve"> </v>
      </c>
      <c r="M94">
        <f t="shared" si="11"/>
        <v>0</v>
      </c>
      <c r="N94">
        <f t="shared" si="9"/>
        <v>0</v>
      </c>
      <c r="P94" t="e">
        <f>INDEX(Items!B$2:B$1032,MATCH($O94,Items!$A$2:$A$1032,0))</f>
        <v>#N/A</v>
      </c>
      <c r="Q94" t="e">
        <f>INDEX(Items!C$2:C$1032,MATCH($O94,Items!$A$2:$A$1032,0))</f>
        <v>#N/A</v>
      </c>
      <c r="R94" t="e">
        <f>INDEX(Items!D$2:D$1032,MATCH($O94,Items!$A$2:$A$1032,0))</f>
        <v>#N/A</v>
      </c>
    </row>
    <row r="95" spans="1:18" x14ac:dyDescent="0.25">
      <c r="A95">
        <f t="shared" si="7"/>
        <v>1</v>
      </c>
      <c r="B95" t="str">
        <f t="shared" si="8"/>
        <v/>
      </c>
      <c r="C95">
        <f t="shared" si="10"/>
        <v>1</v>
      </c>
      <c r="D95" s="4"/>
      <c r="E95" t="s">
        <v>18</v>
      </c>
      <c r="F95" t="str">
        <f>INDEX(Establishment!B$2:B$1005,MATCH($E95,Establishment!$A$2:$A$1005,0))</f>
        <v xml:space="preserve"> </v>
      </c>
      <c r="G95" t="str">
        <f>INDEX(Establishment!C$2:C$1005,MATCH($E95,Establishment!$A$2:$A$1005,0))</f>
        <v xml:space="preserve"> </v>
      </c>
      <c r="M95">
        <f t="shared" si="11"/>
        <v>0</v>
      </c>
      <c r="N95">
        <f t="shared" si="9"/>
        <v>0</v>
      </c>
      <c r="P95" t="e">
        <f>INDEX(Items!B$2:B$1032,MATCH($O95,Items!$A$2:$A$1032,0))</f>
        <v>#N/A</v>
      </c>
      <c r="Q95" t="e">
        <f>INDEX(Items!C$2:C$1032,MATCH($O95,Items!$A$2:$A$1032,0))</f>
        <v>#N/A</v>
      </c>
      <c r="R95" t="e">
        <f>INDEX(Items!D$2:D$1032,MATCH($O95,Items!$A$2:$A$1032,0))</f>
        <v>#N/A</v>
      </c>
    </row>
    <row r="96" spans="1:18" x14ac:dyDescent="0.25">
      <c r="A96">
        <f t="shared" si="7"/>
        <v>1</v>
      </c>
      <c r="B96" t="str">
        <f t="shared" si="8"/>
        <v/>
      </c>
      <c r="C96">
        <f t="shared" si="10"/>
        <v>1</v>
      </c>
      <c r="D96" s="4"/>
      <c r="E96" t="s">
        <v>18</v>
      </c>
      <c r="F96" t="str">
        <f>INDEX(Establishment!B$2:B$1005,MATCH($E96,Establishment!$A$2:$A$1005,0))</f>
        <v xml:space="preserve"> </v>
      </c>
      <c r="G96" t="str">
        <f>INDEX(Establishment!C$2:C$1005,MATCH($E96,Establishment!$A$2:$A$1005,0))</f>
        <v xml:space="preserve"> </v>
      </c>
      <c r="M96">
        <f t="shared" si="11"/>
        <v>0</v>
      </c>
      <c r="N96">
        <f t="shared" si="9"/>
        <v>0</v>
      </c>
      <c r="P96" t="e">
        <f>INDEX(Items!B$2:B$1032,MATCH($O96,Items!$A$2:$A$1032,0))</f>
        <v>#N/A</v>
      </c>
      <c r="Q96" t="e">
        <f>INDEX(Items!C$2:C$1032,MATCH($O96,Items!$A$2:$A$1032,0))</f>
        <v>#N/A</v>
      </c>
      <c r="R96" t="e">
        <f>INDEX(Items!D$2:D$1032,MATCH($O96,Items!$A$2:$A$1032,0))</f>
        <v>#N/A</v>
      </c>
    </row>
    <row r="97" spans="1:18" x14ac:dyDescent="0.25">
      <c r="A97">
        <f t="shared" si="7"/>
        <v>1</v>
      </c>
      <c r="B97" t="str">
        <f t="shared" si="8"/>
        <v/>
      </c>
      <c r="C97">
        <f t="shared" si="10"/>
        <v>1</v>
      </c>
      <c r="D97" s="4"/>
      <c r="E97" t="s">
        <v>18</v>
      </c>
      <c r="F97" t="str">
        <f>INDEX(Establishment!B$2:B$1005,MATCH($E97,Establishment!$A$2:$A$1005,0))</f>
        <v xml:space="preserve"> </v>
      </c>
      <c r="G97" t="str">
        <f>INDEX(Establishment!C$2:C$1005,MATCH($E97,Establishment!$A$2:$A$1005,0))</f>
        <v xml:space="preserve"> </v>
      </c>
      <c r="M97">
        <f t="shared" si="11"/>
        <v>0</v>
      </c>
      <c r="N97">
        <f t="shared" si="9"/>
        <v>0</v>
      </c>
      <c r="P97" t="e">
        <f>INDEX(Items!B$2:B$1032,MATCH($O97,Items!$A$2:$A$1032,0))</f>
        <v>#N/A</v>
      </c>
      <c r="Q97" t="e">
        <f>INDEX(Items!C$2:C$1032,MATCH($O97,Items!$A$2:$A$1032,0))</f>
        <v>#N/A</v>
      </c>
      <c r="R97" t="e">
        <f>INDEX(Items!D$2:D$1032,MATCH($O97,Items!$A$2:$A$1032,0))</f>
        <v>#N/A</v>
      </c>
    </row>
    <row r="98" spans="1:18" x14ac:dyDescent="0.25">
      <c r="A98">
        <f t="shared" si="7"/>
        <v>1</v>
      </c>
      <c r="B98" t="str">
        <f t="shared" si="8"/>
        <v/>
      </c>
      <c r="C98">
        <f t="shared" si="10"/>
        <v>1</v>
      </c>
      <c r="D98" s="4"/>
      <c r="E98" t="s">
        <v>18</v>
      </c>
      <c r="F98" t="str">
        <f>INDEX(Establishment!B$2:B$1005,MATCH($E98,Establishment!$A$2:$A$1005,0))</f>
        <v xml:space="preserve"> </v>
      </c>
      <c r="G98" t="str">
        <f>INDEX(Establishment!C$2:C$1005,MATCH($E98,Establishment!$A$2:$A$1005,0))</f>
        <v xml:space="preserve"> </v>
      </c>
      <c r="M98">
        <f t="shared" si="11"/>
        <v>0</v>
      </c>
      <c r="N98">
        <f t="shared" si="9"/>
        <v>0</v>
      </c>
      <c r="P98" t="e">
        <f>INDEX(Items!B$2:B$1032,MATCH($O98,Items!$A$2:$A$1032,0))</f>
        <v>#N/A</v>
      </c>
      <c r="Q98" t="e">
        <f>INDEX(Items!C$2:C$1032,MATCH($O98,Items!$A$2:$A$1032,0))</f>
        <v>#N/A</v>
      </c>
      <c r="R98" t="e">
        <f>INDEX(Items!D$2:D$1032,MATCH($O98,Items!$A$2:$A$1032,0))</f>
        <v>#N/A</v>
      </c>
    </row>
    <row r="99" spans="1:18" x14ac:dyDescent="0.25">
      <c r="A99">
        <f t="shared" si="7"/>
        <v>1</v>
      </c>
      <c r="B99" t="str">
        <f t="shared" si="8"/>
        <v>20230621A</v>
      </c>
      <c r="C99">
        <f t="shared" si="10"/>
        <v>1</v>
      </c>
      <c r="D99" s="4">
        <v>45098</v>
      </c>
      <c r="E99" t="s">
        <v>39</v>
      </c>
      <c r="F99" t="str">
        <f>INDEX(Establishment!B$2:B$1005,MATCH($E99,Establishment!$A$2:$A$1005,0))</f>
        <v>Carenderia 14th Floor</v>
      </c>
      <c r="G99" t="str">
        <f>INDEX(Establishment!C$2:C$1005,MATCH($E99,Establishment!$A$2:$A$1005,0))</f>
        <v>ACC Tower Cebu Business Park</v>
      </c>
      <c r="M99">
        <f t="shared" si="11"/>
        <v>0</v>
      </c>
      <c r="N99">
        <f t="shared" si="9"/>
        <v>0</v>
      </c>
      <c r="P99" t="e">
        <f>INDEX(Items!B$2:B$1032,MATCH($O99,Items!$A$2:$A$1032,0))</f>
        <v>#N/A</v>
      </c>
      <c r="Q99" t="e">
        <f>INDEX(Items!C$2:C$1032,MATCH($O99,Items!$A$2:$A$1032,0))</f>
        <v>#N/A</v>
      </c>
      <c r="R99" t="e">
        <f>INDEX(Items!D$2:D$1032,MATCH($O99,Items!$A$2:$A$1032,0))</f>
        <v>#N/A</v>
      </c>
    </row>
    <row r="100" spans="1:18" x14ac:dyDescent="0.25">
      <c r="A100">
        <f t="shared" si="7"/>
        <v>1</v>
      </c>
      <c r="B100" t="str">
        <f t="shared" si="8"/>
        <v/>
      </c>
      <c r="C100">
        <f t="shared" si="10"/>
        <v>1</v>
      </c>
      <c r="D100" s="4"/>
      <c r="F100" t="e">
        <f>INDEX(Establishment!B$2:B$1005,MATCH($E100,Establishment!$A$2:$A$1005,0))</f>
        <v>#N/A</v>
      </c>
      <c r="G100" t="e">
        <f>INDEX(Establishment!C$2:C$1005,MATCH($E100,Establishment!$A$2:$A$1005,0))</f>
        <v>#N/A</v>
      </c>
      <c r="M100">
        <f t="shared" si="11"/>
        <v>0</v>
      </c>
      <c r="N100">
        <f t="shared" si="9"/>
        <v>0</v>
      </c>
      <c r="P100" t="e">
        <f>INDEX(Items!B$2:B$1032,MATCH($O100,Items!$A$2:$A$1032,0))</f>
        <v>#N/A</v>
      </c>
      <c r="Q100" t="e">
        <f>INDEX(Items!C$2:C$1032,MATCH($O100,Items!$A$2:$A$1032,0))</f>
        <v>#N/A</v>
      </c>
      <c r="R100" t="e">
        <f>INDEX(Items!D$2:D$1032,MATCH($O100,Items!$A$2:$A$1032,0))</f>
        <v>#N/A</v>
      </c>
    </row>
    <row r="101" spans="1:18" x14ac:dyDescent="0.25">
      <c r="A101">
        <f t="shared" si="7"/>
        <v>1</v>
      </c>
      <c r="B101" t="str">
        <f t="shared" si="8"/>
        <v/>
      </c>
      <c r="C101">
        <f t="shared" si="10"/>
        <v>1</v>
      </c>
      <c r="D101" s="4"/>
      <c r="E101" t="s">
        <v>18</v>
      </c>
      <c r="F101" t="str">
        <f>INDEX(Establishment!B$2:B$1005,MATCH($E101,Establishment!$A$2:$A$1005,0))</f>
        <v xml:space="preserve"> </v>
      </c>
      <c r="G101" t="str">
        <f>INDEX(Establishment!C$2:C$1005,MATCH($E101,Establishment!$A$2:$A$1005,0))</f>
        <v xml:space="preserve"> </v>
      </c>
      <c r="M101">
        <f t="shared" si="11"/>
        <v>0</v>
      </c>
      <c r="N101">
        <f t="shared" si="9"/>
        <v>0</v>
      </c>
      <c r="P101" t="e">
        <f>INDEX(Items!B$2:B$1032,MATCH($O101,Items!$A$2:$A$1032,0))</f>
        <v>#N/A</v>
      </c>
      <c r="Q101" t="e">
        <f>INDEX(Items!C$2:C$1032,MATCH($O101,Items!$A$2:$A$1032,0))</f>
        <v>#N/A</v>
      </c>
      <c r="R101" t="e">
        <f>INDEX(Items!D$2:D$1032,MATCH($O101,Items!$A$2:$A$1032,0))</f>
        <v>#N/A</v>
      </c>
    </row>
    <row r="102" spans="1:18" x14ac:dyDescent="0.25">
      <c r="A102">
        <f t="shared" si="7"/>
        <v>1</v>
      </c>
      <c r="B102" t="str">
        <f t="shared" si="8"/>
        <v/>
      </c>
      <c r="C102">
        <f t="shared" si="10"/>
        <v>1</v>
      </c>
      <c r="D102" s="4"/>
      <c r="E102" t="s">
        <v>18</v>
      </c>
      <c r="F102" t="str">
        <f>INDEX(Establishment!B$2:B$1005,MATCH($E102,Establishment!$A$2:$A$1005,0))</f>
        <v xml:space="preserve"> </v>
      </c>
      <c r="G102" t="str">
        <f>INDEX(Establishment!C$2:C$1005,MATCH($E102,Establishment!$A$2:$A$1005,0))</f>
        <v xml:space="preserve"> </v>
      </c>
      <c r="M102">
        <f t="shared" si="11"/>
        <v>0</v>
      </c>
      <c r="N102">
        <f t="shared" si="9"/>
        <v>0</v>
      </c>
      <c r="P102" t="e">
        <f>INDEX(Items!B$2:B$1032,MATCH($O102,Items!$A$2:$A$1032,0))</f>
        <v>#N/A</v>
      </c>
      <c r="Q102" t="e">
        <f>INDEX(Items!C$2:C$1032,MATCH($O102,Items!$A$2:$A$1032,0))</f>
        <v>#N/A</v>
      </c>
      <c r="R102" t="e">
        <f>INDEX(Items!D$2:D$1032,MATCH($O102,Items!$A$2:$A$1032,0))</f>
        <v>#N/A</v>
      </c>
    </row>
    <row r="103" spans="1:18" x14ac:dyDescent="0.25">
      <c r="A103">
        <f t="shared" si="7"/>
        <v>1</v>
      </c>
      <c r="B103" t="str">
        <f t="shared" si="8"/>
        <v/>
      </c>
      <c r="C103">
        <f t="shared" si="10"/>
        <v>1</v>
      </c>
      <c r="D103" s="4"/>
      <c r="E103" t="s">
        <v>18</v>
      </c>
      <c r="F103" t="str">
        <f>INDEX(Establishment!B$2:B$1005,MATCH($E103,Establishment!$A$2:$A$1005,0))</f>
        <v xml:space="preserve"> </v>
      </c>
      <c r="G103" t="str">
        <f>INDEX(Establishment!C$2:C$1005,MATCH($E103,Establishment!$A$2:$A$1005,0))</f>
        <v xml:space="preserve"> </v>
      </c>
      <c r="M103">
        <f t="shared" si="11"/>
        <v>0</v>
      </c>
      <c r="N103">
        <f t="shared" si="9"/>
        <v>0</v>
      </c>
      <c r="P103" t="e">
        <f>INDEX(Items!B$2:B$1032,MATCH($O103,Items!$A$2:$A$1032,0))</f>
        <v>#N/A</v>
      </c>
      <c r="Q103" t="e">
        <f>INDEX(Items!C$2:C$1032,MATCH($O103,Items!$A$2:$A$1032,0))</f>
        <v>#N/A</v>
      </c>
      <c r="R103" t="e">
        <f>INDEX(Items!D$2:D$1032,MATCH($O103,Items!$A$2:$A$1032,0))</f>
        <v>#N/A</v>
      </c>
    </row>
    <row r="104" spans="1:18" x14ac:dyDescent="0.25">
      <c r="A104">
        <f t="shared" si="7"/>
        <v>1</v>
      </c>
      <c r="B104" t="str">
        <f t="shared" si="8"/>
        <v/>
      </c>
      <c r="C104">
        <f t="shared" si="10"/>
        <v>1</v>
      </c>
      <c r="D104" s="4"/>
      <c r="E104" t="s">
        <v>18</v>
      </c>
      <c r="F104" t="str">
        <f>INDEX(Establishment!B$2:B$1005,MATCH($E104,Establishment!$A$2:$A$1005,0))</f>
        <v xml:space="preserve"> </v>
      </c>
      <c r="G104" t="str">
        <f>INDEX(Establishment!C$2:C$1005,MATCH($E104,Establishment!$A$2:$A$1005,0))</f>
        <v xml:space="preserve"> </v>
      </c>
      <c r="M104">
        <f t="shared" si="11"/>
        <v>0</v>
      </c>
      <c r="N104">
        <f t="shared" si="9"/>
        <v>0</v>
      </c>
      <c r="P104" t="e">
        <f>INDEX(Items!B$2:B$1032,MATCH($O104,Items!$A$2:$A$1032,0))</f>
        <v>#N/A</v>
      </c>
      <c r="Q104" t="e">
        <f>INDEX(Items!C$2:C$1032,MATCH($O104,Items!$A$2:$A$1032,0))</f>
        <v>#N/A</v>
      </c>
      <c r="R104" t="e">
        <f>INDEX(Items!D$2:D$1032,MATCH($O104,Items!$A$2:$A$1032,0))</f>
        <v>#N/A</v>
      </c>
    </row>
    <row r="105" spans="1:18" x14ac:dyDescent="0.25">
      <c r="A105">
        <f t="shared" si="7"/>
        <v>1</v>
      </c>
      <c r="B105" t="str">
        <f t="shared" si="8"/>
        <v/>
      </c>
      <c r="C105">
        <f t="shared" si="10"/>
        <v>1</v>
      </c>
      <c r="D105" s="4"/>
      <c r="E105" t="s">
        <v>18</v>
      </c>
      <c r="F105" t="str">
        <f>INDEX(Establishment!B$2:B$1005,MATCH($E105,Establishment!$A$2:$A$1005,0))</f>
        <v xml:space="preserve"> </v>
      </c>
      <c r="G105" t="str">
        <f>INDEX(Establishment!C$2:C$1005,MATCH($E105,Establishment!$A$2:$A$1005,0))</f>
        <v xml:space="preserve"> </v>
      </c>
      <c r="M105">
        <f t="shared" si="11"/>
        <v>0</v>
      </c>
      <c r="N105">
        <f t="shared" si="9"/>
        <v>0</v>
      </c>
      <c r="P105" t="e">
        <f>INDEX(Items!B$2:B$1032,MATCH($O105,Items!$A$2:$A$1032,0))</f>
        <v>#N/A</v>
      </c>
      <c r="Q105" t="e">
        <f>INDEX(Items!C$2:C$1032,MATCH($O105,Items!$A$2:$A$1032,0))</f>
        <v>#N/A</v>
      </c>
      <c r="R105" t="e">
        <f>INDEX(Items!D$2:D$1032,MATCH($O105,Items!$A$2:$A$1032,0))</f>
        <v>#N/A</v>
      </c>
    </row>
    <row r="106" spans="1:18" x14ac:dyDescent="0.25">
      <c r="A106">
        <f t="shared" si="7"/>
        <v>1</v>
      </c>
      <c r="B106" t="str">
        <f t="shared" si="8"/>
        <v/>
      </c>
      <c r="C106">
        <f t="shared" si="10"/>
        <v>1</v>
      </c>
      <c r="D106" s="4"/>
      <c r="E106" t="s">
        <v>18</v>
      </c>
      <c r="F106" t="str">
        <f>INDEX(Establishment!B$2:B$1005,MATCH($E106,Establishment!$A$2:$A$1005,0))</f>
        <v xml:space="preserve"> </v>
      </c>
      <c r="G106" t="str">
        <f>INDEX(Establishment!C$2:C$1005,MATCH($E106,Establishment!$A$2:$A$1005,0))</f>
        <v xml:space="preserve"> </v>
      </c>
      <c r="M106">
        <f t="shared" si="11"/>
        <v>0</v>
      </c>
      <c r="N106">
        <f t="shared" si="9"/>
        <v>0</v>
      </c>
      <c r="P106" t="e">
        <f>INDEX(Items!B$2:B$1032,MATCH($O106,Items!$A$2:$A$1032,0))</f>
        <v>#N/A</v>
      </c>
      <c r="Q106" t="e">
        <f>INDEX(Items!C$2:C$1032,MATCH($O106,Items!$A$2:$A$1032,0))</f>
        <v>#N/A</v>
      </c>
      <c r="R106" t="e">
        <f>INDEX(Items!D$2:D$1032,MATCH($O106,Items!$A$2:$A$1032,0))</f>
        <v>#N/A</v>
      </c>
    </row>
    <row r="107" spans="1:18" x14ac:dyDescent="0.25">
      <c r="A107">
        <f t="shared" si="7"/>
        <v>1</v>
      </c>
      <c r="B107" t="str">
        <f t="shared" si="8"/>
        <v/>
      </c>
      <c r="C107">
        <f t="shared" si="10"/>
        <v>1</v>
      </c>
      <c r="D107" s="4"/>
      <c r="E107" t="s">
        <v>18</v>
      </c>
      <c r="F107" t="str">
        <f>INDEX(Establishment!B$2:B$1005,MATCH($E107,Establishment!$A$2:$A$1005,0))</f>
        <v xml:space="preserve"> </v>
      </c>
      <c r="G107" t="str">
        <f>INDEX(Establishment!C$2:C$1005,MATCH($E107,Establishment!$A$2:$A$1005,0))</f>
        <v xml:space="preserve"> </v>
      </c>
      <c r="M107">
        <f t="shared" si="11"/>
        <v>0</v>
      </c>
      <c r="N107">
        <f t="shared" si="9"/>
        <v>0</v>
      </c>
      <c r="P107" t="e">
        <f>INDEX(Items!B$2:B$1032,MATCH($O107,Items!$A$2:$A$1032,0))</f>
        <v>#N/A</v>
      </c>
      <c r="Q107" t="e">
        <f>INDEX(Items!C$2:C$1032,MATCH($O107,Items!$A$2:$A$1032,0))</f>
        <v>#N/A</v>
      </c>
      <c r="R107" t="e">
        <f>INDEX(Items!D$2:D$1032,MATCH($O107,Items!$A$2:$A$1032,0))</f>
        <v>#N/A</v>
      </c>
    </row>
    <row r="108" spans="1:18" x14ac:dyDescent="0.25">
      <c r="A108">
        <f t="shared" si="7"/>
        <v>1</v>
      </c>
      <c r="B108" t="str">
        <f t="shared" si="8"/>
        <v/>
      </c>
      <c r="C108">
        <f t="shared" si="10"/>
        <v>1</v>
      </c>
      <c r="D108" s="4"/>
      <c r="E108" t="s">
        <v>18</v>
      </c>
      <c r="F108" t="str">
        <f>INDEX(Establishment!B$2:B$1005,MATCH($E108,Establishment!$A$2:$A$1005,0))</f>
        <v xml:space="preserve"> </v>
      </c>
      <c r="G108" t="str">
        <f>INDEX(Establishment!C$2:C$1005,MATCH($E108,Establishment!$A$2:$A$1005,0))</f>
        <v xml:space="preserve"> </v>
      </c>
      <c r="M108">
        <f t="shared" si="11"/>
        <v>0</v>
      </c>
      <c r="N108">
        <f t="shared" si="9"/>
        <v>0</v>
      </c>
      <c r="P108" t="e">
        <f>INDEX(Items!B$2:B$1032,MATCH($O108,Items!$A$2:$A$1032,0))</f>
        <v>#N/A</v>
      </c>
      <c r="Q108" t="e">
        <f>INDEX(Items!C$2:C$1032,MATCH($O108,Items!$A$2:$A$1032,0))</f>
        <v>#N/A</v>
      </c>
      <c r="R108" t="e">
        <f>INDEX(Items!D$2:D$1032,MATCH($O108,Items!$A$2:$A$1032,0))</f>
        <v>#N/A</v>
      </c>
    </row>
    <row r="109" spans="1:18" x14ac:dyDescent="0.25">
      <c r="A109">
        <f t="shared" si="7"/>
        <v>1</v>
      </c>
      <c r="B109" t="str">
        <f t="shared" si="8"/>
        <v/>
      </c>
      <c r="C109">
        <f t="shared" si="10"/>
        <v>1</v>
      </c>
      <c r="D109" s="4"/>
      <c r="E109" t="s">
        <v>18</v>
      </c>
      <c r="F109" t="str">
        <f>INDEX(Establishment!B$2:B$1005,MATCH($E109,Establishment!$A$2:$A$1005,0))</f>
        <v xml:space="preserve"> </v>
      </c>
      <c r="G109" t="str">
        <f>INDEX(Establishment!C$2:C$1005,MATCH($E109,Establishment!$A$2:$A$1005,0))</f>
        <v xml:space="preserve"> </v>
      </c>
      <c r="M109">
        <f t="shared" si="11"/>
        <v>0</v>
      </c>
      <c r="N109">
        <f t="shared" si="9"/>
        <v>0</v>
      </c>
      <c r="P109" t="e">
        <f>INDEX(Items!B$2:B$1032,MATCH($O109,Items!$A$2:$A$1032,0))</f>
        <v>#N/A</v>
      </c>
      <c r="Q109" t="e">
        <f>INDEX(Items!C$2:C$1032,MATCH($O109,Items!$A$2:$A$1032,0))</f>
        <v>#N/A</v>
      </c>
      <c r="R109" t="e">
        <f>INDEX(Items!D$2:D$1032,MATCH($O109,Items!$A$2:$A$1032,0))</f>
        <v>#N/A</v>
      </c>
    </row>
    <row r="110" spans="1:18" x14ac:dyDescent="0.25">
      <c r="A110">
        <f t="shared" si="7"/>
        <v>1</v>
      </c>
      <c r="B110" t="str">
        <f t="shared" si="8"/>
        <v/>
      </c>
      <c r="C110">
        <f t="shared" si="10"/>
        <v>1</v>
      </c>
      <c r="D110" s="4"/>
      <c r="E110" t="s">
        <v>18</v>
      </c>
      <c r="F110" t="str">
        <f>INDEX(Establishment!B$2:B$1005,MATCH($E110,Establishment!$A$2:$A$1005,0))</f>
        <v xml:space="preserve"> </v>
      </c>
      <c r="G110" t="str">
        <f>INDEX(Establishment!C$2:C$1005,MATCH($E110,Establishment!$A$2:$A$1005,0))</f>
        <v xml:space="preserve"> </v>
      </c>
      <c r="M110">
        <f t="shared" si="11"/>
        <v>0</v>
      </c>
      <c r="N110">
        <f t="shared" si="9"/>
        <v>0</v>
      </c>
      <c r="P110" t="e">
        <f>INDEX(Items!B$2:B$1032,MATCH($O110,Items!$A$2:$A$1032,0))</f>
        <v>#N/A</v>
      </c>
      <c r="Q110" t="e">
        <f>INDEX(Items!C$2:C$1032,MATCH($O110,Items!$A$2:$A$1032,0))</f>
        <v>#N/A</v>
      </c>
      <c r="R110" t="e">
        <f>INDEX(Items!D$2:D$1032,MATCH($O110,Items!$A$2:$A$1032,0))</f>
        <v>#N/A</v>
      </c>
    </row>
    <row r="111" spans="1:18" x14ac:dyDescent="0.25">
      <c r="A111">
        <f t="shared" si="7"/>
        <v>1</v>
      </c>
      <c r="B111" t="str">
        <f t="shared" si="8"/>
        <v/>
      </c>
      <c r="C111">
        <f t="shared" si="10"/>
        <v>1</v>
      </c>
      <c r="D111" s="4"/>
      <c r="E111" t="s">
        <v>18</v>
      </c>
      <c r="F111" t="str">
        <f>INDEX(Establishment!B$2:B$1005,MATCH($E111,Establishment!$A$2:$A$1005,0))</f>
        <v xml:space="preserve"> </v>
      </c>
      <c r="G111" t="str">
        <f>INDEX(Establishment!C$2:C$1005,MATCH($E111,Establishment!$A$2:$A$1005,0))</f>
        <v xml:space="preserve"> </v>
      </c>
      <c r="M111">
        <f t="shared" si="11"/>
        <v>0</v>
      </c>
      <c r="N111">
        <f t="shared" si="9"/>
        <v>0</v>
      </c>
      <c r="P111" t="e">
        <f>INDEX(Items!B$2:B$1032,MATCH($O111,Items!$A$2:$A$1032,0))</f>
        <v>#N/A</v>
      </c>
      <c r="Q111" t="e">
        <f>INDEX(Items!C$2:C$1032,MATCH($O111,Items!$A$2:$A$1032,0))</f>
        <v>#N/A</v>
      </c>
      <c r="R111" t="e">
        <f>INDEX(Items!D$2:D$1032,MATCH($O111,Items!$A$2:$A$1032,0))</f>
        <v>#N/A</v>
      </c>
    </row>
    <row r="112" spans="1:18" x14ac:dyDescent="0.25">
      <c r="A112">
        <f t="shared" si="7"/>
        <v>1</v>
      </c>
      <c r="B112" t="str">
        <f t="shared" si="8"/>
        <v/>
      </c>
      <c r="C112">
        <f t="shared" si="10"/>
        <v>1</v>
      </c>
      <c r="D112" s="4"/>
      <c r="E112" t="s">
        <v>18</v>
      </c>
      <c r="F112" t="str">
        <f>INDEX(Establishment!B$2:B$1005,MATCH($E112,Establishment!$A$2:$A$1005,0))</f>
        <v xml:space="preserve"> </v>
      </c>
      <c r="G112" t="str">
        <f>INDEX(Establishment!C$2:C$1005,MATCH($E112,Establishment!$A$2:$A$1005,0))</f>
        <v xml:space="preserve"> </v>
      </c>
      <c r="M112">
        <f t="shared" si="11"/>
        <v>0</v>
      </c>
      <c r="N112">
        <f t="shared" si="9"/>
        <v>0</v>
      </c>
      <c r="P112" t="e">
        <f>INDEX(Items!B$2:B$1032,MATCH($O112,Items!$A$2:$A$1032,0))</f>
        <v>#N/A</v>
      </c>
      <c r="Q112" t="e">
        <f>INDEX(Items!C$2:C$1032,MATCH($O112,Items!$A$2:$A$1032,0))</f>
        <v>#N/A</v>
      </c>
      <c r="R112" t="e">
        <f>INDEX(Items!D$2:D$1032,MATCH($O112,Items!$A$2:$A$1032,0))</f>
        <v>#N/A</v>
      </c>
    </row>
    <row r="113" spans="1:18" x14ac:dyDescent="0.25">
      <c r="A113">
        <f t="shared" si="7"/>
        <v>1</v>
      </c>
      <c r="B113" t="str">
        <f t="shared" si="8"/>
        <v/>
      </c>
      <c r="C113">
        <f t="shared" si="10"/>
        <v>1</v>
      </c>
      <c r="D113" s="4"/>
      <c r="E113" t="s">
        <v>18</v>
      </c>
      <c r="F113" t="str">
        <f>INDEX(Establishment!B$2:B$1005,MATCH($E113,Establishment!$A$2:$A$1005,0))</f>
        <v xml:space="preserve"> </v>
      </c>
      <c r="G113" t="str">
        <f>INDEX(Establishment!C$2:C$1005,MATCH($E113,Establishment!$A$2:$A$1005,0))</f>
        <v xml:space="preserve"> </v>
      </c>
      <c r="M113">
        <f t="shared" si="11"/>
        <v>0</v>
      </c>
      <c r="N113">
        <f t="shared" si="9"/>
        <v>0</v>
      </c>
      <c r="P113" t="e">
        <f>INDEX(Items!B$2:B$1032,MATCH($O113,Items!$A$2:$A$1032,0))</f>
        <v>#N/A</v>
      </c>
      <c r="Q113" t="e">
        <f>INDEX(Items!C$2:C$1032,MATCH($O113,Items!$A$2:$A$1032,0))</f>
        <v>#N/A</v>
      </c>
      <c r="R113" t="e">
        <f>INDEX(Items!D$2:D$1032,MATCH($O113,Items!$A$2:$A$1032,0))</f>
        <v>#N/A</v>
      </c>
    </row>
    <row r="114" spans="1:18" x14ac:dyDescent="0.25">
      <c r="A114">
        <f t="shared" si="7"/>
        <v>1</v>
      </c>
      <c r="B114" t="str">
        <f t="shared" si="8"/>
        <v/>
      </c>
      <c r="C114">
        <f t="shared" si="10"/>
        <v>1</v>
      </c>
      <c r="D114" s="4"/>
      <c r="E114" t="s">
        <v>18</v>
      </c>
      <c r="F114" t="str">
        <f>INDEX(Establishment!B$2:B$1005,MATCH($E114,Establishment!$A$2:$A$1005,0))</f>
        <v xml:space="preserve"> </v>
      </c>
      <c r="G114" t="str">
        <f>INDEX(Establishment!C$2:C$1005,MATCH($E114,Establishment!$A$2:$A$1005,0))</f>
        <v xml:space="preserve"> </v>
      </c>
      <c r="M114">
        <f t="shared" si="11"/>
        <v>0</v>
      </c>
      <c r="N114">
        <f t="shared" si="9"/>
        <v>0</v>
      </c>
      <c r="P114" t="e">
        <f>INDEX(Items!B$2:B$1032,MATCH($O114,Items!$A$2:$A$1032,0))</f>
        <v>#N/A</v>
      </c>
      <c r="Q114" t="e">
        <f>INDEX(Items!C$2:C$1032,MATCH($O114,Items!$A$2:$A$1032,0))</f>
        <v>#N/A</v>
      </c>
      <c r="R114" t="e">
        <f>INDEX(Items!D$2:D$1032,MATCH($O114,Items!$A$2:$A$1032,0))</f>
        <v>#N/A</v>
      </c>
    </row>
    <row r="115" spans="1:18" x14ac:dyDescent="0.25">
      <c r="A115">
        <f t="shared" si="7"/>
        <v>1</v>
      </c>
      <c r="B115" t="str">
        <f t="shared" si="8"/>
        <v/>
      </c>
      <c r="C115">
        <f t="shared" si="10"/>
        <v>1</v>
      </c>
      <c r="D115" s="4"/>
      <c r="E115" t="s">
        <v>18</v>
      </c>
      <c r="F115" t="str">
        <f>INDEX(Establishment!B$2:B$1005,MATCH($E115,Establishment!$A$2:$A$1005,0))</f>
        <v xml:space="preserve"> </v>
      </c>
      <c r="G115" t="str">
        <f>INDEX(Establishment!C$2:C$1005,MATCH($E115,Establishment!$A$2:$A$1005,0))</f>
        <v xml:space="preserve"> </v>
      </c>
      <c r="M115">
        <f t="shared" si="11"/>
        <v>0</v>
      </c>
      <c r="N115">
        <f t="shared" si="9"/>
        <v>0</v>
      </c>
      <c r="P115" t="e">
        <f>INDEX(Items!B$2:B$1032,MATCH($O115,Items!$A$2:$A$1032,0))</f>
        <v>#N/A</v>
      </c>
      <c r="Q115" t="e">
        <f>INDEX(Items!C$2:C$1032,MATCH($O115,Items!$A$2:$A$1032,0))</f>
        <v>#N/A</v>
      </c>
      <c r="R115" t="e">
        <f>INDEX(Items!D$2:D$1032,MATCH($O115,Items!$A$2:$A$1032,0))</f>
        <v>#N/A</v>
      </c>
    </row>
    <row r="116" spans="1:18" x14ac:dyDescent="0.25">
      <c r="A116">
        <f t="shared" si="7"/>
        <v>1</v>
      </c>
      <c r="B116" t="str">
        <f t="shared" si="8"/>
        <v/>
      </c>
      <c r="C116">
        <f t="shared" si="10"/>
        <v>1</v>
      </c>
      <c r="D116" s="4"/>
      <c r="E116" t="s">
        <v>18</v>
      </c>
      <c r="F116" t="str">
        <f>INDEX(Establishment!B$2:B$1005,MATCH($E116,Establishment!$A$2:$A$1005,0))</f>
        <v xml:space="preserve"> </v>
      </c>
      <c r="G116" t="str">
        <f>INDEX(Establishment!C$2:C$1005,MATCH($E116,Establishment!$A$2:$A$1005,0))</f>
        <v xml:space="preserve"> </v>
      </c>
      <c r="M116">
        <f t="shared" si="11"/>
        <v>0</v>
      </c>
      <c r="N116">
        <f t="shared" si="9"/>
        <v>0</v>
      </c>
      <c r="P116" t="e">
        <f>INDEX(Items!B$2:B$1032,MATCH($O116,Items!$A$2:$A$1032,0))</f>
        <v>#N/A</v>
      </c>
      <c r="Q116" t="e">
        <f>INDEX(Items!C$2:C$1032,MATCH($O116,Items!$A$2:$A$1032,0))</f>
        <v>#N/A</v>
      </c>
      <c r="R116" t="e">
        <f>INDEX(Items!D$2:D$1032,MATCH($O116,Items!$A$2:$A$1032,0))</f>
        <v>#N/A</v>
      </c>
    </row>
    <row r="117" spans="1:18" x14ac:dyDescent="0.25">
      <c r="A117">
        <f t="shared" si="7"/>
        <v>1</v>
      </c>
      <c r="B117" t="str">
        <f t="shared" si="8"/>
        <v/>
      </c>
      <c r="C117">
        <f t="shared" si="10"/>
        <v>1</v>
      </c>
      <c r="D117" s="4"/>
      <c r="E117" t="s">
        <v>18</v>
      </c>
      <c r="F117" t="str">
        <f>INDEX(Establishment!B$2:B$1005,MATCH($E117,Establishment!$A$2:$A$1005,0))</f>
        <v xml:space="preserve"> </v>
      </c>
      <c r="G117" t="str">
        <f>INDEX(Establishment!C$2:C$1005,MATCH($E117,Establishment!$A$2:$A$1005,0))</f>
        <v xml:space="preserve"> </v>
      </c>
      <c r="M117">
        <f t="shared" si="11"/>
        <v>0</v>
      </c>
      <c r="N117">
        <f t="shared" si="9"/>
        <v>0</v>
      </c>
      <c r="P117" t="e">
        <f>INDEX(Items!B$2:B$1032,MATCH($O117,Items!$A$2:$A$1032,0))</f>
        <v>#N/A</v>
      </c>
      <c r="Q117" t="e">
        <f>INDEX(Items!C$2:C$1032,MATCH($O117,Items!$A$2:$A$1032,0))</f>
        <v>#N/A</v>
      </c>
      <c r="R117" t="e">
        <f>INDEX(Items!D$2:D$1032,MATCH($O117,Items!$A$2:$A$1032,0))</f>
        <v>#N/A</v>
      </c>
    </row>
    <row r="118" spans="1:18" x14ac:dyDescent="0.25">
      <c r="A118">
        <f t="shared" si="7"/>
        <v>1</v>
      </c>
      <c r="B118" t="str">
        <f t="shared" si="8"/>
        <v/>
      </c>
      <c r="C118">
        <f t="shared" si="10"/>
        <v>1</v>
      </c>
      <c r="D118" s="4"/>
      <c r="E118" t="s">
        <v>18</v>
      </c>
      <c r="F118" t="str">
        <f>INDEX(Establishment!B$2:B$1005,MATCH($E118,Establishment!$A$2:$A$1005,0))</f>
        <v xml:space="preserve"> </v>
      </c>
      <c r="G118" t="str">
        <f>INDEX(Establishment!C$2:C$1005,MATCH($E118,Establishment!$A$2:$A$1005,0))</f>
        <v xml:space="preserve"> </v>
      </c>
      <c r="M118">
        <f t="shared" si="11"/>
        <v>0</v>
      </c>
      <c r="N118">
        <f t="shared" si="9"/>
        <v>0</v>
      </c>
      <c r="P118" t="e">
        <f>INDEX(Items!B$2:B$1032,MATCH($O118,Items!$A$2:$A$1032,0))</f>
        <v>#N/A</v>
      </c>
      <c r="Q118" t="e">
        <f>INDEX(Items!C$2:C$1032,MATCH($O118,Items!$A$2:$A$1032,0))</f>
        <v>#N/A</v>
      </c>
      <c r="R118" t="e">
        <f>INDEX(Items!D$2:D$1032,MATCH($O118,Items!$A$2:$A$1032,0))</f>
        <v>#N/A</v>
      </c>
    </row>
    <row r="119" spans="1:18" x14ac:dyDescent="0.25">
      <c r="A119">
        <f t="shared" si="7"/>
        <v>1</v>
      </c>
      <c r="B119" t="str">
        <f t="shared" si="8"/>
        <v/>
      </c>
      <c r="C119">
        <f t="shared" si="10"/>
        <v>1</v>
      </c>
      <c r="D119" s="4"/>
      <c r="E119" t="s">
        <v>18</v>
      </c>
      <c r="F119" t="str">
        <f>INDEX(Establishment!B$2:B$1005,MATCH($E119,Establishment!$A$2:$A$1005,0))</f>
        <v xml:space="preserve"> </v>
      </c>
      <c r="G119" t="str">
        <f>INDEX(Establishment!C$2:C$1005,MATCH($E119,Establishment!$A$2:$A$1005,0))</f>
        <v xml:space="preserve"> </v>
      </c>
      <c r="M119">
        <f t="shared" si="11"/>
        <v>0</v>
      </c>
      <c r="N119">
        <f t="shared" si="9"/>
        <v>0</v>
      </c>
      <c r="P119" t="e">
        <f>INDEX(Items!B$2:B$1032,MATCH($O119,Items!$A$2:$A$1032,0))</f>
        <v>#N/A</v>
      </c>
      <c r="Q119" t="e">
        <f>INDEX(Items!C$2:C$1032,MATCH($O119,Items!$A$2:$A$1032,0))</f>
        <v>#N/A</v>
      </c>
      <c r="R119" t="e">
        <f>INDEX(Items!D$2:D$1032,MATCH($O119,Items!$A$2:$A$1032,0))</f>
        <v>#N/A</v>
      </c>
    </row>
    <row r="120" spans="1:18" x14ac:dyDescent="0.25">
      <c r="A120">
        <f t="shared" si="7"/>
        <v>1</v>
      </c>
      <c r="B120" t="str">
        <f t="shared" si="8"/>
        <v/>
      </c>
      <c r="C120">
        <f t="shared" si="10"/>
        <v>1</v>
      </c>
      <c r="D120" s="4"/>
      <c r="E120" t="s">
        <v>18</v>
      </c>
      <c r="F120" t="str">
        <f>INDEX(Establishment!B$2:B$1005,MATCH($E120,Establishment!$A$2:$A$1005,0))</f>
        <v xml:space="preserve"> </v>
      </c>
      <c r="G120" t="str">
        <f>INDEX(Establishment!C$2:C$1005,MATCH($E120,Establishment!$A$2:$A$1005,0))</f>
        <v xml:space="preserve"> </v>
      </c>
      <c r="M120">
        <f t="shared" si="11"/>
        <v>0</v>
      </c>
      <c r="N120">
        <f t="shared" si="9"/>
        <v>0</v>
      </c>
      <c r="P120" t="e">
        <f>INDEX(Items!B$2:B$1032,MATCH($O120,Items!$A$2:$A$1032,0))</f>
        <v>#N/A</v>
      </c>
      <c r="Q120" t="e">
        <f>INDEX(Items!C$2:C$1032,MATCH($O120,Items!$A$2:$A$1032,0))</f>
        <v>#N/A</v>
      </c>
      <c r="R120" t="e">
        <f>INDEX(Items!D$2:D$1032,MATCH($O120,Items!$A$2:$A$1032,0))</f>
        <v>#N/A</v>
      </c>
    </row>
    <row r="121" spans="1:18" x14ac:dyDescent="0.25">
      <c r="A121">
        <f t="shared" si="7"/>
        <v>1</v>
      </c>
      <c r="B121" t="str">
        <f t="shared" si="8"/>
        <v/>
      </c>
      <c r="C121">
        <f t="shared" si="10"/>
        <v>1</v>
      </c>
      <c r="D121" s="4"/>
      <c r="E121" t="s">
        <v>18</v>
      </c>
      <c r="F121" t="str">
        <f>INDEX(Establishment!B$2:B$1005,MATCH($E121,Establishment!$A$2:$A$1005,0))</f>
        <v xml:space="preserve"> </v>
      </c>
      <c r="G121" t="str">
        <f>INDEX(Establishment!C$2:C$1005,MATCH($E121,Establishment!$A$2:$A$1005,0))</f>
        <v xml:space="preserve"> </v>
      </c>
      <c r="M121">
        <f t="shared" si="11"/>
        <v>0</v>
      </c>
      <c r="N121">
        <f t="shared" si="9"/>
        <v>0</v>
      </c>
      <c r="P121" t="e">
        <f>INDEX(Items!B$2:B$1032,MATCH($O121,Items!$A$2:$A$1032,0))</f>
        <v>#N/A</v>
      </c>
      <c r="Q121" t="e">
        <f>INDEX(Items!C$2:C$1032,MATCH($O121,Items!$A$2:$A$1032,0))</f>
        <v>#N/A</v>
      </c>
      <c r="R121" t="e">
        <f>INDEX(Items!D$2:D$1032,MATCH($O121,Items!$A$2:$A$1032,0))</f>
        <v>#N/A</v>
      </c>
    </row>
    <row r="122" spans="1:18" x14ac:dyDescent="0.25">
      <c r="A122">
        <f t="shared" si="7"/>
        <v>1</v>
      </c>
      <c r="B122" t="str">
        <f t="shared" si="8"/>
        <v/>
      </c>
      <c r="C122">
        <f t="shared" si="10"/>
        <v>1</v>
      </c>
      <c r="D122" s="4"/>
      <c r="E122" t="s">
        <v>18</v>
      </c>
      <c r="F122" t="str">
        <f>INDEX(Establishment!B$2:B$1005,MATCH($E122,Establishment!$A$2:$A$1005,0))</f>
        <v xml:space="preserve"> </v>
      </c>
      <c r="G122" t="str">
        <f>INDEX(Establishment!C$2:C$1005,MATCH($E122,Establishment!$A$2:$A$1005,0))</f>
        <v xml:space="preserve"> </v>
      </c>
      <c r="M122">
        <f t="shared" si="11"/>
        <v>0</v>
      </c>
      <c r="N122">
        <f t="shared" si="9"/>
        <v>0</v>
      </c>
      <c r="P122" t="e">
        <f>INDEX(Items!B$2:B$1032,MATCH($O122,Items!$A$2:$A$1032,0))</f>
        <v>#N/A</v>
      </c>
      <c r="Q122" t="e">
        <f>INDEX(Items!C$2:C$1032,MATCH($O122,Items!$A$2:$A$1032,0))</f>
        <v>#N/A</v>
      </c>
      <c r="R122" t="e">
        <f>INDEX(Items!D$2:D$1032,MATCH($O122,Items!$A$2:$A$1032,0))</f>
        <v>#N/A</v>
      </c>
    </row>
    <row r="123" spans="1:18" x14ac:dyDescent="0.25">
      <c r="A123">
        <f t="shared" si="7"/>
        <v>1</v>
      </c>
      <c r="B123" t="str">
        <f t="shared" si="8"/>
        <v/>
      </c>
      <c r="C123">
        <f t="shared" si="10"/>
        <v>1</v>
      </c>
      <c r="D123" s="4"/>
      <c r="E123" t="s">
        <v>18</v>
      </c>
      <c r="F123" t="str">
        <f>INDEX(Establishment!B$2:B$1005,MATCH($E123,Establishment!$A$2:$A$1005,0))</f>
        <v xml:space="preserve"> </v>
      </c>
      <c r="G123" t="str">
        <f>INDEX(Establishment!C$2:C$1005,MATCH($E123,Establishment!$A$2:$A$1005,0))</f>
        <v xml:space="preserve"> </v>
      </c>
      <c r="M123">
        <f t="shared" si="11"/>
        <v>0</v>
      </c>
      <c r="N123">
        <f t="shared" si="9"/>
        <v>0</v>
      </c>
      <c r="P123" t="e">
        <f>INDEX(Items!B$2:B$1032,MATCH($O123,Items!$A$2:$A$1032,0))</f>
        <v>#N/A</v>
      </c>
      <c r="Q123" t="e">
        <f>INDEX(Items!C$2:C$1032,MATCH($O123,Items!$A$2:$A$1032,0))</f>
        <v>#N/A</v>
      </c>
      <c r="R123" t="e">
        <f>INDEX(Items!D$2:D$1032,MATCH($O123,Items!$A$2:$A$1032,0))</f>
        <v>#N/A</v>
      </c>
    </row>
    <row r="124" spans="1:18" x14ac:dyDescent="0.25">
      <c r="A124">
        <f t="shared" si="7"/>
        <v>1</v>
      </c>
      <c r="B124" t="str">
        <f t="shared" si="8"/>
        <v/>
      </c>
      <c r="C124">
        <f t="shared" si="10"/>
        <v>1</v>
      </c>
      <c r="D124" s="4"/>
      <c r="E124" t="s">
        <v>18</v>
      </c>
      <c r="F124" t="str">
        <f>INDEX(Establishment!B$2:B$1005,MATCH($E124,Establishment!$A$2:$A$1005,0))</f>
        <v xml:space="preserve"> </v>
      </c>
      <c r="G124" t="str">
        <f>INDEX(Establishment!C$2:C$1005,MATCH($E124,Establishment!$A$2:$A$1005,0))</f>
        <v xml:space="preserve"> </v>
      </c>
      <c r="M124">
        <f t="shared" si="11"/>
        <v>0</v>
      </c>
      <c r="N124">
        <f t="shared" si="9"/>
        <v>0</v>
      </c>
      <c r="P124" t="e">
        <f>INDEX(Items!B$2:B$1032,MATCH($O124,Items!$A$2:$A$1032,0))</f>
        <v>#N/A</v>
      </c>
      <c r="Q124" t="e">
        <f>INDEX(Items!C$2:C$1032,MATCH($O124,Items!$A$2:$A$1032,0))</f>
        <v>#N/A</v>
      </c>
      <c r="R124" t="e">
        <f>INDEX(Items!D$2:D$1032,MATCH($O124,Items!$A$2:$A$1032,0))</f>
        <v>#N/A</v>
      </c>
    </row>
    <row r="125" spans="1:18" x14ac:dyDescent="0.25">
      <c r="A125">
        <f t="shared" si="7"/>
        <v>1</v>
      </c>
      <c r="B125" t="str">
        <f t="shared" si="8"/>
        <v/>
      </c>
      <c r="C125">
        <f t="shared" si="10"/>
        <v>1</v>
      </c>
      <c r="D125" s="4"/>
      <c r="E125" t="s">
        <v>18</v>
      </c>
      <c r="F125" t="str">
        <f>INDEX(Establishment!B$2:B$1005,MATCH($E125,Establishment!$A$2:$A$1005,0))</f>
        <v xml:space="preserve"> </v>
      </c>
      <c r="G125" t="str">
        <f>INDEX(Establishment!C$2:C$1005,MATCH($E125,Establishment!$A$2:$A$1005,0))</f>
        <v xml:space="preserve"> </v>
      </c>
      <c r="M125">
        <f t="shared" si="11"/>
        <v>0</v>
      </c>
      <c r="N125">
        <f t="shared" si="9"/>
        <v>0</v>
      </c>
      <c r="P125" t="e">
        <f>INDEX(Items!B$2:B$1032,MATCH($O125,Items!$A$2:$A$1032,0))</f>
        <v>#N/A</v>
      </c>
      <c r="Q125" t="e">
        <f>INDEX(Items!C$2:C$1032,MATCH($O125,Items!$A$2:$A$1032,0))</f>
        <v>#N/A</v>
      </c>
      <c r="R125" t="e">
        <f>INDEX(Items!D$2:D$1032,MATCH($O125,Items!$A$2:$A$1032,0))</f>
        <v>#N/A</v>
      </c>
    </row>
    <row r="126" spans="1:18" x14ac:dyDescent="0.25">
      <c r="A126">
        <f t="shared" si="7"/>
        <v>1</v>
      </c>
      <c r="B126" t="str">
        <f t="shared" si="8"/>
        <v/>
      </c>
      <c r="C126">
        <f t="shared" si="10"/>
        <v>1</v>
      </c>
      <c r="D126" s="4"/>
      <c r="E126" t="s">
        <v>18</v>
      </c>
      <c r="F126" t="str">
        <f>INDEX(Establishment!B$2:B$1005,MATCH($E126,Establishment!$A$2:$A$1005,0))</f>
        <v xml:space="preserve"> </v>
      </c>
      <c r="G126" t="str">
        <f>INDEX(Establishment!C$2:C$1005,MATCH($E126,Establishment!$A$2:$A$1005,0))</f>
        <v xml:space="preserve"> </v>
      </c>
      <c r="M126">
        <f t="shared" si="11"/>
        <v>0</v>
      </c>
      <c r="N126">
        <f t="shared" si="9"/>
        <v>0</v>
      </c>
      <c r="P126" t="e">
        <f>INDEX(Items!B$2:B$1032,MATCH($O126,Items!$A$2:$A$1032,0))</f>
        <v>#N/A</v>
      </c>
      <c r="Q126" t="e">
        <f>INDEX(Items!C$2:C$1032,MATCH($O126,Items!$A$2:$A$1032,0))</f>
        <v>#N/A</v>
      </c>
      <c r="R126" t="e">
        <f>INDEX(Items!D$2:D$1032,MATCH($O126,Items!$A$2:$A$1032,0))</f>
        <v>#N/A</v>
      </c>
    </row>
    <row r="127" spans="1:18" x14ac:dyDescent="0.25">
      <c r="A127">
        <f t="shared" si="7"/>
        <v>1</v>
      </c>
      <c r="B127" t="str">
        <f t="shared" si="8"/>
        <v/>
      </c>
      <c r="C127">
        <f t="shared" si="10"/>
        <v>1</v>
      </c>
      <c r="D127" s="4"/>
      <c r="E127" t="s">
        <v>18</v>
      </c>
      <c r="F127" t="str">
        <f>INDEX(Establishment!B$2:B$1005,MATCH($E127,Establishment!$A$2:$A$1005,0))</f>
        <v xml:space="preserve"> </v>
      </c>
      <c r="G127" t="str">
        <f>INDEX(Establishment!C$2:C$1005,MATCH($E127,Establishment!$A$2:$A$1005,0))</f>
        <v xml:space="preserve"> </v>
      </c>
      <c r="M127">
        <f t="shared" si="11"/>
        <v>0</v>
      </c>
      <c r="N127">
        <f t="shared" si="9"/>
        <v>0</v>
      </c>
      <c r="P127" t="e">
        <f>INDEX(Items!B$2:B$1032,MATCH($O127,Items!$A$2:$A$1032,0))</f>
        <v>#N/A</v>
      </c>
      <c r="Q127" t="e">
        <f>INDEX(Items!C$2:C$1032,MATCH($O127,Items!$A$2:$A$1032,0))</f>
        <v>#N/A</v>
      </c>
      <c r="R127" t="e">
        <f>INDEX(Items!D$2:D$1032,MATCH($O127,Items!$A$2:$A$1032,0))</f>
        <v>#N/A</v>
      </c>
    </row>
    <row r="128" spans="1:18" x14ac:dyDescent="0.25">
      <c r="A128">
        <f t="shared" si="7"/>
        <v>1</v>
      </c>
      <c r="B128" t="str">
        <f t="shared" si="8"/>
        <v/>
      </c>
      <c r="C128">
        <f t="shared" si="10"/>
        <v>1</v>
      </c>
      <c r="D128" s="4"/>
      <c r="E128" t="s">
        <v>18</v>
      </c>
      <c r="F128" t="str">
        <f>INDEX(Establishment!B$2:B$1005,MATCH($E128,Establishment!$A$2:$A$1005,0))</f>
        <v xml:space="preserve"> </v>
      </c>
      <c r="G128" t="str">
        <f>INDEX(Establishment!C$2:C$1005,MATCH($E128,Establishment!$A$2:$A$1005,0))</f>
        <v xml:space="preserve"> </v>
      </c>
      <c r="M128">
        <f t="shared" si="11"/>
        <v>0</v>
      </c>
      <c r="N128">
        <f t="shared" si="9"/>
        <v>0</v>
      </c>
      <c r="P128" t="e">
        <f>INDEX(Items!B$2:B$1032,MATCH($O128,Items!$A$2:$A$1032,0))</f>
        <v>#N/A</v>
      </c>
      <c r="Q128" t="e">
        <f>INDEX(Items!C$2:C$1032,MATCH($O128,Items!$A$2:$A$1032,0))</f>
        <v>#N/A</v>
      </c>
      <c r="R128" t="e">
        <f>INDEX(Items!D$2:D$1032,MATCH($O128,Items!$A$2:$A$1032,0))</f>
        <v>#N/A</v>
      </c>
    </row>
    <row r="129" spans="1:18" x14ac:dyDescent="0.25">
      <c r="A129">
        <f t="shared" si="7"/>
        <v>1</v>
      </c>
      <c r="B129" t="str">
        <f t="shared" si="8"/>
        <v/>
      </c>
      <c r="C129">
        <f t="shared" si="10"/>
        <v>1</v>
      </c>
      <c r="D129" s="4"/>
      <c r="E129" t="s">
        <v>18</v>
      </c>
      <c r="F129" t="str">
        <f>INDEX(Establishment!B$2:B$1005,MATCH($E129,Establishment!$A$2:$A$1005,0))</f>
        <v xml:space="preserve"> </v>
      </c>
      <c r="G129" t="str">
        <f>INDEX(Establishment!C$2:C$1005,MATCH($E129,Establishment!$A$2:$A$1005,0))</f>
        <v xml:space="preserve"> </v>
      </c>
      <c r="M129">
        <f t="shared" si="11"/>
        <v>0</v>
      </c>
      <c r="N129">
        <f t="shared" si="9"/>
        <v>0</v>
      </c>
      <c r="P129" t="e">
        <f>INDEX(Items!B$2:B$1032,MATCH($O129,Items!$A$2:$A$1032,0))</f>
        <v>#N/A</v>
      </c>
      <c r="Q129" t="e">
        <f>INDEX(Items!C$2:C$1032,MATCH($O129,Items!$A$2:$A$1032,0))</f>
        <v>#N/A</v>
      </c>
      <c r="R129" t="e">
        <f>INDEX(Items!D$2:D$1032,MATCH($O129,Items!$A$2:$A$1032,0))</f>
        <v>#N/A</v>
      </c>
    </row>
    <row r="130" spans="1:18" x14ac:dyDescent="0.25">
      <c r="A130">
        <f t="shared" ref="A130:A193" si="12">IF(OR(D130&lt;&gt;D129,D130=""),1,IF(NOT(AND(E130=E129,F130=F129,G130=G129)),A129+1,IF(OR(H130="",AND(H130&lt;&gt;"",H130&lt;&gt;H129,H129&lt;&gt;"")),A129,A129+1)))</f>
        <v>1</v>
      </c>
      <c r="B130" t="str">
        <f t="shared" ref="B130:B193" si="13">IF(D130&lt;&gt;"",TEXT(D130,"YYYYMMDD")&amp;CHAR(64+A130),"")</f>
        <v/>
      </c>
      <c r="C130">
        <f t="shared" si="10"/>
        <v>1</v>
      </c>
      <c r="D130" s="4"/>
      <c r="E130" t="s">
        <v>18</v>
      </c>
      <c r="F130" t="str">
        <f>INDEX(Establishment!B$2:B$1005,MATCH($E130,Establishment!$A$2:$A$1005,0))</f>
        <v xml:space="preserve"> </v>
      </c>
      <c r="G130" t="str">
        <f>INDEX(Establishment!C$2:C$1005,MATCH($E130,Establishment!$A$2:$A$1005,0))</f>
        <v xml:space="preserve"> </v>
      </c>
      <c r="M130">
        <f t="shared" si="11"/>
        <v>0</v>
      </c>
      <c r="N130">
        <f t="shared" si="9"/>
        <v>0</v>
      </c>
      <c r="P130" t="e">
        <f>INDEX(Items!B$2:B$1032,MATCH($O130,Items!$A$2:$A$1032,0))</f>
        <v>#N/A</v>
      </c>
      <c r="Q130" t="e">
        <f>INDEX(Items!C$2:C$1032,MATCH($O130,Items!$A$2:$A$1032,0))</f>
        <v>#N/A</v>
      </c>
      <c r="R130" t="e">
        <f>INDEX(Items!D$2:D$1032,MATCH($O130,Items!$A$2:$A$1032,0))</f>
        <v>#N/A</v>
      </c>
    </row>
    <row r="131" spans="1:18" x14ac:dyDescent="0.25">
      <c r="A131">
        <f t="shared" si="12"/>
        <v>1</v>
      </c>
      <c r="B131" t="str">
        <f t="shared" si="13"/>
        <v/>
      </c>
      <c r="C131">
        <f t="shared" si="10"/>
        <v>1</v>
      </c>
      <c r="D131" s="4"/>
      <c r="E131" t="s">
        <v>18</v>
      </c>
      <c r="F131" t="str">
        <f>INDEX(Establishment!B$2:B$1005,MATCH($E131,Establishment!$A$2:$A$1005,0))</f>
        <v xml:space="preserve"> </v>
      </c>
      <c r="G131" t="str">
        <f>INDEX(Establishment!C$2:C$1005,MATCH($E131,Establishment!$A$2:$A$1005,0))</f>
        <v xml:space="preserve"> </v>
      </c>
      <c r="M131">
        <f t="shared" si="11"/>
        <v>0</v>
      </c>
      <c r="N131">
        <f t="shared" ref="N131:N194" si="14">IF(B131=B130,N130+M131,M131)</f>
        <v>0</v>
      </c>
      <c r="P131" t="e">
        <f>INDEX(Items!B$2:B$1032,MATCH($O131,Items!$A$2:$A$1032,0))</f>
        <v>#N/A</v>
      </c>
      <c r="Q131" t="e">
        <f>INDEX(Items!C$2:C$1032,MATCH($O131,Items!$A$2:$A$1032,0))</f>
        <v>#N/A</v>
      </c>
      <c r="R131" t="e">
        <f>INDEX(Items!D$2:D$1032,MATCH($O131,Items!$A$2:$A$1032,0))</f>
        <v>#N/A</v>
      </c>
    </row>
    <row r="132" spans="1:18" x14ac:dyDescent="0.25">
      <c r="A132">
        <f t="shared" si="12"/>
        <v>1</v>
      </c>
      <c r="B132" t="str">
        <f t="shared" si="13"/>
        <v/>
      </c>
      <c r="C132">
        <f t="shared" si="10"/>
        <v>1</v>
      </c>
      <c r="D132" s="4"/>
      <c r="E132" t="s">
        <v>18</v>
      </c>
      <c r="F132" t="str">
        <f>INDEX(Establishment!B$2:B$1005,MATCH($E132,Establishment!$A$2:$A$1005,0))</f>
        <v xml:space="preserve"> </v>
      </c>
      <c r="G132" t="str">
        <f>INDEX(Establishment!C$2:C$1005,MATCH($E132,Establishment!$A$2:$A$1005,0))</f>
        <v xml:space="preserve"> </v>
      </c>
      <c r="M132">
        <f t="shared" si="11"/>
        <v>0</v>
      </c>
      <c r="N132">
        <f t="shared" si="14"/>
        <v>0</v>
      </c>
      <c r="P132" t="e">
        <f>INDEX(Items!B$2:B$1032,MATCH($O132,Items!$A$2:$A$1032,0))</f>
        <v>#N/A</v>
      </c>
      <c r="Q132" t="e">
        <f>INDEX(Items!C$2:C$1032,MATCH($O132,Items!$A$2:$A$1032,0))</f>
        <v>#N/A</v>
      </c>
      <c r="R132" t="e">
        <f>INDEX(Items!D$2:D$1032,MATCH($O132,Items!$A$2:$A$1032,0))</f>
        <v>#N/A</v>
      </c>
    </row>
    <row r="133" spans="1:18" x14ac:dyDescent="0.25">
      <c r="A133">
        <f t="shared" si="12"/>
        <v>1</v>
      </c>
      <c r="B133" t="str">
        <f t="shared" si="13"/>
        <v/>
      </c>
      <c r="C133">
        <f t="shared" si="10"/>
        <v>1</v>
      </c>
      <c r="D133" s="4"/>
      <c r="E133" t="s">
        <v>18</v>
      </c>
      <c r="F133" t="str">
        <f>INDEX(Establishment!B$2:B$1005,MATCH($E133,Establishment!$A$2:$A$1005,0))</f>
        <v xml:space="preserve"> </v>
      </c>
      <c r="G133" t="str">
        <f>INDEX(Establishment!C$2:C$1005,MATCH($E133,Establishment!$A$2:$A$1005,0))</f>
        <v xml:space="preserve"> </v>
      </c>
      <c r="M133">
        <f t="shared" si="11"/>
        <v>0</v>
      </c>
      <c r="N133">
        <f t="shared" si="14"/>
        <v>0</v>
      </c>
      <c r="P133" t="e">
        <f>INDEX(Items!B$2:B$1032,MATCH($O133,Items!$A$2:$A$1032,0))</f>
        <v>#N/A</v>
      </c>
      <c r="Q133" t="e">
        <f>INDEX(Items!C$2:C$1032,MATCH($O133,Items!$A$2:$A$1032,0))</f>
        <v>#N/A</v>
      </c>
      <c r="R133" t="e">
        <f>INDEX(Items!D$2:D$1032,MATCH($O133,Items!$A$2:$A$1032,0))</f>
        <v>#N/A</v>
      </c>
    </row>
    <row r="134" spans="1:18" x14ac:dyDescent="0.25">
      <c r="A134">
        <f t="shared" si="12"/>
        <v>1</v>
      </c>
      <c r="B134" t="str">
        <f t="shared" si="13"/>
        <v/>
      </c>
      <c r="C134">
        <f t="shared" si="10"/>
        <v>1</v>
      </c>
      <c r="D134" s="4"/>
      <c r="E134" t="s">
        <v>18</v>
      </c>
      <c r="F134" t="str">
        <f>INDEX(Establishment!B$2:B$1005,MATCH($E134,Establishment!$A$2:$A$1005,0))</f>
        <v xml:space="preserve"> </v>
      </c>
      <c r="G134" t="str">
        <f>INDEX(Establishment!C$2:C$1005,MATCH($E134,Establishment!$A$2:$A$1005,0))</f>
        <v xml:space="preserve"> </v>
      </c>
      <c r="M134">
        <f t="shared" si="11"/>
        <v>0</v>
      </c>
      <c r="N134">
        <f t="shared" si="14"/>
        <v>0</v>
      </c>
      <c r="P134" t="e">
        <f>INDEX(Items!B$2:B$1032,MATCH($O134,Items!$A$2:$A$1032,0))</f>
        <v>#N/A</v>
      </c>
      <c r="Q134" t="e">
        <f>INDEX(Items!C$2:C$1032,MATCH($O134,Items!$A$2:$A$1032,0))</f>
        <v>#N/A</v>
      </c>
      <c r="R134" t="e">
        <f>INDEX(Items!D$2:D$1032,MATCH($O134,Items!$A$2:$A$1032,0))</f>
        <v>#N/A</v>
      </c>
    </row>
    <row r="135" spans="1:18" x14ac:dyDescent="0.25">
      <c r="A135">
        <f t="shared" si="12"/>
        <v>1</v>
      </c>
      <c r="B135" t="str">
        <f t="shared" si="13"/>
        <v/>
      </c>
      <c r="C135">
        <f t="shared" si="10"/>
        <v>1</v>
      </c>
      <c r="D135" s="4"/>
      <c r="E135" t="s">
        <v>18</v>
      </c>
      <c r="F135" t="str">
        <f>INDEX(Establishment!B$2:B$1005,MATCH($E135,Establishment!$A$2:$A$1005,0))</f>
        <v xml:space="preserve"> </v>
      </c>
      <c r="G135" t="str">
        <f>INDEX(Establishment!C$2:C$1005,MATCH($E135,Establishment!$A$2:$A$1005,0))</f>
        <v xml:space="preserve"> </v>
      </c>
      <c r="M135">
        <f t="shared" si="11"/>
        <v>0</v>
      </c>
      <c r="N135">
        <f t="shared" si="14"/>
        <v>0</v>
      </c>
      <c r="P135" t="e">
        <f>INDEX(Items!B$2:B$1032,MATCH($O135,Items!$A$2:$A$1032,0))</f>
        <v>#N/A</v>
      </c>
      <c r="Q135" t="e">
        <f>INDEX(Items!C$2:C$1032,MATCH($O135,Items!$A$2:$A$1032,0))</f>
        <v>#N/A</v>
      </c>
      <c r="R135" t="e">
        <f>INDEX(Items!D$2:D$1032,MATCH($O135,Items!$A$2:$A$1032,0))</f>
        <v>#N/A</v>
      </c>
    </row>
    <row r="136" spans="1:18" x14ac:dyDescent="0.25">
      <c r="A136">
        <f t="shared" si="12"/>
        <v>1</v>
      </c>
      <c r="B136" t="str">
        <f t="shared" si="13"/>
        <v/>
      </c>
      <c r="C136">
        <f t="shared" si="10"/>
        <v>1</v>
      </c>
      <c r="D136" s="4"/>
      <c r="E136" t="s">
        <v>18</v>
      </c>
      <c r="F136" t="str">
        <f>INDEX(Establishment!B$2:B$1005,MATCH($E136,Establishment!$A$2:$A$1005,0))</f>
        <v xml:space="preserve"> </v>
      </c>
      <c r="G136" t="str">
        <f>INDEX(Establishment!C$2:C$1005,MATCH($E136,Establishment!$A$2:$A$1005,0))</f>
        <v xml:space="preserve"> </v>
      </c>
      <c r="M136">
        <f t="shared" si="11"/>
        <v>0</v>
      </c>
      <c r="N136">
        <f t="shared" si="14"/>
        <v>0</v>
      </c>
      <c r="P136" t="e">
        <f>INDEX(Items!B$2:B$1032,MATCH($O136,Items!$A$2:$A$1032,0))</f>
        <v>#N/A</v>
      </c>
      <c r="Q136" t="e">
        <f>INDEX(Items!C$2:C$1032,MATCH($O136,Items!$A$2:$A$1032,0))</f>
        <v>#N/A</v>
      </c>
      <c r="R136" t="e">
        <f>INDEX(Items!D$2:D$1032,MATCH($O136,Items!$A$2:$A$1032,0))</f>
        <v>#N/A</v>
      </c>
    </row>
    <row r="137" spans="1:18" x14ac:dyDescent="0.25">
      <c r="A137">
        <f t="shared" si="12"/>
        <v>1</v>
      </c>
      <c r="B137" t="str">
        <f t="shared" si="13"/>
        <v/>
      </c>
      <c r="C137">
        <f t="shared" si="10"/>
        <v>1</v>
      </c>
      <c r="D137" s="4"/>
      <c r="E137" t="s">
        <v>18</v>
      </c>
      <c r="F137" t="str">
        <f>INDEX(Establishment!B$2:B$1005,MATCH($E137,Establishment!$A$2:$A$1005,0))</f>
        <v xml:space="preserve"> </v>
      </c>
      <c r="G137" t="str">
        <f>INDEX(Establishment!C$2:C$1005,MATCH($E137,Establishment!$A$2:$A$1005,0))</f>
        <v xml:space="preserve"> </v>
      </c>
      <c r="M137">
        <f t="shared" si="11"/>
        <v>0</v>
      </c>
      <c r="N137">
        <f t="shared" si="14"/>
        <v>0</v>
      </c>
      <c r="P137" t="e">
        <f>INDEX(Items!B$2:B$1032,MATCH($O137,Items!$A$2:$A$1032,0))</f>
        <v>#N/A</v>
      </c>
      <c r="Q137" t="e">
        <f>INDEX(Items!C$2:C$1032,MATCH($O137,Items!$A$2:$A$1032,0))</f>
        <v>#N/A</v>
      </c>
      <c r="R137" t="e">
        <f>INDEX(Items!D$2:D$1032,MATCH($O137,Items!$A$2:$A$1032,0))</f>
        <v>#N/A</v>
      </c>
    </row>
    <row r="138" spans="1:18" x14ac:dyDescent="0.25">
      <c r="A138">
        <f t="shared" si="12"/>
        <v>1</v>
      </c>
      <c r="B138" t="str">
        <f t="shared" si="13"/>
        <v/>
      </c>
      <c r="C138">
        <f t="shared" ref="C138:C201" si="15">IF(OR(B138="",B138&lt;&gt;B137),1,C137+1)</f>
        <v>1</v>
      </c>
      <c r="D138" s="4"/>
      <c r="E138" t="s">
        <v>18</v>
      </c>
      <c r="F138" t="str">
        <f>INDEX(Establishment!B$2:B$1005,MATCH($E138,Establishment!$A$2:$A$1005,0))</f>
        <v xml:space="preserve"> </v>
      </c>
      <c r="G138" t="str">
        <f>INDEX(Establishment!C$2:C$1005,MATCH($E138,Establishment!$A$2:$A$1005,0))</f>
        <v xml:space="preserve"> </v>
      </c>
      <c r="M138">
        <f t="shared" ref="M138:M201" si="16">K138*L138</f>
        <v>0</v>
      </c>
      <c r="N138">
        <f t="shared" si="14"/>
        <v>0</v>
      </c>
      <c r="P138" t="e">
        <f>INDEX(Items!B$2:B$1032,MATCH($O138,Items!$A$2:$A$1032,0))</f>
        <v>#N/A</v>
      </c>
      <c r="Q138" t="e">
        <f>INDEX(Items!C$2:C$1032,MATCH($O138,Items!$A$2:$A$1032,0))</f>
        <v>#N/A</v>
      </c>
      <c r="R138" t="e">
        <f>INDEX(Items!D$2:D$1032,MATCH($O138,Items!$A$2:$A$1032,0))</f>
        <v>#N/A</v>
      </c>
    </row>
    <row r="139" spans="1:18" x14ac:dyDescent="0.25">
      <c r="A139">
        <f t="shared" si="12"/>
        <v>1</v>
      </c>
      <c r="B139" t="str">
        <f t="shared" si="13"/>
        <v/>
      </c>
      <c r="C139">
        <f t="shared" si="15"/>
        <v>1</v>
      </c>
      <c r="D139" s="4"/>
      <c r="E139" t="s">
        <v>18</v>
      </c>
      <c r="F139" t="str">
        <f>INDEX(Establishment!B$2:B$1005,MATCH($E139,Establishment!$A$2:$A$1005,0))</f>
        <v xml:space="preserve"> </v>
      </c>
      <c r="G139" t="str">
        <f>INDEX(Establishment!C$2:C$1005,MATCH($E139,Establishment!$A$2:$A$1005,0))</f>
        <v xml:space="preserve"> </v>
      </c>
      <c r="M139">
        <f t="shared" si="16"/>
        <v>0</v>
      </c>
      <c r="N139">
        <f t="shared" si="14"/>
        <v>0</v>
      </c>
      <c r="P139" t="e">
        <f>INDEX(Items!B$2:B$1032,MATCH($O139,Items!$A$2:$A$1032,0))</f>
        <v>#N/A</v>
      </c>
      <c r="Q139" t="e">
        <f>INDEX(Items!C$2:C$1032,MATCH($O139,Items!$A$2:$A$1032,0))</f>
        <v>#N/A</v>
      </c>
      <c r="R139" t="e">
        <f>INDEX(Items!D$2:D$1032,MATCH($O139,Items!$A$2:$A$1032,0))</f>
        <v>#N/A</v>
      </c>
    </row>
    <row r="140" spans="1:18" x14ac:dyDescent="0.25">
      <c r="A140">
        <f t="shared" si="12"/>
        <v>1</v>
      </c>
      <c r="B140" t="str">
        <f t="shared" si="13"/>
        <v/>
      </c>
      <c r="C140">
        <f t="shared" si="15"/>
        <v>1</v>
      </c>
      <c r="D140" s="4"/>
      <c r="E140" t="s">
        <v>18</v>
      </c>
      <c r="F140" t="str">
        <f>INDEX(Establishment!B$2:B$1005,MATCH($E140,Establishment!$A$2:$A$1005,0))</f>
        <v xml:space="preserve"> </v>
      </c>
      <c r="G140" t="str">
        <f>INDEX(Establishment!C$2:C$1005,MATCH($E140,Establishment!$A$2:$A$1005,0))</f>
        <v xml:space="preserve"> </v>
      </c>
      <c r="M140">
        <f t="shared" si="16"/>
        <v>0</v>
      </c>
      <c r="N140">
        <f t="shared" si="14"/>
        <v>0</v>
      </c>
      <c r="P140" t="e">
        <f>INDEX(Items!B$2:B$1032,MATCH($O140,Items!$A$2:$A$1032,0))</f>
        <v>#N/A</v>
      </c>
      <c r="Q140" t="e">
        <f>INDEX(Items!C$2:C$1032,MATCH($O140,Items!$A$2:$A$1032,0))</f>
        <v>#N/A</v>
      </c>
      <c r="R140" t="e">
        <f>INDEX(Items!D$2:D$1032,MATCH($O140,Items!$A$2:$A$1032,0))</f>
        <v>#N/A</v>
      </c>
    </row>
    <row r="141" spans="1:18" x14ac:dyDescent="0.25">
      <c r="A141">
        <f t="shared" si="12"/>
        <v>1</v>
      </c>
      <c r="B141" t="str">
        <f t="shared" si="13"/>
        <v/>
      </c>
      <c r="C141">
        <f t="shared" si="15"/>
        <v>1</v>
      </c>
      <c r="D141" s="4"/>
      <c r="E141" t="s">
        <v>18</v>
      </c>
      <c r="F141" t="str">
        <f>INDEX(Establishment!B$2:B$1005,MATCH($E141,Establishment!$A$2:$A$1005,0))</f>
        <v xml:space="preserve"> </v>
      </c>
      <c r="G141" t="str">
        <f>INDEX(Establishment!C$2:C$1005,MATCH($E141,Establishment!$A$2:$A$1005,0))</f>
        <v xml:space="preserve"> </v>
      </c>
      <c r="M141">
        <f t="shared" si="16"/>
        <v>0</v>
      </c>
      <c r="N141">
        <f t="shared" si="14"/>
        <v>0</v>
      </c>
      <c r="P141" t="e">
        <f>INDEX(Items!B$2:B$1032,MATCH($O141,Items!$A$2:$A$1032,0))</f>
        <v>#N/A</v>
      </c>
      <c r="Q141" t="e">
        <f>INDEX(Items!C$2:C$1032,MATCH($O141,Items!$A$2:$A$1032,0))</f>
        <v>#N/A</v>
      </c>
      <c r="R141" t="e">
        <f>INDEX(Items!D$2:D$1032,MATCH($O141,Items!$A$2:$A$1032,0))</f>
        <v>#N/A</v>
      </c>
    </row>
    <row r="142" spans="1:18" x14ac:dyDescent="0.25">
      <c r="A142">
        <f t="shared" si="12"/>
        <v>1</v>
      </c>
      <c r="B142" t="str">
        <f t="shared" si="13"/>
        <v/>
      </c>
      <c r="C142">
        <f t="shared" si="15"/>
        <v>1</v>
      </c>
      <c r="D142" s="4"/>
      <c r="E142" t="s">
        <v>18</v>
      </c>
      <c r="F142" t="str">
        <f>INDEX(Establishment!B$2:B$1005,MATCH($E142,Establishment!$A$2:$A$1005,0))</f>
        <v xml:space="preserve"> </v>
      </c>
      <c r="G142" t="str">
        <f>INDEX(Establishment!C$2:C$1005,MATCH($E142,Establishment!$A$2:$A$1005,0))</f>
        <v xml:space="preserve"> </v>
      </c>
      <c r="M142">
        <f t="shared" si="16"/>
        <v>0</v>
      </c>
      <c r="N142">
        <f t="shared" si="14"/>
        <v>0</v>
      </c>
      <c r="P142" t="e">
        <f>INDEX(Items!B$2:B$1032,MATCH($O142,Items!$A$2:$A$1032,0))</f>
        <v>#N/A</v>
      </c>
      <c r="Q142" t="e">
        <f>INDEX(Items!C$2:C$1032,MATCH($O142,Items!$A$2:$A$1032,0))</f>
        <v>#N/A</v>
      </c>
      <c r="R142" t="e">
        <f>INDEX(Items!D$2:D$1032,MATCH($O142,Items!$A$2:$A$1032,0))</f>
        <v>#N/A</v>
      </c>
    </row>
    <row r="143" spans="1:18" x14ac:dyDescent="0.25">
      <c r="A143">
        <f t="shared" si="12"/>
        <v>1</v>
      </c>
      <c r="B143" t="str">
        <f t="shared" si="13"/>
        <v/>
      </c>
      <c r="C143">
        <f t="shared" si="15"/>
        <v>1</v>
      </c>
      <c r="D143" s="4"/>
      <c r="E143" t="s">
        <v>18</v>
      </c>
      <c r="F143" t="str">
        <f>INDEX(Establishment!B$2:B$1005,MATCH($E143,Establishment!$A$2:$A$1005,0))</f>
        <v xml:space="preserve"> </v>
      </c>
      <c r="G143" t="str">
        <f>INDEX(Establishment!C$2:C$1005,MATCH($E143,Establishment!$A$2:$A$1005,0))</f>
        <v xml:space="preserve"> </v>
      </c>
      <c r="M143">
        <f t="shared" si="16"/>
        <v>0</v>
      </c>
      <c r="N143">
        <f t="shared" si="14"/>
        <v>0</v>
      </c>
      <c r="P143" t="e">
        <f>INDEX(Items!B$2:B$1032,MATCH($O143,Items!$A$2:$A$1032,0))</f>
        <v>#N/A</v>
      </c>
      <c r="Q143" t="e">
        <f>INDEX(Items!C$2:C$1032,MATCH($O143,Items!$A$2:$A$1032,0))</f>
        <v>#N/A</v>
      </c>
      <c r="R143" t="e">
        <f>INDEX(Items!D$2:D$1032,MATCH($O143,Items!$A$2:$A$1032,0))</f>
        <v>#N/A</v>
      </c>
    </row>
    <row r="144" spans="1:18" x14ac:dyDescent="0.25">
      <c r="A144">
        <f t="shared" si="12"/>
        <v>1</v>
      </c>
      <c r="B144" t="str">
        <f t="shared" si="13"/>
        <v/>
      </c>
      <c r="C144">
        <f t="shared" si="15"/>
        <v>1</v>
      </c>
      <c r="D144" s="4"/>
      <c r="E144" t="s">
        <v>18</v>
      </c>
      <c r="F144" t="str">
        <f>INDEX(Establishment!B$2:B$1005,MATCH($E144,Establishment!$A$2:$A$1005,0))</f>
        <v xml:space="preserve"> </v>
      </c>
      <c r="G144" t="str">
        <f>INDEX(Establishment!C$2:C$1005,MATCH($E144,Establishment!$A$2:$A$1005,0))</f>
        <v xml:space="preserve"> </v>
      </c>
      <c r="M144">
        <f t="shared" si="16"/>
        <v>0</v>
      </c>
      <c r="N144">
        <f t="shared" si="14"/>
        <v>0</v>
      </c>
      <c r="P144" t="e">
        <f>INDEX(Items!B$2:B$1032,MATCH($O144,Items!$A$2:$A$1032,0))</f>
        <v>#N/A</v>
      </c>
      <c r="Q144" t="e">
        <f>INDEX(Items!C$2:C$1032,MATCH($O144,Items!$A$2:$A$1032,0))</f>
        <v>#N/A</v>
      </c>
      <c r="R144" t="e">
        <f>INDEX(Items!D$2:D$1032,MATCH($O144,Items!$A$2:$A$1032,0))</f>
        <v>#N/A</v>
      </c>
    </row>
    <row r="145" spans="1:18" x14ac:dyDescent="0.25">
      <c r="A145">
        <f t="shared" si="12"/>
        <v>1</v>
      </c>
      <c r="B145" t="str">
        <f t="shared" si="13"/>
        <v/>
      </c>
      <c r="C145">
        <f t="shared" si="15"/>
        <v>1</v>
      </c>
      <c r="D145" s="4"/>
      <c r="E145" t="s">
        <v>18</v>
      </c>
      <c r="F145" t="str">
        <f>INDEX(Establishment!B$2:B$1005,MATCH($E145,Establishment!$A$2:$A$1005,0))</f>
        <v xml:space="preserve"> </v>
      </c>
      <c r="G145" t="str">
        <f>INDEX(Establishment!C$2:C$1005,MATCH($E145,Establishment!$A$2:$A$1005,0))</f>
        <v xml:space="preserve"> </v>
      </c>
      <c r="M145">
        <f t="shared" si="16"/>
        <v>0</v>
      </c>
      <c r="N145">
        <f t="shared" si="14"/>
        <v>0</v>
      </c>
      <c r="P145" t="e">
        <f>INDEX(Items!B$2:B$1032,MATCH($O145,Items!$A$2:$A$1032,0))</f>
        <v>#N/A</v>
      </c>
      <c r="Q145" t="e">
        <f>INDEX(Items!C$2:C$1032,MATCH($O145,Items!$A$2:$A$1032,0))</f>
        <v>#N/A</v>
      </c>
      <c r="R145" t="e">
        <f>INDEX(Items!D$2:D$1032,MATCH($O145,Items!$A$2:$A$1032,0))</f>
        <v>#N/A</v>
      </c>
    </row>
    <row r="146" spans="1:18" x14ac:dyDescent="0.25">
      <c r="A146">
        <f t="shared" si="12"/>
        <v>1</v>
      </c>
      <c r="B146" t="str">
        <f t="shared" si="13"/>
        <v/>
      </c>
      <c r="C146">
        <f t="shared" si="15"/>
        <v>1</v>
      </c>
      <c r="D146" s="4"/>
      <c r="E146" t="s">
        <v>18</v>
      </c>
      <c r="F146" t="str">
        <f>INDEX(Establishment!B$2:B$1005,MATCH($E146,Establishment!$A$2:$A$1005,0))</f>
        <v xml:space="preserve"> </v>
      </c>
      <c r="G146" t="str">
        <f>INDEX(Establishment!C$2:C$1005,MATCH($E146,Establishment!$A$2:$A$1005,0))</f>
        <v xml:space="preserve"> </v>
      </c>
      <c r="M146">
        <f t="shared" si="16"/>
        <v>0</v>
      </c>
      <c r="N146">
        <f t="shared" si="14"/>
        <v>0</v>
      </c>
      <c r="P146" t="e">
        <f>INDEX(Items!B$2:B$1032,MATCH($O146,Items!$A$2:$A$1032,0))</f>
        <v>#N/A</v>
      </c>
      <c r="Q146" t="e">
        <f>INDEX(Items!C$2:C$1032,MATCH($O146,Items!$A$2:$A$1032,0))</f>
        <v>#N/A</v>
      </c>
      <c r="R146" t="e">
        <f>INDEX(Items!D$2:D$1032,MATCH($O146,Items!$A$2:$A$1032,0))</f>
        <v>#N/A</v>
      </c>
    </row>
    <row r="147" spans="1:18" x14ac:dyDescent="0.25">
      <c r="A147">
        <f t="shared" si="12"/>
        <v>1</v>
      </c>
      <c r="B147" t="str">
        <f t="shared" si="13"/>
        <v/>
      </c>
      <c r="C147">
        <f t="shared" si="15"/>
        <v>1</v>
      </c>
      <c r="D147" s="4"/>
      <c r="E147" t="s">
        <v>18</v>
      </c>
      <c r="F147" t="str">
        <f>INDEX(Establishment!B$2:B$1005,MATCH($E147,Establishment!$A$2:$A$1005,0))</f>
        <v xml:space="preserve"> </v>
      </c>
      <c r="G147" t="str">
        <f>INDEX(Establishment!C$2:C$1005,MATCH($E147,Establishment!$A$2:$A$1005,0))</f>
        <v xml:space="preserve"> </v>
      </c>
      <c r="M147">
        <f t="shared" si="16"/>
        <v>0</v>
      </c>
      <c r="N147">
        <f t="shared" si="14"/>
        <v>0</v>
      </c>
      <c r="P147" t="e">
        <f>INDEX(Items!B$2:B$1032,MATCH($O147,Items!$A$2:$A$1032,0))</f>
        <v>#N/A</v>
      </c>
      <c r="Q147" t="e">
        <f>INDEX(Items!C$2:C$1032,MATCH($O147,Items!$A$2:$A$1032,0))</f>
        <v>#N/A</v>
      </c>
      <c r="R147" t="e">
        <f>INDEX(Items!D$2:D$1032,MATCH($O147,Items!$A$2:$A$1032,0))</f>
        <v>#N/A</v>
      </c>
    </row>
    <row r="148" spans="1:18" x14ac:dyDescent="0.25">
      <c r="A148">
        <f t="shared" si="12"/>
        <v>1</v>
      </c>
      <c r="B148" t="str">
        <f t="shared" si="13"/>
        <v/>
      </c>
      <c r="C148">
        <f t="shared" si="15"/>
        <v>1</v>
      </c>
      <c r="D148" s="4"/>
      <c r="E148" t="s">
        <v>18</v>
      </c>
      <c r="F148" t="str">
        <f>INDEX(Establishment!B$2:B$1005,MATCH($E148,Establishment!$A$2:$A$1005,0))</f>
        <v xml:space="preserve"> </v>
      </c>
      <c r="G148" t="str">
        <f>INDEX(Establishment!C$2:C$1005,MATCH($E148,Establishment!$A$2:$A$1005,0))</f>
        <v xml:space="preserve"> </v>
      </c>
      <c r="M148">
        <f t="shared" si="16"/>
        <v>0</v>
      </c>
      <c r="N148">
        <f t="shared" si="14"/>
        <v>0</v>
      </c>
      <c r="P148" t="e">
        <f>INDEX(Items!B$2:B$1032,MATCH($O148,Items!$A$2:$A$1032,0))</f>
        <v>#N/A</v>
      </c>
      <c r="Q148" t="e">
        <f>INDEX(Items!C$2:C$1032,MATCH($O148,Items!$A$2:$A$1032,0))</f>
        <v>#N/A</v>
      </c>
      <c r="R148" t="e">
        <f>INDEX(Items!D$2:D$1032,MATCH($O148,Items!$A$2:$A$1032,0))</f>
        <v>#N/A</v>
      </c>
    </row>
    <row r="149" spans="1:18" x14ac:dyDescent="0.25">
      <c r="A149">
        <f t="shared" si="12"/>
        <v>1</v>
      </c>
      <c r="B149" t="str">
        <f t="shared" si="13"/>
        <v/>
      </c>
      <c r="C149">
        <f t="shared" si="15"/>
        <v>1</v>
      </c>
      <c r="D149" s="4"/>
      <c r="E149" t="s">
        <v>18</v>
      </c>
      <c r="F149" t="str">
        <f>INDEX(Establishment!B$2:B$1005,MATCH($E149,Establishment!$A$2:$A$1005,0))</f>
        <v xml:space="preserve"> </v>
      </c>
      <c r="G149" t="str">
        <f>INDEX(Establishment!C$2:C$1005,MATCH($E149,Establishment!$A$2:$A$1005,0))</f>
        <v xml:space="preserve"> </v>
      </c>
      <c r="M149">
        <f t="shared" si="16"/>
        <v>0</v>
      </c>
      <c r="N149">
        <f t="shared" si="14"/>
        <v>0</v>
      </c>
      <c r="P149" t="e">
        <f>INDEX(Items!B$2:B$1032,MATCH($O149,Items!$A$2:$A$1032,0))</f>
        <v>#N/A</v>
      </c>
      <c r="Q149" t="e">
        <f>INDEX(Items!C$2:C$1032,MATCH($O149,Items!$A$2:$A$1032,0))</f>
        <v>#N/A</v>
      </c>
      <c r="R149" t="e">
        <f>INDEX(Items!D$2:D$1032,MATCH($O149,Items!$A$2:$A$1032,0))</f>
        <v>#N/A</v>
      </c>
    </row>
    <row r="150" spans="1:18" x14ac:dyDescent="0.25">
      <c r="A150">
        <f t="shared" si="12"/>
        <v>1</v>
      </c>
      <c r="B150" t="str">
        <f t="shared" si="13"/>
        <v/>
      </c>
      <c r="C150">
        <f t="shared" si="15"/>
        <v>1</v>
      </c>
      <c r="D150" s="4"/>
      <c r="E150" t="s">
        <v>18</v>
      </c>
      <c r="F150" t="str">
        <f>INDEX(Establishment!B$2:B$1005,MATCH($E150,Establishment!$A$2:$A$1005,0))</f>
        <v xml:space="preserve"> </v>
      </c>
      <c r="G150" t="str">
        <f>INDEX(Establishment!C$2:C$1005,MATCH($E150,Establishment!$A$2:$A$1005,0))</f>
        <v xml:space="preserve"> </v>
      </c>
      <c r="M150">
        <f t="shared" si="16"/>
        <v>0</v>
      </c>
      <c r="N150">
        <f t="shared" si="14"/>
        <v>0</v>
      </c>
      <c r="P150" t="e">
        <f>INDEX(Items!B$2:B$1032,MATCH($O150,Items!$A$2:$A$1032,0))</f>
        <v>#N/A</v>
      </c>
      <c r="Q150" t="e">
        <f>INDEX(Items!C$2:C$1032,MATCH($O150,Items!$A$2:$A$1032,0))</f>
        <v>#N/A</v>
      </c>
      <c r="R150" t="e">
        <f>INDEX(Items!D$2:D$1032,MATCH($O150,Items!$A$2:$A$1032,0))</f>
        <v>#N/A</v>
      </c>
    </row>
    <row r="151" spans="1:18" x14ac:dyDescent="0.25">
      <c r="A151">
        <f t="shared" si="12"/>
        <v>1</v>
      </c>
      <c r="B151" t="str">
        <f t="shared" si="13"/>
        <v/>
      </c>
      <c r="C151">
        <f t="shared" si="15"/>
        <v>1</v>
      </c>
      <c r="D151" s="4"/>
      <c r="E151" t="s">
        <v>18</v>
      </c>
      <c r="F151" t="str">
        <f>INDEX(Establishment!B$2:B$1005,MATCH($E151,Establishment!$A$2:$A$1005,0))</f>
        <v xml:space="preserve"> </v>
      </c>
      <c r="G151" t="str">
        <f>INDEX(Establishment!C$2:C$1005,MATCH($E151,Establishment!$A$2:$A$1005,0))</f>
        <v xml:space="preserve"> </v>
      </c>
      <c r="M151">
        <f t="shared" si="16"/>
        <v>0</v>
      </c>
      <c r="N151">
        <f t="shared" si="14"/>
        <v>0</v>
      </c>
      <c r="P151" t="e">
        <f>INDEX(Items!B$2:B$1032,MATCH($O151,Items!$A$2:$A$1032,0))</f>
        <v>#N/A</v>
      </c>
      <c r="Q151" t="e">
        <f>INDEX(Items!C$2:C$1032,MATCH($O151,Items!$A$2:$A$1032,0))</f>
        <v>#N/A</v>
      </c>
      <c r="R151" t="e">
        <f>INDEX(Items!D$2:D$1032,MATCH($O151,Items!$A$2:$A$1032,0))</f>
        <v>#N/A</v>
      </c>
    </row>
    <row r="152" spans="1:18" x14ac:dyDescent="0.25">
      <c r="A152">
        <f t="shared" si="12"/>
        <v>1</v>
      </c>
      <c r="B152" t="str">
        <f t="shared" si="13"/>
        <v/>
      </c>
      <c r="C152">
        <f t="shared" si="15"/>
        <v>1</v>
      </c>
      <c r="D152" s="4"/>
      <c r="E152" t="s">
        <v>18</v>
      </c>
      <c r="F152" t="str">
        <f>INDEX(Establishment!B$2:B$1005,MATCH($E152,Establishment!$A$2:$A$1005,0))</f>
        <v xml:space="preserve"> </v>
      </c>
      <c r="G152" t="str">
        <f>INDEX(Establishment!C$2:C$1005,MATCH($E152,Establishment!$A$2:$A$1005,0))</f>
        <v xml:space="preserve"> </v>
      </c>
      <c r="M152">
        <f t="shared" si="16"/>
        <v>0</v>
      </c>
      <c r="N152">
        <f t="shared" si="14"/>
        <v>0</v>
      </c>
      <c r="P152" t="e">
        <f>INDEX(Items!B$2:B$1032,MATCH($O152,Items!$A$2:$A$1032,0))</f>
        <v>#N/A</v>
      </c>
      <c r="Q152" t="e">
        <f>INDEX(Items!C$2:C$1032,MATCH($O152,Items!$A$2:$A$1032,0))</f>
        <v>#N/A</v>
      </c>
      <c r="R152" t="e">
        <f>INDEX(Items!D$2:D$1032,MATCH($O152,Items!$A$2:$A$1032,0))</f>
        <v>#N/A</v>
      </c>
    </row>
    <row r="153" spans="1:18" x14ac:dyDescent="0.25">
      <c r="A153">
        <f t="shared" si="12"/>
        <v>1</v>
      </c>
      <c r="B153" t="str">
        <f t="shared" si="13"/>
        <v/>
      </c>
      <c r="C153">
        <f t="shared" si="15"/>
        <v>1</v>
      </c>
      <c r="D153" s="4"/>
      <c r="E153" t="s">
        <v>18</v>
      </c>
      <c r="F153" t="str">
        <f>INDEX(Establishment!B$2:B$1005,MATCH($E153,Establishment!$A$2:$A$1005,0))</f>
        <v xml:space="preserve"> </v>
      </c>
      <c r="G153" t="str">
        <f>INDEX(Establishment!C$2:C$1005,MATCH($E153,Establishment!$A$2:$A$1005,0))</f>
        <v xml:space="preserve"> </v>
      </c>
      <c r="M153">
        <f t="shared" si="16"/>
        <v>0</v>
      </c>
      <c r="N153">
        <f t="shared" si="14"/>
        <v>0</v>
      </c>
      <c r="P153" t="e">
        <f>INDEX(Items!B$2:B$1032,MATCH($O153,Items!$A$2:$A$1032,0))</f>
        <v>#N/A</v>
      </c>
      <c r="Q153" t="e">
        <f>INDEX(Items!C$2:C$1032,MATCH($O153,Items!$A$2:$A$1032,0))</f>
        <v>#N/A</v>
      </c>
      <c r="R153" t="e">
        <f>INDEX(Items!D$2:D$1032,MATCH($O153,Items!$A$2:$A$1032,0))</f>
        <v>#N/A</v>
      </c>
    </row>
    <row r="154" spans="1:18" x14ac:dyDescent="0.25">
      <c r="A154">
        <f t="shared" si="12"/>
        <v>1</v>
      </c>
      <c r="B154" t="str">
        <f t="shared" si="13"/>
        <v/>
      </c>
      <c r="C154">
        <f t="shared" si="15"/>
        <v>1</v>
      </c>
      <c r="D154" s="4"/>
      <c r="E154" t="s">
        <v>18</v>
      </c>
      <c r="F154" t="str">
        <f>INDEX(Establishment!B$2:B$1005,MATCH($E154,Establishment!$A$2:$A$1005,0))</f>
        <v xml:space="preserve"> </v>
      </c>
      <c r="G154" t="str">
        <f>INDEX(Establishment!C$2:C$1005,MATCH($E154,Establishment!$A$2:$A$1005,0))</f>
        <v xml:space="preserve"> </v>
      </c>
      <c r="M154">
        <f t="shared" si="16"/>
        <v>0</v>
      </c>
      <c r="N154">
        <f t="shared" si="14"/>
        <v>0</v>
      </c>
      <c r="P154" t="e">
        <f>INDEX(Items!B$2:B$1032,MATCH($O154,Items!$A$2:$A$1032,0))</f>
        <v>#N/A</v>
      </c>
      <c r="Q154" t="e">
        <f>INDEX(Items!C$2:C$1032,MATCH($O154,Items!$A$2:$A$1032,0))</f>
        <v>#N/A</v>
      </c>
      <c r="R154" t="e">
        <f>INDEX(Items!D$2:D$1032,MATCH($O154,Items!$A$2:$A$1032,0))</f>
        <v>#N/A</v>
      </c>
    </row>
    <row r="155" spans="1:18" x14ac:dyDescent="0.25">
      <c r="A155">
        <f t="shared" si="12"/>
        <v>1</v>
      </c>
      <c r="B155" t="str">
        <f t="shared" si="13"/>
        <v/>
      </c>
      <c r="C155">
        <f t="shared" si="15"/>
        <v>1</v>
      </c>
      <c r="D155" s="4"/>
      <c r="E155" t="s">
        <v>18</v>
      </c>
      <c r="F155" t="str">
        <f>INDEX(Establishment!B$2:B$1005,MATCH($E155,Establishment!$A$2:$A$1005,0))</f>
        <v xml:space="preserve"> </v>
      </c>
      <c r="G155" t="str">
        <f>INDEX(Establishment!C$2:C$1005,MATCH($E155,Establishment!$A$2:$A$1005,0))</f>
        <v xml:space="preserve"> </v>
      </c>
      <c r="M155">
        <f t="shared" si="16"/>
        <v>0</v>
      </c>
      <c r="N155">
        <f t="shared" si="14"/>
        <v>0</v>
      </c>
      <c r="P155" t="e">
        <f>INDEX(Items!B$2:B$1032,MATCH($O155,Items!$A$2:$A$1032,0))</f>
        <v>#N/A</v>
      </c>
      <c r="Q155" t="e">
        <f>INDEX(Items!C$2:C$1032,MATCH($O155,Items!$A$2:$A$1032,0))</f>
        <v>#N/A</v>
      </c>
      <c r="R155" t="e">
        <f>INDEX(Items!D$2:D$1032,MATCH($O155,Items!$A$2:$A$1032,0))</f>
        <v>#N/A</v>
      </c>
    </row>
    <row r="156" spans="1:18" x14ac:dyDescent="0.25">
      <c r="A156">
        <f t="shared" si="12"/>
        <v>1</v>
      </c>
      <c r="B156" t="str">
        <f t="shared" si="13"/>
        <v/>
      </c>
      <c r="C156">
        <f t="shared" si="15"/>
        <v>1</v>
      </c>
      <c r="D156" s="4"/>
      <c r="E156" t="s">
        <v>18</v>
      </c>
      <c r="F156" t="str">
        <f>INDEX(Establishment!B$2:B$1005,MATCH($E156,Establishment!$A$2:$A$1005,0))</f>
        <v xml:space="preserve"> </v>
      </c>
      <c r="G156" t="str">
        <f>INDEX(Establishment!C$2:C$1005,MATCH($E156,Establishment!$A$2:$A$1005,0))</f>
        <v xml:space="preserve"> </v>
      </c>
      <c r="M156">
        <f t="shared" si="16"/>
        <v>0</v>
      </c>
      <c r="N156">
        <f t="shared" si="14"/>
        <v>0</v>
      </c>
      <c r="P156" t="e">
        <f>INDEX(Items!B$2:B$1032,MATCH($O156,Items!$A$2:$A$1032,0))</f>
        <v>#N/A</v>
      </c>
      <c r="Q156" t="e">
        <f>INDEX(Items!C$2:C$1032,MATCH($O156,Items!$A$2:$A$1032,0))</f>
        <v>#N/A</v>
      </c>
      <c r="R156" t="e">
        <f>INDEX(Items!D$2:D$1032,MATCH($O156,Items!$A$2:$A$1032,0))</f>
        <v>#N/A</v>
      </c>
    </row>
    <row r="157" spans="1:18" x14ac:dyDescent="0.25">
      <c r="A157">
        <f t="shared" si="12"/>
        <v>1</v>
      </c>
      <c r="B157" t="str">
        <f t="shared" si="13"/>
        <v/>
      </c>
      <c r="C157">
        <f t="shared" si="15"/>
        <v>1</v>
      </c>
      <c r="D157" s="4"/>
      <c r="E157" t="s">
        <v>18</v>
      </c>
      <c r="F157" t="str">
        <f>INDEX(Establishment!B$2:B$1005,MATCH($E157,Establishment!$A$2:$A$1005,0))</f>
        <v xml:space="preserve"> </v>
      </c>
      <c r="G157" t="str">
        <f>INDEX(Establishment!C$2:C$1005,MATCH($E157,Establishment!$A$2:$A$1005,0))</f>
        <v xml:space="preserve"> </v>
      </c>
      <c r="M157">
        <f t="shared" si="16"/>
        <v>0</v>
      </c>
      <c r="N157">
        <f t="shared" si="14"/>
        <v>0</v>
      </c>
      <c r="P157" t="e">
        <f>INDEX(Items!B$2:B$1032,MATCH($O157,Items!$A$2:$A$1032,0))</f>
        <v>#N/A</v>
      </c>
      <c r="Q157" t="e">
        <f>INDEX(Items!C$2:C$1032,MATCH($O157,Items!$A$2:$A$1032,0))</f>
        <v>#N/A</v>
      </c>
      <c r="R157" t="e">
        <f>INDEX(Items!D$2:D$1032,MATCH($O157,Items!$A$2:$A$1032,0))</f>
        <v>#N/A</v>
      </c>
    </row>
    <row r="158" spans="1:18" x14ac:dyDescent="0.25">
      <c r="A158">
        <f t="shared" si="12"/>
        <v>1</v>
      </c>
      <c r="B158" t="str">
        <f t="shared" si="13"/>
        <v/>
      </c>
      <c r="C158">
        <f t="shared" si="15"/>
        <v>1</v>
      </c>
      <c r="D158" s="4"/>
      <c r="E158" t="s">
        <v>18</v>
      </c>
      <c r="F158" t="str">
        <f>INDEX(Establishment!B$2:B$1005,MATCH($E158,Establishment!$A$2:$A$1005,0))</f>
        <v xml:space="preserve"> </v>
      </c>
      <c r="G158" t="str">
        <f>INDEX(Establishment!C$2:C$1005,MATCH($E158,Establishment!$A$2:$A$1005,0))</f>
        <v xml:space="preserve"> </v>
      </c>
      <c r="M158">
        <f t="shared" si="16"/>
        <v>0</v>
      </c>
      <c r="N158">
        <f t="shared" si="14"/>
        <v>0</v>
      </c>
      <c r="P158" t="e">
        <f>INDEX(Items!B$2:B$1032,MATCH($O158,Items!$A$2:$A$1032,0))</f>
        <v>#N/A</v>
      </c>
      <c r="Q158" t="e">
        <f>INDEX(Items!C$2:C$1032,MATCH($O158,Items!$A$2:$A$1032,0))</f>
        <v>#N/A</v>
      </c>
      <c r="R158" t="e">
        <f>INDEX(Items!D$2:D$1032,MATCH($O158,Items!$A$2:$A$1032,0))</f>
        <v>#N/A</v>
      </c>
    </row>
    <row r="159" spans="1:18" x14ac:dyDescent="0.25">
      <c r="A159">
        <f t="shared" si="12"/>
        <v>1</v>
      </c>
      <c r="B159" t="str">
        <f t="shared" si="13"/>
        <v/>
      </c>
      <c r="C159">
        <f t="shared" si="15"/>
        <v>1</v>
      </c>
      <c r="D159" s="4"/>
      <c r="E159" t="s">
        <v>18</v>
      </c>
      <c r="F159" t="str">
        <f>INDEX(Establishment!B$2:B$1005,MATCH($E159,Establishment!$A$2:$A$1005,0))</f>
        <v xml:space="preserve"> </v>
      </c>
      <c r="G159" t="str">
        <f>INDEX(Establishment!C$2:C$1005,MATCH($E159,Establishment!$A$2:$A$1005,0))</f>
        <v xml:space="preserve"> </v>
      </c>
      <c r="M159">
        <f t="shared" si="16"/>
        <v>0</v>
      </c>
      <c r="N159">
        <f t="shared" si="14"/>
        <v>0</v>
      </c>
      <c r="P159" t="e">
        <f>INDEX(Items!B$2:B$1032,MATCH($O159,Items!$A$2:$A$1032,0))</f>
        <v>#N/A</v>
      </c>
      <c r="Q159" t="e">
        <f>INDEX(Items!C$2:C$1032,MATCH($O159,Items!$A$2:$A$1032,0))</f>
        <v>#N/A</v>
      </c>
      <c r="R159" t="e">
        <f>INDEX(Items!D$2:D$1032,MATCH($O159,Items!$A$2:$A$1032,0))</f>
        <v>#N/A</v>
      </c>
    </row>
    <row r="160" spans="1:18" x14ac:dyDescent="0.25">
      <c r="A160">
        <f t="shared" si="12"/>
        <v>1</v>
      </c>
      <c r="B160" t="str">
        <f t="shared" si="13"/>
        <v/>
      </c>
      <c r="C160">
        <f t="shared" si="15"/>
        <v>1</v>
      </c>
      <c r="D160" s="4"/>
      <c r="E160" t="s">
        <v>18</v>
      </c>
      <c r="F160" t="str">
        <f>INDEX(Establishment!B$2:B$1005,MATCH($E160,Establishment!$A$2:$A$1005,0))</f>
        <v xml:space="preserve"> </v>
      </c>
      <c r="G160" t="str">
        <f>INDEX(Establishment!C$2:C$1005,MATCH($E160,Establishment!$A$2:$A$1005,0))</f>
        <v xml:space="preserve"> </v>
      </c>
      <c r="M160">
        <f t="shared" si="16"/>
        <v>0</v>
      </c>
      <c r="N160">
        <f t="shared" si="14"/>
        <v>0</v>
      </c>
      <c r="P160" t="e">
        <f>INDEX(Items!B$2:B$1032,MATCH($O160,Items!$A$2:$A$1032,0))</f>
        <v>#N/A</v>
      </c>
      <c r="Q160" t="e">
        <f>INDEX(Items!C$2:C$1032,MATCH($O160,Items!$A$2:$A$1032,0))</f>
        <v>#N/A</v>
      </c>
      <c r="R160" t="e">
        <f>INDEX(Items!D$2:D$1032,MATCH($O160,Items!$A$2:$A$1032,0))</f>
        <v>#N/A</v>
      </c>
    </row>
    <row r="161" spans="1:18" x14ac:dyDescent="0.25">
      <c r="A161">
        <f t="shared" si="12"/>
        <v>1</v>
      </c>
      <c r="B161" t="str">
        <f t="shared" si="13"/>
        <v/>
      </c>
      <c r="C161">
        <f t="shared" si="15"/>
        <v>1</v>
      </c>
      <c r="D161" s="4"/>
      <c r="E161" t="s">
        <v>18</v>
      </c>
      <c r="F161" t="str">
        <f>INDEX(Establishment!B$2:B$1005,MATCH($E161,Establishment!$A$2:$A$1005,0))</f>
        <v xml:space="preserve"> </v>
      </c>
      <c r="G161" t="str">
        <f>INDEX(Establishment!C$2:C$1005,MATCH($E161,Establishment!$A$2:$A$1005,0))</f>
        <v xml:space="preserve"> </v>
      </c>
      <c r="M161">
        <f t="shared" si="16"/>
        <v>0</v>
      </c>
      <c r="N161">
        <f t="shared" si="14"/>
        <v>0</v>
      </c>
      <c r="P161" t="e">
        <f>INDEX(Items!B$2:B$1032,MATCH($O161,Items!$A$2:$A$1032,0))</f>
        <v>#N/A</v>
      </c>
      <c r="Q161" t="e">
        <f>INDEX(Items!C$2:C$1032,MATCH($O161,Items!$A$2:$A$1032,0))</f>
        <v>#N/A</v>
      </c>
      <c r="R161" t="e">
        <f>INDEX(Items!D$2:D$1032,MATCH($O161,Items!$A$2:$A$1032,0))</f>
        <v>#N/A</v>
      </c>
    </row>
    <row r="162" spans="1:18" x14ac:dyDescent="0.25">
      <c r="A162">
        <f t="shared" si="12"/>
        <v>1</v>
      </c>
      <c r="B162" t="str">
        <f t="shared" si="13"/>
        <v/>
      </c>
      <c r="C162">
        <f t="shared" si="15"/>
        <v>1</v>
      </c>
      <c r="D162" s="4"/>
      <c r="E162" t="s">
        <v>18</v>
      </c>
      <c r="F162" t="str">
        <f>INDEX(Establishment!B$2:B$1005,MATCH($E162,Establishment!$A$2:$A$1005,0))</f>
        <v xml:space="preserve"> </v>
      </c>
      <c r="G162" t="str">
        <f>INDEX(Establishment!C$2:C$1005,MATCH($E162,Establishment!$A$2:$A$1005,0))</f>
        <v xml:space="preserve"> </v>
      </c>
      <c r="M162">
        <f t="shared" si="16"/>
        <v>0</v>
      </c>
      <c r="N162">
        <f t="shared" si="14"/>
        <v>0</v>
      </c>
      <c r="P162" t="e">
        <f>INDEX(Items!B$2:B$1032,MATCH($O162,Items!$A$2:$A$1032,0))</f>
        <v>#N/A</v>
      </c>
      <c r="Q162" t="e">
        <f>INDEX(Items!C$2:C$1032,MATCH($O162,Items!$A$2:$A$1032,0))</f>
        <v>#N/A</v>
      </c>
      <c r="R162" t="e">
        <f>INDEX(Items!D$2:D$1032,MATCH($O162,Items!$A$2:$A$1032,0))</f>
        <v>#N/A</v>
      </c>
    </row>
    <row r="163" spans="1:18" x14ac:dyDescent="0.25">
      <c r="A163">
        <f t="shared" si="12"/>
        <v>1</v>
      </c>
      <c r="B163" t="str">
        <f t="shared" si="13"/>
        <v/>
      </c>
      <c r="C163">
        <f t="shared" si="15"/>
        <v>1</v>
      </c>
      <c r="D163" s="4"/>
      <c r="E163" t="s">
        <v>18</v>
      </c>
      <c r="F163" t="str">
        <f>INDEX(Establishment!B$2:B$1005,MATCH($E163,Establishment!$A$2:$A$1005,0))</f>
        <v xml:space="preserve"> </v>
      </c>
      <c r="G163" t="str">
        <f>INDEX(Establishment!C$2:C$1005,MATCH($E163,Establishment!$A$2:$A$1005,0))</f>
        <v xml:space="preserve"> </v>
      </c>
      <c r="M163">
        <f t="shared" si="16"/>
        <v>0</v>
      </c>
      <c r="N163">
        <f t="shared" si="14"/>
        <v>0</v>
      </c>
      <c r="P163" t="e">
        <f>INDEX(Items!B$2:B$1032,MATCH($O163,Items!$A$2:$A$1032,0))</f>
        <v>#N/A</v>
      </c>
      <c r="Q163" t="e">
        <f>INDEX(Items!C$2:C$1032,MATCH($O163,Items!$A$2:$A$1032,0))</f>
        <v>#N/A</v>
      </c>
      <c r="R163" t="e">
        <f>INDEX(Items!D$2:D$1032,MATCH($O163,Items!$A$2:$A$1032,0))</f>
        <v>#N/A</v>
      </c>
    </row>
    <row r="164" spans="1:18" x14ac:dyDescent="0.25">
      <c r="A164">
        <f t="shared" si="12"/>
        <v>1</v>
      </c>
      <c r="B164" t="str">
        <f t="shared" si="13"/>
        <v/>
      </c>
      <c r="C164">
        <f t="shared" si="15"/>
        <v>1</v>
      </c>
      <c r="D164" s="4"/>
      <c r="E164" t="s">
        <v>18</v>
      </c>
      <c r="F164" t="str">
        <f>INDEX(Establishment!B$2:B$1005,MATCH($E164,Establishment!$A$2:$A$1005,0))</f>
        <v xml:space="preserve"> </v>
      </c>
      <c r="G164" t="str">
        <f>INDEX(Establishment!C$2:C$1005,MATCH($E164,Establishment!$A$2:$A$1005,0))</f>
        <v xml:space="preserve"> </v>
      </c>
      <c r="M164">
        <f t="shared" si="16"/>
        <v>0</v>
      </c>
      <c r="N164">
        <f t="shared" si="14"/>
        <v>0</v>
      </c>
      <c r="P164" t="e">
        <f>INDEX(Items!B$2:B$1032,MATCH($O164,Items!$A$2:$A$1032,0))</f>
        <v>#N/A</v>
      </c>
      <c r="Q164" t="e">
        <f>INDEX(Items!C$2:C$1032,MATCH($O164,Items!$A$2:$A$1032,0))</f>
        <v>#N/A</v>
      </c>
      <c r="R164" t="e">
        <f>INDEX(Items!D$2:D$1032,MATCH($O164,Items!$A$2:$A$1032,0))</f>
        <v>#N/A</v>
      </c>
    </row>
    <row r="165" spans="1:18" x14ac:dyDescent="0.25">
      <c r="A165">
        <f t="shared" si="12"/>
        <v>1</v>
      </c>
      <c r="B165" t="str">
        <f t="shared" si="13"/>
        <v/>
      </c>
      <c r="C165">
        <f t="shared" si="15"/>
        <v>1</v>
      </c>
      <c r="D165" s="4"/>
      <c r="E165" t="s">
        <v>18</v>
      </c>
      <c r="F165" t="str">
        <f>INDEX(Establishment!B$2:B$1005,MATCH($E165,Establishment!$A$2:$A$1005,0))</f>
        <v xml:space="preserve"> </v>
      </c>
      <c r="G165" t="str">
        <f>INDEX(Establishment!C$2:C$1005,MATCH($E165,Establishment!$A$2:$A$1005,0))</f>
        <v xml:space="preserve"> </v>
      </c>
      <c r="M165">
        <f t="shared" si="16"/>
        <v>0</v>
      </c>
      <c r="N165">
        <f t="shared" si="14"/>
        <v>0</v>
      </c>
      <c r="P165" t="e">
        <f>INDEX(Items!B$2:B$1032,MATCH($O165,Items!$A$2:$A$1032,0))</f>
        <v>#N/A</v>
      </c>
      <c r="Q165" t="e">
        <f>INDEX(Items!C$2:C$1032,MATCH($O165,Items!$A$2:$A$1032,0))</f>
        <v>#N/A</v>
      </c>
      <c r="R165" t="e">
        <f>INDEX(Items!D$2:D$1032,MATCH($O165,Items!$A$2:$A$1032,0))</f>
        <v>#N/A</v>
      </c>
    </row>
    <row r="166" spans="1:18" x14ac:dyDescent="0.25">
      <c r="A166">
        <f t="shared" si="12"/>
        <v>1</v>
      </c>
      <c r="B166" t="str">
        <f t="shared" si="13"/>
        <v/>
      </c>
      <c r="C166">
        <f t="shared" si="15"/>
        <v>1</v>
      </c>
      <c r="D166" s="4"/>
      <c r="E166" t="s">
        <v>18</v>
      </c>
      <c r="F166" t="str">
        <f>INDEX(Establishment!B$2:B$1005,MATCH($E166,Establishment!$A$2:$A$1005,0))</f>
        <v xml:space="preserve"> </v>
      </c>
      <c r="G166" t="str">
        <f>INDEX(Establishment!C$2:C$1005,MATCH($E166,Establishment!$A$2:$A$1005,0))</f>
        <v xml:space="preserve"> </v>
      </c>
      <c r="M166">
        <f t="shared" si="16"/>
        <v>0</v>
      </c>
      <c r="N166">
        <f t="shared" si="14"/>
        <v>0</v>
      </c>
      <c r="P166" t="e">
        <f>INDEX(Items!B$2:B$1032,MATCH($O166,Items!$A$2:$A$1032,0))</f>
        <v>#N/A</v>
      </c>
      <c r="Q166" t="e">
        <f>INDEX(Items!C$2:C$1032,MATCH($O166,Items!$A$2:$A$1032,0))</f>
        <v>#N/A</v>
      </c>
      <c r="R166" t="e">
        <f>INDEX(Items!D$2:D$1032,MATCH($O166,Items!$A$2:$A$1032,0))</f>
        <v>#N/A</v>
      </c>
    </row>
    <row r="167" spans="1:18" x14ac:dyDescent="0.25">
      <c r="A167">
        <f t="shared" si="12"/>
        <v>1</v>
      </c>
      <c r="B167" t="str">
        <f t="shared" si="13"/>
        <v/>
      </c>
      <c r="C167">
        <f t="shared" si="15"/>
        <v>1</v>
      </c>
      <c r="D167" s="4"/>
      <c r="E167" t="s">
        <v>18</v>
      </c>
      <c r="F167" t="str">
        <f>INDEX(Establishment!B$2:B$1005,MATCH($E167,Establishment!$A$2:$A$1005,0))</f>
        <v xml:space="preserve"> </v>
      </c>
      <c r="G167" t="str">
        <f>INDEX(Establishment!C$2:C$1005,MATCH($E167,Establishment!$A$2:$A$1005,0))</f>
        <v xml:space="preserve"> </v>
      </c>
      <c r="M167">
        <f t="shared" si="16"/>
        <v>0</v>
      </c>
      <c r="N167">
        <f t="shared" si="14"/>
        <v>0</v>
      </c>
      <c r="P167" t="e">
        <f>INDEX(Items!B$2:B$1032,MATCH($O167,Items!$A$2:$A$1032,0))</f>
        <v>#N/A</v>
      </c>
      <c r="Q167" t="e">
        <f>INDEX(Items!C$2:C$1032,MATCH($O167,Items!$A$2:$A$1032,0))</f>
        <v>#N/A</v>
      </c>
      <c r="R167" t="e">
        <f>INDEX(Items!D$2:D$1032,MATCH($O167,Items!$A$2:$A$1032,0))</f>
        <v>#N/A</v>
      </c>
    </row>
    <row r="168" spans="1:18" x14ac:dyDescent="0.25">
      <c r="A168">
        <f t="shared" si="12"/>
        <v>1</v>
      </c>
      <c r="B168" t="str">
        <f t="shared" si="13"/>
        <v/>
      </c>
      <c r="C168">
        <f t="shared" si="15"/>
        <v>1</v>
      </c>
      <c r="D168" s="4"/>
      <c r="E168" t="s">
        <v>18</v>
      </c>
      <c r="F168" t="str">
        <f>INDEX(Establishment!B$2:B$1005,MATCH($E168,Establishment!$A$2:$A$1005,0))</f>
        <v xml:space="preserve"> </v>
      </c>
      <c r="G168" t="str">
        <f>INDEX(Establishment!C$2:C$1005,MATCH($E168,Establishment!$A$2:$A$1005,0))</f>
        <v xml:space="preserve"> </v>
      </c>
      <c r="M168">
        <f t="shared" si="16"/>
        <v>0</v>
      </c>
      <c r="N168">
        <f t="shared" si="14"/>
        <v>0</v>
      </c>
      <c r="P168" t="e">
        <f>INDEX(Items!B$2:B$1032,MATCH($O168,Items!$A$2:$A$1032,0))</f>
        <v>#N/A</v>
      </c>
      <c r="Q168" t="e">
        <f>INDEX(Items!C$2:C$1032,MATCH($O168,Items!$A$2:$A$1032,0))</f>
        <v>#N/A</v>
      </c>
      <c r="R168" t="e">
        <f>INDEX(Items!D$2:D$1032,MATCH($O168,Items!$A$2:$A$1032,0))</f>
        <v>#N/A</v>
      </c>
    </row>
    <row r="169" spans="1:18" x14ac:dyDescent="0.25">
      <c r="A169">
        <f t="shared" si="12"/>
        <v>1</v>
      </c>
      <c r="B169" t="str">
        <f t="shared" si="13"/>
        <v/>
      </c>
      <c r="C169">
        <f t="shared" si="15"/>
        <v>1</v>
      </c>
      <c r="D169" s="4"/>
      <c r="E169" t="s">
        <v>18</v>
      </c>
      <c r="F169" t="str">
        <f>INDEX(Establishment!B$2:B$1005,MATCH($E169,Establishment!$A$2:$A$1005,0))</f>
        <v xml:space="preserve"> </v>
      </c>
      <c r="G169" t="str">
        <f>INDEX(Establishment!C$2:C$1005,MATCH($E169,Establishment!$A$2:$A$1005,0))</f>
        <v xml:space="preserve"> </v>
      </c>
      <c r="M169">
        <f t="shared" si="16"/>
        <v>0</v>
      </c>
      <c r="N169">
        <f t="shared" si="14"/>
        <v>0</v>
      </c>
      <c r="P169" t="e">
        <f>INDEX(Items!B$2:B$1032,MATCH($O169,Items!$A$2:$A$1032,0))</f>
        <v>#N/A</v>
      </c>
      <c r="Q169" t="e">
        <f>INDEX(Items!C$2:C$1032,MATCH($O169,Items!$A$2:$A$1032,0))</f>
        <v>#N/A</v>
      </c>
      <c r="R169" t="e">
        <f>INDEX(Items!D$2:D$1032,MATCH($O169,Items!$A$2:$A$1032,0))</f>
        <v>#N/A</v>
      </c>
    </row>
    <row r="170" spans="1:18" x14ac:dyDescent="0.25">
      <c r="A170">
        <f t="shared" si="12"/>
        <v>1</v>
      </c>
      <c r="B170" t="str">
        <f t="shared" si="13"/>
        <v/>
      </c>
      <c r="C170">
        <f t="shared" si="15"/>
        <v>1</v>
      </c>
      <c r="D170" s="4"/>
      <c r="E170" t="s">
        <v>18</v>
      </c>
      <c r="F170" t="str">
        <f>INDEX(Establishment!B$2:B$1005,MATCH($E170,Establishment!$A$2:$A$1005,0))</f>
        <v xml:space="preserve"> </v>
      </c>
      <c r="G170" t="str">
        <f>INDEX(Establishment!C$2:C$1005,MATCH($E170,Establishment!$A$2:$A$1005,0))</f>
        <v xml:space="preserve"> </v>
      </c>
      <c r="M170">
        <f t="shared" si="16"/>
        <v>0</v>
      </c>
      <c r="N170">
        <f t="shared" si="14"/>
        <v>0</v>
      </c>
      <c r="P170" t="e">
        <f>INDEX(Items!B$2:B$1032,MATCH($O170,Items!$A$2:$A$1032,0))</f>
        <v>#N/A</v>
      </c>
      <c r="Q170" t="e">
        <f>INDEX(Items!C$2:C$1032,MATCH($O170,Items!$A$2:$A$1032,0))</f>
        <v>#N/A</v>
      </c>
      <c r="R170" t="e">
        <f>INDEX(Items!D$2:D$1032,MATCH($O170,Items!$A$2:$A$1032,0))</f>
        <v>#N/A</v>
      </c>
    </row>
    <row r="171" spans="1:18" x14ac:dyDescent="0.25">
      <c r="A171">
        <f t="shared" si="12"/>
        <v>1</v>
      </c>
      <c r="B171" t="str">
        <f t="shared" si="13"/>
        <v/>
      </c>
      <c r="C171">
        <f t="shared" si="15"/>
        <v>1</v>
      </c>
      <c r="D171" s="4"/>
      <c r="E171" t="s">
        <v>18</v>
      </c>
      <c r="F171" t="str">
        <f>INDEX(Establishment!B$2:B$1005,MATCH($E171,Establishment!$A$2:$A$1005,0))</f>
        <v xml:space="preserve"> </v>
      </c>
      <c r="G171" t="str">
        <f>INDEX(Establishment!C$2:C$1005,MATCH($E171,Establishment!$A$2:$A$1005,0))</f>
        <v xml:space="preserve"> </v>
      </c>
      <c r="M171">
        <f t="shared" si="16"/>
        <v>0</v>
      </c>
      <c r="N171">
        <f t="shared" si="14"/>
        <v>0</v>
      </c>
      <c r="P171" t="e">
        <f>INDEX(Items!B$2:B$1032,MATCH($O171,Items!$A$2:$A$1032,0))</f>
        <v>#N/A</v>
      </c>
      <c r="Q171" t="e">
        <f>INDEX(Items!C$2:C$1032,MATCH($O171,Items!$A$2:$A$1032,0))</f>
        <v>#N/A</v>
      </c>
      <c r="R171" t="e">
        <f>INDEX(Items!D$2:D$1032,MATCH($O171,Items!$A$2:$A$1032,0))</f>
        <v>#N/A</v>
      </c>
    </row>
    <row r="172" spans="1:18" x14ac:dyDescent="0.25">
      <c r="A172">
        <f t="shared" si="12"/>
        <v>1</v>
      </c>
      <c r="B172" t="str">
        <f t="shared" si="13"/>
        <v/>
      </c>
      <c r="C172">
        <f t="shared" si="15"/>
        <v>1</v>
      </c>
      <c r="D172" s="4"/>
      <c r="E172" t="s">
        <v>18</v>
      </c>
      <c r="F172" t="str">
        <f>INDEX(Establishment!B$2:B$1005,MATCH($E172,Establishment!$A$2:$A$1005,0))</f>
        <v xml:space="preserve"> </v>
      </c>
      <c r="G172" t="str">
        <f>INDEX(Establishment!C$2:C$1005,MATCH($E172,Establishment!$A$2:$A$1005,0))</f>
        <v xml:space="preserve"> </v>
      </c>
      <c r="M172">
        <f t="shared" si="16"/>
        <v>0</v>
      </c>
      <c r="N172">
        <f t="shared" si="14"/>
        <v>0</v>
      </c>
      <c r="P172" t="e">
        <f>INDEX(Items!B$2:B$1032,MATCH($O172,Items!$A$2:$A$1032,0))</f>
        <v>#N/A</v>
      </c>
      <c r="Q172" t="e">
        <f>INDEX(Items!C$2:C$1032,MATCH($O172,Items!$A$2:$A$1032,0))</f>
        <v>#N/A</v>
      </c>
      <c r="R172" t="e">
        <f>INDEX(Items!D$2:D$1032,MATCH($O172,Items!$A$2:$A$1032,0))</f>
        <v>#N/A</v>
      </c>
    </row>
    <row r="173" spans="1:18" x14ac:dyDescent="0.25">
      <c r="A173">
        <f t="shared" si="12"/>
        <v>1</v>
      </c>
      <c r="B173" t="str">
        <f t="shared" si="13"/>
        <v/>
      </c>
      <c r="C173">
        <f t="shared" si="15"/>
        <v>1</v>
      </c>
      <c r="D173" s="4"/>
      <c r="E173" t="s">
        <v>18</v>
      </c>
      <c r="F173" t="str">
        <f>INDEX(Establishment!B$2:B$1005,MATCH($E173,Establishment!$A$2:$A$1005,0))</f>
        <v xml:space="preserve"> </v>
      </c>
      <c r="G173" t="str">
        <f>INDEX(Establishment!C$2:C$1005,MATCH($E173,Establishment!$A$2:$A$1005,0))</f>
        <v xml:space="preserve"> </v>
      </c>
      <c r="M173">
        <f t="shared" si="16"/>
        <v>0</v>
      </c>
      <c r="N173">
        <f t="shared" si="14"/>
        <v>0</v>
      </c>
      <c r="P173" t="e">
        <f>INDEX(Items!B$2:B$1032,MATCH($O173,Items!$A$2:$A$1032,0))</f>
        <v>#N/A</v>
      </c>
      <c r="Q173" t="e">
        <f>INDEX(Items!C$2:C$1032,MATCH($O173,Items!$A$2:$A$1032,0))</f>
        <v>#N/A</v>
      </c>
      <c r="R173" t="e">
        <f>INDEX(Items!D$2:D$1032,MATCH($O173,Items!$A$2:$A$1032,0))</f>
        <v>#N/A</v>
      </c>
    </row>
    <row r="174" spans="1:18" x14ac:dyDescent="0.25">
      <c r="A174">
        <f t="shared" si="12"/>
        <v>1</v>
      </c>
      <c r="B174" t="str">
        <f t="shared" si="13"/>
        <v/>
      </c>
      <c r="C174">
        <f t="shared" si="15"/>
        <v>1</v>
      </c>
      <c r="D174" s="4"/>
      <c r="E174" t="s">
        <v>18</v>
      </c>
      <c r="F174" t="str">
        <f>INDEX(Establishment!B$2:B$1005,MATCH($E174,Establishment!$A$2:$A$1005,0))</f>
        <v xml:space="preserve"> </v>
      </c>
      <c r="G174" t="str">
        <f>INDEX(Establishment!C$2:C$1005,MATCH($E174,Establishment!$A$2:$A$1005,0))</f>
        <v xml:space="preserve"> </v>
      </c>
      <c r="M174">
        <f t="shared" si="16"/>
        <v>0</v>
      </c>
      <c r="N174">
        <f t="shared" si="14"/>
        <v>0</v>
      </c>
      <c r="P174" t="e">
        <f>INDEX(Items!B$2:B$1032,MATCH($O174,Items!$A$2:$A$1032,0))</f>
        <v>#N/A</v>
      </c>
      <c r="Q174" t="e">
        <f>INDEX(Items!C$2:C$1032,MATCH($O174,Items!$A$2:$A$1032,0))</f>
        <v>#N/A</v>
      </c>
      <c r="R174" t="e">
        <f>INDEX(Items!D$2:D$1032,MATCH($O174,Items!$A$2:$A$1032,0))</f>
        <v>#N/A</v>
      </c>
    </row>
    <row r="175" spans="1:18" x14ac:dyDescent="0.25">
      <c r="A175">
        <f t="shared" si="12"/>
        <v>1</v>
      </c>
      <c r="B175" t="str">
        <f t="shared" si="13"/>
        <v/>
      </c>
      <c r="C175">
        <f t="shared" si="15"/>
        <v>1</v>
      </c>
      <c r="D175" s="4"/>
      <c r="E175" t="s">
        <v>18</v>
      </c>
      <c r="F175" t="str">
        <f>INDEX(Establishment!B$2:B$1005,MATCH($E175,Establishment!$A$2:$A$1005,0))</f>
        <v xml:space="preserve"> </v>
      </c>
      <c r="G175" t="str">
        <f>INDEX(Establishment!C$2:C$1005,MATCH($E175,Establishment!$A$2:$A$1005,0))</f>
        <v xml:space="preserve"> </v>
      </c>
      <c r="M175">
        <f t="shared" si="16"/>
        <v>0</v>
      </c>
      <c r="N175">
        <f t="shared" si="14"/>
        <v>0</v>
      </c>
      <c r="P175" t="e">
        <f>INDEX(Items!B$2:B$1032,MATCH($O175,Items!$A$2:$A$1032,0))</f>
        <v>#N/A</v>
      </c>
      <c r="Q175" t="e">
        <f>INDEX(Items!C$2:C$1032,MATCH($O175,Items!$A$2:$A$1032,0))</f>
        <v>#N/A</v>
      </c>
      <c r="R175" t="e">
        <f>INDEX(Items!D$2:D$1032,MATCH($O175,Items!$A$2:$A$1032,0))</f>
        <v>#N/A</v>
      </c>
    </row>
    <row r="176" spans="1:18" x14ac:dyDescent="0.25">
      <c r="A176">
        <f t="shared" si="12"/>
        <v>1</v>
      </c>
      <c r="B176" t="str">
        <f t="shared" si="13"/>
        <v/>
      </c>
      <c r="C176">
        <f t="shared" si="15"/>
        <v>1</v>
      </c>
      <c r="D176" s="4"/>
      <c r="E176" t="s">
        <v>18</v>
      </c>
      <c r="F176" t="str">
        <f>INDEX(Establishment!B$2:B$1005,MATCH($E176,Establishment!$A$2:$A$1005,0))</f>
        <v xml:space="preserve"> </v>
      </c>
      <c r="G176" t="str">
        <f>INDEX(Establishment!C$2:C$1005,MATCH($E176,Establishment!$A$2:$A$1005,0))</f>
        <v xml:space="preserve"> </v>
      </c>
      <c r="M176">
        <f t="shared" si="16"/>
        <v>0</v>
      </c>
      <c r="N176">
        <f t="shared" si="14"/>
        <v>0</v>
      </c>
      <c r="P176" t="e">
        <f>INDEX(Items!B$2:B$1032,MATCH($O176,Items!$A$2:$A$1032,0))</f>
        <v>#N/A</v>
      </c>
      <c r="Q176" t="e">
        <f>INDEX(Items!C$2:C$1032,MATCH($O176,Items!$A$2:$A$1032,0))</f>
        <v>#N/A</v>
      </c>
      <c r="R176" t="e">
        <f>INDEX(Items!D$2:D$1032,MATCH($O176,Items!$A$2:$A$1032,0))</f>
        <v>#N/A</v>
      </c>
    </row>
    <row r="177" spans="1:18" x14ac:dyDescent="0.25">
      <c r="A177">
        <f t="shared" si="12"/>
        <v>1</v>
      </c>
      <c r="B177" t="str">
        <f t="shared" si="13"/>
        <v/>
      </c>
      <c r="C177">
        <f t="shared" si="15"/>
        <v>1</v>
      </c>
      <c r="D177" s="4"/>
      <c r="E177" t="s">
        <v>18</v>
      </c>
      <c r="F177" t="str">
        <f>INDEX(Establishment!B$2:B$1005,MATCH($E177,Establishment!$A$2:$A$1005,0))</f>
        <v xml:space="preserve"> </v>
      </c>
      <c r="G177" t="str">
        <f>INDEX(Establishment!C$2:C$1005,MATCH($E177,Establishment!$A$2:$A$1005,0))</f>
        <v xml:space="preserve"> </v>
      </c>
      <c r="M177">
        <f t="shared" si="16"/>
        <v>0</v>
      </c>
      <c r="N177">
        <f t="shared" si="14"/>
        <v>0</v>
      </c>
      <c r="P177" t="e">
        <f>INDEX(Items!B$2:B$1032,MATCH($O177,Items!$A$2:$A$1032,0))</f>
        <v>#N/A</v>
      </c>
      <c r="Q177" t="e">
        <f>INDEX(Items!C$2:C$1032,MATCH($O177,Items!$A$2:$A$1032,0))</f>
        <v>#N/A</v>
      </c>
      <c r="R177" t="e">
        <f>INDEX(Items!D$2:D$1032,MATCH($O177,Items!$A$2:$A$1032,0))</f>
        <v>#N/A</v>
      </c>
    </row>
    <row r="178" spans="1:18" x14ac:dyDescent="0.25">
      <c r="A178">
        <f t="shared" si="12"/>
        <v>1</v>
      </c>
      <c r="B178" t="str">
        <f t="shared" si="13"/>
        <v/>
      </c>
      <c r="C178">
        <f t="shared" si="15"/>
        <v>1</v>
      </c>
      <c r="D178" s="4"/>
      <c r="E178" t="s">
        <v>18</v>
      </c>
      <c r="F178" t="str">
        <f>INDEX(Establishment!B$2:B$1005,MATCH($E178,Establishment!$A$2:$A$1005,0))</f>
        <v xml:space="preserve"> </v>
      </c>
      <c r="G178" t="str">
        <f>INDEX(Establishment!C$2:C$1005,MATCH($E178,Establishment!$A$2:$A$1005,0))</f>
        <v xml:space="preserve"> </v>
      </c>
      <c r="M178">
        <f t="shared" si="16"/>
        <v>0</v>
      </c>
      <c r="N178">
        <f t="shared" si="14"/>
        <v>0</v>
      </c>
      <c r="P178" t="e">
        <f>INDEX(Items!B$2:B$1032,MATCH($O178,Items!$A$2:$A$1032,0))</f>
        <v>#N/A</v>
      </c>
      <c r="Q178" t="e">
        <f>INDEX(Items!C$2:C$1032,MATCH($O178,Items!$A$2:$A$1032,0))</f>
        <v>#N/A</v>
      </c>
      <c r="R178" t="e">
        <f>INDEX(Items!D$2:D$1032,MATCH($O178,Items!$A$2:$A$1032,0))</f>
        <v>#N/A</v>
      </c>
    </row>
    <row r="179" spans="1:18" x14ac:dyDescent="0.25">
      <c r="A179">
        <f t="shared" si="12"/>
        <v>1</v>
      </c>
      <c r="B179" t="str">
        <f t="shared" si="13"/>
        <v/>
      </c>
      <c r="C179">
        <f t="shared" si="15"/>
        <v>1</v>
      </c>
      <c r="D179" s="4"/>
      <c r="E179" t="s">
        <v>18</v>
      </c>
      <c r="F179" t="str">
        <f>INDEX(Establishment!B$2:B$1005,MATCH($E179,Establishment!$A$2:$A$1005,0))</f>
        <v xml:space="preserve"> </v>
      </c>
      <c r="G179" t="str">
        <f>INDEX(Establishment!C$2:C$1005,MATCH($E179,Establishment!$A$2:$A$1005,0))</f>
        <v xml:space="preserve"> </v>
      </c>
      <c r="M179">
        <f t="shared" si="16"/>
        <v>0</v>
      </c>
      <c r="N179">
        <f t="shared" si="14"/>
        <v>0</v>
      </c>
      <c r="P179" t="e">
        <f>INDEX(Items!B$2:B$1032,MATCH($O179,Items!$A$2:$A$1032,0))</f>
        <v>#N/A</v>
      </c>
      <c r="Q179" t="e">
        <f>INDEX(Items!C$2:C$1032,MATCH($O179,Items!$A$2:$A$1032,0))</f>
        <v>#N/A</v>
      </c>
      <c r="R179" t="e">
        <f>INDEX(Items!D$2:D$1032,MATCH($O179,Items!$A$2:$A$1032,0))</f>
        <v>#N/A</v>
      </c>
    </row>
    <row r="180" spans="1:18" x14ac:dyDescent="0.25">
      <c r="A180">
        <f t="shared" si="12"/>
        <v>1</v>
      </c>
      <c r="B180" t="str">
        <f t="shared" si="13"/>
        <v/>
      </c>
      <c r="C180">
        <f t="shared" si="15"/>
        <v>1</v>
      </c>
      <c r="D180" s="4"/>
      <c r="E180" t="s">
        <v>18</v>
      </c>
      <c r="F180" t="str">
        <f>INDEX(Establishment!B$2:B$1005,MATCH($E180,Establishment!$A$2:$A$1005,0))</f>
        <v xml:space="preserve"> </v>
      </c>
      <c r="G180" t="str">
        <f>INDEX(Establishment!C$2:C$1005,MATCH($E180,Establishment!$A$2:$A$1005,0))</f>
        <v xml:space="preserve"> </v>
      </c>
      <c r="M180">
        <f t="shared" si="16"/>
        <v>0</v>
      </c>
      <c r="N180">
        <f t="shared" si="14"/>
        <v>0</v>
      </c>
      <c r="P180" t="e">
        <f>INDEX(Items!B$2:B$1032,MATCH($O180,Items!$A$2:$A$1032,0))</f>
        <v>#N/A</v>
      </c>
      <c r="Q180" t="e">
        <f>INDEX(Items!C$2:C$1032,MATCH($O180,Items!$A$2:$A$1032,0))</f>
        <v>#N/A</v>
      </c>
      <c r="R180" t="e">
        <f>INDEX(Items!D$2:D$1032,MATCH($O180,Items!$A$2:$A$1032,0))</f>
        <v>#N/A</v>
      </c>
    </row>
    <row r="181" spans="1:18" x14ac:dyDescent="0.25">
      <c r="A181">
        <f t="shared" si="12"/>
        <v>1</v>
      </c>
      <c r="B181" t="str">
        <f t="shared" si="13"/>
        <v/>
      </c>
      <c r="C181">
        <f t="shared" si="15"/>
        <v>1</v>
      </c>
      <c r="D181" s="4"/>
      <c r="E181" t="s">
        <v>18</v>
      </c>
      <c r="F181" t="str">
        <f>INDEX(Establishment!B$2:B$1005,MATCH($E181,Establishment!$A$2:$A$1005,0))</f>
        <v xml:space="preserve"> </v>
      </c>
      <c r="G181" t="str">
        <f>INDEX(Establishment!C$2:C$1005,MATCH($E181,Establishment!$A$2:$A$1005,0))</f>
        <v xml:space="preserve"> </v>
      </c>
      <c r="M181">
        <f t="shared" si="16"/>
        <v>0</v>
      </c>
      <c r="N181">
        <f t="shared" si="14"/>
        <v>0</v>
      </c>
      <c r="P181" t="e">
        <f>INDEX(Items!B$2:B$1032,MATCH($O181,Items!$A$2:$A$1032,0))</f>
        <v>#N/A</v>
      </c>
      <c r="Q181" t="e">
        <f>INDEX(Items!C$2:C$1032,MATCH($O181,Items!$A$2:$A$1032,0))</f>
        <v>#N/A</v>
      </c>
      <c r="R181" t="e">
        <f>INDEX(Items!D$2:D$1032,MATCH($O181,Items!$A$2:$A$1032,0))</f>
        <v>#N/A</v>
      </c>
    </row>
    <row r="182" spans="1:18" x14ac:dyDescent="0.25">
      <c r="A182">
        <f t="shared" si="12"/>
        <v>1</v>
      </c>
      <c r="B182" t="str">
        <f t="shared" si="13"/>
        <v/>
      </c>
      <c r="C182">
        <f t="shared" si="15"/>
        <v>1</v>
      </c>
      <c r="D182" s="4"/>
      <c r="E182" t="s">
        <v>18</v>
      </c>
      <c r="F182" t="str">
        <f>INDEX(Establishment!B$2:B$1005,MATCH($E182,Establishment!$A$2:$A$1005,0))</f>
        <v xml:space="preserve"> </v>
      </c>
      <c r="G182" t="str">
        <f>INDEX(Establishment!C$2:C$1005,MATCH($E182,Establishment!$A$2:$A$1005,0))</f>
        <v xml:space="preserve"> </v>
      </c>
      <c r="M182">
        <f t="shared" si="16"/>
        <v>0</v>
      </c>
      <c r="N182">
        <f t="shared" si="14"/>
        <v>0</v>
      </c>
      <c r="P182" t="e">
        <f>INDEX(Items!B$2:B$1032,MATCH($O182,Items!$A$2:$A$1032,0))</f>
        <v>#N/A</v>
      </c>
      <c r="Q182" t="e">
        <f>INDEX(Items!C$2:C$1032,MATCH($O182,Items!$A$2:$A$1032,0))</f>
        <v>#N/A</v>
      </c>
      <c r="R182" t="e">
        <f>INDEX(Items!D$2:D$1032,MATCH($O182,Items!$A$2:$A$1032,0))</f>
        <v>#N/A</v>
      </c>
    </row>
    <row r="183" spans="1:18" x14ac:dyDescent="0.25">
      <c r="A183">
        <f t="shared" si="12"/>
        <v>1</v>
      </c>
      <c r="B183" t="str">
        <f t="shared" si="13"/>
        <v/>
      </c>
      <c r="C183">
        <f t="shared" si="15"/>
        <v>1</v>
      </c>
      <c r="D183" s="4"/>
      <c r="E183" t="s">
        <v>18</v>
      </c>
      <c r="F183" t="str">
        <f>INDEX(Establishment!B$2:B$1005,MATCH($E183,Establishment!$A$2:$A$1005,0))</f>
        <v xml:space="preserve"> </v>
      </c>
      <c r="G183" t="str">
        <f>INDEX(Establishment!C$2:C$1005,MATCH($E183,Establishment!$A$2:$A$1005,0))</f>
        <v xml:space="preserve"> </v>
      </c>
      <c r="M183">
        <f t="shared" si="16"/>
        <v>0</v>
      </c>
      <c r="N183">
        <f t="shared" si="14"/>
        <v>0</v>
      </c>
      <c r="P183" t="e">
        <f>INDEX(Items!B$2:B$1032,MATCH($O183,Items!$A$2:$A$1032,0))</f>
        <v>#N/A</v>
      </c>
      <c r="Q183" t="e">
        <f>INDEX(Items!C$2:C$1032,MATCH($O183,Items!$A$2:$A$1032,0))</f>
        <v>#N/A</v>
      </c>
      <c r="R183" t="e">
        <f>INDEX(Items!D$2:D$1032,MATCH($O183,Items!$A$2:$A$1032,0))</f>
        <v>#N/A</v>
      </c>
    </row>
    <row r="184" spans="1:18" x14ac:dyDescent="0.25">
      <c r="A184">
        <f t="shared" si="12"/>
        <v>1</v>
      </c>
      <c r="B184" t="str">
        <f t="shared" si="13"/>
        <v/>
      </c>
      <c r="C184">
        <f t="shared" si="15"/>
        <v>1</v>
      </c>
      <c r="D184" s="4"/>
      <c r="E184" t="s">
        <v>18</v>
      </c>
      <c r="F184" t="str">
        <f>INDEX(Establishment!B$2:B$1005,MATCH($E184,Establishment!$A$2:$A$1005,0))</f>
        <v xml:space="preserve"> </v>
      </c>
      <c r="G184" t="str">
        <f>INDEX(Establishment!C$2:C$1005,MATCH($E184,Establishment!$A$2:$A$1005,0))</f>
        <v xml:space="preserve"> </v>
      </c>
      <c r="M184">
        <f t="shared" si="16"/>
        <v>0</v>
      </c>
      <c r="N184">
        <f t="shared" si="14"/>
        <v>0</v>
      </c>
      <c r="P184" t="e">
        <f>INDEX(Items!B$2:B$1032,MATCH($O184,Items!$A$2:$A$1032,0))</f>
        <v>#N/A</v>
      </c>
      <c r="Q184" t="e">
        <f>INDEX(Items!C$2:C$1032,MATCH($O184,Items!$A$2:$A$1032,0))</f>
        <v>#N/A</v>
      </c>
      <c r="R184" t="e">
        <f>INDEX(Items!D$2:D$1032,MATCH($O184,Items!$A$2:$A$1032,0))</f>
        <v>#N/A</v>
      </c>
    </row>
    <row r="185" spans="1:18" x14ac:dyDescent="0.25">
      <c r="A185">
        <f t="shared" si="12"/>
        <v>1</v>
      </c>
      <c r="B185" t="str">
        <f t="shared" si="13"/>
        <v/>
      </c>
      <c r="C185">
        <f t="shared" si="15"/>
        <v>1</v>
      </c>
      <c r="D185" s="4"/>
      <c r="E185" t="s">
        <v>18</v>
      </c>
      <c r="F185" t="str">
        <f>INDEX(Establishment!B$2:B$1005,MATCH($E185,Establishment!$A$2:$A$1005,0))</f>
        <v xml:space="preserve"> </v>
      </c>
      <c r="G185" t="str">
        <f>INDEX(Establishment!C$2:C$1005,MATCH($E185,Establishment!$A$2:$A$1005,0))</f>
        <v xml:space="preserve"> </v>
      </c>
      <c r="M185">
        <f t="shared" si="16"/>
        <v>0</v>
      </c>
      <c r="N185">
        <f t="shared" si="14"/>
        <v>0</v>
      </c>
      <c r="P185" t="e">
        <f>INDEX(Items!B$2:B$1032,MATCH($O185,Items!$A$2:$A$1032,0))</f>
        <v>#N/A</v>
      </c>
      <c r="Q185" t="e">
        <f>INDEX(Items!C$2:C$1032,MATCH($O185,Items!$A$2:$A$1032,0))</f>
        <v>#N/A</v>
      </c>
      <c r="R185" t="e">
        <f>INDEX(Items!D$2:D$1032,MATCH($O185,Items!$A$2:$A$1032,0))</f>
        <v>#N/A</v>
      </c>
    </row>
    <row r="186" spans="1:18" x14ac:dyDescent="0.25">
      <c r="A186">
        <f t="shared" si="12"/>
        <v>1</v>
      </c>
      <c r="B186" t="str">
        <f t="shared" si="13"/>
        <v/>
      </c>
      <c r="C186">
        <f t="shared" si="15"/>
        <v>1</v>
      </c>
      <c r="D186" s="4"/>
      <c r="E186" t="s">
        <v>18</v>
      </c>
      <c r="F186" t="str">
        <f>INDEX(Establishment!B$2:B$1005,MATCH($E186,Establishment!$A$2:$A$1005,0))</f>
        <v xml:space="preserve"> </v>
      </c>
      <c r="G186" t="str">
        <f>INDEX(Establishment!C$2:C$1005,MATCH($E186,Establishment!$A$2:$A$1005,0))</f>
        <v xml:space="preserve"> </v>
      </c>
      <c r="M186">
        <f t="shared" si="16"/>
        <v>0</v>
      </c>
      <c r="N186">
        <f t="shared" si="14"/>
        <v>0</v>
      </c>
      <c r="P186" t="e">
        <f>INDEX(Items!B$2:B$1032,MATCH($O186,Items!$A$2:$A$1032,0))</f>
        <v>#N/A</v>
      </c>
      <c r="Q186" t="e">
        <f>INDEX(Items!C$2:C$1032,MATCH($O186,Items!$A$2:$A$1032,0))</f>
        <v>#N/A</v>
      </c>
      <c r="R186" t="e">
        <f>INDEX(Items!D$2:D$1032,MATCH($O186,Items!$A$2:$A$1032,0))</f>
        <v>#N/A</v>
      </c>
    </row>
    <row r="187" spans="1:18" x14ac:dyDescent="0.25">
      <c r="A187">
        <f t="shared" si="12"/>
        <v>1</v>
      </c>
      <c r="B187" t="str">
        <f t="shared" si="13"/>
        <v/>
      </c>
      <c r="C187">
        <f t="shared" si="15"/>
        <v>1</v>
      </c>
      <c r="D187" s="4"/>
      <c r="E187" t="s">
        <v>18</v>
      </c>
      <c r="F187" t="str">
        <f>INDEX(Establishment!B$2:B$1005,MATCH($E187,Establishment!$A$2:$A$1005,0))</f>
        <v xml:space="preserve"> </v>
      </c>
      <c r="G187" t="str">
        <f>INDEX(Establishment!C$2:C$1005,MATCH($E187,Establishment!$A$2:$A$1005,0))</f>
        <v xml:space="preserve"> </v>
      </c>
      <c r="M187">
        <f t="shared" si="16"/>
        <v>0</v>
      </c>
      <c r="N187">
        <f t="shared" si="14"/>
        <v>0</v>
      </c>
      <c r="P187" t="e">
        <f>INDEX(Items!B$2:B$1032,MATCH($O187,Items!$A$2:$A$1032,0))</f>
        <v>#N/A</v>
      </c>
      <c r="Q187" t="e">
        <f>INDEX(Items!C$2:C$1032,MATCH($O187,Items!$A$2:$A$1032,0))</f>
        <v>#N/A</v>
      </c>
      <c r="R187" t="e">
        <f>INDEX(Items!D$2:D$1032,MATCH($O187,Items!$A$2:$A$1032,0))</f>
        <v>#N/A</v>
      </c>
    </row>
    <row r="188" spans="1:18" x14ac:dyDescent="0.25">
      <c r="A188">
        <f t="shared" si="12"/>
        <v>1</v>
      </c>
      <c r="B188" t="str">
        <f t="shared" si="13"/>
        <v/>
      </c>
      <c r="C188">
        <f t="shared" si="15"/>
        <v>1</v>
      </c>
      <c r="D188" s="4"/>
      <c r="E188" t="s">
        <v>18</v>
      </c>
      <c r="F188" t="str">
        <f>INDEX(Establishment!B$2:B$1005,MATCH($E188,Establishment!$A$2:$A$1005,0))</f>
        <v xml:space="preserve"> </v>
      </c>
      <c r="G188" t="str">
        <f>INDEX(Establishment!C$2:C$1005,MATCH($E188,Establishment!$A$2:$A$1005,0))</f>
        <v xml:space="preserve"> </v>
      </c>
      <c r="M188">
        <f t="shared" si="16"/>
        <v>0</v>
      </c>
      <c r="N188">
        <f t="shared" si="14"/>
        <v>0</v>
      </c>
      <c r="P188" t="e">
        <f>INDEX(Items!B$2:B$1032,MATCH($O188,Items!$A$2:$A$1032,0))</f>
        <v>#N/A</v>
      </c>
      <c r="Q188" t="e">
        <f>INDEX(Items!C$2:C$1032,MATCH($O188,Items!$A$2:$A$1032,0))</f>
        <v>#N/A</v>
      </c>
      <c r="R188" t="e">
        <f>INDEX(Items!D$2:D$1032,MATCH($O188,Items!$A$2:$A$1032,0))</f>
        <v>#N/A</v>
      </c>
    </row>
    <row r="189" spans="1:18" x14ac:dyDescent="0.25">
      <c r="A189">
        <f t="shared" si="12"/>
        <v>1</v>
      </c>
      <c r="B189" t="str">
        <f t="shared" si="13"/>
        <v/>
      </c>
      <c r="C189">
        <f t="shared" si="15"/>
        <v>1</v>
      </c>
      <c r="D189" s="4"/>
      <c r="E189" t="s">
        <v>18</v>
      </c>
      <c r="F189" t="str">
        <f>INDEX(Establishment!B$2:B$1005,MATCH($E189,Establishment!$A$2:$A$1005,0))</f>
        <v xml:space="preserve"> </v>
      </c>
      <c r="G189" t="str">
        <f>INDEX(Establishment!C$2:C$1005,MATCH($E189,Establishment!$A$2:$A$1005,0))</f>
        <v xml:space="preserve"> </v>
      </c>
      <c r="M189">
        <f t="shared" si="16"/>
        <v>0</v>
      </c>
      <c r="N189">
        <f t="shared" si="14"/>
        <v>0</v>
      </c>
      <c r="P189" t="e">
        <f>INDEX(Items!B$2:B$1032,MATCH($O189,Items!$A$2:$A$1032,0))</f>
        <v>#N/A</v>
      </c>
      <c r="Q189" t="e">
        <f>INDEX(Items!C$2:C$1032,MATCH($O189,Items!$A$2:$A$1032,0))</f>
        <v>#N/A</v>
      </c>
      <c r="R189" t="e">
        <f>INDEX(Items!D$2:D$1032,MATCH($O189,Items!$A$2:$A$1032,0))</f>
        <v>#N/A</v>
      </c>
    </row>
    <row r="190" spans="1:18" x14ac:dyDescent="0.25">
      <c r="A190">
        <f t="shared" si="12"/>
        <v>1</v>
      </c>
      <c r="B190" t="str">
        <f t="shared" si="13"/>
        <v/>
      </c>
      <c r="C190">
        <f t="shared" si="15"/>
        <v>1</v>
      </c>
      <c r="D190" s="4"/>
      <c r="E190" t="s">
        <v>18</v>
      </c>
      <c r="F190" t="str">
        <f>INDEX(Establishment!B$2:B$1005,MATCH($E190,Establishment!$A$2:$A$1005,0))</f>
        <v xml:space="preserve"> </v>
      </c>
      <c r="G190" t="str">
        <f>INDEX(Establishment!C$2:C$1005,MATCH($E190,Establishment!$A$2:$A$1005,0))</f>
        <v xml:space="preserve"> </v>
      </c>
      <c r="M190">
        <f t="shared" si="16"/>
        <v>0</v>
      </c>
      <c r="N190">
        <f t="shared" si="14"/>
        <v>0</v>
      </c>
      <c r="P190" t="e">
        <f>INDEX(Items!B$2:B$1032,MATCH($O190,Items!$A$2:$A$1032,0))</f>
        <v>#N/A</v>
      </c>
      <c r="Q190" t="e">
        <f>INDEX(Items!C$2:C$1032,MATCH($O190,Items!$A$2:$A$1032,0))</f>
        <v>#N/A</v>
      </c>
      <c r="R190" t="e">
        <f>INDEX(Items!D$2:D$1032,MATCH($O190,Items!$A$2:$A$1032,0))</f>
        <v>#N/A</v>
      </c>
    </row>
    <row r="191" spans="1:18" x14ac:dyDescent="0.25">
      <c r="A191">
        <f t="shared" si="12"/>
        <v>1</v>
      </c>
      <c r="B191" t="str">
        <f t="shared" si="13"/>
        <v/>
      </c>
      <c r="C191">
        <f t="shared" si="15"/>
        <v>1</v>
      </c>
      <c r="D191" s="4"/>
      <c r="E191" t="s">
        <v>18</v>
      </c>
      <c r="F191" t="str">
        <f>INDEX(Establishment!B$2:B$1005,MATCH($E191,Establishment!$A$2:$A$1005,0))</f>
        <v xml:space="preserve"> </v>
      </c>
      <c r="G191" t="str">
        <f>INDEX(Establishment!C$2:C$1005,MATCH($E191,Establishment!$A$2:$A$1005,0))</f>
        <v xml:space="preserve"> </v>
      </c>
      <c r="M191">
        <f t="shared" si="16"/>
        <v>0</v>
      </c>
      <c r="N191">
        <f t="shared" si="14"/>
        <v>0</v>
      </c>
      <c r="P191" t="e">
        <f>INDEX(Items!B$2:B$1032,MATCH($O191,Items!$A$2:$A$1032,0))</f>
        <v>#N/A</v>
      </c>
      <c r="Q191" t="e">
        <f>INDEX(Items!C$2:C$1032,MATCH($O191,Items!$A$2:$A$1032,0))</f>
        <v>#N/A</v>
      </c>
      <c r="R191" t="e">
        <f>INDEX(Items!D$2:D$1032,MATCH($O191,Items!$A$2:$A$1032,0))</f>
        <v>#N/A</v>
      </c>
    </row>
    <row r="192" spans="1:18" x14ac:dyDescent="0.25">
      <c r="A192">
        <f t="shared" si="12"/>
        <v>1</v>
      </c>
      <c r="B192" t="str">
        <f t="shared" si="13"/>
        <v/>
      </c>
      <c r="C192">
        <f t="shared" si="15"/>
        <v>1</v>
      </c>
      <c r="D192" s="4"/>
      <c r="E192" t="s">
        <v>18</v>
      </c>
      <c r="F192" t="str">
        <f>INDEX(Establishment!B$2:B$1005,MATCH($E192,Establishment!$A$2:$A$1005,0))</f>
        <v xml:space="preserve"> </v>
      </c>
      <c r="G192" t="str">
        <f>INDEX(Establishment!C$2:C$1005,MATCH($E192,Establishment!$A$2:$A$1005,0))</f>
        <v xml:space="preserve"> </v>
      </c>
      <c r="M192">
        <f t="shared" si="16"/>
        <v>0</v>
      </c>
      <c r="N192">
        <f t="shared" si="14"/>
        <v>0</v>
      </c>
      <c r="P192" t="e">
        <f>INDEX(Items!B$2:B$1032,MATCH($O192,Items!$A$2:$A$1032,0))</f>
        <v>#N/A</v>
      </c>
      <c r="Q192" t="e">
        <f>INDEX(Items!C$2:C$1032,MATCH($O192,Items!$A$2:$A$1032,0))</f>
        <v>#N/A</v>
      </c>
      <c r="R192" t="e">
        <f>INDEX(Items!D$2:D$1032,MATCH($O192,Items!$A$2:$A$1032,0))</f>
        <v>#N/A</v>
      </c>
    </row>
    <row r="193" spans="1:18" x14ac:dyDescent="0.25">
      <c r="A193">
        <f t="shared" si="12"/>
        <v>1</v>
      </c>
      <c r="B193" t="str">
        <f t="shared" si="13"/>
        <v/>
      </c>
      <c r="C193">
        <f t="shared" si="15"/>
        <v>1</v>
      </c>
      <c r="D193" s="4"/>
      <c r="E193" t="s">
        <v>18</v>
      </c>
      <c r="F193" t="str">
        <f>INDEX(Establishment!B$2:B$1005,MATCH($E193,Establishment!$A$2:$A$1005,0))</f>
        <v xml:space="preserve"> </v>
      </c>
      <c r="G193" t="str">
        <f>INDEX(Establishment!C$2:C$1005,MATCH($E193,Establishment!$A$2:$A$1005,0))</f>
        <v xml:space="preserve"> </v>
      </c>
      <c r="M193">
        <f t="shared" si="16"/>
        <v>0</v>
      </c>
      <c r="N193">
        <f t="shared" si="14"/>
        <v>0</v>
      </c>
      <c r="P193" t="e">
        <f>INDEX(Items!B$2:B$1032,MATCH($O193,Items!$A$2:$A$1032,0))</f>
        <v>#N/A</v>
      </c>
      <c r="Q193" t="e">
        <f>INDEX(Items!C$2:C$1032,MATCH($O193,Items!$A$2:$A$1032,0))</f>
        <v>#N/A</v>
      </c>
      <c r="R193" t="e">
        <f>INDEX(Items!D$2:D$1032,MATCH($O193,Items!$A$2:$A$1032,0))</f>
        <v>#N/A</v>
      </c>
    </row>
    <row r="194" spans="1:18" x14ac:dyDescent="0.25">
      <c r="A194">
        <f t="shared" ref="A194:A257" si="17">IF(OR(D194&lt;&gt;D193,D194=""),1,IF(NOT(AND(E194=E193,F194=F193,G194=G193)),A193+1,IF(OR(H194="",AND(H194&lt;&gt;"",H194&lt;&gt;H193,H193&lt;&gt;"")),A193,A193+1)))</f>
        <v>1</v>
      </c>
      <c r="B194" t="str">
        <f t="shared" ref="B194:B257" si="18">IF(D194&lt;&gt;"",TEXT(D194,"YYYYMMDD")&amp;CHAR(64+A194),"")</f>
        <v/>
      </c>
      <c r="C194">
        <f t="shared" si="15"/>
        <v>1</v>
      </c>
      <c r="D194" s="4"/>
      <c r="E194" t="s">
        <v>18</v>
      </c>
      <c r="F194" t="str">
        <f>INDEX(Establishment!B$2:B$1005,MATCH($E194,Establishment!$A$2:$A$1005,0))</f>
        <v xml:space="preserve"> </v>
      </c>
      <c r="G194" t="str">
        <f>INDEX(Establishment!C$2:C$1005,MATCH($E194,Establishment!$A$2:$A$1005,0))</f>
        <v xml:space="preserve"> </v>
      </c>
      <c r="M194">
        <f t="shared" si="16"/>
        <v>0</v>
      </c>
      <c r="N194">
        <f t="shared" si="14"/>
        <v>0</v>
      </c>
      <c r="P194" t="e">
        <f>INDEX(Items!B$2:B$1032,MATCH($O194,Items!$A$2:$A$1032,0))</f>
        <v>#N/A</v>
      </c>
      <c r="Q194" t="e">
        <f>INDEX(Items!C$2:C$1032,MATCH($O194,Items!$A$2:$A$1032,0))</f>
        <v>#N/A</v>
      </c>
      <c r="R194" t="e">
        <f>INDEX(Items!D$2:D$1032,MATCH($O194,Items!$A$2:$A$1032,0))</f>
        <v>#N/A</v>
      </c>
    </row>
    <row r="195" spans="1:18" x14ac:dyDescent="0.25">
      <c r="A195">
        <f t="shared" si="17"/>
        <v>1</v>
      </c>
      <c r="B195" t="str">
        <f t="shared" si="18"/>
        <v/>
      </c>
      <c r="C195">
        <f t="shared" si="15"/>
        <v>1</v>
      </c>
      <c r="D195" s="4"/>
      <c r="E195" t="s">
        <v>18</v>
      </c>
      <c r="F195" t="str">
        <f>INDEX(Establishment!B$2:B$1005,MATCH($E195,Establishment!$A$2:$A$1005,0))</f>
        <v xml:space="preserve"> </v>
      </c>
      <c r="G195" t="str">
        <f>INDEX(Establishment!C$2:C$1005,MATCH($E195,Establishment!$A$2:$A$1005,0))</f>
        <v xml:space="preserve"> </v>
      </c>
      <c r="M195">
        <f t="shared" si="16"/>
        <v>0</v>
      </c>
      <c r="N195">
        <f t="shared" ref="N195:N258" si="19">IF(B195=B194,N194+M195,M195)</f>
        <v>0</v>
      </c>
      <c r="P195" t="e">
        <f>INDEX(Items!B$2:B$1032,MATCH($O195,Items!$A$2:$A$1032,0))</f>
        <v>#N/A</v>
      </c>
      <c r="Q195" t="e">
        <f>INDEX(Items!C$2:C$1032,MATCH($O195,Items!$A$2:$A$1032,0))</f>
        <v>#N/A</v>
      </c>
      <c r="R195" t="e">
        <f>INDEX(Items!D$2:D$1032,MATCH($O195,Items!$A$2:$A$1032,0))</f>
        <v>#N/A</v>
      </c>
    </row>
    <row r="196" spans="1:18" x14ac:dyDescent="0.25">
      <c r="A196">
        <f t="shared" si="17"/>
        <v>1</v>
      </c>
      <c r="B196" t="str">
        <f t="shared" si="18"/>
        <v/>
      </c>
      <c r="C196">
        <f t="shared" si="15"/>
        <v>1</v>
      </c>
      <c r="D196" s="4"/>
      <c r="E196" t="s">
        <v>18</v>
      </c>
      <c r="F196" t="str">
        <f>INDEX(Establishment!B$2:B$1005,MATCH($E196,Establishment!$A$2:$A$1005,0))</f>
        <v xml:space="preserve"> </v>
      </c>
      <c r="G196" t="str">
        <f>INDEX(Establishment!C$2:C$1005,MATCH($E196,Establishment!$A$2:$A$1005,0))</f>
        <v xml:space="preserve"> </v>
      </c>
      <c r="M196">
        <f t="shared" si="16"/>
        <v>0</v>
      </c>
      <c r="N196">
        <f t="shared" si="19"/>
        <v>0</v>
      </c>
      <c r="P196" t="e">
        <f>INDEX(Items!B$2:B$1032,MATCH($O196,Items!$A$2:$A$1032,0))</f>
        <v>#N/A</v>
      </c>
      <c r="Q196" t="e">
        <f>INDEX(Items!C$2:C$1032,MATCH($O196,Items!$A$2:$A$1032,0))</f>
        <v>#N/A</v>
      </c>
      <c r="R196" t="e">
        <f>INDEX(Items!D$2:D$1032,MATCH($O196,Items!$A$2:$A$1032,0))</f>
        <v>#N/A</v>
      </c>
    </row>
    <row r="197" spans="1:18" x14ac:dyDescent="0.25">
      <c r="A197">
        <f t="shared" si="17"/>
        <v>1</v>
      </c>
      <c r="B197" t="str">
        <f t="shared" si="18"/>
        <v/>
      </c>
      <c r="C197">
        <f t="shared" si="15"/>
        <v>1</v>
      </c>
      <c r="D197" s="4"/>
      <c r="E197" t="s">
        <v>18</v>
      </c>
      <c r="F197" t="str">
        <f>INDEX(Establishment!B$2:B$1005,MATCH($E197,Establishment!$A$2:$A$1005,0))</f>
        <v xml:space="preserve"> </v>
      </c>
      <c r="G197" t="str">
        <f>INDEX(Establishment!C$2:C$1005,MATCH($E197,Establishment!$A$2:$A$1005,0))</f>
        <v xml:space="preserve"> </v>
      </c>
      <c r="M197">
        <f t="shared" si="16"/>
        <v>0</v>
      </c>
      <c r="N197">
        <f t="shared" si="19"/>
        <v>0</v>
      </c>
      <c r="P197" t="e">
        <f>INDEX(Items!B$2:B$1032,MATCH($O197,Items!$A$2:$A$1032,0))</f>
        <v>#N/A</v>
      </c>
      <c r="Q197" t="e">
        <f>INDEX(Items!C$2:C$1032,MATCH($O197,Items!$A$2:$A$1032,0))</f>
        <v>#N/A</v>
      </c>
      <c r="R197" t="e">
        <f>INDEX(Items!D$2:D$1032,MATCH($O197,Items!$A$2:$A$1032,0))</f>
        <v>#N/A</v>
      </c>
    </row>
    <row r="198" spans="1:18" x14ac:dyDescent="0.25">
      <c r="A198">
        <f t="shared" si="17"/>
        <v>1</v>
      </c>
      <c r="B198" t="str">
        <f t="shared" si="18"/>
        <v/>
      </c>
      <c r="C198">
        <f t="shared" si="15"/>
        <v>1</v>
      </c>
      <c r="D198" s="4"/>
      <c r="E198" t="s">
        <v>18</v>
      </c>
      <c r="F198" t="str">
        <f>INDEX(Establishment!B$2:B$1005,MATCH($E198,Establishment!$A$2:$A$1005,0))</f>
        <v xml:space="preserve"> </v>
      </c>
      <c r="G198" t="str">
        <f>INDEX(Establishment!C$2:C$1005,MATCH($E198,Establishment!$A$2:$A$1005,0))</f>
        <v xml:space="preserve"> </v>
      </c>
      <c r="M198">
        <f t="shared" si="16"/>
        <v>0</v>
      </c>
      <c r="N198">
        <f t="shared" si="19"/>
        <v>0</v>
      </c>
      <c r="P198" t="e">
        <f>INDEX(Items!B$2:B$1032,MATCH($O198,Items!$A$2:$A$1032,0))</f>
        <v>#N/A</v>
      </c>
      <c r="Q198" t="e">
        <f>INDEX(Items!C$2:C$1032,MATCH($O198,Items!$A$2:$A$1032,0))</f>
        <v>#N/A</v>
      </c>
      <c r="R198" t="e">
        <f>INDEX(Items!D$2:D$1032,MATCH($O198,Items!$A$2:$A$1032,0))</f>
        <v>#N/A</v>
      </c>
    </row>
    <row r="199" spans="1:18" x14ac:dyDescent="0.25">
      <c r="A199">
        <f t="shared" si="17"/>
        <v>1</v>
      </c>
      <c r="B199" t="str">
        <f t="shared" si="18"/>
        <v/>
      </c>
      <c r="C199">
        <f t="shared" si="15"/>
        <v>1</v>
      </c>
      <c r="D199" s="4"/>
      <c r="E199" t="s">
        <v>18</v>
      </c>
      <c r="F199" t="str">
        <f>INDEX(Establishment!B$2:B$1005,MATCH($E199,Establishment!$A$2:$A$1005,0))</f>
        <v xml:space="preserve"> </v>
      </c>
      <c r="G199" t="str">
        <f>INDEX(Establishment!C$2:C$1005,MATCH($E199,Establishment!$A$2:$A$1005,0))</f>
        <v xml:space="preserve"> </v>
      </c>
      <c r="M199">
        <f t="shared" si="16"/>
        <v>0</v>
      </c>
      <c r="N199">
        <f t="shared" si="19"/>
        <v>0</v>
      </c>
      <c r="P199" t="e">
        <f>INDEX(Items!B$2:B$1032,MATCH($O199,Items!$A$2:$A$1032,0))</f>
        <v>#N/A</v>
      </c>
      <c r="Q199" t="e">
        <f>INDEX(Items!C$2:C$1032,MATCH($O199,Items!$A$2:$A$1032,0))</f>
        <v>#N/A</v>
      </c>
      <c r="R199" t="e">
        <f>INDEX(Items!D$2:D$1032,MATCH($O199,Items!$A$2:$A$1032,0))</f>
        <v>#N/A</v>
      </c>
    </row>
    <row r="200" spans="1:18" x14ac:dyDescent="0.25">
      <c r="A200">
        <f t="shared" si="17"/>
        <v>1</v>
      </c>
      <c r="B200" t="str">
        <f t="shared" si="18"/>
        <v/>
      </c>
      <c r="C200">
        <f t="shared" si="15"/>
        <v>1</v>
      </c>
      <c r="D200" s="4"/>
      <c r="E200" t="s">
        <v>18</v>
      </c>
      <c r="F200" t="str">
        <f>INDEX(Establishment!B$2:B$1005,MATCH($E200,Establishment!$A$2:$A$1005,0))</f>
        <v xml:space="preserve"> </v>
      </c>
      <c r="G200" t="str">
        <f>INDEX(Establishment!C$2:C$1005,MATCH($E200,Establishment!$A$2:$A$1005,0))</f>
        <v xml:space="preserve"> </v>
      </c>
      <c r="M200">
        <f t="shared" si="16"/>
        <v>0</v>
      </c>
      <c r="N200">
        <f t="shared" si="19"/>
        <v>0</v>
      </c>
      <c r="P200" t="e">
        <f>INDEX(Items!B$2:B$1032,MATCH($O200,Items!$A$2:$A$1032,0))</f>
        <v>#N/A</v>
      </c>
      <c r="Q200" t="e">
        <f>INDEX(Items!C$2:C$1032,MATCH($O200,Items!$A$2:$A$1032,0))</f>
        <v>#N/A</v>
      </c>
      <c r="R200" t="e">
        <f>INDEX(Items!D$2:D$1032,MATCH($O200,Items!$A$2:$A$1032,0))</f>
        <v>#N/A</v>
      </c>
    </row>
    <row r="201" spans="1:18" x14ac:dyDescent="0.25">
      <c r="A201">
        <f t="shared" si="17"/>
        <v>1</v>
      </c>
      <c r="B201" t="str">
        <f t="shared" si="18"/>
        <v/>
      </c>
      <c r="C201">
        <f t="shared" si="15"/>
        <v>1</v>
      </c>
      <c r="D201" s="4"/>
      <c r="E201" t="s">
        <v>18</v>
      </c>
      <c r="F201" t="str">
        <f>INDEX(Establishment!B$2:B$1005,MATCH($E201,Establishment!$A$2:$A$1005,0))</f>
        <v xml:space="preserve"> </v>
      </c>
      <c r="G201" t="str">
        <f>INDEX(Establishment!C$2:C$1005,MATCH($E201,Establishment!$A$2:$A$1005,0))</f>
        <v xml:space="preserve"> </v>
      </c>
      <c r="M201">
        <f t="shared" si="16"/>
        <v>0</v>
      </c>
      <c r="N201">
        <f t="shared" si="19"/>
        <v>0</v>
      </c>
      <c r="P201" t="e">
        <f>INDEX(Items!B$2:B$1032,MATCH($O201,Items!$A$2:$A$1032,0))</f>
        <v>#N/A</v>
      </c>
      <c r="Q201" t="e">
        <f>INDEX(Items!C$2:C$1032,MATCH($O201,Items!$A$2:$A$1032,0))</f>
        <v>#N/A</v>
      </c>
      <c r="R201" t="e">
        <f>INDEX(Items!D$2:D$1032,MATCH($O201,Items!$A$2:$A$1032,0))</f>
        <v>#N/A</v>
      </c>
    </row>
    <row r="202" spans="1:18" x14ac:dyDescent="0.25">
      <c r="A202">
        <f t="shared" si="17"/>
        <v>1</v>
      </c>
      <c r="B202" t="str">
        <f t="shared" si="18"/>
        <v/>
      </c>
      <c r="C202">
        <f t="shared" ref="C202:C265" si="20">IF(OR(B202="",B202&lt;&gt;B201),1,C201+1)</f>
        <v>1</v>
      </c>
      <c r="D202" s="4"/>
      <c r="E202" t="s">
        <v>18</v>
      </c>
      <c r="F202" t="str">
        <f>INDEX(Establishment!B$2:B$1005,MATCH($E202,Establishment!$A$2:$A$1005,0))</f>
        <v xml:space="preserve"> </v>
      </c>
      <c r="G202" t="str">
        <f>INDEX(Establishment!C$2:C$1005,MATCH($E202,Establishment!$A$2:$A$1005,0))</f>
        <v xml:space="preserve"> </v>
      </c>
      <c r="M202">
        <f t="shared" ref="M202:M265" si="21">K202*L202</f>
        <v>0</v>
      </c>
      <c r="N202">
        <f t="shared" si="19"/>
        <v>0</v>
      </c>
      <c r="P202" t="e">
        <f>INDEX(Items!B$2:B$1032,MATCH($O202,Items!$A$2:$A$1032,0))</f>
        <v>#N/A</v>
      </c>
      <c r="Q202" t="e">
        <f>INDEX(Items!C$2:C$1032,MATCH($O202,Items!$A$2:$A$1032,0))</f>
        <v>#N/A</v>
      </c>
      <c r="R202" t="e">
        <f>INDEX(Items!D$2:D$1032,MATCH($O202,Items!$A$2:$A$1032,0))</f>
        <v>#N/A</v>
      </c>
    </row>
    <row r="203" spans="1:18" x14ac:dyDescent="0.25">
      <c r="A203">
        <f t="shared" si="17"/>
        <v>1</v>
      </c>
      <c r="B203" t="str">
        <f t="shared" si="18"/>
        <v/>
      </c>
      <c r="C203">
        <f t="shared" si="20"/>
        <v>1</v>
      </c>
      <c r="D203" s="4"/>
      <c r="E203" t="s">
        <v>18</v>
      </c>
      <c r="F203" t="str">
        <f>INDEX(Establishment!B$2:B$1005,MATCH($E203,Establishment!$A$2:$A$1005,0))</f>
        <v xml:space="preserve"> </v>
      </c>
      <c r="G203" t="str">
        <f>INDEX(Establishment!C$2:C$1005,MATCH($E203,Establishment!$A$2:$A$1005,0))</f>
        <v xml:space="preserve"> </v>
      </c>
      <c r="M203">
        <f t="shared" si="21"/>
        <v>0</v>
      </c>
      <c r="N203">
        <f t="shared" si="19"/>
        <v>0</v>
      </c>
      <c r="P203" t="e">
        <f>INDEX(Items!B$2:B$1032,MATCH($O203,Items!$A$2:$A$1032,0))</f>
        <v>#N/A</v>
      </c>
      <c r="Q203" t="e">
        <f>INDEX(Items!C$2:C$1032,MATCH($O203,Items!$A$2:$A$1032,0))</f>
        <v>#N/A</v>
      </c>
      <c r="R203" t="e">
        <f>INDEX(Items!D$2:D$1032,MATCH($O203,Items!$A$2:$A$1032,0))</f>
        <v>#N/A</v>
      </c>
    </row>
    <row r="204" spans="1:18" x14ac:dyDescent="0.25">
      <c r="A204">
        <f t="shared" si="17"/>
        <v>1</v>
      </c>
      <c r="B204" t="str">
        <f t="shared" si="18"/>
        <v/>
      </c>
      <c r="C204">
        <f t="shared" si="20"/>
        <v>1</v>
      </c>
      <c r="D204" s="4"/>
      <c r="E204" t="s">
        <v>18</v>
      </c>
      <c r="F204" t="str">
        <f>INDEX(Establishment!B$2:B$1005,MATCH($E204,Establishment!$A$2:$A$1005,0))</f>
        <v xml:space="preserve"> </v>
      </c>
      <c r="G204" t="str">
        <f>INDEX(Establishment!C$2:C$1005,MATCH($E204,Establishment!$A$2:$A$1005,0))</f>
        <v xml:space="preserve"> </v>
      </c>
      <c r="M204">
        <f t="shared" si="21"/>
        <v>0</v>
      </c>
      <c r="N204">
        <f t="shared" si="19"/>
        <v>0</v>
      </c>
      <c r="P204" t="e">
        <f>INDEX(Items!B$2:B$1032,MATCH($O204,Items!$A$2:$A$1032,0))</f>
        <v>#N/A</v>
      </c>
      <c r="Q204" t="e">
        <f>INDEX(Items!C$2:C$1032,MATCH($O204,Items!$A$2:$A$1032,0))</f>
        <v>#N/A</v>
      </c>
      <c r="R204" t="e">
        <f>INDEX(Items!D$2:D$1032,MATCH($O204,Items!$A$2:$A$1032,0))</f>
        <v>#N/A</v>
      </c>
    </row>
    <row r="205" spans="1:18" x14ac:dyDescent="0.25">
      <c r="A205">
        <f t="shared" si="17"/>
        <v>1</v>
      </c>
      <c r="B205" t="str">
        <f t="shared" si="18"/>
        <v/>
      </c>
      <c r="C205">
        <f t="shared" si="20"/>
        <v>1</v>
      </c>
      <c r="D205" s="4"/>
      <c r="E205" t="s">
        <v>18</v>
      </c>
      <c r="F205" t="str">
        <f>INDEX(Establishment!B$2:B$1005,MATCH($E205,Establishment!$A$2:$A$1005,0))</f>
        <v xml:space="preserve"> </v>
      </c>
      <c r="G205" t="str">
        <f>INDEX(Establishment!C$2:C$1005,MATCH($E205,Establishment!$A$2:$A$1005,0))</f>
        <v xml:space="preserve"> </v>
      </c>
      <c r="M205">
        <f t="shared" si="21"/>
        <v>0</v>
      </c>
      <c r="N205">
        <f t="shared" si="19"/>
        <v>0</v>
      </c>
      <c r="P205" t="e">
        <f>INDEX(Items!B$2:B$1032,MATCH($O205,Items!$A$2:$A$1032,0))</f>
        <v>#N/A</v>
      </c>
      <c r="Q205" t="e">
        <f>INDEX(Items!C$2:C$1032,MATCH($O205,Items!$A$2:$A$1032,0))</f>
        <v>#N/A</v>
      </c>
      <c r="R205" t="e">
        <f>INDEX(Items!D$2:D$1032,MATCH($O205,Items!$A$2:$A$1032,0))</f>
        <v>#N/A</v>
      </c>
    </row>
    <row r="206" spans="1:18" x14ac:dyDescent="0.25">
      <c r="A206">
        <f t="shared" si="17"/>
        <v>1</v>
      </c>
      <c r="B206" t="str">
        <f t="shared" si="18"/>
        <v/>
      </c>
      <c r="C206">
        <f t="shared" si="20"/>
        <v>1</v>
      </c>
      <c r="D206" s="4"/>
      <c r="E206" t="s">
        <v>18</v>
      </c>
      <c r="F206" t="str">
        <f>INDEX(Establishment!B$2:B$1005,MATCH($E206,Establishment!$A$2:$A$1005,0))</f>
        <v xml:space="preserve"> </v>
      </c>
      <c r="G206" t="str">
        <f>INDEX(Establishment!C$2:C$1005,MATCH($E206,Establishment!$A$2:$A$1005,0))</f>
        <v xml:space="preserve"> </v>
      </c>
      <c r="M206">
        <f t="shared" si="21"/>
        <v>0</v>
      </c>
      <c r="N206">
        <f t="shared" si="19"/>
        <v>0</v>
      </c>
      <c r="P206" t="e">
        <f>INDEX(Items!B$2:B$1032,MATCH($O206,Items!$A$2:$A$1032,0))</f>
        <v>#N/A</v>
      </c>
      <c r="Q206" t="e">
        <f>INDEX(Items!C$2:C$1032,MATCH($O206,Items!$A$2:$A$1032,0))</f>
        <v>#N/A</v>
      </c>
      <c r="R206" t="e">
        <f>INDEX(Items!D$2:D$1032,MATCH($O206,Items!$A$2:$A$1032,0))</f>
        <v>#N/A</v>
      </c>
    </row>
    <row r="207" spans="1:18" x14ac:dyDescent="0.25">
      <c r="A207">
        <f t="shared" si="17"/>
        <v>1</v>
      </c>
      <c r="B207" t="str">
        <f t="shared" si="18"/>
        <v/>
      </c>
      <c r="C207">
        <f t="shared" si="20"/>
        <v>1</v>
      </c>
      <c r="D207" s="4"/>
      <c r="E207" t="s">
        <v>18</v>
      </c>
      <c r="F207" t="str">
        <f>INDEX(Establishment!B$2:B$1005,MATCH($E207,Establishment!$A$2:$A$1005,0))</f>
        <v xml:space="preserve"> </v>
      </c>
      <c r="G207" t="str">
        <f>INDEX(Establishment!C$2:C$1005,MATCH($E207,Establishment!$A$2:$A$1005,0))</f>
        <v xml:space="preserve"> </v>
      </c>
      <c r="M207">
        <f t="shared" si="21"/>
        <v>0</v>
      </c>
      <c r="N207">
        <f t="shared" si="19"/>
        <v>0</v>
      </c>
      <c r="P207" t="e">
        <f>INDEX(Items!B$2:B$1032,MATCH($O207,Items!$A$2:$A$1032,0))</f>
        <v>#N/A</v>
      </c>
      <c r="Q207" t="e">
        <f>INDEX(Items!C$2:C$1032,MATCH($O207,Items!$A$2:$A$1032,0))</f>
        <v>#N/A</v>
      </c>
      <c r="R207" t="e">
        <f>INDEX(Items!D$2:D$1032,MATCH($O207,Items!$A$2:$A$1032,0))</f>
        <v>#N/A</v>
      </c>
    </row>
    <row r="208" spans="1:18" x14ac:dyDescent="0.25">
      <c r="A208">
        <f t="shared" si="17"/>
        <v>1</v>
      </c>
      <c r="B208" t="str">
        <f t="shared" si="18"/>
        <v/>
      </c>
      <c r="C208">
        <f t="shared" si="20"/>
        <v>1</v>
      </c>
      <c r="D208" s="4"/>
      <c r="E208" t="s">
        <v>18</v>
      </c>
      <c r="F208" t="str">
        <f>INDEX(Establishment!B$2:B$1005,MATCH($E208,Establishment!$A$2:$A$1005,0))</f>
        <v xml:space="preserve"> </v>
      </c>
      <c r="G208" t="str">
        <f>INDEX(Establishment!C$2:C$1005,MATCH($E208,Establishment!$A$2:$A$1005,0))</f>
        <v xml:space="preserve"> </v>
      </c>
      <c r="M208">
        <f t="shared" si="21"/>
        <v>0</v>
      </c>
      <c r="N208">
        <f t="shared" si="19"/>
        <v>0</v>
      </c>
      <c r="P208" t="e">
        <f>INDEX(Items!B$2:B$1032,MATCH($O208,Items!$A$2:$A$1032,0))</f>
        <v>#N/A</v>
      </c>
      <c r="Q208" t="e">
        <f>INDEX(Items!C$2:C$1032,MATCH($O208,Items!$A$2:$A$1032,0))</f>
        <v>#N/A</v>
      </c>
      <c r="R208" t="e">
        <f>INDEX(Items!D$2:D$1032,MATCH($O208,Items!$A$2:$A$1032,0))</f>
        <v>#N/A</v>
      </c>
    </row>
    <row r="209" spans="1:18" x14ac:dyDescent="0.25">
      <c r="A209">
        <f t="shared" si="17"/>
        <v>1</v>
      </c>
      <c r="B209" t="str">
        <f t="shared" si="18"/>
        <v/>
      </c>
      <c r="C209">
        <f t="shared" si="20"/>
        <v>1</v>
      </c>
      <c r="D209" s="4"/>
      <c r="E209" t="s">
        <v>18</v>
      </c>
      <c r="F209" t="str">
        <f>INDEX(Establishment!B$2:B$1005,MATCH($E209,Establishment!$A$2:$A$1005,0))</f>
        <v xml:space="preserve"> </v>
      </c>
      <c r="G209" t="str">
        <f>INDEX(Establishment!C$2:C$1005,MATCH($E209,Establishment!$A$2:$A$1005,0))</f>
        <v xml:space="preserve"> </v>
      </c>
      <c r="M209">
        <f t="shared" si="21"/>
        <v>0</v>
      </c>
      <c r="N209">
        <f t="shared" si="19"/>
        <v>0</v>
      </c>
      <c r="P209" t="e">
        <f>INDEX(Items!B$2:B$1032,MATCH($O209,Items!$A$2:$A$1032,0))</f>
        <v>#N/A</v>
      </c>
      <c r="Q209" t="e">
        <f>INDEX(Items!C$2:C$1032,MATCH($O209,Items!$A$2:$A$1032,0))</f>
        <v>#N/A</v>
      </c>
      <c r="R209" t="e">
        <f>INDEX(Items!D$2:D$1032,MATCH($O209,Items!$A$2:$A$1032,0))</f>
        <v>#N/A</v>
      </c>
    </row>
    <row r="210" spans="1:18" x14ac:dyDescent="0.25">
      <c r="A210">
        <f t="shared" si="17"/>
        <v>1</v>
      </c>
      <c r="B210" t="str">
        <f t="shared" si="18"/>
        <v/>
      </c>
      <c r="C210">
        <f t="shared" si="20"/>
        <v>1</v>
      </c>
      <c r="D210" s="4"/>
      <c r="E210" t="s">
        <v>18</v>
      </c>
      <c r="F210" t="str">
        <f>INDEX(Establishment!B$2:B$1005,MATCH($E210,Establishment!$A$2:$A$1005,0))</f>
        <v xml:space="preserve"> </v>
      </c>
      <c r="G210" t="str">
        <f>INDEX(Establishment!C$2:C$1005,MATCH($E210,Establishment!$A$2:$A$1005,0))</f>
        <v xml:space="preserve"> </v>
      </c>
      <c r="M210">
        <f t="shared" si="21"/>
        <v>0</v>
      </c>
      <c r="N210">
        <f t="shared" si="19"/>
        <v>0</v>
      </c>
      <c r="P210" t="e">
        <f>INDEX(Items!B$2:B$1032,MATCH($O210,Items!$A$2:$A$1032,0))</f>
        <v>#N/A</v>
      </c>
      <c r="Q210" t="e">
        <f>INDEX(Items!C$2:C$1032,MATCH($O210,Items!$A$2:$A$1032,0))</f>
        <v>#N/A</v>
      </c>
      <c r="R210" t="e">
        <f>INDEX(Items!D$2:D$1032,MATCH($O210,Items!$A$2:$A$1032,0))</f>
        <v>#N/A</v>
      </c>
    </row>
    <row r="211" spans="1:18" x14ac:dyDescent="0.25">
      <c r="A211">
        <f t="shared" si="17"/>
        <v>1</v>
      </c>
      <c r="B211" t="str">
        <f t="shared" si="18"/>
        <v/>
      </c>
      <c r="C211">
        <f t="shared" si="20"/>
        <v>1</v>
      </c>
      <c r="D211" s="4"/>
      <c r="E211" t="s">
        <v>18</v>
      </c>
      <c r="F211" t="str">
        <f>INDEX(Establishment!B$2:B$1005,MATCH($E211,Establishment!$A$2:$A$1005,0))</f>
        <v xml:space="preserve"> </v>
      </c>
      <c r="G211" t="str">
        <f>INDEX(Establishment!C$2:C$1005,MATCH($E211,Establishment!$A$2:$A$1005,0))</f>
        <v xml:space="preserve"> </v>
      </c>
      <c r="M211">
        <f t="shared" si="21"/>
        <v>0</v>
      </c>
      <c r="N211">
        <f t="shared" si="19"/>
        <v>0</v>
      </c>
      <c r="P211" t="e">
        <f>INDEX(Items!B$2:B$1032,MATCH($O211,Items!$A$2:$A$1032,0))</f>
        <v>#N/A</v>
      </c>
      <c r="Q211" t="e">
        <f>INDEX(Items!C$2:C$1032,MATCH($O211,Items!$A$2:$A$1032,0))</f>
        <v>#N/A</v>
      </c>
      <c r="R211" t="e">
        <f>INDEX(Items!D$2:D$1032,MATCH($O211,Items!$A$2:$A$1032,0))</f>
        <v>#N/A</v>
      </c>
    </row>
    <row r="212" spans="1:18" x14ac:dyDescent="0.25">
      <c r="A212">
        <f t="shared" si="17"/>
        <v>1</v>
      </c>
      <c r="B212" t="str">
        <f t="shared" si="18"/>
        <v/>
      </c>
      <c r="C212">
        <f t="shared" si="20"/>
        <v>1</v>
      </c>
      <c r="D212" s="4"/>
      <c r="E212" t="s">
        <v>18</v>
      </c>
      <c r="F212" t="str">
        <f>INDEX(Establishment!B$2:B$1005,MATCH($E212,Establishment!$A$2:$A$1005,0))</f>
        <v xml:space="preserve"> </v>
      </c>
      <c r="G212" t="str">
        <f>INDEX(Establishment!C$2:C$1005,MATCH($E212,Establishment!$A$2:$A$1005,0))</f>
        <v xml:space="preserve"> </v>
      </c>
      <c r="M212">
        <f t="shared" si="21"/>
        <v>0</v>
      </c>
      <c r="N212">
        <f t="shared" si="19"/>
        <v>0</v>
      </c>
      <c r="P212" t="e">
        <f>INDEX(Items!B$2:B$1032,MATCH($O212,Items!$A$2:$A$1032,0))</f>
        <v>#N/A</v>
      </c>
      <c r="Q212" t="e">
        <f>INDEX(Items!C$2:C$1032,MATCH($O212,Items!$A$2:$A$1032,0))</f>
        <v>#N/A</v>
      </c>
      <c r="R212" t="e">
        <f>INDEX(Items!D$2:D$1032,MATCH($O212,Items!$A$2:$A$1032,0))</f>
        <v>#N/A</v>
      </c>
    </row>
    <row r="213" spans="1:18" x14ac:dyDescent="0.25">
      <c r="A213">
        <f t="shared" si="17"/>
        <v>1</v>
      </c>
      <c r="B213" t="str">
        <f t="shared" si="18"/>
        <v/>
      </c>
      <c r="C213">
        <f t="shared" si="20"/>
        <v>1</v>
      </c>
      <c r="D213" s="4"/>
      <c r="E213" t="s">
        <v>18</v>
      </c>
      <c r="F213" t="str">
        <f>INDEX(Establishment!B$2:B$1005,MATCH($E213,Establishment!$A$2:$A$1005,0))</f>
        <v xml:space="preserve"> </v>
      </c>
      <c r="G213" t="str">
        <f>INDEX(Establishment!C$2:C$1005,MATCH($E213,Establishment!$A$2:$A$1005,0))</f>
        <v xml:space="preserve"> </v>
      </c>
      <c r="M213">
        <f t="shared" si="21"/>
        <v>0</v>
      </c>
      <c r="N213">
        <f t="shared" si="19"/>
        <v>0</v>
      </c>
      <c r="P213" t="e">
        <f>INDEX(Items!B$2:B$1032,MATCH($O213,Items!$A$2:$A$1032,0))</f>
        <v>#N/A</v>
      </c>
      <c r="Q213" t="e">
        <f>INDEX(Items!C$2:C$1032,MATCH($O213,Items!$A$2:$A$1032,0))</f>
        <v>#N/A</v>
      </c>
      <c r="R213" t="e">
        <f>INDEX(Items!D$2:D$1032,MATCH($O213,Items!$A$2:$A$1032,0))</f>
        <v>#N/A</v>
      </c>
    </row>
    <row r="214" spans="1:18" x14ac:dyDescent="0.25">
      <c r="A214">
        <f t="shared" si="17"/>
        <v>1</v>
      </c>
      <c r="B214" t="str">
        <f t="shared" si="18"/>
        <v/>
      </c>
      <c r="C214">
        <f t="shared" si="20"/>
        <v>1</v>
      </c>
      <c r="D214" s="4"/>
      <c r="E214" t="s">
        <v>18</v>
      </c>
      <c r="F214" t="str">
        <f>INDEX(Establishment!B$2:B$1005,MATCH($E214,Establishment!$A$2:$A$1005,0))</f>
        <v xml:space="preserve"> </v>
      </c>
      <c r="G214" t="str">
        <f>INDEX(Establishment!C$2:C$1005,MATCH($E214,Establishment!$A$2:$A$1005,0))</f>
        <v xml:space="preserve"> </v>
      </c>
      <c r="M214">
        <f t="shared" si="21"/>
        <v>0</v>
      </c>
      <c r="N214">
        <f t="shared" si="19"/>
        <v>0</v>
      </c>
      <c r="P214" t="e">
        <f>INDEX(Items!B$2:B$1032,MATCH($O214,Items!$A$2:$A$1032,0))</f>
        <v>#N/A</v>
      </c>
      <c r="Q214" t="e">
        <f>INDEX(Items!C$2:C$1032,MATCH($O214,Items!$A$2:$A$1032,0))</f>
        <v>#N/A</v>
      </c>
      <c r="R214" t="e">
        <f>INDEX(Items!D$2:D$1032,MATCH($O214,Items!$A$2:$A$1032,0))</f>
        <v>#N/A</v>
      </c>
    </row>
    <row r="215" spans="1:18" x14ac:dyDescent="0.25">
      <c r="A215">
        <f t="shared" si="17"/>
        <v>1</v>
      </c>
      <c r="B215" t="str">
        <f t="shared" si="18"/>
        <v/>
      </c>
      <c r="C215">
        <f t="shared" si="20"/>
        <v>1</v>
      </c>
      <c r="D215" s="4"/>
      <c r="E215" t="s">
        <v>18</v>
      </c>
      <c r="F215" t="str">
        <f>INDEX(Establishment!B$2:B$1005,MATCH($E215,Establishment!$A$2:$A$1005,0))</f>
        <v xml:space="preserve"> </v>
      </c>
      <c r="G215" t="str">
        <f>INDEX(Establishment!C$2:C$1005,MATCH($E215,Establishment!$A$2:$A$1005,0))</f>
        <v xml:space="preserve"> </v>
      </c>
      <c r="M215">
        <f t="shared" si="21"/>
        <v>0</v>
      </c>
      <c r="N215">
        <f t="shared" si="19"/>
        <v>0</v>
      </c>
      <c r="P215" t="e">
        <f>INDEX(Items!B$2:B$1032,MATCH($O215,Items!$A$2:$A$1032,0))</f>
        <v>#N/A</v>
      </c>
      <c r="Q215" t="e">
        <f>INDEX(Items!C$2:C$1032,MATCH($O215,Items!$A$2:$A$1032,0))</f>
        <v>#N/A</v>
      </c>
      <c r="R215" t="e">
        <f>INDEX(Items!D$2:D$1032,MATCH($O215,Items!$A$2:$A$1032,0))</f>
        <v>#N/A</v>
      </c>
    </row>
    <row r="216" spans="1:18" x14ac:dyDescent="0.25">
      <c r="A216">
        <f t="shared" si="17"/>
        <v>1</v>
      </c>
      <c r="B216" t="str">
        <f t="shared" si="18"/>
        <v/>
      </c>
      <c r="C216">
        <f t="shared" si="20"/>
        <v>1</v>
      </c>
      <c r="D216" s="4"/>
      <c r="E216" t="s">
        <v>18</v>
      </c>
      <c r="F216" t="str">
        <f>INDEX(Establishment!B$2:B$1005,MATCH($E216,Establishment!$A$2:$A$1005,0))</f>
        <v xml:space="preserve"> </v>
      </c>
      <c r="G216" t="str">
        <f>INDEX(Establishment!C$2:C$1005,MATCH($E216,Establishment!$A$2:$A$1005,0))</f>
        <v xml:space="preserve"> </v>
      </c>
      <c r="M216">
        <f t="shared" si="21"/>
        <v>0</v>
      </c>
      <c r="N216">
        <f t="shared" si="19"/>
        <v>0</v>
      </c>
      <c r="P216" t="e">
        <f>INDEX(Items!B$2:B$1032,MATCH($O216,Items!$A$2:$A$1032,0))</f>
        <v>#N/A</v>
      </c>
      <c r="Q216" t="e">
        <f>INDEX(Items!C$2:C$1032,MATCH($O216,Items!$A$2:$A$1032,0))</f>
        <v>#N/A</v>
      </c>
      <c r="R216" t="e">
        <f>INDEX(Items!D$2:D$1032,MATCH($O216,Items!$A$2:$A$1032,0))</f>
        <v>#N/A</v>
      </c>
    </row>
    <row r="217" spans="1:18" x14ac:dyDescent="0.25">
      <c r="A217">
        <f t="shared" si="17"/>
        <v>1</v>
      </c>
      <c r="B217" t="str">
        <f t="shared" si="18"/>
        <v/>
      </c>
      <c r="C217">
        <f t="shared" si="20"/>
        <v>1</v>
      </c>
      <c r="D217" s="4"/>
      <c r="E217" t="s">
        <v>18</v>
      </c>
      <c r="F217" t="str">
        <f>INDEX(Establishment!B$2:B$1005,MATCH($E217,Establishment!$A$2:$A$1005,0))</f>
        <v xml:space="preserve"> </v>
      </c>
      <c r="G217" t="str">
        <f>INDEX(Establishment!C$2:C$1005,MATCH($E217,Establishment!$A$2:$A$1005,0))</f>
        <v xml:space="preserve"> </v>
      </c>
      <c r="M217">
        <f t="shared" si="21"/>
        <v>0</v>
      </c>
      <c r="N217">
        <f t="shared" si="19"/>
        <v>0</v>
      </c>
      <c r="P217" t="e">
        <f>INDEX(Items!B$2:B$1032,MATCH($O217,Items!$A$2:$A$1032,0))</f>
        <v>#N/A</v>
      </c>
      <c r="Q217" t="e">
        <f>INDEX(Items!C$2:C$1032,MATCH($O217,Items!$A$2:$A$1032,0))</f>
        <v>#N/A</v>
      </c>
      <c r="R217" t="e">
        <f>INDEX(Items!D$2:D$1032,MATCH($O217,Items!$A$2:$A$1032,0))</f>
        <v>#N/A</v>
      </c>
    </row>
    <row r="218" spans="1:18" x14ac:dyDescent="0.25">
      <c r="A218">
        <f t="shared" si="17"/>
        <v>1</v>
      </c>
      <c r="B218" t="str">
        <f t="shared" si="18"/>
        <v/>
      </c>
      <c r="C218">
        <f t="shared" si="20"/>
        <v>1</v>
      </c>
      <c r="D218" s="4"/>
      <c r="E218" t="s">
        <v>18</v>
      </c>
      <c r="F218" t="str">
        <f>INDEX(Establishment!B$2:B$1005,MATCH($E218,Establishment!$A$2:$A$1005,0))</f>
        <v xml:space="preserve"> </v>
      </c>
      <c r="G218" t="str">
        <f>INDEX(Establishment!C$2:C$1005,MATCH($E218,Establishment!$A$2:$A$1005,0))</f>
        <v xml:space="preserve"> </v>
      </c>
      <c r="M218">
        <f t="shared" si="21"/>
        <v>0</v>
      </c>
      <c r="N218">
        <f t="shared" si="19"/>
        <v>0</v>
      </c>
      <c r="P218" t="e">
        <f>INDEX(Items!B$2:B$1032,MATCH($O218,Items!$A$2:$A$1032,0))</f>
        <v>#N/A</v>
      </c>
      <c r="Q218" t="e">
        <f>INDEX(Items!C$2:C$1032,MATCH($O218,Items!$A$2:$A$1032,0))</f>
        <v>#N/A</v>
      </c>
      <c r="R218" t="e">
        <f>INDEX(Items!D$2:D$1032,MATCH($O218,Items!$A$2:$A$1032,0))</f>
        <v>#N/A</v>
      </c>
    </row>
    <row r="219" spans="1:18" x14ac:dyDescent="0.25">
      <c r="A219">
        <f t="shared" si="17"/>
        <v>1</v>
      </c>
      <c r="B219" t="str">
        <f t="shared" si="18"/>
        <v/>
      </c>
      <c r="C219">
        <f t="shared" si="20"/>
        <v>1</v>
      </c>
      <c r="D219" s="4"/>
      <c r="E219" t="s">
        <v>18</v>
      </c>
      <c r="F219" t="str">
        <f>INDEX(Establishment!B$2:B$1005,MATCH($E219,Establishment!$A$2:$A$1005,0))</f>
        <v xml:space="preserve"> </v>
      </c>
      <c r="G219" t="str">
        <f>INDEX(Establishment!C$2:C$1005,MATCH($E219,Establishment!$A$2:$A$1005,0))</f>
        <v xml:space="preserve"> </v>
      </c>
      <c r="M219">
        <f t="shared" si="21"/>
        <v>0</v>
      </c>
      <c r="N219">
        <f t="shared" si="19"/>
        <v>0</v>
      </c>
      <c r="P219" t="e">
        <f>INDEX(Items!B$2:B$1032,MATCH($O219,Items!$A$2:$A$1032,0))</f>
        <v>#N/A</v>
      </c>
      <c r="Q219" t="e">
        <f>INDEX(Items!C$2:C$1032,MATCH($O219,Items!$A$2:$A$1032,0))</f>
        <v>#N/A</v>
      </c>
      <c r="R219" t="e">
        <f>INDEX(Items!D$2:D$1032,MATCH($O219,Items!$A$2:$A$1032,0))</f>
        <v>#N/A</v>
      </c>
    </row>
    <row r="220" spans="1:18" x14ac:dyDescent="0.25">
      <c r="A220">
        <f t="shared" si="17"/>
        <v>1</v>
      </c>
      <c r="B220" t="str">
        <f t="shared" si="18"/>
        <v/>
      </c>
      <c r="C220">
        <f t="shared" si="20"/>
        <v>1</v>
      </c>
      <c r="D220" s="4"/>
      <c r="E220" t="s">
        <v>18</v>
      </c>
      <c r="F220" t="str">
        <f>INDEX(Establishment!B$2:B$1005,MATCH($E220,Establishment!$A$2:$A$1005,0))</f>
        <v xml:space="preserve"> </v>
      </c>
      <c r="G220" t="str">
        <f>INDEX(Establishment!C$2:C$1005,MATCH($E220,Establishment!$A$2:$A$1005,0))</f>
        <v xml:space="preserve"> </v>
      </c>
      <c r="M220">
        <f t="shared" si="21"/>
        <v>0</v>
      </c>
      <c r="N220">
        <f t="shared" si="19"/>
        <v>0</v>
      </c>
      <c r="P220" t="e">
        <f>INDEX(Items!B$2:B$1032,MATCH($O220,Items!$A$2:$A$1032,0))</f>
        <v>#N/A</v>
      </c>
      <c r="Q220" t="e">
        <f>INDEX(Items!C$2:C$1032,MATCH($O220,Items!$A$2:$A$1032,0))</f>
        <v>#N/A</v>
      </c>
      <c r="R220" t="e">
        <f>INDEX(Items!D$2:D$1032,MATCH($O220,Items!$A$2:$A$1032,0))</f>
        <v>#N/A</v>
      </c>
    </row>
    <row r="221" spans="1:18" x14ac:dyDescent="0.25">
      <c r="A221">
        <f t="shared" si="17"/>
        <v>1</v>
      </c>
      <c r="B221" t="str">
        <f t="shared" si="18"/>
        <v/>
      </c>
      <c r="C221">
        <f t="shared" si="20"/>
        <v>1</v>
      </c>
      <c r="D221" s="4"/>
      <c r="E221" t="s">
        <v>18</v>
      </c>
      <c r="F221" t="str">
        <f>INDEX(Establishment!B$2:B$1005,MATCH($E221,Establishment!$A$2:$A$1005,0))</f>
        <v xml:space="preserve"> </v>
      </c>
      <c r="G221" t="str">
        <f>INDEX(Establishment!C$2:C$1005,MATCH($E221,Establishment!$A$2:$A$1005,0))</f>
        <v xml:space="preserve"> </v>
      </c>
      <c r="M221">
        <f t="shared" si="21"/>
        <v>0</v>
      </c>
      <c r="N221">
        <f t="shared" si="19"/>
        <v>0</v>
      </c>
      <c r="P221" t="e">
        <f>INDEX(Items!B$2:B$1032,MATCH($O221,Items!$A$2:$A$1032,0))</f>
        <v>#N/A</v>
      </c>
      <c r="Q221" t="e">
        <f>INDEX(Items!C$2:C$1032,MATCH($O221,Items!$A$2:$A$1032,0))</f>
        <v>#N/A</v>
      </c>
      <c r="R221" t="e">
        <f>INDEX(Items!D$2:D$1032,MATCH($O221,Items!$A$2:$A$1032,0))</f>
        <v>#N/A</v>
      </c>
    </row>
    <row r="222" spans="1:18" x14ac:dyDescent="0.25">
      <c r="A222">
        <f t="shared" si="17"/>
        <v>1</v>
      </c>
      <c r="B222" t="str">
        <f t="shared" si="18"/>
        <v/>
      </c>
      <c r="C222">
        <f t="shared" si="20"/>
        <v>1</v>
      </c>
      <c r="D222" s="4"/>
      <c r="E222" t="s">
        <v>18</v>
      </c>
      <c r="F222" t="str">
        <f>INDEX(Establishment!B$2:B$1005,MATCH($E222,Establishment!$A$2:$A$1005,0))</f>
        <v xml:space="preserve"> </v>
      </c>
      <c r="G222" t="str">
        <f>INDEX(Establishment!C$2:C$1005,MATCH($E222,Establishment!$A$2:$A$1005,0))</f>
        <v xml:space="preserve"> </v>
      </c>
      <c r="M222">
        <f t="shared" si="21"/>
        <v>0</v>
      </c>
      <c r="N222">
        <f t="shared" si="19"/>
        <v>0</v>
      </c>
      <c r="P222" t="e">
        <f>INDEX(Items!B$2:B$1032,MATCH($O222,Items!$A$2:$A$1032,0))</f>
        <v>#N/A</v>
      </c>
      <c r="Q222" t="e">
        <f>INDEX(Items!C$2:C$1032,MATCH($O222,Items!$A$2:$A$1032,0))</f>
        <v>#N/A</v>
      </c>
      <c r="R222" t="e">
        <f>INDEX(Items!D$2:D$1032,MATCH($O222,Items!$A$2:$A$1032,0))</f>
        <v>#N/A</v>
      </c>
    </row>
    <row r="223" spans="1:18" x14ac:dyDescent="0.25">
      <c r="A223">
        <f t="shared" si="17"/>
        <v>1</v>
      </c>
      <c r="B223" t="str">
        <f t="shared" si="18"/>
        <v/>
      </c>
      <c r="C223">
        <f t="shared" si="20"/>
        <v>1</v>
      </c>
      <c r="D223" s="4"/>
      <c r="E223" t="s">
        <v>18</v>
      </c>
      <c r="F223" t="str">
        <f>INDEX(Establishment!B$2:B$1005,MATCH($E223,Establishment!$A$2:$A$1005,0))</f>
        <v xml:space="preserve"> </v>
      </c>
      <c r="G223" t="str">
        <f>INDEX(Establishment!C$2:C$1005,MATCH($E223,Establishment!$A$2:$A$1005,0))</f>
        <v xml:space="preserve"> </v>
      </c>
      <c r="M223">
        <f t="shared" si="21"/>
        <v>0</v>
      </c>
      <c r="N223">
        <f t="shared" si="19"/>
        <v>0</v>
      </c>
      <c r="P223" t="e">
        <f>INDEX(Items!B$2:B$1032,MATCH($O223,Items!$A$2:$A$1032,0))</f>
        <v>#N/A</v>
      </c>
      <c r="Q223" t="e">
        <f>INDEX(Items!C$2:C$1032,MATCH($O223,Items!$A$2:$A$1032,0))</f>
        <v>#N/A</v>
      </c>
      <c r="R223" t="e">
        <f>INDEX(Items!D$2:D$1032,MATCH($O223,Items!$A$2:$A$1032,0))</f>
        <v>#N/A</v>
      </c>
    </row>
    <row r="224" spans="1:18" x14ac:dyDescent="0.25">
      <c r="A224">
        <f t="shared" si="17"/>
        <v>1</v>
      </c>
      <c r="B224" t="str">
        <f t="shared" si="18"/>
        <v/>
      </c>
      <c r="C224">
        <f t="shared" si="20"/>
        <v>1</v>
      </c>
      <c r="D224" s="4"/>
      <c r="E224" t="s">
        <v>18</v>
      </c>
      <c r="F224" t="str">
        <f>INDEX(Establishment!B$2:B$1005,MATCH($E224,Establishment!$A$2:$A$1005,0))</f>
        <v xml:space="preserve"> </v>
      </c>
      <c r="G224" t="str">
        <f>INDEX(Establishment!C$2:C$1005,MATCH($E224,Establishment!$A$2:$A$1005,0))</f>
        <v xml:space="preserve"> </v>
      </c>
      <c r="M224">
        <f t="shared" si="21"/>
        <v>0</v>
      </c>
      <c r="N224">
        <f t="shared" si="19"/>
        <v>0</v>
      </c>
      <c r="P224" t="e">
        <f>INDEX(Items!B$2:B$1032,MATCH($O224,Items!$A$2:$A$1032,0))</f>
        <v>#N/A</v>
      </c>
      <c r="Q224" t="e">
        <f>INDEX(Items!C$2:C$1032,MATCH($O224,Items!$A$2:$A$1032,0))</f>
        <v>#N/A</v>
      </c>
      <c r="R224" t="e">
        <f>INDEX(Items!D$2:D$1032,MATCH($O224,Items!$A$2:$A$1032,0))</f>
        <v>#N/A</v>
      </c>
    </row>
    <row r="225" spans="1:18" x14ac:dyDescent="0.25">
      <c r="A225">
        <f t="shared" si="17"/>
        <v>1</v>
      </c>
      <c r="B225" t="str">
        <f t="shared" si="18"/>
        <v/>
      </c>
      <c r="C225">
        <f t="shared" si="20"/>
        <v>1</v>
      </c>
      <c r="D225" s="4"/>
      <c r="E225" t="s">
        <v>18</v>
      </c>
      <c r="F225" t="str">
        <f>INDEX(Establishment!B$2:B$1005,MATCH($E225,Establishment!$A$2:$A$1005,0))</f>
        <v xml:space="preserve"> </v>
      </c>
      <c r="G225" t="str">
        <f>INDEX(Establishment!C$2:C$1005,MATCH($E225,Establishment!$A$2:$A$1005,0))</f>
        <v xml:space="preserve"> </v>
      </c>
      <c r="M225">
        <f t="shared" si="21"/>
        <v>0</v>
      </c>
      <c r="N225">
        <f t="shared" si="19"/>
        <v>0</v>
      </c>
      <c r="P225" t="e">
        <f>INDEX(Items!B$2:B$1032,MATCH($O225,Items!$A$2:$A$1032,0))</f>
        <v>#N/A</v>
      </c>
      <c r="Q225" t="e">
        <f>INDEX(Items!C$2:C$1032,MATCH($O225,Items!$A$2:$A$1032,0))</f>
        <v>#N/A</v>
      </c>
      <c r="R225" t="e">
        <f>INDEX(Items!D$2:D$1032,MATCH($O225,Items!$A$2:$A$1032,0))</f>
        <v>#N/A</v>
      </c>
    </row>
    <row r="226" spans="1:18" x14ac:dyDescent="0.25">
      <c r="A226">
        <f t="shared" si="17"/>
        <v>1</v>
      </c>
      <c r="B226" t="str">
        <f t="shared" si="18"/>
        <v/>
      </c>
      <c r="C226">
        <f t="shared" si="20"/>
        <v>1</v>
      </c>
      <c r="D226" s="4"/>
      <c r="E226" t="s">
        <v>18</v>
      </c>
      <c r="F226" t="str">
        <f>INDEX(Establishment!B$2:B$1005,MATCH($E226,Establishment!$A$2:$A$1005,0))</f>
        <v xml:space="preserve"> </v>
      </c>
      <c r="G226" t="str">
        <f>INDEX(Establishment!C$2:C$1005,MATCH($E226,Establishment!$A$2:$A$1005,0))</f>
        <v xml:space="preserve"> </v>
      </c>
      <c r="M226">
        <f t="shared" si="21"/>
        <v>0</v>
      </c>
      <c r="N226">
        <f t="shared" si="19"/>
        <v>0</v>
      </c>
      <c r="P226" t="e">
        <f>INDEX(Items!B$2:B$1032,MATCH($O226,Items!$A$2:$A$1032,0))</f>
        <v>#N/A</v>
      </c>
      <c r="Q226" t="e">
        <f>INDEX(Items!C$2:C$1032,MATCH($O226,Items!$A$2:$A$1032,0))</f>
        <v>#N/A</v>
      </c>
      <c r="R226" t="e">
        <f>INDEX(Items!D$2:D$1032,MATCH($O226,Items!$A$2:$A$1032,0))</f>
        <v>#N/A</v>
      </c>
    </row>
    <row r="227" spans="1:18" x14ac:dyDescent="0.25">
      <c r="A227">
        <f t="shared" si="17"/>
        <v>1</v>
      </c>
      <c r="B227" t="str">
        <f t="shared" si="18"/>
        <v/>
      </c>
      <c r="C227">
        <f t="shared" si="20"/>
        <v>1</v>
      </c>
      <c r="D227" s="4"/>
      <c r="E227" t="s">
        <v>18</v>
      </c>
      <c r="F227" t="str">
        <f>INDEX(Establishment!B$2:B$1005,MATCH($E227,Establishment!$A$2:$A$1005,0))</f>
        <v xml:space="preserve"> </v>
      </c>
      <c r="G227" t="str">
        <f>INDEX(Establishment!C$2:C$1005,MATCH($E227,Establishment!$A$2:$A$1005,0))</f>
        <v xml:space="preserve"> </v>
      </c>
      <c r="M227">
        <f t="shared" si="21"/>
        <v>0</v>
      </c>
      <c r="N227">
        <f t="shared" si="19"/>
        <v>0</v>
      </c>
      <c r="P227" t="e">
        <f>INDEX(Items!B$2:B$1032,MATCH($O227,Items!$A$2:$A$1032,0))</f>
        <v>#N/A</v>
      </c>
      <c r="Q227" t="e">
        <f>INDEX(Items!C$2:C$1032,MATCH($O227,Items!$A$2:$A$1032,0))</f>
        <v>#N/A</v>
      </c>
      <c r="R227" t="e">
        <f>INDEX(Items!D$2:D$1032,MATCH($O227,Items!$A$2:$A$1032,0))</f>
        <v>#N/A</v>
      </c>
    </row>
    <row r="228" spans="1:18" x14ac:dyDescent="0.25">
      <c r="A228">
        <f t="shared" si="17"/>
        <v>1</v>
      </c>
      <c r="B228" t="str">
        <f t="shared" si="18"/>
        <v/>
      </c>
      <c r="C228">
        <f t="shared" si="20"/>
        <v>1</v>
      </c>
      <c r="D228" s="4"/>
      <c r="E228" t="s">
        <v>18</v>
      </c>
      <c r="F228" t="str">
        <f>INDEX(Establishment!B$2:B$1005,MATCH($E228,Establishment!$A$2:$A$1005,0))</f>
        <v xml:space="preserve"> </v>
      </c>
      <c r="G228" t="str">
        <f>INDEX(Establishment!C$2:C$1005,MATCH($E228,Establishment!$A$2:$A$1005,0))</f>
        <v xml:space="preserve"> </v>
      </c>
      <c r="M228">
        <f t="shared" si="21"/>
        <v>0</v>
      </c>
      <c r="N228">
        <f t="shared" si="19"/>
        <v>0</v>
      </c>
      <c r="P228" t="e">
        <f>INDEX(Items!B$2:B$1032,MATCH($O228,Items!$A$2:$A$1032,0))</f>
        <v>#N/A</v>
      </c>
      <c r="Q228" t="e">
        <f>INDEX(Items!C$2:C$1032,MATCH($O228,Items!$A$2:$A$1032,0))</f>
        <v>#N/A</v>
      </c>
      <c r="R228" t="e">
        <f>INDEX(Items!D$2:D$1032,MATCH($O228,Items!$A$2:$A$1032,0))</f>
        <v>#N/A</v>
      </c>
    </row>
    <row r="229" spans="1:18" x14ac:dyDescent="0.25">
      <c r="A229">
        <f t="shared" si="17"/>
        <v>1</v>
      </c>
      <c r="B229" t="str">
        <f t="shared" si="18"/>
        <v/>
      </c>
      <c r="C229">
        <f t="shared" si="20"/>
        <v>1</v>
      </c>
      <c r="D229" s="4"/>
      <c r="E229" t="s">
        <v>18</v>
      </c>
      <c r="F229" t="str">
        <f>INDEX(Establishment!B$2:B$1005,MATCH($E229,Establishment!$A$2:$A$1005,0))</f>
        <v xml:space="preserve"> </v>
      </c>
      <c r="G229" t="str">
        <f>INDEX(Establishment!C$2:C$1005,MATCH($E229,Establishment!$A$2:$A$1005,0))</f>
        <v xml:space="preserve"> </v>
      </c>
      <c r="M229">
        <f t="shared" si="21"/>
        <v>0</v>
      </c>
      <c r="N229">
        <f t="shared" si="19"/>
        <v>0</v>
      </c>
      <c r="P229" t="e">
        <f>INDEX(Items!B$2:B$1032,MATCH($O229,Items!$A$2:$A$1032,0))</f>
        <v>#N/A</v>
      </c>
      <c r="Q229" t="e">
        <f>INDEX(Items!C$2:C$1032,MATCH($O229,Items!$A$2:$A$1032,0))</f>
        <v>#N/A</v>
      </c>
      <c r="R229" t="e">
        <f>INDEX(Items!D$2:D$1032,MATCH($O229,Items!$A$2:$A$1032,0))</f>
        <v>#N/A</v>
      </c>
    </row>
    <row r="230" spans="1:18" x14ac:dyDescent="0.25">
      <c r="A230">
        <f t="shared" si="17"/>
        <v>1</v>
      </c>
      <c r="B230" t="str">
        <f t="shared" si="18"/>
        <v/>
      </c>
      <c r="C230">
        <f t="shared" si="20"/>
        <v>1</v>
      </c>
      <c r="D230" s="4"/>
      <c r="E230" t="s">
        <v>18</v>
      </c>
      <c r="F230" t="str">
        <f>INDEX(Establishment!B$2:B$1005,MATCH($E230,Establishment!$A$2:$A$1005,0))</f>
        <v xml:space="preserve"> </v>
      </c>
      <c r="G230" t="str">
        <f>INDEX(Establishment!C$2:C$1005,MATCH($E230,Establishment!$A$2:$A$1005,0))</f>
        <v xml:space="preserve"> </v>
      </c>
      <c r="M230">
        <f t="shared" si="21"/>
        <v>0</v>
      </c>
      <c r="N230">
        <f t="shared" si="19"/>
        <v>0</v>
      </c>
      <c r="P230" t="e">
        <f>INDEX(Items!B$2:B$1032,MATCH($O230,Items!$A$2:$A$1032,0))</f>
        <v>#N/A</v>
      </c>
      <c r="Q230" t="e">
        <f>INDEX(Items!C$2:C$1032,MATCH($O230,Items!$A$2:$A$1032,0))</f>
        <v>#N/A</v>
      </c>
      <c r="R230" t="e">
        <f>INDEX(Items!D$2:D$1032,MATCH($O230,Items!$A$2:$A$1032,0))</f>
        <v>#N/A</v>
      </c>
    </row>
    <row r="231" spans="1:18" x14ac:dyDescent="0.25">
      <c r="A231">
        <f t="shared" si="17"/>
        <v>1</v>
      </c>
      <c r="B231" t="str">
        <f t="shared" si="18"/>
        <v/>
      </c>
      <c r="C231">
        <f t="shared" si="20"/>
        <v>1</v>
      </c>
      <c r="D231" s="4"/>
      <c r="E231" t="s">
        <v>18</v>
      </c>
      <c r="F231" t="str">
        <f>INDEX(Establishment!B$2:B$1005,MATCH($E231,Establishment!$A$2:$A$1005,0))</f>
        <v xml:space="preserve"> </v>
      </c>
      <c r="G231" t="str">
        <f>INDEX(Establishment!C$2:C$1005,MATCH($E231,Establishment!$A$2:$A$1005,0))</f>
        <v xml:space="preserve"> </v>
      </c>
      <c r="M231">
        <f t="shared" si="21"/>
        <v>0</v>
      </c>
      <c r="N231">
        <f t="shared" si="19"/>
        <v>0</v>
      </c>
      <c r="P231" t="e">
        <f>INDEX(Items!B$2:B$1032,MATCH($O231,Items!$A$2:$A$1032,0))</f>
        <v>#N/A</v>
      </c>
      <c r="Q231" t="e">
        <f>INDEX(Items!C$2:C$1032,MATCH($O231,Items!$A$2:$A$1032,0))</f>
        <v>#N/A</v>
      </c>
      <c r="R231" t="e">
        <f>INDEX(Items!D$2:D$1032,MATCH($O231,Items!$A$2:$A$1032,0))</f>
        <v>#N/A</v>
      </c>
    </row>
    <row r="232" spans="1:18" x14ac:dyDescent="0.25">
      <c r="A232">
        <f t="shared" si="17"/>
        <v>1</v>
      </c>
      <c r="B232" t="str">
        <f t="shared" si="18"/>
        <v/>
      </c>
      <c r="C232">
        <f t="shared" si="20"/>
        <v>1</v>
      </c>
      <c r="D232" s="4"/>
      <c r="E232" t="s">
        <v>18</v>
      </c>
      <c r="F232" t="str">
        <f>INDEX(Establishment!B$2:B$1005,MATCH($E232,Establishment!$A$2:$A$1005,0))</f>
        <v xml:space="preserve"> </v>
      </c>
      <c r="G232" t="str">
        <f>INDEX(Establishment!C$2:C$1005,MATCH($E232,Establishment!$A$2:$A$1005,0))</f>
        <v xml:space="preserve"> </v>
      </c>
      <c r="M232">
        <f t="shared" si="21"/>
        <v>0</v>
      </c>
      <c r="N232">
        <f t="shared" si="19"/>
        <v>0</v>
      </c>
      <c r="P232" t="e">
        <f>INDEX(Items!B$2:B$1032,MATCH($O232,Items!$A$2:$A$1032,0))</f>
        <v>#N/A</v>
      </c>
      <c r="Q232" t="e">
        <f>INDEX(Items!C$2:C$1032,MATCH($O232,Items!$A$2:$A$1032,0))</f>
        <v>#N/A</v>
      </c>
      <c r="R232" t="e">
        <f>INDEX(Items!D$2:D$1032,MATCH($O232,Items!$A$2:$A$1032,0))</f>
        <v>#N/A</v>
      </c>
    </row>
    <row r="233" spans="1:18" x14ac:dyDescent="0.25">
      <c r="A233">
        <f t="shared" si="17"/>
        <v>1</v>
      </c>
      <c r="B233" t="str">
        <f t="shared" si="18"/>
        <v/>
      </c>
      <c r="C233">
        <f t="shared" si="20"/>
        <v>1</v>
      </c>
      <c r="D233" s="4"/>
      <c r="E233" t="s">
        <v>18</v>
      </c>
      <c r="F233" t="str">
        <f>INDEX(Establishment!B$2:B$1005,MATCH($E233,Establishment!$A$2:$A$1005,0))</f>
        <v xml:space="preserve"> </v>
      </c>
      <c r="G233" t="str">
        <f>INDEX(Establishment!C$2:C$1005,MATCH($E233,Establishment!$A$2:$A$1005,0))</f>
        <v xml:space="preserve"> </v>
      </c>
      <c r="M233">
        <f t="shared" si="21"/>
        <v>0</v>
      </c>
      <c r="N233">
        <f t="shared" si="19"/>
        <v>0</v>
      </c>
      <c r="P233" t="e">
        <f>INDEX(Items!B$2:B$1032,MATCH($O233,Items!$A$2:$A$1032,0))</f>
        <v>#N/A</v>
      </c>
      <c r="Q233" t="e">
        <f>INDEX(Items!C$2:C$1032,MATCH($O233,Items!$A$2:$A$1032,0))</f>
        <v>#N/A</v>
      </c>
      <c r="R233" t="e">
        <f>INDEX(Items!D$2:D$1032,MATCH($O233,Items!$A$2:$A$1032,0))</f>
        <v>#N/A</v>
      </c>
    </row>
    <row r="234" spans="1:18" x14ac:dyDescent="0.25">
      <c r="A234">
        <f t="shared" si="17"/>
        <v>1</v>
      </c>
      <c r="B234" t="str">
        <f t="shared" si="18"/>
        <v/>
      </c>
      <c r="C234">
        <f t="shared" si="20"/>
        <v>1</v>
      </c>
      <c r="D234" s="4"/>
      <c r="E234" t="s">
        <v>18</v>
      </c>
      <c r="F234" t="str">
        <f>INDEX(Establishment!B$2:B$1005,MATCH($E234,Establishment!$A$2:$A$1005,0))</f>
        <v xml:space="preserve"> </v>
      </c>
      <c r="G234" t="str">
        <f>INDEX(Establishment!C$2:C$1005,MATCH($E234,Establishment!$A$2:$A$1005,0))</f>
        <v xml:space="preserve"> </v>
      </c>
      <c r="M234">
        <f t="shared" si="21"/>
        <v>0</v>
      </c>
      <c r="N234">
        <f t="shared" si="19"/>
        <v>0</v>
      </c>
      <c r="P234" t="e">
        <f>INDEX(Items!B$2:B$1032,MATCH($O234,Items!$A$2:$A$1032,0))</f>
        <v>#N/A</v>
      </c>
      <c r="Q234" t="e">
        <f>INDEX(Items!C$2:C$1032,MATCH($O234,Items!$A$2:$A$1032,0))</f>
        <v>#N/A</v>
      </c>
      <c r="R234" t="e">
        <f>INDEX(Items!D$2:D$1032,MATCH($O234,Items!$A$2:$A$1032,0))</f>
        <v>#N/A</v>
      </c>
    </row>
    <row r="235" spans="1:18" x14ac:dyDescent="0.25">
      <c r="A235">
        <f t="shared" si="17"/>
        <v>1</v>
      </c>
      <c r="B235" t="str">
        <f t="shared" si="18"/>
        <v/>
      </c>
      <c r="C235">
        <f t="shared" si="20"/>
        <v>1</v>
      </c>
      <c r="D235" s="4"/>
      <c r="E235" t="s">
        <v>18</v>
      </c>
      <c r="F235" t="str">
        <f>INDEX(Establishment!B$2:B$1005,MATCH($E235,Establishment!$A$2:$A$1005,0))</f>
        <v xml:space="preserve"> </v>
      </c>
      <c r="G235" t="str">
        <f>INDEX(Establishment!C$2:C$1005,MATCH($E235,Establishment!$A$2:$A$1005,0))</f>
        <v xml:space="preserve"> </v>
      </c>
      <c r="M235">
        <f t="shared" si="21"/>
        <v>0</v>
      </c>
      <c r="N235">
        <f t="shared" si="19"/>
        <v>0</v>
      </c>
      <c r="P235" t="e">
        <f>INDEX(Items!B$2:B$1032,MATCH($O235,Items!$A$2:$A$1032,0))</f>
        <v>#N/A</v>
      </c>
      <c r="Q235" t="e">
        <f>INDEX(Items!C$2:C$1032,MATCH($O235,Items!$A$2:$A$1032,0))</f>
        <v>#N/A</v>
      </c>
      <c r="R235" t="e">
        <f>INDEX(Items!D$2:D$1032,MATCH($O235,Items!$A$2:$A$1032,0))</f>
        <v>#N/A</v>
      </c>
    </row>
    <row r="236" spans="1:18" x14ac:dyDescent="0.25">
      <c r="A236">
        <f t="shared" si="17"/>
        <v>1</v>
      </c>
      <c r="B236" t="str">
        <f t="shared" si="18"/>
        <v/>
      </c>
      <c r="C236">
        <f t="shared" si="20"/>
        <v>1</v>
      </c>
      <c r="D236" s="4"/>
      <c r="E236" t="s">
        <v>18</v>
      </c>
      <c r="F236" t="str">
        <f>INDEX(Establishment!B$2:B$1005,MATCH($E236,Establishment!$A$2:$A$1005,0))</f>
        <v xml:space="preserve"> </v>
      </c>
      <c r="G236" t="str">
        <f>INDEX(Establishment!C$2:C$1005,MATCH($E236,Establishment!$A$2:$A$1005,0))</f>
        <v xml:space="preserve"> </v>
      </c>
      <c r="M236">
        <f t="shared" si="21"/>
        <v>0</v>
      </c>
      <c r="N236">
        <f t="shared" si="19"/>
        <v>0</v>
      </c>
      <c r="P236" t="e">
        <f>INDEX(Items!B$2:B$1032,MATCH($O236,Items!$A$2:$A$1032,0))</f>
        <v>#N/A</v>
      </c>
      <c r="Q236" t="e">
        <f>INDEX(Items!C$2:C$1032,MATCH($O236,Items!$A$2:$A$1032,0))</f>
        <v>#N/A</v>
      </c>
      <c r="R236" t="e">
        <f>INDEX(Items!D$2:D$1032,MATCH($O236,Items!$A$2:$A$1032,0))</f>
        <v>#N/A</v>
      </c>
    </row>
    <row r="237" spans="1:18" x14ac:dyDescent="0.25">
      <c r="A237">
        <f t="shared" si="17"/>
        <v>1</v>
      </c>
      <c r="B237" t="str">
        <f t="shared" si="18"/>
        <v/>
      </c>
      <c r="C237">
        <f t="shared" si="20"/>
        <v>1</v>
      </c>
      <c r="D237" s="4"/>
      <c r="E237" t="s">
        <v>18</v>
      </c>
      <c r="F237" t="str">
        <f>INDEX(Establishment!B$2:B$1005,MATCH($E237,Establishment!$A$2:$A$1005,0))</f>
        <v xml:space="preserve"> </v>
      </c>
      <c r="G237" t="str">
        <f>INDEX(Establishment!C$2:C$1005,MATCH($E237,Establishment!$A$2:$A$1005,0))</f>
        <v xml:space="preserve"> </v>
      </c>
      <c r="M237">
        <f t="shared" si="21"/>
        <v>0</v>
      </c>
      <c r="N237">
        <f t="shared" si="19"/>
        <v>0</v>
      </c>
      <c r="P237" t="e">
        <f>INDEX(Items!B$2:B$1032,MATCH($O237,Items!$A$2:$A$1032,0))</f>
        <v>#N/A</v>
      </c>
      <c r="Q237" t="e">
        <f>INDEX(Items!C$2:C$1032,MATCH($O237,Items!$A$2:$A$1032,0))</f>
        <v>#N/A</v>
      </c>
      <c r="R237" t="e">
        <f>INDEX(Items!D$2:D$1032,MATCH($O237,Items!$A$2:$A$1032,0))</f>
        <v>#N/A</v>
      </c>
    </row>
    <row r="238" spans="1:18" x14ac:dyDescent="0.25">
      <c r="A238">
        <f t="shared" si="17"/>
        <v>1</v>
      </c>
      <c r="B238" t="str">
        <f t="shared" si="18"/>
        <v/>
      </c>
      <c r="C238">
        <f t="shared" si="20"/>
        <v>1</v>
      </c>
      <c r="D238" s="4"/>
      <c r="E238" t="s">
        <v>18</v>
      </c>
      <c r="F238" t="str">
        <f>INDEX(Establishment!B$2:B$1005,MATCH($E238,Establishment!$A$2:$A$1005,0))</f>
        <v xml:space="preserve"> </v>
      </c>
      <c r="G238" t="str">
        <f>INDEX(Establishment!C$2:C$1005,MATCH($E238,Establishment!$A$2:$A$1005,0))</f>
        <v xml:space="preserve"> </v>
      </c>
      <c r="M238">
        <f t="shared" si="21"/>
        <v>0</v>
      </c>
      <c r="N238">
        <f t="shared" si="19"/>
        <v>0</v>
      </c>
      <c r="P238" t="e">
        <f>INDEX(Items!B$2:B$1032,MATCH($O238,Items!$A$2:$A$1032,0))</f>
        <v>#N/A</v>
      </c>
      <c r="Q238" t="e">
        <f>INDEX(Items!C$2:C$1032,MATCH($O238,Items!$A$2:$A$1032,0))</f>
        <v>#N/A</v>
      </c>
      <c r="R238" t="e">
        <f>INDEX(Items!D$2:D$1032,MATCH($O238,Items!$A$2:$A$1032,0))</f>
        <v>#N/A</v>
      </c>
    </row>
    <row r="239" spans="1:18" x14ac:dyDescent="0.25">
      <c r="A239">
        <f t="shared" si="17"/>
        <v>1</v>
      </c>
      <c r="B239" t="str">
        <f t="shared" si="18"/>
        <v/>
      </c>
      <c r="C239">
        <f t="shared" si="20"/>
        <v>1</v>
      </c>
      <c r="D239" s="4"/>
      <c r="E239" t="s">
        <v>18</v>
      </c>
      <c r="F239" t="str">
        <f>INDEX(Establishment!B$2:B$1005,MATCH($E239,Establishment!$A$2:$A$1005,0))</f>
        <v xml:space="preserve"> </v>
      </c>
      <c r="G239" t="str">
        <f>INDEX(Establishment!C$2:C$1005,MATCH($E239,Establishment!$A$2:$A$1005,0))</f>
        <v xml:space="preserve"> </v>
      </c>
      <c r="M239">
        <f t="shared" si="21"/>
        <v>0</v>
      </c>
      <c r="N239">
        <f t="shared" si="19"/>
        <v>0</v>
      </c>
      <c r="P239" t="e">
        <f>INDEX(Items!B$2:B$1032,MATCH($O239,Items!$A$2:$A$1032,0))</f>
        <v>#N/A</v>
      </c>
      <c r="Q239" t="e">
        <f>INDEX(Items!C$2:C$1032,MATCH($O239,Items!$A$2:$A$1032,0))</f>
        <v>#N/A</v>
      </c>
      <c r="R239" t="e">
        <f>INDEX(Items!D$2:D$1032,MATCH($O239,Items!$A$2:$A$1032,0))</f>
        <v>#N/A</v>
      </c>
    </row>
    <row r="240" spans="1:18" x14ac:dyDescent="0.25">
      <c r="A240">
        <f t="shared" si="17"/>
        <v>1</v>
      </c>
      <c r="B240" t="str">
        <f t="shared" si="18"/>
        <v/>
      </c>
      <c r="C240">
        <f t="shared" si="20"/>
        <v>1</v>
      </c>
      <c r="D240" s="4"/>
      <c r="E240" t="s">
        <v>18</v>
      </c>
      <c r="F240" t="str">
        <f>INDEX(Establishment!B$2:B$1005,MATCH($E240,Establishment!$A$2:$A$1005,0))</f>
        <v xml:space="preserve"> </v>
      </c>
      <c r="G240" t="str">
        <f>INDEX(Establishment!C$2:C$1005,MATCH($E240,Establishment!$A$2:$A$1005,0))</f>
        <v xml:space="preserve"> </v>
      </c>
      <c r="M240">
        <f t="shared" si="21"/>
        <v>0</v>
      </c>
      <c r="N240">
        <f t="shared" si="19"/>
        <v>0</v>
      </c>
      <c r="P240" t="e">
        <f>INDEX(Items!B$2:B$1032,MATCH($O240,Items!$A$2:$A$1032,0))</f>
        <v>#N/A</v>
      </c>
      <c r="Q240" t="e">
        <f>INDEX(Items!C$2:C$1032,MATCH($O240,Items!$A$2:$A$1032,0))</f>
        <v>#N/A</v>
      </c>
      <c r="R240" t="e">
        <f>INDEX(Items!D$2:D$1032,MATCH($O240,Items!$A$2:$A$1032,0))</f>
        <v>#N/A</v>
      </c>
    </row>
    <row r="241" spans="1:18" x14ac:dyDescent="0.25">
      <c r="A241">
        <f t="shared" si="17"/>
        <v>1</v>
      </c>
      <c r="B241" t="str">
        <f t="shared" si="18"/>
        <v/>
      </c>
      <c r="C241">
        <f t="shared" si="20"/>
        <v>1</v>
      </c>
      <c r="D241" s="4"/>
      <c r="E241" t="s">
        <v>18</v>
      </c>
      <c r="F241" t="str">
        <f>INDEX(Establishment!B$2:B$1005,MATCH($E241,Establishment!$A$2:$A$1005,0))</f>
        <v xml:space="preserve"> </v>
      </c>
      <c r="G241" t="str">
        <f>INDEX(Establishment!C$2:C$1005,MATCH($E241,Establishment!$A$2:$A$1005,0))</f>
        <v xml:space="preserve"> </v>
      </c>
      <c r="M241">
        <f t="shared" si="21"/>
        <v>0</v>
      </c>
      <c r="N241">
        <f t="shared" si="19"/>
        <v>0</v>
      </c>
      <c r="P241" t="e">
        <f>INDEX(Items!B$2:B$1032,MATCH($O241,Items!$A$2:$A$1032,0))</f>
        <v>#N/A</v>
      </c>
      <c r="Q241" t="e">
        <f>INDEX(Items!C$2:C$1032,MATCH($O241,Items!$A$2:$A$1032,0))</f>
        <v>#N/A</v>
      </c>
      <c r="R241" t="e">
        <f>INDEX(Items!D$2:D$1032,MATCH($O241,Items!$A$2:$A$1032,0))</f>
        <v>#N/A</v>
      </c>
    </row>
    <row r="242" spans="1:18" x14ac:dyDescent="0.25">
      <c r="A242">
        <f t="shared" si="17"/>
        <v>1</v>
      </c>
      <c r="B242" t="str">
        <f t="shared" si="18"/>
        <v/>
      </c>
      <c r="C242">
        <f t="shared" si="20"/>
        <v>1</v>
      </c>
      <c r="D242" s="4"/>
      <c r="E242" t="s">
        <v>18</v>
      </c>
      <c r="F242" t="str">
        <f>INDEX(Establishment!B$2:B$1005,MATCH($E242,Establishment!$A$2:$A$1005,0))</f>
        <v xml:space="preserve"> </v>
      </c>
      <c r="G242" t="str">
        <f>INDEX(Establishment!C$2:C$1005,MATCH($E242,Establishment!$A$2:$A$1005,0))</f>
        <v xml:space="preserve"> </v>
      </c>
      <c r="M242">
        <f t="shared" si="21"/>
        <v>0</v>
      </c>
      <c r="N242">
        <f t="shared" si="19"/>
        <v>0</v>
      </c>
      <c r="P242" t="e">
        <f>INDEX(Items!B$2:B$1032,MATCH($O242,Items!$A$2:$A$1032,0))</f>
        <v>#N/A</v>
      </c>
      <c r="Q242" t="e">
        <f>INDEX(Items!C$2:C$1032,MATCH($O242,Items!$A$2:$A$1032,0))</f>
        <v>#N/A</v>
      </c>
      <c r="R242" t="e">
        <f>INDEX(Items!D$2:D$1032,MATCH($O242,Items!$A$2:$A$1032,0))</f>
        <v>#N/A</v>
      </c>
    </row>
    <row r="243" spans="1:18" x14ac:dyDescent="0.25">
      <c r="A243">
        <f t="shared" si="17"/>
        <v>1</v>
      </c>
      <c r="B243" t="str">
        <f t="shared" si="18"/>
        <v/>
      </c>
      <c r="C243">
        <f t="shared" si="20"/>
        <v>1</v>
      </c>
      <c r="D243" s="4"/>
      <c r="E243" t="s">
        <v>18</v>
      </c>
      <c r="F243" t="str">
        <f>INDEX(Establishment!B$2:B$1005,MATCH($E243,Establishment!$A$2:$A$1005,0))</f>
        <v xml:space="preserve"> </v>
      </c>
      <c r="G243" t="str">
        <f>INDEX(Establishment!C$2:C$1005,MATCH($E243,Establishment!$A$2:$A$1005,0))</f>
        <v xml:space="preserve"> </v>
      </c>
      <c r="M243">
        <f t="shared" si="21"/>
        <v>0</v>
      </c>
      <c r="N243">
        <f t="shared" si="19"/>
        <v>0</v>
      </c>
      <c r="P243" t="e">
        <f>INDEX(Items!B$2:B$1032,MATCH($O243,Items!$A$2:$A$1032,0))</f>
        <v>#N/A</v>
      </c>
      <c r="Q243" t="e">
        <f>INDEX(Items!C$2:C$1032,MATCH($O243,Items!$A$2:$A$1032,0))</f>
        <v>#N/A</v>
      </c>
      <c r="R243" t="e">
        <f>INDEX(Items!D$2:D$1032,MATCH($O243,Items!$A$2:$A$1032,0))</f>
        <v>#N/A</v>
      </c>
    </row>
    <row r="244" spans="1:18" x14ac:dyDescent="0.25">
      <c r="A244">
        <f t="shared" si="17"/>
        <v>1</v>
      </c>
      <c r="B244" t="str">
        <f t="shared" si="18"/>
        <v/>
      </c>
      <c r="C244">
        <f t="shared" si="20"/>
        <v>1</v>
      </c>
      <c r="D244" s="4"/>
      <c r="E244" t="s">
        <v>18</v>
      </c>
      <c r="F244" t="str">
        <f>INDEX(Establishment!B$2:B$1005,MATCH($E244,Establishment!$A$2:$A$1005,0))</f>
        <v xml:space="preserve"> </v>
      </c>
      <c r="G244" t="str">
        <f>INDEX(Establishment!C$2:C$1005,MATCH($E244,Establishment!$A$2:$A$1005,0))</f>
        <v xml:space="preserve"> </v>
      </c>
      <c r="M244">
        <f t="shared" si="21"/>
        <v>0</v>
      </c>
      <c r="N244">
        <f t="shared" si="19"/>
        <v>0</v>
      </c>
      <c r="P244" t="e">
        <f>INDEX(Items!B$2:B$1032,MATCH($O244,Items!$A$2:$A$1032,0))</f>
        <v>#N/A</v>
      </c>
      <c r="Q244" t="e">
        <f>INDEX(Items!C$2:C$1032,MATCH($O244,Items!$A$2:$A$1032,0))</f>
        <v>#N/A</v>
      </c>
      <c r="R244" t="e">
        <f>INDEX(Items!D$2:D$1032,MATCH($O244,Items!$A$2:$A$1032,0))</f>
        <v>#N/A</v>
      </c>
    </row>
    <row r="245" spans="1:18" x14ac:dyDescent="0.25">
      <c r="A245">
        <f t="shared" si="17"/>
        <v>1</v>
      </c>
      <c r="B245" t="str">
        <f t="shared" si="18"/>
        <v/>
      </c>
      <c r="C245">
        <f t="shared" si="20"/>
        <v>1</v>
      </c>
      <c r="D245" s="4"/>
      <c r="E245" t="s">
        <v>18</v>
      </c>
      <c r="F245" t="str">
        <f>INDEX(Establishment!B$2:B$1005,MATCH($E245,Establishment!$A$2:$A$1005,0))</f>
        <v xml:space="preserve"> </v>
      </c>
      <c r="G245" t="str">
        <f>INDEX(Establishment!C$2:C$1005,MATCH($E245,Establishment!$A$2:$A$1005,0))</f>
        <v xml:space="preserve"> </v>
      </c>
      <c r="M245">
        <f t="shared" si="21"/>
        <v>0</v>
      </c>
      <c r="N245">
        <f t="shared" si="19"/>
        <v>0</v>
      </c>
      <c r="P245" t="e">
        <f>INDEX(Items!B$2:B$1032,MATCH($O245,Items!$A$2:$A$1032,0))</f>
        <v>#N/A</v>
      </c>
      <c r="Q245" t="e">
        <f>INDEX(Items!C$2:C$1032,MATCH($O245,Items!$A$2:$A$1032,0))</f>
        <v>#N/A</v>
      </c>
      <c r="R245" t="e">
        <f>INDEX(Items!D$2:D$1032,MATCH($O245,Items!$A$2:$A$1032,0))</f>
        <v>#N/A</v>
      </c>
    </row>
    <row r="246" spans="1:18" x14ac:dyDescent="0.25">
      <c r="A246">
        <f t="shared" si="17"/>
        <v>1</v>
      </c>
      <c r="B246" t="str">
        <f t="shared" si="18"/>
        <v/>
      </c>
      <c r="C246">
        <f t="shared" si="20"/>
        <v>1</v>
      </c>
      <c r="D246" s="4"/>
      <c r="E246" t="s">
        <v>18</v>
      </c>
      <c r="F246" t="str">
        <f>INDEX(Establishment!B$2:B$1005,MATCH($E246,Establishment!$A$2:$A$1005,0))</f>
        <v xml:space="preserve"> </v>
      </c>
      <c r="G246" t="str">
        <f>INDEX(Establishment!C$2:C$1005,MATCH($E246,Establishment!$A$2:$A$1005,0))</f>
        <v xml:space="preserve"> </v>
      </c>
      <c r="M246">
        <f t="shared" si="21"/>
        <v>0</v>
      </c>
      <c r="N246">
        <f t="shared" si="19"/>
        <v>0</v>
      </c>
      <c r="P246" t="e">
        <f>INDEX(Items!B$2:B$1032,MATCH($O246,Items!$A$2:$A$1032,0))</f>
        <v>#N/A</v>
      </c>
      <c r="Q246" t="e">
        <f>INDEX(Items!C$2:C$1032,MATCH($O246,Items!$A$2:$A$1032,0))</f>
        <v>#N/A</v>
      </c>
      <c r="R246" t="e">
        <f>INDEX(Items!D$2:D$1032,MATCH($O246,Items!$A$2:$A$1032,0))</f>
        <v>#N/A</v>
      </c>
    </row>
    <row r="247" spans="1:18" x14ac:dyDescent="0.25">
      <c r="A247">
        <f t="shared" si="17"/>
        <v>1</v>
      </c>
      <c r="B247" t="str">
        <f t="shared" si="18"/>
        <v/>
      </c>
      <c r="C247">
        <f t="shared" si="20"/>
        <v>1</v>
      </c>
      <c r="D247" s="4"/>
      <c r="E247" t="s">
        <v>18</v>
      </c>
      <c r="F247" t="str">
        <f>INDEX(Establishment!B$2:B$1005,MATCH($E247,Establishment!$A$2:$A$1005,0))</f>
        <v xml:space="preserve"> </v>
      </c>
      <c r="G247" t="str">
        <f>INDEX(Establishment!C$2:C$1005,MATCH($E247,Establishment!$A$2:$A$1005,0))</f>
        <v xml:space="preserve"> </v>
      </c>
      <c r="M247">
        <f t="shared" si="21"/>
        <v>0</v>
      </c>
      <c r="N247">
        <f t="shared" si="19"/>
        <v>0</v>
      </c>
      <c r="P247" t="e">
        <f>INDEX(Items!B$2:B$1032,MATCH($O247,Items!$A$2:$A$1032,0))</f>
        <v>#N/A</v>
      </c>
      <c r="Q247" t="e">
        <f>INDEX(Items!C$2:C$1032,MATCH($O247,Items!$A$2:$A$1032,0))</f>
        <v>#N/A</v>
      </c>
      <c r="R247" t="e">
        <f>INDEX(Items!D$2:D$1032,MATCH($O247,Items!$A$2:$A$1032,0))</f>
        <v>#N/A</v>
      </c>
    </row>
    <row r="248" spans="1:18" x14ac:dyDescent="0.25">
      <c r="A248">
        <f t="shared" si="17"/>
        <v>1</v>
      </c>
      <c r="B248" t="str">
        <f t="shared" si="18"/>
        <v/>
      </c>
      <c r="C248">
        <f t="shared" si="20"/>
        <v>1</v>
      </c>
      <c r="D248" s="4"/>
      <c r="E248" t="s">
        <v>18</v>
      </c>
      <c r="F248" t="str">
        <f>INDEX(Establishment!B$2:B$1005,MATCH($E248,Establishment!$A$2:$A$1005,0))</f>
        <v xml:space="preserve"> </v>
      </c>
      <c r="G248" t="str">
        <f>INDEX(Establishment!C$2:C$1005,MATCH($E248,Establishment!$A$2:$A$1005,0))</f>
        <v xml:space="preserve"> </v>
      </c>
      <c r="M248">
        <f t="shared" si="21"/>
        <v>0</v>
      </c>
      <c r="N248">
        <f t="shared" si="19"/>
        <v>0</v>
      </c>
      <c r="P248" t="e">
        <f>INDEX(Items!B$2:B$1032,MATCH($O248,Items!$A$2:$A$1032,0))</f>
        <v>#N/A</v>
      </c>
      <c r="Q248" t="e">
        <f>INDEX(Items!C$2:C$1032,MATCH($O248,Items!$A$2:$A$1032,0))</f>
        <v>#N/A</v>
      </c>
      <c r="R248" t="e">
        <f>INDEX(Items!D$2:D$1032,MATCH($O248,Items!$A$2:$A$1032,0))</f>
        <v>#N/A</v>
      </c>
    </row>
    <row r="249" spans="1:18" x14ac:dyDescent="0.25">
      <c r="A249">
        <f t="shared" si="17"/>
        <v>1</v>
      </c>
      <c r="B249" t="str">
        <f t="shared" si="18"/>
        <v/>
      </c>
      <c r="C249">
        <f t="shared" si="20"/>
        <v>1</v>
      </c>
      <c r="D249" s="4"/>
      <c r="E249" t="s">
        <v>18</v>
      </c>
      <c r="F249" t="str">
        <f>INDEX(Establishment!B$2:B$1005,MATCH($E249,Establishment!$A$2:$A$1005,0))</f>
        <v xml:space="preserve"> </v>
      </c>
      <c r="G249" t="str">
        <f>INDEX(Establishment!C$2:C$1005,MATCH($E249,Establishment!$A$2:$A$1005,0))</f>
        <v xml:space="preserve"> </v>
      </c>
      <c r="M249">
        <f t="shared" si="21"/>
        <v>0</v>
      </c>
      <c r="N249">
        <f t="shared" si="19"/>
        <v>0</v>
      </c>
      <c r="P249" t="e">
        <f>INDEX(Items!B$2:B$1032,MATCH($O249,Items!$A$2:$A$1032,0))</f>
        <v>#N/A</v>
      </c>
      <c r="Q249" t="e">
        <f>INDEX(Items!C$2:C$1032,MATCH($O249,Items!$A$2:$A$1032,0))</f>
        <v>#N/A</v>
      </c>
      <c r="R249" t="e">
        <f>INDEX(Items!D$2:D$1032,MATCH($O249,Items!$A$2:$A$1032,0))</f>
        <v>#N/A</v>
      </c>
    </row>
    <row r="250" spans="1:18" x14ac:dyDescent="0.25">
      <c r="A250">
        <f t="shared" si="17"/>
        <v>1</v>
      </c>
      <c r="B250" t="str">
        <f t="shared" si="18"/>
        <v/>
      </c>
      <c r="C250">
        <f t="shared" si="20"/>
        <v>1</v>
      </c>
      <c r="D250" s="4"/>
      <c r="E250" t="s">
        <v>18</v>
      </c>
      <c r="F250" t="str">
        <f>INDEX(Establishment!B$2:B$1005,MATCH($E250,Establishment!$A$2:$A$1005,0))</f>
        <v xml:space="preserve"> </v>
      </c>
      <c r="G250" t="str">
        <f>INDEX(Establishment!C$2:C$1005,MATCH($E250,Establishment!$A$2:$A$1005,0))</f>
        <v xml:space="preserve"> </v>
      </c>
      <c r="M250">
        <f t="shared" si="21"/>
        <v>0</v>
      </c>
      <c r="N250">
        <f t="shared" si="19"/>
        <v>0</v>
      </c>
      <c r="P250" t="e">
        <f>INDEX(Items!B$2:B$1032,MATCH($O250,Items!$A$2:$A$1032,0))</f>
        <v>#N/A</v>
      </c>
      <c r="Q250" t="e">
        <f>INDEX(Items!C$2:C$1032,MATCH($O250,Items!$A$2:$A$1032,0))</f>
        <v>#N/A</v>
      </c>
      <c r="R250" t="e">
        <f>INDEX(Items!D$2:D$1032,MATCH($O250,Items!$A$2:$A$1032,0))</f>
        <v>#N/A</v>
      </c>
    </row>
    <row r="251" spans="1:18" x14ac:dyDescent="0.25">
      <c r="A251">
        <f t="shared" si="17"/>
        <v>1</v>
      </c>
      <c r="B251" t="str">
        <f t="shared" si="18"/>
        <v/>
      </c>
      <c r="C251">
        <f t="shared" si="20"/>
        <v>1</v>
      </c>
      <c r="D251" s="4"/>
      <c r="E251" t="s">
        <v>18</v>
      </c>
      <c r="F251" t="str">
        <f>INDEX(Establishment!B$2:B$1005,MATCH($E251,Establishment!$A$2:$A$1005,0))</f>
        <v xml:space="preserve"> </v>
      </c>
      <c r="G251" t="str">
        <f>INDEX(Establishment!C$2:C$1005,MATCH($E251,Establishment!$A$2:$A$1005,0))</f>
        <v xml:space="preserve"> </v>
      </c>
      <c r="M251">
        <f t="shared" si="21"/>
        <v>0</v>
      </c>
      <c r="N251">
        <f t="shared" si="19"/>
        <v>0</v>
      </c>
      <c r="P251" t="e">
        <f>INDEX(Items!B$2:B$1032,MATCH($O251,Items!$A$2:$A$1032,0))</f>
        <v>#N/A</v>
      </c>
      <c r="Q251" t="e">
        <f>INDEX(Items!C$2:C$1032,MATCH($O251,Items!$A$2:$A$1032,0))</f>
        <v>#N/A</v>
      </c>
      <c r="R251" t="e">
        <f>INDEX(Items!D$2:D$1032,MATCH($O251,Items!$A$2:$A$1032,0))</f>
        <v>#N/A</v>
      </c>
    </row>
    <row r="252" spans="1:18" x14ac:dyDescent="0.25">
      <c r="A252">
        <f t="shared" si="17"/>
        <v>1</v>
      </c>
      <c r="B252" t="str">
        <f t="shared" si="18"/>
        <v/>
      </c>
      <c r="C252">
        <f t="shared" si="20"/>
        <v>1</v>
      </c>
      <c r="D252" s="4"/>
      <c r="E252" t="s">
        <v>18</v>
      </c>
      <c r="F252" t="str">
        <f>INDEX(Establishment!B$2:B$1005,MATCH($E252,Establishment!$A$2:$A$1005,0))</f>
        <v xml:space="preserve"> </v>
      </c>
      <c r="G252" t="str">
        <f>INDEX(Establishment!C$2:C$1005,MATCH($E252,Establishment!$A$2:$A$1005,0))</f>
        <v xml:space="preserve"> </v>
      </c>
      <c r="M252">
        <f t="shared" si="21"/>
        <v>0</v>
      </c>
      <c r="N252">
        <f t="shared" si="19"/>
        <v>0</v>
      </c>
      <c r="P252" t="e">
        <f>INDEX(Items!B$2:B$1032,MATCH($O252,Items!$A$2:$A$1032,0))</f>
        <v>#N/A</v>
      </c>
      <c r="Q252" t="e">
        <f>INDEX(Items!C$2:C$1032,MATCH($O252,Items!$A$2:$A$1032,0))</f>
        <v>#N/A</v>
      </c>
      <c r="R252" t="e">
        <f>INDEX(Items!D$2:D$1032,MATCH($O252,Items!$A$2:$A$1032,0))</f>
        <v>#N/A</v>
      </c>
    </row>
    <row r="253" spans="1:18" x14ac:dyDescent="0.25">
      <c r="A253">
        <f t="shared" si="17"/>
        <v>1</v>
      </c>
      <c r="B253" t="str">
        <f t="shared" si="18"/>
        <v/>
      </c>
      <c r="C253">
        <f t="shared" si="20"/>
        <v>1</v>
      </c>
      <c r="D253" s="4"/>
      <c r="E253" t="s">
        <v>18</v>
      </c>
      <c r="F253" t="str">
        <f>INDEX(Establishment!B$2:B$1005,MATCH($E253,Establishment!$A$2:$A$1005,0))</f>
        <v xml:space="preserve"> </v>
      </c>
      <c r="G253" t="str">
        <f>INDEX(Establishment!C$2:C$1005,MATCH($E253,Establishment!$A$2:$A$1005,0))</f>
        <v xml:space="preserve"> </v>
      </c>
      <c r="M253">
        <f t="shared" si="21"/>
        <v>0</v>
      </c>
      <c r="N253">
        <f t="shared" si="19"/>
        <v>0</v>
      </c>
      <c r="P253" t="e">
        <f>INDEX(Items!B$2:B$1032,MATCH($O253,Items!$A$2:$A$1032,0))</f>
        <v>#N/A</v>
      </c>
      <c r="Q253" t="e">
        <f>INDEX(Items!C$2:C$1032,MATCH($O253,Items!$A$2:$A$1032,0))</f>
        <v>#N/A</v>
      </c>
      <c r="R253" t="e">
        <f>INDEX(Items!D$2:D$1032,MATCH($O253,Items!$A$2:$A$1032,0))</f>
        <v>#N/A</v>
      </c>
    </row>
    <row r="254" spans="1:18" x14ac:dyDescent="0.25">
      <c r="A254">
        <f t="shared" si="17"/>
        <v>1</v>
      </c>
      <c r="B254" t="str">
        <f t="shared" si="18"/>
        <v/>
      </c>
      <c r="C254">
        <f t="shared" si="20"/>
        <v>1</v>
      </c>
      <c r="D254" s="4"/>
      <c r="E254" t="s">
        <v>18</v>
      </c>
      <c r="F254" t="str">
        <f>INDEX(Establishment!B$2:B$1005,MATCH($E254,Establishment!$A$2:$A$1005,0))</f>
        <v xml:space="preserve"> </v>
      </c>
      <c r="G254" t="str">
        <f>INDEX(Establishment!C$2:C$1005,MATCH($E254,Establishment!$A$2:$A$1005,0))</f>
        <v xml:space="preserve"> </v>
      </c>
      <c r="M254">
        <f t="shared" si="21"/>
        <v>0</v>
      </c>
      <c r="N254">
        <f t="shared" si="19"/>
        <v>0</v>
      </c>
      <c r="P254" t="e">
        <f>INDEX(Items!B$2:B$1032,MATCH($O254,Items!$A$2:$A$1032,0))</f>
        <v>#N/A</v>
      </c>
      <c r="Q254" t="e">
        <f>INDEX(Items!C$2:C$1032,MATCH($O254,Items!$A$2:$A$1032,0))</f>
        <v>#N/A</v>
      </c>
      <c r="R254" t="e">
        <f>INDEX(Items!D$2:D$1032,MATCH($O254,Items!$A$2:$A$1032,0))</f>
        <v>#N/A</v>
      </c>
    </row>
    <row r="255" spans="1:18" x14ac:dyDescent="0.25">
      <c r="A255">
        <f t="shared" si="17"/>
        <v>1</v>
      </c>
      <c r="B255" t="str">
        <f t="shared" si="18"/>
        <v/>
      </c>
      <c r="C255">
        <f t="shared" si="20"/>
        <v>1</v>
      </c>
      <c r="D255" s="4"/>
      <c r="E255" t="s">
        <v>18</v>
      </c>
      <c r="F255" t="str">
        <f>INDEX(Establishment!B$2:B$1005,MATCH($E255,Establishment!$A$2:$A$1005,0))</f>
        <v xml:space="preserve"> </v>
      </c>
      <c r="G255" t="str">
        <f>INDEX(Establishment!C$2:C$1005,MATCH($E255,Establishment!$A$2:$A$1005,0))</f>
        <v xml:space="preserve"> </v>
      </c>
      <c r="M255">
        <f t="shared" si="21"/>
        <v>0</v>
      </c>
      <c r="N255">
        <f t="shared" si="19"/>
        <v>0</v>
      </c>
      <c r="P255" t="e">
        <f>INDEX(Items!B$2:B$1032,MATCH($O255,Items!$A$2:$A$1032,0))</f>
        <v>#N/A</v>
      </c>
      <c r="Q255" t="e">
        <f>INDEX(Items!C$2:C$1032,MATCH($O255,Items!$A$2:$A$1032,0))</f>
        <v>#N/A</v>
      </c>
      <c r="R255" t="e">
        <f>INDEX(Items!D$2:D$1032,MATCH($O255,Items!$A$2:$A$1032,0))</f>
        <v>#N/A</v>
      </c>
    </row>
    <row r="256" spans="1:18" x14ac:dyDescent="0.25">
      <c r="A256">
        <f t="shared" si="17"/>
        <v>1</v>
      </c>
      <c r="B256" t="str">
        <f t="shared" si="18"/>
        <v/>
      </c>
      <c r="C256">
        <f t="shared" si="20"/>
        <v>1</v>
      </c>
      <c r="D256" s="4"/>
      <c r="E256" t="s">
        <v>18</v>
      </c>
      <c r="F256" t="str">
        <f>INDEX(Establishment!B$2:B$1005,MATCH($E256,Establishment!$A$2:$A$1005,0))</f>
        <v xml:space="preserve"> </v>
      </c>
      <c r="G256" t="str">
        <f>INDEX(Establishment!C$2:C$1005,MATCH($E256,Establishment!$A$2:$A$1005,0))</f>
        <v xml:space="preserve"> </v>
      </c>
      <c r="M256">
        <f t="shared" si="21"/>
        <v>0</v>
      </c>
      <c r="N256">
        <f t="shared" si="19"/>
        <v>0</v>
      </c>
      <c r="P256" t="e">
        <f>INDEX(Items!B$2:B$1032,MATCH($O256,Items!$A$2:$A$1032,0))</f>
        <v>#N/A</v>
      </c>
      <c r="Q256" t="e">
        <f>INDEX(Items!C$2:C$1032,MATCH($O256,Items!$A$2:$A$1032,0))</f>
        <v>#N/A</v>
      </c>
      <c r="R256" t="e">
        <f>INDEX(Items!D$2:D$1032,MATCH($O256,Items!$A$2:$A$1032,0))</f>
        <v>#N/A</v>
      </c>
    </row>
    <row r="257" spans="1:18" x14ac:dyDescent="0.25">
      <c r="A257">
        <f t="shared" si="17"/>
        <v>1</v>
      </c>
      <c r="B257" t="str">
        <f t="shared" si="18"/>
        <v/>
      </c>
      <c r="C257">
        <f t="shared" si="20"/>
        <v>1</v>
      </c>
      <c r="D257" s="4"/>
      <c r="E257" t="s">
        <v>18</v>
      </c>
      <c r="F257" t="str">
        <f>INDEX(Establishment!B$2:B$1005,MATCH($E257,Establishment!$A$2:$A$1005,0))</f>
        <v xml:space="preserve"> </v>
      </c>
      <c r="G257" t="str">
        <f>INDEX(Establishment!C$2:C$1005,MATCH($E257,Establishment!$A$2:$A$1005,0))</f>
        <v xml:space="preserve"> </v>
      </c>
      <c r="M257">
        <f t="shared" si="21"/>
        <v>0</v>
      </c>
      <c r="N257">
        <f t="shared" si="19"/>
        <v>0</v>
      </c>
      <c r="P257" t="e">
        <f>INDEX(Items!B$2:B$1032,MATCH($O257,Items!$A$2:$A$1032,0))</f>
        <v>#N/A</v>
      </c>
      <c r="Q257" t="e">
        <f>INDEX(Items!C$2:C$1032,MATCH($O257,Items!$A$2:$A$1032,0))</f>
        <v>#N/A</v>
      </c>
      <c r="R257" t="e">
        <f>INDEX(Items!D$2:D$1032,MATCH($O257,Items!$A$2:$A$1032,0))</f>
        <v>#N/A</v>
      </c>
    </row>
    <row r="258" spans="1:18" x14ac:dyDescent="0.25">
      <c r="A258">
        <f t="shared" ref="A258:A321" si="22">IF(OR(D258&lt;&gt;D257,D258=""),1,IF(NOT(AND(E258=E257,F258=F257,G258=G257)),A257+1,IF(OR(H258="",AND(H258&lt;&gt;"",H258&lt;&gt;H257,H257&lt;&gt;"")),A257,A257+1)))</f>
        <v>1</v>
      </c>
      <c r="B258" t="str">
        <f t="shared" ref="B258:B321" si="23">IF(D258&lt;&gt;"",TEXT(D258,"YYYYMMDD")&amp;CHAR(64+A258),"")</f>
        <v/>
      </c>
      <c r="C258">
        <f t="shared" si="20"/>
        <v>1</v>
      </c>
      <c r="D258" s="4"/>
      <c r="E258" t="s">
        <v>18</v>
      </c>
      <c r="F258" t="str">
        <f>INDEX(Establishment!B$2:B$1005,MATCH($E258,Establishment!$A$2:$A$1005,0))</f>
        <v xml:space="preserve"> </v>
      </c>
      <c r="G258" t="str">
        <f>INDEX(Establishment!C$2:C$1005,MATCH($E258,Establishment!$A$2:$A$1005,0))</f>
        <v xml:space="preserve"> </v>
      </c>
      <c r="M258">
        <f t="shared" si="21"/>
        <v>0</v>
      </c>
      <c r="N258">
        <f t="shared" si="19"/>
        <v>0</v>
      </c>
      <c r="P258" t="e">
        <f>INDEX(Items!B$2:B$1032,MATCH($O258,Items!$A$2:$A$1032,0))</f>
        <v>#N/A</v>
      </c>
      <c r="Q258" t="e">
        <f>INDEX(Items!C$2:C$1032,MATCH($O258,Items!$A$2:$A$1032,0))</f>
        <v>#N/A</v>
      </c>
      <c r="R258" t="e">
        <f>INDEX(Items!D$2:D$1032,MATCH($O258,Items!$A$2:$A$1032,0))</f>
        <v>#N/A</v>
      </c>
    </row>
    <row r="259" spans="1:18" x14ac:dyDescent="0.25">
      <c r="A259">
        <f t="shared" si="22"/>
        <v>1</v>
      </c>
      <c r="B259" t="str">
        <f t="shared" si="23"/>
        <v/>
      </c>
      <c r="C259">
        <f t="shared" si="20"/>
        <v>1</v>
      </c>
      <c r="D259" s="4"/>
      <c r="E259" t="s">
        <v>18</v>
      </c>
      <c r="F259" t="str">
        <f>INDEX(Establishment!B$2:B$1005,MATCH($E259,Establishment!$A$2:$A$1005,0))</f>
        <v xml:space="preserve"> </v>
      </c>
      <c r="G259" t="str">
        <f>INDEX(Establishment!C$2:C$1005,MATCH($E259,Establishment!$A$2:$A$1005,0))</f>
        <v xml:space="preserve"> </v>
      </c>
      <c r="M259">
        <f t="shared" si="21"/>
        <v>0</v>
      </c>
      <c r="N259">
        <f t="shared" ref="N259:N322" si="24">IF(B259=B258,N258+M259,M259)</f>
        <v>0</v>
      </c>
      <c r="P259" t="e">
        <f>INDEX(Items!B$2:B$1032,MATCH($O259,Items!$A$2:$A$1032,0))</f>
        <v>#N/A</v>
      </c>
      <c r="Q259" t="e">
        <f>INDEX(Items!C$2:C$1032,MATCH($O259,Items!$A$2:$A$1032,0))</f>
        <v>#N/A</v>
      </c>
      <c r="R259" t="e">
        <f>INDEX(Items!D$2:D$1032,MATCH($O259,Items!$A$2:$A$1032,0))</f>
        <v>#N/A</v>
      </c>
    </row>
    <row r="260" spans="1:18" x14ac:dyDescent="0.25">
      <c r="A260">
        <f t="shared" si="22"/>
        <v>1</v>
      </c>
      <c r="B260" t="str">
        <f t="shared" si="23"/>
        <v/>
      </c>
      <c r="C260">
        <f t="shared" si="20"/>
        <v>1</v>
      </c>
      <c r="D260" s="4"/>
      <c r="E260" t="s">
        <v>18</v>
      </c>
      <c r="F260" t="str">
        <f>INDEX(Establishment!B$2:B$1005,MATCH($E260,Establishment!$A$2:$A$1005,0))</f>
        <v xml:space="preserve"> </v>
      </c>
      <c r="G260" t="str">
        <f>INDEX(Establishment!C$2:C$1005,MATCH($E260,Establishment!$A$2:$A$1005,0))</f>
        <v xml:space="preserve"> </v>
      </c>
      <c r="M260">
        <f t="shared" si="21"/>
        <v>0</v>
      </c>
      <c r="N260">
        <f t="shared" si="24"/>
        <v>0</v>
      </c>
      <c r="P260" t="e">
        <f>INDEX(Items!B$2:B$1032,MATCH($O260,Items!$A$2:$A$1032,0))</f>
        <v>#N/A</v>
      </c>
      <c r="Q260" t="e">
        <f>INDEX(Items!C$2:C$1032,MATCH($O260,Items!$A$2:$A$1032,0))</f>
        <v>#N/A</v>
      </c>
      <c r="R260" t="e">
        <f>INDEX(Items!D$2:D$1032,MATCH($O260,Items!$A$2:$A$1032,0))</f>
        <v>#N/A</v>
      </c>
    </row>
    <row r="261" spans="1:18" x14ac:dyDescent="0.25">
      <c r="A261">
        <f t="shared" si="22"/>
        <v>1</v>
      </c>
      <c r="B261" t="str">
        <f t="shared" si="23"/>
        <v/>
      </c>
      <c r="C261">
        <f t="shared" si="20"/>
        <v>1</v>
      </c>
      <c r="D261" s="4"/>
      <c r="E261" t="s">
        <v>18</v>
      </c>
      <c r="F261" t="str">
        <f>INDEX(Establishment!B$2:B$1005,MATCH($E261,Establishment!$A$2:$A$1005,0))</f>
        <v xml:space="preserve"> </v>
      </c>
      <c r="G261" t="str">
        <f>INDEX(Establishment!C$2:C$1005,MATCH($E261,Establishment!$A$2:$A$1005,0))</f>
        <v xml:space="preserve"> </v>
      </c>
      <c r="M261">
        <f t="shared" si="21"/>
        <v>0</v>
      </c>
      <c r="N261">
        <f t="shared" si="24"/>
        <v>0</v>
      </c>
      <c r="P261" t="e">
        <f>INDEX(Items!B$2:B$1032,MATCH($O261,Items!$A$2:$A$1032,0))</f>
        <v>#N/A</v>
      </c>
      <c r="Q261" t="e">
        <f>INDEX(Items!C$2:C$1032,MATCH($O261,Items!$A$2:$A$1032,0))</f>
        <v>#N/A</v>
      </c>
      <c r="R261" t="e">
        <f>INDEX(Items!D$2:D$1032,MATCH($O261,Items!$A$2:$A$1032,0))</f>
        <v>#N/A</v>
      </c>
    </row>
    <row r="262" spans="1:18" x14ac:dyDescent="0.25">
      <c r="A262">
        <f t="shared" si="22"/>
        <v>1</v>
      </c>
      <c r="B262" t="str">
        <f t="shared" si="23"/>
        <v/>
      </c>
      <c r="C262">
        <f t="shared" si="20"/>
        <v>1</v>
      </c>
      <c r="D262" s="4"/>
      <c r="E262" t="s">
        <v>18</v>
      </c>
      <c r="F262" t="str">
        <f>INDEX(Establishment!B$2:B$1005,MATCH($E262,Establishment!$A$2:$A$1005,0))</f>
        <v xml:space="preserve"> </v>
      </c>
      <c r="G262" t="str">
        <f>INDEX(Establishment!C$2:C$1005,MATCH($E262,Establishment!$A$2:$A$1005,0))</f>
        <v xml:space="preserve"> </v>
      </c>
      <c r="M262">
        <f t="shared" si="21"/>
        <v>0</v>
      </c>
      <c r="N262">
        <f t="shared" si="24"/>
        <v>0</v>
      </c>
      <c r="P262" t="e">
        <f>INDEX(Items!B$2:B$1032,MATCH($O262,Items!$A$2:$A$1032,0))</f>
        <v>#N/A</v>
      </c>
      <c r="Q262" t="e">
        <f>INDEX(Items!C$2:C$1032,MATCH($O262,Items!$A$2:$A$1032,0))</f>
        <v>#N/A</v>
      </c>
      <c r="R262" t="e">
        <f>INDEX(Items!D$2:D$1032,MATCH($O262,Items!$A$2:$A$1032,0))</f>
        <v>#N/A</v>
      </c>
    </row>
    <row r="263" spans="1:18" x14ac:dyDescent="0.25">
      <c r="A263">
        <f t="shared" si="22"/>
        <v>1</v>
      </c>
      <c r="B263" t="str">
        <f t="shared" si="23"/>
        <v/>
      </c>
      <c r="C263">
        <f t="shared" si="20"/>
        <v>1</v>
      </c>
      <c r="D263" s="4"/>
      <c r="E263" t="s">
        <v>18</v>
      </c>
      <c r="F263" t="str">
        <f>INDEX(Establishment!B$2:B$1005,MATCH($E263,Establishment!$A$2:$A$1005,0))</f>
        <v xml:space="preserve"> </v>
      </c>
      <c r="G263" t="str">
        <f>INDEX(Establishment!C$2:C$1005,MATCH($E263,Establishment!$A$2:$A$1005,0))</f>
        <v xml:space="preserve"> </v>
      </c>
      <c r="M263">
        <f t="shared" si="21"/>
        <v>0</v>
      </c>
      <c r="N263">
        <f t="shared" si="24"/>
        <v>0</v>
      </c>
      <c r="P263" t="e">
        <f>INDEX(Items!B$2:B$1032,MATCH($O263,Items!$A$2:$A$1032,0))</f>
        <v>#N/A</v>
      </c>
      <c r="Q263" t="e">
        <f>INDEX(Items!C$2:C$1032,MATCH($O263,Items!$A$2:$A$1032,0))</f>
        <v>#N/A</v>
      </c>
      <c r="R263" t="e">
        <f>INDEX(Items!D$2:D$1032,MATCH($O263,Items!$A$2:$A$1032,0))</f>
        <v>#N/A</v>
      </c>
    </row>
    <row r="264" spans="1:18" x14ac:dyDescent="0.25">
      <c r="A264">
        <f t="shared" si="22"/>
        <v>1</v>
      </c>
      <c r="B264" t="str">
        <f t="shared" si="23"/>
        <v/>
      </c>
      <c r="C264">
        <f t="shared" si="20"/>
        <v>1</v>
      </c>
      <c r="D264" s="4"/>
      <c r="E264" t="s">
        <v>18</v>
      </c>
      <c r="F264" t="str">
        <f>INDEX(Establishment!B$2:B$1005,MATCH($E264,Establishment!$A$2:$A$1005,0))</f>
        <v xml:space="preserve"> </v>
      </c>
      <c r="G264" t="str">
        <f>INDEX(Establishment!C$2:C$1005,MATCH($E264,Establishment!$A$2:$A$1005,0))</f>
        <v xml:space="preserve"> </v>
      </c>
      <c r="M264">
        <f t="shared" si="21"/>
        <v>0</v>
      </c>
      <c r="N264">
        <f t="shared" si="24"/>
        <v>0</v>
      </c>
      <c r="P264" t="e">
        <f>INDEX(Items!B$2:B$1032,MATCH($O264,Items!$A$2:$A$1032,0))</f>
        <v>#N/A</v>
      </c>
      <c r="Q264" t="e">
        <f>INDEX(Items!C$2:C$1032,MATCH($O264,Items!$A$2:$A$1032,0))</f>
        <v>#N/A</v>
      </c>
      <c r="R264" t="e">
        <f>INDEX(Items!D$2:D$1032,MATCH($O264,Items!$A$2:$A$1032,0))</f>
        <v>#N/A</v>
      </c>
    </row>
    <row r="265" spans="1:18" x14ac:dyDescent="0.25">
      <c r="A265">
        <f t="shared" si="22"/>
        <v>1</v>
      </c>
      <c r="B265" t="str">
        <f t="shared" si="23"/>
        <v/>
      </c>
      <c r="C265">
        <f t="shared" si="20"/>
        <v>1</v>
      </c>
      <c r="D265" s="4"/>
      <c r="E265" t="s">
        <v>18</v>
      </c>
      <c r="F265" t="str">
        <f>INDEX(Establishment!B$2:B$1005,MATCH($E265,Establishment!$A$2:$A$1005,0))</f>
        <v xml:space="preserve"> </v>
      </c>
      <c r="G265" t="str">
        <f>INDEX(Establishment!C$2:C$1005,MATCH($E265,Establishment!$A$2:$A$1005,0))</f>
        <v xml:space="preserve"> </v>
      </c>
      <c r="M265">
        <f t="shared" si="21"/>
        <v>0</v>
      </c>
      <c r="N265">
        <f t="shared" si="24"/>
        <v>0</v>
      </c>
      <c r="P265" t="e">
        <f>INDEX(Items!B$2:B$1032,MATCH($O265,Items!$A$2:$A$1032,0))</f>
        <v>#N/A</v>
      </c>
      <c r="Q265" t="e">
        <f>INDEX(Items!C$2:C$1032,MATCH($O265,Items!$A$2:$A$1032,0))</f>
        <v>#N/A</v>
      </c>
      <c r="R265" t="e">
        <f>INDEX(Items!D$2:D$1032,MATCH($O265,Items!$A$2:$A$1032,0))</f>
        <v>#N/A</v>
      </c>
    </row>
    <row r="266" spans="1:18" x14ac:dyDescent="0.25">
      <c r="A266">
        <f t="shared" si="22"/>
        <v>1</v>
      </c>
      <c r="B266" t="str">
        <f t="shared" si="23"/>
        <v/>
      </c>
      <c r="C266">
        <f t="shared" ref="C266:C329" si="25">IF(OR(B266="",B266&lt;&gt;B265),1,C265+1)</f>
        <v>1</v>
      </c>
      <c r="D266" s="4"/>
      <c r="E266" t="s">
        <v>18</v>
      </c>
      <c r="F266" t="str">
        <f>INDEX(Establishment!B$2:B$1005,MATCH($E266,Establishment!$A$2:$A$1005,0))</f>
        <v xml:space="preserve"> </v>
      </c>
      <c r="G266" t="str">
        <f>INDEX(Establishment!C$2:C$1005,MATCH($E266,Establishment!$A$2:$A$1005,0))</f>
        <v xml:space="preserve"> </v>
      </c>
      <c r="M266">
        <f t="shared" ref="M266:M329" si="26">K266*L266</f>
        <v>0</v>
      </c>
      <c r="N266">
        <f t="shared" si="24"/>
        <v>0</v>
      </c>
      <c r="P266" t="e">
        <f>INDEX(Items!B$2:B$1032,MATCH($O266,Items!$A$2:$A$1032,0))</f>
        <v>#N/A</v>
      </c>
      <c r="Q266" t="e">
        <f>INDEX(Items!C$2:C$1032,MATCH($O266,Items!$A$2:$A$1032,0))</f>
        <v>#N/A</v>
      </c>
      <c r="R266" t="e">
        <f>INDEX(Items!D$2:D$1032,MATCH($O266,Items!$A$2:$A$1032,0))</f>
        <v>#N/A</v>
      </c>
    </row>
    <row r="267" spans="1:18" x14ac:dyDescent="0.25">
      <c r="A267">
        <f t="shared" si="22"/>
        <v>1</v>
      </c>
      <c r="B267" t="str">
        <f t="shared" si="23"/>
        <v/>
      </c>
      <c r="C267">
        <f t="shared" si="25"/>
        <v>1</v>
      </c>
      <c r="D267" s="4"/>
      <c r="E267" t="s">
        <v>18</v>
      </c>
      <c r="F267" t="str">
        <f>INDEX(Establishment!B$2:B$1005,MATCH($E267,Establishment!$A$2:$A$1005,0))</f>
        <v xml:space="preserve"> </v>
      </c>
      <c r="G267" t="str">
        <f>INDEX(Establishment!C$2:C$1005,MATCH($E267,Establishment!$A$2:$A$1005,0))</f>
        <v xml:space="preserve"> </v>
      </c>
      <c r="M267">
        <f t="shared" si="26"/>
        <v>0</v>
      </c>
      <c r="N267">
        <f t="shared" si="24"/>
        <v>0</v>
      </c>
      <c r="P267" t="e">
        <f>INDEX(Items!B$2:B$1032,MATCH($O267,Items!$A$2:$A$1032,0))</f>
        <v>#N/A</v>
      </c>
      <c r="Q267" t="e">
        <f>INDEX(Items!C$2:C$1032,MATCH($O267,Items!$A$2:$A$1032,0))</f>
        <v>#N/A</v>
      </c>
      <c r="R267" t="e">
        <f>INDEX(Items!D$2:D$1032,MATCH($O267,Items!$A$2:$A$1032,0))</f>
        <v>#N/A</v>
      </c>
    </row>
    <row r="268" spans="1:18" x14ac:dyDescent="0.25">
      <c r="A268">
        <f t="shared" si="22"/>
        <v>1</v>
      </c>
      <c r="B268" t="str">
        <f t="shared" si="23"/>
        <v/>
      </c>
      <c r="C268">
        <f t="shared" si="25"/>
        <v>1</v>
      </c>
      <c r="D268" s="4"/>
      <c r="E268" t="s">
        <v>18</v>
      </c>
      <c r="F268" t="str">
        <f>INDEX(Establishment!B$2:B$1005,MATCH($E268,Establishment!$A$2:$A$1005,0))</f>
        <v xml:space="preserve"> </v>
      </c>
      <c r="G268" t="str">
        <f>INDEX(Establishment!C$2:C$1005,MATCH($E268,Establishment!$A$2:$A$1005,0))</f>
        <v xml:space="preserve"> </v>
      </c>
      <c r="M268">
        <f t="shared" si="26"/>
        <v>0</v>
      </c>
      <c r="N268">
        <f t="shared" si="24"/>
        <v>0</v>
      </c>
      <c r="P268" t="e">
        <f>INDEX(Items!B$2:B$1032,MATCH($O268,Items!$A$2:$A$1032,0))</f>
        <v>#N/A</v>
      </c>
      <c r="Q268" t="e">
        <f>INDEX(Items!C$2:C$1032,MATCH($O268,Items!$A$2:$A$1032,0))</f>
        <v>#N/A</v>
      </c>
      <c r="R268" t="e">
        <f>INDEX(Items!D$2:D$1032,MATCH($O268,Items!$A$2:$A$1032,0))</f>
        <v>#N/A</v>
      </c>
    </row>
    <row r="269" spans="1:18" x14ac:dyDescent="0.25">
      <c r="A269">
        <f t="shared" si="22"/>
        <v>1</v>
      </c>
      <c r="B269" t="str">
        <f t="shared" si="23"/>
        <v/>
      </c>
      <c r="C269">
        <f t="shared" si="25"/>
        <v>1</v>
      </c>
      <c r="D269" s="4"/>
      <c r="E269" t="s">
        <v>18</v>
      </c>
      <c r="F269" t="str">
        <f>INDEX(Establishment!B$2:B$1005,MATCH($E269,Establishment!$A$2:$A$1005,0))</f>
        <v xml:space="preserve"> </v>
      </c>
      <c r="G269" t="str">
        <f>INDEX(Establishment!C$2:C$1005,MATCH($E269,Establishment!$A$2:$A$1005,0))</f>
        <v xml:space="preserve"> </v>
      </c>
      <c r="M269">
        <f t="shared" si="26"/>
        <v>0</v>
      </c>
      <c r="N269">
        <f t="shared" si="24"/>
        <v>0</v>
      </c>
      <c r="P269" t="e">
        <f>INDEX(Items!B$2:B$1032,MATCH($O269,Items!$A$2:$A$1032,0))</f>
        <v>#N/A</v>
      </c>
      <c r="Q269" t="e">
        <f>INDEX(Items!C$2:C$1032,MATCH($O269,Items!$A$2:$A$1032,0))</f>
        <v>#N/A</v>
      </c>
      <c r="R269" t="e">
        <f>INDEX(Items!D$2:D$1032,MATCH($O269,Items!$A$2:$A$1032,0))</f>
        <v>#N/A</v>
      </c>
    </row>
    <row r="270" spans="1:18" x14ac:dyDescent="0.25">
      <c r="A270">
        <f t="shared" si="22"/>
        <v>1</v>
      </c>
      <c r="B270" t="str">
        <f t="shared" si="23"/>
        <v/>
      </c>
      <c r="C270">
        <f t="shared" si="25"/>
        <v>1</v>
      </c>
      <c r="D270" s="4"/>
      <c r="E270" t="s">
        <v>18</v>
      </c>
      <c r="F270" t="str">
        <f>INDEX(Establishment!B$2:B$1005,MATCH($E270,Establishment!$A$2:$A$1005,0))</f>
        <v xml:space="preserve"> </v>
      </c>
      <c r="G270" t="str">
        <f>INDEX(Establishment!C$2:C$1005,MATCH($E270,Establishment!$A$2:$A$1005,0))</f>
        <v xml:space="preserve"> </v>
      </c>
      <c r="M270">
        <f t="shared" si="26"/>
        <v>0</v>
      </c>
      <c r="N270">
        <f t="shared" si="24"/>
        <v>0</v>
      </c>
      <c r="P270" t="e">
        <f>INDEX(Items!B$2:B$1032,MATCH($O270,Items!$A$2:$A$1032,0))</f>
        <v>#N/A</v>
      </c>
      <c r="Q270" t="e">
        <f>INDEX(Items!C$2:C$1032,MATCH($O270,Items!$A$2:$A$1032,0))</f>
        <v>#N/A</v>
      </c>
      <c r="R270" t="e">
        <f>INDEX(Items!D$2:D$1032,MATCH($O270,Items!$A$2:$A$1032,0))</f>
        <v>#N/A</v>
      </c>
    </row>
    <row r="271" spans="1:18" x14ac:dyDescent="0.25">
      <c r="A271">
        <f t="shared" si="22"/>
        <v>1</v>
      </c>
      <c r="B271" t="str">
        <f t="shared" si="23"/>
        <v/>
      </c>
      <c r="C271">
        <f t="shared" si="25"/>
        <v>1</v>
      </c>
      <c r="D271" s="4"/>
      <c r="E271" t="s">
        <v>18</v>
      </c>
      <c r="F271" t="str">
        <f>INDEX(Establishment!B$2:B$1005,MATCH($E271,Establishment!$A$2:$A$1005,0))</f>
        <v xml:space="preserve"> </v>
      </c>
      <c r="G271" t="str">
        <f>INDEX(Establishment!C$2:C$1005,MATCH($E271,Establishment!$A$2:$A$1005,0))</f>
        <v xml:space="preserve"> </v>
      </c>
      <c r="M271">
        <f t="shared" si="26"/>
        <v>0</v>
      </c>
      <c r="N271">
        <f t="shared" si="24"/>
        <v>0</v>
      </c>
      <c r="P271" t="e">
        <f>INDEX(Items!B$2:B$1032,MATCH($O271,Items!$A$2:$A$1032,0))</f>
        <v>#N/A</v>
      </c>
      <c r="Q271" t="e">
        <f>INDEX(Items!C$2:C$1032,MATCH($O271,Items!$A$2:$A$1032,0))</f>
        <v>#N/A</v>
      </c>
      <c r="R271" t="e">
        <f>INDEX(Items!D$2:D$1032,MATCH($O271,Items!$A$2:$A$1032,0))</f>
        <v>#N/A</v>
      </c>
    </row>
    <row r="272" spans="1:18" x14ac:dyDescent="0.25">
      <c r="A272">
        <f t="shared" si="22"/>
        <v>1</v>
      </c>
      <c r="B272" t="str">
        <f t="shared" si="23"/>
        <v/>
      </c>
      <c r="C272">
        <f t="shared" si="25"/>
        <v>1</v>
      </c>
      <c r="D272" s="4"/>
      <c r="E272" t="s">
        <v>18</v>
      </c>
      <c r="F272" t="str">
        <f>INDEX(Establishment!B$2:B$1005,MATCH($E272,Establishment!$A$2:$A$1005,0))</f>
        <v xml:space="preserve"> </v>
      </c>
      <c r="G272" t="str">
        <f>INDEX(Establishment!C$2:C$1005,MATCH($E272,Establishment!$A$2:$A$1005,0))</f>
        <v xml:space="preserve"> </v>
      </c>
      <c r="M272">
        <f t="shared" si="26"/>
        <v>0</v>
      </c>
      <c r="N272">
        <f t="shared" si="24"/>
        <v>0</v>
      </c>
      <c r="P272" t="e">
        <f>INDEX(Items!B$2:B$1032,MATCH($O272,Items!$A$2:$A$1032,0))</f>
        <v>#N/A</v>
      </c>
      <c r="Q272" t="e">
        <f>INDEX(Items!C$2:C$1032,MATCH($O272,Items!$A$2:$A$1032,0))</f>
        <v>#N/A</v>
      </c>
      <c r="R272" t="e">
        <f>INDEX(Items!D$2:D$1032,MATCH($O272,Items!$A$2:$A$1032,0))</f>
        <v>#N/A</v>
      </c>
    </row>
    <row r="273" spans="1:18" x14ac:dyDescent="0.25">
      <c r="A273">
        <f t="shared" si="22"/>
        <v>1</v>
      </c>
      <c r="B273" t="str">
        <f t="shared" si="23"/>
        <v/>
      </c>
      <c r="C273">
        <f t="shared" si="25"/>
        <v>1</v>
      </c>
      <c r="D273" s="4"/>
      <c r="E273" t="s">
        <v>18</v>
      </c>
      <c r="F273" t="str">
        <f>INDEX(Establishment!B$2:B$1005,MATCH($E273,Establishment!$A$2:$A$1005,0))</f>
        <v xml:space="preserve"> </v>
      </c>
      <c r="G273" t="str">
        <f>INDEX(Establishment!C$2:C$1005,MATCH($E273,Establishment!$A$2:$A$1005,0))</f>
        <v xml:space="preserve"> </v>
      </c>
      <c r="M273">
        <f t="shared" si="26"/>
        <v>0</v>
      </c>
      <c r="N273">
        <f t="shared" si="24"/>
        <v>0</v>
      </c>
      <c r="P273" t="e">
        <f>INDEX(Items!B$2:B$1032,MATCH($O273,Items!$A$2:$A$1032,0))</f>
        <v>#N/A</v>
      </c>
      <c r="Q273" t="e">
        <f>INDEX(Items!C$2:C$1032,MATCH($O273,Items!$A$2:$A$1032,0))</f>
        <v>#N/A</v>
      </c>
      <c r="R273" t="e">
        <f>INDEX(Items!D$2:D$1032,MATCH($O273,Items!$A$2:$A$1032,0))</f>
        <v>#N/A</v>
      </c>
    </row>
    <row r="274" spans="1:18" x14ac:dyDescent="0.25">
      <c r="A274">
        <f t="shared" si="22"/>
        <v>1</v>
      </c>
      <c r="B274" t="str">
        <f t="shared" si="23"/>
        <v/>
      </c>
      <c r="C274">
        <f t="shared" si="25"/>
        <v>1</v>
      </c>
      <c r="D274" s="4"/>
      <c r="E274" t="s">
        <v>18</v>
      </c>
      <c r="F274" t="str">
        <f>INDEX(Establishment!B$2:B$1005,MATCH($E274,Establishment!$A$2:$A$1005,0))</f>
        <v xml:space="preserve"> </v>
      </c>
      <c r="G274" t="str">
        <f>INDEX(Establishment!C$2:C$1005,MATCH($E274,Establishment!$A$2:$A$1005,0))</f>
        <v xml:space="preserve"> </v>
      </c>
      <c r="M274">
        <f t="shared" si="26"/>
        <v>0</v>
      </c>
      <c r="N274">
        <f t="shared" si="24"/>
        <v>0</v>
      </c>
      <c r="P274" t="e">
        <f>INDEX(Items!B$2:B$1032,MATCH($O274,Items!$A$2:$A$1032,0))</f>
        <v>#N/A</v>
      </c>
      <c r="Q274" t="e">
        <f>INDEX(Items!C$2:C$1032,MATCH($O274,Items!$A$2:$A$1032,0))</f>
        <v>#N/A</v>
      </c>
      <c r="R274" t="e">
        <f>INDEX(Items!D$2:D$1032,MATCH($O274,Items!$A$2:$A$1032,0))</f>
        <v>#N/A</v>
      </c>
    </row>
    <row r="275" spans="1:18" x14ac:dyDescent="0.25">
      <c r="A275">
        <f t="shared" si="22"/>
        <v>1</v>
      </c>
      <c r="B275" t="str">
        <f t="shared" si="23"/>
        <v/>
      </c>
      <c r="C275">
        <f t="shared" si="25"/>
        <v>1</v>
      </c>
      <c r="D275" s="4"/>
      <c r="E275" t="s">
        <v>18</v>
      </c>
      <c r="F275" t="str">
        <f>INDEX(Establishment!B$2:B$1005,MATCH($E275,Establishment!$A$2:$A$1005,0))</f>
        <v xml:space="preserve"> </v>
      </c>
      <c r="G275" t="str">
        <f>INDEX(Establishment!C$2:C$1005,MATCH($E275,Establishment!$A$2:$A$1005,0))</f>
        <v xml:space="preserve"> </v>
      </c>
      <c r="M275">
        <f t="shared" si="26"/>
        <v>0</v>
      </c>
      <c r="N275">
        <f t="shared" si="24"/>
        <v>0</v>
      </c>
      <c r="P275" t="e">
        <f>INDEX(Items!B$2:B$1032,MATCH($O275,Items!$A$2:$A$1032,0))</f>
        <v>#N/A</v>
      </c>
      <c r="Q275" t="e">
        <f>INDEX(Items!C$2:C$1032,MATCH($O275,Items!$A$2:$A$1032,0))</f>
        <v>#N/A</v>
      </c>
      <c r="R275" t="e">
        <f>INDEX(Items!D$2:D$1032,MATCH($O275,Items!$A$2:$A$1032,0))</f>
        <v>#N/A</v>
      </c>
    </row>
    <row r="276" spans="1:18" x14ac:dyDescent="0.25">
      <c r="A276">
        <f t="shared" si="22"/>
        <v>1</v>
      </c>
      <c r="B276" t="str">
        <f t="shared" si="23"/>
        <v/>
      </c>
      <c r="C276">
        <f t="shared" si="25"/>
        <v>1</v>
      </c>
      <c r="D276" s="4"/>
      <c r="E276" t="s">
        <v>18</v>
      </c>
      <c r="F276" t="str">
        <f>INDEX(Establishment!B$2:B$1005,MATCH($E276,Establishment!$A$2:$A$1005,0))</f>
        <v xml:space="preserve"> </v>
      </c>
      <c r="G276" t="str">
        <f>INDEX(Establishment!C$2:C$1005,MATCH($E276,Establishment!$A$2:$A$1005,0))</f>
        <v xml:space="preserve"> </v>
      </c>
      <c r="M276">
        <f t="shared" si="26"/>
        <v>0</v>
      </c>
      <c r="N276">
        <f t="shared" si="24"/>
        <v>0</v>
      </c>
      <c r="P276" t="e">
        <f>INDEX(Items!B$2:B$1032,MATCH($O276,Items!$A$2:$A$1032,0))</f>
        <v>#N/A</v>
      </c>
      <c r="Q276" t="e">
        <f>INDEX(Items!C$2:C$1032,MATCH($O276,Items!$A$2:$A$1032,0))</f>
        <v>#N/A</v>
      </c>
      <c r="R276" t="e">
        <f>INDEX(Items!D$2:D$1032,MATCH($O276,Items!$A$2:$A$1032,0))</f>
        <v>#N/A</v>
      </c>
    </row>
    <row r="277" spans="1:18" x14ac:dyDescent="0.25">
      <c r="A277">
        <f t="shared" si="22"/>
        <v>1</v>
      </c>
      <c r="B277" t="str">
        <f t="shared" si="23"/>
        <v/>
      </c>
      <c r="C277">
        <f t="shared" si="25"/>
        <v>1</v>
      </c>
      <c r="D277" s="4"/>
      <c r="E277" t="s">
        <v>18</v>
      </c>
      <c r="F277" t="str">
        <f>INDEX(Establishment!B$2:B$1005,MATCH($E277,Establishment!$A$2:$A$1005,0))</f>
        <v xml:space="preserve"> </v>
      </c>
      <c r="G277" t="str">
        <f>INDEX(Establishment!C$2:C$1005,MATCH($E277,Establishment!$A$2:$A$1005,0))</f>
        <v xml:space="preserve"> </v>
      </c>
      <c r="M277">
        <f t="shared" si="26"/>
        <v>0</v>
      </c>
      <c r="N277">
        <f t="shared" si="24"/>
        <v>0</v>
      </c>
      <c r="P277" t="e">
        <f>INDEX(Items!B$2:B$1032,MATCH($O277,Items!$A$2:$A$1032,0))</f>
        <v>#N/A</v>
      </c>
      <c r="Q277" t="e">
        <f>INDEX(Items!C$2:C$1032,MATCH($O277,Items!$A$2:$A$1032,0))</f>
        <v>#N/A</v>
      </c>
      <c r="R277" t="e">
        <f>INDEX(Items!D$2:D$1032,MATCH($O277,Items!$A$2:$A$1032,0))</f>
        <v>#N/A</v>
      </c>
    </row>
    <row r="278" spans="1:18" x14ac:dyDescent="0.25">
      <c r="A278">
        <f t="shared" si="22"/>
        <v>1</v>
      </c>
      <c r="B278" t="str">
        <f t="shared" si="23"/>
        <v/>
      </c>
      <c r="C278">
        <f t="shared" si="25"/>
        <v>1</v>
      </c>
      <c r="D278" s="4"/>
      <c r="E278" t="s">
        <v>18</v>
      </c>
      <c r="F278" t="str">
        <f>INDEX(Establishment!B$2:B$1005,MATCH($E278,Establishment!$A$2:$A$1005,0))</f>
        <v xml:space="preserve"> </v>
      </c>
      <c r="G278" t="str">
        <f>INDEX(Establishment!C$2:C$1005,MATCH($E278,Establishment!$A$2:$A$1005,0))</f>
        <v xml:space="preserve"> </v>
      </c>
      <c r="M278">
        <f t="shared" si="26"/>
        <v>0</v>
      </c>
      <c r="N278">
        <f t="shared" si="24"/>
        <v>0</v>
      </c>
      <c r="P278" t="e">
        <f>INDEX(Items!B$2:B$1032,MATCH($O278,Items!$A$2:$A$1032,0))</f>
        <v>#N/A</v>
      </c>
      <c r="Q278" t="e">
        <f>INDEX(Items!C$2:C$1032,MATCH($O278,Items!$A$2:$A$1032,0))</f>
        <v>#N/A</v>
      </c>
      <c r="R278" t="e">
        <f>INDEX(Items!D$2:D$1032,MATCH($O278,Items!$A$2:$A$1032,0))</f>
        <v>#N/A</v>
      </c>
    </row>
    <row r="279" spans="1:18" x14ac:dyDescent="0.25">
      <c r="A279">
        <f t="shared" si="22"/>
        <v>1</v>
      </c>
      <c r="B279" t="str">
        <f t="shared" si="23"/>
        <v/>
      </c>
      <c r="C279">
        <f t="shared" si="25"/>
        <v>1</v>
      </c>
      <c r="D279" s="4"/>
      <c r="E279" t="s">
        <v>18</v>
      </c>
      <c r="F279" t="str">
        <f>INDEX(Establishment!B$2:B$1005,MATCH($E279,Establishment!$A$2:$A$1005,0))</f>
        <v xml:space="preserve"> </v>
      </c>
      <c r="G279" t="str">
        <f>INDEX(Establishment!C$2:C$1005,MATCH($E279,Establishment!$A$2:$A$1005,0))</f>
        <v xml:space="preserve"> </v>
      </c>
      <c r="M279">
        <f t="shared" si="26"/>
        <v>0</v>
      </c>
      <c r="N279">
        <f t="shared" si="24"/>
        <v>0</v>
      </c>
      <c r="P279" t="e">
        <f>INDEX(Items!B$2:B$1032,MATCH($O279,Items!$A$2:$A$1032,0))</f>
        <v>#N/A</v>
      </c>
      <c r="Q279" t="e">
        <f>INDEX(Items!C$2:C$1032,MATCH($O279,Items!$A$2:$A$1032,0))</f>
        <v>#N/A</v>
      </c>
      <c r="R279" t="e">
        <f>INDEX(Items!D$2:D$1032,MATCH($O279,Items!$A$2:$A$1032,0))</f>
        <v>#N/A</v>
      </c>
    </row>
    <row r="280" spans="1:18" x14ac:dyDescent="0.25">
      <c r="A280">
        <f t="shared" si="22"/>
        <v>1</v>
      </c>
      <c r="B280" t="str">
        <f t="shared" si="23"/>
        <v/>
      </c>
      <c r="C280">
        <f t="shared" si="25"/>
        <v>1</v>
      </c>
      <c r="D280" s="4"/>
      <c r="E280" t="s">
        <v>18</v>
      </c>
      <c r="F280" t="str">
        <f>INDEX(Establishment!B$2:B$1005,MATCH($E280,Establishment!$A$2:$A$1005,0))</f>
        <v xml:space="preserve"> </v>
      </c>
      <c r="G280" t="str">
        <f>INDEX(Establishment!C$2:C$1005,MATCH($E280,Establishment!$A$2:$A$1005,0))</f>
        <v xml:space="preserve"> </v>
      </c>
      <c r="M280">
        <f t="shared" si="26"/>
        <v>0</v>
      </c>
      <c r="N280">
        <f t="shared" si="24"/>
        <v>0</v>
      </c>
      <c r="P280" t="e">
        <f>INDEX(Items!B$2:B$1032,MATCH($O280,Items!$A$2:$A$1032,0))</f>
        <v>#N/A</v>
      </c>
      <c r="Q280" t="e">
        <f>INDEX(Items!C$2:C$1032,MATCH($O280,Items!$A$2:$A$1032,0))</f>
        <v>#N/A</v>
      </c>
      <c r="R280" t="e">
        <f>INDEX(Items!D$2:D$1032,MATCH($O280,Items!$A$2:$A$1032,0))</f>
        <v>#N/A</v>
      </c>
    </row>
    <row r="281" spans="1:18" x14ac:dyDescent="0.25">
      <c r="A281">
        <f t="shared" si="22"/>
        <v>1</v>
      </c>
      <c r="B281" t="str">
        <f t="shared" si="23"/>
        <v/>
      </c>
      <c r="C281">
        <f t="shared" si="25"/>
        <v>1</v>
      </c>
      <c r="D281" s="4"/>
      <c r="E281" t="s">
        <v>18</v>
      </c>
      <c r="F281" t="str">
        <f>INDEX(Establishment!B$2:B$1005,MATCH($E281,Establishment!$A$2:$A$1005,0))</f>
        <v xml:space="preserve"> </v>
      </c>
      <c r="G281" t="str">
        <f>INDEX(Establishment!C$2:C$1005,MATCH($E281,Establishment!$A$2:$A$1005,0))</f>
        <v xml:space="preserve"> </v>
      </c>
      <c r="M281">
        <f t="shared" si="26"/>
        <v>0</v>
      </c>
      <c r="N281">
        <f t="shared" si="24"/>
        <v>0</v>
      </c>
      <c r="P281" t="e">
        <f>INDEX(Items!B$2:B$1032,MATCH($O281,Items!$A$2:$A$1032,0))</f>
        <v>#N/A</v>
      </c>
      <c r="Q281" t="e">
        <f>INDEX(Items!C$2:C$1032,MATCH($O281,Items!$A$2:$A$1032,0))</f>
        <v>#N/A</v>
      </c>
      <c r="R281" t="e">
        <f>INDEX(Items!D$2:D$1032,MATCH($O281,Items!$A$2:$A$1032,0))</f>
        <v>#N/A</v>
      </c>
    </row>
    <row r="282" spans="1:18" x14ac:dyDescent="0.25">
      <c r="A282">
        <f t="shared" si="22"/>
        <v>1</v>
      </c>
      <c r="B282" t="str">
        <f t="shared" si="23"/>
        <v/>
      </c>
      <c r="C282">
        <f t="shared" si="25"/>
        <v>1</v>
      </c>
      <c r="D282" s="4"/>
      <c r="E282" t="s">
        <v>18</v>
      </c>
      <c r="F282" t="str">
        <f>INDEX(Establishment!B$2:B$1005,MATCH($E282,Establishment!$A$2:$A$1005,0))</f>
        <v xml:space="preserve"> </v>
      </c>
      <c r="G282" t="str">
        <f>INDEX(Establishment!C$2:C$1005,MATCH($E282,Establishment!$A$2:$A$1005,0))</f>
        <v xml:space="preserve"> </v>
      </c>
      <c r="M282">
        <f t="shared" si="26"/>
        <v>0</v>
      </c>
      <c r="N282">
        <f t="shared" si="24"/>
        <v>0</v>
      </c>
      <c r="P282" t="e">
        <f>INDEX(Items!B$2:B$1032,MATCH($O282,Items!$A$2:$A$1032,0))</f>
        <v>#N/A</v>
      </c>
      <c r="Q282" t="e">
        <f>INDEX(Items!C$2:C$1032,MATCH($O282,Items!$A$2:$A$1032,0))</f>
        <v>#N/A</v>
      </c>
      <c r="R282" t="e">
        <f>INDEX(Items!D$2:D$1032,MATCH($O282,Items!$A$2:$A$1032,0))</f>
        <v>#N/A</v>
      </c>
    </row>
    <row r="283" spans="1:18" x14ac:dyDescent="0.25">
      <c r="A283">
        <f t="shared" si="22"/>
        <v>1</v>
      </c>
      <c r="B283" t="str">
        <f t="shared" si="23"/>
        <v/>
      </c>
      <c r="C283">
        <f t="shared" si="25"/>
        <v>1</v>
      </c>
      <c r="D283" s="4"/>
      <c r="E283" t="s">
        <v>18</v>
      </c>
      <c r="F283" t="str">
        <f>INDEX(Establishment!B$2:B$1005,MATCH($E283,Establishment!$A$2:$A$1005,0))</f>
        <v xml:space="preserve"> </v>
      </c>
      <c r="G283" t="str">
        <f>INDEX(Establishment!C$2:C$1005,MATCH($E283,Establishment!$A$2:$A$1005,0))</f>
        <v xml:space="preserve"> </v>
      </c>
      <c r="M283">
        <f t="shared" si="26"/>
        <v>0</v>
      </c>
      <c r="N283">
        <f t="shared" si="24"/>
        <v>0</v>
      </c>
      <c r="P283" t="e">
        <f>INDEX(Items!B$2:B$1032,MATCH($O283,Items!$A$2:$A$1032,0))</f>
        <v>#N/A</v>
      </c>
      <c r="Q283" t="e">
        <f>INDEX(Items!C$2:C$1032,MATCH($O283,Items!$A$2:$A$1032,0))</f>
        <v>#N/A</v>
      </c>
      <c r="R283" t="e">
        <f>INDEX(Items!D$2:D$1032,MATCH($O283,Items!$A$2:$A$1032,0))</f>
        <v>#N/A</v>
      </c>
    </row>
    <row r="284" spans="1:18" x14ac:dyDescent="0.25">
      <c r="A284">
        <f t="shared" si="22"/>
        <v>1</v>
      </c>
      <c r="B284" t="str">
        <f t="shared" si="23"/>
        <v/>
      </c>
      <c r="C284">
        <f t="shared" si="25"/>
        <v>1</v>
      </c>
      <c r="D284" s="4"/>
      <c r="E284" t="s">
        <v>18</v>
      </c>
      <c r="F284" t="str">
        <f>INDEX(Establishment!B$2:B$1005,MATCH($E284,Establishment!$A$2:$A$1005,0))</f>
        <v xml:space="preserve"> </v>
      </c>
      <c r="G284" t="str">
        <f>INDEX(Establishment!C$2:C$1005,MATCH($E284,Establishment!$A$2:$A$1005,0))</f>
        <v xml:space="preserve"> </v>
      </c>
      <c r="M284">
        <f t="shared" si="26"/>
        <v>0</v>
      </c>
      <c r="N284">
        <f t="shared" si="24"/>
        <v>0</v>
      </c>
      <c r="P284" t="e">
        <f>INDEX(Items!B$2:B$1032,MATCH($O284,Items!$A$2:$A$1032,0))</f>
        <v>#N/A</v>
      </c>
      <c r="Q284" t="e">
        <f>INDEX(Items!C$2:C$1032,MATCH($O284,Items!$A$2:$A$1032,0))</f>
        <v>#N/A</v>
      </c>
      <c r="R284" t="e">
        <f>INDEX(Items!D$2:D$1032,MATCH($O284,Items!$A$2:$A$1032,0))</f>
        <v>#N/A</v>
      </c>
    </row>
    <row r="285" spans="1:18" x14ac:dyDescent="0.25">
      <c r="A285">
        <f t="shared" si="22"/>
        <v>1</v>
      </c>
      <c r="B285" t="str">
        <f t="shared" si="23"/>
        <v/>
      </c>
      <c r="C285">
        <f t="shared" si="25"/>
        <v>1</v>
      </c>
      <c r="D285" s="4"/>
      <c r="E285" t="s">
        <v>18</v>
      </c>
      <c r="F285" t="str">
        <f>INDEX(Establishment!B$2:B$1005,MATCH($E285,Establishment!$A$2:$A$1005,0))</f>
        <v xml:space="preserve"> </v>
      </c>
      <c r="G285" t="str">
        <f>INDEX(Establishment!C$2:C$1005,MATCH($E285,Establishment!$A$2:$A$1005,0))</f>
        <v xml:space="preserve"> </v>
      </c>
      <c r="M285">
        <f t="shared" si="26"/>
        <v>0</v>
      </c>
      <c r="N285">
        <f t="shared" si="24"/>
        <v>0</v>
      </c>
      <c r="P285" t="e">
        <f>INDEX(Items!B$2:B$1032,MATCH($O285,Items!$A$2:$A$1032,0))</f>
        <v>#N/A</v>
      </c>
      <c r="Q285" t="e">
        <f>INDEX(Items!C$2:C$1032,MATCH($O285,Items!$A$2:$A$1032,0))</f>
        <v>#N/A</v>
      </c>
      <c r="R285" t="e">
        <f>INDEX(Items!D$2:D$1032,MATCH($O285,Items!$A$2:$A$1032,0))</f>
        <v>#N/A</v>
      </c>
    </row>
    <row r="286" spans="1:18" x14ac:dyDescent="0.25">
      <c r="A286">
        <f t="shared" si="22"/>
        <v>1</v>
      </c>
      <c r="B286" t="str">
        <f t="shared" si="23"/>
        <v/>
      </c>
      <c r="C286">
        <f t="shared" si="25"/>
        <v>1</v>
      </c>
      <c r="D286" s="4"/>
      <c r="E286" t="s">
        <v>18</v>
      </c>
      <c r="F286" t="str">
        <f>INDEX(Establishment!B$2:B$1005,MATCH($E286,Establishment!$A$2:$A$1005,0))</f>
        <v xml:space="preserve"> </v>
      </c>
      <c r="G286" t="str">
        <f>INDEX(Establishment!C$2:C$1005,MATCH($E286,Establishment!$A$2:$A$1005,0))</f>
        <v xml:space="preserve"> </v>
      </c>
      <c r="M286">
        <f t="shared" si="26"/>
        <v>0</v>
      </c>
      <c r="N286">
        <f t="shared" si="24"/>
        <v>0</v>
      </c>
      <c r="P286" t="e">
        <f>INDEX(Items!B$2:B$1032,MATCH($O286,Items!$A$2:$A$1032,0))</f>
        <v>#N/A</v>
      </c>
      <c r="Q286" t="e">
        <f>INDEX(Items!C$2:C$1032,MATCH($O286,Items!$A$2:$A$1032,0))</f>
        <v>#N/A</v>
      </c>
      <c r="R286" t="e">
        <f>INDEX(Items!D$2:D$1032,MATCH($O286,Items!$A$2:$A$1032,0))</f>
        <v>#N/A</v>
      </c>
    </row>
    <row r="287" spans="1:18" x14ac:dyDescent="0.25">
      <c r="A287">
        <f t="shared" si="22"/>
        <v>1</v>
      </c>
      <c r="B287" t="str">
        <f t="shared" si="23"/>
        <v/>
      </c>
      <c r="C287">
        <f t="shared" si="25"/>
        <v>1</v>
      </c>
      <c r="D287" s="4"/>
      <c r="E287" t="s">
        <v>18</v>
      </c>
      <c r="F287" t="str">
        <f>INDEX(Establishment!B$2:B$1005,MATCH($E287,Establishment!$A$2:$A$1005,0))</f>
        <v xml:space="preserve"> </v>
      </c>
      <c r="G287" t="str">
        <f>INDEX(Establishment!C$2:C$1005,MATCH($E287,Establishment!$A$2:$A$1005,0))</f>
        <v xml:space="preserve"> </v>
      </c>
      <c r="M287">
        <f t="shared" si="26"/>
        <v>0</v>
      </c>
      <c r="N287">
        <f t="shared" si="24"/>
        <v>0</v>
      </c>
      <c r="P287" t="e">
        <f>INDEX(Items!B$2:B$1032,MATCH($O287,Items!$A$2:$A$1032,0))</f>
        <v>#N/A</v>
      </c>
      <c r="Q287" t="e">
        <f>INDEX(Items!C$2:C$1032,MATCH($O287,Items!$A$2:$A$1032,0))</f>
        <v>#N/A</v>
      </c>
      <c r="R287" t="e">
        <f>INDEX(Items!D$2:D$1032,MATCH($O287,Items!$A$2:$A$1032,0))</f>
        <v>#N/A</v>
      </c>
    </row>
    <row r="288" spans="1:18" x14ac:dyDescent="0.25">
      <c r="A288">
        <f t="shared" si="22"/>
        <v>1</v>
      </c>
      <c r="B288" t="str">
        <f t="shared" si="23"/>
        <v/>
      </c>
      <c r="C288">
        <f t="shared" si="25"/>
        <v>1</v>
      </c>
      <c r="D288" s="4"/>
      <c r="E288" t="s">
        <v>18</v>
      </c>
      <c r="F288" t="str">
        <f>INDEX(Establishment!B$2:B$1005,MATCH($E288,Establishment!$A$2:$A$1005,0))</f>
        <v xml:space="preserve"> </v>
      </c>
      <c r="G288" t="str">
        <f>INDEX(Establishment!C$2:C$1005,MATCH($E288,Establishment!$A$2:$A$1005,0))</f>
        <v xml:space="preserve"> </v>
      </c>
      <c r="M288">
        <f t="shared" si="26"/>
        <v>0</v>
      </c>
      <c r="N288">
        <f t="shared" si="24"/>
        <v>0</v>
      </c>
      <c r="P288" t="e">
        <f>INDEX(Items!B$2:B$1032,MATCH($O288,Items!$A$2:$A$1032,0))</f>
        <v>#N/A</v>
      </c>
      <c r="Q288" t="e">
        <f>INDEX(Items!C$2:C$1032,MATCH($O288,Items!$A$2:$A$1032,0))</f>
        <v>#N/A</v>
      </c>
      <c r="R288" t="e">
        <f>INDEX(Items!D$2:D$1032,MATCH($O288,Items!$A$2:$A$1032,0))</f>
        <v>#N/A</v>
      </c>
    </row>
    <row r="289" spans="1:18" x14ac:dyDescent="0.25">
      <c r="A289">
        <f t="shared" si="22"/>
        <v>1</v>
      </c>
      <c r="B289" t="str">
        <f t="shared" si="23"/>
        <v/>
      </c>
      <c r="C289">
        <f t="shared" si="25"/>
        <v>1</v>
      </c>
      <c r="D289" s="4"/>
      <c r="E289" t="s">
        <v>18</v>
      </c>
      <c r="F289" t="str">
        <f>INDEX(Establishment!B$2:B$1005,MATCH($E289,Establishment!$A$2:$A$1005,0))</f>
        <v xml:space="preserve"> </v>
      </c>
      <c r="G289" t="str">
        <f>INDEX(Establishment!C$2:C$1005,MATCH($E289,Establishment!$A$2:$A$1005,0))</f>
        <v xml:space="preserve"> </v>
      </c>
      <c r="M289">
        <f t="shared" si="26"/>
        <v>0</v>
      </c>
      <c r="N289">
        <f t="shared" si="24"/>
        <v>0</v>
      </c>
      <c r="P289" t="e">
        <f>INDEX(Items!B$2:B$1032,MATCH($O289,Items!$A$2:$A$1032,0))</f>
        <v>#N/A</v>
      </c>
      <c r="Q289" t="e">
        <f>INDEX(Items!C$2:C$1032,MATCH($O289,Items!$A$2:$A$1032,0))</f>
        <v>#N/A</v>
      </c>
      <c r="R289" t="e">
        <f>INDEX(Items!D$2:D$1032,MATCH($O289,Items!$A$2:$A$1032,0))</f>
        <v>#N/A</v>
      </c>
    </row>
    <row r="290" spans="1:18" x14ac:dyDescent="0.25">
      <c r="A290">
        <f t="shared" si="22"/>
        <v>1</v>
      </c>
      <c r="B290" t="str">
        <f t="shared" si="23"/>
        <v/>
      </c>
      <c r="C290">
        <f t="shared" si="25"/>
        <v>1</v>
      </c>
      <c r="D290" s="4"/>
      <c r="E290" t="s">
        <v>18</v>
      </c>
      <c r="F290" t="str">
        <f>INDEX(Establishment!B$2:B$1005,MATCH($E290,Establishment!$A$2:$A$1005,0))</f>
        <v xml:space="preserve"> </v>
      </c>
      <c r="G290" t="str">
        <f>INDEX(Establishment!C$2:C$1005,MATCH($E290,Establishment!$A$2:$A$1005,0))</f>
        <v xml:space="preserve"> </v>
      </c>
      <c r="M290">
        <f t="shared" si="26"/>
        <v>0</v>
      </c>
      <c r="N290">
        <f t="shared" si="24"/>
        <v>0</v>
      </c>
      <c r="P290" t="e">
        <f>INDEX(Items!B$2:B$1032,MATCH($O290,Items!$A$2:$A$1032,0))</f>
        <v>#N/A</v>
      </c>
      <c r="Q290" t="e">
        <f>INDEX(Items!C$2:C$1032,MATCH($O290,Items!$A$2:$A$1032,0))</f>
        <v>#N/A</v>
      </c>
      <c r="R290" t="e">
        <f>INDEX(Items!D$2:D$1032,MATCH($O290,Items!$A$2:$A$1032,0))</f>
        <v>#N/A</v>
      </c>
    </row>
    <row r="291" spans="1:18" x14ac:dyDescent="0.25">
      <c r="A291">
        <f t="shared" si="22"/>
        <v>1</v>
      </c>
      <c r="B291" t="str">
        <f t="shared" si="23"/>
        <v/>
      </c>
      <c r="C291">
        <f t="shared" si="25"/>
        <v>1</v>
      </c>
      <c r="D291" s="4"/>
      <c r="E291" t="s">
        <v>18</v>
      </c>
      <c r="F291" t="str">
        <f>INDEX(Establishment!B$2:B$1005,MATCH($E291,Establishment!$A$2:$A$1005,0))</f>
        <v xml:space="preserve"> </v>
      </c>
      <c r="G291" t="str">
        <f>INDEX(Establishment!C$2:C$1005,MATCH($E291,Establishment!$A$2:$A$1005,0))</f>
        <v xml:space="preserve"> </v>
      </c>
      <c r="M291">
        <f t="shared" si="26"/>
        <v>0</v>
      </c>
      <c r="N291">
        <f t="shared" si="24"/>
        <v>0</v>
      </c>
      <c r="P291" t="e">
        <f>INDEX(Items!B$2:B$1032,MATCH($O291,Items!$A$2:$A$1032,0))</f>
        <v>#N/A</v>
      </c>
      <c r="Q291" t="e">
        <f>INDEX(Items!C$2:C$1032,MATCH($O291,Items!$A$2:$A$1032,0))</f>
        <v>#N/A</v>
      </c>
      <c r="R291" t="e">
        <f>INDEX(Items!D$2:D$1032,MATCH($O291,Items!$A$2:$A$1032,0))</f>
        <v>#N/A</v>
      </c>
    </row>
    <row r="292" spans="1:18" x14ac:dyDescent="0.25">
      <c r="A292">
        <f t="shared" si="22"/>
        <v>1</v>
      </c>
      <c r="B292" t="str">
        <f t="shared" si="23"/>
        <v/>
      </c>
      <c r="C292">
        <f t="shared" si="25"/>
        <v>1</v>
      </c>
      <c r="D292" s="4"/>
      <c r="E292" t="s">
        <v>18</v>
      </c>
      <c r="F292" t="str">
        <f>INDEX(Establishment!B$2:B$1005,MATCH($E292,Establishment!$A$2:$A$1005,0))</f>
        <v xml:space="preserve"> </v>
      </c>
      <c r="G292" t="str">
        <f>INDEX(Establishment!C$2:C$1005,MATCH($E292,Establishment!$A$2:$A$1005,0))</f>
        <v xml:space="preserve"> </v>
      </c>
      <c r="M292">
        <f t="shared" si="26"/>
        <v>0</v>
      </c>
      <c r="N292">
        <f t="shared" si="24"/>
        <v>0</v>
      </c>
      <c r="P292" t="e">
        <f>INDEX(Items!B$2:B$1032,MATCH($O292,Items!$A$2:$A$1032,0))</f>
        <v>#N/A</v>
      </c>
      <c r="Q292" t="e">
        <f>INDEX(Items!C$2:C$1032,MATCH($O292,Items!$A$2:$A$1032,0))</f>
        <v>#N/A</v>
      </c>
      <c r="R292" t="e">
        <f>INDEX(Items!D$2:D$1032,MATCH($O292,Items!$A$2:$A$1032,0))</f>
        <v>#N/A</v>
      </c>
    </row>
    <row r="293" spans="1:18" x14ac:dyDescent="0.25">
      <c r="A293">
        <f t="shared" si="22"/>
        <v>1</v>
      </c>
      <c r="B293" t="str">
        <f t="shared" si="23"/>
        <v/>
      </c>
      <c r="C293">
        <f t="shared" si="25"/>
        <v>1</v>
      </c>
      <c r="D293" s="4"/>
      <c r="E293" t="s">
        <v>18</v>
      </c>
      <c r="F293" t="str">
        <f>INDEX(Establishment!B$2:B$1005,MATCH($E293,Establishment!$A$2:$A$1005,0))</f>
        <v xml:space="preserve"> </v>
      </c>
      <c r="G293" t="str">
        <f>INDEX(Establishment!C$2:C$1005,MATCH($E293,Establishment!$A$2:$A$1005,0))</f>
        <v xml:space="preserve"> </v>
      </c>
      <c r="M293">
        <f t="shared" si="26"/>
        <v>0</v>
      </c>
      <c r="N293">
        <f t="shared" si="24"/>
        <v>0</v>
      </c>
      <c r="P293" t="e">
        <f>INDEX(Items!B$2:B$1032,MATCH($O293,Items!$A$2:$A$1032,0))</f>
        <v>#N/A</v>
      </c>
      <c r="Q293" t="e">
        <f>INDEX(Items!C$2:C$1032,MATCH($O293,Items!$A$2:$A$1032,0))</f>
        <v>#N/A</v>
      </c>
      <c r="R293" t="e">
        <f>INDEX(Items!D$2:D$1032,MATCH($O293,Items!$A$2:$A$1032,0))</f>
        <v>#N/A</v>
      </c>
    </row>
    <row r="294" spans="1:18" x14ac:dyDescent="0.25">
      <c r="A294">
        <f t="shared" si="22"/>
        <v>1</v>
      </c>
      <c r="B294" t="str">
        <f t="shared" si="23"/>
        <v/>
      </c>
      <c r="C294">
        <f t="shared" si="25"/>
        <v>1</v>
      </c>
      <c r="D294" s="4"/>
      <c r="E294" t="s">
        <v>18</v>
      </c>
      <c r="F294" t="str">
        <f>INDEX(Establishment!B$2:B$1005,MATCH($E294,Establishment!$A$2:$A$1005,0))</f>
        <v xml:space="preserve"> </v>
      </c>
      <c r="G294" t="str">
        <f>INDEX(Establishment!C$2:C$1005,MATCH($E294,Establishment!$A$2:$A$1005,0))</f>
        <v xml:space="preserve"> </v>
      </c>
      <c r="M294">
        <f t="shared" si="26"/>
        <v>0</v>
      </c>
      <c r="N294">
        <f t="shared" si="24"/>
        <v>0</v>
      </c>
      <c r="P294" t="e">
        <f>INDEX(Items!B$2:B$1032,MATCH($O294,Items!$A$2:$A$1032,0))</f>
        <v>#N/A</v>
      </c>
      <c r="Q294" t="e">
        <f>INDEX(Items!C$2:C$1032,MATCH($O294,Items!$A$2:$A$1032,0))</f>
        <v>#N/A</v>
      </c>
      <c r="R294" t="e">
        <f>INDEX(Items!D$2:D$1032,MATCH($O294,Items!$A$2:$A$1032,0))</f>
        <v>#N/A</v>
      </c>
    </row>
    <row r="295" spans="1:18" x14ac:dyDescent="0.25">
      <c r="A295">
        <f t="shared" si="22"/>
        <v>1</v>
      </c>
      <c r="B295" t="str">
        <f t="shared" si="23"/>
        <v/>
      </c>
      <c r="C295">
        <f t="shared" si="25"/>
        <v>1</v>
      </c>
      <c r="D295" s="4"/>
      <c r="E295" t="s">
        <v>18</v>
      </c>
      <c r="F295" t="str">
        <f>INDEX(Establishment!B$2:B$1005,MATCH($E295,Establishment!$A$2:$A$1005,0))</f>
        <v xml:space="preserve"> </v>
      </c>
      <c r="G295" t="str">
        <f>INDEX(Establishment!C$2:C$1005,MATCH($E295,Establishment!$A$2:$A$1005,0))</f>
        <v xml:space="preserve"> </v>
      </c>
      <c r="M295">
        <f t="shared" si="26"/>
        <v>0</v>
      </c>
      <c r="N295">
        <f t="shared" si="24"/>
        <v>0</v>
      </c>
      <c r="P295" t="e">
        <f>INDEX(Items!B$2:B$1032,MATCH($O295,Items!$A$2:$A$1032,0))</f>
        <v>#N/A</v>
      </c>
      <c r="Q295" t="e">
        <f>INDEX(Items!C$2:C$1032,MATCH($O295,Items!$A$2:$A$1032,0))</f>
        <v>#N/A</v>
      </c>
      <c r="R295" t="e">
        <f>INDEX(Items!D$2:D$1032,MATCH($O295,Items!$A$2:$A$1032,0))</f>
        <v>#N/A</v>
      </c>
    </row>
    <row r="296" spans="1:18" x14ac:dyDescent="0.25">
      <c r="A296">
        <f t="shared" si="22"/>
        <v>1</v>
      </c>
      <c r="B296" t="str">
        <f t="shared" si="23"/>
        <v/>
      </c>
      <c r="C296">
        <f t="shared" si="25"/>
        <v>1</v>
      </c>
      <c r="D296" s="4"/>
      <c r="E296" t="s">
        <v>18</v>
      </c>
      <c r="F296" t="str">
        <f>INDEX(Establishment!B$2:B$1005,MATCH($E296,Establishment!$A$2:$A$1005,0))</f>
        <v xml:space="preserve"> </v>
      </c>
      <c r="G296" t="str">
        <f>INDEX(Establishment!C$2:C$1005,MATCH($E296,Establishment!$A$2:$A$1005,0))</f>
        <v xml:space="preserve"> </v>
      </c>
      <c r="M296">
        <f t="shared" si="26"/>
        <v>0</v>
      </c>
      <c r="N296">
        <f t="shared" si="24"/>
        <v>0</v>
      </c>
      <c r="P296" t="e">
        <f>INDEX(Items!B$2:B$1032,MATCH($O296,Items!$A$2:$A$1032,0))</f>
        <v>#N/A</v>
      </c>
      <c r="Q296" t="e">
        <f>INDEX(Items!C$2:C$1032,MATCH($O296,Items!$A$2:$A$1032,0))</f>
        <v>#N/A</v>
      </c>
      <c r="R296" t="e">
        <f>INDEX(Items!D$2:D$1032,MATCH($O296,Items!$A$2:$A$1032,0))</f>
        <v>#N/A</v>
      </c>
    </row>
    <row r="297" spans="1:18" x14ac:dyDescent="0.25">
      <c r="A297">
        <f t="shared" si="22"/>
        <v>1</v>
      </c>
      <c r="B297" t="str">
        <f t="shared" si="23"/>
        <v/>
      </c>
      <c r="C297">
        <f t="shared" si="25"/>
        <v>1</v>
      </c>
      <c r="D297" s="4"/>
      <c r="E297" t="s">
        <v>18</v>
      </c>
      <c r="F297" t="str">
        <f>INDEX(Establishment!B$2:B$1005,MATCH($E297,Establishment!$A$2:$A$1005,0))</f>
        <v xml:space="preserve"> </v>
      </c>
      <c r="G297" t="str">
        <f>INDEX(Establishment!C$2:C$1005,MATCH($E297,Establishment!$A$2:$A$1005,0))</f>
        <v xml:space="preserve"> </v>
      </c>
      <c r="M297">
        <f t="shared" si="26"/>
        <v>0</v>
      </c>
      <c r="N297">
        <f t="shared" si="24"/>
        <v>0</v>
      </c>
      <c r="P297" t="e">
        <f>INDEX(Items!B$2:B$1032,MATCH($O297,Items!$A$2:$A$1032,0))</f>
        <v>#N/A</v>
      </c>
      <c r="Q297" t="e">
        <f>INDEX(Items!C$2:C$1032,MATCH($O297,Items!$A$2:$A$1032,0))</f>
        <v>#N/A</v>
      </c>
      <c r="R297" t="e">
        <f>INDEX(Items!D$2:D$1032,MATCH($O297,Items!$A$2:$A$1032,0))</f>
        <v>#N/A</v>
      </c>
    </row>
    <row r="298" spans="1:18" x14ac:dyDescent="0.25">
      <c r="A298">
        <f t="shared" si="22"/>
        <v>1</v>
      </c>
      <c r="B298" t="str">
        <f t="shared" si="23"/>
        <v/>
      </c>
      <c r="C298">
        <f t="shared" si="25"/>
        <v>1</v>
      </c>
      <c r="D298" s="4"/>
      <c r="E298" t="s">
        <v>18</v>
      </c>
      <c r="F298" t="str">
        <f>INDEX(Establishment!B$2:B$1005,MATCH($E298,Establishment!$A$2:$A$1005,0))</f>
        <v xml:space="preserve"> </v>
      </c>
      <c r="G298" t="str">
        <f>INDEX(Establishment!C$2:C$1005,MATCH($E298,Establishment!$A$2:$A$1005,0))</f>
        <v xml:space="preserve"> </v>
      </c>
      <c r="M298">
        <f t="shared" si="26"/>
        <v>0</v>
      </c>
      <c r="N298">
        <f t="shared" si="24"/>
        <v>0</v>
      </c>
      <c r="P298" t="e">
        <f>INDEX(Items!B$2:B$1032,MATCH($O298,Items!$A$2:$A$1032,0))</f>
        <v>#N/A</v>
      </c>
      <c r="Q298" t="e">
        <f>INDEX(Items!C$2:C$1032,MATCH($O298,Items!$A$2:$A$1032,0))</f>
        <v>#N/A</v>
      </c>
      <c r="R298" t="e">
        <f>INDEX(Items!D$2:D$1032,MATCH($O298,Items!$A$2:$A$1032,0))</f>
        <v>#N/A</v>
      </c>
    </row>
    <row r="299" spans="1:18" x14ac:dyDescent="0.25">
      <c r="A299">
        <f t="shared" si="22"/>
        <v>1</v>
      </c>
      <c r="B299" t="str">
        <f t="shared" si="23"/>
        <v/>
      </c>
      <c r="C299">
        <f t="shared" si="25"/>
        <v>1</v>
      </c>
      <c r="D299" s="4"/>
      <c r="E299" t="s">
        <v>18</v>
      </c>
      <c r="F299" t="str">
        <f>INDEX(Establishment!B$2:B$1005,MATCH($E299,Establishment!$A$2:$A$1005,0))</f>
        <v xml:space="preserve"> </v>
      </c>
      <c r="G299" t="str">
        <f>INDEX(Establishment!C$2:C$1005,MATCH($E299,Establishment!$A$2:$A$1005,0))</f>
        <v xml:space="preserve"> </v>
      </c>
      <c r="M299">
        <f t="shared" si="26"/>
        <v>0</v>
      </c>
      <c r="N299">
        <f t="shared" si="24"/>
        <v>0</v>
      </c>
      <c r="P299" t="e">
        <f>INDEX(Items!B$2:B$1032,MATCH($O299,Items!$A$2:$A$1032,0))</f>
        <v>#N/A</v>
      </c>
      <c r="Q299" t="e">
        <f>INDEX(Items!C$2:C$1032,MATCH($O299,Items!$A$2:$A$1032,0))</f>
        <v>#N/A</v>
      </c>
      <c r="R299" t="e">
        <f>INDEX(Items!D$2:D$1032,MATCH($O299,Items!$A$2:$A$1032,0))</f>
        <v>#N/A</v>
      </c>
    </row>
    <row r="300" spans="1:18" x14ac:dyDescent="0.25">
      <c r="A300">
        <f t="shared" si="22"/>
        <v>1</v>
      </c>
      <c r="B300" t="str">
        <f t="shared" si="23"/>
        <v/>
      </c>
      <c r="C300">
        <f t="shared" si="25"/>
        <v>1</v>
      </c>
      <c r="D300" s="4"/>
      <c r="E300" t="s">
        <v>18</v>
      </c>
      <c r="F300" t="str">
        <f>INDEX(Establishment!B$2:B$1005,MATCH($E300,Establishment!$A$2:$A$1005,0))</f>
        <v xml:space="preserve"> </v>
      </c>
      <c r="G300" t="str">
        <f>INDEX(Establishment!C$2:C$1005,MATCH($E300,Establishment!$A$2:$A$1005,0))</f>
        <v xml:space="preserve"> </v>
      </c>
      <c r="M300">
        <f t="shared" si="26"/>
        <v>0</v>
      </c>
      <c r="N300">
        <f t="shared" si="24"/>
        <v>0</v>
      </c>
      <c r="P300" t="e">
        <f>INDEX(Items!B$2:B$1032,MATCH($O300,Items!$A$2:$A$1032,0))</f>
        <v>#N/A</v>
      </c>
      <c r="Q300" t="e">
        <f>INDEX(Items!C$2:C$1032,MATCH($O300,Items!$A$2:$A$1032,0))</f>
        <v>#N/A</v>
      </c>
      <c r="R300" t="e">
        <f>INDEX(Items!D$2:D$1032,MATCH($O300,Items!$A$2:$A$1032,0))</f>
        <v>#N/A</v>
      </c>
    </row>
    <row r="301" spans="1:18" x14ac:dyDescent="0.25">
      <c r="A301">
        <f t="shared" si="22"/>
        <v>1</v>
      </c>
      <c r="B301" t="str">
        <f t="shared" si="23"/>
        <v/>
      </c>
      <c r="C301">
        <f t="shared" si="25"/>
        <v>1</v>
      </c>
      <c r="D301" s="4"/>
      <c r="E301" t="s">
        <v>18</v>
      </c>
      <c r="F301" t="str">
        <f>INDEX(Establishment!B$2:B$1005,MATCH($E301,Establishment!$A$2:$A$1005,0))</f>
        <v xml:space="preserve"> </v>
      </c>
      <c r="G301" t="str">
        <f>INDEX(Establishment!C$2:C$1005,MATCH($E301,Establishment!$A$2:$A$1005,0))</f>
        <v xml:space="preserve"> </v>
      </c>
      <c r="M301">
        <f t="shared" si="26"/>
        <v>0</v>
      </c>
      <c r="N301">
        <f t="shared" si="24"/>
        <v>0</v>
      </c>
      <c r="P301" t="e">
        <f>INDEX(Items!B$2:B$1032,MATCH($O301,Items!$A$2:$A$1032,0))</f>
        <v>#N/A</v>
      </c>
      <c r="Q301" t="e">
        <f>INDEX(Items!C$2:C$1032,MATCH($O301,Items!$A$2:$A$1032,0))</f>
        <v>#N/A</v>
      </c>
      <c r="R301" t="e">
        <f>INDEX(Items!D$2:D$1032,MATCH($O301,Items!$A$2:$A$1032,0))</f>
        <v>#N/A</v>
      </c>
    </row>
    <row r="302" spans="1:18" x14ac:dyDescent="0.25">
      <c r="A302">
        <f t="shared" si="22"/>
        <v>1</v>
      </c>
      <c r="B302" t="str">
        <f t="shared" si="23"/>
        <v/>
      </c>
      <c r="C302">
        <f t="shared" si="25"/>
        <v>1</v>
      </c>
      <c r="D302" s="4"/>
      <c r="E302" t="s">
        <v>18</v>
      </c>
      <c r="F302" t="str">
        <f>INDEX(Establishment!B$2:B$1005,MATCH($E302,Establishment!$A$2:$A$1005,0))</f>
        <v xml:space="preserve"> </v>
      </c>
      <c r="G302" t="str">
        <f>INDEX(Establishment!C$2:C$1005,MATCH($E302,Establishment!$A$2:$A$1005,0))</f>
        <v xml:space="preserve"> </v>
      </c>
      <c r="M302">
        <f t="shared" si="26"/>
        <v>0</v>
      </c>
      <c r="N302">
        <f t="shared" si="24"/>
        <v>0</v>
      </c>
      <c r="P302" t="e">
        <f>INDEX(Items!B$2:B$1032,MATCH($O302,Items!$A$2:$A$1032,0))</f>
        <v>#N/A</v>
      </c>
      <c r="Q302" t="e">
        <f>INDEX(Items!C$2:C$1032,MATCH($O302,Items!$A$2:$A$1032,0))</f>
        <v>#N/A</v>
      </c>
      <c r="R302" t="e">
        <f>INDEX(Items!D$2:D$1032,MATCH($O302,Items!$A$2:$A$1032,0))</f>
        <v>#N/A</v>
      </c>
    </row>
    <row r="303" spans="1:18" x14ac:dyDescent="0.25">
      <c r="A303">
        <f t="shared" si="22"/>
        <v>1</v>
      </c>
      <c r="B303" t="str">
        <f t="shared" si="23"/>
        <v/>
      </c>
      <c r="C303">
        <f t="shared" si="25"/>
        <v>1</v>
      </c>
      <c r="D303" s="4"/>
      <c r="E303" t="s">
        <v>18</v>
      </c>
      <c r="F303" t="str">
        <f>INDEX(Establishment!B$2:B$1005,MATCH($E303,Establishment!$A$2:$A$1005,0))</f>
        <v xml:space="preserve"> </v>
      </c>
      <c r="G303" t="str">
        <f>INDEX(Establishment!C$2:C$1005,MATCH($E303,Establishment!$A$2:$A$1005,0))</f>
        <v xml:space="preserve"> </v>
      </c>
      <c r="M303">
        <f t="shared" si="26"/>
        <v>0</v>
      </c>
      <c r="N303">
        <f t="shared" si="24"/>
        <v>0</v>
      </c>
      <c r="P303" t="e">
        <f>INDEX(Items!B$2:B$1032,MATCH($O303,Items!$A$2:$A$1032,0))</f>
        <v>#N/A</v>
      </c>
      <c r="Q303" t="e">
        <f>INDEX(Items!C$2:C$1032,MATCH($O303,Items!$A$2:$A$1032,0))</f>
        <v>#N/A</v>
      </c>
      <c r="R303" t="e">
        <f>INDEX(Items!D$2:D$1032,MATCH($O303,Items!$A$2:$A$1032,0))</f>
        <v>#N/A</v>
      </c>
    </row>
    <row r="304" spans="1:18" x14ac:dyDescent="0.25">
      <c r="A304">
        <f t="shared" si="22"/>
        <v>1</v>
      </c>
      <c r="B304" t="str">
        <f t="shared" si="23"/>
        <v/>
      </c>
      <c r="C304">
        <f t="shared" si="25"/>
        <v>1</v>
      </c>
      <c r="D304" s="4"/>
      <c r="E304" t="s">
        <v>18</v>
      </c>
      <c r="F304" t="str">
        <f>INDEX(Establishment!B$2:B$1005,MATCH($E304,Establishment!$A$2:$A$1005,0))</f>
        <v xml:space="preserve"> </v>
      </c>
      <c r="G304" t="str">
        <f>INDEX(Establishment!C$2:C$1005,MATCH($E304,Establishment!$A$2:$A$1005,0))</f>
        <v xml:space="preserve"> </v>
      </c>
      <c r="M304">
        <f t="shared" si="26"/>
        <v>0</v>
      </c>
      <c r="N304">
        <f t="shared" si="24"/>
        <v>0</v>
      </c>
      <c r="P304" t="e">
        <f>INDEX(Items!B$2:B$1032,MATCH($O304,Items!$A$2:$A$1032,0))</f>
        <v>#N/A</v>
      </c>
      <c r="Q304" t="e">
        <f>INDEX(Items!C$2:C$1032,MATCH($O304,Items!$A$2:$A$1032,0))</f>
        <v>#N/A</v>
      </c>
      <c r="R304" t="e">
        <f>INDEX(Items!D$2:D$1032,MATCH($O304,Items!$A$2:$A$1032,0))</f>
        <v>#N/A</v>
      </c>
    </row>
    <row r="305" spans="1:18" x14ac:dyDescent="0.25">
      <c r="A305">
        <f t="shared" si="22"/>
        <v>1</v>
      </c>
      <c r="B305" t="str">
        <f t="shared" si="23"/>
        <v/>
      </c>
      <c r="C305">
        <f t="shared" si="25"/>
        <v>1</v>
      </c>
      <c r="D305" s="4"/>
      <c r="E305" t="s">
        <v>18</v>
      </c>
      <c r="F305" t="str">
        <f>INDEX(Establishment!B$2:B$1005,MATCH($E305,Establishment!$A$2:$A$1005,0))</f>
        <v xml:space="preserve"> </v>
      </c>
      <c r="G305" t="str">
        <f>INDEX(Establishment!C$2:C$1005,MATCH($E305,Establishment!$A$2:$A$1005,0))</f>
        <v xml:space="preserve"> </v>
      </c>
      <c r="M305">
        <f t="shared" si="26"/>
        <v>0</v>
      </c>
      <c r="N305">
        <f t="shared" si="24"/>
        <v>0</v>
      </c>
      <c r="P305" t="e">
        <f>INDEX(Items!B$2:B$1032,MATCH($O305,Items!$A$2:$A$1032,0))</f>
        <v>#N/A</v>
      </c>
      <c r="Q305" t="e">
        <f>INDEX(Items!C$2:C$1032,MATCH($O305,Items!$A$2:$A$1032,0))</f>
        <v>#N/A</v>
      </c>
      <c r="R305" t="e">
        <f>INDEX(Items!D$2:D$1032,MATCH($O305,Items!$A$2:$A$1032,0))</f>
        <v>#N/A</v>
      </c>
    </row>
    <row r="306" spans="1:18" x14ac:dyDescent="0.25">
      <c r="A306">
        <f t="shared" si="22"/>
        <v>1</v>
      </c>
      <c r="B306" t="str">
        <f t="shared" si="23"/>
        <v/>
      </c>
      <c r="C306">
        <f t="shared" si="25"/>
        <v>1</v>
      </c>
      <c r="D306" s="4"/>
      <c r="E306" t="s">
        <v>18</v>
      </c>
      <c r="F306" t="str">
        <f>INDEX(Establishment!B$2:B$1005,MATCH($E306,Establishment!$A$2:$A$1005,0))</f>
        <v xml:space="preserve"> </v>
      </c>
      <c r="G306" t="str">
        <f>INDEX(Establishment!C$2:C$1005,MATCH($E306,Establishment!$A$2:$A$1005,0))</f>
        <v xml:space="preserve"> </v>
      </c>
      <c r="M306">
        <f t="shared" si="26"/>
        <v>0</v>
      </c>
      <c r="N306">
        <f t="shared" si="24"/>
        <v>0</v>
      </c>
      <c r="P306" t="e">
        <f>INDEX(Items!B$2:B$1032,MATCH($O306,Items!$A$2:$A$1032,0))</f>
        <v>#N/A</v>
      </c>
      <c r="Q306" t="e">
        <f>INDEX(Items!C$2:C$1032,MATCH($O306,Items!$A$2:$A$1032,0))</f>
        <v>#N/A</v>
      </c>
      <c r="R306" t="e">
        <f>INDEX(Items!D$2:D$1032,MATCH($O306,Items!$A$2:$A$1032,0))</f>
        <v>#N/A</v>
      </c>
    </row>
    <row r="307" spans="1:18" x14ac:dyDescent="0.25">
      <c r="A307">
        <f t="shared" si="22"/>
        <v>1</v>
      </c>
      <c r="B307" t="str">
        <f t="shared" si="23"/>
        <v/>
      </c>
      <c r="C307">
        <f t="shared" si="25"/>
        <v>1</v>
      </c>
      <c r="D307" s="4"/>
      <c r="E307" t="s">
        <v>18</v>
      </c>
      <c r="F307" t="str">
        <f>INDEX(Establishment!B$2:B$1005,MATCH($E307,Establishment!$A$2:$A$1005,0))</f>
        <v xml:space="preserve"> </v>
      </c>
      <c r="G307" t="str">
        <f>INDEX(Establishment!C$2:C$1005,MATCH($E307,Establishment!$A$2:$A$1005,0))</f>
        <v xml:space="preserve"> </v>
      </c>
      <c r="M307">
        <f t="shared" si="26"/>
        <v>0</v>
      </c>
      <c r="N307">
        <f t="shared" si="24"/>
        <v>0</v>
      </c>
      <c r="P307" t="e">
        <f>INDEX(Items!B$2:B$1032,MATCH($O307,Items!$A$2:$A$1032,0))</f>
        <v>#N/A</v>
      </c>
      <c r="Q307" t="e">
        <f>INDEX(Items!C$2:C$1032,MATCH($O307,Items!$A$2:$A$1032,0))</f>
        <v>#N/A</v>
      </c>
      <c r="R307" t="e">
        <f>INDEX(Items!D$2:D$1032,MATCH($O307,Items!$A$2:$A$1032,0))</f>
        <v>#N/A</v>
      </c>
    </row>
    <row r="308" spans="1:18" x14ac:dyDescent="0.25">
      <c r="A308">
        <f t="shared" si="22"/>
        <v>1</v>
      </c>
      <c r="B308" t="str">
        <f t="shared" si="23"/>
        <v/>
      </c>
      <c r="C308">
        <f t="shared" si="25"/>
        <v>1</v>
      </c>
      <c r="D308" s="4"/>
      <c r="E308" t="s">
        <v>18</v>
      </c>
      <c r="F308" t="str">
        <f>INDEX(Establishment!B$2:B$1005,MATCH($E308,Establishment!$A$2:$A$1005,0))</f>
        <v xml:space="preserve"> </v>
      </c>
      <c r="G308" t="str">
        <f>INDEX(Establishment!C$2:C$1005,MATCH($E308,Establishment!$A$2:$A$1005,0))</f>
        <v xml:space="preserve"> </v>
      </c>
      <c r="M308">
        <f t="shared" si="26"/>
        <v>0</v>
      </c>
      <c r="N308">
        <f t="shared" si="24"/>
        <v>0</v>
      </c>
      <c r="P308" t="e">
        <f>INDEX(Items!B$2:B$1032,MATCH($O308,Items!$A$2:$A$1032,0))</f>
        <v>#N/A</v>
      </c>
      <c r="Q308" t="e">
        <f>INDEX(Items!C$2:C$1032,MATCH($O308,Items!$A$2:$A$1032,0))</f>
        <v>#N/A</v>
      </c>
      <c r="R308" t="e">
        <f>INDEX(Items!D$2:D$1032,MATCH($O308,Items!$A$2:$A$1032,0))</f>
        <v>#N/A</v>
      </c>
    </row>
    <row r="309" spans="1:18" x14ac:dyDescent="0.25">
      <c r="A309">
        <f t="shared" si="22"/>
        <v>1</v>
      </c>
      <c r="B309" t="str">
        <f t="shared" si="23"/>
        <v/>
      </c>
      <c r="C309">
        <f t="shared" si="25"/>
        <v>1</v>
      </c>
      <c r="D309" s="4"/>
      <c r="E309" t="s">
        <v>18</v>
      </c>
      <c r="F309" t="str">
        <f>INDEX(Establishment!B$2:B$1005,MATCH($E309,Establishment!$A$2:$A$1005,0))</f>
        <v xml:space="preserve"> </v>
      </c>
      <c r="G309" t="str">
        <f>INDEX(Establishment!C$2:C$1005,MATCH($E309,Establishment!$A$2:$A$1005,0))</f>
        <v xml:space="preserve"> </v>
      </c>
      <c r="M309">
        <f t="shared" si="26"/>
        <v>0</v>
      </c>
      <c r="N309">
        <f t="shared" si="24"/>
        <v>0</v>
      </c>
      <c r="P309" t="e">
        <f>INDEX(Items!B$2:B$1032,MATCH($O309,Items!$A$2:$A$1032,0))</f>
        <v>#N/A</v>
      </c>
      <c r="Q309" t="e">
        <f>INDEX(Items!C$2:C$1032,MATCH($O309,Items!$A$2:$A$1032,0))</f>
        <v>#N/A</v>
      </c>
      <c r="R309" t="e">
        <f>INDEX(Items!D$2:D$1032,MATCH($O309,Items!$A$2:$A$1032,0))</f>
        <v>#N/A</v>
      </c>
    </row>
    <row r="310" spans="1:18" x14ac:dyDescent="0.25">
      <c r="A310">
        <f t="shared" si="22"/>
        <v>1</v>
      </c>
      <c r="B310" t="str">
        <f t="shared" si="23"/>
        <v/>
      </c>
      <c r="C310">
        <f t="shared" si="25"/>
        <v>1</v>
      </c>
      <c r="D310" s="4"/>
      <c r="E310" t="s">
        <v>18</v>
      </c>
      <c r="F310" t="str">
        <f>INDEX(Establishment!B$2:B$1005,MATCH($E310,Establishment!$A$2:$A$1005,0))</f>
        <v xml:space="preserve"> </v>
      </c>
      <c r="G310" t="str">
        <f>INDEX(Establishment!C$2:C$1005,MATCH($E310,Establishment!$A$2:$A$1005,0))</f>
        <v xml:space="preserve"> </v>
      </c>
      <c r="M310">
        <f t="shared" si="26"/>
        <v>0</v>
      </c>
      <c r="N310">
        <f t="shared" si="24"/>
        <v>0</v>
      </c>
      <c r="P310" t="e">
        <f>INDEX(Items!B$2:B$1032,MATCH($O310,Items!$A$2:$A$1032,0))</f>
        <v>#N/A</v>
      </c>
      <c r="Q310" t="e">
        <f>INDEX(Items!C$2:C$1032,MATCH($O310,Items!$A$2:$A$1032,0))</f>
        <v>#N/A</v>
      </c>
      <c r="R310" t="e">
        <f>INDEX(Items!D$2:D$1032,MATCH($O310,Items!$A$2:$A$1032,0))</f>
        <v>#N/A</v>
      </c>
    </row>
    <row r="311" spans="1:18" x14ac:dyDescent="0.25">
      <c r="A311">
        <f t="shared" si="22"/>
        <v>1</v>
      </c>
      <c r="B311" t="str">
        <f t="shared" si="23"/>
        <v/>
      </c>
      <c r="C311">
        <f t="shared" si="25"/>
        <v>1</v>
      </c>
      <c r="D311" s="4"/>
      <c r="E311" t="s">
        <v>18</v>
      </c>
      <c r="F311" t="str">
        <f>INDEX(Establishment!B$2:B$1005,MATCH($E311,Establishment!$A$2:$A$1005,0))</f>
        <v xml:space="preserve"> </v>
      </c>
      <c r="G311" t="str">
        <f>INDEX(Establishment!C$2:C$1005,MATCH($E311,Establishment!$A$2:$A$1005,0))</f>
        <v xml:space="preserve"> </v>
      </c>
      <c r="M311">
        <f t="shared" si="26"/>
        <v>0</v>
      </c>
      <c r="N311">
        <f t="shared" si="24"/>
        <v>0</v>
      </c>
      <c r="P311" t="e">
        <f>INDEX(Items!B$2:B$1032,MATCH($O311,Items!$A$2:$A$1032,0))</f>
        <v>#N/A</v>
      </c>
      <c r="Q311" t="e">
        <f>INDEX(Items!C$2:C$1032,MATCH($O311,Items!$A$2:$A$1032,0))</f>
        <v>#N/A</v>
      </c>
      <c r="R311" t="e">
        <f>INDEX(Items!D$2:D$1032,MATCH($O311,Items!$A$2:$A$1032,0))</f>
        <v>#N/A</v>
      </c>
    </row>
    <row r="312" spans="1:18" x14ac:dyDescent="0.25">
      <c r="A312">
        <f t="shared" si="22"/>
        <v>1</v>
      </c>
      <c r="B312" t="str">
        <f t="shared" si="23"/>
        <v/>
      </c>
      <c r="C312">
        <f t="shared" si="25"/>
        <v>1</v>
      </c>
      <c r="D312" s="4"/>
      <c r="E312" t="s">
        <v>18</v>
      </c>
      <c r="F312" t="str">
        <f>INDEX(Establishment!B$2:B$1005,MATCH($E312,Establishment!$A$2:$A$1005,0))</f>
        <v xml:space="preserve"> </v>
      </c>
      <c r="G312" t="str">
        <f>INDEX(Establishment!C$2:C$1005,MATCH($E312,Establishment!$A$2:$A$1005,0))</f>
        <v xml:space="preserve"> </v>
      </c>
      <c r="M312">
        <f t="shared" si="26"/>
        <v>0</v>
      </c>
      <c r="N312">
        <f t="shared" si="24"/>
        <v>0</v>
      </c>
      <c r="P312" t="e">
        <f>INDEX(Items!B$2:B$1032,MATCH($O312,Items!$A$2:$A$1032,0))</f>
        <v>#N/A</v>
      </c>
      <c r="Q312" t="e">
        <f>INDEX(Items!C$2:C$1032,MATCH($O312,Items!$A$2:$A$1032,0))</f>
        <v>#N/A</v>
      </c>
      <c r="R312" t="e">
        <f>INDEX(Items!D$2:D$1032,MATCH($O312,Items!$A$2:$A$1032,0))</f>
        <v>#N/A</v>
      </c>
    </row>
    <row r="313" spans="1:18" x14ac:dyDescent="0.25">
      <c r="A313">
        <f t="shared" si="22"/>
        <v>1</v>
      </c>
      <c r="B313" t="str">
        <f t="shared" si="23"/>
        <v/>
      </c>
      <c r="C313">
        <f t="shared" si="25"/>
        <v>1</v>
      </c>
      <c r="D313" s="4"/>
      <c r="E313" t="s">
        <v>18</v>
      </c>
      <c r="F313" t="str">
        <f>INDEX(Establishment!B$2:B$1005,MATCH($E313,Establishment!$A$2:$A$1005,0))</f>
        <v xml:space="preserve"> </v>
      </c>
      <c r="G313" t="str">
        <f>INDEX(Establishment!C$2:C$1005,MATCH($E313,Establishment!$A$2:$A$1005,0))</f>
        <v xml:space="preserve"> </v>
      </c>
      <c r="M313">
        <f t="shared" si="26"/>
        <v>0</v>
      </c>
      <c r="N313">
        <f t="shared" si="24"/>
        <v>0</v>
      </c>
      <c r="P313" t="e">
        <f>INDEX(Items!B$2:B$1032,MATCH($O313,Items!$A$2:$A$1032,0))</f>
        <v>#N/A</v>
      </c>
      <c r="Q313" t="e">
        <f>INDEX(Items!C$2:C$1032,MATCH($O313,Items!$A$2:$A$1032,0))</f>
        <v>#N/A</v>
      </c>
      <c r="R313" t="e">
        <f>INDEX(Items!D$2:D$1032,MATCH($O313,Items!$A$2:$A$1032,0))</f>
        <v>#N/A</v>
      </c>
    </row>
    <row r="314" spans="1:18" x14ac:dyDescent="0.25">
      <c r="A314">
        <f t="shared" si="22"/>
        <v>1</v>
      </c>
      <c r="B314" t="str">
        <f t="shared" si="23"/>
        <v/>
      </c>
      <c r="C314">
        <f t="shared" si="25"/>
        <v>1</v>
      </c>
      <c r="D314" s="4"/>
      <c r="E314" t="s">
        <v>18</v>
      </c>
      <c r="F314" t="str">
        <f>INDEX(Establishment!B$2:B$1005,MATCH($E314,Establishment!$A$2:$A$1005,0))</f>
        <v xml:space="preserve"> </v>
      </c>
      <c r="G314" t="str">
        <f>INDEX(Establishment!C$2:C$1005,MATCH($E314,Establishment!$A$2:$A$1005,0))</f>
        <v xml:space="preserve"> </v>
      </c>
      <c r="M314">
        <f t="shared" si="26"/>
        <v>0</v>
      </c>
      <c r="N314">
        <f t="shared" si="24"/>
        <v>0</v>
      </c>
      <c r="P314" t="e">
        <f>INDEX(Items!B$2:B$1032,MATCH($O314,Items!$A$2:$A$1032,0))</f>
        <v>#N/A</v>
      </c>
      <c r="Q314" t="e">
        <f>INDEX(Items!C$2:C$1032,MATCH($O314,Items!$A$2:$A$1032,0))</f>
        <v>#N/A</v>
      </c>
      <c r="R314" t="e">
        <f>INDEX(Items!D$2:D$1032,MATCH($O314,Items!$A$2:$A$1032,0))</f>
        <v>#N/A</v>
      </c>
    </row>
    <row r="315" spans="1:18" x14ac:dyDescent="0.25">
      <c r="A315">
        <f t="shared" si="22"/>
        <v>1</v>
      </c>
      <c r="B315" t="str">
        <f t="shared" si="23"/>
        <v/>
      </c>
      <c r="C315">
        <f t="shared" si="25"/>
        <v>1</v>
      </c>
      <c r="D315" s="4"/>
      <c r="E315" t="s">
        <v>18</v>
      </c>
      <c r="F315" t="str">
        <f>INDEX(Establishment!B$2:B$1005,MATCH($E315,Establishment!$A$2:$A$1005,0))</f>
        <v xml:space="preserve"> </v>
      </c>
      <c r="G315" t="str">
        <f>INDEX(Establishment!C$2:C$1005,MATCH($E315,Establishment!$A$2:$A$1005,0))</f>
        <v xml:space="preserve"> </v>
      </c>
      <c r="M315">
        <f t="shared" si="26"/>
        <v>0</v>
      </c>
      <c r="N315">
        <f t="shared" si="24"/>
        <v>0</v>
      </c>
      <c r="P315" t="e">
        <f>INDEX(Items!B$2:B$1032,MATCH($O315,Items!$A$2:$A$1032,0))</f>
        <v>#N/A</v>
      </c>
      <c r="Q315" t="e">
        <f>INDEX(Items!C$2:C$1032,MATCH($O315,Items!$A$2:$A$1032,0))</f>
        <v>#N/A</v>
      </c>
      <c r="R315" t="e">
        <f>INDEX(Items!D$2:D$1032,MATCH($O315,Items!$A$2:$A$1032,0))</f>
        <v>#N/A</v>
      </c>
    </row>
    <row r="316" spans="1:18" x14ac:dyDescent="0.25">
      <c r="A316">
        <f t="shared" si="22"/>
        <v>1</v>
      </c>
      <c r="B316" t="str">
        <f t="shared" si="23"/>
        <v/>
      </c>
      <c r="C316">
        <f t="shared" si="25"/>
        <v>1</v>
      </c>
      <c r="D316" s="4"/>
      <c r="E316" t="s">
        <v>18</v>
      </c>
      <c r="F316" t="str">
        <f>INDEX(Establishment!B$2:B$1005,MATCH($E316,Establishment!$A$2:$A$1005,0))</f>
        <v xml:space="preserve"> </v>
      </c>
      <c r="G316" t="str">
        <f>INDEX(Establishment!C$2:C$1005,MATCH($E316,Establishment!$A$2:$A$1005,0))</f>
        <v xml:space="preserve"> </v>
      </c>
      <c r="M316">
        <f t="shared" si="26"/>
        <v>0</v>
      </c>
      <c r="N316">
        <f t="shared" si="24"/>
        <v>0</v>
      </c>
      <c r="P316" t="e">
        <f>INDEX(Items!B$2:B$1032,MATCH($O316,Items!$A$2:$A$1032,0))</f>
        <v>#N/A</v>
      </c>
      <c r="Q316" t="e">
        <f>INDEX(Items!C$2:C$1032,MATCH($O316,Items!$A$2:$A$1032,0))</f>
        <v>#N/A</v>
      </c>
      <c r="R316" t="e">
        <f>INDEX(Items!D$2:D$1032,MATCH($O316,Items!$A$2:$A$1032,0))</f>
        <v>#N/A</v>
      </c>
    </row>
    <row r="317" spans="1:18" x14ac:dyDescent="0.25">
      <c r="A317">
        <f t="shared" si="22"/>
        <v>1</v>
      </c>
      <c r="B317" t="str">
        <f t="shared" si="23"/>
        <v/>
      </c>
      <c r="C317">
        <f t="shared" si="25"/>
        <v>1</v>
      </c>
      <c r="D317" s="4"/>
      <c r="E317" t="s">
        <v>18</v>
      </c>
      <c r="F317" t="str">
        <f>INDEX(Establishment!B$2:B$1005,MATCH($E317,Establishment!$A$2:$A$1005,0))</f>
        <v xml:space="preserve"> </v>
      </c>
      <c r="G317" t="str">
        <f>INDEX(Establishment!C$2:C$1005,MATCH($E317,Establishment!$A$2:$A$1005,0))</f>
        <v xml:space="preserve"> </v>
      </c>
      <c r="M317">
        <f t="shared" si="26"/>
        <v>0</v>
      </c>
      <c r="N317">
        <f t="shared" si="24"/>
        <v>0</v>
      </c>
      <c r="P317" t="e">
        <f>INDEX(Items!B$2:B$1032,MATCH($O317,Items!$A$2:$A$1032,0))</f>
        <v>#N/A</v>
      </c>
      <c r="Q317" t="e">
        <f>INDEX(Items!C$2:C$1032,MATCH($O317,Items!$A$2:$A$1032,0))</f>
        <v>#N/A</v>
      </c>
      <c r="R317" t="e">
        <f>INDEX(Items!D$2:D$1032,MATCH($O317,Items!$A$2:$A$1032,0))</f>
        <v>#N/A</v>
      </c>
    </row>
    <row r="318" spans="1:18" x14ac:dyDescent="0.25">
      <c r="A318">
        <f t="shared" si="22"/>
        <v>1</v>
      </c>
      <c r="B318" t="str">
        <f t="shared" si="23"/>
        <v/>
      </c>
      <c r="C318">
        <f t="shared" si="25"/>
        <v>1</v>
      </c>
      <c r="D318" s="4"/>
      <c r="E318" t="s">
        <v>18</v>
      </c>
      <c r="F318" t="str">
        <f>INDEX(Establishment!B$2:B$1005,MATCH($E318,Establishment!$A$2:$A$1005,0))</f>
        <v xml:space="preserve"> </v>
      </c>
      <c r="G318" t="str">
        <f>INDEX(Establishment!C$2:C$1005,MATCH($E318,Establishment!$A$2:$A$1005,0))</f>
        <v xml:space="preserve"> </v>
      </c>
      <c r="M318">
        <f t="shared" si="26"/>
        <v>0</v>
      </c>
      <c r="N318">
        <f t="shared" si="24"/>
        <v>0</v>
      </c>
      <c r="P318" t="e">
        <f>INDEX(Items!B$2:B$1032,MATCH($O318,Items!$A$2:$A$1032,0))</f>
        <v>#N/A</v>
      </c>
      <c r="Q318" t="e">
        <f>INDEX(Items!C$2:C$1032,MATCH($O318,Items!$A$2:$A$1032,0))</f>
        <v>#N/A</v>
      </c>
      <c r="R318" t="e">
        <f>INDEX(Items!D$2:D$1032,MATCH($O318,Items!$A$2:$A$1032,0))</f>
        <v>#N/A</v>
      </c>
    </row>
    <row r="319" spans="1:18" x14ac:dyDescent="0.25">
      <c r="A319">
        <f t="shared" si="22"/>
        <v>1</v>
      </c>
      <c r="B319" t="str">
        <f t="shared" si="23"/>
        <v/>
      </c>
      <c r="C319">
        <f t="shared" si="25"/>
        <v>1</v>
      </c>
      <c r="D319" s="4"/>
      <c r="E319" t="s">
        <v>18</v>
      </c>
      <c r="F319" t="str">
        <f>INDEX(Establishment!B$2:B$1005,MATCH($E319,Establishment!$A$2:$A$1005,0))</f>
        <v xml:space="preserve"> </v>
      </c>
      <c r="G319" t="str">
        <f>INDEX(Establishment!C$2:C$1005,MATCH($E319,Establishment!$A$2:$A$1005,0))</f>
        <v xml:space="preserve"> </v>
      </c>
      <c r="M319">
        <f t="shared" si="26"/>
        <v>0</v>
      </c>
      <c r="N319">
        <f t="shared" si="24"/>
        <v>0</v>
      </c>
      <c r="P319" t="e">
        <f>INDEX(Items!B$2:B$1032,MATCH($O319,Items!$A$2:$A$1032,0))</f>
        <v>#N/A</v>
      </c>
      <c r="Q319" t="e">
        <f>INDEX(Items!C$2:C$1032,MATCH($O319,Items!$A$2:$A$1032,0))</f>
        <v>#N/A</v>
      </c>
      <c r="R319" t="e">
        <f>INDEX(Items!D$2:D$1032,MATCH($O319,Items!$A$2:$A$1032,0))</f>
        <v>#N/A</v>
      </c>
    </row>
    <row r="320" spans="1:18" x14ac:dyDescent="0.25">
      <c r="A320">
        <f t="shared" si="22"/>
        <v>1</v>
      </c>
      <c r="B320" t="str">
        <f t="shared" si="23"/>
        <v/>
      </c>
      <c r="C320">
        <f t="shared" si="25"/>
        <v>1</v>
      </c>
      <c r="D320" s="4"/>
      <c r="E320" t="s">
        <v>18</v>
      </c>
      <c r="F320" t="str">
        <f>INDEX(Establishment!B$2:B$1005,MATCH($E320,Establishment!$A$2:$A$1005,0))</f>
        <v xml:space="preserve"> </v>
      </c>
      <c r="G320" t="str">
        <f>INDEX(Establishment!C$2:C$1005,MATCH($E320,Establishment!$A$2:$A$1005,0))</f>
        <v xml:space="preserve"> </v>
      </c>
      <c r="M320">
        <f t="shared" si="26"/>
        <v>0</v>
      </c>
      <c r="N320">
        <f t="shared" si="24"/>
        <v>0</v>
      </c>
      <c r="P320" t="e">
        <f>INDEX(Items!B$2:B$1032,MATCH($O320,Items!$A$2:$A$1032,0))</f>
        <v>#N/A</v>
      </c>
      <c r="Q320" t="e">
        <f>INDEX(Items!C$2:C$1032,MATCH($O320,Items!$A$2:$A$1032,0))</f>
        <v>#N/A</v>
      </c>
      <c r="R320" t="e">
        <f>INDEX(Items!D$2:D$1032,MATCH($O320,Items!$A$2:$A$1032,0))</f>
        <v>#N/A</v>
      </c>
    </row>
    <row r="321" spans="1:18" x14ac:dyDescent="0.25">
      <c r="A321">
        <f t="shared" si="22"/>
        <v>1</v>
      </c>
      <c r="B321" t="str">
        <f t="shared" si="23"/>
        <v/>
      </c>
      <c r="C321">
        <f t="shared" si="25"/>
        <v>1</v>
      </c>
      <c r="D321" s="4"/>
      <c r="E321" t="s">
        <v>18</v>
      </c>
      <c r="F321" t="str">
        <f>INDEX(Establishment!B$2:B$1005,MATCH($E321,Establishment!$A$2:$A$1005,0))</f>
        <v xml:space="preserve"> </v>
      </c>
      <c r="G321" t="str">
        <f>INDEX(Establishment!C$2:C$1005,MATCH($E321,Establishment!$A$2:$A$1005,0))</f>
        <v xml:space="preserve"> </v>
      </c>
      <c r="M321">
        <f t="shared" si="26"/>
        <v>0</v>
      </c>
      <c r="N321">
        <f t="shared" si="24"/>
        <v>0</v>
      </c>
      <c r="P321" t="e">
        <f>INDEX(Items!B$2:B$1032,MATCH($O321,Items!$A$2:$A$1032,0))</f>
        <v>#N/A</v>
      </c>
      <c r="Q321" t="e">
        <f>INDEX(Items!C$2:C$1032,MATCH($O321,Items!$A$2:$A$1032,0))</f>
        <v>#N/A</v>
      </c>
      <c r="R321" t="e">
        <f>INDEX(Items!D$2:D$1032,MATCH($O321,Items!$A$2:$A$1032,0))</f>
        <v>#N/A</v>
      </c>
    </row>
    <row r="322" spans="1:18" x14ac:dyDescent="0.25">
      <c r="A322">
        <f t="shared" ref="A322:A385" si="27">IF(OR(D322&lt;&gt;D321,D322=""),1,IF(NOT(AND(E322=E321,F322=F321,G322=G321)),A321+1,IF(OR(H322="",AND(H322&lt;&gt;"",H322&lt;&gt;H321,H321&lt;&gt;"")),A321,A321+1)))</f>
        <v>1</v>
      </c>
      <c r="B322" t="str">
        <f t="shared" ref="B322:B385" si="28">IF(D322&lt;&gt;"",TEXT(D322,"YYYYMMDD")&amp;CHAR(64+A322),"")</f>
        <v/>
      </c>
      <c r="C322">
        <f t="shared" si="25"/>
        <v>1</v>
      </c>
      <c r="D322" s="4"/>
      <c r="E322" t="s">
        <v>18</v>
      </c>
      <c r="F322" t="str">
        <f>INDEX(Establishment!B$2:B$1005,MATCH($E322,Establishment!$A$2:$A$1005,0))</f>
        <v xml:space="preserve"> </v>
      </c>
      <c r="G322" t="str">
        <f>INDEX(Establishment!C$2:C$1005,MATCH($E322,Establishment!$A$2:$A$1005,0))</f>
        <v xml:space="preserve"> </v>
      </c>
      <c r="M322">
        <f t="shared" si="26"/>
        <v>0</v>
      </c>
      <c r="N322">
        <f t="shared" si="24"/>
        <v>0</v>
      </c>
      <c r="P322" t="e">
        <f>INDEX(Items!B$2:B$1032,MATCH($O322,Items!$A$2:$A$1032,0))</f>
        <v>#N/A</v>
      </c>
      <c r="Q322" t="e">
        <f>INDEX(Items!C$2:C$1032,MATCH($O322,Items!$A$2:$A$1032,0))</f>
        <v>#N/A</v>
      </c>
      <c r="R322" t="e">
        <f>INDEX(Items!D$2:D$1032,MATCH($O322,Items!$A$2:$A$1032,0))</f>
        <v>#N/A</v>
      </c>
    </row>
    <row r="323" spans="1:18" x14ac:dyDescent="0.25">
      <c r="A323">
        <f t="shared" si="27"/>
        <v>1</v>
      </c>
      <c r="B323" t="str">
        <f t="shared" si="28"/>
        <v/>
      </c>
      <c r="C323">
        <f t="shared" si="25"/>
        <v>1</v>
      </c>
      <c r="D323" s="4"/>
      <c r="E323" t="s">
        <v>18</v>
      </c>
      <c r="F323" t="str">
        <f>INDEX(Establishment!B$2:B$1005,MATCH($E323,Establishment!$A$2:$A$1005,0))</f>
        <v xml:space="preserve"> </v>
      </c>
      <c r="G323" t="str">
        <f>INDEX(Establishment!C$2:C$1005,MATCH($E323,Establishment!$A$2:$A$1005,0))</f>
        <v xml:space="preserve"> </v>
      </c>
      <c r="M323">
        <f t="shared" si="26"/>
        <v>0</v>
      </c>
      <c r="N323">
        <f t="shared" ref="N323:N386" si="29">IF(B323=B322,N322+M323,M323)</f>
        <v>0</v>
      </c>
      <c r="P323" t="e">
        <f>INDEX(Items!B$2:B$1032,MATCH($O323,Items!$A$2:$A$1032,0))</f>
        <v>#N/A</v>
      </c>
      <c r="Q323" t="e">
        <f>INDEX(Items!C$2:C$1032,MATCH($O323,Items!$A$2:$A$1032,0))</f>
        <v>#N/A</v>
      </c>
      <c r="R323" t="e">
        <f>INDEX(Items!D$2:D$1032,MATCH($O323,Items!$A$2:$A$1032,0))</f>
        <v>#N/A</v>
      </c>
    </row>
    <row r="324" spans="1:18" x14ac:dyDescent="0.25">
      <c r="A324">
        <f t="shared" si="27"/>
        <v>1</v>
      </c>
      <c r="B324" t="str">
        <f t="shared" si="28"/>
        <v/>
      </c>
      <c r="C324">
        <f t="shared" si="25"/>
        <v>1</v>
      </c>
      <c r="D324" s="4"/>
      <c r="E324" t="s">
        <v>18</v>
      </c>
      <c r="F324" t="str">
        <f>INDEX(Establishment!B$2:B$1005,MATCH($E324,Establishment!$A$2:$A$1005,0))</f>
        <v xml:space="preserve"> </v>
      </c>
      <c r="G324" t="str">
        <f>INDEX(Establishment!C$2:C$1005,MATCH($E324,Establishment!$A$2:$A$1005,0))</f>
        <v xml:space="preserve"> </v>
      </c>
      <c r="M324">
        <f t="shared" si="26"/>
        <v>0</v>
      </c>
      <c r="N324">
        <f t="shared" si="29"/>
        <v>0</v>
      </c>
      <c r="P324" t="e">
        <f>INDEX(Items!B$2:B$1032,MATCH($O324,Items!$A$2:$A$1032,0))</f>
        <v>#N/A</v>
      </c>
      <c r="Q324" t="e">
        <f>INDEX(Items!C$2:C$1032,MATCH($O324,Items!$A$2:$A$1032,0))</f>
        <v>#N/A</v>
      </c>
      <c r="R324" t="e">
        <f>INDEX(Items!D$2:D$1032,MATCH($O324,Items!$A$2:$A$1032,0))</f>
        <v>#N/A</v>
      </c>
    </row>
    <row r="325" spans="1:18" x14ac:dyDescent="0.25">
      <c r="A325">
        <f t="shared" si="27"/>
        <v>1</v>
      </c>
      <c r="B325" t="str">
        <f t="shared" si="28"/>
        <v/>
      </c>
      <c r="C325">
        <f t="shared" si="25"/>
        <v>1</v>
      </c>
      <c r="D325" s="4"/>
      <c r="E325" t="s">
        <v>18</v>
      </c>
      <c r="F325" t="str">
        <f>INDEX(Establishment!B$2:B$1005,MATCH($E325,Establishment!$A$2:$A$1005,0))</f>
        <v xml:space="preserve"> </v>
      </c>
      <c r="G325" t="str">
        <f>INDEX(Establishment!C$2:C$1005,MATCH($E325,Establishment!$A$2:$A$1005,0))</f>
        <v xml:space="preserve"> </v>
      </c>
      <c r="M325">
        <f t="shared" si="26"/>
        <v>0</v>
      </c>
      <c r="N325">
        <f t="shared" si="29"/>
        <v>0</v>
      </c>
      <c r="P325" t="e">
        <f>INDEX(Items!B$2:B$1032,MATCH($O325,Items!$A$2:$A$1032,0))</f>
        <v>#N/A</v>
      </c>
      <c r="Q325" t="e">
        <f>INDEX(Items!C$2:C$1032,MATCH($O325,Items!$A$2:$A$1032,0))</f>
        <v>#N/A</v>
      </c>
      <c r="R325" t="e">
        <f>INDEX(Items!D$2:D$1032,MATCH($O325,Items!$A$2:$A$1032,0))</f>
        <v>#N/A</v>
      </c>
    </row>
    <row r="326" spans="1:18" x14ac:dyDescent="0.25">
      <c r="A326">
        <f t="shared" si="27"/>
        <v>1</v>
      </c>
      <c r="B326" t="str">
        <f t="shared" si="28"/>
        <v/>
      </c>
      <c r="C326">
        <f t="shared" si="25"/>
        <v>1</v>
      </c>
      <c r="D326" s="4"/>
      <c r="E326" t="s">
        <v>18</v>
      </c>
      <c r="F326" t="str">
        <f>INDEX(Establishment!B$2:B$1005,MATCH($E326,Establishment!$A$2:$A$1005,0))</f>
        <v xml:space="preserve"> </v>
      </c>
      <c r="G326" t="str">
        <f>INDEX(Establishment!C$2:C$1005,MATCH($E326,Establishment!$A$2:$A$1005,0))</f>
        <v xml:space="preserve"> </v>
      </c>
      <c r="M326">
        <f t="shared" si="26"/>
        <v>0</v>
      </c>
      <c r="N326">
        <f t="shared" si="29"/>
        <v>0</v>
      </c>
      <c r="P326" t="e">
        <f>INDEX(Items!B$2:B$1032,MATCH($O326,Items!$A$2:$A$1032,0))</f>
        <v>#N/A</v>
      </c>
      <c r="Q326" t="e">
        <f>INDEX(Items!C$2:C$1032,MATCH($O326,Items!$A$2:$A$1032,0))</f>
        <v>#N/A</v>
      </c>
      <c r="R326" t="e">
        <f>INDEX(Items!D$2:D$1032,MATCH($O326,Items!$A$2:$A$1032,0))</f>
        <v>#N/A</v>
      </c>
    </row>
    <row r="327" spans="1:18" x14ac:dyDescent="0.25">
      <c r="A327">
        <f t="shared" si="27"/>
        <v>1</v>
      </c>
      <c r="B327" t="str">
        <f t="shared" si="28"/>
        <v/>
      </c>
      <c r="C327">
        <f t="shared" si="25"/>
        <v>1</v>
      </c>
      <c r="D327" s="4"/>
      <c r="E327" t="s">
        <v>18</v>
      </c>
      <c r="F327" t="str">
        <f>INDEX(Establishment!B$2:B$1005,MATCH($E327,Establishment!$A$2:$A$1005,0))</f>
        <v xml:space="preserve"> </v>
      </c>
      <c r="G327" t="str">
        <f>INDEX(Establishment!C$2:C$1005,MATCH($E327,Establishment!$A$2:$A$1005,0))</f>
        <v xml:space="preserve"> </v>
      </c>
      <c r="M327">
        <f t="shared" si="26"/>
        <v>0</v>
      </c>
      <c r="N327">
        <f t="shared" si="29"/>
        <v>0</v>
      </c>
      <c r="P327" t="e">
        <f>INDEX(Items!B$2:B$1032,MATCH($O327,Items!$A$2:$A$1032,0))</f>
        <v>#N/A</v>
      </c>
      <c r="Q327" t="e">
        <f>INDEX(Items!C$2:C$1032,MATCH($O327,Items!$A$2:$A$1032,0))</f>
        <v>#N/A</v>
      </c>
      <c r="R327" t="e">
        <f>INDEX(Items!D$2:D$1032,MATCH($O327,Items!$A$2:$A$1032,0))</f>
        <v>#N/A</v>
      </c>
    </row>
    <row r="328" spans="1:18" x14ac:dyDescent="0.25">
      <c r="A328">
        <f t="shared" si="27"/>
        <v>1</v>
      </c>
      <c r="B328" t="str">
        <f t="shared" si="28"/>
        <v/>
      </c>
      <c r="C328">
        <f t="shared" si="25"/>
        <v>1</v>
      </c>
      <c r="D328" s="4"/>
      <c r="E328" t="s">
        <v>18</v>
      </c>
      <c r="F328" t="str">
        <f>INDEX(Establishment!B$2:B$1005,MATCH($E328,Establishment!$A$2:$A$1005,0))</f>
        <v xml:space="preserve"> </v>
      </c>
      <c r="G328" t="str">
        <f>INDEX(Establishment!C$2:C$1005,MATCH($E328,Establishment!$A$2:$A$1005,0))</f>
        <v xml:space="preserve"> </v>
      </c>
      <c r="M328">
        <f t="shared" si="26"/>
        <v>0</v>
      </c>
      <c r="N328">
        <f t="shared" si="29"/>
        <v>0</v>
      </c>
      <c r="P328" t="e">
        <f>INDEX(Items!B$2:B$1032,MATCH($O328,Items!$A$2:$A$1032,0))</f>
        <v>#N/A</v>
      </c>
      <c r="Q328" t="e">
        <f>INDEX(Items!C$2:C$1032,MATCH($O328,Items!$A$2:$A$1032,0))</f>
        <v>#N/A</v>
      </c>
      <c r="R328" t="e">
        <f>INDEX(Items!D$2:D$1032,MATCH($O328,Items!$A$2:$A$1032,0))</f>
        <v>#N/A</v>
      </c>
    </row>
    <row r="329" spans="1:18" x14ac:dyDescent="0.25">
      <c r="A329">
        <f t="shared" si="27"/>
        <v>1</v>
      </c>
      <c r="B329" t="str">
        <f t="shared" si="28"/>
        <v/>
      </c>
      <c r="C329">
        <f t="shared" si="25"/>
        <v>1</v>
      </c>
      <c r="D329" s="4"/>
      <c r="E329" t="s">
        <v>18</v>
      </c>
      <c r="F329" t="str">
        <f>INDEX(Establishment!B$2:B$1005,MATCH($E329,Establishment!$A$2:$A$1005,0))</f>
        <v xml:space="preserve"> </v>
      </c>
      <c r="G329" t="str">
        <f>INDEX(Establishment!C$2:C$1005,MATCH($E329,Establishment!$A$2:$A$1005,0))</f>
        <v xml:space="preserve"> </v>
      </c>
      <c r="M329">
        <f t="shared" si="26"/>
        <v>0</v>
      </c>
      <c r="N329">
        <f t="shared" si="29"/>
        <v>0</v>
      </c>
      <c r="P329" t="e">
        <f>INDEX(Items!B$2:B$1032,MATCH($O329,Items!$A$2:$A$1032,0))</f>
        <v>#N/A</v>
      </c>
      <c r="Q329" t="e">
        <f>INDEX(Items!C$2:C$1032,MATCH($O329,Items!$A$2:$A$1032,0))</f>
        <v>#N/A</v>
      </c>
      <c r="R329" t="e">
        <f>INDEX(Items!D$2:D$1032,MATCH($O329,Items!$A$2:$A$1032,0))</f>
        <v>#N/A</v>
      </c>
    </row>
    <row r="330" spans="1:18" x14ac:dyDescent="0.25">
      <c r="A330">
        <f t="shared" si="27"/>
        <v>1</v>
      </c>
      <c r="B330" t="str">
        <f t="shared" si="28"/>
        <v/>
      </c>
      <c r="C330">
        <f t="shared" ref="C330:C393" si="30">IF(OR(B330="",B330&lt;&gt;B329),1,C329+1)</f>
        <v>1</v>
      </c>
      <c r="D330" s="4"/>
      <c r="E330" t="s">
        <v>18</v>
      </c>
      <c r="F330" t="str">
        <f>INDEX(Establishment!B$2:B$1005,MATCH($E330,Establishment!$A$2:$A$1005,0))</f>
        <v xml:space="preserve"> </v>
      </c>
      <c r="G330" t="str">
        <f>INDEX(Establishment!C$2:C$1005,MATCH($E330,Establishment!$A$2:$A$1005,0))</f>
        <v xml:space="preserve"> </v>
      </c>
      <c r="M330">
        <f t="shared" ref="M330:M393" si="31">K330*L330</f>
        <v>0</v>
      </c>
      <c r="N330">
        <f t="shared" si="29"/>
        <v>0</v>
      </c>
      <c r="P330" t="e">
        <f>INDEX(Items!B$2:B$1032,MATCH($O330,Items!$A$2:$A$1032,0))</f>
        <v>#N/A</v>
      </c>
      <c r="Q330" t="e">
        <f>INDEX(Items!C$2:C$1032,MATCH($O330,Items!$A$2:$A$1032,0))</f>
        <v>#N/A</v>
      </c>
      <c r="R330" t="e">
        <f>INDEX(Items!D$2:D$1032,MATCH($O330,Items!$A$2:$A$1032,0))</f>
        <v>#N/A</v>
      </c>
    </row>
    <row r="331" spans="1:18" x14ac:dyDescent="0.25">
      <c r="A331">
        <f t="shared" si="27"/>
        <v>1</v>
      </c>
      <c r="B331" t="str">
        <f t="shared" si="28"/>
        <v/>
      </c>
      <c r="C331">
        <f t="shared" si="30"/>
        <v>1</v>
      </c>
      <c r="D331" s="4"/>
      <c r="E331" t="s">
        <v>18</v>
      </c>
      <c r="F331" t="str">
        <f>INDEX(Establishment!B$2:B$1005,MATCH($E331,Establishment!$A$2:$A$1005,0))</f>
        <v xml:space="preserve"> </v>
      </c>
      <c r="G331" t="str">
        <f>INDEX(Establishment!C$2:C$1005,MATCH($E331,Establishment!$A$2:$A$1005,0))</f>
        <v xml:space="preserve"> </v>
      </c>
      <c r="M331">
        <f t="shared" si="31"/>
        <v>0</v>
      </c>
      <c r="N331">
        <f t="shared" si="29"/>
        <v>0</v>
      </c>
      <c r="P331" t="e">
        <f>INDEX(Items!B$2:B$1032,MATCH($O331,Items!$A$2:$A$1032,0))</f>
        <v>#N/A</v>
      </c>
      <c r="Q331" t="e">
        <f>INDEX(Items!C$2:C$1032,MATCH($O331,Items!$A$2:$A$1032,0))</f>
        <v>#N/A</v>
      </c>
      <c r="R331" t="e">
        <f>INDEX(Items!D$2:D$1032,MATCH($O331,Items!$A$2:$A$1032,0))</f>
        <v>#N/A</v>
      </c>
    </row>
    <row r="332" spans="1:18" x14ac:dyDescent="0.25">
      <c r="A332">
        <f t="shared" si="27"/>
        <v>1</v>
      </c>
      <c r="B332" t="str">
        <f t="shared" si="28"/>
        <v/>
      </c>
      <c r="C332">
        <f t="shared" si="30"/>
        <v>1</v>
      </c>
      <c r="D332" s="4"/>
      <c r="E332" t="s">
        <v>18</v>
      </c>
      <c r="F332" t="str">
        <f>INDEX(Establishment!B$2:B$1005,MATCH($E332,Establishment!$A$2:$A$1005,0))</f>
        <v xml:space="preserve"> </v>
      </c>
      <c r="G332" t="str">
        <f>INDEX(Establishment!C$2:C$1005,MATCH($E332,Establishment!$A$2:$A$1005,0))</f>
        <v xml:space="preserve"> </v>
      </c>
      <c r="M332">
        <f t="shared" si="31"/>
        <v>0</v>
      </c>
      <c r="N332">
        <f t="shared" si="29"/>
        <v>0</v>
      </c>
      <c r="P332" t="e">
        <f>INDEX(Items!B$2:B$1032,MATCH($O332,Items!$A$2:$A$1032,0))</f>
        <v>#N/A</v>
      </c>
      <c r="Q332" t="e">
        <f>INDEX(Items!C$2:C$1032,MATCH($O332,Items!$A$2:$A$1032,0))</f>
        <v>#N/A</v>
      </c>
      <c r="R332" t="e">
        <f>INDEX(Items!D$2:D$1032,MATCH($O332,Items!$A$2:$A$1032,0))</f>
        <v>#N/A</v>
      </c>
    </row>
    <row r="333" spans="1:18" x14ac:dyDescent="0.25">
      <c r="A333">
        <f t="shared" si="27"/>
        <v>1</v>
      </c>
      <c r="B333" t="str">
        <f t="shared" si="28"/>
        <v/>
      </c>
      <c r="C333">
        <f t="shared" si="30"/>
        <v>1</v>
      </c>
      <c r="D333" s="4"/>
      <c r="E333" t="s">
        <v>18</v>
      </c>
      <c r="F333" t="str">
        <f>INDEX(Establishment!B$2:B$1005,MATCH($E333,Establishment!$A$2:$A$1005,0))</f>
        <v xml:space="preserve"> </v>
      </c>
      <c r="G333" t="str">
        <f>INDEX(Establishment!C$2:C$1005,MATCH($E333,Establishment!$A$2:$A$1005,0))</f>
        <v xml:space="preserve"> </v>
      </c>
      <c r="M333">
        <f t="shared" si="31"/>
        <v>0</v>
      </c>
      <c r="N333">
        <f t="shared" si="29"/>
        <v>0</v>
      </c>
      <c r="P333" t="e">
        <f>INDEX(Items!B$2:B$1032,MATCH($O333,Items!$A$2:$A$1032,0))</f>
        <v>#N/A</v>
      </c>
      <c r="Q333" t="e">
        <f>INDEX(Items!C$2:C$1032,MATCH($O333,Items!$A$2:$A$1032,0))</f>
        <v>#N/A</v>
      </c>
      <c r="R333" t="e">
        <f>INDEX(Items!D$2:D$1032,MATCH($O333,Items!$A$2:$A$1032,0))</f>
        <v>#N/A</v>
      </c>
    </row>
    <row r="334" spans="1:18" x14ac:dyDescent="0.25">
      <c r="A334">
        <f t="shared" si="27"/>
        <v>1</v>
      </c>
      <c r="B334" t="str">
        <f t="shared" si="28"/>
        <v/>
      </c>
      <c r="C334">
        <f t="shared" si="30"/>
        <v>1</v>
      </c>
      <c r="D334" s="4"/>
      <c r="E334" t="s">
        <v>18</v>
      </c>
      <c r="F334" t="str">
        <f>INDEX(Establishment!B$2:B$1005,MATCH($E334,Establishment!$A$2:$A$1005,0))</f>
        <v xml:space="preserve"> </v>
      </c>
      <c r="G334" t="str">
        <f>INDEX(Establishment!C$2:C$1005,MATCH($E334,Establishment!$A$2:$A$1005,0))</f>
        <v xml:space="preserve"> </v>
      </c>
      <c r="M334">
        <f t="shared" si="31"/>
        <v>0</v>
      </c>
      <c r="N334">
        <f t="shared" si="29"/>
        <v>0</v>
      </c>
      <c r="P334" t="e">
        <f>INDEX(Items!B$2:B$1032,MATCH($O334,Items!$A$2:$A$1032,0))</f>
        <v>#N/A</v>
      </c>
      <c r="Q334" t="e">
        <f>INDEX(Items!C$2:C$1032,MATCH($O334,Items!$A$2:$A$1032,0))</f>
        <v>#N/A</v>
      </c>
      <c r="R334" t="e">
        <f>INDEX(Items!D$2:D$1032,MATCH($O334,Items!$A$2:$A$1032,0))</f>
        <v>#N/A</v>
      </c>
    </row>
    <row r="335" spans="1:18" x14ac:dyDescent="0.25">
      <c r="A335">
        <f t="shared" si="27"/>
        <v>1</v>
      </c>
      <c r="B335" t="str">
        <f t="shared" si="28"/>
        <v/>
      </c>
      <c r="C335">
        <f t="shared" si="30"/>
        <v>1</v>
      </c>
      <c r="D335" s="4"/>
      <c r="E335" t="s">
        <v>18</v>
      </c>
      <c r="F335" t="str">
        <f>INDEX(Establishment!B$2:B$1005,MATCH($E335,Establishment!$A$2:$A$1005,0))</f>
        <v xml:space="preserve"> </v>
      </c>
      <c r="G335" t="str">
        <f>INDEX(Establishment!C$2:C$1005,MATCH($E335,Establishment!$A$2:$A$1005,0))</f>
        <v xml:space="preserve"> </v>
      </c>
      <c r="M335">
        <f t="shared" si="31"/>
        <v>0</v>
      </c>
      <c r="N335">
        <f t="shared" si="29"/>
        <v>0</v>
      </c>
      <c r="P335" t="e">
        <f>INDEX(Items!B$2:B$1032,MATCH($O335,Items!$A$2:$A$1032,0))</f>
        <v>#N/A</v>
      </c>
      <c r="Q335" t="e">
        <f>INDEX(Items!C$2:C$1032,MATCH($O335,Items!$A$2:$A$1032,0))</f>
        <v>#N/A</v>
      </c>
      <c r="R335" t="e">
        <f>INDEX(Items!D$2:D$1032,MATCH($O335,Items!$A$2:$A$1032,0))</f>
        <v>#N/A</v>
      </c>
    </row>
    <row r="336" spans="1:18" x14ac:dyDescent="0.25">
      <c r="A336">
        <f t="shared" si="27"/>
        <v>1</v>
      </c>
      <c r="B336" t="str">
        <f t="shared" si="28"/>
        <v/>
      </c>
      <c r="C336">
        <f t="shared" si="30"/>
        <v>1</v>
      </c>
      <c r="D336" s="4"/>
      <c r="E336" t="s">
        <v>18</v>
      </c>
      <c r="F336" t="str">
        <f>INDEX(Establishment!B$2:B$1005,MATCH($E336,Establishment!$A$2:$A$1005,0))</f>
        <v xml:space="preserve"> </v>
      </c>
      <c r="G336" t="str">
        <f>INDEX(Establishment!C$2:C$1005,MATCH($E336,Establishment!$A$2:$A$1005,0))</f>
        <v xml:space="preserve"> </v>
      </c>
      <c r="M336">
        <f t="shared" si="31"/>
        <v>0</v>
      </c>
      <c r="N336">
        <f t="shared" si="29"/>
        <v>0</v>
      </c>
      <c r="P336" t="e">
        <f>INDEX(Items!B$2:B$1032,MATCH($O336,Items!$A$2:$A$1032,0))</f>
        <v>#N/A</v>
      </c>
      <c r="Q336" t="e">
        <f>INDEX(Items!C$2:C$1032,MATCH($O336,Items!$A$2:$A$1032,0))</f>
        <v>#N/A</v>
      </c>
      <c r="R336" t="e">
        <f>INDEX(Items!D$2:D$1032,MATCH($O336,Items!$A$2:$A$1032,0))</f>
        <v>#N/A</v>
      </c>
    </row>
    <row r="337" spans="1:18" x14ac:dyDescent="0.25">
      <c r="A337">
        <f t="shared" si="27"/>
        <v>1</v>
      </c>
      <c r="B337" t="str">
        <f t="shared" si="28"/>
        <v/>
      </c>
      <c r="C337">
        <f t="shared" si="30"/>
        <v>1</v>
      </c>
      <c r="D337" s="4"/>
      <c r="E337" t="s">
        <v>18</v>
      </c>
      <c r="F337" t="str">
        <f>INDEX(Establishment!B$2:B$1005,MATCH($E337,Establishment!$A$2:$A$1005,0))</f>
        <v xml:space="preserve"> </v>
      </c>
      <c r="G337" t="str">
        <f>INDEX(Establishment!C$2:C$1005,MATCH($E337,Establishment!$A$2:$A$1005,0))</f>
        <v xml:space="preserve"> </v>
      </c>
      <c r="M337">
        <f t="shared" si="31"/>
        <v>0</v>
      </c>
      <c r="N337">
        <f t="shared" si="29"/>
        <v>0</v>
      </c>
      <c r="P337" t="e">
        <f>INDEX(Items!B$2:B$1032,MATCH($O337,Items!$A$2:$A$1032,0))</f>
        <v>#N/A</v>
      </c>
      <c r="Q337" t="e">
        <f>INDEX(Items!C$2:C$1032,MATCH($O337,Items!$A$2:$A$1032,0))</f>
        <v>#N/A</v>
      </c>
      <c r="R337" t="e">
        <f>INDEX(Items!D$2:D$1032,MATCH($O337,Items!$A$2:$A$1032,0))</f>
        <v>#N/A</v>
      </c>
    </row>
    <row r="338" spans="1:18" x14ac:dyDescent="0.25">
      <c r="A338">
        <f t="shared" si="27"/>
        <v>1</v>
      </c>
      <c r="B338" t="str">
        <f t="shared" si="28"/>
        <v/>
      </c>
      <c r="C338">
        <f t="shared" si="30"/>
        <v>1</v>
      </c>
      <c r="D338" s="4"/>
      <c r="E338" t="s">
        <v>18</v>
      </c>
      <c r="F338" t="str">
        <f>INDEX(Establishment!B$2:B$1005,MATCH($E338,Establishment!$A$2:$A$1005,0))</f>
        <v xml:space="preserve"> </v>
      </c>
      <c r="G338" t="str">
        <f>INDEX(Establishment!C$2:C$1005,MATCH($E338,Establishment!$A$2:$A$1005,0))</f>
        <v xml:space="preserve"> </v>
      </c>
      <c r="M338">
        <f t="shared" si="31"/>
        <v>0</v>
      </c>
      <c r="N338">
        <f t="shared" si="29"/>
        <v>0</v>
      </c>
      <c r="P338" t="e">
        <f>INDEX(Items!B$2:B$1032,MATCH($O338,Items!$A$2:$A$1032,0))</f>
        <v>#N/A</v>
      </c>
      <c r="Q338" t="e">
        <f>INDEX(Items!C$2:C$1032,MATCH($O338,Items!$A$2:$A$1032,0))</f>
        <v>#N/A</v>
      </c>
      <c r="R338" t="e">
        <f>INDEX(Items!D$2:D$1032,MATCH($O338,Items!$A$2:$A$1032,0))</f>
        <v>#N/A</v>
      </c>
    </row>
    <row r="339" spans="1:18" x14ac:dyDescent="0.25">
      <c r="A339">
        <f t="shared" si="27"/>
        <v>1</v>
      </c>
      <c r="B339" t="str">
        <f t="shared" si="28"/>
        <v/>
      </c>
      <c r="C339">
        <f t="shared" si="30"/>
        <v>1</v>
      </c>
      <c r="D339" s="4"/>
      <c r="E339" t="s">
        <v>18</v>
      </c>
      <c r="F339" t="str">
        <f>INDEX(Establishment!B$2:B$1005,MATCH($E339,Establishment!$A$2:$A$1005,0))</f>
        <v xml:space="preserve"> </v>
      </c>
      <c r="G339" t="str">
        <f>INDEX(Establishment!C$2:C$1005,MATCH($E339,Establishment!$A$2:$A$1005,0))</f>
        <v xml:space="preserve"> </v>
      </c>
      <c r="M339">
        <f t="shared" si="31"/>
        <v>0</v>
      </c>
      <c r="N339">
        <f t="shared" si="29"/>
        <v>0</v>
      </c>
      <c r="P339" t="e">
        <f>INDEX(Items!B$2:B$1032,MATCH($O339,Items!$A$2:$A$1032,0))</f>
        <v>#N/A</v>
      </c>
      <c r="Q339" t="e">
        <f>INDEX(Items!C$2:C$1032,MATCH($O339,Items!$A$2:$A$1032,0))</f>
        <v>#N/A</v>
      </c>
      <c r="R339" t="e">
        <f>INDEX(Items!D$2:D$1032,MATCH($O339,Items!$A$2:$A$1032,0))</f>
        <v>#N/A</v>
      </c>
    </row>
    <row r="340" spans="1:18" x14ac:dyDescent="0.25">
      <c r="A340">
        <f t="shared" si="27"/>
        <v>1</v>
      </c>
      <c r="B340" t="str">
        <f t="shared" si="28"/>
        <v/>
      </c>
      <c r="C340">
        <f t="shared" si="30"/>
        <v>1</v>
      </c>
      <c r="D340" s="4"/>
      <c r="E340" t="s">
        <v>18</v>
      </c>
      <c r="F340" t="str">
        <f>INDEX(Establishment!B$2:B$1005,MATCH($E340,Establishment!$A$2:$A$1005,0))</f>
        <v xml:space="preserve"> </v>
      </c>
      <c r="G340" t="str">
        <f>INDEX(Establishment!C$2:C$1005,MATCH($E340,Establishment!$A$2:$A$1005,0))</f>
        <v xml:space="preserve"> </v>
      </c>
      <c r="M340">
        <f t="shared" si="31"/>
        <v>0</v>
      </c>
      <c r="N340">
        <f t="shared" si="29"/>
        <v>0</v>
      </c>
      <c r="P340" t="e">
        <f>INDEX(Items!B$2:B$1032,MATCH($O340,Items!$A$2:$A$1032,0))</f>
        <v>#N/A</v>
      </c>
      <c r="Q340" t="e">
        <f>INDEX(Items!C$2:C$1032,MATCH($O340,Items!$A$2:$A$1032,0))</f>
        <v>#N/A</v>
      </c>
      <c r="R340" t="e">
        <f>INDEX(Items!D$2:D$1032,MATCH($O340,Items!$A$2:$A$1032,0))</f>
        <v>#N/A</v>
      </c>
    </row>
    <row r="341" spans="1:18" x14ac:dyDescent="0.25">
      <c r="A341">
        <f t="shared" si="27"/>
        <v>1</v>
      </c>
      <c r="B341" t="str">
        <f t="shared" si="28"/>
        <v/>
      </c>
      <c r="C341">
        <f t="shared" si="30"/>
        <v>1</v>
      </c>
      <c r="D341" s="4"/>
      <c r="E341" t="s">
        <v>18</v>
      </c>
      <c r="F341" t="str">
        <f>INDEX(Establishment!B$2:B$1005,MATCH($E341,Establishment!$A$2:$A$1005,0))</f>
        <v xml:space="preserve"> </v>
      </c>
      <c r="G341" t="str">
        <f>INDEX(Establishment!C$2:C$1005,MATCH($E341,Establishment!$A$2:$A$1005,0))</f>
        <v xml:space="preserve"> </v>
      </c>
      <c r="M341">
        <f t="shared" si="31"/>
        <v>0</v>
      </c>
      <c r="N341">
        <f t="shared" si="29"/>
        <v>0</v>
      </c>
      <c r="P341" t="e">
        <f>INDEX(Items!B$2:B$1032,MATCH($O341,Items!$A$2:$A$1032,0))</f>
        <v>#N/A</v>
      </c>
      <c r="Q341" t="e">
        <f>INDEX(Items!C$2:C$1032,MATCH($O341,Items!$A$2:$A$1032,0))</f>
        <v>#N/A</v>
      </c>
      <c r="R341" t="e">
        <f>INDEX(Items!D$2:D$1032,MATCH($O341,Items!$A$2:$A$1032,0))</f>
        <v>#N/A</v>
      </c>
    </row>
    <row r="342" spans="1:18" x14ac:dyDescent="0.25">
      <c r="A342">
        <f t="shared" si="27"/>
        <v>1</v>
      </c>
      <c r="B342" t="str">
        <f t="shared" si="28"/>
        <v/>
      </c>
      <c r="C342">
        <f t="shared" si="30"/>
        <v>1</v>
      </c>
      <c r="D342" s="4"/>
      <c r="E342" t="s">
        <v>18</v>
      </c>
      <c r="F342" t="str">
        <f>INDEX(Establishment!B$2:B$1005,MATCH($E342,Establishment!$A$2:$A$1005,0))</f>
        <v xml:space="preserve"> </v>
      </c>
      <c r="G342" t="str">
        <f>INDEX(Establishment!C$2:C$1005,MATCH($E342,Establishment!$A$2:$A$1005,0))</f>
        <v xml:space="preserve"> </v>
      </c>
      <c r="M342">
        <f t="shared" si="31"/>
        <v>0</v>
      </c>
      <c r="N342">
        <f t="shared" si="29"/>
        <v>0</v>
      </c>
      <c r="P342" t="e">
        <f>INDEX(Items!B$2:B$1032,MATCH($O342,Items!$A$2:$A$1032,0))</f>
        <v>#N/A</v>
      </c>
      <c r="Q342" t="e">
        <f>INDEX(Items!C$2:C$1032,MATCH($O342,Items!$A$2:$A$1032,0))</f>
        <v>#N/A</v>
      </c>
      <c r="R342" t="e">
        <f>INDEX(Items!D$2:D$1032,MATCH($O342,Items!$A$2:$A$1032,0))</f>
        <v>#N/A</v>
      </c>
    </row>
    <row r="343" spans="1:18" x14ac:dyDescent="0.25">
      <c r="A343">
        <f t="shared" si="27"/>
        <v>1</v>
      </c>
      <c r="B343" t="str">
        <f t="shared" si="28"/>
        <v/>
      </c>
      <c r="C343">
        <f t="shared" si="30"/>
        <v>1</v>
      </c>
      <c r="D343" s="4"/>
      <c r="E343" t="s">
        <v>18</v>
      </c>
      <c r="F343" t="str">
        <f>INDEX(Establishment!B$2:B$1005,MATCH($E343,Establishment!$A$2:$A$1005,0))</f>
        <v xml:space="preserve"> </v>
      </c>
      <c r="G343" t="str">
        <f>INDEX(Establishment!C$2:C$1005,MATCH($E343,Establishment!$A$2:$A$1005,0))</f>
        <v xml:space="preserve"> </v>
      </c>
      <c r="M343">
        <f t="shared" si="31"/>
        <v>0</v>
      </c>
      <c r="N343">
        <f t="shared" si="29"/>
        <v>0</v>
      </c>
      <c r="P343" t="e">
        <f>INDEX(Items!B$2:B$1032,MATCH($O343,Items!$A$2:$A$1032,0))</f>
        <v>#N/A</v>
      </c>
      <c r="Q343" t="e">
        <f>INDEX(Items!C$2:C$1032,MATCH($O343,Items!$A$2:$A$1032,0))</f>
        <v>#N/A</v>
      </c>
      <c r="R343" t="e">
        <f>INDEX(Items!D$2:D$1032,MATCH($O343,Items!$A$2:$A$1032,0))</f>
        <v>#N/A</v>
      </c>
    </row>
    <row r="344" spans="1:18" x14ac:dyDescent="0.25">
      <c r="A344">
        <f t="shared" si="27"/>
        <v>1</v>
      </c>
      <c r="B344" t="str">
        <f t="shared" si="28"/>
        <v/>
      </c>
      <c r="C344">
        <f t="shared" si="30"/>
        <v>1</v>
      </c>
      <c r="D344" s="4"/>
      <c r="E344" t="s">
        <v>18</v>
      </c>
      <c r="F344" t="str">
        <f>INDEX(Establishment!B$2:B$1005,MATCH($E344,Establishment!$A$2:$A$1005,0))</f>
        <v xml:space="preserve"> </v>
      </c>
      <c r="G344" t="str">
        <f>INDEX(Establishment!C$2:C$1005,MATCH($E344,Establishment!$A$2:$A$1005,0))</f>
        <v xml:space="preserve"> </v>
      </c>
      <c r="M344">
        <f t="shared" si="31"/>
        <v>0</v>
      </c>
      <c r="N344">
        <f t="shared" si="29"/>
        <v>0</v>
      </c>
      <c r="P344" t="e">
        <f>INDEX(Items!B$2:B$1032,MATCH($O344,Items!$A$2:$A$1032,0))</f>
        <v>#N/A</v>
      </c>
      <c r="Q344" t="e">
        <f>INDEX(Items!C$2:C$1032,MATCH($O344,Items!$A$2:$A$1032,0))</f>
        <v>#N/A</v>
      </c>
      <c r="R344" t="e">
        <f>INDEX(Items!D$2:D$1032,MATCH($O344,Items!$A$2:$A$1032,0))</f>
        <v>#N/A</v>
      </c>
    </row>
    <row r="345" spans="1:18" x14ac:dyDescent="0.25">
      <c r="A345">
        <f t="shared" si="27"/>
        <v>1</v>
      </c>
      <c r="B345" t="str">
        <f t="shared" si="28"/>
        <v/>
      </c>
      <c r="C345">
        <f t="shared" si="30"/>
        <v>1</v>
      </c>
      <c r="D345" s="4"/>
      <c r="E345" t="s">
        <v>18</v>
      </c>
      <c r="F345" t="str">
        <f>INDEX(Establishment!B$2:B$1005,MATCH($E345,Establishment!$A$2:$A$1005,0))</f>
        <v xml:space="preserve"> </v>
      </c>
      <c r="G345" t="str">
        <f>INDEX(Establishment!C$2:C$1005,MATCH($E345,Establishment!$A$2:$A$1005,0))</f>
        <v xml:space="preserve"> </v>
      </c>
      <c r="M345">
        <f t="shared" si="31"/>
        <v>0</v>
      </c>
      <c r="N345">
        <f t="shared" si="29"/>
        <v>0</v>
      </c>
      <c r="P345" t="e">
        <f>INDEX(Items!B$2:B$1032,MATCH($O345,Items!$A$2:$A$1032,0))</f>
        <v>#N/A</v>
      </c>
      <c r="Q345" t="e">
        <f>INDEX(Items!C$2:C$1032,MATCH($O345,Items!$A$2:$A$1032,0))</f>
        <v>#N/A</v>
      </c>
      <c r="R345" t="e">
        <f>INDEX(Items!D$2:D$1032,MATCH($O345,Items!$A$2:$A$1032,0))</f>
        <v>#N/A</v>
      </c>
    </row>
    <row r="346" spans="1:18" x14ac:dyDescent="0.25">
      <c r="A346">
        <f t="shared" si="27"/>
        <v>1</v>
      </c>
      <c r="B346" t="str">
        <f t="shared" si="28"/>
        <v/>
      </c>
      <c r="C346">
        <f t="shared" si="30"/>
        <v>1</v>
      </c>
      <c r="D346" s="4"/>
      <c r="E346" t="s">
        <v>18</v>
      </c>
      <c r="F346" t="str">
        <f>INDEX(Establishment!B$2:B$1005,MATCH($E346,Establishment!$A$2:$A$1005,0))</f>
        <v xml:space="preserve"> </v>
      </c>
      <c r="G346" t="str">
        <f>INDEX(Establishment!C$2:C$1005,MATCH($E346,Establishment!$A$2:$A$1005,0))</f>
        <v xml:space="preserve"> </v>
      </c>
      <c r="M346">
        <f t="shared" si="31"/>
        <v>0</v>
      </c>
      <c r="N346">
        <f t="shared" si="29"/>
        <v>0</v>
      </c>
      <c r="P346" t="e">
        <f>INDEX(Items!B$2:B$1032,MATCH($O346,Items!$A$2:$A$1032,0))</f>
        <v>#N/A</v>
      </c>
      <c r="Q346" t="e">
        <f>INDEX(Items!C$2:C$1032,MATCH($O346,Items!$A$2:$A$1032,0))</f>
        <v>#N/A</v>
      </c>
      <c r="R346" t="e">
        <f>INDEX(Items!D$2:D$1032,MATCH($O346,Items!$A$2:$A$1032,0))</f>
        <v>#N/A</v>
      </c>
    </row>
    <row r="347" spans="1:18" x14ac:dyDescent="0.25">
      <c r="A347">
        <f t="shared" si="27"/>
        <v>1</v>
      </c>
      <c r="B347" t="str">
        <f t="shared" si="28"/>
        <v/>
      </c>
      <c r="C347">
        <f t="shared" si="30"/>
        <v>1</v>
      </c>
      <c r="D347" s="4"/>
      <c r="E347" t="s">
        <v>18</v>
      </c>
      <c r="F347" t="str">
        <f>INDEX(Establishment!B$2:B$1005,MATCH($E347,Establishment!$A$2:$A$1005,0))</f>
        <v xml:space="preserve"> </v>
      </c>
      <c r="G347" t="str">
        <f>INDEX(Establishment!C$2:C$1005,MATCH($E347,Establishment!$A$2:$A$1005,0))</f>
        <v xml:space="preserve"> </v>
      </c>
      <c r="M347">
        <f t="shared" si="31"/>
        <v>0</v>
      </c>
      <c r="N347">
        <f t="shared" si="29"/>
        <v>0</v>
      </c>
      <c r="P347" t="e">
        <f>INDEX(Items!B$2:B$1032,MATCH($O347,Items!$A$2:$A$1032,0))</f>
        <v>#N/A</v>
      </c>
      <c r="Q347" t="e">
        <f>INDEX(Items!C$2:C$1032,MATCH($O347,Items!$A$2:$A$1032,0))</f>
        <v>#N/A</v>
      </c>
      <c r="R347" t="e">
        <f>INDEX(Items!D$2:D$1032,MATCH($O347,Items!$A$2:$A$1032,0))</f>
        <v>#N/A</v>
      </c>
    </row>
    <row r="348" spans="1:18" x14ac:dyDescent="0.25">
      <c r="A348">
        <f t="shared" si="27"/>
        <v>1</v>
      </c>
      <c r="B348" t="str">
        <f t="shared" si="28"/>
        <v/>
      </c>
      <c r="C348">
        <f t="shared" si="30"/>
        <v>1</v>
      </c>
      <c r="D348" s="4"/>
      <c r="E348" t="s">
        <v>18</v>
      </c>
      <c r="F348" t="str">
        <f>INDEX(Establishment!B$2:B$1005,MATCH($E348,Establishment!$A$2:$A$1005,0))</f>
        <v xml:space="preserve"> </v>
      </c>
      <c r="G348" t="str">
        <f>INDEX(Establishment!C$2:C$1005,MATCH($E348,Establishment!$A$2:$A$1005,0))</f>
        <v xml:space="preserve"> </v>
      </c>
      <c r="M348">
        <f t="shared" si="31"/>
        <v>0</v>
      </c>
      <c r="N348">
        <f t="shared" si="29"/>
        <v>0</v>
      </c>
      <c r="P348" t="e">
        <f>INDEX(Items!B$2:B$1032,MATCH($O348,Items!$A$2:$A$1032,0))</f>
        <v>#N/A</v>
      </c>
      <c r="Q348" t="e">
        <f>INDEX(Items!C$2:C$1032,MATCH($O348,Items!$A$2:$A$1032,0))</f>
        <v>#N/A</v>
      </c>
      <c r="R348" t="e">
        <f>INDEX(Items!D$2:D$1032,MATCH($O348,Items!$A$2:$A$1032,0))</f>
        <v>#N/A</v>
      </c>
    </row>
    <row r="349" spans="1:18" x14ac:dyDescent="0.25">
      <c r="A349">
        <f t="shared" si="27"/>
        <v>1</v>
      </c>
      <c r="B349" t="str">
        <f t="shared" si="28"/>
        <v/>
      </c>
      <c r="C349">
        <f t="shared" si="30"/>
        <v>1</v>
      </c>
      <c r="D349" s="4"/>
      <c r="E349" t="s">
        <v>18</v>
      </c>
      <c r="F349" t="str">
        <f>INDEX(Establishment!B$2:B$1005,MATCH($E349,Establishment!$A$2:$A$1005,0))</f>
        <v xml:space="preserve"> </v>
      </c>
      <c r="G349" t="str">
        <f>INDEX(Establishment!C$2:C$1005,MATCH($E349,Establishment!$A$2:$A$1005,0))</f>
        <v xml:space="preserve"> </v>
      </c>
      <c r="M349">
        <f t="shared" si="31"/>
        <v>0</v>
      </c>
      <c r="N349">
        <f t="shared" si="29"/>
        <v>0</v>
      </c>
      <c r="P349" t="e">
        <f>INDEX(Items!B$2:B$1032,MATCH($O349,Items!$A$2:$A$1032,0))</f>
        <v>#N/A</v>
      </c>
      <c r="Q349" t="e">
        <f>INDEX(Items!C$2:C$1032,MATCH($O349,Items!$A$2:$A$1032,0))</f>
        <v>#N/A</v>
      </c>
      <c r="R349" t="e">
        <f>INDEX(Items!D$2:D$1032,MATCH($O349,Items!$A$2:$A$1032,0))</f>
        <v>#N/A</v>
      </c>
    </row>
    <row r="350" spans="1:18" x14ac:dyDescent="0.25">
      <c r="A350">
        <f t="shared" si="27"/>
        <v>1</v>
      </c>
      <c r="B350" t="str">
        <f t="shared" si="28"/>
        <v/>
      </c>
      <c r="C350">
        <f t="shared" si="30"/>
        <v>1</v>
      </c>
      <c r="D350" s="4"/>
      <c r="E350" t="s">
        <v>18</v>
      </c>
      <c r="F350" t="str">
        <f>INDEX(Establishment!B$2:B$1005,MATCH($E350,Establishment!$A$2:$A$1005,0))</f>
        <v xml:space="preserve"> </v>
      </c>
      <c r="G350" t="str">
        <f>INDEX(Establishment!C$2:C$1005,MATCH($E350,Establishment!$A$2:$A$1005,0))</f>
        <v xml:space="preserve"> </v>
      </c>
      <c r="M350">
        <f t="shared" si="31"/>
        <v>0</v>
      </c>
      <c r="N350">
        <f t="shared" si="29"/>
        <v>0</v>
      </c>
      <c r="P350" t="e">
        <f>INDEX(Items!B$2:B$1032,MATCH($O350,Items!$A$2:$A$1032,0))</f>
        <v>#N/A</v>
      </c>
      <c r="Q350" t="e">
        <f>INDEX(Items!C$2:C$1032,MATCH($O350,Items!$A$2:$A$1032,0))</f>
        <v>#N/A</v>
      </c>
      <c r="R350" t="e">
        <f>INDEX(Items!D$2:D$1032,MATCH($O350,Items!$A$2:$A$1032,0))</f>
        <v>#N/A</v>
      </c>
    </row>
    <row r="351" spans="1:18" x14ac:dyDescent="0.25">
      <c r="A351">
        <f t="shared" si="27"/>
        <v>1</v>
      </c>
      <c r="B351" t="str">
        <f t="shared" si="28"/>
        <v/>
      </c>
      <c r="C351">
        <f t="shared" si="30"/>
        <v>1</v>
      </c>
      <c r="D351" s="4"/>
      <c r="E351" t="s">
        <v>18</v>
      </c>
      <c r="F351" t="str">
        <f>INDEX(Establishment!B$2:B$1005,MATCH($E351,Establishment!$A$2:$A$1005,0))</f>
        <v xml:space="preserve"> </v>
      </c>
      <c r="G351" t="str">
        <f>INDEX(Establishment!C$2:C$1005,MATCH($E351,Establishment!$A$2:$A$1005,0))</f>
        <v xml:space="preserve"> </v>
      </c>
      <c r="M351">
        <f t="shared" si="31"/>
        <v>0</v>
      </c>
      <c r="N351">
        <f t="shared" si="29"/>
        <v>0</v>
      </c>
      <c r="P351" t="e">
        <f>INDEX(Items!B$2:B$1032,MATCH($O351,Items!$A$2:$A$1032,0))</f>
        <v>#N/A</v>
      </c>
      <c r="Q351" t="e">
        <f>INDEX(Items!C$2:C$1032,MATCH($O351,Items!$A$2:$A$1032,0))</f>
        <v>#N/A</v>
      </c>
      <c r="R351" t="e">
        <f>INDEX(Items!D$2:D$1032,MATCH($O351,Items!$A$2:$A$1032,0))</f>
        <v>#N/A</v>
      </c>
    </row>
    <row r="352" spans="1:18" x14ac:dyDescent="0.25">
      <c r="A352">
        <f t="shared" si="27"/>
        <v>1</v>
      </c>
      <c r="B352" t="str">
        <f t="shared" si="28"/>
        <v/>
      </c>
      <c r="C352">
        <f t="shared" si="30"/>
        <v>1</v>
      </c>
      <c r="D352" s="4"/>
      <c r="E352" t="s">
        <v>18</v>
      </c>
      <c r="F352" t="str">
        <f>INDEX(Establishment!B$2:B$1005,MATCH($E352,Establishment!$A$2:$A$1005,0))</f>
        <v xml:space="preserve"> </v>
      </c>
      <c r="G352" t="str">
        <f>INDEX(Establishment!C$2:C$1005,MATCH($E352,Establishment!$A$2:$A$1005,0))</f>
        <v xml:space="preserve"> </v>
      </c>
      <c r="M352">
        <f t="shared" si="31"/>
        <v>0</v>
      </c>
      <c r="N352">
        <f t="shared" si="29"/>
        <v>0</v>
      </c>
      <c r="P352" t="e">
        <f>INDEX(Items!B$2:B$1032,MATCH($O352,Items!$A$2:$A$1032,0))</f>
        <v>#N/A</v>
      </c>
      <c r="Q352" t="e">
        <f>INDEX(Items!C$2:C$1032,MATCH($O352,Items!$A$2:$A$1032,0))</f>
        <v>#N/A</v>
      </c>
      <c r="R352" t="e">
        <f>INDEX(Items!D$2:D$1032,MATCH($O352,Items!$A$2:$A$1032,0))</f>
        <v>#N/A</v>
      </c>
    </row>
    <row r="353" spans="1:18" x14ac:dyDescent="0.25">
      <c r="A353">
        <f t="shared" si="27"/>
        <v>1</v>
      </c>
      <c r="B353" t="str">
        <f t="shared" si="28"/>
        <v/>
      </c>
      <c r="C353">
        <f t="shared" si="30"/>
        <v>1</v>
      </c>
      <c r="D353" s="4"/>
      <c r="E353" t="s">
        <v>18</v>
      </c>
      <c r="F353" t="str">
        <f>INDEX(Establishment!B$2:B$1005,MATCH($E353,Establishment!$A$2:$A$1005,0))</f>
        <v xml:space="preserve"> </v>
      </c>
      <c r="G353" t="str">
        <f>INDEX(Establishment!C$2:C$1005,MATCH($E353,Establishment!$A$2:$A$1005,0))</f>
        <v xml:space="preserve"> </v>
      </c>
      <c r="M353">
        <f t="shared" si="31"/>
        <v>0</v>
      </c>
      <c r="N353">
        <f t="shared" si="29"/>
        <v>0</v>
      </c>
      <c r="P353" t="e">
        <f>INDEX(Items!B$2:B$1032,MATCH($O353,Items!$A$2:$A$1032,0))</f>
        <v>#N/A</v>
      </c>
      <c r="Q353" t="e">
        <f>INDEX(Items!C$2:C$1032,MATCH($O353,Items!$A$2:$A$1032,0))</f>
        <v>#N/A</v>
      </c>
      <c r="R353" t="e">
        <f>INDEX(Items!D$2:D$1032,MATCH($O353,Items!$A$2:$A$1032,0))</f>
        <v>#N/A</v>
      </c>
    </row>
    <row r="354" spans="1:18" x14ac:dyDescent="0.25">
      <c r="A354">
        <f t="shared" si="27"/>
        <v>1</v>
      </c>
      <c r="B354" t="str">
        <f t="shared" si="28"/>
        <v/>
      </c>
      <c r="C354">
        <f t="shared" si="30"/>
        <v>1</v>
      </c>
      <c r="D354" s="4"/>
      <c r="E354" t="s">
        <v>18</v>
      </c>
      <c r="F354" t="str">
        <f>INDEX(Establishment!B$2:B$1005,MATCH($E354,Establishment!$A$2:$A$1005,0))</f>
        <v xml:space="preserve"> </v>
      </c>
      <c r="G354" t="str">
        <f>INDEX(Establishment!C$2:C$1005,MATCH($E354,Establishment!$A$2:$A$1005,0))</f>
        <v xml:space="preserve"> </v>
      </c>
      <c r="M354">
        <f t="shared" si="31"/>
        <v>0</v>
      </c>
      <c r="N354">
        <f t="shared" si="29"/>
        <v>0</v>
      </c>
      <c r="P354" t="e">
        <f>INDEX(Items!B$2:B$1032,MATCH($O354,Items!$A$2:$A$1032,0))</f>
        <v>#N/A</v>
      </c>
      <c r="Q354" t="e">
        <f>INDEX(Items!C$2:C$1032,MATCH($O354,Items!$A$2:$A$1032,0))</f>
        <v>#N/A</v>
      </c>
      <c r="R354" t="e">
        <f>INDEX(Items!D$2:D$1032,MATCH($O354,Items!$A$2:$A$1032,0))</f>
        <v>#N/A</v>
      </c>
    </row>
    <row r="355" spans="1:18" x14ac:dyDescent="0.25">
      <c r="A355">
        <f t="shared" si="27"/>
        <v>1</v>
      </c>
      <c r="B355" t="str">
        <f t="shared" si="28"/>
        <v/>
      </c>
      <c r="C355">
        <f t="shared" si="30"/>
        <v>1</v>
      </c>
      <c r="D355" s="4"/>
      <c r="E355" t="s">
        <v>18</v>
      </c>
      <c r="F355" t="str">
        <f>INDEX(Establishment!B$2:B$1005,MATCH($E355,Establishment!$A$2:$A$1005,0))</f>
        <v xml:space="preserve"> </v>
      </c>
      <c r="G355" t="str">
        <f>INDEX(Establishment!C$2:C$1005,MATCH($E355,Establishment!$A$2:$A$1005,0))</f>
        <v xml:space="preserve"> </v>
      </c>
      <c r="M355">
        <f t="shared" si="31"/>
        <v>0</v>
      </c>
      <c r="N355">
        <f t="shared" si="29"/>
        <v>0</v>
      </c>
      <c r="P355" t="e">
        <f>INDEX(Items!B$2:B$1032,MATCH($O355,Items!$A$2:$A$1032,0))</f>
        <v>#N/A</v>
      </c>
      <c r="Q355" t="e">
        <f>INDEX(Items!C$2:C$1032,MATCH($O355,Items!$A$2:$A$1032,0))</f>
        <v>#N/A</v>
      </c>
      <c r="R355" t="e">
        <f>INDEX(Items!D$2:D$1032,MATCH($O355,Items!$A$2:$A$1032,0))</f>
        <v>#N/A</v>
      </c>
    </row>
    <row r="356" spans="1:18" x14ac:dyDescent="0.25">
      <c r="A356">
        <f t="shared" si="27"/>
        <v>1</v>
      </c>
      <c r="B356" t="str">
        <f t="shared" si="28"/>
        <v/>
      </c>
      <c r="C356">
        <f t="shared" si="30"/>
        <v>1</v>
      </c>
      <c r="D356" s="4"/>
      <c r="E356" t="s">
        <v>18</v>
      </c>
      <c r="F356" t="str">
        <f>INDEX(Establishment!B$2:B$1005,MATCH($E356,Establishment!$A$2:$A$1005,0))</f>
        <v xml:space="preserve"> </v>
      </c>
      <c r="G356" t="str">
        <f>INDEX(Establishment!C$2:C$1005,MATCH($E356,Establishment!$A$2:$A$1005,0))</f>
        <v xml:space="preserve"> </v>
      </c>
      <c r="M356">
        <f t="shared" si="31"/>
        <v>0</v>
      </c>
      <c r="N356">
        <f t="shared" si="29"/>
        <v>0</v>
      </c>
      <c r="P356" t="e">
        <f>INDEX(Items!B$2:B$1032,MATCH($O356,Items!$A$2:$A$1032,0))</f>
        <v>#N/A</v>
      </c>
      <c r="Q356" t="e">
        <f>INDEX(Items!C$2:C$1032,MATCH($O356,Items!$A$2:$A$1032,0))</f>
        <v>#N/A</v>
      </c>
      <c r="R356" t="e">
        <f>INDEX(Items!D$2:D$1032,MATCH($O356,Items!$A$2:$A$1032,0))</f>
        <v>#N/A</v>
      </c>
    </row>
    <row r="357" spans="1:18" x14ac:dyDescent="0.25">
      <c r="A357">
        <f t="shared" si="27"/>
        <v>1</v>
      </c>
      <c r="B357" t="str">
        <f t="shared" si="28"/>
        <v/>
      </c>
      <c r="C357">
        <f t="shared" si="30"/>
        <v>1</v>
      </c>
      <c r="D357" s="4"/>
      <c r="E357" t="s">
        <v>18</v>
      </c>
      <c r="F357" t="str">
        <f>INDEX(Establishment!B$2:B$1005,MATCH($E357,Establishment!$A$2:$A$1005,0))</f>
        <v xml:space="preserve"> </v>
      </c>
      <c r="G357" t="str">
        <f>INDEX(Establishment!C$2:C$1005,MATCH($E357,Establishment!$A$2:$A$1005,0))</f>
        <v xml:space="preserve"> </v>
      </c>
      <c r="M357">
        <f t="shared" si="31"/>
        <v>0</v>
      </c>
      <c r="N357">
        <f t="shared" si="29"/>
        <v>0</v>
      </c>
      <c r="P357" t="e">
        <f>INDEX(Items!B$2:B$1032,MATCH($O357,Items!$A$2:$A$1032,0))</f>
        <v>#N/A</v>
      </c>
      <c r="Q357" t="e">
        <f>INDEX(Items!C$2:C$1032,MATCH($O357,Items!$A$2:$A$1032,0))</f>
        <v>#N/A</v>
      </c>
      <c r="R357" t="e">
        <f>INDEX(Items!D$2:D$1032,MATCH($O357,Items!$A$2:$A$1032,0))</f>
        <v>#N/A</v>
      </c>
    </row>
    <row r="358" spans="1:18" x14ac:dyDescent="0.25">
      <c r="A358">
        <f t="shared" si="27"/>
        <v>1</v>
      </c>
      <c r="B358" t="str">
        <f t="shared" si="28"/>
        <v/>
      </c>
      <c r="C358">
        <f t="shared" si="30"/>
        <v>1</v>
      </c>
      <c r="D358" s="4"/>
      <c r="E358" t="s">
        <v>18</v>
      </c>
      <c r="F358" t="str">
        <f>INDEX(Establishment!B$2:B$1005,MATCH($E358,Establishment!$A$2:$A$1005,0))</f>
        <v xml:space="preserve"> </v>
      </c>
      <c r="G358" t="str">
        <f>INDEX(Establishment!C$2:C$1005,MATCH($E358,Establishment!$A$2:$A$1005,0))</f>
        <v xml:space="preserve"> </v>
      </c>
      <c r="M358">
        <f t="shared" si="31"/>
        <v>0</v>
      </c>
      <c r="N358">
        <f t="shared" si="29"/>
        <v>0</v>
      </c>
      <c r="P358" t="e">
        <f>INDEX(Items!B$2:B$1032,MATCH($O358,Items!$A$2:$A$1032,0))</f>
        <v>#N/A</v>
      </c>
      <c r="Q358" t="e">
        <f>INDEX(Items!C$2:C$1032,MATCH($O358,Items!$A$2:$A$1032,0))</f>
        <v>#N/A</v>
      </c>
      <c r="R358" t="e">
        <f>INDEX(Items!D$2:D$1032,MATCH($O358,Items!$A$2:$A$1032,0))</f>
        <v>#N/A</v>
      </c>
    </row>
    <row r="359" spans="1:18" x14ac:dyDescent="0.25">
      <c r="A359">
        <f t="shared" si="27"/>
        <v>1</v>
      </c>
      <c r="B359" t="str">
        <f t="shared" si="28"/>
        <v/>
      </c>
      <c r="C359">
        <f t="shared" si="30"/>
        <v>1</v>
      </c>
      <c r="D359" s="4"/>
      <c r="E359" t="s">
        <v>18</v>
      </c>
      <c r="F359" t="str">
        <f>INDEX(Establishment!B$2:B$1005,MATCH($E359,Establishment!$A$2:$A$1005,0))</f>
        <v xml:space="preserve"> </v>
      </c>
      <c r="G359" t="str">
        <f>INDEX(Establishment!C$2:C$1005,MATCH($E359,Establishment!$A$2:$A$1005,0))</f>
        <v xml:space="preserve"> </v>
      </c>
      <c r="M359">
        <f t="shared" si="31"/>
        <v>0</v>
      </c>
      <c r="N359">
        <f t="shared" si="29"/>
        <v>0</v>
      </c>
      <c r="P359" t="e">
        <f>INDEX(Items!B$2:B$1032,MATCH($O359,Items!$A$2:$A$1032,0))</f>
        <v>#N/A</v>
      </c>
      <c r="Q359" t="e">
        <f>INDEX(Items!C$2:C$1032,MATCH($O359,Items!$A$2:$A$1032,0))</f>
        <v>#N/A</v>
      </c>
      <c r="R359" t="e">
        <f>INDEX(Items!D$2:D$1032,MATCH($O359,Items!$A$2:$A$1032,0))</f>
        <v>#N/A</v>
      </c>
    </row>
    <row r="360" spans="1:18" x14ac:dyDescent="0.25">
      <c r="A360">
        <f t="shared" si="27"/>
        <v>1</v>
      </c>
      <c r="B360" t="str">
        <f t="shared" si="28"/>
        <v/>
      </c>
      <c r="C360">
        <f t="shared" si="30"/>
        <v>1</v>
      </c>
      <c r="D360" s="4"/>
      <c r="E360" t="s">
        <v>18</v>
      </c>
      <c r="F360" t="str">
        <f>INDEX(Establishment!B$2:B$1005,MATCH($E360,Establishment!$A$2:$A$1005,0))</f>
        <v xml:space="preserve"> </v>
      </c>
      <c r="G360" t="str">
        <f>INDEX(Establishment!C$2:C$1005,MATCH($E360,Establishment!$A$2:$A$1005,0))</f>
        <v xml:space="preserve"> </v>
      </c>
      <c r="M360">
        <f t="shared" si="31"/>
        <v>0</v>
      </c>
      <c r="N360">
        <f t="shared" si="29"/>
        <v>0</v>
      </c>
      <c r="P360" t="e">
        <f>INDEX(Items!B$2:B$1032,MATCH($O360,Items!$A$2:$A$1032,0))</f>
        <v>#N/A</v>
      </c>
      <c r="Q360" t="e">
        <f>INDEX(Items!C$2:C$1032,MATCH($O360,Items!$A$2:$A$1032,0))</f>
        <v>#N/A</v>
      </c>
      <c r="R360" t="e">
        <f>INDEX(Items!D$2:D$1032,MATCH($O360,Items!$A$2:$A$1032,0))</f>
        <v>#N/A</v>
      </c>
    </row>
    <row r="361" spans="1:18" x14ac:dyDescent="0.25">
      <c r="A361">
        <f t="shared" si="27"/>
        <v>1</v>
      </c>
      <c r="B361" t="str">
        <f t="shared" si="28"/>
        <v/>
      </c>
      <c r="C361">
        <f t="shared" si="30"/>
        <v>1</v>
      </c>
      <c r="D361" s="4"/>
      <c r="E361" t="s">
        <v>18</v>
      </c>
      <c r="F361" t="str">
        <f>INDEX(Establishment!B$2:B$1005,MATCH($E361,Establishment!$A$2:$A$1005,0))</f>
        <v xml:space="preserve"> </v>
      </c>
      <c r="G361" t="str">
        <f>INDEX(Establishment!C$2:C$1005,MATCH($E361,Establishment!$A$2:$A$1005,0))</f>
        <v xml:space="preserve"> </v>
      </c>
      <c r="M361">
        <f t="shared" si="31"/>
        <v>0</v>
      </c>
      <c r="N361">
        <f t="shared" si="29"/>
        <v>0</v>
      </c>
      <c r="P361" t="e">
        <f>INDEX(Items!B$2:B$1032,MATCH($O361,Items!$A$2:$A$1032,0))</f>
        <v>#N/A</v>
      </c>
      <c r="Q361" t="e">
        <f>INDEX(Items!C$2:C$1032,MATCH($O361,Items!$A$2:$A$1032,0))</f>
        <v>#N/A</v>
      </c>
      <c r="R361" t="e">
        <f>INDEX(Items!D$2:D$1032,MATCH($O361,Items!$A$2:$A$1032,0))</f>
        <v>#N/A</v>
      </c>
    </row>
    <row r="362" spans="1:18" x14ac:dyDescent="0.25">
      <c r="A362">
        <f t="shared" si="27"/>
        <v>1</v>
      </c>
      <c r="B362" t="str">
        <f t="shared" si="28"/>
        <v/>
      </c>
      <c r="C362">
        <f t="shared" si="30"/>
        <v>1</v>
      </c>
      <c r="D362" s="4"/>
      <c r="E362" t="s">
        <v>18</v>
      </c>
      <c r="F362" t="str">
        <f>INDEX(Establishment!B$2:B$1005,MATCH($E362,Establishment!$A$2:$A$1005,0))</f>
        <v xml:space="preserve"> </v>
      </c>
      <c r="G362" t="str">
        <f>INDEX(Establishment!C$2:C$1005,MATCH($E362,Establishment!$A$2:$A$1005,0))</f>
        <v xml:space="preserve"> </v>
      </c>
      <c r="M362">
        <f t="shared" si="31"/>
        <v>0</v>
      </c>
      <c r="N362">
        <f t="shared" si="29"/>
        <v>0</v>
      </c>
      <c r="P362" t="e">
        <f>INDEX(Items!B$2:B$1032,MATCH($O362,Items!$A$2:$A$1032,0))</f>
        <v>#N/A</v>
      </c>
      <c r="Q362" t="e">
        <f>INDEX(Items!C$2:C$1032,MATCH($O362,Items!$A$2:$A$1032,0))</f>
        <v>#N/A</v>
      </c>
      <c r="R362" t="e">
        <f>INDEX(Items!D$2:D$1032,MATCH($O362,Items!$A$2:$A$1032,0))</f>
        <v>#N/A</v>
      </c>
    </row>
    <row r="363" spans="1:18" x14ac:dyDescent="0.25">
      <c r="A363">
        <f t="shared" si="27"/>
        <v>1</v>
      </c>
      <c r="B363" t="str">
        <f t="shared" si="28"/>
        <v/>
      </c>
      <c r="C363">
        <f t="shared" si="30"/>
        <v>1</v>
      </c>
      <c r="D363" s="4"/>
      <c r="E363" t="s">
        <v>18</v>
      </c>
      <c r="F363" t="str">
        <f>INDEX(Establishment!B$2:B$1005,MATCH($E363,Establishment!$A$2:$A$1005,0))</f>
        <v xml:space="preserve"> </v>
      </c>
      <c r="G363" t="str">
        <f>INDEX(Establishment!C$2:C$1005,MATCH($E363,Establishment!$A$2:$A$1005,0))</f>
        <v xml:space="preserve"> </v>
      </c>
      <c r="M363">
        <f t="shared" si="31"/>
        <v>0</v>
      </c>
      <c r="N363">
        <f t="shared" si="29"/>
        <v>0</v>
      </c>
      <c r="P363" t="e">
        <f>INDEX(Items!B$2:B$1032,MATCH($O363,Items!$A$2:$A$1032,0))</f>
        <v>#N/A</v>
      </c>
      <c r="Q363" t="e">
        <f>INDEX(Items!C$2:C$1032,MATCH($O363,Items!$A$2:$A$1032,0))</f>
        <v>#N/A</v>
      </c>
      <c r="R363" t="e">
        <f>INDEX(Items!D$2:D$1032,MATCH($O363,Items!$A$2:$A$1032,0))</f>
        <v>#N/A</v>
      </c>
    </row>
    <row r="364" spans="1:18" x14ac:dyDescent="0.25">
      <c r="A364">
        <f t="shared" si="27"/>
        <v>1</v>
      </c>
      <c r="B364" t="str">
        <f t="shared" si="28"/>
        <v/>
      </c>
      <c r="C364">
        <f t="shared" si="30"/>
        <v>1</v>
      </c>
      <c r="D364" s="4"/>
      <c r="E364" t="s">
        <v>18</v>
      </c>
      <c r="F364" t="str">
        <f>INDEX(Establishment!B$2:B$1005,MATCH($E364,Establishment!$A$2:$A$1005,0))</f>
        <v xml:space="preserve"> </v>
      </c>
      <c r="G364" t="str">
        <f>INDEX(Establishment!C$2:C$1005,MATCH($E364,Establishment!$A$2:$A$1005,0))</f>
        <v xml:space="preserve"> </v>
      </c>
      <c r="M364">
        <f t="shared" si="31"/>
        <v>0</v>
      </c>
      <c r="N364">
        <f t="shared" si="29"/>
        <v>0</v>
      </c>
      <c r="P364" t="e">
        <f>INDEX(Items!B$2:B$1032,MATCH($O364,Items!$A$2:$A$1032,0))</f>
        <v>#N/A</v>
      </c>
      <c r="Q364" t="e">
        <f>INDEX(Items!C$2:C$1032,MATCH($O364,Items!$A$2:$A$1032,0))</f>
        <v>#N/A</v>
      </c>
      <c r="R364" t="e">
        <f>INDEX(Items!D$2:D$1032,MATCH($O364,Items!$A$2:$A$1032,0))</f>
        <v>#N/A</v>
      </c>
    </row>
    <row r="365" spans="1:18" x14ac:dyDescent="0.25">
      <c r="A365">
        <f t="shared" si="27"/>
        <v>1</v>
      </c>
      <c r="B365" t="str">
        <f t="shared" si="28"/>
        <v/>
      </c>
      <c r="C365">
        <f t="shared" si="30"/>
        <v>1</v>
      </c>
      <c r="D365" s="4"/>
      <c r="E365" t="s">
        <v>18</v>
      </c>
      <c r="F365" t="str">
        <f>INDEX(Establishment!B$2:B$1005,MATCH($E365,Establishment!$A$2:$A$1005,0))</f>
        <v xml:space="preserve"> </v>
      </c>
      <c r="G365" t="str">
        <f>INDEX(Establishment!C$2:C$1005,MATCH($E365,Establishment!$A$2:$A$1005,0))</f>
        <v xml:space="preserve"> </v>
      </c>
      <c r="M365">
        <f t="shared" si="31"/>
        <v>0</v>
      </c>
      <c r="N365">
        <f t="shared" si="29"/>
        <v>0</v>
      </c>
      <c r="P365" t="e">
        <f>INDEX(Items!B$2:B$1032,MATCH($O365,Items!$A$2:$A$1032,0))</f>
        <v>#N/A</v>
      </c>
      <c r="Q365" t="e">
        <f>INDEX(Items!C$2:C$1032,MATCH($O365,Items!$A$2:$A$1032,0))</f>
        <v>#N/A</v>
      </c>
      <c r="R365" t="e">
        <f>INDEX(Items!D$2:D$1032,MATCH($O365,Items!$A$2:$A$1032,0))</f>
        <v>#N/A</v>
      </c>
    </row>
    <row r="366" spans="1:18" x14ac:dyDescent="0.25">
      <c r="A366">
        <f t="shared" si="27"/>
        <v>1</v>
      </c>
      <c r="B366" t="str">
        <f t="shared" si="28"/>
        <v/>
      </c>
      <c r="C366">
        <f t="shared" si="30"/>
        <v>1</v>
      </c>
      <c r="D366" s="4"/>
      <c r="E366" t="s">
        <v>18</v>
      </c>
      <c r="F366" t="str">
        <f>INDEX(Establishment!B$2:B$1005,MATCH($E366,Establishment!$A$2:$A$1005,0))</f>
        <v xml:space="preserve"> </v>
      </c>
      <c r="G366" t="str">
        <f>INDEX(Establishment!C$2:C$1005,MATCH($E366,Establishment!$A$2:$A$1005,0))</f>
        <v xml:space="preserve"> </v>
      </c>
      <c r="M366">
        <f t="shared" si="31"/>
        <v>0</v>
      </c>
      <c r="N366">
        <f t="shared" si="29"/>
        <v>0</v>
      </c>
      <c r="P366" t="e">
        <f>INDEX(Items!B$2:B$1032,MATCH($O366,Items!$A$2:$A$1032,0))</f>
        <v>#N/A</v>
      </c>
      <c r="Q366" t="e">
        <f>INDEX(Items!C$2:C$1032,MATCH($O366,Items!$A$2:$A$1032,0))</f>
        <v>#N/A</v>
      </c>
      <c r="R366" t="e">
        <f>INDEX(Items!D$2:D$1032,MATCH($O366,Items!$A$2:$A$1032,0))</f>
        <v>#N/A</v>
      </c>
    </row>
    <row r="367" spans="1:18" x14ac:dyDescent="0.25">
      <c r="A367">
        <f t="shared" si="27"/>
        <v>1</v>
      </c>
      <c r="B367" t="str">
        <f t="shared" si="28"/>
        <v/>
      </c>
      <c r="C367">
        <f t="shared" si="30"/>
        <v>1</v>
      </c>
      <c r="D367" s="4"/>
      <c r="E367" t="s">
        <v>18</v>
      </c>
      <c r="F367" t="str">
        <f>INDEX(Establishment!B$2:B$1005,MATCH($E367,Establishment!$A$2:$A$1005,0))</f>
        <v xml:space="preserve"> </v>
      </c>
      <c r="G367" t="str">
        <f>INDEX(Establishment!C$2:C$1005,MATCH($E367,Establishment!$A$2:$A$1005,0))</f>
        <v xml:space="preserve"> </v>
      </c>
      <c r="M367">
        <f t="shared" si="31"/>
        <v>0</v>
      </c>
      <c r="N367">
        <f t="shared" si="29"/>
        <v>0</v>
      </c>
      <c r="P367" t="e">
        <f>INDEX(Items!B$2:B$1032,MATCH($O367,Items!$A$2:$A$1032,0))</f>
        <v>#N/A</v>
      </c>
      <c r="Q367" t="e">
        <f>INDEX(Items!C$2:C$1032,MATCH($O367,Items!$A$2:$A$1032,0))</f>
        <v>#N/A</v>
      </c>
      <c r="R367" t="e">
        <f>INDEX(Items!D$2:D$1032,MATCH($O367,Items!$A$2:$A$1032,0))</f>
        <v>#N/A</v>
      </c>
    </row>
    <row r="368" spans="1:18" x14ac:dyDescent="0.25">
      <c r="A368">
        <f t="shared" si="27"/>
        <v>1</v>
      </c>
      <c r="B368" t="str">
        <f t="shared" si="28"/>
        <v/>
      </c>
      <c r="C368">
        <f t="shared" si="30"/>
        <v>1</v>
      </c>
      <c r="D368" s="4"/>
      <c r="E368" t="s">
        <v>18</v>
      </c>
      <c r="F368" t="str">
        <f>INDEX(Establishment!B$2:B$1005,MATCH($E368,Establishment!$A$2:$A$1005,0))</f>
        <v xml:space="preserve"> </v>
      </c>
      <c r="G368" t="str">
        <f>INDEX(Establishment!C$2:C$1005,MATCH($E368,Establishment!$A$2:$A$1005,0))</f>
        <v xml:space="preserve"> </v>
      </c>
      <c r="M368">
        <f t="shared" si="31"/>
        <v>0</v>
      </c>
      <c r="N368">
        <f t="shared" si="29"/>
        <v>0</v>
      </c>
      <c r="P368" t="e">
        <f>INDEX(Items!B$2:B$1032,MATCH($O368,Items!$A$2:$A$1032,0))</f>
        <v>#N/A</v>
      </c>
      <c r="Q368" t="e">
        <f>INDEX(Items!C$2:C$1032,MATCH($O368,Items!$A$2:$A$1032,0))</f>
        <v>#N/A</v>
      </c>
      <c r="R368" t="e">
        <f>INDEX(Items!D$2:D$1032,MATCH($O368,Items!$A$2:$A$1032,0))</f>
        <v>#N/A</v>
      </c>
    </row>
    <row r="369" spans="1:18" x14ac:dyDescent="0.25">
      <c r="A369">
        <f t="shared" si="27"/>
        <v>1</v>
      </c>
      <c r="B369" t="str">
        <f t="shared" si="28"/>
        <v/>
      </c>
      <c r="C369">
        <f t="shared" si="30"/>
        <v>1</v>
      </c>
      <c r="D369" s="4"/>
      <c r="E369" t="s">
        <v>18</v>
      </c>
      <c r="F369" t="str">
        <f>INDEX(Establishment!B$2:B$1005,MATCH($E369,Establishment!$A$2:$A$1005,0))</f>
        <v xml:space="preserve"> </v>
      </c>
      <c r="G369" t="str">
        <f>INDEX(Establishment!C$2:C$1005,MATCH($E369,Establishment!$A$2:$A$1005,0))</f>
        <v xml:space="preserve"> </v>
      </c>
      <c r="M369">
        <f t="shared" si="31"/>
        <v>0</v>
      </c>
      <c r="N369">
        <f t="shared" si="29"/>
        <v>0</v>
      </c>
      <c r="P369" t="e">
        <f>INDEX(Items!B$2:B$1032,MATCH($O369,Items!$A$2:$A$1032,0))</f>
        <v>#N/A</v>
      </c>
      <c r="Q369" t="e">
        <f>INDEX(Items!C$2:C$1032,MATCH($O369,Items!$A$2:$A$1032,0))</f>
        <v>#N/A</v>
      </c>
      <c r="R369" t="e">
        <f>INDEX(Items!D$2:D$1032,MATCH($O369,Items!$A$2:$A$1032,0))</f>
        <v>#N/A</v>
      </c>
    </row>
    <row r="370" spans="1:18" x14ac:dyDescent="0.25">
      <c r="A370">
        <f t="shared" si="27"/>
        <v>1</v>
      </c>
      <c r="B370" t="str">
        <f t="shared" si="28"/>
        <v/>
      </c>
      <c r="C370">
        <f t="shared" si="30"/>
        <v>1</v>
      </c>
      <c r="D370" s="4"/>
      <c r="E370" t="s">
        <v>18</v>
      </c>
      <c r="F370" t="str">
        <f>INDEX(Establishment!B$2:B$1005,MATCH($E370,Establishment!$A$2:$A$1005,0))</f>
        <v xml:space="preserve"> </v>
      </c>
      <c r="G370" t="str">
        <f>INDEX(Establishment!C$2:C$1005,MATCH($E370,Establishment!$A$2:$A$1005,0))</f>
        <v xml:space="preserve"> </v>
      </c>
      <c r="M370">
        <f t="shared" si="31"/>
        <v>0</v>
      </c>
      <c r="N370">
        <f t="shared" si="29"/>
        <v>0</v>
      </c>
      <c r="P370" t="e">
        <f>INDEX(Items!B$2:B$1032,MATCH($O370,Items!$A$2:$A$1032,0))</f>
        <v>#N/A</v>
      </c>
      <c r="Q370" t="e">
        <f>INDEX(Items!C$2:C$1032,MATCH($O370,Items!$A$2:$A$1032,0))</f>
        <v>#N/A</v>
      </c>
      <c r="R370" t="e">
        <f>INDEX(Items!D$2:D$1032,MATCH($O370,Items!$A$2:$A$1032,0))</f>
        <v>#N/A</v>
      </c>
    </row>
    <row r="371" spans="1:18" x14ac:dyDescent="0.25">
      <c r="A371">
        <f t="shared" si="27"/>
        <v>1</v>
      </c>
      <c r="B371" t="str">
        <f t="shared" si="28"/>
        <v/>
      </c>
      <c r="C371">
        <f t="shared" si="30"/>
        <v>1</v>
      </c>
      <c r="D371" s="4"/>
      <c r="E371" t="s">
        <v>18</v>
      </c>
      <c r="F371" t="str">
        <f>INDEX(Establishment!B$2:B$1005,MATCH($E371,Establishment!$A$2:$A$1005,0))</f>
        <v xml:space="preserve"> </v>
      </c>
      <c r="G371" t="str">
        <f>INDEX(Establishment!C$2:C$1005,MATCH($E371,Establishment!$A$2:$A$1005,0))</f>
        <v xml:space="preserve"> </v>
      </c>
      <c r="M371">
        <f t="shared" si="31"/>
        <v>0</v>
      </c>
      <c r="N371">
        <f t="shared" si="29"/>
        <v>0</v>
      </c>
      <c r="P371" t="e">
        <f>INDEX(Items!B$2:B$1032,MATCH($O371,Items!$A$2:$A$1032,0))</f>
        <v>#N/A</v>
      </c>
      <c r="Q371" t="e">
        <f>INDEX(Items!C$2:C$1032,MATCH($O371,Items!$A$2:$A$1032,0))</f>
        <v>#N/A</v>
      </c>
      <c r="R371" t="e">
        <f>INDEX(Items!D$2:D$1032,MATCH($O371,Items!$A$2:$A$1032,0))</f>
        <v>#N/A</v>
      </c>
    </row>
    <row r="372" spans="1:18" x14ac:dyDescent="0.25">
      <c r="A372">
        <f t="shared" si="27"/>
        <v>1</v>
      </c>
      <c r="B372" t="str">
        <f t="shared" si="28"/>
        <v/>
      </c>
      <c r="C372">
        <f t="shared" si="30"/>
        <v>1</v>
      </c>
      <c r="D372" s="4"/>
      <c r="E372" t="s">
        <v>18</v>
      </c>
      <c r="F372" t="str">
        <f>INDEX(Establishment!B$2:B$1005,MATCH($E372,Establishment!$A$2:$A$1005,0))</f>
        <v xml:space="preserve"> </v>
      </c>
      <c r="G372" t="str">
        <f>INDEX(Establishment!C$2:C$1005,MATCH($E372,Establishment!$A$2:$A$1005,0))</f>
        <v xml:space="preserve"> </v>
      </c>
      <c r="M372">
        <f t="shared" si="31"/>
        <v>0</v>
      </c>
      <c r="N372">
        <f t="shared" si="29"/>
        <v>0</v>
      </c>
      <c r="P372" t="e">
        <f>INDEX(Items!B$2:B$1032,MATCH($O372,Items!$A$2:$A$1032,0))</f>
        <v>#N/A</v>
      </c>
      <c r="Q372" t="e">
        <f>INDEX(Items!C$2:C$1032,MATCH($O372,Items!$A$2:$A$1032,0))</f>
        <v>#N/A</v>
      </c>
      <c r="R372" t="e">
        <f>INDEX(Items!D$2:D$1032,MATCH($O372,Items!$A$2:$A$1032,0))</f>
        <v>#N/A</v>
      </c>
    </row>
    <row r="373" spans="1:18" x14ac:dyDescent="0.25">
      <c r="A373">
        <f t="shared" si="27"/>
        <v>1</v>
      </c>
      <c r="B373" t="str">
        <f t="shared" si="28"/>
        <v/>
      </c>
      <c r="C373">
        <f t="shared" si="30"/>
        <v>1</v>
      </c>
      <c r="D373" s="4"/>
      <c r="E373" t="s">
        <v>18</v>
      </c>
      <c r="F373" t="str">
        <f>INDEX(Establishment!B$2:B$1005,MATCH($E373,Establishment!$A$2:$A$1005,0))</f>
        <v xml:space="preserve"> </v>
      </c>
      <c r="G373" t="str">
        <f>INDEX(Establishment!C$2:C$1005,MATCH($E373,Establishment!$A$2:$A$1005,0))</f>
        <v xml:space="preserve"> </v>
      </c>
      <c r="M373">
        <f t="shared" si="31"/>
        <v>0</v>
      </c>
      <c r="N373">
        <f t="shared" si="29"/>
        <v>0</v>
      </c>
      <c r="P373" t="e">
        <f>INDEX(Items!B$2:B$1032,MATCH($O373,Items!$A$2:$A$1032,0))</f>
        <v>#N/A</v>
      </c>
      <c r="Q373" t="e">
        <f>INDEX(Items!C$2:C$1032,MATCH($O373,Items!$A$2:$A$1032,0))</f>
        <v>#N/A</v>
      </c>
      <c r="R373" t="e">
        <f>INDEX(Items!D$2:D$1032,MATCH($O373,Items!$A$2:$A$1032,0))</f>
        <v>#N/A</v>
      </c>
    </row>
    <row r="374" spans="1:18" x14ac:dyDescent="0.25">
      <c r="A374">
        <f t="shared" si="27"/>
        <v>1</v>
      </c>
      <c r="B374" t="str">
        <f t="shared" si="28"/>
        <v/>
      </c>
      <c r="C374">
        <f t="shared" si="30"/>
        <v>1</v>
      </c>
      <c r="D374" s="4"/>
      <c r="E374" t="s">
        <v>18</v>
      </c>
      <c r="F374" t="str">
        <f>INDEX(Establishment!B$2:B$1005,MATCH($E374,Establishment!$A$2:$A$1005,0))</f>
        <v xml:space="preserve"> </v>
      </c>
      <c r="G374" t="str">
        <f>INDEX(Establishment!C$2:C$1005,MATCH($E374,Establishment!$A$2:$A$1005,0))</f>
        <v xml:space="preserve"> </v>
      </c>
      <c r="M374">
        <f t="shared" si="31"/>
        <v>0</v>
      </c>
      <c r="N374">
        <f t="shared" si="29"/>
        <v>0</v>
      </c>
      <c r="P374" t="e">
        <f>INDEX(Items!B$2:B$1032,MATCH($O374,Items!$A$2:$A$1032,0))</f>
        <v>#N/A</v>
      </c>
      <c r="Q374" t="e">
        <f>INDEX(Items!C$2:C$1032,MATCH($O374,Items!$A$2:$A$1032,0))</f>
        <v>#N/A</v>
      </c>
      <c r="R374" t="e">
        <f>INDEX(Items!D$2:D$1032,MATCH($O374,Items!$A$2:$A$1032,0))</f>
        <v>#N/A</v>
      </c>
    </row>
    <row r="375" spans="1:18" x14ac:dyDescent="0.25">
      <c r="A375">
        <f t="shared" si="27"/>
        <v>1</v>
      </c>
      <c r="B375" t="str">
        <f t="shared" si="28"/>
        <v/>
      </c>
      <c r="C375">
        <f t="shared" si="30"/>
        <v>1</v>
      </c>
      <c r="D375" s="4"/>
      <c r="E375" t="s">
        <v>18</v>
      </c>
      <c r="F375" t="str">
        <f>INDEX(Establishment!B$2:B$1005,MATCH($E375,Establishment!$A$2:$A$1005,0))</f>
        <v xml:space="preserve"> </v>
      </c>
      <c r="G375" t="str">
        <f>INDEX(Establishment!C$2:C$1005,MATCH($E375,Establishment!$A$2:$A$1005,0))</f>
        <v xml:space="preserve"> </v>
      </c>
      <c r="M375">
        <f t="shared" si="31"/>
        <v>0</v>
      </c>
      <c r="N375">
        <f t="shared" si="29"/>
        <v>0</v>
      </c>
      <c r="P375" t="e">
        <f>INDEX(Items!B$2:B$1032,MATCH($O375,Items!$A$2:$A$1032,0))</f>
        <v>#N/A</v>
      </c>
      <c r="Q375" t="e">
        <f>INDEX(Items!C$2:C$1032,MATCH($O375,Items!$A$2:$A$1032,0))</f>
        <v>#N/A</v>
      </c>
      <c r="R375" t="e">
        <f>INDEX(Items!D$2:D$1032,MATCH($O375,Items!$A$2:$A$1032,0))</f>
        <v>#N/A</v>
      </c>
    </row>
    <row r="376" spans="1:18" x14ac:dyDescent="0.25">
      <c r="A376">
        <f t="shared" si="27"/>
        <v>1</v>
      </c>
      <c r="B376" t="str">
        <f t="shared" si="28"/>
        <v/>
      </c>
      <c r="C376">
        <f t="shared" si="30"/>
        <v>1</v>
      </c>
      <c r="D376" s="4"/>
      <c r="E376" t="s">
        <v>18</v>
      </c>
      <c r="F376" t="str">
        <f>INDEX(Establishment!B$2:B$1005,MATCH($E376,Establishment!$A$2:$A$1005,0))</f>
        <v xml:space="preserve"> </v>
      </c>
      <c r="G376" t="str">
        <f>INDEX(Establishment!C$2:C$1005,MATCH($E376,Establishment!$A$2:$A$1005,0))</f>
        <v xml:space="preserve"> </v>
      </c>
      <c r="M376">
        <f t="shared" si="31"/>
        <v>0</v>
      </c>
      <c r="N376">
        <f t="shared" si="29"/>
        <v>0</v>
      </c>
      <c r="P376" t="e">
        <f>INDEX(Items!B$2:B$1032,MATCH($O376,Items!$A$2:$A$1032,0))</f>
        <v>#N/A</v>
      </c>
      <c r="Q376" t="e">
        <f>INDEX(Items!C$2:C$1032,MATCH($O376,Items!$A$2:$A$1032,0))</f>
        <v>#N/A</v>
      </c>
      <c r="R376" t="e">
        <f>INDEX(Items!D$2:D$1032,MATCH($O376,Items!$A$2:$A$1032,0))</f>
        <v>#N/A</v>
      </c>
    </row>
    <row r="377" spans="1:18" x14ac:dyDescent="0.25">
      <c r="A377">
        <f t="shared" si="27"/>
        <v>1</v>
      </c>
      <c r="B377" t="str">
        <f t="shared" si="28"/>
        <v/>
      </c>
      <c r="C377">
        <f t="shared" si="30"/>
        <v>1</v>
      </c>
      <c r="D377" s="4"/>
      <c r="E377" t="s">
        <v>18</v>
      </c>
      <c r="F377" t="str">
        <f>INDEX(Establishment!B$2:B$1005,MATCH($E377,Establishment!$A$2:$A$1005,0))</f>
        <v xml:space="preserve"> </v>
      </c>
      <c r="G377" t="str">
        <f>INDEX(Establishment!C$2:C$1005,MATCH($E377,Establishment!$A$2:$A$1005,0))</f>
        <v xml:space="preserve"> </v>
      </c>
      <c r="M377">
        <f t="shared" si="31"/>
        <v>0</v>
      </c>
      <c r="N377">
        <f t="shared" si="29"/>
        <v>0</v>
      </c>
      <c r="P377" t="e">
        <f>INDEX(Items!B$2:B$1032,MATCH($O377,Items!$A$2:$A$1032,0))</f>
        <v>#N/A</v>
      </c>
      <c r="Q377" t="e">
        <f>INDEX(Items!C$2:C$1032,MATCH($O377,Items!$A$2:$A$1032,0))</f>
        <v>#N/A</v>
      </c>
      <c r="R377" t="e">
        <f>INDEX(Items!D$2:D$1032,MATCH($O377,Items!$A$2:$A$1032,0))</f>
        <v>#N/A</v>
      </c>
    </row>
    <row r="378" spans="1:18" x14ac:dyDescent="0.25">
      <c r="A378">
        <f t="shared" si="27"/>
        <v>1</v>
      </c>
      <c r="B378" t="str">
        <f t="shared" si="28"/>
        <v/>
      </c>
      <c r="C378">
        <f t="shared" si="30"/>
        <v>1</v>
      </c>
      <c r="D378" s="4"/>
      <c r="E378" t="s">
        <v>18</v>
      </c>
      <c r="F378" t="str">
        <f>INDEX(Establishment!B$2:B$1005,MATCH($E378,Establishment!$A$2:$A$1005,0))</f>
        <v xml:space="preserve"> </v>
      </c>
      <c r="G378" t="str">
        <f>INDEX(Establishment!C$2:C$1005,MATCH($E378,Establishment!$A$2:$A$1005,0))</f>
        <v xml:space="preserve"> </v>
      </c>
      <c r="M378">
        <f t="shared" si="31"/>
        <v>0</v>
      </c>
      <c r="N378">
        <f t="shared" si="29"/>
        <v>0</v>
      </c>
      <c r="P378" t="e">
        <f>INDEX(Items!B$2:B$1032,MATCH($O378,Items!$A$2:$A$1032,0))</f>
        <v>#N/A</v>
      </c>
      <c r="Q378" t="e">
        <f>INDEX(Items!C$2:C$1032,MATCH($O378,Items!$A$2:$A$1032,0))</f>
        <v>#N/A</v>
      </c>
      <c r="R378" t="e">
        <f>INDEX(Items!D$2:D$1032,MATCH($O378,Items!$A$2:$A$1032,0))</f>
        <v>#N/A</v>
      </c>
    </row>
    <row r="379" spans="1:18" x14ac:dyDescent="0.25">
      <c r="A379">
        <f t="shared" si="27"/>
        <v>1</v>
      </c>
      <c r="B379" t="str">
        <f t="shared" si="28"/>
        <v/>
      </c>
      <c r="C379">
        <f t="shared" si="30"/>
        <v>1</v>
      </c>
      <c r="D379" s="4"/>
      <c r="E379" t="s">
        <v>18</v>
      </c>
      <c r="F379" t="str">
        <f>INDEX(Establishment!B$2:B$1005,MATCH($E379,Establishment!$A$2:$A$1005,0))</f>
        <v xml:space="preserve"> </v>
      </c>
      <c r="G379" t="str">
        <f>INDEX(Establishment!C$2:C$1005,MATCH($E379,Establishment!$A$2:$A$1005,0))</f>
        <v xml:space="preserve"> </v>
      </c>
      <c r="M379">
        <f t="shared" si="31"/>
        <v>0</v>
      </c>
      <c r="N379">
        <f t="shared" si="29"/>
        <v>0</v>
      </c>
      <c r="P379" t="e">
        <f>INDEX(Items!B$2:B$1032,MATCH($O379,Items!$A$2:$A$1032,0))</f>
        <v>#N/A</v>
      </c>
      <c r="Q379" t="e">
        <f>INDEX(Items!C$2:C$1032,MATCH($O379,Items!$A$2:$A$1032,0))</f>
        <v>#N/A</v>
      </c>
      <c r="R379" t="e">
        <f>INDEX(Items!D$2:D$1032,MATCH($O379,Items!$A$2:$A$1032,0))</f>
        <v>#N/A</v>
      </c>
    </row>
    <row r="380" spans="1:18" x14ac:dyDescent="0.25">
      <c r="A380">
        <f t="shared" si="27"/>
        <v>1</v>
      </c>
      <c r="B380" t="str">
        <f t="shared" si="28"/>
        <v/>
      </c>
      <c r="C380">
        <f t="shared" si="30"/>
        <v>1</v>
      </c>
      <c r="D380" s="4"/>
      <c r="E380" t="s">
        <v>18</v>
      </c>
      <c r="F380" t="str">
        <f>INDEX(Establishment!B$2:B$1005,MATCH($E380,Establishment!$A$2:$A$1005,0))</f>
        <v xml:space="preserve"> </v>
      </c>
      <c r="G380" t="str">
        <f>INDEX(Establishment!C$2:C$1005,MATCH($E380,Establishment!$A$2:$A$1005,0))</f>
        <v xml:space="preserve"> </v>
      </c>
      <c r="M380">
        <f t="shared" si="31"/>
        <v>0</v>
      </c>
      <c r="N380">
        <f t="shared" si="29"/>
        <v>0</v>
      </c>
      <c r="P380" t="e">
        <f>INDEX(Items!B$2:B$1032,MATCH($O380,Items!$A$2:$A$1032,0))</f>
        <v>#N/A</v>
      </c>
      <c r="Q380" t="e">
        <f>INDEX(Items!C$2:C$1032,MATCH($O380,Items!$A$2:$A$1032,0))</f>
        <v>#N/A</v>
      </c>
      <c r="R380" t="e">
        <f>INDEX(Items!D$2:D$1032,MATCH($O380,Items!$A$2:$A$1032,0))</f>
        <v>#N/A</v>
      </c>
    </row>
    <row r="381" spans="1:18" x14ac:dyDescent="0.25">
      <c r="A381">
        <f t="shared" si="27"/>
        <v>1</v>
      </c>
      <c r="B381" t="str">
        <f t="shared" si="28"/>
        <v/>
      </c>
      <c r="C381">
        <f t="shared" si="30"/>
        <v>1</v>
      </c>
      <c r="D381" s="4"/>
      <c r="E381" t="s">
        <v>18</v>
      </c>
      <c r="F381" t="str">
        <f>INDEX(Establishment!B$2:B$1005,MATCH($E381,Establishment!$A$2:$A$1005,0))</f>
        <v xml:space="preserve"> </v>
      </c>
      <c r="G381" t="str">
        <f>INDEX(Establishment!C$2:C$1005,MATCH($E381,Establishment!$A$2:$A$1005,0))</f>
        <v xml:space="preserve"> </v>
      </c>
      <c r="M381">
        <f t="shared" si="31"/>
        <v>0</v>
      </c>
      <c r="N381">
        <f t="shared" si="29"/>
        <v>0</v>
      </c>
      <c r="P381" t="e">
        <f>INDEX(Items!B$2:B$1032,MATCH($O381,Items!$A$2:$A$1032,0))</f>
        <v>#N/A</v>
      </c>
      <c r="Q381" t="e">
        <f>INDEX(Items!C$2:C$1032,MATCH($O381,Items!$A$2:$A$1032,0))</f>
        <v>#N/A</v>
      </c>
      <c r="R381" t="e">
        <f>INDEX(Items!D$2:D$1032,MATCH($O381,Items!$A$2:$A$1032,0))</f>
        <v>#N/A</v>
      </c>
    </row>
    <row r="382" spans="1:18" x14ac:dyDescent="0.25">
      <c r="A382">
        <f t="shared" si="27"/>
        <v>1</v>
      </c>
      <c r="B382" t="str">
        <f t="shared" si="28"/>
        <v/>
      </c>
      <c r="C382">
        <f t="shared" si="30"/>
        <v>1</v>
      </c>
      <c r="D382" s="4"/>
      <c r="E382" t="s">
        <v>18</v>
      </c>
      <c r="F382" t="str">
        <f>INDEX(Establishment!B$2:B$1005,MATCH($E382,Establishment!$A$2:$A$1005,0))</f>
        <v xml:space="preserve"> </v>
      </c>
      <c r="G382" t="str">
        <f>INDEX(Establishment!C$2:C$1005,MATCH($E382,Establishment!$A$2:$A$1005,0))</f>
        <v xml:space="preserve"> </v>
      </c>
      <c r="M382">
        <f t="shared" si="31"/>
        <v>0</v>
      </c>
      <c r="N382">
        <f t="shared" si="29"/>
        <v>0</v>
      </c>
      <c r="P382" t="e">
        <f>INDEX(Items!B$2:B$1032,MATCH($O382,Items!$A$2:$A$1032,0))</f>
        <v>#N/A</v>
      </c>
      <c r="Q382" t="e">
        <f>INDEX(Items!C$2:C$1032,MATCH($O382,Items!$A$2:$A$1032,0))</f>
        <v>#N/A</v>
      </c>
      <c r="R382" t="e">
        <f>INDEX(Items!D$2:D$1032,MATCH($O382,Items!$A$2:$A$1032,0))</f>
        <v>#N/A</v>
      </c>
    </row>
    <row r="383" spans="1:18" x14ac:dyDescent="0.25">
      <c r="A383">
        <f t="shared" si="27"/>
        <v>1</v>
      </c>
      <c r="B383" t="str">
        <f t="shared" si="28"/>
        <v/>
      </c>
      <c r="C383">
        <f t="shared" si="30"/>
        <v>1</v>
      </c>
      <c r="D383" s="4"/>
      <c r="E383" t="s">
        <v>18</v>
      </c>
      <c r="F383" t="str">
        <f>INDEX(Establishment!B$2:B$1005,MATCH($E383,Establishment!$A$2:$A$1005,0))</f>
        <v xml:space="preserve"> </v>
      </c>
      <c r="G383" t="str">
        <f>INDEX(Establishment!C$2:C$1005,MATCH($E383,Establishment!$A$2:$A$1005,0))</f>
        <v xml:space="preserve"> </v>
      </c>
      <c r="M383">
        <f t="shared" si="31"/>
        <v>0</v>
      </c>
      <c r="N383">
        <f t="shared" si="29"/>
        <v>0</v>
      </c>
      <c r="P383" t="e">
        <f>INDEX(Items!B$2:B$1032,MATCH($O383,Items!$A$2:$A$1032,0))</f>
        <v>#N/A</v>
      </c>
      <c r="Q383" t="e">
        <f>INDEX(Items!C$2:C$1032,MATCH($O383,Items!$A$2:$A$1032,0))</f>
        <v>#N/A</v>
      </c>
      <c r="R383" t="e">
        <f>INDEX(Items!D$2:D$1032,MATCH($O383,Items!$A$2:$A$1032,0))</f>
        <v>#N/A</v>
      </c>
    </row>
    <row r="384" spans="1:18" x14ac:dyDescent="0.25">
      <c r="A384">
        <f t="shared" si="27"/>
        <v>1</v>
      </c>
      <c r="B384" t="str">
        <f t="shared" si="28"/>
        <v/>
      </c>
      <c r="C384">
        <f t="shared" si="30"/>
        <v>1</v>
      </c>
      <c r="D384" s="4"/>
      <c r="E384" t="s">
        <v>18</v>
      </c>
      <c r="F384" t="str">
        <f>INDEX(Establishment!B$2:B$1005,MATCH($E384,Establishment!$A$2:$A$1005,0))</f>
        <v xml:space="preserve"> </v>
      </c>
      <c r="G384" t="str">
        <f>INDEX(Establishment!C$2:C$1005,MATCH($E384,Establishment!$A$2:$A$1005,0))</f>
        <v xml:space="preserve"> </v>
      </c>
      <c r="M384">
        <f t="shared" si="31"/>
        <v>0</v>
      </c>
      <c r="N384">
        <f t="shared" si="29"/>
        <v>0</v>
      </c>
      <c r="P384" t="e">
        <f>INDEX(Items!B$2:B$1032,MATCH($O384,Items!$A$2:$A$1032,0))</f>
        <v>#N/A</v>
      </c>
      <c r="Q384" t="e">
        <f>INDEX(Items!C$2:C$1032,MATCH($O384,Items!$A$2:$A$1032,0))</f>
        <v>#N/A</v>
      </c>
      <c r="R384" t="e">
        <f>INDEX(Items!D$2:D$1032,MATCH($O384,Items!$A$2:$A$1032,0))</f>
        <v>#N/A</v>
      </c>
    </row>
    <row r="385" spans="1:18" x14ac:dyDescent="0.25">
      <c r="A385">
        <f t="shared" si="27"/>
        <v>1</v>
      </c>
      <c r="B385" t="str">
        <f t="shared" si="28"/>
        <v/>
      </c>
      <c r="C385">
        <f t="shared" si="30"/>
        <v>1</v>
      </c>
      <c r="D385" s="4"/>
      <c r="E385" t="s">
        <v>18</v>
      </c>
      <c r="F385" t="str">
        <f>INDEX(Establishment!B$2:B$1005,MATCH($E385,Establishment!$A$2:$A$1005,0))</f>
        <v xml:space="preserve"> </v>
      </c>
      <c r="G385" t="str">
        <f>INDEX(Establishment!C$2:C$1005,MATCH($E385,Establishment!$A$2:$A$1005,0))</f>
        <v xml:space="preserve"> </v>
      </c>
      <c r="M385">
        <f t="shared" si="31"/>
        <v>0</v>
      </c>
      <c r="N385">
        <f t="shared" si="29"/>
        <v>0</v>
      </c>
      <c r="P385" t="e">
        <f>INDEX(Items!B$2:B$1032,MATCH($O385,Items!$A$2:$A$1032,0))</f>
        <v>#N/A</v>
      </c>
      <c r="Q385" t="e">
        <f>INDEX(Items!C$2:C$1032,MATCH($O385,Items!$A$2:$A$1032,0))</f>
        <v>#N/A</v>
      </c>
      <c r="R385" t="e">
        <f>INDEX(Items!D$2:D$1032,MATCH($O385,Items!$A$2:$A$1032,0))</f>
        <v>#N/A</v>
      </c>
    </row>
    <row r="386" spans="1:18" x14ac:dyDescent="0.25">
      <c r="A386">
        <f t="shared" ref="A386:A449" si="32">IF(OR(D386&lt;&gt;D385,D386=""),1,IF(NOT(AND(E386=E385,F386=F385,G386=G385)),A385+1,IF(OR(H386="",AND(H386&lt;&gt;"",H386&lt;&gt;H385,H385&lt;&gt;"")),A385,A385+1)))</f>
        <v>1</v>
      </c>
      <c r="B386" t="str">
        <f t="shared" ref="B386:B449" si="33">IF(D386&lt;&gt;"",TEXT(D386,"YYYYMMDD")&amp;CHAR(64+A386),"")</f>
        <v/>
      </c>
      <c r="C386">
        <f t="shared" si="30"/>
        <v>1</v>
      </c>
      <c r="D386" s="4"/>
      <c r="E386" t="s">
        <v>18</v>
      </c>
      <c r="F386" t="str">
        <f>INDEX(Establishment!B$2:B$1005,MATCH($E386,Establishment!$A$2:$A$1005,0))</f>
        <v xml:space="preserve"> </v>
      </c>
      <c r="G386" t="str">
        <f>INDEX(Establishment!C$2:C$1005,MATCH($E386,Establishment!$A$2:$A$1005,0))</f>
        <v xml:space="preserve"> </v>
      </c>
      <c r="M386">
        <f t="shared" si="31"/>
        <v>0</v>
      </c>
      <c r="N386">
        <f t="shared" si="29"/>
        <v>0</v>
      </c>
      <c r="P386" t="e">
        <f>INDEX(Items!B$2:B$1032,MATCH($O386,Items!$A$2:$A$1032,0))</f>
        <v>#N/A</v>
      </c>
      <c r="Q386" t="e">
        <f>INDEX(Items!C$2:C$1032,MATCH($O386,Items!$A$2:$A$1032,0))</f>
        <v>#N/A</v>
      </c>
      <c r="R386" t="e">
        <f>INDEX(Items!D$2:D$1032,MATCH($O386,Items!$A$2:$A$1032,0))</f>
        <v>#N/A</v>
      </c>
    </row>
    <row r="387" spans="1:18" x14ac:dyDescent="0.25">
      <c r="A387">
        <f t="shared" si="32"/>
        <v>1</v>
      </c>
      <c r="B387" t="str">
        <f t="shared" si="33"/>
        <v/>
      </c>
      <c r="C387">
        <f t="shared" si="30"/>
        <v>1</v>
      </c>
      <c r="D387" s="4"/>
      <c r="E387" t="s">
        <v>18</v>
      </c>
      <c r="F387" t="str">
        <f>INDEX(Establishment!B$2:B$1005,MATCH($E387,Establishment!$A$2:$A$1005,0))</f>
        <v xml:space="preserve"> </v>
      </c>
      <c r="G387" t="str">
        <f>INDEX(Establishment!C$2:C$1005,MATCH($E387,Establishment!$A$2:$A$1005,0))</f>
        <v xml:space="preserve"> </v>
      </c>
      <c r="M387">
        <f t="shared" si="31"/>
        <v>0</v>
      </c>
      <c r="N387">
        <f t="shared" ref="N387:N450" si="34">IF(B387=B386,N386+M387,M387)</f>
        <v>0</v>
      </c>
      <c r="P387" t="e">
        <f>INDEX(Items!B$2:B$1032,MATCH($O387,Items!$A$2:$A$1032,0))</f>
        <v>#N/A</v>
      </c>
      <c r="Q387" t="e">
        <f>INDEX(Items!C$2:C$1032,MATCH($O387,Items!$A$2:$A$1032,0))</f>
        <v>#N/A</v>
      </c>
      <c r="R387" t="e">
        <f>INDEX(Items!D$2:D$1032,MATCH($O387,Items!$A$2:$A$1032,0))</f>
        <v>#N/A</v>
      </c>
    </row>
    <row r="388" spans="1:18" x14ac:dyDescent="0.25">
      <c r="A388">
        <f t="shared" si="32"/>
        <v>1</v>
      </c>
      <c r="B388" t="str">
        <f t="shared" si="33"/>
        <v/>
      </c>
      <c r="C388">
        <f t="shared" si="30"/>
        <v>1</v>
      </c>
      <c r="D388" s="4"/>
      <c r="E388" t="s">
        <v>18</v>
      </c>
      <c r="F388" t="str">
        <f>INDEX(Establishment!B$2:B$1005,MATCH($E388,Establishment!$A$2:$A$1005,0))</f>
        <v xml:space="preserve"> </v>
      </c>
      <c r="G388" t="str">
        <f>INDEX(Establishment!C$2:C$1005,MATCH($E388,Establishment!$A$2:$A$1005,0))</f>
        <v xml:space="preserve"> </v>
      </c>
      <c r="M388">
        <f t="shared" si="31"/>
        <v>0</v>
      </c>
      <c r="N388">
        <f t="shared" si="34"/>
        <v>0</v>
      </c>
      <c r="P388" t="e">
        <f>INDEX(Items!B$2:B$1032,MATCH($O388,Items!$A$2:$A$1032,0))</f>
        <v>#N/A</v>
      </c>
      <c r="Q388" t="e">
        <f>INDEX(Items!C$2:C$1032,MATCH($O388,Items!$A$2:$A$1032,0))</f>
        <v>#N/A</v>
      </c>
      <c r="R388" t="e">
        <f>INDEX(Items!D$2:D$1032,MATCH($O388,Items!$A$2:$A$1032,0))</f>
        <v>#N/A</v>
      </c>
    </row>
    <row r="389" spans="1:18" x14ac:dyDescent="0.25">
      <c r="A389">
        <f t="shared" si="32"/>
        <v>1</v>
      </c>
      <c r="B389" t="str">
        <f t="shared" si="33"/>
        <v/>
      </c>
      <c r="C389">
        <f t="shared" si="30"/>
        <v>1</v>
      </c>
      <c r="D389" s="4"/>
      <c r="E389" t="s">
        <v>18</v>
      </c>
      <c r="F389" t="str">
        <f>INDEX(Establishment!B$2:B$1005,MATCH($E389,Establishment!$A$2:$A$1005,0))</f>
        <v xml:space="preserve"> </v>
      </c>
      <c r="G389" t="str">
        <f>INDEX(Establishment!C$2:C$1005,MATCH($E389,Establishment!$A$2:$A$1005,0))</f>
        <v xml:space="preserve"> </v>
      </c>
      <c r="M389">
        <f t="shared" si="31"/>
        <v>0</v>
      </c>
      <c r="N389">
        <f t="shared" si="34"/>
        <v>0</v>
      </c>
      <c r="P389" t="e">
        <f>INDEX(Items!B$2:B$1032,MATCH($O389,Items!$A$2:$A$1032,0))</f>
        <v>#N/A</v>
      </c>
      <c r="Q389" t="e">
        <f>INDEX(Items!C$2:C$1032,MATCH($O389,Items!$A$2:$A$1032,0))</f>
        <v>#N/A</v>
      </c>
      <c r="R389" t="e">
        <f>INDEX(Items!D$2:D$1032,MATCH($O389,Items!$A$2:$A$1032,0))</f>
        <v>#N/A</v>
      </c>
    </row>
    <row r="390" spans="1:18" x14ac:dyDescent="0.25">
      <c r="A390">
        <f t="shared" si="32"/>
        <v>1</v>
      </c>
      <c r="B390" t="str">
        <f t="shared" si="33"/>
        <v/>
      </c>
      <c r="C390">
        <f t="shared" si="30"/>
        <v>1</v>
      </c>
      <c r="D390" s="4"/>
      <c r="E390" t="s">
        <v>18</v>
      </c>
      <c r="F390" t="str">
        <f>INDEX(Establishment!B$2:B$1005,MATCH($E390,Establishment!$A$2:$A$1005,0))</f>
        <v xml:space="preserve"> </v>
      </c>
      <c r="G390" t="str">
        <f>INDEX(Establishment!C$2:C$1005,MATCH($E390,Establishment!$A$2:$A$1005,0))</f>
        <v xml:space="preserve"> </v>
      </c>
      <c r="M390">
        <f t="shared" si="31"/>
        <v>0</v>
      </c>
      <c r="N390">
        <f t="shared" si="34"/>
        <v>0</v>
      </c>
      <c r="P390" t="e">
        <f>INDEX(Items!B$2:B$1032,MATCH($O390,Items!$A$2:$A$1032,0))</f>
        <v>#N/A</v>
      </c>
      <c r="Q390" t="e">
        <f>INDEX(Items!C$2:C$1032,MATCH($O390,Items!$A$2:$A$1032,0))</f>
        <v>#N/A</v>
      </c>
      <c r="R390" t="e">
        <f>INDEX(Items!D$2:D$1032,MATCH($O390,Items!$A$2:$A$1032,0))</f>
        <v>#N/A</v>
      </c>
    </row>
    <row r="391" spans="1:18" x14ac:dyDescent="0.25">
      <c r="A391">
        <f t="shared" si="32"/>
        <v>1</v>
      </c>
      <c r="B391" t="str">
        <f t="shared" si="33"/>
        <v/>
      </c>
      <c r="C391">
        <f t="shared" si="30"/>
        <v>1</v>
      </c>
      <c r="D391" s="4"/>
      <c r="E391" t="s">
        <v>18</v>
      </c>
      <c r="F391" t="str">
        <f>INDEX(Establishment!B$2:B$1005,MATCH($E391,Establishment!$A$2:$A$1005,0))</f>
        <v xml:space="preserve"> </v>
      </c>
      <c r="G391" t="str">
        <f>INDEX(Establishment!C$2:C$1005,MATCH($E391,Establishment!$A$2:$A$1005,0))</f>
        <v xml:space="preserve"> </v>
      </c>
      <c r="M391">
        <f t="shared" si="31"/>
        <v>0</v>
      </c>
      <c r="N391">
        <f t="shared" si="34"/>
        <v>0</v>
      </c>
      <c r="P391" t="e">
        <f>INDEX(Items!B$2:B$1032,MATCH($O391,Items!$A$2:$A$1032,0))</f>
        <v>#N/A</v>
      </c>
      <c r="Q391" t="e">
        <f>INDEX(Items!C$2:C$1032,MATCH($O391,Items!$A$2:$A$1032,0))</f>
        <v>#N/A</v>
      </c>
      <c r="R391" t="e">
        <f>INDEX(Items!D$2:D$1032,MATCH($O391,Items!$A$2:$A$1032,0))</f>
        <v>#N/A</v>
      </c>
    </row>
    <row r="392" spans="1:18" x14ac:dyDescent="0.25">
      <c r="A392">
        <f t="shared" si="32"/>
        <v>1</v>
      </c>
      <c r="B392" t="str">
        <f t="shared" si="33"/>
        <v/>
      </c>
      <c r="C392">
        <f t="shared" si="30"/>
        <v>1</v>
      </c>
      <c r="D392" s="4"/>
      <c r="E392" t="s">
        <v>18</v>
      </c>
      <c r="F392" t="str">
        <f>INDEX(Establishment!B$2:B$1005,MATCH($E392,Establishment!$A$2:$A$1005,0))</f>
        <v xml:space="preserve"> </v>
      </c>
      <c r="G392" t="str">
        <f>INDEX(Establishment!C$2:C$1005,MATCH($E392,Establishment!$A$2:$A$1005,0))</f>
        <v xml:space="preserve"> </v>
      </c>
      <c r="M392">
        <f t="shared" si="31"/>
        <v>0</v>
      </c>
      <c r="N392">
        <f t="shared" si="34"/>
        <v>0</v>
      </c>
      <c r="P392" t="e">
        <f>INDEX(Items!B$2:B$1032,MATCH($O392,Items!$A$2:$A$1032,0))</f>
        <v>#N/A</v>
      </c>
      <c r="Q392" t="e">
        <f>INDEX(Items!C$2:C$1032,MATCH($O392,Items!$A$2:$A$1032,0))</f>
        <v>#N/A</v>
      </c>
      <c r="R392" t="e">
        <f>INDEX(Items!D$2:D$1032,MATCH($O392,Items!$A$2:$A$1032,0))</f>
        <v>#N/A</v>
      </c>
    </row>
    <row r="393" spans="1:18" x14ac:dyDescent="0.25">
      <c r="A393">
        <f t="shared" si="32"/>
        <v>1</v>
      </c>
      <c r="B393" t="str">
        <f t="shared" si="33"/>
        <v/>
      </c>
      <c r="C393">
        <f t="shared" si="30"/>
        <v>1</v>
      </c>
      <c r="D393" s="4"/>
      <c r="E393" t="s">
        <v>18</v>
      </c>
      <c r="F393" t="str">
        <f>INDEX(Establishment!B$2:B$1005,MATCH($E393,Establishment!$A$2:$A$1005,0))</f>
        <v xml:space="preserve"> </v>
      </c>
      <c r="G393" t="str">
        <f>INDEX(Establishment!C$2:C$1005,MATCH($E393,Establishment!$A$2:$A$1005,0))</f>
        <v xml:space="preserve"> </v>
      </c>
      <c r="M393">
        <f t="shared" si="31"/>
        <v>0</v>
      </c>
      <c r="N393">
        <f t="shared" si="34"/>
        <v>0</v>
      </c>
      <c r="P393" t="e">
        <f>INDEX(Items!B$2:B$1032,MATCH($O393,Items!$A$2:$A$1032,0))</f>
        <v>#N/A</v>
      </c>
      <c r="Q393" t="e">
        <f>INDEX(Items!C$2:C$1032,MATCH($O393,Items!$A$2:$A$1032,0))</f>
        <v>#N/A</v>
      </c>
      <c r="R393" t="e">
        <f>INDEX(Items!D$2:D$1032,MATCH($O393,Items!$A$2:$A$1032,0))</f>
        <v>#N/A</v>
      </c>
    </row>
    <row r="394" spans="1:18" x14ac:dyDescent="0.25">
      <c r="A394">
        <f t="shared" si="32"/>
        <v>1</v>
      </c>
      <c r="B394" t="str">
        <f t="shared" si="33"/>
        <v/>
      </c>
      <c r="C394">
        <f t="shared" ref="C394:C457" si="35">IF(OR(B394="",B394&lt;&gt;B393),1,C393+1)</f>
        <v>1</v>
      </c>
      <c r="D394" s="4"/>
      <c r="E394" t="s">
        <v>18</v>
      </c>
      <c r="F394" t="str">
        <f>INDEX(Establishment!B$2:B$1005,MATCH($E394,Establishment!$A$2:$A$1005,0))</f>
        <v xml:space="preserve"> </v>
      </c>
      <c r="G394" t="str">
        <f>INDEX(Establishment!C$2:C$1005,MATCH($E394,Establishment!$A$2:$A$1005,0))</f>
        <v xml:space="preserve"> </v>
      </c>
      <c r="M394">
        <f t="shared" ref="M394:M457" si="36">K394*L394</f>
        <v>0</v>
      </c>
      <c r="N394">
        <f t="shared" si="34"/>
        <v>0</v>
      </c>
      <c r="P394" t="e">
        <f>INDEX(Items!B$2:B$1032,MATCH($O394,Items!$A$2:$A$1032,0))</f>
        <v>#N/A</v>
      </c>
      <c r="Q394" t="e">
        <f>INDEX(Items!C$2:C$1032,MATCH($O394,Items!$A$2:$A$1032,0))</f>
        <v>#N/A</v>
      </c>
      <c r="R394" t="e">
        <f>INDEX(Items!D$2:D$1032,MATCH($O394,Items!$A$2:$A$1032,0))</f>
        <v>#N/A</v>
      </c>
    </row>
    <row r="395" spans="1:18" x14ac:dyDescent="0.25">
      <c r="A395">
        <f t="shared" si="32"/>
        <v>1</v>
      </c>
      <c r="B395" t="str">
        <f t="shared" si="33"/>
        <v/>
      </c>
      <c r="C395">
        <f t="shared" si="35"/>
        <v>1</v>
      </c>
      <c r="D395" s="4"/>
      <c r="E395" t="s">
        <v>18</v>
      </c>
      <c r="F395" t="str">
        <f>INDEX(Establishment!B$2:B$1005,MATCH($E395,Establishment!$A$2:$A$1005,0))</f>
        <v xml:space="preserve"> </v>
      </c>
      <c r="G395" t="str">
        <f>INDEX(Establishment!C$2:C$1005,MATCH($E395,Establishment!$A$2:$A$1005,0))</f>
        <v xml:space="preserve"> </v>
      </c>
      <c r="M395">
        <f t="shared" si="36"/>
        <v>0</v>
      </c>
      <c r="N395">
        <f t="shared" si="34"/>
        <v>0</v>
      </c>
      <c r="P395" t="e">
        <f>INDEX(Items!B$2:B$1032,MATCH($O395,Items!$A$2:$A$1032,0))</f>
        <v>#N/A</v>
      </c>
      <c r="Q395" t="e">
        <f>INDEX(Items!C$2:C$1032,MATCH($O395,Items!$A$2:$A$1032,0))</f>
        <v>#N/A</v>
      </c>
      <c r="R395" t="e">
        <f>INDEX(Items!D$2:D$1032,MATCH($O395,Items!$A$2:$A$1032,0))</f>
        <v>#N/A</v>
      </c>
    </row>
    <row r="396" spans="1:18" x14ac:dyDescent="0.25">
      <c r="A396">
        <f t="shared" si="32"/>
        <v>1</v>
      </c>
      <c r="B396" t="str">
        <f t="shared" si="33"/>
        <v/>
      </c>
      <c r="C396">
        <f t="shared" si="35"/>
        <v>1</v>
      </c>
      <c r="D396" s="4"/>
      <c r="E396" t="s">
        <v>18</v>
      </c>
      <c r="F396" t="str">
        <f>INDEX(Establishment!B$2:B$1005,MATCH($E396,Establishment!$A$2:$A$1005,0))</f>
        <v xml:space="preserve"> </v>
      </c>
      <c r="G396" t="str">
        <f>INDEX(Establishment!C$2:C$1005,MATCH($E396,Establishment!$A$2:$A$1005,0))</f>
        <v xml:space="preserve"> </v>
      </c>
      <c r="M396">
        <f t="shared" si="36"/>
        <v>0</v>
      </c>
      <c r="N396">
        <f t="shared" si="34"/>
        <v>0</v>
      </c>
      <c r="P396" t="e">
        <f>INDEX(Items!B$2:B$1032,MATCH($O396,Items!$A$2:$A$1032,0))</f>
        <v>#N/A</v>
      </c>
      <c r="Q396" t="e">
        <f>INDEX(Items!C$2:C$1032,MATCH($O396,Items!$A$2:$A$1032,0))</f>
        <v>#N/A</v>
      </c>
      <c r="R396" t="e">
        <f>INDEX(Items!D$2:D$1032,MATCH($O396,Items!$A$2:$A$1032,0))</f>
        <v>#N/A</v>
      </c>
    </row>
    <row r="397" spans="1:18" x14ac:dyDescent="0.25">
      <c r="A397">
        <f t="shared" si="32"/>
        <v>1</v>
      </c>
      <c r="B397" t="str">
        <f t="shared" si="33"/>
        <v/>
      </c>
      <c r="C397">
        <f t="shared" si="35"/>
        <v>1</v>
      </c>
      <c r="D397" s="4"/>
      <c r="E397" t="s">
        <v>18</v>
      </c>
      <c r="F397" t="str">
        <f>INDEX(Establishment!B$2:B$1005,MATCH($E397,Establishment!$A$2:$A$1005,0))</f>
        <v xml:space="preserve"> </v>
      </c>
      <c r="G397" t="str">
        <f>INDEX(Establishment!C$2:C$1005,MATCH($E397,Establishment!$A$2:$A$1005,0))</f>
        <v xml:space="preserve"> </v>
      </c>
      <c r="M397">
        <f t="shared" si="36"/>
        <v>0</v>
      </c>
      <c r="N397">
        <f t="shared" si="34"/>
        <v>0</v>
      </c>
      <c r="P397" t="e">
        <f>INDEX(Items!B$2:B$1032,MATCH($O397,Items!$A$2:$A$1032,0))</f>
        <v>#N/A</v>
      </c>
      <c r="Q397" t="e">
        <f>INDEX(Items!C$2:C$1032,MATCH($O397,Items!$A$2:$A$1032,0))</f>
        <v>#N/A</v>
      </c>
      <c r="R397" t="e">
        <f>INDEX(Items!D$2:D$1032,MATCH($O397,Items!$A$2:$A$1032,0))</f>
        <v>#N/A</v>
      </c>
    </row>
    <row r="398" spans="1:18" x14ac:dyDescent="0.25">
      <c r="A398">
        <f t="shared" si="32"/>
        <v>1</v>
      </c>
      <c r="B398" t="str">
        <f t="shared" si="33"/>
        <v/>
      </c>
      <c r="C398">
        <f t="shared" si="35"/>
        <v>1</v>
      </c>
      <c r="D398" s="4"/>
      <c r="E398" t="s">
        <v>18</v>
      </c>
      <c r="F398" t="str">
        <f>INDEX(Establishment!B$2:B$1005,MATCH($E398,Establishment!$A$2:$A$1005,0))</f>
        <v xml:space="preserve"> </v>
      </c>
      <c r="G398" t="str">
        <f>INDEX(Establishment!C$2:C$1005,MATCH($E398,Establishment!$A$2:$A$1005,0))</f>
        <v xml:space="preserve"> </v>
      </c>
      <c r="M398">
        <f t="shared" si="36"/>
        <v>0</v>
      </c>
      <c r="N398">
        <f t="shared" si="34"/>
        <v>0</v>
      </c>
      <c r="P398" t="e">
        <f>INDEX(Items!B$2:B$1032,MATCH($O398,Items!$A$2:$A$1032,0))</f>
        <v>#N/A</v>
      </c>
      <c r="Q398" t="e">
        <f>INDEX(Items!C$2:C$1032,MATCH($O398,Items!$A$2:$A$1032,0))</f>
        <v>#N/A</v>
      </c>
      <c r="R398" t="e">
        <f>INDEX(Items!D$2:D$1032,MATCH($O398,Items!$A$2:$A$1032,0))</f>
        <v>#N/A</v>
      </c>
    </row>
    <row r="399" spans="1:18" x14ac:dyDescent="0.25">
      <c r="A399">
        <f t="shared" si="32"/>
        <v>1</v>
      </c>
      <c r="B399" t="str">
        <f t="shared" si="33"/>
        <v/>
      </c>
      <c r="C399">
        <f t="shared" si="35"/>
        <v>1</v>
      </c>
      <c r="D399" s="4"/>
      <c r="E399" t="s">
        <v>18</v>
      </c>
      <c r="F399" t="str">
        <f>INDEX(Establishment!B$2:B$1005,MATCH($E399,Establishment!$A$2:$A$1005,0))</f>
        <v xml:space="preserve"> </v>
      </c>
      <c r="G399" t="str">
        <f>INDEX(Establishment!C$2:C$1005,MATCH($E399,Establishment!$A$2:$A$1005,0))</f>
        <v xml:space="preserve"> </v>
      </c>
      <c r="M399">
        <f t="shared" si="36"/>
        <v>0</v>
      </c>
      <c r="N399">
        <f t="shared" si="34"/>
        <v>0</v>
      </c>
      <c r="P399" t="e">
        <f>INDEX(Items!B$2:B$1032,MATCH($O399,Items!$A$2:$A$1032,0))</f>
        <v>#N/A</v>
      </c>
      <c r="Q399" t="e">
        <f>INDEX(Items!C$2:C$1032,MATCH($O399,Items!$A$2:$A$1032,0))</f>
        <v>#N/A</v>
      </c>
      <c r="R399" t="e">
        <f>INDEX(Items!D$2:D$1032,MATCH($O399,Items!$A$2:$A$1032,0))</f>
        <v>#N/A</v>
      </c>
    </row>
    <row r="400" spans="1:18" x14ac:dyDescent="0.25">
      <c r="A400">
        <f t="shared" si="32"/>
        <v>1</v>
      </c>
      <c r="B400" t="str">
        <f t="shared" si="33"/>
        <v/>
      </c>
      <c r="C400">
        <f t="shared" si="35"/>
        <v>1</v>
      </c>
      <c r="D400" s="4"/>
      <c r="E400" t="s">
        <v>18</v>
      </c>
      <c r="F400" t="str">
        <f>INDEX(Establishment!B$2:B$1005,MATCH($E400,Establishment!$A$2:$A$1005,0))</f>
        <v xml:space="preserve"> </v>
      </c>
      <c r="G400" t="str">
        <f>INDEX(Establishment!C$2:C$1005,MATCH($E400,Establishment!$A$2:$A$1005,0))</f>
        <v xml:space="preserve"> </v>
      </c>
      <c r="M400">
        <f t="shared" si="36"/>
        <v>0</v>
      </c>
      <c r="N400">
        <f t="shared" si="34"/>
        <v>0</v>
      </c>
      <c r="P400" t="e">
        <f>INDEX(Items!B$2:B$1032,MATCH($O400,Items!$A$2:$A$1032,0))</f>
        <v>#N/A</v>
      </c>
      <c r="Q400" t="e">
        <f>INDEX(Items!C$2:C$1032,MATCH($O400,Items!$A$2:$A$1032,0))</f>
        <v>#N/A</v>
      </c>
      <c r="R400" t="e">
        <f>INDEX(Items!D$2:D$1032,MATCH($O400,Items!$A$2:$A$1032,0))</f>
        <v>#N/A</v>
      </c>
    </row>
    <row r="401" spans="1:18" x14ac:dyDescent="0.25">
      <c r="A401">
        <f t="shared" si="32"/>
        <v>1</v>
      </c>
      <c r="B401" t="str">
        <f t="shared" si="33"/>
        <v/>
      </c>
      <c r="C401">
        <f t="shared" si="35"/>
        <v>1</v>
      </c>
      <c r="D401" s="4"/>
      <c r="E401" t="s">
        <v>18</v>
      </c>
      <c r="F401" t="str">
        <f>INDEX(Establishment!B$2:B$1005,MATCH($E401,Establishment!$A$2:$A$1005,0))</f>
        <v xml:space="preserve"> </v>
      </c>
      <c r="G401" t="str">
        <f>INDEX(Establishment!C$2:C$1005,MATCH($E401,Establishment!$A$2:$A$1005,0))</f>
        <v xml:space="preserve"> </v>
      </c>
      <c r="M401">
        <f t="shared" si="36"/>
        <v>0</v>
      </c>
      <c r="N401">
        <f t="shared" si="34"/>
        <v>0</v>
      </c>
      <c r="P401" t="e">
        <f>INDEX(Items!B$2:B$1032,MATCH($O401,Items!$A$2:$A$1032,0))</f>
        <v>#N/A</v>
      </c>
      <c r="Q401" t="e">
        <f>INDEX(Items!C$2:C$1032,MATCH($O401,Items!$A$2:$A$1032,0))</f>
        <v>#N/A</v>
      </c>
      <c r="R401" t="e">
        <f>INDEX(Items!D$2:D$1032,MATCH($O401,Items!$A$2:$A$1032,0))</f>
        <v>#N/A</v>
      </c>
    </row>
    <row r="402" spans="1:18" x14ac:dyDescent="0.25">
      <c r="A402">
        <f t="shared" si="32"/>
        <v>1</v>
      </c>
      <c r="B402" t="str">
        <f t="shared" si="33"/>
        <v/>
      </c>
      <c r="C402">
        <f t="shared" si="35"/>
        <v>1</v>
      </c>
      <c r="D402" s="4"/>
      <c r="E402" t="s">
        <v>18</v>
      </c>
      <c r="F402" t="str">
        <f>INDEX(Establishment!B$2:B$1005,MATCH($E402,Establishment!$A$2:$A$1005,0))</f>
        <v xml:space="preserve"> </v>
      </c>
      <c r="G402" t="str">
        <f>INDEX(Establishment!C$2:C$1005,MATCH($E402,Establishment!$A$2:$A$1005,0))</f>
        <v xml:space="preserve"> </v>
      </c>
      <c r="M402">
        <f t="shared" si="36"/>
        <v>0</v>
      </c>
      <c r="N402">
        <f t="shared" si="34"/>
        <v>0</v>
      </c>
      <c r="P402" t="e">
        <f>INDEX(Items!B$2:B$1032,MATCH($O402,Items!$A$2:$A$1032,0))</f>
        <v>#N/A</v>
      </c>
      <c r="Q402" t="e">
        <f>INDEX(Items!C$2:C$1032,MATCH($O402,Items!$A$2:$A$1032,0))</f>
        <v>#N/A</v>
      </c>
      <c r="R402" t="e">
        <f>INDEX(Items!D$2:D$1032,MATCH($O402,Items!$A$2:$A$1032,0))</f>
        <v>#N/A</v>
      </c>
    </row>
    <row r="403" spans="1:18" x14ac:dyDescent="0.25">
      <c r="A403">
        <f t="shared" si="32"/>
        <v>1</v>
      </c>
      <c r="B403" t="str">
        <f t="shared" si="33"/>
        <v/>
      </c>
      <c r="C403">
        <f t="shared" si="35"/>
        <v>1</v>
      </c>
      <c r="D403" s="4"/>
      <c r="E403" t="s">
        <v>18</v>
      </c>
      <c r="F403" t="str">
        <f>INDEX(Establishment!B$2:B$1005,MATCH($E403,Establishment!$A$2:$A$1005,0))</f>
        <v xml:space="preserve"> </v>
      </c>
      <c r="G403" t="str">
        <f>INDEX(Establishment!C$2:C$1005,MATCH($E403,Establishment!$A$2:$A$1005,0))</f>
        <v xml:space="preserve"> </v>
      </c>
      <c r="M403">
        <f t="shared" si="36"/>
        <v>0</v>
      </c>
      <c r="N403">
        <f t="shared" si="34"/>
        <v>0</v>
      </c>
      <c r="P403" t="e">
        <f>INDEX(Items!B$2:B$1032,MATCH($O403,Items!$A$2:$A$1032,0))</f>
        <v>#N/A</v>
      </c>
      <c r="Q403" t="e">
        <f>INDEX(Items!C$2:C$1032,MATCH($O403,Items!$A$2:$A$1032,0))</f>
        <v>#N/A</v>
      </c>
      <c r="R403" t="e">
        <f>INDEX(Items!D$2:D$1032,MATCH($O403,Items!$A$2:$A$1032,0))</f>
        <v>#N/A</v>
      </c>
    </row>
    <row r="404" spans="1:18" x14ac:dyDescent="0.25">
      <c r="A404">
        <f t="shared" si="32"/>
        <v>1</v>
      </c>
      <c r="B404" t="str">
        <f t="shared" si="33"/>
        <v/>
      </c>
      <c r="C404">
        <f t="shared" si="35"/>
        <v>1</v>
      </c>
      <c r="D404" s="4"/>
      <c r="E404" t="s">
        <v>18</v>
      </c>
      <c r="F404" t="str">
        <f>INDEX(Establishment!B$2:B$1005,MATCH($E404,Establishment!$A$2:$A$1005,0))</f>
        <v xml:space="preserve"> </v>
      </c>
      <c r="G404" t="str">
        <f>INDEX(Establishment!C$2:C$1005,MATCH($E404,Establishment!$A$2:$A$1005,0))</f>
        <v xml:space="preserve"> </v>
      </c>
      <c r="M404">
        <f t="shared" si="36"/>
        <v>0</v>
      </c>
      <c r="N404">
        <f t="shared" si="34"/>
        <v>0</v>
      </c>
      <c r="P404" t="e">
        <f>INDEX(Items!B$2:B$1032,MATCH($O404,Items!$A$2:$A$1032,0))</f>
        <v>#N/A</v>
      </c>
      <c r="Q404" t="e">
        <f>INDEX(Items!C$2:C$1032,MATCH($O404,Items!$A$2:$A$1032,0))</f>
        <v>#N/A</v>
      </c>
      <c r="R404" t="e">
        <f>INDEX(Items!D$2:D$1032,MATCH($O404,Items!$A$2:$A$1032,0))</f>
        <v>#N/A</v>
      </c>
    </row>
    <row r="405" spans="1:18" x14ac:dyDescent="0.25">
      <c r="A405">
        <f t="shared" si="32"/>
        <v>1</v>
      </c>
      <c r="B405" t="str">
        <f t="shared" si="33"/>
        <v/>
      </c>
      <c r="C405">
        <f t="shared" si="35"/>
        <v>1</v>
      </c>
      <c r="D405" s="4"/>
      <c r="E405" t="s">
        <v>18</v>
      </c>
      <c r="F405" t="str">
        <f>INDEX(Establishment!B$2:B$1005,MATCH($E405,Establishment!$A$2:$A$1005,0))</f>
        <v xml:space="preserve"> </v>
      </c>
      <c r="G405" t="str">
        <f>INDEX(Establishment!C$2:C$1005,MATCH($E405,Establishment!$A$2:$A$1005,0))</f>
        <v xml:space="preserve"> </v>
      </c>
      <c r="M405">
        <f t="shared" si="36"/>
        <v>0</v>
      </c>
      <c r="N405">
        <f t="shared" si="34"/>
        <v>0</v>
      </c>
      <c r="P405" t="e">
        <f>INDEX(Items!B$2:B$1032,MATCH($O405,Items!$A$2:$A$1032,0))</f>
        <v>#N/A</v>
      </c>
      <c r="Q405" t="e">
        <f>INDEX(Items!C$2:C$1032,MATCH($O405,Items!$A$2:$A$1032,0))</f>
        <v>#N/A</v>
      </c>
      <c r="R405" t="e">
        <f>INDEX(Items!D$2:D$1032,MATCH($O405,Items!$A$2:$A$1032,0))</f>
        <v>#N/A</v>
      </c>
    </row>
    <row r="406" spans="1:18" x14ac:dyDescent="0.25">
      <c r="A406">
        <f t="shared" si="32"/>
        <v>1</v>
      </c>
      <c r="B406" t="str">
        <f t="shared" si="33"/>
        <v/>
      </c>
      <c r="C406">
        <f t="shared" si="35"/>
        <v>1</v>
      </c>
      <c r="D406" s="4"/>
      <c r="E406" t="s">
        <v>18</v>
      </c>
      <c r="F406" t="str">
        <f>INDEX(Establishment!B$2:B$1005,MATCH($E406,Establishment!$A$2:$A$1005,0))</f>
        <v xml:space="preserve"> </v>
      </c>
      <c r="G406" t="str">
        <f>INDEX(Establishment!C$2:C$1005,MATCH($E406,Establishment!$A$2:$A$1005,0))</f>
        <v xml:space="preserve"> </v>
      </c>
      <c r="M406">
        <f t="shared" si="36"/>
        <v>0</v>
      </c>
      <c r="N406">
        <f t="shared" si="34"/>
        <v>0</v>
      </c>
      <c r="P406" t="e">
        <f>INDEX(Items!B$2:B$1032,MATCH($O406,Items!$A$2:$A$1032,0))</f>
        <v>#N/A</v>
      </c>
      <c r="Q406" t="e">
        <f>INDEX(Items!C$2:C$1032,MATCH($O406,Items!$A$2:$A$1032,0))</f>
        <v>#N/A</v>
      </c>
      <c r="R406" t="e">
        <f>INDEX(Items!D$2:D$1032,MATCH($O406,Items!$A$2:$A$1032,0))</f>
        <v>#N/A</v>
      </c>
    </row>
    <row r="407" spans="1:18" x14ac:dyDescent="0.25">
      <c r="A407">
        <f t="shared" si="32"/>
        <v>1</v>
      </c>
      <c r="B407" t="str">
        <f t="shared" si="33"/>
        <v/>
      </c>
      <c r="C407">
        <f t="shared" si="35"/>
        <v>1</v>
      </c>
      <c r="D407" s="4"/>
      <c r="E407" t="s">
        <v>18</v>
      </c>
      <c r="F407" t="str">
        <f>INDEX(Establishment!B$2:B$1005,MATCH($E407,Establishment!$A$2:$A$1005,0))</f>
        <v xml:space="preserve"> </v>
      </c>
      <c r="G407" t="str">
        <f>INDEX(Establishment!C$2:C$1005,MATCH($E407,Establishment!$A$2:$A$1005,0))</f>
        <v xml:space="preserve"> </v>
      </c>
      <c r="M407">
        <f t="shared" si="36"/>
        <v>0</v>
      </c>
      <c r="N407">
        <f t="shared" si="34"/>
        <v>0</v>
      </c>
      <c r="P407" t="e">
        <f>INDEX(Items!B$2:B$1032,MATCH($O407,Items!$A$2:$A$1032,0))</f>
        <v>#N/A</v>
      </c>
      <c r="Q407" t="e">
        <f>INDEX(Items!C$2:C$1032,MATCH($O407,Items!$A$2:$A$1032,0))</f>
        <v>#N/A</v>
      </c>
      <c r="R407" t="e">
        <f>INDEX(Items!D$2:D$1032,MATCH($O407,Items!$A$2:$A$1032,0))</f>
        <v>#N/A</v>
      </c>
    </row>
    <row r="408" spans="1:18" x14ac:dyDescent="0.25">
      <c r="A408">
        <f t="shared" si="32"/>
        <v>1</v>
      </c>
      <c r="B408" t="str">
        <f t="shared" si="33"/>
        <v/>
      </c>
      <c r="C408">
        <f t="shared" si="35"/>
        <v>1</v>
      </c>
      <c r="D408" s="4"/>
      <c r="E408" t="s">
        <v>18</v>
      </c>
      <c r="F408" t="str">
        <f>INDEX(Establishment!B$2:B$1005,MATCH($E408,Establishment!$A$2:$A$1005,0))</f>
        <v xml:space="preserve"> </v>
      </c>
      <c r="G408" t="str">
        <f>INDEX(Establishment!C$2:C$1005,MATCH($E408,Establishment!$A$2:$A$1005,0))</f>
        <v xml:space="preserve"> </v>
      </c>
      <c r="M408">
        <f t="shared" si="36"/>
        <v>0</v>
      </c>
      <c r="N408">
        <f t="shared" si="34"/>
        <v>0</v>
      </c>
      <c r="P408" t="e">
        <f>INDEX(Items!B$2:B$1032,MATCH($O408,Items!$A$2:$A$1032,0))</f>
        <v>#N/A</v>
      </c>
      <c r="Q408" t="e">
        <f>INDEX(Items!C$2:C$1032,MATCH($O408,Items!$A$2:$A$1032,0))</f>
        <v>#N/A</v>
      </c>
      <c r="R408" t="e">
        <f>INDEX(Items!D$2:D$1032,MATCH($O408,Items!$A$2:$A$1032,0))</f>
        <v>#N/A</v>
      </c>
    </row>
    <row r="409" spans="1:18" x14ac:dyDescent="0.25">
      <c r="A409">
        <f t="shared" si="32"/>
        <v>1</v>
      </c>
      <c r="B409" t="str">
        <f t="shared" si="33"/>
        <v/>
      </c>
      <c r="C409">
        <f t="shared" si="35"/>
        <v>1</v>
      </c>
      <c r="D409" s="4"/>
      <c r="E409" t="s">
        <v>18</v>
      </c>
      <c r="F409" t="str">
        <f>INDEX(Establishment!B$2:B$1005,MATCH($E409,Establishment!$A$2:$A$1005,0))</f>
        <v xml:space="preserve"> </v>
      </c>
      <c r="G409" t="str">
        <f>INDEX(Establishment!C$2:C$1005,MATCH($E409,Establishment!$A$2:$A$1005,0))</f>
        <v xml:space="preserve"> </v>
      </c>
      <c r="M409">
        <f t="shared" si="36"/>
        <v>0</v>
      </c>
      <c r="N409">
        <f t="shared" si="34"/>
        <v>0</v>
      </c>
      <c r="P409" t="e">
        <f>INDEX(Items!B$2:B$1032,MATCH($O409,Items!$A$2:$A$1032,0))</f>
        <v>#N/A</v>
      </c>
      <c r="Q409" t="e">
        <f>INDEX(Items!C$2:C$1032,MATCH($O409,Items!$A$2:$A$1032,0))</f>
        <v>#N/A</v>
      </c>
      <c r="R409" t="e">
        <f>INDEX(Items!D$2:D$1032,MATCH($O409,Items!$A$2:$A$1032,0))</f>
        <v>#N/A</v>
      </c>
    </row>
    <row r="410" spans="1:18" x14ac:dyDescent="0.25">
      <c r="A410">
        <f t="shared" si="32"/>
        <v>1</v>
      </c>
      <c r="B410" t="str">
        <f t="shared" si="33"/>
        <v/>
      </c>
      <c r="C410">
        <f t="shared" si="35"/>
        <v>1</v>
      </c>
      <c r="D410" s="4"/>
      <c r="E410" t="s">
        <v>18</v>
      </c>
      <c r="F410" t="str">
        <f>INDEX(Establishment!B$2:B$1005,MATCH($E410,Establishment!$A$2:$A$1005,0))</f>
        <v xml:space="preserve"> </v>
      </c>
      <c r="G410" t="str">
        <f>INDEX(Establishment!C$2:C$1005,MATCH($E410,Establishment!$A$2:$A$1005,0))</f>
        <v xml:space="preserve"> </v>
      </c>
      <c r="M410">
        <f t="shared" si="36"/>
        <v>0</v>
      </c>
      <c r="N410">
        <f t="shared" si="34"/>
        <v>0</v>
      </c>
      <c r="P410" t="e">
        <f>INDEX(Items!B$2:B$1032,MATCH($O410,Items!$A$2:$A$1032,0))</f>
        <v>#N/A</v>
      </c>
      <c r="Q410" t="e">
        <f>INDEX(Items!C$2:C$1032,MATCH($O410,Items!$A$2:$A$1032,0))</f>
        <v>#N/A</v>
      </c>
      <c r="R410" t="e">
        <f>INDEX(Items!D$2:D$1032,MATCH($O410,Items!$A$2:$A$1032,0))</f>
        <v>#N/A</v>
      </c>
    </row>
    <row r="411" spans="1:18" x14ac:dyDescent="0.25">
      <c r="A411">
        <f t="shared" si="32"/>
        <v>1</v>
      </c>
      <c r="B411" t="str">
        <f t="shared" si="33"/>
        <v/>
      </c>
      <c r="C411">
        <f t="shared" si="35"/>
        <v>1</v>
      </c>
      <c r="D411" s="4"/>
      <c r="E411" t="s">
        <v>18</v>
      </c>
      <c r="F411" t="str">
        <f>INDEX(Establishment!B$2:B$1005,MATCH($E411,Establishment!$A$2:$A$1005,0))</f>
        <v xml:space="preserve"> </v>
      </c>
      <c r="G411" t="str">
        <f>INDEX(Establishment!C$2:C$1005,MATCH($E411,Establishment!$A$2:$A$1005,0))</f>
        <v xml:space="preserve"> </v>
      </c>
      <c r="M411">
        <f t="shared" si="36"/>
        <v>0</v>
      </c>
      <c r="N411">
        <f t="shared" si="34"/>
        <v>0</v>
      </c>
      <c r="P411" t="e">
        <f>INDEX(Items!B$2:B$1032,MATCH($O411,Items!$A$2:$A$1032,0))</f>
        <v>#N/A</v>
      </c>
      <c r="Q411" t="e">
        <f>INDEX(Items!C$2:C$1032,MATCH($O411,Items!$A$2:$A$1032,0))</f>
        <v>#N/A</v>
      </c>
      <c r="R411" t="e">
        <f>INDEX(Items!D$2:D$1032,MATCH($O411,Items!$A$2:$A$1032,0))</f>
        <v>#N/A</v>
      </c>
    </row>
    <row r="412" spans="1:18" x14ac:dyDescent="0.25">
      <c r="A412">
        <f t="shared" si="32"/>
        <v>1</v>
      </c>
      <c r="B412" t="str">
        <f t="shared" si="33"/>
        <v/>
      </c>
      <c r="C412">
        <f t="shared" si="35"/>
        <v>1</v>
      </c>
      <c r="D412" s="4"/>
      <c r="E412" t="s">
        <v>18</v>
      </c>
      <c r="F412" t="str">
        <f>INDEX(Establishment!B$2:B$1005,MATCH($E412,Establishment!$A$2:$A$1005,0))</f>
        <v xml:space="preserve"> </v>
      </c>
      <c r="G412" t="str">
        <f>INDEX(Establishment!C$2:C$1005,MATCH($E412,Establishment!$A$2:$A$1005,0))</f>
        <v xml:space="preserve"> </v>
      </c>
      <c r="M412">
        <f t="shared" si="36"/>
        <v>0</v>
      </c>
      <c r="N412">
        <f t="shared" si="34"/>
        <v>0</v>
      </c>
      <c r="P412" t="e">
        <f>INDEX(Items!B$2:B$1032,MATCH($O412,Items!$A$2:$A$1032,0))</f>
        <v>#N/A</v>
      </c>
      <c r="Q412" t="e">
        <f>INDEX(Items!C$2:C$1032,MATCH($O412,Items!$A$2:$A$1032,0))</f>
        <v>#N/A</v>
      </c>
      <c r="R412" t="e">
        <f>INDEX(Items!D$2:D$1032,MATCH($O412,Items!$A$2:$A$1032,0))</f>
        <v>#N/A</v>
      </c>
    </row>
    <row r="413" spans="1:18" x14ac:dyDescent="0.25">
      <c r="A413">
        <f t="shared" si="32"/>
        <v>1</v>
      </c>
      <c r="B413" t="str">
        <f t="shared" si="33"/>
        <v/>
      </c>
      <c r="C413">
        <f t="shared" si="35"/>
        <v>1</v>
      </c>
      <c r="D413" s="4"/>
      <c r="E413" t="s">
        <v>18</v>
      </c>
      <c r="F413" t="str">
        <f>INDEX(Establishment!B$2:B$1005,MATCH($E413,Establishment!$A$2:$A$1005,0))</f>
        <v xml:space="preserve"> </v>
      </c>
      <c r="G413" t="str">
        <f>INDEX(Establishment!C$2:C$1005,MATCH($E413,Establishment!$A$2:$A$1005,0))</f>
        <v xml:space="preserve"> </v>
      </c>
      <c r="M413">
        <f t="shared" si="36"/>
        <v>0</v>
      </c>
      <c r="N413">
        <f t="shared" si="34"/>
        <v>0</v>
      </c>
      <c r="P413" t="e">
        <f>INDEX(Items!B$2:B$1032,MATCH($O413,Items!$A$2:$A$1032,0))</f>
        <v>#N/A</v>
      </c>
      <c r="Q413" t="e">
        <f>INDEX(Items!C$2:C$1032,MATCH($O413,Items!$A$2:$A$1032,0))</f>
        <v>#N/A</v>
      </c>
      <c r="R413" t="e">
        <f>INDEX(Items!D$2:D$1032,MATCH($O413,Items!$A$2:$A$1032,0))</f>
        <v>#N/A</v>
      </c>
    </row>
    <row r="414" spans="1:18" x14ac:dyDescent="0.25">
      <c r="A414">
        <f t="shared" si="32"/>
        <v>1</v>
      </c>
      <c r="B414" t="str">
        <f t="shared" si="33"/>
        <v/>
      </c>
      <c r="C414">
        <f t="shared" si="35"/>
        <v>1</v>
      </c>
      <c r="D414" s="4"/>
      <c r="E414" t="s">
        <v>18</v>
      </c>
      <c r="F414" t="str">
        <f>INDEX(Establishment!B$2:B$1005,MATCH($E414,Establishment!$A$2:$A$1005,0))</f>
        <v xml:space="preserve"> </v>
      </c>
      <c r="G414" t="str">
        <f>INDEX(Establishment!C$2:C$1005,MATCH($E414,Establishment!$A$2:$A$1005,0))</f>
        <v xml:space="preserve"> </v>
      </c>
      <c r="M414">
        <f t="shared" si="36"/>
        <v>0</v>
      </c>
      <c r="N414">
        <f t="shared" si="34"/>
        <v>0</v>
      </c>
      <c r="P414" t="e">
        <f>INDEX(Items!B$2:B$1032,MATCH($O414,Items!$A$2:$A$1032,0))</f>
        <v>#N/A</v>
      </c>
      <c r="Q414" t="e">
        <f>INDEX(Items!C$2:C$1032,MATCH($O414,Items!$A$2:$A$1032,0))</f>
        <v>#N/A</v>
      </c>
      <c r="R414" t="e">
        <f>INDEX(Items!D$2:D$1032,MATCH($O414,Items!$A$2:$A$1032,0))</f>
        <v>#N/A</v>
      </c>
    </row>
    <row r="415" spans="1:18" x14ac:dyDescent="0.25">
      <c r="A415">
        <f t="shared" si="32"/>
        <v>1</v>
      </c>
      <c r="B415" t="str">
        <f t="shared" si="33"/>
        <v/>
      </c>
      <c r="C415">
        <f t="shared" si="35"/>
        <v>1</v>
      </c>
      <c r="D415" s="4"/>
      <c r="E415" t="s">
        <v>18</v>
      </c>
      <c r="F415" t="str">
        <f>INDEX(Establishment!B$2:B$1005,MATCH($E415,Establishment!$A$2:$A$1005,0))</f>
        <v xml:space="preserve"> </v>
      </c>
      <c r="G415" t="str">
        <f>INDEX(Establishment!C$2:C$1005,MATCH($E415,Establishment!$A$2:$A$1005,0))</f>
        <v xml:space="preserve"> </v>
      </c>
      <c r="M415">
        <f t="shared" si="36"/>
        <v>0</v>
      </c>
      <c r="N415">
        <f t="shared" si="34"/>
        <v>0</v>
      </c>
      <c r="P415" t="e">
        <f>INDEX(Items!B$2:B$1032,MATCH($O415,Items!$A$2:$A$1032,0))</f>
        <v>#N/A</v>
      </c>
      <c r="Q415" t="e">
        <f>INDEX(Items!C$2:C$1032,MATCH($O415,Items!$A$2:$A$1032,0))</f>
        <v>#N/A</v>
      </c>
      <c r="R415" t="e">
        <f>INDEX(Items!D$2:D$1032,MATCH($O415,Items!$A$2:$A$1032,0))</f>
        <v>#N/A</v>
      </c>
    </row>
    <row r="416" spans="1:18" x14ac:dyDescent="0.25">
      <c r="A416">
        <f t="shared" si="32"/>
        <v>1</v>
      </c>
      <c r="B416" t="str">
        <f t="shared" si="33"/>
        <v/>
      </c>
      <c r="C416">
        <f t="shared" si="35"/>
        <v>1</v>
      </c>
      <c r="D416" s="4"/>
      <c r="E416" t="s">
        <v>18</v>
      </c>
      <c r="F416" t="str">
        <f>INDEX(Establishment!B$2:B$1005,MATCH($E416,Establishment!$A$2:$A$1005,0))</f>
        <v xml:space="preserve"> </v>
      </c>
      <c r="G416" t="str">
        <f>INDEX(Establishment!C$2:C$1005,MATCH($E416,Establishment!$A$2:$A$1005,0))</f>
        <v xml:space="preserve"> </v>
      </c>
      <c r="M416">
        <f t="shared" si="36"/>
        <v>0</v>
      </c>
      <c r="N416">
        <f t="shared" si="34"/>
        <v>0</v>
      </c>
      <c r="P416" t="e">
        <f>INDEX(Items!B$2:B$1032,MATCH($O416,Items!$A$2:$A$1032,0))</f>
        <v>#N/A</v>
      </c>
      <c r="Q416" t="e">
        <f>INDEX(Items!C$2:C$1032,MATCH($O416,Items!$A$2:$A$1032,0))</f>
        <v>#N/A</v>
      </c>
      <c r="R416" t="e">
        <f>INDEX(Items!D$2:D$1032,MATCH($O416,Items!$A$2:$A$1032,0))</f>
        <v>#N/A</v>
      </c>
    </row>
    <row r="417" spans="1:18" x14ac:dyDescent="0.25">
      <c r="A417">
        <f t="shared" si="32"/>
        <v>1</v>
      </c>
      <c r="B417" t="str">
        <f t="shared" si="33"/>
        <v/>
      </c>
      <c r="C417">
        <f t="shared" si="35"/>
        <v>1</v>
      </c>
      <c r="D417" s="4"/>
      <c r="E417" t="s">
        <v>18</v>
      </c>
      <c r="F417" t="str">
        <f>INDEX(Establishment!B$2:B$1005,MATCH($E417,Establishment!$A$2:$A$1005,0))</f>
        <v xml:space="preserve"> </v>
      </c>
      <c r="G417" t="str">
        <f>INDEX(Establishment!C$2:C$1005,MATCH($E417,Establishment!$A$2:$A$1005,0))</f>
        <v xml:space="preserve"> </v>
      </c>
      <c r="M417">
        <f t="shared" si="36"/>
        <v>0</v>
      </c>
      <c r="N417">
        <f t="shared" si="34"/>
        <v>0</v>
      </c>
      <c r="P417" t="e">
        <f>INDEX(Items!B$2:B$1032,MATCH($O417,Items!$A$2:$A$1032,0))</f>
        <v>#N/A</v>
      </c>
      <c r="Q417" t="e">
        <f>INDEX(Items!C$2:C$1032,MATCH($O417,Items!$A$2:$A$1032,0))</f>
        <v>#N/A</v>
      </c>
      <c r="R417" t="e">
        <f>INDEX(Items!D$2:D$1032,MATCH($O417,Items!$A$2:$A$1032,0))</f>
        <v>#N/A</v>
      </c>
    </row>
    <row r="418" spans="1:18" x14ac:dyDescent="0.25">
      <c r="A418">
        <f t="shared" si="32"/>
        <v>1</v>
      </c>
      <c r="B418" t="str">
        <f t="shared" si="33"/>
        <v/>
      </c>
      <c r="C418">
        <f t="shared" si="35"/>
        <v>1</v>
      </c>
      <c r="D418" s="4"/>
      <c r="E418" t="s">
        <v>18</v>
      </c>
      <c r="F418" t="str">
        <f>INDEX(Establishment!B$2:B$1005,MATCH($E418,Establishment!$A$2:$A$1005,0))</f>
        <v xml:space="preserve"> </v>
      </c>
      <c r="G418" t="str">
        <f>INDEX(Establishment!C$2:C$1005,MATCH($E418,Establishment!$A$2:$A$1005,0))</f>
        <v xml:space="preserve"> </v>
      </c>
      <c r="M418">
        <f t="shared" si="36"/>
        <v>0</v>
      </c>
      <c r="N418">
        <f t="shared" si="34"/>
        <v>0</v>
      </c>
      <c r="P418" t="e">
        <f>INDEX(Items!B$2:B$1032,MATCH($O418,Items!$A$2:$A$1032,0))</f>
        <v>#N/A</v>
      </c>
      <c r="Q418" t="e">
        <f>INDEX(Items!C$2:C$1032,MATCH($O418,Items!$A$2:$A$1032,0))</f>
        <v>#N/A</v>
      </c>
      <c r="R418" t="e">
        <f>INDEX(Items!D$2:D$1032,MATCH($O418,Items!$A$2:$A$1032,0))</f>
        <v>#N/A</v>
      </c>
    </row>
    <row r="419" spans="1:18" x14ac:dyDescent="0.25">
      <c r="A419">
        <f t="shared" si="32"/>
        <v>1</v>
      </c>
      <c r="B419" t="str">
        <f t="shared" si="33"/>
        <v/>
      </c>
      <c r="C419">
        <f t="shared" si="35"/>
        <v>1</v>
      </c>
      <c r="D419" s="4"/>
      <c r="E419" t="s">
        <v>18</v>
      </c>
      <c r="F419" t="str">
        <f>INDEX(Establishment!B$2:B$1005,MATCH($E419,Establishment!$A$2:$A$1005,0))</f>
        <v xml:space="preserve"> </v>
      </c>
      <c r="G419" t="str">
        <f>INDEX(Establishment!C$2:C$1005,MATCH($E419,Establishment!$A$2:$A$1005,0))</f>
        <v xml:space="preserve"> </v>
      </c>
      <c r="M419">
        <f t="shared" si="36"/>
        <v>0</v>
      </c>
      <c r="N419">
        <f t="shared" si="34"/>
        <v>0</v>
      </c>
      <c r="P419" t="e">
        <f>INDEX(Items!B$2:B$1032,MATCH($O419,Items!$A$2:$A$1032,0))</f>
        <v>#N/A</v>
      </c>
      <c r="Q419" t="e">
        <f>INDEX(Items!C$2:C$1032,MATCH($O419,Items!$A$2:$A$1032,0))</f>
        <v>#N/A</v>
      </c>
      <c r="R419" t="e">
        <f>INDEX(Items!D$2:D$1032,MATCH($O419,Items!$A$2:$A$1032,0))</f>
        <v>#N/A</v>
      </c>
    </row>
    <row r="420" spans="1:18" x14ac:dyDescent="0.25">
      <c r="A420">
        <f t="shared" si="32"/>
        <v>1</v>
      </c>
      <c r="B420" t="str">
        <f t="shared" si="33"/>
        <v/>
      </c>
      <c r="C420">
        <f t="shared" si="35"/>
        <v>1</v>
      </c>
      <c r="D420" s="4"/>
      <c r="E420" t="s">
        <v>18</v>
      </c>
      <c r="F420" t="str">
        <f>INDEX(Establishment!B$2:B$1005,MATCH($E420,Establishment!$A$2:$A$1005,0))</f>
        <v xml:space="preserve"> </v>
      </c>
      <c r="G420" t="str">
        <f>INDEX(Establishment!C$2:C$1005,MATCH($E420,Establishment!$A$2:$A$1005,0))</f>
        <v xml:space="preserve"> </v>
      </c>
      <c r="M420">
        <f t="shared" si="36"/>
        <v>0</v>
      </c>
      <c r="N420">
        <f t="shared" si="34"/>
        <v>0</v>
      </c>
      <c r="P420" t="e">
        <f>INDEX(Items!B$2:B$1032,MATCH($O420,Items!$A$2:$A$1032,0))</f>
        <v>#N/A</v>
      </c>
      <c r="Q420" t="e">
        <f>INDEX(Items!C$2:C$1032,MATCH($O420,Items!$A$2:$A$1032,0))</f>
        <v>#N/A</v>
      </c>
      <c r="R420" t="e">
        <f>INDEX(Items!D$2:D$1032,MATCH($O420,Items!$A$2:$A$1032,0))</f>
        <v>#N/A</v>
      </c>
    </row>
    <row r="421" spans="1:18" x14ac:dyDescent="0.25">
      <c r="A421">
        <f t="shared" si="32"/>
        <v>1</v>
      </c>
      <c r="B421" t="str">
        <f t="shared" si="33"/>
        <v/>
      </c>
      <c r="C421">
        <f t="shared" si="35"/>
        <v>1</v>
      </c>
      <c r="D421" s="4"/>
      <c r="E421" t="s">
        <v>18</v>
      </c>
      <c r="F421" t="str">
        <f>INDEX(Establishment!B$2:B$1005,MATCH($E421,Establishment!$A$2:$A$1005,0))</f>
        <v xml:space="preserve"> </v>
      </c>
      <c r="G421" t="str">
        <f>INDEX(Establishment!C$2:C$1005,MATCH($E421,Establishment!$A$2:$A$1005,0))</f>
        <v xml:space="preserve"> </v>
      </c>
      <c r="M421">
        <f t="shared" si="36"/>
        <v>0</v>
      </c>
      <c r="N421">
        <f t="shared" si="34"/>
        <v>0</v>
      </c>
      <c r="P421" t="e">
        <f>INDEX(Items!B$2:B$1032,MATCH($O421,Items!$A$2:$A$1032,0))</f>
        <v>#N/A</v>
      </c>
      <c r="Q421" t="e">
        <f>INDEX(Items!C$2:C$1032,MATCH($O421,Items!$A$2:$A$1032,0))</f>
        <v>#N/A</v>
      </c>
      <c r="R421" t="e">
        <f>INDEX(Items!D$2:D$1032,MATCH($O421,Items!$A$2:$A$1032,0))</f>
        <v>#N/A</v>
      </c>
    </row>
    <row r="422" spans="1:18" x14ac:dyDescent="0.25">
      <c r="A422">
        <f t="shared" si="32"/>
        <v>1</v>
      </c>
      <c r="B422" t="str">
        <f t="shared" si="33"/>
        <v/>
      </c>
      <c r="C422">
        <f t="shared" si="35"/>
        <v>1</v>
      </c>
      <c r="D422" s="4"/>
      <c r="E422" t="s">
        <v>18</v>
      </c>
      <c r="F422" t="str">
        <f>INDEX(Establishment!B$2:B$1005,MATCH($E422,Establishment!$A$2:$A$1005,0))</f>
        <v xml:space="preserve"> </v>
      </c>
      <c r="G422" t="str">
        <f>INDEX(Establishment!C$2:C$1005,MATCH($E422,Establishment!$A$2:$A$1005,0))</f>
        <v xml:space="preserve"> </v>
      </c>
      <c r="M422">
        <f t="shared" si="36"/>
        <v>0</v>
      </c>
      <c r="N422">
        <f t="shared" si="34"/>
        <v>0</v>
      </c>
      <c r="P422" t="e">
        <f>INDEX(Items!B$2:B$1032,MATCH($O422,Items!$A$2:$A$1032,0))</f>
        <v>#N/A</v>
      </c>
      <c r="Q422" t="e">
        <f>INDEX(Items!C$2:C$1032,MATCH($O422,Items!$A$2:$A$1032,0))</f>
        <v>#N/A</v>
      </c>
      <c r="R422" t="e">
        <f>INDEX(Items!D$2:D$1032,MATCH($O422,Items!$A$2:$A$1032,0))</f>
        <v>#N/A</v>
      </c>
    </row>
    <row r="423" spans="1:18" x14ac:dyDescent="0.25">
      <c r="A423">
        <f t="shared" si="32"/>
        <v>1</v>
      </c>
      <c r="B423" t="str">
        <f t="shared" si="33"/>
        <v/>
      </c>
      <c r="C423">
        <f t="shared" si="35"/>
        <v>1</v>
      </c>
      <c r="D423" s="4"/>
      <c r="E423" t="s">
        <v>18</v>
      </c>
      <c r="F423" t="str">
        <f>INDEX(Establishment!B$2:B$1005,MATCH($E423,Establishment!$A$2:$A$1005,0))</f>
        <v xml:space="preserve"> </v>
      </c>
      <c r="G423" t="str">
        <f>INDEX(Establishment!C$2:C$1005,MATCH($E423,Establishment!$A$2:$A$1005,0))</f>
        <v xml:space="preserve"> </v>
      </c>
      <c r="M423">
        <f t="shared" si="36"/>
        <v>0</v>
      </c>
      <c r="N423">
        <f t="shared" si="34"/>
        <v>0</v>
      </c>
      <c r="P423" t="e">
        <f>INDEX(Items!B$2:B$1032,MATCH($O423,Items!$A$2:$A$1032,0))</f>
        <v>#N/A</v>
      </c>
      <c r="Q423" t="e">
        <f>INDEX(Items!C$2:C$1032,MATCH($O423,Items!$A$2:$A$1032,0))</f>
        <v>#N/A</v>
      </c>
      <c r="R423" t="e">
        <f>INDEX(Items!D$2:D$1032,MATCH($O423,Items!$A$2:$A$1032,0))</f>
        <v>#N/A</v>
      </c>
    </row>
    <row r="424" spans="1:18" x14ac:dyDescent="0.25">
      <c r="A424">
        <f t="shared" si="32"/>
        <v>1</v>
      </c>
      <c r="B424" t="str">
        <f t="shared" si="33"/>
        <v/>
      </c>
      <c r="C424">
        <f t="shared" si="35"/>
        <v>1</v>
      </c>
      <c r="D424" s="4"/>
      <c r="E424" t="s">
        <v>18</v>
      </c>
      <c r="F424" t="str">
        <f>INDEX(Establishment!B$2:B$1005,MATCH($E424,Establishment!$A$2:$A$1005,0))</f>
        <v xml:space="preserve"> </v>
      </c>
      <c r="G424" t="str">
        <f>INDEX(Establishment!C$2:C$1005,MATCH($E424,Establishment!$A$2:$A$1005,0))</f>
        <v xml:space="preserve"> </v>
      </c>
      <c r="M424">
        <f t="shared" si="36"/>
        <v>0</v>
      </c>
      <c r="N424">
        <f t="shared" si="34"/>
        <v>0</v>
      </c>
      <c r="P424" t="e">
        <f>INDEX(Items!B$2:B$1032,MATCH($O424,Items!$A$2:$A$1032,0))</f>
        <v>#N/A</v>
      </c>
      <c r="Q424" t="e">
        <f>INDEX(Items!C$2:C$1032,MATCH($O424,Items!$A$2:$A$1032,0))</f>
        <v>#N/A</v>
      </c>
      <c r="R424" t="e">
        <f>INDEX(Items!D$2:D$1032,MATCH($O424,Items!$A$2:$A$1032,0))</f>
        <v>#N/A</v>
      </c>
    </row>
    <row r="425" spans="1:18" x14ac:dyDescent="0.25">
      <c r="A425">
        <f t="shared" si="32"/>
        <v>1</v>
      </c>
      <c r="B425" t="str">
        <f t="shared" si="33"/>
        <v/>
      </c>
      <c r="C425">
        <f t="shared" si="35"/>
        <v>1</v>
      </c>
      <c r="D425" s="4"/>
      <c r="E425" t="s">
        <v>18</v>
      </c>
      <c r="F425" t="str">
        <f>INDEX(Establishment!B$2:B$1005,MATCH($E425,Establishment!$A$2:$A$1005,0))</f>
        <v xml:space="preserve"> </v>
      </c>
      <c r="G425" t="str">
        <f>INDEX(Establishment!C$2:C$1005,MATCH($E425,Establishment!$A$2:$A$1005,0))</f>
        <v xml:space="preserve"> </v>
      </c>
      <c r="M425">
        <f t="shared" si="36"/>
        <v>0</v>
      </c>
      <c r="N425">
        <f t="shared" si="34"/>
        <v>0</v>
      </c>
      <c r="P425" t="e">
        <f>INDEX(Items!B$2:B$1032,MATCH($O425,Items!$A$2:$A$1032,0))</f>
        <v>#N/A</v>
      </c>
      <c r="Q425" t="e">
        <f>INDEX(Items!C$2:C$1032,MATCH($O425,Items!$A$2:$A$1032,0))</f>
        <v>#N/A</v>
      </c>
      <c r="R425" t="e">
        <f>INDEX(Items!D$2:D$1032,MATCH($O425,Items!$A$2:$A$1032,0))</f>
        <v>#N/A</v>
      </c>
    </row>
    <row r="426" spans="1:18" x14ac:dyDescent="0.25">
      <c r="A426">
        <f t="shared" si="32"/>
        <v>1</v>
      </c>
      <c r="B426" t="str">
        <f t="shared" si="33"/>
        <v/>
      </c>
      <c r="C426">
        <f t="shared" si="35"/>
        <v>1</v>
      </c>
      <c r="D426" s="4"/>
      <c r="E426" t="s">
        <v>18</v>
      </c>
      <c r="F426" t="str">
        <f>INDEX(Establishment!B$2:B$1005,MATCH($E426,Establishment!$A$2:$A$1005,0))</f>
        <v xml:space="preserve"> </v>
      </c>
      <c r="G426" t="str">
        <f>INDEX(Establishment!C$2:C$1005,MATCH($E426,Establishment!$A$2:$A$1005,0))</f>
        <v xml:space="preserve"> </v>
      </c>
      <c r="M426">
        <f t="shared" si="36"/>
        <v>0</v>
      </c>
      <c r="N426">
        <f t="shared" si="34"/>
        <v>0</v>
      </c>
      <c r="P426" t="e">
        <f>INDEX(Items!B$2:B$1032,MATCH($O426,Items!$A$2:$A$1032,0))</f>
        <v>#N/A</v>
      </c>
      <c r="Q426" t="e">
        <f>INDEX(Items!C$2:C$1032,MATCH($O426,Items!$A$2:$A$1032,0))</f>
        <v>#N/A</v>
      </c>
      <c r="R426" t="e">
        <f>INDEX(Items!D$2:D$1032,MATCH($O426,Items!$A$2:$A$1032,0))</f>
        <v>#N/A</v>
      </c>
    </row>
    <row r="427" spans="1:18" x14ac:dyDescent="0.25">
      <c r="A427">
        <f t="shared" si="32"/>
        <v>1</v>
      </c>
      <c r="B427" t="str">
        <f t="shared" si="33"/>
        <v/>
      </c>
      <c r="C427">
        <f t="shared" si="35"/>
        <v>1</v>
      </c>
      <c r="D427" s="4"/>
      <c r="E427" t="s">
        <v>18</v>
      </c>
      <c r="F427" t="str">
        <f>INDEX(Establishment!B$2:B$1005,MATCH($E427,Establishment!$A$2:$A$1005,0))</f>
        <v xml:space="preserve"> </v>
      </c>
      <c r="G427" t="str">
        <f>INDEX(Establishment!C$2:C$1005,MATCH($E427,Establishment!$A$2:$A$1005,0))</f>
        <v xml:space="preserve"> </v>
      </c>
      <c r="M427">
        <f t="shared" si="36"/>
        <v>0</v>
      </c>
      <c r="N427">
        <f t="shared" si="34"/>
        <v>0</v>
      </c>
      <c r="P427" t="e">
        <f>INDEX(Items!B$2:B$1032,MATCH($O427,Items!$A$2:$A$1032,0))</f>
        <v>#N/A</v>
      </c>
      <c r="Q427" t="e">
        <f>INDEX(Items!C$2:C$1032,MATCH($O427,Items!$A$2:$A$1032,0))</f>
        <v>#N/A</v>
      </c>
      <c r="R427" t="e">
        <f>INDEX(Items!D$2:D$1032,MATCH($O427,Items!$A$2:$A$1032,0))</f>
        <v>#N/A</v>
      </c>
    </row>
    <row r="428" spans="1:18" x14ac:dyDescent="0.25">
      <c r="A428">
        <f t="shared" si="32"/>
        <v>1</v>
      </c>
      <c r="B428" t="str">
        <f t="shared" si="33"/>
        <v/>
      </c>
      <c r="C428">
        <f t="shared" si="35"/>
        <v>1</v>
      </c>
      <c r="D428" s="4"/>
      <c r="E428" t="s">
        <v>18</v>
      </c>
      <c r="F428" t="str">
        <f>INDEX(Establishment!B$2:B$1005,MATCH($E428,Establishment!$A$2:$A$1005,0))</f>
        <v xml:space="preserve"> </v>
      </c>
      <c r="G428" t="str">
        <f>INDEX(Establishment!C$2:C$1005,MATCH($E428,Establishment!$A$2:$A$1005,0))</f>
        <v xml:space="preserve"> </v>
      </c>
      <c r="M428">
        <f t="shared" si="36"/>
        <v>0</v>
      </c>
      <c r="N428">
        <f t="shared" si="34"/>
        <v>0</v>
      </c>
      <c r="P428" t="e">
        <f>INDEX(Items!B$2:B$1032,MATCH($O428,Items!$A$2:$A$1032,0))</f>
        <v>#N/A</v>
      </c>
      <c r="Q428" t="e">
        <f>INDEX(Items!C$2:C$1032,MATCH($O428,Items!$A$2:$A$1032,0))</f>
        <v>#N/A</v>
      </c>
      <c r="R428" t="e">
        <f>INDEX(Items!D$2:D$1032,MATCH($O428,Items!$A$2:$A$1032,0))</f>
        <v>#N/A</v>
      </c>
    </row>
    <row r="429" spans="1:18" x14ac:dyDescent="0.25">
      <c r="A429">
        <f t="shared" si="32"/>
        <v>1</v>
      </c>
      <c r="B429" t="str">
        <f t="shared" si="33"/>
        <v/>
      </c>
      <c r="C429">
        <f t="shared" si="35"/>
        <v>1</v>
      </c>
      <c r="D429" s="4"/>
      <c r="E429" t="s">
        <v>18</v>
      </c>
      <c r="F429" t="str">
        <f>INDEX(Establishment!B$2:B$1005,MATCH($E429,Establishment!$A$2:$A$1005,0))</f>
        <v xml:space="preserve"> </v>
      </c>
      <c r="G429" t="str">
        <f>INDEX(Establishment!C$2:C$1005,MATCH($E429,Establishment!$A$2:$A$1005,0))</f>
        <v xml:space="preserve"> </v>
      </c>
      <c r="M429">
        <f t="shared" si="36"/>
        <v>0</v>
      </c>
      <c r="N429">
        <f t="shared" si="34"/>
        <v>0</v>
      </c>
      <c r="P429" t="e">
        <f>INDEX(Items!B$2:B$1032,MATCH($O429,Items!$A$2:$A$1032,0))</f>
        <v>#N/A</v>
      </c>
      <c r="Q429" t="e">
        <f>INDEX(Items!C$2:C$1032,MATCH($O429,Items!$A$2:$A$1032,0))</f>
        <v>#N/A</v>
      </c>
      <c r="R429" t="e">
        <f>INDEX(Items!D$2:D$1032,MATCH($O429,Items!$A$2:$A$1032,0))</f>
        <v>#N/A</v>
      </c>
    </row>
    <row r="430" spans="1:18" x14ac:dyDescent="0.25">
      <c r="A430">
        <f t="shared" si="32"/>
        <v>1</v>
      </c>
      <c r="B430" t="str">
        <f t="shared" si="33"/>
        <v/>
      </c>
      <c r="C430">
        <f t="shared" si="35"/>
        <v>1</v>
      </c>
      <c r="D430" s="4"/>
      <c r="E430" t="s">
        <v>18</v>
      </c>
      <c r="F430" t="str">
        <f>INDEX(Establishment!B$2:B$1005,MATCH($E430,Establishment!$A$2:$A$1005,0))</f>
        <v xml:space="preserve"> </v>
      </c>
      <c r="G430" t="str">
        <f>INDEX(Establishment!C$2:C$1005,MATCH($E430,Establishment!$A$2:$A$1005,0))</f>
        <v xml:space="preserve"> </v>
      </c>
      <c r="M430">
        <f t="shared" si="36"/>
        <v>0</v>
      </c>
      <c r="N430">
        <f t="shared" si="34"/>
        <v>0</v>
      </c>
      <c r="P430" t="e">
        <f>INDEX(Items!B$2:B$1032,MATCH($O430,Items!$A$2:$A$1032,0))</f>
        <v>#N/A</v>
      </c>
      <c r="Q430" t="e">
        <f>INDEX(Items!C$2:C$1032,MATCH($O430,Items!$A$2:$A$1032,0))</f>
        <v>#N/A</v>
      </c>
      <c r="R430" t="e">
        <f>INDEX(Items!D$2:D$1032,MATCH($O430,Items!$A$2:$A$1032,0))</f>
        <v>#N/A</v>
      </c>
    </row>
    <row r="431" spans="1:18" x14ac:dyDescent="0.25">
      <c r="A431">
        <f t="shared" si="32"/>
        <v>1</v>
      </c>
      <c r="B431" t="str">
        <f t="shared" si="33"/>
        <v/>
      </c>
      <c r="C431">
        <f t="shared" si="35"/>
        <v>1</v>
      </c>
      <c r="D431" s="4"/>
      <c r="E431" t="s">
        <v>18</v>
      </c>
      <c r="F431" t="str">
        <f>INDEX(Establishment!B$2:B$1005,MATCH($E431,Establishment!$A$2:$A$1005,0))</f>
        <v xml:space="preserve"> </v>
      </c>
      <c r="G431" t="str">
        <f>INDEX(Establishment!C$2:C$1005,MATCH($E431,Establishment!$A$2:$A$1005,0))</f>
        <v xml:space="preserve"> </v>
      </c>
      <c r="M431">
        <f t="shared" si="36"/>
        <v>0</v>
      </c>
      <c r="N431">
        <f t="shared" si="34"/>
        <v>0</v>
      </c>
      <c r="P431" t="e">
        <f>INDEX(Items!B$2:B$1032,MATCH($O431,Items!$A$2:$A$1032,0))</f>
        <v>#N/A</v>
      </c>
      <c r="Q431" t="e">
        <f>INDEX(Items!C$2:C$1032,MATCH($O431,Items!$A$2:$A$1032,0))</f>
        <v>#N/A</v>
      </c>
      <c r="R431" t="e">
        <f>INDEX(Items!D$2:D$1032,MATCH($O431,Items!$A$2:$A$1032,0))</f>
        <v>#N/A</v>
      </c>
    </row>
    <row r="432" spans="1:18" x14ac:dyDescent="0.25">
      <c r="A432">
        <f t="shared" si="32"/>
        <v>1</v>
      </c>
      <c r="B432" t="str">
        <f t="shared" si="33"/>
        <v/>
      </c>
      <c r="C432">
        <f t="shared" si="35"/>
        <v>1</v>
      </c>
      <c r="D432" s="4"/>
      <c r="E432" t="s">
        <v>18</v>
      </c>
      <c r="F432" t="str">
        <f>INDEX(Establishment!B$2:B$1005,MATCH($E432,Establishment!$A$2:$A$1005,0))</f>
        <v xml:space="preserve"> </v>
      </c>
      <c r="G432" t="str">
        <f>INDEX(Establishment!C$2:C$1005,MATCH($E432,Establishment!$A$2:$A$1005,0))</f>
        <v xml:space="preserve"> </v>
      </c>
      <c r="M432">
        <f t="shared" si="36"/>
        <v>0</v>
      </c>
      <c r="N432">
        <f t="shared" si="34"/>
        <v>0</v>
      </c>
      <c r="P432" t="e">
        <f>INDEX(Items!B$2:B$1032,MATCH($O432,Items!$A$2:$A$1032,0))</f>
        <v>#N/A</v>
      </c>
      <c r="Q432" t="e">
        <f>INDEX(Items!C$2:C$1032,MATCH($O432,Items!$A$2:$A$1032,0))</f>
        <v>#N/A</v>
      </c>
      <c r="R432" t="e">
        <f>INDEX(Items!D$2:D$1032,MATCH($O432,Items!$A$2:$A$1032,0))</f>
        <v>#N/A</v>
      </c>
    </row>
    <row r="433" spans="1:18" x14ac:dyDescent="0.25">
      <c r="A433">
        <f t="shared" si="32"/>
        <v>1</v>
      </c>
      <c r="B433" t="str">
        <f t="shared" si="33"/>
        <v/>
      </c>
      <c r="C433">
        <f t="shared" si="35"/>
        <v>1</v>
      </c>
      <c r="D433" s="4"/>
      <c r="E433" t="s">
        <v>18</v>
      </c>
      <c r="F433" t="str">
        <f>INDEX(Establishment!B$2:B$1005,MATCH($E433,Establishment!$A$2:$A$1005,0))</f>
        <v xml:space="preserve"> </v>
      </c>
      <c r="G433" t="str">
        <f>INDEX(Establishment!C$2:C$1005,MATCH($E433,Establishment!$A$2:$A$1005,0))</f>
        <v xml:space="preserve"> </v>
      </c>
      <c r="M433">
        <f t="shared" si="36"/>
        <v>0</v>
      </c>
      <c r="N433">
        <f t="shared" si="34"/>
        <v>0</v>
      </c>
      <c r="P433" t="e">
        <f>INDEX(Items!B$2:B$1032,MATCH($O433,Items!$A$2:$A$1032,0))</f>
        <v>#N/A</v>
      </c>
      <c r="Q433" t="e">
        <f>INDEX(Items!C$2:C$1032,MATCH($O433,Items!$A$2:$A$1032,0))</f>
        <v>#N/A</v>
      </c>
      <c r="R433" t="e">
        <f>INDEX(Items!D$2:D$1032,MATCH($O433,Items!$A$2:$A$1032,0))</f>
        <v>#N/A</v>
      </c>
    </row>
    <row r="434" spans="1:18" x14ac:dyDescent="0.25">
      <c r="A434">
        <f t="shared" si="32"/>
        <v>1</v>
      </c>
      <c r="B434" t="str">
        <f t="shared" si="33"/>
        <v/>
      </c>
      <c r="C434">
        <f t="shared" si="35"/>
        <v>1</v>
      </c>
      <c r="D434" s="4"/>
      <c r="E434" t="s">
        <v>18</v>
      </c>
      <c r="F434" t="str">
        <f>INDEX(Establishment!B$2:B$1005,MATCH($E434,Establishment!$A$2:$A$1005,0))</f>
        <v xml:space="preserve"> </v>
      </c>
      <c r="G434" t="str">
        <f>INDEX(Establishment!C$2:C$1005,MATCH($E434,Establishment!$A$2:$A$1005,0))</f>
        <v xml:space="preserve"> </v>
      </c>
      <c r="M434">
        <f t="shared" si="36"/>
        <v>0</v>
      </c>
      <c r="N434">
        <f t="shared" si="34"/>
        <v>0</v>
      </c>
      <c r="P434" t="e">
        <f>INDEX(Items!B$2:B$1032,MATCH($O434,Items!$A$2:$A$1032,0))</f>
        <v>#N/A</v>
      </c>
      <c r="Q434" t="e">
        <f>INDEX(Items!C$2:C$1032,MATCH($O434,Items!$A$2:$A$1032,0))</f>
        <v>#N/A</v>
      </c>
      <c r="R434" t="e">
        <f>INDEX(Items!D$2:D$1032,MATCH($O434,Items!$A$2:$A$1032,0))</f>
        <v>#N/A</v>
      </c>
    </row>
    <row r="435" spans="1:18" x14ac:dyDescent="0.25">
      <c r="A435">
        <f t="shared" si="32"/>
        <v>1</v>
      </c>
      <c r="B435" t="str">
        <f t="shared" si="33"/>
        <v/>
      </c>
      <c r="C435">
        <f t="shared" si="35"/>
        <v>1</v>
      </c>
      <c r="D435" s="4"/>
      <c r="E435" t="s">
        <v>18</v>
      </c>
      <c r="F435" t="str">
        <f>INDEX(Establishment!B$2:B$1005,MATCH($E435,Establishment!$A$2:$A$1005,0))</f>
        <v xml:space="preserve"> </v>
      </c>
      <c r="G435" t="str">
        <f>INDEX(Establishment!C$2:C$1005,MATCH($E435,Establishment!$A$2:$A$1005,0))</f>
        <v xml:space="preserve"> </v>
      </c>
      <c r="M435">
        <f t="shared" si="36"/>
        <v>0</v>
      </c>
      <c r="N435">
        <f t="shared" si="34"/>
        <v>0</v>
      </c>
      <c r="P435" t="e">
        <f>INDEX(Items!B$2:B$1032,MATCH($O435,Items!$A$2:$A$1032,0))</f>
        <v>#N/A</v>
      </c>
      <c r="Q435" t="e">
        <f>INDEX(Items!C$2:C$1032,MATCH($O435,Items!$A$2:$A$1032,0))</f>
        <v>#N/A</v>
      </c>
      <c r="R435" t="e">
        <f>INDEX(Items!D$2:D$1032,MATCH($O435,Items!$A$2:$A$1032,0))</f>
        <v>#N/A</v>
      </c>
    </row>
    <row r="436" spans="1:18" x14ac:dyDescent="0.25">
      <c r="A436">
        <f t="shared" si="32"/>
        <v>1</v>
      </c>
      <c r="B436" t="str">
        <f t="shared" si="33"/>
        <v/>
      </c>
      <c r="C436">
        <f t="shared" si="35"/>
        <v>1</v>
      </c>
      <c r="D436" s="4"/>
      <c r="E436" t="s">
        <v>18</v>
      </c>
      <c r="F436" t="str">
        <f>INDEX(Establishment!B$2:B$1005,MATCH($E436,Establishment!$A$2:$A$1005,0))</f>
        <v xml:space="preserve"> </v>
      </c>
      <c r="G436" t="str">
        <f>INDEX(Establishment!C$2:C$1005,MATCH($E436,Establishment!$A$2:$A$1005,0))</f>
        <v xml:space="preserve"> </v>
      </c>
      <c r="M436">
        <f t="shared" si="36"/>
        <v>0</v>
      </c>
      <c r="N436">
        <f t="shared" si="34"/>
        <v>0</v>
      </c>
      <c r="P436" t="e">
        <f>INDEX(Items!B$2:B$1032,MATCH($O436,Items!$A$2:$A$1032,0))</f>
        <v>#N/A</v>
      </c>
      <c r="Q436" t="e">
        <f>INDEX(Items!C$2:C$1032,MATCH($O436,Items!$A$2:$A$1032,0))</f>
        <v>#N/A</v>
      </c>
      <c r="R436" t="e">
        <f>INDEX(Items!D$2:D$1032,MATCH($O436,Items!$A$2:$A$1032,0))</f>
        <v>#N/A</v>
      </c>
    </row>
    <row r="437" spans="1:18" x14ac:dyDescent="0.25">
      <c r="A437">
        <f t="shared" si="32"/>
        <v>1</v>
      </c>
      <c r="B437" t="str">
        <f t="shared" si="33"/>
        <v/>
      </c>
      <c r="C437">
        <f t="shared" si="35"/>
        <v>1</v>
      </c>
      <c r="D437" s="4"/>
      <c r="E437" t="s">
        <v>18</v>
      </c>
      <c r="F437" t="str">
        <f>INDEX(Establishment!B$2:B$1005,MATCH($E437,Establishment!$A$2:$A$1005,0))</f>
        <v xml:space="preserve"> </v>
      </c>
      <c r="G437" t="str">
        <f>INDEX(Establishment!C$2:C$1005,MATCH($E437,Establishment!$A$2:$A$1005,0))</f>
        <v xml:space="preserve"> </v>
      </c>
      <c r="M437">
        <f t="shared" si="36"/>
        <v>0</v>
      </c>
      <c r="N437">
        <f t="shared" si="34"/>
        <v>0</v>
      </c>
      <c r="P437" t="e">
        <f>INDEX(Items!B$2:B$1032,MATCH($O437,Items!$A$2:$A$1032,0))</f>
        <v>#N/A</v>
      </c>
      <c r="Q437" t="e">
        <f>INDEX(Items!C$2:C$1032,MATCH($O437,Items!$A$2:$A$1032,0))</f>
        <v>#N/A</v>
      </c>
      <c r="R437" t="e">
        <f>INDEX(Items!D$2:D$1032,MATCH($O437,Items!$A$2:$A$1032,0))</f>
        <v>#N/A</v>
      </c>
    </row>
    <row r="438" spans="1:18" x14ac:dyDescent="0.25">
      <c r="A438">
        <f t="shared" si="32"/>
        <v>1</v>
      </c>
      <c r="B438" t="str">
        <f t="shared" si="33"/>
        <v/>
      </c>
      <c r="C438">
        <f t="shared" si="35"/>
        <v>1</v>
      </c>
      <c r="D438" s="4"/>
      <c r="E438" t="s">
        <v>18</v>
      </c>
      <c r="F438" t="str">
        <f>INDEX(Establishment!B$2:B$1005,MATCH($E438,Establishment!$A$2:$A$1005,0))</f>
        <v xml:space="preserve"> </v>
      </c>
      <c r="G438" t="str">
        <f>INDEX(Establishment!C$2:C$1005,MATCH($E438,Establishment!$A$2:$A$1005,0))</f>
        <v xml:space="preserve"> </v>
      </c>
      <c r="M438">
        <f t="shared" si="36"/>
        <v>0</v>
      </c>
      <c r="N438">
        <f t="shared" si="34"/>
        <v>0</v>
      </c>
      <c r="P438" t="e">
        <f>INDEX(Items!B$2:B$1032,MATCH($O438,Items!$A$2:$A$1032,0))</f>
        <v>#N/A</v>
      </c>
      <c r="Q438" t="e">
        <f>INDEX(Items!C$2:C$1032,MATCH($O438,Items!$A$2:$A$1032,0))</f>
        <v>#N/A</v>
      </c>
      <c r="R438" t="e">
        <f>INDEX(Items!D$2:D$1032,MATCH($O438,Items!$A$2:$A$1032,0))</f>
        <v>#N/A</v>
      </c>
    </row>
    <row r="439" spans="1:18" x14ac:dyDescent="0.25">
      <c r="A439">
        <f t="shared" si="32"/>
        <v>1</v>
      </c>
      <c r="B439" t="str">
        <f t="shared" si="33"/>
        <v/>
      </c>
      <c r="C439">
        <f t="shared" si="35"/>
        <v>1</v>
      </c>
      <c r="D439" s="4"/>
      <c r="E439" t="s">
        <v>18</v>
      </c>
      <c r="F439" t="str">
        <f>INDEX(Establishment!B$2:B$1005,MATCH($E439,Establishment!$A$2:$A$1005,0))</f>
        <v xml:space="preserve"> </v>
      </c>
      <c r="G439" t="str">
        <f>INDEX(Establishment!C$2:C$1005,MATCH($E439,Establishment!$A$2:$A$1005,0))</f>
        <v xml:space="preserve"> </v>
      </c>
      <c r="M439">
        <f t="shared" si="36"/>
        <v>0</v>
      </c>
      <c r="N439">
        <f t="shared" si="34"/>
        <v>0</v>
      </c>
      <c r="P439" t="e">
        <f>INDEX(Items!B$2:B$1032,MATCH($O439,Items!$A$2:$A$1032,0))</f>
        <v>#N/A</v>
      </c>
      <c r="Q439" t="e">
        <f>INDEX(Items!C$2:C$1032,MATCH($O439,Items!$A$2:$A$1032,0))</f>
        <v>#N/A</v>
      </c>
      <c r="R439" t="e">
        <f>INDEX(Items!D$2:D$1032,MATCH($O439,Items!$A$2:$A$1032,0))</f>
        <v>#N/A</v>
      </c>
    </row>
    <row r="440" spans="1:18" x14ac:dyDescent="0.25">
      <c r="A440">
        <f t="shared" si="32"/>
        <v>1</v>
      </c>
      <c r="B440" t="str">
        <f t="shared" si="33"/>
        <v/>
      </c>
      <c r="C440">
        <f t="shared" si="35"/>
        <v>1</v>
      </c>
      <c r="D440" s="4"/>
      <c r="E440" t="s">
        <v>18</v>
      </c>
      <c r="F440" t="str">
        <f>INDEX(Establishment!B$2:B$1005,MATCH($E440,Establishment!$A$2:$A$1005,0))</f>
        <v xml:space="preserve"> </v>
      </c>
      <c r="G440" t="str">
        <f>INDEX(Establishment!C$2:C$1005,MATCH($E440,Establishment!$A$2:$A$1005,0))</f>
        <v xml:space="preserve"> </v>
      </c>
      <c r="M440">
        <f t="shared" si="36"/>
        <v>0</v>
      </c>
      <c r="N440">
        <f t="shared" si="34"/>
        <v>0</v>
      </c>
      <c r="P440" t="e">
        <f>INDEX(Items!B$2:B$1032,MATCH($O440,Items!$A$2:$A$1032,0))</f>
        <v>#N/A</v>
      </c>
      <c r="Q440" t="e">
        <f>INDEX(Items!C$2:C$1032,MATCH($O440,Items!$A$2:$A$1032,0))</f>
        <v>#N/A</v>
      </c>
      <c r="R440" t="e">
        <f>INDEX(Items!D$2:D$1032,MATCH($O440,Items!$A$2:$A$1032,0))</f>
        <v>#N/A</v>
      </c>
    </row>
    <row r="441" spans="1:18" x14ac:dyDescent="0.25">
      <c r="A441">
        <f t="shared" si="32"/>
        <v>1</v>
      </c>
      <c r="B441" t="str">
        <f t="shared" si="33"/>
        <v/>
      </c>
      <c r="C441">
        <f t="shared" si="35"/>
        <v>1</v>
      </c>
      <c r="D441" s="4"/>
      <c r="E441" t="s">
        <v>18</v>
      </c>
      <c r="F441" t="str">
        <f>INDEX(Establishment!B$2:B$1005,MATCH($E441,Establishment!$A$2:$A$1005,0))</f>
        <v xml:space="preserve"> </v>
      </c>
      <c r="G441" t="str">
        <f>INDEX(Establishment!C$2:C$1005,MATCH($E441,Establishment!$A$2:$A$1005,0))</f>
        <v xml:space="preserve"> </v>
      </c>
      <c r="M441">
        <f t="shared" si="36"/>
        <v>0</v>
      </c>
      <c r="N441">
        <f t="shared" si="34"/>
        <v>0</v>
      </c>
      <c r="P441" t="e">
        <f>INDEX(Items!B$2:B$1032,MATCH($O441,Items!$A$2:$A$1032,0))</f>
        <v>#N/A</v>
      </c>
      <c r="Q441" t="e">
        <f>INDEX(Items!C$2:C$1032,MATCH($O441,Items!$A$2:$A$1032,0))</f>
        <v>#N/A</v>
      </c>
      <c r="R441" t="e">
        <f>INDEX(Items!D$2:D$1032,MATCH($O441,Items!$A$2:$A$1032,0))</f>
        <v>#N/A</v>
      </c>
    </row>
    <row r="442" spans="1:18" x14ac:dyDescent="0.25">
      <c r="A442">
        <f t="shared" si="32"/>
        <v>1</v>
      </c>
      <c r="B442" t="str">
        <f t="shared" si="33"/>
        <v/>
      </c>
      <c r="C442">
        <f t="shared" si="35"/>
        <v>1</v>
      </c>
      <c r="D442" s="4"/>
      <c r="E442" t="s">
        <v>18</v>
      </c>
      <c r="F442" t="str">
        <f>INDEX(Establishment!B$2:B$1005,MATCH($E442,Establishment!$A$2:$A$1005,0))</f>
        <v xml:space="preserve"> </v>
      </c>
      <c r="G442" t="str">
        <f>INDEX(Establishment!C$2:C$1005,MATCH($E442,Establishment!$A$2:$A$1005,0))</f>
        <v xml:space="preserve"> </v>
      </c>
      <c r="M442">
        <f t="shared" si="36"/>
        <v>0</v>
      </c>
      <c r="N442">
        <f t="shared" si="34"/>
        <v>0</v>
      </c>
      <c r="P442" t="e">
        <f>INDEX(Items!B$2:B$1032,MATCH($O442,Items!$A$2:$A$1032,0))</f>
        <v>#N/A</v>
      </c>
      <c r="Q442" t="e">
        <f>INDEX(Items!C$2:C$1032,MATCH($O442,Items!$A$2:$A$1032,0))</f>
        <v>#N/A</v>
      </c>
      <c r="R442" t="e">
        <f>INDEX(Items!D$2:D$1032,MATCH($O442,Items!$A$2:$A$1032,0))</f>
        <v>#N/A</v>
      </c>
    </row>
    <row r="443" spans="1:18" x14ac:dyDescent="0.25">
      <c r="A443">
        <f t="shared" si="32"/>
        <v>1</v>
      </c>
      <c r="B443" t="str">
        <f t="shared" si="33"/>
        <v/>
      </c>
      <c r="C443">
        <f t="shared" si="35"/>
        <v>1</v>
      </c>
      <c r="D443" s="4"/>
      <c r="E443" t="s">
        <v>18</v>
      </c>
      <c r="F443" t="str">
        <f>INDEX(Establishment!B$2:B$1005,MATCH($E443,Establishment!$A$2:$A$1005,0))</f>
        <v xml:space="preserve"> </v>
      </c>
      <c r="G443" t="str">
        <f>INDEX(Establishment!C$2:C$1005,MATCH($E443,Establishment!$A$2:$A$1005,0))</f>
        <v xml:space="preserve"> </v>
      </c>
      <c r="M443">
        <f t="shared" si="36"/>
        <v>0</v>
      </c>
      <c r="N443">
        <f t="shared" si="34"/>
        <v>0</v>
      </c>
      <c r="P443" t="e">
        <f>INDEX(Items!B$2:B$1032,MATCH($O443,Items!$A$2:$A$1032,0))</f>
        <v>#N/A</v>
      </c>
      <c r="Q443" t="e">
        <f>INDEX(Items!C$2:C$1032,MATCH($O443,Items!$A$2:$A$1032,0))</f>
        <v>#N/A</v>
      </c>
      <c r="R443" t="e">
        <f>INDEX(Items!D$2:D$1032,MATCH($O443,Items!$A$2:$A$1032,0))</f>
        <v>#N/A</v>
      </c>
    </row>
    <row r="444" spans="1:18" x14ac:dyDescent="0.25">
      <c r="A444">
        <f t="shared" si="32"/>
        <v>1</v>
      </c>
      <c r="B444" t="str">
        <f t="shared" si="33"/>
        <v/>
      </c>
      <c r="C444">
        <f t="shared" si="35"/>
        <v>1</v>
      </c>
      <c r="D444" s="4"/>
      <c r="E444" t="s">
        <v>18</v>
      </c>
      <c r="F444" t="str">
        <f>INDEX(Establishment!B$2:B$1005,MATCH($E444,Establishment!$A$2:$A$1005,0))</f>
        <v xml:space="preserve"> </v>
      </c>
      <c r="G444" t="str">
        <f>INDEX(Establishment!C$2:C$1005,MATCH($E444,Establishment!$A$2:$A$1005,0))</f>
        <v xml:space="preserve"> </v>
      </c>
      <c r="M444">
        <f t="shared" si="36"/>
        <v>0</v>
      </c>
      <c r="N444">
        <f t="shared" si="34"/>
        <v>0</v>
      </c>
      <c r="P444" t="e">
        <f>INDEX(Items!B$2:B$1032,MATCH($O444,Items!$A$2:$A$1032,0))</f>
        <v>#N/A</v>
      </c>
      <c r="Q444" t="e">
        <f>INDEX(Items!C$2:C$1032,MATCH($O444,Items!$A$2:$A$1032,0))</f>
        <v>#N/A</v>
      </c>
      <c r="R444" t="e">
        <f>INDEX(Items!D$2:D$1032,MATCH($O444,Items!$A$2:$A$1032,0))</f>
        <v>#N/A</v>
      </c>
    </row>
    <row r="445" spans="1:18" x14ac:dyDescent="0.25">
      <c r="A445">
        <f t="shared" si="32"/>
        <v>1</v>
      </c>
      <c r="B445" t="str">
        <f t="shared" si="33"/>
        <v/>
      </c>
      <c r="C445">
        <f t="shared" si="35"/>
        <v>1</v>
      </c>
      <c r="D445" s="4"/>
      <c r="E445" t="s">
        <v>18</v>
      </c>
      <c r="F445" t="str">
        <f>INDEX(Establishment!B$2:B$1005,MATCH($E445,Establishment!$A$2:$A$1005,0))</f>
        <v xml:space="preserve"> </v>
      </c>
      <c r="G445" t="str">
        <f>INDEX(Establishment!C$2:C$1005,MATCH($E445,Establishment!$A$2:$A$1005,0))</f>
        <v xml:space="preserve"> </v>
      </c>
      <c r="M445">
        <f t="shared" si="36"/>
        <v>0</v>
      </c>
      <c r="N445">
        <f t="shared" si="34"/>
        <v>0</v>
      </c>
      <c r="P445" t="e">
        <f>INDEX(Items!B$2:B$1032,MATCH($O445,Items!$A$2:$A$1032,0))</f>
        <v>#N/A</v>
      </c>
      <c r="Q445" t="e">
        <f>INDEX(Items!C$2:C$1032,MATCH($O445,Items!$A$2:$A$1032,0))</f>
        <v>#N/A</v>
      </c>
      <c r="R445" t="e">
        <f>INDEX(Items!D$2:D$1032,MATCH($O445,Items!$A$2:$A$1032,0))</f>
        <v>#N/A</v>
      </c>
    </row>
    <row r="446" spans="1:18" x14ac:dyDescent="0.25">
      <c r="A446">
        <f t="shared" si="32"/>
        <v>1</v>
      </c>
      <c r="B446" t="str">
        <f t="shared" si="33"/>
        <v/>
      </c>
      <c r="C446">
        <f t="shared" si="35"/>
        <v>1</v>
      </c>
      <c r="D446" s="4"/>
      <c r="E446" t="s">
        <v>18</v>
      </c>
      <c r="F446" t="str">
        <f>INDEX(Establishment!B$2:B$1005,MATCH($E446,Establishment!$A$2:$A$1005,0))</f>
        <v xml:space="preserve"> </v>
      </c>
      <c r="G446" t="str">
        <f>INDEX(Establishment!C$2:C$1005,MATCH($E446,Establishment!$A$2:$A$1005,0))</f>
        <v xml:space="preserve"> </v>
      </c>
      <c r="M446">
        <f t="shared" si="36"/>
        <v>0</v>
      </c>
      <c r="N446">
        <f t="shared" si="34"/>
        <v>0</v>
      </c>
      <c r="P446" t="e">
        <f>INDEX(Items!B$2:B$1032,MATCH($O446,Items!$A$2:$A$1032,0))</f>
        <v>#N/A</v>
      </c>
      <c r="Q446" t="e">
        <f>INDEX(Items!C$2:C$1032,MATCH($O446,Items!$A$2:$A$1032,0))</f>
        <v>#N/A</v>
      </c>
      <c r="R446" t="e">
        <f>INDEX(Items!D$2:D$1032,MATCH($O446,Items!$A$2:$A$1032,0))</f>
        <v>#N/A</v>
      </c>
    </row>
    <row r="447" spans="1:18" x14ac:dyDescent="0.25">
      <c r="A447">
        <f t="shared" si="32"/>
        <v>1</v>
      </c>
      <c r="B447" t="str">
        <f t="shared" si="33"/>
        <v/>
      </c>
      <c r="C447">
        <f t="shared" si="35"/>
        <v>1</v>
      </c>
      <c r="D447" s="4"/>
      <c r="E447" t="s">
        <v>18</v>
      </c>
      <c r="F447" t="str">
        <f>INDEX(Establishment!B$2:B$1005,MATCH($E447,Establishment!$A$2:$A$1005,0))</f>
        <v xml:space="preserve"> </v>
      </c>
      <c r="G447" t="str">
        <f>INDEX(Establishment!C$2:C$1005,MATCH($E447,Establishment!$A$2:$A$1005,0))</f>
        <v xml:space="preserve"> </v>
      </c>
      <c r="M447">
        <f t="shared" si="36"/>
        <v>0</v>
      </c>
      <c r="N447">
        <f t="shared" si="34"/>
        <v>0</v>
      </c>
      <c r="P447" t="e">
        <f>INDEX(Items!B$2:B$1032,MATCH($O447,Items!$A$2:$A$1032,0))</f>
        <v>#N/A</v>
      </c>
      <c r="Q447" t="e">
        <f>INDEX(Items!C$2:C$1032,MATCH($O447,Items!$A$2:$A$1032,0))</f>
        <v>#N/A</v>
      </c>
      <c r="R447" t="e">
        <f>INDEX(Items!D$2:D$1032,MATCH($O447,Items!$A$2:$A$1032,0))</f>
        <v>#N/A</v>
      </c>
    </row>
    <row r="448" spans="1:18" x14ac:dyDescent="0.25">
      <c r="A448">
        <f t="shared" si="32"/>
        <v>1</v>
      </c>
      <c r="B448" t="str">
        <f t="shared" si="33"/>
        <v/>
      </c>
      <c r="C448">
        <f t="shared" si="35"/>
        <v>1</v>
      </c>
      <c r="D448" s="4"/>
      <c r="E448" t="s">
        <v>18</v>
      </c>
      <c r="F448" t="str">
        <f>INDEX(Establishment!B$2:B$1005,MATCH($E448,Establishment!$A$2:$A$1005,0))</f>
        <v xml:space="preserve"> </v>
      </c>
      <c r="G448" t="str">
        <f>INDEX(Establishment!C$2:C$1005,MATCH($E448,Establishment!$A$2:$A$1005,0))</f>
        <v xml:space="preserve"> </v>
      </c>
      <c r="M448">
        <f t="shared" si="36"/>
        <v>0</v>
      </c>
      <c r="N448">
        <f t="shared" si="34"/>
        <v>0</v>
      </c>
      <c r="P448" t="e">
        <f>INDEX(Items!B$2:B$1032,MATCH($O448,Items!$A$2:$A$1032,0))</f>
        <v>#N/A</v>
      </c>
      <c r="Q448" t="e">
        <f>INDEX(Items!C$2:C$1032,MATCH($O448,Items!$A$2:$A$1032,0))</f>
        <v>#N/A</v>
      </c>
      <c r="R448" t="e">
        <f>INDEX(Items!D$2:D$1032,MATCH($O448,Items!$A$2:$A$1032,0))</f>
        <v>#N/A</v>
      </c>
    </row>
    <row r="449" spans="1:18" x14ac:dyDescent="0.25">
      <c r="A449">
        <f t="shared" si="32"/>
        <v>1</v>
      </c>
      <c r="B449" t="str">
        <f t="shared" si="33"/>
        <v/>
      </c>
      <c r="C449">
        <f t="shared" si="35"/>
        <v>1</v>
      </c>
      <c r="D449" s="4"/>
      <c r="E449" t="s">
        <v>18</v>
      </c>
      <c r="F449" t="str">
        <f>INDEX(Establishment!B$2:B$1005,MATCH($E449,Establishment!$A$2:$A$1005,0))</f>
        <v xml:space="preserve"> </v>
      </c>
      <c r="G449" t="str">
        <f>INDEX(Establishment!C$2:C$1005,MATCH($E449,Establishment!$A$2:$A$1005,0))</f>
        <v xml:space="preserve"> </v>
      </c>
      <c r="M449">
        <f t="shared" si="36"/>
        <v>0</v>
      </c>
      <c r="N449">
        <f t="shared" si="34"/>
        <v>0</v>
      </c>
      <c r="P449" t="e">
        <f>INDEX(Items!B$2:B$1032,MATCH($O449,Items!$A$2:$A$1032,0))</f>
        <v>#N/A</v>
      </c>
      <c r="Q449" t="e">
        <f>INDEX(Items!C$2:C$1032,MATCH($O449,Items!$A$2:$A$1032,0))</f>
        <v>#N/A</v>
      </c>
      <c r="R449" t="e">
        <f>INDEX(Items!D$2:D$1032,MATCH($O449,Items!$A$2:$A$1032,0))</f>
        <v>#N/A</v>
      </c>
    </row>
    <row r="450" spans="1:18" x14ac:dyDescent="0.25">
      <c r="A450">
        <f t="shared" ref="A450:A499" si="37">IF(OR(D450&lt;&gt;D449,D450=""),1,IF(NOT(AND(E450=E449,F450=F449,G450=G449)),A449+1,IF(OR(H450="",AND(H450&lt;&gt;"",H450&lt;&gt;H449,H449&lt;&gt;"")),A449,A449+1)))</f>
        <v>1</v>
      </c>
      <c r="B450" t="str">
        <f t="shared" ref="B450:B499" si="38">IF(D450&lt;&gt;"",TEXT(D450,"YYYYMMDD")&amp;CHAR(64+A450),"")</f>
        <v/>
      </c>
      <c r="C450">
        <f t="shared" si="35"/>
        <v>1</v>
      </c>
      <c r="D450" s="4"/>
      <c r="E450" t="s">
        <v>18</v>
      </c>
      <c r="F450" t="str">
        <f>INDEX(Establishment!B$2:B$1005,MATCH($E450,Establishment!$A$2:$A$1005,0))</f>
        <v xml:space="preserve"> </v>
      </c>
      <c r="G450" t="str">
        <f>INDEX(Establishment!C$2:C$1005,MATCH($E450,Establishment!$A$2:$A$1005,0))</f>
        <v xml:space="preserve"> </v>
      </c>
      <c r="M450">
        <f t="shared" si="36"/>
        <v>0</v>
      </c>
      <c r="N450">
        <f t="shared" si="34"/>
        <v>0</v>
      </c>
      <c r="P450" t="e">
        <f>INDEX(Items!B$2:B$1032,MATCH($O450,Items!$A$2:$A$1032,0))</f>
        <v>#N/A</v>
      </c>
      <c r="Q450" t="e">
        <f>INDEX(Items!C$2:C$1032,MATCH($O450,Items!$A$2:$A$1032,0))</f>
        <v>#N/A</v>
      </c>
      <c r="R450" t="e">
        <f>INDEX(Items!D$2:D$1032,MATCH($O450,Items!$A$2:$A$1032,0))</f>
        <v>#N/A</v>
      </c>
    </row>
    <row r="451" spans="1:18" x14ac:dyDescent="0.25">
      <c r="A451">
        <f t="shared" si="37"/>
        <v>1</v>
      </c>
      <c r="B451" t="str">
        <f t="shared" si="38"/>
        <v/>
      </c>
      <c r="C451">
        <f t="shared" si="35"/>
        <v>1</v>
      </c>
      <c r="D451" s="4"/>
      <c r="E451" t="s">
        <v>18</v>
      </c>
      <c r="F451" t="str">
        <f>INDEX(Establishment!B$2:B$1005,MATCH($E451,Establishment!$A$2:$A$1005,0))</f>
        <v xml:space="preserve"> </v>
      </c>
      <c r="G451" t="str">
        <f>INDEX(Establishment!C$2:C$1005,MATCH($E451,Establishment!$A$2:$A$1005,0))</f>
        <v xml:space="preserve"> </v>
      </c>
      <c r="M451">
        <f t="shared" si="36"/>
        <v>0</v>
      </c>
      <c r="N451">
        <f t="shared" ref="N451:N499" si="39">IF(B451=B450,N450+M451,M451)</f>
        <v>0</v>
      </c>
      <c r="P451" t="e">
        <f>INDEX(Items!B$2:B$1032,MATCH($O451,Items!$A$2:$A$1032,0))</f>
        <v>#N/A</v>
      </c>
      <c r="Q451" t="e">
        <f>INDEX(Items!C$2:C$1032,MATCH($O451,Items!$A$2:$A$1032,0))</f>
        <v>#N/A</v>
      </c>
      <c r="R451" t="e">
        <f>INDEX(Items!D$2:D$1032,MATCH($O451,Items!$A$2:$A$1032,0))</f>
        <v>#N/A</v>
      </c>
    </row>
    <row r="452" spans="1:18" x14ac:dyDescent="0.25">
      <c r="A452">
        <f t="shared" si="37"/>
        <v>1</v>
      </c>
      <c r="B452" t="str">
        <f t="shared" si="38"/>
        <v/>
      </c>
      <c r="C452">
        <f t="shared" si="35"/>
        <v>1</v>
      </c>
      <c r="D452" s="4"/>
      <c r="E452" t="s">
        <v>18</v>
      </c>
      <c r="F452" t="str">
        <f>INDEX(Establishment!B$2:B$1005,MATCH($E452,Establishment!$A$2:$A$1005,0))</f>
        <v xml:space="preserve"> </v>
      </c>
      <c r="G452" t="str">
        <f>INDEX(Establishment!C$2:C$1005,MATCH($E452,Establishment!$A$2:$A$1005,0))</f>
        <v xml:space="preserve"> </v>
      </c>
      <c r="M452">
        <f t="shared" si="36"/>
        <v>0</v>
      </c>
      <c r="N452">
        <f t="shared" si="39"/>
        <v>0</v>
      </c>
      <c r="P452" t="e">
        <f>INDEX(Items!B$2:B$1032,MATCH($O452,Items!$A$2:$A$1032,0))</f>
        <v>#N/A</v>
      </c>
      <c r="Q452" t="e">
        <f>INDEX(Items!C$2:C$1032,MATCH($O452,Items!$A$2:$A$1032,0))</f>
        <v>#N/A</v>
      </c>
      <c r="R452" t="e">
        <f>INDEX(Items!D$2:D$1032,MATCH($O452,Items!$A$2:$A$1032,0))</f>
        <v>#N/A</v>
      </c>
    </row>
    <row r="453" spans="1:18" x14ac:dyDescent="0.25">
      <c r="A453">
        <f t="shared" si="37"/>
        <v>1</v>
      </c>
      <c r="B453" t="str">
        <f t="shared" si="38"/>
        <v/>
      </c>
      <c r="C453">
        <f t="shared" si="35"/>
        <v>1</v>
      </c>
      <c r="D453" s="4"/>
      <c r="E453" t="s">
        <v>18</v>
      </c>
      <c r="F453" t="str">
        <f>INDEX(Establishment!B$2:B$1005,MATCH($E453,Establishment!$A$2:$A$1005,0))</f>
        <v xml:space="preserve"> </v>
      </c>
      <c r="G453" t="str">
        <f>INDEX(Establishment!C$2:C$1005,MATCH($E453,Establishment!$A$2:$A$1005,0))</f>
        <v xml:space="preserve"> </v>
      </c>
      <c r="M453">
        <f t="shared" si="36"/>
        <v>0</v>
      </c>
      <c r="N453">
        <f t="shared" si="39"/>
        <v>0</v>
      </c>
      <c r="P453" t="e">
        <f>INDEX(Items!B$2:B$1032,MATCH($O453,Items!$A$2:$A$1032,0))</f>
        <v>#N/A</v>
      </c>
      <c r="Q453" t="e">
        <f>INDEX(Items!C$2:C$1032,MATCH($O453,Items!$A$2:$A$1032,0))</f>
        <v>#N/A</v>
      </c>
      <c r="R453" t="e">
        <f>INDEX(Items!D$2:D$1032,MATCH($O453,Items!$A$2:$A$1032,0))</f>
        <v>#N/A</v>
      </c>
    </row>
    <row r="454" spans="1:18" x14ac:dyDescent="0.25">
      <c r="A454">
        <f t="shared" si="37"/>
        <v>1</v>
      </c>
      <c r="B454" t="str">
        <f t="shared" si="38"/>
        <v/>
      </c>
      <c r="C454">
        <f t="shared" si="35"/>
        <v>1</v>
      </c>
      <c r="D454" s="4"/>
      <c r="E454" t="s">
        <v>18</v>
      </c>
      <c r="F454" t="str">
        <f>INDEX(Establishment!B$2:B$1005,MATCH($E454,Establishment!$A$2:$A$1005,0))</f>
        <v xml:space="preserve"> </v>
      </c>
      <c r="G454" t="str">
        <f>INDEX(Establishment!C$2:C$1005,MATCH($E454,Establishment!$A$2:$A$1005,0))</f>
        <v xml:space="preserve"> </v>
      </c>
      <c r="M454">
        <f t="shared" si="36"/>
        <v>0</v>
      </c>
      <c r="N454">
        <f t="shared" si="39"/>
        <v>0</v>
      </c>
      <c r="P454" t="e">
        <f>INDEX(Items!B$2:B$1032,MATCH($O454,Items!$A$2:$A$1032,0))</f>
        <v>#N/A</v>
      </c>
      <c r="Q454" t="e">
        <f>INDEX(Items!C$2:C$1032,MATCH($O454,Items!$A$2:$A$1032,0))</f>
        <v>#N/A</v>
      </c>
      <c r="R454" t="e">
        <f>INDEX(Items!D$2:D$1032,MATCH($O454,Items!$A$2:$A$1032,0))</f>
        <v>#N/A</v>
      </c>
    </row>
    <row r="455" spans="1:18" x14ac:dyDescent="0.25">
      <c r="A455">
        <f t="shared" si="37"/>
        <v>1</v>
      </c>
      <c r="B455" t="str">
        <f t="shared" si="38"/>
        <v/>
      </c>
      <c r="C455">
        <f t="shared" si="35"/>
        <v>1</v>
      </c>
      <c r="D455" s="4"/>
      <c r="E455" t="s">
        <v>18</v>
      </c>
      <c r="F455" t="str">
        <f>INDEX(Establishment!B$2:B$1005,MATCH($E455,Establishment!$A$2:$A$1005,0))</f>
        <v xml:space="preserve"> </v>
      </c>
      <c r="G455" t="str">
        <f>INDEX(Establishment!C$2:C$1005,MATCH($E455,Establishment!$A$2:$A$1005,0))</f>
        <v xml:space="preserve"> </v>
      </c>
      <c r="M455">
        <f t="shared" si="36"/>
        <v>0</v>
      </c>
      <c r="N455">
        <f t="shared" si="39"/>
        <v>0</v>
      </c>
      <c r="P455" t="e">
        <f>INDEX(Items!B$2:B$1032,MATCH($O455,Items!$A$2:$A$1032,0))</f>
        <v>#N/A</v>
      </c>
      <c r="Q455" t="e">
        <f>INDEX(Items!C$2:C$1032,MATCH($O455,Items!$A$2:$A$1032,0))</f>
        <v>#N/A</v>
      </c>
      <c r="R455" t="e">
        <f>INDEX(Items!D$2:D$1032,MATCH($O455,Items!$A$2:$A$1032,0))</f>
        <v>#N/A</v>
      </c>
    </row>
    <row r="456" spans="1:18" x14ac:dyDescent="0.25">
      <c r="A456">
        <f t="shared" si="37"/>
        <v>1</v>
      </c>
      <c r="B456" t="str">
        <f t="shared" si="38"/>
        <v/>
      </c>
      <c r="C456">
        <f t="shared" si="35"/>
        <v>1</v>
      </c>
      <c r="D456" s="4"/>
      <c r="E456" t="s">
        <v>18</v>
      </c>
      <c r="F456" t="str">
        <f>INDEX(Establishment!B$2:B$1005,MATCH($E456,Establishment!$A$2:$A$1005,0))</f>
        <v xml:space="preserve"> </v>
      </c>
      <c r="G456" t="str">
        <f>INDEX(Establishment!C$2:C$1005,MATCH($E456,Establishment!$A$2:$A$1005,0))</f>
        <v xml:space="preserve"> </v>
      </c>
      <c r="M456">
        <f t="shared" si="36"/>
        <v>0</v>
      </c>
      <c r="N456">
        <f t="shared" si="39"/>
        <v>0</v>
      </c>
      <c r="P456" t="e">
        <f>INDEX(Items!B$2:B$1032,MATCH($O456,Items!$A$2:$A$1032,0))</f>
        <v>#N/A</v>
      </c>
      <c r="Q456" t="e">
        <f>INDEX(Items!C$2:C$1032,MATCH($O456,Items!$A$2:$A$1032,0))</f>
        <v>#N/A</v>
      </c>
      <c r="R456" t="e">
        <f>INDEX(Items!D$2:D$1032,MATCH($O456,Items!$A$2:$A$1032,0))</f>
        <v>#N/A</v>
      </c>
    </row>
    <row r="457" spans="1:18" x14ac:dyDescent="0.25">
      <c r="A457">
        <f t="shared" si="37"/>
        <v>1</v>
      </c>
      <c r="B457" t="str">
        <f t="shared" si="38"/>
        <v/>
      </c>
      <c r="C457">
        <f t="shared" si="35"/>
        <v>1</v>
      </c>
      <c r="D457" s="4"/>
      <c r="E457" t="s">
        <v>18</v>
      </c>
      <c r="F457" t="str">
        <f>INDEX(Establishment!B$2:B$1005,MATCH($E457,Establishment!$A$2:$A$1005,0))</f>
        <v xml:space="preserve"> </v>
      </c>
      <c r="G457" t="str">
        <f>INDEX(Establishment!C$2:C$1005,MATCH($E457,Establishment!$A$2:$A$1005,0))</f>
        <v xml:space="preserve"> </v>
      </c>
      <c r="M457">
        <f t="shared" si="36"/>
        <v>0</v>
      </c>
      <c r="N457">
        <f t="shared" si="39"/>
        <v>0</v>
      </c>
      <c r="P457" t="e">
        <f>INDEX(Items!B$2:B$1032,MATCH($O457,Items!$A$2:$A$1032,0))</f>
        <v>#N/A</v>
      </c>
      <c r="Q457" t="e">
        <f>INDEX(Items!C$2:C$1032,MATCH($O457,Items!$A$2:$A$1032,0))</f>
        <v>#N/A</v>
      </c>
      <c r="R457" t="e">
        <f>INDEX(Items!D$2:D$1032,MATCH($O457,Items!$A$2:$A$1032,0))</f>
        <v>#N/A</v>
      </c>
    </row>
    <row r="458" spans="1:18" x14ac:dyDescent="0.25">
      <c r="A458">
        <f t="shared" si="37"/>
        <v>1</v>
      </c>
      <c r="B458" t="str">
        <f t="shared" si="38"/>
        <v/>
      </c>
      <c r="C458">
        <f t="shared" ref="C458:C499" si="40">IF(OR(B458="",B458&lt;&gt;B457),1,C457+1)</f>
        <v>1</v>
      </c>
      <c r="D458" s="4"/>
      <c r="E458" t="s">
        <v>18</v>
      </c>
      <c r="F458" t="str">
        <f>INDEX(Establishment!B$2:B$1005,MATCH($E458,Establishment!$A$2:$A$1005,0))</f>
        <v xml:space="preserve"> </v>
      </c>
      <c r="G458" t="str">
        <f>INDEX(Establishment!C$2:C$1005,MATCH($E458,Establishment!$A$2:$A$1005,0))</f>
        <v xml:space="preserve"> </v>
      </c>
      <c r="M458">
        <f t="shared" ref="M458:M499" si="41">K458*L458</f>
        <v>0</v>
      </c>
      <c r="N458">
        <f t="shared" si="39"/>
        <v>0</v>
      </c>
      <c r="P458" t="e">
        <f>INDEX(Items!B$2:B$1032,MATCH($O458,Items!$A$2:$A$1032,0))</f>
        <v>#N/A</v>
      </c>
      <c r="Q458" t="e">
        <f>INDEX(Items!C$2:C$1032,MATCH($O458,Items!$A$2:$A$1032,0))</f>
        <v>#N/A</v>
      </c>
      <c r="R458" t="e">
        <f>INDEX(Items!D$2:D$1032,MATCH($O458,Items!$A$2:$A$1032,0))</f>
        <v>#N/A</v>
      </c>
    </row>
    <row r="459" spans="1:18" x14ac:dyDescent="0.25">
      <c r="A459">
        <f t="shared" si="37"/>
        <v>1</v>
      </c>
      <c r="B459" t="str">
        <f t="shared" si="38"/>
        <v/>
      </c>
      <c r="C459">
        <f t="shared" si="40"/>
        <v>1</v>
      </c>
      <c r="D459" s="4"/>
      <c r="E459" t="s">
        <v>18</v>
      </c>
      <c r="F459" t="str">
        <f>INDEX(Establishment!B$2:B$1005,MATCH($E459,Establishment!$A$2:$A$1005,0))</f>
        <v xml:space="preserve"> </v>
      </c>
      <c r="G459" t="str">
        <f>INDEX(Establishment!C$2:C$1005,MATCH($E459,Establishment!$A$2:$A$1005,0))</f>
        <v xml:space="preserve"> </v>
      </c>
      <c r="M459">
        <f t="shared" si="41"/>
        <v>0</v>
      </c>
      <c r="N459">
        <f t="shared" si="39"/>
        <v>0</v>
      </c>
      <c r="P459" t="e">
        <f>INDEX(Items!B$2:B$1032,MATCH($O459,Items!$A$2:$A$1032,0))</f>
        <v>#N/A</v>
      </c>
      <c r="Q459" t="e">
        <f>INDEX(Items!C$2:C$1032,MATCH($O459,Items!$A$2:$A$1032,0))</f>
        <v>#N/A</v>
      </c>
      <c r="R459" t="e">
        <f>INDEX(Items!D$2:D$1032,MATCH($O459,Items!$A$2:$A$1032,0))</f>
        <v>#N/A</v>
      </c>
    </row>
    <row r="460" spans="1:18" x14ac:dyDescent="0.25">
      <c r="A460">
        <f t="shared" si="37"/>
        <v>1</v>
      </c>
      <c r="B460" t="str">
        <f t="shared" si="38"/>
        <v/>
      </c>
      <c r="C460">
        <f t="shared" si="40"/>
        <v>1</v>
      </c>
      <c r="D460" s="4"/>
      <c r="E460" t="s">
        <v>18</v>
      </c>
      <c r="F460" t="str">
        <f>INDEX(Establishment!B$2:B$1005,MATCH($E460,Establishment!$A$2:$A$1005,0))</f>
        <v xml:space="preserve"> </v>
      </c>
      <c r="G460" t="str">
        <f>INDEX(Establishment!C$2:C$1005,MATCH($E460,Establishment!$A$2:$A$1005,0))</f>
        <v xml:space="preserve"> </v>
      </c>
      <c r="M460">
        <f t="shared" si="41"/>
        <v>0</v>
      </c>
      <c r="N460">
        <f t="shared" si="39"/>
        <v>0</v>
      </c>
      <c r="P460" t="e">
        <f>INDEX(Items!B$2:B$1032,MATCH($O460,Items!$A$2:$A$1032,0))</f>
        <v>#N/A</v>
      </c>
      <c r="Q460" t="e">
        <f>INDEX(Items!C$2:C$1032,MATCH($O460,Items!$A$2:$A$1032,0))</f>
        <v>#N/A</v>
      </c>
      <c r="R460" t="e">
        <f>INDEX(Items!D$2:D$1032,MATCH($O460,Items!$A$2:$A$1032,0))</f>
        <v>#N/A</v>
      </c>
    </row>
    <row r="461" spans="1:18" x14ac:dyDescent="0.25">
      <c r="A461">
        <f t="shared" si="37"/>
        <v>1</v>
      </c>
      <c r="B461" t="str">
        <f t="shared" si="38"/>
        <v/>
      </c>
      <c r="C461">
        <f t="shared" si="40"/>
        <v>1</v>
      </c>
      <c r="D461" s="4"/>
      <c r="E461" t="s">
        <v>18</v>
      </c>
      <c r="F461" t="str">
        <f>INDEX(Establishment!B$2:B$1005,MATCH($E461,Establishment!$A$2:$A$1005,0))</f>
        <v xml:space="preserve"> </v>
      </c>
      <c r="G461" t="str">
        <f>INDEX(Establishment!C$2:C$1005,MATCH($E461,Establishment!$A$2:$A$1005,0))</f>
        <v xml:space="preserve"> </v>
      </c>
      <c r="M461">
        <f t="shared" si="41"/>
        <v>0</v>
      </c>
      <c r="N461">
        <f t="shared" si="39"/>
        <v>0</v>
      </c>
      <c r="P461" t="e">
        <f>INDEX(Items!B$2:B$1032,MATCH($O461,Items!$A$2:$A$1032,0))</f>
        <v>#N/A</v>
      </c>
      <c r="Q461" t="e">
        <f>INDEX(Items!C$2:C$1032,MATCH($O461,Items!$A$2:$A$1032,0))</f>
        <v>#N/A</v>
      </c>
      <c r="R461" t="e">
        <f>INDEX(Items!D$2:D$1032,MATCH($O461,Items!$A$2:$A$1032,0))</f>
        <v>#N/A</v>
      </c>
    </row>
    <row r="462" spans="1:18" x14ac:dyDescent="0.25">
      <c r="A462">
        <f t="shared" si="37"/>
        <v>1</v>
      </c>
      <c r="B462" t="str">
        <f t="shared" si="38"/>
        <v/>
      </c>
      <c r="C462">
        <f t="shared" si="40"/>
        <v>1</v>
      </c>
      <c r="D462" s="4"/>
      <c r="E462" t="s">
        <v>18</v>
      </c>
      <c r="F462" t="str">
        <f>INDEX(Establishment!B$2:B$1005,MATCH($E462,Establishment!$A$2:$A$1005,0))</f>
        <v xml:space="preserve"> </v>
      </c>
      <c r="G462" t="str">
        <f>INDEX(Establishment!C$2:C$1005,MATCH($E462,Establishment!$A$2:$A$1005,0))</f>
        <v xml:space="preserve"> </v>
      </c>
      <c r="M462">
        <f t="shared" si="41"/>
        <v>0</v>
      </c>
      <c r="N462">
        <f t="shared" si="39"/>
        <v>0</v>
      </c>
      <c r="P462" t="e">
        <f>INDEX(Items!B$2:B$1032,MATCH($O462,Items!$A$2:$A$1032,0))</f>
        <v>#N/A</v>
      </c>
      <c r="Q462" t="e">
        <f>INDEX(Items!C$2:C$1032,MATCH($O462,Items!$A$2:$A$1032,0))</f>
        <v>#N/A</v>
      </c>
      <c r="R462" t="e">
        <f>INDEX(Items!D$2:D$1032,MATCH($O462,Items!$A$2:$A$1032,0))</f>
        <v>#N/A</v>
      </c>
    </row>
    <row r="463" spans="1:18" x14ac:dyDescent="0.25">
      <c r="A463">
        <f t="shared" si="37"/>
        <v>1</v>
      </c>
      <c r="B463" t="str">
        <f t="shared" si="38"/>
        <v/>
      </c>
      <c r="C463">
        <f t="shared" si="40"/>
        <v>1</v>
      </c>
      <c r="D463" s="4"/>
      <c r="E463" t="s">
        <v>18</v>
      </c>
      <c r="F463" t="str">
        <f>INDEX(Establishment!B$2:B$1005,MATCH($E463,Establishment!$A$2:$A$1005,0))</f>
        <v xml:space="preserve"> </v>
      </c>
      <c r="G463" t="str">
        <f>INDEX(Establishment!C$2:C$1005,MATCH($E463,Establishment!$A$2:$A$1005,0))</f>
        <v xml:space="preserve"> </v>
      </c>
      <c r="M463">
        <f t="shared" si="41"/>
        <v>0</v>
      </c>
      <c r="N463">
        <f t="shared" si="39"/>
        <v>0</v>
      </c>
      <c r="P463" t="e">
        <f>INDEX(Items!B$2:B$1032,MATCH($O463,Items!$A$2:$A$1032,0))</f>
        <v>#N/A</v>
      </c>
      <c r="Q463" t="e">
        <f>INDEX(Items!C$2:C$1032,MATCH($O463,Items!$A$2:$A$1032,0))</f>
        <v>#N/A</v>
      </c>
      <c r="R463" t="e">
        <f>INDEX(Items!D$2:D$1032,MATCH($O463,Items!$A$2:$A$1032,0))</f>
        <v>#N/A</v>
      </c>
    </row>
    <row r="464" spans="1:18" x14ac:dyDescent="0.25">
      <c r="A464">
        <f t="shared" si="37"/>
        <v>1</v>
      </c>
      <c r="B464" t="str">
        <f t="shared" si="38"/>
        <v/>
      </c>
      <c r="C464">
        <f t="shared" si="40"/>
        <v>1</v>
      </c>
      <c r="D464" s="4"/>
      <c r="E464" t="s">
        <v>18</v>
      </c>
      <c r="F464" t="str">
        <f>INDEX(Establishment!B$2:B$1005,MATCH($E464,Establishment!$A$2:$A$1005,0))</f>
        <v xml:space="preserve"> </v>
      </c>
      <c r="G464" t="str">
        <f>INDEX(Establishment!C$2:C$1005,MATCH($E464,Establishment!$A$2:$A$1005,0))</f>
        <v xml:space="preserve"> </v>
      </c>
      <c r="M464">
        <f t="shared" si="41"/>
        <v>0</v>
      </c>
      <c r="N464">
        <f t="shared" si="39"/>
        <v>0</v>
      </c>
      <c r="P464" t="e">
        <f>INDEX(Items!B$2:B$1032,MATCH($O464,Items!$A$2:$A$1032,0))</f>
        <v>#N/A</v>
      </c>
      <c r="Q464" t="e">
        <f>INDEX(Items!C$2:C$1032,MATCH($O464,Items!$A$2:$A$1032,0))</f>
        <v>#N/A</v>
      </c>
      <c r="R464" t="e">
        <f>INDEX(Items!D$2:D$1032,MATCH($O464,Items!$A$2:$A$1032,0))</f>
        <v>#N/A</v>
      </c>
    </row>
    <row r="465" spans="1:18" x14ac:dyDescent="0.25">
      <c r="A465">
        <f t="shared" si="37"/>
        <v>1</v>
      </c>
      <c r="B465" t="str">
        <f t="shared" si="38"/>
        <v/>
      </c>
      <c r="C465">
        <f t="shared" si="40"/>
        <v>1</v>
      </c>
      <c r="D465" s="4"/>
      <c r="E465" t="s">
        <v>18</v>
      </c>
      <c r="F465" t="str">
        <f>INDEX(Establishment!B$2:B$1005,MATCH($E465,Establishment!$A$2:$A$1005,0))</f>
        <v xml:space="preserve"> </v>
      </c>
      <c r="G465" t="str">
        <f>INDEX(Establishment!C$2:C$1005,MATCH($E465,Establishment!$A$2:$A$1005,0))</f>
        <v xml:space="preserve"> </v>
      </c>
      <c r="M465">
        <f t="shared" si="41"/>
        <v>0</v>
      </c>
      <c r="N465">
        <f t="shared" si="39"/>
        <v>0</v>
      </c>
      <c r="P465" t="e">
        <f>INDEX(Items!B$2:B$1032,MATCH($O465,Items!$A$2:$A$1032,0))</f>
        <v>#N/A</v>
      </c>
      <c r="Q465" t="e">
        <f>INDEX(Items!C$2:C$1032,MATCH($O465,Items!$A$2:$A$1032,0))</f>
        <v>#N/A</v>
      </c>
      <c r="R465" t="e">
        <f>INDEX(Items!D$2:D$1032,MATCH($O465,Items!$A$2:$A$1032,0))</f>
        <v>#N/A</v>
      </c>
    </row>
    <row r="466" spans="1:18" x14ac:dyDescent="0.25">
      <c r="A466">
        <f t="shared" si="37"/>
        <v>1</v>
      </c>
      <c r="B466" t="str">
        <f t="shared" si="38"/>
        <v/>
      </c>
      <c r="C466">
        <f t="shared" si="40"/>
        <v>1</v>
      </c>
      <c r="D466" s="4"/>
      <c r="E466" t="s">
        <v>18</v>
      </c>
      <c r="F466" t="str">
        <f>INDEX(Establishment!B$2:B$1005,MATCH($E466,Establishment!$A$2:$A$1005,0))</f>
        <v xml:space="preserve"> </v>
      </c>
      <c r="G466" t="str">
        <f>INDEX(Establishment!C$2:C$1005,MATCH($E466,Establishment!$A$2:$A$1005,0))</f>
        <v xml:space="preserve"> </v>
      </c>
      <c r="M466">
        <f t="shared" si="41"/>
        <v>0</v>
      </c>
      <c r="N466">
        <f t="shared" si="39"/>
        <v>0</v>
      </c>
      <c r="P466" t="e">
        <f>INDEX(Items!B$2:B$1032,MATCH($O466,Items!$A$2:$A$1032,0))</f>
        <v>#N/A</v>
      </c>
      <c r="Q466" t="e">
        <f>INDEX(Items!C$2:C$1032,MATCH($O466,Items!$A$2:$A$1032,0))</f>
        <v>#N/A</v>
      </c>
      <c r="R466" t="e">
        <f>INDEX(Items!D$2:D$1032,MATCH($O466,Items!$A$2:$A$1032,0))</f>
        <v>#N/A</v>
      </c>
    </row>
    <row r="467" spans="1:18" x14ac:dyDescent="0.25">
      <c r="A467">
        <f t="shared" si="37"/>
        <v>1</v>
      </c>
      <c r="B467" t="str">
        <f t="shared" si="38"/>
        <v/>
      </c>
      <c r="C467">
        <f t="shared" si="40"/>
        <v>1</v>
      </c>
      <c r="D467" s="4"/>
      <c r="E467" t="s">
        <v>18</v>
      </c>
      <c r="F467" t="str">
        <f>INDEX(Establishment!B$2:B$1005,MATCH($E467,Establishment!$A$2:$A$1005,0))</f>
        <v xml:space="preserve"> </v>
      </c>
      <c r="G467" t="str">
        <f>INDEX(Establishment!C$2:C$1005,MATCH($E467,Establishment!$A$2:$A$1005,0))</f>
        <v xml:space="preserve"> </v>
      </c>
      <c r="M467">
        <f t="shared" si="41"/>
        <v>0</v>
      </c>
      <c r="N467">
        <f t="shared" si="39"/>
        <v>0</v>
      </c>
      <c r="P467" t="e">
        <f>INDEX(Items!B$2:B$1032,MATCH($O467,Items!$A$2:$A$1032,0))</f>
        <v>#N/A</v>
      </c>
      <c r="Q467" t="e">
        <f>INDEX(Items!C$2:C$1032,MATCH($O467,Items!$A$2:$A$1032,0))</f>
        <v>#N/A</v>
      </c>
      <c r="R467" t="e">
        <f>INDEX(Items!D$2:D$1032,MATCH($O467,Items!$A$2:$A$1032,0))</f>
        <v>#N/A</v>
      </c>
    </row>
    <row r="468" spans="1:18" x14ac:dyDescent="0.25">
      <c r="A468">
        <f t="shared" si="37"/>
        <v>1</v>
      </c>
      <c r="B468" t="str">
        <f t="shared" si="38"/>
        <v/>
      </c>
      <c r="C468">
        <f t="shared" si="40"/>
        <v>1</v>
      </c>
      <c r="D468" s="4"/>
      <c r="E468" t="s">
        <v>18</v>
      </c>
      <c r="F468" t="str">
        <f>INDEX(Establishment!B$2:B$1005,MATCH($E468,Establishment!$A$2:$A$1005,0))</f>
        <v xml:space="preserve"> </v>
      </c>
      <c r="G468" t="str">
        <f>INDEX(Establishment!C$2:C$1005,MATCH($E468,Establishment!$A$2:$A$1005,0))</f>
        <v xml:space="preserve"> </v>
      </c>
      <c r="M468">
        <f t="shared" si="41"/>
        <v>0</v>
      </c>
      <c r="N468">
        <f t="shared" si="39"/>
        <v>0</v>
      </c>
      <c r="P468" t="e">
        <f>INDEX(Items!B$2:B$1032,MATCH($O468,Items!$A$2:$A$1032,0))</f>
        <v>#N/A</v>
      </c>
      <c r="Q468" t="e">
        <f>INDEX(Items!C$2:C$1032,MATCH($O468,Items!$A$2:$A$1032,0))</f>
        <v>#N/A</v>
      </c>
      <c r="R468" t="e">
        <f>INDEX(Items!D$2:D$1032,MATCH($O468,Items!$A$2:$A$1032,0))</f>
        <v>#N/A</v>
      </c>
    </row>
    <row r="469" spans="1:18" x14ac:dyDescent="0.25">
      <c r="A469">
        <f t="shared" si="37"/>
        <v>1</v>
      </c>
      <c r="B469" t="str">
        <f t="shared" si="38"/>
        <v/>
      </c>
      <c r="C469">
        <f t="shared" si="40"/>
        <v>1</v>
      </c>
      <c r="D469" s="4"/>
      <c r="E469" t="s">
        <v>18</v>
      </c>
      <c r="F469" t="str">
        <f>INDEX(Establishment!B$2:B$1005,MATCH($E469,Establishment!$A$2:$A$1005,0))</f>
        <v xml:space="preserve"> </v>
      </c>
      <c r="G469" t="str">
        <f>INDEX(Establishment!C$2:C$1005,MATCH($E469,Establishment!$A$2:$A$1005,0))</f>
        <v xml:space="preserve"> </v>
      </c>
      <c r="M469">
        <f t="shared" si="41"/>
        <v>0</v>
      </c>
      <c r="N469">
        <f t="shared" si="39"/>
        <v>0</v>
      </c>
      <c r="P469" t="e">
        <f>INDEX(Items!B$2:B$1032,MATCH($O469,Items!$A$2:$A$1032,0))</f>
        <v>#N/A</v>
      </c>
      <c r="Q469" t="e">
        <f>INDEX(Items!C$2:C$1032,MATCH($O469,Items!$A$2:$A$1032,0))</f>
        <v>#N/A</v>
      </c>
      <c r="R469" t="e">
        <f>INDEX(Items!D$2:D$1032,MATCH($O469,Items!$A$2:$A$1032,0))</f>
        <v>#N/A</v>
      </c>
    </row>
    <row r="470" spans="1:18" x14ac:dyDescent="0.25">
      <c r="A470">
        <f t="shared" si="37"/>
        <v>1</v>
      </c>
      <c r="B470" t="str">
        <f t="shared" si="38"/>
        <v/>
      </c>
      <c r="C470">
        <f t="shared" si="40"/>
        <v>1</v>
      </c>
      <c r="D470" s="4"/>
      <c r="E470" t="s">
        <v>18</v>
      </c>
      <c r="F470" t="str">
        <f>INDEX(Establishment!B$2:B$1005,MATCH($E470,Establishment!$A$2:$A$1005,0))</f>
        <v xml:space="preserve"> </v>
      </c>
      <c r="G470" t="str">
        <f>INDEX(Establishment!C$2:C$1005,MATCH($E470,Establishment!$A$2:$A$1005,0))</f>
        <v xml:space="preserve"> </v>
      </c>
      <c r="M470">
        <f t="shared" si="41"/>
        <v>0</v>
      </c>
      <c r="N470">
        <f t="shared" si="39"/>
        <v>0</v>
      </c>
      <c r="P470" t="e">
        <f>INDEX(Items!B$2:B$1032,MATCH($O470,Items!$A$2:$A$1032,0))</f>
        <v>#N/A</v>
      </c>
      <c r="Q470" t="e">
        <f>INDEX(Items!C$2:C$1032,MATCH($O470,Items!$A$2:$A$1032,0))</f>
        <v>#N/A</v>
      </c>
      <c r="R470" t="e">
        <f>INDEX(Items!D$2:D$1032,MATCH($O470,Items!$A$2:$A$1032,0))</f>
        <v>#N/A</v>
      </c>
    </row>
    <row r="471" spans="1:18" x14ac:dyDescent="0.25">
      <c r="A471">
        <f t="shared" si="37"/>
        <v>1</v>
      </c>
      <c r="B471" t="str">
        <f t="shared" si="38"/>
        <v/>
      </c>
      <c r="C471">
        <f t="shared" si="40"/>
        <v>1</v>
      </c>
      <c r="D471" s="4"/>
      <c r="E471" t="s">
        <v>18</v>
      </c>
      <c r="F471" t="str">
        <f>INDEX(Establishment!B$2:B$1005,MATCH($E471,Establishment!$A$2:$A$1005,0))</f>
        <v xml:space="preserve"> </v>
      </c>
      <c r="G471" t="str">
        <f>INDEX(Establishment!C$2:C$1005,MATCH($E471,Establishment!$A$2:$A$1005,0))</f>
        <v xml:space="preserve"> </v>
      </c>
      <c r="M471">
        <f t="shared" si="41"/>
        <v>0</v>
      </c>
      <c r="N471">
        <f t="shared" si="39"/>
        <v>0</v>
      </c>
      <c r="P471" t="e">
        <f>INDEX(Items!B$2:B$1032,MATCH($O471,Items!$A$2:$A$1032,0))</f>
        <v>#N/A</v>
      </c>
      <c r="Q471" t="e">
        <f>INDEX(Items!C$2:C$1032,MATCH($O471,Items!$A$2:$A$1032,0))</f>
        <v>#N/A</v>
      </c>
      <c r="R471" t="e">
        <f>INDEX(Items!D$2:D$1032,MATCH($O471,Items!$A$2:$A$1032,0))</f>
        <v>#N/A</v>
      </c>
    </row>
    <row r="472" spans="1:18" x14ac:dyDescent="0.25">
      <c r="A472">
        <f t="shared" si="37"/>
        <v>1</v>
      </c>
      <c r="B472" t="str">
        <f t="shared" si="38"/>
        <v/>
      </c>
      <c r="C472">
        <f t="shared" si="40"/>
        <v>1</v>
      </c>
      <c r="D472" s="4"/>
      <c r="E472" t="s">
        <v>18</v>
      </c>
      <c r="F472" t="str">
        <f>INDEX(Establishment!B$2:B$1005,MATCH($E472,Establishment!$A$2:$A$1005,0))</f>
        <v xml:space="preserve"> </v>
      </c>
      <c r="G472" t="str">
        <f>INDEX(Establishment!C$2:C$1005,MATCH($E472,Establishment!$A$2:$A$1005,0))</f>
        <v xml:space="preserve"> </v>
      </c>
      <c r="M472">
        <f t="shared" si="41"/>
        <v>0</v>
      </c>
      <c r="N472">
        <f t="shared" si="39"/>
        <v>0</v>
      </c>
      <c r="P472" t="e">
        <f>INDEX(Items!B$2:B$1032,MATCH($O472,Items!$A$2:$A$1032,0))</f>
        <v>#N/A</v>
      </c>
      <c r="Q472" t="e">
        <f>INDEX(Items!C$2:C$1032,MATCH($O472,Items!$A$2:$A$1032,0))</f>
        <v>#N/A</v>
      </c>
      <c r="R472" t="e">
        <f>INDEX(Items!D$2:D$1032,MATCH($O472,Items!$A$2:$A$1032,0))</f>
        <v>#N/A</v>
      </c>
    </row>
    <row r="473" spans="1:18" x14ac:dyDescent="0.25">
      <c r="A473">
        <f t="shared" si="37"/>
        <v>1</v>
      </c>
      <c r="B473" t="str">
        <f t="shared" si="38"/>
        <v/>
      </c>
      <c r="C473">
        <f t="shared" si="40"/>
        <v>1</v>
      </c>
      <c r="D473" s="4"/>
      <c r="E473" t="s">
        <v>18</v>
      </c>
      <c r="F473" t="str">
        <f>INDEX(Establishment!B$2:B$1005,MATCH($E473,Establishment!$A$2:$A$1005,0))</f>
        <v xml:space="preserve"> </v>
      </c>
      <c r="G473" t="str">
        <f>INDEX(Establishment!C$2:C$1005,MATCH($E473,Establishment!$A$2:$A$1005,0))</f>
        <v xml:space="preserve"> </v>
      </c>
      <c r="M473">
        <f t="shared" si="41"/>
        <v>0</v>
      </c>
      <c r="N473">
        <f t="shared" si="39"/>
        <v>0</v>
      </c>
      <c r="P473" t="e">
        <f>INDEX(Items!B$2:B$1032,MATCH($O473,Items!$A$2:$A$1032,0))</f>
        <v>#N/A</v>
      </c>
      <c r="Q473" t="e">
        <f>INDEX(Items!C$2:C$1032,MATCH($O473,Items!$A$2:$A$1032,0))</f>
        <v>#N/A</v>
      </c>
      <c r="R473" t="e">
        <f>INDEX(Items!D$2:D$1032,MATCH($O473,Items!$A$2:$A$1032,0))</f>
        <v>#N/A</v>
      </c>
    </row>
    <row r="474" spans="1:18" x14ac:dyDescent="0.25">
      <c r="A474">
        <f t="shared" si="37"/>
        <v>1</v>
      </c>
      <c r="B474" t="str">
        <f t="shared" si="38"/>
        <v/>
      </c>
      <c r="C474">
        <f t="shared" si="40"/>
        <v>1</v>
      </c>
      <c r="D474" s="4"/>
      <c r="E474" t="s">
        <v>18</v>
      </c>
      <c r="F474" t="str">
        <f>INDEX(Establishment!B$2:B$1005,MATCH($E474,Establishment!$A$2:$A$1005,0))</f>
        <v xml:space="preserve"> </v>
      </c>
      <c r="G474" t="str">
        <f>INDEX(Establishment!C$2:C$1005,MATCH($E474,Establishment!$A$2:$A$1005,0))</f>
        <v xml:space="preserve"> </v>
      </c>
      <c r="M474">
        <f t="shared" si="41"/>
        <v>0</v>
      </c>
      <c r="N474">
        <f t="shared" si="39"/>
        <v>0</v>
      </c>
      <c r="P474" t="e">
        <f>INDEX(Items!B$2:B$1032,MATCH($O474,Items!$A$2:$A$1032,0))</f>
        <v>#N/A</v>
      </c>
      <c r="Q474" t="e">
        <f>INDEX(Items!C$2:C$1032,MATCH($O474,Items!$A$2:$A$1032,0))</f>
        <v>#N/A</v>
      </c>
      <c r="R474" t="e">
        <f>INDEX(Items!D$2:D$1032,MATCH($O474,Items!$A$2:$A$1032,0))</f>
        <v>#N/A</v>
      </c>
    </row>
    <row r="475" spans="1:18" x14ac:dyDescent="0.25">
      <c r="A475">
        <f t="shared" si="37"/>
        <v>1</v>
      </c>
      <c r="B475" t="str">
        <f t="shared" si="38"/>
        <v/>
      </c>
      <c r="C475">
        <f t="shared" si="40"/>
        <v>1</v>
      </c>
      <c r="D475" s="4"/>
      <c r="E475" t="s">
        <v>18</v>
      </c>
      <c r="F475" t="str">
        <f>INDEX(Establishment!B$2:B$1005,MATCH($E475,Establishment!$A$2:$A$1005,0))</f>
        <v xml:space="preserve"> </v>
      </c>
      <c r="G475" t="str">
        <f>INDEX(Establishment!C$2:C$1005,MATCH($E475,Establishment!$A$2:$A$1005,0))</f>
        <v xml:space="preserve"> </v>
      </c>
      <c r="M475">
        <f t="shared" si="41"/>
        <v>0</v>
      </c>
      <c r="N475">
        <f t="shared" si="39"/>
        <v>0</v>
      </c>
      <c r="P475" t="e">
        <f>INDEX(Items!B$2:B$1032,MATCH($O475,Items!$A$2:$A$1032,0))</f>
        <v>#N/A</v>
      </c>
      <c r="Q475" t="e">
        <f>INDEX(Items!C$2:C$1032,MATCH($O475,Items!$A$2:$A$1032,0))</f>
        <v>#N/A</v>
      </c>
      <c r="R475" t="e">
        <f>INDEX(Items!D$2:D$1032,MATCH($O475,Items!$A$2:$A$1032,0))</f>
        <v>#N/A</v>
      </c>
    </row>
    <row r="476" spans="1:18" x14ac:dyDescent="0.25">
      <c r="A476">
        <f t="shared" si="37"/>
        <v>1</v>
      </c>
      <c r="B476" t="str">
        <f t="shared" si="38"/>
        <v/>
      </c>
      <c r="C476">
        <f t="shared" si="40"/>
        <v>1</v>
      </c>
      <c r="D476" s="4"/>
      <c r="E476" t="s">
        <v>18</v>
      </c>
      <c r="F476" t="str">
        <f>INDEX(Establishment!B$2:B$1005,MATCH($E476,Establishment!$A$2:$A$1005,0))</f>
        <v xml:space="preserve"> </v>
      </c>
      <c r="G476" t="str">
        <f>INDEX(Establishment!C$2:C$1005,MATCH($E476,Establishment!$A$2:$A$1005,0))</f>
        <v xml:space="preserve"> </v>
      </c>
      <c r="M476">
        <f t="shared" si="41"/>
        <v>0</v>
      </c>
      <c r="N476">
        <f t="shared" si="39"/>
        <v>0</v>
      </c>
      <c r="P476" t="e">
        <f>INDEX(Items!B$2:B$1032,MATCH($O476,Items!$A$2:$A$1032,0))</f>
        <v>#N/A</v>
      </c>
      <c r="Q476" t="e">
        <f>INDEX(Items!C$2:C$1032,MATCH($O476,Items!$A$2:$A$1032,0))</f>
        <v>#N/A</v>
      </c>
      <c r="R476" t="e">
        <f>INDEX(Items!D$2:D$1032,MATCH($O476,Items!$A$2:$A$1032,0))</f>
        <v>#N/A</v>
      </c>
    </row>
    <row r="477" spans="1:18" x14ac:dyDescent="0.25">
      <c r="A477">
        <f t="shared" si="37"/>
        <v>1</v>
      </c>
      <c r="B477" t="str">
        <f t="shared" si="38"/>
        <v/>
      </c>
      <c r="C477">
        <f t="shared" si="40"/>
        <v>1</v>
      </c>
      <c r="D477" s="4"/>
      <c r="E477" t="s">
        <v>18</v>
      </c>
      <c r="F477" t="str">
        <f>INDEX(Establishment!B$2:B$1005,MATCH($E477,Establishment!$A$2:$A$1005,0))</f>
        <v xml:space="preserve"> </v>
      </c>
      <c r="G477" t="str">
        <f>INDEX(Establishment!C$2:C$1005,MATCH($E477,Establishment!$A$2:$A$1005,0))</f>
        <v xml:space="preserve"> </v>
      </c>
      <c r="M477">
        <f t="shared" si="41"/>
        <v>0</v>
      </c>
      <c r="N477">
        <f t="shared" si="39"/>
        <v>0</v>
      </c>
      <c r="P477" t="e">
        <f>INDEX(Items!B$2:B$1032,MATCH($O477,Items!$A$2:$A$1032,0))</f>
        <v>#N/A</v>
      </c>
      <c r="Q477" t="e">
        <f>INDEX(Items!C$2:C$1032,MATCH($O477,Items!$A$2:$A$1032,0))</f>
        <v>#N/A</v>
      </c>
      <c r="R477" t="e">
        <f>INDEX(Items!D$2:D$1032,MATCH($O477,Items!$A$2:$A$1032,0))</f>
        <v>#N/A</v>
      </c>
    </row>
    <row r="478" spans="1:18" x14ac:dyDescent="0.25">
      <c r="A478">
        <f t="shared" si="37"/>
        <v>1</v>
      </c>
      <c r="B478" t="str">
        <f t="shared" si="38"/>
        <v/>
      </c>
      <c r="C478">
        <f t="shared" si="40"/>
        <v>1</v>
      </c>
      <c r="D478" s="4"/>
      <c r="E478" t="s">
        <v>18</v>
      </c>
      <c r="F478" t="str">
        <f>INDEX(Establishment!B$2:B$1005,MATCH($E478,Establishment!$A$2:$A$1005,0))</f>
        <v xml:space="preserve"> </v>
      </c>
      <c r="G478" t="str">
        <f>INDEX(Establishment!C$2:C$1005,MATCH($E478,Establishment!$A$2:$A$1005,0))</f>
        <v xml:space="preserve"> </v>
      </c>
      <c r="M478">
        <f t="shared" si="41"/>
        <v>0</v>
      </c>
      <c r="N478">
        <f t="shared" si="39"/>
        <v>0</v>
      </c>
      <c r="P478" t="e">
        <f>INDEX(Items!B$2:B$1032,MATCH($O478,Items!$A$2:$A$1032,0))</f>
        <v>#N/A</v>
      </c>
      <c r="Q478" t="e">
        <f>INDEX(Items!C$2:C$1032,MATCH($O478,Items!$A$2:$A$1032,0))</f>
        <v>#N/A</v>
      </c>
      <c r="R478" t="e">
        <f>INDEX(Items!D$2:D$1032,MATCH($O478,Items!$A$2:$A$1032,0))</f>
        <v>#N/A</v>
      </c>
    </row>
    <row r="479" spans="1:18" x14ac:dyDescent="0.25">
      <c r="A479">
        <f t="shared" si="37"/>
        <v>1</v>
      </c>
      <c r="B479" t="str">
        <f t="shared" si="38"/>
        <v/>
      </c>
      <c r="C479">
        <f t="shared" si="40"/>
        <v>1</v>
      </c>
      <c r="D479" s="4"/>
      <c r="E479" t="s">
        <v>18</v>
      </c>
      <c r="F479" t="str">
        <f>INDEX(Establishment!B$2:B$1005,MATCH($E479,Establishment!$A$2:$A$1005,0))</f>
        <v xml:space="preserve"> </v>
      </c>
      <c r="G479" t="str">
        <f>INDEX(Establishment!C$2:C$1005,MATCH($E479,Establishment!$A$2:$A$1005,0))</f>
        <v xml:space="preserve"> </v>
      </c>
      <c r="M479">
        <f t="shared" si="41"/>
        <v>0</v>
      </c>
      <c r="N479">
        <f t="shared" si="39"/>
        <v>0</v>
      </c>
      <c r="P479" t="e">
        <f>INDEX(Items!B$2:B$1032,MATCH($O479,Items!$A$2:$A$1032,0))</f>
        <v>#N/A</v>
      </c>
      <c r="Q479" t="e">
        <f>INDEX(Items!C$2:C$1032,MATCH($O479,Items!$A$2:$A$1032,0))</f>
        <v>#N/A</v>
      </c>
      <c r="R479" t="e">
        <f>INDEX(Items!D$2:D$1032,MATCH($O479,Items!$A$2:$A$1032,0))</f>
        <v>#N/A</v>
      </c>
    </row>
    <row r="480" spans="1:18" x14ac:dyDescent="0.25">
      <c r="A480">
        <f t="shared" si="37"/>
        <v>1</v>
      </c>
      <c r="B480" t="str">
        <f t="shared" si="38"/>
        <v/>
      </c>
      <c r="C480">
        <f t="shared" si="40"/>
        <v>1</v>
      </c>
      <c r="D480" s="4"/>
      <c r="E480" t="s">
        <v>18</v>
      </c>
      <c r="F480" t="str">
        <f>INDEX(Establishment!B$2:B$1005,MATCH($E480,Establishment!$A$2:$A$1005,0))</f>
        <v xml:space="preserve"> </v>
      </c>
      <c r="G480" t="str">
        <f>INDEX(Establishment!C$2:C$1005,MATCH($E480,Establishment!$A$2:$A$1005,0))</f>
        <v xml:space="preserve"> </v>
      </c>
      <c r="M480">
        <f t="shared" si="41"/>
        <v>0</v>
      </c>
      <c r="N480">
        <f t="shared" si="39"/>
        <v>0</v>
      </c>
      <c r="P480" t="e">
        <f>INDEX(Items!B$2:B$1032,MATCH($O480,Items!$A$2:$A$1032,0))</f>
        <v>#N/A</v>
      </c>
      <c r="Q480" t="e">
        <f>INDEX(Items!C$2:C$1032,MATCH($O480,Items!$A$2:$A$1032,0))</f>
        <v>#N/A</v>
      </c>
      <c r="R480" t="e">
        <f>INDEX(Items!D$2:D$1032,MATCH($O480,Items!$A$2:$A$1032,0))</f>
        <v>#N/A</v>
      </c>
    </row>
    <row r="481" spans="1:18" x14ac:dyDescent="0.25">
      <c r="A481">
        <f t="shared" si="37"/>
        <v>1</v>
      </c>
      <c r="B481" t="str">
        <f t="shared" si="38"/>
        <v/>
      </c>
      <c r="C481">
        <f t="shared" si="40"/>
        <v>1</v>
      </c>
      <c r="D481" s="4"/>
      <c r="E481" t="s">
        <v>18</v>
      </c>
      <c r="F481" t="str">
        <f>INDEX(Establishment!B$2:B$1005,MATCH($E481,Establishment!$A$2:$A$1005,0))</f>
        <v xml:space="preserve"> </v>
      </c>
      <c r="G481" t="str">
        <f>INDEX(Establishment!C$2:C$1005,MATCH($E481,Establishment!$A$2:$A$1005,0))</f>
        <v xml:space="preserve"> </v>
      </c>
      <c r="M481">
        <f t="shared" si="41"/>
        <v>0</v>
      </c>
      <c r="N481">
        <f t="shared" si="39"/>
        <v>0</v>
      </c>
      <c r="P481" t="e">
        <f>INDEX(Items!B$2:B$1032,MATCH($O481,Items!$A$2:$A$1032,0))</f>
        <v>#N/A</v>
      </c>
      <c r="Q481" t="e">
        <f>INDEX(Items!C$2:C$1032,MATCH($O481,Items!$A$2:$A$1032,0))</f>
        <v>#N/A</v>
      </c>
      <c r="R481" t="e">
        <f>INDEX(Items!D$2:D$1032,MATCH($O481,Items!$A$2:$A$1032,0))</f>
        <v>#N/A</v>
      </c>
    </row>
    <row r="482" spans="1:18" x14ac:dyDescent="0.25">
      <c r="A482">
        <f t="shared" si="37"/>
        <v>1</v>
      </c>
      <c r="B482" t="str">
        <f t="shared" si="38"/>
        <v/>
      </c>
      <c r="C482">
        <f t="shared" si="40"/>
        <v>1</v>
      </c>
      <c r="D482" s="4"/>
      <c r="E482" t="s">
        <v>18</v>
      </c>
      <c r="F482" t="str">
        <f>INDEX(Establishment!B$2:B$1005,MATCH($E482,Establishment!$A$2:$A$1005,0))</f>
        <v xml:space="preserve"> </v>
      </c>
      <c r="G482" t="str">
        <f>INDEX(Establishment!C$2:C$1005,MATCH($E482,Establishment!$A$2:$A$1005,0))</f>
        <v xml:space="preserve"> </v>
      </c>
      <c r="M482">
        <f t="shared" si="41"/>
        <v>0</v>
      </c>
      <c r="N482">
        <f t="shared" si="39"/>
        <v>0</v>
      </c>
      <c r="P482" t="e">
        <f>INDEX(Items!B$2:B$1032,MATCH($O482,Items!$A$2:$A$1032,0))</f>
        <v>#N/A</v>
      </c>
      <c r="Q482" t="e">
        <f>INDEX(Items!C$2:C$1032,MATCH($O482,Items!$A$2:$A$1032,0))</f>
        <v>#N/A</v>
      </c>
      <c r="R482" t="e">
        <f>INDEX(Items!D$2:D$1032,MATCH($O482,Items!$A$2:$A$1032,0))</f>
        <v>#N/A</v>
      </c>
    </row>
    <row r="483" spans="1:18" x14ac:dyDescent="0.25">
      <c r="A483">
        <f t="shared" si="37"/>
        <v>1</v>
      </c>
      <c r="B483" t="str">
        <f t="shared" si="38"/>
        <v/>
      </c>
      <c r="C483">
        <f t="shared" si="40"/>
        <v>1</v>
      </c>
      <c r="D483" s="4"/>
      <c r="E483" t="s">
        <v>18</v>
      </c>
      <c r="F483" t="str">
        <f>INDEX(Establishment!B$2:B$1005,MATCH($E483,Establishment!$A$2:$A$1005,0))</f>
        <v xml:space="preserve"> </v>
      </c>
      <c r="G483" t="str">
        <f>INDEX(Establishment!C$2:C$1005,MATCH($E483,Establishment!$A$2:$A$1005,0))</f>
        <v xml:space="preserve"> </v>
      </c>
      <c r="M483">
        <f t="shared" si="41"/>
        <v>0</v>
      </c>
      <c r="N483">
        <f t="shared" si="39"/>
        <v>0</v>
      </c>
      <c r="P483" t="e">
        <f>INDEX(Items!B$2:B$1032,MATCH($O483,Items!$A$2:$A$1032,0))</f>
        <v>#N/A</v>
      </c>
      <c r="Q483" t="e">
        <f>INDEX(Items!C$2:C$1032,MATCH($O483,Items!$A$2:$A$1032,0))</f>
        <v>#N/A</v>
      </c>
      <c r="R483" t="e">
        <f>INDEX(Items!D$2:D$1032,MATCH($O483,Items!$A$2:$A$1032,0))</f>
        <v>#N/A</v>
      </c>
    </row>
    <row r="484" spans="1:18" x14ac:dyDescent="0.25">
      <c r="A484">
        <f t="shared" si="37"/>
        <v>1</v>
      </c>
      <c r="B484" t="str">
        <f t="shared" si="38"/>
        <v/>
      </c>
      <c r="C484">
        <f t="shared" si="40"/>
        <v>1</v>
      </c>
      <c r="D484" s="4"/>
      <c r="E484" t="s">
        <v>18</v>
      </c>
      <c r="F484" t="str">
        <f>INDEX(Establishment!B$2:B$1005,MATCH($E484,Establishment!$A$2:$A$1005,0))</f>
        <v xml:space="preserve"> </v>
      </c>
      <c r="G484" t="str">
        <f>INDEX(Establishment!C$2:C$1005,MATCH($E484,Establishment!$A$2:$A$1005,0))</f>
        <v xml:space="preserve"> </v>
      </c>
      <c r="M484">
        <f t="shared" si="41"/>
        <v>0</v>
      </c>
      <c r="N484">
        <f t="shared" si="39"/>
        <v>0</v>
      </c>
      <c r="P484" t="e">
        <f>INDEX(Items!B$2:B$1032,MATCH($O484,Items!$A$2:$A$1032,0))</f>
        <v>#N/A</v>
      </c>
      <c r="Q484" t="e">
        <f>INDEX(Items!C$2:C$1032,MATCH($O484,Items!$A$2:$A$1032,0))</f>
        <v>#N/A</v>
      </c>
      <c r="R484" t="e">
        <f>INDEX(Items!D$2:D$1032,MATCH($O484,Items!$A$2:$A$1032,0))</f>
        <v>#N/A</v>
      </c>
    </row>
    <row r="485" spans="1:18" x14ac:dyDescent="0.25">
      <c r="A485">
        <f t="shared" si="37"/>
        <v>1</v>
      </c>
      <c r="B485" t="str">
        <f t="shared" si="38"/>
        <v/>
      </c>
      <c r="C485">
        <f t="shared" si="40"/>
        <v>1</v>
      </c>
      <c r="D485" s="4"/>
      <c r="E485" t="s">
        <v>18</v>
      </c>
      <c r="F485" t="str">
        <f>INDEX(Establishment!B$2:B$1005,MATCH($E485,Establishment!$A$2:$A$1005,0))</f>
        <v xml:space="preserve"> </v>
      </c>
      <c r="G485" t="str">
        <f>INDEX(Establishment!C$2:C$1005,MATCH($E485,Establishment!$A$2:$A$1005,0))</f>
        <v xml:space="preserve"> </v>
      </c>
      <c r="M485">
        <f t="shared" si="41"/>
        <v>0</v>
      </c>
      <c r="N485">
        <f t="shared" si="39"/>
        <v>0</v>
      </c>
      <c r="P485" t="e">
        <f>INDEX(Items!B$2:B$1032,MATCH($O485,Items!$A$2:$A$1032,0))</f>
        <v>#N/A</v>
      </c>
      <c r="Q485" t="e">
        <f>INDEX(Items!C$2:C$1032,MATCH($O485,Items!$A$2:$A$1032,0))</f>
        <v>#N/A</v>
      </c>
      <c r="R485" t="e">
        <f>INDEX(Items!D$2:D$1032,MATCH($O485,Items!$A$2:$A$1032,0))</f>
        <v>#N/A</v>
      </c>
    </row>
    <row r="486" spans="1:18" x14ac:dyDescent="0.25">
      <c r="A486">
        <f t="shared" si="37"/>
        <v>1</v>
      </c>
      <c r="B486" t="str">
        <f t="shared" si="38"/>
        <v/>
      </c>
      <c r="C486">
        <f t="shared" si="40"/>
        <v>1</v>
      </c>
      <c r="D486" s="4"/>
      <c r="E486" t="s">
        <v>18</v>
      </c>
      <c r="F486" t="str">
        <f>INDEX(Establishment!B$2:B$1005,MATCH($E486,Establishment!$A$2:$A$1005,0))</f>
        <v xml:space="preserve"> </v>
      </c>
      <c r="G486" t="str">
        <f>INDEX(Establishment!C$2:C$1005,MATCH($E486,Establishment!$A$2:$A$1005,0))</f>
        <v xml:space="preserve"> </v>
      </c>
      <c r="M486">
        <f t="shared" si="41"/>
        <v>0</v>
      </c>
      <c r="N486">
        <f t="shared" si="39"/>
        <v>0</v>
      </c>
      <c r="P486" t="e">
        <f>INDEX(Items!B$2:B$1032,MATCH($O486,Items!$A$2:$A$1032,0))</f>
        <v>#N/A</v>
      </c>
      <c r="Q486" t="e">
        <f>INDEX(Items!C$2:C$1032,MATCH($O486,Items!$A$2:$A$1032,0))</f>
        <v>#N/A</v>
      </c>
      <c r="R486" t="e">
        <f>INDEX(Items!D$2:D$1032,MATCH($O486,Items!$A$2:$A$1032,0))</f>
        <v>#N/A</v>
      </c>
    </row>
    <row r="487" spans="1:18" x14ac:dyDescent="0.25">
      <c r="A487">
        <f t="shared" si="37"/>
        <v>1</v>
      </c>
      <c r="B487" t="str">
        <f t="shared" si="38"/>
        <v/>
      </c>
      <c r="C487">
        <f t="shared" si="40"/>
        <v>1</v>
      </c>
      <c r="D487" s="4"/>
      <c r="E487" t="s">
        <v>18</v>
      </c>
      <c r="F487" t="str">
        <f>INDEX(Establishment!B$2:B$1005,MATCH($E487,Establishment!$A$2:$A$1005,0))</f>
        <v xml:space="preserve"> </v>
      </c>
      <c r="G487" t="str">
        <f>INDEX(Establishment!C$2:C$1005,MATCH($E487,Establishment!$A$2:$A$1005,0))</f>
        <v xml:space="preserve"> </v>
      </c>
      <c r="M487">
        <f t="shared" si="41"/>
        <v>0</v>
      </c>
      <c r="N487">
        <f t="shared" si="39"/>
        <v>0</v>
      </c>
      <c r="P487" t="e">
        <f>INDEX(Items!B$2:B$1032,MATCH($O487,Items!$A$2:$A$1032,0))</f>
        <v>#N/A</v>
      </c>
      <c r="Q487" t="e">
        <f>INDEX(Items!C$2:C$1032,MATCH($O487,Items!$A$2:$A$1032,0))</f>
        <v>#N/A</v>
      </c>
      <c r="R487" t="e">
        <f>INDEX(Items!D$2:D$1032,MATCH($O487,Items!$A$2:$A$1032,0))</f>
        <v>#N/A</v>
      </c>
    </row>
    <row r="488" spans="1:18" x14ac:dyDescent="0.25">
      <c r="A488">
        <f t="shared" si="37"/>
        <v>1</v>
      </c>
      <c r="B488" t="str">
        <f t="shared" si="38"/>
        <v/>
      </c>
      <c r="C488">
        <f t="shared" si="40"/>
        <v>1</v>
      </c>
      <c r="D488" s="4"/>
      <c r="E488" t="s">
        <v>18</v>
      </c>
      <c r="F488" t="str">
        <f>INDEX(Establishment!B$2:B$1005,MATCH($E488,Establishment!$A$2:$A$1005,0))</f>
        <v xml:space="preserve"> </v>
      </c>
      <c r="G488" t="str">
        <f>INDEX(Establishment!C$2:C$1005,MATCH($E488,Establishment!$A$2:$A$1005,0))</f>
        <v xml:space="preserve"> </v>
      </c>
      <c r="M488">
        <f t="shared" si="41"/>
        <v>0</v>
      </c>
      <c r="N488">
        <f t="shared" si="39"/>
        <v>0</v>
      </c>
      <c r="P488" t="e">
        <f>INDEX(Items!B$2:B$1032,MATCH($O488,Items!$A$2:$A$1032,0))</f>
        <v>#N/A</v>
      </c>
      <c r="Q488" t="e">
        <f>INDEX(Items!C$2:C$1032,MATCH($O488,Items!$A$2:$A$1032,0))</f>
        <v>#N/A</v>
      </c>
      <c r="R488" t="e">
        <f>INDEX(Items!D$2:D$1032,MATCH($O488,Items!$A$2:$A$1032,0))</f>
        <v>#N/A</v>
      </c>
    </row>
    <row r="489" spans="1:18" x14ac:dyDescent="0.25">
      <c r="A489">
        <f t="shared" si="37"/>
        <v>1</v>
      </c>
      <c r="B489" t="str">
        <f t="shared" si="38"/>
        <v/>
      </c>
      <c r="C489">
        <f t="shared" si="40"/>
        <v>1</v>
      </c>
      <c r="D489" s="4"/>
      <c r="E489" t="s">
        <v>18</v>
      </c>
      <c r="F489" t="str">
        <f>INDEX(Establishment!B$2:B$1005,MATCH($E489,Establishment!$A$2:$A$1005,0))</f>
        <v xml:space="preserve"> </v>
      </c>
      <c r="G489" t="str">
        <f>INDEX(Establishment!C$2:C$1005,MATCH($E489,Establishment!$A$2:$A$1005,0))</f>
        <v xml:space="preserve"> </v>
      </c>
      <c r="M489">
        <f t="shared" si="41"/>
        <v>0</v>
      </c>
      <c r="N489">
        <f t="shared" si="39"/>
        <v>0</v>
      </c>
      <c r="P489" t="e">
        <f>INDEX(Items!B$2:B$1032,MATCH($O489,Items!$A$2:$A$1032,0))</f>
        <v>#N/A</v>
      </c>
      <c r="Q489" t="e">
        <f>INDEX(Items!C$2:C$1032,MATCH($O489,Items!$A$2:$A$1032,0))</f>
        <v>#N/A</v>
      </c>
      <c r="R489" t="e">
        <f>INDEX(Items!D$2:D$1032,MATCH($O489,Items!$A$2:$A$1032,0))</f>
        <v>#N/A</v>
      </c>
    </row>
    <row r="490" spans="1:18" x14ac:dyDescent="0.25">
      <c r="A490">
        <f t="shared" si="37"/>
        <v>1</v>
      </c>
      <c r="B490" t="str">
        <f t="shared" si="38"/>
        <v/>
      </c>
      <c r="C490">
        <f t="shared" si="40"/>
        <v>1</v>
      </c>
      <c r="D490" s="4"/>
      <c r="E490" t="s">
        <v>18</v>
      </c>
      <c r="F490" t="str">
        <f>INDEX(Establishment!B$2:B$1005,MATCH($E490,Establishment!$A$2:$A$1005,0))</f>
        <v xml:space="preserve"> </v>
      </c>
      <c r="G490" t="str">
        <f>INDEX(Establishment!C$2:C$1005,MATCH($E490,Establishment!$A$2:$A$1005,0))</f>
        <v xml:space="preserve"> </v>
      </c>
      <c r="M490">
        <f t="shared" si="41"/>
        <v>0</v>
      </c>
      <c r="N490">
        <f t="shared" si="39"/>
        <v>0</v>
      </c>
      <c r="P490" t="e">
        <f>INDEX(Items!B$2:B$1032,MATCH($O490,Items!$A$2:$A$1032,0))</f>
        <v>#N/A</v>
      </c>
      <c r="Q490" t="e">
        <f>INDEX(Items!C$2:C$1032,MATCH($O490,Items!$A$2:$A$1032,0))</f>
        <v>#N/A</v>
      </c>
      <c r="R490" t="e">
        <f>INDEX(Items!D$2:D$1032,MATCH($O490,Items!$A$2:$A$1032,0))</f>
        <v>#N/A</v>
      </c>
    </row>
    <row r="491" spans="1:18" x14ac:dyDescent="0.25">
      <c r="A491">
        <f t="shared" si="37"/>
        <v>1</v>
      </c>
      <c r="B491" t="str">
        <f t="shared" si="38"/>
        <v/>
      </c>
      <c r="C491">
        <f t="shared" si="40"/>
        <v>1</v>
      </c>
      <c r="D491" s="4"/>
      <c r="E491" t="s">
        <v>18</v>
      </c>
      <c r="F491" t="str">
        <f>INDEX(Establishment!B$2:B$1005,MATCH($E491,Establishment!$A$2:$A$1005,0))</f>
        <v xml:space="preserve"> </v>
      </c>
      <c r="G491" t="str">
        <f>INDEX(Establishment!C$2:C$1005,MATCH($E491,Establishment!$A$2:$A$1005,0))</f>
        <v xml:space="preserve"> </v>
      </c>
      <c r="M491">
        <f t="shared" si="41"/>
        <v>0</v>
      </c>
      <c r="N491">
        <f t="shared" si="39"/>
        <v>0</v>
      </c>
      <c r="P491" t="e">
        <f>INDEX(Items!B$2:B$1032,MATCH($O491,Items!$A$2:$A$1032,0))</f>
        <v>#N/A</v>
      </c>
      <c r="Q491" t="e">
        <f>INDEX(Items!C$2:C$1032,MATCH($O491,Items!$A$2:$A$1032,0))</f>
        <v>#N/A</v>
      </c>
      <c r="R491" t="e">
        <f>INDEX(Items!D$2:D$1032,MATCH($O491,Items!$A$2:$A$1032,0))</f>
        <v>#N/A</v>
      </c>
    </row>
    <row r="492" spans="1:18" x14ac:dyDescent="0.25">
      <c r="A492">
        <f t="shared" si="37"/>
        <v>1</v>
      </c>
      <c r="B492" t="str">
        <f t="shared" si="38"/>
        <v/>
      </c>
      <c r="C492">
        <f t="shared" si="40"/>
        <v>1</v>
      </c>
      <c r="D492" s="4"/>
      <c r="E492" t="s">
        <v>18</v>
      </c>
      <c r="F492" t="str">
        <f>INDEX(Establishment!B$2:B$1005,MATCH($E492,Establishment!$A$2:$A$1005,0))</f>
        <v xml:space="preserve"> </v>
      </c>
      <c r="G492" t="str">
        <f>INDEX(Establishment!C$2:C$1005,MATCH($E492,Establishment!$A$2:$A$1005,0))</f>
        <v xml:space="preserve"> </v>
      </c>
      <c r="M492">
        <f t="shared" si="41"/>
        <v>0</v>
      </c>
      <c r="N492">
        <f t="shared" si="39"/>
        <v>0</v>
      </c>
      <c r="P492" t="e">
        <f>INDEX(Items!B$2:B$1032,MATCH($O492,Items!$A$2:$A$1032,0))</f>
        <v>#N/A</v>
      </c>
      <c r="Q492" t="e">
        <f>INDEX(Items!C$2:C$1032,MATCH($O492,Items!$A$2:$A$1032,0))</f>
        <v>#N/A</v>
      </c>
      <c r="R492" t="e">
        <f>INDEX(Items!D$2:D$1032,MATCH($O492,Items!$A$2:$A$1032,0))</f>
        <v>#N/A</v>
      </c>
    </row>
    <row r="493" spans="1:18" x14ac:dyDescent="0.25">
      <c r="A493">
        <f t="shared" si="37"/>
        <v>1</v>
      </c>
      <c r="B493" t="str">
        <f t="shared" si="38"/>
        <v/>
      </c>
      <c r="C493">
        <f t="shared" si="40"/>
        <v>1</v>
      </c>
      <c r="D493" s="4"/>
      <c r="E493" t="s">
        <v>18</v>
      </c>
      <c r="F493" t="str">
        <f>INDEX(Establishment!B$2:B$1005,MATCH($E493,Establishment!$A$2:$A$1005,0))</f>
        <v xml:space="preserve"> </v>
      </c>
      <c r="G493" t="str">
        <f>INDEX(Establishment!C$2:C$1005,MATCH($E493,Establishment!$A$2:$A$1005,0))</f>
        <v xml:space="preserve"> </v>
      </c>
      <c r="M493">
        <f t="shared" si="41"/>
        <v>0</v>
      </c>
      <c r="N493">
        <f t="shared" si="39"/>
        <v>0</v>
      </c>
      <c r="P493" t="e">
        <f>INDEX(Items!B$2:B$1032,MATCH($O493,Items!$A$2:$A$1032,0))</f>
        <v>#N/A</v>
      </c>
      <c r="Q493" t="e">
        <f>INDEX(Items!C$2:C$1032,MATCH($O493,Items!$A$2:$A$1032,0))</f>
        <v>#N/A</v>
      </c>
      <c r="R493" t="e">
        <f>INDEX(Items!D$2:D$1032,MATCH($O493,Items!$A$2:$A$1032,0))</f>
        <v>#N/A</v>
      </c>
    </row>
    <row r="494" spans="1:18" x14ac:dyDescent="0.25">
      <c r="A494">
        <f t="shared" si="37"/>
        <v>1</v>
      </c>
      <c r="B494" t="str">
        <f t="shared" si="38"/>
        <v/>
      </c>
      <c r="C494">
        <f t="shared" si="40"/>
        <v>1</v>
      </c>
      <c r="D494" s="4"/>
      <c r="E494" t="s">
        <v>18</v>
      </c>
      <c r="F494" t="str">
        <f>INDEX(Establishment!B$2:B$1005,MATCH($E494,Establishment!$A$2:$A$1005,0))</f>
        <v xml:space="preserve"> </v>
      </c>
      <c r="G494" t="str">
        <f>INDEX(Establishment!C$2:C$1005,MATCH($E494,Establishment!$A$2:$A$1005,0))</f>
        <v xml:space="preserve"> </v>
      </c>
      <c r="M494">
        <f t="shared" si="41"/>
        <v>0</v>
      </c>
      <c r="N494">
        <f t="shared" si="39"/>
        <v>0</v>
      </c>
      <c r="P494" t="e">
        <f>INDEX(Items!B$2:B$1032,MATCH($O494,Items!$A$2:$A$1032,0))</f>
        <v>#N/A</v>
      </c>
      <c r="Q494" t="e">
        <f>INDEX(Items!C$2:C$1032,MATCH($O494,Items!$A$2:$A$1032,0))</f>
        <v>#N/A</v>
      </c>
      <c r="R494" t="e">
        <f>INDEX(Items!D$2:D$1032,MATCH($O494,Items!$A$2:$A$1032,0))</f>
        <v>#N/A</v>
      </c>
    </row>
    <row r="495" spans="1:18" x14ac:dyDescent="0.25">
      <c r="A495">
        <f t="shared" si="37"/>
        <v>1</v>
      </c>
      <c r="B495" t="str">
        <f t="shared" si="38"/>
        <v/>
      </c>
      <c r="C495">
        <f t="shared" si="40"/>
        <v>1</v>
      </c>
      <c r="D495" s="4"/>
      <c r="E495" t="s">
        <v>18</v>
      </c>
      <c r="F495" t="str">
        <f>INDEX(Establishment!B$2:B$1005,MATCH($E495,Establishment!$A$2:$A$1005,0))</f>
        <v xml:space="preserve"> </v>
      </c>
      <c r="G495" t="str">
        <f>INDEX(Establishment!C$2:C$1005,MATCH($E495,Establishment!$A$2:$A$1005,0))</f>
        <v xml:space="preserve"> </v>
      </c>
      <c r="M495">
        <f t="shared" si="41"/>
        <v>0</v>
      </c>
      <c r="N495">
        <f t="shared" si="39"/>
        <v>0</v>
      </c>
      <c r="P495" t="e">
        <f>INDEX(Items!B$2:B$1032,MATCH($O495,Items!$A$2:$A$1032,0))</f>
        <v>#N/A</v>
      </c>
      <c r="Q495" t="e">
        <f>INDEX(Items!C$2:C$1032,MATCH($O495,Items!$A$2:$A$1032,0))</f>
        <v>#N/A</v>
      </c>
      <c r="R495" t="e">
        <f>INDEX(Items!D$2:D$1032,MATCH($O495,Items!$A$2:$A$1032,0))</f>
        <v>#N/A</v>
      </c>
    </row>
    <row r="496" spans="1:18" x14ac:dyDescent="0.25">
      <c r="A496">
        <f t="shared" si="37"/>
        <v>1</v>
      </c>
      <c r="B496" t="str">
        <f t="shared" si="38"/>
        <v/>
      </c>
      <c r="C496">
        <f t="shared" si="40"/>
        <v>1</v>
      </c>
      <c r="D496" s="4"/>
      <c r="E496" t="s">
        <v>18</v>
      </c>
      <c r="F496" t="str">
        <f>INDEX(Establishment!B$2:B$1005,MATCH($E496,Establishment!$A$2:$A$1005,0))</f>
        <v xml:space="preserve"> </v>
      </c>
      <c r="G496" t="str">
        <f>INDEX(Establishment!C$2:C$1005,MATCH($E496,Establishment!$A$2:$A$1005,0))</f>
        <v xml:space="preserve"> </v>
      </c>
      <c r="M496">
        <f t="shared" si="41"/>
        <v>0</v>
      </c>
      <c r="N496">
        <f t="shared" si="39"/>
        <v>0</v>
      </c>
      <c r="P496" t="e">
        <f>INDEX(Items!B$2:B$1032,MATCH($O496,Items!$A$2:$A$1032,0))</f>
        <v>#N/A</v>
      </c>
      <c r="Q496" t="e">
        <f>INDEX(Items!C$2:C$1032,MATCH($O496,Items!$A$2:$A$1032,0))</f>
        <v>#N/A</v>
      </c>
      <c r="R496" t="e">
        <f>INDEX(Items!D$2:D$1032,MATCH($O496,Items!$A$2:$A$1032,0))</f>
        <v>#N/A</v>
      </c>
    </row>
    <row r="497" spans="1:18" x14ac:dyDescent="0.25">
      <c r="A497">
        <f t="shared" si="37"/>
        <v>1</v>
      </c>
      <c r="B497" t="str">
        <f t="shared" si="38"/>
        <v/>
      </c>
      <c r="C497">
        <f t="shared" si="40"/>
        <v>1</v>
      </c>
      <c r="D497" s="4"/>
      <c r="E497" t="s">
        <v>18</v>
      </c>
      <c r="F497" t="str">
        <f>INDEX(Establishment!B$2:B$1005,MATCH($E497,Establishment!$A$2:$A$1005,0))</f>
        <v xml:space="preserve"> </v>
      </c>
      <c r="G497" t="str">
        <f>INDEX(Establishment!C$2:C$1005,MATCH($E497,Establishment!$A$2:$A$1005,0))</f>
        <v xml:space="preserve"> </v>
      </c>
      <c r="M497">
        <f t="shared" si="41"/>
        <v>0</v>
      </c>
      <c r="N497">
        <f t="shared" si="39"/>
        <v>0</v>
      </c>
      <c r="P497" t="e">
        <f>INDEX(Items!B$2:B$1032,MATCH($O497,Items!$A$2:$A$1032,0))</f>
        <v>#N/A</v>
      </c>
      <c r="Q497" t="e">
        <f>INDEX(Items!C$2:C$1032,MATCH($O497,Items!$A$2:$A$1032,0))</f>
        <v>#N/A</v>
      </c>
      <c r="R497" t="e">
        <f>INDEX(Items!D$2:D$1032,MATCH($O497,Items!$A$2:$A$1032,0))</f>
        <v>#N/A</v>
      </c>
    </row>
    <row r="498" spans="1:18" x14ac:dyDescent="0.25">
      <c r="A498">
        <f t="shared" si="37"/>
        <v>1</v>
      </c>
      <c r="B498" t="str">
        <f t="shared" si="38"/>
        <v/>
      </c>
      <c r="C498">
        <f t="shared" si="40"/>
        <v>1</v>
      </c>
      <c r="D498" s="4"/>
      <c r="E498" t="s">
        <v>18</v>
      </c>
      <c r="F498" t="str">
        <f>INDEX(Establishment!B$2:B$1005,MATCH($E498,Establishment!$A$2:$A$1005,0))</f>
        <v xml:space="preserve"> </v>
      </c>
      <c r="G498" t="str">
        <f>INDEX(Establishment!C$2:C$1005,MATCH($E498,Establishment!$A$2:$A$1005,0))</f>
        <v xml:space="preserve"> </v>
      </c>
      <c r="M498">
        <f t="shared" si="41"/>
        <v>0</v>
      </c>
      <c r="N498">
        <f t="shared" si="39"/>
        <v>0</v>
      </c>
      <c r="P498" t="e">
        <f>INDEX(Items!B$2:B$1032,MATCH($O498,Items!$A$2:$A$1032,0))</f>
        <v>#N/A</v>
      </c>
      <c r="Q498" t="e">
        <f>INDEX(Items!C$2:C$1032,MATCH($O498,Items!$A$2:$A$1032,0))</f>
        <v>#N/A</v>
      </c>
      <c r="R498" t="e">
        <f>INDEX(Items!D$2:D$1032,MATCH($O498,Items!$A$2:$A$1032,0))</f>
        <v>#N/A</v>
      </c>
    </row>
    <row r="499" spans="1:18" x14ac:dyDescent="0.25">
      <c r="A499">
        <f t="shared" si="37"/>
        <v>1</v>
      </c>
      <c r="B499" t="str">
        <f t="shared" si="38"/>
        <v/>
      </c>
      <c r="C499">
        <f t="shared" si="40"/>
        <v>1</v>
      </c>
      <c r="D499" s="4"/>
      <c r="E499" t="s">
        <v>18</v>
      </c>
      <c r="F499" t="str">
        <f>INDEX(Establishment!B$2:B$1005,MATCH($E499,Establishment!$A$2:$A$1005,0))</f>
        <v xml:space="preserve"> </v>
      </c>
      <c r="G499" t="str">
        <f>INDEX(Establishment!C$2:C$1005,MATCH($E499,Establishment!$A$2:$A$1005,0))</f>
        <v xml:space="preserve"> </v>
      </c>
      <c r="M499">
        <f t="shared" si="41"/>
        <v>0</v>
      </c>
      <c r="N499">
        <f t="shared" si="39"/>
        <v>0</v>
      </c>
      <c r="P499" t="e">
        <f>INDEX(Items!B$2:B$1032,MATCH($O499,Items!$A$2:$A$1032,0))</f>
        <v>#N/A</v>
      </c>
      <c r="Q499" t="e">
        <f>INDEX(Items!C$2:C$1032,MATCH($O499,Items!$A$2:$A$1032,0))</f>
        <v>#N/A</v>
      </c>
      <c r="R499" t="e">
        <f>INDEX(Items!D$2:D$1032,MATCH($O499,Items!$A$2:$A$1032,0))</f>
        <v>#N/A</v>
      </c>
    </row>
  </sheetData>
  <autoFilter ref="A1:S499" xr:uid="{5F0E76B2-0B92-47EE-AE22-5D9D037037E9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5E98B84A-A9B7-4EA0-896D-86C548D545F7}">
          <x14:formula1>
            <xm:f>Misc!$A$2:$A$8</xm:f>
          </x14:formula1>
          <xm:sqref>H1:H1048576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B4403-B05B-4901-972C-D2DB277410F4}">
  <dimension ref="A1:S499"/>
  <sheetViews>
    <sheetView zoomScale="145" zoomScaleNormal="145"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bestFit="1" customWidth="1"/>
    <col min="2" max="2" width="11.140625" bestFit="1" customWidth="1"/>
    <col min="3" max="3" width="11.140625" customWidth="1"/>
    <col min="4" max="4" width="10.7109375" bestFit="1" customWidth="1"/>
    <col min="5" max="5" width="21.140625" bestFit="1" customWidth="1"/>
    <col min="6" max="6" width="13.7109375" bestFit="1" customWidth="1"/>
    <col min="7" max="7" width="9.7109375" bestFit="1" customWidth="1"/>
    <col min="8" max="8" width="13.7109375" bestFit="1" customWidth="1"/>
    <col min="9" max="9" width="8.140625" bestFit="1" customWidth="1"/>
    <col min="10" max="10" width="18.5703125" bestFit="1" customWidth="1"/>
    <col min="11" max="11" width="8.7109375" bestFit="1" customWidth="1"/>
    <col min="12" max="12" width="9.5703125" bestFit="1" customWidth="1"/>
    <col min="13" max="13" width="8.140625" bestFit="1" customWidth="1"/>
    <col min="14" max="14" width="11.140625" bestFit="1" customWidth="1"/>
    <col min="15" max="15" width="25.7109375" bestFit="1" customWidth="1"/>
    <col min="16" max="16" width="6.140625" bestFit="1" customWidth="1"/>
    <col min="17" max="17" width="12.7109375" bestFit="1" customWidth="1"/>
    <col min="18" max="18" width="7.140625" bestFit="1" customWidth="1"/>
  </cols>
  <sheetData>
    <row r="1" spans="1:19" ht="30" x14ac:dyDescent="0.25">
      <c r="A1" t="s">
        <v>0</v>
      </c>
      <c r="B1" s="2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f t="shared" ref="A2:A65" si="0">IF(OR(D2&lt;&gt;D1,D2=""),1,IF(NOT(AND(E2=E1,F2=F1,G2=G1)),A1+1,IF(OR(H2="",AND(H2&lt;&gt;"",H2&lt;&gt;H1,H1&lt;&gt;"")),A1,A1+1)))</f>
        <v>1</v>
      </c>
      <c r="B2" t="str">
        <f t="shared" ref="B2:B65" si="1">IF(D2&lt;&gt;"",TEXT(D2,"YYYYMMDD")&amp;CHAR(64+A2),"")</f>
        <v/>
      </c>
      <c r="C2">
        <f t="shared" ref="C2:C6" si="2">IF(OR(B2="",B2&lt;&gt;B10),1,C10+1)</f>
        <v>1</v>
      </c>
      <c r="D2" s="4"/>
      <c r="F2" t="e">
        <f>INDEX(Establishment!B$2:B$1005,MATCH($E2,Establishment!$A$2:$A$1005,0))</f>
        <v>#N/A</v>
      </c>
      <c r="G2" t="e">
        <f>INDEX(Establishment!C$2:C$1005,MATCH($E2,Establishment!$A$2:$A$1005,0))</f>
        <v>#N/A</v>
      </c>
      <c r="M2">
        <f t="shared" ref="M2:M6" si="3">K2*L2</f>
        <v>0</v>
      </c>
      <c r="N2">
        <f>IF(B2=B1,N1+M2,M2)</f>
        <v>0</v>
      </c>
      <c r="P2" t="e">
        <f>INDEX(Items!B$2:B$1032,MATCH($O2,Items!$A$2:$A$1032,0))</f>
        <v>#N/A</v>
      </c>
      <c r="Q2" t="e">
        <f>INDEX(Items!C$2:C$1032,MATCH($O2,Items!$A$2:$A$1032,0))</f>
        <v>#N/A</v>
      </c>
      <c r="R2" t="e">
        <f>INDEX(Items!D$2:D$1032,MATCH($O2,Items!$A$2:$A$1032,0))</f>
        <v>#N/A</v>
      </c>
    </row>
    <row r="3" spans="1:19" x14ac:dyDescent="0.25">
      <c r="A3">
        <f t="shared" si="0"/>
        <v>1</v>
      </c>
      <c r="B3" t="str">
        <f t="shared" si="1"/>
        <v/>
      </c>
      <c r="C3">
        <f t="shared" si="2"/>
        <v>1</v>
      </c>
      <c r="D3" s="4"/>
      <c r="F3" t="e">
        <f>INDEX(Establishment!B$2:B$1005,MATCH($E3,Establishment!$A$2:$A$1005,0))</f>
        <v>#N/A</v>
      </c>
      <c r="G3" t="e">
        <f>INDEX(Establishment!C$2:C$1005,MATCH($E3,Establishment!$A$2:$A$1005,0))</f>
        <v>#N/A</v>
      </c>
      <c r="M3">
        <f t="shared" si="3"/>
        <v>0</v>
      </c>
      <c r="N3">
        <f t="shared" ref="N3:N66" si="4">IF(B3=B2,N2+M3,M3)</f>
        <v>0</v>
      </c>
      <c r="P3" t="e">
        <f>INDEX(Items!B$2:B$1032,MATCH($O3,Items!$A$2:$A$1032,0))</f>
        <v>#N/A</v>
      </c>
      <c r="Q3" t="e">
        <f>INDEX(Items!C$2:C$1032,MATCH($O3,Items!$A$2:$A$1032,0))</f>
        <v>#N/A</v>
      </c>
      <c r="R3" t="e">
        <f>INDEX(Items!D$2:D$1032,MATCH($O3,Items!$A$2:$A$1032,0))</f>
        <v>#N/A</v>
      </c>
    </row>
    <row r="4" spans="1:19" x14ac:dyDescent="0.25">
      <c r="A4">
        <f t="shared" si="0"/>
        <v>1</v>
      </c>
      <c r="B4" t="str">
        <f t="shared" si="1"/>
        <v/>
      </c>
      <c r="C4">
        <f t="shared" si="2"/>
        <v>1</v>
      </c>
      <c r="D4" s="4"/>
      <c r="F4" t="e">
        <f>INDEX(Establishment!B$2:B$1005,MATCH($E4,Establishment!$A$2:$A$1005,0))</f>
        <v>#N/A</v>
      </c>
      <c r="G4" t="e">
        <f>INDEX(Establishment!C$2:C$1005,MATCH($E4,Establishment!$A$2:$A$1005,0))</f>
        <v>#N/A</v>
      </c>
      <c r="M4">
        <f t="shared" si="3"/>
        <v>0</v>
      </c>
      <c r="N4">
        <f t="shared" si="4"/>
        <v>0</v>
      </c>
      <c r="P4" t="e">
        <f>INDEX(Items!B$2:B$1032,MATCH($O4,Items!$A$2:$A$1032,0))</f>
        <v>#N/A</v>
      </c>
      <c r="Q4" t="e">
        <f>INDEX(Items!C$2:C$1032,MATCH($O4,Items!$A$2:$A$1032,0))</f>
        <v>#N/A</v>
      </c>
      <c r="R4" t="e">
        <f>INDEX(Items!D$2:D$1032,MATCH($O4,Items!$A$2:$A$1032,0))</f>
        <v>#N/A</v>
      </c>
    </row>
    <row r="5" spans="1:19" x14ac:dyDescent="0.25">
      <c r="A5">
        <f t="shared" si="0"/>
        <v>1</v>
      </c>
      <c r="B5" t="str">
        <f t="shared" si="1"/>
        <v/>
      </c>
      <c r="C5">
        <f t="shared" si="2"/>
        <v>1</v>
      </c>
      <c r="D5" s="4"/>
      <c r="F5" t="e">
        <f>INDEX(Establishment!B$2:B$1005,MATCH($E5,Establishment!$A$2:$A$1005,0))</f>
        <v>#N/A</v>
      </c>
      <c r="G5" t="e">
        <f>INDEX(Establishment!C$2:C$1005,MATCH($E5,Establishment!$A$2:$A$1005,0))</f>
        <v>#N/A</v>
      </c>
      <c r="M5">
        <f t="shared" si="3"/>
        <v>0</v>
      </c>
      <c r="N5">
        <f t="shared" si="4"/>
        <v>0</v>
      </c>
      <c r="P5" t="e">
        <f>INDEX(Items!B$2:B$1032,MATCH($O5,Items!$A$2:$A$1032,0))</f>
        <v>#N/A</v>
      </c>
      <c r="Q5" t="e">
        <f>INDEX(Items!C$2:C$1032,MATCH($O5,Items!$A$2:$A$1032,0))</f>
        <v>#N/A</v>
      </c>
      <c r="R5" t="e">
        <f>INDEX(Items!D$2:D$1032,MATCH($O5,Items!$A$2:$A$1032,0))</f>
        <v>#N/A</v>
      </c>
    </row>
    <row r="6" spans="1:19" x14ac:dyDescent="0.25">
      <c r="A6">
        <f t="shared" si="0"/>
        <v>1</v>
      </c>
      <c r="B6" t="str">
        <f t="shared" si="1"/>
        <v/>
      </c>
      <c r="C6">
        <f t="shared" si="2"/>
        <v>1</v>
      </c>
      <c r="D6" s="4"/>
      <c r="F6" t="e">
        <f>INDEX(Establishment!B$2:B$1005,MATCH($E6,Establishment!$A$2:$A$1005,0))</f>
        <v>#N/A</v>
      </c>
      <c r="G6" t="e">
        <f>INDEX(Establishment!C$2:C$1005,MATCH($E6,Establishment!$A$2:$A$1005,0))</f>
        <v>#N/A</v>
      </c>
      <c r="M6">
        <f t="shared" si="3"/>
        <v>0</v>
      </c>
      <c r="N6">
        <f t="shared" si="4"/>
        <v>0</v>
      </c>
      <c r="P6" t="e">
        <f>INDEX(Items!B$2:B$1032,MATCH($O6,Items!$A$2:$A$1032,0))</f>
        <v>#N/A</v>
      </c>
      <c r="Q6" t="e">
        <f>INDEX(Items!C$2:C$1032,MATCH($O6,Items!$A$2:$A$1032,0))</f>
        <v>#N/A</v>
      </c>
      <c r="R6" t="e">
        <f>INDEX(Items!D$2:D$1032,MATCH($O6,Items!$A$2:$A$1032,0))</f>
        <v>#N/A</v>
      </c>
    </row>
    <row r="7" spans="1:19" x14ac:dyDescent="0.25">
      <c r="A7">
        <f t="shared" si="0"/>
        <v>1</v>
      </c>
      <c r="B7" t="str">
        <f t="shared" si="1"/>
        <v/>
      </c>
      <c r="C7">
        <f>IF(OR(B7="",B7&lt;&gt;B15),1,C15+1)</f>
        <v>1</v>
      </c>
      <c r="D7" s="4"/>
      <c r="F7" t="e">
        <f>INDEX(Establishment!B$2:B$1005,MATCH($E7,Establishment!$A$2:$A$1005,0))</f>
        <v>#N/A</v>
      </c>
      <c r="G7" t="e">
        <f>INDEX(Establishment!C$2:C$1005,MATCH($E7,Establishment!$A$2:$A$1005,0))</f>
        <v>#N/A</v>
      </c>
      <c r="M7">
        <f>K7*L7</f>
        <v>0</v>
      </c>
      <c r="N7">
        <f t="shared" si="4"/>
        <v>0</v>
      </c>
      <c r="P7" t="e">
        <f>INDEX(Items!B$2:B$1032,MATCH($O7,Items!$A$2:$A$1032,0))</f>
        <v>#N/A</v>
      </c>
      <c r="Q7" t="e">
        <f>INDEX(Items!C$2:C$1032,MATCH($O7,Items!$A$2:$A$1032,0))</f>
        <v>#N/A</v>
      </c>
      <c r="R7" t="e">
        <f>INDEX(Items!D$2:D$1032,MATCH($O7,Items!$A$2:$A$1032,0))</f>
        <v>#N/A</v>
      </c>
    </row>
    <row r="8" spans="1:19" x14ac:dyDescent="0.25">
      <c r="A8">
        <f t="shared" si="0"/>
        <v>1</v>
      </c>
      <c r="B8" t="str">
        <f t="shared" si="1"/>
        <v/>
      </c>
      <c r="C8">
        <f>IF(OR(B8="",B8&lt;&gt;B7),1,C7+1)</f>
        <v>1</v>
      </c>
      <c r="D8" s="4"/>
      <c r="F8" t="e">
        <f>INDEX(Establishment!B$2:B$1005,MATCH($E8,Establishment!$A$2:$A$1005,0))</f>
        <v>#N/A</v>
      </c>
      <c r="G8" t="e">
        <f>INDEX(Establishment!C$2:C$1005,MATCH($E8,Establishment!$A$2:$A$1005,0))</f>
        <v>#N/A</v>
      </c>
      <c r="M8">
        <f>K8*L8</f>
        <v>0</v>
      </c>
      <c r="N8">
        <f t="shared" si="4"/>
        <v>0</v>
      </c>
      <c r="P8" t="e">
        <f>INDEX(Items!B$2:B$1032,MATCH($O8,Items!$A$2:$A$1032,0))</f>
        <v>#N/A</v>
      </c>
      <c r="Q8" t="e">
        <f>INDEX(Items!C$2:C$1032,MATCH($O8,Items!$A$2:$A$1032,0))</f>
        <v>#N/A</v>
      </c>
      <c r="R8" t="e">
        <f>INDEX(Items!D$2:D$1032,MATCH($O8,Items!$A$2:$A$1032,0))</f>
        <v>#N/A</v>
      </c>
    </row>
    <row r="9" spans="1:19" x14ac:dyDescent="0.25">
      <c r="A9">
        <f t="shared" si="0"/>
        <v>1</v>
      </c>
      <c r="B9" t="str">
        <f t="shared" si="1"/>
        <v/>
      </c>
      <c r="C9">
        <f>IF(OR(B9="",B9&lt;&gt;B8),1,C8+1)</f>
        <v>1</v>
      </c>
      <c r="D9" s="4"/>
      <c r="F9" t="e">
        <f>INDEX(Establishment!B$2:B$1005,MATCH($E9,Establishment!$A$2:$A$1005,0))</f>
        <v>#N/A</v>
      </c>
      <c r="G9" t="e">
        <f>INDEX(Establishment!C$2:C$1005,MATCH($E9,Establishment!$A$2:$A$1005,0))</f>
        <v>#N/A</v>
      </c>
      <c r="M9">
        <f>K9*L9</f>
        <v>0</v>
      </c>
      <c r="N9">
        <f t="shared" si="4"/>
        <v>0</v>
      </c>
      <c r="P9" t="e">
        <f>INDEX(Items!B$2:B$1032,MATCH($O9,Items!$A$2:$A$1032,0))</f>
        <v>#N/A</v>
      </c>
      <c r="Q9" t="e">
        <f>INDEX(Items!C$2:C$1032,MATCH($O9,Items!$A$2:$A$1032,0))</f>
        <v>#N/A</v>
      </c>
      <c r="R9" t="e">
        <f>INDEX(Items!D$2:D$1032,MATCH($O9,Items!$A$2:$A$1032,0))</f>
        <v>#N/A</v>
      </c>
    </row>
    <row r="10" spans="1:19" x14ac:dyDescent="0.25">
      <c r="A10">
        <f t="shared" si="0"/>
        <v>1</v>
      </c>
      <c r="B10" t="str">
        <f t="shared" si="1"/>
        <v/>
      </c>
      <c r="C10">
        <f t="shared" ref="C10:C73" si="5">IF(OR(B10="",B10&lt;&gt;B9),1,C9+1)</f>
        <v>1</v>
      </c>
      <c r="D10" s="4"/>
      <c r="F10" t="e">
        <f>INDEX(Establishment!B$2:B$1005,MATCH($E10,Establishment!$A$2:$A$1005,0))</f>
        <v>#N/A</v>
      </c>
      <c r="G10" t="e">
        <f>INDEX(Establishment!C$2:C$1005,MATCH($E10,Establishment!$A$2:$A$1005,0))</f>
        <v>#N/A</v>
      </c>
      <c r="M10">
        <f t="shared" ref="M10:M73" si="6">K10*L10</f>
        <v>0</v>
      </c>
      <c r="N10">
        <f t="shared" si="4"/>
        <v>0</v>
      </c>
      <c r="P10" t="e">
        <f>INDEX(Items!B$2:B$1032,MATCH($O10,Items!$A$2:$A$1032,0))</f>
        <v>#N/A</v>
      </c>
      <c r="Q10" t="e">
        <f>INDEX(Items!C$2:C$1032,MATCH($O10,Items!$A$2:$A$1032,0))</f>
        <v>#N/A</v>
      </c>
      <c r="R10" t="e">
        <f>INDEX(Items!D$2:D$1032,MATCH($O10,Items!$A$2:$A$1032,0))</f>
        <v>#N/A</v>
      </c>
    </row>
    <row r="11" spans="1:19" x14ac:dyDescent="0.25">
      <c r="A11">
        <f t="shared" si="0"/>
        <v>1</v>
      </c>
      <c r="B11" t="str">
        <f t="shared" si="1"/>
        <v/>
      </c>
      <c r="C11">
        <f t="shared" si="5"/>
        <v>1</v>
      </c>
      <c r="D11" s="4"/>
      <c r="F11" t="e">
        <f>INDEX(Establishment!B$2:B$1005,MATCH($E11,Establishment!$A$2:$A$1005,0))</f>
        <v>#N/A</v>
      </c>
      <c r="G11" t="e">
        <f>INDEX(Establishment!C$2:C$1005,MATCH($E11,Establishment!$A$2:$A$1005,0))</f>
        <v>#N/A</v>
      </c>
      <c r="M11">
        <f t="shared" si="6"/>
        <v>0</v>
      </c>
      <c r="N11">
        <f t="shared" si="4"/>
        <v>0</v>
      </c>
      <c r="P11" t="e">
        <f>INDEX(Items!B$2:B$1032,MATCH($O11,Items!$A$2:$A$1032,0))</f>
        <v>#N/A</v>
      </c>
      <c r="Q11" t="e">
        <f>INDEX(Items!C$2:C$1032,MATCH($O11,Items!$A$2:$A$1032,0))</f>
        <v>#N/A</v>
      </c>
      <c r="R11" t="e">
        <f>INDEX(Items!D$2:D$1032,MATCH($O11,Items!$A$2:$A$1032,0))</f>
        <v>#N/A</v>
      </c>
    </row>
    <row r="12" spans="1:19" x14ac:dyDescent="0.25">
      <c r="A12">
        <f t="shared" si="0"/>
        <v>1</v>
      </c>
      <c r="B12" t="str">
        <f t="shared" si="1"/>
        <v/>
      </c>
      <c r="C12">
        <f t="shared" si="5"/>
        <v>1</v>
      </c>
      <c r="D12" s="4"/>
      <c r="F12" t="e">
        <f>INDEX(Establishment!B$2:B$1005,MATCH($E12,Establishment!$A$2:$A$1005,0))</f>
        <v>#N/A</v>
      </c>
      <c r="G12" t="e">
        <f>INDEX(Establishment!C$2:C$1005,MATCH($E12,Establishment!$A$2:$A$1005,0))</f>
        <v>#N/A</v>
      </c>
      <c r="M12">
        <f t="shared" si="6"/>
        <v>0</v>
      </c>
      <c r="N12">
        <f t="shared" si="4"/>
        <v>0</v>
      </c>
      <c r="P12" t="e">
        <f>INDEX(Items!B$2:B$1032,MATCH($O12,Items!$A$2:$A$1032,0))</f>
        <v>#N/A</v>
      </c>
      <c r="Q12" t="e">
        <f>INDEX(Items!C$2:C$1032,MATCH($O12,Items!$A$2:$A$1032,0))</f>
        <v>#N/A</v>
      </c>
      <c r="R12" t="e">
        <f>INDEX(Items!D$2:D$1032,MATCH($O12,Items!$A$2:$A$1032,0))</f>
        <v>#N/A</v>
      </c>
    </row>
    <row r="13" spans="1:19" x14ac:dyDescent="0.25">
      <c r="A13">
        <f t="shared" si="0"/>
        <v>1</v>
      </c>
      <c r="B13" t="str">
        <f t="shared" si="1"/>
        <v/>
      </c>
      <c r="C13">
        <f t="shared" si="5"/>
        <v>1</v>
      </c>
      <c r="D13" s="4"/>
      <c r="F13" t="e">
        <f>INDEX(Establishment!B$2:B$1005,MATCH($E13,Establishment!$A$2:$A$1005,0))</f>
        <v>#N/A</v>
      </c>
      <c r="G13" t="e">
        <f>INDEX(Establishment!C$2:C$1005,MATCH($E13,Establishment!$A$2:$A$1005,0))</f>
        <v>#N/A</v>
      </c>
      <c r="M13">
        <f t="shared" si="6"/>
        <v>0</v>
      </c>
      <c r="N13">
        <f t="shared" si="4"/>
        <v>0</v>
      </c>
      <c r="P13" t="e">
        <f>INDEX(Items!B$2:B$1032,MATCH($O13,Items!$A$2:$A$1032,0))</f>
        <v>#N/A</v>
      </c>
      <c r="Q13" t="e">
        <f>INDEX(Items!C$2:C$1032,MATCH($O13,Items!$A$2:$A$1032,0))</f>
        <v>#N/A</v>
      </c>
      <c r="R13" t="e">
        <f>INDEX(Items!D$2:D$1032,MATCH($O13,Items!$A$2:$A$1032,0))</f>
        <v>#N/A</v>
      </c>
    </row>
    <row r="14" spans="1:19" x14ac:dyDescent="0.25">
      <c r="A14">
        <f t="shared" si="0"/>
        <v>1</v>
      </c>
      <c r="B14" t="str">
        <f t="shared" si="1"/>
        <v/>
      </c>
      <c r="C14">
        <f t="shared" si="5"/>
        <v>1</v>
      </c>
      <c r="D14" s="4"/>
      <c r="F14" t="e">
        <f>INDEX(Establishment!B$2:B$1005,MATCH($E14,Establishment!$A$2:$A$1005,0))</f>
        <v>#N/A</v>
      </c>
      <c r="G14" t="e">
        <f>INDEX(Establishment!C$2:C$1005,MATCH($E14,Establishment!$A$2:$A$1005,0))</f>
        <v>#N/A</v>
      </c>
      <c r="M14">
        <f t="shared" si="6"/>
        <v>0</v>
      </c>
      <c r="N14">
        <f t="shared" si="4"/>
        <v>0</v>
      </c>
      <c r="P14" t="e">
        <f>INDEX(Items!B$2:B$1032,MATCH($O14,Items!$A$2:$A$1032,0))</f>
        <v>#N/A</v>
      </c>
      <c r="Q14" t="e">
        <f>INDEX(Items!C$2:C$1032,MATCH($O14,Items!$A$2:$A$1032,0))</f>
        <v>#N/A</v>
      </c>
      <c r="R14" t="e">
        <f>INDEX(Items!D$2:D$1032,MATCH($O14,Items!$A$2:$A$1032,0))</f>
        <v>#N/A</v>
      </c>
    </row>
    <row r="15" spans="1:19" x14ac:dyDescent="0.25">
      <c r="A15">
        <f t="shared" si="0"/>
        <v>1</v>
      </c>
      <c r="B15" t="str">
        <f t="shared" si="1"/>
        <v/>
      </c>
      <c r="C15">
        <f t="shared" si="5"/>
        <v>1</v>
      </c>
      <c r="D15" s="4"/>
      <c r="F15" t="e">
        <f>INDEX(Establishment!B$2:B$1005,MATCH($E15,Establishment!$A$2:$A$1005,0))</f>
        <v>#N/A</v>
      </c>
      <c r="G15" t="e">
        <f>INDEX(Establishment!C$2:C$1005,MATCH($E15,Establishment!$A$2:$A$1005,0))</f>
        <v>#N/A</v>
      </c>
      <c r="M15">
        <f>K15*L15</f>
        <v>0</v>
      </c>
      <c r="N15">
        <f t="shared" si="4"/>
        <v>0</v>
      </c>
      <c r="P15" t="e">
        <f>INDEX(Items!B$2:B$1032,MATCH($O15,Items!$A$2:$A$1032,0))</f>
        <v>#N/A</v>
      </c>
      <c r="Q15" t="e">
        <f>INDEX(Items!C$2:C$1032,MATCH($O15,Items!$A$2:$A$1032,0))</f>
        <v>#N/A</v>
      </c>
      <c r="R15" t="e">
        <f>INDEX(Items!D$2:D$1032,MATCH($O15,Items!$A$2:$A$1032,0))</f>
        <v>#N/A</v>
      </c>
    </row>
    <row r="16" spans="1:19" x14ac:dyDescent="0.25">
      <c r="A16">
        <f t="shared" si="0"/>
        <v>1</v>
      </c>
      <c r="B16" t="str">
        <f t="shared" si="1"/>
        <v/>
      </c>
      <c r="C16">
        <f t="shared" si="5"/>
        <v>1</v>
      </c>
      <c r="D16" s="4"/>
      <c r="F16" t="e">
        <f>INDEX(Establishment!B$2:B$1005,MATCH($E16,Establishment!$A$2:$A$1005,0))</f>
        <v>#N/A</v>
      </c>
      <c r="G16" t="e">
        <f>INDEX(Establishment!C$2:C$1005,MATCH($E16,Establishment!$A$2:$A$1005,0))</f>
        <v>#N/A</v>
      </c>
      <c r="M16">
        <f t="shared" si="6"/>
        <v>0</v>
      </c>
      <c r="N16">
        <f t="shared" si="4"/>
        <v>0</v>
      </c>
      <c r="P16" t="e">
        <f>INDEX(Items!B$2:B$1032,MATCH($O16,Items!$A$2:$A$1032,0))</f>
        <v>#N/A</v>
      </c>
      <c r="Q16" t="e">
        <f>INDEX(Items!C$2:C$1032,MATCH($O16,Items!$A$2:$A$1032,0))</f>
        <v>#N/A</v>
      </c>
      <c r="R16" t="e">
        <f>INDEX(Items!D$2:D$1032,MATCH($O16,Items!$A$2:$A$1032,0))</f>
        <v>#N/A</v>
      </c>
    </row>
    <row r="17" spans="1:18" x14ac:dyDescent="0.25">
      <c r="A17">
        <f t="shared" si="0"/>
        <v>1</v>
      </c>
      <c r="B17" t="str">
        <f t="shared" si="1"/>
        <v/>
      </c>
      <c r="C17">
        <f t="shared" si="5"/>
        <v>1</v>
      </c>
      <c r="D17" s="4"/>
      <c r="F17" t="e">
        <f>INDEX(Establishment!B$2:B$1005,MATCH($E17,Establishment!$A$2:$A$1005,0))</f>
        <v>#N/A</v>
      </c>
      <c r="G17" t="e">
        <f>INDEX(Establishment!C$2:C$1005,MATCH($E17,Establishment!$A$2:$A$1005,0))</f>
        <v>#N/A</v>
      </c>
      <c r="M17">
        <f t="shared" si="6"/>
        <v>0</v>
      </c>
      <c r="N17">
        <f t="shared" si="4"/>
        <v>0</v>
      </c>
      <c r="P17" t="e">
        <f>INDEX(Items!B$2:B$1032,MATCH($O17,Items!$A$2:$A$1032,0))</f>
        <v>#N/A</v>
      </c>
      <c r="Q17" t="e">
        <f>INDEX(Items!C$2:C$1032,MATCH($O17,Items!$A$2:$A$1032,0))</f>
        <v>#N/A</v>
      </c>
      <c r="R17" t="e">
        <f>INDEX(Items!D$2:D$1032,MATCH($O17,Items!$A$2:$A$1032,0))</f>
        <v>#N/A</v>
      </c>
    </row>
    <row r="18" spans="1:18" x14ac:dyDescent="0.25">
      <c r="A18">
        <f t="shared" si="0"/>
        <v>1</v>
      </c>
      <c r="B18" t="str">
        <f t="shared" si="1"/>
        <v/>
      </c>
      <c r="C18">
        <f t="shared" si="5"/>
        <v>1</v>
      </c>
      <c r="D18" s="4"/>
      <c r="F18" t="e">
        <f>INDEX(Establishment!B$2:B$1005,MATCH($E18,Establishment!$A$2:$A$1005,0))</f>
        <v>#N/A</v>
      </c>
      <c r="G18" t="e">
        <f>INDEX(Establishment!C$2:C$1005,MATCH($E18,Establishment!$A$2:$A$1005,0))</f>
        <v>#N/A</v>
      </c>
      <c r="M18">
        <f t="shared" si="6"/>
        <v>0</v>
      </c>
      <c r="N18">
        <f t="shared" si="4"/>
        <v>0</v>
      </c>
      <c r="P18" t="e">
        <f>INDEX(Items!B$2:B$1032,MATCH($O18,Items!$A$2:$A$1032,0))</f>
        <v>#N/A</v>
      </c>
      <c r="Q18" t="e">
        <f>INDEX(Items!C$2:C$1032,MATCH($O18,Items!$A$2:$A$1032,0))</f>
        <v>#N/A</v>
      </c>
      <c r="R18" t="e">
        <f>INDEX(Items!D$2:D$1032,MATCH($O18,Items!$A$2:$A$1032,0))</f>
        <v>#N/A</v>
      </c>
    </row>
    <row r="19" spans="1:18" x14ac:dyDescent="0.25">
      <c r="A19">
        <f t="shared" si="0"/>
        <v>1</v>
      </c>
      <c r="B19" t="str">
        <f t="shared" si="1"/>
        <v/>
      </c>
      <c r="C19">
        <f t="shared" si="5"/>
        <v>1</v>
      </c>
      <c r="D19" s="4"/>
      <c r="F19" t="e">
        <f>INDEX(Establishment!B$2:B$1005,MATCH($E19,Establishment!$A$2:$A$1005,0))</f>
        <v>#N/A</v>
      </c>
      <c r="G19" t="e">
        <f>INDEX(Establishment!C$2:C$1005,MATCH($E19,Establishment!$A$2:$A$1005,0))</f>
        <v>#N/A</v>
      </c>
      <c r="M19">
        <f t="shared" si="6"/>
        <v>0</v>
      </c>
      <c r="N19">
        <f t="shared" si="4"/>
        <v>0</v>
      </c>
      <c r="P19" t="e">
        <f>INDEX(Items!B$2:B$1032,MATCH($O19,Items!$A$2:$A$1032,0))</f>
        <v>#N/A</v>
      </c>
      <c r="Q19" t="e">
        <f>INDEX(Items!C$2:C$1032,MATCH($O19,Items!$A$2:$A$1032,0))</f>
        <v>#N/A</v>
      </c>
      <c r="R19" t="e">
        <f>INDEX(Items!D$2:D$1032,MATCH($O19,Items!$A$2:$A$1032,0))</f>
        <v>#N/A</v>
      </c>
    </row>
    <row r="20" spans="1:18" x14ac:dyDescent="0.25">
      <c r="A20">
        <f t="shared" si="0"/>
        <v>1</v>
      </c>
      <c r="B20" t="str">
        <f t="shared" si="1"/>
        <v/>
      </c>
      <c r="C20">
        <f t="shared" si="5"/>
        <v>1</v>
      </c>
      <c r="D20" s="4"/>
      <c r="F20" t="e">
        <f>INDEX(Establishment!B$2:B$1005,MATCH($E20,Establishment!$A$2:$A$1005,0))</f>
        <v>#N/A</v>
      </c>
      <c r="G20" t="e">
        <f>INDEX(Establishment!C$2:C$1005,MATCH($E20,Establishment!$A$2:$A$1005,0))</f>
        <v>#N/A</v>
      </c>
      <c r="M20">
        <f t="shared" si="6"/>
        <v>0</v>
      </c>
      <c r="N20">
        <f t="shared" si="4"/>
        <v>0</v>
      </c>
      <c r="P20" t="e">
        <f>INDEX(Items!B$2:B$1032,MATCH($O20,Items!$A$2:$A$1032,0))</f>
        <v>#N/A</v>
      </c>
      <c r="Q20" t="e">
        <f>INDEX(Items!C$2:C$1032,MATCH($O20,Items!$A$2:$A$1032,0))</f>
        <v>#N/A</v>
      </c>
      <c r="R20" t="e">
        <f>INDEX(Items!D$2:D$1032,MATCH($O20,Items!$A$2:$A$1032,0))</f>
        <v>#N/A</v>
      </c>
    </row>
    <row r="21" spans="1:18" x14ac:dyDescent="0.25">
      <c r="A21">
        <f t="shared" si="0"/>
        <v>1</v>
      </c>
      <c r="B21" t="str">
        <f t="shared" si="1"/>
        <v/>
      </c>
      <c r="C21">
        <f t="shared" si="5"/>
        <v>1</v>
      </c>
      <c r="D21" s="4"/>
      <c r="F21" t="e">
        <f>INDEX(Establishment!B$2:B$1005,MATCH($E21,Establishment!$A$2:$A$1005,0))</f>
        <v>#N/A</v>
      </c>
      <c r="G21" t="e">
        <f>INDEX(Establishment!C$2:C$1005,MATCH($E21,Establishment!$A$2:$A$1005,0))</f>
        <v>#N/A</v>
      </c>
      <c r="M21">
        <f t="shared" si="6"/>
        <v>0</v>
      </c>
      <c r="N21">
        <f t="shared" si="4"/>
        <v>0</v>
      </c>
      <c r="P21" t="e">
        <f>INDEX(Items!B$2:B$1032,MATCH($O21,Items!$A$2:$A$1032,0))</f>
        <v>#N/A</v>
      </c>
      <c r="Q21" t="e">
        <f>INDEX(Items!C$2:C$1032,MATCH($O21,Items!$A$2:$A$1032,0))</f>
        <v>#N/A</v>
      </c>
      <c r="R21" t="e">
        <f>INDEX(Items!D$2:D$1032,MATCH($O21,Items!$A$2:$A$1032,0))</f>
        <v>#N/A</v>
      </c>
    </row>
    <row r="22" spans="1:18" x14ac:dyDescent="0.25">
      <c r="A22">
        <f t="shared" si="0"/>
        <v>1</v>
      </c>
      <c r="B22" t="str">
        <f t="shared" si="1"/>
        <v/>
      </c>
      <c r="C22">
        <f t="shared" si="5"/>
        <v>1</v>
      </c>
      <c r="D22" s="4"/>
      <c r="F22" t="e">
        <f>INDEX(Establishment!B$2:B$1005,MATCH($E22,Establishment!$A$2:$A$1005,0))</f>
        <v>#N/A</v>
      </c>
      <c r="G22" t="e">
        <f>INDEX(Establishment!C$2:C$1005,MATCH($E22,Establishment!$A$2:$A$1005,0))</f>
        <v>#N/A</v>
      </c>
      <c r="M22">
        <f t="shared" si="6"/>
        <v>0</v>
      </c>
      <c r="N22">
        <f t="shared" si="4"/>
        <v>0</v>
      </c>
      <c r="P22" t="e">
        <f>INDEX(Items!B$2:B$1032,MATCH($O22,Items!$A$2:$A$1032,0))</f>
        <v>#N/A</v>
      </c>
      <c r="Q22" t="e">
        <f>INDEX(Items!C$2:C$1032,MATCH($O22,Items!$A$2:$A$1032,0))</f>
        <v>#N/A</v>
      </c>
      <c r="R22" t="e">
        <f>INDEX(Items!D$2:D$1032,MATCH($O22,Items!$A$2:$A$1032,0))</f>
        <v>#N/A</v>
      </c>
    </row>
    <row r="23" spans="1:18" x14ac:dyDescent="0.25">
      <c r="A23">
        <f t="shared" si="0"/>
        <v>1</v>
      </c>
      <c r="B23" t="str">
        <f t="shared" si="1"/>
        <v/>
      </c>
      <c r="C23">
        <f t="shared" si="5"/>
        <v>1</v>
      </c>
      <c r="D23" s="4"/>
      <c r="F23" t="e">
        <f>INDEX(Establishment!B$2:B$1005,MATCH($E23,Establishment!$A$2:$A$1005,0))</f>
        <v>#N/A</v>
      </c>
      <c r="G23" t="e">
        <f>INDEX(Establishment!C$2:C$1005,MATCH($E23,Establishment!$A$2:$A$1005,0))</f>
        <v>#N/A</v>
      </c>
      <c r="M23">
        <f t="shared" si="6"/>
        <v>0</v>
      </c>
      <c r="N23">
        <f t="shared" si="4"/>
        <v>0</v>
      </c>
      <c r="P23" t="e">
        <f>INDEX(Items!B$2:B$1032,MATCH($O23,Items!$A$2:$A$1032,0))</f>
        <v>#N/A</v>
      </c>
      <c r="Q23" t="e">
        <f>INDEX(Items!C$2:C$1032,MATCH($O23,Items!$A$2:$A$1032,0))</f>
        <v>#N/A</v>
      </c>
      <c r="R23" t="e">
        <f>INDEX(Items!D$2:D$1032,MATCH($O23,Items!$A$2:$A$1032,0))</f>
        <v>#N/A</v>
      </c>
    </row>
    <row r="24" spans="1:18" x14ac:dyDescent="0.25">
      <c r="A24">
        <f t="shared" si="0"/>
        <v>1</v>
      </c>
      <c r="B24" t="str">
        <f t="shared" si="1"/>
        <v/>
      </c>
      <c r="C24">
        <f t="shared" si="5"/>
        <v>1</v>
      </c>
      <c r="D24" s="4"/>
      <c r="F24" t="e">
        <f>INDEX(Establishment!B$2:B$1005,MATCH($E24,Establishment!$A$2:$A$1005,0))</f>
        <v>#N/A</v>
      </c>
      <c r="G24" t="e">
        <f>INDEX(Establishment!C$2:C$1005,MATCH($E24,Establishment!$A$2:$A$1005,0))</f>
        <v>#N/A</v>
      </c>
      <c r="M24">
        <f t="shared" si="6"/>
        <v>0</v>
      </c>
      <c r="N24">
        <f t="shared" si="4"/>
        <v>0</v>
      </c>
      <c r="P24" t="e">
        <f>INDEX(Items!B$2:B$1032,MATCH($O24,Items!$A$2:$A$1032,0))</f>
        <v>#N/A</v>
      </c>
      <c r="Q24" t="e">
        <f>INDEX(Items!C$2:C$1032,MATCH($O24,Items!$A$2:$A$1032,0))</f>
        <v>#N/A</v>
      </c>
      <c r="R24" t="e">
        <f>INDEX(Items!D$2:D$1032,MATCH($O24,Items!$A$2:$A$1032,0))</f>
        <v>#N/A</v>
      </c>
    </row>
    <row r="25" spans="1:18" x14ac:dyDescent="0.25">
      <c r="A25">
        <f t="shared" si="0"/>
        <v>1</v>
      </c>
      <c r="B25" t="str">
        <f t="shared" si="1"/>
        <v/>
      </c>
      <c r="C25">
        <f t="shared" si="5"/>
        <v>1</v>
      </c>
      <c r="D25" s="4"/>
      <c r="F25" t="e">
        <f>INDEX(Establishment!B$2:B$1005,MATCH($E25,Establishment!$A$2:$A$1005,0))</f>
        <v>#N/A</v>
      </c>
      <c r="G25" t="e">
        <f>INDEX(Establishment!C$2:C$1005,MATCH($E25,Establishment!$A$2:$A$1005,0))</f>
        <v>#N/A</v>
      </c>
      <c r="M25">
        <f t="shared" si="6"/>
        <v>0</v>
      </c>
      <c r="N25">
        <f t="shared" si="4"/>
        <v>0</v>
      </c>
      <c r="P25" t="e">
        <f>INDEX(Items!B$2:B$1032,MATCH($O25,Items!$A$2:$A$1032,0))</f>
        <v>#N/A</v>
      </c>
      <c r="Q25" t="e">
        <f>INDEX(Items!C$2:C$1032,MATCH($O25,Items!$A$2:$A$1032,0))</f>
        <v>#N/A</v>
      </c>
      <c r="R25" t="e">
        <f>INDEX(Items!D$2:D$1032,MATCH($O25,Items!$A$2:$A$1032,0))</f>
        <v>#N/A</v>
      </c>
    </row>
    <row r="26" spans="1:18" x14ac:dyDescent="0.25">
      <c r="A26">
        <f t="shared" si="0"/>
        <v>1</v>
      </c>
      <c r="B26" t="str">
        <f t="shared" si="1"/>
        <v/>
      </c>
      <c r="C26">
        <f t="shared" si="5"/>
        <v>1</v>
      </c>
      <c r="D26" s="4"/>
      <c r="F26" t="s">
        <v>43</v>
      </c>
      <c r="G26" t="s">
        <v>44</v>
      </c>
      <c r="M26">
        <f t="shared" si="6"/>
        <v>0</v>
      </c>
      <c r="N26">
        <f t="shared" si="4"/>
        <v>0</v>
      </c>
      <c r="P26" t="e">
        <f>INDEX(Items!B$2:B$1032,MATCH($O26,Items!$A$2:$A$1032,0))</f>
        <v>#N/A</v>
      </c>
      <c r="Q26" t="e">
        <f>INDEX(Items!C$2:C$1032,MATCH($O26,Items!$A$2:$A$1032,0))</f>
        <v>#N/A</v>
      </c>
      <c r="R26" t="e">
        <f>INDEX(Items!D$2:D$1032,MATCH($O26,Items!$A$2:$A$1032,0))</f>
        <v>#N/A</v>
      </c>
    </row>
    <row r="27" spans="1:18" x14ac:dyDescent="0.25">
      <c r="A27">
        <f t="shared" si="0"/>
        <v>1</v>
      </c>
      <c r="B27" t="str">
        <f t="shared" si="1"/>
        <v/>
      </c>
      <c r="C27">
        <f t="shared" si="5"/>
        <v>1</v>
      </c>
      <c r="D27" s="4"/>
      <c r="F27" t="s">
        <v>43</v>
      </c>
      <c r="G27" t="s">
        <v>44</v>
      </c>
      <c r="M27">
        <f t="shared" si="6"/>
        <v>0</v>
      </c>
      <c r="N27">
        <f t="shared" si="4"/>
        <v>0</v>
      </c>
      <c r="P27" t="e">
        <f>INDEX(Items!B$2:B$1032,MATCH($O27,Items!$A$2:$A$1032,0))</f>
        <v>#N/A</v>
      </c>
      <c r="Q27" t="e">
        <f>INDEX(Items!C$2:C$1032,MATCH($O27,Items!$A$2:$A$1032,0))</f>
        <v>#N/A</v>
      </c>
      <c r="R27" t="e">
        <f>INDEX(Items!D$2:D$1032,MATCH($O27,Items!$A$2:$A$1032,0))</f>
        <v>#N/A</v>
      </c>
    </row>
    <row r="28" spans="1:18" x14ac:dyDescent="0.25">
      <c r="A28">
        <f t="shared" si="0"/>
        <v>1</v>
      </c>
      <c r="B28" t="str">
        <f t="shared" si="1"/>
        <v/>
      </c>
      <c r="C28">
        <f t="shared" si="5"/>
        <v>1</v>
      </c>
      <c r="D28" s="4"/>
      <c r="F28" t="s">
        <v>43</v>
      </c>
      <c r="G28" t="s">
        <v>44</v>
      </c>
      <c r="M28">
        <f t="shared" si="6"/>
        <v>0</v>
      </c>
      <c r="N28">
        <f t="shared" si="4"/>
        <v>0</v>
      </c>
      <c r="P28" t="e">
        <f>INDEX(Items!B$2:B$1032,MATCH($O28,Items!$A$2:$A$1032,0))</f>
        <v>#N/A</v>
      </c>
      <c r="Q28" t="e">
        <f>INDEX(Items!C$2:C$1032,MATCH($O28,Items!$A$2:$A$1032,0))</f>
        <v>#N/A</v>
      </c>
      <c r="R28" t="e">
        <f>INDEX(Items!D$2:D$1032,MATCH($O28,Items!$A$2:$A$1032,0))</f>
        <v>#N/A</v>
      </c>
    </row>
    <row r="29" spans="1:18" x14ac:dyDescent="0.25">
      <c r="A29">
        <f t="shared" si="0"/>
        <v>1</v>
      </c>
      <c r="B29" t="str">
        <f t="shared" si="1"/>
        <v/>
      </c>
      <c r="C29">
        <f t="shared" si="5"/>
        <v>1</v>
      </c>
      <c r="D29" s="4"/>
      <c r="F29" t="e">
        <f>INDEX(Establishment!B$2:B$1005,MATCH($E29,Establishment!$A$2:$A$1005,0))</f>
        <v>#N/A</v>
      </c>
      <c r="G29" t="e">
        <f>INDEX(Establishment!C$2:C$1005,MATCH($E29,Establishment!$A$2:$A$1005,0))</f>
        <v>#N/A</v>
      </c>
      <c r="M29">
        <f t="shared" si="6"/>
        <v>0</v>
      </c>
      <c r="N29">
        <f t="shared" si="4"/>
        <v>0</v>
      </c>
      <c r="P29" t="e">
        <f>INDEX(Items!B$2:B$1032,MATCH($O29,Items!$A$2:$A$1032,0))</f>
        <v>#N/A</v>
      </c>
      <c r="Q29" t="e">
        <f>INDEX(Items!C$2:C$1032,MATCH($O29,Items!$A$2:$A$1032,0))</f>
        <v>#N/A</v>
      </c>
      <c r="R29" t="e">
        <f>INDEX(Items!D$2:D$1032,MATCH($O29,Items!$A$2:$A$1032,0))</f>
        <v>#N/A</v>
      </c>
    </row>
    <row r="30" spans="1:18" x14ac:dyDescent="0.25">
      <c r="A30">
        <f t="shared" si="0"/>
        <v>1</v>
      </c>
      <c r="B30" t="str">
        <f t="shared" si="1"/>
        <v/>
      </c>
      <c r="C30">
        <f t="shared" si="5"/>
        <v>1</v>
      </c>
      <c r="D30" s="4"/>
      <c r="F30" t="e">
        <f>INDEX(Establishment!B$2:B$1005,MATCH($E30,Establishment!$A$2:$A$1005,0))</f>
        <v>#N/A</v>
      </c>
      <c r="G30" t="e">
        <f>INDEX(Establishment!C$2:C$1005,MATCH($E30,Establishment!$A$2:$A$1005,0))</f>
        <v>#N/A</v>
      </c>
      <c r="M30">
        <f t="shared" si="6"/>
        <v>0</v>
      </c>
      <c r="N30">
        <f t="shared" si="4"/>
        <v>0</v>
      </c>
      <c r="P30" t="e">
        <f>INDEX(Items!B$2:B$1032,MATCH($O30,Items!$A$2:$A$1032,0))</f>
        <v>#N/A</v>
      </c>
      <c r="Q30" t="e">
        <f>INDEX(Items!C$2:C$1032,MATCH($O30,Items!$A$2:$A$1032,0))</f>
        <v>#N/A</v>
      </c>
      <c r="R30" t="e">
        <f>INDEX(Items!D$2:D$1032,MATCH($O30,Items!$A$2:$A$1032,0))</f>
        <v>#N/A</v>
      </c>
    </row>
    <row r="31" spans="1:18" x14ac:dyDescent="0.25">
      <c r="A31">
        <f t="shared" si="0"/>
        <v>1</v>
      </c>
      <c r="B31" t="str">
        <f t="shared" si="1"/>
        <v/>
      </c>
      <c r="C31">
        <f t="shared" si="5"/>
        <v>1</v>
      </c>
      <c r="D31" s="4"/>
      <c r="F31" t="e">
        <f>INDEX(Establishment!B$2:B$1005,MATCH($E31,Establishment!$A$2:$A$1005,0))</f>
        <v>#N/A</v>
      </c>
      <c r="G31" t="e">
        <f>INDEX(Establishment!C$2:C$1005,MATCH($E31,Establishment!$A$2:$A$1005,0))</f>
        <v>#N/A</v>
      </c>
      <c r="M31">
        <f t="shared" si="6"/>
        <v>0</v>
      </c>
      <c r="N31">
        <f t="shared" si="4"/>
        <v>0</v>
      </c>
      <c r="P31" t="e">
        <f>INDEX(Items!B$2:B$1032,MATCH($O31,Items!$A$2:$A$1032,0))</f>
        <v>#N/A</v>
      </c>
      <c r="Q31" t="e">
        <f>INDEX(Items!C$2:C$1032,MATCH($O31,Items!$A$2:$A$1032,0))</f>
        <v>#N/A</v>
      </c>
      <c r="R31" t="e">
        <f>INDEX(Items!D$2:D$1032,MATCH($O31,Items!$A$2:$A$1032,0))</f>
        <v>#N/A</v>
      </c>
    </row>
    <row r="32" spans="1:18" x14ac:dyDescent="0.25">
      <c r="A32">
        <f t="shared" si="0"/>
        <v>1</v>
      </c>
      <c r="B32" t="str">
        <f t="shared" si="1"/>
        <v/>
      </c>
      <c r="C32">
        <f t="shared" si="5"/>
        <v>1</v>
      </c>
      <c r="D32" s="4"/>
      <c r="F32" t="s">
        <v>43</v>
      </c>
      <c r="G32" t="s">
        <v>46</v>
      </c>
      <c r="M32">
        <f t="shared" si="6"/>
        <v>0</v>
      </c>
      <c r="N32">
        <f t="shared" si="4"/>
        <v>0</v>
      </c>
      <c r="P32" t="e">
        <f>INDEX(Items!B$2:B$1032,MATCH($O32,Items!$A$2:$A$1032,0))</f>
        <v>#N/A</v>
      </c>
      <c r="Q32" t="e">
        <f>INDEX(Items!C$2:C$1032,MATCH($O32,Items!$A$2:$A$1032,0))</f>
        <v>#N/A</v>
      </c>
      <c r="R32" t="e">
        <f>INDEX(Items!D$2:D$1032,MATCH($O32,Items!$A$2:$A$1032,0))</f>
        <v>#N/A</v>
      </c>
    </row>
    <row r="33" spans="1:18" x14ac:dyDescent="0.25">
      <c r="A33">
        <f t="shared" si="0"/>
        <v>1</v>
      </c>
      <c r="B33" t="str">
        <f t="shared" si="1"/>
        <v/>
      </c>
      <c r="C33">
        <f t="shared" si="5"/>
        <v>1</v>
      </c>
      <c r="D33" s="4"/>
      <c r="F33" t="s">
        <v>43</v>
      </c>
      <c r="G33" t="s">
        <v>46</v>
      </c>
      <c r="M33">
        <f t="shared" si="6"/>
        <v>0</v>
      </c>
      <c r="N33">
        <f t="shared" si="4"/>
        <v>0</v>
      </c>
      <c r="P33" t="e">
        <f>INDEX(Items!B$2:B$1032,MATCH($O33,Items!$A$2:$A$1032,0))</f>
        <v>#N/A</v>
      </c>
      <c r="Q33" t="e">
        <f>INDEX(Items!C$2:C$1032,MATCH($O33,Items!$A$2:$A$1032,0))</f>
        <v>#N/A</v>
      </c>
      <c r="R33" t="e">
        <f>INDEX(Items!D$2:D$1032,MATCH($O33,Items!$A$2:$A$1032,0))</f>
        <v>#N/A</v>
      </c>
    </row>
    <row r="34" spans="1:18" x14ac:dyDescent="0.25">
      <c r="A34">
        <f t="shared" si="0"/>
        <v>1</v>
      </c>
      <c r="B34" t="str">
        <f t="shared" si="1"/>
        <v/>
      </c>
      <c r="C34">
        <f t="shared" si="5"/>
        <v>1</v>
      </c>
      <c r="D34" s="4"/>
      <c r="F34" t="s">
        <v>43</v>
      </c>
      <c r="G34" t="s">
        <v>46</v>
      </c>
      <c r="M34">
        <f t="shared" si="6"/>
        <v>0</v>
      </c>
      <c r="N34">
        <f t="shared" si="4"/>
        <v>0</v>
      </c>
      <c r="P34" t="e">
        <f>INDEX(Items!B$2:B$1032,MATCH($O34,Items!$A$2:$A$1032,0))</f>
        <v>#N/A</v>
      </c>
      <c r="Q34" t="e">
        <f>INDEX(Items!C$2:C$1032,MATCH($O34,Items!$A$2:$A$1032,0))</f>
        <v>#N/A</v>
      </c>
      <c r="R34" t="e">
        <f>INDEX(Items!D$2:D$1032,MATCH($O34,Items!$A$2:$A$1032,0))</f>
        <v>#N/A</v>
      </c>
    </row>
    <row r="35" spans="1:18" x14ac:dyDescent="0.25">
      <c r="A35">
        <f t="shared" si="0"/>
        <v>1</v>
      </c>
      <c r="B35" t="str">
        <f t="shared" si="1"/>
        <v/>
      </c>
      <c r="C35">
        <f t="shared" si="5"/>
        <v>1</v>
      </c>
      <c r="D35" s="4"/>
      <c r="F35" t="s">
        <v>43</v>
      </c>
      <c r="G35" t="s">
        <v>46</v>
      </c>
      <c r="M35">
        <f t="shared" si="6"/>
        <v>0</v>
      </c>
      <c r="N35">
        <f t="shared" si="4"/>
        <v>0</v>
      </c>
      <c r="P35" t="e">
        <f>INDEX(Items!B$2:B$1032,MATCH($O35,Items!$A$2:$A$1032,0))</f>
        <v>#N/A</v>
      </c>
      <c r="Q35" t="e">
        <f>INDEX(Items!C$2:C$1032,MATCH($O35,Items!$A$2:$A$1032,0))</f>
        <v>#N/A</v>
      </c>
      <c r="R35" t="e">
        <f>INDEX(Items!D$2:D$1032,MATCH($O35,Items!$A$2:$A$1032,0))</f>
        <v>#N/A</v>
      </c>
    </row>
    <row r="36" spans="1:18" x14ac:dyDescent="0.25">
      <c r="A36">
        <f t="shared" si="0"/>
        <v>1</v>
      </c>
      <c r="B36" t="str">
        <f t="shared" si="1"/>
        <v/>
      </c>
      <c r="C36">
        <f t="shared" si="5"/>
        <v>1</v>
      </c>
      <c r="D36" s="4"/>
      <c r="F36" t="s">
        <v>47</v>
      </c>
      <c r="G36" t="s">
        <v>46</v>
      </c>
      <c r="M36">
        <f t="shared" si="6"/>
        <v>0</v>
      </c>
      <c r="N36">
        <f t="shared" si="4"/>
        <v>0</v>
      </c>
      <c r="P36" t="e">
        <f>INDEX(Items!B$2:B$1032,MATCH($O36,Items!$A$2:$A$1032,0))</f>
        <v>#N/A</v>
      </c>
      <c r="Q36" t="e">
        <f>INDEX(Items!C$2:C$1032,MATCH($O36,Items!$A$2:$A$1032,0))</f>
        <v>#N/A</v>
      </c>
      <c r="R36" t="e">
        <f>INDEX(Items!D$2:D$1032,MATCH($O36,Items!$A$2:$A$1032,0))</f>
        <v>#N/A</v>
      </c>
    </row>
    <row r="37" spans="1:18" x14ac:dyDescent="0.25">
      <c r="A37">
        <f t="shared" si="0"/>
        <v>1</v>
      </c>
      <c r="B37" t="str">
        <f t="shared" si="1"/>
        <v/>
      </c>
      <c r="C37">
        <f t="shared" si="5"/>
        <v>1</v>
      </c>
      <c r="D37" s="4"/>
      <c r="F37" t="s">
        <v>47</v>
      </c>
      <c r="G37" t="s">
        <v>46</v>
      </c>
      <c r="M37">
        <f t="shared" si="6"/>
        <v>0</v>
      </c>
      <c r="N37">
        <f t="shared" si="4"/>
        <v>0</v>
      </c>
      <c r="P37" t="e">
        <f>INDEX(Items!B$2:B$1032,MATCH($O37,Items!$A$2:$A$1032,0))</f>
        <v>#N/A</v>
      </c>
      <c r="Q37" t="e">
        <f>INDEX(Items!C$2:C$1032,MATCH($O37,Items!$A$2:$A$1032,0))</f>
        <v>#N/A</v>
      </c>
      <c r="R37" t="e">
        <f>INDEX(Items!D$2:D$1032,MATCH($O37,Items!$A$2:$A$1032,0))</f>
        <v>#N/A</v>
      </c>
    </row>
    <row r="38" spans="1:18" x14ac:dyDescent="0.25">
      <c r="A38">
        <f t="shared" si="0"/>
        <v>1</v>
      </c>
      <c r="B38" t="str">
        <f t="shared" si="1"/>
        <v/>
      </c>
      <c r="C38">
        <f t="shared" si="5"/>
        <v>1</v>
      </c>
      <c r="D38" s="4"/>
      <c r="F38" t="s">
        <v>47</v>
      </c>
      <c r="G38" t="s">
        <v>46</v>
      </c>
      <c r="M38">
        <f t="shared" si="6"/>
        <v>0</v>
      </c>
      <c r="N38">
        <f t="shared" si="4"/>
        <v>0</v>
      </c>
      <c r="P38" t="e">
        <f>INDEX(Items!B$2:B$1032,MATCH($O38,Items!$A$2:$A$1032,0))</f>
        <v>#N/A</v>
      </c>
      <c r="Q38" t="e">
        <f>INDEX(Items!C$2:C$1032,MATCH($O38,Items!$A$2:$A$1032,0))</f>
        <v>#N/A</v>
      </c>
      <c r="R38" t="e">
        <f>INDEX(Items!D$2:D$1032,MATCH($O38,Items!$A$2:$A$1032,0))</f>
        <v>#N/A</v>
      </c>
    </row>
    <row r="39" spans="1:18" x14ac:dyDescent="0.25">
      <c r="A39">
        <f t="shared" si="0"/>
        <v>1</v>
      </c>
      <c r="B39" t="str">
        <f t="shared" si="1"/>
        <v/>
      </c>
      <c r="C39">
        <f t="shared" si="5"/>
        <v>1</v>
      </c>
      <c r="D39" s="4"/>
      <c r="F39" t="s">
        <v>47</v>
      </c>
      <c r="G39" t="s">
        <v>46</v>
      </c>
      <c r="M39">
        <f t="shared" si="6"/>
        <v>0</v>
      </c>
      <c r="N39">
        <f t="shared" si="4"/>
        <v>0</v>
      </c>
      <c r="P39" t="e">
        <f>INDEX(Items!B$2:B$1032,MATCH($O39,Items!$A$2:$A$1032,0))</f>
        <v>#N/A</v>
      </c>
      <c r="Q39" t="e">
        <f>INDEX(Items!C$2:C$1032,MATCH($O39,Items!$A$2:$A$1032,0))</f>
        <v>#N/A</v>
      </c>
      <c r="R39" t="e">
        <f>INDEX(Items!D$2:D$1032,MATCH($O39,Items!$A$2:$A$1032,0))</f>
        <v>#N/A</v>
      </c>
    </row>
    <row r="40" spans="1:18" x14ac:dyDescent="0.25">
      <c r="A40">
        <f t="shared" si="0"/>
        <v>1</v>
      </c>
      <c r="B40" t="str">
        <f t="shared" si="1"/>
        <v/>
      </c>
      <c r="C40">
        <f t="shared" si="5"/>
        <v>1</v>
      </c>
      <c r="D40" s="4"/>
      <c r="F40" t="s">
        <v>47</v>
      </c>
      <c r="G40" t="s">
        <v>46</v>
      </c>
      <c r="M40">
        <f t="shared" si="6"/>
        <v>0</v>
      </c>
      <c r="N40">
        <f t="shared" si="4"/>
        <v>0</v>
      </c>
      <c r="P40" t="e">
        <f>INDEX(Items!B$2:B$1032,MATCH($O40,Items!$A$2:$A$1032,0))</f>
        <v>#N/A</v>
      </c>
      <c r="Q40" t="e">
        <f>INDEX(Items!C$2:C$1032,MATCH($O40,Items!$A$2:$A$1032,0))</f>
        <v>#N/A</v>
      </c>
      <c r="R40" t="e">
        <f>INDEX(Items!D$2:D$1032,MATCH($O40,Items!$A$2:$A$1032,0))</f>
        <v>#N/A</v>
      </c>
    </row>
    <row r="41" spans="1:18" x14ac:dyDescent="0.25">
      <c r="A41">
        <f t="shared" si="0"/>
        <v>1</v>
      </c>
      <c r="B41" t="str">
        <f t="shared" si="1"/>
        <v/>
      </c>
      <c r="C41">
        <f t="shared" si="5"/>
        <v>1</v>
      </c>
      <c r="D41" s="4"/>
      <c r="F41" t="s">
        <v>47</v>
      </c>
      <c r="G41" t="s">
        <v>46</v>
      </c>
      <c r="M41">
        <f t="shared" si="6"/>
        <v>0</v>
      </c>
      <c r="N41">
        <f t="shared" si="4"/>
        <v>0</v>
      </c>
      <c r="P41" t="e">
        <f>INDEX(Items!B$2:B$1032,MATCH($O41,Items!$A$2:$A$1032,0))</f>
        <v>#N/A</v>
      </c>
      <c r="Q41" t="e">
        <f>INDEX(Items!C$2:C$1032,MATCH($O41,Items!$A$2:$A$1032,0))</f>
        <v>#N/A</v>
      </c>
      <c r="R41" t="e">
        <f>INDEX(Items!D$2:D$1032,MATCH($O41,Items!$A$2:$A$1032,0))</f>
        <v>#N/A</v>
      </c>
    </row>
    <row r="42" spans="1:18" x14ac:dyDescent="0.25">
      <c r="A42">
        <f t="shared" si="0"/>
        <v>1</v>
      </c>
      <c r="B42" t="str">
        <f t="shared" si="1"/>
        <v/>
      </c>
      <c r="C42">
        <f t="shared" si="5"/>
        <v>1</v>
      </c>
      <c r="D42" s="4"/>
      <c r="F42" t="s">
        <v>47</v>
      </c>
      <c r="G42" t="s">
        <v>46</v>
      </c>
      <c r="M42">
        <f t="shared" si="6"/>
        <v>0</v>
      </c>
      <c r="N42">
        <f t="shared" si="4"/>
        <v>0</v>
      </c>
      <c r="P42" t="e">
        <f>INDEX(Items!B$2:B$1032,MATCH($O42,Items!$A$2:$A$1032,0))</f>
        <v>#N/A</v>
      </c>
      <c r="Q42" t="e">
        <f>INDEX(Items!C$2:C$1032,MATCH($O42,Items!$A$2:$A$1032,0))</f>
        <v>#N/A</v>
      </c>
      <c r="R42" t="e">
        <f>INDEX(Items!D$2:D$1032,MATCH($O42,Items!$A$2:$A$1032,0))</f>
        <v>#N/A</v>
      </c>
    </row>
    <row r="43" spans="1:18" x14ac:dyDescent="0.25">
      <c r="A43">
        <f t="shared" si="0"/>
        <v>1</v>
      </c>
      <c r="B43" t="str">
        <f t="shared" si="1"/>
        <v/>
      </c>
      <c r="C43">
        <f t="shared" si="5"/>
        <v>1</v>
      </c>
      <c r="D43" s="4"/>
      <c r="F43" t="s">
        <v>47</v>
      </c>
      <c r="G43" t="s">
        <v>46</v>
      </c>
      <c r="M43">
        <f t="shared" si="6"/>
        <v>0</v>
      </c>
      <c r="N43">
        <f t="shared" si="4"/>
        <v>0</v>
      </c>
      <c r="P43" t="e">
        <f>INDEX(Items!B$2:B$1032,MATCH($O43,Items!$A$2:$A$1032,0))</f>
        <v>#N/A</v>
      </c>
      <c r="Q43" t="e">
        <f>INDEX(Items!C$2:C$1032,MATCH($O43,Items!$A$2:$A$1032,0))</f>
        <v>#N/A</v>
      </c>
      <c r="R43" t="e">
        <f>INDEX(Items!D$2:D$1032,MATCH($O43,Items!$A$2:$A$1032,0))</f>
        <v>#N/A</v>
      </c>
    </row>
    <row r="44" spans="1:18" x14ac:dyDescent="0.25">
      <c r="A44">
        <f t="shared" si="0"/>
        <v>1</v>
      </c>
      <c r="B44" t="str">
        <f t="shared" si="1"/>
        <v/>
      </c>
      <c r="C44">
        <f t="shared" si="5"/>
        <v>1</v>
      </c>
      <c r="D44" s="4"/>
      <c r="F44" t="s">
        <v>43</v>
      </c>
      <c r="G44" t="s">
        <v>48</v>
      </c>
      <c r="M44">
        <f t="shared" si="6"/>
        <v>0</v>
      </c>
      <c r="N44">
        <f t="shared" si="4"/>
        <v>0</v>
      </c>
      <c r="P44" t="e">
        <f>INDEX(Items!B$2:B$1032,MATCH($O44,Items!$A$2:$A$1032,0))</f>
        <v>#N/A</v>
      </c>
      <c r="Q44" t="e">
        <f>INDEX(Items!C$2:C$1032,MATCH($O44,Items!$A$2:$A$1032,0))</f>
        <v>#N/A</v>
      </c>
      <c r="R44" t="e">
        <f>INDEX(Items!D$2:D$1032,MATCH($O44,Items!$A$2:$A$1032,0))</f>
        <v>#N/A</v>
      </c>
    </row>
    <row r="45" spans="1:18" x14ac:dyDescent="0.25">
      <c r="A45">
        <f t="shared" si="0"/>
        <v>1</v>
      </c>
      <c r="B45" t="str">
        <f t="shared" si="1"/>
        <v/>
      </c>
      <c r="C45">
        <f t="shared" si="5"/>
        <v>1</v>
      </c>
      <c r="D45" s="4"/>
      <c r="F45" t="s">
        <v>43</v>
      </c>
      <c r="G45" t="s">
        <v>48</v>
      </c>
      <c r="M45">
        <f t="shared" si="6"/>
        <v>0</v>
      </c>
      <c r="N45">
        <f t="shared" si="4"/>
        <v>0</v>
      </c>
      <c r="P45" t="e">
        <f>INDEX(Items!B$2:B$1032,MATCH($O45,Items!$A$2:$A$1032,0))</f>
        <v>#N/A</v>
      </c>
      <c r="Q45" t="e">
        <f>INDEX(Items!C$2:C$1032,MATCH($O45,Items!$A$2:$A$1032,0))</f>
        <v>#N/A</v>
      </c>
      <c r="R45" t="e">
        <f>INDEX(Items!D$2:D$1032,MATCH($O45,Items!$A$2:$A$1032,0))</f>
        <v>#N/A</v>
      </c>
    </row>
    <row r="46" spans="1:18" x14ac:dyDescent="0.25">
      <c r="A46">
        <f t="shared" si="0"/>
        <v>1</v>
      </c>
      <c r="B46" t="str">
        <f t="shared" si="1"/>
        <v/>
      </c>
      <c r="C46">
        <f t="shared" si="5"/>
        <v>1</v>
      </c>
      <c r="D46" s="4"/>
      <c r="F46" t="e">
        <f>INDEX(Establishment!B$2:B$1005,MATCH($E46,Establishment!$A$2:$A$1005,0))</f>
        <v>#N/A</v>
      </c>
      <c r="G46" t="e">
        <f>INDEX(Establishment!C$2:C$1005,MATCH($E46,Establishment!$A$2:$A$1005,0))</f>
        <v>#N/A</v>
      </c>
      <c r="M46">
        <f t="shared" si="6"/>
        <v>0</v>
      </c>
      <c r="N46">
        <f t="shared" si="4"/>
        <v>0</v>
      </c>
      <c r="P46" t="e">
        <f>INDEX(Items!B$2:B$1032,MATCH($O46,Items!$A$2:$A$1032,0))</f>
        <v>#N/A</v>
      </c>
      <c r="Q46" t="e">
        <f>INDEX(Items!C$2:C$1032,MATCH($O46,Items!$A$2:$A$1032,0))</f>
        <v>#N/A</v>
      </c>
      <c r="R46" t="e">
        <f>INDEX(Items!D$2:D$1032,MATCH($O46,Items!$A$2:$A$1032,0))</f>
        <v>#N/A</v>
      </c>
    </row>
    <row r="47" spans="1:18" x14ac:dyDescent="0.25">
      <c r="A47">
        <f t="shared" si="0"/>
        <v>1</v>
      </c>
      <c r="B47" t="str">
        <f t="shared" si="1"/>
        <v/>
      </c>
      <c r="C47">
        <f t="shared" si="5"/>
        <v>1</v>
      </c>
      <c r="D47" s="4"/>
      <c r="F47" t="e">
        <f>INDEX(Establishment!B$2:B$1005,MATCH($E47,Establishment!$A$2:$A$1005,0))</f>
        <v>#N/A</v>
      </c>
      <c r="G47" t="e">
        <f>INDEX(Establishment!C$2:C$1005,MATCH($E47,Establishment!$A$2:$A$1005,0))</f>
        <v>#N/A</v>
      </c>
      <c r="M47">
        <f t="shared" si="6"/>
        <v>0</v>
      </c>
      <c r="N47">
        <f t="shared" si="4"/>
        <v>0</v>
      </c>
      <c r="P47" t="e">
        <f>INDEX(Items!B$2:B$1032,MATCH($O47,Items!$A$2:$A$1032,0))</f>
        <v>#N/A</v>
      </c>
      <c r="Q47" t="e">
        <f>INDEX(Items!C$2:C$1032,MATCH($O47,Items!$A$2:$A$1032,0))</f>
        <v>#N/A</v>
      </c>
      <c r="R47" t="e">
        <f>INDEX(Items!D$2:D$1032,MATCH($O47,Items!$A$2:$A$1032,0))</f>
        <v>#N/A</v>
      </c>
    </row>
    <row r="48" spans="1:18" x14ac:dyDescent="0.25">
      <c r="A48">
        <f t="shared" si="0"/>
        <v>1</v>
      </c>
      <c r="B48" t="str">
        <f t="shared" si="1"/>
        <v/>
      </c>
      <c r="C48">
        <f t="shared" si="5"/>
        <v>1</v>
      </c>
      <c r="D48" s="4"/>
      <c r="F48" t="e">
        <f>INDEX(Establishment!B$2:B$1005,MATCH($E48,Establishment!$A$2:$A$1005,0))</f>
        <v>#N/A</v>
      </c>
      <c r="G48" t="e">
        <f>INDEX(Establishment!C$2:C$1005,MATCH($E48,Establishment!$A$2:$A$1005,0))</f>
        <v>#N/A</v>
      </c>
      <c r="M48">
        <f t="shared" si="6"/>
        <v>0</v>
      </c>
      <c r="N48">
        <f t="shared" si="4"/>
        <v>0</v>
      </c>
      <c r="P48" t="e">
        <f>INDEX(Items!B$2:B$1032,MATCH($O48,Items!$A$2:$A$1032,0))</f>
        <v>#N/A</v>
      </c>
      <c r="Q48" t="e">
        <f>INDEX(Items!C$2:C$1032,MATCH($O48,Items!$A$2:$A$1032,0))</f>
        <v>#N/A</v>
      </c>
      <c r="R48" t="e">
        <f>INDEX(Items!D$2:D$1032,MATCH($O48,Items!$A$2:$A$1032,0))</f>
        <v>#N/A</v>
      </c>
    </row>
    <row r="49" spans="1:18" x14ac:dyDescent="0.25">
      <c r="A49">
        <f t="shared" si="0"/>
        <v>1</v>
      </c>
      <c r="B49" t="str">
        <f t="shared" si="1"/>
        <v/>
      </c>
      <c r="C49">
        <f t="shared" si="5"/>
        <v>1</v>
      </c>
      <c r="D49" s="4"/>
      <c r="F49" t="e">
        <f>INDEX(Establishment!B$2:B$1005,MATCH($E49,Establishment!$A$2:$A$1005,0))</f>
        <v>#N/A</v>
      </c>
      <c r="G49" t="e">
        <f>INDEX(Establishment!C$2:C$1005,MATCH($E49,Establishment!$A$2:$A$1005,0))</f>
        <v>#N/A</v>
      </c>
      <c r="M49">
        <f t="shared" si="6"/>
        <v>0</v>
      </c>
      <c r="N49">
        <f t="shared" si="4"/>
        <v>0</v>
      </c>
      <c r="P49" t="e">
        <f>INDEX(Items!B$2:B$1032,MATCH($O49,Items!$A$2:$A$1032,0))</f>
        <v>#N/A</v>
      </c>
      <c r="Q49" t="e">
        <f>INDEX(Items!C$2:C$1032,MATCH($O49,Items!$A$2:$A$1032,0))</f>
        <v>#N/A</v>
      </c>
      <c r="R49" t="e">
        <f>INDEX(Items!D$2:D$1032,MATCH($O49,Items!$A$2:$A$1032,0))</f>
        <v>#N/A</v>
      </c>
    </row>
    <row r="50" spans="1:18" x14ac:dyDescent="0.25">
      <c r="A50">
        <f t="shared" si="0"/>
        <v>1</v>
      </c>
      <c r="B50" t="str">
        <f t="shared" si="1"/>
        <v/>
      </c>
      <c r="C50">
        <f t="shared" si="5"/>
        <v>1</v>
      </c>
      <c r="D50" s="4"/>
      <c r="F50" t="e">
        <f>INDEX(Establishment!B$2:B$1005,MATCH($E50,Establishment!$A$2:$A$1005,0))</f>
        <v>#N/A</v>
      </c>
      <c r="G50" t="e">
        <f>INDEX(Establishment!C$2:C$1005,MATCH($E50,Establishment!$A$2:$A$1005,0))</f>
        <v>#N/A</v>
      </c>
      <c r="M50">
        <f t="shared" si="6"/>
        <v>0</v>
      </c>
      <c r="N50">
        <f t="shared" si="4"/>
        <v>0</v>
      </c>
      <c r="P50" t="e">
        <f>INDEX(Items!B$2:B$1032,MATCH($O50,Items!$A$2:$A$1032,0))</f>
        <v>#N/A</v>
      </c>
      <c r="Q50" t="e">
        <f>INDEX(Items!C$2:C$1032,MATCH($O50,Items!$A$2:$A$1032,0))</f>
        <v>#N/A</v>
      </c>
      <c r="R50" t="e">
        <f>INDEX(Items!D$2:D$1032,MATCH($O50,Items!$A$2:$A$1032,0))</f>
        <v>#N/A</v>
      </c>
    </row>
    <row r="51" spans="1:18" x14ac:dyDescent="0.25">
      <c r="A51">
        <f t="shared" si="0"/>
        <v>1</v>
      </c>
      <c r="B51" t="str">
        <f t="shared" si="1"/>
        <v/>
      </c>
      <c r="C51">
        <f t="shared" si="5"/>
        <v>1</v>
      </c>
      <c r="D51" s="4"/>
      <c r="F51" t="e">
        <f>INDEX(Establishment!B$2:B$1005,MATCH($E51,Establishment!$A$2:$A$1005,0))</f>
        <v>#N/A</v>
      </c>
      <c r="G51" t="e">
        <f>INDEX(Establishment!C$2:C$1005,MATCH($E51,Establishment!$A$2:$A$1005,0))</f>
        <v>#N/A</v>
      </c>
      <c r="M51">
        <f t="shared" si="6"/>
        <v>0</v>
      </c>
      <c r="N51">
        <f t="shared" si="4"/>
        <v>0</v>
      </c>
      <c r="P51" t="e">
        <f>INDEX(Items!B$2:B$1032,MATCH($O51,Items!$A$2:$A$1032,0))</f>
        <v>#N/A</v>
      </c>
      <c r="Q51" t="e">
        <f>INDEX(Items!C$2:C$1032,MATCH($O51,Items!$A$2:$A$1032,0))</f>
        <v>#N/A</v>
      </c>
      <c r="R51" t="e">
        <f>INDEX(Items!D$2:D$1032,MATCH($O51,Items!$A$2:$A$1032,0))</f>
        <v>#N/A</v>
      </c>
    </row>
    <row r="52" spans="1:18" x14ac:dyDescent="0.25">
      <c r="A52">
        <f t="shared" si="0"/>
        <v>1</v>
      </c>
      <c r="B52" t="str">
        <f t="shared" si="1"/>
        <v/>
      </c>
      <c r="C52">
        <f t="shared" si="5"/>
        <v>1</v>
      </c>
      <c r="D52" s="4"/>
      <c r="F52" t="e">
        <f>INDEX(Establishment!B$2:B$1005,MATCH($E52,Establishment!$A$2:$A$1005,0))</f>
        <v>#N/A</v>
      </c>
      <c r="G52" t="e">
        <f>INDEX(Establishment!C$2:C$1005,MATCH($E52,Establishment!$A$2:$A$1005,0))</f>
        <v>#N/A</v>
      </c>
      <c r="M52">
        <f t="shared" si="6"/>
        <v>0</v>
      </c>
      <c r="N52">
        <f t="shared" si="4"/>
        <v>0</v>
      </c>
      <c r="P52" t="e">
        <f>INDEX(Items!B$2:B$1032,MATCH($O52,Items!$A$2:$A$1032,0))</f>
        <v>#N/A</v>
      </c>
      <c r="Q52" t="e">
        <f>INDEX(Items!C$2:C$1032,MATCH($O52,Items!$A$2:$A$1032,0))</f>
        <v>#N/A</v>
      </c>
      <c r="R52" t="e">
        <f>INDEX(Items!D$2:D$1032,MATCH($O52,Items!$A$2:$A$1032,0))</f>
        <v>#N/A</v>
      </c>
    </row>
    <row r="53" spans="1:18" x14ac:dyDescent="0.25">
      <c r="A53">
        <f t="shared" si="0"/>
        <v>1</v>
      </c>
      <c r="B53" t="str">
        <f t="shared" si="1"/>
        <v/>
      </c>
      <c r="C53">
        <f t="shared" si="5"/>
        <v>1</v>
      </c>
      <c r="D53" s="4"/>
      <c r="F53" t="e">
        <f>INDEX(Establishment!B$2:B$1005,MATCH($E53,Establishment!$A$2:$A$1005,0))</f>
        <v>#N/A</v>
      </c>
      <c r="G53" t="e">
        <f>INDEX(Establishment!C$2:C$1005,MATCH($E53,Establishment!$A$2:$A$1005,0))</f>
        <v>#N/A</v>
      </c>
      <c r="M53">
        <f t="shared" si="6"/>
        <v>0</v>
      </c>
      <c r="N53">
        <f t="shared" si="4"/>
        <v>0</v>
      </c>
      <c r="P53" t="e">
        <f>INDEX(Items!B$2:B$1032,MATCH($O53,Items!$A$2:$A$1032,0))</f>
        <v>#N/A</v>
      </c>
      <c r="Q53" t="e">
        <f>INDEX(Items!C$2:C$1032,MATCH($O53,Items!$A$2:$A$1032,0))</f>
        <v>#N/A</v>
      </c>
      <c r="R53" t="e">
        <f>INDEX(Items!D$2:D$1032,MATCH($O53,Items!$A$2:$A$1032,0))</f>
        <v>#N/A</v>
      </c>
    </row>
    <row r="54" spans="1:18" x14ac:dyDescent="0.25">
      <c r="A54">
        <f t="shared" si="0"/>
        <v>1</v>
      </c>
      <c r="B54" t="str">
        <f t="shared" si="1"/>
        <v/>
      </c>
      <c r="C54">
        <f t="shared" si="5"/>
        <v>1</v>
      </c>
      <c r="D54" s="4"/>
      <c r="F54" t="e">
        <f>INDEX(Establishment!B$2:B$1005,MATCH($E54,Establishment!$A$2:$A$1005,0))</f>
        <v>#N/A</v>
      </c>
      <c r="G54" t="e">
        <f>INDEX(Establishment!C$2:C$1005,MATCH($E54,Establishment!$A$2:$A$1005,0))</f>
        <v>#N/A</v>
      </c>
      <c r="M54">
        <f t="shared" si="6"/>
        <v>0</v>
      </c>
      <c r="N54">
        <f t="shared" si="4"/>
        <v>0</v>
      </c>
      <c r="P54" t="e">
        <f>INDEX(Items!B$2:B$1032,MATCH($O54,Items!$A$2:$A$1032,0))</f>
        <v>#N/A</v>
      </c>
      <c r="Q54" t="e">
        <f>INDEX(Items!C$2:C$1032,MATCH($O54,Items!$A$2:$A$1032,0))</f>
        <v>#N/A</v>
      </c>
      <c r="R54" t="e">
        <f>INDEX(Items!D$2:D$1032,MATCH($O54,Items!$A$2:$A$1032,0))</f>
        <v>#N/A</v>
      </c>
    </row>
    <row r="55" spans="1:18" x14ac:dyDescent="0.25">
      <c r="A55">
        <f t="shared" si="0"/>
        <v>1</v>
      </c>
      <c r="B55" t="str">
        <f t="shared" si="1"/>
        <v/>
      </c>
      <c r="C55">
        <f t="shared" si="5"/>
        <v>1</v>
      </c>
      <c r="D55" s="4"/>
      <c r="F55" t="e">
        <f>INDEX(Establishment!B$2:B$1005,MATCH($E55,Establishment!$A$2:$A$1005,0))</f>
        <v>#N/A</v>
      </c>
      <c r="G55" t="e">
        <f>INDEX(Establishment!C$2:C$1005,MATCH($E55,Establishment!$A$2:$A$1005,0))</f>
        <v>#N/A</v>
      </c>
      <c r="M55">
        <f t="shared" si="6"/>
        <v>0</v>
      </c>
      <c r="N55">
        <f t="shared" si="4"/>
        <v>0</v>
      </c>
      <c r="P55" t="e">
        <f>INDEX(Items!B$2:B$1032,MATCH($O55,Items!$A$2:$A$1032,0))</f>
        <v>#N/A</v>
      </c>
      <c r="Q55" t="e">
        <f>INDEX(Items!C$2:C$1032,MATCH($O55,Items!$A$2:$A$1032,0))</f>
        <v>#N/A</v>
      </c>
      <c r="R55" t="e">
        <f>INDEX(Items!D$2:D$1032,MATCH($O55,Items!$A$2:$A$1032,0))</f>
        <v>#N/A</v>
      </c>
    </row>
    <row r="56" spans="1:18" x14ac:dyDescent="0.25">
      <c r="A56">
        <f t="shared" si="0"/>
        <v>1</v>
      </c>
      <c r="B56" t="str">
        <f t="shared" si="1"/>
        <v/>
      </c>
      <c r="C56">
        <f t="shared" si="5"/>
        <v>1</v>
      </c>
      <c r="D56" s="4"/>
      <c r="F56" t="e">
        <f>INDEX(Establishment!B$2:B$1005,MATCH($E56,Establishment!$A$2:$A$1005,0))</f>
        <v>#N/A</v>
      </c>
      <c r="G56" t="e">
        <f>INDEX(Establishment!C$2:C$1005,MATCH($E56,Establishment!$A$2:$A$1005,0))</f>
        <v>#N/A</v>
      </c>
      <c r="M56">
        <f t="shared" si="6"/>
        <v>0</v>
      </c>
      <c r="N56">
        <f t="shared" si="4"/>
        <v>0</v>
      </c>
      <c r="P56" t="e">
        <f>INDEX(Items!B$2:B$1032,MATCH($O56,Items!$A$2:$A$1032,0))</f>
        <v>#N/A</v>
      </c>
      <c r="Q56" t="e">
        <f>INDEX(Items!C$2:C$1032,MATCH($O56,Items!$A$2:$A$1032,0))</f>
        <v>#N/A</v>
      </c>
      <c r="R56" t="e">
        <f>INDEX(Items!D$2:D$1032,MATCH($O56,Items!$A$2:$A$1032,0))</f>
        <v>#N/A</v>
      </c>
    </row>
    <row r="57" spans="1:18" x14ac:dyDescent="0.25">
      <c r="A57">
        <f t="shared" si="0"/>
        <v>1</v>
      </c>
      <c r="B57" t="str">
        <f t="shared" si="1"/>
        <v/>
      </c>
      <c r="C57">
        <f t="shared" si="5"/>
        <v>1</v>
      </c>
      <c r="D57" s="4"/>
      <c r="F57" t="e">
        <f>INDEX(Establishment!B$2:B$1005,MATCH($E57,Establishment!$A$2:$A$1005,0))</f>
        <v>#N/A</v>
      </c>
      <c r="G57" t="e">
        <f>INDEX(Establishment!C$2:C$1005,MATCH($E57,Establishment!$A$2:$A$1005,0))</f>
        <v>#N/A</v>
      </c>
      <c r="M57">
        <f t="shared" si="6"/>
        <v>0</v>
      </c>
      <c r="N57">
        <f t="shared" si="4"/>
        <v>0</v>
      </c>
      <c r="P57" t="e">
        <f>INDEX(Items!B$2:B$1032,MATCH($O57,Items!$A$2:$A$1032,0))</f>
        <v>#N/A</v>
      </c>
      <c r="Q57" t="e">
        <f>INDEX(Items!C$2:C$1032,MATCH($O57,Items!$A$2:$A$1032,0))</f>
        <v>#N/A</v>
      </c>
      <c r="R57" t="e">
        <f>INDEX(Items!D$2:D$1032,MATCH($O57,Items!$A$2:$A$1032,0))</f>
        <v>#N/A</v>
      </c>
    </row>
    <row r="58" spans="1:18" x14ac:dyDescent="0.25">
      <c r="A58">
        <f t="shared" si="0"/>
        <v>1</v>
      </c>
      <c r="B58" t="str">
        <f t="shared" si="1"/>
        <v/>
      </c>
      <c r="C58">
        <f t="shared" si="5"/>
        <v>1</v>
      </c>
      <c r="D58" s="4"/>
      <c r="F58" t="e">
        <f>INDEX(Establishment!B$2:B$1005,MATCH($E58,Establishment!$A$2:$A$1005,0))</f>
        <v>#N/A</v>
      </c>
      <c r="G58" t="e">
        <f>INDEX(Establishment!C$2:C$1005,MATCH($E58,Establishment!$A$2:$A$1005,0))</f>
        <v>#N/A</v>
      </c>
      <c r="M58">
        <f t="shared" si="6"/>
        <v>0</v>
      </c>
      <c r="N58">
        <f t="shared" si="4"/>
        <v>0</v>
      </c>
      <c r="P58" t="e">
        <f>INDEX(Items!B$2:B$1032,MATCH($O58,Items!$A$2:$A$1032,0))</f>
        <v>#N/A</v>
      </c>
      <c r="Q58" t="e">
        <f>INDEX(Items!C$2:C$1032,MATCH($O58,Items!$A$2:$A$1032,0))</f>
        <v>#N/A</v>
      </c>
      <c r="R58" t="e">
        <f>INDEX(Items!D$2:D$1032,MATCH($O58,Items!$A$2:$A$1032,0))</f>
        <v>#N/A</v>
      </c>
    </row>
    <row r="59" spans="1:18" x14ac:dyDescent="0.25">
      <c r="A59">
        <f t="shared" si="0"/>
        <v>1</v>
      </c>
      <c r="B59" t="str">
        <f t="shared" si="1"/>
        <v/>
      </c>
      <c r="C59">
        <f t="shared" si="5"/>
        <v>1</v>
      </c>
      <c r="D59" s="4"/>
      <c r="F59" t="e">
        <f>INDEX(Establishment!B$2:B$1005,MATCH($E59,Establishment!$A$2:$A$1005,0))</f>
        <v>#N/A</v>
      </c>
      <c r="G59" t="e">
        <f>INDEX(Establishment!C$2:C$1005,MATCH($E59,Establishment!$A$2:$A$1005,0))</f>
        <v>#N/A</v>
      </c>
      <c r="M59">
        <f t="shared" si="6"/>
        <v>0</v>
      </c>
      <c r="N59">
        <f t="shared" si="4"/>
        <v>0</v>
      </c>
      <c r="P59" t="e">
        <f>INDEX(Items!B$2:B$1032,MATCH($O59,Items!$A$2:$A$1032,0))</f>
        <v>#N/A</v>
      </c>
      <c r="Q59" t="e">
        <f>INDEX(Items!C$2:C$1032,MATCH($O59,Items!$A$2:$A$1032,0))</f>
        <v>#N/A</v>
      </c>
      <c r="R59" t="e">
        <f>INDEX(Items!D$2:D$1032,MATCH($O59,Items!$A$2:$A$1032,0))</f>
        <v>#N/A</v>
      </c>
    </row>
    <row r="60" spans="1:18" x14ac:dyDescent="0.25">
      <c r="A60">
        <f t="shared" si="0"/>
        <v>1</v>
      </c>
      <c r="B60" t="str">
        <f t="shared" si="1"/>
        <v/>
      </c>
      <c r="C60">
        <f t="shared" si="5"/>
        <v>1</v>
      </c>
      <c r="D60" s="4"/>
      <c r="F60" t="e">
        <f>INDEX(Establishment!B$2:B$1005,MATCH($E60,Establishment!$A$2:$A$1005,0))</f>
        <v>#N/A</v>
      </c>
      <c r="G60" t="e">
        <f>INDEX(Establishment!C$2:C$1005,MATCH($E60,Establishment!$A$2:$A$1005,0))</f>
        <v>#N/A</v>
      </c>
      <c r="M60">
        <f t="shared" si="6"/>
        <v>0</v>
      </c>
      <c r="N60">
        <f t="shared" si="4"/>
        <v>0</v>
      </c>
      <c r="P60" t="e">
        <f>INDEX(Items!B$2:B$1032,MATCH($O60,Items!$A$2:$A$1032,0))</f>
        <v>#N/A</v>
      </c>
      <c r="Q60" t="e">
        <f>INDEX(Items!C$2:C$1032,MATCH($O60,Items!$A$2:$A$1032,0))</f>
        <v>#N/A</v>
      </c>
      <c r="R60" t="e">
        <f>INDEX(Items!D$2:D$1032,MATCH($O60,Items!$A$2:$A$1032,0))</f>
        <v>#N/A</v>
      </c>
    </row>
    <row r="61" spans="1:18" x14ac:dyDescent="0.25">
      <c r="A61">
        <f t="shared" si="0"/>
        <v>1</v>
      </c>
      <c r="B61" t="str">
        <f t="shared" si="1"/>
        <v/>
      </c>
      <c r="C61">
        <f t="shared" si="5"/>
        <v>1</v>
      </c>
      <c r="D61" s="4"/>
      <c r="F61" t="e">
        <f>INDEX(Establishment!B$2:B$1005,MATCH($E61,Establishment!$A$2:$A$1005,0))</f>
        <v>#N/A</v>
      </c>
      <c r="G61" t="e">
        <f>INDEX(Establishment!C$2:C$1005,MATCH($E61,Establishment!$A$2:$A$1005,0))</f>
        <v>#N/A</v>
      </c>
      <c r="M61">
        <f t="shared" si="6"/>
        <v>0</v>
      </c>
      <c r="N61">
        <f t="shared" si="4"/>
        <v>0</v>
      </c>
      <c r="P61" t="e">
        <f>INDEX(Items!B$2:B$1032,MATCH($O61,Items!$A$2:$A$1032,0))</f>
        <v>#N/A</v>
      </c>
      <c r="Q61" t="e">
        <f>INDEX(Items!C$2:C$1032,MATCH($O61,Items!$A$2:$A$1032,0))</f>
        <v>#N/A</v>
      </c>
      <c r="R61" t="e">
        <f>INDEX(Items!D$2:D$1032,MATCH($O61,Items!$A$2:$A$1032,0))</f>
        <v>#N/A</v>
      </c>
    </row>
    <row r="62" spans="1:18" x14ac:dyDescent="0.25">
      <c r="A62">
        <f t="shared" si="0"/>
        <v>1</v>
      </c>
      <c r="B62" t="str">
        <f t="shared" si="1"/>
        <v/>
      </c>
      <c r="C62">
        <f t="shared" si="5"/>
        <v>1</v>
      </c>
      <c r="D62" s="4"/>
      <c r="F62" t="e">
        <f>INDEX(Establishment!B$2:B$1005,MATCH($E62,Establishment!$A$2:$A$1005,0))</f>
        <v>#N/A</v>
      </c>
      <c r="G62" t="e">
        <f>INDEX(Establishment!C$2:C$1005,MATCH($E62,Establishment!$A$2:$A$1005,0))</f>
        <v>#N/A</v>
      </c>
      <c r="M62">
        <f t="shared" si="6"/>
        <v>0</v>
      </c>
      <c r="N62">
        <f t="shared" si="4"/>
        <v>0</v>
      </c>
      <c r="P62" t="e">
        <f>INDEX(Items!B$2:B$1032,MATCH($O62,Items!$A$2:$A$1032,0))</f>
        <v>#N/A</v>
      </c>
      <c r="Q62" t="e">
        <f>INDEX(Items!C$2:C$1032,MATCH($O62,Items!$A$2:$A$1032,0))</f>
        <v>#N/A</v>
      </c>
      <c r="R62" t="e">
        <f>INDEX(Items!D$2:D$1032,MATCH($O62,Items!$A$2:$A$1032,0))</f>
        <v>#N/A</v>
      </c>
    </row>
    <row r="63" spans="1:18" x14ac:dyDescent="0.25">
      <c r="A63">
        <f t="shared" si="0"/>
        <v>1</v>
      </c>
      <c r="B63" t="str">
        <f t="shared" si="1"/>
        <v/>
      </c>
      <c r="C63">
        <f t="shared" si="5"/>
        <v>1</v>
      </c>
      <c r="D63" s="4"/>
      <c r="F63" t="e">
        <f>INDEX(Establishment!B$2:B$1005,MATCH($E63,Establishment!$A$2:$A$1005,0))</f>
        <v>#N/A</v>
      </c>
      <c r="G63" t="e">
        <f>INDEX(Establishment!C$2:C$1005,MATCH($E63,Establishment!$A$2:$A$1005,0))</f>
        <v>#N/A</v>
      </c>
      <c r="M63">
        <f t="shared" si="6"/>
        <v>0</v>
      </c>
      <c r="N63">
        <f t="shared" si="4"/>
        <v>0</v>
      </c>
      <c r="P63" t="e">
        <f>INDEX(Items!B$2:B$1032,MATCH($O63,Items!$A$2:$A$1032,0))</f>
        <v>#N/A</v>
      </c>
      <c r="Q63" t="e">
        <f>INDEX(Items!C$2:C$1032,MATCH($O63,Items!$A$2:$A$1032,0))</f>
        <v>#N/A</v>
      </c>
      <c r="R63" t="e">
        <f>INDEX(Items!D$2:D$1032,MATCH($O63,Items!$A$2:$A$1032,0))</f>
        <v>#N/A</v>
      </c>
    </row>
    <row r="64" spans="1:18" x14ac:dyDescent="0.25">
      <c r="A64">
        <f t="shared" si="0"/>
        <v>1</v>
      </c>
      <c r="B64" t="str">
        <f t="shared" si="1"/>
        <v/>
      </c>
      <c r="C64">
        <f t="shared" si="5"/>
        <v>1</v>
      </c>
      <c r="D64" s="4"/>
      <c r="F64" t="e">
        <f>INDEX(Establishment!B$2:B$1005,MATCH($E64,Establishment!$A$2:$A$1005,0))</f>
        <v>#N/A</v>
      </c>
      <c r="G64" t="e">
        <f>INDEX(Establishment!C$2:C$1005,MATCH($E64,Establishment!$A$2:$A$1005,0))</f>
        <v>#N/A</v>
      </c>
      <c r="M64">
        <f t="shared" si="6"/>
        <v>0</v>
      </c>
      <c r="N64">
        <f t="shared" si="4"/>
        <v>0</v>
      </c>
      <c r="P64" t="e">
        <f>INDEX(Items!B$2:B$1032,MATCH($O64,Items!$A$2:$A$1032,0))</f>
        <v>#N/A</v>
      </c>
      <c r="Q64" t="e">
        <f>INDEX(Items!C$2:C$1032,MATCH($O64,Items!$A$2:$A$1032,0))</f>
        <v>#N/A</v>
      </c>
      <c r="R64" t="e">
        <f>INDEX(Items!D$2:D$1032,MATCH($O64,Items!$A$2:$A$1032,0))</f>
        <v>#N/A</v>
      </c>
    </row>
    <row r="65" spans="1:18" x14ac:dyDescent="0.25">
      <c r="A65">
        <f t="shared" si="0"/>
        <v>1</v>
      </c>
      <c r="B65" t="str">
        <f t="shared" si="1"/>
        <v/>
      </c>
      <c r="C65">
        <f t="shared" si="5"/>
        <v>1</v>
      </c>
      <c r="D65" s="4"/>
      <c r="F65" t="e">
        <f>INDEX(Establishment!B$2:B$1005,MATCH($E65,Establishment!$A$2:$A$1005,0))</f>
        <v>#N/A</v>
      </c>
      <c r="G65" t="e">
        <f>INDEX(Establishment!C$2:C$1005,MATCH($E65,Establishment!$A$2:$A$1005,0))</f>
        <v>#N/A</v>
      </c>
      <c r="M65">
        <f t="shared" si="6"/>
        <v>0</v>
      </c>
      <c r="N65">
        <f t="shared" si="4"/>
        <v>0</v>
      </c>
      <c r="P65" t="e">
        <f>INDEX(Items!B$2:B$1032,MATCH($O65,Items!$A$2:$A$1032,0))</f>
        <v>#N/A</v>
      </c>
      <c r="Q65" t="e">
        <f>INDEX(Items!C$2:C$1032,MATCH($O65,Items!$A$2:$A$1032,0))</f>
        <v>#N/A</v>
      </c>
      <c r="R65" t="e">
        <f>INDEX(Items!D$2:D$1032,MATCH($O65,Items!$A$2:$A$1032,0))</f>
        <v>#N/A</v>
      </c>
    </row>
    <row r="66" spans="1:18" x14ac:dyDescent="0.25">
      <c r="A66">
        <f t="shared" ref="A66:A129" si="7">IF(OR(D66&lt;&gt;D65,D66=""),1,IF(NOT(AND(E66=E65,F66=F65,G66=G65)),A65+1,IF(OR(H66="",AND(H66&lt;&gt;"",H66&lt;&gt;H65,H65&lt;&gt;"")),A65,A65+1)))</f>
        <v>1</v>
      </c>
      <c r="B66" t="str">
        <f t="shared" ref="B66:B129" si="8">IF(D66&lt;&gt;"",TEXT(D66,"YYYYMMDD")&amp;CHAR(64+A66),"")</f>
        <v/>
      </c>
      <c r="C66">
        <f t="shared" si="5"/>
        <v>1</v>
      </c>
      <c r="D66" s="4"/>
      <c r="F66" t="e">
        <f>INDEX(Establishment!B$2:B$1005,MATCH($E66,Establishment!$A$2:$A$1005,0))</f>
        <v>#N/A</v>
      </c>
      <c r="G66" t="e">
        <f>INDEX(Establishment!C$2:C$1005,MATCH($E66,Establishment!$A$2:$A$1005,0))</f>
        <v>#N/A</v>
      </c>
      <c r="M66">
        <f t="shared" si="6"/>
        <v>0</v>
      </c>
      <c r="N66">
        <f t="shared" si="4"/>
        <v>0</v>
      </c>
      <c r="P66" t="e">
        <f>INDEX(Items!B$2:B$1032,MATCH($O66,Items!$A$2:$A$1032,0))</f>
        <v>#N/A</v>
      </c>
      <c r="Q66" t="e">
        <f>INDEX(Items!C$2:C$1032,MATCH($O66,Items!$A$2:$A$1032,0))</f>
        <v>#N/A</v>
      </c>
      <c r="R66" t="e">
        <f>INDEX(Items!D$2:D$1032,MATCH($O66,Items!$A$2:$A$1032,0))</f>
        <v>#N/A</v>
      </c>
    </row>
    <row r="67" spans="1:18" x14ac:dyDescent="0.25">
      <c r="A67">
        <f t="shared" si="7"/>
        <v>1</v>
      </c>
      <c r="B67" t="str">
        <f t="shared" si="8"/>
        <v/>
      </c>
      <c r="C67">
        <f t="shared" si="5"/>
        <v>1</v>
      </c>
      <c r="D67" s="4"/>
      <c r="F67" t="s">
        <v>43</v>
      </c>
      <c r="G67" t="s">
        <v>46</v>
      </c>
      <c r="M67">
        <f t="shared" si="6"/>
        <v>0</v>
      </c>
      <c r="N67">
        <f t="shared" ref="N67:N130" si="9">IF(B67=B66,N66+M67,M67)</f>
        <v>0</v>
      </c>
      <c r="P67" t="e">
        <f>INDEX(Items!B$2:B$1032,MATCH($O67,Items!$A$2:$A$1032,0))</f>
        <v>#N/A</v>
      </c>
      <c r="Q67" t="e">
        <f>INDEX(Items!C$2:C$1032,MATCH($O67,Items!$A$2:$A$1032,0))</f>
        <v>#N/A</v>
      </c>
      <c r="R67" t="e">
        <f>INDEX(Items!D$2:D$1032,MATCH($O67,Items!$A$2:$A$1032,0))</f>
        <v>#N/A</v>
      </c>
    </row>
    <row r="68" spans="1:18" x14ac:dyDescent="0.25">
      <c r="A68">
        <f t="shared" si="7"/>
        <v>1</v>
      </c>
      <c r="B68" t="str">
        <f t="shared" si="8"/>
        <v/>
      </c>
      <c r="C68">
        <f t="shared" si="5"/>
        <v>1</v>
      </c>
      <c r="D68" s="4"/>
      <c r="F68" t="s">
        <v>43</v>
      </c>
      <c r="G68" t="s">
        <v>46</v>
      </c>
      <c r="M68">
        <f t="shared" si="6"/>
        <v>0</v>
      </c>
      <c r="N68">
        <f t="shared" si="9"/>
        <v>0</v>
      </c>
      <c r="P68" t="e">
        <f>INDEX(Items!B$2:B$1032,MATCH($O68,Items!$A$2:$A$1032,0))</f>
        <v>#N/A</v>
      </c>
      <c r="Q68" t="e">
        <f>INDEX(Items!C$2:C$1032,MATCH($O68,Items!$A$2:$A$1032,0))</f>
        <v>#N/A</v>
      </c>
      <c r="R68" t="e">
        <f>INDEX(Items!D$2:D$1032,MATCH($O68,Items!$A$2:$A$1032,0))</f>
        <v>#N/A</v>
      </c>
    </row>
    <row r="69" spans="1:18" x14ac:dyDescent="0.25">
      <c r="A69">
        <f t="shared" si="7"/>
        <v>1</v>
      </c>
      <c r="B69" t="str">
        <f t="shared" si="8"/>
        <v/>
      </c>
      <c r="C69">
        <f t="shared" si="5"/>
        <v>1</v>
      </c>
      <c r="D69" s="4"/>
      <c r="F69" t="s">
        <v>43</v>
      </c>
      <c r="G69" t="s">
        <v>46</v>
      </c>
      <c r="M69">
        <f t="shared" si="6"/>
        <v>0</v>
      </c>
      <c r="N69">
        <f t="shared" si="9"/>
        <v>0</v>
      </c>
      <c r="P69" t="e">
        <f>INDEX(Items!B$2:B$1032,MATCH($O69,Items!$A$2:$A$1032,0))</f>
        <v>#N/A</v>
      </c>
      <c r="Q69" t="e">
        <f>INDEX(Items!C$2:C$1032,MATCH($O69,Items!$A$2:$A$1032,0))</f>
        <v>#N/A</v>
      </c>
      <c r="R69" t="e">
        <f>INDEX(Items!D$2:D$1032,MATCH($O69,Items!$A$2:$A$1032,0))</f>
        <v>#N/A</v>
      </c>
    </row>
    <row r="70" spans="1:18" x14ac:dyDescent="0.25">
      <c r="A70">
        <f t="shared" si="7"/>
        <v>1</v>
      </c>
      <c r="B70" t="str">
        <f t="shared" si="8"/>
        <v/>
      </c>
      <c r="C70">
        <f t="shared" si="5"/>
        <v>1</v>
      </c>
      <c r="D70" s="4"/>
      <c r="F70" t="s">
        <v>43</v>
      </c>
      <c r="G70" t="s">
        <v>46</v>
      </c>
      <c r="M70">
        <f t="shared" si="6"/>
        <v>0</v>
      </c>
      <c r="N70">
        <f t="shared" si="9"/>
        <v>0</v>
      </c>
      <c r="P70" t="e">
        <f>INDEX(Items!B$2:B$1032,MATCH($O70,Items!$A$2:$A$1032,0))</f>
        <v>#N/A</v>
      </c>
      <c r="Q70" t="e">
        <f>INDEX(Items!C$2:C$1032,MATCH($O70,Items!$A$2:$A$1032,0))</f>
        <v>#N/A</v>
      </c>
      <c r="R70" t="e">
        <f>INDEX(Items!D$2:D$1032,MATCH($O70,Items!$A$2:$A$1032,0))</f>
        <v>#N/A</v>
      </c>
    </row>
    <row r="71" spans="1:18" x14ac:dyDescent="0.25">
      <c r="A71">
        <f t="shared" si="7"/>
        <v>1</v>
      </c>
      <c r="B71" t="str">
        <f t="shared" si="8"/>
        <v/>
      </c>
      <c r="C71">
        <f t="shared" si="5"/>
        <v>1</v>
      </c>
      <c r="D71" s="4"/>
      <c r="F71" t="s">
        <v>43</v>
      </c>
      <c r="G71" t="s">
        <v>46</v>
      </c>
      <c r="M71">
        <f t="shared" si="6"/>
        <v>0</v>
      </c>
      <c r="N71">
        <f t="shared" si="9"/>
        <v>0</v>
      </c>
      <c r="P71" t="e">
        <f>INDEX(Items!B$2:B$1032,MATCH($O71,Items!$A$2:$A$1032,0))</f>
        <v>#N/A</v>
      </c>
      <c r="Q71" t="e">
        <f>INDEX(Items!C$2:C$1032,MATCH($O71,Items!$A$2:$A$1032,0))</f>
        <v>#N/A</v>
      </c>
      <c r="R71" t="e">
        <f>INDEX(Items!D$2:D$1032,MATCH($O71,Items!$A$2:$A$1032,0))</f>
        <v>#N/A</v>
      </c>
    </row>
    <row r="72" spans="1:18" x14ac:dyDescent="0.25">
      <c r="A72">
        <f t="shared" si="7"/>
        <v>1</v>
      </c>
      <c r="B72" t="str">
        <f t="shared" si="8"/>
        <v/>
      </c>
      <c r="C72">
        <f t="shared" si="5"/>
        <v>1</v>
      </c>
      <c r="D72" s="4"/>
      <c r="F72" t="s">
        <v>53</v>
      </c>
      <c r="G72" t="s">
        <v>48</v>
      </c>
      <c r="M72">
        <f t="shared" si="6"/>
        <v>0</v>
      </c>
      <c r="N72">
        <f t="shared" si="9"/>
        <v>0</v>
      </c>
      <c r="P72" t="e">
        <f>INDEX(Items!B$2:B$1032,MATCH($O72,Items!$A$2:$A$1032,0))</f>
        <v>#N/A</v>
      </c>
      <c r="Q72" t="e">
        <f>INDEX(Items!C$2:C$1032,MATCH($O72,Items!$A$2:$A$1032,0))</f>
        <v>#N/A</v>
      </c>
      <c r="R72" t="e">
        <f>INDEX(Items!D$2:D$1032,MATCH($O72,Items!$A$2:$A$1032,0))</f>
        <v>#N/A</v>
      </c>
    </row>
    <row r="73" spans="1:18" x14ac:dyDescent="0.25">
      <c r="A73">
        <f t="shared" si="7"/>
        <v>1</v>
      </c>
      <c r="B73" t="str">
        <f t="shared" si="8"/>
        <v/>
      </c>
      <c r="C73">
        <f t="shared" si="5"/>
        <v>1</v>
      </c>
      <c r="D73" s="4"/>
      <c r="F73" t="s">
        <v>53</v>
      </c>
      <c r="G73" t="s">
        <v>48</v>
      </c>
      <c r="M73">
        <f t="shared" si="6"/>
        <v>0</v>
      </c>
      <c r="N73">
        <f t="shared" si="9"/>
        <v>0</v>
      </c>
      <c r="P73" t="e">
        <f>INDEX(Items!B$2:B$1032,MATCH($O73,Items!$A$2:$A$1032,0))</f>
        <v>#N/A</v>
      </c>
      <c r="Q73" t="e">
        <f>INDEX(Items!C$2:C$1032,MATCH($O73,Items!$A$2:$A$1032,0))</f>
        <v>#N/A</v>
      </c>
      <c r="R73" t="e">
        <f>INDEX(Items!D$2:D$1032,MATCH($O73,Items!$A$2:$A$1032,0))</f>
        <v>#N/A</v>
      </c>
    </row>
    <row r="74" spans="1:18" x14ac:dyDescent="0.25">
      <c r="A74">
        <f t="shared" si="7"/>
        <v>1</v>
      </c>
      <c r="B74" t="str">
        <f t="shared" si="8"/>
        <v/>
      </c>
      <c r="C74">
        <f t="shared" ref="C74:C137" si="10">IF(OR(B74="",B74&lt;&gt;B73),1,C73+1)</f>
        <v>1</v>
      </c>
      <c r="D74" s="4"/>
      <c r="F74" t="s">
        <v>43</v>
      </c>
      <c r="G74" t="s">
        <v>48</v>
      </c>
      <c r="M74">
        <f t="shared" ref="M74:M137" si="11">K74*L74</f>
        <v>0</v>
      </c>
      <c r="N74">
        <f t="shared" si="9"/>
        <v>0</v>
      </c>
      <c r="P74" t="e">
        <f>INDEX(Items!B$2:B$1032,MATCH($O74,Items!$A$2:$A$1032,0))</f>
        <v>#N/A</v>
      </c>
      <c r="Q74" t="e">
        <f>INDEX(Items!C$2:C$1032,MATCH($O74,Items!$A$2:$A$1032,0))</f>
        <v>#N/A</v>
      </c>
      <c r="R74" t="e">
        <f>INDEX(Items!D$2:D$1032,MATCH($O74,Items!$A$2:$A$1032,0))</f>
        <v>#N/A</v>
      </c>
    </row>
    <row r="75" spans="1:18" x14ac:dyDescent="0.25">
      <c r="A75">
        <f t="shared" si="7"/>
        <v>1</v>
      </c>
      <c r="B75" t="str">
        <f t="shared" si="8"/>
        <v/>
      </c>
      <c r="C75">
        <f t="shared" si="10"/>
        <v>1</v>
      </c>
      <c r="D75" s="4"/>
      <c r="F75" t="s">
        <v>43</v>
      </c>
      <c r="G75" t="s">
        <v>48</v>
      </c>
      <c r="M75">
        <f t="shared" si="11"/>
        <v>0</v>
      </c>
      <c r="N75">
        <f t="shared" si="9"/>
        <v>0</v>
      </c>
      <c r="P75" t="e">
        <f>INDEX(Items!B$2:B$1032,MATCH($O75,Items!$A$2:$A$1032,0))</f>
        <v>#N/A</v>
      </c>
      <c r="Q75" t="e">
        <f>INDEX(Items!C$2:C$1032,MATCH($O75,Items!$A$2:$A$1032,0))</f>
        <v>#N/A</v>
      </c>
      <c r="R75" t="e">
        <f>INDEX(Items!D$2:D$1032,MATCH($O75,Items!$A$2:$A$1032,0))</f>
        <v>#N/A</v>
      </c>
    </row>
    <row r="76" spans="1:18" x14ac:dyDescent="0.25">
      <c r="A76">
        <f t="shared" si="7"/>
        <v>1</v>
      </c>
      <c r="B76" t="str">
        <f t="shared" si="8"/>
        <v/>
      </c>
      <c r="C76">
        <f t="shared" si="10"/>
        <v>1</v>
      </c>
      <c r="D76" s="4"/>
      <c r="F76" t="s">
        <v>43</v>
      </c>
      <c r="G76" t="s">
        <v>48</v>
      </c>
      <c r="M76">
        <f t="shared" si="11"/>
        <v>0</v>
      </c>
      <c r="N76">
        <f t="shared" si="9"/>
        <v>0</v>
      </c>
      <c r="P76" t="e">
        <f>INDEX(Items!B$2:B$1032,MATCH($O76,Items!$A$2:$A$1032,0))</f>
        <v>#N/A</v>
      </c>
      <c r="Q76" t="e">
        <f>INDEX(Items!C$2:C$1032,MATCH($O76,Items!$A$2:$A$1032,0))</f>
        <v>#N/A</v>
      </c>
      <c r="R76" t="e">
        <f>INDEX(Items!D$2:D$1032,MATCH($O76,Items!$A$2:$A$1032,0))</f>
        <v>#N/A</v>
      </c>
    </row>
    <row r="77" spans="1:18" x14ac:dyDescent="0.25">
      <c r="A77">
        <f t="shared" si="7"/>
        <v>1</v>
      </c>
      <c r="B77" t="str">
        <f t="shared" si="8"/>
        <v/>
      </c>
      <c r="C77">
        <f t="shared" si="10"/>
        <v>1</v>
      </c>
      <c r="D77" s="4"/>
      <c r="F77" t="s">
        <v>43</v>
      </c>
      <c r="G77" t="s">
        <v>48</v>
      </c>
      <c r="M77">
        <f t="shared" si="11"/>
        <v>0</v>
      </c>
      <c r="N77">
        <f t="shared" si="9"/>
        <v>0</v>
      </c>
      <c r="P77" t="e">
        <f>INDEX(Items!B$2:B$1032,MATCH($O77,Items!$A$2:$A$1032,0))</f>
        <v>#N/A</v>
      </c>
      <c r="Q77" t="e">
        <f>INDEX(Items!C$2:C$1032,MATCH($O77,Items!$A$2:$A$1032,0))</f>
        <v>#N/A</v>
      </c>
      <c r="R77" t="e">
        <f>INDEX(Items!D$2:D$1032,MATCH($O77,Items!$A$2:$A$1032,0))</f>
        <v>#N/A</v>
      </c>
    </row>
    <row r="78" spans="1:18" x14ac:dyDescent="0.25">
      <c r="A78">
        <f t="shared" si="7"/>
        <v>1</v>
      </c>
      <c r="B78" t="str">
        <f t="shared" si="8"/>
        <v/>
      </c>
      <c r="C78">
        <f t="shared" si="10"/>
        <v>1</v>
      </c>
      <c r="D78" s="4"/>
      <c r="F78" t="s">
        <v>43</v>
      </c>
      <c r="G78" t="s">
        <v>48</v>
      </c>
      <c r="M78">
        <f t="shared" si="11"/>
        <v>0</v>
      </c>
      <c r="N78">
        <f t="shared" si="9"/>
        <v>0</v>
      </c>
      <c r="P78" t="e">
        <f>INDEX(Items!B$2:B$1032,MATCH($O78,Items!$A$2:$A$1032,0))</f>
        <v>#N/A</v>
      </c>
      <c r="Q78" t="e">
        <f>INDEX(Items!C$2:C$1032,MATCH($O78,Items!$A$2:$A$1032,0))</f>
        <v>#N/A</v>
      </c>
      <c r="R78" t="e">
        <f>INDEX(Items!D$2:D$1032,MATCH($O78,Items!$A$2:$A$1032,0))</f>
        <v>#N/A</v>
      </c>
    </row>
    <row r="79" spans="1:18" x14ac:dyDescent="0.25">
      <c r="A79">
        <f t="shared" si="7"/>
        <v>1</v>
      </c>
      <c r="B79" t="str">
        <f t="shared" si="8"/>
        <v/>
      </c>
      <c r="C79">
        <f t="shared" si="10"/>
        <v>1</v>
      </c>
      <c r="D79" s="4"/>
      <c r="F79" t="s">
        <v>43</v>
      </c>
      <c r="G79" t="s">
        <v>46</v>
      </c>
      <c r="M79">
        <f t="shared" si="11"/>
        <v>0</v>
      </c>
      <c r="N79">
        <f t="shared" si="9"/>
        <v>0</v>
      </c>
      <c r="P79" t="e">
        <f>INDEX(Items!B$2:B$1032,MATCH($O79,Items!$A$2:$A$1032,0))</f>
        <v>#N/A</v>
      </c>
      <c r="Q79" t="e">
        <f>INDEX(Items!C$2:C$1032,MATCH($O79,Items!$A$2:$A$1032,0))</f>
        <v>#N/A</v>
      </c>
      <c r="R79" t="e">
        <f>INDEX(Items!D$2:D$1032,MATCH($O79,Items!$A$2:$A$1032,0))</f>
        <v>#N/A</v>
      </c>
    </row>
    <row r="80" spans="1:18" x14ac:dyDescent="0.25">
      <c r="A80">
        <f t="shared" si="7"/>
        <v>1</v>
      </c>
      <c r="B80" t="str">
        <f t="shared" si="8"/>
        <v/>
      </c>
      <c r="C80">
        <f t="shared" si="10"/>
        <v>1</v>
      </c>
      <c r="D80" s="4"/>
      <c r="F80" t="s">
        <v>43</v>
      </c>
      <c r="G80" t="s">
        <v>46</v>
      </c>
      <c r="M80">
        <f t="shared" si="11"/>
        <v>0</v>
      </c>
      <c r="N80">
        <f t="shared" si="9"/>
        <v>0</v>
      </c>
      <c r="P80" t="e">
        <f>INDEX(Items!B$2:B$1032,MATCH($O80,Items!$A$2:$A$1032,0))</f>
        <v>#N/A</v>
      </c>
      <c r="Q80" t="e">
        <f>INDEX(Items!C$2:C$1032,MATCH($O80,Items!$A$2:$A$1032,0))</f>
        <v>#N/A</v>
      </c>
      <c r="R80" t="e">
        <f>INDEX(Items!D$2:D$1032,MATCH($O80,Items!$A$2:$A$1032,0))</f>
        <v>#N/A</v>
      </c>
    </row>
    <row r="81" spans="1:18" x14ac:dyDescent="0.25">
      <c r="A81">
        <f t="shared" si="7"/>
        <v>1</v>
      </c>
      <c r="B81" t="str">
        <f t="shared" si="8"/>
        <v/>
      </c>
      <c r="C81">
        <f t="shared" si="10"/>
        <v>1</v>
      </c>
      <c r="D81" s="4"/>
      <c r="F81" t="s">
        <v>43</v>
      </c>
      <c r="G81" t="s">
        <v>46</v>
      </c>
      <c r="M81">
        <f t="shared" si="11"/>
        <v>0</v>
      </c>
      <c r="N81">
        <f t="shared" si="9"/>
        <v>0</v>
      </c>
      <c r="P81" t="e">
        <f>INDEX(Items!B$2:B$1032,MATCH($O81,Items!$A$2:$A$1032,0))</f>
        <v>#N/A</v>
      </c>
      <c r="Q81" t="e">
        <f>INDEX(Items!C$2:C$1032,MATCH($O81,Items!$A$2:$A$1032,0))</f>
        <v>#N/A</v>
      </c>
      <c r="R81" t="e">
        <f>INDEX(Items!D$2:D$1032,MATCH($O81,Items!$A$2:$A$1032,0))</f>
        <v>#N/A</v>
      </c>
    </row>
    <row r="82" spans="1:18" x14ac:dyDescent="0.25">
      <c r="A82">
        <f t="shared" si="7"/>
        <v>1</v>
      </c>
      <c r="B82" t="str">
        <f t="shared" si="8"/>
        <v/>
      </c>
      <c r="C82">
        <f t="shared" si="10"/>
        <v>1</v>
      </c>
      <c r="D82" s="4"/>
      <c r="F82" t="s">
        <v>43</v>
      </c>
      <c r="G82" t="s">
        <v>46</v>
      </c>
      <c r="M82">
        <f t="shared" si="11"/>
        <v>0</v>
      </c>
      <c r="N82">
        <f t="shared" si="9"/>
        <v>0</v>
      </c>
      <c r="P82" t="e">
        <f>INDEX(Items!B$2:B$1032,MATCH($O82,Items!$A$2:$A$1032,0))</f>
        <v>#N/A</v>
      </c>
      <c r="Q82" t="e">
        <f>INDEX(Items!C$2:C$1032,MATCH($O82,Items!$A$2:$A$1032,0))</f>
        <v>#N/A</v>
      </c>
      <c r="R82" t="e">
        <f>INDEX(Items!D$2:D$1032,MATCH($O82,Items!$A$2:$A$1032,0))</f>
        <v>#N/A</v>
      </c>
    </row>
    <row r="83" spans="1:18" x14ac:dyDescent="0.25">
      <c r="A83">
        <f t="shared" si="7"/>
        <v>1</v>
      </c>
      <c r="B83" t="str">
        <f t="shared" si="8"/>
        <v/>
      </c>
      <c r="C83">
        <f t="shared" si="10"/>
        <v>1</v>
      </c>
      <c r="D83" s="4"/>
      <c r="F83" t="e">
        <f>INDEX(Establishment!B$2:B$1005,MATCH($E83,Establishment!$A$2:$A$1005,0))</f>
        <v>#N/A</v>
      </c>
      <c r="G83" t="e">
        <f>INDEX(Establishment!C$2:C$1005,MATCH($E83,Establishment!$A$2:$A$1005,0))</f>
        <v>#N/A</v>
      </c>
      <c r="M83">
        <f t="shared" si="11"/>
        <v>0</v>
      </c>
      <c r="N83">
        <f t="shared" si="9"/>
        <v>0</v>
      </c>
      <c r="P83" t="e">
        <f>INDEX(Items!B$2:B$1032,MATCH($O83,Items!$A$2:$A$1032,0))</f>
        <v>#N/A</v>
      </c>
      <c r="Q83" t="e">
        <f>INDEX(Items!C$2:C$1032,MATCH($O83,Items!$A$2:$A$1032,0))</f>
        <v>#N/A</v>
      </c>
      <c r="R83" t="e">
        <f>INDEX(Items!D$2:D$1032,MATCH($O83,Items!$A$2:$A$1032,0))</f>
        <v>#N/A</v>
      </c>
    </row>
    <row r="84" spans="1:18" x14ac:dyDescent="0.25">
      <c r="A84">
        <f t="shared" si="7"/>
        <v>1</v>
      </c>
      <c r="B84" t="str">
        <f t="shared" si="8"/>
        <v/>
      </c>
      <c r="C84">
        <f t="shared" si="10"/>
        <v>1</v>
      </c>
      <c r="D84" s="4"/>
      <c r="F84" t="e">
        <f>INDEX(Establishment!B$2:B$1005,MATCH($E84,Establishment!$A$2:$A$1005,0))</f>
        <v>#N/A</v>
      </c>
      <c r="G84" t="e">
        <f>INDEX(Establishment!C$2:C$1005,MATCH($E84,Establishment!$A$2:$A$1005,0))</f>
        <v>#N/A</v>
      </c>
      <c r="M84">
        <f t="shared" si="11"/>
        <v>0</v>
      </c>
      <c r="N84">
        <f t="shared" si="9"/>
        <v>0</v>
      </c>
      <c r="P84" t="e">
        <f>INDEX(Items!B$2:B$1032,MATCH($O84,Items!$A$2:$A$1032,0))</f>
        <v>#N/A</v>
      </c>
      <c r="Q84" t="e">
        <f>INDEX(Items!C$2:C$1032,MATCH($O84,Items!$A$2:$A$1032,0))</f>
        <v>#N/A</v>
      </c>
      <c r="R84" t="e">
        <f>INDEX(Items!D$2:D$1032,MATCH($O84,Items!$A$2:$A$1032,0))</f>
        <v>#N/A</v>
      </c>
    </row>
    <row r="85" spans="1:18" x14ac:dyDescent="0.25">
      <c r="A85">
        <f t="shared" si="7"/>
        <v>1</v>
      </c>
      <c r="B85" t="str">
        <f t="shared" si="8"/>
        <v/>
      </c>
      <c r="C85">
        <f t="shared" si="10"/>
        <v>1</v>
      </c>
      <c r="D85" s="4"/>
      <c r="F85" t="e">
        <f>INDEX(Establishment!B$2:B$1005,MATCH($E85,Establishment!$A$2:$A$1005,0))</f>
        <v>#N/A</v>
      </c>
      <c r="G85" t="e">
        <f>INDEX(Establishment!C$2:C$1005,MATCH($E85,Establishment!$A$2:$A$1005,0))</f>
        <v>#N/A</v>
      </c>
      <c r="M85">
        <f t="shared" si="11"/>
        <v>0</v>
      </c>
      <c r="N85">
        <f t="shared" si="9"/>
        <v>0</v>
      </c>
      <c r="P85" t="e">
        <f>INDEX(Items!B$2:B$1032,MATCH($O85,Items!$A$2:$A$1032,0))</f>
        <v>#N/A</v>
      </c>
      <c r="Q85" t="e">
        <f>INDEX(Items!C$2:C$1032,MATCH($O85,Items!$A$2:$A$1032,0))</f>
        <v>#N/A</v>
      </c>
      <c r="R85" t="e">
        <f>INDEX(Items!D$2:D$1032,MATCH($O85,Items!$A$2:$A$1032,0))</f>
        <v>#N/A</v>
      </c>
    </row>
    <row r="86" spans="1:18" x14ac:dyDescent="0.25">
      <c r="A86">
        <f t="shared" si="7"/>
        <v>1</v>
      </c>
      <c r="B86" t="str">
        <f t="shared" si="8"/>
        <v/>
      </c>
      <c r="C86">
        <f t="shared" si="10"/>
        <v>1</v>
      </c>
      <c r="D86" s="4"/>
      <c r="F86" t="e">
        <f>INDEX(Establishment!B$2:B$1005,MATCH($E86,Establishment!$A$2:$A$1005,0))</f>
        <v>#N/A</v>
      </c>
      <c r="G86" t="e">
        <f>INDEX(Establishment!C$2:C$1005,MATCH($E86,Establishment!$A$2:$A$1005,0))</f>
        <v>#N/A</v>
      </c>
      <c r="M86">
        <f t="shared" si="11"/>
        <v>0</v>
      </c>
      <c r="N86">
        <f t="shared" si="9"/>
        <v>0</v>
      </c>
      <c r="P86" t="e">
        <f>INDEX(Items!B$2:B$1032,MATCH($O86,Items!$A$2:$A$1032,0))</f>
        <v>#N/A</v>
      </c>
      <c r="Q86" t="e">
        <f>INDEX(Items!C$2:C$1032,MATCH($O86,Items!$A$2:$A$1032,0))</f>
        <v>#N/A</v>
      </c>
      <c r="R86" t="e">
        <f>INDEX(Items!D$2:D$1032,MATCH($O86,Items!$A$2:$A$1032,0))</f>
        <v>#N/A</v>
      </c>
    </row>
    <row r="87" spans="1:18" x14ac:dyDescent="0.25">
      <c r="A87">
        <f t="shared" si="7"/>
        <v>1</v>
      </c>
      <c r="B87" t="str">
        <f t="shared" si="8"/>
        <v/>
      </c>
      <c r="C87">
        <f t="shared" si="10"/>
        <v>1</v>
      </c>
      <c r="D87" s="4"/>
      <c r="F87" t="e">
        <f>INDEX(Establishment!B$2:B$1005,MATCH($E87,Establishment!$A$2:$A$1005,0))</f>
        <v>#N/A</v>
      </c>
      <c r="G87" t="e">
        <f>INDEX(Establishment!C$2:C$1005,MATCH($E87,Establishment!$A$2:$A$1005,0))</f>
        <v>#N/A</v>
      </c>
      <c r="M87">
        <f t="shared" si="11"/>
        <v>0</v>
      </c>
      <c r="N87">
        <f t="shared" si="9"/>
        <v>0</v>
      </c>
      <c r="P87" t="e">
        <f>INDEX(Items!B$2:B$1032,MATCH($O87,Items!$A$2:$A$1032,0))</f>
        <v>#N/A</v>
      </c>
      <c r="Q87" t="e">
        <f>INDEX(Items!C$2:C$1032,MATCH($O87,Items!$A$2:$A$1032,0))</f>
        <v>#N/A</v>
      </c>
      <c r="R87" t="e">
        <f>INDEX(Items!D$2:D$1032,MATCH($O87,Items!$A$2:$A$1032,0))</f>
        <v>#N/A</v>
      </c>
    </row>
    <row r="88" spans="1:18" x14ac:dyDescent="0.25">
      <c r="A88">
        <f t="shared" si="7"/>
        <v>1</v>
      </c>
      <c r="B88" t="str">
        <f t="shared" si="8"/>
        <v/>
      </c>
      <c r="C88">
        <f t="shared" si="10"/>
        <v>1</v>
      </c>
      <c r="D88" s="4"/>
      <c r="F88" t="e">
        <f>INDEX(Establishment!B$2:B$1005,MATCH($E88,Establishment!$A$2:$A$1005,0))</f>
        <v>#N/A</v>
      </c>
      <c r="G88" t="e">
        <f>INDEX(Establishment!C$2:C$1005,MATCH($E88,Establishment!$A$2:$A$1005,0))</f>
        <v>#N/A</v>
      </c>
      <c r="M88">
        <f t="shared" si="11"/>
        <v>0</v>
      </c>
      <c r="N88">
        <f t="shared" si="9"/>
        <v>0</v>
      </c>
      <c r="P88" t="e">
        <f>INDEX(Items!B$2:B$1032,MATCH($O88,Items!$A$2:$A$1032,0))</f>
        <v>#N/A</v>
      </c>
      <c r="Q88" t="e">
        <f>INDEX(Items!C$2:C$1032,MATCH($O88,Items!$A$2:$A$1032,0))</f>
        <v>#N/A</v>
      </c>
      <c r="R88" t="e">
        <f>INDEX(Items!D$2:D$1032,MATCH($O88,Items!$A$2:$A$1032,0))</f>
        <v>#N/A</v>
      </c>
    </row>
    <row r="89" spans="1:18" x14ac:dyDescent="0.25">
      <c r="A89">
        <f t="shared" si="7"/>
        <v>1</v>
      </c>
      <c r="B89" t="str">
        <f t="shared" si="8"/>
        <v/>
      </c>
      <c r="C89">
        <f t="shared" si="10"/>
        <v>1</v>
      </c>
      <c r="D89" s="4"/>
      <c r="F89" t="e">
        <f>INDEX(Establishment!B$2:B$1005,MATCH($E89,Establishment!$A$2:$A$1005,0))</f>
        <v>#N/A</v>
      </c>
      <c r="G89" t="e">
        <f>INDEX(Establishment!C$2:C$1005,MATCH($E89,Establishment!$A$2:$A$1005,0))</f>
        <v>#N/A</v>
      </c>
      <c r="M89">
        <f t="shared" si="11"/>
        <v>0</v>
      </c>
      <c r="N89">
        <f t="shared" si="9"/>
        <v>0</v>
      </c>
      <c r="P89" t="e">
        <f>INDEX(Items!B$2:B$1032,MATCH($O89,Items!$A$2:$A$1032,0))</f>
        <v>#N/A</v>
      </c>
      <c r="Q89" t="e">
        <f>INDEX(Items!C$2:C$1032,MATCH($O89,Items!$A$2:$A$1032,0))</f>
        <v>#N/A</v>
      </c>
      <c r="R89" t="e">
        <f>INDEX(Items!D$2:D$1032,MATCH($O89,Items!$A$2:$A$1032,0))</f>
        <v>#N/A</v>
      </c>
    </row>
    <row r="90" spans="1:18" x14ac:dyDescent="0.25">
      <c r="A90">
        <f t="shared" si="7"/>
        <v>1</v>
      </c>
      <c r="B90" t="str">
        <f t="shared" si="8"/>
        <v/>
      </c>
      <c r="C90">
        <f t="shared" si="10"/>
        <v>1</v>
      </c>
      <c r="D90" s="4"/>
      <c r="F90" t="e">
        <f>INDEX(Establishment!B$2:B$1005,MATCH($E90,Establishment!$A$2:$A$1005,0))</f>
        <v>#N/A</v>
      </c>
      <c r="G90" t="e">
        <f>INDEX(Establishment!C$2:C$1005,MATCH($E90,Establishment!$A$2:$A$1005,0))</f>
        <v>#N/A</v>
      </c>
      <c r="M90">
        <f t="shared" si="11"/>
        <v>0</v>
      </c>
      <c r="N90">
        <f t="shared" si="9"/>
        <v>0</v>
      </c>
      <c r="P90" t="e">
        <f>INDEX(Items!B$2:B$1032,MATCH($O90,Items!$A$2:$A$1032,0))</f>
        <v>#N/A</v>
      </c>
      <c r="Q90" t="e">
        <f>INDEX(Items!C$2:C$1032,MATCH($O90,Items!$A$2:$A$1032,0))</f>
        <v>#N/A</v>
      </c>
      <c r="R90" t="e">
        <f>INDEX(Items!D$2:D$1032,MATCH($O90,Items!$A$2:$A$1032,0))</f>
        <v>#N/A</v>
      </c>
    </row>
    <row r="91" spans="1:18" x14ac:dyDescent="0.25">
      <c r="A91">
        <f t="shared" si="7"/>
        <v>1</v>
      </c>
      <c r="B91" t="str">
        <f t="shared" si="8"/>
        <v/>
      </c>
      <c r="C91">
        <f t="shared" si="10"/>
        <v>1</v>
      </c>
      <c r="D91" s="4"/>
      <c r="F91" t="e">
        <f>INDEX(Establishment!B$2:B$1005,MATCH($E91,Establishment!$A$2:$A$1005,0))</f>
        <v>#N/A</v>
      </c>
      <c r="G91" t="e">
        <f>INDEX(Establishment!C$2:C$1005,MATCH($E91,Establishment!$A$2:$A$1005,0))</f>
        <v>#N/A</v>
      </c>
      <c r="M91">
        <f t="shared" si="11"/>
        <v>0</v>
      </c>
      <c r="N91">
        <f t="shared" si="9"/>
        <v>0</v>
      </c>
      <c r="P91" t="e">
        <f>INDEX(Items!B$2:B$1032,MATCH($O91,Items!$A$2:$A$1032,0))</f>
        <v>#N/A</v>
      </c>
      <c r="Q91" t="e">
        <f>INDEX(Items!C$2:C$1032,MATCH($O91,Items!$A$2:$A$1032,0))</f>
        <v>#N/A</v>
      </c>
      <c r="R91" t="e">
        <f>INDEX(Items!D$2:D$1032,MATCH($O91,Items!$A$2:$A$1032,0))</f>
        <v>#N/A</v>
      </c>
    </row>
    <row r="92" spans="1:18" x14ac:dyDescent="0.25">
      <c r="A92">
        <f t="shared" si="7"/>
        <v>1</v>
      </c>
      <c r="B92" t="str">
        <f t="shared" si="8"/>
        <v/>
      </c>
      <c r="C92">
        <f t="shared" si="10"/>
        <v>1</v>
      </c>
      <c r="D92" s="4"/>
      <c r="F92" t="e">
        <f>INDEX(Establishment!B$2:B$1005,MATCH($E92,Establishment!$A$2:$A$1005,0))</f>
        <v>#N/A</v>
      </c>
      <c r="G92" t="e">
        <f>INDEX(Establishment!C$2:C$1005,MATCH($E92,Establishment!$A$2:$A$1005,0))</f>
        <v>#N/A</v>
      </c>
      <c r="M92">
        <f t="shared" si="11"/>
        <v>0</v>
      </c>
      <c r="N92">
        <f t="shared" si="9"/>
        <v>0</v>
      </c>
      <c r="P92" t="e">
        <f>INDEX(Items!B$2:B$1032,MATCH($O92,Items!$A$2:$A$1032,0))</f>
        <v>#N/A</v>
      </c>
      <c r="Q92" t="e">
        <f>INDEX(Items!C$2:C$1032,MATCH($O92,Items!$A$2:$A$1032,0))</f>
        <v>#N/A</v>
      </c>
      <c r="R92" t="e">
        <f>INDEX(Items!D$2:D$1032,MATCH($O92,Items!$A$2:$A$1032,0))</f>
        <v>#N/A</v>
      </c>
    </row>
    <row r="93" spans="1:18" x14ac:dyDescent="0.25">
      <c r="A93">
        <f t="shared" si="7"/>
        <v>1</v>
      </c>
      <c r="B93" t="str">
        <f t="shared" si="8"/>
        <v/>
      </c>
      <c r="C93">
        <f t="shared" si="10"/>
        <v>1</v>
      </c>
      <c r="D93" s="4"/>
      <c r="E93" t="s">
        <v>18</v>
      </c>
      <c r="F93" t="str">
        <f>INDEX(Establishment!B$2:B$1005,MATCH($E93,Establishment!$A$2:$A$1005,0))</f>
        <v xml:space="preserve"> </v>
      </c>
      <c r="G93" t="str">
        <f>INDEX(Establishment!C$2:C$1005,MATCH($E93,Establishment!$A$2:$A$1005,0))</f>
        <v xml:space="preserve"> </v>
      </c>
      <c r="M93">
        <f t="shared" si="11"/>
        <v>0</v>
      </c>
      <c r="N93">
        <f t="shared" si="9"/>
        <v>0</v>
      </c>
      <c r="P93" t="e">
        <f>INDEX(Items!B$2:B$1032,MATCH($O93,Items!$A$2:$A$1032,0))</f>
        <v>#N/A</v>
      </c>
      <c r="Q93" t="e">
        <f>INDEX(Items!C$2:C$1032,MATCH($O93,Items!$A$2:$A$1032,0))</f>
        <v>#N/A</v>
      </c>
      <c r="R93" t="e">
        <f>INDEX(Items!D$2:D$1032,MATCH($O93,Items!$A$2:$A$1032,0))</f>
        <v>#N/A</v>
      </c>
    </row>
    <row r="94" spans="1:18" x14ac:dyDescent="0.25">
      <c r="A94">
        <f t="shared" si="7"/>
        <v>1</v>
      </c>
      <c r="B94" t="str">
        <f t="shared" si="8"/>
        <v/>
      </c>
      <c r="C94">
        <f t="shared" si="10"/>
        <v>1</v>
      </c>
      <c r="D94" s="4"/>
      <c r="E94" t="s">
        <v>18</v>
      </c>
      <c r="F94" t="str">
        <f>INDEX(Establishment!B$2:B$1005,MATCH($E94,Establishment!$A$2:$A$1005,0))</f>
        <v xml:space="preserve"> </v>
      </c>
      <c r="G94" t="str">
        <f>INDEX(Establishment!C$2:C$1005,MATCH($E94,Establishment!$A$2:$A$1005,0))</f>
        <v xml:space="preserve"> </v>
      </c>
      <c r="M94">
        <f t="shared" si="11"/>
        <v>0</v>
      </c>
      <c r="N94">
        <f t="shared" si="9"/>
        <v>0</v>
      </c>
      <c r="P94" t="e">
        <f>INDEX(Items!B$2:B$1032,MATCH($O94,Items!$A$2:$A$1032,0))</f>
        <v>#N/A</v>
      </c>
      <c r="Q94" t="e">
        <f>INDEX(Items!C$2:C$1032,MATCH($O94,Items!$A$2:$A$1032,0))</f>
        <v>#N/A</v>
      </c>
      <c r="R94" t="e">
        <f>INDEX(Items!D$2:D$1032,MATCH($O94,Items!$A$2:$A$1032,0))</f>
        <v>#N/A</v>
      </c>
    </row>
    <row r="95" spans="1:18" x14ac:dyDescent="0.25">
      <c r="A95">
        <f t="shared" si="7"/>
        <v>1</v>
      </c>
      <c r="B95" t="str">
        <f t="shared" si="8"/>
        <v/>
      </c>
      <c r="C95">
        <f t="shared" si="10"/>
        <v>1</v>
      </c>
      <c r="D95" s="4"/>
      <c r="E95" t="s">
        <v>18</v>
      </c>
      <c r="F95" t="str">
        <f>INDEX(Establishment!B$2:B$1005,MATCH($E95,Establishment!$A$2:$A$1005,0))</f>
        <v xml:space="preserve"> </v>
      </c>
      <c r="G95" t="str">
        <f>INDEX(Establishment!C$2:C$1005,MATCH($E95,Establishment!$A$2:$A$1005,0))</f>
        <v xml:space="preserve"> </v>
      </c>
      <c r="M95">
        <f t="shared" si="11"/>
        <v>0</v>
      </c>
      <c r="N95">
        <f t="shared" si="9"/>
        <v>0</v>
      </c>
      <c r="P95" t="e">
        <f>INDEX(Items!B$2:B$1032,MATCH($O95,Items!$A$2:$A$1032,0))</f>
        <v>#N/A</v>
      </c>
      <c r="Q95" t="e">
        <f>INDEX(Items!C$2:C$1032,MATCH($O95,Items!$A$2:$A$1032,0))</f>
        <v>#N/A</v>
      </c>
      <c r="R95" t="e">
        <f>INDEX(Items!D$2:D$1032,MATCH($O95,Items!$A$2:$A$1032,0))</f>
        <v>#N/A</v>
      </c>
    </row>
    <row r="96" spans="1:18" x14ac:dyDescent="0.25">
      <c r="A96">
        <f t="shared" si="7"/>
        <v>1</v>
      </c>
      <c r="B96" t="str">
        <f t="shared" si="8"/>
        <v/>
      </c>
      <c r="C96">
        <f t="shared" si="10"/>
        <v>1</v>
      </c>
      <c r="D96" s="4"/>
      <c r="E96" t="s">
        <v>18</v>
      </c>
      <c r="F96" t="str">
        <f>INDEX(Establishment!B$2:B$1005,MATCH($E96,Establishment!$A$2:$A$1005,0))</f>
        <v xml:space="preserve"> </v>
      </c>
      <c r="G96" t="str">
        <f>INDEX(Establishment!C$2:C$1005,MATCH($E96,Establishment!$A$2:$A$1005,0))</f>
        <v xml:space="preserve"> </v>
      </c>
      <c r="M96">
        <f t="shared" si="11"/>
        <v>0</v>
      </c>
      <c r="N96">
        <f t="shared" si="9"/>
        <v>0</v>
      </c>
      <c r="P96" t="e">
        <f>INDEX(Items!B$2:B$1032,MATCH($O96,Items!$A$2:$A$1032,0))</f>
        <v>#N/A</v>
      </c>
      <c r="Q96" t="e">
        <f>INDEX(Items!C$2:C$1032,MATCH($O96,Items!$A$2:$A$1032,0))</f>
        <v>#N/A</v>
      </c>
      <c r="R96" t="e">
        <f>INDEX(Items!D$2:D$1032,MATCH($O96,Items!$A$2:$A$1032,0))</f>
        <v>#N/A</v>
      </c>
    </row>
    <row r="97" spans="1:18" x14ac:dyDescent="0.25">
      <c r="A97">
        <f t="shared" si="7"/>
        <v>1</v>
      </c>
      <c r="B97" t="str">
        <f t="shared" si="8"/>
        <v/>
      </c>
      <c r="C97">
        <f t="shared" si="10"/>
        <v>1</v>
      </c>
      <c r="D97" s="4"/>
      <c r="E97" t="s">
        <v>18</v>
      </c>
      <c r="F97" t="str">
        <f>INDEX(Establishment!B$2:B$1005,MATCH($E97,Establishment!$A$2:$A$1005,0))</f>
        <v xml:space="preserve"> </v>
      </c>
      <c r="G97" t="str">
        <f>INDEX(Establishment!C$2:C$1005,MATCH($E97,Establishment!$A$2:$A$1005,0))</f>
        <v xml:space="preserve"> </v>
      </c>
      <c r="M97">
        <f t="shared" si="11"/>
        <v>0</v>
      </c>
      <c r="N97">
        <f t="shared" si="9"/>
        <v>0</v>
      </c>
      <c r="P97" t="e">
        <f>INDEX(Items!B$2:B$1032,MATCH($O97,Items!$A$2:$A$1032,0))</f>
        <v>#N/A</v>
      </c>
      <c r="Q97" t="e">
        <f>INDEX(Items!C$2:C$1032,MATCH($O97,Items!$A$2:$A$1032,0))</f>
        <v>#N/A</v>
      </c>
      <c r="R97" t="e">
        <f>INDEX(Items!D$2:D$1032,MATCH($O97,Items!$A$2:$A$1032,0))</f>
        <v>#N/A</v>
      </c>
    </row>
    <row r="98" spans="1:18" x14ac:dyDescent="0.25">
      <c r="A98">
        <f t="shared" si="7"/>
        <v>1</v>
      </c>
      <c r="B98" t="str">
        <f t="shared" si="8"/>
        <v/>
      </c>
      <c r="C98">
        <f t="shared" si="10"/>
        <v>1</v>
      </c>
      <c r="D98" s="4"/>
      <c r="E98" t="s">
        <v>18</v>
      </c>
      <c r="F98" t="str">
        <f>INDEX(Establishment!B$2:B$1005,MATCH($E98,Establishment!$A$2:$A$1005,0))</f>
        <v xml:space="preserve"> </v>
      </c>
      <c r="G98" t="str">
        <f>INDEX(Establishment!C$2:C$1005,MATCH($E98,Establishment!$A$2:$A$1005,0))</f>
        <v xml:space="preserve"> </v>
      </c>
      <c r="M98">
        <f t="shared" si="11"/>
        <v>0</v>
      </c>
      <c r="N98">
        <f t="shared" si="9"/>
        <v>0</v>
      </c>
      <c r="P98" t="e">
        <f>INDEX(Items!B$2:B$1032,MATCH($O98,Items!$A$2:$A$1032,0))</f>
        <v>#N/A</v>
      </c>
      <c r="Q98" t="e">
        <f>INDEX(Items!C$2:C$1032,MATCH($O98,Items!$A$2:$A$1032,0))</f>
        <v>#N/A</v>
      </c>
      <c r="R98" t="e">
        <f>INDEX(Items!D$2:D$1032,MATCH($O98,Items!$A$2:$A$1032,0))</f>
        <v>#N/A</v>
      </c>
    </row>
    <row r="99" spans="1:18" x14ac:dyDescent="0.25">
      <c r="A99">
        <f t="shared" si="7"/>
        <v>1</v>
      </c>
      <c r="B99" t="str">
        <f t="shared" si="8"/>
        <v>20230621A</v>
      </c>
      <c r="C99">
        <f t="shared" si="10"/>
        <v>1</v>
      </c>
      <c r="D99" s="4">
        <v>45098</v>
      </c>
      <c r="E99" t="s">
        <v>39</v>
      </c>
      <c r="F99" t="str">
        <f>INDEX(Establishment!B$2:B$1005,MATCH($E99,Establishment!$A$2:$A$1005,0))</f>
        <v>Carenderia 14th Floor</v>
      </c>
      <c r="G99" t="str">
        <f>INDEX(Establishment!C$2:C$1005,MATCH($E99,Establishment!$A$2:$A$1005,0))</f>
        <v>ACC Tower Cebu Business Park</v>
      </c>
      <c r="M99">
        <f t="shared" si="11"/>
        <v>0</v>
      </c>
      <c r="N99">
        <f t="shared" si="9"/>
        <v>0</v>
      </c>
      <c r="P99" t="e">
        <f>INDEX(Items!B$2:B$1032,MATCH($O99,Items!$A$2:$A$1032,0))</f>
        <v>#N/A</v>
      </c>
      <c r="Q99" t="e">
        <f>INDEX(Items!C$2:C$1032,MATCH($O99,Items!$A$2:$A$1032,0))</f>
        <v>#N/A</v>
      </c>
      <c r="R99" t="e">
        <f>INDEX(Items!D$2:D$1032,MATCH($O99,Items!$A$2:$A$1032,0))</f>
        <v>#N/A</v>
      </c>
    </row>
    <row r="100" spans="1:18" x14ac:dyDescent="0.25">
      <c r="A100">
        <f t="shared" si="7"/>
        <v>1</v>
      </c>
      <c r="B100" t="str">
        <f t="shared" si="8"/>
        <v/>
      </c>
      <c r="C100">
        <f t="shared" si="10"/>
        <v>1</v>
      </c>
      <c r="D100" s="4"/>
      <c r="F100" t="e">
        <f>INDEX(Establishment!B$2:B$1005,MATCH($E100,Establishment!$A$2:$A$1005,0))</f>
        <v>#N/A</v>
      </c>
      <c r="G100" t="e">
        <f>INDEX(Establishment!C$2:C$1005,MATCH($E100,Establishment!$A$2:$A$1005,0))</f>
        <v>#N/A</v>
      </c>
      <c r="M100">
        <f t="shared" si="11"/>
        <v>0</v>
      </c>
      <c r="N100">
        <f t="shared" si="9"/>
        <v>0</v>
      </c>
      <c r="P100" t="e">
        <f>INDEX(Items!B$2:B$1032,MATCH($O100,Items!$A$2:$A$1032,0))</f>
        <v>#N/A</v>
      </c>
      <c r="Q100" t="e">
        <f>INDEX(Items!C$2:C$1032,MATCH($O100,Items!$A$2:$A$1032,0))</f>
        <v>#N/A</v>
      </c>
      <c r="R100" t="e">
        <f>INDEX(Items!D$2:D$1032,MATCH($O100,Items!$A$2:$A$1032,0))</f>
        <v>#N/A</v>
      </c>
    </row>
    <row r="101" spans="1:18" x14ac:dyDescent="0.25">
      <c r="A101">
        <f t="shared" si="7"/>
        <v>1</v>
      </c>
      <c r="B101" t="str">
        <f t="shared" si="8"/>
        <v/>
      </c>
      <c r="C101">
        <f t="shared" si="10"/>
        <v>1</v>
      </c>
      <c r="D101" s="4"/>
      <c r="E101" t="s">
        <v>18</v>
      </c>
      <c r="F101" t="str">
        <f>INDEX(Establishment!B$2:B$1005,MATCH($E101,Establishment!$A$2:$A$1005,0))</f>
        <v xml:space="preserve"> </v>
      </c>
      <c r="G101" t="str">
        <f>INDEX(Establishment!C$2:C$1005,MATCH($E101,Establishment!$A$2:$A$1005,0))</f>
        <v xml:space="preserve"> </v>
      </c>
      <c r="M101">
        <f t="shared" si="11"/>
        <v>0</v>
      </c>
      <c r="N101">
        <f t="shared" si="9"/>
        <v>0</v>
      </c>
      <c r="P101" t="e">
        <f>INDEX(Items!B$2:B$1032,MATCH($O101,Items!$A$2:$A$1032,0))</f>
        <v>#N/A</v>
      </c>
      <c r="Q101" t="e">
        <f>INDEX(Items!C$2:C$1032,MATCH($O101,Items!$A$2:$A$1032,0))</f>
        <v>#N/A</v>
      </c>
      <c r="R101" t="e">
        <f>INDEX(Items!D$2:D$1032,MATCH($O101,Items!$A$2:$A$1032,0))</f>
        <v>#N/A</v>
      </c>
    </row>
    <row r="102" spans="1:18" x14ac:dyDescent="0.25">
      <c r="A102">
        <f t="shared" si="7"/>
        <v>1</v>
      </c>
      <c r="B102" t="str">
        <f t="shared" si="8"/>
        <v/>
      </c>
      <c r="C102">
        <f t="shared" si="10"/>
        <v>1</v>
      </c>
      <c r="D102" s="4"/>
      <c r="E102" t="s">
        <v>18</v>
      </c>
      <c r="F102" t="str">
        <f>INDEX(Establishment!B$2:B$1005,MATCH($E102,Establishment!$A$2:$A$1005,0))</f>
        <v xml:space="preserve"> </v>
      </c>
      <c r="G102" t="str">
        <f>INDEX(Establishment!C$2:C$1005,MATCH($E102,Establishment!$A$2:$A$1005,0))</f>
        <v xml:space="preserve"> </v>
      </c>
      <c r="M102">
        <f t="shared" si="11"/>
        <v>0</v>
      </c>
      <c r="N102">
        <f t="shared" si="9"/>
        <v>0</v>
      </c>
      <c r="P102" t="e">
        <f>INDEX(Items!B$2:B$1032,MATCH($O102,Items!$A$2:$A$1032,0))</f>
        <v>#N/A</v>
      </c>
      <c r="Q102" t="e">
        <f>INDEX(Items!C$2:C$1032,MATCH($O102,Items!$A$2:$A$1032,0))</f>
        <v>#N/A</v>
      </c>
      <c r="R102" t="e">
        <f>INDEX(Items!D$2:D$1032,MATCH($O102,Items!$A$2:$A$1032,0))</f>
        <v>#N/A</v>
      </c>
    </row>
    <row r="103" spans="1:18" x14ac:dyDescent="0.25">
      <c r="A103">
        <f t="shared" si="7"/>
        <v>1</v>
      </c>
      <c r="B103" t="str">
        <f t="shared" si="8"/>
        <v/>
      </c>
      <c r="C103">
        <f t="shared" si="10"/>
        <v>1</v>
      </c>
      <c r="D103" s="4"/>
      <c r="E103" t="s">
        <v>18</v>
      </c>
      <c r="F103" t="str">
        <f>INDEX(Establishment!B$2:B$1005,MATCH($E103,Establishment!$A$2:$A$1005,0))</f>
        <v xml:space="preserve"> </v>
      </c>
      <c r="G103" t="str">
        <f>INDEX(Establishment!C$2:C$1005,MATCH($E103,Establishment!$A$2:$A$1005,0))</f>
        <v xml:space="preserve"> </v>
      </c>
      <c r="M103">
        <f t="shared" si="11"/>
        <v>0</v>
      </c>
      <c r="N103">
        <f t="shared" si="9"/>
        <v>0</v>
      </c>
      <c r="P103" t="e">
        <f>INDEX(Items!B$2:B$1032,MATCH($O103,Items!$A$2:$A$1032,0))</f>
        <v>#N/A</v>
      </c>
      <c r="Q103" t="e">
        <f>INDEX(Items!C$2:C$1032,MATCH($O103,Items!$A$2:$A$1032,0))</f>
        <v>#N/A</v>
      </c>
      <c r="R103" t="e">
        <f>INDEX(Items!D$2:D$1032,MATCH($O103,Items!$A$2:$A$1032,0))</f>
        <v>#N/A</v>
      </c>
    </row>
    <row r="104" spans="1:18" x14ac:dyDescent="0.25">
      <c r="A104">
        <f t="shared" si="7"/>
        <v>1</v>
      </c>
      <c r="B104" t="str">
        <f t="shared" si="8"/>
        <v/>
      </c>
      <c r="C104">
        <f t="shared" si="10"/>
        <v>1</v>
      </c>
      <c r="D104" s="4"/>
      <c r="E104" t="s">
        <v>18</v>
      </c>
      <c r="F104" t="str">
        <f>INDEX(Establishment!B$2:B$1005,MATCH($E104,Establishment!$A$2:$A$1005,0))</f>
        <v xml:space="preserve"> </v>
      </c>
      <c r="G104" t="str">
        <f>INDEX(Establishment!C$2:C$1005,MATCH($E104,Establishment!$A$2:$A$1005,0))</f>
        <v xml:space="preserve"> </v>
      </c>
      <c r="M104">
        <f t="shared" si="11"/>
        <v>0</v>
      </c>
      <c r="N104">
        <f t="shared" si="9"/>
        <v>0</v>
      </c>
      <c r="P104" t="e">
        <f>INDEX(Items!B$2:B$1032,MATCH($O104,Items!$A$2:$A$1032,0))</f>
        <v>#N/A</v>
      </c>
      <c r="Q104" t="e">
        <f>INDEX(Items!C$2:C$1032,MATCH($O104,Items!$A$2:$A$1032,0))</f>
        <v>#N/A</v>
      </c>
      <c r="R104" t="e">
        <f>INDEX(Items!D$2:D$1032,MATCH($O104,Items!$A$2:$A$1032,0))</f>
        <v>#N/A</v>
      </c>
    </row>
    <row r="105" spans="1:18" x14ac:dyDescent="0.25">
      <c r="A105">
        <f t="shared" si="7"/>
        <v>1</v>
      </c>
      <c r="B105" t="str">
        <f t="shared" si="8"/>
        <v/>
      </c>
      <c r="C105">
        <f t="shared" si="10"/>
        <v>1</v>
      </c>
      <c r="D105" s="4"/>
      <c r="E105" t="s">
        <v>18</v>
      </c>
      <c r="F105" t="str">
        <f>INDEX(Establishment!B$2:B$1005,MATCH($E105,Establishment!$A$2:$A$1005,0))</f>
        <v xml:space="preserve"> </v>
      </c>
      <c r="G105" t="str">
        <f>INDEX(Establishment!C$2:C$1005,MATCH($E105,Establishment!$A$2:$A$1005,0))</f>
        <v xml:space="preserve"> </v>
      </c>
      <c r="M105">
        <f t="shared" si="11"/>
        <v>0</v>
      </c>
      <c r="N105">
        <f t="shared" si="9"/>
        <v>0</v>
      </c>
      <c r="P105" t="e">
        <f>INDEX(Items!B$2:B$1032,MATCH($O105,Items!$A$2:$A$1032,0))</f>
        <v>#N/A</v>
      </c>
      <c r="Q105" t="e">
        <f>INDEX(Items!C$2:C$1032,MATCH($O105,Items!$A$2:$A$1032,0))</f>
        <v>#N/A</v>
      </c>
      <c r="R105" t="e">
        <f>INDEX(Items!D$2:D$1032,MATCH($O105,Items!$A$2:$A$1032,0))</f>
        <v>#N/A</v>
      </c>
    </row>
    <row r="106" spans="1:18" x14ac:dyDescent="0.25">
      <c r="A106">
        <f t="shared" si="7"/>
        <v>1</v>
      </c>
      <c r="B106" t="str">
        <f t="shared" si="8"/>
        <v/>
      </c>
      <c r="C106">
        <f t="shared" si="10"/>
        <v>1</v>
      </c>
      <c r="D106" s="4"/>
      <c r="E106" t="s">
        <v>18</v>
      </c>
      <c r="F106" t="str">
        <f>INDEX(Establishment!B$2:B$1005,MATCH($E106,Establishment!$A$2:$A$1005,0))</f>
        <v xml:space="preserve"> </v>
      </c>
      <c r="G106" t="str">
        <f>INDEX(Establishment!C$2:C$1005,MATCH($E106,Establishment!$A$2:$A$1005,0))</f>
        <v xml:space="preserve"> </v>
      </c>
      <c r="M106">
        <f t="shared" si="11"/>
        <v>0</v>
      </c>
      <c r="N106">
        <f t="shared" si="9"/>
        <v>0</v>
      </c>
      <c r="P106" t="e">
        <f>INDEX(Items!B$2:B$1032,MATCH($O106,Items!$A$2:$A$1032,0))</f>
        <v>#N/A</v>
      </c>
      <c r="Q106" t="e">
        <f>INDEX(Items!C$2:C$1032,MATCH($O106,Items!$A$2:$A$1032,0))</f>
        <v>#N/A</v>
      </c>
      <c r="R106" t="e">
        <f>INDEX(Items!D$2:D$1032,MATCH($O106,Items!$A$2:$A$1032,0))</f>
        <v>#N/A</v>
      </c>
    </row>
    <row r="107" spans="1:18" x14ac:dyDescent="0.25">
      <c r="A107">
        <f t="shared" si="7"/>
        <v>1</v>
      </c>
      <c r="B107" t="str">
        <f t="shared" si="8"/>
        <v/>
      </c>
      <c r="C107">
        <f t="shared" si="10"/>
        <v>1</v>
      </c>
      <c r="D107" s="4"/>
      <c r="E107" t="s">
        <v>18</v>
      </c>
      <c r="F107" t="str">
        <f>INDEX(Establishment!B$2:B$1005,MATCH($E107,Establishment!$A$2:$A$1005,0))</f>
        <v xml:space="preserve"> </v>
      </c>
      <c r="G107" t="str">
        <f>INDEX(Establishment!C$2:C$1005,MATCH($E107,Establishment!$A$2:$A$1005,0))</f>
        <v xml:space="preserve"> </v>
      </c>
      <c r="M107">
        <f t="shared" si="11"/>
        <v>0</v>
      </c>
      <c r="N107">
        <f t="shared" si="9"/>
        <v>0</v>
      </c>
      <c r="P107" t="e">
        <f>INDEX(Items!B$2:B$1032,MATCH($O107,Items!$A$2:$A$1032,0))</f>
        <v>#N/A</v>
      </c>
      <c r="Q107" t="e">
        <f>INDEX(Items!C$2:C$1032,MATCH($O107,Items!$A$2:$A$1032,0))</f>
        <v>#N/A</v>
      </c>
      <c r="R107" t="e">
        <f>INDEX(Items!D$2:D$1032,MATCH($O107,Items!$A$2:$A$1032,0))</f>
        <v>#N/A</v>
      </c>
    </row>
    <row r="108" spans="1:18" x14ac:dyDescent="0.25">
      <c r="A108">
        <f t="shared" si="7"/>
        <v>1</v>
      </c>
      <c r="B108" t="str">
        <f t="shared" si="8"/>
        <v/>
      </c>
      <c r="C108">
        <f t="shared" si="10"/>
        <v>1</v>
      </c>
      <c r="D108" s="4"/>
      <c r="E108" t="s">
        <v>18</v>
      </c>
      <c r="F108" t="str">
        <f>INDEX(Establishment!B$2:B$1005,MATCH($E108,Establishment!$A$2:$A$1005,0))</f>
        <v xml:space="preserve"> </v>
      </c>
      <c r="G108" t="str">
        <f>INDEX(Establishment!C$2:C$1005,MATCH($E108,Establishment!$A$2:$A$1005,0))</f>
        <v xml:space="preserve"> </v>
      </c>
      <c r="M108">
        <f t="shared" si="11"/>
        <v>0</v>
      </c>
      <c r="N108">
        <f t="shared" si="9"/>
        <v>0</v>
      </c>
      <c r="P108" t="e">
        <f>INDEX(Items!B$2:B$1032,MATCH($O108,Items!$A$2:$A$1032,0))</f>
        <v>#N/A</v>
      </c>
      <c r="Q108" t="e">
        <f>INDEX(Items!C$2:C$1032,MATCH($O108,Items!$A$2:$A$1032,0))</f>
        <v>#N/A</v>
      </c>
      <c r="R108" t="e">
        <f>INDEX(Items!D$2:D$1032,MATCH($O108,Items!$A$2:$A$1032,0))</f>
        <v>#N/A</v>
      </c>
    </row>
    <row r="109" spans="1:18" x14ac:dyDescent="0.25">
      <c r="A109">
        <f t="shared" si="7"/>
        <v>1</v>
      </c>
      <c r="B109" t="str">
        <f t="shared" si="8"/>
        <v/>
      </c>
      <c r="C109">
        <f t="shared" si="10"/>
        <v>1</v>
      </c>
      <c r="D109" s="4"/>
      <c r="E109" t="s">
        <v>18</v>
      </c>
      <c r="F109" t="str">
        <f>INDEX(Establishment!B$2:B$1005,MATCH($E109,Establishment!$A$2:$A$1005,0))</f>
        <v xml:space="preserve"> </v>
      </c>
      <c r="G109" t="str">
        <f>INDEX(Establishment!C$2:C$1005,MATCH($E109,Establishment!$A$2:$A$1005,0))</f>
        <v xml:space="preserve"> </v>
      </c>
      <c r="M109">
        <f t="shared" si="11"/>
        <v>0</v>
      </c>
      <c r="N109">
        <f t="shared" si="9"/>
        <v>0</v>
      </c>
      <c r="P109" t="e">
        <f>INDEX(Items!B$2:B$1032,MATCH($O109,Items!$A$2:$A$1032,0))</f>
        <v>#N/A</v>
      </c>
      <c r="Q109" t="e">
        <f>INDEX(Items!C$2:C$1032,MATCH($O109,Items!$A$2:$A$1032,0))</f>
        <v>#N/A</v>
      </c>
      <c r="R109" t="e">
        <f>INDEX(Items!D$2:D$1032,MATCH($O109,Items!$A$2:$A$1032,0))</f>
        <v>#N/A</v>
      </c>
    </row>
    <row r="110" spans="1:18" x14ac:dyDescent="0.25">
      <c r="A110">
        <f t="shared" si="7"/>
        <v>1</v>
      </c>
      <c r="B110" t="str">
        <f t="shared" si="8"/>
        <v/>
      </c>
      <c r="C110">
        <f t="shared" si="10"/>
        <v>1</v>
      </c>
      <c r="D110" s="4"/>
      <c r="E110" t="s">
        <v>18</v>
      </c>
      <c r="F110" t="str">
        <f>INDEX(Establishment!B$2:B$1005,MATCH($E110,Establishment!$A$2:$A$1005,0))</f>
        <v xml:space="preserve"> </v>
      </c>
      <c r="G110" t="str">
        <f>INDEX(Establishment!C$2:C$1005,MATCH($E110,Establishment!$A$2:$A$1005,0))</f>
        <v xml:space="preserve"> </v>
      </c>
      <c r="M110">
        <f t="shared" si="11"/>
        <v>0</v>
      </c>
      <c r="N110">
        <f t="shared" si="9"/>
        <v>0</v>
      </c>
      <c r="P110" t="e">
        <f>INDEX(Items!B$2:B$1032,MATCH($O110,Items!$A$2:$A$1032,0))</f>
        <v>#N/A</v>
      </c>
      <c r="Q110" t="e">
        <f>INDEX(Items!C$2:C$1032,MATCH($O110,Items!$A$2:$A$1032,0))</f>
        <v>#N/A</v>
      </c>
      <c r="R110" t="e">
        <f>INDEX(Items!D$2:D$1032,MATCH($O110,Items!$A$2:$A$1032,0))</f>
        <v>#N/A</v>
      </c>
    </row>
    <row r="111" spans="1:18" x14ac:dyDescent="0.25">
      <c r="A111">
        <f t="shared" si="7"/>
        <v>1</v>
      </c>
      <c r="B111" t="str">
        <f t="shared" si="8"/>
        <v/>
      </c>
      <c r="C111">
        <f t="shared" si="10"/>
        <v>1</v>
      </c>
      <c r="D111" s="4"/>
      <c r="E111" t="s">
        <v>18</v>
      </c>
      <c r="F111" t="str">
        <f>INDEX(Establishment!B$2:B$1005,MATCH($E111,Establishment!$A$2:$A$1005,0))</f>
        <v xml:space="preserve"> </v>
      </c>
      <c r="G111" t="str">
        <f>INDEX(Establishment!C$2:C$1005,MATCH($E111,Establishment!$A$2:$A$1005,0))</f>
        <v xml:space="preserve"> </v>
      </c>
      <c r="M111">
        <f t="shared" si="11"/>
        <v>0</v>
      </c>
      <c r="N111">
        <f t="shared" si="9"/>
        <v>0</v>
      </c>
      <c r="P111" t="e">
        <f>INDEX(Items!B$2:B$1032,MATCH($O111,Items!$A$2:$A$1032,0))</f>
        <v>#N/A</v>
      </c>
      <c r="Q111" t="e">
        <f>INDEX(Items!C$2:C$1032,MATCH($O111,Items!$A$2:$A$1032,0))</f>
        <v>#N/A</v>
      </c>
      <c r="R111" t="e">
        <f>INDEX(Items!D$2:D$1032,MATCH($O111,Items!$A$2:$A$1032,0))</f>
        <v>#N/A</v>
      </c>
    </row>
    <row r="112" spans="1:18" x14ac:dyDescent="0.25">
      <c r="A112">
        <f t="shared" si="7"/>
        <v>1</v>
      </c>
      <c r="B112" t="str">
        <f t="shared" si="8"/>
        <v/>
      </c>
      <c r="C112">
        <f t="shared" si="10"/>
        <v>1</v>
      </c>
      <c r="D112" s="4"/>
      <c r="E112" t="s">
        <v>18</v>
      </c>
      <c r="F112" t="str">
        <f>INDEX(Establishment!B$2:B$1005,MATCH($E112,Establishment!$A$2:$A$1005,0))</f>
        <v xml:space="preserve"> </v>
      </c>
      <c r="G112" t="str">
        <f>INDEX(Establishment!C$2:C$1005,MATCH($E112,Establishment!$A$2:$A$1005,0))</f>
        <v xml:space="preserve"> </v>
      </c>
      <c r="M112">
        <f t="shared" si="11"/>
        <v>0</v>
      </c>
      <c r="N112">
        <f t="shared" si="9"/>
        <v>0</v>
      </c>
      <c r="P112" t="e">
        <f>INDEX(Items!B$2:B$1032,MATCH($O112,Items!$A$2:$A$1032,0))</f>
        <v>#N/A</v>
      </c>
      <c r="Q112" t="e">
        <f>INDEX(Items!C$2:C$1032,MATCH($O112,Items!$A$2:$A$1032,0))</f>
        <v>#N/A</v>
      </c>
      <c r="R112" t="e">
        <f>INDEX(Items!D$2:D$1032,MATCH($O112,Items!$A$2:$A$1032,0))</f>
        <v>#N/A</v>
      </c>
    </row>
    <row r="113" spans="1:18" x14ac:dyDescent="0.25">
      <c r="A113">
        <f t="shared" si="7"/>
        <v>1</v>
      </c>
      <c r="B113" t="str">
        <f t="shared" si="8"/>
        <v/>
      </c>
      <c r="C113">
        <f t="shared" si="10"/>
        <v>1</v>
      </c>
      <c r="D113" s="4"/>
      <c r="E113" t="s">
        <v>18</v>
      </c>
      <c r="F113" t="str">
        <f>INDEX(Establishment!B$2:B$1005,MATCH($E113,Establishment!$A$2:$A$1005,0))</f>
        <v xml:space="preserve"> </v>
      </c>
      <c r="G113" t="str">
        <f>INDEX(Establishment!C$2:C$1005,MATCH($E113,Establishment!$A$2:$A$1005,0))</f>
        <v xml:space="preserve"> </v>
      </c>
      <c r="M113">
        <f t="shared" si="11"/>
        <v>0</v>
      </c>
      <c r="N113">
        <f t="shared" si="9"/>
        <v>0</v>
      </c>
      <c r="P113" t="e">
        <f>INDEX(Items!B$2:B$1032,MATCH($O113,Items!$A$2:$A$1032,0))</f>
        <v>#N/A</v>
      </c>
      <c r="Q113" t="e">
        <f>INDEX(Items!C$2:C$1032,MATCH($O113,Items!$A$2:$A$1032,0))</f>
        <v>#N/A</v>
      </c>
      <c r="R113" t="e">
        <f>INDEX(Items!D$2:D$1032,MATCH($O113,Items!$A$2:$A$1032,0))</f>
        <v>#N/A</v>
      </c>
    </row>
    <row r="114" spans="1:18" x14ac:dyDescent="0.25">
      <c r="A114">
        <f t="shared" si="7"/>
        <v>1</v>
      </c>
      <c r="B114" t="str">
        <f t="shared" si="8"/>
        <v/>
      </c>
      <c r="C114">
        <f t="shared" si="10"/>
        <v>1</v>
      </c>
      <c r="D114" s="4"/>
      <c r="E114" t="s">
        <v>18</v>
      </c>
      <c r="F114" t="str">
        <f>INDEX(Establishment!B$2:B$1005,MATCH($E114,Establishment!$A$2:$A$1005,0))</f>
        <v xml:space="preserve"> </v>
      </c>
      <c r="G114" t="str">
        <f>INDEX(Establishment!C$2:C$1005,MATCH($E114,Establishment!$A$2:$A$1005,0))</f>
        <v xml:space="preserve"> </v>
      </c>
      <c r="M114">
        <f t="shared" si="11"/>
        <v>0</v>
      </c>
      <c r="N114">
        <f t="shared" si="9"/>
        <v>0</v>
      </c>
      <c r="P114" t="e">
        <f>INDEX(Items!B$2:B$1032,MATCH($O114,Items!$A$2:$A$1032,0))</f>
        <v>#N/A</v>
      </c>
      <c r="Q114" t="e">
        <f>INDEX(Items!C$2:C$1032,MATCH($O114,Items!$A$2:$A$1032,0))</f>
        <v>#N/A</v>
      </c>
      <c r="R114" t="e">
        <f>INDEX(Items!D$2:D$1032,MATCH($O114,Items!$A$2:$A$1032,0))</f>
        <v>#N/A</v>
      </c>
    </row>
    <row r="115" spans="1:18" x14ac:dyDescent="0.25">
      <c r="A115">
        <f t="shared" si="7"/>
        <v>1</v>
      </c>
      <c r="B115" t="str">
        <f t="shared" si="8"/>
        <v/>
      </c>
      <c r="C115">
        <f t="shared" si="10"/>
        <v>1</v>
      </c>
      <c r="D115" s="4"/>
      <c r="E115" t="s">
        <v>18</v>
      </c>
      <c r="F115" t="str">
        <f>INDEX(Establishment!B$2:B$1005,MATCH($E115,Establishment!$A$2:$A$1005,0))</f>
        <v xml:space="preserve"> </v>
      </c>
      <c r="G115" t="str">
        <f>INDEX(Establishment!C$2:C$1005,MATCH($E115,Establishment!$A$2:$A$1005,0))</f>
        <v xml:space="preserve"> </v>
      </c>
      <c r="M115">
        <f t="shared" si="11"/>
        <v>0</v>
      </c>
      <c r="N115">
        <f t="shared" si="9"/>
        <v>0</v>
      </c>
      <c r="P115" t="e">
        <f>INDEX(Items!B$2:B$1032,MATCH($O115,Items!$A$2:$A$1032,0))</f>
        <v>#N/A</v>
      </c>
      <c r="Q115" t="e">
        <f>INDEX(Items!C$2:C$1032,MATCH($O115,Items!$A$2:$A$1032,0))</f>
        <v>#N/A</v>
      </c>
      <c r="R115" t="e">
        <f>INDEX(Items!D$2:D$1032,MATCH($O115,Items!$A$2:$A$1032,0))</f>
        <v>#N/A</v>
      </c>
    </row>
    <row r="116" spans="1:18" x14ac:dyDescent="0.25">
      <c r="A116">
        <f t="shared" si="7"/>
        <v>1</v>
      </c>
      <c r="B116" t="str">
        <f t="shared" si="8"/>
        <v/>
      </c>
      <c r="C116">
        <f t="shared" si="10"/>
        <v>1</v>
      </c>
      <c r="D116" s="4"/>
      <c r="E116" t="s">
        <v>18</v>
      </c>
      <c r="F116" t="str">
        <f>INDEX(Establishment!B$2:B$1005,MATCH($E116,Establishment!$A$2:$A$1005,0))</f>
        <v xml:space="preserve"> </v>
      </c>
      <c r="G116" t="str">
        <f>INDEX(Establishment!C$2:C$1005,MATCH($E116,Establishment!$A$2:$A$1005,0))</f>
        <v xml:space="preserve"> </v>
      </c>
      <c r="M116">
        <f t="shared" si="11"/>
        <v>0</v>
      </c>
      <c r="N116">
        <f t="shared" si="9"/>
        <v>0</v>
      </c>
      <c r="P116" t="e">
        <f>INDEX(Items!B$2:B$1032,MATCH($O116,Items!$A$2:$A$1032,0))</f>
        <v>#N/A</v>
      </c>
      <c r="Q116" t="e">
        <f>INDEX(Items!C$2:C$1032,MATCH($O116,Items!$A$2:$A$1032,0))</f>
        <v>#N/A</v>
      </c>
      <c r="R116" t="e">
        <f>INDEX(Items!D$2:D$1032,MATCH($O116,Items!$A$2:$A$1032,0))</f>
        <v>#N/A</v>
      </c>
    </row>
    <row r="117" spans="1:18" x14ac:dyDescent="0.25">
      <c r="A117">
        <f t="shared" si="7"/>
        <v>1</v>
      </c>
      <c r="B117" t="str">
        <f t="shared" si="8"/>
        <v/>
      </c>
      <c r="C117">
        <f t="shared" si="10"/>
        <v>1</v>
      </c>
      <c r="D117" s="4"/>
      <c r="E117" t="s">
        <v>18</v>
      </c>
      <c r="F117" t="str">
        <f>INDEX(Establishment!B$2:B$1005,MATCH($E117,Establishment!$A$2:$A$1005,0))</f>
        <v xml:space="preserve"> </v>
      </c>
      <c r="G117" t="str">
        <f>INDEX(Establishment!C$2:C$1005,MATCH($E117,Establishment!$A$2:$A$1005,0))</f>
        <v xml:space="preserve"> </v>
      </c>
      <c r="M117">
        <f t="shared" si="11"/>
        <v>0</v>
      </c>
      <c r="N117">
        <f t="shared" si="9"/>
        <v>0</v>
      </c>
      <c r="P117" t="e">
        <f>INDEX(Items!B$2:B$1032,MATCH($O117,Items!$A$2:$A$1032,0))</f>
        <v>#N/A</v>
      </c>
      <c r="Q117" t="e">
        <f>INDEX(Items!C$2:C$1032,MATCH($O117,Items!$A$2:$A$1032,0))</f>
        <v>#N/A</v>
      </c>
      <c r="R117" t="e">
        <f>INDEX(Items!D$2:D$1032,MATCH($O117,Items!$A$2:$A$1032,0))</f>
        <v>#N/A</v>
      </c>
    </row>
    <row r="118" spans="1:18" x14ac:dyDescent="0.25">
      <c r="A118">
        <f t="shared" si="7"/>
        <v>1</v>
      </c>
      <c r="B118" t="str">
        <f t="shared" si="8"/>
        <v/>
      </c>
      <c r="C118">
        <f t="shared" si="10"/>
        <v>1</v>
      </c>
      <c r="D118" s="4"/>
      <c r="E118" t="s">
        <v>18</v>
      </c>
      <c r="F118" t="str">
        <f>INDEX(Establishment!B$2:B$1005,MATCH($E118,Establishment!$A$2:$A$1005,0))</f>
        <v xml:space="preserve"> </v>
      </c>
      <c r="G118" t="str">
        <f>INDEX(Establishment!C$2:C$1005,MATCH($E118,Establishment!$A$2:$A$1005,0))</f>
        <v xml:space="preserve"> </v>
      </c>
      <c r="M118">
        <f t="shared" si="11"/>
        <v>0</v>
      </c>
      <c r="N118">
        <f t="shared" si="9"/>
        <v>0</v>
      </c>
      <c r="P118" t="e">
        <f>INDEX(Items!B$2:B$1032,MATCH($O118,Items!$A$2:$A$1032,0))</f>
        <v>#N/A</v>
      </c>
      <c r="Q118" t="e">
        <f>INDEX(Items!C$2:C$1032,MATCH($O118,Items!$A$2:$A$1032,0))</f>
        <v>#N/A</v>
      </c>
      <c r="R118" t="e">
        <f>INDEX(Items!D$2:D$1032,MATCH($O118,Items!$A$2:$A$1032,0))</f>
        <v>#N/A</v>
      </c>
    </row>
    <row r="119" spans="1:18" x14ac:dyDescent="0.25">
      <c r="A119">
        <f t="shared" si="7"/>
        <v>1</v>
      </c>
      <c r="B119" t="str">
        <f t="shared" si="8"/>
        <v/>
      </c>
      <c r="C119">
        <f t="shared" si="10"/>
        <v>1</v>
      </c>
      <c r="D119" s="4"/>
      <c r="E119" t="s">
        <v>18</v>
      </c>
      <c r="F119" t="str">
        <f>INDEX(Establishment!B$2:B$1005,MATCH($E119,Establishment!$A$2:$A$1005,0))</f>
        <v xml:space="preserve"> </v>
      </c>
      <c r="G119" t="str">
        <f>INDEX(Establishment!C$2:C$1005,MATCH($E119,Establishment!$A$2:$A$1005,0))</f>
        <v xml:space="preserve"> </v>
      </c>
      <c r="M119">
        <f t="shared" si="11"/>
        <v>0</v>
      </c>
      <c r="N119">
        <f t="shared" si="9"/>
        <v>0</v>
      </c>
      <c r="P119" t="e">
        <f>INDEX(Items!B$2:B$1032,MATCH($O119,Items!$A$2:$A$1032,0))</f>
        <v>#N/A</v>
      </c>
      <c r="Q119" t="e">
        <f>INDEX(Items!C$2:C$1032,MATCH($O119,Items!$A$2:$A$1032,0))</f>
        <v>#N/A</v>
      </c>
      <c r="R119" t="e">
        <f>INDEX(Items!D$2:D$1032,MATCH($O119,Items!$A$2:$A$1032,0))</f>
        <v>#N/A</v>
      </c>
    </row>
    <row r="120" spans="1:18" x14ac:dyDescent="0.25">
      <c r="A120">
        <f t="shared" si="7"/>
        <v>1</v>
      </c>
      <c r="B120" t="str">
        <f t="shared" si="8"/>
        <v/>
      </c>
      <c r="C120">
        <f t="shared" si="10"/>
        <v>1</v>
      </c>
      <c r="D120" s="4"/>
      <c r="E120" t="s">
        <v>18</v>
      </c>
      <c r="F120" t="str">
        <f>INDEX(Establishment!B$2:B$1005,MATCH($E120,Establishment!$A$2:$A$1005,0))</f>
        <v xml:space="preserve"> </v>
      </c>
      <c r="G120" t="str">
        <f>INDEX(Establishment!C$2:C$1005,MATCH($E120,Establishment!$A$2:$A$1005,0))</f>
        <v xml:space="preserve"> </v>
      </c>
      <c r="M120">
        <f t="shared" si="11"/>
        <v>0</v>
      </c>
      <c r="N120">
        <f t="shared" si="9"/>
        <v>0</v>
      </c>
      <c r="P120" t="e">
        <f>INDEX(Items!B$2:B$1032,MATCH($O120,Items!$A$2:$A$1032,0))</f>
        <v>#N/A</v>
      </c>
      <c r="Q120" t="e">
        <f>INDEX(Items!C$2:C$1032,MATCH($O120,Items!$A$2:$A$1032,0))</f>
        <v>#N/A</v>
      </c>
      <c r="R120" t="e">
        <f>INDEX(Items!D$2:D$1032,MATCH($O120,Items!$A$2:$A$1032,0))</f>
        <v>#N/A</v>
      </c>
    </row>
    <row r="121" spans="1:18" x14ac:dyDescent="0.25">
      <c r="A121">
        <f t="shared" si="7"/>
        <v>1</v>
      </c>
      <c r="B121" t="str">
        <f t="shared" si="8"/>
        <v/>
      </c>
      <c r="C121">
        <f t="shared" si="10"/>
        <v>1</v>
      </c>
      <c r="D121" s="4"/>
      <c r="E121" t="s">
        <v>18</v>
      </c>
      <c r="F121" t="str">
        <f>INDEX(Establishment!B$2:B$1005,MATCH($E121,Establishment!$A$2:$A$1005,0))</f>
        <v xml:space="preserve"> </v>
      </c>
      <c r="G121" t="str">
        <f>INDEX(Establishment!C$2:C$1005,MATCH($E121,Establishment!$A$2:$A$1005,0))</f>
        <v xml:space="preserve"> </v>
      </c>
      <c r="M121">
        <f t="shared" si="11"/>
        <v>0</v>
      </c>
      <c r="N121">
        <f t="shared" si="9"/>
        <v>0</v>
      </c>
      <c r="P121" t="e">
        <f>INDEX(Items!B$2:B$1032,MATCH($O121,Items!$A$2:$A$1032,0))</f>
        <v>#N/A</v>
      </c>
      <c r="Q121" t="e">
        <f>INDEX(Items!C$2:C$1032,MATCH($O121,Items!$A$2:$A$1032,0))</f>
        <v>#N/A</v>
      </c>
      <c r="R121" t="e">
        <f>INDEX(Items!D$2:D$1032,MATCH($O121,Items!$A$2:$A$1032,0))</f>
        <v>#N/A</v>
      </c>
    </row>
    <row r="122" spans="1:18" x14ac:dyDescent="0.25">
      <c r="A122">
        <f t="shared" si="7"/>
        <v>1</v>
      </c>
      <c r="B122" t="str">
        <f t="shared" si="8"/>
        <v/>
      </c>
      <c r="C122">
        <f t="shared" si="10"/>
        <v>1</v>
      </c>
      <c r="D122" s="4"/>
      <c r="E122" t="s">
        <v>18</v>
      </c>
      <c r="F122" t="str">
        <f>INDEX(Establishment!B$2:B$1005,MATCH($E122,Establishment!$A$2:$A$1005,0))</f>
        <v xml:space="preserve"> </v>
      </c>
      <c r="G122" t="str">
        <f>INDEX(Establishment!C$2:C$1005,MATCH($E122,Establishment!$A$2:$A$1005,0))</f>
        <v xml:space="preserve"> </v>
      </c>
      <c r="M122">
        <f t="shared" si="11"/>
        <v>0</v>
      </c>
      <c r="N122">
        <f t="shared" si="9"/>
        <v>0</v>
      </c>
      <c r="P122" t="e">
        <f>INDEX(Items!B$2:B$1032,MATCH($O122,Items!$A$2:$A$1032,0))</f>
        <v>#N/A</v>
      </c>
      <c r="Q122" t="e">
        <f>INDEX(Items!C$2:C$1032,MATCH($O122,Items!$A$2:$A$1032,0))</f>
        <v>#N/A</v>
      </c>
      <c r="R122" t="e">
        <f>INDEX(Items!D$2:D$1032,MATCH($O122,Items!$A$2:$A$1032,0))</f>
        <v>#N/A</v>
      </c>
    </row>
    <row r="123" spans="1:18" x14ac:dyDescent="0.25">
      <c r="A123">
        <f t="shared" si="7"/>
        <v>1</v>
      </c>
      <c r="B123" t="str">
        <f t="shared" si="8"/>
        <v/>
      </c>
      <c r="C123">
        <f t="shared" si="10"/>
        <v>1</v>
      </c>
      <c r="D123" s="4"/>
      <c r="E123" t="s">
        <v>18</v>
      </c>
      <c r="F123" t="str">
        <f>INDEX(Establishment!B$2:B$1005,MATCH($E123,Establishment!$A$2:$A$1005,0))</f>
        <v xml:space="preserve"> </v>
      </c>
      <c r="G123" t="str">
        <f>INDEX(Establishment!C$2:C$1005,MATCH($E123,Establishment!$A$2:$A$1005,0))</f>
        <v xml:space="preserve"> </v>
      </c>
      <c r="M123">
        <f t="shared" si="11"/>
        <v>0</v>
      </c>
      <c r="N123">
        <f t="shared" si="9"/>
        <v>0</v>
      </c>
      <c r="P123" t="e">
        <f>INDEX(Items!B$2:B$1032,MATCH($O123,Items!$A$2:$A$1032,0))</f>
        <v>#N/A</v>
      </c>
      <c r="Q123" t="e">
        <f>INDEX(Items!C$2:C$1032,MATCH($O123,Items!$A$2:$A$1032,0))</f>
        <v>#N/A</v>
      </c>
      <c r="R123" t="e">
        <f>INDEX(Items!D$2:D$1032,MATCH($O123,Items!$A$2:$A$1032,0))</f>
        <v>#N/A</v>
      </c>
    </row>
    <row r="124" spans="1:18" x14ac:dyDescent="0.25">
      <c r="A124">
        <f t="shared" si="7"/>
        <v>1</v>
      </c>
      <c r="B124" t="str">
        <f t="shared" si="8"/>
        <v/>
      </c>
      <c r="C124">
        <f t="shared" si="10"/>
        <v>1</v>
      </c>
      <c r="D124" s="4"/>
      <c r="E124" t="s">
        <v>18</v>
      </c>
      <c r="F124" t="str">
        <f>INDEX(Establishment!B$2:B$1005,MATCH($E124,Establishment!$A$2:$A$1005,0))</f>
        <v xml:space="preserve"> </v>
      </c>
      <c r="G124" t="str">
        <f>INDEX(Establishment!C$2:C$1005,MATCH($E124,Establishment!$A$2:$A$1005,0))</f>
        <v xml:space="preserve"> </v>
      </c>
      <c r="M124">
        <f t="shared" si="11"/>
        <v>0</v>
      </c>
      <c r="N124">
        <f t="shared" si="9"/>
        <v>0</v>
      </c>
      <c r="P124" t="e">
        <f>INDEX(Items!B$2:B$1032,MATCH($O124,Items!$A$2:$A$1032,0))</f>
        <v>#N/A</v>
      </c>
      <c r="Q124" t="e">
        <f>INDEX(Items!C$2:C$1032,MATCH($O124,Items!$A$2:$A$1032,0))</f>
        <v>#N/A</v>
      </c>
      <c r="R124" t="e">
        <f>INDEX(Items!D$2:D$1032,MATCH($O124,Items!$A$2:$A$1032,0))</f>
        <v>#N/A</v>
      </c>
    </row>
    <row r="125" spans="1:18" x14ac:dyDescent="0.25">
      <c r="A125">
        <f t="shared" si="7"/>
        <v>1</v>
      </c>
      <c r="B125" t="str">
        <f t="shared" si="8"/>
        <v/>
      </c>
      <c r="C125">
        <f t="shared" si="10"/>
        <v>1</v>
      </c>
      <c r="D125" s="4"/>
      <c r="E125" t="s">
        <v>18</v>
      </c>
      <c r="F125" t="str">
        <f>INDEX(Establishment!B$2:B$1005,MATCH($E125,Establishment!$A$2:$A$1005,0))</f>
        <v xml:space="preserve"> </v>
      </c>
      <c r="G125" t="str">
        <f>INDEX(Establishment!C$2:C$1005,MATCH($E125,Establishment!$A$2:$A$1005,0))</f>
        <v xml:space="preserve"> </v>
      </c>
      <c r="M125">
        <f t="shared" si="11"/>
        <v>0</v>
      </c>
      <c r="N125">
        <f t="shared" si="9"/>
        <v>0</v>
      </c>
      <c r="P125" t="e">
        <f>INDEX(Items!B$2:B$1032,MATCH($O125,Items!$A$2:$A$1032,0))</f>
        <v>#N/A</v>
      </c>
      <c r="Q125" t="e">
        <f>INDEX(Items!C$2:C$1032,MATCH($O125,Items!$A$2:$A$1032,0))</f>
        <v>#N/A</v>
      </c>
      <c r="R125" t="e">
        <f>INDEX(Items!D$2:D$1032,MATCH($O125,Items!$A$2:$A$1032,0))</f>
        <v>#N/A</v>
      </c>
    </row>
    <row r="126" spans="1:18" x14ac:dyDescent="0.25">
      <c r="A126">
        <f t="shared" si="7"/>
        <v>1</v>
      </c>
      <c r="B126" t="str">
        <f t="shared" si="8"/>
        <v/>
      </c>
      <c r="C126">
        <f t="shared" si="10"/>
        <v>1</v>
      </c>
      <c r="D126" s="4"/>
      <c r="E126" t="s">
        <v>18</v>
      </c>
      <c r="F126" t="str">
        <f>INDEX(Establishment!B$2:B$1005,MATCH($E126,Establishment!$A$2:$A$1005,0))</f>
        <v xml:space="preserve"> </v>
      </c>
      <c r="G126" t="str">
        <f>INDEX(Establishment!C$2:C$1005,MATCH($E126,Establishment!$A$2:$A$1005,0))</f>
        <v xml:space="preserve"> </v>
      </c>
      <c r="M126">
        <f t="shared" si="11"/>
        <v>0</v>
      </c>
      <c r="N126">
        <f t="shared" si="9"/>
        <v>0</v>
      </c>
      <c r="P126" t="e">
        <f>INDEX(Items!B$2:B$1032,MATCH($O126,Items!$A$2:$A$1032,0))</f>
        <v>#N/A</v>
      </c>
      <c r="Q126" t="e">
        <f>INDEX(Items!C$2:C$1032,MATCH($O126,Items!$A$2:$A$1032,0))</f>
        <v>#N/A</v>
      </c>
      <c r="R126" t="e">
        <f>INDEX(Items!D$2:D$1032,MATCH($O126,Items!$A$2:$A$1032,0))</f>
        <v>#N/A</v>
      </c>
    </row>
    <row r="127" spans="1:18" x14ac:dyDescent="0.25">
      <c r="A127">
        <f t="shared" si="7"/>
        <v>1</v>
      </c>
      <c r="B127" t="str">
        <f t="shared" si="8"/>
        <v/>
      </c>
      <c r="C127">
        <f t="shared" si="10"/>
        <v>1</v>
      </c>
      <c r="D127" s="4"/>
      <c r="E127" t="s">
        <v>18</v>
      </c>
      <c r="F127" t="str">
        <f>INDEX(Establishment!B$2:B$1005,MATCH($E127,Establishment!$A$2:$A$1005,0))</f>
        <v xml:space="preserve"> </v>
      </c>
      <c r="G127" t="str">
        <f>INDEX(Establishment!C$2:C$1005,MATCH($E127,Establishment!$A$2:$A$1005,0))</f>
        <v xml:space="preserve"> </v>
      </c>
      <c r="M127">
        <f t="shared" si="11"/>
        <v>0</v>
      </c>
      <c r="N127">
        <f t="shared" si="9"/>
        <v>0</v>
      </c>
      <c r="P127" t="e">
        <f>INDEX(Items!B$2:B$1032,MATCH($O127,Items!$A$2:$A$1032,0))</f>
        <v>#N/A</v>
      </c>
      <c r="Q127" t="e">
        <f>INDEX(Items!C$2:C$1032,MATCH($O127,Items!$A$2:$A$1032,0))</f>
        <v>#N/A</v>
      </c>
      <c r="R127" t="e">
        <f>INDEX(Items!D$2:D$1032,MATCH($O127,Items!$A$2:$A$1032,0))</f>
        <v>#N/A</v>
      </c>
    </row>
    <row r="128" spans="1:18" x14ac:dyDescent="0.25">
      <c r="A128">
        <f t="shared" si="7"/>
        <v>1</v>
      </c>
      <c r="B128" t="str">
        <f t="shared" si="8"/>
        <v/>
      </c>
      <c r="C128">
        <f t="shared" si="10"/>
        <v>1</v>
      </c>
      <c r="D128" s="4"/>
      <c r="E128" t="s">
        <v>18</v>
      </c>
      <c r="F128" t="str">
        <f>INDEX(Establishment!B$2:B$1005,MATCH($E128,Establishment!$A$2:$A$1005,0))</f>
        <v xml:space="preserve"> </v>
      </c>
      <c r="G128" t="str">
        <f>INDEX(Establishment!C$2:C$1005,MATCH($E128,Establishment!$A$2:$A$1005,0))</f>
        <v xml:space="preserve"> </v>
      </c>
      <c r="M128">
        <f t="shared" si="11"/>
        <v>0</v>
      </c>
      <c r="N128">
        <f t="shared" si="9"/>
        <v>0</v>
      </c>
      <c r="P128" t="e">
        <f>INDEX(Items!B$2:B$1032,MATCH($O128,Items!$A$2:$A$1032,0))</f>
        <v>#N/A</v>
      </c>
      <c r="Q128" t="e">
        <f>INDEX(Items!C$2:C$1032,MATCH($O128,Items!$A$2:$A$1032,0))</f>
        <v>#N/A</v>
      </c>
      <c r="R128" t="e">
        <f>INDEX(Items!D$2:D$1032,MATCH($O128,Items!$A$2:$A$1032,0))</f>
        <v>#N/A</v>
      </c>
    </row>
    <row r="129" spans="1:18" x14ac:dyDescent="0.25">
      <c r="A129">
        <f t="shared" si="7"/>
        <v>1</v>
      </c>
      <c r="B129" t="str">
        <f t="shared" si="8"/>
        <v/>
      </c>
      <c r="C129">
        <f t="shared" si="10"/>
        <v>1</v>
      </c>
      <c r="D129" s="4"/>
      <c r="E129" t="s">
        <v>18</v>
      </c>
      <c r="F129" t="str">
        <f>INDEX(Establishment!B$2:B$1005,MATCH($E129,Establishment!$A$2:$A$1005,0))</f>
        <v xml:space="preserve"> </v>
      </c>
      <c r="G129" t="str">
        <f>INDEX(Establishment!C$2:C$1005,MATCH($E129,Establishment!$A$2:$A$1005,0))</f>
        <v xml:space="preserve"> </v>
      </c>
      <c r="M129">
        <f t="shared" si="11"/>
        <v>0</v>
      </c>
      <c r="N129">
        <f t="shared" si="9"/>
        <v>0</v>
      </c>
      <c r="P129" t="e">
        <f>INDEX(Items!B$2:B$1032,MATCH($O129,Items!$A$2:$A$1032,0))</f>
        <v>#N/A</v>
      </c>
      <c r="Q129" t="e">
        <f>INDEX(Items!C$2:C$1032,MATCH($O129,Items!$A$2:$A$1032,0))</f>
        <v>#N/A</v>
      </c>
      <c r="R129" t="e">
        <f>INDEX(Items!D$2:D$1032,MATCH($O129,Items!$A$2:$A$1032,0))</f>
        <v>#N/A</v>
      </c>
    </row>
    <row r="130" spans="1:18" x14ac:dyDescent="0.25">
      <c r="A130">
        <f t="shared" ref="A130:A193" si="12">IF(OR(D130&lt;&gt;D129,D130=""),1,IF(NOT(AND(E130=E129,F130=F129,G130=G129)),A129+1,IF(OR(H130="",AND(H130&lt;&gt;"",H130&lt;&gt;H129,H129&lt;&gt;"")),A129,A129+1)))</f>
        <v>1</v>
      </c>
      <c r="B130" t="str">
        <f t="shared" ref="B130:B193" si="13">IF(D130&lt;&gt;"",TEXT(D130,"YYYYMMDD")&amp;CHAR(64+A130),"")</f>
        <v/>
      </c>
      <c r="C130">
        <f t="shared" si="10"/>
        <v>1</v>
      </c>
      <c r="D130" s="4"/>
      <c r="E130" t="s">
        <v>18</v>
      </c>
      <c r="F130" t="str">
        <f>INDEX(Establishment!B$2:B$1005,MATCH($E130,Establishment!$A$2:$A$1005,0))</f>
        <v xml:space="preserve"> </v>
      </c>
      <c r="G130" t="str">
        <f>INDEX(Establishment!C$2:C$1005,MATCH($E130,Establishment!$A$2:$A$1005,0))</f>
        <v xml:space="preserve"> </v>
      </c>
      <c r="M130">
        <f t="shared" si="11"/>
        <v>0</v>
      </c>
      <c r="N130">
        <f t="shared" si="9"/>
        <v>0</v>
      </c>
      <c r="P130" t="e">
        <f>INDEX(Items!B$2:B$1032,MATCH($O130,Items!$A$2:$A$1032,0))</f>
        <v>#N/A</v>
      </c>
      <c r="Q130" t="e">
        <f>INDEX(Items!C$2:C$1032,MATCH($O130,Items!$A$2:$A$1032,0))</f>
        <v>#N/A</v>
      </c>
      <c r="R130" t="e">
        <f>INDEX(Items!D$2:D$1032,MATCH($O130,Items!$A$2:$A$1032,0))</f>
        <v>#N/A</v>
      </c>
    </row>
    <row r="131" spans="1:18" x14ac:dyDescent="0.25">
      <c r="A131">
        <f t="shared" si="12"/>
        <v>1</v>
      </c>
      <c r="B131" t="str">
        <f t="shared" si="13"/>
        <v/>
      </c>
      <c r="C131">
        <f t="shared" si="10"/>
        <v>1</v>
      </c>
      <c r="D131" s="4"/>
      <c r="E131" t="s">
        <v>18</v>
      </c>
      <c r="F131" t="str">
        <f>INDEX(Establishment!B$2:B$1005,MATCH($E131,Establishment!$A$2:$A$1005,0))</f>
        <v xml:space="preserve"> </v>
      </c>
      <c r="G131" t="str">
        <f>INDEX(Establishment!C$2:C$1005,MATCH($E131,Establishment!$A$2:$A$1005,0))</f>
        <v xml:space="preserve"> </v>
      </c>
      <c r="M131">
        <f t="shared" si="11"/>
        <v>0</v>
      </c>
      <c r="N131">
        <f t="shared" ref="N131:N194" si="14">IF(B131=B130,N130+M131,M131)</f>
        <v>0</v>
      </c>
      <c r="P131" t="e">
        <f>INDEX(Items!B$2:B$1032,MATCH($O131,Items!$A$2:$A$1032,0))</f>
        <v>#N/A</v>
      </c>
      <c r="Q131" t="e">
        <f>INDEX(Items!C$2:C$1032,MATCH($O131,Items!$A$2:$A$1032,0))</f>
        <v>#N/A</v>
      </c>
      <c r="R131" t="e">
        <f>INDEX(Items!D$2:D$1032,MATCH($O131,Items!$A$2:$A$1032,0))</f>
        <v>#N/A</v>
      </c>
    </row>
    <row r="132" spans="1:18" x14ac:dyDescent="0.25">
      <c r="A132">
        <f t="shared" si="12"/>
        <v>1</v>
      </c>
      <c r="B132" t="str">
        <f t="shared" si="13"/>
        <v/>
      </c>
      <c r="C132">
        <f t="shared" si="10"/>
        <v>1</v>
      </c>
      <c r="D132" s="4"/>
      <c r="E132" t="s">
        <v>18</v>
      </c>
      <c r="F132" t="str">
        <f>INDEX(Establishment!B$2:B$1005,MATCH($E132,Establishment!$A$2:$A$1005,0))</f>
        <v xml:space="preserve"> </v>
      </c>
      <c r="G132" t="str">
        <f>INDEX(Establishment!C$2:C$1005,MATCH($E132,Establishment!$A$2:$A$1005,0))</f>
        <v xml:space="preserve"> </v>
      </c>
      <c r="M132">
        <f t="shared" si="11"/>
        <v>0</v>
      </c>
      <c r="N132">
        <f t="shared" si="14"/>
        <v>0</v>
      </c>
      <c r="P132" t="e">
        <f>INDEX(Items!B$2:B$1032,MATCH($O132,Items!$A$2:$A$1032,0))</f>
        <v>#N/A</v>
      </c>
      <c r="Q132" t="e">
        <f>INDEX(Items!C$2:C$1032,MATCH($O132,Items!$A$2:$A$1032,0))</f>
        <v>#N/A</v>
      </c>
      <c r="R132" t="e">
        <f>INDEX(Items!D$2:D$1032,MATCH($O132,Items!$A$2:$A$1032,0))</f>
        <v>#N/A</v>
      </c>
    </row>
    <row r="133" spans="1:18" x14ac:dyDescent="0.25">
      <c r="A133">
        <f t="shared" si="12"/>
        <v>1</v>
      </c>
      <c r="B133" t="str">
        <f t="shared" si="13"/>
        <v/>
      </c>
      <c r="C133">
        <f t="shared" si="10"/>
        <v>1</v>
      </c>
      <c r="D133" s="4"/>
      <c r="E133" t="s">
        <v>18</v>
      </c>
      <c r="F133" t="str">
        <f>INDEX(Establishment!B$2:B$1005,MATCH($E133,Establishment!$A$2:$A$1005,0))</f>
        <v xml:space="preserve"> </v>
      </c>
      <c r="G133" t="str">
        <f>INDEX(Establishment!C$2:C$1005,MATCH($E133,Establishment!$A$2:$A$1005,0))</f>
        <v xml:space="preserve"> </v>
      </c>
      <c r="M133">
        <f t="shared" si="11"/>
        <v>0</v>
      </c>
      <c r="N133">
        <f t="shared" si="14"/>
        <v>0</v>
      </c>
      <c r="P133" t="e">
        <f>INDEX(Items!B$2:B$1032,MATCH($O133,Items!$A$2:$A$1032,0))</f>
        <v>#N/A</v>
      </c>
      <c r="Q133" t="e">
        <f>INDEX(Items!C$2:C$1032,MATCH($O133,Items!$A$2:$A$1032,0))</f>
        <v>#N/A</v>
      </c>
      <c r="R133" t="e">
        <f>INDEX(Items!D$2:D$1032,MATCH($O133,Items!$A$2:$A$1032,0))</f>
        <v>#N/A</v>
      </c>
    </row>
    <row r="134" spans="1:18" x14ac:dyDescent="0.25">
      <c r="A134">
        <f t="shared" si="12"/>
        <v>1</v>
      </c>
      <c r="B134" t="str">
        <f t="shared" si="13"/>
        <v/>
      </c>
      <c r="C134">
        <f t="shared" si="10"/>
        <v>1</v>
      </c>
      <c r="D134" s="4"/>
      <c r="E134" t="s">
        <v>18</v>
      </c>
      <c r="F134" t="str">
        <f>INDEX(Establishment!B$2:B$1005,MATCH($E134,Establishment!$A$2:$A$1005,0))</f>
        <v xml:space="preserve"> </v>
      </c>
      <c r="G134" t="str">
        <f>INDEX(Establishment!C$2:C$1005,MATCH($E134,Establishment!$A$2:$A$1005,0))</f>
        <v xml:space="preserve"> </v>
      </c>
      <c r="M134">
        <f t="shared" si="11"/>
        <v>0</v>
      </c>
      <c r="N134">
        <f t="shared" si="14"/>
        <v>0</v>
      </c>
      <c r="P134" t="e">
        <f>INDEX(Items!B$2:B$1032,MATCH($O134,Items!$A$2:$A$1032,0))</f>
        <v>#N/A</v>
      </c>
      <c r="Q134" t="e">
        <f>INDEX(Items!C$2:C$1032,MATCH($O134,Items!$A$2:$A$1032,0))</f>
        <v>#N/A</v>
      </c>
      <c r="R134" t="e">
        <f>INDEX(Items!D$2:D$1032,MATCH($O134,Items!$A$2:$A$1032,0))</f>
        <v>#N/A</v>
      </c>
    </row>
    <row r="135" spans="1:18" x14ac:dyDescent="0.25">
      <c r="A135">
        <f t="shared" si="12"/>
        <v>1</v>
      </c>
      <c r="B135" t="str">
        <f t="shared" si="13"/>
        <v/>
      </c>
      <c r="C135">
        <f t="shared" si="10"/>
        <v>1</v>
      </c>
      <c r="D135" s="4"/>
      <c r="E135" t="s">
        <v>18</v>
      </c>
      <c r="F135" t="str">
        <f>INDEX(Establishment!B$2:B$1005,MATCH($E135,Establishment!$A$2:$A$1005,0))</f>
        <v xml:space="preserve"> </v>
      </c>
      <c r="G135" t="str">
        <f>INDEX(Establishment!C$2:C$1005,MATCH($E135,Establishment!$A$2:$A$1005,0))</f>
        <v xml:space="preserve"> </v>
      </c>
      <c r="M135">
        <f t="shared" si="11"/>
        <v>0</v>
      </c>
      <c r="N135">
        <f t="shared" si="14"/>
        <v>0</v>
      </c>
      <c r="P135" t="e">
        <f>INDEX(Items!B$2:B$1032,MATCH($O135,Items!$A$2:$A$1032,0))</f>
        <v>#N/A</v>
      </c>
      <c r="Q135" t="e">
        <f>INDEX(Items!C$2:C$1032,MATCH($O135,Items!$A$2:$A$1032,0))</f>
        <v>#N/A</v>
      </c>
      <c r="R135" t="e">
        <f>INDEX(Items!D$2:D$1032,MATCH($O135,Items!$A$2:$A$1032,0))</f>
        <v>#N/A</v>
      </c>
    </row>
    <row r="136" spans="1:18" x14ac:dyDescent="0.25">
      <c r="A136">
        <f t="shared" si="12"/>
        <v>1</v>
      </c>
      <c r="B136" t="str">
        <f t="shared" si="13"/>
        <v/>
      </c>
      <c r="C136">
        <f t="shared" si="10"/>
        <v>1</v>
      </c>
      <c r="D136" s="4"/>
      <c r="E136" t="s">
        <v>18</v>
      </c>
      <c r="F136" t="str">
        <f>INDEX(Establishment!B$2:B$1005,MATCH($E136,Establishment!$A$2:$A$1005,0))</f>
        <v xml:space="preserve"> </v>
      </c>
      <c r="G136" t="str">
        <f>INDEX(Establishment!C$2:C$1005,MATCH($E136,Establishment!$A$2:$A$1005,0))</f>
        <v xml:space="preserve"> </v>
      </c>
      <c r="M136">
        <f t="shared" si="11"/>
        <v>0</v>
      </c>
      <c r="N136">
        <f t="shared" si="14"/>
        <v>0</v>
      </c>
      <c r="P136" t="e">
        <f>INDEX(Items!B$2:B$1032,MATCH($O136,Items!$A$2:$A$1032,0))</f>
        <v>#N/A</v>
      </c>
      <c r="Q136" t="e">
        <f>INDEX(Items!C$2:C$1032,MATCH($O136,Items!$A$2:$A$1032,0))</f>
        <v>#N/A</v>
      </c>
      <c r="R136" t="e">
        <f>INDEX(Items!D$2:D$1032,MATCH($O136,Items!$A$2:$A$1032,0))</f>
        <v>#N/A</v>
      </c>
    </row>
    <row r="137" spans="1:18" x14ac:dyDescent="0.25">
      <c r="A137">
        <f t="shared" si="12"/>
        <v>1</v>
      </c>
      <c r="B137" t="str">
        <f t="shared" si="13"/>
        <v/>
      </c>
      <c r="C137">
        <f t="shared" si="10"/>
        <v>1</v>
      </c>
      <c r="D137" s="4"/>
      <c r="E137" t="s">
        <v>18</v>
      </c>
      <c r="F137" t="str">
        <f>INDEX(Establishment!B$2:B$1005,MATCH($E137,Establishment!$A$2:$A$1005,0))</f>
        <v xml:space="preserve"> </v>
      </c>
      <c r="G137" t="str">
        <f>INDEX(Establishment!C$2:C$1005,MATCH($E137,Establishment!$A$2:$A$1005,0))</f>
        <v xml:space="preserve"> </v>
      </c>
      <c r="M137">
        <f t="shared" si="11"/>
        <v>0</v>
      </c>
      <c r="N137">
        <f t="shared" si="14"/>
        <v>0</v>
      </c>
      <c r="P137" t="e">
        <f>INDEX(Items!B$2:B$1032,MATCH($O137,Items!$A$2:$A$1032,0))</f>
        <v>#N/A</v>
      </c>
      <c r="Q137" t="e">
        <f>INDEX(Items!C$2:C$1032,MATCH($O137,Items!$A$2:$A$1032,0))</f>
        <v>#N/A</v>
      </c>
      <c r="R137" t="e">
        <f>INDEX(Items!D$2:D$1032,MATCH($O137,Items!$A$2:$A$1032,0))</f>
        <v>#N/A</v>
      </c>
    </row>
    <row r="138" spans="1:18" x14ac:dyDescent="0.25">
      <c r="A138">
        <f t="shared" si="12"/>
        <v>1</v>
      </c>
      <c r="B138" t="str">
        <f t="shared" si="13"/>
        <v/>
      </c>
      <c r="C138">
        <f t="shared" ref="C138:C201" si="15">IF(OR(B138="",B138&lt;&gt;B137),1,C137+1)</f>
        <v>1</v>
      </c>
      <c r="D138" s="4"/>
      <c r="E138" t="s">
        <v>18</v>
      </c>
      <c r="F138" t="str">
        <f>INDEX(Establishment!B$2:B$1005,MATCH($E138,Establishment!$A$2:$A$1005,0))</f>
        <v xml:space="preserve"> </v>
      </c>
      <c r="G138" t="str">
        <f>INDEX(Establishment!C$2:C$1005,MATCH($E138,Establishment!$A$2:$A$1005,0))</f>
        <v xml:space="preserve"> </v>
      </c>
      <c r="M138">
        <f t="shared" ref="M138:M201" si="16">K138*L138</f>
        <v>0</v>
      </c>
      <c r="N138">
        <f t="shared" si="14"/>
        <v>0</v>
      </c>
      <c r="P138" t="e">
        <f>INDEX(Items!B$2:B$1032,MATCH($O138,Items!$A$2:$A$1032,0))</f>
        <v>#N/A</v>
      </c>
      <c r="Q138" t="e">
        <f>INDEX(Items!C$2:C$1032,MATCH($O138,Items!$A$2:$A$1032,0))</f>
        <v>#N/A</v>
      </c>
      <c r="R138" t="e">
        <f>INDEX(Items!D$2:D$1032,MATCH($O138,Items!$A$2:$A$1032,0))</f>
        <v>#N/A</v>
      </c>
    </row>
    <row r="139" spans="1:18" x14ac:dyDescent="0.25">
      <c r="A139">
        <f t="shared" si="12"/>
        <v>1</v>
      </c>
      <c r="B139" t="str">
        <f t="shared" si="13"/>
        <v/>
      </c>
      <c r="C139">
        <f t="shared" si="15"/>
        <v>1</v>
      </c>
      <c r="D139" s="4"/>
      <c r="E139" t="s">
        <v>18</v>
      </c>
      <c r="F139" t="str">
        <f>INDEX(Establishment!B$2:B$1005,MATCH($E139,Establishment!$A$2:$A$1005,0))</f>
        <v xml:space="preserve"> </v>
      </c>
      <c r="G139" t="str">
        <f>INDEX(Establishment!C$2:C$1005,MATCH($E139,Establishment!$A$2:$A$1005,0))</f>
        <v xml:space="preserve"> </v>
      </c>
      <c r="M139">
        <f t="shared" si="16"/>
        <v>0</v>
      </c>
      <c r="N139">
        <f t="shared" si="14"/>
        <v>0</v>
      </c>
      <c r="P139" t="e">
        <f>INDEX(Items!B$2:B$1032,MATCH($O139,Items!$A$2:$A$1032,0))</f>
        <v>#N/A</v>
      </c>
      <c r="Q139" t="e">
        <f>INDEX(Items!C$2:C$1032,MATCH($O139,Items!$A$2:$A$1032,0))</f>
        <v>#N/A</v>
      </c>
      <c r="R139" t="e">
        <f>INDEX(Items!D$2:D$1032,MATCH($O139,Items!$A$2:$A$1032,0))</f>
        <v>#N/A</v>
      </c>
    </row>
    <row r="140" spans="1:18" x14ac:dyDescent="0.25">
      <c r="A140">
        <f t="shared" si="12"/>
        <v>1</v>
      </c>
      <c r="B140" t="str">
        <f t="shared" si="13"/>
        <v/>
      </c>
      <c r="C140">
        <f t="shared" si="15"/>
        <v>1</v>
      </c>
      <c r="D140" s="4"/>
      <c r="E140" t="s">
        <v>18</v>
      </c>
      <c r="F140" t="str">
        <f>INDEX(Establishment!B$2:B$1005,MATCH($E140,Establishment!$A$2:$A$1005,0))</f>
        <v xml:space="preserve"> </v>
      </c>
      <c r="G140" t="str">
        <f>INDEX(Establishment!C$2:C$1005,MATCH($E140,Establishment!$A$2:$A$1005,0))</f>
        <v xml:space="preserve"> </v>
      </c>
      <c r="M140">
        <f t="shared" si="16"/>
        <v>0</v>
      </c>
      <c r="N140">
        <f t="shared" si="14"/>
        <v>0</v>
      </c>
      <c r="P140" t="e">
        <f>INDEX(Items!B$2:B$1032,MATCH($O140,Items!$A$2:$A$1032,0))</f>
        <v>#N/A</v>
      </c>
      <c r="Q140" t="e">
        <f>INDEX(Items!C$2:C$1032,MATCH($O140,Items!$A$2:$A$1032,0))</f>
        <v>#N/A</v>
      </c>
      <c r="R140" t="e">
        <f>INDEX(Items!D$2:D$1032,MATCH($O140,Items!$A$2:$A$1032,0))</f>
        <v>#N/A</v>
      </c>
    </row>
    <row r="141" spans="1:18" x14ac:dyDescent="0.25">
      <c r="A141">
        <f t="shared" si="12"/>
        <v>1</v>
      </c>
      <c r="B141" t="str">
        <f t="shared" si="13"/>
        <v/>
      </c>
      <c r="C141">
        <f t="shared" si="15"/>
        <v>1</v>
      </c>
      <c r="D141" s="4"/>
      <c r="E141" t="s">
        <v>18</v>
      </c>
      <c r="F141" t="str">
        <f>INDEX(Establishment!B$2:B$1005,MATCH($E141,Establishment!$A$2:$A$1005,0))</f>
        <v xml:space="preserve"> </v>
      </c>
      <c r="G141" t="str">
        <f>INDEX(Establishment!C$2:C$1005,MATCH($E141,Establishment!$A$2:$A$1005,0))</f>
        <v xml:space="preserve"> </v>
      </c>
      <c r="M141">
        <f t="shared" si="16"/>
        <v>0</v>
      </c>
      <c r="N141">
        <f t="shared" si="14"/>
        <v>0</v>
      </c>
      <c r="P141" t="e">
        <f>INDEX(Items!B$2:B$1032,MATCH($O141,Items!$A$2:$A$1032,0))</f>
        <v>#N/A</v>
      </c>
      <c r="Q141" t="e">
        <f>INDEX(Items!C$2:C$1032,MATCH($O141,Items!$A$2:$A$1032,0))</f>
        <v>#N/A</v>
      </c>
      <c r="R141" t="e">
        <f>INDEX(Items!D$2:D$1032,MATCH($O141,Items!$A$2:$A$1032,0))</f>
        <v>#N/A</v>
      </c>
    </row>
    <row r="142" spans="1:18" x14ac:dyDescent="0.25">
      <c r="A142">
        <f t="shared" si="12"/>
        <v>1</v>
      </c>
      <c r="B142" t="str">
        <f t="shared" si="13"/>
        <v/>
      </c>
      <c r="C142">
        <f t="shared" si="15"/>
        <v>1</v>
      </c>
      <c r="D142" s="4"/>
      <c r="E142" t="s">
        <v>18</v>
      </c>
      <c r="F142" t="str">
        <f>INDEX(Establishment!B$2:B$1005,MATCH($E142,Establishment!$A$2:$A$1005,0))</f>
        <v xml:space="preserve"> </v>
      </c>
      <c r="G142" t="str">
        <f>INDEX(Establishment!C$2:C$1005,MATCH($E142,Establishment!$A$2:$A$1005,0))</f>
        <v xml:space="preserve"> </v>
      </c>
      <c r="M142">
        <f t="shared" si="16"/>
        <v>0</v>
      </c>
      <c r="N142">
        <f t="shared" si="14"/>
        <v>0</v>
      </c>
      <c r="P142" t="e">
        <f>INDEX(Items!B$2:B$1032,MATCH($O142,Items!$A$2:$A$1032,0))</f>
        <v>#N/A</v>
      </c>
      <c r="Q142" t="e">
        <f>INDEX(Items!C$2:C$1032,MATCH($O142,Items!$A$2:$A$1032,0))</f>
        <v>#N/A</v>
      </c>
      <c r="R142" t="e">
        <f>INDEX(Items!D$2:D$1032,MATCH($O142,Items!$A$2:$A$1032,0))</f>
        <v>#N/A</v>
      </c>
    </row>
    <row r="143" spans="1:18" x14ac:dyDescent="0.25">
      <c r="A143">
        <f t="shared" si="12"/>
        <v>1</v>
      </c>
      <c r="B143" t="str">
        <f t="shared" si="13"/>
        <v/>
      </c>
      <c r="C143">
        <f t="shared" si="15"/>
        <v>1</v>
      </c>
      <c r="D143" s="4"/>
      <c r="E143" t="s">
        <v>18</v>
      </c>
      <c r="F143" t="str">
        <f>INDEX(Establishment!B$2:B$1005,MATCH($E143,Establishment!$A$2:$A$1005,0))</f>
        <v xml:space="preserve"> </v>
      </c>
      <c r="G143" t="str">
        <f>INDEX(Establishment!C$2:C$1005,MATCH($E143,Establishment!$A$2:$A$1005,0))</f>
        <v xml:space="preserve"> </v>
      </c>
      <c r="M143">
        <f t="shared" si="16"/>
        <v>0</v>
      </c>
      <c r="N143">
        <f t="shared" si="14"/>
        <v>0</v>
      </c>
      <c r="P143" t="e">
        <f>INDEX(Items!B$2:B$1032,MATCH($O143,Items!$A$2:$A$1032,0))</f>
        <v>#N/A</v>
      </c>
      <c r="Q143" t="e">
        <f>INDEX(Items!C$2:C$1032,MATCH($O143,Items!$A$2:$A$1032,0))</f>
        <v>#N/A</v>
      </c>
      <c r="R143" t="e">
        <f>INDEX(Items!D$2:D$1032,MATCH($O143,Items!$A$2:$A$1032,0))</f>
        <v>#N/A</v>
      </c>
    </row>
    <row r="144" spans="1:18" x14ac:dyDescent="0.25">
      <c r="A144">
        <f t="shared" si="12"/>
        <v>1</v>
      </c>
      <c r="B144" t="str">
        <f t="shared" si="13"/>
        <v/>
      </c>
      <c r="C144">
        <f t="shared" si="15"/>
        <v>1</v>
      </c>
      <c r="D144" s="4"/>
      <c r="E144" t="s">
        <v>18</v>
      </c>
      <c r="F144" t="str">
        <f>INDEX(Establishment!B$2:B$1005,MATCH($E144,Establishment!$A$2:$A$1005,0))</f>
        <v xml:space="preserve"> </v>
      </c>
      <c r="G144" t="str">
        <f>INDEX(Establishment!C$2:C$1005,MATCH($E144,Establishment!$A$2:$A$1005,0))</f>
        <v xml:space="preserve"> </v>
      </c>
      <c r="M144">
        <f t="shared" si="16"/>
        <v>0</v>
      </c>
      <c r="N144">
        <f t="shared" si="14"/>
        <v>0</v>
      </c>
      <c r="P144" t="e">
        <f>INDEX(Items!B$2:B$1032,MATCH($O144,Items!$A$2:$A$1032,0))</f>
        <v>#N/A</v>
      </c>
      <c r="Q144" t="e">
        <f>INDEX(Items!C$2:C$1032,MATCH($O144,Items!$A$2:$A$1032,0))</f>
        <v>#N/A</v>
      </c>
      <c r="R144" t="e">
        <f>INDEX(Items!D$2:D$1032,MATCH($O144,Items!$A$2:$A$1032,0))</f>
        <v>#N/A</v>
      </c>
    </row>
    <row r="145" spans="1:18" x14ac:dyDescent="0.25">
      <c r="A145">
        <f t="shared" si="12"/>
        <v>1</v>
      </c>
      <c r="B145" t="str">
        <f t="shared" si="13"/>
        <v/>
      </c>
      <c r="C145">
        <f t="shared" si="15"/>
        <v>1</v>
      </c>
      <c r="D145" s="4"/>
      <c r="E145" t="s">
        <v>18</v>
      </c>
      <c r="F145" t="str">
        <f>INDEX(Establishment!B$2:B$1005,MATCH($E145,Establishment!$A$2:$A$1005,0))</f>
        <v xml:space="preserve"> </v>
      </c>
      <c r="G145" t="str">
        <f>INDEX(Establishment!C$2:C$1005,MATCH($E145,Establishment!$A$2:$A$1005,0))</f>
        <v xml:space="preserve"> </v>
      </c>
      <c r="M145">
        <f t="shared" si="16"/>
        <v>0</v>
      </c>
      <c r="N145">
        <f t="shared" si="14"/>
        <v>0</v>
      </c>
      <c r="P145" t="e">
        <f>INDEX(Items!B$2:B$1032,MATCH($O145,Items!$A$2:$A$1032,0))</f>
        <v>#N/A</v>
      </c>
      <c r="Q145" t="e">
        <f>INDEX(Items!C$2:C$1032,MATCH($O145,Items!$A$2:$A$1032,0))</f>
        <v>#N/A</v>
      </c>
      <c r="R145" t="e">
        <f>INDEX(Items!D$2:D$1032,MATCH($O145,Items!$A$2:$A$1032,0))</f>
        <v>#N/A</v>
      </c>
    </row>
    <row r="146" spans="1:18" x14ac:dyDescent="0.25">
      <c r="A146">
        <f t="shared" si="12"/>
        <v>1</v>
      </c>
      <c r="B146" t="str">
        <f t="shared" si="13"/>
        <v/>
      </c>
      <c r="C146">
        <f t="shared" si="15"/>
        <v>1</v>
      </c>
      <c r="D146" s="4"/>
      <c r="E146" t="s">
        <v>18</v>
      </c>
      <c r="F146" t="str">
        <f>INDEX(Establishment!B$2:B$1005,MATCH($E146,Establishment!$A$2:$A$1005,0))</f>
        <v xml:space="preserve"> </v>
      </c>
      <c r="G146" t="str">
        <f>INDEX(Establishment!C$2:C$1005,MATCH($E146,Establishment!$A$2:$A$1005,0))</f>
        <v xml:space="preserve"> </v>
      </c>
      <c r="M146">
        <f t="shared" si="16"/>
        <v>0</v>
      </c>
      <c r="N146">
        <f t="shared" si="14"/>
        <v>0</v>
      </c>
      <c r="P146" t="e">
        <f>INDEX(Items!B$2:B$1032,MATCH($O146,Items!$A$2:$A$1032,0))</f>
        <v>#N/A</v>
      </c>
      <c r="Q146" t="e">
        <f>INDEX(Items!C$2:C$1032,MATCH($O146,Items!$A$2:$A$1032,0))</f>
        <v>#N/A</v>
      </c>
      <c r="R146" t="e">
        <f>INDEX(Items!D$2:D$1032,MATCH($O146,Items!$A$2:$A$1032,0))</f>
        <v>#N/A</v>
      </c>
    </row>
    <row r="147" spans="1:18" x14ac:dyDescent="0.25">
      <c r="A147">
        <f t="shared" si="12"/>
        <v>1</v>
      </c>
      <c r="B147" t="str">
        <f t="shared" si="13"/>
        <v/>
      </c>
      <c r="C147">
        <f t="shared" si="15"/>
        <v>1</v>
      </c>
      <c r="D147" s="4"/>
      <c r="E147" t="s">
        <v>18</v>
      </c>
      <c r="F147" t="str">
        <f>INDEX(Establishment!B$2:B$1005,MATCH($E147,Establishment!$A$2:$A$1005,0))</f>
        <v xml:space="preserve"> </v>
      </c>
      <c r="G147" t="str">
        <f>INDEX(Establishment!C$2:C$1005,MATCH($E147,Establishment!$A$2:$A$1005,0))</f>
        <v xml:space="preserve"> </v>
      </c>
      <c r="M147">
        <f t="shared" si="16"/>
        <v>0</v>
      </c>
      <c r="N147">
        <f t="shared" si="14"/>
        <v>0</v>
      </c>
      <c r="P147" t="e">
        <f>INDEX(Items!B$2:B$1032,MATCH($O147,Items!$A$2:$A$1032,0))</f>
        <v>#N/A</v>
      </c>
      <c r="Q147" t="e">
        <f>INDEX(Items!C$2:C$1032,MATCH($O147,Items!$A$2:$A$1032,0))</f>
        <v>#N/A</v>
      </c>
      <c r="R147" t="e">
        <f>INDEX(Items!D$2:D$1032,MATCH($O147,Items!$A$2:$A$1032,0))</f>
        <v>#N/A</v>
      </c>
    </row>
    <row r="148" spans="1:18" x14ac:dyDescent="0.25">
      <c r="A148">
        <f t="shared" si="12"/>
        <v>1</v>
      </c>
      <c r="B148" t="str">
        <f t="shared" si="13"/>
        <v/>
      </c>
      <c r="C148">
        <f t="shared" si="15"/>
        <v>1</v>
      </c>
      <c r="D148" s="4"/>
      <c r="E148" t="s">
        <v>18</v>
      </c>
      <c r="F148" t="str">
        <f>INDEX(Establishment!B$2:B$1005,MATCH($E148,Establishment!$A$2:$A$1005,0))</f>
        <v xml:space="preserve"> </v>
      </c>
      <c r="G148" t="str">
        <f>INDEX(Establishment!C$2:C$1005,MATCH($E148,Establishment!$A$2:$A$1005,0))</f>
        <v xml:space="preserve"> </v>
      </c>
      <c r="M148">
        <f t="shared" si="16"/>
        <v>0</v>
      </c>
      <c r="N148">
        <f t="shared" si="14"/>
        <v>0</v>
      </c>
      <c r="P148" t="e">
        <f>INDEX(Items!B$2:B$1032,MATCH($O148,Items!$A$2:$A$1032,0))</f>
        <v>#N/A</v>
      </c>
      <c r="Q148" t="e">
        <f>INDEX(Items!C$2:C$1032,MATCH($O148,Items!$A$2:$A$1032,0))</f>
        <v>#N/A</v>
      </c>
      <c r="R148" t="e">
        <f>INDEX(Items!D$2:D$1032,MATCH($O148,Items!$A$2:$A$1032,0))</f>
        <v>#N/A</v>
      </c>
    </row>
    <row r="149" spans="1:18" x14ac:dyDescent="0.25">
      <c r="A149">
        <f t="shared" si="12"/>
        <v>1</v>
      </c>
      <c r="B149" t="str">
        <f t="shared" si="13"/>
        <v/>
      </c>
      <c r="C149">
        <f t="shared" si="15"/>
        <v>1</v>
      </c>
      <c r="D149" s="4"/>
      <c r="E149" t="s">
        <v>18</v>
      </c>
      <c r="F149" t="str">
        <f>INDEX(Establishment!B$2:B$1005,MATCH($E149,Establishment!$A$2:$A$1005,0))</f>
        <v xml:space="preserve"> </v>
      </c>
      <c r="G149" t="str">
        <f>INDEX(Establishment!C$2:C$1005,MATCH($E149,Establishment!$A$2:$A$1005,0))</f>
        <v xml:space="preserve"> </v>
      </c>
      <c r="M149">
        <f t="shared" si="16"/>
        <v>0</v>
      </c>
      <c r="N149">
        <f t="shared" si="14"/>
        <v>0</v>
      </c>
      <c r="P149" t="e">
        <f>INDEX(Items!B$2:B$1032,MATCH($O149,Items!$A$2:$A$1032,0))</f>
        <v>#N/A</v>
      </c>
      <c r="Q149" t="e">
        <f>INDEX(Items!C$2:C$1032,MATCH($O149,Items!$A$2:$A$1032,0))</f>
        <v>#N/A</v>
      </c>
      <c r="R149" t="e">
        <f>INDEX(Items!D$2:D$1032,MATCH($O149,Items!$A$2:$A$1032,0))</f>
        <v>#N/A</v>
      </c>
    </row>
    <row r="150" spans="1:18" x14ac:dyDescent="0.25">
      <c r="A150">
        <f t="shared" si="12"/>
        <v>1</v>
      </c>
      <c r="B150" t="str">
        <f t="shared" si="13"/>
        <v/>
      </c>
      <c r="C150">
        <f t="shared" si="15"/>
        <v>1</v>
      </c>
      <c r="D150" s="4"/>
      <c r="E150" t="s">
        <v>18</v>
      </c>
      <c r="F150" t="str">
        <f>INDEX(Establishment!B$2:B$1005,MATCH($E150,Establishment!$A$2:$A$1005,0))</f>
        <v xml:space="preserve"> </v>
      </c>
      <c r="G150" t="str">
        <f>INDEX(Establishment!C$2:C$1005,MATCH($E150,Establishment!$A$2:$A$1005,0))</f>
        <v xml:space="preserve"> </v>
      </c>
      <c r="M150">
        <f t="shared" si="16"/>
        <v>0</v>
      </c>
      <c r="N150">
        <f t="shared" si="14"/>
        <v>0</v>
      </c>
      <c r="P150" t="e">
        <f>INDEX(Items!B$2:B$1032,MATCH($O150,Items!$A$2:$A$1032,0))</f>
        <v>#N/A</v>
      </c>
      <c r="Q150" t="e">
        <f>INDEX(Items!C$2:C$1032,MATCH($O150,Items!$A$2:$A$1032,0))</f>
        <v>#N/A</v>
      </c>
      <c r="R150" t="e">
        <f>INDEX(Items!D$2:D$1032,MATCH($O150,Items!$A$2:$A$1032,0))</f>
        <v>#N/A</v>
      </c>
    </row>
    <row r="151" spans="1:18" x14ac:dyDescent="0.25">
      <c r="A151">
        <f t="shared" si="12"/>
        <v>1</v>
      </c>
      <c r="B151" t="str">
        <f t="shared" si="13"/>
        <v/>
      </c>
      <c r="C151">
        <f t="shared" si="15"/>
        <v>1</v>
      </c>
      <c r="D151" s="4"/>
      <c r="E151" t="s">
        <v>18</v>
      </c>
      <c r="F151" t="str">
        <f>INDEX(Establishment!B$2:B$1005,MATCH($E151,Establishment!$A$2:$A$1005,0))</f>
        <v xml:space="preserve"> </v>
      </c>
      <c r="G151" t="str">
        <f>INDEX(Establishment!C$2:C$1005,MATCH($E151,Establishment!$A$2:$A$1005,0))</f>
        <v xml:space="preserve"> </v>
      </c>
      <c r="M151">
        <f t="shared" si="16"/>
        <v>0</v>
      </c>
      <c r="N151">
        <f t="shared" si="14"/>
        <v>0</v>
      </c>
      <c r="P151" t="e">
        <f>INDEX(Items!B$2:B$1032,MATCH($O151,Items!$A$2:$A$1032,0))</f>
        <v>#N/A</v>
      </c>
      <c r="Q151" t="e">
        <f>INDEX(Items!C$2:C$1032,MATCH($O151,Items!$A$2:$A$1032,0))</f>
        <v>#N/A</v>
      </c>
      <c r="R151" t="e">
        <f>INDEX(Items!D$2:D$1032,MATCH($O151,Items!$A$2:$A$1032,0))</f>
        <v>#N/A</v>
      </c>
    </row>
    <row r="152" spans="1:18" x14ac:dyDescent="0.25">
      <c r="A152">
        <f t="shared" si="12"/>
        <v>1</v>
      </c>
      <c r="B152" t="str">
        <f t="shared" si="13"/>
        <v/>
      </c>
      <c r="C152">
        <f t="shared" si="15"/>
        <v>1</v>
      </c>
      <c r="D152" s="4"/>
      <c r="E152" t="s">
        <v>18</v>
      </c>
      <c r="F152" t="str">
        <f>INDEX(Establishment!B$2:B$1005,MATCH($E152,Establishment!$A$2:$A$1005,0))</f>
        <v xml:space="preserve"> </v>
      </c>
      <c r="G152" t="str">
        <f>INDEX(Establishment!C$2:C$1005,MATCH($E152,Establishment!$A$2:$A$1005,0))</f>
        <v xml:space="preserve"> </v>
      </c>
      <c r="M152">
        <f t="shared" si="16"/>
        <v>0</v>
      </c>
      <c r="N152">
        <f t="shared" si="14"/>
        <v>0</v>
      </c>
      <c r="P152" t="e">
        <f>INDEX(Items!B$2:B$1032,MATCH($O152,Items!$A$2:$A$1032,0))</f>
        <v>#N/A</v>
      </c>
      <c r="Q152" t="e">
        <f>INDEX(Items!C$2:C$1032,MATCH($O152,Items!$A$2:$A$1032,0))</f>
        <v>#N/A</v>
      </c>
      <c r="R152" t="e">
        <f>INDEX(Items!D$2:D$1032,MATCH($O152,Items!$A$2:$A$1032,0))</f>
        <v>#N/A</v>
      </c>
    </row>
    <row r="153" spans="1:18" x14ac:dyDescent="0.25">
      <c r="A153">
        <f t="shared" si="12"/>
        <v>1</v>
      </c>
      <c r="B153" t="str">
        <f t="shared" si="13"/>
        <v/>
      </c>
      <c r="C153">
        <f t="shared" si="15"/>
        <v>1</v>
      </c>
      <c r="D153" s="4"/>
      <c r="E153" t="s">
        <v>18</v>
      </c>
      <c r="F153" t="str">
        <f>INDEX(Establishment!B$2:B$1005,MATCH($E153,Establishment!$A$2:$A$1005,0))</f>
        <v xml:space="preserve"> </v>
      </c>
      <c r="G153" t="str">
        <f>INDEX(Establishment!C$2:C$1005,MATCH($E153,Establishment!$A$2:$A$1005,0))</f>
        <v xml:space="preserve"> </v>
      </c>
      <c r="M153">
        <f t="shared" si="16"/>
        <v>0</v>
      </c>
      <c r="N153">
        <f t="shared" si="14"/>
        <v>0</v>
      </c>
      <c r="P153" t="e">
        <f>INDEX(Items!B$2:B$1032,MATCH($O153,Items!$A$2:$A$1032,0))</f>
        <v>#N/A</v>
      </c>
      <c r="Q153" t="e">
        <f>INDEX(Items!C$2:C$1032,MATCH($O153,Items!$A$2:$A$1032,0))</f>
        <v>#N/A</v>
      </c>
      <c r="R153" t="e">
        <f>INDEX(Items!D$2:D$1032,MATCH($O153,Items!$A$2:$A$1032,0))</f>
        <v>#N/A</v>
      </c>
    </row>
    <row r="154" spans="1:18" x14ac:dyDescent="0.25">
      <c r="A154">
        <f t="shared" si="12"/>
        <v>1</v>
      </c>
      <c r="B154" t="str">
        <f t="shared" si="13"/>
        <v/>
      </c>
      <c r="C154">
        <f t="shared" si="15"/>
        <v>1</v>
      </c>
      <c r="D154" s="4"/>
      <c r="E154" t="s">
        <v>18</v>
      </c>
      <c r="F154" t="str">
        <f>INDEX(Establishment!B$2:B$1005,MATCH($E154,Establishment!$A$2:$A$1005,0))</f>
        <v xml:space="preserve"> </v>
      </c>
      <c r="G154" t="str">
        <f>INDEX(Establishment!C$2:C$1005,MATCH($E154,Establishment!$A$2:$A$1005,0))</f>
        <v xml:space="preserve"> </v>
      </c>
      <c r="M154">
        <f t="shared" si="16"/>
        <v>0</v>
      </c>
      <c r="N154">
        <f t="shared" si="14"/>
        <v>0</v>
      </c>
      <c r="P154" t="e">
        <f>INDEX(Items!B$2:B$1032,MATCH($O154,Items!$A$2:$A$1032,0))</f>
        <v>#N/A</v>
      </c>
      <c r="Q154" t="e">
        <f>INDEX(Items!C$2:C$1032,MATCH($O154,Items!$A$2:$A$1032,0))</f>
        <v>#N/A</v>
      </c>
      <c r="R154" t="e">
        <f>INDEX(Items!D$2:D$1032,MATCH($O154,Items!$A$2:$A$1032,0))</f>
        <v>#N/A</v>
      </c>
    </row>
    <row r="155" spans="1:18" x14ac:dyDescent="0.25">
      <c r="A155">
        <f t="shared" si="12"/>
        <v>1</v>
      </c>
      <c r="B155" t="str">
        <f t="shared" si="13"/>
        <v/>
      </c>
      <c r="C155">
        <f t="shared" si="15"/>
        <v>1</v>
      </c>
      <c r="D155" s="4"/>
      <c r="E155" t="s">
        <v>18</v>
      </c>
      <c r="F155" t="str">
        <f>INDEX(Establishment!B$2:B$1005,MATCH($E155,Establishment!$A$2:$A$1005,0))</f>
        <v xml:space="preserve"> </v>
      </c>
      <c r="G155" t="str">
        <f>INDEX(Establishment!C$2:C$1005,MATCH($E155,Establishment!$A$2:$A$1005,0))</f>
        <v xml:space="preserve"> </v>
      </c>
      <c r="M155">
        <f t="shared" si="16"/>
        <v>0</v>
      </c>
      <c r="N155">
        <f t="shared" si="14"/>
        <v>0</v>
      </c>
      <c r="P155" t="e">
        <f>INDEX(Items!B$2:B$1032,MATCH($O155,Items!$A$2:$A$1032,0))</f>
        <v>#N/A</v>
      </c>
      <c r="Q155" t="e">
        <f>INDEX(Items!C$2:C$1032,MATCH($O155,Items!$A$2:$A$1032,0))</f>
        <v>#N/A</v>
      </c>
      <c r="R155" t="e">
        <f>INDEX(Items!D$2:D$1032,MATCH($O155,Items!$A$2:$A$1032,0))</f>
        <v>#N/A</v>
      </c>
    </row>
    <row r="156" spans="1:18" x14ac:dyDescent="0.25">
      <c r="A156">
        <f t="shared" si="12"/>
        <v>1</v>
      </c>
      <c r="B156" t="str">
        <f t="shared" si="13"/>
        <v/>
      </c>
      <c r="C156">
        <f t="shared" si="15"/>
        <v>1</v>
      </c>
      <c r="D156" s="4"/>
      <c r="E156" t="s">
        <v>18</v>
      </c>
      <c r="F156" t="str">
        <f>INDEX(Establishment!B$2:B$1005,MATCH($E156,Establishment!$A$2:$A$1005,0))</f>
        <v xml:space="preserve"> </v>
      </c>
      <c r="G156" t="str">
        <f>INDEX(Establishment!C$2:C$1005,MATCH($E156,Establishment!$A$2:$A$1005,0))</f>
        <v xml:space="preserve"> </v>
      </c>
      <c r="M156">
        <f t="shared" si="16"/>
        <v>0</v>
      </c>
      <c r="N156">
        <f t="shared" si="14"/>
        <v>0</v>
      </c>
      <c r="P156" t="e">
        <f>INDEX(Items!B$2:B$1032,MATCH($O156,Items!$A$2:$A$1032,0))</f>
        <v>#N/A</v>
      </c>
      <c r="Q156" t="e">
        <f>INDEX(Items!C$2:C$1032,MATCH($O156,Items!$A$2:$A$1032,0))</f>
        <v>#N/A</v>
      </c>
      <c r="R156" t="e">
        <f>INDEX(Items!D$2:D$1032,MATCH($O156,Items!$A$2:$A$1032,0))</f>
        <v>#N/A</v>
      </c>
    </row>
    <row r="157" spans="1:18" x14ac:dyDescent="0.25">
      <c r="A157">
        <f t="shared" si="12"/>
        <v>1</v>
      </c>
      <c r="B157" t="str">
        <f t="shared" si="13"/>
        <v/>
      </c>
      <c r="C157">
        <f t="shared" si="15"/>
        <v>1</v>
      </c>
      <c r="D157" s="4"/>
      <c r="E157" t="s">
        <v>18</v>
      </c>
      <c r="F157" t="str">
        <f>INDEX(Establishment!B$2:B$1005,MATCH($E157,Establishment!$A$2:$A$1005,0))</f>
        <v xml:space="preserve"> </v>
      </c>
      <c r="G157" t="str">
        <f>INDEX(Establishment!C$2:C$1005,MATCH($E157,Establishment!$A$2:$A$1005,0))</f>
        <v xml:space="preserve"> </v>
      </c>
      <c r="M157">
        <f t="shared" si="16"/>
        <v>0</v>
      </c>
      <c r="N157">
        <f t="shared" si="14"/>
        <v>0</v>
      </c>
      <c r="P157" t="e">
        <f>INDEX(Items!B$2:B$1032,MATCH($O157,Items!$A$2:$A$1032,0))</f>
        <v>#N/A</v>
      </c>
      <c r="Q157" t="e">
        <f>INDEX(Items!C$2:C$1032,MATCH($O157,Items!$A$2:$A$1032,0))</f>
        <v>#N/A</v>
      </c>
      <c r="R157" t="e">
        <f>INDEX(Items!D$2:D$1032,MATCH($O157,Items!$A$2:$A$1032,0))</f>
        <v>#N/A</v>
      </c>
    </row>
    <row r="158" spans="1:18" x14ac:dyDescent="0.25">
      <c r="A158">
        <f t="shared" si="12"/>
        <v>1</v>
      </c>
      <c r="B158" t="str">
        <f t="shared" si="13"/>
        <v/>
      </c>
      <c r="C158">
        <f t="shared" si="15"/>
        <v>1</v>
      </c>
      <c r="D158" s="4"/>
      <c r="E158" t="s">
        <v>18</v>
      </c>
      <c r="F158" t="str">
        <f>INDEX(Establishment!B$2:B$1005,MATCH($E158,Establishment!$A$2:$A$1005,0))</f>
        <v xml:space="preserve"> </v>
      </c>
      <c r="G158" t="str">
        <f>INDEX(Establishment!C$2:C$1005,MATCH($E158,Establishment!$A$2:$A$1005,0))</f>
        <v xml:space="preserve"> </v>
      </c>
      <c r="M158">
        <f t="shared" si="16"/>
        <v>0</v>
      </c>
      <c r="N158">
        <f t="shared" si="14"/>
        <v>0</v>
      </c>
      <c r="P158" t="e">
        <f>INDEX(Items!B$2:B$1032,MATCH($O158,Items!$A$2:$A$1032,0))</f>
        <v>#N/A</v>
      </c>
      <c r="Q158" t="e">
        <f>INDEX(Items!C$2:C$1032,MATCH($O158,Items!$A$2:$A$1032,0))</f>
        <v>#N/A</v>
      </c>
      <c r="R158" t="e">
        <f>INDEX(Items!D$2:D$1032,MATCH($O158,Items!$A$2:$A$1032,0))</f>
        <v>#N/A</v>
      </c>
    </row>
    <row r="159" spans="1:18" x14ac:dyDescent="0.25">
      <c r="A159">
        <f t="shared" si="12"/>
        <v>1</v>
      </c>
      <c r="B159" t="str">
        <f t="shared" si="13"/>
        <v/>
      </c>
      <c r="C159">
        <f t="shared" si="15"/>
        <v>1</v>
      </c>
      <c r="D159" s="4"/>
      <c r="E159" t="s">
        <v>18</v>
      </c>
      <c r="F159" t="str">
        <f>INDEX(Establishment!B$2:B$1005,MATCH($E159,Establishment!$A$2:$A$1005,0))</f>
        <v xml:space="preserve"> </v>
      </c>
      <c r="G159" t="str">
        <f>INDEX(Establishment!C$2:C$1005,MATCH($E159,Establishment!$A$2:$A$1005,0))</f>
        <v xml:space="preserve"> </v>
      </c>
      <c r="M159">
        <f t="shared" si="16"/>
        <v>0</v>
      </c>
      <c r="N159">
        <f t="shared" si="14"/>
        <v>0</v>
      </c>
      <c r="P159" t="e">
        <f>INDEX(Items!B$2:B$1032,MATCH($O159,Items!$A$2:$A$1032,0))</f>
        <v>#N/A</v>
      </c>
      <c r="Q159" t="e">
        <f>INDEX(Items!C$2:C$1032,MATCH($O159,Items!$A$2:$A$1032,0))</f>
        <v>#N/A</v>
      </c>
      <c r="R159" t="e">
        <f>INDEX(Items!D$2:D$1032,MATCH($O159,Items!$A$2:$A$1032,0))</f>
        <v>#N/A</v>
      </c>
    </row>
    <row r="160" spans="1:18" x14ac:dyDescent="0.25">
      <c r="A160">
        <f t="shared" si="12"/>
        <v>1</v>
      </c>
      <c r="B160" t="str">
        <f t="shared" si="13"/>
        <v/>
      </c>
      <c r="C160">
        <f t="shared" si="15"/>
        <v>1</v>
      </c>
      <c r="D160" s="4"/>
      <c r="E160" t="s">
        <v>18</v>
      </c>
      <c r="F160" t="str">
        <f>INDEX(Establishment!B$2:B$1005,MATCH($E160,Establishment!$A$2:$A$1005,0))</f>
        <v xml:space="preserve"> </v>
      </c>
      <c r="G160" t="str">
        <f>INDEX(Establishment!C$2:C$1005,MATCH($E160,Establishment!$A$2:$A$1005,0))</f>
        <v xml:space="preserve"> </v>
      </c>
      <c r="M160">
        <f t="shared" si="16"/>
        <v>0</v>
      </c>
      <c r="N160">
        <f t="shared" si="14"/>
        <v>0</v>
      </c>
      <c r="P160" t="e">
        <f>INDEX(Items!B$2:B$1032,MATCH($O160,Items!$A$2:$A$1032,0))</f>
        <v>#N/A</v>
      </c>
      <c r="Q160" t="e">
        <f>INDEX(Items!C$2:C$1032,MATCH($O160,Items!$A$2:$A$1032,0))</f>
        <v>#N/A</v>
      </c>
      <c r="R160" t="e">
        <f>INDEX(Items!D$2:D$1032,MATCH($O160,Items!$A$2:$A$1032,0))</f>
        <v>#N/A</v>
      </c>
    </row>
    <row r="161" spans="1:18" x14ac:dyDescent="0.25">
      <c r="A161">
        <f t="shared" si="12"/>
        <v>1</v>
      </c>
      <c r="B161" t="str">
        <f t="shared" si="13"/>
        <v/>
      </c>
      <c r="C161">
        <f t="shared" si="15"/>
        <v>1</v>
      </c>
      <c r="D161" s="4"/>
      <c r="E161" t="s">
        <v>18</v>
      </c>
      <c r="F161" t="str">
        <f>INDEX(Establishment!B$2:B$1005,MATCH($E161,Establishment!$A$2:$A$1005,0))</f>
        <v xml:space="preserve"> </v>
      </c>
      <c r="G161" t="str">
        <f>INDEX(Establishment!C$2:C$1005,MATCH($E161,Establishment!$A$2:$A$1005,0))</f>
        <v xml:space="preserve"> </v>
      </c>
      <c r="M161">
        <f t="shared" si="16"/>
        <v>0</v>
      </c>
      <c r="N161">
        <f t="shared" si="14"/>
        <v>0</v>
      </c>
      <c r="P161" t="e">
        <f>INDEX(Items!B$2:B$1032,MATCH($O161,Items!$A$2:$A$1032,0))</f>
        <v>#N/A</v>
      </c>
      <c r="Q161" t="e">
        <f>INDEX(Items!C$2:C$1032,MATCH($O161,Items!$A$2:$A$1032,0))</f>
        <v>#N/A</v>
      </c>
      <c r="R161" t="e">
        <f>INDEX(Items!D$2:D$1032,MATCH($O161,Items!$A$2:$A$1032,0))</f>
        <v>#N/A</v>
      </c>
    </row>
    <row r="162" spans="1:18" x14ac:dyDescent="0.25">
      <c r="A162">
        <f t="shared" si="12"/>
        <v>1</v>
      </c>
      <c r="B162" t="str">
        <f t="shared" si="13"/>
        <v/>
      </c>
      <c r="C162">
        <f t="shared" si="15"/>
        <v>1</v>
      </c>
      <c r="D162" s="4"/>
      <c r="E162" t="s">
        <v>18</v>
      </c>
      <c r="F162" t="str">
        <f>INDEX(Establishment!B$2:B$1005,MATCH($E162,Establishment!$A$2:$A$1005,0))</f>
        <v xml:space="preserve"> </v>
      </c>
      <c r="G162" t="str">
        <f>INDEX(Establishment!C$2:C$1005,MATCH($E162,Establishment!$A$2:$A$1005,0))</f>
        <v xml:space="preserve"> </v>
      </c>
      <c r="M162">
        <f t="shared" si="16"/>
        <v>0</v>
      </c>
      <c r="N162">
        <f t="shared" si="14"/>
        <v>0</v>
      </c>
      <c r="P162" t="e">
        <f>INDEX(Items!B$2:B$1032,MATCH($O162,Items!$A$2:$A$1032,0))</f>
        <v>#N/A</v>
      </c>
      <c r="Q162" t="e">
        <f>INDEX(Items!C$2:C$1032,MATCH($O162,Items!$A$2:$A$1032,0))</f>
        <v>#N/A</v>
      </c>
      <c r="R162" t="e">
        <f>INDEX(Items!D$2:D$1032,MATCH($O162,Items!$A$2:$A$1032,0))</f>
        <v>#N/A</v>
      </c>
    </row>
    <row r="163" spans="1:18" x14ac:dyDescent="0.25">
      <c r="A163">
        <f t="shared" si="12"/>
        <v>1</v>
      </c>
      <c r="B163" t="str">
        <f t="shared" si="13"/>
        <v/>
      </c>
      <c r="C163">
        <f t="shared" si="15"/>
        <v>1</v>
      </c>
      <c r="D163" s="4"/>
      <c r="E163" t="s">
        <v>18</v>
      </c>
      <c r="F163" t="str">
        <f>INDEX(Establishment!B$2:B$1005,MATCH($E163,Establishment!$A$2:$A$1005,0))</f>
        <v xml:space="preserve"> </v>
      </c>
      <c r="G163" t="str">
        <f>INDEX(Establishment!C$2:C$1005,MATCH($E163,Establishment!$A$2:$A$1005,0))</f>
        <v xml:space="preserve"> </v>
      </c>
      <c r="M163">
        <f t="shared" si="16"/>
        <v>0</v>
      </c>
      <c r="N163">
        <f t="shared" si="14"/>
        <v>0</v>
      </c>
      <c r="P163" t="e">
        <f>INDEX(Items!B$2:B$1032,MATCH($O163,Items!$A$2:$A$1032,0))</f>
        <v>#N/A</v>
      </c>
      <c r="Q163" t="e">
        <f>INDEX(Items!C$2:C$1032,MATCH($O163,Items!$A$2:$A$1032,0))</f>
        <v>#N/A</v>
      </c>
      <c r="R163" t="e">
        <f>INDEX(Items!D$2:D$1032,MATCH($O163,Items!$A$2:$A$1032,0))</f>
        <v>#N/A</v>
      </c>
    </row>
    <row r="164" spans="1:18" x14ac:dyDescent="0.25">
      <c r="A164">
        <f t="shared" si="12"/>
        <v>1</v>
      </c>
      <c r="B164" t="str">
        <f t="shared" si="13"/>
        <v/>
      </c>
      <c r="C164">
        <f t="shared" si="15"/>
        <v>1</v>
      </c>
      <c r="D164" s="4"/>
      <c r="E164" t="s">
        <v>18</v>
      </c>
      <c r="F164" t="str">
        <f>INDEX(Establishment!B$2:B$1005,MATCH($E164,Establishment!$A$2:$A$1005,0))</f>
        <v xml:space="preserve"> </v>
      </c>
      <c r="G164" t="str">
        <f>INDEX(Establishment!C$2:C$1005,MATCH($E164,Establishment!$A$2:$A$1005,0))</f>
        <v xml:space="preserve"> </v>
      </c>
      <c r="M164">
        <f t="shared" si="16"/>
        <v>0</v>
      </c>
      <c r="N164">
        <f t="shared" si="14"/>
        <v>0</v>
      </c>
      <c r="P164" t="e">
        <f>INDEX(Items!B$2:B$1032,MATCH($O164,Items!$A$2:$A$1032,0))</f>
        <v>#N/A</v>
      </c>
      <c r="Q164" t="e">
        <f>INDEX(Items!C$2:C$1032,MATCH($O164,Items!$A$2:$A$1032,0))</f>
        <v>#N/A</v>
      </c>
      <c r="R164" t="e">
        <f>INDEX(Items!D$2:D$1032,MATCH($O164,Items!$A$2:$A$1032,0))</f>
        <v>#N/A</v>
      </c>
    </row>
    <row r="165" spans="1:18" x14ac:dyDescent="0.25">
      <c r="A165">
        <f t="shared" si="12"/>
        <v>1</v>
      </c>
      <c r="B165" t="str">
        <f t="shared" si="13"/>
        <v/>
      </c>
      <c r="C165">
        <f t="shared" si="15"/>
        <v>1</v>
      </c>
      <c r="D165" s="4"/>
      <c r="E165" t="s">
        <v>18</v>
      </c>
      <c r="F165" t="str">
        <f>INDEX(Establishment!B$2:B$1005,MATCH($E165,Establishment!$A$2:$A$1005,0))</f>
        <v xml:space="preserve"> </v>
      </c>
      <c r="G165" t="str">
        <f>INDEX(Establishment!C$2:C$1005,MATCH($E165,Establishment!$A$2:$A$1005,0))</f>
        <v xml:space="preserve"> </v>
      </c>
      <c r="M165">
        <f t="shared" si="16"/>
        <v>0</v>
      </c>
      <c r="N165">
        <f t="shared" si="14"/>
        <v>0</v>
      </c>
      <c r="P165" t="e">
        <f>INDEX(Items!B$2:B$1032,MATCH($O165,Items!$A$2:$A$1032,0))</f>
        <v>#N/A</v>
      </c>
      <c r="Q165" t="e">
        <f>INDEX(Items!C$2:C$1032,MATCH($O165,Items!$A$2:$A$1032,0))</f>
        <v>#N/A</v>
      </c>
      <c r="R165" t="e">
        <f>INDEX(Items!D$2:D$1032,MATCH($O165,Items!$A$2:$A$1032,0))</f>
        <v>#N/A</v>
      </c>
    </row>
    <row r="166" spans="1:18" x14ac:dyDescent="0.25">
      <c r="A166">
        <f t="shared" si="12"/>
        <v>1</v>
      </c>
      <c r="B166" t="str">
        <f t="shared" si="13"/>
        <v/>
      </c>
      <c r="C166">
        <f t="shared" si="15"/>
        <v>1</v>
      </c>
      <c r="D166" s="4"/>
      <c r="E166" t="s">
        <v>18</v>
      </c>
      <c r="F166" t="str">
        <f>INDEX(Establishment!B$2:B$1005,MATCH($E166,Establishment!$A$2:$A$1005,0))</f>
        <v xml:space="preserve"> </v>
      </c>
      <c r="G166" t="str">
        <f>INDEX(Establishment!C$2:C$1005,MATCH($E166,Establishment!$A$2:$A$1005,0))</f>
        <v xml:space="preserve"> </v>
      </c>
      <c r="M166">
        <f t="shared" si="16"/>
        <v>0</v>
      </c>
      <c r="N166">
        <f t="shared" si="14"/>
        <v>0</v>
      </c>
      <c r="P166" t="e">
        <f>INDEX(Items!B$2:B$1032,MATCH($O166,Items!$A$2:$A$1032,0))</f>
        <v>#N/A</v>
      </c>
      <c r="Q166" t="e">
        <f>INDEX(Items!C$2:C$1032,MATCH($O166,Items!$A$2:$A$1032,0))</f>
        <v>#N/A</v>
      </c>
      <c r="R166" t="e">
        <f>INDEX(Items!D$2:D$1032,MATCH($O166,Items!$A$2:$A$1032,0))</f>
        <v>#N/A</v>
      </c>
    </row>
    <row r="167" spans="1:18" x14ac:dyDescent="0.25">
      <c r="A167">
        <f t="shared" si="12"/>
        <v>1</v>
      </c>
      <c r="B167" t="str">
        <f t="shared" si="13"/>
        <v/>
      </c>
      <c r="C167">
        <f t="shared" si="15"/>
        <v>1</v>
      </c>
      <c r="D167" s="4"/>
      <c r="E167" t="s">
        <v>18</v>
      </c>
      <c r="F167" t="str">
        <f>INDEX(Establishment!B$2:B$1005,MATCH($E167,Establishment!$A$2:$A$1005,0))</f>
        <v xml:space="preserve"> </v>
      </c>
      <c r="G167" t="str">
        <f>INDEX(Establishment!C$2:C$1005,MATCH($E167,Establishment!$A$2:$A$1005,0))</f>
        <v xml:space="preserve"> </v>
      </c>
      <c r="M167">
        <f t="shared" si="16"/>
        <v>0</v>
      </c>
      <c r="N167">
        <f t="shared" si="14"/>
        <v>0</v>
      </c>
      <c r="P167" t="e">
        <f>INDEX(Items!B$2:B$1032,MATCH($O167,Items!$A$2:$A$1032,0))</f>
        <v>#N/A</v>
      </c>
      <c r="Q167" t="e">
        <f>INDEX(Items!C$2:C$1032,MATCH($O167,Items!$A$2:$A$1032,0))</f>
        <v>#N/A</v>
      </c>
      <c r="R167" t="e">
        <f>INDEX(Items!D$2:D$1032,MATCH($O167,Items!$A$2:$A$1032,0))</f>
        <v>#N/A</v>
      </c>
    </row>
    <row r="168" spans="1:18" x14ac:dyDescent="0.25">
      <c r="A168">
        <f t="shared" si="12"/>
        <v>1</v>
      </c>
      <c r="B168" t="str">
        <f t="shared" si="13"/>
        <v/>
      </c>
      <c r="C168">
        <f t="shared" si="15"/>
        <v>1</v>
      </c>
      <c r="D168" s="4"/>
      <c r="E168" t="s">
        <v>18</v>
      </c>
      <c r="F168" t="str">
        <f>INDEX(Establishment!B$2:B$1005,MATCH($E168,Establishment!$A$2:$A$1005,0))</f>
        <v xml:space="preserve"> </v>
      </c>
      <c r="G168" t="str">
        <f>INDEX(Establishment!C$2:C$1005,MATCH($E168,Establishment!$A$2:$A$1005,0))</f>
        <v xml:space="preserve"> </v>
      </c>
      <c r="M168">
        <f t="shared" si="16"/>
        <v>0</v>
      </c>
      <c r="N168">
        <f t="shared" si="14"/>
        <v>0</v>
      </c>
      <c r="P168" t="e">
        <f>INDEX(Items!B$2:B$1032,MATCH($O168,Items!$A$2:$A$1032,0))</f>
        <v>#N/A</v>
      </c>
      <c r="Q168" t="e">
        <f>INDEX(Items!C$2:C$1032,MATCH($O168,Items!$A$2:$A$1032,0))</f>
        <v>#N/A</v>
      </c>
      <c r="R168" t="e">
        <f>INDEX(Items!D$2:D$1032,MATCH($O168,Items!$A$2:$A$1032,0))</f>
        <v>#N/A</v>
      </c>
    </row>
    <row r="169" spans="1:18" x14ac:dyDescent="0.25">
      <c r="A169">
        <f t="shared" si="12"/>
        <v>1</v>
      </c>
      <c r="B169" t="str">
        <f t="shared" si="13"/>
        <v/>
      </c>
      <c r="C169">
        <f t="shared" si="15"/>
        <v>1</v>
      </c>
      <c r="D169" s="4"/>
      <c r="E169" t="s">
        <v>18</v>
      </c>
      <c r="F169" t="str">
        <f>INDEX(Establishment!B$2:B$1005,MATCH($E169,Establishment!$A$2:$A$1005,0))</f>
        <v xml:space="preserve"> </v>
      </c>
      <c r="G169" t="str">
        <f>INDEX(Establishment!C$2:C$1005,MATCH($E169,Establishment!$A$2:$A$1005,0))</f>
        <v xml:space="preserve"> </v>
      </c>
      <c r="M169">
        <f t="shared" si="16"/>
        <v>0</v>
      </c>
      <c r="N169">
        <f t="shared" si="14"/>
        <v>0</v>
      </c>
      <c r="P169" t="e">
        <f>INDEX(Items!B$2:B$1032,MATCH($O169,Items!$A$2:$A$1032,0))</f>
        <v>#N/A</v>
      </c>
      <c r="Q169" t="e">
        <f>INDEX(Items!C$2:C$1032,MATCH($O169,Items!$A$2:$A$1032,0))</f>
        <v>#N/A</v>
      </c>
      <c r="R169" t="e">
        <f>INDEX(Items!D$2:D$1032,MATCH($O169,Items!$A$2:$A$1032,0))</f>
        <v>#N/A</v>
      </c>
    </row>
    <row r="170" spans="1:18" x14ac:dyDescent="0.25">
      <c r="A170">
        <f t="shared" si="12"/>
        <v>1</v>
      </c>
      <c r="B170" t="str">
        <f t="shared" si="13"/>
        <v/>
      </c>
      <c r="C170">
        <f t="shared" si="15"/>
        <v>1</v>
      </c>
      <c r="D170" s="4"/>
      <c r="E170" t="s">
        <v>18</v>
      </c>
      <c r="F170" t="str">
        <f>INDEX(Establishment!B$2:B$1005,MATCH($E170,Establishment!$A$2:$A$1005,0))</f>
        <v xml:space="preserve"> </v>
      </c>
      <c r="G170" t="str">
        <f>INDEX(Establishment!C$2:C$1005,MATCH($E170,Establishment!$A$2:$A$1005,0))</f>
        <v xml:space="preserve"> </v>
      </c>
      <c r="M170">
        <f t="shared" si="16"/>
        <v>0</v>
      </c>
      <c r="N170">
        <f t="shared" si="14"/>
        <v>0</v>
      </c>
      <c r="P170" t="e">
        <f>INDEX(Items!B$2:B$1032,MATCH($O170,Items!$A$2:$A$1032,0))</f>
        <v>#N/A</v>
      </c>
      <c r="Q170" t="e">
        <f>INDEX(Items!C$2:C$1032,MATCH($O170,Items!$A$2:$A$1032,0))</f>
        <v>#N/A</v>
      </c>
      <c r="R170" t="e">
        <f>INDEX(Items!D$2:D$1032,MATCH($O170,Items!$A$2:$A$1032,0))</f>
        <v>#N/A</v>
      </c>
    </row>
    <row r="171" spans="1:18" x14ac:dyDescent="0.25">
      <c r="A171">
        <f t="shared" si="12"/>
        <v>1</v>
      </c>
      <c r="B171" t="str">
        <f t="shared" si="13"/>
        <v/>
      </c>
      <c r="C171">
        <f t="shared" si="15"/>
        <v>1</v>
      </c>
      <c r="D171" s="4"/>
      <c r="E171" t="s">
        <v>18</v>
      </c>
      <c r="F171" t="str">
        <f>INDEX(Establishment!B$2:B$1005,MATCH($E171,Establishment!$A$2:$A$1005,0))</f>
        <v xml:space="preserve"> </v>
      </c>
      <c r="G171" t="str">
        <f>INDEX(Establishment!C$2:C$1005,MATCH($E171,Establishment!$A$2:$A$1005,0))</f>
        <v xml:space="preserve"> </v>
      </c>
      <c r="M171">
        <f t="shared" si="16"/>
        <v>0</v>
      </c>
      <c r="N171">
        <f t="shared" si="14"/>
        <v>0</v>
      </c>
      <c r="P171" t="e">
        <f>INDEX(Items!B$2:B$1032,MATCH($O171,Items!$A$2:$A$1032,0))</f>
        <v>#N/A</v>
      </c>
      <c r="Q171" t="e">
        <f>INDEX(Items!C$2:C$1032,MATCH($O171,Items!$A$2:$A$1032,0))</f>
        <v>#N/A</v>
      </c>
      <c r="R171" t="e">
        <f>INDEX(Items!D$2:D$1032,MATCH($O171,Items!$A$2:$A$1032,0))</f>
        <v>#N/A</v>
      </c>
    </row>
    <row r="172" spans="1:18" x14ac:dyDescent="0.25">
      <c r="A172">
        <f t="shared" si="12"/>
        <v>1</v>
      </c>
      <c r="B172" t="str">
        <f t="shared" si="13"/>
        <v/>
      </c>
      <c r="C172">
        <f t="shared" si="15"/>
        <v>1</v>
      </c>
      <c r="D172" s="4"/>
      <c r="E172" t="s">
        <v>18</v>
      </c>
      <c r="F172" t="str">
        <f>INDEX(Establishment!B$2:B$1005,MATCH($E172,Establishment!$A$2:$A$1005,0))</f>
        <v xml:space="preserve"> </v>
      </c>
      <c r="G172" t="str">
        <f>INDEX(Establishment!C$2:C$1005,MATCH($E172,Establishment!$A$2:$A$1005,0))</f>
        <v xml:space="preserve"> </v>
      </c>
      <c r="M172">
        <f t="shared" si="16"/>
        <v>0</v>
      </c>
      <c r="N172">
        <f t="shared" si="14"/>
        <v>0</v>
      </c>
      <c r="P172" t="e">
        <f>INDEX(Items!B$2:B$1032,MATCH($O172,Items!$A$2:$A$1032,0))</f>
        <v>#N/A</v>
      </c>
      <c r="Q172" t="e">
        <f>INDEX(Items!C$2:C$1032,MATCH($O172,Items!$A$2:$A$1032,0))</f>
        <v>#N/A</v>
      </c>
      <c r="R172" t="e">
        <f>INDEX(Items!D$2:D$1032,MATCH($O172,Items!$A$2:$A$1032,0))</f>
        <v>#N/A</v>
      </c>
    </row>
    <row r="173" spans="1:18" x14ac:dyDescent="0.25">
      <c r="A173">
        <f t="shared" si="12"/>
        <v>1</v>
      </c>
      <c r="B173" t="str">
        <f t="shared" si="13"/>
        <v/>
      </c>
      <c r="C173">
        <f t="shared" si="15"/>
        <v>1</v>
      </c>
      <c r="D173" s="4"/>
      <c r="E173" t="s">
        <v>18</v>
      </c>
      <c r="F173" t="str">
        <f>INDEX(Establishment!B$2:B$1005,MATCH($E173,Establishment!$A$2:$A$1005,0))</f>
        <v xml:space="preserve"> </v>
      </c>
      <c r="G173" t="str">
        <f>INDEX(Establishment!C$2:C$1005,MATCH($E173,Establishment!$A$2:$A$1005,0))</f>
        <v xml:space="preserve"> </v>
      </c>
      <c r="M173">
        <f t="shared" si="16"/>
        <v>0</v>
      </c>
      <c r="N173">
        <f t="shared" si="14"/>
        <v>0</v>
      </c>
      <c r="P173" t="e">
        <f>INDEX(Items!B$2:B$1032,MATCH($O173,Items!$A$2:$A$1032,0))</f>
        <v>#N/A</v>
      </c>
      <c r="Q173" t="e">
        <f>INDEX(Items!C$2:C$1032,MATCH($O173,Items!$A$2:$A$1032,0))</f>
        <v>#N/A</v>
      </c>
      <c r="R173" t="e">
        <f>INDEX(Items!D$2:D$1032,MATCH($O173,Items!$A$2:$A$1032,0))</f>
        <v>#N/A</v>
      </c>
    </row>
    <row r="174" spans="1:18" x14ac:dyDescent="0.25">
      <c r="A174">
        <f t="shared" si="12"/>
        <v>1</v>
      </c>
      <c r="B174" t="str">
        <f t="shared" si="13"/>
        <v/>
      </c>
      <c r="C174">
        <f t="shared" si="15"/>
        <v>1</v>
      </c>
      <c r="D174" s="4"/>
      <c r="E174" t="s">
        <v>18</v>
      </c>
      <c r="F174" t="str">
        <f>INDEX(Establishment!B$2:B$1005,MATCH($E174,Establishment!$A$2:$A$1005,0))</f>
        <v xml:space="preserve"> </v>
      </c>
      <c r="G174" t="str">
        <f>INDEX(Establishment!C$2:C$1005,MATCH($E174,Establishment!$A$2:$A$1005,0))</f>
        <v xml:space="preserve"> </v>
      </c>
      <c r="M174">
        <f t="shared" si="16"/>
        <v>0</v>
      </c>
      <c r="N174">
        <f t="shared" si="14"/>
        <v>0</v>
      </c>
      <c r="P174" t="e">
        <f>INDEX(Items!B$2:B$1032,MATCH($O174,Items!$A$2:$A$1032,0))</f>
        <v>#N/A</v>
      </c>
      <c r="Q174" t="e">
        <f>INDEX(Items!C$2:C$1032,MATCH($O174,Items!$A$2:$A$1032,0))</f>
        <v>#N/A</v>
      </c>
      <c r="R174" t="e">
        <f>INDEX(Items!D$2:D$1032,MATCH($O174,Items!$A$2:$A$1032,0))</f>
        <v>#N/A</v>
      </c>
    </row>
    <row r="175" spans="1:18" x14ac:dyDescent="0.25">
      <c r="A175">
        <f t="shared" si="12"/>
        <v>1</v>
      </c>
      <c r="B175" t="str">
        <f t="shared" si="13"/>
        <v/>
      </c>
      <c r="C175">
        <f t="shared" si="15"/>
        <v>1</v>
      </c>
      <c r="D175" s="4"/>
      <c r="E175" t="s">
        <v>18</v>
      </c>
      <c r="F175" t="str">
        <f>INDEX(Establishment!B$2:B$1005,MATCH($E175,Establishment!$A$2:$A$1005,0))</f>
        <v xml:space="preserve"> </v>
      </c>
      <c r="G175" t="str">
        <f>INDEX(Establishment!C$2:C$1005,MATCH($E175,Establishment!$A$2:$A$1005,0))</f>
        <v xml:space="preserve"> </v>
      </c>
      <c r="M175">
        <f t="shared" si="16"/>
        <v>0</v>
      </c>
      <c r="N175">
        <f t="shared" si="14"/>
        <v>0</v>
      </c>
      <c r="P175" t="e">
        <f>INDEX(Items!B$2:B$1032,MATCH($O175,Items!$A$2:$A$1032,0))</f>
        <v>#N/A</v>
      </c>
      <c r="Q175" t="e">
        <f>INDEX(Items!C$2:C$1032,MATCH($O175,Items!$A$2:$A$1032,0))</f>
        <v>#N/A</v>
      </c>
      <c r="R175" t="e">
        <f>INDEX(Items!D$2:D$1032,MATCH($O175,Items!$A$2:$A$1032,0))</f>
        <v>#N/A</v>
      </c>
    </row>
    <row r="176" spans="1:18" x14ac:dyDescent="0.25">
      <c r="A176">
        <f t="shared" si="12"/>
        <v>1</v>
      </c>
      <c r="B176" t="str">
        <f t="shared" si="13"/>
        <v/>
      </c>
      <c r="C176">
        <f t="shared" si="15"/>
        <v>1</v>
      </c>
      <c r="D176" s="4"/>
      <c r="E176" t="s">
        <v>18</v>
      </c>
      <c r="F176" t="str">
        <f>INDEX(Establishment!B$2:B$1005,MATCH($E176,Establishment!$A$2:$A$1005,0))</f>
        <v xml:space="preserve"> </v>
      </c>
      <c r="G176" t="str">
        <f>INDEX(Establishment!C$2:C$1005,MATCH($E176,Establishment!$A$2:$A$1005,0))</f>
        <v xml:space="preserve"> </v>
      </c>
      <c r="M176">
        <f t="shared" si="16"/>
        <v>0</v>
      </c>
      <c r="N176">
        <f t="shared" si="14"/>
        <v>0</v>
      </c>
      <c r="P176" t="e">
        <f>INDEX(Items!B$2:B$1032,MATCH($O176,Items!$A$2:$A$1032,0))</f>
        <v>#N/A</v>
      </c>
      <c r="Q176" t="e">
        <f>INDEX(Items!C$2:C$1032,MATCH($O176,Items!$A$2:$A$1032,0))</f>
        <v>#N/A</v>
      </c>
      <c r="R176" t="e">
        <f>INDEX(Items!D$2:D$1032,MATCH($O176,Items!$A$2:$A$1032,0))</f>
        <v>#N/A</v>
      </c>
    </row>
    <row r="177" spans="1:18" x14ac:dyDescent="0.25">
      <c r="A177">
        <f t="shared" si="12"/>
        <v>1</v>
      </c>
      <c r="B177" t="str">
        <f t="shared" si="13"/>
        <v/>
      </c>
      <c r="C177">
        <f t="shared" si="15"/>
        <v>1</v>
      </c>
      <c r="D177" s="4"/>
      <c r="E177" t="s">
        <v>18</v>
      </c>
      <c r="F177" t="str">
        <f>INDEX(Establishment!B$2:B$1005,MATCH($E177,Establishment!$A$2:$A$1005,0))</f>
        <v xml:space="preserve"> </v>
      </c>
      <c r="G177" t="str">
        <f>INDEX(Establishment!C$2:C$1005,MATCH($E177,Establishment!$A$2:$A$1005,0))</f>
        <v xml:space="preserve"> </v>
      </c>
      <c r="M177">
        <f t="shared" si="16"/>
        <v>0</v>
      </c>
      <c r="N177">
        <f t="shared" si="14"/>
        <v>0</v>
      </c>
      <c r="P177" t="e">
        <f>INDEX(Items!B$2:B$1032,MATCH($O177,Items!$A$2:$A$1032,0))</f>
        <v>#N/A</v>
      </c>
      <c r="Q177" t="e">
        <f>INDEX(Items!C$2:C$1032,MATCH($O177,Items!$A$2:$A$1032,0))</f>
        <v>#N/A</v>
      </c>
      <c r="R177" t="e">
        <f>INDEX(Items!D$2:D$1032,MATCH($O177,Items!$A$2:$A$1032,0))</f>
        <v>#N/A</v>
      </c>
    </row>
    <row r="178" spans="1:18" x14ac:dyDescent="0.25">
      <c r="A178">
        <f t="shared" si="12"/>
        <v>1</v>
      </c>
      <c r="B178" t="str">
        <f t="shared" si="13"/>
        <v/>
      </c>
      <c r="C178">
        <f t="shared" si="15"/>
        <v>1</v>
      </c>
      <c r="D178" s="4"/>
      <c r="E178" t="s">
        <v>18</v>
      </c>
      <c r="F178" t="str">
        <f>INDEX(Establishment!B$2:B$1005,MATCH($E178,Establishment!$A$2:$A$1005,0))</f>
        <v xml:space="preserve"> </v>
      </c>
      <c r="G178" t="str">
        <f>INDEX(Establishment!C$2:C$1005,MATCH($E178,Establishment!$A$2:$A$1005,0))</f>
        <v xml:space="preserve"> </v>
      </c>
      <c r="M178">
        <f t="shared" si="16"/>
        <v>0</v>
      </c>
      <c r="N178">
        <f t="shared" si="14"/>
        <v>0</v>
      </c>
      <c r="P178" t="e">
        <f>INDEX(Items!B$2:B$1032,MATCH($O178,Items!$A$2:$A$1032,0))</f>
        <v>#N/A</v>
      </c>
      <c r="Q178" t="e">
        <f>INDEX(Items!C$2:C$1032,MATCH($O178,Items!$A$2:$A$1032,0))</f>
        <v>#N/A</v>
      </c>
      <c r="R178" t="e">
        <f>INDEX(Items!D$2:D$1032,MATCH($O178,Items!$A$2:$A$1032,0))</f>
        <v>#N/A</v>
      </c>
    </row>
    <row r="179" spans="1:18" x14ac:dyDescent="0.25">
      <c r="A179">
        <f t="shared" si="12"/>
        <v>1</v>
      </c>
      <c r="B179" t="str">
        <f t="shared" si="13"/>
        <v/>
      </c>
      <c r="C179">
        <f t="shared" si="15"/>
        <v>1</v>
      </c>
      <c r="D179" s="4"/>
      <c r="E179" t="s">
        <v>18</v>
      </c>
      <c r="F179" t="str">
        <f>INDEX(Establishment!B$2:B$1005,MATCH($E179,Establishment!$A$2:$A$1005,0))</f>
        <v xml:space="preserve"> </v>
      </c>
      <c r="G179" t="str">
        <f>INDEX(Establishment!C$2:C$1005,MATCH($E179,Establishment!$A$2:$A$1005,0))</f>
        <v xml:space="preserve"> </v>
      </c>
      <c r="M179">
        <f t="shared" si="16"/>
        <v>0</v>
      </c>
      <c r="N179">
        <f t="shared" si="14"/>
        <v>0</v>
      </c>
      <c r="P179" t="e">
        <f>INDEX(Items!B$2:B$1032,MATCH($O179,Items!$A$2:$A$1032,0))</f>
        <v>#N/A</v>
      </c>
      <c r="Q179" t="e">
        <f>INDEX(Items!C$2:C$1032,MATCH($O179,Items!$A$2:$A$1032,0))</f>
        <v>#N/A</v>
      </c>
      <c r="R179" t="e">
        <f>INDEX(Items!D$2:D$1032,MATCH($O179,Items!$A$2:$A$1032,0))</f>
        <v>#N/A</v>
      </c>
    </row>
    <row r="180" spans="1:18" x14ac:dyDescent="0.25">
      <c r="A180">
        <f t="shared" si="12"/>
        <v>1</v>
      </c>
      <c r="B180" t="str">
        <f t="shared" si="13"/>
        <v/>
      </c>
      <c r="C180">
        <f t="shared" si="15"/>
        <v>1</v>
      </c>
      <c r="D180" s="4"/>
      <c r="E180" t="s">
        <v>18</v>
      </c>
      <c r="F180" t="str">
        <f>INDEX(Establishment!B$2:B$1005,MATCH($E180,Establishment!$A$2:$A$1005,0))</f>
        <v xml:space="preserve"> </v>
      </c>
      <c r="G180" t="str">
        <f>INDEX(Establishment!C$2:C$1005,MATCH($E180,Establishment!$A$2:$A$1005,0))</f>
        <v xml:space="preserve"> </v>
      </c>
      <c r="M180">
        <f t="shared" si="16"/>
        <v>0</v>
      </c>
      <c r="N180">
        <f t="shared" si="14"/>
        <v>0</v>
      </c>
      <c r="P180" t="e">
        <f>INDEX(Items!B$2:B$1032,MATCH($O180,Items!$A$2:$A$1032,0))</f>
        <v>#N/A</v>
      </c>
      <c r="Q180" t="e">
        <f>INDEX(Items!C$2:C$1032,MATCH($O180,Items!$A$2:$A$1032,0))</f>
        <v>#N/A</v>
      </c>
      <c r="R180" t="e">
        <f>INDEX(Items!D$2:D$1032,MATCH($O180,Items!$A$2:$A$1032,0))</f>
        <v>#N/A</v>
      </c>
    </row>
    <row r="181" spans="1:18" x14ac:dyDescent="0.25">
      <c r="A181">
        <f t="shared" si="12"/>
        <v>1</v>
      </c>
      <c r="B181" t="str">
        <f t="shared" si="13"/>
        <v/>
      </c>
      <c r="C181">
        <f t="shared" si="15"/>
        <v>1</v>
      </c>
      <c r="D181" s="4"/>
      <c r="E181" t="s">
        <v>18</v>
      </c>
      <c r="F181" t="str">
        <f>INDEX(Establishment!B$2:B$1005,MATCH($E181,Establishment!$A$2:$A$1005,0))</f>
        <v xml:space="preserve"> </v>
      </c>
      <c r="G181" t="str">
        <f>INDEX(Establishment!C$2:C$1005,MATCH($E181,Establishment!$A$2:$A$1005,0))</f>
        <v xml:space="preserve"> </v>
      </c>
      <c r="M181">
        <f t="shared" si="16"/>
        <v>0</v>
      </c>
      <c r="N181">
        <f t="shared" si="14"/>
        <v>0</v>
      </c>
      <c r="P181" t="e">
        <f>INDEX(Items!B$2:B$1032,MATCH($O181,Items!$A$2:$A$1032,0))</f>
        <v>#N/A</v>
      </c>
      <c r="Q181" t="e">
        <f>INDEX(Items!C$2:C$1032,MATCH($O181,Items!$A$2:$A$1032,0))</f>
        <v>#N/A</v>
      </c>
      <c r="R181" t="e">
        <f>INDEX(Items!D$2:D$1032,MATCH($O181,Items!$A$2:$A$1032,0))</f>
        <v>#N/A</v>
      </c>
    </row>
    <row r="182" spans="1:18" x14ac:dyDescent="0.25">
      <c r="A182">
        <f t="shared" si="12"/>
        <v>1</v>
      </c>
      <c r="B182" t="str">
        <f t="shared" si="13"/>
        <v/>
      </c>
      <c r="C182">
        <f t="shared" si="15"/>
        <v>1</v>
      </c>
      <c r="D182" s="4"/>
      <c r="E182" t="s">
        <v>18</v>
      </c>
      <c r="F182" t="str">
        <f>INDEX(Establishment!B$2:B$1005,MATCH($E182,Establishment!$A$2:$A$1005,0))</f>
        <v xml:space="preserve"> </v>
      </c>
      <c r="G182" t="str">
        <f>INDEX(Establishment!C$2:C$1005,MATCH($E182,Establishment!$A$2:$A$1005,0))</f>
        <v xml:space="preserve"> </v>
      </c>
      <c r="M182">
        <f t="shared" si="16"/>
        <v>0</v>
      </c>
      <c r="N182">
        <f t="shared" si="14"/>
        <v>0</v>
      </c>
      <c r="P182" t="e">
        <f>INDEX(Items!B$2:B$1032,MATCH($O182,Items!$A$2:$A$1032,0))</f>
        <v>#N/A</v>
      </c>
      <c r="Q182" t="e">
        <f>INDEX(Items!C$2:C$1032,MATCH($O182,Items!$A$2:$A$1032,0))</f>
        <v>#N/A</v>
      </c>
      <c r="R182" t="e">
        <f>INDEX(Items!D$2:D$1032,MATCH($O182,Items!$A$2:$A$1032,0))</f>
        <v>#N/A</v>
      </c>
    </row>
    <row r="183" spans="1:18" x14ac:dyDescent="0.25">
      <c r="A183">
        <f t="shared" si="12"/>
        <v>1</v>
      </c>
      <c r="B183" t="str">
        <f t="shared" si="13"/>
        <v/>
      </c>
      <c r="C183">
        <f t="shared" si="15"/>
        <v>1</v>
      </c>
      <c r="D183" s="4"/>
      <c r="E183" t="s">
        <v>18</v>
      </c>
      <c r="F183" t="str">
        <f>INDEX(Establishment!B$2:B$1005,MATCH($E183,Establishment!$A$2:$A$1005,0))</f>
        <v xml:space="preserve"> </v>
      </c>
      <c r="G183" t="str">
        <f>INDEX(Establishment!C$2:C$1005,MATCH($E183,Establishment!$A$2:$A$1005,0))</f>
        <v xml:space="preserve"> </v>
      </c>
      <c r="M183">
        <f t="shared" si="16"/>
        <v>0</v>
      </c>
      <c r="N183">
        <f t="shared" si="14"/>
        <v>0</v>
      </c>
      <c r="P183" t="e">
        <f>INDEX(Items!B$2:B$1032,MATCH($O183,Items!$A$2:$A$1032,0))</f>
        <v>#N/A</v>
      </c>
      <c r="Q183" t="e">
        <f>INDEX(Items!C$2:C$1032,MATCH($O183,Items!$A$2:$A$1032,0))</f>
        <v>#N/A</v>
      </c>
      <c r="R183" t="e">
        <f>INDEX(Items!D$2:D$1032,MATCH($O183,Items!$A$2:$A$1032,0))</f>
        <v>#N/A</v>
      </c>
    </row>
    <row r="184" spans="1:18" x14ac:dyDescent="0.25">
      <c r="A184">
        <f t="shared" si="12"/>
        <v>1</v>
      </c>
      <c r="B184" t="str">
        <f t="shared" si="13"/>
        <v/>
      </c>
      <c r="C184">
        <f t="shared" si="15"/>
        <v>1</v>
      </c>
      <c r="D184" s="4"/>
      <c r="E184" t="s">
        <v>18</v>
      </c>
      <c r="F184" t="str">
        <f>INDEX(Establishment!B$2:B$1005,MATCH($E184,Establishment!$A$2:$A$1005,0))</f>
        <v xml:space="preserve"> </v>
      </c>
      <c r="G184" t="str">
        <f>INDEX(Establishment!C$2:C$1005,MATCH($E184,Establishment!$A$2:$A$1005,0))</f>
        <v xml:space="preserve"> </v>
      </c>
      <c r="M184">
        <f t="shared" si="16"/>
        <v>0</v>
      </c>
      <c r="N184">
        <f t="shared" si="14"/>
        <v>0</v>
      </c>
      <c r="P184" t="e">
        <f>INDEX(Items!B$2:B$1032,MATCH($O184,Items!$A$2:$A$1032,0))</f>
        <v>#N/A</v>
      </c>
      <c r="Q184" t="e">
        <f>INDEX(Items!C$2:C$1032,MATCH($O184,Items!$A$2:$A$1032,0))</f>
        <v>#N/A</v>
      </c>
      <c r="R184" t="e">
        <f>INDEX(Items!D$2:D$1032,MATCH($O184,Items!$A$2:$A$1032,0))</f>
        <v>#N/A</v>
      </c>
    </row>
    <row r="185" spans="1:18" x14ac:dyDescent="0.25">
      <c r="A185">
        <f t="shared" si="12"/>
        <v>1</v>
      </c>
      <c r="B185" t="str">
        <f t="shared" si="13"/>
        <v/>
      </c>
      <c r="C185">
        <f t="shared" si="15"/>
        <v>1</v>
      </c>
      <c r="D185" s="4"/>
      <c r="E185" t="s">
        <v>18</v>
      </c>
      <c r="F185" t="str">
        <f>INDEX(Establishment!B$2:B$1005,MATCH($E185,Establishment!$A$2:$A$1005,0))</f>
        <v xml:space="preserve"> </v>
      </c>
      <c r="G185" t="str">
        <f>INDEX(Establishment!C$2:C$1005,MATCH($E185,Establishment!$A$2:$A$1005,0))</f>
        <v xml:space="preserve"> </v>
      </c>
      <c r="M185">
        <f t="shared" si="16"/>
        <v>0</v>
      </c>
      <c r="N185">
        <f t="shared" si="14"/>
        <v>0</v>
      </c>
      <c r="P185" t="e">
        <f>INDEX(Items!B$2:B$1032,MATCH($O185,Items!$A$2:$A$1032,0))</f>
        <v>#N/A</v>
      </c>
      <c r="Q185" t="e">
        <f>INDEX(Items!C$2:C$1032,MATCH($O185,Items!$A$2:$A$1032,0))</f>
        <v>#N/A</v>
      </c>
      <c r="R185" t="e">
        <f>INDEX(Items!D$2:D$1032,MATCH($O185,Items!$A$2:$A$1032,0))</f>
        <v>#N/A</v>
      </c>
    </row>
    <row r="186" spans="1:18" x14ac:dyDescent="0.25">
      <c r="A186">
        <f t="shared" si="12"/>
        <v>1</v>
      </c>
      <c r="B186" t="str">
        <f t="shared" si="13"/>
        <v/>
      </c>
      <c r="C186">
        <f t="shared" si="15"/>
        <v>1</v>
      </c>
      <c r="D186" s="4"/>
      <c r="E186" t="s">
        <v>18</v>
      </c>
      <c r="F186" t="str">
        <f>INDEX(Establishment!B$2:B$1005,MATCH($E186,Establishment!$A$2:$A$1005,0))</f>
        <v xml:space="preserve"> </v>
      </c>
      <c r="G186" t="str">
        <f>INDEX(Establishment!C$2:C$1005,MATCH($E186,Establishment!$A$2:$A$1005,0))</f>
        <v xml:space="preserve"> </v>
      </c>
      <c r="M186">
        <f t="shared" si="16"/>
        <v>0</v>
      </c>
      <c r="N186">
        <f t="shared" si="14"/>
        <v>0</v>
      </c>
      <c r="P186" t="e">
        <f>INDEX(Items!B$2:B$1032,MATCH($O186,Items!$A$2:$A$1032,0))</f>
        <v>#N/A</v>
      </c>
      <c r="Q186" t="e">
        <f>INDEX(Items!C$2:C$1032,MATCH($O186,Items!$A$2:$A$1032,0))</f>
        <v>#N/A</v>
      </c>
      <c r="R186" t="e">
        <f>INDEX(Items!D$2:D$1032,MATCH($O186,Items!$A$2:$A$1032,0))</f>
        <v>#N/A</v>
      </c>
    </row>
    <row r="187" spans="1:18" x14ac:dyDescent="0.25">
      <c r="A187">
        <f t="shared" si="12"/>
        <v>1</v>
      </c>
      <c r="B187" t="str">
        <f t="shared" si="13"/>
        <v/>
      </c>
      <c r="C187">
        <f t="shared" si="15"/>
        <v>1</v>
      </c>
      <c r="D187" s="4"/>
      <c r="E187" t="s">
        <v>18</v>
      </c>
      <c r="F187" t="str">
        <f>INDEX(Establishment!B$2:B$1005,MATCH($E187,Establishment!$A$2:$A$1005,0))</f>
        <v xml:space="preserve"> </v>
      </c>
      <c r="G187" t="str">
        <f>INDEX(Establishment!C$2:C$1005,MATCH($E187,Establishment!$A$2:$A$1005,0))</f>
        <v xml:space="preserve"> </v>
      </c>
      <c r="M187">
        <f t="shared" si="16"/>
        <v>0</v>
      </c>
      <c r="N187">
        <f t="shared" si="14"/>
        <v>0</v>
      </c>
      <c r="P187" t="e">
        <f>INDEX(Items!B$2:B$1032,MATCH($O187,Items!$A$2:$A$1032,0))</f>
        <v>#N/A</v>
      </c>
      <c r="Q187" t="e">
        <f>INDEX(Items!C$2:C$1032,MATCH($O187,Items!$A$2:$A$1032,0))</f>
        <v>#N/A</v>
      </c>
      <c r="R187" t="e">
        <f>INDEX(Items!D$2:D$1032,MATCH($O187,Items!$A$2:$A$1032,0))</f>
        <v>#N/A</v>
      </c>
    </row>
    <row r="188" spans="1:18" x14ac:dyDescent="0.25">
      <c r="A188">
        <f t="shared" si="12"/>
        <v>1</v>
      </c>
      <c r="B188" t="str">
        <f t="shared" si="13"/>
        <v/>
      </c>
      <c r="C188">
        <f t="shared" si="15"/>
        <v>1</v>
      </c>
      <c r="D188" s="4"/>
      <c r="E188" t="s">
        <v>18</v>
      </c>
      <c r="F188" t="str">
        <f>INDEX(Establishment!B$2:B$1005,MATCH($E188,Establishment!$A$2:$A$1005,0))</f>
        <v xml:space="preserve"> </v>
      </c>
      <c r="G188" t="str">
        <f>INDEX(Establishment!C$2:C$1005,MATCH($E188,Establishment!$A$2:$A$1005,0))</f>
        <v xml:space="preserve"> </v>
      </c>
      <c r="M188">
        <f t="shared" si="16"/>
        <v>0</v>
      </c>
      <c r="N188">
        <f t="shared" si="14"/>
        <v>0</v>
      </c>
      <c r="P188" t="e">
        <f>INDEX(Items!B$2:B$1032,MATCH($O188,Items!$A$2:$A$1032,0))</f>
        <v>#N/A</v>
      </c>
      <c r="Q188" t="e">
        <f>INDEX(Items!C$2:C$1032,MATCH($O188,Items!$A$2:$A$1032,0))</f>
        <v>#N/A</v>
      </c>
      <c r="R188" t="e">
        <f>INDEX(Items!D$2:D$1032,MATCH($O188,Items!$A$2:$A$1032,0))</f>
        <v>#N/A</v>
      </c>
    </row>
    <row r="189" spans="1:18" x14ac:dyDescent="0.25">
      <c r="A189">
        <f t="shared" si="12"/>
        <v>1</v>
      </c>
      <c r="B189" t="str">
        <f t="shared" si="13"/>
        <v/>
      </c>
      <c r="C189">
        <f t="shared" si="15"/>
        <v>1</v>
      </c>
      <c r="D189" s="4"/>
      <c r="E189" t="s">
        <v>18</v>
      </c>
      <c r="F189" t="str">
        <f>INDEX(Establishment!B$2:B$1005,MATCH($E189,Establishment!$A$2:$A$1005,0))</f>
        <v xml:space="preserve"> </v>
      </c>
      <c r="G189" t="str">
        <f>INDEX(Establishment!C$2:C$1005,MATCH($E189,Establishment!$A$2:$A$1005,0))</f>
        <v xml:space="preserve"> </v>
      </c>
      <c r="M189">
        <f t="shared" si="16"/>
        <v>0</v>
      </c>
      <c r="N189">
        <f t="shared" si="14"/>
        <v>0</v>
      </c>
      <c r="P189" t="e">
        <f>INDEX(Items!B$2:B$1032,MATCH($O189,Items!$A$2:$A$1032,0))</f>
        <v>#N/A</v>
      </c>
      <c r="Q189" t="e">
        <f>INDEX(Items!C$2:C$1032,MATCH($O189,Items!$A$2:$A$1032,0))</f>
        <v>#N/A</v>
      </c>
      <c r="R189" t="e">
        <f>INDEX(Items!D$2:D$1032,MATCH($O189,Items!$A$2:$A$1032,0))</f>
        <v>#N/A</v>
      </c>
    </row>
    <row r="190" spans="1:18" x14ac:dyDescent="0.25">
      <c r="A190">
        <f t="shared" si="12"/>
        <v>1</v>
      </c>
      <c r="B190" t="str">
        <f t="shared" si="13"/>
        <v/>
      </c>
      <c r="C190">
        <f t="shared" si="15"/>
        <v>1</v>
      </c>
      <c r="D190" s="4"/>
      <c r="E190" t="s">
        <v>18</v>
      </c>
      <c r="F190" t="str">
        <f>INDEX(Establishment!B$2:B$1005,MATCH($E190,Establishment!$A$2:$A$1005,0))</f>
        <v xml:space="preserve"> </v>
      </c>
      <c r="G190" t="str">
        <f>INDEX(Establishment!C$2:C$1005,MATCH($E190,Establishment!$A$2:$A$1005,0))</f>
        <v xml:space="preserve"> </v>
      </c>
      <c r="M190">
        <f t="shared" si="16"/>
        <v>0</v>
      </c>
      <c r="N190">
        <f t="shared" si="14"/>
        <v>0</v>
      </c>
      <c r="P190" t="e">
        <f>INDEX(Items!B$2:B$1032,MATCH($O190,Items!$A$2:$A$1032,0))</f>
        <v>#N/A</v>
      </c>
      <c r="Q190" t="e">
        <f>INDEX(Items!C$2:C$1032,MATCH($O190,Items!$A$2:$A$1032,0))</f>
        <v>#N/A</v>
      </c>
      <c r="R190" t="e">
        <f>INDEX(Items!D$2:D$1032,MATCH($O190,Items!$A$2:$A$1032,0))</f>
        <v>#N/A</v>
      </c>
    </row>
    <row r="191" spans="1:18" x14ac:dyDescent="0.25">
      <c r="A191">
        <f t="shared" si="12"/>
        <v>1</v>
      </c>
      <c r="B191" t="str">
        <f t="shared" si="13"/>
        <v/>
      </c>
      <c r="C191">
        <f t="shared" si="15"/>
        <v>1</v>
      </c>
      <c r="D191" s="4"/>
      <c r="E191" t="s">
        <v>18</v>
      </c>
      <c r="F191" t="str">
        <f>INDEX(Establishment!B$2:B$1005,MATCH($E191,Establishment!$A$2:$A$1005,0))</f>
        <v xml:space="preserve"> </v>
      </c>
      <c r="G191" t="str">
        <f>INDEX(Establishment!C$2:C$1005,MATCH($E191,Establishment!$A$2:$A$1005,0))</f>
        <v xml:space="preserve"> </v>
      </c>
      <c r="M191">
        <f t="shared" si="16"/>
        <v>0</v>
      </c>
      <c r="N191">
        <f t="shared" si="14"/>
        <v>0</v>
      </c>
      <c r="P191" t="e">
        <f>INDEX(Items!B$2:B$1032,MATCH($O191,Items!$A$2:$A$1032,0))</f>
        <v>#N/A</v>
      </c>
      <c r="Q191" t="e">
        <f>INDEX(Items!C$2:C$1032,MATCH($O191,Items!$A$2:$A$1032,0))</f>
        <v>#N/A</v>
      </c>
      <c r="R191" t="e">
        <f>INDEX(Items!D$2:D$1032,MATCH($O191,Items!$A$2:$A$1032,0))</f>
        <v>#N/A</v>
      </c>
    </row>
    <row r="192" spans="1:18" x14ac:dyDescent="0.25">
      <c r="A192">
        <f t="shared" si="12"/>
        <v>1</v>
      </c>
      <c r="B192" t="str">
        <f t="shared" si="13"/>
        <v/>
      </c>
      <c r="C192">
        <f t="shared" si="15"/>
        <v>1</v>
      </c>
      <c r="D192" s="4"/>
      <c r="E192" t="s">
        <v>18</v>
      </c>
      <c r="F192" t="str">
        <f>INDEX(Establishment!B$2:B$1005,MATCH($E192,Establishment!$A$2:$A$1005,0))</f>
        <v xml:space="preserve"> </v>
      </c>
      <c r="G192" t="str">
        <f>INDEX(Establishment!C$2:C$1005,MATCH($E192,Establishment!$A$2:$A$1005,0))</f>
        <v xml:space="preserve"> </v>
      </c>
      <c r="M192">
        <f t="shared" si="16"/>
        <v>0</v>
      </c>
      <c r="N192">
        <f t="shared" si="14"/>
        <v>0</v>
      </c>
      <c r="P192" t="e">
        <f>INDEX(Items!B$2:B$1032,MATCH($O192,Items!$A$2:$A$1032,0))</f>
        <v>#N/A</v>
      </c>
      <c r="Q192" t="e">
        <f>INDEX(Items!C$2:C$1032,MATCH($O192,Items!$A$2:$A$1032,0))</f>
        <v>#N/A</v>
      </c>
      <c r="R192" t="e">
        <f>INDEX(Items!D$2:D$1032,MATCH($O192,Items!$A$2:$A$1032,0))</f>
        <v>#N/A</v>
      </c>
    </row>
    <row r="193" spans="1:18" x14ac:dyDescent="0.25">
      <c r="A193">
        <f t="shared" si="12"/>
        <v>1</v>
      </c>
      <c r="B193" t="str">
        <f t="shared" si="13"/>
        <v/>
      </c>
      <c r="C193">
        <f t="shared" si="15"/>
        <v>1</v>
      </c>
      <c r="D193" s="4"/>
      <c r="E193" t="s">
        <v>18</v>
      </c>
      <c r="F193" t="str">
        <f>INDEX(Establishment!B$2:B$1005,MATCH($E193,Establishment!$A$2:$A$1005,0))</f>
        <v xml:space="preserve"> </v>
      </c>
      <c r="G193" t="str">
        <f>INDEX(Establishment!C$2:C$1005,MATCH($E193,Establishment!$A$2:$A$1005,0))</f>
        <v xml:space="preserve"> </v>
      </c>
      <c r="M193">
        <f t="shared" si="16"/>
        <v>0</v>
      </c>
      <c r="N193">
        <f t="shared" si="14"/>
        <v>0</v>
      </c>
      <c r="P193" t="e">
        <f>INDEX(Items!B$2:B$1032,MATCH($O193,Items!$A$2:$A$1032,0))</f>
        <v>#N/A</v>
      </c>
      <c r="Q193" t="e">
        <f>INDEX(Items!C$2:C$1032,MATCH($O193,Items!$A$2:$A$1032,0))</f>
        <v>#N/A</v>
      </c>
      <c r="R193" t="e">
        <f>INDEX(Items!D$2:D$1032,MATCH($O193,Items!$A$2:$A$1032,0))</f>
        <v>#N/A</v>
      </c>
    </row>
    <row r="194" spans="1:18" x14ac:dyDescent="0.25">
      <c r="A194">
        <f t="shared" ref="A194:A257" si="17">IF(OR(D194&lt;&gt;D193,D194=""),1,IF(NOT(AND(E194=E193,F194=F193,G194=G193)),A193+1,IF(OR(H194="",AND(H194&lt;&gt;"",H194&lt;&gt;H193,H193&lt;&gt;"")),A193,A193+1)))</f>
        <v>1</v>
      </c>
      <c r="B194" t="str">
        <f t="shared" ref="B194:B257" si="18">IF(D194&lt;&gt;"",TEXT(D194,"YYYYMMDD")&amp;CHAR(64+A194),"")</f>
        <v/>
      </c>
      <c r="C194">
        <f t="shared" si="15"/>
        <v>1</v>
      </c>
      <c r="D194" s="4"/>
      <c r="E194" t="s">
        <v>18</v>
      </c>
      <c r="F194" t="str">
        <f>INDEX(Establishment!B$2:B$1005,MATCH($E194,Establishment!$A$2:$A$1005,0))</f>
        <v xml:space="preserve"> </v>
      </c>
      <c r="G194" t="str">
        <f>INDEX(Establishment!C$2:C$1005,MATCH($E194,Establishment!$A$2:$A$1005,0))</f>
        <v xml:space="preserve"> </v>
      </c>
      <c r="M194">
        <f t="shared" si="16"/>
        <v>0</v>
      </c>
      <c r="N194">
        <f t="shared" si="14"/>
        <v>0</v>
      </c>
      <c r="P194" t="e">
        <f>INDEX(Items!B$2:B$1032,MATCH($O194,Items!$A$2:$A$1032,0))</f>
        <v>#N/A</v>
      </c>
      <c r="Q194" t="e">
        <f>INDEX(Items!C$2:C$1032,MATCH($O194,Items!$A$2:$A$1032,0))</f>
        <v>#N/A</v>
      </c>
      <c r="R194" t="e">
        <f>INDEX(Items!D$2:D$1032,MATCH($O194,Items!$A$2:$A$1032,0))</f>
        <v>#N/A</v>
      </c>
    </row>
    <row r="195" spans="1:18" x14ac:dyDescent="0.25">
      <c r="A195">
        <f t="shared" si="17"/>
        <v>1</v>
      </c>
      <c r="B195" t="str">
        <f t="shared" si="18"/>
        <v/>
      </c>
      <c r="C195">
        <f t="shared" si="15"/>
        <v>1</v>
      </c>
      <c r="D195" s="4"/>
      <c r="E195" t="s">
        <v>18</v>
      </c>
      <c r="F195" t="str">
        <f>INDEX(Establishment!B$2:B$1005,MATCH($E195,Establishment!$A$2:$A$1005,0))</f>
        <v xml:space="preserve"> </v>
      </c>
      <c r="G195" t="str">
        <f>INDEX(Establishment!C$2:C$1005,MATCH($E195,Establishment!$A$2:$A$1005,0))</f>
        <v xml:space="preserve"> </v>
      </c>
      <c r="M195">
        <f t="shared" si="16"/>
        <v>0</v>
      </c>
      <c r="N195">
        <f t="shared" ref="N195:N258" si="19">IF(B195=B194,N194+M195,M195)</f>
        <v>0</v>
      </c>
      <c r="P195" t="e">
        <f>INDEX(Items!B$2:B$1032,MATCH($O195,Items!$A$2:$A$1032,0))</f>
        <v>#N/A</v>
      </c>
      <c r="Q195" t="e">
        <f>INDEX(Items!C$2:C$1032,MATCH($O195,Items!$A$2:$A$1032,0))</f>
        <v>#N/A</v>
      </c>
      <c r="R195" t="e">
        <f>INDEX(Items!D$2:D$1032,MATCH($O195,Items!$A$2:$A$1032,0))</f>
        <v>#N/A</v>
      </c>
    </row>
    <row r="196" spans="1:18" x14ac:dyDescent="0.25">
      <c r="A196">
        <f t="shared" si="17"/>
        <v>1</v>
      </c>
      <c r="B196" t="str">
        <f t="shared" si="18"/>
        <v/>
      </c>
      <c r="C196">
        <f t="shared" si="15"/>
        <v>1</v>
      </c>
      <c r="D196" s="4"/>
      <c r="E196" t="s">
        <v>18</v>
      </c>
      <c r="F196" t="str">
        <f>INDEX(Establishment!B$2:B$1005,MATCH($E196,Establishment!$A$2:$A$1005,0))</f>
        <v xml:space="preserve"> </v>
      </c>
      <c r="G196" t="str">
        <f>INDEX(Establishment!C$2:C$1005,MATCH($E196,Establishment!$A$2:$A$1005,0))</f>
        <v xml:space="preserve"> </v>
      </c>
      <c r="M196">
        <f t="shared" si="16"/>
        <v>0</v>
      </c>
      <c r="N196">
        <f t="shared" si="19"/>
        <v>0</v>
      </c>
      <c r="P196" t="e">
        <f>INDEX(Items!B$2:B$1032,MATCH($O196,Items!$A$2:$A$1032,0))</f>
        <v>#N/A</v>
      </c>
      <c r="Q196" t="e">
        <f>INDEX(Items!C$2:C$1032,MATCH($O196,Items!$A$2:$A$1032,0))</f>
        <v>#N/A</v>
      </c>
      <c r="R196" t="e">
        <f>INDEX(Items!D$2:D$1032,MATCH($O196,Items!$A$2:$A$1032,0))</f>
        <v>#N/A</v>
      </c>
    </row>
    <row r="197" spans="1:18" x14ac:dyDescent="0.25">
      <c r="A197">
        <f t="shared" si="17"/>
        <v>1</v>
      </c>
      <c r="B197" t="str">
        <f t="shared" si="18"/>
        <v/>
      </c>
      <c r="C197">
        <f t="shared" si="15"/>
        <v>1</v>
      </c>
      <c r="D197" s="4"/>
      <c r="E197" t="s">
        <v>18</v>
      </c>
      <c r="F197" t="str">
        <f>INDEX(Establishment!B$2:B$1005,MATCH($E197,Establishment!$A$2:$A$1005,0))</f>
        <v xml:space="preserve"> </v>
      </c>
      <c r="G197" t="str">
        <f>INDEX(Establishment!C$2:C$1005,MATCH($E197,Establishment!$A$2:$A$1005,0))</f>
        <v xml:space="preserve"> </v>
      </c>
      <c r="M197">
        <f t="shared" si="16"/>
        <v>0</v>
      </c>
      <c r="N197">
        <f t="shared" si="19"/>
        <v>0</v>
      </c>
      <c r="P197" t="e">
        <f>INDEX(Items!B$2:B$1032,MATCH($O197,Items!$A$2:$A$1032,0))</f>
        <v>#N/A</v>
      </c>
      <c r="Q197" t="e">
        <f>INDEX(Items!C$2:C$1032,MATCH($O197,Items!$A$2:$A$1032,0))</f>
        <v>#N/A</v>
      </c>
      <c r="R197" t="e">
        <f>INDEX(Items!D$2:D$1032,MATCH($O197,Items!$A$2:$A$1032,0))</f>
        <v>#N/A</v>
      </c>
    </row>
    <row r="198" spans="1:18" x14ac:dyDescent="0.25">
      <c r="A198">
        <f t="shared" si="17"/>
        <v>1</v>
      </c>
      <c r="B198" t="str">
        <f t="shared" si="18"/>
        <v/>
      </c>
      <c r="C198">
        <f t="shared" si="15"/>
        <v>1</v>
      </c>
      <c r="D198" s="4"/>
      <c r="E198" t="s">
        <v>18</v>
      </c>
      <c r="F198" t="str">
        <f>INDEX(Establishment!B$2:B$1005,MATCH($E198,Establishment!$A$2:$A$1005,0))</f>
        <v xml:space="preserve"> </v>
      </c>
      <c r="G198" t="str">
        <f>INDEX(Establishment!C$2:C$1005,MATCH($E198,Establishment!$A$2:$A$1005,0))</f>
        <v xml:space="preserve"> </v>
      </c>
      <c r="M198">
        <f t="shared" si="16"/>
        <v>0</v>
      </c>
      <c r="N198">
        <f t="shared" si="19"/>
        <v>0</v>
      </c>
      <c r="P198" t="e">
        <f>INDEX(Items!B$2:B$1032,MATCH($O198,Items!$A$2:$A$1032,0))</f>
        <v>#N/A</v>
      </c>
      <c r="Q198" t="e">
        <f>INDEX(Items!C$2:C$1032,MATCH($O198,Items!$A$2:$A$1032,0))</f>
        <v>#N/A</v>
      </c>
      <c r="R198" t="e">
        <f>INDEX(Items!D$2:D$1032,MATCH($O198,Items!$A$2:$A$1032,0))</f>
        <v>#N/A</v>
      </c>
    </row>
    <row r="199" spans="1:18" x14ac:dyDescent="0.25">
      <c r="A199">
        <f t="shared" si="17"/>
        <v>1</v>
      </c>
      <c r="B199" t="str">
        <f t="shared" si="18"/>
        <v/>
      </c>
      <c r="C199">
        <f t="shared" si="15"/>
        <v>1</v>
      </c>
      <c r="D199" s="4"/>
      <c r="E199" t="s">
        <v>18</v>
      </c>
      <c r="F199" t="str">
        <f>INDEX(Establishment!B$2:B$1005,MATCH($E199,Establishment!$A$2:$A$1005,0))</f>
        <v xml:space="preserve"> </v>
      </c>
      <c r="G199" t="str">
        <f>INDEX(Establishment!C$2:C$1005,MATCH($E199,Establishment!$A$2:$A$1005,0))</f>
        <v xml:space="preserve"> </v>
      </c>
      <c r="M199">
        <f t="shared" si="16"/>
        <v>0</v>
      </c>
      <c r="N199">
        <f t="shared" si="19"/>
        <v>0</v>
      </c>
      <c r="P199" t="e">
        <f>INDEX(Items!B$2:B$1032,MATCH($O199,Items!$A$2:$A$1032,0))</f>
        <v>#N/A</v>
      </c>
      <c r="Q199" t="e">
        <f>INDEX(Items!C$2:C$1032,MATCH($O199,Items!$A$2:$A$1032,0))</f>
        <v>#N/A</v>
      </c>
      <c r="R199" t="e">
        <f>INDEX(Items!D$2:D$1032,MATCH($O199,Items!$A$2:$A$1032,0))</f>
        <v>#N/A</v>
      </c>
    </row>
    <row r="200" spans="1:18" x14ac:dyDescent="0.25">
      <c r="A200">
        <f t="shared" si="17"/>
        <v>1</v>
      </c>
      <c r="B200" t="str">
        <f t="shared" si="18"/>
        <v/>
      </c>
      <c r="C200">
        <f t="shared" si="15"/>
        <v>1</v>
      </c>
      <c r="D200" s="4"/>
      <c r="E200" t="s">
        <v>18</v>
      </c>
      <c r="F200" t="str">
        <f>INDEX(Establishment!B$2:B$1005,MATCH($E200,Establishment!$A$2:$A$1005,0))</f>
        <v xml:space="preserve"> </v>
      </c>
      <c r="G200" t="str">
        <f>INDEX(Establishment!C$2:C$1005,MATCH($E200,Establishment!$A$2:$A$1005,0))</f>
        <v xml:space="preserve"> </v>
      </c>
      <c r="M200">
        <f t="shared" si="16"/>
        <v>0</v>
      </c>
      <c r="N200">
        <f t="shared" si="19"/>
        <v>0</v>
      </c>
      <c r="P200" t="e">
        <f>INDEX(Items!B$2:B$1032,MATCH($O200,Items!$A$2:$A$1032,0))</f>
        <v>#N/A</v>
      </c>
      <c r="Q200" t="e">
        <f>INDEX(Items!C$2:C$1032,MATCH($O200,Items!$A$2:$A$1032,0))</f>
        <v>#N/A</v>
      </c>
      <c r="R200" t="e">
        <f>INDEX(Items!D$2:D$1032,MATCH($O200,Items!$A$2:$A$1032,0))</f>
        <v>#N/A</v>
      </c>
    </row>
    <row r="201" spans="1:18" x14ac:dyDescent="0.25">
      <c r="A201">
        <f t="shared" si="17"/>
        <v>1</v>
      </c>
      <c r="B201" t="str">
        <f t="shared" si="18"/>
        <v/>
      </c>
      <c r="C201">
        <f t="shared" si="15"/>
        <v>1</v>
      </c>
      <c r="D201" s="4"/>
      <c r="E201" t="s">
        <v>18</v>
      </c>
      <c r="F201" t="str">
        <f>INDEX(Establishment!B$2:B$1005,MATCH($E201,Establishment!$A$2:$A$1005,0))</f>
        <v xml:space="preserve"> </v>
      </c>
      <c r="G201" t="str">
        <f>INDEX(Establishment!C$2:C$1005,MATCH($E201,Establishment!$A$2:$A$1005,0))</f>
        <v xml:space="preserve"> </v>
      </c>
      <c r="M201">
        <f t="shared" si="16"/>
        <v>0</v>
      </c>
      <c r="N201">
        <f t="shared" si="19"/>
        <v>0</v>
      </c>
      <c r="P201" t="e">
        <f>INDEX(Items!B$2:B$1032,MATCH($O201,Items!$A$2:$A$1032,0))</f>
        <v>#N/A</v>
      </c>
      <c r="Q201" t="e">
        <f>INDEX(Items!C$2:C$1032,MATCH($O201,Items!$A$2:$A$1032,0))</f>
        <v>#N/A</v>
      </c>
      <c r="R201" t="e">
        <f>INDEX(Items!D$2:D$1032,MATCH($O201,Items!$A$2:$A$1032,0))</f>
        <v>#N/A</v>
      </c>
    </row>
    <row r="202" spans="1:18" x14ac:dyDescent="0.25">
      <c r="A202">
        <f t="shared" si="17"/>
        <v>1</v>
      </c>
      <c r="B202" t="str">
        <f t="shared" si="18"/>
        <v/>
      </c>
      <c r="C202">
        <f t="shared" ref="C202:C265" si="20">IF(OR(B202="",B202&lt;&gt;B201),1,C201+1)</f>
        <v>1</v>
      </c>
      <c r="D202" s="4"/>
      <c r="E202" t="s">
        <v>18</v>
      </c>
      <c r="F202" t="str">
        <f>INDEX(Establishment!B$2:B$1005,MATCH($E202,Establishment!$A$2:$A$1005,0))</f>
        <v xml:space="preserve"> </v>
      </c>
      <c r="G202" t="str">
        <f>INDEX(Establishment!C$2:C$1005,MATCH($E202,Establishment!$A$2:$A$1005,0))</f>
        <v xml:space="preserve"> </v>
      </c>
      <c r="M202">
        <f t="shared" ref="M202:M265" si="21">K202*L202</f>
        <v>0</v>
      </c>
      <c r="N202">
        <f t="shared" si="19"/>
        <v>0</v>
      </c>
      <c r="P202" t="e">
        <f>INDEX(Items!B$2:B$1032,MATCH($O202,Items!$A$2:$A$1032,0))</f>
        <v>#N/A</v>
      </c>
      <c r="Q202" t="e">
        <f>INDEX(Items!C$2:C$1032,MATCH($O202,Items!$A$2:$A$1032,0))</f>
        <v>#N/A</v>
      </c>
      <c r="R202" t="e">
        <f>INDEX(Items!D$2:D$1032,MATCH($O202,Items!$A$2:$A$1032,0))</f>
        <v>#N/A</v>
      </c>
    </row>
    <row r="203" spans="1:18" x14ac:dyDescent="0.25">
      <c r="A203">
        <f t="shared" si="17"/>
        <v>1</v>
      </c>
      <c r="B203" t="str">
        <f t="shared" si="18"/>
        <v/>
      </c>
      <c r="C203">
        <f t="shared" si="20"/>
        <v>1</v>
      </c>
      <c r="D203" s="4"/>
      <c r="E203" t="s">
        <v>18</v>
      </c>
      <c r="F203" t="str">
        <f>INDEX(Establishment!B$2:B$1005,MATCH($E203,Establishment!$A$2:$A$1005,0))</f>
        <v xml:space="preserve"> </v>
      </c>
      <c r="G203" t="str">
        <f>INDEX(Establishment!C$2:C$1005,MATCH($E203,Establishment!$A$2:$A$1005,0))</f>
        <v xml:space="preserve"> </v>
      </c>
      <c r="M203">
        <f t="shared" si="21"/>
        <v>0</v>
      </c>
      <c r="N203">
        <f t="shared" si="19"/>
        <v>0</v>
      </c>
      <c r="P203" t="e">
        <f>INDEX(Items!B$2:B$1032,MATCH($O203,Items!$A$2:$A$1032,0))</f>
        <v>#N/A</v>
      </c>
      <c r="Q203" t="e">
        <f>INDEX(Items!C$2:C$1032,MATCH($O203,Items!$A$2:$A$1032,0))</f>
        <v>#N/A</v>
      </c>
      <c r="R203" t="e">
        <f>INDEX(Items!D$2:D$1032,MATCH($O203,Items!$A$2:$A$1032,0))</f>
        <v>#N/A</v>
      </c>
    </row>
    <row r="204" spans="1:18" x14ac:dyDescent="0.25">
      <c r="A204">
        <f t="shared" si="17"/>
        <v>1</v>
      </c>
      <c r="B204" t="str">
        <f t="shared" si="18"/>
        <v/>
      </c>
      <c r="C204">
        <f t="shared" si="20"/>
        <v>1</v>
      </c>
      <c r="D204" s="4"/>
      <c r="E204" t="s">
        <v>18</v>
      </c>
      <c r="F204" t="str">
        <f>INDEX(Establishment!B$2:B$1005,MATCH($E204,Establishment!$A$2:$A$1005,0))</f>
        <v xml:space="preserve"> </v>
      </c>
      <c r="G204" t="str">
        <f>INDEX(Establishment!C$2:C$1005,MATCH($E204,Establishment!$A$2:$A$1005,0))</f>
        <v xml:space="preserve"> </v>
      </c>
      <c r="M204">
        <f t="shared" si="21"/>
        <v>0</v>
      </c>
      <c r="N204">
        <f t="shared" si="19"/>
        <v>0</v>
      </c>
      <c r="P204" t="e">
        <f>INDEX(Items!B$2:B$1032,MATCH($O204,Items!$A$2:$A$1032,0))</f>
        <v>#N/A</v>
      </c>
      <c r="Q204" t="e">
        <f>INDEX(Items!C$2:C$1032,MATCH($O204,Items!$A$2:$A$1032,0))</f>
        <v>#N/A</v>
      </c>
      <c r="R204" t="e">
        <f>INDEX(Items!D$2:D$1032,MATCH($O204,Items!$A$2:$A$1032,0))</f>
        <v>#N/A</v>
      </c>
    </row>
    <row r="205" spans="1:18" x14ac:dyDescent="0.25">
      <c r="A205">
        <f t="shared" si="17"/>
        <v>1</v>
      </c>
      <c r="B205" t="str">
        <f t="shared" si="18"/>
        <v/>
      </c>
      <c r="C205">
        <f t="shared" si="20"/>
        <v>1</v>
      </c>
      <c r="D205" s="4"/>
      <c r="E205" t="s">
        <v>18</v>
      </c>
      <c r="F205" t="str">
        <f>INDEX(Establishment!B$2:B$1005,MATCH($E205,Establishment!$A$2:$A$1005,0))</f>
        <v xml:space="preserve"> </v>
      </c>
      <c r="G205" t="str">
        <f>INDEX(Establishment!C$2:C$1005,MATCH($E205,Establishment!$A$2:$A$1005,0))</f>
        <v xml:space="preserve"> </v>
      </c>
      <c r="M205">
        <f t="shared" si="21"/>
        <v>0</v>
      </c>
      <c r="N205">
        <f t="shared" si="19"/>
        <v>0</v>
      </c>
      <c r="P205" t="e">
        <f>INDEX(Items!B$2:B$1032,MATCH($O205,Items!$A$2:$A$1032,0))</f>
        <v>#N/A</v>
      </c>
      <c r="Q205" t="e">
        <f>INDEX(Items!C$2:C$1032,MATCH($O205,Items!$A$2:$A$1032,0))</f>
        <v>#N/A</v>
      </c>
      <c r="R205" t="e">
        <f>INDEX(Items!D$2:D$1032,MATCH($O205,Items!$A$2:$A$1032,0))</f>
        <v>#N/A</v>
      </c>
    </row>
    <row r="206" spans="1:18" x14ac:dyDescent="0.25">
      <c r="A206">
        <f t="shared" si="17"/>
        <v>1</v>
      </c>
      <c r="B206" t="str">
        <f t="shared" si="18"/>
        <v/>
      </c>
      <c r="C206">
        <f t="shared" si="20"/>
        <v>1</v>
      </c>
      <c r="D206" s="4"/>
      <c r="E206" t="s">
        <v>18</v>
      </c>
      <c r="F206" t="str">
        <f>INDEX(Establishment!B$2:B$1005,MATCH($E206,Establishment!$A$2:$A$1005,0))</f>
        <v xml:space="preserve"> </v>
      </c>
      <c r="G206" t="str">
        <f>INDEX(Establishment!C$2:C$1005,MATCH($E206,Establishment!$A$2:$A$1005,0))</f>
        <v xml:space="preserve"> </v>
      </c>
      <c r="M206">
        <f t="shared" si="21"/>
        <v>0</v>
      </c>
      <c r="N206">
        <f t="shared" si="19"/>
        <v>0</v>
      </c>
      <c r="P206" t="e">
        <f>INDEX(Items!B$2:B$1032,MATCH($O206,Items!$A$2:$A$1032,0))</f>
        <v>#N/A</v>
      </c>
      <c r="Q206" t="e">
        <f>INDEX(Items!C$2:C$1032,MATCH($O206,Items!$A$2:$A$1032,0))</f>
        <v>#N/A</v>
      </c>
      <c r="R206" t="e">
        <f>INDEX(Items!D$2:D$1032,MATCH($O206,Items!$A$2:$A$1032,0))</f>
        <v>#N/A</v>
      </c>
    </row>
    <row r="207" spans="1:18" x14ac:dyDescent="0.25">
      <c r="A207">
        <f t="shared" si="17"/>
        <v>1</v>
      </c>
      <c r="B207" t="str">
        <f t="shared" si="18"/>
        <v/>
      </c>
      <c r="C207">
        <f t="shared" si="20"/>
        <v>1</v>
      </c>
      <c r="D207" s="4"/>
      <c r="E207" t="s">
        <v>18</v>
      </c>
      <c r="F207" t="str">
        <f>INDEX(Establishment!B$2:B$1005,MATCH($E207,Establishment!$A$2:$A$1005,0))</f>
        <v xml:space="preserve"> </v>
      </c>
      <c r="G207" t="str">
        <f>INDEX(Establishment!C$2:C$1005,MATCH($E207,Establishment!$A$2:$A$1005,0))</f>
        <v xml:space="preserve"> </v>
      </c>
      <c r="M207">
        <f t="shared" si="21"/>
        <v>0</v>
      </c>
      <c r="N207">
        <f t="shared" si="19"/>
        <v>0</v>
      </c>
      <c r="P207" t="e">
        <f>INDEX(Items!B$2:B$1032,MATCH($O207,Items!$A$2:$A$1032,0))</f>
        <v>#N/A</v>
      </c>
      <c r="Q207" t="e">
        <f>INDEX(Items!C$2:C$1032,MATCH($O207,Items!$A$2:$A$1032,0))</f>
        <v>#N/A</v>
      </c>
      <c r="R207" t="e">
        <f>INDEX(Items!D$2:D$1032,MATCH($O207,Items!$A$2:$A$1032,0))</f>
        <v>#N/A</v>
      </c>
    </row>
    <row r="208" spans="1:18" x14ac:dyDescent="0.25">
      <c r="A208">
        <f t="shared" si="17"/>
        <v>1</v>
      </c>
      <c r="B208" t="str">
        <f t="shared" si="18"/>
        <v/>
      </c>
      <c r="C208">
        <f t="shared" si="20"/>
        <v>1</v>
      </c>
      <c r="D208" s="4"/>
      <c r="E208" t="s">
        <v>18</v>
      </c>
      <c r="F208" t="str">
        <f>INDEX(Establishment!B$2:B$1005,MATCH($E208,Establishment!$A$2:$A$1005,0))</f>
        <v xml:space="preserve"> </v>
      </c>
      <c r="G208" t="str">
        <f>INDEX(Establishment!C$2:C$1005,MATCH($E208,Establishment!$A$2:$A$1005,0))</f>
        <v xml:space="preserve"> </v>
      </c>
      <c r="M208">
        <f t="shared" si="21"/>
        <v>0</v>
      </c>
      <c r="N208">
        <f t="shared" si="19"/>
        <v>0</v>
      </c>
      <c r="P208" t="e">
        <f>INDEX(Items!B$2:B$1032,MATCH($O208,Items!$A$2:$A$1032,0))</f>
        <v>#N/A</v>
      </c>
      <c r="Q208" t="e">
        <f>INDEX(Items!C$2:C$1032,MATCH($O208,Items!$A$2:$A$1032,0))</f>
        <v>#N/A</v>
      </c>
      <c r="R208" t="e">
        <f>INDEX(Items!D$2:D$1032,MATCH($O208,Items!$A$2:$A$1032,0))</f>
        <v>#N/A</v>
      </c>
    </row>
    <row r="209" spans="1:18" x14ac:dyDescent="0.25">
      <c r="A209">
        <f t="shared" si="17"/>
        <v>1</v>
      </c>
      <c r="B209" t="str">
        <f t="shared" si="18"/>
        <v/>
      </c>
      <c r="C209">
        <f t="shared" si="20"/>
        <v>1</v>
      </c>
      <c r="D209" s="4"/>
      <c r="E209" t="s">
        <v>18</v>
      </c>
      <c r="F209" t="str">
        <f>INDEX(Establishment!B$2:B$1005,MATCH($E209,Establishment!$A$2:$A$1005,0))</f>
        <v xml:space="preserve"> </v>
      </c>
      <c r="G209" t="str">
        <f>INDEX(Establishment!C$2:C$1005,MATCH($E209,Establishment!$A$2:$A$1005,0))</f>
        <v xml:space="preserve"> </v>
      </c>
      <c r="M209">
        <f t="shared" si="21"/>
        <v>0</v>
      </c>
      <c r="N209">
        <f t="shared" si="19"/>
        <v>0</v>
      </c>
      <c r="P209" t="e">
        <f>INDEX(Items!B$2:B$1032,MATCH($O209,Items!$A$2:$A$1032,0))</f>
        <v>#N/A</v>
      </c>
      <c r="Q209" t="e">
        <f>INDEX(Items!C$2:C$1032,MATCH($O209,Items!$A$2:$A$1032,0))</f>
        <v>#N/A</v>
      </c>
      <c r="R209" t="e">
        <f>INDEX(Items!D$2:D$1032,MATCH($O209,Items!$A$2:$A$1032,0))</f>
        <v>#N/A</v>
      </c>
    </row>
    <row r="210" spans="1:18" x14ac:dyDescent="0.25">
      <c r="A210">
        <f t="shared" si="17"/>
        <v>1</v>
      </c>
      <c r="B210" t="str">
        <f t="shared" si="18"/>
        <v/>
      </c>
      <c r="C210">
        <f t="shared" si="20"/>
        <v>1</v>
      </c>
      <c r="D210" s="4"/>
      <c r="E210" t="s">
        <v>18</v>
      </c>
      <c r="F210" t="str">
        <f>INDEX(Establishment!B$2:B$1005,MATCH($E210,Establishment!$A$2:$A$1005,0))</f>
        <v xml:space="preserve"> </v>
      </c>
      <c r="G210" t="str">
        <f>INDEX(Establishment!C$2:C$1005,MATCH($E210,Establishment!$A$2:$A$1005,0))</f>
        <v xml:space="preserve"> </v>
      </c>
      <c r="M210">
        <f t="shared" si="21"/>
        <v>0</v>
      </c>
      <c r="N210">
        <f t="shared" si="19"/>
        <v>0</v>
      </c>
      <c r="P210" t="e">
        <f>INDEX(Items!B$2:B$1032,MATCH($O210,Items!$A$2:$A$1032,0))</f>
        <v>#N/A</v>
      </c>
      <c r="Q210" t="e">
        <f>INDEX(Items!C$2:C$1032,MATCH($O210,Items!$A$2:$A$1032,0))</f>
        <v>#N/A</v>
      </c>
      <c r="R210" t="e">
        <f>INDEX(Items!D$2:D$1032,MATCH($O210,Items!$A$2:$A$1032,0))</f>
        <v>#N/A</v>
      </c>
    </row>
    <row r="211" spans="1:18" x14ac:dyDescent="0.25">
      <c r="A211">
        <f t="shared" si="17"/>
        <v>1</v>
      </c>
      <c r="B211" t="str">
        <f t="shared" si="18"/>
        <v/>
      </c>
      <c r="C211">
        <f t="shared" si="20"/>
        <v>1</v>
      </c>
      <c r="D211" s="4"/>
      <c r="E211" t="s">
        <v>18</v>
      </c>
      <c r="F211" t="str">
        <f>INDEX(Establishment!B$2:B$1005,MATCH($E211,Establishment!$A$2:$A$1005,0))</f>
        <v xml:space="preserve"> </v>
      </c>
      <c r="G211" t="str">
        <f>INDEX(Establishment!C$2:C$1005,MATCH($E211,Establishment!$A$2:$A$1005,0))</f>
        <v xml:space="preserve"> </v>
      </c>
      <c r="M211">
        <f t="shared" si="21"/>
        <v>0</v>
      </c>
      <c r="N211">
        <f t="shared" si="19"/>
        <v>0</v>
      </c>
      <c r="P211" t="e">
        <f>INDEX(Items!B$2:B$1032,MATCH($O211,Items!$A$2:$A$1032,0))</f>
        <v>#N/A</v>
      </c>
      <c r="Q211" t="e">
        <f>INDEX(Items!C$2:C$1032,MATCH($O211,Items!$A$2:$A$1032,0))</f>
        <v>#N/A</v>
      </c>
      <c r="R211" t="e">
        <f>INDEX(Items!D$2:D$1032,MATCH($O211,Items!$A$2:$A$1032,0))</f>
        <v>#N/A</v>
      </c>
    </row>
    <row r="212" spans="1:18" x14ac:dyDescent="0.25">
      <c r="A212">
        <f t="shared" si="17"/>
        <v>1</v>
      </c>
      <c r="B212" t="str">
        <f t="shared" si="18"/>
        <v/>
      </c>
      <c r="C212">
        <f t="shared" si="20"/>
        <v>1</v>
      </c>
      <c r="D212" s="4"/>
      <c r="E212" t="s">
        <v>18</v>
      </c>
      <c r="F212" t="str">
        <f>INDEX(Establishment!B$2:B$1005,MATCH($E212,Establishment!$A$2:$A$1005,0))</f>
        <v xml:space="preserve"> </v>
      </c>
      <c r="G212" t="str">
        <f>INDEX(Establishment!C$2:C$1005,MATCH($E212,Establishment!$A$2:$A$1005,0))</f>
        <v xml:space="preserve"> </v>
      </c>
      <c r="M212">
        <f t="shared" si="21"/>
        <v>0</v>
      </c>
      <c r="N212">
        <f t="shared" si="19"/>
        <v>0</v>
      </c>
      <c r="P212" t="e">
        <f>INDEX(Items!B$2:B$1032,MATCH($O212,Items!$A$2:$A$1032,0))</f>
        <v>#N/A</v>
      </c>
      <c r="Q212" t="e">
        <f>INDEX(Items!C$2:C$1032,MATCH($O212,Items!$A$2:$A$1032,0))</f>
        <v>#N/A</v>
      </c>
      <c r="R212" t="e">
        <f>INDEX(Items!D$2:D$1032,MATCH($O212,Items!$A$2:$A$1032,0))</f>
        <v>#N/A</v>
      </c>
    </row>
    <row r="213" spans="1:18" x14ac:dyDescent="0.25">
      <c r="A213">
        <f t="shared" si="17"/>
        <v>1</v>
      </c>
      <c r="B213" t="str">
        <f t="shared" si="18"/>
        <v/>
      </c>
      <c r="C213">
        <f t="shared" si="20"/>
        <v>1</v>
      </c>
      <c r="D213" s="4"/>
      <c r="E213" t="s">
        <v>18</v>
      </c>
      <c r="F213" t="str">
        <f>INDEX(Establishment!B$2:B$1005,MATCH($E213,Establishment!$A$2:$A$1005,0))</f>
        <v xml:space="preserve"> </v>
      </c>
      <c r="G213" t="str">
        <f>INDEX(Establishment!C$2:C$1005,MATCH($E213,Establishment!$A$2:$A$1005,0))</f>
        <v xml:space="preserve"> </v>
      </c>
      <c r="M213">
        <f t="shared" si="21"/>
        <v>0</v>
      </c>
      <c r="N213">
        <f t="shared" si="19"/>
        <v>0</v>
      </c>
      <c r="P213" t="e">
        <f>INDEX(Items!B$2:B$1032,MATCH($O213,Items!$A$2:$A$1032,0))</f>
        <v>#N/A</v>
      </c>
      <c r="Q213" t="e">
        <f>INDEX(Items!C$2:C$1032,MATCH($O213,Items!$A$2:$A$1032,0))</f>
        <v>#N/A</v>
      </c>
      <c r="R213" t="e">
        <f>INDEX(Items!D$2:D$1032,MATCH($O213,Items!$A$2:$A$1032,0))</f>
        <v>#N/A</v>
      </c>
    </row>
    <row r="214" spans="1:18" x14ac:dyDescent="0.25">
      <c r="A214">
        <f t="shared" si="17"/>
        <v>1</v>
      </c>
      <c r="B214" t="str">
        <f t="shared" si="18"/>
        <v/>
      </c>
      <c r="C214">
        <f t="shared" si="20"/>
        <v>1</v>
      </c>
      <c r="D214" s="4"/>
      <c r="E214" t="s">
        <v>18</v>
      </c>
      <c r="F214" t="str">
        <f>INDEX(Establishment!B$2:B$1005,MATCH($E214,Establishment!$A$2:$A$1005,0))</f>
        <v xml:space="preserve"> </v>
      </c>
      <c r="G214" t="str">
        <f>INDEX(Establishment!C$2:C$1005,MATCH($E214,Establishment!$A$2:$A$1005,0))</f>
        <v xml:space="preserve"> </v>
      </c>
      <c r="M214">
        <f t="shared" si="21"/>
        <v>0</v>
      </c>
      <c r="N214">
        <f t="shared" si="19"/>
        <v>0</v>
      </c>
      <c r="P214" t="e">
        <f>INDEX(Items!B$2:B$1032,MATCH($O214,Items!$A$2:$A$1032,0))</f>
        <v>#N/A</v>
      </c>
      <c r="Q214" t="e">
        <f>INDEX(Items!C$2:C$1032,MATCH($O214,Items!$A$2:$A$1032,0))</f>
        <v>#N/A</v>
      </c>
      <c r="R214" t="e">
        <f>INDEX(Items!D$2:D$1032,MATCH($O214,Items!$A$2:$A$1032,0))</f>
        <v>#N/A</v>
      </c>
    </row>
    <row r="215" spans="1:18" x14ac:dyDescent="0.25">
      <c r="A215">
        <f t="shared" si="17"/>
        <v>1</v>
      </c>
      <c r="B215" t="str">
        <f t="shared" si="18"/>
        <v/>
      </c>
      <c r="C215">
        <f t="shared" si="20"/>
        <v>1</v>
      </c>
      <c r="D215" s="4"/>
      <c r="E215" t="s">
        <v>18</v>
      </c>
      <c r="F215" t="str">
        <f>INDEX(Establishment!B$2:B$1005,MATCH($E215,Establishment!$A$2:$A$1005,0))</f>
        <v xml:space="preserve"> </v>
      </c>
      <c r="G215" t="str">
        <f>INDEX(Establishment!C$2:C$1005,MATCH($E215,Establishment!$A$2:$A$1005,0))</f>
        <v xml:space="preserve"> </v>
      </c>
      <c r="M215">
        <f t="shared" si="21"/>
        <v>0</v>
      </c>
      <c r="N215">
        <f t="shared" si="19"/>
        <v>0</v>
      </c>
      <c r="P215" t="e">
        <f>INDEX(Items!B$2:B$1032,MATCH($O215,Items!$A$2:$A$1032,0))</f>
        <v>#N/A</v>
      </c>
      <c r="Q215" t="e">
        <f>INDEX(Items!C$2:C$1032,MATCH($O215,Items!$A$2:$A$1032,0))</f>
        <v>#N/A</v>
      </c>
      <c r="R215" t="e">
        <f>INDEX(Items!D$2:D$1032,MATCH($O215,Items!$A$2:$A$1032,0))</f>
        <v>#N/A</v>
      </c>
    </row>
    <row r="216" spans="1:18" x14ac:dyDescent="0.25">
      <c r="A216">
        <f t="shared" si="17"/>
        <v>1</v>
      </c>
      <c r="B216" t="str">
        <f t="shared" si="18"/>
        <v/>
      </c>
      <c r="C216">
        <f t="shared" si="20"/>
        <v>1</v>
      </c>
      <c r="D216" s="4"/>
      <c r="E216" t="s">
        <v>18</v>
      </c>
      <c r="F216" t="str">
        <f>INDEX(Establishment!B$2:B$1005,MATCH($E216,Establishment!$A$2:$A$1005,0))</f>
        <v xml:space="preserve"> </v>
      </c>
      <c r="G216" t="str">
        <f>INDEX(Establishment!C$2:C$1005,MATCH($E216,Establishment!$A$2:$A$1005,0))</f>
        <v xml:space="preserve"> </v>
      </c>
      <c r="M216">
        <f t="shared" si="21"/>
        <v>0</v>
      </c>
      <c r="N216">
        <f t="shared" si="19"/>
        <v>0</v>
      </c>
      <c r="P216" t="e">
        <f>INDEX(Items!B$2:B$1032,MATCH($O216,Items!$A$2:$A$1032,0))</f>
        <v>#N/A</v>
      </c>
      <c r="Q216" t="e">
        <f>INDEX(Items!C$2:C$1032,MATCH($O216,Items!$A$2:$A$1032,0))</f>
        <v>#N/A</v>
      </c>
      <c r="R216" t="e">
        <f>INDEX(Items!D$2:D$1032,MATCH($O216,Items!$A$2:$A$1032,0))</f>
        <v>#N/A</v>
      </c>
    </row>
    <row r="217" spans="1:18" x14ac:dyDescent="0.25">
      <c r="A217">
        <f t="shared" si="17"/>
        <v>1</v>
      </c>
      <c r="B217" t="str">
        <f t="shared" si="18"/>
        <v/>
      </c>
      <c r="C217">
        <f t="shared" si="20"/>
        <v>1</v>
      </c>
      <c r="D217" s="4"/>
      <c r="E217" t="s">
        <v>18</v>
      </c>
      <c r="F217" t="str">
        <f>INDEX(Establishment!B$2:B$1005,MATCH($E217,Establishment!$A$2:$A$1005,0))</f>
        <v xml:space="preserve"> </v>
      </c>
      <c r="G217" t="str">
        <f>INDEX(Establishment!C$2:C$1005,MATCH($E217,Establishment!$A$2:$A$1005,0))</f>
        <v xml:space="preserve"> </v>
      </c>
      <c r="M217">
        <f t="shared" si="21"/>
        <v>0</v>
      </c>
      <c r="N217">
        <f t="shared" si="19"/>
        <v>0</v>
      </c>
      <c r="P217" t="e">
        <f>INDEX(Items!B$2:B$1032,MATCH($O217,Items!$A$2:$A$1032,0))</f>
        <v>#N/A</v>
      </c>
      <c r="Q217" t="e">
        <f>INDEX(Items!C$2:C$1032,MATCH($O217,Items!$A$2:$A$1032,0))</f>
        <v>#N/A</v>
      </c>
      <c r="R217" t="e">
        <f>INDEX(Items!D$2:D$1032,MATCH($O217,Items!$A$2:$A$1032,0))</f>
        <v>#N/A</v>
      </c>
    </row>
    <row r="218" spans="1:18" x14ac:dyDescent="0.25">
      <c r="A218">
        <f t="shared" si="17"/>
        <v>1</v>
      </c>
      <c r="B218" t="str">
        <f t="shared" si="18"/>
        <v/>
      </c>
      <c r="C218">
        <f t="shared" si="20"/>
        <v>1</v>
      </c>
      <c r="D218" s="4"/>
      <c r="E218" t="s">
        <v>18</v>
      </c>
      <c r="F218" t="str">
        <f>INDEX(Establishment!B$2:B$1005,MATCH($E218,Establishment!$A$2:$A$1005,0))</f>
        <v xml:space="preserve"> </v>
      </c>
      <c r="G218" t="str">
        <f>INDEX(Establishment!C$2:C$1005,MATCH($E218,Establishment!$A$2:$A$1005,0))</f>
        <v xml:space="preserve"> </v>
      </c>
      <c r="M218">
        <f t="shared" si="21"/>
        <v>0</v>
      </c>
      <c r="N218">
        <f t="shared" si="19"/>
        <v>0</v>
      </c>
      <c r="P218" t="e">
        <f>INDEX(Items!B$2:B$1032,MATCH($O218,Items!$A$2:$A$1032,0))</f>
        <v>#N/A</v>
      </c>
      <c r="Q218" t="e">
        <f>INDEX(Items!C$2:C$1032,MATCH($O218,Items!$A$2:$A$1032,0))</f>
        <v>#N/A</v>
      </c>
      <c r="R218" t="e">
        <f>INDEX(Items!D$2:D$1032,MATCH($O218,Items!$A$2:$A$1032,0))</f>
        <v>#N/A</v>
      </c>
    </row>
    <row r="219" spans="1:18" x14ac:dyDescent="0.25">
      <c r="A219">
        <f t="shared" si="17"/>
        <v>1</v>
      </c>
      <c r="B219" t="str">
        <f t="shared" si="18"/>
        <v/>
      </c>
      <c r="C219">
        <f t="shared" si="20"/>
        <v>1</v>
      </c>
      <c r="D219" s="4"/>
      <c r="E219" t="s">
        <v>18</v>
      </c>
      <c r="F219" t="str">
        <f>INDEX(Establishment!B$2:B$1005,MATCH($E219,Establishment!$A$2:$A$1005,0))</f>
        <v xml:space="preserve"> </v>
      </c>
      <c r="G219" t="str">
        <f>INDEX(Establishment!C$2:C$1005,MATCH($E219,Establishment!$A$2:$A$1005,0))</f>
        <v xml:space="preserve"> </v>
      </c>
      <c r="M219">
        <f t="shared" si="21"/>
        <v>0</v>
      </c>
      <c r="N219">
        <f t="shared" si="19"/>
        <v>0</v>
      </c>
      <c r="P219" t="e">
        <f>INDEX(Items!B$2:B$1032,MATCH($O219,Items!$A$2:$A$1032,0))</f>
        <v>#N/A</v>
      </c>
      <c r="Q219" t="e">
        <f>INDEX(Items!C$2:C$1032,MATCH($O219,Items!$A$2:$A$1032,0))</f>
        <v>#N/A</v>
      </c>
      <c r="R219" t="e">
        <f>INDEX(Items!D$2:D$1032,MATCH($O219,Items!$A$2:$A$1032,0))</f>
        <v>#N/A</v>
      </c>
    </row>
    <row r="220" spans="1:18" x14ac:dyDescent="0.25">
      <c r="A220">
        <f t="shared" si="17"/>
        <v>1</v>
      </c>
      <c r="B220" t="str">
        <f t="shared" si="18"/>
        <v/>
      </c>
      <c r="C220">
        <f t="shared" si="20"/>
        <v>1</v>
      </c>
      <c r="D220" s="4"/>
      <c r="E220" t="s">
        <v>18</v>
      </c>
      <c r="F220" t="str">
        <f>INDEX(Establishment!B$2:B$1005,MATCH($E220,Establishment!$A$2:$A$1005,0))</f>
        <v xml:space="preserve"> </v>
      </c>
      <c r="G220" t="str">
        <f>INDEX(Establishment!C$2:C$1005,MATCH($E220,Establishment!$A$2:$A$1005,0))</f>
        <v xml:space="preserve"> </v>
      </c>
      <c r="M220">
        <f t="shared" si="21"/>
        <v>0</v>
      </c>
      <c r="N220">
        <f t="shared" si="19"/>
        <v>0</v>
      </c>
      <c r="P220" t="e">
        <f>INDEX(Items!B$2:B$1032,MATCH($O220,Items!$A$2:$A$1032,0))</f>
        <v>#N/A</v>
      </c>
      <c r="Q220" t="e">
        <f>INDEX(Items!C$2:C$1032,MATCH($O220,Items!$A$2:$A$1032,0))</f>
        <v>#N/A</v>
      </c>
      <c r="R220" t="e">
        <f>INDEX(Items!D$2:D$1032,MATCH($O220,Items!$A$2:$A$1032,0))</f>
        <v>#N/A</v>
      </c>
    </row>
    <row r="221" spans="1:18" x14ac:dyDescent="0.25">
      <c r="A221">
        <f t="shared" si="17"/>
        <v>1</v>
      </c>
      <c r="B221" t="str">
        <f t="shared" si="18"/>
        <v/>
      </c>
      <c r="C221">
        <f t="shared" si="20"/>
        <v>1</v>
      </c>
      <c r="D221" s="4"/>
      <c r="E221" t="s">
        <v>18</v>
      </c>
      <c r="F221" t="str">
        <f>INDEX(Establishment!B$2:B$1005,MATCH($E221,Establishment!$A$2:$A$1005,0))</f>
        <v xml:space="preserve"> </v>
      </c>
      <c r="G221" t="str">
        <f>INDEX(Establishment!C$2:C$1005,MATCH($E221,Establishment!$A$2:$A$1005,0))</f>
        <v xml:space="preserve"> </v>
      </c>
      <c r="M221">
        <f t="shared" si="21"/>
        <v>0</v>
      </c>
      <c r="N221">
        <f t="shared" si="19"/>
        <v>0</v>
      </c>
      <c r="P221" t="e">
        <f>INDEX(Items!B$2:B$1032,MATCH($O221,Items!$A$2:$A$1032,0))</f>
        <v>#N/A</v>
      </c>
      <c r="Q221" t="e">
        <f>INDEX(Items!C$2:C$1032,MATCH($O221,Items!$A$2:$A$1032,0))</f>
        <v>#N/A</v>
      </c>
      <c r="R221" t="e">
        <f>INDEX(Items!D$2:D$1032,MATCH($O221,Items!$A$2:$A$1032,0))</f>
        <v>#N/A</v>
      </c>
    </row>
    <row r="222" spans="1:18" x14ac:dyDescent="0.25">
      <c r="A222">
        <f t="shared" si="17"/>
        <v>1</v>
      </c>
      <c r="B222" t="str">
        <f t="shared" si="18"/>
        <v/>
      </c>
      <c r="C222">
        <f t="shared" si="20"/>
        <v>1</v>
      </c>
      <c r="D222" s="4"/>
      <c r="E222" t="s">
        <v>18</v>
      </c>
      <c r="F222" t="str">
        <f>INDEX(Establishment!B$2:B$1005,MATCH($E222,Establishment!$A$2:$A$1005,0))</f>
        <v xml:space="preserve"> </v>
      </c>
      <c r="G222" t="str">
        <f>INDEX(Establishment!C$2:C$1005,MATCH($E222,Establishment!$A$2:$A$1005,0))</f>
        <v xml:space="preserve"> </v>
      </c>
      <c r="M222">
        <f t="shared" si="21"/>
        <v>0</v>
      </c>
      <c r="N222">
        <f t="shared" si="19"/>
        <v>0</v>
      </c>
      <c r="P222" t="e">
        <f>INDEX(Items!B$2:B$1032,MATCH($O222,Items!$A$2:$A$1032,0))</f>
        <v>#N/A</v>
      </c>
      <c r="Q222" t="e">
        <f>INDEX(Items!C$2:C$1032,MATCH($O222,Items!$A$2:$A$1032,0))</f>
        <v>#N/A</v>
      </c>
      <c r="R222" t="e">
        <f>INDEX(Items!D$2:D$1032,MATCH($O222,Items!$A$2:$A$1032,0))</f>
        <v>#N/A</v>
      </c>
    </row>
    <row r="223" spans="1:18" x14ac:dyDescent="0.25">
      <c r="A223">
        <f t="shared" si="17"/>
        <v>1</v>
      </c>
      <c r="B223" t="str">
        <f t="shared" si="18"/>
        <v/>
      </c>
      <c r="C223">
        <f t="shared" si="20"/>
        <v>1</v>
      </c>
      <c r="D223" s="4"/>
      <c r="E223" t="s">
        <v>18</v>
      </c>
      <c r="F223" t="str">
        <f>INDEX(Establishment!B$2:B$1005,MATCH($E223,Establishment!$A$2:$A$1005,0))</f>
        <v xml:space="preserve"> </v>
      </c>
      <c r="G223" t="str">
        <f>INDEX(Establishment!C$2:C$1005,MATCH($E223,Establishment!$A$2:$A$1005,0))</f>
        <v xml:space="preserve"> </v>
      </c>
      <c r="M223">
        <f t="shared" si="21"/>
        <v>0</v>
      </c>
      <c r="N223">
        <f t="shared" si="19"/>
        <v>0</v>
      </c>
      <c r="P223" t="e">
        <f>INDEX(Items!B$2:B$1032,MATCH($O223,Items!$A$2:$A$1032,0))</f>
        <v>#N/A</v>
      </c>
      <c r="Q223" t="e">
        <f>INDEX(Items!C$2:C$1032,MATCH($O223,Items!$A$2:$A$1032,0))</f>
        <v>#N/A</v>
      </c>
      <c r="R223" t="e">
        <f>INDEX(Items!D$2:D$1032,MATCH($O223,Items!$A$2:$A$1032,0))</f>
        <v>#N/A</v>
      </c>
    </row>
    <row r="224" spans="1:18" x14ac:dyDescent="0.25">
      <c r="A224">
        <f t="shared" si="17"/>
        <v>1</v>
      </c>
      <c r="B224" t="str">
        <f t="shared" si="18"/>
        <v/>
      </c>
      <c r="C224">
        <f t="shared" si="20"/>
        <v>1</v>
      </c>
      <c r="D224" s="4"/>
      <c r="E224" t="s">
        <v>18</v>
      </c>
      <c r="F224" t="str">
        <f>INDEX(Establishment!B$2:B$1005,MATCH($E224,Establishment!$A$2:$A$1005,0))</f>
        <v xml:space="preserve"> </v>
      </c>
      <c r="G224" t="str">
        <f>INDEX(Establishment!C$2:C$1005,MATCH($E224,Establishment!$A$2:$A$1005,0))</f>
        <v xml:space="preserve"> </v>
      </c>
      <c r="M224">
        <f t="shared" si="21"/>
        <v>0</v>
      </c>
      <c r="N224">
        <f t="shared" si="19"/>
        <v>0</v>
      </c>
      <c r="P224" t="e">
        <f>INDEX(Items!B$2:B$1032,MATCH($O224,Items!$A$2:$A$1032,0))</f>
        <v>#N/A</v>
      </c>
      <c r="Q224" t="e">
        <f>INDEX(Items!C$2:C$1032,MATCH($O224,Items!$A$2:$A$1032,0))</f>
        <v>#N/A</v>
      </c>
      <c r="R224" t="e">
        <f>INDEX(Items!D$2:D$1032,MATCH($O224,Items!$A$2:$A$1032,0))</f>
        <v>#N/A</v>
      </c>
    </row>
    <row r="225" spans="1:18" x14ac:dyDescent="0.25">
      <c r="A225">
        <f t="shared" si="17"/>
        <v>1</v>
      </c>
      <c r="B225" t="str">
        <f t="shared" si="18"/>
        <v/>
      </c>
      <c r="C225">
        <f t="shared" si="20"/>
        <v>1</v>
      </c>
      <c r="D225" s="4"/>
      <c r="E225" t="s">
        <v>18</v>
      </c>
      <c r="F225" t="str">
        <f>INDEX(Establishment!B$2:B$1005,MATCH($E225,Establishment!$A$2:$A$1005,0))</f>
        <v xml:space="preserve"> </v>
      </c>
      <c r="G225" t="str">
        <f>INDEX(Establishment!C$2:C$1005,MATCH($E225,Establishment!$A$2:$A$1005,0))</f>
        <v xml:space="preserve"> </v>
      </c>
      <c r="M225">
        <f t="shared" si="21"/>
        <v>0</v>
      </c>
      <c r="N225">
        <f t="shared" si="19"/>
        <v>0</v>
      </c>
      <c r="P225" t="e">
        <f>INDEX(Items!B$2:B$1032,MATCH($O225,Items!$A$2:$A$1032,0))</f>
        <v>#N/A</v>
      </c>
      <c r="Q225" t="e">
        <f>INDEX(Items!C$2:C$1032,MATCH($O225,Items!$A$2:$A$1032,0))</f>
        <v>#N/A</v>
      </c>
      <c r="R225" t="e">
        <f>INDEX(Items!D$2:D$1032,MATCH($O225,Items!$A$2:$A$1032,0))</f>
        <v>#N/A</v>
      </c>
    </row>
    <row r="226" spans="1:18" x14ac:dyDescent="0.25">
      <c r="A226">
        <f t="shared" si="17"/>
        <v>1</v>
      </c>
      <c r="B226" t="str">
        <f t="shared" si="18"/>
        <v/>
      </c>
      <c r="C226">
        <f t="shared" si="20"/>
        <v>1</v>
      </c>
      <c r="D226" s="4"/>
      <c r="E226" t="s">
        <v>18</v>
      </c>
      <c r="F226" t="str">
        <f>INDEX(Establishment!B$2:B$1005,MATCH($E226,Establishment!$A$2:$A$1005,0))</f>
        <v xml:space="preserve"> </v>
      </c>
      <c r="G226" t="str">
        <f>INDEX(Establishment!C$2:C$1005,MATCH($E226,Establishment!$A$2:$A$1005,0))</f>
        <v xml:space="preserve"> </v>
      </c>
      <c r="M226">
        <f t="shared" si="21"/>
        <v>0</v>
      </c>
      <c r="N226">
        <f t="shared" si="19"/>
        <v>0</v>
      </c>
      <c r="P226" t="e">
        <f>INDEX(Items!B$2:B$1032,MATCH($O226,Items!$A$2:$A$1032,0))</f>
        <v>#N/A</v>
      </c>
      <c r="Q226" t="e">
        <f>INDEX(Items!C$2:C$1032,MATCH($O226,Items!$A$2:$A$1032,0))</f>
        <v>#N/A</v>
      </c>
      <c r="R226" t="e">
        <f>INDEX(Items!D$2:D$1032,MATCH($O226,Items!$A$2:$A$1032,0))</f>
        <v>#N/A</v>
      </c>
    </row>
    <row r="227" spans="1:18" x14ac:dyDescent="0.25">
      <c r="A227">
        <f t="shared" si="17"/>
        <v>1</v>
      </c>
      <c r="B227" t="str">
        <f t="shared" si="18"/>
        <v/>
      </c>
      <c r="C227">
        <f t="shared" si="20"/>
        <v>1</v>
      </c>
      <c r="D227" s="4"/>
      <c r="E227" t="s">
        <v>18</v>
      </c>
      <c r="F227" t="str">
        <f>INDEX(Establishment!B$2:B$1005,MATCH($E227,Establishment!$A$2:$A$1005,0))</f>
        <v xml:space="preserve"> </v>
      </c>
      <c r="G227" t="str">
        <f>INDEX(Establishment!C$2:C$1005,MATCH($E227,Establishment!$A$2:$A$1005,0))</f>
        <v xml:space="preserve"> </v>
      </c>
      <c r="M227">
        <f t="shared" si="21"/>
        <v>0</v>
      </c>
      <c r="N227">
        <f t="shared" si="19"/>
        <v>0</v>
      </c>
      <c r="P227" t="e">
        <f>INDEX(Items!B$2:B$1032,MATCH($O227,Items!$A$2:$A$1032,0))</f>
        <v>#N/A</v>
      </c>
      <c r="Q227" t="e">
        <f>INDEX(Items!C$2:C$1032,MATCH($O227,Items!$A$2:$A$1032,0))</f>
        <v>#N/A</v>
      </c>
      <c r="R227" t="e">
        <f>INDEX(Items!D$2:D$1032,MATCH($O227,Items!$A$2:$A$1032,0))</f>
        <v>#N/A</v>
      </c>
    </row>
    <row r="228" spans="1:18" x14ac:dyDescent="0.25">
      <c r="A228">
        <f t="shared" si="17"/>
        <v>1</v>
      </c>
      <c r="B228" t="str">
        <f t="shared" si="18"/>
        <v/>
      </c>
      <c r="C228">
        <f t="shared" si="20"/>
        <v>1</v>
      </c>
      <c r="D228" s="4"/>
      <c r="E228" t="s">
        <v>18</v>
      </c>
      <c r="F228" t="str">
        <f>INDEX(Establishment!B$2:B$1005,MATCH($E228,Establishment!$A$2:$A$1005,0))</f>
        <v xml:space="preserve"> </v>
      </c>
      <c r="G228" t="str">
        <f>INDEX(Establishment!C$2:C$1005,MATCH($E228,Establishment!$A$2:$A$1005,0))</f>
        <v xml:space="preserve"> </v>
      </c>
      <c r="M228">
        <f t="shared" si="21"/>
        <v>0</v>
      </c>
      <c r="N228">
        <f t="shared" si="19"/>
        <v>0</v>
      </c>
      <c r="P228" t="e">
        <f>INDEX(Items!B$2:B$1032,MATCH($O228,Items!$A$2:$A$1032,0))</f>
        <v>#N/A</v>
      </c>
      <c r="Q228" t="e">
        <f>INDEX(Items!C$2:C$1032,MATCH($O228,Items!$A$2:$A$1032,0))</f>
        <v>#N/A</v>
      </c>
      <c r="R228" t="e">
        <f>INDEX(Items!D$2:D$1032,MATCH($O228,Items!$A$2:$A$1032,0))</f>
        <v>#N/A</v>
      </c>
    </row>
    <row r="229" spans="1:18" x14ac:dyDescent="0.25">
      <c r="A229">
        <f t="shared" si="17"/>
        <v>1</v>
      </c>
      <c r="B229" t="str">
        <f t="shared" si="18"/>
        <v/>
      </c>
      <c r="C229">
        <f t="shared" si="20"/>
        <v>1</v>
      </c>
      <c r="D229" s="4"/>
      <c r="E229" t="s">
        <v>18</v>
      </c>
      <c r="F229" t="str">
        <f>INDEX(Establishment!B$2:B$1005,MATCH($E229,Establishment!$A$2:$A$1005,0))</f>
        <v xml:space="preserve"> </v>
      </c>
      <c r="G229" t="str">
        <f>INDEX(Establishment!C$2:C$1005,MATCH($E229,Establishment!$A$2:$A$1005,0))</f>
        <v xml:space="preserve"> </v>
      </c>
      <c r="M229">
        <f t="shared" si="21"/>
        <v>0</v>
      </c>
      <c r="N229">
        <f t="shared" si="19"/>
        <v>0</v>
      </c>
      <c r="P229" t="e">
        <f>INDEX(Items!B$2:B$1032,MATCH($O229,Items!$A$2:$A$1032,0))</f>
        <v>#N/A</v>
      </c>
      <c r="Q229" t="e">
        <f>INDEX(Items!C$2:C$1032,MATCH($O229,Items!$A$2:$A$1032,0))</f>
        <v>#N/A</v>
      </c>
      <c r="R229" t="e">
        <f>INDEX(Items!D$2:D$1032,MATCH($O229,Items!$A$2:$A$1032,0))</f>
        <v>#N/A</v>
      </c>
    </row>
    <row r="230" spans="1:18" x14ac:dyDescent="0.25">
      <c r="A230">
        <f t="shared" si="17"/>
        <v>1</v>
      </c>
      <c r="B230" t="str">
        <f t="shared" si="18"/>
        <v/>
      </c>
      <c r="C230">
        <f t="shared" si="20"/>
        <v>1</v>
      </c>
      <c r="D230" s="4"/>
      <c r="E230" t="s">
        <v>18</v>
      </c>
      <c r="F230" t="str">
        <f>INDEX(Establishment!B$2:B$1005,MATCH($E230,Establishment!$A$2:$A$1005,0))</f>
        <v xml:space="preserve"> </v>
      </c>
      <c r="G230" t="str">
        <f>INDEX(Establishment!C$2:C$1005,MATCH($E230,Establishment!$A$2:$A$1005,0))</f>
        <v xml:space="preserve"> </v>
      </c>
      <c r="M230">
        <f t="shared" si="21"/>
        <v>0</v>
      </c>
      <c r="N230">
        <f t="shared" si="19"/>
        <v>0</v>
      </c>
      <c r="P230" t="e">
        <f>INDEX(Items!B$2:B$1032,MATCH($O230,Items!$A$2:$A$1032,0))</f>
        <v>#N/A</v>
      </c>
      <c r="Q230" t="e">
        <f>INDEX(Items!C$2:C$1032,MATCH($O230,Items!$A$2:$A$1032,0))</f>
        <v>#N/A</v>
      </c>
      <c r="R230" t="e">
        <f>INDEX(Items!D$2:D$1032,MATCH($O230,Items!$A$2:$A$1032,0))</f>
        <v>#N/A</v>
      </c>
    </row>
    <row r="231" spans="1:18" x14ac:dyDescent="0.25">
      <c r="A231">
        <f t="shared" si="17"/>
        <v>1</v>
      </c>
      <c r="B231" t="str">
        <f t="shared" si="18"/>
        <v/>
      </c>
      <c r="C231">
        <f t="shared" si="20"/>
        <v>1</v>
      </c>
      <c r="D231" s="4"/>
      <c r="E231" t="s">
        <v>18</v>
      </c>
      <c r="F231" t="str">
        <f>INDEX(Establishment!B$2:B$1005,MATCH($E231,Establishment!$A$2:$A$1005,0))</f>
        <v xml:space="preserve"> </v>
      </c>
      <c r="G231" t="str">
        <f>INDEX(Establishment!C$2:C$1005,MATCH($E231,Establishment!$A$2:$A$1005,0))</f>
        <v xml:space="preserve"> </v>
      </c>
      <c r="M231">
        <f t="shared" si="21"/>
        <v>0</v>
      </c>
      <c r="N231">
        <f t="shared" si="19"/>
        <v>0</v>
      </c>
      <c r="P231" t="e">
        <f>INDEX(Items!B$2:B$1032,MATCH($O231,Items!$A$2:$A$1032,0))</f>
        <v>#N/A</v>
      </c>
      <c r="Q231" t="e">
        <f>INDEX(Items!C$2:C$1032,MATCH($O231,Items!$A$2:$A$1032,0))</f>
        <v>#N/A</v>
      </c>
      <c r="R231" t="e">
        <f>INDEX(Items!D$2:D$1032,MATCH($O231,Items!$A$2:$A$1032,0))</f>
        <v>#N/A</v>
      </c>
    </row>
    <row r="232" spans="1:18" x14ac:dyDescent="0.25">
      <c r="A232">
        <f t="shared" si="17"/>
        <v>1</v>
      </c>
      <c r="B232" t="str">
        <f t="shared" si="18"/>
        <v/>
      </c>
      <c r="C232">
        <f t="shared" si="20"/>
        <v>1</v>
      </c>
      <c r="D232" s="4"/>
      <c r="E232" t="s">
        <v>18</v>
      </c>
      <c r="F232" t="str">
        <f>INDEX(Establishment!B$2:B$1005,MATCH($E232,Establishment!$A$2:$A$1005,0))</f>
        <v xml:space="preserve"> </v>
      </c>
      <c r="G232" t="str">
        <f>INDEX(Establishment!C$2:C$1005,MATCH($E232,Establishment!$A$2:$A$1005,0))</f>
        <v xml:space="preserve"> </v>
      </c>
      <c r="M232">
        <f t="shared" si="21"/>
        <v>0</v>
      </c>
      <c r="N232">
        <f t="shared" si="19"/>
        <v>0</v>
      </c>
      <c r="P232" t="e">
        <f>INDEX(Items!B$2:B$1032,MATCH($O232,Items!$A$2:$A$1032,0))</f>
        <v>#N/A</v>
      </c>
      <c r="Q232" t="e">
        <f>INDEX(Items!C$2:C$1032,MATCH($O232,Items!$A$2:$A$1032,0))</f>
        <v>#N/A</v>
      </c>
      <c r="R232" t="e">
        <f>INDEX(Items!D$2:D$1032,MATCH($O232,Items!$A$2:$A$1032,0))</f>
        <v>#N/A</v>
      </c>
    </row>
    <row r="233" spans="1:18" x14ac:dyDescent="0.25">
      <c r="A233">
        <f t="shared" si="17"/>
        <v>1</v>
      </c>
      <c r="B233" t="str">
        <f t="shared" si="18"/>
        <v/>
      </c>
      <c r="C233">
        <f t="shared" si="20"/>
        <v>1</v>
      </c>
      <c r="D233" s="4"/>
      <c r="E233" t="s">
        <v>18</v>
      </c>
      <c r="F233" t="str">
        <f>INDEX(Establishment!B$2:B$1005,MATCH($E233,Establishment!$A$2:$A$1005,0))</f>
        <v xml:space="preserve"> </v>
      </c>
      <c r="G233" t="str">
        <f>INDEX(Establishment!C$2:C$1005,MATCH($E233,Establishment!$A$2:$A$1005,0))</f>
        <v xml:space="preserve"> </v>
      </c>
      <c r="M233">
        <f t="shared" si="21"/>
        <v>0</v>
      </c>
      <c r="N233">
        <f t="shared" si="19"/>
        <v>0</v>
      </c>
      <c r="P233" t="e">
        <f>INDEX(Items!B$2:B$1032,MATCH($O233,Items!$A$2:$A$1032,0))</f>
        <v>#N/A</v>
      </c>
      <c r="Q233" t="e">
        <f>INDEX(Items!C$2:C$1032,MATCH($O233,Items!$A$2:$A$1032,0))</f>
        <v>#N/A</v>
      </c>
      <c r="R233" t="e">
        <f>INDEX(Items!D$2:D$1032,MATCH($O233,Items!$A$2:$A$1032,0))</f>
        <v>#N/A</v>
      </c>
    </row>
    <row r="234" spans="1:18" x14ac:dyDescent="0.25">
      <c r="A234">
        <f t="shared" si="17"/>
        <v>1</v>
      </c>
      <c r="B234" t="str">
        <f t="shared" si="18"/>
        <v/>
      </c>
      <c r="C234">
        <f t="shared" si="20"/>
        <v>1</v>
      </c>
      <c r="D234" s="4"/>
      <c r="E234" t="s">
        <v>18</v>
      </c>
      <c r="F234" t="str">
        <f>INDEX(Establishment!B$2:B$1005,MATCH($E234,Establishment!$A$2:$A$1005,0))</f>
        <v xml:space="preserve"> </v>
      </c>
      <c r="G234" t="str">
        <f>INDEX(Establishment!C$2:C$1005,MATCH($E234,Establishment!$A$2:$A$1005,0))</f>
        <v xml:space="preserve"> </v>
      </c>
      <c r="M234">
        <f t="shared" si="21"/>
        <v>0</v>
      </c>
      <c r="N234">
        <f t="shared" si="19"/>
        <v>0</v>
      </c>
      <c r="P234" t="e">
        <f>INDEX(Items!B$2:B$1032,MATCH($O234,Items!$A$2:$A$1032,0))</f>
        <v>#N/A</v>
      </c>
      <c r="Q234" t="e">
        <f>INDEX(Items!C$2:C$1032,MATCH($O234,Items!$A$2:$A$1032,0))</f>
        <v>#N/A</v>
      </c>
      <c r="R234" t="e">
        <f>INDEX(Items!D$2:D$1032,MATCH($O234,Items!$A$2:$A$1032,0))</f>
        <v>#N/A</v>
      </c>
    </row>
    <row r="235" spans="1:18" x14ac:dyDescent="0.25">
      <c r="A235">
        <f t="shared" si="17"/>
        <v>1</v>
      </c>
      <c r="B235" t="str">
        <f t="shared" si="18"/>
        <v/>
      </c>
      <c r="C235">
        <f t="shared" si="20"/>
        <v>1</v>
      </c>
      <c r="D235" s="4"/>
      <c r="E235" t="s">
        <v>18</v>
      </c>
      <c r="F235" t="str">
        <f>INDEX(Establishment!B$2:B$1005,MATCH($E235,Establishment!$A$2:$A$1005,0))</f>
        <v xml:space="preserve"> </v>
      </c>
      <c r="G235" t="str">
        <f>INDEX(Establishment!C$2:C$1005,MATCH($E235,Establishment!$A$2:$A$1005,0))</f>
        <v xml:space="preserve"> </v>
      </c>
      <c r="M235">
        <f t="shared" si="21"/>
        <v>0</v>
      </c>
      <c r="N235">
        <f t="shared" si="19"/>
        <v>0</v>
      </c>
      <c r="P235" t="e">
        <f>INDEX(Items!B$2:B$1032,MATCH($O235,Items!$A$2:$A$1032,0))</f>
        <v>#N/A</v>
      </c>
      <c r="Q235" t="e">
        <f>INDEX(Items!C$2:C$1032,MATCH($O235,Items!$A$2:$A$1032,0))</f>
        <v>#N/A</v>
      </c>
      <c r="R235" t="e">
        <f>INDEX(Items!D$2:D$1032,MATCH($O235,Items!$A$2:$A$1032,0))</f>
        <v>#N/A</v>
      </c>
    </row>
    <row r="236" spans="1:18" x14ac:dyDescent="0.25">
      <c r="A236">
        <f t="shared" si="17"/>
        <v>1</v>
      </c>
      <c r="B236" t="str">
        <f t="shared" si="18"/>
        <v/>
      </c>
      <c r="C236">
        <f t="shared" si="20"/>
        <v>1</v>
      </c>
      <c r="D236" s="4"/>
      <c r="E236" t="s">
        <v>18</v>
      </c>
      <c r="F236" t="str">
        <f>INDEX(Establishment!B$2:B$1005,MATCH($E236,Establishment!$A$2:$A$1005,0))</f>
        <v xml:space="preserve"> </v>
      </c>
      <c r="G236" t="str">
        <f>INDEX(Establishment!C$2:C$1005,MATCH($E236,Establishment!$A$2:$A$1005,0))</f>
        <v xml:space="preserve"> </v>
      </c>
      <c r="M236">
        <f t="shared" si="21"/>
        <v>0</v>
      </c>
      <c r="N236">
        <f t="shared" si="19"/>
        <v>0</v>
      </c>
      <c r="P236" t="e">
        <f>INDEX(Items!B$2:B$1032,MATCH($O236,Items!$A$2:$A$1032,0))</f>
        <v>#N/A</v>
      </c>
      <c r="Q236" t="e">
        <f>INDEX(Items!C$2:C$1032,MATCH($O236,Items!$A$2:$A$1032,0))</f>
        <v>#N/A</v>
      </c>
      <c r="R236" t="e">
        <f>INDEX(Items!D$2:D$1032,MATCH($O236,Items!$A$2:$A$1032,0))</f>
        <v>#N/A</v>
      </c>
    </row>
    <row r="237" spans="1:18" x14ac:dyDescent="0.25">
      <c r="A237">
        <f t="shared" si="17"/>
        <v>1</v>
      </c>
      <c r="B237" t="str">
        <f t="shared" si="18"/>
        <v/>
      </c>
      <c r="C237">
        <f t="shared" si="20"/>
        <v>1</v>
      </c>
      <c r="D237" s="4"/>
      <c r="E237" t="s">
        <v>18</v>
      </c>
      <c r="F237" t="str">
        <f>INDEX(Establishment!B$2:B$1005,MATCH($E237,Establishment!$A$2:$A$1005,0))</f>
        <v xml:space="preserve"> </v>
      </c>
      <c r="G237" t="str">
        <f>INDEX(Establishment!C$2:C$1005,MATCH($E237,Establishment!$A$2:$A$1005,0))</f>
        <v xml:space="preserve"> </v>
      </c>
      <c r="M237">
        <f t="shared" si="21"/>
        <v>0</v>
      </c>
      <c r="N237">
        <f t="shared" si="19"/>
        <v>0</v>
      </c>
      <c r="P237" t="e">
        <f>INDEX(Items!B$2:B$1032,MATCH($O237,Items!$A$2:$A$1032,0))</f>
        <v>#N/A</v>
      </c>
      <c r="Q237" t="e">
        <f>INDEX(Items!C$2:C$1032,MATCH($O237,Items!$A$2:$A$1032,0))</f>
        <v>#N/A</v>
      </c>
      <c r="R237" t="e">
        <f>INDEX(Items!D$2:D$1032,MATCH($O237,Items!$A$2:$A$1032,0))</f>
        <v>#N/A</v>
      </c>
    </row>
    <row r="238" spans="1:18" x14ac:dyDescent="0.25">
      <c r="A238">
        <f t="shared" si="17"/>
        <v>1</v>
      </c>
      <c r="B238" t="str">
        <f t="shared" si="18"/>
        <v/>
      </c>
      <c r="C238">
        <f t="shared" si="20"/>
        <v>1</v>
      </c>
      <c r="D238" s="4"/>
      <c r="E238" t="s">
        <v>18</v>
      </c>
      <c r="F238" t="str">
        <f>INDEX(Establishment!B$2:B$1005,MATCH($E238,Establishment!$A$2:$A$1005,0))</f>
        <v xml:space="preserve"> </v>
      </c>
      <c r="G238" t="str">
        <f>INDEX(Establishment!C$2:C$1005,MATCH($E238,Establishment!$A$2:$A$1005,0))</f>
        <v xml:space="preserve"> </v>
      </c>
      <c r="M238">
        <f t="shared" si="21"/>
        <v>0</v>
      </c>
      <c r="N238">
        <f t="shared" si="19"/>
        <v>0</v>
      </c>
      <c r="P238" t="e">
        <f>INDEX(Items!B$2:B$1032,MATCH($O238,Items!$A$2:$A$1032,0))</f>
        <v>#N/A</v>
      </c>
      <c r="Q238" t="e">
        <f>INDEX(Items!C$2:C$1032,MATCH($O238,Items!$A$2:$A$1032,0))</f>
        <v>#N/A</v>
      </c>
      <c r="R238" t="e">
        <f>INDEX(Items!D$2:D$1032,MATCH($O238,Items!$A$2:$A$1032,0))</f>
        <v>#N/A</v>
      </c>
    </row>
    <row r="239" spans="1:18" x14ac:dyDescent="0.25">
      <c r="A239">
        <f t="shared" si="17"/>
        <v>1</v>
      </c>
      <c r="B239" t="str">
        <f t="shared" si="18"/>
        <v/>
      </c>
      <c r="C239">
        <f t="shared" si="20"/>
        <v>1</v>
      </c>
      <c r="D239" s="4"/>
      <c r="E239" t="s">
        <v>18</v>
      </c>
      <c r="F239" t="str">
        <f>INDEX(Establishment!B$2:B$1005,MATCH($E239,Establishment!$A$2:$A$1005,0))</f>
        <v xml:space="preserve"> </v>
      </c>
      <c r="G239" t="str">
        <f>INDEX(Establishment!C$2:C$1005,MATCH($E239,Establishment!$A$2:$A$1005,0))</f>
        <v xml:space="preserve"> </v>
      </c>
      <c r="M239">
        <f t="shared" si="21"/>
        <v>0</v>
      </c>
      <c r="N239">
        <f t="shared" si="19"/>
        <v>0</v>
      </c>
      <c r="P239" t="e">
        <f>INDEX(Items!B$2:B$1032,MATCH($O239,Items!$A$2:$A$1032,0))</f>
        <v>#N/A</v>
      </c>
      <c r="Q239" t="e">
        <f>INDEX(Items!C$2:C$1032,MATCH($O239,Items!$A$2:$A$1032,0))</f>
        <v>#N/A</v>
      </c>
      <c r="R239" t="e">
        <f>INDEX(Items!D$2:D$1032,MATCH($O239,Items!$A$2:$A$1032,0))</f>
        <v>#N/A</v>
      </c>
    </row>
    <row r="240" spans="1:18" x14ac:dyDescent="0.25">
      <c r="A240">
        <f t="shared" si="17"/>
        <v>1</v>
      </c>
      <c r="B240" t="str">
        <f t="shared" si="18"/>
        <v/>
      </c>
      <c r="C240">
        <f t="shared" si="20"/>
        <v>1</v>
      </c>
      <c r="D240" s="4"/>
      <c r="E240" t="s">
        <v>18</v>
      </c>
      <c r="F240" t="str">
        <f>INDEX(Establishment!B$2:B$1005,MATCH($E240,Establishment!$A$2:$A$1005,0))</f>
        <v xml:space="preserve"> </v>
      </c>
      <c r="G240" t="str">
        <f>INDEX(Establishment!C$2:C$1005,MATCH($E240,Establishment!$A$2:$A$1005,0))</f>
        <v xml:space="preserve"> </v>
      </c>
      <c r="M240">
        <f t="shared" si="21"/>
        <v>0</v>
      </c>
      <c r="N240">
        <f t="shared" si="19"/>
        <v>0</v>
      </c>
      <c r="P240" t="e">
        <f>INDEX(Items!B$2:B$1032,MATCH($O240,Items!$A$2:$A$1032,0))</f>
        <v>#N/A</v>
      </c>
      <c r="Q240" t="e">
        <f>INDEX(Items!C$2:C$1032,MATCH($O240,Items!$A$2:$A$1032,0))</f>
        <v>#N/A</v>
      </c>
      <c r="R240" t="e">
        <f>INDEX(Items!D$2:D$1032,MATCH($O240,Items!$A$2:$A$1032,0))</f>
        <v>#N/A</v>
      </c>
    </row>
    <row r="241" spans="1:18" x14ac:dyDescent="0.25">
      <c r="A241">
        <f t="shared" si="17"/>
        <v>1</v>
      </c>
      <c r="B241" t="str">
        <f t="shared" si="18"/>
        <v/>
      </c>
      <c r="C241">
        <f t="shared" si="20"/>
        <v>1</v>
      </c>
      <c r="D241" s="4"/>
      <c r="E241" t="s">
        <v>18</v>
      </c>
      <c r="F241" t="str">
        <f>INDEX(Establishment!B$2:B$1005,MATCH($E241,Establishment!$A$2:$A$1005,0))</f>
        <v xml:space="preserve"> </v>
      </c>
      <c r="G241" t="str">
        <f>INDEX(Establishment!C$2:C$1005,MATCH($E241,Establishment!$A$2:$A$1005,0))</f>
        <v xml:space="preserve"> </v>
      </c>
      <c r="M241">
        <f t="shared" si="21"/>
        <v>0</v>
      </c>
      <c r="N241">
        <f t="shared" si="19"/>
        <v>0</v>
      </c>
      <c r="P241" t="e">
        <f>INDEX(Items!B$2:B$1032,MATCH($O241,Items!$A$2:$A$1032,0))</f>
        <v>#N/A</v>
      </c>
      <c r="Q241" t="e">
        <f>INDEX(Items!C$2:C$1032,MATCH($O241,Items!$A$2:$A$1032,0))</f>
        <v>#N/A</v>
      </c>
      <c r="R241" t="e">
        <f>INDEX(Items!D$2:D$1032,MATCH($O241,Items!$A$2:$A$1032,0))</f>
        <v>#N/A</v>
      </c>
    </row>
    <row r="242" spans="1:18" x14ac:dyDescent="0.25">
      <c r="A242">
        <f t="shared" si="17"/>
        <v>1</v>
      </c>
      <c r="B242" t="str">
        <f t="shared" si="18"/>
        <v/>
      </c>
      <c r="C242">
        <f t="shared" si="20"/>
        <v>1</v>
      </c>
      <c r="D242" s="4"/>
      <c r="E242" t="s">
        <v>18</v>
      </c>
      <c r="F242" t="str">
        <f>INDEX(Establishment!B$2:B$1005,MATCH($E242,Establishment!$A$2:$A$1005,0))</f>
        <v xml:space="preserve"> </v>
      </c>
      <c r="G242" t="str">
        <f>INDEX(Establishment!C$2:C$1005,MATCH($E242,Establishment!$A$2:$A$1005,0))</f>
        <v xml:space="preserve"> </v>
      </c>
      <c r="M242">
        <f t="shared" si="21"/>
        <v>0</v>
      </c>
      <c r="N242">
        <f t="shared" si="19"/>
        <v>0</v>
      </c>
      <c r="P242" t="e">
        <f>INDEX(Items!B$2:B$1032,MATCH($O242,Items!$A$2:$A$1032,0))</f>
        <v>#N/A</v>
      </c>
      <c r="Q242" t="e">
        <f>INDEX(Items!C$2:C$1032,MATCH($O242,Items!$A$2:$A$1032,0))</f>
        <v>#N/A</v>
      </c>
      <c r="R242" t="e">
        <f>INDEX(Items!D$2:D$1032,MATCH($O242,Items!$A$2:$A$1032,0))</f>
        <v>#N/A</v>
      </c>
    </row>
    <row r="243" spans="1:18" x14ac:dyDescent="0.25">
      <c r="A243">
        <f t="shared" si="17"/>
        <v>1</v>
      </c>
      <c r="B243" t="str">
        <f t="shared" si="18"/>
        <v/>
      </c>
      <c r="C243">
        <f t="shared" si="20"/>
        <v>1</v>
      </c>
      <c r="D243" s="4"/>
      <c r="E243" t="s">
        <v>18</v>
      </c>
      <c r="F243" t="str">
        <f>INDEX(Establishment!B$2:B$1005,MATCH($E243,Establishment!$A$2:$A$1005,0))</f>
        <v xml:space="preserve"> </v>
      </c>
      <c r="G243" t="str">
        <f>INDEX(Establishment!C$2:C$1005,MATCH($E243,Establishment!$A$2:$A$1005,0))</f>
        <v xml:space="preserve"> </v>
      </c>
      <c r="M243">
        <f t="shared" si="21"/>
        <v>0</v>
      </c>
      <c r="N243">
        <f t="shared" si="19"/>
        <v>0</v>
      </c>
      <c r="P243" t="e">
        <f>INDEX(Items!B$2:B$1032,MATCH($O243,Items!$A$2:$A$1032,0))</f>
        <v>#N/A</v>
      </c>
      <c r="Q243" t="e">
        <f>INDEX(Items!C$2:C$1032,MATCH($O243,Items!$A$2:$A$1032,0))</f>
        <v>#N/A</v>
      </c>
      <c r="R243" t="e">
        <f>INDEX(Items!D$2:D$1032,MATCH($O243,Items!$A$2:$A$1032,0))</f>
        <v>#N/A</v>
      </c>
    </row>
    <row r="244" spans="1:18" x14ac:dyDescent="0.25">
      <c r="A244">
        <f t="shared" si="17"/>
        <v>1</v>
      </c>
      <c r="B244" t="str">
        <f t="shared" si="18"/>
        <v/>
      </c>
      <c r="C244">
        <f t="shared" si="20"/>
        <v>1</v>
      </c>
      <c r="D244" s="4"/>
      <c r="E244" t="s">
        <v>18</v>
      </c>
      <c r="F244" t="str">
        <f>INDEX(Establishment!B$2:B$1005,MATCH($E244,Establishment!$A$2:$A$1005,0))</f>
        <v xml:space="preserve"> </v>
      </c>
      <c r="G244" t="str">
        <f>INDEX(Establishment!C$2:C$1005,MATCH($E244,Establishment!$A$2:$A$1005,0))</f>
        <v xml:space="preserve"> </v>
      </c>
      <c r="M244">
        <f t="shared" si="21"/>
        <v>0</v>
      </c>
      <c r="N244">
        <f t="shared" si="19"/>
        <v>0</v>
      </c>
      <c r="P244" t="e">
        <f>INDEX(Items!B$2:B$1032,MATCH($O244,Items!$A$2:$A$1032,0))</f>
        <v>#N/A</v>
      </c>
      <c r="Q244" t="e">
        <f>INDEX(Items!C$2:C$1032,MATCH($O244,Items!$A$2:$A$1032,0))</f>
        <v>#N/A</v>
      </c>
      <c r="R244" t="e">
        <f>INDEX(Items!D$2:D$1032,MATCH($O244,Items!$A$2:$A$1032,0))</f>
        <v>#N/A</v>
      </c>
    </row>
    <row r="245" spans="1:18" x14ac:dyDescent="0.25">
      <c r="A245">
        <f t="shared" si="17"/>
        <v>1</v>
      </c>
      <c r="B245" t="str">
        <f t="shared" si="18"/>
        <v/>
      </c>
      <c r="C245">
        <f t="shared" si="20"/>
        <v>1</v>
      </c>
      <c r="D245" s="4"/>
      <c r="E245" t="s">
        <v>18</v>
      </c>
      <c r="F245" t="str">
        <f>INDEX(Establishment!B$2:B$1005,MATCH($E245,Establishment!$A$2:$A$1005,0))</f>
        <v xml:space="preserve"> </v>
      </c>
      <c r="G245" t="str">
        <f>INDEX(Establishment!C$2:C$1005,MATCH($E245,Establishment!$A$2:$A$1005,0))</f>
        <v xml:space="preserve"> </v>
      </c>
      <c r="M245">
        <f t="shared" si="21"/>
        <v>0</v>
      </c>
      <c r="N245">
        <f t="shared" si="19"/>
        <v>0</v>
      </c>
      <c r="P245" t="e">
        <f>INDEX(Items!B$2:B$1032,MATCH($O245,Items!$A$2:$A$1032,0))</f>
        <v>#N/A</v>
      </c>
      <c r="Q245" t="e">
        <f>INDEX(Items!C$2:C$1032,MATCH($O245,Items!$A$2:$A$1032,0))</f>
        <v>#N/A</v>
      </c>
      <c r="R245" t="e">
        <f>INDEX(Items!D$2:D$1032,MATCH($O245,Items!$A$2:$A$1032,0))</f>
        <v>#N/A</v>
      </c>
    </row>
    <row r="246" spans="1:18" x14ac:dyDescent="0.25">
      <c r="A246">
        <f t="shared" si="17"/>
        <v>1</v>
      </c>
      <c r="B246" t="str">
        <f t="shared" si="18"/>
        <v/>
      </c>
      <c r="C246">
        <f t="shared" si="20"/>
        <v>1</v>
      </c>
      <c r="D246" s="4"/>
      <c r="E246" t="s">
        <v>18</v>
      </c>
      <c r="F246" t="str">
        <f>INDEX(Establishment!B$2:B$1005,MATCH($E246,Establishment!$A$2:$A$1005,0))</f>
        <v xml:space="preserve"> </v>
      </c>
      <c r="G246" t="str">
        <f>INDEX(Establishment!C$2:C$1005,MATCH($E246,Establishment!$A$2:$A$1005,0))</f>
        <v xml:space="preserve"> </v>
      </c>
      <c r="M246">
        <f t="shared" si="21"/>
        <v>0</v>
      </c>
      <c r="N246">
        <f t="shared" si="19"/>
        <v>0</v>
      </c>
      <c r="P246" t="e">
        <f>INDEX(Items!B$2:B$1032,MATCH($O246,Items!$A$2:$A$1032,0))</f>
        <v>#N/A</v>
      </c>
      <c r="Q246" t="e">
        <f>INDEX(Items!C$2:C$1032,MATCH($O246,Items!$A$2:$A$1032,0))</f>
        <v>#N/A</v>
      </c>
      <c r="R246" t="e">
        <f>INDEX(Items!D$2:D$1032,MATCH($O246,Items!$A$2:$A$1032,0))</f>
        <v>#N/A</v>
      </c>
    </row>
    <row r="247" spans="1:18" x14ac:dyDescent="0.25">
      <c r="A247">
        <f t="shared" si="17"/>
        <v>1</v>
      </c>
      <c r="B247" t="str">
        <f t="shared" si="18"/>
        <v/>
      </c>
      <c r="C247">
        <f t="shared" si="20"/>
        <v>1</v>
      </c>
      <c r="D247" s="4"/>
      <c r="E247" t="s">
        <v>18</v>
      </c>
      <c r="F247" t="str">
        <f>INDEX(Establishment!B$2:B$1005,MATCH($E247,Establishment!$A$2:$A$1005,0))</f>
        <v xml:space="preserve"> </v>
      </c>
      <c r="G247" t="str">
        <f>INDEX(Establishment!C$2:C$1005,MATCH($E247,Establishment!$A$2:$A$1005,0))</f>
        <v xml:space="preserve"> </v>
      </c>
      <c r="M247">
        <f t="shared" si="21"/>
        <v>0</v>
      </c>
      <c r="N247">
        <f t="shared" si="19"/>
        <v>0</v>
      </c>
      <c r="P247" t="e">
        <f>INDEX(Items!B$2:B$1032,MATCH($O247,Items!$A$2:$A$1032,0))</f>
        <v>#N/A</v>
      </c>
      <c r="Q247" t="e">
        <f>INDEX(Items!C$2:C$1032,MATCH($O247,Items!$A$2:$A$1032,0))</f>
        <v>#N/A</v>
      </c>
      <c r="R247" t="e">
        <f>INDEX(Items!D$2:D$1032,MATCH($O247,Items!$A$2:$A$1032,0))</f>
        <v>#N/A</v>
      </c>
    </row>
    <row r="248" spans="1:18" x14ac:dyDescent="0.25">
      <c r="A248">
        <f t="shared" si="17"/>
        <v>1</v>
      </c>
      <c r="B248" t="str">
        <f t="shared" si="18"/>
        <v/>
      </c>
      <c r="C248">
        <f t="shared" si="20"/>
        <v>1</v>
      </c>
      <c r="D248" s="4"/>
      <c r="E248" t="s">
        <v>18</v>
      </c>
      <c r="F248" t="str">
        <f>INDEX(Establishment!B$2:B$1005,MATCH($E248,Establishment!$A$2:$A$1005,0))</f>
        <v xml:space="preserve"> </v>
      </c>
      <c r="G248" t="str">
        <f>INDEX(Establishment!C$2:C$1005,MATCH($E248,Establishment!$A$2:$A$1005,0))</f>
        <v xml:space="preserve"> </v>
      </c>
      <c r="M248">
        <f t="shared" si="21"/>
        <v>0</v>
      </c>
      <c r="N248">
        <f t="shared" si="19"/>
        <v>0</v>
      </c>
      <c r="P248" t="e">
        <f>INDEX(Items!B$2:B$1032,MATCH($O248,Items!$A$2:$A$1032,0))</f>
        <v>#N/A</v>
      </c>
      <c r="Q248" t="e">
        <f>INDEX(Items!C$2:C$1032,MATCH($O248,Items!$A$2:$A$1032,0))</f>
        <v>#N/A</v>
      </c>
      <c r="R248" t="e">
        <f>INDEX(Items!D$2:D$1032,MATCH($O248,Items!$A$2:$A$1032,0))</f>
        <v>#N/A</v>
      </c>
    </row>
    <row r="249" spans="1:18" x14ac:dyDescent="0.25">
      <c r="A249">
        <f t="shared" si="17"/>
        <v>1</v>
      </c>
      <c r="B249" t="str">
        <f t="shared" si="18"/>
        <v/>
      </c>
      <c r="C249">
        <f t="shared" si="20"/>
        <v>1</v>
      </c>
      <c r="D249" s="4"/>
      <c r="E249" t="s">
        <v>18</v>
      </c>
      <c r="F249" t="str">
        <f>INDEX(Establishment!B$2:B$1005,MATCH($E249,Establishment!$A$2:$A$1005,0))</f>
        <v xml:space="preserve"> </v>
      </c>
      <c r="G249" t="str">
        <f>INDEX(Establishment!C$2:C$1005,MATCH($E249,Establishment!$A$2:$A$1005,0))</f>
        <v xml:space="preserve"> </v>
      </c>
      <c r="M249">
        <f t="shared" si="21"/>
        <v>0</v>
      </c>
      <c r="N249">
        <f t="shared" si="19"/>
        <v>0</v>
      </c>
      <c r="P249" t="e">
        <f>INDEX(Items!B$2:B$1032,MATCH($O249,Items!$A$2:$A$1032,0))</f>
        <v>#N/A</v>
      </c>
      <c r="Q249" t="e">
        <f>INDEX(Items!C$2:C$1032,MATCH($O249,Items!$A$2:$A$1032,0))</f>
        <v>#N/A</v>
      </c>
      <c r="R249" t="e">
        <f>INDEX(Items!D$2:D$1032,MATCH($O249,Items!$A$2:$A$1032,0))</f>
        <v>#N/A</v>
      </c>
    </row>
    <row r="250" spans="1:18" x14ac:dyDescent="0.25">
      <c r="A250">
        <f t="shared" si="17"/>
        <v>1</v>
      </c>
      <c r="B250" t="str">
        <f t="shared" si="18"/>
        <v/>
      </c>
      <c r="C250">
        <f t="shared" si="20"/>
        <v>1</v>
      </c>
      <c r="D250" s="4"/>
      <c r="E250" t="s">
        <v>18</v>
      </c>
      <c r="F250" t="str">
        <f>INDEX(Establishment!B$2:B$1005,MATCH($E250,Establishment!$A$2:$A$1005,0))</f>
        <v xml:space="preserve"> </v>
      </c>
      <c r="G250" t="str">
        <f>INDEX(Establishment!C$2:C$1005,MATCH($E250,Establishment!$A$2:$A$1005,0))</f>
        <v xml:space="preserve"> </v>
      </c>
      <c r="M250">
        <f t="shared" si="21"/>
        <v>0</v>
      </c>
      <c r="N250">
        <f t="shared" si="19"/>
        <v>0</v>
      </c>
      <c r="P250" t="e">
        <f>INDEX(Items!B$2:B$1032,MATCH($O250,Items!$A$2:$A$1032,0))</f>
        <v>#N/A</v>
      </c>
      <c r="Q250" t="e">
        <f>INDEX(Items!C$2:C$1032,MATCH($O250,Items!$A$2:$A$1032,0))</f>
        <v>#N/A</v>
      </c>
      <c r="R250" t="e">
        <f>INDEX(Items!D$2:D$1032,MATCH($O250,Items!$A$2:$A$1032,0))</f>
        <v>#N/A</v>
      </c>
    </row>
    <row r="251" spans="1:18" x14ac:dyDescent="0.25">
      <c r="A251">
        <f t="shared" si="17"/>
        <v>1</v>
      </c>
      <c r="B251" t="str">
        <f t="shared" si="18"/>
        <v/>
      </c>
      <c r="C251">
        <f t="shared" si="20"/>
        <v>1</v>
      </c>
      <c r="D251" s="4"/>
      <c r="E251" t="s">
        <v>18</v>
      </c>
      <c r="F251" t="str">
        <f>INDEX(Establishment!B$2:B$1005,MATCH($E251,Establishment!$A$2:$A$1005,0))</f>
        <v xml:space="preserve"> </v>
      </c>
      <c r="G251" t="str">
        <f>INDEX(Establishment!C$2:C$1005,MATCH($E251,Establishment!$A$2:$A$1005,0))</f>
        <v xml:space="preserve"> </v>
      </c>
      <c r="M251">
        <f t="shared" si="21"/>
        <v>0</v>
      </c>
      <c r="N251">
        <f t="shared" si="19"/>
        <v>0</v>
      </c>
      <c r="P251" t="e">
        <f>INDEX(Items!B$2:B$1032,MATCH($O251,Items!$A$2:$A$1032,0))</f>
        <v>#N/A</v>
      </c>
      <c r="Q251" t="e">
        <f>INDEX(Items!C$2:C$1032,MATCH($O251,Items!$A$2:$A$1032,0))</f>
        <v>#N/A</v>
      </c>
      <c r="R251" t="e">
        <f>INDEX(Items!D$2:D$1032,MATCH($O251,Items!$A$2:$A$1032,0))</f>
        <v>#N/A</v>
      </c>
    </row>
    <row r="252" spans="1:18" x14ac:dyDescent="0.25">
      <c r="A252">
        <f t="shared" si="17"/>
        <v>1</v>
      </c>
      <c r="B252" t="str">
        <f t="shared" si="18"/>
        <v/>
      </c>
      <c r="C252">
        <f t="shared" si="20"/>
        <v>1</v>
      </c>
      <c r="D252" s="4"/>
      <c r="E252" t="s">
        <v>18</v>
      </c>
      <c r="F252" t="str">
        <f>INDEX(Establishment!B$2:B$1005,MATCH($E252,Establishment!$A$2:$A$1005,0))</f>
        <v xml:space="preserve"> </v>
      </c>
      <c r="G252" t="str">
        <f>INDEX(Establishment!C$2:C$1005,MATCH($E252,Establishment!$A$2:$A$1005,0))</f>
        <v xml:space="preserve"> </v>
      </c>
      <c r="M252">
        <f t="shared" si="21"/>
        <v>0</v>
      </c>
      <c r="N252">
        <f t="shared" si="19"/>
        <v>0</v>
      </c>
      <c r="P252" t="e">
        <f>INDEX(Items!B$2:B$1032,MATCH($O252,Items!$A$2:$A$1032,0))</f>
        <v>#N/A</v>
      </c>
      <c r="Q252" t="e">
        <f>INDEX(Items!C$2:C$1032,MATCH($O252,Items!$A$2:$A$1032,0))</f>
        <v>#N/A</v>
      </c>
      <c r="R252" t="e">
        <f>INDEX(Items!D$2:D$1032,MATCH($O252,Items!$A$2:$A$1032,0))</f>
        <v>#N/A</v>
      </c>
    </row>
    <row r="253" spans="1:18" x14ac:dyDescent="0.25">
      <c r="A253">
        <f t="shared" si="17"/>
        <v>1</v>
      </c>
      <c r="B253" t="str">
        <f t="shared" si="18"/>
        <v/>
      </c>
      <c r="C253">
        <f t="shared" si="20"/>
        <v>1</v>
      </c>
      <c r="D253" s="4"/>
      <c r="E253" t="s">
        <v>18</v>
      </c>
      <c r="F253" t="str">
        <f>INDEX(Establishment!B$2:B$1005,MATCH($E253,Establishment!$A$2:$A$1005,0))</f>
        <v xml:space="preserve"> </v>
      </c>
      <c r="G253" t="str">
        <f>INDEX(Establishment!C$2:C$1005,MATCH($E253,Establishment!$A$2:$A$1005,0))</f>
        <v xml:space="preserve"> </v>
      </c>
      <c r="M253">
        <f t="shared" si="21"/>
        <v>0</v>
      </c>
      <c r="N253">
        <f t="shared" si="19"/>
        <v>0</v>
      </c>
      <c r="P253" t="e">
        <f>INDEX(Items!B$2:B$1032,MATCH($O253,Items!$A$2:$A$1032,0))</f>
        <v>#N/A</v>
      </c>
      <c r="Q253" t="e">
        <f>INDEX(Items!C$2:C$1032,MATCH($O253,Items!$A$2:$A$1032,0))</f>
        <v>#N/A</v>
      </c>
      <c r="R253" t="e">
        <f>INDEX(Items!D$2:D$1032,MATCH($O253,Items!$A$2:$A$1032,0))</f>
        <v>#N/A</v>
      </c>
    </row>
    <row r="254" spans="1:18" x14ac:dyDescent="0.25">
      <c r="A254">
        <f t="shared" si="17"/>
        <v>1</v>
      </c>
      <c r="B254" t="str">
        <f t="shared" si="18"/>
        <v/>
      </c>
      <c r="C254">
        <f t="shared" si="20"/>
        <v>1</v>
      </c>
      <c r="D254" s="4"/>
      <c r="E254" t="s">
        <v>18</v>
      </c>
      <c r="F254" t="str">
        <f>INDEX(Establishment!B$2:B$1005,MATCH($E254,Establishment!$A$2:$A$1005,0))</f>
        <v xml:space="preserve"> </v>
      </c>
      <c r="G254" t="str">
        <f>INDEX(Establishment!C$2:C$1005,MATCH($E254,Establishment!$A$2:$A$1005,0))</f>
        <v xml:space="preserve"> </v>
      </c>
      <c r="M254">
        <f t="shared" si="21"/>
        <v>0</v>
      </c>
      <c r="N254">
        <f t="shared" si="19"/>
        <v>0</v>
      </c>
      <c r="P254" t="e">
        <f>INDEX(Items!B$2:B$1032,MATCH($O254,Items!$A$2:$A$1032,0))</f>
        <v>#N/A</v>
      </c>
      <c r="Q254" t="e">
        <f>INDEX(Items!C$2:C$1032,MATCH($O254,Items!$A$2:$A$1032,0))</f>
        <v>#N/A</v>
      </c>
      <c r="R254" t="e">
        <f>INDEX(Items!D$2:D$1032,MATCH($O254,Items!$A$2:$A$1032,0))</f>
        <v>#N/A</v>
      </c>
    </row>
    <row r="255" spans="1:18" x14ac:dyDescent="0.25">
      <c r="A255">
        <f t="shared" si="17"/>
        <v>1</v>
      </c>
      <c r="B255" t="str">
        <f t="shared" si="18"/>
        <v/>
      </c>
      <c r="C255">
        <f t="shared" si="20"/>
        <v>1</v>
      </c>
      <c r="D255" s="4"/>
      <c r="E255" t="s">
        <v>18</v>
      </c>
      <c r="F255" t="str">
        <f>INDEX(Establishment!B$2:B$1005,MATCH($E255,Establishment!$A$2:$A$1005,0))</f>
        <v xml:space="preserve"> </v>
      </c>
      <c r="G255" t="str">
        <f>INDEX(Establishment!C$2:C$1005,MATCH($E255,Establishment!$A$2:$A$1005,0))</f>
        <v xml:space="preserve"> </v>
      </c>
      <c r="M255">
        <f t="shared" si="21"/>
        <v>0</v>
      </c>
      <c r="N255">
        <f t="shared" si="19"/>
        <v>0</v>
      </c>
      <c r="P255" t="e">
        <f>INDEX(Items!B$2:B$1032,MATCH($O255,Items!$A$2:$A$1032,0))</f>
        <v>#N/A</v>
      </c>
      <c r="Q255" t="e">
        <f>INDEX(Items!C$2:C$1032,MATCH($O255,Items!$A$2:$A$1032,0))</f>
        <v>#N/A</v>
      </c>
      <c r="R255" t="e">
        <f>INDEX(Items!D$2:D$1032,MATCH($O255,Items!$A$2:$A$1032,0))</f>
        <v>#N/A</v>
      </c>
    </row>
    <row r="256" spans="1:18" x14ac:dyDescent="0.25">
      <c r="A256">
        <f t="shared" si="17"/>
        <v>1</v>
      </c>
      <c r="B256" t="str">
        <f t="shared" si="18"/>
        <v/>
      </c>
      <c r="C256">
        <f t="shared" si="20"/>
        <v>1</v>
      </c>
      <c r="D256" s="4"/>
      <c r="E256" t="s">
        <v>18</v>
      </c>
      <c r="F256" t="str">
        <f>INDEX(Establishment!B$2:B$1005,MATCH($E256,Establishment!$A$2:$A$1005,0))</f>
        <v xml:space="preserve"> </v>
      </c>
      <c r="G256" t="str">
        <f>INDEX(Establishment!C$2:C$1005,MATCH($E256,Establishment!$A$2:$A$1005,0))</f>
        <v xml:space="preserve"> </v>
      </c>
      <c r="M256">
        <f t="shared" si="21"/>
        <v>0</v>
      </c>
      <c r="N256">
        <f t="shared" si="19"/>
        <v>0</v>
      </c>
      <c r="P256" t="e">
        <f>INDEX(Items!B$2:B$1032,MATCH($O256,Items!$A$2:$A$1032,0))</f>
        <v>#N/A</v>
      </c>
      <c r="Q256" t="e">
        <f>INDEX(Items!C$2:C$1032,MATCH($O256,Items!$A$2:$A$1032,0))</f>
        <v>#N/A</v>
      </c>
      <c r="R256" t="e">
        <f>INDEX(Items!D$2:D$1032,MATCH($O256,Items!$A$2:$A$1032,0))</f>
        <v>#N/A</v>
      </c>
    </row>
    <row r="257" spans="1:18" x14ac:dyDescent="0.25">
      <c r="A257">
        <f t="shared" si="17"/>
        <v>1</v>
      </c>
      <c r="B257" t="str">
        <f t="shared" si="18"/>
        <v/>
      </c>
      <c r="C257">
        <f t="shared" si="20"/>
        <v>1</v>
      </c>
      <c r="D257" s="4"/>
      <c r="E257" t="s">
        <v>18</v>
      </c>
      <c r="F257" t="str">
        <f>INDEX(Establishment!B$2:B$1005,MATCH($E257,Establishment!$A$2:$A$1005,0))</f>
        <v xml:space="preserve"> </v>
      </c>
      <c r="G257" t="str">
        <f>INDEX(Establishment!C$2:C$1005,MATCH($E257,Establishment!$A$2:$A$1005,0))</f>
        <v xml:space="preserve"> </v>
      </c>
      <c r="M257">
        <f t="shared" si="21"/>
        <v>0</v>
      </c>
      <c r="N257">
        <f t="shared" si="19"/>
        <v>0</v>
      </c>
      <c r="P257" t="e">
        <f>INDEX(Items!B$2:B$1032,MATCH($O257,Items!$A$2:$A$1032,0))</f>
        <v>#N/A</v>
      </c>
      <c r="Q257" t="e">
        <f>INDEX(Items!C$2:C$1032,MATCH($O257,Items!$A$2:$A$1032,0))</f>
        <v>#N/A</v>
      </c>
      <c r="R257" t="e">
        <f>INDEX(Items!D$2:D$1032,MATCH($O257,Items!$A$2:$A$1032,0))</f>
        <v>#N/A</v>
      </c>
    </row>
    <row r="258" spans="1:18" x14ac:dyDescent="0.25">
      <c r="A258">
        <f t="shared" ref="A258:A321" si="22">IF(OR(D258&lt;&gt;D257,D258=""),1,IF(NOT(AND(E258=E257,F258=F257,G258=G257)),A257+1,IF(OR(H258="",AND(H258&lt;&gt;"",H258&lt;&gt;H257,H257&lt;&gt;"")),A257,A257+1)))</f>
        <v>1</v>
      </c>
      <c r="B258" t="str">
        <f t="shared" ref="B258:B321" si="23">IF(D258&lt;&gt;"",TEXT(D258,"YYYYMMDD")&amp;CHAR(64+A258),"")</f>
        <v/>
      </c>
      <c r="C258">
        <f t="shared" si="20"/>
        <v>1</v>
      </c>
      <c r="D258" s="4"/>
      <c r="E258" t="s">
        <v>18</v>
      </c>
      <c r="F258" t="str">
        <f>INDEX(Establishment!B$2:B$1005,MATCH($E258,Establishment!$A$2:$A$1005,0))</f>
        <v xml:space="preserve"> </v>
      </c>
      <c r="G258" t="str">
        <f>INDEX(Establishment!C$2:C$1005,MATCH($E258,Establishment!$A$2:$A$1005,0))</f>
        <v xml:space="preserve"> </v>
      </c>
      <c r="M258">
        <f t="shared" si="21"/>
        <v>0</v>
      </c>
      <c r="N258">
        <f t="shared" si="19"/>
        <v>0</v>
      </c>
      <c r="P258" t="e">
        <f>INDEX(Items!B$2:B$1032,MATCH($O258,Items!$A$2:$A$1032,0))</f>
        <v>#N/A</v>
      </c>
      <c r="Q258" t="e">
        <f>INDEX(Items!C$2:C$1032,MATCH($O258,Items!$A$2:$A$1032,0))</f>
        <v>#N/A</v>
      </c>
      <c r="R258" t="e">
        <f>INDEX(Items!D$2:D$1032,MATCH($O258,Items!$A$2:$A$1032,0))</f>
        <v>#N/A</v>
      </c>
    </row>
    <row r="259" spans="1:18" x14ac:dyDescent="0.25">
      <c r="A259">
        <f t="shared" si="22"/>
        <v>1</v>
      </c>
      <c r="B259" t="str">
        <f t="shared" si="23"/>
        <v/>
      </c>
      <c r="C259">
        <f t="shared" si="20"/>
        <v>1</v>
      </c>
      <c r="D259" s="4"/>
      <c r="E259" t="s">
        <v>18</v>
      </c>
      <c r="F259" t="str">
        <f>INDEX(Establishment!B$2:B$1005,MATCH($E259,Establishment!$A$2:$A$1005,0))</f>
        <v xml:space="preserve"> </v>
      </c>
      <c r="G259" t="str">
        <f>INDEX(Establishment!C$2:C$1005,MATCH($E259,Establishment!$A$2:$A$1005,0))</f>
        <v xml:space="preserve"> </v>
      </c>
      <c r="M259">
        <f t="shared" si="21"/>
        <v>0</v>
      </c>
      <c r="N259">
        <f t="shared" ref="N259:N322" si="24">IF(B259=B258,N258+M259,M259)</f>
        <v>0</v>
      </c>
      <c r="P259" t="e">
        <f>INDEX(Items!B$2:B$1032,MATCH($O259,Items!$A$2:$A$1032,0))</f>
        <v>#N/A</v>
      </c>
      <c r="Q259" t="e">
        <f>INDEX(Items!C$2:C$1032,MATCH($O259,Items!$A$2:$A$1032,0))</f>
        <v>#N/A</v>
      </c>
      <c r="R259" t="e">
        <f>INDEX(Items!D$2:D$1032,MATCH($O259,Items!$A$2:$A$1032,0))</f>
        <v>#N/A</v>
      </c>
    </row>
    <row r="260" spans="1:18" x14ac:dyDescent="0.25">
      <c r="A260">
        <f t="shared" si="22"/>
        <v>1</v>
      </c>
      <c r="B260" t="str">
        <f t="shared" si="23"/>
        <v/>
      </c>
      <c r="C260">
        <f t="shared" si="20"/>
        <v>1</v>
      </c>
      <c r="D260" s="4"/>
      <c r="E260" t="s">
        <v>18</v>
      </c>
      <c r="F260" t="str">
        <f>INDEX(Establishment!B$2:B$1005,MATCH($E260,Establishment!$A$2:$A$1005,0))</f>
        <v xml:space="preserve"> </v>
      </c>
      <c r="G260" t="str">
        <f>INDEX(Establishment!C$2:C$1005,MATCH($E260,Establishment!$A$2:$A$1005,0))</f>
        <v xml:space="preserve"> </v>
      </c>
      <c r="M260">
        <f t="shared" si="21"/>
        <v>0</v>
      </c>
      <c r="N260">
        <f t="shared" si="24"/>
        <v>0</v>
      </c>
      <c r="P260" t="e">
        <f>INDEX(Items!B$2:B$1032,MATCH($O260,Items!$A$2:$A$1032,0))</f>
        <v>#N/A</v>
      </c>
      <c r="Q260" t="e">
        <f>INDEX(Items!C$2:C$1032,MATCH($O260,Items!$A$2:$A$1032,0))</f>
        <v>#N/A</v>
      </c>
      <c r="R260" t="e">
        <f>INDEX(Items!D$2:D$1032,MATCH($O260,Items!$A$2:$A$1032,0))</f>
        <v>#N/A</v>
      </c>
    </row>
    <row r="261" spans="1:18" x14ac:dyDescent="0.25">
      <c r="A261">
        <f t="shared" si="22"/>
        <v>1</v>
      </c>
      <c r="B261" t="str">
        <f t="shared" si="23"/>
        <v/>
      </c>
      <c r="C261">
        <f t="shared" si="20"/>
        <v>1</v>
      </c>
      <c r="D261" s="4"/>
      <c r="E261" t="s">
        <v>18</v>
      </c>
      <c r="F261" t="str">
        <f>INDEX(Establishment!B$2:B$1005,MATCH($E261,Establishment!$A$2:$A$1005,0))</f>
        <v xml:space="preserve"> </v>
      </c>
      <c r="G261" t="str">
        <f>INDEX(Establishment!C$2:C$1005,MATCH($E261,Establishment!$A$2:$A$1005,0))</f>
        <v xml:space="preserve"> </v>
      </c>
      <c r="M261">
        <f t="shared" si="21"/>
        <v>0</v>
      </c>
      <c r="N261">
        <f t="shared" si="24"/>
        <v>0</v>
      </c>
      <c r="P261" t="e">
        <f>INDEX(Items!B$2:B$1032,MATCH($O261,Items!$A$2:$A$1032,0))</f>
        <v>#N/A</v>
      </c>
      <c r="Q261" t="e">
        <f>INDEX(Items!C$2:C$1032,MATCH($O261,Items!$A$2:$A$1032,0))</f>
        <v>#N/A</v>
      </c>
      <c r="R261" t="e">
        <f>INDEX(Items!D$2:D$1032,MATCH($O261,Items!$A$2:$A$1032,0))</f>
        <v>#N/A</v>
      </c>
    </row>
    <row r="262" spans="1:18" x14ac:dyDescent="0.25">
      <c r="A262">
        <f t="shared" si="22"/>
        <v>1</v>
      </c>
      <c r="B262" t="str">
        <f t="shared" si="23"/>
        <v/>
      </c>
      <c r="C262">
        <f t="shared" si="20"/>
        <v>1</v>
      </c>
      <c r="D262" s="4"/>
      <c r="E262" t="s">
        <v>18</v>
      </c>
      <c r="F262" t="str">
        <f>INDEX(Establishment!B$2:B$1005,MATCH($E262,Establishment!$A$2:$A$1005,0))</f>
        <v xml:space="preserve"> </v>
      </c>
      <c r="G262" t="str">
        <f>INDEX(Establishment!C$2:C$1005,MATCH($E262,Establishment!$A$2:$A$1005,0))</f>
        <v xml:space="preserve"> </v>
      </c>
      <c r="M262">
        <f t="shared" si="21"/>
        <v>0</v>
      </c>
      <c r="N262">
        <f t="shared" si="24"/>
        <v>0</v>
      </c>
      <c r="P262" t="e">
        <f>INDEX(Items!B$2:B$1032,MATCH($O262,Items!$A$2:$A$1032,0))</f>
        <v>#N/A</v>
      </c>
      <c r="Q262" t="e">
        <f>INDEX(Items!C$2:C$1032,MATCH($O262,Items!$A$2:$A$1032,0))</f>
        <v>#N/A</v>
      </c>
      <c r="R262" t="e">
        <f>INDEX(Items!D$2:D$1032,MATCH($O262,Items!$A$2:$A$1032,0))</f>
        <v>#N/A</v>
      </c>
    </row>
    <row r="263" spans="1:18" x14ac:dyDescent="0.25">
      <c r="A263">
        <f t="shared" si="22"/>
        <v>1</v>
      </c>
      <c r="B263" t="str">
        <f t="shared" si="23"/>
        <v/>
      </c>
      <c r="C263">
        <f t="shared" si="20"/>
        <v>1</v>
      </c>
      <c r="D263" s="4"/>
      <c r="E263" t="s">
        <v>18</v>
      </c>
      <c r="F263" t="str">
        <f>INDEX(Establishment!B$2:B$1005,MATCH($E263,Establishment!$A$2:$A$1005,0))</f>
        <v xml:space="preserve"> </v>
      </c>
      <c r="G263" t="str">
        <f>INDEX(Establishment!C$2:C$1005,MATCH($E263,Establishment!$A$2:$A$1005,0))</f>
        <v xml:space="preserve"> </v>
      </c>
      <c r="M263">
        <f t="shared" si="21"/>
        <v>0</v>
      </c>
      <c r="N263">
        <f t="shared" si="24"/>
        <v>0</v>
      </c>
      <c r="P263" t="e">
        <f>INDEX(Items!B$2:B$1032,MATCH($O263,Items!$A$2:$A$1032,0))</f>
        <v>#N/A</v>
      </c>
      <c r="Q263" t="e">
        <f>INDEX(Items!C$2:C$1032,MATCH($O263,Items!$A$2:$A$1032,0))</f>
        <v>#N/A</v>
      </c>
      <c r="R263" t="e">
        <f>INDEX(Items!D$2:D$1032,MATCH($O263,Items!$A$2:$A$1032,0))</f>
        <v>#N/A</v>
      </c>
    </row>
    <row r="264" spans="1:18" x14ac:dyDescent="0.25">
      <c r="A264">
        <f t="shared" si="22"/>
        <v>1</v>
      </c>
      <c r="B264" t="str">
        <f t="shared" si="23"/>
        <v/>
      </c>
      <c r="C264">
        <f t="shared" si="20"/>
        <v>1</v>
      </c>
      <c r="D264" s="4"/>
      <c r="E264" t="s">
        <v>18</v>
      </c>
      <c r="F264" t="str">
        <f>INDEX(Establishment!B$2:B$1005,MATCH($E264,Establishment!$A$2:$A$1005,0))</f>
        <v xml:space="preserve"> </v>
      </c>
      <c r="G264" t="str">
        <f>INDEX(Establishment!C$2:C$1005,MATCH($E264,Establishment!$A$2:$A$1005,0))</f>
        <v xml:space="preserve"> </v>
      </c>
      <c r="M264">
        <f t="shared" si="21"/>
        <v>0</v>
      </c>
      <c r="N264">
        <f t="shared" si="24"/>
        <v>0</v>
      </c>
      <c r="P264" t="e">
        <f>INDEX(Items!B$2:B$1032,MATCH($O264,Items!$A$2:$A$1032,0))</f>
        <v>#N/A</v>
      </c>
      <c r="Q264" t="e">
        <f>INDEX(Items!C$2:C$1032,MATCH($O264,Items!$A$2:$A$1032,0))</f>
        <v>#N/A</v>
      </c>
      <c r="R264" t="e">
        <f>INDEX(Items!D$2:D$1032,MATCH($O264,Items!$A$2:$A$1032,0))</f>
        <v>#N/A</v>
      </c>
    </row>
    <row r="265" spans="1:18" x14ac:dyDescent="0.25">
      <c r="A265">
        <f t="shared" si="22"/>
        <v>1</v>
      </c>
      <c r="B265" t="str">
        <f t="shared" si="23"/>
        <v/>
      </c>
      <c r="C265">
        <f t="shared" si="20"/>
        <v>1</v>
      </c>
      <c r="D265" s="4"/>
      <c r="E265" t="s">
        <v>18</v>
      </c>
      <c r="F265" t="str">
        <f>INDEX(Establishment!B$2:B$1005,MATCH($E265,Establishment!$A$2:$A$1005,0))</f>
        <v xml:space="preserve"> </v>
      </c>
      <c r="G265" t="str">
        <f>INDEX(Establishment!C$2:C$1005,MATCH($E265,Establishment!$A$2:$A$1005,0))</f>
        <v xml:space="preserve"> </v>
      </c>
      <c r="M265">
        <f t="shared" si="21"/>
        <v>0</v>
      </c>
      <c r="N265">
        <f t="shared" si="24"/>
        <v>0</v>
      </c>
      <c r="P265" t="e">
        <f>INDEX(Items!B$2:B$1032,MATCH($O265,Items!$A$2:$A$1032,0))</f>
        <v>#N/A</v>
      </c>
      <c r="Q265" t="e">
        <f>INDEX(Items!C$2:C$1032,MATCH($O265,Items!$A$2:$A$1032,0))</f>
        <v>#N/A</v>
      </c>
      <c r="R265" t="e">
        <f>INDEX(Items!D$2:D$1032,MATCH($O265,Items!$A$2:$A$1032,0))</f>
        <v>#N/A</v>
      </c>
    </row>
    <row r="266" spans="1:18" x14ac:dyDescent="0.25">
      <c r="A266">
        <f t="shared" si="22"/>
        <v>1</v>
      </c>
      <c r="B266" t="str">
        <f t="shared" si="23"/>
        <v/>
      </c>
      <c r="C266">
        <f t="shared" ref="C266:C329" si="25">IF(OR(B266="",B266&lt;&gt;B265),1,C265+1)</f>
        <v>1</v>
      </c>
      <c r="D266" s="4"/>
      <c r="E266" t="s">
        <v>18</v>
      </c>
      <c r="F266" t="str">
        <f>INDEX(Establishment!B$2:B$1005,MATCH($E266,Establishment!$A$2:$A$1005,0))</f>
        <v xml:space="preserve"> </v>
      </c>
      <c r="G266" t="str">
        <f>INDEX(Establishment!C$2:C$1005,MATCH($E266,Establishment!$A$2:$A$1005,0))</f>
        <v xml:space="preserve"> </v>
      </c>
      <c r="M266">
        <f t="shared" ref="M266:M329" si="26">K266*L266</f>
        <v>0</v>
      </c>
      <c r="N266">
        <f t="shared" si="24"/>
        <v>0</v>
      </c>
      <c r="P266" t="e">
        <f>INDEX(Items!B$2:B$1032,MATCH($O266,Items!$A$2:$A$1032,0))</f>
        <v>#N/A</v>
      </c>
      <c r="Q266" t="e">
        <f>INDEX(Items!C$2:C$1032,MATCH($O266,Items!$A$2:$A$1032,0))</f>
        <v>#N/A</v>
      </c>
      <c r="R266" t="e">
        <f>INDEX(Items!D$2:D$1032,MATCH($O266,Items!$A$2:$A$1032,0))</f>
        <v>#N/A</v>
      </c>
    </row>
    <row r="267" spans="1:18" x14ac:dyDescent="0.25">
      <c r="A267">
        <f t="shared" si="22"/>
        <v>1</v>
      </c>
      <c r="B267" t="str">
        <f t="shared" si="23"/>
        <v/>
      </c>
      <c r="C267">
        <f t="shared" si="25"/>
        <v>1</v>
      </c>
      <c r="D267" s="4"/>
      <c r="E267" t="s">
        <v>18</v>
      </c>
      <c r="F267" t="str">
        <f>INDEX(Establishment!B$2:B$1005,MATCH($E267,Establishment!$A$2:$A$1005,0))</f>
        <v xml:space="preserve"> </v>
      </c>
      <c r="G267" t="str">
        <f>INDEX(Establishment!C$2:C$1005,MATCH($E267,Establishment!$A$2:$A$1005,0))</f>
        <v xml:space="preserve"> </v>
      </c>
      <c r="M267">
        <f t="shared" si="26"/>
        <v>0</v>
      </c>
      <c r="N267">
        <f t="shared" si="24"/>
        <v>0</v>
      </c>
      <c r="P267" t="e">
        <f>INDEX(Items!B$2:B$1032,MATCH($O267,Items!$A$2:$A$1032,0))</f>
        <v>#N/A</v>
      </c>
      <c r="Q267" t="e">
        <f>INDEX(Items!C$2:C$1032,MATCH($O267,Items!$A$2:$A$1032,0))</f>
        <v>#N/A</v>
      </c>
      <c r="R267" t="e">
        <f>INDEX(Items!D$2:D$1032,MATCH($O267,Items!$A$2:$A$1032,0))</f>
        <v>#N/A</v>
      </c>
    </row>
    <row r="268" spans="1:18" x14ac:dyDescent="0.25">
      <c r="A268">
        <f t="shared" si="22"/>
        <v>1</v>
      </c>
      <c r="B268" t="str">
        <f t="shared" si="23"/>
        <v/>
      </c>
      <c r="C268">
        <f t="shared" si="25"/>
        <v>1</v>
      </c>
      <c r="D268" s="4"/>
      <c r="E268" t="s">
        <v>18</v>
      </c>
      <c r="F268" t="str">
        <f>INDEX(Establishment!B$2:B$1005,MATCH($E268,Establishment!$A$2:$A$1005,0))</f>
        <v xml:space="preserve"> </v>
      </c>
      <c r="G268" t="str">
        <f>INDEX(Establishment!C$2:C$1005,MATCH($E268,Establishment!$A$2:$A$1005,0))</f>
        <v xml:space="preserve"> </v>
      </c>
      <c r="M268">
        <f t="shared" si="26"/>
        <v>0</v>
      </c>
      <c r="N268">
        <f t="shared" si="24"/>
        <v>0</v>
      </c>
      <c r="P268" t="e">
        <f>INDEX(Items!B$2:B$1032,MATCH($O268,Items!$A$2:$A$1032,0))</f>
        <v>#N/A</v>
      </c>
      <c r="Q268" t="e">
        <f>INDEX(Items!C$2:C$1032,MATCH($O268,Items!$A$2:$A$1032,0))</f>
        <v>#N/A</v>
      </c>
      <c r="R268" t="e">
        <f>INDEX(Items!D$2:D$1032,MATCH($O268,Items!$A$2:$A$1032,0))</f>
        <v>#N/A</v>
      </c>
    </row>
    <row r="269" spans="1:18" x14ac:dyDescent="0.25">
      <c r="A269">
        <f t="shared" si="22"/>
        <v>1</v>
      </c>
      <c r="B269" t="str">
        <f t="shared" si="23"/>
        <v/>
      </c>
      <c r="C269">
        <f t="shared" si="25"/>
        <v>1</v>
      </c>
      <c r="D269" s="4"/>
      <c r="E269" t="s">
        <v>18</v>
      </c>
      <c r="F269" t="str">
        <f>INDEX(Establishment!B$2:B$1005,MATCH($E269,Establishment!$A$2:$A$1005,0))</f>
        <v xml:space="preserve"> </v>
      </c>
      <c r="G269" t="str">
        <f>INDEX(Establishment!C$2:C$1005,MATCH($E269,Establishment!$A$2:$A$1005,0))</f>
        <v xml:space="preserve"> </v>
      </c>
      <c r="M269">
        <f t="shared" si="26"/>
        <v>0</v>
      </c>
      <c r="N269">
        <f t="shared" si="24"/>
        <v>0</v>
      </c>
      <c r="P269" t="e">
        <f>INDEX(Items!B$2:B$1032,MATCH($O269,Items!$A$2:$A$1032,0))</f>
        <v>#N/A</v>
      </c>
      <c r="Q269" t="e">
        <f>INDEX(Items!C$2:C$1032,MATCH($O269,Items!$A$2:$A$1032,0))</f>
        <v>#N/A</v>
      </c>
      <c r="R269" t="e">
        <f>INDEX(Items!D$2:D$1032,MATCH($O269,Items!$A$2:$A$1032,0))</f>
        <v>#N/A</v>
      </c>
    </row>
    <row r="270" spans="1:18" x14ac:dyDescent="0.25">
      <c r="A270">
        <f t="shared" si="22"/>
        <v>1</v>
      </c>
      <c r="B270" t="str">
        <f t="shared" si="23"/>
        <v/>
      </c>
      <c r="C270">
        <f t="shared" si="25"/>
        <v>1</v>
      </c>
      <c r="D270" s="4"/>
      <c r="E270" t="s">
        <v>18</v>
      </c>
      <c r="F270" t="str">
        <f>INDEX(Establishment!B$2:B$1005,MATCH($E270,Establishment!$A$2:$A$1005,0))</f>
        <v xml:space="preserve"> </v>
      </c>
      <c r="G270" t="str">
        <f>INDEX(Establishment!C$2:C$1005,MATCH($E270,Establishment!$A$2:$A$1005,0))</f>
        <v xml:space="preserve"> </v>
      </c>
      <c r="M270">
        <f t="shared" si="26"/>
        <v>0</v>
      </c>
      <c r="N270">
        <f t="shared" si="24"/>
        <v>0</v>
      </c>
      <c r="P270" t="e">
        <f>INDEX(Items!B$2:B$1032,MATCH($O270,Items!$A$2:$A$1032,0))</f>
        <v>#N/A</v>
      </c>
      <c r="Q270" t="e">
        <f>INDEX(Items!C$2:C$1032,MATCH($O270,Items!$A$2:$A$1032,0))</f>
        <v>#N/A</v>
      </c>
      <c r="R270" t="e">
        <f>INDEX(Items!D$2:D$1032,MATCH($O270,Items!$A$2:$A$1032,0))</f>
        <v>#N/A</v>
      </c>
    </row>
    <row r="271" spans="1:18" x14ac:dyDescent="0.25">
      <c r="A271">
        <f t="shared" si="22"/>
        <v>1</v>
      </c>
      <c r="B271" t="str">
        <f t="shared" si="23"/>
        <v/>
      </c>
      <c r="C271">
        <f t="shared" si="25"/>
        <v>1</v>
      </c>
      <c r="D271" s="4"/>
      <c r="E271" t="s">
        <v>18</v>
      </c>
      <c r="F271" t="str">
        <f>INDEX(Establishment!B$2:B$1005,MATCH($E271,Establishment!$A$2:$A$1005,0))</f>
        <v xml:space="preserve"> </v>
      </c>
      <c r="G271" t="str">
        <f>INDEX(Establishment!C$2:C$1005,MATCH($E271,Establishment!$A$2:$A$1005,0))</f>
        <v xml:space="preserve"> </v>
      </c>
      <c r="M271">
        <f t="shared" si="26"/>
        <v>0</v>
      </c>
      <c r="N271">
        <f t="shared" si="24"/>
        <v>0</v>
      </c>
      <c r="P271" t="e">
        <f>INDEX(Items!B$2:B$1032,MATCH($O271,Items!$A$2:$A$1032,0))</f>
        <v>#N/A</v>
      </c>
      <c r="Q271" t="e">
        <f>INDEX(Items!C$2:C$1032,MATCH($O271,Items!$A$2:$A$1032,0))</f>
        <v>#N/A</v>
      </c>
      <c r="R271" t="e">
        <f>INDEX(Items!D$2:D$1032,MATCH($O271,Items!$A$2:$A$1032,0))</f>
        <v>#N/A</v>
      </c>
    </row>
    <row r="272" spans="1:18" x14ac:dyDescent="0.25">
      <c r="A272">
        <f t="shared" si="22"/>
        <v>1</v>
      </c>
      <c r="B272" t="str">
        <f t="shared" si="23"/>
        <v/>
      </c>
      <c r="C272">
        <f t="shared" si="25"/>
        <v>1</v>
      </c>
      <c r="D272" s="4"/>
      <c r="E272" t="s">
        <v>18</v>
      </c>
      <c r="F272" t="str">
        <f>INDEX(Establishment!B$2:B$1005,MATCH($E272,Establishment!$A$2:$A$1005,0))</f>
        <v xml:space="preserve"> </v>
      </c>
      <c r="G272" t="str">
        <f>INDEX(Establishment!C$2:C$1005,MATCH($E272,Establishment!$A$2:$A$1005,0))</f>
        <v xml:space="preserve"> </v>
      </c>
      <c r="M272">
        <f t="shared" si="26"/>
        <v>0</v>
      </c>
      <c r="N272">
        <f t="shared" si="24"/>
        <v>0</v>
      </c>
      <c r="P272" t="e">
        <f>INDEX(Items!B$2:B$1032,MATCH($O272,Items!$A$2:$A$1032,0))</f>
        <v>#N/A</v>
      </c>
      <c r="Q272" t="e">
        <f>INDEX(Items!C$2:C$1032,MATCH($O272,Items!$A$2:$A$1032,0))</f>
        <v>#N/A</v>
      </c>
      <c r="R272" t="e">
        <f>INDEX(Items!D$2:D$1032,MATCH($O272,Items!$A$2:$A$1032,0))</f>
        <v>#N/A</v>
      </c>
    </row>
    <row r="273" spans="1:18" x14ac:dyDescent="0.25">
      <c r="A273">
        <f t="shared" si="22"/>
        <v>1</v>
      </c>
      <c r="B273" t="str">
        <f t="shared" si="23"/>
        <v/>
      </c>
      <c r="C273">
        <f t="shared" si="25"/>
        <v>1</v>
      </c>
      <c r="D273" s="4"/>
      <c r="E273" t="s">
        <v>18</v>
      </c>
      <c r="F273" t="str">
        <f>INDEX(Establishment!B$2:B$1005,MATCH($E273,Establishment!$A$2:$A$1005,0))</f>
        <v xml:space="preserve"> </v>
      </c>
      <c r="G273" t="str">
        <f>INDEX(Establishment!C$2:C$1005,MATCH($E273,Establishment!$A$2:$A$1005,0))</f>
        <v xml:space="preserve"> </v>
      </c>
      <c r="M273">
        <f t="shared" si="26"/>
        <v>0</v>
      </c>
      <c r="N273">
        <f t="shared" si="24"/>
        <v>0</v>
      </c>
      <c r="P273" t="e">
        <f>INDEX(Items!B$2:B$1032,MATCH($O273,Items!$A$2:$A$1032,0))</f>
        <v>#N/A</v>
      </c>
      <c r="Q273" t="e">
        <f>INDEX(Items!C$2:C$1032,MATCH($O273,Items!$A$2:$A$1032,0))</f>
        <v>#N/A</v>
      </c>
      <c r="R273" t="e">
        <f>INDEX(Items!D$2:D$1032,MATCH($O273,Items!$A$2:$A$1032,0))</f>
        <v>#N/A</v>
      </c>
    </row>
    <row r="274" spans="1:18" x14ac:dyDescent="0.25">
      <c r="A274">
        <f t="shared" si="22"/>
        <v>1</v>
      </c>
      <c r="B274" t="str">
        <f t="shared" si="23"/>
        <v/>
      </c>
      <c r="C274">
        <f t="shared" si="25"/>
        <v>1</v>
      </c>
      <c r="D274" s="4"/>
      <c r="E274" t="s">
        <v>18</v>
      </c>
      <c r="F274" t="str">
        <f>INDEX(Establishment!B$2:B$1005,MATCH($E274,Establishment!$A$2:$A$1005,0))</f>
        <v xml:space="preserve"> </v>
      </c>
      <c r="G274" t="str">
        <f>INDEX(Establishment!C$2:C$1005,MATCH($E274,Establishment!$A$2:$A$1005,0))</f>
        <v xml:space="preserve"> </v>
      </c>
      <c r="M274">
        <f t="shared" si="26"/>
        <v>0</v>
      </c>
      <c r="N274">
        <f t="shared" si="24"/>
        <v>0</v>
      </c>
      <c r="P274" t="e">
        <f>INDEX(Items!B$2:B$1032,MATCH($O274,Items!$A$2:$A$1032,0))</f>
        <v>#N/A</v>
      </c>
      <c r="Q274" t="e">
        <f>INDEX(Items!C$2:C$1032,MATCH($O274,Items!$A$2:$A$1032,0))</f>
        <v>#N/A</v>
      </c>
      <c r="R274" t="e">
        <f>INDEX(Items!D$2:D$1032,MATCH($O274,Items!$A$2:$A$1032,0))</f>
        <v>#N/A</v>
      </c>
    </row>
    <row r="275" spans="1:18" x14ac:dyDescent="0.25">
      <c r="A275">
        <f t="shared" si="22"/>
        <v>1</v>
      </c>
      <c r="B275" t="str">
        <f t="shared" si="23"/>
        <v/>
      </c>
      <c r="C275">
        <f t="shared" si="25"/>
        <v>1</v>
      </c>
      <c r="D275" s="4"/>
      <c r="E275" t="s">
        <v>18</v>
      </c>
      <c r="F275" t="str">
        <f>INDEX(Establishment!B$2:B$1005,MATCH($E275,Establishment!$A$2:$A$1005,0))</f>
        <v xml:space="preserve"> </v>
      </c>
      <c r="G275" t="str">
        <f>INDEX(Establishment!C$2:C$1005,MATCH($E275,Establishment!$A$2:$A$1005,0))</f>
        <v xml:space="preserve"> </v>
      </c>
      <c r="M275">
        <f t="shared" si="26"/>
        <v>0</v>
      </c>
      <c r="N275">
        <f t="shared" si="24"/>
        <v>0</v>
      </c>
      <c r="P275" t="e">
        <f>INDEX(Items!B$2:B$1032,MATCH($O275,Items!$A$2:$A$1032,0))</f>
        <v>#N/A</v>
      </c>
      <c r="Q275" t="e">
        <f>INDEX(Items!C$2:C$1032,MATCH($O275,Items!$A$2:$A$1032,0))</f>
        <v>#N/A</v>
      </c>
      <c r="R275" t="e">
        <f>INDEX(Items!D$2:D$1032,MATCH($O275,Items!$A$2:$A$1032,0))</f>
        <v>#N/A</v>
      </c>
    </row>
    <row r="276" spans="1:18" x14ac:dyDescent="0.25">
      <c r="A276">
        <f t="shared" si="22"/>
        <v>1</v>
      </c>
      <c r="B276" t="str">
        <f t="shared" si="23"/>
        <v/>
      </c>
      <c r="C276">
        <f t="shared" si="25"/>
        <v>1</v>
      </c>
      <c r="D276" s="4"/>
      <c r="E276" t="s">
        <v>18</v>
      </c>
      <c r="F276" t="str">
        <f>INDEX(Establishment!B$2:B$1005,MATCH($E276,Establishment!$A$2:$A$1005,0))</f>
        <v xml:space="preserve"> </v>
      </c>
      <c r="G276" t="str">
        <f>INDEX(Establishment!C$2:C$1005,MATCH($E276,Establishment!$A$2:$A$1005,0))</f>
        <v xml:space="preserve"> </v>
      </c>
      <c r="M276">
        <f t="shared" si="26"/>
        <v>0</v>
      </c>
      <c r="N276">
        <f t="shared" si="24"/>
        <v>0</v>
      </c>
      <c r="P276" t="e">
        <f>INDEX(Items!B$2:B$1032,MATCH($O276,Items!$A$2:$A$1032,0))</f>
        <v>#N/A</v>
      </c>
      <c r="Q276" t="e">
        <f>INDEX(Items!C$2:C$1032,MATCH($O276,Items!$A$2:$A$1032,0))</f>
        <v>#N/A</v>
      </c>
      <c r="R276" t="e">
        <f>INDEX(Items!D$2:D$1032,MATCH($O276,Items!$A$2:$A$1032,0))</f>
        <v>#N/A</v>
      </c>
    </row>
    <row r="277" spans="1:18" x14ac:dyDescent="0.25">
      <c r="A277">
        <f t="shared" si="22"/>
        <v>1</v>
      </c>
      <c r="B277" t="str">
        <f t="shared" si="23"/>
        <v/>
      </c>
      <c r="C277">
        <f t="shared" si="25"/>
        <v>1</v>
      </c>
      <c r="D277" s="4"/>
      <c r="E277" t="s">
        <v>18</v>
      </c>
      <c r="F277" t="str">
        <f>INDEX(Establishment!B$2:B$1005,MATCH($E277,Establishment!$A$2:$A$1005,0))</f>
        <v xml:space="preserve"> </v>
      </c>
      <c r="G277" t="str">
        <f>INDEX(Establishment!C$2:C$1005,MATCH($E277,Establishment!$A$2:$A$1005,0))</f>
        <v xml:space="preserve"> </v>
      </c>
      <c r="M277">
        <f t="shared" si="26"/>
        <v>0</v>
      </c>
      <c r="N277">
        <f t="shared" si="24"/>
        <v>0</v>
      </c>
      <c r="P277" t="e">
        <f>INDEX(Items!B$2:B$1032,MATCH($O277,Items!$A$2:$A$1032,0))</f>
        <v>#N/A</v>
      </c>
      <c r="Q277" t="e">
        <f>INDEX(Items!C$2:C$1032,MATCH($O277,Items!$A$2:$A$1032,0))</f>
        <v>#N/A</v>
      </c>
      <c r="R277" t="e">
        <f>INDEX(Items!D$2:D$1032,MATCH($O277,Items!$A$2:$A$1032,0))</f>
        <v>#N/A</v>
      </c>
    </row>
    <row r="278" spans="1:18" x14ac:dyDescent="0.25">
      <c r="A278">
        <f t="shared" si="22"/>
        <v>1</v>
      </c>
      <c r="B278" t="str">
        <f t="shared" si="23"/>
        <v/>
      </c>
      <c r="C278">
        <f t="shared" si="25"/>
        <v>1</v>
      </c>
      <c r="D278" s="4"/>
      <c r="E278" t="s">
        <v>18</v>
      </c>
      <c r="F278" t="str">
        <f>INDEX(Establishment!B$2:B$1005,MATCH($E278,Establishment!$A$2:$A$1005,0))</f>
        <v xml:space="preserve"> </v>
      </c>
      <c r="G278" t="str">
        <f>INDEX(Establishment!C$2:C$1005,MATCH($E278,Establishment!$A$2:$A$1005,0))</f>
        <v xml:space="preserve"> </v>
      </c>
      <c r="M278">
        <f t="shared" si="26"/>
        <v>0</v>
      </c>
      <c r="N278">
        <f t="shared" si="24"/>
        <v>0</v>
      </c>
      <c r="P278" t="e">
        <f>INDEX(Items!B$2:B$1032,MATCH($O278,Items!$A$2:$A$1032,0))</f>
        <v>#N/A</v>
      </c>
      <c r="Q278" t="e">
        <f>INDEX(Items!C$2:C$1032,MATCH($O278,Items!$A$2:$A$1032,0))</f>
        <v>#N/A</v>
      </c>
      <c r="R278" t="e">
        <f>INDEX(Items!D$2:D$1032,MATCH($O278,Items!$A$2:$A$1032,0))</f>
        <v>#N/A</v>
      </c>
    </row>
    <row r="279" spans="1:18" x14ac:dyDescent="0.25">
      <c r="A279">
        <f t="shared" si="22"/>
        <v>1</v>
      </c>
      <c r="B279" t="str">
        <f t="shared" si="23"/>
        <v/>
      </c>
      <c r="C279">
        <f t="shared" si="25"/>
        <v>1</v>
      </c>
      <c r="D279" s="4"/>
      <c r="E279" t="s">
        <v>18</v>
      </c>
      <c r="F279" t="str">
        <f>INDEX(Establishment!B$2:B$1005,MATCH($E279,Establishment!$A$2:$A$1005,0))</f>
        <v xml:space="preserve"> </v>
      </c>
      <c r="G279" t="str">
        <f>INDEX(Establishment!C$2:C$1005,MATCH($E279,Establishment!$A$2:$A$1005,0))</f>
        <v xml:space="preserve"> </v>
      </c>
      <c r="M279">
        <f t="shared" si="26"/>
        <v>0</v>
      </c>
      <c r="N279">
        <f t="shared" si="24"/>
        <v>0</v>
      </c>
      <c r="P279" t="e">
        <f>INDEX(Items!B$2:B$1032,MATCH($O279,Items!$A$2:$A$1032,0))</f>
        <v>#N/A</v>
      </c>
      <c r="Q279" t="e">
        <f>INDEX(Items!C$2:C$1032,MATCH($O279,Items!$A$2:$A$1032,0))</f>
        <v>#N/A</v>
      </c>
      <c r="R279" t="e">
        <f>INDEX(Items!D$2:D$1032,MATCH($O279,Items!$A$2:$A$1032,0))</f>
        <v>#N/A</v>
      </c>
    </row>
    <row r="280" spans="1:18" x14ac:dyDescent="0.25">
      <c r="A280">
        <f t="shared" si="22"/>
        <v>1</v>
      </c>
      <c r="B280" t="str">
        <f t="shared" si="23"/>
        <v/>
      </c>
      <c r="C280">
        <f t="shared" si="25"/>
        <v>1</v>
      </c>
      <c r="D280" s="4"/>
      <c r="E280" t="s">
        <v>18</v>
      </c>
      <c r="F280" t="str">
        <f>INDEX(Establishment!B$2:B$1005,MATCH($E280,Establishment!$A$2:$A$1005,0))</f>
        <v xml:space="preserve"> </v>
      </c>
      <c r="G280" t="str">
        <f>INDEX(Establishment!C$2:C$1005,MATCH($E280,Establishment!$A$2:$A$1005,0))</f>
        <v xml:space="preserve"> </v>
      </c>
      <c r="M280">
        <f t="shared" si="26"/>
        <v>0</v>
      </c>
      <c r="N280">
        <f t="shared" si="24"/>
        <v>0</v>
      </c>
      <c r="P280" t="e">
        <f>INDEX(Items!B$2:B$1032,MATCH($O280,Items!$A$2:$A$1032,0))</f>
        <v>#N/A</v>
      </c>
      <c r="Q280" t="e">
        <f>INDEX(Items!C$2:C$1032,MATCH($O280,Items!$A$2:$A$1032,0))</f>
        <v>#N/A</v>
      </c>
      <c r="R280" t="e">
        <f>INDEX(Items!D$2:D$1032,MATCH($O280,Items!$A$2:$A$1032,0))</f>
        <v>#N/A</v>
      </c>
    </row>
    <row r="281" spans="1:18" x14ac:dyDescent="0.25">
      <c r="A281">
        <f t="shared" si="22"/>
        <v>1</v>
      </c>
      <c r="B281" t="str">
        <f t="shared" si="23"/>
        <v/>
      </c>
      <c r="C281">
        <f t="shared" si="25"/>
        <v>1</v>
      </c>
      <c r="D281" s="4"/>
      <c r="E281" t="s">
        <v>18</v>
      </c>
      <c r="F281" t="str">
        <f>INDEX(Establishment!B$2:B$1005,MATCH($E281,Establishment!$A$2:$A$1005,0))</f>
        <v xml:space="preserve"> </v>
      </c>
      <c r="G281" t="str">
        <f>INDEX(Establishment!C$2:C$1005,MATCH($E281,Establishment!$A$2:$A$1005,0))</f>
        <v xml:space="preserve"> </v>
      </c>
      <c r="M281">
        <f t="shared" si="26"/>
        <v>0</v>
      </c>
      <c r="N281">
        <f t="shared" si="24"/>
        <v>0</v>
      </c>
      <c r="P281" t="e">
        <f>INDEX(Items!B$2:B$1032,MATCH($O281,Items!$A$2:$A$1032,0))</f>
        <v>#N/A</v>
      </c>
      <c r="Q281" t="e">
        <f>INDEX(Items!C$2:C$1032,MATCH($O281,Items!$A$2:$A$1032,0))</f>
        <v>#N/A</v>
      </c>
      <c r="R281" t="e">
        <f>INDEX(Items!D$2:D$1032,MATCH($O281,Items!$A$2:$A$1032,0))</f>
        <v>#N/A</v>
      </c>
    </row>
    <row r="282" spans="1:18" x14ac:dyDescent="0.25">
      <c r="A282">
        <f t="shared" si="22"/>
        <v>1</v>
      </c>
      <c r="B282" t="str">
        <f t="shared" si="23"/>
        <v/>
      </c>
      <c r="C282">
        <f t="shared" si="25"/>
        <v>1</v>
      </c>
      <c r="D282" s="4"/>
      <c r="E282" t="s">
        <v>18</v>
      </c>
      <c r="F282" t="str">
        <f>INDEX(Establishment!B$2:B$1005,MATCH($E282,Establishment!$A$2:$A$1005,0))</f>
        <v xml:space="preserve"> </v>
      </c>
      <c r="G282" t="str">
        <f>INDEX(Establishment!C$2:C$1005,MATCH($E282,Establishment!$A$2:$A$1005,0))</f>
        <v xml:space="preserve"> </v>
      </c>
      <c r="M282">
        <f t="shared" si="26"/>
        <v>0</v>
      </c>
      <c r="N282">
        <f t="shared" si="24"/>
        <v>0</v>
      </c>
      <c r="P282" t="e">
        <f>INDEX(Items!B$2:B$1032,MATCH($O282,Items!$A$2:$A$1032,0))</f>
        <v>#N/A</v>
      </c>
      <c r="Q282" t="e">
        <f>INDEX(Items!C$2:C$1032,MATCH($O282,Items!$A$2:$A$1032,0))</f>
        <v>#N/A</v>
      </c>
      <c r="R282" t="e">
        <f>INDEX(Items!D$2:D$1032,MATCH($O282,Items!$A$2:$A$1032,0))</f>
        <v>#N/A</v>
      </c>
    </row>
    <row r="283" spans="1:18" x14ac:dyDescent="0.25">
      <c r="A283">
        <f t="shared" si="22"/>
        <v>1</v>
      </c>
      <c r="B283" t="str">
        <f t="shared" si="23"/>
        <v/>
      </c>
      <c r="C283">
        <f t="shared" si="25"/>
        <v>1</v>
      </c>
      <c r="D283" s="4"/>
      <c r="E283" t="s">
        <v>18</v>
      </c>
      <c r="F283" t="str">
        <f>INDEX(Establishment!B$2:B$1005,MATCH($E283,Establishment!$A$2:$A$1005,0))</f>
        <v xml:space="preserve"> </v>
      </c>
      <c r="G283" t="str">
        <f>INDEX(Establishment!C$2:C$1005,MATCH($E283,Establishment!$A$2:$A$1005,0))</f>
        <v xml:space="preserve"> </v>
      </c>
      <c r="M283">
        <f t="shared" si="26"/>
        <v>0</v>
      </c>
      <c r="N283">
        <f t="shared" si="24"/>
        <v>0</v>
      </c>
      <c r="P283" t="e">
        <f>INDEX(Items!B$2:B$1032,MATCH($O283,Items!$A$2:$A$1032,0))</f>
        <v>#N/A</v>
      </c>
      <c r="Q283" t="e">
        <f>INDEX(Items!C$2:C$1032,MATCH($O283,Items!$A$2:$A$1032,0))</f>
        <v>#N/A</v>
      </c>
      <c r="R283" t="e">
        <f>INDEX(Items!D$2:D$1032,MATCH($O283,Items!$A$2:$A$1032,0))</f>
        <v>#N/A</v>
      </c>
    </row>
    <row r="284" spans="1:18" x14ac:dyDescent="0.25">
      <c r="A284">
        <f t="shared" si="22"/>
        <v>1</v>
      </c>
      <c r="B284" t="str">
        <f t="shared" si="23"/>
        <v/>
      </c>
      <c r="C284">
        <f t="shared" si="25"/>
        <v>1</v>
      </c>
      <c r="D284" s="4"/>
      <c r="E284" t="s">
        <v>18</v>
      </c>
      <c r="F284" t="str">
        <f>INDEX(Establishment!B$2:B$1005,MATCH($E284,Establishment!$A$2:$A$1005,0))</f>
        <v xml:space="preserve"> </v>
      </c>
      <c r="G284" t="str">
        <f>INDEX(Establishment!C$2:C$1005,MATCH($E284,Establishment!$A$2:$A$1005,0))</f>
        <v xml:space="preserve"> </v>
      </c>
      <c r="M284">
        <f t="shared" si="26"/>
        <v>0</v>
      </c>
      <c r="N284">
        <f t="shared" si="24"/>
        <v>0</v>
      </c>
      <c r="P284" t="e">
        <f>INDEX(Items!B$2:B$1032,MATCH($O284,Items!$A$2:$A$1032,0))</f>
        <v>#N/A</v>
      </c>
      <c r="Q284" t="e">
        <f>INDEX(Items!C$2:C$1032,MATCH($O284,Items!$A$2:$A$1032,0))</f>
        <v>#N/A</v>
      </c>
      <c r="R284" t="e">
        <f>INDEX(Items!D$2:D$1032,MATCH($O284,Items!$A$2:$A$1032,0))</f>
        <v>#N/A</v>
      </c>
    </row>
    <row r="285" spans="1:18" x14ac:dyDescent="0.25">
      <c r="A285">
        <f t="shared" si="22"/>
        <v>1</v>
      </c>
      <c r="B285" t="str">
        <f t="shared" si="23"/>
        <v/>
      </c>
      <c r="C285">
        <f t="shared" si="25"/>
        <v>1</v>
      </c>
      <c r="D285" s="4"/>
      <c r="E285" t="s">
        <v>18</v>
      </c>
      <c r="F285" t="str">
        <f>INDEX(Establishment!B$2:B$1005,MATCH($E285,Establishment!$A$2:$A$1005,0))</f>
        <v xml:space="preserve"> </v>
      </c>
      <c r="G285" t="str">
        <f>INDEX(Establishment!C$2:C$1005,MATCH($E285,Establishment!$A$2:$A$1005,0))</f>
        <v xml:space="preserve"> </v>
      </c>
      <c r="M285">
        <f t="shared" si="26"/>
        <v>0</v>
      </c>
      <c r="N285">
        <f t="shared" si="24"/>
        <v>0</v>
      </c>
      <c r="P285" t="e">
        <f>INDEX(Items!B$2:B$1032,MATCH($O285,Items!$A$2:$A$1032,0))</f>
        <v>#N/A</v>
      </c>
      <c r="Q285" t="e">
        <f>INDEX(Items!C$2:C$1032,MATCH($O285,Items!$A$2:$A$1032,0))</f>
        <v>#N/A</v>
      </c>
      <c r="R285" t="e">
        <f>INDEX(Items!D$2:D$1032,MATCH($O285,Items!$A$2:$A$1032,0))</f>
        <v>#N/A</v>
      </c>
    </row>
    <row r="286" spans="1:18" x14ac:dyDescent="0.25">
      <c r="A286">
        <f t="shared" si="22"/>
        <v>1</v>
      </c>
      <c r="B286" t="str">
        <f t="shared" si="23"/>
        <v/>
      </c>
      <c r="C286">
        <f t="shared" si="25"/>
        <v>1</v>
      </c>
      <c r="D286" s="4"/>
      <c r="E286" t="s">
        <v>18</v>
      </c>
      <c r="F286" t="str">
        <f>INDEX(Establishment!B$2:B$1005,MATCH($E286,Establishment!$A$2:$A$1005,0))</f>
        <v xml:space="preserve"> </v>
      </c>
      <c r="G286" t="str">
        <f>INDEX(Establishment!C$2:C$1005,MATCH($E286,Establishment!$A$2:$A$1005,0))</f>
        <v xml:space="preserve"> </v>
      </c>
      <c r="M286">
        <f t="shared" si="26"/>
        <v>0</v>
      </c>
      <c r="N286">
        <f t="shared" si="24"/>
        <v>0</v>
      </c>
      <c r="P286" t="e">
        <f>INDEX(Items!B$2:B$1032,MATCH($O286,Items!$A$2:$A$1032,0))</f>
        <v>#N/A</v>
      </c>
      <c r="Q286" t="e">
        <f>INDEX(Items!C$2:C$1032,MATCH($O286,Items!$A$2:$A$1032,0))</f>
        <v>#N/A</v>
      </c>
      <c r="R286" t="e">
        <f>INDEX(Items!D$2:D$1032,MATCH($O286,Items!$A$2:$A$1032,0))</f>
        <v>#N/A</v>
      </c>
    </row>
    <row r="287" spans="1:18" x14ac:dyDescent="0.25">
      <c r="A287">
        <f t="shared" si="22"/>
        <v>1</v>
      </c>
      <c r="B287" t="str">
        <f t="shared" si="23"/>
        <v/>
      </c>
      <c r="C287">
        <f t="shared" si="25"/>
        <v>1</v>
      </c>
      <c r="D287" s="4"/>
      <c r="E287" t="s">
        <v>18</v>
      </c>
      <c r="F287" t="str">
        <f>INDEX(Establishment!B$2:B$1005,MATCH($E287,Establishment!$A$2:$A$1005,0))</f>
        <v xml:space="preserve"> </v>
      </c>
      <c r="G287" t="str">
        <f>INDEX(Establishment!C$2:C$1005,MATCH($E287,Establishment!$A$2:$A$1005,0))</f>
        <v xml:space="preserve"> </v>
      </c>
      <c r="M287">
        <f t="shared" si="26"/>
        <v>0</v>
      </c>
      <c r="N287">
        <f t="shared" si="24"/>
        <v>0</v>
      </c>
      <c r="P287" t="e">
        <f>INDEX(Items!B$2:B$1032,MATCH($O287,Items!$A$2:$A$1032,0))</f>
        <v>#N/A</v>
      </c>
      <c r="Q287" t="e">
        <f>INDEX(Items!C$2:C$1032,MATCH($O287,Items!$A$2:$A$1032,0))</f>
        <v>#N/A</v>
      </c>
      <c r="R287" t="e">
        <f>INDEX(Items!D$2:D$1032,MATCH($O287,Items!$A$2:$A$1032,0))</f>
        <v>#N/A</v>
      </c>
    </row>
    <row r="288" spans="1:18" x14ac:dyDescent="0.25">
      <c r="A288">
        <f t="shared" si="22"/>
        <v>1</v>
      </c>
      <c r="B288" t="str">
        <f t="shared" si="23"/>
        <v/>
      </c>
      <c r="C288">
        <f t="shared" si="25"/>
        <v>1</v>
      </c>
      <c r="D288" s="4"/>
      <c r="E288" t="s">
        <v>18</v>
      </c>
      <c r="F288" t="str">
        <f>INDEX(Establishment!B$2:B$1005,MATCH($E288,Establishment!$A$2:$A$1005,0))</f>
        <v xml:space="preserve"> </v>
      </c>
      <c r="G288" t="str">
        <f>INDEX(Establishment!C$2:C$1005,MATCH($E288,Establishment!$A$2:$A$1005,0))</f>
        <v xml:space="preserve"> </v>
      </c>
      <c r="M288">
        <f t="shared" si="26"/>
        <v>0</v>
      </c>
      <c r="N288">
        <f t="shared" si="24"/>
        <v>0</v>
      </c>
      <c r="P288" t="e">
        <f>INDEX(Items!B$2:B$1032,MATCH($O288,Items!$A$2:$A$1032,0))</f>
        <v>#N/A</v>
      </c>
      <c r="Q288" t="e">
        <f>INDEX(Items!C$2:C$1032,MATCH($O288,Items!$A$2:$A$1032,0))</f>
        <v>#N/A</v>
      </c>
      <c r="R288" t="e">
        <f>INDEX(Items!D$2:D$1032,MATCH($O288,Items!$A$2:$A$1032,0))</f>
        <v>#N/A</v>
      </c>
    </row>
    <row r="289" spans="1:18" x14ac:dyDescent="0.25">
      <c r="A289">
        <f t="shared" si="22"/>
        <v>1</v>
      </c>
      <c r="B289" t="str">
        <f t="shared" si="23"/>
        <v/>
      </c>
      <c r="C289">
        <f t="shared" si="25"/>
        <v>1</v>
      </c>
      <c r="D289" s="4"/>
      <c r="E289" t="s">
        <v>18</v>
      </c>
      <c r="F289" t="str">
        <f>INDEX(Establishment!B$2:B$1005,MATCH($E289,Establishment!$A$2:$A$1005,0))</f>
        <v xml:space="preserve"> </v>
      </c>
      <c r="G289" t="str">
        <f>INDEX(Establishment!C$2:C$1005,MATCH($E289,Establishment!$A$2:$A$1005,0))</f>
        <v xml:space="preserve"> </v>
      </c>
      <c r="M289">
        <f t="shared" si="26"/>
        <v>0</v>
      </c>
      <c r="N289">
        <f t="shared" si="24"/>
        <v>0</v>
      </c>
      <c r="P289" t="e">
        <f>INDEX(Items!B$2:B$1032,MATCH($O289,Items!$A$2:$A$1032,0))</f>
        <v>#N/A</v>
      </c>
      <c r="Q289" t="e">
        <f>INDEX(Items!C$2:C$1032,MATCH($O289,Items!$A$2:$A$1032,0))</f>
        <v>#N/A</v>
      </c>
      <c r="R289" t="e">
        <f>INDEX(Items!D$2:D$1032,MATCH($O289,Items!$A$2:$A$1032,0))</f>
        <v>#N/A</v>
      </c>
    </row>
    <row r="290" spans="1:18" x14ac:dyDescent="0.25">
      <c r="A290">
        <f t="shared" si="22"/>
        <v>1</v>
      </c>
      <c r="B290" t="str">
        <f t="shared" si="23"/>
        <v/>
      </c>
      <c r="C290">
        <f t="shared" si="25"/>
        <v>1</v>
      </c>
      <c r="D290" s="4"/>
      <c r="E290" t="s">
        <v>18</v>
      </c>
      <c r="F290" t="str">
        <f>INDEX(Establishment!B$2:B$1005,MATCH($E290,Establishment!$A$2:$A$1005,0))</f>
        <v xml:space="preserve"> </v>
      </c>
      <c r="G290" t="str">
        <f>INDEX(Establishment!C$2:C$1005,MATCH($E290,Establishment!$A$2:$A$1005,0))</f>
        <v xml:space="preserve"> </v>
      </c>
      <c r="M290">
        <f t="shared" si="26"/>
        <v>0</v>
      </c>
      <c r="N290">
        <f t="shared" si="24"/>
        <v>0</v>
      </c>
      <c r="P290" t="e">
        <f>INDEX(Items!B$2:B$1032,MATCH($O290,Items!$A$2:$A$1032,0))</f>
        <v>#N/A</v>
      </c>
      <c r="Q290" t="e">
        <f>INDEX(Items!C$2:C$1032,MATCH($O290,Items!$A$2:$A$1032,0))</f>
        <v>#N/A</v>
      </c>
      <c r="R290" t="e">
        <f>INDEX(Items!D$2:D$1032,MATCH($O290,Items!$A$2:$A$1032,0))</f>
        <v>#N/A</v>
      </c>
    </row>
    <row r="291" spans="1:18" x14ac:dyDescent="0.25">
      <c r="A291">
        <f t="shared" si="22"/>
        <v>1</v>
      </c>
      <c r="B291" t="str">
        <f t="shared" si="23"/>
        <v/>
      </c>
      <c r="C291">
        <f t="shared" si="25"/>
        <v>1</v>
      </c>
      <c r="D291" s="4"/>
      <c r="E291" t="s">
        <v>18</v>
      </c>
      <c r="F291" t="str">
        <f>INDEX(Establishment!B$2:B$1005,MATCH($E291,Establishment!$A$2:$A$1005,0))</f>
        <v xml:space="preserve"> </v>
      </c>
      <c r="G291" t="str">
        <f>INDEX(Establishment!C$2:C$1005,MATCH($E291,Establishment!$A$2:$A$1005,0))</f>
        <v xml:space="preserve"> </v>
      </c>
      <c r="M291">
        <f t="shared" si="26"/>
        <v>0</v>
      </c>
      <c r="N291">
        <f t="shared" si="24"/>
        <v>0</v>
      </c>
      <c r="P291" t="e">
        <f>INDEX(Items!B$2:B$1032,MATCH($O291,Items!$A$2:$A$1032,0))</f>
        <v>#N/A</v>
      </c>
      <c r="Q291" t="e">
        <f>INDEX(Items!C$2:C$1032,MATCH($O291,Items!$A$2:$A$1032,0))</f>
        <v>#N/A</v>
      </c>
      <c r="R291" t="e">
        <f>INDEX(Items!D$2:D$1032,MATCH($O291,Items!$A$2:$A$1032,0))</f>
        <v>#N/A</v>
      </c>
    </row>
    <row r="292" spans="1:18" x14ac:dyDescent="0.25">
      <c r="A292">
        <f t="shared" si="22"/>
        <v>1</v>
      </c>
      <c r="B292" t="str">
        <f t="shared" si="23"/>
        <v/>
      </c>
      <c r="C292">
        <f t="shared" si="25"/>
        <v>1</v>
      </c>
      <c r="D292" s="4"/>
      <c r="E292" t="s">
        <v>18</v>
      </c>
      <c r="F292" t="str">
        <f>INDEX(Establishment!B$2:B$1005,MATCH($E292,Establishment!$A$2:$A$1005,0))</f>
        <v xml:space="preserve"> </v>
      </c>
      <c r="G292" t="str">
        <f>INDEX(Establishment!C$2:C$1005,MATCH($E292,Establishment!$A$2:$A$1005,0))</f>
        <v xml:space="preserve"> </v>
      </c>
      <c r="M292">
        <f t="shared" si="26"/>
        <v>0</v>
      </c>
      <c r="N292">
        <f t="shared" si="24"/>
        <v>0</v>
      </c>
      <c r="P292" t="e">
        <f>INDEX(Items!B$2:B$1032,MATCH($O292,Items!$A$2:$A$1032,0))</f>
        <v>#N/A</v>
      </c>
      <c r="Q292" t="e">
        <f>INDEX(Items!C$2:C$1032,MATCH($O292,Items!$A$2:$A$1032,0))</f>
        <v>#N/A</v>
      </c>
      <c r="R292" t="e">
        <f>INDEX(Items!D$2:D$1032,MATCH($O292,Items!$A$2:$A$1032,0))</f>
        <v>#N/A</v>
      </c>
    </row>
    <row r="293" spans="1:18" x14ac:dyDescent="0.25">
      <c r="A293">
        <f t="shared" si="22"/>
        <v>1</v>
      </c>
      <c r="B293" t="str">
        <f t="shared" si="23"/>
        <v/>
      </c>
      <c r="C293">
        <f t="shared" si="25"/>
        <v>1</v>
      </c>
      <c r="D293" s="4"/>
      <c r="E293" t="s">
        <v>18</v>
      </c>
      <c r="F293" t="str">
        <f>INDEX(Establishment!B$2:B$1005,MATCH($E293,Establishment!$A$2:$A$1005,0))</f>
        <v xml:space="preserve"> </v>
      </c>
      <c r="G293" t="str">
        <f>INDEX(Establishment!C$2:C$1005,MATCH($E293,Establishment!$A$2:$A$1005,0))</f>
        <v xml:space="preserve"> </v>
      </c>
      <c r="M293">
        <f t="shared" si="26"/>
        <v>0</v>
      </c>
      <c r="N293">
        <f t="shared" si="24"/>
        <v>0</v>
      </c>
      <c r="P293" t="e">
        <f>INDEX(Items!B$2:B$1032,MATCH($O293,Items!$A$2:$A$1032,0))</f>
        <v>#N/A</v>
      </c>
      <c r="Q293" t="e">
        <f>INDEX(Items!C$2:C$1032,MATCH($O293,Items!$A$2:$A$1032,0))</f>
        <v>#N/A</v>
      </c>
      <c r="R293" t="e">
        <f>INDEX(Items!D$2:D$1032,MATCH($O293,Items!$A$2:$A$1032,0))</f>
        <v>#N/A</v>
      </c>
    </row>
    <row r="294" spans="1:18" x14ac:dyDescent="0.25">
      <c r="A294">
        <f t="shared" si="22"/>
        <v>1</v>
      </c>
      <c r="B294" t="str">
        <f t="shared" si="23"/>
        <v/>
      </c>
      <c r="C294">
        <f t="shared" si="25"/>
        <v>1</v>
      </c>
      <c r="D294" s="4"/>
      <c r="E294" t="s">
        <v>18</v>
      </c>
      <c r="F294" t="str">
        <f>INDEX(Establishment!B$2:B$1005,MATCH($E294,Establishment!$A$2:$A$1005,0))</f>
        <v xml:space="preserve"> </v>
      </c>
      <c r="G294" t="str">
        <f>INDEX(Establishment!C$2:C$1005,MATCH($E294,Establishment!$A$2:$A$1005,0))</f>
        <v xml:space="preserve"> </v>
      </c>
      <c r="M294">
        <f t="shared" si="26"/>
        <v>0</v>
      </c>
      <c r="N294">
        <f t="shared" si="24"/>
        <v>0</v>
      </c>
      <c r="P294" t="e">
        <f>INDEX(Items!B$2:B$1032,MATCH($O294,Items!$A$2:$A$1032,0))</f>
        <v>#N/A</v>
      </c>
      <c r="Q294" t="e">
        <f>INDEX(Items!C$2:C$1032,MATCH($O294,Items!$A$2:$A$1032,0))</f>
        <v>#N/A</v>
      </c>
      <c r="R294" t="e">
        <f>INDEX(Items!D$2:D$1032,MATCH($O294,Items!$A$2:$A$1032,0))</f>
        <v>#N/A</v>
      </c>
    </row>
    <row r="295" spans="1:18" x14ac:dyDescent="0.25">
      <c r="A295">
        <f t="shared" si="22"/>
        <v>1</v>
      </c>
      <c r="B295" t="str">
        <f t="shared" si="23"/>
        <v/>
      </c>
      <c r="C295">
        <f t="shared" si="25"/>
        <v>1</v>
      </c>
      <c r="D295" s="4"/>
      <c r="E295" t="s">
        <v>18</v>
      </c>
      <c r="F295" t="str">
        <f>INDEX(Establishment!B$2:B$1005,MATCH($E295,Establishment!$A$2:$A$1005,0))</f>
        <v xml:space="preserve"> </v>
      </c>
      <c r="G295" t="str">
        <f>INDEX(Establishment!C$2:C$1005,MATCH($E295,Establishment!$A$2:$A$1005,0))</f>
        <v xml:space="preserve"> </v>
      </c>
      <c r="M295">
        <f t="shared" si="26"/>
        <v>0</v>
      </c>
      <c r="N295">
        <f t="shared" si="24"/>
        <v>0</v>
      </c>
      <c r="P295" t="e">
        <f>INDEX(Items!B$2:B$1032,MATCH($O295,Items!$A$2:$A$1032,0))</f>
        <v>#N/A</v>
      </c>
      <c r="Q295" t="e">
        <f>INDEX(Items!C$2:C$1032,MATCH($O295,Items!$A$2:$A$1032,0))</f>
        <v>#N/A</v>
      </c>
      <c r="R295" t="e">
        <f>INDEX(Items!D$2:D$1032,MATCH($O295,Items!$A$2:$A$1032,0))</f>
        <v>#N/A</v>
      </c>
    </row>
    <row r="296" spans="1:18" x14ac:dyDescent="0.25">
      <c r="A296">
        <f t="shared" si="22"/>
        <v>1</v>
      </c>
      <c r="B296" t="str">
        <f t="shared" si="23"/>
        <v/>
      </c>
      <c r="C296">
        <f t="shared" si="25"/>
        <v>1</v>
      </c>
      <c r="D296" s="4"/>
      <c r="E296" t="s">
        <v>18</v>
      </c>
      <c r="F296" t="str">
        <f>INDEX(Establishment!B$2:B$1005,MATCH($E296,Establishment!$A$2:$A$1005,0))</f>
        <v xml:space="preserve"> </v>
      </c>
      <c r="G296" t="str">
        <f>INDEX(Establishment!C$2:C$1005,MATCH($E296,Establishment!$A$2:$A$1005,0))</f>
        <v xml:space="preserve"> </v>
      </c>
      <c r="M296">
        <f t="shared" si="26"/>
        <v>0</v>
      </c>
      <c r="N296">
        <f t="shared" si="24"/>
        <v>0</v>
      </c>
      <c r="P296" t="e">
        <f>INDEX(Items!B$2:B$1032,MATCH($O296,Items!$A$2:$A$1032,0))</f>
        <v>#N/A</v>
      </c>
      <c r="Q296" t="e">
        <f>INDEX(Items!C$2:C$1032,MATCH($O296,Items!$A$2:$A$1032,0))</f>
        <v>#N/A</v>
      </c>
      <c r="R296" t="e">
        <f>INDEX(Items!D$2:D$1032,MATCH($O296,Items!$A$2:$A$1032,0))</f>
        <v>#N/A</v>
      </c>
    </row>
    <row r="297" spans="1:18" x14ac:dyDescent="0.25">
      <c r="A297">
        <f t="shared" si="22"/>
        <v>1</v>
      </c>
      <c r="B297" t="str">
        <f t="shared" si="23"/>
        <v/>
      </c>
      <c r="C297">
        <f t="shared" si="25"/>
        <v>1</v>
      </c>
      <c r="D297" s="4"/>
      <c r="E297" t="s">
        <v>18</v>
      </c>
      <c r="F297" t="str">
        <f>INDEX(Establishment!B$2:B$1005,MATCH($E297,Establishment!$A$2:$A$1005,0))</f>
        <v xml:space="preserve"> </v>
      </c>
      <c r="G297" t="str">
        <f>INDEX(Establishment!C$2:C$1005,MATCH($E297,Establishment!$A$2:$A$1005,0))</f>
        <v xml:space="preserve"> </v>
      </c>
      <c r="M297">
        <f t="shared" si="26"/>
        <v>0</v>
      </c>
      <c r="N297">
        <f t="shared" si="24"/>
        <v>0</v>
      </c>
      <c r="P297" t="e">
        <f>INDEX(Items!B$2:B$1032,MATCH($O297,Items!$A$2:$A$1032,0))</f>
        <v>#N/A</v>
      </c>
      <c r="Q297" t="e">
        <f>INDEX(Items!C$2:C$1032,MATCH($O297,Items!$A$2:$A$1032,0))</f>
        <v>#N/A</v>
      </c>
      <c r="R297" t="e">
        <f>INDEX(Items!D$2:D$1032,MATCH($O297,Items!$A$2:$A$1032,0))</f>
        <v>#N/A</v>
      </c>
    </row>
    <row r="298" spans="1:18" x14ac:dyDescent="0.25">
      <c r="A298">
        <f t="shared" si="22"/>
        <v>1</v>
      </c>
      <c r="B298" t="str">
        <f t="shared" si="23"/>
        <v/>
      </c>
      <c r="C298">
        <f t="shared" si="25"/>
        <v>1</v>
      </c>
      <c r="D298" s="4"/>
      <c r="E298" t="s">
        <v>18</v>
      </c>
      <c r="F298" t="str">
        <f>INDEX(Establishment!B$2:B$1005,MATCH($E298,Establishment!$A$2:$A$1005,0))</f>
        <v xml:space="preserve"> </v>
      </c>
      <c r="G298" t="str">
        <f>INDEX(Establishment!C$2:C$1005,MATCH($E298,Establishment!$A$2:$A$1005,0))</f>
        <v xml:space="preserve"> </v>
      </c>
      <c r="M298">
        <f t="shared" si="26"/>
        <v>0</v>
      </c>
      <c r="N298">
        <f t="shared" si="24"/>
        <v>0</v>
      </c>
      <c r="P298" t="e">
        <f>INDEX(Items!B$2:B$1032,MATCH($O298,Items!$A$2:$A$1032,0))</f>
        <v>#N/A</v>
      </c>
      <c r="Q298" t="e">
        <f>INDEX(Items!C$2:C$1032,MATCH($O298,Items!$A$2:$A$1032,0))</f>
        <v>#N/A</v>
      </c>
      <c r="R298" t="e">
        <f>INDEX(Items!D$2:D$1032,MATCH($O298,Items!$A$2:$A$1032,0))</f>
        <v>#N/A</v>
      </c>
    </row>
    <row r="299" spans="1:18" x14ac:dyDescent="0.25">
      <c r="A299">
        <f t="shared" si="22"/>
        <v>1</v>
      </c>
      <c r="B299" t="str">
        <f t="shared" si="23"/>
        <v/>
      </c>
      <c r="C299">
        <f t="shared" si="25"/>
        <v>1</v>
      </c>
      <c r="D299" s="4"/>
      <c r="E299" t="s">
        <v>18</v>
      </c>
      <c r="F299" t="str">
        <f>INDEX(Establishment!B$2:B$1005,MATCH($E299,Establishment!$A$2:$A$1005,0))</f>
        <v xml:space="preserve"> </v>
      </c>
      <c r="G299" t="str">
        <f>INDEX(Establishment!C$2:C$1005,MATCH($E299,Establishment!$A$2:$A$1005,0))</f>
        <v xml:space="preserve"> </v>
      </c>
      <c r="M299">
        <f t="shared" si="26"/>
        <v>0</v>
      </c>
      <c r="N299">
        <f t="shared" si="24"/>
        <v>0</v>
      </c>
      <c r="P299" t="e">
        <f>INDEX(Items!B$2:B$1032,MATCH($O299,Items!$A$2:$A$1032,0))</f>
        <v>#N/A</v>
      </c>
      <c r="Q299" t="e">
        <f>INDEX(Items!C$2:C$1032,MATCH($O299,Items!$A$2:$A$1032,0))</f>
        <v>#N/A</v>
      </c>
      <c r="R299" t="e">
        <f>INDEX(Items!D$2:D$1032,MATCH($O299,Items!$A$2:$A$1032,0))</f>
        <v>#N/A</v>
      </c>
    </row>
    <row r="300" spans="1:18" x14ac:dyDescent="0.25">
      <c r="A300">
        <f t="shared" si="22"/>
        <v>1</v>
      </c>
      <c r="B300" t="str">
        <f t="shared" si="23"/>
        <v/>
      </c>
      <c r="C300">
        <f t="shared" si="25"/>
        <v>1</v>
      </c>
      <c r="D300" s="4"/>
      <c r="E300" t="s">
        <v>18</v>
      </c>
      <c r="F300" t="str">
        <f>INDEX(Establishment!B$2:B$1005,MATCH($E300,Establishment!$A$2:$A$1005,0))</f>
        <v xml:space="preserve"> </v>
      </c>
      <c r="G300" t="str">
        <f>INDEX(Establishment!C$2:C$1005,MATCH($E300,Establishment!$A$2:$A$1005,0))</f>
        <v xml:space="preserve"> </v>
      </c>
      <c r="M300">
        <f t="shared" si="26"/>
        <v>0</v>
      </c>
      <c r="N300">
        <f t="shared" si="24"/>
        <v>0</v>
      </c>
      <c r="P300" t="e">
        <f>INDEX(Items!B$2:B$1032,MATCH($O300,Items!$A$2:$A$1032,0))</f>
        <v>#N/A</v>
      </c>
      <c r="Q300" t="e">
        <f>INDEX(Items!C$2:C$1032,MATCH($O300,Items!$A$2:$A$1032,0))</f>
        <v>#N/A</v>
      </c>
      <c r="R300" t="e">
        <f>INDEX(Items!D$2:D$1032,MATCH($O300,Items!$A$2:$A$1032,0))</f>
        <v>#N/A</v>
      </c>
    </row>
    <row r="301" spans="1:18" x14ac:dyDescent="0.25">
      <c r="A301">
        <f t="shared" si="22"/>
        <v>1</v>
      </c>
      <c r="B301" t="str">
        <f t="shared" si="23"/>
        <v/>
      </c>
      <c r="C301">
        <f t="shared" si="25"/>
        <v>1</v>
      </c>
      <c r="D301" s="4"/>
      <c r="E301" t="s">
        <v>18</v>
      </c>
      <c r="F301" t="str">
        <f>INDEX(Establishment!B$2:B$1005,MATCH($E301,Establishment!$A$2:$A$1005,0))</f>
        <v xml:space="preserve"> </v>
      </c>
      <c r="G301" t="str">
        <f>INDEX(Establishment!C$2:C$1005,MATCH($E301,Establishment!$A$2:$A$1005,0))</f>
        <v xml:space="preserve"> </v>
      </c>
      <c r="M301">
        <f t="shared" si="26"/>
        <v>0</v>
      </c>
      <c r="N301">
        <f t="shared" si="24"/>
        <v>0</v>
      </c>
      <c r="P301" t="e">
        <f>INDEX(Items!B$2:B$1032,MATCH($O301,Items!$A$2:$A$1032,0))</f>
        <v>#N/A</v>
      </c>
      <c r="Q301" t="e">
        <f>INDEX(Items!C$2:C$1032,MATCH($O301,Items!$A$2:$A$1032,0))</f>
        <v>#N/A</v>
      </c>
      <c r="R301" t="e">
        <f>INDEX(Items!D$2:D$1032,MATCH($O301,Items!$A$2:$A$1032,0))</f>
        <v>#N/A</v>
      </c>
    </row>
    <row r="302" spans="1:18" x14ac:dyDescent="0.25">
      <c r="A302">
        <f t="shared" si="22"/>
        <v>1</v>
      </c>
      <c r="B302" t="str">
        <f t="shared" si="23"/>
        <v/>
      </c>
      <c r="C302">
        <f t="shared" si="25"/>
        <v>1</v>
      </c>
      <c r="D302" s="4"/>
      <c r="E302" t="s">
        <v>18</v>
      </c>
      <c r="F302" t="str">
        <f>INDEX(Establishment!B$2:B$1005,MATCH($E302,Establishment!$A$2:$A$1005,0))</f>
        <v xml:space="preserve"> </v>
      </c>
      <c r="G302" t="str">
        <f>INDEX(Establishment!C$2:C$1005,MATCH($E302,Establishment!$A$2:$A$1005,0))</f>
        <v xml:space="preserve"> </v>
      </c>
      <c r="M302">
        <f t="shared" si="26"/>
        <v>0</v>
      </c>
      <c r="N302">
        <f t="shared" si="24"/>
        <v>0</v>
      </c>
      <c r="P302" t="e">
        <f>INDEX(Items!B$2:B$1032,MATCH($O302,Items!$A$2:$A$1032,0))</f>
        <v>#N/A</v>
      </c>
      <c r="Q302" t="e">
        <f>INDEX(Items!C$2:C$1032,MATCH($O302,Items!$A$2:$A$1032,0))</f>
        <v>#N/A</v>
      </c>
      <c r="R302" t="e">
        <f>INDEX(Items!D$2:D$1032,MATCH($O302,Items!$A$2:$A$1032,0))</f>
        <v>#N/A</v>
      </c>
    </row>
    <row r="303" spans="1:18" x14ac:dyDescent="0.25">
      <c r="A303">
        <f t="shared" si="22"/>
        <v>1</v>
      </c>
      <c r="B303" t="str">
        <f t="shared" si="23"/>
        <v/>
      </c>
      <c r="C303">
        <f t="shared" si="25"/>
        <v>1</v>
      </c>
      <c r="D303" s="4"/>
      <c r="E303" t="s">
        <v>18</v>
      </c>
      <c r="F303" t="str">
        <f>INDEX(Establishment!B$2:B$1005,MATCH($E303,Establishment!$A$2:$A$1005,0))</f>
        <v xml:space="preserve"> </v>
      </c>
      <c r="G303" t="str">
        <f>INDEX(Establishment!C$2:C$1005,MATCH($E303,Establishment!$A$2:$A$1005,0))</f>
        <v xml:space="preserve"> </v>
      </c>
      <c r="M303">
        <f t="shared" si="26"/>
        <v>0</v>
      </c>
      <c r="N303">
        <f t="shared" si="24"/>
        <v>0</v>
      </c>
      <c r="P303" t="e">
        <f>INDEX(Items!B$2:B$1032,MATCH($O303,Items!$A$2:$A$1032,0))</f>
        <v>#N/A</v>
      </c>
      <c r="Q303" t="e">
        <f>INDEX(Items!C$2:C$1032,MATCH($O303,Items!$A$2:$A$1032,0))</f>
        <v>#N/A</v>
      </c>
      <c r="R303" t="e">
        <f>INDEX(Items!D$2:D$1032,MATCH($O303,Items!$A$2:$A$1032,0))</f>
        <v>#N/A</v>
      </c>
    </row>
    <row r="304" spans="1:18" x14ac:dyDescent="0.25">
      <c r="A304">
        <f t="shared" si="22"/>
        <v>1</v>
      </c>
      <c r="B304" t="str">
        <f t="shared" si="23"/>
        <v/>
      </c>
      <c r="C304">
        <f t="shared" si="25"/>
        <v>1</v>
      </c>
      <c r="D304" s="4"/>
      <c r="E304" t="s">
        <v>18</v>
      </c>
      <c r="F304" t="str">
        <f>INDEX(Establishment!B$2:B$1005,MATCH($E304,Establishment!$A$2:$A$1005,0))</f>
        <v xml:space="preserve"> </v>
      </c>
      <c r="G304" t="str">
        <f>INDEX(Establishment!C$2:C$1005,MATCH($E304,Establishment!$A$2:$A$1005,0))</f>
        <v xml:space="preserve"> </v>
      </c>
      <c r="M304">
        <f t="shared" si="26"/>
        <v>0</v>
      </c>
      <c r="N304">
        <f t="shared" si="24"/>
        <v>0</v>
      </c>
      <c r="P304" t="e">
        <f>INDEX(Items!B$2:B$1032,MATCH($O304,Items!$A$2:$A$1032,0))</f>
        <v>#N/A</v>
      </c>
      <c r="Q304" t="e">
        <f>INDEX(Items!C$2:C$1032,MATCH($O304,Items!$A$2:$A$1032,0))</f>
        <v>#N/A</v>
      </c>
      <c r="R304" t="e">
        <f>INDEX(Items!D$2:D$1032,MATCH($O304,Items!$A$2:$A$1032,0))</f>
        <v>#N/A</v>
      </c>
    </row>
    <row r="305" spans="1:18" x14ac:dyDescent="0.25">
      <c r="A305">
        <f t="shared" si="22"/>
        <v>1</v>
      </c>
      <c r="B305" t="str">
        <f t="shared" si="23"/>
        <v/>
      </c>
      <c r="C305">
        <f t="shared" si="25"/>
        <v>1</v>
      </c>
      <c r="D305" s="4"/>
      <c r="E305" t="s">
        <v>18</v>
      </c>
      <c r="F305" t="str">
        <f>INDEX(Establishment!B$2:B$1005,MATCH($E305,Establishment!$A$2:$A$1005,0))</f>
        <v xml:space="preserve"> </v>
      </c>
      <c r="G305" t="str">
        <f>INDEX(Establishment!C$2:C$1005,MATCH($E305,Establishment!$A$2:$A$1005,0))</f>
        <v xml:space="preserve"> </v>
      </c>
      <c r="M305">
        <f t="shared" si="26"/>
        <v>0</v>
      </c>
      <c r="N305">
        <f t="shared" si="24"/>
        <v>0</v>
      </c>
      <c r="P305" t="e">
        <f>INDEX(Items!B$2:B$1032,MATCH($O305,Items!$A$2:$A$1032,0))</f>
        <v>#N/A</v>
      </c>
      <c r="Q305" t="e">
        <f>INDEX(Items!C$2:C$1032,MATCH($O305,Items!$A$2:$A$1032,0))</f>
        <v>#N/A</v>
      </c>
      <c r="R305" t="e">
        <f>INDEX(Items!D$2:D$1032,MATCH($O305,Items!$A$2:$A$1032,0))</f>
        <v>#N/A</v>
      </c>
    </row>
    <row r="306" spans="1:18" x14ac:dyDescent="0.25">
      <c r="A306">
        <f t="shared" si="22"/>
        <v>1</v>
      </c>
      <c r="B306" t="str">
        <f t="shared" si="23"/>
        <v/>
      </c>
      <c r="C306">
        <f t="shared" si="25"/>
        <v>1</v>
      </c>
      <c r="D306" s="4"/>
      <c r="E306" t="s">
        <v>18</v>
      </c>
      <c r="F306" t="str">
        <f>INDEX(Establishment!B$2:B$1005,MATCH($E306,Establishment!$A$2:$A$1005,0))</f>
        <v xml:space="preserve"> </v>
      </c>
      <c r="G306" t="str">
        <f>INDEX(Establishment!C$2:C$1005,MATCH($E306,Establishment!$A$2:$A$1005,0))</f>
        <v xml:space="preserve"> </v>
      </c>
      <c r="M306">
        <f t="shared" si="26"/>
        <v>0</v>
      </c>
      <c r="N306">
        <f t="shared" si="24"/>
        <v>0</v>
      </c>
      <c r="P306" t="e">
        <f>INDEX(Items!B$2:B$1032,MATCH($O306,Items!$A$2:$A$1032,0))</f>
        <v>#N/A</v>
      </c>
      <c r="Q306" t="e">
        <f>INDEX(Items!C$2:C$1032,MATCH($O306,Items!$A$2:$A$1032,0))</f>
        <v>#N/A</v>
      </c>
      <c r="R306" t="e">
        <f>INDEX(Items!D$2:D$1032,MATCH($O306,Items!$A$2:$A$1032,0))</f>
        <v>#N/A</v>
      </c>
    </row>
    <row r="307" spans="1:18" x14ac:dyDescent="0.25">
      <c r="A307">
        <f t="shared" si="22"/>
        <v>1</v>
      </c>
      <c r="B307" t="str">
        <f t="shared" si="23"/>
        <v/>
      </c>
      <c r="C307">
        <f t="shared" si="25"/>
        <v>1</v>
      </c>
      <c r="D307" s="4"/>
      <c r="E307" t="s">
        <v>18</v>
      </c>
      <c r="F307" t="str">
        <f>INDEX(Establishment!B$2:B$1005,MATCH($E307,Establishment!$A$2:$A$1005,0))</f>
        <v xml:space="preserve"> </v>
      </c>
      <c r="G307" t="str">
        <f>INDEX(Establishment!C$2:C$1005,MATCH($E307,Establishment!$A$2:$A$1005,0))</f>
        <v xml:space="preserve"> </v>
      </c>
      <c r="M307">
        <f t="shared" si="26"/>
        <v>0</v>
      </c>
      <c r="N307">
        <f t="shared" si="24"/>
        <v>0</v>
      </c>
      <c r="P307" t="e">
        <f>INDEX(Items!B$2:B$1032,MATCH($O307,Items!$A$2:$A$1032,0))</f>
        <v>#N/A</v>
      </c>
      <c r="Q307" t="e">
        <f>INDEX(Items!C$2:C$1032,MATCH($O307,Items!$A$2:$A$1032,0))</f>
        <v>#N/A</v>
      </c>
      <c r="R307" t="e">
        <f>INDEX(Items!D$2:D$1032,MATCH($O307,Items!$A$2:$A$1032,0))</f>
        <v>#N/A</v>
      </c>
    </row>
    <row r="308" spans="1:18" x14ac:dyDescent="0.25">
      <c r="A308">
        <f t="shared" si="22"/>
        <v>1</v>
      </c>
      <c r="B308" t="str">
        <f t="shared" si="23"/>
        <v/>
      </c>
      <c r="C308">
        <f t="shared" si="25"/>
        <v>1</v>
      </c>
      <c r="D308" s="4"/>
      <c r="E308" t="s">
        <v>18</v>
      </c>
      <c r="F308" t="str">
        <f>INDEX(Establishment!B$2:B$1005,MATCH($E308,Establishment!$A$2:$A$1005,0))</f>
        <v xml:space="preserve"> </v>
      </c>
      <c r="G308" t="str">
        <f>INDEX(Establishment!C$2:C$1005,MATCH($E308,Establishment!$A$2:$A$1005,0))</f>
        <v xml:space="preserve"> </v>
      </c>
      <c r="M308">
        <f t="shared" si="26"/>
        <v>0</v>
      </c>
      <c r="N308">
        <f t="shared" si="24"/>
        <v>0</v>
      </c>
      <c r="P308" t="e">
        <f>INDEX(Items!B$2:B$1032,MATCH($O308,Items!$A$2:$A$1032,0))</f>
        <v>#N/A</v>
      </c>
      <c r="Q308" t="e">
        <f>INDEX(Items!C$2:C$1032,MATCH($O308,Items!$A$2:$A$1032,0))</f>
        <v>#N/A</v>
      </c>
      <c r="R308" t="e">
        <f>INDEX(Items!D$2:D$1032,MATCH($O308,Items!$A$2:$A$1032,0))</f>
        <v>#N/A</v>
      </c>
    </row>
    <row r="309" spans="1:18" x14ac:dyDescent="0.25">
      <c r="A309">
        <f t="shared" si="22"/>
        <v>1</v>
      </c>
      <c r="B309" t="str">
        <f t="shared" si="23"/>
        <v/>
      </c>
      <c r="C309">
        <f t="shared" si="25"/>
        <v>1</v>
      </c>
      <c r="D309" s="4"/>
      <c r="E309" t="s">
        <v>18</v>
      </c>
      <c r="F309" t="str">
        <f>INDEX(Establishment!B$2:B$1005,MATCH($E309,Establishment!$A$2:$A$1005,0))</f>
        <v xml:space="preserve"> </v>
      </c>
      <c r="G309" t="str">
        <f>INDEX(Establishment!C$2:C$1005,MATCH($E309,Establishment!$A$2:$A$1005,0))</f>
        <v xml:space="preserve"> </v>
      </c>
      <c r="M309">
        <f t="shared" si="26"/>
        <v>0</v>
      </c>
      <c r="N309">
        <f t="shared" si="24"/>
        <v>0</v>
      </c>
      <c r="P309" t="e">
        <f>INDEX(Items!B$2:B$1032,MATCH($O309,Items!$A$2:$A$1032,0))</f>
        <v>#N/A</v>
      </c>
      <c r="Q309" t="e">
        <f>INDEX(Items!C$2:C$1032,MATCH($O309,Items!$A$2:$A$1032,0))</f>
        <v>#N/A</v>
      </c>
      <c r="R309" t="e">
        <f>INDEX(Items!D$2:D$1032,MATCH($O309,Items!$A$2:$A$1032,0))</f>
        <v>#N/A</v>
      </c>
    </row>
    <row r="310" spans="1:18" x14ac:dyDescent="0.25">
      <c r="A310">
        <f t="shared" si="22"/>
        <v>1</v>
      </c>
      <c r="B310" t="str">
        <f t="shared" si="23"/>
        <v/>
      </c>
      <c r="C310">
        <f t="shared" si="25"/>
        <v>1</v>
      </c>
      <c r="D310" s="4"/>
      <c r="E310" t="s">
        <v>18</v>
      </c>
      <c r="F310" t="str">
        <f>INDEX(Establishment!B$2:B$1005,MATCH($E310,Establishment!$A$2:$A$1005,0))</f>
        <v xml:space="preserve"> </v>
      </c>
      <c r="G310" t="str">
        <f>INDEX(Establishment!C$2:C$1005,MATCH($E310,Establishment!$A$2:$A$1005,0))</f>
        <v xml:space="preserve"> </v>
      </c>
      <c r="M310">
        <f t="shared" si="26"/>
        <v>0</v>
      </c>
      <c r="N310">
        <f t="shared" si="24"/>
        <v>0</v>
      </c>
      <c r="P310" t="e">
        <f>INDEX(Items!B$2:B$1032,MATCH($O310,Items!$A$2:$A$1032,0))</f>
        <v>#N/A</v>
      </c>
      <c r="Q310" t="e">
        <f>INDEX(Items!C$2:C$1032,MATCH($O310,Items!$A$2:$A$1032,0))</f>
        <v>#N/A</v>
      </c>
      <c r="R310" t="e">
        <f>INDEX(Items!D$2:D$1032,MATCH($O310,Items!$A$2:$A$1032,0))</f>
        <v>#N/A</v>
      </c>
    </row>
    <row r="311" spans="1:18" x14ac:dyDescent="0.25">
      <c r="A311">
        <f t="shared" si="22"/>
        <v>1</v>
      </c>
      <c r="B311" t="str">
        <f t="shared" si="23"/>
        <v/>
      </c>
      <c r="C311">
        <f t="shared" si="25"/>
        <v>1</v>
      </c>
      <c r="D311" s="4"/>
      <c r="E311" t="s">
        <v>18</v>
      </c>
      <c r="F311" t="str">
        <f>INDEX(Establishment!B$2:B$1005,MATCH($E311,Establishment!$A$2:$A$1005,0))</f>
        <v xml:space="preserve"> </v>
      </c>
      <c r="G311" t="str">
        <f>INDEX(Establishment!C$2:C$1005,MATCH($E311,Establishment!$A$2:$A$1005,0))</f>
        <v xml:space="preserve"> </v>
      </c>
      <c r="M311">
        <f t="shared" si="26"/>
        <v>0</v>
      </c>
      <c r="N311">
        <f t="shared" si="24"/>
        <v>0</v>
      </c>
      <c r="P311" t="e">
        <f>INDEX(Items!B$2:B$1032,MATCH($O311,Items!$A$2:$A$1032,0))</f>
        <v>#N/A</v>
      </c>
      <c r="Q311" t="e">
        <f>INDEX(Items!C$2:C$1032,MATCH($O311,Items!$A$2:$A$1032,0))</f>
        <v>#N/A</v>
      </c>
      <c r="R311" t="e">
        <f>INDEX(Items!D$2:D$1032,MATCH($O311,Items!$A$2:$A$1032,0))</f>
        <v>#N/A</v>
      </c>
    </row>
    <row r="312" spans="1:18" x14ac:dyDescent="0.25">
      <c r="A312">
        <f t="shared" si="22"/>
        <v>1</v>
      </c>
      <c r="B312" t="str">
        <f t="shared" si="23"/>
        <v/>
      </c>
      <c r="C312">
        <f t="shared" si="25"/>
        <v>1</v>
      </c>
      <c r="D312" s="4"/>
      <c r="E312" t="s">
        <v>18</v>
      </c>
      <c r="F312" t="str">
        <f>INDEX(Establishment!B$2:B$1005,MATCH($E312,Establishment!$A$2:$A$1005,0))</f>
        <v xml:space="preserve"> </v>
      </c>
      <c r="G312" t="str">
        <f>INDEX(Establishment!C$2:C$1005,MATCH($E312,Establishment!$A$2:$A$1005,0))</f>
        <v xml:space="preserve"> </v>
      </c>
      <c r="M312">
        <f t="shared" si="26"/>
        <v>0</v>
      </c>
      <c r="N312">
        <f t="shared" si="24"/>
        <v>0</v>
      </c>
      <c r="P312" t="e">
        <f>INDEX(Items!B$2:B$1032,MATCH($O312,Items!$A$2:$A$1032,0))</f>
        <v>#N/A</v>
      </c>
      <c r="Q312" t="e">
        <f>INDEX(Items!C$2:C$1032,MATCH($O312,Items!$A$2:$A$1032,0))</f>
        <v>#N/A</v>
      </c>
      <c r="R312" t="e">
        <f>INDEX(Items!D$2:D$1032,MATCH($O312,Items!$A$2:$A$1032,0))</f>
        <v>#N/A</v>
      </c>
    </row>
    <row r="313" spans="1:18" x14ac:dyDescent="0.25">
      <c r="A313">
        <f t="shared" si="22"/>
        <v>1</v>
      </c>
      <c r="B313" t="str">
        <f t="shared" si="23"/>
        <v/>
      </c>
      <c r="C313">
        <f t="shared" si="25"/>
        <v>1</v>
      </c>
      <c r="D313" s="4"/>
      <c r="E313" t="s">
        <v>18</v>
      </c>
      <c r="F313" t="str">
        <f>INDEX(Establishment!B$2:B$1005,MATCH($E313,Establishment!$A$2:$A$1005,0))</f>
        <v xml:space="preserve"> </v>
      </c>
      <c r="G313" t="str">
        <f>INDEX(Establishment!C$2:C$1005,MATCH($E313,Establishment!$A$2:$A$1005,0))</f>
        <v xml:space="preserve"> </v>
      </c>
      <c r="M313">
        <f t="shared" si="26"/>
        <v>0</v>
      </c>
      <c r="N313">
        <f t="shared" si="24"/>
        <v>0</v>
      </c>
      <c r="P313" t="e">
        <f>INDEX(Items!B$2:B$1032,MATCH($O313,Items!$A$2:$A$1032,0))</f>
        <v>#N/A</v>
      </c>
      <c r="Q313" t="e">
        <f>INDEX(Items!C$2:C$1032,MATCH($O313,Items!$A$2:$A$1032,0))</f>
        <v>#N/A</v>
      </c>
      <c r="R313" t="e">
        <f>INDEX(Items!D$2:D$1032,MATCH($O313,Items!$A$2:$A$1032,0))</f>
        <v>#N/A</v>
      </c>
    </row>
    <row r="314" spans="1:18" x14ac:dyDescent="0.25">
      <c r="A314">
        <f t="shared" si="22"/>
        <v>1</v>
      </c>
      <c r="B314" t="str">
        <f t="shared" si="23"/>
        <v/>
      </c>
      <c r="C314">
        <f t="shared" si="25"/>
        <v>1</v>
      </c>
      <c r="D314" s="4"/>
      <c r="E314" t="s">
        <v>18</v>
      </c>
      <c r="F314" t="str">
        <f>INDEX(Establishment!B$2:B$1005,MATCH($E314,Establishment!$A$2:$A$1005,0))</f>
        <v xml:space="preserve"> </v>
      </c>
      <c r="G314" t="str">
        <f>INDEX(Establishment!C$2:C$1005,MATCH($E314,Establishment!$A$2:$A$1005,0))</f>
        <v xml:space="preserve"> </v>
      </c>
      <c r="M314">
        <f t="shared" si="26"/>
        <v>0</v>
      </c>
      <c r="N314">
        <f t="shared" si="24"/>
        <v>0</v>
      </c>
      <c r="P314" t="e">
        <f>INDEX(Items!B$2:B$1032,MATCH($O314,Items!$A$2:$A$1032,0))</f>
        <v>#N/A</v>
      </c>
      <c r="Q314" t="e">
        <f>INDEX(Items!C$2:C$1032,MATCH($O314,Items!$A$2:$A$1032,0))</f>
        <v>#N/A</v>
      </c>
      <c r="R314" t="e">
        <f>INDEX(Items!D$2:D$1032,MATCH($O314,Items!$A$2:$A$1032,0))</f>
        <v>#N/A</v>
      </c>
    </row>
    <row r="315" spans="1:18" x14ac:dyDescent="0.25">
      <c r="A315">
        <f t="shared" si="22"/>
        <v>1</v>
      </c>
      <c r="B315" t="str">
        <f t="shared" si="23"/>
        <v/>
      </c>
      <c r="C315">
        <f t="shared" si="25"/>
        <v>1</v>
      </c>
      <c r="D315" s="4"/>
      <c r="E315" t="s">
        <v>18</v>
      </c>
      <c r="F315" t="str">
        <f>INDEX(Establishment!B$2:B$1005,MATCH($E315,Establishment!$A$2:$A$1005,0))</f>
        <v xml:space="preserve"> </v>
      </c>
      <c r="G315" t="str">
        <f>INDEX(Establishment!C$2:C$1005,MATCH($E315,Establishment!$A$2:$A$1005,0))</f>
        <v xml:space="preserve"> </v>
      </c>
      <c r="M315">
        <f t="shared" si="26"/>
        <v>0</v>
      </c>
      <c r="N315">
        <f t="shared" si="24"/>
        <v>0</v>
      </c>
      <c r="P315" t="e">
        <f>INDEX(Items!B$2:B$1032,MATCH($O315,Items!$A$2:$A$1032,0))</f>
        <v>#N/A</v>
      </c>
      <c r="Q315" t="e">
        <f>INDEX(Items!C$2:C$1032,MATCH($O315,Items!$A$2:$A$1032,0))</f>
        <v>#N/A</v>
      </c>
      <c r="R315" t="e">
        <f>INDEX(Items!D$2:D$1032,MATCH($O315,Items!$A$2:$A$1032,0))</f>
        <v>#N/A</v>
      </c>
    </row>
    <row r="316" spans="1:18" x14ac:dyDescent="0.25">
      <c r="A316">
        <f t="shared" si="22"/>
        <v>1</v>
      </c>
      <c r="B316" t="str">
        <f t="shared" si="23"/>
        <v/>
      </c>
      <c r="C316">
        <f t="shared" si="25"/>
        <v>1</v>
      </c>
      <c r="D316" s="4"/>
      <c r="E316" t="s">
        <v>18</v>
      </c>
      <c r="F316" t="str">
        <f>INDEX(Establishment!B$2:B$1005,MATCH($E316,Establishment!$A$2:$A$1005,0))</f>
        <v xml:space="preserve"> </v>
      </c>
      <c r="G316" t="str">
        <f>INDEX(Establishment!C$2:C$1005,MATCH($E316,Establishment!$A$2:$A$1005,0))</f>
        <v xml:space="preserve"> </v>
      </c>
      <c r="M316">
        <f t="shared" si="26"/>
        <v>0</v>
      </c>
      <c r="N316">
        <f t="shared" si="24"/>
        <v>0</v>
      </c>
      <c r="P316" t="e">
        <f>INDEX(Items!B$2:B$1032,MATCH($O316,Items!$A$2:$A$1032,0))</f>
        <v>#N/A</v>
      </c>
      <c r="Q316" t="e">
        <f>INDEX(Items!C$2:C$1032,MATCH($O316,Items!$A$2:$A$1032,0))</f>
        <v>#N/A</v>
      </c>
      <c r="R316" t="e">
        <f>INDEX(Items!D$2:D$1032,MATCH($O316,Items!$A$2:$A$1032,0))</f>
        <v>#N/A</v>
      </c>
    </row>
    <row r="317" spans="1:18" x14ac:dyDescent="0.25">
      <c r="A317">
        <f t="shared" si="22"/>
        <v>1</v>
      </c>
      <c r="B317" t="str">
        <f t="shared" si="23"/>
        <v/>
      </c>
      <c r="C317">
        <f t="shared" si="25"/>
        <v>1</v>
      </c>
      <c r="D317" s="4"/>
      <c r="E317" t="s">
        <v>18</v>
      </c>
      <c r="F317" t="str">
        <f>INDEX(Establishment!B$2:B$1005,MATCH($E317,Establishment!$A$2:$A$1005,0))</f>
        <v xml:space="preserve"> </v>
      </c>
      <c r="G317" t="str">
        <f>INDEX(Establishment!C$2:C$1005,MATCH($E317,Establishment!$A$2:$A$1005,0))</f>
        <v xml:space="preserve"> </v>
      </c>
      <c r="M317">
        <f t="shared" si="26"/>
        <v>0</v>
      </c>
      <c r="N317">
        <f t="shared" si="24"/>
        <v>0</v>
      </c>
      <c r="P317" t="e">
        <f>INDEX(Items!B$2:B$1032,MATCH($O317,Items!$A$2:$A$1032,0))</f>
        <v>#N/A</v>
      </c>
      <c r="Q317" t="e">
        <f>INDEX(Items!C$2:C$1032,MATCH($O317,Items!$A$2:$A$1032,0))</f>
        <v>#N/A</v>
      </c>
      <c r="R317" t="e">
        <f>INDEX(Items!D$2:D$1032,MATCH($O317,Items!$A$2:$A$1032,0))</f>
        <v>#N/A</v>
      </c>
    </row>
    <row r="318" spans="1:18" x14ac:dyDescent="0.25">
      <c r="A318">
        <f t="shared" si="22"/>
        <v>1</v>
      </c>
      <c r="B318" t="str">
        <f t="shared" si="23"/>
        <v/>
      </c>
      <c r="C318">
        <f t="shared" si="25"/>
        <v>1</v>
      </c>
      <c r="D318" s="4"/>
      <c r="E318" t="s">
        <v>18</v>
      </c>
      <c r="F318" t="str">
        <f>INDEX(Establishment!B$2:B$1005,MATCH($E318,Establishment!$A$2:$A$1005,0))</f>
        <v xml:space="preserve"> </v>
      </c>
      <c r="G318" t="str">
        <f>INDEX(Establishment!C$2:C$1005,MATCH($E318,Establishment!$A$2:$A$1005,0))</f>
        <v xml:space="preserve"> </v>
      </c>
      <c r="M318">
        <f t="shared" si="26"/>
        <v>0</v>
      </c>
      <c r="N318">
        <f t="shared" si="24"/>
        <v>0</v>
      </c>
      <c r="P318" t="e">
        <f>INDEX(Items!B$2:B$1032,MATCH($O318,Items!$A$2:$A$1032,0))</f>
        <v>#N/A</v>
      </c>
      <c r="Q318" t="e">
        <f>INDEX(Items!C$2:C$1032,MATCH($O318,Items!$A$2:$A$1032,0))</f>
        <v>#N/A</v>
      </c>
      <c r="R318" t="e">
        <f>INDEX(Items!D$2:D$1032,MATCH($O318,Items!$A$2:$A$1032,0))</f>
        <v>#N/A</v>
      </c>
    </row>
    <row r="319" spans="1:18" x14ac:dyDescent="0.25">
      <c r="A319">
        <f t="shared" si="22"/>
        <v>1</v>
      </c>
      <c r="B319" t="str">
        <f t="shared" si="23"/>
        <v/>
      </c>
      <c r="C319">
        <f t="shared" si="25"/>
        <v>1</v>
      </c>
      <c r="D319" s="4"/>
      <c r="E319" t="s">
        <v>18</v>
      </c>
      <c r="F319" t="str">
        <f>INDEX(Establishment!B$2:B$1005,MATCH($E319,Establishment!$A$2:$A$1005,0))</f>
        <v xml:space="preserve"> </v>
      </c>
      <c r="G319" t="str">
        <f>INDEX(Establishment!C$2:C$1005,MATCH($E319,Establishment!$A$2:$A$1005,0))</f>
        <v xml:space="preserve"> </v>
      </c>
      <c r="M319">
        <f t="shared" si="26"/>
        <v>0</v>
      </c>
      <c r="N319">
        <f t="shared" si="24"/>
        <v>0</v>
      </c>
      <c r="P319" t="e">
        <f>INDEX(Items!B$2:B$1032,MATCH($O319,Items!$A$2:$A$1032,0))</f>
        <v>#N/A</v>
      </c>
      <c r="Q319" t="e">
        <f>INDEX(Items!C$2:C$1032,MATCH($O319,Items!$A$2:$A$1032,0))</f>
        <v>#N/A</v>
      </c>
      <c r="R319" t="e">
        <f>INDEX(Items!D$2:D$1032,MATCH($O319,Items!$A$2:$A$1032,0))</f>
        <v>#N/A</v>
      </c>
    </row>
    <row r="320" spans="1:18" x14ac:dyDescent="0.25">
      <c r="A320">
        <f t="shared" si="22"/>
        <v>1</v>
      </c>
      <c r="B320" t="str">
        <f t="shared" si="23"/>
        <v/>
      </c>
      <c r="C320">
        <f t="shared" si="25"/>
        <v>1</v>
      </c>
      <c r="D320" s="4"/>
      <c r="E320" t="s">
        <v>18</v>
      </c>
      <c r="F320" t="str">
        <f>INDEX(Establishment!B$2:B$1005,MATCH($E320,Establishment!$A$2:$A$1005,0))</f>
        <v xml:space="preserve"> </v>
      </c>
      <c r="G320" t="str">
        <f>INDEX(Establishment!C$2:C$1005,MATCH($E320,Establishment!$A$2:$A$1005,0))</f>
        <v xml:space="preserve"> </v>
      </c>
      <c r="M320">
        <f t="shared" si="26"/>
        <v>0</v>
      </c>
      <c r="N320">
        <f t="shared" si="24"/>
        <v>0</v>
      </c>
      <c r="P320" t="e">
        <f>INDEX(Items!B$2:B$1032,MATCH($O320,Items!$A$2:$A$1032,0))</f>
        <v>#N/A</v>
      </c>
      <c r="Q320" t="e">
        <f>INDEX(Items!C$2:C$1032,MATCH($O320,Items!$A$2:$A$1032,0))</f>
        <v>#N/A</v>
      </c>
      <c r="R320" t="e">
        <f>INDEX(Items!D$2:D$1032,MATCH($O320,Items!$A$2:$A$1032,0))</f>
        <v>#N/A</v>
      </c>
    </row>
    <row r="321" spans="1:18" x14ac:dyDescent="0.25">
      <c r="A321">
        <f t="shared" si="22"/>
        <v>1</v>
      </c>
      <c r="B321" t="str">
        <f t="shared" si="23"/>
        <v/>
      </c>
      <c r="C321">
        <f t="shared" si="25"/>
        <v>1</v>
      </c>
      <c r="D321" s="4"/>
      <c r="E321" t="s">
        <v>18</v>
      </c>
      <c r="F321" t="str">
        <f>INDEX(Establishment!B$2:B$1005,MATCH($E321,Establishment!$A$2:$A$1005,0))</f>
        <v xml:space="preserve"> </v>
      </c>
      <c r="G321" t="str">
        <f>INDEX(Establishment!C$2:C$1005,MATCH($E321,Establishment!$A$2:$A$1005,0))</f>
        <v xml:space="preserve"> </v>
      </c>
      <c r="M321">
        <f t="shared" si="26"/>
        <v>0</v>
      </c>
      <c r="N321">
        <f t="shared" si="24"/>
        <v>0</v>
      </c>
      <c r="P321" t="e">
        <f>INDEX(Items!B$2:B$1032,MATCH($O321,Items!$A$2:$A$1032,0))</f>
        <v>#N/A</v>
      </c>
      <c r="Q321" t="e">
        <f>INDEX(Items!C$2:C$1032,MATCH($O321,Items!$A$2:$A$1032,0))</f>
        <v>#N/A</v>
      </c>
      <c r="R321" t="e">
        <f>INDEX(Items!D$2:D$1032,MATCH($O321,Items!$A$2:$A$1032,0))</f>
        <v>#N/A</v>
      </c>
    </row>
    <row r="322" spans="1:18" x14ac:dyDescent="0.25">
      <c r="A322">
        <f t="shared" ref="A322:A385" si="27">IF(OR(D322&lt;&gt;D321,D322=""),1,IF(NOT(AND(E322=E321,F322=F321,G322=G321)),A321+1,IF(OR(H322="",AND(H322&lt;&gt;"",H322&lt;&gt;H321,H321&lt;&gt;"")),A321,A321+1)))</f>
        <v>1</v>
      </c>
      <c r="B322" t="str">
        <f t="shared" ref="B322:B385" si="28">IF(D322&lt;&gt;"",TEXT(D322,"YYYYMMDD")&amp;CHAR(64+A322),"")</f>
        <v/>
      </c>
      <c r="C322">
        <f t="shared" si="25"/>
        <v>1</v>
      </c>
      <c r="D322" s="4"/>
      <c r="E322" t="s">
        <v>18</v>
      </c>
      <c r="F322" t="str">
        <f>INDEX(Establishment!B$2:B$1005,MATCH($E322,Establishment!$A$2:$A$1005,0))</f>
        <v xml:space="preserve"> </v>
      </c>
      <c r="G322" t="str">
        <f>INDEX(Establishment!C$2:C$1005,MATCH($E322,Establishment!$A$2:$A$1005,0))</f>
        <v xml:space="preserve"> </v>
      </c>
      <c r="M322">
        <f t="shared" si="26"/>
        <v>0</v>
      </c>
      <c r="N322">
        <f t="shared" si="24"/>
        <v>0</v>
      </c>
      <c r="P322" t="e">
        <f>INDEX(Items!B$2:B$1032,MATCH($O322,Items!$A$2:$A$1032,0))</f>
        <v>#N/A</v>
      </c>
      <c r="Q322" t="e">
        <f>INDEX(Items!C$2:C$1032,MATCH($O322,Items!$A$2:$A$1032,0))</f>
        <v>#N/A</v>
      </c>
      <c r="R322" t="e">
        <f>INDEX(Items!D$2:D$1032,MATCH($O322,Items!$A$2:$A$1032,0))</f>
        <v>#N/A</v>
      </c>
    </row>
    <row r="323" spans="1:18" x14ac:dyDescent="0.25">
      <c r="A323">
        <f t="shared" si="27"/>
        <v>1</v>
      </c>
      <c r="B323" t="str">
        <f t="shared" si="28"/>
        <v/>
      </c>
      <c r="C323">
        <f t="shared" si="25"/>
        <v>1</v>
      </c>
      <c r="D323" s="4"/>
      <c r="E323" t="s">
        <v>18</v>
      </c>
      <c r="F323" t="str">
        <f>INDEX(Establishment!B$2:B$1005,MATCH($E323,Establishment!$A$2:$A$1005,0))</f>
        <v xml:space="preserve"> </v>
      </c>
      <c r="G323" t="str">
        <f>INDEX(Establishment!C$2:C$1005,MATCH($E323,Establishment!$A$2:$A$1005,0))</f>
        <v xml:space="preserve"> </v>
      </c>
      <c r="M323">
        <f t="shared" si="26"/>
        <v>0</v>
      </c>
      <c r="N323">
        <f t="shared" ref="N323:N386" si="29">IF(B323=B322,N322+M323,M323)</f>
        <v>0</v>
      </c>
      <c r="P323" t="e">
        <f>INDEX(Items!B$2:B$1032,MATCH($O323,Items!$A$2:$A$1032,0))</f>
        <v>#N/A</v>
      </c>
      <c r="Q323" t="e">
        <f>INDEX(Items!C$2:C$1032,MATCH($O323,Items!$A$2:$A$1032,0))</f>
        <v>#N/A</v>
      </c>
      <c r="R323" t="e">
        <f>INDEX(Items!D$2:D$1032,MATCH($O323,Items!$A$2:$A$1032,0))</f>
        <v>#N/A</v>
      </c>
    </row>
    <row r="324" spans="1:18" x14ac:dyDescent="0.25">
      <c r="A324">
        <f t="shared" si="27"/>
        <v>1</v>
      </c>
      <c r="B324" t="str">
        <f t="shared" si="28"/>
        <v/>
      </c>
      <c r="C324">
        <f t="shared" si="25"/>
        <v>1</v>
      </c>
      <c r="D324" s="4"/>
      <c r="E324" t="s">
        <v>18</v>
      </c>
      <c r="F324" t="str">
        <f>INDEX(Establishment!B$2:B$1005,MATCH($E324,Establishment!$A$2:$A$1005,0))</f>
        <v xml:space="preserve"> </v>
      </c>
      <c r="G324" t="str">
        <f>INDEX(Establishment!C$2:C$1005,MATCH($E324,Establishment!$A$2:$A$1005,0))</f>
        <v xml:space="preserve"> </v>
      </c>
      <c r="M324">
        <f t="shared" si="26"/>
        <v>0</v>
      </c>
      <c r="N324">
        <f t="shared" si="29"/>
        <v>0</v>
      </c>
      <c r="P324" t="e">
        <f>INDEX(Items!B$2:B$1032,MATCH($O324,Items!$A$2:$A$1032,0))</f>
        <v>#N/A</v>
      </c>
      <c r="Q324" t="e">
        <f>INDEX(Items!C$2:C$1032,MATCH($O324,Items!$A$2:$A$1032,0))</f>
        <v>#N/A</v>
      </c>
      <c r="R324" t="e">
        <f>INDEX(Items!D$2:D$1032,MATCH($O324,Items!$A$2:$A$1032,0))</f>
        <v>#N/A</v>
      </c>
    </row>
    <row r="325" spans="1:18" x14ac:dyDescent="0.25">
      <c r="A325">
        <f t="shared" si="27"/>
        <v>1</v>
      </c>
      <c r="B325" t="str">
        <f t="shared" si="28"/>
        <v/>
      </c>
      <c r="C325">
        <f t="shared" si="25"/>
        <v>1</v>
      </c>
      <c r="D325" s="4"/>
      <c r="E325" t="s">
        <v>18</v>
      </c>
      <c r="F325" t="str">
        <f>INDEX(Establishment!B$2:B$1005,MATCH($E325,Establishment!$A$2:$A$1005,0))</f>
        <v xml:space="preserve"> </v>
      </c>
      <c r="G325" t="str">
        <f>INDEX(Establishment!C$2:C$1005,MATCH($E325,Establishment!$A$2:$A$1005,0))</f>
        <v xml:space="preserve"> </v>
      </c>
      <c r="M325">
        <f t="shared" si="26"/>
        <v>0</v>
      </c>
      <c r="N325">
        <f t="shared" si="29"/>
        <v>0</v>
      </c>
      <c r="P325" t="e">
        <f>INDEX(Items!B$2:B$1032,MATCH($O325,Items!$A$2:$A$1032,0))</f>
        <v>#N/A</v>
      </c>
      <c r="Q325" t="e">
        <f>INDEX(Items!C$2:C$1032,MATCH($O325,Items!$A$2:$A$1032,0))</f>
        <v>#N/A</v>
      </c>
      <c r="R325" t="e">
        <f>INDEX(Items!D$2:D$1032,MATCH($O325,Items!$A$2:$A$1032,0))</f>
        <v>#N/A</v>
      </c>
    </row>
    <row r="326" spans="1:18" x14ac:dyDescent="0.25">
      <c r="A326">
        <f t="shared" si="27"/>
        <v>1</v>
      </c>
      <c r="B326" t="str">
        <f t="shared" si="28"/>
        <v/>
      </c>
      <c r="C326">
        <f t="shared" si="25"/>
        <v>1</v>
      </c>
      <c r="D326" s="4"/>
      <c r="E326" t="s">
        <v>18</v>
      </c>
      <c r="F326" t="str">
        <f>INDEX(Establishment!B$2:B$1005,MATCH($E326,Establishment!$A$2:$A$1005,0))</f>
        <v xml:space="preserve"> </v>
      </c>
      <c r="G326" t="str">
        <f>INDEX(Establishment!C$2:C$1005,MATCH($E326,Establishment!$A$2:$A$1005,0))</f>
        <v xml:space="preserve"> </v>
      </c>
      <c r="M326">
        <f t="shared" si="26"/>
        <v>0</v>
      </c>
      <c r="N326">
        <f t="shared" si="29"/>
        <v>0</v>
      </c>
      <c r="P326" t="e">
        <f>INDEX(Items!B$2:B$1032,MATCH($O326,Items!$A$2:$A$1032,0))</f>
        <v>#N/A</v>
      </c>
      <c r="Q326" t="e">
        <f>INDEX(Items!C$2:C$1032,MATCH($O326,Items!$A$2:$A$1032,0))</f>
        <v>#N/A</v>
      </c>
      <c r="R326" t="e">
        <f>INDEX(Items!D$2:D$1032,MATCH($O326,Items!$A$2:$A$1032,0))</f>
        <v>#N/A</v>
      </c>
    </row>
    <row r="327" spans="1:18" x14ac:dyDescent="0.25">
      <c r="A327">
        <f t="shared" si="27"/>
        <v>1</v>
      </c>
      <c r="B327" t="str">
        <f t="shared" si="28"/>
        <v/>
      </c>
      <c r="C327">
        <f t="shared" si="25"/>
        <v>1</v>
      </c>
      <c r="D327" s="4"/>
      <c r="E327" t="s">
        <v>18</v>
      </c>
      <c r="F327" t="str">
        <f>INDEX(Establishment!B$2:B$1005,MATCH($E327,Establishment!$A$2:$A$1005,0))</f>
        <v xml:space="preserve"> </v>
      </c>
      <c r="G327" t="str">
        <f>INDEX(Establishment!C$2:C$1005,MATCH($E327,Establishment!$A$2:$A$1005,0))</f>
        <v xml:space="preserve"> </v>
      </c>
      <c r="M327">
        <f t="shared" si="26"/>
        <v>0</v>
      </c>
      <c r="N327">
        <f t="shared" si="29"/>
        <v>0</v>
      </c>
      <c r="P327" t="e">
        <f>INDEX(Items!B$2:B$1032,MATCH($O327,Items!$A$2:$A$1032,0))</f>
        <v>#N/A</v>
      </c>
      <c r="Q327" t="e">
        <f>INDEX(Items!C$2:C$1032,MATCH($O327,Items!$A$2:$A$1032,0))</f>
        <v>#N/A</v>
      </c>
      <c r="R327" t="e">
        <f>INDEX(Items!D$2:D$1032,MATCH($O327,Items!$A$2:$A$1032,0))</f>
        <v>#N/A</v>
      </c>
    </row>
    <row r="328" spans="1:18" x14ac:dyDescent="0.25">
      <c r="A328">
        <f t="shared" si="27"/>
        <v>1</v>
      </c>
      <c r="B328" t="str">
        <f t="shared" si="28"/>
        <v/>
      </c>
      <c r="C328">
        <f t="shared" si="25"/>
        <v>1</v>
      </c>
      <c r="D328" s="4"/>
      <c r="E328" t="s">
        <v>18</v>
      </c>
      <c r="F328" t="str">
        <f>INDEX(Establishment!B$2:B$1005,MATCH($E328,Establishment!$A$2:$A$1005,0))</f>
        <v xml:space="preserve"> </v>
      </c>
      <c r="G328" t="str">
        <f>INDEX(Establishment!C$2:C$1005,MATCH($E328,Establishment!$A$2:$A$1005,0))</f>
        <v xml:space="preserve"> </v>
      </c>
      <c r="M328">
        <f t="shared" si="26"/>
        <v>0</v>
      </c>
      <c r="N328">
        <f t="shared" si="29"/>
        <v>0</v>
      </c>
      <c r="P328" t="e">
        <f>INDEX(Items!B$2:B$1032,MATCH($O328,Items!$A$2:$A$1032,0))</f>
        <v>#N/A</v>
      </c>
      <c r="Q328" t="e">
        <f>INDEX(Items!C$2:C$1032,MATCH($O328,Items!$A$2:$A$1032,0))</f>
        <v>#N/A</v>
      </c>
      <c r="R328" t="e">
        <f>INDEX(Items!D$2:D$1032,MATCH($O328,Items!$A$2:$A$1032,0))</f>
        <v>#N/A</v>
      </c>
    </row>
    <row r="329" spans="1:18" x14ac:dyDescent="0.25">
      <c r="A329">
        <f t="shared" si="27"/>
        <v>1</v>
      </c>
      <c r="B329" t="str">
        <f t="shared" si="28"/>
        <v/>
      </c>
      <c r="C329">
        <f t="shared" si="25"/>
        <v>1</v>
      </c>
      <c r="D329" s="4"/>
      <c r="E329" t="s">
        <v>18</v>
      </c>
      <c r="F329" t="str">
        <f>INDEX(Establishment!B$2:B$1005,MATCH($E329,Establishment!$A$2:$A$1005,0))</f>
        <v xml:space="preserve"> </v>
      </c>
      <c r="G329" t="str">
        <f>INDEX(Establishment!C$2:C$1005,MATCH($E329,Establishment!$A$2:$A$1005,0))</f>
        <v xml:space="preserve"> </v>
      </c>
      <c r="M329">
        <f t="shared" si="26"/>
        <v>0</v>
      </c>
      <c r="N329">
        <f t="shared" si="29"/>
        <v>0</v>
      </c>
      <c r="P329" t="e">
        <f>INDEX(Items!B$2:B$1032,MATCH($O329,Items!$A$2:$A$1032,0))</f>
        <v>#N/A</v>
      </c>
      <c r="Q329" t="e">
        <f>INDEX(Items!C$2:C$1032,MATCH($O329,Items!$A$2:$A$1032,0))</f>
        <v>#N/A</v>
      </c>
      <c r="R329" t="e">
        <f>INDEX(Items!D$2:D$1032,MATCH($O329,Items!$A$2:$A$1032,0))</f>
        <v>#N/A</v>
      </c>
    </row>
    <row r="330" spans="1:18" x14ac:dyDescent="0.25">
      <c r="A330">
        <f t="shared" si="27"/>
        <v>1</v>
      </c>
      <c r="B330" t="str">
        <f t="shared" si="28"/>
        <v/>
      </c>
      <c r="C330">
        <f t="shared" ref="C330:C393" si="30">IF(OR(B330="",B330&lt;&gt;B329),1,C329+1)</f>
        <v>1</v>
      </c>
      <c r="D330" s="4"/>
      <c r="E330" t="s">
        <v>18</v>
      </c>
      <c r="F330" t="str">
        <f>INDEX(Establishment!B$2:B$1005,MATCH($E330,Establishment!$A$2:$A$1005,0))</f>
        <v xml:space="preserve"> </v>
      </c>
      <c r="G330" t="str">
        <f>INDEX(Establishment!C$2:C$1005,MATCH($E330,Establishment!$A$2:$A$1005,0))</f>
        <v xml:space="preserve"> </v>
      </c>
      <c r="M330">
        <f t="shared" ref="M330:M393" si="31">K330*L330</f>
        <v>0</v>
      </c>
      <c r="N330">
        <f t="shared" si="29"/>
        <v>0</v>
      </c>
      <c r="P330" t="e">
        <f>INDEX(Items!B$2:B$1032,MATCH($O330,Items!$A$2:$A$1032,0))</f>
        <v>#N/A</v>
      </c>
      <c r="Q330" t="e">
        <f>INDEX(Items!C$2:C$1032,MATCH($O330,Items!$A$2:$A$1032,0))</f>
        <v>#N/A</v>
      </c>
      <c r="R330" t="e">
        <f>INDEX(Items!D$2:D$1032,MATCH($O330,Items!$A$2:$A$1032,0))</f>
        <v>#N/A</v>
      </c>
    </row>
    <row r="331" spans="1:18" x14ac:dyDescent="0.25">
      <c r="A331">
        <f t="shared" si="27"/>
        <v>1</v>
      </c>
      <c r="B331" t="str">
        <f t="shared" si="28"/>
        <v/>
      </c>
      <c r="C331">
        <f t="shared" si="30"/>
        <v>1</v>
      </c>
      <c r="D331" s="4"/>
      <c r="E331" t="s">
        <v>18</v>
      </c>
      <c r="F331" t="str">
        <f>INDEX(Establishment!B$2:B$1005,MATCH($E331,Establishment!$A$2:$A$1005,0))</f>
        <v xml:space="preserve"> </v>
      </c>
      <c r="G331" t="str">
        <f>INDEX(Establishment!C$2:C$1005,MATCH($E331,Establishment!$A$2:$A$1005,0))</f>
        <v xml:space="preserve"> </v>
      </c>
      <c r="M331">
        <f t="shared" si="31"/>
        <v>0</v>
      </c>
      <c r="N331">
        <f t="shared" si="29"/>
        <v>0</v>
      </c>
      <c r="P331" t="e">
        <f>INDEX(Items!B$2:B$1032,MATCH($O331,Items!$A$2:$A$1032,0))</f>
        <v>#N/A</v>
      </c>
      <c r="Q331" t="e">
        <f>INDEX(Items!C$2:C$1032,MATCH($O331,Items!$A$2:$A$1032,0))</f>
        <v>#N/A</v>
      </c>
      <c r="R331" t="e">
        <f>INDEX(Items!D$2:D$1032,MATCH($O331,Items!$A$2:$A$1032,0))</f>
        <v>#N/A</v>
      </c>
    </row>
    <row r="332" spans="1:18" x14ac:dyDescent="0.25">
      <c r="A332">
        <f t="shared" si="27"/>
        <v>1</v>
      </c>
      <c r="B332" t="str">
        <f t="shared" si="28"/>
        <v/>
      </c>
      <c r="C332">
        <f t="shared" si="30"/>
        <v>1</v>
      </c>
      <c r="D332" s="4"/>
      <c r="E332" t="s">
        <v>18</v>
      </c>
      <c r="F332" t="str">
        <f>INDEX(Establishment!B$2:B$1005,MATCH($E332,Establishment!$A$2:$A$1005,0))</f>
        <v xml:space="preserve"> </v>
      </c>
      <c r="G332" t="str">
        <f>INDEX(Establishment!C$2:C$1005,MATCH($E332,Establishment!$A$2:$A$1005,0))</f>
        <v xml:space="preserve"> </v>
      </c>
      <c r="M332">
        <f t="shared" si="31"/>
        <v>0</v>
      </c>
      <c r="N332">
        <f t="shared" si="29"/>
        <v>0</v>
      </c>
      <c r="P332" t="e">
        <f>INDEX(Items!B$2:B$1032,MATCH($O332,Items!$A$2:$A$1032,0))</f>
        <v>#N/A</v>
      </c>
      <c r="Q332" t="e">
        <f>INDEX(Items!C$2:C$1032,MATCH($O332,Items!$A$2:$A$1032,0))</f>
        <v>#N/A</v>
      </c>
      <c r="R332" t="e">
        <f>INDEX(Items!D$2:D$1032,MATCH($O332,Items!$A$2:$A$1032,0))</f>
        <v>#N/A</v>
      </c>
    </row>
    <row r="333" spans="1:18" x14ac:dyDescent="0.25">
      <c r="A333">
        <f t="shared" si="27"/>
        <v>1</v>
      </c>
      <c r="B333" t="str">
        <f t="shared" si="28"/>
        <v/>
      </c>
      <c r="C333">
        <f t="shared" si="30"/>
        <v>1</v>
      </c>
      <c r="D333" s="4"/>
      <c r="E333" t="s">
        <v>18</v>
      </c>
      <c r="F333" t="str">
        <f>INDEX(Establishment!B$2:B$1005,MATCH($E333,Establishment!$A$2:$A$1005,0))</f>
        <v xml:space="preserve"> </v>
      </c>
      <c r="G333" t="str">
        <f>INDEX(Establishment!C$2:C$1005,MATCH($E333,Establishment!$A$2:$A$1005,0))</f>
        <v xml:space="preserve"> </v>
      </c>
      <c r="M333">
        <f t="shared" si="31"/>
        <v>0</v>
      </c>
      <c r="N333">
        <f t="shared" si="29"/>
        <v>0</v>
      </c>
      <c r="P333" t="e">
        <f>INDEX(Items!B$2:B$1032,MATCH($O333,Items!$A$2:$A$1032,0))</f>
        <v>#N/A</v>
      </c>
      <c r="Q333" t="e">
        <f>INDEX(Items!C$2:C$1032,MATCH($O333,Items!$A$2:$A$1032,0))</f>
        <v>#N/A</v>
      </c>
      <c r="R333" t="e">
        <f>INDEX(Items!D$2:D$1032,MATCH($O333,Items!$A$2:$A$1032,0))</f>
        <v>#N/A</v>
      </c>
    </row>
    <row r="334" spans="1:18" x14ac:dyDescent="0.25">
      <c r="A334">
        <f t="shared" si="27"/>
        <v>1</v>
      </c>
      <c r="B334" t="str">
        <f t="shared" si="28"/>
        <v/>
      </c>
      <c r="C334">
        <f t="shared" si="30"/>
        <v>1</v>
      </c>
      <c r="D334" s="4"/>
      <c r="E334" t="s">
        <v>18</v>
      </c>
      <c r="F334" t="str">
        <f>INDEX(Establishment!B$2:B$1005,MATCH($E334,Establishment!$A$2:$A$1005,0))</f>
        <v xml:space="preserve"> </v>
      </c>
      <c r="G334" t="str">
        <f>INDEX(Establishment!C$2:C$1005,MATCH($E334,Establishment!$A$2:$A$1005,0))</f>
        <v xml:space="preserve"> </v>
      </c>
      <c r="M334">
        <f t="shared" si="31"/>
        <v>0</v>
      </c>
      <c r="N334">
        <f t="shared" si="29"/>
        <v>0</v>
      </c>
      <c r="P334" t="e">
        <f>INDEX(Items!B$2:B$1032,MATCH($O334,Items!$A$2:$A$1032,0))</f>
        <v>#N/A</v>
      </c>
      <c r="Q334" t="e">
        <f>INDEX(Items!C$2:C$1032,MATCH($O334,Items!$A$2:$A$1032,0))</f>
        <v>#N/A</v>
      </c>
      <c r="R334" t="e">
        <f>INDEX(Items!D$2:D$1032,MATCH($O334,Items!$A$2:$A$1032,0))</f>
        <v>#N/A</v>
      </c>
    </row>
    <row r="335" spans="1:18" x14ac:dyDescent="0.25">
      <c r="A335">
        <f t="shared" si="27"/>
        <v>1</v>
      </c>
      <c r="B335" t="str">
        <f t="shared" si="28"/>
        <v/>
      </c>
      <c r="C335">
        <f t="shared" si="30"/>
        <v>1</v>
      </c>
      <c r="D335" s="4"/>
      <c r="E335" t="s">
        <v>18</v>
      </c>
      <c r="F335" t="str">
        <f>INDEX(Establishment!B$2:B$1005,MATCH($E335,Establishment!$A$2:$A$1005,0))</f>
        <v xml:space="preserve"> </v>
      </c>
      <c r="G335" t="str">
        <f>INDEX(Establishment!C$2:C$1005,MATCH($E335,Establishment!$A$2:$A$1005,0))</f>
        <v xml:space="preserve"> </v>
      </c>
      <c r="M335">
        <f t="shared" si="31"/>
        <v>0</v>
      </c>
      <c r="N335">
        <f t="shared" si="29"/>
        <v>0</v>
      </c>
      <c r="P335" t="e">
        <f>INDEX(Items!B$2:B$1032,MATCH($O335,Items!$A$2:$A$1032,0))</f>
        <v>#N/A</v>
      </c>
      <c r="Q335" t="e">
        <f>INDEX(Items!C$2:C$1032,MATCH($O335,Items!$A$2:$A$1032,0))</f>
        <v>#N/A</v>
      </c>
      <c r="R335" t="e">
        <f>INDEX(Items!D$2:D$1032,MATCH($O335,Items!$A$2:$A$1032,0))</f>
        <v>#N/A</v>
      </c>
    </row>
    <row r="336" spans="1:18" x14ac:dyDescent="0.25">
      <c r="A336">
        <f t="shared" si="27"/>
        <v>1</v>
      </c>
      <c r="B336" t="str">
        <f t="shared" si="28"/>
        <v/>
      </c>
      <c r="C336">
        <f t="shared" si="30"/>
        <v>1</v>
      </c>
      <c r="D336" s="4"/>
      <c r="E336" t="s">
        <v>18</v>
      </c>
      <c r="F336" t="str">
        <f>INDEX(Establishment!B$2:B$1005,MATCH($E336,Establishment!$A$2:$A$1005,0))</f>
        <v xml:space="preserve"> </v>
      </c>
      <c r="G336" t="str">
        <f>INDEX(Establishment!C$2:C$1005,MATCH($E336,Establishment!$A$2:$A$1005,0))</f>
        <v xml:space="preserve"> </v>
      </c>
      <c r="M336">
        <f t="shared" si="31"/>
        <v>0</v>
      </c>
      <c r="N336">
        <f t="shared" si="29"/>
        <v>0</v>
      </c>
      <c r="P336" t="e">
        <f>INDEX(Items!B$2:B$1032,MATCH($O336,Items!$A$2:$A$1032,0))</f>
        <v>#N/A</v>
      </c>
      <c r="Q336" t="e">
        <f>INDEX(Items!C$2:C$1032,MATCH($O336,Items!$A$2:$A$1032,0))</f>
        <v>#N/A</v>
      </c>
      <c r="R336" t="e">
        <f>INDEX(Items!D$2:D$1032,MATCH($O336,Items!$A$2:$A$1032,0))</f>
        <v>#N/A</v>
      </c>
    </row>
    <row r="337" spans="1:18" x14ac:dyDescent="0.25">
      <c r="A337">
        <f t="shared" si="27"/>
        <v>1</v>
      </c>
      <c r="B337" t="str">
        <f t="shared" si="28"/>
        <v/>
      </c>
      <c r="C337">
        <f t="shared" si="30"/>
        <v>1</v>
      </c>
      <c r="D337" s="4"/>
      <c r="E337" t="s">
        <v>18</v>
      </c>
      <c r="F337" t="str">
        <f>INDEX(Establishment!B$2:B$1005,MATCH($E337,Establishment!$A$2:$A$1005,0))</f>
        <v xml:space="preserve"> </v>
      </c>
      <c r="G337" t="str">
        <f>INDEX(Establishment!C$2:C$1005,MATCH($E337,Establishment!$A$2:$A$1005,0))</f>
        <v xml:space="preserve"> </v>
      </c>
      <c r="M337">
        <f t="shared" si="31"/>
        <v>0</v>
      </c>
      <c r="N337">
        <f t="shared" si="29"/>
        <v>0</v>
      </c>
      <c r="P337" t="e">
        <f>INDEX(Items!B$2:B$1032,MATCH($O337,Items!$A$2:$A$1032,0))</f>
        <v>#N/A</v>
      </c>
      <c r="Q337" t="e">
        <f>INDEX(Items!C$2:C$1032,MATCH($O337,Items!$A$2:$A$1032,0))</f>
        <v>#N/A</v>
      </c>
      <c r="R337" t="e">
        <f>INDEX(Items!D$2:D$1032,MATCH($O337,Items!$A$2:$A$1032,0))</f>
        <v>#N/A</v>
      </c>
    </row>
    <row r="338" spans="1:18" x14ac:dyDescent="0.25">
      <c r="A338">
        <f t="shared" si="27"/>
        <v>1</v>
      </c>
      <c r="B338" t="str">
        <f t="shared" si="28"/>
        <v/>
      </c>
      <c r="C338">
        <f t="shared" si="30"/>
        <v>1</v>
      </c>
      <c r="D338" s="4"/>
      <c r="E338" t="s">
        <v>18</v>
      </c>
      <c r="F338" t="str">
        <f>INDEX(Establishment!B$2:B$1005,MATCH($E338,Establishment!$A$2:$A$1005,0))</f>
        <v xml:space="preserve"> </v>
      </c>
      <c r="G338" t="str">
        <f>INDEX(Establishment!C$2:C$1005,MATCH($E338,Establishment!$A$2:$A$1005,0))</f>
        <v xml:space="preserve"> </v>
      </c>
      <c r="M338">
        <f t="shared" si="31"/>
        <v>0</v>
      </c>
      <c r="N338">
        <f t="shared" si="29"/>
        <v>0</v>
      </c>
      <c r="P338" t="e">
        <f>INDEX(Items!B$2:B$1032,MATCH($O338,Items!$A$2:$A$1032,0))</f>
        <v>#N/A</v>
      </c>
      <c r="Q338" t="e">
        <f>INDEX(Items!C$2:C$1032,MATCH($O338,Items!$A$2:$A$1032,0))</f>
        <v>#N/A</v>
      </c>
      <c r="R338" t="e">
        <f>INDEX(Items!D$2:D$1032,MATCH($O338,Items!$A$2:$A$1032,0))</f>
        <v>#N/A</v>
      </c>
    </row>
    <row r="339" spans="1:18" x14ac:dyDescent="0.25">
      <c r="A339">
        <f t="shared" si="27"/>
        <v>1</v>
      </c>
      <c r="B339" t="str">
        <f t="shared" si="28"/>
        <v/>
      </c>
      <c r="C339">
        <f t="shared" si="30"/>
        <v>1</v>
      </c>
      <c r="D339" s="4"/>
      <c r="E339" t="s">
        <v>18</v>
      </c>
      <c r="F339" t="str">
        <f>INDEX(Establishment!B$2:B$1005,MATCH($E339,Establishment!$A$2:$A$1005,0))</f>
        <v xml:space="preserve"> </v>
      </c>
      <c r="G339" t="str">
        <f>INDEX(Establishment!C$2:C$1005,MATCH($E339,Establishment!$A$2:$A$1005,0))</f>
        <v xml:space="preserve"> </v>
      </c>
      <c r="M339">
        <f t="shared" si="31"/>
        <v>0</v>
      </c>
      <c r="N339">
        <f t="shared" si="29"/>
        <v>0</v>
      </c>
      <c r="P339" t="e">
        <f>INDEX(Items!B$2:B$1032,MATCH($O339,Items!$A$2:$A$1032,0))</f>
        <v>#N/A</v>
      </c>
      <c r="Q339" t="e">
        <f>INDEX(Items!C$2:C$1032,MATCH($O339,Items!$A$2:$A$1032,0))</f>
        <v>#N/A</v>
      </c>
      <c r="R339" t="e">
        <f>INDEX(Items!D$2:D$1032,MATCH($O339,Items!$A$2:$A$1032,0))</f>
        <v>#N/A</v>
      </c>
    </row>
    <row r="340" spans="1:18" x14ac:dyDescent="0.25">
      <c r="A340">
        <f t="shared" si="27"/>
        <v>1</v>
      </c>
      <c r="B340" t="str">
        <f t="shared" si="28"/>
        <v/>
      </c>
      <c r="C340">
        <f t="shared" si="30"/>
        <v>1</v>
      </c>
      <c r="D340" s="4"/>
      <c r="E340" t="s">
        <v>18</v>
      </c>
      <c r="F340" t="str">
        <f>INDEX(Establishment!B$2:B$1005,MATCH($E340,Establishment!$A$2:$A$1005,0))</f>
        <v xml:space="preserve"> </v>
      </c>
      <c r="G340" t="str">
        <f>INDEX(Establishment!C$2:C$1005,MATCH($E340,Establishment!$A$2:$A$1005,0))</f>
        <v xml:space="preserve"> </v>
      </c>
      <c r="M340">
        <f t="shared" si="31"/>
        <v>0</v>
      </c>
      <c r="N340">
        <f t="shared" si="29"/>
        <v>0</v>
      </c>
      <c r="P340" t="e">
        <f>INDEX(Items!B$2:B$1032,MATCH($O340,Items!$A$2:$A$1032,0))</f>
        <v>#N/A</v>
      </c>
      <c r="Q340" t="e">
        <f>INDEX(Items!C$2:C$1032,MATCH($O340,Items!$A$2:$A$1032,0))</f>
        <v>#N/A</v>
      </c>
      <c r="R340" t="e">
        <f>INDEX(Items!D$2:D$1032,MATCH($O340,Items!$A$2:$A$1032,0))</f>
        <v>#N/A</v>
      </c>
    </row>
    <row r="341" spans="1:18" x14ac:dyDescent="0.25">
      <c r="A341">
        <f t="shared" si="27"/>
        <v>1</v>
      </c>
      <c r="B341" t="str">
        <f t="shared" si="28"/>
        <v/>
      </c>
      <c r="C341">
        <f t="shared" si="30"/>
        <v>1</v>
      </c>
      <c r="D341" s="4"/>
      <c r="E341" t="s">
        <v>18</v>
      </c>
      <c r="F341" t="str">
        <f>INDEX(Establishment!B$2:B$1005,MATCH($E341,Establishment!$A$2:$A$1005,0))</f>
        <v xml:space="preserve"> </v>
      </c>
      <c r="G341" t="str">
        <f>INDEX(Establishment!C$2:C$1005,MATCH($E341,Establishment!$A$2:$A$1005,0))</f>
        <v xml:space="preserve"> </v>
      </c>
      <c r="M341">
        <f t="shared" si="31"/>
        <v>0</v>
      </c>
      <c r="N341">
        <f t="shared" si="29"/>
        <v>0</v>
      </c>
      <c r="P341" t="e">
        <f>INDEX(Items!B$2:B$1032,MATCH($O341,Items!$A$2:$A$1032,0))</f>
        <v>#N/A</v>
      </c>
      <c r="Q341" t="e">
        <f>INDEX(Items!C$2:C$1032,MATCH($O341,Items!$A$2:$A$1032,0))</f>
        <v>#N/A</v>
      </c>
      <c r="R341" t="e">
        <f>INDEX(Items!D$2:D$1032,MATCH($O341,Items!$A$2:$A$1032,0))</f>
        <v>#N/A</v>
      </c>
    </row>
    <row r="342" spans="1:18" x14ac:dyDescent="0.25">
      <c r="A342">
        <f t="shared" si="27"/>
        <v>1</v>
      </c>
      <c r="B342" t="str">
        <f t="shared" si="28"/>
        <v/>
      </c>
      <c r="C342">
        <f t="shared" si="30"/>
        <v>1</v>
      </c>
      <c r="D342" s="4"/>
      <c r="E342" t="s">
        <v>18</v>
      </c>
      <c r="F342" t="str">
        <f>INDEX(Establishment!B$2:B$1005,MATCH($E342,Establishment!$A$2:$A$1005,0))</f>
        <v xml:space="preserve"> </v>
      </c>
      <c r="G342" t="str">
        <f>INDEX(Establishment!C$2:C$1005,MATCH($E342,Establishment!$A$2:$A$1005,0))</f>
        <v xml:space="preserve"> </v>
      </c>
      <c r="M342">
        <f t="shared" si="31"/>
        <v>0</v>
      </c>
      <c r="N342">
        <f t="shared" si="29"/>
        <v>0</v>
      </c>
      <c r="P342" t="e">
        <f>INDEX(Items!B$2:B$1032,MATCH($O342,Items!$A$2:$A$1032,0))</f>
        <v>#N/A</v>
      </c>
      <c r="Q342" t="e">
        <f>INDEX(Items!C$2:C$1032,MATCH($O342,Items!$A$2:$A$1032,0))</f>
        <v>#N/A</v>
      </c>
      <c r="R342" t="e">
        <f>INDEX(Items!D$2:D$1032,MATCH($O342,Items!$A$2:$A$1032,0))</f>
        <v>#N/A</v>
      </c>
    </row>
    <row r="343" spans="1:18" x14ac:dyDescent="0.25">
      <c r="A343">
        <f t="shared" si="27"/>
        <v>1</v>
      </c>
      <c r="B343" t="str">
        <f t="shared" si="28"/>
        <v/>
      </c>
      <c r="C343">
        <f t="shared" si="30"/>
        <v>1</v>
      </c>
      <c r="D343" s="4"/>
      <c r="E343" t="s">
        <v>18</v>
      </c>
      <c r="F343" t="str">
        <f>INDEX(Establishment!B$2:B$1005,MATCH($E343,Establishment!$A$2:$A$1005,0))</f>
        <v xml:space="preserve"> </v>
      </c>
      <c r="G343" t="str">
        <f>INDEX(Establishment!C$2:C$1005,MATCH($E343,Establishment!$A$2:$A$1005,0))</f>
        <v xml:space="preserve"> </v>
      </c>
      <c r="M343">
        <f t="shared" si="31"/>
        <v>0</v>
      </c>
      <c r="N343">
        <f t="shared" si="29"/>
        <v>0</v>
      </c>
      <c r="P343" t="e">
        <f>INDEX(Items!B$2:B$1032,MATCH($O343,Items!$A$2:$A$1032,0))</f>
        <v>#N/A</v>
      </c>
      <c r="Q343" t="e">
        <f>INDEX(Items!C$2:C$1032,MATCH($O343,Items!$A$2:$A$1032,0))</f>
        <v>#N/A</v>
      </c>
      <c r="R343" t="e">
        <f>INDEX(Items!D$2:D$1032,MATCH($O343,Items!$A$2:$A$1032,0))</f>
        <v>#N/A</v>
      </c>
    </row>
    <row r="344" spans="1:18" x14ac:dyDescent="0.25">
      <c r="A344">
        <f t="shared" si="27"/>
        <v>1</v>
      </c>
      <c r="B344" t="str">
        <f t="shared" si="28"/>
        <v/>
      </c>
      <c r="C344">
        <f t="shared" si="30"/>
        <v>1</v>
      </c>
      <c r="D344" s="4"/>
      <c r="E344" t="s">
        <v>18</v>
      </c>
      <c r="F344" t="str">
        <f>INDEX(Establishment!B$2:B$1005,MATCH($E344,Establishment!$A$2:$A$1005,0))</f>
        <v xml:space="preserve"> </v>
      </c>
      <c r="G344" t="str">
        <f>INDEX(Establishment!C$2:C$1005,MATCH($E344,Establishment!$A$2:$A$1005,0))</f>
        <v xml:space="preserve"> </v>
      </c>
      <c r="M344">
        <f t="shared" si="31"/>
        <v>0</v>
      </c>
      <c r="N344">
        <f t="shared" si="29"/>
        <v>0</v>
      </c>
      <c r="P344" t="e">
        <f>INDEX(Items!B$2:B$1032,MATCH($O344,Items!$A$2:$A$1032,0))</f>
        <v>#N/A</v>
      </c>
      <c r="Q344" t="e">
        <f>INDEX(Items!C$2:C$1032,MATCH($O344,Items!$A$2:$A$1032,0))</f>
        <v>#N/A</v>
      </c>
      <c r="R344" t="e">
        <f>INDEX(Items!D$2:D$1032,MATCH($O344,Items!$A$2:$A$1032,0))</f>
        <v>#N/A</v>
      </c>
    </row>
    <row r="345" spans="1:18" x14ac:dyDescent="0.25">
      <c r="A345">
        <f t="shared" si="27"/>
        <v>1</v>
      </c>
      <c r="B345" t="str">
        <f t="shared" si="28"/>
        <v/>
      </c>
      <c r="C345">
        <f t="shared" si="30"/>
        <v>1</v>
      </c>
      <c r="D345" s="4"/>
      <c r="E345" t="s">
        <v>18</v>
      </c>
      <c r="F345" t="str">
        <f>INDEX(Establishment!B$2:B$1005,MATCH($E345,Establishment!$A$2:$A$1005,0))</f>
        <v xml:space="preserve"> </v>
      </c>
      <c r="G345" t="str">
        <f>INDEX(Establishment!C$2:C$1005,MATCH($E345,Establishment!$A$2:$A$1005,0))</f>
        <v xml:space="preserve"> </v>
      </c>
      <c r="M345">
        <f t="shared" si="31"/>
        <v>0</v>
      </c>
      <c r="N345">
        <f t="shared" si="29"/>
        <v>0</v>
      </c>
      <c r="P345" t="e">
        <f>INDEX(Items!B$2:B$1032,MATCH($O345,Items!$A$2:$A$1032,0))</f>
        <v>#N/A</v>
      </c>
      <c r="Q345" t="e">
        <f>INDEX(Items!C$2:C$1032,MATCH($O345,Items!$A$2:$A$1032,0))</f>
        <v>#N/A</v>
      </c>
      <c r="R345" t="e">
        <f>INDEX(Items!D$2:D$1032,MATCH($O345,Items!$A$2:$A$1032,0))</f>
        <v>#N/A</v>
      </c>
    </row>
    <row r="346" spans="1:18" x14ac:dyDescent="0.25">
      <c r="A346">
        <f t="shared" si="27"/>
        <v>1</v>
      </c>
      <c r="B346" t="str">
        <f t="shared" si="28"/>
        <v/>
      </c>
      <c r="C346">
        <f t="shared" si="30"/>
        <v>1</v>
      </c>
      <c r="D346" s="4"/>
      <c r="E346" t="s">
        <v>18</v>
      </c>
      <c r="F346" t="str">
        <f>INDEX(Establishment!B$2:B$1005,MATCH($E346,Establishment!$A$2:$A$1005,0))</f>
        <v xml:space="preserve"> </v>
      </c>
      <c r="G346" t="str">
        <f>INDEX(Establishment!C$2:C$1005,MATCH($E346,Establishment!$A$2:$A$1005,0))</f>
        <v xml:space="preserve"> </v>
      </c>
      <c r="M346">
        <f t="shared" si="31"/>
        <v>0</v>
      </c>
      <c r="N346">
        <f t="shared" si="29"/>
        <v>0</v>
      </c>
      <c r="P346" t="e">
        <f>INDEX(Items!B$2:B$1032,MATCH($O346,Items!$A$2:$A$1032,0))</f>
        <v>#N/A</v>
      </c>
      <c r="Q346" t="e">
        <f>INDEX(Items!C$2:C$1032,MATCH($O346,Items!$A$2:$A$1032,0))</f>
        <v>#N/A</v>
      </c>
      <c r="R346" t="e">
        <f>INDEX(Items!D$2:D$1032,MATCH($O346,Items!$A$2:$A$1032,0))</f>
        <v>#N/A</v>
      </c>
    </row>
    <row r="347" spans="1:18" x14ac:dyDescent="0.25">
      <c r="A347">
        <f t="shared" si="27"/>
        <v>1</v>
      </c>
      <c r="B347" t="str">
        <f t="shared" si="28"/>
        <v/>
      </c>
      <c r="C347">
        <f t="shared" si="30"/>
        <v>1</v>
      </c>
      <c r="D347" s="4"/>
      <c r="E347" t="s">
        <v>18</v>
      </c>
      <c r="F347" t="str">
        <f>INDEX(Establishment!B$2:B$1005,MATCH($E347,Establishment!$A$2:$A$1005,0))</f>
        <v xml:space="preserve"> </v>
      </c>
      <c r="G347" t="str">
        <f>INDEX(Establishment!C$2:C$1005,MATCH($E347,Establishment!$A$2:$A$1005,0))</f>
        <v xml:space="preserve"> </v>
      </c>
      <c r="M347">
        <f t="shared" si="31"/>
        <v>0</v>
      </c>
      <c r="N347">
        <f t="shared" si="29"/>
        <v>0</v>
      </c>
      <c r="P347" t="e">
        <f>INDEX(Items!B$2:B$1032,MATCH($O347,Items!$A$2:$A$1032,0))</f>
        <v>#N/A</v>
      </c>
      <c r="Q347" t="e">
        <f>INDEX(Items!C$2:C$1032,MATCH($O347,Items!$A$2:$A$1032,0))</f>
        <v>#N/A</v>
      </c>
      <c r="R347" t="e">
        <f>INDEX(Items!D$2:D$1032,MATCH($O347,Items!$A$2:$A$1032,0))</f>
        <v>#N/A</v>
      </c>
    </row>
    <row r="348" spans="1:18" x14ac:dyDescent="0.25">
      <c r="A348">
        <f t="shared" si="27"/>
        <v>1</v>
      </c>
      <c r="B348" t="str">
        <f t="shared" si="28"/>
        <v/>
      </c>
      <c r="C348">
        <f t="shared" si="30"/>
        <v>1</v>
      </c>
      <c r="D348" s="4"/>
      <c r="E348" t="s">
        <v>18</v>
      </c>
      <c r="F348" t="str">
        <f>INDEX(Establishment!B$2:B$1005,MATCH($E348,Establishment!$A$2:$A$1005,0))</f>
        <v xml:space="preserve"> </v>
      </c>
      <c r="G348" t="str">
        <f>INDEX(Establishment!C$2:C$1005,MATCH($E348,Establishment!$A$2:$A$1005,0))</f>
        <v xml:space="preserve"> </v>
      </c>
      <c r="M348">
        <f t="shared" si="31"/>
        <v>0</v>
      </c>
      <c r="N348">
        <f t="shared" si="29"/>
        <v>0</v>
      </c>
      <c r="P348" t="e">
        <f>INDEX(Items!B$2:B$1032,MATCH($O348,Items!$A$2:$A$1032,0))</f>
        <v>#N/A</v>
      </c>
      <c r="Q348" t="e">
        <f>INDEX(Items!C$2:C$1032,MATCH($O348,Items!$A$2:$A$1032,0))</f>
        <v>#N/A</v>
      </c>
      <c r="R348" t="e">
        <f>INDEX(Items!D$2:D$1032,MATCH($O348,Items!$A$2:$A$1032,0))</f>
        <v>#N/A</v>
      </c>
    </row>
    <row r="349" spans="1:18" x14ac:dyDescent="0.25">
      <c r="A349">
        <f t="shared" si="27"/>
        <v>1</v>
      </c>
      <c r="B349" t="str">
        <f t="shared" si="28"/>
        <v/>
      </c>
      <c r="C349">
        <f t="shared" si="30"/>
        <v>1</v>
      </c>
      <c r="D349" s="4"/>
      <c r="E349" t="s">
        <v>18</v>
      </c>
      <c r="F349" t="str">
        <f>INDEX(Establishment!B$2:B$1005,MATCH($E349,Establishment!$A$2:$A$1005,0))</f>
        <v xml:space="preserve"> </v>
      </c>
      <c r="G349" t="str">
        <f>INDEX(Establishment!C$2:C$1005,MATCH($E349,Establishment!$A$2:$A$1005,0))</f>
        <v xml:space="preserve"> </v>
      </c>
      <c r="M349">
        <f t="shared" si="31"/>
        <v>0</v>
      </c>
      <c r="N349">
        <f t="shared" si="29"/>
        <v>0</v>
      </c>
      <c r="P349" t="e">
        <f>INDEX(Items!B$2:B$1032,MATCH($O349,Items!$A$2:$A$1032,0))</f>
        <v>#N/A</v>
      </c>
      <c r="Q349" t="e">
        <f>INDEX(Items!C$2:C$1032,MATCH($O349,Items!$A$2:$A$1032,0))</f>
        <v>#N/A</v>
      </c>
      <c r="R349" t="e">
        <f>INDEX(Items!D$2:D$1032,MATCH($O349,Items!$A$2:$A$1032,0))</f>
        <v>#N/A</v>
      </c>
    </row>
    <row r="350" spans="1:18" x14ac:dyDescent="0.25">
      <c r="A350">
        <f t="shared" si="27"/>
        <v>1</v>
      </c>
      <c r="B350" t="str">
        <f t="shared" si="28"/>
        <v/>
      </c>
      <c r="C350">
        <f t="shared" si="30"/>
        <v>1</v>
      </c>
      <c r="D350" s="4"/>
      <c r="E350" t="s">
        <v>18</v>
      </c>
      <c r="F350" t="str">
        <f>INDEX(Establishment!B$2:B$1005,MATCH($E350,Establishment!$A$2:$A$1005,0))</f>
        <v xml:space="preserve"> </v>
      </c>
      <c r="G350" t="str">
        <f>INDEX(Establishment!C$2:C$1005,MATCH($E350,Establishment!$A$2:$A$1005,0))</f>
        <v xml:space="preserve"> </v>
      </c>
      <c r="M350">
        <f t="shared" si="31"/>
        <v>0</v>
      </c>
      <c r="N350">
        <f t="shared" si="29"/>
        <v>0</v>
      </c>
      <c r="P350" t="e">
        <f>INDEX(Items!B$2:B$1032,MATCH($O350,Items!$A$2:$A$1032,0))</f>
        <v>#N/A</v>
      </c>
      <c r="Q350" t="e">
        <f>INDEX(Items!C$2:C$1032,MATCH($O350,Items!$A$2:$A$1032,0))</f>
        <v>#N/A</v>
      </c>
      <c r="R350" t="e">
        <f>INDEX(Items!D$2:D$1032,MATCH($O350,Items!$A$2:$A$1032,0))</f>
        <v>#N/A</v>
      </c>
    </row>
    <row r="351" spans="1:18" x14ac:dyDescent="0.25">
      <c r="A351">
        <f t="shared" si="27"/>
        <v>1</v>
      </c>
      <c r="B351" t="str">
        <f t="shared" si="28"/>
        <v/>
      </c>
      <c r="C351">
        <f t="shared" si="30"/>
        <v>1</v>
      </c>
      <c r="D351" s="4"/>
      <c r="E351" t="s">
        <v>18</v>
      </c>
      <c r="F351" t="str">
        <f>INDEX(Establishment!B$2:B$1005,MATCH($E351,Establishment!$A$2:$A$1005,0))</f>
        <v xml:space="preserve"> </v>
      </c>
      <c r="G351" t="str">
        <f>INDEX(Establishment!C$2:C$1005,MATCH($E351,Establishment!$A$2:$A$1005,0))</f>
        <v xml:space="preserve"> </v>
      </c>
      <c r="M351">
        <f t="shared" si="31"/>
        <v>0</v>
      </c>
      <c r="N351">
        <f t="shared" si="29"/>
        <v>0</v>
      </c>
      <c r="P351" t="e">
        <f>INDEX(Items!B$2:B$1032,MATCH($O351,Items!$A$2:$A$1032,0))</f>
        <v>#N/A</v>
      </c>
      <c r="Q351" t="e">
        <f>INDEX(Items!C$2:C$1032,MATCH($O351,Items!$A$2:$A$1032,0))</f>
        <v>#N/A</v>
      </c>
      <c r="R351" t="e">
        <f>INDEX(Items!D$2:D$1032,MATCH($O351,Items!$A$2:$A$1032,0))</f>
        <v>#N/A</v>
      </c>
    </row>
    <row r="352" spans="1:18" x14ac:dyDescent="0.25">
      <c r="A352">
        <f t="shared" si="27"/>
        <v>1</v>
      </c>
      <c r="B352" t="str">
        <f t="shared" si="28"/>
        <v/>
      </c>
      <c r="C352">
        <f t="shared" si="30"/>
        <v>1</v>
      </c>
      <c r="D352" s="4"/>
      <c r="E352" t="s">
        <v>18</v>
      </c>
      <c r="F352" t="str">
        <f>INDEX(Establishment!B$2:B$1005,MATCH($E352,Establishment!$A$2:$A$1005,0))</f>
        <v xml:space="preserve"> </v>
      </c>
      <c r="G352" t="str">
        <f>INDEX(Establishment!C$2:C$1005,MATCH($E352,Establishment!$A$2:$A$1005,0))</f>
        <v xml:space="preserve"> </v>
      </c>
      <c r="M352">
        <f t="shared" si="31"/>
        <v>0</v>
      </c>
      <c r="N352">
        <f t="shared" si="29"/>
        <v>0</v>
      </c>
      <c r="P352" t="e">
        <f>INDEX(Items!B$2:B$1032,MATCH($O352,Items!$A$2:$A$1032,0))</f>
        <v>#N/A</v>
      </c>
      <c r="Q352" t="e">
        <f>INDEX(Items!C$2:C$1032,MATCH($O352,Items!$A$2:$A$1032,0))</f>
        <v>#N/A</v>
      </c>
      <c r="R352" t="e">
        <f>INDEX(Items!D$2:D$1032,MATCH($O352,Items!$A$2:$A$1032,0))</f>
        <v>#N/A</v>
      </c>
    </row>
    <row r="353" spans="1:18" x14ac:dyDescent="0.25">
      <c r="A353">
        <f t="shared" si="27"/>
        <v>1</v>
      </c>
      <c r="B353" t="str">
        <f t="shared" si="28"/>
        <v/>
      </c>
      <c r="C353">
        <f t="shared" si="30"/>
        <v>1</v>
      </c>
      <c r="D353" s="4"/>
      <c r="E353" t="s">
        <v>18</v>
      </c>
      <c r="F353" t="str">
        <f>INDEX(Establishment!B$2:B$1005,MATCH($E353,Establishment!$A$2:$A$1005,0))</f>
        <v xml:space="preserve"> </v>
      </c>
      <c r="G353" t="str">
        <f>INDEX(Establishment!C$2:C$1005,MATCH($E353,Establishment!$A$2:$A$1005,0))</f>
        <v xml:space="preserve"> </v>
      </c>
      <c r="M353">
        <f t="shared" si="31"/>
        <v>0</v>
      </c>
      <c r="N353">
        <f t="shared" si="29"/>
        <v>0</v>
      </c>
      <c r="P353" t="e">
        <f>INDEX(Items!B$2:B$1032,MATCH($O353,Items!$A$2:$A$1032,0))</f>
        <v>#N/A</v>
      </c>
      <c r="Q353" t="e">
        <f>INDEX(Items!C$2:C$1032,MATCH($O353,Items!$A$2:$A$1032,0))</f>
        <v>#N/A</v>
      </c>
      <c r="R353" t="e">
        <f>INDEX(Items!D$2:D$1032,MATCH($O353,Items!$A$2:$A$1032,0))</f>
        <v>#N/A</v>
      </c>
    </row>
    <row r="354" spans="1:18" x14ac:dyDescent="0.25">
      <c r="A354">
        <f t="shared" si="27"/>
        <v>1</v>
      </c>
      <c r="B354" t="str">
        <f t="shared" si="28"/>
        <v/>
      </c>
      <c r="C354">
        <f t="shared" si="30"/>
        <v>1</v>
      </c>
      <c r="D354" s="4"/>
      <c r="E354" t="s">
        <v>18</v>
      </c>
      <c r="F354" t="str">
        <f>INDEX(Establishment!B$2:B$1005,MATCH($E354,Establishment!$A$2:$A$1005,0))</f>
        <v xml:space="preserve"> </v>
      </c>
      <c r="G354" t="str">
        <f>INDEX(Establishment!C$2:C$1005,MATCH($E354,Establishment!$A$2:$A$1005,0))</f>
        <v xml:space="preserve"> </v>
      </c>
      <c r="M354">
        <f t="shared" si="31"/>
        <v>0</v>
      </c>
      <c r="N354">
        <f t="shared" si="29"/>
        <v>0</v>
      </c>
      <c r="P354" t="e">
        <f>INDEX(Items!B$2:B$1032,MATCH($O354,Items!$A$2:$A$1032,0))</f>
        <v>#N/A</v>
      </c>
      <c r="Q354" t="e">
        <f>INDEX(Items!C$2:C$1032,MATCH($O354,Items!$A$2:$A$1032,0))</f>
        <v>#N/A</v>
      </c>
      <c r="R354" t="e">
        <f>INDEX(Items!D$2:D$1032,MATCH($O354,Items!$A$2:$A$1032,0))</f>
        <v>#N/A</v>
      </c>
    </row>
    <row r="355" spans="1:18" x14ac:dyDescent="0.25">
      <c r="A355">
        <f t="shared" si="27"/>
        <v>1</v>
      </c>
      <c r="B355" t="str">
        <f t="shared" si="28"/>
        <v/>
      </c>
      <c r="C355">
        <f t="shared" si="30"/>
        <v>1</v>
      </c>
      <c r="D355" s="4"/>
      <c r="E355" t="s">
        <v>18</v>
      </c>
      <c r="F355" t="str">
        <f>INDEX(Establishment!B$2:B$1005,MATCH($E355,Establishment!$A$2:$A$1005,0))</f>
        <v xml:space="preserve"> </v>
      </c>
      <c r="G355" t="str">
        <f>INDEX(Establishment!C$2:C$1005,MATCH($E355,Establishment!$A$2:$A$1005,0))</f>
        <v xml:space="preserve"> </v>
      </c>
      <c r="M355">
        <f t="shared" si="31"/>
        <v>0</v>
      </c>
      <c r="N355">
        <f t="shared" si="29"/>
        <v>0</v>
      </c>
      <c r="P355" t="e">
        <f>INDEX(Items!B$2:B$1032,MATCH($O355,Items!$A$2:$A$1032,0))</f>
        <v>#N/A</v>
      </c>
      <c r="Q355" t="e">
        <f>INDEX(Items!C$2:C$1032,MATCH($O355,Items!$A$2:$A$1032,0))</f>
        <v>#N/A</v>
      </c>
      <c r="R355" t="e">
        <f>INDEX(Items!D$2:D$1032,MATCH($O355,Items!$A$2:$A$1032,0))</f>
        <v>#N/A</v>
      </c>
    </row>
    <row r="356" spans="1:18" x14ac:dyDescent="0.25">
      <c r="A356">
        <f t="shared" si="27"/>
        <v>1</v>
      </c>
      <c r="B356" t="str">
        <f t="shared" si="28"/>
        <v/>
      </c>
      <c r="C356">
        <f t="shared" si="30"/>
        <v>1</v>
      </c>
      <c r="D356" s="4"/>
      <c r="E356" t="s">
        <v>18</v>
      </c>
      <c r="F356" t="str">
        <f>INDEX(Establishment!B$2:B$1005,MATCH($E356,Establishment!$A$2:$A$1005,0))</f>
        <v xml:space="preserve"> </v>
      </c>
      <c r="G356" t="str">
        <f>INDEX(Establishment!C$2:C$1005,MATCH($E356,Establishment!$A$2:$A$1005,0))</f>
        <v xml:space="preserve"> </v>
      </c>
      <c r="M356">
        <f t="shared" si="31"/>
        <v>0</v>
      </c>
      <c r="N356">
        <f t="shared" si="29"/>
        <v>0</v>
      </c>
      <c r="P356" t="e">
        <f>INDEX(Items!B$2:B$1032,MATCH($O356,Items!$A$2:$A$1032,0))</f>
        <v>#N/A</v>
      </c>
      <c r="Q356" t="e">
        <f>INDEX(Items!C$2:C$1032,MATCH($O356,Items!$A$2:$A$1032,0))</f>
        <v>#N/A</v>
      </c>
      <c r="R356" t="e">
        <f>INDEX(Items!D$2:D$1032,MATCH($O356,Items!$A$2:$A$1032,0))</f>
        <v>#N/A</v>
      </c>
    </row>
    <row r="357" spans="1:18" x14ac:dyDescent="0.25">
      <c r="A357">
        <f t="shared" si="27"/>
        <v>1</v>
      </c>
      <c r="B357" t="str">
        <f t="shared" si="28"/>
        <v/>
      </c>
      <c r="C357">
        <f t="shared" si="30"/>
        <v>1</v>
      </c>
      <c r="D357" s="4"/>
      <c r="E357" t="s">
        <v>18</v>
      </c>
      <c r="F357" t="str">
        <f>INDEX(Establishment!B$2:B$1005,MATCH($E357,Establishment!$A$2:$A$1005,0))</f>
        <v xml:space="preserve"> </v>
      </c>
      <c r="G357" t="str">
        <f>INDEX(Establishment!C$2:C$1005,MATCH($E357,Establishment!$A$2:$A$1005,0))</f>
        <v xml:space="preserve"> </v>
      </c>
      <c r="M357">
        <f t="shared" si="31"/>
        <v>0</v>
      </c>
      <c r="N357">
        <f t="shared" si="29"/>
        <v>0</v>
      </c>
      <c r="P357" t="e">
        <f>INDEX(Items!B$2:B$1032,MATCH($O357,Items!$A$2:$A$1032,0))</f>
        <v>#N/A</v>
      </c>
      <c r="Q357" t="e">
        <f>INDEX(Items!C$2:C$1032,MATCH($O357,Items!$A$2:$A$1032,0))</f>
        <v>#N/A</v>
      </c>
      <c r="R357" t="e">
        <f>INDEX(Items!D$2:D$1032,MATCH($O357,Items!$A$2:$A$1032,0))</f>
        <v>#N/A</v>
      </c>
    </row>
    <row r="358" spans="1:18" x14ac:dyDescent="0.25">
      <c r="A358">
        <f t="shared" si="27"/>
        <v>1</v>
      </c>
      <c r="B358" t="str">
        <f t="shared" si="28"/>
        <v/>
      </c>
      <c r="C358">
        <f t="shared" si="30"/>
        <v>1</v>
      </c>
      <c r="D358" s="4"/>
      <c r="E358" t="s">
        <v>18</v>
      </c>
      <c r="F358" t="str">
        <f>INDEX(Establishment!B$2:B$1005,MATCH($E358,Establishment!$A$2:$A$1005,0))</f>
        <v xml:space="preserve"> </v>
      </c>
      <c r="G358" t="str">
        <f>INDEX(Establishment!C$2:C$1005,MATCH($E358,Establishment!$A$2:$A$1005,0))</f>
        <v xml:space="preserve"> </v>
      </c>
      <c r="M358">
        <f t="shared" si="31"/>
        <v>0</v>
      </c>
      <c r="N358">
        <f t="shared" si="29"/>
        <v>0</v>
      </c>
      <c r="P358" t="e">
        <f>INDEX(Items!B$2:B$1032,MATCH($O358,Items!$A$2:$A$1032,0))</f>
        <v>#N/A</v>
      </c>
      <c r="Q358" t="e">
        <f>INDEX(Items!C$2:C$1032,MATCH($O358,Items!$A$2:$A$1032,0))</f>
        <v>#N/A</v>
      </c>
      <c r="R358" t="e">
        <f>INDEX(Items!D$2:D$1032,MATCH($O358,Items!$A$2:$A$1032,0))</f>
        <v>#N/A</v>
      </c>
    </row>
    <row r="359" spans="1:18" x14ac:dyDescent="0.25">
      <c r="A359">
        <f t="shared" si="27"/>
        <v>1</v>
      </c>
      <c r="B359" t="str">
        <f t="shared" si="28"/>
        <v/>
      </c>
      <c r="C359">
        <f t="shared" si="30"/>
        <v>1</v>
      </c>
      <c r="D359" s="4"/>
      <c r="E359" t="s">
        <v>18</v>
      </c>
      <c r="F359" t="str">
        <f>INDEX(Establishment!B$2:B$1005,MATCH($E359,Establishment!$A$2:$A$1005,0))</f>
        <v xml:space="preserve"> </v>
      </c>
      <c r="G359" t="str">
        <f>INDEX(Establishment!C$2:C$1005,MATCH($E359,Establishment!$A$2:$A$1005,0))</f>
        <v xml:space="preserve"> </v>
      </c>
      <c r="M359">
        <f t="shared" si="31"/>
        <v>0</v>
      </c>
      <c r="N359">
        <f t="shared" si="29"/>
        <v>0</v>
      </c>
      <c r="P359" t="e">
        <f>INDEX(Items!B$2:B$1032,MATCH($O359,Items!$A$2:$A$1032,0))</f>
        <v>#N/A</v>
      </c>
      <c r="Q359" t="e">
        <f>INDEX(Items!C$2:C$1032,MATCH($O359,Items!$A$2:$A$1032,0))</f>
        <v>#N/A</v>
      </c>
      <c r="R359" t="e">
        <f>INDEX(Items!D$2:D$1032,MATCH($O359,Items!$A$2:$A$1032,0))</f>
        <v>#N/A</v>
      </c>
    </row>
    <row r="360" spans="1:18" x14ac:dyDescent="0.25">
      <c r="A360">
        <f t="shared" si="27"/>
        <v>1</v>
      </c>
      <c r="B360" t="str">
        <f t="shared" si="28"/>
        <v/>
      </c>
      <c r="C360">
        <f t="shared" si="30"/>
        <v>1</v>
      </c>
      <c r="D360" s="4"/>
      <c r="E360" t="s">
        <v>18</v>
      </c>
      <c r="F360" t="str">
        <f>INDEX(Establishment!B$2:B$1005,MATCH($E360,Establishment!$A$2:$A$1005,0))</f>
        <v xml:space="preserve"> </v>
      </c>
      <c r="G360" t="str">
        <f>INDEX(Establishment!C$2:C$1005,MATCH($E360,Establishment!$A$2:$A$1005,0))</f>
        <v xml:space="preserve"> </v>
      </c>
      <c r="M360">
        <f t="shared" si="31"/>
        <v>0</v>
      </c>
      <c r="N360">
        <f t="shared" si="29"/>
        <v>0</v>
      </c>
      <c r="P360" t="e">
        <f>INDEX(Items!B$2:B$1032,MATCH($O360,Items!$A$2:$A$1032,0))</f>
        <v>#N/A</v>
      </c>
      <c r="Q360" t="e">
        <f>INDEX(Items!C$2:C$1032,MATCH($O360,Items!$A$2:$A$1032,0))</f>
        <v>#N/A</v>
      </c>
      <c r="R360" t="e">
        <f>INDEX(Items!D$2:D$1032,MATCH($O360,Items!$A$2:$A$1032,0))</f>
        <v>#N/A</v>
      </c>
    </row>
    <row r="361" spans="1:18" x14ac:dyDescent="0.25">
      <c r="A361">
        <f t="shared" si="27"/>
        <v>1</v>
      </c>
      <c r="B361" t="str">
        <f t="shared" si="28"/>
        <v/>
      </c>
      <c r="C361">
        <f t="shared" si="30"/>
        <v>1</v>
      </c>
      <c r="D361" s="4"/>
      <c r="E361" t="s">
        <v>18</v>
      </c>
      <c r="F361" t="str">
        <f>INDEX(Establishment!B$2:B$1005,MATCH($E361,Establishment!$A$2:$A$1005,0))</f>
        <v xml:space="preserve"> </v>
      </c>
      <c r="G361" t="str">
        <f>INDEX(Establishment!C$2:C$1005,MATCH($E361,Establishment!$A$2:$A$1005,0))</f>
        <v xml:space="preserve"> </v>
      </c>
      <c r="M361">
        <f t="shared" si="31"/>
        <v>0</v>
      </c>
      <c r="N361">
        <f t="shared" si="29"/>
        <v>0</v>
      </c>
      <c r="P361" t="e">
        <f>INDEX(Items!B$2:B$1032,MATCH($O361,Items!$A$2:$A$1032,0))</f>
        <v>#N/A</v>
      </c>
      <c r="Q361" t="e">
        <f>INDEX(Items!C$2:C$1032,MATCH($O361,Items!$A$2:$A$1032,0))</f>
        <v>#N/A</v>
      </c>
      <c r="R361" t="e">
        <f>INDEX(Items!D$2:D$1032,MATCH($O361,Items!$A$2:$A$1032,0))</f>
        <v>#N/A</v>
      </c>
    </row>
    <row r="362" spans="1:18" x14ac:dyDescent="0.25">
      <c r="A362">
        <f t="shared" si="27"/>
        <v>1</v>
      </c>
      <c r="B362" t="str">
        <f t="shared" si="28"/>
        <v/>
      </c>
      <c r="C362">
        <f t="shared" si="30"/>
        <v>1</v>
      </c>
      <c r="D362" s="4"/>
      <c r="E362" t="s">
        <v>18</v>
      </c>
      <c r="F362" t="str">
        <f>INDEX(Establishment!B$2:B$1005,MATCH($E362,Establishment!$A$2:$A$1005,0))</f>
        <v xml:space="preserve"> </v>
      </c>
      <c r="G362" t="str">
        <f>INDEX(Establishment!C$2:C$1005,MATCH($E362,Establishment!$A$2:$A$1005,0))</f>
        <v xml:space="preserve"> </v>
      </c>
      <c r="M362">
        <f t="shared" si="31"/>
        <v>0</v>
      </c>
      <c r="N362">
        <f t="shared" si="29"/>
        <v>0</v>
      </c>
      <c r="P362" t="e">
        <f>INDEX(Items!B$2:B$1032,MATCH($O362,Items!$A$2:$A$1032,0))</f>
        <v>#N/A</v>
      </c>
      <c r="Q362" t="e">
        <f>INDEX(Items!C$2:C$1032,MATCH($O362,Items!$A$2:$A$1032,0))</f>
        <v>#N/A</v>
      </c>
      <c r="R362" t="e">
        <f>INDEX(Items!D$2:D$1032,MATCH($O362,Items!$A$2:$A$1032,0))</f>
        <v>#N/A</v>
      </c>
    </row>
    <row r="363" spans="1:18" x14ac:dyDescent="0.25">
      <c r="A363">
        <f t="shared" si="27"/>
        <v>1</v>
      </c>
      <c r="B363" t="str">
        <f t="shared" si="28"/>
        <v/>
      </c>
      <c r="C363">
        <f t="shared" si="30"/>
        <v>1</v>
      </c>
      <c r="D363" s="4"/>
      <c r="E363" t="s">
        <v>18</v>
      </c>
      <c r="F363" t="str">
        <f>INDEX(Establishment!B$2:B$1005,MATCH($E363,Establishment!$A$2:$A$1005,0))</f>
        <v xml:space="preserve"> </v>
      </c>
      <c r="G363" t="str">
        <f>INDEX(Establishment!C$2:C$1005,MATCH($E363,Establishment!$A$2:$A$1005,0))</f>
        <v xml:space="preserve"> </v>
      </c>
      <c r="M363">
        <f t="shared" si="31"/>
        <v>0</v>
      </c>
      <c r="N363">
        <f t="shared" si="29"/>
        <v>0</v>
      </c>
      <c r="P363" t="e">
        <f>INDEX(Items!B$2:B$1032,MATCH($O363,Items!$A$2:$A$1032,0))</f>
        <v>#N/A</v>
      </c>
      <c r="Q363" t="e">
        <f>INDEX(Items!C$2:C$1032,MATCH($O363,Items!$A$2:$A$1032,0))</f>
        <v>#N/A</v>
      </c>
      <c r="R363" t="e">
        <f>INDEX(Items!D$2:D$1032,MATCH($O363,Items!$A$2:$A$1032,0))</f>
        <v>#N/A</v>
      </c>
    </row>
    <row r="364" spans="1:18" x14ac:dyDescent="0.25">
      <c r="A364">
        <f t="shared" si="27"/>
        <v>1</v>
      </c>
      <c r="B364" t="str">
        <f t="shared" si="28"/>
        <v/>
      </c>
      <c r="C364">
        <f t="shared" si="30"/>
        <v>1</v>
      </c>
      <c r="D364" s="4"/>
      <c r="E364" t="s">
        <v>18</v>
      </c>
      <c r="F364" t="str">
        <f>INDEX(Establishment!B$2:B$1005,MATCH($E364,Establishment!$A$2:$A$1005,0))</f>
        <v xml:space="preserve"> </v>
      </c>
      <c r="G364" t="str">
        <f>INDEX(Establishment!C$2:C$1005,MATCH($E364,Establishment!$A$2:$A$1005,0))</f>
        <v xml:space="preserve"> </v>
      </c>
      <c r="M364">
        <f t="shared" si="31"/>
        <v>0</v>
      </c>
      <c r="N364">
        <f t="shared" si="29"/>
        <v>0</v>
      </c>
      <c r="P364" t="e">
        <f>INDEX(Items!B$2:B$1032,MATCH($O364,Items!$A$2:$A$1032,0))</f>
        <v>#N/A</v>
      </c>
      <c r="Q364" t="e">
        <f>INDEX(Items!C$2:C$1032,MATCH($O364,Items!$A$2:$A$1032,0))</f>
        <v>#N/A</v>
      </c>
      <c r="R364" t="e">
        <f>INDEX(Items!D$2:D$1032,MATCH($O364,Items!$A$2:$A$1032,0))</f>
        <v>#N/A</v>
      </c>
    </row>
    <row r="365" spans="1:18" x14ac:dyDescent="0.25">
      <c r="A365">
        <f t="shared" si="27"/>
        <v>1</v>
      </c>
      <c r="B365" t="str">
        <f t="shared" si="28"/>
        <v/>
      </c>
      <c r="C365">
        <f t="shared" si="30"/>
        <v>1</v>
      </c>
      <c r="D365" s="4"/>
      <c r="E365" t="s">
        <v>18</v>
      </c>
      <c r="F365" t="str">
        <f>INDEX(Establishment!B$2:B$1005,MATCH($E365,Establishment!$A$2:$A$1005,0))</f>
        <v xml:space="preserve"> </v>
      </c>
      <c r="G365" t="str">
        <f>INDEX(Establishment!C$2:C$1005,MATCH($E365,Establishment!$A$2:$A$1005,0))</f>
        <v xml:space="preserve"> </v>
      </c>
      <c r="M365">
        <f t="shared" si="31"/>
        <v>0</v>
      </c>
      <c r="N365">
        <f t="shared" si="29"/>
        <v>0</v>
      </c>
      <c r="P365" t="e">
        <f>INDEX(Items!B$2:B$1032,MATCH($O365,Items!$A$2:$A$1032,0))</f>
        <v>#N/A</v>
      </c>
      <c r="Q365" t="e">
        <f>INDEX(Items!C$2:C$1032,MATCH($O365,Items!$A$2:$A$1032,0))</f>
        <v>#N/A</v>
      </c>
      <c r="R365" t="e">
        <f>INDEX(Items!D$2:D$1032,MATCH($O365,Items!$A$2:$A$1032,0))</f>
        <v>#N/A</v>
      </c>
    </row>
    <row r="366" spans="1:18" x14ac:dyDescent="0.25">
      <c r="A366">
        <f t="shared" si="27"/>
        <v>1</v>
      </c>
      <c r="B366" t="str">
        <f t="shared" si="28"/>
        <v/>
      </c>
      <c r="C366">
        <f t="shared" si="30"/>
        <v>1</v>
      </c>
      <c r="D366" s="4"/>
      <c r="E366" t="s">
        <v>18</v>
      </c>
      <c r="F366" t="str">
        <f>INDEX(Establishment!B$2:B$1005,MATCH($E366,Establishment!$A$2:$A$1005,0))</f>
        <v xml:space="preserve"> </v>
      </c>
      <c r="G366" t="str">
        <f>INDEX(Establishment!C$2:C$1005,MATCH($E366,Establishment!$A$2:$A$1005,0))</f>
        <v xml:space="preserve"> </v>
      </c>
      <c r="M366">
        <f t="shared" si="31"/>
        <v>0</v>
      </c>
      <c r="N366">
        <f t="shared" si="29"/>
        <v>0</v>
      </c>
      <c r="P366" t="e">
        <f>INDEX(Items!B$2:B$1032,MATCH($O366,Items!$A$2:$A$1032,0))</f>
        <v>#N/A</v>
      </c>
      <c r="Q366" t="e">
        <f>INDEX(Items!C$2:C$1032,MATCH($O366,Items!$A$2:$A$1032,0))</f>
        <v>#N/A</v>
      </c>
      <c r="R366" t="e">
        <f>INDEX(Items!D$2:D$1032,MATCH($O366,Items!$A$2:$A$1032,0))</f>
        <v>#N/A</v>
      </c>
    </row>
    <row r="367" spans="1:18" x14ac:dyDescent="0.25">
      <c r="A367">
        <f t="shared" si="27"/>
        <v>1</v>
      </c>
      <c r="B367" t="str">
        <f t="shared" si="28"/>
        <v/>
      </c>
      <c r="C367">
        <f t="shared" si="30"/>
        <v>1</v>
      </c>
      <c r="D367" s="4"/>
      <c r="E367" t="s">
        <v>18</v>
      </c>
      <c r="F367" t="str">
        <f>INDEX(Establishment!B$2:B$1005,MATCH($E367,Establishment!$A$2:$A$1005,0))</f>
        <v xml:space="preserve"> </v>
      </c>
      <c r="G367" t="str">
        <f>INDEX(Establishment!C$2:C$1005,MATCH($E367,Establishment!$A$2:$A$1005,0))</f>
        <v xml:space="preserve"> </v>
      </c>
      <c r="M367">
        <f t="shared" si="31"/>
        <v>0</v>
      </c>
      <c r="N367">
        <f t="shared" si="29"/>
        <v>0</v>
      </c>
      <c r="P367" t="e">
        <f>INDEX(Items!B$2:B$1032,MATCH($O367,Items!$A$2:$A$1032,0))</f>
        <v>#N/A</v>
      </c>
      <c r="Q367" t="e">
        <f>INDEX(Items!C$2:C$1032,MATCH($O367,Items!$A$2:$A$1032,0))</f>
        <v>#N/A</v>
      </c>
      <c r="R367" t="e">
        <f>INDEX(Items!D$2:D$1032,MATCH($O367,Items!$A$2:$A$1032,0))</f>
        <v>#N/A</v>
      </c>
    </row>
    <row r="368" spans="1:18" x14ac:dyDescent="0.25">
      <c r="A368">
        <f t="shared" si="27"/>
        <v>1</v>
      </c>
      <c r="B368" t="str">
        <f t="shared" si="28"/>
        <v/>
      </c>
      <c r="C368">
        <f t="shared" si="30"/>
        <v>1</v>
      </c>
      <c r="D368" s="4"/>
      <c r="E368" t="s">
        <v>18</v>
      </c>
      <c r="F368" t="str">
        <f>INDEX(Establishment!B$2:B$1005,MATCH($E368,Establishment!$A$2:$A$1005,0))</f>
        <v xml:space="preserve"> </v>
      </c>
      <c r="G368" t="str">
        <f>INDEX(Establishment!C$2:C$1005,MATCH($E368,Establishment!$A$2:$A$1005,0))</f>
        <v xml:space="preserve"> </v>
      </c>
      <c r="M368">
        <f t="shared" si="31"/>
        <v>0</v>
      </c>
      <c r="N368">
        <f t="shared" si="29"/>
        <v>0</v>
      </c>
      <c r="P368" t="e">
        <f>INDEX(Items!B$2:B$1032,MATCH($O368,Items!$A$2:$A$1032,0))</f>
        <v>#N/A</v>
      </c>
      <c r="Q368" t="e">
        <f>INDEX(Items!C$2:C$1032,MATCH($O368,Items!$A$2:$A$1032,0))</f>
        <v>#N/A</v>
      </c>
      <c r="R368" t="e">
        <f>INDEX(Items!D$2:D$1032,MATCH($O368,Items!$A$2:$A$1032,0))</f>
        <v>#N/A</v>
      </c>
    </row>
    <row r="369" spans="1:18" x14ac:dyDescent="0.25">
      <c r="A369">
        <f t="shared" si="27"/>
        <v>1</v>
      </c>
      <c r="B369" t="str">
        <f t="shared" si="28"/>
        <v/>
      </c>
      <c r="C369">
        <f t="shared" si="30"/>
        <v>1</v>
      </c>
      <c r="D369" s="4"/>
      <c r="E369" t="s">
        <v>18</v>
      </c>
      <c r="F369" t="str">
        <f>INDEX(Establishment!B$2:B$1005,MATCH($E369,Establishment!$A$2:$A$1005,0))</f>
        <v xml:space="preserve"> </v>
      </c>
      <c r="G369" t="str">
        <f>INDEX(Establishment!C$2:C$1005,MATCH($E369,Establishment!$A$2:$A$1005,0))</f>
        <v xml:space="preserve"> </v>
      </c>
      <c r="M369">
        <f t="shared" si="31"/>
        <v>0</v>
      </c>
      <c r="N369">
        <f t="shared" si="29"/>
        <v>0</v>
      </c>
      <c r="P369" t="e">
        <f>INDEX(Items!B$2:B$1032,MATCH($O369,Items!$A$2:$A$1032,0))</f>
        <v>#N/A</v>
      </c>
      <c r="Q369" t="e">
        <f>INDEX(Items!C$2:C$1032,MATCH($O369,Items!$A$2:$A$1032,0))</f>
        <v>#N/A</v>
      </c>
      <c r="R369" t="e">
        <f>INDEX(Items!D$2:D$1032,MATCH($O369,Items!$A$2:$A$1032,0))</f>
        <v>#N/A</v>
      </c>
    </row>
    <row r="370" spans="1:18" x14ac:dyDescent="0.25">
      <c r="A370">
        <f t="shared" si="27"/>
        <v>1</v>
      </c>
      <c r="B370" t="str">
        <f t="shared" si="28"/>
        <v/>
      </c>
      <c r="C370">
        <f t="shared" si="30"/>
        <v>1</v>
      </c>
      <c r="D370" s="4"/>
      <c r="E370" t="s">
        <v>18</v>
      </c>
      <c r="F370" t="str">
        <f>INDEX(Establishment!B$2:B$1005,MATCH($E370,Establishment!$A$2:$A$1005,0))</f>
        <v xml:space="preserve"> </v>
      </c>
      <c r="G370" t="str">
        <f>INDEX(Establishment!C$2:C$1005,MATCH($E370,Establishment!$A$2:$A$1005,0))</f>
        <v xml:space="preserve"> </v>
      </c>
      <c r="M370">
        <f t="shared" si="31"/>
        <v>0</v>
      </c>
      <c r="N370">
        <f t="shared" si="29"/>
        <v>0</v>
      </c>
      <c r="P370" t="e">
        <f>INDEX(Items!B$2:B$1032,MATCH($O370,Items!$A$2:$A$1032,0))</f>
        <v>#N/A</v>
      </c>
      <c r="Q370" t="e">
        <f>INDEX(Items!C$2:C$1032,MATCH($O370,Items!$A$2:$A$1032,0))</f>
        <v>#N/A</v>
      </c>
      <c r="R370" t="e">
        <f>INDEX(Items!D$2:D$1032,MATCH($O370,Items!$A$2:$A$1032,0))</f>
        <v>#N/A</v>
      </c>
    </row>
    <row r="371" spans="1:18" x14ac:dyDescent="0.25">
      <c r="A371">
        <f t="shared" si="27"/>
        <v>1</v>
      </c>
      <c r="B371" t="str">
        <f t="shared" si="28"/>
        <v/>
      </c>
      <c r="C371">
        <f t="shared" si="30"/>
        <v>1</v>
      </c>
      <c r="D371" s="4"/>
      <c r="E371" t="s">
        <v>18</v>
      </c>
      <c r="F371" t="str">
        <f>INDEX(Establishment!B$2:B$1005,MATCH($E371,Establishment!$A$2:$A$1005,0))</f>
        <v xml:space="preserve"> </v>
      </c>
      <c r="G371" t="str">
        <f>INDEX(Establishment!C$2:C$1005,MATCH($E371,Establishment!$A$2:$A$1005,0))</f>
        <v xml:space="preserve"> </v>
      </c>
      <c r="M371">
        <f t="shared" si="31"/>
        <v>0</v>
      </c>
      <c r="N371">
        <f t="shared" si="29"/>
        <v>0</v>
      </c>
      <c r="P371" t="e">
        <f>INDEX(Items!B$2:B$1032,MATCH($O371,Items!$A$2:$A$1032,0))</f>
        <v>#N/A</v>
      </c>
      <c r="Q371" t="e">
        <f>INDEX(Items!C$2:C$1032,MATCH($O371,Items!$A$2:$A$1032,0))</f>
        <v>#N/A</v>
      </c>
      <c r="R371" t="e">
        <f>INDEX(Items!D$2:D$1032,MATCH($O371,Items!$A$2:$A$1032,0))</f>
        <v>#N/A</v>
      </c>
    </row>
    <row r="372" spans="1:18" x14ac:dyDescent="0.25">
      <c r="A372">
        <f t="shared" si="27"/>
        <v>1</v>
      </c>
      <c r="B372" t="str">
        <f t="shared" si="28"/>
        <v/>
      </c>
      <c r="C372">
        <f t="shared" si="30"/>
        <v>1</v>
      </c>
      <c r="D372" s="4"/>
      <c r="E372" t="s">
        <v>18</v>
      </c>
      <c r="F372" t="str">
        <f>INDEX(Establishment!B$2:B$1005,MATCH($E372,Establishment!$A$2:$A$1005,0))</f>
        <v xml:space="preserve"> </v>
      </c>
      <c r="G372" t="str">
        <f>INDEX(Establishment!C$2:C$1005,MATCH($E372,Establishment!$A$2:$A$1005,0))</f>
        <v xml:space="preserve"> </v>
      </c>
      <c r="M372">
        <f t="shared" si="31"/>
        <v>0</v>
      </c>
      <c r="N372">
        <f t="shared" si="29"/>
        <v>0</v>
      </c>
      <c r="P372" t="e">
        <f>INDEX(Items!B$2:B$1032,MATCH($O372,Items!$A$2:$A$1032,0))</f>
        <v>#N/A</v>
      </c>
      <c r="Q372" t="e">
        <f>INDEX(Items!C$2:C$1032,MATCH($O372,Items!$A$2:$A$1032,0))</f>
        <v>#N/A</v>
      </c>
      <c r="R372" t="e">
        <f>INDEX(Items!D$2:D$1032,MATCH($O372,Items!$A$2:$A$1032,0))</f>
        <v>#N/A</v>
      </c>
    </row>
    <row r="373" spans="1:18" x14ac:dyDescent="0.25">
      <c r="A373">
        <f t="shared" si="27"/>
        <v>1</v>
      </c>
      <c r="B373" t="str">
        <f t="shared" si="28"/>
        <v/>
      </c>
      <c r="C373">
        <f t="shared" si="30"/>
        <v>1</v>
      </c>
      <c r="D373" s="4"/>
      <c r="E373" t="s">
        <v>18</v>
      </c>
      <c r="F373" t="str">
        <f>INDEX(Establishment!B$2:B$1005,MATCH($E373,Establishment!$A$2:$A$1005,0))</f>
        <v xml:space="preserve"> </v>
      </c>
      <c r="G373" t="str">
        <f>INDEX(Establishment!C$2:C$1005,MATCH($E373,Establishment!$A$2:$A$1005,0))</f>
        <v xml:space="preserve"> </v>
      </c>
      <c r="M373">
        <f t="shared" si="31"/>
        <v>0</v>
      </c>
      <c r="N373">
        <f t="shared" si="29"/>
        <v>0</v>
      </c>
      <c r="P373" t="e">
        <f>INDEX(Items!B$2:B$1032,MATCH($O373,Items!$A$2:$A$1032,0))</f>
        <v>#N/A</v>
      </c>
      <c r="Q373" t="e">
        <f>INDEX(Items!C$2:C$1032,MATCH($O373,Items!$A$2:$A$1032,0))</f>
        <v>#N/A</v>
      </c>
      <c r="R373" t="e">
        <f>INDEX(Items!D$2:D$1032,MATCH($O373,Items!$A$2:$A$1032,0))</f>
        <v>#N/A</v>
      </c>
    </row>
    <row r="374" spans="1:18" x14ac:dyDescent="0.25">
      <c r="A374">
        <f t="shared" si="27"/>
        <v>1</v>
      </c>
      <c r="B374" t="str">
        <f t="shared" si="28"/>
        <v/>
      </c>
      <c r="C374">
        <f t="shared" si="30"/>
        <v>1</v>
      </c>
      <c r="D374" s="4"/>
      <c r="E374" t="s">
        <v>18</v>
      </c>
      <c r="F374" t="str">
        <f>INDEX(Establishment!B$2:B$1005,MATCH($E374,Establishment!$A$2:$A$1005,0))</f>
        <v xml:space="preserve"> </v>
      </c>
      <c r="G374" t="str">
        <f>INDEX(Establishment!C$2:C$1005,MATCH($E374,Establishment!$A$2:$A$1005,0))</f>
        <v xml:space="preserve"> </v>
      </c>
      <c r="M374">
        <f t="shared" si="31"/>
        <v>0</v>
      </c>
      <c r="N374">
        <f t="shared" si="29"/>
        <v>0</v>
      </c>
      <c r="P374" t="e">
        <f>INDEX(Items!B$2:B$1032,MATCH($O374,Items!$A$2:$A$1032,0))</f>
        <v>#N/A</v>
      </c>
      <c r="Q374" t="e">
        <f>INDEX(Items!C$2:C$1032,MATCH($O374,Items!$A$2:$A$1032,0))</f>
        <v>#N/A</v>
      </c>
      <c r="R374" t="e">
        <f>INDEX(Items!D$2:D$1032,MATCH($O374,Items!$A$2:$A$1032,0))</f>
        <v>#N/A</v>
      </c>
    </row>
    <row r="375" spans="1:18" x14ac:dyDescent="0.25">
      <c r="A375">
        <f t="shared" si="27"/>
        <v>1</v>
      </c>
      <c r="B375" t="str">
        <f t="shared" si="28"/>
        <v/>
      </c>
      <c r="C375">
        <f t="shared" si="30"/>
        <v>1</v>
      </c>
      <c r="D375" s="4"/>
      <c r="E375" t="s">
        <v>18</v>
      </c>
      <c r="F375" t="str">
        <f>INDEX(Establishment!B$2:B$1005,MATCH($E375,Establishment!$A$2:$A$1005,0))</f>
        <v xml:space="preserve"> </v>
      </c>
      <c r="G375" t="str">
        <f>INDEX(Establishment!C$2:C$1005,MATCH($E375,Establishment!$A$2:$A$1005,0))</f>
        <v xml:space="preserve"> </v>
      </c>
      <c r="M375">
        <f t="shared" si="31"/>
        <v>0</v>
      </c>
      <c r="N375">
        <f t="shared" si="29"/>
        <v>0</v>
      </c>
      <c r="P375" t="e">
        <f>INDEX(Items!B$2:B$1032,MATCH($O375,Items!$A$2:$A$1032,0))</f>
        <v>#N/A</v>
      </c>
      <c r="Q375" t="e">
        <f>INDEX(Items!C$2:C$1032,MATCH($O375,Items!$A$2:$A$1032,0))</f>
        <v>#N/A</v>
      </c>
      <c r="R375" t="e">
        <f>INDEX(Items!D$2:D$1032,MATCH($O375,Items!$A$2:$A$1032,0))</f>
        <v>#N/A</v>
      </c>
    </row>
    <row r="376" spans="1:18" x14ac:dyDescent="0.25">
      <c r="A376">
        <f t="shared" si="27"/>
        <v>1</v>
      </c>
      <c r="B376" t="str">
        <f t="shared" si="28"/>
        <v/>
      </c>
      <c r="C376">
        <f t="shared" si="30"/>
        <v>1</v>
      </c>
      <c r="D376" s="4"/>
      <c r="E376" t="s">
        <v>18</v>
      </c>
      <c r="F376" t="str">
        <f>INDEX(Establishment!B$2:B$1005,MATCH($E376,Establishment!$A$2:$A$1005,0))</f>
        <v xml:space="preserve"> </v>
      </c>
      <c r="G376" t="str">
        <f>INDEX(Establishment!C$2:C$1005,MATCH($E376,Establishment!$A$2:$A$1005,0))</f>
        <v xml:space="preserve"> </v>
      </c>
      <c r="M376">
        <f t="shared" si="31"/>
        <v>0</v>
      </c>
      <c r="N376">
        <f t="shared" si="29"/>
        <v>0</v>
      </c>
      <c r="P376" t="e">
        <f>INDEX(Items!B$2:B$1032,MATCH($O376,Items!$A$2:$A$1032,0))</f>
        <v>#N/A</v>
      </c>
      <c r="Q376" t="e">
        <f>INDEX(Items!C$2:C$1032,MATCH($O376,Items!$A$2:$A$1032,0))</f>
        <v>#N/A</v>
      </c>
      <c r="R376" t="e">
        <f>INDEX(Items!D$2:D$1032,MATCH($O376,Items!$A$2:$A$1032,0))</f>
        <v>#N/A</v>
      </c>
    </row>
    <row r="377" spans="1:18" x14ac:dyDescent="0.25">
      <c r="A377">
        <f t="shared" si="27"/>
        <v>1</v>
      </c>
      <c r="B377" t="str">
        <f t="shared" si="28"/>
        <v/>
      </c>
      <c r="C377">
        <f t="shared" si="30"/>
        <v>1</v>
      </c>
      <c r="D377" s="4"/>
      <c r="E377" t="s">
        <v>18</v>
      </c>
      <c r="F377" t="str">
        <f>INDEX(Establishment!B$2:B$1005,MATCH($E377,Establishment!$A$2:$A$1005,0))</f>
        <v xml:space="preserve"> </v>
      </c>
      <c r="G377" t="str">
        <f>INDEX(Establishment!C$2:C$1005,MATCH($E377,Establishment!$A$2:$A$1005,0))</f>
        <v xml:space="preserve"> </v>
      </c>
      <c r="M377">
        <f t="shared" si="31"/>
        <v>0</v>
      </c>
      <c r="N377">
        <f t="shared" si="29"/>
        <v>0</v>
      </c>
      <c r="P377" t="e">
        <f>INDEX(Items!B$2:B$1032,MATCH($O377,Items!$A$2:$A$1032,0))</f>
        <v>#N/A</v>
      </c>
      <c r="Q377" t="e">
        <f>INDEX(Items!C$2:C$1032,MATCH($O377,Items!$A$2:$A$1032,0))</f>
        <v>#N/A</v>
      </c>
      <c r="R377" t="e">
        <f>INDEX(Items!D$2:D$1032,MATCH($O377,Items!$A$2:$A$1032,0))</f>
        <v>#N/A</v>
      </c>
    </row>
    <row r="378" spans="1:18" x14ac:dyDescent="0.25">
      <c r="A378">
        <f t="shared" si="27"/>
        <v>1</v>
      </c>
      <c r="B378" t="str">
        <f t="shared" si="28"/>
        <v/>
      </c>
      <c r="C378">
        <f t="shared" si="30"/>
        <v>1</v>
      </c>
      <c r="D378" s="4"/>
      <c r="E378" t="s">
        <v>18</v>
      </c>
      <c r="F378" t="str">
        <f>INDEX(Establishment!B$2:B$1005,MATCH($E378,Establishment!$A$2:$A$1005,0))</f>
        <v xml:space="preserve"> </v>
      </c>
      <c r="G378" t="str">
        <f>INDEX(Establishment!C$2:C$1005,MATCH($E378,Establishment!$A$2:$A$1005,0))</f>
        <v xml:space="preserve"> </v>
      </c>
      <c r="M378">
        <f t="shared" si="31"/>
        <v>0</v>
      </c>
      <c r="N378">
        <f t="shared" si="29"/>
        <v>0</v>
      </c>
      <c r="P378" t="e">
        <f>INDEX(Items!B$2:B$1032,MATCH($O378,Items!$A$2:$A$1032,0))</f>
        <v>#N/A</v>
      </c>
      <c r="Q378" t="e">
        <f>INDEX(Items!C$2:C$1032,MATCH($O378,Items!$A$2:$A$1032,0))</f>
        <v>#N/A</v>
      </c>
      <c r="R378" t="e">
        <f>INDEX(Items!D$2:D$1032,MATCH($O378,Items!$A$2:$A$1032,0))</f>
        <v>#N/A</v>
      </c>
    </row>
    <row r="379" spans="1:18" x14ac:dyDescent="0.25">
      <c r="A379">
        <f t="shared" si="27"/>
        <v>1</v>
      </c>
      <c r="B379" t="str">
        <f t="shared" si="28"/>
        <v/>
      </c>
      <c r="C379">
        <f t="shared" si="30"/>
        <v>1</v>
      </c>
      <c r="D379" s="4"/>
      <c r="E379" t="s">
        <v>18</v>
      </c>
      <c r="F379" t="str">
        <f>INDEX(Establishment!B$2:B$1005,MATCH($E379,Establishment!$A$2:$A$1005,0))</f>
        <v xml:space="preserve"> </v>
      </c>
      <c r="G379" t="str">
        <f>INDEX(Establishment!C$2:C$1005,MATCH($E379,Establishment!$A$2:$A$1005,0))</f>
        <v xml:space="preserve"> </v>
      </c>
      <c r="M379">
        <f t="shared" si="31"/>
        <v>0</v>
      </c>
      <c r="N379">
        <f t="shared" si="29"/>
        <v>0</v>
      </c>
      <c r="P379" t="e">
        <f>INDEX(Items!B$2:B$1032,MATCH($O379,Items!$A$2:$A$1032,0))</f>
        <v>#N/A</v>
      </c>
      <c r="Q379" t="e">
        <f>INDEX(Items!C$2:C$1032,MATCH($O379,Items!$A$2:$A$1032,0))</f>
        <v>#N/A</v>
      </c>
      <c r="R379" t="e">
        <f>INDEX(Items!D$2:D$1032,MATCH($O379,Items!$A$2:$A$1032,0))</f>
        <v>#N/A</v>
      </c>
    </row>
    <row r="380" spans="1:18" x14ac:dyDescent="0.25">
      <c r="A380">
        <f t="shared" si="27"/>
        <v>1</v>
      </c>
      <c r="B380" t="str">
        <f t="shared" si="28"/>
        <v/>
      </c>
      <c r="C380">
        <f t="shared" si="30"/>
        <v>1</v>
      </c>
      <c r="D380" s="4"/>
      <c r="E380" t="s">
        <v>18</v>
      </c>
      <c r="F380" t="str">
        <f>INDEX(Establishment!B$2:B$1005,MATCH($E380,Establishment!$A$2:$A$1005,0))</f>
        <v xml:space="preserve"> </v>
      </c>
      <c r="G380" t="str">
        <f>INDEX(Establishment!C$2:C$1005,MATCH($E380,Establishment!$A$2:$A$1005,0))</f>
        <v xml:space="preserve"> </v>
      </c>
      <c r="M380">
        <f t="shared" si="31"/>
        <v>0</v>
      </c>
      <c r="N380">
        <f t="shared" si="29"/>
        <v>0</v>
      </c>
      <c r="P380" t="e">
        <f>INDEX(Items!B$2:B$1032,MATCH($O380,Items!$A$2:$A$1032,0))</f>
        <v>#N/A</v>
      </c>
      <c r="Q380" t="e">
        <f>INDEX(Items!C$2:C$1032,MATCH($O380,Items!$A$2:$A$1032,0))</f>
        <v>#N/A</v>
      </c>
      <c r="R380" t="e">
        <f>INDEX(Items!D$2:D$1032,MATCH($O380,Items!$A$2:$A$1032,0))</f>
        <v>#N/A</v>
      </c>
    </row>
    <row r="381" spans="1:18" x14ac:dyDescent="0.25">
      <c r="A381">
        <f t="shared" si="27"/>
        <v>1</v>
      </c>
      <c r="B381" t="str">
        <f t="shared" si="28"/>
        <v/>
      </c>
      <c r="C381">
        <f t="shared" si="30"/>
        <v>1</v>
      </c>
      <c r="D381" s="4"/>
      <c r="E381" t="s">
        <v>18</v>
      </c>
      <c r="F381" t="str">
        <f>INDEX(Establishment!B$2:B$1005,MATCH($E381,Establishment!$A$2:$A$1005,0))</f>
        <v xml:space="preserve"> </v>
      </c>
      <c r="G381" t="str">
        <f>INDEX(Establishment!C$2:C$1005,MATCH($E381,Establishment!$A$2:$A$1005,0))</f>
        <v xml:space="preserve"> </v>
      </c>
      <c r="M381">
        <f t="shared" si="31"/>
        <v>0</v>
      </c>
      <c r="N381">
        <f t="shared" si="29"/>
        <v>0</v>
      </c>
      <c r="P381" t="e">
        <f>INDEX(Items!B$2:B$1032,MATCH($O381,Items!$A$2:$A$1032,0))</f>
        <v>#N/A</v>
      </c>
      <c r="Q381" t="e">
        <f>INDEX(Items!C$2:C$1032,MATCH($O381,Items!$A$2:$A$1032,0))</f>
        <v>#N/A</v>
      </c>
      <c r="R381" t="e">
        <f>INDEX(Items!D$2:D$1032,MATCH($O381,Items!$A$2:$A$1032,0))</f>
        <v>#N/A</v>
      </c>
    </row>
    <row r="382" spans="1:18" x14ac:dyDescent="0.25">
      <c r="A382">
        <f t="shared" si="27"/>
        <v>1</v>
      </c>
      <c r="B382" t="str">
        <f t="shared" si="28"/>
        <v/>
      </c>
      <c r="C382">
        <f t="shared" si="30"/>
        <v>1</v>
      </c>
      <c r="D382" s="4"/>
      <c r="E382" t="s">
        <v>18</v>
      </c>
      <c r="F382" t="str">
        <f>INDEX(Establishment!B$2:B$1005,MATCH($E382,Establishment!$A$2:$A$1005,0))</f>
        <v xml:space="preserve"> </v>
      </c>
      <c r="G382" t="str">
        <f>INDEX(Establishment!C$2:C$1005,MATCH($E382,Establishment!$A$2:$A$1005,0))</f>
        <v xml:space="preserve"> </v>
      </c>
      <c r="M382">
        <f t="shared" si="31"/>
        <v>0</v>
      </c>
      <c r="N382">
        <f t="shared" si="29"/>
        <v>0</v>
      </c>
      <c r="P382" t="e">
        <f>INDEX(Items!B$2:B$1032,MATCH($O382,Items!$A$2:$A$1032,0))</f>
        <v>#N/A</v>
      </c>
      <c r="Q382" t="e">
        <f>INDEX(Items!C$2:C$1032,MATCH($O382,Items!$A$2:$A$1032,0))</f>
        <v>#N/A</v>
      </c>
      <c r="R382" t="e">
        <f>INDEX(Items!D$2:D$1032,MATCH($O382,Items!$A$2:$A$1032,0))</f>
        <v>#N/A</v>
      </c>
    </row>
    <row r="383" spans="1:18" x14ac:dyDescent="0.25">
      <c r="A383">
        <f t="shared" si="27"/>
        <v>1</v>
      </c>
      <c r="B383" t="str">
        <f t="shared" si="28"/>
        <v/>
      </c>
      <c r="C383">
        <f t="shared" si="30"/>
        <v>1</v>
      </c>
      <c r="D383" s="4"/>
      <c r="E383" t="s">
        <v>18</v>
      </c>
      <c r="F383" t="str">
        <f>INDEX(Establishment!B$2:B$1005,MATCH($E383,Establishment!$A$2:$A$1005,0))</f>
        <v xml:space="preserve"> </v>
      </c>
      <c r="G383" t="str">
        <f>INDEX(Establishment!C$2:C$1005,MATCH($E383,Establishment!$A$2:$A$1005,0))</f>
        <v xml:space="preserve"> </v>
      </c>
      <c r="M383">
        <f t="shared" si="31"/>
        <v>0</v>
      </c>
      <c r="N383">
        <f t="shared" si="29"/>
        <v>0</v>
      </c>
      <c r="P383" t="e">
        <f>INDEX(Items!B$2:B$1032,MATCH($O383,Items!$A$2:$A$1032,0))</f>
        <v>#N/A</v>
      </c>
      <c r="Q383" t="e">
        <f>INDEX(Items!C$2:C$1032,MATCH($O383,Items!$A$2:$A$1032,0))</f>
        <v>#N/A</v>
      </c>
      <c r="R383" t="e">
        <f>INDEX(Items!D$2:D$1032,MATCH($O383,Items!$A$2:$A$1032,0))</f>
        <v>#N/A</v>
      </c>
    </row>
    <row r="384" spans="1:18" x14ac:dyDescent="0.25">
      <c r="A384">
        <f t="shared" si="27"/>
        <v>1</v>
      </c>
      <c r="B384" t="str">
        <f t="shared" si="28"/>
        <v/>
      </c>
      <c r="C384">
        <f t="shared" si="30"/>
        <v>1</v>
      </c>
      <c r="D384" s="4"/>
      <c r="E384" t="s">
        <v>18</v>
      </c>
      <c r="F384" t="str">
        <f>INDEX(Establishment!B$2:B$1005,MATCH($E384,Establishment!$A$2:$A$1005,0))</f>
        <v xml:space="preserve"> </v>
      </c>
      <c r="G384" t="str">
        <f>INDEX(Establishment!C$2:C$1005,MATCH($E384,Establishment!$A$2:$A$1005,0))</f>
        <v xml:space="preserve"> </v>
      </c>
      <c r="M384">
        <f t="shared" si="31"/>
        <v>0</v>
      </c>
      <c r="N384">
        <f t="shared" si="29"/>
        <v>0</v>
      </c>
      <c r="P384" t="e">
        <f>INDEX(Items!B$2:B$1032,MATCH($O384,Items!$A$2:$A$1032,0))</f>
        <v>#N/A</v>
      </c>
      <c r="Q384" t="e">
        <f>INDEX(Items!C$2:C$1032,MATCH($O384,Items!$A$2:$A$1032,0))</f>
        <v>#N/A</v>
      </c>
      <c r="R384" t="e">
        <f>INDEX(Items!D$2:D$1032,MATCH($O384,Items!$A$2:$A$1032,0))</f>
        <v>#N/A</v>
      </c>
    </row>
    <row r="385" spans="1:18" x14ac:dyDescent="0.25">
      <c r="A385">
        <f t="shared" si="27"/>
        <v>1</v>
      </c>
      <c r="B385" t="str">
        <f t="shared" si="28"/>
        <v/>
      </c>
      <c r="C385">
        <f t="shared" si="30"/>
        <v>1</v>
      </c>
      <c r="D385" s="4"/>
      <c r="E385" t="s">
        <v>18</v>
      </c>
      <c r="F385" t="str">
        <f>INDEX(Establishment!B$2:B$1005,MATCH($E385,Establishment!$A$2:$A$1005,0))</f>
        <v xml:space="preserve"> </v>
      </c>
      <c r="G385" t="str">
        <f>INDEX(Establishment!C$2:C$1005,MATCH($E385,Establishment!$A$2:$A$1005,0))</f>
        <v xml:space="preserve"> </v>
      </c>
      <c r="M385">
        <f t="shared" si="31"/>
        <v>0</v>
      </c>
      <c r="N385">
        <f t="shared" si="29"/>
        <v>0</v>
      </c>
      <c r="P385" t="e">
        <f>INDEX(Items!B$2:B$1032,MATCH($O385,Items!$A$2:$A$1032,0))</f>
        <v>#N/A</v>
      </c>
      <c r="Q385" t="e">
        <f>INDEX(Items!C$2:C$1032,MATCH($O385,Items!$A$2:$A$1032,0))</f>
        <v>#N/A</v>
      </c>
      <c r="R385" t="e">
        <f>INDEX(Items!D$2:D$1032,MATCH($O385,Items!$A$2:$A$1032,0))</f>
        <v>#N/A</v>
      </c>
    </row>
    <row r="386" spans="1:18" x14ac:dyDescent="0.25">
      <c r="A386">
        <f t="shared" ref="A386:A449" si="32">IF(OR(D386&lt;&gt;D385,D386=""),1,IF(NOT(AND(E386=E385,F386=F385,G386=G385)),A385+1,IF(OR(H386="",AND(H386&lt;&gt;"",H386&lt;&gt;H385,H385&lt;&gt;"")),A385,A385+1)))</f>
        <v>1</v>
      </c>
      <c r="B386" t="str">
        <f t="shared" ref="B386:B449" si="33">IF(D386&lt;&gt;"",TEXT(D386,"YYYYMMDD")&amp;CHAR(64+A386),"")</f>
        <v/>
      </c>
      <c r="C386">
        <f t="shared" si="30"/>
        <v>1</v>
      </c>
      <c r="D386" s="4"/>
      <c r="E386" t="s">
        <v>18</v>
      </c>
      <c r="F386" t="str">
        <f>INDEX(Establishment!B$2:B$1005,MATCH($E386,Establishment!$A$2:$A$1005,0))</f>
        <v xml:space="preserve"> </v>
      </c>
      <c r="G386" t="str">
        <f>INDEX(Establishment!C$2:C$1005,MATCH($E386,Establishment!$A$2:$A$1005,0))</f>
        <v xml:space="preserve"> </v>
      </c>
      <c r="M386">
        <f t="shared" si="31"/>
        <v>0</v>
      </c>
      <c r="N386">
        <f t="shared" si="29"/>
        <v>0</v>
      </c>
      <c r="P386" t="e">
        <f>INDEX(Items!B$2:B$1032,MATCH($O386,Items!$A$2:$A$1032,0))</f>
        <v>#N/A</v>
      </c>
      <c r="Q386" t="e">
        <f>INDEX(Items!C$2:C$1032,MATCH($O386,Items!$A$2:$A$1032,0))</f>
        <v>#N/A</v>
      </c>
      <c r="R386" t="e">
        <f>INDEX(Items!D$2:D$1032,MATCH($O386,Items!$A$2:$A$1032,0))</f>
        <v>#N/A</v>
      </c>
    </row>
    <row r="387" spans="1:18" x14ac:dyDescent="0.25">
      <c r="A387">
        <f t="shared" si="32"/>
        <v>1</v>
      </c>
      <c r="B387" t="str">
        <f t="shared" si="33"/>
        <v/>
      </c>
      <c r="C387">
        <f t="shared" si="30"/>
        <v>1</v>
      </c>
      <c r="D387" s="4"/>
      <c r="E387" t="s">
        <v>18</v>
      </c>
      <c r="F387" t="str">
        <f>INDEX(Establishment!B$2:B$1005,MATCH($E387,Establishment!$A$2:$A$1005,0))</f>
        <v xml:space="preserve"> </v>
      </c>
      <c r="G387" t="str">
        <f>INDEX(Establishment!C$2:C$1005,MATCH($E387,Establishment!$A$2:$A$1005,0))</f>
        <v xml:space="preserve"> </v>
      </c>
      <c r="M387">
        <f t="shared" si="31"/>
        <v>0</v>
      </c>
      <c r="N387">
        <f t="shared" ref="N387:N450" si="34">IF(B387=B386,N386+M387,M387)</f>
        <v>0</v>
      </c>
      <c r="P387" t="e">
        <f>INDEX(Items!B$2:B$1032,MATCH($O387,Items!$A$2:$A$1032,0))</f>
        <v>#N/A</v>
      </c>
      <c r="Q387" t="e">
        <f>INDEX(Items!C$2:C$1032,MATCH($O387,Items!$A$2:$A$1032,0))</f>
        <v>#N/A</v>
      </c>
      <c r="R387" t="e">
        <f>INDEX(Items!D$2:D$1032,MATCH($O387,Items!$A$2:$A$1032,0))</f>
        <v>#N/A</v>
      </c>
    </row>
    <row r="388" spans="1:18" x14ac:dyDescent="0.25">
      <c r="A388">
        <f t="shared" si="32"/>
        <v>1</v>
      </c>
      <c r="B388" t="str">
        <f t="shared" si="33"/>
        <v/>
      </c>
      <c r="C388">
        <f t="shared" si="30"/>
        <v>1</v>
      </c>
      <c r="D388" s="4"/>
      <c r="E388" t="s">
        <v>18</v>
      </c>
      <c r="F388" t="str">
        <f>INDEX(Establishment!B$2:B$1005,MATCH($E388,Establishment!$A$2:$A$1005,0))</f>
        <v xml:space="preserve"> </v>
      </c>
      <c r="G388" t="str">
        <f>INDEX(Establishment!C$2:C$1005,MATCH($E388,Establishment!$A$2:$A$1005,0))</f>
        <v xml:space="preserve"> </v>
      </c>
      <c r="M388">
        <f t="shared" si="31"/>
        <v>0</v>
      </c>
      <c r="N388">
        <f t="shared" si="34"/>
        <v>0</v>
      </c>
      <c r="P388" t="e">
        <f>INDEX(Items!B$2:B$1032,MATCH($O388,Items!$A$2:$A$1032,0))</f>
        <v>#N/A</v>
      </c>
      <c r="Q388" t="e">
        <f>INDEX(Items!C$2:C$1032,MATCH($O388,Items!$A$2:$A$1032,0))</f>
        <v>#N/A</v>
      </c>
      <c r="R388" t="e">
        <f>INDEX(Items!D$2:D$1032,MATCH($O388,Items!$A$2:$A$1032,0))</f>
        <v>#N/A</v>
      </c>
    </row>
    <row r="389" spans="1:18" x14ac:dyDescent="0.25">
      <c r="A389">
        <f t="shared" si="32"/>
        <v>1</v>
      </c>
      <c r="B389" t="str">
        <f t="shared" si="33"/>
        <v/>
      </c>
      <c r="C389">
        <f t="shared" si="30"/>
        <v>1</v>
      </c>
      <c r="D389" s="4"/>
      <c r="E389" t="s">
        <v>18</v>
      </c>
      <c r="F389" t="str">
        <f>INDEX(Establishment!B$2:B$1005,MATCH($E389,Establishment!$A$2:$A$1005,0))</f>
        <v xml:space="preserve"> </v>
      </c>
      <c r="G389" t="str">
        <f>INDEX(Establishment!C$2:C$1005,MATCH($E389,Establishment!$A$2:$A$1005,0))</f>
        <v xml:space="preserve"> </v>
      </c>
      <c r="M389">
        <f t="shared" si="31"/>
        <v>0</v>
      </c>
      <c r="N389">
        <f t="shared" si="34"/>
        <v>0</v>
      </c>
      <c r="P389" t="e">
        <f>INDEX(Items!B$2:B$1032,MATCH($O389,Items!$A$2:$A$1032,0))</f>
        <v>#N/A</v>
      </c>
      <c r="Q389" t="e">
        <f>INDEX(Items!C$2:C$1032,MATCH($O389,Items!$A$2:$A$1032,0))</f>
        <v>#N/A</v>
      </c>
      <c r="R389" t="e">
        <f>INDEX(Items!D$2:D$1032,MATCH($O389,Items!$A$2:$A$1032,0))</f>
        <v>#N/A</v>
      </c>
    </row>
    <row r="390" spans="1:18" x14ac:dyDescent="0.25">
      <c r="A390">
        <f t="shared" si="32"/>
        <v>1</v>
      </c>
      <c r="B390" t="str">
        <f t="shared" si="33"/>
        <v/>
      </c>
      <c r="C390">
        <f t="shared" si="30"/>
        <v>1</v>
      </c>
      <c r="D390" s="4"/>
      <c r="E390" t="s">
        <v>18</v>
      </c>
      <c r="F390" t="str">
        <f>INDEX(Establishment!B$2:B$1005,MATCH($E390,Establishment!$A$2:$A$1005,0))</f>
        <v xml:space="preserve"> </v>
      </c>
      <c r="G390" t="str">
        <f>INDEX(Establishment!C$2:C$1005,MATCH($E390,Establishment!$A$2:$A$1005,0))</f>
        <v xml:space="preserve"> </v>
      </c>
      <c r="M390">
        <f t="shared" si="31"/>
        <v>0</v>
      </c>
      <c r="N390">
        <f t="shared" si="34"/>
        <v>0</v>
      </c>
      <c r="P390" t="e">
        <f>INDEX(Items!B$2:B$1032,MATCH($O390,Items!$A$2:$A$1032,0))</f>
        <v>#N/A</v>
      </c>
      <c r="Q390" t="e">
        <f>INDEX(Items!C$2:C$1032,MATCH($O390,Items!$A$2:$A$1032,0))</f>
        <v>#N/A</v>
      </c>
      <c r="R390" t="e">
        <f>INDEX(Items!D$2:D$1032,MATCH($O390,Items!$A$2:$A$1032,0))</f>
        <v>#N/A</v>
      </c>
    </row>
    <row r="391" spans="1:18" x14ac:dyDescent="0.25">
      <c r="A391">
        <f t="shared" si="32"/>
        <v>1</v>
      </c>
      <c r="B391" t="str">
        <f t="shared" si="33"/>
        <v/>
      </c>
      <c r="C391">
        <f t="shared" si="30"/>
        <v>1</v>
      </c>
      <c r="D391" s="4"/>
      <c r="E391" t="s">
        <v>18</v>
      </c>
      <c r="F391" t="str">
        <f>INDEX(Establishment!B$2:B$1005,MATCH($E391,Establishment!$A$2:$A$1005,0))</f>
        <v xml:space="preserve"> </v>
      </c>
      <c r="G391" t="str">
        <f>INDEX(Establishment!C$2:C$1005,MATCH($E391,Establishment!$A$2:$A$1005,0))</f>
        <v xml:space="preserve"> </v>
      </c>
      <c r="M391">
        <f t="shared" si="31"/>
        <v>0</v>
      </c>
      <c r="N391">
        <f t="shared" si="34"/>
        <v>0</v>
      </c>
      <c r="P391" t="e">
        <f>INDEX(Items!B$2:B$1032,MATCH($O391,Items!$A$2:$A$1032,0))</f>
        <v>#N/A</v>
      </c>
      <c r="Q391" t="e">
        <f>INDEX(Items!C$2:C$1032,MATCH($O391,Items!$A$2:$A$1032,0))</f>
        <v>#N/A</v>
      </c>
      <c r="R391" t="e">
        <f>INDEX(Items!D$2:D$1032,MATCH($O391,Items!$A$2:$A$1032,0))</f>
        <v>#N/A</v>
      </c>
    </row>
    <row r="392" spans="1:18" x14ac:dyDescent="0.25">
      <c r="A392">
        <f t="shared" si="32"/>
        <v>1</v>
      </c>
      <c r="B392" t="str">
        <f t="shared" si="33"/>
        <v/>
      </c>
      <c r="C392">
        <f t="shared" si="30"/>
        <v>1</v>
      </c>
      <c r="D392" s="4"/>
      <c r="E392" t="s">
        <v>18</v>
      </c>
      <c r="F392" t="str">
        <f>INDEX(Establishment!B$2:B$1005,MATCH($E392,Establishment!$A$2:$A$1005,0))</f>
        <v xml:space="preserve"> </v>
      </c>
      <c r="G392" t="str">
        <f>INDEX(Establishment!C$2:C$1005,MATCH($E392,Establishment!$A$2:$A$1005,0))</f>
        <v xml:space="preserve"> </v>
      </c>
      <c r="M392">
        <f t="shared" si="31"/>
        <v>0</v>
      </c>
      <c r="N392">
        <f t="shared" si="34"/>
        <v>0</v>
      </c>
      <c r="P392" t="e">
        <f>INDEX(Items!B$2:B$1032,MATCH($O392,Items!$A$2:$A$1032,0))</f>
        <v>#N/A</v>
      </c>
      <c r="Q392" t="e">
        <f>INDEX(Items!C$2:C$1032,MATCH($O392,Items!$A$2:$A$1032,0))</f>
        <v>#N/A</v>
      </c>
      <c r="R392" t="e">
        <f>INDEX(Items!D$2:D$1032,MATCH($O392,Items!$A$2:$A$1032,0))</f>
        <v>#N/A</v>
      </c>
    </row>
    <row r="393" spans="1:18" x14ac:dyDescent="0.25">
      <c r="A393">
        <f t="shared" si="32"/>
        <v>1</v>
      </c>
      <c r="B393" t="str">
        <f t="shared" si="33"/>
        <v/>
      </c>
      <c r="C393">
        <f t="shared" si="30"/>
        <v>1</v>
      </c>
      <c r="D393" s="4"/>
      <c r="E393" t="s">
        <v>18</v>
      </c>
      <c r="F393" t="str">
        <f>INDEX(Establishment!B$2:B$1005,MATCH($E393,Establishment!$A$2:$A$1005,0))</f>
        <v xml:space="preserve"> </v>
      </c>
      <c r="G393" t="str">
        <f>INDEX(Establishment!C$2:C$1005,MATCH($E393,Establishment!$A$2:$A$1005,0))</f>
        <v xml:space="preserve"> </v>
      </c>
      <c r="M393">
        <f t="shared" si="31"/>
        <v>0</v>
      </c>
      <c r="N393">
        <f t="shared" si="34"/>
        <v>0</v>
      </c>
      <c r="P393" t="e">
        <f>INDEX(Items!B$2:B$1032,MATCH($O393,Items!$A$2:$A$1032,0))</f>
        <v>#N/A</v>
      </c>
      <c r="Q393" t="e">
        <f>INDEX(Items!C$2:C$1032,MATCH($O393,Items!$A$2:$A$1032,0))</f>
        <v>#N/A</v>
      </c>
      <c r="R393" t="e">
        <f>INDEX(Items!D$2:D$1032,MATCH($O393,Items!$A$2:$A$1032,0))</f>
        <v>#N/A</v>
      </c>
    </row>
    <row r="394" spans="1:18" x14ac:dyDescent="0.25">
      <c r="A394">
        <f t="shared" si="32"/>
        <v>1</v>
      </c>
      <c r="B394" t="str">
        <f t="shared" si="33"/>
        <v/>
      </c>
      <c r="C394">
        <f t="shared" ref="C394:C457" si="35">IF(OR(B394="",B394&lt;&gt;B393),1,C393+1)</f>
        <v>1</v>
      </c>
      <c r="D394" s="4"/>
      <c r="E394" t="s">
        <v>18</v>
      </c>
      <c r="F394" t="str">
        <f>INDEX(Establishment!B$2:B$1005,MATCH($E394,Establishment!$A$2:$A$1005,0))</f>
        <v xml:space="preserve"> </v>
      </c>
      <c r="G394" t="str">
        <f>INDEX(Establishment!C$2:C$1005,MATCH($E394,Establishment!$A$2:$A$1005,0))</f>
        <v xml:space="preserve"> </v>
      </c>
      <c r="M394">
        <f t="shared" ref="M394:M457" si="36">K394*L394</f>
        <v>0</v>
      </c>
      <c r="N394">
        <f t="shared" si="34"/>
        <v>0</v>
      </c>
      <c r="P394" t="e">
        <f>INDEX(Items!B$2:B$1032,MATCH($O394,Items!$A$2:$A$1032,0))</f>
        <v>#N/A</v>
      </c>
      <c r="Q394" t="e">
        <f>INDEX(Items!C$2:C$1032,MATCH($O394,Items!$A$2:$A$1032,0))</f>
        <v>#N/A</v>
      </c>
      <c r="R394" t="e">
        <f>INDEX(Items!D$2:D$1032,MATCH($O394,Items!$A$2:$A$1032,0))</f>
        <v>#N/A</v>
      </c>
    </row>
    <row r="395" spans="1:18" x14ac:dyDescent="0.25">
      <c r="A395">
        <f t="shared" si="32"/>
        <v>1</v>
      </c>
      <c r="B395" t="str">
        <f t="shared" si="33"/>
        <v/>
      </c>
      <c r="C395">
        <f t="shared" si="35"/>
        <v>1</v>
      </c>
      <c r="D395" s="4"/>
      <c r="E395" t="s">
        <v>18</v>
      </c>
      <c r="F395" t="str">
        <f>INDEX(Establishment!B$2:B$1005,MATCH($E395,Establishment!$A$2:$A$1005,0))</f>
        <v xml:space="preserve"> </v>
      </c>
      <c r="G395" t="str">
        <f>INDEX(Establishment!C$2:C$1005,MATCH($E395,Establishment!$A$2:$A$1005,0))</f>
        <v xml:space="preserve"> </v>
      </c>
      <c r="M395">
        <f t="shared" si="36"/>
        <v>0</v>
      </c>
      <c r="N395">
        <f t="shared" si="34"/>
        <v>0</v>
      </c>
      <c r="P395" t="e">
        <f>INDEX(Items!B$2:B$1032,MATCH($O395,Items!$A$2:$A$1032,0))</f>
        <v>#N/A</v>
      </c>
      <c r="Q395" t="e">
        <f>INDEX(Items!C$2:C$1032,MATCH($O395,Items!$A$2:$A$1032,0))</f>
        <v>#N/A</v>
      </c>
      <c r="R395" t="e">
        <f>INDEX(Items!D$2:D$1032,MATCH($O395,Items!$A$2:$A$1032,0))</f>
        <v>#N/A</v>
      </c>
    </row>
    <row r="396" spans="1:18" x14ac:dyDescent="0.25">
      <c r="A396">
        <f t="shared" si="32"/>
        <v>1</v>
      </c>
      <c r="B396" t="str">
        <f t="shared" si="33"/>
        <v/>
      </c>
      <c r="C396">
        <f t="shared" si="35"/>
        <v>1</v>
      </c>
      <c r="D396" s="4"/>
      <c r="E396" t="s">
        <v>18</v>
      </c>
      <c r="F396" t="str">
        <f>INDEX(Establishment!B$2:B$1005,MATCH($E396,Establishment!$A$2:$A$1005,0))</f>
        <v xml:space="preserve"> </v>
      </c>
      <c r="G396" t="str">
        <f>INDEX(Establishment!C$2:C$1005,MATCH($E396,Establishment!$A$2:$A$1005,0))</f>
        <v xml:space="preserve"> </v>
      </c>
      <c r="M396">
        <f t="shared" si="36"/>
        <v>0</v>
      </c>
      <c r="N396">
        <f t="shared" si="34"/>
        <v>0</v>
      </c>
      <c r="P396" t="e">
        <f>INDEX(Items!B$2:B$1032,MATCH($O396,Items!$A$2:$A$1032,0))</f>
        <v>#N/A</v>
      </c>
      <c r="Q396" t="e">
        <f>INDEX(Items!C$2:C$1032,MATCH($O396,Items!$A$2:$A$1032,0))</f>
        <v>#N/A</v>
      </c>
      <c r="R396" t="e">
        <f>INDEX(Items!D$2:D$1032,MATCH($O396,Items!$A$2:$A$1032,0))</f>
        <v>#N/A</v>
      </c>
    </row>
    <row r="397" spans="1:18" x14ac:dyDescent="0.25">
      <c r="A397">
        <f t="shared" si="32"/>
        <v>1</v>
      </c>
      <c r="B397" t="str">
        <f t="shared" si="33"/>
        <v/>
      </c>
      <c r="C397">
        <f t="shared" si="35"/>
        <v>1</v>
      </c>
      <c r="D397" s="4"/>
      <c r="E397" t="s">
        <v>18</v>
      </c>
      <c r="F397" t="str">
        <f>INDEX(Establishment!B$2:B$1005,MATCH($E397,Establishment!$A$2:$A$1005,0))</f>
        <v xml:space="preserve"> </v>
      </c>
      <c r="G397" t="str">
        <f>INDEX(Establishment!C$2:C$1005,MATCH($E397,Establishment!$A$2:$A$1005,0))</f>
        <v xml:space="preserve"> </v>
      </c>
      <c r="M397">
        <f t="shared" si="36"/>
        <v>0</v>
      </c>
      <c r="N397">
        <f t="shared" si="34"/>
        <v>0</v>
      </c>
      <c r="P397" t="e">
        <f>INDEX(Items!B$2:B$1032,MATCH($O397,Items!$A$2:$A$1032,0))</f>
        <v>#N/A</v>
      </c>
      <c r="Q397" t="e">
        <f>INDEX(Items!C$2:C$1032,MATCH($O397,Items!$A$2:$A$1032,0))</f>
        <v>#N/A</v>
      </c>
      <c r="R397" t="e">
        <f>INDEX(Items!D$2:D$1032,MATCH($O397,Items!$A$2:$A$1032,0))</f>
        <v>#N/A</v>
      </c>
    </row>
    <row r="398" spans="1:18" x14ac:dyDescent="0.25">
      <c r="A398">
        <f t="shared" si="32"/>
        <v>1</v>
      </c>
      <c r="B398" t="str">
        <f t="shared" si="33"/>
        <v/>
      </c>
      <c r="C398">
        <f t="shared" si="35"/>
        <v>1</v>
      </c>
      <c r="D398" s="4"/>
      <c r="E398" t="s">
        <v>18</v>
      </c>
      <c r="F398" t="str">
        <f>INDEX(Establishment!B$2:B$1005,MATCH($E398,Establishment!$A$2:$A$1005,0))</f>
        <v xml:space="preserve"> </v>
      </c>
      <c r="G398" t="str">
        <f>INDEX(Establishment!C$2:C$1005,MATCH($E398,Establishment!$A$2:$A$1005,0))</f>
        <v xml:space="preserve"> </v>
      </c>
      <c r="M398">
        <f t="shared" si="36"/>
        <v>0</v>
      </c>
      <c r="N398">
        <f t="shared" si="34"/>
        <v>0</v>
      </c>
      <c r="P398" t="e">
        <f>INDEX(Items!B$2:B$1032,MATCH($O398,Items!$A$2:$A$1032,0))</f>
        <v>#N/A</v>
      </c>
      <c r="Q398" t="e">
        <f>INDEX(Items!C$2:C$1032,MATCH($O398,Items!$A$2:$A$1032,0))</f>
        <v>#N/A</v>
      </c>
      <c r="R398" t="e">
        <f>INDEX(Items!D$2:D$1032,MATCH($O398,Items!$A$2:$A$1032,0))</f>
        <v>#N/A</v>
      </c>
    </row>
    <row r="399" spans="1:18" x14ac:dyDescent="0.25">
      <c r="A399">
        <f t="shared" si="32"/>
        <v>1</v>
      </c>
      <c r="B399" t="str">
        <f t="shared" si="33"/>
        <v/>
      </c>
      <c r="C399">
        <f t="shared" si="35"/>
        <v>1</v>
      </c>
      <c r="D399" s="4"/>
      <c r="E399" t="s">
        <v>18</v>
      </c>
      <c r="F399" t="str">
        <f>INDEX(Establishment!B$2:B$1005,MATCH($E399,Establishment!$A$2:$A$1005,0))</f>
        <v xml:space="preserve"> </v>
      </c>
      <c r="G399" t="str">
        <f>INDEX(Establishment!C$2:C$1005,MATCH($E399,Establishment!$A$2:$A$1005,0))</f>
        <v xml:space="preserve"> </v>
      </c>
      <c r="M399">
        <f t="shared" si="36"/>
        <v>0</v>
      </c>
      <c r="N399">
        <f t="shared" si="34"/>
        <v>0</v>
      </c>
      <c r="P399" t="e">
        <f>INDEX(Items!B$2:B$1032,MATCH($O399,Items!$A$2:$A$1032,0))</f>
        <v>#N/A</v>
      </c>
      <c r="Q399" t="e">
        <f>INDEX(Items!C$2:C$1032,MATCH($O399,Items!$A$2:$A$1032,0))</f>
        <v>#N/A</v>
      </c>
      <c r="R399" t="e">
        <f>INDEX(Items!D$2:D$1032,MATCH($O399,Items!$A$2:$A$1032,0))</f>
        <v>#N/A</v>
      </c>
    </row>
    <row r="400" spans="1:18" x14ac:dyDescent="0.25">
      <c r="A400">
        <f t="shared" si="32"/>
        <v>1</v>
      </c>
      <c r="B400" t="str">
        <f t="shared" si="33"/>
        <v/>
      </c>
      <c r="C400">
        <f t="shared" si="35"/>
        <v>1</v>
      </c>
      <c r="D400" s="4"/>
      <c r="E400" t="s">
        <v>18</v>
      </c>
      <c r="F400" t="str">
        <f>INDEX(Establishment!B$2:B$1005,MATCH($E400,Establishment!$A$2:$A$1005,0))</f>
        <v xml:space="preserve"> </v>
      </c>
      <c r="G400" t="str">
        <f>INDEX(Establishment!C$2:C$1005,MATCH($E400,Establishment!$A$2:$A$1005,0))</f>
        <v xml:space="preserve"> </v>
      </c>
      <c r="M400">
        <f t="shared" si="36"/>
        <v>0</v>
      </c>
      <c r="N400">
        <f t="shared" si="34"/>
        <v>0</v>
      </c>
      <c r="P400" t="e">
        <f>INDEX(Items!B$2:B$1032,MATCH($O400,Items!$A$2:$A$1032,0))</f>
        <v>#N/A</v>
      </c>
      <c r="Q400" t="e">
        <f>INDEX(Items!C$2:C$1032,MATCH($O400,Items!$A$2:$A$1032,0))</f>
        <v>#N/A</v>
      </c>
      <c r="R400" t="e">
        <f>INDEX(Items!D$2:D$1032,MATCH($O400,Items!$A$2:$A$1032,0))</f>
        <v>#N/A</v>
      </c>
    </row>
    <row r="401" spans="1:18" x14ac:dyDescent="0.25">
      <c r="A401">
        <f t="shared" si="32"/>
        <v>1</v>
      </c>
      <c r="B401" t="str">
        <f t="shared" si="33"/>
        <v/>
      </c>
      <c r="C401">
        <f t="shared" si="35"/>
        <v>1</v>
      </c>
      <c r="D401" s="4"/>
      <c r="E401" t="s">
        <v>18</v>
      </c>
      <c r="F401" t="str">
        <f>INDEX(Establishment!B$2:B$1005,MATCH($E401,Establishment!$A$2:$A$1005,0))</f>
        <v xml:space="preserve"> </v>
      </c>
      <c r="G401" t="str">
        <f>INDEX(Establishment!C$2:C$1005,MATCH($E401,Establishment!$A$2:$A$1005,0))</f>
        <v xml:space="preserve"> </v>
      </c>
      <c r="M401">
        <f t="shared" si="36"/>
        <v>0</v>
      </c>
      <c r="N401">
        <f t="shared" si="34"/>
        <v>0</v>
      </c>
      <c r="P401" t="e">
        <f>INDEX(Items!B$2:B$1032,MATCH($O401,Items!$A$2:$A$1032,0))</f>
        <v>#N/A</v>
      </c>
      <c r="Q401" t="e">
        <f>INDEX(Items!C$2:C$1032,MATCH($O401,Items!$A$2:$A$1032,0))</f>
        <v>#N/A</v>
      </c>
      <c r="R401" t="e">
        <f>INDEX(Items!D$2:D$1032,MATCH($O401,Items!$A$2:$A$1032,0))</f>
        <v>#N/A</v>
      </c>
    </row>
    <row r="402" spans="1:18" x14ac:dyDescent="0.25">
      <c r="A402">
        <f t="shared" si="32"/>
        <v>1</v>
      </c>
      <c r="B402" t="str">
        <f t="shared" si="33"/>
        <v/>
      </c>
      <c r="C402">
        <f t="shared" si="35"/>
        <v>1</v>
      </c>
      <c r="D402" s="4"/>
      <c r="E402" t="s">
        <v>18</v>
      </c>
      <c r="F402" t="str">
        <f>INDEX(Establishment!B$2:B$1005,MATCH($E402,Establishment!$A$2:$A$1005,0))</f>
        <v xml:space="preserve"> </v>
      </c>
      <c r="G402" t="str">
        <f>INDEX(Establishment!C$2:C$1005,MATCH($E402,Establishment!$A$2:$A$1005,0))</f>
        <v xml:space="preserve"> </v>
      </c>
      <c r="M402">
        <f t="shared" si="36"/>
        <v>0</v>
      </c>
      <c r="N402">
        <f t="shared" si="34"/>
        <v>0</v>
      </c>
      <c r="P402" t="e">
        <f>INDEX(Items!B$2:B$1032,MATCH($O402,Items!$A$2:$A$1032,0))</f>
        <v>#N/A</v>
      </c>
      <c r="Q402" t="e">
        <f>INDEX(Items!C$2:C$1032,MATCH($O402,Items!$A$2:$A$1032,0))</f>
        <v>#N/A</v>
      </c>
      <c r="R402" t="e">
        <f>INDEX(Items!D$2:D$1032,MATCH($O402,Items!$A$2:$A$1032,0))</f>
        <v>#N/A</v>
      </c>
    </row>
    <row r="403" spans="1:18" x14ac:dyDescent="0.25">
      <c r="A403">
        <f t="shared" si="32"/>
        <v>1</v>
      </c>
      <c r="B403" t="str">
        <f t="shared" si="33"/>
        <v/>
      </c>
      <c r="C403">
        <f t="shared" si="35"/>
        <v>1</v>
      </c>
      <c r="D403" s="4"/>
      <c r="E403" t="s">
        <v>18</v>
      </c>
      <c r="F403" t="str">
        <f>INDEX(Establishment!B$2:B$1005,MATCH($E403,Establishment!$A$2:$A$1005,0))</f>
        <v xml:space="preserve"> </v>
      </c>
      <c r="G403" t="str">
        <f>INDEX(Establishment!C$2:C$1005,MATCH($E403,Establishment!$A$2:$A$1005,0))</f>
        <v xml:space="preserve"> </v>
      </c>
      <c r="M403">
        <f t="shared" si="36"/>
        <v>0</v>
      </c>
      <c r="N403">
        <f t="shared" si="34"/>
        <v>0</v>
      </c>
      <c r="P403" t="e">
        <f>INDEX(Items!B$2:B$1032,MATCH($O403,Items!$A$2:$A$1032,0))</f>
        <v>#N/A</v>
      </c>
      <c r="Q403" t="e">
        <f>INDEX(Items!C$2:C$1032,MATCH($O403,Items!$A$2:$A$1032,0))</f>
        <v>#N/A</v>
      </c>
      <c r="R403" t="e">
        <f>INDEX(Items!D$2:D$1032,MATCH($O403,Items!$A$2:$A$1032,0))</f>
        <v>#N/A</v>
      </c>
    </row>
    <row r="404" spans="1:18" x14ac:dyDescent="0.25">
      <c r="A404">
        <f t="shared" si="32"/>
        <v>1</v>
      </c>
      <c r="B404" t="str">
        <f t="shared" si="33"/>
        <v/>
      </c>
      <c r="C404">
        <f t="shared" si="35"/>
        <v>1</v>
      </c>
      <c r="D404" s="4"/>
      <c r="E404" t="s">
        <v>18</v>
      </c>
      <c r="F404" t="str">
        <f>INDEX(Establishment!B$2:B$1005,MATCH($E404,Establishment!$A$2:$A$1005,0))</f>
        <v xml:space="preserve"> </v>
      </c>
      <c r="G404" t="str">
        <f>INDEX(Establishment!C$2:C$1005,MATCH($E404,Establishment!$A$2:$A$1005,0))</f>
        <v xml:space="preserve"> </v>
      </c>
      <c r="M404">
        <f t="shared" si="36"/>
        <v>0</v>
      </c>
      <c r="N404">
        <f t="shared" si="34"/>
        <v>0</v>
      </c>
      <c r="P404" t="e">
        <f>INDEX(Items!B$2:B$1032,MATCH($O404,Items!$A$2:$A$1032,0))</f>
        <v>#N/A</v>
      </c>
      <c r="Q404" t="e">
        <f>INDEX(Items!C$2:C$1032,MATCH($O404,Items!$A$2:$A$1032,0))</f>
        <v>#N/A</v>
      </c>
      <c r="R404" t="e">
        <f>INDEX(Items!D$2:D$1032,MATCH($O404,Items!$A$2:$A$1032,0))</f>
        <v>#N/A</v>
      </c>
    </row>
    <row r="405" spans="1:18" x14ac:dyDescent="0.25">
      <c r="A405">
        <f t="shared" si="32"/>
        <v>1</v>
      </c>
      <c r="B405" t="str">
        <f t="shared" si="33"/>
        <v/>
      </c>
      <c r="C405">
        <f t="shared" si="35"/>
        <v>1</v>
      </c>
      <c r="D405" s="4"/>
      <c r="E405" t="s">
        <v>18</v>
      </c>
      <c r="F405" t="str">
        <f>INDEX(Establishment!B$2:B$1005,MATCH($E405,Establishment!$A$2:$A$1005,0))</f>
        <v xml:space="preserve"> </v>
      </c>
      <c r="G405" t="str">
        <f>INDEX(Establishment!C$2:C$1005,MATCH($E405,Establishment!$A$2:$A$1005,0))</f>
        <v xml:space="preserve"> </v>
      </c>
      <c r="M405">
        <f t="shared" si="36"/>
        <v>0</v>
      </c>
      <c r="N405">
        <f t="shared" si="34"/>
        <v>0</v>
      </c>
      <c r="P405" t="e">
        <f>INDEX(Items!B$2:B$1032,MATCH($O405,Items!$A$2:$A$1032,0))</f>
        <v>#N/A</v>
      </c>
      <c r="Q405" t="e">
        <f>INDEX(Items!C$2:C$1032,MATCH($O405,Items!$A$2:$A$1032,0))</f>
        <v>#N/A</v>
      </c>
      <c r="R405" t="e">
        <f>INDEX(Items!D$2:D$1032,MATCH($O405,Items!$A$2:$A$1032,0))</f>
        <v>#N/A</v>
      </c>
    </row>
    <row r="406" spans="1:18" x14ac:dyDescent="0.25">
      <c r="A406">
        <f t="shared" si="32"/>
        <v>1</v>
      </c>
      <c r="B406" t="str">
        <f t="shared" si="33"/>
        <v/>
      </c>
      <c r="C406">
        <f t="shared" si="35"/>
        <v>1</v>
      </c>
      <c r="D406" s="4"/>
      <c r="E406" t="s">
        <v>18</v>
      </c>
      <c r="F406" t="str">
        <f>INDEX(Establishment!B$2:B$1005,MATCH($E406,Establishment!$A$2:$A$1005,0))</f>
        <v xml:space="preserve"> </v>
      </c>
      <c r="G406" t="str">
        <f>INDEX(Establishment!C$2:C$1005,MATCH($E406,Establishment!$A$2:$A$1005,0))</f>
        <v xml:space="preserve"> </v>
      </c>
      <c r="M406">
        <f t="shared" si="36"/>
        <v>0</v>
      </c>
      <c r="N406">
        <f t="shared" si="34"/>
        <v>0</v>
      </c>
      <c r="P406" t="e">
        <f>INDEX(Items!B$2:B$1032,MATCH($O406,Items!$A$2:$A$1032,0))</f>
        <v>#N/A</v>
      </c>
      <c r="Q406" t="e">
        <f>INDEX(Items!C$2:C$1032,MATCH($O406,Items!$A$2:$A$1032,0))</f>
        <v>#N/A</v>
      </c>
      <c r="R406" t="e">
        <f>INDEX(Items!D$2:D$1032,MATCH($O406,Items!$A$2:$A$1032,0))</f>
        <v>#N/A</v>
      </c>
    </row>
    <row r="407" spans="1:18" x14ac:dyDescent="0.25">
      <c r="A407">
        <f t="shared" si="32"/>
        <v>1</v>
      </c>
      <c r="B407" t="str">
        <f t="shared" si="33"/>
        <v/>
      </c>
      <c r="C407">
        <f t="shared" si="35"/>
        <v>1</v>
      </c>
      <c r="D407" s="4"/>
      <c r="E407" t="s">
        <v>18</v>
      </c>
      <c r="F407" t="str">
        <f>INDEX(Establishment!B$2:B$1005,MATCH($E407,Establishment!$A$2:$A$1005,0))</f>
        <v xml:space="preserve"> </v>
      </c>
      <c r="G407" t="str">
        <f>INDEX(Establishment!C$2:C$1005,MATCH($E407,Establishment!$A$2:$A$1005,0))</f>
        <v xml:space="preserve"> </v>
      </c>
      <c r="M407">
        <f t="shared" si="36"/>
        <v>0</v>
      </c>
      <c r="N407">
        <f t="shared" si="34"/>
        <v>0</v>
      </c>
      <c r="P407" t="e">
        <f>INDEX(Items!B$2:B$1032,MATCH($O407,Items!$A$2:$A$1032,0))</f>
        <v>#N/A</v>
      </c>
      <c r="Q407" t="e">
        <f>INDEX(Items!C$2:C$1032,MATCH($O407,Items!$A$2:$A$1032,0))</f>
        <v>#N/A</v>
      </c>
      <c r="R407" t="e">
        <f>INDEX(Items!D$2:D$1032,MATCH($O407,Items!$A$2:$A$1032,0))</f>
        <v>#N/A</v>
      </c>
    </row>
    <row r="408" spans="1:18" x14ac:dyDescent="0.25">
      <c r="A408">
        <f t="shared" si="32"/>
        <v>1</v>
      </c>
      <c r="B408" t="str">
        <f t="shared" si="33"/>
        <v/>
      </c>
      <c r="C408">
        <f t="shared" si="35"/>
        <v>1</v>
      </c>
      <c r="D408" s="4"/>
      <c r="E408" t="s">
        <v>18</v>
      </c>
      <c r="F408" t="str">
        <f>INDEX(Establishment!B$2:B$1005,MATCH($E408,Establishment!$A$2:$A$1005,0))</f>
        <v xml:space="preserve"> </v>
      </c>
      <c r="G408" t="str">
        <f>INDEX(Establishment!C$2:C$1005,MATCH($E408,Establishment!$A$2:$A$1005,0))</f>
        <v xml:space="preserve"> </v>
      </c>
      <c r="M408">
        <f t="shared" si="36"/>
        <v>0</v>
      </c>
      <c r="N408">
        <f t="shared" si="34"/>
        <v>0</v>
      </c>
      <c r="P408" t="e">
        <f>INDEX(Items!B$2:B$1032,MATCH($O408,Items!$A$2:$A$1032,0))</f>
        <v>#N/A</v>
      </c>
      <c r="Q408" t="e">
        <f>INDEX(Items!C$2:C$1032,MATCH($O408,Items!$A$2:$A$1032,0))</f>
        <v>#N/A</v>
      </c>
      <c r="R408" t="e">
        <f>INDEX(Items!D$2:D$1032,MATCH($O408,Items!$A$2:$A$1032,0))</f>
        <v>#N/A</v>
      </c>
    </row>
    <row r="409" spans="1:18" x14ac:dyDescent="0.25">
      <c r="A409">
        <f t="shared" si="32"/>
        <v>1</v>
      </c>
      <c r="B409" t="str">
        <f t="shared" si="33"/>
        <v/>
      </c>
      <c r="C409">
        <f t="shared" si="35"/>
        <v>1</v>
      </c>
      <c r="D409" s="4"/>
      <c r="E409" t="s">
        <v>18</v>
      </c>
      <c r="F409" t="str">
        <f>INDEX(Establishment!B$2:B$1005,MATCH($E409,Establishment!$A$2:$A$1005,0))</f>
        <v xml:space="preserve"> </v>
      </c>
      <c r="G409" t="str">
        <f>INDEX(Establishment!C$2:C$1005,MATCH($E409,Establishment!$A$2:$A$1005,0))</f>
        <v xml:space="preserve"> </v>
      </c>
      <c r="M409">
        <f t="shared" si="36"/>
        <v>0</v>
      </c>
      <c r="N409">
        <f t="shared" si="34"/>
        <v>0</v>
      </c>
      <c r="P409" t="e">
        <f>INDEX(Items!B$2:B$1032,MATCH($O409,Items!$A$2:$A$1032,0))</f>
        <v>#N/A</v>
      </c>
      <c r="Q409" t="e">
        <f>INDEX(Items!C$2:C$1032,MATCH($O409,Items!$A$2:$A$1032,0))</f>
        <v>#N/A</v>
      </c>
      <c r="R409" t="e">
        <f>INDEX(Items!D$2:D$1032,MATCH($O409,Items!$A$2:$A$1032,0))</f>
        <v>#N/A</v>
      </c>
    </row>
    <row r="410" spans="1:18" x14ac:dyDescent="0.25">
      <c r="A410">
        <f t="shared" si="32"/>
        <v>1</v>
      </c>
      <c r="B410" t="str">
        <f t="shared" si="33"/>
        <v/>
      </c>
      <c r="C410">
        <f t="shared" si="35"/>
        <v>1</v>
      </c>
      <c r="D410" s="4"/>
      <c r="E410" t="s">
        <v>18</v>
      </c>
      <c r="F410" t="str">
        <f>INDEX(Establishment!B$2:B$1005,MATCH($E410,Establishment!$A$2:$A$1005,0))</f>
        <v xml:space="preserve"> </v>
      </c>
      <c r="G410" t="str">
        <f>INDEX(Establishment!C$2:C$1005,MATCH($E410,Establishment!$A$2:$A$1005,0))</f>
        <v xml:space="preserve"> </v>
      </c>
      <c r="M410">
        <f t="shared" si="36"/>
        <v>0</v>
      </c>
      <c r="N410">
        <f t="shared" si="34"/>
        <v>0</v>
      </c>
      <c r="P410" t="e">
        <f>INDEX(Items!B$2:B$1032,MATCH($O410,Items!$A$2:$A$1032,0))</f>
        <v>#N/A</v>
      </c>
      <c r="Q410" t="e">
        <f>INDEX(Items!C$2:C$1032,MATCH($O410,Items!$A$2:$A$1032,0))</f>
        <v>#N/A</v>
      </c>
      <c r="R410" t="e">
        <f>INDEX(Items!D$2:D$1032,MATCH($O410,Items!$A$2:$A$1032,0))</f>
        <v>#N/A</v>
      </c>
    </row>
    <row r="411" spans="1:18" x14ac:dyDescent="0.25">
      <c r="A411">
        <f t="shared" si="32"/>
        <v>1</v>
      </c>
      <c r="B411" t="str">
        <f t="shared" si="33"/>
        <v/>
      </c>
      <c r="C411">
        <f t="shared" si="35"/>
        <v>1</v>
      </c>
      <c r="D411" s="4"/>
      <c r="E411" t="s">
        <v>18</v>
      </c>
      <c r="F411" t="str">
        <f>INDEX(Establishment!B$2:B$1005,MATCH($E411,Establishment!$A$2:$A$1005,0))</f>
        <v xml:space="preserve"> </v>
      </c>
      <c r="G411" t="str">
        <f>INDEX(Establishment!C$2:C$1005,MATCH($E411,Establishment!$A$2:$A$1005,0))</f>
        <v xml:space="preserve"> </v>
      </c>
      <c r="M411">
        <f t="shared" si="36"/>
        <v>0</v>
      </c>
      <c r="N411">
        <f t="shared" si="34"/>
        <v>0</v>
      </c>
      <c r="P411" t="e">
        <f>INDEX(Items!B$2:B$1032,MATCH($O411,Items!$A$2:$A$1032,0))</f>
        <v>#N/A</v>
      </c>
      <c r="Q411" t="e">
        <f>INDEX(Items!C$2:C$1032,MATCH($O411,Items!$A$2:$A$1032,0))</f>
        <v>#N/A</v>
      </c>
      <c r="R411" t="e">
        <f>INDEX(Items!D$2:D$1032,MATCH($O411,Items!$A$2:$A$1032,0))</f>
        <v>#N/A</v>
      </c>
    </row>
    <row r="412" spans="1:18" x14ac:dyDescent="0.25">
      <c r="A412">
        <f t="shared" si="32"/>
        <v>1</v>
      </c>
      <c r="B412" t="str">
        <f t="shared" si="33"/>
        <v/>
      </c>
      <c r="C412">
        <f t="shared" si="35"/>
        <v>1</v>
      </c>
      <c r="D412" s="4"/>
      <c r="E412" t="s">
        <v>18</v>
      </c>
      <c r="F412" t="str">
        <f>INDEX(Establishment!B$2:B$1005,MATCH($E412,Establishment!$A$2:$A$1005,0))</f>
        <v xml:space="preserve"> </v>
      </c>
      <c r="G412" t="str">
        <f>INDEX(Establishment!C$2:C$1005,MATCH($E412,Establishment!$A$2:$A$1005,0))</f>
        <v xml:space="preserve"> </v>
      </c>
      <c r="M412">
        <f t="shared" si="36"/>
        <v>0</v>
      </c>
      <c r="N412">
        <f t="shared" si="34"/>
        <v>0</v>
      </c>
      <c r="P412" t="e">
        <f>INDEX(Items!B$2:B$1032,MATCH($O412,Items!$A$2:$A$1032,0))</f>
        <v>#N/A</v>
      </c>
      <c r="Q412" t="e">
        <f>INDEX(Items!C$2:C$1032,MATCH($O412,Items!$A$2:$A$1032,0))</f>
        <v>#N/A</v>
      </c>
      <c r="R412" t="e">
        <f>INDEX(Items!D$2:D$1032,MATCH($O412,Items!$A$2:$A$1032,0))</f>
        <v>#N/A</v>
      </c>
    </row>
    <row r="413" spans="1:18" x14ac:dyDescent="0.25">
      <c r="A413">
        <f t="shared" si="32"/>
        <v>1</v>
      </c>
      <c r="B413" t="str">
        <f t="shared" si="33"/>
        <v/>
      </c>
      <c r="C413">
        <f t="shared" si="35"/>
        <v>1</v>
      </c>
      <c r="D413" s="4"/>
      <c r="E413" t="s">
        <v>18</v>
      </c>
      <c r="F413" t="str">
        <f>INDEX(Establishment!B$2:B$1005,MATCH($E413,Establishment!$A$2:$A$1005,0))</f>
        <v xml:space="preserve"> </v>
      </c>
      <c r="G413" t="str">
        <f>INDEX(Establishment!C$2:C$1005,MATCH($E413,Establishment!$A$2:$A$1005,0))</f>
        <v xml:space="preserve"> </v>
      </c>
      <c r="M413">
        <f t="shared" si="36"/>
        <v>0</v>
      </c>
      <c r="N413">
        <f t="shared" si="34"/>
        <v>0</v>
      </c>
      <c r="P413" t="e">
        <f>INDEX(Items!B$2:B$1032,MATCH($O413,Items!$A$2:$A$1032,0))</f>
        <v>#N/A</v>
      </c>
      <c r="Q413" t="e">
        <f>INDEX(Items!C$2:C$1032,MATCH($O413,Items!$A$2:$A$1032,0))</f>
        <v>#N/A</v>
      </c>
      <c r="R413" t="e">
        <f>INDEX(Items!D$2:D$1032,MATCH($O413,Items!$A$2:$A$1032,0))</f>
        <v>#N/A</v>
      </c>
    </row>
    <row r="414" spans="1:18" x14ac:dyDescent="0.25">
      <c r="A414">
        <f t="shared" si="32"/>
        <v>1</v>
      </c>
      <c r="B414" t="str">
        <f t="shared" si="33"/>
        <v/>
      </c>
      <c r="C414">
        <f t="shared" si="35"/>
        <v>1</v>
      </c>
      <c r="D414" s="4"/>
      <c r="E414" t="s">
        <v>18</v>
      </c>
      <c r="F414" t="str">
        <f>INDEX(Establishment!B$2:B$1005,MATCH($E414,Establishment!$A$2:$A$1005,0))</f>
        <v xml:space="preserve"> </v>
      </c>
      <c r="G414" t="str">
        <f>INDEX(Establishment!C$2:C$1005,MATCH($E414,Establishment!$A$2:$A$1005,0))</f>
        <v xml:space="preserve"> </v>
      </c>
      <c r="M414">
        <f t="shared" si="36"/>
        <v>0</v>
      </c>
      <c r="N414">
        <f t="shared" si="34"/>
        <v>0</v>
      </c>
      <c r="P414" t="e">
        <f>INDEX(Items!B$2:B$1032,MATCH($O414,Items!$A$2:$A$1032,0))</f>
        <v>#N/A</v>
      </c>
      <c r="Q414" t="e">
        <f>INDEX(Items!C$2:C$1032,MATCH($O414,Items!$A$2:$A$1032,0))</f>
        <v>#N/A</v>
      </c>
      <c r="R414" t="e">
        <f>INDEX(Items!D$2:D$1032,MATCH($O414,Items!$A$2:$A$1032,0))</f>
        <v>#N/A</v>
      </c>
    </row>
    <row r="415" spans="1:18" x14ac:dyDescent="0.25">
      <c r="A415">
        <f t="shared" si="32"/>
        <v>1</v>
      </c>
      <c r="B415" t="str">
        <f t="shared" si="33"/>
        <v/>
      </c>
      <c r="C415">
        <f t="shared" si="35"/>
        <v>1</v>
      </c>
      <c r="D415" s="4"/>
      <c r="E415" t="s">
        <v>18</v>
      </c>
      <c r="F415" t="str">
        <f>INDEX(Establishment!B$2:B$1005,MATCH($E415,Establishment!$A$2:$A$1005,0))</f>
        <v xml:space="preserve"> </v>
      </c>
      <c r="G415" t="str">
        <f>INDEX(Establishment!C$2:C$1005,MATCH($E415,Establishment!$A$2:$A$1005,0))</f>
        <v xml:space="preserve"> </v>
      </c>
      <c r="M415">
        <f t="shared" si="36"/>
        <v>0</v>
      </c>
      <c r="N415">
        <f t="shared" si="34"/>
        <v>0</v>
      </c>
      <c r="P415" t="e">
        <f>INDEX(Items!B$2:B$1032,MATCH($O415,Items!$A$2:$A$1032,0))</f>
        <v>#N/A</v>
      </c>
      <c r="Q415" t="e">
        <f>INDEX(Items!C$2:C$1032,MATCH($O415,Items!$A$2:$A$1032,0))</f>
        <v>#N/A</v>
      </c>
      <c r="R415" t="e">
        <f>INDEX(Items!D$2:D$1032,MATCH($O415,Items!$A$2:$A$1032,0))</f>
        <v>#N/A</v>
      </c>
    </row>
    <row r="416" spans="1:18" x14ac:dyDescent="0.25">
      <c r="A416">
        <f t="shared" si="32"/>
        <v>1</v>
      </c>
      <c r="B416" t="str">
        <f t="shared" si="33"/>
        <v/>
      </c>
      <c r="C416">
        <f t="shared" si="35"/>
        <v>1</v>
      </c>
      <c r="D416" s="4"/>
      <c r="E416" t="s">
        <v>18</v>
      </c>
      <c r="F416" t="str">
        <f>INDEX(Establishment!B$2:B$1005,MATCH($E416,Establishment!$A$2:$A$1005,0))</f>
        <v xml:space="preserve"> </v>
      </c>
      <c r="G416" t="str">
        <f>INDEX(Establishment!C$2:C$1005,MATCH($E416,Establishment!$A$2:$A$1005,0))</f>
        <v xml:space="preserve"> </v>
      </c>
      <c r="M416">
        <f t="shared" si="36"/>
        <v>0</v>
      </c>
      <c r="N416">
        <f t="shared" si="34"/>
        <v>0</v>
      </c>
      <c r="P416" t="e">
        <f>INDEX(Items!B$2:B$1032,MATCH($O416,Items!$A$2:$A$1032,0))</f>
        <v>#N/A</v>
      </c>
      <c r="Q416" t="e">
        <f>INDEX(Items!C$2:C$1032,MATCH($O416,Items!$A$2:$A$1032,0))</f>
        <v>#N/A</v>
      </c>
      <c r="R416" t="e">
        <f>INDEX(Items!D$2:D$1032,MATCH($O416,Items!$A$2:$A$1032,0))</f>
        <v>#N/A</v>
      </c>
    </row>
    <row r="417" spans="1:18" x14ac:dyDescent="0.25">
      <c r="A417">
        <f t="shared" si="32"/>
        <v>1</v>
      </c>
      <c r="B417" t="str">
        <f t="shared" si="33"/>
        <v/>
      </c>
      <c r="C417">
        <f t="shared" si="35"/>
        <v>1</v>
      </c>
      <c r="D417" s="4"/>
      <c r="E417" t="s">
        <v>18</v>
      </c>
      <c r="F417" t="str">
        <f>INDEX(Establishment!B$2:B$1005,MATCH($E417,Establishment!$A$2:$A$1005,0))</f>
        <v xml:space="preserve"> </v>
      </c>
      <c r="G417" t="str">
        <f>INDEX(Establishment!C$2:C$1005,MATCH($E417,Establishment!$A$2:$A$1005,0))</f>
        <v xml:space="preserve"> </v>
      </c>
      <c r="M417">
        <f t="shared" si="36"/>
        <v>0</v>
      </c>
      <c r="N417">
        <f t="shared" si="34"/>
        <v>0</v>
      </c>
      <c r="P417" t="e">
        <f>INDEX(Items!B$2:B$1032,MATCH($O417,Items!$A$2:$A$1032,0))</f>
        <v>#N/A</v>
      </c>
      <c r="Q417" t="e">
        <f>INDEX(Items!C$2:C$1032,MATCH($O417,Items!$A$2:$A$1032,0))</f>
        <v>#N/A</v>
      </c>
      <c r="R417" t="e">
        <f>INDEX(Items!D$2:D$1032,MATCH($O417,Items!$A$2:$A$1032,0))</f>
        <v>#N/A</v>
      </c>
    </row>
    <row r="418" spans="1:18" x14ac:dyDescent="0.25">
      <c r="A418">
        <f t="shared" si="32"/>
        <v>1</v>
      </c>
      <c r="B418" t="str">
        <f t="shared" si="33"/>
        <v/>
      </c>
      <c r="C418">
        <f t="shared" si="35"/>
        <v>1</v>
      </c>
      <c r="D418" s="4"/>
      <c r="E418" t="s">
        <v>18</v>
      </c>
      <c r="F418" t="str">
        <f>INDEX(Establishment!B$2:B$1005,MATCH($E418,Establishment!$A$2:$A$1005,0))</f>
        <v xml:space="preserve"> </v>
      </c>
      <c r="G418" t="str">
        <f>INDEX(Establishment!C$2:C$1005,MATCH($E418,Establishment!$A$2:$A$1005,0))</f>
        <v xml:space="preserve"> </v>
      </c>
      <c r="M418">
        <f t="shared" si="36"/>
        <v>0</v>
      </c>
      <c r="N418">
        <f t="shared" si="34"/>
        <v>0</v>
      </c>
      <c r="P418" t="e">
        <f>INDEX(Items!B$2:B$1032,MATCH($O418,Items!$A$2:$A$1032,0))</f>
        <v>#N/A</v>
      </c>
      <c r="Q418" t="e">
        <f>INDEX(Items!C$2:C$1032,MATCH($O418,Items!$A$2:$A$1032,0))</f>
        <v>#N/A</v>
      </c>
      <c r="R418" t="e">
        <f>INDEX(Items!D$2:D$1032,MATCH($O418,Items!$A$2:$A$1032,0))</f>
        <v>#N/A</v>
      </c>
    </row>
    <row r="419" spans="1:18" x14ac:dyDescent="0.25">
      <c r="A419">
        <f t="shared" si="32"/>
        <v>1</v>
      </c>
      <c r="B419" t="str">
        <f t="shared" si="33"/>
        <v/>
      </c>
      <c r="C419">
        <f t="shared" si="35"/>
        <v>1</v>
      </c>
      <c r="D419" s="4"/>
      <c r="E419" t="s">
        <v>18</v>
      </c>
      <c r="F419" t="str">
        <f>INDEX(Establishment!B$2:B$1005,MATCH($E419,Establishment!$A$2:$A$1005,0))</f>
        <v xml:space="preserve"> </v>
      </c>
      <c r="G419" t="str">
        <f>INDEX(Establishment!C$2:C$1005,MATCH($E419,Establishment!$A$2:$A$1005,0))</f>
        <v xml:space="preserve"> </v>
      </c>
      <c r="M419">
        <f t="shared" si="36"/>
        <v>0</v>
      </c>
      <c r="N419">
        <f t="shared" si="34"/>
        <v>0</v>
      </c>
      <c r="P419" t="e">
        <f>INDEX(Items!B$2:B$1032,MATCH($O419,Items!$A$2:$A$1032,0))</f>
        <v>#N/A</v>
      </c>
      <c r="Q419" t="e">
        <f>INDEX(Items!C$2:C$1032,MATCH($O419,Items!$A$2:$A$1032,0))</f>
        <v>#N/A</v>
      </c>
      <c r="R419" t="e">
        <f>INDEX(Items!D$2:D$1032,MATCH($O419,Items!$A$2:$A$1032,0))</f>
        <v>#N/A</v>
      </c>
    </row>
    <row r="420" spans="1:18" x14ac:dyDescent="0.25">
      <c r="A420">
        <f t="shared" si="32"/>
        <v>1</v>
      </c>
      <c r="B420" t="str">
        <f t="shared" si="33"/>
        <v/>
      </c>
      <c r="C420">
        <f t="shared" si="35"/>
        <v>1</v>
      </c>
      <c r="D420" s="4"/>
      <c r="E420" t="s">
        <v>18</v>
      </c>
      <c r="F420" t="str">
        <f>INDEX(Establishment!B$2:B$1005,MATCH($E420,Establishment!$A$2:$A$1005,0))</f>
        <v xml:space="preserve"> </v>
      </c>
      <c r="G420" t="str">
        <f>INDEX(Establishment!C$2:C$1005,MATCH($E420,Establishment!$A$2:$A$1005,0))</f>
        <v xml:space="preserve"> </v>
      </c>
      <c r="M420">
        <f t="shared" si="36"/>
        <v>0</v>
      </c>
      <c r="N420">
        <f t="shared" si="34"/>
        <v>0</v>
      </c>
      <c r="P420" t="e">
        <f>INDEX(Items!B$2:B$1032,MATCH($O420,Items!$A$2:$A$1032,0))</f>
        <v>#N/A</v>
      </c>
      <c r="Q420" t="e">
        <f>INDEX(Items!C$2:C$1032,MATCH($O420,Items!$A$2:$A$1032,0))</f>
        <v>#N/A</v>
      </c>
      <c r="R420" t="e">
        <f>INDEX(Items!D$2:D$1032,MATCH($O420,Items!$A$2:$A$1032,0))</f>
        <v>#N/A</v>
      </c>
    </row>
    <row r="421" spans="1:18" x14ac:dyDescent="0.25">
      <c r="A421">
        <f t="shared" si="32"/>
        <v>1</v>
      </c>
      <c r="B421" t="str">
        <f t="shared" si="33"/>
        <v/>
      </c>
      <c r="C421">
        <f t="shared" si="35"/>
        <v>1</v>
      </c>
      <c r="D421" s="4"/>
      <c r="E421" t="s">
        <v>18</v>
      </c>
      <c r="F421" t="str">
        <f>INDEX(Establishment!B$2:B$1005,MATCH($E421,Establishment!$A$2:$A$1005,0))</f>
        <v xml:space="preserve"> </v>
      </c>
      <c r="G421" t="str">
        <f>INDEX(Establishment!C$2:C$1005,MATCH($E421,Establishment!$A$2:$A$1005,0))</f>
        <v xml:space="preserve"> </v>
      </c>
      <c r="M421">
        <f t="shared" si="36"/>
        <v>0</v>
      </c>
      <c r="N421">
        <f t="shared" si="34"/>
        <v>0</v>
      </c>
      <c r="P421" t="e">
        <f>INDEX(Items!B$2:B$1032,MATCH($O421,Items!$A$2:$A$1032,0))</f>
        <v>#N/A</v>
      </c>
      <c r="Q421" t="e">
        <f>INDEX(Items!C$2:C$1032,MATCH($O421,Items!$A$2:$A$1032,0))</f>
        <v>#N/A</v>
      </c>
      <c r="R421" t="e">
        <f>INDEX(Items!D$2:D$1032,MATCH($O421,Items!$A$2:$A$1032,0))</f>
        <v>#N/A</v>
      </c>
    </row>
    <row r="422" spans="1:18" x14ac:dyDescent="0.25">
      <c r="A422">
        <f t="shared" si="32"/>
        <v>1</v>
      </c>
      <c r="B422" t="str">
        <f t="shared" si="33"/>
        <v/>
      </c>
      <c r="C422">
        <f t="shared" si="35"/>
        <v>1</v>
      </c>
      <c r="D422" s="4"/>
      <c r="E422" t="s">
        <v>18</v>
      </c>
      <c r="F422" t="str">
        <f>INDEX(Establishment!B$2:B$1005,MATCH($E422,Establishment!$A$2:$A$1005,0))</f>
        <v xml:space="preserve"> </v>
      </c>
      <c r="G422" t="str">
        <f>INDEX(Establishment!C$2:C$1005,MATCH($E422,Establishment!$A$2:$A$1005,0))</f>
        <v xml:space="preserve"> </v>
      </c>
      <c r="M422">
        <f t="shared" si="36"/>
        <v>0</v>
      </c>
      <c r="N422">
        <f t="shared" si="34"/>
        <v>0</v>
      </c>
      <c r="P422" t="e">
        <f>INDEX(Items!B$2:B$1032,MATCH($O422,Items!$A$2:$A$1032,0))</f>
        <v>#N/A</v>
      </c>
      <c r="Q422" t="e">
        <f>INDEX(Items!C$2:C$1032,MATCH($O422,Items!$A$2:$A$1032,0))</f>
        <v>#N/A</v>
      </c>
      <c r="R422" t="e">
        <f>INDEX(Items!D$2:D$1032,MATCH($O422,Items!$A$2:$A$1032,0))</f>
        <v>#N/A</v>
      </c>
    </row>
    <row r="423" spans="1:18" x14ac:dyDescent="0.25">
      <c r="A423">
        <f t="shared" si="32"/>
        <v>1</v>
      </c>
      <c r="B423" t="str">
        <f t="shared" si="33"/>
        <v/>
      </c>
      <c r="C423">
        <f t="shared" si="35"/>
        <v>1</v>
      </c>
      <c r="D423" s="4"/>
      <c r="E423" t="s">
        <v>18</v>
      </c>
      <c r="F423" t="str">
        <f>INDEX(Establishment!B$2:B$1005,MATCH($E423,Establishment!$A$2:$A$1005,0))</f>
        <v xml:space="preserve"> </v>
      </c>
      <c r="G423" t="str">
        <f>INDEX(Establishment!C$2:C$1005,MATCH($E423,Establishment!$A$2:$A$1005,0))</f>
        <v xml:space="preserve"> </v>
      </c>
      <c r="M423">
        <f t="shared" si="36"/>
        <v>0</v>
      </c>
      <c r="N423">
        <f t="shared" si="34"/>
        <v>0</v>
      </c>
      <c r="P423" t="e">
        <f>INDEX(Items!B$2:B$1032,MATCH($O423,Items!$A$2:$A$1032,0))</f>
        <v>#N/A</v>
      </c>
      <c r="Q423" t="e">
        <f>INDEX(Items!C$2:C$1032,MATCH($O423,Items!$A$2:$A$1032,0))</f>
        <v>#N/A</v>
      </c>
      <c r="R423" t="e">
        <f>INDEX(Items!D$2:D$1032,MATCH($O423,Items!$A$2:$A$1032,0))</f>
        <v>#N/A</v>
      </c>
    </row>
    <row r="424" spans="1:18" x14ac:dyDescent="0.25">
      <c r="A424">
        <f t="shared" si="32"/>
        <v>1</v>
      </c>
      <c r="B424" t="str">
        <f t="shared" si="33"/>
        <v/>
      </c>
      <c r="C424">
        <f t="shared" si="35"/>
        <v>1</v>
      </c>
      <c r="D424" s="4"/>
      <c r="E424" t="s">
        <v>18</v>
      </c>
      <c r="F424" t="str">
        <f>INDEX(Establishment!B$2:B$1005,MATCH($E424,Establishment!$A$2:$A$1005,0))</f>
        <v xml:space="preserve"> </v>
      </c>
      <c r="G424" t="str">
        <f>INDEX(Establishment!C$2:C$1005,MATCH($E424,Establishment!$A$2:$A$1005,0))</f>
        <v xml:space="preserve"> </v>
      </c>
      <c r="M424">
        <f t="shared" si="36"/>
        <v>0</v>
      </c>
      <c r="N424">
        <f t="shared" si="34"/>
        <v>0</v>
      </c>
      <c r="P424" t="e">
        <f>INDEX(Items!B$2:B$1032,MATCH($O424,Items!$A$2:$A$1032,0))</f>
        <v>#N/A</v>
      </c>
      <c r="Q424" t="e">
        <f>INDEX(Items!C$2:C$1032,MATCH($O424,Items!$A$2:$A$1032,0))</f>
        <v>#N/A</v>
      </c>
      <c r="R424" t="e">
        <f>INDEX(Items!D$2:D$1032,MATCH($O424,Items!$A$2:$A$1032,0))</f>
        <v>#N/A</v>
      </c>
    </row>
    <row r="425" spans="1:18" x14ac:dyDescent="0.25">
      <c r="A425">
        <f t="shared" si="32"/>
        <v>1</v>
      </c>
      <c r="B425" t="str">
        <f t="shared" si="33"/>
        <v/>
      </c>
      <c r="C425">
        <f t="shared" si="35"/>
        <v>1</v>
      </c>
      <c r="D425" s="4"/>
      <c r="E425" t="s">
        <v>18</v>
      </c>
      <c r="F425" t="str">
        <f>INDEX(Establishment!B$2:B$1005,MATCH($E425,Establishment!$A$2:$A$1005,0))</f>
        <v xml:space="preserve"> </v>
      </c>
      <c r="G425" t="str">
        <f>INDEX(Establishment!C$2:C$1005,MATCH($E425,Establishment!$A$2:$A$1005,0))</f>
        <v xml:space="preserve"> </v>
      </c>
      <c r="M425">
        <f t="shared" si="36"/>
        <v>0</v>
      </c>
      <c r="N425">
        <f t="shared" si="34"/>
        <v>0</v>
      </c>
      <c r="P425" t="e">
        <f>INDEX(Items!B$2:B$1032,MATCH($O425,Items!$A$2:$A$1032,0))</f>
        <v>#N/A</v>
      </c>
      <c r="Q425" t="e">
        <f>INDEX(Items!C$2:C$1032,MATCH($O425,Items!$A$2:$A$1032,0))</f>
        <v>#N/A</v>
      </c>
      <c r="R425" t="e">
        <f>INDEX(Items!D$2:D$1032,MATCH($O425,Items!$A$2:$A$1032,0))</f>
        <v>#N/A</v>
      </c>
    </row>
    <row r="426" spans="1:18" x14ac:dyDescent="0.25">
      <c r="A426">
        <f t="shared" si="32"/>
        <v>1</v>
      </c>
      <c r="B426" t="str">
        <f t="shared" si="33"/>
        <v/>
      </c>
      <c r="C426">
        <f t="shared" si="35"/>
        <v>1</v>
      </c>
      <c r="D426" s="4"/>
      <c r="E426" t="s">
        <v>18</v>
      </c>
      <c r="F426" t="str">
        <f>INDEX(Establishment!B$2:B$1005,MATCH($E426,Establishment!$A$2:$A$1005,0))</f>
        <v xml:space="preserve"> </v>
      </c>
      <c r="G426" t="str">
        <f>INDEX(Establishment!C$2:C$1005,MATCH($E426,Establishment!$A$2:$A$1005,0))</f>
        <v xml:space="preserve"> </v>
      </c>
      <c r="M426">
        <f t="shared" si="36"/>
        <v>0</v>
      </c>
      <c r="N426">
        <f t="shared" si="34"/>
        <v>0</v>
      </c>
      <c r="P426" t="e">
        <f>INDEX(Items!B$2:B$1032,MATCH($O426,Items!$A$2:$A$1032,0))</f>
        <v>#N/A</v>
      </c>
      <c r="Q426" t="e">
        <f>INDEX(Items!C$2:C$1032,MATCH($O426,Items!$A$2:$A$1032,0))</f>
        <v>#N/A</v>
      </c>
      <c r="R426" t="e">
        <f>INDEX(Items!D$2:D$1032,MATCH($O426,Items!$A$2:$A$1032,0))</f>
        <v>#N/A</v>
      </c>
    </row>
    <row r="427" spans="1:18" x14ac:dyDescent="0.25">
      <c r="A427">
        <f t="shared" si="32"/>
        <v>1</v>
      </c>
      <c r="B427" t="str">
        <f t="shared" si="33"/>
        <v/>
      </c>
      <c r="C427">
        <f t="shared" si="35"/>
        <v>1</v>
      </c>
      <c r="D427" s="4"/>
      <c r="E427" t="s">
        <v>18</v>
      </c>
      <c r="F427" t="str">
        <f>INDEX(Establishment!B$2:B$1005,MATCH($E427,Establishment!$A$2:$A$1005,0))</f>
        <v xml:space="preserve"> </v>
      </c>
      <c r="G427" t="str">
        <f>INDEX(Establishment!C$2:C$1005,MATCH($E427,Establishment!$A$2:$A$1005,0))</f>
        <v xml:space="preserve"> </v>
      </c>
      <c r="M427">
        <f t="shared" si="36"/>
        <v>0</v>
      </c>
      <c r="N427">
        <f t="shared" si="34"/>
        <v>0</v>
      </c>
      <c r="P427" t="e">
        <f>INDEX(Items!B$2:B$1032,MATCH($O427,Items!$A$2:$A$1032,0))</f>
        <v>#N/A</v>
      </c>
      <c r="Q427" t="e">
        <f>INDEX(Items!C$2:C$1032,MATCH($O427,Items!$A$2:$A$1032,0))</f>
        <v>#N/A</v>
      </c>
      <c r="R427" t="e">
        <f>INDEX(Items!D$2:D$1032,MATCH($O427,Items!$A$2:$A$1032,0))</f>
        <v>#N/A</v>
      </c>
    </row>
    <row r="428" spans="1:18" x14ac:dyDescent="0.25">
      <c r="A428">
        <f t="shared" si="32"/>
        <v>1</v>
      </c>
      <c r="B428" t="str">
        <f t="shared" si="33"/>
        <v/>
      </c>
      <c r="C428">
        <f t="shared" si="35"/>
        <v>1</v>
      </c>
      <c r="D428" s="4"/>
      <c r="E428" t="s">
        <v>18</v>
      </c>
      <c r="F428" t="str">
        <f>INDEX(Establishment!B$2:B$1005,MATCH($E428,Establishment!$A$2:$A$1005,0))</f>
        <v xml:space="preserve"> </v>
      </c>
      <c r="G428" t="str">
        <f>INDEX(Establishment!C$2:C$1005,MATCH($E428,Establishment!$A$2:$A$1005,0))</f>
        <v xml:space="preserve"> </v>
      </c>
      <c r="M428">
        <f t="shared" si="36"/>
        <v>0</v>
      </c>
      <c r="N428">
        <f t="shared" si="34"/>
        <v>0</v>
      </c>
      <c r="P428" t="e">
        <f>INDEX(Items!B$2:B$1032,MATCH($O428,Items!$A$2:$A$1032,0))</f>
        <v>#N/A</v>
      </c>
      <c r="Q428" t="e">
        <f>INDEX(Items!C$2:C$1032,MATCH($O428,Items!$A$2:$A$1032,0))</f>
        <v>#N/A</v>
      </c>
      <c r="R428" t="e">
        <f>INDEX(Items!D$2:D$1032,MATCH($O428,Items!$A$2:$A$1032,0))</f>
        <v>#N/A</v>
      </c>
    </row>
    <row r="429" spans="1:18" x14ac:dyDescent="0.25">
      <c r="A429">
        <f t="shared" si="32"/>
        <v>1</v>
      </c>
      <c r="B429" t="str">
        <f t="shared" si="33"/>
        <v/>
      </c>
      <c r="C429">
        <f t="shared" si="35"/>
        <v>1</v>
      </c>
      <c r="D429" s="4"/>
      <c r="E429" t="s">
        <v>18</v>
      </c>
      <c r="F429" t="str">
        <f>INDEX(Establishment!B$2:B$1005,MATCH($E429,Establishment!$A$2:$A$1005,0))</f>
        <v xml:space="preserve"> </v>
      </c>
      <c r="G429" t="str">
        <f>INDEX(Establishment!C$2:C$1005,MATCH($E429,Establishment!$A$2:$A$1005,0))</f>
        <v xml:space="preserve"> </v>
      </c>
      <c r="M429">
        <f t="shared" si="36"/>
        <v>0</v>
      </c>
      <c r="N429">
        <f t="shared" si="34"/>
        <v>0</v>
      </c>
      <c r="P429" t="e">
        <f>INDEX(Items!B$2:B$1032,MATCH($O429,Items!$A$2:$A$1032,0))</f>
        <v>#N/A</v>
      </c>
      <c r="Q429" t="e">
        <f>INDEX(Items!C$2:C$1032,MATCH($O429,Items!$A$2:$A$1032,0))</f>
        <v>#N/A</v>
      </c>
      <c r="R429" t="e">
        <f>INDEX(Items!D$2:D$1032,MATCH($O429,Items!$A$2:$A$1032,0))</f>
        <v>#N/A</v>
      </c>
    </row>
    <row r="430" spans="1:18" x14ac:dyDescent="0.25">
      <c r="A430">
        <f t="shared" si="32"/>
        <v>1</v>
      </c>
      <c r="B430" t="str">
        <f t="shared" si="33"/>
        <v/>
      </c>
      <c r="C430">
        <f t="shared" si="35"/>
        <v>1</v>
      </c>
      <c r="D430" s="4"/>
      <c r="E430" t="s">
        <v>18</v>
      </c>
      <c r="F430" t="str">
        <f>INDEX(Establishment!B$2:B$1005,MATCH($E430,Establishment!$A$2:$A$1005,0))</f>
        <v xml:space="preserve"> </v>
      </c>
      <c r="G430" t="str">
        <f>INDEX(Establishment!C$2:C$1005,MATCH($E430,Establishment!$A$2:$A$1005,0))</f>
        <v xml:space="preserve"> </v>
      </c>
      <c r="M430">
        <f t="shared" si="36"/>
        <v>0</v>
      </c>
      <c r="N430">
        <f t="shared" si="34"/>
        <v>0</v>
      </c>
      <c r="P430" t="e">
        <f>INDEX(Items!B$2:B$1032,MATCH($O430,Items!$A$2:$A$1032,0))</f>
        <v>#N/A</v>
      </c>
      <c r="Q430" t="e">
        <f>INDEX(Items!C$2:C$1032,MATCH($O430,Items!$A$2:$A$1032,0))</f>
        <v>#N/A</v>
      </c>
      <c r="R430" t="e">
        <f>INDEX(Items!D$2:D$1032,MATCH($O430,Items!$A$2:$A$1032,0))</f>
        <v>#N/A</v>
      </c>
    </row>
    <row r="431" spans="1:18" x14ac:dyDescent="0.25">
      <c r="A431">
        <f t="shared" si="32"/>
        <v>1</v>
      </c>
      <c r="B431" t="str">
        <f t="shared" si="33"/>
        <v/>
      </c>
      <c r="C431">
        <f t="shared" si="35"/>
        <v>1</v>
      </c>
      <c r="D431" s="4"/>
      <c r="E431" t="s">
        <v>18</v>
      </c>
      <c r="F431" t="str">
        <f>INDEX(Establishment!B$2:B$1005,MATCH($E431,Establishment!$A$2:$A$1005,0))</f>
        <v xml:space="preserve"> </v>
      </c>
      <c r="G431" t="str">
        <f>INDEX(Establishment!C$2:C$1005,MATCH($E431,Establishment!$A$2:$A$1005,0))</f>
        <v xml:space="preserve"> </v>
      </c>
      <c r="M431">
        <f t="shared" si="36"/>
        <v>0</v>
      </c>
      <c r="N431">
        <f t="shared" si="34"/>
        <v>0</v>
      </c>
      <c r="P431" t="e">
        <f>INDEX(Items!B$2:B$1032,MATCH($O431,Items!$A$2:$A$1032,0))</f>
        <v>#N/A</v>
      </c>
      <c r="Q431" t="e">
        <f>INDEX(Items!C$2:C$1032,MATCH($O431,Items!$A$2:$A$1032,0))</f>
        <v>#N/A</v>
      </c>
      <c r="R431" t="e">
        <f>INDEX(Items!D$2:D$1032,MATCH($O431,Items!$A$2:$A$1032,0))</f>
        <v>#N/A</v>
      </c>
    </row>
    <row r="432" spans="1:18" x14ac:dyDescent="0.25">
      <c r="A432">
        <f t="shared" si="32"/>
        <v>1</v>
      </c>
      <c r="B432" t="str">
        <f t="shared" si="33"/>
        <v/>
      </c>
      <c r="C432">
        <f t="shared" si="35"/>
        <v>1</v>
      </c>
      <c r="D432" s="4"/>
      <c r="E432" t="s">
        <v>18</v>
      </c>
      <c r="F432" t="str">
        <f>INDEX(Establishment!B$2:B$1005,MATCH($E432,Establishment!$A$2:$A$1005,0))</f>
        <v xml:space="preserve"> </v>
      </c>
      <c r="G432" t="str">
        <f>INDEX(Establishment!C$2:C$1005,MATCH($E432,Establishment!$A$2:$A$1005,0))</f>
        <v xml:space="preserve"> </v>
      </c>
      <c r="M432">
        <f t="shared" si="36"/>
        <v>0</v>
      </c>
      <c r="N432">
        <f t="shared" si="34"/>
        <v>0</v>
      </c>
      <c r="P432" t="e">
        <f>INDEX(Items!B$2:B$1032,MATCH($O432,Items!$A$2:$A$1032,0))</f>
        <v>#N/A</v>
      </c>
      <c r="Q432" t="e">
        <f>INDEX(Items!C$2:C$1032,MATCH($O432,Items!$A$2:$A$1032,0))</f>
        <v>#N/A</v>
      </c>
      <c r="R432" t="e">
        <f>INDEX(Items!D$2:D$1032,MATCH($O432,Items!$A$2:$A$1032,0))</f>
        <v>#N/A</v>
      </c>
    </row>
    <row r="433" spans="1:18" x14ac:dyDescent="0.25">
      <c r="A433">
        <f t="shared" si="32"/>
        <v>1</v>
      </c>
      <c r="B433" t="str">
        <f t="shared" si="33"/>
        <v/>
      </c>
      <c r="C433">
        <f t="shared" si="35"/>
        <v>1</v>
      </c>
      <c r="D433" s="4"/>
      <c r="E433" t="s">
        <v>18</v>
      </c>
      <c r="F433" t="str">
        <f>INDEX(Establishment!B$2:B$1005,MATCH($E433,Establishment!$A$2:$A$1005,0))</f>
        <v xml:space="preserve"> </v>
      </c>
      <c r="G433" t="str">
        <f>INDEX(Establishment!C$2:C$1005,MATCH($E433,Establishment!$A$2:$A$1005,0))</f>
        <v xml:space="preserve"> </v>
      </c>
      <c r="M433">
        <f t="shared" si="36"/>
        <v>0</v>
      </c>
      <c r="N433">
        <f t="shared" si="34"/>
        <v>0</v>
      </c>
      <c r="P433" t="e">
        <f>INDEX(Items!B$2:B$1032,MATCH($O433,Items!$A$2:$A$1032,0))</f>
        <v>#N/A</v>
      </c>
      <c r="Q433" t="e">
        <f>INDEX(Items!C$2:C$1032,MATCH($O433,Items!$A$2:$A$1032,0))</f>
        <v>#N/A</v>
      </c>
      <c r="R433" t="e">
        <f>INDEX(Items!D$2:D$1032,MATCH($O433,Items!$A$2:$A$1032,0))</f>
        <v>#N/A</v>
      </c>
    </row>
    <row r="434" spans="1:18" x14ac:dyDescent="0.25">
      <c r="A434">
        <f t="shared" si="32"/>
        <v>1</v>
      </c>
      <c r="B434" t="str">
        <f t="shared" si="33"/>
        <v/>
      </c>
      <c r="C434">
        <f t="shared" si="35"/>
        <v>1</v>
      </c>
      <c r="D434" s="4"/>
      <c r="E434" t="s">
        <v>18</v>
      </c>
      <c r="F434" t="str">
        <f>INDEX(Establishment!B$2:B$1005,MATCH($E434,Establishment!$A$2:$A$1005,0))</f>
        <v xml:space="preserve"> </v>
      </c>
      <c r="G434" t="str">
        <f>INDEX(Establishment!C$2:C$1005,MATCH($E434,Establishment!$A$2:$A$1005,0))</f>
        <v xml:space="preserve"> </v>
      </c>
      <c r="M434">
        <f t="shared" si="36"/>
        <v>0</v>
      </c>
      <c r="N434">
        <f t="shared" si="34"/>
        <v>0</v>
      </c>
      <c r="P434" t="e">
        <f>INDEX(Items!B$2:B$1032,MATCH($O434,Items!$A$2:$A$1032,0))</f>
        <v>#N/A</v>
      </c>
      <c r="Q434" t="e">
        <f>INDEX(Items!C$2:C$1032,MATCH($O434,Items!$A$2:$A$1032,0))</f>
        <v>#N/A</v>
      </c>
      <c r="R434" t="e">
        <f>INDEX(Items!D$2:D$1032,MATCH($O434,Items!$A$2:$A$1032,0))</f>
        <v>#N/A</v>
      </c>
    </row>
    <row r="435" spans="1:18" x14ac:dyDescent="0.25">
      <c r="A435">
        <f t="shared" si="32"/>
        <v>1</v>
      </c>
      <c r="B435" t="str">
        <f t="shared" si="33"/>
        <v/>
      </c>
      <c r="C435">
        <f t="shared" si="35"/>
        <v>1</v>
      </c>
      <c r="D435" s="4"/>
      <c r="E435" t="s">
        <v>18</v>
      </c>
      <c r="F435" t="str">
        <f>INDEX(Establishment!B$2:B$1005,MATCH($E435,Establishment!$A$2:$A$1005,0))</f>
        <v xml:space="preserve"> </v>
      </c>
      <c r="G435" t="str">
        <f>INDEX(Establishment!C$2:C$1005,MATCH($E435,Establishment!$A$2:$A$1005,0))</f>
        <v xml:space="preserve"> </v>
      </c>
      <c r="M435">
        <f t="shared" si="36"/>
        <v>0</v>
      </c>
      <c r="N435">
        <f t="shared" si="34"/>
        <v>0</v>
      </c>
      <c r="P435" t="e">
        <f>INDEX(Items!B$2:B$1032,MATCH($O435,Items!$A$2:$A$1032,0))</f>
        <v>#N/A</v>
      </c>
      <c r="Q435" t="e">
        <f>INDEX(Items!C$2:C$1032,MATCH($O435,Items!$A$2:$A$1032,0))</f>
        <v>#N/A</v>
      </c>
      <c r="R435" t="e">
        <f>INDEX(Items!D$2:D$1032,MATCH($O435,Items!$A$2:$A$1032,0))</f>
        <v>#N/A</v>
      </c>
    </row>
    <row r="436" spans="1:18" x14ac:dyDescent="0.25">
      <c r="A436">
        <f t="shared" si="32"/>
        <v>1</v>
      </c>
      <c r="B436" t="str">
        <f t="shared" si="33"/>
        <v/>
      </c>
      <c r="C436">
        <f t="shared" si="35"/>
        <v>1</v>
      </c>
      <c r="D436" s="4"/>
      <c r="E436" t="s">
        <v>18</v>
      </c>
      <c r="F436" t="str">
        <f>INDEX(Establishment!B$2:B$1005,MATCH($E436,Establishment!$A$2:$A$1005,0))</f>
        <v xml:space="preserve"> </v>
      </c>
      <c r="G436" t="str">
        <f>INDEX(Establishment!C$2:C$1005,MATCH($E436,Establishment!$A$2:$A$1005,0))</f>
        <v xml:space="preserve"> </v>
      </c>
      <c r="M436">
        <f t="shared" si="36"/>
        <v>0</v>
      </c>
      <c r="N436">
        <f t="shared" si="34"/>
        <v>0</v>
      </c>
      <c r="P436" t="e">
        <f>INDEX(Items!B$2:B$1032,MATCH($O436,Items!$A$2:$A$1032,0))</f>
        <v>#N/A</v>
      </c>
      <c r="Q436" t="e">
        <f>INDEX(Items!C$2:C$1032,MATCH($O436,Items!$A$2:$A$1032,0))</f>
        <v>#N/A</v>
      </c>
      <c r="R436" t="e">
        <f>INDEX(Items!D$2:D$1032,MATCH($O436,Items!$A$2:$A$1032,0))</f>
        <v>#N/A</v>
      </c>
    </row>
    <row r="437" spans="1:18" x14ac:dyDescent="0.25">
      <c r="A437">
        <f t="shared" si="32"/>
        <v>1</v>
      </c>
      <c r="B437" t="str">
        <f t="shared" si="33"/>
        <v/>
      </c>
      <c r="C437">
        <f t="shared" si="35"/>
        <v>1</v>
      </c>
      <c r="D437" s="4"/>
      <c r="E437" t="s">
        <v>18</v>
      </c>
      <c r="F437" t="str">
        <f>INDEX(Establishment!B$2:B$1005,MATCH($E437,Establishment!$A$2:$A$1005,0))</f>
        <v xml:space="preserve"> </v>
      </c>
      <c r="G437" t="str">
        <f>INDEX(Establishment!C$2:C$1005,MATCH($E437,Establishment!$A$2:$A$1005,0))</f>
        <v xml:space="preserve"> </v>
      </c>
      <c r="M437">
        <f t="shared" si="36"/>
        <v>0</v>
      </c>
      <c r="N437">
        <f t="shared" si="34"/>
        <v>0</v>
      </c>
      <c r="P437" t="e">
        <f>INDEX(Items!B$2:B$1032,MATCH($O437,Items!$A$2:$A$1032,0))</f>
        <v>#N/A</v>
      </c>
      <c r="Q437" t="e">
        <f>INDEX(Items!C$2:C$1032,MATCH($O437,Items!$A$2:$A$1032,0))</f>
        <v>#N/A</v>
      </c>
      <c r="R437" t="e">
        <f>INDEX(Items!D$2:D$1032,MATCH($O437,Items!$A$2:$A$1032,0))</f>
        <v>#N/A</v>
      </c>
    </row>
    <row r="438" spans="1:18" x14ac:dyDescent="0.25">
      <c r="A438">
        <f t="shared" si="32"/>
        <v>1</v>
      </c>
      <c r="B438" t="str">
        <f t="shared" si="33"/>
        <v/>
      </c>
      <c r="C438">
        <f t="shared" si="35"/>
        <v>1</v>
      </c>
      <c r="D438" s="4"/>
      <c r="E438" t="s">
        <v>18</v>
      </c>
      <c r="F438" t="str">
        <f>INDEX(Establishment!B$2:B$1005,MATCH($E438,Establishment!$A$2:$A$1005,0))</f>
        <v xml:space="preserve"> </v>
      </c>
      <c r="G438" t="str">
        <f>INDEX(Establishment!C$2:C$1005,MATCH($E438,Establishment!$A$2:$A$1005,0))</f>
        <v xml:space="preserve"> </v>
      </c>
      <c r="M438">
        <f t="shared" si="36"/>
        <v>0</v>
      </c>
      <c r="N438">
        <f t="shared" si="34"/>
        <v>0</v>
      </c>
      <c r="P438" t="e">
        <f>INDEX(Items!B$2:B$1032,MATCH($O438,Items!$A$2:$A$1032,0))</f>
        <v>#N/A</v>
      </c>
      <c r="Q438" t="e">
        <f>INDEX(Items!C$2:C$1032,MATCH($O438,Items!$A$2:$A$1032,0))</f>
        <v>#N/A</v>
      </c>
      <c r="R438" t="e">
        <f>INDEX(Items!D$2:D$1032,MATCH($O438,Items!$A$2:$A$1032,0))</f>
        <v>#N/A</v>
      </c>
    </row>
    <row r="439" spans="1:18" x14ac:dyDescent="0.25">
      <c r="A439">
        <f t="shared" si="32"/>
        <v>1</v>
      </c>
      <c r="B439" t="str">
        <f t="shared" si="33"/>
        <v/>
      </c>
      <c r="C439">
        <f t="shared" si="35"/>
        <v>1</v>
      </c>
      <c r="D439" s="4"/>
      <c r="E439" t="s">
        <v>18</v>
      </c>
      <c r="F439" t="str">
        <f>INDEX(Establishment!B$2:B$1005,MATCH($E439,Establishment!$A$2:$A$1005,0))</f>
        <v xml:space="preserve"> </v>
      </c>
      <c r="G439" t="str">
        <f>INDEX(Establishment!C$2:C$1005,MATCH($E439,Establishment!$A$2:$A$1005,0))</f>
        <v xml:space="preserve"> </v>
      </c>
      <c r="M439">
        <f t="shared" si="36"/>
        <v>0</v>
      </c>
      <c r="N439">
        <f t="shared" si="34"/>
        <v>0</v>
      </c>
      <c r="P439" t="e">
        <f>INDEX(Items!B$2:B$1032,MATCH($O439,Items!$A$2:$A$1032,0))</f>
        <v>#N/A</v>
      </c>
      <c r="Q439" t="e">
        <f>INDEX(Items!C$2:C$1032,MATCH($O439,Items!$A$2:$A$1032,0))</f>
        <v>#N/A</v>
      </c>
      <c r="R439" t="e">
        <f>INDEX(Items!D$2:D$1032,MATCH($O439,Items!$A$2:$A$1032,0))</f>
        <v>#N/A</v>
      </c>
    </row>
    <row r="440" spans="1:18" x14ac:dyDescent="0.25">
      <c r="A440">
        <f t="shared" si="32"/>
        <v>1</v>
      </c>
      <c r="B440" t="str">
        <f t="shared" si="33"/>
        <v/>
      </c>
      <c r="C440">
        <f t="shared" si="35"/>
        <v>1</v>
      </c>
      <c r="D440" s="4"/>
      <c r="E440" t="s">
        <v>18</v>
      </c>
      <c r="F440" t="str">
        <f>INDEX(Establishment!B$2:B$1005,MATCH($E440,Establishment!$A$2:$A$1005,0))</f>
        <v xml:space="preserve"> </v>
      </c>
      <c r="G440" t="str">
        <f>INDEX(Establishment!C$2:C$1005,MATCH($E440,Establishment!$A$2:$A$1005,0))</f>
        <v xml:space="preserve"> </v>
      </c>
      <c r="M440">
        <f t="shared" si="36"/>
        <v>0</v>
      </c>
      <c r="N440">
        <f t="shared" si="34"/>
        <v>0</v>
      </c>
      <c r="P440" t="e">
        <f>INDEX(Items!B$2:B$1032,MATCH($O440,Items!$A$2:$A$1032,0))</f>
        <v>#N/A</v>
      </c>
      <c r="Q440" t="e">
        <f>INDEX(Items!C$2:C$1032,MATCH($O440,Items!$A$2:$A$1032,0))</f>
        <v>#N/A</v>
      </c>
      <c r="R440" t="e">
        <f>INDEX(Items!D$2:D$1032,MATCH($O440,Items!$A$2:$A$1032,0))</f>
        <v>#N/A</v>
      </c>
    </row>
    <row r="441" spans="1:18" x14ac:dyDescent="0.25">
      <c r="A441">
        <f t="shared" si="32"/>
        <v>1</v>
      </c>
      <c r="B441" t="str">
        <f t="shared" si="33"/>
        <v/>
      </c>
      <c r="C441">
        <f t="shared" si="35"/>
        <v>1</v>
      </c>
      <c r="D441" s="4"/>
      <c r="E441" t="s">
        <v>18</v>
      </c>
      <c r="F441" t="str">
        <f>INDEX(Establishment!B$2:B$1005,MATCH($E441,Establishment!$A$2:$A$1005,0))</f>
        <v xml:space="preserve"> </v>
      </c>
      <c r="G441" t="str">
        <f>INDEX(Establishment!C$2:C$1005,MATCH($E441,Establishment!$A$2:$A$1005,0))</f>
        <v xml:space="preserve"> </v>
      </c>
      <c r="M441">
        <f t="shared" si="36"/>
        <v>0</v>
      </c>
      <c r="N441">
        <f t="shared" si="34"/>
        <v>0</v>
      </c>
      <c r="P441" t="e">
        <f>INDEX(Items!B$2:B$1032,MATCH($O441,Items!$A$2:$A$1032,0))</f>
        <v>#N/A</v>
      </c>
      <c r="Q441" t="e">
        <f>INDEX(Items!C$2:C$1032,MATCH($O441,Items!$A$2:$A$1032,0))</f>
        <v>#N/A</v>
      </c>
      <c r="R441" t="e">
        <f>INDEX(Items!D$2:D$1032,MATCH($O441,Items!$A$2:$A$1032,0))</f>
        <v>#N/A</v>
      </c>
    </row>
    <row r="442" spans="1:18" x14ac:dyDescent="0.25">
      <c r="A442">
        <f t="shared" si="32"/>
        <v>1</v>
      </c>
      <c r="B442" t="str">
        <f t="shared" si="33"/>
        <v/>
      </c>
      <c r="C442">
        <f t="shared" si="35"/>
        <v>1</v>
      </c>
      <c r="D442" s="4"/>
      <c r="E442" t="s">
        <v>18</v>
      </c>
      <c r="F442" t="str">
        <f>INDEX(Establishment!B$2:B$1005,MATCH($E442,Establishment!$A$2:$A$1005,0))</f>
        <v xml:space="preserve"> </v>
      </c>
      <c r="G442" t="str">
        <f>INDEX(Establishment!C$2:C$1005,MATCH($E442,Establishment!$A$2:$A$1005,0))</f>
        <v xml:space="preserve"> </v>
      </c>
      <c r="M442">
        <f t="shared" si="36"/>
        <v>0</v>
      </c>
      <c r="N442">
        <f t="shared" si="34"/>
        <v>0</v>
      </c>
      <c r="P442" t="e">
        <f>INDEX(Items!B$2:B$1032,MATCH($O442,Items!$A$2:$A$1032,0))</f>
        <v>#N/A</v>
      </c>
      <c r="Q442" t="e">
        <f>INDEX(Items!C$2:C$1032,MATCH($O442,Items!$A$2:$A$1032,0))</f>
        <v>#N/A</v>
      </c>
      <c r="R442" t="e">
        <f>INDEX(Items!D$2:D$1032,MATCH($O442,Items!$A$2:$A$1032,0))</f>
        <v>#N/A</v>
      </c>
    </row>
    <row r="443" spans="1:18" x14ac:dyDescent="0.25">
      <c r="A443">
        <f t="shared" si="32"/>
        <v>1</v>
      </c>
      <c r="B443" t="str">
        <f t="shared" si="33"/>
        <v/>
      </c>
      <c r="C443">
        <f t="shared" si="35"/>
        <v>1</v>
      </c>
      <c r="D443" s="4"/>
      <c r="E443" t="s">
        <v>18</v>
      </c>
      <c r="F443" t="str">
        <f>INDEX(Establishment!B$2:B$1005,MATCH($E443,Establishment!$A$2:$A$1005,0))</f>
        <v xml:space="preserve"> </v>
      </c>
      <c r="G443" t="str">
        <f>INDEX(Establishment!C$2:C$1005,MATCH($E443,Establishment!$A$2:$A$1005,0))</f>
        <v xml:space="preserve"> </v>
      </c>
      <c r="M443">
        <f t="shared" si="36"/>
        <v>0</v>
      </c>
      <c r="N443">
        <f t="shared" si="34"/>
        <v>0</v>
      </c>
      <c r="P443" t="e">
        <f>INDEX(Items!B$2:B$1032,MATCH($O443,Items!$A$2:$A$1032,0))</f>
        <v>#N/A</v>
      </c>
      <c r="Q443" t="e">
        <f>INDEX(Items!C$2:C$1032,MATCH($O443,Items!$A$2:$A$1032,0))</f>
        <v>#N/A</v>
      </c>
      <c r="R443" t="e">
        <f>INDEX(Items!D$2:D$1032,MATCH($O443,Items!$A$2:$A$1032,0))</f>
        <v>#N/A</v>
      </c>
    </row>
    <row r="444" spans="1:18" x14ac:dyDescent="0.25">
      <c r="A444">
        <f t="shared" si="32"/>
        <v>1</v>
      </c>
      <c r="B444" t="str">
        <f t="shared" si="33"/>
        <v/>
      </c>
      <c r="C444">
        <f t="shared" si="35"/>
        <v>1</v>
      </c>
      <c r="D444" s="4"/>
      <c r="E444" t="s">
        <v>18</v>
      </c>
      <c r="F444" t="str">
        <f>INDEX(Establishment!B$2:B$1005,MATCH($E444,Establishment!$A$2:$A$1005,0))</f>
        <v xml:space="preserve"> </v>
      </c>
      <c r="G444" t="str">
        <f>INDEX(Establishment!C$2:C$1005,MATCH($E444,Establishment!$A$2:$A$1005,0))</f>
        <v xml:space="preserve"> </v>
      </c>
      <c r="M444">
        <f t="shared" si="36"/>
        <v>0</v>
      </c>
      <c r="N444">
        <f t="shared" si="34"/>
        <v>0</v>
      </c>
      <c r="P444" t="e">
        <f>INDEX(Items!B$2:B$1032,MATCH($O444,Items!$A$2:$A$1032,0))</f>
        <v>#N/A</v>
      </c>
      <c r="Q444" t="e">
        <f>INDEX(Items!C$2:C$1032,MATCH($O444,Items!$A$2:$A$1032,0))</f>
        <v>#N/A</v>
      </c>
      <c r="R444" t="e">
        <f>INDEX(Items!D$2:D$1032,MATCH($O444,Items!$A$2:$A$1032,0))</f>
        <v>#N/A</v>
      </c>
    </row>
    <row r="445" spans="1:18" x14ac:dyDescent="0.25">
      <c r="A445">
        <f t="shared" si="32"/>
        <v>1</v>
      </c>
      <c r="B445" t="str">
        <f t="shared" si="33"/>
        <v/>
      </c>
      <c r="C445">
        <f t="shared" si="35"/>
        <v>1</v>
      </c>
      <c r="D445" s="4"/>
      <c r="E445" t="s">
        <v>18</v>
      </c>
      <c r="F445" t="str">
        <f>INDEX(Establishment!B$2:B$1005,MATCH($E445,Establishment!$A$2:$A$1005,0))</f>
        <v xml:space="preserve"> </v>
      </c>
      <c r="G445" t="str">
        <f>INDEX(Establishment!C$2:C$1005,MATCH($E445,Establishment!$A$2:$A$1005,0))</f>
        <v xml:space="preserve"> </v>
      </c>
      <c r="M445">
        <f t="shared" si="36"/>
        <v>0</v>
      </c>
      <c r="N445">
        <f t="shared" si="34"/>
        <v>0</v>
      </c>
      <c r="P445" t="e">
        <f>INDEX(Items!B$2:B$1032,MATCH($O445,Items!$A$2:$A$1032,0))</f>
        <v>#N/A</v>
      </c>
      <c r="Q445" t="e">
        <f>INDEX(Items!C$2:C$1032,MATCH($O445,Items!$A$2:$A$1032,0))</f>
        <v>#N/A</v>
      </c>
      <c r="R445" t="e">
        <f>INDEX(Items!D$2:D$1032,MATCH($O445,Items!$A$2:$A$1032,0))</f>
        <v>#N/A</v>
      </c>
    </row>
    <row r="446" spans="1:18" x14ac:dyDescent="0.25">
      <c r="A446">
        <f t="shared" si="32"/>
        <v>1</v>
      </c>
      <c r="B446" t="str">
        <f t="shared" si="33"/>
        <v/>
      </c>
      <c r="C446">
        <f t="shared" si="35"/>
        <v>1</v>
      </c>
      <c r="D446" s="4"/>
      <c r="E446" t="s">
        <v>18</v>
      </c>
      <c r="F446" t="str">
        <f>INDEX(Establishment!B$2:B$1005,MATCH($E446,Establishment!$A$2:$A$1005,0))</f>
        <v xml:space="preserve"> </v>
      </c>
      <c r="G446" t="str">
        <f>INDEX(Establishment!C$2:C$1005,MATCH($E446,Establishment!$A$2:$A$1005,0))</f>
        <v xml:space="preserve"> </v>
      </c>
      <c r="M446">
        <f t="shared" si="36"/>
        <v>0</v>
      </c>
      <c r="N446">
        <f t="shared" si="34"/>
        <v>0</v>
      </c>
      <c r="P446" t="e">
        <f>INDEX(Items!B$2:B$1032,MATCH($O446,Items!$A$2:$A$1032,0))</f>
        <v>#N/A</v>
      </c>
      <c r="Q446" t="e">
        <f>INDEX(Items!C$2:C$1032,MATCH($O446,Items!$A$2:$A$1032,0))</f>
        <v>#N/A</v>
      </c>
      <c r="R446" t="e">
        <f>INDEX(Items!D$2:D$1032,MATCH($O446,Items!$A$2:$A$1032,0))</f>
        <v>#N/A</v>
      </c>
    </row>
    <row r="447" spans="1:18" x14ac:dyDescent="0.25">
      <c r="A447">
        <f t="shared" si="32"/>
        <v>1</v>
      </c>
      <c r="B447" t="str">
        <f t="shared" si="33"/>
        <v/>
      </c>
      <c r="C447">
        <f t="shared" si="35"/>
        <v>1</v>
      </c>
      <c r="D447" s="4"/>
      <c r="E447" t="s">
        <v>18</v>
      </c>
      <c r="F447" t="str">
        <f>INDEX(Establishment!B$2:B$1005,MATCH($E447,Establishment!$A$2:$A$1005,0))</f>
        <v xml:space="preserve"> </v>
      </c>
      <c r="G447" t="str">
        <f>INDEX(Establishment!C$2:C$1005,MATCH($E447,Establishment!$A$2:$A$1005,0))</f>
        <v xml:space="preserve"> </v>
      </c>
      <c r="M447">
        <f t="shared" si="36"/>
        <v>0</v>
      </c>
      <c r="N447">
        <f t="shared" si="34"/>
        <v>0</v>
      </c>
      <c r="P447" t="e">
        <f>INDEX(Items!B$2:B$1032,MATCH($O447,Items!$A$2:$A$1032,0))</f>
        <v>#N/A</v>
      </c>
      <c r="Q447" t="e">
        <f>INDEX(Items!C$2:C$1032,MATCH($O447,Items!$A$2:$A$1032,0))</f>
        <v>#N/A</v>
      </c>
      <c r="R447" t="e">
        <f>INDEX(Items!D$2:D$1032,MATCH($O447,Items!$A$2:$A$1032,0))</f>
        <v>#N/A</v>
      </c>
    </row>
    <row r="448" spans="1:18" x14ac:dyDescent="0.25">
      <c r="A448">
        <f t="shared" si="32"/>
        <v>1</v>
      </c>
      <c r="B448" t="str">
        <f t="shared" si="33"/>
        <v/>
      </c>
      <c r="C448">
        <f t="shared" si="35"/>
        <v>1</v>
      </c>
      <c r="D448" s="4"/>
      <c r="E448" t="s">
        <v>18</v>
      </c>
      <c r="F448" t="str">
        <f>INDEX(Establishment!B$2:B$1005,MATCH($E448,Establishment!$A$2:$A$1005,0))</f>
        <v xml:space="preserve"> </v>
      </c>
      <c r="G448" t="str">
        <f>INDEX(Establishment!C$2:C$1005,MATCH($E448,Establishment!$A$2:$A$1005,0))</f>
        <v xml:space="preserve"> </v>
      </c>
      <c r="M448">
        <f t="shared" si="36"/>
        <v>0</v>
      </c>
      <c r="N448">
        <f t="shared" si="34"/>
        <v>0</v>
      </c>
      <c r="P448" t="e">
        <f>INDEX(Items!B$2:B$1032,MATCH($O448,Items!$A$2:$A$1032,0))</f>
        <v>#N/A</v>
      </c>
      <c r="Q448" t="e">
        <f>INDEX(Items!C$2:C$1032,MATCH($O448,Items!$A$2:$A$1032,0))</f>
        <v>#N/A</v>
      </c>
      <c r="R448" t="e">
        <f>INDEX(Items!D$2:D$1032,MATCH($O448,Items!$A$2:$A$1032,0))</f>
        <v>#N/A</v>
      </c>
    </row>
    <row r="449" spans="1:18" x14ac:dyDescent="0.25">
      <c r="A449">
        <f t="shared" si="32"/>
        <v>1</v>
      </c>
      <c r="B449" t="str">
        <f t="shared" si="33"/>
        <v/>
      </c>
      <c r="C449">
        <f t="shared" si="35"/>
        <v>1</v>
      </c>
      <c r="D449" s="4"/>
      <c r="E449" t="s">
        <v>18</v>
      </c>
      <c r="F449" t="str">
        <f>INDEX(Establishment!B$2:B$1005,MATCH($E449,Establishment!$A$2:$A$1005,0))</f>
        <v xml:space="preserve"> </v>
      </c>
      <c r="G449" t="str">
        <f>INDEX(Establishment!C$2:C$1005,MATCH($E449,Establishment!$A$2:$A$1005,0))</f>
        <v xml:space="preserve"> </v>
      </c>
      <c r="M449">
        <f t="shared" si="36"/>
        <v>0</v>
      </c>
      <c r="N449">
        <f t="shared" si="34"/>
        <v>0</v>
      </c>
      <c r="P449" t="e">
        <f>INDEX(Items!B$2:B$1032,MATCH($O449,Items!$A$2:$A$1032,0))</f>
        <v>#N/A</v>
      </c>
      <c r="Q449" t="e">
        <f>INDEX(Items!C$2:C$1032,MATCH($O449,Items!$A$2:$A$1032,0))</f>
        <v>#N/A</v>
      </c>
      <c r="R449" t="e">
        <f>INDEX(Items!D$2:D$1032,MATCH($O449,Items!$A$2:$A$1032,0))</f>
        <v>#N/A</v>
      </c>
    </row>
    <row r="450" spans="1:18" x14ac:dyDescent="0.25">
      <c r="A450">
        <f t="shared" ref="A450:A499" si="37">IF(OR(D450&lt;&gt;D449,D450=""),1,IF(NOT(AND(E450=E449,F450=F449,G450=G449)),A449+1,IF(OR(H450="",AND(H450&lt;&gt;"",H450&lt;&gt;H449,H449&lt;&gt;"")),A449,A449+1)))</f>
        <v>1</v>
      </c>
      <c r="B450" t="str">
        <f t="shared" ref="B450:B499" si="38">IF(D450&lt;&gt;"",TEXT(D450,"YYYYMMDD")&amp;CHAR(64+A450),"")</f>
        <v/>
      </c>
      <c r="C450">
        <f t="shared" si="35"/>
        <v>1</v>
      </c>
      <c r="D450" s="4"/>
      <c r="E450" t="s">
        <v>18</v>
      </c>
      <c r="F450" t="str">
        <f>INDEX(Establishment!B$2:B$1005,MATCH($E450,Establishment!$A$2:$A$1005,0))</f>
        <v xml:space="preserve"> </v>
      </c>
      <c r="G450" t="str">
        <f>INDEX(Establishment!C$2:C$1005,MATCH($E450,Establishment!$A$2:$A$1005,0))</f>
        <v xml:space="preserve"> </v>
      </c>
      <c r="M450">
        <f t="shared" si="36"/>
        <v>0</v>
      </c>
      <c r="N450">
        <f t="shared" si="34"/>
        <v>0</v>
      </c>
      <c r="P450" t="e">
        <f>INDEX(Items!B$2:B$1032,MATCH($O450,Items!$A$2:$A$1032,0))</f>
        <v>#N/A</v>
      </c>
      <c r="Q450" t="e">
        <f>INDEX(Items!C$2:C$1032,MATCH($O450,Items!$A$2:$A$1032,0))</f>
        <v>#N/A</v>
      </c>
      <c r="R450" t="e">
        <f>INDEX(Items!D$2:D$1032,MATCH($O450,Items!$A$2:$A$1032,0))</f>
        <v>#N/A</v>
      </c>
    </row>
    <row r="451" spans="1:18" x14ac:dyDescent="0.25">
      <c r="A451">
        <f t="shared" si="37"/>
        <v>1</v>
      </c>
      <c r="B451" t="str">
        <f t="shared" si="38"/>
        <v/>
      </c>
      <c r="C451">
        <f t="shared" si="35"/>
        <v>1</v>
      </c>
      <c r="D451" s="4"/>
      <c r="E451" t="s">
        <v>18</v>
      </c>
      <c r="F451" t="str">
        <f>INDEX(Establishment!B$2:B$1005,MATCH($E451,Establishment!$A$2:$A$1005,0))</f>
        <v xml:space="preserve"> </v>
      </c>
      <c r="G451" t="str">
        <f>INDEX(Establishment!C$2:C$1005,MATCH($E451,Establishment!$A$2:$A$1005,0))</f>
        <v xml:space="preserve"> </v>
      </c>
      <c r="M451">
        <f t="shared" si="36"/>
        <v>0</v>
      </c>
      <c r="N451">
        <f t="shared" ref="N451:N499" si="39">IF(B451=B450,N450+M451,M451)</f>
        <v>0</v>
      </c>
      <c r="P451" t="e">
        <f>INDEX(Items!B$2:B$1032,MATCH($O451,Items!$A$2:$A$1032,0))</f>
        <v>#N/A</v>
      </c>
      <c r="Q451" t="e">
        <f>INDEX(Items!C$2:C$1032,MATCH($O451,Items!$A$2:$A$1032,0))</f>
        <v>#N/A</v>
      </c>
      <c r="R451" t="e">
        <f>INDEX(Items!D$2:D$1032,MATCH($O451,Items!$A$2:$A$1032,0))</f>
        <v>#N/A</v>
      </c>
    </row>
    <row r="452" spans="1:18" x14ac:dyDescent="0.25">
      <c r="A452">
        <f t="shared" si="37"/>
        <v>1</v>
      </c>
      <c r="B452" t="str">
        <f t="shared" si="38"/>
        <v/>
      </c>
      <c r="C452">
        <f t="shared" si="35"/>
        <v>1</v>
      </c>
      <c r="D452" s="4"/>
      <c r="E452" t="s">
        <v>18</v>
      </c>
      <c r="F452" t="str">
        <f>INDEX(Establishment!B$2:B$1005,MATCH($E452,Establishment!$A$2:$A$1005,0))</f>
        <v xml:space="preserve"> </v>
      </c>
      <c r="G452" t="str">
        <f>INDEX(Establishment!C$2:C$1005,MATCH($E452,Establishment!$A$2:$A$1005,0))</f>
        <v xml:space="preserve"> </v>
      </c>
      <c r="M452">
        <f t="shared" si="36"/>
        <v>0</v>
      </c>
      <c r="N452">
        <f t="shared" si="39"/>
        <v>0</v>
      </c>
      <c r="P452" t="e">
        <f>INDEX(Items!B$2:B$1032,MATCH($O452,Items!$A$2:$A$1032,0))</f>
        <v>#N/A</v>
      </c>
      <c r="Q452" t="e">
        <f>INDEX(Items!C$2:C$1032,MATCH($O452,Items!$A$2:$A$1032,0))</f>
        <v>#N/A</v>
      </c>
      <c r="R452" t="e">
        <f>INDEX(Items!D$2:D$1032,MATCH($O452,Items!$A$2:$A$1032,0))</f>
        <v>#N/A</v>
      </c>
    </row>
    <row r="453" spans="1:18" x14ac:dyDescent="0.25">
      <c r="A453">
        <f t="shared" si="37"/>
        <v>1</v>
      </c>
      <c r="B453" t="str">
        <f t="shared" si="38"/>
        <v/>
      </c>
      <c r="C453">
        <f t="shared" si="35"/>
        <v>1</v>
      </c>
      <c r="D453" s="4"/>
      <c r="E453" t="s">
        <v>18</v>
      </c>
      <c r="F453" t="str">
        <f>INDEX(Establishment!B$2:B$1005,MATCH($E453,Establishment!$A$2:$A$1005,0))</f>
        <v xml:space="preserve"> </v>
      </c>
      <c r="G453" t="str">
        <f>INDEX(Establishment!C$2:C$1005,MATCH($E453,Establishment!$A$2:$A$1005,0))</f>
        <v xml:space="preserve"> </v>
      </c>
      <c r="M453">
        <f t="shared" si="36"/>
        <v>0</v>
      </c>
      <c r="N453">
        <f t="shared" si="39"/>
        <v>0</v>
      </c>
      <c r="P453" t="e">
        <f>INDEX(Items!B$2:B$1032,MATCH($O453,Items!$A$2:$A$1032,0))</f>
        <v>#N/A</v>
      </c>
      <c r="Q453" t="e">
        <f>INDEX(Items!C$2:C$1032,MATCH($O453,Items!$A$2:$A$1032,0))</f>
        <v>#N/A</v>
      </c>
      <c r="R453" t="e">
        <f>INDEX(Items!D$2:D$1032,MATCH($O453,Items!$A$2:$A$1032,0))</f>
        <v>#N/A</v>
      </c>
    </row>
    <row r="454" spans="1:18" x14ac:dyDescent="0.25">
      <c r="A454">
        <f t="shared" si="37"/>
        <v>1</v>
      </c>
      <c r="B454" t="str">
        <f t="shared" si="38"/>
        <v/>
      </c>
      <c r="C454">
        <f t="shared" si="35"/>
        <v>1</v>
      </c>
      <c r="D454" s="4"/>
      <c r="E454" t="s">
        <v>18</v>
      </c>
      <c r="F454" t="str">
        <f>INDEX(Establishment!B$2:B$1005,MATCH($E454,Establishment!$A$2:$A$1005,0))</f>
        <v xml:space="preserve"> </v>
      </c>
      <c r="G454" t="str">
        <f>INDEX(Establishment!C$2:C$1005,MATCH($E454,Establishment!$A$2:$A$1005,0))</f>
        <v xml:space="preserve"> </v>
      </c>
      <c r="M454">
        <f t="shared" si="36"/>
        <v>0</v>
      </c>
      <c r="N454">
        <f t="shared" si="39"/>
        <v>0</v>
      </c>
      <c r="P454" t="e">
        <f>INDEX(Items!B$2:B$1032,MATCH($O454,Items!$A$2:$A$1032,0))</f>
        <v>#N/A</v>
      </c>
      <c r="Q454" t="e">
        <f>INDEX(Items!C$2:C$1032,MATCH($O454,Items!$A$2:$A$1032,0))</f>
        <v>#N/A</v>
      </c>
      <c r="R454" t="e">
        <f>INDEX(Items!D$2:D$1032,MATCH($O454,Items!$A$2:$A$1032,0))</f>
        <v>#N/A</v>
      </c>
    </row>
    <row r="455" spans="1:18" x14ac:dyDescent="0.25">
      <c r="A455">
        <f t="shared" si="37"/>
        <v>1</v>
      </c>
      <c r="B455" t="str">
        <f t="shared" si="38"/>
        <v/>
      </c>
      <c r="C455">
        <f t="shared" si="35"/>
        <v>1</v>
      </c>
      <c r="D455" s="4"/>
      <c r="E455" t="s">
        <v>18</v>
      </c>
      <c r="F455" t="str">
        <f>INDEX(Establishment!B$2:B$1005,MATCH($E455,Establishment!$A$2:$A$1005,0))</f>
        <v xml:space="preserve"> </v>
      </c>
      <c r="G455" t="str">
        <f>INDEX(Establishment!C$2:C$1005,MATCH($E455,Establishment!$A$2:$A$1005,0))</f>
        <v xml:space="preserve"> </v>
      </c>
      <c r="M455">
        <f t="shared" si="36"/>
        <v>0</v>
      </c>
      <c r="N455">
        <f t="shared" si="39"/>
        <v>0</v>
      </c>
      <c r="P455" t="e">
        <f>INDEX(Items!B$2:B$1032,MATCH($O455,Items!$A$2:$A$1032,0))</f>
        <v>#N/A</v>
      </c>
      <c r="Q455" t="e">
        <f>INDEX(Items!C$2:C$1032,MATCH($O455,Items!$A$2:$A$1032,0))</f>
        <v>#N/A</v>
      </c>
      <c r="R455" t="e">
        <f>INDEX(Items!D$2:D$1032,MATCH($O455,Items!$A$2:$A$1032,0))</f>
        <v>#N/A</v>
      </c>
    </row>
    <row r="456" spans="1:18" x14ac:dyDescent="0.25">
      <c r="A456">
        <f t="shared" si="37"/>
        <v>1</v>
      </c>
      <c r="B456" t="str">
        <f t="shared" si="38"/>
        <v/>
      </c>
      <c r="C456">
        <f t="shared" si="35"/>
        <v>1</v>
      </c>
      <c r="D456" s="4"/>
      <c r="E456" t="s">
        <v>18</v>
      </c>
      <c r="F456" t="str">
        <f>INDEX(Establishment!B$2:B$1005,MATCH($E456,Establishment!$A$2:$A$1005,0))</f>
        <v xml:space="preserve"> </v>
      </c>
      <c r="G456" t="str">
        <f>INDEX(Establishment!C$2:C$1005,MATCH($E456,Establishment!$A$2:$A$1005,0))</f>
        <v xml:space="preserve"> </v>
      </c>
      <c r="M456">
        <f t="shared" si="36"/>
        <v>0</v>
      </c>
      <c r="N456">
        <f t="shared" si="39"/>
        <v>0</v>
      </c>
      <c r="P456" t="e">
        <f>INDEX(Items!B$2:B$1032,MATCH($O456,Items!$A$2:$A$1032,0))</f>
        <v>#N/A</v>
      </c>
      <c r="Q456" t="e">
        <f>INDEX(Items!C$2:C$1032,MATCH($O456,Items!$A$2:$A$1032,0))</f>
        <v>#N/A</v>
      </c>
      <c r="R456" t="e">
        <f>INDEX(Items!D$2:D$1032,MATCH($O456,Items!$A$2:$A$1032,0))</f>
        <v>#N/A</v>
      </c>
    </row>
    <row r="457" spans="1:18" x14ac:dyDescent="0.25">
      <c r="A457">
        <f t="shared" si="37"/>
        <v>1</v>
      </c>
      <c r="B457" t="str">
        <f t="shared" si="38"/>
        <v/>
      </c>
      <c r="C457">
        <f t="shared" si="35"/>
        <v>1</v>
      </c>
      <c r="D457" s="4"/>
      <c r="E457" t="s">
        <v>18</v>
      </c>
      <c r="F457" t="str">
        <f>INDEX(Establishment!B$2:B$1005,MATCH($E457,Establishment!$A$2:$A$1005,0))</f>
        <v xml:space="preserve"> </v>
      </c>
      <c r="G457" t="str">
        <f>INDEX(Establishment!C$2:C$1005,MATCH($E457,Establishment!$A$2:$A$1005,0))</f>
        <v xml:space="preserve"> </v>
      </c>
      <c r="M457">
        <f t="shared" si="36"/>
        <v>0</v>
      </c>
      <c r="N457">
        <f t="shared" si="39"/>
        <v>0</v>
      </c>
      <c r="P457" t="e">
        <f>INDEX(Items!B$2:B$1032,MATCH($O457,Items!$A$2:$A$1032,0))</f>
        <v>#N/A</v>
      </c>
      <c r="Q457" t="e">
        <f>INDEX(Items!C$2:C$1032,MATCH($O457,Items!$A$2:$A$1032,0))</f>
        <v>#N/A</v>
      </c>
      <c r="R457" t="e">
        <f>INDEX(Items!D$2:D$1032,MATCH($O457,Items!$A$2:$A$1032,0))</f>
        <v>#N/A</v>
      </c>
    </row>
    <row r="458" spans="1:18" x14ac:dyDescent="0.25">
      <c r="A458">
        <f t="shared" si="37"/>
        <v>1</v>
      </c>
      <c r="B458" t="str">
        <f t="shared" si="38"/>
        <v/>
      </c>
      <c r="C458">
        <f t="shared" ref="C458:C499" si="40">IF(OR(B458="",B458&lt;&gt;B457),1,C457+1)</f>
        <v>1</v>
      </c>
      <c r="D458" s="4"/>
      <c r="E458" t="s">
        <v>18</v>
      </c>
      <c r="F458" t="str">
        <f>INDEX(Establishment!B$2:B$1005,MATCH($E458,Establishment!$A$2:$A$1005,0))</f>
        <v xml:space="preserve"> </v>
      </c>
      <c r="G458" t="str">
        <f>INDEX(Establishment!C$2:C$1005,MATCH($E458,Establishment!$A$2:$A$1005,0))</f>
        <v xml:space="preserve"> </v>
      </c>
      <c r="M458">
        <f t="shared" ref="M458:M499" si="41">K458*L458</f>
        <v>0</v>
      </c>
      <c r="N458">
        <f t="shared" si="39"/>
        <v>0</v>
      </c>
      <c r="P458" t="e">
        <f>INDEX(Items!B$2:B$1032,MATCH($O458,Items!$A$2:$A$1032,0))</f>
        <v>#N/A</v>
      </c>
      <c r="Q458" t="e">
        <f>INDEX(Items!C$2:C$1032,MATCH($O458,Items!$A$2:$A$1032,0))</f>
        <v>#N/A</v>
      </c>
      <c r="R458" t="e">
        <f>INDEX(Items!D$2:D$1032,MATCH($O458,Items!$A$2:$A$1032,0))</f>
        <v>#N/A</v>
      </c>
    </row>
    <row r="459" spans="1:18" x14ac:dyDescent="0.25">
      <c r="A459">
        <f t="shared" si="37"/>
        <v>1</v>
      </c>
      <c r="B459" t="str">
        <f t="shared" si="38"/>
        <v/>
      </c>
      <c r="C459">
        <f t="shared" si="40"/>
        <v>1</v>
      </c>
      <c r="D459" s="4"/>
      <c r="E459" t="s">
        <v>18</v>
      </c>
      <c r="F459" t="str">
        <f>INDEX(Establishment!B$2:B$1005,MATCH($E459,Establishment!$A$2:$A$1005,0))</f>
        <v xml:space="preserve"> </v>
      </c>
      <c r="G459" t="str">
        <f>INDEX(Establishment!C$2:C$1005,MATCH($E459,Establishment!$A$2:$A$1005,0))</f>
        <v xml:space="preserve"> </v>
      </c>
      <c r="M459">
        <f t="shared" si="41"/>
        <v>0</v>
      </c>
      <c r="N459">
        <f t="shared" si="39"/>
        <v>0</v>
      </c>
      <c r="P459" t="e">
        <f>INDEX(Items!B$2:B$1032,MATCH($O459,Items!$A$2:$A$1032,0))</f>
        <v>#N/A</v>
      </c>
      <c r="Q459" t="e">
        <f>INDEX(Items!C$2:C$1032,MATCH($O459,Items!$A$2:$A$1032,0))</f>
        <v>#N/A</v>
      </c>
      <c r="R459" t="e">
        <f>INDEX(Items!D$2:D$1032,MATCH($O459,Items!$A$2:$A$1032,0))</f>
        <v>#N/A</v>
      </c>
    </row>
    <row r="460" spans="1:18" x14ac:dyDescent="0.25">
      <c r="A460">
        <f t="shared" si="37"/>
        <v>1</v>
      </c>
      <c r="B460" t="str">
        <f t="shared" si="38"/>
        <v/>
      </c>
      <c r="C460">
        <f t="shared" si="40"/>
        <v>1</v>
      </c>
      <c r="D460" s="4"/>
      <c r="E460" t="s">
        <v>18</v>
      </c>
      <c r="F460" t="str">
        <f>INDEX(Establishment!B$2:B$1005,MATCH($E460,Establishment!$A$2:$A$1005,0))</f>
        <v xml:space="preserve"> </v>
      </c>
      <c r="G460" t="str">
        <f>INDEX(Establishment!C$2:C$1005,MATCH($E460,Establishment!$A$2:$A$1005,0))</f>
        <v xml:space="preserve"> </v>
      </c>
      <c r="M460">
        <f t="shared" si="41"/>
        <v>0</v>
      </c>
      <c r="N460">
        <f t="shared" si="39"/>
        <v>0</v>
      </c>
      <c r="P460" t="e">
        <f>INDEX(Items!B$2:B$1032,MATCH($O460,Items!$A$2:$A$1032,0))</f>
        <v>#N/A</v>
      </c>
      <c r="Q460" t="e">
        <f>INDEX(Items!C$2:C$1032,MATCH($O460,Items!$A$2:$A$1032,0))</f>
        <v>#N/A</v>
      </c>
      <c r="R460" t="e">
        <f>INDEX(Items!D$2:D$1032,MATCH($O460,Items!$A$2:$A$1032,0))</f>
        <v>#N/A</v>
      </c>
    </row>
    <row r="461" spans="1:18" x14ac:dyDescent="0.25">
      <c r="A461">
        <f t="shared" si="37"/>
        <v>1</v>
      </c>
      <c r="B461" t="str">
        <f t="shared" si="38"/>
        <v/>
      </c>
      <c r="C461">
        <f t="shared" si="40"/>
        <v>1</v>
      </c>
      <c r="D461" s="4"/>
      <c r="E461" t="s">
        <v>18</v>
      </c>
      <c r="F461" t="str">
        <f>INDEX(Establishment!B$2:B$1005,MATCH($E461,Establishment!$A$2:$A$1005,0))</f>
        <v xml:space="preserve"> </v>
      </c>
      <c r="G461" t="str">
        <f>INDEX(Establishment!C$2:C$1005,MATCH($E461,Establishment!$A$2:$A$1005,0))</f>
        <v xml:space="preserve"> </v>
      </c>
      <c r="M461">
        <f t="shared" si="41"/>
        <v>0</v>
      </c>
      <c r="N461">
        <f t="shared" si="39"/>
        <v>0</v>
      </c>
      <c r="P461" t="e">
        <f>INDEX(Items!B$2:B$1032,MATCH($O461,Items!$A$2:$A$1032,0))</f>
        <v>#N/A</v>
      </c>
      <c r="Q461" t="e">
        <f>INDEX(Items!C$2:C$1032,MATCH($O461,Items!$A$2:$A$1032,0))</f>
        <v>#N/A</v>
      </c>
      <c r="R461" t="e">
        <f>INDEX(Items!D$2:D$1032,MATCH($O461,Items!$A$2:$A$1032,0))</f>
        <v>#N/A</v>
      </c>
    </row>
    <row r="462" spans="1:18" x14ac:dyDescent="0.25">
      <c r="A462">
        <f t="shared" si="37"/>
        <v>1</v>
      </c>
      <c r="B462" t="str">
        <f t="shared" si="38"/>
        <v/>
      </c>
      <c r="C462">
        <f t="shared" si="40"/>
        <v>1</v>
      </c>
      <c r="D462" s="4"/>
      <c r="E462" t="s">
        <v>18</v>
      </c>
      <c r="F462" t="str">
        <f>INDEX(Establishment!B$2:B$1005,MATCH($E462,Establishment!$A$2:$A$1005,0))</f>
        <v xml:space="preserve"> </v>
      </c>
      <c r="G462" t="str">
        <f>INDEX(Establishment!C$2:C$1005,MATCH($E462,Establishment!$A$2:$A$1005,0))</f>
        <v xml:space="preserve"> </v>
      </c>
      <c r="M462">
        <f t="shared" si="41"/>
        <v>0</v>
      </c>
      <c r="N462">
        <f t="shared" si="39"/>
        <v>0</v>
      </c>
      <c r="P462" t="e">
        <f>INDEX(Items!B$2:B$1032,MATCH($O462,Items!$A$2:$A$1032,0))</f>
        <v>#N/A</v>
      </c>
      <c r="Q462" t="e">
        <f>INDEX(Items!C$2:C$1032,MATCH($O462,Items!$A$2:$A$1032,0))</f>
        <v>#N/A</v>
      </c>
      <c r="R462" t="e">
        <f>INDEX(Items!D$2:D$1032,MATCH($O462,Items!$A$2:$A$1032,0))</f>
        <v>#N/A</v>
      </c>
    </row>
    <row r="463" spans="1:18" x14ac:dyDescent="0.25">
      <c r="A463">
        <f t="shared" si="37"/>
        <v>1</v>
      </c>
      <c r="B463" t="str">
        <f t="shared" si="38"/>
        <v/>
      </c>
      <c r="C463">
        <f t="shared" si="40"/>
        <v>1</v>
      </c>
      <c r="D463" s="4"/>
      <c r="E463" t="s">
        <v>18</v>
      </c>
      <c r="F463" t="str">
        <f>INDEX(Establishment!B$2:B$1005,MATCH($E463,Establishment!$A$2:$A$1005,0))</f>
        <v xml:space="preserve"> </v>
      </c>
      <c r="G463" t="str">
        <f>INDEX(Establishment!C$2:C$1005,MATCH($E463,Establishment!$A$2:$A$1005,0))</f>
        <v xml:space="preserve"> </v>
      </c>
      <c r="M463">
        <f t="shared" si="41"/>
        <v>0</v>
      </c>
      <c r="N463">
        <f t="shared" si="39"/>
        <v>0</v>
      </c>
      <c r="P463" t="e">
        <f>INDEX(Items!B$2:B$1032,MATCH($O463,Items!$A$2:$A$1032,0))</f>
        <v>#N/A</v>
      </c>
      <c r="Q463" t="e">
        <f>INDEX(Items!C$2:C$1032,MATCH($O463,Items!$A$2:$A$1032,0))</f>
        <v>#N/A</v>
      </c>
      <c r="R463" t="e">
        <f>INDEX(Items!D$2:D$1032,MATCH($O463,Items!$A$2:$A$1032,0))</f>
        <v>#N/A</v>
      </c>
    </row>
    <row r="464" spans="1:18" x14ac:dyDescent="0.25">
      <c r="A464">
        <f t="shared" si="37"/>
        <v>1</v>
      </c>
      <c r="B464" t="str">
        <f t="shared" si="38"/>
        <v/>
      </c>
      <c r="C464">
        <f t="shared" si="40"/>
        <v>1</v>
      </c>
      <c r="D464" s="4"/>
      <c r="E464" t="s">
        <v>18</v>
      </c>
      <c r="F464" t="str">
        <f>INDEX(Establishment!B$2:B$1005,MATCH($E464,Establishment!$A$2:$A$1005,0))</f>
        <v xml:space="preserve"> </v>
      </c>
      <c r="G464" t="str">
        <f>INDEX(Establishment!C$2:C$1005,MATCH($E464,Establishment!$A$2:$A$1005,0))</f>
        <v xml:space="preserve"> </v>
      </c>
      <c r="M464">
        <f t="shared" si="41"/>
        <v>0</v>
      </c>
      <c r="N464">
        <f t="shared" si="39"/>
        <v>0</v>
      </c>
      <c r="P464" t="e">
        <f>INDEX(Items!B$2:B$1032,MATCH($O464,Items!$A$2:$A$1032,0))</f>
        <v>#N/A</v>
      </c>
      <c r="Q464" t="e">
        <f>INDEX(Items!C$2:C$1032,MATCH($O464,Items!$A$2:$A$1032,0))</f>
        <v>#N/A</v>
      </c>
      <c r="R464" t="e">
        <f>INDEX(Items!D$2:D$1032,MATCH($O464,Items!$A$2:$A$1032,0))</f>
        <v>#N/A</v>
      </c>
    </row>
    <row r="465" spans="1:18" x14ac:dyDescent="0.25">
      <c r="A465">
        <f t="shared" si="37"/>
        <v>1</v>
      </c>
      <c r="B465" t="str">
        <f t="shared" si="38"/>
        <v/>
      </c>
      <c r="C465">
        <f t="shared" si="40"/>
        <v>1</v>
      </c>
      <c r="D465" s="4"/>
      <c r="E465" t="s">
        <v>18</v>
      </c>
      <c r="F465" t="str">
        <f>INDEX(Establishment!B$2:B$1005,MATCH($E465,Establishment!$A$2:$A$1005,0))</f>
        <v xml:space="preserve"> </v>
      </c>
      <c r="G465" t="str">
        <f>INDEX(Establishment!C$2:C$1005,MATCH($E465,Establishment!$A$2:$A$1005,0))</f>
        <v xml:space="preserve"> </v>
      </c>
      <c r="M465">
        <f t="shared" si="41"/>
        <v>0</v>
      </c>
      <c r="N465">
        <f t="shared" si="39"/>
        <v>0</v>
      </c>
      <c r="P465" t="e">
        <f>INDEX(Items!B$2:B$1032,MATCH($O465,Items!$A$2:$A$1032,0))</f>
        <v>#N/A</v>
      </c>
      <c r="Q465" t="e">
        <f>INDEX(Items!C$2:C$1032,MATCH($O465,Items!$A$2:$A$1032,0))</f>
        <v>#N/A</v>
      </c>
      <c r="R465" t="e">
        <f>INDEX(Items!D$2:D$1032,MATCH($O465,Items!$A$2:$A$1032,0))</f>
        <v>#N/A</v>
      </c>
    </row>
    <row r="466" spans="1:18" x14ac:dyDescent="0.25">
      <c r="A466">
        <f t="shared" si="37"/>
        <v>1</v>
      </c>
      <c r="B466" t="str">
        <f t="shared" si="38"/>
        <v/>
      </c>
      <c r="C466">
        <f t="shared" si="40"/>
        <v>1</v>
      </c>
      <c r="D466" s="4"/>
      <c r="E466" t="s">
        <v>18</v>
      </c>
      <c r="F466" t="str">
        <f>INDEX(Establishment!B$2:B$1005,MATCH($E466,Establishment!$A$2:$A$1005,0))</f>
        <v xml:space="preserve"> </v>
      </c>
      <c r="G466" t="str">
        <f>INDEX(Establishment!C$2:C$1005,MATCH($E466,Establishment!$A$2:$A$1005,0))</f>
        <v xml:space="preserve"> </v>
      </c>
      <c r="M466">
        <f t="shared" si="41"/>
        <v>0</v>
      </c>
      <c r="N466">
        <f t="shared" si="39"/>
        <v>0</v>
      </c>
      <c r="P466" t="e">
        <f>INDEX(Items!B$2:B$1032,MATCH($O466,Items!$A$2:$A$1032,0))</f>
        <v>#N/A</v>
      </c>
      <c r="Q466" t="e">
        <f>INDEX(Items!C$2:C$1032,MATCH($O466,Items!$A$2:$A$1032,0))</f>
        <v>#N/A</v>
      </c>
      <c r="R466" t="e">
        <f>INDEX(Items!D$2:D$1032,MATCH($O466,Items!$A$2:$A$1032,0))</f>
        <v>#N/A</v>
      </c>
    </row>
    <row r="467" spans="1:18" x14ac:dyDescent="0.25">
      <c r="A467">
        <f t="shared" si="37"/>
        <v>1</v>
      </c>
      <c r="B467" t="str">
        <f t="shared" si="38"/>
        <v/>
      </c>
      <c r="C467">
        <f t="shared" si="40"/>
        <v>1</v>
      </c>
      <c r="D467" s="4"/>
      <c r="E467" t="s">
        <v>18</v>
      </c>
      <c r="F467" t="str">
        <f>INDEX(Establishment!B$2:B$1005,MATCH($E467,Establishment!$A$2:$A$1005,0))</f>
        <v xml:space="preserve"> </v>
      </c>
      <c r="G467" t="str">
        <f>INDEX(Establishment!C$2:C$1005,MATCH($E467,Establishment!$A$2:$A$1005,0))</f>
        <v xml:space="preserve"> </v>
      </c>
      <c r="M467">
        <f t="shared" si="41"/>
        <v>0</v>
      </c>
      <c r="N467">
        <f t="shared" si="39"/>
        <v>0</v>
      </c>
      <c r="P467" t="e">
        <f>INDEX(Items!B$2:B$1032,MATCH($O467,Items!$A$2:$A$1032,0))</f>
        <v>#N/A</v>
      </c>
      <c r="Q467" t="e">
        <f>INDEX(Items!C$2:C$1032,MATCH($O467,Items!$A$2:$A$1032,0))</f>
        <v>#N/A</v>
      </c>
      <c r="R467" t="e">
        <f>INDEX(Items!D$2:D$1032,MATCH($O467,Items!$A$2:$A$1032,0))</f>
        <v>#N/A</v>
      </c>
    </row>
    <row r="468" spans="1:18" x14ac:dyDescent="0.25">
      <c r="A468">
        <f t="shared" si="37"/>
        <v>1</v>
      </c>
      <c r="B468" t="str">
        <f t="shared" si="38"/>
        <v/>
      </c>
      <c r="C468">
        <f t="shared" si="40"/>
        <v>1</v>
      </c>
      <c r="D468" s="4"/>
      <c r="E468" t="s">
        <v>18</v>
      </c>
      <c r="F468" t="str">
        <f>INDEX(Establishment!B$2:B$1005,MATCH($E468,Establishment!$A$2:$A$1005,0))</f>
        <v xml:space="preserve"> </v>
      </c>
      <c r="G468" t="str">
        <f>INDEX(Establishment!C$2:C$1005,MATCH($E468,Establishment!$A$2:$A$1005,0))</f>
        <v xml:space="preserve"> </v>
      </c>
      <c r="M468">
        <f t="shared" si="41"/>
        <v>0</v>
      </c>
      <c r="N468">
        <f t="shared" si="39"/>
        <v>0</v>
      </c>
      <c r="P468" t="e">
        <f>INDEX(Items!B$2:B$1032,MATCH($O468,Items!$A$2:$A$1032,0))</f>
        <v>#N/A</v>
      </c>
      <c r="Q468" t="e">
        <f>INDEX(Items!C$2:C$1032,MATCH($O468,Items!$A$2:$A$1032,0))</f>
        <v>#N/A</v>
      </c>
      <c r="R468" t="e">
        <f>INDEX(Items!D$2:D$1032,MATCH($O468,Items!$A$2:$A$1032,0))</f>
        <v>#N/A</v>
      </c>
    </row>
    <row r="469" spans="1:18" x14ac:dyDescent="0.25">
      <c r="A469">
        <f t="shared" si="37"/>
        <v>1</v>
      </c>
      <c r="B469" t="str">
        <f t="shared" si="38"/>
        <v/>
      </c>
      <c r="C469">
        <f t="shared" si="40"/>
        <v>1</v>
      </c>
      <c r="D469" s="4"/>
      <c r="E469" t="s">
        <v>18</v>
      </c>
      <c r="F469" t="str">
        <f>INDEX(Establishment!B$2:B$1005,MATCH($E469,Establishment!$A$2:$A$1005,0))</f>
        <v xml:space="preserve"> </v>
      </c>
      <c r="G469" t="str">
        <f>INDEX(Establishment!C$2:C$1005,MATCH($E469,Establishment!$A$2:$A$1005,0))</f>
        <v xml:space="preserve"> </v>
      </c>
      <c r="M469">
        <f t="shared" si="41"/>
        <v>0</v>
      </c>
      <c r="N469">
        <f t="shared" si="39"/>
        <v>0</v>
      </c>
      <c r="P469" t="e">
        <f>INDEX(Items!B$2:B$1032,MATCH($O469,Items!$A$2:$A$1032,0))</f>
        <v>#N/A</v>
      </c>
      <c r="Q469" t="e">
        <f>INDEX(Items!C$2:C$1032,MATCH($O469,Items!$A$2:$A$1032,0))</f>
        <v>#N/A</v>
      </c>
      <c r="R469" t="e">
        <f>INDEX(Items!D$2:D$1032,MATCH($O469,Items!$A$2:$A$1032,0))</f>
        <v>#N/A</v>
      </c>
    </row>
    <row r="470" spans="1:18" x14ac:dyDescent="0.25">
      <c r="A470">
        <f t="shared" si="37"/>
        <v>1</v>
      </c>
      <c r="B470" t="str">
        <f t="shared" si="38"/>
        <v/>
      </c>
      <c r="C470">
        <f t="shared" si="40"/>
        <v>1</v>
      </c>
      <c r="D470" s="4"/>
      <c r="E470" t="s">
        <v>18</v>
      </c>
      <c r="F470" t="str">
        <f>INDEX(Establishment!B$2:B$1005,MATCH($E470,Establishment!$A$2:$A$1005,0))</f>
        <v xml:space="preserve"> </v>
      </c>
      <c r="G470" t="str">
        <f>INDEX(Establishment!C$2:C$1005,MATCH($E470,Establishment!$A$2:$A$1005,0))</f>
        <v xml:space="preserve"> </v>
      </c>
      <c r="M470">
        <f t="shared" si="41"/>
        <v>0</v>
      </c>
      <c r="N470">
        <f t="shared" si="39"/>
        <v>0</v>
      </c>
      <c r="P470" t="e">
        <f>INDEX(Items!B$2:B$1032,MATCH($O470,Items!$A$2:$A$1032,0))</f>
        <v>#N/A</v>
      </c>
      <c r="Q470" t="e">
        <f>INDEX(Items!C$2:C$1032,MATCH($O470,Items!$A$2:$A$1032,0))</f>
        <v>#N/A</v>
      </c>
      <c r="R470" t="e">
        <f>INDEX(Items!D$2:D$1032,MATCH($O470,Items!$A$2:$A$1032,0))</f>
        <v>#N/A</v>
      </c>
    </row>
    <row r="471" spans="1:18" x14ac:dyDescent="0.25">
      <c r="A471">
        <f t="shared" si="37"/>
        <v>1</v>
      </c>
      <c r="B471" t="str">
        <f t="shared" si="38"/>
        <v/>
      </c>
      <c r="C471">
        <f t="shared" si="40"/>
        <v>1</v>
      </c>
      <c r="D471" s="4"/>
      <c r="E471" t="s">
        <v>18</v>
      </c>
      <c r="F471" t="str">
        <f>INDEX(Establishment!B$2:B$1005,MATCH($E471,Establishment!$A$2:$A$1005,0))</f>
        <v xml:space="preserve"> </v>
      </c>
      <c r="G471" t="str">
        <f>INDEX(Establishment!C$2:C$1005,MATCH($E471,Establishment!$A$2:$A$1005,0))</f>
        <v xml:space="preserve"> </v>
      </c>
      <c r="M471">
        <f t="shared" si="41"/>
        <v>0</v>
      </c>
      <c r="N471">
        <f t="shared" si="39"/>
        <v>0</v>
      </c>
      <c r="P471" t="e">
        <f>INDEX(Items!B$2:B$1032,MATCH($O471,Items!$A$2:$A$1032,0))</f>
        <v>#N/A</v>
      </c>
      <c r="Q471" t="e">
        <f>INDEX(Items!C$2:C$1032,MATCH($O471,Items!$A$2:$A$1032,0))</f>
        <v>#N/A</v>
      </c>
      <c r="R471" t="e">
        <f>INDEX(Items!D$2:D$1032,MATCH($O471,Items!$A$2:$A$1032,0))</f>
        <v>#N/A</v>
      </c>
    </row>
    <row r="472" spans="1:18" x14ac:dyDescent="0.25">
      <c r="A472">
        <f t="shared" si="37"/>
        <v>1</v>
      </c>
      <c r="B472" t="str">
        <f t="shared" si="38"/>
        <v/>
      </c>
      <c r="C472">
        <f t="shared" si="40"/>
        <v>1</v>
      </c>
      <c r="D472" s="4"/>
      <c r="E472" t="s">
        <v>18</v>
      </c>
      <c r="F472" t="str">
        <f>INDEX(Establishment!B$2:B$1005,MATCH($E472,Establishment!$A$2:$A$1005,0))</f>
        <v xml:space="preserve"> </v>
      </c>
      <c r="G472" t="str">
        <f>INDEX(Establishment!C$2:C$1005,MATCH($E472,Establishment!$A$2:$A$1005,0))</f>
        <v xml:space="preserve"> </v>
      </c>
      <c r="M472">
        <f t="shared" si="41"/>
        <v>0</v>
      </c>
      <c r="N472">
        <f t="shared" si="39"/>
        <v>0</v>
      </c>
      <c r="P472" t="e">
        <f>INDEX(Items!B$2:B$1032,MATCH($O472,Items!$A$2:$A$1032,0))</f>
        <v>#N/A</v>
      </c>
      <c r="Q472" t="e">
        <f>INDEX(Items!C$2:C$1032,MATCH($O472,Items!$A$2:$A$1032,0))</f>
        <v>#N/A</v>
      </c>
      <c r="R472" t="e">
        <f>INDEX(Items!D$2:D$1032,MATCH($O472,Items!$A$2:$A$1032,0))</f>
        <v>#N/A</v>
      </c>
    </row>
    <row r="473" spans="1:18" x14ac:dyDescent="0.25">
      <c r="A473">
        <f t="shared" si="37"/>
        <v>1</v>
      </c>
      <c r="B473" t="str">
        <f t="shared" si="38"/>
        <v/>
      </c>
      <c r="C473">
        <f t="shared" si="40"/>
        <v>1</v>
      </c>
      <c r="D473" s="4"/>
      <c r="E473" t="s">
        <v>18</v>
      </c>
      <c r="F473" t="str">
        <f>INDEX(Establishment!B$2:B$1005,MATCH($E473,Establishment!$A$2:$A$1005,0))</f>
        <v xml:space="preserve"> </v>
      </c>
      <c r="G473" t="str">
        <f>INDEX(Establishment!C$2:C$1005,MATCH($E473,Establishment!$A$2:$A$1005,0))</f>
        <v xml:space="preserve"> </v>
      </c>
      <c r="M473">
        <f t="shared" si="41"/>
        <v>0</v>
      </c>
      <c r="N473">
        <f t="shared" si="39"/>
        <v>0</v>
      </c>
      <c r="P473" t="e">
        <f>INDEX(Items!B$2:B$1032,MATCH($O473,Items!$A$2:$A$1032,0))</f>
        <v>#N/A</v>
      </c>
      <c r="Q473" t="e">
        <f>INDEX(Items!C$2:C$1032,MATCH($O473,Items!$A$2:$A$1032,0))</f>
        <v>#N/A</v>
      </c>
      <c r="R473" t="e">
        <f>INDEX(Items!D$2:D$1032,MATCH($O473,Items!$A$2:$A$1032,0))</f>
        <v>#N/A</v>
      </c>
    </row>
    <row r="474" spans="1:18" x14ac:dyDescent="0.25">
      <c r="A474">
        <f t="shared" si="37"/>
        <v>1</v>
      </c>
      <c r="B474" t="str">
        <f t="shared" si="38"/>
        <v/>
      </c>
      <c r="C474">
        <f t="shared" si="40"/>
        <v>1</v>
      </c>
      <c r="D474" s="4"/>
      <c r="E474" t="s">
        <v>18</v>
      </c>
      <c r="F474" t="str">
        <f>INDEX(Establishment!B$2:B$1005,MATCH($E474,Establishment!$A$2:$A$1005,0))</f>
        <v xml:space="preserve"> </v>
      </c>
      <c r="G474" t="str">
        <f>INDEX(Establishment!C$2:C$1005,MATCH($E474,Establishment!$A$2:$A$1005,0))</f>
        <v xml:space="preserve"> </v>
      </c>
      <c r="M474">
        <f t="shared" si="41"/>
        <v>0</v>
      </c>
      <c r="N474">
        <f t="shared" si="39"/>
        <v>0</v>
      </c>
      <c r="P474" t="e">
        <f>INDEX(Items!B$2:B$1032,MATCH($O474,Items!$A$2:$A$1032,0))</f>
        <v>#N/A</v>
      </c>
      <c r="Q474" t="e">
        <f>INDEX(Items!C$2:C$1032,MATCH($O474,Items!$A$2:$A$1032,0))</f>
        <v>#N/A</v>
      </c>
      <c r="R474" t="e">
        <f>INDEX(Items!D$2:D$1032,MATCH($O474,Items!$A$2:$A$1032,0))</f>
        <v>#N/A</v>
      </c>
    </row>
    <row r="475" spans="1:18" x14ac:dyDescent="0.25">
      <c r="A475">
        <f t="shared" si="37"/>
        <v>1</v>
      </c>
      <c r="B475" t="str">
        <f t="shared" si="38"/>
        <v/>
      </c>
      <c r="C475">
        <f t="shared" si="40"/>
        <v>1</v>
      </c>
      <c r="D475" s="4"/>
      <c r="E475" t="s">
        <v>18</v>
      </c>
      <c r="F475" t="str">
        <f>INDEX(Establishment!B$2:B$1005,MATCH($E475,Establishment!$A$2:$A$1005,0))</f>
        <v xml:space="preserve"> </v>
      </c>
      <c r="G475" t="str">
        <f>INDEX(Establishment!C$2:C$1005,MATCH($E475,Establishment!$A$2:$A$1005,0))</f>
        <v xml:space="preserve"> </v>
      </c>
      <c r="M475">
        <f t="shared" si="41"/>
        <v>0</v>
      </c>
      <c r="N475">
        <f t="shared" si="39"/>
        <v>0</v>
      </c>
      <c r="P475" t="e">
        <f>INDEX(Items!B$2:B$1032,MATCH($O475,Items!$A$2:$A$1032,0))</f>
        <v>#N/A</v>
      </c>
      <c r="Q475" t="e">
        <f>INDEX(Items!C$2:C$1032,MATCH($O475,Items!$A$2:$A$1032,0))</f>
        <v>#N/A</v>
      </c>
      <c r="R475" t="e">
        <f>INDEX(Items!D$2:D$1032,MATCH($O475,Items!$A$2:$A$1032,0))</f>
        <v>#N/A</v>
      </c>
    </row>
    <row r="476" spans="1:18" x14ac:dyDescent="0.25">
      <c r="A476">
        <f t="shared" si="37"/>
        <v>1</v>
      </c>
      <c r="B476" t="str">
        <f t="shared" si="38"/>
        <v/>
      </c>
      <c r="C476">
        <f t="shared" si="40"/>
        <v>1</v>
      </c>
      <c r="D476" s="4"/>
      <c r="E476" t="s">
        <v>18</v>
      </c>
      <c r="F476" t="str">
        <f>INDEX(Establishment!B$2:B$1005,MATCH($E476,Establishment!$A$2:$A$1005,0))</f>
        <v xml:space="preserve"> </v>
      </c>
      <c r="G476" t="str">
        <f>INDEX(Establishment!C$2:C$1005,MATCH($E476,Establishment!$A$2:$A$1005,0))</f>
        <v xml:space="preserve"> </v>
      </c>
      <c r="M476">
        <f t="shared" si="41"/>
        <v>0</v>
      </c>
      <c r="N476">
        <f t="shared" si="39"/>
        <v>0</v>
      </c>
      <c r="P476" t="e">
        <f>INDEX(Items!B$2:B$1032,MATCH($O476,Items!$A$2:$A$1032,0))</f>
        <v>#N/A</v>
      </c>
      <c r="Q476" t="e">
        <f>INDEX(Items!C$2:C$1032,MATCH($O476,Items!$A$2:$A$1032,0))</f>
        <v>#N/A</v>
      </c>
      <c r="R476" t="e">
        <f>INDEX(Items!D$2:D$1032,MATCH($O476,Items!$A$2:$A$1032,0))</f>
        <v>#N/A</v>
      </c>
    </row>
    <row r="477" spans="1:18" x14ac:dyDescent="0.25">
      <c r="A477">
        <f t="shared" si="37"/>
        <v>1</v>
      </c>
      <c r="B477" t="str">
        <f t="shared" si="38"/>
        <v/>
      </c>
      <c r="C477">
        <f t="shared" si="40"/>
        <v>1</v>
      </c>
      <c r="D477" s="4"/>
      <c r="E477" t="s">
        <v>18</v>
      </c>
      <c r="F477" t="str">
        <f>INDEX(Establishment!B$2:B$1005,MATCH($E477,Establishment!$A$2:$A$1005,0))</f>
        <v xml:space="preserve"> </v>
      </c>
      <c r="G477" t="str">
        <f>INDEX(Establishment!C$2:C$1005,MATCH($E477,Establishment!$A$2:$A$1005,0))</f>
        <v xml:space="preserve"> </v>
      </c>
      <c r="M477">
        <f t="shared" si="41"/>
        <v>0</v>
      </c>
      <c r="N477">
        <f t="shared" si="39"/>
        <v>0</v>
      </c>
      <c r="P477" t="e">
        <f>INDEX(Items!B$2:B$1032,MATCH($O477,Items!$A$2:$A$1032,0))</f>
        <v>#N/A</v>
      </c>
      <c r="Q477" t="e">
        <f>INDEX(Items!C$2:C$1032,MATCH($O477,Items!$A$2:$A$1032,0))</f>
        <v>#N/A</v>
      </c>
      <c r="R477" t="e">
        <f>INDEX(Items!D$2:D$1032,MATCH($O477,Items!$A$2:$A$1032,0))</f>
        <v>#N/A</v>
      </c>
    </row>
    <row r="478" spans="1:18" x14ac:dyDescent="0.25">
      <c r="A478">
        <f t="shared" si="37"/>
        <v>1</v>
      </c>
      <c r="B478" t="str">
        <f t="shared" si="38"/>
        <v/>
      </c>
      <c r="C478">
        <f t="shared" si="40"/>
        <v>1</v>
      </c>
      <c r="D478" s="4"/>
      <c r="E478" t="s">
        <v>18</v>
      </c>
      <c r="F478" t="str">
        <f>INDEX(Establishment!B$2:B$1005,MATCH($E478,Establishment!$A$2:$A$1005,0))</f>
        <v xml:space="preserve"> </v>
      </c>
      <c r="G478" t="str">
        <f>INDEX(Establishment!C$2:C$1005,MATCH($E478,Establishment!$A$2:$A$1005,0))</f>
        <v xml:space="preserve"> </v>
      </c>
      <c r="M478">
        <f t="shared" si="41"/>
        <v>0</v>
      </c>
      <c r="N478">
        <f t="shared" si="39"/>
        <v>0</v>
      </c>
      <c r="P478" t="e">
        <f>INDEX(Items!B$2:B$1032,MATCH($O478,Items!$A$2:$A$1032,0))</f>
        <v>#N/A</v>
      </c>
      <c r="Q478" t="e">
        <f>INDEX(Items!C$2:C$1032,MATCH($O478,Items!$A$2:$A$1032,0))</f>
        <v>#N/A</v>
      </c>
      <c r="R478" t="e">
        <f>INDEX(Items!D$2:D$1032,MATCH($O478,Items!$A$2:$A$1032,0))</f>
        <v>#N/A</v>
      </c>
    </row>
    <row r="479" spans="1:18" x14ac:dyDescent="0.25">
      <c r="A479">
        <f t="shared" si="37"/>
        <v>1</v>
      </c>
      <c r="B479" t="str">
        <f t="shared" si="38"/>
        <v/>
      </c>
      <c r="C479">
        <f t="shared" si="40"/>
        <v>1</v>
      </c>
      <c r="D479" s="4"/>
      <c r="E479" t="s">
        <v>18</v>
      </c>
      <c r="F479" t="str">
        <f>INDEX(Establishment!B$2:B$1005,MATCH($E479,Establishment!$A$2:$A$1005,0))</f>
        <v xml:space="preserve"> </v>
      </c>
      <c r="G479" t="str">
        <f>INDEX(Establishment!C$2:C$1005,MATCH($E479,Establishment!$A$2:$A$1005,0))</f>
        <v xml:space="preserve"> </v>
      </c>
      <c r="M479">
        <f t="shared" si="41"/>
        <v>0</v>
      </c>
      <c r="N479">
        <f t="shared" si="39"/>
        <v>0</v>
      </c>
      <c r="P479" t="e">
        <f>INDEX(Items!B$2:B$1032,MATCH($O479,Items!$A$2:$A$1032,0))</f>
        <v>#N/A</v>
      </c>
      <c r="Q479" t="e">
        <f>INDEX(Items!C$2:C$1032,MATCH($O479,Items!$A$2:$A$1032,0))</f>
        <v>#N/A</v>
      </c>
      <c r="R479" t="e">
        <f>INDEX(Items!D$2:D$1032,MATCH($O479,Items!$A$2:$A$1032,0))</f>
        <v>#N/A</v>
      </c>
    </row>
    <row r="480" spans="1:18" x14ac:dyDescent="0.25">
      <c r="A480">
        <f t="shared" si="37"/>
        <v>1</v>
      </c>
      <c r="B480" t="str">
        <f t="shared" si="38"/>
        <v/>
      </c>
      <c r="C480">
        <f t="shared" si="40"/>
        <v>1</v>
      </c>
      <c r="D480" s="4"/>
      <c r="E480" t="s">
        <v>18</v>
      </c>
      <c r="F480" t="str">
        <f>INDEX(Establishment!B$2:B$1005,MATCH($E480,Establishment!$A$2:$A$1005,0))</f>
        <v xml:space="preserve"> </v>
      </c>
      <c r="G480" t="str">
        <f>INDEX(Establishment!C$2:C$1005,MATCH($E480,Establishment!$A$2:$A$1005,0))</f>
        <v xml:space="preserve"> </v>
      </c>
      <c r="M480">
        <f t="shared" si="41"/>
        <v>0</v>
      </c>
      <c r="N480">
        <f t="shared" si="39"/>
        <v>0</v>
      </c>
      <c r="P480" t="e">
        <f>INDEX(Items!B$2:B$1032,MATCH($O480,Items!$A$2:$A$1032,0))</f>
        <v>#N/A</v>
      </c>
      <c r="Q480" t="e">
        <f>INDEX(Items!C$2:C$1032,MATCH($O480,Items!$A$2:$A$1032,0))</f>
        <v>#N/A</v>
      </c>
      <c r="R480" t="e">
        <f>INDEX(Items!D$2:D$1032,MATCH($O480,Items!$A$2:$A$1032,0))</f>
        <v>#N/A</v>
      </c>
    </row>
    <row r="481" spans="1:18" x14ac:dyDescent="0.25">
      <c r="A481">
        <f t="shared" si="37"/>
        <v>1</v>
      </c>
      <c r="B481" t="str">
        <f t="shared" si="38"/>
        <v/>
      </c>
      <c r="C481">
        <f t="shared" si="40"/>
        <v>1</v>
      </c>
      <c r="D481" s="4"/>
      <c r="E481" t="s">
        <v>18</v>
      </c>
      <c r="F481" t="str">
        <f>INDEX(Establishment!B$2:B$1005,MATCH($E481,Establishment!$A$2:$A$1005,0))</f>
        <v xml:space="preserve"> </v>
      </c>
      <c r="G481" t="str">
        <f>INDEX(Establishment!C$2:C$1005,MATCH($E481,Establishment!$A$2:$A$1005,0))</f>
        <v xml:space="preserve"> </v>
      </c>
      <c r="M481">
        <f t="shared" si="41"/>
        <v>0</v>
      </c>
      <c r="N481">
        <f t="shared" si="39"/>
        <v>0</v>
      </c>
      <c r="P481" t="e">
        <f>INDEX(Items!B$2:B$1032,MATCH($O481,Items!$A$2:$A$1032,0))</f>
        <v>#N/A</v>
      </c>
      <c r="Q481" t="e">
        <f>INDEX(Items!C$2:C$1032,MATCH($O481,Items!$A$2:$A$1032,0))</f>
        <v>#N/A</v>
      </c>
      <c r="R481" t="e">
        <f>INDEX(Items!D$2:D$1032,MATCH($O481,Items!$A$2:$A$1032,0))</f>
        <v>#N/A</v>
      </c>
    </row>
    <row r="482" spans="1:18" x14ac:dyDescent="0.25">
      <c r="A482">
        <f t="shared" si="37"/>
        <v>1</v>
      </c>
      <c r="B482" t="str">
        <f t="shared" si="38"/>
        <v/>
      </c>
      <c r="C482">
        <f t="shared" si="40"/>
        <v>1</v>
      </c>
      <c r="D482" s="4"/>
      <c r="E482" t="s">
        <v>18</v>
      </c>
      <c r="F482" t="str">
        <f>INDEX(Establishment!B$2:B$1005,MATCH($E482,Establishment!$A$2:$A$1005,0))</f>
        <v xml:space="preserve"> </v>
      </c>
      <c r="G482" t="str">
        <f>INDEX(Establishment!C$2:C$1005,MATCH($E482,Establishment!$A$2:$A$1005,0))</f>
        <v xml:space="preserve"> </v>
      </c>
      <c r="M482">
        <f t="shared" si="41"/>
        <v>0</v>
      </c>
      <c r="N482">
        <f t="shared" si="39"/>
        <v>0</v>
      </c>
      <c r="P482" t="e">
        <f>INDEX(Items!B$2:B$1032,MATCH($O482,Items!$A$2:$A$1032,0))</f>
        <v>#N/A</v>
      </c>
      <c r="Q482" t="e">
        <f>INDEX(Items!C$2:C$1032,MATCH($O482,Items!$A$2:$A$1032,0))</f>
        <v>#N/A</v>
      </c>
      <c r="R482" t="e">
        <f>INDEX(Items!D$2:D$1032,MATCH($O482,Items!$A$2:$A$1032,0))</f>
        <v>#N/A</v>
      </c>
    </row>
    <row r="483" spans="1:18" x14ac:dyDescent="0.25">
      <c r="A483">
        <f t="shared" si="37"/>
        <v>1</v>
      </c>
      <c r="B483" t="str">
        <f t="shared" si="38"/>
        <v/>
      </c>
      <c r="C483">
        <f t="shared" si="40"/>
        <v>1</v>
      </c>
      <c r="D483" s="4"/>
      <c r="E483" t="s">
        <v>18</v>
      </c>
      <c r="F483" t="str">
        <f>INDEX(Establishment!B$2:B$1005,MATCH($E483,Establishment!$A$2:$A$1005,0))</f>
        <v xml:space="preserve"> </v>
      </c>
      <c r="G483" t="str">
        <f>INDEX(Establishment!C$2:C$1005,MATCH($E483,Establishment!$A$2:$A$1005,0))</f>
        <v xml:space="preserve"> </v>
      </c>
      <c r="M483">
        <f t="shared" si="41"/>
        <v>0</v>
      </c>
      <c r="N483">
        <f t="shared" si="39"/>
        <v>0</v>
      </c>
      <c r="P483" t="e">
        <f>INDEX(Items!B$2:B$1032,MATCH($O483,Items!$A$2:$A$1032,0))</f>
        <v>#N/A</v>
      </c>
      <c r="Q483" t="e">
        <f>INDEX(Items!C$2:C$1032,MATCH($O483,Items!$A$2:$A$1032,0))</f>
        <v>#N/A</v>
      </c>
      <c r="R483" t="e">
        <f>INDEX(Items!D$2:D$1032,MATCH($O483,Items!$A$2:$A$1032,0))</f>
        <v>#N/A</v>
      </c>
    </row>
    <row r="484" spans="1:18" x14ac:dyDescent="0.25">
      <c r="A484">
        <f t="shared" si="37"/>
        <v>1</v>
      </c>
      <c r="B484" t="str">
        <f t="shared" si="38"/>
        <v/>
      </c>
      <c r="C484">
        <f t="shared" si="40"/>
        <v>1</v>
      </c>
      <c r="D484" s="4"/>
      <c r="E484" t="s">
        <v>18</v>
      </c>
      <c r="F484" t="str">
        <f>INDEX(Establishment!B$2:B$1005,MATCH($E484,Establishment!$A$2:$A$1005,0))</f>
        <v xml:space="preserve"> </v>
      </c>
      <c r="G484" t="str">
        <f>INDEX(Establishment!C$2:C$1005,MATCH($E484,Establishment!$A$2:$A$1005,0))</f>
        <v xml:space="preserve"> </v>
      </c>
      <c r="M484">
        <f t="shared" si="41"/>
        <v>0</v>
      </c>
      <c r="N484">
        <f t="shared" si="39"/>
        <v>0</v>
      </c>
      <c r="P484" t="e">
        <f>INDEX(Items!B$2:B$1032,MATCH($O484,Items!$A$2:$A$1032,0))</f>
        <v>#N/A</v>
      </c>
      <c r="Q484" t="e">
        <f>INDEX(Items!C$2:C$1032,MATCH($O484,Items!$A$2:$A$1032,0))</f>
        <v>#N/A</v>
      </c>
      <c r="R484" t="e">
        <f>INDEX(Items!D$2:D$1032,MATCH($O484,Items!$A$2:$A$1032,0))</f>
        <v>#N/A</v>
      </c>
    </row>
    <row r="485" spans="1:18" x14ac:dyDescent="0.25">
      <c r="A485">
        <f t="shared" si="37"/>
        <v>1</v>
      </c>
      <c r="B485" t="str">
        <f t="shared" si="38"/>
        <v/>
      </c>
      <c r="C485">
        <f t="shared" si="40"/>
        <v>1</v>
      </c>
      <c r="D485" s="4"/>
      <c r="E485" t="s">
        <v>18</v>
      </c>
      <c r="F485" t="str">
        <f>INDEX(Establishment!B$2:B$1005,MATCH($E485,Establishment!$A$2:$A$1005,0))</f>
        <v xml:space="preserve"> </v>
      </c>
      <c r="G485" t="str">
        <f>INDEX(Establishment!C$2:C$1005,MATCH($E485,Establishment!$A$2:$A$1005,0))</f>
        <v xml:space="preserve"> </v>
      </c>
      <c r="M485">
        <f t="shared" si="41"/>
        <v>0</v>
      </c>
      <c r="N485">
        <f t="shared" si="39"/>
        <v>0</v>
      </c>
      <c r="P485" t="e">
        <f>INDEX(Items!B$2:B$1032,MATCH($O485,Items!$A$2:$A$1032,0))</f>
        <v>#N/A</v>
      </c>
      <c r="Q485" t="e">
        <f>INDEX(Items!C$2:C$1032,MATCH($O485,Items!$A$2:$A$1032,0))</f>
        <v>#N/A</v>
      </c>
      <c r="R485" t="e">
        <f>INDEX(Items!D$2:D$1032,MATCH($O485,Items!$A$2:$A$1032,0))</f>
        <v>#N/A</v>
      </c>
    </row>
    <row r="486" spans="1:18" x14ac:dyDescent="0.25">
      <c r="A486">
        <f t="shared" si="37"/>
        <v>1</v>
      </c>
      <c r="B486" t="str">
        <f t="shared" si="38"/>
        <v/>
      </c>
      <c r="C486">
        <f t="shared" si="40"/>
        <v>1</v>
      </c>
      <c r="D486" s="4"/>
      <c r="E486" t="s">
        <v>18</v>
      </c>
      <c r="F486" t="str">
        <f>INDEX(Establishment!B$2:B$1005,MATCH($E486,Establishment!$A$2:$A$1005,0))</f>
        <v xml:space="preserve"> </v>
      </c>
      <c r="G486" t="str">
        <f>INDEX(Establishment!C$2:C$1005,MATCH($E486,Establishment!$A$2:$A$1005,0))</f>
        <v xml:space="preserve"> </v>
      </c>
      <c r="M486">
        <f t="shared" si="41"/>
        <v>0</v>
      </c>
      <c r="N486">
        <f t="shared" si="39"/>
        <v>0</v>
      </c>
      <c r="P486" t="e">
        <f>INDEX(Items!B$2:B$1032,MATCH($O486,Items!$A$2:$A$1032,0))</f>
        <v>#N/A</v>
      </c>
      <c r="Q486" t="e">
        <f>INDEX(Items!C$2:C$1032,MATCH($O486,Items!$A$2:$A$1032,0))</f>
        <v>#N/A</v>
      </c>
      <c r="R486" t="e">
        <f>INDEX(Items!D$2:D$1032,MATCH($O486,Items!$A$2:$A$1032,0))</f>
        <v>#N/A</v>
      </c>
    </row>
    <row r="487" spans="1:18" x14ac:dyDescent="0.25">
      <c r="A487">
        <f t="shared" si="37"/>
        <v>1</v>
      </c>
      <c r="B487" t="str">
        <f t="shared" si="38"/>
        <v/>
      </c>
      <c r="C487">
        <f t="shared" si="40"/>
        <v>1</v>
      </c>
      <c r="D487" s="4"/>
      <c r="E487" t="s">
        <v>18</v>
      </c>
      <c r="F487" t="str">
        <f>INDEX(Establishment!B$2:B$1005,MATCH($E487,Establishment!$A$2:$A$1005,0))</f>
        <v xml:space="preserve"> </v>
      </c>
      <c r="G487" t="str">
        <f>INDEX(Establishment!C$2:C$1005,MATCH($E487,Establishment!$A$2:$A$1005,0))</f>
        <v xml:space="preserve"> </v>
      </c>
      <c r="M487">
        <f t="shared" si="41"/>
        <v>0</v>
      </c>
      <c r="N487">
        <f t="shared" si="39"/>
        <v>0</v>
      </c>
      <c r="P487" t="e">
        <f>INDEX(Items!B$2:B$1032,MATCH($O487,Items!$A$2:$A$1032,0))</f>
        <v>#N/A</v>
      </c>
      <c r="Q487" t="e">
        <f>INDEX(Items!C$2:C$1032,MATCH($O487,Items!$A$2:$A$1032,0))</f>
        <v>#N/A</v>
      </c>
      <c r="R487" t="e">
        <f>INDEX(Items!D$2:D$1032,MATCH($O487,Items!$A$2:$A$1032,0))</f>
        <v>#N/A</v>
      </c>
    </row>
    <row r="488" spans="1:18" x14ac:dyDescent="0.25">
      <c r="A488">
        <f t="shared" si="37"/>
        <v>1</v>
      </c>
      <c r="B488" t="str">
        <f t="shared" si="38"/>
        <v/>
      </c>
      <c r="C488">
        <f t="shared" si="40"/>
        <v>1</v>
      </c>
      <c r="D488" s="4"/>
      <c r="E488" t="s">
        <v>18</v>
      </c>
      <c r="F488" t="str">
        <f>INDEX(Establishment!B$2:B$1005,MATCH($E488,Establishment!$A$2:$A$1005,0))</f>
        <v xml:space="preserve"> </v>
      </c>
      <c r="G488" t="str">
        <f>INDEX(Establishment!C$2:C$1005,MATCH($E488,Establishment!$A$2:$A$1005,0))</f>
        <v xml:space="preserve"> </v>
      </c>
      <c r="M488">
        <f t="shared" si="41"/>
        <v>0</v>
      </c>
      <c r="N488">
        <f t="shared" si="39"/>
        <v>0</v>
      </c>
      <c r="P488" t="e">
        <f>INDEX(Items!B$2:B$1032,MATCH($O488,Items!$A$2:$A$1032,0))</f>
        <v>#N/A</v>
      </c>
      <c r="Q488" t="e">
        <f>INDEX(Items!C$2:C$1032,MATCH($O488,Items!$A$2:$A$1032,0))</f>
        <v>#N/A</v>
      </c>
      <c r="R488" t="e">
        <f>INDEX(Items!D$2:D$1032,MATCH($O488,Items!$A$2:$A$1032,0))</f>
        <v>#N/A</v>
      </c>
    </row>
    <row r="489" spans="1:18" x14ac:dyDescent="0.25">
      <c r="A489">
        <f t="shared" si="37"/>
        <v>1</v>
      </c>
      <c r="B489" t="str">
        <f t="shared" si="38"/>
        <v/>
      </c>
      <c r="C489">
        <f t="shared" si="40"/>
        <v>1</v>
      </c>
      <c r="D489" s="4"/>
      <c r="E489" t="s">
        <v>18</v>
      </c>
      <c r="F489" t="str">
        <f>INDEX(Establishment!B$2:B$1005,MATCH($E489,Establishment!$A$2:$A$1005,0))</f>
        <v xml:space="preserve"> </v>
      </c>
      <c r="G489" t="str">
        <f>INDEX(Establishment!C$2:C$1005,MATCH($E489,Establishment!$A$2:$A$1005,0))</f>
        <v xml:space="preserve"> </v>
      </c>
      <c r="M489">
        <f t="shared" si="41"/>
        <v>0</v>
      </c>
      <c r="N489">
        <f t="shared" si="39"/>
        <v>0</v>
      </c>
      <c r="P489" t="e">
        <f>INDEX(Items!B$2:B$1032,MATCH($O489,Items!$A$2:$A$1032,0))</f>
        <v>#N/A</v>
      </c>
      <c r="Q489" t="e">
        <f>INDEX(Items!C$2:C$1032,MATCH($O489,Items!$A$2:$A$1032,0))</f>
        <v>#N/A</v>
      </c>
      <c r="R489" t="e">
        <f>INDEX(Items!D$2:D$1032,MATCH($O489,Items!$A$2:$A$1032,0))</f>
        <v>#N/A</v>
      </c>
    </row>
    <row r="490" spans="1:18" x14ac:dyDescent="0.25">
      <c r="A490">
        <f t="shared" si="37"/>
        <v>1</v>
      </c>
      <c r="B490" t="str">
        <f t="shared" si="38"/>
        <v/>
      </c>
      <c r="C490">
        <f t="shared" si="40"/>
        <v>1</v>
      </c>
      <c r="D490" s="4"/>
      <c r="E490" t="s">
        <v>18</v>
      </c>
      <c r="F490" t="str">
        <f>INDEX(Establishment!B$2:B$1005,MATCH($E490,Establishment!$A$2:$A$1005,0))</f>
        <v xml:space="preserve"> </v>
      </c>
      <c r="G490" t="str">
        <f>INDEX(Establishment!C$2:C$1005,MATCH($E490,Establishment!$A$2:$A$1005,0))</f>
        <v xml:space="preserve"> </v>
      </c>
      <c r="M490">
        <f t="shared" si="41"/>
        <v>0</v>
      </c>
      <c r="N490">
        <f t="shared" si="39"/>
        <v>0</v>
      </c>
      <c r="P490" t="e">
        <f>INDEX(Items!B$2:B$1032,MATCH($O490,Items!$A$2:$A$1032,0))</f>
        <v>#N/A</v>
      </c>
      <c r="Q490" t="e">
        <f>INDEX(Items!C$2:C$1032,MATCH($O490,Items!$A$2:$A$1032,0))</f>
        <v>#N/A</v>
      </c>
      <c r="R490" t="e">
        <f>INDEX(Items!D$2:D$1032,MATCH($O490,Items!$A$2:$A$1032,0))</f>
        <v>#N/A</v>
      </c>
    </row>
    <row r="491" spans="1:18" x14ac:dyDescent="0.25">
      <c r="A491">
        <f t="shared" si="37"/>
        <v>1</v>
      </c>
      <c r="B491" t="str">
        <f t="shared" si="38"/>
        <v/>
      </c>
      <c r="C491">
        <f t="shared" si="40"/>
        <v>1</v>
      </c>
      <c r="D491" s="4"/>
      <c r="E491" t="s">
        <v>18</v>
      </c>
      <c r="F491" t="str">
        <f>INDEX(Establishment!B$2:B$1005,MATCH($E491,Establishment!$A$2:$A$1005,0))</f>
        <v xml:space="preserve"> </v>
      </c>
      <c r="G491" t="str">
        <f>INDEX(Establishment!C$2:C$1005,MATCH($E491,Establishment!$A$2:$A$1005,0))</f>
        <v xml:space="preserve"> </v>
      </c>
      <c r="M491">
        <f t="shared" si="41"/>
        <v>0</v>
      </c>
      <c r="N491">
        <f t="shared" si="39"/>
        <v>0</v>
      </c>
      <c r="P491" t="e">
        <f>INDEX(Items!B$2:B$1032,MATCH($O491,Items!$A$2:$A$1032,0))</f>
        <v>#N/A</v>
      </c>
      <c r="Q491" t="e">
        <f>INDEX(Items!C$2:C$1032,MATCH($O491,Items!$A$2:$A$1032,0))</f>
        <v>#N/A</v>
      </c>
      <c r="R491" t="e">
        <f>INDEX(Items!D$2:D$1032,MATCH($O491,Items!$A$2:$A$1032,0))</f>
        <v>#N/A</v>
      </c>
    </row>
    <row r="492" spans="1:18" x14ac:dyDescent="0.25">
      <c r="A492">
        <f t="shared" si="37"/>
        <v>1</v>
      </c>
      <c r="B492" t="str">
        <f t="shared" si="38"/>
        <v/>
      </c>
      <c r="C492">
        <f t="shared" si="40"/>
        <v>1</v>
      </c>
      <c r="D492" s="4"/>
      <c r="E492" t="s">
        <v>18</v>
      </c>
      <c r="F492" t="str">
        <f>INDEX(Establishment!B$2:B$1005,MATCH($E492,Establishment!$A$2:$A$1005,0))</f>
        <v xml:space="preserve"> </v>
      </c>
      <c r="G492" t="str">
        <f>INDEX(Establishment!C$2:C$1005,MATCH($E492,Establishment!$A$2:$A$1005,0))</f>
        <v xml:space="preserve"> </v>
      </c>
      <c r="M492">
        <f t="shared" si="41"/>
        <v>0</v>
      </c>
      <c r="N492">
        <f t="shared" si="39"/>
        <v>0</v>
      </c>
      <c r="P492" t="e">
        <f>INDEX(Items!B$2:B$1032,MATCH($O492,Items!$A$2:$A$1032,0))</f>
        <v>#N/A</v>
      </c>
      <c r="Q492" t="e">
        <f>INDEX(Items!C$2:C$1032,MATCH($O492,Items!$A$2:$A$1032,0))</f>
        <v>#N/A</v>
      </c>
      <c r="R492" t="e">
        <f>INDEX(Items!D$2:D$1032,MATCH($O492,Items!$A$2:$A$1032,0))</f>
        <v>#N/A</v>
      </c>
    </row>
    <row r="493" spans="1:18" x14ac:dyDescent="0.25">
      <c r="A493">
        <f t="shared" si="37"/>
        <v>1</v>
      </c>
      <c r="B493" t="str">
        <f t="shared" si="38"/>
        <v/>
      </c>
      <c r="C493">
        <f t="shared" si="40"/>
        <v>1</v>
      </c>
      <c r="D493" s="4"/>
      <c r="E493" t="s">
        <v>18</v>
      </c>
      <c r="F493" t="str">
        <f>INDEX(Establishment!B$2:B$1005,MATCH($E493,Establishment!$A$2:$A$1005,0))</f>
        <v xml:space="preserve"> </v>
      </c>
      <c r="G493" t="str">
        <f>INDEX(Establishment!C$2:C$1005,MATCH($E493,Establishment!$A$2:$A$1005,0))</f>
        <v xml:space="preserve"> </v>
      </c>
      <c r="M493">
        <f t="shared" si="41"/>
        <v>0</v>
      </c>
      <c r="N493">
        <f t="shared" si="39"/>
        <v>0</v>
      </c>
      <c r="P493" t="e">
        <f>INDEX(Items!B$2:B$1032,MATCH($O493,Items!$A$2:$A$1032,0))</f>
        <v>#N/A</v>
      </c>
      <c r="Q493" t="e">
        <f>INDEX(Items!C$2:C$1032,MATCH($O493,Items!$A$2:$A$1032,0))</f>
        <v>#N/A</v>
      </c>
      <c r="R493" t="e">
        <f>INDEX(Items!D$2:D$1032,MATCH($O493,Items!$A$2:$A$1032,0))</f>
        <v>#N/A</v>
      </c>
    </row>
    <row r="494" spans="1:18" x14ac:dyDescent="0.25">
      <c r="A494">
        <f t="shared" si="37"/>
        <v>1</v>
      </c>
      <c r="B494" t="str">
        <f t="shared" si="38"/>
        <v/>
      </c>
      <c r="C494">
        <f t="shared" si="40"/>
        <v>1</v>
      </c>
      <c r="D494" s="4"/>
      <c r="E494" t="s">
        <v>18</v>
      </c>
      <c r="F494" t="str">
        <f>INDEX(Establishment!B$2:B$1005,MATCH($E494,Establishment!$A$2:$A$1005,0))</f>
        <v xml:space="preserve"> </v>
      </c>
      <c r="G494" t="str">
        <f>INDEX(Establishment!C$2:C$1005,MATCH($E494,Establishment!$A$2:$A$1005,0))</f>
        <v xml:space="preserve"> </v>
      </c>
      <c r="M494">
        <f t="shared" si="41"/>
        <v>0</v>
      </c>
      <c r="N494">
        <f t="shared" si="39"/>
        <v>0</v>
      </c>
      <c r="P494" t="e">
        <f>INDEX(Items!B$2:B$1032,MATCH($O494,Items!$A$2:$A$1032,0))</f>
        <v>#N/A</v>
      </c>
      <c r="Q494" t="e">
        <f>INDEX(Items!C$2:C$1032,MATCH($O494,Items!$A$2:$A$1032,0))</f>
        <v>#N/A</v>
      </c>
      <c r="R494" t="e">
        <f>INDEX(Items!D$2:D$1032,MATCH($O494,Items!$A$2:$A$1032,0))</f>
        <v>#N/A</v>
      </c>
    </row>
    <row r="495" spans="1:18" x14ac:dyDescent="0.25">
      <c r="A495">
        <f t="shared" si="37"/>
        <v>1</v>
      </c>
      <c r="B495" t="str">
        <f t="shared" si="38"/>
        <v/>
      </c>
      <c r="C495">
        <f t="shared" si="40"/>
        <v>1</v>
      </c>
      <c r="D495" s="4"/>
      <c r="E495" t="s">
        <v>18</v>
      </c>
      <c r="F495" t="str">
        <f>INDEX(Establishment!B$2:B$1005,MATCH($E495,Establishment!$A$2:$A$1005,0))</f>
        <v xml:space="preserve"> </v>
      </c>
      <c r="G495" t="str">
        <f>INDEX(Establishment!C$2:C$1005,MATCH($E495,Establishment!$A$2:$A$1005,0))</f>
        <v xml:space="preserve"> </v>
      </c>
      <c r="M495">
        <f t="shared" si="41"/>
        <v>0</v>
      </c>
      <c r="N495">
        <f t="shared" si="39"/>
        <v>0</v>
      </c>
      <c r="P495" t="e">
        <f>INDEX(Items!B$2:B$1032,MATCH($O495,Items!$A$2:$A$1032,0))</f>
        <v>#N/A</v>
      </c>
      <c r="Q495" t="e">
        <f>INDEX(Items!C$2:C$1032,MATCH($O495,Items!$A$2:$A$1032,0))</f>
        <v>#N/A</v>
      </c>
      <c r="R495" t="e">
        <f>INDEX(Items!D$2:D$1032,MATCH($O495,Items!$A$2:$A$1032,0))</f>
        <v>#N/A</v>
      </c>
    </row>
    <row r="496" spans="1:18" x14ac:dyDescent="0.25">
      <c r="A496">
        <f t="shared" si="37"/>
        <v>1</v>
      </c>
      <c r="B496" t="str">
        <f t="shared" si="38"/>
        <v/>
      </c>
      <c r="C496">
        <f t="shared" si="40"/>
        <v>1</v>
      </c>
      <c r="D496" s="4"/>
      <c r="E496" t="s">
        <v>18</v>
      </c>
      <c r="F496" t="str">
        <f>INDEX(Establishment!B$2:B$1005,MATCH($E496,Establishment!$A$2:$A$1005,0))</f>
        <v xml:space="preserve"> </v>
      </c>
      <c r="G496" t="str">
        <f>INDEX(Establishment!C$2:C$1005,MATCH($E496,Establishment!$A$2:$A$1005,0))</f>
        <v xml:space="preserve"> </v>
      </c>
      <c r="M496">
        <f t="shared" si="41"/>
        <v>0</v>
      </c>
      <c r="N496">
        <f t="shared" si="39"/>
        <v>0</v>
      </c>
      <c r="P496" t="e">
        <f>INDEX(Items!B$2:B$1032,MATCH($O496,Items!$A$2:$A$1032,0))</f>
        <v>#N/A</v>
      </c>
      <c r="Q496" t="e">
        <f>INDEX(Items!C$2:C$1032,MATCH($O496,Items!$A$2:$A$1032,0))</f>
        <v>#N/A</v>
      </c>
      <c r="R496" t="e">
        <f>INDEX(Items!D$2:D$1032,MATCH($O496,Items!$A$2:$A$1032,0))</f>
        <v>#N/A</v>
      </c>
    </row>
    <row r="497" spans="1:18" x14ac:dyDescent="0.25">
      <c r="A497">
        <f t="shared" si="37"/>
        <v>1</v>
      </c>
      <c r="B497" t="str">
        <f t="shared" si="38"/>
        <v/>
      </c>
      <c r="C497">
        <f t="shared" si="40"/>
        <v>1</v>
      </c>
      <c r="D497" s="4"/>
      <c r="E497" t="s">
        <v>18</v>
      </c>
      <c r="F497" t="str">
        <f>INDEX(Establishment!B$2:B$1005,MATCH($E497,Establishment!$A$2:$A$1005,0))</f>
        <v xml:space="preserve"> </v>
      </c>
      <c r="G497" t="str">
        <f>INDEX(Establishment!C$2:C$1005,MATCH($E497,Establishment!$A$2:$A$1005,0))</f>
        <v xml:space="preserve"> </v>
      </c>
      <c r="M497">
        <f t="shared" si="41"/>
        <v>0</v>
      </c>
      <c r="N497">
        <f t="shared" si="39"/>
        <v>0</v>
      </c>
      <c r="P497" t="e">
        <f>INDEX(Items!B$2:B$1032,MATCH($O497,Items!$A$2:$A$1032,0))</f>
        <v>#N/A</v>
      </c>
      <c r="Q497" t="e">
        <f>INDEX(Items!C$2:C$1032,MATCH($O497,Items!$A$2:$A$1032,0))</f>
        <v>#N/A</v>
      </c>
      <c r="R497" t="e">
        <f>INDEX(Items!D$2:D$1032,MATCH($O497,Items!$A$2:$A$1032,0))</f>
        <v>#N/A</v>
      </c>
    </row>
    <row r="498" spans="1:18" x14ac:dyDescent="0.25">
      <c r="A498">
        <f t="shared" si="37"/>
        <v>1</v>
      </c>
      <c r="B498" t="str">
        <f t="shared" si="38"/>
        <v/>
      </c>
      <c r="C498">
        <f t="shared" si="40"/>
        <v>1</v>
      </c>
      <c r="D498" s="4"/>
      <c r="E498" t="s">
        <v>18</v>
      </c>
      <c r="F498" t="str">
        <f>INDEX(Establishment!B$2:B$1005,MATCH($E498,Establishment!$A$2:$A$1005,0))</f>
        <v xml:space="preserve"> </v>
      </c>
      <c r="G498" t="str">
        <f>INDEX(Establishment!C$2:C$1005,MATCH($E498,Establishment!$A$2:$A$1005,0))</f>
        <v xml:space="preserve"> </v>
      </c>
      <c r="M498">
        <f t="shared" si="41"/>
        <v>0</v>
      </c>
      <c r="N498">
        <f t="shared" si="39"/>
        <v>0</v>
      </c>
      <c r="P498" t="e">
        <f>INDEX(Items!B$2:B$1032,MATCH($O498,Items!$A$2:$A$1032,0))</f>
        <v>#N/A</v>
      </c>
      <c r="Q498" t="e">
        <f>INDEX(Items!C$2:C$1032,MATCH($O498,Items!$A$2:$A$1032,0))</f>
        <v>#N/A</v>
      </c>
      <c r="R498" t="e">
        <f>INDEX(Items!D$2:D$1032,MATCH($O498,Items!$A$2:$A$1032,0))</f>
        <v>#N/A</v>
      </c>
    </row>
    <row r="499" spans="1:18" x14ac:dyDescent="0.25">
      <c r="A499">
        <f t="shared" si="37"/>
        <v>1</v>
      </c>
      <c r="B499" t="str">
        <f t="shared" si="38"/>
        <v/>
      </c>
      <c r="C499">
        <f t="shared" si="40"/>
        <v>1</v>
      </c>
      <c r="D499" s="4"/>
      <c r="E499" t="s">
        <v>18</v>
      </c>
      <c r="F499" t="str">
        <f>INDEX(Establishment!B$2:B$1005,MATCH($E499,Establishment!$A$2:$A$1005,0))</f>
        <v xml:space="preserve"> </v>
      </c>
      <c r="G499" t="str">
        <f>INDEX(Establishment!C$2:C$1005,MATCH($E499,Establishment!$A$2:$A$1005,0))</f>
        <v xml:space="preserve"> </v>
      </c>
      <c r="M499">
        <f t="shared" si="41"/>
        <v>0</v>
      </c>
      <c r="N499">
        <f t="shared" si="39"/>
        <v>0</v>
      </c>
      <c r="P499" t="e">
        <f>INDEX(Items!B$2:B$1032,MATCH($O499,Items!$A$2:$A$1032,0))</f>
        <v>#N/A</v>
      </c>
      <c r="Q499" t="e">
        <f>INDEX(Items!C$2:C$1032,MATCH($O499,Items!$A$2:$A$1032,0))</f>
        <v>#N/A</v>
      </c>
      <c r="R499" t="e">
        <f>INDEX(Items!D$2:D$1032,MATCH($O499,Items!$A$2:$A$1032,0))</f>
        <v>#N/A</v>
      </c>
    </row>
  </sheetData>
  <autoFilter ref="A1:S499" xr:uid="{5F0E76B2-0B92-47EE-AE22-5D9D037037E9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A6E96E4-C85C-4D24-9808-3953A2AF6803}">
          <x14:formula1>
            <xm:f>Misc!$A$2:$A$8</xm:f>
          </x14:formula1>
          <xm:sqref>H1:H1048576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58B6-08C8-4CD4-8CF7-79A157A6F017}">
  <dimension ref="A1:S499"/>
  <sheetViews>
    <sheetView zoomScale="145" zoomScaleNormal="145"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bestFit="1" customWidth="1"/>
    <col min="2" max="2" width="11.140625" bestFit="1" customWidth="1"/>
    <col min="3" max="3" width="11.140625" customWidth="1"/>
    <col min="4" max="4" width="10.7109375" bestFit="1" customWidth="1"/>
    <col min="5" max="5" width="21.140625" bestFit="1" customWidth="1"/>
    <col min="6" max="6" width="13.7109375" bestFit="1" customWidth="1"/>
    <col min="7" max="7" width="9.7109375" bestFit="1" customWidth="1"/>
    <col min="8" max="8" width="13.7109375" bestFit="1" customWidth="1"/>
    <col min="9" max="9" width="8.140625" bestFit="1" customWidth="1"/>
    <col min="10" max="10" width="18.5703125" bestFit="1" customWidth="1"/>
    <col min="11" max="11" width="8.7109375" bestFit="1" customWidth="1"/>
    <col min="12" max="12" width="9.5703125" bestFit="1" customWidth="1"/>
    <col min="13" max="13" width="8.140625" bestFit="1" customWidth="1"/>
    <col min="14" max="14" width="11.140625" bestFit="1" customWidth="1"/>
    <col min="15" max="15" width="25.7109375" bestFit="1" customWidth="1"/>
    <col min="16" max="16" width="6.140625" bestFit="1" customWidth="1"/>
    <col min="17" max="17" width="12.7109375" bestFit="1" customWidth="1"/>
    <col min="18" max="18" width="7.140625" bestFit="1" customWidth="1"/>
  </cols>
  <sheetData>
    <row r="1" spans="1:19" ht="30" x14ac:dyDescent="0.25">
      <c r="A1" t="s">
        <v>0</v>
      </c>
      <c r="B1" s="2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f t="shared" ref="A2:A65" si="0">IF(OR(D2&lt;&gt;D1,D2=""),1,IF(NOT(AND(E2=E1,F2=F1,G2=G1)),A1+1,IF(OR(H2="",AND(H2&lt;&gt;"",H2&lt;&gt;H1,H1&lt;&gt;"")),A1,A1+1)))</f>
        <v>1</v>
      </c>
      <c r="B2" t="str">
        <f t="shared" ref="B2:B65" si="1">IF(D2&lt;&gt;"",TEXT(D2,"YYYYMMDD")&amp;CHAR(64+A2),"")</f>
        <v/>
      </c>
      <c r="C2">
        <f t="shared" ref="C2:C6" si="2">IF(OR(B2="",B2&lt;&gt;B10),1,C10+1)</f>
        <v>1</v>
      </c>
      <c r="D2" s="4"/>
      <c r="F2" t="e">
        <f>INDEX(Establishment!B$2:B$1005,MATCH($E2,Establishment!$A$2:$A$1005,0))</f>
        <v>#N/A</v>
      </c>
      <c r="G2" t="e">
        <f>INDEX(Establishment!C$2:C$1005,MATCH($E2,Establishment!$A$2:$A$1005,0))</f>
        <v>#N/A</v>
      </c>
      <c r="M2">
        <f t="shared" ref="M2:M6" si="3">K2*L2</f>
        <v>0</v>
      </c>
      <c r="N2">
        <f>IF(B2=B1,N1+M2,M2)</f>
        <v>0</v>
      </c>
      <c r="P2" t="e">
        <f>INDEX(Items!B$2:B$1032,MATCH($O2,Items!$A$2:$A$1032,0))</f>
        <v>#N/A</v>
      </c>
      <c r="Q2" t="e">
        <f>INDEX(Items!C$2:C$1032,MATCH($O2,Items!$A$2:$A$1032,0))</f>
        <v>#N/A</v>
      </c>
      <c r="R2" t="e">
        <f>INDEX(Items!D$2:D$1032,MATCH($O2,Items!$A$2:$A$1032,0))</f>
        <v>#N/A</v>
      </c>
    </row>
    <row r="3" spans="1:19" x14ac:dyDescent="0.25">
      <c r="A3">
        <f t="shared" si="0"/>
        <v>1</v>
      </c>
      <c r="B3" t="str">
        <f t="shared" si="1"/>
        <v/>
      </c>
      <c r="C3">
        <f t="shared" si="2"/>
        <v>1</v>
      </c>
      <c r="D3" s="4"/>
      <c r="F3" t="e">
        <f>INDEX(Establishment!B$2:B$1005,MATCH($E3,Establishment!$A$2:$A$1005,0))</f>
        <v>#N/A</v>
      </c>
      <c r="G3" t="e">
        <f>INDEX(Establishment!C$2:C$1005,MATCH($E3,Establishment!$A$2:$A$1005,0))</f>
        <v>#N/A</v>
      </c>
      <c r="M3">
        <f t="shared" si="3"/>
        <v>0</v>
      </c>
      <c r="N3">
        <f t="shared" ref="N3:N66" si="4">IF(B3=B2,N2+M3,M3)</f>
        <v>0</v>
      </c>
      <c r="P3" t="e">
        <f>INDEX(Items!B$2:B$1032,MATCH($O3,Items!$A$2:$A$1032,0))</f>
        <v>#N/A</v>
      </c>
      <c r="Q3" t="e">
        <f>INDEX(Items!C$2:C$1032,MATCH($O3,Items!$A$2:$A$1032,0))</f>
        <v>#N/A</v>
      </c>
      <c r="R3" t="e">
        <f>INDEX(Items!D$2:D$1032,MATCH($O3,Items!$A$2:$A$1032,0))</f>
        <v>#N/A</v>
      </c>
    </row>
    <row r="4" spans="1:19" x14ac:dyDescent="0.25">
      <c r="A4">
        <f t="shared" si="0"/>
        <v>1</v>
      </c>
      <c r="B4" t="str">
        <f t="shared" si="1"/>
        <v/>
      </c>
      <c r="C4">
        <f t="shared" si="2"/>
        <v>1</v>
      </c>
      <c r="D4" s="4"/>
      <c r="F4" t="e">
        <f>INDEX(Establishment!B$2:B$1005,MATCH($E4,Establishment!$A$2:$A$1005,0))</f>
        <v>#N/A</v>
      </c>
      <c r="G4" t="e">
        <f>INDEX(Establishment!C$2:C$1005,MATCH($E4,Establishment!$A$2:$A$1005,0))</f>
        <v>#N/A</v>
      </c>
      <c r="M4">
        <f t="shared" si="3"/>
        <v>0</v>
      </c>
      <c r="N4">
        <f t="shared" si="4"/>
        <v>0</v>
      </c>
      <c r="P4" t="e">
        <f>INDEX(Items!B$2:B$1032,MATCH($O4,Items!$A$2:$A$1032,0))</f>
        <v>#N/A</v>
      </c>
      <c r="Q4" t="e">
        <f>INDEX(Items!C$2:C$1032,MATCH($O4,Items!$A$2:$A$1032,0))</f>
        <v>#N/A</v>
      </c>
      <c r="R4" t="e">
        <f>INDEX(Items!D$2:D$1032,MATCH($O4,Items!$A$2:$A$1032,0))</f>
        <v>#N/A</v>
      </c>
    </row>
    <row r="5" spans="1:19" x14ac:dyDescent="0.25">
      <c r="A5">
        <f t="shared" si="0"/>
        <v>1</v>
      </c>
      <c r="B5" t="str">
        <f t="shared" si="1"/>
        <v/>
      </c>
      <c r="C5">
        <f t="shared" si="2"/>
        <v>1</v>
      </c>
      <c r="D5" s="4"/>
      <c r="F5" t="e">
        <f>INDEX(Establishment!B$2:B$1005,MATCH($E5,Establishment!$A$2:$A$1005,0))</f>
        <v>#N/A</v>
      </c>
      <c r="G5" t="e">
        <f>INDEX(Establishment!C$2:C$1005,MATCH($E5,Establishment!$A$2:$A$1005,0))</f>
        <v>#N/A</v>
      </c>
      <c r="M5">
        <f t="shared" si="3"/>
        <v>0</v>
      </c>
      <c r="N5">
        <f t="shared" si="4"/>
        <v>0</v>
      </c>
      <c r="P5" t="e">
        <f>INDEX(Items!B$2:B$1032,MATCH($O5,Items!$A$2:$A$1032,0))</f>
        <v>#N/A</v>
      </c>
      <c r="Q5" t="e">
        <f>INDEX(Items!C$2:C$1032,MATCH($O5,Items!$A$2:$A$1032,0))</f>
        <v>#N/A</v>
      </c>
      <c r="R5" t="e">
        <f>INDEX(Items!D$2:D$1032,MATCH($O5,Items!$A$2:$A$1032,0))</f>
        <v>#N/A</v>
      </c>
    </row>
    <row r="6" spans="1:19" x14ac:dyDescent="0.25">
      <c r="A6">
        <f t="shared" si="0"/>
        <v>1</v>
      </c>
      <c r="B6" t="str">
        <f t="shared" si="1"/>
        <v/>
      </c>
      <c r="C6">
        <f t="shared" si="2"/>
        <v>1</v>
      </c>
      <c r="D6" s="4"/>
      <c r="F6" t="e">
        <f>INDEX(Establishment!B$2:B$1005,MATCH($E6,Establishment!$A$2:$A$1005,0))</f>
        <v>#N/A</v>
      </c>
      <c r="G6" t="e">
        <f>INDEX(Establishment!C$2:C$1005,MATCH($E6,Establishment!$A$2:$A$1005,0))</f>
        <v>#N/A</v>
      </c>
      <c r="M6">
        <f t="shared" si="3"/>
        <v>0</v>
      </c>
      <c r="N6">
        <f t="shared" si="4"/>
        <v>0</v>
      </c>
      <c r="P6" t="e">
        <f>INDEX(Items!B$2:B$1032,MATCH($O6,Items!$A$2:$A$1032,0))</f>
        <v>#N/A</v>
      </c>
      <c r="Q6" t="e">
        <f>INDEX(Items!C$2:C$1032,MATCH($O6,Items!$A$2:$A$1032,0))</f>
        <v>#N/A</v>
      </c>
      <c r="R6" t="e">
        <f>INDEX(Items!D$2:D$1032,MATCH($O6,Items!$A$2:$A$1032,0))</f>
        <v>#N/A</v>
      </c>
    </row>
    <row r="7" spans="1:19" x14ac:dyDescent="0.25">
      <c r="A7">
        <f t="shared" si="0"/>
        <v>1</v>
      </c>
      <c r="B7" t="str">
        <f t="shared" si="1"/>
        <v/>
      </c>
      <c r="C7">
        <f>IF(OR(B7="",B7&lt;&gt;B15),1,C15+1)</f>
        <v>1</v>
      </c>
      <c r="D7" s="4"/>
      <c r="F7" t="e">
        <f>INDEX(Establishment!B$2:B$1005,MATCH($E7,Establishment!$A$2:$A$1005,0))</f>
        <v>#N/A</v>
      </c>
      <c r="G7" t="e">
        <f>INDEX(Establishment!C$2:C$1005,MATCH($E7,Establishment!$A$2:$A$1005,0))</f>
        <v>#N/A</v>
      </c>
      <c r="M7">
        <f>K7*L7</f>
        <v>0</v>
      </c>
      <c r="N7">
        <f t="shared" si="4"/>
        <v>0</v>
      </c>
      <c r="P7" t="e">
        <f>INDEX(Items!B$2:B$1032,MATCH($O7,Items!$A$2:$A$1032,0))</f>
        <v>#N/A</v>
      </c>
      <c r="Q7" t="e">
        <f>INDEX(Items!C$2:C$1032,MATCH($O7,Items!$A$2:$A$1032,0))</f>
        <v>#N/A</v>
      </c>
      <c r="R7" t="e">
        <f>INDEX(Items!D$2:D$1032,MATCH($O7,Items!$A$2:$A$1032,0))</f>
        <v>#N/A</v>
      </c>
    </row>
    <row r="8" spans="1:19" x14ac:dyDescent="0.25">
      <c r="A8">
        <f t="shared" si="0"/>
        <v>1</v>
      </c>
      <c r="B8" t="str">
        <f t="shared" si="1"/>
        <v/>
      </c>
      <c r="C8">
        <f>IF(OR(B8="",B8&lt;&gt;B7),1,C7+1)</f>
        <v>1</v>
      </c>
      <c r="D8" s="4"/>
      <c r="F8" t="e">
        <f>INDEX(Establishment!B$2:B$1005,MATCH($E8,Establishment!$A$2:$A$1005,0))</f>
        <v>#N/A</v>
      </c>
      <c r="G8" t="e">
        <f>INDEX(Establishment!C$2:C$1005,MATCH($E8,Establishment!$A$2:$A$1005,0))</f>
        <v>#N/A</v>
      </c>
      <c r="M8">
        <f>K8*L8</f>
        <v>0</v>
      </c>
      <c r="N8">
        <f t="shared" si="4"/>
        <v>0</v>
      </c>
      <c r="P8" t="e">
        <f>INDEX(Items!B$2:B$1032,MATCH($O8,Items!$A$2:$A$1032,0))</f>
        <v>#N/A</v>
      </c>
      <c r="Q8" t="e">
        <f>INDEX(Items!C$2:C$1032,MATCH($O8,Items!$A$2:$A$1032,0))</f>
        <v>#N/A</v>
      </c>
      <c r="R8" t="e">
        <f>INDEX(Items!D$2:D$1032,MATCH($O8,Items!$A$2:$A$1032,0))</f>
        <v>#N/A</v>
      </c>
    </row>
    <row r="9" spans="1:19" x14ac:dyDescent="0.25">
      <c r="A9">
        <f t="shared" si="0"/>
        <v>1</v>
      </c>
      <c r="B9" t="str">
        <f t="shared" si="1"/>
        <v/>
      </c>
      <c r="C9">
        <f>IF(OR(B9="",B9&lt;&gt;B8),1,C8+1)</f>
        <v>1</v>
      </c>
      <c r="D9" s="4"/>
      <c r="F9" t="e">
        <f>INDEX(Establishment!B$2:B$1005,MATCH($E9,Establishment!$A$2:$A$1005,0))</f>
        <v>#N/A</v>
      </c>
      <c r="G9" t="e">
        <f>INDEX(Establishment!C$2:C$1005,MATCH($E9,Establishment!$A$2:$A$1005,0))</f>
        <v>#N/A</v>
      </c>
      <c r="M9">
        <f>K9*L9</f>
        <v>0</v>
      </c>
      <c r="N9">
        <f t="shared" si="4"/>
        <v>0</v>
      </c>
      <c r="P9" t="e">
        <f>INDEX(Items!B$2:B$1032,MATCH($O9,Items!$A$2:$A$1032,0))</f>
        <v>#N/A</v>
      </c>
      <c r="Q9" t="e">
        <f>INDEX(Items!C$2:C$1032,MATCH($O9,Items!$A$2:$A$1032,0))</f>
        <v>#N/A</v>
      </c>
      <c r="R9" t="e">
        <f>INDEX(Items!D$2:D$1032,MATCH($O9,Items!$A$2:$A$1032,0))</f>
        <v>#N/A</v>
      </c>
    </row>
    <row r="10" spans="1:19" x14ac:dyDescent="0.25">
      <c r="A10">
        <f t="shared" si="0"/>
        <v>1</v>
      </c>
      <c r="B10" t="str">
        <f t="shared" si="1"/>
        <v/>
      </c>
      <c r="C10">
        <f t="shared" ref="C10:C73" si="5">IF(OR(B10="",B10&lt;&gt;B9),1,C9+1)</f>
        <v>1</v>
      </c>
      <c r="D10" s="4"/>
      <c r="F10" t="e">
        <f>INDEX(Establishment!B$2:B$1005,MATCH($E10,Establishment!$A$2:$A$1005,0))</f>
        <v>#N/A</v>
      </c>
      <c r="G10" t="e">
        <f>INDEX(Establishment!C$2:C$1005,MATCH($E10,Establishment!$A$2:$A$1005,0))</f>
        <v>#N/A</v>
      </c>
      <c r="M10">
        <f t="shared" ref="M10:M73" si="6">K10*L10</f>
        <v>0</v>
      </c>
      <c r="N10">
        <f t="shared" si="4"/>
        <v>0</v>
      </c>
      <c r="P10" t="e">
        <f>INDEX(Items!B$2:B$1032,MATCH($O10,Items!$A$2:$A$1032,0))</f>
        <v>#N/A</v>
      </c>
      <c r="Q10" t="e">
        <f>INDEX(Items!C$2:C$1032,MATCH($O10,Items!$A$2:$A$1032,0))</f>
        <v>#N/A</v>
      </c>
      <c r="R10" t="e">
        <f>INDEX(Items!D$2:D$1032,MATCH($O10,Items!$A$2:$A$1032,0))</f>
        <v>#N/A</v>
      </c>
    </row>
    <row r="11" spans="1:19" x14ac:dyDescent="0.25">
      <c r="A11">
        <f t="shared" si="0"/>
        <v>1</v>
      </c>
      <c r="B11" t="str">
        <f t="shared" si="1"/>
        <v/>
      </c>
      <c r="C11">
        <f t="shared" si="5"/>
        <v>1</v>
      </c>
      <c r="D11" s="4"/>
      <c r="F11" t="e">
        <f>INDEX(Establishment!B$2:B$1005,MATCH($E11,Establishment!$A$2:$A$1005,0))</f>
        <v>#N/A</v>
      </c>
      <c r="G11" t="e">
        <f>INDEX(Establishment!C$2:C$1005,MATCH($E11,Establishment!$A$2:$A$1005,0))</f>
        <v>#N/A</v>
      </c>
      <c r="M11">
        <f t="shared" si="6"/>
        <v>0</v>
      </c>
      <c r="N11">
        <f t="shared" si="4"/>
        <v>0</v>
      </c>
      <c r="P11" t="e">
        <f>INDEX(Items!B$2:B$1032,MATCH($O11,Items!$A$2:$A$1032,0))</f>
        <v>#N/A</v>
      </c>
      <c r="Q11" t="e">
        <f>INDEX(Items!C$2:C$1032,MATCH($O11,Items!$A$2:$A$1032,0))</f>
        <v>#N/A</v>
      </c>
      <c r="R11" t="e">
        <f>INDEX(Items!D$2:D$1032,MATCH($O11,Items!$A$2:$A$1032,0))</f>
        <v>#N/A</v>
      </c>
    </row>
    <row r="12" spans="1:19" x14ac:dyDescent="0.25">
      <c r="A12">
        <f t="shared" si="0"/>
        <v>1</v>
      </c>
      <c r="B12" t="str">
        <f t="shared" si="1"/>
        <v/>
      </c>
      <c r="C12">
        <f t="shared" si="5"/>
        <v>1</v>
      </c>
      <c r="D12" s="4"/>
      <c r="F12" t="e">
        <f>INDEX(Establishment!B$2:B$1005,MATCH($E12,Establishment!$A$2:$A$1005,0))</f>
        <v>#N/A</v>
      </c>
      <c r="G12" t="e">
        <f>INDEX(Establishment!C$2:C$1005,MATCH($E12,Establishment!$A$2:$A$1005,0))</f>
        <v>#N/A</v>
      </c>
      <c r="M12">
        <f t="shared" si="6"/>
        <v>0</v>
      </c>
      <c r="N12">
        <f t="shared" si="4"/>
        <v>0</v>
      </c>
      <c r="P12" t="e">
        <f>INDEX(Items!B$2:B$1032,MATCH($O12,Items!$A$2:$A$1032,0))</f>
        <v>#N/A</v>
      </c>
      <c r="Q12" t="e">
        <f>INDEX(Items!C$2:C$1032,MATCH($O12,Items!$A$2:$A$1032,0))</f>
        <v>#N/A</v>
      </c>
      <c r="R12" t="e">
        <f>INDEX(Items!D$2:D$1032,MATCH($O12,Items!$A$2:$A$1032,0))</f>
        <v>#N/A</v>
      </c>
    </row>
    <row r="13" spans="1:19" x14ac:dyDescent="0.25">
      <c r="A13">
        <f t="shared" si="0"/>
        <v>1</v>
      </c>
      <c r="B13" t="str">
        <f t="shared" si="1"/>
        <v/>
      </c>
      <c r="C13">
        <f t="shared" si="5"/>
        <v>1</v>
      </c>
      <c r="D13" s="4"/>
      <c r="F13" t="e">
        <f>INDEX(Establishment!B$2:B$1005,MATCH($E13,Establishment!$A$2:$A$1005,0))</f>
        <v>#N/A</v>
      </c>
      <c r="G13" t="e">
        <f>INDEX(Establishment!C$2:C$1005,MATCH($E13,Establishment!$A$2:$A$1005,0))</f>
        <v>#N/A</v>
      </c>
      <c r="M13">
        <f t="shared" si="6"/>
        <v>0</v>
      </c>
      <c r="N13">
        <f t="shared" si="4"/>
        <v>0</v>
      </c>
      <c r="P13" t="e">
        <f>INDEX(Items!B$2:B$1032,MATCH($O13,Items!$A$2:$A$1032,0))</f>
        <v>#N/A</v>
      </c>
      <c r="Q13" t="e">
        <f>INDEX(Items!C$2:C$1032,MATCH($O13,Items!$A$2:$A$1032,0))</f>
        <v>#N/A</v>
      </c>
      <c r="R13" t="e">
        <f>INDEX(Items!D$2:D$1032,MATCH($O13,Items!$A$2:$A$1032,0))</f>
        <v>#N/A</v>
      </c>
    </row>
    <row r="14" spans="1:19" x14ac:dyDescent="0.25">
      <c r="A14">
        <f t="shared" si="0"/>
        <v>1</v>
      </c>
      <c r="B14" t="str">
        <f t="shared" si="1"/>
        <v/>
      </c>
      <c r="C14">
        <f t="shared" si="5"/>
        <v>1</v>
      </c>
      <c r="D14" s="4"/>
      <c r="F14" t="e">
        <f>INDEX(Establishment!B$2:B$1005,MATCH($E14,Establishment!$A$2:$A$1005,0))</f>
        <v>#N/A</v>
      </c>
      <c r="G14" t="e">
        <f>INDEX(Establishment!C$2:C$1005,MATCH($E14,Establishment!$A$2:$A$1005,0))</f>
        <v>#N/A</v>
      </c>
      <c r="M14">
        <f t="shared" si="6"/>
        <v>0</v>
      </c>
      <c r="N14">
        <f t="shared" si="4"/>
        <v>0</v>
      </c>
      <c r="P14" t="e">
        <f>INDEX(Items!B$2:B$1032,MATCH($O14,Items!$A$2:$A$1032,0))</f>
        <v>#N/A</v>
      </c>
      <c r="Q14" t="e">
        <f>INDEX(Items!C$2:C$1032,MATCH($O14,Items!$A$2:$A$1032,0))</f>
        <v>#N/A</v>
      </c>
      <c r="R14" t="e">
        <f>INDEX(Items!D$2:D$1032,MATCH($O14,Items!$A$2:$A$1032,0))</f>
        <v>#N/A</v>
      </c>
    </row>
    <row r="15" spans="1:19" x14ac:dyDescent="0.25">
      <c r="A15">
        <f t="shared" si="0"/>
        <v>1</v>
      </c>
      <c r="B15" t="str">
        <f t="shared" si="1"/>
        <v/>
      </c>
      <c r="C15">
        <f t="shared" si="5"/>
        <v>1</v>
      </c>
      <c r="D15" s="4"/>
      <c r="F15" t="e">
        <f>INDEX(Establishment!B$2:B$1005,MATCH($E15,Establishment!$A$2:$A$1005,0))</f>
        <v>#N/A</v>
      </c>
      <c r="G15" t="e">
        <f>INDEX(Establishment!C$2:C$1005,MATCH($E15,Establishment!$A$2:$A$1005,0))</f>
        <v>#N/A</v>
      </c>
      <c r="M15">
        <f>K15*L15</f>
        <v>0</v>
      </c>
      <c r="N15">
        <f t="shared" si="4"/>
        <v>0</v>
      </c>
      <c r="P15" t="e">
        <f>INDEX(Items!B$2:B$1032,MATCH($O15,Items!$A$2:$A$1032,0))</f>
        <v>#N/A</v>
      </c>
      <c r="Q15" t="e">
        <f>INDEX(Items!C$2:C$1032,MATCH($O15,Items!$A$2:$A$1032,0))</f>
        <v>#N/A</v>
      </c>
      <c r="R15" t="e">
        <f>INDEX(Items!D$2:D$1032,MATCH($O15,Items!$A$2:$A$1032,0))</f>
        <v>#N/A</v>
      </c>
    </row>
    <row r="16" spans="1:19" x14ac:dyDescent="0.25">
      <c r="A16">
        <f t="shared" si="0"/>
        <v>1</v>
      </c>
      <c r="B16" t="str">
        <f t="shared" si="1"/>
        <v/>
      </c>
      <c r="C16">
        <f t="shared" si="5"/>
        <v>1</v>
      </c>
      <c r="D16" s="4"/>
      <c r="F16" t="e">
        <f>INDEX(Establishment!B$2:B$1005,MATCH($E16,Establishment!$A$2:$A$1005,0))</f>
        <v>#N/A</v>
      </c>
      <c r="G16" t="e">
        <f>INDEX(Establishment!C$2:C$1005,MATCH($E16,Establishment!$A$2:$A$1005,0))</f>
        <v>#N/A</v>
      </c>
      <c r="M16">
        <f t="shared" si="6"/>
        <v>0</v>
      </c>
      <c r="N16">
        <f t="shared" si="4"/>
        <v>0</v>
      </c>
      <c r="P16" t="e">
        <f>INDEX(Items!B$2:B$1032,MATCH($O16,Items!$A$2:$A$1032,0))</f>
        <v>#N/A</v>
      </c>
      <c r="Q16" t="e">
        <f>INDEX(Items!C$2:C$1032,MATCH($O16,Items!$A$2:$A$1032,0))</f>
        <v>#N/A</v>
      </c>
      <c r="R16" t="e">
        <f>INDEX(Items!D$2:D$1032,MATCH($O16,Items!$A$2:$A$1032,0))</f>
        <v>#N/A</v>
      </c>
    </row>
    <row r="17" spans="1:18" x14ac:dyDescent="0.25">
      <c r="A17">
        <f t="shared" si="0"/>
        <v>1</v>
      </c>
      <c r="B17" t="str">
        <f t="shared" si="1"/>
        <v/>
      </c>
      <c r="C17">
        <f t="shared" si="5"/>
        <v>1</v>
      </c>
      <c r="D17" s="4"/>
      <c r="F17" t="e">
        <f>INDEX(Establishment!B$2:B$1005,MATCH($E17,Establishment!$A$2:$A$1005,0))</f>
        <v>#N/A</v>
      </c>
      <c r="G17" t="e">
        <f>INDEX(Establishment!C$2:C$1005,MATCH($E17,Establishment!$A$2:$A$1005,0))</f>
        <v>#N/A</v>
      </c>
      <c r="M17">
        <f t="shared" si="6"/>
        <v>0</v>
      </c>
      <c r="N17">
        <f t="shared" si="4"/>
        <v>0</v>
      </c>
      <c r="P17" t="e">
        <f>INDEX(Items!B$2:B$1032,MATCH($O17,Items!$A$2:$A$1032,0))</f>
        <v>#N/A</v>
      </c>
      <c r="Q17" t="e">
        <f>INDEX(Items!C$2:C$1032,MATCH($O17,Items!$A$2:$A$1032,0))</f>
        <v>#N/A</v>
      </c>
      <c r="R17" t="e">
        <f>INDEX(Items!D$2:D$1032,MATCH($O17,Items!$A$2:$A$1032,0))</f>
        <v>#N/A</v>
      </c>
    </row>
    <row r="18" spans="1:18" x14ac:dyDescent="0.25">
      <c r="A18">
        <f t="shared" si="0"/>
        <v>1</v>
      </c>
      <c r="B18" t="str">
        <f t="shared" si="1"/>
        <v/>
      </c>
      <c r="C18">
        <f t="shared" si="5"/>
        <v>1</v>
      </c>
      <c r="D18" s="4"/>
      <c r="F18" t="e">
        <f>INDEX(Establishment!B$2:B$1005,MATCH($E18,Establishment!$A$2:$A$1005,0))</f>
        <v>#N/A</v>
      </c>
      <c r="G18" t="e">
        <f>INDEX(Establishment!C$2:C$1005,MATCH($E18,Establishment!$A$2:$A$1005,0))</f>
        <v>#N/A</v>
      </c>
      <c r="M18">
        <f t="shared" si="6"/>
        <v>0</v>
      </c>
      <c r="N18">
        <f t="shared" si="4"/>
        <v>0</v>
      </c>
      <c r="P18" t="e">
        <f>INDEX(Items!B$2:B$1032,MATCH($O18,Items!$A$2:$A$1032,0))</f>
        <v>#N/A</v>
      </c>
      <c r="Q18" t="e">
        <f>INDEX(Items!C$2:C$1032,MATCH($O18,Items!$A$2:$A$1032,0))</f>
        <v>#N/A</v>
      </c>
      <c r="R18" t="e">
        <f>INDEX(Items!D$2:D$1032,MATCH($O18,Items!$A$2:$A$1032,0))</f>
        <v>#N/A</v>
      </c>
    </row>
    <row r="19" spans="1:18" x14ac:dyDescent="0.25">
      <c r="A19">
        <f t="shared" si="0"/>
        <v>1</v>
      </c>
      <c r="B19" t="str">
        <f t="shared" si="1"/>
        <v/>
      </c>
      <c r="C19">
        <f t="shared" si="5"/>
        <v>1</v>
      </c>
      <c r="D19" s="4"/>
      <c r="F19" t="e">
        <f>INDEX(Establishment!B$2:B$1005,MATCH($E19,Establishment!$A$2:$A$1005,0))</f>
        <v>#N/A</v>
      </c>
      <c r="G19" t="e">
        <f>INDEX(Establishment!C$2:C$1005,MATCH($E19,Establishment!$A$2:$A$1005,0))</f>
        <v>#N/A</v>
      </c>
      <c r="M19">
        <f t="shared" si="6"/>
        <v>0</v>
      </c>
      <c r="N19">
        <f t="shared" si="4"/>
        <v>0</v>
      </c>
      <c r="P19" t="e">
        <f>INDEX(Items!B$2:B$1032,MATCH($O19,Items!$A$2:$A$1032,0))</f>
        <v>#N/A</v>
      </c>
      <c r="Q19" t="e">
        <f>INDEX(Items!C$2:C$1032,MATCH($O19,Items!$A$2:$A$1032,0))</f>
        <v>#N/A</v>
      </c>
      <c r="R19" t="e">
        <f>INDEX(Items!D$2:D$1032,MATCH($O19,Items!$A$2:$A$1032,0))</f>
        <v>#N/A</v>
      </c>
    </row>
    <row r="20" spans="1:18" x14ac:dyDescent="0.25">
      <c r="A20">
        <f t="shared" si="0"/>
        <v>1</v>
      </c>
      <c r="B20" t="str">
        <f t="shared" si="1"/>
        <v/>
      </c>
      <c r="C20">
        <f t="shared" si="5"/>
        <v>1</v>
      </c>
      <c r="D20" s="4"/>
      <c r="F20" t="e">
        <f>INDEX(Establishment!B$2:B$1005,MATCH($E20,Establishment!$A$2:$A$1005,0))</f>
        <v>#N/A</v>
      </c>
      <c r="G20" t="e">
        <f>INDEX(Establishment!C$2:C$1005,MATCH($E20,Establishment!$A$2:$A$1005,0))</f>
        <v>#N/A</v>
      </c>
      <c r="M20">
        <f t="shared" si="6"/>
        <v>0</v>
      </c>
      <c r="N20">
        <f t="shared" si="4"/>
        <v>0</v>
      </c>
      <c r="P20" t="e">
        <f>INDEX(Items!B$2:B$1032,MATCH($O20,Items!$A$2:$A$1032,0))</f>
        <v>#N/A</v>
      </c>
      <c r="Q20" t="e">
        <f>INDEX(Items!C$2:C$1032,MATCH($O20,Items!$A$2:$A$1032,0))</f>
        <v>#N/A</v>
      </c>
      <c r="R20" t="e">
        <f>INDEX(Items!D$2:D$1032,MATCH($O20,Items!$A$2:$A$1032,0))</f>
        <v>#N/A</v>
      </c>
    </row>
    <row r="21" spans="1:18" x14ac:dyDescent="0.25">
      <c r="A21">
        <f t="shared" si="0"/>
        <v>1</v>
      </c>
      <c r="B21" t="str">
        <f t="shared" si="1"/>
        <v/>
      </c>
      <c r="C21">
        <f t="shared" si="5"/>
        <v>1</v>
      </c>
      <c r="D21" s="4"/>
      <c r="F21" t="e">
        <f>INDEX(Establishment!B$2:B$1005,MATCH($E21,Establishment!$A$2:$A$1005,0))</f>
        <v>#N/A</v>
      </c>
      <c r="G21" t="e">
        <f>INDEX(Establishment!C$2:C$1005,MATCH($E21,Establishment!$A$2:$A$1005,0))</f>
        <v>#N/A</v>
      </c>
      <c r="M21">
        <f t="shared" si="6"/>
        <v>0</v>
      </c>
      <c r="N21">
        <f t="shared" si="4"/>
        <v>0</v>
      </c>
      <c r="P21" t="e">
        <f>INDEX(Items!B$2:B$1032,MATCH($O21,Items!$A$2:$A$1032,0))</f>
        <v>#N/A</v>
      </c>
      <c r="Q21" t="e">
        <f>INDEX(Items!C$2:C$1032,MATCH($O21,Items!$A$2:$A$1032,0))</f>
        <v>#N/A</v>
      </c>
      <c r="R21" t="e">
        <f>INDEX(Items!D$2:D$1032,MATCH($O21,Items!$A$2:$A$1032,0))</f>
        <v>#N/A</v>
      </c>
    </row>
    <row r="22" spans="1:18" x14ac:dyDescent="0.25">
      <c r="A22">
        <f t="shared" si="0"/>
        <v>1</v>
      </c>
      <c r="B22" t="str">
        <f t="shared" si="1"/>
        <v/>
      </c>
      <c r="C22">
        <f t="shared" si="5"/>
        <v>1</v>
      </c>
      <c r="D22" s="4"/>
      <c r="F22" t="e">
        <f>INDEX(Establishment!B$2:B$1005,MATCH($E22,Establishment!$A$2:$A$1005,0))</f>
        <v>#N/A</v>
      </c>
      <c r="G22" t="e">
        <f>INDEX(Establishment!C$2:C$1005,MATCH($E22,Establishment!$A$2:$A$1005,0))</f>
        <v>#N/A</v>
      </c>
      <c r="M22">
        <f t="shared" si="6"/>
        <v>0</v>
      </c>
      <c r="N22">
        <f t="shared" si="4"/>
        <v>0</v>
      </c>
      <c r="P22" t="e">
        <f>INDEX(Items!B$2:B$1032,MATCH($O22,Items!$A$2:$A$1032,0))</f>
        <v>#N/A</v>
      </c>
      <c r="Q22" t="e">
        <f>INDEX(Items!C$2:C$1032,MATCH($O22,Items!$A$2:$A$1032,0))</f>
        <v>#N/A</v>
      </c>
      <c r="R22" t="e">
        <f>INDEX(Items!D$2:D$1032,MATCH($O22,Items!$A$2:$A$1032,0))</f>
        <v>#N/A</v>
      </c>
    </row>
    <row r="23" spans="1:18" x14ac:dyDescent="0.25">
      <c r="A23">
        <f t="shared" si="0"/>
        <v>1</v>
      </c>
      <c r="B23" t="str">
        <f t="shared" si="1"/>
        <v/>
      </c>
      <c r="C23">
        <f t="shared" si="5"/>
        <v>1</v>
      </c>
      <c r="D23" s="4"/>
      <c r="F23" t="e">
        <f>INDEX(Establishment!B$2:B$1005,MATCH($E23,Establishment!$A$2:$A$1005,0))</f>
        <v>#N/A</v>
      </c>
      <c r="G23" t="e">
        <f>INDEX(Establishment!C$2:C$1005,MATCH($E23,Establishment!$A$2:$A$1005,0))</f>
        <v>#N/A</v>
      </c>
      <c r="M23">
        <f t="shared" si="6"/>
        <v>0</v>
      </c>
      <c r="N23">
        <f t="shared" si="4"/>
        <v>0</v>
      </c>
      <c r="P23" t="e">
        <f>INDEX(Items!B$2:B$1032,MATCH($O23,Items!$A$2:$A$1032,0))</f>
        <v>#N/A</v>
      </c>
      <c r="Q23" t="e">
        <f>INDEX(Items!C$2:C$1032,MATCH($O23,Items!$A$2:$A$1032,0))</f>
        <v>#N/A</v>
      </c>
      <c r="R23" t="e">
        <f>INDEX(Items!D$2:D$1032,MATCH($O23,Items!$A$2:$A$1032,0))</f>
        <v>#N/A</v>
      </c>
    </row>
    <row r="24" spans="1:18" x14ac:dyDescent="0.25">
      <c r="A24">
        <f t="shared" si="0"/>
        <v>1</v>
      </c>
      <c r="B24" t="str">
        <f t="shared" si="1"/>
        <v/>
      </c>
      <c r="C24">
        <f t="shared" si="5"/>
        <v>1</v>
      </c>
      <c r="D24" s="4"/>
      <c r="F24" t="e">
        <f>INDEX(Establishment!B$2:B$1005,MATCH($E24,Establishment!$A$2:$A$1005,0))</f>
        <v>#N/A</v>
      </c>
      <c r="G24" t="e">
        <f>INDEX(Establishment!C$2:C$1005,MATCH($E24,Establishment!$A$2:$A$1005,0))</f>
        <v>#N/A</v>
      </c>
      <c r="M24">
        <f t="shared" si="6"/>
        <v>0</v>
      </c>
      <c r="N24">
        <f t="shared" si="4"/>
        <v>0</v>
      </c>
      <c r="P24" t="e">
        <f>INDEX(Items!B$2:B$1032,MATCH($O24,Items!$A$2:$A$1032,0))</f>
        <v>#N/A</v>
      </c>
      <c r="Q24" t="e">
        <f>INDEX(Items!C$2:C$1032,MATCH($O24,Items!$A$2:$A$1032,0))</f>
        <v>#N/A</v>
      </c>
      <c r="R24" t="e">
        <f>INDEX(Items!D$2:D$1032,MATCH($O24,Items!$A$2:$A$1032,0))</f>
        <v>#N/A</v>
      </c>
    </row>
    <row r="25" spans="1:18" x14ac:dyDescent="0.25">
      <c r="A25">
        <f t="shared" si="0"/>
        <v>1</v>
      </c>
      <c r="B25" t="str">
        <f t="shared" si="1"/>
        <v/>
      </c>
      <c r="C25">
        <f t="shared" si="5"/>
        <v>1</v>
      </c>
      <c r="D25" s="4"/>
      <c r="F25" t="e">
        <f>INDEX(Establishment!B$2:B$1005,MATCH($E25,Establishment!$A$2:$A$1005,0))</f>
        <v>#N/A</v>
      </c>
      <c r="G25" t="e">
        <f>INDEX(Establishment!C$2:C$1005,MATCH($E25,Establishment!$A$2:$A$1005,0))</f>
        <v>#N/A</v>
      </c>
      <c r="M25">
        <f t="shared" si="6"/>
        <v>0</v>
      </c>
      <c r="N25">
        <f t="shared" si="4"/>
        <v>0</v>
      </c>
      <c r="P25" t="e">
        <f>INDEX(Items!B$2:B$1032,MATCH($O25,Items!$A$2:$A$1032,0))</f>
        <v>#N/A</v>
      </c>
      <c r="Q25" t="e">
        <f>INDEX(Items!C$2:C$1032,MATCH($O25,Items!$A$2:$A$1032,0))</f>
        <v>#N/A</v>
      </c>
      <c r="R25" t="e">
        <f>INDEX(Items!D$2:D$1032,MATCH($O25,Items!$A$2:$A$1032,0))</f>
        <v>#N/A</v>
      </c>
    </row>
    <row r="26" spans="1:18" x14ac:dyDescent="0.25">
      <c r="A26">
        <f t="shared" si="0"/>
        <v>1</v>
      </c>
      <c r="B26" t="str">
        <f t="shared" si="1"/>
        <v/>
      </c>
      <c r="C26">
        <f t="shared" si="5"/>
        <v>1</v>
      </c>
      <c r="D26" s="4"/>
      <c r="F26" t="s">
        <v>43</v>
      </c>
      <c r="G26" t="s">
        <v>44</v>
      </c>
      <c r="M26">
        <f t="shared" si="6"/>
        <v>0</v>
      </c>
      <c r="N26">
        <f t="shared" si="4"/>
        <v>0</v>
      </c>
      <c r="P26" t="e">
        <f>INDEX(Items!B$2:B$1032,MATCH($O26,Items!$A$2:$A$1032,0))</f>
        <v>#N/A</v>
      </c>
      <c r="Q26" t="e">
        <f>INDEX(Items!C$2:C$1032,MATCH($O26,Items!$A$2:$A$1032,0))</f>
        <v>#N/A</v>
      </c>
      <c r="R26" t="e">
        <f>INDEX(Items!D$2:D$1032,MATCH($O26,Items!$A$2:$A$1032,0))</f>
        <v>#N/A</v>
      </c>
    </row>
    <row r="27" spans="1:18" x14ac:dyDescent="0.25">
      <c r="A27">
        <f t="shared" si="0"/>
        <v>1</v>
      </c>
      <c r="B27" t="str">
        <f t="shared" si="1"/>
        <v/>
      </c>
      <c r="C27">
        <f t="shared" si="5"/>
        <v>1</v>
      </c>
      <c r="D27" s="4"/>
      <c r="F27" t="s">
        <v>43</v>
      </c>
      <c r="G27" t="s">
        <v>44</v>
      </c>
      <c r="M27">
        <f t="shared" si="6"/>
        <v>0</v>
      </c>
      <c r="N27">
        <f t="shared" si="4"/>
        <v>0</v>
      </c>
      <c r="P27" t="e">
        <f>INDEX(Items!B$2:B$1032,MATCH($O27,Items!$A$2:$A$1032,0))</f>
        <v>#N/A</v>
      </c>
      <c r="Q27" t="e">
        <f>INDEX(Items!C$2:C$1032,MATCH($O27,Items!$A$2:$A$1032,0))</f>
        <v>#N/A</v>
      </c>
      <c r="R27" t="e">
        <f>INDEX(Items!D$2:D$1032,MATCH($O27,Items!$A$2:$A$1032,0))</f>
        <v>#N/A</v>
      </c>
    </row>
    <row r="28" spans="1:18" x14ac:dyDescent="0.25">
      <c r="A28">
        <f t="shared" si="0"/>
        <v>1</v>
      </c>
      <c r="B28" t="str">
        <f t="shared" si="1"/>
        <v/>
      </c>
      <c r="C28">
        <f t="shared" si="5"/>
        <v>1</v>
      </c>
      <c r="D28" s="4"/>
      <c r="F28" t="s">
        <v>43</v>
      </c>
      <c r="G28" t="s">
        <v>44</v>
      </c>
      <c r="M28">
        <f t="shared" si="6"/>
        <v>0</v>
      </c>
      <c r="N28">
        <f t="shared" si="4"/>
        <v>0</v>
      </c>
      <c r="P28" t="e">
        <f>INDEX(Items!B$2:B$1032,MATCH($O28,Items!$A$2:$A$1032,0))</f>
        <v>#N/A</v>
      </c>
      <c r="Q28" t="e">
        <f>INDEX(Items!C$2:C$1032,MATCH($O28,Items!$A$2:$A$1032,0))</f>
        <v>#N/A</v>
      </c>
      <c r="R28" t="e">
        <f>INDEX(Items!D$2:D$1032,MATCH($O28,Items!$A$2:$A$1032,0))</f>
        <v>#N/A</v>
      </c>
    </row>
    <row r="29" spans="1:18" x14ac:dyDescent="0.25">
      <c r="A29">
        <f t="shared" si="0"/>
        <v>1</v>
      </c>
      <c r="B29" t="str">
        <f t="shared" si="1"/>
        <v/>
      </c>
      <c r="C29">
        <f t="shared" si="5"/>
        <v>1</v>
      </c>
      <c r="D29" s="4"/>
      <c r="F29" t="e">
        <f>INDEX(Establishment!B$2:B$1005,MATCH($E29,Establishment!$A$2:$A$1005,0))</f>
        <v>#N/A</v>
      </c>
      <c r="G29" t="e">
        <f>INDEX(Establishment!C$2:C$1005,MATCH($E29,Establishment!$A$2:$A$1005,0))</f>
        <v>#N/A</v>
      </c>
      <c r="M29">
        <f t="shared" si="6"/>
        <v>0</v>
      </c>
      <c r="N29">
        <f t="shared" si="4"/>
        <v>0</v>
      </c>
      <c r="P29" t="e">
        <f>INDEX(Items!B$2:B$1032,MATCH($O29,Items!$A$2:$A$1032,0))</f>
        <v>#N/A</v>
      </c>
      <c r="Q29" t="e">
        <f>INDEX(Items!C$2:C$1032,MATCH($O29,Items!$A$2:$A$1032,0))</f>
        <v>#N/A</v>
      </c>
      <c r="R29" t="e">
        <f>INDEX(Items!D$2:D$1032,MATCH($O29,Items!$A$2:$A$1032,0))</f>
        <v>#N/A</v>
      </c>
    </row>
    <row r="30" spans="1:18" x14ac:dyDescent="0.25">
      <c r="A30">
        <f t="shared" si="0"/>
        <v>1</v>
      </c>
      <c r="B30" t="str">
        <f t="shared" si="1"/>
        <v/>
      </c>
      <c r="C30">
        <f t="shared" si="5"/>
        <v>1</v>
      </c>
      <c r="D30" s="4"/>
      <c r="F30" t="e">
        <f>INDEX(Establishment!B$2:B$1005,MATCH($E30,Establishment!$A$2:$A$1005,0))</f>
        <v>#N/A</v>
      </c>
      <c r="G30" t="e">
        <f>INDEX(Establishment!C$2:C$1005,MATCH($E30,Establishment!$A$2:$A$1005,0))</f>
        <v>#N/A</v>
      </c>
      <c r="M30">
        <f t="shared" si="6"/>
        <v>0</v>
      </c>
      <c r="N30">
        <f t="shared" si="4"/>
        <v>0</v>
      </c>
      <c r="P30" t="e">
        <f>INDEX(Items!B$2:B$1032,MATCH($O30,Items!$A$2:$A$1032,0))</f>
        <v>#N/A</v>
      </c>
      <c r="Q30" t="e">
        <f>INDEX(Items!C$2:C$1032,MATCH($O30,Items!$A$2:$A$1032,0))</f>
        <v>#N/A</v>
      </c>
      <c r="R30" t="e">
        <f>INDEX(Items!D$2:D$1032,MATCH($O30,Items!$A$2:$A$1032,0))</f>
        <v>#N/A</v>
      </c>
    </row>
    <row r="31" spans="1:18" x14ac:dyDescent="0.25">
      <c r="A31">
        <f t="shared" si="0"/>
        <v>1</v>
      </c>
      <c r="B31" t="str">
        <f t="shared" si="1"/>
        <v/>
      </c>
      <c r="C31">
        <f t="shared" si="5"/>
        <v>1</v>
      </c>
      <c r="D31" s="4"/>
      <c r="F31" t="e">
        <f>INDEX(Establishment!B$2:B$1005,MATCH($E31,Establishment!$A$2:$A$1005,0))</f>
        <v>#N/A</v>
      </c>
      <c r="G31" t="e">
        <f>INDEX(Establishment!C$2:C$1005,MATCH($E31,Establishment!$A$2:$A$1005,0))</f>
        <v>#N/A</v>
      </c>
      <c r="M31">
        <f t="shared" si="6"/>
        <v>0</v>
      </c>
      <c r="N31">
        <f t="shared" si="4"/>
        <v>0</v>
      </c>
      <c r="P31" t="e">
        <f>INDEX(Items!B$2:B$1032,MATCH($O31,Items!$A$2:$A$1032,0))</f>
        <v>#N/A</v>
      </c>
      <c r="Q31" t="e">
        <f>INDEX(Items!C$2:C$1032,MATCH($O31,Items!$A$2:$A$1032,0))</f>
        <v>#N/A</v>
      </c>
      <c r="R31" t="e">
        <f>INDEX(Items!D$2:D$1032,MATCH($O31,Items!$A$2:$A$1032,0))</f>
        <v>#N/A</v>
      </c>
    </row>
    <row r="32" spans="1:18" x14ac:dyDescent="0.25">
      <c r="A32">
        <f t="shared" si="0"/>
        <v>1</v>
      </c>
      <c r="B32" t="str">
        <f t="shared" si="1"/>
        <v/>
      </c>
      <c r="C32">
        <f t="shared" si="5"/>
        <v>1</v>
      </c>
      <c r="D32" s="4"/>
      <c r="F32" t="s">
        <v>43</v>
      </c>
      <c r="G32" t="s">
        <v>46</v>
      </c>
      <c r="M32">
        <f t="shared" si="6"/>
        <v>0</v>
      </c>
      <c r="N32">
        <f t="shared" si="4"/>
        <v>0</v>
      </c>
      <c r="P32" t="e">
        <f>INDEX(Items!B$2:B$1032,MATCH($O32,Items!$A$2:$A$1032,0))</f>
        <v>#N/A</v>
      </c>
      <c r="Q32" t="e">
        <f>INDEX(Items!C$2:C$1032,MATCH($O32,Items!$A$2:$A$1032,0))</f>
        <v>#N/A</v>
      </c>
      <c r="R32" t="e">
        <f>INDEX(Items!D$2:D$1032,MATCH($O32,Items!$A$2:$A$1032,0))</f>
        <v>#N/A</v>
      </c>
    </row>
    <row r="33" spans="1:18" x14ac:dyDescent="0.25">
      <c r="A33">
        <f t="shared" si="0"/>
        <v>1</v>
      </c>
      <c r="B33" t="str">
        <f t="shared" si="1"/>
        <v/>
      </c>
      <c r="C33">
        <f t="shared" si="5"/>
        <v>1</v>
      </c>
      <c r="D33" s="4"/>
      <c r="F33" t="s">
        <v>43</v>
      </c>
      <c r="G33" t="s">
        <v>46</v>
      </c>
      <c r="M33">
        <f t="shared" si="6"/>
        <v>0</v>
      </c>
      <c r="N33">
        <f t="shared" si="4"/>
        <v>0</v>
      </c>
      <c r="P33" t="e">
        <f>INDEX(Items!B$2:B$1032,MATCH($O33,Items!$A$2:$A$1032,0))</f>
        <v>#N/A</v>
      </c>
      <c r="Q33" t="e">
        <f>INDEX(Items!C$2:C$1032,MATCH($O33,Items!$A$2:$A$1032,0))</f>
        <v>#N/A</v>
      </c>
      <c r="R33" t="e">
        <f>INDEX(Items!D$2:D$1032,MATCH($O33,Items!$A$2:$A$1032,0))</f>
        <v>#N/A</v>
      </c>
    </row>
    <row r="34" spans="1:18" x14ac:dyDescent="0.25">
      <c r="A34">
        <f t="shared" si="0"/>
        <v>1</v>
      </c>
      <c r="B34" t="str">
        <f t="shared" si="1"/>
        <v/>
      </c>
      <c r="C34">
        <f t="shared" si="5"/>
        <v>1</v>
      </c>
      <c r="D34" s="4"/>
      <c r="F34" t="s">
        <v>43</v>
      </c>
      <c r="G34" t="s">
        <v>46</v>
      </c>
      <c r="M34">
        <f t="shared" si="6"/>
        <v>0</v>
      </c>
      <c r="N34">
        <f t="shared" si="4"/>
        <v>0</v>
      </c>
      <c r="P34" t="e">
        <f>INDEX(Items!B$2:B$1032,MATCH($O34,Items!$A$2:$A$1032,0))</f>
        <v>#N/A</v>
      </c>
      <c r="Q34" t="e">
        <f>INDEX(Items!C$2:C$1032,MATCH($O34,Items!$A$2:$A$1032,0))</f>
        <v>#N/A</v>
      </c>
      <c r="R34" t="e">
        <f>INDEX(Items!D$2:D$1032,MATCH($O34,Items!$A$2:$A$1032,0))</f>
        <v>#N/A</v>
      </c>
    </row>
    <row r="35" spans="1:18" x14ac:dyDescent="0.25">
      <c r="A35">
        <f t="shared" si="0"/>
        <v>1</v>
      </c>
      <c r="B35" t="str">
        <f t="shared" si="1"/>
        <v/>
      </c>
      <c r="C35">
        <f t="shared" si="5"/>
        <v>1</v>
      </c>
      <c r="D35" s="4"/>
      <c r="F35" t="s">
        <v>43</v>
      </c>
      <c r="G35" t="s">
        <v>46</v>
      </c>
      <c r="M35">
        <f t="shared" si="6"/>
        <v>0</v>
      </c>
      <c r="N35">
        <f t="shared" si="4"/>
        <v>0</v>
      </c>
      <c r="P35" t="e">
        <f>INDEX(Items!B$2:B$1032,MATCH($O35,Items!$A$2:$A$1032,0))</f>
        <v>#N/A</v>
      </c>
      <c r="Q35" t="e">
        <f>INDEX(Items!C$2:C$1032,MATCH($O35,Items!$A$2:$A$1032,0))</f>
        <v>#N/A</v>
      </c>
      <c r="R35" t="e">
        <f>INDEX(Items!D$2:D$1032,MATCH($O35,Items!$A$2:$A$1032,0))</f>
        <v>#N/A</v>
      </c>
    </row>
    <row r="36" spans="1:18" x14ac:dyDescent="0.25">
      <c r="A36">
        <f t="shared" si="0"/>
        <v>1</v>
      </c>
      <c r="B36" t="str">
        <f t="shared" si="1"/>
        <v/>
      </c>
      <c r="C36">
        <f t="shared" si="5"/>
        <v>1</v>
      </c>
      <c r="D36" s="4"/>
      <c r="F36" t="s">
        <v>47</v>
      </c>
      <c r="G36" t="s">
        <v>46</v>
      </c>
      <c r="M36">
        <f t="shared" si="6"/>
        <v>0</v>
      </c>
      <c r="N36">
        <f t="shared" si="4"/>
        <v>0</v>
      </c>
      <c r="P36" t="e">
        <f>INDEX(Items!B$2:B$1032,MATCH($O36,Items!$A$2:$A$1032,0))</f>
        <v>#N/A</v>
      </c>
      <c r="Q36" t="e">
        <f>INDEX(Items!C$2:C$1032,MATCH($O36,Items!$A$2:$A$1032,0))</f>
        <v>#N/A</v>
      </c>
      <c r="R36" t="e">
        <f>INDEX(Items!D$2:D$1032,MATCH($O36,Items!$A$2:$A$1032,0))</f>
        <v>#N/A</v>
      </c>
    </row>
    <row r="37" spans="1:18" x14ac:dyDescent="0.25">
      <c r="A37">
        <f t="shared" si="0"/>
        <v>1</v>
      </c>
      <c r="B37" t="str">
        <f t="shared" si="1"/>
        <v/>
      </c>
      <c r="C37">
        <f t="shared" si="5"/>
        <v>1</v>
      </c>
      <c r="D37" s="4"/>
      <c r="F37" t="s">
        <v>47</v>
      </c>
      <c r="G37" t="s">
        <v>46</v>
      </c>
      <c r="M37">
        <f t="shared" si="6"/>
        <v>0</v>
      </c>
      <c r="N37">
        <f t="shared" si="4"/>
        <v>0</v>
      </c>
      <c r="P37" t="e">
        <f>INDEX(Items!B$2:B$1032,MATCH($O37,Items!$A$2:$A$1032,0))</f>
        <v>#N/A</v>
      </c>
      <c r="Q37" t="e">
        <f>INDEX(Items!C$2:C$1032,MATCH($O37,Items!$A$2:$A$1032,0))</f>
        <v>#N/A</v>
      </c>
      <c r="R37" t="e">
        <f>INDEX(Items!D$2:D$1032,MATCH($O37,Items!$A$2:$A$1032,0))</f>
        <v>#N/A</v>
      </c>
    </row>
    <row r="38" spans="1:18" x14ac:dyDescent="0.25">
      <c r="A38">
        <f t="shared" si="0"/>
        <v>1</v>
      </c>
      <c r="B38" t="str">
        <f t="shared" si="1"/>
        <v/>
      </c>
      <c r="C38">
        <f t="shared" si="5"/>
        <v>1</v>
      </c>
      <c r="D38" s="4"/>
      <c r="F38" t="s">
        <v>47</v>
      </c>
      <c r="G38" t="s">
        <v>46</v>
      </c>
      <c r="M38">
        <f t="shared" si="6"/>
        <v>0</v>
      </c>
      <c r="N38">
        <f t="shared" si="4"/>
        <v>0</v>
      </c>
      <c r="P38" t="e">
        <f>INDEX(Items!B$2:B$1032,MATCH($O38,Items!$A$2:$A$1032,0))</f>
        <v>#N/A</v>
      </c>
      <c r="Q38" t="e">
        <f>INDEX(Items!C$2:C$1032,MATCH($O38,Items!$A$2:$A$1032,0))</f>
        <v>#N/A</v>
      </c>
      <c r="R38" t="e">
        <f>INDEX(Items!D$2:D$1032,MATCH($O38,Items!$A$2:$A$1032,0))</f>
        <v>#N/A</v>
      </c>
    </row>
    <row r="39" spans="1:18" x14ac:dyDescent="0.25">
      <c r="A39">
        <f t="shared" si="0"/>
        <v>1</v>
      </c>
      <c r="B39" t="str">
        <f t="shared" si="1"/>
        <v/>
      </c>
      <c r="C39">
        <f t="shared" si="5"/>
        <v>1</v>
      </c>
      <c r="D39" s="4"/>
      <c r="F39" t="s">
        <v>47</v>
      </c>
      <c r="G39" t="s">
        <v>46</v>
      </c>
      <c r="M39">
        <f t="shared" si="6"/>
        <v>0</v>
      </c>
      <c r="N39">
        <f t="shared" si="4"/>
        <v>0</v>
      </c>
      <c r="P39" t="e">
        <f>INDEX(Items!B$2:B$1032,MATCH($O39,Items!$A$2:$A$1032,0))</f>
        <v>#N/A</v>
      </c>
      <c r="Q39" t="e">
        <f>INDEX(Items!C$2:C$1032,MATCH($O39,Items!$A$2:$A$1032,0))</f>
        <v>#N/A</v>
      </c>
      <c r="R39" t="e">
        <f>INDEX(Items!D$2:D$1032,MATCH($O39,Items!$A$2:$A$1032,0))</f>
        <v>#N/A</v>
      </c>
    </row>
    <row r="40" spans="1:18" x14ac:dyDescent="0.25">
      <c r="A40">
        <f t="shared" si="0"/>
        <v>1</v>
      </c>
      <c r="B40" t="str">
        <f t="shared" si="1"/>
        <v/>
      </c>
      <c r="C40">
        <f t="shared" si="5"/>
        <v>1</v>
      </c>
      <c r="D40" s="4"/>
      <c r="F40" t="s">
        <v>47</v>
      </c>
      <c r="G40" t="s">
        <v>46</v>
      </c>
      <c r="M40">
        <f t="shared" si="6"/>
        <v>0</v>
      </c>
      <c r="N40">
        <f t="shared" si="4"/>
        <v>0</v>
      </c>
      <c r="P40" t="e">
        <f>INDEX(Items!B$2:B$1032,MATCH($O40,Items!$A$2:$A$1032,0))</f>
        <v>#N/A</v>
      </c>
      <c r="Q40" t="e">
        <f>INDEX(Items!C$2:C$1032,MATCH($O40,Items!$A$2:$A$1032,0))</f>
        <v>#N/A</v>
      </c>
      <c r="R40" t="e">
        <f>INDEX(Items!D$2:D$1032,MATCH($O40,Items!$A$2:$A$1032,0))</f>
        <v>#N/A</v>
      </c>
    </row>
    <row r="41" spans="1:18" x14ac:dyDescent="0.25">
      <c r="A41">
        <f t="shared" si="0"/>
        <v>1</v>
      </c>
      <c r="B41" t="str">
        <f t="shared" si="1"/>
        <v/>
      </c>
      <c r="C41">
        <f t="shared" si="5"/>
        <v>1</v>
      </c>
      <c r="D41" s="4"/>
      <c r="F41" t="s">
        <v>47</v>
      </c>
      <c r="G41" t="s">
        <v>46</v>
      </c>
      <c r="M41">
        <f t="shared" si="6"/>
        <v>0</v>
      </c>
      <c r="N41">
        <f t="shared" si="4"/>
        <v>0</v>
      </c>
      <c r="P41" t="e">
        <f>INDEX(Items!B$2:B$1032,MATCH($O41,Items!$A$2:$A$1032,0))</f>
        <v>#N/A</v>
      </c>
      <c r="Q41" t="e">
        <f>INDEX(Items!C$2:C$1032,MATCH($O41,Items!$A$2:$A$1032,0))</f>
        <v>#N/A</v>
      </c>
      <c r="R41" t="e">
        <f>INDEX(Items!D$2:D$1032,MATCH($O41,Items!$A$2:$A$1032,0))</f>
        <v>#N/A</v>
      </c>
    </row>
    <row r="42" spans="1:18" x14ac:dyDescent="0.25">
      <c r="A42">
        <f t="shared" si="0"/>
        <v>1</v>
      </c>
      <c r="B42" t="str">
        <f t="shared" si="1"/>
        <v/>
      </c>
      <c r="C42">
        <f t="shared" si="5"/>
        <v>1</v>
      </c>
      <c r="D42" s="4"/>
      <c r="F42" t="s">
        <v>47</v>
      </c>
      <c r="G42" t="s">
        <v>46</v>
      </c>
      <c r="M42">
        <f t="shared" si="6"/>
        <v>0</v>
      </c>
      <c r="N42">
        <f t="shared" si="4"/>
        <v>0</v>
      </c>
      <c r="P42" t="e">
        <f>INDEX(Items!B$2:B$1032,MATCH($O42,Items!$A$2:$A$1032,0))</f>
        <v>#N/A</v>
      </c>
      <c r="Q42" t="e">
        <f>INDEX(Items!C$2:C$1032,MATCH($O42,Items!$A$2:$A$1032,0))</f>
        <v>#N/A</v>
      </c>
      <c r="R42" t="e">
        <f>INDEX(Items!D$2:D$1032,MATCH($O42,Items!$A$2:$A$1032,0))</f>
        <v>#N/A</v>
      </c>
    </row>
    <row r="43" spans="1:18" x14ac:dyDescent="0.25">
      <c r="A43">
        <f t="shared" si="0"/>
        <v>1</v>
      </c>
      <c r="B43" t="str">
        <f t="shared" si="1"/>
        <v/>
      </c>
      <c r="C43">
        <f t="shared" si="5"/>
        <v>1</v>
      </c>
      <c r="D43" s="4"/>
      <c r="F43" t="s">
        <v>47</v>
      </c>
      <c r="G43" t="s">
        <v>46</v>
      </c>
      <c r="M43">
        <f t="shared" si="6"/>
        <v>0</v>
      </c>
      <c r="N43">
        <f t="shared" si="4"/>
        <v>0</v>
      </c>
      <c r="P43" t="e">
        <f>INDEX(Items!B$2:B$1032,MATCH($O43,Items!$A$2:$A$1032,0))</f>
        <v>#N/A</v>
      </c>
      <c r="Q43" t="e">
        <f>INDEX(Items!C$2:C$1032,MATCH($O43,Items!$A$2:$A$1032,0))</f>
        <v>#N/A</v>
      </c>
      <c r="R43" t="e">
        <f>INDEX(Items!D$2:D$1032,MATCH($O43,Items!$A$2:$A$1032,0))</f>
        <v>#N/A</v>
      </c>
    </row>
    <row r="44" spans="1:18" x14ac:dyDescent="0.25">
      <c r="A44">
        <f t="shared" si="0"/>
        <v>1</v>
      </c>
      <c r="B44" t="str">
        <f t="shared" si="1"/>
        <v/>
      </c>
      <c r="C44">
        <f t="shared" si="5"/>
        <v>1</v>
      </c>
      <c r="D44" s="4"/>
      <c r="F44" t="s">
        <v>43</v>
      </c>
      <c r="G44" t="s">
        <v>48</v>
      </c>
      <c r="M44">
        <f t="shared" si="6"/>
        <v>0</v>
      </c>
      <c r="N44">
        <f t="shared" si="4"/>
        <v>0</v>
      </c>
      <c r="P44" t="e">
        <f>INDEX(Items!B$2:B$1032,MATCH($O44,Items!$A$2:$A$1032,0))</f>
        <v>#N/A</v>
      </c>
      <c r="Q44" t="e">
        <f>INDEX(Items!C$2:C$1032,MATCH($O44,Items!$A$2:$A$1032,0))</f>
        <v>#N/A</v>
      </c>
      <c r="R44" t="e">
        <f>INDEX(Items!D$2:D$1032,MATCH($O44,Items!$A$2:$A$1032,0))</f>
        <v>#N/A</v>
      </c>
    </row>
    <row r="45" spans="1:18" x14ac:dyDescent="0.25">
      <c r="A45">
        <f t="shared" si="0"/>
        <v>1</v>
      </c>
      <c r="B45" t="str">
        <f t="shared" si="1"/>
        <v/>
      </c>
      <c r="C45">
        <f t="shared" si="5"/>
        <v>1</v>
      </c>
      <c r="D45" s="4"/>
      <c r="F45" t="s">
        <v>43</v>
      </c>
      <c r="G45" t="s">
        <v>48</v>
      </c>
      <c r="M45">
        <f t="shared" si="6"/>
        <v>0</v>
      </c>
      <c r="N45">
        <f t="shared" si="4"/>
        <v>0</v>
      </c>
      <c r="P45" t="e">
        <f>INDEX(Items!B$2:B$1032,MATCH($O45,Items!$A$2:$A$1032,0))</f>
        <v>#N/A</v>
      </c>
      <c r="Q45" t="e">
        <f>INDEX(Items!C$2:C$1032,MATCH($O45,Items!$A$2:$A$1032,0))</f>
        <v>#N/A</v>
      </c>
      <c r="R45" t="e">
        <f>INDEX(Items!D$2:D$1032,MATCH($O45,Items!$A$2:$A$1032,0))</f>
        <v>#N/A</v>
      </c>
    </row>
    <row r="46" spans="1:18" x14ac:dyDescent="0.25">
      <c r="A46">
        <f t="shared" si="0"/>
        <v>1</v>
      </c>
      <c r="B46" t="str">
        <f t="shared" si="1"/>
        <v/>
      </c>
      <c r="C46">
        <f t="shared" si="5"/>
        <v>1</v>
      </c>
      <c r="D46" s="4"/>
      <c r="F46" t="e">
        <f>INDEX(Establishment!B$2:B$1005,MATCH($E46,Establishment!$A$2:$A$1005,0))</f>
        <v>#N/A</v>
      </c>
      <c r="G46" t="e">
        <f>INDEX(Establishment!C$2:C$1005,MATCH($E46,Establishment!$A$2:$A$1005,0))</f>
        <v>#N/A</v>
      </c>
      <c r="M46">
        <f t="shared" si="6"/>
        <v>0</v>
      </c>
      <c r="N46">
        <f t="shared" si="4"/>
        <v>0</v>
      </c>
      <c r="P46" t="e">
        <f>INDEX(Items!B$2:B$1032,MATCH($O46,Items!$A$2:$A$1032,0))</f>
        <v>#N/A</v>
      </c>
      <c r="Q46" t="e">
        <f>INDEX(Items!C$2:C$1032,MATCH($O46,Items!$A$2:$A$1032,0))</f>
        <v>#N/A</v>
      </c>
      <c r="R46" t="e">
        <f>INDEX(Items!D$2:D$1032,MATCH($O46,Items!$A$2:$A$1032,0))</f>
        <v>#N/A</v>
      </c>
    </row>
    <row r="47" spans="1:18" x14ac:dyDescent="0.25">
      <c r="A47">
        <f t="shared" si="0"/>
        <v>1</v>
      </c>
      <c r="B47" t="str">
        <f t="shared" si="1"/>
        <v/>
      </c>
      <c r="C47">
        <f t="shared" si="5"/>
        <v>1</v>
      </c>
      <c r="D47" s="4"/>
      <c r="F47" t="e">
        <f>INDEX(Establishment!B$2:B$1005,MATCH($E47,Establishment!$A$2:$A$1005,0))</f>
        <v>#N/A</v>
      </c>
      <c r="G47" t="e">
        <f>INDEX(Establishment!C$2:C$1005,MATCH($E47,Establishment!$A$2:$A$1005,0))</f>
        <v>#N/A</v>
      </c>
      <c r="M47">
        <f t="shared" si="6"/>
        <v>0</v>
      </c>
      <c r="N47">
        <f t="shared" si="4"/>
        <v>0</v>
      </c>
      <c r="P47" t="e">
        <f>INDEX(Items!B$2:B$1032,MATCH($O47,Items!$A$2:$A$1032,0))</f>
        <v>#N/A</v>
      </c>
      <c r="Q47" t="e">
        <f>INDEX(Items!C$2:C$1032,MATCH($O47,Items!$A$2:$A$1032,0))</f>
        <v>#N/A</v>
      </c>
      <c r="R47" t="e">
        <f>INDEX(Items!D$2:D$1032,MATCH($O47,Items!$A$2:$A$1032,0))</f>
        <v>#N/A</v>
      </c>
    </row>
    <row r="48" spans="1:18" x14ac:dyDescent="0.25">
      <c r="A48">
        <f t="shared" si="0"/>
        <v>1</v>
      </c>
      <c r="B48" t="str">
        <f t="shared" si="1"/>
        <v/>
      </c>
      <c r="C48">
        <f t="shared" si="5"/>
        <v>1</v>
      </c>
      <c r="D48" s="4"/>
      <c r="F48" t="e">
        <f>INDEX(Establishment!B$2:B$1005,MATCH($E48,Establishment!$A$2:$A$1005,0))</f>
        <v>#N/A</v>
      </c>
      <c r="G48" t="e">
        <f>INDEX(Establishment!C$2:C$1005,MATCH($E48,Establishment!$A$2:$A$1005,0))</f>
        <v>#N/A</v>
      </c>
      <c r="M48">
        <f t="shared" si="6"/>
        <v>0</v>
      </c>
      <c r="N48">
        <f t="shared" si="4"/>
        <v>0</v>
      </c>
      <c r="P48" t="e">
        <f>INDEX(Items!B$2:B$1032,MATCH($O48,Items!$A$2:$A$1032,0))</f>
        <v>#N/A</v>
      </c>
      <c r="Q48" t="e">
        <f>INDEX(Items!C$2:C$1032,MATCH($O48,Items!$A$2:$A$1032,0))</f>
        <v>#N/A</v>
      </c>
      <c r="R48" t="e">
        <f>INDEX(Items!D$2:D$1032,MATCH($O48,Items!$A$2:$A$1032,0))</f>
        <v>#N/A</v>
      </c>
    </row>
    <row r="49" spans="1:18" x14ac:dyDescent="0.25">
      <c r="A49">
        <f t="shared" si="0"/>
        <v>1</v>
      </c>
      <c r="B49" t="str">
        <f t="shared" si="1"/>
        <v/>
      </c>
      <c r="C49">
        <f t="shared" si="5"/>
        <v>1</v>
      </c>
      <c r="D49" s="4"/>
      <c r="F49" t="e">
        <f>INDEX(Establishment!B$2:B$1005,MATCH($E49,Establishment!$A$2:$A$1005,0))</f>
        <v>#N/A</v>
      </c>
      <c r="G49" t="e">
        <f>INDEX(Establishment!C$2:C$1005,MATCH($E49,Establishment!$A$2:$A$1005,0))</f>
        <v>#N/A</v>
      </c>
      <c r="M49">
        <f t="shared" si="6"/>
        <v>0</v>
      </c>
      <c r="N49">
        <f t="shared" si="4"/>
        <v>0</v>
      </c>
      <c r="P49" t="e">
        <f>INDEX(Items!B$2:B$1032,MATCH($O49,Items!$A$2:$A$1032,0))</f>
        <v>#N/A</v>
      </c>
      <c r="Q49" t="e">
        <f>INDEX(Items!C$2:C$1032,MATCH($O49,Items!$A$2:$A$1032,0))</f>
        <v>#N/A</v>
      </c>
      <c r="R49" t="e">
        <f>INDEX(Items!D$2:D$1032,MATCH($O49,Items!$A$2:$A$1032,0))</f>
        <v>#N/A</v>
      </c>
    </row>
    <row r="50" spans="1:18" x14ac:dyDescent="0.25">
      <c r="A50">
        <f t="shared" si="0"/>
        <v>1</v>
      </c>
      <c r="B50" t="str">
        <f t="shared" si="1"/>
        <v/>
      </c>
      <c r="C50">
        <f t="shared" si="5"/>
        <v>1</v>
      </c>
      <c r="D50" s="4"/>
      <c r="F50" t="e">
        <f>INDEX(Establishment!B$2:B$1005,MATCH($E50,Establishment!$A$2:$A$1005,0))</f>
        <v>#N/A</v>
      </c>
      <c r="G50" t="e">
        <f>INDEX(Establishment!C$2:C$1005,MATCH($E50,Establishment!$A$2:$A$1005,0))</f>
        <v>#N/A</v>
      </c>
      <c r="M50">
        <f t="shared" si="6"/>
        <v>0</v>
      </c>
      <c r="N50">
        <f t="shared" si="4"/>
        <v>0</v>
      </c>
      <c r="P50" t="e">
        <f>INDEX(Items!B$2:B$1032,MATCH($O50,Items!$A$2:$A$1032,0))</f>
        <v>#N/A</v>
      </c>
      <c r="Q50" t="e">
        <f>INDEX(Items!C$2:C$1032,MATCH($O50,Items!$A$2:$A$1032,0))</f>
        <v>#N/A</v>
      </c>
      <c r="R50" t="e">
        <f>INDEX(Items!D$2:D$1032,MATCH($O50,Items!$A$2:$A$1032,0))</f>
        <v>#N/A</v>
      </c>
    </row>
    <row r="51" spans="1:18" x14ac:dyDescent="0.25">
      <c r="A51">
        <f t="shared" si="0"/>
        <v>1</v>
      </c>
      <c r="B51" t="str">
        <f t="shared" si="1"/>
        <v/>
      </c>
      <c r="C51">
        <f t="shared" si="5"/>
        <v>1</v>
      </c>
      <c r="D51" s="4"/>
      <c r="F51" t="e">
        <f>INDEX(Establishment!B$2:B$1005,MATCH($E51,Establishment!$A$2:$A$1005,0))</f>
        <v>#N/A</v>
      </c>
      <c r="G51" t="e">
        <f>INDEX(Establishment!C$2:C$1005,MATCH($E51,Establishment!$A$2:$A$1005,0))</f>
        <v>#N/A</v>
      </c>
      <c r="M51">
        <f t="shared" si="6"/>
        <v>0</v>
      </c>
      <c r="N51">
        <f t="shared" si="4"/>
        <v>0</v>
      </c>
      <c r="P51" t="e">
        <f>INDEX(Items!B$2:B$1032,MATCH($O51,Items!$A$2:$A$1032,0))</f>
        <v>#N/A</v>
      </c>
      <c r="Q51" t="e">
        <f>INDEX(Items!C$2:C$1032,MATCH($O51,Items!$A$2:$A$1032,0))</f>
        <v>#N/A</v>
      </c>
      <c r="R51" t="e">
        <f>INDEX(Items!D$2:D$1032,MATCH($O51,Items!$A$2:$A$1032,0))</f>
        <v>#N/A</v>
      </c>
    </row>
    <row r="52" spans="1:18" x14ac:dyDescent="0.25">
      <c r="A52">
        <f t="shared" si="0"/>
        <v>1</v>
      </c>
      <c r="B52" t="str">
        <f t="shared" si="1"/>
        <v/>
      </c>
      <c r="C52">
        <f t="shared" si="5"/>
        <v>1</v>
      </c>
      <c r="D52" s="4"/>
      <c r="F52" t="e">
        <f>INDEX(Establishment!B$2:B$1005,MATCH($E52,Establishment!$A$2:$A$1005,0))</f>
        <v>#N/A</v>
      </c>
      <c r="G52" t="e">
        <f>INDEX(Establishment!C$2:C$1005,MATCH($E52,Establishment!$A$2:$A$1005,0))</f>
        <v>#N/A</v>
      </c>
      <c r="M52">
        <f t="shared" si="6"/>
        <v>0</v>
      </c>
      <c r="N52">
        <f t="shared" si="4"/>
        <v>0</v>
      </c>
      <c r="P52" t="e">
        <f>INDEX(Items!B$2:B$1032,MATCH($O52,Items!$A$2:$A$1032,0))</f>
        <v>#N/A</v>
      </c>
      <c r="Q52" t="e">
        <f>INDEX(Items!C$2:C$1032,MATCH($O52,Items!$A$2:$A$1032,0))</f>
        <v>#N/A</v>
      </c>
      <c r="R52" t="e">
        <f>INDEX(Items!D$2:D$1032,MATCH($O52,Items!$A$2:$A$1032,0))</f>
        <v>#N/A</v>
      </c>
    </row>
    <row r="53" spans="1:18" x14ac:dyDescent="0.25">
      <c r="A53">
        <f t="shared" si="0"/>
        <v>1</v>
      </c>
      <c r="B53" t="str">
        <f t="shared" si="1"/>
        <v/>
      </c>
      <c r="C53">
        <f t="shared" si="5"/>
        <v>1</v>
      </c>
      <c r="D53" s="4"/>
      <c r="F53" t="e">
        <f>INDEX(Establishment!B$2:B$1005,MATCH($E53,Establishment!$A$2:$A$1005,0))</f>
        <v>#N/A</v>
      </c>
      <c r="G53" t="e">
        <f>INDEX(Establishment!C$2:C$1005,MATCH($E53,Establishment!$A$2:$A$1005,0))</f>
        <v>#N/A</v>
      </c>
      <c r="M53">
        <f t="shared" si="6"/>
        <v>0</v>
      </c>
      <c r="N53">
        <f t="shared" si="4"/>
        <v>0</v>
      </c>
      <c r="P53" t="e">
        <f>INDEX(Items!B$2:B$1032,MATCH($O53,Items!$A$2:$A$1032,0))</f>
        <v>#N/A</v>
      </c>
      <c r="Q53" t="e">
        <f>INDEX(Items!C$2:C$1032,MATCH($O53,Items!$A$2:$A$1032,0))</f>
        <v>#N/A</v>
      </c>
      <c r="R53" t="e">
        <f>INDEX(Items!D$2:D$1032,MATCH($O53,Items!$A$2:$A$1032,0))</f>
        <v>#N/A</v>
      </c>
    </row>
    <row r="54" spans="1:18" x14ac:dyDescent="0.25">
      <c r="A54">
        <f t="shared" si="0"/>
        <v>1</v>
      </c>
      <c r="B54" t="str">
        <f t="shared" si="1"/>
        <v/>
      </c>
      <c r="C54">
        <f t="shared" si="5"/>
        <v>1</v>
      </c>
      <c r="D54" s="4"/>
      <c r="F54" t="e">
        <f>INDEX(Establishment!B$2:B$1005,MATCH($E54,Establishment!$A$2:$A$1005,0))</f>
        <v>#N/A</v>
      </c>
      <c r="G54" t="e">
        <f>INDEX(Establishment!C$2:C$1005,MATCH($E54,Establishment!$A$2:$A$1005,0))</f>
        <v>#N/A</v>
      </c>
      <c r="M54">
        <f t="shared" si="6"/>
        <v>0</v>
      </c>
      <c r="N54">
        <f t="shared" si="4"/>
        <v>0</v>
      </c>
      <c r="P54" t="e">
        <f>INDEX(Items!B$2:B$1032,MATCH($O54,Items!$A$2:$A$1032,0))</f>
        <v>#N/A</v>
      </c>
      <c r="Q54" t="e">
        <f>INDEX(Items!C$2:C$1032,MATCH($O54,Items!$A$2:$A$1032,0))</f>
        <v>#N/A</v>
      </c>
      <c r="R54" t="e">
        <f>INDEX(Items!D$2:D$1032,MATCH($O54,Items!$A$2:$A$1032,0))</f>
        <v>#N/A</v>
      </c>
    </row>
    <row r="55" spans="1:18" x14ac:dyDescent="0.25">
      <c r="A55">
        <f t="shared" si="0"/>
        <v>1</v>
      </c>
      <c r="B55" t="str">
        <f t="shared" si="1"/>
        <v/>
      </c>
      <c r="C55">
        <f t="shared" si="5"/>
        <v>1</v>
      </c>
      <c r="D55" s="4"/>
      <c r="F55" t="e">
        <f>INDEX(Establishment!B$2:B$1005,MATCH($E55,Establishment!$A$2:$A$1005,0))</f>
        <v>#N/A</v>
      </c>
      <c r="G55" t="e">
        <f>INDEX(Establishment!C$2:C$1005,MATCH($E55,Establishment!$A$2:$A$1005,0))</f>
        <v>#N/A</v>
      </c>
      <c r="M55">
        <f t="shared" si="6"/>
        <v>0</v>
      </c>
      <c r="N55">
        <f t="shared" si="4"/>
        <v>0</v>
      </c>
      <c r="P55" t="e">
        <f>INDEX(Items!B$2:B$1032,MATCH($O55,Items!$A$2:$A$1032,0))</f>
        <v>#N/A</v>
      </c>
      <c r="Q55" t="e">
        <f>INDEX(Items!C$2:C$1032,MATCH($O55,Items!$A$2:$A$1032,0))</f>
        <v>#N/A</v>
      </c>
      <c r="R55" t="e">
        <f>INDEX(Items!D$2:D$1032,MATCH($O55,Items!$A$2:$A$1032,0))</f>
        <v>#N/A</v>
      </c>
    </row>
    <row r="56" spans="1:18" x14ac:dyDescent="0.25">
      <c r="A56">
        <f t="shared" si="0"/>
        <v>1</v>
      </c>
      <c r="B56" t="str">
        <f t="shared" si="1"/>
        <v/>
      </c>
      <c r="C56">
        <f t="shared" si="5"/>
        <v>1</v>
      </c>
      <c r="D56" s="4"/>
      <c r="F56" t="e">
        <f>INDEX(Establishment!B$2:B$1005,MATCH($E56,Establishment!$A$2:$A$1005,0))</f>
        <v>#N/A</v>
      </c>
      <c r="G56" t="e">
        <f>INDEX(Establishment!C$2:C$1005,MATCH($E56,Establishment!$A$2:$A$1005,0))</f>
        <v>#N/A</v>
      </c>
      <c r="M56">
        <f t="shared" si="6"/>
        <v>0</v>
      </c>
      <c r="N56">
        <f t="shared" si="4"/>
        <v>0</v>
      </c>
      <c r="P56" t="e">
        <f>INDEX(Items!B$2:B$1032,MATCH($O56,Items!$A$2:$A$1032,0))</f>
        <v>#N/A</v>
      </c>
      <c r="Q56" t="e">
        <f>INDEX(Items!C$2:C$1032,MATCH($O56,Items!$A$2:$A$1032,0))</f>
        <v>#N/A</v>
      </c>
      <c r="R56" t="e">
        <f>INDEX(Items!D$2:D$1032,MATCH($O56,Items!$A$2:$A$1032,0))</f>
        <v>#N/A</v>
      </c>
    </row>
    <row r="57" spans="1:18" x14ac:dyDescent="0.25">
      <c r="A57">
        <f t="shared" si="0"/>
        <v>1</v>
      </c>
      <c r="B57" t="str">
        <f t="shared" si="1"/>
        <v/>
      </c>
      <c r="C57">
        <f t="shared" si="5"/>
        <v>1</v>
      </c>
      <c r="D57" s="4"/>
      <c r="F57" t="e">
        <f>INDEX(Establishment!B$2:B$1005,MATCH($E57,Establishment!$A$2:$A$1005,0))</f>
        <v>#N/A</v>
      </c>
      <c r="G57" t="e">
        <f>INDEX(Establishment!C$2:C$1005,MATCH($E57,Establishment!$A$2:$A$1005,0))</f>
        <v>#N/A</v>
      </c>
      <c r="M57">
        <f t="shared" si="6"/>
        <v>0</v>
      </c>
      <c r="N57">
        <f t="shared" si="4"/>
        <v>0</v>
      </c>
      <c r="P57" t="e">
        <f>INDEX(Items!B$2:B$1032,MATCH($O57,Items!$A$2:$A$1032,0))</f>
        <v>#N/A</v>
      </c>
      <c r="Q57" t="e">
        <f>INDEX(Items!C$2:C$1032,MATCH($O57,Items!$A$2:$A$1032,0))</f>
        <v>#N/A</v>
      </c>
      <c r="R57" t="e">
        <f>INDEX(Items!D$2:D$1032,MATCH($O57,Items!$A$2:$A$1032,0))</f>
        <v>#N/A</v>
      </c>
    </row>
    <row r="58" spans="1:18" x14ac:dyDescent="0.25">
      <c r="A58">
        <f t="shared" si="0"/>
        <v>1</v>
      </c>
      <c r="B58" t="str">
        <f t="shared" si="1"/>
        <v/>
      </c>
      <c r="C58">
        <f t="shared" si="5"/>
        <v>1</v>
      </c>
      <c r="D58" s="4"/>
      <c r="F58" t="e">
        <f>INDEX(Establishment!B$2:B$1005,MATCH($E58,Establishment!$A$2:$A$1005,0))</f>
        <v>#N/A</v>
      </c>
      <c r="G58" t="e">
        <f>INDEX(Establishment!C$2:C$1005,MATCH($E58,Establishment!$A$2:$A$1005,0))</f>
        <v>#N/A</v>
      </c>
      <c r="M58">
        <f t="shared" si="6"/>
        <v>0</v>
      </c>
      <c r="N58">
        <f t="shared" si="4"/>
        <v>0</v>
      </c>
      <c r="P58" t="e">
        <f>INDEX(Items!B$2:B$1032,MATCH($O58,Items!$A$2:$A$1032,0))</f>
        <v>#N/A</v>
      </c>
      <c r="Q58" t="e">
        <f>INDEX(Items!C$2:C$1032,MATCH($O58,Items!$A$2:$A$1032,0))</f>
        <v>#N/A</v>
      </c>
      <c r="R58" t="e">
        <f>INDEX(Items!D$2:D$1032,MATCH($O58,Items!$A$2:$A$1032,0))</f>
        <v>#N/A</v>
      </c>
    </row>
    <row r="59" spans="1:18" x14ac:dyDescent="0.25">
      <c r="A59">
        <f t="shared" si="0"/>
        <v>1</v>
      </c>
      <c r="B59" t="str">
        <f t="shared" si="1"/>
        <v/>
      </c>
      <c r="C59">
        <f t="shared" si="5"/>
        <v>1</v>
      </c>
      <c r="D59" s="4"/>
      <c r="F59" t="e">
        <f>INDEX(Establishment!B$2:B$1005,MATCH($E59,Establishment!$A$2:$A$1005,0))</f>
        <v>#N/A</v>
      </c>
      <c r="G59" t="e">
        <f>INDEX(Establishment!C$2:C$1005,MATCH($E59,Establishment!$A$2:$A$1005,0))</f>
        <v>#N/A</v>
      </c>
      <c r="M59">
        <f t="shared" si="6"/>
        <v>0</v>
      </c>
      <c r="N59">
        <f t="shared" si="4"/>
        <v>0</v>
      </c>
      <c r="P59" t="e">
        <f>INDEX(Items!B$2:B$1032,MATCH($O59,Items!$A$2:$A$1032,0))</f>
        <v>#N/A</v>
      </c>
      <c r="Q59" t="e">
        <f>INDEX(Items!C$2:C$1032,MATCH($O59,Items!$A$2:$A$1032,0))</f>
        <v>#N/A</v>
      </c>
      <c r="R59" t="e">
        <f>INDEX(Items!D$2:D$1032,MATCH($O59,Items!$A$2:$A$1032,0))</f>
        <v>#N/A</v>
      </c>
    </row>
    <row r="60" spans="1:18" x14ac:dyDescent="0.25">
      <c r="A60">
        <f t="shared" si="0"/>
        <v>1</v>
      </c>
      <c r="B60" t="str">
        <f t="shared" si="1"/>
        <v/>
      </c>
      <c r="C60">
        <f t="shared" si="5"/>
        <v>1</v>
      </c>
      <c r="D60" s="4"/>
      <c r="F60" t="e">
        <f>INDEX(Establishment!B$2:B$1005,MATCH($E60,Establishment!$A$2:$A$1005,0))</f>
        <v>#N/A</v>
      </c>
      <c r="G60" t="e">
        <f>INDEX(Establishment!C$2:C$1005,MATCH($E60,Establishment!$A$2:$A$1005,0))</f>
        <v>#N/A</v>
      </c>
      <c r="M60">
        <f t="shared" si="6"/>
        <v>0</v>
      </c>
      <c r="N60">
        <f t="shared" si="4"/>
        <v>0</v>
      </c>
      <c r="P60" t="e">
        <f>INDEX(Items!B$2:B$1032,MATCH($O60,Items!$A$2:$A$1032,0))</f>
        <v>#N/A</v>
      </c>
      <c r="Q60" t="e">
        <f>INDEX(Items!C$2:C$1032,MATCH($O60,Items!$A$2:$A$1032,0))</f>
        <v>#N/A</v>
      </c>
      <c r="R60" t="e">
        <f>INDEX(Items!D$2:D$1032,MATCH($O60,Items!$A$2:$A$1032,0))</f>
        <v>#N/A</v>
      </c>
    </row>
    <row r="61" spans="1:18" x14ac:dyDescent="0.25">
      <c r="A61">
        <f t="shared" si="0"/>
        <v>1</v>
      </c>
      <c r="B61" t="str">
        <f t="shared" si="1"/>
        <v/>
      </c>
      <c r="C61">
        <f t="shared" si="5"/>
        <v>1</v>
      </c>
      <c r="D61" s="4"/>
      <c r="F61" t="e">
        <f>INDEX(Establishment!B$2:B$1005,MATCH($E61,Establishment!$A$2:$A$1005,0))</f>
        <v>#N/A</v>
      </c>
      <c r="G61" t="e">
        <f>INDEX(Establishment!C$2:C$1005,MATCH($E61,Establishment!$A$2:$A$1005,0))</f>
        <v>#N/A</v>
      </c>
      <c r="M61">
        <f t="shared" si="6"/>
        <v>0</v>
      </c>
      <c r="N61">
        <f t="shared" si="4"/>
        <v>0</v>
      </c>
      <c r="P61" t="e">
        <f>INDEX(Items!B$2:B$1032,MATCH($O61,Items!$A$2:$A$1032,0))</f>
        <v>#N/A</v>
      </c>
      <c r="Q61" t="e">
        <f>INDEX(Items!C$2:C$1032,MATCH($O61,Items!$A$2:$A$1032,0))</f>
        <v>#N/A</v>
      </c>
      <c r="R61" t="e">
        <f>INDEX(Items!D$2:D$1032,MATCH($O61,Items!$A$2:$A$1032,0))</f>
        <v>#N/A</v>
      </c>
    </row>
    <row r="62" spans="1:18" x14ac:dyDescent="0.25">
      <c r="A62">
        <f t="shared" si="0"/>
        <v>1</v>
      </c>
      <c r="B62" t="str">
        <f t="shared" si="1"/>
        <v/>
      </c>
      <c r="C62">
        <f t="shared" si="5"/>
        <v>1</v>
      </c>
      <c r="D62" s="4"/>
      <c r="F62" t="e">
        <f>INDEX(Establishment!B$2:B$1005,MATCH($E62,Establishment!$A$2:$A$1005,0))</f>
        <v>#N/A</v>
      </c>
      <c r="G62" t="e">
        <f>INDEX(Establishment!C$2:C$1005,MATCH($E62,Establishment!$A$2:$A$1005,0))</f>
        <v>#N/A</v>
      </c>
      <c r="M62">
        <f t="shared" si="6"/>
        <v>0</v>
      </c>
      <c r="N62">
        <f t="shared" si="4"/>
        <v>0</v>
      </c>
      <c r="P62" t="e">
        <f>INDEX(Items!B$2:B$1032,MATCH($O62,Items!$A$2:$A$1032,0))</f>
        <v>#N/A</v>
      </c>
      <c r="Q62" t="e">
        <f>INDEX(Items!C$2:C$1032,MATCH($O62,Items!$A$2:$A$1032,0))</f>
        <v>#N/A</v>
      </c>
      <c r="R62" t="e">
        <f>INDEX(Items!D$2:D$1032,MATCH($O62,Items!$A$2:$A$1032,0))</f>
        <v>#N/A</v>
      </c>
    </row>
    <row r="63" spans="1:18" x14ac:dyDescent="0.25">
      <c r="A63">
        <f t="shared" si="0"/>
        <v>1</v>
      </c>
      <c r="B63" t="str">
        <f t="shared" si="1"/>
        <v/>
      </c>
      <c r="C63">
        <f t="shared" si="5"/>
        <v>1</v>
      </c>
      <c r="D63" s="4"/>
      <c r="F63" t="e">
        <f>INDEX(Establishment!B$2:B$1005,MATCH($E63,Establishment!$A$2:$A$1005,0))</f>
        <v>#N/A</v>
      </c>
      <c r="G63" t="e">
        <f>INDEX(Establishment!C$2:C$1005,MATCH($E63,Establishment!$A$2:$A$1005,0))</f>
        <v>#N/A</v>
      </c>
      <c r="M63">
        <f t="shared" si="6"/>
        <v>0</v>
      </c>
      <c r="N63">
        <f t="shared" si="4"/>
        <v>0</v>
      </c>
      <c r="P63" t="e">
        <f>INDEX(Items!B$2:B$1032,MATCH($O63,Items!$A$2:$A$1032,0))</f>
        <v>#N/A</v>
      </c>
      <c r="Q63" t="e">
        <f>INDEX(Items!C$2:C$1032,MATCH($O63,Items!$A$2:$A$1032,0))</f>
        <v>#N/A</v>
      </c>
      <c r="R63" t="e">
        <f>INDEX(Items!D$2:D$1032,MATCH($O63,Items!$A$2:$A$1032,0))</f>
        <v>#N/A</v>
      </c>
    </row>
    <row r="64" spans="1:18" x14ac:dyDescent="0.25">
      <c r="A64">
        <f t="shared" si="0"/>
        <v>1</v>
      </c>
      <c r="B64" t="str">
        <f t="shared" si="1"/>
        <v/>
      </c>
      <c r="C64">
        <f t="shared" si="5"/>
        <v>1</v>
      </c>
      <c r="D64" s="4"/>
      <c r="F64" t="e">
        <f>INDEX(Establishment!B$2:B$1005,MATCH($E64,Establishment!$A$2:$A$1005,0))</f>
        <v>#N/A</v>
      </c>
      <c r="G64" t="e">
        <f>INDEX(Establishment!C$2:C$1005,MATCH($E64,Establishment!$A$2:$A$1005,0))</f>
        <v>#N/A</v>
      </c>
      <c r="M64">
        <f t="shared" si="6"/>
        <v>0</v>
      </c>
      <c r="N64">
        <f t="shared" si="4"/>
        <v>0</v>
      </c>
      <c r="P64" t="e">
        <f>INDEX(Items!B$2:B$1032,MATCH($O64,Items!$A$2:$A$1032,0))</f>
        <v>#N/A</v>
      </c>
      <c r="Q64" t="e">
        <f>INDEX(Items!C$2:C$1032,MATCH($O64,Items!$A$2:$A$1032,0))</f>
        <v>#N/A</v>
      </c>
      <c r="R64" t="e">
        <f>INDEX(Items!D$2:D$1032,MATCH($O64,Items!$A$2:$A$1032,0))</f>
        <v>#N/A</v>
      </c>
    </row>
    <row r="65" spans="1:18" x14ac:dyDescent="0.25">
      <c r="A65">
        <f t="shared" si="0"/>
        <v>1</v>
      </c>
      <c r="B65" t="str">
        <f t="shared" si="1"/>
        <v/>
      </c>
      <c r="C65">
        <f t="shared" si="5"/>
        <v>1</v>
      </c>
      <c r="D65" s="4"/>
      <c r="F65" t="e">
        <f>INDEX(Establishment!B$2:B$1005,MATCH($E65,Establishment!$A$2:$A$1005,0))</f>
        <v>#N/A</v>
      </c>
      <c r="G65" t="e">
        <f>INDEX(Establishment!C$2:C$1005,MATCH($E65,Establishment!$A$2:$A$1005,0))</f>
        <v>#N/A</v>
      </c>
      <c r="M65">
        <f t="shared" si="6"/>
        <v>0</v>
      </c>
      <c r="N65">
        <f t="shared" si="4"/>
        <v>0</v>
      </c>
      <c r="P65" t="e">
        <f>INDEX(Items!B$2:B$1032,MATCH($O65,Items!$A$2:$A$1032,0))</f>
        <v>#N/A</v>
      </c>
      <c r="Q65" t="e">
        <f>INDEX(Items!C$2:C$1032,MATCH($O65,Items!$A$2:$A$1032,0))</f>
        <v>#N/A</v>
      </c>
      <c r="R65" t="e">
        <f>INDEX(Items!D$2:D$1032,MATCH($O65,Items!$A$2:$A$1032,0))</f>
        <v>#N/A</v>
      </c>
    </row>
    <row r="66" spans="1:18" x14ac:dyDescent="0.25">
      <c r="A66">
        <f t="shared" ref="A66:A129" si="7">IF(OR(D66&lt;&gt;D65,D66=""),1,IF(NOT(AND(E66=E65,F66=F65,G66=G65)),A65+1,IF(OR(H66="",AND(H66&lt;&gt;"",H66&lt;&gt;H65,H65&lt;&gt;"")),A65,A65+1)))</f>
        <v>1</v>
      </c>
      <c r="B66" t="str">
        <f t="shared" ref="B66:B129" si="8">IF(D66&lt;&gt;"",TEXT(D66,"YYYYMMDD")&amp;CHAR(64+A66),"")</f>
        <v/>
      </c>
      <c r="C66">
        <f t="shared" si="5"/>
        <v>1</v>
      </c>
      <c r="D66" s="4"/>
      <c r="F66" t="e">
        <f>INDEX(Establishment!B$2:B$1005,MATCH($E66,Establishment!$A$2:$A$1005,0))</f>
        <v>#N/A</v>
      </c>
      <c r="G66" t="e">
        <f>INDEX(Establishment!C$2:C$1005,MATCH($E66,Establishment!$A$2:$A$1005,0))</f>
        <v>#N/A</v>
      </c>
      <c r="M66">
        <f t="shared" si="6"/>
        <v>0</v>
      </c>
      <c r="N66">
        <f t="shared" si="4"/>
        <v>0</v>
      </c>
      <c r="P66" t="e">
        <f>INDEX(Items!B$2:B$1032,MATCH($O66,Items!$A$2:$A$1032,0))</f>
        <v>#N/A</v>
      </c>
      <c r="Q66" t="e">
        <f>INDEX(Items!C$2:C$1032,MATCH($O66,Items!$A$2:$A$1032,0))</f>
        <v>#N/A</v>
      </c>
      <c r="R66" t="e">
        <f>INDEX(Items!D$2:D$1032,MATCH($O66,Items!$A$2:$A$1032,0))</f>
        <v>#N/A</v>
      </c>
    </row>
    <row r="67" spans="1:18" x14ac:dyDescent="0.25">
      <c r="A67">
        <f t="shared" si="7"/>
        <v>1</v>
      </c>
      <c r="B67" t="str">
        <f t="shared" si="8"/>
        <v/>
      </c>
      <c r="C67">
        <f t="shared" si="5"/>
        <v>1</v>
      </c>
      <c r="D67" s="4"/>
      <c r="F67" t="s">
        <v>43</v>
      </c>
      <c r="G67" t="s">
        <v>46</v>
      </c>
      <c r="M67">
        <f t="shared" si="6"/>
        <v>0</v>
      </c>
      <c r="N67">
        <f t="shared" ref="N67:N130" si="9">IF(B67=B66,N66+M67,M67)</f>
        <v>0</v>
      </c>
      <c r="P67" t="e">
        <f>INDEX(Items!B$2:B$1032,MATCH($O67,Items!$A$2:$A$1032,0))</f>
        <v>#N/A</v>
      </c>
      <c r="Q67" t="e">
        <f>INDEX(Items!C$2:C$1032,MATCH($O67,Items!$A$2:$A$1032,0))</f>
        <v>#N/A</v>
      </c>
      <c r="R67" t="e">
        <f>INDEX(Items!D$2:D$1032,MATCH($O67,Items!$A$2:$A$1032,0))</f>
        <v>#N/A</v>
      </c>
    </row>
    <row r="68" spans="1:18" x14ac:dyDescent="0.25">
      <c r="A68">
        <f t="shared" si="7"/>
        <v>1</v>
      </c>
      <c r="B68" t="str">
        <f t="shared" si="8"/>
        <v/>
      </c>
      <c r="C68">
        <f t="shared" si="5"/>
        <v>1</v>
      </c>
      <c r="D68" s="4"/>
      <c r="F68" t="s">
        <v>43</v>
      </c>
      <c r="G68" t="s">
        <v>46</v>
      </c>
      <c r="M68">
        <f t="shared" si="6"/>
        <v>0</v>
      </c>
      <c r="N68">
        <f t="shared" si="9"/>
        <v>0</v>
      </c>
      <c r="P68" t="e">
        <f>INDEX(Items!B$2:B$1032,MATCH($O68,Items!$A$2:$A$1032,0))</f>
        <v>#N/A</v>
      </c>
      <c r="Q68" t="e">
        <f>INDEX(Items!C$2:C$1032,MATCH($O68,Items!$A$2:$A$1032,0))</f>
        <v>#N/A</v>
      </c>
      <c r="R68" t="e">
        <f>INDEX(Items!D$2:D$1032,MATCH($O68,Items!$A$2:$A$1032,0))</f>
        <v>#N/A</v>
      </c>
    </row>
    <row r="69" spans="1:18" x14ac:dyDescent="0.25">
      <c r="A69">
        <f t="shared" si="7"/>
        <v>1</v>
      </c>
      <c r="B69" t="str">
        <f t="shared" si="8"/>
        <v/>
      </c>
      <c r="C69">
        <f t="shared" si="5"/>
        <v>1</v>
      </c>
      <c r="D69" s="4"/>
      <c r="F69" t="s">
        <v>43</v>
      </c>
      <c r="G69" t="s">
        <v>46</v>
      </c>
      <c r="M69">
        <f t="shared" si="6"/>
        <v>0</v>
      </c>
      <c r="N69">
        <f t="shared" si="9"/>
        <v>0</v>
      </c>
      <c r="P69" t="e">
        <f>INDEX(Items!B$2:B$1032,MATCH($O69,Items!$A$2:$A$1032,0))</f>
        <v>#N/A</v>
      </c>
      <c r="Q69" t="e">
        <f>INDEX(Items!C$2:C$1032,MATCH($O69,Items!$A$2:$A$1032,0))</f>
        <v>#N/A</v>
      </c>
      <c r="R69" t="e">
        <f>INDEX(Items!D$2:D$1032,MATCH($O69,Items!$A$2:$A$1032,0))</f>
        <v>#N/A</v>
      </c>
    </row>
    <row r="70" spans="1:18" x14ac:dyDescent="0.25">
      <c r="A70">
        <f t="shared" si="7"/>
        <v>1</v>
      </c>
      <c r="B70" t="str">
        <f t="shared" si="8"/>
        <v/>
      </c>
      <c r="C70">
        <f t="shared" si="5"/>
        <v>1</v>
      </c>
      <c r="D70" s="4"/>
      <c r="F70" t="s">
        <v>43</v>
      </c>
      <c r="G70" t="s">
        <v>46</v>
      </c>
      <c r="M70">
        <f t="shared" si="6"/>
        <v>0</v>
      </c>
      <c r="N70">
        <f t="shared" si="9"/>
        <v>0</v>
      </c>
      <c r="P70" t="e">
        <f>INDEX(Items!B$2:B$1032,MATCH($O70,Items!$A$2:$A$1032,0))</f>
        <v>#N/A</v>
      </c>
      <c r="Q70" t="e">
        <f>INDEX(Items!C$2:C$1032,MATCH($O70,Items!$A$2:$A$1032,0))</f>
        <v>#N/A</v>
      </c>
      <c r="R70" t="e">
        <f>INDEX(Items!D$2:D$1032,MATCH($O70,Items!$A$2:$A$1032,0))</f>
        <v>#N/A</v>
      </c>
    </row>
    <row r="71" spans="1:18" x14ac:dyDescent="0.25">
      <c r="A71">
        <f t="shared" si="7"/>
        <v>1</v>
      </c>
      <c r="B71" t="str">
        <f t="shared" si="8"/>
        <v/>
      </c>
      <c r="C71">
        <f t="shared" si="5"/>
        <v>1</v>
      </c>
      <c r="D71" s="4"/>
      <c r="F71" t="s">
        <v>43</v>
      </c>
      <c r="G71" t="s">
        <v>46</v>
      </c>
      <c r="M71">
        <f t="shared" si="6"/>
        <v>0</v>
      </c>
      <c r="N71">
        <f t="shared" si="9"/>
        <v>0</v>
      </c>
      <c r="P71" t="e">
        <f>INDEX(Items!B$2:B$1032,MATCH($O71,Items!$A$2:$A$1032,0))</f>
        <v>#N/A</v>
      </c>
      <c r="Q71" t="e">
        <f>INDEX(Items!C$2:C$1032,MATCH($O71,Items!$A$2:$A$1032,0))</f>
        <v>#N/A</v>
      </c>
      <c r="R71" t="e">
        <f>INDEX(Items!D$2:D$1032,MATCH($O71,Items!$A$2:$A$1032,0))</f>
        <v>#N/A</v>
      </c>
    </row>
    <row r="72" spans="1:18" x14ac:dyDescent="0.25">
      <c r="A72">
        <f t="shared" si="7"/>
        <v>1</v>
      </c>
      <c r="B72" t="str">
        <f t="shared" si="8"/>
        <v/>
      </c>
      <c r="C72">
        <f t="shared" si="5"/>
        <v>1</v>
      </c>
      <c r="D72" s="4"/>
      <c r="F72" t="s">
        <v>53</v>
      </c>
      <c r="G72" t="s">
        <v>48</v>
      </c>
      <c r="M72">
        <f t="shared" si="6"/>
        <v>0</v>
      </c>
      <c r="N72">
        <f t="shared" si="9"/>
        <v>0</v>
      </c>
      <c r="P72" t="e">
        <f>INDEX(Items!B$2:B$1032,MATCH($O72,Items!$A$2:$A$1032,0))</f>
        <v>#N/A</v>
      </c>
      <c r="Q72" t="e">
        <f>INDEX(Items!C$2:C$1032,MATCH($O72,Items!$A$2:$A$1032,0))</f>
        <v>#N/A</v>
      </c>
      <c r="R72" t="e">
        <f>INDEX(Items!D$2:D$1032,MATCH($O72,Items!$A$2:$A$1032,0))</f>
        <v>#N/A</v>
      </c>
    </row>
    <row r="73" spans="1:18" x14ac:dyDescent="0.25">
      <c r="A73">
        <f t="shared" si="7"/>
        <v>1</v>
      </c>
      <c r="B73" t="str">
        <f t="shared" si="8"/>
        <v/>
      </c>
      <c r="C73">
        <f t="shared" si="5"/>
        <v>1</v>
      </c>
      <c r="D73" s="4"/>
      <c r="F73" t="s">
        <v>53</v>
      </c>
      <c r="G73" t="s">
        <v>48</v>
      </c>
      <c r="M73">
        <f t="shared" si="6"/>
        <v>0</v>
      </c>
      <c r="N73">
        <f t="shared" si="9"/>
        <v>0</v>
      </c>
      <c r="P73" t="e">
        <f>INDEX(Items!B$2:B$1032,MATCH($O73,Items!$A$2:$A$1032,0))</f>
        <v>#N/A</v>
      </c>
      <c r="Q73" t="e">
        <f>INDEX(Items!C$2:C$1032,MATCH($O73,Items!$A$2:$A$1032,0))</f>
        <v>#N/A</v>
      </c>
      <c r="R73" t="e">
        <f>INDEX(Items!D$2:D$1032,MATCH($O73,Items!$A$2:$A$1032,0))</f>
        <v>#N/A</v>
      </c>
    </row>
    <row r="74" spans="1:18" x14ac:dyDescent="0.25">
      <c r="A74">
        <f t="shared" si="7"/>
        <v>1</v>
      </c>
      <c r="B74" t="str">
        <f t="shared" si="8"/>
        <v/>
      </c>
      <c r="C74">
        <f t="shared" ref="C74:C137" si="10">IF(OR(B74="",B74&lt;&gt;B73),1,C73+1)</f>
        <v>1</v>
      </c>
      <c r="D74" s="4"/>
      <c r="F74" t="s">
        <v>43</v>
      </c>
      <c r="G74" t="s">
        <v>48</v>
      </c>
      <c r="M74">
        <f t="shared" ref="M74:M137" si="11">K74*L74</f>
        <v>0</v>
      </c>
      <c r="N74">
        <f t="shared" si="9"/>
        <v>0</v>
      </c>
      <c r="P74" t="e">
        <f>INDEX(Items!B$2:B$1032,MATCH($O74,Items!$A$2:$A$1032,0))</f>
        <v>#N/A</v>
      </c>
      <c r="Q74" t="e">
        <f>INDEX(Items!C$2:C$1032,MATCH($O74,Items!$A$2:$A$1032,0))</f>
        <v>#N/A</v>
      </c>
      <c r="R74" t="e">
        <f>INDEX(Items!D$2:D$1032,MATCH($O74,Items!$A$2:$A$1032,0))</f>
        <v>#N/A</v>
      </c>
    </row>
    <row r="75" spans="1:18" x14ac:dyDescent="0.25">
      <c r="A75">
        <f t="shared" si="7"/>
        <v>1</v>
      </c>
      <c r="B75" t="str">
        <f t="shared" si="8"/>
        <v/>
      </c>
      <c r="C75">
        <f t="shared" si="10"/>
        <v>1</v>
      </c>
      <c r="D75" s="4"/>
      <c r="F75" t="s">
        <v>43</v>
      </c>
      <c r="G75" t="s">
        <v>48</v>
      </c>
      <c r="M75">
        <f t="shared" si="11"/>
        <v>0</v>
      </c>
      <c r="N75">
        <f t="shared" si="9"/>
        <v>0</v>
      </c>
      <c r="P75" t="e">
        <f>INDEX(Items!B$2:B$1032,MATCH($O75,Items!$A$2:$A$1032,0))</f>
        <v>#N/A</v>
      </c>
      <c r="Q75" t="e">
        <f>INDEX(Items!C$2:C$1032,MATCH($O75,Items!$A$2:$A$1032,0))</f>
        <v>#N/A</v>
      </c>
      <c r="R75" t="e">
        <f>INDEX(Items!D$2:D$1032,MATCH($O75,Items!$A$2:$A$1032,0))</f>
        <v>#N/A</v>
      </c>
    </row>
    <row r="76" spans="1:18" x14ac:dyDescent="0.25">
      <c r="A76">
        <f t="shared" si="7"/>
        <v>1</v>
      </c>
      <c r="B76" t="str">
        <f t="shared" si="8"/>
        <v/>
      </c>
      <c r="C76">
        <f t="shared" si="10"/>
        <v>1</v>
      </c>
      <c r="D76" s="4"/>
      <c r="F76" t="s">
        <v>43</v>
      </c>
      <c r="G76" t="s">
        <v>48</v>
      </c>
      <c r="M76">
        <f t="shared" si="11"/>
        <v>0</v>
      </c>
      <c r="N76">
        <f t="shared" si="9"/>
        <v>0</v>
      </c>
      <c r="P76" t="e">
        <f>INDEX(Items!B$2:B$1032,MATCH($O76,Items!$A$2:$A$1032,0))</f>
        <v>#N/A</v>
      </c>
      <c r="Q76" t="e">
        <f>INDEX(Items!C$2:C$1032,MATCH($O76,Items!$A$2:$A$1032,0))</f>
        <v>#N/A</v>
      </c>
      <c r="R76" t="e">
        <f>INDEX(Items!D$2:D$1032,MATCH($O76,Items!$A$2:$A$1032,0))</f>
        <v>#N/A</v>
      </c>
    </row>
    <row r="77" spans="1:18" x14ac:dyDescent="0.25">
      <c r="A77">
        <f t="shared" si="7"/>
        <v>1</v>
      </c>
      <c r="B77" t="str">
        <f t="shared" si="8"/>
        <v/>
      </c>
      <c r="C77">
        <f t="shared" si="10"/>
        <v>1</v>
      </c>
      <c r="D77" s="4"/>
      <c r="F77" t="s">
        <v>43</v>
      </c>
      <c r="G77" t="s">
        <v>48</v>
      </c>
      <c r="M77">
        <f t="shared" si="11"/>
        <v>0</v>
      </c>
      <c r="N77">
        <f t="shared" si="9"/>
        <v>0</v>
      </c>
      <c r="P77" t="e">
        <f>INDEX(Items!B$2:B$1032,MATCH($O77,Items!$A$2:$A$1032,0))</f>
        <v>#N/A</v>
      </c>
      <c r="Q77" t="e">
        <f>INDEX(Items!C$2:C$1032,MATCH($O77,Items!$A$2:$A$1032,0))</f>
        <v>#N/A</v>
      </c>
      <c r="R77" t="e">
        <f>INDEX(Items!D$2:D$1032,MATCH($O77,Items!$A$2:$A$1032,0))</f>
        <v>#N/A</v>
      </c>
    </row>
    <row r="78" spans="1:18" x14ac:dyDescent="0.25">
      <c r="A78">
        <f t="shared" si="7"/>
        <v>1</v>
      </c>
      <c r="B78" t="str">
        <f t="shared" si="8"/>
        <v/>
      </c>
      <c r="C78">
        <f t="shared" si="10"/>
        <v>1</v>
      </c>
      <c r="D78" s="4"/>
      <c r="F78" t="s">
        <v>43</v>
      </c>
      <c r="G78" t="s">
        <v>48</v>
      </c>
      <c r="M78">
        <f t="shared" si="11"/>
        <v>0</v>
      </c>
      <c r="N78">
        <f t="shared" si="9"/>
        <v>0</v>
      </c>
      <c r="P78" t="e">
        <f>INDEX(Items!B$2:B$1032,MATCH($O78,Items!$A$2:$A$1032,0))</f>
        <v>#N/A</v>
      </c>
      <c r="Q78" t="e">
        <f>INDEX(Items!C$2:C$1032,MATCH($O78,Items!$A$2:$A$1032,0))</f>
        <v>#N/A</v>
      </c>
      <c r="R78" t="e">
        <f>INDEX(Items!D$2:D$1032,MATCH($O78,Items!$A$2:$A$1032,0))</f>
        <v>#N/A</v>
      </c>
    </row>
    <row r="79" spans="1:18" x14ac:dyDescent="0.25">
      <c r="A79">
        <f t="shared" si="7"/>
        <v>1</v>
      </c>
      <c r="B79" t="str">
        <f t="shared" si="8"/>
        <v/>
      </c>
      <c r="C79">
        <f t="shared" si="10"/>
        <v>1</v>
      </c>
      <c r="D79" s="4"/>
      <c r="F79" t="s">
        <v>43</v>
      </c>
      <c r="G79" t="s">
        <v>46</v>
      </c>
      <c r="M79">
        <f t="shared" si="11"/>
        <v>0</v>
      </c>
      <c r="N79">
        <f t="shared" si="9"/>
        <v>0</v>
      </c>
      <c r="P79" t="e">
        <f>INDEX(Items!B$2:B$1032,MATCH($O79,Items!$A$2:$A$1032,0))</f>
        <v>#N/A</v>
      </c>
      <c r="Q79" t="e">
        <f>INDEX(Items!C$2:C$1032,MATCH($O79,Items!$A$2:$A$1032,0))</f>
        <v>#N/A</v>
      </c>
      <c r="R79" t="e">
        <f>INDEX(Items!D$2:D$1032,MATCH($O79,Items!$A$2:$A$1032,0))</f>
        <v>#N/A</v>
      </c>
    </row>
    <row r="80" spans="1:18" x14ac:dyDescent="0.25">
      <c r="A80">
        <f t="shared" si="7"/>
        <v>1</v>
      </c>
      <c r="B80" t="str">
        <f t="shared" si="8"/>
        <v/>
      </c>
      <c r="C80">
        <f t="shared" si="10"/>
        <v>1</v>
      </c>
      <c r="D80" s="4"/>
      <c r="F80" t="s">
        <v>43</v>
      </c>
      <c r="G80" t="s">
        <v>46</v>
      </c>
      <c r="M80">
        <f t="shared" si="11"/>
        <v>0</v>
      </c>
      <c r="N80">
        <f t="shared" si="9"/>
        <v>0</v>
      </c>
      <c r="P80" t="e">
        <f>INDEX(Items!B$2:B$1032,MATCH($O80,Items!$A$2:$A$1032,0))</f>
        <v>#N/A</v>
      </c>
      <c r="Q80" t="e">
        <f>INDEX(Items!C$2:C$1032,MATCH($O80,Items!$A$2:$A$1032,0))</f>
        <v>#N/A</v>
      </c>
      <c r="R80" t="e">
        <f>INDEX(Items!D$2:D$1032,MATCH($O80,Items!$A$2:$A$1032,0))</f>
        <v>#N/A</v>
      </c>
    </row>
    <row r="81" spans="1:18" x14ac:dyDescent="0.25">
      <c r="A81">
        <f t="shared" si="7"/>
        <v>1</v>
      </c>
      <c r="B81" t="str">
        <f t="shared" si="8"/>
        <v/>
      </c>
      <c r="C81">
        <f t="shared" si="10"/>
        <v>1</v>
      </c>
      <c r="D81" s="4"/>
      <c r="F81" t="s">
        <v>43</v>
      </c>
      <c r="G81" t="s">
        <v>46</v>
      </c>
      <c r="M81">
        <f t="shared" si="11"/>
        <v>0</v>
      </c>
      <c r="N81">
        <f t="shared" si="9"/>
        <v>0</v>
      </c>
      <c r="P81" t="e">
        <f>INDEX(Items!B$2:B$1032,MATCH($O81,Items!$A$2:$A$1032,0))</f>
        <v>#N/A</v>
      </c>
      <c r="Q81" t="e">
        <f>INDEX(Items!C$2:C$1032,MATCH($O81,Items!$A$2:$A$1032,0))</f>
        <v>#N/A</v>
      </c>
      <c r="R81" t="e">
        <f>INDEX(Items!D$2:D$1032,MATCH($O81,Items!$A$2:$A$1032,0))</f>
        <v>#N/A</v>
      </c>
    </row>
    <row r="82" spans="1:18" x14ac:dyDescent="0.25">
      <c r="A82">
        <f t="shared" si="7"/>
        <v>1</v>
      </c>
      <c r="B82" t="str">
        <f t="shared" si="8"/>
        <v/>
      </c>
      <c r="C82">
        <f t="shared" si="10"/>
        <v>1</v>
      </c>
      <c r="D82" s="4"/>
      <c r="F82" t="s">
        <v>43</v>
      </c>
      <c r="G82" t="s">
        <v>46</v>
      </c>
      <c r="M82">
        <f t="shared" si="11"/>
        <v>0</v>
      </c>
      <c r="N82">
        <f t="shared" si="9"/>
        <v>0</v>
      </c>
      <c r="P82" t="e">
        <f>INDEX(Items!B$2:B$1032,MATCH($O82,Items!$A$2:$A$1032,0))</f>
        <v>#N/A</v>
      </c>
      <c r="Q82" t="e">
        <f>INDEX(Items!C$2:C$1032,MATCH($O82,Items!$A$2:$A$1032,0))</f>
        <v>#N/A</v>
      </c>
      <c r="R82" t="e">
        <f>INDEX(Items!D$2:D$1032,MATCH($O82,Items!$A$2:$A$1032,0))</f>
        <v>#N/A</v>
      </c>
    </row>
    <row r="83" spans="1:18" x14ac:dyDescent="0.25">
      <c r="A83">
        <f t="shared" si="7"/>
        <v>1</v>
      </c>
      <c r="B83" t="str">
        <f t="shared" si="8"/>
        <v/>
      </c>
      <c r="C83">
        <f t="shared" si="10"/>
        <v>1</v>
      </c>
      <c r="D83" s="4"/>
      <c r="F83" t="e">
        <f>INDEX(Establishment!B$2:B$1005,MATCH($E83,Establishment!$A$2:$A$1005,0))</f>
        <v>#N/A</v>
      </c>
      <c r="G83" t="e">
        <f>INDEX(Establishment!C$2:C$1005,MATCH($E83,Establishment!$A$2:$A$1005,0))</f>
        <v>#N/A</v>
      </c>
      <c r="M83">
        <f t="shared" si="11"/>
        <v>0</v>
      </c>
      <c r="N83">
        <f t="shared" si="9"/>
        <v>0</v>
      </c>
      <c r="P83" t="e">
        <f>INDEX(Items!B$2:B$1032,MATCH($O83,Items!$A$2:$A$1032,0))</f>
        <v>#N/A</v>
      </c>
      <c r="Q83" t="e">
        <f>INDEX(Items!C$2:C$1032,MATCH($O83,Items!$A$2:$A$1032,0))</f>
        <v>#N/A</v>
      </c>
      <c r="R83" t="e">
        <f>INDEX(Items!D$2:D$1032,MATCH($O83,Items!$A$2:$A$1032,0))</f>
        <v>#N/A</v>
      </c>
    </row>
    <row r="84" spans="1:18" x14ac:dyDescent="0.25">
      <c r="A84">
        <f t="shared" si="7"/>
        <v>1</v>
      </c>
      <c r="B84" t="str">
        <f t="shared" si="8"/>
        <v/>
      </c>
      <c r="C84">
        <f t="shared" si="10"/>
        <v>1</v>
      </c>
      <c r="D84" s="4"/>
      <c r="F84" t="e">
        <f>INDEX(Establishment!B$2:B$1005,MATCH($E84,Establishment!$A$2:$A$1005,0))</f>
        <v>#N/A</v>
      </c>
      <c r="G84" t="e">
        <f>INDEX(Establishment!C$2:C$1005,MATCH($E84,Establishment!$A$2:$A$1005,0))</f>
        <v>#N/A</v>
      </c>
      <c r="M84">
        <f t="shared" si="11"/>
        <v>0</v>
      </c>
      <c r="N84">
        <f t="shared" si="9"/>
        <v>0</v>
      </c>
      <c r="P84" t="e">
        <f>INDEX(Items!B$2:B$1032,MATCH($O84,Items!$A$2:$A$1032,0))</f>
        <v>#N/A</v>
      </c>
      <c r="Q84" t="e">
        <f>INDEX(Items!C$2:C$1032,MATCH($O84,Items!$A$2:$A$1032,0))</f>
        <v>#N/A</v>
      </c>
      <c r="R84" t="e">
        <f>INDEX(Items!D$2:D$1032,MATCH($O84,Items!$A$2:$A$1032,0))</f>
        <v>#N/A</v>
      </c>
    </row>
    <row r="85" spans="1:18" x14ac:dyDescent="0.25">
      <c r="A85">
        <f t="shared" si="7"/>
        <v>1</v>
      </c>
      <c r="B85" t="str">
        <f t="shared" si="8"/>
        <v/>
      </c>
      <c r="C85">
        <f t="shared" si="10"/>
        <v>1</v>
      </c>
      <c r="D85" s="4"/>
      <c r="F85" t="e">
        <f>INDEX(Establishment!B$2:B$1005,MATCH($E85,Establishment!$A$2:$A$1005,0))</f>
        <v>#N/A</v>
      </c>
      <c r="G85" t="e">
        <f>INDEX(Establishment!C$2:C$1005,MATCH($E85,Establishment!$A$2:$A$1005,0))</f>
        <v>#N/A</v>
      </c>
      <c r="M85">
        <f t="shared" si="11"/>
        <v>0</v>
      </c>
      <c r="N85">
        <f t="shared" si="9"/>
        <v>0</v>
      </c>
      <c r="P85" t="e">
        <f>INDEX(Items!B$2:B$1032,MATCH($O85,Items!$A$2:$A$1032,0))</f>
        <v>#N/A</v>
      </c>
      <c r="Q85" t="e">
        <f>INDEX(Items!C$2:C$1032,MATCH($O85,Items!$A$2:$A$1032,0))</f>
        <v>#N/A</v>
      </c>
      <c r="R85" t="e">
        <f>INDEX(Items!D$2:D$1032,MATCH($O85,Items!$A$2:$A$1032,0))</f>
        <v>#N/A</v>
      </c>
    </row>
    <row r="86" spans="1:18" x14ac:dyDescent="0.25">
      <c r="A86">
        <f t="shared" si="7"/>
        <v>1</v>
      </c>
      <c r="B86" t="str">
        <f t="shared" si="8"/>
        <v/>
      </c>
      <c r="C86">
        <f t="shared" si="10"/>
        <v>1</v>
      </c>
      <c r="D86" s="4"/>
      <c r="F86" t="e">
        <f>INDEX(Establishment!B$2:B$1005,MATCH($E86,Establishment!$A$2:$A$1005,0))</f>
        <v>#N/A</v>
      </c>
      <c r="G86" t="e">
        <f>INDEX(Establishment!C$2:C$1005,MATCH($E86,Establishment!$A$2:$A$1005,0))</f>
        <v>#N/A</v>
      </c>
      <c r="M86">
        <f t="shared" si="11"/>
        <v>0</v>
      </c>
      <c r="N86">
        <f t="shared" si="9"/>
        <v>0</v>
      </c>
      <c r="P86" t="e">
        <f>INDEX(Items!B$2:B$1032,MATCH($O86,Items!$A$2:$A$1032,0))</f>
        <v>#N/A</v>
      </c>
      <c r="Q86" t="e">
        <f>INDEX(Items!C$2:C$1032,MATCH($O86,Items!$A$2:$A$1032,0))</f>
        <v>#N/A</v>
      </c>
      <c r="R86" t="e">
        <f>INDEX(Items!D$2:D$1032,MATCH($O86,Items!$A$2:$A$1032,0))</f>
        <v>#N/A</v>
      </c>
    </row>
    <row r="87" spans="1:18" x14ac:dyDescent="0.25">
      <c r="A87">
        <f t="shared" si="7"/>
        <v>1</v>
      </c>
      <c r="B87" t="str">
        <f t="shared" si="8"/>
        <v/>
      </c>
      <c r="C87">
        <f t="shared" si="10"/>
        <v>1</v>
      </c>
      <c r="D87" s="4"/>
      <c r="F87" t="e">
        <f>INDEX(Establishment!B$2:B$1005,MATCH($E87,Establishment!$A$2:$A$1005,0))</f>
        <v>#N/A</v>
      </c>
      <c r="G87" t="e">
        <f>INDEX(Establishment!C$2:C$1005,MATCH($E87,Establishment!$A$2:$A$1005,0))</f>
        <v>#N/A</v>
      </c>
      <c r="M87">
        <f t="shared" si="11"/>
        <v>0</v>
      </c>
      <c r="N87">
        <f t="shared" si="9"/>
        <v>0</v>
      </c>
      <c r="P87" t="e">
        <f>INDEX(Items!B$2:B$1032,MATCH($O87,Items!$A$2:$A$1032,0))</f>
        <v>#N/A</v>
      </c>
      <c r="Q87" t="e">
        <f>INDEX(Items!C$2:C$1032,MATCH($O87,Items!$A$2:$A$1032,0))</f>
        <v>#N/A</v>
      </c>
      <c r="R87" t="e">
        <f>INDEX(Items!D$2:D$1032,MATCH($O87,Items!$A$2:$A$1032,0))</f>
        <v>#N/A</v>
      </c>
    </row>
    <row r="88" spans="1:18" x14ac:dyDescent="0.25">
      <c r="A88">
        <f t="shared" si="7"/>
        <v>1</v>
      </c>
      <c r="B88" t="str">
        <f t="shared" si="8"/>
        <v/>
      </c>
      <c r="C88">
        <f t="shared" si="10"/>
        <v>1</v>
      </c>
      <c r="D88" s="4"/>
      <c r="F88" t="e">
        <f>INDEX(Establishment!B$2:B$1005,MATCH($E88,Establishment!$A$2:$A$1005,0))</f>
        <v>#N/A</v>
      </c>
      <c r="G88" t="e">
        <f>INDEX(Establishment!C$2:C$1005,MATCH($E88,Establishment!$A$2:$A$1005,0))</f>
        <v>#N/A</v>
      </c>
      <c r="M88">
        <f t="shared" si="11"/>
        <v>0</v>
      </c>
      <c r="N88">
        <f t="shared" si="9"/>
        <v>0</v>
      </c>
      <c r="P88" t="e">
        <f>INDEX(Items!B$2:B$1032,MATCH($O88,Items!$A$2:$A$1032,0))</f>
        <v>#N/A</v>
      </c>
      <c r="Q88" t="e">
        <f>INDEX(Items!C$2:C$1032,MATCH($O88,Items!$A$2:$A$1032,0))</f>
        <v>#N/A</v>
      </c>
      <c r="R88" t="e">
        <f>INDEX(Items!D$2:D$1032,MATCH($O88,Items!$A$2:$A$1032,0))</f>
        <v>#N/A</v>
      </c>
    </row>
    <row r="89" spans="1:18" x14ac:dyDescent="0.25">
      <c r="A89">
        <f t="shared" si="7"/>
        <v>1</v>
      </c>
      <c r="B89" t="str">
        <f t="shared" si="8"/>
        <v/>
      </c>
      <c r="C89">
        <f t="shared" si="10"/>
        <v>1</v>
      </c>
      <c r="D89" s="4"/>
      <c r="F89" t="e">
        <f>INDEX(Establishment!B$2:B$1005,MATCH($E89,Establishment!$A$2:$A$1005,0))</f>
        <v>#N/A</v>
      </c>
      <c r="G89" t="e">
        <f>INDEX(Establishment!C$2:C$1005,MATCH($E89,Establishment!$A$2:$A$1005,0))</f>
        <v>#N/A</v>
      </c>
      <c r="M89">
        <f t="shared" si="11"/>
        <v>0</v>
      </c>
      <c r="N89">
        <f t="shared" si="9"/>
        <v>0</v>
      </c>
      <c r="P89" t="e">
        <f>INDEX(Items!B$2:B$1032,MATCH($O89,Items!$A$2:$A$1032,0))</f>
        <v>#N/A</v>
      </c>
      <c r="Q89" t="e">
        <f>INDEX(Items!C$2:C$1032,MATCH($O89,Items!$A$2:$A$1032,0))</f>
        <v>#N/A</v>
      </c>
      <c r="R89" t="e">
        <f>INDEX(Items!D$2:D$1032,MATCH($O89,Items!$A$2:$A$1032,0))</f>
        <v>#N/A</v>
      </c>
    </row>
    <row r="90" spans="1:18" x14ac:dyDescent="0.25">
      <c r="A90">
        <f t="shared" si="7"/>
        <v>1</v>
      </c>
      <c r="B90" t="str">
        <f t="shared" si="8"/>
        <v/>
      </c>
      <c r="C90">
        <f t="shared" si="10"/>
        <v>1</v>
      </c>
      <c r="D90" s="4"/>
      <c r="F90" t="e">
        <f>INDEX(Establishment!B$2:B$1005,MATCH($E90,Establishment!$A$2:$A$1005,0))</f>
        <v>#N/A</v>
      </c>
      <c r="G90" t="e">
        <f>INDEX(Establishment!C$2:C$1005,MATCH($E90,Establishment!$A$2:$A$1005,0))</f>
        <v>#N/A</v>
      </c>
      <c r="M90">
        <f t="shared" si="11"/>
        <v>0</v>
      </c>
      <c r="N90">
        <f t="shared" si="9"/>
        <v>0</v>
      </c>
      <c r="P90" t="e">
        <f>INDEX(Items!B$2:B$1032,MATCH($O90,Items!$A$2:$A$1032,0))</f>
        <v>#N/A</v>
      </c>
      <c r="Q90" t="e">
        <f>INDEX(Items!C$2:C$1032,MATCH($O90,Items!$A$2:$A$1032,0))</f>
        <v>#N/A</v>
      </c>
      <c r="R90" t="e">
        <f>INDEX(Items!D$2:D$1032,MATCH($O90,Items!$A$2:$A$1032,0))</f>
        <v>#N/A</v>
      </c>
    </row>
    <row r="91" spans="1:18" x14ac:dyDescent="0.25">
      <c r="A91">
        <f t="shared" si="7"/>
        <v>1</v>
      </c>
      <c r="B91" t="str">
        <f t="shared" si="8"/>
        <v/>
      </c>
      <c r="C91">
        <f t="shared" si="10"/>
        <v>1</v>
      </c>
      <c r="D91" s="4"/>
      <c r="F91" t="e">
        <f>INDEX(Establishment!B$2:B$1005,MATCH($E91,Establishment!$A$2:$A$1005,0))</f>
        <v>#N/A</v>
      </c>
      <c r="G91" t="e">
        <f>INDEX(Establishment!C$2:C$1005,MATCH($E91,Establishment!$A$2:$A$1005,0))</f>
        <v>#N/A</v>
      </c>
      <c r="M91">
        <f t="shared" si="11"/>
        <v>0</v>
      </c>
      <c r="N91">
        <f t="shared" si="9"/>
        <v>0</v>
      </c>
      <c r="P91" t="e">
        <f>INDEX(Items!B$2:B$1032,MATCH($O91,Items!$A$2:$A$1032,0))</f>
        <v>#N/A</v>
      </c>
      <c r="Q91" t="e">
        <f>INDEX(Items!C$2:C$1032,MATCH($O91,Items!$A$2:$A$1032,0))</f>
        <v>#N/A</v>
      </c>
      <c r="R91" t="e">
        <f>INDEX(Items!D$2:D$1032,MATCH($O91,Items!$A$2:$A$1032,0))</f>
        <v>#N/A</v>
      </c>
    </row>
    <row r="92" spans="1:18" x14ac:dyDescent="0.25">
      <c r="A92">
        <f t="shared" si="7"/>
        <v>1</v>
      </c>
      <c r="B92" t="str">
        <f t="shared" si="8"/>
        <v/>
      </c>
      <c r="C92">
        <f t="shared" si="10"/>
        <v>1</v>
      </c>
      <c r="D92" s="4"/>
      <c r="F92" t="e">
        <f>INDEX(Establishment!B$2:B$1005,MATCH($E92,Establishment!$A$2:$A$1005,0))</f>
        <v>#N/A</v>
      </c>
      <c r="G92" t="e">
        <f>INDEX(Establishment!C$2:C$1005,MATCH($E92,Establishment!$A$2:$A$1005,0))</f>
        <v>#N/A</v>
      </c>
      <c r="M92">
        <f t="shared" si="11"/>
        <v>0</v>
      </c>
      <c r="N92">
        <f t="shared" si="9"/>
        <v>0</v>
      </c>
      <c r="P92" t="e">
        <f>INDEX(Items!B$2:B$1032,MATCH($O92,Items!$A$2:$A$1032,0))</f>
        <v>#N/A</v>
      </c>
      <c r="Q92" t="e">
        <f>INDEX(Items!C$2:C$1032,MATCH($O92,Items!$A$2:$A$1032,0))</f>
        <v>#N/A</v>
      </c>
      <c r="R92" t="e">
        <f>INDEX(Items!D$2:D$1032,MATCH($O92,Items!$A$2:$A$1032,0))</f>
        <v>#N/A</v>
      </c>
    </row>
    <row r="93" spans="1:18" x14ac:dyDescent="0.25">
      <c r="A93">
        <f t="shared" si="7"/>
        <v>1</v>
      </c>
      <c r="B93" t="str">
        <f t="shared" si="8"/>
        <v/>
      </c>
      <c r="C93">
        <f t="shared" si="10"/>
        <v>1</v>
      </c>
      <c r="D93" s="4"/>
      <c r="E93" t="s">
        <v>18</v>
      </c>
      <c r="F93" t="str">
        <f>INDEX(Establishment!B$2:B$1005,MATCH($E93,Establishment!$A$2:$A$1005,0))</f>
        <v xml:space="preserve"> </v>
      </c>
      <c r="G93" t="str">
        <f>INDEX(Establishment!C$2:C$1005,MATCH($E93,Establishment!$A$2:$A$1005,0))</f>
        <v xml:space="preserve"> </v>
      </c>
      <c r="M93">
        <f t="shared" si="11"/>
        <v>0</v>
      </c>
      <c r="N93">
        <f t="shared" si="9"/>
        <v>0</v>
      </c>
      <c r="P93" t="e">
        <f>INDEX(Items!B$2:B$1032,MATCH($O93,Items!$A$2:$A$1032,0))</f>
        <v>#N/A</v>
      </c>
      <c r="Q93" t="e">
        <f>INDEX(Items!C$2:C$1032,MATCH($O93,Items!$A$2:$A$1032,0))</f>
        <v>#N/A</v>
      </c>
      <c r="R93" t="e">
        <f>INDEX(Items!D$2:D$1032,MATCH($O93,Items!$A$2:$A$1032,0))</f>
        <v>#N/A</v>
      </c>
    </row>
    <row r="94" spans="1:18" x14ac:dyDescent="0.25">
      <c r="A94">
        <f t="shared" si="7"/>
        <v>1</v>
      </c>
      <c r="B94" t="str">
        <f t="shared" si="8"/>
        <v/>
      </c>
      <c r="C94">
        <f t="shared" si="10"/>
        <v>1</v>
      </c>
      <c r="D94" s="4"/>
      <c r="E94" t="s">
        <v>18</v>
      </c>
      <c r="F94" t="str">
        <f>INDEX(Establishment!B$2:B$1005,MATCH($E94,Establishment!$A$2:$A$1005,0))</f>
        <v xml:space="preserve"> </v>
      </c>
      <c r="G94" t="str">
        <f>INDEX(Establishment!C$2:C$1005,MATCH($E94,Establishment!$A$2:$A$1005,0))</f>
        <v xml:space="preserve"> </v>
      </c>
      <c r="M94">
        <f t="shared" si="11"/>
        <v>0</v>
      </c>
      <c r="N94">
        <f t="shared" si="9"/>
        <v>0</v>
      </c>
      <c r="P94" t="e">
        <f>INDEX(Items!B$2:B$1032,MATCH($O94,Items!$A$2:$A$1032,0))</f>
        <v>#N/A</v>
      </c>
      <c r="Q94" t="e">
        <f>INDEX(Items!C$2:C$1032,MATCH($O94,Items!$A$2:$A$1032,0))</f>
        <v>#N/A</v>
      </c>
      <c r="R94" t="e">
        <f>INDEX(Items!D$2:D$1032,MATCH($O94,Items!$A$2:$A$1032,0))</f>
        <v>#N/A</v>
      </c>
    </row>
    <row r="95" spans="1:18" x14ac:dyDescent="0.25">
      <c r="A95">
        <f t="shared" si="7"/>
        <v>1</v>
      </c>
      <c r="B95" t="str">
        <f t="shared" si="8"/>
        <v/>
      </c>
      <c r="C95">
        <f t="shared" si="10"/>
        <v>1</v>
      </c>
      <c r="D95" s="4"/>
      <c r="E95" t="s">
        <v>18</v>
      </c>
      <c r="F95" t="str">
        <f>INDEX(Establishment!B$2:B$1005,MATCH($E95,Establishment!$A$2:$A$1005,0))</f>
        <v xml:space="preserve"> </v>
      </c>
      <c r="G95" t="str">
        <f>INDEX(Establishment!C$2:C$1005,MATCH($E95,Establishment!$A$2:$A$1005,0))</f>
        <v xml:space="preserve"> </v>
      </c>
      <c r="M95">
        <f t="shared" si="11"/>
        <v>0</v>
      </c>
      <c r="N95">
        <f t="shared" si="9"/>
        <v>0</v>
      </c>
      <c r="P95" t="e">
        <f>INDEX(Items!B$2:B$1032,MATCH($O95,Items!$A$2:$A$1032,0))</f>
        <v>#N/A</v>
      </c>
      <c r="Q95" t="e">
        <f>INDEX(Items!C$2:C$1032,MATCH($O95,Items!$A$2:$A$1032,0))</f>
        <v>#N/A</v>
      </c>
      <c r="R95" t="e">
        <f>INDEX(Items!D$2:D$1032,MATCH($O95,Items!$A$2:$A$1032,0))</f>
        <v>#N/A</v>
      </c>
    </row>
    <row r="96" spans="1:18" x14ac:dyDescent="0.25">
      <c r="A96">
        <f t="shared" si="7"/>
        <v>1</v>
      </c>
      <c r="B96" t="str">
        <f t="shared" si="8"/>
        <v/>
      </c>
      <c r="C96">
        <f t="shared" si="10"/>
        <v>1</v>
      </c>
      <c r="D96" s="4"/>
      <c r="E96" t="s">
        <v>18</v>
      </c>
      <c r="F96" t="str">
        <f>INDEX(Establishment!B$2:B$1005,MATCH($E96,Establishment!$A$2:$A$1005,0))</f>
        <v xml:space="preserve"> </v>
      </c>
      <c r="G96" t="str">
        <f>INDEX(Establishment!C$2:C$1005,MATCH($E96,Establishment!$A$2:$A$1005,0))</f>
        <v xml:space="preserve"> </v>
      </c>
      <c r="M96">
        <f t="shared" si="11"/>
        <v>0</v>
      </c>
      <c r="N96">
        <f t="shared" si="9"/>
        <v>0</v>
      </c>
      <c r="P96" t="e">
        <f>INDEX(Items!B$2:B$1032,MATCH($O96,Items!$A$2:$A$1032,0))</f>
        <v>#N/A</v>
      </c>
      <c r="Q96" t="e">
        <f>INDEX(Items!C$2:C$1032,MATCH($O96,Items!$A$2:$A$1032,0))</f>
        <v>#N/A</v>
      </c>
      <c r="R96" t="e">
        <f>INDEX(Items!D$2:D$1032,MATCH($O96,Items!$A$2:$A$1032,0))</f>
        <v>#N/A</v>
      </c>
    </row>
    <row r="97" spans="1:18" x14ac:dyDescent="0.25">
      <c r="A97">
        <f t="shared" si="7"/>
        <v>1</v>
      </c>
      <c r="B97" t="str">
        <f t="shared" si="8"/>
        <v/>
      </c>
      <c r="C97">
        <f t="shared" si="10"/>
        <v>1</v>
      </c>
      <c r="D97" s="4"/>
      <c r="E97" t="s">
        <v>18</v>
      </c>
      <c r="F97" t="str">
        <f>INDEX(Establishment!B$2:B$1005,MATCH($E97,Establishment!$A$2:$A$1005,0))</f>
        <v xml:space="preserve"> </v>
      </c>
      <c r="G97" t="str">
        <f>INDEX(Establishment!C$2:C$1005,MATCH($E97,Establishment!$A$2:$A$1005,0))</f>
        <v xml:space="preserve"> </v>
      </c>
      <c r="M97">
        <f t="shared" si="11"/>
        <v>0</v>
      </c>
      <c r="N97">
        <f t="shared" si="9"/>
        <v>0</v>
      </c>
      <c r="P97" t="e">
        <f>INDEX(Items!B$2:B$1032,MATCH($O97,Items!$A$2:$A$1032,0))</f>
        <v>#N/A</v>
      </c>
      <c r="Q97" t="e">
        <f>INDEX(Items!C$2:C$1032,MATCH($O97,Items!$A$2:$A$1032,0))</f>
        <v>#N/A</v>
      </c>
      <c r="R97" t="e">
        <f>INDEX(Items!D$2:D$1032,MATCH($O97,Items!$A$2:$A$1032,0))</f>
        <v>#N/A</v>
      </c>
    </row>
    <row r="98" spans="1:18" x14ac:dyDescent="0.25">
      <c r="A98">
        <f t="shared" si="7"/>
        <v>1</v>
      </c>
      <c r="B98" t="str">
        <f t="shared" si="8"/>
        <v/>
      </c>
      <c r="C98">
        <f t="shared" si="10"/>
        <v>1</v>
      </c>
      <c r="D98" s="4"/>
      <c r="E98" t="s">
        <v>18</v>
      </c>
      <c r="F98" t="str">
        <f>INDEX(Establishment!B$2:B$1005,MATCH($E98,Establishment!$A$2:$A$1005,0))</f>
        <v xml:space="preserve"> </v>
      </c>
      <c r="G98" t="str">
        <f>INDEX(Establishment!C$2:C$1005,MATCH($E98,Establishment!$A$2:$A$1005,0))</f>
        <v xml:space="preserve"> </v>
      </c>
      <c r="M98">
        <f t="shared" si="11"/>
        <v>0</v>
      </c>
      <c r="N98">
        <f t="shared" si="9"/>
        <v>0</v>
      </c>
      <c r="P98" t="e">
        <f>INDEX(Items!B$2:B$1032,MATCH($O98,Items!$A$2:$A$1032,0))</f>
        <v>#N/A</v>
      </c>
      <c r="Q98" t="e">
        <f>INDEX(Items!C$2:C$1032,MATCH($O98,Items!$A$2:$A$1032,0))</f>
        <v>#N/A</v>
      </c>
      <c r="R98" t="e">
        <f>INDEX(Items!D$2:D$1032,MATCH($O98,Items!$A$2:$A$1032,0))</f>
        <v>#N/A</v>
      </c>
    </row>
    <row r="99" spans="1:18" x14ac:dyDescent="0.25">
      <c r="A99">
        <f t="shared" si="7"/>
        <v>1</v>
      </c>
      <c r="B99" t="str">
        <f t="shared" si="8"/>
        <v>20230621A</v>
      </c>
      <c r="C99">
        <f t="shared" si="10"/>
        <v>1</v>
      </c>
      <c r="D99" s="4">
        <v>45098</v>
      </c>
      <c r="E99" t="s">
        <v>39</v>
      </c>
      <c r="F99" t="str">
        <f>INDEX(Establishment!B$2:B$1005,MATCH($E99,Establishment!$A$2:$A$1005,0))</f>
        <v>Carenderia 14th Floor</v>
      </c>
      <c r="G99" t="str">
        <f>INDEX(Establishment!C$2:C$1005,MATCH($E99,Establishment!$A$2:$A$1005,0))</f>
        <v>ACC Tower Cebu Business Park</v>
      </c>
      <c r="M99">
        <f t="shared" si="11"/>
        <v>0</v>
      </c>
      <c r="N99">
        <f t="shared" si="9"/>
        <v>0</v>
      </c>
      <c r="P99" t="e">
        <f>INDEX(Items!B$2:B$1032,MATCH($O99,Items!$A$2:$A$1032,0))</f>
        <v>#N/A</v>
      </c>
      <c r="Q99" t="e">
        <f>INDEX(Items!C$2:C$1032,MATCH($O99,Items!$A$2:$A$1032,0))</f>
        <v>#N/A</v>
      </c>
      <c r="R99" t="e">
        <f>INDEX(Items!D$2:D$1032,MATCH($O99,Items!$A$2:$A$1032,0))</f>
        <v>#N/A</v>
      </c>
    </row>
    <row r="100" spans="1:18" x14ac:dyDescent="0.25">
      <c r="A100">
        <f t="shared" si="7"/>
        <v>1</v>
      </c>
      <c r="B100" t="str">
        <f t="shared" si="8"/>
        <v/>
      </c>
      <c r="C100">
        <f t="shared" si="10"/>
        <v>1</v>
      </c>
      <c r="D100" s="4"/>
      <c r="F100" t="e">
        <f>INDEX(Establishment!B$2:B$1005,MATCH($E100,Establishment!$A$2:$A$1005,0))</f>
        <v>#N/A</v>
      </c>
      <c r="G100" t="e">
        <f>INDEX(Establishment!C$2:C$1005,MATCH($E100,Establishment!$A$2:$A$1005,0))</f>
        <v>#N/A</v>
      </c>
      <c r="M100">
        <f t="shared" si="11"/>
        <v>0</v>
      </c>
      <c r="N100">
        <f t="shared" si="9"/>
        <v>0</v>
      </c>
      <c r="P100" t="e">
        <f>INDEX(Items!B$2:B$1032,MATCH($O100,Items!$A$2:$A$1032,0))</f>
        <v>#N/A</v>
      </c>
      <c r="Q100" t="e">
        <f>INDEX(Items!C$2:C$1032,MATCH($O100,Items!$A$2:$A$1032,0))</f>
        <v>#N/A</v>
      </c>
      <c r="R100" t="e">
        <f>INDEX(Items!D$2:D$1032,MATCH($O100,Items!$A$2:$A$1032,0))</f>
        <v>#N/A</v>
      </c>
    </row>
    <row r="101" spans="1:18" x14ac:dyDescent="0.25">
      <c r="A101">
        <f t="shared" si="7"/>
        <v>1</v>
      </c>
      <c r="B101" t="str">
        <f t="shared" si="8"/>
        <v/>
      </c>
      <c r="C101">
        <f t="shared" si="10"/>
        <v>1</v>
      </c>
      <c r="D101" s="4"/>
      <c r="E101" t="s">
        <v>18</v>
      </c>
      <c r="F101" t="str">
        <f>INDEX(Establishment!B$2:B$1005,MATCH($E101,Establishment!$A$2:$A$1005,0))</f>
        <v xml:space="preserve"> </v>
      </c>
      <c r="G101" t="str">
        <f>INDEX(Establishment!C$2:C$1005,MATCH($E101,Establishment!$A$2:$A$1005,0))</f>
        <v xml:space="preserve"> </v>
      </c>
      <c r="M101">
        <f t="shared" si="11"/>
        <v>0</v>
      </c>
      <c r="N101">
        <f t="shared" si="9"/>
        <v>0</v>
      </c>
      <c r="P101" t="e">
        <f>INDEX(Items!B$2:B$1032,MATCH($O101,Items!$A$2:$A$1032,0))</f>
        <v>#N/A</v>
      </c>
      <c r="Q101" t="e">
        <f>INDEX(Items!C$2:C$1032,MATCH($O101,Items!$A$2:$A$1032,0))</f>
        <v>#N/A</v>
      </c>
      <c r="R101" t="e">
        <f>INDEX(Items!D$2:D$1032,MATCH($O101,Items!$A$2:$A$1032,0))</f>
        <v>#N/A</v>
      </c>
    </row>
    <row r="102" spans="1:18" x14ac:dyDescent="0.25">
      <c r="A102">
        <f t="shared" si="7"/>
        <v>1</v>
      </c>
      <c r="B102" t="str">
        <f t="shared" si="8"/>
        <v/>
      </c>
      <c r="C102">
        <f t="shared" si="10"/>
        <v>1</v>
      </c>
      <c r="D102" s="4"/>
      <c r="E102" t="s">
        <v>18</v>
      </c>
      <c r="F102" t="str">
        <f>INDEX(Establishment!B$2:B$1005,MATCH($E102,Establishment!$A$2:$A$1005,0))</f>
        <v xml:space="preserve"> </v>
      </c>
      <c r="G102" t="str">
        <f>INDEX(Establishment!C$2:C$1005,MATCH($E102,Establishment!$A$2:$A$1005,0))</f>
        <v xml:space="preserve"> </v>
      </c>
      <c r="M102">
        <f t="shared" si="11"/>
        <v>0</v>
      </c>
      <c r="N102">
        <f t="shared" si="9"/>
        <v>0</v>
      </c>
      <c r="P102" t="e">
        <f>INDEX(Items!B$2:B$1032,MATCH($O102,Items!$A$2:$A$1032,0))</f>
        <v>#N/A</v>
      </c>
      <c r="Q102" t="e">
        <f>INDEX(Items!C$2:C$1032,MATCH($O102,Items!$A$2:$A$1032,0))</f>
        <v>#N/A</v>
      </c>
      <c r="R102" t="e">
        <f>INDEX(Items!D$2:D$1032,MATCH($O102,Items!$A$2:$A$1032,0))</f>
        <v>#N/A</v>
      </c>
    </row>
    <row r="103" spans="1:18" x14ac:dyDescent="0.25">
      <c r="A103">
        <f t="shared" si="7"/>
        <v>1</v>
      </c>
      <c r="B103" t="str">
        <f t="shared" si="8"/>
        <v/>
      </c>
      <c r="C103">
        <f t="shared" si="10"/>
        <v>1</v>
      </c>
      <c r="D103" s="4"/>
      <c r="E103" t="s">
        <v>18</v>
      </c>
      <c r="F103" t="str">
        <f>INDEX(Establishment!B$2:B$1005,MATCH($E103,Establishment!$A$2:$A$1005,0))</f>
        <v xml:space="preserve"> </v>
      </c>
      <c r="G103" t="str">
        <f>INDEX(Establishment!C$2:C$1005,MATCH($E103,Establishment!$A$2:$A$1005,0))</f>
        <v xml:space="preserve"> </v>
      </c>
      <c r="M103">
        <f t="shared" si="11"/>
        <v>0</v>
      </c>
      <c r="N103">
        <f t="shared" si="9"/>
        <v>0</v>
      </c>
      <c r="P103" t="e">
        <f>INDEX(Items!B$2:B$1032,MATCH($O103,Items!$A$2:$A$1032,0))</f>
        <v>#N/A</v>
      </c>
      <c r="Q103" t="e">
        <f>INDEX(Items!C$2:C$1032,MATCH($O103,Items!$A$2:$A$1032,0))</f>
        <v>#N/A</v>
      </c>
      <c r="R103" t="e">
        <f>INDEX(Items!D$2:D$1032,MATCH($O103,Items!$A$2:$A$1032,0))</f>
        <v>#N/A</v>
      </c>
    </row>
    <row r="104" spans="1:18" x14ac:dyDescent="0.25">
      <c r="A104">
        <f t="shared" si="7"/>
        <v>1</v>
      </c>
      <c r="B104" t="str">
        <f t="shared" si="8"/>
        <v/>
      </c>
      <c r="C104">
        <f t="shared" si="10"/>
        <v>1</v>
      </c>
      <c r="D104" s="4"/>
      <c r="E104" t="s">
        <v>18</v>
      </c>
      <c r="F104" t="str">
        <f>INDEX(Establishment!B$2:B$1005,MATCH($E104,Establishment!$A$2:$A$1005,0))</f>
        <v xml:space="preserve"> </v>
      </c>
      <c r="G104" t="str">
        <f>INDEX(Establishment!C$2:C$1005,MATCH($E104,Establishment!$A$2:$A$1005,0))</f>
        <v xml:space="preserve"> </v>
      </c>
      <c r="M104">
        <f t="shared" si="11"/>
        <v>0</v>
      </c>
      <c r="N104">
        <f t="shared" si="9"/>
        <v>0</v>
      </c>
      <c r="P104" t="e">
        <f>INDEX(Items!B$2:B$1032,MATCH($O104,Items!$A$2:$A$1032,0))</f>
        <v>#N/A</v>
      </c>
      <c r="Q104" t="e">
        <f>INDEX(Items!C$2:C$1032,MATCH($O104,Items!$A$2:$A$1032,0))</f>
        <v>#N/A</v>
      </c>
      <c r="R104" t="e">
        <f>INDEX(Items!D$2:D$1032,MATCH($O104,Items!$A$2:$A$1032,0))</f>
        <v>#N/A</v>
      </c>
    </row>
    <row r="105" spans="1:18" x14ac:dyDescent="0.25">
      <c r="A105">
        <f t="shared" si="7"/>
        <v>1</v>
      </c>
      <c r="B105" t="str">
        <f t="shared" si="8"/>
        <v/>
      </c>
      <c r="C105">
        <f t="shared" si="10"/>
        <v>1</v>
      </c>
      <c r="D105" s="4"/>
      <c r="E105" t="s">
        <v>18</v>
      </c>
      <c r="F105" t="str">
        <f>INDEX(Establishment!B$2:B$1005,MATCH($E105,Establishment!$A$2:$A$1005,0))</f>
        <v xml:space="preserve"> </v>
      </c>
      <c r="G105" t="str">
        <f>INDEX(Establishment!C$2:C$1005,MATCH($E105,Establishment!$A$2:$A$1005,0))</f>
        <v xml:space="preserve"> </v>
      </c>
      <c r="M105">
        <f t="shared" si="11"/>
        <v>0</v>
      </c>
      <c r="N105">
        <f t="shared" si="9"/>
        <v>0</v>
      </c>
      <c r="P105" t="e">
        <f>INDEX(Items!B$2:B$1032,MATCH($O105,Items!$A$2:$A$1032,0))</f>
        <v>#N/A</v>
      </c>
      <c r="Q105" t="e">
        <f>INDEX(Items!C$2:C$1032,MATCH($O105,Items!$A$2:$A$1032,0))</f>
        <v>#N/A</v>
      </c>
      <c r="R105" t="e">
        <f>INDEX(Items!D$2:D$1032,MATCH($O105,Items!$A$2:$A$1032,0))</f>
        <v>#N/A</v>
      </c>
    </row>
    <row r="106" spans="1:18" x14ac:dyDescent="0.25">
      <c r="A106">
        <f t="shared" si="7"/>
        <v>1</v>
      </c>
      <c r="B106" t="str">
        <f t="shared" si="8"/>
        <v/>
      </c>
      <c r="C106">
        <f t="shared" si="10"/>
        <v>1</v>
      </c>
      <c r="D106" s="4"/>
      <c r="E106" t="s">
        <v>18</v>
      </c>
      <c r="F106" t="str">
        <f>INDEX(Establishment!B$2:B$1005,MATCH($E106,Establishment!$A$2:$A$1005,0))</f>
        <v xml:space="preserve"> </v>
      </c>
      <c r="G106" t="str">
        <f>INDEX(Establishment!C$2:C$1005,MATCH($E106,Establishment!$A$2:$A$1005,0))</f>
        <v xml:space="preserve"> </v>
      </c>
      <c r="M106">
        <f t="shared" si="11"/>
        <v>0</v>
      </c>
      <c r="N106">
        <f t="shared" si="9"/>
        <v>0</v>
      </c>
      <c r="P106" t="e">
        <f>INDEX(Items!B$2:B$1032,MATCH($O106,Items!$A$2:$A$1032,0))</f>
        <v>#N/A</v>
      </c>
      <c r="Q106" t="e">
        <f>INDEX(Items!C$2:C$1032,MATCH($O106,Items!$A$2:$A$1032,0))</f>
        <v>#N/A</v>
      </c>
      <c r="R106" t="e">
        <f>INDEX(Items!D$2:D$1032,MATCH($O106,Items!$A$2:$A$1032,0))</f>
        <v>#N/A</v>
      </c>
    </row>
    <row r="107" spans="1:18" x14ac:dyDescent="0.25">
      <c r="A107">
        <f t="shared" si="7"/>
        <v>1</v>
      </c>
      <c r="B107" t="str">
        <f t="shared" si="8"/>
        <v/>
      </c>
      <c r="C107">
        <f t="shared" si="10"/>
        <v>1</v>
      </c>
      <c r="D107" s="4"/>
      <c r="E107" t="s">
        <v>18</v>
      </c>
      <c r="F107" t="str">
        <f>INDEX(Establishment!B$2:B$1005,MATCH($E107,Establishment!$A$2:$A$1005,0))</f>
        <v xml:space="preserve"> </v>
      </c>
      <c r="G107" t="str">
        <f>INDEX(Establishment!C$2:C$1005,MATCH($E107,Establishment!$A$2:$A$1005,0))</f>
        <v xml:space="preserve"> </v>
      </c>
      <c r="M107">
        <f t="shared" si="11"/>
        <v>0</v>
      </c>
      <c r="N107">
        <f t="shared" si="9"/>
        <v>0</v>
      </c>
      <c r="P107" t="e">
        <f>INDEX(Items!B$2:B$1032,MATCH($O107,Items!$A$2:$A$1032,0))</f>
        <v>#N/A</v>
      </c>
      <c r="Q107" t="e">
        <f>INDEX(Items!C$2:C$1032,MATCH($O107,Items!$A$2:$A$1032,0))</f>
        <v>#N/A</v>
      </c>
      <c r="R107" t="e">
        <f>INDEX(Items!D$2:D$1032,MATCH($O107,Items!$A$2:$A$1032,0))</f>
        <v>#N/A</v>
      </c>
    </row>
    <row r="108" spans="1:18" x14ac:dyDescent="0.25">
      <c r="A108">
        <f t="shared" si="7"/>
        <v>1</v>
      </c>
      <c r="B108" t="str">
        <f t="shared" si="8"/>
        <v/>
      </c>
      <c r="C108">
        <f t="shared" si="10"/>
        <v>1</v>
      </c>
      <c r="D108" s="4"/>
      <c r="E108" t="s">
        <v>18</v>
      </c>
      <c r="F108" t="str">
        <f>INDEX(Establishment!B$2:B$1005,MATCH($E108,Establishment!$A$2:$A$1005,0))</f>
        <v xml:space="preserve"> </v>
      </c>
      <c r="G108" t="str">
        <f>INDEX(Establishment!C$2:C$1005,MATCH($E108,Establishment!$A$2:$A$1005,0))</f>
        <v xml:space="preserve"> </v>
      </c>
      <c r="M108">
        <f t="shared" si="11"/>
        <v>0</v>
      </c>
      <c r="N108">
        <f t="shared" si="9"/>
        <v>0</v>
      </c>
      <c r="P108" t="e">
        <f>INDEX(Items!B$2:B$1032,MATCH($O108,Items!$A$2:$A$1032,0))</f>
        <v>#N/A</v>
      </c>
      <c r="Q108" t="e">
        <f>INDEX(Items!C$2:C$1032,MATCH($O108,Items!$A$2:$A$1032,0))</f>
        <v>#N/A</v>
      </c>
      <c r="R108" t="e">
        <f>INDEX(Items!D$2:D$1032,MATCH($O108,Items!$A$2:$A$1032,0))</f>
        <v>#N/A</v>
      </c>
    </row>
    <row r="109" spans="1:18" x14ac:dyDescent="0.25">
      <c r="A109">
        <f t="shared" si="7"/>
        <v>1</v>
      </c>
      <c r="B109" t="str">
        <f t="shared" si="8"/>
        <v/>
      </c>
      <c r="C109">
        <f t="shared" si="10"/>
        <v>1</v>
      </c>
      <c r="D109" s="4"/>
      <c r="E109" t="s">
        <v>18</v>
      </c>
      <c r="F109" t="str">
        <f>INDEX(Establishment!B$2:B$1005,MATCH($E109,Establishment!$A$2:$A$1005,0))</f>
        <v xml:space="preserve"> </v>
      </c>
      <c r="G109" t="str">
        <f>INDEX(Establishment!C$2:C$1005,MATCH($E109,Establishment!$A$2:$A$1005,0))</f>
        <v xml:space="preserve"> </v>
      </c>
      <c r="M109">
        <f t="shared" si="11"/>
        <v>0</v>
      </c>
      <c r="N109">
        <f t="shared" si="9"/>
        <v>0</v>
      </c>
      <c r="P109" t="e">
        <f>INDEX(Items!B$2:B$1032,MATCH($O109,Items!$A$2:$A$1032,0))</f>
        <v>#N/A</v>
      </c>
      <c r="Q109" t="e">
        <f>INDEX(Items!C$2:C$1032,MATCH($O109,Items!$A$2:$A$1032,0))</f>
        <v>#N/A</v>
      </c>
      <c r="R109" t="e">
        <f>INDEX(Items!D$2:D$1032,MATCH($O109,Items!$A$2:$A$1032,0))</f>
        <v>#N/A</v>
      </c>
    </row>
    <row r="110" spans="1:18" x14ac:dyDescent="0.25">
      <c r="A110">
        <f t="shared" si="7"/>
        <v>1</v>
      </c>
      <c r="B110" t="str">
        <f t="shared" si="8"/>
        <v/>
      </c>
      <c r="C110">
        <f t="shared" si="10"/>
        <v>1</v>
      </c>
      <c r="D110" s="4"/>
      <c r="E110" t="s">
        <v>18</v>
      </c>
      <c r="F110" t="str">
        <f>INDEX(Establishment!B$2:B$1005,MATCH($E110,Establishment!$A$2:$A$1005,0))</f>
        <v xml:space="preserve"> </v>
      </c>
      <c r="G110" t="str">
        <f>INDEX(Establishment!C$2:C$1005,MATCH($E110,Establishment!$A$2:$A$1005,0))</f>
        <v xml:space="preserve"> </v>
      </c>
      <c r="M110">
        <f t="shared" si="11"/>
        <v>0</v>
      </c>
      <c r="N110">
        <f t="shared" si="9"/>
        <v>0</v>
      </c>
      <c r="P110" t="e">
        <f>INDEX(Items!B$2:B$1032,MATCH($O110,Items!$A$2:$A$1032,0))</f>
        <v>#N/A</v>
      </c>
      <c r="Q110" t="e">
        <f>INDEX(Items!C$2:C$1032,MATCH($O110,Items!$A$2:$A$1032,0))</f>
        <v>#N/A</v>
      </c>
      <c r="R110" t="e">
        <f>INDEX(Items!D$2:D$1032,MATCH($O110,Items!$A$2:$A$1032,0))</f>
        <v>#N/A</v>
      </c>
    </row>
    <row r="111" spans="1:18" x14ac:dyDescent="0.25">
      <c r="A111">
        <f t="shared" si="7"/>
        <v>1</v>
      </c>
      <c r="B111" t="str">
        <f t="shared" si="8"/>
        <v/>
      </c>
      <c r="C111">
        <f t="shared" si="10"/>
        <v>1</v>
      </c>
      <c r="D111" s="4"/>
      <c r="E111" t="s">
        <v>18</v>
      </c>
      <c r="F111" t="str">
        <f>INDEX(Establishment!B$2:B$1005,MATCH($E111,Establishment!$A$2:$A$1005,0))</f>
        <v xml:space="preserve"> </v>
      </c>
      <c r="G111" t="str">
        <f>INDEX(Establishment!C$2:C$1005,MATCH($E111,Establishment!$A$2:$A$1005,0))</f>
        <v xml:space="preserve"> </v>
      </c>
      <c r="M111">
        <f t="shared" si="11"/>
        <v>0</v>
      </c>
      <c r="N111">
        <f t="shared" si="9"/>
        <v>0</v>
      </c>
      <c r="P111" t="e">
        <f>INDEX(Items!B$2:B$1032,MATCH($O111,Items!$A$2:$A$1032,0))</f>
        <v>#N/A</v>
      </c>
      <c r="Q111" t="e">
        <f>INDEX(Items!C$2:C$1032,MATCH($O111,Items!$A$2:$A$1032,0))</f>
        <v>#N/A</v>
      </c>
      <c r="R111" t="e">
        <f>INDEX(Items!D$2:D$1032,MATCH($O111,Items!$A$2:$A$1032,0))</f>
        <v>#N/A</v>
      </c>
    </row>
    <row r="112" spans="1:18" x14ac:dyDescent="0.25">
      <c r="A112">
        <f t="shared" si="7"/>
        <v>1</v>
      </c>
      <c r="B112" t="str">
        <f t="shared" si="8"/>
        <v/>
      </c>
      <c r="C112">
        <f t="shared" si="10"/>
        <v>1</v>
      </c>
      <c r="D112" s="4"/>
      <c r="E112" t="s">
        <v>18</v>
      </c>
      <c r="F112" t="str">
        <f>INDEX(Establishment!B$2:B$1005,MATCH($E112,Establishment!$A$2:$A$1005,0))</f>
        <v xml:space="preserve"> </v>
      </c>
      <c r="G112" t="str">
        <f>INDEX(Establishment!C$2:C$1005,MATCH($E112,Establishment!$A$2:$A$1005,0))</f>
        <v xml:space="preserve"> </v>
      </c>
      <c r="M112">
        <f t="shared" si="11"/>
        <v>0</v>
      </c>
      <c r="N112">
        <f t="shared" si="9"/>
        <v>0</v>
      </c>
      <c r="P112" t="e">
        <f>INDEX(Items!B$2:B$1032,MATCH($O112,Items!$A$2:$A$1032,0))</f>
        <v>#N/A</v>
      </c>
      <c r="Q112" t="e">
        <f>INDEX(Items!C$2:C$1032,MATCH($O112,Items!$A$2:$A$1032,0))</f>
        <v>#N/A</v>
      </c>
      <c r="R112" t="e">
        <f>INDEX(Items!D$2:D$1032,MATCH($O112,Items!$A$2:$A$1032,0))</f>
        <v>#N/A</v>
      </c>
    </row>
    <row r="113" spans="1:18" x14ac:dyDescent="0.25">
      <c r="A113">
        <f t="shared" si="7"/>
        <v>1</v>
      </c>
      <c r="B113" t="str">
        <f t="shared" si="8"/>
        <v/>
      </c>
      <c r="C113">
        <f t="shared" si="10"/>
        <v>1</v>
      </c>
      <c r="D113" s="4"/>
      <c r="E113" t="s">
        <v>18</v>
      </c>
      <c r="F113" t="str">
        <f>INDEX(Establishment!B$2:B$1005,MATCH($E113,Establishment!$A$2:$A$1005,0))</f>
        <v xml:space="preserve"> </v>
      </c>
      <c r="G113" t="str">
        <f>INDEX(Establishment!C$2:C$1005,MATCH($E113,Establishment!$A$2:$A$1005,0))</f>
        <v xml:space="preserve"> </v>
      </c>
      <c r="M113">
        <f t="shared" si="11"/>
        <v>0</v>
      </c>
      <c r="N113">
        <f t="shared" si="9"/>
        <v>0</v>
      </c>
      <c r="P113" t="e">
        <f>INDEX(Items!B$2:B$1032,MATCH($O113,Items!$A$2:$A$1032,0))</f>
        <v>#N/A</v>
      </c>
      <c r="Q113" t="e">
        <f>INDEX(Items!C$2:C$1032,MATCH($O113,Items!$A$2:$A$1032,0))</f>
        <v>#N/A</v>
      </c>
      <c r="R113" t="e">
        <f>INDEX(Items!D$2:D$1032,MATCH($O113,Items!$A$2:$A$1032,0))</f>
        <v>#N/A</v>
      </c>
    </row>
    <row r="114" spans="1:18" x14ac:dyDescent="0.25">
      <c r="A114">
        <f t="shared" si="7"/>
        <v>1</v>
      </c>
      <c r="B114" t="str">
        <f t="shared" si="8"/>
        <v/>
      </c>
      <c r="C114">
        <f t="shared" si="10"/>
        <v>1</v>
      </c>
      <c r="D114" s="4"/>
      <c r="E114" t="s">
        <v>18</v>
      </c>
      <c r="F114" t="str">
        <f>INDEX(Establishment!B$2:B$1005,MATCH($E114,Establishment!$A$2:$A$1005,0))</f>
        <v xml:space="preserve"> </v>
      </c>
      <c r="G114" t="str">
        <f>INDEX(Establishment!C$2:C$1005,MATCH($E114,Establishment!$A$2:$A$1005,0))</f>
        <v xml:space="preserve"> </v>
      </c>
      <c r="M114">
        <f t="shared" si="11"/>
        <v>0</v>
      </c>
      <c r="N114">
        <f t="shared" si="9"/>
        <v>0</v>
      </c>
      <c r="P114" t="e">
        <f>INDEX(Items!B$2:B$1032,MATCH($O114,Items!$A$2:$A$1032,0))</f>
        <v>#N/A</v>
      </c>
      <c r="Q114" t="e">
        <f>INDEX(Items!C$2:C$1032,MATCH($O114,Items!$A$2:$A$1032,0))</f>
        <v>#N/A</v>
      </c>
      <c r="R114" t="e">
        <f>INDEX(Items!D$2:D$1032,MATCH($O114,Items!$A$2:$A$1032,0))</f>
        <v>#N/A</v>
      </c>
    </row>
    <row r="115" spans="1:18" x14ac:dyDescent="0.25">
      <c r="A115">
        <f t="shared" si="7"/>
        <v>1</v>
      </c>
      <c r="B115" t="str">
        <f t="shared" si="8"/>
        <v/>
      </c>
      <c r="C115">
        <f t="shared" si="10"/>
        <v>1</v>
      </c>
      <c r="D115" s="4"/>
      <c r="E115" t="s">
        <v>18</v>
      </c>
      <c r="F115" t="str">
        <f>INDEX(Establishment!B$2:B$1005,MATCH($E115,Establishment!$A$2:$A$1005,0))</f>
        <v xml:space="preserve"> </v>
      </c>
      <c r="G115" t="str">
        <f>INDEX(Establishment!C$2:C$1005,MATCH($E115,Establishment!$A$2:$A$1005,0))</f>
        <v xml:space="preserve"> </v>
      </c>
      <c r="M115">
        <f t="shared" si="11"/>
        <v>0</v>
      </c>
      <c r="N115">
        <f t="shared" si="9"/>
        <v>0</v>
      </c>
      <c r="P115" t="e">
        <f>INDEX(Items!B$2:B$1032,MATCH($O115,Items!$A$2:$A$1032,0))</f>
        <v>#N/A</v>
      </c>
      <c r="Q115" t="e">
        <f>INDEX(Items!C$2:C$1032,MATCH($O115,Items!$A$2:$A$1032,0))</f>
        <v>#N/A</v>
      </c>
      <c r="R115" t="e">
        <f>INDEX(Items!D$2:D$1032,MATCH($O115,Items!$A$2:$A$1032,0))</f>
        <v>#N/A</v>
      </c>
    </row>
    <row r="116" spans="1:18" x14ac:dyDescent="0.25">
      <c r="A116">
        <f t="shared" si="7"/>
        <v>1</v>
      </c>
      <c r="B116" t="str">
        <f t="shared" si="8"/>
        <v/>
      </c>
      <c r="C116">
        <f t="shared" si="10"/>
        <v>1</v>
      </c>
      <c r="D116" s="4"/>
      <c r="E116" t="s">
        <v>18</v>
      </c>
      <c r="F116" t="str">
        <f>INDEX(Establishment!B$2:B$1005,MATCH($E116,Establishment!$A$2:$A$1005,0))</f>
        <v xml:space="preserve"> </v>
      </c>
      <c r="G116" t="str">
        <f>INDEX(Establishment!C$2:C$1005,MATCH($E116,Establishment!$A$2:$A$1005,0))</f>
        <v xml:space="preserve"> </v>
      </c>
      <c r="M116">
        <f t="shared" si="11"/>
        <v>0</v>
      </c>
      <c r="N116">
        <f t="shared" si="9"/>
        <v>0</v>
      </c>
      <c r="P116" t="e">
        <f>INDEX(Items!B$2:B$1032,MATCH($O116,Items!$A$2:$A$1032,0))</f>
        <v>#N/A</v>
      </c>
      <c r="Q116" t="e">
        <f>INDEX(Items!C$2:C$1032,MATCH($O116,Items!$A$2:$A$1032,0))</f>
        <v>#N/A</v>
      </c>
      <c r="R116" t="e">
        <f>INDEX(Items!D$2:D$1032,MATCH($O116,Items!$A$2:$A$1032,0))</f>
        <v>#N/A</v>
      </c>
    </row>
    <row r="117" spans="1:18" x14ac:dyDescent="0.25">
      <c r="A117">
        <f t="shared" si="7"/>
        <v>1</v>
      </c>
      <c r="B117" t="str">
        <f t="shared" si="8"/>
        <v/>
      </c>
      <c r="C117">
        <f t="shared" si="10"/>
        <v>1</v>
      </c>
      <c r="D117" s="4"/>
      <c r="E117" t="s">
        <v>18</v>
      </c>
      <c r="F117" t="str">
        <f>INDEX(Establishment!B$2:B$1005,MATCH($E117,Establishment!$A$2:$A$1005,0))</f>
        <v xml:space="preserve"> </v>
      </c>
      <c r="G117" t="str">
        <f>INDEX(Establishment!C$2:C$1005,MATCH($E117,Establishment!$A$2:$A$1005,0))</f>
        <v xml:space="preserve"> </v>
      </c>
      <c r="M117">
        <f t="shared" si="11"/>
        <v>0</v>
      </c>
      <c r="N117">
        <f t="shared" si="9"/>
        <v>0</v>
      </c>
      <c r="P117" t="e">
        <f>INDEX(Items!B$2:B$1032,MATCH($O117,Items!$A$2:$A$1032,0))</f>
        <v>#N/A</v>
      </c>
      <c r="Q117" t="e">
        <f>INDEX(Items!C$2:C$1032,MATCH($O117,Items!$A$2:$A$1032,0))</f>
        <v>#N/A</v>
      </c>
      <c r="R117" t="e">
        <f>INDEX(Items!D$2:D$1032,MATCH($O117,Items!$A$2:$A$1032,0))</f>
        <v>#N/A</v>
      </c>
    </row>
    <row r="118" spans="1:18" x14ac:dyDescent="0.25">
      <c r="A118">
        <f t="shared" si="7"/>
        <v>1</v>
      </c>
      <c r="B118" t="str">
        <f t="shared" si="8"/>
        <v/>
      </c>
      <c r="C118">
        <f t="shared" si="10"/>
        <v>1</v>
      </c>
      <c r="D118" s="4"/>
      <c r="E118" t="s">
        <v>18</v>
      </c>
      <c r="F118" t="str">
        <f>INDEX(Establishment!B$2:B$1005,MATCH($E118,Establishment!$A$2:$A$1005,0))</f>
        <v xml:space="preserve"> </v>
      </c>
      <c r="G118" t="str">
        <f>INDEX(Establishment!C$2:C$1005,MATCH($E118,Establishment!$A$2:$A$1005,0))</f>
        <v xml:space="preserve"> </v>
      </c>
      <c r="M118">
        <f t="shared" si="11"/>
        <v>0</v>
      </c>
      <c r="N118">
        <f t="shared" si="9"/>
        <v>0</v>
      </c>
      <c r="P118" t="e">
        <f>INDEX(Items!B$2:B$1032,MATCH($O118,Items!$A$2:$A$1032,0))</f>
        <v>#N/A</v>
      </c>
      <c r="Q118" t="e">
        <f>INDEX(Items!C$2:C$1032,MATCH($O118,Items!$A$2:$A$1032,0))</f>
        <v>#N/A</v>
      </c>
      <c r="R118" t="e">
        <f>INDEX(Items!D$2:D$1032,MATCH($O118,Items!$A$2:$A$1032,0))</f>
        <v>#N/A</v>
      </c>
    </row>
    <row r="119" spans="1:18" x14ac:dyDescent="0.25">
      <c r="A119">
        <f t="shared" si="7"/>
        <v>1</v>
      </c>
      <c r="B119" t="str">
        <f t="shared" si="8"/>
        <v/>
      </c>
      <c r="C119">
        <f t="shared" si="10"/>
        <v>1</v>
      </c>
      <c r="D119" s="4"/>
      <c r="E119" t="s">
        <v>18</v>
      </c>
      <c r="F119" t="str">
        <f>INDEX(Establishment!B$2:B$1005,MATCH($E119,Establishment!$A$2:$A$1005,0))</f>
        <v xml:space="preserve"> </v>
      </c>
      <c r="G119" t="str">
        <f>INDEX(Establishment!C$2:C$1005,MATCH($E119,Establishment!$A$2:$A$1005,0))</f>
        <v xml:space="preserve"> </v>
      </c>
      <c r="M119">
        <f t="shared" si="11"/>
        <v>0</v>
      </c>
      <c r="N119">
        <f t="shared" si="9"/>
        <v>0</v>
      </c>
      <c r="P119" t="e">
        <f>INDEX(Items!B$2:B$1032,MATCH($O119,Items!$A$2:$A$1032,0))</f>
        <v>#N/A</v>
      </c>
      <c r="Q119" t="e">
        <f>INDEX(Items!C$2:C$1032,MATCH($O119,Items!$A$2:$A$1032,0))</f>
        <v>#N/A</v>
      </c>
      <c r="R119" t="e">
        <f>INDEX(Items!D$2:D$1032,MATCH($O119,Items!$A$2:$A$1032,0))</f>
        <v>#N/A</v>
      </c>
    </row>
    <row r="120" spans="1:18" x14ac:dyDescent="0.25">
      <c r="A120">
        <f t="shared" si="7"/>
        <v>1</v>
      </c>
      <c r="B120" t="str">
        <f t="shared" si="8"/>
        <v/>
      </c>
      <c r="C120">
        <f t="shared" si="10"/>
        <v>1</v>
      </c>
      <c r="D120" s="4"/>
      <c r="E120" t="s">
        <v>18</v>
      </c>
      <c r="F120" t="str">
        <f>INDEX(Establishment!B$2:B$1005,MATCH($E120,Establishment!$A$2:$A$1005,0))</f>
        <v xml:space="preserve"> </v>
      </c>
      <c r="G120" t="str">
        <f>INDEX(Establishment!C$2:C$1005,MATCH($E120,Establishment!$A$2:$A$1005,0))</f>
        <v xml:space="preserve"> </v>
      </c>
      <c r="M120">
        <f t="shared" si="11"/>
        <v>0</v>
      </c>
      <c r="N120">
        <f t="shared" si="9"/>
        <v>0</v>
      </c>
      <c r="P120" t="e">
        <f>INDEX(Items!B$2:B$1032,MATCH($O120,Items!$A$2:$A$1032,0))</f>
        <v>#N/A</v>
      </c>
      <c r="Q120" t="e">
        <f>INDEX(Items!C$2:C$1032,MATCH($O120,Items!$A$2:$A$1032,0))</f>
        <v>#N/A</v>
      </c>
      <c r="R120" t="e">
        <f>INDEX(Items!D$2:D$1032,MATCH($O120,Items!$A$2:$A$1032,0))</f>
        <v>#N/A</v>
      </c>
    </row>
    <row r="121" spans="1:18" x14ac:dyDescent="0.25">
      <c r="A121">
        <f t="shared" si="7"/>
        <v>1</v>
      </c>
      <c r="B121" t="str">
        <f t="shared" si="8"/>
        <v/>
      </c>
      <c r="C121">
        <f t="shared" si="10"/>
        <v>1</v>
      </c>
      <c r="D121" s="4"/>
      <c r="E121" t="s">
        <v>18</v>
      </c>
      <c r="F121" t="str">
        <f>INDEX(Establishment!B$2:B$1005,MATCH($E121,Establishment!$A$2:$A$1005,0))</f>
        <v xml:space="preserve"> </v>
      </c>
      <c r="G121" t="str">
        <f>INDEX(Establishment!C$2:C$1005,MATCH($E121,Establishment!$A$2:$A$1005,0))</f>
        <v xml:space="preserve"> </v>
      </c>
      <c r="M121">
        <f t="shared" si="11"/>
        <v>0</v>
      </c>
      <c r="N121">
        <f t="shared" si="9"/>
        <v>0</v>
      </c>
      <c r="P121" t="e">
        <f>INDEX(Items!B$2:B$1032,MATCH($O121,Items!$A$2:$A$1032,0))</f>
        <v>#N/A</v>
      </c>
      <c r="Q121" t="e">
        <f>INDEX(Items!C$2:C$1032,MATCH($O121,Items!$A$2:$A$1032,0))</f>
        <v>#N/A</v>
      </c>
      <c r="R121" t="e">
        <f>INDEX(Items!D$2:D$1032,MATCH($O121,Items!$A$2:$A$1032,0))</f>
        <v>#N/A</v>
      </c>
    </row>
    <row r="122" spans="1:18" x14ac:dyDescent="0.25">
      <c r="A122">
        <f t="shared" si="7"/>
        <v>1</v>
      </c>
      <c r="B122" t="str">
        <f t="shared" si="8"/>
        <v/>
      </c>
      <c r="C122">
        <f t="shared" si="10"/>
        <v>1</v>
      </c>
      <c r="D122" s="4"/>
      <c r="E122" t="s">
        <v>18</v>
      </c>
      <c r="F122" t="str">
        <f>INDEX(Establishment!B$2:B$1005,MATCH($E122,Establishment!$A$2:$A$1005,0))</f>
        <v xml:space="preserve"> </v>
      </c>
      <c r="G122" t="str">
        <f>INDEX(Establishment!C$2:C$1005,MATCH($E122,Establishment!$A$2:$A$1005,0))</f>
        <v xml:space="preserve"> </v>
      </c>
      <c r="M122">
        <f t="shared" si="11"/>
        <v>0</v>
      </c>
      <c r="N122">
        <f t="shared" si="9"/>
        <v>0</v>
      </c>
      <c r="P122" t="e">
        <f>INDEX(Items!B$2:B$1032,MATCH($O122,Items!$A$2:$A$1032,0))</f>
        <v>#N/A</v>
      </c>
      <c r="Q122" t="e">
        <f>INDEX(Items!C$2:C$1032,MATCH($O122,Items!$A$2:$A$1032,0))</f>
        <v>#N/A</v>
      </c>
      <c r="R122" t="e">
        <f>INDEX(Items!D$2:D$1032,MATCH($O122,Items!$A$2:$A$1032,0))</f>
        <v>#N/A</v>
      </c>
    </row>
    <row r="123" spans="1:18" x14ac:dyDescent="0.25">
      <c r="A123">
        <f t="shared" si="7"/>
        <v>1</v>
      </c>
      <c r="B123" t="str">
        <f t="shared" si="8"/>
        <v/>
      </c>
      <c r="C123">
        <f t="shared" si="10"/>
        <v>1</v>
      </c>
      <c r="D123" s="4"/>
      <c r="E123" t="s">
        <v>18</v>
      </c>
      <c r="F123" t="str">
        <f>INDEX(Establishment!B$2:B$1005,MATCH($E123,Establishment!$A$2:$A$1005,0))</f>
        <v xml:space="preserve"> </v>
      </c>
      <c r="G123" t="str">
        <f>INDEX(Establishment!C$2:C$1005,MATCH($E123,Establishment!$A$2:$A$1005,0))</f>
        <v xml:space="preserve"> </v>
      </c>
      <c r="M123">
        <f t="shared" si="11"/>
        <v>0</v>
      </c>
      <c r="N123">
        <f t="shared" si="9"/>
        <v>0</v>
      </c>
      <c r="P123" t="e">
        <f>INDEX(Items!B$2:B$1032,MATCH($O123,Items!$A$2:$A$1032,0))</f>
        <v>#N/A</v>
      </c>
      <c r="Q123" t="e">
        <f>INDEX(Items!C$2:C$1032,MATCH($O123,Items!$A$2:$A$1032,0))</f>
        <v>#N/A</v>
      </c>
      <c r="R123" t="e">
        <f>INDEX(Items!D$2:D$1032,MATCH($O123,Items!$A$2:$A$1032,0))</f>
        <v>#N/A</v>
      </c>
    </row>
    <row r="124" spans="1:18" x14ac:dyDescent="0.25">
      <c r="A124">
        <f t="shared" si="7"/>
        <v>1</v>
      </c>
      <c r="B124" t="str">
        <f t="shared" si="8"/>
        <v/>
      </c>
      <c r="C124">
        <f t="shared" si="10"/>
        <v>1</v>
      </c>
      <c r="D124" s="4"/>
      <c r="E124" t="s">
        <v>18</v>
      </c>
      <c r="F124" t="str">
        <f>INDEX(Establishment!B$2:B$1005,MATCH($E124,Establishment!$A$2:$A$1005,0))</f>
        <v xml:space="preserve"> </v>
      </c>
      <c r="G124" t="str">
        <f>INDEX(Establishment!C$2:C$1005,MATCH($E124,Establishment!$A$2:$A$1005,0))</f>
        <v xml:space="preserve"> </v>
      </c>
      <c r="M124">
        <f t="shared" si="11"/>
        <v>0</v>
      </c>
      <c r="N124">
        <f t="shared" si="9"/>
        <v>0</v>
      </c>
      <c r="P124" t="e">
        <f>INDEX(Items!B$2:B$1032,MATCH($O124,Items!$A$2:$A$1032,0))</f>
        <v>#N/A</v>
      </c>
      <c r="Q124" t="e">
        <f>INDEX(Items!C$2:C$1032,MATCH($O124,Items!$A$2:$A$1032,0))</f>
        <v>#N/A</v>
      </c>
      <c r="R124" t="e">
        <f>INDEX(Items!D$2:D$1032,MATCH($O124,Items!$A$2:$A$1032,0))</f>
        <v>#N/A</v>
      </c>
    </row>
    <row r="125" spans="1:18" x14ac:dyDescent="0.25">
      <c r="A125">
        <f t="shared" si="7"/>
        <v>1</v>
      </c>
      <c r="B125" t="str">
        <f t="shared" si="8"/>
        <v/>
      </c>
      <c r="C125">
        <f t="shared" si="10"/>
        <v>1</v>
      </c>
      <c r="D125" s="4"/>
      <c r="E125" t="s">
        <v>18</v>
      </c>
      <c r="F125" t="str">
        <f>INDEX(Establishment!B$2:B$1005,MATCH($E125,Establishment!$A$2:$A$1005,0))</f>
        <v xml:space="preserve"> </v>
      </c>
      <c r="G125" t="str">
        <f>INDEX(Establishment!C$2:C$1005,MATCH($E125,Establishment!$A$2:$A$1005,0))</f>
        <v xml:space="preserve"> </v>
      </c>
      <c r="M125">
        <f t="shared" si="11"/>
        <v>0</v>
      </c>
      <c r="N125">
        <f t="shared" si="9"/>
        <v>0</v>
      </c>
      <c r="P125" t="e">
        <f>INDEX(Items!B$2:B$1032,MATCH($O125,Items!$A$2:$A$1032,0))</f>
        <v>#N/A</v>
      </c>
      <c r="Q125" t="e">
        <f>INDEX(Items!C$2:C$1032,MATCH($O125,Items!$A$2:$A$1032,0))</f>
        <v>#N/A</v>
      </c>
      <c r="R125" t="e">
        <f>INDEX(Items!D$2:D$1032,MATCH($O125,Items!$A$2:$A$1032,0))</f>
        <v>#N/A</v>
      </c>
    </row>
    <row r="126" spans="1:18" x14ac:dyDescent="0.25">
      <c r="A126">
        <f t="shared" si="7"/>
        <v>1</v>
      </c>
      <c r="B126" t="str">
        <f t="shared" si="8"/>
        <v/>
      </c>
      <c r="C126">
        <f t="shared" si="10"/>
        <v>1</v>
      </c>
      <c r="D126" s="4"/>
      <c r="E126" t="s">
        <v>18</v>
      </c>
      <c r="F126" t="str">
        <f>INDEX(Establishment!B$2:B$1005,MATCH($E126,Establishment!$A$2:$A$1005,0))</f>
        <v xml:space="preserve"> </v>
      </c>
      <c r="G126" t="str">
        <f>INDEX(Establishment!C$2:C$1005,MATCH($E126,Establishment!$A$2:$A$1005,0))</f>
        <v xml:space="preserve"> </v>
      </c>
      <c r="M126">
        <f t="shared" si="11"/>
        <v>0</v>
      </c>
      <c r="N126">
        <f t="shared" si="9"/>
        <v>0</v>
      </c>
      <c r="P126" t="e">
        <f>INDEX(Items!B$2:B$1032,MATCH($O126,Items!$A$2:$A$1032,0))</f>
        <v>#N/A</v>
      </c>
      <c r="Q126" t="e">
        <f>INDEX(Items!C$2:C$1032,MATCH($O126,Items!$A$2:$A$1032,0))</f>
        <v>#N/A</v>
      </c>
      <c r="R126" t="e">
        <f>INDEX(Items!D$2:D$1032,MATCH($O126,Items!$A$2:$A$1032,0))</f>
        <v>#N/A</v>
      </c>
    </row>
    <row r="127" spans="1:18" x14ac:dyDescent="0.25">
      <c r="A127">
        <f t="shared" si="7"/>
        <v>1</v>
      </c>
      <c r="B127" t="str">
        <f t="shared" si="8"/>
        <v/>
      </c>
      <c r="C127">
        <f t="shared" si="10"/>
        <v>1</v>
      </c>
      <c r="D127" s="4"/>
      <c r="E127" t="s">
        <v>18</v>
      </c>
      <c r="F127" t="str">
        <f>INDEX(Establishment!B$2:B$1005,MATCH($E127,Establishment!$A$2:$A$1005,0))</f>
        <v xml:space="preserve"> </v>
      </c>
      <c r="G127" t="str">
        <f>INDEX(Establishment!C$2:C$1005,MATCH($E127,Establishment!$A$2:$A$1005,0))</f>
        <v xml:space="preserve"> </v>
      </c>
      <c r="M127">
        <f t="shared" si="11"/>
        <v>0</v>
      </c>
      <c r="N127">
        <f t="shared" si="9"/>
        <v>0</v>
      </c>
      <c r="P127" t="e">
        <f>INDEX(Items!B$2:B$1032,MATCH($O127,Items!$A$2:$A$1032,0))</f>
        <v>#N/A</v>
      </c>
      <c r="Q127" t="e">
        <f>INDEX(Items!C$2:C$1032,MATCH($O127,Items!$A$2:$A$1032,0))</f>
        <v>#N/A</v>
      </c>
      <c r="R127" t="e">
        <f>INDEX(Items!D$2:D$1032,MATCH($O127,Items!$A$2:$A$1032,0))</f>
        <v>#N/A</v>
      </c>
    </row>
    <row r="128" spans="1:18" x14ac:dyDescent="0.25">
      <c r="A128">
        <f t="shared" si="7"/>
        <v>1</v>
      </c>
      <c r="B128" t="str">
        <f t="shared" si="8"/>
        <v/>
      </c>
      <c r="C128">
        <f t="shared" si="10"/>
        <v>1</v>
      </c>
      <c r="D128" s="4"/>
      <c r="E128" t="s">
        <v>18</v>
      </c>
      <c r="F128" t="str">
        <f>INDEX(Establishment!B$2:B$1005,MATCH($E128,Establishment!$A$2:$A$1005,0))</f>
        <v xml:space="preserve"> </v>
      </c>
      <c r="G128" t="str">
        <f>INDEX(Establishment!C$2:C$1005,MATCH($E128,Establishment!$A$2:$A$1005,0))</f>
        <v xml:space="preserve"> </v>
      </c>
      <c r="M128">
        <f t="shared" si="11"/>
        <v>0</v>
      </c>
      <c r="N128">
        <f t="shared" si="9"/>
        <v>0</v>
      </c>
      <c r="P128" t="e">
        <f>INDEX(Items!B$2:B$1032,MATCH($O128,Items!$A$2:$A$1032,0))</f>
        <v>#N/A</v>
      </c>
      <c r="Q128" t="e">
        <f>INDEX(Items!C$2:C$1032,MATCH($O128,Items!$A$2:$A$1032,0))</f>
        <v>#N/A</v>
      </c>
      <c r="R128" t="e">
        <f>INDEX(Items!D$2:D$1032,MATCH($O128,Items!$A$2:$A$1032,0))</f>
        <v>#N/A</v>
      </c>
    </row>
    <row r="129" spans="1:18" x14ac:dyDescent="0.25">
      <c r="A129">
        <f t="shared" si="7"/>
        <v>1</v>
      </c>
      <c r="B129" t="str">
        <f t="shared" si="8"/>
        <v/>
      </c>
      <c r="C129">
        <f t="shared" si="10"/>
        <v>1</v>
      </c>
      <c r="D129" s="4"/>
      <c r="E129" t="s">
        <v>18</v>
      </c>
      <c r="F129" t="str">
        <f>INDEX(Establishment!B$2:B$1005,MATCH($E129,Establishment!$A$2:$A$1005,0))</f>
        <v xml:space="preserve"> </v>
      </c>
      <c r="G129" t="str">
        <f>INDEX(Establishment!C$2:C$1005,MATCH($E129,Establishment!$A$2:$A$1005,0))</f>
        <v xml:space="preserve"> </v>
      </c>
      <c r="M129">
        <f t="shared" si="11"/>
        <v>0</v>
      </c>
      <c r="N129">
        <f t="shared" si="9"/>
        <v>0</v>
      </c>
      <c r="P129" t="e">
        <f>INDEX(Items!B$2:B$1032,MATCH($O129,Items!$A$2:$A$1032,0))</f>
        <v>#N/A</v>
      </c>
      <c r="Q129" t="e">
        <f>INDEX(Items!C$2:C$1032,MATCH($O129,Items!$A$2:$A$1032,0))</f>
        <v>#N/A</v>
      </c>
      <c r="R129" t="e">
        <f>INDEX(Items!D$2:D$1032,MATCH($O129,Items!$A$2:$A$1032,0))</f>
        <v>#N/A</v>
      </c>
    </row>
    <row r="130" spans="1:18" x14ac:dyDescent="0.25">
      <c r="A130">
        <f t="shared" ref="A130:A193" si="12">IF(OR(D130&lt;&gt;D129,D130=""),1,IF(NOT(AND(E130=E129,F130=F129,G130=G129)),A129+1,IF(OR(H130="",AND(H130&lt;&gt;"",H130&lt;&gt;H129,H129&lt;&gt;"")),A129,A129+1)))</f>
        <v>1</v>
      </c>
      <c r="B130" t="str">
        <f t="shared" ref="B130:B193" si="13">IF(D130&lt;&gt;"",TEXT(D130,"YYYYMMDD")&amp;CHAR(64+A130),"")</f>
        <v/>
      </c>
      <c r="C130">
        <f t="shared" si="10"/>
        <v>1</v>
      </c>
      <c r="D130" s="4"/>
      <c r="E130" t="s">
        <v>18</v>
      </c>
      <c r="F130" t="str">
        <f>INDEX(Establishment!B$2:B$1005,MATCH($E130,Establishment!$A$2:$A$1005,0))</f>
        <v xml:space="preserve"> </v>
      </c>
      <c r="G130" t="str">
        <f>INDEX(Establishment!C$2:C$1005,MATCH($E130,Establishment!$A$2:$A$1005,0))</f>
        <v xml:space="preserve"> </v>
      </c>
      <c r="M130">
        <f t="shared" si="11"/>
        <v>0</v>
      </c>
      <c r="N130">
        <f t="shared" si="9"/>
        <v>0</v>
      </c>
      <c r="P130" t="e">
        <f>INDEX(Items!B$2:B$1032,MATCH($O130,Items!$A$2:$A$1032,0))</f>
        <v>#N/A</v>
      </c>
      <c r="Q130" t="e">
        <f>INDEX(Items!C$2:C$1032,MATCH($O130,Items!$A$2:$A$1032,0))</f>
        <v>#N/A</v>
      </c>
      <c r="R130" t="e">
        <f>INDEX(Items!D$2:D$1032,MATCH($O130,Items!$A$2:$A$1032,0))</f>
        <v>#N/A</v>
      </c>
    </row>
    <row r="131" spans="1:18" x14ac:dyDescent="0.25">
      <c r="A131">
        <f t="shared" si="12"/>
        <v>1</v>
      </c>
      <c r="B131" t="str">
        <f t="shared" si="13"/>
        <v/>
      </c>
      <c r="C131">
        <f t="shared" si="10"/>
        <v>1</v>
      </c>
      <c r="D131" s="4"/>
      <c r="E131" t="s">
        <v>18</v>
      </c>
      <c r="F131" t="str">
        <f>INDEX(Establishment!B$2:B$1005,MATCH($E131,Establishment!$A$2:$A$1005,0))</f>
        <v xml:space="preserve"> </v>
      </c>
      <c r="G131" t="str">
        <f>INDEX(Establishment!C$2:C$1005,MATCH($E131,Establishment!$A$2:$A$1005,0))</f>
        <v xml:space="preserve"> </v>
      </c>
      <c r="M131">
        <f t="shared" si="11"/>
        <v>0</v>
      </c>
      <c r="N131">
        <f t="shared" ref="N131:N194" si="14">IF(B131=B130,N130+M131,M131)</f>
        <v>0</v>
      </c>
      <c r="P131" t="e">
        <f>INDEX(Items!B$2:B$1032,MATCH($O131,Items!$A$2:$A$1032,0))</f>
        <v>#N/A</v>
      </c>
      <c r="Q131" t="e">
        <f>INDEX(Items!C$2:C$1032,MATCH($O131,Items!$A$2:$A$1032,0))</f>
        <v>#N/A</v>
      </c>
      <c r="R131" t="e">
        <f>INDEX(Items!D$2:D$1032,MATCH($O131,Items!$A$2:$A$1032,0))</f>
        <v>#N/A</v>
      </c>
    </row>
    <row r="132" spans="1:18" x14ac:dyDescent="0.25">
      <c r="A132">
        <f t="shared" si="12"/>
        <v>1</v>
      </c>
      <c r="B132" t="str">
        <f t="shared" si="13"/>
        <v/>
      </c>
      <c r="C132">
        <f t="shared" si="10"/>
        <v>1</v>
      </c>
      <c r="D132" s="4"/>
      <c r="E132" t="s">
        <v>18</v>
      </c>
      <c r="F132" t="str">
        <f>INDEX(Establishment!B$2:B$1005,MATCH($E132,Establishment!$A$2:$A$1005,0))</f>
        <v xml:space="preserve"> </v>
      </c>
      <c r="G132" t="str">
        <f>INDEX(Establishment!C$2:C$1005,MATCH($E132,Establishment!$A$2:$A$1005,0))</f>
        <v xml:space="preserve"> </v>
      </c>
      <c r="M132">
        <f t="shared" si="11"/>
        <v>0</v>
      </c>
      <c r="N132">
        <f t="shared" si="14"/>
        <v>0</v>
      </c>
      <c r="P132" t="e">
        <f>INDEX(Items!B$2:B$1032,MATCH($O132,Items!$A$2:$A$1032,0))</f>
        <v>#N/A</v>
      </c>
      <c r="Q132" t="e">
        <f>INDEX(Items!C$2:C$1032,MATCH($O132,Items!$A$2:$A$1032,0))</f>
        <v>#N/A</v>
      </c>
      <c r="R132" t="e">
        <f>INDEX(Items!D$2:D$1032,MATCH($O132,Items!$A$2:$A$1032,0))</f>
        <v>#N/A</v>
      </c>
    </row>
    <row r="133" spans="1:18" x14ac:dyDescent="0.25">
      <c r="A133">
        <f t="shared" si="12"/>
        <v>1</v>
      </c>
      <c r="B133" t="str">
        <f t="shared" si="13"/>
        <v/>
      </c>
      <c r="C133">
        <f t="shared" si="10"/>
        <v>1</v>
      </c>
      <c r="D133" s="4"/>
      <c r="E133" t="s">
        <v>18</v>
      </c>
      <c r="F133" t="str">
        <f>INDEX(Establishment!B$2:B$1005,MATCH($E133,Establishment!$A$2:$A$1005,0))</f>
        <v xml:space="preserve"> </v>
      </c>
      <c r="G133" t="str">
        <f>INDEX(Establishment!C$2:C$1005,MATCH($E133,Establishment!$A$2:$A$1005,0))</f>
        <v xml:space="preserve"> </v>
      </c>
      <c r="M133">
        <f t="shared" si="11"/>
        <v>0</v>
      </c>
      <c r="N133">
        <f t="shared" si="14"/>
        <v>0</v>
      </c>
      <c r="P133" t="e">
        <f>INDEX(Items!B$2:B$1032,MATCH($O133,Items!$A$2:$A$1032,0))</f>
        <v>#N/A</v>
      </c>
      <c r="Q133" t="e">
        <f>INDEX(Items!C$2:C$1032,MATCH($O133,Items!$A$2:$A$1032,0))</f>
        <v>#N/A</v>
      </c>
      <c r="R133" t="e">
        <f>INDEX(Items!D$2:D$1032,MATCH($O133,Items!$A$2:$A$1032,0))</f>
        <v>#N/A</v>
      </c>
    </row>
    <row r="134" spans="1:18" x14ac:dyDescent="0.25">
      <c r="A134">
        <f t="shared" si="12"/>
        <v>1</v>
      </c>
      <c r="B134" t="str">
        <f t="shared" si="13"/>
        <v/>
      </c>
      <c r="C134">
        <f t="shared" si="10"/>
        <v>1</v>
      </c>
      <c r="D134" s="4"/>
      <c r="E134" t="s">
        <v>18</v>
      </c>
      <c r="F134" t="str">
        <f>INDEX(Establishment!B$2:B$1005,MATCH($E134,Establishment!$A$2:$A$1005,0))</f>
        <v xml:space="preserve"> </v>
      </c>
      <c r="G134" t="str">
        <f>INDEX(Establishment!C$2:C$1005,MATCH($E134,Establishment!$A$2:$A$1005,0))</f>
        <v xml:space="preserve"> </v>
      </c>
      <c r="M134">
        <f t="shared" si="11"/>
        <v>0</v>
      </c>
      <c r="N134">
        <f t="shared" si="14"/>
        <v>0</v>
      </c>
      <c r="P134" t="e">
        <f>INDEX(Items!B$2:B$1032,MATCH($O134,Items!$A$2:$A$1032,0))</f>
        <v>#N/A</v>
      </c>
      <c r="Q134" t="e">
        <f>INDEX(Items!C$2:C$1032,MATCH($O134,Items!$A$2:$A$1032,0))</f>
        <v>#N/A</v>
      </c>
      <c r="R134" t="e">
        <f>INDEX(Items!D$2:D$1032,MATCH($O134,Items!$A$2:$A$1032,0))</f>
        <v>#N/A</v>
      </c>
    </row>
    <row r="135" spans="1:18" x14ac:dyDescent="0.25">
      <c r="A135">
        <f t="shared" si="12"/>
        <v>1</v>
      </c>
      <c r="B135" t="str">
        <f t="shared" si="13"/>
        <v/>
      </c>
      <c r="C135">
        <f t="shared" si="10"/>
        <v>1</v>
      </c>
      <c r="D135" s="4"/>
      <c r="E135" t="s">
        <v>18</v>
      </c>
      <c r="F135" t="str">
        <f>INDEX(Establishment!B$2:B$1005,MATCH($E135,Establishment!$A$2:$A$1005,0))</f>
        <v xml:space="preserve"> </v>
      </c>
      <c r="G135" t="str">
        <f>INDEX(Establishment!C$2:C$1005,MATCH($E135,Establishment!$A$2:$A$1005,0))</f>
        <v xml:space="preserve"> </v>
      </c>
      <c r="M135">
        <f t="shared" si="11"/>
        <v>0</v>
      </c>
      <c r="N135">
        <f t="shared" si="14"/>
        <v>0</v>
      </c>
      <c r="P135" t="e">
        <f>INDEX(Items!B$2:B$1032,MATCH($O135,Items!$A$2:$A$1032,0))</f>
        <v>#N/A</v>
      </c>
      <c r="Q135" t="e">
        <f>INDEX(Items!C$2:C$1032,MATCH($O135,Items!$A$2:$A$1032,0))</f>
        <v>#N/A</v>
      </c>
      <c r="R135" t="e">
        <f>INDEX(Items!D$2:D$1032,MATCH($O135,Items!$A$2:$A$1032,0))</f>
        <v>#N/A</v>
      </c>
    </row>
    <row r="136" spans="1:18" x14ac:dyDescent="0.25">
      <c r="A136">
        <f t="shared" si="12"/>
        <v>1</v>
      </c>
      <c r="B136" t="str">
        <f t="shared" si="13"/>
        <v/>
      </c>
      <c r="C136">
        <f t="shared" si="10"/>
        <v>1</v>
      </c>
      <c r="D136" s="4"/>
      <c r="E136" t="s">
        <v>18</v>
      </c>
      <c r="F136" t="str">
        <f>INDEX(Establishment!B$2:B$1005,MATCH($E136,Establishment!$A$2:$A$1005,0))</f>
        <v xml:space="preserve"> </v>
      </c>
      <c r="G136" t="str">
        <f>INDEX(Establishment!C$2:C$1005,MATCH($E136,Establishment!$A$2:$A$1005,0))</f>
        <v xml:space="preserve"> </v>
      </c>
      <c r="M136">
        <f t="shared" si="11"/>
        <v>0</v>
      </c>
      <c r="N136">
        <f t="shared" si="14"/>
        <v>0</v>
      </c>
      <c r="P136" t="e">
        <f>INDEX(Items!B$2:B$1032,MATCH($O136,Items!$A$2:$A$1032,0))</f>
        <v>#N/A</v>
      </c>
      <c r="Q136" t="e">
        <f>INDEX(Items!C$2:C$1032,MATCH($O136,Items!$A$2:$A$1032,0))</f>
        <v>#N/A</v>
      </c>
      <c r="R136" t="e">
        <f>INDEX(Items!D$2:D$1032,MATCH($O136,Items!$A$2:$A$1032,0))</f>
        <v>#N/A</v>
      </c>
    </row>
    <row r="137" spans="1:18" x14ac:dyDescent="0.25">
      <c r="A137">
        <f t="shared" si="12"/>
        <v>1</v>
      </c>
      <c r="B137" t="str">
        <f t="shared" si="13"/>
        <v/>
      </c>
      <c r="C137">
        <f t="shared" si="10"/>
        <v>1</v>
      </c>
      <c r="D137" s="4"/>
      <c r="E137" t="s">
        <v>18</v>
      </c>
      <c r="F137" t="str">
        <f>INDEX(Establishment!B$2:B$1005,MATCH($E137,Establishment!$A$2:$A$1005,0))</f>
        <v xml:space="preserve"> </v>
      </c>
      <c r="G137" t="str">
        <f>INDEX(Establishment!C$2:C$1005,MATCH($E137,Establishment!$A$2:$A$1005,0))</f>
        <v xml:space="preserve"> </v>
      </c>
      <c r="M137">
        <f t="shared" si="11"/>
        <v>0</v>
      </c>
      <c r="N137">
        <f t="shared" si="14"/>
        <v>0</v>
      </c>
      <c r="P137" t="e">
        <f>INDEX(Items!B$2:B$1032,MATCH($O137,Items!$A$2:$A$1032,0))</f>
        <v>#N/A</v>
      </c>
      <c r="Q137" t="e">
        <f>INDEX(Items!C$2:C$1032,MATCH($O137,Items!$A$2:$A$1032,0))</f>
        <v>#N/A</v>
      </c>
      <c r="R137" t="e">
        <f>INDEX(Items!D$2:D$1032,MATCH($O137,Items!$A$2:$A$1032,0))</f>
        <v>#N/A</v>
      </c>
    </row>
    <row r="138" spans="1:18" x14ac:dyDescent="0.25">
      <c r="A138">
        <f t="shared" si="12"/>
        <v>1</v>
      </c>
      <c r="B138" t="str">
        <f t="shared" si="13"/>
        <v/>
      </c>
      <c r="C138">
        <f t="shared" ref="C138:C201" si="15">IF(OR(B138="",B138&lt;&gt;B137),1,C137+1)</f>
        <v>1</v>
      </c>
      <c r="D138" s="4"/>
      <c r="E138" t="s">
        <v>18</v>
      </c>
      <c r="F138" t="str">
        <f>INDEX(Establishment!B$2:B$1005,MATCH($E138,Establishment!$A$2:$A$1005,0))</f>
        <v xml:space="preserve"> </v>
      </c>
      <c r="G138" t="str">
        <f>INDEX(Establishment!C$2:C$1005,MATCH($E138,Establishment!$A$2:$A$1005,0))</f>
        <v xml:space="preserve"> </v>
      </c>
      <c r="M138">
        <f t="shared" ref="M138:M201" si="16">K138*L138</f>
        <v>0</v>
      </c>
      <c r="N138">
        <f t="shared" si="14"/>
        <v>0</v>
      </c>
      <c r="P138" t="e">
        <f>INDEX(Items!B$2:B$1032,MATCH($O138,Items!$A$2:$A$1032,0))</f>
        <v>#N/A</v>
      </c>
      <c r="Q138" t="e">
        <f>INDEX(Items!C$2:C$1032,MATCH($O138,Items!$A$2:$A$1032,0))</f>
        <v>#N/A</v>
      </c>
      <c r="R138" t="e">
        <f>INDEX(Items!D$2:D$1032,MATCH($O138,Items!$A$2:$A$1032,0))</f>
        <v>#N/A</v>
      </c>
    </row>
    <row r="139" spans="1:18" x14ac:dyDescent="0.25">
      <c r="A139">
        <f t="shared" si="12"/>
        <v>1</v>
      </c>
      <c r="B139" t="str">
        <f t="shared" si="13"/>
        <v/>
      </c>
      <c r="C139">
        <f t="shared" si="15"/>
        <v>1</v>
      </c>
      <c r="D139" s="4"/>
      <c r="E139" t="s">
        <v>18</v>
      </c>
      <c r="F139" t="str">
        <f>INDEX(Establishment!B$2:B$1005,MATCH($E139,Establishment!$A$2:$A$1005,0))</f>
        <v xml:space="preserve"> </v>
      </c>
      <c r="G139" t="str">
        <f>INDEX(Establishment!C$2:C$1005,MATCH($E139,Establishment!$A$2:$A$1005,0))</f>
        <v xml:space="preserve"> </v>
      </c>
      <c r="M139">
        <f t="shared" si="16"/>
        <v>0</v>
      </c>
      <c r="N139">
        <f t="shared" si="14"/>
        <v>0</v>
      </c>
      <c r="P139" t="e">
        <f>INDEX(Items!B$2:B$1032,MATCH($O139,Items!$A$2:$A$1032,0))</f>
        <v>#N/A</v>
      </c>
      <c r="Q139" t="e">
        <f>INDEX(Items!C$2:C$1032,MATCH($O139,Items!$A$2:$A$1032,0))</f>
        <v>#N/A</v>
      </c>
      <c r="R139" t="e">
        <f>INDEX(Items!D$2:D$1032,MATCH($O139,Items!$A$2:$A$1032,0))</f>
        <v>#N/A</v>
      </c>
    </row>
    <row r="140" spans="1:18" x14ac:dyDescent="0.25">
      <c r="A140">
        <f t="shared" si="12"/>
        <v>1</v>
      </c>
      <c r="B140" t="str">
        <f t="shared" si="13"/>
        <v/>
      </c>
      <c r="C140">
        <f t="shared" si="15"/>
        <v>1</v>
      </c>
      <c r="D140" s="4"/>
      <c r="E140" t="s">
        <v>18</v>
      </c>
      <c r="F140" t="str">
        <f>INDEX(Establishment!B$2:B$1005,MATCH($E140,Establishment!$A$2:$A$1005,0))</f>
        <v xml:space="preserve"> </v>
      </c>
      <c r="G140" t="str">
        <f>INDEX(Establishment!C$2:C$1005,MATCH($E140,Establishment!$A$2:$A$1005,0))</f>
        <v xml:space="preserve"> </v>
      </c>
      <c r="M140">
        <f t="shared" si="16"/>
        <v>0</v>
      </c>
      <c r="N140">
        <f t="shared" si="14"/>
        <v>0</v>
      </c>
      <c r="P140" t="e">
        <f>INDEX(Items!B$2:B$1032,MATCH($O140,Items!$A$2:$A$1032,0))</f>
        <v>#N/A</v>
      </c>
      <c r="Q140" t="e">
        <f>INDEX(Items!C$2:C$1032,MATCH($O140,Items!$A$2:$A$1032,0))</f>
        <v>#N/A</v>
      </c>
      <c r="R140" t="e">
        <f>INDEX(Items!D$2:D$1032,MATCH($O140,Items!$A$2:$A$1032,0))</f>
        <v>#N/A</v>
      </c>
    </row>
    <row r="141" spans="1:18" x14ac:dyDescent="0.25">
      <c r="A141">
        <f t="shared" si="12"/>
        <v>1</v>
      </c>
      <c r="B141" t="str">
        <f t="shared" si="13"/>
        <v/>
      </c>
      <c r="C141">
        <f t="shared" si="15"/>
        <v>1</v>
      </c>
      <c r="D141" s="4"/>
      <c r="E141" t="s">
        <v>18</v>
      </c>
      <c r="F141" t="str">
        <f>INDEX(Establishment!B$2:B$1005,MATCH($E141,Establishment!$A$2:$A$1005,0))</f>
        <v xml:space="preserve"> </v>
      </c>
      <c r="G141" t="str">
        <f>INDEX(Establishment!C$2:C$1005,MATCH($E141,Establishment!$A$2:$A$1005,0))</f>
        <v xml:space="preserve"> </v>
      </c>
      <c r="M141">
        <f t="shared" si="16"/>
        <v>0</v>
      </c>
      <c r="N141">
        <f t="shared" si="14"/>
        <v>0</v>
      </c>
      <c r="P141" t="e">
        <f>INDEX(Items!B$2:B$1032,MATCH($O141,Items!$A$2:$A$1032,0))</f>
        <v>#N/A</v>
      </c>
      <c r="Q141" t="e">
        <f>INDEX(Items!C$2:C$1032,MATCH($O141,Items!$A$2:$A$1032,0))</f>
        <v>#N/A</v>
      </c>
      <c r="R141" t="e">
        <f>INDEX(Items!D$2:D$1032,MATCH($O141,Items!$A$2:$A$1032,0))</f>
        <v>#N/A</v>
      </c>
    </row>
    <row r="142" spans="1:18" x14ac:dyDescent="0.25">
      <c r="A142">
        <f t="shared" si="12"/>
        <v>1</v>
      </c>
      <c r="B142" t="str">
        <f t="shared" si="13"/>
        <v/>
      </c>
      <c r="C142">
        <f t="shared" si="15"/>
        <v>1</v>
      </c>
      <c r="D142" s="4"/>
      <c r="E142" t="s">
        <v>18</v>
      </c>
      <c r="F142" t="str">
        <f>INDEX(Establishment!B$2:B$1005,MATCH($E142,Establishment!$A$2:$A$1005,0))</f>
        <v xml:space="preserve"> </v>
      </c>
      <c r="G142" t="str">
        <f>INDEX(Establishment!C$2:C$1005,MATCH($E142,Establishment!$A$2:$A$1005,0))</f>
        <v xml:space="preserve"> </v>
      </c>
      <c r="M142">
        <f t="shared" si="16"/>
        <v>0</v>
      </c>
      <c r="N142">
        <f t="shared" si="14"/>
        <v>0</v>
      </c>
      <c r="P142" t="e">
        <f>INDEX(Items!B$2:B$1032,MATCH($O142,Items!$A$2:$A$1032,0))</f>
        <v>#N/A</v>
      </c>
      <c r="Q142" t="e">
        <f>INDEX(Items!C$2:C$1032,MATCH($O142,Items!$A$2:$A$1032,0))</f>
        <v>#N/A</v>
      </c>
      <c r="R142" t="e">
        <f>INDEX(Items!D$2:D$1032,MATCH($O142,Items!$A$2:$A$1032,0))</f>
        <v>#N/A</v>
      </c>
    </row>
    <row r="143" spans="1:18" x14ac:dyDescent="0.25">
      <c r="A143">
        <f t="shared" si="12"/>
        <v>1</v>
      </c>
      <c r="B143" t="str">
        <f t="shared" si="13"/>
        <v/>
      </c>
      <c r="C143">
        <f t="shared" si="15"/>
        <v>1</v>
      </c>
      <c r="D143" s="4"/>
      <c r="E143" t="s">
        <v>18</v>
      </c>
      <c r="F143" t="str">
        <f>INDEX(Establishment!B$2:B$1005,MATCH($E143,Establishment!$A$2:$A$1005,0))</f>
        <v xml:space="preserve"> </v>
      </c>
      <c r="G143" t="str">
        <f>INDEX(Establishment!C$2:C$1005,MATCH($E143,Establishment!$A$2:$A$1005,0))</f>
        <v xml:space="preserve"> </v>
      </c>
      <c r="M143">
        <f t="shared" si="16"/>
        <v>0</v>
      </c>
      <c r="N143">
        <f t="shared" si="14"/>
        <v>0</v>
      </c>
      <c r="P143" t="e">
        <f>INDEX(Items!B$2:B$1032,MATCH($O143,Items!$A$2:$A$1032,0))</f>
        <v>#N/A</v>
      </c>
      <c r="Q143" t="e">
        <f>INDEX(Items!C$2:C$1032,MATCH($O143,Items!$A$2:$A$1032,0))</f>
        <v>#N/A</v>
      </c>
      <c r="R143" t="e">
        <f>INDEX(Items!D$2:D$1032,MATCH($O143,Items!$A$2:$A$1032,0))</f>
        <v>#N/A</v>
      </c>
    </row>
    <row r="144" spans="1:18" x14ac:dyDescent="0.25">
      <c r="A144">
        <f t="shared" si="12"/>
        <v>1</v>
      </c>
      <c r="B144" t="str">
        <f t="shared" si="13"/>
        <v/>
      </c>
      <c r="C144">
        <f t="shared" si="15"/>
        <v>1</v>
      </c>
      <c r="D144" s="4"/>
      <c r="E144" t="s">
        <v>18</v>
      </c>
      <c r="F144" t="str">
        <f>INDEX(Establishment!B$2:B$1005,MATCH($E144,Establishment!$A$2:$A$1005,0))</f>
        <v xml:space="preserve"> </v>
      </c>
      <c r="G144" t="str">
        <f>INDEX(Establishment!C$2:C$1005,MATCH($E144,Establishment!$A$2:$A$1005,0))</f>
        <v xml:space="preserve"> </v>
      </c>
      <c r="M144">
        <f t="shared" si="16"/>
        <v>0</v>
      </c>
      <c r="N144">
        <f t="shared" si="14"/>
        <v>0</v>
      </c>
      <c r="P144" t="e">
        <f>INDEX(Items!B$2:B$1032,MATCH($O144,Items!$A$2:$A$1032,0))</f>
        <v>#N/A</v>
      </c>
      <c r="Q144" t="e">
        <f>INDEX(Items!C$2:C$1032,MATCH($O144,Items!$A$2:$A$1032,0))</f>
        <v>#N/A</v>
      </c>
      <c r="R144" t="e">
        <f>INDEX(Items!D$2:D$1032,MATCH($O144,Items!$A$2:$A$1032,0))</f>
        <v>#N/A</v>
      </c>
    </row>
    <row r="145" spans="1:18" x14ac:dyDescent="0.25">
      <c r="A145">
        <f t="shared" si="12"/>
        <v>1</v>
      </c>
      <c r="B145" t="str">
        <f t="shared" si="13"/>
        <v/>
      </c>
      <c r="C145">
        <f t="shared" si="15"/>
        <v>1</v>
      </c>
      <c r="D145" s="4"/>
      <c r="E145" t="s">
        <v>18</v>
      </c>
      <c r="F145" t="str">
        <f>INDEX(Establishment!B$2:B$1005,MATCH($E145,Establishment!$A$2:$A$1005,0))</f>
        <v xml:space="preserve"> </v>
      </c>
      <c r="G145" t="str">
        <f>INDEX(Establishment!C$2:C$1005,MATCH($E145,Establishment!$A$2:$A$1005,0))</f>
        <v xml:space="preserve"> </v>
      </c>
      <c r="M145">
        <f t="shared" si="16"/>
        <v>0</v>
      </c>
      <c r="N145">
        <f t="shared" si="14"/>
        <v>0</v>
      </c>
      <c r="P145" t="e">
        <f>INDEX(Items!B$2:B$1032,MATCH($O145,Items!$A$2:$A$1032,0))</f>
        <v>#N/A</v>
      </c>
      <c r="Q145" t="e">
        <f>INDEX(Items!C$2:C$1032,MATCH($O145,Items!$A$2:$A$1032,0))</f>
        <v>#N/A</v>
      </c>
      <c r="R145" t="e">
        <f>INDEX(Items!D$2:D$1032,MATCH($O145,Items!$A$2:$A$1032,0))</f>
        <v>#N/A</v>
      </c>
    </row>
    <row r="146" spans="1:18" x14ac:dyDescent="0.25">
      <c r="A146">
        <f t="shared" si="12"/>
        <v>1</v>
      </c>
      <c r="B146" t="str">
        <f t="shared" si="13"/>
        <v/>
      </c>
      <c r="C146">
        <f t="shared" si="15"/>
        <v>1</v>
      </c>
      <c r="D146" s="4"/>
      <c r="E146" t="s">
        <v>18</v>
      </c>
      <c r="F146" t="str">
        <f>INDEX(Establishment!B$2:B$1005,MATCH($E146,Establishment!$A$2:$A$1005,0))</f>
        <v xml:space="preserve"> </v>
      </c>
      <c r="G146" t="str">
        <f>INDEX(Establishment!C$2:C$1005,MATCH($E146,Establishment!$A$2:$A$1005,0))</f>
        <v xml:space="preserve"> </v>
      </c>
      <c r="M146">
        <f t="shared" si="16"/>
        <v>0</v>
      </c>
      <c r="N146">
        <f t="shared" si="14"/>
        <v>0</v>
      </c>
      <c r="P146" t="e">
        <f>INDEX(Items!B$2:B$1032,MATCH($O146,Items!$A$2:$A$1032,0))</f>
        <v>#N/A</v>
      </c>
      <c r="Q146" t="e">
        <f>INDEX(Items!C$2:C$1032,MATCH($O146,Items!$A$2:$A$1032,0))</f>
        <v>#N/A</v>
      </c>
      <c r="R146" t="e">
        <f>INDEX(Items!D$2:D$1032,MATCH($O146,Items!$A$2:$A$1032,0))</f>
        <v>#N/A</v>
      </c>
    </row>
    <row r="147" spans="1:18" x14ac:dyDescent="0.25">
      <c r="A147">
        <f t="shared" si="12"/>
        <v>1</v>
      </c>
      <c r="B147" t="str">
        <f t="shared" si="13"/>
        <v/>
      </c>
      <c r="C147">
        <f t="shared" si="15"/>
        <v>1</v>
      </c>
      <c r="D147" s="4"/>
      <c r="E147" t="s">
        <v>18</v>
      </c>
      <c r="F147" t="str">
        <f>INDEX(Establishment!B$2:B$1005,MATCH($E147,Establishment!$A$2:$A$1005,0))</f>
        <v xml:space="preserve"> </v>
      </c>
      <c r="G147" t="str">
        <f>INDEX(Establishment!C$2:C$1005,MATCH($E147,Establishment!$A$2:$A$1005,0))</f>
        <v xml:space="preserve"> </v>
      </c>
      <c r="M147">
        <f t="shared" si="16"/>
        <v>0</v>
      </c>
      <c r="N147">
        <f t="shared" si="14"/>
        <v>0</v>
      </c>
      <c r="P147" t="e">
        <f>INDEX(Items!B$2:B$1032,MATCH($O147,Items!$A$2:$A$1032,0))</f>
        <v>#N/A</v>
      </c>
      <c r="Q147" t="e">
        <f>INDEX(Items!C$2:C$1032,MATCH($O147,Items!$A$2:$A$1032,0))</f>
        <v>#N/A</v>
      </c>
      <c r="R147" t="e">
        <f>INDEX(Items!D$2:D$1032,MATCH($O147,Items!$A$2:$A$1032,0))</f>
        <v>#N/A</v>
      </c>
    </row>
    <row r="148" spans="1:18" x14ac:dyDescent="0.25">
      <c r="A148">
        <f t="shared" si="12"/>
        <v>1</v>
      </c>
      <c r="B148" t="str">
        <f t="shared" si="13"/>
        <v/>
      </c>
      <c r="C148">
        <f t="shared" si="15"/>
        <v>1</v>
      </c>
      <c r="D148" s="4"/>
      <c r="E148" t="s">
        <v>18</v>
      </c>
      <c r="F148" t="str">
        <f>INDEX(Establishment!B$2:B$1005,MATCH($E148,Establishment!$A$2:$A$1005,0))</f>
        <v xml:space="preserve"> </v>
      </c>
      <c r="G148" t="str">
        <f>INDEX(Establishment!C$2:C$1005,MATCH($E148,Establishment!$A$2:$A$1005,0))</f>
        <v xml:space="preserve"> </v>
      </c>
      <c r="M148">
        <f t="shared" si="16"/>
        <v>0</v>
      </c>
      <c r="N148">
        <f t="shared" si="14"/>
        <v>0</v>
      </c>
      <c r="P148" t="e">
        <f>INDEX(Items!B$2:B$1032,MATCH($O148,Items!$A$2:$A$1032,0))</f>
        <v>#N/A</v>
      </c>
      <c r="Q148" t="e">
        <f>INDEX(Items!C$2:C$1032,MATCH($O148,Items!$A$2:$A$1032,0))</f>
        <v>#N/A</v>
      </c>
      <c r="R148" t="e">
        <f>INDEX(Items!D$2:D$1032,MATCH($O148,Items!$A$2:$A$1032,0))</f>
        <v>#N/A</v>
      </c>
    </row>
    <row r="149" spans="1:18" x14ac:dyDescent="0.25">
      <c r="A149">
        <f t="shared" si="12"/>
        <v>1</v>
      </c>
      <c r="B149" t="str">
        <f t="shared" si="13"/>
        <v/>
      </c>
      <c r="C149">
        <f t="shared" si="15"/>
        <v>1</v>
      </c>
      <c r="D149" s="4"/>
      <c r="E149" t="s">
        <v>18</v>
      </c>
      <c r="F149" t="str">
        <f>INDEX(Establishment!B$2:B$1005,MATCH($E149,Establishment!$A$2:$A$1005,0))</f>
        <v xml:space="preserve"> </v>
      </c>
      <c r="G149" t="str">
        <f>INDEX(Establishment!C$2:C$1005,MATCH($E149,Establishment!$A$2:$A$1005,0))</f>
        <v xml:space="preserve"> </v>
      </c>
      <c r="M149">
        <f t="shared" si="16"/>
        <v>0</v>
      </c>
      <c r="N149">
        <f t="shared" si="14"/>
        <v>0</v>
      </c>
      <c r="P149" t="e">
        <f>INDEX(Items!B$2:B$1032,MATCH($O149,Items!$A$2:$A$1032,0))</f>
        <v>#N/A</v>
      </c>
      <c r="Q149" t="e">
        <f>INDEX(Items!C$2:C$1032,MATCH($O149,Items!$A$2:$A$1032,0))</f>
        <v>#N/A</v>
      </c>
      <c r="R149" t="e">
        <f>INDEX(Items!D$2:D$1032,MATCH($O149,Items!$A$2:$A$1032,0))</f>
        <v>#N/A</v>
      </c>
    </row>
    <row r="150" spans="1:18" x14ac:dyDescent="0.25">
      <c r="A150">
        <f t="shared" si="12"/>
        <v>1</v>
      </c>
      <c r="B150" t="str">
        <f t="shared" si="13"/>
        <v/>
      </c>
      <c r="C150">
        <f t="shared" si="15"/>
        <v>1</v>
      </c>
      <c r="D150" s="4"/>
      <c r="E150" t="s">
        <v>18</v>
      </c>
      <c r="F150" t="str">
        <f>INDEX(Establishment!B$2:B$1005,MATCH($E150,Establishment!$A$2:$A$1005,0))</f>
        <v xml:space="preserve"> </v>
      </c>
      <c r="G150" t="str">
        <f>INDEX(Establishment!C$2:C$1005,MATCH($E150,Establishment!$A$2:$A$1005,0))</f>
        <v xml:space="preserve"> </v>
      </c>
      <c r="M150">
        <f t="shared" si="16"/>
        <v>0</v>
      </c>
      <c r="N150">
        <f t="shared" si="14"/>
        <v>0</v>
      </c>
      <c r="P150" t="e">
        <f>INDEX(Items!B$2:B$1032,MATCH($O150,Items!$A$2:$A$1032,0))</f>
        <v>#N/A</v>
      </c>
      <c r="Q150" t="e">
        <f>INDEX(Items!C$2:C$1032,MATCH($O150,Items!$A$2:$A$1032,0))</f>
        <v>#N/A</v>
      </c>
      <c r="R150" t="e">
        <f>INDEX(Items!D$2:D$1032,MATCH($O150,Items!$A$2:$A$1032,0))</f>
        <v>#N/A</v>
      </c>
    </row>
    <row r="151" spans="1:18" x14ac:dyDescent="0.25">
      <c r="A151">
        <f t="shared" si="12"/>
        <v>1</v>
      </c>
      <c r="B151" t="str">
        <f t="shared" si="13"/>
        <v/>
      </c>
      <c r="C151">
        <f t="shared" si="15"/>
        <v>1</v>
      </c>
      <c r="D151" s="4"/>
      <c r="E151" t="s">
        <v>18</v>
      </c>
      <c r="F151" t="str">
        <f>INDEX(Establishment!B$2:B$1005,MATCH($E151,Establishment!$A$2:$A$1005,0))</f>
        <v xml:space="preserve"> </v>
      </c>
      <c r="G151" t="str">
        <f>INDEX(Establishment!C$2:C$1005,MATCH($E151,Establishment!$A$2:$A$1005,0))</f>
        <v xml:space="preserve"> </v>
      </c>
      <c r="M151">
        <f t="shared" si="16"/>
        <v>0</v>
      </c>
      <c r="N151">
        <f t="shared" si="14"/>
        <v>0</v>
      </c>
      <c r="P151" t="e">
        <f>INDEX(Items!B$2:B$1032,MATCH($O151,Items!$A$2:$A$1032,0))</f>
        <v>#N/A</v>
      </c>
      <c r="Q151" t="e">
        <f>INDEX(Items!C$2:C$1032,MATCH($O151,Items!$A$2:$A$1032,0))</f>
        <v>#N/A</v>
      </c>
      <c r="R151" t="e">
        <f>INDEX(Items!D$2:D$1032,MATCH($O151,Items!$A$2:$A$1032,0))</f>
        <v>#N/A</v>
      </c>
    </row>
    <row r="152" spans="1:18" x14ac:dyDescent="0.25">
      <c r="A152">
        <f t="shared" si="12"/>
        <v>1</v>
      </c>
      <c r="B152" t="str">
        <f t="shared" si="13"/>
        <v/>
      </c>
      <c r="C152">
        <f t="shared" si="15"/>
        <v>1</v>
      </c>
      <c r="D152" s="4"/>
      <c r="E152" t="s">
        <v>18</v>
      </c>
      <c r="F152" t="str">
        <f>INDEX(Establishment!B$2:B$1005,MATCH($E152,Establishment!$A$2:$A$1005,0))</f>
        <v xml:space="preserve"> </v>
      </c>
      <c r="G152" t="str">
        <f>INDEX(Establishment!C$2:C$1005,MATCH($E152,Establishment!$A$2:$A$1005,0))</f>
        <v xml:space="preserve"> </v>
      </c>
      <c r="M152">
        <f t="shared" si="16"/>
        <v>0</v>
      </c>
      <c r="N152">
        <f t="shared" si="14"/>
        <v>0</v>
      </c>
      <c r="P152" t="e">
        <f>INDEX(Items!B$2:B$1032,MATCH($O152,Items!$A$2:$A$1032,0))</f>
        <v>#N/A</v>
      </c>
      <c r="Q152" t="e">
        <f>INDEX(Items!C$2:C$1032,MATCH($O152,Items!$A$2:$A$1032,0))</f>
        <v>#N/A</v>
      </c>
      <c r="R152" t="e">
        <f>INDEX(Items!D$2:D$1032,MATCH($O152,Items!$A$2:$A$1032,0))</f>
        <v>#N/A</v>
      </c>
    </row>
    <row r="153" spans="1:18" x14ac:dyDescent="0.25">
      <c r="A153">
        <f t="shared" si="12"/>
        <v>1</v>
      </c>
      <c r="B153" t="str">
        <f t="shared" si="13"/>
        <v/>
      </c>
      <c r="C153">
        <f t="shared" si="15"/>
        <v>1</v>
      </c>
      <c r="D153" s="4"/>
      <c r="E153" t="s">
        <v>18</v>
      </c>
      <c r="F153" t="str">
        <f>INDEX(Establishment!B$2:B$1005,MATCH($E153,Establishment!$A$2:$A$1005,0))</f>
        <v xml:space="preserve"> </v>
      </c>
      <c r="G153" t="str">
        <f>INDEX(Establishment!C$2:C$1005,MATCH($E153,Establishment!$A$2:$A$1005,0))</f>
        <v xml:space="preserve"> </v>
      </c>
      <c r="M153">
        <f t="shared" si="16"/>
        <v>0</v>
      </c>
      <c r="N153">
        <f t="shared" si="14"/>
        <v>0</v>
      </c>
      <c r="P153" t="e">
        <f>INDEX(Items!B$2:B$1032,MATCH($O153,Items!$A$2:$A$1032,0))</f>
        <v>#N/A</v>
      </c>
      <c r="Q153" t="e">
        <f>INDEX(Items!C$2:C$1032,MATCH($O153,Items!$A$2:$A$1032,0))</f>
        <v>#N/A</v>
      </c>
      <c r="R153" t="e">
        <f>INDEX(Items!D$2:D$1032,MATCH($O153,Items!$A$2:$A$1032,0))</f>
        <v>#N/A</v>
      </c>
    </row>
    <row r="154" spans="1:18" x14ac:dyDescent="0.25">
      <c r="A154">
        <f t="shared" si="12"/>
        <v>1</v>
      </c>
      <c r="B154" t="str">
        <f t="shared" si="13"/>
        <v/>
      </c>
      <c r="C154">
        <f t="shared" si="15"/>
        <v>1</v>
      </c>
      <c r="D154" s="4"/>
      <c r="E154" t="s">
        <v>18</v>
      </c>
      <c r="F154" t="str">
        <f>INDEX(Establishment!B$2:B$1005,MATCH($E154,Establishment!$A$2:$A$1005,0))</f>
        <v xml:space="preserve"> </v>
      </c>
      <c r="G154" t="str">
        <f>INDEX(Establishment!C$2:C$1005,MATCH($E154,Establishment!$A$2:$A$1005,0))</f>
        <v xml:space="preserve"> </v>
      </c>
      <c r="M154">
        <f t="shared" si="16"/>
        <v>0</v>
      </c>
      <c r="N154">
        <f t="shared" si="14"/>
        <v>0</v>
      </c>
      <c r="P154" t="e">
        <f>INDEX(Items!B$2:B$1032,MATCH($O154,Items!$A$2:$A$1032,0))</f>
        <v>#N/A</v>
      </c>
      <c r="Q154" t="e">
        <f>INDEX(Items!C$2:C$1032,MATCH($O154,Items!$A$2:$A$1032,0))</f>
        <v>#N/A</v>
      </c>
      <c r="R154" t="e">
        <f>INDEX(Items!D$2:D$1032,MATCH($O154,Items!$A$2:$A$1032,0))</f>
        <v>#N/A</v>
      </c>
    </row>
    <row r="155" spans="1:18" x14ac:dyDescent="0.25">
      <c r="A155">
        <f t="shared" si="12"/>
        <v>1</v>
      </c>
      <c r="B155" t="str">
        <f t="shared" si="13"/>
        <v/>
      </c>
      <c r="C155">
        <f t="shared" si="15"/>
        <v>1</v>
      </c>
      <c r="D155" s="4"/>
      <c r="E155" t="s">
        <v>18</v>
      </c>
      <c r="F155" t="str">
        <f>INDEX(Establishment!B$2:B$1005,MATCH($E155,Establishment!$A$2:$A$1005,0))</f>
        <v xml:space="preserve"> </v>
      </c>
      <c r="G155" t="str">
        <f>INDEX(Establishment!C$2:C$1005,MATCH($E155,Establishment!$A$2:$A$1005,0))</f>
        <v xml:space="preserve"> </v>
      </c>
      <c r="M155">
        <f t="shared" si="16"/>
        <v>0</v>
      </c>
      <c r="N155">
        <f t="shared" si="14"/>
        <v>0</v>
      </c>
      <c r="P155" t="e">
        <f>INDEX(Items!B$2:B$1032,MATCH($O155,Items!$A$2:$A$1032,0))</f>
        <v>#N/A</v>
      </c>
      <c r="Q155" t="e">
        <f>INDEX(Items!C$2:C$1032,MATCH($O155,Items!$A$2:$A$1032,0))</f>
        <v>#N/A</v>
      </c>
      <c r="R155" t="e">
        <f>INDEX(Items!D$2:D$1032,MATCH($O155,Items!$A$2:$A$1032,0))</f>
        <v>#N/A</v>
      </c>
    </row>
    <row r="156" spans="1:18" x14ac:dyDescent="0.25">
      <c r="A156">
        <f t="shared" si="12"/>
        <v>1</v>
      </c>
      <c r="B156" t="str">
        <f t="shared" si="13"/>
        <v/>
      </c>
      <c r="C156">
        <f t="shared" si="15"/>
        <v>1</v>
      </c>
      <c r="D156" s="4"/>
      <c r="E156" t="s">
        <v>18</v>
      </c>
      <c r="F156" t="str">
        <f>INDEX(Establishment!B$2:B$1005,MATCH($E156,Establishment!$A$2:$A$1005,0))</f>
        <v xml:space="preserve"> </v>
      </c>
      <c r="G156" t="str">
        <f>INDEX(Establishment!C$2:C$1005,MATCH($E156,Establishment!$A$2:$A$1005,0))</f>
        <v xml:space="preserve"> </v>
      </c>
      <c r="M156">
        <f t="shared" si="16"/>
        <v>0</v>
      </c>
      <c r="N156">
        <f t="shared" si="14"/>
        <v>0</v>
      </c>
      <c r="P156" t="e">
        <f>INDEX(Items!B$2:B$1032,MATCH($O156,Items!$A$2:$A$1032,0))</f>
        <v>#N/A</v>
      </c>
      <c r="Q156" t="e">
        <f>INDEX(Items!C$2:C$1032,MATCH($O156,Items!$A$2:$A$1032,0))</f>
        <v>#N/A</v>
      </c>
      <c r="R156" t="e">
        <f>INDEX(Items!D$2:D$1032,MATCH($O156,Items!$A$2:$A$1032,0))</f>
        <v>#N/A</v>
      </c>
    </row>
    <row r="157" spans="1:18" x14ac:dyDescent="0.25">
      <c r="A157">
        <f t="shared" si="12"/>
        <v>1</v>
      </c>
      <c r="B157" t="str">
        <f t="shared" si="13"/>
        <v/>
      </c>
      <c r="C157">
        <f t="shared" si="15"/>
        <v>1</v>
      </c>
      <c r="D157" s="4"/>
      <c r="E157" t="s">
        <v>18</v>
      </c>
      <c r="F157" t="str">
        <f>INDEX(Establishment!B$2:B$1005,MATCH($E157,Establishment!$A$2:$A$1005,0))</f>
        <v xml:space="preserve"> </v>
      </c>
      <c r="G157" t="str">
        <f>INDEX(Establishment!C$2:C$1005,MATCH($E157,Establishment!$A$2:$A$1005,0))</f>
        <v xml:space="preserve"> </v>
      </c>
      <c r="M157">
        <f t="shared" si="16"/>
        <v>0</v>
      </c>
      <c r="N157">
        <f t="shared" si="14"/>
        <v>0</v>
      </c>
      <c r="P157" t="e">
        <f>INDEX(Items!B$2:B$1032,MATCH($O157,Items!$A$2:$A$1032,0))</f>
        <v>#N/A</v>
      </c>
      <c r="Q157" t="e">
        <f>INDEX(Items!C$2:C$1032,MATCH($O157,Items!$A$2:$A$1032,0))</f>
        <v>#N/A</v>
      </c>
      <c r="R157" t="e">
        <f>INDEX(Items!D$2:D$1032,MATCH($O157,Items!$A$2:$A$1032,0))</f>
        <v>#N/A</v>
      </c>
    </row>
    <row r="158" spans="1:18" x14ac:dyDescent="0.25">
      <c r="A158">
        <f t="shared" si="12"/>
        <v>1</v>
      </c>
      <c r="B158" t="str">
        <f t="shared" si="13"/>
        <v/>
      </c>
      <c r="C158">
        <f t="shared" si="15"/>
        <v>1</v>
      </c>
      <c r="D158" s="4"/>
      <c r="E158" t="s">
        <v>18</v>
      </c>
      <c r="F158" t="str">
        <f>INDEX(Establishment!B$2:B$1005,MATCH($E158,Establishment!$A$2:$A$1005,0))</f>
        <v xml:space="preserve"> </v>
      </c>
      <c r="G158" t="str">
        <f>INDEX(Establishment!C$2:C$1005,MATCH($E158,Establishment!$A$2:$A$1005,0))</f>
        <v xml:space="preserve"> </v>
      </c>
      <c r="M158">
        <f t="shared" si="16"/>
        <v>0</v>
      </c>
      <c r="N158">
        <f t="shared" si="14"/>
        <v>0</v>
      </c>
      <c r="P158" t="e">
        <f>INDEX(Items!B$2:B$1032,MATCH($O158,Items!$A$2:$A$1032,0))</f>
        <v>#N/A</v>
      </c>
      <c r="Q158" t="e">
        <f>INDEX(Items!C$2:C$1032,MATCH($O158,Items!$A$2:$A$1032,0))</f>
        <v>#N/A</v>
      </c>
      <c r="R158" t="e">
        <f>INDEX(Items!D$2:D$1032,MATCH($O158,Items!$A$2:$A$1032,0))</f>
        <v>#N/A</v>
      </c>
    </row>
    <row r="159" spans="1:18" x14ac:dyDescent="0.25">
      <c r="A159">
        <f t="shared" si="12"/>
        <v>1</v>
      </c>
      <c r="B159" t="str">
        <f t="shared" si="13"/>
        <v/>
      </c>
      <c r="C159">
        <f t="shared" si="15"/>
        <v>1</v>
      </c>
      <c r="D159" s="4"/>
      <c r="E159" t="s">
        <v>18</v>
      </c>
      <c r="F159" t="str">
        <f>INDEX(Establishment!B$2:B$1005,MATCH($E159,Establishment!$A$2:$A$1005,0))</f>
        <v xml:space="preserve"> </v>
      </c>
      <c r="G159" t="str">
        <f>INDEX(Establishment!C$2:C$1005,MATCH($E159,Establishment!$A$2:$A$1005,0))</f>
        <v xml:space="preserve"> </v>
      </c>
      <c r="M159">
        <f t="shared" si="16"/>
        <v>0</v>
      </c>
      <c r="N159">
        <f t="shared" si="14"/>
        <v>0</v>
      </c>
      <c r="P159" t="e">
        <f>INDEX(Items!B$2:B$1032,MATCH($O159,Items!$A$2:$A$1032,0))</f>
        <v>#N/A</v>
      </c>
      <c r="Q159" t="e">
        <f>INDEX(Items!C$2:C$1032,MATCH($O159,Items!$A$2:$A$1032,0))</f>
        <v>#N/A</v>
      </c>
      <c r="R159" t="e">
        <f>INDEX(Items!D$2:D$1032,MATCH($O159,Items!$A$2:$A$1032,0))</f>
        <v>#N/A</v>
      </c>
    </row>
    <row r="160" spans="1:18" x14ac:dyDescent="0.25">
      <c r="A160">
        <f t="shared" si="12"/>
        <v>1</v>
      </c>
      <c r="B160" t="str">
        <f t="shared" si="13"/>
        <v/>
      </c>
      <c r="C160">
        <f t="shared" si="15"/>
        <v>1</v>
      </c>
      <c r="D160" s="4"/>
      <c r="E160" t="s">
        <v>18</v>
      </c>
      <c r="F160" t="str">
        <f>INDEX(Establishment!B$2:B$1005,MATCH($E160,Establishment!$A$2:$A$1005,0))</f>
        <v xml:space="preserve"> </v>
      </c>
      <c r="G160" t="str">
        <f>INDEX(Establishment!C$2:C$1005,MATCH($E160,Establishment!$A$2:$A$1005,0))</f>
        <v xml:space="preserve"> </v>
      </c>
      <c r="M160">
        <f t="shared" si="16"/>
        <v>0</v>
      </c>
      <c r="N160">
        <f t="shared" si="14"/>
        <v>0</v>
      </c>
      <c r="P160" t="e">
        <f>INDEX(Items!B$2:B$1032,MATCH($O160,Items!$A$2:$A$1032,0))</f>
        <v>#N/A</v>
      </c>
      <c r="Q160" t="e">
        <f>INDEX(Items!C$2:C$1032,MATCH($O160,Items!$A$2:$A$1032,0))</f>
        <v>#N/A</v>
      </c>
      <c r="R160" t="e">
        <f>INDEX(Items!D$2:D$1032,MATCH($O160,Items!$A$2:$A$1032,0))</f>
        <v>#N/A</v>
      </c>
    </row>
    <row r="161" spans="1:18" x14ac:dyDescent="0.25">
      <c r="A161">
        <f t="shared" si="12"/>
        <v>1</v>
      </c>
      <c r="B161" t="str">
        <f t="shared" si="13"/>
        <v/>
      </c>
      <c r="C161">
        <f t="shared" si="15"/>
        <v>1</v>
      </c>
      <c r="D161" s="4"/>
      <c r="E161" t="s">
        <v>18</v>
      </c>
      <c r="F161" t="str">
        <f>INDEX(Establishment!B$2:B$1005,MATCH($E161,Establishment!$A$2:$A$1005,0))</f>
        <v xml:space="preserve"> </v>
      </c>
      <c r="G161" t="str">
        <f>INDEX(Establishment!C$2:C$1005,MATCH($E161,Establishment!$A$2:$A$1005,0))</f>
        <v xml:space="preserve"> </v>
      </c>
      <c r="M161">
        <f t="shared" si="16"/>
        <v>0</v>
      </c>
      <c r="N161">
        <f t="shared" si="14"/>
        <v>0</v>
      </c>
      <c r="P161" t="e">
        <f>INDEX(Items!B$2:B$1032,MATCH($O161,Items!$A$2:$A$1032,0))</f>
        <v>#N/A</v>
      </c>
      <c r="Q161" t="e">
        <f>INDEX(Items!C$2:C$1032,MATCH($O161,Items!$A$2:$A$1032,0))</f>
        <v>#N/A</v>
      </c>
      <c r="R161" t="e">
        <f>INDEX(Items!D$2:D$1032,MATCH($O161,Items!$A$2:$A$1032,0))</f>
        <v>#N/A</v>
      </c>
    </row>
    <row r="162" spans="1:18" x14ac:dyDescent="0.25">
      <c r="A162">
        <f t="shared" si="12"/>
        <v>1</v>
      </c>
      <c r="B162" t="str">
        <f t="shared" si="13"/>
        <v/>
      </c>
      <c r="C162">
        <f t="shared" si="15"/>
        <v>1</v>
      </c>
      <c r="D162" s="4"/>
      <c r="E162" t="s">
        <v>18</v>
      </c>
      <c r="F162" t="str">
        <f>INDEX(Establishment!B$2:B$1005,MATCH($E162,Establishment!$A$2:$A$1005,0))</f>
        <v xml:space="preserve"> </v>
      </c>
      <c r="G162" t="str">
        <f>INDEX(Establishment!C$2:C$1005,MATCH($E162,Establishment!$A$2:$A$1005,0))</f>
        <v xml:space="preserve"> </v>
      </c>
      <c r="M162">
        <f t="shared" si="16"/>
        <v>0</v>
      </c>
      <c r="N162">
        <f t="shared" si="14"/>
        <v>0</v>
      </c>
      <c r="P162" t="e">
        <f>INDEX(Items!B$2:B$1032,MATCH($O162,Items!$A$2:$A$1032,0))</f>
        <v>#N/A</v>
      </c>
      <c r="Q162" t="e">
        <f>INDEX(Items!C$2:C$1032,MATCH($O162,Items!$A$2:$A$1032,0))</f>
        <v>#N/A</v>
      </c>
      <c r="R162" t="e">
        <f>INDEX(Items!D$2:D$1032,MATCH($O162,Items!$A$2:$A$1032,0))</f>
        <v>#N/A</v>
      </c>
    </row>
    <row r="163" spans="1:18" x14ac:dyDescent="0.25">
      <c r="A163">
        <f t="shared" si="12"/>
        <v>1</v>
      </c>
      <c r="B163" t="str">
        <f t="shared" si="13"/>
        <v/>
      </c>
      <c r="C163">
        <f t="shared" si="15"/>
        <v>1</v>
      </c>
      <c r="D163" s="4"/>
      <c r="E163" t="s">
        <v>18</v>
      </c>
      <c r="F163" t="str">
        <f>INDEX(Establishment!B$2:B$1005,MATCH($E163,Establishment!$A$2:$A$1005,0))</f>
        <v xml:space="preserve"> </v>
      </c>
      <c r="G163" t="str">
        <f>INDEX(Establishment!C$2:C$1005,MATCH($E163,Establishment!$A$2:$A$1005,0))</f>
        <v xml:space="preserve"> </v>
      </c>
      <c r="M163">
        <f t="shared" si="16"/>
        <v>0</v>
      </c>
      <c r="N163">
        <f t="shared" si="14"/>
        <v>0</v>
      </c>
      <c r="P163" t="e">
        <f>INDEX(Items!B$2:B$1032,MATCH($O163,Items!$A$2:$A$1032,0))</f>
        <v>#N/A</v>
      </c>
      <c r="Q163" t="e">
        <f>INDEX(Items!C$2:C$1032,MATCH($O163,Items!$A$2:$A$1032,0))</f>
        <v>#N/A</v>
      </c>
      <c r="R163" t="e">
        <f>INDEX(Items!D$2:D$1032,MATCH($O163,Items!$A$2:$A$1032,0))</f>
        <v>#N/A</v>
      </c>
    </row>
    <row r="164" spans="1:18" x14ac:dyDescent="0.25">
      <c r="A164">
        <f t="shared" si="12"/>
        <v>1</v>
      </c>
      <c r="B164" t="str">
        <f t="shared" si="13"/>
        <v/>
      </c>
      <c r="C164">
        <f t="shared" si="15"/>
        <v>1</v>
      </c>
      <c r="D164" s="4"/>
      <c r="E164" t="s">
        <v>18</v>
      </c>
      <c r="F164" t="str">
        <f>INDEX(Establishment!B$2:B$1005,MATCH($E164,Establishment!$A$2:$A$1005,0))</f>
        <v xml:space="preserve"> </v>
      </c>
      <c r="G164" t="str">
        <f>INDEX(Establishment!C$2:C$1005,MATCH($E164,Establishment!$A$2:$A$1005,0))</f>
        <v xml:space="preserve"> </v>
      </c>
      <c r="M164">
        <f t="shared" si="16"/>
        <v>0</v>
      </c>
      <c r="N164">
        <f t="shared" si="14"/>
        <v>0</v>
      </c>
      <c r="P164" t="e">
        <f>INDEX(Items!B$2:B$1032,MATCH($O164,Items!$A$2:$A$1032,0))</f>
        <v>#N/A</v>
      </c>
      <c r="Q164" t="e">
        <f>INDEX(Items!C$2:C$1032,MATCH($O164,Items!$A$2:$A$1032,0))</f>
        <v>#N/A</v>
      </c>
      <c r="R164" t="e">
        <f>INDEX(Items!D$2:D$1032,MATCH($O164,Items!$A$2:$A$1032,0))</f>
        <v>#N/A</v>
      </c>
    </row>
    <row r="165" spans="1:18" x14ac:dyDescent="0.25">
      <c r="A165">
        <f t="shared" si="12"/>
        <v>1</v>
      </c>
      <c r="B165" t="str">
        <f t="shared" si="13"/>
        <v/>
      </c>
      <c r="C165">
        <f t="shared" si="15"/>
        <v>1</v>
      </c>
      <c r="D165" s="4"/>
      <c r="E165" t="s">
        <v>18</v>
      </c>
      <c r="F165" t="str">
        <f>INDEX(Establishment!B$2:B$1005,MATCH($E165,Establishment!$A$2:$A$1005,0))</f>
        <v xml:space="preserve"> </v>
      </c>
      <c r="G165" t="str">
        <f>INDEX(Establishment!C$2:C$1005,MATCH($E165,Establishment!$A$2:$A$1005,0))</f>
        <v xml:space="preserve"> </v>
      </c>
      <c r="M165">
        <f t="shared" si="16"/>
        <v>0</v>
      </c>
      <c r="N165">
        <f t="shared" si="14"/>
        <v>0</v>
      </c>
      <c r="P165" t="e">
        <f>INDEX(Items!B$2:B$1032,MATCH($O165,Items!$A$2:$A$1032,0))</f>
        <v>#N/A</v>
      </c>
      <c r="Q165" t="e">
        <f>INDEX(Items!C$2:C$1032,MATCH($O165,Items!$A$2:$A$1032,0))</f>
        <v>#N/A</v>
      </c>
      <c r="R165" t="e">
        <f>INDEX(Items!D$2:D$1032,MATCH($O165,Items!$A$2:$A$1032,0))</f>
        <v>#N/A</v>
      </c>
    </row>
    <row r="166" spans="1:18" x14ac:dyDescent="0.25">
      <c r="A166">
        <f t="shared" si="12"/>
        <v>1</v>
      </c>
      <c r="B166" t="str">
        <f t="shared" si="13"/>
        <v/>
      </c>
      <c r="C166">
        <f t="shared" si="15"/>
        <v>1</v>
      </c>
      <c r="D166" s="4"/>
      <c r="E166" t="s">
        <v>18</v>
      </c>
      <c r="F166" t="str">
        <f>INDEX(Establishment!B$2:B$1005,MATCH($E166,Establishment!$A$2:$A$1005,0))</f>
        <v xml:space="preserve"> </v>
      </c>
      <c r="G166" t="str">
        <f>INDEX(Establishment!C$2:C$1005,MATCH($E166,Establishment!$A$2:$A$1005,0))</f>
        <v xml:space="preserve"> </v>
      </c>
      <c r="M166">
        <f t="shared" si="16"/>
        <v>0</v>
      </c>
      <c r="N166">
        <f t="shared" si="14"/>
        <v>0</v>
      </c>
      <c r="P166" t="e">
        <f>INDEX(Items!B$2:B$1032,MATCH($O166,Items!$A$2:$A$1032,0))</f>
        <v>#N/A</v>
      </c>
      <c r="Q166" t="e">
        <f>INDEX(Items!C$2:C$1032,MATCH($O166,Items!$A$2:$A$1032,0))</f>
        <v>#N/A</v>
      </c>
      <c r="R166" t="e">
        <f>INDEX(Items!D$2:D$1032,MATCH($O166,Items!$A$2:$A$1032,0))</f>
        <v>#N/A</v>
      </c>
    </row>
    <row r="167" spans="1:18" x14ac:dyDescent="0.25">
      <c r="A167">
        <f t="shared" si="12"/>
        <v>1</v>
      </c>
      <c r="B167" t="str">
        <f t="shared" si="13"/>
        <v/>
      </c>
      <c r="C167">
        <f t="shared" si="15"/>
        <v>1</v>
      </c>
      <c r="D167" s="4"/>
      <c r="E167" t="s">
        <v>18</v>
      </c>
      <c r="F167" t="str">
        <f>INDEX(Establishment!B$2:B$1005,MATCH($E167,Establishment!$A$2:$A$1005,0))</f>
        <v xml:space="preserve"> </v>
      </c>
      <c r="G167" t="str">
        <f>INDEX(Establishment!C$2:C$1005,MATCH($E167,Establishment!$A$2:$A$1005,0))</f>
        <v xml:space="preserve"> </v>
      </c>
      <c r="M167">
        <f t="shared" si="16"/>
        <v>0</v>
      </c>
      <c r="N167">
        <f t="shared" si="14"/>
        <v>0</v>
      </c>
      <c r="P167" t="e">
        <f>INDEX(Items!B$2:B$1032,MATCH($O167,Items!$A$2:$A$1032,0))</f>
        <v>#N/A</v>
      </c>
      <c r="Q167" t="e">
        <f>INDEX(Items!C$2:C$1032,MATCH($O167,Items!$A$2:$A$1032,0))</f>
        <v>#N/A</v>
      </c>
      <c r="R167" t="e">
        <f>INDEX(Items!D$2:D$1032,MATCH($O167,Items!$A$2:$A$1032,0))</f>
        <v>#N/A</v>
      </c>
    </row>
    <row r="168" spans="1:18" x14ac:dyDescent="0.25">
      <c r="A168">
        <f t="shared" si="12"/>
        <v>1</v>
      </c>
      <c r="B168" t="str">
        <f t="shared" si="13"/>
        <v/>
      </c>
      <c r="C168">
        <f t="shared" si="15"/>
        <v>1</v>
      </c>
      <c r="D168" s="4"/>
      <c r="E168" t="s">
        <v>18</v>
      </c>
      <c r="F168" t="str">
        <f>INDEX(Establishment!B$2:B$1005,MATCH($E168,Establishment!$A$2:$A$1005,0))</f>
        <v xml:space="preserve"> </v>
      </c>
      <c r="G168" t="str">
        <f>INDEX(Establishment!C$2:C$1005,MATCH($E168,Establishment!$A$2:$A$1005,0))</f>
        <v xml:space="preserve"> </v>
      </c>
      <c r="M168">
        <f t="shared" si="16"/>
        <v>0</v>
      </c>
      <c r="N168">
        <f t="shared" si="14"/>
        <v>0</v>
      </c>
      <c r="P168" t="e">
        <f>INDEX(Items!B$2:B$1032,MATCH($O168,Items!$A$2:$A$1032,0))</f>
        <v>#N/A</v>
      </c>
      <c r="Q168" t="e">
        <f>INDEX(Items!C$2:C$1032,MATCH($O168,Items!$A$2:$A$1032,0))</f>
        <v>#N/A</v>
      </c>
      <c r="R168" t="e">
        <f>INDEX(Items!D$2:D$1032,MATCH($O168,Items!$A$2:$A$1032,0))</f>
        <v>#N/A</v>
      </c>
    </row>
    <row r="169" spans="1:18" x14ac:dyDescent="0.25">
      <c r="A169">
        <f t="shared" si="12"/>
        <v>1</v>
      </c>
      <c r="B169" t="str">
        <f t="shared" si="13"/>
        <v/>
      </c>
      <c r="C169">
        <f t="shared" si="15"/>
        <v>1</v>
      </c>
      <c r="D169" s="4"/>
      <c r="E169" t="s">
        <v>18</v>
      </c>
      <c r="F169" t="str">
        <f>INDEX(Establishment!B$2:B$1005,MATCH($E169,Establishment!$A$2:$A$1005,0))</f>
        <v xml:space="preserve"> </v>
      </c>
      <c r="G169" t="str">
        <f>INDEX(Establishment!C$2:C$1005,MATCH($E169,Establishment!$A$2:$A$1005,0))</f>
        <v xml:space="preserve"> </v>
      </c>
      <c r="M169">
        <f t="shared" si="16"/>
        <v>0</v>
      </c>
      <c r="N169">
        <f t="shared" si="14"/>
        <v>0</v>
      </c>
      <c r="P169" t="e">
        <f>INDEX(Items!B$2:B$1032,MATCH($O169,Items!$A$2:$A$1032,0))</f>
        <v>#N/A</v>
      </c>
      <c r="Q169" t="e">
        <f>INDEX(Items!C$2:C$1032,MATCH($O169,Items!$A$2:$A$1032,0))</f>
        <v>#N/A</v>
      </c>
      <c r="R169" t="e">
        <f>INDEX(Items!D$2:D$1032,MATCH($O169,Items!$A$2:$A$1032,0))</f>
        <v>#N/A</v>
      </c>
    </row>
    <row r="170" spans="1:18" x14ac:dyDescent="0.25">
      <c r="A170">
        <f t="shared" si="12"/>
        <v>1</v>
      </c>
      <c r="B170" t="str">
        <f t="shared" si="13"/>
        <v/>
      </c>
      <c r="C170">
        <f t="shared" si="15"/>
        <v>1</v>
      </c>
      <c r="D170" s="4"/>
      <c r="E170" t="s">
        <v>18</v>
      </c>
      <c r="F170" t="str">
        <f>INDEX(Establishment!B$2:B$1005,MATCH($E170,Establishment!$A$2:$A$1005,0))</f>
        <v xml:space="preserve"> </v>
      </c>
      <c r="G170" t="str">
        <f>INDEX(Establishment!C$2:C$1005,MATCH($E170,Establishment!$A$2:$A$1005,0))</f>
        <v xml:space="preserve"> </v>
      </c>
      <c r="M170">
        <f t="shared" si="16"/>
        <v>0</v>
      </c>
      <c r="N170">
        <f t="shared" si="14"/>
        <v>0</v>
      </c>
      <c r="P170" t="e">
        <f>INDEX(Items!B$2:B$1032,MATCH($O170,Items!$A$2:$A$1032,0))</f>
        <v>#N/A</v>
      </c>
      <c r="Q170" t="e">
        <f>INDEX(Items!C$2:C$1032,MATCH($O170,Items!$A$2:$A$1032,0))</f>
        <v>#N/A</v>
      </c>
      <c r="R170" t="e">
        <f>INDEX(Items!D$2:D$1032,MATCH($O170,Items!$A$2:$A$1032,0))</f>
        <v>#N/A</v>
      </c>
    </row>
    <row r="171" spans="1:18" x14ac:dyDescent="0.25">
      <c r="A171">
        <f t="shared" si="12"/>
        <v>1</v>
      </c>
      <c r="B171" t="str">
        <f t="shared" si="13"/>
        <v/>
      </c>
      <c r="C171">
        <f t="shared" si="15"/>
        <v>1</v>
      </c>
      <c r="D171" s="4"/>
      <c r="E171" t="s">
        <v>18</v>
      </c>
      <c r="F171" t="str">
        <f>INDEX(Establishment!B$2:B$1005,MATCH($E171,Establishment!$A$2:$A$1005,0))</f>
        <v xml:space="preserve"> </v>
      </c>
      <c r="G171" t="str">
        <f>INDEX(Establishment!C$2:C$1005,MATCH($E171,Establishment!$A$2:$A$1005,0))</f>
        <v xml:space="preserve"> </v>
      </c>
      <c r="M171">
        <f t="shared" si="16"/>
        <v>0</v>
      </c>
      <c r="N171">
        <f t="shared" si="14"/>
        <v>0</v>
      </c>
      <c r="P171" t="e">
        <f>INDEX(Items!B$2:B$1032,MATCH($O171,Items!$A$2:$A$1032,0))</f>
        <v>#N/A</v>
      </c>
      <c r="Q171" t="e">
        <f>INDEX(Items!C$2:C$1032,MATCH($O171,Items!$A$2:$A$1032,0))</f>
        <v>#N/A</v>
      </c>
      <c r="R171" t="e">
        <f>INDEX(Items!D$2:D$1032,MATCH($O171,Items!$A$2:$A$1032,0))</f>
        <v>#N/A</v>
      </c>
    </row>
    <row r="172" spans="1:18" x14ac:dyDescent="0.25">
      <c r="A172">
        <f t="shared" si="12"/>
        <v>1</v>
      </c>
      <c r="B172" t="str">
        <f t="shared" si="13"/>
        <v/>
      </c>
      <c r="C172">
        <f t="shared" si="15"/>
        <v>1</v>
      </c>
      <c r="D172" s="4"/>
      <c r="E172" t="s">
        <v>18</v>
      </c>
      <c r="F172" t="str">
        <f>INDEX(Establishment!B$2:B$1005,MATCH($E172,Establishment!$A$2:$A$1005,0))</f>
        <v xml:space="preserve"> </v>
      </c>
      <c r="G172" t="str">
        <f>INDEX(Establishment!C$2:C$1005,MATCH($E172,Establishment!$A$2:$A$1005,0))</f>
        <v xml:space="preserve"> </v>
      </c>
      <c r="M172">
        <f t="shared" si="16"/>
        <v>0</v>
      </c>
      <c r="N172">
        <f t="shared" si="14"/>
        <v>0</v>
      </c>
      <c r="P172" t="e">
        <f>INDEX(Items!B$2:B$1032,MATCH($O172,Items!$A$2:$A$1032,0))</f>
        <v>#N/A</v>
      </c>
      <c r="Q172" t="e">
        <f>INDEX(Items!C$2:C$1032,MATCH($O172,Items!$A$2:$A$1032,0))</f>
        <v>#N/A</v>
      </c>
      <c r="R172" t="e">
        <f>INDEX(Items!D$2:D$1032,MATCH($O172,Items!$A$2:$A$1032,0))</f>
        <v>#N/A</v>
      </c>
    </row>
    <row r="173" spans="1:18" x14ac:dyDescent="0.25">
      <c r="A173">
        <f t="shared" si="12"/>
        <v>1</v>
      </c>
      <c r="B173" t="str">
        <f t="shared" si="13"/>
        <v/>
      </c>
      <c r="C173">
        <f t="shared" si="15"/>
        <v>1</v>
      </c>
      <c r="D173" s="4"/>
      <c r="E173" t="s">
        <v>18</v>
      </c>
      <c r="F173" t="str">
        <f>INDEX(Establishment!B$2:B$1005,MATCH($E173,Establishment!$A$2:$A$1005,0))</f>
        <v xml:space="preserve"> </v>
      </c>
      <c r="G173" t="str">
        <f>INDEX(Establishment!C$2:C$1005,MATCH($E173,Establishment!$A$2:$A$1005,0))</f>
        <v xml:space="preserve"> </v>
      </c>
      <c r="M173">
        <f t="shared" si="16"/>
        <v>0</v>
      </c>
      <c r="N173">
        <f t="shared" si="14"/>
        <v>0</v>
      </c>
      <c r="P173" t="e">
        <f>INDEX(Items!B$2:B$1032,MATCH($O173,Items!$A$2:$A$1032,0))</f>
        <v>#N/A</v>
      </c>
      <c r="Q173" t="e">
        <f>INDEX(Items!C$2:C$1032,MATCH($O173,Items!$A$2:$A$1032,0))</f>
        <v>#N/A</v>
      </c>
      <c r="R173" t="e">
        <f>INDEX(Items!D$2:D$1032,MATCH($O173,Items!$A$2:$A$1032,0))</f>
        <v>#N/A</v>
      </c>
    </row>
    <row r="174" spans="1:18" x14ac:dyDescent="0.25">
      <c r="A174">
        <f t="shared" si="12"/>
        <v>1</v>
      </c>
      <c r="B174" t="str">
        <f t="shared" si="13"/>
        <v/>
      </c>
      <c r="C174">
        <f t="shared" si="15"/>
        <v>1</v>
      </c>
      <c r="D174" s="4"/>
      <c r="E174" t="s">
        <v>18</v>
      </c>
      <c r="F174" t="str">
        <f>INDEX(Establishment!B$2:B$1005,MATCH($E174,Establishment!$A$2:$A$1005,0))</f>
        <v xml:space="preserve"> </v>
      </c>
      <c r="G174" t="str">
        <f>INDEX(Establishment!C$2:C$1005,MATCH($E174,Establishment!$A$2:$A$1005,0))</f>
        <v xml:space="preserve"> </v>
      </c>
      <c r="M174">
        <f t="shared" si="16"/>
        <v>0</v>
      </c>
      <c r="N174">
        <f t="shared" si="14"/>
        <v>0</v>
      </c>
      <c r="P174" t="e">
        <f>INDEX(Items!B$2:B$1032,MATCH($O174,Items!$A$2:$A$1032,0))</f>
        <v>#N/A</v>
      </c>
      <c r="Q174" t="e">
        <f>INDEX(Items!C$2:C$1032,MATCH($O174,Items!$A$2:$A$1032,0))</f>
        <v>#N/A</v>
      </c>
      <c r="R174" t="e">
        <f>INDEX(Items!D$2:D$1032,MATCH($O174,Items!$A$2:$A$1032,0))</f>
        <v>#N/A</v>
      </c>
    </row>
    <row r="175" spans="1:18" x14ac:dyDescent="0.25">
      <c r="A175">
        <f t="shared" si="12"/>
        <v>1</v>
      </c>
      <c r="B175" t="str">
        <f t="shared" si="13"/>
        <v/>
      </c>
      <c r="C175">
        <f t="shared" si="15"/>
        <v>1</v>
      </c>
      <c r="D175" s="4"/>
      <c r="E175" t="s">
        <v>18</v>
      </c>
      <c r="F175" t="str">
        <f>INDEX(Establishment!B$2:B$1005,MATCH($E175,Establishment!$A$2:$A$1005,0))</f>
        <v xml:space="preserve"> </v>
      </c>
      <c r="G175" t="str">
        <f>INDEX(Establishment!C$2:C$1005,MATCH($E175,Establishment!$A$2:$A$1005,0))</f>
        <v xml:space="preserve"> </v>
      </c>
      <c r="M175">
        <f t="shared" si="16"/>
        <v>0</v>
      </c>
      <c r="N175">
        <f t="shared" si="14"/>
        <v>0</v>
      </c>
      <c r="P175" t="e">
        <f>INDEX(Items!B$2:B$1032,MATCH($O175,Items!$A$2:$A$1032,0))</f>
        <v>#N/A</v>
      </c>
      <c r="Q175" t="e">
        <f>INDEX(Items!C$2:C$1032,MATCH($O175,Items!$A$2:$A$1032,0))</f>
        <v>#N/A</v>
      </c>
      <c r="R175" t="e">
        <f>INDEX(Items!D$2:D$1032,MATCH($O175,Items!$A$2:$A$1032,0))</f>
        <v>#N/A</v>
      </c>
    </row>
    <row r="176" spans="1:18" x14ac:dyDescent="0.25">
      <c r="A176">
        <f t="shared" si="12"/>
        <v>1</v>
      </c>
      <c r="B176" t="str">
        <f t="shared" si="13"/>
        <v/>
      </c>
      <c r="C176">
        <f t="shared" si="15"/>
        <v>1</v>
      </c>
      <c r="D176" s="4"/>
      <c r="E176" t="s">
        <v>18</v>
      </c>
      <c r="F176" t="str">
        <f>INDEX(Establishment!B$2:B$1005,MATCH($E176,Establishment!$A$2:$A$1005,0))</f>
        <v xml:space="preserve"> </v>
      </c>
      <c r="G176" t="str">
        <f>INDEX(Establishment!C$2:C$1005,MATCH($E176,Establishment!$A$2:$A$1005,0))</f>
        <v xml:space="preserve"> </v>
      </c>
      <c r="M176">
        <f t="shared" si="16"/>
        <v>0</v>
      </c>
      <c r="N176">
        <f t="shared" si="14"/>
        <v>0</v>
      </c>
      <c r="P176" t="e">
        <f>INDEX(Items!B$2:B$1032,MATCH($O176,Items!$A$2:$A$1032,0))</f>
        <v>#N/A</v>
      </c>
      <c r="Q176" t="e">
        <f>INDEX(Items!C$2:C$1032,MATCH($O176,Items!$A$2:$A$1032,0))</f>
        <v>#N/A</v>
      </c>
      <c r="R176" t="e">
        <f>INDEX(Items!D$2:D$1032,MATCH($O176,Items!$A$2:$A$1032,0))</f>
        <v>#N/A</v>
      </c>
    </row>
    <row r="177" spans="1:18" x14ac:dyDescent="0.25">
      <c r="A177">
        <f t="shared" si="12"/>
        <v>1</v>
      </c>
      <c r="B177" t="str">
        <f t="shared" si="13"/>
        <v/>
      </c>
      <c r="C177">
        <f t="shared" si="15"/>
        <v>1</v>
      </c>
      <c r="D177" s="4"/>
      <c r="E177" t="s">
        <v>18</v>
      </c>
      <c r="F177" t="str">
        <f>INDEX(Establishment!B$2:B$1005,MATCH($E177,Establishment!$A$2:$A$1005,0))</f>
        <v xml:space="preserve"> </v>
      </c>
      <c r="G177" t="str">
        <f>INDEX(Establishment!C$2:C$1005,MATCH($E177,Establishment!$A$2:$A$1005,0))</f>
        <v xml:space="preserve"> </v>
      </c>
      <c r="M177">
        <f t="shared" si="16"/>
        <v>0</v>
      </c>
      <c r="N177">
        <f t="shared" si="14"/>
        <v>0</v>
      </c>
      <c r="P177" t="e">
        <f>INDEX(Items!B$2:B$1032,MATCH($O177,Items!$A$2:$A$1032,0))</f>
        <v>#N/A</v>
      </c>
      <c r="Q177" t="e">
        <f>INDEX(Items!C$2:C$1032,MATCH($O177,Items!$A$2:$A$1032,0))</f>
        <v>#N/A</v>
      </c>
      <c r="R177" t="e">
        <f>INDEX(Items!D$2:D$1032,MATCH($O177,Items!$A$2:$A$1032,0))</f>
        <v>#N/A</v>
      </c>
    </row>
    <row r="178" spans="1:18" x14ac:dyDescent="0.25">
      <c r="A178">
        <f t="shared" si="12"/>
        <v>1</v>
      </c>
      <c r="B178" t="str">
        <f t="shared" si="13"/>
        <v/>
      </c>
      <c r="C178">
        <f t="shared" si="15"/>
        <v>1</v>
      </c>
      <c r="D178" s="4"/>
      <c r="E178" t="s">
        <v>18</v>
      </c>
      <c r="F178" t="str">
        <f>INDEX(Establishment!B$2:B$1005,MATCH($E178,Establishment!$A$2:$A$1005,0))</f>
        <v xml:space="preserve"> </v>
      </c>
      <c r="G178" t="str">
        <f>INDEX(Establishment!C$2:C$1005,MATCH($E178,Establishment!$A$2:$A$1005,0))</f>
        <v xml:space="preserve"> </v>
      </c>
      <c r="M178">
        <f t="shared" si="16"/>
        <v>0</v>
      </c>
      <c r="N178">
        <f t="shared" si="14"/>
        <v>0</v>
      </c>
      <c r="P178" t="e">
        <f>INDEX(Items!B$2:B$1032,MATCH($O178,Items!$A$2:$A$1032,0))</f>
        <v>#N/A</v>
      </c>
      <c r="Q178" t="e">
        <f>INDEX(Items!C$2:C$1032,MATCH($O178,Items!$A$2:$A$1032,0))</f>
        <v>#N/A</v>
      </c>
      <c r="R178" t="e">
        <f>INDEX(Items!D$2:D$1032,MATCH($O178,Items!$A$2:$A$1032,0))</f>
        <v>#N/A</v>
      </c>
    </row>
    <row r="179" spans="1:18" x14ac:dyDescent="0.25">
      <c r="A179">
        <f t="shared" si="12"/>
        <v>1</v>
      </c>
      <c r="B179" t="str">
        <f t="shared" si="13"/>
        <v/>
      </c>
      <c r="C179">
        <f t="shared" si="15"/>
        <v>1</v>
      </c>
      <c r="D179" s="4"/>
      <c r="E179" t="s">
        <v>18</v>
      </c>
      <c r="F179" t="str">
        <f>INDEX(Establishment!B$2:B$1005,MATCH($E179,Establishment!$A$2:$A$1005,0))</f>
        <v xml:space="preserve"> </v>
      </c>
      <c r="G179" t="str">
        <f>INDEX(Establishment!C$2:C$1005,MATCH($E179,Establishment!$A$2:$A$1005,0))</f>
        <v xml:space="preserve"> </v>
      </c>
      <c r="M179">
        <f t="shared" si="16"/>
        <v>0</v>
      </c>
      <c r="N179">
        <f t="shared" si="14"/>
        <v>0</v>
      </c>
      <c r="P179" t="e">
        <f>INDEX(Items!B$2:B$1032,MATCH($O179,Items!$A$2:$A$1032,0))</f>
        <v>#N/A</v>
      </c>
      <c r="Q179" t="e">
        <f>INDEX(Items!C$2:C$1032,MATCH($O179,Items!$A$2:$A$1032,0))</f>
        <v>#N/A</v>
      </c>
      <c r="R179" t="e">
        <f>INDEX(Items!D$2:D$1032,MATCH($O179,Items!$A$2:$A$1032,0))</f>
        <v>#N/A</v>
      </c>
    </row>
    <row r="180" spans="1:18" x14ac:dyDescent="0.25">
      <c r="A180">
        <f t="shared" si="12"/>
        <v>1</v>
      </c>
      <c r="B180" t="str">
        <f t="shared" si="13"/>
        <v/>
      </c>
      <c r="C180">
        <f t="shared" si="15"/>
        <v>1</v>
      </c>
      <c r="D180" s="4"/>
      <c r="E180" t="s">
        <v>18</v>
      </c>
      <c r="F180" t="str">
        <f>INDEX(Establishment!B$2:B$1005,MATCH($E180,Establishment!$A$2:$A$1005,0))</f>
        <v xml:space="preserve"> </v>
      </c>
      <c r="G180" t="str">
        <f>INDEX(Establishment!C$2:C$1005,MATCH($E180,Establishment!$A$2:$A$1005,0))</f>
        <v xml:space="preserve"> </v>
      </c>
      <c r="M180">
        <f t="shared" si="16"/>
        <v>0</v>
      </c>
      <c r="N180">
        <f t="shared" si="14"/>
        <v>0</v>
      </c>
      <c r="P180" t="e">
        <f>INDEX(Items!B$2:B$1032,MATCH($O180,Items!$A$2:$A$1032,0))</f>
        <v>#N/A</v>
      </c>
      <c r="Q180" t="e">
        <f>INDEX(Items!C$2:C$1032,MATCH($O180,Items!$A$2:$A$1032,0))</f>
        <v>#N/A</v>
      </c>
      <c r="R180" t="e">
        <f>INDEX(Items!D$2:D$1032,MATCH($O180,Items!$A$2:$A$1032,0))</f>
        <v>#N/A</v>
      </c>
    </row>
    <row r="181" spans="1:18" x14ac:dyDescent="0.25">
      <c r="A181">
        <f t="shared" si="12"/>
        <v>1</v>
      </c>
      <c r="B181" t="str">
        <f t="shared" si="13"/>
        <v/>
      </c>
      <c r="C181">
        <f t="shared" si="15"/>
        <v>1</v>
      </c>
      <c r="D181" s="4"/>
      <c r="E181" t="s">
        <v>18</v>
      </c>
      <c r="F181" t="str">
        <f>INDEX(Establishment!B$2:B$1005,MATCH($E181,Establishment!$A$2:$A$1005,0))</f>
        <v xml:space="preserve"> </v>
      </c>
      <c r="G181" t="str">
        <f>INDEX(Establishment!C$2:C$1005,MATCH($E181,Establishment!$A$2:$A$1005,0))</f>
        <v xml:space="preserve"> </v>
      </c>
      <c r="M181">
        <f t="shared" si="16"/>
        <v>0</v>
      </c>
      <c r="N181">
        <f t="shared" si="14"/>
        <v>0</v>
      </c>
      <c r="P181" t="e">
        <f>INDEX(Items!B$2:B$1032,MATCH($O181,Items!$A$2:$A$1032,0))</f>
        <v>#N/A</v>
      </c>
      <c r="Q181" t="e">
        <f>INDEX(Items!C$2:C$1032,MATCH($O181,Items!$A$2:$A$1032,0))</f>
        <v>#N/A</v>
      </c>
      <c r="R181" t="e">
        <f>INDEX(Items!D$2:D$1032,MATCH($O181,Items!$A$2:$A$1032,0))</f>
        <v>#N/A</v>
      </c>
    </row>
    <row r="182" spans="1:18" x14ac:dyDescent="0.25">
      <c r="A182">
        <f t="shared" si="12"/>
        <v>1</v>
      </c>
      <c r="B182" t="str">
        <f t="shared" si="13"/>
        <v/>
      </c>
      <c r="C182">
        <f t="shared" si="15"/>
        <v>1</v>
      </c>
      <c r="D182" s="4"/>
      <c r="E182" t="s">
        <v>18</v>
      </c>
      <c r="F182" t="str">
        <f>INDEX(Establishment!B$2:B$1005,MATCH($E182,Establishment!$A$2:$A$1005,0))</f>
        <v xml:space="preserve"> </v>
      </c>
      <c r="G182" t="str">
        <f>INDEX(Establishment!C$2:C$1005,MATCH($E182,Establishment!$A$2:$A$1005,0))</f>
        <v xml:space="preserve"> </v>
      </c>
      <c r="M182">
        <f t="shared" si="16"/>
        <v>0</v>
      </c>
      <c r="N182">
        <f t="shared" si="14"/>
        <v>0</v>
      </c>
      <c r="P182" t="e">
        <f>INDEX(Items!B$2:B$1032,MATCH($O182,Items!$A$2:$A$1032,0))</f>
        <v>#N/A</v>
      </c>
      <c r="Q182" t="e">
        <f>INDEX(Items!C$2:C$1032,MATCH($O182,Items!$A$2:$A$1032,0))</f>
        <v>#N/A</v>
      </c>
      <c r="R182" t="e">
        <f>INDEX(Items!D$2:D$1032,MATCH($O182,Items!$A$2:$A$1032,0))</f>
        <v>#N/A</v>
      </c>
    </row>
    <row r="183" spans="1:18" x14ac:dyDescent="0.25">
      <c r="A183">
        <f t="shared" si="12"/>
        <v>1</v>
      </c>
      <c r="B183" t="str">
        <f t="shared" si="13"/>
        <v/>
      </c>
      <c r="C183">
        <f t="shared" si="15"/>
        <v>1</v>
      </c>
      <c r="D183" s="4"/>
      <c r="E183" t="s">
        <v>18</v>
      </c>
      <c r="F183" t="str">
        <f>INDEX(Establishment!B$2:B$1005,MATCH($E183,Establishment!$A$2:$A$1005,0))</f>
        <v xml:space="preserve"> </v>
      </c>
      <c r="G183" t="str">
        <f>INDEX(Establishment!C$2:C$1005,MATCH($E183,Establishment!$A$2:$A$1005,0))</f>
        <v xml:space="preserve"> </v>
      </c>
      <c r="M183">
        <f t="shared" si="16"/>
        <v>0</v>
      </c>
      <c r="N183">
        <f t="shared" si="14"/>
        <v>0</v>
      </c>
      <c r="P183" t="e">
        <f>INDEX(Items!B$2:B$1032,MATCH($O183,Items!$A$2:$A$1032,0))</f>
        <v>#N/A</v>
      </c>
      <c r="Q183" t="e">
        <f>INDEX(Items!C$2:C$1032,MATCH($O183,Items!$A$2:$A$1032,0))</f>
        <v>#N/A</v>
      </c>
      <c r="R183" t="e">
        <f>INDEX(Items!D$2:D$1032,MATCH($O183,Items!$A$2:$A$1032,0))</f>
        <v>#N/A</v>
      </c>
    </row>
    <row r="184" spans="1:18" x14ac:dyDescent="0.25">
      <c r="A184">
        <f t="shared" si="12"/>
        <v>1</v>
      </c>
      <c r="B184" t="str">
        <f t="shared" si="13"/>
        <v/>
      </c>
      <c r="C184">
        <f t="shared" si="15"/>
        <v>1</v>
      </c>
      <c r="D184" s="4"/>
      <c r="E184" t="s">
        <v>18</v>
      </c>
      <c r="F184" t="str">
        <f>INDEX(Establishment!B$2:B$1005,MATCH($E184,Establishment!$A$2:$A$1005,0))</f>
        <v xml:space="preserve"> </v>
      </c>
      <c r="G184" t="str">
        <f>INDEX(Establishment!C$2:C$1005,MATCH($E184,Establishment!$A$2:$A$1005,0))</f>
        <v xml:space="preserve"> </v>
      </c>
      <c r="M184">
        <f t="shared" si="16"/>
        <v>0</v>
      </c>
      <c r="N184">
        <f t="shared" si="14"/>
        <v>0</v>
      </c>
      <c r="P184" t="e">
        <f>INDEX(Items!B$2:B$1032,MATCH($O184,Items!$A$2:$A$1032,0))</f>
        <v>#N/A</v>
      </c>
      <c r="Q184" t="e">
        <f>INDEX(Items!C$2:C$1032,MATCH($O184,Items!$A$2:$A$1032,0))</f>
        <v>#N/A</v>
      </c>
      <c r="R184" t="e">
        <f>INDEX(Items!D$2:D$1032,MATCH($O184,Items!$A$2:$A$1032,0))</f>
        <v>#N/A</v>
      </c>
    </row>
    <row r="185" spans="1:18" x14ac:dyDescent="0.25">
      <c r="A185">
        <f t="shared" si="12"/>
        <v>1</v>
      </c>
      <c r="B185" t="str">
        <f t="shared" si="13"/>
        <v/>
      </c>
      <c r="C185">
        <f t="shared" si="15"/>
        <v>1</v>
      </c>
      <c r="D185" s="4"/>
      <c r="E185" t="s">
        <v>18</v>
      </c>
      <c r="F185" t="str">
        <f>INDEX(Establishment!B$2:B$1005,MATCH($E185,Establishment!$A$2:$A$1005,0))</f>
        <v xml:space="preserve"> </v>
      </c>
      <c r="G185" t="str">
        <f>INDEX(Establishment!C$2:C$1005,MATCH($E185,Establishment!$A$2:$A$1005,0))</f>
        <v xml:space="preserve"> </v>
      </c>
      <c r="M185">
        <f t="shared" si="16"/>
        <v>0</v>
      </c>
      <c r="N185">
        <f t="shared" si="14"/>
        <v>0</v>
      </c>
      <c r="P185" t="e">
        <f>INDEX(Items!B$2:B$1032,MATCH($O185,Items!$A$2:$A$1032,0))</f>
        <v>#N/A</v>
      </c>
      <c r="Q185" t="e">
        <f>INDEX(Items!C$2:C$1032,MATCH($O185,Items!$A$2:$A$1032,0))</f>
        <v>#N/A</v>
      </c>
      <c r="R185" t="e">
        <f>INDEX(Items!D$2:D$1032,MATCH($O185,Items!$A$2:$A$1032,0))</f>
        <v>#N/A</v>
      </c>
    </row>
    <row r="186" spans="1:18" x14ac:dyDescent="0.25">
      <c r="A186">
        <f t="shared" si="12"/>
        <v>1</v>
      </c>
      <c r="B186" t="str">
        <f t="shared" si="13"/>
        <v/>
      </c>
      <c r="C186">
        <f t="shared" si="15"/>
        <v>1</v>
      </c>
      <c r="D186" s="4"/>
      <c r="E186" t="s">
        <v>18</v>
      </c>
      <c r="F186" t="str">
        <f>INDEX(Establishment!B$2:B$1005,MATCH($E186,Establishment!$A$2:$A$1005,0))</f>
        <v xml:space="preserve"> </v>
      </c>
      <c r="G186" t="str">
        <f>INDEX(Establishment!C$2:C$1005,MATCH($E186,Establishment!$A$2:$A$1005,0))</f>
        <v xml:space="preserve"> </v>
      </c>
      <c r="M186">
        <f t="shared" si="16"/>
        <v>0</v>
      </c>
      <c r="N186">
        <f t="shared" si="14"/>
        <v>0</v>
      </c>
      <c r="P186" t="e">
        <f>INDEX(Items!B$2:B$1032,MATCH($O186,Items!$A$2:$A$1032,0))</f>
        <v>#N/A</v>
      </c>
      <c r="Q186" t="e">
        <f>INDEX(Items!C$2:C$1032,MATCH($O186,Items!$A$2:$A$1032,0))</f>
        <v>#N/A</v>
      </c>
      <c r="R186" t="e">
        <f>INDEX(Items!D$2:D$1032,MATCH($O186,Items!$A$2:$A$1032,0))</f>
        <v>#N/A</v>
      </c>
    </row>
    <row r="187" spans="1:18" x14ac:dyDescent="0.25">
      <c r="A187">
        <f t="shared" si="12"/>
        <v>1</v>
      </c>
      <c r="B187" t="str">
        <f t="shared" si="13"/>
        <v/>
      </c>
      <c r="C187">
        <f t="shared" si="15"/>
        <v>1</v>
      </c>
      <c r="D187" s="4"/>
      <c r="E187" t="s">
        <v>18</v>
      </c>
      <c r="F187" t="str">
        <f>INDEX(Establishment!B$2:B$1005,MATCH($E187,Establishment!$A$2:$A$1005,0))</f>
        <v xml:space="preserve"> </v>
      </c>
      <c r="G187" t="str">
        <f>INDEX(Establishment!C$2:C$1005,MATCH($E187,Establishment!$A$2:$A$1005,0))</f>
        <v xml:space="preserve"> </v>
      </c>
      <c r="M187">
        <f t="shared" si="16"/>
        <v>0</v>
      </c>
      <c r="N187">
        <f t="shared" si="14"/>
        <v>0</v>
      </c>
      <c r="P187" t="e">
        <f>INDEX(Items!B$2:B$1032,MATCH($O187,Items!$A$2:$A$1032,0))</f>
        <v>#N/A</v>
      </c>
      <c r="Q187" t="e">
        <f>INDEX(Items!C$2:C$1032,MATCH($O187,Items!$A$2:$A$1032,0))</f>
        <v>#N/A</v>
      </c>
      <c r="R187" t="e">
        <f>INDEX(Items!D$2:D$1032,MATCH($O187,Items!$A$2:$A$1032,0))</f>
        <v>#N/A</v>
      </c>
    </row>
    <row r="188" spans="1:18" x14ac:dyDescent="0.25">
      <c r="A188">
        <f t="shared" si="12"/>
        <v>1</v>
      </c>
      <c r="B188" t="str">
        <f t="shared" si="13"/>
        <v/>
      </c>
      <c r="C188">
        <f t="shared" si="15"/>
        <v>1</v>
      </c>
      <c r="D188" s="4"/>
      <c r="E188" t="s">
        <v>18</v>
      </c>
      <c r="F188" t="str">
        <f>INDEX(Establishment!B$2:B$1005,MATCH($E188,Establishment!$A$2:$A$1005,0))</f>
        <v xml:space="preserve"> </v>
      </c>
      <c r="G188" t="str">
        <f>INDEX(Establishment!C$2:C$1005,MATCH($E188,Establishment!$A$2:$A$1005,0))</f>
        <v xml:space="preserve"> </v>
      </c>
      <c r="M188">
        <f t="shared" si="16"/>
        <v>0</v>
      </c>
      <c r="N188">
        <f t="shared" si="14"/>
        <v>0</v>
      </c>
      <c r="P188" t="e">
        <f>INDEX(Items!B$2:B$1032,MATCH($O188,Items!$A$2:$A$1032,0))</f>
        <v>#N/A</v>
      </c>
      <c r="Q188" t="e">
        <f>INDEX(Items!C$2:C$1032,MATCH($O188,Items!$A$2:$A$1032,0))</f>
        <v>#N/A</v>
      </c>
      <c r="R188" t="e">
        <f>INDEX(Items!D$2:D$1032,MATCH($O188,Items!$A$2:$A$1032,0))</f>
        <v>#N/A</v>
      </c>
    </row>
    <row r="189" spans="1:18" x14ac:dyDescent="0.25">
      <c r="A189">
        <f t="shared" si="12"/>
        <v>1</v>
      </c>
      <c r="B189" t="str">
        <f t="shared" si="13"/>
        <v/>
      </c>
      <c r="C189">
        <f t="shared" si="15"/>
        <v>1</v>
      </c>
      <c r="D189" s="4"/>
      <c r="E189" t="s">
        <v>18</v>
      </c>
      <c r="F189" t="str">
        <f>INDEX(Establishment!B$2:B$1005,MATCH($E189,Establishment!$A$2:$A$1005,0))</f>
        <v xml:space="preserve"> </v>
      </c>
      <c r="G189" t="str">
        <f>INDEX(Establishment!C$2:C$1005,MATCH($E189,Establishment!$A$2:$A$1005,0))</f>
        <v xml:space="preserve"> </v>
      </c>
      <c r="M189">
        <f t="shared" si="16"/>
        <v>0</v>
      </c>
      <c r="N189">
        <f t="shared" si="14"/>
        <v>0</v>
      </c>
      <c r="P189" t="e">
        <f>INDEX(Items!B$2:B$1032,MATCH($O189,Items!$A$2:$A$1032,0))</f>
        <v>#N/A</v>
      </c>
      <c r="Q189" t="e">
        <f>INDEX(Items!C$2:C$1032,MATCH($O189,Items!$A$2:$A$1032,0))</f>
        <v>#N/A</v>
      </c>
      <c r="R189" t="e">
        <f>INDEX(Items!D$2:D$1032,MATCH($O189,Items!$A$2:$A$1032,0))</f>
        <v>#N/A</v>
      </c>
    </row>
    <row r="190" spans="1:18" x14ac:dyDescent="0.25">
      <c r="A190">
        <f t="shared" si="12"/>
        <v>1</v>
      </c>
      <c r="B190" t="str">
        <f t="shared" si="13"/>
        <v/>
      </c>
      <c r="C190">
        <f t="shared" si="15"/>
        <v>1</v>
      </c>
      <c r="D190" s="4"/>
      <c r="E190" t="s">
        <v>18</v>
      </c>
      <c r="F190" t="str">
        <f>INDEX(Establishment!B$2:B$1005,MATCH($E190,Establishment!$A$2:$A$1005,0))</f>
        <v xml:space="preserve"> </v>
      </c>
      <c r="G190" t="str">
        <f>INDEX(Establishment!C$2:C$1005,MATCH($E190,Establishment!$A$2:$A$1005,0))</f>
        <v xml:space="preserve"> </v>
      </c>
      <c r="M190">
        <f t="shared" si="16"/>
        <v>0</v>
      </c>
      <c r="N190">
        <f t="shared" si="14"/>
        <v>0</v>
      </c>
      <c r="P190" t="e">
        <f>INDEX(Items!B$2:B$1032,MATCH($O190,Items!$A$2:$A$1032,0))</f>
        <v>#N/A</v>
      </c>
      <c r="Q190" t="e">
        <f>INDEX(Items!C$2:C$1032,MATCH($O190,Items!$A$2:$A$1032,0))</f>
        <v>#N/A</v>
      </c>
      <c r="R190" t="e">
        <f>INDEX(Items!D$2:D$1032,MATCH($O190,Items!$A$2:$A$1032,0))</f>
        <v>#N/A</v>
      </c>
    </row>
    <row r="191" spans="1:18" x14ac:dyDescent="0.25">
      <c r="A191">
        <f t="shared" si="12"/>
        <v>1</v>
      </c>
      <c r="B191" t="str">
        <f t="shared" si="13"/>
        <v/>
      </c>
      <c r="C191">
        <f t="shared" si="15"/>
        <v>1</v>
      </c>
      <c r="D191" s="4"/>
      <c r="E191" t="s">
        <v>18</v>
      </c>
      <c r="F191" t="str">
        <f>INDEX(Establishment!B$2:B$1005,MATCH($E191,Establishment!$A$2:$A$1005,0))</f>
        <v xml:space="preserve"> </v>
      </c>
      <c r="G191" t="str">
        <f>INDEX(Establishment!C$2:C$1005,MATCH($E191,Establishment!$A$2:$A$1005,0))</f>
        <v xml:space="preserve"> </v>
      </c>
      <c r="M191">
        <f t="shared" si="16"/>
        <v>0</v>
      </c>
      <c r="N191">
        <f t="shared" si="14"/>
        <v>0</v>
      </c>
      <c r="P191" t="e">
        <f>INDEX(Items!B$2:B$1032,MATCH($O191,Items!$A$2:$A$1032,0))</f>
        <v>#N/A</v>
      </c>
      <c r="Q191" t="e">
        <f>INDEX(Items!C$2:C$1032,MATCH($O191,Items!$A$2:$A$1032,0))</f>
        <v>#N/A</v>
      </c>
      <c r="R191" t="e">
        <f>INDEX(Items!D$2:D$1032,MATCH($O191,Items!$A$2:$A$1032,0))</f>
        <v>#N/A</v>
      </c>
    </row>
    <row r="192" spans="1:18" x14ac:dyDescent="0.25">
      <c r="A192">
        <f t="shared" si="12"/>
        <v>1</v>
      </c>
      <c r="B192" t="str">
        <f t="shared" si="13"/>
        <v/>
      </c>
      <c r="C192">
        <f t="shared" si="15"/>
        <v>1</v>
      </c>
      <c r="D192" s="4"/>
      <c r="E192" t="s">
        <v>18</v>
      </c>
      <c r="F192" t="str">
        <f>INDEX(Establishment!B$2:B$1005,MATCH($E192,Establishment!$A$2:$A$1005,0))</f>
        <v xml:space="preserve"> </v>
      </c>
      <c r="G192" t="str">
        <f>INDEX(Establishment!C$2:C$1005,MATCH($E192,Establishment!$A$2:$A$1005,0))</f>
        <v xml:space="preserve"> </v>
      </c>
      <c r="M192">
        <f t="shared" si="16"/>
        <v>0</v>
      </c>
      <c r="N192">
        <f t="shared" si="14"/>
        <v>0</v>
      </c>
      <c r="P192" t="e">
        <f>INDEX(Items!B$2:B$1032,MATCH($O192,Items!$A$2:$A$1032,0))</f>
        <v>#N/A</v>
      </c>
      <c r="Q192" t="e">
        <f>INDEX(Items!C$2:C$1032,MATCH($O192,Items!$A$2:$A$1032,0))</f>
        <v>#N/A</v>
      </c>
      <c r="R192" t="e">
        <f>INDEX(Items!D$2:D$1032,MATCH($O192,Items!$A$2:$A$1032,0))</f>
        <v>#N/A</v>
      </c>
    </row>
    <row r="193" spans="1:18" x14ac:dyDescent="0.25">
      <c r="A193">
        <f t="shared" si="12"/>
        <v>1</v>
      </c>
      <c r="B193" t="str">
        <f t="shared" si="13"/>
        <v/>
      </c>
      <c r="C193">
        <f t="shared" si="15"/>
        <v>1</v>
      </c>
      <c r="D193" s="4"/>
      <c r="E193" t="s">
        <v>18</v>
      </c>
      <c r="F193" t="str">
        <f>INDEX(Establishment!B$2:B$1005,MATCH($E193,Establishment!$A$2:$A$1005,0))</f>
        <v xml:space="preserve"> </v>
      </c>
      <c r="G193" t="str">
        <f>INDEX(Establishment!C$2:C$1005,MATCH($E193,Establishment!$A$2:$A$1005,0))</f>
        <v xml:space="preserve"> </v>
      </c>
      <c r="M193">
        <f t="shared" si="16"/>
        <v>0</v>
      </c>
      <c r="N193">
        <f t="shared" si="14"/>
        <v>0</v>
      </c>
      <c r="P193" t="e">
        <f>INDEX(Items!B$2:B$1032,MATCH($O193,Items!$A$2:$A$1032,0))</f>
        <v>#N/A</v>
      </c>
      <c r="Q193" t="e">
        <f>INDEX(Items!C$2:C$1032,MATCH($O193,Items!$A$2:$A$1032,0))</f>
        <v>#N/A</v>
      </c>
      <c r="R193" t="e">
        <f>INDEX(Items!D$2:D$1032,MATCH($O193,Items!$A$2:$A$1032,0))</f>
        <v>#N/A</v>
      </c>
    </row>
    <row r="194" spans="1:18" x14ac:dyDescent="0.25">
      <c r="A194">
        <f t="shared" ref="A194:A257" si="17">IF(OR(D194&lt;&gt;D193,D194=""),1,IF(NOT(AND(E194=E193,F194=F193,G194=G193)),A193+1,IF(OR(H194="",AND(H194&lt;&gt;"",H194&lt;&gt;H193,H193&lt;&gt;"")),A193,A193+1)))</f>
        <v>1</v>
      </c>
      <c r="B194" t="str">
        <f t="shared" ref="B194:B257" si="18">IF(D194&lt;&gt;"",TEXT(D194,"YYYYMMDD")&amp;CHAR(64+A194),"")</f>
        <v/>
      </c>
      <c r="C194">
        <f t="shared" si="15"/>
        <v>1</v>
      </c>
      <c r="D194" s="4"/>
      <c r="E194" t="s">
        <v>18</v>
      </c>
      <c r="F194" t="str">
        <f>INDEX(Establishment!B$2:B$1005,MATCH($E194,Establishment!$A$2:$A$1005,0))</f>
        <v xml:space="preserve"> </v>
      </c>
      <c r="G194" t="str">
        <f>INDEX(Establishment!C$2:C$1005,MATCH($E194,Establishment!$A$2:$A$1005,0))</f>
        <v xml:space="preserve"> </v>
      </c>
      <c r="M194">
        <f t="shared" si="16"/>
        <v>0</v>
      </c>
      <c r="N194">
        <f t="shared" si="14"/>
        <v>0</v>
      </c>
      <c r="P194" t="e">
        <f>INDEX(Items!B$2:B$1032,MATCH($O194,Items!$A$2:$A$1032,0))</f>
        <v>#N/A</v>
      </c>
      <c r="Q194" t="e">
        <f>INDEX(Items!C$2:C$1032,MATCH($O194,Items!$A$2:$A$1032,0))</f>
        <v>#N/A</v>
      </c>
      <c r="R194" t="e">
        <f>INDEX(Items!D$2:D$1032,MATCH($O194,Items!$A$2:$A$1032,0))</f>
        <v>#N/A</v>
      </c>
    </row>
    <row r="195" spans="1:18" x14ac:dyDescent="0.25">
      <c r="A195">
        <f t="shared" si="17"/>
        <v>1</v>
      </c>
      <c r="B195" t="str">
        <f t="shared" si="18"/>
        <v/>
      </c>
      <c r="C195">
        <f t="shared" si="15"/>
        <v>1</v>
      </c>
      <c r="D195" s="4"/>
      <c r="E195" t="s">
        <v>18</v>
      </c>
      <c r="F195" t="str">
        <f>INDEX(Establishment!B$2:B$1005,MATCH($E195,Establishment!$A$2:$A$1005,0))</f>
        <v xml:space="preserve"> </v>
      </c>
      <c r="G195" t="str">
        <f>INDEX(Establishment!C$2:C$1005,MATCH($E195,Establishment!$A$2:$A$1005,0))</f>
        <v xml:space="preserve"> </v>
      </c>
      <c r="M195">
        <f t="shared" si="16"/>
        <v>0</v>
      </c>
      <c r="N195">
        <f t="shared" ref="N195:N258" si="19">IF(B195=B194,N194+M195,M195)</f>
        <v>0</v>
      </c>
      <c r="P195" t="e">
        <f>INDEX(Items!B$2:B$1032,MATCH($O195,Items!$A$2:$A$1032,0))</f>
        <v>#N/A</v>
      </c>
      <c r="Q195" t="e">
        <f>INDEX(Items!C$2:C$1032,MATCH($O195,Items!$A$2:$A$1032,0))</f>
        <v>#N/A</v>
      </c>
      <c r="R195" t="e">
        <f>INDEX(Items!D$2:D$1032,MATCH($O195,Items!$A$2:$A$1032,0))</f>
        <v>#N/A</v>
      </c>
    </row>
    <row r="196" spans="1:18" x14ac:dyDescent="0.25">
      <c r="A196">
        <f t="shared" si="17"/>
        <v>1</v>
      </c>
      <c r="B196" t="str">
        <f t="shared" si="18"/>
        <v/>
      </c>
      <c r="C196">
        <f t="shared" si="15"/>
        <v>1</v>
      </c>
      <c r="D196" s="4"/>
      <c r="E196" t="s">
        <v>18</v>
      </c>
      <c r="F196" t="str">
        <f>INDEX(Establishment!B$2:B$1005,MATCH($E196,Establishment!$A$2:$A$1005,0))</f>
        <v xml:space="preserve"> </v>
      </c>
      <c r="G196" t="str">
        <f>INDEX(Establishment!C$2:C$1005,MATCH($E196,Establishment!$A$2:$A$1005,0))</f>
        <v xml:space="preserve"> </v>
      </c>
      <c r="M196">
        <f t="shared" si="16"/>
        <v>0</v>
      </c>
      <c r="N196">
        <f t="shared" si="19"/>
        <v>0</v>
      </c>
      <c r="P196" t="e">
        <f>INDEX(Items!B$2:B$1032,MATCH($O196,Items!$A$2:$A$1032,0))</f>
        <v>#N/A</v>
      </c>
      <c r="Q196" t="e">
        <f>INDEX(Items!C$2:C$1032,MATCH($O196,Items!$A$2:$A$1032,0))</f>
        <v>#N/A</v>
      </c>
      <c r="R196" t="e">
        <f>INDEX(Items!D$2:D$1032,MATCH($O196,Items!$A$2:$A$1032,0))</f>
        <v>#N/A</v>
      </c>
    </row>
    <row r="197" spans="1:18" x14ac:dyDescent="0.25">
      <c r="A197">
        <f t="shared" si="17"/>
        <v>1</v>
      </c>
      <c r="B197" t="str">
        <f t="shared" si="18"/>
        <v/>
      </c>
      <c r="C197">
        <f t="shared" si="15"/>
        <v>1</v>
      </c>
      <c r="D197" s="4"/>
      <c r="E197" t="s">
        <v>18</v>
      </c>
      <c r="F197" t="str">
        <f>INDEX(Establishment!B$2:B$1005,MATCH($E197,Establishment!$A$2:$A$1005,0))</f>
        <v xml:space="preserve"> </v>
      </c>
      <c r="G197" t="str">
        <f>INDEX(Establishment!C$2:C$1005,MATCH($E197,Establishment!$A$2:$A$1005,0))</f>
        <v xml:space="preserve"> </v>
      </c>
      <c r="M197">
        <f t="shared" si="16"/>
        <v>0</v>
      </c>
      <c r="N197">
        <f t="shared" si="19"/>
        <v>0</v>
      </c>
      <c r="P197" t="e">
        <f>INDEX(Items!B$2:B$1032,MATCH($O197,Items!$A$2:$A$1032,0))</f>
        <v>#N/A</v>
      </c>
      <c r="Q197" t="e">
        <f>INDEX(Items!C$2:C$1032,MATCH($O197,Items!$A$2:$A$1032,0))</f>
        <v>#N/A</v>
      </c>
      <c r="R197" t="e">
        <f>INDEX(Items!D$2:D$1032,MATCH($O197,Items!$A$2:$A$1032,0))</f>
        <v>#N/A</v>
      </c>
    </row>
    <row r="198" spans="1:18" x14ac:dyDescent="0.25">
      <c r="A198">
        <f t="shared" si="17"/>
        <v>1</v>
      </c>
      <c r="B198" t="str">
        <f t="shared" si="18"/>
        <v/>
      </c>
      <c r="C198">
        <f t="shared" si="15"/>
        <v>1</v>
      </c>
      <c r="D198" s="4"/>
      <c r="E198" t="s">
        <v>18</v>
      </c>
      <c r="F198" t="str">
        <f>INDEX(Establishment!B$2:B$1005,MATCH($E198,Establishment!$A$2:$A$1005,0))</f>
        <v xml:space="preserve"> </v>
      </c>
      <c r="G198" t="str">
        <f>INDEX(Establishment!C$2:C$1005,MATCH($E198,Establishment!$A$2:$A$1005,0))</f>
        <v xml:space="preserve"> </v>
      </c>
      <c r="M198">
        <f t="shared" si="16"/>
        <v>0</v>
      </c>
      <c r="N198">
        <f t="shared" si="19"/>
        <v>0</v>
      </c>
      <c r="P198" t="e">
        <f>INDEX(Items!B$2:B$1032,MATCH($O198,Items!$A$2:$A$1032,0))</f>
        <v>#N/A</v>
      </c>
      <c r="Q198" t="e">
        <f>INDEX(Items!C$2:C$1032,MATCH($O198,Items!$A$2:$A$1032,0))</f>
        <v>#N/A</v>
      </c>
      <c r="R198" t="e">
        <f>INDEX(Items!D$2:D$1032,MATCH($O198,Items!$A$2:$A$1032,0))</f>
        <v>#N/A</v>
      </c>
    </row>
    <row r="199" spans="1:18" x14ac:dyDescent="0.25">
      <c r="A199">
        <f t="shared" si="17"/>
        <v>1</v>
      </c>
      <c r="B199" t="str">
        <f t="shared" si="18"/>
        <v/>
      </c>
      <c r="C199">
        <f t="shared" si="15"/>
        <v>1</v>
      </c>
      <c r="D199" s="4"/>
      <c r="E199" t="s">
        <v>18</v>
      </c>
      <c r="F199" t="str">
        <f>INDEX(Establishment!B$2:B$1005,MATCH($E199,Establishment!$A$2:$A$1005,0))</f>
        <v xml:space="preserve"> </v>
      </c>
      <c r="G199" t="str">
        <f>INDEX(Establishment!C$2:C$1005,MATCH($E199,Establishment!$A$2:$A$1005,0))</f>
        <v xml:space="preserve"> </v>
      </c>
      <c r="M199">
        <f t="shared" si="16"/>
        <v>0</v>
      </c>
      <c r="N199">
        <f t="shared" si="19"/>
        <v>0</v>
      </c>
      <c r="P199" t="e">
        <f>INDEX(Items!B$2:B$1032,MATCH($O199,Items!$A$2:$A$1032,0))</f>
        <v>#N/A</v>
      </c>
      <c r="Q199" t="e">
        <f>INDEX(Items!C$2:C$1032,MATCH($O199,Items!$A$2:$A$1032,0))</f>
        <v>#N/A</v>
      </c>
      <c r="R199" t="e">
        <f>INDEX(Items!D$2:D$1032,MATCH($O199,Items!$A$2:$A$1032,0))</f>
        <v>#N/A</v>
      </c>
    </row>
    <row r="200" spans="1:18" x14ac:dyDescent="0.25">
      <c r="A200">
        <f t="shared" si="17"/>
        <v>1</v>
      </c>
      <c r="B200" t="str">
        <f t="shared" si="18"/>
        <v/>
      </c>
      <c r="C200">
        <f t="shared" si="15"/>
        <v>1</v>
      </c>
      <c r="D200" s="4"/>
      <c r="E200" t="s">
        <v>18</v>
      </c>
      <c r="F200" t="str">
        <f>INDEX(Establishment!B$2:B$1005,MATCH($E200,Establishment!$A$2:$A$1005,0))</f>
        <v xml:space="preserve"> </v>
      </c>
      <c r="G200" t="str">
        <f>INDEX(Establishment!C$2:C$1005,MATCH($E200,Establishment!$A$2:$A$1005,0))</f>
        <v xml:space="preserve"> </v>
      </c>
      <c r="M200">
        <f t="shared" si="16"/>
        <v>0</v>
      </c>
      <c r="N200">
        <f t="shared" si="19"/>
        <v>0</v>
      </c>
      <c r="P200" t="e">
        <f>INDEX(Items!B$2:B$1032,MATCH($O200,Items!$A$2:$A$1032,0))</f>
        <v>#N/A</v>
      </c>
      <c r="Q200" t="e">
        <f>INDEX(Items!C$2:C$1032,MATCH($O200,Items!$A$2:$A$1032,0))</f>
        <v>#N/A</v>
      </c>
      <c r="R200" t="e">
        <f>INDEX(Items!D$2:D$1032,MATCH($O200,Items!$A$2:$A$1032,0))</f>
        <v>#N/A</v>
      </c>
    </row>
    <row r="201" spans="1:18" x14ac:dyDescent="0.25">
      <c r="A201">
        <f t="shared" si="17"/>
        <v>1</v>
      </c>
      <c r="B201" t="str">
        <f t="shared" si="18"/>
        <v/>
      </c>
      <c r="C201">
        <f t="shared" si="15"/>
        <v>1</v>
      </c>
      <c r="D201" s="4"/>
      <c r="E201" t="s">
        <v>18</v>
      </c>
      <c r="F201" t="str">
        <f>INDEX(Establishment!B$2:B$1005,MATCH($E201,Establishment!$A$2:$A$1005,0))</f>
        <v xml:space="preserve"> </v>
      </c>
      <c r="G201" t="str">
        <f>INDEX(Establishment!C$2:C$1005,MATCH($E201,Establishment!$A$2:$A$1005,0))</f>
        <v xml:space="preserve"> </v>
      </c>
      <c r="M201">
        <f t="shared" si="16"/>
        <v>0</v>
      </c>
      <c r="N201">
        <f t="shared" si="19"/>
        <v>0</v>
      </c>
      <c r="P201" t="e">
        <f>INDEX(Items!B$2:B$1032,MATCH($O201,Items!$A$2:$A$1032,0))</f>
        <v>#N/A</v>
      </c>
      <c r="Q201" t="e">
        <f>INDEX(Items!C$2:C$1032,MATCH($O201,Items!$A$2:$A$1032,0))</f>
        <v>#N/A</v>
      </c>
      <c r="R201" t="e">
        <f>INDEX(Items!D$2:D$1032,MATCH($O201,Items!$A$2:$A$1032,0))</f>
        <v>#N/A</v>
      </c>
    </row>
    <row r="202" spans="1:18" x14ac:dyDescent="0.25">
      <c r="A202">
        <f t="shared" si="17"/>
        <v>1</v>
      </c>
      <c r="B202" t="str">
        <f t="shared" si="18"/>
        <v/>
      </c>
      <c r="C202">
        <f t="shared" ref="C202:C265" si="20">IF(OR(B202="",B202&lt;&gt;B201),1,C201+1)</f>
        <v>1</v>
      </c>
      <c r="D202" s="4"/>
      <c r="E202" t="s">
        <v>18</v>
      </c>
      <c r="F202" t="str">
        <f>INDEX(Establishment!B$2:B$1005,MATCH($E202,Establishment!$A$2:$A$1005,0))</f>
        <v xml:space="preserve"> </v>
      </c>
      <c r="G202" t="str">
        <f>INDEX(Establishment!C$2:C$1005,MATCH($E202,Establishment!$A$2:$A$1005,0))</f>
        <v xml:space="preserve"> </v>
      </c>
      <c r="M202">
        <f t="shared" ref="M202:M265" si="21">K202*L202</f>
        <v>0</v>
      </c>
      <c r="N202">
        <f t="shared" si="19"/>
        <v>0</v>
      </c>
      <c r="P202" t="e">
        <f>INDEX(Items!B$2:B$1032,MATCH($O202,Items!$A$2:$A$1032,0))</f>
        <v>#N/A</v>
      </c>
      <c r="Q202" t="e">
        <f>INDEX(Items!C$2:C$1032,MATCH($O202,Items!$A$2:$A$1032,0))</f>
        <v>#N/A</v>
      </c>
      <c r="R202" t="e">
        <f>INDEX(Items!D$2:D$1032,MATCH($O202,Items!$A$2:$A$1032,0))</f>
        <v>#N/A</v>
      </c>
    </row>
    <row r="203" spans="1:18" x14ac:dyDescent="0.25">
      <c r="A203">
        <f t="shared" si="17"/>
        <v>1</v>
      </c>
      <c r="B203" t="str">
        <f t="shared" si="18"/>
        <v/>
      </c>
      <c r="C203">
        <f t="shared" si="20"/>
        <v>1</v>
      </c>
      <c r="D203" s="4"/>
      <c r="E203" t="s">
        <v>18</v>
      </c>
      <c r="F203" t="str">
        <f>INDEX(Establishment!B$2:B$1005,MATCH($E203,Establishment!$A$2:$A$1005,0))</f>
        <v xml:space="preserve"> </v>
      </c>
      <c r="G203" t="str">
        <f>INDEX(Establishment!C$2:C$1005,MATCH($E203,Establishment!$A$2:$A$1005,0))</f>
        <v xml:space="preserve"> </v>
      </c>
      <c r="M203">
        <f t="shared" si="21"/>
        <v>0</v>
      </c>
      <c r="N203">
        <f t="shared" si="19"/>
        <v>0</v>
      </c>
      <c r="P203" t="e">
        <f>INDEX(Items!B$2:B$1032,MATCH($O203,Items!$A$2:$A$1032,0))</f>
        <v>#N/A</v>
      </c>
      <c r="Q203" t="e">
        <f>INDEX(Items!C$2:C$1032,MATCH($O203,Items!$A$2:$A$1032,0))</f>
        <v>#N/A</v>
      </c>
      <c r="R203" t="e">
        <f>INDEX(Items!D$2:D$1032,MATCH($O203,Items!$A$2:$A$1032,0))</f>
        <v>#N/A</v>
      </c>
    </row>
    <row r="204" spans="1:18" x14ac:dyDescent="0.25">
      <c r="A204">
        <f t="shared" si="17"/>
        <v>1</v>
      </c>
      <c r="B204" t="str">
        <f t="shared" si="18"/>
        <v/>
      </c>
      <c r="C204">
        <f t="shared" si="20"/>
        <v>1</v>
      </c>
      <c r="D204" s="4"/>
      <c r="E204" t="s">
        <v>18</v>
      </c>
      <c r="F204" t="str">
        <f>INDEX(Establishment!B$2:B$1005,MATCH($E204,Establishment!$A$2:$A$1005,0))</f>
        <v xml:space="preserve"> </v>
      </c>
      <c r="G204" t="str">
        <f>INDEX(Establishment!C$2:C$1005,MATCH($E204,Establishment!$A$2:$A$1005,0))</f>
        <v xml:space="preserve"> </v>
      </c>
      <c r="M204">
        <f t="shared" si="21"/>
        <v>0</v>
      </c>
      <c r="N204">
        <f t="shared" si="19"/>
        <v>0</v>
      </c>
      <c r="P204" t="e">
        <f>INDEX(Items!B$2:B$1032,MATCH($O204,Items!$A$2:$A$1032,0))</f>
        <v>#N/A</v>
      </c>
      <c r="Q204" t="e">
        <f>INDEX(Items!C$2:C$1032,MATCH($O204,Items!$A$2:$A$1032,0))</f>
        <v>#N/A</v>
      </c>
      <c r="R204" t="e">
        <f>INDEX(Items!D$2:D$1032,MATCH($O204,Items!$A$2:$A$1032,0))</f>
        <v>#N/A</v>
      </c>
    </row>
    <row r="205" spans="1:18" x14ac:dyDescent="0.25">
      <c r="A205">
        <f t="shared" si="17"/>
        <v>1</v>
      </c>
      <c r="B205" t="str">
        <f t="shared" si="18"/>
        <v/>
      </c>
      <c r="C205">
        <f t="shared" si="20"/>
        <v>1</v>
      </c>
      <c r="D205" s="4"/>
      <c r="E205" t="s">
        <v>18</v>
      </c>
      <c r="F205" t="str">
        <f>INDEX(Establishment!B$2:B$1005,MATCH($E205,Establishment!$A$2:$A$1005,0))</f>
        <v xml:space="preserve"> </v>
      </c>
      <c r="G205" t="str">
        <f>INDEX(Establishment!C$2:C$1005,MATCH($E205,Establishment!$A$2:$A$1005,0))</f>
        <v xml:space="preserve"> </v>
      </c>
      <c r="M205">
        <f t="shared" si="21"/>
        <v>0</v>
      </c>
      <c r="N205">
        <f t="shared" si="19"/>
        <v>0</v>
      </c>
      <c r="P205" t="e">
        <f>INDEX(Items!B$2:B$1032,MATCH($O205,Items!$A$2:$A$1032,0))</f>
        <v>#N/A</v>
      </c>
      <c r="Q205" t="e">
        <f>INDEX(Items!C$2:C$1032,MATCH($O205,Items!$A$2:$A$1032,0))</f>
        <v>#N/A</v>
      </c>
      <c r="R205" t="e">
        <f>INDEX(Items!D$2:D$1032,MATCH($O205,Items!$A$2:$A$1032,0))</f>
        <v>#N/A</v>
      </c>
    </row>
    <row r="206" spans="1:18" x14ac:dyDescent="0.25">
      <c r="A206">
        <f t="shared" si="17"/>
        <v>1</v>
      </c>
      <c r="B206" t="str">
        <f t="shared" si="18"/>
        <v/>
      </c>
      <c r="C206">
        <f t="shared" si="20"/>
        <v>1</v>
      </c>
      <c r="D206" s="4"/>
      <c r="E206" t="s">
        <v>18</v>
      </c>
      <c r="F206" t="str">
        <f>INDEX(Establishment!B$2:B$1005,MATCH($E206,Establishment!$A$2:$A$1005,0))</f>
        <v xml:space="preserve"> </v>
      </c>
      <c r="G206" t="str">
        <f>INDEX(Establishment!C$2:C$1005,MATCH($E206,Establishment!$A$2:$A$1005,0))</f>
        <v xml:space="preserve"> </v>
      </c>
      <c r="M206">
        <f t="shared" si="21"/>
        <v>0</v>
      </c>
      <c r="N206">
        <f t="shared" si="19"/>
        <v>0</v>
      </c>
      <c r="P206" t="e">
        <f>INDEX(Items!B$2:B$1032,MATCH($O206,Items!$A$2:$A$1032,0))</f>
        <v>#N/A</v>
      </c>
      <c r="Q206" t="e">
        <f>INDEX(Items!C$2:C$1032,MATCH($O206,Items!$A$2:$A$1032,0))</f>
        <v>#N/A</v>
      </c>
      <c r="R206" t="e">
        <f>INDEX(Items!D$2:D$1032,MATCH($O206,Items!$A$2:$A$1032,0))</f>
        <v>#N/A</v>
      </c>
    </row>
    <row r="207" spans="1:18" x14ac:dyDescent="0.25">
      <c r="A207">
        <f t="shared" si="17"/>
        <v>1</v>
      </c>
      <c r="B207" t="str">
        <f t="shared" si="18"/>
        <v/>
      </c>
      <c r="C207">
        <f t="shared" si="20"/>
        <v>1</v>
      </c>
      <c r="D207" s="4"/>
      <c r="E207" t="s">
        <v>18</v>
      </c>
      <c r="F207" t="str">
        <f>INDEX(Establishment!B$2:B$1005,MATCH($E207,Establishment!$A$2:$A$1005,0))</f>
        <v xml:space="preserve"> </v>
      </c>
      <c r="G207" t="str">
        <f>INDEX(Establishment!C$2:C$1005,MATCH($E207,Establishment!$A$2:$A$1005,0))</f>
        <v xml:space="preserve"> </v>
      </c>
      <c r="M207">
        <f t="shared" si="21"/>
        <v>0</v>
      </c>
      <c r="N207">
        <f t="shared" si="19"/>
        <v>0</v>
      </c>
      <c r="P207" t="e">
        <f>INDEX(Items!B$2:B$1032,MATCH($O207,Items!$A$2:$A$1032,0))</f>
        <v>#N/A</v>
      </c>
      <c r="Q207" t="e">
        <f>INDEX(Items!C$2:C$1032,MATCH($O207,Items!$A$2:$A$1032,0))</f>
        <v>#N/A</v>
      </c>
      <c r="R207" t="e">
        <f>INDEX(Items!D$2:D$1032,MATCH($O207,Items!$A$2:$A$1032,0))</f>
        <v>#N/A</v>
      </c>
    </row>
    <row r="208" spans="1:18" x14ac:dyDescent="0.25">
      <c r="A208">
        <f t="shared" si="17"/>
        <v>1</v>
      </c>
      <c r="B208" t="str">
        <f t="shared" si="18"/>
        <v/>
      </c>
      <c r="C208">
        <f t="shared" si="20"/>
        <v>1</v>
      </c>
      <c r="D208" s="4"/>
      <c r="E208" t="s">
        <v>18</v>
      </c>
      <c r="F208" t="str">
        <f>INDEX(Establishment!B$2:B$1005,MATCH($E208,Establishment!$A$2:$A$1005,0))</f>
        <v xml:space="preserve"> </v>
      </c>
      <c r="G208" t="str">
        <f>INDEX(Establishment!C$2:C$1005,MATCH($E208,Establishment!$A$2:$A$1005,0))</f>
        <v xml:space="preserve"> </v>
      </c>
      <c r="M208">
        <f t="shared" si="21"/>
        <v>0</v>
      </c>
      <c r="N208">
        <f t="shared" si="19"/>
        <v>0</v>
      </c>
      <c r="P208" t="e">
        <f>INDEX(Items!B$2:B$1032,MATCH($O208,Items!$A$2:$A$1032,0))</f>
        <v>#N/A</v>
      </c>
      <c r="Q208" t="e">
        <f>INDEX(Items!C$2:C$1032,MATCH($O208,Items!$A$2:$A$1032,0))</f>
        <v>#N/A</v>
      </c>
      <c r="R208" t="e">
        <f>INDEX(Items!D$2:D$1032,MATCH($O208,Items!$A$2:$A$1032,0))</f>
        <v>#N/A</v>
      </c>
    </row>
    <row r="209" spans="1:18" x14ac:dyDescent="0.25">
      <c r="A209">
        <f t="shared" si="17"/>
        <v>1</v>
      </c>
      <c r="B209" t="str">
        <f t="shared" si="18"/>
        <v/>
      </c>
      <c r="C209">
        <f t="shared" si="20"/>
        <v>1</v>
      </c>
      <c r="D209" s="4"/>
      <c r="E209" t="s">
        <v>18</v>
      </c>
      <c r="F209" t="str">
        <f>INDEX(Establishment!B$2:B$1005,MATCH($E209,Establishment!$A$2:$A$1005,0))</f>
        <v xml:space="preserve"> </v>
      </c>
      <c r="G209" t="str">
        <f>INDEX(Establishment!C$2:C$1005,MATCH($E209,Establishment!$A$2:$A$1005,0))</f>
        <v xml:space="preserve"> </v>
      </c>
      <c r="M209">
        <f t="shared" si="21"/>
        <v>0</v>
      </c>
      <c r="N209">
        <f t="shared" si="19"/>
        <v>0</v>
      </c>
      <c r="P209" t="e">
        <f>INDEX(Items!B$2:B$1032,MATCH($O209,Items!$A$2:$A$1032,0))</f>
        <v>#N/A</v>
      </c>
      <c r="Q209" t="e">
        <f>INDEX(Items!C$2:C$1032,MATCH($O209,Items!$A$2:$A$1032,0))</f>
        <v>#N/A</v>
      </c>
      <c r="R209" t="e">
        <f>INDEX(Items!D$2:D$1032,MATCH($O209,Items!$A$2:$A$1032,0))</f>
        <v>#N/A</v>
      </c>
    </row>
    <row r="210" spans="1:18" x14ac:dyDescent="0.25">
      <c r="A210">
        <f t="shared" si="17"/>
        <v>1</v>
      </c>
      <c r="B210" t="str">
        <f t="shared" si="18"/>
        <v/>
      </c>
      <c r="C210">
        <f t="shared" si="20"/>
        <v>1</v>
      </c>
      <c r="D210" s="4"/>
      <c r="E210" t="s">
        <v>18</v>
      </c>
      <c r="F210" t="str">
        <f>INDEX(Establishment!B$2:B$1005,MATCH($E210,Establishment!$A$2:$A$1005,0))</f>
        <v xml:space="preserve"> </v>
      </c>
      <c r="G210" t="str">
        <f>INDEX(Establishment!C$2:C$1005,MATCH($E210,Establishment!$A$2:$A$1005,0))</f>
        <v xml:space="preserve"> </v>
      </c>
      <c r="M210">
        <f t="shared" si="21"/>
        <v>0</v>
      </c>
      <c r="N210">
        <f t="shared" si="19"/>
        <v>0</v>
      </c>
      <c r="P210" t="e">
        <f>INDEX(Items!B$2:B$1032,MATCH($O210,Items!$A$2:$A$1032,0))</f>
        <v>#N/A</v>
      </c>
      <c r="Q210" t="e">
        <f>INDEX(Items!C$2:C$1032,MATCH($O210,Items!$A$2:$A$1032,0))</f>
        <v>#N/A</v>
      </c>
      <c r="R210" t="e">
        <f>INDEX(Items!D$2:D$1032,MATCH($O210,Items!$A$2:$A$1032,0))</f>
        <v>#N/A</v>
      </c>
    </row>
    <row r="211" spans="1:18" x14ac:dyDescent="0.25">
      <c r="A211">
        <f t="shared" si="17"/>
        <v>1</v>
      </c>
      <c r="B211" t="str">
        <f t="shared" si="18"/>
        <v/>
      </c>
      <c r="C211">
        <f t="shared" si="20"/>
        <v>1</v>
      </c>
      <c r="D211" s="4"/>
      <c r="E211" t="s">
        <v>18</v>
      </c>
      <c r="F211" t="str">
        <f>INDEX(Establishment!B$2:B$1005,MATCH($E211,Establishment!$A$2:$A$1005,0))</f>
        <v xml:space="preserve"> </v>
      </c>
      <c r="G211" t="str">
        <f>INDEX(Establishment!C$2:C$1005,MATCH($E211,Establishment!$A$2:$A$1005,0))</f>
        <v xml:space="preserve"> </v>
      </c>
      <c r="M211">
        <f t="shared" si="21"/>
        <v>0</v>
      </c>
      <c r="N211">
        <f t="shared" si="19"/>
        <v>0</v>
      </c>
      <c r="P211" t="e">
        <f>INDEX(Items!B$2:B$1032,MATCH($O211,Items!$A$2:$A$1032,0))</f>
        <v>#N/A</v>
      </c>
      <c r="Q211" t="e">
        <f>INDEX(Items!C$2:C$1032,MATCH($O211,Items!$A$2:$A$1032,0))</f>
        <v>#N/A</v>
      </c>
      <c r="R211" t="e">
        <f>INDEX(Items!D$2:D$1032,MATCH($O211,Items!$A$2:$A$1032,0))</f>
        <v>#N/A</v>
      </c>
    </row>
    <row r="212" spans="1:18" x14ac:dyDescent="0.25">
      <c r="A212">
        <f t="shared" si="17"/>
        <v>1</v>
      </c>
      <c r="B212" t="str">
        <f t="shared" si="18"/>
        <v/>
      </c>
      <c r="C212">
        <f t="shared" si="20"/>
        <v>1</v>
      </c>
      <c r="D212" s="4"/>
      <c r="E212" t="s">
        <v>18</v>
      </c>
      <c r="F212" t="str">
        <f>INDEX(Establishment!B$2:B$1005,MATCH($E212,Establishment!$A$2:$A$1005,0))</f>
        <v xml:space="preserve"> </v>
      </c>
      <c r="G212" t="str">
        <f>INDEX(Establishment!C$2:C$1005,MATCH($E212,Establishment!$A$2:$A$1005,0))</f>
        <v xml:space="preserve"> </v>
      </c>
      <c r="M212">
        <f t="shared" si="21"/>
        <v>0</v>
      </c>
      <c r="N212">
        <f t="shared" si="19"/>
        <v>0</v>
      </c>
      <c r="P212" t="e">
        <f>INDEX(Items!B$2:B$1032,MATCH($O212,Items!$A$2:$A$1032,0))</f>
        <v>#N/A</v>
      </c>
      <c r="Q212" t="e">
        <f>INDEX(Items!C$2:C$1032,MATCH($O212,Items!$A$2:$A$1032,0))</f>
        <v>#N/A</v>
      </c>
      <c r="R212" t="e">
        <f>INDEX(Items!D$2:D$1032,MATCH($O212,Items!$A$2:$A$1032,0))</f>
        <v>#N/A</v>
      </c>
    </row>
    <row r="213" spans="1:18" x14ac:dyDescent="0.25">
      <c r="A213">
        <f t="shared" si="17"/>
        <v>1</v>
      </c>
      <c r="B213" t="str">
        <f t="shared" si="18"/>
        <v/>
      </c>
      <c r="C213">
        <f t="shared" si="20"/>
        <v>1</v>
      </c>
      <c r="D213" s="4"/>
      <c r="E213" t="s">
        <v>18</v>
      </c>
      <c r="F213" t="str">
        <f>INDEX(Establishment!B$2:B$1005,MATCH($E213,Establishment!$A$2:$A$1005,0))</f>
        <v xml:space="preserve"> </v>
      </c>
      <c r="G213" t="str">
        <f>INDEX(Establishment!C$2:C$1005,MATCH($E213,Establishment!$A$2:$A$1005,0))</f>
        <v xml:space="preserve"> </v>
      </c>
      <c r="M213">
        <f t="shared" si="21"/>
        <v>0</v>
      </c>
      <c r="N213">
        <f t="shared" si="19"/>
        <v>0</v>
      </c>
      <c r="P213" t="e">
        <f>INDEX(Items!B$2:B$1032,MATCH($O213,Items!$A$2:$A$1032,0))</f>
        <v>#N/A</v>
      </c>
      <c r="Q213" t="e">
        <f>INDEX(Items!C$2:C$1032,MATCH($O213,Items!$A$2:$A$1032,0))</f>
        <v>#N/A</v>
      </c>
      <c r="R213" t="e">
        <f>INDEX(Items!D$2:D$1032,MATCH($O213,Items!$A$2:$A$1032,0))</f>
        <v>#N/A</v>
      </c>
    </row>
    <row r="214" spans="1:18" x14ac:dyDescent="0.25">
      <c r="A214">
        <f t="shared" si="17"/>
        <v>1</v>
      </c>
      <c r="B214" t="str">
        <f t="shared" si="18"/>
        <v/>
      </c>
      <c r="C214">
        <f t="shared" si="20"/>
        <v>1</v>
      </c>
      <c r="D214" s="4"/>
      <c r="E214" t="s">
        <v>18</v>
      </c>
      <c r="F214" t="str">
        <f>INDEX(Establishment!B$2:B$1005,MATCH($E214,Establishment!$A$2:$A$1005,0))</f>
        <v xml:space="preserve"> </v>
      </c>
      <c r="G214" t="str">
        <f>INDEX(Establishment!C$2:C$1005,MATCH($E214,Establishment!$A$2:$A$1005,0))</f>
        <v xml:space="preserve"> </v>
      </c>
      <c r="M214">
        <f t="shared" si="21"/>
        <v>0</v>
      </c>
      <c r="N214">
        <f t="shared" si="19"/>
        <v>0</v>
      </c>
      <c r="P214" t="e">
        <f>INDEX(Items!B$2:B$1032,MATCH($O214,Items!$A$2:$A$1032,0))</f>
        <v>#N/A</v>
      </c>
      <c r="Q214" t="e">
        <f>INDEX(Items!C$2:C$1032,MATCH($O214,Items!$A$2:$A$1032,0))</f>
        <v>#N/A</v>
      </c>
      <c r="R214" t="e">
        <f>INDEX(Items!D$2:D$1032,MATCH($O214,Items!$A$2:$A$1032,0))</f>
        <v>#N/A</v>
      </c>
    </row>
    <row r="215" spans="1:18" x14ac:dyDescent="0.25">
      <c r="A215">
        <f t="shared" si="17"/>
        <v>1</v>
      </c>
      <c r="B215" t="str">
        <f t="shared" si="18"/>
        <v/>
      </c>
      <c r="C215">
        <f t="shared" si="20"/>
        <v>1</v>
      </c>
      <c r="D215" s="4"/>
      <c r="E215" t="s">
        <v>18</v>
      </c>
      <c r="F215" t="str">
        <f>INDEX(Establishment!B$2:B$1005,MATCH($E215,Establishment!$A$2:$A$1005,0))</f>
        <v xml:space="preserve"> </v>
      </c>
      <c r="G215" t="str">
        <f>INDEX(Establishment!C$2:C$1005,MATCH($E215,Establishment!$A$2:$A$1005,0))</f>
        <v xml:space="preserve"> </v>
      </c>
      <c r="M215">
        <f t="shared" si="21"/>
        <v>0</v>
      </c>
      <c r="N215">
        <f t="shared" si="19"/>
        <v>0</v>
      </c>
      <c r="P215" t="e">
        <f>INDEX(Items!B$2:B$1032,MATCH($O215,Items!$A$2:$A$1032,0))</f>
        <v>#N/A</v>
      </c>
      <c r="Q215" t="e">
        <f>INDEX(Items!C$2:C$1032,MATCH($O215,Items!$A$2:$A$1032,0))</f>
        <v>#N/A</v>
      </c>
      <c r="R215" t="e">
        <f>INDEX(Items!D$2:D$1032,MATCH($O215,Items!$A$2:$A$1032,0))</f>
        <v>#N/A</v>
      </c>
    </row>
    <row r="216" spans="1:18" x14ac:dyDescent="0.25">
      <c r="A216">
        <f t="shared" si="17"/>
        <v>1</v>
      </c>
      <c r="B216" t="str">
        <f t="shared" si="18"/>
        <v/>
      </c>
      <c r="C216">
        <f t="shared" si="20"/>
        <v>1</v>
      </c>
      <c r="D216" s="4"/>
      <c r="E216" t="s">
        <v>18</v>
      </c>
      <c r="F216" t="str">
        <f>INDEX(Establishment!B$2:B$1005,MATCH($E216,Establishment!$A$2:$A$1005,0))</f>
        <v xml:space="preserve"> </v>
      </c>
      <c r="G216" t="str">
        <f>INDEX(Establishment!C$2:C$1005,MATCH($E216,Establishment!$A$2:$A$1005,0))</f>
        <v xml:space="preserve"> </v>
      </c>
      <c r="M216">
        <f t="shared" si="21"/>
        <v>0</v>
      </c>
      <c r="N216">
        <f t="shared" si="19"/>
        <v>0</v>
      </c>
      <c r="P216" t="e">
        <f>INDEX(Items!B$2:B$1032,MATCH($O216,Items!$A$2:$A$1032,0))</f>
        <v>#N/A</v>
      </c>
      <c r="Q216" t="e">
        <f>INDEX(Items!C$2:C$1032,MATCH($O216,Items!$A$2:$A$1032,0))</f>
        <v>#N/A</v>
      </c>
      <c r="R216" t="e">
        <f>INDEX(Items!D$2:D$1032,MATCH($O216,Items!$A$2:$A$1032,0))</f>
        <v>#N/A</v>
      </c>
    </row>
    <row r="217" spans="1:18" x14ac:dyDescent="0.25">
      <c r="A217">
        <f t="shared" si="17"/>
        <v>1</v>
      </c>
      <c r="B217" t="str">
        <f t="shared" si="18"/>
        <v/>
      </c>
      <c r="C217">
        <f t="shared" si="20"/>
        <v>1</v>
      </c>
      <c r="D217" s="4"/>
      <c r="E217" t="s">
        <v>18</v>
      </c>
      <c r="F217" t="str">
        <f>INDEX(Establishment!B$2:B$1005,MATCH($E217,Establishment!$A$2:$A$1005,0))</f>
        <v xml:space="preserve"> </v>
      </c>
      <c r="G217" t="str">
        <f>INDEX(Establishment!C$2:C$1005,MATCH($E217,Establishment!$A$2:$A$1005,0))</f>
        <v xml:space="preserve"> </v>
      </c>
      <c r="M217">
        <f t="shared" si="21"/>
        <v>0</v>
      </c>
      <c r="N217">
        <f t="shared" si="19"/>
        <v>0</v>
      </c>
      <c r="P217" t="e">
        <f>INDEX(Items!B$2:B$1032,MATCH($O217,Items!$A$2:$A$1032,0))</f>
        <v>#N/A</v>
      </c>
      <c r="Q217" t="e">
        <f>INDEX(Items!C$2:C$1032,MATCH($O217,Items!$A$2:$A$1032,0))</f>
        <v>#N/A</v>
      </c>
      <c r="R217" t="e">
        <f>INDEX(Items!D$2:D$1032,MATCH($O217,Items!$A$2:$A$1032,0))</f>
        <v>#N/A</v>
      </c>
    </row>
    <row r="218" spans="1:18" x14ac:dyDescent="0.25">
      <c r="A218">
        <f t="shared" si="17"/>
        <v>1</v>
      </c>
      <c r="B218" t="str">
        <f t="shared" si="18"/>
        <v/>
      </c>
      <c r="C218">
        <f t="shared" si="20"/>
        <v>1</v>
      </c>
      <c r="D218" s="4"/>
      <c r="E218" t="s">
        <v>18</v>
      </c>
      <c r="F218" t="str">
        <f>INDEX(Establishment!B$2:B$1005,MATCH($E218,Establishment!$A$2:$A$1005,0))</f>
        <v xml:space="preserve"> </v>
      </c>
      <c r="G218" t="str">
        <f>INDEX(Establishment!C$2:C$1005,MATCH($E218,Establishment!$A$2:$A$1005,0))</f>
        <v xml:space="preserve"> </v>
      </c>
      <c r="M218">
        <f t="shared" si="21"/>
        <v>0</v>
      </c>
      <c r="N218">
        <f t="shared" si="19"/>
        <v>0</v>
      </c>
      <c r="P218" t="e">
        <f>INDEX(Items!B$2:B$1032,MATCH($O218,Items!$A$2:$A$1032,0))</f>
        <v>#N/A</v>
      </c>
      <c r="Q218" t="e">
        <f>INDEX(Items!C$2:C$1032,MATCH($O218,Items!$A$2:$A$1032,0))</f>
        <v>#N/A</v>
      </c>
      <c r="R218" t="e">
        <f>INDEX(Items!D$2:D$1032,MATCH($O218,Items!$A$2:$A$1032,0))</f>
        <v>#N/A</v>
      </c>
    </row>
    <row r="219" spans="1:18" x14ac:dyDescent="0.25">
      <c r="A219">
        <f t="shared" si="17"/>
        <v>1</v>
      </c>
      <c r="B219" t="str">
        <f t="shared" si="18"/>
        <v/>
      </c>
      <c r="C219">
        <f t="shared" si="20"/>
        <v>1</v>
      </c>
      <c r="D219" s="4"/>
      <c r="E219" t="s">
        <v>18</v>
      </c>
      <c r="F219" t="str">
        <f>INDEX(Establishment!B$2:B$1005,MATCH($E219,Establishment!$A$2:$A$1005,0))</f>
        <v xml:space="preserve"> </v>
      </c>
      <c r="G219" t="str">
        <f>INDEX(Establishment!C$2:C$1005,MATCH($E219,Establishment!$A$2:$A$1005,0))</f>
        <v xml:space="preserve"> </v>
      </c>
      <c r="M219">
        <f t="shared" si="21"/>
        <v>0</v>
      </c>
      <c r="N219">
        <f t="shared" si="19"/>
        <v>0</v>
      </c>
      <c r="P219" t="e">
        <f>INDEX(Items!B$2:B$1032,MATCH($O219,Items!$A$2:$A$1032,0))</f>
        <v>#N/A</v>
      </c>
      <c r="Q219" t="e">
        <f>INDEX(Items!C$2:C$1032,MATCH($O219,Items!$A$2:$A$1032,0))</f>
        <v>#N/A</v>
      </c>
      <c r="R219" t="e">
        <f>INDEX(Items!D$2:D$1032,MATCH($O219,Items!$A$2:$A$1032,0))</f>
        <v>#N/A</v>
      </c>
    </row>
    <row r="220" spans="1:18" x14ac:dyDescent="0.25">
      <c r="A220">
        <f t="shared" si="17"/>
        <v>1</v>
      </c>
      <c r="B220" t="str">
        <f t="shared" si="18"/>
        <v/>
      </c>
      <c r="C220">
        <f t="shared" si="20"/>
        <v>1</v>
      </c>
      <c r="D220" s="4"/>
      <c r="E220" t="s">
        <v>18</v>
      </c>
      <c r="F220" t="str">
        <f>INDEX(Establishment!B$2:B$1005,MATCH($E220,Establishment!$A$2:$A$1005,0))</f>
        <v xml:space="preserve"> </v>
      </c>
      <c r="G220" t="str">
        <f>INDEX(Establishment!C$2:C$1005,MATCH($E220,Establishment!$A$2:$A$1005,0))</f>
        <v xml:space="preserve"> </v>
      </c>
      <c r="M220">
        <f t="shared" si="21"/>
        <v>0</v>
      </c>
      <c r="N220">
        <f t="shared" si="19"/>
        <v>0</v>
      </c>
      <c r="P220" t="e">
        <f>INDEX(Items!B$2:B$1032,MATCH($O220,Items!$A$2:$A$1032,0))</f>
        <v>#N/A</v>
      </c>
      <c r="Q220" t="e">
        <f>INDEX(Items!C$2:C$1032,MATCH($O220,Items!$A$2:$A$1032,0))</f>
        <v>#N/A</v>
      </c>
      <c r="R220" t="e">
        <f>INDEX(Items!D$2:D$1032,MATCH($O220,Items!$A$2:$A$1032,0))</f>
        <v>#N/A</v>
      </c>
    </row>
    <row r="221" spans="1:18" x14ac:dyDescent="0.25">
      <c r="A221">
        <f t="shared" si="17"/>
        <v>1</v>
      </c>
      <c r="B221" t="str">
        <f t="shared" si="18"/>
        <v/>
      </c>
      <c r="C221">
        <f t="shared" si="20"/>
        <v>1</v>
      </c>
      <c r="D221" s="4"/>
      <c r="E221" t="s">
        <v>18</v>
      </c>
      <c r="F221" t="str">
        <f>INDEX(Establishment!B$2:B$1005,MATCH($E221,Establishment!$A$2:$A$1005,0))</f>
        <v xml:space="preserve"> </v>
      </c>
      <c r="G221" t="str">
        <f>INDEX(Establishment!C$2:C$1005,MATCH($E221,Establishment!$A$2:$A$1005,0))</f>
        <v xml:space="preserve"> </v>
      </c>
      <c r="M221">
        <f t="shared" si="21"/>
        <v>0</v>
      </c>
      <c r="N221">
        <f t="shared" si="19"/>
        <v>0</v>
      </c>
      <c r="P221" t="e">
        <f>INDEX(Items!B$2:B$1032,MATCH($O221,Items!$A$2:$A$1032,0))</f>
        <v>#N/A</v>
      </c>
      <c r="Q221" t="e">
        <f>INDEX(Items!C$2:C$1032,MATCH($O221,Items!$A$2:$A$1032,0))</f>
        <v>#N/A</v>
      </c>
      <c r="R221" t="e">
        <f>INDEX(Items!D$2:D$1032,MATCH($O221,Items!$A$2:$A$1032,0))</f>
        <v>#N/A</v>
      </c>
    </row>
    <row r="222" spans="1:18" x14ac:dyDescent="0.25">
      <c r="A222">
        <f t="shared" si="17"/>
        <v>1</v>
      </c>
      <c r="B222" t="str">
        <f t="shared" si="18"/>
        <v/>
      </c>
      <c r="C222">
        <f t="shared" si="20"/>
        <v>1</v>
      </c>
      <c r="D222" s="4"/>
      <c r="E222" t="s">
        <v>18</v>
      </c>
      <c r="F222" t="str">
        <f>INDEX(Establishment!B$2:B$1005,MATCH($E222,Establishment!$A$2:$A$1005,0))</f>
        <v xml:space="preserve"> </v>
      </c>
      <c r="G222" t="str">
        <f>INDEX(Establishment!C$2:C$1005,MATCH($E222,Establishment!$A$2:$A$1005,0))</f>
        <v xml:space="preserve"> </v>
      </c>
      <c r="M222">
        <f t="shared" si="21"/>
        <v>0</v>
      </c>
      <c r="N222">
        <f t="shared" si="19"/>
        <v>0</v>
      </c>
      <c r="P222" t="e">
        <f>INDEX(Items!B$2:B$1032,MATCH($O222,Items!$A$2:$A$1032,0))</f>
        <v>#N/A</v>
      </c>
      <c r="Q222" t="e">
        <f>INDEX(Items!C$2:C$1032,MATCH($O222,Items!$A$2:$A$1032,0))</f>
        <v>#N/A</v>
      </c>
      <c r="R222" t="e">
        <f>INDEX(Items!D$2:D$1032,MATCH($O222,Items!$A$2:$A$1032,0))</f>
        <v>#N/A</v>
      </c>
    </row>
    <row r="223" spans="1:18" x14ac:dyDescent="0.25">
      <c r="A223">
        <f t="shared" si="17"/>
        <v>1</v>
      </c>
      <c r="B223" t="str">
        <f t="shared" si="18"/>
        <v/>
      </c>
      <c r="C223">
        <f t="shared" si="20"/>
        <v>1</v>
      </c>
      <c r="D223" s="4"/>
      <c r="E223" t="s">
        <v>18</v>
      </c>
      <c r="F223" t="str">
        <f>INDEX(Establishment!B$2:B$1005,MATCH($E223,Establishment!$A$2:$A$1005,0))</f>
        <v xml:space="preserve"> </v>
      </c>
      <c r="G223" t="str">
        <f>INDEX(Establishment!C$2:C$1005,MATCH($E223,Establishment!$A$2:$A$1005,0))</f>
        <v xml:space="preserve"> </v>
      </c>
      <c r="M223">
        <f t="shared" si="21"/>
        <v>0</v>
      </c>
      <c r="N223">
        <f t="shared" si="19"/>
        <v>0</v>
      </c>
      <c r="P223" t="e">
        <f>INDEX(Items!B$2:B$1032,MATCH($O223,Items!$A$2:$A$1032,0))</f>
        <v>#N/A</v>
      </c>
      <c r="Q223" t="e">
        <f>INDEX(Items!C$2:C$1032,MATCH($O223,Items!$A$2:$A$1032,0))</f>
        <v>#N/A</v>
      </c>
      <c r="R223" t="e">
        <f>INDEX(Items!D$2:D$1032,MATCH($O223,Items!$A$2:$A$1032,0))</f>
        <v>#N/A</v>
      </c>
    </row>
    <row r="224" spans="1:18" x14ac:dyDescent="0.25">
      <c r="A224">
        <f t="shared" si="17"/>
        <v>1</v>
      </c>
      <c r="B224" t="str">
        <f t="shared" si="18"/>
        <v/>
      </c>
      <c r="C224">
        <f t="shared" si="20"/>
        <v>1</v>
      </c>
      <c r="D224" s="4"/>
      <c r="E224" t="s">
        <v>18</v>
      </c>
      <c r="F224" t="str">
        <f>INDEX(Establishment!B$2:B$1005,MATCH($E224,Establishment!$A$2:$A$1005,0))</f>
        <v xml:space="preserve"> </v>
      </c>
      <c r="G224" t="str">
        <f>INDEX(Establishment!C$2:C$1005,MATCH($E224,Establishment!$A$2:$A$1005,0))</f>
        <v xml:space="preserve"> </v>
      </c>
      <c r="M224">
        <f t="shared" si="21"/>
        <v>0</v>
      </c>
      <c r="N224">
        <f t="shared" si="19"/>
        <v>0</v>
      </c>
      <c r="P224" t="e">
        <f>INDEX(Items!B$2:B$1032,MATCH($O224,Items!$A$2:$A$1032,0))</f>
        <v>#N/A</v>
      </c>
      <c r="Q224" t="e">
        <f>INDEX(Items!C$2:C$1032,MATCH($O224,Items!$A$2:$A$1032,0))</f>
        <v>#N/A</v>
      </c>
      <c r="R224" t="e">
        <f>INDEX(Items!D$2:D$1032,MATCH($O224,Items!$A$2:$A$1032,0))</f>
        <v>#N/A</v>
      </c>
    </row>
    <row r="225" spans="1:18" x14ac:dyDescent="0.25">
      <c r="A225">
        <f t="shared" si="17"/>
        <v>1</v>
      </c>
      <c r="B225" t="str">
        <f t="shared" si="18"/>
        <v/>
      </c>
      <c r="C225">
        <f t="shared" si="20"/>
        <v>1</v>
      </c>
      <c r="D225" s="4"/>
      <c r="E225" t="s">
        <v>18</v>
      </c>
      <c r="F225" t="str">
        <f>INDEX(Establishment!B$2:B$1005,MATCH($E225,Establishment!$A$2:$A$1005,0))</f>
        <v xml:space="preserve"> </v>
      </c>
      <c r="G225" t="str">
        <f>INDEX(Establishment!C$2:C$1005,MATCH($E225,Establishment!$A$2:$A$1005,0))</f>
        <v xml:space="preserve"> </v>
      </c>
      <c r="M225">
        <f t="shared" si="21"/>
        <v>0</v>
      </c>
      <c r="N225">
        <f t="shared" si="19"/>
        <v>0</v>
      </c>
      <c r="P225" t="e">
        <f>INDEX(Items!B$2:B$1032,MATCH($O225,Items!$A$2:$A$1032,0))</f>
        <v>#N/A</v>
      </c>
      <c r="Q225" t="e">
        <f>INDEX(Items!C$2:C$1032,MATCH($O225,Items!$A$2:$A$1032,0))</f>
        <v>#N/A</v>
      </c>
      <c r="R225" t="e">
        <f>INDEX(Items!D$2:D$1032,MATCH($O225,Items!$A$2:$A$1032,0))</f>
        <v>#N/A</v>
      </c>
    </row>
    <row r="226" spans="1:18" x14ac:dyDescent="0.25">
      <c r="A226">
        <f t="shared" si="17"/>
        <v>1</v>
      </c>
      <c r="B226" t="str">
        <f t="shared" si="18"/>
        <v/>
      </c>
      <c r="C226">
        <f t="shared" si="20"/>
        <v>1</v>
      </c>
      <c r="D226" s="4"/>
      <c r="E226" t="s">
        <v>18</v>
      </c>
      <c r="F226" t="str">
        <f>INDEX(Establishment!B$2:B$1005,MATCH($E226,Establishment!$A$2:$A$1005,0))</f>
        <v xml:space="preserve"> </v>
      </c>
      <c r="G226" t="str">
        <f>INDEX(Establishment!C$2:C$1005,MATCH($E226,Establishment!$A$2:$A$1005,0))</f>
        <v xml:space="preserve"> </v>
      </c>
      <c r="M226">
        <f t="shared" si="21"/>
        <v>0</v>
      </c>
      <c r="N226">
        <f t="shared" si="19"/>
        <v>0</v>
      </c>
      <c r="P226" t="e">
        <f>INDEX(Items!B$2:B$1032,MATCH($O226,Items!$A$2:$A$1032,0))</f>
        <v>#N/A</v>
      </c>
      <c r="Q226" t="e">
        <f>INDEX(Items!C$2:C$1032,MATCH($O226,Items!$A$2:$A$1032,0))</f>
        <v>#N/A</v>
      </c>
      <c r="R226" t="e">
        <f>INDEX(Items!D$2:D$1032,MATCH($O226,Items!$A$2:$A$1032,0))</f>
        <v>#N/A</v>
      </c>
    </row>
    <row r="227" spans="1:18" x14ac:dyDescent="0.25">
      <c r="A227">
        <f t="shared" si="17"/>
        <v>1</v>
      </c>
      <c r="B227" t="str">
        <f t="shared" si="18"/>
        <v/>
      </c>
      <c r="C227">
        <f t="shared" si="20"/>
        <v>1</v>
      </c>
      <c r="D227" s="4"/>
      <c r="E227" t="s">
        <v>18</v>
      </c>
      <c r="F227" t="str">
        <f>INDEX(Establishment!B$2:B$1005,MATCH($E227,Establishment!$A$2:$A$1005,0))</f>
        <v xml:space="preserve"> </v>
      </c>
      <c r="G227" t="str">
        <f>INDEX(Establishment!C$2:C$1005,MATCH($E227,Establishment!$A$2:$A$1005,0))</f>
        <v xml:space="preserve"> </v>
      </c>
      <c r="M227">
        <f t="shared" si="21"/>
        <v>0</v>
      </c>
      <c r="N227">
        <f t="shared" si="19"/>
        <v>0</v>
      </c>
      <c r="P227" t="e">
        <f>INDEX(Items!B$2:B$1032,MATCH($O227,Items!$A$2:$A$1032,0))</f>
        <v>#N/A</v>
      </c>
      <c r="Q227" t="e">
        <f>INDEX(Items!C$2:C$1032,MATCH($O227,Items!$A$2:$A$1032,0))</f>
        <v>#N/A</v>
      </c>
      <c r="R227" t="e">
        <f>INDEX(Items!D$2:D$1032,MATCH($O227,Items!$A$2:$A$1032,0))</f>
        <v>#N/A</v>
      </c>
    </row>
    <row r="228" spans="1:18" x14ac:dyDescent="0.25">
      <c r="A228">
        <f t="shared" si="17"/>
        <v>1</v>
      </c>
      <c r="B228" t="str">
        <f t="shared" si="18"/>
        <v/>
      </c>
      <c r="C228">
        <f t="shared" si="20"/>
        <v>1</v>
      </c>
      <c r="D228" s="4"/>
      <c r="E228" t="s">
        <v>18</v>
      </c>
      <c r="F228" t="str">
        <f>INDEX(Establishment!B$2:B$1005,MATCH($E228,Establishment!$A$2:$A$1005,0))</f>
        <v xml:space="preserve"> </v>
      </c>
      <c r="G228" t="str">
        <f>INDEX(Establishment!C$2:C$1005,MATCH($E228,Establishment!$A$2:$A$1005,0))</f>
        <v xml:space="preserve"> </v>
      </c>
      <c r="M228">
        <f t="shared" si="21"/>
        <v>0</v>
      </c>
      <c r="N228">
        <f t="shared" si="19"/>
        <v>0</v>
      </c>
      <c r="P228" t="e">
        <f>INDEX(Items!B$2:B$1032,MATCH($O228,Items!$A$2:$A$1032,0))</f>
        <v>#N/A</v>
      </c>
      <c r="Q228" t="e">
        <f>INDEX(Items!C$2:C$1032,MATCH($O228,Items!$A$2:$A$1032,0))</f>
        <v>#N/A</v>
      </c>
      <c r="R228" t="e">
        <f>INDEX(Items!D$2:D$1032,MATCH($O228,Items!$A$2:$A$1032,0))</f>
        <v>#N/A</v>
      </c>
    </row>
    <row r="229" spans="1:18" x14ac:dyDescent="0.25">
      <c r="A229">
        <f t="shared" si="17"/>
        <v>1</v>
      </c>
      <c r="B229" t="str">
        <f t="shared" si="18"/>
        <v/>
      </c>
      <c r="C229">
        <f t="shared" si="20"/>
        <v>1</v>
      </c>
      <c r="D229" s="4"/>
      <c r="E229" t="s">
        <v>18</v>
      </c>
      <c r="F229" t="str">
        <f>INDEX(Establishment!B$2:B$1005,MATCH($E229,Establishment!$A$2:$A$1005,0))</f>
        <v xml:space="preserve"> </v>
      </c>
      <c r="G229" t="str">
        <f>INDEX(Establishment!C$2:C$1005,MATCH($E229,Establishment!$A$2:$A$1005,0))</f>
        <v xml:space="preserve"> </v>
      </c>
      <c r="M229">
        <f t="shared" si="21"/>
        <v>0</v>
      </c>
      <c r="N229">
        <f t="shared" si="19"/>
        <v>0</v>
      </c>
      <c r="P229" t="e">
        <f>INDEX(Items!B$2:B$1032,MATCH($O229,Items!$A$2:$A$1032,0))</f>
        <v>#N/A</v>
      </c>
      <c r="Q229" t="e">
        <f>INDEX(Items!C$2:C$1032,MATCH($O229,Items!$A$2:$A$1032,0))</f>
        <v>#N/A</v>
      </c>
      <c r="R229" t="e">
        <f>INDEX(Items!D$2:D$1032,MATCH($O229,Items!$A$2:$A$1032,0))</f>
        <v>#N/A</v>
      </c>
    </row>
    <row r="230" spans="1:18" x14ac:dyDescent="0.25">
      <c r="A230">
        <f t="shared" si="17"/>
        <v>1</v>
      </c>
      <c r="B230" t="str">
        <f t="shared" si="18"/>
        <v/>
      </c>
      <c r="C230">
        <f t="shared" si="20"/>
        <v>1</v>
      </c>
      <c r="D230" s="4"/>
      <c r="E230" t="s">
        <v>18</v>
      </c>
      <c r="F230" t="str">
        <f>INDEX(Establishment!B$2:B$1005,MATCH($E230,Establishment!$A$2:$A$1005,0))</f>
        <v xml:space="preserve"> </v>
      </c>
      <c r="G230" t="str">
        <f>INDEX(Establishment!C$2:C$1005,MATCH($E230,Establishment!$A$2:$A$1005,0))</f>
        <v xml:space="preserve"> </v>
      </c>
      <c r="M230">
        <f t="shared" si="21"/>
        <v>0</v>
      </c>
      <c r="N230">
        <f t="shared" si="19"/>
        <v>0</v>
      </c>
      <c r="P230" t="e">
        <f>INDEX(Items!B$2:B$1032,MATCH($O230,Items!$A$2:$A$1032,0))</f>
        <v>#N/A</v>
      </c>
      <c r="Q230" t="e">
        <f>INDEX(Items!C$2:C$1032,MATCH($O230,Items!$A$2:$A$1032,0))</f>
        <v>#N/A</v>
      </c>
      <c r="R230" t="e">
        <f>INDEX(Items!D$2:D$1032,MATCH($O230,Items!$A$2:$A$1032,0))</f>
        <v>#N/A</v>
      </c>
    </row>
    <row r="231" spans="1:18" x14ac:dyDescent="0.25">
      <c r="A231">
        <f t="shared" si="17"/>
        <v>1</v>
      </c>
      <c r="B231" t="str">
        <f t="shared" si="18"/>
        <v/>
      </c>
      <c r="C231">
        <f t="shared" si="20"/>
        <v>1</v>
      </c>
      <c r="D231" s="4"/>
      <c r="E231" t="s">
        <v>18</v>
      </c>
      <c r="F231" t="str">
        <f>INDEX(Establishment!B$2:B$1005,MATCH($E231,Establishment!$A$2:$A$1005,0))</f>
        <v xml:space="preserve"> </v>
      </c>
      <c r="G231" t="str">
        <f>INDEX(Establishment!C$2:C$1005,MATCH($E231,Establishment!$A$2:$A$1005,0))</f>
        <v xml:space="preserve"> </v>
      </c>
      <c r="M231">
        <f t="shared" si="21"/>
        <v>0</v>
      </c>
      <c r="N231">
        <f t="shared" si="19"/>
        <v>0</v>
      </c>
      <c r="P231" t="e">
        <f>INDEX(Items!B$2:B$1032,MATCH($O231,Items!$A$2:$A$1032,0))</f>
        <v>#N/A</v>
      </c>
      <c r="Q231" t="e">
        <f>INDEX(Items!C$2:C$1032,MATCH($O231,Items!$A$2:$A$1032,0))</f>
        <v>#N/A</v>
      </c>
      <c r="R231" t="e">
        <f>INDEX(Items!D$2:D$1032,MATCH($O231,Items!$A$2:$A$1032,0))</f>
        <v>#N/A</v>
      </c>
    </row>
    <row r="232" spans="1:18" x14ac:dyDescent="0.25">
      <c r="A232">
        <f t="shared" si="17"/>
        <v>1</v>
      </c>
      <c r="B232" t="str">
        <f t="shared" si="18"/>
        <v/>
      </c>
      <c r="C232">
        <f t="shared" si="20"/>
        <v>1</v>
      </c>
      <c r="D232" s="4"/>
      <c r="E232" t="s">
        <v>18</v>
      </c>
      <c r="F232" t="str">
        <f>INDEX(Establishment!B$2:B$1005,MATCH($E232,Establishment!$A$2:$A$1005,0))</f>
        <v xml:space="preserve"> </v>
      </c>
      <c r="G232" t="str">
        <f>INDEX(Establishment!C$2:C$1005,MATCH($E232,Establishment!$A$2:$A$1005,0))</f>
        <v xml:space="preserve"> </v>
      </c>
      <c r="M232">
        <f t="shared" si="21"/>
        <v>0</v>
      </c>
      <c r="N232">
        <f t="shared" si="19"/>
        <v>0</v>
      </c>
      <c r="P232" t="e">
        <f>INDEX(Items!B$2:B$1032,MATCH($O232,Items!$A$2:$A$1032,0))</f>
        <v>#N/A</v>
      </c>
      <c r="Q232" t="e">
        <f>INDEX(Items!C$2:C$1032,MATCH($O232,Items!$A$2:$A$1032,0))</f>
        <v>#N/A</v>
      </c>
      <c r="R232" t="e">
        <f>INDEX(Items!D$2:D$1032,MATCH($O232,Items!$A$2:$A$1032,0))</f>
        <v>#N/A</v>
      </c>
    </row>
    <row r="233" spans="1:18" x14ac:dyDescent="0.25">
      <c r="A233">
        <f t="shared" si="17"/>
        <v>1</v>
      </c>
      <c r="B233" t="str">
        <f t="shared" si="18"/>
        <v/>
      </c>
      <c r="C233">
        <f t="shared" si="20"/>
        <v>1</v>
      </c>
      <c r="D233" s="4"/>
      <c r="E233" t="s">
        <v>18</v>
      </c>
      <c r="F233" t="str">
        <f>INDEX(Establishment!B$2:B$1005,MATCH($E233,Establishment!$A$2:$A$1005,0))</f>
        <v xml:space="preserve"> </v>
      </c>
      <c r="G233" t="str">
        <f>INDEX(Establishment!C$2:C$1005,MATCH($E233,Establishment!$A$2:$A$1005,0))</f>
        <v xml:space="preserve"> </v>
      </c>
      <c r="M233">
        <f t="shared" si="21"/>
        <v>0</v>
      </c>
      <c r="N233">
        <f t="shared" si="19"/>
        <v>0</v>
      </c>
      <c r="P233" t="e">
        <f>INDEX(Items!B$2:B$1032,MATCH($O233,Items!$A$2:$A$1032,0))</f>
        <v>#N/A</v>
      </c>
      <c r="Q233" t="e">
        <f>INDEX(Items!C$2:C$1032,MATCH($O233,Items!$A$2:$A$1032,0))</f>
        <v>#N/A</v>
      </c>
      <c r="R233" t="e">
        <f>INDEX(Items!D$2:D$1032,MATCH($O233,Items!$A$2:$A$1032,0))</f>
        <v>#N/A</v>
      </c>
    </row>
    <row r="234" spans="1:18" x14ac:dyDescent="0.25">
      <c r="A234">
        <f t="shared" si="17"/>
        <v>1</v>
      </c>
      <c r="B234" t="str">
        <f t="shared" si="18"/>
        <v/>
      </c>
      <c r="C234">
        <f t="shared" si="20"/>
        <v>1</v>
      </c>
      <c r="D234" s="4"/>
      <c r="E234" t="s">
        <v>18</v>
      </c>
      <c r="F234" t="str">
        <f>INDEX(Establishment!B$2:B$1005,MATCH($E234,Establishment!$A$2:$A$1005,0))</f>
        <v xml:space="preserve"> </v>
      </c>
      <c r="G234" t="str">
        <f>INDEX(Establishment!C$2:C$1005,MATCH($E234,Establishment!$A$2:$A$1005,0))</f>
        <v xml:space="preserve"> </v>
      </c>
      <c r="M234">
        <f t="shared" si="21"/>
        <v>0</v>
      </c>
      <c r="N234">
        <f t="shared" si="19"/>
        <v>0</v>
      </c>
      <c r="P234" t="e">
        <f>INDEX(Items!B$2:B$1032,MATCH($O234,Items!$A$2:$A$1032,0))</f>
        <v>#N/A</v>
      </c>
      <c r="Q234" t="e">
        <f>INDEX(Items!C$2:C$1032,MATCH($O234,Items!$A$2:$A$1032,0))</f>
        <v>#N/A</v>
      </c>
      <c r="R234" t="e">
        <f>INDEX(Items!D$2:D$1032,MATCH($O234,Items!$A$2:$A$1032,0))</f>
        <v>#N/A</v>
      </c>
    </row>
    <row r="235" spans="1:18" x14ac:dyDescent="0.25">
      <c r="A235">
        <f t="shared" si="17"/>
        <v>1</v>
      </c>
      <c r="B235" t="str">
        <f t="shared" si="18"/>
        <v/>
      </c>
      <c r="C235">
        <f t="shared" si="20"/>
        <v>1</v>
      </c>
      <c r="D235" s="4"/>
      <c r="E235" t="s">
        <v>18</v>
      </c>
      <c r="F235" t="str">
        <f>INDEX(Establishment!B$2:B$1005,MATCH($E235,Establishment!$A$2:$A$1005,0))</f>
        <v xml:space="preserve"> </v>
      </c>
      <c r="G235" t="str">
        <f>INDEX(Establishment!C$2:C$1005,MATCH($E235,Establishment!$A$2:$A$1005,0))</f>
        <v xml:space="preserve"> </v>
      </c>
      <c r="M235">
        <f t="shared" si="21"/>
        <v>0</v>
      </c>
      <c r="N235">
        <f t="shared" si="19"/>
        <v>0</v>
      </c>
      <c r="P235" t="e">
        <f>INDEX(Items!B$2:B$1032,MATCH($O235,Items!$A$2:$A$1032,0))</f>
        <v>#N/A</v>
      </c>
      <c r="Q235" t="e">
        <f>INDEX(Items!C$2:C$1032,MATCH($O235,Items!$A$2:$A$1032,0))</f>
        <v>#N/A</v>
      </c>
      <c r="R235" t="e">
        <f>INDEX(Items!D$2:D$1032,MATCH($O235,Items!$A$2:$A$1032,0))</f>
        <v>#N/A</v>
      </c>
    </row>
    <row r="236" spans="1:18" x14ac:dyDescent="0.25">
      <c r="A236">
        <f t="shared" si="17"/>
        <v>1</v>
      </c>
      <c r="B236" t="str">
        <f t="shared" si="18"/>
        <v/>
      </c>
      <c r="C236">
        <f t="shared" si="20"/>
        <v>1</v>
      </c>
      <c r="D236" s="4"/>
      <c r="E236" t="s">
        <v>18</v>
      </c>
      <c r="F236" t="str">
        <f>INDEX(Establishment!B$2:B$1005,MATCH($E236,Establishment!$A$2:$A$1005,0))</f>
        <v xml:space="preserve"> </v>
      </c>
      <c r="G236" t="str">
        <f>INDEX(Establishment!C$2:C$1005,MATCH($E236,Establishment!$A$2:$A$1005,0))</f>
        <v xml:space="preserve"> </v>
      </c>
      <c r="M236">
        <f t="shared" si="21"/>
        <v>0</v>
      </c>
      <c r="N236">
        <f t="shared" si="19"/>
        <v>0</v>
      </c>
      <c r="P236" t="e">
        <f>INDEX(Items!B$2:B$1032,MATCH($O236,Items!$A$2:$A$1032,0))</f>
        <v>#N/A</v>
      </c>
      <c r="Q236" t="e">
        <f>INDEX(Items!C$2:C$1032,MATCH($O236,Items!$A$2:$A$1032,0))</f>
        <v>#N/A</v>
      </c>
      <c r="R236" t="e">
        <f>INDEX(Items!D$2:D$1032,MATCH($O236,Items!$A$2:$A$1032,0))</f>
        <v>#N/A</v>
      </c>
    </row>
    <row r="237" spans="1:18" x14ac:dyDescent="0.25">
      <c r="A237">
        <f t="shared" si="17"/>
        <v>1</v>
      </c>
      <c r="B237" t="str">
        <f t="shared" si="18"/>
        <v/>
      </c>
      <c r="C237">
        <f t="shared" si="20"/>
        <v>1</v>
      </c>
      <c r="D237" s="4"/>
      <c r="E237" t="s">
        <v>18</v>
      </c>
      <c r="F237" t="str">
        <f>INDEX(Establishment!B$2:B$1005,MATCH($E237,Establishment!$A$2:$A$1005,0))</f>
        <v xml:space="preserve"> </v>
      </c>
      <c r="G237" t="str">
        <f>INDEX(Establishment!C$2:C$1005,MATCH($E237,Establishment!$A$2:$A$1005,0))</f>
        <v xml:space="preserve"> </v>
      </c>
      <c r="M237">
        <f t="shared" si="21"/>
        <v>0</v>
      </c>
      <c r="N237">
        <f t="shared" si="19"/>
        <v>0</v>
      </c>
      <c r="P237" t="e">
        <f>INDEX(Items!B$2:B$1032,MATCH($O237,Items!$A$2:$A$1032,0))</f>
        <v>#N/A</v>
      </c>
      <c r="Q237" t="e">
        <f>INDEX(Items!C$2:C$1032,MATCH($O237,Items!$A$2:$A$1032,0))</f>
        <v>#N/A</v>
      </c>
      <c r="R237" t="e">
        <f>INDEX(Items!D$2:D$1032,MATCH($O237,Items!$A$2:$A$1032,0))</f>
        <v>#N/A</v>
      </c>
    </row>
    <row r="238" spans="1:18" x14ac:dyDescent="0.25">
      <c r="A238">
        <f t="shared" si="17"/>
        <v>1</v>
      </c>
      <c r="B238" t="str">
        <f t="shared" si="18"/>
        <v/>
      </c>
      <c r="C238">
        <f t="shared" si="20"/>
        <v>1</v>
      </c>
      <c r="D238" s="4"/>
      <c r="E238" t="s">
        <v>18</v>
      </c>
      <c r="F238" t="str">
        <f>INDEX(Establishment!B$2:B$1005,MATCH($E238,Establishment!$A$2:$A$1005,0))</f>
        <v xml:space="preserve"> </v>
      </c>
      <c r="G238" t="str">
        <f>INDEX(Establishment!C$2:C$1005,MATCH($E238,Establishment!$A$2:$A$1005,0))</f>
        <v xml:space="preserve"> </v>
      </c>
      <c r="M238">
        <f t="shared" si="21"/>
        <v>0</v>
      </c>
      <c r="N238">
        <f t="shared" si="19"/>
        <v>0</v>
      </c>
      <c r="P238" t="e">
        <f>INDEX(Items!B$2:B$1032,MATCH($O238,Items!$A$2:$A$1032,0))</f>
        <v>#N/A</v>
      </c>
      <c r="Q238" t="e">
        <f>INDEX(Items!C$2:C$1032,MATCH($O238,Items!$A$2:$A$1032,0))</f>
        <v>#N/A</v>
      </c>
      <c r="R238" t="e">
        <f>INDEX(Items!D$2:D$1032,MATCH($O238,Items!$A$2:$A$1032,0))</f>
        <v>#N/A</v>
      </c>
    </row>
    <row r="239" spans="1:18" x14ac:dyDescent="0.25">
      <c r="A239">
        <f t="shared" si="17"/>
        <v>1</v>
      </c>
      <c r="B239" t="str">
        <f t="shared" si="18"/>
        <v/>
      </c>
      <c r="C239">
        <f t="shared" si="20"/>
        <v>1</v>
      </c>
      <c r="D239" s="4"/>
      <c r="E239" t="s">
        <v>18</v>
      </c>
      <c r="F239" t="str">
        <f>INDEX(Establishment!B$2:B$1005,MATCH($E239,Establishment!$A$2:$A$1005,0))</f>
        <v xml:space="preserve"> </v>
      </c>
      <c r="G239" t="str">
        <f>INDEX(Establishment!C$2:C$1005,MATCH($E239,Establishment!$A$2:$A$1005,0))</f>
        <v xml:space="preserve"> </v>
      </c>
      <c r="M239">
        <f t="shared" si="21"/>
        <v>0</v>
      </c>
      <c r="N239">
        <f t="shared" si="19"/>
        <v>0</v>
      </c>
      <c r="P239" t="e">
        <f>INDEX(Items!B$2:B$1032,MATCH($O239,Items!$A$2:$A$1032,0))</f>
        <v>#N/A</v>
      </c>
      <c r="Q239" t="e">
        <f>INDEX(Items!C$2:C$1032,MATCH($O239,Items!$A$2:$A$1032,0))</f>
        <v>#N/A</v>
      </c>
      <c r="R239" t="e">
        <f>INDEX(Items!D$2:D$1032,MATCH($O239,Items!$A$2:$A$1032,0))</f>
        <v>#N/A</v>
      </c>
    </row>
    <row r="240" spans="1:18" x14ac:dyDescent="0.25">
      <c r="A240">
        <f t="shared" si="17"/>
        <v>1</v>
      </c>
      <c r="B240" t="str">
        <f t="shared" si="18"/>
        <v/>
      </c>
      <c r="C240">
        <f t="shared" si="20"/>
        <v>1</v>
      </c>
      <c r="D240" s="4"/>
      <c r="E240" t="s">
        <v>18</v>
      </c>
      <c r="F240" t="str">
        <f>INDEX(Establishment!B$2:B$1005,MATCH($E240,Establishment!$A$2:$A$1005,0))</f>
        <v xml:space="preserve"> </v>
      </c>
      <c r="G240" t="str">
        <f>INDEX(Establishment!C$2:C$1005,MATCH($E240,Establishment!$A$2:$A$1005,0))</f>
        <v xml:space="preserve"> </v>
      </c>
      <c r="M240">
        <f t="shared" si="21"/>
        <v>0</v>
      </c>
      <c r="N240">
        <f t="shared" si="19"/>
        <v>0</v>
      </c>
      <c r="P240" t="e">
        <f>INDEX(Items!B$2:B$1032,MATCH($O240,Items!$A$2:$A$1032,0))</f>
        <v>#N/A</v>
      </c>
      <c r="Q240" t="e">
        <f>INDEX(Items!C$2:C$1032,MATCH($O240,Items!$A$2:$A$1032,0))</f>
        <v>#N/A</v>
      </c>
      <c r="R240" t="e">
        <f>INDEX(Items!D$2:D$1032,MATCH($O240,Items!$A$2:$A$1032,0))</f>
        <v>#N/A</v>
      </c>
    </row>
    <row r="241" spans="1:18" x14ac:dyDescent="0.25">
      <c r="A241">
        <f t="shared" si="17"/>
        <v>1</v>
      </c>
      <c r="B241" t="str">
        <f t="shared" si="18"/>
        <v/>
      </c>
      <c r="C241">
        <f t="shared" si="20"/>
        <v>1</v>
      </c>
      <c r="D241" s="4"/>
      <c r="E241" t="s">
        <v>18</v>
      </c>
      <c r="F241" t="str">
        <f>INDEX(Establishment!B$2:B$1005,MATCH($E241,Establishment!$A$2:$A$1005,0))</f>
        <v xml:space="preserve"> </v>
      </c>
      <c r="G241" t="str">
        <f>INDEX(Establishment!C$2:C$1005,MATCH($E241,Establishment!$A$2:$A$1005,0))</f>
        <v xml:space="preserve"> </v>
      </c>
      <c r="M241">
        <f t="shared" si="21"/>
        <v>0</v>
      </c>
      <c r="N241">
        <f t="shared" si="19"/>
        <v>0</v>
      </c>
      <c r="P241" t="e">
        <f>INDEX(Items!B$2:B$1032,MATCH($O241,Items!$A$2:$A$1032,0))</f>
        <v>#N/A</v>
      </c>
      <c r="Q241" t="e">
        <f>INDEX(Items!C$2:C$1032,MATCH($O241,Items!$A$2:$A$1032,0))</f>
        <v>#N/A</v>
      </c>
      <c r="R241" t="e">
        <f>INDEX(Items!D$2:D$1032,MATCH($O241,Items!$A$2:$A$1032,0))</f>
        <v>#N/A</v>
      </c>
    </row>
    <row r="242" spans="1:18" x14ac:dyDescent="0.25">
      <c r="A242">
        <f t="shared" si="17"/>
        <v>1</v>
      </c>
      <c r="B242" t="str">
        <f t="shared" si="18"/>
        <v/>
      </c>
      <c r="C242">
        <f t="shared" si="20"/>
        <v>1</v>
      </c>
      <c r="D242" s="4"/>
      <c r="E242" t="s">
        <v>18</v>
      </c>
      <c r="F242" t="str">
        <f>INDEX(Establishment!B$2:B$1005,MATCH($E242,Establishment!$A$2:$A$1005,0))</f>
        <v xml:space="preserve"> </v>
      </c>
      <c r="G242" t="str">
        <f>INDEX(Establishment!C$2:C$1005,MATCH($E242,Establishment!$A$2:$A$1005,0))</f>
        <v xml:space="preserve"> </v>
      </c>
      <c r="M242">
        <f t="shared" si="21"/>
        <v>0</v>
      </c>
      <c r="N242">
        <f t="shared" si="19"/>
        <v>0</v>
      </c>
      <c r="P242" t="e">
        <f>INDEX(Items!B$2:B$1032,MATCH($O242,Items!$A$2:$A$1032,0))</f>
        <v>#N/A</v>
      </c>
      <c r="Q242" t="e">
        <f>INDEX(Items!C$2:C$1032,MATCH($O242,Items!$A$2:$A$1032,0))</f>
        <v>#N/A</v>
      </c>
      <c r="R242" t="e">
        <f>INDEX(Items!D$2:D$1032,MATCH($O242,Items!$A$2:$A$1032,0))</f>
        <v>#N/A</v>
      </c>
    </row>
    <row r="243" spans="1:18" x14ac:dyDescent="0.25">
      <c r="A243">
        <f t="shared" si="17"/>
        <v>1</v>
      </c>
      <c r="B243" t="str">
        <f t="shared" si="18"/>
        <v/>
      </c>
      <c r="C243">
        <f t="shared" si="20"/>
        <v>1</v>
      </c>
      <c r="D243" s="4"/>
      <c r="E243" t="s">
        <v>18</v>
      </c>
      <c r="F243" t="str">
        <f>INDEX(Establishment!B$2:B$1005,MATCH($E243,Establishment!$A$2:$A$1005,0))</f>
        <v xml:space="preserve"> </v>
      </c>
      <c r="G243" t="str">
        <f>INDEX(Establishment!C$2:C$1005,MATCH($E243,Establishment!$A$2:$A$1005,0))</f>
        <v xml:space="preserve"> </v>
      </c>
      <c r="M243">
        <f t="shared" si="21"/>
        <v>0</v>
      </c>
      <c r="N243">
        <f t="shared" si="19"/>
        <v>0</v>
      </c>
      <c r="P243" t="e">
        <f>INDEX(Items!B$2:B$1032,MATCH($O243,Items!$A$2:$A$1032,0))</f>
        <v>#N/A</v>
      </c>
      <c r="Q243" t="e">
        <f>INDEX(Items!C$2:C$1032,MATCH($O243,Items!$A$2:$A$1032,0))</f>
        <v>#N/A</v>
      </c>
      <c r="R243" t="e">
        <f>INDEX(Items!D$2:D$1032,MATCH($O243,Items!$A$2:$A$1032,0))</f>
        <v>#N/A</v>
      </c>
    </row>
    <row r="244" spans="1:18" x14ac:dyDescent="0.25">
      <c r="A244">
        <f t="shared" si="17"/>
        <v>1</v>
      </c>
      <c r="B244" t="str">
        <f t="shared" si="18"/>
        <v/>
      </c>
      <c r="C244">
        <f t="shared" si="20"/>
        <v>1</v>
      </c>
      <c r="D244" s="4"/>
      <c r="E244" t="s">
        <v>18</v>
      </c>
      <c r="F244" t="str">
        <f>INDEX(Establishment!B$2:B$1005,MATCH($E244,Establishment!$A$2:$A$1005,0))</f>
        <v xml:space="preserve"> </v>
      </c>
      <c r="G244" t="str">
        <f>INDEX(Establishment!C$2:C$1005,MATCH($E244,Establishment!$A$2:$A$1005,0))</f>
        <v xml:space="preserve"> </v>
      </c>
      <c r="M244">
        <f t="shared" si="21"/>
        <v>0</v>
      </c>
      <c r="N244">
        <f t="shared" si="19"/>
        <v>0</v>
      </c>
      <c r="P244" t="e">
        <f>INDEX(Items!B$2:B$1032,MATCH($O244,Items!$A$2:$A$1032,0))</f>
        <v>#N/A</v>
      </c>
      <c r="Q244" t="e">
        <f>INDEX(Items!C$2:C$1032,MATCH($O244,Items!$A$2:$A$1032,0))</f>
        <v>#N/A</v>
      </c>
      <c r="R244" t="e">
        <f>INDEX(Items!D$2:D$1032,MATCH($O244,Items!$A$2:$A$1032,0))</f>
        <v>#N/A</v>
      </c>
    </row>
    <row r="245" spans="1:18" x14ac:dyDescent="0.25">
      <c r="A245">
        <f t="shared" si="17"/>
        <v>1</v>
      </c>
      <c r="B245" t="str">
        <f t="shared" si="18"/>
        <v/>
      </c>
      <c r="C245">
        <f t="shared" si="20"/>
        <v>1</v>
      </c>
      <c r="D245" s="4"/>
      <c r="E245" t="s">
        <v>18</v>
      </c>
      <c r="F245" t="str">
        <f>INDEX(Establishment!B$2:B$1005,MATCH($E245,Establishment!$A$2:$A$1005,0))</f>
        <v xml:space="preserve"> </v>
      </c>
      <c r="G245" t="str">
        <f>INDEX(Establishment!C$2:C$1005,MATCH($E245,Establishment!$A$2:$A$1005,0))</f>
        <v xml:space="preserve"> </v>
      </c>
      <c r="M245">
        <f t="shared" si="21"/>
        <v>0</v>
      </c>
      <c r="N245">
        <f t="shared" si="19"/>
        <v>0</v>
      </c>
      <c r="P245" t="e">
        <f>INDEX(Items!B$2:B$1032,MATCH($O245,Items!$A$2:$A$1032,0))</f>
        <v>#N/A</v>
      </c>
      <c r="Q245" t="e">
        <f>INDEX(Items!C$2:C$1032,MATCH($O245,Items!$A$2:$A$1032,0))</f>
        <v>#N/A</v>
      </c>
      <c r="R245" t="e">
        <f>INDEX(Items!D$2:D$1032,MATCH($O245,Items!$A$2:$A$1032,0))</f>
        <v>#N/A</v>
      </c>
    </row>
    <row r="246" spans="1:18" x14ac:dyDescent="0.25">
      <c r="A246">
        <f t="shared" si="17"/>
        <v>1</v>
      </c>
      <c r="B246" t="str">
        <f t="shared" si="18"/>
        <v/>
      </c>
      <c r="C246">
        <f t="shared" si="20"/>
        <v>1</v>
      </c>
      <c r="D246" s="4"/>
      <c r="E246" t="s">
        <v>18</v>
      </c>
      <c r="F246" t="str">
        <f>INDEX(Establishment!B$2:B$1005,MATCH($E246,Establishment!$A$2:$A$1005,0))</f>
        <v xml:space="preserve"> </v>
      </c>
      <c r="G246" t="str">
        <f>INDEX(Establishment!C$2:C$1005,MATCH($E246,Establishment!$A$2:$A$1005,0))</f>
        <v xml:space="preserve"> </v>
      </c>
      <c r="M246">
        <f t="shared" si="21"/>
        <v>0</v>
      </c>
      <c r="N246">
        <f t="shared" si="19"/>
        <v>0</v>
      </c>
      <c r="P246" t="e">
        <f>INDEX(Items!B$2:B$1032,MATCH($O246,Items!$A$2:$A$1032,0))</f>
        <v>#N/A</v>
      </c>
      <c r="Q246" t="e">
        <f>INDEX(Items!C$2:C$1032,MATCH($O246,Items!$A$2:$A$1032,0))</f>
        <v>#N/A</v>
      </c>
      <c r="R246" t="e">
        <f>INDEX(Items!D$2:D$1032,MATCH($O246,Items!$A$2:$A$1032,0))</f>
        <v>#N/A</v>
      </c>
    </row>
    <row r="247" spans="1:18" x14ac:dyDescent="0.25">
      <c r="A247">
        <f t="shared" si="17"/>
        <v>1</v>
      </c>
      <c r="B247" t="str">
        <f t="shared" si="18"/>
        <v/>
      </c>
      <c r="C247">
        <f t="shared" si="20"/>
        <v>1</v>
      </c>
      <c r="D247" s="4"/>
      <c r="E247" t="s">
        <v>18</v>
      </c>
      <c r="F247" t="str">
        <f>INDEX(Establishment!B$2:B$1005,MATCH($E247,Establishment!$A$2:$A$1005,0))</f>
        <v xml:space="preserve"> </v>
      </c>
      <c r="G247" t="str">
        <f>INDEX(Establishment!C$2:C$1005,MATCH($E247,Establishment!$A$2:$A$1005,0))</f>
        <v xml:space="preserve"> </v>
      </c>
      <c r="M247">
        <f t="shared" si="21"/>
        <v>0</v>
      </c>
      <c r="N247">
        <f t="shared" si="19"/>
        <v>0</v>
      </c>
      <c r="P247" t="e">
        <f>INDEX(Items!B$2:B$1032,MATCH($O247,Items!$A$2:$A$1032,0))</f>
        <v>#N/A</v>
      </c>
      <c r="Q247" t="e">
        <f>INDEX(Items!C$2:C$1032,MATCH($O247,Items!$A$2:$A$1032,0))</f>
        <v>#N/A</v>
      </c>
      <c r="R247" t="e">
        <f>INDEX(Items!D$2:D$1032,MATCH($O247,Items!$A$2:$A$1032,0))</f>
        <v>#N/A</v>
      </c>
    </row>
    <row r="248" spans="1:18" x14ac:dyDescent="0.25">
      <c r="A248">
        <f t="shared" si="17"/>
        <v>1</v>
      </c>
      <c r="B248" t="str">
        <f t="shared" si="18"/>
        <v/>
      </c>
      <c r="C248">
        <f t="shared" si="20"/>
        <v>1</v>
      </c>
      <c r="D248" s="4"/>
      <c r="E248" t="s">
        <v>18</v>
      </c>
      <c r="F248" t="str">
        <f>INDEX(Establishment!B$2:B$1005,MATCH($E248,Establishment!$A$2:$A$1005,0))</f>
        <v xml:space="preserve"> </v>
      </c>
      <c r="G248" t="str">
        <f>INDEX(Establishment!C$2:C$1005,MATCH($E248,Establishment!$A$2:$A$1005,0))</f>
        <v xml:space="preserve"> </v>
      </c>
      <c r="M248">
        <f t="shared" si="21"/>
        <v>0</v>
      </c>
      <c r="N248">
        <f t="shared" si="19"/>
        <v>0</v>
      </c>
      <c r="P248" t="e">
        <f>INDEX(Items!B$2:B$1032,MATCH($O248,Items!$A$2:$A$1032,0))</f>
        <v>#N/A</v>
      </c>
      <c r="Q248" t="e">
        <f>INDEX(Items!C$2:C$1032,MATCH($O248,Items!$A$2:$A$1032,0))</f>
        <v>#N/A</v>
      </c>
      <c r="R248" t="e">
        <f>INDEX(Items!D$2:D$1032,MATCH($O248,Items!$A$2:$A$1032,0))</f>
        <v>#N/A</v>
      </c>
    </row>
    <row r="249" spans="1:18" x14ac:dyDescent="0.25">
      <c r="A249">
        <f t="shared" si="17"/>
        <v>1</v>
      </c>
      <c r="B249" t="str">
        <f t="shared" si="18"/>
        <v/>
      </c>
      <c r="C249">
        <f t="shared" si="20"/>
        <v>1</v>
      </c>
      <c r="D249" s="4"/>
      <c r="E249" t="s">
        <v>18</v>
      </c>
      <c r="F249" t="str">
        <f>INDEX(Establishment!B$2:B$1005,MATCH($E249,Establishment!$A$2:$A$1005,0))</f>
        <v xml:space="preserve"> </v>
      </c>
      <c r="G249" t="str">
        <f>INDEX(Establishment!C$2:C$1005,MATCH($E249,Establishment!$A$2:$A$1005,0))</f>
        <v xml:space="preserve"> </v>
      </c>
      <c r="M249">
        <f t="shared" si="21"/>
        <v>0</v>
      </c>
      <c r="N249">
        <f t="shared" si="19"/>
        <v>0</v>
      </c>
      <c r="P249" t="e">
        <f>INDEX(Items!B$2:B$1032,MATCH($O249,Items!$A$2:$A$1032,0))</f>
        <v>#N/A</v>
      </c>
      <c r="Q249" t="e">
        <f>INDEX(Items!C$2:C$1032,MATCH($O249,Items!$A$2:$A$1032,0))</f>
        <v>#N/A</v>
      </c>
      <c r="R249" t="e">
        <f>INDEX(Items!D$2:D$1032,MATCH($O249,Items!$A$2:$A$1032,0))</f>
        <v>#N/A</v>
      </c>
    </row>
    <row r="250" spans="1:18" x14ac:dyDescent="0.25">
      <c r="A250">
        <f t="shared" si="17"/>
        <v>1</v>
      </c>
      <c r="B250" t="str">
        <f t="shared" si="18"/>
        <v/>
      </c>
      <c r="C250">
        <f t="shared" si="20"/>
        <v>1</v>
      </c>
      <c r="D250" s="4"/>
      <c r="E250" t="s">
        <v>18</v>
      </c>
      <c r="F250" t="str">
        <f>INDEX(Establishment!B$2:B$1005,MATCH($E250,Establishment!$A$2:$A$1005,0))</f>
        <v xml:space="preserve"> </v>
      </c>
      <c r="G250" t="str">
        <f>INDEX(Establishment!C$2:C$1005,MATCH($E250,Establishment!$A$2:$A$1005,0))</f>
        <v xml:space="preserve"> </v>
      </c>
      <c r="M250">
        <f t="shared" si="21"/>
        <v>0</v>
      </c>
      <c r="N250">
        <f t="shared" si="19"/>
        <v>0</v>
      </c>
      <c r="P250" t="e">
        <f>INDEX(Items!B$2:B$1032,MATCH($O250,Items!$A$2:$A$1032,0))</f>
        <v>#N/A</v>
      </c>
      <c r="Q250" t="e">
        <f>INDEX(Items!C$2:C$1032,MATCH($O250,Items!$A$2:$A$1032,0))</f>
        <v>#N/A</v>
      </c>
      <c r="R250" t="e">
        <f>INDEX(Items!D$2:D$1032,MATCH($O250,Items!$A$2:$A$1032,0))</f>
        <v>#N/A</v>
      </c>
    </row>
    <row r="251" spans="1:18" x14ac:dyDescent="0.25">
      <c r="A251">
        <f t="shared" si="17"/>
        <v>1</v>
      </c>
      <c r="B251" t="str">
        <f t="shared" si="18"/>
        <v/>
      </c>
      <c r="C251">
        <f t="shared" si="20"/>
        <v>1</v>
      </c>
      <c r="D251" s="4"/>
      <c r="E251" t="s">
        <v>18</v>
      </c>
      <c r="F251" t="str">
        <f>INDEX(Establishment!B$2:B$1005,MATCH($E251,Establishment!$A$2:$A$1005,0))</f>
        <v xml:space="preserve"> </v>
      </c>
      <c r="G251" t="str">
        <f>INDEX(Establishment!C$2:C$1005,MATCH($E251,Establishment!$A$2:$A$1005,0))</f>
        <v xml:space="preserve"> </v>
      </c>
      <c r="M251">
        <f t="shared" si="21"/>
        <v>0</v>
      </c>
      <c r="N251">
        <f t="shared" si="19"/>
        <v>0</v>
      </c>
      <c r="P251" t="e">
        <f>INDEX(Items!B$2:B$1032,MATCH($O251,Items!$A$2:$A$1032,0))</f>
        <v>#N/A</v>
      </c>
      <c r="Q251" t="e">
        <f>INDEX(Items!C$2:C$1032,MATCH($O251,Items!$A$2:$A$1032,0))</f>
        <v>#N/A</v>
      </c>
      <c r="R251" t="e">
        <f>INDEX(Items!D$2:D$1032,MATCH($O251,Items!$A$2:$A$1032,0))</f>
        <v>#N/A</v>
      </c>
    </row>
    <row r="252" spans="1:18" x14ac:dyDescent="0.25">
      <c r="A252">
        <f t="shared" si="17"/>
        <v>1</v>
      </c>
      <c r="B252" t="str">
        <f t="shared" si="18"/>
        <v/>
      </c>
      <c r="C252">
        <f t="shared" si="20"/>
        <v>1</v>
      </c>
      <c r="D252" s="4"/>
      <c r="E252" t="s">
        <v>18</v>
      </c>
      <c r="F252" t="str">
        <f>INDEX(Establishment!B$2:B$1005,MATCH($E252,Establishment!$A$2:$A$1005,0))</f>
        <v xml:space="preserve"> </v>
      </c>
      <c r="G252" t="str">
        <f>INDEX(Establishment!C$2:C$1005,MATCH($E252,Establishment!$A$2:$A$1005,0))</f>
        <v xml:space="preserve"> </v>
      </c>
      <c r="M252">
        <f t="shared" si="21"/>
        <v>0</v>
      </c>
      <c r="N252">
        <f t="shared" si="19"/>
        <v>0</v>
      </c>
      <c r="P252" t="e">
        <f>INDEX(Items!B$2:B$1032,MATCH($O252,Items!$A$2:$A$1032,0))</f>
        <v>#N/A</v>
      </c>
      <c r="Q252" t="e">
        <f>INDEX(Items!C$2:C$1032,MATCH($O252,Items!$A$2:$A$1032,0))</f>
        <v>#N/A</v>
      </c>
      <c r="R252" t="e">
        <f>INDEX(Items!D$2:D$1032,MATCH($O252,Items!$A$2:$A$1032,0))</f>
        <v>#N/A</v>
      </c>
    </row>
    <row r="253" spans="1:18" x14ac:dyDescent="0.25">
      <c r="A253">
        <f t="shared" si="17"/>
        <v>1</v>
      </c>
      <c r="B253" t="str">
        <f t="shared" si="18"/>
        <v/>
      </c>
      <c r="C253">
        <f t="shared" si="20"/>
        <v>1</v>
      </c>
      <c r="D253" s="4"/>
      <c r="E253" t="s">
        <v>18</v>
      </c>
      <c r="F253" t="str">
        <f>INDEX(Establishment!B$2:B$1005,MATCH($E253,Establishment!$A$2:$A$1005,0))</f>
        <v xml:space="preserve"> </v>
      </c>
      <c r="G253" t="str">
        <f>INDEX(Establishment!C$2:C$1005,MATCH($E253,Establishment!$A$2:$A$1005,0))</f>
        <v xml:space="preserve"> </v>
      </c>
      <c r="M253">
        <f t="shared" si="21"/>
        <v>0</v>
      </c>
      <c r="N253">
        <f t="shared" si="19"/>
        <v>0</v>
      </c>
      <c r="P253" t="e">
        <f>INDEX(Items!B$2:B$1032,MATCH($O253,Items!$A$2:$A$1032,0))</f>
        <v>#N/A</v>
      </c>
      <c r="Q253" t="e">
        <f>INDEX(Items!C$2:C$1032,MATCH($O253,Items!$A$2:$A$1032,0))</f>
        <v>#N/A</v>
      </c>
      <c r="R253" t="e">
        <f>INDEX(Items!D$2:D$1032,MATCH($O253,Items!$A$2:$A$1032,0))</f>
        <v>#N/A</v>
      </c>
    </row>
    <row r="254" spans="1:18" x14ac:dyDescent="0.25">
      <c r="A254">
        <f t="shared" si="17"/>
        <v>1</v>
      </c>
      <c r="B254" t="str">
        <f t="shared" si="18"/>
        <v/>
      </c>
      <c r="C254">
        <f t="shared" si="20"/>
        <v>1</v>
      </c>
      <c r="D254" s="4"/>
      <c r="E254" t="s">
        <v>18</v>
      </c>
      <c r="F254" t="str">
        <f>INDEX(Establishment!B$2:B$1005,MATCH($E254,Establishment!$A$2:$A$1005,0))</f>
        <v xml:space="preserve"> </v>
      </c>
      <c r="G254" t="str">
        <f>INDEX(Establishment!C$2:C$1005,MATCH($E254,Establishment!$A$2:$A$1005,0))</f>
        <v xml:space="preserve"> </v>
      </c>
      <c r="M254">
        <f t="shared" si="21"/>
        <v>0</v>
      </c>
      <c r="N254">
        <f t="shared" si="19"/>
        <v>0</v>
      </c>
      <c r="P254" t="e">
        <f>INDEX(Items!B$2:B$1032,MATCH($O254,Items!$A$2:$A$1032,0))</f>
        <v>#N/A</v>
      </c>
      <c r="Q254" t="e">
        <f>INDEX(Items!C$2:C$1032,MATCH($O254,Items!$A$2:$A$1032,0))</f>
        <v>#N/A</v>
      </c>
      <c r="R254" t="e">
        <f>INDEX(Items!D$2:D$1032,MATCH($O254,Items!$A$2:$A$1032,0))</f>
        <v>#N/A</v>
      </c>
    </row>
    <row r="255" spans="1:18" x14ac:dyDescent="0.25">
      <c r="A255">
        <f t="shared" si="17"/>
        <v>1</v>
      </c>
      <c r="B255" t="str">
        <f t="shared" si="18"/>
        <v/>
      </c>
      <c r="C255">
        <f t="shared" si="20"/>
        <v>1</v>
      </c>
      <c r="D255" s="4"/>
      <c r="E255" t="s">
        <v>18</v>
      </c>
      <c r="F255" t="str">
        <f>INDEX(Establishment!B$2:B$1005,MATCH($E255,Establishment!$A$2:$A$1005,0))</f>
        <v xml:space="preserve"> </v>
      </c>
      <c r="G255" t="str">
        <f>INDEX(Establishment!C$2:C$1005,MATCH($E255,Establishment!$A$2:$A$1005,0))</f>
        <v xml:space="preserve"> </v>
      </c>
      <c r="M255">
        <f t="shared" si="21"/>
        <v>0</v>
      </c>
      <c r="N255">
        <f t="shared" si="19"/>
        <v>0</v>
      </c>
      <c r="P255" t="e">
        <f>INDEX(Items!B$2:B$1032,MATCH($O255,Items!$A$2:$A$1032,0))</f>
        <v>#N/A</v>
      </c>
      <c r="Q255" t="e">
        <f>INDEX(Items!C$2:C$1032,MATCH($O255,Items!$A$2:$A$1032,0))</f>
        <v>#N/A</v>
      </c>
      <c r="R255" t="e">
        <f>INDEX(Items!D$2:D$1032,MATCH($O255,Items!$A$2:$A$1032,0))</f>
        <v>#N/A</v>
      </c>
    </row>
    <row r="256" spans="1:18" x14ac:dyDescent="0.25">
      <c r="A256">
        <f t="shared" si="17"/>
        <v>1</v>
      </c>
      <c r="B256" t="str">
        <f t="shared" si="18"/>
        <v/>
      </c>
      <c r="C256">
        <f t="shared" si="20"/>
        <v>1</v>
      </c>
      <c r="D256" s="4"/>
      <c r="E256" t="s">
        <v>18</v>
      </c>
      <c r="F256" t="str">
        <f>INDEX(Establishment!B$2:B$1005,MATCH($E256,Establishment!$A$2:$A$1005,0))</f>
        <v xml:space="preserve"> </v>
      </c>
      <c r="G256" t="str">
        <f>INDEX(Establishment!C$2:C$1005,MATCH($E256,Establishment!$A$2:$A$1005,0))</f>
        <v xml:space="preserve"> </v>
      </c>
      <c r="M256">
        <f t="shared" si="21"/>
        <v>0</v>
      </c>
      <c r="N256">
        <f t="shared" si="19"/>
        <v>0</v>
      </c>
      <c r="P256" t="e">
        <f>INDEX(Items!B$2:B$1032,MATCH($O256,Items!$A$2:$A$1032,0))</f>
        <v>#N/A</v>
      </c>
      <c r="Q256" t="e">
        <f>INDEX(Items!C$2:C$1032,MATCH($O256,Items!$A$2:$A$1032,0))</f>
        <v>#N/A</v>
      </c>
      <c r="R256" t="e">
        <f>INDEX(Items!D$2:D$1032,MATCH($O256,Items!$A$2:$A$1032,0))</f>
        <v>#N/A</v>
      </c>
    </row>
    <row r="257" spans="1:18" x14ac:dyDescent="0.25">
      <c r="A257">
        <f t="shared" si="17"/>
        <v>1</v>
      </c>
      <c r="B257" t="str">
        <f t="shared" si="18"/>
        <v/>
      </c>
      <c r="C257">
        <f t="shared" si="20"/>
        <v>1</v>
      </c>
      <c r="D257" s="4"/>
      <c r="E257" t="s">
        <v>18</v>
      </c>
      <c r="F257" t="str">
        <f>INDEX(Establishment!B$2:B$1005,MATCH($E257,Establishment!$A$2:$A$1005,0))</f>
        <v xml:space="preserve"> </v>
      </c>
      <c r="G257" t="str">
        <f>INDEX(Establishment!C$2:C$1005,MATCH($E257,Establishment!$A$2:$A$1005,0))</f>
        <v xml:space="preserve"> </v>
      </c>
      <c r="M257">
        <f t="shared" si="21"/>
        <v>0</v>
      </c>
      <c r="N257">
        <f t="shared" si="19"/>
        <v>0</v>
      </c>
      <c r="P257" t="e">
        <f>INDEX(Items!B$2:B$1032,MATCH($O257,Items!$A$2:$A$1032,0))</f>
        <v>#N/A</v>
      </c>
      <c r="Q257" t="e">
        <f>INDEX(Items!C$2:C$1032,MATCH($O257,Items!$A$2:$A$1032,0))</f>
        <v>#N/A</v>
      </c>
      <c r="R257" t="e">
        <f>INDEX(Items!D$2:D$1032,MATCH($O257,Items!$A$2:$A$1032,0))</f>
        <v>#N/A</v>
      </c>
    </row>
    <row r="258" spans="1:18" x14ac:dyDescent="0.25">
      <c r="A258">
        <f t="shared" ref="A258:A321" si="22">IF(OR(D258&lt;&gt;D257,D258=""),1,IF(NOT(AND(E258=E257,F258=F257,G258=G257)),A257+1,IF(OR(H258="",AND(H258&lt;&gt;"",H258&lt;&gt;H257,H257&lt;&gt;"")),A257,A257+1)))</f>
        <v>1</v>
      </c>
      <c r="B258" t="str">
        <f t="shared" ref="B258:B321" si="23">IF(D258&lt;&gt;"",TEXT(D258,"YYYYMMDD")&amp;CHAR(64+A258),"")</f>
        <v/>
      </c>
      <c r="C258">
        <f t="shared" si="20"/>
        <v>1</v>
      </c>
      <c r="D258" s="4"/>
      <c r="E258" t="s">
        <v>18</v>
      </c>
      <c r="F258" t="str">
        <f>INDEX(Establishment!B$2:B$1005,MATCH($E258,Establishment!$A$2:$A$1005,0))</f>
        <v xml:space="preserve"> </v>
      </c>
      <c r="G258" t="str">
        <f>INDEX(Establishment!C$2:C$1005,MATCH($E258,Establishment!$A$2:$A$1005,0))</f>
        <v xml:space="preserve"> </v>
      </c>
      <c r="M258">
        <f t="shared" si="21"/>
        <v>0</v>
      </c>
      <c r="N258">
        <f t="shared" si="19"/>
        <v>0</v>
      </c>
      <c r="P258" t="e">
        <f>INDEX(Items!B$2:B$1032,MATCH($O258,Items!$A$2:$A$1032,0))</f>
        <v>#N/A</v>
      </c>
      <c r="Q258" t="e">
        <f>INDEX(Items!C$2:C$1032,MATCH($O258,Items!$A$2:$A$1032,0))</f>
        <v>#N/A</v>
      </c>
      <c r="R258" t="e">
        <f>INDEX(Items!D$2:D$1032,MATCH($O258,Items!$A$2:$A$1032,0))</f>
        <v>#N/A</v>
      </c>
    </row>
    <row r="259" spans="1:18" x14ac:dyDescent="0.25">
      <c r="A259">
        <f t="shared" si="22"/>
        <v>1</v>
      </c>
      <c r="B259" t="str">
        <f t="shared" si="23"/>
        <v/>
      </c>
      <c r="C259">
        <f t="shared" si="20"/>
        <v>1</v>
      </c>
      <c r="D259" s="4"/>
      <c r="E259" t="s">
        <v>18</v>
      </c>
      <c r="F259" t="str">
        <f>INDEX(Establishment!B$2:B$1005,MATCH($E259,Establishment!$A$2:$A$1005,0))</f>
        <v xml:space="preserve"> </v>
      </c>
      <c r="G259" t="str">
        <f>INDEX(Establishment!C$2:C$1005,MATCH($E259,Establishment!$A$2:$A$1005,0))</f>
        <v xml:space="preserve"> </v>
      </c>
      <c r="M259">
        <f t="shared" si="21"/>
        <v>0</v>
      </c>
      <c r="N259">
        <f t="shared" ref="N259:N322" si="24">IF(B259=B258,N258+M259,M259)</f>
        <v>0</v>
      </c>
      <c r="P259" t="e">
        <f>INDEX(Items!B$2:B$1032,MATCH($O259,Items!$A$2:$A$1032,0))</f>
        <v>#N/A</v>
      </c>
      <c r="Q259" t="e">
        <f>INDEX(Items!C$2:C$1032,MATCH($O259,Items!$A$2:$A$1032,0))</f>
        <v>#N/A</v>
      </c>
      <c r="R259" t="e">
        <f>INDEX(Items!D$2:D$1032,MATCH($O259,Items!$A$2:$A$1032,0))</f>
        <v>#N/A</v>
      </c>
    </row>
    <row r="260" spans="1:18" x14ac:dyDescent="0.25">
      <c r="A260">
        <f t="shared" si="22"/>
        <v>1</v>
      </c>
      <c r="B260" t="str">
        <f t="shared" si="23"/>
        <v/>
      </c>
      <c r="C260">
        <f t="shared" si="20"/>
        <v>1</v>
      </c>
      <c r="D260" s="4"/>
      <c r="E260" t="s">
        <v>18</v>
      </c>
      <c r="F260" t="str">
        <f>INDEX(Establishment!B$2:B$1005,MATCH($E260,Establishment!$A$2:$A$1005,0))</f>
        <v xml:space="preserve"> </v>
      </c>
      <c r="G260" t="str">
        <f>INDEX(Establishment!C$2:C$1005,MATCH($E260,Establishment!$A$2:$A$1005,0))</f>
        <v xml:space="preserve"> </v>
      </c>
      <c r="M260">
        <f t="shared" si="21"/>
        <v>0</v>
      </c>
      <c r="N260">
        <f t="shared" si="24"/>
        <v>0</v>
      </c>
      <c r="P260" t="e">
        <f>INDEX(Items!B$2:B$1032,MATCH($O260,Items!$A$2:$A$1032,0))</f>
        <v>#N/A</v>
      </c>
      <c r="Q260" t="e">
        <f>INDEX(Items!C$2:C$1032,MATCH($O260,Items!$A$2:$A$1032,0))</f>
        <v>#N/A</v>
      </c>
      <c r="R260" t="e">
        <f>INDEX(Items!D$2:D$1032,MATCH($O260,Items!$A$2:$A$1032,0))</f>
        <v>#N/A</v>
      </c>
    </row>
    <row r="261" spans="1:18" x14ac:dyDescent="0.25">
      <c r="A261">
        <f t="shared" si="22"/>
        <v>1</v>
      </c>
      <c r="B261" t="str">
        <f t="shared" si="23"/>
        <v/>
      </c>
      <c r="C261">
        <f t="shared" si="20"/>
        <v>1</v>
      </c>
      <c r="D261" s="4"/>
      <c r="E261" t="s">
        <v>18</v>
      </c>
      <c r="F261" t="str">
        <f>INDEX(Establishment!B$2:B$1005,MATCH($E261,Establishment!$A$2:$A$1005,0))</f>
        <v xml:space="preserve"> </v>
      </c>
      <c r="G261" t="str">
        <f>INDEX(Establishment!C$2:C$1005,MATCH($E261,Establishment!$A$2:$A$1005,0))</f>
        <v xml:space="preserve"> </v>
      </c>
      <c r="M261">
        <f t="shared" si="21"/>
        <v>0</v>
      </c>
      <c r="N261">
        <f t="shared" si="24"/>
        <v>0</v>
      </c>
      <c r="P261" t="e">
        <f>INDEX(Items!B$2:B$1032,MATCH($O261,Items!$A$2:$A$1032,0))</f>
        <v>#N/A</v>
      </c>
      <c r="Q261" t="e">
        <f>INDEX(Items!C$2:C$1032,MATCH($O261,Items!$A$2:$A$1032,0))</f>
        <v>#N/A</v>
      </c>
      <c r="R261" t="e">
        <f>INDEX(Items!D$2:D$1032,MATCH($O261,Items!$A$2:$A$1032,0))</f>
        <v>#N/A</v>
      </c>
    </row>
    <row r="262" spans="1:18" x14ac:dyDescent="0.25">
      <c r="A262">
        <f t="shared" si="22"/>
        <v>1</v>
      </c>
      <c r="B262" t="str">
        <f t="shared" si="23"/>
        <v/>
      </c>
      <c r="C262">
        <f t="shared" si="20"/>
        <v>1</v>
      </c>
      <c r="D262" s="4"/>
      <c r="E262" t="s">
        <v>18</v>
      </c>
      <c r="F262" t="str">
        <f>INDEX(Establishment!B$2:B$1005,MATCH($E262,Establishment!$A$2:$A$1005,0))</f>
        <v xml:space="preserve"> </v>
      </c>
      <c r="G262" t="str">
        <f>INDEX(Establishment!C$2:C$1005,MATCH($E262,Establishment!$A$2:$A$1005,0))</f>
        <v xml:space="preserve"> </v>
      </c>
      <c r="M262">
        <f t="shared" si="21"/>
        <v>0</v>
      </c>
      <c r="N262">
        <f t="shared" si="24"/>
        <v>0</v>
      </c>
      <c r="P262" t="e">
        <f>INDEX(Items!B$2:B$1032,MATCH($O262,Items!$A$2:$A$1032,0))</f>
        <v>#N/A</v>
      </c>
      <c r="Q262" t="e">
        <f>INDEX(Items!C$2:C$1032,MATCH($O262,Items!$A$2:$A$1032,0))</f>
        <v>#N/A</v>
      </c>
      <c r="R262" t="e">
        <f>INDEX(Items!D$2:D$1032,MATCH($O262,Items!$A$2:$A$1032,0))</f>
        <v>#N/A</v>
      </c>
    </row>
    <row r="263" spans="1:18" x14ac:dyDescent="0.25">
      <c r="A263">
        <f t="shared" si="22"/>
        <v>1</v>
      </c>
      <c r="B263" t="str">
        <f t="shared" si="23"/>
        <v/>
      </c>
      <c r="C263">
        <f t="shared" si="20"/>
        <v>1</v>
      </c>
      <c r="D263" s="4"/>
      <c r="E263" t="s">
        <v>18</v>
      </c>
      <c r="F263" t="str">
        <f>INDEX(Establishment!B$2:B$1005,MATCH($E263,Establishment!$A$2:$A$1005,0))</f>
        <v xml:space="preserve"> </v>
      </c>
      <c r="G263" t="str">
        <f>INDEX(Establishment!C$2:C$1005,MATCH($E263,Establishment!$A$2:$A$1005,0))</f>
        <v xml:space="preserve"> </v>
      </c>
      <c r="M263">
        <f t="shared" si="21"/>
        <v>0</v>
      </c>
      <c r="N263">
        <f t="shared" si="24"/>
        <v>0</v>
      </c>
      <c r="P263" t="e">
        <f>INDEX(Items!B$2:B$1032,MATCH($O263,Items!$A$2:$A$1032,0))</f>
        <v>#N/A</v>
      </c>
      <c r="Q263" t="e">
        <f>INDEX(Items!C$2:C$1032,MATCH($O263,Items!$A$2:$A$1032,0))</f>
        <v>#N/A</v>
      </c>
      <c r="R263" t="e">
        <f>INDEX(Items!D$2:D$1032,MATCH($O263,Items!$A$2:$A$1032,0))</f>
        <v>#N/A</v>
      </c>
    </row>
    <row r="264" spans="1:18" x14ac:dyDescent="0.25">
      <c r="A264">
        <f t="shared" si="22"/>
        <v>1</v>
      </c>
      <c r="B264" t="str">
        <f t="shared" si="23"/>
        <v/>
      </c>
      <c r="C264">
        <f t="shared" si="20"/>
        <v>1</v>
      </c>
      <c r="D264" s="4"/>
      <c r="E264" t="s">
        <v>18</v>
      </c>
      <c r="F264" t="str">
        <f>INDEX(Establishment!B$2:B$1005,MATCH($E264,Establishment!$A$2:$A$1005,0))</f>
        <v xml:space="preserve"> </v>
      </c>
      <c r="G264" t="str">
        <f>INDEX(Establishment!C$2:C$1005,MATCH($E264,Establishment!$A$2:$A$1005,0))</f>
        <v xml:space="preserve"> </v>
      </c>
      <c r="M264">
        <f t="shared" si="21"/>
        <v>0</v>
      </c>
      <c r="N264">
        <f t="shared" si="24"/>
        <v>0</v>
      </c>
      <c r="P264" t="e">
        <f>INDEX(Items!B$2:B$1032,MATCH($O264,Items!$A$2:$A$1032,0))</f>
        <v>#N/A</v>
      </c>
      <c r="Q264" t="e">
        <f>INDEX(Items!C$2:C$1032,MATCH($O264,Items!$A$2:$A$1032,0))</f>
        <v>#N/A</v>
      </c>
      <c r="R264" t="e">
        <f>INDEX(Items!D$2:D$1032,MATCH($O264,Items!$A$2:$A$1032,0))</f>
        <v>#N/A</v>
      </c>
    </row>
    <row r="265" spans="1:18" x14ac:dyDescent="0.25">
      <c r="A265">
        <f t="shared" si="22"/>
        <v>1</v>
      </c>
      <c r="B265" t="str">
        <f t="shared" si="23"/>
        <v/>
      </c>
      <c r="C265">
        <f t="shared" si="20"/>
        <v>1</v>
      </c>
      <c r="D265" s="4"/>
      <c r="E265" t="s">
        <v>18</v>
      </c>
      <c r="F265" t="str">
        <f>INDEX(Establishment!B$2:B$1005,MATCH($E265,Establishment!$A$2:$A$1005,0))</f>
        <v xml:space="preserve"> </v>
      </c>
      <c r="G265" t="str">
        <f>INDEX(Establishment!C$2:C$1005,MATCH($E265,Establishment!$A$2:$A$1005,0))</f>
        <v xml:space="preserve"> </v>
      </c>
      <c r="M265">
        <f t="shared" si="21"/>
        <v>0</v>
      </c>
      <c r="N265">
        <f t="shared" si="24"/>
        <v>0</v>
      </c>
      <c r="P265" t="e">
        <f>INDEX(Items!B$2:B$1032,MATCH($O265,Items!$A$2:$A$1032,0))</f>
        <v>#N/A</v>
      </c>
      <c r="Q265" t="e">
        <f>INDEX(Items!C$2:C$1032,MATCH($O265,Items!$A$2:$A$1032,0))</f>
        <v>#N/A</v>
      </c>
      <c r="R265" t="e">
        <f>INDEX(Items!D$2:D$1032,MATCH($O265,Items!$A$2:$A$1032,0))</f>
        <v>#N/A</v>
      </c>
    </row>
    <row r="266" spans="1:18" x14ac:dyDescent="0.25">
      <c r="A266">
        <f t="shared" si="22"/>
        <v>1</v>
      </c>
      <c r="B266" t="str">
        <f t="shared" si="23"/>
        <v/>
      </c>
      <c r="C266">
        <f t="shared" ref="C266:C329" si="25">IF(OR(B266="",B266&lt;&gt;B265),1,C265+1)</f>
        <v>1</v>
      </c>
      <c r="D266" s="4"/>
      <c r="E266" t="s">
        <v>18</v>
      </c>
      <c r="F266" t="str">
        <f>INDEX(Establishment!B$2:B$1005,MATCH($E266,Establishment!$A$2:$A$1005,0))</f>
        <v xml:space="preserve"> </v>
      </c>
      <c r="G266" t="str">
        <f>INDEX(Establishment!C$2:C$1005,MATCH($E266,Establishment!$A$2:$A$1005,0))</f>
        <v xml:space="preserve"> </v>
      </c>
      <c r="M266">
        <f t="shared" ref="M266:M329" si="26">K266*L266</f>
        <v>0</v>
      </c>
      <c r="N266">
        <f t="shared" si="24"/>
        <v>0</v>
      </c>
      <c r="P266" t="e">
        <f>INDEX(Items!B$2:B$1032,MATCH($O266,Items!$A$2:$A$1032,0))</f>
        <v>#N/A</v>
      </c>
      <c r="Q266" t="e">
        <f>INDEX(Items!C$2:C$1032,MATCH($O266,Items!$A$2:$A$1032,0))</f>
        <v>#N/A</v>
      </c>
      <c r="R266" t="e">
        <f>INDEX(Items!D$2:D$1032,MATCH($O266,Items!$A$2:$A$1032,0))</f>
        <v>#N/A</v>
      </c>
    </row>
    <row r="267" spans="1:18" x14ac:dyDescent="0.25">
      <c r="A267">
        <f t="shared" si="22"/>
        <v>1</v>
      </c>
      <c r="B267" t="str">
        <f t="shared" si="23"/>
        <v/>
      </c>
      <c r="C267">
        <f t="shared" si="25"/>
        <v>1</v>
      </c>
      <c r="D267" s="4"/>
      <c r="E267" t="s">
        <v>18</v>
      </c>
      <c r="F267" t="str">
        <f>INDEX(Establishment!B$2:B$1005,MATCH($E267,Establishment!$A$2:$A$1005,0))</f>
        <v xml:space="preserve"> </v>
      </c>
      <c r="G267" t="str">
        <f>INDEX(Establishment!C$2:C$1005,MATCH($E267,Establishment!$A$2:$A$1005,0))</f>
        <v xml:space="preserve"> </v>
      </c>
      <c r="M267">
        <f t="shared" si="26"/>
        <v>0</v>
      </c>
      <c r="N267">
        <f t="shared" si="24"/>
        <v>0</v>
      </c>
      <c r="P267" t="e">
        <f>INDEX(Items!B$2:B$1032,MATCH($O267,Items!$A$2:$A$1032,0))</f>
        <v>#N/A</v>
      </c>
      <c r="Q267" t="e">
        <f>INDEX(Items!C$2:C$1032,MATCH($O267,Items!$A$2:$A$1032,0))</f>
        <v>#N/A</v>
      </c>
      <c r="R267" t="e">
        <f>INDEX(Items!D$2:D$1032,MATCH($O267,Items!$A$2:$A$1032,0))</f>
        <v>#N/A</v>
      </c>
    </row>
    <row r="268" spans="1:18" x14ac:dyDescent="0.25">
      <c r="A268">
        <f t="shared" si="22"/>
        <v>1</v>
      </c>
      <c r="B268" t="str">
        <f t="shared" si="23"/>
        <v/>
      </c>
      <c r="C268">
        <f t="shared" si="25"/>
        <v>1</v>
      </c>
      <c r="D268" s="4"/>
      <c r="E268" t="s">
        <v>18</v>
      </c>
      <c r="F268" t="str">
        <f>INDEX(Establishment!B$2:B$1005,MATCH($E268,Establishment!$A$2:$A$1005,0))</f>
        <v xml:space="preserve"> </v>
      </c>
      <c r="G268" t="str">
        <f>INDEX(Establishment!C$2:C$1005,MATCH($E268,Establishment!$A$2:$A$1005,0))</f>
        <v xml:space="preserve"> </v>
      </c>
      <c r="M268">
        <f t="shared" si="26"/>
        <v>0</v>
      </c>
      <c r="N268">
        <f t="shared" si="24"/>
        <v>0</v>
      </c>
      <c r="P268" t="e">
        <f>INDEX(Items!B$2:B$1032,MATCH($O268,Items!$A$2:$A$1032,0))</f>
        <v>#N/A</v>
      </c>
      <c r="Q268" t="e">
        <f>INDEX(Items!C$2:C$1032,MATCH($O268,Items!$A$2:$A$1032,0))</f>
        <v>#N/A</v>
      </c>
      <c r="R268" t="e">
        <f>INDEX(Items!D$2:D$1032,MATCH($O268,Items!$A$2:$A$1032,0))</f>
        <v>#N/A</v>
      </c>
    </row>
    <row r="269" spans="1:18" x14ac:dyDescent="0.25">
      <c r="A269">
        <f t="shared" si="22"/>
        <v>1</v>
      </c>
      <c r="B269" t="str">
        <f t="shared" si="23"/>
        <v/>
      </c>
      <c r="C269">
        <f t="shared" si="25"/>
        <v>1</v>
      </c>
      <c r="D269" s="4"/>
      <c r="E269" t="s">
        <v>18</v>
      </c>
      <c r="F269" t="str">
        <f>INDEX(Establishment!B$2:B$1005,MATCH($E269,Establishment!$A$2:$A$1005,0))</f>
        <v xml:space="preserve"> </v>
      </c>
      <c r="G269" t="str">
        <f>INDEX(Establishment!C$2:C$1005,MATCH($E269,Establishment!$A$2:$A$1005,0))</f>
        <v xml:space="preserve"> </v>
      </c>
      <c r="M269">
        <f t="shared" si="26"/>
        <v>0</v>
      </c>
      <c r="N269">
        <f t="shared" si="24"/>
        <v>0</v>
      </c>
      <c r="P269" t="e">
        <f>INDEX(Items!B$2:B$1032,MATCH($O269,Items!$A$2:$A$1032,0))</f>
        <v>#N/A</v>
      </c>
      <c r="Q269" t="e">
        <f>INDEX(Items!C$2:C$1032,MATCH($O269,Items!$A$2:$A$1032,0))</f>
        <v>#N/A</v>
      </c>
      <c r="R269" t="e">
        <f>INDEX(Items!D$2:D$1032,MATCH($O269,Items!$A$2:$A$1032,0))</f>
        <v>#N/A</v>
      </c>
    </row>
    <row r="270" spans="1:18" x14ac:dyDescent="0.25">
      <c r="A270">
        <f t="shared" si="22"/>
        <v>1</v>
      </c>
      <c r="B270" t="str">
        <f t="shared" si="23"/>
        <v/>
      </c>
      <c r="C270">
        <f t="shared" si="25"/>
        <v>1</v>
      </c>
      <c r="D270" s="4"/>
      <c r="E270" t="s">
        <v>18</v>
      </c>
      <c r="F270" t="str">
        <f>INDEX(Establishment!B$2:B$1005,MATCH($E270,Establishment!$A$2:$A$1005,0))</f>
        <v xml:space="preserve"> </v>
      </c>
      <c r="G270" t="str">
        <f>INDEX(Establishment!C$2:C$1005,MATCH($E270,Establishment!$A$2:$A$1005,0))</f>
        <v xml:space="preserve"> </v>
      </c>
      <c r="M270">
        <f t="shared" si="26"/>
        <v>0</v>
      </c>
      <c r="N270">
        <f t="shared" si="24"/>
        <v>0</v>
      </c>
      <c r="P270" t="e">
        <f>INDEX(Items!B$2:B$1032,MATCH($O270,Items!$A$2:$A$1032,0))</f>
        <v>#N/A</v>
      </c>
      <c r="Q270" t="e">
        <f>INDEX(Items!C$2:C$1032,MATCH($O270,Items!$A$2:$A$1032,0))</f>
        <v>#N/A</v>
      </c>
      <c r="R270" t="e">
        <f>INDEX(Items!D$2:D$1032,MATCH($O270,Items!$A$2:$A$1032,0))</f>
        <v>#N/A</v>
      </c>
    </row>
    <row r="271" spans="1:18" x14ac:dyDescent="0.25">
      <c r="A271">
        <f t="shared" si="22"/>
        <v>1</v>
      </c>
      <c r="B271" t="str">
        <f t="shared" si="23"/>
        <v/>
      </c>
      <c r="C271">
        <f t="shared" si="25"/>
        <v>1</v>
      </c>
      <c r="D271" s="4"/>
      <c r="E271" t="s">
        <v>18</v>
      </c>
      <c r="F271" t="str">
        <f>INDEX(Establishment!B$2:B$1005,MATCH($E271,Establishment!$A$2:$A$1005,0))</f>
        <v xml:space="preserve"> </v>
      </c>
      <c r="G271" t="str">
        <f>INDEX(Establishment!C$2:C$1005,MATCH($E271,Establishment!$A$2:$A$1005,0))</f>
        <v xml:space="preserve"> </v>
      </c>
      <c r="M271">
        <f t="shared" si="26"/>
        <v>0</v>
      </c>
      <c r="N271">
        <f t="shared" si="24"/>
        <v>0</v>
      </c>
      <c r="P271" t="e">
        <f>INDEX(Items!B$2:B$1032,MATCH($O271,Items!$A$2:$A$1032,0))</f>
        <v>#N/A</v>
      </c>
      <c r="Q271" t="e">
        <f>INDEX(Items!C$2:C$1032,MATCH($O271,Items!$A$2:$A$1032,0))</f>
        <v>#N/A</v>
      </c>
      <c r="R271" t="e">
        <f>INDEX(Items!D$2:D$1032,MATCH($O271,Items!$A$2:$A$1032,0))</f>
        <v>#N/A</v>
      </c>
    </row>
    <row r="272" spans="1:18" x14ac:dyDescent="0.25">
      <c r="A272">
        <f t="shared" si="22"/>
        <v>1</v>
      </c>
      <c r="B272" t="str">
        <f t="shared" si="23"/>
        <v/>
      </c>
      <c r="C272">
        <f t="shared" si="25"/>
        <v>1</v>
      </c>
      <c r="D272" s="4"/>
      <c r="E272" t="s">
        <v>18</v>
      </c>
      <c r="F272" t="str">
        <f>INDEX(Establishment!B$2:B$1005,MATCH($E272,Establishment!$A$2:$A$1005,0))</f>
        <v xml:space="preserve"> </v>
      </c>
      <c r="G272" t="str">
        <f>INDEX(Establishment!C$2:C$1005,MATCH($E272,Establishment!$A$2:$A$1005,0))</f>
        <v xml:space="preserve"> </v>
      </c>
      <c r="M272">
        <f t="shared" si="26"/>
        <v>0</v>
      </c>
      <c r="N272">
        <f t="shared" si="24"/>
        <v>0</v>
      </c>
      <c r="P272" t="e">
        <f>INDEX(Items!B$2:B$1032,MATCH($O272,Items!$A$2:$A$1032,0))</f>
        <v>#N/A</v>
      </c>
      <c r="Q272" t="e">
        <f>INDEX(Items!C$2:C$1032,MATCH($O272,Items!$A$2:$A$1032,0))</f>
        <v>#N/A</v>
      </c>
      <c r="R272" t="e">
        <f>INDEX(Items!D$2:D$1032,MATCH($O272,Items!$A$2:$A$1032,0))</f>
        <v>#N/A</v>
      </c>
    </row>
    <row r="273" spans="1:18" x14ac:dyDescent="0.25">
      <c r="A273">
        <f t="shared" si="22"/>
        <v>1</v>
      </c>
      <c r="B273" t="str">
        <f t="shared" si="23"/>
        <v/>
      </c>
      <c r="C273">
        <f t="shared" si="25"/>
        <v>1</v>
      </c>
      <c r="D273" s="4"/>
      <c r="E273" t="s">
        <v>18</v>
      </c>
      <c r="F273" t="str">
        <f>INDEX(Establishment!B$2:B$1005,MATCH($E273,Establishment!$A$2:$A$1005,0))</f>
        <v xml:space="preserve"> </v>
      </c>
      <c r="G273" t="str">
        <f>INDEX(Establishment!C$2:C$1005,MATCH($E273,Establishment!$A$2:$A$1005,0))</f>
        <v xml:space="preserve"> </v>
      </c>
      <c r="M273">
        <f t="shared" si="26"/>
        <v>0</v>
      </c>
      <c r="N273">
        <f t="shared" si="24"/>
        <v>0</v>
      </c>
      <c r="P273" t="e">
        <f>INDEX(Items!B$2:B$1032,MATCH($O273,Items!$A$2:$A$1032,0))</f>
        <v>#N/A</v>
      </c>
      <c r="Q273" t="e">
        <f>INDEX(Items!C$2:C$1032,MATCH($O273,Items!$A$2:$A$1032,0))</f>
        <v>#N/A</v>
      </c>
      <c r="R273" t="e">
        <f>INDEX(Items!D$2:D$1032,MATCH($O273,Items!$A$2:$A$1032,0))</f>
        <v>#N/A</v>
      </c>
    </row>
    <row r="274" spans="1:18" x14ac:dyDescent="0.25">
      <c r="A274">
        <f t="shared" si="22"/>
        <v>1</v>
      </c>
      <c r="B274" t="str">
        <f t="shared" si="23"/>
        <v/>
      </c>
      <c r="C274">
        <f t="shared" si="25"/>
        <v>1</v>
      </c>
      <c r="D274" s="4"/>
      <c r="E274" t="s">
        <v>18</v>
      </c>
      <c r="F274" t="str">
        <f>INDEX(Establishment!B$2:B$1005,MATCH($E274,Establishment!$A$2:$A$1005,0))</f>
        <v xml:space="preserve"> </v>
      </c>
      <c r="G274" t="str">
        <f>INDEX(Establishment!C$2:C$1005,MATCH($E274,Establishment!$A$2:$A$1005,0))</f>
        <v xml:space="preserve"> </v>
      </c>
      <c r="M274">
        <f t="shared" si="26"/>
        <v>0</v>
      </c>
      <c r="N274">
        <f t="shared" si="24"/>
        <v>0</v>
      </c>
      <c r="P274" t="e">
        <f>INDEX(Items!B$2:B$1032,MATCH($O274,Items!$A$2:$A$1032,0))</f>
        <v>#N/A</v>
      </c>
      <c r="Q274" t="e">
        <f>INDEX(Items!C$2:C$1032,MATCH($O274,Items!$A$2:$A$1032,0))</f>
        <v>#N/A</v>
      </c>
      <c r="R274" t="e">
        <f>INDEX(Items!D$2:D$1032,MATCH($O274,Items!$A$2:$A$1032,0))</f>
        <v>#N/A</v>
      </c>
    </row>
    <row r="275" spans="1:18" x14ac:dyDescent="0.25">
      <c r="A275">
        <f t="shared" si="22"/>
        <v>1</v>
      </c>
      <c r="B275" t="str">
        <f t="shared" si="23"/>
        <v/>
      </c>
      <c r="C275">
        <f t="shared" si="25"/>
        <v>1</v>
      </c>
      <c r="D275" s="4"/>
      <c r="E275" t="s">
        <v>18</v>
      </c>
      <c r="F275" t="str">
        <f>INDEX(Establishment!B$2:B$1005,MATCH($E275,Establishment!$A$2:$A$1005,0))</f>
        <v xml:space="preserve"> </v>
      </c>
      <c r="G275" t="str">
        <f>INDEX(Establishment!C$2:C$1005,MATCH($E275,Establishment!$A$2:$A$1005,0))</f>
        <v xml:space="preserve"> </v>
      </c>
      <c r="M275">
        <f t="shared" si="26"/>
        <v>0</v>
      </c>
      <c r="N275">
        <f t="shared" si="24"/>
        <v>0</v>
      </c>
      <c r="P275" t="e">
        <f>INDEX(Items!B$2:B$1032,MATCH($O275,Items!$A$2:$A$1032,0))</f>
        <v>#N/A</v>
      </c>
      <c r="Q275" t="e">
        <f>INDEX(Items!C$2:C$1032,MATCH($O275,Items!$A$2:$A$1032,0))</f>
        <v>#N/A</v>
      </c>
      <c r="R275" t="e">
        <f>INDEX(Items!D$2:D$1032,MATCH($O275,Items!$A$2:$A$1032,0))</f>
        <v>#N/A</v>
      </c>
    </row>
    <row r="276" spans="1:18" x14ac:dyDescent="0.25">
      <c r="A276">
        <f t="shared" si="22"/>
        <v>1</v>
      </c>
      <c r="B276" t="str">
        <f t="shared" si="23"/>
        <v/>
      </c>
      <c r="C276">
        <f t="shared" si="25"/>
        <v>1</v>
      </c>
      <c r="D276" s="4"/>
      <c r="E276" t="s">
        <v>18</v>
      </c>
      <c r="F276" t="str">
        <f>INDEX(Establishment!B$2:B$1005,MATCH($E276,Establishment!$A$2:$A$1005,0))</f>
        <v xml:space="preserve"> </v>
      </c>
      <c r="G276" t="str">
        <f>INDEX(Establishment!C$2:C$1005,MATCH($E276,Establishment!$A$2:$A$1005,0))</f>
        <v xml:space="preserve"> </v>
      </c>
      <c r="M276">
        <f t="shared" si="26"/>
        <v>0</v>
      </c>
      <c r="N276">
        <f t="shared" si="24"/>
        <v>0</v>
      </c>
      <c r="P276" t="e">
        <f>INDEX(Items!B$2:B$1032,MATCH($O276,Items!$A$2:$A$1032,0))</f>
        <v>#N/A</v>
      </c>
      <c r="Q276" t="e">
        <f>INDEX(Items!C$2:C$1032,MATCH($O276,Items!$A$2:$A$1032,0))</f>
        <v>#N/A</v>
      </c>
      <c r="R276" t="e">
        <f>INDEX(Items!D$2:D$1032,MATCH($O276,Items!$A$2:$A$1032,0))</f>
        <v>#N/A</v>
      </c>
    </row>
    <row r="277" spans="1:18" x14ac:dyDescent="0.25">
      <c r="A277">
        <f t="shared" si="22"/>
        <v>1</v>
      </c>
      <c r="B277" t="str">
        <f t="shared" si="23"/>
        <v/>
      </c>
      <c r="C277">
        <f t="shared" si="25"/>
        <v>1</v>
      </c>
      <c r="D277" s="4"/>
      <c r="E277" t="s">
        <v>18</v>
      </c>
      <c r="F277" t="str">
        <f>INDEX(Establishment!B$2:B$1005,MATCH($E277,Establishment!$A$2:$A$1005,0))</f>
        <v xml:space="preserve"> </v>
      </c>
      <c r="G277" t="str">
        <f>INDEX(Establishment!C$2:C$1005,MATCH($E277,Establishment!$A$2:$A$1005,0))</f>
        <v xml:space="preserve"> </v>
      </c>
      <c r="M277">
        <f t="shared" si="26"/>
        <v>0</v>
      </c>
      <c r="N277">
        <f t="shared" si="24"/>
        <v>0</v>
      </c>
      <c r="P277" t="e">
        <f>INDEX(Items!B$2:B$1032,MATCH($O277,Items!$A$2:$A$1032,0))</f>
        <v>#N/A</v>
      </c>
      <c r="Q277" t="e">
        <f>INDEX(Items!C$2:C$1032,MATCH($O277,Items!$A$2:$A$1032,0))</f>
        <v>#N/A</v>
      </c>
      <c r="R277" t="e">
        <f>INDEX(Items!D$2:D$1032,MATCH($O277,Items!$A$2:$A$1032,0))</f>
        <v>#N/A</v>
      </c>
    </row>
    <row r="278" spans="1:18" x14ac:dyDescent="0.25">
      <c r="A278">
        <f t="shared" si="22"/>
        <v>1</v>
      </c>
      <c r="B278" t="str">
        <f t="shared" si="23"/>
        <v/>
      </c>
      <c r="C278">
        <f t="shared" si="25"/>
        <v>1</v>
      </c>
      <c r="D278" s="4"/>
      <c r="E278" t="s">
        <v>18</v>
      </c>
      <c r="F278" t="str">
        <f>INDEX(Establishment!B$2:B$1005,MATCH($E278,Establishment!$A$2:$A$1005,0))</f>
        <v xml:space="preserve"> </v>
      </c>
      <c r="G278" t="str">
        <f>INDEX(Establishment!C$2:C$1005,MATCH($E278,Establishment!$A$2:$A$1005,0))</f>
        <v xml:space="preserve"> </v>
      </c>
      <c r="M278">
        <f t="shared" si="26"/>
        <v>0</v>
      </c>
      <c r="N278">
        <f t="shared" si="24"/>
        <v>0</v>
      </c>
      <c r="P278" t="e">
        <f>INDEX(Items!B$2:B$1032,MATCH($O278,Items!$A$2:$A$1032,0))</f>
        <v>#N/A</v>
      </c>
      <c r="Q278" t="e">
        <f>INDEX(Items!C$2:C$1032,MATCH($O278,Items!$A$2:$A$1032,0))</f>
        <v>#N/A</v>
      </c>
      <c r="R278" t="e">
        <f>INDEX(Items!D$2:D$1032,MATCH($O278,Items!$A$2:$A$1032,0))</f>
        <v>#N/A</v>
      </c>
    </row>
    <row r="279" spans="1:18" x14ac:dyDescent="0.25">
      <c r="A279">
        <f t="shared" si="22"/>
        <v>1</v>
      </c>
      <c r="B279" t="str">
        <f t="shared" si="23"/>
        <v/>
      </c>
      <c r="C279">
        <f t="shared" si="25"/>
        <v>1</v>
      </c>
      <c r="D279" s="4"/>
      <c r="E279" t="s">
        <v>18</v>
      </c>
      <c r="F279" t="str">
        <f>INDEX(Establishment!B$2:B$1005,MATCH($E279,Establishment!$A$2:$A$1005,0))</f>
        <v xml:space="preserve"> </v>
      </c>
      <c r="G279" t="str">
        <f>INDEX(Establishment!C$2:C$1005,MATCH($E279,Establishment!$A$2:$A$1005,0))</f>
        <v xml:space="preserve"> </v>
      </c>
      <c r="M279">
        <f t="shared" si="26"/>
        <v>0</v>
      </c>
      <c r="N279">
        <f t="shared" si="24"/>
        <v>0</v>
      </c>
      <c r="P279" t="e">
        <f>INDEX(Items!B$2:B$1032,MATCH($O279,Items!$A$2:$A$1032,0))</f>
        <v>#N/A</v>
      </c>
      <c r="Q279" t="e">
        <f>INDEX(Items!C$2:C$1032,MATCH($O279,Items!$A$2:$A$1032,0))</f>
        <v>#N/A</v>
      </c>
      <c r="R279" t="e">
        <f>INDEX(Items!D$2:D$1032,MATCH($O279,Items!$A$2:$A$1032,0))</f>
        <v>#N/A</v>
      </c>
    </row>
    <row r="280" spans="1:18" x14ac:dyDescent="0.25">
      <c r="A280">
        <f t="shared" si="22"/>
        <v>1</v>
      </c>
      <c r="B280" t="str">
        <f t="shared" si="23"/>
        <v/>
      </c>
      <c r="C280">
        <f t="shared" si="25"/>
        <v>1</v>
      </c>
      <c r="D280" s="4"/>
      <c r="E280" t="s">
        <v>18</v>
      </c>
      <c r="F280" t="str">
        <f>INDEX(Establishment!B$2:B$1005,MATCH($E280,Establishment!$A$2:$A$1005,0))</f>
        <v xml:space="preserve"> </v>
      </c>
      <c r="G280" t="str">
        <f>INDEX(Establishment!C$2:C$1005,MATCH($E280,Establishment!$A$2:$A$1005,0))</f>
        <v xml:space="preserve"> </v>
      </c>
      <c r="M280">
        <f t="shared" si="26"/>
        <v>0</v>
      </c>
      <c r="N280">
        <f t="shared" si="24"/>
        <v>0</v>
      </c>
      <c r="P280" t="e">
        <f>INDEX(Items!B$2:B$1032,MATCH($O280,Items!$A$2:$A$1032,0))</f>
        <v>#N/A</v>
      </c>
      <c r="Q280" t="e">
        <f>INDEX(Items!C$2:C$1032,MATCH($O280,Items!$A$2:$A$1032,0))</f>
        <v>#N/A</v>
      </c>
      <c r="R280" t="e">
        <f>INDEX(Items!D$2:D$1032,MATCH($O280,Items!$A$2:$A$1032,0))</f>
        <v>#N/A</v>
      </c>
    </row>
    <row r="281" spans="1:18" x14ac:dyDescent="0.25">
      <c r="A281">
        <f t="shared" si="22"/>
        <v>1</v>
      </c>
      <c r="B281" t="str">
        <f t="shared" si="23"/>
        <v/>
      </c>
      <c r="C281">
        <f t="shared" si="25"/>
        <v>1</v>
      </c>
      <c r="D281" s="4"/>
      <c r="E281" t="s">
        <v>18</v>
      </c>
      <c r="F281" t="str">
        <f>INDEX(Establishment!B$2:B$1005,MATCH($E281,Establishment!$A$2:$A$1005,0))</f>
        <v xml:space="preserve"> </v>
      </c>
      <c r="G281" t="str">
        <f>INDEX(Establishment!C$2:C$1005,MATCH($E281,Establishment!$A$2:$A$1005,0))</f>
        <v xml:space="preserve"> </v>
      </c>
      <c r="M281">
        <f t="shared" si="26"/>
        <v>0</v>
      </c>
      <c r="N281">
        <f t="shared" si="24"/>
        <v>0</v>
      </c>
      <c r="P281" t="e">
        <f>INDEX(Items!B$2:B$1032,MATCH($O281,Items!$A$2:$A$1032,0))</f>
        <v>#N/A</v>
      </c>
      <c r="Q281" t="e">
        <f>INDEX(Items!C$2:C$1032,MATCH($O281,Items!$A$2:$A$1032,0))</f>
        <v>#N/A</v>
      </c>
      <c r="R281" t="e">
        <f>INDEX(Items!D$2:D$1032,MATCH($O281,Items!$A$2:$A$1032,0))</f>
        <v>#N/A</v>
      </c>
    </row>
    <row r="282" spans="1:18" x14ac:dyDescent="0.25">
      <c r="A282">
        <f t="shared" si="22"/>
        <v>1</v>
      </c>
      <c r="B282" t="str">
        <f t="shared" si="23"/>
        <v/>
      </c>
      <c r="C282">
        <f t="shared" si="25"/>
        <v>1</v>
      </c>
      <c r="D282" s="4"/>
      <c r="E282" t="s">
        <v>18</v>
      </c>
      <c r="F282" t="str">
        <f>INDEX(Establishment!B$2:B$1005,MATCH($E282,Establishment!$A$2:$A$1005,0))</f>
        <v xml:space="preserve"> </v>
      </c>
      <c r="G282" t="str">
        <f>INDEX(Establishment!C$2:C$1005,MATCH($E282,Establishment!$A$2:$A$1005,0))</f>
        <v xml:space="preserve"> </v>
      </c>
      <c r="M282">
        <f t="shared" si="26"/>
        <v>0</v>
      </c>
      <c r="N282">
        <f t="shared" si="24"/>
        <v>0</v>
      </c>
      <c r="P282" t="e">
        <f>INDEX(Items!B$2:B$1032,MATCH($O282,Items!$A$2:$A$1032,0))</f>
        <v>#N/A</v>
      </c>
      <c r="Q282" t="e">
        <f>INDEX(Items!C$2:C$1032,MATCH($O282,Items!$A$2:$A$1032,0))</f>
        <v>#N/A</v>
      </c>
      <c r="R282" t="e">
        <f>INDEX(Items!D$2:D$1032,MATCH($O282,Items!$A$2:$A$1032,0))</f>
        <v>#N/A</v>
      </c>
    </row>
    <row r="283" spans="1:18" x14ac:dyDescent="0.25">
      <c r="A283">
        <f t="shared" si="22"/>
        <v>1</v>
      </c>
      <c r="B283" t="str">
        <f t="shared" si="23"/>
        <v/>
      </c>
      <c r="C283">
        <f t="shared" si="25"/>
        <v>1</v>
      </c>
      <c r="D283" s="4"/>
      <c r="E283" t="s">
        <v>18</v>
      </c>
      <c r="F283" t="str">
        <f>INDEX(Establishment!B$2:B$1005,MATCH($E283,Establishment!$A$2:$A$1005,0))</f>
        <v xml:space="preserve"> </v>
      </c>
      <c r="G283" t="str">
        <f>INDEX(Establishment!C$2:C$1005,MATCH($E283,Establishment!$A$2:$A$1005,0))</f>
        <v xml:space="preserve"> </v>
      </c>
      <c r="M283">
        <f t="shared" si="26"/>
        <v>0</v>
      </c>
      <c r="N283">
        <f t="shared" si="24"/>
        <v>0</v>
      </c>
      <c r="P283" t="e">
        <f>INDEX(Items!B$2:B$1032,MATCH($O283,Items!$A$2:$A$1032,0))</f>
        <v>#N/A</v>
      </c>
      <c r="Q283" t="e">
        <f>INDEX(Items!C$2:C$1032,MATCH($O283,Items!$A$2:$A$1032,0))</f>
        <v>#N/A</v>
      </c>
      <c r="R283" t="e">
        <f>INDEX(Items!D$2:D$1032,MATCH($O283,Items!$A$2:$A$1032,0))</f>
        <v>#N/A</v>
      </c>
    </row>
    <row r="284" spans="1:18" x14ac:dyDescent="0.25">
      <c r="A284">
        <f t="shared" si="22"/>
        <v>1</v>
      </c>
      <c r="B284" t="str">
        <f t="shared" si="23"/>
        <v/>
      </c>
      <c r="C284">
        <f t="shared" si="25"/>
        <v>1</v>
      </c>
      <c r="D284" s="4"/>
      <c r="E284" t="s">
        <v>18</v>
      </c>
      <c r="F284" t="str">
        <f>INDEX(Establishment!B$2:B$1005,MATCH($E284,Establishment!$A$2:$A$1005,0))</f>
        <v xml:space="preserve"> </v>
      </c>
      <c r="G284" t="str">
        <f>INDEX(Establishment!C$2:C$1005,MATCH($E284,Establishment!$A$2:$A$1005,0))</f>
        <v xml:space="preserve"> </v>
      </c>
      <c r="M284">
        <f t="shared" si="26"/>
        <v>0</v>
      </c>
      <c r="N284">
        <f t="shared" si="24"/>
        <v>0</v>
      </c>
      <c r="P284" t="e">
        <f>INDEX(Items!B$2:B$1032,MATCH($O284,Items!$A$2:$A$1032,0))</f>
        <v>#N/A</v>
      </c>
      <c r="Q284" t="e">
        <f>INDEX(Items!C$2:C$1032,MATCH($O284,Items!$A$2:$A$1032,0))</f>
        <v>#N/A</v>
      </c>
      <c r="R284" t="e">
        <f>INDEX(Items!D$2:D$1032,MATCH($O284,Items!$A$2:$A$1032,0))</f>
        <v>#N/A</v>
      </c>
    </row>
    <row r="285" spans="1:18" x14ac:dyDescent="0.25">
      <c r="A285">
        <f t="shared" si="22"/>
        <v>1</v>
      </c>
      <c r="B285" t="str">
        <f t="shared" si="23"/>
        <v/>
      </c>
      <c r="C285">
        <f t="shared" si="25"/>
        <v>1</v>
      </c>
      <c r="D285" s="4"/>
      <c r="E285" t="s">
        <v>18</v>
      </c>
      <c r="F285" t="str">
        <f>INDEX(Establishment!B$2:B$1005,MATCH($E285,Establishment!$A$2:$A$1005,0))</f>
        <v xml:space="preserve"> </v>
      </c>
      <c r="G285" t="str">
        <f>INDEX(Establishment!C$2:C$1005,MATCH($E285,Establishment!$A$2:$A$1005,0))</f>
        <v xml:space="preserve"> </v>
      </c>
      <c r="M285">
        <f t="shared" si="26"/>
        <v>0</v>
      </c>
      <c r="N285">
        <f t="shared" si="24"/>
        <v>0</v>
      </c>
      <c r="P285" t="e">
        <f>INDEX(Items!B$2:B$1032,MATCH($O285,Items!$A$2:$A$1032,0))</f>
        <v>#N/A</v>
      </c>
      <c r="Q285" t="e">
        <f>INDEX(Items!C$2:C$1032,MATCH($O285,Items!$A$2:$A$1032,0))</f>
        <v>#N/A</v>
      </c>
      <c r="R285" t="e">
        <f>INDEX(Items!D$2:D$1032,MATCH($O285,Items!$A$2:$A$1032,0))</f>
        <v>#N/A</v>
      </c>
    </row>
    <row r="286" spans="1:18" x14ac:dyDescent="0.25">
      <c r="A286">
        <f t="shared" si="22"/>
        <v>1</v>
      </c>
      <c r="B286" t="str">
        <f t="shared" si="23"/>
        <v/>
      </c>
      <c r="C286">
        <f t="shared" si="25"/>
        <v>1</v>
      </c>
      <c r="D286" s="4"/>
      <c r="E286" t="s">
        <v>18</v>
      </c>
      <c r="F286" t="str">
        <f>INDEX(Establishment!B$2:B$1005,MATCH($E286,Establishment!$A$2:$A$1005,0))</f>
        <v xml:space="preserve"> </v>
      </c>
      <c r="G286" t="str">
        <f>INDEX(Establishment!C$2:C$1005,MATCH($E286,Establishment!$A$2:$A$1005,0))</f>
        <v xml:space="preserve"> </v>
      </c>
      <c r="M286">
        <f t="shared" si="26"/>
        <v>0</v>
      </c>
      <c r="N286">
        <f t="shared" si="24"/>
        <v>0</v>
      </c>
      <c r="P286" t="e">
        <f>INDEX(Items!B$2:B$1032,MATCH($O286,Items!$A$2:$A$1032,0))</f>
        <v>#N/A</v>
      </c>
      <c r="Q286" t="e">
        <f>INDEX(Items!C$2:C$1032,MATCH($O286,Items!$A$2:$A$1032,0))</f>
        <v>#N/A</v>
      </c>
      <c r="R286" t="e">
        <f>INDEX(Items!D$2:D$1032,MATCH($O286,Items!$A$2:$A$1032,0))</f>
        <v>#N/A</v>
      </c>
    </row>
    <row r="287" spans="1:18" x14ac:dyDescent="0.25">
      <c r="A287">
        <f t="shared" si="22"/>
        <v>1</v>
      </c>
      <c r="B287" t="str">
        <f t="shared" si="23"/>
        <v/>
      </c>
      <c r="C287">
        <f t="shared" si="25"/>
        <v>1</v>
      </c>
      <c r="D287" s="4"/>
      <c r="E287" t="s">
        <v>18</v>
      </c>
      <c r="F287" t="str">
        <f>INDEX(Establishment!B$2:B$1005,MATCH($E287,Establishment!$A$2:$A$1005,0))</f>
        <v xml:space="preserve"> </v>
      </c>
      <c r="G287" t="str">
        <f>INDEX(Establishment!C$2:C$1005,MATCH($E287,Establishment!$A$2:$A$1005,0))</f>
        <v xml:space="preserve"> </v>
      </c>
      <c r="M287">
        <f t="shared" si="26"/>
        <v>0</v>
      </c>
      <c r="N287">
        <f t="shared" si="24"/>
        <v>0</v>
      </c>
      <c r="P287" t="e">
        <f>INDEX(Items!B$2:B$1032,MATCH($O287,Items!$A$2:$A$1032,0))</f>
        <v>#N/A</v>
      </c>
      <c r="Q287" t="e">
        <f>INDEX(Items!C$2:C$1032,MATCH($O287,Items!$A$2:$A$1032,0))</f>
        <v>#N/A</v>
      </c>
      <c r="R287" t="e">
        <f>INDEX(Items!D$2:D$1032,MATCH($O287,Items!$A$2:$A$1032,0))</f>
        <v>#N/A</v>
      </c>
    </row>
    <row r="288" spans="1:18" x14ac:dyDescent="0.25">
      <c r="A288">
        <f t="shared" si="22"/>
        <v>1</v>
      </c>
      <c r="B288" t="str">
        <f t="shared" si="23"/>
        <v/>
      </c>
      <c r="C288">
        <f t="shared" si="25"/>
        <v>1</v>
      </c>
      <c r="D288" s="4"/>
      <c r="E288" t="s">
        <v>18</v>
      </c>
      <c r="F288" t="str">
        <f>INDEX(Establishment!B$2:B$1005,MATCH($E288,Establishment!$A$2:$A$1005,0))</f>
        <v xml:space="preserve"> </v>
      </c>
      <c r="G288" t="str">
        <f>INDEX(Establishment!C$2:C$1005,MATCH($E288,Establishment!$A$2:$A$1005,0))</f>
        <v xml:space="preserve"> </v>
      </c>
      <c r="M288">
        <f t="shared" si="26"/>
        <v>0</v>
      </c>
      <c r="N288">
        <f t="shared" si="24"/>
        <v>0</v>
      </c>
      <c r="P288" t="e">
        <f>INDEX(Items!B$2:B$1032,MATCH($O288,Items!$A$2:$A$1032,0))</f>
        <v>#N/A</v>
      </c>
      <c r="Q288" t="e">
        <f>INDEX(Items!C$2:C$1032,MATCH($O288,Items!$A$2:$A$1032,0))</f>
        <v>#N/A</v>
      </c>
      <c r="R288" t="e">
        <f>INDEX(Items!D$2:D$1032,MATCH($O288,Items!$A$2:$A$1032,0))</f>
        <v>#N/A</v>
      </c>
    </row>
    <row r="289" spans="1:18" x14ac:dyDescent="0.25">
      <c r="A289">
        <f t="shared" si="22"/>
        <v>1</v>
      </c>
      <c r="B289" t="str">
        <f t="shared" si="23"/>
        <v/>
      </c>
      <c r="C289">
        <f t="shared" si="25"/>
        <v>1</v>
      </c>
      <c r="D289" s="4"/>
      <c r="E289" t="s">
        <v>18</v>
      </c>
      <c r="F289" t="str">
        <f>INDEX(Establishment!B$2:B$1005,MATCH($E289,Establishment!$A$2:$A$1005,0))</f>
        <v xml:space="preserve"> </v>
      </c>
      <c r="G289" t="str">
        <f>INDEX(Establishment!C$2:C$1005,MATCH($E289,Establishment!$A$2:$A$1005,0))</f>
        <v xml:space="preserve"> </v>
      </c>
      <c r="M289">
        <f t="shared" si="26"/>
        <v>0</v>
      </c>
      <c r="N289">
        <f t="shared" si="24"/>
        <v>0</v>
      </c>
      <c r="P289" t="e">
        <f>INDEX(Items!B$2:B$1032,MATCH($O289,Items!$A$2:$A$1032,0))</f>
        <v>#N/A</v>
      </c>
      <c r="Q289" t="e">
        <f>INDEX(Items!C$2:C$1032,MATCH($O289,Items!$A$2:$A$1032,0))</f>
        <v>#N/A</v>
      </c>
      <c r="R289" t="e">
        <f>INDEX(Items!D$2:D$1032,MATCH($O289,Items!$A$2:$A$1032,0))</f>
        <v>#N/A</v>
      </c>
    </row>
    <row r="290" spans="1:18" x14ac:dyDescent="0.25">
      <c r="A290">
        <f t="shared" si="22"/>
        <v>1</v>
      </c>
      <c r="B290" t="str">
        <f t="shared" si="23"/>
        <v/>
      </c>
      <c r="C290">
        <f t="shared" si="25"/>
        <v>1</v>
      </c>
      <c r="D290" s="4"/>
      <c r="E290" t="s">
        <v>18</v>
      </c>
      <c r="F290" t="str">
        <f>INDEX(Establishment!B$2:B$1005,MATCH($E290,Establishment!$A$2:$A$1005,0))</f>
        <v xml:space="preserve"> </v>
      </c>
      <c r="G290" t="str">
        <f>INDEX(Establishment!C$2:C$1005,MATCH($E290,Establishment!$A$2:$A$1005,0))</f>
        <v xml:space="preserve"> </v>
      </c>
      <c r="M290">
        <f t="shared" si="26"/>
        <v>0</v>
      </c>
      <c r="N290">
        <f t="shared" si="24"/>
        <v>0</v>
      </c>
      <c r="P290" t="e">
        <f>INDEX(Items!B$2:B$1032,MATCH($O290,Items!$A$2:$A$1032,0))</f>
        <v>#N/A</v>
      </c>
      <c r="Q290" t="e">
        <f>INDEX(Items!C$2:C$1032,MATCH($O290,Items!$A$2:$A$1032,0))</f>
        <v>#N/A</v>
      </c>
      <c r="R290" t="e">
        <f>INDEX(Items!D$2:D$1032,MATCH($O290,Items!$A$2:$A$1032,0))</f>
        <v>#N/A</v>
      </c>
    </row>
    <row r="291" spans="1:18" x14ac:dyDescent="0.25">
      <c r="A291">
        <f t="shared" si="22"/>
        <v>1</v>
      </c>
      <c r="B291" t="str">
        <f t="shared" si="23"/>
        <v/>
      </c>
      <c r="C291">
        <f t="shared" si="25"/>
        <v>1</v>
      </c>
      <c r="D291" s="4"/>
      <c r="E291" t="s">
        <v>18</v>
      </c>
      <c r="F291" t="str">
        <f>INDEX(Establishment!B$2:B$1005,MATCH($E291,Establishment!$A$2:$A$1005,0))</f>
        <v xml:space="preserve"> </v>
      </c>
      <c r="G291" t="str">
        <f>INDEX(Establishment!C$2:C$1005,MATCH($E291,Establishment!$A$2:$A$1005,0))</f>
        <v xml:space="preserve"> </v>
      </c>
      <c r="M291">
        <f t="shared" si="26"/>
        <v>0</v>
      </c>
      <c r="N291">
        <f t="shared" si="24"/>
        <v>0</v>
      </c>
      <c r="P291" t="e">
        <f>INDEX(Items!B$2:B$1032,MATCH($O291,Items!$A$2:$A$1032,0))</f>
        <v>#N/A</v>
      </c>
      <c r="Q291" t="e">
        <f>INDEX(Items!C$2:C$1032,MATCH($O291,Items!$A$2:$A$1032,0))</f>
        <v>#N/A</v>
      </c>
      <c r="R291" t="e">
        <f>INDEX(Items!D$2:D$1032,MATCH($O291,Items!$A$2:$A$1032,0))</f>
        <v>#N/A</v>
      </c>
    </row>
    <row r="292" spans="1:18" x14ac:dyDescent="0.25">
      <c r="A292">
        <f t="shared" si="22"/>
        <v>1</v>
      </c>
      <c r="B292" t="str">
        <f t="shared" si="23"/>
        <v/>
      </c>
      <c r="C292">
        <f t="shared" si="25"/>
        <v>1</v>
      </c>
      <c r="D292" s="4"/>
      <c r="E292" t="s">
        <v>18</v>
      </c>
      <c r="F292" t="str">
        <f>INDEX(Establishment!B$2:B$1005,MATCH($E292,Establishment!$A$2:$A$1005,0))</f>
        <v xml:space="preserve"> </v>
      </c>
      <c r="G292" t="str">
        <f>INDEX(Establishment!C$2:C$1005,MATCH($E292,Establishment!$A$2:$A$1005,0))</f>
        <v xml:space="preserve"> </v>
      </c>
      <c r="M292">
        <f t="shared" si="26"/>
        <v>0</v>
      </c>
      <c r="N292">
        <f t="shared" si="24"/>
        <v>0</v>
      </c>
      <c r="P292" t="e">
        <f>INDEX(Items!B$2:B$1032,MATCH($O292,Items!$A$2:$A$1032,0))</f>
        <v>#N/A</v>
      </c>
      <c r="Q292" t="e">
        <f>INDEX(Items!C$2:C$1032,MATCH($O292,Items!$A$2:$A$1032,0))</f>
        <v>#N/A</v>
      </c>
      <c r="R292" t="e">
        <f>INDEX(Items!D$2:D$1032,MATCH($O292,Items!$A$2:$A$1032,0))</f>
        <v>#N/A</v>
      </c>
    </row>
    <row r="293" spans="1:18" x14ac:dyDescent="0.25">
      <c r="A293">
        <f t="shared" si="22"/>
        <v>1</v>
      </c>
      <c r="B293" t="str">
        <f t="shared" si="23"/>
        <v/>
      </c>
      <c r="C293">
        <f t="shared" si="25"/>
        <v>1</v>
      </c>
      <c r="D293" s="4"/>
      <c r="E293" t="s">
        <v>18</v>
      </c>
      <c r="F293" t="str">
        <f>INDEX(Establishment!B$2:B$1005,MATCH($E293,Establishment!$A$2:$A$1005,0))</f>
        <v xml:space="preserve"> </v>
      </c>
      <c r="G293" t="str">
        <f>INDEX(Establishment!C$2:C$1005,MATCH($E293,Establishment!$A$2:$A$1005,0))</f>
        <v xml:space="preserve"> </v>
      </c>
      <c r="M293">
        <f t="shared" si="26"/>
        <v>0</v>
      </c>
      <c r="N293">
        <f t="shared" si="24"/>
        <v>0</v>
      </c>
      <c r="P293" t="e">
        <f>INDEX(Items!B$2:B$1032,MATCH($O293,Items!$A$2:$A$1032,0))</f>
        <v>#N/A</v>
      </c>
      <c r="Q293" t="e">
        <f>INDEX(Items!C$2:C$1032,MATCH($O293,Items!$A$2:$A$1032,0))</f>
        <v>#N/A</v>
      </c>
      <c r="R293" t="e">
        <f>INDEX(Items!D$2:D$1032,MATCH($O293,Items!$A$2:$A$1032,0))</f>
        <v>#N/A</v>
      </c>
    </row>
    <row r="294" spans="1:18" x14ac:dyDescent="0.25">
      <c r="A294">
        <f t="shared" si="22"/>
        <v>1</v>
      </c>
      <c r="B294" t="str">
        <f t="shared" si="23"/>
        <v/>
      </c>
      <c r="C294">
        <f t="shared" si="25"/>
        <v>1</v>
      </c>
      <c r="D294" s="4"/>
      <c r="E294" t="s">
        <v>18</v>
      </c>
      <c r="F294" t="str">
        <f>INDEX(Establishment!B$2:B$1005,MATCH($E294,Establishment!$A$2:$A$1005,0))</f>
        <v xml:space="preserve"> </v>
      </c>
      <c r="G294" t="str">
        <f>INDEX(Establishment!C$2:C$1005,MATCH($E294,Establishment!$A$2:$A$1005,0))</f>
        <v xml:space="preserve"> </v>
      </c>
      <c r="M294">
        <f t="shared" si="26"/>
        <v>0</v>
      </c>
      <c r="N294">
        <f t="shared" si="24"/>
        <v>0</v>
      </c>
      <c r="P294" t="e">
        <f>INDEX(Items!B$2:B$1032,MATCH($O294,Items!$A$2:$A$1032,0))</f>
        <v>#N/A</v>
      </c>
      <c r="Q294" t="e">
        <f>INDEX(Items!C$2:C$1032,MATCH($O294,Items!$A$2:$A$1032,0))</f>
        <v>#N/A</v>
      </c>
      <c r="R294" t="e">
        <f>INDEX(Items!D$2:D$1032,MATCH($O294,Items!$A$2:$A$1032,0))</f>
        <v>#N/A</v>
      </c>
    </row>
    <row r="295" spans="1:18" x14ac:dyDescent="0.25">
      <c r="A295">
        <f t="shared" si="22"/>
        <v>1</v>
      </c>
      <c r="B295" t="str">
        <f t="shared" si="23"/>
        <v/>
      </c>
      <c r="C295">
        <f t="shared" si="25"/>
        <v>1</v>
      </c>
      <c r="D295" s="4"/>
      <c r="E295" t="s">
        <v>18</v>
      </c>
      <c r="F295" t="str">
        <f>INDEX(Establishment!B$2:B$1005,MATCH($E295,Establishment!$A$2:$A$1005,0))</f>
        <v xml:space="preserve"> </v>
      </c>
      <c r="G295" t="str">
        <f>INDEX(Establishment!C$2:C$1005,MATCH($E295,Establishment!$A$2:$A$1005,0))</f>
        <v xml:space="preserve"> </v>
      </c>
      <c r="M295">
        <f t="shared" si="26"/>
        <v>0</v>
      </c>
      <c r="N295">
        <f t="shared" si="24"/>
        <v>0</v>
      </c>
      <c r="P295" t="e">
        <f>INDEX(Items!B$2:B$1032,MATCH($O295,Items!$A$2:$A$1032,0))</f>
        <v>#N/A</v>
      </c>
      <c r="Q295" t="e">
        <f>INDEX(Items!C$2:C$1032,MATCH($O295,Items!$A$2:$A$1032,0))</f>
        <v>#N/A</v>
      </c>
      <c r="R295" t="e">
        <f>INDEX(Items!D$2:D$1032,MATCH($O295,Items!$A$2:$A$1032,0))</f>
        <v>#N/A</v>
      </c>
    </row>
    <row r="296" spans="1:18" x14ac:dyDescent="0.25">
      <c r="A296">
        <f t="shared" si="22"/>
        <v>1</v>
      </c>
      <c r="B296" t="str">
        <f t="shared" si="23"/>
        <v/>
      </c>
      <c r="C296">
        <f t="shared" si="25"/>
        <v>1</v>
      </c>
      <c r="D296" s="4"/>
      <c r="E296" t="s">
        <v>18</v>
      </c>
      <c r="F296" t="str">
        <f>INDEX(Establishment!B$2:B$1005,MATCH($E296,Establishment!$A$2:$A$1005,0))</f>
        <v xml:space="preserve"> </v>
      </c>
      <c r="G296" t="str">
        <f>INDEX(Establishment!C$2:C$1005,MATCH($E296,Establishment!$A$2:$A$1005,0))</f>
        <v xml:space="preserve"> </v>
      </c>
      <c r="M296">
        <f t="shared" si="26"/>
        <v>0</v>
      </c>
      <c r="N296">
        <f t="shared" si="24"/>
        <v>0</v>
      </c>
      <c r="P296" t="e">
        <f>INDEX(Items!B$2:B$1032,MATCH($O296,Items!$A$2:$A$1032,0))</f>
        <v>#N/A</v>
      </c>
      <c r="Q296" t="e">
        <f>INDEX(Items!C$2:C$1032,MATCH($O296,Items!$A$2:$A$1032,0))</f>
        <v>#N/A</v>
      </c>
      <c r="R296" t="e">
        <f>INDEX(Items!D$2:D$1032,MATCH($O296,Items!$A$2:$A$1032,0))</f>
        <v>#N/A</v>
      </c>
    </row>
    <row r="297" spans="1:18" x14ac:dyDescent="0.25">
      <c r="A297">
        <f t="shared" si="22"/>
        <v>1</v>
      </c>
      <c r="B297" t="str">
        <f t="shared" si="23"/>
        <v/>
      </c>
      <c r="C297">
        <f t="shared" si="25"/>
        <v>1</v>
      </c>
      <c r="D297" s="4"/>
      <c r="E297" t="s">
        <v>18</v>
      </c>
      <c r="F297" t="str">
        <f>INDEX(Establishment!B$2:B$1005,MATCH($E297,Establishment!$A$2:$A$1005,0))</f>
        <v xml:space="preserve"> </v>
      </c>
      <c r="G297" t="str">
        <f>INDEX(Establishment!C$2:C$1005,MATCH($E297,Establishment!$A$2:$A$1005,0))</f>
        <v xml:space="preserve"> </v>
      </c>
      <c r="M297">
        <f t="shared" si="26"/>
        <v>0</v>
      </c>
      <c r="N297">
        <f t="shared" si="24"/>
        <v>0</v>
      </c>
      <c r="P297" t="e">
        <f>INDEX(Items!B$2:B$1032,MATCH($O297,Items!$A$2:$A$1032,0))</f>
        <v>#N/A</v>
      </c>
      <c r="Q297" t="e">
        <f>INDEX(Items!C$2:C$1032,MATCH($O297,Items!$A$2:$A$1032,0))</f>
        <v>#N/A</v>
      </c>
      <c r="R297" t="e">
        <f>INDEX(Items!D$2:D$1032,MATCH($O297,Items!$A$2:$A$1032,0))</f>
        <v>#N/A</v>
      </c>
    </row>
    <row r="298" spans="1:18" x14ac:dyDescent="0.25">
      <c r="A298">
        <f t="shared" si="22"/>
        <v>1</v>
      </c>
      <c r="B298" t="str">
        <f t="shared" si="23"/>
        <v/>
      </c>
      <c r="C298">
        <f t="shared" si="25"/>
        <v>1</v>
      </c>
      <c r="D298" s="4"/>
      <c r="E298" t="s">
        <v>18</v>
      </c>
      <c r="F298" t="str">
        <f>INDEX(Establishment!B$2:B$1005,MATCH($E298,Establishment!$A$2:$A$1005,0))</f>
        <v xml:space="preserve"> </v>
      </c>
      <c r="G298" t="str">
        <f>INDEX(Establishment!C$2:C$1005,MATCH($E298,Establishment!$A$2:$A$1005,0))</f>
        <v xml:space="preserve"> </v>
      </c>
      <c r="M298">
        <f t="shared" si="26"/>
        <v>0</v>
      </c>
      <c r="N298">
        <f t="shared" si="24"/>
        <v>0</v>
      </c>
      <c r="P298" t="e">
        <f>INDEX(Items!B$2:B$1032,MATCH($O298,Items!$A$2:$A$1032,0))</f>
        <v>#N/A</v>
      </c>
      <c r="Q298" t="e">
        <f>INDEX(Items!C$2:C$1032,MATCH($O298,Items!$A$2:$A$1032,0))</f>
        <v>#N/A</v>
      </c>
      <c r="R298" t="e">
        <f>INDEX(Items!D$2:D$1032,MATCH($O298,Items!$A$2:$A$1032,0))</f>
        <v>#N/A</v>
      </c>
    </row>
    <row r="299" spans="1:18" x14ac:dyDescent="0.25">
      <c r="A299">
        <f t="shared" si="22"/>
        <v>1</v>
      </c>
      <c r="B299" t="str">
        <f t="shared" si="23"/>
        <v/>
      </c>
      <c r="C299">
        <f t="shared" si="25"/>
        <v>1</v>
      </c>
      <c r="D299" s="4"/>
      <c r="E299" t="s">
        <v>18</v>
      </c>
      <c r="F299" t="str">
        <f>INDEX(Establishment!B$2:B$1005,MATCH($E299,Establishment!$A$2:$A$1005,0))</f>
        <v xml:space="preserve"> </v>
      </c>
      <c r="G299" t="str">
        <f>INDEX(Establishment!C$2:C$1005,MATCH($E299,Establishment!$A$2:$A$1005,0))</f>
        <v xml:space="preserve"> </v>
      </c>
      <c r="M299">
        <f t="shared" si="26"/>
        <v>0</v>
      </c>
      <c r="N299">
        <f t="shared" si="24"/>
        <v>0</v>
      </c>
      <c r="P299" t="e">
        <f>INDEX(Items!B$2:B$1032,MATCH($O299,Items!$A$2:$A$1032,0))</f>
        <v>#N/A</v>
      </c>
      <c r="Q299" t="e">
        <f>INDEX(Items!C$2:C$1032,MATCH($O299,Items!$A$2:$A$1032,0))</f>
        <v>#N/A</v>
      </c>
      <c r="R299" t="e">
        <f>INDEX(Items!D$2:D$1032,MATCH($O299,Items!$A$2:$A$1032,0))</f>
        <v>#N/A</v>
      </c>
    </row>
    <row r="300" spans="1:18" x14ac:dyDescent="0.25">
      <c r="A300">
        <f t="shared" si="22"/>
        <v>1</v>
      </c>
      <c r="B300" t="str">
        <f t="shared" si="23"/>
        <v/>
      </c>
      <c r="C300">
        <f t="shared" si="25"/>
        <v>1</v>
      </c>
      <c r="D300" s="4"/>
      <c r="E300" t="s">
        <v>18</v>
      </c>
      <c r="F300" t="str">
        <f>INDEX(Establishment!B$2:B$1005,MATCH($E300,Establishment!$A$2:$A$1005,0))</f>
        <v xml:space="preserve"> </v>
      </c>
      <c r="G300" t="str">
        <f>INDEX(Establishment!C$2:C$1005,MATCH($E300,Establishment!$A$2:$A$1005,0))</f>
        <v xml:space="preserve"> </v>
      </c>
      <c r="M300">
        <f t="shared" si="26"/>
        <v>0</v>
      </c>
      <c r="N300">
        <f t="shared" si="24"/>
        <v>0</v>
      </c>
      <c r="P300" t="e">
        <f>INDEX(Items!B$2:B$1032,MATCH($O300,Items!$A$2:$A$1032,0))</f>
        <v>#N/A</v>
      </c>
      <c r="Q300" t="e">
        <f>INDEX(Items!C$2:C$1032,MATCH($O300,Items!$A$2:$A$1032,0))</f>
        <v>#N/A</v>
      </c>
      <c r="R300" t="e">
        <f>INDEX(Items!D$2:D$1032,MATCH($O300,Items!$A$2:$A$1032,0))</f>
        <v>#N/A</v>
      </c>
    </row>
    <row r="301" spans="1:18" x14ac:dyDescent="0.25">
      <c r="A301">
        <f t="shared" si="22"/>
        <v>1</v>
      </c>
      <c r="B301" t="str">
        <f t="shared" si="23"/>
        <v/>
      </c>
      <c r="C301">
        <f t="shared" si="25"/>
        <v>1</v>
      </c>
      <c r="D301" s="4"/>
      <c r="E301" t="s">
        <v>18</v>
      </c>
      <c r="F301" t="str">
        <f>INDEX(Establishment!B$2:B$1005,MATCH($E301,Establishment!$A$2:$A$1005,0))</f>
        <v xml:space="preserve"> </v>
      </c>
      <c r="G301" t="str">
        <f>INDEX(Establishment!C$2:C$1005,MATCH($E301,Establishment!$A$2:$A$1005,0))</f>
        <v xml:space="preserve"> </v>
      </c>
      <c r="M301">
        <f t="shared" si="26"/>
        <v>0</v>
      </c>
      <c r="N301">
        <f t="shared" si="24"/>
        <v>0</v>
      </c>
      <c r="P301" t="e">
        <f>INDEX(Items!B$2:B$1032,MATCH($O301,Items!$A$2:$A$1032,0))</f>
        <v>#N/A</v>
      </c>
      <c r="Q301" t="e">
        <f>INDEX(Items!C$2:C$1032,MATCH($O301,Items!$A$2:$A$1032,0))</f>
        <v>#N/A</v>
      </c>
      <c r="R301" t="e">
        <f>INDEX(Items!D$2:D$1032,MATCH($O301,Items!$A$2:$A$1032,0))</f>
        <v>#N/A</v>
      </c>
    </row>
    <row r="302" spans="1:18" x14ac:dyDescent="0.25">
      <c r="A302">
        <f t="shared" si="22"/>
        <v>1</v>
      </c>
      <c r="B302" t="str">
        <f t="shared" si="23"/>
        <v/>
      </c>
      <c r="C302">
        <f t="shared" si="25"/>
        <v>1</v>
      </c>
      <c r="D302" s="4"/>
      <c r="E302" t="s">
        <v>18</v>
      </c>
      <c r="F302" t="str">
        <f>INDEX(Establishment!B$2:B$1005,MATCH($E302,Establishment!$A$2:$A$1005,0))</f>
        <v xml:space="preserve"> </v>
      </c>
      <c r="G302" t="str">
        <f>INDEX(Establishment!C$2:C$1005,MATCH($E302,Establishment!$A$2:$A$1005,0))</f>
        <v xml:space="preserve"> </v>
      </c>
      <c r="M302">
        <f t="shared" si="26"/>
        <v>0</v>
      </c>
      <c r="N302">
        <f t="shared" si="24"/>
        <v>0</v>
      </c>
      <c r="P302" t="e">
        <f>INDEX(Items!B$2:B$1032,MATCH($O302,Items!$A$2:$A$1032,0))</f>
        <v>#N/A</v>
      </c>
      <c r="Q302" t="e">
        <f>INDEX(Items!C$2:C$1032,MATCH($O302,Items!$A$2:$A$1032,0))</f>
        <v>#N/A</v>
      </c>
      <c r="R302" t="e">
        <f>INDEX(Items!D$2:D$1032,MATCH($O302,Items!$A$2:$A$1032,0))</f>
        <v>#N/A</v>
      </c>
    </row>
    <row r="303" spans="1:18" x14ac:dyDescent="0.25">
      <c r="A303">
        <f t="shared" si="22"/>
        <v>1</v>
      </c>
      <c r="B303" t="str">
        <f t="shared" si="23"/>
        <v/>
      </c>
      <c r="C303">
        <f t="shared" si="25"/>
        <v>1</v>
      </c>
      <c r="D303" s="4"/>
      <c r="E303" t="s">
        <v>18</v>
      </c>
      <c r="F303" t="str">
        <f>INDEX(Establishment!B$2:B$1005,MATCH($E303,Establishment!$A$2:$A$1005,0))</f>
        <v xml:space="preserve"> </v>
      </c>
      <c r="G303" t="str">
        <f>INDEX(Establishment!C$2:C$1005,MATCH($E303,Establishment!$A$2:$A$1005,0))</f>
        <v xml:space="preserve"> </v>
      </c>
      <c r="M303">
        <f t="shared" si="26"/>
        <v>0</v>
      </c>
      <c r="N303">
        <f t="shared" si="24"/>
        <v>0</v>
      </c>
      <c r="P303" t="e">
        <f>INDEX(Items!B$2:B$1032,MATCH($O303,Items!$A$2:$A$1032,0))</f>
        <v>#N/A</v>
      </c>
      <c r="Q303" t="e">
        <f>INDEX(Items!C$2:C$1032,MATCH($O303,Items!$A$2:$A$1032,0))</f>
        <v>#N/A</v>
      </c>
      <c r="R303" t="e">
        <f>INDEX(Items!D$2:D$1032,MATCH($O303,Items!$A$2:$A$1032,0))</f>
        <v>#N/A</v>
      </c>
    </row>
    <row r="304" spans="1:18" x14ac:dyDescent="0.25">
      <c r="A304">
        <f t="shared" si="22"/>
        <v>1</v>
      </c>
      <c r="B304" t="str">
        <f t="shared" si="23"/>
        <v/>
      </c>
      <c r="C304">
        <f t="shared" si="25"/>
        <v>1</v>
      </c>
      <c r="D304" s="4"/>
      <c r="E304" t="s">
        <v>18</v>
      </c>
      <c r="F304" t="str">
        <f>INDEX(Establishment!B$2:B$1005,MATCH($E304,Establishment!$A$2:$A$1005,0))</f>
        <v xml:space="preserve"> </v>
      </c>
      <c r="G304" t="str">
        <f>INDEX(Establishment!C$2:C$1005,MATCH($E304,Establishment!$A$2:$A$1005,0))</f>
        <v xml:space="preserve"> </v>
      </c>
      <c r="M304">
        <f t="shared" si="26"/>
        <v>0</v>
      </c>
      <c r="N304">
        <f t="shared" si="24"/>
        <v>0</v>
      </c>
      <c r="P304" t="e">
        <f>INDEX(Items!B$2:B$1032,MATCH($O304,Items!$A$2:$A$1032,0))</f>
        <v>#N/A</v>
      </c>
      <c r="Q304" t="e">
        <f>INDEX(Items!C$2:C$1032,MATCH($O304,Items!$A$2:$A$1032,0))</f>
        <v>#N/A</v>
      </c>
      <c r="R304" t="e">
        <f>INDEX(Items!D$2:D$1032,MATCH($O304,Items!$A$2:$A$1032,0))</f>
        <v>#N/A</v>
      </c>
    </row>
    <row r="305" spans="1:18" x14ac:dyDescent="0.25">
      <c r="A305">
        <f t="shared" si="22"/>
        <v>1</v>
      </c>
      <c r="B305" t="str">
        <f t="shared" si="23"/>
        <v/>
      </c>
      <c r="C305">
        <f t="shared" si="25"/>
        <v>1</v>
      </c>
      <c r="D305" s="4"/>
      <c r="E305" t="s">
        <v>18</v>
      </c>
      <c r="F305" t="str">
        <f>INDEX(Establishment!B$2:B$1005,MATCH($E305,Establishment!$A$2:$A$1005,0))</f>
        <v xml:space="preserve"> </v>
      </c>
      <c r="G305" t="str">
        <f>INDEX(Establishment!C$2:C$1005,MATCH($E305,Establishment!$A$2:$A$1005,0))</f>
        <v xml:space="preserve"> </v>
      </c>
      <c r="M305">
        <f t="shared" si="26"/>
        <v>0</v>
      </c>
      <c r="N305">
        <f t="shared" si="24"/>
        <v>0</v>
      </c>
      <c r="P305" t="e">
        <f>INDEX(Items!B$2:B$1032,MATCH($O305,Items!$A$2:$A$1032,0))</f>
        <v>#N/A</v>
      </c>
      <c r="Q305" t="e">
        <f>INDEX(Items!C$2:C$1032,MATCH($O305,Items!$A$2:$A$1032,0))</f>
        <v>#N/A</v>
      </c>
      <c r="R305" t="e">
        <f>INDEX(Items!D$2:D$1032,MATCH($O305,Items!$A$2:$A$1032,0))</f>
        <v>#N/A</v>
      </c>
    </row>
    <row r="306" spans="1:18" x14ac:dyDescent="0.25">
      <c r="A306">
        <f t="shared" si="22"/>
        <v>1</v>
      </c>
      <c r="B306" t="str">
        <f t="shared" si="23"/>
        <v/>
      </c>
      <c r="C306">
        <f t="shared" si="25"/>
        <v>1</v>
      </c>
      <c r="D306" s="4"/>
      <c r="E306" t="s">
        <v>18</v>
      </c>
      <c r="F306" t="str">
        <f>INDEX(Establishment!B$2:B$1005,MATCH($E306,Establishment!$A$2:$A$1005,0))</f>
        <v xml:space="preserve"> </v>
      </c>
      <c r="G306" t="str">
        <f>INDEX(Establishment!C$2:C$1005,MATCH($E306,Establishment!$A$2:$A$1005,0))</f>
        <v xml:space="preserve"> </v>
      </c>
      <c r="M306">
        <f t="shared" si="26"/>
        <v>0</v>
      </c>
      <c r="N306">
        <f t="shared" si="24"/>
        <v>0</v>
      </c>
      <c r="P306" t="e">
        <f>INDEX(Items!B$2:B$1032,MATCH($O306,Items!$A$2:$A$1032,0))</f>
        <v>#N/A</v>
      </c>
      <c r="Q306" t="e">
        <f>INDEX(Items!C$2:C$1032,MATCH($O306,Items!$A$2:$A$1032,0))</f>
        <v>#N/A</v>
      </c>
      <c r="R306" t="e">
        <f>INDEX(Items!D$2:D$1032,MATCH($O306,Items!$A$2:$A$1032,0))</f>
        <v>#N/A</v>
      </c>
    </row>
    <row r="307" spans="1:18" x14ac:dyDescent="0.25">
      <c r="A307">
        <f t="shared" si="22"/>
        <v>1</v>
      </c>
      <c r="B307" t="str">
        <f t="shared" si="23"/>
        <v/>
      </c>
      <c r="C307">
        <f t="shared" si="25"/>
        <v>1</v>
      </c>
      <c r="D307" s="4"/>
      <c r="E307" t="s">
        <v>18</v>
      </c>
      <c r="F307" t="str">
        <f>INDEX(Establishment!B$2:B$1005,MATCH($E307,Establishment!$A$2:$A$1005,0))</f>
        <v xml:space="preserve"> </v>
      </c>
      <c r="G307" t="str">
        <f>INDEX(Establishment!C$2:C$1005,MATCH($E307,Establishment!$A$2:$A$1005,0))</f>
        <v xml:space="preserve"> </v>
      </c>
      <c r="M307">
        <f t="shared" si="26"/>
        <v>0</v>
      </c>
      <c r="N307">
        <f t="shared" si="24"/>
        <v>0</v>
      </c>
      <c r="P307" t="e">
        <f>INDEX(Items!B$2:B$1032,MATCH($O307,Items!$A$2:$A$1032,0))</f>
        <v>#N/A</v>
      </c>
      <c r="Q307" t="e">
        <f>INDEX(Items!C$2:C$1032,MATCH($O307,Items!$A$2:$A$1032,0))</f>
        <v>#N/A</v>
      </c>
      <c r="R307" t="e">
        <f>INDEX(Items!D$2:D$1032,MATCH($O307,Items!$A$2:$A$1032,0))</f>
        <v>#N/A</v>
      </c>
    </row>
    <row r="308" spans="1:18" x14ac:dyDescent="0.25">
      <c r="A308">
        <f t="shared" si="22"/>
        <v>1</v>
      </c>
      <c r="B308" t="str">
        <f t="shared" si="23"/>
        <v/>
      </c>
      <c r="C308">
        <f t="shared" si="25"/>
        <v>1</v>
      </c>
      <c r="D308" s="4"/>
      <c r="E308" t="s">
        <v>18</v>
      </c>
      <c r="F308" t="str">
        <f>INDEX(Establishment!B$2:B$1005,MATCH($E308,Establishment!$A$2:$A$1005,0))</f>
        <v xml:space="preserve"> </v>
      </c>
      <c r="G308" t="str">
        <f>INDEX(Establishment!C$2:C$1005,MATCH($E308,Establishment!$A$2:$A$1005,0))</f>
        <v xml:space="preserve"> </v>
      </c>
      <c r="M308">
        <f t="shared" si="26"/>
        <v>0</v>
      </c>
      <c r="N308">
        <f t="shared" si="24"/>
        <v>0</v>
      </c>
      <c r="P308" t="e">
        <f>INDEX(Items!B$2:B$1032,MATCH($O308,Items!$A$2:$A$1032,0))</f>
        <v>#N/A</v>
      </c>
      <c r="Q308" t="e">
        <f>INDEX(Items!C$2:C$1032,MATCH($O308,Items!$A$2:$A$1032,0))</f>
        <v>#N/A</v>
      </c>
      <c r="R308" t="e">
        <f>INDEX(Items!D$2:D$1032,MATCH($O308,Items!$A$2:$A$1032,0))</f>
        <v>#N/A</v>
      </c>
    </row>
    <row r="309" spans="1:18" x14ac:dyDescent="0.25">
      <c r="A309">
        <f t="shared" si="22"/>
        <v>1</v>
      </c>
      <c r="B309" t="str">
        <f t="shared" si="23"/>
        <v/>
      </c>
      <c r="C309">
        <f t="shared" si="25"/>
        <v>1</v>
      </c>
      <c r="D309" s="4"/>
      <c r="E309" t="s">
        <v>18</v>
      </c>
      <c r="F309" t="str">
        <f>INDEX(Establishment!B$2:B$1005,MATCH($E309,Establishment!$A$2:$A$1005,0))</f>
        <v xml:space="preserve"> </v>
      </c>
      <c r="G309" t="str">
        <f>INDEX(Establishment!C$2:C$1005,MATCH($E309,Establishment!$A$2:$A$1005,0))</f>
        <v xml:space="preserve"> </v>
      </c>
      <c r="M309">
        <f t="shared" si="26"/>
        <v>0</v>
      </c>
      <c r="N309">
        <f t="shared" si="24"/>
        <v>0</v>
      </c>
      <c r="P309" t="e">
        <f>INDEX(Items!B$2:B$1032,MATCH($O309,Items!$A$2:$A$1032,0))</f>
        <v>#N/A</v>
      </c>
      <c r="Q309" t="e">
        <f>INDEX(Items!C$2:C$1032,MATCH($O309,Items!$A$2:$A$1032,0))</f>
        <v>#N/A</v>
      </c>
      <c r="R309" t="e">
        <f>INDEX(Items!D$2:D$1032,MATCH($O309,Items!$A$2:$A$1032,0))</f>
        <v>#N/A</v>
      </c>
    </row>
    <row r="310" spans="1:18" x14ac:dyDescent="0.25">
      <c r="A310">
        <f t="shared" si="22"/>
        <v>1</v>
      </c>
      <c r="B310" t="str">
        <f t="shared" si="23"/>
        <v/>
      </c>
      <c r="C310">
        <f t="shared" si="25"/>
        <v>1</v>
      </c>
      <c r="D310" s="4"/>
      <c r="E310" t="s">
        <v>18</v>
      </c>
      <c r="F310" t="str">
        <f>INDEX(Establishment!B$2:B$1005,MATCH($E310,Establishment!$A$2:$A$1005,0))</f>
        <v xml:space="preserve"> </v>
      </c>
      <c r="G310" t="str">
        <f>INDEX(Establishment!C$2:C$1005,MATCH($E310,Establishment!$A$2:$A$1005,0))</f>
        <v xml:space="preserve"> </v>
      </c>
      <c r="M310">
        <f t="shared" si="26"/>
        <v>0</v>
      </c>
      <c r="N310">
        <f t="shared" si="24"/>
        <v>0</v>
      </c>
      <c r="P310" t="e">
        <f>INDEX(Items!B$2:B$1032,MATCH($O310,Items!$A$2:$A$1032,0))</f>
        <v>#N/A</v>
      </c>
      <c r="Q310" t="e">
        <f>INDEX(Items!C$2:C$1032,MATCH($O310,Items!$A$2:$A$1032,0))</f>
        <v>#N/A</v>
      </c>
      <c r="R310" t="e">
        <f>INDEX(Items!D$2:D$1032,MATCH($O310,Items!$A$2:$A$1032,0))</f>
        <v>#N/A</v>
      </c>
    </row>
    <row r="311" spans="1:18" x14ac:dyDescent="0.25">
      <c r="A311">
        <f t="shared" si="22"/>
        <v>1</v>
      </c>
      <c r="B311" t="str">
        <f t="shared" si="23"/>
        <v/>
      </c>
      <c r="C311">
        <f t="shared" si="25"/>
        <v>1</v>
      </c>
      <c r="D311" s="4"/>
      <c r="E311" t="s">
        <v>18</v>
      </c>
      <c r="F311" t="str">
        <f>INDEX(Establishment!B$2:B$1005,MATCH($E311,Establishment!$A$2:$A$1005,0))</f>
        <v xml:space="preserve"> </v>
      </c>
      <c r="G311" t="str">
        <f>INDEX(Establishment!C$2:C$1005,MATCH($E311,Establishment!$A$2:$A$1005,0))</f>
        <v xml:space="preserve"> </v>
      </c>
      <c r="M311">
        <f t="shared" si="26"/>
        <v>0</v>
      </c>
      <c r="N311">
        <f t="shared" si="24"/>
        <v>0</v>
      </c>
      <c r="P311" t="e">
        <f>INDEX(Items!B$2:B$1032,MATCH($O311,Items!$A$2:$A$1032,0))</f>
        <v>#N/A</v>
      </c>
      <c r="Q311" t="e">
        <f>INDEX(Items!C$2:C$1032,MATCH($O311,Items!$A$2:$A$1032,0))</f>
        <v>#N/A</v>
      </c>
      <c r="R311" t="e">
        <f>INDEX(Items!D$2:D$1032,MATCH($O311,Items!$A$2:$A$1032,0))</f>
        <v>#N/A</v>
      </c>
    </row>
    <row r="312" spans="1:18" x14ac:dyDescent="0.25">
      <c r="A312">
        <f t="shared" si="22"/>
        <v>1</v>
      </c>
      <c r="B312" t="str">
        <f t="shared" si="23"/>
        <v/>
      </c>
      <c r="C312">
        <f t="shared" si="25"/>
        <v>1</v>
      </c>
      <c r="D312" s="4"/>
      <c r="E312" t="s">
        <v>18</v>
      </c>
      <c r="F312" t="str">
        <f>INDEX(Establishment!B$2:B$1005,MATCH($E312,Establishment!$A$2:$A$1005,0))</f>
        <v xml:space="preserve"> </v>
      </c>
      <c r="G312" t="str">
        <f>INDEX(Establishment!C$2:C$1005,MATCH($E312,Establishment!$A$2:$A$1005,0))</f>
        <v xml:space="preserve"> </v>
      </c>
      <c r="M312">
        <f t="shared" si="26"/>
        <v>0</v>
      </c>
      <c r="N312">
        <f t="shared" si="24"/>
        <v>0</v>
      </c>
      <c r="P312" t="e">
        <f>INDEX(Items!B$2:B$1032,MATCH($O312,Items!$A$2:$A$1032,0))</f>
        <v>#N/A</v>
      </c>
      <c r="Q312" t="e">
        <f>INDEX(Items!C$2:C$1032,MATCH($O312,Items!$A$2:$A$1032,0))</f>
        <v>#N/A</v>
      </c>
      <c r="R312" t="e">
        <f>INDEX(Items!D$2:D$1032,MATCH($O312,Items!$A$2:$A$1032,0))</f>
        <v>#N/A</v>
      </c>
    </row>
    <row r="313" spans="1:18" x14ac:dyDescent="0.25">
      <c r="A313">
        <f t="shared" si="22"/>
        <v>1</v>
      </c>
      <c r="B313" t="str">
        <f t="shared" si="23"/>
        <v/>
      </c>
      <c r="C313">
        <f t="shared" si="25"/>
        <v>1</v>
      </c>
      <c r="D313" s="4"/>
      <c r="E313" t="s">
        <v>18</v>
      </c>
      <c r="F313" t="str">
        <f>INDEX(Establishment!B$2:B$1005,MATCH($E313,Establishment!$A$2:$A$1005,0))</f>
        <v xml:space="preserve"> </v>
      </c>
      <c r="G313" t="str">
        <f>INDEX(Establishment!C$2:C$1005,MATCH($E313,Establishment!$A$2:$A$1005,0))</f>
        <v xml:space="preserve"> </v>
      </c>
      <c r="M313">
        <f t="shared" si="26"/>
        <v>0</v>
      </c>
      <c r="N313">
        <f t="shared" si="24"/>
        <v>0</v>
      </c>
      <c r="P313" t="e">
        <f>INDEX(Items!B$2:B$1032,MATCH($O313,Items!$A$2:$A$1032,0))</f>
        <v>#N/A</v>
      </c>
      <c r="Q313" t="e">
        <f>INDEX(Items!C$2:C$1032,MATCH($O313,Items!$A$2:$A$1032,0))</f>
        <v>#N/A</v>
      </c>
      <c r="R313" t="e">
        <f>INDEX(Items!D$2:D$1032,MATCH($O313,Items!$A$2:$A$1032,0))</f>
        <v>#N/A</v>
      </c>
    </row>
    <row r="314" spans="1:18" x14ac:dyDescent="0.25">
      <c r="A314">
        <f t="shared" si="22"/>
        <v>1</v>
      </c>
      <c r="B314" t="str">
        <f t="shared" si="23"/>
        <v/>
      </c>
      <c r="C314">
        <f t="shared" si="25"/>
        <v>1</v>
      </c>
      <c r="D314" s="4"/>
      <c r="E314" t="s">
        <v>18</v>
      </c>
      <c r="F314" t="str">
        <f>INDEX(Establishment!B$2:B$1005,MATCH($E314,Establishment!$A$2:$A$1005,0))</f>
        <v xml:space="preserve"> </v>
      </c>
      <c r="G314" t="str">
        <f>INDEX(Establishment!C$2:C$1005,MATCH($E314,Establishment!$A$2:$A$1005,0))</f>
        <v xml:space="preserve"> </v>
      </c>
      <c r="M314">
        <f t="shared" si="26"/>
        <v>0</v>
      </c>
      <c r="N314">
        <f t="shared" si="24"/>
        <v>0</v>
      </c>
      <c r="P314" t="e">
        <f>INDEX(Items!B$2:B$1032,MATCH($O314,Items!$A$2:$A$1032,0))</f>
        <v>#N/A</v>
      </c>
      <c r="Q314" t="e">
        <f>INDEX(Items!C$2:C$1032,MATCH($O314,Items!$A$2:$A$1032,0))</f>
        <v>#N/A</v>
      </c>
      <c r="R314" t="e">
        <f>INDEX(Items!D$2:D$1032,MATCH($O314,Items!$A$2:$A$1032,0))</f>
        <v>#N/A</v>
      </c>
    </row>
    <row r="315" spans="1:18" x14ac:dyDescent="0.25">
      <c r="A315">
        <f t="shared" si="22"/>
        <v>1</v>
      </c>
      <c r="B315" t="str">
        <f t="shared" si="23"/>
        <v/>
      </c>
      <c r="C315">
        <f t="shared" si="25"/>
        <v>1</v>
      </c>
      <c r="D315" s="4"/>
      <c r="E315" t="s">
        <v>18</v>
      </c>
      <c r="F315" t="str">
        <f>INDEX(Establishment!B$2:B$1005,MATCH($E315,Establishment!$A$2:$A$1005,0))</f>
        <v xml:space="preserve"> </v>
      </c>
      <c r="G315" t="str">
        <f>INDEX(Establishment!C$2:C$1005,MATCH($E315,Establishment!$A$2:$A$1005,0))</f>
        <v xml:space="preserve"> </v>
      </c>
      <c r="M315">
        <f t="shared" si="26"/>
        <v>0</v>
      </c>
      <c r="N315">
        <f t="shared" si="24"/>
        <v>0</v>
      </c>
      <c r="P315" t="e">
        <f>INDEX(Items!B$2:B$1032,MATCH($O315,Items!$A$2:$A$1032,0))</f>
        <v>#N/A</v>
      </c>
      <c r="Q315" t="e">
        <f>INDEX(Items!C$2:C$1032,MATCH($O315,Items!$A$2:$A$1032,0))</f>
        <v>#N/A</v>
      </c>
      <c r="R315" t="e">
        <f>INDEX(Items!D$2:D$1032,MATCH($O315,Items!$A$2:$A$1032,0))</f>
        <v>#N/A</v>
      </c>
    </row>
    <row r="316" spans="1:18" x14ac:dyDescent="0.25">
      <c r="A316">
        <f t="shared" si="22"/>
        <v>1</v>
      </c>
      <c r="B316" t="str">
        <f t="shared" si="23"/>
        <v/>
      </c>
      <c r="C316">
        <f t="shared" si="25"/>
        <v>1</v>
      </c>
      <c r="D316" s="4"/>
      <c r="E316" t="s">
        <v>18</v>
      </c>
      <c r="F316" t="str">
        <f>INDEX(Establishment!B$2:B$1005,MATCH($E316,Establishment!$A$2:$A$1005,0))</f>
        <v xml:space="preserve"> </v>
      </c>
      <c r="G316" t="str">
        <f>INDEX(Establishment!C$2:C$1005,MATCH($E316,Establishment!$A$2:$A$1005,0))</f>
        <v xml:space="preserve"> </v>
      </c>
      <c r="M316">
        <f t="shared" si="26"/>
        <v>0</v>
      </c>
      <c r="N316">
        <f t="shared" si="24"/>
        <v>0</v>
      </c>
      <c r="P316" t="e">
        <f>INDEX(Items!B$2:B$1032,MATCH($O316,Items!$A$2:$A$1032,0))</f>
        <v>#N/A</v>
      </c>
      <c r="Q316" t="e">
        <f>INDEX(Items!C$2:C$1032,MATCH($O316,Items!$A$2:$A$1032,0))</f>
        <v>#N/A</v>
      </c>
      <c r="R316" t="e">
        <f>INDEX(Items!D$2:D$1032,MATCH($O316,Items!$A$2:$A$1032,0))</f>
        <v>#N/A</v>
      </c>
    </row>
    <row r="317" spans="1:18" x14ac:dyDescent="0.25">
      <c r="A317">
        <f t="shared" si="22"/>
        <v>1</v>
      </c>
      <c r="B317" t="str">
        <f t="shared" si="23"/>
        <v/>
      </c>
      <c r="C317">
        <f t="shared" si="25"/>
        <v>1</v>
      </c>
      <c r="D317" s="4"/>
      <c r="E317" t="s">
        <v>18</v>
      </c>
      <c r="F317" t="str">
        <f>INDEX(Establishment!B$2:B$1005,MATCH($E317,Establishment!$A$2:$A$1005,0))</f>
        <v xml:space="preserve"> </v>
      </c>
      <c r="G317" t="str">
        <f>INDEX(Establishment!C$2:C$1005,MATCH($E317,Establishment!$A$2:$A$1005,0))</f>
        <v xml:space="preserve"> </v>
      </c>
      <c r="M317">
        <f t="shared" si="26"/>
        <v>0</v>
      </c>
      <c r="N317">
        <f t="shared" si="24"/>
        <v>0</v>
      </c>
      <c r="P317" t="e">
        <f>INDEX(Items!B$2:B$1032,MATCH($O317,Items!$A$2:$A$1032,0))</f>
        <v>#N/A</v>
      </c>
      <c r="Q317" t="e">
        <f>INDEX(Items!C$2:C$1032,MATCH($O317,Items!$A$2:$A$1032,0))</f>
        <v>#N/A</v>
      </c>
      <c r="R317" t="e">
        <f>INDEX(Items!D$2:D$1032,MATCH($O317,Items!$A$2:$A$1032,0))</f>
        <v>#N/A</v>
      </c>
    </row>
    <row r="318" spans="1:18" x14ac:dyDescent="0.25">
      <c r="A318">
        <f t="shared" si="22"/>
        <v>1</v>
      </c>
      <c r="B318" t="str">
        <f t="shared" si="23"/>
        <v/>
      </c>
      <c r="C318">
        <f t="shared" si="25"/>
        <v>1</v>
      </c>
      <c r="D318" s="4"/>
      <c r="E318" t="s">
        <v>18</v>
      </c>
      <c r="F318" t="str">
        <f>INDEX(Establishment!B$2:B$1005,MATCH($E318,Establishment!$A$2:$A$1005,0))</f>
        <v xml:space="preserve"> </v>
      </c>
      <c r="G318" t="str">
        <f>INDEX(Establishment!C$2:C$1005,MATCH($E318,Establishment!$A$2:$A$1005,0))</f>
        <v xml:space="preserve"> </v>
      </c>
      <c r="M318">
        <f t="shared" si="26"/>
        <v>0</v>
      </c>
      <c r="N318">
        <f t="shared" si="24"/>
        <v>0</v>
      </c>
      <c r="P318" t="e">
        <f>INDEX(Items!B$2:B$1032,MATCH($O318,Items!$A$2:$A$1032,0))</f>
        <v>#N/A</v>
      </c>
      <c r="Q318" t="e">
        <f>INDEX(Items!C$2:C$1032,MATCH($O318,Items!$A$2:$A$1032,0))</f>
        <v>#N/A</v>
      </c>
      <c r="R318" t="e">
        <f>INDEX(Items!D$2:D$1032,MATCH($O318,Items!$A$2:$A$1032,0))</f>
        <v>#N/A</v>
      </c>
    </row>
    <row r="319" spans="1:18" x14ac:dyDescent="0.25">
      <c r="A319">
        <f t="shared" si="22"/>
        <v>1</v>
      </c>
      <c r="B319" t="str">
        <f t="shared" si="23"/>
        <v/>
      </c>
      <c r="C319">
        <f t="shared" si="25"/>
        <v>1</v>
      </c>
      <c r="D319" s="4"/>
      <c r="E319" t="s">
        <v>18</v>
      </c>
      <c r="F319" t="str">
        <f>INDEX(Establishment!B$2:B$1005,MATCH($E319,Establishment!$A$2:$A$1005,0))</f>
        <v xml:space="preserve"> </v>
      </c>
      <c r="G319" t="str">
        <f>INDEX(Establishment!C$2:C$1005,MATCH($E319,Establishment!$A$2:$A$1005,0))</f>
        <v xml:space="preserve"> </v>
      </c>
      <c r="M319">
        <f t="shared" si="26"/>
        <v>0</v>
      </c>
      <c r="N319">
        <f t="shared" si="24"/>
        <v>0</v>
      </c>
      <c r="P319" t="e">
        <f>INDEX(Items!B$2:B$1032,MATCH($O319,Items!$A$2:$A$1032,0))</f>
        <v>#N/A</v>
      </c>
      <c r="Q319" t="e">
        <f>INDEX(Items!C$2:C$1032,MATCH($O319,Items!$A$2:$A$1032,0))</f>
        <v>#N/A</v>
      </c>
      <c r="R319" t="e">
        <f>INDEX(Items!D$2:D$1032,MATCH($O319,Items!$A$2:$A$1032,0))</f>
        <v>#N/A</v>
      </c>
    </row>
    <row r="320" spans="1:18" x14ac:dyDescent="0.25">
      <c r="A320">
        <f t="shared" si="22"/>
        <v>1</v>
      </c>
      <c r="B320" t="str">
        <f t="shared" si="23"/>
        <v/>
      </c>
      <c r="C320">
        <f t="shared" si="25"/>
        <v>1</v>
      </c>
      <c r="D320" s="4"/>
      <c r="E320" t="s">
        <v>18</v>
      </c>
      <c r="F320" t="str">
        <f>INDEX(Establishment!B$2:B$1005,MATCH($E320,Establishment!$A$2:$A$1005,0))</f>
        <v xml:space="preserve"> </v>
      </c>
      <c r="G320" t="str">
        <f>INDEX(Establishment!C$2:C$1005,MATCH($E320,Establishment!$A$2:$A$1005,0))</f>
        <v xml:space="preserve"> </v>
      </c>
      <c r="M320">
        <f t="shared" si="26"/>
        <v>0</v>
      </c>
      <c r="N320">
        <f t="shared" si="24"/>
        <v>0</v>
      </c>
      <c r="P320" t="e">
        <f>INDEX(Items!B$2:B$1032,MATCH($O320,Items!$A$2:$A$1032,0))</f>
        <v>#N/A</v>
      </c>
      <c r="Q320" t="e">
        <f>INDEX(Items!C$2:C$1032,MATCH($O320,Items!$A$2:$A$1032,0))</f>
        <v>#N/A</v>
      </c>
      <c r="R320" t="e">
        <f>INDEX(Items!D$2:D$1032,MATCH($O320,Items!$A$2:$A$1032,0))</f>
        <v>#N/A</v>
      </c>
    </row>
    <row r="321" spans="1:18" x14ac:dyDescent="0.25">
      <c r="A321">
        <f t="shared" si="22"/>
        <v>1</v>
      </c>
      <c r="B321" t="str">
        <f t="shared" si="23"/>
        <v/>
      </c>
      <c r="C321">
        <f t="shared" si="25"/>
        <v>1</v>
      </c>
      <c r="D321" s="4"/>
      <c r="E321" t="s">
        <v>18</v>
      </c>
      <c r="F321" t="str">
        <f>INDEX(Establishment!B$2:B$1005,MATCH($E321,Establishment!$A$2:$A$1005,0))</f>
        <v xml:space="preserve"> </v>
      </c>
      <c r="G321" t="str">
        <f>INDEX(Establishment!C$2:C$1005,MATCH($E321,Establishment!$A$2:$A$1005,0))</f>
        <v xml:space="preserve"> </v>
      </c>
      <c r="M321">
        <f t="shared" si="26"/>
        <v>0</v>
      </c>
      <c r="N321">
        <f t="shared" si="24"/>
        <v>0</v>
      </c>
      <c r="P321" t="e">
        <f>INDEX(Items!B$2:B$1032,MATCH($O321,Items!$A$2:$A$1032,0))</f>
        <v>#N/A</v>
      </c>
      <c r="Q321" t="e">
        <f>INDEX(Items!C$2:C$1032,MATCH($O321,Items!$A$2:$A$1032,0))</f>
        <v>#N/A</v>
      </c>
      <c r="R321" t="e">
        <f>INDEX(Items!D$2:D$1032,MATCH($O321,Items!$A$2:$A$1032,0))</f>
        <v>#N/A</v>
      </c>
    </row>
    <row r="322" spans="1:18" x14ac:dyDescent="0.25">
      <c r="A322">
        <f t="shared" ref="A322:A385" si="27">IF(OR(D322&lt;&gt;D321,D322=""),1,IF(NOT(AND(E322=E321,F322=F321,G322=G321)),A321+1,IF(OR(H322="",AND(H322&lt;&gt;"",H322&lt;&gt;H321,H321&lt;&gt;"")),A321,A321+1)))</f>
        <v>1</v>
      </c>
      <c r="B322" t="str">
        <f t="shared" ref="B322:B385" si="28">IF(D322&lt;&gt;"",TEXT(D322,"YYYYMMDD")&amp;CHAR(64+A322),"")</f>
        <v/>
      </c>
      <c r="C322">
        <f t="shared" si="25"/>
        <v>1</v>
      </c>
      <c r="D322" s="4"/>
      <c r="E322" t="s">
        <v>18</v>
      </c>
      <c r="F322" t="str">
        <f>INDEX(Establishment!B$2:B$1005,MATCH($E322,Establishment!$A$2:$A$1005,0))</f>
        <v xml:space="preserve"> </v>
      </c>
      <c r="G322" t="str">
        <f>INDEX(Establishment!C$2:C$1005,MATCH($E322,Establishment!$A$2:$A$1005,0))</f>
        <v xml:space="preserve"> </v>
      </c>
      <c r="M322">
        <f t="shared" si="26"/>
        <v>0</v>
      </c>
      <c r="N322">
        <f t="shared" si="24"/>
        <v>0</v>
      </c>
      <c r="P322" t="e">
        <f>INDEX(Items!B$2:B$1032,MATCH($O322,Items!$A$2:$A$1032,0))</f>
        <v>#N/A</v>
      </c>
      <c r="Q322" t="e">
        <f>INDEX(Items!C$2:C$1032,MATCH($O322,Items!$A$2:$A$1032,0))</f>
        <v>#N/A</v>
      </c>
      <c r="R322" t="e">
        <f>INDEX(Items!D$2:D$1032,MATCH($O322,Items!$A$2:$A$1032,0))</f>
        <v>#N/A</v>
      </c>
    </row>
    <row r="323" spans="1:18" x14ac:dyDescent="0.25">
      <c r="A323">
        <f t="shared" si="27"/>
        <v>1</v>
      </c>
      <c r="B323" t="str">
        <f t="shared" si="28"/>
        <v/>
      </c>
      <c r="C323">
        <f t="shared" si="25"/>
        <v>1</v>
      </c>
      <c r="D323" s="4"/>
      <c r="E323" t="s">
        <v>18</v>
      </c>
      <c r="F323" t="str">
        <f>INDEX(Establishment!B$2:B$1005,MATCH($E323,Establishment!$A$2:$A$1005,0))</f>
        <v xml:space="preserve"> </v>
      </c>
      <c r="G323" t="str">
        <f>INDEX(Establishment!C$2:C$1005,MATCH($E323,Establishment!$A$2:$A$1005,0))</f>
        <v xml:space="preserve"> </v>
      </c>
      <c r="M323">
        <f t="shared" si="26"/>
        <v>0</v>
      </c>
      <c r="N323">
        <f t="shared" ref="N323:N386" si="29">IF(B323=B322,N322+M323,M323)</f>
        <v>0</v>
      </c>
      <c r="P323" t="e">
        <f>INDEX(Items!B$2:B$1032,MATCH($O323,Items!$A$2:$A$1032,0))</f>
        <v>#N/A</v>
      </c>
      <c r="Q323" t="e">
        <f>INDEX(Items!C$2:C$1032,MATCH($O323,Items!$A$2:$A$1032,0))</f>
        <v>#N/A</v>
      </c>
      <c r="R323" t="e">
        <f>INDEX(Items!D$2:D$1032,MATCH($O323,Items!$A$2:$A$1032,0))</f>
        <v>#N/A</v>
      </c>
    </row>
    <row r="324" spans="1:18" x14ac:dyDescent="0.25">
      <c r="A324">
        <f t="shared" si="27"/>
        <v>1</v>
      </c>
      <c r="B324" t="str">
        <f t="shared" si="28"/>
        <v/>
      </c>
      <c r="C324">
        <f t="shared" si="25"/>
        <v>1</v>
      </c>
      <c r="D324" s="4"/>
      <c r="E324" t="s">
        <v>18</v>
      </c>
      <c r="F324" t="str">
        <f>INDEX(Establishment!B$2:B$1005,MATCH($E324,Establishment!$A$2:$A$1005,0))</f>
        <v xml:space="preserve"> </v>
      </c>
      <c r="G324" t="str">
        <f>INDEX(Establishment!C$2:C$1005,MATCH($E324,Establishment!$A$2:$A$1005,0))</f>
        <v xml:space="preserve"> </v>
      </c>
      <c r="M324">
        <f t="shared" si="26"/>
        <v>0</v>
      </c>
      <c r="N324">
        <f t="shared" si="29"/>
        <v>0</v>
      </c>
      <c r="P324" t="e">
        <f>INDEX(Items!B$2:B$1032,MATCH($O324,Items!$A$2:$A$1032,0))</f>
        <v>#N/A</v>
      </c>
      <c r="Q324" t="e">
        <f>INDEX(Items!C$2:C$1032,MATCH($O324,Items!$A$2:$A$1032,0))</f>
        <v>#N/A</v>
      </c>
      <c r="R324" t="e">
        <f>INDEX(Items!D$2:D$1032,MATCH($O324,Items!$A$2:$A$1032,0))</f>
        <v>#N/A</v>
      </c>
    </row>
    <row r="325" spans="1:18" x14ac:dyDescent="0.25">
      <c r="A325">
        <f t="shared" si="27"/>
        <v>1</v>
      </c>
      <c r="B325" t="str">
        <f t="shared" si="28"/>
        <v/>
      </c>
      <c r="C325">
        <f t="shared" si="25"/>
        <v>1</v>
      </c>
      <c r="D325" s="4"/>
      <c r="E325" t="s">
        <v>18</v>
      </c>
      <c r="F325" t="str">
        <f>INDEX(Establishment!B$2:B$1005,MATCH($E325,Establishment!$A$2:$A$1005,0))</f>
        <v xml:space="preserve"> </v>
      </c>
      <c r="G325" t="str">
        <f>INDEX(Establishment!C$2:C$1005,MATCH($E325,Establishment!$A$2:$A$1005,0))</f>
        <v xml:space="preserve"> </v>
      </c>
      <c r="M325">
        <f t="shared" si="26"/>
        <v>0</v>
      </c>
      <c r="N325">
        <f t="shared" si="29"/>
        <v>0</v>
      </c>
      <c r="P325" t="e">
        <f>INDEX(Items!B$2:B$1032,MATCH($O325,Items!$A$2:$A$1032,0))</f>
        <v>#N/A</v>
      </c>
      <c r="Q325" t="e">
        <f>INDEX(Items!C$2:C$1032,MATCH($O325,Items!$A$2:$A$1032,0))</f>
        <v>#N/A</v>
      </c>
      <c r="R325" t="e">
        <f>INDEX(Items!D$2:D$1032,MATCH($O325,Items!$A$2:$A$1032,0))</f>
        <v>#N/A</v>
      </c>
    </row>
    <row r="326" spans="1:18" x14ac:dyDescent="0.25">
      <c r="A326">
        <f t="shared" si="27"/>
        <v>1</v>
      </c>
      <c r="B326" t="str">
        <f t="shared" si="28"/>
        <v/>
      </c>
      <c r="C326">
        <f t="shared" si="25"/>
        <v>1</v>
      </c>
      <c r="D326" s="4"/>
      <c r="E326" t="s">
        <v>18</v>
      </c>
      <c r="F326" t="str">
        <f>INDEX(Establishment!B$2:B$1005,MATCH($E326,Establishment!$A$2:$A$1005,0))</f>
        <v xml:space="preserve"> </v>
      </c>
      <c r="G326" t="str">
        <f>INDEX(Establishment!C$2:C$1005,MATCH($E326,Establishment!$A$2:$A$1005,0))</f>
        <v xml:space="preserve"> </v>
      </c>
      <c r="M326">
        <f t="shared" si="26"/>
        <v>0</v>
      </c>
      <c r="N326">
        <f t="shared" si="29"/>
        <v>0</v>
      </c>
      <c r="P326" t="e">
        <f>INDEX(Items!B$2:B$1032,MATCH($O326,Items!$A$2:$A$1032,0))</f>
        <v>#N/A</v>
      </c>
      <c r="Q326" t="e">
        <f>INDEX(Items!C$2:C$1032,MATCH($O326,Items!$A$2:$A$1032,0))</f>
        <v>#N/A</v>
      </c>
      <c r="R326" t="e">
        <f>INDEX(Items!D$2:D$1032,MATCH($O326,Items!$A$2:$A$1032,0))</f>
        <v>#N/A</v>
      </c>
    </row>
    <row r="327" spans="1:18" x14ac:dyDescent="0.25">
      <c r="A327">
        <f t="shared" si="27"/>
        <v>1</v>
      </c>
      <c r="B327" t="str">
        <f t="shared" si="28"/>
        <v/>
      </c>
      <c r="C327">
        <f t="shared" si="25"/>
        <v>1</v>
      </c>
      <c r="D327" s="4"/>
      <c r="E327" t="s">
        <v>18</v>
      </c>
      <c r="F327" t="str">
        <f>INDEX(Establishment!B$2:B$1005,MATCH($E327,Establishment!$A$2:$A$1005,0))</f>
        <v xml:space="preserve"> </v>
      </c>
      <c r="G327" t="str">
        <f>INDEX(Establishment!C$2:C$1005,MATCH($E327,Establishment!$A$2:$A$1005,0))</f>
        <v xml:space="preserve"> </v>
      </c>
      <c r="M327">
        <f t="shared" si="26"/>
        <v>0</v>
      </c>
      <c r="N327">
        <f t="shared" si="29"/>
        <v>0</v>
      </c>
      <c r="P327" t="e">
        <f>INDEX(Items!B$2:B$1032,MATCH($O327,Items!$A$2:$A$1032,0))</f>
        <v>#N/A</v>
      </c>
      <c r="Q327" t="e">
        <f>INDEX(Items!C$2:C$1032,MATCH($O327,Items!$A$2:$A$1032,0))</f>
        <v>#N/A</v>
      </c>
      <c r="R327" t="e">
        <f>INDEX(Items!D$2:D$1032,MATCH($O327,Items!$A$2:$A$1032,0))</f>
        <v>#N/A</v>
      </c>
    </row>
    <row r="328" spans="1:18" x14ac:dyDescent="0.25">
      <c r="A328">
        <f t="shared" si="27"/>
        <v>1</v>
      </c>
      <c r="B328" t="str">
        <f t="shared" si="28"/>
        <v/>
      </c>
      <c r="C328">
        <f t="shared" si="25"/>
        <v>1</v>
      </c>
      <c r="D328" s="4"/>
      <c r="E328" t="s">
        <v>18</v>
      </c>
      <c r="F328" t="str">
        <f>INDEX(Establishment!B$2:B$1005,MATCH($E328,Establishment!$A$2:$A$1005,0))</f>
        <v xml:space="preserve"> </v>
      </c>
      <c r="G328" t="str">
        <f>INDEX(Establishment!C$2:C$1005,MATCH($E328,Establishment!$A$2:$A$1005,0))</f>
        <v xml:space="preserve"> </v>
      </c>
      <c r="M328">
        <f t="shared" si="26"/>
        <v>0</v>
      </c>
      <c r="N328">
        <f t="shared" si="29"/>
        <v>0</v>
      </c>
      <c r="P328" t="e">
        <f>INDEX(Items!B$2:B$1032,MATCH($O328,Items!$A$2:$A$1032,0))</f>
        <v>#N/A</v>
      </c>
      <c r="Q328" t="e">
        <f>INDEX(Items!C$2:C$1032,MATCH($O328,Items!$A$2:$A$1032,0))</f>
        <v>#N/A</v>
      </c>
      <c r="R328" t="e">
        <f>INDEX(Items!D$2:D$1032,MATCH($O328,Items!$A$2:$A$1032,0))</f>
        <v>#N/A</v>
      </c>
    </row>
    <row r="329" spans="1:18" x14ac:dyDescent="0.25">
      <c r="A329">
        <f t="shared" si="27"/>
        <v>1</v>
      </c>
      <c r="B329" t="str">
        <f t="shared" si="28"/>
        <v/>
      </c>
      <c r="C329">
        <f t="shared" si="25"/>
        <v>1</v>
      </c>
      <c r="D329" s="4"/>
      <c r="E329" t="s">
        <v>18</v>
      </c>
      <c r="F329" t="str">
        <f>INDEX(Establishment!B$2:B$1005,MATCH($E329,Establishment!$A$2:$A$1005,0))</f>
        <v xml:space="preserve"> </v>
      </c>
      <c r="G329" t="str">
        <f>INDEX(Establishment!C$2:C$1005,MATCH($E329,Establishment!$A$2:$A$1005,0))</f>
        <v xml:space="preserve"> </v>
      </c>
      <c r="M329">
        <f t="shared" si="26"/>
        <v>0</v>
      </c>
      <c r="N329">
        <f t="shared" si="29"/>
        <v>0</v>
      </c>
      <c r="P329" t="e">
        <f>INDEX(Items!B$2:B$1032,MATCH($O329,Items!$A$2:$A$1032,0))</f>
        <v>#N/A</v>
      </c>
      <c r="Q329" t="e">
        <f>INDEX(Items!C$2:C$1032,MATCH($O329,Items!$A$2:$A$1032,0))</f>
        <v>#N/A</v>
      </c>
      <c r="R329" t="e">
        <f>INDEX(Items!D$2:D$1032,MATCH($O329,Items!$A$2:$A$1032,0))</f>
        <v>#N/A</v>
      </c>
    </row>
    <row r="330" spans="1:18" x14ac:dyDescent="0.25">
      <c r="A330">
        <f t="shared" si="27"/>
        <v>1</v>
      </c>
      <c r="B330" t="str">
        <f t="shared" si="28"/>
        <v/>
      </c>
      <c r="C330">
        <f t="shared" ref="C330:C393" si="30">IF(OR(B330="",B330&lt;&gt;B329),1,C329+1)</f>
        <v>1</v>
      </c>
      <c r="D330" s="4"/>
      <c r="E330" t="s">
        <v>18</v>
      </c>
      <c r="F330" t="str">
        <f>INDEX(Establishment!B$2:B$1005,MATCH($E330,Establishment!$A$2:$A$1005,0))</f>
        <v xml:space="preserve"> </v>
      </c>
      <c r="G330" t="str">
        <f>INDEX(Establishment!C$2:C$1005,MATCH($E330,Establishment!$A$2:$A$1005,0))</f>
        <v xml:space="preserve"> </v>
      </c>
      <c r="M330">
        <f t="shared" ref="M330:M393" si="31">K330*L330</f>
        <v>0</v>
      </c>
      <c r="N330">
        <f t="shared" si="29"/>
        <v>0</v>
      </c>
      <c r="P330" t="e">
        <f>INDEX(Items!B$2:B$1032,MATCH($O330,Items!$A$2:$A$1032,0))</f>
        <v>#N/A</v>
      </c>
      <c r="Q330" t="e">
        <f>INDEX(Items!C$2:C$1032,MATCH($O330,Items!$A$2:$A$1032,0))</f>
        <v>#N/A</v>
      </c>
      <c r="R330" t="e">
        <f>INDEX(Items!D$2:D$1032,MATCH($O330,Items!$A$2:$A$1032,0))</f>
        <v>#N/A</v>
      </c>
    </row>
    <row r="331" spans="1:18" x14ac:dyDescent="0.25">
      <c r="A331">
        <f t="shared" si="27"/>
        <v>1</v>
      </c>
      <c r="B331" t="str">
        <f t="shared" si="28"/>
        <v/>
      </c>
      <c r="C331">
        <f t="shared" si="30"/>
        <v>1</v>
      </c>
      <c r="D331" s="4"/>
      <c r="E331" t="s">
        <v>18</v>
      </c>
      <c r="F331" t="str">
        <f>INDEX(Establishment!B$2:B$1005,MATCH($E331,Establishment!$A$2:$A$1005,0))</f>
        <v xml:space="preserve"> </v>
      </c>
      <c r="G331" t="str">
        <f>INDEX(Establishment!C$2:C$1005,MATCH($E331,Establishment!$A$2:$A$1005,0))</f>
        <v xml:space="preserve"> </v>
      </c>
      <c r="M331">
        <f t="shared" si="31"/>
        <v>0</v>
      </c>
      <c r="N331">
        <f t="shared" si="29"/>
        <v>0</v>
      </c>
      <c r="P331" t="e">
        <f>INDEX(Items!B$2:B$1032,MATCH($O331,Items!$A$2:$A$1032,0))</f>
        <v>#N/A</v>
      </c>
      <c r="Q331" t="e">
        <f>INDEX(Items!C$2:C$1032,MATCH($O331,Items!$A$2:$A$1032,0))</f>
        <v>#N/A</v>
      </c>
      <c r="R331" t="e">
        <f>INDEX(Items!D$2:D$1032,MATCH($O331,Items!$A$2:$A$1032,0))</f>
        <v>#N/A</v>
      </c>
    </row>
    <row r="332" spans="1:18" x14ac:dyDescent="0.25">
      <c r="A332">
        <f t="shared" si="27"/>
        <v>1</v>
      </c>
      <c r="B332" t="str">
        <f t="shared" si="28"/>
        <v/>
      </c>
      <c r="C332">
        <f t="shared" si="30"/>
        <v>1</v>
      </c>
      <c r="D332" s="4"/>
      <c r="E332" t="s">
        <v>18</v>
      </c>
      <c r="F332" t="str">
        <f>INDEX(Establishment!B$2:B$1005,MATCH($E332,Establishment!$A$2:$A$1005,0))</f>
        <v xml:space="preserve"> </v>
      </c>
      <c r="G332" t="str">
        <f>INDEX(Establishment!C$2:C$1005,MATCH($E332,Establishment!$A$2:$A$1005,0))</f>
        <v xml:space="preserve"> </v>
      </c>
      <c r="M332">
        <f t="shared" si="31"/>
        <v>0</v>
      </c>
      <c r="N332">
        <f t="shared" si="29"/>
        <v>0</v>
      </c>
      <c r="P332" t="e">
        <f>INDEX(Items!B$2:B$1032,MATCH($O332,Items!$A$2:$A$1032,0))</f>
        <v>#N/A</v>
      </c>
      <c r="Q332" t="e">
        <f>INDEX(Items!C$2:C$1032,MATCH($O332,Items!$A$2:$A$1032,0))</f>
        <v>#N/A</v>
      </c>
      <c r="R332" t="e">
        <f>INDEX(Items!D$2:D$1032,MATCH($O332,Items!$A$2:$A$1032,0))</f>
        <v>#N/A</v>
      </c>
    </row>
    <row r="333" spans="1:18" x14ac:dyDescent="0.25">
      <c r="A333">
        <f t="shared" si="27"/>
        <v>1</v>
      </c>
      <c r="B333" t="str">
        <f t="shared" si="28"/>
        <v/>
      </c>
      <c r="C333">
        <f t="shared" si="30"/>
        <v>1</v>
      </c>
      <c r="D333" s="4"/>
      <c r="E333" t="s">
        <v>18</v>
      </c>
      <c r="F333" t="str">
        <f>INDEX(Establishment!B$2:B$1005,MATCH($E333,Establishment!$A$2:$A$1005,0))</f>
        <v xml:space="preserve"> </v>
      </c>
      <c r="G333" t="str">
        <f>INDEX(Establishment!C$2:C$1005,MATCH($E333,Establishment!$A$2:$A$1005,0))</f>
        <v xml:space="preserve"> </v>
      </c>
      <c r="M333">
        <f t="shared" si="31"/>
        <v>0</v>
      </c>
      <c r="N333">
        <f t="shared" si="29"/>
        <v>0</v>
      </c>
      <c r="P333" t="e">
        <f>INDEX(Items!B$2:B$1032,MATCH($O333,Items!$A$2:$A$1032,0))</f>
        <v>#N/A</v>
      </c>
      <c r="Q333" t="e">
        <f>INDEX(Items!C$2:C$1032,MATCH($O333,Items!$A$2:$A$1032,0))</f>
        <v>#N/A</v>
      </c>
      <c r="R333" t="e">
        <f>INDEX(Items!D$2:D$1032,MATCH($O333,Items!$A$2:$A$1032,0))</f>
        <v>#N/A</v>
      </c>
    </row>
    <row r="334" spans="1:18" x14ac:dyDescent="0.25">
      <c r="A334">
        <f t="shared" si="27"/>
        <v>1</v>
      </c>
      <c r="B334" t="str">
        <f t="shared" si="28"/>
        <v/>
      </c>
      <c r="C334">
        <f t="shared" si="30"/>
        <v>1</v>
      </c>
      <c r="D334" s="4"/>
      <c r="E334" t="s">
        <v>18</v>
      </c>
      <c r="F334" t="str">
        <f>INDEX(Establishment!B$2:B$1005,MATCH($E334,Establishment!$A$2:$A$1005,0))</f>
        <v xml:space="preserve"> </v>
      </c>
      <c r="G334" t="str">
        <f>INDEX(Establishment!C$2:C$1005,MATCH($E334,Establishment!$A$2:$A$1005,0))</f>
        <v xml:space="preserve"> </v>
      </c>
      <c r="M334">
        <f t="shared" si="31"/>
        <v>0</v>
      </c>
      <c r="N334">
        <f t="shared" si="29"/>
        <v>0</v>
      </c>
      <c r="P334" t="e">
        <f>INDEX(Items!B$2:B$1032,MATCH($O334,Items!$A$2:$A$1032,0))</f>
        <v>#N/A</v>
      </c>
      <c r="Q334" t="e">
        <f>INDEX(Items!C$2:C$1032,MATCH($O334,Items!$A$2:$A$1032,0))</f>
        <v>#N/A</v>
      </c>
      <c r="R334" t="e">
        <f>INDEX(Items!D$2:D$1032,MATCH($O334,Items!$A$2:$A$1032,0))</f>
        <v>#N/A</v>
      </c>
    </row>
    <row r="335" spans="1:18" x14ac:dyDescent="0.25">
      <c r="A335">
        <f t="shared" si="27"/>
        <v>1</v>
      </c>
      <c r="B335" t="str">
        <f t="shared" si="28"/>
        <v/>
      </c>
      <c r="C335">
        <f t="shared" si="30"/>
        <v>1</v>
      </c>
      <c r="D335" s="4"/>
      <c r="E335" t="s">
        <v>18</v>
      </c>
      <c r="F335" t="str">
        <f>INDEX(Establishment!B$2:B$1005,MATCH($E335,Establishment!$A$2:$A$1005,0))</f>
        <v xml:space="preserve"> </v>
      </c>
      <c r="G335" t="str">
        <f>INDEX(Establishment!C$2:C$1005,MATCH($E335,Establishment!$A$2:$A$1005,0))</f>
        <v xml:space="preserve"> </v>
      </c>
      <c r="M335">
        <f t="shared" si="31"/>
        <v>0</v>
      </c>
      <c r="N335">
        <f t="shared" si="29"/>
        <v>0</v>
      </c>
      <c r="P335" t="e">
        <f>INDEX(Items!B$2:B$1032,MATCH($O335,Items!$A$2:$A$1032,0))</f>
        <v>#N/A</v>
      </c>
      <c r="Q335" t="e">
        <f>INDEX(Items!C$2:C$1032,MATCH($O335,Items!$A$2:$A$1032,0))</f>
        <v>#N/A</v>
      </c>
      <c r="R335" t="e">
        <f>INDEX(Items!D$2:D$1032,MATCH($O335,Items!$A$2:$A$1032,0))</f>
        <v>#N/A</v>
      </c>
    </row>
    <row r="336" spans="1:18" x14ac:dyDescent="0.25">
      <c r="A336">
        <f t="shared" si="27"/>
        <v>1</v>
      </c>
      <c r="B336" t="str">
        <f t="shared" si="28"/>
        <v/>
      </c>
      <c r="C336">
        <f t="shared" si="30"/>
        <v>1</v>
      </c>
      <c r="D336" s="4"/>
      <c r="E336" t="s">
        <v>18</v>
      </c>
      <c r="F336" t="str">
        <f>INDEX(Establishment!B$2:B$1005,MATCH($E336,Establishment!$A$2:$A$1005,0))</f>
        <v xml:space="preserve"> </v>
      </c>
      <c r="G336" t="str">
        <f>INDEX(Establishment!C$2:C$1005,MATCH($E336,Establishment!$A$2:$A$1005,0))</f>
        <v xml:space="preserve"> </v>
      </c>
      <c r="M336">
        <f t="shared" si="31"/>
        <v>0</v>
      </c>
      <c r="N336">
        <f t="shared" si="29"/>
        <v>0</v>
      </c>
      <c r="P336" t="e">
        <f>INDEX(Items!B$2:B$1032,MATCH($O336,Items!$A$2:$A$1032,0))</f>
        <v>#N/A</v>
      </c>
      <c r="Q336" t="e">
        <f>INDEX(Items!C$2:C$1032,MATCH($O336,Items!$A$2:$A$1032,0))</f>
        <v>#N/A</v>
      </c>
      <c r="R336" t="e">
        <f>INDEX(Items!D$2:D$1032,MATCH($O336,Items!$A$2:$A$1032,0))</f>
        <v>#N/A</v>
      </c>
    </row>
    <row r="337" spans="1:18" x14ac:dyDescent="0.25">
      <c r="A337">
        <f t="shared" si="27"/>
        <v>1</v>
      </c>
      <c r="B337" t="str">
        <f t="shared" si="28"/>
        <v/>
      </c>
      <c r="C337">
        <f t="shared" si="30"/>
        <v>1</v>
      </c>
      <c r="D337" s="4"/>
      <c r="E337" t="s">
        <v>18</v>
      </c>
      <c r="F337" t="str">
        <f>INDEX(Establishment!B$2:B$1005,MATCH($E337,Establishment!$A$2:$A$1005,0))</f>
        <v xml:space="preserve"> </v>
      </c>
      <c r="G337" t="str">
        <f>INDEX(Establishment!C$2:C$1005,MATCH($E337,Establishment!$A$2:$A$1005,0))</f>
        <v xml:space="preserve"> </v>
      </c>
      <c r="M337">
        <f t="shared" si="31"/>
        <v>0</v>
      </c>
      <c r="N337">
        <f t="shared" si="29"/>
        <v>0</v>
      </c>
      <c r="P337" t="e">
        <f>INDEX(Items!B$2:B$1032,MATCH($O337,Items!$A$2:$A$1032,0))</f>
        <v>#N/A</v>
      </c>
      <c r="Q337" t="e">
        <f>INDEX(Items!C$2:C$1032,MATCH($O337,Items!$A$2:$A$1032,0))</f>
        <v>#N/A</v>
      </c>
      <c r="R337" t="e">
        <f>INDEX(Items!D$2:D$1032,MATCH($O337,Items!$A$2:$A$1032,0))</f>
        <v>#N/A</v>
      </c>
    </row>
    <row r="338" spans="1:18" x14ac:dyDescent="0.25">
      <c r="A338">
        <f t="shared" si="27"/>
        <v>1</v>
      </c>
      <c r="B338" t="str">
        <f t="shared" si="28"/>
        <v/>
      </c>
      <c r="C338">
        <f t="shared" si="30"/>
        <v>1</v>
      </c>
      <c r="D338" s="4"/>
      <c r="E338" t="s">
        <v>18</v>
      </c>
      <c r="F338" t="str">
        <f>INDEX(Establishment!B$2:B$1005,MATCH($E338,Establishment!$A$2:$A$1005,0))</f>
        <v xml:space="preserve"> </v>
      </c>
      <c r="G338" t="str">
        <f>INDEX(Establishment!C$2:C$1005,MATCH($E338,Establishment!$A$2:$A$1005,0))</f>
        <v xml:space="preserve"> </v>
      </c>
      <c r="M338">
        <f t="shared" si="31"/>
        <v>0</v>
      </c>
      <c r="N338">
        <f t="shared" si="29"/>
        <v>0</v>
      </c>
      <c r="P338" t="e">
        <f>INDEX(Items!B$2:B$1032,MATCH($O338,Items!$A$2:$A$1032,0))</f>
        <v>#N/A</v>
      </c>
      <c r="Q338" t="e">
        <f>INDEX(Items!C$2:C$1032,MATCH($O338,Items!$A$2:$A$1032,0))</f>
        <v>#N/A</v>
      </c>
      <c r="R338" t="e">
        <f>INDEX(Items!D$2:D$1032,MATCH($O338,Items!$A$2:$A$1032,0))</f>
        <v>#N/A</v>
      </c>
    </row>
    <row r="339" spans="1:18" x14ac:dyDescent="0.25">
      <c r="A339">
        <f t="shared" si="27"/>
        <v>1</v>
      </c>
      <c r="B339" t="str">
        <f t="shared" si="28"/>
        <v/>
      </c>
      <c r="C339">
        <f t="shared" si="30"/>
        <v>1</v>
      </c>
      <c r="D339" s="4"/>
      <c r="E339" t="s">
        <v>18</v>
      </c>
      <c r="F339" t="str">
        <f>INDEX(Establishment!B$2:B$1005,MATCH($E339,Establishment!$A$2:$A$1005,0))</f>
        <v xml:space="preserve"> </v>
      </c>
      <c r="G339" t="str">
        <f>INDEX(Establishment!C$2:C$1005,MATCH($E339,Establishment!$A$2:$A$1005,0))</f>
        <v xml:space="preserve"> </v>
      </c>
      <c r="M339">
        <f t="shared" si="31"/>
        <v>0</v>
      </c>
      <c r="N339">
        <f t="shared" si="29"/>
        <v>0</v>
      </c>
      <c r="P339" t="e">
        <f>INDEX(Items!B$2:B$1032,MATCH($O339,Items!$A$2:$A$1032,0))</f>
        <v>#N/A</v>
      </c>
      <c r="Q339" t="e">
        <f>INDEX(Items!C$2:C$1032,MATCH($O339,Items!$A$2:$A$1032,0))</f>
        <v>#N/A</v>
      </c>
      <c r="R339" t="e">
        <f>INDEX(Items!D$2:D$1032,MATCH($O339,Items!$A$2:$A$1032,0))</f>
        <v>#N/A</v>
      </c>
    </row>
    <row r="340" spans="1:18" x14ac:dyDescent="0.25">
      <c r="A340">
        <f t="shared" si="27"/>
        <v>1</v>
      </c>
      <c r="B340" t="str">
        <f t="shared" si="28"/>
        <v/>
      </c>
      <c r="C340">
        <f t="shared" si="30"/>
        <v>1</v>
      </c>
      <c r="D340" s="4"/>
      <c r="E340" t="s">
        <v>18</v>
      </c>
      <c r="F340" t="str">
        <f>INDEX(Establishment!B$2:B$1005,MATCH($E340,Establishment!$A$2:$A$1005,0))</f>
        <v xml:space="preserve"> </v>
      </c>
      <c r="G340" t="str">
        <f>INDEX(Establishment!C$2:C$1005,MATCH($E340,Establishment!$A$2:$A$1005,0))</f>
        <v xml:space="preserve"> </v>
      </c>
      <c r="M340">
        <f t="shared" si="31"/>
        <v>0</v>
      </c>
      <c r="N340">
        <f t="shared" si="29"/>
        <v>0</v>
      </c>
      <c r="P340" t="e">
        <f>INDEX(Items!B$2:B$1032,MATCH($O340,Items!$A$2:$A$1032,0))</f>
        <v>#N/A</v>
      </c>
      <c r="Q340" t="e">
        <f>INDEX(Items!C$2:C$1032,MATCH($O340,Items!$A$2:$A$1032,0))</f>
        <v>#N/A</v>
      </c>
      <c r="R340" t="e">
        <f>INDEX(Items!D$2:D$1032,MATCH($O340,Items!$A$2:$A$1032,0))</f>
        <v>#N/A</v>
      </c>
    </row>
    <row r="341" spans="1:18" x14ac:dyDescent="0.25">
      <c r="A341">
        <f t="shared" si="27"/>
        <v>1</v>
      </c>
      <c r="B341" t="str">
        <f t="shared" si="28"/>
        <v/>
      </c>
      <c r="C341">
        <f t="shared" si="30"/>
        <v>1</v>
      </c>
      <c r="D341" s="4"/>
      <c r="E341" t="s">
        <v>18</v>
      </c>
      <c r="F341" t="str">
        <f>INDEX(Establishment!B$2:B$1005,MATCH($E341,Establishment!$A$2:$A$1005,0))</f>
        <v xml:space="preserve"> </v>
      </c>
      <c r="G341" t="str">
        <f>INDEX(Establishment!C$2:C$1005,MATCH($E341,Establishment!$A$2:$A$1005,0))</f>
        <v xml:space="preserve"> </v>
      </c>
      <c r="M341">
        <f t="shared" si="31"/>
        <v>0</v>
      </c>
      <c r="N341">
        <f t="shared" si="29"/>
        <v>0</v>
      </c>
      <c r="P341" t="e">
        <f>INDEX(Items!B$2:B$1032,MATCH($O341,Items!$A$2:$A$1032,0))</f>
        <v>#N/A</v>
      </c>
      <c r="Q341" t="e">
        <f>INDEX(Items!C$2:C$1032,MATCH($O341,Items!$A$2:$A$1032,0))</f>
        <v>#N/A</v>
      </c>
      <c r="R341" t="e">
        <f>INDEX(Items!D$2:D$1032,MATCH($O341,Items!$A$2:$A$1032,0))</f>
        <v>#N/A</v>
      </c>
    </row>
    <row r="342" spans="1:18" x14ac:dyDescent="0.25">
      <c r="A342">
        <f t="shared" si="27"/>
        <v>1</v>
      </c>
      <c r="B342" t="str">
        <f t="shared" si="28"/>
        <v/>
      </c>
      <c r="C342">
        <f t="shared" si="30"/>
        <v>1</v>
      </c>
      <c r="D342" s="4"/>
      <c r="E342" t="s">
        <v>18</v>
      </c>
      <c r="F342" t="str">
        <f>INDEX(Establishment!B$2:B$1005,MATCH($E342,Establishment!$A$2:$A$1005,0))</f>
        <v xml:space="preserve"> </v>
      </c>
      <c r="G342" t="str">
        <f>INDEX(Establishment!C$2:C$1005,MATCH($E342,Establishment!$A$2:$A$1005,0))</f>
        <v xml:space="preserve"> </v>
      </c>
      <c r="M342">
        <f t="shared" si="31"/>
        <v>0</v>
      </c>
      <c r="N342">
        <f t="shared" si="29"/>
        <v>0</v>
      </c>
      <c r="P342" t="e">
        <f>INDEX(Items!B$2:B$1032,MATCH($O342,Items!$A$2:$A$1032,0))</f>
        <v>#N/A</v>
      </c>
      <c r="Q342" t="e">
        <f>INDEX(Items!C$2:C$1032,MATCH($O342,Items!$A$2:$A$1032,0))</f>
        <v>#N/A</v>
      </c>
      <c r="R342" t="e">
        <f>INDEX(Items!D$2:D$1032,MATCH($O342,Items!$A$2:$A$1032,0))</f>
        <v>#N/A</v>
      </c>
    </row>
    <row r="343" spans="1:18" x14ac:dyDescent="0.25">
      <c r="A343">
        <f t="shared" si="27"/>
        <v>1</v>
      </c>
      <c r="B343" t="str">
        <f t="shared" si="28"/>
        <v/>
      </c>
      <c r="C343">
        <f t="shared" si="30"/>
        <v>1</v>
      </c>
      <c r="D343" s="4"/>
      <c r="E343" t="s">
        <v>18</v>
      </c>
      <c r="F343" t="str">
        <f>INDEX(Establishment!B$2:B$1005,MATCH($E343,Establishment!$A$2:$A$1005,0))</f>
        <v xml:space="preserve"> </v>
      </c>
      <c r="G343" t="str">
        <f>INDEX(Establishment!C$2:C$1005,MATCH($E343,Establishment!$A$2:$A$1005,0))</f>
        <v xml:space="preserve"> </v>
      </c>
      <c r="M343">
        <f t="shared" si="31"/>
        <v>0</v>
      </c>
      <c r="N343">
        <f t="shared" si="29"/>
        <v>0</v>
      </c>
      <c r="P343" t="e">
        <f>INDEX(Items!B$2:B$1032,MATCH($O343,Items!$A$2:$A$1032,0))</f>
        <v>#N/A</v>
      </c>
      <c r="Q343" t="e">
        <f>INDEX(Items!C$2:C$1032,MATCH($O343,Items!$A$2:$A$1032,0))</f>
        <v>#N/A</v>
      </c>
      <c r="R343" t="e">
        <f>INDEX(Items!D$2:D$1032,MATCH($O343,Items!$A$2:$A$1032,0))</f>
        <v>#N/A</v>
      </c>
    </row>
    <row r="344" spans="1:18" x14ac:dyDescent="0.25">
      <c r="A344">
        <f t="shared" si="27"/>
        <v>1</v>
      </c>
      <c r="B344" t="str">
        <f t="shared" si="28"/>
        <v/>
      </c>
      <c r="C344">
        <f t="shared" si="30"/>
        <v>1</v>
      </c>
      <c r="D344" s="4"/>
      <c r="E344" t="s">
        <v>18</v>
      </c>
      <c r="F344" t="str">
        <f>INDEX(Establishment!B$2:B$1005,MATCH($E344,Establishment!$A$2:$A$1005,0))</f>
        <v xml:space="preserve"> </v>
      </c>
      <c r="G344" t="str">
        <f>INDEX(Establishment!C$2:C$1005,MATCH($E344,Establishment!$A$2:$A$1005,0))</f>
        <v xml:space="preserve"> </v>
      </c>
      <c r="M344">
        <f t="shared" si="31"/>
        <v>0</v>
      </c>
      <c r="N344">
        <f t="shared" si="29"/>
        <v>0</v>
      </c>
      <c r="P344" t="e">
        <f>INDEX(Items!B$2:B$1032,MATCH($O344,Items!$A$2:$A$1032,0))</f>
        <v>#N/A</v>
      </c>
      <c r="Q344" t="e">
        <f>INDEX(Items!C$2:C$1032,MATCH($O344,Items!$A$2:$A$1032,0))</f>
        <v>#N/A</v>
      </c>
      <c r="R344" t="e">
        <f>INDEX(Items!D$2:D$1032,MATCH($O344,Items!$A$2:$A$1032,0))</f>
        <v>#N/A</v>
      </c>
    </row>
    <row r="345" spans="1:18" x14ac:dyDescent="0.25">
      <c r="A345">
        <f t="shared" si="27"/>
        <v>1</v>
      </c>
      <c r="B345" t="str">
        <f t="shared" si="28"/>
        <v/>
      </c>
      <c r="C345">
        <f t="shared" si="30"/>
        <v>1</v>
      </c>
      <c r="D345" s="4"/>
      <c r="E345" t="s">
        <v>18</v>
      </c>
      <c r="F345" t="str">
        <f>INDEX(Establishment!B$2:B$1005,MATCH($E345,Establishment!$A$2:$A$1005,0))</f>
        <v xml:space="preserve"> </v>
      </c>
      <c r="G345" t="str">
        <f>INDEX(Establishment!C$2:C$1005,MATCH($E345,Establishment!$A$2:$A$1005,0))</f>
        <v xml:space="preserve"> </v>
      </c>
      <c r="M345">
        <f t="shared" si="31"/>
        <v>0</v>
      </c>
      <c r="N345">
        <f t="shared" si="29"/>
        <v>0</v>
      </c>
      <c r="P345" t="e">
        <f>INDEX(Items!B$2:B$1032,MATCH($O345,Items!$A$2:$A$1032,0))</f>
        <v>#N/A</v>
      </c>
      <c r="Q345" t="e">
        <f>INDEX(Items!C$2:C$1032,MATCH($O345,Items!$A$2:$A$1032,0))</f>
        <v>#N/A</v>
      </c>
      <c r="R345" t="e">
        <f>INDEX(Items!D$2:D$1032,MATCH($O345,Items!$A$2:$A$1032,0))</f>
        <v>#N/A</v>
      </c>
    </row>
    <row r="346" spans="1:18" x14ac:dyDescent="0.25">
      <c r="A346">
        <f t="shared" si="27"/>
        <v>1</v>
      </c>
      <c r="B346" t="str">
        <f t="shared" si="28"/>
        <v/>
      </c>
      <c r="C346">
        <f t="shared" si="30"/>
        <v>1</v>
      </c>
      <c r="D346" s="4"/>
      <c r="E346" t="s">
        <v>18</v>
      </c>
      <c r="F346" t="str">
        <f>INDEX(Establishment!B$2:B$1005,MATCH($E346,Establishment!$A$2:$A$1005,0))</f>
        <v xml:space="preserve"> </v>
      </c>
      <c r="G346" t="str">
        <f>INDEX(Establishment!C$2:C$1005,MATCH($E346,Establishment!$A$2:$A$1005,0))</f>
        <v xml:space="preserve"> </v>
      </c>
      <c r="M346">
        <f t="shared" si="31"/>
        <v>0</v>
      </c>
      <c r="N346">
        <f t="shared" si="29"/>
        <v>0</v>
      </c>
      <c r="P346" t="e">
        <f>INDEX(Items!B$2:B$1032,MATCH($O346,Items!$A$2:$A$1032,0))</f>
        <v>#N/A</v>
      </c>
      <c r="Q346" t="e">
        <f>INDEX(Items!C$2:C$1032,MATCH($O346,Items!$A$2:$A$1032,0))</f>
        <v>#N/A</v>
      </c>
      <c r="R346" t="e">
        <f>INDEX(Items!D$2:D$1032,MATCH($O346,Items!$A$2:$A$1032,0))</f>
        <v>#N/A</v>
      </c>
    </row>
    <row r="347" spans="1:18" x14ac:dyDescent="0.25">
      <c r="A347">
        <f t="shared" si="27"/>
        <v>1</v>
      </c>
      <c r="B347" t="str">
        <f t="shared" si="28"/>
        <v/>
      </c>
      <c r="C347">
        <f t="shared" si="30"/>
        <v>1</v>
      </c>
      <c r="D347" s="4"/>
      <c r="E347" t="s">
        <v>18</v>
      </c>
      <c r="F347" t="str">
        <f>INDEX(Establishment!B$2:B$1005,MATCH($E347,Establishment!$A$2:$A$1005,0))</f>
        <v xml:space="preserve"> </v>
      </c>
      <c r="G347" t="str">
        <f>INDEX(Establishment!C$2:C$1005,MATCH($E347,Establishment!$A$2:$A$1005,0))</f>
        <v xml:space="preserve"> </v>
      </c>
      <c r="M347">
        <f t="shared" si="31"/>
        <v>0</v>
      </c>
      <c r="N347">
        <f t="shared" si="29"/>
        <v>0</v>
      </c>
      <c r="P347" t="e">
        <f>INDEX(Items!B$2:B$1032,MATCH($O347,Items!$A$2:$A$1032,0))</f>
        <v>#N/A</v>
      </c>
      <c r="Q347" t="e">
        <f>INDEX(Items!C$2:C$1032,MATCH($O347,Items!$A$2:$A$1032,0))</f>
        <v>#N/A</v>
      </c>
      <c r="R347" t="e">
        <f>INDEX(Items!D$2:D$1032,MATCH($O347,Items!$A$2:$A$1032,0))</f>
        <v>#N/A</v>
      </c>
    </row>
    <row r="348" spans="1:18" x14ac:dyDescent="0.25">
      <c r="A348">
        <f t="shared" si="27"/>
        <v>1</v>
      </c>
      <c r="B348" t="str">
        <f t="shared" si="28"/>
        <v/>
      </c>
      <c r="C348">
        <f t="shared" si="30"/>
        <v>1</v>
      </c>
      <c r="D348" s="4"/>
      <c r="E348" t="s">
        <v>18</v>
      </c>
      <c r="F348" t="str">
        <f>INDEX(Establishment!B$2:B$1005,MATCH($E348,Establishment!$A$2:$A$1005,0))</f>
        <v xml:space="preserve"> </v>
      </c>
      <c r="G348" t="str">
        <f>INDEX(Establishment!C$2:C$1005,MATCH($E348,Establishment!$A$2:$A$1005,0))</f>
        <v xml:space="preserve"> </v>
      </c>
      <c r="M348">
        <f t="shared" si="31"/>
        <v>0</v>
      </c>
      <c r="N348">
        <f t="shared" si="29"/>
        <v>0</v>
      </c>
      <c r="P348" t="e">
        <f>INDEX(Items!B$2:B$1032,MATCH($O348,Items!$A$2:$A$1032,0))</f>
        <v>#N/A</v>
      </c>
      <c r="Q348" t="e">
        <f>INDEX(Items!C$2:C$1032,MATCH($O348,Items!$A$2:$A$1032,0))</f>
        <v>#N/A</v>
      </c>
      <c r="R348" t="e">
        <f>INDEX(Items!D$2:D$1032,MATCH($O348,Items!$A$2:$A$1032,0))</f>
        <v>#N/A</v>
      </c>
    </row>
    <row r="349" spans="1:18" x14ac:dyDescent="0.25">
      <c r="A349">
        <f t="shared" si="27"/>
        <v>1</v>
      </c>
      <c r="B349" t="str">
        <f t="shared" si="28"/>
        <v/>
      </c>
      <c r="C349">
        <f t="shared" si="30"/>
        <v>1</v>
      </c>
      <c r="D349" s="4"/>
      <c r="E349" t="s">
        <v>18</v>
      </c>
      <c r="F349" t="str">
        <f>INDEX(Establishment!B$2:B$1005,MATCH($E349,Establishment!$A$2:$A$1005,0))</f>
        <v xml:space="preserve"> </v>
      </c>
      <c r="G349" t="str">
        <f>INDEX(Establishment!C$2:C$1005,MATCH($E349,Establishment!$A$2:$A$1005,0))</f>
        <v xml:space="preserve"> </v>
      </c>
      <c r="M349">
        <f t="shared" si="31"/>
        <v>0</v>
      </c>
      <c r="N349">
        <f t="shared" si="29"/>
        <v>0</v>
      </c>
      <c r="P349" t="e">
        <f>INDEX(Items!B$2:B$1032,MATCH($O349,Items!$A$2:$A$1032,0))</f>
        <v>#N/A</v>
      </c>
      <c r="Q349" t="e">
        <f>INDEX(Items!C$2:C$1032,MATCH($O349,Items!$A$2:$A$1032,0))</f>
        <v>#N/A</v>
      </c>
      <c r="R349" t="e">
        <f>INDEX(Items!D$2:D$1032,MATCH($O349,Items!$A$2:$A$1032,0))</f>
        <v>#N/A</v>
      </c>
    </row>
    <row r="350" spans="1:18" x14ac:dyDescent="0.25">
      <c r="A350">
        <f t="shared" si="27"/>
        <v>1</v>
      </c>
      <c r="B350" t="str">
        <f t="shared" si="28"/>
        <v/>
      </c>
      <c r="C350">
        <f t="shared" si="30"/>
        <v>1</v>
      </c>
      <c r="D350" s="4"/>
      <c r="E350" t="s">
        <v>18</v>
      </c>
      <c r="F350" t="str">
        <f>INDEX(Establishment!B$2:B$1005,MATCH($E350,Establishment!$A$2:$A$1005,0))</f>
        <v xml:space="preserve"> </v>
      </c>
      <c r="G350" t="str">
        <f>INDEX(Establishment!C$2:C$1005,MATCH($E350,Establishment!$A$2:$A$1005,0))</f>
        <v xml:space="preserve"> </v>
      </c>
      <c r="M350">
        <f t="shared" si="31"/>
        <v>0</v>
      </c>
      <c r="N350">
        <f t="shared" si="29"/>
        <v>0</v>
      </c>
      <c r="P350" t="e">
        <f>INDEX(Items!B$2:B$1032,MATCH($O350,Items!$A$2:$A$1032,0))</f>
        <v>#N/A</v>
      </c>
      <c r="Q350" t="e">
        <f>INDEX(Items!C$2:C$1032,MATCH($O350,Items!$A$2:$A$1032,0))</f>
        <v>#N/A</v>
      </c>
      <c r="R350" t="e">
        <f>INDEX(Items!D$2:D$1032,MATCH($O350,Items!$A$2:$A$1032,0))</f>
        <v>#N/A</v>
      </c>
    </row>
    <row r="351" spans="1:18" x14ac:dyDescent="0.25">
      <c r="A351">
        <f t="shared" si="27"/>
        <v>1</v>
      </c>
      <c r="B351" t="str">
        <f t="shared" si="28"/>
        <v/>
      </c>
      <c r="C351">
        <f t="shared" si="30"/>
        <v>1</v>
      </c>
      <c r="D351" s="4"/>
      <c r="E351" t="s">
        <v>18</v>
      </c>
      <c r="F351" t="str">
        <f>INDEX(Establishment!B$2:B$1005,MATCH($E351,Establishment!$A$2:$A$1005,0))</f>
        <v xml:space="preserve"> </v>
      </c>
      <c r="G351" t="str">
        <f>INDEX(Establishment!C$2:C$1005,MATCH($E351,Establishment!$A$2:$A$1005,0))</f>
        <v xml:space="preserve"> </v>
      </c>
      <c r="M351">
        <f t="shared" si="31"/>
        <v>0</v>
      </c>
      <c r="N351">
        <f t="shared" si="29"/>
        <v>0</v>
      </c>
      <c r="P351" t="e">
        <f>INDEX(Items!B$2:B$1032,MATCH($O351,Items!$A$2:$A$1032,0))</f>
        <v>#N/A</v>
      </c>
      <c r="Q351" t="e">
        <f>INDEX(Items!C$2:C$1032,MATCH($O351,Items!$A$2:$A$1032,0))</f>
        <v>#N/A</v>
      </c>
      <c r="R351" t="e">
        <f>INDEX(Items!D$2:D$1032,MATCH($O351,Items!$A$2:$A$1032,0))</f>
        <v>#N/A</v>
      </c>
    </row>
    <row r="352" spans="1:18" x14ac:dyDescent="0.25">
      <c r="A352">
        <f t="shared" si="27"/>
        <v>1</v>
      </c>
      <c r="B352" t="str">
        <f t="shared" si="28"/>
        <v/>
      </c>
      <c r="C352">
        <f t="shared" si="30"/>
        <v>1</v>
      </c>
      <c r="D352" s="4"/>
      <c r="E352" t="s">
        <v>18</v>
      </c>
      <c r="F352" t="str">
        <f>INDEX(Establishment!B$2:B$1005,MATCH($E352,Establishment!$A$2:$A$1005,0))</f>
        <v xml:space="preserve"> </v>
      </c>
      <c r="G352" t="str">
        <f>INDEX(Establishment!C$2:C$1005,MATCH($E352,Establishment!$A$2:$A$1005,0))</f>
        <v xml:space="preserve"> </v>
      </c>
      <c r="M352">
        <f t="shared" si="31"/>
        <v>0</v>
      </c>
      <c r="N352">
        <f t="shared" si="29"/>
        <v>0</v>
      </c>
      <c r="P352" t="e">
        <f>INDEX(Items!B$2:B$1032,MATCH($O352,Items!$A$2:$A$1032,0))</f>
        <v>#N/A</v>
      </c>
      <c r="Q352" t="e">
        <f>INDEX(Items!C$2:C$1032,MATCH($O352,Items!$A$2:$A$1032,0))</f>
        <v>#N/A</v>
      </c>
      <c r="R352" t="e">
        <f>INDEX(Items!D$2:D$1032,MATCH($O352,Items!$A$2:$A$1032,0))</f>
        <v>#N/A</v>
      </c>
    </row>
    <row r="353" spans="1:18" x14ac:dyDescent="0.25">
      <c r="A353">
        <f t="shared" si="27"/>
        <v>1</v>
      </c>
      <c r="B353" t="str">
        <f t="shared" si="28"/>
        <v/>
      </c>
      <c r="C353">
        <f t="shared" si="30"/>
        <v>1</v>
      </c>
      <c r="D353" s="4"/>
      <c r="E353" t="s">
        <v>18</v>
      </c>
      <c r="F353" t="str">
        <f>INDEX(Establishment!B$2:B$1005,MATCH($E353,Establishment!$A$2:$A$1005,0))</f>
        <v xml:space="preserve"> </v>
      </c>
      <c r="G353" t="str">
        <f>INDEX(Establishment!C$2:C$1005,MATCH($E353,Establishment!$A$2:$A$1005,0))</f>
        <v xml:space="preserve"> </v>
      </c>
      <c r="M353">
        <f t="shared" si="31"/>
        <v>0</v>
      </c>
      <c r="N353">
        <f t="shared" si="29"/>
        <v>0</v>
      </c>
      <c r="P353" t="e">
        <f>INDEX(Items!B$2:B$1032,MATCH($O353,Items!$A$2:$A$1032,0))</f>
        <v>#N/A</v>
      </c>
      <c r="Q353" t="e">
        <f>INDEX(Items!C$2:C$1032,MATCH($O353,Items!$A$2:$A$1032,0))</f>
        <v>#N/A</v>
      </c>
      <c r="R353" t="e">
        <f>INDEX(Items!D$2:D$1032,MATCH($O353,Items!$A$2:$A$1032,0))</f>
        <v>#N/A</v>
      </c>
    </row>
    <row r="354" spans="1:18" x14ac:dyDescent="0.25">
      <c r="A354">
        <f t="shared" si="27"/>
        <v>1</v>
      </c>
      <c r="B354" t="str">
        <f t="shared" si="28"/>
        <v/>
      </c>
      <c r="C354">
        <f t="shared" si="30"/>
        <v>1</v>
      </c>
      <c r="D354" s="4"/>
      <c r="E354" t="s">
        <v>18</v>
      </c>
      <c r="F354" t="str">
        <f>INDEX(Establishment!B$2:B$1005,MATCH($E354,Establishment!$A$2:$A$1005,0))</f>
        <v xml:space="preserve"> </v>
      </c>
      <c r="G354" t="str">
        <f>INDEX(Establishment!C$2:C$1005,MATCH($E354,Establishment!$A$2:$A$1005,0))</f>
        <v xml:space="preserve"> </v>
      </c>
      <c r="M354">
        <f t="shared" si="31"/>
        <v>0</v>
      </c>
      <c r="N354">
        <f t="shared" si="29"/>
        <v>0</v>
      </c>
      <c r="P354" t="e">
        <f>INDEX(Items!B$2:B$1032,MATCH($O354,Items!$A$2:$A$1032,0))</f>
        <v>#N/A</v>
      </c>
      <c r="Q354" t="e">
        <f>INDEX(Items!C$2:C$1032,MATCH($O354,Items!$A$2:$A$1032,0))</f>
        <v>#N/A</v>
      </c>
      <c r="R354" t="e">
        <f>INDEX(Items!D$2:D$1032,MATCH($O354,Items!$A$2:$A$1032,0))</f>
        <v>#N/A</v>
      </c>
    </row>
    <row r="355" spans="1:18" x14ac:dyDescent="0.25">
      <c r="A355">
        <f t="shared" si="27"/>
        <v>1</v>
      </c>
      <c r="B355" t="str">
        <f t="shared" si="28"/>
        <v/>
      </c>
      <c r="C355">
        <f t="shared" si="30"/>
        <v>1</v>
      </c>
      <c r="D355" s="4"/>
      <c r="E355" t="s">
        <v>18</v>
      </c>
      <c r="F355" t="str">
        <f>INDEX(Establishment!B$2:B$1005,MATCH($E355,Establishment!$A$2:$A$1005,0))</f>
        <v xml:space="preserve"> </v>
      </c>
      <c r="G355" t="str">
        <f>INDEX(Establishment!C$2:C$1005,MATCH($E355,Establishment!$A$2:$A$1005,0))</f>
        <v xml:space="preserve"> </v>
      </c>
      <c r="M355">
        <f t="shared" si="31"/>
        <v>0</v>
      </c>
      <c r="N355">
        <f t="shared" si="29"/>
        <v>0</v>
      </c>
      <c r="P355" t="e">
        <f>INDEX(Items!B$2:B$1032,MATCH($O355,Items!$A$2:$A$1032,0))</f>
        <v>#N/A</v>
      </c>
      <c r="Q355" t="e">
        <f>INDEX(Items!C$2:C$1032,MATCH($O355,Items!$A$2:$A$1032,0))</f>
        <v>#N/A</v>
      </c>
      <c r="R355" t="e">
        <f>INDEX(Items!D$2:D$1032,MATCH($O355,Items!$A$2:$A$1032,0))</f>
        <v>#N/A</v>
      </c>
    </row>
    <row r="356" spans="1:18" x14ac:dyDescent="0.25">
      <c r="A356">
        <f t="shared" si="27"/>
        <v>1</v>
      </c>
      <c r="B356" t="str">
        <f t="shared" si="28"/>
        <v/>
      </c>
      <c r="C356">
        <f t="shared" si="30"/>
        <v>1</v>
      </c>
      <c r="D356" s="4"/>
      <c r="E356" t="s">
        <v>18</v>
      </c>
      <c r="F356" t="str">
        <f>INDEX(Establishment!B$2:B$1005,MATCH($E356,Establishment!$A$2:$A$1005,0))</f>
        <v xml:space="preserve"> </v>
      </c>
      <c r="G356" t="str">
        <f>INDEX(Establishment!C$2:C$1005,MATCH($E356,Establishment!$A$2:$A$1005,0))</f>
        <v xml:space="preserve"> </v>
      </c>
      <c r="M356">
        <f t="shared" si="31"/>
        <v>0</v>
      </c>
      <c r="N356">
        <f t="shared" si="29"/>
        <v>0</v>
      </c>
      <c r="P356" t="e">
        <f>INDEX(Items!B$2:B$1032,MATCH($O356,Items!$A$2:$A$1032,0))</f>
        <v>#N/A</v>
      </c>
      <c r="Q356" t="e">
        <f>INDEX(Items!C$2:C$1032,MATCH($O356,Items!$A$2:$A$1032,0))</f>
        <v>#N/A</v>
      </c>
      <c r="R356" t="e">
        <f>INDEX(Items!D$2:D$1032,MATCH($O356,Items!$A$2:$A$1032,0))</f>
        <v>#N/A</v>
      </c>
    </row>
    <row r="357" spans="1:18" x14ac:dyDescent="0.25">
      <c r="A357">
        <f t="shared" si="27"/>
        <v>1</v>
      </c>
      <c r="B357" t="str">
        <f t="shared" si="28"/>
        <v/>
      </c>
      <c r="C357">
        <f t="shared" si="30"/>
        <v>1</v>
      </c>
      <c r="D357" s="4"/>
      <c r="E357" t="s">
        <v>18</v>
      </c>
      <c r="F357" t="str">
        <f>INDEX(Establishment!B$2:B$1005,MATCH($E357,Establishment!$A$2:$A$1005,0))</f>
        <v xml:space="preserve"> </v>
      </c>
      <c r="G357" t="str">
        <f>INDEX(Establishment!C$2:C$1005,MATCH($E357,Establishment!$A$2:$A$1005,0))</f>
        <v xml:space="preserve"> </v>
      </c>
      <c r="M357">
        <f t="shared" si="31"/>
        <v>0</v>
      </c>
      <c r="N357">
        <f t="shared" si="29"/>
        <v>0</v>
      </c>
      <c r="P357" t="e">
        <f>INDEX(Items!B$2:B$1032,MATCH($O357,Items!$A$2:$A$1032,0))</f>
        <v>#N/A</v>
      </c>
      <c r="Q357" t="e">
        <f>INDEX(Items!C$2:C$1032,MATCH($O357,Items!$A$2:$A$1032,0))</f>
        <v>#N/A</v>
      </c>
      <c r="R357" t="e">
        <f>INDEX(Items!D$2:D$1032,MATCH($O357,Items!$A$2:$A$1032,0))</f>
        <v>#N/A</v>
      </c>
    </row>
    <row r="358" spans="1:18" x14ac:dyDescent="0.25">
      <c r="A358">
        <f t="shared" si="27"/>
        <v>1</v>
      </c>
      <c r="B358" t="str">
        <f t="shared" si="28"/>
        <v/>
      </c>
      <c r="C358">
        <f t="shared" si="30"/>
        <v>1</v>
      </c>
      <c r="D358" s="4"/>
      <c r="E358" t="s">
        <v>18</v>
      </c>
      <c r="F358" t="str">
        <f>INDEX(Establishment!B$2:B$1005,MATCH($E358,Establishment!$A$2:$A$1005,0))</f>
        <v xml:space="preserve"> </v>
      </c>
      <c r="G358" t="str">
        <f>INDEX(Establishment!C$2:C$1005,MATCH($E358,Establishment!$A$2:$A$1005,0))</f>
        <v xml:space="preserve"> </v>
      </c>
      <c r="M358">
        <f t="shared" si="31"/>
        <v>0</v>
      </c>
      <c r="N358">
        <f t="shared" si="29"/>
        <v>0</v>
      </c>
      <c r="P358" t="e">
        <f>INDEX(Items!B$2:B$1032,MATCH($O358,Items!$A$2:$A$1032,0))</f>
        <v>#N/A</v>
      </c>
      <c r="Q358" t="e">
        <f>INDEX(Items!C$2:C$1032,MATCH($O358,Items!$A$2:$A$1032,0))</f>
        <v>#N/A</v>
      </c>
      <c r="R358" t="e">
        <f>INDEX(Items!D$2:D$1032,MATCH($O358,Items!$A$2:$A$1032,0))</f>
        <v>#N/A</v>
      </c>
    </row>
    <row r="359" spans="1:18" x14ac:dyDescent="0.25">
      <c r="A359">
        <f t="shared" si="27"/>
        <v>1</v>
      </c>
      <c r="B359" t="str">
        <f t="shared" si="28"/>
        <v/>
      </c>
      <c r="C359">
        <f t="shared" si="30"/>
        <v>1</v>
      </c>
      <c r="D359" s="4"/>
      <c r="E359" t="s">
        <v>18</v>
      </c>
      <c r="F359" t="str">
        <f>INDEX(Establishment!B$2:B$1005,MATCH($E359,Establishment!$A$2:$A$1005,0))</f>
        <v xml:space="preserve"> </v>
      </c>
      <c r="G359" t="str">
        <f>INDEX(Establishment!C$2:C$1005,MATCH($E359,Establishment!$A$2:$A$1005,0))</f>
        <v xml:space="preserve"> </v>
      </c>
      <c r="M359">
        <f t="shared" si="31"/>
        <v>0</v>
      </c>
      <c r="N359">
        <f t="shared" si="29"/>
        <v>0</v>
      </c>
      <c r="P359" t="e">
        <f>INDEX(Items!B$2:B$1032,MATCH($O359,Items!$A$2:$A$1032,0))</f>
        <v>#N/A</v>
      </c>
      <c r="Q359" t="e">
        <f>INDEX(Items!C$2:C$1032,MATCH($O359,Items!$A$2:$A$1032,0))</f>
        <v>#N/A</v>
      </c>
      <c r="R359" t="e">
        <f>INDEX(Items!D$2:D$1032,MATCH($O359,Items!$A$2:$A$1032,0))</f>
        <v>#N/A</v>
      </c>
    </row>
    <row r="360" spans="1:18" x14ac:dyDescent="0.25">
      <c r="A360">
        <f t="shared" si="27"/>
        <v>1</v>
      </c>
      <c r="B360" t="str">
        <f t="shared" si="28"/>
        <v/>
      </c>
      <c r="C360">
        <f t="shared" si="30"/>
        <v>1</v>
      </c>
      <c r="D360" s="4"/>
      <c r="E360" t="s">
        <v>18</v>
      </c>
      <c r="F360" t="str">
        <f>INDEX(Establishment!B$2:B$1005,MATCH($E360,Establishment!$A$2:$A$1005,0))</f>
        <v xml:space="preserve"> </v>
      </c>
      <c r="G360" t="str">
        <f>INDEX(Establishment!C$2:C$1005,MATCH($E360,Establishment!$A$2:$A$1005,0))</f>
        <v xml:space="preserve"> </v>
      </c>
      <c r="M360">
        <f t="shared" si="31"/>
        <v>0</v>
      </c>
      <c r="N360">
        <f t="shared" si="29"/>
        <v>0</v>
      </c>
      <c r="P360" t="e">
        <f>INDEX(Items!B$2:B$1032,MATCH($O360,Items!$A$2:$A$1032,0))</f>
        <v>#N/A</v>
      </c>
      <c r="Q360" t="e">
        <f>INDEX(Items!C$2:C$1032,MATCH($O360,Items!$A$2:$A$1032,0))</f>
        <v>#N/A</v>
      </c>
      <c r="R360" t="e">
        <f>INDEX(Items!D$2:D$1032,MATCH($O360,Items!$A$2:$A$1032,0))</f>
        <v>#N/A</v>
      </c>
    </row>
    <row r="361" spans="1:18" x14ac:dyDescent="0.25">
      <c r="A361">
        <f t="shared" si="27"/>
        <v>1</v>
      </c>
      <c r="B361" t="str">
        <f t="shared" si="28"/>
        <v/>
      </c>
      <c r="C361">
        <f t="shared" si="30"/>
        <v>1</v>
      </c>
      <c r="D361" s="4"/>
      <c r="E361" t="s">
        <v>18</v>
      </c>
      <c r="F361" t="str">
        <f>INDEX(Establishment!B$2:B$1005,MATCH($E361,Establishment!$A$2:$A$1005,0))</f>
        <v xml:space="preserve"> </v>
      </c>
      <c r="G361" t="str">
        <f>INDEX(Establishment!C$2:C$1005,MATCH($E361,Establishment!$A$2:$A$1005,0))</f>
        <v xml:space="preserve"> </v>
      </c>
      <c r="M361">
        <f t="shared" si="31"/>
        <v>0</v>
      </c>
      <c r="N361">
        <f t="shared" si="29"/>
        <v>0</v>
      </c>
      <c r="P361" t="e">
        <f>INDEX(Items!B$2:B$1032,MATCH($O361,Items!$A$2:$A$1032,0))</f>
        <v>#N/A</v>
      </c>
      <c r="Q361" t="e">
        <f>INDEX(Items!C$2:C$1032,MATCH($O361,Items!$A$2:$A$1032,0))</f>
        <v>#N/A</v>
      </c>
      <c r="R361" t="e">
        <f>INDEX(Items!D$2:D$1032,MATCH($O361,Items!$A$2:$A$1032,0))</f>
        <v>#N/A</v>
      </c>
    </row>
    <row r="362" spans="1:18" x14ac:dyDescent="0.25">
      <c r="A362">
        <f t="shared" si="27"/>
        <v>1</v>
      </c>
      <c r="B362" t="str">
        <f t="shared" si="28"/>
        <v/>
      </c>
      <c r="C362">
        <f t="shared" si="30"/>
        <v>1</v>
      </c>
      <c r="D362" s="4"/>
      <c r="E362" t="s">
        <v>18</v>
      </c>
      <c r="F362" t="str">
        <f>INDEX(Establishment!B$2:B$1005,MATCH($E362,Establishment!$A$2:$A$1005,0))</f>
        <v xml:space="preserve"> </v>
      </c>
      <c r="G362" t="str">
        <f>INDEX(Establishment!C$2:C$1005,MATCH($E362,Establishment!$A$2:$A$1005,0))</f>
        <v xml:space="preserve"> </v>
      </c>
      <c r="M362">
        <f t="shared" si="31"/>
        <v>0</v>
      </c>
      <c r="N362">
        <f t="shared" si="29"/>
        <v>0</v>
      </c>
      <c r="P362" t="e">
        <f>INDEX(Items!B$2:B$1032,MATCH($O362,Items!$A$2:$A$1032,0))</f>
        <v>#N/A</v>
      </c>
      <c r="Q362" t="e">
        <f>INDEX(Items!C$2:C$1032,MATCH($O362,Items!$A$2:$A$1032,0))</f>
        <v>#N/A</v>
      </c>
      <c r="R362" t="e">
        <f>INDEX(Items!D$2:D$1032,MATCH($O362,Items!$A$2:$A$1032,0))</f>
        <v>#N/A</v>
      </c>
    </row>
    <row r="363" spans="1:18" x14ac:dyDescent="0.25">
      <c r="A363">
        <f t="shared" si="27"/>
        <v>1</v>
      </c>
      <c r="B363" t="str">
        <f t="shared" si="28"/>
        <v/>
      </c>
      <c r="C363">
        <f t="shared" si="30"/>
        <v>1</v>
      </c>
      <c r="D363" s="4"/>
      <c r="E363" t="s">
        <v>18</v>
      </c>
      <c r="F363" t="str">
        <f>INDEX(Establishment!B$2:B$1005,MATCH($E363,Establishment!$A$2:$A$1005,0))</f>
        <v xml:space="preserve"> </v>
      </c>
      <c r="G363" t="str">
        <f>INDEX(Establishment!C$2:C$1005,MATCH($E363,Establishment!$A$2:$A$1005,0))</f>
        <v xml:space="preserve"> </v>
      </c>
      <c r="M363">
        <f t="shared" si="31"/>
        <v>0</v>
      </c>
      <c r="N363">
        <f t="shared" si="29"/>
        <v>0</v>
      </c>
      <c r="P363" t="e">
        <f>INDEX(Items!B$2:B$1032,MATCH($O363,Items!$A$2:$A$1032,0))</f>
        <v>#N/A</v>
      </c>
      <c r="Q363" t="e">
        <f>INDEX(Items!C$2:C$1032,MATCH($O363,Items!$A$2:$A$1032,0))</f>
        <v>#N/A</v>
      </c>
      <c r="R363" t="e">
        <f>INDEX(Items!D$2:D$1032,MATCH($O363,Items!$A$2:$A$1032,0))</f>
        <v>#N/A</v>
      </c>
    </row>
    <row r="364" spans="1:18" x14ac:dyDescent="0.25">
      <c r="A364">
        <f t="shared" si="27"/>
        <v>1</v>
      </c>
      <c r="B364" t="str">
        <f t="shared" si="28"/>
        <v/>
      </c>
      <c r="C364">
        <f t="shared" si="30"/>
        <v>1</v>
      </c>
      <c r="D364" s="4"/>
      <c r="E364" t="s">
        <v>18</v>
      </c>
      <c r="F364" t="str">
        <f>INDEX(Establishment!B$2:B$1005,MATCH($E364,Establishment!$A$2:$A$1005,0))</f>
        <v xml:space="preserve"> </v>
      </c>
      <c r="G364" t="str">
        <f>INDEX(Establishment!C$2:C$1005,MATCH($E364,Establishment!$A$2:$A$1005,0))</f>
        <v xml:space="preserve"> </v>
      </c>
      <c r="M364">
        <f t="shared" si="31"/>
        <v>0</v>
      </c>
      <c r="N364">
        <f t="shared" si="29"/>
        <v>0</v>
      </c>
      <c r="P364" t="e">
        <f>INDEX(Items!B$2:B$1032,MATCH($O364,Items!$A$2:$A$1032,0))</f>
        <v>#N/A</v>
      </c>
      <c r="Q364" t="e">
        <f>INDEX(Items!C$2:C$1032,MATCH($O364,Items!$A$2:$A$1032,0))</f>
        <v>#N/A</v>
      </c>
      <c r="R364" t="e">
        <f>INDEX(Items!D$2:D$1032,MATCH($O364,Items!$A$2:$A$1032,0))</f>
        <v>#N/A</v>
      </c>
    </row>
    <row r="365" spans="1:18" x14ac:dyDescent="0.25">
      <c r="A365">
        <f t="shared" si="27"/>
        <v>1</v>
      </c>
      <c r="B365" t="str">
        <f t="shared" si="28"/>
        <v/>
      </c>
      <c r="C365">
        <f t="shared" si="30"/>
        <v>1</v>
      </c>
      <c r="D365" s="4"/>
      <c r="E365" t="s">
        <v>18</v>
      </c>
      <c r="F365" t="str">
        <f>INDEX(Establishment!B$2:B$1005,MATCH($E365,Establishment!$A$2:$A$1005,0))</f>
        <v xml:space="preserve"> </v>
      </c>
      <c r="G365" t="str">
        <f>INDEX(Establishment!C$2:C$1005,MATCH($E365,Establishment!$A$2:$A$1005,0))</f>
        <v xml:space="preserve"> </v>
      </c>
      <c r="M365">
        <f t="shared" si="31"/>
        <v>0</v>
      </c>
      <c r="N365">
        <f t="shared" si="29"/>
        <v>0</v>
      </c>
      <c r="P365" t="e">
        <f>INDEX(Items!B$2:B$1032,MATCH($O365,Items!$A$2:$A$1032,0))</f>
        <v>#N/A</v>
      </c>
      <c r="Q365" t="e">
        <f>INDEX(Items!C$2:C$1032,MATCH($O365,Items!$A$2:$A$1032,0))</f>
        <v>#N/A</v>
      </c>
      <c r="R365" t="e">
        <f>INDEX(Items!D$2:D$1032,MATCH($O365,Items!$A$2:$A$1032,0))</f>
        <v>#N/A</v>
      </c>
    </row>
    <row r="366" spans="1:18" x14ac:dyDescent="0.25">
      <c r="A366">
        <f t="shared" si="27"/>
        <v>1</v>
      </c>
      <c r="B366" t="str">
        <f t="shared" si="28"/>
        <v/>
      </c>
      <c r="C366">
        <f t="shared" si="30"/>
        <v>1</v>
      </c>
      <c r="D366" s="4"/>
      <c r="E366" t="s">
        <v>18</v>
      </c>
      <c r="F366" t="str">
        <f>INDEX(Establishment!B$2:B$1005,MATCH($E366,Establishment!$A$2:$A$1005,0))</f>
        <v xml:space="preserve"> </v>
      </c>
      <c r="G366" t="str">
        <f>INDEX(Establishment!C$2:C$1005,MATCH($E366,Establishment!$A$2:$A$1005,0))</f>
        <v xml:space="preserve"> </v>
      </c>
      <c r="M366">
        <f t="shared" si="31"/>
        <v>0</v>
      </c>
      <c r="N366">
        <f t="shared" si="29"/>
        <v>0</v>
      </c>
      <c r="P366" t="e">
        <f>INDEX(Items!B$2:B$1032,MATCH($O366,Items!$A$2:$A$1032,0))</f>
        <v>#N/A</v>
      </c>
      <c r="Q366" t="e">
        <f>INDEX(Items!C$2:C$1032,MATCH($O366,Items!$A$2:$A$1032,0))</f>
        <v>#N/A</v>
      </c>
      <c r="R366" t="e">
        <f>INDEX(Items!D$2:D$1032,MATCH($O366,Items!$A$2:$A$1032,0))</f>
        <v>#N/A</v>
      </c>
    </row>
    <row r="367" spans="1:18" x14ac:dyDescent="0.25">
      <c r="A367">
        <f t="shared" si="27"/>
        <v>1</v>
      </c>
      <c r="B367" t="str">
        <f t="shared" si="28"/>
        <v/>
      </c>
      <c r="C367">
        <f t="shared" si="30"/>
        <v>1</v>
      </c>
      <c r="D367" s="4"/>
      <c r="E367" t="s">
        <v>18</v>
      </c>
      <c r="F367" t="str">
        <f>INDEX(Establishment!B$2:B$1005,MATCH($E367,Establishment!$A$2:$A$1005,0))</f>
        <v xml:space="preserve"> </v>
      </c>
      <c r="G367" t="str">
        <f>INDEX(Establishment!C$2:C$1005,MATCH($E367,Establishment!$A$2:$A$1005,0))</f>
        <v xml:space="preserve"> </v>
      </c>
      <c r="M367">
        <f t="shared" si="31"/>
        <v>0</v>
      </c>
      <c r="N367">
        <f t="shared" si="29"/>
        <v>0</v>
      </c>
      <c r="P367" t="e">
        <f>INDEX(Items!B$2:B$1032,MATCH($O367,Items!$A$2:$A$1032,0))</f>
        <v>#N/A</v>
      </c>
      <c r="Q367" t="e">
        <f>INDEX(Items!C$2:C$1032,MATCH($O367,Items!$A$2:$A$1032,0))</f>
        <v>#N/A</v>
      </c>
      <c r="R367" t="e">
        <f>INDEX(Items!D$2:D$1032,MATCH($O367,Items!$A$2:$A$1032,0))</f>
        <v>#N/A</v>
      </c>
    </row>
    <row r="368" spans="1:18" x14ac:dyDescent="0.25">
      <c r="A368">
        <f t="shared" si="27"/>
        <v>1</v>
      </c>
      <c r="B368" t="str">
        <f t="shared" si="28"/>
        <v/>
      </c>
      <c r="C368">
        <f t="shared" si="30"/>
        <v>1</v>
      </c>
      <c r="D368" s="4"/>
      <c r="E368" t="s">
        <v>18</v>
      </c>
      <c r="F368" t="str">
        <f>INDEX(Establishment!B$2:B$1005,MATCH($E368,Establishment!$A$2:$A$1005,0))</f>
        <v xml:space="preserve"> </v>
      </c>
      <c r="G368" t="str">
        <f>INDEX(Establishment!C$2:C$1005,MATCH($E368,Establishment!$A$2:$A$1005,0))</f>
        <v xml:space="preserve"> </v>
      </c>
      <c r="M368">
        <f t="shared" si="31"/>
        <v>0</v>
      </c>
      <c r="N368">
        <f t="shared" si="29"/>
        <v>0</v>
      </c>
      <c r="P368" t="e">
        <f>INDEX(Items!B$2:B$1032,MATCH($O368,Items!$A$2:$A$1032,0))</f>
        <v>#N/A</v>
      </c>
      <c r="Q368" t="e">
        <f>INDEX(Items!C$2:C$1032,MATCH($O368,Items!$A$2:$A$1032,0))</f>
        <v>#N/A</v>
      </c>
      <c r="R368" t="e">
        <f>INDEX(Items!D$2:D$1032,MATCH($O368,Items!$A$2:$A$1032,0))</f>
        <v>#N/A</v>
      </c>
    </row>
    <row r="369" spans="1:18" x14ac:dyDescent="0.25">
      <c r="A369">
        <f t="shared" si="27"/>
        <v>1</v>
      </c>
      <c r="B369" t="str">
        <f t="shared" si="28"/>
        <v/>
      </c>
      <c r="C369">
        <f t="shared" si="30"/>
        <v>1</v>
      </c>
      <c r="D369" s="4"/>
      <c r="E369" t="s">
        <v>18</v>
      </c>
      <c r="F369" t="str">
        <f>INDEX(Establishment!B$2:B$1005,MATCH($E369,Establishment!$A$2:$A$1005,0))</f>
        <v xml:space="preserve"> </v>
      </c>
      <c r="G369" t="str">
        <f>INDEX(Establishment!C$2:C$1005,MATCH($E369,Establishment!$A$2:$A$1005,0))</f>
        <v xml:space="preserve"> </v>
      </c>
      <c r="M369">
        <f t="shared" si="31"/>
        <v>0</v>
      </c>
      <c r="N369">
        <f t="shared" si="29"/>
        <v>0</v>
      </c>
      <c r="P369" t="e">
        <f>INDEX(Items!B$2:B$1032,MATCH($O369,Items!$A$2:$A$1032,0))</f>
        <v>#N/A</v>
      </c>
      <c r="Q369" t="e">
        <f>INDEX(Items!C$2:C$1032,MATCH($O369,Items!$A$2:$A$1032,0))</f>
        <v>#N/A</v>
      </c>
      <c r="R369" t="e">
        <f>INDEX(Items!D$2:D$1032,MATCH($O369,Items!$A$2:$A$1032,0))</f>
        <v>#N/A</v>
      </c>
    </row>
    <row r="370" spans="1:18" x14ac:dyDescent="0.25">
      <c r="A370">
        <f t="shared" si="27"/>
        <v>1</v>
      </c>
      <c r="B370" t="str">
        <f t="shared" si="28"/>
        <v/>
      </c>
      <c r="C370">
        <f t="shared" si="30"/>
        <v>1</v>
      </c>
      <c r="D370" s="4"/>
      <c r="E370" t="s">
        <v>18</v>
      </c>
      <c r="F370" t="str">
        <f>INDEX(Establishment!B$2:B$1005,MATCH($E370,Establishment!$A$2:$A$1005,0))</f>
        <v xml:space="preserve"> </v>
      </c>
      <c r="G370" t="str">
        <f>INDEX(Establishment!C$2:C$1005,MATCH($E370,Establishment!$A$2:$A$1005,0))</f>
        <v xml:space="preserve"> </v>
      </c>
      <c r="M370">
        <f t="shared" si="31"/>
        <v>0</v>
      </c>
      <c r="N370">
        <f t="shared" si="29"/>
        <v>0</v>
      </c>
      <c r="P370" t="e">
        <f>INDEX(Items!B$2:B$1032,MATCH($O370,Items!$A$2:$A$1032,0))</f>
        <v>#N/A</v>
      </c>
      <c r="Q370" t="e">
        <f>INDEX(Items!C$2:C$1032,MATCH($O370,Items!$A$2:$A$1032,0))</f>
        <v>#N/A</v>
      </c>
      <c r="R370" t="e">
        <f>INDEX(Items!D$2:D$1032,MATCH($O370,Items!$A$2:$A$1032,0))</f>
        <v>#N/A</v>
      </c>
    </row>
    <row r="371" spans="1:18" x14ac:dyDescent="0.25">
      <c r="A371">
        <f t="shared" si="27"/>
        <v>1</v>
      </c>
      <c r="B371" t="str">
        <f t="shared" si="28"/>
        <v/>
      </c>
      <c r="C371">
        <f t="shared" si="30"/>
        <v>1</v>
      </c>
      <c r="D371" s="4"/>
      <c r="E371" t="s">
        <v>18</v>
      </c>
      <c r="F371" t="str">
        <f>INDEX(Establishment!B$2:B$1005,MATCH($E371,Establishment!$A$2:$A$1005,0))</f>
        <v xml:space="preserve"> </v>
      </c>
      <c r="G371" t="str">
        <f>INDEX(Establishment!C$2:C$1005,MATCH($E371,Establishment!$A$2:$A$1005,0))</f>
        <v xml:space="preserve"> </v>
      </c>
      <c r="M371">
        <f t="shared" si="31"/>
        <v>0</v>
      </c>
      <c r="N371">
        <f t="shared" si="29"/>
        <v>0</v>
      </c>
      <c r="P371" t="e">
        <f>INDEX(Items!B$2:B$1032,MATCH($O371,Items!$A$2:$A$1032,0))</f>
        <v>#N/A</v>
      </c>
      <c r="Q371" t="e">
        <f>INDEX(Items!C$2:C$1032,MATCH($O371,Items!$A$2:$A$1032,0))</f>
        <v>#N/A</v>
      </c>
      <c r="R371" t="e">
        <f>INDEX(Items!D$2:D$1032,MATCH($O371,Items!$A$2:$A$1032,0))</f>
        <v>#N/A</v>
      </c>
    </row>
    <row r="372" spans="1:18" x14ac:dyDescent="0.25">
      <c r="A372">
        <f t="shared" si="27"/>
        <v>1</v>
      </c>
      <c r="B372" t="str">
        <f t="shared" si="28"/>
        <v/>
      </c>
      <c r="C372">
        <f t="shared" si="30"/>
        <v>1</v>
      </c>
      <c r="D372" s="4"/>
      <c r="E372" t="s">
        <v>18</v>
      </c>
      <c r="F372" t="str">
        <f>INDEX(Establishment!B$2:B$1005,MATCH($E372,Establishment!$A$2:$A$1005,0))</f>
        <v xml:space="preserve"> </v>
      </c>
      <c r="G372" t="str">
        <f>INDEX(Establishment!C$2:C$1005,MATCH($E372,Establishment!$A$2:$A$1005,0))</f>
        <v xml:space="preserve"> </v>
      </c>
      <c r="M372">
        <f t="shared" si="31"/>
        <v>0</v>
      </c>
      <c r="N372">
        <f t="shared" si="29"/>
        <v>0</v>
      </c>
      <c r="P372" t="e">
        <f>INDEX(Items!B$2:B$1032,MATCH($O372,Items!$A$2:$A$1032,0))</f>
        <v>#N/A</v>
      </c>
      <c r="Q372" t="e">
        <f>INDEX(Items!C$2:C$1032,MATCH($O372,Items!$A$2:$A$1032,0))</f>
        <v>#N/A</v>
      </c>
      <c r="R372" t="e">
        <f>INDEX(Items!D$2:D$1032,MATCH($O372,Items!$A$2:$A$1032,0))</f>
        <v>#N/A</v>
      </c>
    </row>
    <row r="373" spans="1:18" x14ac:dyDescent="0.25">
      <c r="A373">
        <f t="shared" si="27"/>
        <v>1</v>
      </c>
      <c r="B373" t="str">
        <f t="shared" si="28"/>
        <v/>
      </c>
      <c r="C373">
        <f t="shared" si="30"/>
        <v>1</v>
      </c>
      <c r="D373" s="4"/>
      <c r="E373" t="s">
        <v>18</v>
      </c>
      <c r="F373" t="str">
        <f>INDEX(Establishment!B$2:B$1005,MATCH($E373,Establishment!$A$2:$A$1005,0))</f>
        <v xml:space="preserve"> </v>
      </c>
      <c r="G373" t="str">
        <f>INDEX(Establishment!C$2:C$1005,MATCH($E373,Establishment!$A$2:$A$1005,0))</f>
        <v xml:space="preserve"> </v>
      </c>
      <c r="M373">
        <f t="shared" si="31"/>
        <v>0</v>
      </c>
      <c r="N373">
        <f t="shared" si="29"/>
        <v>0</v>
      </c>
      <c r="P373" t="e">
        <f>INDEX(Items!B$2:B$1032,MATCH($O373,Items!$A$2:$A$1032,0))</f>
        <v>#N/A</v>
      </c>
      <c r="Q373" t="e">
        <f>INDEX(Items!C$2:C$1032,MATCH($O373,Items!$A$2:$A$1032,0))</f>
        <v>#N/A</v>
      </c>
      <c r="R373" t="e">
        <f>INDEX(Items!D$2:D$1032,MATCH($O373,Items!$A$2:$A$1032,0))</f>
        <v>#N/A</v>
      </c>
    </row>
    <row r="374" spans="1:18" x14ac:dyDescent="0.25">
      <c r="A374">
        <f t="shared" si="27"/>
        <v>1</v>
      </c>
      <c r="B374" t="str">
        <f t="shared" si="28"/>
        <v/>
      </c>
      <c r="C374">
        <f t="shared" si="30"/>
        <v>1</v>
      </c>
      <c r="D374" s="4"/>
      <c r="E374" t="s">
        <v>18</v>
      </c>
      <c r="F374" t="str">
        <f>INDEX(Establishment!B$2:B$1005,MATCH($E374,Establishment!$A$2:$A$1005,0))</f>
        <v xml:space="preserve"> </v>
      </c>
      <c r="G374" t="str">
        <f>INDEX(Establishment!C$2:C$1005,MATCH($E374,Establishment!$A$2:$A$1005,0))</f>
        <v xml:space="preserve"> </v>
      </c>
      <c r="M374">
        <f t="shared" si="31"/>
        <v>0</v>
      </c>
      <c r="N374">
        <f t="shared" si="29"/>
        <v>0</v>
      </c>
      <c r="P374" t="e">
        <f>INDEX(Items!B$2:B$1032,MATCH($O374,Items!$A$2:$A$1032,0))</f>
        <v>#N/A</v>
      </c>
      <c r="Q374" t="e">
        <f>INDEX(Items!C$2:C$1032,MATCH($O374,Items!$A$2:$A$1032,0))</f>
        <v>#N/A</v>
      </c>
      <c r="R374" t="e">
        <f>INDEX(Items!D$2:D$1032,MATCH($O374,Items!$A$2:$A$1032,0))</f>
        <v>#N/A</v>
      </c>
    </row>
    <row r="375" spans="1:18" x14ac:dyDescent="0.25">
      <c r="A375">
        <f t="shared" si="27"/>
        <v>1</v>
      </c>
      <c r="B375" t="str">
        <f t="shared" si="28"/>
        <v/>
      </c>
      <c r="C375">
        <f t="shared" si="30"/>
        <v>1</v>
      </c>
      <c r="D375" s="4"/>
      <c r="E375" t="s">
        <v>18</v>
      </c>
      <c r="F375" t="str">
        <f>INDEX(Establishment!B$2:B$1005,MATCH($E375,Establishment!$A$2:$A$1005,0))</f>
        <v xml:space="preserve"> </v>
      </c>
      <c r="G375" t="str">
        <f>INDEX(Establishment!C$2:C$1005,MATCH($E375,Establishment!$A$2:$A$1005,0))</f>
        <v xml:space="preserve"> </v>
      </c>
      <c r="M375">
        <f t="shared" si="31"/>
        <v>0</v>
      </c>
      <c r="N375">
        <f t="shared" si="29"/>
        <v>0</v>
      </c>
      <c r="P375" t="e">
        <f>INDEX(Items!B$2:B$1032,MATCH($O375,Items!$A$2:$A$1032,0))</f>
        <v>#N/A</v>
      </c>
      <c r="Q375" t="e">
        <f>INDEX(Items!C$2:C$1032,MATCH($O375,Items!$A$2:$A$1032,0))</f>
        <v>#N/A</v>
      </c>
      <c r="R375" t="e">
        <f>INDEX(Items!D$2:D$1032,MATCH($O375,Items!$A$2:$A$1032,0))</f>
        <v>#N/A</v>
      </c>
    </row>
    <row r="376" spans="1:18" x14ac:dyDescent="0.25">
      <c r="A376">
        <f t="shared" si="27"/>
        <v>1</v>
      </c>
      <c r="B376" t="str">
        <f t="shared" si="28"/>
        <v/>
      </c>
      <c r="C376">
        <f t="shared" si="30"/>
        <v>1</v>
      </c>
      <c r="D376" s="4"/>
      <c r="E376" t="s">
        <v>18</v>
      </c>
      <c r="F376" t="str">
        <f>INDEX(Establishment!B$2:B$1005,MATCH($E376,Establishment!$A$2:$A$1005,0))</f>
        <v xml:space="preserve"> </v>
      </c>
      <c r="G376" t="str">
        <f>INDEX(Establishment!C$2:C$1005,MATCH($E376,Establishment!$A$2:$A$1005,0))</f>
        <v xml:space="preserve"> </v>
      </c>
      <c r="M376">
        <f t="shared" si="31"/>
        <v>0</v>
      </c>
      <c r="N376">
        <f t="shared" si="29"/>
        <v>0</v>
      </c>
      <c r="P376" t="e">
        <f>INDEX(Items!B$2:B$1032,MATCH($O376,Items!$A$2:$A$1032,0))</f>
        <v>#N/A</v>
      </c>
      <c r="Q376" t="e">
        <f>INDEX(Items!C$2:C$1032,MATCH($O376,Items!$A$2:$A$1032,0))</f>
        <v>#N/A</v>
      </c>
      <c r="R376" t="e">
        <f>INDEX(Items!D$2:D$1032,MATCH($O376,Items!$A$2:$A$1032,0))</f>
        <v>#N/A</v>
      </c>
    </row>
    <row r="377" spans="1:18" x14ac:dyDescent="0.25">
      <c r="A377">
        <f t="shared" si="27"/>
        <v>1</v>
      </c>
      <c r="B377" t="str">
        <f t="shared" si="28"/>
        <v/>
      </c>
      <c r="C377">
        <f t="shared" si="30"/>
        <v>1</v>
      </c>
      <c r="D377" s="4"/>
      <c r="E377" t="s">
        <v>18</v>
      </c>
      <c r="F377" t="str">
        <f>INDEX(Establishment!B$2:B$1005,MATCH($E377,Establishment!$A$2:$A$1005,0))</f>
        <v xml:space="preserve"> </v>
      </c>
      <c r="G377" t="str">
        <f>INDEX(Establishment!C$2:C$1005,MATCH($E377,Establishment!$A$2:$A$1005,0))</f>
        <v xml:space="preserve"> </v>
      </c>
      <c r="M377">
        <f t="shared" si="31"/>
        <v>0</v>
      </c>
      <c r="N377">
        <f t="shared" si="29"/>
        <v>0</v>
      </c>
      <c r="P377" t="e">
        <f>INDEX(Items!B$2:B$1032,MATCH($O377,Items!$A$2:$A$1032,0))</f>
        <v>#N/A</v>
      </c>
      <c r="Q377" t="e">
        <f>INDEX(Items!C$2:C$1032,MATCH($O377,Items!$A$2:$A$1032,0))</f>
        <v>#N/A</v>
      </c>
      <c r="R377" t="e">
        <f>INDEX(Items!D$2:D$1032,MATCH($O377,Items!$A$2:$A$1032,0))</f>
        <v>#N/A</v>
      </c>
    </row>
    <row r="378" spans="1:18" x14ac:dyDescent="0.25">
      <c r="A378">
        <f t="shared" si="27"/>
        <v>1</v>
      </c>
      <c r="B378" t="str">
        <f t="shared" si="28"/>
        <v/>
      </c>
      <c r="C378">
        <f t="shared" si="30"/>
        <v>1</v>
      </c>
      <c r="D378" s="4"/>
      <c r="E378" t="s">
        <v>18</v>
      </c>
      <c r="F378" t="str">
        <f>INDEX(Establishment!B$2:B$1005,MATCH($E378,Establishment!$A$2:$A$1005,0))</f>
        <v xml:space="preserve"> </v>
      </c>
      <c r="G378" t="str">
        <f>INDEX(Establishment!C$2:C$1005,MATCH($E378,Establishment!$A$2:$A$1005,0))</f>
        <v xml:space="preserve"> </v>
      </c>
      <c r="M378">
        <f t="shared" si="31"/>
        <v>0</v>
      </c>
      <c r="N378">
        <f t="shared" si="29"/>
        <v>0</v>
      </c>
      <c r="P378" t="e">
        <f>INDEX(Items!B$2:B$1032,MATCH($O378,Items!$A$2:$A$1032,0))</f>
        <v>#N/A</v>
      </c>
      <c r="Q378" t="e">
        <f>INDEX(Items!C$2:C$1032,MATCH($O378,Items!$A$2:$A$1032,0))</f>
        <v>#N/A</v>
      </c>
      <c r="R378" t="e">
        <f>INDEX(Items!D$2:D$1032,MATCH($O378,Items!$A$2:$A$1032,0))</f>
        <v>#N/A</v>
      </c>
    </row>
    <row r="379" spans="1:18" x14ac:dyDescent="0.25">
      <c r="A379">
        <f t="shared" si="27"/>
        <v>1</v>
      </c>
      <c r="B379" t="str">
        <f t="shared" si="28"/>
        <v/>
      </c>
      <c r="C379">
        <f t="shared" si="30"/>
        <v>1</v>
      </c>
      <c r="D379" s="4"/>
      <c r="E379" t="s">
        <v>18</v>
      </c>
      <c r="F379" t="str">
        <f>INDEX(Establishment!B$2:B$1005,MATCH($E379,Establishment!$A$2:$A$1005,0))</f>
        <v xml:space="preserve"> </v>
      </c>
      <c r="G379" t="str">
        <f>INDEX(Establishment!C$2:C$1005,MATCH($E379,Establishment!$A$2:$A$1005,0))</f>
        <v xml:space="preserve"> </v>
      </c>
      <c r="M379">
        <f t="shared" si="31"/>
        <v>0</v>
      </c>
      <c r="N379">
        <f t="shared" si="29"/>
        <v>0</v>
      </c>
      <c r="P379" t="e">
        <f>INDEX(Items!B$2:B$1032,MATCH($O379,Items!$A$2:$A$1032,0))</f>
        <v>#N/A</v>
      </c>
      <c r="Q379" t="e">
        <f>INDEX(Items!C$2:C$1032,MATCH($O379,Items!$A$2:$A$1032,0))</f>
        <v>#N/A</v>
      </c>
      <c r="R379" t="e">
        <f>INDEX(Items!D$2:D$1032,MATCH($O379,Items!$A$2:$A$1032,0))</f>
        <v>#N/A</v>
      </c>
    </row>
    <row r="380" spans="1:18" x14ac:dyDescent="0.25">
      <c r="A380">
        <f t="shared" si="27"/>
        <v>1</v>
      </c>
      <c r="B380" t="str">
        <f t="shared" si="28"/>
        <v/>
      </c>
      <c r="C380">
        <f t="shared" si="30"/>
        <v>1</v>
      </c>
      <c r="D380" s="4"/>
      <c r="E380" t="s">
        <v>18</v>
      </c>
      <c r="F380" t="str">
        <f>INDEX(Establishment!B$2:B$1005,MATCH($E380,Establishment!$A$2:$A$1005,0))</f>
        <v xml:space="preserve"> </v>
      </c>
      <c r="G380" t="str">
        <f>INDEX(Establishment!C$2:C$1005,MATCH($E380,Establishment!$A$2:$A$1005,0))</f>
        <v xml:space="preserve"> </v>
      </c>
      <c r="M380">
        <f t="shared" si="31"/>
        <v>0</v>
      </c>
      <c r="N380">
        <f t="shared" si="29"/>
        <v>0</v>
      </c>
      <c r="P380" t="e">
        <f>INDEX(Items!B$2:B$1032,MATCH($O380,Items!$A$2:$A$1032,0))</f>
        <v>#N/A</v>
      </c>
      <c r="Q380" t="e">
        <f>INDEX(Items!C$2:C$1032,MATCH($O380,Items!$A$2:$A$1032,0))</f>
        <v>#N/A</v>
      </c>
      <c r="R380" t="e">
        <f>INDEX(Items!D$2:D$1032,MATCH($O380,Items!$A$2:$A$1032,0))</f>
        <v>#N/A</v>
      </c>
    </row>
    <row r="381" spans="1:18" x14ac:dyDescent="0.25">
      <c r="A381">
        <f t="shared" si="27"/>
        <v>1</v>
      </c>
      <c r="B381" t="str">
        <f t="shared" si="28"/>
        <v/>
      </c>
      <c r="C381">
        <f t="shared" si="30"/>
        <v>1</v>
      </c>
      <c r="D381" s="4"/>
      <c r="E381" t="s">
        <v>18</v>
      </c>
      <c r="F381" t="str">
        <f>INDEX(Establishment!B$2:B$1005,MATCH($E381,Establishment!$A$2:$A$1005,0))</f>
        <v xml:space="preserve"> </v>
      </c>
      <c r="G381" t="str">
        <f>INDEX(Establishment!C$2:C$1005,MATCH($E381,Establishment!$A$2:$A$1005,0))</f>
        <v xml:space="preserve"> </v>
      </c>
      <c r="M381">
        <f t="shared" si="31"/>
        <v>0</v>
      </c>
      <c r="N381">
        <f t="shared" si="29"/>
        <v>0</v>
      </c>
      <c r="P381" t="e">
        <f>INDEX(Items!B$2:B$1032,MATCH($O381,Items!$A$2:$A$1032,0))</f>
        <v>#N/A</v>
      </c>
      <c r="Q381" t="e">
        <f>INDEX(Items!C$2:C$1032,MATCH($O381,Items!$A$2:$A$1032,0))</f>
        <v>#N/A</v>
      </c>
      <c r="R381" t="e">
        <f>INDEX(Items!D$2:D$1032,MATCH($O381,Items!$A$2:$A$1032,0))</f>
        <v>#N/A</v>
      </c>
    </row>
    <row r="382" spans="1:18" x14ac:dyDescent="0.25">
      <c r="A382">
        <f t="shared" si="27"/>
        <v>1</v>
      </c>
      <c r="B382" t="str">
        <f t="shared" si="28"/>
        <v/>
      </c>
      <c r="C382">
        <f t="shared" si="30"/>
        <v>1</v>
      </c>
      <c r="D382" s="4"/>
      <c r="E382" t="s">
        <v>18</v>
      </c>
      <c r="F382" t="str">
        <f>INDEX(Establishment!B$2:B$1005,MATCH($E382,Establishment!$A$2:$A$1005,0))</f>
        <v xml:space="preserve"> </v>
      </c>
      <c r="G382" t="str">
        <f>INDEX(Establishment!C$2:C$1005,MATCH($E382,Establishment!$A$2:$A$1005,0))</f>
        <v xml:space="preserve"> </v>
      </c>
      <c r="M382">
        <f t="shared" si="31"/>
        <v>0</v>
      </c>
      <c r="N382">
        <f t="shared" si="29"/>
        <v>0</v>
      </c>
      <c r="P382" t="e">
        <f>INDEX(Items!B$2:B$1032,MATCH($O382,Items!$A$2:$A$1032,0))</f>
        <v>#N/A</v>
      </c>
      <c r="Q382" t="e">
        <f>INDEX(Items!C$2:C$1032,MATCH($O382,Items!$A$2:$A$1032,0))</f>
        <v>#N/A</v>
      </c>
      <c r="R382" t="e">
        <f>INDEX(Items!D$2:D$1032,MATCH($O382,Items!$A$2:$A$1032,0))</f>
        <v>#N/A</v>
      </c>
    </row>
    <row r="383" spans="1:18" x14ac:dyDescent="0.25">
      <c r="A383">
        <f t="shared" si="27"/>
        <v>1</v>
      </c>
      <c r="B383" t="str">
        <f t="shared" si="28"/>
        <v/>
      </c>
      <c r="C383">
        <f t="shared" si="30"/>
        <v>1</v>
      </c>
      <c r="D383" s="4"/>
      <c r="E383" t="s">
        <v>18</v>
      </c>
      <c r="F383" t="str">
        <f>INDEX(Establishment!B$2:B$1005,MATCH($E383,Establishment!$A$2:$A$1005,0))</f>
        <v xml:space="preserve"> </v>
      </c>
      <c r="G383" t="str">
        <f>INDEX(Establishment!C$2:C$1005,MATCH($E383,Establishment!$A$2:$A$1005,0))</f>
        <v xml:space="preserve"> </v>
      </c>
      <c r="M383">
        <f t="shared" si="31"/>
        <v>0</v>
      </c>
      <c r="N383">
        <f t="shared" si="29"/>
        <v>0</v>
      </c>
      <c r="P383" t="e">
        <f>INDEX(Items!B$2:B$1032,MATCH($O383,Items!$A$2:$A$1032,0))</f>
        <v>#N/A</v>
      </c>
      <c r="Q383" t="e">
        <f>INDEX(Items!C$2:C$1032,MATCH($O383,Items!$A$2:$A$1032,0))</f>
        <v>#N/A</v>
      </c>
      <c r="R383" t="e">
        <f>INDEX(Items!D$2:D$1032,MATCH($O383,Items!$A$2:$A$1032,0))</f>
        <v>#N/A</v>
      </c>
    </row>
    <row r="384" spans="1:18" x14ac:dyDescent="0.25">
      <c r="A384">
        <f t="shared" si="27"/>
        <v>1</v>
      </c>
      <c r="B384" t="str">
        <f t="shared" si="28"/>
        <v/>
      </c>
      <c r="C384">
        <f t="shared" si="30"/>
        <v>1</v>
      </c>
      <c r="D384" s="4"/>
      <c r="E384" t="s">
        <v>18</v>
      </c>
      <c r="F384" t="str">
        <f>INDEX(Establishment!B$2:B$1005,MATCH($E384,Establishment!$A$2:$A$1005,0))</f>
        <v xml:space="preserve"> </v>
      </c>
      <c r="G384" t="str">
        <f>INDEX(Establishment!C$2:C$1005,MATCH($E384,Establishment!$A$2:$A$1005,0))</f>
        <v xml:space="preserve"> </v>
      </c>
      <c r="M384">
        <f t="shared" si="31"/>
        <v>0</v>
      </c>
      <c r="N384">
        <f t="shared" si="29"/>
        <v>0</v>
      </c>
      <c r="P384" t="e">
        <f>INDEX(Items!B$2:B$1032,MATCH($O384,Items!$A$2:$A$1032,0))</f>
        <v>#N/A</v>
      </c>
      <c r="Q384" t="e">
        <f>INDEX(Items!C$2:C$1032,MATCH($O384,Items!$A$2:$A$1032,0))</f>
        <v>#N/A</v>
      </c>
      <c r="R384" t="e">
        <f>INDEX(Items!D$2:D$1032,MATCH($O384,Items!$A$2:$A$1032,0))</f>
        <v>#N/A</v>
      </c>
    </row>
    <row r="385" spans="1:18" x14ac:dyDescent="0.25">
      <c r="A385">
        <f t="shared" si="27"/>
        <v>1</v>
      </c>
      <c r="B385" t="str">
        <f t="shared" si="28"/>
        <v/>
      </c>
      <c r="C385">
        <f t="shared" si="30"/>
        <v>1</v>
      </c>
      <c r="D385" s="4"/>
      <c r="E385" t="s">
        <v>18</v>
      </c>
      <c r="F385" t="str">
        <f>INDEX(Establishment!B$2:B$1005,MATCH($E385,Establishment!$A$2:$A$1005,0))</f>
        <v xml:space="preserve"> </v>
      </c>
      <c r="G385" t="str">
        <f>INDEX(Establishment!C$2:C$1005,MATCH($E385,Establishment!$A$2:$A$1005,0))</f>
        <v xml:space="preserve"> </v>
      </c>
      <c r="M385">
        <f t="shared" si="31"/>
        <v>0</v>
      </c>
      <c r="N385">
        <f t="shared" si="29"/>
        <v>0</v>
      </c>
      <c r="P385" t="e">
        <f>INDEX(Items!B$2:B$1032,MATCH($O385,Items!$A$2:$A$1032,0))</f>
        <v>#N/A</v>
      </c>
      <c r="Q385" t="e">
        <f>INDEX(Items!C$2:C$1032,MATCH($O385,Items!$A$2:$A$1032,0))</f>
        <v>#N/A</v>
      </c>
      <c r="R385" t="e">
        <f>INDEX(Items!D$2:D$1032,MATCH($O385,Items!$A$2:$A$1032,0))</f>
        <v>#N/A</v>
      </c>
    </row>
    <row r="386" spans="1:18" x14ac:dyDescent="0.25">
      <c r="A386">
        <f t="shared" ref="A386:A449" si="32">IF(OR(D386&lt;&gt;D385,D386=""),1,IF(NOT(AND(E386=E385,F386=F385,G386=G385)),A385+1,IF(OR(H386="",AND(H386&lt;&gt;"",H386&lt;&gt;H385,H385&lt;&gt;"")),A385,A385+1)))</f>
        <v>1</v>
      </c>
      <c r="B386" t="str">
        <f t="shared" ref="B386:B449" si="33">IF(D386&lt;&gt;"",TEXT(D386,"YYYYMMDD")&amp;CHAR(64+A386),"")</f>
        <v/>
      </c>
      <c r="C386">
        <f t="shared" si="30"/>
        <v>1</v>
      </c>
      <c r="D386" s="4"/>
      <c r="E386" t="s">
        <v>18</v>
      </c>
      <c r="F386" t="str">
        <f>INDEX(Establishment!B$2:B$1005,MATCH($E386,Establishment!$A$2:$A$1005,0))</f>
        <v xml:space="preserve"> </v>
      </c>
      <c r="G386" t="str">
        <f>INDEX(Establishment!C$2:C$1005,MATCH($E386,Establishment!$A$2:$A$1005,0))</f>
        <v xml:space="preserve"> </v>
      </c>
      <c r="M386">
        <f t="shared" si="31"/>
        <v>0</v>
      </c>
      <c r="N386">
        <f t="shared" si="29"/>
        <v>0</v>
      </c>
      <c r="P386" t="e">
        <f>INDEX(Items!B$2:B$1032,MATCH($O386,Items!$A$2:$A$1032,0))</f>
        <v>#N/A</v>
      </c>
      <c r="Q386" t="e">
        <f>INDEX(Items!C$2:C$1032,MATCH($O386,Items!$A$2:$A$1032,0))</f>
        <v>#N/A</v>
      </c>
      <c r="R386" t="e">
        <f>INDEX(Items!D$2:D$1032,MATCH($O386,Items!$A$2:$A$1032,0))</f>
        <v>#N/A</v>
      </c>
    </row>
    <row r="387" spans="1:18" x14ac:dyDescent="0.25">
      <c r="A387">
        <f t="shared" si="32"/>
        <v>1</v>
      </c>
      <c r="B387" t="str">
        <f t="shared" si="33"/>
        <v/>
      </c>
      <c r="C387">
        <f t="shared" si="30"/>
        <v>1</v>
      </c>
      <c r="D387" s="4"/>
      <c r="E387" t="s">
        <v>18</v>
      </c>
      <c r="F387" t="str">
        <f>INDEX(Establishment!B$2:B$1005,MATCH($E387,Establishment!$A$2:$A$1005,0))</f>
        <v xml:space="preserve"> </v>
      </c>
      <c r="G387" t="str">
        <f>INDEX(Establishment!C$2:C$1005,MATCH($E387,Establishment!$A$2:$A$1005,0))</f>
        <v xml:space="preserve"> </v>
      </c>
      <c r="M387">
        <f t="shared" si="31"/>
        <v>0</v>
      </c>
      <c r="N387">
        <f t="shared" ref="N387:N450" si="34">IF(B387=B386,N386+M387,M387)</f>
        <v>0</v>
      </c>
      <c r="P387" t="e">
        <f>INDEX(Items!B$2:B$1032,MATCH($O387,Items!$A$2:$A$1032,0))</f>
        <v>#N/A</v>
      </c>
      <c r="Q387" t="e">
        <f>INDEX(Items!C$2:C$1032,MATCH($O387,Items!$A$2:$A$1032,0))</f>
        <v>#N/A</v>
      </c>
      <c r="R387" t="e">
        <f>INDEX(Items!D$2:D$1032,MATCH($O387,Items!$A$2:$A$1032,0))</f>
        <v>#N/A</v>
      </c>
    </row>
    <row r="388" spans="1:18" x14ac:dyDescent="0.25">
      <c r="A388">
        <f t="shared" si="32"/>
        <v>1</v>
      </c>
      <c r="B388" t="str">
        <f t="shared" si="33"/>
        <v/>
      </c>
      <c r="C388">
        <f t="shared" si="30"/>
        <v>1</v>
      </c>
      <c r="D388" s="4"/>
      <c r="E388" t="s">
        <v>18</v>
      </c>
      <c r="F388" t="str">
        <f>INDEX(Establishment!B$2:B$1005,MATCH($E388,Establishment!$A$2:$A$1005,0))</f>
        <v xml:space="preserve"> </v>
      </c>
      <c r="G388" t="str">
        <f>INDEX(Establishment!C$2:C$1005,MATCH($E388,Establishment!$A$2:$A$1005,0))</f>
        <v xml:space="preserve"> </v>
      </c>
      <c r="M388">
        <f t="shared" si="31"/>
        <v>0</v>
      </c>
      <c r="N388">
        <f t="shared" si="34"/>
        <v>0</v>
      </c>
      <c r="P388" t="e">
        <f>INDEX(Items!B$2:B$1032,MATCH($O388,Items!$A$2:$A$1032,0))</f>
        <v>#N/A</v>
      </c>
      <c r="Q388" t="e">
        <f>INDEX(Items!C$2:C$1032,MATCH($O388,Items!$A$2:$A$1032,0))</f>
        <v>#N/A</v>
      </c>
      <c r="R388" t="e">
        <f>INDEX(Items!D$2:D$1032,MATCH($O388,Items!$A$2:$A$1032,0))</f>
        <v>#N/A</v>
      </c>
    </row>
    <row r="389" spans="1:18" x14ac:dyDescent="0.25">
      <c r="A389">
        <f t="shared" si="32"/>
        <v>1</v>
      </c>
      <c r="B389" t="str">
        <f t="shared" si="33"/>
        <v/>
      </c>
      <c r="C389">
        <f t="shared" si="30"/>
        <v>1</v>
      </c>
      <c r="D389" s="4"/>
      <c r="E389" t="s">
        <v>18</v>
      </c>
      <c r="F389" t="str">
        <f>INDEX(Establishment!B$2:B$1005,MATCH($E389,Establishment!$A$2:$A$1005,0))</f>
        <v xml:space="preserve"> </v>
      </c>
      <c r="G389" t="str">
        <f>INDEX(Establishment!C$2:C$1005,MATCH($E389,Establishment!$A$2:$A$1005,0))</f>
        <v xml:space="preserve"> </v>
      </c>
      <c r="M389">
        <f t="shared" si="31"/>
        <v>0</v>
      </c>
      <c r="N389">
        <f t="shared" si="34"/>
        <v>0</v>
      </c>
      <c r="P389" t="e">
        <f>INDEX(Items!B$2:B$1032,MATCH($O389,Items!$A$2:$A$1032,0))</f>
        <v>#N/A</v>
      </c>
      <c r="Q389" t="e">
        <f>INDEX(Items!C$2:C$1032,MATCH($O389,Items!$A$2:$A$1032,0))</f>
        <v>#N/A</v>
      </c>
      <c r="R389" t="e">
        <f>INDEX(Items!D$2:D$1032,MATCH($O389,Items!$A$2:$A$1032,0))</f>
        <v>#N/A</v>
      </c>
    </row>
    <row r="390" spans="1:18" x14ac:dyDescent="0.25">
      <c r="A390">
        <f t="shared" si="32"/>
        <v>1</v>
      </c>
      <c r="B390" t="str">
        <f t="shared" si="33"/>
        <v/>
      </c>
      <c r="C390">
        <f t="shared" si="30"/>
        <v>1</v>
      </c>
      <c r="D390" s="4"/>
      <c r="E390" t="s">
        <v>18</v>
      </c>
      <c r="F390" t="str">
        <f>INDEX(Establishment!B$2:B$1005,MATCH($E390,Establishment!$A$2:$A$1005,0))</f>
        <v xml:space="preserve"> </v>
      </c>
      <c r="G390" t="str">
        <f>INDEX(Establishment!C$2:C$1005,MATCH($E390,Establishment!$A$2:$A$1005,0))</f>
        <v xml:space="preserve"> </v>
      </c>
      <c r="M390">
        <f t="shared" si="31"/>
        <v>0</v>
      </c>
      <c r="N390">
        <f t="shared" si="34"/>
        <v>0</v>
      </c>
      <c r="P390" t="e">
        <f>INDEX(Items!B$2:B$1032,MATCH($O390,Items!$A$2:$A$1032,0))</f>
        <v>#N/A</v>
      </c>
      <c r="Q390" t="e">
        <f>INDEX(Items!C$2:C$1032,MATCH($O390,Items!$A$2:$A$1032,0))</f>
        <v>#N/A</v>
      </c>
      <c r="R390" t="e">
        <f>INDEX(Items!D$2:D$1032,MATCH($O390,Items!$A$2:$A$1032,0))</f>
        <v>#N/A</v>
      </c>
    </row>
    <row r="391" spans="1:18" x14ac:dyDescent="0.25">
      <c r="A391">
        <f t="shared" si="32"/>
        <v>1</v>
      </c>
      <c r="B391" t="str">
        <f t="shared" si="33"/>
        <v/>
      </c>
      <c r="C391">
        <f t="shared" si="30"/>
        <v>1</v>
      </c>
      <c r="D391" s="4"/>
      <c r="E391" t="s">
        <v>18</v>
      </c>
      <c r="F391" t="str">
        <f>INDEX(Establishment!B$2:B$1005,MATCH($E391,Establishment!$A$2:$A$1005,0))</f>
        <v xml:space="preserve"> </v>
      </c>
      <c r="G391" t="str">
        <f>INDEX(Establishment!C$2:C$1005,MATCH($E391,Establishment!$A$2:$A$1005,0))</f>
        <v xml:space="preserve"> </v>
      </c>
      <c r="M391">
        <f t="shared" si="31"/>
        <v>0</v>
      </c>
      <c r="N391">
        <f t="shared" si="34"/>
        <v>0</v>
      </c>
      <c r="P391" t="e">
        <f>INDEX(Items!B$2:B$1032,MATCH($O391,Items!$A$2:$A$1032,0))</f>
        <v>#N/A</v>
      </c>
      <c r="Q391" t="e">
        <f>INDEX(Items!C$2:C$1032,MATCH($O391,Items!$A$2:$A$1032,0))</f>
        <v>#N/A</v>
      </c>
      <c r="R391" t="e">
        <f>INDEX(Items!D$2:D$1032,MATCH($O391,Items!$A$2:$A$1032,0))</f>
        <v>#N/A</v>
      </c>
    </row>
    <row r="392" spans="1:18" x14ac:dyDescent="0.25">
      <c r="A392">
        <f t="shared" si="32"/>
        <v>1</v>
      </c>
      <c r="B392" t="str">
        <f t="shared" si="33"/>
        <v/>
      </c>
      <c r="C392">
        <f t="shared" si="30"/>
        <v>1</v>
      </c>
      <c r="D392" s="4"/>
      <c r="E392" t="s">
        <v>18</v>
      </c>
      <c r="F392" t="str">
        <f>INDEX(Establishment!B$2:B$1005,MATCH($E392,Establishment!$A$2:$A$1005,0))</f>
        <v xml:space="preserve"> </v>
      </c>
      <c r="G392" t="str">
        <f>INDEX(Establishment!C$2:C$1005,MATCH($E392,Establishment!$A$2:$A$1005,0))</f>
        <v xml:space="preserve"> </v>
      </c>
      <c r="M392">
        <f t="shared" si="31"/>
        <v>0</v>
      </c>
      <c r="N392">
        <f t="shared" si="34"/>
        <v>0</v>
      </c>
      <c r="P392" t="e">
        <f>INDEX(Items!B$2:B$1032,MATCH($O392,Items!$A$2:$A$1032,0))</f>
        <v>#N/A</v>
      </c>
      <c r="Q392" t="e">
        <f>INDEX(Items!C$2:C$1032,MATCH($O392,Items!$A$2:$A$1032,0))</f>
        <v>#N/A</v>
      </c>
      <c r="R392" t="e">
        <f>INDEX(Items!D$2:D$1032,MATCH($O392,Items!$A$2:$A$1032,0))</f>
        <v>#N/A</v>
      </c>
    </row>
    <row r="393" spans="1:18" x14ac:dyDescent="0.25">
      <c r="A393">
        <f t="shared" si="32"/>
        <v>1</v>
      </c>
      <c r="B393" t="str">
        <f t="shared" si="33"/>
        <v/>
      </c>
      <c r="C393">
        <f t="shared" si="30"/>
        <v>1</v>
      </c>
      <c r="D393" s="4"/>
      <c r="E393" t="s">
        <v>18</v>
      </c>
      <c r="F393" t="str">
        <f>INDEX(Establishment!B$2:B$1005,MATCH($E393,Establishment!$A$2:$A$1005,0))</f>
        <v xml:space="preserve"> </v>
      </c>
      <c r="G393" t="str">
        <f>INDEX(Establishment!C$2:C$1005,MATCH($E393,Establishment!$A$2:$A$1005,0))</f>
        <v xml:space="preserve"> </v>
      </c>
      <c r="M393">
        <f t="shared" si="31"/>
        <v>0</v>
      </c>
      <c r="N393">
        <f t="shared" si="34"/>
        <v>0</v>
      </c>
      <c r="P393" t="e">
        <f>INDEX(Items!B$2:B$1032,MATCH($O393,Items!$A$2:$A$1032,0))</f>
        <v>#N/A</v>
      </c>
      <c r="Q393" t="e">
        <f>INDEX(Items!C$2:C$1032,MATCH($O393,Items!$A$2:$A$1032,0))</f>
        <v>#N/A</v>
      </c>
      <c r="R393" t="e">
        <f>INDEX(Items!D$2:D$1032,MATCH($O393,Items!$A$2:$A$1032,0))</f>
        <v>#N/A</v>
      </c>
    </row>
    <row r="394" spans="1:18" x14ac:dyDescent="0.25">
      <c r="A394">
        <f t="shared" si="32"/>
        <v>1</v>
      </c>
      <c r="B394" t="str">
        <f t="shared" si="33"/>
        <v/>
      </c>
      <c r="C394">
        <f t="shared" ref="C394:C457" si="35">IF(OR(B394="",B394&lt;&gt;B393),1,C393+1)</f>
        <v>1</v>
      </c>
      <c r="D394" s="4"/>
      <c r="E394" t="s">
        <v>18</v>
      </c>
      <c r="F394" t="str">
        <f>INDEX(Establishment!B$2:B$1005,MATCH($E394,Establishment!$A$2:$A$1005,0))</f>
        <v xml:space="preserve"> </v>
      </c>
      <c r="G394" t="str">
        <f>INDEX(Establishment!C$2:C$1005,MATCH($E394,Establishment!$A$2:$A$1005,0))</f>
        <v xml:space="preserve"> </v>
      </c>
      <c r="M394">
        <f t="shared" ref="M394:M457" si="36">K394*L394</f>
        <v>0</v>
      </c>
      <c r="N394">
        <f t="shared" si="34"/>
        <v>0</v>
      </c>
      <c r="P394" t="e">
        <f>INDEX(Items!B$2:B$1032,MATCH($O394,Items!$A$2:$A$1032,0))</f>
        <v>#N/A</v>
      </c>
      <c r="Q394" t="e">
        <f>INDEX(Items!C$2:C$1032,MATCH($O394,Items!$A$2:$A$1032,0))</f>
        <v>#N/A</v>
      </c>
      <c r="R394" t="e">
        <f>INDEX(Items!D$2:D$1032,MATCH($O394,Items!$A$2:$A$1032,0))</f>
        <v>#N/A</v>
      </c>
    </row>
    <row r="395" spans="1:18" x14ac:dyDescent="0.25">
      <c r="A395">
        <f t="shared" si="32"/>
        <v>1</v>
      </c>
      <c r="B395" t="str">
        <f t="shared" si="33"/>
        <v/>
      </c>
      <c r="C395">
        <f t="shared" si="35"/>
        <v>1</v>
      </c>
      <c r="D395" s="4"/>
      <c r="E395" t="s">
        <v>18</v>
      </c>
      <c r="F395" t="str">
        <f>INDEX(Establishment!B$2:B$1005,MATCH($E395,Establishment!$A$2:$A$1005,0))</f>
        <v xml:space="preserve"> </v>
      </c>
      <c r="G395" t="str">
        <f>INDEX(Establishment!C$2:C$1005,MATCH($E395,Establishment!$A$2:$A$1005,0))</f>
        <v xml:space="preserve"> </v>
      </c>
      <c r="M395">
        <f t="shared" si="36"/>
        <v>0</v>
      </c>
      <c r="N395">
        <f t="shared" si="34"/>
        <v>0</v>
      </c>
      <c r="P395" t="e">
        <f>INDEX(Items!B$2:B$1032,MATCH($O395,Items!$A$2:$A$1032,0))</f>
        <v>#N/A</v>
      </c>
      <c r="Q395" t="e">
        <f>INDEX(Items!C$2:C$1032,MATCH($O395,Items!$A$2:$A$1032,0))</f>
        <v>#N/A</v>
      </c>
      <c r="R395" t="e">
        <f>INDEX(Items!D$2:D$1032,MATCH($O395,Items!$A$2:$A$1032,0))</f>
        <v>#N/A</v>
      </c>
    </row>
    <row r="396" spans="1:18" x14ac:dyDescent="0.25">
      <c r="A396">
        <f t="shared" si="32"/>
        <v>1</v>
      </c>
      <c r="B396" t="str">
        <f t="shared" si="33"/>
        <v/>
      </c>
      <c r="C396">
        <f t="shared" si="35"/>
        <v>1</v>
      </c>
      <c r="D396" s="4"/>
      <c r="E396" t="s">
        <v>18</v>
      </c>
      <c r="F396" t="str">
        <f>INDEX(Establishment!B$2:B$1005,MATCH($E396,Establishment!$A$2:$A$1005,0))</f>
        <v xml:space="preserve"> </v>
      </c>
      <c r="G396" t="str">
        <f>INDEX(Establishment!C$2:C$1005,MATCH($E396,Establishment!$A$2:$A$1005,0))</f>
        <v xml:space="preserve"> </v>
      </c>
      <c r="M396">
        <f t="shared" si="36"/>
        <v>0</v>
      </c>
      <c r="N396">
        <f t="shared" si="34"/>
        <v>0</v>
      </c>
      <c r="P396" t="e">
        <f>INDEX(Items!B$2:B$1032,MATCH($O396,Items!$A$2:$A$1032,0))</f>
        <v>#N/A</v>
      </c>
      <c r="Q396" t="e">
        <f>INDEX(Items!C$2:C$1032,MATCH($O396,Items!$A$2:$A$1032,0))</f>
        <v>#N/A</v>
      </c>
      <c r="R396" t="e">
        <f>INDEX(Items!D$2:D$1032,MATCH($O396,Items!$A$2:$A$1032,0))</f>
        <v>#N/A</v>
      </c>
    </row>
    <row r="397" spans="1:18" x14ac:dyDescent="0.25">
      <c r="A397">
        <f t="shared" si="32"/>
        <v>1</v>
      </c>
      <c r="B397" t="str">
        <f t="shared" si="33"/>
        <v/>
      </c>
      <c r="C397">
        <f t="shared" si="35"/>
        <v>1</v>
      </c>
      <c r="D397" s="4"/>
      <c r="E397" t="s">
        <v>18</v>
      </c>
      <c r="F397" t="str">
        <f>INDEX(Establishment!B$2:B$1005,MATCH($E397,Establishment!$A$2:$A$1005,0))</f>
        <v xml:space="preserve"> </v>
      </c>
      <c r="G397" t="str">
        <f>INDEX(Establishment!C$2:C$1005,MATCH($E397,Establishment!$A$2:$A$1005,0))</f>
        <v xml:space="preserve"> </v>
      </c>
      <c r="M397">
        <f t="shared" si="36"/>
        <v>0</v>
      </c>
      <c r="N397">
        <f t="shared" si="34"/>
        <v>0</v>
      </c>
      <c r="P397" t="e">
        <f>INDEX(Items!B$2:B$1032,MATCH($O397,Items!$A$2:$A$1032,0))</f>
        <v>#N/A</v>
      </c>
      <c r="Q397" t="e">
        <f>INDEX(Items!C$2:C$1032,MATCH($O397,Items!$A$2:$A$1032,0))</f>
        <v>#N/A</v>
      </c>
      <c r="R397" t="e">
        <f>INDEX(Items!D$2:D$1032,MATCH($O397,Items!$A$2:$A$1032,0))</f>
        <v>#N/A</v>
      </c>
    </row>
    <row r="398" spans="1:18" x14ac:dyDescent="0.25">
      <c r="A398">
        <f t="shared" si="32"/>
        <v>1</v>
      </c>
      <c r="B398" t="str">
        <f t="shared" si="33"/>
        <v/>
      </c>
      <c r="C398">
        <f t="shared" si="35"/>
        <v>1</v>
      </c>
      <c r="D398" s="4"/>
      <c r="E398" t="s">
        <v>18</v>
      </c>
      <c r="F398" t="str">
        <f>INDEX(Establishment!B$2:B$1005,MATCH($E398,Establishment!$A$2:$A$1005,0))</f>
        <v xml:space="preserve"> </v>
      </c>
      <c r="G398" t="str">
        <f>INDEX(Establishment!C$2:C$1005,MATCH($E398,Establishment!$A$2:$A$1005,0))</f>
        <v xml:space="preserve"> </v>
      </c>
      <c r="M398">
        <f t="shared" si="36"/>
        <v>0</v>
      </c>
      <c r="N398">
        <f t="shared" si="34"/>
        <v>0</v>
      </c>
      <c r="P398" t="e">
        <f>INDEX(Items!B$2:B$1032,MATCH($O398,Items!$A$2:$A$1032,0))</f>
        <v>#N/A</v>
      </c>
      <c r="Q398" t="e">
        <f>INDEX(Items!C$2:C$1032,MATCH($O398,Items!$A$2:$A$1032,0))</f>
        <v>#N/A</v>
      </c>
      <c r="R398" t="e">
        <f>INDEX(Items!D$2:D$1032,MATCH($O398,Items!$A$2:$A$1032,0))</f>
        <v>#N/A</v>
      </c>
    </row>
    <row r="399" spans="1:18" x14ac:dyDescent="0.25">
      <c r="A399">
        <f t="shared" si="32"/>
        <v>1</v>
      </c>
      <c r="B399" t="str">
        <f t="shared" si="33"/>
        <v/>
      </c>
      <c r="C399">
        <f t="shared" si="35"/>
        <v>1</v>
      </c>
      <c r="D399" s="4"/>
      <c r="E399" t="s">
        <v>18</v>
      </c>
      <c r="F399" t="str">
        <f>INDEX(Establishment!B$2:B$1005,MATCH($E399,Establishment!$A$2:$A$1005,0))</f>
        <v xml:space="preserve"> </v>
      </c>
      <c r="G399" t="str">
        <f>INDEX(Establishment!C$2:C$1005,MATCH($E399,Establishment!$A$2:$A$1005,0))</f>
        <v xml:space="preserve"> </v>
      </c>
      <c r="M399">
        <f t="shared" si="36"/>
        <v>0</v>
      </c>
      <c r="N399">
        <f t="shared" si="34"/>
        <v>0</v>
      </c>
      <c r="P399" t="e">
        <f>INDEX(Items!B$2:B$1032,MATCH($O399,Items!$A$2:$A$1032,0))</f>
        <v>#N/A</v>
      </c>
      <c r="Q399" t="e">
        <f>INDEX(Items!C$2:C$1032,MATCH($O399,Items!$A$2:$A$1032,0))</f>
        <v>#N/A</v>
      </c>
      <c r="R399" t="e">
        <f>INDEX(Items!D$2:D$1032,MATCH($O399,Items!$A$2:$A$1032,0))</f>
        <v>#N/A</v>
      </c>
    </row>
    <row r="400" spans="1:18" x14ac:dyDescent="0.25">
      <c r="A400">
        <f t="shared" si="32"/>
        <v>1</v>
      </c>
      <c r="B400" t="str">
        <f t="shared" si="33"/>
        <v/>
      </c>
      <c r="C400">
        <f t="shared" si="35"/>
        <v>1</v>
      </c>
      <c r="D400" s="4"/>
      <c r="E400" t="s">
        <v>18</v>
      </c>
      <c r="F400" t="str">
        <f>INDEX(Establishment!B$2:B$1005,MATCH($E400,Establishment!$A$2:$A$1005,0))</f>
        <v xml:space="preserve"> </v>
      </c>
      <c r="G400" t="str">
        <f>INDEX(Establishment!C$2:C$1005,MATCH($E400,Establishment!$A$2:$A$1005,0))</f>
        <v xml:space="preserve"> </v>
      </c>
      <c r="M400">
        <f t="shared" si="36"/>
        <v>0</v>
      </c>
      <c r="N400">
        <f t="shared" si="34"/>
        <v>0</v>
      </c>
      <c r="P400" t="e">
        <f>INDEX(Items!B$2:B$1032,MATCH($O400,Items!$A$2:$A$1032,0))</f>
        <v>#N/A</v>
      </c>
      <c r="Q400" t="e">
        <f>INDEX(Items!C$2:C$1032,MATCH($O400,Items!$A$2:$A$1032,0))</f>
        <v>#N/A</v>
      </c>
      <c r="R400" t="e">
        <f>INDEX(Items!D$2:D$1032,MATCH($O400,Items!$A$2:$A$1032,0))</f>
        <v>#N/A</v>
      </c>
    </row>
    <row r="401" spans="1:18" x14ac:dyDescent="0.25">
      <c r="A401">
        <f t="shared" si="32"/>
        <v>1</v>
      </c>
      <c r="B401" t="str">
        <f t="shared" si="33"/>
        <v/>
      </c>
      <c r="C401">
        <f t="shared" si="35"/>
        <v>1</v>
      </c>
      <c r="D401" s="4"/>
      <c r="E401" t="s">
        <v>18</v>
      </c>
      <c r="F401" t="str">
        <f>INDEX(Establishment!B$2:B$1005,MATCH($E401,Establishment!$A$2:$A$1005,0))</f>
        <v xml:space="preserve"> </v>
      </c>
      <c r="G401" t="str">
        <f>INDEX(Establishment!C$2:C$1005,MATCH($E401,Establishment!$A$2:$A$1005,0))</f>
        <v xml:space="preserve"> </v>
      </c>
      <c r="M401">
        <f t="shared" si="36"/>
        <v>0</v>
      </c>
      <c r="N401">
        <f t="shared" si="34"/>
        <v>0</v>
      </c>
      <c r="P401" t="e">
        <f>INDEX(Items!B$2:B$1032,MATCH($O401,Items!$A$2:$A$1032,0))</f>
        <v>#N/A</v>
      </c>
      <c r="Q401" t="e">
        <f>INDEX(Items!C$2:C$1032,MATCH($O401,Items!$A$2:$A$1032,0))</f>
        <v>#N/A</v>
      </c>
      <c r="R401" t="e">
        <f>INDEX(Items!D$2:D$1032,MATCH($O401,Items!$A$2:$A$1032,0))</f>
        <v>#N/A</v>
      </c>
    </row>
    <row r="402" spans="1:18" x14ac:dyDescent="0.25">
      <c r="A402">
        <f t="shared" si="32"/>
        <v>1</v>
      </c>
      <c r="B402" t="str">
        <f t="shared" si="33"/>
        <v/>
      </c>
      <c r="C402">
        <f t="shared" si="35"/>
        <v>1</v>
      </c>
      <c r="D402" s="4"/>
      <c r="E402" t="s">
        <v>18</v>
      </c>
      <c r="F402" t="str">
        <f>INDEX(Establishment!B$2:B$1005,MATCH($E402,Establishment!$A$2:$A$1005,0))</f>
        <v xml:space="preserve"> </v>
      </c>
      <c r="G402" t="str">
        <f>INDEX(Establishment!C$2:C$1005,MATCH($E402,Establishment!$A$2:$A$1005,0))</f>
        <v xml:space="preserve"> </v>
      </c>
      <c r="M402">
        <f t="shared" si="36"/>
        <v>0</v>
      </c>
      <c r="N402">
        <f t="shared" si="34"/>
        <v>0</v>
      </c>
      <c r="P402" t="e">
        <f>INDEX(Items!B$2:B$1032,MATCH($O402,Items!$A$2:$A$1032,0))</f>
        <v>#N/A</v>
      </c>
      <c r="Q402" t="e">
        <f>INDEX(Items!C$2:C$1032,MATCH($O402,Items!$A$2:$A$1032,0))</f>
        <v>#N/A</v>
      </c>
      <c r="R402" t="e">
        <f>INDEX(Items!D$2:D$1032,MATCH($O402,Items!$A$2:$A$1032,0))</f>
        <v>#N/A</v>
      </c>
    </row>
    <row r="403" spans="1:18" x14ac:dyDescent="0.25">
      <c r="A403">
        <f t="shared" si="32"/>
        <v>1</v>
      </c>
      <c r="B403" t="str">
        <f t="shared" si="33"/>
        <v/>
      </c>
      <c r="C403">
        <f t="shared" si="35"/>
        <v>1</v>
      </c>
      <c r="D403" s="4"/>
      <c r="E403" t="s">
        <v>18</v>
      </c>
      <c r="F403" t="str">
        <f>INDEX(Establishment!B$2:B$1005,MATCH($E403,Establishment!$A$2:$A$1005,0))</f>
        <v xml:space="preserve"> </v>
      </c>
      <c r="G403" t="str">
        <f>INDEX(Establishment!C$2:C$1005,MATCH($E403,Establishment!$A$2:$A$1005,0))</f>
        <v xml:space="preserve"> </v>
      </c>
      <c r="M403">
        <f t="shared" si="36"/>
        <v>0</v>
      </c>
      <c r="N403">
        <f t="shared" si="34"/>
        <v>0</v>
      </c>
      <c r="P403" t="e">
        <f>INDEX(Items!B$2:B$1032,MATCH($O403,Items!$A$2:$A$1032,0))</f>
        <v>#N/A</v>
      </c>
      <c r="Q403" t="e">
        <f>INDEX(Items!C$2:C$1032,MATCH($O403,Items!$A$2:$A$1032,0))</f>
        <v>#N/A</v>
      </c>
      <c r="R403" t="e">
        <f>INDEX(Items!D$2:D$1032,MATCH($O403,Items!$A$2:$A$1032,0))</f>
        <v>#N/A</v>
      </c>
    </row>
    <row r="404" spans="1:18" x14ac:dyDescent="0.25">
      <c r="A404">
        <f t="shared" si="32"/>
        <v>1</v>
      </c>
      <c r="B404" t="str">
        <f t="shared" si="33"/>
        <v/>
      </c>
      <c r="C404">
        <f t="shared" si="35"/>
        <v>1</v>
      </c>
      <c r="D404" s="4"/>
      <c r="E404" t="s">
        <v>18</v>
      </c>
      <c r="F404" t="str">
        <f>INDEX(Establishment!B$2:B$1005,MATCH($E404,Establishment!$A$2:$A$1005,0))</f>
        <v xml:space="preserve"> </v>
      </c>
      <c r="G404" t="str">
        <f>INDEX(Establishment!C$2:C$1005,MATCH($E404,Establishment!$A$2:$A$1005,0))</f>
        <v xml:space="preserve"> </v>
      </c>
      <c r="M404">
        <f t="shared" si="36"/>
        <v>0</v>
      </c>
      <c r="N404">
        <f t="shared" si="34"/>
        <v>0</v>
      </c>
      <c r="P404" t="e">
        <f>INDEX(Items!B$2:B$1032,MATCH($O404,Items!$A$2:$A$1032,0))</f>
        <v>#N/A</v>
      </c>
      <c r="Q404" t="e">
        <f>INDEX(Items!C$2:C$1032,MATCH($O404,Items!$A$2:$A$1032,0))</f>
        <v>#N/A</v>
      </c>
      <c r="R404" t="e">
        <f>INDEX(Items!D$2:D$1032,MATCH($O404,Items!$A$2:$A$1032,0))</f>
        <v>#N/A</v>
      </c>
    </row>
    <row r="405" spans="1:18" x14ac:dyDescent="0.25">
      <c r="A405">
        <f t="shared" si="32"/>
        <v>1</v>
      </c>
      <c r="B405" t="str">
        <f t="shared" si="33"/>
        <v/>
      </c>
      <c r="C405">
        <f t="shared" si="35"/>
        <v>1</v>
      </c>
      <c r="D405" s="4"/>
      <c r="E405" t="s">
        <v>18</v>
      </c>
      <c r="F405" t="str">
        <f>INDEX(Establishment!B$2:B$1005,MATCH($E405,Establishment!$A$2:$A$1005,0))</f>
        <v xml:space="preserve"> </v>
      </c>
      <c r="G405" t="str">
        <f>INDEX(Establishment!C$2:C$1005,MATCH($E405,Establishment!$A$2:$A$1005,0))</f>
        <v xml:space="preserve"> </v>
      </c>
      <c r="M405">
        <f t="shared" si="36"/>
        <v>0</v>
      </c>
      <c r="N405">
        <f t="shared" si="34"/>
        <v>0</v>
      </c>
      <c r="P405" t="e">
        <f>INDEX(Items!B$2:B$1032,MATCH($O405,Items!$A$2:$A$1032,0))</f>
        <v>#N/A</v>
      </c>
      <c r="Q405" t="e">
        <f>INDEX(Items!C$2:C$1032,MATCH($O405,Items!$A$2:$A$1032,0))</f>
        <v>#N/A</v>
      </c>
      <c r="R405" t="e">
        <f>INDEX(Items!D$2:D$1032,MATCH($O405,Items!$A$2:$A$1032,0))</f>
        <v>#N/A</v>
      </c>
    </row>
    <row r="406" spans="1:18" x14ac:dyDescent="0.25">
      <c r="A406">
        <f t="shared" si="32"/>
        <v>1</v>
      </c>
      <c r="B406" t="str">
        <f t="shared" si="33"/>
        <v/>
      </c>
      <c r="C406">
        <f t="shared" si="35"/>
        <v>1</v>
      </c>
      <c r="D406" s="4"/>
      <c r="E406" t="s">
        <v>18</v>
      </c>
      <c r="F406" t="str">
        <f>INDEX(Establishment!B$2:B$1005,MATCH($E406,Establishment!$A$2:$A$1005,0))</f>
        <v xml:space="preserve"> </v>
      </c>
      <c r="G406" t="str">
        <f>INDEX(Establishment!C$2:C$1005,MATCH($E406,Establishment!$A$2:$A$1005,0))</f>
        <v xml:space="preserve"> </v>
      </c>
      <c r="M406">
        <f t="shared" si="36"/>
        <v>0</v>
      </c>
      <c r="N406">
        <f t="shared" si="34"/>
        <v>0</v>
      </c>
      <c r="P406" t="e">
        <f>INDEX(Items!B$2:B$1032,MATCH($O406,Items!$A$2:$A$1032,0))</f>
        <v>#N/A</v>
      </c>
      <c r="Q406" t="e">
        <f>INDEX(Items!C$2:C$1032,MATCH($O406,Items!$A$2:$A$1032,0))</f>
        <v>#N/A</v>
      </c>
      <c r="R406" t="e">
        <f>INDEX(Items!D$2:D$1032,MATCH($O406,Items!$A$2:$A$1032,0))</f>
        <v>#N/A</v>
      </c>
    </row>
    <row r="407" spans="1:18" x14ac:dyDescent="0.25">
      <c r="A407">
        <f t="shared" si="32"/>
        <v>1</v>
      </c>
      <c r="B407" t="str">
        <f t="shared" si="33"/>
        <v/>
      </c>
      <c r="C407">
        <f t="shared" si="35"/>
        <v>1</v>
      </c>
      <c r="D407" s="4"/>
      <c r="E407" t="s">
        <v>18</v>
      </c>
      <c r="F407" t="str">
        <f>INDEX(Establishment!B$2:B$1005,MATCH($E407,Establishment!$A$2:$A$1005,0))</f>
        <v xml:space="preserve"> </v>
      </c>
      <c r="G407" t="str">
        <f>INDEX(Establishment!C$2:C$1005,MATCH($E407,Establishment!$A$2:$A$1005,0))</f>
        <v xml:space="preserve"> </v>
      </c>
      <c r="M407">
        <f t="shared" si="36"/>
        <v>0</v>
      </c>
      <c r="N407">
        <f t="shared" si="34"/>
        <v>0</v>
      </c>
      <c r="P407" t="e">
        <f>INDEX(Items!B$2:B$1032,MATCH($O407,Items!$A$2:$A$1032,0))</f>
        <v>#N/A</v>
      </c>
      <c r="Q407" t="e">
        <f>INDEX(Items!C$2:C$1032,MATCH($O407,Items!$A$2:$A$1032,0))</f>
        <v>#N/A</v>
      </c>
      <c r="R407" t="e">
        <f>INDEX(Items!D$2:D$1032,MATCH($O407,Items!$A$2:$A$1032,0))</f>
        <v>#N/A</v>
      </c>
    </row>
    <row r="408" spans="1:18" x14ac:dyDescent="0.25">
      <c r="A408">
        <f t="shared" si="32"/>
        <v>1</v>
      </c>
      <c r="B408" t="str">
        <f t="shared" si="33"/>
        <v/>
      </c>
      <c r="C408">
        <f t="shared" si="35"/>
        <v>1</v>
      </c>
      <c r="D408" s="4"/>
      <c r="E408" t="s">
        <v>18</v>
      </c>
      <c r="F408" t="str">
        <f>INDEX(Establishment!B$2:B$1005,MATCH($E408,Establishment!$A$2:$A$1005,0))</f>
        <v xml:space="preserve"> </v>
      </c>
      <c r="G408" t="str">
        <f>INDEX(Establishment!C$2:C$1005,MATCH($E408,Establishment!$A$2:$A$1005,0))</f>
        <v xml:space="preserve"> </v>
      </c>
      <c r="M408">
        <f t="shared" si="36"/>
        <v>0</v>
      </c>
      <c r="N408">
        <f t="shared" si="34"/>
        <v>0</v>
      </c>
      <c r="P408" t="e">
        <f>INDEX(Items!B$2:B$1032,MATCH($O408,Items!$A$2:$A$1032,0))</f>
        <v>#N/A</v>
      </c>
      <c r="Q408" t="e">
        <f>INDEX(Items!C$2:C$1032,MATCH($O408,Items!$A$2:$A$1032,0))</f>
        <v>#N/A</v>
      </c>
      <c r="R408" t="e">
        <f>INDEX(Items!D$2:D$1032,MATCH($O408,Items!$A$2:$A$1032,0))</f>
        <v>#N/A</v>
      </c>
    </row>
    <row r="409" spans="1:18" x14ac:dyDescent="0.25">
      <c r="A409">
        <f t="shared" si="32"/>
        <v>1</v>
      </c>
      <c r="B409" t="str">
        <f t="shared" si="33"/>
        <v/>
      </c>
      <c r="C409">
        <f t="shared" si="35"/>
        <v>1</v>
      </c>
      <c r="D409" s="4"/>
      <c r="E409" t="s">
        <v>18</v>
      </c>
      <c r="F409" t="str">
        <f>INDEX(Establishment!B$2:B$1005,MATCH($E409,Establishment!$A$2:$A$1005,0))</f>
        <v xml:space="preserve"> </v>
      </c>
      <c r="G409" t="str">
        <f>INDEX(Establishment!C$2:C$1005,MATCH($E409,Establishment!$A$2:$A$1005,0))</f>
        <v xml:space="preserve"> </v>
      </c>
      <c r="M409">
        <f t="shared" si="36"/>
        <v>0</v>
      </c>
      <c r="N409">
        <f t="shared" si="34"/>
        <v>0</v>
      </c>
      <c r="P409" t="e">
        <f>INDEX(Items!B$2:B$1032,MATCH($O409,Items!$A$2:$A$1032,0))</f>
        <v>#N/A</v>
      </c>
      <c r="Q409" t="e">
        <f>INDEX(Items!C$2:C$1032,MATCH($O409,Items!$A$2:$A$1032,0))</f>
        <v>#N/A</v>
      </c>
      <c r="R409" t="e">
        <f>INDEX(Items!D$2:D$1032,MATCH($O409,Items!$A$2:$A$1032,0))</f>
        <v>#N/A</v>
      </c>
    </row>
    <row r="410" spans="1:18" x14ac:dyDescent="0.25">
      <c r="A410">
        <f t="shared" si="32"/>
        <v>1</v>
      </c>
      <c r="B410" t="str">
        <f t="shared" si="33"/>
        <v/>
      </c>
      <c r="C410">
        <f t="shared" si="35"/>
        <v>1</v>
      </c>
      <c r="D410" s="4"/>
      <c r="E410" t="s">
        <v>18</v>
      </c>
      <c r="F410" t="str">
        <f>INDEX(Establishment!B$2:B$1005,MATCH($E410,Establishment!$A$2:$A$1005,0))</f>
        <v xml:space="preserve"> </v>
      </c>
      <c r="G410" t="str">
        <f>INDEX(Establishment!C$2:C$1005,MATCH($E410,Establishment!$A$2:$A$1005,0))</f>
        <v xml:space="preserve"> </v>
      </c>
      <c r="M410">
        <f t="shared" si="36"/>
        <v>0</v>
      </c>
      <c r="N410">
        <f t="shared" si="34"/>
        <v>0</v>
      </c>
      <c r="P410" t="e">
        <f>INDEX(Items!B$2:B$1032,MATCH($O410,Items!$A$2:$A$1032,0))</f>
        <v>#N/A</v>
      </c>
      <c r="Q410" t="e">
        <f>INDEX(Items!C$2:C$1032,MATCH($O410,Items!$A$2:$A$1032,0))</f>
        <v>#N/A</v>
      </c>
      <c r="R410" t="e">
        <f>INDEX(Items!D$2:D$1032,MATCH($O410,Items!$A$2:$A$1032,0))</f>
        <v>#N/A</v>
      </c>
    </row>
    <row r="411" spans="1:18" x14ac:dyDescent="0.25">
      <c r="A411">
        <f t="shared" si="32"/>
        <v>1</v>
      </c>
      <c r="B411" t="str">
        <f t="shared" si="33"/>
        <v/>
      </c>
      <c r="C411">
        <f t="shared" si="35"/>
        <v>1</v>
      </c>
      <c r="D411" s="4"/>
      <c r="E411" t="s">
        <v>18</v>
      </c>
      <c r="F411" t="str">
        <f>INDEX(Establishment!B$2:B$1005,MATCH($E411,Establishment!$A$2:$A$1005,0))</f>
        <v xml:space="preserve"> </v>
      </c>
      <c r="G411" t="str">
        <f>INDEX(Establishment!C$2:C$1005,MATCH($E411,Establishment!$A$2:$A$1005,0))</f>
        <v xml:space="preserve"> </v>
      </c>
      <c r="M411">
        <f t="shared" si="36"/>
        <v>0</v>
      </c>
      <c r="N411">
        <f t="shared" si="34"/>
        <v>0</v>
      </c>
      <c r="P411" t="e">
        <f>INDEX(Items!B$2:B$1032,MATCH($O411,Items!$A$2:$A$1032,0))</f>
        <v>#N/A</v>
      </c>
      <c r="Q411" t="e">
        <f>INDEX(Items!C$2:C$1032,MATCH($O411,Items!$A$2:$A$1032,0))</f>
        <v>#N/A</v>
      </c>
      <c r="R411" t="e">
        <f>INDEX(Items!D$2:D$1032,MATCH($O411,Items!$A$2:$A$1032,0))</f>
        <v>#N/A</v>
      </c>
    </row>
    <row r="412" spans="1:18" x14ac:dyDescent="0.25">
      <c r="A412">
        <f t="shared" si="32"/>
        <v>1</v>
      </c>
      <c r="B412" t="str">
        <f t="shared" si="33"/>
        <v/>
      </c>
      <c r="C412">
        <f t="shared" si="35"/>
        <v>1</v>
      </c>
      <c r="D412" s="4"/>
      <c r="E412" t="s">
        <v>18</v>
      </c>
      <c r="F412" t="str">
        <f>INDEX(Establishment!B$2:B$1005,MATCH($E412,Establishment!$A$2:$A$1005,0))</f>
        <v xml:space="preserve"> </v>
      </c>
      <c r="G412" t="str">
        <f>INDEX(Establishment!C$2:C$1005,MATCH($E412,Establishment!$A$2:$A$1005,0))</f>
        <v xml:space="preserve"> </v>
      </c>
      <c r="M412">
        <f t="shared" si="36"/>
        <v>0</v>
      </c>
      <c r="N412">
        <f t="shared" si="34"/>
        <v>0</v>
      </c>
      <c r="P412" t="e">
        <f>INDEX(Items!B$2:B$1032,MATCH($O412,Items!$A$2:$A$1032,0))</f>
        <v>#N/A</v>
      </c>
      <c r="Q412" t="e">
        <f>INDEX(Items!C$2:C$1032,MATCH($O412,Items!$A$2:$A$1032,0))</f>
        <v>#N/A</v>
      </c>
      <c r="R412" t="e">
        <f>INDEX(Items!D$2:D$1032,MATCH($O412,Items!$A$2:$A$1032,0))</f>
        <v>#N/A</v>
      </c>
    </row>
    <row r="413" spans="1:18" x14ac:dyDescent="0.25">
      <c r="A413">
        <f t="shared" si="32"/>
        <v>1</v>
      </c>
      <c r="B413" t="str">
        <f t="shared" si="33"/>
        <v/>
      </c>
      <c r="C413">
        <f t="shared" si="35"/>
        <v>1</v>
      </c>
      <c r="D413" s="4"/>
      <c r="E413" t="s">
        <v>18</v>
      </c>
      <c r="F413" t="str">
        <f>INDEX(Establishment!B$2:B$1005,MATCH($E413,Establishment!$A$2:$A$1005,0))</f>
        <v xml:space="preserve"> </v>
      </c>
      <c r="G413" t="str">
        <f>INDEX(Establishment!C$2:C$1005,MATCH($E413,Establishment!$A$2:$A$1005,0))</f>
        <v xml:space="preserve"> </v>
      </c>
      <c r="M413">
        <f t="shared" si="36"/>
        <v>0</v>
      </c>
      <c r="N413">
        <f t="shared" si="34"/>
        <v>0</v>
      </c>
      <c r="P413" t="e">
        <f>INDEX(Items!B$2:B$1032,MATCH($O413,Items!$A$2:$A$1032,0))</f>
        <v>#N/A</v>
      </c>
      <c r="Q413" t="e">
        <f>INDEX(Items!C$2:C$1032,MATCH($O413,Items!$A$2:$A$1032,0))</f>
        <v>#N/A</v>
      </c>
      <c r="R413" t="e">
        <f>INDEX(Items!D$2:D$1032,MATCH($O413,Items!$A$2:$A$1032,0))</f>
        <v>#N/A</v>
      </c>
    </row>
    <row r="414" spans="1:18" x14ac:dyDescent="0.25">
      <c r="A414">
        <f t="shared" si="32"/>
        <v>1</v>
      </c>
      <c r="B414" t="str">
        <f t="shared" si="33"/>
        <v/>
      </c>
      <c r="C414">
        <f t="shared" si="35"/>
        <v>1</v>
      </c>
      <c r="D414" s="4"/>
      <c r="E414" t="s">
        <v>18</v>
      </c>
      <c r="F414" t="str">
        <f>INDEX(Establishment!B$2:B$1005,MATCH($E414,Establishment!$A$2:$A$1005,0))</f>
        <v xml:space="preserve"> </v>
      </c>
      <c r="G414" t="str">
        <f>INDEX(Establishment!C$2:C$1005,MATCH($E414,Establishment!$A$2:$A$1005,0))</f>
        <v xml:space="preserve"> </v>
      </c>
      <c r="M414">
        <f t="shared" si="36"/>
        <v>0</v>
      </c>
      <c r="N414">
        <f t="shared" si="34"/>
        <v>0</v>
      </c>
      <c r="P414" t="e">
        <f>INDEX(Items!B$2:B$1032,MATCH($O414,Items!$A$2:$A$1032,0))</f>
        <v>#N/A</v>
      </c>
      <c r="Q414" t="e">
        <f>INDEX(Items!C$2:C$1032,MATCH($O414,Items!$A$2:$A$1032,0))</f>
        <v>#N/A</v>
      </c>
      <c r="R414" t="e">
        <f>INDEX(Items!D$2:D$1032,MATCH($O414,Items!$A$2:$A$1032,0))</f>
        <v>#N/A</v>
      </c>
    </row>
    <row r="415" spans="1:18" x14ac:dyDescent="0.25">
      <c r="A415">
        <f t="shared" si="32"/>
        <v>1</v>
      </c>
      <c r="B415" t="str">
        <f t="shared" si="33"/>
        <v/>
      </c>
      <c r="C415">
        <f t="shared" si="35"/>
        <v>1</v>
      </c>
      <c r="D415" s="4"/>
      <c r="E415" t="s">
        <v>18</v>
      </c>
      <c r="F415" t="str">
        <f>INDEX(Establishment!B$2:B$1005,MATCH($E415,Establishment!$A$2:$A$1005,0))</f>
        <v xml:space="preserve"> </v>
      </c>
      <c r="G415" t="str">
        <f>INDEX(Establishment!C$2:C$1005,MATCH($E415,Establishment!$A$2:$A$1005,0))</f>
        <v xml:space="preserve"> </v>
      </c>
      <c r="M415">
        <f t="shared" si="36"/>
        <v>0</v>
      </c>
      <c r="N415">
        <f t="shared" si="34"/>
        <v>0</v>
      </c>
      <c r="P415" t="e">
        <f>INDEX(Items!B$2:B$1032,MATCH($O415,Items!$A$2:$A$1032,0))</f>
        <v>#N/A</v>
      </c>
      <c r="Q415" t="e">
        <f>INDEX(Items!C$2:C$1032,MATCH($O415,Items!$A$2:$A$1032,0))</f>
        <v>#N/A</v>
      </c>
      <c r="R415" t="e">
        <f>INDEX(Items!D$2:D$1032,MATCH($O415,Items!$A$2:$A$1032,0))</f>
        <v>#N/A</v>
      </c>
    </row>
    <row r="416" spans="1:18" x14ac:dyDescent="0.25">
      <c r="A416">
        <f t="shared" si="32"/>
        <v>1</v>
      </c>
      <c r="B416" t="str">
        <f t="shared" si="33"/>
        <v/>
      </c>
      <c r="C416">
        <f t="shared" si="35"/>
        <v>1</v>
      </c>
      <c r="D416" s="4"/>
      <c r="E416" t="s">
        <v>18</v>
      </c>
      <c r="F416" t="str">
        <f>INDEX(Establishment!B$2:B$1005,MATCH($E416,Establishment!$A$2:$A$1005,0))</f>
        <v xml:space="preserve"> </v>
      </c>
      <c r="G416" t="str">
        <f>INDEX(Establishment!C$2:C$1005,MATCH($E416,Establishment!$A$2:$A$1005,0))</f>
        <v xml:space="preserve"> </v>
      </c>
      <c r="M416">
        <f t="shared" si="36"/>
        <v>0</v>
      </c>
      <c r="N416">
        <f t="shared" si="34"/>
        <v>0</v>
      </c>
      <c r="P416" t="e">
        <f>INDEX(Items!B$2:B$1032,MATCH($O416,Items!$A$2:$A$1032,0))</f>
        <v>#N/A</v>
      </c>
      <c r="Q416" t="e">
        <f>INDEX(Items!C$2:C$1032,MATCH($O416,Items!$A$2:$A$1032,0))</f>
        <v>#N/A</v>
      </c>
      <c r="R416" t="e">
        <f>INDEX(Items!D$2:D$1032,MATCH($O416,Items!$A$2:$A$1032,0))</f>
        <v>#N/A</v>
      </c>
    </row>
    <row r="417" spans="1:18" x14ac:dyDescent="0.25">
      <c r="A417">
        <f t="shared" si="32"/>
        <v>1</v>
      </c>
      <c r="B417" t="str">
        <f t="shared" si="33"/>
        <v/>
      </c>
      <c r="C417">
        <f t="shared" si="35"/>
        <v>1</v>
      </c>
      <c r="D417" s="4"/>
      <c r="E417" t="s">
        <v>18</v>
      </c>
      <c r="F417" t="str">
        <f>INDEX(Establishment!B$2:B$1005,MATCH($E417,Establishment!$A$2:$A$1005,0))</f>
        <v xml:space="preserve"> </v>
      </c>
      <c r="G417" t="str">
        <f>INDEX(Establishment!C$2:C$1005,MATCH($E417,Establishment!$A$2:$A$1005,0))</f>
        <v xml:space="preserve"> </v>
      </c>
      <c r="M417">
        <f t="shared" si="36"/>
        <v>0</v>
      </c>
      <c r="N417">
        <f t="shared" si="34"/>
        <v>0</v>
      </c>
      <c r="P417" t="e">
        <f>INDEX(Items!B$2:B$1032,MATCH($O417,Items!$A$2:$A$1032,0))</f>
        <v>#N/A</v>
      </c>
      <c r="Q417" t="e">
        <f>INDEX(Items!C$2:C$1032,MATCH($O417,Items!$A$2:$A$1032,0))</f>
        <v>#N/A</v>
      </c>
      <c r="R417" t="e">
        <f>INDEX(Items!D$2:D$1032,MATCH($O417,Items!$A$2:$A$1032,0))</f>
        <v>#N/A</v>
      </c>
    </row>
    <row r="418" spans="1:18" x14ac:dyDescent="0.25">
      <c r="A418">
        <f t="shared" si="32"/>
        <v>1</v>
      </c>
      <c r="B418" t="str">
        <f t="shared" si="33"/>
        <v/>
      </c>
      <c r="C418">
        <f t="shared" si="35"/>
        <v>1</v>
      </c>
      <c r="D418" s="4"/>
      <c r="E418" t="s">
        <v>18</v>
      </c>
      <c r="F418" t="str">
        <f>INDEX(Establishment!B$2:B$1005,MATCH($E418,Establishment!$A$2:$A$1005,0))</f>
        <v xml:space="preserve"> </v>
      </c>
      <c r="G418" t="str">
        <f>INDEX(Establishment!C$2:C$1005,MATCH($E418,Establishment!$A$2:$A$1005,0))</f>
        <v xml:space="preserve"> </v>
      </c>
      <c r="M418">
        <f t="shared" si="36"/>
        <v>0</v>
      </c>
      <c r="N418">
        <f t="shared" si="34"/>
        <v>0</v>
      </c>
      <c r="P418" t="e">
        <f>INDEX(Items!B$2:B$1032,MATCH($O418,Items!$A$2:$A$1032,0))</f>
        <v>#N/A</v>
      </c>
      <c r="Q418" t="e">
        <f>INDEX(Items!C$2:C$1032,MATCH($O418,Items!$A$2:$A$1032,0))</f>
        <v>#N/A</v>
      </c>
      <c r="R418" t="e">
        <f>INDEX(Items!D$2:D$1032,MATCH($O418,Items!$A$2:$A$1032,0))</f>
        <v>#N/A</v>
      </c>
    </row>
    <row r="419" spans="1:18" x14ac:dyDescent="0.25">
      <c r="A419">
        <f t="shared" si="32"/>
        <v>1</v>
      </c>
      <c r="B419" t="str">
        <f t="shared" si="33"/>
        <v/>
      </c>
      <c r="C419">
        <f t="shared" si="35"/>
        <v>1</v>
      </c>
      <c r="D419" s="4"/>
      <c r="E419" t="s">
        <v>18</v>
      </c>
      <c r="F419" t="str">
        <f>INDEX(Establishment!B$2:B$1005,MATCH($E419,Establishment!$A$2:$A$1005,0))</f>
        <v xml:space="preserve"> </v>
      </c>
      <c r="G419" t="str">
        <f>INDEX(Establishment!C$2:C$1005,MATCH($E419,Establishment!$A$2:$A$1005,0))</f>
        <v xml:space="preserve"> </v>
      </c>
      <c r="M419">
        <f t="shared" si="36"/>
        <v>0</v>
      </c>
      <c r="N419">
        <f t="shared" si="34"/>
        <v>0</v>
      </c>
      <c r="P419" t="e">
        <f>INDEX(Items!B$2:B$1032,MATCH($O419,Items!$A$2:$A$1032,0))</f>
        <v>#N/A</v>
      </c>
      <c r="Q419" t="e">
        <f>INDEX(Items!C$2:C$1032,MATCH($O419,Items!$A$2:$A$1032,0))</f>
        <v>#N/A</v>
      </c>
      <c r="R419" t="e">
        <f>INDEX(Items!D$2:D$1032,MATCH($O419,Items!$A$2:$A$1032,0))</f>
        <v>#N/A</v>
      </c>
    </row>
    <row r="420" spans="1:18" x14ac:dyDescent="0.25">
      <c r="A420">
        <f t="shared" si="32"/>
        <v>1</v>
      </c>
      <c r="B420" t="str">
        <f t="shared" si="33"/>
        <v/>
      </c>
      <c r="C420">
        <f t="shared" si="35"/>
        <v>1</v>
      </c>
      <c r="D420" s="4"/>
      <c r="E420" t="s">
        <v>18</v>
      </c>
      <c r="F420" t="str">
        <f>INDEX(Establishment!B$2:B$1005,MATCH($E420,Establishment!$A$2:$A$1005,0))</f>
        <v xml:space="preserve"> </v>
      </c>
      <c r="G420" t="str">
        <f>INDEX(Establishment!C$2:C$1005,MATCH($E420,Establishment!$A$2:$A$1005,0))</f>
        <v xml:space="preserve"> </v>
      </c>
      <c r="M420">
        <f t="shared" si="36"/>
        <v>0</v>
      </c>
      <c r="N420">
        <f t="shared" si="34"/>
        <v>0</v>
      </c>
      <c r="P420" t="e">
        <f>INDEX(Items!B$2:B$1032,MATCH($O420,Items!$A$2:$A$1032,0))</f>
        <v>#N/A</v>
      </c>
      <c r="Q420" t="e">
        <f>INDEX(Items!C$2:C$1032,MATCH($O420,Items!$A$2:$A$1032,0))</f>
        <v>#N/A</v>
      </c>
      <c r="R420" t="e">
        <f>INDEX(Items!D$2:D$1032,MATCH($O420,Items!$A$2:$A$1032,0))</f>
        <v>#N/A</v>
      </c>
    </row>
    <row r="421" spans="1:18" x14ac:dyDescent="0.25">
      <c r="A421">
        <f t="shared" si="32"/>
        <v>1</v>
      </c>
      <c r="B421" t="str">
        <f t="shared" si="33"/>
        <v/>
      </c>
      <c r="C421">
        <f t="shared" si="35"/>
        <v>1</v>
      </c>
      <c r="D421" s="4"/>
      <c r="E421" t="s">
        <v>18</v>
      </c>
      <c r="F421" t="str">
        <f>INDEX(Establishment!B$2:B$1005,MATCH($E421,Establishment!$A$2:$A$1005,0))</f>
        <v xml:space="preserve"> </v>
      </c>
      <c r="G421" t="str">
        <f>INDEX(Establishment!C$2:C$1005,MATCH($E421,Establishment!$A$2:$A$1005,0))</f>
        <v xml:space="preserve"> </v>
      </c>
      <c r="M421">
        <f t="shared" si="36"/>
        <v>0</v>
      </c>
      <c r="N421">
        <f t="shared" si="34"/>
        <v>0</v>
      </c>
      <c r="P421" t="e">
        <f>INDEX(Items!B$2:B$1032,MATCH($O421,Items!$A$2:$A$1032,0))</f>
        <v>#N/A</v>
      </c>
      <c r="Q421" t="e">
        <f>INDEX(Items!C$2:C$1032,MATCH($O421,Items!$A$2:$A$1032,0))</f>
        <v>#N/A</v>
      </c>
      <c r="R421" t="e">
        <f>INDEX(Items!D$2:D$1032,MATCH($O421,Items!$A$2:$A$1032,0))</f>
        <v>#N/A</v>
      </c>
    </row>
    <row r="422" spans="1:18" x14ac:dyDescent="0.25">
      <c r="A422">
        <f t="shared" si="32"/>
        <v>1</v>
      </c>
      <c r="B422" t="str">
        <f t="shared" si="33"/>
        <v/>
      </c>
      <c r="C422">
        <f t="shared" si="35"/>
        <v>1</v>
      </c>
      <c r="D422" s="4"/>
      <c r="E422" t="s">
        <v>18</v>
      </c>
      <c r="F422" t="str">
        <f>INDEX(Establishment!B$2:B$1005,MATCH($E422,Establishment!$A$2:$A$1005,0))</f>
        <v xml:space="preserve"> </v>
      </c>
      <c r="G422" t="str">
        <f>INDEX(Establishment!C$2:C$1005,MATCH($E422,Establishment!$A$2:$A$1005,0))</f>
        <v xml:space="preserve"> </v>
      </c>
      <c r="M422">
        <f t="shared" si="36"/>
        <v>0</v>
      </c>
      <c r="N422">
        <f t="shared" si="34"/>
        <v>0</v>
      </c>
      <c r="P422" t="e">
        <f>INDEX(Items!B$2:B$1032,MATCH($O422,Items!$A$2:$A$1032,0))</f>
        <v>#N/A</v>
      </c>
      <c r="Q422" t="e">
        <f>INDEX(Items!C$2:C$1032,MATCH($O422,Items!$A$2:$A$1032,0))</f>
        <v>#N/A</v>
      </c>
      <c r="R422" t="e">
        <f>INDEX(Items!D$2:D$1032,MATCH($O422,Items!$A$2:$A$1032,0))</f>
        <v>#N/A</v>
      </c>
    </row>
    <row r="423" spans="1:18" x14ac:dyDescent="0.25">
      <c r="A423">
        <f t="shared" si="32"/>
        <v>1</v>
      </c>
      <c r="B423" t="str">
        <f t="shared" si="33"/>
        <v/>
      </c>
      <c r="C423">
        <f t="shared" si="35"/>
        <v>1</v>
      </c>
      <c r="D423" s="4"/>
      <c r="E423" t="s">
        <v>18</v>
      </c>
      <c r="F423" t="str">
        <f>INDEX(Establishment!B$2:B$1005,MATCH($E423,Establishment!$A$2:$A$1005,0))</f>
        <v xml:space="preserve"> </v>
      </c>
      <c r="G423" t="str">
        <f>INDEX(Establishment!C$2:C$1005,MATCH($E423,Establishment!$A$2:$A$1005,0))</f>
        <v xml:space="preserve"> </v>
      </c>
      <c r="M423">
        <f t="shared" si="36"/>
        <v>0</v>
      </c>
      <c r="N423">
        <f t="shared" si="34"/>
        <v>0</v>
      </c>
      <c r="P423" t="e">
        <f>INDEX(Items!B$2:B$1032,MATCH($O423,Items!$A$2:$A$1032,0))</f>
        <v>#N/A</v>
      </c>
      <c r="Q423" t="e">
        <f>INDEX(Items!C$2:C$1032,MATCH($O423,Items!$A$2:$A$1032,0))</f>
        <v>#N/A</v>
      </c>
      <c r="R423" t="e">
        <f>INDEX(Items!D$2:D$1032,MATCH($O423,Items!$A$2:$A$1032,0))</f>
        <v>#N/A</v>
      </c>
    </row>
    <row r="424" spans="1:18" x14ac:dyDescent="0.25">
      <c r="A424">
        <f t="shared" si="32"/>
        <v>1</v>
      </c>
      <c r="B424" t="str">
        <f t="shared" si="33"/>
        <v/>
      </c>
      <c r="C424">
        <f t="shared" si="35"/>
        <v>1</v>
      </c>
      <c r="D424" s="4"/>
      <c r="E424" t="s">
        <v>18</v>
      </c>
      <c r="F424" t="str">
        <f>INDEX(Establishment!B$2:B$1005,MATCH($E424,Establishment!$A$2:$A$1005,0))</f>
        <v xml:space="preserve"> </v>
      </c>
      <c r="G424" t="str">
        <f>INDEX(Establishment!C$2:C$1005,MATCH($E424,Establishment!$A$2:$A$1005,0))</f>
        <v xml:space="preserve"> </v>
      </c>
      <c r="M424">
        <f t="shared" si="36"/>
        <v>0</v>
      </c>
      <c r="N424">
        <f t="shared" si="34"/>
        <v>0</v>
      </c>
      <c r="P424" t="e">
        <f>INDEX(Items!B$2:B$1032,MATCH($O424,Items!$A$2:$A$1032,0))</f>
        <v>#N/A</v>
      </c>
      <c r="Q424" t="e">
        <f>INDEX(Items!C$2:C$1032,MATCH($O424,Items!$A$2:$A$1032,0))</f>
        <v>#N/A</v>
      </c>
      <c r="R424" t="e">
        <f>INDEX(Items!D$2:D$1032,MATCH($O424,Items!$A$2:$A$1032,0))</f>
        <v>#N/A</v>
      </c>
    </row>
    <row r="425" spans="1:18" x14ac:dyDescent="0.25">
      <c r="A425">
        <f t="shared" si="32"/>
        <v>1</v>
      </c>
      <c r="B425" t="str">
        <f t="shared" si="33"/>
        <v/>
      </c>
      <c r="C425">
        <f t="shared" si="35"/>
        <v>1</v>
      </c>
      <c r="D425" s="4"/>
      <c r="E425" t="s">
        <v>18</v>
      </c>
      <c r="F425" t="str">
        <f>INDEX(Establishment!B$2:B$1005,MATCH($E425,Establishment!$A$2:$A$1005,0))</f>
        <v xml:space="preserve"> </v>
      </c>
      <c r="G425" t="str">
        <f>INDEX(Establishment!C$2:C$1005,MATCH($E425,Establishment!$A$2:$A$1005,0))</f>
        <v xml:space="preserve"> </v>
      </c>
      <c r="M425">
        <f t="shared" si="36"/>
        <v>0</v>
      </c>
      <c r="N425">
        <f t="shared" si="34"/>
        <v>0</v>
      </c>
      <c r="P425" t="e">
        <f>INDEX(Items!B$2:B$1032,MATCH($O425,Items!$A$2:$A$1032,0))</f>
        <v>#N/A</v>
      </c>
      <c r="Q425" t="e">
        <f>INDEX(Items!C$2:C$1032,MATCH($O425,Items!$A$2:$A$1032,0))</f>
        <v>#N/A</v>
      </c>
      <c r="R425" t="e">
        <f>INDEX(Items!D$2:D$1032,MATCH($O425,Items!$A$2:$A$1032,0))</f>
        <v>#N/A</v>
      </c>
    </row>
    <row r="426" spans="1:18" x14ac:dyDescent="0.25">
      <c r="A426">
        <f t="shared" si="32"/>
        <v>1</v>
      </c>
      <c r="B426" t="str">
        <f t="shared" si="33"/>
        <v/>
      </c>
      <c r="C426">
        <f t="shared" si="35"/>
        <v>1</v>
      </c>
      <c r="D426" s="4"/>
      <c r="E426" t="s">
        <v>18</v>
      </c>
      <c r="F426" t="str">
        <f>INDEX(Establishment!B$2:B$1005,MATCH($E426,Establishment!$A$2:$A$1005,0))</f>
        <v xml:space="preserve"> </v>
      </c>
      <c r="G426" t="str">
        <f>INDEX(Establishment!C$2:C$1005,MATCH($E426,Establishment!$A$2:$A$1005,0))</f>
        <v xml:space="preserve"> </v>
      </c>
      <c r="M426">
        <f t="shared" si="36"/>
        <v>0</v>
      </c>
      <c r="N426">
        <f t="shared" si="34"/>
        <v>0</v>
      </c>
      <c r="P426" t="e">
        <f>INDEX(Items!B$2:B$1032,MATCH($O426,Items!$A$2:$A$1032,0))</f>
        <v>#N/A</v>
      </c>
      <c r="Q426" t="e">
        <f>INDEX(Items!C$2:C$1032,MATCH($O426,Items!$A$2:$A$1032,0))</f>
        <v>#N/A</v>
      </c>
      <c r="R426" t="e">
        <f>INDEX(Items!D$2:D$1032,MATCH($O426,Items!$A$2:$A$1032,0))</f>
        <v>#N/A</v>
      </c>
    </row>
    <row r="427" spans="1:18" x14ac:dyDescent="0.25">
      <c r="A427">
        <f t="shared" si="32"/>
        <v>1</v>
      </c>
      <c r="B427" t="str">
        <f t="shared" si="33"/>
        <v/>
      </c>
      <c r="C427">
        <f t="shared" si="35"/>
        <v>1</v>
      </c>
      <c r="D427" s="4"/>
      <c r="E427" t="s">
        <v>18</v>
      </c>
      <c r="F427" t="str">
        <f>INDEX(Establishment!B$2:B$1005,MATCH($E427,Establishment!$A$2:$A$1005,0))</f>
        <v xml:space="preserve"> </v>
      </c>
      <c r="G427" t="str">
        <f>INDEX(Establishment!C$2:C$1005,MATCH($E427,Establishment!$A$2:$A$1005,0))</f>
        <v xml:space="preserve"> </v>
      </c>
      <c r="M427">
        <f t="shared" si="36"/>
        <v>0</v>
      </c>
      <c r="N427">
        <f t="shared" si="34"/>
        <v>0</v>
      </c>
      <c r="P427" t="e">
        <f>INDEX(Items!B$2:B$1032,MATCH($O427,Items!$A$2:$A$1032,0))</f>
        <v>#N/A</v>
      </c>
      <c r="Q427" t="e">
        <f>INDEX(Items!C$2:C$1032,MATCH($O427,Items!$A$2:$A$1032,0))</f>
        <v>#N/A</v>
      </c>
      <c r="R427" t="e">
        <f>INDEX(Items!D$2:D$1032,MATCH($O427,Items!$A$2:$A$1032,0))</f>
        <v>#N/A</v>
      </c>
    </row>
    <row r="428" spans="1:18" x14ac:dyDescent="0.25">
      <c r="A428">
        <f t="shared" si="32"/>
        <v>1</v>
      </c>
      <c r="B428" t="str">
        <f t="shared" si="33"/>
        <v/>
      </c>
      <c r="C428">
        <f t="shared" si="35"/>
        <v>1</v>
      </c>
      <c r="D428" s="4"/>
      <c r="E428" t="s">
        <v>18</v>
      </c>
      <c r="F428" t="str">
        <f>INDEX(Establishment!B$2:B$1005,MATCH($E428,Establishment!$A$2:$A$1005,0))</f>
        <v xml:space="preserve"> </v>
      </c>
      <c r="G428" t="str">
        <f>INDEX(Establishment!C$2:C$1005,MATCH($E428,Establishment!$A$2:$A$1005,0))</f>
        <v xml:space="preserve"> </v>
      </c>
      <c r="M428">
        <f t="shared" si="36"/>
        <v>0</v>
      </c>
      <c r="N428">
        <f t="shared" si="34"/>
        <v>0</v>
      </c>
      <c r="P428" t="e">
        <f>INDEX(Items!B$2:B$1032,MATCH($O428,Items!$A$2:$A$1032,0))</f>
        <v>#N/A</v>
      </c>
      <c r="Q428" t="e">
        <f>INDEX(Items!C$2:C$1032,MATCH($O428,Items!$A$2:$A$1032,0))</f>
        <v>#N/A</v>
      </c>
      <c r="R428" t="e">
        <f>INDEX(Items!D$2:D$1032,MATCH($O428,Items!$A$2:$A$1032,0))</f>
        <v>#N/A</v>
      </c>
    </row>
    <row r="429" spans="1:18" x14ac:dyDescent="0.25">
      <c r="A429">
        <f t="shared" si="32"/>
        <v>1</v>
      </c>
      <c r="B429" t="str">
        <f t="shared" si="33"/>
        <v/>
      </c>
      <c r="C429">
        <f t="shared" si="35"/>
        <v>1</v>
      </c>
      <c r="D429" s="4"/>
      <c r="E429" t="s">
        <v>18</v>
      </c>
      <c r="F429" t="str">
        <f>INDEX(Establishment!B$2:B$1005,MATCH($E429,Establishment!$A$2:$A$1005,0))</f>
        <v xml:space="preserve"> </v>
      </c>
      <c r="G429" t="str">
        <f>INDEX(Establishment!C$2:C$1005,MATCH($E429,Establishment!$A$2:$A$1005,0))</f>
        <v xml:space="preserve"> </v>
      </c>
      <c r="M429">
        <f t="shared" si="36"/>
        <v>0</v>
      </c>
      <c r="N429">
        <f t="shared" si="34"/>
        <v>0</v>
      </c>
      <c r="P429" t="e">
        <f>INDEX(Items!B$2:B$1032,MATCH($O429,Items!$A$2:$A$1032,0))</f>
        <v>#N/A</v>
      </c>
      <c r="Q429" t="e">
        <f>INDEX(Items!C$2:C$1032,MATCH($O429,Items!$A$2:$A$1032,0))</f>
        <v>#N/A</v>
      </c>
      <c r="R429" t="e">
        <f>INDEX(Items!D$2:D$1032,MATCH($O429,Items!$A$2:$A$1032,0))</f>
        <v>#N/A</v>
      </c>
    </row>
    <row r="430" spans="1:18" x14ac:dyDescent="0.25">
      <c r="A430">
        <f t="shared" si="32"/>
        <v>1</v>
      </c>
      <c r="B430" t="str">
        <f t="shared" si="33"/>
        <v/>
      </c>
      <c r="C430">
        <f t="shared" si="35"/>
        <v>1</v>
      </c>
      <c r="D430" s="4"/>
      <c r="E430" t="s">
        <v>18</v>
      </c>
      <c r="F430" t="str">
        <f>INDEX(Establishment!B$2:B$1005,MATCH($E430,Establishment!$A$2:$A$1005,0))</f>
        <v xml:space="preserve"> </v>
      </c>
      <c r="G430" t="str">
        <f>INDEX(Establishment!C$2:C$1005,MATCH($E430,Establishment!$A$2:$A$1005,0))</f>
        <v xml:space="preserve"> </v>
      </c>
      <c r="M430">
        <f t="shared" si="36"/>
        <v>0</v>
      </c>
      <c r="N430">
        <f t="shared" si="34"/>
        <v>0</v>
      </c>
      <c r="P430" t="e">
        <f>INDEX(Items!B$2:B$1032,MATCH($O430,Items!$A$2:$A$1032,0))</f>
        <v>#N/A</v>
      </c>
      <c r="Q430" t="e">
        <f>INDEX(Items!C$2:C$1032,MATCH($O430,Items!$A$2:$A$1032,0))</f>
        <v>#N/A</v>
      </c>
      <c r="R430" t="e">
        <f>INDEX(Items!D$2:D$1032,MATCH($O430,Items!$A$2:$A$1032,0))</f>
        <v>#N/A</v>
      </c>
    </row>
    <row r="431" spans="1:18" x14ac:dyDescent="0.25">
      <c r="A431">
        <f t="shared" si="32"/>
        <v>1</v>
      </c>
      <c r="B431" t="str">
        <f t="shared" si="33"/>
        <v/>
      </c>
      <c r="C431">
        <f t="shared" si="35"/>
        <v>1</v>
      </c>
      <c r="D431" s="4"/>
      <c r="E431" t="s">
        <v>18</v>
      </c>
      <c r="F431" t="str">
        <f>INDEX(Establishment!B$2:B$1005,MATCH($E431,Establishment!$A$2:$A$1005,0))</f>
        <v xml:space="preserve"> </v>
      </c>
      <c r="G431" t="str">
        <f>INDEX(Establishment!C$2:C$1005,MATCH($E431,Establishment!$A$2:$A$1005,0))</f>
        <v xml:space="preserve"> </v>
      </c>
      <c r="M431">
        <f t="shared" si="36"/>
        <v>0</v>
      </c>
      <c r="N431">
        <f t="shared" si="34"/>
        <v>0</v>
      </c>
      <c r="P431" t="e">
        <f>INDEX(Items!B$2:B$1032,MATCH($O431,Items!$A$2:$A$1032,0))</f>
        <v>#N/A</v>
      </c>
      <c r="Q431" t="e">
        <f>INDEX(Items!C$2:C$1032,MATCH($O431,Items!$A$2:$A$1032,0))</f>
        <v>#N/A</v>
      </c>
      <c r="R431" t="e">
        <f>INDEX(Items!D$2:D$1032,MATCH($O431,Items!$A$2:$A$1032,0))</f>
        <v>#N/A</v>
      </c>
    </row>
    <row r="432" spans="1:18" x14ac:dyDescent="0.25">
      <c r="A432">
        <f t="shared" si="32"/>
        <v>1</v>
      </c>
      <c r="B432" t="str">
        <f t="shared" si="33"/>
        <v/>
      </c>
      <c r="C432">
        <f t="shared" si="35"/>
        <v>1</v>
      </c>
      <c r="D432" s="4"/>
      <c r="E432" t="s">
        <v>18</v>
      </c>
      <c r="F432" t="str">
        <f>INDEX(Establishment!B$2:B$1005,MATCH($E432,Establishment!$A$2:$A$1005,0))</f>
        <v xml:space="preserve"> </v>
      </c>
      <c r="G432" t="str">
        <f>INDEX(Establishment!C$2:C$1005,MATCH($E432,Establishment!$A$2:$A$1005,0))</f>
        <v xml:space="preserve"> </v>
      </c>
      <c r="M432">
        <f t="shared" si="36"/>
        <v>0</v>
      </c>
      <c r="N432">
        <f t="shared" si="34"/>
        <v>0</v>
      </c>
      <c r="P432" t="e">
        <f>INDEX(Items!B$2:B$1032,MATCH($O432,Items!$A$2:$A$1032,0))</f>
        <v>#N/A</v>
      </c>
      <c r="Q432" t="e">
        <f>INDEX(Items!C$2:C$1032,MATCH($O432,Items!$A$2:$A$1032,0))</f>
        <v>#N/A</v>
      </c>
      <c r="R432" t="e">
        <f>INDEX(Items!D$2:D$1032,MATCH($O432,Items!$A$2:$A$1032,0))</f>
        <v>#N/A</v>
      </c>
    </row>
    <row r="433" spans="1:18" x14ac:dyDescent="0.25">
      <c r="A433">
        <f t="shared" si="32"/>
        <v>1</v>
      </c>
      <c r="B433" t="str">
        <f t="shared" si="33"/>
        <v/>
      </c>
      <c r="C433">
        <f t="shared" si="35"/>
        <v>1</v>
      </c>
      <c r="D433" s="4"/>
      <c r="E433" t="s">
        <v>18</v>
      </c>
      <c r="F433" t="str">
        <f>INDEX(Establishment!B$2:B$1005,MATCH($E433,Establishment!$A$2:$A$1005,0))</f>
        <v xml:space="preserve"> </v>
      </c>
      <c r="G433" t="str">
        <f>INDEX(Establishment!C$2:C$1005,MATCH($E433,Establishment!$A$2:$A$1005,0))</f>
        <v xml:space="preserve"> </v>
      </c>
      <c r="M433">
        <f t="shared" si="36"/>
        <v>0</v>
      </c>
      <c r="N433">
        <f t="shared" si="34"/>
        <v>0</v>
      </c>
      <c r="P433" t="e">
        <f>INDEX(Items!B$2:B$1032,MATCH($O433,Items!$A$2:$A$1032,0))</f>
        <v>#N/A</v>
      </c>
      <c r="Q433" t="e">
        <f>INDEX(Items!C$2:C$1032,MATCH($O433,Items!$A$2:$A$1032,0))</f>
        <v>#N/A</v>
      </c>
      <c r="R433" t="e">
        <f>INDEX(Items!D$2:D$1032,MATCH($O433,Items!$A$2:$A$1032,0))</f>
        <v>#N/A</v>
      </c>
    </row>
    <row r="434" spans="1:18" x14ac:dyDescent="0.25">
      <c r="A434">
        <f t="shared" si="32"/>
        <v>1</v>
      </c>
      <c r="B434" t="str">
        <f t="shared" si="33"/>
        <v/>
      </c>
      <c r="C434">
        <f t="shared" si="35"/>
        <v>1</v>
      </c>
      <c r="D434" s="4"/>
      <c r="E434" t="s">
        <v>18</v>
      </c>
      <c r="F434" t="str">
        <f>INDEX(Establishment!B$2:B$1005,MATCH($E434,Establishment!$A$2:$A$1005,0))</f>
        <v xml:space="preserve"> </v>
      </c>
      <c r="G434" t="str">
        <f>INDEX(Establishment!C$2:C$1005,MATCH($E434,Establishment!$A$2:$A$1005,0))</f>
        <v xml:space="preserve"> </v>
      </c>
      <c r="M434">
        <f t="shared" si="36"/>
        <v>0</v>
      </c>
      <c r="N434">
        <f t="shared" si="34"/>
        <v>0</v>
      </c>
      <c r="P434" t="e">
        <f>INDEX(Items!B$2:B$1032,MATCH($O434,Items!$A$2:$A$1032,0))</f>
        <v>#N/A</v>
      </c>
      <c r="Q434" t="e">
        <f>INDEX(Items!C$2:C$1032,MATCH($O434,Items!$A$2:$A$1032,0))</f>
        <v>#N/A</v>
      </c>
      <c r="R434" t="e">
        <f>INDEX(Items!D$2:D$1032,MATCH($O434,Items!$A$2:$A$1032,0))</f>
        <v>#N/A</v>
      </c>
    </row>
    <row r="435" spans="1:18" x14ac:dyDescent="0.25">
      <c r="A435">
        <f t="shared" si="32"/>
        <v>1</v>
      </c>
      <c r="B435" t="str">
        <f t="shared" si="33"/>
        <v/>
      </c>
      <c r="C435">
        <f t="shared" si="35"/>
        <v>1</v>
      </c>
      <c r="D435" s="4"/>
      <c r="E435" t="s">
        <v>18</v>
      </c>
      <c r="F435" t="str">
        <f>INDEX(Establishment!B$2:B$1005,MATCH($E435,Establishment!$A$2:$A$1005,0))</f>
        <v xml:space="preserve"> </v>
      </c>
      <c r="G435" t="str">
        <f>INDEX(Establishment!C$2:C$1005,MATCH($E435,Establishment!$A$2:$A$1005,0))</f>
        <v xml:space="preserve"> </v>
      </c>
      <c r="M435">
        <f t="shared" si="36"/>
        <v>0</v>
      </c>
      <c r="N435">
        <f t="shared" si="34"/>
        <v>0</v>
      </c>
      <c r="P435" t="e">
        <f>INDEX(Items!B$2:B$1032,MATCH($O435,Items!$A$2:$A$1032,0))</f>
        <v>#N/A</v>
      </c>
      <c r="Q435" t="e">
        <f>INDEX(Items!C$2:C$1032,MATCH($O435,Items!$A$2:$A$1032,0))</f>
        <v>#N/A</v>
      </c>
      <c r="R435" t="e">
        <f>INDEX(Items!D$2:D$1032,MATCH($O435,Items!$A$2:$A$1032,0))</f>
        <v>#N/A</v>
      </c>
    </row>
    <row r="436" spans="1:18" x14ac:dyDescent="0.25">
      <c r="A436">
        <f t="shared" si="32"/>
        <v>1</v>
      </c>
      <c r="B436" t="str">
        <f t="shared" si="33"/>
        <v/>
      </c>
      <c r="C436">
        <f t="shared" si="35"/>
        <v>1</v>
      </c>
      <c r="D436" s="4"/>
      <c r="E436" t="s">
        <v>18</v>
      </c>
      <c r="F436" t="str">
        <f>INDEX(Establishment!B$2:B$1005,MATCH($E436,Establishment!$A$2:$A$1005,0))</f>
        <v xml:space="preserve"> </v>
      </c>
      <c r="G436" t="str">
        <f>INDEX(Establishment!C$2:C$1005,MATCH($E436,Establishment!$A$2:$A$1005,0))</f>
        <v xml:space="preserve"> </v>
      </c>
      <c r="M436">
        <f t="shared" si="36"/>
        <v>0</v>
      </c>
      <c r="N436">
        <f t="shared" si="34"/>
        <v>0</v>
      </c>
      <c r="P436" t="e">
        <f>INDEX(Items!B$2:B$1032,MATCH($O436,Items!$A$2:$A$1032,0))</f>
        <v>#N/A</v>
      </c>
      <c r="Q436" t="e">
        <f>INDEX(Items!C$2:C$1032,MATCH($O436,Items!$A$2:$A$1032,0))</f>
        <v>#N/A</v>
      </c>
      <c r="R436" t="e">
        <f>INDEX(Items!D$2:D$1032,MATCH($O436,Items!$A$2:$A$1032,0))</f>
        <v>#N/A</v>
      </c>
    </row>
    <row r="437" spans="1:18" x14ac:dyDescent="0.25">
      <c r="A437">
        <f t="shared" si="32"/>
        <v>1</v>
      </c>
      <c r="B437" t="str">
        <f t="shared" si="33"/>
        <v/>
      </c>
      <c r="C437">
        <f t="shared" si="35"/>
        <v>1</v>
      </c>
      <c r="D437" s="4"/>
      <c r="E437" t="s">
        <v>18</v>
      </c>
      <c r="F437" t="str">
        <f>INDEX(Establishment!B$2:B$1005,MATCH($E437,Establishment!$A$2:$A$1005,0))</f>
        <v xml:space="preserve"> </v>
      </c>
      <c r="G437" t="str">
        <f>INDEX(Establishment!C$2:C$1005,MATCH($E437,Establishment!$A$2:$A$1005,0))</f>
        <v xml:space="preserve"> </v>
      </c>
      <c r="M437">
        <f t="shared" si="36"/>
        <v>0</v>
      </c>
      <c r="N437">
        <f t="shared" si="34"/>
        <v>0</v>
      </c>
      <c r="P437" t="e">
        <f>INDEX(Items!B$2:B$1032,MATCH($O437,Items!$A$2:$A$1032,0))</f>
        <v>#N/A</v>
      </c>
      <c r="Q437" t="e">
        <f>INDEX(Items!C$2:C$1032,MATCH($O437,Items!$A$2:$A$1032,0))</f>
        <v>#N/A</v>
      </c>
      <c r="R437" t="e">
        <f>INDEX(Items!D$2:D$1032,MATCH($O437,Items!$A$2:$A$1032,0))</f>
        <v>#N/A</v>
      </c>
    </row>
    <row r="438" spans="1:18" x14ac:dyDescent="0.25">
      <c r="A438">
        <f t="shared" si="32"/>
        <v>1</v>
      </c>
      <c r="B438" t="str">
        <f t="shared" si="33"/>
        <v/>
      </c>
      <c r="C438">
        <f t="shared" si="35"/>
        <v>1</v>
      </c>
      <c r="D438" s="4"/>
      <c r="E438" t="s">
        <v>18</v>
      </c>
      <c r="F438" t="str">
        <f>INDEX(Establishment!B$2:B$1005,MATCH($E438,Establishment!$A$2:$A$1005,0))</f>
        <v xml:space="preserve"> </v>
      </c>
      <c r="G438" t="str">
        <f>INDEX(Establishment!C$2:C$1005,MATCH($E438,Establishment!$A$2:$A$1005,0))</f>
        <v xml:space="preserve"> </v>
      </c>
      <c r="M438">
        <f t="shared" si="36"/>
        <v>0</v>
      </c>
      <c r="N438">
        <f t="shared" si="34"/>
        <v>0</v>
      </c>
      <c r="P438" t="e">
        <f>INDEX(Items!B$2:B$1032,MATCH($O438,Items!$A$2:$A$1032,0))</f>
        <v>#N/A</v>
      </c>
      <c r="Q438" t="e">
        <f>INDEX(Items!C$2:C$1032,MATCH($O438,Items!$A$2:$A$1032,0))</f>
        <v>#N/A</v>
      </c>
      <c r="R438" t="e">
        <f>INDEX(Items!D$2:D$1032,MATCH($O438,Items!$A$2:$A$1032,0))</f>
        <v>#N/A</v>
      </c>
    </row>
    <row r="439" spans="1:18" x14ac:dyDescent="0.25">
      <c r="A439">
        <f t="shared" si="32"/>
        <v>1</v>
      </c>
      <c r="B439" t="str">
        <f t="shared" si="33"/>
        <v/>
      </c>
      <c r="C439">
        <f t="shared" si="35"/>
        <v>1</v>
      </c>
      <c r="D439" s="4"/>
      <c r="E439" t="s">
        <v>18</v>
      </c>
      <c r="F439" t="str">
        <f>INDEX(Establishment!B$2:B$1005,MATCH($E439,Establishment!$A$2:$A$1005,0))</f>
        <v xml:space="preserve"> </v>
      </c>
      <c r="G439" t="str">
        <f>INDEX(Establishment!C$2:C$1005,MATCH($E439,Establishment!$A$2:$A$1005,0))</f>
        <v xml:space="preserve"> </v>
      </c>
      <c r="M439">
        <f t="shared" si="36"/>
        <v>0</v>
      </c>
      <c r="N439">
        <f t="shared" si="34"/>
        <v>0</v>
      </c>
      <c r="P439" t="e">
        <f>INDEX(Items!B$2:B$1032,MATCH($O439,Items!$A$2:$A$1032,0))</f>
        <v>#N/A</v>
      </c>
      <c r="Q439" t="e">
        <f>INDEX(Items!C$2:C$1032,MATCH($O439,Items!$A$2:$A$1032,0))</f>
        <v>#N/A</v>
      </c>
      <c r="R439" t="e">
        <f>INDEX(Items!D$2:D$1032,MATCH($O439,Items!$A$2:$A$1032,0))</f>
        <v>#N/A</v>
      </c>
    </row>
    <row r="440" spans="1:18" x14ac:dyDescent="0.25">
      <c r="A440">
        <f t="shared" si="32"/>
        <v>1</v>
      </c>
      <c r="B440" t="str">
        <f t="shared" si="33"/>
        <v/>
      </c>
      <c r="C440">
        <f t="shared" si="35"/>
        <v>1</v>
      </c>
      <c r="D440" s="4"/>
      <c r="E440" t="s">
        <v>18</v>
      </c>
      <c r="F440" t="str">
        <f>INDEX(Establishment!B$2:B$1005,MATCH($E440,Establishment!$A$2:$A$1005,0))</f>
        <v xml:space="preserve"> </v>
      </c>
      <c r="G440" t="str">
        <f>INDEX(Establishment!C$2:C$1005,MATCH($E440,Establishment!$A$2:$A$1005,0))</f>
        <v xml:space="preserve"> </v>
      </c>
      <c r="M440">
        <f t="shared" si="36"/>
        <v>0</v>
      </c>
      <c r="N440">
        <f t="shared" si="34"/>
        <v>0</v>
      </c>
      <c r="P440" t="e">
        <f>INDEX(Items!B$2:B$1032,MATCH($O440,Items!$A$2:$A$1032,0))</f>
        <v>#N/A</v>
      </c>
      <c r="Q440" t="e">
        <f>INDEX(Items!C$2:C$1032,MATCH($O440,Items!$A$2:$A$1032,0))</f>
        <v>#N/A</v>
      </c>
      <c r="R440" t="e">
        <f>INDEX(Items!D$2:D$1032,MATCH($O440,Items!$A$2:$A$1032,0))</f>
        <v>#N/A</v>
      </c>
    </row>
    <row r="441" spans="1:18" x14ac:dyDescent="0.25">
      <c r="A441">
        <f t="shared" si="32"/>
        <v>1</v>
      </c>
      <c r="B441" t="str">
        <f t="shared" si="33"/>
        <v/>
      </c>
      <c r="C441">
        <f t="shared" si="35"/>
        <v>1</v>
      </c>
      <c r="D441" s="4"/>
      <c r="E441" t="s">
        <v>18</v>
      </c>
      <c r="F441" t="str">
        <f>INDEX(Establishment!B$2:B$1005,MATCH($E441,Establishment!$A$2:$A$1005,0))</f>
        <v xml:space="preserve"> </v>
      </c>
      <c r="G441" t="str">
        <f>INDEX(Establishment!C$2:C$1005,MATCH($E441,Establishment!$A$2:$A$1005,0))</f>
        <v xml:space="preserve"> </v>
      </c>
      <c r="M441">
        <f t="shared" si="36"/>
        <v>0</v>
      </c>
      <c r="N441">
        <f t="shared" si="34"/>
        <v>0</v>
      </c>
      <c r="P441" t="e">
        <f>INDEX(Items!B$2:B$1032,MATCH($O441,Items!$A$2:$A$1032,0))</f>
        <v>#N/A</v>
      </c>
      <c r="Q441" t="e">
        <f>INDEX(Items!C$2:C$1032,MATCH($O441,Items!$A$2:$A$1032,0))</f>
        <v>#N/A</v>
      </c>
      <c r="R441" t="e">
        <f>INDEX(Items!D$2:D$1032,MATCH($O441,Items!$A$2:$A$1032,0))</f>
        <v>#N/A</v>
      </c>
    </row>
    <row r="442" spans="1:18" x14ac:dyDescent="0.25">
      <c r="A442">
        <f t="shared" si="32"/>
        <v>1</v>
      </c>
      <c r="B442" t="str">
        <f t="shared" si="33"/>
        <v/>
      </c>
      <c r="C442">
        <f t="shared" si="35"/>
        <v>1</v>
      </c>
      <c r="D442" s="4"/>
      <c r="E442" t="s">
        <v>18</v>
      </c>
      <c r="F442" t="str">
        <f>INDEX(Establishment!B$2:B$1005,MATCH($E442,Establishment!$A$2:$A$1005,0))</f>
        <v xml:space="preserve"> </v>
      </c>
      <c r="G442" t="str">
        <f>INDEX(Establishment!C$2:C$1005,MATCH($E442,Establishment!$A$2:$A$1005,0))</f>
        <v xml:space="preserve"> </v>
      </c>
      <c r="M442">
        <f t="shared" si="36"/>
        <v>0</v>
      </c>
      <c r="N442">
        <f t="shared" si="34"/>
        <v>0</v>
      </c>
      <c r="P442" t="e">
        <f>INDEX(Items!B$2:B$1032,MATCH($O442,Items!$A$2:$A$1032,0))</f>
        <v>#N/A</v>
      </c>
      <c r="Q442" t="e">
        <f>INDEX(Items!C$2:C$1032,MATCH($O442,Items!$A$2:$A$1032,0))</f>
        <v>#N/A</v>
      </c>
      <c r="R442" t="e">
        <f>INDEX(Items!D$2:D$1032,MATCH($O442,Items!$A$2:$A$1032,0))</f>
        <v>#N/A</v>
      </c>
    </row>
    <row r="443" spans="1:18" x14ac:dyDescent="0.25">
      <c r="A443">
        <f t="shared" si="32"/>
        <v>1</v>
      </c>
      <c r="B443" t="str">
        <f t="shared" si="33"/>
        <v/>
      </c>
      <c r="C443">
        <f t="shared" si="35"/>
        <v>1</v>
      </c>
      <c r="D443" s="4"/>
      <c r="E443" t="s">
        <v>18</v>
      </c>
      <c r="F443" t="str">
        <f>INDEX(Establishment!B$2:B$1005,MATCH($E443,Establishment!$A$2:$A$1005,0))</f>
        <v xml:space="preserve"> </v>
      </c>
      <c r="G443" t="str">
        <f>INDEX(Establishment!C$2:C$1005,MATCH($E443,Establishment!$A$2:$A$1005,0))</f>
        <v xml:space="preserve"> </v>
      </c>
      <c r="M443">
        <f t="shared" si="36"/>
        <v>0</v>
      </c>
      <c r="N443">
        <f t="shared" si="34"/>
        <v>0</v>
      </c>
      <c r="P443" t="e">
        <f>INDEX(Items!B$2:B$1032,MATCH($O443,Items!$A$2:$A$1032,0))</f>
        <v>#N/A</v>
      </c>
      <c r="Q443" t="e">
        <f>INDEX(Items!C$2:C$1032,MATCH($O443,Items!$A$2:$A$1032,0))</f>
        <v>#N/A</v>
      </c>
      <c r="R443" t="e">
        <f>INDEX(Items!D$2:D$1032,MATCH($O443,Items!$A$2:$A$1032,0))</f>
        <v>#N/A</v>
      </c>
    </row>
    <row r="444" spans="1:18" x14ac:dyDescent="0.25">
      <c r="A444">
        <f t="shared" si="32"/>
        <v>1</v>
      </c>
      <c r="B444" t="str">
        <f t="shared" si="33"/>
        <v/>
      </c>
      <c r="C444">
        <f t="shared" si="35"/>
        <v>1</v>
      </c>
      <c r="D444" s="4"/>
      <c r="E444" t="s">
        <v>18</v>
      </c>
      <c r="F444" t="str">
        <f>INDEX(Establishment!B$2:B$1005,MATCH($E444,Establishment!$A$2:$A$1005,0))</f>
        <v xml:space="preserve"> </v>
      </c>
      <c r="G444" t="str">
        <f>INDEX(Establishment!C$2:C$1005,MATCH($E444,Establishment!$A$2:$A$1005,0))</f>
        <v xml:space="preserve"> </v>
      </c>
      <c r="M444">
        <f t="shared" si="36"/>
        <v>0</v>
      </c>
      <c r="N444">
        <f t="shared" si="34"/>
        <v>0</v>
      </c>
      <c r="P444" t="e">
        <f>INDEX(Items!B$2:B$1032,MATCH($O444,Items!$A$2:$A$1032,0))</f>
        <v>#N/A</v>
      </c>
      <c r="Q444" t="e">
        <f>INDEX(Items!C$2:C$1032,MATCH($O444,Items!$A$2:$A$1032,0))</f>
        <v>#N/A</v>
      </c>
      <c r="R444" t="e">
        <f>INDEX(Items!D$2:D$1032,MATCH($O444,Items!$A$2:$A$1032,0))</f>
        <v>#N/A</v>
      </c>
    </row>
    <row r="445" spans="1:18" x14ac:dyDescent="0.25">
      <c r="A445">
        <f t="shared" si="32"/>
        <v>1</v>
      </c>
      <c r="B445" t="str">
        <f t="shared" si="33"/>
        <v/>
      </c>
      <c r="C445">
        <f t="shared" si="35"/>
        <v>1</v>
      </c>
      <c r="D445" s="4"/>
      <c r="E445" t="s">
        <v>18</v>
      </c>
      <c r="F445" t="str">
        <f>INDEX(Establishment!B$2:B$1005,MATCH($E445,Establishment!$A$2:$A$1005,0))</f>
        <v xml:space="preserve"> </v>
      </c>
      <c r="G445" t="str">
        <f>INDEX(Establishment!C$2:C$1005,MATCH($E445,Establishment!$A$2:$A$1005,0))</f>
        <v xml:space="preserve"> </v>
      </c>
      <c r="M445">
        <f t="shared" si="36"/>
        <v>0</v>
      </c>
      <c r="N445">
        <f t="shared" si="34"/>
        <v>0</v>
      </c>
      <c r="P445" t="e">
        <f>INDEX(Items!B$2:B$1032,MATCH($O445,Items!$A$2:$A$1032,0))</f>
        <v>#N/A</v>
      </c>
      <c r="Q445" t="e">
        <f>INDEX(Items!C$2:C$1032,MATCH($O445,Items!$A$2:$A$1032,0))</f>
        <v>#N/A</v>
      </c>
      <c r="R445" t="e">
        <f>INDEX(Items!D$2:D$1032,MATCH($O445,Items!$A$2:$A$1032,0))</f>
        <v>#N/A</v>
      </c>
    </row>
    <row r="446" spans="1:18" x14ac:dyDescent="0.25">
      <c r="A446">
        <f t="shared" si="32"/>
        <v>1</v>
      </c>
      <c r="B446" t="str">
        <f t="shared" si="33"/>
        <v/>
      </c>
      <c r="C446">
        <f t="shared" si="35"/>
        <v>1</v>
      </c>
      <c r="D446" s="4"/>
      <c r="E446" t="s">
        <v>18</v>
      </c>
      <c r="F446" t="str">
        <f>INDEX(Establishment!B$2:B$1005,MATCH($E446,Establishment!$A$2:$A$1005,0))</f>
        <v xml:space="preserve"> </v>
      </c>
      <c r="G446" t="str">
        <f>INDEX(Establishment!C$2:C$1005,MATCH($E446,Establishment!$A$2:$A$1005,0))</f>
        <v xml:space="preserve"> </v>
      </c>
      <c r="M446">
        <f t="shared" si="36"/>
        <v>0</v>
      </c>
      <c r="N446">
        <f t="shared" si="34"/>
        <v>0</v>
      </c>
      <c r="P446" t="e">
        <f>INDEX(Items!B$2:B$1032,MATCH($O446,Items!$A$2:$A$1032,0))</f>
        <v>#N/A</v>
      </c>
      <c r="Q446" t="e">
        <f>INDEX(Items!C$2:C$1032,MATCH($O446,Items!$A$2:$A$1032,0))</f>
        <v>#N/A</v>
      </c>
      <c r="R446" t="e">
        <f>INDEX(Items!D$2:D$1032,MATCH($O446,Items!$A$2:$A$1032,0))</f>
        <v>#N/A</v>
      </c>
    </row>
    <row r="447" spans="1:18" x14ac:dyDescent="0.25">
      <c r="A447">
        <f t="shared" si="32"/>
        <v>1</v>
      </c>
      <c r="B447" t="str">
        <f t="shared" si="33"/>
        <v/>
      </c>
      <c r="C447">
        <f t="shared" si="35"/>
        <v>1</v>
      </c>
      <c r="D447" s="4"/>
      <c r="E447" t="s">
        <v>18</v>
      </c>
      <c r="F447" t="str">
        <f>INDEX(Establishment!B$2:B$1005,MATCH($E447,Establishment!$A$2:$A$1005,0))</f>
        <v xml:space="preserve"> </v>
      </c>
      <c r="G447" t="str">
        <f>INDEX(Establishment!C$2:C$1005,MATCH($E447,Establishment!$A$2:$A$1005,0))</f>
        <v xml:space="preserve"> </v>
      </c>
      <c r="M447">
        <f t="shared" si="36"/>
        <v>0</v>
      </c>
      <c r="N447">
        <f t="shared" si="34"/>
        <v>0</v>
      </c>
      <c r="P447" t="e">
        <f>INDEX(Items!B$2:B$1032,MATCH($O447,Items!$A$2:$A$1032,0))</f>
        <v>#N/A</v>
      </c>
      <c r="Q447" t="e">
        <f>INDEX(Items!C$2:C$1032,MATCH($O447,Items!$A$2:$A$1032,0))</f>
        <v>#N/A</v>
      </c>
      <c r="R447" t="e">
        <f>INDEX(Items!D$2:D$1032,MATCH($O447,Items!$A$2:$A$1032,0))</f>
        <v>#N/A</v>
      </c>
    </row>
    <row r="448" spans="1:18" x14ac:dyDescent="0.25">
      <c r="A448">
        <f t="shared" si="32"/>
        <v>1</v>
      </c>
      <c r="B448" t="str">
        <f t="shared" si="33"/>
        <v/>
      </c>
      <c r="C448">
        <f t="shared" si="35"/>
        <v>1</v>
      </c>
      <c r="D448" s="4"/>
      <c r="E448" t="s">
        <v>18</v>
      </c>
      <c r="F448" t="str">
        <f>INDEX(Establishment!B$2:B$1005,MATCH($E448,Establishment!$A$2:$A$1005,0))</f>
        <v xml:space="preserve"> </v>
      </c>
      <c r="G448" t="str">
        <f>INDEX(Establishment!C$2:C$1005,MATCH($E448,Establishment!$A$2:$A$1005,0))</f>
        <v xml:space="preserve"> </v>
      </c>
      <c r="M448">
        <f t="shared" si="36"/>
        <v>0</v>
      </c>
      <c r="N448">
        <f t="shared" si="34"/>
        <v>0</v>
      </c>
      <c r="P448" t="e">
        <f>INDEX(Items!B$2:B$1032,MATCH($O448,Items!$A$2:$A$1032,0))</f>
        <v>#N/A</v>
      </c>
      <c r="Q448" t="e">
        <f>INDEX(Items!C$2:C$1032,MATCH($O448,Items!$A$2:$A$1032,0))</f>
        <v>#N/A</v>
      </c>
      <c r="R448" t="e">
        <f>INDEX(Items!D$2:D$1032,MATCH($O448,Items!$A$2:$A$1032,0))</f>
        <v>#N/A</v>
      </c>
    </row>
    <row r="449" spans="1:18" x14ac:dyDescent="0.25">
      <c r="A449">
        <f t="shared" si="32"/>
        <v>1</v>
      </c>
      <c r="B449" t="str">
        <f t="shared" si="33"/>
        <v/>
      </c>
      <c r="C449">
        <f t="shared" si="35"/>
        <v>1</v>
      </c>
      <c r="D449" s="4"/>
      <c r="E449" t="s">
        <v>18</v>
      </c>
      <c r="F449" t="str">
        <f>INDEX(Establishment!B$2:B$1005,MATCH($E449,Establishment!$A$2:$A$1005,0))</f>
        <v xml:space="preserve"> </v>
      </c>
      <c r="G449" t="str">
        <f>INDEX(Establishment!C$2:C$1005,MATCH($E449,Establishment!$A$2:$A$1005,0))</f>
        <v xml:space="preserve"> </v>
      </c>
      <c r="M449">
        <f t="shared" si="36"/>
        <v>0</v>
      </c>
      <c r="N449">
        <f t="shared" si="34"/>
        <v>0</v>
      </c>
      <c r="P449" t="e">
        <f>INDEX(Items!B$2:B$1032,MATCH($O449,Items!$A$2:$A$1032,0))</f>
        <v>#N/A</v>
      </c>
      <c r="Q449" t="e">
        <f>INDEX(Items!C$2:C$1032,MATCH($O449,Items!$A$2:$A$1032,0))</f>
        <v>#N/A</v>
      </c>
      <c r="R449" t="e">
        <f>INDEX(Items!D$2:D$1032,MATCH($O449,Items!$A$2:$A$1032,0))</f>
        <v>#N/A</v>
      </c>
    </row>
    <row r="450" spans="1:18" x14ac:dyDescent="0.25">
      <c r="A450">
        <f t="shared" ref="A450:A499" si="37">IF(OR(D450&lt;&gt;D449,D450=""),1,IF(NOT(AND(E450=E449,F450=F449,G450=G449)),A449+1,IF(OR(H450="",AND(H450&lt;&gt;"",H450&lt;&gt;H449,H449&lt;&gt;"")),A449,A449+1)))</f>
        <v>1</v>
      </c>
      <c r="B450" t="str">
        <f t="shared" ref="B450:B499" si="38">IF(D450&lt;&gt;"",TEXT(D450,"YYYYMMDD")&amp;CHAR(64+A450),"")</f>
        <v/>
      </c>
      <c r="C450">
        <f t="shared" si="35"/>
        <v>1</v>
      </c>
      <c r="D450" s="4"/>
      <c r="E450" t="s">
        <v>18</v>
      </c>
      <c r="F450" t="str">
        <f>INDEX(Establishment!B$2:B$1005,MATCH($E450,Establishment!$A$2:$A$1005,0))</f>
        <v xml:space="preserve"> </v>
      </c>
      <c r="G450" t="str">
        <f>INDEX(Establishment!C$2:C$1005,MATCH($E450,Establishment!$A$2:$A$1005,0))</f>
        <v xml:space="preserve"> </v>
      </c>
      <c r="M450">
        <f t="shared" si="36"/>
        <v>0</v>
      </c>
      <c r="N450">
        <f t="shared" si="34"/>
        <v>0</v>
      </c>
      <c r="P450" t="e">
        <f>INDEX(Items!B$2:B$1032,MATCH($O450,Items!$A$2:$A$1032,0))</f>
        <v>#N/A</v>
      </c>
      <c r="Q450" t="e">
        <f>INDEX(Items!C$2:C$1032,MATCH($O450,Items!$A$2:$A$1032,0))</f>
        <v>#N/A</v>
      </c>
      <c r="R450" t="e">
        <f>INDEX(Items!D$2:D$1032,MATCH($O450,Items!$A$2:$A$1032,0))</f>
        <v>#N/A</v>
      </c>
    </row>
    <row r="451" spans="1:18" x14ac:dyDescent="0.25">
      <c r="A451">
        <f t="shared" si="37"/>
        <v>1</v>
      </c>
      <c r="B451" t="str">
        <f t="shared" si="38"/>
        <v/>
      </c>
      <c r="C451">
        <f t="shared" si="35"/>
        <v>1</v>
      </c>
      <c r="D451" s="4"/>
      <c r="E451" t="s">
        <v>18</v>
      </c>
      <c r="F451" t="str">
        <f>INDEX(Establishment!B$2:B$1005,MATCH($E451,Establishment!$A$2:$A$1005,0))</f>
        <v xml:space="preserve"> </v>
      </c>
      <c r="G451" t="str">
        <f>INDEX(Establishment!C$2:C$1005,MATCH($E451,Establishment!$A$2:$A$1005,0))</f>
        <v xml:space="preserve"> </v>
      </c>
      <c r="M451">
        <f t="shared" si="36"/>
        <v>0</v>
      </c>
      <c r="N451">
        <f t="shared" ref="N451:N499" si="39">IF(B451=B450,N450+M451,M451)</f>
        <v>0</v>
      </c>
      <c r="P451" t="e">
        <f>INDEX(Items!B$2:B$1032,MATCH($O451,Items!$A$2:$A$1032,0))</f>
        <v>#N/A</v>
      </c>
      <c r="Q451" t="e">
        <f>INDEX(Items!C$2:C$1032,MATCH($O451,Items!$A$2:$A$1032,0))</f>
        <v>#N/A</v>
      </c>
      <c r="R451" t="e">
        <f>INDEX(Items!D$2:D$1032,MATCH($O451,Items!$A$2:$A$1032,0))</f>
        <v>#N/A</v>
      </c>
    </row>
    <row r="452" spans="1:18" x14ac:dyDescent="0.25">
      <c r="A452">
        <f t="shared" si="37"/>
        <v>1</v>
      </c>
      <c r="B452" t="str">
        <f t="shared" si="38"/>
        <v/>
      </c>
      <c r="C452">
        <f t="shared" si="35"/>
        <v>1</v>
      </c>
      <c r="D452" s="4"/>
      <c r="E452" t="s">
        <v>18</v>
      </c>
      <c r="F452" t="str">
        <f>INDEX(Establishment!B$2:B$1005,MATCH($E452,Establishment!$A$2:$A$1005,0))</f>
        <v xml:space="preserve"> </v>
      </c>
      <c r="G452" t="str">
        <f>INDEX(Establishment!C$2:C$1005,MATCH($E452,Establishment!$A$2:$A$1005,0))</f>
        <v xml:space="preserve"> </v>
      </c>
      <c r="M452">
        <f t="shared" si="36"/>
        <v>0</v>
      </c>
      <c r="N452">
        <f t="shared" si="39"/>
        <v>0</v>
      </c>
      <c r="P452" t="e">
        <f>INDEX(Items!B$2:B$1032,MATCH($O452,Items!$A$2:$A$1032,0))</f>
        <v>#N/A</v>
      </c>
      <c r="Q452" t="e">
        <f>INDEX(Items!C$2:C$1032,MATCH($O452,Items!$A$2:$A$1032,0))</f>
        <v>#N/A</v>
      </c>
      <c r="R452" t="e">
        <f>INDEX(Items!D$2:D$1032,MATCH($O452,Items!$A$2:$A$1032,0))</f>
        <v>#N/A</v>
      </c>
    </row>
    <row r="453" spans="1:18" x14ac:dyDescent="0.25">
      <c r="A453">
        <f t="shared" si="37"/>
        <v>1</v>
      </c>
      <c r="B453" t="str">
        <f t="shared" si="38"/>
        <v/>
      </c>
      <c r="C453">
        <f t="shared" si="35"/>
        <v>1</v>
      </c>
      <c r="D453" s="4"/>
      <c r="E453" t="s">
        <v>18</v>
      </c>
      <c r="F453" t="str">
        <f>INDEX(Establishment!B$2:B$1005,MATCH($E453,Establishment!$A$2:$A$1005,0))</f>
        <v xml:space="preserve"> </v>
      </c>
      <c r="G453" t="str">
        <f>INDEX(Establishment!C$2:C$1005,MATCH($E453,Establishment!$A$2:$A$1005,0))</f>
        <v xml:space="preserve"> </v>
      </c>
      <c r="M453">
        <f t="shared" si="36"/>
        <v>0</v>
      </c>
      <c r="N453">
        <f t="shared" si="39"/>
        <v>0</v>
      </c>
      <c r="P453" t="e">
        <f>INDEX(Items!B$2:B$1032,MATCH($O453,Items!$A$2:$A$1032,0))</f>
        <v>#N/A</v>
      </c>
      <c r="Q453" t="e">
        <f>INDEX(Items!C$2:C$1032,MATCH($O453,Items!$A$2:$A$1032,0))</f>
        <v>#N/A</v>
      </c>
      <c r="R453" t="e">
        <f>INDEX(Items!D$2:D$1032,MATCH($O453,Items!$A$2:$A$1032,0))</f>
        <v>#N/A</v>
      </c>
    </row>
    <row r="454" spans="1:18" x14ac:dyDescent="0.25">
      <c r="A454">
        <f t="shared" si="37"/>
        <v>1</v>
      </c>
      <c r="B454" t="str">
        <f t="shared" si="38"/>
        <v/>
      </c>
      <c r="C454">
        <f t="shared" si="35"/>
        <v>1</v>
      </c>
      <c r="D454" s="4"/>
      <c r="E454" t="s">
        <v>18</v>
      </c>
      <c r="F454" t="str">
        <f>INDEX(Establishment!B$2:B$1005,MATCH($E454,Establishment!$A$2:$A$1005,0))</f>
        <v xml:space="preserve"> </v>
      </c>
      <c r="G454" t="str">
        <f>INDEX(Establishment!C$2:C$1005,MATCH($E454,Establishment!$A$2:$A$1005,0))</f>
        <v xml:space="preserve"> </v>
      </c>
      <c r="M454">
        <f t="shared" si="36"/>
        <v>0</v>
      </c>
      <c r="N454">
        <f t="shared" si="39"/>
        <v>0</v>
      </c>
      <c r="P454" t="e">
        <f>INDEX(Items!B$2:B$1032,MATCH($O454,Items!$A$2:$A$1032,0))</f>
        <v>#N/A</v>
      </c>
      <c r="Q454" t="e">
        <f>INDEX(Items!C$2:C$1032,MATCH($O454,Items!$A$2:$A$1032,0))</f>
        <v>#N/A</v>
      </c>
      <c r="R454" t="e">
        <f>INDEX(Items!D$2:D$1032,MATCH($O454,Items!$A$2:$A$1032,0))</f>
        <v>#N/A</v>
      </c>
    </row>
    <row r="455" spans="1:18" x14ac:dyDescent="0.25">
      <c r="A455">
        <f t="shared" si="37"/>
        <v>1</v>
      </c>
      <c r="B455" t="str">
        <f t="shared" si="38"/>
        <v/>
      </c>
      <c r="C455">
        <f t="shared" si="35"/>
        <v>1</v>
      </c>
      <c r="D455" s="4"/>
      <c r="E455" t="s">
        <v>18</v>
      </c>
      <c r="F455" t="str">
        <f>INDEX(Establishment!B$2:B$1005,MATCH($E455,Establishment!$A$2:$A$1005,0))</f>
        <v xml:space="preserve"> </v>
      </c>
      <c r="G455" t="str">
        <f>INDEX(Establishment!C$2:C$1005,MATCH($E455,Establishment!$A$2:$A$1005,0))</f>
        <v xml:space="preserve"> </v>
      </c>
      <c r="M455">
        <f t="shared" si="36"/>
        <v>0</v>
      </c>
      <c r="N455">
        <f t="shared" si="39"/>
        <v>0</v>
      </c>
      <c r="P455" t="e">
        <f>INDEX(Items!B$2:B$1032,MATCH($O455,Items!$A$2:$A$1032,0))</f>
        <v>#N/A</v>
      </c>
      <c r="Q455" t="e">
        <f>INDEX(Items!C$2:C$1032,MATCH($O455,Items!$A$2:$A$1032,0))</f>
        <v>#N/A</v>
      </c>
      <c r="R455" t="e">
        <f>INDEX(Items!D$2:D$1032,MATCH($O455,Items!$A$2:$A$1032,0))</f>
        <v>#N/A</v>
      </c>
    </row>
    <row r="456" spans="1:18" x14ac:dyDescent="0.25">
      <c r="A456">
        <f t="shared" si="37"/>
        <v>1</v>
      </c>
      <c r="B456" t="str">
        <f t="shared" si="38"/>
        <v/>
      </c>
      <c r="C456">
        <f t="shared" si="35"/>
        <v>1</v>
      </c>
      <c r="D456" s="4"/>
      <c r="E456" t="s">
        <v>18</v>
      </c>
      <c r="F456" t="str">
        <f>INDEX(Establishment!B$2:B$1005,MATCH($E456,Establishment!$A$2:$A$1005,0))</f>
        <v xml:space="preserve"> </v>
      </c>
      <c r="G456" t="str">
        <f>INDEX(Establishment!C$2:C$1005,MATCH($E456,Establishment!$A$2:$A$1005,0))</f>
        <v xml:space="preserve"> </v>
      </c>
      <c r="M456">
        <f t="shared" si="36"/>
        <v>0</v>
      </c>
      <c r="N456">
        <f t="shared" si="39"/>
        <v>0</v>
      </c>
      <c r="P456" t="e">
        <f>INDEX(Items!B$2:B$1032,MATCH($O456,Items!$A$2:$A$1032,0))</f>
        <v>#N/A</v>
      </c>
      <c r="Q456" t="e">
        <f>INDEX(Items!C$2:C$1032,MATCH($O456,Items!$A$2:$A$1032,0))</f>
        <v>#N/A</v>
      </c>
      <c r="R456" t="e">
        <f>INDEX(Items!D$2:D$1032,MATCH($O456,Items!$A$2:$A$1032,0))</f>
        <v>#N/A</v>
      </c>
    </row>
    <row r="457" spans="1:18" x14ac:dyDescent="0.25">
      <c r="A457">
        <f t="shared" si="37"/>
        <v>1</v>
      </c>
      <c r="B457" t="str">
        <f t="shared" si="38"/>
        <v/>
      </c>
      <c r="C457">
        <f t="shared" si="35"/>
        <v>1</v>
      </c>
      <c r="D457" s="4"/>
      <c r="E457" t="s">
        <v>18</v>
      </c>
      <c r="F457" t="str">
        <f>INDEX(Establishment!B$2:B$1005,MATCH($E457,Establishment!$A$2:$A$1005,0))</f>
        <v xml:space="preserve"> </v>
      </c>
      <c r="G457" t="str">
        <f>INDEX(Establishment!C$2:C$1005,MATCH($E457,Establishment!$A$2:$A$1005,0))</f>
        <v xml:space="preserve"> </v>
      </c>
      <c r="M457">
        <f t="shared" si="36"/>
        <v>0</v>
      </c>
      <c r="N457">
        <f t="shared" si="39"/>
        <v>0</v>
      </c>
      <c r="P457" t="e">
        <f>INDEX(Items!B$2:B$1032,MATCH($O457,Items!$A$2:$A$1032,0))</f>
        <v>#N/A</v>
      </c>
      <c r="Q457" t="e">
        <f>INDEX(Items!C$2:C$1032,MATCH($O457,Items!$A$2:$A$1032,0))</f>
        <v>#N/A</v>
      </c>
      <c r="R457" t="e">
        <f>INDEX(Items!D$2:D$1032,MATCH($O457,Items!$A$2:$A$1032,0))</f>
        <v>#N/A</v>
      </c>
    </row>
    <row r="458" spans="1:18" x14ac:dyDescent="0.25">
      <c r="A458">
        <f t="shared" si="37"/>
        <v>1</v>
      </c>
      <c r="B458" t="str">
        <f t="shared" si="38"/>
        <v/>
      </c>
      <c r="C458">
        <f t="shared" ref="C458:C499" si="40">IF(OR(B458="",B458&lt;&gt;B457),1,C457+1)</f>
        <v>1</v>
      </c>
      <c r="D458" s="4"/>
      <c r="E458" t="s">
        <v>18</v>
      </c>
      <c r="F458" t="str">
        <f>INDEX(Establishment!B$2:B$1005,MATCH($E458,Establishment!$A$2:$A$1005,0))</f>
        <v xml:space="preserve"> </v>
      </c>
      <c r="G458" t="str">
        <f>INDEX(Establishment!C$2:C$1005,MATCH($E458,Establishment!$A$2:$A$1005,0))</f>
        <v xml:space="preserve"> </v>
      </c>
      <c r="M458">
        <f t="shared" ref="M458:M499" si="41">K458*L458</f>
        <v>0</v>
      </c>
      <c r="N458">
        <f t="shared" si="39"/>
        <v>0</v>
      </c>
      <c r="P458" t="e">
        <f>INDEX(Items!B$2:B$1032,MATCH($O458,Items!$A$2:$A$1032,0))</f>
        <v>#N/A</v>
      </c>
      <c r="Q458" t="e">
        <f>INDEX(Items!C$2:C$1032,MATCH($O458,Items!$A$2:$A$1032,0))</f>
        <v>#N/A</v>
      </c>
      <c r="R458" t="e">
        <f>INDEX(Items!D$2:D$1032,MATCH($O458,Items!$A$2:$A$1032,0))</f>
        <v>#N/A</v>
      </c>
    </row>
    <row r="459" spans="1:18" x14ac:dyDescent="0.25">
      <c r="A459">
        <f t="shared" si="37"/>
        <v>1</v>
      </c>
      <c r="B459" t="str">
        <f t="shared" si="38"/>
        <v/>
      </c>
      <c r="C459">
        <f t="shared" si="40"/>
        <v>1</v>
      </c>
      <c r="D459" s="4"/>
      <c r="E459" t="s">
        <v>18</v>
      </c>
      <c r="F459" t="str">
        <f>INDEX(Establishment!B$2:B$1005,MATCH($E459,Establishment!$A$2:$A$1005,0))</f>
        <v xml:space="preserve"> </v>
      </c>
      <c r="G459" t="str">
        <f>INDEX(Establishment!C$2:C$1005,MATCH($E459,Establishment!$A$2:$A$1005,0))</f>
        <v xml:space="preserve"> </v>
      </c>
      <c r="M459">
        <f t="shared" si="41"/>
        <v>0</v>
      </c>
      <c r="N459">
        <f t="shared" si="39"/>
        <v>0</v>
      </c>
      <c r="P459" t="e">
        <f>INDEX(Items!B$2:B$1032,MATCH($O459,Items!$A$2:$A$1032,0))</f>
        <v>#N/A</v>
      </c>
      <c r="Q459" t="e">
        <f>INDEX(Items!C$2:C$1032,MATCH($O459,Items!$A$2:$A$1032,0))</f>
        <v>#N/A</v>
      </c>
      <c r="R459" t="e">
        <f>INDEX(Items!D$2:D$1032,MATCH($O459,Items!$A$2:$A$1032,0))</f>
        <v>#N/A</v>
      </c>
    </row>
    <row r="460" spans="1:18" x14ac:dyDescent="0.25">
      <c r="A460">
        <f t="shared" si="37"/>
        <v>1</v>
      </c>
      <c r="B460" t="str">
        <f t="shared" si="38"/>
        <v/>
      </c>
      <c r="C460">
        <f t="shared" si="40"/>
        <v>1</v>
      </c>
      <c r="D460" s="4"/>
      <c r="E460" t="s">
        <v>18</v>
      </c>
      <c r="F460" t="str">
        <f>INDEX(Establishment!B$2:B$1005,MATCH($E460,Establishment!$A$2:$A$1005,0))</f>
        <v xml:space="preserve"> </v>
      </c>
      <c r="G460" t="str">
        <f>INDEX(Establishment!C$2:C$1005,MATCH($E460,Establishment!$A$2:$A$1005,0))</f>
        <v xml:space="preserve"> </v>
      </c>
      <c r="M460">
        <f t="shared" si="41"/>
        <v>0</v>
      </c>
      <c r="N460">
        <f t="shared" si="39"/>
        <v>0</v>
      </c>
      <c r="P460" t="e">
        <f>INDEX(Items!B$2:B$1032,MATCH($O460,Items!$A$2:$A$1032,0))</f>
        <v>#N/A</v>
      </c>
      <c r="Q460" t="e">
        <f>INDEX(Items!C$2:C$1032,MATCH($O460,Items!$A$2:$A$1032,0))</f>
        <v>#N/A</v>
      </c>
      <c r="R460" t="e">
        <f>INDEX(Items!D$2:D$1032,MATCH($O460,Items!$A$2:$A$1032,0))</f>
        <v>#N/A</v>
      </c>
    </row>
    <row r="461" spans="1:18" x14ac:dyDescent="0.25">
      <c r="A461">
        <f t="shared" si="37"/>
        <v>1</v>
      </c>
      <c r="B461" t="str">
        <f t="shared" si="38"/>
        <v/>
      </c>
      <c r="C461">
        <f t="shared" si="40"/>
        <v>1</v>
      </c>
      <c r="D461" s="4"/>
      <c r="E461" t="s">
        <v>18</v>
      </c>
      <c r="F461" t="str">
        <f>INDEX(Establishment!B$2:B$1005,MATCH($E461,Establishment!$A$2:$A$1005,0))</f>
        <v xml:space="preserve"> </v>
      </c>
      <c r="G461" t="str">
        <f>INDEX(Establishment!C$2:C$1005,MATCH($E461,Establishment!$A$2:$A$1005,0))</f>
        <v xml:space="preserve"> </v>
      </c>
      <c r="M461">
        <f t="shared" si="41"/>
        <v>0</v>
      </c>
      <c r="N461">
        <f t="shared" si="39"/>
        <v>0</v>
      </c>
      <c r="P461" t="e">
        <f>INDEX(Items!B$2:B$1032,MATCH($O461,Items!$A$2:$A$1032,0))</f>
        <v>#N/A</v>
      </c>
      <c r="Q461" t="e">
        <f>INDEX(Items!C$2:C$1032,MATCH($O461,Items!$A$2:$A$1032,0))</f>
        <v>#N/A</v>
      </c>
      <c r="R461" t="e">
        <f>INDEX(Items!D$2:D$1032,MATCH($O461,Items!$A$2:$A$1032,0))</f>
        <v>#N/A</v>
      </c>
    </row>
    <row r="462" spans="1:18" x14ac:dyDescent="0.25">
      <c r="A462">
        <f t="shared" si="37"/>
        <v>1</v>
      </c>
      <c r="B462" t="str">
        <f t="shared" si="38"/>
        <v/>
      </c>
      <c r="C462">
        <f t="shared" si="40"/>
        <v>1</v>
      </c>
      <c r="D462" s="4"/>
      <c r="E462" t="s">
        <v>18</v>
      </c>
      <c r="F462" t="str">
        <f>INDEX(Establishment!B$2:B$1005,MATCH($E462,Establishment!$A$2:$A$1005,0))</f>
        <v xml:space="preserve"> </v>
      </c>
      <c r="G462" t="str">
        <f>INDEX(Establishment!C$2:C$1005,MATCH($E462,Establishment!$A$2:$A$1005,0))</f>
        <v xml:space="preserve"> </v>
      </c>
      <c r="M462">
        <f t="shared" si="41"/>
        <v>0</v>
      </c>
      <c r="N462">
        <f t="shared" si="39"/>
        <v>0</v>
      </c>
      <c r="P462" t="e">
        <f>INDEX(Items!B$2:B$1032,MATCH($O462,Items!$A$2:$A$1032,0))</f>
        <v>#N/A</v>
      </c>
      <c r="Q462" t="e">
        <f>INDEX(Items!C$2:C$1032,MATCH($O462,Items!$A$2:$A$1032,0))</f>
        <v>#N/A</v>
      </c>
      <c r="R462" t="e">
        <f>INDEX(Items!D$2:D$1032,MATCH($O462,Items!$A$2:$A$1032,0))</f>
        <v>#N/A</v>
      </c>
    </row>
    <row r="463" spans="1:18" x14ac:dyDescent="0.25">
      <c r="A463">
        <f t="shared" si="37"/>
        <v>1</v>
      </c>
      <c r="B463" t="str">
        <f t="shared" si="38"/>
        <v/>
      </c>
      <c r="C463">
        <f t="shared" si="40"/>
        <v>1</v>
      </c>
      <c r="D463" s="4"/>
      <c r="E463" t="s">
        <v>18</v>
      </c>
      <c r="F463" t="str">
        <f>INDEX(Establishment!B$2:B$1005,MATCH($E463,Establishment!$A$2:$A$1005,0))</f>
        <v xml:space="preserve"> </v>
      </c>
      <c r="G463" t="str">
        <f>INDEX(Establishment!C$2:C$1005,MATCH($E463,Establishment!$A$2:$A$1005,0))</f>
        <v xml:space="preserve"> </v>
      </c>
      <c r="M463">
        <f t="shared" si="41"/>
        <v>0</v>
      </c>
      <c r="N463">
        <f t="shared" si="39"/>
        <v>0</v>
      </c>
      <c r="P463" t="e">
        <f>INDEX(Items!B$2:B$1032,MATCH($O463,Items!$A$2:$A$1032,0))</f>
        <v>#N/A</v>
      </c>
      <c r="Q463" t="e">
        <f>INDEX(Items!C$2:C$1032,MATCH($O463,Items!$A$2:$A$1032,0))</f>
        <v>#N/A</v>
      </c>
      <c r="R463" t="e">
        <f>INDEX(Items!D$2:D$1032,MATCH($O463,Items!$A$2:$A$1032,0))</f>
        <v>#N/A</v>
      </c>
    </row>
    <row r="464" spans="1:18" x14ac:dyDescent="0.25">
      <c r="A464">
        <f t="shared" si="37"/>
        <v>1</v>
      </c>
      <c r="B464" t="str">
        <f t="shared" si="38"/>
        <v/>
      </c>
      <c r="C464">
        <f t="shared" si="40"/>
        <v>1</v>
      </c>
      <c r="D464" s="4"/>
      <c r="E464" t="s">
        <v>18</v>
      </c>
      <c r="F464" t="str">
        <f>INDEX(Establishment!B$2:B$1005,MATCH($E464,Establishment!$A$2:$A$1005,0))</f>
        <v xml:space="preserve"> </v>
      </c>
      <c r="G464" t="str">
        <f>INDEX(Establishment!C$2:C$1005,MATCH($E464,Establishment!$A$2:$A$1005,0))</f>
        <v xml:space="preserve"> </v>
      </c>
      <c r="M464">
        <f t="shared" si="41"/>
        <v>0</v>
      </c>
      <c r="N464">
        <f t="shared" si="39"/>
        <v>0</v>
      </c>
      <c r="P464" t="e">
        <f>INDEX(Items!B$2:B$1032,MATCH($O464,Items!$A$2:$A$1032,0))</f>
        <v>#N/A</v>
      </c>
      <c r="Q464" t="e">
        <f>INDEX(Items!C$2:C$1032,MATCH($O464,Items!$A$2:$A$1032,0))</f>
        <v>#N/A</v>
      </c>
      <c r="R464" t="e">
        <f>INDEX(Items!D$2:D$1032,MATCH($O464,Items!$A$2:$A$1032,0))</f>
        <v>#N/A</v>
      </c>
    </row>
    <row r="465" spans="1:18" x14ac:dyDescent="0.25">
      <c r="A465">
        <f t="shared" si="37"/>
        <v>1</v>
      </c>
      <c r="B465" t="str">
        <f t="shared" si="38"/>
        <v/>
      </c>
      <c r="C465">
        <f t="shared" si="40"/>
        <v>1</v>
      </c>
      <c r="D465" s="4"/>
      <c r="E465" t="s">
        <v>18</v>
      </c>
      <c r="F465" t="str">
        <f>INDEX(Establishment!B$2:B$1005,MATCH($E465,Establishment!$A$2:$A$1005,0))</f>
        <v xml:space="preserve"> </v>
      </c>
      <c r="G465" t="str">
        <f>INDEX(Establishment!C$2:C$1005,MATCH($E465,Establishment!$A$2:$A$1005,0))</f>
        <v xml:space="preserve"> </v>
      </c>
      <c r="M465">
        <f t="shared" si="41"/>
        <v>0</v>
      </c>
      <c r="N465">
        <f t="shared" si="39"/>
        <v>0</v>
      </c>
      <c r="P465" t="e">
        <f>INDEX(Items!B$2:B$1032,MATCH($O465,Items!$A$2:$A$1032,0))</f>
        <v>#N/A</v>
      </c>
      <c r="Q465" t="e">
        <f>INDEX(Items!C$2:C$1032,MATCH($O465,Items!$A$2:$A$1032,0))</f>
        <v>#N/A</v>
      </c>
      <c r="R465" t="e">
        <f>INDEX(Items!D$2:D$1032,MATCH($O465,Items!$A$2:$A$1032,0))</f>
        <v>#N/A</v>
      </c>
    </row>
    <row r="466" spans="1:18" x14ac:dyDescent="0.25">
      <c r="A466">
        <f t="shared" si="37"/>
        <v>1</v>
      </c>
      <c r="B466" t="str">
        <f t="shared" si="38"/>
        <v/>
      </c>
      <c r="C466">
        <f t="shared" si="40"/>
        <v>1</v>
      </c>
      <c r="D466" s="4"/>
      <c r="E466" t="s">
        <v>18</v>
      </c>
      <c r="F466" t="str">
        <f>INDEX(Establishment!B$2:B$1005,MATCH($E466,Establishment!$A$2:$A$1005,0))</f>
        <v xml:space="preserve"> </v>
      </c>
      <c r="G466" t="str">
        <f>INDEX(Establishment!C$2:C$1005,MATCH($E466,Establishment!$A$2:$A$1005,0))</f>
        <v xml:space="preserve"> </v>
      </c>
      <c r="M466">
        <f t="shared" si="41"/>
        <v>0</v>
      </c>
      <c r="N466">
        <f t="shared" si="39"/>
        <v>0</v>
      </c>
      <c r="P466" t="e">
        <f>INDEX(Items!B$2:B$1032,MATCH($O466,Items!$A$2:$A$1032,0))</f>
        <v>#N/A</v>
      </c>
      <c r="Q466" t="e">
        <f>INDEX(Items!C$2:C$1032,MATCH($O466,Items!$A$2:$A$1032,0))</f>
        <v>#N/A</v>
      </c>
      <c r="R466" t="e">
        <f>INDEX(Items!D$2:D$1032,MATCH($O466,Items!$A$2:$A$1032,0))</f>
        <v>#N/A</v>
      </c>
    </row>
    <row r="467" spans="1:18" x14ac:dyDescent="0.25">
      <c r="A467">
        <f t="shared" si="37"/>
        <v>1</v>
      </c>
      <c r="B467" t="str">
        <f t="shared" si="38"/>
        <v/>
      </c>
      <c r="C467">
        <f t="shared" si="40"/>
        <v>1</v>
      </c>
      <c r="D467" s="4"/>
      <c r="E467" t="s">
        <v>18</v>
      </c>
      <c r="F467" t="str">
        <f>INDEX(Establishment!B$2:B$1005,MATCH($E467,Establishment!$A$2:$A$1005,0))</f>
        <v xml:space="preserve"> </v>
      </c>
      <c r="G467" t="str">
        <f>INDEX(Establishment!C$2:C$1005,MATCH($E467,Establishment!$A$2:$A$1005,0))</f>
        <v xml:space="preserve"> </v>
      </c>
      <c r="M467">
        <f t="shared" si="41"/>
        <v>0</v>
      </c>
      <c r="N467">
        <f t="shared" si="39"/>
        <v>0</v>
      </c>
      <c r="P467" t="e">
        <f>INDEX(Items!B$2:B$1032,MATCH($O467,Items!$A$2:$A$1032,0))</f>
        <v>#N/A</v>
      </c>
      <c r="Q467" t="e">
        <f>INDEX(Items!C$2:C$1032,MATCH($O467,Items!$A$2:$A$1032,0))</f>
        <v>#N/A</v>
      </c>
      <c r="R467" t="e">
        <f>INDEX(Items!D$2:D$1032,MATCH($O467,Items!$A$2:$A$1032,0))</f>
        <v>#N/A</v>
      </c>
    </row>
    <row r="468" spans="1:18" x14ac:dyDescent="0.25">
      <c r="A468">
        <f t="shared" si="37"/>
        <v>1</v>
      </c>
      <c r="B468" t="str">
        <f t="shared" si="38"/>
        <v/>
      </c>
      <c r="C468">
        <f t="shared" si="40"/>
        <v>1</v>
      </c>
      <c r="D468" s="4"/>
      <c r="E468" t="s">
        <v>18</v>
      </c>
      <c r="F468" t="str">
        <f>INDEX(Establishment!B$2:B$1005,MATCH($E468,Establishment!$A$2:$A$1005,0))</f>
        <v xml:space="preserve"> </v>
      </c>
      <c r="G468" t="str">
        <f>INDEX(Establishment!C$2:C$1005,MATCH($E468,Establishment!$A$2:$A$1005,0))</f>
        <v xml:space="preserve"> </v>
      </c>
      <c r="M468">
        <f t="shared" si="41"/>
        <v>0</v>
      </c>
      <c r="N468">
        <f t="shared" si="39"/>
        <v>0</v>
      </c>
      <c r="P468" t="e">
        <f>INDEX(Items!B$2:B$1032,MATCH($O468,Items!$A$2:$A$1032,0))</f>
        <v>#N/A</v>
      </c>
      <c r="Q468" t="e">
        <f>INDEX(Items!C$2:C$1032,MATCH($O468,Items!$A$2:$A$1032,0))</f>
        <v>#N/A</v>
      </c>
      <c r="R468" t="e">
        <f>INDEX(Items!D$2:D$1032,MATCH($O468,Items!$A$2:$A$1032,0))</f>
        <v>#N/A</v>
      </c>
    </row>
    <row r="469" spans="1:18" x14ac:dyDescent="0.25">
      <c r="A469">
        <f t="shared" si="37"/>
        <v>1</v>
      </c>
      <c r="B469" t="str">
        <f t="shared" si="38"/>
        <v/>
      </c>
      <c r="C469">
        <f t="shared" si="40"/>
        <v>1</v>
      </c>
      <c r="D469" s="4"/>
      <c r="E469" t="s">
        <v>18</v>
      </c>
      <c r="F469" t="str">
        <f>INDEX(Establishment!B$2:B$1005,MATCH($E469,Establishment!$A$2:$A$1005,0))</f>
        <v xml:space="preserve"> </v>
      </c>
      <c r="G469" t="str">
        <f>INDEX(Establishment!C$2:C$1005,MATCH($E469,Establishment!$A$2:$A$1005,0))</f>
        <v xml:space="preserve"> </v>
      </c>
      <c r="M469">
        <f t="shared" si="41"/>
        <v>0</v>
      </c>
      <c r="N469">
        <f t="shared" si="39"/>
        <v>0</v>
      </c>
      <c r="P469" t="e">
        <f>INDEX(Items!B$2:B$1032,MATCH($O469,Items!$A$2:$A$1032,0))</f>
        <v>#N/A</v>
      </c>
      <c r="Q469" t="e">
        <f>INDEX(Items!C$2:C$1032,MATCH($O469,Items!$A$2:$A$1032,0))</f>
        <v>#N/A</v>
      </c>
      <c r="R469" t="e">
        <f>INDEX(Items!D$2:D$1032,MATCH($O469,Items!$A$2:$A$1032,0))</f>
        <v>#N/A</v>
      </c>
    </row>
    <row r="470" spans="1:18" x14ac:dyDescent="0.25">
      <c r="A470">
        <f t="shared" si="37"/>
        <v>1</v>
      </c>
      <c r="B470" t="str">
        <f t="shared" si="38"/>
        <v/>
      </c>
      <c r="C470">
        <f t="shared" si="40"/>
        <v>1</v>
      </c>
      <c r="D470" s="4"/>
      <c r="E470" t="s">
        <v>18</v>
      </c>
      <c r="F470" t="str">
        <f>INDEX(Establishment!B$2:B$1005,MATCH($E470,Establishment!$A$2:$A$1005,0))</f>
        <v xml:space="preserve"> </v>
      </c>
      <c r="G470" t="str">
        <f>INDEX(Establishment!C$2:C$1005,MATCH($E470,Establishment!$A$2:$A$1005,0))</f>
        <v xml:space="preserve"> </v>
      </c>
      <c r="M470">
        <f t="shared" si="41"/>
        <v>0</v>
      </c>
      <c r="N470">
        <f t="shared" si="39"/>
        <v>0</v>
      </c>
      <c r="P470" t="e">
        <f>INDEX(Items!B$2:B$1032,MATCH($O470,Items!$A$2:$A$1032,0))</f>
        <v>#N/A</v>
      </c>
      <c r="Q470" t="e">
        <f>INDEX(Items!C$2:C$1032,MATCH($O470,Items!$A$2:$A$1032,0))</f>
        <v>#N/A</v>
      </c>
      <c r="R470" t="e">
        <f>INDEX(Items!D$2:D$1032,MATCH($O470,Items!$A$2:$A$1032,0))</f>
        <v>#N/A</v>
      </c>
    </row>
    <row r="471" spans="1:18" x14ac:dyDescent="0.25">
      <c r="A471">
        <f t="shared" si="37"/>
        <v>1</v>
      </c>
      <c r="B471" t="str">
        <f t="shared" si="38"/>
        <v/>
      </c>
      <c r="C471">
        <f t="shared" si="40"/>
        <v>1</v>
      </c>
      <c r="D471" s="4"/>
      <c r="E471" t="s">
        <v>18</v>
      </c>
      <c r="F471" t="str">
        <f>INDEX(Establishment!B$2:B$1005,MATCH($E471,Establishment!$A$2:$A$1005,0))</f>
        <v xml:space="preserve"> </v>
      </c>
      <c r="G471" t="str">
        <f>INDEX(Establishment!C$2:C$1005,MATCH($E471,Establishment!$A$2:$A$1005,0))</f>
        <v xml:space="preserve"> </v>
      </c>
      <c r="M471">
        <f t="shared" si="41"/>
        <v>0</v>
      </c>
      <c r="N471">
        <f t="shared" si="39"/>
        <v>0</v>
      </c>
      <c r="P471" t="e">
        <f>INDEX(Items!B$2:B$1032,MATCH($O471,Items!$A$2:$A$1032,0))</f>
        <v>#N/A</v>
      </c>
      <c r="Q471" t="e">
        <f>INDEX(Items!C$2:C$1032,MATCH($O471,Items!$A$2:$A$1032,0))</f>
        <v>#N/A</v>
      </c>
      <c r="R471" t="e">
        <f>INDEX(Items!D$2:D$1032,MATCH($O471,Items!$A$2:$A$1032,0))</f>
        <v>#N/A</v>
      </c>
    </row>
    <row r="472" spans="1:18" x14ac:dyDescent="0.25">
      <c r="A472">
        <f t="shared" si="37"/>
        <v>1</v>
      </c>
      <c r="B472" t="str">
        <f t="shared" si="38"/>
        <v/>
      </c>
      <c r="C472">
        <f t="shared" si="40"/>
        <v>1</v>
      </c>
      <c r="D472" s="4"/>
      <c r="E472" t="s">
        <v>18</v>
      </c>
      <c r="F472" t="str">
        <f>INDEX(Establishment!B$2:B$1005,MATCH($E472,Establishment!$A$2:$A$1005,0))</f>
        <v xml:space="preserve"> </v>
      </c>
      <c r="G472" t="str">
        <f>INDEX(Establishment!C$2:C$1005,MATCH($E472,Establishment!$A$2:$A$1005,0))</f>
        <v xml:space="preserve"> </v>
      </c>
      <c r="M472">
        <f t="shared" si="41"/>
        <v>0</v>
      </c>
      <c r="N472">
        <f t="shared" si="39"/>
        <v>0</v>
      </c>
      <c r="P472" t="e">
        <f>INDEX(Items!B$2:B$1032,MATCH($O472,Items!$A$2:$A$1032,0))</f>
        <v>#N/A</v>
      </c>
      <c r="Q472" t="e">
        <f>INDEX(Items!C$2:C$1032,MATCH($O472,Items!$A$2:$A$1032,0))</f>
        <v>#N/A</v>
      </c>
      <c r="R472" t="e">
        <f>INDEX(Items!D$2:D$1032,MATCH($O472,Items!$A$2:$A$1032,0))</f>
        <v>#N/A</v>
      </c>
    </row>
    <row r="473" spans="1:18" x14ac:dyDescent="0.25">
      <c r="A473">
        <f t="shared" si="37"/>
        <v>1</v>
      </c>
      <c r="B473" t="str">
        <f t="shared" si="38"/>
        <v/>
      </c>
      <c r="C473">
        <f t="shared" si="40"/>
        <v>1</v>
      </c>
      <c r="D473" s="4"/>
      <c r="E473" t="s">
        <v>18</v>
      </c>
      <c r="F473" t="str">
        <f>INDEX(Establishment!B$2:B$1005,MATCH($E473,Establishment!$A$2:$A$1005,0))</f>
        <v xml:space="preserve"> </v>
      </c>
      <c r="G473" t="str">
        <f>INDEX(Establishment!C$2:C$1005,MATCH($E473,Establishment!$A$2:$A$1005,0))</f>
        <v xml:space="preserve"> </v>
      </c>
      <c r="M473">
        <f t="shared" si="41"/>
        <v>0</v>
      </c>
      <c r="N473">
        <f t="shared" si="39"/>
        <v>0</v>
      </c>
      <c r="P473" t="e">
        <f>INDEX(Items!B$2:B$1032,MATCH($O473,Items!$A$2:$A$1032,0))</f>
        <v>#N/A</v>
      </c>
      <c r="Q473" t="e">
        <f>INDEX(Items!C$2:C$1032,MATCH($O473,Items!$A$2:$A$1032,0))</f>
        <v>#N/A</v>
      </c>
      <c r="R473" t="e">
        <f>INDEX(Items!D$2:D$1032,MATCH($O473,Items!$A$2:$A$1032,0))</f>
        <v>#N/A</v>
      </c>
    </row>
    <row r="474" spans="1:18" x14ac:dyDescent="0.25">
      <c r="A474">
        <f t="shared" si="37"/>
        <v>1</v>
      </c>
      <c r="B474" t="str">
        <f t="shared" si="38"/>
        <v/>
      </c>
      <c r="C474">
        <f t="shared" si="40"/>
        <v>1</v>
      </c>
      <c r="D474" s="4"/>
      <c r="E474" t="s">
        <v>18</v>
      </c>
      <c r="F474" t="str">
        <f>INDEX(Establishment!B$2:B$1005,MATCH($E474,Establishment!$A$2:$A$1005,0))</f>
        <v xml:space="preserve"> </v>
      </c>
      <c r="G474" t="str">
        <f>INDEX(Establishment!C$2:C$1005,MATCH($E474,Establishment!$A$2:$A$1005,0))</f>
        <v xml:space="preserve"> </v>
      </c>
      <c r="M474">
        <f t="shared" si="41"/>
        <v>0</v>
      </c>
      <c r="N474">
        <f t="shared" si="39"/>
        <v>0</v>
      </c>
      <c r="P474" t="e">
        <f>INDEX(Items!B$2:B$1032,MATCH($O474,Items!$A$2:$A$1032,0))</f>
        <v>#N/A</v>
      </c>
      <c r="Q474" t="e">
        <f>INDEX(Items!C$2:C$1032,MATCH($O474,Items!$A$2:$A$1032,0))</f>
        <v>#N/A</v>
      </c>
      <c r="R474" t="e">
        <f>INDEX(Items!D$2:D$1032,MATCH($O474,Items!$A$2:$A$1032,0))</f>
        <v>#N/A</v>
      </c>
    </row>
    <row r="475" spans="1:18" x14ac:dyDescent="0.25">
      <c r="A475">
        <f t="shared" si="37"/>
        <v>1</v>
      </c>
      <c r="B475" t="str">
        <f t="shared" si="38"/>
        <v/>
      </c>
      <c r="C475">
        <f t="shared" si="40"/>
        <v>1</v>
      </c>
      <c r="D475" s="4"/>
      <c r="E475" t="s">
        <v>18</v>
      </c>
      <c r="F475" t="str">
        <f>INDEX(Establishment!B$2:B$1005,MATCH($E475,Establishment!$A$2:$A$1005,0))</f>
        <v xml:space="preserve"> </v>
      </c>
      <c r="G475" t="str">
        <f>INDEX(Establishment!C$2:C$1005,MATCH($E475,Establishment!$A$2:$A$1005,0))</f>
        <v xml:space="preserve"> </v>
      </c>
      <c r="M475">
        <f t="shared" si="41"/>
        <v>0</v>
      </c>
      <c r="N475">
        <f t="shared" si="39"/>
        <v>0</v>
      </c>
      <c r="P475" t="e">
        <f>INDEX(Items!B$2:B$1032,MATCH($O475,Items!$A$2:$A$1032,0))</f>
        <v>#N/A</v>
      </c>
      <c r="Q475" t="e">
        <f>INDEX(Items!C$2:C$1032,MATCH($O475,Items!$A$2:$A$1032,0))</f>
        <v>#N/A</v>
      </c>
      <c r="R475" t="e">
        <f>INDEX(Items!D$2:D$1032,MATCH($O475,Items!$A$2:$A$1032,0))</f>
        <v>#N/A</v>
      </c>
    </row>
    <row r="476" spans="1:18" x14ac:dyDescent="0.25">
      <c r="A476">
        <f t="shared" si="37"/>
        <v>1</v>
      </c>
      <c r="B476" t="str">
        <f t="shared" si="38"/>
        <v/>
      </c>
      <c r="C476">
        <f t="shared" si="40"/>
        <v>1</v>
      </c>
      <c r="D476" s="4"/>
      <c r="E476" t="s">
        <v>18</v>
      </c>
      <c r="F476" t="str">
        <f>INDEX(Establishment!B$2:B$1005,MATCH($E476,Establishment!$A$2:$A$1005,0))</f>
        <v xml:space="preserve"> </v>
      </c>
      <c r="G476" t="str">
        <f>INDEX(Establishment!C$2:C$1005,MATCH($E476,Establishment!$A$2:$A$1005,0))</f>
        <v xml:space="preserve"> </v>
      </c>
      <c r="M476">
        <f t="shared" si="41"/>
        <v>0</v>
      </c>
      <c r="N476">
        <f t="shared" si="39"/>
        <v>0</v>
      </c>
      <c r="P476" t="e">
        <f>INDEX(Items!B$2:B$1032,MATCH($O476,Items!$A$2:$A$1032,0))</f>
        <v>#N/A</v>
      </c>
      <c r="Q476" t="e">
        <f>INDEX(Items!C$2:C$1032,MATCH($O476,Items!$A$2:$A$1032,0))</f>
        <v>#N/A</v>
      </c>
      <c r="R476" t="e">
        <f>INDEX(Items!D$2:D$1032,MATCH($O476,Items!$A$2:$A$1032,0))</f>
        <v>#N/A</v>
      </c>
    </row>
    <row r="477" spans="1:18" x14ac:dyDescent="0.25">
      <c r="A477">
        <f t="shared" si="37"/>
        <v>1</v>
      </c>
      <c r="B477" t="str">
        <f t="shared" si="38"/>
        <v/>
      </c>
      <c r="C477">
        <f t="shared" si="40"/>
        <v>1</v>
      </c>
      <c r="D477" s="4"/>
      <c r="E477" t="s">
        <v>18</v>
      </c>
      <c r="F477" t="str">
        <f>INDEX(Establishment!B$2:B$1005,MATCH($E477,Establishment!$A$2:$A$1005,0))</f>
        <v xml:space="preserve"> </v>
      </c>
      <c r="G477" t="str">
        <f>INDEX(Establishment!C$2:C$1005,MATCH($E477,Establishment!$A$2:$A$1005,0))</f>
        <v xml:space="preserve"> </v>
      </c>
      <c r="M477">
        <f t="shared" si="41"/>
        <v>0</v>
      </c>
      <c r="N477">
        <f t="shared" si="39"/>
        <v>0</v>
      </c>
      <c r="P477" t="e">
        <f>INDEX(Items!B$2:B$1032,MATCH($O477,Items!$A$2:$A$1032,0))</f>
        <v>#N/A</v>
      </c>
      <c r="Q477" t="e">
        <f>INDEX(Items!C$2:C$1032,MATCH($O477,Items!$A$2:$A$1032,0))</f>
        <v>#N/A</v>
      </c>
      <c r="R477" t="e">
        <f>INDEX(Items!D$2:D$1032,MATCH($O477,Items!$A$2:$A$1032,0))</f>
        <v>#N/A</v>
      </c>
    </row>
    <row r="478" spans="1:18" x14ac:dyDescent="0.25">
      <c r="A478">
        <f t="shared" si="37"/>
        <v>1</v>
      </c>
      <c r="B478" t="str">
        <f t="shared" si="38"/>
        <v/>
      </c>
      <c r="C478">
        <f t="shared" si="40"/>
        <v>1</v>
      </c>
      <c r="D478" s="4"/>
      <c r="E478" t="s">
        <v>18</v>
      </c>
      <c r="F478" t="str">
        <f>INDEX(Establishment!B$2:B$1005,MATCH($E478,Establishment!$A$2:$A$1005,0))</f>
        <v xml:space="preserve"> </v>
      </c>
      <c r="G478" t="str">
        <f>INDEX(Establishment!C$2:C$1005,MATCH($E478,Establishment!$A$2:$A$1005,0))</f>
        <v xml:space="preserve"> </v>
      </c>
      <c r="M478">
        <f t="shared" si="41"/>
        <v>0</v>
      </c>
      <c r="N478">
        <f t="shared" si="39"/>
        <v>0</v>
      </c>
      <c r="P478" t="e">
        <f>INDEX(Items!B$2:B$1032,MATCH($O478,Items!$A$2:$A$1032,0))</f>
        <v>#N/A</v>
      </c>
      <c r="Q478" t="e">
        <f>INDEX(Items!C$2:C$1032,MATCH($O478,Items!$A$2:$A$1032,0))</f>
        <v>#N/A</v>
      </c>
      <c r="R478" t="e">
        <f>INDEX(Items!D$2:D$1032,MATCH($O478,Items!$A$2:$A$1032,0))</f>
        <v>#N/A</v>
      </c>
    </row>
    <row r="479" spans="1:18" x14ac:dyDescent="0.25">
      <c r="A479">
        <f t="shared" si="37"/>
        <v>1</v>
      </c>
      <c r="B479" t="str">
        <f t="shared" si="38"/>
        <v/>
      </c>
      <c r="C479">
        <f t="shared" si="40"/>
        <v>1</v>
      </c>
      <c r="D479" s="4"/>
      <c r="E479" t="s">
        <v>18</v>
      </c>
      <c r="F479" t="str">
        <f>INDEX(Establishment!B$2:B$1005,MATCH($E479,Establishment!$A$2:$A$1005,0))</f>
        <v xml:space="preserve"> </v>
      </c>
      <c r="G479" t="str">
        <f>INDEX(Establishment!C$2:C$1005,MATCH($E479,Establishment!$A$2:$A$1005,0))</f>
        <v xml:space="preserve"> </v>
      </c>
      <c r="M479">
        <f t="shared" si="41"/>
        <v>0</v>
      </c>
      <c r="N479">
        <f t="shared" si="39"/>
        <v>0</v>
      </c>
      <c r="P479" t="e">
        <f>INDEX(Items!B$2:B$1032,MATCH($O479,Items!$A$2:$A$1032,0))</f>
        <v>#N/A</v>
      </c>
      <c r="Q479" t="e">
        <f>INDEX(Items!C$2:C$1032,MATCH($O479,Items!$A$2:$A$1032,0))</f>
        <v>#N/A</v>
      </c>
      <c r="R479" t="e">
        <f>INDEX(Items!D$2:D$1032,MATCH($O479,Items!$A$2:$A$1032,0))</f>
        <v>#N/A</v>
      </c>
    </row>
    <row r="480" spans="1:18" x14ac:dyDescent="0.25">
      <c r="A480">
        <f t="shared" si="37"/>
        <v>1</v>
      </c>
      <c r="B480" t="str">
        <f t="shared" si="38"/>
        <v/>
      </c>
      <c r="C480">
        <f t="shared" si="40"/>
        <v>1</v>
      </c>
      <c r="D480" s="4"/>
      <c r="E480" t="s">
        <v>18</v>
      </c>
      <c r="F480" t="str">
        <f>INDEX(Establishment!B$2:B$1005,MATCH($E480,Establishment!$A$2:$A$1005,0))</f>
        <v xml:space="preserve"> </v>
      </c>
      <c r="G480" t="str">
        <f>INDEX(Establishment!C$2:C$1005,MATCH($E480,Establishment!$A$2:$A$1005,0))</f>
        <v xml:space="preserve"> </v>
      </c>
      <c r="M480">
        <f t="shared" si="41"/>
        <v>0</v>
      </c>
      <c r="N480">
        <f t="shared" si="39"/>
        <v>0</v>
      </c>
      <c r="P480" t="e">
        <f>INDEX(Items!B$2:B$1032,MATCH($O480,Items!$A$2:$A$1032,0))</f>
        <v>#N/A</v>
      </c>
      <c r="Q480" t="e">
        <f>INDEX(Items!C$2:C$1032,MATCH($O480,Items!$A$2:$A$1032,0))</f>
        <v>#N/A</v>
      </c>
      <c r="R480" t="e">
        <f>INDEX(Items!D$2:D$1032,MATCH($O480,Items!$A$2:$A$1032,0))</f>
        <v>#N/A</v>
      </c>
    </row>
    <row r="481" spans="1:18" x14ac:dyDescent="0.25">
      <c r="A481">
        <f t="shared" si="37"/>
        <v>1</v>
      </c>
      <c r="B481" t="str">
        <f t="shared" si="38"/>
        <v/>
      </c>
      <c r="C481">
        <f t="shared" si="40"/>
        <v>1</v>
      </c>
      <c r="D481" s="4"/>
      <c r="E481" t="s">
        <v>18</v>
      </c>
      <c r="F481" t="str">
        <f>INDEX(Establishment!B$2:B$1005,MATCH($E481,Establishment!$A$2:$A$1005,0))</f>
        <v xml:space="preserve"> </v>
      </c>
      <c r="G481" t="str">
        <f>INDEX(Establishment!C$2:C$1005,MATCH($E481,Establishment!$A$2:$A$1005,0))</f>
        <v xml:space="preserve"> </v>
      </c>
      <c r="M481">
        <f t="shared" si="41"/>
        <v>0</v>
      </c>
      <c r="N481">
        <f t="shared" si="39"/>
        <v>0</v>
      </c>
      <c r="P481" t="e">
        <f>INDEX(Items!B$2:B$1032,MATCH($O481,Items!$A$2:$A$1032,0))</f>
        <v>#N/A</v>
      </c>
      <c r="Q481" t="e">
        <f>INDEX(Items!C$2:C$1032,MATCH($O481,Items!$A$2:$A$1032,0))</f>
        <v>#N/A</v>
      </c>
      <c r="R481" t="e">
        <f>INDEX(Items!D$2:D$1032,MATCH($O481,Items!$A$2:$A$1032,0))</f>
        <v>#N/A</v>
      </c>
    </row>
    <row r="482" spans="1:18" x14ac:dyDescent="0.25">
      <c r="A482">
        <f t="shared" si="37"/>
        <v>1</v>
      </c>
      <c r="B482" t="str">
        <f t="shared" si="38"/>
        <v/>
      </c>
      <c r="C482">
        <f t="shared" si="40"/>
        <v>1</v>
      </c>
      <c r="D482" s="4"/>
      <c r="E482" t="s">
        <v>18</v>
      </c>
      <c r="F482" t="str">
        <f>INDEX(Establishment!B$2:B$1005,MATCH($E482,Establishment!$A$2:$A$1005,0))</f>
        <v xml:space="preserve"> </v>
      </c>
      <c r="G482" t="str">
        <f>INDEX(Establishment!C$2:C$1005,MATCH($E482,Establishment!$A$2:$A$1005,0))</f>
        <v xml:space="preserve"> </v>
      </c>
      <c r="M482">
        <f t="shared" si="41"/>
        <v>0</v>
      </c>
      <c r="N482">
        <f t="shared" si="39"/>
        <v>0</v>
      </c>
      <c r="P482" t="e">
        <f>INDEX(Items!B$2:B$1032,MATCH($O482,Items!$A$2:$A$1032,0))</f>
        <v>#N/A</v>
      </c>
      <c r="Q482" t="e">
        <f>INDEX(Items!C$2:C$1032,MATCH($O482,Items!$A$2:$A$1032,0))</f>
        <v>#N/A</v>
      </c>
      <c r="R482" t="e">
        <f>INDEX(Items!D$2:D$1032,MATCH($O482,Items!$A$2:$A$1032,0))</f>
        <v>#N/A</v>
      </c>
    </row>
    <row r="483" spans="1:18" x14ac:dyDescent="0.25">
      <c r="A483">
        <f t="shared" si="37"/>
        <v>1</v>
      </c>
      <c r="B483" t="str">
        <f t="shared" si="38"/>
        <v/>
      </c>
      <c r="C483">
        <f t="shared" si="40"/>
        <v>1</v>
      </c>
      <c r="D483" s="4"/>
      <c r="E483" t="s">
        <v>18</v>
      </c>
      <c r="F483" t="str">
        <f>INDEX(Establishment!B$2:B$1005,MATCH($E483,Establishment!$A$2:$A$1005,0))</f>
        <v xml:space="preserve"> </v>
      </c>
      <c r="G483" t="str">
        <f>INDEX(Establishment!C$2:C$1005,MATCH($E483,Establishment!$A$2:$A$1005,0))</f>
        <v xml:space="preserve"> </v>
      </c>
      <c r="M483">
        <f t="shared" si="41"/>
        <v>0</v>
      </c>
      <c r="N483">
        <f t="shared" si="39"/>
        <v>0</v>
      </c>
      <c r="P483" t="e">
        <f>INDEX(Items!B$2:B$1032,MATCH($O483,Items!$A$2:$A$1032,0))</f>
        <v>#N/A</v>
      </c>
      <c r="Q483" t="e">
        <f>INDEX(Items!C$2:C$1032,MATCH($O483,Items!$A$2:$A$1032,0))</f>
        <v>#N/A</v>
      </c>
      <c r="R483" t="e">
        <f>INDEX(Items!D$2:D$1032,MATCH($O483,Items!$A$2:$A$1032,0))</f>
        <v>#N/A</v>
      </c>
    </row>
    <row r="484" spans="1:18" x14ac:dyDescent="0.25">
      <c r="A484">
        <f t="shared" si="37"/>
        <v>1</v>
      </c>
      <c r="B484" t="str">
        <f t="shared" si="38"/>
        <v/>
      </c>
      <c r="C484">
        <f t="shared" si="40"/>
        <v>1</v>
      </c>
      <c r="D484" s="4"/>
      <c r="E484" t="s">
        <v>18</v>
      </c>
      <c r="F484" t="str">
        <f>INDEX(Establishment!B$2:B$1005,MATCH($E484,Establishment!$A$2:$A$1005,0))</f>
        <v xml:space="preserve"> </v>
      </c>
      <c r="G484" t="str">
        <f>INDEX(Establishment!C$2:C$1005,MATCH($E484,Establishment!$A$2:$A$1005,0))</f>
        <v xml:space="preserve"> </v>
      </c>
      <c r="M484">
        <f t="shared" si="41"/>
        <v>0</v>
      </c>
      <c r="N484">
        <f t="shared" si="39"/>
        <v>0</v>
      </c>
      <c r="P484" t="e">
        <f>INDEX(Items!B$2:B$1032,MATCH($O484,Items!$A$2:$A$1032,0))</f>
        <v>#N/A</v>
      </c>
      <c r="Q484" t="e">
        <f>INDEX(Items!C$2:C$1032,MATCH($O484,Items!$A$2:$A$1032,0))</f>
        <v>#N/A</v>
      </c>
      <c r="R484" t="e">
        <f>INDEX(Items!D$2:D$1032,MATCH($O484,Items!$A$2:$A$1032,0))</f>
        <v>#N/A</v>
      </c>
    </row>
    <row r="485" spans="1:18" x14ac:dyDescent="0.25">
      <c r="A485">
        <f t="shared" si="37"/>
        <v>1</v>
      </c>
      <c r="B485" t="str">
        <f t="shared" si="38"/>
        <v/>
      </c>
      <c r="C485">
        <f t="shared" si="40"/>
        <v>1</v>
      </c>
      <c r="D485" s="4"/>
      <c r="E485" t="s">
        <v>18</v>
      </c>
      <c r="F485" t="str">
        <f>INDEX(Establishment!B$2:B$1005,MATCH($E485,Establishment!$A$2:$A$1005,0))</f>
        <v xml:space="preserve"> </v>
      </c>
      <c r="G485" t="str">
        <f>INDEX(Establishment!C$2:C$1005,MATCH($E485,Establishment!$A$2:$A$1005,0))</f>
        <v xml:space="preserve"> </v>
      </c>
      <c r="M485">
        <f t="shared" si="41"/>
        <v>0</v>
      </c>
      <c r="N485">
        <f t="shared" si="39"/>
        <v>0</v>
      </c>
      <c r="P485" t="e">
        <f>INDEX(Items!B$2:B$1032,MATCH($O485,Items!$A$2:$A$1032,0))</f>
        <v>#N/A</v>
      </c>
      <c r="Q485" t="e">
        <f>INDEX(Items!C$2:C$1032,MATCH($O485,Items!$A$2:$A$1032,0))</f>
        <v>#N/A</v>
      </c>
      <c r="R485" t="e">
        <f>INDEX(Items!D$2:D$1032,MATCH($O485,Items!$A$2:$A$1032,0))</f>
        <v>#N/A</v>
      </c>
    </row>
    <row r="486" spans="1:18" x14ac:dyDescent="0.25">
      <c r="A486">
        <f t="shared" si="37"/>
        <v>1</v>
      </c>
      <c r="B486" t="str">
        <f t="shared" si="38"/>
        <v/>
      </c>
      <c r="C486">
        <f t="shared" si="40"/>
        <v>1</v>
      </c>
      <c r="D486" s="4"/>
      <c r="E486" t="s">
        <v>18</v>
      </c>
      <c r="F486" t="str">
        <f>INDEX(Establishment!B$2:B$1005,MATCH($E486,Establishment!$A$2:$A$1005,0))</f>
        <v xml:space="preserve"> </v>
      </c>
      <c r="G486" t="str">
        <f>INDEX(Establishment!C$2:C$1005,MATCH($E486,Establishment!$A$2:$A$1005,0))</f>
        <v xml:space="preserve"> </v>
      </c>
      <c r="M486">
        <f t="shared" si="41"/>
        <v>0</v>
      </c>
      <c r="N486">
        <f t="shared" si="39"/>
        <v>0</v>
      </c>
      <c r="P486" t="e">
        <f>INDEX(Items!B$2:B$1032,MATCH($O486,Items!$A$2:$A$1032,0))</f>
        <v>#N/A</v>
      </c>
      <c r="Q486" t="e">
        <f>INDEX(Items!C$2:C$1032,MATCH($O486,Items!$A$2:$A$1032,0))</f>
        <v>#N/A</v>
      </c>
      <c r="R486" t="e">
        <f>INDEX(Items!D$2:D$1032,MATCH($O486,Items!$A$2:$A$1032,0))</f>
        <v>#N/A</v>
      </c>
    </row>
    <row r="487" spans="1:18" x14ac:dyDescent="0.25">
      <c r="A487">
        <f t="shared" si="37"/>
        <v>1</v>
      </c>
      <c r="B487" t="str">
        <f t="shared" si="38"/>
        <v/>
      </c>
      <c r="C487">
        <f t="shared" si="40"/>
        <v>1</v>
      </c>
      <c r="D487" s="4"/>
      <c r="E487" t="s">
        <v>18</v>
      </c>
      <c r="F487" t="str">
        <f>INDEX(Establishment!B$2:B$1005,MATCH($E487,Establishment!$A$2:$A$1005,0))</f>
        <v xml:space="preserve"> </v>
      </c>
      <c r="G487" t="str">
        <f>INDEX(Establishment!C$2:C$1005,MATCH($E487,Establishment!$A$2:$A$1005,0))</f>
        <v xml:space="preserve"> </v>
      </c>
      <c r="M487">
        <f t="shared" si="41"/>
        <v>0</v>
      </c>
      <c r="N487">
        <f t="shared" si="39"/>
        <v>0</v>
      </c>
      <c r="P487" t="e">
        <f>INDEX(Items!B$2:B$1032,MATCH($O487,Items!$A$2:$A$1032,0))</f>
        <v>#N/A</v>
      </c>
      <c r="Q487" t="e">
        <f>INDEX(Items!C$2:C$1032,MATCH($O487,Items!$A$2:$A$1032,0))</f>
        <v>#N/A</v>
      </c>
      <c r="R487" t="e">
        <f>INDEX(Items!D$2:D$1032,MATCH($O487,Items!$A$2:$A$1032,0))</f>
        <v>#N/A</v>
      </c>
    </row>
    <row r="488" spans="1:18" x14ac:dyDescent="0.25">
      <c r="A488">
        <f t="shared" si="37"/>
        <v>1</v>
      </c>
      <c r="B488" t="str">
        <f t="shared" si="38"/>
        <v/>
      </c>
      <c r="C488">
        <f t="shared" si="40"/>
        <v>1</v>
      </c>
      <c r="D488" s="4"/>
      <c r="E488" t="s">
        <v>18</v>
      </c>
      <c r="F488" t="str">
        <f>INDEX(Establishment!B$2:B$1005,MATCH($E488,Establishment!$A$2:$A$1005,0))</f>
        <v xml:space="preserve"> </v>
      </c>
      <c r="G488" t="str">
        <f>INDEX(Establishment!C$2:C$1005,MATCH($E488,Establishment!$A$2:$A$1005,0))</f>
        <v xml:space="preserve"> </v>
      </c>
      <c r="M488">
        <f t="shared" si="41"/>
        <v>0</v>
      </c>
      <c r="N488">
        <f t="shared" si="39"/>
        <v>0</v>
      </c>
      <c r="P488" t="e">
        <f>INDEX(Items!B$2:B$1032,MATCH($O488,Items!$A$2:$A$1032,0))</f>
        <v>#N/A</v>
      </c>
      <c r="Q488" t="e">
        <f>INDEX(Items!C$2:C$1032,MATCH($O488,Items!$A$2:$A$1032,0))</f>
        <v>#N/A</v>
      </c>
      <c r="R488" t="e">
        <f>INDEX(Items!D$2:D$1032,MATCH($O488,Items!$A$2:$A$1032,0))</f>
        <v>#N/A</v>
      </c>
    </row>
    <row r="489" spans="1:18" x14ac:dyDescent="0.25">
      <c r="A489">
        <f t="shared" si="37"/>
        <v>1</v>
      </c>
      <c r="B489" t="str">
        <f t="shared" si="38"/>
        <v/>
      </c>
      <c r="C489">
        <f t="shared" si="40"/>
        <v>1</v>
      </c>
      <c r="D489" s="4"/>
      <c r="E489" t="s">
        <v>18</v>
      </c>
      <c r="F489" t="str">
        <f>INDEX(Establishment!B$2:B$1005,MATCH($E489,Establishment!$A$2:$A$1005,0))</f>
        <v xml:space="preserve"> </v>
      </c>
      <c r="G489" t="str">
        <f>INDEX(Establishment!C$2:C$1005,MATCH($E489,Establishment!$A$2:$A$1005,0))</f>
        <v xml:space="preserve"> </v>
      </c>
      <c r="M489">
        <f t="shared" si="41"/>
        <v>0</v>
      </c>
      <c r="N489">
        <f t="shared" si="39"/>
        <v>0</v>
      </c>
      <c r="P489" t="e">
        <f>INDEX(Items!B$2:B$1032,MATCH($O489,Items!$A$2:$A$1032,0))</f>
        <v>#N/A</v>
      </c>
      <c r="Q489" t="e">
        <f>INDEX(Items!C$2:C$1032,MATCH($O489,Items!$A$2:$A$1032,0))</f>
        <v>#N/A</v>
      </c>
      <c r="R489" t="e">
        <f>INDEX(Items!D$2:D$1032,MATCH($O489,Items!$A$2:$A$1032,0))</f>
        <v>#N/A</v>
      </c>
    </row>
    <row r="490" spans="1:18" x14ac:dyDescent="0.25">
      <c r="A490">
        <f t="shared" si="37"/>
        <v>1</v>
      </c>
      <c r="B490" t="str">
        <f t="shared" si="38"/>
        <v/>
      </c>
      <c r="C490">
        <f t="shared" si="40"/>
        <v>1</v>
      </c>
      <c r="D490" s="4"/>
      <c r="E490" t="s">
        <v>18</v>
      </c>
      <c r="F490" t="str">
        <f>INDEX(Establishment!B$2:B$1005,MATCH($E490,Establishment!$A$2:$A$1005,0))</f>
        <v xml:space="preserve"> </v>
      </c>
      <c r="G490" t="str">
        <f>INDEX(Establishment!C$2:C$1005,MATCH($E490,Establishment!$A$2:$A$1005,0))</f>
        <v xml:space="preserve"> </v>
      </c>
      <c r="M490">
        <f t="shared" si="41"/>
        <v>0</v>
      </c>
      <c r="N490">
        <f t="shared" si="39"/>
        <v>0</v>
      </c>
      <c r="P490" t="e">
        <f>INDEX(Items!B$2:B$1032,MATCH($O490,Items!$A$2:$A$1032,0))</f>
        <v>#N/A</v>
      </c>
      <c r="Q490" t="e">
        <f>INDEX(Items!C$2:C$1032,MATCH($O490,Items!$A$2:$A$1032,0))</f>
        <v>#N/A</v>
      </c>
      <c r="R490" t="e">
        <f>INDEX(Items!D$2:D$1032,MATCH($O490,Items!$A$2:$A$1032,0))</f>
        <v>#N/A</v>
      </c>
    </row>
    <row r="491" spans="1:18" x14ac:dyDescent="0.25">
      <c r="A491">
        <f t="shared" si="37"/>
        <v>1</v>
      </c>
      <c r="B491" t="str">
        <f t="shared" si="38"/>
        <v/>
      </c>
      <c r="C491">
        <f t="shared" si="40"/>
        <v>1</v>
      </c>
      <c r="D491" s="4"/>
      <c r="E491" t="s">
        <v>18</v>
      </c>
      <c r="F491" t="str">
        <f>INDEX(Establishment!B$2:B$1005,MATCH($E491,Establishment!$A$2:$A$1005,0))</f>
        <v xml:space="preserve"> </v>
      </c>
      <c r="G491" t="str">
        <f>INDEX(Establishment!C$2:C$1005,MATCH($E491,Establishment!$A$2:$A$1005,0))</f>
        <v xml:space="preserve"> </v>
      </c>
      <c r="M491">
        <f t="shared" si="41"/>
        <v>0</v>
      </c>
      <c r="N491">
        <f t="shared" si="39"/>
        <v>0</v>
      </c>
      <c r="P491" t="e">
        <f>INDEX(Items!B$2:B$1032,MATCH($O491,Items!$A$2:$A$1032,0))</f>
        <v>#N/A</v>
      </c>
      <c r="Q491" t="e">
        <f>INDEX(Items!C$2:C$1032,MATCH($O491,Items!$A$2:$A$1032,0))</f>
        <v>#N/A</v>
      </c>
      <c r="R491" t="e">
        <f>INDEX(Items!D$2:D$1032,MATCH($O491,Items!$A$2:$A$1032,0))</f>
        <v>#N/A</v>
      </c>
    </row>
    <row r="492" spans="1:18" x14ac:dyDescent="0.25">
      <c r="A492">
        <f t="shared" si="37"/>
        <v>1</v>
      </c>
      <c r="B492" t="str">
        <f t="shared" si="38"/>
        <v/>
      </c>
      <c r="C492">
        <f t="shared" si="40"/>
        <v>1</v>
      </c>
      <c r="D492" s="4"/>
      <c r="E492" t="s">
        <v>18</v>
      </c>
      <c r="F492" t="str">
        <f>INDEX(Establishment!B$2:B$1005,MATCH($E492,Establishment!$A$2:$A$1005,0))</f>
        <v xml:space="preserve"> </v>
      </c>
      <c r="G492" t="str">
        <f>INDEX(Establishment!C$2:C$1005,MATCH($E492,Establishment!$A$2:$A$1005,0))</f>
        <v xml:space="preserve"> </v>
      </c>
      <c r="M492">
        <f t="shared" si="41"/>
        <v>0</v>
      </c>
      <c r="N492">
        <f t="shared" si="39"/>
        <v>0</v>
      </c>
      <c r="P492" t="e">
        <f>INDEX(Items!B$2:B$1032,MATCH($O492,Items!$A$2:$A$1032,0))</f>
        <v>#N/A</v>
      </c>
      <c r="Q492" t="e">
        <f>INDEX(Items!C$2:C$1032,MATCH($O492,Items!$A$2:$A$1032,0))</f>
        <v>#N/A</v>
      </c>
      <c r="R492" t="e">
        <f>INDEX(Items!D$2:D$1032,MATCH($O492,Items!$A$2:$A$1032,0))</f>
        <v>#N/A</v>
      </c>
    </row>
    <row r="493" spans="1:18" x14ac:dyDescent="0.25">
      <c r="A493">
        <f t="shared" si="37"/>
        <v>1</v>
      </c>
      <c r="B493" t="str">
        <f t="shared" si="38"/>
        <v/>
      </c>
      <c r="C493">
        <f t="shared" si="40"/>
        <v>1</v>
      </c>
      <c r="D493" s="4"/>
      <c r="E493" t="s">
        <v>18</v>
      </c>
      <c r="F493" t="str">
        <f>INDEX(Establishment!B$2:B$1005,MATCH($E493,Establishment!$A$2:$A$1005,0))</f>
        <v xml:space="preserve"> </v>
      </c>
      <c r="G493" t="str">
        <f>INDEX(Establishment!C$2:C$1005,MATCH($E493,Establishment!$A$2:$A$1005,0))</f>
        <v xml:space="preserve"> </v>
      </c>
      <c r="M493">
        <f t="shared" si="41"/>
        <v>0</v>
      </c>
      <c r="N493">
        <f t="shared" si="39"/>
        <v>0</v>
      </c>
      <c r="P493" t="e">
        <f>INDEX(Items!B$2:B$1032,MATCH($O493,Items!$A$2:$A$1032,0))</f>
        <v>#N/A</v>
      </c>
      <c r="Q493" t="e">
        <f>INDEX(Items!C$2:C$1032,MATCH($O493,Items!$A$2:$A$1032,0))</f>
        <v>#N/A</v>
      </c>
      <c r="R493" t="e">
        <f>INDEX(Items!D$2:D$1032,MATCH($O493,Items!$A$2:$A$1032,0))</f>
        <v>#N/A</v>
      </c>
    </row>
    <row r="494" spans="1:18" x14ac:dyDescent="0.25">
      <c r="A494">
        <f t="shared" si="37"/>
        <v>1</v>
      </c>
      <c r="B494" t="str">
        <f t="shared" si="38"/>
        <v/>
      </c>
      <c r="C494">
        <f t="shared" si="40"/>
        <v>1</v>
      </c>
      <c r="D494" s="4"/>
      <c r="E494" t="s">
        <v>18</v>
      </c>
      <c r="F494" t="str">
        <f>INDEX(Establishment!B$2:B$1005,MATCH($E494,Establishment!$A$2:$A$1005,0))</f>
        <v xml:space="preserve"> </v>
      </c>
      <c r="G494" t="str">
        <f>INDEX(Establishment!C$2:C$1005,MATCH($E494,Establishment!$A$2:$A$1005,0))</f>
        <v xml:space="preserve"> </v>
      </c>
      <c r="M494">
        <f t="shared" si="41"/>
        <v>0</v>
      </c>
      <c r="N494">
        <f t="shared" si="39"/>
        <v>0</v>
      </c>
      <c r="P494" t="e">
        <f>INDEX(Items!B$2:B$1032,MATCH($O494,Items!$A$2:$A$1032,0))</f>
        <v>#N/A</v>
      </c>
      <c r="Q494" t="e">
        <f>INDEX(Items!C$2:C$1032,MATCH($O494,Items!$A$2:$A$1032,0))</f>
        <v>#N/A</v>
      </c>
      <c r="R494" t="e">
        <f>INDEX(Items!D$2:D$1032,MATCH($O494,Items!$A$2:$A$1032,0))</f>
        <v>#N/A</v>
      </c>
    </row>
    <row r="495" spans="1:18" x14ac:dyDescent="0.25">
      <c r="A495">
        <f t="shared" si="37"/>
        <v>1</v>
      </c>
      <c r="B495" t="str">
        <f t="shared" si="38"/>
        <v/>
      </c>
      <c r="C495">
        <f t="shared" si="40"/>
        <v>1</v>
      </c>
      <c r="D495" s="4"/>
      <c r="E495" t="s">
        <v>18</v>
      </c>
      <c r="F495" t="str">
        <f>INDEX(Establishment!B$2:B$1005,MATCH($E495,Establishment!$A$2:$A$1005,0))</f>
        <v xml:space="preserve"> </v>
      </c>
      <c r="G495" t="str">
        <f>INDEX(Establishment!C$2:C$1005,MATCH($E495,Establishment!$A$2:$A$1005,0))</f>
        <v xml:space="preserve"> </v>
      </c>
      <c r="M495">
        <f t="shared" si="41"/>
        <v>0</v>
      </c>
      <c r="N495">
        <f t="shared" si="39"/>
        <v>0</v>
      </c>
      <c r="P495" t="e">
        <f>INDEX(Items!B$2:B$1032,MATCH($O495,Items!$A$2:$A$1032,0))</f>
        <v>#N/A</v>
      </c>
      <c r="Q495" t="e">
        <f>INDEX(Items!C$2:C$1032,MATCH($O495,Items!$A$2:$A$1032,0))</f>
        <v>#N/A</v>
      </c>
      <c r="R495" t="e">
        <f>INDEX(Items!D$2:D$1032,MATCH($O495,Items!$A$2:$A$1032,0))</f>
        <v>#N/A</v>
      </c>
    </row>
    <row r="496" spans="1:18" x14ac:dyDescent="0.25">
      <c r="A496">
        <f t="shared" si="37"/>
        <v>1</v>
      </c>
      <c r="B496" t="str">
        <f t="shared" si="38"/>
        <v/>
      </c>
      <c r="C496">
        <f t="shared" si="40"/>
        <v>1</v>
      </c>
      <c r="D496" s="4"/>
      <c r="E496" t="s">
        <v>18</v>
      </c>
      <c r="F496" t="str">
        <f>INDEX(Establishment!B$2:B$1005,MATCH($E496,Establishment!$A$2:$A$1005,0))</f>
        <v xml:space="preserve"> </v>
      </c>
      <c r="G496" t="str">
        <f>INDEX(Establishment!C$2:C$1005,MATCH($E496,Establishment!$A$2:$A$1005,0))</f>
        <v xml:space="preserve"> </v>
      </c>
      <c r="M496">
        <f t="shared" si="41"/>
        <v>0</v>
      </c>
      <c r="N496">
        <f t="shared" si="39"/>
        <v>0</v>
      </c>
      <c r="P496" t="e">
        <f>INDEX(Items!B$2:B$1032,MATCH($O496,Items!$A$2:$A$1032,0))</f>
        <v>#N/A</v>
      </c>
      <c r="Q496" t="e">
        <f>INDEX(Items!C$2:C$1032,MATCH($O496,Items!$A$2:$A$1032,0))</f>
        <v>#N/A</v>
      </c>
      <c r="R496" t="e">
        <f>INDEX(Items!D$2:D$1032,MATCH($O496,Items!$A$2:$A$1032,0))</f>
        <v>#N/A</v>
      </c>
    </row>
    <row r="497" spans="1:18" x14ac:dyDescent="0.25">
      <c r="A497">
        <f t="shared" si="37"/>
        <v>1</v>
      </c>
      <c r="B497" t="str">
        <f t="shared" si="38"/>
        <v/>
      </c>
      <c r="C497">
        <f t="shared" si="40"/>
        <v>1</v>
      </c>
      <c r="D497" s="4"/>
      <c r="E497" t="s">
        <v>18</v>
      </c>
      <c r="F497" t="str">
        <f>INDEX(Establishment!B$2:B$1005,MATCH($E497,Establishment!$A$2:$A$1005,0))</f>
        <v xml:space="preserve"> </v>
      </c>
      <c r="G497" t="str">
        <f>INDEX(Establishment!C$2:C$1005,MATCH($E497,Establishment!$A$2:$A$1005,0))</f>
        <v xml:space="preserve"> </v>
      </c>
      <c r="M497">
        <f t="shared" si="41"/>
        <v>0</v>
      </c>
      <c r="N497">
        <f t="shared" si="39"/>
        <v>0</v>
      </c>
      <c r="P497" t="e">
        <f>INDEX(Items!B$2:B$1032,MATCH($O497,Items!$A$2:$A$1032,0))</f>
        <v>#N/A</v>
      </c>
      <c r="Q497" t="e">
        <f>INDEX(Items!C$2:C$1032,MATCH($O497,Items!$A$2:$A$1032,0))</f>
        <v>#N/A</v>
      </c>
      <c r="R497" t="e">
        <f>INDEX(Items!D$2:D$1032,MATCH($O497,Items!$A$2:$A$1032,0))</f>
        <v>#N/A</v>
      </c>
    </row>
    <row r="498" spans="1:18" x14ac:dyDescent="0.25">
      <c r="A498">
        <f t="shared" si="37"/>
        <v>1</v>
      </c>
      <c r="B498" t="str">
        <f t="shared" si="38"/>
        <v/>
      </c>
      <c r="C498">
        <f t="shared" si="40"/>
        <v>1</v>
      </c>
      <c r="D498" s="4"/>
      <c r="E498" t="s">
        <v>18</v>
      </c>
      <c r="F498" t="str">
        <f>INDEX(Establishment!B$2:B$1005,MATCH($E498,Establishment!$A$2:$A$1005,0))</f>
        <v xml:space="preserve"> </v>
      </c>
      <c r="G498" t="str">
        <f>INDEX(Establishment!C$2:C$1005,MATCH($E498,Establishment!$A$2:$A$1005,0))</f>
        <v xml:space="preserve"> </v>
      </c>
      <c r="M498">
        <f t="shared" si="41"/>
        <v>0</v>
      </c>
      <c r="N498">
        <f t="shared" si="39"/>
        <v>0</v>
      </c>
      <c r="P498" t="e">
        <f>INDEX(Items!B$2:B$1032,MATCH($O498,Items!$A$2:$A$1032,0))</f>
        <v>#N/A</v>
      </c>
      <c r="Q498" t="e">
        <f>INDEX(Items!C$2:C$1032,MATCH($O498,Items!$A$2:$A$1032,0))</f>
        <v>#N/A</v>
      </c>
      <c r="R498" t="e">
        <f>INDEX(Items!D$2:D$1032,MATCH($O498,Items!$A$2:$A$1032,0))</f>
        <v>#N/A</v>
      </c>
    </row>
    <row r="499" spans="1:18" x14ac:dyDescent="0.25">
      <c r="A499">
        <f t="shared" si="37"/>
        <v>1</v>
      </c>
      <c r="B499" t="str">
        <f t="shared" si="38"/>
        <v/>
      </c>
      <c r="C499">
        <f t="shared" si="40"/>
        <v>1</v>
      </c>
      <c r="D499" s="4"/>
      <c r="E499" t="s">
        <v>18</v>
      </c>
      <c r="F499" t="str">
        <f>INDEX(Establishment!B$2:B$1005,MATCH($E499,Establishment!$A$2:$A$1005,0))</f>
        <v xml:space="preserve"> </v>
      </c>
      <c r="G499" t="str">
        <f>INDEX(Establishment!C$2:C$1005,MATCH($E499,Establishment!$A$2:$A$1005,0))</f>
        <v xml:space="preserve"> </v>
      </c>
      <c r="M499">
        <f t="shared" si="41"/>
        <v>0</v>
      </c>
      <c r="N499">
        <f t="shared" si="39"/>
        <v>0</v>
      </c>
      <c r="P499" t="e">
        <f>INDEX(Items!B$2:B$1032,MATCH($O499,Items!$A$2:$A$1032,0))</f>
        <v>#N/A</v>
      </c>
      <c r="Q499" t="e">
        <f>INDEX(Items!C$2:C$1032,MATCH($O499,Items!$A$2:$A$1032,0))</f>
        <v>#N/A</v>
      </c>
      <c r="R499" t="e">
        <f>INDEX(Items!D$2:D$1032,MATCH($O499,Items!$A$2:$A$1032,0))</f>
        <v>#N/A</v>
      </c>
    </row>
  </sheetData>
  <autoFilter ref="A1:S499" xr:uid="{5F0E76B2-0B92-47EE-AE22-5D9D037037E9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593A3BD1-065C-4E63-B507-38ED440D488A}">
          <x14:formula1>
            <xm:f>Misc!$A$2:$A$8</xm:f>
          </x14:formula1>
          <xm:sqref>H1:H1048576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16B3-B070-44C8-AAD5-69DF5C062722}">
  <dimension ref="A1:S499"/>
  <sheetViews>
    <sheetView zoomScale="145" zoomScaleNormal="145" workbookViewId="0">
      <pane xSplit="5" ySplit="1" topLeftCell="F15" activePane="bottomRight" state="frozen"/>
      <selection pane="topRight"/>
      <selection pane="bottomLeft"/>
      <selection pane="bottomRight" activeCell="F31" sqref="F31:G85"/>
    </sheetView>
  </sheetViews>
  <sheetFormatPr defaultRowHeight="15" x14ac:dyDescent="0.25"/>
  <cols>
    <col min="1" max="1" width="8.42578125" bestFit="1" customWidth="1"/>
    <col min="2" max="2" width="11.140625" bestFit="1" customWidth="1"/>
    <col min="3" max="3" width="11.140625" customWidth="1"/>
    <col min="4" max="4" width="10.7109375" bestFit="1" customWidth="1"/>
    <col min="5" max="5" width="21.140625" bestFit="1" customWidth="1"/>
    <col min="6" max="6" width="13.7109375" bestFit="1" customWidth="1"/>
    <col min="7" max="7" width="9.7109375" bestFit="1" customWidth="1"/>
    <col min="8" max="8" width="13.7109375" bestFit="1" customWidth="1"/>
    <col min="9" max="9" width="8.140625" bestFit="1" customWidth="1"/>
    <col min="10" max="10" width="18.5703125" bestFit="1" customWidth="1"/>
    <col min="11" max="11" width="8.7109375" bestFit="1" customWidth="1"/>
    <col min="12" max="12" width="9.5703125" bestFit="1" customWidth="1"/>
    <col min="13" max="13" width="8.140625" bestFit="1" customWidth="1"/>
    <col min="14" max="14" width="11.140625" bestFit="1" customWidth="1"/>
    <col min="15" max="15" width="25.7109375" bestFit="1" customWidth="1"/>
    <col min="16" max="16" width="6.140625" bestFit="1" customWidth="1"/>
    <col min="17" max="17" width="12.7109375" bestFit="1" customWidth="1"/>
    <col min="18" max="18" width="7.140625" bestFit="1" customWidth="1"/>
  </cols>
  <sheetData>
    <row r="1" spans="1:19" ht="30" x14ac:dyDescent="0.25">
      <c r="A1" t="s">
        <v>0</v>
      </c>
      <c r="B1" s="2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f t="shared" ref="A2:A65" si="0">IF(OR(D2&lt;&gt;D1,D2=""),1,IF(NOT(AND(E2=E1,F2=F1,G2=G1)),A1+1,IF(OR(H2="",AND(H2&lt;&gt;"",H2&lt;&gt;H1,H1&lt;&gt;"")),A1,A1+1)))</f>
        <v>1</v>
      </c>
      <c r="B2" t="str">
        <f t="shared" ref="B2:B65" si="1">IF(D2&lt;&gt;"",TEXT(D2,"YYYYMMDD")&amp;CHAR(64+A2),"")</f>
        <v/>
      </c>
      <c r="C2">
        <f t="shared" ref="C2:C6" si="2">IF(OR(B2="",B2&lt;&gt;B10),1,C10+1)</f>
        <v>1</v>
      </c>
      <c r="D2" s="4"/>
      <c r="F2" t="e">
        <f>INDEX(Establishment!B$2:B$1005,MATCH($E2,Establishment!$A$2:$A$1005,0))</f>
        <v>#N/A</v>
      </c>
      <c r="G2" t="e">
        <f>INDEX(Establishment!C$2:C$1005,MATCH($E2,Establishment!$A$2:$A$1005,0))</f>
        <v>#N/A</v>
      </c>
      <c r="M2">
        <f t="shared" ref="M2:M6" si="3">K2*L2</f>
        <v>0</v>
      </c>
      <c r="N2">
        <f>IF(B2=B1,N1+M2,M2)</f>
        <v>0</v>
      </c>
      <c r="P2" t="e">
        <f>INDEX(Items!B$2:B$1032,MATCH($O2,Items!$A$2:$A$1032,0))</f>
        <v>#N/A</v>
      </c>
      <c r="Q2" t="e">
        <f>INDEX(Items!C$2:C$1032,MATCH($O2,Items!$A$2:$A$1032,0))</f>
        <v>#N/A</v>
      </c>
      <c r="R2" t="e">
        <f>INDEX(Items!D$2:D$1032,MATCH($O2,Items!$A$2:$A$1032,0))</f>
        <v>#N/A</v>
      </c>
    </row>
    <row r="3" spans="1:19" x14ac:dyDescent="0.25">
      <c r="A3">
        <f t="shared" si="0"/>
        <v>1</v>
      </c>
      <c r="B3" t="str">
        <f t="shared" si="1"/>
        <v/>
      </c>
      <c r="C3">
        <f t="shared" si="2"/>
        <v>1</v>
      </c>
      <c r="D3" s="4"/>
      <c r="F3" t="e">
        <f>INDEX(Establishment!B$2:B$1005,MATCH($E3,Establishment!$A$2:$A$1005,0))</f>
        <v>#N/A</v>
      </c>
      <c r="G3" t="e">
        <f>INDEX(Establishment!C$2:C$1005,MATCH($E3,Establishment!$A$2:$A$1005,0))</f>
        <v>#N/A</v>
      </c>
      <c r="M3">
        <f t="shared" si="3"/>
        <v>0</v>
      </c>
      <c r="N3">
        <f t="shared" ref="N3:N66" si="4">IF(B3=B2,N2+M3,M3)</f>
        <v>0</v>
      </c>
      <c r="P3" t="e">
        <f>INDEX(Items!B$2:B$1032,MATCH($O3,Items!$A$2:$A$1032,0))</f>
        <v>#N/A</v>
      </c>
      <c r="Q3" t="e">
        <f>INDEX(Items!C$2:C$1032,MATCH($O3,Items!$A$2:$A$1032,0))</f>
        <v>#N/A</v>
      </c>
      <c r="R3" t="e">
        <f>INDEX(Items!D$2:D$1032,MATCH($O3,Items!$A$2:$A$1032,0))</f>
        <v>#N/A</v>
      </c>
    </row>
    <row r="4" spans="1:19" x14ac:dyDescent="0.25">
      <c r="A4">
        <f t="shared" si="0"/>
        <v>1</v>
      </c>
      <c r="B4" t="str">
        <f t="shared" si="1"/>
        <v/>
      </c>
      <c r="C4">
        <f t="shared" si="2"/>
        <v>1</v>
      </c>
      <c r="D4" s="4"/>
      <c r="F4" t="e">
        <f>INDEX(Establishment!B$2:B$1005,MATCH($E4,Establishment!$A$2:$A$1005,0))</f>
        <v>#N/A</v>
      </c>
      <c r="G4" t="e">
        <f>INDEX(Establishment!C$2:C$1005,MATCH($E4,Establishment!$A$2:$A$1005,0))</f>
        <v>#N/A</v>
      </c>
      <c r="M4">
        <f t="shared" si="3"/>
        <v>0</v>
      </c>
      <c r="N4">
        <f t="shared" si="4"/>
        <v>0</v>
      </c>
      <c r="P4" t="e">
        <f>INDEX(Items!B$2:B$1032,MATCH($O4,Items!$A$2:$A$1032,0))</f>
        <v>#N/A</v>
      </c>
      <c r="Q4" t="e">
        <f>INDEX(Items!C$2:C$1032,MATCH($O4,Items!$A$2:$A$1032,0))</f>
        <v>#N/A</v>
      </c>
      <c r="R4" t="e">
        <f>INDEX(Items!D$2:D$1032,MATCH($O4,Items!$A$2:$A$1032,0))</f>
        <v>#N/A</v>
      </c>
    </row>
    <row r="5" spans="1:19" x14ac:dyDescent="0.25">
      <c r="A5">
        <f t="shared" si="0"/>
        <v>1</v>
      </c>
      <c r="B5" t="str">
        <f t="shared" si="1"/>
        <v/>
      </c>
      <c r="C5">
        <f t="shared" si="2"/>
        <v>1</v>
      </c>
      <c r="D5" s="4"/>
      <c r="F5" t="e">
        <f>INDEX(Establishment!B$2:B$1005,MATCH($E5,Establishment!$A$2:$A$1005,0))</f>
        <v>#N/A</v>
      </c>
      <c r="G5" t="e">
        <f>INDEX(Establishment!C$2:C$1005,MATCH($E5,Establishment!$A$2:$A$1005,0))</f>
        <v>#N/A</v>
      </c>
      <c r="M5">
        <f t="shared" si="3"/>
        <v>0</v>
      </c>
      <c r="N5">
        <f t="shared" si="4"/>
        <v>0</v>
      </c>
      <c r="P5" t="e">
        <f>INDEX(Items!B$2:B$1032,MATCH($O5,Items!$A$2:$A$1032,0))</f>
        <v>#N/A</v>
      </c>
      <c r="Q5" t="e">
        <f>INDEX(Items!C$2:C$1032,MATCH($O5,Items!$A$2:$A$1032,0))</f>
        <v>#N/A</v>
      </c>
      <c r="R5" t="e">
        <f>INDEX(Items!D$2:D$1032,MATCH($O5,Items!$A$2:$A$1032,0))</f>
        <v>#N/A</v>
      </c>
    </row>
    <row r="6" spans="1:19" x14ac:dyDescent="0.25">
      <c r="A6">
        <f t="shared" si="0"/>
        <v>1</v>
      </c>
      <c r="B6" t="str">
        <f t="shared" si="1"/>
        <v/>
      </c>
      <c r="C6">
        <f t="shared" si="2"/>
        <v>1</v>
      </c>
      <c r="D6" s="4"/>
      <c r="F6" t="e">
        <f>INDEX(Establishment!B$2:B$1005,MATCH($E6,Establishment!$A$2:$A$1005,0))</f>
        <v>#N/A</v>
      </c>
      <c r="G6" t="e">
        <f>INDEX(Establishment!C$2:C$1005,MATCH($E6,Establishment!$A$2:$A$1005,0))</f>
        <v>#N/A</v>
      </c>
      <c r="M6">
        <f t="shared" si="3"/>
        <v>0</v>
      </c>
      <c r="N6">
        <f t="shared" si="4"/>
        <v>0</v>
      </c>
      <c r="P6" t="e">
        <f>INDEX(Items!B$2:B$1032,MATCH($O6,Items!$A$2:$A$1032,0))</f>
        <v>#N/A</v>
      </c>
      <c r="Q6" t="e">
        <f>INDEX(Items!C$2:C$1032,MATCH($O6,Items!$A$2:$A$1032,0))</f>
        <v>#N/A</v>
      </c>
      <c r="R6" t="e">
        <f>INDEX(Items!D$2:D$1032,MATCH($O6,Items!$A$2:$A$1032,0))</f>
        <v>#N/A</v>
      </c>
    </row>
    <row r="7" spans="1:19" x14ac:dyDescent="0.25">
      <c r="A7">
        <f t="shared" si="0"/>
        <v>1</v>
      </c>
      <c r="B7" t="str">
        <f t="shared" si="1"/>
        <v/>
      </c>
      <c r="C7">
        <f>IF(OR(B7="",B7&lt;&gt;B15),1,C15+1)</f>
        <v>1</v>
      </c>
      <c r="D7" s="4"/>
      <c r="F7" t="e">
        <f>INDEX(Establishment!B$2:B$1005,MATCH($E7,Establishment!$A$2:$A$1005,0))</f>
        <v>#N/A</v>
      </c>
      <c r="G7" t="e">
        <f>INDEX(Establishment!C$2:C$1005,MATCH($E7,Establishment!$A$2:$A$1005,0))</f>
        <v>#N/A</v>
      </c>
      <c r="M7">
        <f>K7*L7</f>
        <v>0</v>
      </c>
      <c r="N7">
        <f t="shared" si="4"/>
        <v>0</v>
      </c>
      <c r="P7" t="e">
        <f>INDEX(Items!B$2:B$1032,MATCH($O7,Items!$A$2:$A$1032,0))</f>
        <v>#N/A</v>
      </c>
      <c r="Q7" t="e">
        <f>INDEX(Items!C$2:C$1032,MATCH($O7,Items!$A$2:$A$1032,0))</f>
        <v>#N/A</v>
      </c>
      <c r="R7" t="e">
        <f>INDEX(Items!D$2:D$1032,MATCH($O7,Items!$A$2:$A$1032,0))</f>
        <v>#N/A</v>
      </c>
    </row>
    <row r="8" spans="1:19" x14ac:dyDescent="0.25">
      <c r="A8">
        <f t="shared" si="0"/>
        <v>1</v>
      </c>
      <c r="B8" t="str">
        <f t="shared" si="1"/>
        <v/>
      </c>
      <c r="C8">
        <f>IF(OR(B8="",B8&lt;&gt;B7),1,C7+1)</f>
        <v>1</v>
      </c>
      <c r="D8" s="4"/>
      <c r="F8" t="e">
        <f>INDEX(Establishment!B$2:B$1005,MATCH($E8,Establishment!$A$2:$A$1005,0))</f>
        <v>#N/A</v>
      </c>
      <c r="G8" t="e">
        <f>INDEX(Establishment!C$2:C$1005,MATCH($E8,Establishment!$A$2:$A$1005,0))</f>
        <v>#N/A</v>
      </c>
      <c r="M8">
        <f>K8*L8</f>
        <v>0</v>
      </c>
      <c r="N8">
        <f t="shared" si="4"/>
        <v>0</v>
      </c>
      <c r="P8" t="e">
        <f>INDEX(Items!B$2:B$1032,MATCH($O8,Items!$A$2:$A$1032,0))</f>
        <v>#N/A</v>
      </c>
      <c r="Q8" t="e">
        <f>INDEX(Items!C$2:C$1032,MATCH($O8,Items!$A$2:$A$1032,0))</f>
        <v>#N/A</v>
      </c>
      <c r="R8" t="e">
        <f>INDEX(Items!D$2:D$1032,MATCH($O8,Items!$A$2:$A$1032,0))</f>
        <v>#N/A</v>
      </c>
    </row>
    <row r="9" spans="1:19" x14ac:dyDescent="0.25">
      <c r="A9">
        <f t="shared" si="0"/>
        <v>1</v>
      </c>
      <c r="B9" t="str">
        <f t="shared" si="1"/>
        <v/>
      </c>
      <c r="C9">
        <f>IF(OR(B9="",B9&lt;&gt;B8),1,C8+1)</f>
        <v>1</v>
      </c>
      <c r="D9" s="4"/>
      <c r="F9" t="e">
        <f>INDEX(Establishment!B$2:B$1005,MATCH($E9,Establishment!$A$2:$A$1005,0))</f>
        <v>#N/A</v>
      </c>
      <c r="G9" t="e">
        <f>INDEX(Establishment!C$2:C$1005,MATCH($E9,Establishment!$A$2:$A$1005,0))</f>
        <v>#N/A</v>
      </c>
      <c r="M9">
        <f>K9*L9</f>
        <v>0</v>
      </c>
      <c r="N9">
        <f t="shared" si="4"/>
        <v>0</v>
      </c>
      <c r="P9" t="e">
        <f>INDEX(Items!B$2:B$1032,MATCH($O9,Items!$A$2:$A$1032,0))</f>
        <v>#N/A</v>
      </c>
      <c r="Q9" t="e">
        <f>INDEX(Items!C$2:C$1032,MATCH($O9,Items!$A$2:$A$1032,0))</f>
        <v>#N/A</v>
      </c>
      <c r="R9" t="e">
        <f>INDEX(Items!D$2:D$1032,MATCH($O9,Items!$A$2:$A$1032,0))</f>
        <v>#N/A</v>
      </c>
    </row>
    <row r="10" spans="1:19" x14ac:dyDescent="0.25">
      <c r="A10">
        <f t="shared" si="0"/>
        <v>1</v>
      </c>
      <c r="B10" t="str">
        <f t="shared" si="1"/>
        <v/>
      </c>
      <c r="C10">
        <f t="shared" ref="C10:C73" si="5">IF(OR(B10="",B10&lt;&gt;B9),1,C9+1)</f>
        <v>1</v>
      </c>
      <c r="D10" s="4"/>
      <c r="F10" t="e">
        <f>INDEX(Establishment!B$2:B$1005,MATCH($E10,Establishment!$A$2:$A$1005,0))</f>
        <v>#N/A</v>
      </c>
      <c r="G10" t="e">
        <f>INDEX(Establishment!C$2:C$1005,MATCH($E10,Establishment!$A$2:$A$1005,0))</f>
        <v>#N/A</v>
      </c>
      <c r="M10">
        <f t="shared" ref="M10:M73" si="6">K10*L10</f>
        <v>0</v>
      </c>
      <c r="N10">
        <f t="shared" si="4"/>
        <v>0</v>
      </c>
      <c r="P10" t="e">
        <f>INDEX(Items!B$2:B$1032,MATCH($O10,Items!$A$2:$A$1032,0))</f>
        <v>#N/A</v>
      </c>
      <c r="Q10" t="e">
        <f>INDEX(Items!C$2:C$1032,MATCH($O10,Items!$A$2:$A$1032,0))</f>
        <v>#N/A</v>
      </c>
      <c r="R10" t="e">
        <f>INDEX(Items!D$2:D$1032,MATCH($O10,Items!$A$2:$A$1032,0))</f>
        <v>#N/A</v>
      </c>
    </row>
    <row r="11" spans="1:19" x14ac:dyDescent="0.25">
      <c r="A11">
        <f t="shared" si="0"/>
        <v>1</v>
      </c>
      <c r="B11" t="str">
        <f t="shared" si="1"/>
        <v/>
      </c>
      <c r="C11">
        <f t="shared" si="5"/>
        <v>1</v>
      </c>
      <c r="D11" s="4"/>
      <c r="F11" t="e">
        <f>INDEX(Establishment!B$2:B$1005,MATCH($E11,Establishment!$A$2:$A$1005,0))</f>
        <v>#N/A</v>
      </c>
      <c r="G11" t="e">
        <f>INDEX(Establishment!C$2:C$1005,MATCH($E11,Establishment!$A$2:$A$1005,0))</f>
        <v>#N/A</v>
      </c>
      <c r="M11">
        <f t="shared" si="6"/>
        <v>0</v>
      </c>
      <c r="N11">
        <f t="shared" si="4"/>
        <v>0</v>
      </c>
      <c r="P11" t="e">
        <f>INDEX(Items!B$2:B$1032,MATCH($O11,Items!$A$2:$A$1032,0))</f>
        <v>#N/A</v>
      </c>
      <c r="Q11" t="e">
        <f>INDEX(Items!C$2:C$1032,MATCH($O11,Items!$A$2:$A$1032,0))</f>
        <v>#N/A</v>
      </c>
      <c r="R11" t="e">
        <f>INDEX(Items!D$2:D$1032,MATCH($O11,Items!$A$2:$A$1032,0))</f>
        <v>#N/A</v>
      </c>
    </row>
    <row r="12" spans="1:19" x14ac:dyDescent="0.25">
      <c r="A12">
        <f t="shared" si="0"/>
        <v>1</v>
      </c>
      <c r="B12" t="str">
        <f t="shared" si="1"/>
        <v/>
      </c>
      <c r="C12">
        <f t="shared" si="5"/>
        <v>1</v>
      </c>
      <c r="D12" s="4"/>
      <c r="F12" t="e">
        <f>INDEX(Establishment!B$2:B$1005,MATCH($E12,Establishment!$A$2:$A$1005,0))</f>
        <v>#N/A</v>
      </c>
      <c r="G12" t="e">
        <f>INDEX(Establishment!C$2:C$1005,MATCH($E12,Establishment!$A$2:$A$1005,0))</f>
        <v>#N/A</v>
      </c>
      <c r="M12">
        <f t="shared" si="6"/>
        <v>0</v>
      </c>
      <c r="N12">
        <f t="shared" si="4"/>
        <v>0</v>
      </c>
      <c r="P12" t="e">
        <f>INDEX(Items!B$2:B$1032,MATCH($O12,Items!$A$2:$A$1032,0))</f>
        <v>#N/A</v>
      </c>
      <c r="Q12" t="e">
        <f>INDEX(Items!C$2:C$1032,MATCH($O12,Items!$A$2:$A$1032,0))</f>
        <v>#N/A</v>
      </c>
      <c r="R12" t="e">
        <f>INDEX(Items!D$2:D$1032,MATCH($O12,Items!$A$2:$A$1032,0))</f>
        <v>#N/A</v>
      </c>
    </row>
    <row r="13" spans="1:19" x14ac:dyDescent="0.25">
      <c r="A13">
        <f t="shared" si="0"/>
        <v>1</v>
      </c>
      <c r="B13" t="str">
        <f t="shared" si="1"/>
        <v/>
      </c>
      <c r="C13">
        <f t="shared" si="5"/>
        <v>1</v>
      </c>
      <c r="D13" s="4"/>
      <c r="F13" t="e">
        <f>INDEX(Establishment!B$2:B$1005,MATCH($E13,Establishment!$A$2:$A$1005,0))</f>
        <v>#N/A</v>
      </c>
      <c r="G13" t="e">
        <f>INDEX(Establishment!C$2:C$1005,MATCH($E13,Establishment!$A$2:$A$1005,0))</f>
        <v>#N/A</v>
      </c>
      <c r="M13">
        <f t="shared" si="6"/>
        <v>0</v>
      </c>
      <c r="N13">
        <f t="shared" si="4"/>
        <v>0</v>
      </c>
      <c r="P13" t="e">
        <f>INDEX(Items!B$2:B$1032,MATCH($O13,Items!$A$2:$A$1032,0))</f>
        <v>#N/A</v>
      </c>
      <c r="Q13" t="e">
        <f>INDEX(Items!C$2:C$1032,MATCH($O13,Items!$A$2:$A$1032,0))</f>
        <v>#N/A</v>
      </c>
      <c r="R13" t="e">
        <f>INDEX(Items!D$2:D$1032,MATCH($O13,Items!$A$2:$A$1032,0))</f>
        <v>#N/A</v>
      </c>
    </row>
    <row r="14" spans="1:19" x14ac:dyDescent="0.25">
      <c r="A14">
        <f t="shared" si="0"/>
        <v>1</v>
      </c>
      <c r="B14" t="str">
        <f t="shared" si="1"/>
        <v/>
      </c>
      <c r="C14">
        <f t="shared" si="5"/>
        <v>1</v>
      </c>
      <c r="D14" s="4"/>
      <c r="F14" t="e">
        <f>INDEX(Establishment!B$2:B$1005,MATCH($E14,Establishment!$A$2:$A$1005,0))</f>
        <v>#N/A</v>
      </c>
      <c r="G14" t="e">
        <f>INDEX(Establishment!C$2:C$1005,MATCH($E14,Establishment!$A$2:$A$1005,0))</f>
        <v>#N/A</v>
      </c>
      <c r="M14">
        <f t="shared" si="6"/>
        <v>0</v>
      </c>
      <c r="N14">
        <f t="shared" si="4"/>
        <v>0</v>
      </c>
      <c r="P14" t="e">
        <f>INDEX(Items!B$2:B$1032,MATCH($O14,Items!$A$2:$A$1032,0))</f>
        <v>#N/A</v>
      </c>
      <c r="Q14" t="e">
        <f>INDEX(Items!C$2:C$1032,MATCH($O14,Items!$A$2:$A$1032,0))</f>
        <v>#N/A</v>
      </c>
      <c r="R14" t="e">
        <f>INDEX(Items!D$2:D$1032,MATCH($O14,Items!$A$2:$A$1032,0))</f>
        <v>#N/A</v>
      </c>
    </row>
    <row r="15" spans="1:19" x14ac:dyDescent="0.25">
      <c r="A15">
        <f t="shared" si="0"/>
        <v>1</v>
      </c>
      <c r="B15" t="str">
        <f t="shared" si="1"/>
        <v/>
      </c>
      <c r="C15">
        <f t="shared" si="5"/>
        <v>1</v>
      </c>
      <c r="D15" s="4"/>
      <c r="F15" t="e">
        <f>INDEX(Establishment!B$2:B$1005,MATCH($E15,Establishment!$A$2:$A$1005,0))</f>
        <v>#N/A</v>
      </c>
      <c r="G15" t="e">
        <f>INDEX(Establishment!C$2:C$1005,MATCH($E15,Establishment!$A$2:$A$1005,0))</f>
        <v>#N/A</v>
      </c>
      <c r="M15">
        <f>K15*L15</f>
        <v>0</v>
      </c>
      <c r="N15">
        <f t="shared" si="4"/>
        <v>0</v>
      </c>
      <c r="P15" t="e">
        <f>INDEX(Items!B$2:B$1032,MATCH($O15,Items!$A$2:$A$1032,0))</f>
        <v>#N/A</v>
      </c>
      <c r="Q15" t="e">
        <f>INDEX(Items!C$2:C$1032,MATCH($O15,Items!$A$2:$A$1032,0))</f>
        <v>#N/A</v>
      </c>
      <c r="R15" t="e">
        <f>INDEX(Items!D$2:D$1032,MATCH($O15,Items!$A$2:$A$1032,0))</f>
        <v>#N/A</v>
      </c>
    </row>
    <row r="16" spans="1:19" x14ac:dyDescent="0.25">
      <c r="A16">
        <f t="shared" si="0"/>
        <v>1</v>
      </c>
      <c r="B16" t="str">
        <f t="shared" si="1"/>
        <v/>
      </c>
      <c r="C16">
        <f t="shared" si="5"/>
        <v>1</v>
      </c>
      <c r="D16" s="4"/>
      <c r="F16" t="e">
        <f>INDEX(Establishment!B$2:B$1005,MATCH($E16,Establishment!$A$2:$A$1005,0))</f>
        <v>#N/A</v>
      </c>
      <c r="G16" t="e">
        <f>INDEX(Establishment!C$2:C$1005,MATCH($E16,Establishment!$A$2:$A$1005,0))</f>
        <v>#N/A</v>
      </c>
      <c r="M16">
        <f t="shared" si="6"/>
        <v>0</v>
      </c>
      <c r="N16">
        <f t="shared" si="4"/>
        <v>0</v>
      </c>
      <c r="P16" t="e">
        <f>INDEX(Items!B$2:B$1032,MATCH($O16,Items!$A$2:$A$1032,0))</f>
        <v>#N/A</v>
      </c>
      <c r="Q16" t="e">
        <f>INDEX(Items!C$2:C$1032,MATCH($O16,Items!$A$2:$A$1032,0))</f>
        <v>#N/A</v>
      </c>
      <c r="R16" t="e">
        <f>INDEX(Items!D$2:D$1032,MATCH($O16,Items!$A$2:$A$1032,0))</f>
        <v>#N/A</v>
      </c>
    </row>
    <row r="17" spans="1:19" x14ac:dyDescent="0.25">
      <c r="A17">
        <f t="shared" si="0"/>
        <v>1</v>
      </c>
      <c r="B17" t="str">
        <f t="shared" si="1"/>
        <v/>
      </c>
      <c r="C17">
        <f t="shared" si="5"/>
        <v>1</v>
      </c>
      <c r="D17" s="4"/>
      <c r="F17" t="e">
        <f>INDEX(Establishment!B$2:B$1005,MATCH($E17,Establishment!$A$2:$A$1005,0))</f>
        <v>#N/A</v>
      </c>
      <c r="G17" t="e">
        <f>INDEX(Establishment!C$2:C$1005,MATCH($E17,Establishment!$A$2:$A$1005,0))</f>
        <v>#N/A</v>
      </c>
      <c r="M17">
        <f t="shared" si="6"/>
        <v>0</v>
      </c>
      <c r="N17">
        <f t="shared" si="4"/>
        <v>0</v>
      </c>
      <c r="P17" t="e">
        <f>INDEX(Items!B$2:B$1032,MATCH($O17,Items!$A$2:$A$1032,0))</f>
        <v>#N/A</v>
      </c>
      <c r="Q17" t="e">
        <f>INDEX(Items!C$2:C$1032,MATCH($O17,Items!$A$2:$A$1032,0))</f>
        <v>#N/A</v>
      </c>
      <c r="R17" t="e">
        <f>INDEX(Items!D$2:D$1032,MATCH($O17,Items!$A$2:$A$1032,0))</f>
        <v>#N/A</v>
      </c>
    </row>
    <row r="18" spans="1:19" s="1" customFormat="1" x14ac:dyDescent="0.25">
      <c r="A18" s="1">
        <f t="shared" si="0"/>
        <v>1</v>
      </c>
      <c r="B18" s="1" t="str">
        <f t="shared" si="1"/>
        <v>20230518A</v>
      </c>
      <c r="C18" s="1">
        <f t="shared" si="5"/>
        <v>1</v>
      </c>
      <c r="D18" s="12">
        <v>45064</v>
      </c>
      <c r="E18" s="1" t="s">
        <v>19</v>
      </c>
      <c r="F18" s="1" t="str">
        <f>INDEX(Establishment!B$2:B$1005,MATCH($E18,Establishment!$A$2:$A$1005,0))</f>
        <v>Metro Department</v>
      </c>
      <c r="G18" s="1" t="str">
        <f>INDEX(Establishment!C$2:C$1005,MATCH($E18,Establishment!$A$2:$A$1005,0))</f>
        <v>Super Metro (Basak)</v>
      </c>
      <c r="H18" s="1" t="s">
        <v>20</v>
      </c>
      <c r="I18" s="1">
        <v>359</v>
      </c>
      <c r="J18" s="1" t="s">
        <v>21</v>
      </c>
      <c r="K18" s="1">
        <v>1</v>
      </c>
      <c r="L18" s="1">
        <v>210</v>
      </c>
      <c r="M18" s="1">
        <f t="shared" si="6"/>
        <v>210</v>
      </c>
      <c r="N18" s="1">
        <f t="shared" si="4"/>
        <v>210</v>
      </c>
      <c r="O18" s="1" t="s">
        <v>22</v>
      </c>
      <c r="P18" s="1" t="str">
        <f>INDEX(Items!B$2:B$1032,MATCH($O18,Items!$A$2:$A$1032,0))</f>
        <v>Items</v>
      </c>
      <c r="Q18" s="1" t="str">
        <f>INDEX(Items!C$2:C$1032,MATCH($O18,Items!$A$2:$A$1032,0))</f>
        <v>Unliquidated</v>
      </c>
      <c r="R18" s="1">
        <f>INDEX(Items!D$2:D$1032,MATCH($O18,Items!$A$2:$A$1032,0))</f>
        <v>0</v>
      </c>
      <c r="S18" s="1" t="s">
        <v>23</v>
      </c>
    </row>
    <row r="19" spans="1:19" s="1" customFormat="1" x14ac:dyDescent="0.25">
      <c r="A19" s="1">
        <f t="shared" si="0"/>
        <v>1</v>
      </c>
      <c r="B19" s="1" t="str">
        <f t="shared" si="1"/>
        <v>20230518A</v>
      </c>
      <c r="C19" s="1">
        <f t="shared" si="5"/>
        <v>2</v>
      </c>
      <c r="D19" s="12">
        <v>45064</v>
      </c>
      <c r="E19" s="1" t="s">
        <v>19</v>
      </c>
      <c r="F19" s="1" t="str">
        <f>INDEX(Establishment!B$2:B$1005,MATCH($E19,Establishment!$A$2:$A$1005,0))</f>
        <v>Metro Department</v>
      </c>
      <c r="G19" s="1" t="str">
        <f>INDEX(Establishment!C$2:C$1005,MATCH($E19,Establishment!$A$2:$A$1005,0))</f>
        <v>Super Metro (Basak)</v>
      </c>
      <c r="J19" s="1" t="s">
        <v>21</v>
      </c>
      <c r="K19" s="1">
        <v>1</v>
      </c>
      <c r="L19" s="1">
        <v>79</v>
      </c>
      <c r="M19" s="1">
        <f t="shared" si="6"/>
        <v>79</v>
      </c>
      <c r="N19" s="1">
        <f t="shared" si="4"/>
        <v>289</v>
      </c>
      <c r="O19" s="1" t="s">
        <v>22</v>
      </c>
      <c r="P19" s="1" t="str">
        <f>INDEX(Items!B$2:B$1032,MATCH($O19,Items!$A$2:$A$1032,0))</f>
        <v>Items</v>
      </c>
      <c r="Q19" s="1" t="str">
        <f>INDEX(Items!C$2:C$1032,MATCH($O19,Items!$A$2:$A$1032,0))</f>
        <v>Unliquidated</v>
      </c>
      <c r="R19" s="1">
        <f>INDEX(Items!D$2:D$1032,MATCH($O19,Items!$A$2:$A$1032,0))</f>
        <v>0</v>
      </c>
      <c r="S19" s="1" t="s">
        <v>24</v>
      </c>
    </row>
    <row r="20" spans="1:19" s="1" customFormat="1" x14ac:dyDescent="0.25">
      <c r="A20" s="1">
        <f t="shared" si="0"/>
        <v>1</v>
      </c>
      <c r="B20" s="1" t="str">
        <f t="shared" si="1"/>
        <v>20230518A</v>
      </c>
      <c r="C20" s="1">
        <f t="shared" si="5"/>
        <v>3</v>
      </c>
      <c r="D20" s="12">
        <v>45064</v>
      </c>
      <c r="E20" s="1" t="s">
        <v>19</v>
      </c>
      <c r="F20" s="1" t="str">
        <f>INDEX(Establishment!B$2:B$1005,MATCH($E20,Establishment!$A$2:$A$1005,0))</f>
        <v>Metro Department</v>
      </c>
      <c r="G20" s="1" t="str">
        <f>INDEX(Establishment!C$2:C$1005,MATCH($E20,Establishment!$A$2:$A$1005,0))</f>
        <v>Super Metro (Basak)</v>
      </c>
      <c r="J20" s="1" t="s">
        <v>25</v>
      </c>
      <c r="K20" s="1">
        <v>2</v>
      </c>
      <c r="L20" s="1">
        <v>35</v>
      </c>
      <c r="M20" s="1">
        <f t="shared" si="6"/>
        <v>70</v>
      </c>
      <c r="N20" s="1">
        <f t="shared" si="4"/>
        <v>359</v>
      </c>
      <c r="O20" s="1" t="s">
        <v>22</v>
      </c>
      <c r="P20" s="1" t="str">
        <f>INDEX(Items!B$2:B$1032,MATCH($O20,Items!$A$2:$A$1032,0))</f>
        <v>Items</v>
      </c>
      <c r="Q20" s="1" t="str">
        <f>INDEX(Items!C$2:C$1032,MATCH($O20,Items!$A$2:$A$1032,0))</f>
        <v>Unliquidated</v>
      </c>
      <c r="R20" s="1">
        <f>INDEX(Items!D$2:D$1032,MATCH($O20,Items!$A$2:$A$1032,0))</f>
        <v>0</v>
      </c>
      <c r="S20" s="1" t="s">
        <v>26</v>
      </c>
    </row>
    <row r="21" spans="1:19" s="1" customFormat="1" x14ac:dyDescent="0.25">
      <c r="A21" s="1">
        <f t="shared" si="0"/>
        <v>1</v>
      </c>
      <c r="B21" s="1" t="str">
        <f t="shared" si="1"/>
        <v>20230519A</v>
      </c>
      <c r="C21" s="1">
        <f t="shared" si="5"/>
        <v>1</v>
      </c>
      <c r="D21" s="12">
        <v>45065</v>
      </c>
      <c r="E21" s="1" t="s">
        <v>27</v>
      </c>
      <c r="F21" s="1" t="str">
        <f>INDEX(Establishment!B$2:B$1005,MATCH($E21,Establishment!$A$2:$A$1005,0))</f>
        <v>Chowking</v>
      </c>
      <c r="G21" s="1" t="str">
        <f>INDEX(Establishment!C$2:C$1005,MATCH($E21,Establishment!$A$2:$A$1005,0))</f>
        <v>Guadalupe</v>
      </c>
      <c r="H21" s="1" t="s">
        <v>28</v>
      </c>
      <c r="I21" s="1">
        <v>225</v>
      </c>
      <c r="J21" s="1" t="s">
        <v>29</v>
      </c>
      <c r="K21" s="1">
        <v>1</v>
      </c>
      <c r="L21" s="1">
        <v>50</v>
      </c>
      <c r="M21" s="1">
        <f t="shared" si="6"/>
        <v>50</v>
      </c>
      <c r="N21" s="1">
        <f t="shared" si="4"/>
        <v>50</v>
      </c>
      <c r="O21" s="1" t="s">
        <v>30</v>
      </c>
      <c r="P21" s="1" t="str">
        <f>INDEX(Items!B$2:B$1032,MATCH($O21,Items!$A$2:$A$1032,0))</f>
        <v>Chowking</v>
      </c>
      <c r="Q21" s="1" t="str">
        <f>INDEX(Items!C$2:C$1032,MATCH($O21,Items!$A$2:$A$1032,0))</f>
        <v>Dish</v>
      </c>
      <c r="R21" s="1" t="str">
        <f>INDEX(Items!D$2:D$1032,MATCH($O21,Items!$A$2:$A$1032,0))</f>
        <v xml:space="preserve">Pork ChowFan </v>
      </c>
    </row>
    <row r="22" spans="1:19" s="1" customFormat="1" x14ac:dyDescent="0.25">
      <c r="A22" s="1">
        <f t="shared" si="0"/>
        <v>1</v>
      </c>
      <c r="B22" s="1" t="str">
        <f t="shared" si="1"/>
        <v>20230519A</v>
      </c>
      <c r="C22" s="1">
        <f t="shared" si="5"/>
        <v>2</v>
      </c>
      <c r="D22" s="12">
        <v>45065</v>
      </c>
      <c r="E22" s="1" t="s">
        <v>27</v>
      </c>
      <c r="F22" s="1" t="str">
        <f>INDEX(Establishment!B$2:B$1005,MATCH($E22,Establishment!$A$2:$A$1005,0))</f>
        <v>Chowking</v>
      </c>
      <c r="G22" s="1" t="str">
        <f>INDEX(Establishment!C$2:C$1005,MATCH($E22,Establishment!$A$2:$A$1005,0))</f>
        <v>Guadalupe</v>
      </c>
      <c r="J22" s="1" t="s">
        <v>31</v>
      </c>
      <c r="K22" s="1">
        <v>1</v>
      </c>
      <c r="L22" s="1">
        <v>50</v>
      </c>
      <c r="M22" s="1">
        <f t="shared" si="6"/>
        <v>50</v>
      </c>
      <c r="N22" s="1">
        <f t="shared" si="4"/>
        <v>100</v>
      </c>
      <c r="O22" s="1" t="s">
        <v>30</v>
      </c>
      <c r="P22" s="1" t="str">
        <f>INDEX(Items!B$2:B$1032,MATCH($O22,Items!$A$2:$A$1032,0))</f>
        <v>Chowking</v>
      </c>
      <c r="Q22" s="1" t="str">
        <f>INDEX(Items!C$2:C$1032,MATCH($O22,Items!$A$2:$A$1032,0))</f>
        <v>Dish</v>
      </c>
      <c r="R22" s="1" t="str">
        <f>INDEX(Items!D$2:D$1032,MATCH($O22,Items!$A$2:$A$1032,0))</f>
        <v xml:space="preserve">Pork ChowFan </v>
      </c>
    </row>
    <row r="23" spans="1:19" s="1" customFormat="1" x14ac:dyDescent="0.25">
      <c r="A23" s="1">
        <f t="shared" si="0"/>
        <v>1</v>
      </c>
      <c r="B23" s="1" t="str">
        <f t="shared" si="1"/>
        <v>20230519A</v>
      </c>
      <c r="C23" s="1">
        <f t="shared" si="5"/>
        <v>3</v>
      </c>
      <c r="D23" s="12">
        <v>45065</v>
      </c>
      <c r="E23" s="1" t="s">
        <v>27</v>
      </c>
      <c r="F23" s="1" t="str">
        <f>INDEX(Establishment!B$2:B$1005,MATCH($E23,Establishment!$A$2:$A$1005,0))</f>
        <v>Chowking</v>
      </c>
      <c r="G23" s="1" t="str">
        <f>INDEX(Establishment!C$2:C$1005,MATCH($E23,Establishment!$A$2:$A$1005,0))</f>
        <v>Guadalupe</v>
      </c>
      <c r="J23" s="1" t="s">
        <v>31</v>
      </c>
      <c r="K23" s="1">
        <v>1</v>
      </c>
      <c r="L23" s="1">
        <v>125</v>
      </c>
      <c r="M23" s="1">
        <f t="shared" si="6"/>
        <v>125</v>
      </c>
      <c r="N23" s="1">
        <f t="shared" si="4"/>
        <v>225</v>
      </c>
      <c r="O23" s="1" t="s">
        <v>32</v>
      </c>
      <c r="P23" s="1" t="str">
        <f>INDEX(Items!B$2:B$1032,MATCH($O23,Items!$A$2:$A$1032,0))</f>
        <v>Chowking</v>
      </c>
      <c r="Q23" s="1" t="str">
        <f>INDEX(Items!C$2:C$1032,MATCH($O23,Items!$A$2:$A$1032,0))</f>
        <v>Dish</v>
      </c>
      <c r="R23" s="1" t="str">
        <f>INDEX(Items!D$2:D$1032,MATCH($O23,Items!$A$2:$A$1032,0))</f>
        <v>Wanton Noodles Large</v>
      </c>
    </row>
    <row r="24" spans="1:19" s="1" customFormat="1" x14ac:dyDescent="0.25">
      <c r="A24" s="1">
        <f t="shared" si="0"/>
        <v>1</v>
      </c>
      <c r="B24" s="1" t="str">
        <f t="shared" si="1"/>
        <v>20230521A</v>
      </c>
      <c r="C24" s="1">
        <f t="shared" si="5"/>
        <v>1</v>
      </c>
      <c r="D24" s="12">
        <v>45067</v>
      </c>
      <c r="E24" s="1" t="s">
        <v>33</v>
      </c>
      <c r="F24" s="1" t="str">
        <f>INDEX(Establishment!B$2:B$1005,MATCH($E24,Establishment!$A$2:$A$1005,0))</f>
        <v>Thai Boran</v>
      </c>
      <c r="G24" s="1" t="str">
        <f>INDEX(Establishment!C$2:C$1005,MATCH($E24,Establishment!$A$2:$A$1005,0))</f>
        <v>Don Gil Garcia st.</v>
      </c>
      <c r="H24" s="1" t="s">
        <v>28</v>
      </c>
      <c r="I24" s="1">
        <v>500</v>
      </c>
      <c r="J24" s="1" t="s">
        <v>34</v>
      </c>
      <c r="K24" s="1">
        <v>1</v>
      </c>
      <c r="L24" s="1">
        <v>400</v>
      </c>
      <c r="M24" s="1">
        <f t="shared" si="6"/>
        <v>400</v>
      </c>
      <c r="N24" s="1">
        <f t="shared" si="4"/>
        <v>400</v>
      </c>
      <c r="O24" s="1" t="s">
        <v>35</v>
      </c>
      <c r="P24" s="1" t="str">
        <f>INDEX(Items!B$2:B$1032,MATCH($O24,Items!$A$2:$A$1032,0))</f>
        <v>Swedish</v>
      </c>
      <c r="Q24" s="1" t="str">
        <f>INDEX(Items!C$2:C$1032,MATCH($O24,Items!$A$2:$A$1032,0))</f>
        <v xml:space="preserve">Massage </v>
      </c>
      <c r="R24" s="1" t="str">
        <f>INDEX(Items!D$2:D$1032,MATCH($O24,Items!$A$2:$A$1032,0))</f>
        <v>1 hour</v>
      </c>
    </row>
    <row r="25" spans="1:19" s="1" customFormat="1" x14ac:dyDescent="0.25">
      <c r="A25" s="1">
        <f t="shared" si="0"/>
        <v>1</v>
      </c>
      <c r="B25" s="1" t="str">
        <f t="shared" si="1"/>
        <v>20230521A</v>
      </c>
      <c r="C25" s="1">
        <f t="shared" si="5"/>
        <v>2</v>
      </c>
      <c r="D25" s="12">
        <v>45067</v>
      </c>
      <c r="E25" s="1" t="s">
        <v>33</v>
      </c>
      <c r="F25" s="1" t="str">
        <f>INDEX(Establishment!B$2:B$1005,MATCH($E25,Establishment!$A$2:$A$1005,0))</f>
        <v>Thai Boran</v>
      </c>
      <c r="G25" s="1" t="str">
        <f>INDEX(Establishment!C$2:C$1005,MATCH($E25,Establishment!$A$2:$A$1005,0))</f>
        <v>Don Gil Garcia st.</v>
      </c>
      <c r="K25" s="1">
        <v>1</v>
      </c>
      <c r="L25" s="1">
        <v>100</v>
      </c>
      <c r="M25" s="1">
        <f t="shared" si="6"/>
        <v>100</v>
      </c>
      <c r="N25" s="1">
        <f t="shared" si="4"/>
        <v>500</v>
      </c>
      <c r="O25" s="1" t="s">
        <v>36</v>
      </c>
      <c r="P25" s="1">
        <f>INDEX(Items!B$2:B$1032,MATCH($O25,Items!$A$2:$A$1032,0))</f>
        <v>0</v>
      </c>
      <c r="Q25" s="1" t="str">
        <f>INDEX(Items!C$2:C$1032,MATCH($O25,Items!$A$2:$A$1032,0))</f>
        <v>Service</v>
      </c>
      <c r="R25" s="1" t="str">
        <f>INDEX(Items!D$2:D$1032,MATCH($O25,Items!$A$2:$A$1032,0))</f>
        <v>Tips</v>
      </c>
    </row>
    <row r="26" spans="1:19" s="1" customFormat="1" x14ac:dyDescent="0.25">
      <c r="A26" s="1">
        <f t="shared" si="0"/>
        <v>2</v>
      </c>
      <c r="B26" s="1" t="str">
        <f t="shared" si="1"/>
        <v>20230521B</v>
      </c>
      <c r="C26" s="1">
        <f t="shared" si="5"/>
        <v>1</v>
      </c>
      <c r="D26" s="12">
        <v>45067</v>
      </c>
      <c r="E26" s="1" t="s">
        <v>37</v>
      </c>
      <c r="F26" s="1" t="s">
        <v>43</v>
      </c>
      <c r="G26" s="1" t="s">
        <v>44</v>
      </c>
      <c r="H26" s="1" t="s">
        <v>20</v>
      </c>
      <c r="I26" s="1">
        <v>550.25</v>
      </c>
      <c r="J26" s="1" t="s">
        <v>38</v>
      </c>
      <c r="K26" s="1">
        <v>1</v>
      </c>
      <c r="L26" s="1">
        <v>550.25</v>
      </c>
      <c r="M26" s="1">
        <f t="shared" si="6"/>
        <v>550.25</v>
      </c>
      <c r="N26" s="1">
        <f t="shared" si="4"/>
        <v>550.25</v>
      </c>
      <c r="O26" s="1" t="s">
        <v>22</v>
      </c>
      <c r="P26" s="1" t="str">
        <f>INDEX(Items!B$2:B$1032,MATCH($O26,Items!$A$2:$A$1032,0))</f>
        <v>Items</v>
      </c>
      <c r="Q26" s="1" t="str">
        <f>INDEX(Items!C$2:C$1032,MATCH($O26,Items!$A$2:$A$1032,0))</f>
        <v>Unliquidated</v>
      </c>
      <c r="R26" s="1">
        <f>INDEX(Items!D$2:D$1032,MATCH($O26,Items!$A$2:$A$1032,0))</f>
        <v>0</v>
      </c>
    </row>
    <row r="27" spans="1:19" s="1" customFormat="1" x14ac:dyDescent="0.25">
      <c r="A27" s="1">
        <f t="shared" si="0"/>
        <v>1</v>
      </c>
      <c r="B27" s="1" t="str">
        <f t="shared" si="1"/>
        <v>20230523A</v>
      </c>
      <c r="C27" s="1">
        <f t="shared" si="5"/>
        <v>1</v>
      </c>
      <c r="D27" s="12">
        <v>45069</v>
      </c>
      <c r="E27" s="1" t="s">
        <v>39</v>
      </c>
      <c r="F27" s="1" t="s">
        <v>43</v>
      </c>
      <c r="G27" s="1" t="s">
        <v>44</v>
      </c>
      <c r="H27" s="1" t="s">
        <v>28</v>
      </c>
      <c r="I27" s="1">
        <v>105</v>
      </c>
      <c r="J27" s="1" t="s">
        <v>31</v>
      </c>
      <c r="K27" s="1">
        <v>2</v>
      </c>
      <c r="L27" s="1">
        <v>10</v>
      </c>
      <c r="M27" s="1">
        <f t="shared" si="6"/>
        <v>20</v>
      </c>
      <c r="N27" s="1">
        <f t="shared" si="4"/>
        <v>20</v>
      </c>
      <c r="O27" s="1" t="s">
        <v>40</v>
      </c>
      <c r="P27" s="1">
        <f>INDEX(Items!B$2:B$1032,MATCH($O27,Items!$A$2:$A$1032,0))</f>
        <v>0</v>
      </c>
      <c r="Q27" s="1" t="str">
        <f>INDEX(Items!C$2:C$1032,MATCH($O27,Items!$A$2:$A$1032,0))</f>
        <v>Dish</v>
      </c>
      <c r="R27" s="1" t="str">
        <f>INDEX(Items!D$2:D$1032,MATCH($O27,Items!$A$2:$A$1032,0))</f>
        <v>Rice</v>
      </c>
    </row>
    <row r="28" spans="1:19" s="1" customFormat="1" x14ac:dyDescent="0.25">
      <c r="A28" s="1">
        <f t="shared" si="0"/>
        <v>1</v>
      </c>
      <c r="B28" s="1" t="str">
        <f t="shared" si="1"/>
        <v>20230523A</v>
      </c>
      <c r="C28" s="1">
        <f t="shared" si="5"/>
        <v>2</v>
      </c>
      <c r="D28" s="12">
        <v>45069</v>
      </c>
      <c r="E28" s="1" t="s">
        <v>39</v>
      </c>
      <c r="F28" s="1" t="s">
        <v>43</v>
      </c>
      <c r="G28" s="1" t="s">
        <v>44</v>
      </c>
      <c r="J28" s="1" t="s">
        <v>31</v>
      </c>
      <c r="K28" s="1">
        <v>1</v>
      </c>
      <c r="L28" s="1">
        <v>45</v>
      </c>
      <c r="M28" s="1">
        <f t="shared" si="6"/>
        <v>45</v>
      </c>
      <c r="N28" s="1">
        <f t="shared" si="4"/>
        <v>65</v>
      </c>
      <c r="O28" s="1" t="s">
        <v>41</v>
      </c>
      <c r="P28" s="1">
        <f>INDEX(Items!B$2:B$1032,MATCH($O28,Items!$A$2:$A$1032,0))</f>
        <v>0</v>
      </c>
      <c r="Q28" s="1" t="str">
        <f>INDEX(Items!C$2:C$1032,MATCH($O28,Items!$A$2:$A$1032,0))</f>
        <v>Dish</v>
      </c>
      <c r="R28" s="1" t="str">
        <f>INDEX(Items!D$2:D$1032,MATCH($O28,Items!$A$2:$A$1032,0))</f>
        <v>Fried Chicken</v>
      </c>
    </row>
    <row r="29" spans="1:19" s="1" customFormat="1" x14ac:dyDescent="0.25">
      <c r="A29" s="1">
        <f t="shared" si="0"/>
        <v>2</v>
      </c>
      <c r="B29" s="1" t="str">
        <f t="shared" si="1"/>
        <v>20230523B</v>
      </c>
      <c r="C29" s="1">
        <f t="shared" si="5"/>
        <v>1</v>
      </c>
      <c r="D29" s="12">
        <v>45069</v>
      </c>
      <c r="E29" s="1" t="s">
        <v>39</v>
      </c>
      <c r="F29" s="1" t="str">
        <f>INDEX(Establishment!B$2:B$1005,MATCH($E29,Establishment!$A$2:$A$1005,0))</f>
        <v>Carenderia 14th Floor</v>
      </c>
      <c r="G29" s="1" t="str">
        <f>INDEX(Establishment!C$2:C$1005,MATCH($E29,Establishment!$A$2:$A$1005,0))</f>
        <v>ACC Tower Cebu Business Park</v>
      </c>
      <c r="J29" s="1" t="s">
        <v>31</v>
      </c>
      <c r="K29" s="1">
        <v>1</v>
      </c>
      <c r="L29" s="1">
        <v>40</v>
      </c>
      <c r="M29" s="1">
        <f t="shared" si="6"/>
        <v>40</v>
      </c>
      <c r="N29" s="1">
        <f t="shared" si="4"/>
        <v>40</v>
      </c>
      <c r="O29" s="1" t="s">
        <v>42</v>
      </c>
      <c r="P29" s="1">
        <f>INDEX(Items!B$2:B$1032,MATCH($O29,Items!$A$2:$A$1032,0))</f>
        <v>0</v>
      </c>
      <c r="Q29" s="1" t="str">
        <f>INDEX(Items!C$2:C$1032,MATCH($O29,Items!$A$2:$A$1032,0))</f>
        <v>Dish</v>
      </c>
      <c r="R29" s="1" t="str">
        <f>INDEX(Items!D$2:D$1032,MATCH($O29,Items!$A$2:$A$1032,0))</f>
        <v>Burger Steak</v>
      </c>
    </row>
    <row r="30" spans="1:19" s="1" customFormat="1" x14ac:dyDescent="0.25">
      <c r="A30" s="1">
        <f t="shared" si="0"/>
        <v>1</v>
      </c>
      <c r="B30" s="1" t="str">
        <f t="shared" si="1"/>
        <v>20230529A</v>
      </c>
      <c r="C30" s="1">
        <f t="shared" si="5"/>
        <v>1</v>
      </c>
      <c r="D30" s="12">
        <v>45075</v>
      </c>
      <c r="E30" s="1" t="s">
        <v>37</v>
      </c>
      <c r="F30" s="1" t="str">
        <f>INDEX(Establishment!B$2:B$1005,MATCH($E30,Establishment!$A$2:$A$1005,0))</f>
        <v>Metro Grocery</v>
      </c>
      <c r="G30" s="1" t="str">
        <f>INDEX(Establishment!C$2:C$1005,MATCH($E30,Establishment!$A$2:$A$1005,0))</f>
        <v>Super Metro (Basak)</v>
      </c>
      <c r="M30" s="1">
        <f t="shared" si="6"/>
        <v>0</v>
      </c>
      <c r="N30" s="1">
        <f t="shared" si="4"/>
        <v>0</v>
      </c>
      <c r="O30" s="1" t="s">
        <v>22</v>
      </c>
      <c r="P30" s="1" t="str">
        <f>INDEX(Items!B$2:B$1032,MATCH($O30,Items!$A$2:$A$1032,0))</f>
        <v>Items</v>
      </c>
      <c r="Q30" s="1" t="str">
        <f>INDEX(Items!C$2:C$1032,MATCH($O30,Items!$A$2:$A$1032,0))</f>
        <v>Unliquidated</v>
      </c>
      <c r="R30" s="1">
        <f>INDEX(Items!D$2:D$1032,MATCH($O30,Items!$A$2:$A$1032,0))</f>
        <v>0</v>
      </c>
    </row>
    <row r="31" spans="1:19" x14ac:dyDescent="0.25">
      <c r="A31">
        <f t="shared" si="0"/>
        <v>1</v>
      </c>
      <c r="B31" t="str">
        <f t="shared" si="1"/>
        <v/>
      </c>
      <c r="C31">
        <f t="shared" si="5"/>
        <v>1</v>
      </c>
      <c r="D31" s="4"/>
      <c r="F31" t="e">
        <f>INDEX(Establishment!B$2:B$1005,MATCH($E31,Establishment!$A$2:$A$1005,0))</f>
        <v>#N/A</v>
      </c>
      <c r="G31" t="e">
        <f>INDEX(Establishment!C$2:C$1005,MATCH($E31,Establishment!$A$2:$A$1005,0))</f>
        <v>#N/A</v>
      </c>
      <c r="M31">
        <f t="shared" si="6"/>
        <v>0</v>
      </c>
      <c r="N31">
        <f t="shared" si="4"/>
        <v>0</v>
      </c>
      <c r="P31" t="e">
        <f>INDEX(Items!B$2:B$1032,MATCH($O31,Items!$A$2:$A$1032,0))</f>
        <v>#N/A</v>
      </c>
      <c r="Q31" t="e">
        <f>INDEX(Items!C$2:C$1032,MATCH($O31,Items!$A$2:$A$1032,0))</f>
        <v>#N/A</v>
      </c>
      <c r="R31" t="e">
        <f>INDEX(Items!D$2:D$1032,MATCH($O31,Items!$A$2:$A$1032,0))</f>
        <v>#N/A</v>
      </c>
    </row>
    <row r="32" spans="1:19" x14ac:dyDescent="0.25">
      <c r="A32">
        <f t="shared" si="0"/>
        <v>1</v>
      </c>
      <c r="B32" t="str">
        <f t="shared" si="1"/>
        <v/>
      </c>
      <c r="C32">
        <f t="shared" si="5"/>
        <v>1</v>
      </c>
      <c r="D32" s="4"/>
      <c r="F32" t="e">
        <f>INDEX(Establishment!B$2:B$1005,MATCH($E32,Establishment!$A$2:$A$1005,0))</f>
        <v>#N/A</v>
      </c>
      <c r="G32" t="e">
        <f>INDEX(Establishment!C$2:C$1005,MATCH($E32,Establishment!$A$2:$A$1005,0))</f>
        <v>#N/A</v>
      </c>
      <c r="M32">
        <f t="shared" si="6"/>
        <v>0</v>
      </c>
      <c r="N32">
        <f t="shared" si="4"/>
        <v>0</v>
      </c>
      <c r="P32" t="e">
        <f>INDEX(Items!B$2:B$1032,MATCH($O32,Items!$A$2:$A$1032,0))</f>
        <v>#N/A</v>
      </c>
      <c r="Q32" t="e">
        <f>INDEX(Items!C$2:C$1032,MATCH($O32,Items!$A$2:$A$1032,0))</f>
        <v>#N/A</v>
      </c>
      <c r="R32" t="e">
        <f>INDEX(Items!D$2:D$1032,MATCH($O32,Items!$A$2:$A$1032,0))</f>
        <v>#N/A</v>
      </c>
    </row>
    <row r="33" spans="1:18" x14ac:dyDescent="0.25">
      <c r="A33">
        <f t="shared" si="0"/>
        <v>1</v>
      </c>
      <c r="B33" t="str">
        <f t="shared" si="1"/>
        <v/>
      </c>
      <c r="C33">
        <f t="shared" si="5"/>
        <v>1</v>
      </c>
      <c r="D33" s="4"/>
      <c r="F33" t="e">
        <f>INDEX(Establishment!B$2:B$1005,MATCH($E33,Establishment!$A$2:$A$1005,0))</f>
        <v>#N/A</v>
      </c>
      <c r="G33" t="e">
        <f>INDEX(Establishment!C$2:C$1005,MATCH($E33,Establishment!$A$2:$A$1005,0))</f>
        <v>#N/A</v>
      </c>
      <c r="M33">
        <f t="shared" si="6"/>
        <v>0</v>
      </c>
      <c r="N33">
        <f t="shared" si="4"/>
        <v>0</v>
      </c>
      <c r="P33" t="e">
        <f>INDEX(Items!B$2:B$1032,MATCH($O33,Items!$A$2:$A$1032,0))</f>
        <v>#N/A</v>
      </c>
      <c r="Q33" t="e">
        <f>INDEX(Items!C$2:C$1032,MATCH($O33,Items!$A$2:$A$1032,0))</f>
        <v>#N/A</v>
      </c>
      <c r="R33" t="e">
        <f>INDEX(Items!D$2:D$1032,MATCH($O33,Items!$A$2:$A$1032,0))</f>
        <v>#N/A</v>
      </c>
    </row>
    <row r="34" spans="1:18" x14ac:dyDescent="0.25">
      <c r="A34">
        <f t="shared" si="0"/>
        <v>1</v>
      </c>
      <c r="B34" t="str">
        <f t="shared" si="1"/>
        <v/>
      </c>
      <c r="C34">
        <f t="shared" si="5"/>
        <v>1</v>
      </c>
      <c r="D34" s="4"/>
      <c r="F34" t="e">
        <f>INDEX(Establishment!B$2:B$1005,MATCH($E34,Establishment!$A$2:$A$1005,0))</f>
        <v>#N/A</v>
      </c>
      <c r="G34" t="e">
        <f>INDEX(Establishment!C$2:C$1005,MATCH($E34,Establishment!$A$2:$A$1005,0))</f>
        <v>#N/A</v>
      </c>
      <c r="M34">
        <f t="shared" si="6"/>
        <v>0</v>
      </c>
      <c r="N34">
        <f t="shared" si="4"/>
        <v>0</v>
      </c>
      <c r="P34" t="e">
        <f>INDEX(Items!B$2:B$1032,MATCH($O34,Items!$A$2:$A$1032,0))</f>
        <v>#N/A</v>
      </c>
      <c r="Q34" t="e">
        <f>INDEX(Items!C$2:C$1032,MATCH($O34,Items!$A$2:$A$1032,0))</f>
        <v>#N/A</v>
      </c>
      <c r="R34" t="e">
        <f>INDEX(Items!D$2:D$1032,MATCH($O34,Items!$A$2:$A$1032,0))</f>
        <v>#N/A</v>
      </c>
    </row>
    <row r="35" spans="1:18" x14ac:dyDescent="0.25">
      <c r="A35">
        <f t="shared" si="0"/>
        <v>1</v>
      </c>
      <c r="B35" t="str">
        <f t="shared" si="1"/>
        <v/>
      </c>
      <c r="C35">
        <f t="shared" si="5"/>
        <v>1</v>
      </c>
      <c r="D35" s="4"/>
      <c r="F35" t="e">
        <f>INDEX(Establishment!B$2:B$1005,MATCH($E35,Establishment!$A$2:$A$1005,0))</f>
        <v>#N/A</v>
      </c>
      <c r="G35" t="e">
        <f>INDEX(Establishment!C$2:C$1005,MATCH($E35,Establishment!$A$2:$A$1005,0))</f>
        <v>#N/A</v>
      </c>
      <c r="M35">
        <f t="shared" si="6"/>
        <v>0</v>
      </c>
      <c r="N35">
        <f t="shared" si="4"/>
        <v>0</v>
      </c>
      <c r="P35" t="e">
        <f>INDEX(Items!B$2:B$1032,MATCH($O35,Items!$A$2:$A$1032,0))</f>
        <v>#N/A</v>
      </c>
      <c r="Q35" t="e">
        <f>INDEX(Items!C$2:C$1032,MATCH($O35,Items!$A$2:$A$1032,0))</f>
        <v>#N/A</v>
      </c>
      <c r="R35" t="e">
        <f>INDEX(Items!D$2:D$1032,MATCH($O35,Items!$A$2:$A$1032,0))</f>
        <v>#N/A</v>
      </c>
    </row>
    <row r="36" spans="1:18" x14ac:dyDescent="0.25">
      <c r="A36">
        <f t="shared" si="0"/>
        <v>1</v>
      </c>
      <c r="B36" t="str">
        <f t="shared" si="1"/>
        <v/>
      </c>
      <c r="C36">
        <f t="shared" si="5"/>
        <v>1</v>
      </c>
      <c r="D36" s="4"/>
      <c r="F36" t="e">
        <f>INDEX(Establishment!B$2:B$1005,MATCH($E36,Establishment!$A$2:$A$1005,0))</f>
        <v>#N/A</v>
      </c>
      <c r="G36" t="e">
        <f>INDEX(Establishment!C$2:C$1005,MATCH($E36,Establishment!$A$2:$A$1005,0))</f>
        <v>#N/A</v>
      </c>
      <c r="M36">
        <f t="shared" si="6"/>
        <v>0</v>
      </c>
      <c r="N36">
        <f t="shared" si="4"/>
        <v>0</v>
      </c>
      <c r="P36" t="e">
        <f>INDEX(Items!B$2:B$1032,MATCH($O36,Items!$A$2:$A$1032,0))</f>
        <v>#N/A</v>
      </c>
      <c r="Q36" t="e">
        <f>INDEX(Items!C$2:C$1032,MATCH($O36,Items!$A$2:$A$1032,0))</f>
        <v>#N/A</v>
      </c>
      <c r="R36" t="e">
        <f>INDEX(Items!D$2:D$1032,MATCH($O36,Items!$A$2:$A$1032,0))</f>
        <v>#N/A</v>
      </c>
    </row>
    <row r="37" spans="1:18" x14ac:dyDescent="0.25">
      <c r="A37">
        <f t="shared" si="0"/>
        <v>1</v>
      </c>
      <c r="B37" t="str">
        <f t="shared" si="1"/>
        <v/>
      </c>
      <c r="C37">
        <f t="shared" si="5"/>
        <v>1</v>
      </c>
      <c r="D37" s="4"/>
      <c r="F37" t="e">
        <f>INDEX(Establishment!B$2:B$1005,MATCH($E37,Establishment!$A$2:$A$1005,0))</f>
        <v>#N/A</v>
      </c>
      <c r="G37" t="e">
        <f>INDEX(Establishment!C$2:C$1005,MATCH($E37,Establishment!$A$2:$A$1005,0))</f>
        <v>#N/A</v>
      </c>
      <c r="M37">
        <f t="shared" si="6"/>
        <v>0</v>
      </c>
      <c r="N37">
        <f t="shared" si="4"/>
        <v>0</v>
      </c>
      <c r="P37" t="e">
        <f>INDEX(Items!B$2:B$1032,MATCH($O37,Items!$A$2:$A$1032,0))</f>
        <v>#N/A</v>
      </c>
      <c r="Q37" t="e">
        <f>INDEX(Items!C$2:C$1032,MATCH($O37,Items!$A$2:$A$1032,0))</f>
        <v>#N/A</v>
      </c>
      <c r="R37" t="e">
        <f>INDEX(Items!D$2:D$1032,MATCH($O37,Items!$A$2:$A$1032,0))</f>
        <v>#N/A</v>
      </c>
    </row>
    <row r="38" spans="1:18" x14ac:dyDescent="0.25">
      <c r="A38">
        <f t="shared" si="0"/>
        <v>1</v>
      </c>
      <c r="B38" t="str">
        <f t="shared" si="1"/>
        <v/>
      </c>
      <c r="C38">
        <f t="shared" si="5"/>
        <v>1</v>
      </c>
      <c r="D38" s="4"/>
      <c r="F38" t="e">
        <f>INDEX(Establishment!B$2:B$1005,MATCH($E38,Establishment!$A$2:$A$1005,0))</f>
        <v>#N/A</v>
      </c>
      <c r="G38" t="e">
        <f>INDEX(Establishment!C$2:C$1005,MATCH($E38,Establishment!$A$2:$A$1005,0))</f>
        <v>#N/A</v>
      </c>
      <c r="M38">
        <f t="shared" si="6"/>
        <v>0</v>
      </c>
      <c r="N38">
        <f t="shared" si="4"/>
        <v>0</v>
      </c>
      <c r="P38" t="e">
        <f>INDEX(Items!B$2:B$1032,MATCH($O38,Items!$A$2:$A$1032,0))</f>
        <v>#N/A</v>
      </c>
      <c r="Q38" t="e">
        <f>INDEX(Items!C$2:C$1032,MATCH($O38,Items!$A$2:$A$1032,0))</f>
        <v>#N/A</v>
      </c>
      <c r="R38" t="e">
        <f>INDEX(Items!D$2:D$1032,MATCH($O38,Items!$A$2:$A$1032,0))</f>
        <v>#N/A</v>
      </c>
    </row>
    <row r="39" spans="1:18" x14ac:dyDescent="0.25">
      <c r="A39">
        <f t="shared" si="0"/>
        <v>1</v>
      </c>
      <c r="B39" t="str">
        <f t="shared" si="1"/>
        <v/>
      </c>
      <c r="C39">
        <f t="shared" si="5"/>
        <v>1</v>
      </c>
      <c r="D39" s="4"/>
      <c r="F39" t="e">
        <f>INDEX(Establishment!B$2:B$1005,MATCH($E39,Establishment!$A$2:$A$1005,0))</f>
        <v>#N/A</v>
      </c>
      <c r="G39" t="e">
        <f>INDEX(Establishment!C$2:C$1005,MATCH($E39,Establishment!$A$2:$A$1005,0))</f>
        <v>#N/A</v>
      </c>
      <c r="M39">
        <f t="shared" si="6"/>
        <v>0</v>
      </c>
      <c r="N39">
        <f t="shared" si="4"/>
        <v>0</v>
      </c>
      <c r="P39" t="e">
        <f>INDEX(Items!B$2:B$1032,MATCH($O39,Items!$A$2:$A$1032,0))</f>
        <v>#N/A</v>
      </c>
      <c r="Q39" t="e">
        <f>INDEX(Items!C$2:C$1032,MATCH($O39,Items!$A$2:$A$1032,0))</f>
        <v>#N/A</v>
      </c>
      <c r="R39" t="e">
        <f>INDEX(Items!D$2:D$1032,MATCH($O39,Items!$A$2:$A$1032,0))</f>
        <v>#N/A</v>
      </c>
    </row>
    <row r="40" spans="1:18" x14ac:dyDescent="0.25">
      <c r="A40">
        <f t="shared" si="0"/>
        <v>1</v>
      </c>
      <c r="B40" t="str">
        <f t="shared" si="1"/>
        <v/>
      </c>
      <c r="C40">
        <f t="shared" si="5"/>
        <v>1</v>
      </c>
      <c r="D40" s="4"/>
      <c r="F40" t="e">
        <f>INDEX(Establishment!B$2:B$1005,MATCH($E40,Establishment!$A$2:$A$1005,0))</f>
        <v>#N/A</v>
      </c>
      <c r="G40" t="e">
        <f>INDEX(Establishment!C$2:C$1005,MATCH($E40,Establishment!$A$2:$A$1005,0))</f>
        <v>#N/A</v>
      </c>
      <c r="M40">
        <f t="shared" si="6"/>
        <v>0</v>
      </c>
      <c r="N40">
        <f t="shared" si="4"/>
        <v>0</v>
      </c>
      <c r="P40" t="e">
        <f>INDEX(Items!B$2:B$1032,MATCH($O40,Items!$A$2:$A$1032,0))</f>
        <v>#N/A</v>
      </c>
      <c r="Q40" t="e">
        <f>INDEX(Items!C$2:C$1032,MATCH($O40,Items!$A$2:$A$1032,0))</f>
        <v>#N/A</v>
      </c>
      <c r="R40" t="e">
        <f>INDEX(Items!D$2:D$1032,MATCH($O40,Items!$A$2:$A$1032,0))</f>
        <v>#N/A</v>
      </c>
    </row>
    <row r="41" spans="1:18" x14ac:dyDescent="0.25">
      <c r="A41">
        <f t="shared" si="0"/>
        <v>1</v>
      </c>
      <c r="B41" t="str">
        <f t="shared" si="1"/>
        <v/>
      </c>
      <c r="C41">
        <f t="shared" si="5"/>
        <v>1</v>
      </c>
      <c r="D41" s="4"/>
      <c r="F41" t="e">
        <f>INDEX(Establishment!B$2:B$1005,MATCH($E41,Establishment!$A$2:$A$1005,0))</f>
        <v>#N/A</v>
      </c>
      <c r="G41" t="e">
        <f>INDEX(Establishment!C$2:C$1005,MATCH($E41,Establishment!$A$2:$A$1005,0))</f>
        <v>#N/A</v>
      </c>
      <c r="M41">
        <f t="shared" si="6"/>
        <v>0</v>
      </c>
      <c r="N41">
        <f t="shared" si="4"/>
        <v>0</v>
      </c>
      <c r="P41" t="e">
        <f>INDEX(Items!B$2:B$1032,MATCH($O41,Items!$A$2:$A$1032,0))</f>
        <v>#N/A</v>
      </c>
      <c r="Q41" t="e">
        <f>INDEX(Items!C$2:C$1032,MATCH($O41,Items!$A$2:$A$1032,0))</f>
        <v>#N/A</v>
      </c>
      <c r="R41" t="e">
        <f>INDEX(Items!D$2:D$1032,MATCH($O41,Items!$A$2:$A$1032,0))</f>
        <v>#N/A</v>
      </c>
    </row>
    <row r="42" spans="1:18" x14ac:dyDescent="0.25">
      <c r="A42">
        <f t="shared" si="0"/>
        <v>1</v>
      </c>
      <c r="B42" t="str">
        <f t="shared" si="1"/>
        <v/>
      </c>
      <c r="C42">
        <f t="shared" si="5"/>
        <v>1</v>
      </c>
      <c r="D42" s="4"/>
      <c r="F42" t="e">
        <f>INDEX(Establishment!B$2:B$1005,MATCH($E42,Establishment!$A$2:$A$1005,0))</f>
        <v>#N/A</v>
      </c>
      <c r="G42" t="e">
        <f>INDEX(Establishment!C$2:C$1005,MATCH($E42,Establishment!$A$2:$A$1005,0))</f>
        <v>#N/A</v>
      </c>
      <c r="M42">
        <f t="shared" si="6"/>
        <v>0</v>
      </c>
      <c r="N42">
        <f t="shared" si="4"/>
        <v>0</v>
      </c>
      <c r="P42" t="e">
        <f>INDEX(Items!B$2:B$1032,MATCH($O42,Items!$A$2:$A$1032,0))</f>
        <v>#N/A</v>
      </c>
      <c r="Q42" t="e">
        <f>INDEX(Items!C$2:C$1032,MATCH($O42,Items!$A$2:$A$1032,0))</f>
        <v>#N/A</v>
      </c>
      <c r="R42" t="e">
        <f>INDEX(Items!D$2:D$1032,MATCH($O42,Items!$A$2:$A$1032,0))</f>
        <v>#N/A</v>
      </c>
    </row>
    <row r="43" spans="1:18" x14ac:dyDescent="0.25">
      <c r="A43">
        <f t="shared" si="0"/>
        <v>1</v>
      </c>
      <c r="B43" t="str">
        <f t="shared" si="1"/>
        <v/>
      </c>
      <c r="C43">
        <f t="shared" si="5"/>
        <v>1</v>
      </c>
      <c r="D43" s="4"/>
      <c r="F43" t="e">
        <f>INDEX(Establishment!B$2:B$1005,MATCH($E43,Establishment!$A$2:$A$1005,0))</f>
        <v>#N/A</v>
      </c>
      <c r="G43" t="e">
        <f>INDEX(Establishment!C$2:C$1005,MATCH($E43,Establishment!$A$2:$A$1005,0))</f>
        <v>#N/A</v>
      </c>
      <c r="M43">
        <f t="shared" si="6"/>
        <v>0</v>
      </c>
      <c r="N43">
        <f t="shared" si="4"/>
        <v>0</v>
      </c>
      <c r="P43" t="e">
        <f>INDEX(Items!B$2:B$1032,MATCH($O43,Items!$A$2:$A$1032,0))</f>
        <v>#N/A</v>
      </c>
      <c r="Q43" t="e">
        <f>INDEX(Items!C$2:C$1032,MATCH($O43,Items!$A$2:$A$1032,0))</f>
        <v>#N/A</v>
      </c>
      <c r="R43" t="e">
        <f>INDEX(Items!D$2:D$1032,MATCH($O43,Items!$A$2:$A$1032,0))</f>
        <v>#N/A</v>
      </c>
    </row>
    <row r="44" spans="1:18" x14ac:dyDescent="0.25">
      <c r="A44">
        <f t="shared" si="0"/>
        <v>1</v>
      </c>
      <c r="B44" t="str">
        <f t="shared" si="1"/>
        <v/>
      </c>
      <c r="C44">
        <f t="shared" si="5"/>
        <v>1</v>
      </c>
      <c r="D44" s="4"/>
      <c r="F44" t="e">
        <f>INDEX(Establishment!B$2:B$1005,MATCH($E44,Establishment!$A$2:$A$1005,0))</f>
        <v>#N/A</v>
      </c>
      <c r="G44" t="e">
        <f>INDEX(Establishment!C$2:C$1005,MATCH($E44,Establishment!$A$2:$A$1005,0))</f>
        <v>#N/A</v>
      </c>
      <c r="M44">
        <f t="shared" si="6"/>
        <v>0</v>
      </c>
      <c r="N44">
        <f t="shared" si="4"/>
        <v>0</v>
      </c>
      <c r="P44" t="e">
        <f>INDEX(Items!B$2:B$1032,MATCH($O44,Items!$A$2:$A$1032,0))</f>
        <v>#N/A</v>
      </c>
      <c r="Q44" t="e">
        <f>INDEX(Items!C$2:C$1032,MATCH($O44,Items!$A$2:$A$1032,0))</f>
        <v>#N/A</v>
      </c>
      <c r="R44" t="e">
        <f>INDEX(Items!D$2:D$1032,MATCH($O44,Items!$A$2:$A$1032,0))</f>
        <v>#N/A</v>
      </c>
    </row>
    <row r="45" spans="1:18" x14ac:dyDescent="0.25">
      <c r="A45">
        <f t="shared" si="0"/>
        <v>1</v>
      </c>
      <c r="B45" t="str">
        <f t="shared" si="1"/>
        <v/>
      </c>
      <c r="C45">
        <f t="shared" si="5"/>
        <v>1</v>
      </c>
      <c r="D45" s="4"/>
      <c r="F45" t="e">
        <f>INDEX(Establishment!B$2:B$1005,MATCH($E45,Establishment!$A$2:$A$1005,0))</f>
        <v>#N/A</v>
      </c>
      <c r="G45" t="e">
        <f>INDEX(Establishment!C$2:C$1005,MATCH($E45,Establishment!$A$2:$A$1005,0))</f>
        <v>#N/A</v>
      </c>
      <c r="M45">
        <f t="shared" si="6"/>
        <v>0</v>
      </c>
      <c r="N45">
        <f t="shared" si="4"/>
        <v>0</v>
      </c>
      <c r="P45" t="e">
        <f>INDEX(Items!B$2:B$1032,MATCH($O45,Items!$A$2:$A$1032,0))</f>
        <v>#N/A</v>
      </c>
      <c r="Q45" t="e">
        <f>INDEX(Items!C$2:C$1032,MATCH($O45,Items!$A$2:$A$1032,0))</f>
        <v>#N/A</v>
      </c>
      <c r="R45" t="e">
        <f>INDEX(Items!D$2:D$1032,MATCH($O45,Items!$A$2:$A$1032,0))</f>
        <v>#N/A</v>
      </c>
    </row>
    <row r="46" spans="1:18" x14ac:dyDescent="0.25">
      <c r="A46">
        <f t="shared" si="0"/>
        <v>1</v>
      </c>
      <c r="B46" t="str">
        <f t="shared" si="1"/>
        <v/>
      </c>
      <c r="C46">
        <f t="shared" si="5"/>
        <v>1</v>
      </c>
      <c r="D46" s="4"/>
      <c r="F46" t="e">
        <f>INDEX(Establishment!B$2:B$1005,MATCH($E46,Establishment!$A$2:$A$1005,0))</f>
        <v>#N/A</v>
      </c>
      <c r="G46" t="e">
        <f>INDEX(Establishment!C$2:C$1005,MATCH($E46,Establishment!$A$2:$A$1005,0))</f>
        <v>#N/A</v>
      </c>
      <c r="M46">
        <f t="shared" si="6"/>
        <v>0</v>
      </c>
      <c r="N46">
        <f t="shared" si="4"/>
        <v>0</v>
      </c>
      <c r="P46" t="e">
        <f>INDEX(Items!B$2:B$1032,MATCH($O46,Items!$A$2:$A$1032,0))</f>
        <v>#N/A</v>
      </c>
      <c r="Q46" t="e">
        <f>INDEX(Items!C$2:C$1032,MATCH($O46,Items!$A$2:$A$1032,0))</f>
        <v>#N/A</v>
      </c>
      <c r="R46" t="e">
        <f>INDEX(Items!D$2:D$1032,MATCH($O46,Items!$A$2:$A$1032,0))</f>
        <v>#N/A</v>
      </c>
    </row>
    <row r="47" spans="1:18" x14ac:dyDescent="0.25">
      <c r="A47">
        <f t="shared" si="0"/>
        <v>1</v>
      </c>
      <c r="B47" t="str">
        <f t="shared" si="1"/>
        <v/>
      </c>
      <c r="C47">
        <f t="shared" si="5"/>
        <v>1</v>
      </c>
      <c r="D47" s="4"/>
      <c r="F47" t="e">
        <f>INDEX(Establishment!B$2:B$1005,MATCH($E47,Establishment!$A$2:$A$1005,0))</f>
        <v>#N/A</v>
      </c>
      <c r="G47" t="e">
        <f>INDEX(Establishment!C$2:C$1005,MATCH($E47,Establishment!$A$2:$A$1005,0))</f>
        <v>#N/A</v>
      </c>
      <c r="M47">
        <f t="shared" si="6"/>
        <v>0</v>
      </c>
      <c r="N47">
        <f t="shared" si="4"/>
        <v>0</v>
      </c>
      <c r="P47" t="e">
        <f>INDEX(Items!B$2:B$1032,MATCH($O47,Items!$A$2:$A$1032,0))</f>
        <v>#N/A</v>
      </c>
      <c r="Q47" t="e">
        <f>INDEX(Items!C$2:C$1032,MATCH($O47,Items!$A$2:$A$1032,0))</f>
        <v>#N/A</v>
      </c>
      <c r="R47" t="e">
        <f>INDEX(Items!D$2:D$1032,MATCH($O47,Items!$A$2:$A$1032,0))</f>
        <v>#N/A</v>
      </c>
    </row>
    <row r="48" spans="1:18" x14ac:dyDescent="0.25">
      <c r="A48">
        <f t="shared" si="0"/>
        <v>1</v>
      </c>
      <c r="B48" t="str">
        <f t="shared" si="1"/>
        <v/>
      </c>
      <c r="C48">
        <f t="shared" si="5"/>
        <v>1</v>
      </c>
      <c r="D48" s="4"/>
      <c r="F48" t="e">
        <f>INDEX(Establishment!B$2:B$1005,MATCH($E48,Establishment!$A$2:$A$1005,0))</f>
        <v>#N/A</v>
      </c>
      <c r="G48" t="e">
        <f>INDEX(Establishment!C$2:C$1005,MATCH($E48,Establishment!$A$2:$A$1005,0))</f>
        <v>#N/A</v>
      </c>
      <c r="M48">
        <f t="shared" si="6"/>
        <v>0</v>
      </c>
      <c r="N48">
        <f t="shared" si="4"/>
        <v>0</v>
      </c>
      <c r="P48" t="e">
        <f>INDEX(Items!B$2:B$1032,MATCH($O48,Items!$A$2:$A$1032,0))</f>
        <v>#N/A</v>
      </c>
      <c r="Q48" t="e">
        <f>INDEX(Items!C$2:C$1032,MATCH($O48,Items!$A$2:$A$1032,0))</f>
        <v>#N/A</v>
      </c>
      <c r="R48" t="e">
        <f>INDEX(Items!D$2:D$1032,MATCH($O48,Items!$A$2:$A$1032,0))</f>
        <v>#N/A</v>
      </c>
    </row>
    <row r="49" spans="1:18" x14ac:dyDescent="0.25">
      <c r="A49">
        <f t="shared" si="0"/>
        <v>1</v>
      </c>
      <c r="B49" t="str">
        <f t="shared" si="1"/>
        <v/>
      </c>
      <c r="C49">
        <f t="shared" si="5"/>
        <v>1</v>
      </c>
      <c r="D49" s="4"/>
      <c r="F49" t="e">
        <f>INDEX(Establishment!B$2:B$1005,MATCH($E49,Establishment!$A$2:$A$1005,0))</f>
        <v>#N/A</v>
      </c>
      <c r="G49" t="e">
        <f>INDEX(Establishment!C$2:C$1005,MATCH($E49,Establishment!$A$2:$A$1005,0))</f>
        <v>#N/A</v>
      </c>
      <c r="M49">
        <f t="shared" si="6"/>
        <v>0</v>
      </c>
      <c r="N49">
        <f t="shared" si="4"/>
        <v>0</v>
      </c>
      <c r="P49" t="e">
        <f>INDEX(Items!B$2:B$1032,MATCH($O49,Items!$A$2:$A$1032,0))</f>
        <v>#N/A</v>
      </c>
      <c r="Q49" t="e">
        <f>INDEX(Items!C$2:C$1032,MATCH($O49,Items!$A$2:$A$1032,0))</f>
        <v>#N/A</v>
      </c>
      <c r="R49" t="e">
        <f>INDEX(Items!D$2:D$1032,MATCH($O49,Items!$A$2:$A$1032,0))</f>
        <v>#N/A</v>
      </c>
    </row>
    <row r="50" spans="1:18" x14ac:dyDescent="0.25">
      <c r="A50">
        <f t="shared" si="0"/>
        <v>1</v>
      </c>
      <c r="B50" t="str">
        <f t="shared" si="1"/>
        <v/>
      </c>
      <c r="C50">
        <f t="shared" si="5"/>
        <v>1</v>
      </c>
      <c r="D50" s="4"/>
      <c r="F50" t="e">
        <f>INDEX(Establishment!B$2:B$1005,MATCH($E50,Establishment!$A$2:$A$1005,0))</f>
        <v>#N/A</v>
      </c>
      <c r="G50" t="e">
        <f>INDEX(Establishment!C$2:C$1005,MATCH($E50,Establishment!$A$2:$A$1005,0))</f>
        <v>#N/A</v>
      </c>
      <c r="M50">
        <f t="shared" si="6"/>
        <v>0</v>
      </c>
      <c r="N50">
        <f t="shared" si="4"/>
        <v>0</v>
      </c>
      <c r="P50" t="e">
        <f>INDEX(Items!B$2:B$1032,MATCH($O50,Items!$A$2:$A$1032,0))</f>
        <v>#N/A</v>
      </c>
      <c r="Q50" t="e">
        <f>INDEX(Items!C$2:C$1032,MATCH($O50,Items!$A$2:$A$1032,0))</f>
        <v>#N/A</v>
      </c>
      <c r="R50" t="e">
        <f>INDEX(Items!D$2:D$1032,MATCH($O50,Items!$A$2:$A$1032,0))</f>
        <v>#N/A</v>
      </c>
    </row>
    <row r="51" spans="1:18" x14ac:dyDescent="0.25">
      <c r="A51">
        <f t="shared" si="0"/>
        <v>1</v>
      </c>
      <c r="B51" t="str">
        <f t="shared" si="1"/>
        <v/>
      </c>
      <c r="C51">
        <f t="shared" si="5"/>
        <v>1</v>
      </c>
      <c r="D51" s="4"/>
      <c r="F51" t="e">
        <f>INDEX(Establishment!B$2:B$1005,MATCH($E51,Establishment!$A$2:$A$1005,0))</f>
        <v>#N/A</v>
      </c>
      <c r="G51" t="e">
        <f>INDEX(Establishment!C$2:C$1005,MATCH($E51,Establishment!$A$2:$A$1005,0))</f>
        <v>#N/A</v>
      </c>
      <c r="M51">
        <f t="shared" si="6"/>
        <v>0</v>
      </c>
      <c r="N51">
        <f t="shared" si="4"/>
        <v>0</v>
      </c>
      <c r="P51" t="e">
        <f>INDEX(Items!B$2:B$1032,MATCH($O51,Items!$A$2:$A$1032,0))</f>
        <v>#N/A</v>
      </c>
      <c r="Q51" t="e">
        <f>INDEX(Items!C$2:C$1032,MATCH($O51,Items!$A$2:$A$1032,0))</f>
        <v>#N/A</v>
      </c>
      <c r="R51" t="e">
        <f>INDEX(Items!D$2:D$1032,MATCH($O51,Items!$A$2:$A$1032,0))</f>
        <v>#N/A</v>
      </c>
    </row>
    <row r="52" spans="1:18" x14ac:dyDescent="0.25">
      <c r="A52">
        <f t="shared" si="0"/>
        <v>1</v>
      </c>
      <c r="B52" t="str">
        <f t="shared" si="1"/>
        <v/>
      </c>
      <c r="C52">
        <f t="shared" si="5"/>
        <v>1</v>
      </c>
      <c r="D52" s="4"/>
      <c r="F52" t="e">
        <f>INDEX(Establishment!B$2:B$1005,MATCH($E52,Establishment!$A$2:$A$1005,0))</f>
        <v>#N/A</v>
      </c>
      <c r="G52" t="e">
        <f>INDEX(Establishment!C$2:C$1005,MATCH($E52,Establishment!$A$2:$A$1005,0))</f>
        <v>#N/A</v>
      </c>
      <c r="M52">
        <f t="shared" si="6"/>
        <v>0</v>
      </c>
      <c r="N52">
        <f t="shared" si="4"/>
        <v>0</v>
      </c>
      <c r="P52" t="e">
        <f>INDEX(Items!B$2:B$1032,MATCH($O52,Items!$A$2:$A$1032,0))</f>
        <v>#N/A</v>
      </c>
      <c r="Q52" t="e">
        <f>INDEX(Items!C$2:C$1032,MATCH($O52,Items!$A$2:$A$1032,0))</f>
        <v>#N/A</v>
      </c>
      <c r="R52" t="e">
        <f>INDEX(Items!D$2:D$1032,MATCH($O52,Items!$A$2:$A$1032,0))</f>
        <v>#N/A</v>
      </c>
    </row>
    <row r="53" spans="1:18" x14ac:dyDescent="0.25">
      <c r="A53">
        <f t="shared" si="0"/>
        <v>1</v>
      </c>
      <c r="B53" t="str">
        <f t="shared" si="1"/>
        <v/>
      </c>
      <c r="C53">
        <f t="shared" si="5"/>
        <v>1</v>
      </c>
      <c r="D53" s="4"/>
      <c r="F53" t="e">
        <f>INDEX(Establishment!B$2:B$1005,MATCH($E53,Establishment!$A$2:$A$1005,0))</f>
        <v>#N/A</v>
      </c>
      <c r="G53" t="e">
        <f>INDEX(Establishment!C$2:C$1005,MATCH($E53,Establishment!$A$2:$A$1005,0))</f>
        <v>#N/A</v>
      </c>
      <c r="M53">
        <f t="shared" si="6"/>
        <v>0</v>
      </c>
      <c r="N53">
        <f t="shared" si="4"/>
        <v>0</v>
      </c>
      <c r="P53" t="e">
        <f>INDEX(Items!B$2:B$1032,MATCH($O53,Items!$A$2:$A$1032,0))</f>
        <v>#N/A</v>
      </c>
      <c r="Q53" t="e">
        <f>INDEX(Items!C$2:C$1032,MATCH($O53,Items!$A$2:$A$1032,0))</f>
        <v>#N/A</v>
      </c>
      <c r="R53" t="e">
        <f>INDEX(Items!D$2:D$1032,MATCH($O53,Items!$A$2:$A$1032,0))</f>
        <v>#N/A</v>
      </c>
    </row>
    <row r="54" spans="1:18" x14ac:dyDescent="0.25">
      <c r="A54">
        <f t="shared" si="0"/>
        <v>1</v>
      </c>
      <c r="B54" t="str">
        <f t="shared" si="1"/>
        <v/>
      </c>
      <c r="C54">
        <f t="shared" si="5"/>
        <v>1</v>
      </c>
      <c r="D54" s="4"/>
      <c r="F54" t="e">
        <f>INDEX(Establishment!B$2:B$1005,MATCH($E54,Establishment!$A$2:$A$1005,0))</f>
        <v>#N/A</v>
      </c>
      <c r="G54" t="e">
        <f>INDEX(Establishment!C$2:C$1005,MATCH($E54,Establishment!$A$2:$A$1005,0))</f>
        <v>#N/A</v>
      </c>
      <c r="M54">
        <f t="shared" si="6"/>
        <v>0</v>
      </c>
      <c r="N54">
        <f t="shared" si="4"/>
        <v>0</v>
      </c>
      <c r="P54" t="e">
        <f>INDEX(Items!B$2:B$1032,MATCH($O54,Items!$A$2:$A$1032,0))</f>
        <v>#N/A</v>
      </c>
      <c r="Q54" t="e">
        <f>INDEX(Items!C$2:C$1032,MATCH($O54,Items!$A$2:$A$1032,0))</f>
        <v>#N/A</v>
      </c>
      <c r="R54" t="e">
        <f>INDEX(Items!D$2:D$1032,MATCH($O54,Items!$A$2:$A$1032,0))</f>
        <v>#N/A</v>
      </c>
    </row>
    <row r="55" spans="1:18" x14ac:dyDescent="0.25">
      <c r="A55">
        <f t="shared" si="0"/>
        <v>1</v>
      </c>
      <c r="B55" t="str">
        <f t="shared" si="1"/>
        <v/>
      </c>
      <c r="C55">
        <f t="shared" si="5"/>
        <v>1</v>
      </c>
      <c r="D55" s="4"/>
      <c r="F55" t="e">
        <f>INDEX(Establishment!B$2:B$1005,MATCH($E55,Establishment!$A$2:$A$1005,0))</f>
        <v>#N/A</v>
      </c>
      <c r="G55" t="e">
        <f>INDEX(Establishment!C$2:C$1005,MATCH($E55,Establishment!$A$2:$A$1005,0))</f>
        <v>#N/A</v>
      </c>
      <c r="M55">
        <f t="shared" si="6"/>
        <v>0</v>
      </c>
      <c r="N55">
        <f t="shared" si="4"/>
        <v>0</v>
      </c>
      <c r="P55" t="e">
        <f>INDEX(Items!B$2:B$1032,MATCH($O55,Items!$A$2:$A$1032,0))</f>
        <v>#N/A</v>
      </c>
      <c r="Q55" t="e">
        <f>INDEX(Items!C$2:C$1032,MATCH($O55,Items!$A$2:$A$1032,0))</f>
        <v>#N/A</v>
      </c>
      <c r="R55" t="e">
        <f>INDEX(Items!D$2:D$1032,MATCH($O55,Items!$A$2:$A$1032,0))</f>
        <v>#N/A</v>
      </c>
    </row>
    <row r="56" spans="1:18" x14ac:dyDescent="0.25">
      <c r="A56">
        <f t="shared" si="0"/>
        <v>1</v>
      </c>
      <c r="B56" t="str">
        <f t="shared" si="1"/>
        <v/>
      </c>
      <c r="C56">
        <f t="shared" si="5"/>
        <v>1</v>
      </c>
      <c r="D56" s="4"/>
      <c r="F56" t="e">
        <f>INDEX(Establishment!B$2:B$1005,MATCH($E56,Establishment!$A$2:$A$1005,0))</f>
        <v>#N/A</v>
      </c>
      <c r="G56" t="e">
        <f>INDEX(Establishment!C$2:C$1005,MATCH($E56,Establishment!$A$2:$A$1005,0))</f>
        <v>#N/A</v>
      </c>
      <c r="M56">
        <f t="shared" si="6"/>
        <v>0</v>
      </c>
      <c r="N56">
        <f t="shared" si="4"/>
        <v>0</v>
      </c>
      <c r="P56" t="e">
        <f>INDEX(Items!B$2:B$1032,MATCH($O56,Items!$A$2:$A$1032,0))</f>
        <v>#N/A</v>
      </c>
      <c r="Q56" t="e">
        <f>INDEX(Items!C$2:C$1032,MATCH($O56,Items!$A$2:$A$1032,0))</f>
        <v>#N/A</v>
      </c>
      <c r="R56" t="e">
        <f>INDEX(Items!D$2:D$1032,MATCH($O56,Items!$A$2:$A$1032,0))</f>
        <v>#N/A</v>
      </c>
    </row>
    <row r="57" spans="1:18" x14ac:dyDescent="0.25">
      <c r="A57">
        <f t="shared" si="0"/>
        <v>1</v>
      </c>
      <c r="B57" t="str">
        <f t="shared" si="1"/>
        <v/>
      </c>
      <c r="C57">
        <f t="shared" si="5"/>
        <v>1</v>
      </c>
      <c r="D57" s="4"/>
      <c r="F57" t="e">
        <f>INDEX(Establishment!B$2:B$1005,MATCH($E57,Establishment!$A$2:$A$1005,0))</f>
        <v>#N/A</v>
      </c>
      <c r="G57" t="e">
        <f>INDEX(Establishment!C$2:C$1005,MATCH($E57,Establishment!$A$2:$A$1005,0))</f>
        <v>#N/A</v>
      </c>
      <c r="M57">
        <f t="shared" si="6"/>
        <v>0</v>
      </c>
      <c r="N57">
        <f t="shared" si="4"/>
        <v>0</v>
      </c>
      <c r="P57" t="e">
        <f>INDEX(Items!B$2:B$1032,MATCH($O57,Items!$A$2:$A$1032,0))</f>
        <v>#N/A</v>
      </c>
      <c r="Q57" t="e">
        <f>INDEX(Items!C$2:C$1032,MATCH($O57,Items!$A$2:$A$1032,0))</f>
        <v>#N/A</v>
      </c>
      <c r="R57" t="e">
        <f>INDEX(Items!D$2:D$1032,MATCH($O57,Items!$A$2:$A$1032,0))</f>
        <v>#N/A</v>
      </c>
    </row>
    <row r="58" spans="1:18" x14ac:dyDescent="0.25">
      <c r="A58">
        <f t="shared" si="0"/>
        <v>1</v>
      </c>
      <c r="B58" t="str">
        <f t="shared" si="1"/>
        <v/>
      </c>
      <c r="C58">
        <f t="shared" si="5"/>
        <v>1</v>
      </c>
      <c r="D58" s="4"/>
      <c r="F58" t="e">
        <f>INDEX(Establishment!B$2:B$1005,MATCH($E58,Establishment!$A$2:$A$1005,0))</f>
        <v>#N/A</v>
      </c>
      <c r="G58" t="e">
        <f>INDEX(Establishment!C$2:C$1005,MATCH($E58,Establishment!$A$2:$A$1005,0))</f>
        <v>#N/A</v>
      </c>
      <c r="M58">
        <f t="shared" si="6"/>
        <v>0</v>
      </c>
      <c r="N58">
        <f t="shared" si="4"/>
        <v>0</v>
      </c>
      <c r="P58" t="e">
        <f>INDEX(Items!B$2:B$1032,MATCH($O58,Items!$A$2:$A$1032,0))</f>
        <v>#N/A</v>
      </c>
      <c r="Q58" t="e">
        <f>INDEX(Items!C$2:C$1032,MATCH($O58,Items!$A$2:$A$1032,0))</f>
        <v>#N/A</v>
      </c>
      <c r="R58" t="e">
        <f>INDEX(Items!D$2:D$1032,MATCH($O58,Items!$A$2:$A$1032,0))</f>
        <v>#N/A</v>
      </c>
    </row>
    <row r="59" spans="1:18" x14ac:dyDescent="0.25">
      <c r="A59">
        <f t="shared" si="0"/>
        <v>1</v>
      </c>
      <c r="B59" t="str">
        <f t="shared" si="1"/>
        <v/>
      </c>
      <c r="C59">
        <f t="shared" si="5"/>
        <v>1</v>
      </c>
      <c r="D59" s="4"/>
      <c r="F59" t="e">
        <f>INDEX(Establishment!B$2:B$1005,MATCH($E59,Establishment!$A$2:$A$1005,0))</f>
        <v>#N/A</v>
      </c>
      <c r="G59" t="e">
        <f>INDEX(Establishment!C$2:C$1005,MATCH($E59,Establishment!$A$2:$A$1005,0))</f>
        <v>#N/A</v>
      </c>
      <c r="M59">
        <f t="shared" si="6"/>
        <v>0</v>
      </c>
      <c r="N59">
        <f t="shared" si="4"/>
        <v>0</v>
      </c>
      <c r="P59" t="e">
        <f>INDEX(Items!B$2:B$1032,MATCH($O59,Items!$A$2:$A$1032,0))</f>
        <v>#N/A</v>
      </c>
      <c r="Q59" t="e">
        <f>INDEX(Items!C$2:C$1032,MATCH($O59,Items!$A$2:$A$1032,0))</f>
        <v>#N/A</v>
      </c>
      <c r="R59" t="e">
        <f>INDEX(Items!D$2:D$1032,MATCH($O59,Items!$A$2:$A$1032,0))</f>
        <v>#N/A</v>
      </c>
    </row>
    <row r="60" spans="1:18" x14ac:dyDescent="0.25">
      <c r="A60">
        <f t="shared" si="0"/>
        <v>1</v>
      </c>
      <c r="B60" t="str">
        <f t="shared" si="1"/>
        <v/>
      </c>
      <c r="C60">
        <f t="shared" si="5"/>
        <v>1</v>
      </c>
      <c r="D60" s="4"/>
      <c r="F60" t="e">
        <f>INDEX(Establishment!B$2:B$1005,MATCH($E60,Establishment!$A$2:$A$1005,0))</f>
        <v>#N/A</v>
      </c>
      <c r="G60" t="e">
        <f>INDEX(Establishment!C$2:C$1005,MATCH($E60,Establishment!$A$2:$A$1005,0))</f>
        <v>#N/A</v>
      </c>
      <c r="M60">
        <f t="shared" si="6"/>
        <v>0</v>
      </c>
      <c r="N60">
        <f t="shared" si="4"/>
        <v>0</v>
      </c>
      <c r="P60" t="e">
        <f>INDEX(Items!B$2:B$1032,MATCH($O60,Items!$A$2:$A$1032,0))</f>
        <v>#N/A</v>
      </c>
      <c r="Q60" t="e">
        <f>INDEX(Items!C$2:C$1032,MATCH($O60,Items!$A$2:$A$1032,0))</f>
        <v>#N/A</v>
      </c>
      <c r="R60" t="e">
        <f>INDEX(Items!D$2:D$1032,MATCH($O60,Items!$A$2:$A$1032,0))</f>
        <v>#N/A</v>
      </c>
    </row>
    <row r="61" spans="1:18" x14ac:dyDescent="0.25">
      <c r="A61">
        <f t="shared" si="0"/>
        <v>1</v>
      </c>
      <c r="B61" t="str">
        <f t="shared" si="1"/>
        <v/>
      </c>
      <c r="C61">
        <f t="shared" si="5"/>
        <v>1</v>
      </c>
      <c r="D61" s="4"/>
      <c r="F61" t="e">
        <f>INDEX(Establishment!B$2:B$1005,MATCH($E61,Establishment!$A$2:$A$1005,0))</f>
        <v>#N/A</v>
      </c>
      <c r="G61" t="e">
        <f>INDEX(Establishment!C$2:C$1005,MATCH($E61,Establishment!$A$2:$A$1005,0))</f>
        <v>#N/A</v>
      </c>
      <c r="M61">
        <f t="shared" si="6"/>
        <v>0</v>
      </c>
      <c r="N61">
        <f t="shared" si="4"/>
        <v>0</v>
      </c>
      <c r="P61" t="e">
        <f>INDEX(Items!B$2:B$1032,MATCH($O61,Items!$A$2:$A$1032,0))</f>
        <v>#N/A</v>
      </c>
      <c r="Q61" t="e">
        <f>INDEX(Items!C$2:C$1032,MATCH($O61,Items!$A$2:$A$1032,0))</f>
        <v>#N/A</v>
      </c>
      <c r="R61" t="e">
        <f>INDEX(Items!D$2:D$1032,MATCH($O61,Items!$A$2:$A$1032,0))</f>
        <v>#N/A</v>
      </c>
    </row>
    <row r="62" spans="1:18" x14ac:dyDescent="0.25">
      <c r="A62">
        <f t="shared" si="0"/>
        <v>1</v>
      </c>
      <c r="B62" t="str">
        <f t="shared" si="1"/>
        <v/>
      </c>
      <c r="C62">
        <f t="shared" si="5"/>
        <v>1</v>
      </c>
      <c r="D62" s="4"/>
      <c r="F62" t="e">
        <f>INDEX(Establishment!B$2:B$1005,MATCH($E62,Establishment!$A$2:$A$1005,0))</f>
        <v>#N/A</v>
      </c>
      <c r="G62" t="e">
        <f>INDEX(Establishment!C$2:C$1005,MATCH($E62,Establishment!$A$2:$A$1005,0))</f>
        <v>#N/A</v>
      </c>
      <c r="M62">
        <f t="shared" si="6"/>
        <v>0</v>
      </c>
      <c r="N62">
        <f t="shared" si="4"/>
        <v>0</v>
      </c>
      <c r="P62" t="e">
        <f>INDEX(Items!B$2:B$1032,MATCH($O62,Items!$A$2:$A$1032,0))</f>
        <v>#N/A</v>
      </c>
      <c r="Q62" t="e">
        <f>INDEX(Items!C$2:C$1032,MATCH($O62,Items!$A$2:$A$1032,0))</f>
        <v>#N/A</v>
      </c>
      <c r="R62" t="e">
        <f>INDEX(Items!D$2:D$1032,MATCH($O62,Items!$A$2:$A$1032,0))</f>
        <v>#N/A</v>
      </c>
    </row>
    <row r="63" spans="1:18" x14ac:dyDescent="0.25">
      <c r="A63">
        <f t="shared" si="0"/>
        <v>1</v>
      </c>
      <c r="B63" t="str">
        <f t="shared" si="1"/>
        <v/>
      </c>
      <c r="C63">
        <f t="shared" si="5"/>
        <v>1</v>
      </c>
      <c r="D63" s="4"/>
      <c r="F63" t="e">
        <f>INDEX(Establishment!B$2:B$1005,MATCH($E63,Establishment!$A$2:$A$1005,0))</f>
        <v>#N/A</v>
      </c>
      <c r="G63" t="e">
        <f>INDEX(Establishment!C$2:C$1005,MATCH($E63,Establishment!$A$2:$A$1005,0))</f>
        <v>#N/A</v>
      </c>
      <c r="M63">
        <f t="shared" si="6"/>
        <v>0</v>
      </c>
      <c r="N63">
        <f t="shared" si="4"/>
        <v>0</v>
      </c>
      <c r="P63" t="e">
        <f>INDEX(Items!B$2:B$1032,MATCH($O63,Items!$A$2:$A$1032,0))</f>
        <v>#N/A</v>
      </c>
      <c r="Q63" t="e">
        <f>INDEX(Items!C$2:C$1032,MATCH($O63,Items!$A$2:$A$1032,0))</f>
        <v>#N/A</v>
      </c>
      <c r="R63" t="e">
        <f>INDEX(Items!D$2:D$1032,MATCH($O63,Items!$A$2:$A$1032,0))</f>
        <v>#N/A</v>
      </c>
    </row>
    <row r="64" spans="1:18" x14ac:dyDescent="0.25">
      <c r="A64">
        <f t="shared" si="0"/>
        <v>1</v>
      </c>
      <c r="B64" t="str">
        <f t="shared" si="1"/>
        <v/>
      </c>
      <c r="C64">
        <f t="shared" si="5"/>
        <v>1</v>
      </c>
      <c r="D64" s="4"/>
      <c r="F64" t="e">
        <f>INDEX(Establishment!B$2:B$1005,MATCH($E64,Establishment!$A$2:$A$1005,0))</f>
        <v>#N/A</v>
      </c>
      <c r="G64" t="e">
        <f>INDEX(Establishment!C$2:C$1005,MATCH($E64,Establishment!$A$2:$A$1005,0))</f>
        <v>#N/A</v>
      </c>
      <c r="M64">
        <f t="shared" si="6"/>
        <v>0</v>
      </c>
      <c r="N64">
        <f t="shared" si="4"/>
        <v>0</v>
      </c>
      <c r="P64" t="e">
        <f>INDEX(Items!B$2:B$1032,MATCH($O64,Items!$A$2:$A$1032,0))</f>
        <v>#N/A</v>
      </c>
      <c r="Q64" t="e">
        <f>INDEX(Items!C$2:C$1032,MATCH($O64,Items!$A$2:$A$1032,0))</f>
        <v>#N/A</v>
      </c>
      <c r="R64" t="e">
        <f>INDEX(Items!D$2:D$1032,MATCH($O64,Items!$A$2:$A$1032,0))</f>
        <v>#N/A</v>
      </c>
    </row>
    <row r="65" spans="1:18" x14ac:dyDescent="0.25">
      <c r="A65">
        <f t="shared" si="0"/>
        <v>1</v>
      </c>
      <c r="B65" t="str">
        <f t="shared" si="1"/>
        <v/>
      </c>
      <c r="C65">
        <f t="shared" si="5"/>
        <v>1</v>
      </c>
      <c r="D65" s="4"/>
      <c r="F65" t="e">
        <f>INDEX(Establishment!B$2:B$1005,MATCH($E65,Establishment!$A$2:$A$1005,0))</f>
        <v>#N/A</v>
      </c>
      <c r="G65" t="e">
        <f>INDEX(Establishment!C$2:C$1005,MATCH($E65,Establishment!$A$2:$A$1005,0))</f>
        <v>#N/A</v>
      </c>
      <c r="M65">
        <f t="shared" si="6"/>
        <v>0</v>
      </c>
      <c r="N65">
        <f t="shared" si="4"/>
        <v>0</v>
      </c>
      <c r="P65" t="e">
        <f>INDEX(Items!B$2:B$1032,MATCH($O65,Items!$A$2:$A$1032,0))</f>
        <v>#N/A</v>
      </c>
      <c r="Q65" t="e">
        <f>INDEX(Items!C$2:C$1032,MATCH($O65,Items!$A$2:$A$1032,0))</f>
        <v>#N/A</v>
      </c>
      <c r="R65" t="e">
        <f>INDEX(Items!D$2:D$1032,MATCH($O65,Items!$A$2:$A$1032,0))</f>
        <v>#N/A</v>
      </c>
    </row>
    <row r="66" spans="1:18" x14ac:dyDescent="0.25">
      <c r="A66">
        <f t="shared" ref="A66:A129" si="7">IF(OR(D66&lt;&gt;D65,D66=""),1,IF(NOT(AND(E66=E65,F66=F65,G66=G65)),A65+1,IF(OR(H66="",AND(H66&lt;&gt;"",H66&lt;&gt;H65,H65&lt;&gt;"")),A65,A65+1)))</f>
        <v>1</v>
      </c>
      <c r="B66" t="str">
        <f t="shared" ref="B66:B129" si="8">IF(D66&lt;&gt;"",TEXT(D66,"YYYYMMDD")&amp;CHAR(64+A66),"")</f>
        <v/>
      </c>
      <c r="C66">
        <f t="shared" si="5"/>
        <v>1</v>
      </c>
      <c r="D66" s="4"/>
      <c r="F66" t="e">
        <f>INDEX(Establishment!B$2:B$1005,MATCH($E66,Establishment!$A$2:$A$1005,0))</f>
        <v>#N/A</v>
      </c>
      <c r="G66" t="e">
        <f>INDEX(Establishment!C$2:C$1005,MATCH($E66,Establishment!$A$2:$A$1005,0))</f>
        <v>#N/A</v>
      </c>
      <c r="M66">
        <f t="shared" si="6"/>
        <v>0</v>
      </c>
      <c r="N66">
        <f t="shared" si="4"/>
        <v>0</v>
      </c>
      <c r="P66" t="e">
        <f>INDEX(Items!B$2:B$1032,MATCH($O66,Items!$A$2:$A$1032,0))</f>
        <v>#N/A</v>
      </c>
      <c r="Q66" t="e">
        <f>INDEX(Items!C$2:C$1032,MATCH($O66,Items!$A$2:$A$1032,0))</f>
        <v>#N/A</v>
      </c>
      <c r="R66" t="e">
        <f>INDEX(Items!D$2:D$1032,MATCH($O66,Items!$A$2:$A$1032,0))</f>
        <v>#N/A</v>
      </c>
    </row>
    <row r="67" spans="1:18" x14ac:dyDescent="0.25">
      <c r="A67">
        <f t="shared" si="7"/>
        <v>1</v>
      </c>
      <c r="B67" t="str">
        <f t="shared" si="8"/>
        <v/>
      </c>
      <c r="C67">
        <f t="shared" si="5"/>
        <v>1</v>
      </c>
      <c r="D67" s="4"/>
      <c r="F67" t="e">
        <f>INDEX(Establishment!B$2:B$1005,MATCH($E67,Establishment!$A$2:$A$1005,0))</f>
        <v>#N/A</v>
      </c>
      <c r="G67" t="e">
        <f>INDEX(Establishment!C$2:C$1005,MATCH($E67,Establishment!$A$2:$A$1005,0))</f>
        <v>#N/A</v>
      </c>
      <c r="M67">
        <f t="shared" si="6"/>
        <v>0</v>
      </c>
      <c r="N67">
        <f t="shared" ref="N67:N130" si="9">IF(B67=B66,N66+M67,M67)</f>
        <v>0</v>
      </c>
      <c r="P67" t="e">
        <f>INDEX(Items!B$2:B$1032,MATCH($O67,Items!$A$2:$A$1032,0))</f>
        <v>#N/A</v>
      </c>
      <c r="Q67" t="e">
        <f>INDEX(Items!C$2:C$1032,MATCH($O67,Items!$A$2:$A$1032,0))</f>
        <v>#N/A</v>
      </c>
      <c r="R67" t="e">
        <f>INDEX(Items!D$2:D$1032,MATCH($O67,Items!$A$2:$A$1032,0))</f>
        <v>#N/A</v>
      </c>
    </row>
    <row r="68" spans="1:18" x14ac:dyDescent="0.25">
      <c r="A68">
        <f t="shared" si="7"/>
        <v>1</v>
      </c>
      <c r="B68" t="str">
        <f t="shared" si="8"/>
        <v/>
      </c>
      <c r="C68">
        <f t="shared" si="5"/>
        <v>1</v>
      </c>
      <c r="D68" s="4"/>
      <c r="F68" t="e">
        <f>INDEX(Establishment!B$2:B$1005,MATCH($E68,Establishment!$A$2:$A$1005,0))</f>
        <v>#N/A</v>
      </c>
      <c r="G68" t="e">
        <f>INDEX(Establishment!C$2:C$1005,MATCH($E68,Establishment!$A$2:$A$1005,0))</f>
        <v>#N/A</v>
      </c>
      <c r="M68">
        <f t="shared" si="6"/>
        <v>0</v>
      </c>
      <c r="N68">
        <f t="shared" si="9"/>
        <v>0</v>
      </c>
      <c r="P68" t="e">
        <f>INDEX(Items!B$2:B$1032,MATCH($O68,Items!$A$2:$A$1032,0))</f>
        <v>#N/A</v>
      </c>
      <c r="Q68" t="e">
        <f>INDEX(Items!C$2:C$1032,MATCH($O68,Items!$A$2:$A$1032,0))</f>
        <v>#N/A</v>
      </c>
      <c r="R68" t="e">
        <f>INDEX(Items!D$2:D$1032,MATCH($O68,Items!$A$2:$A$1032,0))</f>
        <v>#N/A</v>
      </c>
    </row>
    <row r="69" spans="1:18" x14ac:dyDescent="0.25">
      <c r="A69">
        <f t="shared" si="7"/>
        <v>1</v>
      </c>
      <c r="B69" t="str">
        <f t="shared" si="8"/>
        <v/>
      </c>
      <c r="C69">
        <f t="shared" si="5"/>
        <v>1</v>
      </c>
      <c r="D69" s="4"/>
      <c r="F69" t="e">
        <f>INDEX(Establishment!B$2:B$1005,MATCH($E69,Establishment!$A$2:$A$1005,0))</f>
        <v>#N/A</v>
      </c>
      <c r="G69" t="e">
        <f>INDEX(Establishment!C$2:C$1005,MATCH($E69,Establishment!$A$2:$A$1005,0))</f>
        <v>#N/A</v>
      </c>
      <c r="M69">
        <f t="shared" si="6"/>
        <v>0</v>
      </c>
      <c r="N69">
        <f t="shared" si="9"/>
        <v>0</v>
      </c>
      <c r="P69" t="e">
        <f>INDEX(Items!B$2:B$1032,MATCH($O69,Items!$A$2:$A$1032,0))</f>
        <v>#N/A</v>
      </c>
      <c r="Q69" t="e">
        <f>INDEX(Items!C$2:C$1032,MATCH($O69,Items!$A$2:$A$1032,0))</f>
        <v>#N/A</v>
      </c>
      <c r="R69" t="e">
        <f>INDEX(Items!D$2:D$1032,MATCH($O69,Items!$A$2:$A$1032,0))</f>
        <v>#N/A</v>
      </c>
    </row>
    <row r="70" spans="1:18" x14ac:dyDescent="0.25">
      <c r="A70">
        <f t="shared" si="7"/>
        <v>1</v>
      </c>
      <c r="B70" t="str">
        <f t="shared" si="8"/>
        <v/>
      </c>
      <c r="C70">
        <f t="shared" si="5"/>
        <v>1</v>
      </c>
      <c r="D70" s="4"/>
      <c r="F70" t="e">
        <f>INDEX(Establishment!B$2:B$1005,MATCH($E70,Establishment!$A$2:$A$1005,0))</f>
        <v>#N/A</v>
      </c>
      <c r="G70" t="e">
        <f>INDEX(Establishment!C$2:C$1005,MATCH($E70,Establishment!$A$2:$A$1005,0))</f>
        <v>#N/A</v>
      </c>
      <c r="M70">
        <f t="shared" si="6"/>
        <v>0</v>
      </c>
      <c r="N70">
        <f t="shared" si="9"/>
        <v>0</v>
      </c>
      <c r="P70" t="e">
        <f>INDEX(Items!B$2:B$1032,MATCH($O70,Items!$A$2:$A$1032,0))</f>
        <v>#N/A</v>
      </c>
      <c r="Q70" t="e">
        <f>INDEX(Items!C$2:C$1032,MATCH($O70,Items!$A$2:$A$1032,0))</f>
        <v>#N/A</v>
      </c>
      <c r="R70" t="e">
        <f>INDEX(Items!D$2:D$1032,MATCH($O70,Items!$A$2:$A$1032,0))</f>
        <v>#N/A</v>
      </c>
    </row>
    <row r="71" spans="1:18" x14ac:dyDescent="0.25">
      <c r="A71">
        <f t="shared" si="7"/>
        <v>1</v>
      </c>
      <c r="B71" t="str">
        <f t="shared" si="8"/>
        <v/>
      </c>
      <c r="C71">
        <f t="shared" si="5"/>
        <v>1</v>
      </c>
      <c r="D71" s="4"/>
      <c r="F71" t="e">
        <f>INDEX(Establishment!B$2:B$1005,MATCH($E71,Establishment!$A$2:$A$1005,0))</f>
        <v>#N/A</v>
      </c>
      <c r="G71" t="e">
        <f>INDEX(Establishment!C$2:C$1005,MATCH($E71,Establishment!$A$2:$A$1005,0))</f>
        <v>#N/A</v>
      </c>
      <c r="M71">
        <f t="shared" si="6"/>
        <v>0</v>
      </c>
      <c r="N71">
        <f t="shared" si="9"/>
        <v>0</v>
      </c>
      <c r="P71" t="e">
        <f>INDEX(Items!B$2:B$1032,MATCH($O71,Items!$A$2:$A$1032,0))</f>
        <v>#N/A</v>
      </c>
      <c r="Q71" t="e">
        <f>INDEX(Items!C$2:C$1032,MATCH($O71,Items!$A$2:$A$1032,0))</f>
        <v>#N/A</v>
      </c>
      <c r="R71" t="e">
        <f>INDEX(Items!D$2:D$1032,MATCH($O71,Items!$A$2:$A$1032,0))</f>
        <v>#N/A</v>
      </c>
    </row>
    <row r="72" spans="1:18" x14ac:dyDescent="0.25">
      <c r="A72">
        <f t="shared" si="7"/>
        <v>1</v>
      </c>
      <c r="B72" t="str">
        <f t="shared" si="8"/>
        <v/>
      </c>
      <c r="C72">
        <f t="shared" si="5"/>
        <v>1</v>
      </c>
      <c r="D72" s="4"/>
      <c r="F72" t="e">
        <f>INDEX(Establishment!B$2:B$1005,MATCH($E72,Establishment!$A$2:$A$1005,0))</f>
        <v>#N/A</v>
      </c>
      <c r="G72" t="e">
        <f>INDEX(Establishment!C$2:C$1005,MATCH($E72,Establishment!$A$2:$A$1005,0))</f>
        <v>#N/A</v>
      </c>
      <c r="M72">
        <f t="shared" si="6"/>
        <v>0</v>
      </c>
      <c r="N72">
        <f t="shared" si="9"/>
        <v>0</v>
      </c>
      <c r="P72" t="e">
        <f>INDEX(Items!B$2:B$1032,MATCH($O72,Items!$A$2:$A$1032,0))</f>
        <v>#N/A</v>
      </c>
      <c r="Q72" t="e">
        <f>INDEX(Items!C$2:C$1032,MATCH($O72,Items!$A$2:$A$1032,0))</f>
        <v>#N/A</v>
      </c>
      <c r="R72" t="e">
        <f>INDEX(Items!D$2:D$1032,MATCH($O72,Items!$A$2:$A$1032,0))</f>
        <v>#N/A</v>
      </c>
    </row>
    <row r="73" spans="1:18" x14ac:dyDescent="0.25">
      <c r="A73">
        <f t="shared" si="7"/>
        <v>1</v>
      </c>
      <c r="B73" t="str">
        <f t="shared" si="8"/>
        <v/>
      </c>
      <c r="C73">
        <f t="shared" si="5"/>
        <v>1</v>
      </c>
      <c r="D73" s="4"/>
      <c r="F73" t="e">
        <f>INDEX(Establishment!B$2:B$1005,MATCH($E73,Establishment!$A$2:$A$1005,0))</f>
        <v>#N/A</v>
      </c>
      <c r="G73" t="e">
        <f>INDEX(Establishment!C$2:C$1005,MATCH($E73,Establishment!$A$2:$A$1005,0))</f>
        <v>#N/A</v>
      </c>
      <c r="M73">
        <f t="shared" si="6"/>
        <v>0</v>
      </c>
      <c r="N73">
        <f t="shared" si="9"/>
        <v>0</v>
      </c>
      <c r="P73" t="e">
        <f>INDEX(Items!B$2:B$1032,MATCH($O73,Items!$A$2:$A$1032,0))</f>
        <v>#N/A</v>
      </c>
      <c r="Q73" t="e">
        <f>INDEX(Items!C$2:C$1032,MATCH($O73,Items!$A$2:$A$1032,0))</f>
        <v>#N/A</v>
      </c>
      <c r="R73" t="e">
        <f>INDEX(Items!D$2:D$1032,MATCH($O73,Items!$A$2:$A$1032,0))</f>
        <v>#N/A</v>
      </c>
    </row>
    <row r="74" spans="1:18" x14ac:dyDescent="0.25">
      <c r="A74">
        <f t="shared" si="7"/>
        <v>1</v>
      </c>
      <c r="B74" t="str">
        <f t="shared" si="8"/>
        <v/>
      </c>
      <c r="C74">
        <f t="shared" ref="C74:C137" si="10">IF(OR(B74="",B74&lt;&gt;B73),1,C73+1)</f>
        <v>1</v>
      </c>
      <c r="D74" s="4"/>
      <c r="F74" t="e">
        <f>INDEX(Establishment!B$2:B$1005,MATCH($E74,Establishment!$A$2:$A$1005,0))</f>
        <v>#N/A</v>
      </c>
      <c r="G74" t="e">
        <f>INDEX(Establishment!C$2:C$1005,MATCH($E74,Establishment!$A$2:$A$1005,0))</f>
        <v>#N/A</v>
      </c>
      <c r="M74">
        <f t="shared" ref="M74:M137" si="11">K74*L74</f>
        <v>0</v>
      </c>
      <c r="N74">
        <f t="shared" si="9"/>
        <v>0</v>
      </c>
      <c r="P74" t="e">
        <f>INDEX(Items!B$2:B$1032,MATCH($O74,Items!$A$2:$A$1032,0))</f>
        <v>#N/A</v>
      </c>
      <c r="Q74" t="e">
        <f>INDEX(Items!C$2:C$1032,MATCH($O74,Items!$A$2:$A$1032,0))</f>
        <v>#N/A</v>
      </c>
      <c r="R74" t="e">
        <f>INDEX(Items!D$2:D$1032,MATCH($O74,Items!$A$2:$A$1032,0))</f>
        <v>#N/A</v>
      </c>
    </row>
    <row r="75" spans="1:18" x14ac:dyDescent="0.25">
      <c r="A75">
        <f t="shared" si="7"/>
        <v>1</v>
      </c>
      <c r="B75" t="str">
        <f t="shared" si="8"/>
        <v/>
      </c>
      <c r="C75">
        <f t="shared" si="10"/>
        <v>1</v>
      </c>
      <c r="D75" s="4"/>
      <c r="F75" t="e">
        <f>INDEX(Establishment!B$2:B$1005,MATCH($E75,Establishment!$A$2:$A$1005,0))</f>
        <v>#N/A</v>
      </c>
      <c r="G75" t="e">
        <f>INDEX(Establishment!C$2:C$1005,MATCH($E75,Establishment!$A$2:$A$1005,0))</f>
        <v>#N/A</v>
      </c>
      <c r="M75">
        <f t="shared" si="11"/>
        <v>0</v>
      </c>
      <c r="N75">
        <f t="shared" si="9"/>
        <v>0</v>
      </c>
      <c r="P75" t="e">
        <f>INDEX(Items!B$2:B$1032,MATCH($O75,Items!$A$2:$A$1032,0))</f>
        <v>#N/A</v>
      </c>
      <c r="Q75" t="e">
        <f>INDEX(Items!C$2:C$1032,MATCH($O75,Items!$A$2:$A$1032,0))</f>
        <v>#N/A</v>
      </c>
      <c r="R75" t="e">
        <f>INDEX(Items!D$2:D$1032,MATCH($O75,Items!$A$2:$A$1032,0))</f>
        <v>#N/A</v>
      </c>
    </row>
    <row r="76" spans="1:18" x14ac:dyDescent="0.25">
      <c r="A76">
        <f t="shared" si="7"/>
        <v>1</v>
      </c>
      <c r="B76" t="str">
        <f t="shared" si="8"/>
        <v/>
      </c>
      <c r="C76">
        <f t="shared" si="10"/>
        <v>1</v>
      </c>
      <c r="D76" s="4"/>
      <c r="F76" t="e">
        <f>INDEX(Establishment!B$2:B$1005,MATCH($E76,Establishment!$A$2:$A$1005,0))</f>
        <v>#N/A</v>
      </c>
      <c r="G76" t="e">
        <f>INDEX(Establishment!C$2:C$1005,MATCH($E76,Establishment!$A$2:$A$1005,0))</f>
        <v>#N/A</v>
      </c>
      <c r="M76">
        <f t="shared" si="11"/>
        <v>0</v>
      </c>
      <c r="N76">
        <f t="shared" si="9"/>
        <v>0</v>
      </c>
      <c r="P76" t="e">
        <f>INDEX(Items!B$2:B$1032,MATCH($O76,Items!$A$2:$A$1032,0))</f>
        <v>#N/A</v>
      </c>
      <c r="Q76" t="e">
        <f>INDEX(Items!C$2:C$1032,MATCH($O76,Items!$A$2:$A$1032,0))</f>
        <v>#N/A</v>
      </c>
      <c r="R76" t="e">
        <f>INDEX(Items!D$2:D$1032,MATCH($O76,Items!$A$2:$A$1032,0))</f>
        <v>#N/A</v>
      </c>
    </row>
    <row r="77" spans="1:18" x14ac:dyDescent="0.25">
      <c r="A77">
        <f t="shared" si="7"/>
        <v>1</v>
      </c>
      <c r="B77" t="str">
        <f t="shared" si="8"/>
        <v/>
      </c>
      <c r="C77">
        <f t="shared" si="10"/>
        <v>1</v>
      </c>
      <c r="D77" s="4"/>
      <c r="F77" t="e">
        <f>INDEX(Establishment!B$2:B$1005,MATCH($E77,Establishment!$A$2:$A$1005,0))</f>
        <v>#N/A</v>
      </c>
      <c r="G77" t="e">
        <f>INDEX(Establishment!C$2:C$1005,MATCH($E77,Establishment!$A$2:$A$1005,0))</f>
        <v>#N/A</v>
      </c>
      <c r="M77">
        <f t="shared" si="11"/>
        <v>0</v>
      </c>
      <c r="N77">
        <f t="shared" si="9"/>
        <v>0</v>
      </c>
      <c r="P77" t="e">
        <f>INDEX(Items!B$2:B$1032,MATCH($O77,Items!$A$2:$A$1032,0))</f>
        <v>#N/A</v>
      </c>
      <c r="Q77" t="e">
        <f>INDEX(Items!C$2:C$1032,MATCH($O77,Items!$A$2:$A$1032,0))</f>
        <v>#N/A</v>
      </c>
      <c r="R77" t="e">
        <f>INDEX(Items!D$2:D$1032,MATCH($O77,Items!$A$2:$A$1032,0))</f>
        <v>#N/A</v>
      </c>
    </row>
    <row r="78" spans="1:18" x14ac:dyDescent="0.25">
      <c r="A78">
        <f t="shared" si="7"/>
        <v>1</v>
      </c>
      <c r="B78" t="str">
        <f t="shared" si="8"/>
        <v/>
      </c>
      <c r="C78">
        <f t="shared" si="10"/>
        <v>1</v>
      </c>
      <c r="D78" s="4"/>
      <c r="F78" t="e">
        <f>INDEX(Establishment!B$2:B$1005,MATCH($E78,Establishment!$A$2:$A$1005,0))</f>
        <v>#N/A</v>
      </c>
      <c r="G78" t="e">
        <f>INDEX(Establishment!C$2:C$1005,MATCH($E78,Establishment!$A$2:$A$1005,0))</f>
        <v>#N/A</v>
      </c>
      <c r="M78">
        <f t="shared" si="11"/>
        <v>0</v>
      </c>
      <c r="N78">
        <f t="shared" si="9"/>
        <v>0</v>
      </c>
      <c r="P78" t="e">
        <f>INDEX(Items!B$2:B$1032,MATCH($O78,Items!$A$2:$A$1032,0))</f>
        <v>#N/A</v>
      </c>
      <c r="Q78" t="e">
        <f>INDEX(Items!C$2:C$1032,MATCH($O78,Items!$A$2:$A$1032,0))</f>
        <v>#N/A</v>
      </c>
      <c r="R78" t="e">
        <f>INDEX(Items!D$2:D$1032,MATCH($O78,Items!$A$2:$A$1032,0))</f>
        <v>#N/A</v>
      </c>
    </row>
    <row r="79" spans="1:18" x14ac:dyDescent="0.25">
      <c r="A79">
        <f t="shared" si="7"/>
        <v>1</v>
      </c>
      <c r="B79" t="str">
        <f t="shared" si="8"/>
        <v/>
      </c>
      <c r="C79">
        <f t="shared" si="10"/>
        <v>1</v>
      </c>
      <c r="D79" s="4"/>
      <c r="F79" t="e">
        <f>INDEX(Establishment!B$2:B$1005,MATCH($E79,Establishment!$A$2:$A$1005,0))</f>
        <v>#N/A</v>
      </c>
      <c r="G79" t="e">
        <f>INDEX(Establishment!C$2:C$1005,MATCH($E79,Establishment!$A$2:$A$1005,0))</f>
        <v>#N/A</v>
      </c>
      <c r="M79">
        <f t="shared" si="11"/>
        <v>0</v>
      </c>
      <c r="N79">
        <f t="shared" si="9"/>
        <v>0</v>
      </c>
      <c r="P79" t="e">
        <f>INDEX(Items!B$2:B$1032,MATCH($O79,Items!$A$2:$A$1032,0))</f>
        <v>#N/A</v>
      </c>
      <c r="Q79" t="e">
        <f>INDEX(Items!C$2:C$1032,MATCH($O79,Items!$A$2:$A$1032,0))</f>
        <v>#N/A</v>
      </c>
      <c r="R79" t="e">
        <f>INDEX(Items!D$2:D$1032,MATCH($O79,Items!$A$2:$A$1032,0))</f>
        <v>#N/A</v>
      </c>
    </row>
    <row r="80" spans="1:18" x14ac:dyDescent="0.25">
      <c r="A80">
        <f t="shared" si="7"/>
        <v>1</v>
      </c>
      <c r="B80" t="str">
        <f t="shared" si="8"/>
        <v/>
      </c>
      <c r="C80">
        <f t="shared" si="10"/>
        <v>1</v>
      </c>
      <c r="D80" s="4"/>
      <c r="F80" t="e">
        <f>INDEX(Establishment!B$2:B$1005,MATCH($E80,Establishment!$A$2:$A$1005,0))</f>
        <v>#N/A</v>
      </c>
      <c r="G80" t="e">
        <f>INDEX(Establishment!C$2:C$1005,MATCH($E80,Establishment!$A$2:$A$1005,0))</f>
        <v>#N/A</v>
      </c>
      <c r="M80">
        <f t="shared" si="11"/>
        <v>0</v>
      </c>
      <c r="N80">
        <f t="shared" si="9"/>
        <v>0</v>
      </c>
      <c r="P80" t="e">
        <f>INDEX(Items!B$2:B$1032,MATCH($O80,Items!$A$2:$A$1032,0))</f>
        <v>#N/A</v>
      </c>
      <c r="Q80" t="e">
        <f>INDEX(Items!C$2:C$1032,MATCH($O80,Items!$A$2:$A$1032,0))</f>
        <v>#N/A</v>
      </c>
      <c r="R80" t="e">
        <f>INDEX(Items!D$2:D$1032,MATCH($O80,Items!$A$2:$A$1032,0))</f>
        <v>#N/A</v>
      </c>
    </row>
    <row r="81" spans="1:18" x14ac:dyDescent="0.25">
      <c r="A81">
        <f t="shared" si="7"/>
        <v>1</v>
      </c>
      <c r="B81" t="str">
        <f t="shared" si="8"/>
        <v/>
      </c>
      <c r="C81">
        <f t="shared" si="10"/>
        <v>1</v>
      </c>
      <c r="D81" s="4"/>
      <c r="F81" t="e">
        <f>INDEX(Establishment!B$2:B$1005,MATCH($E81,Establishment!$A$2:$A$1005,0))</f>
        <v>#N/A</v>
      </c>
      <c r="G81" t="e">
        <f>INDEX(Establishment!C$2:C$1005,MATCH($E81,Establishment!$A$2:$A$1005,0))</f>
        <v>#N/A</v>
      </c>
      <c r="M81">
        <f t="shared" si="11"/>
        <v>0</v>
      </c>
      <c r="N81">
        <f t="shared" si="9"/>
        <v>0</v>
      </c>
      <c r="P81" t="e">
        <f>INDEX(Items!B$2:B$1032,MATCH($O81,Items!$A$2:$A$1032,0))</f>
        <v>#N/A</v>
      </c>
      <c r="Q81" t="e">
        <f>INDEX(Items!C$2:C$1032,MATCH($O81,Items!$A$2:$A$1032,0))</f>
        <v>#N/A</v>
      </c>
      <c r="R81" t="e">
        <f>INDEX(Items!D$2:D$1032,MATCH($O81,Items!$A$2:$A$1032,0))</f>
        <v>#N/A</v>
      </c>
    </row>
    <row r="82" spans="1:18" x14ac:dyDescent="0.25">
      <c r="A82">
        <f t="shared" si="7"/>
        <v>1</v>
      </c>
      <c r="B82" t="str">
        <f t="shared" si="8"/>
        <v/>
      </c>
      <c r="C82">
        <f t="shared" si="10"/>
        <v>1</v>
      </c>
      <c r="D82" s="4"/>
      <c r="F82" t="e">
        <f>INDEX(Establishment!B$2:B$1005,MATCH($E82,Establishment!$A$2:$A$1005,0))</f>
        <v>#N/A</v>
      </c>
      <c r="G82" t="e">
        <f>INDEX(Establishment!C$2:C$1005,MATCH($E82,Establishment!$A$2:$A$1005,0))</f>
        <v>#N/A</v>
      </c>
      <c r="M82">
        <f t="shared" si="11"/>
        <v>0</v>
      </c>
      <c r="N82">
        <f t="shared" si="9"/>
        <v>0</v>
      </c>
      <c r="P82" t="e">
        <f>INDEX(Items!B$2:B$1032,MATCH($O82,Items!$A$2:$A$1032,0))</f>
        <v>#N/A</v>
      </c>
      <c r="Q82" t="e">
        <f>INDEX(Items!C$2:C$1032,MATCH($O82,Items!$A$2:$A$1032,0))</f>
        <v>#N/A</v>
      </c>
      <c r="R82" t="e">
        <f>INDEX(Items!D$2:D$1032,MATCH($O82,Items!$A$2:$A$1032,0))</f>
        <v>#N/A</v>
      </c>
    </row>
    <row r="83" spans="1:18" x14ac:dyDescent="0.25">
      <c r="A83">
        <f t="shared" si="7"/>
        <v>1</v>
      </c>
      <c r="B83" t="str">
        <f t="shared" si="8"/>
        <v/>
      </c>
      <c r="C83">
        <f t="shared" si="10"/>
        <v>1</v>
      </c>
      <c r="D83" s="4"/>
      <c r="F83" t="e">
        <f>INDEX(Establishment!B$2:B$1005,MATCH($E83,Establishment!$A$2:$A$1005,0))</f>
        <v>#N/A</v>
      </c>
      <c r="G83" t="e">
        <f>INDEX(Establishment!C$2:C$1005,MATCH($E83,Establishment!$A$2:$A$1005,0))</f>
        <v>#N/A</v>
      </c>
      <c r="M83">
        <f t="shared" si="11"/>
        <v>0</v>
      </c>
      <c r="N83">
        <f t="shared" si="9"/>
        <v>0</v>
      </c>
      <c r="P83" t="e">
        <f>INDEX(Items!B$2:B$1032,MATCH($O83,Items!$A$2:$A$1032,0))</f>
        <v>#N/A</v>
      </c>
      <c r="Q83" t="e">
        <f>INDEX(Items!C$2:C$1032,MATCH($O83,Items!$A$2:$A$1032,0))</f>
        <v>#N/A</v>
      </c>
      <c r="R83" t="e">
        <f>INDEX(Items!D$2:D$1032,MATCH($O83,Items!$A$2:$A$1032,0))</f>
        <v>#N/A</v>
      </c>
    </row>
    <row r="84" spans="1:18" x14ac:dyDescent="0.25">
      <c r="A84">
        <f t="shared" si="7"/>
        <v>1</v>
      </c>
      <c r="B84" t="str">
        <f t="shared" si="8"/>
        <v/>
      </c>
      <c r="C84">
        <f t="shared" si="10"/>
        <v>1</v>
      </c>
      <c r="D84" s="4"/>
      <c r="F84" t="e">
        <f>INDEX(Establishment!B$2:B$1005,MATCH($E84,Establishment!$A$2:$A$1005,0))</f>
        <v>#N/A</v>
      </c>
      <c r="G84" t="e">
        <f>INDEX(Establishment!C$2:C$1005,MATCH($E84,Establishment!$A$2:$A$1005,0))</f>
        <v>#N/A</v>
      </c>
      <c r="M84">
        <f t="shared" si="11"/>
        <v>0</v>
      </c>
      <c r="N84">
        <f t="shared" si="9"/>
        <v>0</v>
      </c>
      <c r="P84" t="e">
        <f>INDEX(Items!B$2:B$1032,MATCH($O84,Items!$A$2:$A$1032,0))</f>
        <v>#N/A</v>
      </c>
      <c r="Q84" t="e">
        <f>INDEX(Items!C$2:C$1032,MATCH($O84,Items!$A$2:$A$1032,0))</f>
        <v>#N/A</v>
      </c>
      <c r="R84" t="e">
        <f>INDEX(Items!D$2:D$1032,MATCH($O84,Items!$A$2:$A$1032,0))</f>
        <v>#N/A</v>
      </c>
    </row>
    <row r="85" spans="1:18" x14ac:dyDescent="0.25">
      <c r="A85">
        <f t="shared" si="7"/>
        <v>1</v>
      </c>
      <c r="B85" t="str">
        <f t="shared" si="8"/>
        <v/>
      </c>
      <c r="C85">
        <f t="shared" si="10"/>
        <v>1</v>
      </c>
      <c r="D85" s="4"/>
      <c r="F85" t="e">
        <f>INDEX(Establishment!B$2:B$1005,MATCH($E85,Establishment!$A$2:$A$1005,0))</f>
        <v>#N/A</v>
      </c>
      <c r="G85" t="e">
        <f>INDEX(Establishment!C$2:C$1005,MATCH($E85,Establishment!$A$2:$A$1005,0))</f>
        <v>#N/A</v>
      </c>
      <c r="M85">
        <f t="shared" si="11"/>
        <v>0</v>
      </c>
      <c r="N85">
        <f t="shared" si="9"/>
        <v>0</v>
      </c>
      <c r="P85" t="e">
        <f>INDEX(Items!B$2:B$1032,MATCH($O85,Items!$A$2:$A$1032,0))</f>
        <v>#N/A</v>
      </c>
      <c r="Q85" t="e">
        <f>INDEX(Items!C$2:C$1032,MATCH($O85,Items!$A$2:$A$1032,0))</f>
        <v>#N/A</v>
      </c>
      <c r="R85" t="e">
        <f>INDEX(Items!D$2:D$1032,MATCH($O85,Items!$A$2:$A$1032,0))</f>
        <v>#N/A</v>
      </c>
    </row>
    <row r="86" spans="1:18" x14ac:dyDescent="0.25">
      <c r="A86">
        <f t="shared" si="7"/>
        <v>1</v>
      </c>
      <c r="B86" t="str">
        <f t="shared" si="8"/>
        <v/>
      </c>
      <c r="C86">
        <f t="shared" si="10"/>
        <v>1</v>
      </c>
      <c r="D86" s="4"/>
      <c r="F86" t="e">
        <f>INDEX(Establishment!B$2:B$1005,MATCH($E86,Establishment!$A$2:$A$1005,0))</f>
        <v>#N/A</v>
      </c>
      <c r="G86" t="e">
        <f>INDEX(Establishment!C$2:C$1005,MATCH($E86,Establishment!$A$2:$A$1005,0))</f>
        <v>#N/A</v>
      </c>
      <c r="M86">
        <f t="shared" si="11"/>
        <v>0</v>
      </c>
      <c r="N86">
        <f t="shared" si="9"/>
        <v>0</v>
      </c>
      <c r="P86" t="e">
        <f>INDEX(Items!B$2:B$1032,MATCH($O86,Items!$A$2:$A$1032,0))</f>
        <v>#N/A</v>
      </c>
      <c r="Q86" t="e">
        <f>INDEX(Items!C$2:C$1032,MATCH($O86,Items!$A$2:$A$1032,0))</f>
        <v>#N/A</v>
      </c>
      <c r="R86" t="e">
        <f>INDEX(Items!D$2:D$1032,MATCH($O86,Items!$A$2:$A$1032,0))</f>
        <v>#N/A</v>
      </c>
    </row>
    <row r="87" spans="1:18" x14ac:dyDescent="0.25">
      <c r="A87">
        <f t="shared" si="7"/>
        <v>1</v>
      </c>
      <c r="B87" t="str">
        <f t="shared" si="8"/>
        <v/>
      </c>
      <c r="C87">
        <f t="shared" si="10"/>
        <v>1</v>
      </c>
      <c r="D87" s="4"/>
      <c r="F87" t="e">
        <f>INDEX(Establishment!B$2:B$1005,MATCH($E87,Establishment!$A$2:$A$1005,0))</f>
        <v>#N/A</v>
      </c>
      <c r="G87" t="e">
        <f>INDEX(Establishment!C$2:C$1005,MATCH($E87,Establishment!$A$2:$A$1005,0))</f>
        <v>#N/A</v>
      </c>
      <c r="M87">
        <f t="shared" si="11"/>
        <v>0</v>
      </c>
      <c r="N87">
        <f t="shared" si="9"/>
        <v>0</v>
      </c>
      <c r="P87" t="e">
        <f>INDEX(Items!B$2:B$1032,MATCH($O87,Items!$A$2:$A$1032,0))</f>
        <v>#N/A</v>
      </c>
      <c r="Q87" t="e">
        <f>INDEX(Items!C$2:C$1032,MATCH($O87,Items!$A$2:$A$1032,0))</f>
        <v>#N/A</v>
      </c>
      <c r="R87" t="e">
        <f>INDEX(Items!D$2:D$1032,MATCH($O87,Items!$A$2:$A$1032,0))</f>
        <v>#N/A</v>
      </c>
    </row>
    <row r="88" spans="1:18" x14ac:dyDescent="0.25">
      <c r="A88">
        <f t="shared" si="7"/>
        <v>1</v>
      </c>
      <c r="B88" t="str">
        <f t="shared" si="8"/>
        <v/>
      </c>
      <c r="C88">
        <f t="shared" si="10"/>
        <v>1</v>
      </c>
      <c r="D88" s="4"/>
      <c r="F88" t="e">
        <f>INDEX(Establishment!B$2:B$1005,MATCH($E88,Establishment!$A$2:$A$1005,0))</f>
        <v>#N/A</v>
      </c>
      <c r="G88" t="e">
        <f>INDEX(Establishment!C$2:C$1005,MATCH($E88,Establishment!$A$2:$A$1005,0))</f>
        <v>#N/A</v>
      </c>
      <c r="M88">
        <f t="shared" si="11"/>
        <v>0</v>
      </c>
      <c r="N88">
        <f t="shared" si="9"/>
        <v>0</v>
      </c>
      <c r="P88" t="e">
        <f>INDEX(Items!B$2:B$1032,MATCH($O88,Items!$A$2:$A$1032,0))</f>
        <v>#N/A</v>
      </c>
      <c r="Q88" t="e">
        <f>INDEX(Items!C$2:C$1032,MATCH($O88,Items!$A$2:$A$1032,0))</f>
        <v>#N/A</v>
      </c>
      <c r="R88" t="e">
        <f>INDEX(Items!D$2:D$1032,MATCH($O88,Items!$A$2:$A$1032,0))</f>
        <v>#N/A</v>
      </c>
    </row>
    <row r="89" spans="1:18" x14ac:dyDescent="0.25">
      <c r="A89">
        <f t="shared" si="7"/>
        <v>1</v>
      </c>
      <c r="B89" t="str">
        <f t="shared" si="8"/>
        <v/>
      </c>
      <c r="C89">
        <f t="shared" si="10"/>
        <v>1</v>
      </c>
      <c r="D89" s="4"/>
      <c r="F89" t="e">
        <f>INDEX(Establishment!B$2:B$1005,MATCH($E89,Establishment!$A$2:$A$1005,0))</f>
        <v>#N/A</v>
      </c>
      <c r="G89" t="e">
        <f>INDEX(Establishment!C$2:C$1005,MATCH($E89,Establishment!$A$2:$A$1005,0))</f>
        <v>#N/A</v>
      </c>
      <c r="M89">
        <f t="shared" si="11"/>
        <v>0</v>
      </c>
      <c r="N89">
        <f t="shared" si="9"/>
        <v>0</v>
      </c>
      <c r="P89" t="e">
        <f>INDEX(Items!B$2:B$1032,MATCH($O89,Items!$A$2:$A$1032,0))</f>
        <v>#N/A</v>
      </c>
      <c r="Q89" t="e">
        <f>INDEX(Items!C$2:C$1032,MATCH($O89,Items!$A$2:$A$1032,0))</f>
        <v>#N/A</v>
      </c>
      <c r="R89" t="e">
        <f>INDEX(Items!D$2:D$1032,MATCH($O89,Items!$A$2:$A$1032,0))</f>
        <v>#N/A</v>
      </c>
    </row>
    <row r="90" spans="1:18" x14ac:dyDescent="0.25">
      <c r="A90">
        <f t="shared" si="7"/>
        <v>1</v>
      </c>
      <c r="B90" t="str">
        <f t="shared" si="8"/>
        <v/>
      </c>
      <c r="C90">
        <f t="shared" si="10"/>
        <v>1</v>
      </c>
      <c r="D90" s="4"/>
      <c r="F90" t="e">
        <f>INDEX(Establishment!B$2:B$1005,MATCH($E90,Establishment!$A$2:$A$1005,0))</f>
        <v>#N/A</v>
      </c>
      <c r="G90" t="e">
        <f>INDEX(Establishment!C$2:C$1005,MATCH($E90,Establishment!$A$2:$A$1005,0))</f>
        <v>#N/A</v>
      </c>
      <c r="M90">
        <f t="shared" si="11"/>
        <v>0</v>
      </c>
      <c r="N90">
        <f t="shared" si="9"/>
        <v>0</v>
      </c>
      <c r="P90" t="e">
        <f>INDEX(Items!B$2:B$1032,MATCH($O90,Items!$A$2:$A$1032,0))</f>
        <v>#N/A</v>
      </c>
      <c r="Q90" t="e">
        <f>INDEX(Items!C$2:C$1032,MATCH($O90,Items!$A$2:$A$1032,0))</f>
        <v>#N/A</v>
      </c>
      <c r="R90" t="e">
        <f>INDEX(Items!D$2:D$1032,MATCH($O90,Items!$A$2:$A$1032,0))</f>
        <v>#N/A</v>
      </c>
    </row>
    <row r="91" spans="1:18" x14ac:dyDescent="0.25">
      <c r="A91">
        <f t="shared" si="7"/>
        <v>1</v>
      </c>
      <c r="B91" t="str">
        <f t="shared" si="8"/>
        <v/>
      </c>
      <c r="C91">
        <f t="shared" si="10"/>
        <v>1</v>
      </c>
      <c r="D91" s="4"/>
      <c r="F91" t="e">
        <f>INDEX(Establishment!B$2:B$1005,MATCH($E91,Establishment!$A$2:$A$1005,0))</f>
        <v>#N/A</v>
      </c>
      <c r="G91" t="e">
        <f>INDEX(Establishment!C$2:C$1005,MATCH($E91,Establishment!$A$2:$A$1005,0))</f>
        <v>#N/A</v>
      </c>
      <c r="M91">
        <f t="shared" si="11"/>
        <v>0</v>
      </c>
      <c r="N91">
        <f t="shared" si="9"/>
        <v>0</v>
      </c>
      <c r="P91" t="e">
        <f>INDEX(Items!B$2:B$1032,MATCH($O91,Items!$A$2:$A$1032,0))</f>
        <v>#N/A</v>
      </c>
      <c r="Q91" t="e">
        <f>INDEX(Items!C$2:C$1032,MATCH($O91,Items!$A$2:$A$1032,0))</f>
        <v>#N/A</v>
      </c>
      <c r="R91" t="e">
        <f>INDEX(Items!D$2:D$1032,MATCH($O91,Items!$A$2:$A$1032,0))</f>
        <v>#N/A</v>
      </c>
    </row>
    <row r="92" spans="1:18" x14ac:dyDescent="0.25">
      <c r="A92">
        <f t="shared" si="7"/>
        <v>1</v>
      </c>
      <c r="B92" t="str">
        <f t="shared" si="8"/>
        <v/>
      </c>
      <c r="C92">
        <f t="shared" si="10"/>
        <v>1</v>
      </c>
      <c r="D92" s="4"/>
      <c r="F92" t="e">
        <f>INDEX(Establishment!B$2:B$1005,MATCH($E92,Establishment!$A$2:$A$1005,0))</f>
        <v>#N/A</v>
      </c>
      <c r="G92" t="e">
        <f>INDEX(Establishment!C$2:C$1005,MATCH($E92,Establishment!$A$2:$A$1005,0))</f>
        <v>#N/A</v>
      </c>
      <c r="M92">
        <f t="shared" si="11"/>
        <v>0</v>
      </c>
      <c r="N92">
        <f t="shared" si="9"/>
        <v>0</v>
      </c>
      <c r="P92" t="e">
        <f>INDEX(Items!B$2:B$1032,MATCH($O92,Items!$A$2:$A$1032,0))</f>
        <v>#N/A</v>
      </c>
      <c r="Q92" t="e">
        <f>INDEX(Items!C$2:C$1032,MATCH($O92,Items!$A$2:$A$1032,0))</f>
        <v>#N/A</v>
      </c>
      <c r="R92" t="e">
        <f>INDEX(Items!D$2:D$1032,MATCH($O92,Items!$A$2:$A$1032,0))</f>
        <v>#N/A</v>
      </c>
    </row>
    <row r="93" spans="1:18" x14ac:dyDescent="0.25">
      <c r="A93">
        <f t="shared" si="7"/>
        <v>1</v>
      </c>
      <c r="B93" t="str">
        <f t="shared" si="8"/>
        <v/>
      </c>
      <c r="C93">
        <f t="shared" si="10"/>
        <v>1</v>
      </c>
      <c r="D93" s="4"/>
      <c r="E93" t="s">
        <v>18</v>
      </c>
      <c r="F93" t="str">
        <f>INDEX(Establishment!B$2:B$1005,MATCH($E93,Establishment!$A$2:$A$1005,0))</f>
        <v xml:space="preserve"> </v>
      </c>
      <c r="G93" t="str">
        <f>INDEX(Establishment!C$2:C$1005,MATCH($E93,Establishment!$A$2:$A$1005,0))</f>
        <v xml:space="preserve"> </v>
      </c>
      <c r="M93">
        <f t="shared" si="11"/>
        <v>0</v>
      </c>
      <c r="N93">
        <f t="shared" si="9"/>
        <v>0</v>
      </c>
      <c r="P93" t="e">
        <f>INDEX(Items!B$2:B$1032,MATCH($O93,Items!$A$2:$A$1032,0))</f>
        <v>#N/A</v>
      </c>
      <c r="Q93" t="e">
        <f>INDEX(Items!C$2:C$1032,MATCH($O93,Items!$A$2:$A$1032,0))</f>
        <v>#N/A</v>
      </c>
      <c r="R93" t="e">
        <f>INDEX(Items!D$2:D$1032,MATCH($O93,Items!$A$2:$A$1032,0))</f>
        <v>#N/A</v>
      </c>
    </row>
    <row r="94" spans="1:18" x14ac:dyDescent="0.25">
      <c r="A94">
        <f t="shared" si="7"/>
        <v>1</v>
      </c>
      <c r="B94" t="str">
        <f t="shared" si="8"/>
        <v/>
      </c>
      <c r="C94">
        <f t="shared" si="10"/>
        <v>1</v>
      </c>
      <c r="D94" s="4"/>
      <c r="E94" t="s">
        <v>18</v>
      </c>
      <c r="F94" t="str">
        <f>INDEX(Establishment!B$2:B$1005,MATCH($E94,Establishment!$A$2:$A$1005,0))</f>
        <v xml:space="preserve"> </v>
      </c>
      <c r="G94" t="str">
        <f>INDEX(Establishment!C$2:C$1005,MATCH($E94,Establishment!$A$2:$A$1005,0))</f>
        <v xml:space="preserve"> </v>
      </c>
      <c r="M94">
        <f t="shared" si="11"/>
        <v>0</v>
      </c>
      <c r="N94">
        <f t="shared" si="9"/>
        <v>0</v>
      </c>
      <c r="P94" t="e">
        <f>INDEX(Items!B$2:B$1032,MATCH($O94,Items!$A$2:$A$1032,0))</f>
        <v>#N/A</v>
      </c>
      <c r="Q94" t="e">
        <f>INDEX(Items!C$2:C$1032,MATCH($O94,Items!$A$2:$A$1032,0))</f>
        <v>#N/A</v>
      </c>
      <c r="R94" t="e">
        <f>INDEX(Items!D$2:D$1032,MATCH($O94,Items!$A$2:$A$1032,0))</f>
        <v>#N/A</v>
      </c>
    </row>
    <row r="95" spans="1:18" x14ac:dyDescent="0.25">
      <c r="A95">
        <f t="shared" si="7"/>
        <v>1</v>
      </c>
      <c r="B95" t="str">
        <f t="shared" si="8"/>
        <v/>
      </c>
      <c r="C95">
        <f t="shared" si="10"/>
        <v>1</v>
      </c>
      <c r="D95" s="4"/>
      <c r="E95" t="s">
        <v>18</v>
      </c>
      <c r="F95" t="str">
        <f>INDEX(Establishment!B$2:B$1005,MATCH($E95,Establishment!$A$2:$A$1005,0))</f>
        <v xml:space="preserve"> </v>
      </c>
      <c r="G95" t="str">
        <f>INDEX(Establishment!C$2:C$1005,MATCH($E95,Establishment!$A$2:$A$1005,0))</f>
        <v xml:space="preserve"> </v>
      </c>
      <c r="M95">
        <f t="shared" si="11"/>
        <v>0</v>
      </c>
      <c r="N95">
        <f t="shared" si="9"/>
        <v>0</v>
      </c>
      <c r="P95" t="e">
        <f>INDEX(Items!B$2:B$1032,MATCH($O95,Items!$A$2:$A$1032,0))</f>
        <v>#N/A</v>
      </c>
      <c r="Q95" t="e">
        <f>INDEX(Items!C$2:C$1032,MATCH($O95,Items!$A$2:$A$1032,0))</f>
        <v>#N/A</v>
      </c>
      <c r="R95" t="e">
        <f>INDEX(Items!D$2:D$1032,MATCH($O95,Items!$A$2:$A$1032,0))</f>
        <v>#N/A</v>
      </c>
    </row>
    <row r="96" spans="1:18" x14ac:dyDescent="0.25">
      <c r="A96">
        <f t="shared" si="7"/>
        <v>1</v>
      </c>
      <c r="B96" t="str">
        <f t="shared" si="8"/>
        <v/>
      </c>
      <c r="C96">
        <f t="shared" si="10"/>
        <v>1</v>
      </c>
      <c r="D96" s="4"/>
      <c r="E96" t="s">
        <v>18</v>
      </c>
      <c r="F96" t="str">
        <f>INDEX(Establishment!B$2:B$1005,MATCH($E96,Establishment!$A$2:$A$1005,0))</f>
        <v xml:space="preserve"> </v>
      </c>
      <c r="G96" t="str">
        <f>INDEX(Establishment!C$2:C$1005,MATCH($E96,Establishment!$A$2:$A$1005,0))</f>
        <v xml:space="preserve"> </v>
      </c>
      <c r="M96">
        <f t="shared" si="11"/>
        <v>0</v>
      </c>
      <c r="N96">
        <f t="shared" si="9"/>
        <v>0</v>
      </c>
      <c r="P96" t="e">
        <f>INDEX(Items!B$2:B$1032,MATCH($O96,Items!$A$2:$A$1032,0))</f>
        <v>#N/A</v>
      </c>
      <c r="Q96" t="e">
        <f>INDEX(Items!C$2:C$1032,MATCH($O96,Items!$A$2:$A$1032,0))</f>
        <v>#N/A</v>
      </c>
      <c r="R96" t="e">
        <f>INDEX(Items!D$2:D$1032,MATCH($O96,Items!$A$2:$A$1032,0))</f>
        <v>#N/A</v>
      </c>
    </row>
    <row r="97" spans="1:18" x14ac:dyDescent="0.25">
      <c r="A97">
        <f t="shared" si="7"/>
        <v>1</v>
      </c>
      <c r="B97" t="str">
        <f t="shared" si="8"/>
        <v/>
      </c>
      <c r="C97">
        <f t="shared" si="10"/>
        <v>1</v>
      </c>
      <c r="D97" s="4"/>
      <c r="E97" t="s">
        <v>18</v>
      </c>
      <c r="F97" t="str">
        <f>INDEX(Establishment!B$2:B$1005,MATCH($E97,Establishment!$A$2:$A$1005,0))</f>
        <v xml:space="preserve"> </v>
      </c>
      <c r="G97" t="str">
        <f>INDEX(Establishment!C$2:C$1005,MATCH($E97,Establishment!$A$2:$A$1005,0))</f>
        <v xml:space="preserve"> </v>
      </c>
      <c r="M97">
        <f t="shared" si="11"/>
        <v>0</v>
      </c>
      <c r="N97">
        <f t="shared" si="9"/>
        <v>0</v>
      </c>
      <c r="P97" t="e">
        <f>INDEX(Items!B$2:B$1032,MATCH($O97,Items!$A$2:$A$1032,0))</f>
        <v>#N/A</v>
      </c>
      <c r="Q97" t="e">
        <f>INDEX(Items!C$2:C$1032,MATCH($O97,Items!$A$2:$A$1032,0))</f>
        <v>#N/A</v>
      </c>
      <c r="R97" t="e">
        <f>INDEX(Items!D$2:D$1032,MATCH($O97,Items!$A$2:$A$1032,0))</f>
        <v>#N/A</v>
      </c>
    </row>
    <row r="98" spans="1:18" x14ac:dyDescent="0.25">
      <c r="A98">
        <f t="shared" si="7"/>
        <v>1</v>
      </c>
      <c r="B98" t="str">
        <f t="shared" si="8"/>
        <v/>
      </c>
      <c r="C98">
        <f t="shared" si="10"/>
        <v>1</v>
      </c>
      <c r="D98" s="4"/>
      <c r="E98" t="s">
        <v>18</v>
      </c>
      <c r="F98" t="str">
        <f>INDEX(Establishment!B$2:B$1005,MATCH($E98,Establishment!$A$2:$A$1005,0))</f>
        <v xml:space="preserve"> </v>
      </c>
      <c r="G98" t="str">
        <f>INDEX(Establishment!C$2:C$1005,MATCH($E98,Establishment!$A$2:$A$1005,0))</f>
        <v xml:space="preserve"> </v>
      </c>
      <c r="M98">
        <f t="shared" si="11"/>
        <v>0</v>
      </c>
      <c r="N98">
        <f t="shared" si="9"/>
        <v>0</v>
      </c>
      <c r="P98" t="e">
        <f>INDEX(Items!B$2:B$1032,MATCH($O98,Items!$A$2:$A$1032,0))</f>
        <v>#N/A</v>
      </c>
      <c r="Q98" t="e">
        <f>INDEX(Items!C$2:C$1032,MATCH($O98,Items!$A$2:$A$1032,0))</f>
        <v>#N/A</v>
      </c>
      <c r="R98" t="e">
        <f>INDEX(Items!D$2:D$1032,MATCH($O98,Items!$A$2:$A$1032,0))</f>
        <v>#N/A</v>
      </c>
    </row>
    <row r="99" spans="1:18" x14ac:dyDescent="0.25">
      <c r="A99">
        <f t="shared" si="7"/>
        <v>1</v>
      </c>
      <c r="B99" t="str">
        <f t="shared" si="8"/>
        <v>20230621A</v>
      </c>
      <c r="C99">
        <f t="shared" si="10"/>
        <v>1</v>
      </c>
      <c r="D99" s="4">
        <v>45098</v>
      </c>
      <c r="E99" t="s">
        <v>39</v>
      </c>
      <c r="F99" t="str">
        <f>INDEX(Establishment!B$2:B$1005,MATCH($E99,Establishment!$A$2:$A$1005,0))</f>
        <v>Carenderia 14th Floor</v>
      </c>
      <c r="G99" t="str">
        <f>INDEX(Establishment!C$2:C$1005,MATCH($E99,Establishment!$A$2:$A$1005,0))</f>
        <v>ACC Tower Cebu Business Park</v>
      </c>
      <c r="M99">
        <f t="shared" si="11"/>
        <v>0</v>
      </c>
      <c r="N99">
        <f t="shared" si="9"/>
        <v>0</v>
      </c>
      <c r="P99" t="e">
        <f>INDEX(Items!B$2:B$1032,MATCH($O99,Items!$A$2:$A$1032,0))</f>
        <v>#N/A</v>
      </c>
      <c r="Q99" t="e">
        <f>INDEX(Items!C$2:C$1032,MATCH($O99,Items!$A$2:$A$1032,0))</f>
        <v>#N/A</v>
      </c>
      <c r="R99" t="e">
        <f>INDEX(Items!D$2:D$1032,MATCH($O99,Items!$A$2:$A$1032,0))</f>
        <v>#N/A</v>
      </c>
    </row>
    <row r="100" spans="1:18" x14ac:dyDescent="0.25">
      <c r="A100">
        <f t="shared" si="7"/>
        <v>1</v>
      </c>
      <c r="B100" t="str">
        <f t="shared" si="8"/>
        <v/>
      </c>
      <c r="C100">
        <f t="shared" si="10"/>
        <v>1</v>
      </c>
      <c r="D100" s="4"/>
      <c r="F100" t="e">
        <f>INDEX(Establishment!B$2:B$1005,MATCH($E100,Establishment!$A$2:$A$1005,0))</f>
        <v>#N/A</v>
      </c>
      <c r="G100" t="e">
        <f>INDEX(Establishment!C$2:C$1005,MATCH($E100,Establishment!$A$2:$A$1005,0))</f>
        <v>#N/A</v>
      </c>
      <c r="M100">
        <f t="shared" si="11"/>
        <v>0</v>
      </c>
      <c r="N100">
        <f t="shared" si="9"/>
        <v>0</v>
      </c>
      <c r="P100" t="e">
        <f>INDEX(Items!B$2:B$1032,MATCH($O100,Items!$A$2:$A$1032,0))</f>
        <v>#N/A</v>
      </c>
      <c r="Q100" t="e">
        <f>INDEX(Items!C$2:C$1032,MATCH($O100,Items!$A$2:$A$1032,0))</f>
        <v>#N/A</v>
      </c>
      <c r="R100" t="e">
        <f>INDEX(Items!D$2:D$1032,MATCH($O100,Items!$A$2:$A$1032,0))</f>
        <v>#N/A</v>
      </c>
    </row>
    <row r="101" spans="1:18" x14ac:dyDescent="0.25">
      <c r="A101">
        <f t="shared" si="7"/>
        <v>1</v>
      </c>
      <c r="B101" t="str">
        <f t="shared" si="8"/>
        <v/>
      </c>
      <c r="C101">
        <f t="shared" si="10"/>
        <v>1</v>
      </c>
      <c r="D101" s="4"/>
      <c r="E101" t="s">
        <v>18</v>
      </c>
      <c r="F101" t="str">
        <f>INDEX(Establishment!B$2:B$1005,MATCH($E101,Establishment!$A$2:$A$1005,0))</f>
        <v xml:space="preserve"> </v>
      </c>
      <c r="G101" t="str">
        <f>INDEX(Establishment!C$2:C$1005,MATCH($E101,Establishment!$A$2:$A$1005,0))</f>
        <v xml:space="preserve"> </v>
      </c>
      <c r="M101">
        <f t="shared" si="11"/>
        <v>0</v>
      </c>
      <c r="N101">
        <f t="shared" si="9"/>
        <v>0</v>
      </c>
      <c r="P101" t="e">
        <f>INDEX(Items!B$2:B$1032,MATCH($O101,Items!$A$2:$A$1032,0))</f>
        <v>#N/A</v>
      </c>
      <c r="Q101" t="e">
        <f>INDEX(Items!C$2:C$1032,MATCH($O101,Items!$A$2:$A$1032,0))</f>
        <v>#N/A</v>
      </c>
      <c r="R101" t="e">
        <f>INDEX(Items!D$2:D$1032,MATCH($O101,Items!$A$2:$A$1032,0))</f>
        <v>#N/A</v>
      </c>
    </row>
    <row r="102" spans="1:18" x14ac:dyDescent="0.25">
      <c r="A102">
        <f t="shared" si="7"/>
        <v>1</v>
      </c>
      <c r="B102" t="str">
        <f t="shared" si="8"/>
        <v/>
      </c>
      <c r="C102">
        <f t="shared" si="10"/>
        <v>1</v>
      </c>
      <c r="D102" s="4"/>
      <c r="E102" t="s">
        <v>18</v>
      </c>
      <c r="F102" t="str">
        <f>INDEX(Establishment!B$2:B$1005,MATCH($E102,Establishment!$A$2:$A$1005,0))</f>
        <v xml:space="preserve"> </v>
      </c>
      <c r="G102" t="str">
        <f>INDEX(Establishment!C$2:C$1005,MATCH($E102,Establishment!$A$2:$A$1005,0))</f>
        <v xml:space="preserve"> </v>
      </c>
      <c r="M102">
        <f t="shared" si="11"/>
        <v>0</v>
      </c>
      <c r="N102">
        <f t="shared" si="9"/>
        <v>0</v>
      </c>
      <c r="P102" t="e">
        <f>INDEX(Items!B$2:B$1032,MATCH($O102,Items!$A$2:$A$1032,0))</f>
        <v>#N/A</v>
      </c>
      <c r="Q102" t="e">
        <f>INDEX(Items!C$2:C$1032,MATCH($O102,Items!$A$2:$A$1032,0))</f>
        <v>#N/A</v>
      </c>
      <c r="R102" t="e">
        <f>INDEX(Items!D$2:D$1032,MATCH($O102,Items!$A$2:$A$1032,0))</f>
        <v>#N/A</v>
      </c>
    </row>
    <row r="103" spans="1:18" x14ac:dyDescent="0.25">
      <c r="A103">
        <f t="shared" si="7"/>
        <v>1</v>
      </c>
      <c r="B103" t="str">
        <f t="shared" si="8"/>
        <v/>
      </c>
      <c r="C103">
        <f t="shared" si="10"/>
        <v>1</v>
      </c>
      <c r="D103" s="4"/>
      <c r="E103" t="s">
        <v>18</v>
      </c>
      <c r="F103" t="str">
        <f>INDEX(Establishment!B$2:B$1005,MATCH($E103,Establishment!$A$2:$A$1005,0))</f>
        <v xml:space="preserve"> </v>
      </c>
      <c r="G103" t="str">
        <f>INDEX(Establishment!C$2:C$1005,MATCH($E103,Establishment!$A$2:$A$1005,0))</f>
        <v xml:space="preserve"> </v>
      </c>
      <c r="M103">
        <f t="shared" si="11"/>
        <v>0</v>
      </c>
      <c r="N103">
        <f t="shared" si="9"/>
        <v>0</v>
      </c>
      <c r="P103" t="e">
        <f>INDEX(Items!B$2:B$1032,MATCH($O103,Items!$A$2:$A$1032,0))</f>
        <v>#N/A</v>
      </c>
      <c r="Q103" t="e">
        <f>INDEX(Items!C$2:C$1032,MATCH($O103,Items!$A$2:$A$1032,0))</f>
        <v>#N/A</v>
      </c>
      <c r="R103" t="e">
        <f>INDEX(Items!D$2:D$1032,MATCH($O103,Items!$A$2:$A$1032,0))</f>
        <v>#N/A</v>
      </c>
    </row>
    <row r="104" spans="1:18" x14ac:dyDescent="0.25">
      <c r="A104">
        <f t="shared" si="7"/>
        <v>1</v>
      </c>
      <c r="B104" t="str">
        <f t="shared" si="8"/>
        <v/>
      </c>
      <c r="C104">
        <f t="shared" si="10"/>
        <v>1</v>
      </c>
      <c r="D104" s="4"/>
      <c r="E104" t="s">
        <v>18</v>
      </c>
      <c r="F104" t="str">
        <f>INDEX(Establishment!B$2:B$1005,MATCH($E104,Establishment!$A$2:$A$1005,0))</f>
        <v xml:space="preserve"> </v>
      </c>
      <c r="G104" t="str">
        <f>INDEX(Establishment!C$2:C$1005,MATCH($E104,Establishment!$A$2:$A$1005,0))</f>
        <v xml:space="preserve"> </v>
      </c>
      <c r="M104">
        <f t="shared" si="11"/>
        <v>0</v>
      </c>
      <c r="N104">
        <f t="shared" si="9"/>
        <v>0</v>
      </c>
      <c r="P104" t="e">
        <f>INDEX(Items!B$2:B$1032,MATCH($O104,Items!$A$2:$A$1032,0))</f>
        <v>#N/A</v>
      </c>
      <c r="Q104" t="e">
        <f>INDEX(Items!C$2:C$1032,MATCH($O104,Items!$A$2:$A$1032,0))</f>
        <v>#N/A</v>
      </c>
      <c r="R104" t="e">
        <f>INDEX(Items!D$2:D$1032,MATCH($O104,Items!$A$2:$A$1032,0))</f>
        <v>#N/A</v>
      </c>
    </row>
    <row r="105" spans="1:18" x14ac:dyDescent="0.25">
      <c r="A105">
        <f t="shared" si="7"/>
        <v>1</v>
      </c>
      <c r="B105" t="str">
        <f t="shared" si="8"/>
        <v/>
      </c>
      <c r="C105">
        <f t="shared" si="10"/>
        <v>1</v>
      </c>
      <c r="D105" s="4"/>
      <c r="E105" t="s">
        <v>18</v>
      </c>
      <c r="F105" t="str">
        <f>INDEX(Establishment!B$2:B$1005,MATCH($E105,Establishment!$A$2:$A$1005,0))</f>
        <v xml:space="preserve"> </v>
      </c>
      <c r="G105" t="str">
        <f>INDEX(Establishment!C$2:C$1005,MATCH($E105,Establishment!$A$2:$A$1005,0))</f>
        <v xml:space="preserve"> </v>
      </c>
      <c r="M105">
        <f t="shared" si="11"/>
        <v>0</v>
      </c>
      <c r="N105">
        <f t="shared" si="9"/>
        <v>0</v>
      </c>
      <c r="P105" t="e">
        <f>INDEX(Items!B$2:B$1032,MATCH($O105,Items!$A$2:$A$1032,0))</f>
        <v>#N/A</v>
      </c>
      <c r="Q105" t="e">
        <f>INDEX(Items!C$2:C$1032,MATCH($O105,Items!$A$2:$A$1032,0))</f>
        <v>#N/A</v>
      </c>
      <c r="R105" t="e">
        <f>INDEX(Items!D$2:D$1032,MATCH($O105,Items!$A$2:$A$1032,0))</f>
        <v>#N/A</v>
      </c>
    </row>
    <row r="106" spans="1:18" x14ac:dyDescent="0.25">
      <c r="A106">
        <f t="shared" si="7"/>
        <v>1</v>
      </c>
      <c r="B106" t="str">
        <f t="shared" si="8"/>
        <v/>
      </c>
      <c r="C106">
        <f t="shared" si="10"/>
        <v>1</v>
      </c>
      <c r="D106" s="4"/>
      <c r="E106" t="s">
        <v>18</v>
      </c>
      <c r="F106" t="str">
        <f>INDEX(Establishment!B$2:B$1005,MATCH($E106,Establishment!$A$2:$A$1005,0))</f>
        <v xml:space="preserve"> </v>
      </c>
      <c r="G106" t="str">
        <f>INDEX(Establishment!C$2:C$1005,MATCH($E106,Establishment!$A$2:$A$1005,0))</f>
        <v xml:space="preserve"> </v>
      </c>
      <c r="M106">
        <f t="shared" si="11"/>
        <v>0</v>
      </c>
      <c r="N106">
        <f t="shared" si="9"/>
        <v>0</v>
      </c>
      <c r="P106" t="e">
        <f>INDEX(Items!B$2:B$1032,MATCH($O106,Items!$A$2:$A$1032,0))</f>
        <v>#N/A</v>
      </c>
      <c r="Q106" t="e">
        <f>INDEX(Items!C$2:C$1032,MATCH($O106,Items!$A$2:$A$1032,0))</f>
        <v>#N/A</v>
      </c>
      <c r="R106" t="e">
        <f>INDEX(Items!D$2:D$1032,MATCH($O106,Items!$A$2:$A$1032,0))</f>
        <v>#N/A</v>
      </c>
    </row>
    <row r="107" spans="1:18" x14ac:dyDescent="0.25">
      <c r="A107">
        <f t="shared" si="7"/>
        <v>1</v>
      </c>
      <c r="B107" t="str">
        <f t="shared" si="8"/>
        <v/>
      </c>
      <c r="C107">
        <f t="shared" si="10"/>
        <v>1</v>
      </c>
      <c r="D107" s="4"/>
      <c r="E107" t="s">
        <v>18</v>
      </c>
      <c r="F107" t="str">
        <f>INDEX(Establishment!B$2:B$1005,MATCH($E107,Establishment!$A$2:$A$1005,0))</f>
        <v xml:space="preserve"> </v>
      </c>
      <c r="G107" t="str">
        <f>INDEX(Establishment!C$2:C$1005,MATCH($E107,Establishment!$A$2:$A$1005,0))</f>
        <v xml:space="preserve"> </v>
      </c>
      <c r="M107">
        <f t="shared" si="11"/>
        <v>0</v>
      </c>
      <c r="N107">
        <f t="shared" si="9"/>
        <v>0</v>
      </c>
      <c r="P107" t="e">
        <f>INDEX(Items!B$2:B$1032,MATCH($O107,Items!$A$2:$A$1032,0))</f>
        <v>#N/A</v>
      </c>
      <c r="Q107" t="e">
        <f>INDEX(Items!C$2:C$1032,MATCH($O107,Items!$A$2:$A$1032,0))</f>
        <v>#N/A</v>
      </c>
      <c r="R107" t="e">
        <f>INDEX(Items!D$2:D$1032,MATCH($O107,Items!$A$2:$A$1032,0))</f>
        <v>#N/A</v>
      </c>
    </row>
    <row r="108" spans="1:18" x14ac:dyDescent="0.25">
      <c r="A108">
        <f t="shared" si="7"/>
        <v>1</v>
      </c>
      <c r="B108" t="str">
        <f t="shared" si="8"/>
        <v/>
      </c>
      <c r="C108">
        <f t="shared" si="10"/>
        <v>1</v>
      </c>
      <c r="D108" s="4"/>
      <c r="E108" t="s">
        <v>18</v>
      </c>
      <c r="F108" t="str">
        <f>INDEX(Establishment!B$2:B$1005,MATCH($E108,Establishment!$A$2:$A$1005,0))</f>
        <v xml:space="preserve"> </v>
      </c>
      <c r="G108" t="str">
        <f>INDEX(Establishment!C$2:C$1005,MATCH($E108,Establishment!$A$2:$A$1005,0))</f>
        <v xml:space="preserve"> </v>
      </c>
      <c r="M108">
        <f t="shared" si="11"/>
        <v>0</v>
      </c>
      <c r="N108">
        <f t="shared" si="9"/>
        <v>0</v>
      </c>
      <c r="P108" t="e">
        <f>INDEX(Items!B$2:B$1032,MATCH($O108,Items!$A$2:$A$1032,0))</f>
        <v>#N/A</v>
      </c>
      <c r="Q108" t="e">
        <f>INDEX(Items!C$2:C$1032,MATCH($O108,Items!$A$2:$A$1032,0))</f>
        <v>#N/A</v>
      </c>
      <c r="R108" t="e">
        <f>INDEX(Items!D$2:D$1032,MATCH($O108,Items!$A$2:$A$1032,0))</f>
        <v>#N/A</v>
      </c>
    </row>
    <row r="109" spans="1:18" x14ac:dyDescent="0.25">
      <c r="A109">
        <f t="shared" si="7"/>
        <v>1</v>
      </c>
      <c r="B109" t="str">
        <f t="shared" si="8"/>
        <v/>
      </c>
      <c r="C109">
        <f t="shared" si="10"/>
        <v>1</v>
      </c>
      <c r="D109" s="4"/>
      <c r="E109" t="s">
        <v>18</v>
      </c>
      <c r="F109" t="str">
        <f>INDEX(Establishment!B$2:B$1005,MATCH($E109,Establishment!$A$2:$A$1005,0))</f>
        <v xml:space="preserve"> </v>
      </c>
      <c r="G109" t="str">
        <f>INDEX(Establishment!C$2:C$1005,MATCH($E109,Establishment!$A$2:$A$1005,0))</f>
        <v xml:space="preserve"> </v>
      </c>
      <c r="M109">
        <f t="shared" si="11"/>
        <v>0</v>
      </c>
      <c r="N109">
        <f t="shared" si="9"/>
        <v>0</v>
      </c>
      <c r="P109" t="e">
        <f>INDEX(Items!B$2:B$1032,MATCH($O109,Items!$A$2:$A$1032,0))</f>
        <v>#N/A</v>
      </c>
      <c r="Q109" t="e">
        <f>INDEX(Items!C$2:C$1032,MATCH($O109,Items!$A$2:$A$1032,0))</f>
        <v>#N/A</v>
      </c>
      <c r="R109" t="e">
        <f>INDEX(Items!D$2:D$1032,MATCH($O109,Items!$A$2:$A$1032,0))</f>
        <v>#N/A</v>
      </c>
    </row>
    <row r="110" spans="1:18" x14ac:dyDescent="0.25">
      <c r="A110">
        <f t="shared" si="7"/>
        <v>1</v>
      </c>
      <c r="B110" t="str">
        <f t="shared" si="8"/>
        <v/>
      </c>
      <c r="C110">
        <f t="shared" si="10"/>
        <v>1</v>
      </c>
      <c r="D110" s="4"/>
      <c r="E110" t="s">
        <v>18</v>
      </c>
      <c r="F110" t="str">
        <f>INDEX(Establishment!B$2:B$1005,MATCH($E110,Establishment!$A$2:$A$1005,0))</f>
        <v xml:space="preserve"> </v>
      </c>
      <c r="G110" t="str">
        <f>INDEX(Establishment!C$2:C$1005,MATCH($E110,Establishment!$A$2:$A$1005,0))</f>
        <v xml:space="preserve"> </v>
      </c>
      <c r="M110">
        <f t="shared" si="11"/>
        <v>0</v>
      </c>
      <c r="N110">
        <f t="shared" si="9"/>
        <v>0</v>
      </c>
      <c r="P110" t="e">
        <f>INDEX(Items!B$2:B$1032,MATCH($O110,Items!$A$2:$A$1032,0))</f>
        <v>#N/A</v>
      </c>
      <c r="Q110" t="e">
        <f>INDEX(Items!C$2:C$1032,MATCH($O110,Items!$A$2:$A$1032,0))</f>
        <v>#N/A</v>
      </c>
      <c r="R110" t="e">
        <f>INDEX(Items!D$2:D$1032,MATCH($O110,Items!$A$2:$A$1032,0))</f>
        <v>#N/A</v>
      </c>
    </row>
    <row r="111" spans="1:18" x14ac:dyDescent="0.25">
      <c r="A111">
        <f t="shared" si="7"/>
        <v>1</v>
      </c>
      <c r="B111" t="str">
        <f t="shared" si="8"/>
        <v/>
      </c>
      <c r="C111">
        <f t="shared" si="10"/>
        <v>1</v>
      </c>
      <c r="D111" s="4"/>
      <c r="E111" t="s">
        <v>18</v>
      </c>
      <c r="F111" t="str">
        <f>INDEX(Establishment!B$2:B$1005,MATCH($E111,Establishment!$A$2:$A$1005,0))</f>
        <v xml:space="preserve"> </v>
      </c>
      <c r="G111" t="str">
        <f>INDEX(Establishment!C$2:C$1005,MATCH($E111,Establishment!$A$2:$A$1005,0))</f>
        <v xml:space="preserve"> </v>
      </c>
      <c r="M111">
        <f t="shared" si="11"/>
        <v>0</v>
      </c>
      <c r="N111">
        <f t="shared" si="9"/>
        <v>0</v>
      </c>
      <c r="P111" t="e">
        <f>INDEX(Items!B$2:B$1032,MATCH($O111,Items!$A$2:$A$1032,0))</f>
        <v>#N/A</v>
      </c>
      <c r="Q111" t="e">
        <f>INDEX(Items!C$2:C$1032,MATCH($O111,Items!$A$2:$A$1032,0))</f>
        <v>#N/A</v>
      </c>
      <c r="R111" t="e">
        <f>INDEX(Items!D$2:D$1032,MATCH($O111,Items!$A$2:$A$1032,0))</f>
        <v>#N/A</v>
      </c>
    </row>
    <row r="112" spans="1:18" x14ac:dyDescent="0.25">
      <c r="A112">
        <f t="shared" si="7"/>
        <v>1</v>
      </c>
      <c r="B112" t="str">
        <f t="shared" si="8"/>
        <v/>
      </c>
      <c r="C112">
        <f t="shared" si="10"/>
        <v>1</v>
      </c>
      <c r="D112" s="4"/>
      <c r="E112" t="s">
        <v>18</v>
      </c>
      <c r="F112" t="str">
        <f>INDEX(Establishment!B$2:B$1005,MATCH($E112,Establishment!$A$2:$A$1005,0))</f>
        <v xml:space="preserve"> </v>
      </c>
      <c r="G112" t="str">
        <f>INDEX(Establishment!C$2:C$1005,MATCH($E112,Establishment!$A$2:$A$1005,0))</f>
        <v xml:space="preserve"> </v>
      </c>
      <c r="M112">
        <f t="shared" si="11"/>
        <v>0</v>
      </c>
      <c r="N112">
        <f t="shared" si="9"/>
        <v>0</v>
      </c>
      <c r="P112" t="e">
        <f>INDEX(Items!B$2:B$1032,MATCH($O112,Items!$A$2:$A$1032,0))</f>
        <v>#N/A</v>
      </c>
      <c r="Q112" t="e">
        <f>INDEX(Items!C$2:C$1032,MATCH($O112,Items!$A$2:$A$1032,0))</f>
        <v>#N/A</v>
      </c>
      <c r="R112" t="e">
        <f>INDEX(Items!D$2:D$1032,MATCH($O112,Items!$A$2:$A$1032,0))</f>
        <v>#N/A</v>
      </c>
    </row>
    <row r="113" spans="1:18" x14ac:dyDescent="0.25">
      <c r="A113">
        <f t="shared" si="7"/>
        <v>1</v>
      </c>
      <c r="B113" t="str">
        <f t="shared" si="8"/>
        <v/>
      </c>
      <c r="C113">
        <f t="shared" si="10"/>
        <v>1</v>
      </c>
      <c r="D113" s="4"/>
      <c r="E113" t="s">
        <v>18</v>
      </c>
      <c r="F113" t="str">
        <f>INDEX(Establishment!B$2:B$1005,MATCH($E113,Establishment!$A$2:$A$1005,0))</f>
        <v xml:space="preserve"> </v>
      </c>
      <c r="G113" t="str">
        <f>INDEX(Establishment!C$2:C$1005,MATCH($E113,Establishment!$A$2:$A$1005,0))</f>
        <v xml:space="preserve"> </v>
      </c>
      <c r="M113">
        <f t="shared" si="11"/>
        <v>0</v>
      </c>
      <c r="N113">
        <f t="shared" si="9"/>
        <v>0</v>
      </c>
      <c r="P113" t="e">
        <f>INDEX(Items!B$2:B$1032,MATCH($O113,Items!$A$2:$A$1032,0))</f>
        <v>#N/A</v>
      </c>
      <c r="Q113" t="e">
        <f>INDEX(Items!C$2:C$1032,MATCH($O113,Items!$A$2:$A$1032,0))</f>
        <v>#N/A</v>
      </c>
      <c r="R113" t="e">
        <f>INDEX(Items!D$2:D$1032,MATCH($O113,Items!$A$2:$A$1032,0))</f>
        <v>#N/A</v>
      </c>
    </row>
    <row r="114" spans="1:18" x14ac:dyDescent="0.25">
      <c r="A114">
        <f t="shared" si="7"/>
        <v>1</v>
      </c>
      <c r="B114" t="str">
        <f t="shared" si="8"/>
        <v/>
      </c>
      <c r="C114">
        <f t="shared" si="10"/>
        <v>1</v>
      </c>
      <c r="D114" s="4"/>
      <c r="E114" t="s">
        <v>18</v>
      </c>
      <c r="F114" t="str">
        <f>INDEX(Establishment!B$2:B$1005,MATCH($E114,Establishment!$A$2:$A$1005,0))</f>
        <v xml:space="preserve"> </v>
      </c>
      <c r="G114" t="str">
        <f>INDEX(Establishment!C$2:C$1005,MATCH($E114,Establishment!$A$2:$A$1005,0))</f>
        <v xml:space="preserve"> </v>
      </c>
      <c r="M114">
        <f t="shared" si="11"/>
        <v>0</v>
      </c>
      <c r="N114">
        <f t="shared" si="9"/>
        <v>0</v>
      </c>
      <c r="P114" t="e">
        <f>INDEX(Items!B$2:B$1032,MATCH($O114,Items!$A$2:$A$1032,0))</f>
        <v>#N/A</v>
      </c>
      <c r="Q114" t="e">
        <f>INDEX(Items!C$2:C$1032,MATCH($O114,Items!$A$2:$A$1032,0))</f>
        <v>#N/A</v>
      </c>
      <c r="R114" t="e">
        <f>INDEX(Items!D$2:D$1032,MATCH($O114,Items!$A$2:$A$1032,0))</f>
        <v>#N/A</v>
      </c>
    </row>
    <row r="115" spans="1:18" x14ac:dyDescent="0.25">
      <c r="A115">
        <f t="shared" si="7"/>
        <v>1</v>
      </c>
      <c r="B115" t="str">
        <f t="shared" si="8"/>
        <v/>
      </c>
      <c r="C115">
        <f t="shared" si="10"/>
        <v>1</v>
      </c>
      <c r="D115" s="4"/>
      <c r="E115" t="s">
        <v>18</v>
      </c>
      <c r="F115" t="str">
        <f>INDEX(Establishment!B$2:B$1005,MATCH($E115,Establishment!$A$2:$A$1005,0))</f>
        <v xml:space="preserve"> </v>
      </c>
      <c r="G115" t="str">
        <f>INDEX(Establishment!C$2:C$1005,MATCH($E115,Establishment!$A$2:$A$1005,0))</f>
        <v xml:space="preserve"> </v>
      </c>
      <c r="M115">
        <f t="shared" si="11"/>
        <v>0</v>
      </c>
      <c r="N115">
        <f t="shared" si="9"/>
        <v>0</v>
      </c>
      <c r="P115" t="e">
        <f>INDEX(Items!B$2:B$1032,MATCH($O115,Items!$A$2:$A$1032,0))</f>
        <v>#N/A</v>
      </c>
      <c r="Q115" t="e">
        <f>INDEX(Items!C$2:C$1032,MATCH($O115,Items!$A$2:$A$1032,0))</f>
        <v>#N/A</v>
      </c>
      <c r="R115" t="e">
        <f>INDEX(Items!D$2:D$1032,MATCH($O115,Items!$A$2:$A$1032,0))</f>
        <v>#N/A</v>
      </c>
    </row>
    <row r="116" spans="1:18" x14ac:dyDescent="0.25">
      <c r="A116">
        <f t="shared" si="7"/>
        <v>1</v>
      </c>
      <c r="B116" t="str">
        <f t="shared" si="8"/>
        <v/>
      </c>
      <c r="C116">
        <f t="shared" si="10"/>
        <v>1</v>
      </c>
      <c r="D116" s="4"/>
      <c r="E116" t="s">
        <v>18</v>
      </c>
      <c r="F116" t="str">
        <f>INDEX(Establishment!B$2:B$1005,MATCH($E116,Establishment!$A$2:$A$1005,0))</f>
        <v xml:space="preserve"> </v>
      </c>
      <c r="G116" t="str">
        <f>INDEX(Establishment!C$2:C$1005,MATCH($E116,Establishment!$A$2:$A$1005,0))</f>
        <v xml:space="preserve"> </v>
      </c>
      <c r="M116">
        <f t="shared" si="11"/>
        <v>0</v>
      </c>
      <c r="N116">
        <f t="shared" si="9"/>
        <v>0</v>
      </c>
      <c r="P116" t="e">
        <f>INDEX(Items!B$2:B$1032,MATCH($O116,Items!$A$2:$A$1032,0))</f>
        <v>#N/A</v>
      </c>
      <c r="Q116" t="e">
        <f>INDEX(Items!C$2:C$1032,MATCH($O116,Items!$A$2:$A$1032,0))</f>
        <v>#N/A</v>
      </c>
      <c r="R116" t="e">
        <f>INDEX(Items!D$2:D$1032,MATCH($O116,Items!$A$2:$A$1032,0))</f>
        <v>#N/A</v>
      </c>
    </row>
    <row r="117" spans="1:18" x14ac:dyDescent="0.25">
      <c r="A117">
        <f t="shared" si="7"/>
        <v>1</v>
      </c>
      <c r="B117" t="str">
        <f t="shared" si="8"/>
        <v/>
      </c>
      <c r="C117">
        <f t="shared" si="10"/>
        <v>1</v>
      </c>
      <c r="D117" s="4"/>
      <c r="E117" t="s">
        <v>18</v>
      </c>
      <c r="F117" t="str">
        <f>INDEX(Establishment!B$2:B$1005,MATCH($E117,Establishment!$A$2:$A$1005,0))</f>
        <v xml:space="preserve"> </v>
      </c>
      <c r="G117" t="str">
        <f>INDEX(Establishment!C$2:C$1005,MATCH($E117,Establishment!$A$2:$A$1005,0))</f>
        <v xml:space="preserve"> </v>
      </c>
      <c r="M117">
        <f t="shared" si="11"/>
        <v>0</v>
      </c>
      <c r="N117">
        <f t="shared" si="9"/>
        <v>0</v>
      </c>
      <c r="P117" t="e">
        <f>INDEX(Items!B$2:B$1032,MATCH($O117,Items!$A$2:$A$1032,0))</f>
        <v>#N/A</v>
      </c>
      <c r="Q117" t="e">
        <f>INDEX(Items!C$2:C$1032,MATCH($O117,Items!$A$2:$A$1032,0))</f>
        <v>#N/A</v>
      </c>
      <c r="R117" t="e">
        <f>INDEX(Items!D$2:D$1032,MATCH($O117,Items!$A$2:$A$1032,0))</f>
        <v>#N/A</v>
      </c>
    </row>
    <row r="118" spans="1:18" x14ac:dyDescent="0.25">
      <c r="A118">
        <f t="shared" si="7"/>
        <v>1</v>
      </c>
      <c r="B118" t="str">
        <f t="shared" si="8"/>
        <v/>
      </c>
      <c r="C118">
        <f t="shared" si="10"/>
        <v>1</v>
      </c>
      <c r="D118" s="4"/>
      <c r="E118" t="s">
        <v>18</v>
      </c>
      <c r="F118" t="str">
        <f>INDEX(Establishment!B$2:B$1005,MATCH($E118,Establishment!$A$2:$A$1005,0))</f>
        <v xml:space="preserve"> </v>
      </c>
      <c r="G118" t="str">
        <f>INDEX(Establishment!C$2:C$1005,MATCH($E118,Establishment!$A$2:$A$1005,0))</f>
        <v xml:space="preserve"> </v>
      </c>
      <c r="M118">
        <f t="shared" si="11"/>
        <v>0</v>
      </c>
      <c r="N118">
        <f t="shared" si="9"/>
        <v>0</v>
      </c>
      <c r="P118" t="e">
        <f>INDEX(Items!B$2:B$1032,MATCH($O118,Items!$A$2:$A$1032,0))</f>
        <v>#N/A</v>
      </c>
      <c r="Q118" t="e">
        <f>INDEX(Items!C$2:C$1032,MATCH($O118,Items!$A$2:$A$1032,0))</f>
        <v>#N/A</v>
      </c>
      <c r="R118" t="e">
        <f>INDEX(Items!D$2:D$1032,MATCH($O118,Items!$A$2:$A$1032,0))</f>
        <v>#N/A</v>
      </c>
    </row>
    <row r="119" spans="1:18" x14ac:dyDescent="0.25">
      <c r="A119">
        <f t="shared" si="7"/>
        <v>1</v>
      </c>
      <c r="B119" t="str">
        <f t="shared" si="8"/>
        <v/>
      </c>
      <c r="C119">
        <f t="shared" si="10"/>
        <v>1</v>
      </c>
      <c r="D119" s="4"/>
      <c r="E119" t="s">
        <v>18</v>
      </c>
      <c r="F119" t="str">
        <f>INDEX(Establishment!B$2:B$1005,MATCH($E119,Establishment!$A$2:$A$1005,0))</f>
        <v xml:space="preserve"> </v>
      </c>
      <c r="G119" t="str">
        <f>INDEX(Establishment!C$2:C$1005,MATCH($E119,Establishment!$A$2:$A$1005,0))</f>
        <v xml:space="preserve"> </v>
      </c>
      <c r="M119">
        <f t="shared" si="11"/>
        <v>0</v>
      </c>
      <c r="N119">
        <f t="shared" si="9"/>
        <v>0</v>
      </c>
      <c r="P119" t="e">
        <f>INDEX(Items!B$2:B$1032,MATCH($O119,Items!$A$2:$A$1032,0))</f>
        <v>#N/A</v>
      </c>
      <c r="Q119" t="e">
        <f>INDEX(Items!C$2:C$1032,MATCH($O119,Items!$A$2:$A$1032,0))</f>
        <v>#N/A</v>
      </c>
      <c r="R119" t="e">
        <f>INDEX(Items!D$2:D$1032,MATCH($O119,Items!$A$2:$A$1032,0))</f>
        <v>#N/A</v>
      </c>
    </row>
    <row r="120" spans="1:18" x14ac:dyDescent="0.25">
      <c r="A120">
        <f t="shared" si="7"/>
        <v>1</v>
      </c>
      <c r="B120" t="str">
        <f t="shared" si="8"/>
        <v/>
      </c>
      <c r="C120">
        <f t="shared" si="10"/>
        <v>1</v>
      </c>
      <c r="D120" s="4"/>
      <c r="E120" t="s">
        <v>18</v>
      </c>
      <c r="F120" t="str">
        <f>INDEX(Establishment!B$2:B$1005,MATCH($E120,Establishment!$A$2:$A$1005,0))</f>
        <v xml:space="preserve"> </v>
      </c>
      <c r="G120" t="str">
        <f>INDEX(Establishment!C$2:C$1005,MATCH($E120,Establishment!$A$2:$A$1005,0))</f>
        <v xml:space="preserve"> </v>
      </c>
      <c r="M120">
        <f t="shared" si="11"/>
        <v>0</v>
      </c>
      <c r="N120">
        <f t="shared" si="9"/>
        <v>0</v>
      </c>
      <c r="P120" t="e">
        <f>INDEX(Items!B$2:B$1032,MATCH($O120,Items!$A$2:$A$1032,0))</f>
        <v>#N/A</v>
      </c>
      <c r="Q120" t="e">
        <f>INDEX(Items!C$2:C$1032,MATCH($O120,Items!$A$2:$A$1032,0))</f>
        <v>#N/A</v>
      </c>
      <c r="R120" t="e">
        <f>INDEX(Items!D$2:D$1032,MATCH($O120,Items!$A$2:$A$1032,0))</f>
        <v>#N/A</v>
      </c>
    </row>
    <row r="121" spans="1:18" x14ac:dyDescent="0.25">
      <c r="A121">
        <f t="shared" si="7"/>
        <v>1</v>
      </c>
      <c r="B121" t="str">
        <f t="shared" si="8"/>
        <v/>
      </c>
      <c r="C121">
        <f t="shared" si="10"/>
        <v>1</v>
      </c>
      <c r="D121" s="4"/>
      <c r="E121" t="s">
        <v>18</v>
      </c>
      <c r="F121" t="str">
        <f>INDEX(Establishment!B$2:B$1005,MATCH($E121,Establishment!$A$2:$A$1005,0))</f>
        <v xml:space="preserve"> </v>
      </c>
      <c r="G121" t="str">
        <f>INDEX(Establishment!C$2:C$1005,MATCH($E121,Establishment!$A$2:$A$1005,0))</f>
        <v xml:space="preserve"> </v>
      </c>
      <c r="M121">
        <f t="shared" si="11"/>
        <v>0</v>
      </c>
      <c r="N121">
        <f t="shared" si="9"/>
        <v>0</v>
      </c>
      <c r="P121" t="e">
        <f>INDEX(Items!B$2:B$1032,MATCH($O121,Items!$A$2:$A$1032,0))</f>
        <v>#N/A</v>
      </c>
      <c r="Q121" t="e">
        <f>INDEX(Items!C$2:C$1032,MATCH($O121,Items!$A$2:$A$1032,0))</f>
        <v>#N/A</v>
      </c>
      <c r="R121" t="e">
        <f>INDEX(Items!D$2:D$1032,MATCH($O121,Items!$A$2:$A$1032,0))</f>
        <v>#N/A</v>
      </c>
    </row>
    <row r="122" spans="1:18" x14ac:dyDescent="0.25">
      <c r="A122">
        <f t="shared" si="7"/>
        <v>1</v>
      </c>
      <c r="B122" t="str">
        <f t="shared" si="8"/>
        <v/>
      </c>
      <c r="C122">
        <f t="shared" si="10"/>
        <v>1</v>
      </c>
      <c r="D122" s="4"/>
      <c r="E122" t="s">
        <v>18</v>
      </c>
      <c r="F122" t="str">
        <f>INDEX(Establishment!B$2:B$1005,MATCH($E122,Establishment!$A$2:$A$1005,0))</f>
        <v xml:space="preserve"> </v>
      </c>
      <c r="G122" t="str">
        <f>INDEX(Establishment!C$2:C$1005,MATCH($E122,Establishment!$A$2:$A$1005,0))</f>
        <v xml:space="preserve"> </v>
      </c>
      <c r="M122">
        <f t="shared" si="11"/>
        <v>0</v>
      </c>
      <c r="N122">
        <f t="shared" si="9"/>
        <v>0</v>
      </c>
      <c r="P122" t="e">
        <f>INDEX(Items!B$2:B$1032,MATCH($O122,Items!$A$2:$A$1032,0))</f>
        <v>#N/A</v>
      </c>
      <c r="Q122" t="e">
        <f>INDEX(Items!C$2:C$1032,MATCH($O122,Items!$A$2:$A$1032,0))</f>
        <v>#N/A</v>
      </c>
      <c r="R122" t="e">
        <f>INDEX(Items!D$2:D$1032,MATCH($O122,Items!$A$2:$A$1032,0))</f>
        <v>#N/A</v>
      </c>
    </row>
    <row r="123" spans="1:18" x14ac:dyDescent="0.25">
      <c r="A123">
        <f t="shared" si="7"/>
        <v>1</v>
      </c>
      <c r="B123" t="str">
        <f t="shared" si="8"/>
        <v/>
      </c>
      <c r="C123">
        <f t="shared" si="10"/>
        <v>1</v>
      </c>
      <c r="D123" s="4"/>
      <c r="E123" t="s">
        <v>18</v>
      </c>
      <c r="F123" t="str">
        <f>INDEX(Establishment!B$2:B$1005,MATCH($E123,Establishment!$A$2:$A$1005,0))</f>
        <v xml:space="preserve"> </v>
      </c>
      <c r="G123" t="str">
        <f>INDEX(Establishment!C$2:C$1005,MATCH($E123,Establishment!$A$2:$A$1005,0))</f>
        <v xml:space="preserve"> </v>
      </c>
      <c r="M123">
        <f t="shared" si="11"/>
        <v>0</v>
      </c>
      <c r="N123">
        <f t="shared" si="9"/>
        <v>0</v>
      </c>
      <c r="P123" t="e">
        <f>INDEX(Items!B$2:B$1032,MATCH($O123,Items!$A$2:$A$1032,0))</f>
        <v>#N/A</v>
      </c>
      <c r="Q123" t="e">
        <f>INDEX(Items!C$2:C$1032,MATCH($O123,Items!$A$2:$A$1032,0))</f>
        <v>#N/A</v>
      </c>
      <c r="R123" t="e">
        <f>INDEX(Items!D$2:D$1032,MATCH($O123,Items!$A$2:$A$1032,0))</f>
        <v>#N/A</v>
      </c>
    </row>
    <row r="124" spans="1:18" x14ac:dyDescent="0.25">
      <c r="A124">
        <f t="shared" si="7"/>
        <v>1</v>
      </c>
      <c r="B124" t="str">
        <f t="shared" si="8"/>
        <v/>
      </c>
      <c r="C124">
        <f t="shared" si="10"/>
        <v>1</v>
      </c>
      <c r="D124" s="4"/>
      <c r="E124" t="s">
        <v>18</v>
      </c>
      <c r="F124" t="str">
        <f>INDEX(Establishment!B$2:B$1005,MATCH($E124,Establishment!$A$2:$A$1005,0))</f>
        <v xml:space="preserve"> </v>
      </c>
      <c r="G124" t="str">
        <f>INDEX(Establishment!C$2:C$1005,MATCH($E124,Establishment!$A$2:$A$1005,0))</f>
        <v xml:space="preserve"> </v>
      </c>
      <c r="M124">
        <f t="shared" si="11"/>
        <v>0</v>
      </c>
      <c r="N124">
        <f t="shared" si="9"/>
        <v>0</v>
      </c>
      <c r="P124" t="e">
        <f>INDEX(Items!B$2:B$1032,MATCH($O124,Items!$A$2:$A$1032,0))</f>
        <v>#N/A</v>
      </c>
      <c r="Q124" t="e">
        <f>INDEX(Items!C$2:C$1032,MATCH($O124,Items!$A$2:$A$1032,0))</f>
        <v>#N/A</v>
      </c>
      <c r="R124" t="e">
        <f>INDEX(Items!D$2:D$1032,MATCH($O124,Items!$A$2:$A$1032,0))</f>
        <v>#N/A</v>
      </c>
    </row>
    <row r="125" spans="1:18" x14ac:dyDescent="0.25">
      <c r="A125">
        <f t="shared" si="7"/>
        <v>1</v>
      </c>
      <c r="B125" t="str">
        <f t="shared" si="8"/>
        <v/>
      </c>
      <c r="C125">
        <f t="shared" si="10"/>
        <v>1</v>
      </c>
      <c r="D125" s="4"/>
      <c r="E125" t="s">
        <v>18</v>
      </c>
      <c r="F125" t="str">
        <f>INDEX(Establishment!B$2:B$1005,MATCH($E125,Establishment!$A$2:$A$1005,0))</f>
        <v xml:space="preserve"> </v>
      </c>
      <c r="G125" t="str">
        <f>INDEX(Establishment!C$2:C$1005,MATCH($E125,Establishment!$A$2:$A$1005,0))</f>
        <v xml:space="preserve"> </v>
      </c>
      <c r="M125">
        <f t="shared" si="11"/>
        <v>0</v>
      </c>
      <c r="N125">
        <f t="shared" si="9"/>
        <v>0</v>
      </c>
      <c r="P125" t="e">
        <f>INDEX(Items!B$2:B$1032,MATCH($O125,Items!$A$2:$A$1032,0))</f>
        <v>#N/A</v>
      </c>
      <c r="Q125" t="e">
        <f>INDEX(Items!C$2:C$1032,MATCH($O125,Items!$A$2:$A$1032,0))</f>
        <v>#N/A</v>
      </c>
      <c r="R125" t="e">
        <f>INDEX(Items!D$2:D$1032,MATCH($O125,Items!$A$2:$A$1032,0))</f>
        <v>#N/A</v>
      </c>
    </row>
    <row r="126" spans="1:18" x14ac:dyDescent="0.25">
      <c r="A126">
        <f t="shared" si="7"/>
        <v>1</v>
      </c>
      <c r="B126" t="str">
        <f t="shared" si="8"/>
        <v/>
      </c>
      <c r="C126">
        <f t="shared" si="10"/>
        <v>1</v>
      </c>
      <c r="D126" s="4"/>
      <c r="E126" t="s">
        <v>18</v>
      </c>
      <c r="F126" t="str">
        <f>INDEX(Establishment!B$2:B$1005,MATCH($E126,Establishment!$A$2:$A$1005,0))</f>
        <v xml:space="preserve"> </v>
      </c>
      <c r="G126" t="str">
        <f>INDEX(Establishment!C$2:C$1005,MATCH($E126,Establishment!$A$2:$A$1005,0))</f>
        <v xml:space="preserve"> </v>
      </c>
      <c r="M126">
        <f t="shared" si="11"/>
        <v>0</v>
      </c>
      <c r="N126">
        <f t="shared" si="9"/>
        <v>0</v>
      </c>
      <c r="P126" t="e">
        <f>INDEX(Items!B$2:B$1032,MATCH($O126,Items!$A$2:$A$1032,0))</f>
        <v>#N/A</v>
      </c>
      <c r="Q126" t="e">
        <f>INDEX(Items!C$2:C$1032,MATCH($O126,Items!$A$2:$A$1032,0))</f>
        <v>#N/A</v>
      </c>
      <c r="R126" t="e">
        <f>INDEX(Items!D$2:D$1032,MATCH($O126,Items!$A$2:$A$1032,0))</f>
        <v>#N/A</v>
      </c>
    </row>
    <row r="127" spans="1:18" x14ac:dyDescent="0.25">
      <c r="A127">
        <f t="shared" si="7"/>
        <v>1</v>
      </c>
      <c r="B127" t="str">
        <f t="shared" si="8"/>
        <v/>
      </c>
      <c r="C127">
        <f t="shared" si="10"/>
        <v>1</v>
      </c>
      <c r="D127" s="4"/>
      <c r="E127" t="s">
        <v>18</v>
      </c>
      <c r="F127" t="str">
        <f>INDEX(Establishment!B$2:B$1005,MATCH($E127,Establishment!$A$2:$A$1005,0))</f>
        <v xml:space="preserve"> </v>
      </c>
      <c r="G127" t="str">
        <f>INDEX(Establishment!C$2:C$1005,MATCH($E127,Establishment!$A$2:$A$1005,0))</f>
        <v xml:space="preserve"> </v>
      </c>
      <c r="M127">
        <f t="shared" si="11"/>
        <v>0</v>
      </c>
      <c r="N127">
        <f t="shared" si="9"/>
        <v>0</v>
      </c>
      <c r="P127" t="e">
        <f>INDEX(Items!B$2:B$1032,MATCH($O127,Items!$A$2:$A$1032,0))</f>
        <v>#N/A</v>
      </c>
      <c r="Q127" t="e">
        <f>INDEX(Items!C$2:C$1032,MATCH($O127,Items!$A$2:$A$1032,0))</f>
        <v>#N/A</v>
      </c>
      <c r="R127" t="e">
        <f>INDEX(Items!D$2:D$1032,MATCH($O127,Items!$A$2:$A$1032,0))</f>
        <v>#N/A</v>
      </c>
    </row>
    <row r="128" spans="1:18" x14ac:dyDescent="0.25">
      <c r="A128">
        <f t="shared" si="7"/>
        <v>1</v>
      </c>
      <c r="B128" t="str">
        <f t="shared" si="8"/>
        <v/>
      </c>
      <c r="C128">
        <f t="shared" si="10"/>
        <v>1</v>
      </c>
      <c r="D128" s="4"/>
      <c r="E128" t="s">
        <v>18</v>
      </c>
      <c r="F128" t="str">
        <f>INDEX(Establishment!B$2:B$1005,MATCH($E128,Establishment!$A$2:$A$1005,0))</f>
        <v xml:space="preserve"> </v>
      </c>
      <c r="G128" t="str">
        <f>INDEX(Establishment!C$2:C$1005,MATCH($E128,Establishment!$A$2:$A$1005,0))</f>
        <v xml:space="preserve"> </v>
      </c>
      <c r="M128">
        <f t="shared" si="11"/>
        <v>0</v>
      </c>
      <c r="N128">
        <f t="shared" si="9"/>
        <v>0</v>
      </c>
      <c r="P128" t="e">
        <f>INDEX(Items!B$2:B$1032,MATCH($O128,Items!$A$2:$A$1032,0))</f>
        <v>#N/A</v>
      </c>
      <c r="Q128" t="e">
        <f>INDEX(Items!C$2:C$1032,MATCH($O128,Items!$A$2:$A$1032,0))</f>
        <v>#N/A</v>
      </c>
      <c r="R128" t="e">
        <f>INDEX(Items!D$2:D$1032,MATCH($O128,Items!$A$2:$A$1032,0))</f>
        <v>#N/A</v>
      </c>
    </row>
    <row r="129" spans="1:18" x14ac:dyDescent="0.25">
      <c r="A129">
        <f t="shared" si="7"/>
        <v>1</v>
      </c>
      <c r="B129" t="str">
        <f t="shared" si="8"/>
        <v/>
      </c>
      <c r="C129">
        <f t="shared" si="10"/>
        <v>1</v>
      </c>
      <c r="D129" s="4"/>
      <c r="E129" t="s">
        <v>18</v>
      </c>
      <c r="F129" t="str">
        <f>INDEX(Establishment!B$2:B$1005,MATCH($E129,Establishment!$A$2:$A$1005,0))</f>
        <v xml:space="preserve"> </v>
      </c>
      <c r="G129" t="str">
        <f>INDEX(Establishment!C$2:C$1005,MATCH($E129,Establishment!$A$2:$A$1005,0))</f>
        <v xml:space="preserve"> </v>
      </c>
      <c r="M129">
        <f t="shared" si="11"/>
        <v>0</v>
      </c>
      <c r="N129">
        <f t="shared" si="9"/>
        <v>0</v>
      </c>
      <c r="P129" t="e">
        <f>INDEX(Items!B$2:B$1032,MATCH($O129,Items!$A$2:$A$1032,0))</f>
        <v>#N/A</v>
      </c>
      <c r="Q129" t="e">
        <f>INDEX(Items!C$2:C$1032,MATCH($O129,Items!$A$2:$A$1032,0))</f>
        <v>#N/A</v>
      </c>
      <c r="R129" t="e">
        <f>INDEX(Items!D$2:D$1032,MATCH($O129,Items!$A$2:$A$1032,0))</f>
        <v>#N/A</v>
      </c>
    </row>
    <row r="130" spans="1:18" x14ac:dyDescent="0.25">
      <c r="A130">
        <f t="shared" ref="A130:A193" si="12">IF(OR(D130&lt;&gt;D129,D130=""),1,IF(NOT(AND(E130=E129,F130=F129,G130=G129)),A129+1,IF(OR(H130="",AND(H130&lt;&gt;"",H130&lt;&gt;H129,H129&lt;&gt;"")),A129,A129+1)))</f>
        <v>1</v>
      </c>
      <c r="B130" t="str">
        <f t="shared" ref="B130:B193" si="13">IF(D130&lt;&gt;"",TEXT(D130,"YYYYMMDD")&amp;CHAR(64+A130),"")</f>
        <v/>
      </c>
      <c r="C130">
        <f t="shared" si="10"/>
        <v>1</v>
      </c>
      <c r="D130" s="4"/>
      <c r="E130" t="s">
        <v>18</v>
      </c>
      <c r="F130" t="str">
        <f>INDEX(Establishment!B$2:B$1005,MATCH($E130,Establishment!$A$2:$A$1005,0))</f>
        <v xml:space="preserve"> </v>
      </c>
      <c r="G130" t="str">
        <f>INDEX(Establishment!C$2:C$1005,MATCH($E130,Establishment!$A$2:$A$1005,0))</f>
        <v xml:space="preserve"> </v>
      </c>
      <c r="M130">
        <f t="shared" si="11"/>
        <v>0</v>
      </c>
      <c r="N130">
        <f t="shared" si="9"/>
        <v>0</v>
      </c>
      <c r="P130" t="e">
        <f>INDEX(Items!B$2:B$1032,MATCH($O130,Items!$A$2:$A$1032,0))</f>
        <v>#N/A</v>
      </c>
      <c r="Q130" t="e">
        <f>INDEX(Items!C$2:C$1032,MATCH($O130,Items!$A$2:$A$1032,0))</f>
        <v>#N/A</v>
      </c>
      <c r="R130" t="e">
        <f>INDEX(Items!D$2:D$1032,MATCH($O130,Items!$A$2:$A$1032,0))</f>
        <v>#N/A</v>
      </c>
    </row>
    <row r="131" spans="1:18" x14ac:dyDescent="0.25">
      <c r="A131">
        <f t="shared" si="12"/>
        <v>1</v>
      </c>
      <c r="B131" t="str">
        <f t="shared" si="13"/>
        <v/>
      </c>
      <c r="C131">
        <f t="shared" si="10"/>
        <v>1</v>
      </c>
      <c r="D131" s="4"/>
      <c r="E131" t="s">
        <v>18</v>
      </c>
      <c r="F131" t="str">
        <f>INDEX(Establishment!B$2:B$1005,MATCH($E131,Establishment!$A$2:$A$1005,0))</f>
        <v xml:space="preserve"> </v>
      </c>
      <c r="G131" t="str">
        <f>INDEX(Establishment!C$2:C$1005,MATCH($E131,Establishment!$A$2:$A$1005,0))</f>
        <v xml:space="preserve"> </v>
      </c>
      <c r="M131">
        <f t="shared" si="11"/>
        <v>0</v>
      </c>
      <c r="N131">
        <f t="shared" ref="N131:N194" si="14">IF(B131=B130,N130+M131,M131)</f>
        <v>0</v>
      </c>
      <c r="P131" t="e">
        <f>INDEX(Items!B$2:B$1032,MATCH($O131,Items!$A$2:$A$1032,0))</f>
        <v>#N/A</v>
      </c>
      <c r="Q131" t="e">
        <f>INDEX(Items!C$2:C$1032,MATCH($O131,Items!$A$2:$A$1032,0))</f>
        <v>#N/A</v>
      </c>
      <c r="R131" t="e">
        <f>INDEX(Items!D$2:D$1032,MATCH($O131,Items!$A$2:$A$1032,0))</f>
        <v>#N/A</v>
      </c>
    </row>
    <row r="132" spans="1:18" x14ac:dyDescent="0.25">
      <c r="A132">
        <f t="shared" si="12"/>
        <v>1</v>
      </c>
      <c r="B132" t="str">
        <f t="shared" si="13"/>
        <v/>
      </c>
      <c r="C132">
        <f t="shared" si="10"/>
        <v>1</v>
      </c>
      <c r="D132" s="4"/>
      <c r="E132" t="s">
        <v>18</v>
      </c>
      <c r="F132" t="str">
        <f>INDEX(Establishment!B$2:B$1005,MATCH($E132,Establishment!$A$2:$A$1005,0))</f>
        <v xml:space="preserve"> </v>
      </c>
      <c r="G132" t="str">
        <f>INDEX(Establishment!C$2:C$1005,MATCH($E132,Establishment!$A$2:$A$1005,0))</f>
        <v xml:space="preserve"> </v>
      </c>
      <c r="M132">
        <f t="shared" si="11"/>
        <v>0</v>
      </c>
      <c r="N132">
        <f t="shared" si="14"/>
        <v>0</v>
      </c>
      <c r="P132" t="e">
        <f>INDEX(Items!B$2:B$1032,MATCH($O132,Items!$A$2:$A$1032,0))</f>
        <v>#N/A</v>
      </c>
      <c r="Q132" t="e">
        <f>INDEX(Items!C$2:C$1032,MATCH($O132,Items!$A$2:$A$1032,0))</f>
        <v>#N/A</v>
      </c>
      <c r="R132" t="e">
        <f>INDEX(Items!D$2:D$1032,MATCH($O132,Items!$A$2:$A$1032,0))</f>
        <v>#N/A</v>
      </c>
    </row>
    <row r="133" spans="1:18" x14ac:dyDescent="0.25">
      <c r="A133">
        <f t="shared" si="12"/>
        <v>1</v>
      </c>
      <c r="B133" t="str">
        <f t="shared" si="13"/>
        <v/>
      </c>
      <c r="C133">
        <f t="shared" si="10"/>
        <v>1</v>
      </c>
      <c r="D133" s="4"/>
      <c r="E133" t="s">
        <v>18</v>
      </c>
      <c r="F133" t="str">
        <f>INDEX(Establishment!B$2:B$1005,MATCH($E133,Establishment!$A$2:$A$1005,0))</f>
        <v xml:space="preserve"> </v>
      </c>
      <c r="G133" t="str">
        <f>INDEX(Establishment!C$2:C$1005,MATCH($E133,Establishment!$A$2:$A$1005,0))</f>
        <v xml:space="preserve"> </v>
      </c>
      <c r="M133">
        <f t="shared" si="11"/>
        <v>0</v>
      </c>
      <c r="N133">
        <f t="shared" si="14"/>
        <v>0</v>
      </c>
      <c r="P133" t="e">
        <f>INDEX(Items!B$2:B$1032,MATCH($O133,Items!$A$2:$A$1032,0))</f>
        <v>#N/A</v>
      </c>
      <c r="Q133" t="e">
        <f>INDEX(Items!C$2:C$1032,MATCH($O133,Items!$A$2:$A$1032,0))</f>
        <v>#N/A</v>
      </c>
      <c r="R133" t="e">
        <f>INDEX(Items!D$2:D$1032,MATCH($O133,Items!$A$2:$A$1032,0))</f>
        <v>#N/A</v>
      </c>
    </row>
    <row r="134" spans="1:18" x14ac:dyDescent="0.25">
      <c r="A134">
        <f t="shared" si="12"/>
        <v>1</v>
      </c>
      <c r="B134" t="str">
        <f t="shared" si="13"/>
        <v/>
      </c>
      <c r="C134">
        <f t="shared" si="10"/>
        <v>1</v>
      </c>
      <c r="D134" s="4"/>
      <c r="E134" t="s">
        <v>18</v>
      </c>
      <c r="F134" t="str">
        <f>INDEX(Establishment!B$2:B$1005,MATCH($E134,Establishment!$A$2:$A$1005,0))</f>
        <v xml:space="preserve"> </v>
      </c>
      <c r="G134" t="str">
        <f>INDEX(Establishment!C$2:C$1005,MATCH($E134,Establishment!$A$2:$A$1005,0))</f>
        <v xml:space="preserve"> </v>
      </c>
      <c r="M134">
        <f t="shared" si="11"/>
        <v>0</v>
      </c>
      <c r="N134">
        <f t="shared" si="14"/>
        <v>0</v>
      </c>
      <c r="P134" t="e">
        <f>INDEX(Items!B$2:B$1032,MATCH($O134,Items!$A$2:$A$1032,0))</f>
        <v>#N/A</v>
      </c>
      <c r="Q134" t="e">
        <f>INDEX(Items!C$2:C$1032,MATCH($O134,Items!$A$2:$A$1032,0))</f>
        <v>#N/A</v>
      </c>
      <c r="R134" t="e">
        <f>INDEX(Items!D$2:D$1032,MATCH($O134,Items!$A$2:$A$1032,0))</f>
        <v>#N/A</v>
      </c>
    </row>
    <row r="135" spans="1:18" x14ac:dyDescent="0.25">
      <c r="A135">
        <f t="shared" si="12"/>
        <v>1</v>
      </c>
      <c r="B135" t="str">
        <f t="shared" si="13"/>
        <v/>
      </c>
      <c r="C135">
        <f t="shared" si="10"/>
        <v>1</v>
      </c>
      <c r="D135" s="4"/>
      <c r="E135" t="s">
        <v>18</v>
      </c>
      <c r="F135" t="str">
        <f>INDEX(Establishment!B$2:B$1005,MATCH($E135,Establishment!$A$2:$A$1005,0))</f>
        <v xml:space="preserve"> </v>
      </c>
      <c r="G135" t="str">
        <f>INDEX(Establishment!C$2:C$1005,MATCH($E135,Establishment!$A$2:$A$1005,0))</f>
        <v xml:space="preserve"> </v>
      </c>
      <c r="M135">
        <f t="shared" si="11"/>
        <v>0</v>
      </c>
      <c r="N135">
        <f t="shared" si="14"/>
        <v>0</v>
      </c>
      <c r="P135" t="e">
        <f>INDEX(Items!B$2:B$1032,MATCH($O135,Items!$A$2:$A$1032,0))</f>
        <v>#N/A</v>
      </c>
      <c r="Q135" t="e">
        <f>INDEX(Items!C$2:C$1032,MATCH($O135,Items!$A$2:$A$1032,0))</f>
        <v>#N/A</v>
      </c>
      <c r="R135" t="e">
        <f>INDEX(Items!D$2:D$1032,MATCH($O135,Items!$A$2:$A$1032,0))</f>
        <v>#N/A</v>
      </c>
    </row>
    <row r="136" spans="1:18" x14ac:dyDescent="0.25">
      <c r="A136">
        <f t="shared" si="12"/>
        <v>1</v>
      </c>
      <c r="B136" t="str">
        <f t="shared" si="13"/>
        <v/>
      </c>
      <c r="C136">
        <f t="shared" si="10"/>
        <v>1</v>
      </c>
      <c r="D136" s="4"/>
      <c r="E136" t="s">
        <v>18</v>
      </c>
      <c r="F136" t="str">
        <f>INDEX(Establishment!B$2:B$1005,MATCH($E136,Establishment!$A$2:$A$1005,0))</f>
        <v xml:space="preserve"> </v>
      </c>
      <c r="G136" t="str">
        <f>INDEX(Establishment!C$2:C$1005,MATCH($E136,Establishment!$A$2:$A$1005,0))</f>
        <v xml:space="preserve"> </v>
      </c>
      <c r="M136">
        <f t="shared" si="11"/>
        <v>0</v>
      </c>
      <c r="N136">
        <f t="shared" si="14"/>
        <v>0</v>
      </c>
      <c r="P136" t="e">
        <f>INDEX(Items!B$2:B$1032,MATCH($O136,Items!$A$2:$A$1032,0))</f>
        <v>#N/A</v>
      </c>
      <c r="Q136" t="e">
        <f>INDEX(Items!C$2:C$1032,MATCH($O136,Items!$A$2:$A$1032,0))</f>
        <v>#N/A</v>
      </c>
      <c r="R136" t="e">
        <f>INDEX(Items!D$2:D$1032,MATCH($O136,Items!$A$2:$A$1032,0))</f>
        <v>#N/A</v>
      </c>
    </row>
    <row r="137" spans="1:18" x14ac:dyDescent="0.25">
      <c r="A137">
        <f t="shared" si="12"/>
        <v>1</v>
      </c>
      <c r="B137" t="str">
        <f t="shared" si="13"/>
        <v/>
      </c>
      <c r="C137">
        <f t="shared" si="10"/>
        <v>1</v>
      </c>
      <c r="D137" s="4"/>
      <c r="E137" t="s">
        <v>18</v>
      </c>
      <c r="F137" t="str">
        <f>INDEX(Establishment!B$2:B$1005,MATCH($E137,Establishment!$A$2:$A$1005,0))</f>
        <v xml:space="preserve"> </v>
      </c>
      <c r="G137" t="str">
        <f>INDEX(Establishment!C$2:C$1005,MATCH($E137,Establishment!$A$2:$A$1005,0))</f>
        <v xml:space="preserve"> </v>
      </c>
      <c r="M137">
        <f t="shared" si="11"/>
        <v>0</v>
      </c>
      <c r="N137">
        <f t="shared" si="14"/>
        <v>0</v>
      </c>
      <c r="P137" t="e">
        <f>INDEX(Items!B$2:B$1032,MATCH($O137,Items!$A$2:$A$1032,0))</f>
        <v>#N/A</v>
      </c>
      <c r="Q137" t="e">
        <f>INDEX(Items!C$2:C$1032,MATCH($O137,Items!$A$2:$A$1032,0))</f>
        <v>#N/A</v>
      </c>
      <c r="R137" t="e">
        <f>INDEX(Items!D$2:D$1032,MATCH($O137,Items!$A$2:$A$1032,0))</f>
        <v>#N/A</v>
      </c>
    </row>
    <row r="138" spans="1:18" x14ac:dyDescent="0.25">
      <c r="A138">
        <f t="shared" si="12"/>
        <v>1</v>
      </c>
      <c r="B138" t="str">
        <f t="shared" si="13"/>
        <v/>
      </c>
      <c r="C138">
        <f t="shared" ref="C138:C201" si="15">IF(OR(B138="",B138&lt;&gt;B137),1,C137+1)</f>
        <v>1</v>
      </c>
      <c r="D138" s="4"/>
      <c r="E138" t="s">
        <v>18</v>
      </c>
      <c r="F138" t="str">
        <f>INDEX(Establishment!B$2:B$1005,MATCH($E138,Establishment!$A$2:$A$1005,0))</f>
        <v xml:space="preserve"> </v>
      </c>
      <c r="G138" t="str">
        <f>INDEX(Establishment!C$2:C$1005,MATCH($E138,Establishment!$A$2:$A$1005,0))</f>
        <v xml:space="preserve"> </v>
      </c>
      <c r="M138">
        <f t="shared" ref="M138:M201" si="16">K138*L138</f>
        <v>0</v>
      </c>
      <c r="N138">
        <f t="shared" si="14"/>
        <v>0</v>
      </c>
      <c r="P138" t="e">
        <f>INDEX(Items!B$2:B$1032,MATCH($O138,Items!$A$2:$A$1032,0))</f>
        <v>#N/A</v>
      </c>
      <c r="Q138" t="e">
        <f>INDEX(Items!C$2:C$1032,MATCH($O138,Items!$A$2:$A$1032,0))</f>
        <v>#N/A</v>
      </c>
      <c r="R138" t="e">
        <f>INDEX(Items!D$2:D$1032,MATCH($O138,Items!$A$2:$A$1032,0))</f>
        <v>#N/A</v>
      </c>
    </row>
    <row r="139" spans="1:18" x14ac:dyDescent="0.25">
      <c r="A139">
        <f t="shared" si="12"/>
        <v>1</v>
      </c>
      <c r="B139" t="str">
        <f t="shared" si="13"/>
        <v/>
      </c>
      <c r="C139">
        <f t="shared" si="15"/>
        <v>1</v>
      </c>
      <c r="D139" s="4"/>
      <c r="E139" t="s">
        <v>18</v>
      </c>
      <c r="F139" t="str">
        <f>INDEX(Establishment!B$2:B$1005,MATCH($E139,Establishment!$A$2:$A$1005,0))</f>
        <v xml:space="preserve"> </v>
      </c>
      <c r="G139" t="str">
        <f>INDEX(Establishment!C$2:C$1005,MATCH($E139,Establishment!$A$2:$A$1005,0))</f>
        <v xml:space="preserve"> </v>
      </c>
      <c r="M139">
        <f t="shared" si="16"/>
        <v>0</v>
      </c>
      <c r="N139">
        <f t="shared" si="14"/>
        <v>0</v>
      </c>
      <c r="P139" t="e">
        <f>INDEX(Items!B$2:B$1032,MATCH($O139,Items!$A$2:$A$1032,0))</f>
        <v>#N/A</v>
      </c>
      <c r="Q139" t="e">
        <f>INDEX(Items!C$2:C$1032,MATCH($O139,Items!$A$2:$A$1032,0))</f>
        <v>#N/A</v>
      </c>
      <c r="R139" t="e">
        <f>INDEX(Items!D$2:D$1032,MATCH($O139,Items!$A$2:$A$1032,0))</f>
        <v>#N/A</v>
      </c>
    </row>
    <row r="140" spans="1:18" x14ac:dyDescent="0.25">
      <c r="A140">
        <f t="shared" si="12"/>
        <v>1</v>
      </c>
      <c r="B140" t="str">
        <f t="shared" si="13"/>
        <v/>
      </c>
      <c r="C140">
        <f t="shared" si="15"/>
        <v>1</v>
      </c>
      <c r="D140" s="4"/>
      <c r="E140" t="s">
        <v>18</v>
      </c>
      <c r="F140" t="str">
        <f>INDEX(Establishment!B$2:B$1005,MATCH($E140,Establishment!$A$2:$A$1005,0))</f>
        <v xml:space="preserve"> </v>
      </c>
      <c r="G140" t="str">
        <f>INDEX(Establishment!C$2:C$1005,MATCH($E140,Establishment!$A$2:$A$1005,0))</f>
        <v xml:space="preserve"> </v>
      </c>
      <c r="M140">
        <f t="shared" si="16"/>
        <v>0</v>
      </c>
      <c r="N140">
        <f t="shared" si="14"/>
        <v>0</v>
      </c>
      <c r="P140" t="e">
        <f>INDEX(Items!B$2:B$1032,MATCH($O140,Items!$A$2:$A$1032,0))</f>
        <v>#N/A</v>
      </c>
      <c r="Q140" t="e">
        <f>INDEX(Items!C$2:C$1032,MATCH($O140,Items!$A$2:$A$1032,0))</f>
        <v>#N/A</v>
      </c>
      <c r="R140" t="e">
        <f>INDEX(Items!D$2:D$1032,MATCH($O140,Items!$A$2:$A$1032,0))</f>
        <v>#N/A</v>
      </c>
    </row>
    <row r="141" spans="1:18" x14ac:dyDescent="0.25">
      <c r="A141">
        <f t="shared" si="12"/>
        <v>1</v>
      </c>
      <c r="B141" t="str">
        <f t="shared" si="13"/>
        <v/>
      </c>
      <c r="C141">
        <f t="shared" si="15"/>
        <v>1</v>
      </c>
      <c r="D141" s="4"/>
      <c r="E141" t="s">
        <v>18</v>
      </c>
      <c r="F141" t="str">
        <f>INDEX(Establishment!B$2:B$1005,MATCH($E141,Establishment!$A$2:$A$1005,0))</f>
        <v xml:space="preserve"> </v>
      </c>
      <c r="G141" t="str">
        <f>INDEX(Establishment!C$2:C$1005,MATCH($E141,Establishment!$A$2:$A$1005,0))</f>
        <v xml:space="preserve"> </v>
      </c>
      <c r="M141">
        <f t="shared" si="16"/>
        <v>0</v>
      </c>
      <c r="N141">
        <f t="shared" si="14"/>
        <v>0</v>
      </c>
      <c r="P141" t="e">
        <f>INDEX(Items!B$2:B$1032,MATCH($O141,Items!$A$2:$A$1032,0))</f>
        <v>#N/A</v>
      </c>
      <c r="Q141" t="e">
        <f>INDEX(Items!C$2:C$1032,MATCH($O141,Items!$A$2:$A$1032,0))</f>
        <v>#N/A</v>
      </c>
      <c r="R141" t="e">
        <f>INDEX(Items!D$2:D$1032,MATCH($O141,Items!$A$2:$A$1032,0))</f>
        <v>#N/A</v>
      </c>
    </row>
    <row r="142" spans="1:18" x14ac:dyDescent="0.25">
      <c r="A142">
        <f t="shared" si="12"/>
        <v>1</v>
      </c>
      <c r="B142" t="str">
        <f t="shared" si="13"/>
        <v/>
      </c>
      <c r="C142">
        <f t="shared" si="15"/>
        <v>1</v>
      </c>
      <c r="D142" s="4"/>
      <c r="E142" t="s">
        <v>18</v>
      </c>
      <c r="F142" t="str">
        <f>INDEX(Establishment!B$2:B$1005,MATCH($E142,Establishment!$A$2:$A$1005,0))</f>
        <v xml:space="preserve"> </v>
      </c>
      <c r="G142" t="str">
        <f>INDEX(Establishment!C$2:C$1005,MATCH($E142,Establishment!$A$2:$A$1005,0))</f>
        <v xml:space="preserve"> </v>
      </c>
      <c r="M142">
        <f t="shared" si="16"/>
        <v>0</v>
      </c>
      <c r="N142">
        <f t="shared" si="14"/>
        <v>0</v>
      </c>
      <c r="P142" t="e">
        <f>INDEX(Items!B$2:B$1032,MATCH($O142,Items!$A$2:$A$1032,0))</f>
        <v>#N/A</v>
      </c>
      <c r="Q142" t="e">
        <f>INDEX(Items!C$2:C$1032,MATCH($O142,Items!$A$2:$A$1032,0))</f>
        <v>#N/A</v>
      </c>
      <c r="R142" t="e">
        <f>INDEX(Items!D$2:D$1032,MATCH($O142,Items!$A$2:$A$1032,0))</f>
        <v>#N/A</v>
      </c>
    </row>
    <row r="143" spans="1:18" x14ac:dyDescent="0.25">
      <c r="A143">
        <f t="shared" si="12"/>
        <v>1</v>
      </c>
      <c r="B143" t="str">
        <f t="shared" si="13"/>
        <v/>
      </c>
      <c r="C143">
        <f t="shared" si="15"/>
        <v>1</v>
      </c>
      <c r="D143" s="4"/>
      <c r="E143" t="s">
        <v>18</v>
      </c>
      <c r="F143" t="str">
        <f>INDEX(Establishment!B$2:B$1005,MATCH($E143,Establishment!$A$2:$A$1005,0))</f>
        <v xml:space="preserve"> </v>
      </c>
      <c r="G143" t="str">
        <f>INDEX(Establishment!C$2:C$1005,MATCH($E143,Establishment!$A$2:$A$1005,0))</f>
        <v xml:space="preserve"> </v>
      </c>
      <c r="M143">
        <f t="shared" si="16"/>
        <v>0</v>
      </c>
      <c r="N143">
        <f t="shared" si="14"/>
        <v>0</v>
      </c>
      <c r="P143" t="e">
        <f>INDEX(Items!B$2:B$1032,MATCH($O143,Items!$A$2:$A$1032,0))</f>
        <v>#N/A</v>
      </c>
      <c r="Q143" t="e">
        <f>INDEX(Items!C$2:C$1032,MATCH($O143,Items!$A$2:$A$1032,0))</f>
        <v>#N/A</v>
      </c>
      <c r="R143" t="e">
        <f>INDEX(Items!D$2:D$1032,MATCH($O143,Items!$A$2:$A$1032,0))</f>
        <v>#N/A</v>
      </c>
    </row>
    <row r="144" spans="1:18" x14ac:dyDescent="0.25">
      <c r="A144">
        <f t="shared" si="12"/>
        <v>1</v>
      </c>
      <c r="B144" t="str">
        <f t="shared" si="13"/>
        <v/>
      </c>
      <c r="C144">
        <f t="shared" si="15"/>
        <v>1</v>
      </c>
      <c r="D144" s="4"/>
      <c r="E144" t="s">
        <v>18</v>
      </c>
      <c r="F144" t="str">
        <f>INDEX(Establishment!B$2:B$1005,MATCH($E144,Establishment!$A$2:$A$1005,0))</f>
        <v xml:space="preserve"> </v>
      </c>
      <c r="G144" t="str">
        <f>INDEX(Establishment!C$2:C$1005,MATCH($E144,Establishment!$A$2:$A$1005,0))</f>
        <v xml:space="preserve"> </v>
      </c>
      <c r="M144">
        <f t="shared" si="16"/>
        <v>0</v>
      </c>
      <c r="N144">
        <f t="shared" si="14"/>
        <v>0</v>
      </c>
      <c r="P144" t="e">
        <f>INDEX(Items!B$2:B$1032,MATCH($O144,Items!$A$2:$A$1032,0))</f>
        <v>#N/A</v>
      </c>
      <c r="Q144" t="e">
        <f>INDEX(Items!C$2:C$1032,MATCH($O144,Items!$A$2:$A$1032,0))</f>
        <v>#N/A</v>
      </c>
      <c r="R144" t="e">
        <f>INDEX(Items!D$2:D$1032,MATCH($O144,Items!$A$2:$A$1032,0))</f>
        <v>#N/A</v>
      </c>
    </row>
    <row r="145" spans="1:18" x14ac:dyDescent="0.25">
      <c r="A145">
        <f t="shared" si="12"/>
        <v>1</v>
      </c>
      <c r="B145" t="str">
        <f t="shared" si="13"/>
        <v/>
      </c>
      <c r="C145">
        <f t="shared" si="15"/>
        <v>1</v>
      </c>
      <c r="D145" s="4"/>
      <c r="E145" t="s">
        <v>18</v>
      </c>
      <c r="F145" t="str">
        <f>INDEX(Establishment!B$2:B$1005,MATCH($E145,Establishment!$A$2:$A$1005,0))</f>
        <v xml:space="preserve"> </v>
      </c>
      <c r="G145" t="str">
        <f>INDEX(Establishment!C$2:C$1005,MATCH($E145,Establishment!$A$2:$A$1005,0))</f>
        <v xml:space="preserve"> </v>
      </c>
      <c r="M145">
        <f t="shared" si="16"/>
        <v>0</v>
      </c>
      <c r="N145">
        <f t="shared" si="14"/>
        <v>0</v>
      </c>
      <c r="P145" t="e">
        <f>INDEX(Items!B$2:B$1032,MATCH($O145,Items!$A$2:$A$1032,0))</f>
        <v>#N/A</v>
      </c>
      <c r="Q145" t="e">
        <f>INDEX(Items!C$2:C$1032,MATCH($O145,Items!$A$2:$A$1032,0))</f>
        <v>#N/A</v>
      </c>
      <c r="R145" t="e">
        <f>INDEX(Items!D$2:D$1032,MATCH($O145,Items!$A$2:$A$1032,0))</f>
        <v>#N/A</v>
      </c>
    </row>
    <row r="146" spans="1:18" x14ac:dyDescent="0.25">
      <c r="A146">
        <f t="shared" si="12"/>
        <v>1</v>
      </c>
      <c r="B146" t="str">
        <f t="shared" si="13"/>
        <v/>
      </c>
      <c r="C146">
        <f t="shared" si="15"/>
        <v>1</v>
      </c>
      <c r="D146" s="4"/>
      <c r="E146" t="s">
        <v>18</v>
      </c>
      <c r="F146" t="str">
        <f>INDEX(Establishment!B$2:B$1005,MATCH($E146,Establishment!$A$2:$A$1005,0))</f>
        <v xml:space="preserve"> </v>
      </c>
      <c r="G146" t="str">
        <f>INDEX(Establishment!C$2:C$1005,MATCH($E146,Establishment!$A$2:$A$1005,0))</f>
        <v xml:space="preserve"> </v>
      </c>
      <c r="M146">
        <f t="shared" si="16"/>
        <v>0</v>
      </c>
      <c r="N146">
        <f t="shared" si="14"/>
        <v>0</v>
      </c>
      <c r="P146" t="e">
        <f>INDEX(Items!B$2:B$1032,MATCH($O146,Items!$A$2:$A$1032,0))</f>
        <v>#N/A</v>
      </c>
      <c r="Q146" t="e">
        <f>INDEX(Items!C$2:C$1032,MATCH($O146,Items!$A$2:$A$1032,0))</f>
        <v>#N/A</v>
      </c>
      <c r="R146" t="e">
        <f>INDEX(Items!D$2:D$1032,MATCH($O146,Items!$A$2:$A$1032,0))</f>
        <v>#N/A</v>
      </c>
    </row>
    <row r="147" spans="1:18" x14ac:dyDescent="0.25">
      <c r="A147">
        <f t="shared" si="12"/>
        <v>1</v>
      </c>
      <c r="B147" t="str">
        <f t="shared" si="13"/>
        <v/>
      </c>
      <c r="C147">
        <f t="shared" si="15"/>
        <v>1</v>
      </c>
      <c r="D147" s="4"/>
      <c r="E147" t="s">
        <v>18</v>
      </c>
      <c r="F147" t="str">
        <f>INDEX(Establishment!B$2:B$1005,MATCH($E147,Establishment!$A$2:$A$1005,0))</f>
        <v xml:space="preserve"> </v>
      </c>
      <c r="G147" t="str">
        <f>INDEX(Establishment!C$2:C$1005,MATCH($E147,Establishment!$A$2:$A$1005,0))</f>
        <v xml:space="preserve"> </v>
      </c>
      <c r="M147">
        <f t="shared" si="16"/>
        <v>0</v>
      </c>
      <c r="N147">
        <f t="shared" si="14"/>
        <v>0</v>
      </c>
      <c r="P147" t="e">
        <f>INDEX(Items!B$2:B$1032,MATCH($O147,Items!$A$2:$A$1032,0))</f>
        <v>#N/A</v>
      </c>
      <c r="Q147" t="e">
        <f>INDEX(Items!C$2:C$1032,MATCH($O147,Items!$A$2:$A$1032,0))</f>
        <v>#N/A</v>
      </c>
      <c r="R147" t="e">
        <f>INDEX(Items!D$2:D$1032,MATCH($O147,Items!$A$2:$A$1032,0))</f>
        <v>#N/A</v>
      </c>
    </row>
    <row r="148" spans="1:18" x14ac:dyDescent="0.25">
      <c r="A148">
        <f t="shared" si="12"/>
        <v>1</v>
      </c>
      <c r="B148" t="str">
        <f t="shared" si="13"/>
        <v/>
      </c>
      <c r="C148">
        <f t="shared" si="15"/>
        <v>1</v>
      </c>
      <c r="D148" s="4"/>
      <c r="E148" t="s">
        <v>18</v>
      </c>
      <c r="F148" t="str">
        <f>INDEX(Establishment!B$2:B$1005,MATCH($E148,Establishment!$A$2:$A$1005,0))</f>
        <v xml:space="preserve"> </v>
      </c>
      <c r="G148" t="str">
        <f>INDEX(Establishment!C$2:C$1005,MATCH($E148,Establishment!$A$2:$A$1005,0))</f>
        <v xml:space="preserve"> </v>
      </c>
      <c r="M148">
        <f t="shared" si="16"/>
        <v>0</v>
      </c>
      <c r="N148">
        <f t="shared" si="14"/>
        <v>0</v>
      </c>
      <c r="P148" t="e">
        <f>INDEX(Items!B$2:B$1032,MATCH($O148,Items!$A$2:$A$1032,0))</f>
        <v>#N/A</v>
      </c>
      <c r="Q148" t="e">
        <f>INDEX(Items!C$2:C$1032,MATCH($O148,Items!$A$2:$A$1032,0))</f>
        <v>#N/A</v>
      </c>
      <c r="R148" t="e">
        <f>INDEX(Items!D$2:D$1032,MATCH($O148,Items!$A$2:$A$1032,0))</f>
        <v>#N/A</v>
      </c>
    </row>
    <row r="149" spans="1:18" x14ac:dyDescent="0.25">
      <c r="A149">
        <f t="shared" si="12"/>
        <v>1</v>
      </c>
      <c r="B149" t="str">
        <f t="shared" si="13"/>
        <v/>
      </c>
      <c r="C149">
        <f t="shared" si="15"/>
        <v>1</v>
      </c>
      <c r="D149" s="4"/>
      <c r="E149" t="s">
        <v>18</v>
      </c>
      <c r="F149" t="str">
        <f>INDEX(Establishment!B$2:B$1005,MATCH($E149,Establishment!$A$2:$A$1005,0))</f>
        <v xml:space="preserve"> </v>
      </c>
      <c r="G149" t="str">
        <f>INDEX(Establishment!C$2:C$1005,MATCH($E149,Establishment!$A$2:$A$1005,0))</f>
        <v xml:space="preserve"> </v>
      </c>
      <c r="M149">
        <f t="shared" si="16"/>
        <v>0</v>
      </c>
      <c r="N149">
        <f t="shared" si="14"/>
        <v>0</v>
      </c>
      <c r="P149" t="e">
        <f>INDEX(Items!B$2:B$1032,MATCH($O149,Items!$A$2:$A$1032,0))</f>
        <v>#N/A</v>
      </c>
      <c r="Q149" t="e">
        <f>INDEX(Items!C$2:C$1032,MATCH($O149,Items!$A$2:$A$1032,0))</f>
        <v>#N/A</v>
      </c>
      <c r="R149" t="e">
        <f>INDEX(Items!D$2:D$1032,MATCH($O149,Items!$A$2:$A$1032,0))</f>
        <v>#N/A</v>
      </c>
    </row>
    <row r="150" spans="1:18" x14ac:dyDescent="0.25">
      <c r="A150">
        <f t="shared" si="12"/>
        <v>1</v>
      </c>
      <c r="B150" t="str">
        <f t="shared" si="13"/>
        <v/>
      </c>
      <c r="C150">
        <f t="shared" si="15"/>
        <v>1</v>
      </c>
      <c r="D150" s="4"/>
      <c r="E150" t="s">
        <v>18</v>
      </c>
      <c r="F150" t="str">
        <f>INDEX(Establishment!B$2:B$1005,MATCH($E150,Establishment!$A$2:$A$1005,0))</f>
        <v xml:space="preserve"> </v>
      </c>
      <c r="G150" t="str">
        <f>INDEX(Establishment!C$2:C$1005,MATCH($E150,Establishment!$A$2:$A$1005,0))</f>
        <v xml:space="preserve"> </v>
      </c>
      <c r="M150">
        <f t="shared" si="16"/>
        <v>0</v>
      </c>
      <c r="N150">
        <f t="shared" si="14"/>
        <v>0</v>
      </c>
      <c r="P150" t="e">
        <f>INDEX(Items!B$2:B$1032,MATCH($O150,Items!$A$2:$A$1032,0))</f>
        <v>#N/A</v>
      </c>
      <c r="Q150" t="e">
        <f>INDEX(Items!C$2:C$1032,MATCH($O150,Items!$A$2:$A$1032,0))</f>
        <v>#N/A</v>
      </c>
      <c r="R150" t="e">
        <f>INDEX(Items!D$2:D$1032,MATCH($O150,Items!$A$2:$A$1032,0))</f>
        <v>#N/A</v>
      </c>
    </row>
    <row r="151" spans="1:18" x14ac:dyDescent="0.25">
      <c r="A151">
        <f t="shared" si="12"/>
        <v>1</v>
      </c>
      <c r="B151" t="str">
        <f t="shared" si="13"/>
        <v/>
      </c>
      <c r="C151">
        <f t="shared" si="15"/>
        <v>1</v>
      </c>
      <c r="D151" s="4"/>
      <c r="E151" t="s">
        <v>18</v>
      </c>
      <c r="F151" t="str">
        <f>INDEX(Establishment!B$2:B$1005,MATCH($E151,Establishment!$A$2:$A$1005,0))</f>
        <v xml:space="preserve"> </v>
      </c>
      <c r="G151" t="str">
        <f>INDEX(Establishment!C$2:C$1005,MATCH($E151,Establishment!$A$2:$A$1005,0))</f>
        <v xml:space="preserve"> </v>
      </c>
      <c r="M151">
        <f t="shared" si="16"/>
        <v>0</v>
      </c>
      <c r="N151">
        <f t="shared" si="14"/>
        <v>0</v>
      </c>
      <c r="P151" t="e">
        <f>INDEX(Items!B$2:B$1032,MATCH($O151,Items!$A$2:$A$1032,0))</f>
        <v>#N/A</v>
      </c>
      <c r="Q151" t="e">
        <f>INDEX(Items!C$2:C$1032,MATCH($O151,Items!$A$2:$A$1032,0))</f>
        <v>#N/A</v>
      </c>
      <c r="R151" t="e">
        <f>INDEX(Items!D$2:D$1032,MATCH($O151,Items!$A$2:$A$1032,0))</f>
        <v>#N/A</v>
      </c>
    </row>
    <row r="152" spans="1:18" x14ac:dyDescent="0.25">
      <c r="A152">
        <f t="shared" si="12"/>
        <v>1</v>
      </c>
      <c r="B152" t="str">
        <f t="shared" si="13"/>
        <v/>
      </c>
      <c r="C152">
        <f t="shared" si="15"/>
        <v>1</v>
      </c>
      <c r="D152" s="4"/>
      <c r="E152" t="s">
        <v>18</v>
      </c>
      <c r="F152" t="str">
        <f>INDEX(Establishment!B$2:B$1005,MATCH($E152,Establishment!$A$2:$A$1005,0))</f>
        <v xml:space="preserve"> </v>
      </c>
      <c r="G152" t="str">
        <f>INDEX(Establishment!C$2:C$1005,MATCH($E152,Establishment!$A$2:$A$1005,0))</f>
        <v xml:space="preserve"> </v>
      </c>
      <c r="M152">
        <f t="shared" si="16"/>
        <v>0</v>
      </c>
      <c r="N152">
        <f t="shared" si="14"/>
        <v>0</v>
      </c>
      <c r="P152" t="e">
        <f>INDEX(Items!B$2:B$1032,MATCH($O152,Items!$A$2:$A$1032,0))</f>
        <v>#N/A</v>
      </c>
      <c r="Q152" t="e">
        <f>INDEX(Items!C$2:C$1032,MATCH($O152,Items!$A$2:$A$1032,0))</f>
        <v>#N/A</v>
      </c>
      <c r="R152" t="e">
        <f>INDEX(Items!D$2:D$1032,MATCH($O152,Items!$A$2:$A$1032,0))</f>
        <v>#N/A</v>
      </c>
    </row>
    <row r="153" spans="1:18" x14ac:dyDescent="0.25">
      <c r="A153">
        <f t="shared" si="12"/>
        <v>1</v>
      </c>
      <c r="B153" t="str">
        <f t="shared" si="13"/>
        <v/>
      </c>
      <c r="C153">
        <f t="shared" si="15"/>
        <v>1</v>
      </c>
      <c r="D153" s="4"/>
      <c r="E153" t="s">
        <v>18</v>
      </c>
      <c r="F153" t="str">
        <f>INDEX(Establishment!B$2:B$1005,MATCH($E153,Establishment!$A$2:$A$1005,0))</f>
        <v xml:space="preserve"> </v>
      </c>
      <c r="G153" t="str">
        <f>INDEX(Establishment!C$2:C$1005,MATCH($E153,Establishment!$A$2:$A$1005,0))</f>
        <v xml:space="preserve"> </v>
      </c>
      <c r="M153">
        <f t="shared" si="16"/>
        <v>0</v>
      </c>
      <c r="N153">
        <f t="shared" si="14"/>
        <v>0</v>
      </c>
      <c r="P153" t="e">
        <f>INDEX(Items!B$2:B$1032,MATCH($O153,Items!$A$2:$A$1032,0))</f>
        <v>#N/A</v>
      </c>
      <c r="Q153" t="e">
        <f>INDEX(Items!C$2:C$1032,MATCH($O153,Items!$A$2:$A$1032,0))</f>
        <v>#N/A</v>
      </c>
      <c r="R153" t="e">
        <f>INDEX(Items!D$2:D$1032,MATCH($O153,Items!$A$2:$A$1032,0))</f>
        <v>#N/A</v>
      </c>
    </row>
    <row r="154" spans="1:18" x14ac:dyDescent="0.25">
      <c r="A154">
        <f t="shared" si="12"/>
        <v>1</v>
      </c>
      <c r="B154" t="str">
        <f t="shared" si="13"/>
        <v/>
      </c>
      <c r="C154">
        <f t="shared" si="15"/>
        <v>1</v>
      </c>
      <c r="D154" s="4"/>
      <c r="E154" t="s">
        <v>18</v>
      </c>
      <c r="F154" t="str">
        <f>INDEX(Establishment!B$2:B$1005,MATCH($E154,Establishment!$A$2:$A$1005,0))</f>
        <v xml:space="preserve"> </v>
      </c>
      <c r="G154" t="str">
        <f>INDEX(Establishment!C$2:C$1005,MATCH($E154,Establishment!$A$2:$A$1005,0))</f>
        <v xml:space="preserve"> </v>
      </c>
      <c r="M154">
        <f t="shared" si="16"/>
        <v>0</v>
      </c>
      <c r="N154">
        <f t="shared" si="14"/>
        <v>0</v>
      </c>
      <c r="P154" t="e">
        <f>INDEX(Items!B$2:B$1032,MATCH($O154,Items!$A$2:$A$1032,0))</f>
        <v>#N/A</v>
      </c>
      <c r="Q154" t="e">
        <f>INDEX(Items!C$2:C$1032,MATCH($O154,Items!$A$2:$A$1032,0))</f>
        <v>#N/A</v>
      </c>
      <c r="R154" t="e">
        <f>INDEX(Items!D$2:D$1032,MATCH($O154,Items!$A$2:$A$1032,0))</f>
        <v>#N/A</v>
      </c>
    </row>
    <row r="155" spans="1:18" x14ac:dyDescent="0.25">
      <c r="A155">
        <f t="shared" si="12"/>
        <v>1</v>
      </c>
      <c r="B155" t="str">
        <f t="shared" si="13"/>
        <v/>
      </c>
      <c r="C155">
        <f t="shared" si="15"/>
        <v>1</v>
      </c>
      <c r="D155" s="4"/>
      <c r="E155" t="s">
        <v>18</v>
      </c>
      <c r="F155" t="str">
        <f>INDEX(Establishment!B$2:B$1005,MATCH($E155,Establishment!$A$2:$A$1005,0))</f>
        <v xml:space="preserve"> </v>
      </c>
      <c r="G155" t="str">
        <f>INDEX(Establishment!C$2:C$1005,MATCH($E155,Establishment!$A$2:$A$1005,0))</f>
        <v xml:space="preserve"> </v>
      </c>
      <c r="M155">
        <f t="shared" si="16"/>
        <v>0</v>
      </c>
      <c r="N155">
        <f t="shared" si="14"/>
        <v>0</v>
      </c>
      <c r="P155" t="e">
        <f>INDEX(Items!B$2:B$1032,MATCH($O155,Items!$A$2:$A$1032,0))</f>
        <v>#N/A</v>
      </c>
      <c r="Q155" t="e">
        <f>INDEX(Items!C$2:C$1032,MATCH($O155,Items!$A$2:$A$1032,0))</f>
        <v>#N/A</v>
      </c>
      <c r="R155" t="e">
        <f>INDEX(Items!D$2:D$1032,MATCH($O155,Items!$A$2:$A$1032,0))</f>
        <v>#N/A</v>
      </c>
    </row>
    <row r="156" spans="1:18" x14ac:dyDescent="0.25">
      <c r="A156">
        <f t="shared" si="12"/>
        <v>1</v>
      </c>
      <c r="B156" t="str">
        <f t="shared" si="13"/>
        <v/>
      </c>
      <c r="C156">
        <f t="shared" si="15"/>
        <v>1</v>
      </c>
      <c r="D156" s="4"/>
      <c r="E156" t="s">
        <v>18</v>
      </c>
      <c r="F156" t="str">
        <f>INDEX(Establishment!B$2:B$1005,MATCH($E156,Establishment!$A$2:$A$1005,0))</f>
        <v xml:space="preserve"> </v>
      </c>
      <c r="G156" t="str">
        <f>INDEX(Establishment!C$2:C$1005,MATCH($E156,Establishment!$A$2:$A$1005,0))</f>
        <v xml:space="preserve"> </v>
      </c>
      <c r="M156">
        <f t="shared" si="16"/>
        <v>0</v>
      </c>
      <c r="N156">
        <f t="shared" si="14"/>
        <v>0</v>
      </c>
      <c r="P156" t="e">
        <f>INDEX(Items!B$2:B$1032,MATCH($O156,Items!$A$2:$A$1032,0))</f>
        <v>#N/A</v>
      </c>
      <c r="Q156" t="e">
        <f>INDEX(Items!C$2:C$1032,MATCH($O156,Items!$A$2:$A$1032,0))</f>
        <v>#N/A</v>
      </c>
      <c r="R156" t="e">
        <f>INDEX(Items!D$2:D$1032,MATCH($O156,Items!$A$2:$A$1032,0))</f>
        <v>#N/A</v>
      </c>
    </row>
    <row r="157" spans="1:18" x14ac:dyDescent="0.25">
      <c r="A157">
        <f t="shared" si="12"/>
        <v>1</v>
      </c>
      <c r="B157" t="str">
        <f t="shared" si="13"/>
        <v/>
      </c>
      <c r="C157">
        <f t="shared" si="15"/>
        <v>1</v>
      </c>
      <c r="D157" s="4"/>
      <c r="E157" t="s">
        <v>18</v>
      </c>
      <c r="F157" t="str">
        <f>INDEX(Establishment!B$2:B$1005,MATCH($E157,Establishment!$A$2:$A$1005,0))</f>
        <v xml:space="preserve"> </v>
      </c>
      <c r="G157" t="str">
        <f>INDEX(Establishment!C$2:C$1005,MATCH($E157,Establishment!$A$2:$A$1005,0))</f>
        <v xml:space="preserve"> </v>
      </c>
      <c r="M157">
        <f t="shared" si="16"/>
        <v>0</v>
      </c>
      <c r="N157">
        <f t="shared" si="14"/>
        <v>0</v>
      </c>
      <c r="P157" t="e">
        <f>INDEX(Items!B$2:B$1032,MATCH($O157,Items!$A$2:$A$1032,0))</f>
        <v>#N/A</v>
      </c>
      <c r="Q157" t="e">
        <f>INDEX(Items!C$2:C$1032,MATCH($O157,Items!$A$2:$A$1032,0))</f>
        <v>#N/A</v>
      </c>
      <c r="R157" t="e">
        <f>INDEX(Items!D$2:D$1032,MATCH($O157,Items!$A$2:$A$1032,0))</f>
        <v>#N/A</v>
      </c>
    </row>
    <row r="158" spans="1:18" x14ac:dyDescent="0.25">
      <c r="A158">
        <f t="shared" si="12"/>
        <v>1</v>
      </c>
      <c r="B158" t="str">
        <f t="shared" si="13"/>
        <v/>
      </c>
      <c r="C158">
        <f t="shared" si="15"/>
        <v>1</v>
      </c>
      <c r="D158" s="4"/>
      <c r="E158" t="s">
        <v>18</v>
      </c>
      <c r="F158" t="str">
        <f>INDEX(Establishment!B$2:B$1005,MATCH($E158,Establishment!$A$2:$A$1005,0))</f>
        <v xml:space="preserve"> </v>
      </c>
      <c r="G158" t="str">
        <f>INDEX(Establishment!C$2:C$1005,MATCH($E158,Establishment!$A$2:$A$1005,0))</f>
        <v xml:space="preserve"> </v>
      </c>
      <c r="M158">
        <f t="shared" si="16"/>
        <v>0</v>
      </c>
      <c r="N158">
        <f t="shared" si="14"/>
        <v>0</v>
      </c>
      <c r="P158" t="e">
        <f>INDEX(Items!B$2:B$1032,MATCH($O158,Items!$A$2:$A$1032,0))</f>
        <v>#N/A</v>
      </c>
      <c r="Q158" t="e">
        <f>INDEX(Items!C$2:C$1032,MATCH($O158,Items!$A$2:$A$1032,0))</f>
        <v>#N/A</v>
      </c>
      <c r="R158" t="e">
        <f>INDEX(Items!D$2:D$1032,MATCH($O158,Items!$A$2:$A$1032,0))</f>
        <v>#N/A</v>
      </c>
    </row>
    <row r="159" spans="1:18" x14ac:dyDescent="0.25">
      <c r="A159">
        <f t="shared" si="12"/>
        <v>1</v>
      </c>
      <c r="B159" t="str">
        <f t="shared" si="13"/>
        <v/>
      </c>
      <c r="C159">
        <f t="shared" si="15"/>
        <v>1</v>
      </c>
      <c r="D159" s="4"/>
      <c r="E159" t="s">
        <v>18</v>
      </c>
      <c r="F159" t="str">
        <f>INDEX(Establishment!B$2:B$1005,MATCH($E159,Establishment!$A$2:$A$1005,0))</f>
        <v xml:space="preserve"> </v>
      </c>
      <c r="G159" t="str">
        <f>INDEX(Establishment!C$2:C$1005,MATCH($E159,Establishment!$A$2:$A$1005,0))</f>
        <v xml:space="preserve"> </v>
      </c>
      <c r="M159">
        <f t="shared" si="16"/>
        <v>0</v>
      </c>
      <c r="N159">
        <f t="shared" si="14"/>
        <v>0</v>
      </c>
      <c r="P159" t="e">
        <f>INDEX(Items!B$2:B$1032,MATCH($O159,Items!$A$2:$A$1032,0))</f>
        <v>#N/A</v>
      </c>
      <c r="Q159" t="e">
        <f>INDEX(Items!C$2:C$1032,MATCH($O159,Items!$A$2:$A$1032,0))</f>
        <v>#N/A</v>
      </c>
      <c r="R159" t="e">
        <f>INDEX(Items!D$2:D$1032,MATCH($O159,Items!$A$2:$A$1032,0))</f>
        <v>#N/A</v>
      </c>
    </row>
    <row r="160" spans="1:18" x14ac:dyDescent="0.25">
      <c r="A160">
        <f t="shared" si="12"/>
        <v>1</v>
      </c>
      <c r="B160" t="str">
        <f t="shared" si="13"/>
        <v/>
      </c>
      <c r="C160">
        <f t="shared" si="15"/>
        <v>1</v>
      </c>
      <c r="D160" s="4"/>
      <c r="E160" t="s">
        <v>18</v>
      </c>
      <c r="F160" t="str">
        <f>INDEX(Establishment!B$2:B$1005,MATCH($E160,Establishment!$A$2:$A$1005,0))</f>
        <v xml:space="preserve"> </v>
      </c>
      <c r="G160" t="str">
        <f>INDEX(Establishment!C$2:C$1005,MATCH($E160,Establishment!$A$2:$A$1005,0))</f>
        <v xml:space="preserve"> </v>
      </c>
      <c r="M160">
        <f t="shared" si="16"/>
        <v>0</v>
      </c>
      <c r="N160">
        <f t="shared" si="14"/>
        <v>0</v>
      </c>
      <c r="P160" t="e">
        <f>INDEX(Items!B$2:B$1032,MATCH($O160,Items!$A$2:$A$1032,0))</f>
        <v>#N/A</v>
      </c>
      <c r="Q160" t="e">
        <f>INDEX(Items!C$2:C$1032,MATCH($O160,Items!$A$2:$A$1032,0))</f>
        <v>#N/A</v>
      </c>
      <c r="R160" t="e">
        <f>INDEX(Items!D$2:D$1032,MATCH($O160,Items!$A$2:$A$1032,0))</f>
        <v>#N/A</v>
      </c>
    </row>
    <row r="161" spans="1:18" x14ac:dyDescent="0.25">
      <c r="A161">
        <f t="shared" si="12"/>
        <v>1</v>
      </c>
      <c r="B161" t="str">
        <f t="shared" si="13"/>
        <v/>
      </c>
      <c r="C161">
        <f t="shared" si="15"/>
        <v>1</v>
      </c>
      <c r="D161" s="4"/>
      <c r="E161" t="s">
        <v>18</v>
      </c>
      <c r="F161" t="str">
        <f>INDEX(Establishment!B$2:B$1005,MATCH($E161,Establishment!$A$2:$A$1005,0))</f>
        <v xml:space="preserve"> </v>
      </c>
      <c r="G161" t="str">
        <f>INDEX(Establishment!C$2:C$1005,MATCH($E161,Establishment!$A$2:$A$1005,0))</f>
        <v xml:space="preserve"> </v>
      </c>
      <c r="M161">
        <f t="shared" si="16"/>
        <v>0</v>
      </c>
      <c r="N161">
        <f t="shared" si="14"/>
        <v>0</v>
      </c>
      <c r="P161" t="e">
        <f>INDEX(Items!B$2:B$1032,MATCH($O161,Items!$A$2:$A$1032,0))</f>
        <v>#N/A</v>
      </c>
      <c r="Q161" t="e">
        <f>INDEX(Items!C$2:C$1032,MATCH($O161,Items!$A$2:$A$1032,0))</f>
        <v>#N/A</v>
      </c>
      <c r="R161" t="e">
        <f>INDEX(Items!D$2:D$1032,MATCH($O161,Items!$A$2:$A$1032,0))</f>
        <v>#N/A</v>
      </c>
    </row>
    <row r="162" spans="1:18" x14ac:dyDescent="0.25">
      <c r="A162">
        <f t="shared" si="12"/>
        <v>1</v>
      </c>
      <c r="B162" t="str">
        <f t="shared" si="13"/>
        <v/>
      </c>
      <c r="C162">
        <f t="shared" si="15"/>
        <v>1</v>
      </c>
      <c r="D162" s="4"/>
      <c r="E162" t="s">
        <v>18</v>
      </c>
      <c r="F162" t="str">
        <f>INDEX(Establishment!B$2:B$1005,MATCH($E162,Establishment!$A$2:$A$1005,0))</f>
        <v xml:space="preserve"> </v>
      </c>
      <c r="G162" t="str">
        <f>INDEX(Establishment!C$2:C$1005,MATCH($E162,Establishment!$A$2:$A$1005,0))</f>
        <v xml:space="preserve"> </v>
      </c>
      <c r="M162">
        <f t="shared" si="16"/>
        <v>0</v>
      </c>
      <c r="N162">
        <f t="shared" si="14"/>
        <v>0</v>
      </c>
      <c r="P162" t="e">
        <f>INDEX(Items!B$2:B$1032,MATCH($O162,Items!$A$2:$A$1032,0))</f>
        <v>#N/A</v>
      </c>
      <c r="Q162" t="e">
        <f>INDEX(Items!C$2:C$1032,MATCH($O162,Items!$A$2:$A$1032,0))</f>
        <v>#N/A</v>
      </c>
      <c r="R162" t="e">
        <f>INDEX(Items!D$2:D$1032,MATCH($O162,Items!$A$2:$A$1032,0))</f>
        <v>#N/A</v>
      </c>
    </row>
    <row r="163" spans="1:18" x14ac:dyDescent="0.25">
      <c r="A163">
        <f t="shared" si="12"/>
        <v>1</v>
      </c>
      <c r="B163" t="str">
        <f t="shared" si="13"/>
        <v/>
      </c>
      <c r="C163">
        <f t="shared" si="15"/>
        <v>1</v>
      </c>
      <c r="D163" s="4"/>
      <c r="E163" t="s">
        <v>18</v>
      </c>
      <c r="F163" t="str">
        <f>INDEX(Establishment!B$2:B$1005,MATCH($E163,Establishment!$A$2:$A$1005,0))</f>
        <v xml:space="preserve"> </v>
      </c>
      <c r="G163" t="str">
        <f>INDEX(Establishment!C$2:C$1005,MATCH($E163,Establishment!$A$2:$A$1005,0))</f>
        <v xml:space="preserve"> </v>
      </c>
      <c r="M163">
        <f t="shared" si="16"/>
        <v>0</v>
      </c>
      <c r="N163">
        <f t="shared" si="14"/>
        <v>0</v>
      </c>
      <c r="P163" t="e">
        <f>INDEX(Items!B$2:B$1032,MATCH($O163,Items!$A$2:$A$1032,0))</f>
        <v>#N/A</v>
      </c>
      <c r="Q163" t="e">
        <f>INDEX(Items!C$2:C$1032,MATCH($O163,Items!$A$2:$A$1032,0))</f>
        <v>#N/A</v>
      </c>
      <c r="R163" t="e">
        <f>INDEX(Items!D$2:D$1032,MATCH($O163,Items!$A$2:$A$1032,0))</f>
        <v>#N/A</v>
      </c>
    </row>
    <row r="164" spans="1:18" x14ac:dyDescent="0.25">
      <c r="A164">
        <f t="shared" si="12"/>
        <v>1</v>
      </c>
      <c r="B164" t="str">
        <f t="shared" si="13"/>
        <v/>
      </c>
      <c r="C164">
        <f t="shared" si="15"/>
        <v>1</v>
      </c>
      <c r="D164" s="4"/>
      <c r="E164" t="s">
        <v>18</v>
      </c>
      <c r="F164" t="str">
        <f>INDEX(Establishment!B$2:B$1005,MATCH($E164,Establishment!$A$2:$A$1005,0))</f>
        <v xml:space="preserve"> </v>
      </c>
      <c r="G164" t="str">
        <f>INDEX(Establishment!C$2:C$1005,MATCH($E164,Establishment!$A$2:$A$1005,0))</f>
        <v xml:space="preserve"> </v>
      </c>
      <c r="M164">
        <f t="shared" si="16"/>
        <v>0</v>
      </c>
      <c r="N164">
        <f t="shared" si="14"/>
        <v>0</v>
      </c>
      <c r="P164" t="e">
        <f>INDEX(Items!B$2:B$1032,MATCH($O164,Items!$A$2:$A$1032,0))</f>
        <v>#N/A</v>
      </c>
      <c r="Q164" t="e">
        <f>INDEX(Items!C$2:C$1032,MATCH($O164,Items!$A$2:$A$1032,0))</f>
        <v>#N/A</v>
      </c>
      <c r="R164" t="e">
        <f>INDEX(Items!D$2:D$1032,MATCH($O164,Items!$A$2:$A$1032,0))</f>
        <v>#N/A</v>
      </c>
    </row>
    <row r="165" spans="1:18" x14ac:dyDescent="0.25">
      <c r="A165">
        <f t="shared" si="12"/>
        <v>1</v>
      </c>
      <c r="B165" t="str">
        <f t="shared" si="13"/>
        <v/>
      </c>
      <c r="C165">
        <f t="shared" si="15"/>
        <v>1</v>
      </c>
      <c r="D165" s="4"/>
      <c r="E165" t="s">
        <v>18</v>
      </c>
      <c r="F165" t="str">
        <f>INDEX(Establishment!B$2:B$1005,MATCH($E165,Establishment!$A$2:$A$1005,0))</f>
        <v xml:space="preserve"> </v>
      </c>
      <c r="G165" t="str">
        <f>INDEX(Establishment!C$2:C$1005,MATCH($E165,Establishment!$A$2:$A$1005,0))</f>
        <v xml:space="preserve"> </v>
      </c>
      <c r="M165">
        <f t="shared" si="16"/>
        <v>0</v>
      </c>
      <c r="N165">
        <f t="shared" si="14"/>
        <v>0</v>
      </c>
      <c r="P165" t="e">
        <f>INDEX(Items!B$2:B$1032,MATCH($O165,Items!$A$2:$A$1032,0))</f>
        <v>#N/A</v>
      </c>
      <c r="Q165" t="e">
        <f>INDEX(Items!C$2:C$1032,MATCH($O165,Items!$A$2:$A$1032,0))</f>
        <v>#N/A</v>
      </c>
      <c r="R165" t="e">
        <f>INDEX(Items!D$2:D$1032,MATCH($O165,Items!$A$2:$A$1032,0))</f>
        <v>#N/A</v>
      </c>
    </row>
    <row r="166" spans="1:18" x14ac:dyDescent="0.25">
      <c r="A166">
        <f t="shared" si="12"/>
        <v>1</v>
      </c>
      <c r="B166" t="str">
        <f t="shared" si="13"/>
        <v/>
      </c>
      <c r="C166">
        <f t="shared" si="15"/>
        <v>1</v>
      </c>
      <c r="D166" s="4"/>
      <c r="E166" t="s">
        <v>18</v>
      </c>
      <c r="F166" t="str">
        <f>INDEX(Establishment!B$2:B$1005,MATCH($E166,Establishment!$A$2:$A$1005,0))</f>
        <v xml:space="preserve"> </v>
      </c>
      <c r="G166" t="str">
        <f>INDEX(Establishment!C$2:C$1005,MATCH($E166,Establishment!$A$2:$A$1005,0))</f>
        <v xml:space="preserve"> </v>
      </c>
      <c r="M166">
        <f t="shared" si="16"/>
        <v>0</v>
      </c>
      <c r="N166">
        <f t="shared" si="14"/>
        <v>0</v>
      </c>
      <c r="P166" t="e">
        <f>INDEX(Items!B$2:B$1032,MATCH($O166,Items!$A$2:$A$1032,0))</f>
        <v>#N/A</v>
      </c>
      <c r="Q166" t="e">
        <f>INDEX(Items!C$2:C$1032,MATCH($O166,Items!$A$2:$A$1032,0))</f>
        <v>#N/A</v>
      </c>
      <c r="R166" t="e">
        <f>INDEX(Items!D$2:D$1032,MATCH($O166,Items!$A$2:$A$1032,0))</f>
        <v>#N/A</v>
      </c>
    </row>
    <row r="167" spans="1:18" x14ac:dyDescent="0.25">
      <c r="A167">
        <f t="shared" si="12"/>
        <v>1</v>
      </c>
      <c r="B167" t="str">
        <f t="shared" si="13"/>
        <v/>
      </c>
      <c r="C167">
        <f t="shared" si="15"/>
        <v>1</v>
      </c>
      <c r="D167" s="4"/>
      <c r="E167" t="s">
        <v>18</v>
      </c>
      <c r="F167" t="str">
        <f>INDEX(Establishment!B$2:B$1005,MATCH($E167,Establishment!$A$2:$A$1005,0))</f>
        <v xml:space="preserve"> </v>
      </c>
      <c r="G167" t="str">
        <f>INDEX(Establishment!C$2:C$1005,MATCH($E167,Establishment!$A$2:$A$1005,0))</f>
        <v xml:space="preserve"> </v>
      </c>
      <c r="M167">
        <f t="shared" si="16"/>
        <v>0</v>
      </c>
      <c r="N167">
        <f t="shared" si="14"/>
        <v>0</v>
      </c>
      <c r="P167" t="e">
        <f>INDEX(Items!B$2:B$1032,MATCH($O167,Items!$A$2:$A$1032,0))</f>
        <v>#N/A</v>
      </c>
      <c r="Q167" t="e">
        <f>INDEX(Items!C$2:C$1032,MATCH($O167,Items!$A$2:$A$1032,0))</f>
        <v>#N/A</v>
      </c>
      <c r="R167" t="e">
        <f>INDEX(Items!D$2:D$1032,MATCH($O167,Items!$A$2:$A$1032,0))</f>
        <v>#N/A</v>
      </c>
    </row>
    <row r="168" spans="1:18" x14ac:dyDescent="0.25">
      <c r="A168">
        <f t="shared" si="12"/>
        <v>1</v>
      </c>
      <c r="B168" t="str">
        <f t="shared" si="13"/>
        <v/>
      </c>
      <c r="C168">
        <f t="shared" si="15"/>
        <v>1</v>
      </c>
      <c r="D168" s="4"/>
      <c r="E168" t="s">
        <v>18</v>
      </c>
      <c r="F168" t="str">
        <f>INDEX(Establishment!B$2:B$1005,MATCH($E168,Establishment!$A$2:$A$1005,0))</f>
        <v xml:space="preserve"> </v>
      </c>
      <c r="G168" t="str">
        <f>INDEX(Establishment!C$2:C$1005,MATCH($E168,Establishment!$A$2:$A$1005,0))</f>
        <v xml:space="preserve"> </v>
      </c>
      <c r="M168">
        <f t="shared" si="16"/>
        <v>0</v>
      </c>
      <c r="N168">
        <f t="shared" si="14"/>
        <v>0</v>
      </c>
      <c r="P168" t="e">
        <f>INDEX(Items!B$2:B$1032,MATCH($O168,Items!$A$2:$A$1032,0))</f>
        <v>#N/A</v>
      </c>
      <c r="Q168" t="e">
        <f>INDEX(Items!C$2:C$1032,MATCH($O168,Items!$A$2:$A$1032,0))</f>
        <v>#N/A</v>
      </c>
      <c r="R168" t="e">
        <f>INDEX(Items!D$2:D$1032,MATCH($O168,Items!$A$2:$A$1032,0))</f>
        <v>#N/A</v>
      </c>
    </row>
    <row r="169" spans="1:18" x14ac:dyDescent="0.25">
      <c r="A169">
        <f t="shared" si="12"/>
        <v>1</v>
      </c>
      <c r="B169" t="str">
        <f t="shared" si="13"/>
        <v/>
      </c>
      <c r="C169">
        <f t="shared" si="15"/>
        <v>1</v>
      </c>
      <c r="D169" s="4"/>
      <c r="E169" t="s">
        <v>18</v>
      </c>
      <c r="F169" t="str">
        <f>INDEX(Establishment!B$2:B$1005,MATCH($E169,Establishment!$A$2:$A$1005,0))</f>
        <v xml:space="preserve"> </v>
      </c>
      <c r="G169" t="str">
        <f>INDEX(Establishment!C$2:C$1005,MATCH($E169,Establishment!$A$2:$A$1005,0))</f>
        <v xml:space="preserve"> </v>
      </c>
      <c r="M169">
        <f t="shared" si="16"/>
        <v>0</v>
      </c>
      <c r="N169">
        <f t="shared" si="14"/>
        <v>0</v>
      </c>
      <c r="P169" t="e">
        <f>INDEX(Items!B$2:B$1032,MATCH($O169,Items!$A$2:$A$1032,0))</f>
        <v>#N/A</v>
      </c>
      <c r="Q169" t="e">
        <f>INDEX(Items!C$2:C$1032,MATCH($O169,Items!$A$2:$A$1032,0))</f>
        <v>#N/A</v>
      </c>
      <c r="R169" t="e">
        <f>INDEX(Items!D$2:D$1032,MATCH($O169,Items!$A$2:$A$1032,0))</f>
        <v>#N/A</v>
      </c>
    </row>
    <row r="170" spans="1:18" x14ac:dyDescent="0.25">
      <c r="A170">
        <f t="shared" si="12"/>
        <v>1</v>
      </c>
      <c r="B170" t="str">
        <f t="shared" si="13"/>
        <v/>
      </c>
      <c r="C170">
        <f t="shared" si="15"/>
        <v>1</v>
      </c>
      <c r="D170" s="4"/>
      <c r="E170" t="s">
        <v>18</v>
      </c>
      <c r="F170" t="str">
        <f>INDEX(Establishment!B$2:B$1005,MATCH($E170,Establishment!$A$2:$A$1005,0))</f>
        <v xml:space="preserve"> </v>
      </c>
      <c r="G170" t="str">
        <f>INDEX(Establishment!C$2:C$1005,MATCH($E170,Establishment!$A$2:$A$1005,0))</f>
        <v xml:space="preserve"> </v>
      </c>
      <c r="M170">
        <f t="shared" si="16"/>
        <v>0</v>
      </c>
      <c r="N170">
        <f t="shared" si="14"/>
        <v>0</v>
      </c>
      <c r="P170" t="e">
        <f>INDEX(Items!B$2:B$1032,MATCH($O170,Items!$A$2:$A$1032,0))</f>
        <v>#N/A</v>
      </c>
      <c r="Q170" t="e">
        <f>INDEX(Items!C$2:C$1032,MATCH($O170,Items!$A$2:$A$1032,0))</f>
        <v>#N/A</v>
      </c>
      <c r="R170" t="e">
        <f>INDEX(Items!D$2:D$1032,MATCH($O170,Items!$A$2:$A$1032,0))</f>
        <v>#N/A</v>
      </c>
    </row>
    <row r="171" spans="1:18" x14ac:dyDescent="0.25">
      <c r="A171">
        <f t="shared" si="12"/>
        <v>1</v>
      </c>
      <c r="B171" t="str">
        <f t="shared" si="13"/>
        <v/>
      </c>
      <c r="C171">
        <f t="shared" si="15"/>
        <v>1</v>
      </c>
      <c r="D171" s="4"/>
      <c r="E171" t="s">
        <v>18</v>
      </c>
      <c r="F171" t="str">
        <f>INDEX(Establishment!B$2:B$1005,MATCH($E171,Establishment!$A$2:$A$1005,0))</f>
        <v xml:space="preserve"> </v>
      </c>
      <c r="G171" t="str">
        <f>INDEX(Establishment!C$2:C$1005,MATCH($E171,Establishment!$A$2:$A$1005,0))</f>
        <v xml:space="preserve"> </v>
      </c>
      <c r="M171">
        <f t="shared" si="16"/>
        <v>0</v>
      </c>
      <c r="N171">
        <f t="shared" si="14"/>
        <v>0</v>
      </c>
      <c r="P171" t="e">
        <f>INDEX(Items!B$2:B$1032,MATCH($O171,Items!$A$2:$A$1032,0))</f>
        <v>#N/A</v>
      </c>
      <c r="Q171" t="e">
        <f>INDEX(Items!C$2:C$1032,MATCH($O171,Items!$A$2:$A$1032,0))</f>
        <v>#N/A</v>
      </c>
      <c r="R171" t="e">
        <f>INDEX(Items!D$2:D$1032,MATCH($O171,Items!$A$2:$A$1032,0))</f>
        <v>#N/A</v>
      </c>
    </row>
    <row r="172" spans="1:18" x14ac:dyDescent="0.25">
      <c r="A172">
        <f t="shared" si="12"/>
        <v>1</v>
      </c>
      <c r="B172" t="str">
        <f t="shared" si="13"/>
        <v/>
      </c>
      <c r="C172">
        <f t="shared" si="15"/>
        <v>1</v>
      </c>
      <c r="D172" s="4"/>
      <c r="E172" t="s">
        <v>18</v>
      </c>
      <c r="F172" t="str">
        <f>INDEX(Establishment!B$2:B$1005,MATCH($E172,Establishment!$A$2:$A$1005,0))</f>
        <v xml:space="preserve"> </v>
      </c>
      <c r="G172" t="str">
        <f>INDEX(Establishment!C$2:C$1005,MATCH($E172,Establishment!$A$2:$A$1005,0))</f>
        <v xml:space="preserve"> </v>
      </c>
      <c r="M172">
        <f t="shared" si="16"/>
        <v>0</v>
      </c>
      <c r="N172">
        <f t="shared" si="14"/>
        <v>0</v>
      </c>
      <c r="P172" t="e">
        <f>INDEX(Items!B$2:B$1032,MATCH($O172,Items!$A$2:$A$1032,0))</f>
        <v>#N/A</v>
      </c>
      <c r="Q172" t="e">
        <f>INDEX(Items!C$2:C$1032,MATCH($O172,Items!$A$2:$A$1032,0))</f>
        <v>#N/A</v>
      </c>
      <c r="R172" t="e">
        <f>INDEX(Items!D$2:D$1032,MATCH($O172,Items!$A$2:$A$1032,0))</f>
        <v>#N/A</v>
      </c>
    </row>
    <row r="173" spans="1:18" x14ac:dyDescent="0.25">
      <c r="A173">
        <f t="shared" si="12"/>
        <v>1</v>
      </c>
      <c r="B173" t="str">
        <f t="shared" si="13"/>
        <v/>
      </c>
      <c r="C173">
        <f t="shared" si="15"/>
        <v>1</v>
      </c>
      <c r="D173" s="4"/>
      <c r="E173" t="s">
        <v>18</v>
      </c>
      <c r="F173" t="str">
        <f>INDEX(Establishment!B$2:B$1005,MATCH($E173,Establishment!$A$2:$A$1005,0))</f>
        <v xml:space="preserve"> </v>
      </c>
      <c r="G173" t="str">
        <f>INDEX(Establishment!C$2:C$1005,MATCH($E173,Establishment!$A$2:$A$1005,0))</f>
        <v xml:space="preserve"> </v>
      </c>
      <c r="M173">
        <f t="shared" si="16"/>
        <v>0</v>
      </c>
      <c r="N173">
        <f t="shared" si="14"/>
        <v>0</v>
      </c>
      <c r="P173" t="e">
        <f>INDEX(Items!B$2:B$1032,MATCH($O173,Items!$A$2:$A$1032,0))</f>
        <v>#N/A</v>
      </c>
      <c r="Q173" t="e">
        <f>INDEX(Items!C$2:C$1032,MATCH($O173,Items!$A$2:$A$1032,0))</f>
        <v>#N/A</v>
      </c>
      <c r="R173" t="e">
        <f>INDEX(Items!D$2:D$1032,MATCH($O173,Items!$A$2:$A$1032,0))</f>
        <v>#N/A</v>
      </c>
    </row>
    <row r="174" spans="1:18" x14ac:dyDescent="0.25">
      <c r="A174">
        <f t="shared" si="12"/>
        <v>1</v>
      </c>
      <c r="B174" t="str">
        <f t="shared" si="13"/>
        <v/>
      </c>
      <c r="C174">
        <f t="shared" si="15"/>
        <v>1</v>
      </c>
      <c r="D174" s="4"/>
      <c r="E174" t="s">
        <v>18</v>
      </c>
      <c r="F174" t="str">
        <f>INDEX(Establishment!B$2:B$1005,MATCH($E174,Establishment!$A$2:$A$1005,0))</f>
        <v xml:space="preserve"> </v>
      </c>
      <c r="G174" t="str">
        <f>INDEX(Establishment!C$2:C$1005,MATCH($E174,Establishment!$A$2:$A$1005,0))</f>
        <v xml:space="preserve"> </v>
      </c>
      <c r="M174">
        <f t="shared" si="16"/>
        <v>0</v>
      </c>
      <c r="N174">
        <f t="shared" si="14"/>
        <v>0</v>
      </c>
      <c r="P174" t="e">
        <f>INDEX(Items!B$2:B$1032,MATCH($O174,Items!$A$2:$A$1032,0))</f>
        <v>#N/A</v>
      </c>
      <c r="Q174" t="e">
        <f>INDEX(Items!C$2:C$1032,MATCH($O174,Items!$A$2:$A$1032,0))</f>
        <v>#N/A</v>
      </c>
      <c r="R174" t="e">
        <f>INDEX(Items!D$2:D$1032,MATCH($O174,Items!$A$2:$A$1032,0))</f>
        <v>#N/A</v>
      </c>
    </row>
    <row r="175" spans="1:18" x14ac:dyDescent="0.25">
      <c r="A175">
        <f t="shared" si="12"/>
        <v>1</v>
      </c>
      <c r="B175" t="str">
        <f t="shared" si="13"/>
        <v/>
      </c>
      <c r="C175">
        <f t="shared" si="15"/>
        <v>1</v>
      </c>
      <c r="D175" s="4"/>
      <c r="E175" t="s">
        <v>18</v>
      </c>
      <c r="F175" t="str">
        <f>INDEX(Establishment!B$2:B$1005,MATCH($E175,Establishment!$A$2:$A$1005,0))</f>
        <v xml:space="preserve"> </v>
      </c>
      <c r="G175" t="str">
        <f>INDEX(Establishment!C$2:C$1005,MATCH($E175,Establishment!$A$2:$A$1005,0))</f>
        <v xml:space="preserve"> </v>
      </c>
      <c r="M175">
        <f t="shared" si="16"/>
        <v>0</v>
      </c>
      <c r="N175">
        <f t="shared" si="14"/>
        <v>0</v>
      </c>
      <c r="P175" t="e">
        <f>INDEX(Items!B$2:B$1032,MATCH($O175,Items!$A$2:$A$1032,0))</f>
        <v>#N/A</v>
      </c>
      <c r="Q175" t="e">
        <f>INDEX(Items!C$2:C$1032,MATCH($O175,Items!$A$2:$A$1032,0))</f>
        <v>#N/A</v>
      </c>
      <c r="R175" t="e">
        <f>INDEX(Items!D$2:D$1032,MATCH($O175,Items!$A$2:$A$1032,0))</f>
        <v>#N/A</v>
      </c>
    </row>
    <row r="176" spans="1:18" x14ac:dyDescent="0.25">
      <c r="A176">
        <f t="shared" si="12"/>
        <v>1</v>
      </c>
      <c r="B176" t="str">
        <f t="shared" si="13"/>
        <v/>
      </c>
      <c r="C176">
        <f t="shared" si="15"/>
        <v>1</v>
      </c>
      <c r="D176" s="4"/>
      <c r="E176" t="s">
        <v>18</v>
      </c>
      <c r="F176" t="str">
        <f>INDEX(Establishment!B$2:B$1005,MATCH($E176,Establishment!$A$2:$A$1005,0))</f>
        <v xml:space="preserve"> </v>
      </c>
      <c r="G176" t="str">
        <f>INDEX(Establishment!C$2:C$1005,MATCH($E176,Establishment!$A$2:$A$1005,0))</f>
        <v xml:space="preserve"> </v>
      </c>
      <c r="M176">
        <f t="shared" si="16"/>
        <v>0</v>
      </c>
      <c r="N176">
        <f t="shared" si="14"/>
        <v>0</v>
      </c>
      <c r="P176" t="e">
        <f>INDEX(Items!B$2:B$1032,MATCH($O176,Items!$A$2:$A$1032,0))</f>
        <v>#N/A</v>
      </c>
      <c r="Q176" t="e">
        <f>INDEX(Items!C$2:C$1032,MATCH($O176,Items!$A$2:$A$1032,0))</f>
        <v>#N/A</v>
      </c>
      <c r="R176" t="e">
        <f>INDEX(Items!D$2:D$1032,MATCH($O176,Items!$A$2:$A$1032,0))</f>
        <v>#N/A</v>
      </c>
    </row>
    <row r="177" spans="1:18" x14ac:dyDescent="0.25">
      <c r="A177">
        <f t="shared" si="12"/>
        <v>1</v>
      </c>
      <c r="B177" t="str">
        <f t="shared" si="13"/>
        <v/>
      </c>
      <c r="C177">
        <f t="shared" si="15"/>
        <v>1</v>
      </c>
      <c r="D177" s="4"/>
      <c r="E177" t="s">
        <v>18</v>
      </c>
      <c r="F177" t="str">
        <f>INDEX(Establishment!B$2:B$1005,MATCH($E177,Establishment!$A$2:$A$1005,0))</f>
        <v xml:space="preserve"> </v>
      </c>
      <c r="G177" t="str">
        <f>INDEX(Establishment!C$2:C$1005,MATCH($E177,Establishment!$A$2:$A$1005,0))</f>
        <v xml:space="preserve"> </v>
      </c>
      <c r="M177">
        <f t="shared" si="16"/>
        <v>0</v>
      </c>
      <c r="N177">
        <f t="shared" si="14"/>
        <v>0</v>
      </c>
      <c r="P177" t="e">
        <f>INDEX(Items!B$2:B$1032,MATCH($O177,Items!$A$2:$A$1032,0))</f>
        <v>#N/A</v>
      </c>
      <c r="Q177" t="e">
        <f>INDEX(Items!C$2:C$1032,MATCH($O177,Items!$A$2:$A$1032,0))</f>
        <v>#N/A</v>
      </c>
      <c r="R177" t="e">
        <f>INDEX(Items!D$2:D$1032,MATCH($O177,Items!$A$2:$A$1032,0))</f>
        <v>#N/A</v>
      </c>
    </row>
    <row r="178" spans="1:18" x14ac:dyDescent="0.25">
      <c r="A178">
        <f t="shared" si="12"/>
        <v>1</v>
      </c>
      <c r="B178" t="str">
        <f t="shared" si="13"/>
        <v/>
      </c>
      <c r="C178">
        <f t="shared" si="15"/>
        <v>1</v>
      </c>
      <c r="D178" s="4"/>
      <c r="E178" t="s">
        <v>18</v>
      </c>
      <c r="F178" t="str">
        <f>INDEX(Establishment!B$2:B$1005,MATCH($E178,Establishment!$A$2:$A$1005,0))</f>
        <v xml:space="preserve"> </v>
      </c>
      <c r="G178" t="str">
        <f>INDEX(Establishment!C$2:C$1005,MATCH($E178,Establishment!$A$2:$A$1005,0))</f>
        <v xml:space="preserve"> </v>
      </c>
      <c r="M178">
        <f t="shared" si="16"/>
        <v>0</v>
      </c>
      <c r="N178">
        <f t="shared" si="14"/>
        <v>0</v>
      </c>
      <c r="P178" t="e">
        <f>INDEX(Items!B$2:B$1032,MATCH($O178,Items!$A$2:$A$1032,0))</f>
        <v>#N/A</v>
      </c>
      <c r="Q178" t="e">
        <f>INDEX(Items!C$2:C$1032,MATCH($O178,Items!$A$2:$A$1032,0))</f>
        <v>#N/A</v>
      </c>
      <c r="R178" t="e">
        <f>INDEX(Items!D$2:D$1032,MATCH($O178,Items!$A$2:$A$1032,0))</f>
        <v>#N/A</v>
      </c>
    </row>
    <row r="179" spans="1:18" x14ac:dyDescent="0.25">
      <c r="A179">
        <f t="shared" si="12"/>
        <v>1</v>
      </c>
      <c r="B179" t="str">
        <f t="shared" si="13"/>
        <v/>
      </c>
      <c r="C179">
        <f t="shared" si="15"/>
        <v>1</v>
      </c>
      <c r="D179" s="4"/>
      <c r="E179" t="s">
        <v>18</v>
      </c>
      <c r="F179" t="str">
        <f>INDEX(Establishment!B$2:B$1005,MATCH($E179,Establishment!$A$2:$A$1005,0))</f>
        <v xml:space="preserve"> </v>
      </c>
      <c r="G179" t="str">
        <f>INDEX(Establishment!C$2:C$1005,MATCH($E179,Establishment!$A$2:$A$1005,0))</f>
        <v xml:space="preserve"> </v>
      </c>
      <c r="M179">
        <f t="shared" si="16"/>
        <v>0</v>
      </c>
      <c r="N179">
        <f t="shared" si="14"/>
        <v>0</v>
      </c>
      <c r="P179" t="e">
        <f>INDEX(Items!B$2:B$1032,MATCH($O179,Items!$A$2:$A$1032,0))</f>
        <v>#N/A</v>
      </c>
      <c r="Q179" t="e">
        <f>INDEX(Items!C$2:C$1032,MATCH($O179,Items!$A$2:$A$1032,0))</f>
        <v>#N/A</v>
      </c>
      <c r="R179" t="e">
        <f>INDEX(Items!D$2:D$1032,MATCH($O179,Items!$A$2:$A$1032,0))</f>
        <v>#N/A</v>
      </c>
    </row>
    <row r="180" spans="1:18" x14ac:dyDescent="0.25">
      <c r="A180">
        <f t="shared" si="12"/>
        <v>1</v>
      </c>
      <c r="B180" t="str">
        <f t="shared" si="13"/>
        <v/>
      </c>
      <c r="C180">
        <f t="shared" si="15"/>
        <v>1</v>
      </c>
      <c r="D180" s="4"/>
      <c r="E180" t="s">
        <v>18</v>
      </c>
      <c r="F180" t="str">
        <f>INDEX(Establishment!B$2:B$1005,MATCH($E180,Establishment!$A$2:$A$1005,0))</f>
        <v xml:space="preserve"> </v>
      </c>
      <c r="G180" t="str">
        <f>INDEX(Establishment!C$2:C$1005,MATCH($E180,Establishment!$A$2:$A$1005,0))</f>
        <v xml:space="preserve"> </v>
      </c>
      <c r="M180">
        <f t="shared" si="16"/>
        <v>0</v>
      </c>
      <c r="N180">
        <f t="shared" si="14"/>
        <v>0</v>
      </c>
      <c r="P180" t="e">
        <f>INDEX(Items!B$2:B$1032,MATCH($O180,Items!$A$2:$A$1032,0))</f>
        <v>#N/A</v>
      </c>
      <c r="Q180" t="e">
        <f>INDEX(Items!C$2:C$1032,MATCH($O180,Items!$A$2:$A$1032,0))</f>
        <v>#N/A</v>
      </c>
      <c r="R180" t="e">
        <f>INDEX(Items!D$2:D$1032,MATCH($O180,Items!$A$2:$A$1032,0))</f>
        <v>#N/A</v>
      </c>
    </row>
    <row r="181" spans="1:18" x14ac:dyDescent="0.25">
      <c r="A181">
        <f t="shared" si="12"/>
        <v>1</v>
      </c>
      <c r="B181" t="str">
        <f t="shared" si="13"/>
        <v/>
      </c>
      <c r="C181">
        <f t="shared" si="15"/>
        <v>1</v>
      </c>
      <c r="D181" s="4"/>
      <c r="E181" t="s">
        <v>18</v>
      </c>
      <c r="F181" t="str">
        <f>INDEX(Establishment!B$2:B$1005,MATCH($E181,Establishment!$A$2:$A$1005,0))</f>
        <v xml:space="preserve"> </v>
      </c>
      <c r="G181" t="str">
        <f>INDEX(Establishment!C$2:C$1005,MATCH($E181,Establishment!$A$2:$A$1005,0))</f>
        <v xml:space="preserve"> </v>
      </c>
      <c r="M181">
        <f t="shared" si="16"/>
        <v>0</v>
      </c>
      <c r="N181">
        <f t="shared" si="14"/>
        <v>0</v>
      </c>
      <c r="P181" t="e">
        <f>INDEX(Items!B$2:B$1032,MATCH($O181,Items!$A$2:$A$1032,0))</f>
        <v>#N/A</v>
      </c>
      <c r="Q181" t="e">
        <f>INDEX(Items!C$2:C$1032,MATCH($O181,Items!$A$2:$A$1032,0))</f>
        <v>#N/A</v>
      </c>
      <c r="R181" t="e">
        <f>INDEX(Items!D$2:D$1032,MATCH($O181,Items!$A$2:$A$1032,0))</f>
        <v>#N/A</v>
      </c>
    </row>
    <row r="182" spans="1:18" x14ac:dyDescent="0.25">
      <c r="A182">
        <f t="shared" si="12"/>
        <v>1</v>
      </c>
      <c r="B182" t="str">
        <f t="shared" si="13"/>
        <v/>
      </c>
      <c r="C182">
        <f t="shared" si="15"/>
        <v>1</v>
      </c>
      <c r="D182" s="4"/>
      <c r="E182" t="s">
        <v>18</v>
      </c>
      <c r="F182" t="str">
        <f>INDEX(Establishment!B$2:B$1005,MATCH($E182,Establishment!$A$2:$A$1005,0))</f>
        <v xml:space="preserve"> </v>
      </c>
      <c r="G182" t="str">
        <f>INDEX(Establishment!C$2:C$1005,MATCH($E182,Establishment!$A$2:$A$1005,0))</f>
        <v xml:space="preserve"> </v>
      </c>
      <c r="M182">
        <f t="shared" si="16"/>
        <v>0</v>
      </c>
      <c r="N182">
        <f t="shared" si="14"/>
        <v>0</v>
      </c>
      <c r="P182" t="e">
        <f>INDEX(Items!B$2:B$1032,MATCH($O182,Items!$A$2:$A$1032,0))</f>
        <v>#N/A</v>
      </c>
      <c r="Q182" t="e">
        <f>INDEX(Items!C$2:C$1032,MATCH($O182,Items!$A$2:$A$1032,0))</f>
        <v>#N/A</v>
      </c>
      <c r="R182" t="e">
        <f>INDEX(Items!D$2:D$1032,MATCH($O182,Items!$A$2:$A$1032,0))</f>
        <v>#N/A</v>
      </c>
    </row>
    <row r="183" spans="1:18" x14ac:dyDescent="0.25">
      <c r="A183">
        <f t="shared" si="12"/>
        <v>1</v>
      </c>
      <c r="B183" t="str">
        <f t="shared" si="13"/>
        <v/>
      </c>
      <c r="C183">
        <f t="shared" si="15"/>
        <v>1</v>
      </c>
      <c r="D183" s="4"/>
      <c r="E183" t="s">
        <v>18</v>
      </c>
      <c r="F183" t="str">
        <f>INDEX(Establishment!B$2:B$1005,MATCH($E183,Establishment!$A$2:$A$1005,0))</f>
        <v xml:space="preserve"> </v>
      </c>
      <c r="G183" t="str">
        <f>INDEX(Establishment!C$2:C$1005,MATCH($E183,Establishment!$A$2:$A$1005,0))</f>
        <v xml:space="preserve"> </v>
      </c>
      <c r="M183">
        <f t="shared" si="16"/>
        <v>0</v>
      </c>
      <c r="N183">
        <f t="shared" si="14"/>
        <v>0</v>
      </c>
      <c r="P183" t="e">
        <f>INDEX(Items!B$2:B$1032,MATCH($O183,Items!$A$2:$A$1032,0))</f>
        <v>#N/A</v>
      </c>
      <c r="Q183" t="e">
        <f>INDEX(Items!C$2:C$1032,MATCH($O183,Items!$A$2:$A$1032,0))</f>
        <v>#N/A</v>
      </c>
      <c r="R183" t="e">
        <f>INDEX(Items!D$2:D$1032,MATCH($O183,Items!$A$2:$A$1032,0))</f>
        <v>#N/A</v>
      </c>
    </row>
    <row r="184" spans="1:18" x14ac:dyDescent="0.25">
      <c r="A184">
        <f t="shared" si="12"/>
        <v>1</v>
      </c>
      <c r="B184" t="str">
        <f t="shared" si="13"/>
        <v/>
      </c>
      <c r="C184">
        <f t="shared" si="15"/>
        <v>1</v>
      </c>
      <c r="D184" s="4"/>
      <c r="E184" t="s">
        <v>18</v>
      </c>
      <c r="F184" t="str">
        <f>INDEX(Establishment!B$2:B$1005,MATCH($E184,Establishment!$A$2:$A$1005,0))</f>
        <v xml:space="preserve"> </v>
      </c>
      <c r="G184" t="str">
        <f>INDEX(Establishment!C$2:C$1005,MATCH($E184,Establishment!$A$2:$A$1005,0))</f>
        <v xml:space="preserve"> </v>
      </c>
      <c r="M184">
        <f t="shared" si="16"/>
        <v>0</v>
      </c>
      <c r="N184">
        <f t="shared" si="14"/>
        <v>0</v>
      </c>
      <c r="P184" t="e">
        <f>INDEX(Items!B$2:B$1032,MATCH($O184,Items!$A$2:$A$1032,0))</f>
        <v>#N/A</v>
      </c>
      <c r="Q184" t="e">
        <f>INDEX(Items!C$2:C$1032,MATCH($O184,Items!$A$2:$A$1032,0))</f>
        <v>#N/A</v>
      </c>
      <c r="R184" t="e">
        <f>INDEX(Items!D$2:D$1032,MATCH($O184,Items!$A$2:$A$1032,0))</f>
        <v>#N/A</v>
      </c>
    </row>
    <row r="185" spans="1:18" x14ac:dyDescent="0.25">
      <c r="A185">
        <f t="shared" si="12"/>
        <v>1</v>
      </c>
      <c r="B185" t="str">
        <f t="shared" si="13"/>
        <v/>
      </c>
      <c r="C185">
        <f t="shared" si="15"/>
        <v>1</v>
      </c>
      <c r="D185" s="4"/>
      <c r="E185" t="s">
        <v>18</v>
      </c>
      <c r="F185" t="str">
        <f>INDEX(Establishment!B$2:B$1005,MATCH($E185,Establishment!$A$2:$A$1005,0))</f>
        <v xml:space="preserve"> </v>
      </c>
      <c r="G185" t="str">
        <f>INDEX(Establishment!C$2:C$1005,MATCH($E185,Establishment!$A$2:$A$1005,0))</f>
        <v xml:space="preserve"> </v>
      </c>
      <c r="M185">
        <f t="shared" si="16"/>
        <v>0</v>
      </c>
      <c r="N185">
        <f t="shared" si="14"/>
        <v>0</v>
      </c>
      <c r="P185" t="e">
        <f>INDEX(Items!B$2:B$1032,MATCH($O185,Items!$A$2:$A$1032,0))</f>
        <v>#N/A</v>
      </c>
      <c r="Q185" t="e">
        <f>INDEX(Items!C$2:C$1032,MATCH($O185,Items!$A$2:$A$1032,0))</f>
        <v>#N/A</v>
      </c>
      <c r="R185" t="e">
        <f>INDEX(Items!D$2:D$1032,MATCH($O185,Items!$A$2:$A$1032,0))</f>
        <v>#N/A</v>
      </c>
    </row>
    <row r="186" spans="1:18" x14ac:dyDescent="0.25">
      <c r="A186">
        <f t="shared" si="12"/>
        <v>1</v>
      </c>
      <c r="B186" t="str">
        <f t="shared" si="13"/>
        <v/>
      </c>
      <c r="C186">
        <f t="shared" si="15"/>
        <v>1</v>
      </c>
      <c r="D186" s="4"/>
      <c r="E186" t="s">
        <v>18</v>
      </c>
      <c r="F186" t="str">
        <f>INDEX(Establishment!B$2:B$1005,MATCH($E186,Establishment!$A$2:$A$1005,0))</f>
        <v xml:space="preserve"> </v>
      </c>
      <c r="G186" t="str">
        <f>INDEX(Establishment!C$2:C$1005,MATCH($E186,Establishment!$A$2:$A$1005,0))</f>
        <v xml:space="preserve"> </v>
      </c>
      <c r="M186">
        <f t="shared" si="16"/>
        <v>0</v>
      </c>
      <c r="N186">
        <f t="shared" si="14"/>
        <v>0</v>
      </c>
      <c r="P186" t="e">
        <f>INDEX(Items!B$2:B$1032,MATCH($O186,Items!$A$2:$A$1032,0))</f>
        <v>#N/A</v>
      </c>
      <c r="Q186" t="e">
        <f>INDEX(Items!C$2:C$1032,MATCH($O186,Items!$A$2:$A$1032,0))</f>
        <v>#N/A</v>
      </c>
      <c r="R186" t="e">
        <f>INDEX(Items!D$2:D$1032,MATCH($O186,Items!$A$2:$A$1032,0))</f>
        <v>#N/A</v>
      </c>
    </row>
    <row r="187" spans="1:18" x14ac:dyDescent="0.25">
      <c r="A187">
        <f t="shared" si="12"/>
        <v>1</v>
      </c>
      <c r="B187" t="str">
        <f t="shared" si="13"/>
        <v/>
      </c>
      <c r="C187">
        <f t="shared" si="15"/>
        <v>1</v>
      </c>
      <c r="D187" s="4"/>
      <c r="E187" t="s">
        <v>18</v>
      </c>
      <c r="F187" t="str">
        <f>INDEX(Establishment!B$2:B$1005,MATCH($E187,Establishment!$A$2:$A$1005,0))</f>
        <v xml:space="preserve"> </v>
      </c>
      <c r="G187" t="str">
        <f>INDEX(Establishment!C$2:C$1005,MATCH($E187,Establishment!$A$2:$A$1005,0))</f>
        <v xml:space="preserve"> </v>
      </c>
      <c r="M187">
        <f t="shared" si="16"/>
        <v>0</v>
      </c>
      <c r="N187">
        <f t="shared" si="14"/>
        <v>0</v>
      </c>
      <c r="P187" t="e">
        <f>INDEX(Items!B$2:B$1032,MATCH($O187,Items!$A$2:$A$1032,0))</f>
        <v>#N/A</v>
      </c>
      <c r="Q187" t="e">
        <f>INDEX(Items!C$2:C$1032,MATCH($O187,Items!$A$2:$A$1032,0))</f>
        <v>#N/A</v>
      </c>
      <c r="R187" t="e">
        <f>INDEX(Items!D$2:D$1032,MATCH($O187,Items!$A$2:$A$1032,0))</f>
        <v>#N/A</v>
      </c>
    </row>
    <row r="188" spans="1:18" x14ac:dyDescent="0.25">
      <c r="A188">
        <f t="shared" si="12"/>
        <v>1</v>
      </c>
      <c r="B188" t="str">
        <f t="shared" si="13"/>
        <v/>
      </c>
      <c r="C188">
        <f t="shared" si="15"/>
        <v>1</v>
      </c>
      <c r="D188" s="4"/>
      <c r="E188" t="s">
        <v>18</v>
      </c>
      <c r="F188" t="str">
        <f>INDEX(Establishment!B$2:B$1005,MATCH($E188,Establishment!$A$2:$A$1005,0))</f>
        <v xml:space="preserve"> </v>
      </c>
      <c r="G188" t="str">
        <f>INDEX(Establishment!C$2:C$1005,MATCH($E188,Establishment!$A$2:$A$1005,0))</f>
        <v xml:space="preserve"> </v>
      </c>
      <c r="M188">
        <f t="shared" si="16"/>
        <v>0</v>
      </c>
      <c r="N188">
        <f t="shared" si="14"/>
        <v>0</v>
      </c>
      <c r="P188" t="e">
        <f>INDEX(Items!B$2:B$1032,MATCH($O188,Items!$A$2:$A$1032,0))</f>
        <v>#N/A</v>
      </c>
      <c r="Q188" t="e">
        <f>INDEX(Items!C$2:C$1032,MATCH($O188,Items!$A$2:$A$1032,0))</f>
        <v>#N/A</v>
      </c>
      <c r="R188" t="e">
        <f>INDEX(Items!D$2:D$1032,MATCH($O188,Items!$A$2:$A$1032,0))</f>
        <v>#N/A</v>
      </c>
    </row>
    <row r="189" spans="1:18" x14ac:dyDescent="0.25">
      <c r="A189">
        <f t="shared" si="12"/>
        <v>1</v>
      </c>
      <c r="B189" t="str">
        <f t="shared" si="13"/>
        <v/>
      </c>
      <c r="C189">
        <f t="shared" si="15"/>
        <v>1</v>
      </c>
      <c r="D189" s="4"/>
      <c r="E189" t="s">
        <v>18</v>
      </c>
      <c r="F189" t="str">
        <f>INDEX(Establishment!B$2:B$1005,MATCH($E189,Establishment!$A$2:$A$1005,0))</f>
        <v xml:space="preserve"> </v>
      </c>
      <c r="G189" t="str">
        <f>INDEX(Establishment!C$2:C$1005,MATCH($E189,Establishment!$A$2:$A$1005,0))</f>
        <v xml:space="preserve"> </v>
      </c>
      <c r="M189">
        <f t="shared" si="16"/>
        <v>0</v>
      </c>
      <c r="N189">
        <f t="shared" si="14"/>
        <v>0</v>
      </c>
      <c r="P189" t="e">
        <f>INDEX(Items!B$2:B$1032,MATCH($O189,Items!$A$2:$A$1032,0))</f>
        <v>#N/A</v>
      </c>
      <c r="Q189" t="e">
        <f>INDEX(Items!C$2:C$1032,MATCH($O189,Items!$A$2:$A$1032,0))</f>
        <v>#N/A</v>
      </c>
      <c r="R189" t="e">
        <f>INDEX(Items!D$2:D$1032,MATCH($O189,Items!$A$2:$A$1032,0))</f>
        <v>#N/A</v>
      </c>
    </row>
    <row r="190" spans="1:18" x14ac:dyDescent="0.25">
      <c r="A190">
        <f t="shared" si="12"/>
        <v>1</v>
      </c>
      <c r="B190" t="str">
        <f t="shared" si="13"/>
        <v/>
      </c>
      <c r="C190">
        <f t="shared" si="15"/>
        <v>1</v>
      </c>
      <c r="D190" s="4"/>
      <c r="E190" t="s">
        <v>18</v>
      </c>
      <c r="F190" t="str">
        <f>INDEX(Establishment!B$2:B$1005,MATCH($E190,Establishment!$A$2:$A$1005,0))</f>
        <v xml:space="preserve"> </v>
      </c>
      <c r="G190" t="str">
        <f>INDEX(Establishment!C$2:C$1005,MATCH($E190,Establishment!$A$2:$A$1005,0))</f>
        <v xml:space="preserve"> </v>
      </c>
      <c r="M190">
        <f t="shared" si="16"/>
        <v>0</v>
      </c>
      <c r="N190">
        <f t="shared" si="14"/>
        <v>0</v>
      </c>
      <c r="P190" t="e">
        <f>INDEX(Items!B$2:B$1032,MATCH($O190,Items!$A$2:$A$1032,0))</f>
        <v>#N/A</v>
      </c>
      <c r="Q190" t="e">
        <f>INDEX(Items!C$2:C$1032,MATCH($O190,Items!$A$2:$A$1032,0))</f>
        <v>#N/A</v>
      </c>
      <c r="R190" t="e">
        <f>INDEX(Items!D$2:D$1032,MATCH($O190,Items!$A$2:$A$1032,0))</f>
        <v>#N/A</v>
      </c>
    </row>
    <row r="191" spans="1:18" x14ac:dyDescent="0.25">
      <c r="A191">
        <f t="shared" si="12"/>
        <v>1</v>
      </c>
      <c r="B191" t="str">
        <f t="shared" si="13"/>
        <v/>
      </c>
      <c r="C191">
        <f t="shared" si="15"/>
        <v>1</v>
      </c>
      <c r="D191" s="4"/>
      <c r="E191" t="s">
        <v>18</v>
      </c>
      <c r="F191" t="str">
        <f>INDEX(Establishment!B$2:B$1005,MATCH($E191,Establishment!$A$2:$A$1005,0))</f>
        <v xml:space="preserve"> </v>
      </c>
      <c r="G191" t="str">
        <f>INDEX(Establishment!C$2:C$1005,MATCH($E191,Establishment!$A$2:$A$1005,0))</f>
        <v xml:space="preserve"> </v>
      </c>
      <c r="M191">
        <f t="shared" si="16"/>
        <v>0</v>
      </c>
      <c r="N191">
        <f t="shared" si="14"/>
        <v>0</v>
      </c>
      <c r="P191" t="e">
        <f>INDEX(Items!B$2:B$1032,MATCH($O191,Items!$A$2:$A$1032,0))</f>
        <v>#N/A</v>
      </c>
      <c r="Q191" t="e">
        <f>INDEX(Items!C$2:C$1032,MATCH($O191,Items!$A$2:$A$1032,0))</f>
        <v>#N/A</v>
      </c>
      <c r="R191" t="e">
        <f>INDEX(Items!D$2:D$1032,MATCH($O191,Items!$A$2:$A$1032,0))</f>
        <v>#N/A</v>
      </c>
    </row>
    <row r="192" spans="1:18" x14ac:dyDescent="0.25">
      <c r="A192">
        <f t="shared" si="12"/>
        <v>1</v>
      </c>
      <c r="B192" t="str">
        <f t="shared" si="13"/>
        <v/>
      </c>
      <c r="C192">
        <f t="shared" si="15"/>
        <v>1</v>
      </c>
      <c r="D192" s="4"/>
      <c r="E192" t="s">
        <v>18</v>
      </c>
      <c r="F192" t="str">
        <f>INDEX(Establishment!B$2:B$1005,MATCH($E192,Establishment!$A$2:$A$1005,0))</f>
        <v xml:space="preserve"> </v>
      </c>
      <c r="G192" t="str">
        <f>INDEX(Establishment!C$2:C$1005,MATCH($E192,Establishment!$A$2:$A$1005,0))</f>
        <v xml:space="preserve"> </v>
      </c>
      <c r="M192">
        <f t="shared" si="16"/>
        <v>0</v>
      </c>
      <c r="N192">
        <f t="shared" si="14"/>
        <v>0</v>
      </c>
      <c r="P192" t="e">
        <f>INDEX(Items!B$2:B$1032,MATCH($O192,Items!$A$2:$A$1032,0))</f>
        <v>#N/A</v>
      </c>
      <c r="Q192" t="e">
        <f>INDEX(Items!C$2:C$1032,MATCH($O192,Items!$A$2:$A$1032,0))</f>
        <v>#N/A</v>
      </c>
      <c r="R192" t="e">
        <f>INDEX(Items!D$2:D$1032,MATCH($O192,Items!$A$2:$A$1032,0))</f>
        <v>#N/A</v>
      </c>
    </row>
    <row r="193" spans="1:18" x14ac:dyDescent="0.25">
      <c r="A193">
        <f t="shared" si="12"/>
        <v>1</v>
      </c>
      <c r="B193" t="str">
        <f t="shared" si="13"/>
        <v/>
      </c>
      <c r="C193">
        <f t="shared" si="15"/>
        <v>1</v>
      </c>
      <c r="D193" s="4"/>
      <c r="E193" t="s">
        <v>18</v>
      </c>
      <c r="F193" t="str">
        <f>INDEX(Establishment!B$2:B$1005,MATCH($E193,Establishment!$A$2:$A$1005,0))</f>
        <v xml:space="preserve"> </v>
      </c>
      <c r="G193" t="str">
        <f>INDEX(Establishment!C$2:C$1005,MATCH($E193,Establishment!$A$2:$A$1005,0))</f>
        <v xml:space="preserve"> </v>
      </c>
      <c r="M193">
        <f t="shared" si="16"/>
        <v>0</v>
      </c>
      <c r="N193">
        <f t="shared" si="14"/>
        <v>0</v>
      </c>
      <c r="P193" t="e">
        <f>INDEX(Items!B$2:B$1032,MATCH($O193,Items!$A$2:$A$1032,0))</f>
        <v>#N/A</v>
      </c>
      <c r="Q193" t="e">
        <f>INDEX(Items!C$2:C$1032,MATCH($O193,Items!$A$2:$A$1032,0))</f>
        <v>#N/A</v>
      </c>
      <c r="R193" t="e">
        <f>INDEX(Items!D$2:D$1032,MATCH($O193,Items!$A$2:$A$1032,0))</f>
        <v>#N/A</v>
      </c>
    </row>
    <row r="194" spans="1:18" x14ac:dyDescent="0.25">
      <c r="A194">
        <f t="shared" ref="A194:A257" si="17">IF(OR(D194&lt;&gt;D193,D194=""),1,IF(NOT(AND(E194=E193,F194=F193,G194=G193)),A193+1,IF(OR(H194="",AND(H194&lt;&gt;"",H194&lt;&gt;H193,H193&lt;&gt;"")),A193,A193+1)))</f>
        <v>1</v>
      </c>
      <c r="B194" t="str">
        <f t="shared" ref="B194:B257" si="18">IF(D194&lt;&gt;"",TEXT(D194,"YYYYMMDD")&amp;CHAR(64+A194),"")</f>
        <v/>
      </c>
      <c r="C194">
        <f t="shared" si="15"/>
        <v>1</v>
      </c>
      <c r="D194" s="4"/>
      <c r="E194" t="s">
        <v>18</v>
      </c>
      <c r="F194" t="str">
        <f>INDEX(Establishment!B$2:B$1005,MATCH($E194,Establishment!$A$2:$A$1005,0))</f>
        <v xml:space="preserve"> </v>
      </c>
      <c r="G194" t="str">
        <f>INDEX(Establishment!C$2:C$1005,MATCH($E194,Establishment!$A$2:$A$1005,0))</f>
        <v xml:space="preserve"> </v>
      </c>
      <c r="M194">
        <f t="shared" si="16"/>
        <v>0</v>
      </c>
      <c r="N194">
        <f t="shared" si="14"/>
        <v>0</v>
      </c>
      <c r="P194" t="e">
        <f>INDEX(Items!B$2:B$1032,MATCH($O194,Items!$A$2:$A$1032,0))</f>
        <v>#N/A</v>
      </c>
      <c r="Q194" t="e">
        <f>INDEX(Items!C$2:C$1032,MATCH($O194,Items!$A$2:$A$1032,0))</f>
        <v>#N/A</v>
      </c>
      <c r="R194" t="e">
        <f>INDEX(Items!D$2:D$1032,MATCH($O194,Items!$A$2:$A$1032,0))</f>
        <v>#N/A</v>
      </c>
    </row>
    <row r="195" spans="1:18" x14ac:dyDescent="0.25">
      <c r="A195">
        <f t="shared" si="17"/>
        <v>1</v>
      </c>
      <c r="B195" t="str">
        <f t="shared" si="18"/>
        <v/>
      </c>
      <c r="C195">
        <f t="shared" si="15"/>
        <v>1</v>
      </c>
      <c r="D195" s="4"/>
      <c r="E195" t="s">
        <v>18</v>
      </c>
      <c r="F195" t="str">
        <f>INDEX(Establishment!B$2:B$1005,MATCH($E195,Establishment!$A$2:$A$1005,0))</f>
        <v xml:space="preserve"> </v>
      </c>
      <c r="G195" t="str">
        <f>INDEX(Establishment!C$2:C$1005,MATCH($E195,Establishment!$A$2:$A$1005,0))</f>
        <v xml:space="preserve"> </v>
      </c>
      <c r="M195">
        <f t="shared" si="16"/>
        <v>0</v>
      </c>
      <c r="N195">
        <f t="shared" ref="N195:N258" si="19">IF(B195=B194,N194+M195,M195)</f>
        <v>0</v>
      </c>
      <c r="P195" t="e">
        <f>INDEX(Items!B$2:B$1032,MATCH($O195,Items!$A$2:$A$1032,0))</f>
        <v>#N/A</v>
      </c>
      <c r="Q195" t="e">
        <f>INDEX(Items!C$2:C$1032,MATCH($O195,Items!$A$2:$A$1032,0))</f>
        <v>#N/A</v>
      </c>
      <c r="R195" t="e">
        <f>INDEX(Items!D$2:D$1032,MATCH($O195,Items!$A$2:$A$1032,0))</f>
        <v>#N/A</v>
      </c>
    </row>
    <row r="196" spans="1:18" x14ac:dyDescent="0.25">
      <c r="A196">
        <f t="shared" si="17"/>
        <v>1</v>
      </c>
      <c r="B196" t="str">
        <f t="shared" si="18"/>
        <v/>
      </c>
      <c r="C196">
        <f t="shared" si="15"/>
        <v>1</v>
      </c>
      <c r="D196" s="4"/>
      <c r="E196" t="s">
        <v>18</v>
      </c>
      <c r="F196" t="str">
        <f>INDEX(Establishment!B$2:B$1005,MATCH($E196,Establishment!$A$2:$A$1005,0))</f>
        <v xml:space="preserve"> </v>
      </c>
      <c r="G196" t="str">
        <f>INDEX(Establishment!C$2:C$1005,MATCH($E196,Establishment!$A$2:$A$1005,0))</f>
        <v xml:space="preserve"> </v>
      </c>
      <c r="M196">
        <f t="shared" si="16"/>
        <v>0</v>
      </c>
      <c r="N196">
        <f t="shared" si="19"/>
        <v>0</v>
      </c>
      <c r="P196" t="e">
        <f>INDEX(Items!B$2:B$1032,MATCH($O196,Items!$A$2:$A$1032,0))</f>
        <v>#N/A</v>
      </c>
      <c r="Q196" t="e">
        <f>INDEX(Items!C$2:C$1032,MATCH($O196,Items!$A$2:$A$1032,0))</f>
        <v>#N/A</v>
      </c>
      <c r="R196" t="e">
        <f>INDEX(Items!D$2:D$1032,MATCH($O196,Items!$A$2:$A$1032,0))</f>
        <v>#N/A</v>
      </c>
    </row>
    <row r="197" spans="1:18" x14ac:dyDescent="0.25">
      <c r="A197">
        <f t="shared" si="17"/>
        <v>1</v>
      </c>
      <c r="B197" t="str">
        <f t="shared" si="18"/>
        <v/>
      </c>
      <c r="C197">
        <f t="shared" si="15"/>
        <v>1</v>
      </c>
      <c r="D197" s="4"/>
      <c r="E197" t="s">
        <v>18</v>
      </c>
      <c r="F197" t="str">
        <f>INDEX(Establishment!B$2:B$1005,MATCH($E197,Establishment!$A$2:$A$1005,0))</f>
        <v xml:space="preserve"> </v>
      </c>
      <c r="G197" t="str">
        <f>INDEX(Establishment!C$2:C$1005,MATCH($E197,Establishment!$A$2:$A$1005,0))</f>
        <v xml:space="preserve"> </v>
      </c>
      <c r="M197">
        <f t="shared" si="16"/>
        <v>0</v>
      </c>
      <c r="N197">
        <f t="shared" si="19"/>
        <v>0</v>
      </c>
      <c r="P197" t="e">
        <f>INDEX(Items!B$2:B$1032,MATCH($O197,Items!$A$2:$A$1032,0))</f>
        <v>#N/A</v>
      </c>
      <c r="Q197" t="e">
        <f>INDEX(Items!C$2:C$1032,MATCH($O197,Items!$A$2:$A$1032,0))</f>
        <v>#N/A</v>
      </c>
      <c r="R197" t="e">
        <f>INDEX(Items!D$2:D$1032,MATCH($O197,Items!$A$2:$A$1032,0))</f>
        <v>#N/A</v>
      </c>
    </row>
    <row r="198" spans="1:18" x14ac:dyDescent="0.25">
      <c r="A198">
        <f t="shared" si="17"/>
        <v>1</v>
      </c>
      <c r="B198" t="str">
        <f t="shared" si="18"/>
        <v/>
      </c>
      <c r="C198">
        <f t="shared" si="15"/>
        <v>1</v>
      </c>
      <c r="D198" s="4"/>
      <c r="E198" t="s">
        <v>18</v>
      </c>
      <c r="F198" t="str">
        <f>INDEX(Establishment!B$2:B$1005,MATCH($E198,Establishment!$A$2:$A$1005,0))</f>
        <v xml:space="preserve"> </v>
      </c>
      <c r="G198" t="str">
        <f>INDEX(Establishment!C$2:C$1005,MATCH($E198,Establishment!$A$2:$A$1005,0))</f>
        <v xml:space="preserve"> </v>
      </c>
      <c r="M198">
        <f t="shared" si="16"/>
        <v>0</v>
      </c>
      <c r="N198">
        <f t="shared" si="19"/>
        <v>0</v>
      </c>
      <c r="P198" t="e">
        <f>INDEX(Items!B$2:B$1032,MATCH($O198,Items!$A$2:$A$1032,0))</f>
        <v>#N/A</v>
      </c>
      <c r="Q198" t="e">
        <f>INDEX(Items!C$2:C$1032,MATCH($O198,Items!$A$2:$A$1032,0))</f>
        <v>#N/A</v>
      </c>
      <c r="R198" t="e">
        <f>INDEX(Items!D$2:D$1032,MATCH($O198,Items!$A$2:$A$1032,0))</f>
        <v>#N/A</v>
      </c>
    </row>
    <row r="199" spans="1:18" x14ac:dyDescent="0.25">
      <c r="A199">
        <f t="shared" si="17"/>
        <v>1</v>
      </c>
      <c r="B199" t="str">
        <f t="shared" si="18"/>
        <v/>
      </c>
      <c r="C199">
        <f t="shared" si="15"/>
        <v>1</v>
      </c>
      <c r="D199" s="4"/>
      <c r="E199" t="s">
        <v>18</v>
      </c>
      <c r="F199" t="str">
        <f>INDEX(Establishment!B$2:B$1005,MATCH($E199,Establishment!$A$2:$A$1005,0))</f>
        <v xml:space="preserve"> </v>
      </c>
      <c r="G199" t="str">
        <f>INDEX(Establishment!C$2:C$1005,MATCH($E199,Establishment!$A$2:$A$1005,0))</f>
        <v xml:space="preserve"> </v>
      </c>
      <c r="M199">
        <f t="shared" si="16"/>
        <v>0</v>
      </c>
      <c r="N199">
        <f t="shared" si="19"/>
        <v>0</v>
      </c>
      <c r="P199" t="e">
        <f>INDEX(Items!B$2:B$1032,MATCH($O199,Items!$A$2:$A$1032,0))</f>
        <v>#N/A</v>
      </c>
      <c r="Q199" t="e">
        <f>INDEX(Items!C$2:C$1032,MATCH($O199,Items!$A$2:$A$1032,0))</f>
        <v>#N/A</v>
      </c>
      <c r="R199" t="e">
        <f>INDEX(Items!D$2:D$1032,MATCH($O199,Items!$A$2:$A$1032,0))</f>
        <v>#N/A</v>
      </c>
    </row>
    <row r="200" spans="1:18" x14ac:dyDescent="0.25">
      <c r="A200">
        <f t="shared" si="17"/>
        <v>1</v>
      </c>
      <c r="B200" t="str">
        <f t="shared" si="18"/>
        <v/>
      </c>
      <c r="C200">
        <f t="shared" si="15"/>
        <v>1</v>
      </c>
      <c r="D200" s="4"/>
      <c r="E200" t="s">
        <v>18</v>
      </c>
      <c r="F200" t="str">
        <f>INDEX(Establishment!B$2:B$1005,MATCH($E200,Establishment!$A$2:$A$1005,0))</f>
        <v xml:space="preserve"> </v>
      </c>
      <c r="G200" t="str">
        <f>INDEX(Establishment!C$2:C$1005,MATCH($E200,Establishment!$A$2:$A$1005,0))</f>
        <v xml:space="preserve"> </v>
      </c>
      <c r="M200">
        <f t="shared" si="16"/>
        <v>0</v>
      </c>
      <c r="N200">
        <f t="shared" si="19"/>
        <v>0</v>
      </c>
      <c r="P200" t="e">
        <f>INDEX(Items!B$2:B$1032,MATCH($O200,Items!$A$2:$A$1032,0))</f>
        <v>#N/A</v>
      </c>
      <c r="Q200" t="e">
        <f>INDEX(Items!C$2:C$1032,MATCH($O200,Items!$A$2:$A$1032,0))</f>
        <v>#N/A</v>
      </c>
      <c r="R200" t="e">
        <f>INDEX(Items!D$2:D$1032,MATCH($O200,Items!$A$2:$A$1032,0))</f>
        <v>#N/A</v>
      </c>
    </row>
    <row r="201" spans="1:18" x14ac:dyDescent="0.25">
      <c r="A201">
        <f t="shared" si="17"/>
        <v>1</v>
      </c>
      <c r="B201" t="str">
        <f t="shared" si="18"/>
        <v/>
      </c>
      <c r="C201">
        <f t="shared" si="15"/>
        <v>1</v>
      </c>
      <c r="D201" s="4"/>
      <c r="E201" t="s">
        <v>18</v>
      </c>
      <c r="F201" t="str">
        <f>INDEX(Establishment!B$2:B$1005,MATCH($E201,Establishment!$A$2:$A$1005,0))</f>
        <v xml:space="preserve"> </v>
      </c>
      <c r="G201" t="str">
        <f>INDEX(Establishment!C$2:C$1005,MATCH($E201,Establishment!$A$2:$A$1005,0))</f>
        <v xml:space="preserve"> </v>
      </c>
      <c r="M201">
        <f t="shared" si="16"/>
        <v>0</v>
      </c>
      <c r="N201">
        <f t="shared" si="19"/>
        <v>0</v>
      </c>
      <c r="P201" t="e">
        <f>INDEX(Items!B$2:B$1032,MATCH($O201,Items!$A$2:$A$1032,0))</f>
        <v>#N/A</v>
      </c>
      <c r="Q201" t="e">
        <f>INDEX(Items!C$2:C$1032,MATCH($O201,Items!$A$2:$A$1032,0))</f>
        <v>#N/A</v>
      </c>
      <c r="R201" t="e">
        <f>INDEX(Items!D$2:D$1032,MATCH($O201,Items!$A$2:$A$1032,0))</f>
        <v>#N/A</v>
      </c>
    </row>
    <row r="202" spans="1:18" x14ac:dyDescent="0.25">
      <c r="A202">
        <f t="shared" si="17"/>
        <v>1</v>
      </c>
      <c r="B202" t="str">
        <f t="shared" si="18"/>
        <v/>
      </c>
      <c r="C202">
        <f t="shared" ref="C202:C265" si="20">IF(OR(B202="",B202&lt;&gt;B201),1,C201+1)</f>
        <v>1</v>
      </c>
      <c r="D202" s="4"/>
      <c r="E202" t="s">
        <v>18</v>
      </c>
      <c r="F202" t="str">
        <f>INDEX(Establishment!B$2:B$1005,MATCH($E202,Establishment!$A$2:$A$1005,0))</f>
        <v xml:space="preserve"> </v>
      </c>
      <c r="G202" t="str">
        <f>INDEX(Establishment!C$2:C$1005,MATCH($E202,Establishment!$A$2:$A$1005,0))</f>
        <v xml:space="preserve"> </v>
      </c>
      <c r="M202">
        <f t="shared" ref="M202:M265" si="21">K202*L202</f>
        <v>0</v>
      </c>
      <c r="N202">
        <f t="shared" si="19"/>
        <v>0</v>
      </c>
      <c r="P202" t="e">
        <f>INDEX(Items!B$2:B$1032,MATCH($O202,Items!$A$2:$A$1032,0))</f>
        <v>#N/A</v>
      </c>
      <c r="Q202" t="e">
        <f>INDEX(Items!C$2:C$1032,MATCH($O202,Items!$A$2:$A$1032,0))</f>
        <v>#N/A</v>
      </c>
      <c r="R202" t="e">
        <f>INDEX(Items!D$2:D$1032,MATCH($O202,Items!$A$2:$A$1032,0))</f>
        <v>#N/A</v>
      </c>
    </row>
    <row r="203" spans="1:18" x14ac:dyDescent="0.25">
      <c r="A203">
        <f t="shared" si="17"/>
        <v>1</v>
      </c>
      <c r="B203" t="str">
        <f t="shared" si="18"/>
        <v/>
      </c>
      <c r="C203">
        <f t="shared" si="20"/>
        <v>1</v>
      </c>
      <c r="D203" s="4"/>
      <c r="E203" t="s">
        <v>18</v>
      </c>
      <c r="F203" t="str">
        <f>INDEX(Establishment!B$2:B$1005,MATCH($E203,Establishment!$A$2:$A$1005,0))</f>
        <v xml:space="preserve"> </v>
      </c>
      <c r="G203" t="str">
        <f>INDEX(Establishment!C$2:C$1005,MATCH($E203,Establishment!$A$2:$A$1005,0))</f>
        <v xml:space="preserve"> </v>
      </c>
      <c r="M203">
        <f t="shared" si="21"/>
        <v>0</v>
      </c>
      <c r="N203">
        <f t="shared" si="19"/>
        <v>0</v>
      </c>
      <c r="P203" t="e">
        <f>INDEX(Items!B$2:B$1032,MATCH($O203,Items!$A$2:$A$1032,0))</f>
        <v>#N/A</v>
      </c>
      <c r="Q203" t="e">
        <f>INDEX(Items!C$2:C$1032,MATCH($O203,Items!$A$2:$A$1032,0))</f>
        <v>#N/A</v>
      </c>
      <c r="R203" t="e">
        <f>INDEX(Items!D$2:D$1032,MATCH($O203,Items!$A$2:$A$1032,0))</f>
        <v>#N/A</v>
      </c>
    </row>
    <row r="204" spans="1:18" x14ac:dyDescent="0.25">
      <c r="A204">
        <f t="shared" si="17"/>
        <v>1</v>
      </c>
      <c r="B204" t="str">
        <f t="shared" si="18"/>
        <v/>
      </c>
      <c r="C204">
        <f t="shared" si="20"/>
        <v>1</v>
      </c>
      <c r="D204" s="4"/>
      <c r="E204" t="s">
        <v>18</v>
      </c>
      <c r="F204" t="str">
        <f>INDEX(Establishment!B$2:B$1005,MATCH($E204,Establishment!$A$2:$A$1005,0))</f>
        <v xml:space="preserve"> </v>
      </c>
      <c r="G204" t="str">
        <f>INDEX(Establishment!C$2:C$1005,MATCH($E204,Establishment!$A$2:$A$1005,0))</f>
        <v xml:space="preserve"> </v>
      </c>
      <c r="M204">
        <f t="shared" si="21"/>
        <v>0</v>
      </c>
      <c r="N204">
        <f t="shared" si="19"/>
        <v>0</v>
      </c>
      <c r="P204" t="e">
        <f>INDEX(Items!B$2:B$1032,MATCH($O204,Items!$A$2:$A$1032,0))</f>
        <v>#N/A</v>
      </c>
      <c r="Q204" t="e">
        <f>INDEX(Items!C$2:C$1032,MATCH($O204,Items!$A$2:$A$1032,0))</f>
        <v>#N/A</v>
      </c>
      <c r="R204" t="e">
        <f>INDEX(Items!D$2:D$1032,MATCH($O204,Items!$A$2:$A$1032,0))</f>
        <v>#N/A</v>
      </c>
    </row>
    <row r="205" spans="1:18" x14ac:dyDescent="0.25">
      <c r="A205">
        <f t="shared" si="17"/>
        <v>1</v>
      </c>
      <c r="B205" t="str">
        <f t="shared" si="18"/>
        <v/>
      </c>
      <c r="C205">
        <f t="shared" si="20"/>
        <v>1</v>
      </c>
      <c r="D205" s="4"/>
      <c r="E205" t="s">
        <v>18</v>
      </c>
      <c r="F205" t="str">
        <f>INDEX(Establishment!B$2:B$1005,MATCH($E205,Establishment!$A$2:$A$1005,0))</f>
        <v xml:space="preserve"> </v>
      </c>
      <c r="G205" t="str">
        <f>INDEX(Establishment!C$2:C$1005,MATCH($E205,Establishment!$A$2:$A$1005,0))</f>
        <v xml:space="preserve"> </v>
      </c>
      <c r="M205">
        <f t="shared" si="21"/>
        <v>0</v>
      </c>
      <c r="N205">
        <f t="shared" si="19"/>
        <v>0</v>
      </c>
      <c r="P205" t="e">
        <f>INDEX(Items!B$2:B$1032,MATCH($O205,Items!$A$2:$A$1032,0))</f>
        <v>#N/A</v>
      </c>
      <c r="Q205" t="e">
        <f>INDEX(Items!C$2:C$1032,MATCH($O205,Items!$A$2:$A$1032,0))</f>
        <v>#N/A</v>
      </c>
      <c r="R205" t="e">
        <f>INDEX(Items!D$2:D$1032,MATCH($O205,Items!$A$2:$A$1032,0))</f>
        <v>#N/A</v>
      </c>
    </row>
    <row r="206" spans="1:18" x14ac:dyDescent="0.25">
      <c r="A206">
        <f t="shared" si="17"/>
        <v>1</v>
      </c>
      <c r="B206" t="str">
        <f t="shared" si="18"/>
        <v/>
      </c>
      <c r="C206">
        <f t="shared" si="20"/>
        <v>1</v>
      </c>
      <c r="D206" s="4"/>
      <c r="E206" t="s">
        <v>18</v>
      </c>
      <c r="F206" t="str">
        <f>INDEX(Establishment!B$2:B$1005,MATCH($E206,Establishment!$A$2:$A$1005,0))</f>
        <v xml:space="preserve"> </v>
      </c>
      <c r="G206" t="str">
        <f>INDEX(Establishment!C$2:C$1005,MATCH($E206,Establishment!$A$2:$A$1005,0))</f>
        <v xml:space="preserve"> </v>
      </c>
      <c r="M206">
        <f t="shared" si="21"/>
        <v>0</v>
      </c>
      <c r="N206">
        <f t="shared" si="19"/>
        <v>0</v>
      </c>
      <c r="P206" t="e">
        <f>INDEX(Items!B$2:B$1032,MATCH($O206,Items!$A$2:$A$1032,0))</f>
        <v>#N/A</v>
      </c>
      <c r="Q206" t="e">
        <f>INDEX(Items!C$2:C$1032,MATCH($O206,Items!$A$2:$A$1032,0))</f>
        <v>#N/A</v>
      </c>
      <c r="R206" t="e">
        <f>INDEX(Items!D$2:D$1032,MATCH($O206,Items!$A$2:$A$1032,0))</f>
        <v>#N/A</v>
      </c>
    </row>
    <row r="207" spans="1:18" x14ac:dyDescent="0.25">
      <c r="A207">
        <f t="shared" si="17"/>
        <v>1</v>
      </c>
      <c r="B207" t="str">
        <f t="shared" si="18"/>
        <v/>
      </c>
      <c r="C207">
        <f t="shared" si="20"/>
        <v>1</v>
      </c>
      <c r="D207" s="4"/>
      <c r="E207" t="s">
        <v>18</v>
      </c>
      <c r="F207" t="str">
        <f>INDEX(Establishment!B$2:B$1005,MATCH($E207,Establishment!$A$2:$A$1005,0))</f>
        <v xml:space="preserve"> </v>
      </c>
      <c r="G207" t="str">
        <f>INDEX(Establishment!C$2:C$1005,MATCH($E207,Establishment!$A$2:$A$1005,0))</f>
        <v xml:space="preserve"> </v>
      </c>
      <c r="M207">
        <f t="shared" si="21"/>
        <v>0</v>
      </c>
      <c r="N207">
        <f t="shared" si="19"/>
        <v>0</v>
      </c>
      <c r="P207" t="e">
        <f>INDEX(Items!B$2:B$1032,MATCH($O207,Items!$A$2:$A$1032,0))</f>
        <v>#N/A</v>
      </c>
      <c r="Q207" t="e">
        <f>INDEX(Items!C$2:C$1032,MATCH($O207,Items!$A$2:$A$1032,0))</f>
        <v>#N/A</v>
      </c>
      <c r="R207" t="e">
        <f>INDEX(Items!D$2:D$1032,MATCH($O207,Items!$A$2:$A$1032,0))</f>
        <v>#N/A</v>
      </c>
    </row>
    <row r="208" spans="1:18" x14ac:dyDescent="0.25">
      <c r="A208">
        <f t="shared" si="17"/>
        <v>1</v>
      </c>
      <c r="B208" t="str">
        <f t="shared" si="18"/>
        <v/>
      </c>
      <c r="C208">
        <f t="shared" si="20"/>
        <v>1</v>
      </c>
      <c r="D208" s="4"/>
      <c r="E208" t="s">
        <v>18</v>
      </c>
      <c r="F208" t="str">
        <f>INDEX(Establishment!B$2:B$1005,MATCH($E208,Establishment!$A$2:$A$1005,0))</f>
        <v xml:space="preserve"> </v>
      </c>
      <c r="G208" t="str">
        <f>INDEX(Establishment!C$2:C$1005,MATCH($E208,Establishment!$A$2:$A$1005,0))</f>
        <v xml:space="preserve"> </v>
      </c>
      <c r="M208">
        <f t="shared" si="21"/>
        <v>0</v>
      </c>
      <c r="N208">
        <f t="shared" si="19"/>
        <v>0</v>
      </c>
      <c r="P208" t="e">
        <f>INDEX(Items!B$2:B$1032,MATCH($O208,Items!$A$2:$A$1032,0))</f>
        <v>#N/A</v>
      </c>
      <c r="Q208" t="e">
        <f>INDEX(Items!C$2:C$1032,MATCH($O208,Items!$A$2:$A$1032,0))</f>
        <v>#N/A</v>
      </c>
      <c r="R208" t="e">
        <f>INDEX(Items!D$2:D$1032,MATCH($O208,Items!$A$2:$A$1032,0))</f>
        <v>#N/A</v>
      </c>
    </row>
    <row r="209" spans="1:18" x14ac:dyDescent="0.25">
      <c r="A209">
        <f t="shared" si="17"/>
        <v>1</v>
      </c>
      <c r="B209" t="str">
        <f t="shared" si="18"/>
        <v/>
      </c>
      <c r="C209">
        <f t="shared" si="20"/>
        <v>1</v>
      </c>
      <c r="D209" s="4"/>
      <c r="E209" t="s">
        <v>18</v>
      </c>
      <c r="F209" t="str">
        <f>INDEX(Establishment!B$2:B$1005,MATCH($E209,Establishment!$A$2:$A$1005,0))</f>
        <v xml:space="preserve"> </v>
      </c>
      <c r="G209" t="str">
        <f>INDEX(Establishment!C$2:C$1005,MATCH($E209,Establishment!$A$2:$A$1005,0))</f>
        <v xml:space="preserve"> </v>
      </c>
      <c r="M209">
        <f t="shared" si="21"/>
        <v>0</v>
      </c>
      <c r="N209">
        <f t="shared" si="19"/>
        <v>0</v>
      </c>
      <c r="P209" t="e">
        <f>INDEX(Items!B$2:B$1032,MATCH($O209,Items!$A$2:$A$1032,0))</f>
        <v>#N/A</v>
      </c>
      <c r="Q209" t="e">
        <f>INDEX(Items!C$2:C$1032,MATCH($O209,Items!$A$2:$A$1032,0))</f>
        <v>#N/A</v>
      </c>
      <c r="R209" t="e">
        <f>INDEX(Items!D$2:D$1032,MATCH($O209,Items!$A$2:$A$1032,0))</f>
        <v>#N/A</v>
      </c>
    </row>
    <row r="210" spans="1:18" x14ac:dyDescent="0.25">
      <c r="A210">
        <f t="shared" si="17"/>
        <v>1</v>
      </c>
      <c r="B210" t="str">
        <f t="shared" si="18"/>
        <v/>
      </c>
      <c r="C210">
        <f t="shared" si="20"/>
        <v>1</v>
      </c>
      <c r="D210" s="4"/>
      <c r="E210" t="s">
        <v>18</v>
      </c>
      <c r="F210" t="str">
        <f>INDEX(Establishment!B$2:B$1005,MATCH($E210,Establishment!$A$2:$A$1005,0))</f>
        <v xml:space="preserve"> </v>
      </c>
      <c r="G210" t="str">
        <f>INDEX(Establishment!C$2:C$1005,MATCH($E210,Establishment!$A$2:$A$1005,0))</f>
        <v xml:space="preserve"> </v>
      </c>
      <c r="M210">
        <f t="shared" si="21"/>
        <v>0</v>
      </c>
      <c r="N210">
        <f t="shared" si="19"/>
        <v>0</v>
      </c>
      <c r="P210" t="e">
        <f>INDEX(Items!B$2:B$1032,MATCH($O210,Items!$A$2:$A$1032,0))</f>
        <v>#N/A</v>
      </c>
      <c r="Q210" t="e">
        <f>INDEX(Items!C$2:C$1032,MATCH($O210,Items!$A$2:$A$1032,0))</f>
        <v>#N/A</v>
      </c>
      <c r="R210" t="e">
        <f>INDEX(Items!D$2:D$1032,MATCH($O210,Items!$A$2:$A$1032,0))</f>
        <v>#N/A</v>
      </c>
    </row>
    <row r="211" spans="1:18" x14ac:dyDescent="0.25">
      <c r="A211">
        <f t="shared" si="17"/>
        <v>1</v>
      </c>
      <c r="B211" t="str">
        <f t="shared" si="18"/>
        <v/>
      </c>
      <c r="C211">
        <f t="shared" si="20"/>
        <v>1</v>
      </c>
      <c r="D211" s="4"/>
      <c r="E211" t="s">
        <v>18</v>
      </c>
      <c r="F211" t="str">
        <f>INDEX(Establishment!B$2:B$1005,MATCH($E211,Establishment!$A$2:$A$1005,0))</f>
        <v xml:space="preserve"> </v>
      </c>
      <c r="G211" t="str">
        <f>INDEX(Establishment!C$2:C$1005,MATCH($E211,Establishment!$A$2:$A$1005,0))</f>
        <v xml:space="preserve"> </v>
      </c>
      <c r="M211">
        <f t="shared" si="21"/>
        <v>0</v>
      </c>
      <c r="N211">
        <f t="shared" si="19"/>
        <v>0</v>
      </c>
      <c r="P211" t="e">
        <f>INDEX(Items!B$2:B$1032,MATCH($O211,Items!$A$2:$A$1032,0))</f>
        <v>#N/A</v>
      </c>
      <c r="Q211" t="e">
        <f>INDEX(Items!C$2:C$1032,MATCH($O211,Items!$A$2:$A$1032,0))</f>
        <v>#N/A</v>
      </c>
      <c r="R211" t="e">
        <f>INDEX(Items!D$2:D$1032,MATCH($O211,Items!$A$2:$A$1032,0))</f>
        <v>#N/A</v>
      </c>
    </row>
    <row r="212" spans="1:18" x14ac:dyDescent="0.25">
      <c r="A212">
        <f t="shared" si="17"/>
        <v>1</v>
      </c>
      <c r="B212" t="str">
        <f t="shared" si="18"/>
        <v/>
      </c>
      <c r="C212">
        <f t="shared" si="20"/>
        <v>1</v>
      </c>
      <c r="D212" s="4"/>
      <c r="E212" t="s">
        <v>18</v>
      </c>
      <c r="F212" t="str">
        <f>INDEX(Establishment!B$2:B$1005,MATCH($E212,Establishment!$A$2:$A$1005,0))</f>
        <v xml:space="preserve"> </v>
      </c>
      <c r="G212" t="str">
        <f>INDEX(Establishment!C$2:C$1005,MATCH($E212,Establishment!$A$2:$A$1005,0))</f>
        <v xml:space="preserve"> </v>
      </c>
      <c r="M212">
        <f t="shared" si="21"/>
        <v>0</v>
      </c>
      <c r="N212">
        <f t="shared" si="19"/>
        <v>0</v>
      </c>
      <c r="P212" t="e">
        <f>INDEX(Items!B$2:B$1032,MATCH($O212,Items!$A$2:$A$1032,0))</f>
        <v>#N/A</v>
      </c>
      <c r="Q212" t="e">
        <f>INDEX(Items!C$2:C$1032,MATCH($O212,Items!$A$2:$A$1032,0))</f>
        <v>#N/A</v>
      </c>
      <c r="R212" t="e">
        <f>INDEX(Items!D$2:D$1032,MATCH($O212,Items!$A$2:$A$1032,0))</f>
        <v>#N/A</v>
      </c>
    </row>
    <row r="213" spans="1:18" x14ac:dyDescent="0.25">
      <c r="A213">
        <f t="shared" si="17"/>
        <v>1</v>
      </c>
      <c r="B213" t="str">
        <f t="shared" si="18"/>
        <v/>
      </c>
      <c r="C213">
        <f t="shared" si="20"/>
        <v>1</v>
      </c>
      <c r="D213" s="4"/>
      <c r="E213" t="s">
        <v>18</v>
      </c>
      <c r="F213" t="str">
        <f>INDEX(Establishment!B$2:B$1005,MATCH($E213,Establishment!$A$2:$A$1005,0))</f>
        <v xml:space="preserve"> </v>
      </c>
      <c r="G213" t="str">
        <f>INDEX(Establishment!C$2:C$1005,MATCH($E213,Establishment!$A$2:$A$1005,0))</f>
        <v xml:space="preserve"> </v>
      </c>
      <c r="M213">
        <f t="shared" si="21"/>
        <v>0</v>
      </c>
      <c r="N213">
        <f t="shared" si="19"/>
        <v>0</v>
      </c>
      <c r="P213" t="e">
        <f>INDEX(Items!B$2:B$1032,MATCH($O213,Items!$A$2:$A$1032,0))</f>
        <v>#N/A</v>
      </c>
      <c r="Q213" t="e">
        <f>INDEX(Items!C$2:C$1032,MATCH($O213,Items!$A$2:$A$1032,0))</f>
        <v>#N/A</v>
      </c>
      <c r="R213" t="e">
        <f>INDEX(Items!D$2:D$1032,MATCH($O213,Items!$A$2:$A$1032,0))</f>
        <v>#N/A</v>
      </c>
    </row>
    <row r="214" spans="1:18" x14ac:dyDescent="0.25">
      <c r="A214">
        <f t="shared" si="17"/>
        <v>1</v>
      </c>
      <c r="B214" t="str">
        <f t="shared" si="18"/>
        <v/>
      </c>
      <c r="C214">
        <f t="shared" si="20"/>
        <v>1</v>
      </c>
      <c r="D214" s="4"/>
      <c r="E214" t="s">
        <v>18</v>
      </c>
      <c r="F214" t="str">
        <f>INDEX(Establishment!B$2:B$1005,MATCH($E214,Establishment!$A$2:$A$1005,0))</f>
        <v xml:space="preserve"> </v>
      </c>
      <c r="G214" t="str">
        <f>INDEX(Establishment!C$2:C$1005,MATCH($E214,Establishment!$A$2:$A$1005,0))</f>
        <v xml:space="preserve"> </v>
      </c>
      <c r="M214">
        <f t="shared" si="21"/>
        <v>0</v>
      </c>
      <c r="N214">
        <f t="shared" si="19"/>
        <v>0</v>
      </c>
      <c r="P214" t="e">
        <f>INDEX(Items!B$2:B$1032,MATCH($O214,Items!$A$2:$A$1032,0))</f>
        <v>#N/A</v>
      </c>
      <c r="Q214" t="e">
        <f>INDEX(Items!C$2:C$1032,MATCH($O214,Items!$A$2:$A$1032,0))</f>
        <v>#N/A</v>
      </c>
      <c r="R214" t="e">
        <f>INDEX(Items!D$2:D$1032,MATCH($O214,Items!$A$2:$A$1032,0))</f>
        <v>#N/A</v>
      </c>
    </row>
    <row r="215" spans="1:18" x14ac:dyDescent="0.25">
      <c r="A215">
        <f t="shared" si="17"/>
        <v>1</v>
      </c>
      <c r="B215" t="str">
        <f t="shared" si="18"/>
        <v/>
      </c>
      <c r="C215">
        <f t="shared" si="20"/>
        <v>1</v>
      </c>
      <c r="D215" s="4"/>
      <c r="E215" t="s">
        <v>18</v>
      </c>
      <c r="F215" t="str">
        <f>INDEX(Establishment!B$2:B$1005,MATCH($E215,Establishment!$A$2:$A$1005,0))</f>
        <v xml:space="preserve"> </v>
      </c>
      <c r="G215" t="str">
        <f>INDEX(Establishment!C$2:C$1005,MATCH($E215,Establishment!$A$2:$A$1005,0))</f>
        <v xml:space="preserve"> </v>
      </c>
      <c r="M215">
        <f t="shared" si="21"/>
        <v>0</v>
      </c>
      <c r="N215">
        <f t="shared" si="19"/>
        <v>0</v>
      </c>
      <c r="P215" t="e">
        <f>INDEX(Items!B$2:B$1032,MATCH($O215,Items!$A$2:$A$1032,0))</f>
        <v>#N/A</v>
      </c>
      <c r="Q215" t="e">
        <f>INDEX(Items!C$2:C$1032,MATCH($O215,Items!$A$2:$A$1032,0))</f>
        <v>#N/A</v>
      </c>
      <c r="R215" t="e">
        <f>INDEX(Items!D$2:D$1032,MATCH($O215,Items!$A$2:$A$1032,0))</f>
        <v>#N/A</v>
      </c>
    </row>
    <row r="216" spans="1:18" x14ac:dyDescent="0.25">
      <c r="A216">
        <f t="shared" si="17"/>
        <v>1</v>
      </c>
      <c r="B216" t="str">
        <f t="shared" si="18"/>
        <v/>
      </c>
      <c r="C216">
        <f t="shared" si="20"/>
        <v>1</v>
      </c>
      <c r="D216" s="4"/>
      <c r="E216" t="s">
        <v>18</v>
      </c>
      <c r="F216" t="str">
        <f>INDEX(Establishment!B$2:B$1005,MATCH($E216,Establishment!$A$2:$A$1005,0))</f>
        <v xml:space="preserve"> </v>
      </c>
      <c r="G216" t="str">
        <f>INDEX(Establishment!C$2:C$1005,MATCH($E216,Establishment!$A$2:$A$1005,0))</f>
        <v xml:space="preserve"> </v>
      </c>
      <c r="M216">
        <f t="shared" si="21"/>
        <v>0</v>
      </c>
      <c r="N216">
        <f t="shared" si="19"/>
        <v>0</v>
      </c>
      <c r="P216" t="e">
        <f>INDEX(Items!B$2:B$1032,MATCH($O216,Items!$A$2:$A$1032,0))</f>
        <v>#N/A</v>
      </c>
      <c r="Q216" t="e">
        <f>INDEX(Items!C$2:C$1032,MATCH($O216,Items!$A$2:$A$1032,0))</f>
        <v>#N/A</v>
      </c>
      <c r="R216" t="e">
        <f>INDEX(Items!D$2:D$1032,MATCH($O216,Items!$A$2:$A$1032,0))</f>
        <v>#N/A</v>
      </c>
    </row>
    <row r="217" spans="1:18" x14ac:dyDescent="0.25">
      <c r="A217">
        <f t="shared" si="17"/>
        <v>1</v>
      </c>
      <c r="B217" t="str">
        <f t="shared" si="18"/>
        <v/>
      </c>
      <c r="C217">
        <f t="shared" si="20"/>
        <v>1</v>
      </c>
      <c r="D217" s="4"/>
      <c r="E217" t="s">
        <v>18</v>
      </c>
      <c r="F217" t="str">
        <f>INDEX(Establishment!B$2:B$1005,MATCH($E217,Establishment!$A$2:$A$1005,0))</f>
        <v xml:space="preserve"> </v>
      </c>
      <c r="G217" t="str">
        <f>INDEX(Establishment!C$2:C$1005,MATCH($E217,Establishment!$A$2:$A$1005,0))</f>
        <v xml:space="preserve"> </v>
      </c>
      <c r="M217">
        <f t="shared" si="21"/>
        <v>0</v>
      </c>
      <c r="N217">
        <f t="shared" si="19"/>
        <v>0</v>
      </c>
      <c r="P217" t="e">
        <f>INDEX(Items!B$2:B$1032,MATCH($O217,Items!$A$2:$A$1032,0))</f>
        <v>#N/A</v>
      </c>
      <c r="Q217" t="e">
        <f>INDEX(Items!C$2:C$1032,MATCH($O217,Items!$A$2:$A$1032,0))</f>
        <v>#N/A</v>
      </c>
      <c r="R217" t="e">
        <f>INDEX(Items!D$2:D$1032,MATCH($O217,Items!$A$2:$A$1032,0))</f>
        <v>#N/A</v>
      </c>
    </row>
    <row r="218" spans="1:18" x14ac:dyDescent="0.25">
      <c r="A218">
        <f t="shared" si="17"/>
        <v>1</v>
      </c>
      <c r="B218" t="str">
        <f t="shared" si="18"/>
        <v/>
      </c>
      <c r="C218">
        <f t="shared" si="20"/>
        <v>1</v>
      </c>
      <c r="D218" s="4"/>
      <c r="E218" t="s">
        <v>18</v>
      </c>
      <c r="F218" t="str">
        <f>INDEX(Establishment!B$2:B$1005,MATCH($E218,Establishment!$A$2:$A$1005,0))</f>
        <v xml:space="preserve"> </v>
      </c>
      <c r="G218" t="str">
        <f>INDEX(Establishment!C$2:C$1005,MATCH($E218,Establishment!$A$2:$A$1005,0))</f>
        <v xml:space="preserve"> </v>
      </c>
      <c r="M218">
        <f t="shared" si="21"/>
        <v>0</v>
      </c>
      <c r="N218">
        <f t="shared" si="19"/>
        <v>0</v>
      </c>
      <c r="P218" t="e">
        <f>INDEX(Items!B$2:B$1032,MATCH($O218,Items!$A$2:$A$1032,0))</f>
        <v>#N/A</v>
      </c>
      <c r="Q218" t="e">
        <f>INDEX(Items!C$2:C$1032,MATCH($O218,Items!$A$2:$A$1032,0))</f>
        <v>#N/A</v>
      </c>
      <c r="R218" t="e">
        <f>INDEX(Items!D$2:D$1032,MATCH($O218,Items!$A$2:$A$1032,0))</f>
        <v>#N/A</v>
      </c>
    </row>
    <row r="219" spans="1:18" x14ac:dyDescent="0.25">
      <c r="A219">
        <f t="shared" si="17"/>
        <v>1</v>
      </c>
      <c r="B219" t="str">
        <f t="shared" si="18"/>
        <v/>
      </c>
      <c r="C219">
        <f t="shared" si="20"/>
        <v>1</v>
      </c>
      <c r="D219" s="4"/>
      <c r="E219" t="s">
        <v>18</v>
      </c>
      <c r="F219" t="str">
        <f>INDEX(Establishment!B$2:B$1005,MATCH($E219,Establishment!$A$2:$A$1005,0))</f>
        <v xml:space="preserve"> </v>
      </c>
      <c r="G219" t="str">
        <f>INDEX(Establishment!C$2:C$1005,MATCH($E219,Establishment!$A$2:$A$1005,0))</f>
        <v xml:space="preserve"> </v>
      </c>
      <c r="M219">
        <f t="shared" si="21"/>
        <v>0</v>
      </c>
      <c r="N219">
        <f t="shared" si="19"/>
        <v>0</v>
      </c>
      <c r="P219" t="e">
        <f>INDEX(Items!B$2:B$1032,MATCH($O219,Items!$A$2:$A$1032,0))</f>
        <v>#N/A</v>
      </c>
      <c r="Q219" t="e">
        <f>INDEX(Items!C$2:C$1032,MATCH($O219,Items!$A$2:$A$1032,0))</f>
        <v>#N/A</v>
      </c>
      <c r="R219" t="e">
        <f>INDEX(Items!D$2:D$1032,MATCH($O219,Items!$A$2:$A$1032,0))</f>
        <v>#N/A</v>
      </c>
    </row>
    <row r="220" spans="1:18" x14ac:dyDescent="0.25">
      <c r="A220">
        <f t="shared" si="17"/>
        <v>1</v>
      </c>
      <c r="B220" t="str">
        <f t="shared" si="18"/>
        <v/>
      </c>
      <c r="C220">
        <f t="shared" si="20"/>
        <v>1</v>
      </c>
      <c r="D220" s="4"/>
      <c r="E220" t="s">
        <v>18</v>
      </c>
      <c r="F220" t="str">
        <f>INDEX(Establishment!B$2:B$1005,MATCH($E220,Establishment!$A$2:$A$1005,0))</f>
        <v xml:space="preserve"> </v>
      </c>
      <c r="G220" t="str">
        <f>INDEX(Establishment!C$2:C$1005,MATCH($E220,Establishment!$A$2:$A$1005,0))</f>
        <v xml:space="preserve"> </v>
      </c>
      <c r="M220">
        <f t="shared" si="21"/>
        <v>0</v>
      </c>
      <c r="N220">
        <f t="shared" si="19"/>
        <v>0</v>
      </c>
      <c r="P220" t="e">
        <f>INDEX(Items!B$2:B$1032,MATCH($O220,Items!$A$2:$A$1032,0))</f>
        <v>#N/A</v>
      </c>
      <c r="Q220" t="e">
        <f>INDEX(Items!C$2:C$1032,MATCH($O220,Items!$A$2:$A$1032,0))</f>
        <v>#N/A</v>
      </c>
      <c r="R220" t="e">
        <f>INDEX(Items!D$2:D$1032,MATCH($O220,Items!$A$2:$A$1032,0))</f>
        <v>#N/A</v>
      </c>
    </row>
    <row r="221" spans="1:18" x14ac:dyDescent="0.25">
      <c r="A221">
        <f t="shared" si="17"/>
        <v>1</v>
      </c>
      <c r="B221" t="str">
        <f t="shared" si="18"/>
        <v/>
      </c>
      <c r="C221">
        <f t="shared" si="20"/>
        <v>1</v>
      </c>
      <c r="D221" s="4"/>
      <c r="E221" t="s">
        <v>18</v>
      </c>
      <c r="F221" t="str">
        <f>INDEX(Establishment!B$2:B$1005,MATCH($E221,Establishment!$A$2:$A$1005,0))</f>
        <v xml:space="preserve"> </v>
      </c>
      <c r="G221" t="str">
        <f>INDEX(Establishment!C$2:C$1005,MATCH($E221,Establishment!$A$2:$A$1005,0))</f>
        <v xml:space="preserve"> </v>
      </c>
      <c r="M221">
        <f t="shared" si="21"/>
        <v>0</v>
      </c>
      <c r="N221">
        <f t="shared" si="19"/>
        <v>0</v>
      </c>
      <c r="P221" t="e">
        <f>INDEX(Items!B$2:B$1032,MATCH($O221,Items!$A$2:$A$1032,0))</f>
        <v>#N/A</v>
      </c>
      <c r="Q221" t="e">
        <f>INDEX(Items!C$2:C$1032,MATCH($O221,Items!$A$2:$A$1032,0))</f>
        <v>#N/A</v>
      </c>
      <c r="R221" t="e">
        <f>INDEX(Items!D$2:D$1032,MATCH($O221,Items!$A$2:$A$1032,0))</f>
        <v>#N/A</v>
      </c>
    </row>
    <row r="222" spans="1:18" x14ac:dyDescent="0.25">
      <c r="A222">
        <f t="shared" si="17"/>
        <v>1</v>
      </c>
      <c r="B222" t="str">
        <f t="shared" si="18"/>
        <v/>
      </c>
      <c r="C222">
        <f t="shared" si="20"/>
        <v>1</v>
      </c>
      <c r="D222" s="4"/>
      <c r="E222" t="s">
        <v>18</v>
      </c>
      <c r="F222" t="str">
        <f>INDEX(Establishment!B$2:B$1005,MATCH($E222,Establishment!$A$2:$A$1005,0))</f>
        <v xml:space="preserve"> </v>
      </c>
      <c r="G222" t="str">
        <f>INDEX(Establishment!C$2:C$1005,MATCH($E222,Establishment!$A$2:$A$1005,0))</f>
        <v xml:space="preserve"> </v>
      </c>
      <c r="M222">
        <f t="shared" si="21"/>
        <v>0</v>
      </c>
      <c r="N222">
        <f t="shared" si="19"/>
        <v>0</v>
      </c>
      <c r="P222" t="e">
        <f>INDEX(Items!B$2:B$1032,MATCH($O222,Items!$A$2:$A$1032,0))</f>
        <v>#N/A</v>
      </c>
      <c r="Q222" t="e">
        <f>INDEX(Items!C$2:C$1032,MATCH($O222,Items!$A$2:$A$1032,0))</f>
        <v>#N/A</v>
      </c>
      <c r="R222" t="e">
        <f>INDEX(Items!D$2:D$1032,MATCH($O222,Items!$A$2:$A$1032,0))</f>
        <v>#N/A</v>
      </c>
    </row>
    <row r="223" spans="1:18" x14ac:dyDescent="0.25">
      <c r="A223">
        <f t="shared" si="17"/>
        <v>1</v>
      </c>
      <c r="B223" t="str">
        <f t="shared" si="18"/>
        <v/>
      </c>
      <c r="C223">
        <f t="shared" si="20"/>
        <v>1</v>
      </c>
      <c r="D223" s="4"/>
      <c r="E223" t="s">
        <v>18</v>
      </c>
      <c r="F223" t="str">
        <f>INDEX(Establishment!B$2:B$1005,MATCH($E223,Establishment!$A$2:$A$1005,0))</f>
        <v xml:space="preserve"> </v>
      </c>
      <c r="G223" t="str">
        <f>INDEX(Establishment!C$2:C$1005,MATCH($E223,Establishment!$A$2:$A$1005,0))</f>
        <v xml:space="preserve"> </v>
      </c>
      <c r="M223">
        <f t="shared" si="21"/>
        <v>0</v>
      </c>
      <c r="N223">
        <f t="shared" si="19"/>
        <v>0</v>
      </c>
      <c r="P223" t="e">
        <f>INDEX(Items!B$2:B$1032,MATCH($O223,Items!$A$2:$A$1032,0))</f>
        <v>#N/A</v>
      </c>
      <c r="Q223" t="e">
        <f>INDEX(Items!C$2:C$1032,MATCH($O223,Items!$A$2:$A$1032,0))</f>
        <v>#N/A</v>
      </c>
      <c r="R223" t="e">
        <f>INDEX(Items!D$2:D$1032,MATCH($O223,Items!$A$2:$A$1032,0))</f>
        <v>#N/A</v>
      </c>
    </row>
    <row r="224" spans="1:18" x14ac:dyDescent="0.25">
      <c r="A224">
        <f t="shared" si="17"/>
        <v>1</v>
      </c>
      <c r="B224" t="str">
        <f t="shared" si="18"/>
        <v/>
      </c>
      <c r="C224">
        <f t="shared" si="20"/>
        <v>1</v>
      </c>
      <c r="D224" s="4"/>
      <c r="E224" t="s">
        <v>18</v>
      </c>
      <c r="F224" t="str">
        <f>INDEX(Establishment!B$2:B$1005,MATCH($E224,Establishment!$A$2:$A$1005,0))</f>
        <v xml:space="preserve"> </v>
      </c>
      <c r="G224" t="str">
        <f>INDEX(Establishment!C$2:C$1005,MATCH($E224,Establishment!$A$2:$A$1005,0))</f>
        <v xml:space="preserve"> </v>
      </c>
      <c r="M224">
        <f t="shared" si="21"/>
        <v>0</v>
      </c>
      <c r="N224">
        <f t="shared" si="19"/>
        <v>0</v>
      </c>
      <c r="P224" t="e">
        <f>INDEX(Items!B$2:B$1032,MATCH($O224,Items!$A$2:$A$1032,0))</f>
        <v>#N/A</v>
      </c>
      <c r="Q224" t="e">
        <f>INDEX(Items!C$2:C$1032,MATCH($O224,Items!$A$2:$A$1032,0))</f>
        <v>#N/A</v>
      </c>
      <c r="R224" t="e">
        <f>INDEX(Items!D$2:D$1032,MATCH($O224,Items!$A$2:$A$1032,0))</f>
        <v>#N/A</v>
      </c>
    </row>
    <row r="225" spans="1:18" x14ac:dyDescent="0.25">
      <c r="A225">
        <f t="shared" si="17"/>
        <v>1</v>
      </c>
      <c r="B225" t="str">
        <f t="shared" si="18"/>
        <v/>
      </c>
      <c r="C225">
        <f t="shared" si="20"/>
        <v>1</v>
      </c>
      <c r="D225" s="4"/>
      <c r="E225" t="s">
        <v>18</v>
      </c>
      <c r="F225" t="str">
        <f>INDEX(Establishment!B$2:B$1005,MATCH($E225,Establishment!$A$2:$A$1005,0))</f>
        <v xml:space="preserve"> </v>
      </c>
      <c r="G225" t="str">
        <f>INDEX(Establishment!C$2:C$1005,MATCH($E225,Establishment!$A$2:$A$1005,0))</f>
        <v xml:space="preserve"> </v>
      </c>
      <c r="M225">
        <f t="shared" si="21"/>
        <v>0</v>
      </c>
      <c r="N225">
        <f t="shared" si="19"/>
        <v>0</v>
      </c>
      <c r="P225" t="e">
        <f>INDEX(Items!B$2:B$1032,MATCH($O225,Items!$A$2:$A$1032,0))</f>
        <v>#N/A</v>
      </c>
      <c r="Q225" t="e">
        <f>INDEX(Items!C$2:C$1032,MATCH($O225,Items!$A$2:$A$1032,0))</f>
        <v>#N/A</v>
      </c>
      <c r="R225" t="e">
        <f>INDEX(Items!D$2:D$1032,MATCH($O225,Items!$A$2:$A$1032,0))</f>
        <v>#N/A</v>
      </c>
    </row>
    <row r="226" spans="1:18" x14ac:dyDescent="0.25">
      <c r="A226">
        <f t="shared" si="17"/>
        <v>1</v>
      </c>
      <c r="B226" t="str">
        <f t="shared" si="18"/>
        <v/>
      </c>
      <c r="C226">
        <f t="shared" si="20"/>
        <v>1</v>
      </c>
      <c r="D226" s="4"/>
      <c r="E226" t="s">
        <v>18</v>
      </c>
      <c r="F226" t="str">
        <f>INDEX(Establishment!B$2:B$1005,MATCH($E226,Establishment!$A$2:$A$1005,0))</f>
        <v xml:space="preserve"> </v>
      </c>
      <c r="G226" t="str">
        <f>INDEX(Establishment!C$2:C$1005,MATCH($E226,Establishment!$A$2:$A$1005,0))</f>
        <v xml:space="preserve"> </v>
      </c>
      <c r="M226">
        <f t="shared" si="21"/>
        <v>0</v>
      </c>
      <c r="N226">
        <f t="shared" si="19"/>
        <v>0</v>
      </c>
      <c r="P226" t="e">
        <f>INDEX(Items!B$2:B$1032,MATCH($O226,Items!$A$2:$A$1032,0))</f>
        <v>#N/A</v>
      </c>
      <c r="Q226" t="e">
        <f>INDEX(Items!C$2:C$1032,MATCH($O226,Items!$A$2:$A$1032,0))</f>
        <v>#N/A</v>
      </c>
      <c r="R226" t="e">
        <f>INDEX(Items!D$2:D$1032,MATCH($O226,Items!$A$2:$A$1032,0))</f>
        <v>#N/A</v>
      </c>
    </row>
    <row r="227" spans="1:18" x14ac:dyDescent="0.25">
      <c r="A227">
        <f t="shared" si="17"/>
        <v>1</v>
      </c>
      <c r="B227" t="str">
        <f t="shared" si="18"/>
        <v/>
      </c>
      <c r="C227">
        <f t="shared" si="20"/>
        <v>1</v>
      </c>
      <c r="D227" s="4"/>
      <c r="E227" t="s">
        <v>18</v>
      </c>
      <c r="F227" t="str">
        <f>INDEX(Establishment!B$2:B$1005,MATCH($E227,Establishment!$A$2:$A$1005,0))</f>
        <v xml:space="preserve"> </v>
      </c>
      <c r="G227" t="str">
        <f>INDEX(Establishment!C$2:C$1005,MATCH($E227,Establishment!$A$2:$A$1005,0))</f>
        <v xml:space="preserve"> </v>
      </c>
      <c r="M227">
        <f t="shared" si="21"/>
        <v>0</v>
      </c>
      <c r="N227">
        <f t="shared" si="19"/>
        <v>0</v>
      </c>
      <c r="P227" t="e">
        <f>INDEX(Items!B$2:B$1032,MATCH($O227,Items!$A$2:$A$1032,0))</f>
        <v>#N/A</v>
      </c>
      <c r="Q227" t="e">
        <f>INDEX(Items!C$2:C$1032,MATCH($O227,Items!$A$2:$A$1032,0))</f>
        <v>#N/A</v>
      </c>
      <c r="R227" t="e">
        <f>INDEX(Items!D$2:D$1032,MATCH($O227,Items!$A$2:$A$1032,0))</f>
        <v>#N/A</v>
      </c>
    </row>
    <row r="228" spans="1:18" x14ac:dyDescent="0.25">
      <c r="A228">
        <f t="shared" si="17"/>
        <v>1</v>
      </c>
      <c r="B228" t="str">
        <f t="shared" si="18"/>
        <v/>
      </c>
      <c r="C228">
        <f t="shared" si="20"/>
        <v>1</v>
      </c>
      <c r="D228" s="4"/>
      <c r="E228" t="s">
        <v>18</v>
      </c>
      <c r="F228" t="str">
        <f>INDEX(Establishment!B$2:B$1005,MATCH($E228,Establishment!$A$2:$A$1005,0))</f>
        <v xml:space="preserve"> </v>
      </c>
      <c r="G228" t="str">
        <f>INDEX(Establishment!C$2:C$1005,MATCH($E228,Establishment!$A$2:$A$1005,0))</f>
        <v xml:space="preserve"> </v>
      </c>
      <c r="M228">
        <f t="shared" si="21"/>
        <v>0</v>
      </c>
      <c r="N228">
        <f t="shared" si="19"/>
        <v>0</v>
      </c>
      <c r="P228" t="e">
        <f>INDEX(Items!B$2:B$1032,MATCH($O228,Items!$A$2:$A$1032,0))</f>
        <v>#N/A</v>
      </c>
      <c r="Q228" t="e">
        <f>INDEX(Items!C$2:C$1032,MATCH($O228,Items!$A$2:$A$1032,0))</f>
        <v>#N/A</v>
      </c>
      <c r="R228" t="e">
        <f>INDEX(Items!D$2:D$1032,MATCH($O228,Items!$A$2:$A$1032,0))</f>
        <v>#N/A</v>
      </c>
    </row>
    <row r="229" spans="1:18" x14ac:dyDescent="0.25">
      <c r="A229">
        <f t="shared" si="17"/>
        <v>1</v>
      </c>
      <c r="B229" t="str">
        <f t="shared" si="18"/>
        <v/>
      </c>
      <c r="C229">
        <f t="shared" si="20"/>
        <v>1</v>
      </c>
      <c r="D229" s="4"/>
      <c r="E229" t="s">
        <v>18</v>
      </c>
      <c r="F229" t="str">
        <f>INDEX(Establishment!B$2:B$1005,MATCH($E229,Establishment!$A$2:$A$1005,0))</f>
        <v xml:space="preserve"> </v>
      </c>
      <c r="G229" t="str">
        <f>INDEX(Establishment!C$2:C$1005,MATCH($E229,Establishment!$A$2:$A$1005,0))</f>
        <v xml:space="preserve"> </v>
      </c>
      <c r="M229">
        <f t="shared" si="21"/>
        <v>0</v>
      </c>
      <c r="N229">
        <f t="shared" si="19"/>
        <v>0</v>
      </c>
      <c r="P229" t="e">
        <f>INDEX(Items!B$2:B$1032,MATCH($O229,Items!$A$2:$A$1032,0))</f>
        <v>#N/A</v>
      </c>
      <c r="Q229" t="e">
        <f>INDEX(Items!C$2:C$1032,MATCH($O229,Items!$A$2:$A$1032,0))</f>
        <v>#N/A</v>
      </c>
      <c r="R229" t="e">
        <f>INDEX(Items!D$2:D$1032,MATCH($O229,Items!$A$2:$A$1032,0))</f>
        <v>#N/A</v>
      </c>
    </row>
    <row r="230" spans="1:18" x14ac:dyDescent="0.25">
      <c r="A230">
        <f t="shared" si="17"/>
        <v>1</v>
      </c>
      <c r="B230" t="str">
        <f t="shared" si="18"/>
        <v/>
      </c>
      <c r="C230">
        <f t="shared" si="20"/>
        <v>1</v>
      </c>
      <c r="D230" s="4"/>
      <c r="E230" t="s">
        <v>18</v>
      </c>
      <c r="F230" t="str">
        <f>INDEX(Establishment!B$2:B$1005,MATCH($E230,Establishment!$A$2:$A$1005,0))</f>
        <v xml:space="preserve"> </v>
      </c>
      <c r="G230" t="str">
        <f>INDEX(Establishment!C$2:C$1005,MATCH($E230,Establishment!$A$2:$A$1005,0))</f>
        <v xml:space="preserve"> </v>
      </c>
      <c r="M230">
        <f t="shared" si="21"/>
        <v>0</v>
      </c>
      <c r="N230">
        <f t="shared" si="19"/>
        <v>0</v>
      </c>
      <c r="P230" t="e">
        <f>INDEX(Items!B$2:B$1032,MATCH($O230,Items!$A$2:$A$1032,0))</f>
        <v>#N/A</v>
      </c>
      <c r="Q230" t="e">
        <f>INDEX(Items!C$2:C$1032,MATCH($O230,Items!$A$2:$A$1032,0))</f>
        <v>#N/A</v>
      </c>
      <c r="R230" t="e">
        <f>INDEX(Items!D$2:D$1032,MATCH($O230,Items!$A$2:$A$1032,0))</f>
        <v>#N/A</v>
      </c>
    </row>
    <row r="231" spans="1:18" x14ac:dyDescent="0.25">
      <c r="A231">
        <f t="shared" si="17"/>
        <v>1</v>
      </c>
      <c r="B231" t="str">
        <f t="shared" si="18"/>
        <v/>
      </c>
      <c r="C231">
        <f t="shared" si="20"/>
        <v>1</v>
      </c>
      <c r="D231" s="4"/>
      <c r="E231" t="s">
        <v>18</v>
      </c>
      <c r="F231" t="str">
        <f>INDEX(Establishment!B$2:B$1005,MATCH($E231,Establishment!$A$2:$A$1005,0))</f>
        <v xml:space="preserve"> </v>
      </c>
      <c r="G231" t="str">
        <f>INDEX(Establishment!C$2:C$1005,MATCH($E231,Establishment!$A$2:$A$1005,0))</f>
        <v xml:space="preserve"> </v>
      </c>
      <c r="M231">
        <f t="shared" si="21"/>
        <v>0</v>
      </c>
      <c r="N231">
        <f t="shared" si="19"/>
        <v>0</v>
      </c>
      <c r="P231" t="e">
        <f>INDEX(Items!B$2:B$1032,MATCH($O231,Items!$A$2:$A$1032,0))</f>
        <v>#N/A</v>
      </c>
      <c r="Q231" t="e">
        <f>INDEX(Items!C$2:C$1032,MATCH($O231,Items!$A$2:$A$1032,0))</f>
        <v>#N/A</v>
      </c>
      <c r="R231" t="e">
        <f>INDEX(Items!D$2:D$1032,MATCH($O231,Items!$A$2:$A$1032,0))</f>
        <v>#N/A</v>
      </c>
    </row>
    <row r="232" spans="1:18" x14ac:dyDescent="0.25">
      <c r="A232">
        <f t="shared" si="17"/>
        <v>1</v>
      </c>
      <c r="B232" t="str">
        <f t="shared" si="18"/>
        <v/>
      </c>
      <c r="C232">
        <f t="shared" si="20"/>
        <v>1</v>
      </c>
      <c r="D232" s="4"/>
      <c r="E232" t="s">
        <v>18</v>
      </c>
      <c r="F232" t="str">
        <f>INDEX(Establishment!B$2:B$1005,MATCH($E232,Establishment!$A$2:$A$1005,0))</f>
        <v xml:space="preserve"> </v>
      </c>
      <c r="G232" t="str">
        <f>INDEX(Establishment!C$2:C$1005,MATCH($E232,Establishment!$A$2:$A$1005,0))</f>
        <v xml:space="preserve"> </v>
      </c>
      <c r="M232">
        <f t="shared" si="21"/>
        <v>0</v>
      </c>
      <c r="N232">
        <f t="shared" si="19"/>
        <v>0</v>
      </c>
      <c r="P232" t="e">
        <f>INDEX(Items!B$2:B$1032,MATCH($O232,Items!$A$2:$A$1032,0))</f>
        <v>#N/A</v>
      </c>
      <c r="Q232" t="e">
        <f>INDEX(Items!C$2:C$1032,MATCH($O232,Items!$A$2:$A$1032,0))</f>
        <v>#N/A</v>
      </c>
      <c r="R232" t="e">
        <f>INDEX(Items!D$2:D$1032,MATCH($O232,Items!$A$2:$A$1032,0))</f>
        <v>#N/A</v>
      </c>
    </row>
    <row r="233" spans="1:18" x14ac:dyDescent="0.25">
      <c r="A233">
        <f t="shared" si="17"/>
        <v>1</v>
      </c>
      <c r="B233" t="str">
        <f t="shared" si="18"/>
        <v/>
      </c>
      <c r="C233">
        <f t="shared" si="20"/>
        <v>1</v>
      </c>
      <c r="D233" s="4"/>
      <c r="E233" t="s">
        <v>18</v>
      </c>
      <c r="F233" t="str">
        <f>INDEX(Establishment!B$2:B$1005,MATCH($E233,Establishment!$A$2:$A$1005,0))</f>
        <v xml:space="preserve"> </v>
      </c>
      <c r="G233" t="str">
        <f>INDEX(Establishment!C$2:C$1005,MATCH($E233,Establishment!$A$2:$A$1005,0))</f>
        <v xml:space="preserve"> </v>
      </c>
      <c r="M233">
        <f t="shared" si="21"/>
        <v>0</v>
      </c>
      <c r="N233">
        <f t="shared" si="19"/>
        <v>0</v>
      </c>
      <c r="P233" t="e">
        <f>INDEX(Items!B$2:B$1032,MATCH($O233,Items!$A$2:$A$1032,0))</f>
        <v>#N/A</v>
      </c>
      <c r="Q233" t="e">
        <f>INDEX(Items!C$2:C$1032,MATCH($O233,Items!$A$2:$A$1032,0))</f>
        <v>#N/A</v>
      </c>
      <c r="R233" t="e">
        <f>INDEX(Items!D$2:D$1032,MATCH($O233,Items!$A$2:$A$1032,0))</f>
        <v>#N/A</v>
      </c>
    </row>
    <row r="234" spans="1:18" x14ac:dyDescent="0.25">
      <c r="A234">
        <f t="shared" si="17"/>
        <v>1</v>
      </c>
      <c r="B234" t="str">
        <f t="shared" si="18"/>
        <v/>
      </c>
      <c r="C234">
        <f t="shared" si="20"/>
        <v>1</v>
      </c>
      <c r="D234" s="4"/>
      <c r="E234" t="s">
        <v>18</v>
      </c>
      <c r="F234" t="str">
        <f>INDEX(Establishment!B$2:B$1005,MATCH($E234,Establishment!$A$2:$A$1005,0))</f>
        <v xml:space="preserve"> </v>
      </c>
      <c r="G234" t="str">
        <f>INDEX(Establishment!C$2:C$1005,MATCH($E234,Establishment!$A$2:$A$1005,0))</f>
        <v xml:space="preserve"> </v>
      </c>
      <c r="M234">
        <f t="shared" si="21"/>
        <v>0</v>
      </c>
      <c r="N234">
        <f t="shared" si="19"/>
        <v>0</v>
      </c>
      <c r="P234" t="e">
        <f>INDEX(Items!B$2:B$1032,MATCH($O234,Items!$A$2:$A$1032,0))</f>
        <v>#N/A</v>
      </c>
      <c r="Q234" t="e">
        <f>INDEX(Items!C$2:C$1032,MATCH($O234,Items!$A$2:$A$1032,0))</f>
        <v>#N/A</v>
      </c>
      <c r="R234" t="e">
        <f>INDEX(Items!D$2:D$1032,MATCH($O234,Items!$A$2:$A$1032,0))</f>
        <v>#N/A</v>
      </c>
    </row>
    <row r="235" spans="1:18" x14ac:dyDescent="0.25">
      <c r="A235">
        <f t="shared" si="17"/>
        <v>1</v>
      </c>
      <c r="B235" t="str">
        <f t="shared" si="18"/>
        <v/>
      </c>
      <c r="C235">
        <f t="shared" si="20"/>
        <v>1</v>
      </c>
      <c r="D235" s="4"/>
      <c r="E235" t="s">
        <v>18</v>
      </c>
      <c r="F235" t="str">
        <f>INDEX(Establishment!B$2:B$1005,MATCH($E235,Establishment!$A$2:$A$1005,0))</f>
        <v xml:space="preserve"> </v>
      </c>
      <c r="G235" t="str">
        <f>INDEX(Establishment!C$2:C$1005,MATCH($E235,Establishment!$A$2:$A$1005,0))</f>
        <v xml:space="preserve"> </v>
      </c>
      <c r="M235">
        <f t="shared" si="21"/>
        <v>0</v>
      </c>
      <c r="N235">
        <f t="shared" si="19"/>
        <v>0</v>
      </c>
      <c r="P235" t="e">
        <f>INDEX(Items!B$2:B$1032,MATCH($O235,Items!$A$2:$A$1032,0))</f>
        <v>#N/A</v>
      </c>
      <c r="Q235" t="e">
        <f>INDEX(Items!C$2:C$1032,MATCH($O235,Items!$A$2:$A$1032,0))</f>
        <v>#N/A</v>
      </c>
      <c r="R235" t="e">
        <f>INDEX(Items!D$2:D$1032,MATCH($O235,Items!$A$2:$A$1032,0))</f>
        <v>#N/A</v>
      </c>
    </row>
    <row r="236" spans="1:18" x14ac:dyDescent="0.25">
      <c r="A236">
        <f t="shared" si="17"/>
        <v>1</v>
      </c>
      <c r="B236" t="str">
        <f t="shared" si="18"/>
        <v/>
      </c>
      <c r="C236">
        <f t="shared" si="20"/>
        <v>1</v>
      </c>
      <c r="D236" s="4"/>
      <c r="E236" t="s">
        <v>18</v>
      </c>
      <c r="F236" t="str">
        <f>INDEX(Establishment!B$2:B$1005,MATCH($E236,Establishment!$A$2:$A$1005,0))</f>
        <v xml:space="preserve"> </v>
      </c>
      <c r="G236" t="str">
        <f>INDEX(Establishment!C$2:C$1005,MATCH($E236,Establishment!$A$2:$A$1005,0))</f>
        <v xml:space="preserve"> </v>
      </c>
      <c r="M236">
        <f t="shared" si="21"/>
        <v>0</v>
      </c>
      <c r="N236">
        <f t="shared" si="19"/>
        <v>0</v>
      </c>
      <c r="P236" t="e">
        <f>INDEX(Items!B$2:B$1032,MATCH($O236,Items!$A$2:$A$1032,0))</f>
        <v>#N/A</v>
      </c>
      <c r="Q236" t="e">
        <f>INDEX(Items!C$2:C$1032,MATCH($O236,Items!$A$2:$A$1032,0))</f>
        <v>#N/A</v>
      </c>
      <c r="R236" t="e">
        <f>INDEX(Items!D$2:D$1032,MATCH($O236,Items!$A$2:$A$1032,0))</f>
        <v>#N/A</v>
      </c>
    </row>
    <row r="237" spans="1:18" x14ac:dyDescent="0.25">
      <c r="A237">
        <f t="shared" si="17"/>
        <v>1</v>
      </c>
      <c r="B237" t="str">
        <f t="shared" si="18"/>
        <v/>
      </c>
      <c r="C237">
        <f t="shared" si="20"/>
        <v>1</v>
      </c>
      <c r="D237" s="4"/>
      <c r="E237" t="s">
        <v>18</v>
      </c>
      <c r="F237" t="str">
        <f>INDEX(Establishment!B$2:B$1005,MATCH($E237,Establishment!$A$2:$A$1005,0))</f>
        <v xml:space="preserve"> </v>
      </c>
      <c r="G237" t="str">
        <f>INDEX(Establishment!C$2:C$1005,MATCH($E237,Establishment!$A$2:$A$1005,0))</f>
        <v xml:space="preserve"> </v>
      </c>
      <c r="M237">
        <f t="shared" si="21"/>
        <v>0</v>
      </c>
      <c r="N237">
        <f t="shared" si="19"/>
        <v>0</v>
      </c>
      <c r="P237" t="e">
        <f>INDEX(Items!B$2:B$1032,MATCH($O237,Items!$A$2:$A$1032,0))</f>
        <v>#N/A</v>
      </c>
      <c r="Q237" t="e">
        <f>INDEX(Items!C$2:C$1032,MATCH($O237,Items!$A$2:$A$1032,0))</f>
        <v>#N/A</v>
      </c>
      <c r="R237" t="e">
        <f>INDEX(Items!D$2:D$1032,MATCH($O237,Items!$A$2:$A$1032,0))</f>
        <v>#N/A</v>
      </c>
    </row>
    <row r="238" spans="1:18" x14ac:dyDescent="0.25">
      <c r="A238">
        <f t="shared" si="17"/>
        <v>1</v>
      </c>
      <c r="B238" t="str">
        <f t="shared" si="18"/>
        <v/>
      </c>
      <c r="C238">
        <f t="shared" si="20"/>
        <v>1</v>
      </c>
      <c r="D238" s="4"/>
      <c r="E238" t="s">
        <v>18</v>
      </c>
      <c r="F238" t="str">
        <f>INDEX(Establishment!B$2:B$1005,MATCH($E238,Establishment!$A$2:$A$1005,0))</f>
        <v xml:space="preserve"> </v>
      </c>
      <c r="G238" t="str">
        <f>INDEX(Establishment!C$2:C$1005,MATCH($E238,Establishment!$A$2:$A$1005,0))</f>
        <v xml:space="preserve"> </v>
      </c>
      <c r="M238">
        <f t="shared" si="21"/>
        <v>0</v>
      </c>
      <c r="N238">
        <f t="shared" si="19"/>
        <v>0</v>
      </c>
      <c r="P238" t="e">
        <f>INDEX(Items!B$2:B$1032,MATCH($O238,Items!$A$2:$A$1032,0))</f>
        <v>#N/A</v>
      </c>
      <c r="Q238" t="e">
        <f>INDEX(Items!C$2:C$1032,MATCH($O238,Items!$A$2:$A$1032,0))</f>
        <v>#N/A</v>
      </c>
      <c r="R238" t="e">
        <f>INDEX(Items!D$2:D$1032,MATCH($O238,Items!$A$2:$A$1032,0))</f>
        <v>#N/A</v>
      </c>
    </row>
    <row r="239" spans="1:18" x14ac:dyDescent="0.25">
      <c r="A239">
        <f t="shared" si="17"/>
        <v>1</v>
      </c>
      <c r="B239" t="str">
        <f t="shared" si="18"/>
        <v/>
      </c>
      <c r="C239">
        <f t="shared" si="20"/>
        <v>1</v>
      </c>
      <c r="D239" s="4"/>
      <c r="E239" t="s">
        <v>18</v>
      </c>
      <c r="F239" t="str">
        <f>INDEX(Establishment!B$2:B$1005,MATCH($E239,Establishment!$A$2:$A$1005,0))</f>
        <v xml:space="preserve"> </v>
      </c>
      <c r="G239" t="str">
        <f>INDEX(Establishment!C$2:C$1005,MATCH($E239,Establishment!$A$2:$A$1005,0))</f>
        <v xml:space="preserve"> </v>
      </c>
      <c r="M239">
        <f t="shared" si="21"/>
        <v>0</v>
      </c>
      <c r="N239">
        <f t="shared" si="19"/>
        <v>0</v>
      </c>
      <c r="P239" t="e">
        <f>INDEX(Items!B$2:B$1032,MATCH($O239,Items!$A$2:$A$1032,0))</f>
        <v>#N/A</v>
      </c>
      <c r="Q239" t="e">
        <f>INDEX(Items!C$2:C$1032,MATCH($O239,Items!$A$2:$A$1032,0))</f>
        <v>#N/A</v>
      </c>
      <c r="R239" t="e">
        <f>INDEX(Items!D$2:D$1032,MATCH($O239,Items!$A$2:$A$1032,0))</f>
        <v>#N/A</v>
      </c>
    </row>
    <row r="240" spans="1:18" x14ac:dyDescent="0.25">
      <c r="A240">
        <f t="shared" si="17"/>
        <v>1</v>
      </c>
      <c r="B240" t="str">
        <f t="shared" si="18"/>
        <v/>
      </c>
      <c r="C240">
        <f t="shared" si="20"/>
        <v>1</v>
      </c>
      <c r="D240" s="4"/>
      <c r="E240" t="s">
        <v>18</v>
      </c>
      <c r="F240" t="str">
        <f>INDEX(Establishment!B$2:B$1005,MATCH($E240,Establishment!$A$2:$A$1005,0))</f>
        <v xml:space="preserve"> </v>
      </c>
      <c r="G240" t="str">
        <f>INDEX(Establishment!C$2:C$1005,MATCH($E240,Establishment!$A$2:$A$1005,0))</f>
        <v xml:space="preserve"> </v>
      </c>
      <c r="M240">
        <f t="shared" si="21"/>
        <v>0</v>
      </c>
      <c r="N240">
        <f t="shared" si="19"/>
        <v>0</v>
      </c>
      <c r="P240" t="e">
        <f>INDEX(Items!B$2:B$1032,MATCH($O240,Items!$A$2:$A$1032,0))</f>
        <v>#N/A</v>
      </c>
      <c r="Q240" t="e">
        <f>INDEX(Items!C$2:C$1032,MATCH($O240,Items!$A$2:$A$1032,0))</f>
        <v>#N/A</v>
      </c>
      <c r="R240" t="e">
        <f>INDEX(Items!D$2:D$1032,MATCH($O240,Items!$A$2:$A$1032,0))</f>
        <v>#N/A</v>
      </c>
    </row>
    <row r="241" spans="1:18" x14ac:dyDescent="0.25">
      <c r="A241">
        <f t="shared" si="17"/>
        <v>1</v>
      </c>
      <c r="B241" t="str">
        <f t="shared" si="18"/>
        <v/>
      </c>
      <c r="C241">
        <f t="shared" si="20"/>
        <v>1</v>
      </c>
      <c r="D241" s="4"/>
      <c r="E241" t="s">
        <v>18</v>
      </c>
      <c r="F241" t="str">
        <f>INDEX(Establishment!B$2:B$1005,MATCH($E241,Establishment!$A$2:$A$1005,0))</f>
        <v xml:space="preserve"> </v>
      </c>
      <c r="G241" t="str">
        <f>INDEX(Establishment!C$2:C$1005,MATCH($E241,Establishment!$A$2:$A$1005,0))</f>
        <v xml:space="preserve"> </v>
      </c>
      <c r="M241">
        <f t="shared" si="21"/>
        <v>0</v>
      </c>
      <c r="N241">
        <f t="shared" si="19"/>
        <v>0</v>
      </c>
      <c r="P241" t="e">
        <f>INDEX(Items!B$2:B$1032,MATCH($O241,Items!$A$2:$A$1032,0))</f>
        <v>#N/A</v>
      </c>
      <c r="Q241" t="e">
        <f>INDEX(Items!C$2:C$1032,MATCH($O241,Items!$A$2:$A$1032,0))</f>
        <v>#N/A</v>
      </c>
      <c r="R241" t="e">
        <f>INDEX(Items!D$2:D$1032,MATCH($O241,Items!$A$2:$A$1032,0))</f>
        <v>#N/A</v>
      </c>
    </row>
    <row r="242" spans="1:18" x14ac:dyDescent="0.25">
      <c r="A242">
        <f t="shared" si="17"/>
        <v>1</v>
      </c>
      <c r="B242" t="str">
        <f t="shared" si="18"/>
        <v/>
      </c>
      <c r="C242">
        <f t="shared" si="20"/>
        <v>1</v>
      </c>
      <c r="D242" s="4"/>
      <c r="E242" t="s">
        <v>18</v>
      </c>
      <c r="F242" t="str">
        <f>INDEX(Establishment!B$2:B$1005,MATCH($E242,Establishment!$A$2:$A$1005,0))</f>
        <v xml:space="preserve"> </v>
      </c>
      <c r="G242" t="str">
        <f>INDEX(Establishment!C$2:C$1005,MATCH($E242,Establishment!$A$2:$A$1005,0))</f>
        <v xml:space="preserve"> </v>
      </c>
      <c r="M242">
        <f t="shared" si="21"/>
        <v>0</v>
      </c>
      <c r="N242">
        <f t="shared" si="19"/>
        <v>0</v>
      </c>
      <c r="P242" t="e">
        <f>INDEX(Items!B$2:B$1032,MATCH($O242,Items!$A$2:$A$1032,0))</f>
        <v>#N/A</v>
      </c>
      <c r="Q242" t="e">
        <f>INDEX(Items!C$2:C$1032,MATCH($O242,Items!$A$2:$A$1032,0))</f>
        <v>#N/A</v>
      </c>
      <c r="R242" t="e">
        <f>INDEX(Items!D$2:D$1032,MATCH($O242,Items!$A$2:$A$1032,0))</f>
        <v>#N/A</v>
      </c>
    </row>
    <row r="243" spans="1:18" x14ac:dyDescent="0.25">
      <c r="A243">
        <f t="shared" si="17"/>
        <v>1</v>
      </c>
      <c r="B243" t="str">
        <f t="shared" si="18"/>
        <v/>
      </c>
      <c r="C243">
        <f t="shared" si="20"/>
        <v>1</v>
      </c>
      <c r="D243" s="4"/>
      <c r="E243" t="s">
        <v>18</v>
      </c>
      <c r="F243" t="str">
        <f>INDEX(Establishment!B$2:B$1005,MATCH($E243,Establishment!$A$2:$A$1005,0))</f>
        <v xml:space="preserve"> </v>
      </c>
      <c r="G243" t="str">
        <f>INDEX(Establishment!C$2:C$1005,MATCH($E243,Establishment!$A$2:$A$1005,0))</f>
        <v xml:space="preserve"> </v>
      </c>
      <c r="M243">
        <f t="shared" si="21"/>
        <v>0</v>
      </c>
      <c r="N243">
        <f t="shared" si="19"/>
        <v>0</v>
      </c>
      <c r="P243" t="e">
        <f>INDEX(Items!B$2:B$1032,MATCH($O243,Items!$A$2:$A$1032,0))</f>
        <v>#N/A</v>
      </c>
      <c r="Q243" t="e">
        <f>INDEX(Items!C$2:C$1032,MATCH($O243,Items!$A$2:$A$1032,0))</f>
        <v>#N/A</v>
      </c>
      <c r="R243" t="e">
        <f>INDEX(Items!D$2:D$1032,MATCH($O243,Items!$A$2:$A$1032,0))</f>
        <v>#N/A</v>
      </c>
    </row>
    <row r="244" spans="1:18" x14ac:dyDescent="0.25">
      <c r="A244">
        <f t="shared" si="17"/>
        <v>1</v>
      </c>
      <c r="B244" t="str">
        <f t="shared" si="18"/>
        <v/>
      </c>
      <c r="C244">
        <f t="shared" si="20"/>
        <v>1</v>
      </c>
      <c r="D244" s="4"/>
      <c r="E244" t="s">
        <v>18</v>
      </c>
      <c r="F244" t="str">
        <f>INDEX(Establishment!B$2:B$1005,MATCH($E244,Establishment!$A$2:$A$1005,0))</f>
        <v xml:space="preserve"> </v>
      </c>
      <c r="G244" t="str">
        <f>INDEX(Establishment!C$2:C$1005,MATCH($E244,Establishment!$A$2:$A$1005,0))</f>
        <v xml:space="preserve"> </v>
      </c>
      <c r="M244">
        <f t="shared" si="21"/>
        <v>0</v>
      </c>
      <c r="N244">
        <f t="shared" si="19"/>
        <v>0</v>
      </c>
      <c r="P244" t="e">
        <f>INDEX(Items!B$2:B$1032,MATCH($O244,Items!$A$2:$A$1032,0))</f>
        <v>#N/A</v>
      </c>
      <c r="Q244" t="e">
        <f>INDEX(Items!C$2:C$1032,MATCH($O244,Items!$A$2:$A$1032,0))</f>
        <v>#N/A</v>
      </c>
      <c r="R244" t="e">
        <f>INDEX(Items!D$2:D$1032,MATCH($O244,Items!$A$2:$A$1032,0))</f>
        <v>#N/A</v>
      </c>
    </row>
    <row r="245" spans="1:18" x14ac:dyDescent="0.25">
      <c r="A245">
        <f t="shared" si="17"/>
        <v>1</v>
      </c>
      <c r="B245" t="str">
        <f t="shared" si="18"/>
        <v/>
      </c>
      <c r="C245">
        <f t="shared" si="20"/>
        <v>1</v>
      </c>
      <c r="D245" s="4"/>
      <c r="E245" t="s">
        <v>18</v>
      </c>
      <c r="F245" t="str">
        <f>INDEX(Establishment!B$2:B$1005,MATCH($E245,Establishment!$A$2:$A$1005,0))</f>
        <v xml:space="preserve"> </v>
      </c>
      <c r="G245" t="str">
        <f>INDEX(Establishment!C$2:C$1005,MATCH($E245,Establishment!$A$2:$A$1005,0))</f>
        <v xml:space="preserve"> </v>
      </c>
      <c r="M245">
        <f t="shared" si="21"/>
        <v>0</v>
      </c>
      <c r="N245">
        <f t="shared" si="19"/>
        <v>0</v>
      </c>
      <c r="P245" t="e">
        <f>INDEX(Items!B$2:B$1032,MATCH($O245,Items!$A$2:$A$1032,0))</f>
        <v>#N/A</v>
      </c>
      <c r="Q245" t="e">
        <f>INDEX(Items!C$2:C$1032,MATCH($O245,Items!$A$2:$A$1032,0))</f>
        <v>#N/A</v>
      </c>
      <c r="R245" t="e">
        <f>INDEX(Items!D$2:D$1032,MATCH($O245,Items!$A$2:$A$1032,0))</f>
        <v>#N/A</v>
      </c>
    </row>
    <row r="246" spans="1:18" x14ac:dyDescent="0.25">
      <c r="A246">
        <f t="shared" si="17"/>
        <v>1</v>
      </c>
      <c r="B246" t="str">
        <f t="shared" si="18"/>
        <v/>
      </c>
      <c r="C246">
        <f t="shared" si="20"/>
        <v>1</v>
      </c>
      <c r="D246" s="4"/>
      <c r="E246" t="s">
        <v>18</v>
      </c>
      <c r="F246" t="str">
        <f>INDEX(Establishment!B$2:B$1005,MATCH($E246,Establishment!$A$2:$A$1005,0))</f>
        <v xml:space="preserve"> </v>
      </c>
      <c r="G246" t="str">
        <f>INDEX(Establishment!C$2:C$1005,MATCH($E246,Establishment!$A$2:$A$1005,0))</f>
        <v xml:space="preserve"> </v>
      </c>
      <c r="M246">
        <f t="shared" si="21"/>
        <v>0</v>
      </c>
      <c r="N246">
        <f t="shared" si="19"/>
        <v>0</v>
      </c>
      <c r="P246" t="e">
        <f>INDEX(Items!B$2:B$1032,MATCH($O246,Items!$A$2:$A$1032,0))</f>
        <v>#N/A</v>
      </c>
      <c r="Q246" t="e">
        <f>INDEX(Items!C$2:C$1032,MATCH($O246,Items!$A$2:$A$1032,0))</f>
        <v>#N/A</v>
      </c>
      <c r="R246" t="e">
        <f>INDEX(Items!D$2:D$1032,MATCH($O246,Items!$A$2:$A$1032,0))</f>
        <v>#N/A</v>
      </c>
    </row>
    <row r="247" spans="1:18" x14ac:dyDescent="0.25">
      <c r="A247">
        <f t="shared" si="17"/>
        <v>1</v>
      </c>
      <c r="B247" t="str">
        <f t="shared" si="18"/>
        <v/>
      </c>
      <c r="C247">
        <f t="shared" si="20"/>
        <v>1</v>
      </c>
      <c r="D247" s="4"/>
      <c r="E247" t="s">
        <v>18</v>
      </c>
      <c r="F247" t="str">
        <f>INDEX(Establishment!B$2:B$1005,MATCH($E247,Establishment!$A$2:$A$1005,0))</f>
        <v xml:space="preserve"> </v>
      </c>
      <c r="G247" t="str">
        <f>INDEX(Establishment!C$2:C$1005,MATCH($E247,Establishment!$A$2:$A$1005,0))</f>
        <v xml:space="preserve"> </v>
      </c>
      <c r="M247">
        <f t="shared" si="21"/>
        <v>0</v>
      </c>
      <c r="N247">
        <f t="shared" si="19"/>
        <v>0</v>
      </c>
      <c r="P247" t="e">
        <f>INDEX(Items!B$2:B$1032,MATCH($O247,Items!$A$2:$A$1032,0))</f>
        <v>#N/A</v>
      </c>
      <c r="Q247" t="e">
        <f>INDEX(Items!C$2:C$1032,MATCH($O247,Items!$A$2:$A$1032,0))</f>
        <v>#N/A</v>
      </c>
      <c r="R247" t="e">
        <f>INDEX(Items!D$2:D$1032,MATCH($O247,Items!$A$2:$A$1032,0))</f>
        <v>#N/A</v>
      </c>
    </row>
    <row r="248" spans="1:18" x14ac:dyDescent="0.25">
      <c r="A248">
        <f t="shared" si="17"/>
        <v>1</v>
      </c>
      <c r="B248" t="str">
        <f t="shared" si="18"/>
        <v/>
      </c>
      <c r="C248">
        <f t="shared" si="20"/>
        <v>1</v>
      </c>
      <c r="D248" s="4"/>
      <c r="E248" t="s">
        <v>18</v>
      </c>
      <c r="F248" t="str">
        <f>INDEX(Establishment!B$2:B$1005,MATCH($E248,Establishment!$A$2:$A$1005,0))</f>
        <v xml:space="preserve"> </v>
      </c>
      <c r="G248" t="str">
        <f>INDEX(Establishment!C$2:C$1005,MATCH($E248,Establishment!$A$2:$A$1005,0))</f>
        <v xml:space="preserve"> </v>
      </c>
      <c r="M248">
        <f t="shared" si="21"/>
        <v>0</v>
      </c>
      <c r="N248">
        <f t="shared" si="19"/>
        <v>0</v>
      </c>
      <c r="P248" t="e">
        <f>INDEX(Items!B$2:B$1032,MATCH($O248,Items!$A$2:$A$1032,0))</f>
        <v>#N/A</v>
      </c>
      <c r="Q248" t="e">
        <f>INDEX(Items!C$2:C$1032,MATCH($O248,Items!$A$2:$A$1032,0))</f>
        <v>#N/A</v>
      </c>
      <c r="R248" t="e">
        <f>INDEX(Items!D$2:D$1032,MATCH($O248,Items!$A$2:$A$1032,0))</f>
        <v>#N/A</v>
      </c>
    </row>
    <row r="249" spans="1:18" x14ac:dyDescent="0.25">
      <c r="A249">
        <f t="shared" si="17"/>
        <v>1</v>
      </c>
      <c r="B249" t="str">
        <f t="shared" si="18"/>
        <v/>
      </c>
      <c r="C249">
        <f t="shared" si="20"/>
        <v>1</v>
      </c>
      <c r="D249" s="4"/>
      <c r="E249" t="s">
        <v>18</v>
      </c>
      <c r="F249" t="str">
        <f>INDEX(Establishment!B$2:B$1005,MATCH($E249,Establishment!$A$2:$A$1005,0))</f>
        <v xml:space="preserve"> </v>
      </c>
      <c r="G249" t="str">
        <f>INDEX(Establishment!C$2:C$1005,MATCH($E249,Establishment!$A$2:$A$1005,0))</f>
        <v xml:space="preserve"> </v>
      </c>
      <c r="M249">
        <f t="shared" si="21"/>
        <v>0</v>
      </c>
      <c r="N249">
        <f t="shared" si="19"/>
        <v>0</v>
      </c>
      <c r="P249" t="e">
        <f>INDEX(Items!B$2:B$1032,MATCH($O249,Items!$A$2:$A$1032,0))</f>
        <v>#N/A</v>
      </c>
      <c r="Q249" t="e">
        <f>INDEX(Items!C$2:C$1032,MATCH($O249,Items!$A$2:$A$1032,0))</f>
        <v>#N/A</v>
      </c>
      <c r="R249" t="e">
        <f>INDEX(Items!D$2:D$1032,MATCH($O249,Items!$A$2:$A$1032,0))</f>
        <v>#N/A</v>
      </c>
    </row>
    <row r="250" spans="1:18" x14ac:dyDescent="0.25">
      <c r="A250">
        <f t="shared" si="17"/>
        <v>1</v>
      </c>
      <c r="B250" t="str">
        <f t="shared" si="18"/>
        <v/>
      </c>
      <c r="C250">
        <f t="shared" si="20"/>
        <v>1</v>
      </c>
      <c r="D250" s="4"/>
      <c r="E250" t="s">
        <v>18</v>
      </c>
      <c r="F250" t="str">
        <f>INDEX(Establishment!B$2:B$1005,MATCH($E250,Establishment!$A$2:$A$1005,0))</f>
        <v xml:space="preserve"> </v>
      </c>
      <c r="G250" t="str">
        <f>INDEX(Establishment!C$2:C$1005,MATCH($E250,Establishment!$A$2:$A$1005,0))</f>
        <v xml:space="preserve"> </v>
      </c>
      <c r="M250">
        <f t="shared" si="21"/>
        <v>0</v>
      </c>
      <c r="N250">
        <f t="shared" si="19"/>
        <v>0</v>
      </c>
      <c r="P250" t="e">
        <f>INDEX(Items!B$2:B$1032,MATCH($O250,Items!$A$2:$A$1032,0))</f>
        <v>#N/A</v>
      </c>
      <c r="Q250" t="e">
        <f>INDEX(Items!C$2:C$1032,MATCH($O250,Items!$A$2:$A$1032,0))</f>
        <v>#N/A</v>
      </c>
      <c r="R250" t="e">
        <f>INDEX(Items!D$2:D$1032,MATCH($O250,Items!$A$2:$A$1032,0))</f>
        <v>#N/A</v>
      </c>
    </row>
    <row r="251" spans="1:18" x14ac:dyDescent="0.25">
      <c r="A251">
        <f t="shared" si="17"/>
        <v>1</v>
      </c>
      <c r="B251" t="str">
        <f t="shared" si="18"/>
        <v/>
      </c>
      <c r="C251">
        <f t="shared" si="20"/>
        <v>1</v>
      </c>
      <c r="D251" s="4"/>
      <c r="E251" t="s">
        <v>18</v>
      </c>
      <c r="F251" t="str">
        <f>INDEX(Establishment!B$2:B$1005,MATCH($E251,Establishment!$A$2:$A$1005,0))</f>
        <v xml:space="preserve"> </v>
      </c>
      <c r="G251" t="str">
        <f>INDEX(Establishment!C$2:C$1005,MATCH($E251,Establishment!$A$2:$A$1005,0))</f>
        <v xml:space="preserve"> </v>
      </c>
      <c r="M251">
        <f t="shared" si="21"/>
        <v>0</v>
      </c>
      <c r="N251">
        <f t="shared" si="19"/>
        <v>0</v>
      </c>
      <c r="P251" t="e">
        <f>INDEX(Items!B$2:B$1032,MATCH($O251,Items!$A$2:$A$1032,0))</f>
        <v>#N/A</v>
      </c>
      <c r="Q251" t="e">
        <f>INDEX(Items!C$2:C$1032,MATCH($O251,Items!$A$2:$A$1032,0))</f>
        <v>#N/A</v>
      </c>
      <c r="R251" t="e">
        <f>INDEX(Items!D$2:D$1032,MATCH($O251,Items!$A$2:$A$1032,0))</f>
        <v>#N/A</v>
      </c>
    </row>
    <row r="252" spans="1:18" x14ac:dyDescent="0.25">
      <c r="A252">
        <f t="shared" si="17"/>
        <v>1</v>
      </c>
      <c r="B252" t="str">
        <f t="shared" si="18"/>
        <v/>
      </c>
      <c r="C252">
        <f t="shared" si="20"/>
        <v>1</v>
      </c>
      <c r="D252" s="4"/>
      <c r="E252" t="s">
        <v>18</v>
      </c>
      <c r="F252" t="str">
        <f>INDEX(Establishment!B$2:B$1005,MATCH($E252,Establishment!$A$2:$A$1005,0))</f>
        <v xml:space="preserve"> </v>
      </c>
      <c r="G252" t="str">
        <f>INDEX(Establishment!C$2:C$1005,MATCH($E252,Establishment!$A$2:$A$1005,0))</f>
        <v xml:space="preserve"> </v>
      </c>
      <c r="M252">
        <f t="shared" si="21"/>
        <v>0</v>
      </c>
      <c r="N252">
        <f t="shared" si="19"/>
        <v>0</v>
      </c>
      <c r="P252" t="e">
        <f>INDEX(Items!B$2:B$1032,MATCH($O252,Items!$A$2:$A$1032,0))</f>
        <v>#N/A</v>
      </c>
      <c r="Q252" t="e">
        <f>INDEX(Items!C$2:C$1032,MATCH($O252,Items!$A$2:$A$1032,0))</f>
        <v>#N/A</v>
      </c>
      <c r="R252" t="e">
        <f>INDEX(Items!D$2:D$1032,MATCH($O252,Items!$A$2:$A$1032,0))</f>
        <v>#N/A</v>
      </c>
    </row>
    <row r="253" spans="1:18" x14ac:dyDescent="0.25">
      <c r="A253">
        <f t="shared" si="17"/>
        <v>1</v>
      </c>
      <c r="B253" t="str">
        <f t="shared" si="18"/>
        <v/>
      </c>
      <c r="C253">
        <f t="shared" si="20"/>
        <v>1</v>
      </c>
      <c r="D253" s="4"/>
      <c r="E253" t="s">
        <v>18</v>
      </c>
      <c r="F253" t="str">
        <f>INDEX(Establishment!B$2:B$1005,MATCH($E253,Establishment!$A$2:$A$1005,0))</f>
        <v xml:space="preserve"> </v>
      </c>
      <c r="G253" t="str">
        <f>INDEX(Establishment!C$2:C$1005,MATCH($E253,Establishment!$A$2:$A$1005,0))</f>
        <v xml:space="preserve"> </v>
      </c>
      <c r="M253">
        <f t="shared" si="21"/>
        <v>0</v>
      </c>
      <c r="N253">
        <f t="shared" si="19"/>
        <v>0</v>
      </c>
      <c r="P253" t="e">
        <f>INDEX(Items!B$2:B$1032,MATCH($O253,Items!$A$2:$A$1032,0))</f>
        <v>#N/A</v>
      </c>
      <c r="Q253" t="e">
        <f>INDEX(Items!C$2:C$1032,MATCH($O253,Items!$A$2:$A$1032,0))</f>
        <v>#N/A</v>
      </c>
      <c r="R253" t="e">
        <f>INDEX(Items!D$2:D$1032,MATCH($O253,Items!$A$2:$A$1032,0))</f>
        <v>#N/A</v>
      </c>
    </row>
    <row r="254" spans="1:18" x14ac:dyDescent="0.25">
      <c r="A254">
        <f t="shared" si="17"/>
        <v>1</v>
      </c>
      <c r="B254" t="str">
        <f t="shared" si="18"/>
        <v/>
      </c>
      <c r="C254">
        <f t="shared" si="20"/>
        <v>1</v>
      </c>
      <c r="D254" s="4"/>
      <c r="E254" t="s">
        <v>18</v>
      </c>
      <c r="F254" t="str">
        <f>INDEX(Establishment!B$2:B$1005,MATCH($E254,Establishment!$A$2:$A$1005,0))</f>
        <v xml:space="preserve"> </v>
      </c>
      <c r="G254" t="str">
        <f>INDEX(Establishment!C$2:C$1005,MATCH($E254,Establishment!$A$2:$A$1005,0))</f>
        <v xml:space="preserve"> </v>
      </c>
      <c r="M254">
        <f t="shared" si="21"/>
        <v>0</v>
      </c>
      <c r="N254">
        <f t="shared" si="19"/>
        <v>0</v>
      </c>
      <c r="P254" t="e">
        <f>INDEX(Items!B$2:B$1032,MATCH($O254,Items!$A$2:$A$1032,0))</f>
        <v>#N/A</v>
      </c>
      <c r="Q254" t="e">
        <f>INDEX(Items!C$2:C$1032,MATCH($O254,Items!$A$2:$A$1032,0))</f>
        <v>#N/A</v>
      </c>
      <c r="R254" t="e">
        <f>INDEX(Items!D$2:D$1032,MATCH($O254,Items!$A$2:$A$1032,0))</f>
        <v>#N/A</v>
      </c>
    </row>
    <row r="255" spans="1:18" x14ac:dyDescent="0.25">
      <c r="A255">
        <f t="shared" si="17"/>
        <v>1</v>
      </c>
      <c r="B255" t="str">
        <f t="shared" si="18"/>
        <v/>
      </c>
      <c r="C255">
        <f t="shared" si="20"/>
        <v>1</v>
      </c>
      <c r="D255" s="4"/>
      <c r="E255" t="s">
        <v>18</v>
      </c>
      <c r="F255" t="str">
        <f>INDEX(Establishment!B$2:B$1005,MATCH($E255,Establishment!$A$2:$A$1005,0))</f>
        <v xml:space="preserve"> </v>
      </c>
      <c r="G255" t="str">
        <f>INDEX(Establishment!C$2:C$1005,MATCH($E255,Establishment!$A$2:$A$1005,0))</f>
        <v xml:space="preserve"> </v>
      </c>
      <c r="M255">
        <f t="shared" si="21"/>
        <v>0</v>
      </c>
      <c r="N255">
        <f t="shared" si="19"/>
        <v>0</v>
      </c>
      <c r="P255" t="e">
        <f>INDEX(Items!B$2:B$1032,MATCH($O255,Items!$A$2:$A$1032,0))</f>
        <v>#N/A</v>
      </c>
      <c r="Q255" t="e">
        <f>INDEX(Items!C$2:C$1032,MATCH($O255,Items!$A$2:$A$1032,0))</f>
        <v>#N/A</v>
      </c>
      <c r="R255" t="e">
        <f>INDEX(Items!D$2:D$1032,MATCH($O255,Items!$A$2:$A$1032,0))</f>
        <v>#N/A</v>
      </c>
    </row>
    <row r="256" spans="1:18" x14ac:dyDescent="0.25">
      <c r="A256">
        <f t="shared" si="17"/>
        <v>1</v>
      </c>
      <c r="B256" t="str">
        <f t="shared" si="18"/>
        <v/>
      </c>
      <c r="C256">
        <f t="shared" si="20"/>
        <v>1</v>
      </c>
      <c r="D256" s="4"/>
      <c r="E256" t="s">
        <v>18</v>
      </c>
      <c r="F256" t="str">
        <f>INDEX(Establishment!B$2:B$1005,MATCH($E256,Establishment!$A$2:$A$1005,0))</f>
        <v xml:space="preserve"> </v>
      </c>
      <c r="G256" t="str">
        <f>INDEX(Establishment!C$2:C$1005,MATCH($E256,Establishment!$A$2:$A$1005,0))</f>
        <v xml:space="preserve"> </v>
      </c>
      <c r="M256">
        <f t="shared" si="21"/>
        <v>0</v>
      </c>
      <c r="N256">
        <f t="shared" si="19"/>
        <v>0</v>
      </c>
      <c r="P256" t="e">
        <f>INDEX(Items!B$2:B$1032,MATCH($O256,Items!$A$2:$A$1032,0))</f>
        <v>#N/A</v>
      </c>
      <c r="Q256" t="e">
        <f>INDEX(Items!C$2:C$1032,MATCH($O256,Items!$A$2:$A$1032,0))</f>
        <v>#N/A</v>
      </c>
      <c r="R256" t="e">
        <f>INDEX(Items!D$2:D$1032,MATCH($O256,Items!$A$2:$A$1032,0))</f>
        <v>#N/A</v>
      </c>
    </row>
    <row r="257" spans="1:18" x14ac:dyDescent="0.25">
      <c r="A257">
        <f t="shared" si="17"/>
        <v>1</v>
      </c>
      <c r="B257" t="str">
        <f t="shared" si="18"/>
        <v/>
      </c>
      <c r="C257">
        <f t="shared" si="20"/>
        <v>1</v>
      </c>
      <c r="D257" s="4"/>
      <c r="E257" t="s">
        <v>18</v>
      </c>
      <c r="F257" t="str">
        <f>INDEX(Establishment!B$2:B$1005,MATCH($E257,Establishment!$A$2:$A$1005,0))</f>
        <v xml:space="preserve"> </v>
      </c>
      <c r="G257" t="str">
        <f>INDEX(Establishment!C$2:C$1005,MATCH($E257,Establishment!$A$2:$A$1005,0))</f>
        <v xml:space="preserve"> </v>
      </c>
      <c r="M257">
        <f t="shared" si="21"/>
        <v>0</v>
      </c>
      <c r="N257">
        <f t="shared" si="19"/>
        <v>0</v>
      </c>
      <c r="P257" t="e">
        <f>INDEX(Items!B$2:B$1032,MATCH($O257,Items!$A$2:$A$1032,0))</f>
        <v>#N/A</v>
      </c>
      <c r="Q257" t="e">
        <f>INDEX(Items!C$2:C$1032,MATCH($O257,Items!$A$2:$A$1032,0))</f>
        <v>#N/A</v>
      </c>
      <c r="R257" t="e">
        <f>INDEX(Items!D$2:D$1032,MATCH($O257,Items!$A$2:$A$1032,0))</f>
        <v>#N/A</v>
      </c>
    </row>
    <row r="258" spans="1:18" x14ac:dyDescent="0.25">
      <c r="A258">
        <f t="shared" ref="A258:A321" si="22">IF(OR(D258&lt;&gt;D257,D258=""),1,IF(NOT(AND(E258=E257,F258=F257,G258=G257)),A257+1,IF(OR(H258="",AND(H258&lt;&gt;"",H258&lt;&gt;H257,H257&lt;&gt;"")),A257,A257+1)))</f>
        <v>1</v>
      </c>
      <c r="B258" t="str">
        <f t="shared" ref="B258:B321" si="23">IF(D258&lt;&gt;"",TEXT(D258,"YYYYMMDD")&amp;CHAR(64+A258),"")</f>
        <v/>
      </c>
      <c r="C258">
        <f t="shared" si="20"/>
        <v>1</v>
      </c>
      <c r="D258" s="4"/>
      <c r="E258" t="s">
        <v>18</v>
      </c>
      <c r="F258" t="str">
        <f>INDEX(Establishment!B$2:B$1005,MATCH($E258,Establishment!$A$2:$A$1005,0))</f>
        <v xml:space="preserve"> </v>
      </c>
      <c r="G258" t="str">
        <f>INDEX(Establishment!C$2:C$1005,MATCH($E258,Establishment!$A$2:$A$1005,0))</f>
        <v xml:space="preserve"> </v>
      </c>
      <c r="M258">
        <f t="shared" si="21"/>
        <v>0</v>
      </c>
      <c r="N258">
        <f t="shared" si="19"/>
        <v>0</v>
      </c>
      <c r="P258" t="e">
        <f>INDEX(Items!B$2:B$1032,MATCH($O258,Items!$A$2:$A$1032,0))</f>
        <v>#N/A</v>
      </c>
      <c r="Q258" t="e">
        <f>INDEX(Items!C$2:C$1032,MATCH($O258,Items!$A$2:$A$1032,0))</f>
        <v>#N/A</v>
      </c>
      <c r="R258" t="e">
        <f>INDEX(Items!D$2:D$1032,MATCH($O258,Items!$A$2:$A$1032,0))</f>
        <v>#N/A</v>
      </c>
    </row>
    <row r="259" spans="1:18" x14ac:dyDescent="0.25">
      <c r="A259">
        <f t="shared" si="22"/>
        <v>1</v>
      </c>
      <c r="B259" t="str">
        <f t="shared" si="23"/>
        <v/>
      </c>
      <c r="C259">
        <f t="shared" si="20"/>
        <v>1</v>
      </c>
      <c r="D259" s="4"/>
      <c r="E259" t="s">
        <v>18</v>
      </c>
      <c r="F259" t="str">
        <f>INDEX(Establishment!B$2:B$1005,MATCH($E259,Establishment!$A$2:$A$1005,0))</f>
        <v xml:space="preserve"> </v>
      </c>
      <c r="G259" t="str">
        <f>INDEX(Establishment!C$2:C$1005,MATCH($E259,Establishment!$A$2:$A$1005,0))</f>
        <v xml:space="preserve"> </v>
      </c>
      <c r="M259">
        <f t="shared" si="21"/>
        <v>0</v>
      </c>
      <c r="N259">
        <f t="shared" ref="N259:N322" si="24">IF(B259=B258,N258+M259,M259)</f>
        <v>0</v>
      </c>
      <c r="P259" t="e">
        <f>INDEX(Items!B$2:B$1032,MATCH($O259,Items!$A$2:$A$1032,0))</f>
        <v>#N/A</v>
      </c>
      <c r="Q259" t="e">
        <f>INDEX(Items!C$2:C$1032,MATCH($O259,Items!$A$2:$A$1032,0))</f>
        <v>#N/A</v>
      </c>
      <c r="R259" t="e">
        <f>INDEX(Items!D$2:D$1032,MATCH($O259,Items!$A$2:$A$1032,0))</f>
        <v>#N/A</v>
      </c>
    </row>
    <row r="260" spans="1:18" x14ac:dyDescent="0.25">
      <c r="A260">
        <f t="shared" si="22"/>
        <v>1</v>
      </c>
      <c r="B260" t="str">
        <f t="shared" si="23"/>
        <v/>
      </c>
      <c r="C260">
        <f t="shared" si="20"/>
        <v>1</v>
      </c>
      <c r="D260" s="4"/>
      <c r="E260" t="s">
        <v>18</v>
      </c>
      <c r="F260" t="str">
        <f>INDEX(Establishment!B$2:B$1005,MATCH($E260,Establishment!$A$2:$A$1005,0))</f>
        <v xml:space="preserve"> </v>
      </c>
      <c r="G260" t="str">
        <f>INDEX(Establishment!C$2:C$1005,MATCH($E260,Establishment!$A$2:$A$1005,0))</f>
        <v xml:space="preserve"> </v>
      </c>
      <c r="M260">
        <f t="shared" si="21"/>
        <v>0</v>
      </c>
      <c r="N260">
        <f t="shared" si="24"/>
        <v>0</v>
      </c>
      <c r="P260" t="e">
        <f>INDEX(Items!B$2:B$1032,MATCH($O260,Items!$A$2:$A$1032,0))</f>
        <v>#N/A</v>
      </c>
      <c r="Q260" t="e">
        <f>INDEX(Items!C$2:C$1032,MATCH($O260,Items!$A$2:$A$1032,0))</f>
        <v>#N/A</v>
      </c>
      <c r="R260" t="e">
        <f>INDEX(Items!D$2:D$1032,MATCH($O260,Items!$A$2:$A$1032,0))</f>
        <v>#N/A</v>
      </c>
    </row>
    <row r="261" spans="1:18" x14ac:dyDescent="0.25">
      <c r="A261">
        <f t="shared" si="22"/>
        <v>1</v>
      </c>
      <c r="B261" t="str">
        <f t="shared" si="23"/>
        <v/>
      </c>
      <c r="C261">
        <f t="shared" si="20"/>
        <v>1</v>
      </c>
      <c r="D261" s="4"/>
      <c r="E261" t="s">
        <v>18</v>
      </c>
      <c r="F261" t="str">
        <f>INDEX(Establishment!B$2:B$1005,MATCH($E261,Establishment!$A$2:$A$1005,0))</f>
        <v xml:space="preserve"> </v>
      </c>
      <c r="G261" t="str">
        <f>INDEX(Establishment!C$2:C$1005,MATCH($E261,Establishment!$A$2:$A$1005,0))</f>
        <v xml:space="preserve"> </v>
      </c>
      <c r="M261">
        <f t="shared" si="21"/>
        <v>0</v>
      </c>
      <c r="N261">
        <f t="shared" si="24"/>
        <v>0</v>
      </c>
      <c r="P261" t="e">
        <f>INDEX(Items!B$2:B$1032,MATCH($O261,Items!$A$2:$A$1032,0))</f>
        <v>#N/A</v>
      </c>
      <c r="Q261" t="e">
        <f>INDEX(Items!C$2:C$1032,MATCH($O261,Items!$A$2:$A$1032,0))</f>
        <v>#N/A</v>
      </c>
      <c r="R261" t="e">
        <f>INDEX(Items!D$2:D$1032,MATCH($O261,Items!$A$2:$A$1032,0))</f>
        <v>#N/A</v>
      </c>
    </row>
    <row r="262" spans="1:18" x14ac:dyDescent="0.25">
      <c r="A262">
        <f t="shared" si="22"/>
        <v>1</v>
      </c>
      <c r="B262" t="str">
        <f t="shared" si="23"/>
        <v/>
      </c>
      <c r="C262">
        <f t="shared" si="20"/>
        <v>1</v>
      </c>
      <c r="D262" s="4"/>
      <c r="E262" t="s">
        <v>18</v>
      </c>
      <c r="F262" t="str">
        <f>INDEX(Establishment!B$2:B$1005,MATCH($E262,Establishment!$A$2:$A$1005,0))</f>
        <v xml:space="preserve"> </v>
      </c>
      <c r="G262" t="str">
        <f>INDEX(Establishment!C$2:C$1005,MATCH($E262,Establishment!$A$2:$A$1005,0))</f>
        <v xml:space="preserve"> </v>
      </c>
      <c r="M262">
        <f t="shared" si="21"/>
        <v>0</v>
      </c>
      <c r="N262">
        <f t="shared" si="24"/>
        <v>0</v>
      </c>
      <c r="P262" t="e">
        <f>INDEX(Items!B$2:B$1032,MATCH($O262,Items!$A$2:$A$1032,0))</f>
        <v>#N/A</v>
      </c>
      <c r="Q262" t="e">
        <f>INDEX(Items!C$2:C$1032,MATCH($O262,Items!$A$2:$A$1032,0))</f>
        <v>#N/A</v>
      </c>
      <c r="R262" t="e">
        <f>INDEX(Items!D$2:D$1032,MATCH($O262,Items!$A$2:$A$1032,0))</f>
        <v>#N/A</v>
      </c>
    </row>
    <row r="263" spans="1:18" x14ac:dyDescent="0.25">
      <c r="A263">
        <f t="shared" si="22"/>
        <v>1</v>
      </c>
      <c r="B263" t="str">
        <f t="shared" si="23"/>
        <v/>
      </c>
      <c r="C263">
        <f t="shared" si="20"/>
        <v>1</v>
      </c>
      <c r="D263" s="4"/>
      <c r="E263" t="s">
        <v>18</v>
      </c>
      <c r="F263" t="str">
        <f>INDEX(Establishment!B$2:B$1005,MATCH($E263,Establishment!$A$2:$A$1005,0))</f>
        <v xml:space="preserve"> </v>
      </c>
      <c r="G263" t="str">
        <f>INDEX(Establishment!C$2:C$1005,MATCH($E263,Establishment!$A$2:$A$1005,0))</f>
        <v xml:space="preserve"> </v>
      </c>
      <c r="M263">
        <f t="shared" si="21"/>
        <v>0</v>
      </c>
      <c r="N263">
        <f t="shared" si="24"/>
        <v>0</v>
      </c>
      <c r="P263" t="e">
        <f>INDEX(Items!B$2:B$1032,MATCH($O263,Items!$A$2:$A$1032,0))</f>
        <v>#N/A</v>
      </c>
      <c r="Q263" t="e">
        <f>INDEX(Items!C$2:C$1032,MATCH($O263,Items!$A$2:$A$1032,0))</f>
        <v>#N/A</v>
      </c>
      <c r="R263" t="e">
        <f>INDEX(Items!D$2:D$1032,MATCH($O263,Items!$A$2:$A$1032,0))</f>
        <v>#N/A</v>
      </c>
    </row>
    <row r="264" spans="1:18" x14ac:dyDescent="0.25">
      <c r="A264">
        <f t="shared" si="22"/>
        <v>1</v>
      </c>
      <c r="B264" t="str">
        <f t="shared" si="23"/>
        <v/>
      </c>
      <c r="C264">
        <f t="shared" si="20"/>
        <v>1</v>
      </c>
      <c r="D264" s="4"/>
      <c r="E264" t="s">
        <v>18</v>
      </c>
      <c r="F264" t="str">
        <f>INDEX(Establishment!B$2:B$1005,MATCH($E264,Establishment!$A$2:$A$1005,0))</f>
        <v xml:space="preserve"> </v>
      </c>
      <c r="G264" t="str">
        <f>INDEX(Establishment!C$2:C$1005,MATCH($E264,Establishment!$A$2:$A$1005,0))</f>
        <v xml:space="preserve"> </v>
      </c>
      <c r="M264">
        <f t="shared" si="21"/>
        <v>0</v>
      </c>
      <c r="N264">
        <f t="shared" si="24"/>
        <v>0</v>
      </c>
      <c r="P264" t="e">
        <f>INDEX(Items!B$2:B$1032,MATCH($O264,Items!$A$2:$A$1032,0))</f>
        <v>#N/A</v>
      </c>
      <c r="Q264" t="e">
        <f>INDEX(Items!C$2:C$1032,MATCH($O264,Items!$A$2:$A$1032,0))</f>
        <v>#N/A</v>
      </c>
      <c r="R264" t="e">
        <f>INDEX(Items!D$2:D$1032,MATCH($O264,Items!$A$2:$A$1032,0))</f>
        <v>#N/A</v>
      </c>
    </row>
    <row r="265" spans="1:18" x14ac:dyDescent="0.25">
      <c r="A265">
        <f t="shared" si="22"/>
        <v>1</v>
      </c>
      <c r="B265" t="str">
        <f t="shared" si="23"/>
        <v/>
      </c>
      <c r="C265">
        <f t="shared" si="20"/>
        <v>1</v>
      </c>
      <c r="D265" s="4"/>
      <c r="E265" t="s">
        <v>18</v>
      </c>
      <c r="F265" t="str">
        <f>INDEX(Establishment!B$2:B$1005,MATCH($E265,Establishment!$A$2:$A$1005,0))</f>
        <v xml:space="preserve"> </v>
      </c>
      <c r="G265" t="str">
        <f>INDEX(Establishment!C$2:C$1005,MATCH($E265,Establishment!$A$2:$A$1005,0))</f>
        <v xml:space="preserve"> </v>
      </c>
      <c r="M265">
        <f t="shared" si="21"/>
        <v>0</v>
      </c>
      <c r="N265">
        <f t="shared" si="24"/>
        <v>0</v>
      </c>
      <c r="P265" t="e">
        <f>INDEX(Items!B$2:B$1032,MATCH($O265,Items!$A$2:$A$1032,0))</f>
        <v>#N/A</v>
      </c>
      <c r="Q265" t="e">
        <f>INDEX(Items!C$2:C$1032,MATCH($O265,Items!$A$2:$A$1032,0))</f>
        <v>#N/A</v>
      </c>
      <c r="R265" t="e">
        <f>INDEX(Items!D$2:D$1032,MATCH($O265,Items!$A$2:$A$1032,0))</f>
        <v>#N/A</v>
      </c>
    </row>
    <row r="266" spans="1:18" x14ac:dyDescent="0.25">
      <c r="A266">
        <f t="shared" si="22"/>
        <v>1</v>
      </c>
      <c r="B266" t="str">
        <f t="shared" si="23"/>
        <v/>
      </c>
      <c r="C266">
        <f t="shared" ref="C266:C329" si="25">IF(OR(B266="",B266&lt;&gt;B265),1,C265+1)</f>
        <v>1</v>
      </c>
      <c r="D266" s="4"/>
      <c r="E266" t="s">
        <v>18</v>
      </c>
      <c r="F266" t="str">
        <f>INDEX(Establishment!B$2:B$1005,MATCH($E266,Establishment!$A$2:$A$1005,0))</f>
        <v xml:space="preserve"> </v>
      </c>
      <c r="G266" t="str">
        <f>INDEX(Establishment!C$2:C$1005,MATCH($E266,Establishment!$A$2:$A$1005,0))</f>
        <v xml:space="preserve"> </v>
      </c>
      <c r="M266">
        <f t="shared" ref="M266:M329" si="26">K266*L266</f>
        <v>0</v>
      </c>
      <c r="N266">
        <f t="shared" si="24"/>
        <v>0</v>
      </c>
      <c r="P266" t="e">
        <f>INDEX(Items!B$2:B$1032,MATCH($O266,Items!$A$2:$A$1032,0))</f>
        <v>#N/A</v>
      </c>
      <c r="Q266" t="e">
        <f>INDEX(Items!C$2:C$1032,MATCH($O266,Items!$A$2:$A$1032,0))</f>
        <v>#N/A</v>
      </c>
      <c r="R266" t="e">
        <f>INDEX(Items!D$2:D$1032,MATCH($O266,Items!$A$2:$A$1032,0))</f>
        <v>#N/A</v>
      </c>
    </row>
    <row r="267" spans="1:18" x14ac:dyDescent="0.25">
      <c r="A267">
        <f t="shared" si="22"/>
        <v>1</v>
      </c>
      <c r="B267" t="str">
        <f t="shared" si="23"/>
        <v/>
      </c>
      <c r="C267">
        <f t="shared" si="25"/>
        <v>1</v>
      </c>
      <c r="D267" s="4"/>
      <c r="E267" t="s">
        <v>18</v>
      </c>
      <c r="F267" t="str">
        <f>INDEX(Establishment!B$2:B$1005,MATCH($E267,Establishment!$A$2:$A$1005,0))</f>
        <v xml:space="preserve"> </v>
      </c>
      <c r="G267" t="str">
        <f>INDEX(Establishment!C$2:C$1005,MATCH($E267,Establishment!$A$2:$A$1005,0))</f>
        <v xml:space="preserve"> </v>
      </c>
      <c r="M267">
        <f t="shared" si="26"/>
        <v>0</v>
      </c>
      <c r="N267">
        <f t="shared" si="24"/>
        <v>0</v>
      </c>
      <c r="P267" t="e">
        <f>INDEX(Items!B$2:B$1032,MATCH($O267,Items!$A$2:$A$1032,0))</f>
        <v>#N/A</v>
      </c>
      <c r="Q267" t="e">
        <f>INDEX(Items!C$2:C$1032,MATCH($O267,Items!$A$2:$A$1032,0))</f>
        <v>#N/A</v>
      </c>
      <c r="R267" t="e">
        <f>INDEX(Items!D$2:D$1032,MATCH($O267,Items!$A$2:$A$1032,0))</f>
        <v>#N/A</v>
      </c>
    </row>
    <row r="268" spans="1:18" x14ac:dyDescent="0.25">
      <c r="A268">
        <f t="shared" si="22"/>
        <v>1</v>
      </c>
      <c r="B268" t="str">
        <f t="shared" si="23"/>
        <v/>
      </c>
      <c r="C268">
        <f t="shared" si="25"/>
        <v>1</v>
      </c>
      <c r="D268" s="4"/>
      <c r="E268" t="s">
        <v>18</v>
      </c>
      <c r="F268" t="str">
        <f>INDEX(Establishment!B$2:B$1005,MATCH($E268,Establishment!$A$2:$A$1005,0))</f>
        <v xml:space="preserve"> </v>
      </c>
      <c r="G268" t="str">
        <f>INDEX(Establishment!C$2:C$1005,MATCH($E268,Establishment!$A$2:$A$1005,0))</f>
        <v xml:space="preserve"> </v>
      </c>
      <c r="M268">
        <f t="shared" si="26"/>
        <v>0</v>
      </c>
      <c r="N268">
        <f t="shared" si="24"/>
        <v>0</v>
      </c>
      <c r="P268" t="e">
        <f>INDEX(Items!B$2:B$1032,MATCH($O268,Items!$A$2:$A$1032,0))</f>
        <v>#N/A</v>
      </c>
      <c r="Q268" t="e">
        <f>INDEX(Items!C$2:C$1032,MATCH($O268,Items!$A$2:$A$1032,0))</f>
        <v>#N/A</v>
      </c>
      <c r="R268" t="e">
        <f>INDEX(Items!D$2:D$1032,MATCH($O268,Items!$A$2:$A$1032,0))</f>
        <v>#N/A</v>
      </c>
    </row>
    <row r="269" spans="1:18" x14ac:dyDescent="0.25">
      <c r="A269">
        <f t="shared" si="22"/>
        <v>1</v>
      </c>
      <c r="B269" t="str">
        <f t="shared" si="23"/>
        <v/>
      </c>
      <c r="C269">
        <f t="shared" si="25"/>
        <v>1</v>
      </c>
      <c r="D269" s="4"/>
      <c r="E269" t="s">
        <v>18</v>
      </c>
      <c r="F269" t="str">
        <f>INDEX(Establishment!B$2:B$1005,MATCH($E269,Establishment!$A$2:$A$1005,0))</f>
        <v xml:space="preserve"> </v>
      </c>
      <c r="G269" t="str">
        <f>INDEX(Establishment!C$2:C$1005,MATCH($E269,Establishment!$A$2:$A$1005,0))</f>
        <v xml:space="preserve"> </v>
      </c>
      <c r="M269">
        <f t="shared" si="26"/>
        <v>0</v>
      </c>
      <c r="N269">
        <f t="shared" si="24"/>
        <v>0</v>
      </c>
      <c r="P269" t="e">
        <f>INDEX(Items!B$2:B$1032,MATCH($O269,Items!$A$2:$A$1032,0))</f>
        <v>#N/A</v>
      </c>
      <c r="Q269" t="e">
        <f>INDEX(Items!C$2:C$1032,MATCH($O269,Items!$A$2:$A$1032,0))</f>
        <v>#N/A</v>
      </c>
      <c r="R269" t="e">
        <f>INDEX(Items!D$2:D$1032,MATCH($O269,Items!$A$2:$A$1032,0))</f>
        <v>#N/A</v>
      </c>
    </row>
    <row r="270" spans="1:18" x14ac:dyDescent="0.25">
      <c r="A270">
        <f t="shared" si="22"/>
        <v>1</v>
      </c>
      <c r="B270" t="str">
        <f t="shared" si="23"/>
        <v/>
      </c>
      <c r="C270">
        <f t="shared" si="25"/>
        <v>1</v>
      </c>
      <c r="D270" s="4"/>
      <c r="E270" t="s">
        <v>18</v>
      </c>
      <c r="F270" t="str">
        <f>INDEX(Establishment!B$2:B$1005,MATCH($E270,Establishment!$A$2:$A$1005,0))</f>
        <v xml:space="preserve"> </v>
      </c>
      <c r="G270" t="str">
        <f>INDEX(Establishment!C$2:C$1005,MATCH($E270,Establishment!$A$2:$A$1005,0))</f>
        <v xml:space="preserve"> </v>
      </c>
      <c r="M270">
        <f t="shared" si="26"/>
        <v>0</v>
      </c>
      <c r="N270">
        <f t="shared" si="24"/>
        <v>0</v>
      </c>
      <c r="P270" t="e">
        <f>INDEX(Items!B$2:B$1032,MATCH($O270,Items!$A$2:$A$1032,0))</f>
        <v>#N/A</v>
      </c>
      <c r="Q270" t="e">
        <f>INDEX(Items!C$2:C$1032,MATCH($O270,Items!$A$2:$A$1032,0))</f>
        <v>#N/A</v>
      </c>
      <c r="R270" t="e">
        <f>INDEX(Items!D$2:D$1032,MATCH($O270,Items!$A$2:$A$1032,0))</f>
        <v>#N/A</v>
      </c>
    </row>
    <row r="271" spans="1:18" x14ac:dyDescent="0.25">
      <c r="A271">
        <f t="shared" si="22"/>
        <v>1</v>
      </c>
      <c r="B271" t="str">
        <f t="shared" si="23"/>
        <v/>
      </c>
      <c r="C271">
        <f t="shared" si="25"/>
        <v>1</v>
      </c>
      <c r="D271" s="4"/>
      <c r="E271" t="s">
        <v>18</v>
      </c>
      <c r="F271" t="str">
        <f>INDEX(Establishment!B$2:B$1005,MATCH($E271,Establishment!$A$2:$A$1005,0))</f>
        <v xml:space="preserve"> </v>
      </c>
      <c r="G271" t="str">
        <f>INDEX(Establishment!C$2:C$1005,MATCH($E271,Establishment!$A$2:$A$1005,0))</f>
        <v xml:space="preserve"> </v>
      </c>
      <c r="M271">
        <f t="shared" si="26"/>
        <v>0</v>
      </c>
      <c r="N271">
        <f t="shared" si="24"/>
        <v>0</v>
      </c>
      <c r="P271" t="e">
        <f>INDEX(Items!B$2:B$1032,MATCH($O271,Items!$A$2:$A$1032,0))</f>
        <v>#N/A</v>
      </c>
      <c r="Q271" t="e">
        <f>INDEX(Items!C$2:C$1032,MATCH($O271,Items!$A$2:$A$1032,0))</f>
        <v>#N/A</v>
      </c>
      <c r="R271" t="e">
        <f>INDEX(Items!D$2:D$1032,MATCH($O271,Items!$A$2:$A$1032,0))</f>
        <v>#N/A</v>
      </c>
    </row>
    <row r="272" spans="1:18" x14ac:dyDescent="0.25">
      <c r="A272">
        <f t="shared" si="22"/>
        <v>1</v>
      </c>
      <c r="B272" t="str">
        <f t="shared" si="23"/>
        <v/>
      </c>
      <c r="C272">
        <f t="shared" si="25"/>
        <v>1</v>
      </c>
      <c r="D272" s="4"/>
      <c r="E272" t="s">
        <v>18</v>
      </c>
      <c r="F272" t="str">
        <f>INDEX(Establishment!B$2:B$1005,MATCH($E272,Establishment!$A$2:$A$1005,0))</f>
        <v xml:space="preserve"> </v>
      </c>
      <c r="G272" t="str">
        <f>INDEX(Establishment!C$2:C$1005,MATCH($E272,Establishment!$A$2:$A$1005,0))</f>
        <v xml:space="preserve"> </v>
      </c>
      <c r="M272">
        <f t="shared" si="26"/>
        <v>0</v>
      </c>
      <c r="N272">
        <f t="shared" si="24"/>
        <v>0</v>
      </c>
      <c r="P272" t="e">
        <f>INDEX(Items!B$2:B$1032,MATCH($O272,Items!$A$2:$A$1032,0))</f>
        <v>#N/A</v>
      </c>
      <c r="Q272" t="e">
        <f>INDEX(Items!C$2:C$1032,MATCH($O272,Items!$A$2:$A$1032,0))</f>
        <v>#N/A</v>
      </c>
      <c r="R272" t="e">
        <f>INDEX(Items!D$2:D$1032,MATCH($O272,Items!$A$2:$A$1032,0))</f>
        <v>#N/A</v>
      </c>
    </row>
    <row r="273" spans="1:18" x14ac:dyDescent="0.25">
      <c r="A273">
        <f t="shared" si="22"/>
        <v>1</v>
      </c>
      <c r="B273" t="str">
        <f t="shared" si="23"/>
        <v/>
      </c>
      <c r="C273">
        <f t="shared" si="25"/>
        <v>1</v>
      </c>
      <c r="D273" s="4"/>
      <c r="E273" t="s">
        <v>18</v>
      </c>
      <c r="F273" t="str">
        <f>INDEX(Establishment!B$2:B$1005,MATCH($E273,Establishment!$A$2:$A$1005,0))</f>
        <v xml:space="preserve"> </v>
      </c>
      <c r="G273" t="str">
        <f>INDEX(Establishment!C$2:C$1005,MATCH($E273,Establishment!$A$2:$A$1005,0))</f>
        <v xml:space="preserve"> </v>
      </c>
      <c r="M273">
        <f t="shared" si="26"/>
        <v>0</v>
      </c>
      <c r="N273">
        <f t="shared" si="24"/>
        <v>0</v>
      </c>
      <c r="P273" t="e">
        <f>INDEX(Items!B$2:B$1032,MATCH($O273,Items!$A$2:$A$1032,0))</f>
        <v>#N/A</v>
      </c>
      <c r="Q273" t="e">
        <f>INDEX(Items!C$2:C$1032,MATCH($O273,Items!$A$2:$A$1032,0))</f>
        <v>#N/A</v>
      </c>
      <c r="R273" t="e">
        <f>INDEX(Items!D$2:D$1032,MATCH($O273,Items!$A$2:$A$1032,0))</f>
        <v>#N/A</v>
      </c>
    </row>
    <row r="274" spans="1:18" x14ac:dyDescent="0.25">
      <c r="A274">
        <f t="shared" si="22"/>
        <v>1</v>
      </c>
      <c r="B274" t="str">
        <f t="shared" si="23"/>
        <v/>
      </c>
      <c r="C274">
        <f t="shared" si="25"/>
        <v>1</v>
      </c>
      <c r="D274" s="4"/>
      <c r="E274" t="s">
        <v>18</v>
      </c>
      <c r="F274" t="str">
        <f>INDEX(Establishment!B$2:B$1005,MATCH($E274,Establishment!$A$2:$A$1005,0))</f>
        <v xml:space="preserve"> </v>
      </c>
      <c r="G274" t="str">
        <f>INDEX(Establishment!C$2:C$1005,MATCH($E274,Establishment!$A$2:$A$1005,0))</f>
        <v xml:space="preserve"> </v>
      </c>
      <c r="M274">
        <f t="shared" si="26"/>
        <v>0</v>
      </c>
      <c r="N274">
        <f t="shared" si="24"/>
        <v>0</v>
      </c>
      <c r="P274" t="e">
        <f>INDEX(Items!B$2:B$1032,MATCH($O274,Items!$A$2:$A$1032,0))</f>
        <v>#N/A</v>
      </c>
      <c r="Q274" t="e">
        <f>INDEX(Items!C$2:C$1032,MATCH($O274,Items!$A$2:$A$1032,0))</f>
        <v>#N/A</v>
      </c>
      <c r="R274" t="e">
        <f>INDEX(Items!D$2:D$1032,MATCH($O274,Items!$A$2:$A$1032,0))</f>
        <v>#N/A</v>
      </c>
    </row>
    <row r="275" spans="1:18" x14ac:dyDescent="0.25">
      <c r="A275">
        <f t="shared" si="22"/>
        <v>1</v>
      </c>
      <c r="B275" t="str">
        <f t="shared" si="23"/>
        <v/>
      </c>
      <c r="C275">
        <f t="shared" si="25"/>
        <v>1</v>
      </c>
      <c r="D275" s="4"/>
      <c r="E275" t="s">
        <v>18</v>
      </c>
      <c r="F275" t="str">
        <f>INDEX(Establishment!B$2:B$1005,MATCH($E275,Establishment!$A$2:$A$1005,0))</f>
        <v xml:space="preserve"> </v>
      </c>
      <c r="G275" t="str">
        <f>INDEX(Establishment!C$2:C$1005,MATCH($E275,Establishment!$A$2:$A$1005,0))</f>
        <v xml:space="preserve"> </v>
      </c>
      <c r="M275">
        <f t="shared" si="26"/>
        <v>0</v>
      </c>
      <c r="N275">
        <f t="shared" si="24"/>
        <v>0</v>
      </c>
      <c r="P275" t="e">
        <f>INDEX(Items!B$2:B$1032,MATCH($O275,Items!$A$2:$A$1032,0))</f>
        <v>#N/A</v>
      </c>
      <c r="Q275" t="e">
        <f>INDEX(Items!C$2:C$1032,MATCH($O275,Items!$A$2:$A$1032,0))</f>
        <v>#N/A</v>
      </c>
      <c r="R275" t="e">
        <f>INDEX(Items!D$2:D$1032,MATCH($O275,Items!$A$2:$A$1032,0))</f>
        <v>#N/A</v>
      </c>
    </row>
    <row r="276" spans="1:18" x14ac:dyDescent="0.25">
      <c r="A276">
        <f t="shared" si="22"/>
        <v>1</v>
      </c>
      <c r="B276" t="str">
        <f t="shared" si="23"/>
        <v/>
      </c>
      <c r="C276">
        <f t="shared" si="25"/>
        <v>1</v>
      </c>
      <c r="D276" s="4"/>
      <c r="E276" t="s">
        <v>18</v>
      </c>
      <c r="F276" t="str">
        <f>INDEX(Establishment!B$2:B$1005,MATCH($E276,Establishment!$A$2:$A$1005,0))</f>
        <v xml:space="preserve"> </v>
      </c>
      <c r="G276" t="str">
        <f>INDEX(Establishment!C$2:C$1005,MATCH($E276,Establishment!$A$2:$A$1005,0))</f>
        <v xml:space="preserve"> </v>
      </c>
      <c r="M276">
        <f t="shared" si="26"/>
        <v>0</v>
      </c>
      <c r="N276">
        <f t="shared" si="24"/>
        <v>0</v>
      </c>
      <c r="P276" t="e">
        <f>INDEX(Items!B$2:B$1032,MATCH($O276,Items!$A$2:$A$1032,0))</f>
        <v>#N/A</v>
      </c>
      <c r="Q276" t="e">
        <f>INDEX(Items!C$2:C$1032,MATCH($O276,Items!$A$2:$A$1032,0))</f>
        <v>#N/A</v>
      </c>
      <c r="R276" t="e">
        <f>INDEX(Items!D$2:D$1032,MATCH($O276,Items!$A$2:$A$1032,0))</f>
        <v>#N/A</v>
      </c>
    </row>
    <row r="277" spans="1:18" x14ac:dyDescent="0.25">
      <c r="A277">
        <f t="shared" si="22"/>
        <v>1</v>
      </c>
      <c r="B277" t="str">
        <f t="shared" si="23"/>
        <v/>
      </c>
      <c r="C277">
        <f t="shared" si="25"/>
        <v>1</v>
      </c>
      <c r="D277" s="4"/>
      <c r="E277" t="s">
        <v>18</v>
      </c>
      <c r="F277" t="str">
        <f>INDEX(Establishment!B$2:B$1005,MATCH($E277,Establishment!$A$2:$A$1005,0))</f>
        <v xml:space="preserve"> </v>
      </c>
      <c r="G277" t="str">
        <f>INDEX(Establishment!C$2:C$1005,MATCH($E277,Establishment!$A$2:$A$1005,0))</f>
        <v xml:space="preserve"> </v>
      </c>
      <c r="M277">
        <f t="shared" si="26"/>
        <v>0</v>
      </c>
      <c r="N277">
        <f t="shared" si="24"/>
        <v>0</v>
      </c>
      <c r="P277" t="e">
        <f>INDEX(Items!B$2:B$1032,MATCH($O277,Items!$A$2:$A$1032,0))</f>
        <v>#N/A</v>
      </c>
      <c r="Q277" t="e">
        <f>INDEX(Items!C$2:C$1032,MATCH($O277,Items!$A$2:$A$1032,0))</f>
        <v>#N/A</v>
      </c>
      <c r="R277" t="e">
        <f>INDEX(Items!D$2:D$1032,MATCH($O277,Items!$A$2:$A$1032,0))</f>
        <v>#N/A</v>
      </c>
    </row>
    <row r="278" spans="1:18" x14ac:dyDescent="0.25">
      <c r="A278">
        <f t="shared" si="22"/>
        <v>1</v>
      </c>
      <c r="B278" t="str">
        <f t="shared" si="23"/>
        <v/>
      </c>
      <c r="C278">
        <f t="shared" si="25"/>
        <v>1</v>
      </c>
      <c r="D278" s="4"/>
      <c r="E278" t="s">
        <v>18</v>
      </c>
      <c r="F278" t="str">
        <f>INDEX(Establishment!B$2:B$1005,MATCH($E278,Establishment!$A$2:$A$1005,0))</f>
        <v xml:space="preserve"> </v>
      </c>
      <c r="G278" t="str">
        <f>INDEX(Establishment!C$2:C$1005,MATCH($E278,Establishment!$A$2:$A$1005,0))</f>
        <v xml:space="preserve"> </v>
      </c>
      <c r="M278">
        <f t="shared" si="26"/>
        <v>0</v>
      </c>
      <c r="N278">
        <f t="shared" si="24"/>
        <v>0</v>
      </c>
      <c r="P278" t="e">
        <f>INDEX(Items!B$2:B$1032,MATCH($O278,Items!$A$2:$A$1032,0))</f>
        <v>#N/A</v>
      </c>
      <c r="Q278" t="e">
        <f>INDEX(Items!C$2:C$1032,MATCH($O278,Items!$A$2:$A$1032,0))</f>
        <v>#N/A</v>
      </c>
      <c r="R278" t="e">
        <f>INDEX(Items!D$2:D$1032,MATCH($O278,Items!$A$2:$A$1032,0))</f>
        <v>#N/A</v>
      </c>
    </row>
    <row r="279" spans="1:18" x14ac:dyDescent="0.25">
      <c r="A279">
        <f t="shared" si="22"/>
        <v>1</v>
      </c>
      <c r="B279" t="str">
        <f t="shared" si="23"/>
        <v/>
      </c>
      <c r="C279">
        <f t="shared" si="25"/>
        <v>1</v>
      </c>
      <c r="D279" s="4"/>
      <c r="E279" t="s">
        <v>18</v>
      </c>
      <c r="F279" t="str">
        <f>INDEX(Establishment!B$2:B$1005,MATCH($E279,Establishment!$A$2:$A$1005,0))</f>
        <v xml:space="preserve"> </v>
      </c>
      <c r="G279" t="str">
        <f>INDEX(Establishment!C$2:C$1005,MATCH($E279,Establishment!$A$2:$A$1005,0))</f>
        <v xml:space="preserve"> </v>
      </c>
      <c r="M279">
        <f t="shared" si="26"/>
        <v>0</v>
      </c>
      <c r="N279">
        <f t="shared" si="24"/>
        <v>0</v>
      </c>
      <c r="P279" t="e">
        <f>INDEX(Items!B$2:B$1032,MATCH($O279,Items!$A$2:$A$1032,0))</f>
        <v>#N/A</v>
      </c>
      <c r="Q279" t="e">
        <f>INDEX(Items!C$2:C$1032,MATCH($O279,Items!$A$2:$A$1032,0))</f>
        <v>#N/A</v>
      </c>
      <c r="R279" t="e">
        <f>INDEX(Items!D$2:D$1032,MATCH($O279,Items!$A$2:$A$1032,0))</f>
        <v>#N/A</v>
      </c>
    </row>
    <row r="280" spans="1:18" x14ac:dyDescent="0.25">
      <c r="A280">
        <f t="shared" si="22"/>
        <v>1</v>
      </c>
      <c r="B280" t="str">
        <f t="shared" si="23"/>
        <v/>
      </c>
      <c r="C280">
        <f t="shared" si="25"/>
        <v>1</v>
      </c>
      <c r="D280" s="4"/>
      <c r="E280" t="s">
        <v>18</v>
      </c>
      <c r="F280" t="str">
        <f>INDEX(Establishment!B$2:B$1005,MATCH($E280,Establishment!$A$2:$A$1005,0))</f>
        <v xml:space="preserve"> </v>
      </c>
      <c r="G280" t="str">
        <f>INDEX(Establishment!C$2:C$1005,MATCH($E280,Establishment!$A$2:$A$1005,0))</f>
        <v xml:space="preserve"> </v>
      </c>
      <c r="M280">
        <f t="shared" si="26"/>
        <v>0</v>
      </c>
      <c r="N280">
        <f t="shared" si="24"/>
        <v>0</v>
      </c>
      <c r="P280" t="e">
        <f>INDEX(Items!B$2:B$1032,MATCH($O280,Items!$A$2:$A$1032,0))</f>
        <v>#N/A</v>
      </c>
      <c r="Q280" t="e">
        <f>INDEX(Items!C$2:C$1032,MATCH($O280,Items!$A$2:$A$1032,0))</f>
        <v>#N/A</v>
      </c>
      <c r="R280" t="e">
        <f>INDEX(Items!D$2:D$1032,MATCH($O280,Items!$A$2:$A$1032,0))</f>
        <v>#N/A</v>
      </c>
    </row>
    <row r="281" spans="1:18" x14ac:dyDescent="0.25">
      <c r="A281">
        <f t="shared" si="22"/>
        <v>1</v>
      </c>
      <c r="B281" t="str">
        <f t="shared" si="23"/>
        <v/>
      </c>
      <c r="C281">
        <f t="shared" si="25"/>
        <v>1</v>
      </c>
      <c r="D281" s="4"/>
      <c r="E281" t="s">
        <v>18</v>
      </c>
      <c r="F281" t="str">
        <f>INDEX(Establishment!B$2:B$1005,MATCH($E281,Establishment!$A$2:$A$1005,0))</f>
        <v xml:space="preserve"> </v>
      </c>
      <c r="G281" t="str">
        <f>INDEX(Establishment!C$2:C$1005,MATCH($E281,Establishment!$A$2:$A$1005,0))</f>
        <v xml:space="preserve"> </v>
      </c>
      <c r="M281">
        <f t="shared" si="26"/>
        <v>0</v>
      </c>
      <c r="N281">
        <f t="shared" si="24"/>
        <v>0</v>
      </c>
      <c r="P281" t="e">
        <f>INDEX(Items!B$2:B$1032,MATCH($O281,Items!$A$2:$A$1032,0))</f>
        <v>#N/A</v>
      </c>
      <c r="Q281" t="e">
        <f>INDEX(Items!C$2:C$1032,MATCH($O281,Items!$A$2:$A$1032,0))</f>
        <v>#N/A</v>
      </c>
      <c r="R281" t="e">
        <f>INDEX(Items!D$2:D$1032,MATCH($O281,Items!$A$2:$A$1032,0))</f>
        <v>#N/A</v>
      </c>
    </row>
    <row r="282" spans="1:18" x14ac:dyDescent="0.25">
      <c r="A282">
        <f t="shared" si="22"/>
        <v>1</v>
      </c>
      <c r="B282" t="str">
        <f t="shared" si="23"/>
        <v/>
      </c>
      <c r="C282">
        <f t="shared" si="25"/>
        <v>1</v>
      </c>
      <c r="D282" s="4"/>
      <c r="E282" t="s">
        <v>18</v>
      </c>
      <c r="F282" t="str">
        <f>INDEX(Establishment!B$2:B$1005,MATCH($E282,Establishment!$A$2:$A$1005,0))</f>
        <v xml:space="preserve"> </v>
      </c>
      <c r="G282" t="str">
        <f>INDEX(Establishment!C$2:C$1005,MATCH($E282,Establishment!$A$2:$A$1005,0))</f>
        <v xml:space="preserve"> </v>
      </c>
      <c r="M282">
        <f t="shared" si="26"/>
        <v>0</v>
      </c>
      <c r="N282">
        <f t="shared" si="24"/>
        <v>0</v>
      </c>
      <c r="P282" t="e">
        <f>INDEX(Items!B$2:B$1032,MATCH($O282,Items!$A$2:$A$1032,0))</f>
        <v>#N/A</v>
      </c>
      <c r="Q282" t="e">
        <f>INDEX(Items!C$2:C$1032,MATCH($O282,Items!$A$2:$A$1032,0))</f>
        <v>#N/A</v>
      </c>
      <c r="R282" t="e">
        <f>INDEX(Items!D$2:D$1032,MATCH($O282,Items!$A$2:$A$1032,0))</f>
        <v>#N/A</v>
      </c>
    </row>
    <row r="283" spans="1:18" x14ac:dyDescent="0.25">
      <c r="A283">
        <f t="shared" si="22"/>
        <v>1</v>
      </c>
      <c r="B283" t="str">
        <f t="shared" si="23"/>
        <v/>
      </c>
      <c r="C283">
        <f t="shared" si="25"/>
        <v>1</v>
      </c>
      <c r="D283" s="4"/>
      <c r="E283" t="s">
        <v>18</v>
      </c>
      <c r="F283" t="str">
        <f>INDEX(Establishment!B$2:B$1005,MATCH($E283,Establishment!$A$2:$A$1005,0))</f>
        <v xml:space="preserve"> </v>
      </c>
      <c r="G283" t="str">
        <f>INDEX(Establishment!C$2:C$1005,MATCH($E283,Establishment!$A$2:$A$1005,0))</f>
        <v xml:space="preserve"> </v>
      </c>
      <c r="M283">
        <f t="shared" si="26"/>
        <v>0</v>
      </c>
      <c r="N283">
        <f t="shared" si="24"/>
        <v>0</v>
      </c>
      <c r="P283" t="e">
        <f>INDEX(Items!B$2:B$1032,MATCH($O283,Items!$A$2:$A$1032,0))</f>
        <v>#N/A</v>
      </c>
      <c r="Q283" t="e">
        <f>INDEX(Items!C$2:C$1032,MATCH($O283,Items!$A$2:$A$1032,0))</f>
        <v>#N/A</v>
      </c>
      <c r="R283" t="e">
        <f>INDEX(Items!D$2:D$1032,MATCH($O283,Items!$A$2:$A$1032,0))</f>
        <v>#N/A</v>
      </c>
    </row>
    <row r="284" spans="1:18" x14ac:dyDescent="0.25">
      <c r="A284">
        <f t="shared" si="22"/>
        <v>1</v>
      </c>
      <c r="B284" t="str">
        <f t="shared" si="23"/>
        <v/>
      </c>
      <c r="C284">
        <f t="shared" si="25"/>
        <v>1</v>
      </c>
      <c r="D284" s="4"/>
      <c r="E284" t="s">
        <v>18</v>
      </c>
      <c r="F284" t="str">
        <f>INDEX(Establishment!B$2:B$1005,MATCH($E284,Establishment!$A$2:$A$1005,0))</f>
        <v xml:space="preserve"> </v>
      </c>
      <c r="G284" t="str">
        <f>INDEX(Establishment!C$2:C$1005,MATCH($E284,Establishment!$A$2:$A$1005,0))</f>
        <v xml:space="preserve"> </v>
      </c>
      <c r="M284">
        <f t="shared" si="26"/>
        <v>0</v>
      </c>
      <c r="N284">
        <f t="shared" si="24"/>
        <v>0</v>
      </c>
      <c r="P284" t="e">
        <f>INDEX(Items!B$2:B$1032,MATCH($O284,Items!$A$2:$A$1032,0))</f>
        <v>#N/A</v>
      </c>
      <c r="Q284" t="e">
        <f>INDEX(Items!C$2:C$1032,MATCH($O284,Items!$A$2:$A$1032,0))</f>
        <v>#N/A</v>
      </c>
      <c r="R284" t="e">
        <f>INDEX(Items!D$2:D$1032,MATCH($O284,Items!$A$2:$A$1032,0))</f>
        <v>#N/A</v>
      </c>
    </row>
    <row r="285" spans="1:18" x14ac:dyDescent="0.25">
      <c r="A285">
        <f t="shared" si="22"/>
        <v>1</v>
      </c>
      <c r="B285" t="str">
        <f t="shared" si="23"/>
        <v/>
      </c>
      <c r="C285">
        <f t="shared" si="25"/>
        <v>1</v>
      </c>
      <c r="D285" s="4"/>
      <c r="E285" t="s">
        <v>18</v>
      </c>
      <c r="F285" t="str">
        <f>INDEX(Establishment!B$2:B$1005,MATCH($E285,Establishment!$A$2:$A$1005,0))</f>
        <v xml:space="preserve"> </v>
      </c>
      <c r="G285" t="str">
        <f>INDEX(Establishment!C$2:C$1005,MATCH($E285,Establishment!$A$2:$A$1005,0))</f>
        <v xml:space="preserve"> </v>
      </c>
      <c r="M285">
        <f t="shared" si="26"/>
        <v>0</v>
      </c>
      <c r="N285">
        <f t="shared" si="24"/>
        <v>0</v>
      </c>
      <c r="P285" t="e">
        <f>INDEX(Items!B$2:B$1032,MATCH($O285,Items!$A$2:$A$1032,0))</f>
        <v>#N/A</v>
      </c>
      <c r="Q285" t="e">
        <f>INDEX(Items!C$2:C$1032,MATCH($O285,Items!$A$2:$A$1032,0))</f>
        <v>#N/A</v>
      </c>
      <c r="R285" t="e">
        <f>INDEX(Items!D$2:D$1032,MATCH($O285,Items!$A$2:$A$1032,0))</f>
        <v>#N/A</v>
      </c>
    </row>
    <row r="286" spans="1:18" x14ac:dyDescent="0.25">
      <c r="A286">
        <f t="shared" si="22"/>
        <v>1</v>
      </c>
      <c r="B286" t="str">
        <f t="shared" si="23"/>
        <v/>
      </c>
      <c r="C286">
        <f t="shared" si="25"/>
        <v>1</v>
      </c>
      <c r="D286" s="4"/>
      <c r="E286" t="s">
        <v>18</v>
      </c>
      <c r="F286" t="str">
        <f>INDEX(Establishment!B$2:B$1005,MATCH($E286,Establishment!$A$2:$A$1005,0))</f>
        <v xml:space="preserve"> </v>
      </c>
      <c r="G286" t="str">
        <f>INDEX(Establishment!C$2:C$1005,MATCH($E286,Establishment!$A$2:$A$1005,0))</f>
        <v xml:space="preserve"> </v>
      </c>
      <c r="M286">
        <f t="shared" si="26"/>
        <v>0</v>
      </c>
      <c r="N286">
        <f t="shared" si="24"/>
        <v>0</v>
      </c>
      <c r="P286" t="e">
        <f>INDEX(Items!B$2:B$1032,MATCH($O286,Items!$A$2:$A$1032,0))</f>
        <v>#N/A</v>
      </c>
      <c r="Q286" t="e">
        <f>INDEX(Items!C$2:C$1032,MATCH($O286,Items!$A$2:$A$1032,0))</f>
        <v>#N/A</v>
      </c>
      <c r="R286" t="e">
        <f>INDEX(Items!D$2:D$1032,MATCH($O286,Items!$A$2:$A$1032,0))</f>
        <v>#N/A</v>
      </c>
    </row>
    <row r="287" spans="1:18" x14ac:dyDescent="0.25">
      <c r="A287">
        <f t="shared" si="22"/>
        <v>1</v>
      </c>
      <c r="B287" t="str">
        <f t="shared" si="23"/>
        <v/>
      </c>
      <c r="C287">
        <f t="shared" si="25"/>
        <v>1</v>
      </c>
      <c r="D287" s="4"/>
      <c r="E287" t="s">
        <v>18</v>
      </c>
      <c r="F287" t="str">
        <f>INDEX(Establishment!B$2:B$1005,MATCH($E287,Establishment!$A$2:$A$1005,0))</f>
        <v xml:space="preserve"> </v>
      </c>
      <c r="G287" t="str">
        <f>INDEX(Establishment!C$2:C$1005,MATCH($E287,Establishment!$A$2:$A$1005,0))</f>
        <v xml:space="preserve"> </v>
      </c>
      <c r="M287">
        <f t="shared" si="26"/>
        <v>0</v>
      </c>
      <c r="N287">
        <f t="shared" si="24"/>
        <v>0</v>
      </c>
      <c r="P287" t="e">
        <f>INDEX(Items!B$2:B$1032,MATCH($O287,Items!$A$2:$A$1032,0))</f>
        <v>#N/A</v>
      </c>
      <c r="Q287" t="e">
        <f>INDEX(Items!C$2:C$1032,MATCH($O287,Items!$A$2:$A$1032,0))</f>
        <v>#N/A</v>
      </c>
      <c r="R287" t="e">
        <f>INDEX(Items!D$2:D$1032,MATCH($O287,Items!$A$2:$A$1032,0))</f>
        <v>#N/A</v>
      </c>
    </row>
    <row r="288" spans="1:18" x14ac:dyDescent="0.25">
      <c r="A288">
        <f t="shared" si="22"/>
        <v>1</v>
      </c>
      <c r="B288" t="str">
        <f t="shared" si="23"/>
        <v/>
      </c>
      <c r="C288">
        <f t="shared" si="25"/>
        <v>1</v>
      </c>
      <c r="D288" s="4"/>
      <c r="E288" t="s">
        <v>18</v>
      </c>
      <c r="F288" t="str">
        <f>INDEX(Establishment!B$2:B$1005,MATCH($E288,Establishment!$A$2:$A$1005,0))</f>
        <v xml:space="preserve"> </v>
      </c>
      <c r="G288" t="str">
        <f>INDEX(Establishment!C$2:C$1005,MATCH($E288,Establishment!$A$2:$A$1005,0))</f>
        <v xml:space="preserve"> </v>
      </c>
      <c r="M288">
        <f t="shared" si="26"/>
        <v>0</v>
      </c>
      <c r="N288">
        <f t="shared" si="24"/>
        <v>0</v>
      </c>
      <c r="P288" t="e">
        <f>INDEX(Items!B$2:B$1032,MATCH($O288,Items!$A$2:$A$1032,0))</f>
        <v>#N/A</v>
      </c>
      <c r="Q288" t="e">
        <f>INDEX(Items!C$2:C$1032,MATCH($O288,Items!$A$2:$A$1032,0))</f>
        <v>#N/A</v>
      </c>
      <c r="R288" t="e">
        <f>INDEX(Items!D$2:D$1032,MATCH($O288,Items!$A$2:$A$1032,0))</f>
        <v>#N/A</v>
      </c>
    </row>
    <row r="289" spans="1:18" x14ac:dyDescent="0.25">
      <c r="A289">
        <f t="shared" si="22"/>
        <v>1</v>
      </c>
      <c r="B289" t="str">
        <f t="shared" si="23"/>
        <v/>
      </c>
      <c r="C289">
        <f t="shared" si="25"/>
        <v>1</v>
      </c>
      <c r="D289" s="4"/>
      <c r="E289" t="s">
        <v>18</v>
      </c>
      <c r="F289" t="str">
        <f>INDEX(Establishment!B$2:B$1005,MATCH($E289,Establishment!$A$2:$A$1005,0))</f>
        <v xml:space="preserve"> </v>
      </c>
      <c r="G289" t="str">
        <f>INDEX(Establishment!C$2:C$1005,MATCH($E289,Establishment!$A$2:$A$1005,0))</f>
        <v xml:space="preserve"> </v>
      </c>
      <c r="M289">
        <f t="shared" si="26"/>
        <v>0</v>
      </c>
      <c r="N289">
        <f t="shared" si="24"/>
        <v>0</v>
      </c>
      <c r="P289" t="e">
        <f>INDEX(Items!B$2:B$1032,MATCH($O289,Items!$A$2:$A$1032,0))</f>
        <v>#N/A</v>
      </c>
      <c r="Q289" t="e">
        <f>INDEX(Items!C$2:C$1032,MATCH($O289,Items!$A$2:$A$1032,0))</f>
        <v>#N/A</v>
      </c>
      <c r="R289" t="e">
        <f>INDEX(Items!D$2:D$1032,MATCH($O289,Items!$A$2:$A$1032,0))</f>
        <v>#N/A</v>
      </c>
    </row>
    <row r="290" spans="1:18" x14ac:dyDescent="0.25">
      <c r="A290">
        <f t="shared" si="22"/>
        <v>1</v>
      </c>
      <c r="B290" t="str">
        <f t="shared" si="23"/>
        <v/>
      </c>
      <c r="C290">
        <f t="shared" si="25"/>
        <v>1</v>
      </c>
      <c r="D290" s="4"/>
      <c r="E290" t="s">
        <v>18</v>
      </c>
      <c r="F290" t="str">
        <f>INDEX(Establishment!B$2:B$1005,MATCH($E290,Establishment!$A$2:$A$1005,0))</f>
        <v xml:space="preserve"> </v>
      </c>
      <c r="G290" t="str">
        <f>INDEX(Establishment!C$2:C$1005,MATCH($E290,Establishment!$A$2:$A$1005,0))</f>
        <v xml:space="preserve"> </v>
      </c>
      <c r="M290">
        <f t="shared" si="26"/>
        <v>0</v>
      </c>
      <c r="N290">
        <f t="shared" si="24"/>
        <v>0</v>
      </c>
      <c r="P290" t="e">
        <f>INDEX(Items!B$2:B$1032,MATCH($O290,Items!$A$2:$A$1032,0))</f>
        <v>#N/A</v>
      </c>
      <c r="Q290" t="e">
        <f>INDEX(Items!C$2:C$1032,MATCH($O290,Items!$A$2:$A$1032,0))</f>
        <v>#N/A</v>
      </c>
      <c r="R290" t="e">
        <f>INDEX(Items!D$2:D$1032,MATCH($O290,Items!$A$2:$A$1032,0))</f>
        <v>#N/A</v>
      </c>
    </row>
    <row r="291" spans="1:18" x14ac:dyDescent="0.25">
      <c r="A291">
        <f t="shared" si="22"/>
        <v>1</v>
      </c>
      <c r="B291" t="str">
        <f t="shared" si="23"/>
        <v/>
      </c>
      <c r="C291">
        <f t="shared" si="25"/>
        <v>1</v>
      </c>
      <c r="D291" s="4"/>
      <c r="E291" t="s">
        <v>18</v>
      </c>
      <c r="F291" t="str">
        <f>INDEX(Establishment!B$2:B$1005,MATCH($E291,Establishment!$A$2:$A$1005,0))</f>
        <v xml:space="preserve"> </v>
      </c>
      <c r="G291" t="str">
        <f>INDEX(Establishment!C$2:C$1005,MATCH($E291,Establishment!$A$2:$A$1005,0))</f>
        <v xml:space="preserve"> </v>
      </c>
      <c r="M291">
        <f t="shared" si="26"/>
        <v>0</v>
      </c>
      <c r="N291">
        <f t="shared" si="24"/>
        <v>0</v>
      </c>
      <c r="P291" t="e">
        <f>INDEX(Items!B$2:B$1032,MATCH($O291,Items!$A$2:$A$1032,0))</f>
        <v>#N/A</v>
      </c>
      <c r="Q291" t="e">
        <f>INDEX(Items!C$2:C$1032,MATCH($O291,Items!$A$2:$A$1032,0))</f>
        <v>#N/A</v>
      </c>
      <c r="R291" t="e">
        <f>INDEX(Items!D$2:D$1032,MATCH($O291,Items!$A$2:$A$1032,0))</f>
        <v>#N/A</v>
      </c>
    </row>
    <row r="292" spans="1:18" x14ac:dyDescent="0.25">
      <c r="A292">
        <f t="shared" si="22"/>
        <v>1</v>
      </c>
      <c r="B292" t="str">
        <f t="shared" si="23"/>
        <v/>
      </c>
      <c r="C292">
        <f t="shared" si="25"/>
        <v>1</v>
      </c>
      <c r="D292" s="4"/>
      <c r="E292" t="s">
        <v>18</v>
      </c>
      <c r="F292" t="str">
        <f>INDEX(Establishment!B$2:B$1005,MATCH($E292,Establishment!$A$2:$A$1005,0))</f>
        <v xml:space="preserve"> </v>
      </c>
      <c r="G292" t="str">
        <f>INDEX(Establishment!C$2:C$1005,MATCH($E292,Establishment!$A$2:$A$1005,0))</f>
        <v xml:space="preserve"> </v>
      </c>
      <c r="M292">
        <f t="shared" si="26"/>
        <v>0</v>
      </c>
      <c r="N292">
        <f t="shared" si="24"/>
        <v>0</v>
      </c>
      <c r="P292" t="e">
        <f>INDEX(Items!B$2:B$1032,MATCH($O292,Items!$A$2:$A$1032,0))</f>
        <v>#N/A</v>
      </c>
      <c r="Q292" t="e">
        <f>INDEX(Items!C$2:C$1032,MATCH($O292,Items!$A$2:$A$1032,0))</f>
        <v>#N/A</v>
      </c>
      <c r="R292" t="e">
        <f>INDEX(Items!D$2:D$1032,MATCH($O292,Items!$A$2:$A$1032,0))</f>
        <v>#N/A</v>
      </c>
    </row>
    <row r="293" spans="1:18" x14ac:dyDescent="0.25">
      <c r="A293">
        <f t="shared" si="22"/>
        <v>1</v>
      </c>
      <c r="B293" t="str">
        <f t="shared" si="23"/>
        <v/>
      </c>
      <c r="C293">
        <f t="shared" si="25"/>
        <v>1</v>
      </c>
      <c r="D293" s="4"/>
      <c r="E293" t="s">
        <v>18</v>
      </c>
      <c r="F293" t="str">
        <f>INDEX(Establishment!B$2:B$1005,MATCH($E293,Establishment!$A$2:$A$1005,0))</f>
        <v xml:space="preserve"> </v>
      </c>
      <c r="G293" t="str">
        <f>INDEX(Establishment!C$2:C$1005,MATCH($E293,Establishment!$A$2:$A$1005,0))</f>
        <v xml:space="preserve"> </v>
      </c>
      <c r="M293">
        <f t="shared" si="26"/>
        <v>0</v>
      </c>
      <c r="N293">
        <f t="shared" si="24"/>
        <v>0</v>
      </c>
      <c r="P293" t="e">
        <f>INDEX(Items!B$2:B$1032,MATCH($O293,Items!$A$2:$A$1032,0))</f>
        <v>#N/A</v>
      </c>
      <c r="Q293" t="e">
        <f>INDEX(Items!C$2:C$1032,MATCH($O293,Items!$A$2:$A$1032,0))</f>
        <v>#N/A</v>
      </c>
      <c r="R293" t="e">
        <f>INDEX(Items!D$2:D$1032,MATCH($O293,Items!$A$2:$A$1032,0))</f>
        <v>#N/A</v>
      </c>
    </row>
    <row r="294" spans="1:18" x14ac:dyDescent="0.25">
      <c r="A294">
        <f t="shared" si="22"/>
        <v>1</v>
      </c>
      <c r="B294" t="str">
        <f t="shared" si="23"/>
        <v/>
      </c>
      <c r="C294">
        <f t="shared" si="25"/>
        <v>1</v>
      </c>
      <c r="D294" s="4"/>
      <c r="E294" t="s">
        <v>18</v>
      </c>
      <c r="F294" t="str">
        <f>INDEX(Establishment!B$2:B$1005,MATCH($E294,Establishment!$A$2:$A$1005,0))</f>
        <v xml:space="preserve"> </v>
      </c>
      <c r="G294" t="str">
        <f>INDEX(Establishment!C$2:C$1005,MATCH($E294,Establishment!$A$2:$A$1005,0))</f>
        <v xml:space="preserve"> </v>
      </c>
      <c r="M294">
        <f t="shared" si="26"/>
        <v>0</v>
      </c>
      <c r="N294">
        <f t="shared" si="24"/>
        <v>0</v>
      </c>
      <c r="P294" t="e">
        <f>INDEX(Items!B$2:B$1032,MATCH($O294,Items!$A$2:$A$1032,0))</f>
        <v>#N/A</v>
      </c>
      <c r="Q294" t="e">
        <f>INDEX(Items!C$2:C$1032,MATCH($O294,Items!$A$2:$A$1032,0))</f>
        <v>#N/A</v>
      </c>
      <c r="R294" t="e">
        <f>INDEX(Items!D$2:D$1032,MATCH($O294,Items!$A$2:$A$1032,0))</f>
        <v>#N/A</v>
      </c>
    </row>
    <row r="295" spans="1:18" x14ac:dyDescent="0.25">
      <c r="A295">
        <f t="shared" si="22"/>
        <v>1</v>
      </c>
      <c r="B295" t="str">
        <f t="shared" si="23"/>
        <v/>
      </c>
      <c r="C295">
        <f t="shared" si="25"/>
        <v>1</v>
      </c>
      <c r="D295" s="4"/>
      <c r="E295" t="s">
        <v>18</v>
      </c>
      <c r="F295" t="str">
        <f>INDEX(Establishment!B$2:B$1005,MATCH($E295,Establishment!$A$2:$A$1005,0))</f>
        <v xml:space="preserve"> </v>
      </c>
      <c r="G295" t="str">
        <f>INDEX(Establishment!C$2:C$1005,MATCH($E295,Establishment!$A$2:$A$1005,0))</f>
        <v xml:space="preserve"> </v>
      </c>
      <c r="M295">
        <f t="shared" si="26"/>
        <v>0</v>
      </c>
      <c r="N295">
        <f t="shared" si="24"/>
        <v>0</v>
      </c>
      <c r="P295" t="e">
        <f>INDEX(Items!B$2:B$1032,MATCH($O295,Items!$A$2:$A$1032,0))</f>
        <v>#N/A</v>
      </c>
      <c r="Q295" t="e">
        <f>INDEX(Items!C$2:C$1032,MATCH($O295,Items!$A$2:$A$1032,0))</f>
        <v>#N/A</v>
      </c>
      <c r="R295" t="e">
        <f>INDEX(Items!D$2:D$1032,MATCH($O295,Items!$A$2:$A$1032,0))</f>
        <v>#N/A</v>
      </c>
    </row>
    <row r="296" spans="1:18" x14ac:dyDescent="0.25">
      <c r="A296">
        <f t="shared" si="22"/>
        <v>1</v>
      </c>
      <c r="B296" t="str">
        <f t="shared" si="23"/>
        <v/>
      </c>
      <c r="C296">
        <f t="shared" si="25"/>
        <v>1</v>
      </c>
      <c r="D296" s="4"/>
      <c r="E296" t="s">
        <v>18</v>
      </c>
      <c r="F296" t="str">
        <f>INDEX(Establishment!B$2:B$1005,MATCH($E296,Establishment!$A$2:$A$1005,0))</f>
        <v xml:space="preserve"> </v>
      </c>
      <c r="G296" t="str">
        <f>INDEX(Establishment!C$2:C$1005,MATCH($E296,Establishment!$A$2:$A$1005,0))</f>
        <v xml:space="preserve"> </v>
      </c>
      <c r="M296">
        <f t="shared" si="26"/>
        <v>0</v>
      </c>
      <c r="N296">
        <f t="shared" si="24"/>
        <v>0</v>
      </c>
      <c r="P296" t="e">
        <f>INDEX(Items!B$2:B$1032,MATCH($O296,Items!$A$2:$A$1032,0))</f>
        <v>#N/A</v>
      </c>
      <c r="Q296" t="e">
        <f>INDEX(Items!C$2:C$1032,MATCH($O296,Items!$A$2:$A$1032,0))</f>
        <v>#N/A</v>
      </c>
      <c r="R296" t="e">
        <f>INDEX(Items!D$2:D$1032,MATCH($O296,Items!$A$2:$A$1032,0))</f>
        <v>#N/A</v>
      </c>
    </row>
    <row r="297" spans="1:18" x14ac:dyDescent="0.25">
      <c r="A297">
        <f t="shared" si="22"/>
        <v>1</v>
      </c>
      <c r="B297" t="str">
        <f t="shared" si="23"/>
        <v/>
      </c>
      <c r="C297">
        <f t="shared" si="25"/>
        <v>1</v>
      </c>
      <c r="D297" s="4"/>
      <c r="E297" t="s">
        <v>18</v>
      </c>
      <c r="F297" t="str">
        <f>INDEX(Establishment!B$2:B$1005,MATCH($E297,Establishment!$A$2:$A$1005,0))</f>
        <v xml:space="preserve"> </v>
      </c>
      <c r="G297" t="str">
        <f>INDEX(Establishment!C$2:C$1005,MATCH($E297,Establishment!$A$2:$A$1005,0))</f>
        <v xml:space="preserve"> </v>
      </c>
      <c r="M297">
        <f t="shared" si="26"/>
        <v>0</v>
      </c>
      <c r="N297">
        <f t="shared" si="24"/>
        <v>0</v>
      </c>
      <c r="P297" t="e">
        <f>INDEX(Items!B$2:B$1032,MATCH($O297,Items!$A$2:$A$1032,0))</f>
        <v>#N/A</v>
      </c>
      <c r="Q297" t="e">
        <f>INDEX(Items!C$2:C$1032,MATCH($O297,Items!$A$2:$A$1032,0))</f>
        <v>#N/A</v>
      </c>
      <c r="R297" t="e">
        <f>INDEX(Items!D$2:D$1032,MATCH($O297,Items!$A$2:$A$1032,0))</f>
        <v>#N/A</v>
      </c>
    </row>
    <row r="298" spans="1:18" x14ac:dyDescent="0.25">
      <c r="A298">
        <f t="shared" si="22"/>
        <v>1</v>
      </c>
      <c r="B298" t="str">
        <f t="shared" si="23"/>
        <v/>
      </c>
      <c r="C298">
        <f t="shared" si="25"/>
        <v>1</v>
      </c>
      <c r="D298" s="4"/>
      <c r="E298" t="s">
        <v>18</v>
      </c>
      <c r="F298" t="str">
        <f>INDEX(Establishment!B$2:B$1005,MATCH($E298,Establishment!$A$2:$A$1005,0))</f>
        <v xml:space="preserve"> </v>
      </c>
      <c r="G298" t="str">
        <f>INDEX(Establishment!C$2:C$1005,MATCH($E298,Establishment!$A$2:$A$1005,0))</f>
        <v xml:space="preserve"> </v>
      </c>
      <c r="M298">
        <f t="shared" si="26"/>
        <v>0</v>
      </c>
      <c r="N298">
        <f t="shared" si="24"/>
        <v>0</v>
      </c>
      <c r="P298" t="e">
        <f>INDEX(Items!B$2:B$1032,MATCH($O298,Items!$A$2:$A$1032,0))</f>
        <v>#N/A</v>
      </c>
      <c r="Q298" t="e">
        <f>INDEX(Items!C$2:C$1032,MATCH($O298,Items!$A$2:$A$1032,0))</f>
        <v>#N/A</v>
      </c>
      <c r="R298" t="e">
        <f>INDEX(Items!D$2:D$1032,MATCH($O298,Items!$A$2:$A$1032,0))</f>
        <v>#N/A</v>
      </c>
    </row>
    <row r="299" spans="1:18" x14ac:dyDescent="0.25">
      <c r="A299">
        <f t="shared" si="22"/>
        <v>1</v>
      </c>
      <c r="B299" t="str">
        <f t="shared" si="23"/>
        <v/>
      </c>
      <c r="C299">
        <f t="shared" si="25"/>
        <v>1</v>
      </c>
      <c r="D299" s="4"/>
      <c r="E299" t="s">
        <v>18</v>
      </c>
      <c r="F299" t="str">
        <f>INDEX(Establishment!B$2:B$1005,MATCH($E299,Establishment!$A$2:$A$1005,0))</f>
        <v xml:space="preserve"> </v>
      </c>
      <c r="G299" t="str">
        <f>INDEX(Establishment!C$2:C$1005,MATCH($E299,Establishment!$A$2:$A$1005,0))</f>
        <v xml:space="preserve"> </v>
      </c>
      <c r="M299">
        <f t="shared" si="26"/>
        <v>0</v>
      </c>
      <c r="N299">
        <f t="shared" si="24"/>
        <v>0</v>
      </c>
      <c r="P299" t="e">
        <f>INDEX(Items!B$2:B$1032,MATCH($O299,Items!$A$2:$A$1032,0))</f>
        <v>#N/A</v>
      </c>
      <c r="Q299" t="e">
        <f>INDEX(Items!C$2:C$1032,MATCH($O299,Items!$A$2:$A$1032,0))</f>
        <v>#N/A</v>
      </c>
      <c r="R299" t="e">
        <f>INDEX(Items!D$2:D$1032,MATCH($O299,Items!$A$2:$A$1032,0))</f>
        <v>#N/A</v>
      </c>
    </row>
    <row r="300" spans="1:18" x14ac:dyDescent="0.25">
      <c r="A300">
        <f t="shared" si="22"/>
        <v>1</v>
      </c>
      <c r="B300" t="str">
        <f t="shared" si="23"/>
        <v/>
      </c>
      <c r="C300">
        <f t="shared" si="25"/>
        <v>1</v>
      </c>
      <c r="D300" s="4"/>
      <c r="E300" t="s">
        <v>18</v>
      </c>
      <c r="F300" t="str">
        <f>INDEX(Establishment!B$2:B$1005,MATCH($E300,Establishment!$A$2:$A$1005,0))</f>
        <v xml:space="preserve"> </v>
      </c>
      <c r="G300" t="str">
        <f>INDEX(Establishment!C$2:C$1005,MATCH($E300,Establishment!$A$2:$A$1005,0))</f>
        <v xml:space="preserve"> </v>
      </c>
      <c r="M300">
        <f t="shared" si="26"/>
        <v>0</v>
      </c>
      <c r="N300">
        <f t="shared" si="24"/>
        <v>0</v>
      </c>
      <c r="P300" t="e">
        <f>INDEX(Items!B$2:B$1032,MATCH($O300,Items!$A$2:$A$1032,0))</f>
        <v>#N/A</v>
      </c>
      <c r="Q300" t="e">
        <f>INDEX(Items!C$2:C$1032,MATCH($O300,Items!$A$2:$A$1032,0))</f>
        <v>#N/A</v>
      </c>
      <c r="R300" t="e">
        <f>INDEX(Items!D$2:D$1032,MATCH($O300,Items!$A$2:$A$1032,0))</f>
        <v>#N/A</v>
      </c>
    </row>
    <row r="301" spans="1:18" x14ac:dyDescent="0.25">
      <c r="A301">
        <f t="shared" si="22"/>
        <v>1</v>
      </c>
      <c r="B301" t="str">
        <f t="shared" si="23"/>
        <v/>
      </c>
      <c r="C301">
        <f t="shared" si="25"/>
        <v>1</v>
      </c>
      <c r="D301" s="4"/>
      <c r="E301" t="s">
        <v>18</v>
      </c>
      <c r="F301" t="str">
        <f>INDEX(Establishment!B$2:B$1005,MATCH($E301,Establishment!$A$2:$A$1005,0))</f>
        <v xml:space="preserve"> </v>
      </c>
      <c r="G301" t="str">
        <f>INDEX(Establishment!C$2:C$1005,MATCH($E301,Establishment!$A$2:$A$1005,0))</f>
        <v xml:space="preserve"> </v>
      </c>
      <c r="M301">
        <f t="shared" si="26"/>
        <v>0</v>
      </c>
      <c r="N301">
        <f t="shared" si="24"/>
        <v>0</v>
      </c>
      <c r="P301" t="e">
        <f>INDEX(Items!B$2:B$1032,MATCH($O301,Items!$A$2:$A$1032,0))</f>
        <v>#N/A</v>
      </c>
      <c r="Q301" t="e">
        <f>INDEX(Items!C$2:C$1032,MATCH($O301,Items!$A$2:$A$1032,0))</f>
        <v>#N/A</v>
      </c>
      <c r="R301" t="e">
        <f>INDEX(Items!D$2:D$1032,MATCH($O301,Items!$A$2:$A$1032,0))</f>
        <v>#N/A</v>
      </c>
    </row>
    <row r="302" spans="1:18" x14ac:dyDescent="0.25">
      <c r="A302">
        <f t="shared" si="22"/>
        <v>1</v>
      </c>
      <c r="B302" t="str">
        <f t="shared" si="23"/>
        <v/>
      </c>
      <c r="C302">
        <f t="shared" si="25"/>
        <v>1</v>
      </c>
      <c r="D302" s="4"/>
      <c r="E302" t="s">
        <v>18</v>
      </c>
      <c r="F302" t="str">
        <f>INDEX(Establishment!B$2:B$1005,MATCH($E302,Establishment!$A$2:$A$1005,0))</f>
        <v xml:space="preserve"> </v>
      </c>
      <c r="G302" t="str">
        <f>INDEX(Establishment!C$2:C$1005,MATCH($E302,Establishment!$A$2:$A$1005,0))</f>
        <v xml:space="preserve"> </v>
      </c>
      <c r="M302">
        <f t="shared" si="26"/>
        <v>0</v>
      </c>
      <c r="N302">
        <f t="shared" si="24"/>
        <v>0</v>
      </c>
      <c r="P302" t="e">
        <f>INDEX(Items!B$2:B$1032,MATCH($O302,Items!$A$2:$A$1032,0))</f>
        <v>#N/A</v>
      </c>
      <c r="Q302" t="e">
        <f>INDEX(Items!C$2:C$1032,MATCH($O302,Items!$A$2:$A$1032,0))</f>
        <v>#N/A</v>
      </c>
      <c r="R302" t="e">
        <f>INDEX(Items!D$2:D$1032,MATCH($O302,Items!$A$2:$A$1032,0))</f>
        <v>#N/A</v>
      </c>
    </row>
    <row r="303" spans="1:18" x14ac:dyDescent="0.25">
      <c r="A303">
        <f t="shared" si="22"/>
        <v>1</v>
      </c>
      <c r="B303" t="str">
        <f t="shared" si="23"/>
        <v/>
      </c>
      <c r="C303">
        <f t="shared" si="25"/>
        <v>1</v>
      </c>
      <c r="D303" s="4"/>
      <c r="E303" t="s">
        <v>18</v>
      </c>
      <c r="F303" t="str">
        <f>INDEX(Establishment!B$2:B$1005,MATCH($E303,Establishment!$A$2:$A$1005,0))</f>
        <v xml:space="preserve"> </v>
      </c>
      <c r="G303" t="str">
        <f>INDEX(Establishment!C$2:C$1005,MATCH($E303,Establishment!$A$2:$A$1005,0))</f>
        <v xml:space="preserve"> </v>
      </c>
      <c r="M303">
        <f t="shared" si="26"/>
        <v>0</v>
      </c>
      <c r="N303">
        <f t="shared" si="24"/>
        <v>0</v>
      </c>
      <c r="P303" t="e">
        <f>INDEX(Items!B$2:B$1032,MATCH($O303,Items!$A$2:$A$1032,0))</f>
        <v>#N/A</v>
      </c>
      <c r="Q303" t="e">
        <f>INDEX(Items!C$2:C$1032,MATCH($O303,Items!$A$2:$A$1032,0))</f>
        <v>#N/A</v>
      </c>
      <c r="R303" t="e">
        <f>INDEX(Items!D$2:D$1032,MATCH($O303,Items!$A$2:$A$1032,0))</f>
        <v>#N/A</v>
      </c>
    </row>
    <row r="304" spans="1:18" x14ac:dyDescent="0.25">
      <c r="A304">
        <f t="shared" si="22"/>
        <v>1</v>
      </c>
      <c r="B304" t="str">
        <f t="shared" si="23"/>
        <v/>
      </c>
      <c r="C304">
        <f t="shared" si="25"/>
        <v>1</v>
      </c>
      <c r="D304" s="4"/>
      <c r="E304" t="s">
        <v>18</v>
      </c>
      <c r="F304" t="str">
        <f>INDEX(Establishment!B$2:B$1005,MATCH($E304,Establishment!$A$2:$A$1005,0))</f>
        <v xml:space="preserve"> </v>
      </c>
      <c r="G304" t="str">
        <f>INDEX(Establishment!C$2:C$1005,MATCH($E304,Establishment!$A$2:$A$1005,0))</f>
        <v xml:space="preserve"> </v>
      </c>
      <c r="M304">
        <f t="shared" si="26"/>
        <v>0</v>
      </c>
      <c r="N304">
        <f t="shared" si="24"/>
        <v>0</v>
      </c>
      <c r="P304" t="e">
        <f>INDEX(Items!B$2:B$1032,MATCH($O304,Items!$A$2:$A$1032,0))</f>
        <v>#N/A</v>
      </c>
      <c r="Q304" t="e">
        <f>INDEX(Items!C$2:C$1032,MATCH($O304,Items!$A$2:$A$1032,0))</f>
        <v>#N/A</v>
      </c>
      <c r="R304" t="e">
        <f>INDEX(Items!D$2:D$1032,MATCH($O304,Items!$A$2:$A$1032,0))</f>
        <v>#N/A</v>
      </c>
    </row>
    <row r="305" spans="1:18" x14ac:dyDescent="0.25">
      <c r="A305">
        <f t="shared" si="22"/>
        <v>1</v>
      </c>
      <c r="B305" t="str">
        <f t="shared" si="23"/>
        <v/>
      </c>
      <c r="C305">
        <f t="shared" si="25"/>
        <v>1</v>
      </c>
      <c r="D305" s="4"/>
      <c r="E305" t="s">
        <v>18</v>
      </c>
      <c r="F305" t="str">
        <f>INDEX(Establishment!B$2:B$1005,MATCH($E305,Establishment!$A$2:$A$1005,0))</f>
        <v xml:space="preserve"> </v>
      </c>
      <c r="G305" t="str">
        <f>INDEX(Establishment!C$2:C$1005,MATCH($E305,Establishment!$A$2:$A$1005,0))</f>
        <v xml:space="preserve"> </v>
      </c>
      <c r="M305">
        <f t="shared" si="26"/>
        <v>0</v>
      </c>
      <c r="N305">
        <f t="shared" si="24"/>
        <v>0</v>
      </c>
      <c r="P305" t="e">
        <f>INDEX(Items!B$2:B$1032,MATCH($O305,Items!$A$2:$A$1032,0))</f>
        <v>#N/A</v>
      </c>
      <c r="Q305" t="e">
        <f>INDEX(Items!C$2:C$1032,MATCH($O305,Items!$A$2:$A$1032,0))</f>
        <v>#N/A</v>
      </c>
      <c r="R305" t="e">
        <f>INDEX(Items!D$2:D$1032,MATCH($O305,Items!$A$2:$A$1032,0))</f>
        <v>#N/A</v>
      </c>
    </row>
    <row r="306" spans="1:18" x14ac:dyDescent="0.25">
      <c r="A306">
        <f t="shared" si="22"/>
        <v>1</v>
      </c>
      <c r="B306" t="str">
        <f t="shared" si="23"/>
        <v/>
      </c>
      <c r="C306">
        <f t="shared" si="25"/>
        <v>1</v>
      </c>
      <c r="D306" s="4"/>
      <c r="E306" t="s">
        <v>18</v>
      </c>
      <c r="F306" t="str">
        <f>INDEX(Establishment!B$2:B$1005,MATCH($E306,Establishment!$A$2:$A$1005,0))</f>
        <v xml:space="preserve"> </v>
      </c>
      <c r="G306" t="str">
        <f>INDEX(Establishment!C$2:C$1005,MATCH($E306,Establishment!$A$2:$A$1005,0))</f>
        <v xml:space="preserve"> </v>
      </c>
      <c r="M306">
        <f t="shared" si="26"/>
        <v>0</v>
      </c>
      <c r="N306">
        <f t="shared" si="24"/>
        <v>0</v>
      </c>
      <c r="P306" t="e">
        <f>INDEX(Items!B$2:B$1032,MATCH($O306,Items!$A$2:$A$1032,0))</f>
        <v>#N/A</v>
      </c>
      <c r="Q306" t="e">
        <f>INDEX(Items!C$2:C$1032,MATCH($O306,Items!$A$2:$A$1032,0))</f>
        <v>#N/A</v>
      </c>
      <c r="R306" t="e">
        <f>INDEX(Items!D$2:D$1032,MATCH($O306,Items!$A$2:$A$1032,0))</f>
        <v>#N/A</v>
      </c>
    </row>
    <row r="307" spans="1:18" x14ac:dyDescent="0.25">
      <c r="A307">
        <f t="shared" si="22"/>
        <v>1</v>
      </c>
      <c r="B307" t="str">
        <f t="shared" si="23"/>
        <v/>
      </c>
      <c r="C307">
        <f t="shared" si="25"/>
        <v>1</v>
      </c>
      <c r="D307" s="4"/>
      <c r="E307" t="s">
        <v>18</v>
      </c>
      <c r="F307" t="str">
        <f>INDEX(Establishment!B$2:B$1005,MATCH($E307,Establishment!$A$2:$A$1005,0))</f>
        <v xml:space="preserve"> </v>
      </c>
      <c r="G307" t="str">
        <f>INDEX(Establishment!C$2:C$1005,MATCH($E307,Establishment!$A$2:$A$1005,0))</f>
        <v xml:space="preserve"> </v>
      </c>
      <c r="M307">
        <f t="shared" si="26"/>
        <v>0</v>
      </c>
      <c r="N307">
        <f t="shared" si="24"/>
        <v>0</v>
      </c>
      <c r="P307" t="e">
        <f>INDEX(Items!B$2:B$1032,MATCH($O307,Items!$A$2:$A$1032,0))</f>
        <v>#N/A</v>
      </c>
      <c r="Q307" t="e">
        <f>INDEX(Items!C$2:C$1032,MATCH($O307,Items!$A$2:$A$1032,0))</f>
        <v>#N/A</v>
      </c>
      <c r="R307" t="e">
        <f>INDEX(Items!D$2:D$1032,MATCH($O307,Items!$A$2:$A$1032,0))</f>
        <v>#N/A</v>
      </c>
    </row>
    <row r="308" spans="1:18" x14ac:dyDescent="0.25">
      <c r="A308">
        <f t="shared" si="22"/>
        <v>1</v>
      </c>
      <c r="B308" t="str">
        <f t="shared" si="23"/>
        <v/>
      </c>
      <c r="C308">
        <f t="shared" si="25"/>
        <v>1</v>
      </c>
      <c r="D308" s="4"/>
      <c r="E308" t="s">
        <v>18</v>
      </c>
      <c r="F308" t="str">
        <f>INDEX(Establishment!B$2:B$1005,MATCH($E308,Establishment!$A$2:$A$1005,0))</f>
        <v xml:space="preserve"> </v>
      </c>
      <c r="G308" t="str">
        <f>INDEX(Establishment!C$2:C$1005,MATCH($E308,Establishment!$A$2:$A$1005,0))</f>
        <v xml:space="preserve"> </v>
      </c>
      <c r="M308">
        <f t="shared" si="26"/>
        <v>0</v>
      </c>
      <c r="N308">
        <f t="shared" si="24"/>
        <v>0</v>
      </c>
      <c r="P308" t="e">
        <f>INDEX(Items!B$2:B$1032,MATCH($O308,Items!$A$2:$A$1032,0))</f>
        <v>#N/A</v>
      </c>
      <c r="Q308" t="e">
        <f>INDEX(Items!C$2:C$1032,MATCH($O308,Items!$A$2:$A$1032,0))</f>
        <v>#N/A</v>
      </c>
      <c r="R308" t="e">
        <f>INDEX(Items!D$2:D$1032,MATCH($O308,Items!$A$2:$A$1032,0))</f>
        <v>#N/A</v>
      </c>
    </row>
    <row r="309" spans="1:18" x14ac:dyDescent="0.25">
      <c r="A309">
        <f t="shared" si="22"/>
        <v>1</v>
      </c>
      <c r="B309" t="str">
        <f t="shared" si="23"/>
        <v/>
      </c>
      <c r="C309">
        <f t="shared" si="25"/>
        <v>1</v>
      </c>
      <c r="D309" s="4"/>
      <c r="E309" t="s">
        <v>18</v>
      </c>
      <c r="F309" t="str">
        <f>INDEX(Establishment!B$2:B$1005,MATCH($E309,Establishment!$A$2:$A$1005,0))</f>
        <v xml:space="preserve"> </v>
      </c>
      <c r="G309" t="str">
        <f>INDEX(Establishment!C$2:C$1005,MATCH($E309,Establishment!$A$2:$A$1005,0))</f>
        <v xml:space="preserve"> </v>
      </c>
      <c r="M309">
        <f t="shared" si="26"/>
        <v>0</v>
      </c>
      <c r="N309">
        <f t="shared" si="24"/>
        <v>0</v>
      </c>
      <c r="P309" t="e">
        <f>INDEX(Items!B$2:B$1032,MATCH($O309,Items!$A$2:$A$1032,0))</f>
        <v>#N/A</v>
      </c>
      <c r="Q309" t="e">
        <f>INDEX(Items!C$2:C$1032,MATCH($O309,Items!$A$2:$A$1032,0))</f>
        <v>#N/A</v>
      </c>
      <c r="R309" t="e">
        <f>INDEX(Items!D$2:D$1032,MATCH($O309,Items!$A$2:$A$1032,0))</f>
        <v>#N/A</v>
      </c>
    </row>
    <row r="310" spans="1:18" x14ac:dyDescent="0.25">
      <c r="A310">
        <f t="shared" si="22"/>
        <v>1</v>
      </c>
      <c r="B310" t="str">
        <f t="shared" si="23"/>
        <v/>
      </c>
      <c r="C310">
        <f t="shared" si="25"/>
        <v>1</v>
      </c>
      <c r="D310" s="4"/>
      <c r="E310" t="s">
        <v>18</v>
      </c>
      <c r="F310" t="str">
        <f>INDEX(Establishment!B$2:B$1005,MATCH($E310,Establishment!$A$2:$A$1005,0))</f>
        <v xml:space="preserve"> </v>
      </c>
      <c r="G310" t="str">
        <f>INDEX(Establishment!C$2:C$1005,MATCH($E310,Establishment!$A$2:$A$1005,0))</f>
        <v xml:space="preserve"> </v>
      </c>
      <c r="M310">
        <f t="shared" si="26"/>
        <v>0</v>
      </c>
      <c r="N310">
        <f t="shared" si="24"/>
        <v>0</v>
      </c>
      <c r="P310" t="e">
        <f>INDEX(Items!B$2:B$1032,MATCH($O310,Items!$A$2:$A$1032,0))</f>
        <v>#N/A</v>
      </c>
      <c r="Q310" t="e">
        <f>INDEX(Items!C$2:C$1032,MATCH($O310,Items!$A$2:$A$1032,0))</f>
        <v>#N/A</v>
      </c>
      <c r="R310" t="e">
        <f>INDEX(Items!D$2:D$1032,MATCH($O310,Items!$A$2:$A$1032,0))</f>
        <v>#N/A</v>
      </c>
    </row>
    <row r="311" spans="1:18" x14ac:dyDescent="0.25">
      <c r="A311">
        <f t="shared" si="22"/>
        <v>1</v>
      </c>
      <c r="B311" t="str">
        <f t="shared" si="23"/>
        <v/>
      </c>
      <c r="C311">
        <f t="shared" si="25"/>
        <v>1</v>
      </c>
      <c r="D311" s="4"/>
      <c r="E311" t="s">
        <v>18</v>
      </c>
      <c r="F311" t="str">
        <f>INDEX(Establishment!B$2:B$1005,MATCH($E311,Establishment!$A$2:$A$1005,0))</f>
        <v xml:space="preserve"> </v>
      </c>
      <c r="G311" t="str">
        <f>INDEX(Establishment!C$2:C$1005,MATCH($E311,Establishment!$A$2:$A$1005,0))</f>
        <v xml:space="preserve"> </v>
      </c>
      <c r="M311">
        <f t="shared" si="26"/>
        <v>0</v>
      </c>
      <c r="N311">
        <f t="shared" si="24"/>
        <v>0</v>
      </c>
      <c r="P311" t="e">
        <f>INDEX(Items!B$2:B$1032,MATCH($O311,Items!$A$2:$A$1032,0))</f>
        <v>#N/A</v>
      </c>
      <c r="Q311" t="e">
        <f>INDEX(Items!C$2:C$1032,MATCH($O311,Items!$A$2:$A$1032,0))</f>
        <v>#N/A</v>
      </c>
      <c r="R311" t="e">
        <f>INDEX(Items!D$2:D$1032,MATCH($O311,Items!$A$2:$A$1032,0))</f>
        <v>#N/A</v>
      </c>
    </row>
    <row r="312" spans="1:18" x14ac:dyDescent="0.25">
      <c r="A312">
        <f t="shared" si="22"/>
        <v>1</v>
      </c>
      <c r="B312" t="str">
        <f t="shared" si="23"/>
        <v/>
      </c>
      <c r="C312">
        <f t="shared" si="25"/>
        <v>1</v>
      </c>
      <c r="D312" s="4"/>
      <c r="E312" t="s">
        <v>18</v>
      </c>
      <c r="F312" t="str">
        <f>INDEX(Establishment!B$2:B$1005,MATCH($E312,Establishment!$A$2:$A$1005,0))</f>
        <v xml:space="preserve"> </v>
      </c>
      <c r="G312" t="str">
        <f>INDEX(Establishment!C$2:C$1005,MATCH($E312,Establishment!$A$2:$A$1005,0))</f>
        <v xml:space="preserve"> </v>
      </c>
      <c r="M312">
        <f t="shared" si="26"/>
        <v>0</v>
      </c>
      <c r="N312">
        <f t="shared" si="24"/>
        <v>0</v>
      </c>
      <c r="P312" t="e">
        <f>INDEX(Items!B$2:B$1032,MATCH($O312,Items!$A$2:$A$1032,0))</f>
        <v>#N/A</v>
      </c>
      <c r="Q312" t="e">
        <f>INDEX(Items!C$2:C$1032,MATCH($O312,Items!$A$2:$A$1032,0))</f>
        <v>#N/A</v>
      </c>
      <c r="R312" t="e">
        <f>INDEX(Items!D$2:D$1032,MATCH($O312,Items!$A$2:$A$1032,0))</f>
        <v>#N/A</v>
      </c>
    </row>
    <row r="313" spans="1:18" x14ac:dyDescent="0.25">
      <c r="A313">
        <f t="shared" si="22"/>
        <v>1</v>
      </c>
      <c r="B313" t="str">
        <f t="shared" si="23"/>
        <v/>
      </c>
      <c r="C313">
        <f t="shared" si="25"/>
        <v>1</v>
      </c>
      <c r="D313" s="4"/>
      <c r="E313" t="s">
        <v>18</v>
      </c>
      <c r="F313" t="str">
        <f>INDEX(Establishment!B$2:B$1005,MATCH($E313,Establishment!$A$2:$A$1005,0))</f>
        <v xml:space="preserve"> </v>
      </c>
      <c r="G313" t="str">
        <f>INDEX(Establishment!C$2:C$1005,MATCH($E313,Establishment!$A$2:$A$1005,0))</f>
        <v xml:space="preserve"> </v>
      </c>
      <c r="M313">
        <f t="shared" si="26"/>
        <v>0</v>
      </c>
      <c r="N313">
        <f t="shared" si="24"/>
        <v>0</v>
      </c>
      <c r="P313" t="e">
        <f>INDEX(Items!B$2:B$1032,MATCH($O313,Items!$A$2:$A$1032,0))</f>
        <v>#N/A</v>
      </c>
      <c r="Q313" t="e">
        <f>INDEX(Items!C$2:C$1032,MATCH($O313,Items!$A$2:$A$1032,0))</f>
        <v>#N/A</v>
      </c>
      <c r="R313" t="e">
        <f>INDEX(Items!D$2:D$1032,MATCH($O313,Items!$A$2:$A$1032,0))</f>
        <v>#N/A</v>
      </c>
    </row>
    <row r="314" spans="1:18" x14ac:dyDescent="0.25">
      <c r="A314">
        <f t="shared" si="22"/>
        <v>1</v>
      </c>
      <c r="B314" t="str">
        <f t="shared" si="23"/>
        <v/>
      </c>
      <c r="C314">
        <f t="shared" si="25"/>
        <v>1</v>
      </c>
      <c r="D314" s="4"/>
      <c r="E314" t="s">
        <v>18</v>
      </c>
      <c r="F314" t="str">
        <f>INDEX(Establishment!B$2:B$1005,MATCH($E314,Establishment!$A$2:$A$1005,0))</f>
        <v xml:space="preserve"> </v>
      </c>
      <c r="G314" t="str">
        <f>INDEX(Establishment!C$2:C$1005,MATCH($E314,Establishment!$A$2:$A$1005,0))</f>
        <v xml:space="preserve"> </v>
      </c>
      <c r="M314">
        <f t="shared" si="26"/>
        <v>0</v>
      </c>
      <c r="N314">
        <f t="shared" si="24"/>
        <v>0</v>
      </c>
      <c r="P314" t="e">
        <f>INDEX(Items!B$2:B$1032,MATCH($O314,Items!$A$2:$A$1032,0))</f>
        <v>#N/A</v>
      </c>
      <c r="Q314" t="e">
        <f>INDEX(Items!C$2:C$1032,MATCH($O314,Items!$A$2:$A$1032,0))</f>
        <v>#N/A</v>
      </c>
      <c r="R314" t="e">
        <f>INDEX(Items!D$2:D$1032,MATCH($O314,Items!$A$2:$A$1032,0))</f>
        <v>#N/A</v>
      </c>
    </row>
    <row r="315" spans="1:18" x14ac:dyDescent="0.25">
      <c r="A315">
        <f t="shared" si="22"/>
        <v>1</v>
      </c>
      <c r="B315" t="str">
        <f t="shared" si="23"/>
        <v/>
      </c>
      <c r="C315">
        <f t="shared" si="25"/>
        <v>1</v>
      </c>
      <c r="D315" s="4"/>
      <c r="E315" t="s">
        <v>18</v>
      </c>
      <c r="F315" t="str">
        <f>INDEX(Establishment!B$2:B$1005,MATCH($E315,Establishment!$A$2:$A$1005,0))</f>
        <v xml:space="preserve"> </v>
      </c>
      <c r="G315" t="str">
        <f>INDEX(Establishment!C$2:C$1005,MATCH($E315,Establishment!$A$2:$A$1005,0))</f>
        <v xml:space="preserve"> </v>
      </c>
      <c r="M315">
        <f t="shared" si="26"/>
        <v>0</v>
      </c>
      <c r="N315">
        <f t="shared" si="24"/>
        <v>0</v>
      </c>
      <c r="P315" t="e">
        <f>INDEX(Items!B$2:B$1032,MATCH($O315,Items!$A$2:$A$1032,0))</f>
        <v>#N/A</v>
      </c>
      <c r="Q315" t="e">
        <f>INDEX(Items!C$2:C$1032,MATCH($O315,Items!$A$2:$A$1032,0))</f>
        <v>#N/A</v>
      </c>
      <c r="R315" t="e">
        <f>INDEX(Items!D$2:D$1032,MATCH($O315,Items!$A$2:$A$1032,0))</f>
        <v>#N/A</v>
      </c>
    </row>
    <row r="316" spans="1:18" x14ac:dyDescent="0.25">
      <c r="A316">
        <f t="shared" si="22"/>
        <v>1</v>
      </c>
      <c r="B316" t="str">
        <f t="shared" si="23"/>
        <v/>
      </c>
      <c r="C316">
        <f t="shared" si="25"/>
        <v>1</v>
      </c>
      <c r="D316" s="4"/>
      <c r="E316" t="s">
        <v>18</v>
      </c>
      <c r="F316" t="str">
        <f>INDEX(Establishment!B$2:B$1005,MATCH($E316,Establishment!$A$2:$A$1005,0))</f>
        <v xml:space="preserve"> </v>
      </c>
      <c r="G316" t="str">
        <f>INDEX(Establishment!C$2:C$1005,MATCH($E316,Establishment!$A$2:$A$1005,0))</f>
        <v xml:space="preserve"> </v>
      </c>
      <c r="M316">
        <f t="shared" si="26"/>
        <v>0</v>
      </c>
      <c r="N316">
        <f t="shared" si="24"/>
        <v>0</v>
      </c>
      <c r="P316" t="e">
        <f>INDEX(Items!B$2:B$1032,MATCH($O316,Items!$A$2:$A$1032,0))</f>
        <v>#N/A</v>
      </c>
      <c r="Q316" t="e">
        <f>INDEX(Items!C$2:C$1032,MATCH($O316,Items!$A$2:$A$1032,0))</f>
        <v>#N/A</v>
      </c>
      <c r="R316" t="e">
        <f>INDEX(Items!D$2:D$1032,MATCH($O316,Items!$A$2:$A$1032,0))</f>
        <v>#N/A</v>
      </c>
    </row>
    <row r="317" spans="1:18" x14ac:dyDescent="0.25">
      <c r="A317">
        <f t="shared" si="22"/>
        <v>1</v>
      </c>
      <c r="B317" t="str">
        <f t="shared" si="23"/>
        <v/>
      </c>
      <c r="C317">
        <f t="shared" si="25"/>
        <v>1</v>
      </c>
      <c r="D317" s="4"/>
      <c r="E317" t="s">
        <v>18</v>
      </c>
      <c r="F317" t="str">
        <f>INDEX(Establishment!B$2:B$1005,MATCH($E317,Establishment!$A$2:$A$1005,0))</f>
        <v xml:space="preserve"> </v>
      </c>
      <c r="G317" t="str">
        <f>INDEX(Establishment!C$2:C$1005,MATCH($E317,Establishment!$A$2:$A$1005,0))</f>
        <v xml:space="preserve"> </v>
      </c>
      <c r="M317">
        <f t="shared" si="26"/>
        <v>0</v>
      </c>
      <c r="N317">
        <f t="shared" si="24"/>
        <v>0</v>
      </c>
      <c r="P317" t="e">
        <f>INDEX(Items!B$2:B$1032,MATCH($O317,Items!$A$2:$A$1032,0))</f>
        <v>#N/A</v>
      </c>
      <c r="Q317" t="e">
        <f>INDEX(Items!C$2:C$1032,MATCH($O317,Items!$A$2:$A$1032,0))</f>
        <v>#N/A</v>
      </c>
      <c r="R317" t="e">
        <f>INDEX(Items!D$2:D$1032,MATCH($O317,Items!$A$2:$A$1032,0))</f>
        <v>#N/A</v>
      </c>
    </row>
    <row r="318" spans="1:18" x14ac:dyDescent="0.25">
      <c r="A318">
        <f t="shared" si="22"/>
        <v>1</v>
      </c>
      <c r="B318" t="str">
        <f t="shared" si="23"/>
        <v/>
      </c>
      <c r="C318">
        <f t="shared" si="25"/>
        <v>1</v>
      </c>
      <c r="D318" s="4"/>
      <c r="E318" t="s">
        <v>18</v>
      </c>
      <c r="F318" t="str">
        <f>INDEX(Establishment!B$2:B$1005,MATCH($E318,Establishment!$A$2:$A$1005,0))</f>
        <v xml:space="preserve"> </v>
      </c>
      <c r="G318" t="str">
        <f>INDEX(Establishment!C$2:C$1005,MATCH($E318,Establishment!$A$2:$A$1005,0))</f>
        <v xml:space="preserve"> </v>
      </c>
      <c r="M318">
        <f t="shared" si="26"/>
        <v>0</v>
      </c>
      <c r="N318">
        <f t="shared" si="24"/>
        <v>0</v>
      </c>
      <c r="P318" t="e">
        <f>INDEX(Items!B$2:B$1032,MATCH($O318,Items!$A$2:$A$1032,0))</f>
        <v>#N/A</v>
      </c>
      <c r="Q318" t="e">
        <f>INDEX(Items!C$2:C$1032,MATCH($O318,Items!$A$2:$A$1032,0))</f>
        <v>#N/A</v>
      </c>
      <c r="R318" t="e">
        <f>INDEX(Items!D$2:D$1032,MATCH($O318,Items!$A$2:$A$1032,0))</f>
        <v>#N/A</v>
      </c>
    </row>
    <row r="319" spans="1:18" x14ac:dyDescent="0.25">
      <c r="A319">
        <f t="shared" si="22"/>
        <v>1</v>
      </c>
      <c r="B319" t="str">
        <f t="shared" si="23"/>
        <v/>
      </c>
      <c r="C319">
        <f t="shared" si="25"/>
        <v>1</v>
      </c>
      <c r="D319" s="4"/>
      <c r="E319" t="s">
        <v>18</v>
      </c>
      <c r="F319" t="str">
        <f>INDEX(Establishment!B$2:B$1005,MATCH($E319,Establishment!$A$2:$A$1005,0))</f>
        <v xml:space="preserve"> </v>
      </c>
      <c r="G319" t="str">
        <f>INDEX(Establishment!C$2:C$1005,MATCH($E319,Establishment!$A$2:$A$1005,0))</f>
        <v xml:space="preserve"> </v>
      </c>
      <c r="M319">
        <f t="shared" si="26"/>
        <v>0</v>
      </c>
      <c r="N319">
        <f t="shared" si="24"/>
        <v>0</v>
      </c>
      <c r="P319" t="e">
        <f>INDEX(Items!B$2:B$1032,MATCH($O319,Items!$A$2:$A$1032,0))</f>
        <v>#N/A</v>
      </c>
      <c r="Q319" t="e">
        <f>INDEX(Items!C$2:C$1032,MATCH($O319,Items!$A$2:$A$1032,0))</f>
        <v>#N/A</v>
      </c>
      <c r="R319" t="e">
        <f>INDEX(Items!D$2:D$1032,MATCH($O319,Items!$A$2:$A$1032,0))</f>
        <v>#N/A</v>
      </c>
    </row>
    <row r="320" spans="1:18" x14ac:dyDescent="0.25">
      <c r="A320">
        <f t="shared" si="22"/>
        <v>1</v>
      </c>
      <c r="B320" t="str">
        <f t="shared" si="23"/>
        <v/>
      </c>
      <c r="C320">
        <f t="shared" si="25"/>
        <v>1</v>
      </c>
      <c r="D320" s="4"/>
      <c r="E320" t="s">
        <v>18</v>
      </c>
      <c r="F320" t="str">
        <f>INDEX(Establishment!B$2:B$1005,MATCH($E320,Establishment!$A$2:$A$1005,0))</f>
        <v xml:space="preserve"> </v>
      </c>
      <c r="G320" t="str">
        <f>INDEX(Establishment!C$2:C$1005,MATCH($E320,Establishment!$A$2:$A$1005,0))</f>
        <v xml:space="preserve"> </v>
      </c>
      <c r="M320">
        <f t="shared" si="26"/>
        <v>0</v>
      </c>
      <c r="N320">
        <f t="shared" si="24"/>
        <v>0</v>
      </c>
      <c r="P320" t="e">
        <f>INDEX(Items!B$2:B$1032,MATCH($O320,Items!$A$2:$A$1032,0))</f>
        <v>#N/A</v>
      </c>
      <c r="Q320" t="e">
        <f>INDEX(Items!C$2:C$1032,MATCH($O320,Items!$A$2:$A$1032,0))</f>
        <v>#N/A</v>
      </c>
      <c r="R320" t="e">
        <f>INDEX(Items!D$2:D$1032,MATCH($O320,Items!$A$2:$A$1032,0))</f>
        <v>#N/A</v>
      </c>
    </row>
    <row r="321" spans="1:18" x14ac:dyDescent="0.25">
      <c r="A321">
        <f t="shared" si="22"/>
        <v>1</v>
      </c>
      <c r="B321" t="str">
        <f t="shared" si="23"/>
        <v/>
      </c>
      <c r="C321">
        <f t="shared" si="25"/>
        <v>1</v>
      </c>
      <c r="D321" s="4"/>
      <c r="E321" t="s">
        <v>18</v>
      </c>
      <c r="F321" t="str">
        <f>INDEX(Establishment!B$2:B$1005,MATCH($E321,Establishment!$A$2:$A$1005,0))</f>
        <v xml:space="preserve"> </v>
      </c>
      <c r="G321" t="str">
        <f>INDEX(Establishment!C$2:C$1005,MATCH($E321,Establishment!$A$2:$A$1005,0))</f>
        <v xml:space="preserve"> </v>
      </c>
      <c r="M321">
        <f t="shared" si="26"/>
        <v>0</v>
      </c>
      <c r="N321">
        <f t="shared" si="24"/>
        <v>0</v>
      </c>
      <c r="P321" t="e">
        <f>INDEX(Items!B$2:B$1032,MATCH($O321,Items!$A$2:$A$1032,0))</f>
        <v>#N/A</v>
      </c>
      <c r="Q321" t="e">
        <f>INDEX(Items!C$2:C$1032,MATCH($O321,Items!$A$2:$A$1032,0))</f>
        <v>#N/A</v>
      </c>
      <c r="R321" t="e">
        <f>INDEX(Items!D$2:D$1032,MATCH($O321,Items!$A$2:$A$1032,0))</f>
        <v>#N/A</v>
      </c>
    </row>
    <row r="322" spans="1:18" x14ac:dyDescent="0.25">
      <c r="A322">
        <f t="shared" ref="A322:A385" si="27">IF(OR(D322&lt;&gt;D321,D322=""),1,IF(NOT(AND(E322=E321,F322=F321,G322=G321)),A321+1,IF(OR(H322="",AND(H322&lt;&gt;"",H322&lt;&gt;H321,H321&lt;&gt;"")),A321,A321+1)))</f>
        <v>1</v>
      </c>
      <c r="B322" t="str">
        <f t="shared" ref="B322:B385" si="28">IF(D322&lt;&gt;"",TEXT(D322,"YYYYMMDD")&amp;CHAR(64+A322),"")</f>
        <v/>
      </c>
      <c r="C322">
        <f t="shared" si="25"/>
        <v>1</v>
      </c>
      <c r="D322" s="4"/>
      <c r="E322" t="s">
        <v>18</v>
      </c>
      <c r="F322" t="str">
        <f>INDEX(Establishment!B$2:B$1005,MATCH($E322,Establishment!$A$2:$A$1005,0))</f>
        <v xml:space="preserve"> </v>
      </c>
      <c r="G322" t="str">
        <f>INDEX(Establishment!C$2:C$1005,MATCH($E322,Establishment!$A$2:$A$1005,0))</f>
        <v xml:space="preserve"> </v>
      </c>
      <c r="M322">
        <f t="shared" si="26"/>
        <v>0</v>
      </c>
      <c r="N322">
        <f t="shared" si="24"/>
        <v>0</v>
      </c>
      <c r="P322" t="e">
        <f>INDEX(Items!B$2:B$1032,MATCH($O322,Items!$A$2:$A$1032,0))</f>
        <v>#N/A</v>
      </c>
      <c r="Q322" t="e">
        <f>INDEX(Items!C$2:C$1032,MATCH($O322,Items!$A$2:$A$1032,0))</f>
        <v>#N/A</v>
      </c>
      <c r="R322" t="e">
        <f>INDEX(Items!D$2:D$1032,MATCH($O322,Items!$A$2:$A$1032,0))</f>
        <v>#N/A</v>
      </c>
    </row>
    <row r="323" spans="1:18" x14ac:dyDescent="0.25">
      <c r="A323">
        <f t="shared" si="27"/>
        <v>1</v>
      </c>
      <c r="B323" t="str">
        <f t="shared" si="28"/>
        <v/>
      </c>
      <c r="C323">
        <f t="shared" si="25"/>
        <v>1</v>
      </c>
      <c r="D323" s="4"/>
      <c r="E323" t="s">
        <v>18</v>
      </c>
      <c r="F323" t="str">
        <f>INDEX(Establishment!B$2:B$1005,MATCH($E323,Establishment!$A$2:$A$1005,0))</f>
        <v xml:space="preserve"> </v>
      </c>
      <c r="G323" t="str">
        <f>INDEX(Establishment!C$2:C$1005,MATCH($E323,Establishment!$A$2:$A$1005,0))</f>
        <v xml:space="preserve"> </v>
      </c>
      <c r="M323">
        <f t="shared" si="26"/>
        <v>0</v>
      </c>
      <c r="N323">
        <f t="shared" ref="N323:N386" si="29">IF(B323=B322,N322+M323,M323)</f>
        <v>0</v>
      </c>
      <c r="P323" t="e">
        <f>INDEX(Items!B$2:B$1032,MATCH($O323,Items!$A$2:$A$1032,0))</f>
        <v>#N/A</v>
      </c>
      <c r="Q323" t="e">
        <f>INDEX(Items!C$2:C$1032,MATCH($O323,Items!$A$2:$A$1032,0))</f>
        <v>#N/A</v>
      </c>
      <c r="R323" t="e">
        <f>INDEX(Items!D$2:D$1032,MATCH($O323,Items!$A$2:$A$1032,0))</f>
        <v>#N/A</v>
      </c>
    </row>
    <row r="324" spans="1:18" x14ac:dyDescent="0.25">
      <c r="A324">
        <f t="shared" si="27"/>
        <v>1</v>
      </c>
      <c r="B324" t="str">
        <f t="shared" si="28"/>
        <v/>
      </c>
      <c r="C324">
        <f t="shared" si="25"/>
        <v>1</v>
      </c>
      <c r="D324" s="4"/>
      <c r="E324" t="s">
        <v>18</v>
      </c>
      <c r="F324" t="str">
        <f>INDEX(Establishment!B$2:B$1005,MATCH($E324,Establishment!$A$2:$A$1005,0))</f>
        <v xml:space="preserve"> </v>
      </c>
      <c r="G324" t="str">
        <f>INDEX(Establishment!C$2:C$1005,MATCH($E324,Establishment!$A$2:$A$1005,0))</f>
        <v xml:space="preserve"> </v>
      </c>
      <c r="M324">
        <f t="shared" si="26"/>
        <v>0</v>
      </c>
      <c r="N324">
        <f t="shared" si="29"/>
        <v>0</v>
      </c>
      <c r="P324" t="e">
        <f>INDEX(Items!B$2:B$1032,MATCH($O324,Items!$A$2:$A$1032,0))</f>
        <v>#N/A</v>
      </c>
      <c r="Q324" t="e">
        <f>INDEX(Items!C$2:C$1032,MATCH($O324,Items!$A$2:$A$1032,0))</f>
        <v>#N/A</v>
      </c>
      <c r="R324" t="e">
        <f>INDEX(Items!D$2:D$1032,MATCH($O324,Items!$A$2:$A$1032,0))</f>
        <v>#N/A</v>
      </c>
    </row>
    <row r="325" spans="1:18" x14ac:dyDescent="0.25">
      <c r="A325">
        <f t="shared" si="27"/>
        <v>1</v>
      </c>
      <c r="B325" t="str">
        <f t="shared" si="28"/>
        <v/>
      </c>
      <c r="C325">
        <f t="shared" si="25"/>
        <v>1</v>
      </c>
      <c r="D325" s="4"/>
      <c r="E325" t="s">
        <v>18</v>
      </c>
      <c r="F325" t="str">
        <f>INDEX(Establishment!B$2:B$1005,MATCH($E325,Establishment!$A$2:$A$1005,0))</f>
        <v xml:space="preserve"> </v>
      </c>
      <c r="G325" t="str">
        <f>INDEX(Establishment!C$2:C$1005,MATCH($E325,Establishment!$A$2:$A$1005,0))</f>
        <v xml:space="preserve"> </v>
      </c>
      <c r="M325">
        <f t="shared" si="26"/>
        <v>0</v>
      </c>
      <c r="N325">
        <f t="shared" si="29"/>
        <v>0</v>
      </c>
      <c r="P325" t="e">
        <f>INDEX(Items!B$2:B$1032,MATCH($O325,Items!$A$2:$A$1032,0))</f>
        <v>#N/A</v>
      </c>
      <c r="Q325" t="e">
        <f>INDEX(Items!C$2:C$1032,MATCH($O325,Items!$A$2:$A$1032,0))</f>
        <v>#N/A</v>
      </c>
      <c r="R325" t="e">
        <f>INDEX(Items!D$2:D$1032,MATCH($O325,Items!$A$2:$A$1032,0))</f>
        <v>#N/A</v>
      </c>
    </row>
    <row r="326" spans="1:18" x14ac:dyDescent="0.25">
      <c r="A326">
        <f t="shared" si="27"/>
        <v>1</v>
      </c>
      <c r="B326" t="str">
        <f t="shared" si="28"/>
        <v/>
      </c>
      <c r="C326">
        <f t="shared" si="25"/>
        <v>1</v>
      </c>
      <c r="D326" s="4"/>
      <c r="E326" t="s">
        <v>18</v>
      </c>
      <c r="F326" t="str">
        <f>INDEX(Establishment!B$2:B$1005,MATCH($E326,Establishment!$A$2:$A$1005,0))</f>
        <v xml:space="preserve"> </v>
      </c>
      <c r="G326" t="str">
        <f>INDEX(Establishment!C$2:C$1005,MATCH($E326,Establishment!$A$2:$A$1005,0))</f>
        <v xml:space="preserve"> </v>
      </c>
      <c r="M326">
        <f t="shared" si="26"/>
        <v>0</v>
      </c>
      <c r="N326">
        <f t="shared" si="29"/>
        <v>0</v>
      </c>
      <c r="P326" t="e">
        <f>INDEX(Items!B$2:B$1032,MATCH($O326,Items!$A$2:$A$1032,0))</f>
        <v>#N/A</v>
      </c>
      <c r="Q326" t="e">
        <f>INDEX(Items!C$2:C$1032,MATCH($O326,Items!$A$2:$A$1032,0))</f>
        <v>#N/A</v>
      </c>
      <c r="R326" t="e">
        <f>INDEX(Items!D$2:D$1032,MATCH($O326,Items!$A$2:$A$1032,0))</f>
        <v>#N/A</v>
      </c>
    </row>
    <row r="327" spans="1:18" x14ac:dyDescent="0.25">
      <c r="A327">
        <f t="shared" si="27"/>
        <v>1</v>
      </c>
      <c r="B327" t="str">
        <f t="shared" si="28"/>
        <v/>
      </c>
      <c r="C327">
        <f t="shared" si="25"/>
        <v>1</v>
      </c>
      <c r="D327" s="4"/>
      <c r="E327" t="s">
        <v>18</v>
      </c>
      <c r="F327" t="str">
        <f>INDEX(Establishment!B$2:B$1005,MATCH($E327,Establishment!$A$2:$A$1005,0))</f>
        <v xml:space="preserve"> </v>
      </c>
      <c r="G327" t="str">
        <f>INDEX(Establishment!C$2:C$1005,MATCH($E327,Establishment!$A$2:$A$1005,0))</f>
        <v xml:space="preserve"> </v>
      </c>
      <c r="M327">
        <f t="shared" si="26"/>
        <v>0</v>
      </c>
      <c r="N327">
        <f t="shared" si="29"/>
        <v>0</v>
      </c>
      <c r="P327" t="e">
        <f>INDEX(Items!B$2:B$1032,MATCH($O327,Items!$A$2:$A$1032,0))</f>
        <v>#N/A</v>
      </c>
      <c r="Q327" t="e">
        <f>INDEX(Items!C$2:C$1032,MATCH($O327,Items!$A$2:$A$1032,0))</f>
        <v>#N/A</v>
      </c>
      <c r="R327" t="e">
        <f>INDEX(Items!D$2:D$1032,MATCH($O327,Items!$A$2:$A$1032,0))</f>
        <v>#N/A</v>
      </c>
    </row>
    <row r="328" spans="1:18" x14ac:dyDescent="0.25">
      <c r="A328">
        <f t="shared" si="27"/>
        <v>1</v>
      </c>
      <c r="B328" t="str">
        <f t="shared" si="28"/>
        <v/>
      </c>
      <c r="C328">
        <f t="shared" si="25"/>
        <v>1</v>
      </c>
      <c r="D328" s="4"/>
      <c r="E328" t="s">
        <v>18</v>
      </c>
      <c r="F328" t="str">
        <f>INDEX(Establishment!B$2:B$1005,MATCH($E328,Establishment!$A$2:$A$1005,0))</f>
        <v xml:space="preserve"> </v>
      </c>
      <c r="G328" t="str">
        <f>INDEX(Establishment!C$2:C$1005,MATCH($E328,Establishment!$A$2:$A$1005,0))</f>
        <v xml:space="preserve"> </v>
      </c>
      <c r="M328">
        <f t="shared" si="26"/>
        <v>0</v>
      </c>
      <c r="N328">
        <f t="shared" si="29"/>
        <v>0</v>
      </c>
      <c r="P328" t="e">
        <f>INDEX(Items!B$2:B$1032,MATCH($O328,Items!$A$2:$A$1032,0))</f>
        <v>#N/A</v>
      </c>
      <c r="Q328" t="e">
        <f>INDEX(Items!C$2:C$1032,MATCH($O328,Items!$A$2:$A$1032,0))</f>
        <v>#N/A</v>
      </c>
      <c r="R328" t="e">
        <f>INDEX(Items!D$2:D$1032,MATCH($O328,Items!$A$2:$A$1032,0))</f>
        <v>#N/A</v>
      </c>
    </row>
    <row r="329" spans="1:18" x14ac:dyDescent="0.25">
      <c r="A329">
        <f t="shared" si="27"/>
        <v>1</v>
      </c>
      <c r="B329" t="str">
        <f t="shared" si="28"/>
        <v/>
      </c>
      <c r="C329">
        <f t="shared" si="25"/>
        <v>1</v>
      </c>
      <c r="D329" s="4"/>
      <c r="E329" t="s">
        <v>18</v>
      </c>
      <c r="F329" t="str">
        <f>INDEX(Establishment!B$2:B$1005,MATCH($E329,Establishment!$A$2:$A$1005,0))</f>
        <v xml:space="preserve"> </v>
      </c>
      <c r="G329" t="str">
        <f>INDEX(Establishment!C$2:C$1005,MATCH($E329,Establishment!$A$2:$A$1005,0))</f>
        <v xml:space="preserve"> </v>
      </c>
      <c r="M329">
        <f t="shared" si="26"/>
        <v>0</v>
      </c>
      <c r="N329">
        <f t="shared" si="29"/>
        <v>0</v>
      </c>
      <c r="P329" t="e">
        <f>INDEX(Items!B$2:B$1032,MATCH($O329,Items!$A$2:$A$1032,0))</f>
        <v>#N/A</v>
      </c>
      <c r="Q329" t="e">
        <f>INDEX(Items!C$2:C$1032,MATCH($O329,Items!$A$2:$A$1032,0))</f>
        <v>#N/A</v>
      </c>
      <c r="R329" t="e">
        <f>INDEX(Items!D$2:D$1032,MATCH($O329,Items!$A$2:$A$1032,0))</f>
        <v>#N/A</v>
      </c>
    </row>
    <row r="330" spans="1:18" x14ac:dyDescent="0.25">
      <c r="A330">
        <f t="shared" si="27"/>
        <v>1</v>
      </c>
      <c r="B330" t="str">
        <f t="shared" si="28"/>
        <v/>
      </c>
      <c r="C330">
        <f t="shared" ref="C330:C393" si="30">IF(OR(B330="",B330&lt;&gt;B329),1,C329+1)</f>
        <v>1</v>
      </c>
      <c r="D330" s="4"/>
      <c r="E330" t="s">
        <v>18</v>
      </c>
      <c r="F330" t="str">
        <f>INDEX(Establishment!B$2:B$1005,MATCH($E330,Establishment!$A$2:$A$1005,0))</f>
        <v xml:space="preserve"> </v>
      </c>
      <c r="G330" t="str">
        <f>INDEX(Establishment!C$2:C$1005,MATCH($E330,Establishment!$A$2:$A$1005,0))</f>
        <v xml:space="preserve"> </v>
      </c>
      <c r="M330">
        <f t="shared" ref="M330:M393" si="31">K330*L330</f>
        <v>0</v>
      </c>
      <c r="N330">
        <f t="shared" si="29"/>
        <v>0</v>
      </c>
      <c r="P330" t="e">
        <f>INDEX(Items!B$2:B$1032,MATCH($O330,Items!$A$2:$A$1032,0))</f>
        <v>#N/A</v>
      </c>
      <c r="Q330" t="e">
        <f>INDEX(Items!C$2:C$1032,MATCH($O330,Items!$A$2:$A$1032,0))</f>
        <v>#N/A</v>
      </c>
      <c r="R330" t="e">
        <f>INDEX(Items!D$2:D$1032,MATCH($O330,Items!$A$2:$A$1032,0))</f>
        <v>#N/A</v>
      </c>
    </row>
    <row r="331" spans="1:18" x14ac:dyDescent="0.25">
      <c r="A331">
        <f t="shared" si="27"/>
        <v>1</v>
      </c>
      <c r="B331" t="str">
        <f t="shared" si="28"/>
        <v/>
      </c>
      <c r="C331">
        <f t="shared" si="30"/>
        <v>1</v>
      </c>
      <c r="D331" s="4"/>
      <c r="E331" t="s">
        <v>18</v>
      </c>
      <c r="F331" t="str">
        <f>INDEX(Establishment!B$2:B$1005,MATCH($E331,Establishment!$A$2:$A$1005,0))</f>
        <v xml:space="preserve"> </v>
      </c>
      <c r="G331" t="str">
        <f>INDEX(Establishment!C$2:C$1005,MATCH($E331,Establishment!$A$2:$A$1005,0))</f>
        <v xml:space="preserve"> </v>
      </c>
      <c r="M331">
        <f t="shared" si="31"/>
        <v>0</v>
      </c>
      <c r="N331">
        <f t="shared" si="29"/>
        <v>0</v>
      </c>
      <c r="P331" t="e">
        <f>INDEX(Items!B$2:B$1032,MATCH($O331,Items!$A$2:$A$1032,0))</f>
        <v>#N/A</v>
      </c>
      <c r="Q331" t="e">
        <f>INDEX(Items!C$2:C$1032,MATCH($O331,Items!$A$2:$A$1032,0))</f>
        <v>#N/A</v>
      </c>
      <c r="R331" t="e">
        <f>INDEX(Items!D$2:D$1032,MATCH($O331,Items!$A$2:$A$1032,0))</f>
        <v>#N/A</v>
      </c>
    </row>
    <row r="332" spans="1:18" x14ac:dyDescent="0.25">
      <c r="A332">
        <f t="shared" si="27"/>
        <v>1</v>
      </c>
      <c r="B332" t="str">
        <f t="shared" si="28"/>
        <v/>
      </c>
      <c r="C332">
        <f t="shared" si="30"/>
        <v>1</v>
      </c>
      <c r="D332" s="4"/>
      <c r="E332" t="s">
        <v>18</v>
      </c>
      <c r="F332" t="str">
        <f>INDEX(Establishment!B$2:B$1005,MATCH($E332,Establishment!$A$2:$A$1005,0))</f>
        <v xml:space="preserve"> </v>
      </c>
      <c r="G332" t="str">
        <f>INDEX(Establishment!C$2:C$1005,MATCH($E332,Establishment!$A$2:$A$1005,0))</f>
        <v xml:space="preserve"> </v>
      </c>
      <c r="M332">
        <f t="shared" si="31"/>
        <v>0</v>
      </c>
      <c r="N332">
        <f t="shared" si="29"/>
        <v>0</v>
      </c>
      <c r="P332" t="e">
        <f>INDEX(Items!B$2:B$1032,MATCH($O332,Items!$A$2:$A$1032,0))</f>
        <v>#N/A</v>
      </c>
      <c r="Q332" t="e">
        <f>INDEX(Items!C$2:C$1032,MATCH($O332,Items!$A$2:$A$1032,0))</f>
        <v>#N/A</v>
      </c>
      <c r="R332" t="e">
        <f>INDEX(Items!D$2:D$1032,MATCH($O332,Items!$A$2:$A$1032,0))</f>
        <v>#N/A</v>
      </c>
    </row>
    <row r="333" spans="1:18" x14ac:dyDescent="0.25">
      <c r="A333">
        <f t="shared" si="27"/>
        <v>1</v>
      </c>
      <c r="B333" t="str">
        <f t="shared" si="28"/>
        <v/>
      </c>
      <c r="C333">
        <f t="shared" si="30"/>
        <v>1</v>
      </c>
      <c r="D333" s="4"/>
      <c r="E333" t="s">
        <v>18</v>
      </c>
      <c r="F333" t="str">
        <f>INDEX(Establishment!B$2:B$1005,MATCH($E333,Establishment!$A$2:$A$1005,0))</f>
        <v xml:space="preserve"> </v>
      </c>
      <c r="G333" t="str">
        <f>INDEX(Establishment!C$2:C$1005,MATCH($E333,Establishment!$A$2:$A$1005,0))</f>
        <v xml:space="preserve"> </v>
      </c>
      <c r="M333">
        <f t="shared" si="31"/>
        <v>0</v>
      </c>
      <c r="N333">
        <f t="shared" si="29"/>
        <v>0</v>
      </c>
      <c r="P333" t="e">
        <f>INDEX(Items!B$2:B$1032,MATCH($O333,Items!$A$2:$A$1032,0))</f>
        <v>#N/A</v>
      </c>
      <c r="Q333" t="e">
        <f>INDEX(Items!C$2:C$1032,MATCH($O333,Items!$A$2:$A$1032,0))</f>
        <v>#N/A</v>
      </c>
      <c r="R333" t="e">
        <f>INDEX(Items!D$2:D$1032,MATCH($O333,Items!$A$2:$A$1032,0))</f>
        <v>#N/A</v>
      </c>
    </row>
    <row r="334" spans="1:18" x14ac:dyDescent="0.25">
      <c r="A334">
        <f t="shared" si="27"/>
        <v>1</v>
      </c>
      <c r="B334" t="str">
        <f t="shared" si="28"/>
        <v/>
      </c>
      <c r="C334">
        <f t="shared" si="30"/>
        <v>1</v>
      </c>
      <c r="D334" s="4"/>
      <c r="E334" t="s">
        <v>18</v>
      </c>
      <c r="F334" t="str">
        <f>INDEX(Establishment!B$2:B$1005,MATCH($E334,Establishment!$A$2:$A$1005,0))</f>
        <v xml:space="preserve"> </v>
      </c>
      <c r="G334" t="str">
        <f>INDEX(Establishment!C$2:C$1005,MATCH($E334,Establishment!$A$2:$A$1005,0))</f>
        <v xml:space="preserve"> </v>
      </c>
      <c r="M334">
        <f t="shared" si="31"/>
        <v>0</v>
      </c>
      <c r="N334">
        <f t="shared" si="29"/>
        <v>0</v>
      </c>
      <c r="P334" t="e">
        <f>INDEX(Items!B$2:B$1032,MATCH($O334,Items!$A$2:$A$1032,0))</f>
        <v>#N/A</v>
      </c>
      <c r="Q334" t="e">
        <f>INDEX(Items!C$2:C$1032,MATCH($O334,Items!$A$2:$A$1032,0))</f>
        <v>#N/A</v>
      </c>
      <c r="R334" t="e">
        <f>INDEX(Items!D$2:D$1032,MATCH($O334,Items!$A$2:$A$1032,0))</f>
        <v>#N/A</v>
      </c>
    </row>
    <row r="335" spans="1:18" x14ac:dyDescent="0.25">
      <c r="A335">
        <f t="shared" si="27"/>
        <v>1</v>
      </c>
      <c r="B335" t="str">
        <f t="shared" si="28"/>
        <v/>
      </c>
      <c r="C335">
        <f t="shared" si="30"/>
        <v>1</v>
      </c>
      <c r="D335" s="4"/>
      <c r="E335" t="s">
        <v>18</v>
      </c>
      <c r="F335" t="str">
        <f>INDEX(Establishment!B$2:B$1005,MATCH($E335,Establishment!$A$2:$A$1005,0))</f>
        <v xml:space="preserve"> </v>
      </c>
      <c r="G335" t="str">
        <f>INDEX(Establishment!C$2:C$1005,MATCH($E335,Establishment!$A$2:$A$1005,0))</f>
        <v xml:space="preserve"> </v>
      </c>
      <c r="M335">
        <f t="shared" si="31"/>
        <v>0</v>
      </c>
      <c r="N335">
        <f t="shared" si="29"/>
        <v>0</v>
      </c>
      <c r="P335" t="e">
        <f>INDEX(Items!B$2:B$1032,MATCH($O335,Items!$A$2:$A$1032,0))</f>
        <v>#N/A</v>
      </c>
      <c r="Q335" t="e">
        <f>INDEX(Items!C$2:C$1032,MATCH($O335,Items!$A$2:$A$1032,0))</f>
        <v>#N/A</v>
      </c>
      <c r="R335" t="e">
        <f>INDEX(Items!D$2:D$1032,MATCH($O335,Items!$A$2:$A$1032,0))</f>
        <v>#N/A</v>
      </c>
    </row>
    <row r="336" spans="1:18" x14ac:dyDescent="0.25">
      <c r="A336">
        <f t="shared" si="27"/>
        <v>1</v>
      </c>
      <c r="B336" t="str">
        <f t="shared" si="28"/>
        <v/>
      </c>
      <c r="C336">
        <f t="shared" si="30"/>
        <v>1</v>
      </c>
      <c r="D336" s="4"/>
      <c r="E336" t="s">
        <v>18</v>
      </c>
      <c r="F336" t="str">
        <f>INDEX(Establishment!B$2:B$1005,MATCH($E336,Establishment!$A$2:$A$1005,0))</f>
        <v xml:space="preserve"> </v>
      </c>
      <c r="G336" t="str">
        <f>INDEX(Establishment!C$2:C$1005,MATCH($E336,Establishment!$A$2:$A$1005,0))</f>
        <v xml:space="preserve"> </v>
      </c>
      <c r="M336">
        <f t="shared" si="31"/>
        <v>0</v>
      </c>
      <c r="N336">
        <f t="shared" si="29"/>
        <v>0</v>
      </c>
      <c r="P336" t="e">
        <f>INDEX(Items!B$2:B$1032,MATCH($O336,Items!$A$2:$A$1032,0))</f>
        <v>#N/A</v>
      </c>
      <c r="Q336" t="e">
        <f>INDEX(Items!C$2:C$1032,MATCH($O336,Items!$A$2:$A$1032,0))</f>
        <v>#N/A</v>
      </c>
      <c r="R336" t="e">
        <f>INDEX(Items!D$2:D$1032,MATCH($O336,Items!$A$2:$A$1032,0))</f>
        <v>#N/A</v>
      </c>
    </row>
    <row r="337" spans="1:18" x14ac:dyDescent="0.25">
      <c r="A337">
        <f t="shared" si="27"/>
        <v>1</v>
      </c>
      <c r="B337" t="str">
        <f t="shared" si="28"/>
        <v/>
      </c>
      <c r="C337">
        <f t="shared" si="30"/>
        <v>1</v>
      </c>
      <c r="D337" s="4"/>
      <c r="E337" t="s">
        <v>18</v>
      </c>
      <c r="F337" t="str">
        <f>INDEX(Establishment!B$2:B$1005,MATCH($E337,Establishment!$A$2:$A$1005,0))</f>
        <v xml:space="preserve"> </v>
      </c>
      <c r="G337" t="str">
        <f>INDEX(Establishment!C$2:C$1005,MATCH($E337,Establishment!$A$2:$A$1005,0))</f>
        <v xml:space="preserve"> </v>
      </c>
      <c r="M337">
        <f t="shared" si="31"/>
        <v>0</v>
      </c>
      <c r="N337">
        <f t="shared" si="29"/>
        <v>0</v>
      </c>
      <c r="P337" t="e">
        <f>INDEX(Items!B$2:B$1032,MATCH($O337,Items!$A$2:$A$1032,0))</f>
        <v>#N/A</v>
      </c>
      <c r="Q337" t="e">
        <f>INDEX(Items!C$2:C$1032,MATCH($O337,Items!$A$2:$A$1032,0))</f>
        <v>#N/A</v>
      </c>
      <c r="R337" t="e">
        <f>INDEX(Items!D$2:D$1032,MATCH($O337,Items!$A$2:$A$1032,0))</f>
        <v>#N/A</v>
      </c>
    </row>
    <row r="338" spans="1:18" x14ac:dyDescent="0.25">
      <c r="A338">
        <f t="shared" si="27"/>
        <v>1</v>
      </c>
      <c r="B338" t="str">
        <f t="shared" si="28"/>
        <v/>
      </c>
      <c r="C338">
        <f t="shared" si="30"/>
        <v>1</v>
      </c>
      <c r="D338" s="4"/>
      <c r="E338" t="s">
        <v>18</v>
      </c>
      <c r="F338" t="str">
        <f>INDEX(Establishment!B$2:B$1005,MATCH($E338,Establishment!$A$2:$A$1005,0))</f>
        <v xml:space="preserve"> </v>
      </c>
      <c r="G338" t="str">
        <f>INDEX(Establishment!C$2:C$1005,MATCH($E338,Establishment!$A$2:$A$1005,0))</f>
        <v xml:space="preserve"> </v>
      </c>
      <c r="M338">
        <f t="shared" si="31"/>
        <v>0</v>
      </c>
      <c r="N338">
        <f t="shared" si="29"/>
        <v>0</v>
      </c>
      <c r="P338" t="e">
        <f>INDEX(Items!B$2:B$1032,MATCH($O338,Items!$A$2:$A$1032,0))</f>
        <v>#N/A</v>
      </c>
      <c r="Q338" t="e">
        <f>INDEX(Items!C$2:C$1032,MATCH($O338,Items!$A$2:$A$1032,0))</f>
        <v>#N/A</v>
      </c>
      <c r="R338" t="e">
        <f>INDEX(Items!D$2:D$1032,MATCH($O338,Items!$A$2:$A$1032,0))</f>
        <v>#N/A</v>
      </c>
    </row>
    <row r="339" spans="1:18" x14ac:dyDescent="0.25">
      <c r="A339">
        <f t="shared" si="27"/>
        <v>1</v>
      </c>
      <c r="B339" t="str">
        <f t="shared" si="28"/>
        <v/>
      </c>
      <c r="C339">
        <f t="shared" si="30"/>
        <v>1</v>
      </c>
      <c r="D339" s="4"/>
      <c r="E339" t="s">
        <v>18</v>
      </c>
      <c r="F339" t="str">
        <f>INDEX(Establishment!B$2:B$1005,MATCH($E339,Establishment!$A$2:$A$1005,0))</f>
        <v xml:space="preserve"> </v>
      </c>
      <c r="G339" t="str">
        <f>INDEX(Establishment!C$2:C$1005,MATCH($E339,Establishment!$A$2:$A$1005,0))</f>
        <v xml:space="preserve"> </v>
      </c>
      <c r="M339">
        <f t="shared" si="31"/>
        <v>0</v>
      </c>
      <c r="N339">
        <f t="shared" si="29"/>
        <v>0</v>
      </c>
      <c r="P339" t="e">
        <f>INDEX(Items!B$2:B$1032,MATCH($O339,Items!$A$2:$A$1032,0))</f>
        <v>#N/A</v>
      </c>
      <c r="Q339" t="e">
        <f>INDEX(Items!C$2:C$1032,MATCH($O339,Items!$A$2:$A$1032,0))</f>
        <v>#N/A</v>
      </c>
      <c r="R339" t="e">
        <f>INDEX(Items!D$2:D$1032,MATCH($O339,Items!$A$2:$A$1032,0))</f>
        <v>#N/A</v>
      </c>
    </row>
    <row r="340" spans="1:18" x14ac:dyDescent="0.25">
      <c r="A340">
        <f t="shared" si="27"/>
        <v>1</v>
      </c>
      <c r="B340" t="str">
        <f t="shared" si="28"/>
        <v/>
      </c>
      <c r="C340">
        <f t="shared" si="30"/>
        <v>1</v>
      </c>
      <c r="D340" s="4"/>
      <c r="E340" t="s">
        <v>18</v>
      </c>
      <c r="F340" t="str">
        <f>INDEX(Establishment!B$2:B$1005,MATCH($E340,Establishment!$A$2:$A$1005,0))</f>
        <v xml:space="preserve"> </v>
      </c>
      <c r="G340" t="str">
        <f>INDEX(Establishment!C$2:C$1005,MATCH($E340,Establishment!$A$2:$A$1005,0))</f>
        <v xml:space="preserve"> </v>
      </c>
      <c r="M340">
        <f t="shared" si="31"/>
        <v>0</v>
      </c>
      <c r="N340">
        <f t="shared" si="29"/>
        <v>0</v>
      </c>
      <c r="P340" t="e">
        <f>INDEX(Items!B$2:B$1032,MATCH($O340,Items!$A$2:$A$1032,0))</f>
        <v>#N/A</v>
      </c>
      <c r="Q340" t="e">
        <f>INDEX(Items!C$2:C$1032,MATCH($O340,Items!$A$2:$A$1032,0))</f>
        <v>#N/A</v>
      </c>
      <c r="R340" t="e">
        <f>INDEX(Items!D$2:D$1032,MATCH($O340,Items!$A$2:$A$1032,0))</f>
        <v>#N/A</v>
      </c>
    </row>
    <row r="341" spans="1:18" x14ac:dyDescent="0.25">
      <c r="A341">
        <f t="shared" si="27"/>
        <v>1</v>
      </c>
      <c r="B341" t="str">
        <f t="shared" si="28"/>
        <v/>
      </c>
      <c r="C341">
        <f t="shared" si="30"/>
        <v>1</v>
      </c>
      <c r="D341" s="4"/>
      <c r="E341" t="s">
        <v>18</v>
      </c>
      <c r="F341" t="str">
        <f>INDEX(Establishment!B$2:B$1005,MATCH($E341,Establishment!$A$2:$A$1005,0))</f>
        <v xml:space="preserve"> </v>
      </c>
      <c r="G341" t="str">
        <f>INDEX(Establishment!C$2:C$1005,MATCH($E341,Establishment!$A$2:$A$1005,0))</f>
        <v xml:space="preserve"> </v>
      </c>
      <c r="M341">
        <f t="shared" si="31"/>
        <v>0</v>
      </c>
      <c r="N341">
        <f t="shared" si="29"/>
        <v>0</v>
      </c>
      <c r="P341" t="e">
        <f>INDEX(Items!B$2:B$1032,MATCH($O341,Items!$A$2:$A$1032,0))</f>
        <v>#N/A</v>
      </c>
      <c r="Q341" t="e">
        <f>INDEX(Items!C$2:C$1032,MATCH($O341,Items!$A$2:$A$1032,0))</f>
        <v>#N/A</v>
      </c>
      <c r="R341" t="e">
        <f>INDEX(Items!D$2:D$1032,MATCH($O341,Items!$A$2:$A$1032,0))</f>
        <v>#N/A</v>
      </c>
    </row>
    <row r="342" spans="1:18" x14ac:dyDescent="0.25">
      <c r="A342">
        <f t="shared" si="27"/>
        <v>1</v>
      </c>
      <c r="B342" t="str">
        <f t="shared" si="28"/>
        <v/>
      </c>
      <c r="C342">
        <f t="shared" si="30"/>
        <v>1</v>
      </c>
      <c r="D342" s="4"/>
      <c r="E342" t="s">
        <v>18</v>
      </c>
      <c r="F342" t="str">
        <f>INDEX(Establishment!B$2:B$1005,MATCH($E342,Establishment!$A$2:$A$1005,0))</f>
        <v xml:space="preserve"> </v>
      </c>
      <c r="G342" t="str">
        <f>INDEX(Establishment!C$2:C$1005,MATCH($E342,Establishment!$A$2:$A$1005,0))</f>
        <v xml:space="preserve"> </v>
      </c>
      <c r="M342">
        <f t="shared" si="31"/>
        <v>0</v>
      </c>
      <c r="N342">
        <f t="shared" si="29"/>
        <v>0</v>
      </c>
      <c r="P342" t="e">
        <f>INDEX(Items!B$2:B$1032,MATCH($O342,Items!$A$2:$A$1032,0))</f>
        <v>#N/A</v>
      </c>
      <c r="Q342" t="e">
        <f>INDEX(Items!C$2:C$1032,MATCH($O342,Items!$A$2:$A$1032,0))</f>
        <v>#N/A</v>
      </c>
      <c r="R342" t="e">
        <f>INDEX(Items!D$2:D$1032,MATCH($O342,Items!$A$2:$A$1032,0))</f>
        <v>#N/A</v>
      </c>
    </row>
    <row r="343" spans="1:18" x14ac:dyDescent="0.25">
      <c r="A343">
        <f t="shared" si="27"/>
        <v>1</v>
      </c>
      <c r="B343" t="str">
        <f t="shared" si="28"/>
        <v/>
      </c>
      <c r="C343">
        <f t="shared" si="30"/>
        <v>1</v>
      </c>
      <c r="D343" s="4"/>
      <c r="E343" t="s">
        <v>18</v>
      </c>
      <c r="F343" t="str">
        <f>INDEX(Establishment!B$2:B$1005,MATCH($E343,Establishment!$A$2:$A$1005,0))</f>
        <v xml:space="preserve"> </v>
      </c>
      <c r="G343" t="str">
        <f>INDEX(Establishment!C$2:C$1005,MATCH($E343,Establishment!$A$2:$A$1005,0))</f>
        <v xml:space="preserve"> </v>
      </c>
      <c r="M343">
        <f t="shared" si="31"/>
        <v>0</v>
      </c>
      <c r="N343">
        <f t="shared" si="29"/>
        <v>0</v>
      </c>
      <c r="P343" t="e">
        <f>INDEX(Items!B$2:B$1032,MATCH($O343,Items!$A$2:$A$1032,0))</f>
        <v>#N/A</v>
      </c>
      <c r="Q343" t="e">
        <f>INDEX(Items!C$2:C$1032,MATCH($O343,Items!$A$2:$A$1032,0))</f>
        <v>#N/A</v>
      </c>
      <c r="R343" t="e">
        <f>INDEX(Items!D$2:D$1032,MATCH($O343,Items!$A$2:$A$1032,0))</f>
        <v>#N/A</v>
      </c>
    </row>
    <row r="344" spans="1:18" x14ac:dyDescent="0.25">
      <c r="A344">
        <f t="shared" si="27"/>
        <v>1</v>
      </c>
      <c r="B344" t="str">
        <f t="shared" si="28"/>
        <v/>
      </c>
      <c r="C344">
        <f t="shared" si="30"/>
        <v>1</v>
      </c>
      <c r="D344" s="4"/>
      <c r="E344" t="s">
        <v>18</v>
      </c>
      <c r="F344" t="str">
        <f>INDEX(Establishment!B$2:B$1005,MATCH($E344,Establishment!$A$2:$A$1005,0))</f>
        <v xml:space="preserve"> </v>
      </c>
      <c r="G344" t="str">
        <f>INDEX(Establishment!C$2:C$1005,MATCH($E344,Establishment!$A$2:$A$1005,0))</f>
        <v xml:space="preserve"> </v>
      </c>
      <c r="M344">
        <f t="shared" si="31"/>
        <v>0</v>
      </c>
      <c r="N344">
        <f t="shared" si="29"/>
        <v>0</v>
      </c>
      <c r="P344" t="e">
        <f>INDEX(Items!B$2:B$1032,MATCH($O344,Items!$A$2:$A$1032,0))</f>
        <v>#N/A</v>
      </c>
      <c r="Q344" t="e">
        <f>INDEX(Items!C$2:C$1032,MATCH($O344,Items!$A$2:$A$1032,0))</f>
        <v>#N/A</v>
      </c>
      <c r="R344" t="e">
        <f>INDEX(Items!D$2:D$1032,MATCH($O344,Items!$A$2:$A$1032,0))</f>
        <v>#N/A</v>
      </c>
    </row>
    <row r="345" spans="1:18" x14ac:dyDescent="0.25">
      <c r="A345">
        <f t="shared" si="27"/>
        <v>1</v>
      </c>
      <c r="B345" t="str">
        <f t="shared" si="28"/>
        <v/>
      </c>
      <c r="C345">
        <f t="shared" si="30"/>
        <v>1</v>
      </c>
      <c r="D345" s="4"/>
      <c r="E345" t="s">
        <v>18</v>
      </c>
      <c r="F345" t="str">
        <f>INDEX(Establishment!B$2:B$1005,MATCH($E345,Establishment!$A$2:$A$1005,0))</f>
        <v xml:space="preserve"> </v>
      </c>
      <c r="G345" t="str">
        <f>INDEX(Establishment!C$2:C$1005,MATCH($E345,Establishment!$A$2:$A$1005,0))</f>
        <v xml:space="preserve"> </v>
      </c>
      <c r="M345">
        <f t="shared" si="31"/>
        <v>0</v>
      </c>
      <c r="N345">
        <f t="shared" si="29"/>
        <v>0</v>
      </c>
      <c r="P345" t="e">
        <f>INDEX(Items!B$2:B$1032,MATCH($O345,Items!$A$2:$A$1032,0))</f>
        <v>#N/A</v>
      </c>
      <c r="Q345" t="e">
        <f>INDEX(Items!C$2:C$1032,MATCH($O345,Items!$A$2:$A$1032,0))</f>
        <v>#N/A</v>
      </c>
      <c r="R345" t="e">
        <f>INDEX(Items!D$2:D$1032,MATCH($O345,Items!$A$2:$A$1032,0))</f>
        <v>#N/A</v>
      </c>
    </row>
    <row r="346" spans="1:18" x14ac:dyDescent="0.25">
      <c r="A346">
        <f t="shared" si="27"/>
        <v>1</v>
      </c>
      <c r="B346" t="str">
        <f t="shared" si="28"/>
        <v/>
      </c>
      <c r="C346">
        <f t="shared" si="30"/>
        <v>1</v>
      </c>
      <c r="D346" s="4"/>
      <c r="E346" t="s">
        <v>18</v>
      </c>
      <c r="F346" t="str">
        <f>INDEX(Establishment!B$2:B$1005,MATCH($E346,Establishment!$A$2:$A$1005,0))</f>
        <v xml:space="preserve"> </v>
      </c>
      <c r="G346" t="str">
        <f>INDEX(Establishment!C$2:C$1005,MATCH($E346,Establishment!$A$2:$A$1005,0))</f>
        <v xml:space="preserve"> </v>
      </c>
      <c r="M346">
        <f t="shared" si="31"/>
        <v>0</v>
      </c>
      <c r="N346">
        <f t="shared" si="29"/>
        <v>0</v>
      </c>
      <c r="P346" t="e">
        <f>INDEX(Items!B$2:B$1032,MATCH($O346,Items!$A$2:$A$1032,0))</f>
        <v>#N/A</v>
      </c>
      <c r="Q346" t="e">
        <f>INDEX(Items!C$2:C$1032,MATCH($O346,Items!$A$2:$A$1032,0))</f>
        <v>#N/A</v>
      </c>
      <c r="R346" t="e">
        <f>INDEX(Items!D$2:D$1032,MATCH($O346,Items!$A$2:$A$1032,0))</f>
        <v>#N/A</v>
      </c>
    </row>
    <row r="347" spans="1:18" x14ac:dyDescent="0.25">
      <c r="A347">
        <f t="shared" si="27"/>
        <v>1</v>
      </c>
      <c r="B347" t="str">
        <f t="shared" si="28"/>
        <v/>
      </c>
      <c r="C347">
        <f t="shared" si="30"/>
        <v>1</v>
      </c>
      <c r="D347" s="4"/>
      <c r="E347" t="s">
        <v>18</v>
      </c>
      <c r="F347" t="str">
        <f>INDEX(Establishment!B$2:B$1005,MATCH($E347,Establishment!$A$2:$A$1005,0))</f>
        <v xml:space="preserve"> </v>
      </c>
      <c r="G347" t="str">
        <f>INDEX(Establishment!C$2:C$1005,MATCH($E347,Establishment!$A$2:$A$1005,0))</f>
        <v xml:space="preserve"> </v>
      </c>
      <c r="M347">
        <f t="shared" si="31"/>
        <v>0</v>
      </c>
      <c r="N347">
        <f t="shared" si="29"/>
        <v>0</v>
      </c>
      <c r="P347" t="e">
        <f>INDEX(Items!B$2:B$1032,MATCH($O347,Items!$A$2:$A$1032,0))</f>
        <v>#N/A</v>
      </c>
      <c r="Q347" t="e">
        <f>INDEX(Items!C$2:C$1032,MATCH($O347,Items!$A$2:$A$1032,0))</f>
        <v>#N/A</v>
      </c>
      <c r="R347" t="e">
        <f>INDEX(Items!D$2:D$1032,MATCH($O347,Items!$A$2:$A$1032,0))</f>
        <v>#N/A</v>
      </c>
    </row>
    <row r="348" spans="1:18" x14ac:dyDescent="0.25">
      <c r="A348">
        <f t="shared" si="27"/>
        <v>1</v>
      </c>
      <c r="B348" t="str">
        <f t="shared" si="28"/>
        <v/>
      </c>
      <c r="C348">
        <f t="shared" si="30"/>
        <v>1</v>
      </c>
      <c r="D348" s="4"/>
      <c r="E348" t="s">
        <v>18</v>
      </c>
      <c r="F348" t="str">
        <f>INDEX(Establishment!B$2:B$1005,MATCH($E348,Establishment!$A$2:$A$1005,0))</f>
        <v xml:space="preserve"> </v>
      </c>
      <c r="G348" t="str">
        <f>INDEX(Establishment!C$2:C$1005,MATCH($E348,Establishment!$A$2:$A$1005,0))</f>
        <v xml:space="preserve"> </v>
      </c>
      <c r="M348">
        <f t="shared" si="31"/>
        <v>0</v>
      </c>
      <c r="N348">
        <f t="shared" si="29"/>
        <v>0</v>
      </c>
      <c r="P348" t="e">
        <f>INDEX(Items!B$2:B$1032,MATCH($O348,Items!$A$2:$A$1032,0))</f>
        <v>#N/A</v>
      </c>
      <c r="Q348" t="e">
        <f>INDEX(Items!C$2:C$1032,MATCH($O348,Items!$A$2:$A$1032,0))</f>
        <v>#N/A</v>
      </c>
      <c r="R348" t="e">
        <f>INDEX(Items!D$2:D$1032,MATCH($O348,Items!$A$2:$A$1032,0))</f>
        <v>#N/A</v>
      </c>
    </row>
    <row r="349" spans="1:18" x14ac:dyDescent="0.25">
      <c r="A349">
        <f t="shared" si="27"/>
        <v>1</v>
      </c>
      <c r="B349" t="str">
        <f t="shared" si="28"/>
        <v/>
      </c>
      <c r="C349">
        <f t="shared" si="30"/>
        <v>1</v>
      </c>
      <c r="D349" s="4"/>
      <c r="E349" t="s">
        <v>18</v>
      </c>
      <c r="F349" t="str">
        <f>INDEX(Establishment!B$2:B$1005,MATCH($E349,Establishment!$A$2:$A$1005,0))</f>
        <v xml:space="preserve"> </v>
      </c>
      <c r="G349" t="str">
        <f>INDEX(Establishment!C$2:C$1005,MATCH($E349,Establishment!$A$2:$A$1005,0))</f>
        <v xml:space="preserve"> </v>
      </c>
      <c r="M349">
        <f t="shared" si="31"/>
        <v>0</v>
      </c>
      <c r="N349">
        <f t="shared" si="29"/>
        <v>0</v>
      </c>
      <c r="P349" t="e">
        <f>INDEX(Items!B$2:B$1032,MATCH($O349,Items!$A$2:$A$1032,0))</f>
        <v>#N/A</v>
      </c>
      <c r="Q349" t="e">
        <f>INDEX(Items!C$2:C$1032,MATCH($O349,Items!$A$2:$A$1032,0))</f>
        <v>#N/A</v>
      </c>
      <c r="R349" t="e">
        <f>INDEX(Items!D$2:D$1032,MATCH($O349,Items!$A$2:$A$1032,0))</f>
        <v>#N/A</v>
      </c>
    </row>
    <row r="350" spans="1:18" x14ac:dyDescent="0.25">
      <c r="A350">
        <f t="shared" si="27"/>
        <v>1</v>
      </c>
      <c r="B350" t="str">
        <f t="shared" si="28"/>
        <v/>
      </c>
      <c r="C350">
        <f t="shared" si="30"/>
        <v>1</v>
      </c>
      <c r="D350" s="4"/>
      <c r="E350" t="s">
        <v>18</v>
      </c>
      <c r="F350" t="str">
        <f>INDEX(Establishment!B$2:B$1005,MATCH($E350,Establishment!$A$2:$A$1005,0))</f>
        <v xml:space="preserve"> </v>
      </c>
      <c r="G350" t="str">
        <f>INDEX(Establishment!C$2:C$1005,MATCH($E350,Establishment!$A$2:$A$1005,0))</f>
        <v xml:space="preserve"> </v>
      </c>
      <c r="M350">
        <f t="shared" si="31"/>
        <v>0</v>
      </c>
      <c r="N350">
        <f t="shared" si="29"/>
        <v>0</v>
      </c>
      <c r="P350" t="e">
        <f>INDEX(Items!B$2:B$1032,MATCH($O350,Items!$A$2:$A$1032,0))</f>
        <v>#N/A</v>
      </c>
      <c r="Q350" t="e">
        <f>INDEX(Items!C$2:C$1032,MATCH($O350,Items!$A$2:$A$1032,0))</f>
        <v>#N/A</v>
      </c>
      <c r="R350" t="e">
        <f>INDEX(Items!D$2:D$1032,MATCH($O350,Items!$A$2:$A$1032,0))</f>
        <v>#N/A</v>
      </c>
    </row>
    <row r="351" spans="1:18" x14ac:dyDescent="0.25">
      <c r="A351">
        <f t="shared" si="27"/>
        <v>1</v>
      </c>
      <c r="B351" t="str">
        <f t="shared" si="28"/>
        <v/>
      </c>
      <c r="C351">
        <f t="shared" si="30"/>
        <v>1</v>
      </c>
      <c r="D351" s="4"/>
      <c r="E351" t="s">
        <v>18</v>
      </c>
      <c r="F351" t="str">
        <f>INDEX(Establishment!B$2:B$1005,MATCH($E351,Establishment!$A$2:$A$1005,0))</f>
        <v xml:space="preserve"> </v>
      </c>
      <c r="G351" t="str">
        <f>INDEX(Establishment!C$2:C$1005,MATCH($E351,Establishment!$A$2:$A$1005,0))</f>
        <v xml:space="preserve"> </v>
      </c>
      <c r="M351">
        <f t="shared" si="31"/>
        <v>0</v>
      </c>
      <c r="N351">
        <f t="shared" si="29"/>
        <v>0</v>
      </c>
      <c r="P351" t="e">
        <f>INDEX(Items!B$2:B$1032,MATCH($O351,Items!$A$2:$A$1032,0))</f>
        <v>#N/A</v>
      </c>
      <c r="Q351" t="e">
        <f>INDEX(Items!C$2:C$1032,MATCH($O351,Items!$A$2:$A$1032,0))</f>
        <v>#N/A</v>
      </c>
      <c r="R351" t="e">
        <f>INDEX(Items!D$2:D$1032,MATCH($O351,Items!$A$2:$A$1032,0))</f>
        <v>#N/A</v>
      </c>
    </row>
    <row r="352" spans="1:18" x14ac:dyDescent="0.25">
      <c r="A352">
        <f t="shared" si="27"/>
        <v>1</v>
      </c>
      <c r="B352" t="str">
        <f t="shared" si="28"/>
        <v/>
      </c>
      <c r="C352">
        <f t="shared" si="30"/>
        <v>1</v>
      </c>
      <c r="D352" s="4"/>
      <c r="E352" t="s">
        <v>18</v>
      </c>
      <c r="F352" t="str">
        <f>INDEX(Establishment!B$2:B$1005,MATCH($E352,Establishment!$A$2:$A$1005,0))</f>
        <v xml:space="preserve"> </v>
      </c>
      <c r="G352" t="str">
        <f>INDEX(Establishment!C$2:C$1005,MATCH($E352,Establishment!$A$2:$A$1005,0))</f>
        <v xml:space="preserve"> </v>
      </c>
      <c r="M352">
        <f t="shared" si="31"/>
        <v>0</v>
      </c>
      <c r="N352">
        <f t="shared" si="29"/>
        <v>0</v>
      </c>
      <c r="P352" t="e">
        <f>INDEX(Items!B$2:B$1032,MATCH($O352,Items!$A$2:$A$1032,0))</f>
        <v>#N/A</v>
      </c>
      <c r="Q352" t="e">
        <f>INDEX(Items!C$2:C$1032,MATCH($O352,Items!$A$2:$A$1032,0))</f>
        <v>#N/A</v>
      </c>
      <c r="R352" t="e">
        <f>INDEX(Items!D$2:D$1032,MATCH($O352,Items!$A$2:$A$1032,0))</f>
        <v>#N/A</v>
      </c>
    </row>
    <row r="353" spans="1:18" x14ac:dyDescent="0.25">
      <c r="A353">
        <f t="shared" si="27"/>
        <v>1</v>
      </c>
      <c r="B353" t="str">
        <f t="shared" si="28"/>
        <v/>
      </c>
      <c r="C353">
        <f t="shared" si="30"/>
        <v>1</v>
      </c>
      <c r="D353" s="4"/>
      <c r="E353" t="s">
        <v>18</v>
      </c>
      <c r="F353" t="str">
        <f>INDEX(Establishment!B$2:B$1005,MATCH($E353,Establishment!$A$2:$A$1005,0))</f>
        <v xml:space="preserve"> </v>
      </c>
      <c r="G353" t="str">
        <f>INDEX(Establishment!C$2:C$1005,MATCH($E353,Establishment!$A$2:$A$1005,0))</f>
        <v xml:space="preserve"> </v>
      </c>
      <c r="M353">
        <f t="shared" si="31"/>
        <v>0</v>
      </c>
      <c r="N353">
        <f t="shared" si="29"/>
        <v>0</v>
      </c>
      <c r="P353" t="e">
        <f>INDEX(Items!B$2:B$1032,MATCH($O353,Items!$A$2:$A$1032,0))</f>
        <v>#N/A</v>
      </c>
      <c r="Q353" t="e">
        <f>INDEX(Items!C$2:C$1032,MATCH($O353,Items!$A$2:$A$1032,0))</f>
        <v>#N/A</v>
      </c>
      <c r="R353" t="e">
        <f>INDEX(Items!D$2:D$1032,MATCH($O353,Items!$A$2:$A$1032,0))</f>
        <v>#N/A</v>
      </c>
    </row>
    <row r="354" spans="1:18" x14ac:dyDescent="0.25">
      <c r="A354">
        <f t="shared" si="27"/>
        <v>1</v>
      </c>
      <c r="B354" t="str">
        <f t="shared" si="28"/>
        <v/>
      </c>
      <c r="C354">
        <f t="shared" si="30"/>
        <v>1</v>
      </c>
      <c r="D354" s="4"/>
      <c r="E354" t="s">
        <v>18</v>
      </c>
      <c r="F354" t="str">
        <f>INDEX(Establishment!B$2:B$1005,MATCH($E354,Establishment!$A$2:$A$1005,0))</f>
        <v xml:space="preserve"> </v>
      </c>
      <c r="G354" t="str">
        <f>INDEX(Establishment!C$2:C$1005,MATCH($E354,Establishment!$A$2:$A$1005,0))</f>
        <v xml:space="preserve"> </v>
      </c>
      <c r="M354">
        <f t="shared" si="31"/>
        <v>0</v>
      </c>
      <c r="N354">
        <f t="shared" si="29"/>
        <v>0</v>
      </c>
      <c r="P354" t="e">
        <f>INDEX(Items!B$2:B$1032,MATCH($O354,Items!$A$2:$A$1032,0))</f>
        <v>#N/A</v>
      </c>
      <c r="Q354" t="e">
        <f>INDEX(Items!C$2:C$1032,MATCH($O354,Items!$A$2:$A$1032,0))</f>
        <v>#N/A</v>
      </c>
      <c r="R354" t="e">
        <f>INDEX(Items!D$2:D$1032,MATCH($O354,Items!$A$2:$A$1032,0))</f>
        <v>#N/A</v>
      </c>
    </row>
    <row r="355" spans="1:18" x14ac:dyDescent="0.25">
      <c r="A355">
        <f t="shared" si="27"/>
        <v>1</v>
      </c>
      <c r="B355" t="str">
        <f t="shared" si="28"/>
        <v/>
      </c>
      <c r="C355">
        <f t="shared" si="30"/>
        <v>1</v>
      </c>
      <c r="D355" s="4"/>
      <c r="E355" t="s">
        <v>18</v>
      </c>
      <c r="F355" t="str">
        <f>INDEX(Establishment!B$2:B$1005,MATCH($E355,Establishment!$A$2:$A$1005,0))</f>
        <v xml:space="preserve"> </v>
      </c>
      <c r="G355" t="str">
        <f>INDEX(Establishment!C$2:C$1005,MATCH($E355,Establishment!$A$2:$A$1005,0))</f>
        <v xml:space="preserve"> </v>
      </c>
      <c r="M355">
        <f t="shared" si="31"/>
        <v>0</v>
      </c>
      <c r="N355">
        <f t="shared" si="29"/>
        <v>0</v>
      </c>
      <c r="P355" t="e">
        <f>INDEX(Items!B$2:B$1032,MATCH($O355,Items!$A$2:$A$1032,0))</f>
        <v>#N/A</v>
      </c>
      <c r="Q355" t="e">
        <f>INDEX(Items!C$2:C$1032,MATCH($O355,Items!$A$2:$A$1032,0))</f>
        <v>#N/A</v>
      </c>
      <c r="R355" t="e">
        <f>INDEX(Items!D$2:D$1032,MATCH($O355,Items!$A$2:$A$1032,0))</f>
        <v>#N/A</v>
      </c>
    </row>
    <row r="356" spans="1:18" x14ac:dyDescent="0.25">
      <c r="A356">
        <f t="shared" si="27"/>
        <v>1</v>
      </c>
      <c r="B356" t="str">
        <f t="shared" si="28"/>
        <v/>
      </c>
      <c r="C356">
        <f t="shared" si="30"/>
        <v>1</v>
      </c>
      <c r="D356" s="4"/>
      <c r="E356" t="s">
        <v>18</v>
      </c>
      <c r="F356" t="str">
        <f>INDEX(Establishment!B$2:B$1005,MATCH($E356,Establishment!$A$2:$A$1005,0))</f>
        <v xml:space="preserve"> </v>
      </c>
      <c r="G356" t="str">
        <f>INDEX(Establishment!C$2:C$1005,MATCH($E356,Establishment!$A$2:$A$1005,0))</f>
        <v xml:space="preserve"> </v>
      </c>
      <c r="M356">
        <f t="shared" si="31"/>
        <v>0</v>
      </c>
      <c r="N356">
        <f t="shared" si="29"/>
        <v>0</v>
      </c>
      <c r="P356" t="e">
        <f>INDEX(Items!B$2:B$1032,MATCH($O356,Items!$A$2:$A$1032,0))</f>
        <v>#N/A</v>
      </c>
      <c r="Q356" t="e">
        <f>INDEX(Items!C$2:C$1032,MATCH($O356,Items!$A$2:$A$1032,0))</f>
        <v>#N/A</v>
      </c>
      <c r="R356" t="e">
        <f>INDEX(Items!D$2:D$1032,MATCH($O356,Items!$A$2:$A$1032,0))</f>
        <v>#N/A</v>
      </c>
    </row>
    <row r="357" spans="1:18" x14ac:dyDescent="0.25">
      <c r="A357">
        <f t="shared" si="27"/>
        <v>1</v>
      </c>
      <c r="B357" t="str">
        <f t="shared" si="28"/>
        <v/>
      </c>
      <c r="C357">
        <f t="shared" si="30"/>
        <v>1</v>
      </c>
      <c r="D357" s="4"/>
      <c r="E357" t="s">
        <v>18</v>
      </c>
      <c r="F357" t="str">
        <f>INDEX(Establishment!B$2:B$1005,MATCH($E357,Establishment!$A$2:$A$1005,0))</f>
        <v xml:space="preserve"> </v>
      </c>
      <c r="G357" t="str">
        <f>INDEX(Establishment!C$2:C$1005,MATCH($E357,Establishment!$A$2:$A$1005,0))</f>
        <v xml:space="preserve"> </v>
      </c>
      <c r="M357">
        <f t="shared" si="31"/>
        <v>0</v>
      </c>
      <c r="N357">
        <f t="shared" si="29"/>
        <v>0</v>
      </c>
      <c r="P357" t="e">
        <f>INDEX(Items!B$2:B$1032,MATCH($O357,Items!$A$2:$A$1032,0))</f>
        <v>#N/A</v>
      </c>
      <c r="Q357" t="e">
        <f>INDEX(Items!C$2:C$1032,MATCH($O357,Items!$A$2:$A$1032,0))</f>
        <v>#N/A</v>
      </c>
      <c r="R357" t="e">
        <f>INDEX(Items!D$2:D$1032,MATCH($O357,Items!$A$2:$A$1032,0))</f>
        <v>#N/A</v>
      </c>
    </row>
    <row r="358" spans="1:18" x14ac:dyDescent="0.25">
      <c r="A358">
        <f t="shared" si="27"/>
        <v>1</v>
      </c>
      <c r="B358" t="str">
        <f t="shared" si="28"/>
        <v/>
      </c>
      <c r="C358">
        <f t="shared" si="30"/>
        <v>1</v>
      </c>
      <c r="D358" s="4"/>
      <c r="E358" t="s">
        <v>18</v>
      </c>
      <c r="F358" t="str">
        <f>INDEX(Establishment!B$2:B$1005,MATCH($E358,Establishment!$A$2:$A$1005,0))</f>
        <v xml:space="preserve"> </v>
      </c>
      <c r="G358" t="str">
        <f>INDEX(Establishment!C$2:C$1005,MATCH($E358,Establishment!$A$2:$A$1005,0))</f>
        <v xml:space="preserve"> </v>
      </c>
      <c r="M358">
        <f t="shared" si="31"/>
        <v>0</v>
      </c>
      <c r="N358">
        <f t="shared" si="29"/>
        <v>0</v>
      </c>
      <c r="P358" t="e">
        <f>INDEX(Items!B$2:B$1032,MATCH($O358,Items!$A$2:$A$1032,0))</f>
        <v>#N/A</v>
      </c>
      <c r="Q358" t="e">
        <f>INDEX(Items!C$2:C$1032,MATCH($O358,Items!$A$2:$A$1032,0))</f>
        <v>#N/A</v>
      </c>
      <c r="R358" t="e">
        <f>INDEX(Items!D$2:D$1032,MATCH($O358,Items!$A$2:$A$1032,0))</f>
        <v>#N/A</v>
      </c>
    </row>
    <row r="359" spans="1:18" x14ac:dyDescent="0.25">
      <c r="A359">
        <f t="shared" si="27"/>
        <v>1</v>
      </c>
      <c r="B359" t="str">
        <f t="shared" si="28"/>
        <v/>
      </c>
      <c r="C359">
        <f t="shared" si="30"/>
        <v>1</v>
      </c>
      <c r="D359" s="4"/>
      <c r="E359" t="s">
        <v>18</v>
      </c>
      <c r="F359" t="str">
        <f>INDEX(Establishment!B$2:B$1005,MATCH($E359,Establishment!$A$2:$A$1005,0))</f>
        <v xml:space="preserve"> </v>
      </c>
      <c r="G359" t="str">
        <f>INDEX(Establishment!C$2:C$1005,MATCH($E359,Establishment!$A$2:$A$1005,0))</f>
        <v xml:space="preserve"> </v>
      </c>
      <c r="M359">
        <f t="shared" si="31"/>
        <v>0</v>
      </c>
      <c r="N359">
        <f t="shared" si="29"/>
        <v>0</v>
      </c>
      <c r="P359" t="e">
        <f>INDEX(Items!B$2:B$1032,MATCH($O359,Items!$A$2:$A$1032,0))</f>
        <v>#N/A</v>
      </c>
      <c r="Q359" t="e">
        <f>INDEX(Items!C$2:C$1032,MATCH($O359,Items!$A$2:$A$1032,0))</f>
        <v>#N/A</v>
      </c>
      <c r="R359" t="e">
        <f>INDEX(Items!D$2:D$1032,MATCH($O359,Items!$A$2:$A$1032,0))</f>
        <v>#N/A</v>
      </c>
    </row>
    <row r="360" spans="1:18" x14ac:dyDescent="0.25">
      <c r="A360">
        <f t="shared" si="27"/>
        <v>1</v>
      </c>
      <c r="B360" t="str">
        <f t="shared" si="28"/>
        <v/>
      </c>
      <c r="C360">
        <f t="shared" si="30"/>
        <v>1</v>
      </c>
      <c r="D360" s="4"/>
      <c r="E360" t="s">
        <v>18</v>
      </c>
      <c r="F360" t="str">
        <f>INDEX(Establishment!B$2:B$1005,MATCH($E360,Establishment!$A$2:$A$1005,0))</f>
        <v xml:space="preserve"> </v>
      </c>
      <c r="G360" t="str">
        <f>INDEX(Establishment!C$2:C$1005,MATCH($E360,Establishment!$A$2:$A$1005,0))</f>
        <v xml:space="preserve"> </v>
      </c>
      <c r="M360">
        <f t="shared" si="31"/>
        <v>0</v>
      </c>
      <c r="N360">
        <f t="shared" si="29"/>
        <v>0</v>
      </c>
      <c r="P360" t="e">
        <f>INDEX(Items!B$2:B$1032,MATCH($O360,Items!$A$2:$A$1032,0))</f>
        <v>#N/A</v>
      </c>
      <c r="Q360" t="e">
        <f>INDEX(Items!C$2:C$1032,MATCH($O360,Items!$A$2:$A$1032,0))</f>
        <v>#N/A</v>
      </c>
      <c r="R360" t="e">
        <f>INDEX(Items!D$2:D$1032,MATCH($O360,Items!$A$2:$A$1032,0))</f>
        <v>#N/A</v>
      </c>
    </row>
    <row r="361" spans="1:18" x14ac:dyDescent="0.25">
      <c r="A361">
        <f t="shared" si="27"/>
        <v>1</v>
      </c>
      <c r="B361" t="str">
        <f t="shared" si="28"/>
        <v/>
      </c>
      <c r="C361">
        <f t="shared" si="30"/>
        <v>1</v>
      </c>
      <c r="D361" s="4"/>
      <c r="E361" t="s">
        <v>18</v>
      </c>
      <c r="F361" t="str">
        <f>INDEX(Establishment!B$2:B$1005,MATCH($E361,Establishment!$A$2:$A$1005,0))</f>
        <v xml:space="preserve"> </v>
      </c>
      <c r="G361" t="str">
        <f>INDEX(Establishment!C$2:C$1005,MATCH($E361,Establishment!$A$2:$A$1005,0))</f>
        <v xml:space="preserve"> </v>
      </c>
      <c r="M361">
        <f t="shared" si="31"/>
        <v>0</v>
      </c>
      <c r="N361">
        <f t="shared" si="29"/>
        <v>0</v>
      </c>
      <c r="P361" t="e">
        <f>INDEX(Items!B$2:B$1032,MATCH($O361,Items!$A$2:$A$1032,0))</f>
        <v>#N/A</v>
      </c>
      <c r="Q361" t="e">
        <f>INDEX(Items!C$2:C$1032,MATCH($O361,Items!$A$2:$A$1032,0))</f>
        <v>#N/A</v>
      </c>
      <c r="R361" t="e">
        <f>INDEX(Items!D$2:D$1032,MATCH($O361,Items!$A$2:$A$1032,0))</f>
        <v>#N/A</v>
      </c>
    </row>
    <row r="362" spans="1:18" x14ac:dyDescent="0.25">
      <c r="A362">
        <f t="shared" si="27"/>
        <v>1</v>
      </c>
      <c r="B362" t="str">
        <f t="shared" si="28"/>
        <v/>
      </c>
      <c r="C362">
        <f t="shared" si="30"/>
        <v>1</v>
      </c>
      <c r="D362" s="4"/>
      <c r="E362" t="s">
        <v>18</v>
      </c>
      <c r="F362" t="str">
        <f>INDEX(Establishment!B$2:B$1005,MATCH($E362,Establishment!$A$2:$A$1005,0))</f>
        <v xml:space="preserve"> </v>
      </c>
      <c r="G362" t="str">
        <f>INDEX(Establishment!C$2:C$1005,MATCH($E362,Establishment!$A$2:$A$1005,0))</f>
        <v xml:space="preserve"> </v>
      </c>
      <c r="M362">
        <f t="shared" si="31"/>
        <v>0</v>
      </c>
      <c r="N362">
        <f t="shared" si="29"/>
        <v>0</v>
      </c>
      <c r="P362" t="e">
        <f>INDEX(Items!B$2:B$1032,MATCH($O362,Items!$A$2:$A$1032,0))</f>
        <v>#N/A</v>
      </c>
      <c r="Q362" t="e">
        <f>INDEX(Items!C$2:C$1032,MATCH($O362,Items!$A$2:$A$1032,0))</f>
        <v>#N/A</v>
      </c>
      <c r="R362" t="e">
        <f>INDEX(Items!D$2:D$1032,MATCH($O362,Items!$A$2:$A$1032,0))</f>
        <v>#N/A</v>
      </c>
    </row>
    <row r="363" spans="1:18" x14ac:dyDescent="0.25">
      <c r="A363">
        <f t="shared" si="27"/>
        <v>1</v>
      </c>
      <c r="B363" t="str">
        <f t="shared" si="28"/>
        <v/>
      </c>
      <c r="C363">
        <f t="shared" si="30"/>
        <v>1</v>
      </c>
      <c r="D363" s="4"/>
      <c r="E363" t="s">
        <v>18</v>
      </c>
      <c r="F363" t="str">
        <f>INDEX(Establishment!B$2:B$1005,MATCH($E363,Establishment!$A$2:$A$1005,0))</f>
        <v xml:space="preserve"> </v>
      </c>
      <c r="G363" t="str">
        <f>INDEX(Establishment!C$2:C$1005,MATCH($E363,Establishment!$A$2:$A$1005,0))</f>
        <v xml:space="preserve"> </v>
      </c>
      <c r="M363">
        <f t="shared" si="31"/>
        <v>0</v>
      </c>
      <c r="N363">
        <f t="shared" si="29"/>
        <v>0</v>
      </c>
      <c r="P363" t="e">
        <f>INDEX(Items!B$2:B$1032,MATCH($O363,Items!$A$2:$A$1032,0))</f>
        <v>#N/A</v>
      </c>
      <c r="Q363" t="e">
        <f>INDEX(Items!C$2:C$1032,MATCH($O363,Items!$A$2:$A$1032,0))</f>
        <v>#N/A</v>
      </c>
      <c r="R363" t="e">
        <f>INDEX(Items!D$2:D$1032,MATCH($O363,Items!$A$2:$A$1032,0))</f>
        <v>#N/A</v>
      </c>
    </row>
    <row r="364" spans="1:18" x14ac:dyDescent="0.25">
      <c r="A364">
        <f t="shared" si="27"/>
        <v>1</v>
      </c>
      <c r="B364" t="str">
        <f t="shared" si="28"/>
        <v/>
      </c>
      <c r="C364">
        <f t="shared" si="30"/>
        <v>1</v>
      </c>
      <c r="D364" s="4"/>
      <c r="E364" t="s">
        <v>18</v>
      </c>
      <c r="F364" t="str">
        <f>INDEX(Establishment!B$2:B$1005,MATCH($E364,Establishment!$A$2:$A$1005,0))</f>
        <v xml:space="preserve"> </v>
      </c>
      <c r="G364" t="str">
        <f>INDEX(Establishment!C$2:C$1005,MATCH($E364,Establishment!$A$2:$A$1005,0))</f>
        <v xml:space="preserve"> </v>
      </c>
      <c r="M364">
        <f t="shared" si="31"/>
        <v>0</v>
      </c>
      <c r="N364">
        <f t="shared" si="29"/>
        <v>0</v>
      </c>
      <c r="P364" t="e">
        <f>INDEX(Items!B$2:B$1032,MATCH($O364,Items!$A$2:$A$1032,0))</f>
        <v>#N/A</v>
      </c>
      <c r="Q364" t="e">
        <f>INDEX(Items!C$2:C$1032,MATCH($O364,Items!$A$2:$A$1032,0))</f>
        <v>#N/A</v>
      </c>
      <c r="R364" t="e">
        <f>INDEX(Items!D$2:D$1032,MATCH($O364,Items!$A$2:$A$1032,0))</f>
        <v>#N/A</v>
      </c>
    </row>
    <row r="365" spans="1:18" x14ac:dyDescent="0.25">
      <c r="A365">
        <f t="shared" si="27"/>
        <v>1</v>
      </c>
      <c r="B365" t="str">
        <f t="shared" si="28"/>
        <v/>
      </c>
      <c r="C365">
        <f t="shared" si="30"/>
        <v>1</v>
      </c>
      <c r="D365" s="4"/>
      <c r="E365" t="s">
        <v>18</v>
      </c>
      <c r="F365" t="str">
        <f>INDEX(Establishment!B$2:B$1005,MATCH($E365,Establishment!$A$2:$A$1005,0))</f>
        <v xml:space="preserve"> </v>
      </c>
      <c r="G365" t="str">
        <f>INDEX(Establishment!C$2:C$1005,MATCH($E365,Establishment!$A$2:$A$1005,0))</f>
        <v xml:space="preserve"> </v>
      </c>
      <c r="M365">
        <f t="shared" si="31"/>
        <v>0</v>
      </c>
      <c r="N365">
        <f t="shared" si="29"/>
        <v>0</v>
      </c>
      <c r="P365" t="e">
        <f>INDEX(Items!B$2:B$1032,MATCH($O365,Items!$A$2:$A$1032,0))</f>
        <v>#N/A</v>
      </c>
      <c r="Q365" t="e">
        <f>INDEX(Items!C$2:C$1032,MATCH($O365,Items!$A$2:$A$1032,0))</f>
        <v>#N/A</v>
      </c>
      <c r="R365" t="e">
        <f>INDEX(Items!D$2:D$1032,MATCH($O365,Items!$A$2:$A$1032,0))</f>
        <v>#N/A</v>
      </c>
    </row>
    <row r="366" spans="1:18" x14ac:dyDescent="0.25">
      <c r="A366">
        <f t="shared" si="27"/>
        <v>1</v>
      </c>
      <c r="B366" t="str">
        <f t="shared" si="28"/>
        <v/>
      </c>
      <c r="C366">
        <f t="shared" si="30"/>
        <v>1</v>
      </c>
      <c r="D366" s="4"/>
      <c r="E366" t="s">
        <v>18</v>
      </c>
      <c r="F366" t="str">
        <f>INDEX(Establishment!B$2:B$1005,MATCH($E366,Establishment!$A$2:$A$1005,0))</f>
        <v xml:space="preserve"> </v>
      </c>
      <c r="G366" t="str">
        <f>INDEX(Establishment!C$2:C$1005,MATCH($E366,Establishment!$A$2:$A$1005,0))</f>
        <v xml:space="preserve"> </v>
      </c>
      <c r="M366">
        <f t="shared" si="31"/>
        <v>0</v>
      </c>
      <c r="N366">
        <f t="shared" si="29"/>
        <v>0</v>
      </c>
      <c r="P366" t="e">
        <f>INDEX(Items!B$2:B$1032,MATCH($O366,Items!$A$2:$A$1032,0))</f>
        <v>#N/A</v>
      </c>
      <c r="Q366" t="e">
        <f>INDEX(Items!C$2:C$1032,MATCH($O366,Items!$A$2:$A$1032,0))</f>
        <v>#N/A</v>
      </c>
      <c r="R366" t="e">
        <f>INDEX(Items!D$2:D$1032,MATCH($O366,Items!$A$2:$A$1032,0))</f>
        <v>#N/A</v>
      </c>
    </row>
    <row r="367" spans="1:18" x14ac:dyDescent="0.25">
      <c r="A367">
        <f t="shared" si="27"/>
        <v>1</v>
      </c>
      <c r="B367" t="str">
        <f t="shared" si="28"/>
        <v/>
      </c>
      <c r="C367">
        <f t="shared" si="30"/>
        <v>1</v>
      </c>
      <c r="D367" s="4"/>
      <c r="E367" t="s">
        <v>18</v>
      </c>
      <c r="F367" t="str">
        <f>INDEX(Establishment!B$2:B$1005,MATCH($E367,Establishment!$A$2:$A$1005,0))</f>
        <v xml:space="preserve"> </v>
      </c>
      <c r="G367" t="str">
        <f>INDEX(Establishment!C$2:C$1005,MATCH($E367,Establishment!$A$2:$A$1005,0))</f>
        <v xml:space="preserve"> </v>
      </c>
      <c r="M367">
        <f t="shared" si="31"/>
        <v>0</v>
      </c>
      <c r="N367">
        <f t="shared" si="29"/>
        <v>0</v>
      </c>
      <c r="P367" t="e">
        <f>INDEX(Items!B$2:B$1032,MATCH($O367,Items!$A$2:$A$1032,0))</f>
        <v>#N/A</v>
      </c>
      <c r="Q367" t="e">
        <f>INDEX(Items!C$2:C$1032,MATCH($O367,Items!$A$2:$A$1032,0))</f>
        <v>#N/A</v>
      </c>
      <c r="R367" t="e">
        <f>INDEX(Items!D$2:D$1032,MATCH($O367,Items!$A$2:$A$1032,0))</f>
        <v>#N/A</v>
      </c>
    </row>
    <row r="368" spans="1:18" x14ac:dyDescent="0.25">
      <c r="A368">
        <f t="shared" si="27"/>
        <v>1</v>
      </c>
      <c r="B368" t="str">
        <f t="shared" si="28"/>
        <v/>
      </c>
      <c r="C368">
        <f t="shared" si="30"/>
        <v>1</v>
      </c>
      <c r="D368" s="4"/>
      <c r="E368" t="s">
        <v>18</v>
      </c>
      <c r="F368" t="str">
        <f>INDEX(Establishment!B$2:B$1005,MATCH($E368,Establishment!$A$2:$A$1005,0))</f>
        <v xml:space="preserve"> </v>
      </c>
      <c r="G368" t="str">
        <f>INDEX(Establishment!C$2:C$1005,MATCH($E368,Establishment!$A$2:$A$1005,0))</f>
        <v xml:space="preserve"> </v>
      </c>
      <c r="M368">
        <f t="shared" si="31"/>
        <v>0</v>
      </c>
      <c r="N368">
        <f t="shared" si="29"/>
        <v>0</v>
      </c>
      <c r="P368" t="e">
        <f>INDEX(Items!B$2:B$1032,MATCH($O368,Items!$A$2:$A$1032,0))</f>
        <v>#N/A</v>
      </c>
      <c r="Q368" t="e">
        <f>INDEX(Items!C$2:C$1032,MATCH($O368,Items!$A$2:$A$1032,0))</f>
        <v>#N/A</v>
      </c>
      <c r="R368" t="e">
        <f>INDEX(Items!D$2:D$1032,MATCH($O368,Items!$A$2:$A$1032,0))</f>
        <v>#N/A</v>
      </c>
    </row>
    <row r="369" spans="1:18" x14ac:dyDescent="0.25">
      <c r="A369">
        <f t="shared" si="27"/>
        <v>1</v>
      </c>
      <c r="B369" t="str">
        <f t="shared" si="28"/>
        <v/>
      </c>
      <c r="C369">
        <f t="shared" si="30"/>
        <v>1</v>
      </c>
      <c r="D369" s="4"/>
      <c r="E369" t="s">
        <v>18</v>
      </c>
      <c r="F369" t="str">
        <f>INDEX(Establishment!B$2:B$1005,MATCH($E369,Establishment!$A$2:$A$1005,0))</f>
        <v xml:space="preserve"> </v>
      </c>
      <c r="G369" t="str">
        <f>INDEX(Establishment!C$2:C$1005,MATCH($E369,Establishment!$A$2:$A$1005,0))</f>
        <v xml:space="preserve"> </v>
      </c>
      <c r="M369">
        <f t="shared" si="31"/>
        <v>0</v>
      </c>
      <c r="N369">
        <f t="shared" si="29"/>
        <v>0</v>
      </c>
      <c r="P369" t="e">
        <f>INDEX(Items!B$2:B$1032,MATCH($O369,Items!$A$2:$A$1032,0))</f>
        <v>#N/A</v>
      </c>
      <c r="Q369" t="e">
        <f>INDEX(Items!C$2:C$1032,MATCH($O369,Items!$A$2:$A$1032,0))</f>
        <v>#N/A</v>
      </c>
      <c r="R369" t="e">
        <f>INDEX(Items!D$2:D$1032,MATCH($O369,Items!$A$2:$A$1032,0))</f>
        <v>#N/A</v>
      </c>
    </row>
    <row r="370" spans="1:18" x14ac:dyDescent="0.25">
      <c r="A370">
        <f t="shared" si="27"/>
        <v>1</v>
      </c>
      <c r="B370" t="str">
        <f t="shared" si="28"/>
        <v/>
      </c>
      <c r="C370">
        <f t="shared" si="30"/>
        <v>1</v>
      </c>
      <c r="D370" s="4"/>
      <c r="E370" t="s">
        <v>18</v>
      </c>
      <c r="F370" t="str">
        <f>INDEX(Establishment!B$2:B$1005,MATCH($E370,Establishment!$A$2:$A$1005,0))</f>
        <v xml:space="preserve"> </v>
      </c>
      <c r="G370" t="str">
        <f>INDEX(Establishment!C$2:C$1005,MATCH($E370,Establishment!$A$2:$A$1005,0))</f>
        <v xml:space="preserve"> </v>
      </c>
      <c r="M370">
        <f t="shared" si="31"/>
        <v>0</v>
      </c>
      <c r="N370">
        <f t="shared" si="29"/>
        <v>0</v>
      </c>
      <c r="P370" t="e">
        <f>INDEX(Items!B$2:B$1032,MATCH($O370,Items!$A$2:$A$1032,0))</f>
        <v>#N/A</v>
      </c>
      <c r="Q370" t="e">
        <f>INDEX(Items!C$2:C$1032,MATCH($O370,Items!$A$2:$A$1032,0))</f>
        <v>#N/A</v>
      </c>
      <c r="R370" t="e">
        <f>INDEX(Items!D$2:D$1032,MATCH($O370,Items!$A$2:$A$1032,0))</f>
        <v>#N/A</v>
      </c>
    </row>
    <row r="371" spans="1:18" x14ac:dyDescent="0.25">
      <c r="A371">
        <f t="shared" si="27"/>
        <v>1</v>
      </c>
      <c r="B371" t="str">
        <f t="shared" si="28"/>
        <v/>
      </c>
      <c r="C371">
        <f t="shared" si="30"/>
        <v>1</v>
      </c>
      <c r="D371" s="4"/>
      <c r="E371" t="s">
        <v>18</v>
      </c>
      <c r="F371" t="str">
        <f>INDEX(Establishment!B$2:B$1005,MATCH($E371,Establishment!$A$2:$A$1005,0))</f>
        <v xml:space="preserve"> </v>
      </c>
      <c r="G371" t="str">
        <f>INDEX(Establishment!C$2:C$1005,MATCH($E371,Establishment!$A$2:$A$1005,0))</f>
        <v xml:space="preserve"> </v>
      </c>
      <c r="M371">
        <f t="shared" si="31"/>
        <v>0</v>
      </c>
      <c r="N371">
        <f t="shared" si="29"/>
        <v>0</v>
      </c>
      <c r="P371" t="e">
        <f>INDEX(Items!B$2:B$1032,MATCH($O371,Items!$A$2:$A$1032,0))</f>
        <v>#N/A</v>
      </c>
      <c r="Q371" t="e">
        <f>INDEX(Items!C$2:C$1032,MATCH($O371,Items!$A$2:$A$1032,0))</f>
        <v>#N/A</v>
      </c>
      <c r="R371" t="e">
        <f>INDEX(Items!D$2:D$1032,MATCH($O371,Items!$A$2:$A$1032,0))</f>
        <v>#N/A</v>
      </c>
    </row>
    <row r="372" spans="1:18" x14ac:dyDescent="0.25">
      <c r="A372">
        <f t="shared" si="27"/>
        <v>1</v>
      </c>
      <c r="B372" t="str">
        <f t="shared" si="28"/>
        <v/>
      </c>
      <c r="C372">
        <f t="shared" si="30"/>
        <v>1</v>
      </c>
      <c r="D372" s="4"/>
      <c r="E372" t="s">
        <v>18</v>
      </c>
      <c r="F372" t="str">
        <f>INDEX(Establishment!B$2:B$1005,MATCH($E372,Establishment!$A$2:$A$1005,0))</f>
        <v xml:space="preserve"> </v>
      </c>
      <c r="G372" t="str">
        <f>INDEX(Establishment!C$2:C$1005,MATCH($E372,Establishment!$A$2:$A$1005,0))</f>
        <v xml:space="preserve"> </v>
      </c>
      <c r="M372">
        <f t="shared" si="31"/>
        <v>0</v>
      </c>
      <c r="N372">
        <f t="shared" si="29"/>
        <v>0</v>
      </c>
      <c r="P372" t="e">
        <f>INDEX(Items!B$2:B$1032,MATCH($O372,Items!$A$2:$A$1032,0))</f>
        <v>#N/A</v>
      </c>
      <c r="Q372" t="e">
        <f>INDEX(Items!C$2:C$1032,MATCH($O372,Items!$A$2:$A$1032,0))</f>
        <v>#N/A</v>
      </c>
      <c r="R372" t="e">
        <f>INDEX(Items!D$2:D$1032,MATCH($O372,Items!$A$2:$A$1032,0))</f>
        <v>#N/A</v>
      </c>
    </row>
    <row r="373" spans="1:18" x14ac:dyDescent="0.25">
      <c r="A373">
        <f t="shared" si="27"/>
        <v>1</v>
      </c>
      <c r="B373" t="str">
        <f t="shared" si="28"/>
        <v/>
      </c>
      <c r="C373">
        <f t="shared" si="30"/>
        <v>1</v>
      </c>
      <c r="D373" s="4"/>
      <c r="E373" t="s">
        <v>18</v>
      </c>
      <c r="F373" t="str">
        <f>INDEX(Establishment!B$2:B$1005,MATCH($E373,Establishment!$A$2:$A$1005,0))</f>
        <v xml:space="preserve"> </v>
      </c>
      <c r="G373" t="str">
        <f>INDEX(Establishment!C$2:C$1005,MATCH($E373,Establishment!$A$2:$A$1005,0))</f>
        <v xml:space="preserve"> </v>
      </c>
      <c r="M373">
        <f t="shared" si="31"/>
        <v>0</v>
      </c>
      <c r="N373">
        <f t="shared" si="29"/>
        <v>0</v>
      </c>
      <c r="P373" t="e">
        <f>INDEX(Items!B$2:B$1032,MATCH($O373,Items!$A$2:$A$1032,0))</f>
        <v>#N/A</v>
      </c>
      <c r="Q373" t="e">
        <f>INDEX(Items!C$2:C$1032,MATCH($O373,Items!$A$2:$A$1032,0))</f>
        <v>#N/A</v>
      </c>
      <c r="R373" t="e">
        <f>INDEX(Items!D$2:D$1032,MATCH($O373,Items!$A$2:$A$1032,0))</f>
        <v>#N/A</v>
      </c>
    </row>
    <row r="374" spans="1:18" x14ac:dyDescent="0.25">
      <c r="A374">
        <f t="shared" si="27"/>
        <v>1</v>
      </c>
      <c r="B374" t="str">
        <f t="shared" si="28"/>
        <v/>
      </c>
      <c r="C374">
        <f t="shared" si="30"/>
        <v>1</v>
      </c>
      <c r="D374" s="4"/>
      <c r="E374" t="s">
        <v>18</v>
      </c>
      <c r="F374" t="str">
        <f>INDEX(Establishment!B$2:B$1005,MATCH($E374,Establishment!$A$2:$A$1005,0))</f>
        <v xml:space="preserve"> </v>
      </c>
      <c r="G374" t="str">
        <f>INDEX(Establishment!C$2:C$1005,MATCH($E374,Establishment!$A$2:$A$1005,0))</f>
        <v xml:space="preserve"> </v>
      </c>
      <c r="M374">
        <f t="shared" si="31"/>
        <v>0</v>
      </c>
      <c r="N374">
        <f t="shared" si="29"/>
        <v>0</v>
      </c>
      <c r="P374" t="e">
        <f>INDEX(Items!B$2:B$1032,MATCH($O374,Items!$A$2:$A$1032,0))</f>
        <v>#N/A</v>
      </c>
      <c r="Q374" t="e">
        <f>INDEX(Items!C$2:C$1032,MATCH($O374,Items!$A$2:$A$1032,0))</f>
        <v>#N/A</v>
      </c>
      <c r="R374" t="e">
        <f>INDEX(Items!D$2:D$1032,MATCH($O374,Items!$A$2:$A$1032,0))</f>
        <v>#N/A</v>
      </c>
    </row>
    <row r="375" spans="1:18" x14ac:dyDescent="0.25">
      <c r="A375">
        <f t="shared" si="27"/>
        <v>1</v>
      </c>
      <c r="B375" t="str">
        <f t="shared" si="28"/>
        <v/>
      </c>
      <c r="C375">
        <f t="shared" si="30"/>
        <v>1</v>
      </c>
      <c r="D375" s="4"/>
      <c r="E375" t="s">
        <v>18</v>
      </c>
      <c r="F375" t="str">
        <f>INDEX(Establishment!B$2:B$1005,MATCH($E375,Establishment!$A$2:$A$1005,0))</f>
        <v xml:space="preserve"> </v>
      </c>
      <c r="G375" t="str">
        <f>INDEX(Establishment!C$2:C$1005,MATCH($E375,Establishment!$A$2:$A$1005,0))</f>
        <v xml:space="preserve"> </v>
      </c>
      <c r="M375">
        <f t="shared" si="31"/>
        <v>0</v>
      </c>
      <c r="N375">
        <f t="shared" si="29"/>
        <v>0</v>
      </c>
      <c r="P375" t="e">
        <f>INDEX(Items!B$2:B$1032,MATCH($O375,Items!$A$2:$A$1032,0))</f>
        <v>#N/A</v>
      </c>
      <c r="Q375" t="e">
        <f>INDEX(Items!C$2:C$1032,MATCH($O375,Items!$A$2:$A$1032,0))</f>
        <v>#N/A</v>
      </c>
      <c r="R375" t="e">
        <f>INDEX(Items!D$2:D$1032,MATCH($O375,Items!$A$2:$A$1032,0))</f>
        <v>#N/A</v>
      </c>
    </row>
    <row r="376" spans="1:18" x14ac:dyDescent="0.25">
      <c r="A376">
        <f t="shared" si="27"/>
        <v>1</v>
      </c>
      <c r="B376" t="str">
        <f t="shared" si="28"/>
        <v/>
      </c>
      <c r="C376">
        <f t="shared" si="30"/>
        <v>1</v>
      </c>
      <c r="D376" s="4"/>
      <c r="E376" t="s">
        <v>18</v>
      </c>
      <c r="F376" t="str">
        <f>INDEX(Establishment!B$2:B$1005,MATCH($E376,Establishment!$A$2:$A$1005,0))</f>
        <v xml:space="preserve"> </v>
      </c>
      <c r="G376" t="str">
        <f>INDEX(Establishment!C$2:C$1005,MATCH($E376,Establishment!$A$2:$A$1005,0))</f>
        <v xml:space="preserve"> </v>
      </c>
      <c r="M376">
        <f t="shared" si="31"/>
        <v>0</v>
      </c>
      <c r="N376">
        <f t="shared" si="29"/>
        <v>0</v>
      </c>
      <c r="P376" t="e">
        <f>INDEX(Items!B$2:B$1032,MATCH($O376,Items!$A$2:$A$1032,0))</f>
        <v>#N/A</v>
      </c>
      <c r="Q376" t="e">
        <f>INDEX(Items!C$2:C$1032,MATCH($O376,Items!$A$2:$A$1032,0))</f>
        <v>#N/A</v>
      </c>
      <c r="R376" t="e">
        <f>INDEX(Items!D$2:D$1032,MATCH($O376,Items!$A$2:$A$1032,0))</f>
        <v>#N/A</v>
      </c>
    </row>
    <row r="377" spans="1:18" x14ac:dyDescent="0.25">
      <c r="A377">
        <f t="shared" si="27"/>
        <v>1</v>
      </c>
      <c r="B377" t="str">
        <f t="shared" si="28"/>
        <v/>
      </c>
      <c r="C377">
        <f t="shared" si="30"/>
        <v>1</v>
      </c>
      <c r="D377" s="4"/>
      <c r="E377" t="s">
        <v>18</v>
      </c>
      <c r="F377" t="str">
        <f>INDEX(Establishment!B$2:B$1005,MATCH($E377,Establishment!$A$2:$A$1005,0))</f>
        <v xml:space="preserve"> </v>
      </c>
      <c r="G377" t="str">
        <f>INDEX(Establishment!C$2:C$1005,MATCH($E377,Establishment!$A$2:$A$1005,0))</f>
        <v xml:space="preserve"> </v>
      </c>
      <c r="M377">
        <f t="shared" si="31"/>
        <v>0</v>
      </c>
      <c r="N377">
        <f t="shared" si="29"/>
        <v>0</v>
      </c>
      <c r="P377" t="e">
        <f>INDEX(Items!B$2:B$1032,MATCH($O377,Items!$A$2:$A$1032,0))</f>
        <v>#N/A</v>
      </c>
      <c r="Q377" t="e">
        <f>INDEX(Items!C$2:C$1032,MATCH($O377,Items!$A$2:$A$1032,0))</f>
        <v>#N/A</v>
      </c>
      <c r="R377" t="e">
        <f>INDEX(Items!D$2:D$1032,MATCH($O377,Items!$A$2:$A$1032,0))</f>
        <v>#N/A</v>
      </c>
    </row>
    <row r="378" spans="1:18" x14ac:dyDescent="0.25">
      <c r="A378">
        <f t="shared" si="27"/>
        <v>1</v>
      </c>
      <c r="B378" t="str">
        <f t="shared" si="28"/>
        <v/>
      </c>
      <c r="C378">
        <f t="shared" si="30"/>
        <v>1</v>
      </c>
      <c r="D378" s="4"/>
      <c r="E378" t="s">
        <v>18</v>
      </c>
      <c r="F378" t="str">
        <f>INDEX(Establishment!B$2:B$1005,MATCH($E378,Establishment!$A$2:$A$1005,0))</f>
        <v xml:space="preserve"> </v>
      </c>
      <c r="G378" t="str">
        <f>INDEX(Establishment!C$2:C$1005,MATCH($E378,Establishment!$A$2:$A$1005,0))</f>
        <v xml:space="preserve"> </v>
      </c>
      <c r="M378">
        <f t="shared" si="31"/>
        <v>0</v>
      </c>
      <c r="N378">
        <f t="shared" si="29"/>
        <v>0</v>
      </c>
      <c r="P378" t="e">
        <f>INDEX(Items!B$2:B$1032,MATCH($O378,Items!$A$2:$A$1032,0))</f>
        <v>#N/A</v>
      </c>
      <c r="Q378" t="e">
        <f>INDEX(Items!C$2:C$1032,MATCH($O378,Items!$A$2:$A$1032,0))</f>
        <v>#N/A</v>
      </c>
      <c r="R378" t="e">
        <f>INDEX(Items!D$2:D$1032,MATCH($O378,Items!$A$2:$A$1032,0))</f>
        <v>#N/A</v>
      </c>
    </row>
    <row r="379" spans="1:18" x14ac:dyDescent="0.25">
      <c r="A379">
        <f t="shared" si="27"/>
        <v>1</v>
      </c>
      <c r="B379" t="str">
        <f t="shared" si="28"/>
        <v/>
      </c>
      <c r="C379">
        <f t="shared" si="30"/>
        <v>1</v>
      </c>
      <c r="D379" s="4"/>
      <c r="E379" t="s">
        <v>18</v>
      </c>
      <c r="F379" t="str">
        <f>INDEX(Establishment!B$2:B$1005,MATCH($E379,Establishment!$A$2:$A$1005,0))</f>
        <v xml:space="preserve"> </v>
      </c>
      <c r="G379" t="str">
        <f>INDEX(Establishment!C$2:C$1005,MATCH($E379,Establishment!$A$2:$A$1005,0))</f>
        <v xml:space="preserve"> </v>
      </c>
      <c r="M379">
        <f t="shared" si="31"/>
        <v>0</v>
      </c>
      <c r="N379">
        <f t="shared" si="29"/>
        <v>0</v>
      </c>
      <c r="P379" t="e">
        <f>INDEX(Items!B$2:B$1032,MATCH($O379,Items!$A$2:$A$1032,0))</f>
        <v>#N/A</v>
      </c>
      <c r="Q379" t="e">
        <f>INDEX(Items!C$2:C$1032,MATCH($O379,Items!$A$2:$A$1032,0))</f>
        <v>#N/A</v>
      </c>
      <c r="R379" t="e">
        <f>INDEX(Items!D$2:D$1032,MATCH($O379,Items!$A$2:$A$1032,0))</f>
        <v>#N/A</v>
      </c>
    </row>
    <row r="380" spans="1:18" x14ac:dyDescent="0.25">
      <c r="A380">
        <f t="shared" si="27"/>
        <v>1</v>
      </c>
      <c r="B380" t="str">
        <f t="shared" si="28"/>
        <v/>
      </c>
      <c r="C380">
        <f t="shared" si="30"/>
        <v>1</v>
      </c>
      <c r="D380" s="4"/>
      <c r="E380" t="s">
        <v>18</v>
      </c>
      <c r="F380" t="str">
        <f>INDEX(Establishment!B$2:B$1005,MATCH($E380,Establishment!$A$2:$A$1005,0))</f>
        <v xml:space="preserve"> </v>
      </c>
      <c r="G380" t="str">
        <f>INDEX(Establishment!C$2:C$1005,MATCH($E380,Establishment!$A$2:$A$1005,0))</f>
        <v xml:space="preserve"> </v>
      </c>
      <c r="M380">
        <f t="shared" si="31"/>
        <v>0</v>
      </c>
      <c r="N380">
        <f t="shared" si="29"/>
        <v>0</v>
      </c>
      <c r="P380" t="e">
        <f>INDEX(Items!B$2:B$1032,MATCH($O380,Items!$A$2:$A$1032,0))</f>
        <v>#N/A</v>
      </c>
      <c r="Q380" t="e">
        <f>INDEX(Items!C$2:C$1032,MATCH($O380,Items!$A$2:$A$1032,0))</f>
        <v>#N/A</v>
      </c>
      <c r="R380" t="e">
        <f>INDEX(Items!D$2:D$1032,MATCH($O380,Items!$A$2:$A$1032,0))</f>
        <v>#N/A</v>
      </c>
    </row>
    <row r="381" spans="1:18" x14ac:dyDescent="0.25">
      <c r="A381">
        <f t="shared" si="27"/>
        <v>1</v>
      </c>
      <c r="B381" t="str">
        <f t="shared" si="28"/>
        <v/>
      </c>
      <c r="C381">
        <f t="shared" si="30"/>
        <v>1</v>
      </c>
      <c r="D381" s="4"/>
      <c r="E381" t="s">
        <v>18</v>
      </c>
      <c r="F381" t="str">
        <f>INDEX(Establishment!B$2:B$1005,MATCH($E381,Establishment!$A$2:$A$1005,0))</f>
        <v xml:space="preserve"> </v>
      </c>
      <c r="G381" t="str">
        <f>INDEX(Establishment!C$2:C$1005,MATCH($E381,Establishment!$A$2:$A$1005,0))</f>
        <v xml:space="preserve"> </v>
      </c>
      <c r="M381">
        <f t="shared" si="31"/>
        <v>0</v>
      </c>
      <c r="N381">
        <f t="shared" si="29"/>
        <v>0</v>
      </c>
      <c r="P381" t="e">
        <f>INDEX(Items!B$2:B$1032,MATCH($O381,Items!$A$2:$A$1032,0))</f>
        <v>#N/A</v>
      </c>
      <c r="Q381" t="e">
        <f>INDEX(Items!C$2:C$1032,MATCH($O381,Items!$A$2:$A$1032,0))</f>
        <v>#N/A</v>
      </c>
      <c r="R381" t="e">
        <f>INDEX(Items!D$2:D$1032,MATCH($O381,Items!$A$2:$A$1032,0))</f>
        <v>#N/A</v>
      </c>
    </row>
    <row r="382" spans="1:18" x14ac:dyDescent="0.25">
      <c r="A382">
        <f t="shared" si="27"/>
        <v>1</v>
      </c>
      <c r="B382" t="str">
        <f t="shared" si="28"/>
        <v/>
      </c>
      <c r="C382">
        <f t="shared" si="30"/>
        <v>1</v>
      </c>
      <c r="D382" s="4"/>
      <c r="E382" t="s">
        <v>18</v>
      </c>
      <c r="F382" t="str">
        <f>INDEX(Establishment!B$2:B$1005,MATCH($E382,Establishment!$A$2:$A$1005,0))</f>
        <v xml:space="preserve"> </v>
      </c>
      <c r="G382" t="str">
        <f>INDEX(Establishment!C$2:C$1005,MATCH($E382,Establishment!$A$2:$A$1005,0))</f>
        <v xml:space="preserve"> </v>
      </c>
      <c r="M382">
        <f t="shared" si="31"/>
        <v>0</v>
      </c>
      <c r="N382">
        <f t="shared" si="29"/>
        <v>0</v>
      </c>
      <c r="P382" t="e">
        <f>INDEX(Items!B$2:B$1032,MATCH($O382,Items!$A$2:$A$1032,0))</f>
        <v>#N/A</v>
      </c>
      <c r="Q382" t="e">
        <f>INDEX(Items!C$2:C$1032,MATCH($O382,Items!$A$2:$A$1032,0))</f>
        <v>#N/A</v>
      </c>
      <c r="R382" t="e">
        <f>INDEX(Items!D$2:D$1032,MATCH($O382,Items!$A$2:$A$1032,0))</f>
        <v>#N/A</v>
      </c>
    </row>
    <row r="383" spans="1:18" x14ac:dyDescent="0.25">
      <c r="A383">
        <f t="shared" si="27"/>
        <v>1</v>
      </c>
      <c r="B383" t="str">
        <f t="shared" si="28"/>
        <v/>
      </c>
      <c r="C383">
        <f t="shared" si="30"/>
        <v>1</v>
      </c>
      <c r="D383" s="4"/>
      <c r="E383" t="s">
        <v>18</v>
      </c>
      <c r="F383" t="str">
        <f>INDEX(Establishment!B$2:B$1005,MATCH($E383,Establishment!$A$2:$A$1005,0))</f>
        <v xml:space="preserve"> </v>
      </c>
      <c r="G383" t="str">
        <f>INDEX(Establishment!C$2:C$1005,MATCH($E383,Establishment!$A$2:$A$1005,0))</f>
        <v xml:space="preserve"> </v>
      </c>
      <c r="M383">
        <f t="shared" si="31"/>
        <v>0</v>
      </c>
      <c r="N383">
        <f t="shared" si="29"/>
        <v>0</v>
      </c>
      <c r="P383" t="e">
        <f>INDEX(Items!B$2:B$1032,MATCH($O383,Items!$A$2:$A$1032,0))</f>
        <v>#N/A</v>
      </c>
      <c r="Q383" t="e">
        <f>INDEX(Items!C$2:C$1032,MATCH($O383,Items!$A$2:$A$1032,0))</f>
        <v>#N/A</v>
      </c>
      <c r="R383" t="e">
        <f>INDEX(Items!D$2:D$1032,MATCH($O383,Items!$A$2:$A$1032,0))</f>
        <v>#N/A</v>
      </c>
    </row>
    <row r="384" spans="1:18" x14ac:dyDescent="0.25">
      <c r="A384">
        <f t="shared" si="27"/>
        <v>1</v>
      </c>
      <c r="B384" t="str">
        <f t="shared" si="28"/>
        <v/>
      </c>
      <c r="C384">
        <f t="shared" si="30"/>
        <v>1</v>
      </c>
      <c r="D384" s="4"/>
      <c r="E384" t="s">
        <v>18</v>
      </c>
      <c r="F384" t="str">
        <f>INDEX(Establishment!B$2:B$1005,MATCH($E384,Establishment!$A$2:$A$1005,0))</f>
        <v xml:space="preserve"> </v>
      </c>
      <c r="G384" t="str">
        <f>INDEX(Establishment!C$2:C$1005,MATCH($E384,Establishment!$A$2:$A$1005,0))</f>
        <v xml:space="preserve"> </v>
      </c>
      <c r="M384">
        <f t="shared" si="31"/>
        <v>0</v>
      </c>
      <c r="N384">
        <f t="shared" si="29"/>
        <v>0</v>
      </c>
      <c r="P384" t="e">
        <f>INDEX(Items!B$2:B$1032,MATCH($O384,Items!$A$2:$A$1032,0))</f>
        <v>#N/A</v>
      </c>
      <c r="Q384" t="e">
        <f>INDEX(Items!C$2:C$1032,MATCH($O384,Items!$A$2:$A$1032,0))</f>
        <v>#N/A</v>
      </c>
      <c r="R384" t="e">
        <f>INDEX(Items!D$2:D$1032,MATCH($O384,Items!$A$2:$A$1032,0))</f>
        <v>#N/A</v>
      </c>
    </row>
    <row r="385" spans="1:18" x14ac:dyDescent="0.25">
      <c r="A385">
        <f t="shared" si="27"/>
        <v>1</v>
      </c>
      <c r="B385" t="str">
        <f t="shared" si="28"/>
        <v/>
      </c>
      <c r="C385">
        <f t="shared" si="30"/>
        <v>1</v>
      </c>
      <c r="D385" s="4"/>
      <c r="E385" t="s">
        <v>18</v>
      </c>
      <c r="F385" t="str">
        <f>INDEX(Establishment!B$2:B$1005,MATCH($E385,Establishment!$A$2:$A$1005,0))</f>
        <v xml:space="preserve"> </v>
      </c>
      <c r="G385" t="str">
        <f>INDEX(Establishment!C$2:C$1005,MATCH($E385,Establishment!$A$2:$A$1005,0))</f>
        <v xml:space="preserve"> </v>
      </c>
      <c r="M385">
        <f t="shared" si="31"/>
        <v>0</v>
      </c>
      <c r="N385">
        <f t="shared" si="29"/>
        <v>0</v>
      </c>
      <c r="P385" t="e">
        <f>INDEX(Items!B$2:B$1032,MATCH($O385,Items!$A$2:$A$1032,0))</f>
        <v>#N/A</v>
      </c>
      <c r="Q385" t="e">
        <f>INDEX(Items!C$2:C$1032,MATCH($O385,Items!$A$2:$A$1032,0))</f>
        <v>#N/A</v>
      </c>
      <c r="R385" t="e">
        <f>INDEX(Items!D$2:D$1032,MATCH($O385,Items!$A$2:$A$1032,0))</f>
        <v>#N/A</v>
      </c>
    </row>
    <row r="386" spans="1:18" x14ac:dyDescent="0.25">
      <c r="A386">
        <f t="shared" ref="A386:A449" si="32">IF(OR(D386&lt;&gt;D385,D386=""),1,IF(NOT(AND(E386=E385,F386=F385,G386=G385)),A385+1,IF(OR(H386="",AND(H386&lt;&gt;"",H386&lt;&gt;H385,H385&lt;&gt;"")),A385,A385+1)))</f>
        <v>1</v>
      </c>
      <c r="B386" t="str">
        <f t="shared" ref="B386:B449" si="33">IF(D386&lt;&gt;"",TEXT(D386,"YYYYMMDD")&amp;CHAR(64+A386),"")</f>
        <v/>
      </c>
      <c r="C386">
        <f t="shared" si="30"/>
        <v>1</v>
      </c>
      <c r="D386" s="4"/>
      <c r="E386" t="s">
        <v>18</v>
      </c>
      <c r="F386" t="str">
        <f>INDEX(Establishment!B$2:B$1005,MATCH($E386,Establishment!$A$2:$A$1005,0))</f>
        <v xml:space="preserve"> </v>
      </c>
      <c r="G386" t="str">
        <f>INDEX(Establishment!C$2:C$1005,MATCH($E386,Establishment!$A$2:$A$1005,0))</f>
        <v xml:space="preserve"> </v>
      </c>
      <c r="M386">
        <f t="shared" si="31"/>
        <v>0</v>
      </c>
      <c r="N386">
        <f t="shared" si="29"/>
        <v>0</v>
      </c>
      <c r="P386" t="e">
        <f>INDEX(Items!B$2:B$1032,MATCH($O386,Items!$A$2:$A$1032,0))</f>
        <v>#N/A</v>
      </c>
      <c r="Q386" t="e">
        <f>INDEX(Items!C$2:C$1032,MATCH($O386,Items!$A$2:$A$1032,0))</f>
        <v>#N/A</v>
      </c>
      <c r="R386" t="e">
        <f>INDEX(Items!D$2:D$1032,MATCH($O386,Items!$A$2:$A$1032,0))</f>
        <v>#N/A</v>
      </c>
    </row>
    <row r="387" spans="1:18" x14ac:dyDescent="0.25">
      <c r="A387">
        <f t="shared" si="32"/>
        <v>1</v>
      </c>
      <c r="B387" t="str">
        <f t="shared" si="33"/>
        <v/>
      </c>
      <c r="C387">
        <f t="shared" si="30"/>
        <v>1</v>
      </c>
      <c r="D387" s="4"/>
      <c r="E387" t="s">
        <v>18</v>
      </c>
      <c r="F387" t="str">
        <f>INDEX(Establishment!B$2:B$1005,MATCH($E387,Establishment!$A$2:$A$1005,0))</f>
        <v xml:space="preserve"> </v>
      </c>
      <c r="G387" t="str">
        <f>INDEX(Establishment!C$2:C$1005,MATCH($E387,Establishment!$A$2:$A$1005,0))</f>
        <v xml:space="preserve"> </v>
      </c>
      <c r="M387">
        <f t="shared" si="31"/>
        <v>0</v>
      </c>
      <c r="N387">
        <f t="shared" ref="N387:N450" si="34">IF(B387=B386,N386+M387,M387)</f>
        <v>0</v>
      </c>
      <c r="P387" t="e">
        <f>INDEX(Items!B$2:B$1032,MATCH($O387,Items!$A$2:$A$1032,0))</f>
        <v>#N/A</v>
      </c>
      <c r="Q387" t="e">
        <f>INDEX(Items!C$2:C$1032,MATCH($O387,Items!$A$2:$A$1032,0))</f>
        <v>#N/A</v>
      </c>
      <c r="R387" t="e">
        <f>INDEX(Items!D$2:D$1032,MATCH($O387,Items!$A$2:$A$1032,0))</f>
        <v>#N/A</v>
      </c>
    </row>
    <row r="388" spans="1:18" x14ac:dyDescent="0.25">
      <c r="A388">
        <f t="shared" si="32"/>
        <v>1</v>
      </c>
      <c r="B388" t="str">
        <f t="shared" si="33"/>
        <v/>
      </c>
      <c r="C388">
        <f t="shared" si="30"/>
        <v>1</v>
      </c>
      <c r="D388" s="4"/>
      <c r="E388" t="s">
        <v>18</v>
      </c>
      <c r="F388" t="str">
        <f>INDEX(Establishment!B$2:B$1005,MATCH($E388,Establishment!$A$2:$A$1005,0))</f>
        <v xml:space="preserve"> </v>
      </c>
      <c r="G388" t="str">
        <f>INDEX(Establishment!C$2:C$1005,MATCH($E388,Establishment!$A$2:$A$1005,0))</f>
        <v xml:space="preserve"> </v>
      </c>
      <c r="M388">
        <f t="shared" si="31"/>
        <v>0</v>
      </c>
      <c r="N388">
        <f t="shared" si="34"/>
        <v>0</v>
      </c>
      <c r="P388" t="e">
        <f>INDEX(Items!B$2:B$1032,MATCH($O388,Items!$A$2:$A$1032,0))</f>
        <v>#N/A</v>
      </c>
      <c r="Q388" t="e">
        <f>INDEX(Items!C$2:C$1032,MATCH($O388,Items!$A$2:$A$1032,0))</f>
        <v>#N/A</v>
      </c>
      <c r="R388" t="e">
        <f>INDEX(Items!D$2:D$1032,MATCH($O388,Items!$A$2:$A$1032,0))</f>
        <v>#N/A</v>
      </c>
    </row>
    <row r="389" spans="1:18" x14ac:dyDescent="0.25">
      <c r="A389">
        <f t="shared" si="32"/>
        <v>1</v>
      </c>
      <c r="B389" t="str">
        <f t="shared" si="33"/>
        <v/>
      </c>
      <c r="C389">
        <f t="shared" si="30"/>
        <v>1</v>
      </c>
      <c r="D389" s="4"/>
      <c r="E389" t="s">
        <v>18</v>
      </c>
      <c r="F389" t="str">
        <f>INDEX(Establishment!B$2:B$1005,MATCH($E389,Establishment!$A$2:$A$1005,0))</f>
        <v xml:space="preserve"> </v>
      </c>
      <c r="G389" t="str">
        <f>INDEX(Establishment!C$2:C$1005,MATCH($E389,Establishment!$A$2:$A$1005,0))</f>
        <v xml:space="preserve"> </v>
      </c>
      <c r="M389">
        <f t="shared" si="31"/>
        <v>0</v>
      </c>
      <c r="N389">
        <f t="shared" si="34"/>
        <v>0</v>
      </c>
      <c r="P389" t="e">
        <f>INDEX(Items!B$2:B$1032,MATCH($O389,Items!$A$2:$A$1032,0))</f>
        <v>#N/A</v>
      </c>
      <c r="Q389" t="e">
        <f>INDEX(Items!C$2:C$1032,MATCH($O389,Items!$A$2:$A$1032,0))</f>
        <v>#N/A</v>
      </c>
      <c r="R389" t="e">
        <f>INDEX(Items!D$2:D$1032,MATCH($O389,Items!$A$2:$A$1032,0))</f>
        <v>#N/A</v>
      </c>
    </row>
    <row r="390" spans="1:18" x14ac:dyDescent="0.25">
      <c r="A390">
        <f t="shared" si="32"/>
        <v>1</v>
      </c>
      <c r="B390" t="str">
        <f t="shared" si="33"/>
        <v/>
      </c>
      <c r="C390">
        <f t="shared" si="30"/>
        <v>1</v>
      </c>
      <c r="D390" s="4"/>
      <c r="E390" t="s">
        <v>18</v>
      </c>
      <c r="F390" t="str">
        <f>INDEX(Establishment!B$2:B$1005,MATCH($E390,Establishment!$A$2:$A$1005,0))</f>
        <v xml:space="preserve"> </v>
      </c>
      <c r="G390" t="str">
        <f>INDEX(Establishment!C$2:C$1005,MATCH($E390,Establishment!$A$2:$A$1005,0))</f>
        <v xml:space="preserve"> </v>
      </c>
      <c r="M390">
        <f t="shared" si="31"/>
        <v>0</v>
      </c>
      <c r="N390">
        <f t="shared" si="34"/>
        <v>0</v>
      </c>
      <c r="P390" t="e">
        <f>INDEX(Items!B$2:B$1032,MATCH($O390,Items!$A$2:$A$1032,0))</f>
        <v>#N/A</v>
      </c>
      <c r="Q390" t="e">
        <f>INDEX(Items!C$2:C$1032,MATCH($O390,Items!$A$2:$A$1032,0))</f>
        <v>#N/A</v>
      </c>
      <c r="R390" t="e">
        <f>INDEX(Items!D$2:D$1032,MATCH($O390,Items!$A$2:$A$1032,0))</f>
        <v>#N/A</v>
      </c>
    </row>
    <row r="391" spans="1:18" x14ac:dyDescent="0.25">
      <c r="A391">
        <f t="shared" si="32"/>
        <v>1</v>
      </c>
      <c r="B391" t="str">
        <f t="shared" si="33"/>
        <v/>
      </c>
      <c r="C391">
        <f t="shared" si="30"/>
        <v>1</v>
      </c>
      <c r="D391" s="4"/>
      <c r="E391" t="s">
        <v>18</v>
      </c>
      <c r="F391" t="str">
        <f>INDEX(Establishment!B$2:B$1005,MATCH($E391,Establishment!$A$2:$A$1005,0))</f>
        <v xml:space="preserve"> </v>
      </c>
      <c r="G391" t="str">
        <f>INDEX(Establishment!C$2:C$1005,MATCH($E391,Establishment!$A$2:$A$1005,0))</f>
        <v xml:space="preserve"> </v>
      </c>
      <c r="M391">
        <f t="shared" si="31"/>
        <v>0</v>
      </c>
      <c r="N391">
        <f t="shared" si="34"/>
        <v>0</v>
      </c>
      <c r="P391" t="e">
        <f>INDEX(Items!B$2:B$1032,MATCH($O391,Items!$A$2:$A$1032,0))</f>
        <v>#N/A</v>
      </c>
      <c r="Q391" t="e">
        <f>INDEX(Items!C$2:C$1032,MATCH($O391,Items!$A$2:$A$1032,0))</f>
        <v>#N/A</v>
      </c>
      <c r="R391" t="e">
        <f>INDEX(Items!D$2:D$1032,MATCH($O391,Items!$A$2:$A$1032,0))</f>
        <v>#N/A</v>
      </c>
    </row>
    <row r="392" spans="1:18" x14ac:dyDescent="0.25">
      <c r="A392">
        <f t="shared" si="32"/>
        <v>1</v>
      </c>
      <c r="B392" t="str">
        <f t="shared" si="33"/>
        <v/>
      </c>
      <c r="C392">
        <f t="shared" si="30"/>
        <v>1</v>
      </c>
      <c r="D392" s="4"/>
      <c r="E392" t="s">
        <v>18</v>
      </c>
      <c r="F392" t="str">
        <f>INDEX(Establishment!B$2:B$1005,MATCH($E392,Establishment!$A$2:$A$1005,0))</f>
        <v xml:space="preserve"> </v>
      </c>
      <c r="G392" t="str">
        <f>INDEX(Establishment!C$2:C$1005,MATCH($E392,Establishment!$A$2:$A$1005,0))</f>
        <v xml:space="preserve"> </v>
      </c>
      <c r="M392">
        <f t="shared" si="31"/>
        <v>0</v>
      </c>
      <c r="N392">
        <f t="shared" si="34"/>
        <v>0</v>
      </c>
      <c r="P392" t="e">
        <f>INDEX(Items!B$2:B$1032,MATCH($O392,Items!$A$2:$A$1032,0))</f>
        <v>#N/A</v>
      </c>
      <c r="Q392" t="e">
        <f>INDEX(Items!C$2:C$1032,MATCH($O392,Items!$A$2:$A$1032,0))</f>
        <v>#N/A</v>
      </c>
      <c r="R392" t="e">
        <f>INDEX(Items!D$2:D$1032,MATCH($O392,Items!$A$2:$A$1032,0))</f>
        <v>#N/A</v>
      </c>
    </row>
    <row r="393" spans="1:18" x14ac:dyDescent="0.25">
      <c r="A393">
        <f t="shared" si="32"/>
        <v>1</v>
      </c>
      <c r="B393" t="str">
        <f t="shared" si="33"/>
        <v/>
      </c>
      <c r="C393">
        <f t="shared" si="30"/>
        <v>1</v>
      </c>
      <c r="D393" s="4"/>
      <c r="E393" t="s">
        <v>18</v>
      </c>
      <c r="F393" t="str">
        <f>INDEX(Establishment!B$2:B$1005,MATCH($E393,Establishment!$A$2:$A$1005,0))</f>
        <v xml:space="preserve"> </v>
      </c>
      <c r="G393" t="str">
        <f>INDEX(Establishment!C$2:C$1005,MATCH($E393,Establishment!$A$2:$A$1005,0))</f>
        <v xml:space="preserve"> </v>
      </c>
      <c r="M393">
        <f t="shared" si="31"/>
        <v>0</v>
      </c>
      <c r="N393">
        <f t="shared" si="34"/>
        <v>0</v>
      </c>
      <c r="P393" t="e">
        <f>INDEX(Items!B$2:B$1032,MATCH($O393,Items!$A$2:$A$1032,0))</f>
        <v>#N/A</v>
      </c>
      <c r="Q393" t="e">
        <f>INDEX(Items!C$2:C$1032,MATCH($O393,Items!$A$2:$A$1032,0))</f>
        <v>#N/A</v>
      </c>
      <c r="R393" t="e">
        <f>INDEX(Items!D$2:D$1032,MATCH($O393,Items!$A$2:$A$1032,0))</f>
        <v>#N/A</v>
      </c>
    </row>
    <row r="394" spans="1:18" x14ac:dyDescent="0.25">
      <c r="A394">
        <f t="shared" si="32"/>
        <v>1</v>
      </c>
      <c r="B394" t="str">
        <f t="shared" si="33"/>
        <v/>
      </c>
      <c r="C394">
        <f t="shared" ref="C394:C457" si="35">IF(OR(B394="",B394&lt;&gt;B393),1,C393+1)</f>
        <v>1</v>
      </c>
      <c r="D394" s="4"/>
      <c r="E394" t="s">
        <v>18</v>
      </c>
      <c r="F394" t="str">
        <f>INDEX(Establishment!B$2:B$1005,MATCH($E394,Establishment!$A$2:$A$1005,0))</f>
        <v xml:space="preserve"> </v>
      </c>
      <c r="G394" t="str">
        <f>INDEX(Establishment!C$2:C$1005,MATCH($E394,Establishment!$A$2:$A$1005,0))</f>
        <v xml:space="preserve"> </v>
      </c>
      <c r="M394">
        <f t="shared" ref="M394:M457" si="36">K394*L394</f>
        <v>0</v>
      </c>
      <c r="N394">
        <f t="shared" si="34"/>
        <v>0</v>
      </c>
      <c r="P394" t="e">
        <f>INDEX(Items!B$2:B$1032,MATCH($O394,Items!$A$2:$A$1032,0))</f>
        <v>#N/A</v>
      </c>
      <c r="Q394" t="e">
        <f>INDEX(Items!C$2:C$1032,MATCH($O394,Items!$A$2:$A$1032,0))</f>
        <v>#N/A</v>
      </c>
      <c r="R394" t="e">
        <f>INDEX(Items!D$2:D$1032,MATCH($O394,Items!$A$2:$A$1032,0))</f>
        <v>#N/A</v>
      </c>
    </row>
    <row r="395" spans="1:18" x14ac:dyDescent="0.25">
      <c r="A395">
        <f t="shared" si="32"/>
        <v>1</v>
      </c>
      <c r="B395" t="str">
        <f t="shared" si="33"/>
        <v/>
      </c>
      <c r="C395">
        <f t="shared" si="35"/>
        <v>1</v>
      </c>
      <c r="D395" s="4"/>
      <c r="E395" t="s">
        <v>18</v>
      </c>
      <c r="F395" t="str">
        <f>INDEX(Establishment!B$2:B$1005,MATCH($E395,Establishment!$A$2:$A$1005,0))</f>
        <v xml:space="preserve"> </v>
      </c>
      <c r="G395" t="str">
        <f>INDEX(Establishment!C$2:C$1005,MATCH($E395,Establishment!$A$2:$A$1005,0))</f>
        <v xml:space="preserve"> </v>
      </c>
      <c r="M395">
        <f t="shared" si="36"/>
        <v>0</v>
      </c>
      <c r="N395">
        <f t="shared" si="34"/>
        <v>0</v>
      </c>
      <c r="P395" t="e">
        <f>INDEX(Items!B$2:B$1032,MATCH($O395,Items!$A$2:$A$1032,0))</f>
        <v>#N/A</v>
      </c>
      <c r="Q395" t="e">
        <f>INDEX(Items!C$2:C$1032,MATCH($O395,Items!$A$2:$A$1032,0))</f>
        <v>#N/A</v>
      </c>
      <c r="R395" t="e">
        <f>INDEX(Items!D$2:D$1032,MATCH($O395,Items!$A$2:$A$1032,0))</f>
        <v>#N/A</v>
      </c>
    </row>
    <row r="396" spans="1:18" x14ac:dyDescent="0.25">
      <c r="A396">
        <f t="shared" si="32"/>
        <v>1</v>
      </c>
      <c r="B396" t="str">
        <f t="shared" si="33"/>
        <v/>
      </c>
      <c r="C396">
        <f t="shared" si="35"/>
        <v>1</v>
      </c>
      <c r="D396" s="4"/>
      <c r="E396" t="s">
        <v>18</v>
      </c>
      <c r="F396" t="str">
        <f>INDEX(Establishment!B$2:B$1005,MATCH($E396,Establishment!$A$2:$A$1005,0))</f>
        <v xml:space="preserve"> </v>
      </c>
      <c r="G396" t="str">
        <f>INDEX(Establishment!C$2:C$1005,MATCH($E396,Establishment!$A$2:$A$1005,0))</f>
        <v xml:space="preserve"> </v>
      </c>
      <c r="M396">
        <f t="shared" si="36"/>
        <v>0</v>
      </c>
      <c r="N396">
        <f t="shared" si="34"/>
        <v>0</v>
      </c>
      <c r="P396" t="e">
        <f>INDEX(Items!B$2:B$1032,MATCH($O396,Items!$A$2:$A$1032,0))</f>
        <v>#N/A</v>
      </c>
      <c r="Q396" t="e">
        <f>INDEX(Items!C$2:C$1032,MATCH($O396,Items!$A$2:$A$1032,0))</f>
        <v>#N/A</v>
      </c>
      <c r="R396" t="e">
        <f>INDEX(Items!D$2:D$1032,MATCH($O396,Items!$A$2:$A$1032,0))</f>
        <v>#N/A</v>
      </c>
    </row>
    <row r="397" spans="1:18" x14ac:dyDescent="0.25">
      <c r="A397">
        <f t="shared" si="32"/>
        <v>1</v>
      </c>
      <c r="B397" t="str">
        <f t="shared" si="33"/>
        <v/>
      </c>
      <c r="C397">
        <f t="shared" si="35"/>
        <v>1</v>
      </c>
      <c r="D397" s="4"/>
      <c r="E397" t="s">
        <v>18</v>
      </c>
      <c r="F397" t="str">
        <f>INDEX(Establishment!B$2:B$1005,MATCH($E397,Establishment!$A$2:$A$1005,0))</f>
        <v xml:space="preserve"> </v>
      </c>
      <c r="G397" t="str">
        <f>INDEX(Establishment!C$2:C$1005,MATCH($E397,Establishment!$A$2:$A$1005,0))</f>
        <v xml:space="preserve"> </v>
      </c>
      <c r="M397">
        <f t="shared" si="36"/>
        <v>0</v>
      </c>
      <c r="N397">
        <f t="shared" si="34"/>
        <v>0</v>
      </c>
      <c r="P397" t="e">
        <f>INDEX(Items!B$2:B$1032,MATCH($O397,Items!$A$2:$A$1032,0))</f>
        <v>#N/A</v>
      </c>
      <c r="Q397" t="e">
        <f>INDEX(Items!C$2:C$1032,MATCH($O397,Items!$A$2:$A$1032,0))</f>
        <v>#N/A</v>
      </c>
      <c r="R397" t="e">
        <f>INDEX(Items!D$2:D$1032,MATCH($O397,Items!$A$2:$A$1032,0))</f>
        <v>#N/A</v>
      </c>
    </row>
    <row r="398" spans="1:18" x14ac:dyDescent="0.25">
      <c r="A398">
        <f t="shared" si="32"/>
        <v>1</v>
      </c>
      <c r="B398" t="str">
        <f t="shared" si="33"/>
        <v/>
      </c>
      <c r="C398">
        <f t="shared" si="35"/>
        <v>1</v>
      </c>
      <c r="D398" s="4"/>
      <c r="E398" t="s">
        <v>18</v>
      </c>
      <c r="F398" t="str">
        <f>INDEX(Establishment!B$2:B$1005,MATCH($E398,Establishment!$A$2:$A$1005,0))</f>
        <v xml:space="preserve"> </v>
      </c>
      <c r="G398" t="str">
        <f>INDEX(Establishment!C$2:C$1005,MATCH($E398,Establishment!$A$2:$A$1005,0))</f>
        <v xml:space="preserve"> </v>
      </c>
      <c r="M398">
        <f t="shared" si="36"/>
        <v>0</v>
      </c>
      <c r="N398">
        <f t="shared" si="34"/>
        <v>0</v>
      </c>
      <c r="P398" t="e">
        <f>INDEX(Items!B$2:B$1032,MATCH($O398,Items!$A$2:$A$1032,0))</f>
        <v>#N/A</v>
      </c>
      <c r="Q398" t="e">
        <f>INDEX(Items!C$2:C$1032,MATCH($O398,Items!$A$2:$A$1032,0))</f>
        <v>#N/A</v>
      </c>
      <c r="R398" t="e">
        <f>INDEX(Items!D$2:D$1032,MATCH($O398,Items!$A$2:$A$1032,0))</f>
        <v>#N/A</v>
      </c>
    </row>
    <row r="399" spans="1:18" x14ac:dyDescent="0.25">
      <c r="A399">
        <f t="shared" si="32"/>
        <v>1</v>
      </c>
      <c r="B399" t="str">
        <f t="shared" si="33"/>
        <v/>
      </c>
      <c r="C399">
        <f t="shared" si="35"/>
        <v>1</v>
      </c>
      <c r="D399" s="4"/>
      <c r="E399" t="s">
        <v>18</v>
      </c>
      <c r="F399" t="str">
        <f>INDEX(Establishment!B$2:B$1005,MATCH($E399,Establishment!$A$2:$A$1005,0))</f>
        <v xml:space="preserve"> </v>
      </c>
      <c r="G399" t="str">
        <f>INDEX(Establishment!C$2:C$1005,MATCH($E399,Establishment!$A$2:$A$1005,0))</f>
        <v xml:space="preserve"> </v>
      </c>
      <c r="M399">
        <f t="shared" si="36"/>
        <v>0</v>
      </c>
      <c r="N399">
        <f t="shared" si="34"/>
        <v>0</v>
      </c>
      <c r="P399" t="e">
        <f>INDEX(Items!B$2:B$1032,MATCH($O399,Items!$A$2:$A$1032,0))</f>
        <v>#N/A</v>
      </c>
      <c r="Q399" t="e">
        <f>INDEX(Items!C$2:C$1032,MATCH($O399,Items!$A$2:$A$1032,0))</f>
        <v>#N/A</v>
      </c>
      <c r="R399" t="e">
        <f>INDEX(Items!D$2:D$1032,MATCH($O399,Items!$A$2:$A$1032,0))</f>
        <v>#N/A</v>
      </c>
    </row>
    <row r="400" spans="1:18" x14ac:dyDescent="0.25">
      <c r="A400">
        <f t="shared" si="32"/>
        <v>1</v>
      </c>
      <c r="B400" t="str">
        <f t="shared" si="33"/>
        <v/>
      </c>
      <c r="C400">
        <f t="shared" si="35"/>
        <v>1</v>
      </c>
      <c r="D400" s="4"/>
      <c r="E400" t="s">
        <v>18</v>
      </c>
      <c r="F400" t="str">
        <f>INDEX(Establishment!B$2:B$1005,MATCH($E400,Establishment!$A$2:$A$1005,0))</f>
        <v xml:space="preserve"> </v>
      </c>
      <c r="G400" t="str">
        <f>INDEX(Establishment!C$2:C$1005,MATCH($E400,Establishment!$A$2:$A$1005,0))</f>
        <v xml:space="preserve"> </v>
      </c>
      <c r="M400">
        <f t="shared" si="36"/>
        <v>0</v>
      </c>
      <c r="N400">
        <f t="shared" si="34"/>
        <v>0</v>
      </c>
      <c r="P400" t="e">
        <f>INDEX(Items!B$2:B$1032,MATCH($O400,Items!$A$2:$A$1032,0))</f>
        <v>#N/A</v>
      </c>
      <c r="Q400" t="e">
        <f>INDEX(Items!C$2:C$1032,MATCH($O400,Items!$A$2:$A$1032,0))</f>
        <v>#N/A</v>
      </c>
      <c r="R400" t="e">
        <f>INDEX(Items!D$2:D$1032,MATCH($O400,Items!$A$2:$A$1032,0))</f>
        <v>#N/A</v>
      </c>
    </row>
    <row r="401" spans="1:18" x14ac:dyDescent="0.25">
      <c r="A401">
        <f t="shared" si="32"/>
        <v>1</v>
      </c>
      <c r="B401" t="str">
        <f t="shared" si="33"/>
        <v/>
      </c>
      <c r="C401">
        <f t="shared" si="35"/>
        <v>1</v>
      </c>
      <c r="D401" s="4"/>
      <c r="E401" t="s">
        <v>18</v>
      </c>
      <c r="F401" t="str">
        <f>INDEX(Establishment!B$2:B$1005,MATCH($E401,Establishment!$A$2:$A$1005,0))</f>
        <v xml:space="preserve"> </v>
      </c>
      <c r="G401" t="str">
        <f>INDEX(Establishment!C$2:C$1005,MATCH($E401,Establishment!$A$2:$A$1005,0))</f>
        <v xml:space="preserve"> </v>
      </c>
      <c r="M401">
        <f t="shared" si="36"/>
        <v>0</v>
      </c>
      <c r="N401">
        <f t="shared" si="34"/>
        <v>0</v>
      </c>
      <c r="P401" t="e">
        <f>INDEX(Items!B$2:B$1032,MATCH($O401,Items!$A$2:$A$1032,0))</f>
        <v>#N/A</v>
      </c>
      <c r="Q401" t="e">
        <f>INDEX(Items!C$2:C$1032,MATCH($O401,Items!$A$2:$A$1032,0))</f>
        <v>#N/A</v>
      </c>
      <c r="R401" t="e">
        <f>INDEX(Items!D$2:D$1032,MATCH($O401,Items!$A$2:$A$1032,0))</f>
        <v>#N/A</v>
      </c>
    </row>
    <row r="402" spans="1:18" x14ac:dyDescent="0.25">
      <c r="A402">
        <f t="shared" si="32"/>
        <v>1</v>
      </c>
      <c r="B402" t="str">
        <f t="shared" si="33"/>
        <v/>
      </c>
      <c r="C402">
        <f t="shared" si="35"/>
        <v>1</v>
      </c>
      <c r="D402" s="4"/>
      <c r="E402" t="s">
        <v>18</v>
      </c>
      <c r="F402" t="str">
        <f>INDEX(Establishment!B$2:B$1005,MATCH($E402,Establishment!$A$2:$A$1005,0))</f>
        <v xml:space="preserve"> </v>
      </c>
      <c r="G402" t="str">
        <f>INDEX(Establishment!C$2:C$1005,MATCH($E402,Establishment!$A$2:$A$1005,0))</f>
        <v xml:space="preserve"> </v>
      </c>
      <c r="M402">
        <f t="shared" si="36"/>
        <v>0</v>
      </c>
      <c r="N402">
        <f t="shared" si="34"/>
        <v>0</v>
      </c>
      <c r="P402" t="e">
        <f>INDEX(Items!B$2:B$1032,MATCH($O402,Items!$A$2:$A$1032,0))</f>
        <v>#N/A</v>
      </c>
      <c r="Q402" t="e">
        <f>INDEX(Items!C$2:C$1032,MATCH($O402,Items!$A$2:$A$1032,0))</f>
        <v>#N/A</v>
      </c>
      <c r="R402" t="e">
        <f>INDEX(Items!D$2:D$1032,MATCH($O402,Items!$A$2:$A$1032,0))</f>
        <v>#N/A</v>
      </c>
    </row>
    <row r="403" spans="1:18" x14ac:dyDescent="0.25">
      <c r="A403">
        <f t="shared" si="32"/>
        <v>1</v>
      </c>
      <c r="B403" t="str">
        <f t="shared" si="33"/>
        <v/>
      </c>
      <c r="C403">
        <f t="shared" si="35"/>
        <v>1</v>
      </c>
      <c r="D403" s="4"/>
      <c r="E403" t="s">
        <v>18</v>
      </c>
      <c r="F403" t="str">
        <f>INDEX(Establishment!B$2:B$1005,MATCH($E403,Establishment!$A$2:$A$1005,0))</f>
        <v xml:space="preserve"> </v>
      </c>
      <c r="G403" t="str">
        <f>INDEX(Establishment!C$2:C$1005,MATCH($E403,Establishment!$A$2:$A$1005,0))</f>
        <v xml:space="preserve"> </v>
      </c>
      <c r="M403">
        <f t="shared" si="36"/>
        <v>0</v>
      </c>
      <c r="N403">
        <f t="shared" si="34"/>
        <v>0</v>
      </c>
      <c r="P403" t="e">
        <f>INDEX(Items!B$2:B$1032,MATCH($O403,Items!$A$2:$A$1032,0))</f>
        <v>#N/A</v>
      </c>
      <c r="Q403" t="e">
        <f>INDEX(Items!C$2:C$1032,MATCH($O403,Items!$A$2:$A$1032,0))</f>
        <v>#N/A</v>
      </c>
      <c r="R403" t="e">
        <f>INDEX(Items!D$2:D$1032,MATCH($O403,Items!$A$2:$A$1032,0))</f>
        <v>#N/A</v>
      </c>
    </row>
    <row r="404" spans="1:18" x14ac:dyDescent="0.25">
      <c r="A404">
        <f t="shared" si="32"/>
        <v>1</v>
      </c>
      <c r="B404" t="str">
        <f t="shared" si="33"/>
        <v/>
      </c>
      <c r="C404">
        <f t="shared" si="35"/>
        <v>1</v>
      </c>
      <c r="D404" s="4"/>
      <c r="E404" t="s">
        <v>18</v>
      </c>
      <c r="F404" t="str">
        <f>INDEX(Establishment!B$2:B$1005,MATCH($E404,Establishment!$A$2:$A$1005,0))</f>
        <v xml:space="preserve"> </v>
      </c>
      <c r="G404" t="str">
        <f>INDEX(Establishment!C$2:C$1005,MATCH($E404,Establishment!$A$2:$A$1005,0))</f>
        <v xml:space="preserve"> </v>
      </c>
      <c r="M404">
        <f t="shared" si="36"/>
        <v>0</v>
      </c>
      <c r="N404">
        <f t="shared" si="34"/>
        <v>0</v>
      </c>
      <c r="P404" t="e">
        <f>INDEX(Items!B$2:B$1032,MATCH($O404,Items!$A$2:$A$1032,0))</f>
        <v>#N/A</v>
      </c>
      <c r="Q404" t="e">
        <f>INDEX(Items!C$2:C$1032,MATCH($O404,Items!$A$2:$A$1032,0))</f>
        <v>#N/A</v>
      </c>
      <c r="R404" t="e">
        <f>INDEX(Items!D$2:D$1032,MATCH($O404,Items!$A$2:$A$1032,0))</f>
        <v>#N/A</v>
      </c>
    </row>
    <row r="405" spans="1:18" x14ac:dyDescent="0.25">
      <c r="A405">
        <f t="shared" si="32"/>
        <v>1</v>
      </c>
      <c r="B405" t="str">
        <f t="shared" si="33"/>
        <v/>
      </c>
      <c r="C405">
        <f t="shared" si="35"/>
        <v>1</v>
      </c>
      <c r="D405" s="4"/>
      <c r="E405" t="s">
        <v>18</v>
      </c>
      <c r="F405" t="str">
        <f>INDEX(Establishment!B$2:B$1005,MATCH($E405,Establishment!$A$2:$A$1005,0))</f>
        <v xml:space="preserve"> </v>
      </c>
      <c r="G405" t="str">
        <f>INDEX(Establishment!C$2:C$1005,MATCH($E405,Establishment!$A$2:$A$1005,0))</f>
        <v xml:space="preserve"> </v>
      </c>
      <c r="M405">
        <f t="shared" si="36"/>
        <v>0</v>
      </c>
      <c r="N405">
        <f t="shared" si="34"/>
        <v>0</v>
      </c>
      <c r="P405" t="e">
        <f>INDEX(Items!B$2:B$1032,MATCH($O405,Items!$A$2:$A$1032,0))</f>
        <v>#N/A</v>
      </c>
      <c r="Q405" t="e">
        <f>INDEX(Items!C$2:C$1032,MATCH($O405,Items!$A$2:$A$1032,0))</f>
        <v>#N/A</v>
      </c>
      <c r="R405" t="e">
        <f>INDEX(Items!D$2:D$1032,MATCH($O405,Items!$A$2:$A$1032,0))</f>
        <v>#N/A</v>
      </c>
    </row>
    <row r="406" spans="1:18" x14ac:dyDescent="0.25">
      <c r="A406">
        <f t="shared" si="32"/>
        <v>1</v>
      </c>
      <c r="B406" t="str">
        <f t="shared" si="33"/>
        <v/>
      </c>
      <c r="C406">
        <f t="shared" si="35"/>
        <v>1</v>
      </c>
      <c r="D406" s="4"/>
      <c r="E406" t="s">
        <v>18</v>
      </c>
      <c r="F406" t="str">
        <f>INDEX(Establishment!B$2:B$1005,MATCH($E406,Establishment!$A$2:$A$1005,0))</f>
        <v xml:space="preserve"> </v>
      </c>
      <c r="G406" t="str">
        <f>INDEX(Establishment!C$2:C$1005,MATCH($E406,Establishment!$A$2:$A$1005,0))</f>
        <v xml:space="preserve"> </v>
      </c>
      <c r="M406">
        <f t="shared" si="36"/>
        <v>0</v>
      </c>
      <c r="N406">
        <f t="shared" si="34"/>
        <v>0</v>
      </c>
      <c r="P406" t="e">
        <f>INDEX(Items!B$2:B$1032,MATCH($O406,Items!$A$2:$A$1032,0))</f>
        <v>#N/A</v>
      </c>
      <c r="Q406" t="e">
        <f>INDEX(Items!C$2:C$1032,MATCH($O406,Items!$A$2:$A$1032,0))</f>
        <v>#N/A</v>
      </c>
      <c r="R406" t="e">
        <f>INDEX(Items!D$2:D$1032,MATCH($O406,Items!$A$2:$A$1032,0))</f>
        <v>#N/A</v>
      </c>
    </row>
    <row r="407" spans="1:18" x14ac:dyDescent="0.25">
      <c r="A407">
        <f t="shared" si="32"/>
        <v>1</v>
      </c>
      <c r="B407" t="str">
        <f t="shared" si="33"/>
        <v/>
      </c>
      <c r="C407">
        <f t="shared" si="35"/>
        <v>1</v>
      </c>
      <c r="D407" s="4"/>
      <c r="E407" t="s">
        <v>18</v>
      </c>
      <c r="F407" t="str">
        <f>INDEX(Establishment!B$2:B$1005,MATCH($E407,Establishment!$A$2:$A$1005,0))</f>
        <v xml:space="preserve"> </v>
      </c>
      <c r="G407" t="str">
        <f>INDEX(Establishment!C$2:C$1005,MATCH($E407,Establishment!$A$2:$A$1005,0))</f>
        <v xml:space="preserve"> </v>
      </c>
      <c r="M407">
        <f t="shared" si="36"/>
        <v>0</v>
      </c>
      <c r="N407">
        <f t="shared" si="34"/>
        <v>0</v>
      </c>
      <c r="P407" t="e">
        <f>INDEX(Items!B$2:B$1032,MATCH($O407,Items!$A$2:$A$1032,0))</f>
        <v>#N/A</v>
      </c>
      <c r="Q407" t="e">
        <f>INDEX(Items!C$2:C$1032,MATCH($O407,Items!$A$2:$A$1032,0))</f>
        <v>#N/A</v>
      </c>
      <c r="R407" t="e">
        <f>INDEX(Items!D$2:D$1032,MATCH($O407,Items!$A$2:$A$1032,0))</f>
        <v>#N/A</v>
      </c>
    </row>
    <row r="408" spans="1:18" x14ac:dyDescent="0.25">
      <c r="A408">
        <f t="shared" si="32"/>
        <v>1</v>
      </c>
      <c r="B408" t="str">
        <f t="shared" si="33"/>
        <v/>
      </c>
      <c r="C408">
        <f t="shared" si="35"/>
        <v>1</v>
      </c>
      <c r="D408" s="4"/>
      <c r="E408" t="s">
        <v>18</v>
      </c>
      <c r="F408" t="str">
        <f>INDEX(Establishment!B$2:B$1005,MATCH($E408,Establishment!$A$2:$A$1005,0))</f>
        <v xml:space="preserve"> </v>
      </c>
      <c r="G408" t="str">
        <f>INDEX(Establishment!C$2:C$1005,MATCH($E408,Establishment!$A$2:$A$1005,0))</f>
        <v xml:space="preserve"> </v>
      </c>
      <c r="M408">
        <f t="shared" si="36"/>
        <v>0</v>
      </c>
      <c r="N408">
        <f t="shared" si="34"/>
        <v>0</v>
      </c>
      <c r="P408" t="e">
        <f>INDEX(Items!B$2:B$1032,MATCH($O408,Items!$A$2:$A$1032,0))</f>
        <v>#N/A</v>
      </c>
      <c r="Q408" t="e">
        <f>INDEX(Items!C$2:C$1032,MATCH($O408,Items!$A$2:$A$1032,0))</f>
        <v>#N/A</v>
      </c>
      <c r="R408" t="e">
        <f>INDEX(Items!D$2:D$1032,MATCH($O408,Items!$A$2:$A$1032,0))</f>
        <v>#N/A</v>
      </c>
    </row>
    <row r="409" spans="1:18" x14ac:dyDescent="0.25">
      <c r="A409">
        <f t="shared" si="32"/>
        <v>1</v>
      </c>
      <c r="B409" t="str">
        <f t="shared" si="33"/>
        <v/>
      </c>
      <c r="C409">
        <f t="shared" si="35"/>
        <v>1</v>
      </c>
      <c r="D409" s="4"/>
      <c r="E409" t="s">
        <v>18</v>
      </c>
      <c r="F409" t="str">
        <f>INDEX(Establishment!B$2:B$1005,MATCH($E409,Establishment!$A$2:$A$1005,0))</f>
        <v xml:space="preserve"> </v>
      </c>
      <c r="G409" t="str">
        <f>INDEX(Establishment!C$2:C$1005,MATCH($E409,Establishment!$A$2:$A$1005,0))</f>
        <v xml:space="preserve"> </v>
      </c>
      <c r="M409">
        <f t="shared" si="36"/>
        <v>0</v>
      </c>
      <c r="N409">
        <f t="shared" si="34"/>
        <v>0</v>
      </c>
      <c r="P409" t="e">
        <f>INDEX(Items!B$2:B$1032,MATCH($O409,Items!$A$2:$A$1032,0))</f>
        <v>#N/A</v>
      </c>
      <c r="Q409" t="e">
        <f>INDEX(Items!C$2:C$1032,MATCH($O409,Items!$A$2:$A$1032,0))</f>
        <v>#N/A</v>
      </c>
      <c r="R409" t="e">
        <f>INDEX(Items!D$2:D$1032,MATCH($O409,Items!$A$2:$A$1032,0))</f>
        <v>#N/A</v>
      </c>
    </row>
    <row r="410" spans="1:18" x14ac:dyDescent="0.25">
      <c r="A410">
        <f t="shared" si="32"/>
        <v>1</v>
      </c>
      <c r="B410" t="str">
        <f t="shared" si="33"/>
        <v/>
      </c>
      <c r="C410">
        <f t="shared" si="35"/>
        <v>1</v>
      </c>
      <c r="D410" s="4"/>
      <c r="E410" t="s">
        <v>18</v>
      </c>
      <c r="F410" t="str">
        <f>INDEX(Establishment!B$2:B$1005,MATCH($E410,Establishment!$A$2:$A$1005,0))</f>
        <v xml:space="preserve"> </v>
      </c>
      <c r="G410" t="str">
        <f>INDEX(Establishment!C$2:C$1005,MATCH($E410,Establishment!$A$2:$A$1005,0))</f>
        <v xml:space="preserve"> </v>
      </c>
      <c r="M410">
        <f t="shared" si="36"/>
        <v>0</v>
      </c>
      <c r="N410">
        <f t="shared" si="34"/>
        <v>0</v>
      </c>
      <c r="P410" t="e">
        <f>INDEX(Items!B$2:B$1032,MATCH($O410,Items!$A$2:$A$1032,0))</f>
        <v>#N/A</v>
      </c>
      <c r="Q410" t="e">
        <f>INDEX(Items!C$2:C$1032,MATCH($O410,Items!$A$2:$A$1032,0))</f>
        <v>#N/A</v>
      </c>
      <c r="R410" t="e">
        <f>INDEX(Items!D$2:D$1032,MATCH($O410,Items!$A$2:$A$1032,0))</f>
        <v>#N/A</v>
      </c>
    </row>
    <row r="411" spans="1:18" x14ac:dyDescent="0.25">
      <c r="A411">
        <f t="shared" si="32"/>
        <v>1</v>
      </c>
      <c r="B411" t="str">
        <f t="shared" si="33"/>
        <v/>
      </c>
      <c r="C411">
        <f t="shared" si="35"/>
        <v>1</v>
      </c>
      <c r="D411" s="4"/>
      <c r="E411" t="s">
        <v>18</v>
      </c>
      <c r="F411" t="str">
        <f>INDEX(Establishment!B$2:B$1005,MATCH($E411,Establishment!$A$2:$A$1005,0))</f>
        <v xml:space="preserve"> </v>
      </c>
      <c r="G411" t="str">
        <f>INDEX(Establishment!C$2:C$1005,MATCH($E411,Establishment!$A$2:$A$1005,0))</f>
        <v xml:space="preserve"> </v>
      </c>
      <c r="M411">
        <f t="shared" si="36"/>
        <v>0</v>
      </c>
      <c r="N411">
        <f t="shared" si="34"/>
        <v>0</v>
      </c>
      <c r="P411" t="e">
        <f>INDEX(Items!B$2:B$1032,MATCH($O411,Items!$A$2:$A$1032,0))</f>
        <v>#N/A</v>
      </c>
      <c r="Q411" t="e">
        <f>INDEX(Items!C$2:C$1032,MATCH($O411,Items!$A$2:$A$1032,0))</f>
        <v>#N/A</v>
      </c>
      <c r="R411" t="e">
        <f>INDEX(Items!D$2:D$1032,MATCH($O411,Items!$A$2:$A$1032,0))</f>
        <v>#N/A</v>
      </c>
    </row>
    <row r="412" spans="1:18" x14ac:dyDescent="0.25">
      <c r="A412">
        <f t="shared" si="32"/>
        <v>1</v>
      </c>
      <c r="B412" t="str">
        <f t="shared" si="33"/>
        <v/>
      </c>
      <c r="C412">
        <f t="shared" si="35"/>
        <v>1</v>
      </c>
      <c r="D412" s="4"/>
      <c r="E412" t="s">
        <v>18</v>
      </c>
      <c r="F412" t="str">
        <f>INDEX(Establishment!B$2:B$1005,MATCH($E412,Establishment!$A$2:$A$1005,0))</f>
        <v xml:space="preserve"> </v>
      </c>
      <c r="G412" t="str">
        <f>INDEX(Establishment!C$2:C$1005,MATCH($E412,Establishment!$A$2:$A$1005,0))</f>
        <v xml:space="preserve"> </v>
      </c>
      <c r="M412">
        <f t="shared" si="36"/>
        <v>0</v>
      </c>
      <c r="N412">
        <f t="shared" si="34"/>
        <v>0</v>
      </c>
      <c r="P412" t="e">
        <f>INDEX(Items!B$2:B$1032,MATCH($O412,Items!$A$2:$A$1032,0))</f>
        <v>#N/A</v>
      </c>
      <c r="Q412" t="e">
        <f>INDEX(Items!C$2:C$1032,MATCH($O412,Items!$A$2:$A$1032,0))</f>
        <v>#N/A</v>
      </c>
      <c r="R412" t="e">
        <f>INDEX(Items!D$2:D$1032,MATCH($O412,Items!$A$2:$A$1032,0))</f>
        <v>#N/A</v>
      </c>
    </row>
    <row r="413" spans="1:18" x14ac:dyDescent="0.25">
      <c r="A413">
        <f t="shared" si="32"/>
        <v>1</v>
      </c>
      <c r="B413" t="str">
        <f t="shared" si="33"/>
        <v/>
      </c>
      <c r="C413">
        <f t="shared" si="35"/>
        <v>1</v>
      </c>
      <c r="D413" s="4"/>
      <c r="E413" t="s">
        <v>18</v>
      </c>
      <c r="F413" t="str">
        <f>INDEX(Establishment!B$2:B$1005,MATCH($E413,Establishment!$A$2:$A$1005,0))</f>
        <v xml:space="preserve"> </v>
      </c>
      <c r="G413" t="str">
        <f>INDEX(Establishment!C$2:C$1005,MATCH($E413,Establishment!$A$2:$A$1005,0))</f>
        <v xml:space="preserve"> </v>
      </c>
      <c r="M413">
        <f t="shared" si="36"/>
        <v>0</v>
      </c>
      <c r="N413">
        <f t="shared" si="34"/>
        <v>0</v>
      </c>
      <c r="P413" t="e">
        <f>INDEX(Items!B$2:B$1032,MATCH($O413,Items!$A$2:$A$1032,0))</f>
        <v>#N/A</v>
      </c>
      <c r="Q413" t="e">
        <f>INDEX(Items!C$2:C$1032,MATCH($O413,Items!$A$2:$A$1032,0))</f>
        <v>#N/A</v>
      </c>
      <c r="R413" t="e">
        <f>INDEX(Items!D$2:D$1032,MATCH($O413,Items!$A$2:$A$1032,0))</f>
        <v>#N/A</v>
      </c>
    </row>
    <row r="414" spans="1:18" x14ac:dyDescent="0.25">
      <c r="A414">
        <f t="shared" si="32"/>
        <v>1</v>
      </c>
      <c r="B414" t="str">
        <f t="shared" si="33"/>
        <v/>
      </c>
      <c r="C414">
        <f t="shared" si="35"/>
        <v>1</v>
      </c>
      <c r="D414" s="4"/>
      <c r="E414" t="s">
        <v>18</v>
      </c>
      <c r="F414" t="str">
        <f>INDEX(Establishment!B$2:B$1005,MATCH($E414,Establishment!$A$2:$A$1005,0))</f>
        <v xml:space="preserve"> </v>
      </c>
      <c r="G414" t="str">
        <f>INDEX(Establishment!C$2:C$1005,MATCH($E414,Establishment!$A$2:$A$1005,0))</f>
        <v xml:space="preserve"> </v>
      </c>
      <c r="M414">
        <f t="shared" si="36"/>
        <v>0</v>
      </c>
      <c r="N414">
        <f t="shared" si="34"/>
        <v>0</v>
      </c>
      <c r="P414" t="e">
        <f>INDEX(Items!B$2:B$1032,MATCH($O414,Items!$A$2:$A$1032,0))</f>
        <v>#N/A</v>
      </c>
      <c r="Q414" t="e">
        <f>INDEX(Items!C$2:C$1032,MATCH($O414,Items!$A$2:$A$1032,0))</f>
        <v>#N/A</v>
      </c>
      <c r="R414" t="e">
        <f>INDEX(Items!D$2:D$1032,MATCH($O414,Items!$A$2:$A$1032,0))</f>
        <v>#N/A</v>
      </c>
    </row>
    <row r="415" spans="1:18" x14ac:dyDescent="0.25">
      <c r="A415">
        <f t="shared" si="32"/>
        <v>1</v>
      </c>
      <c r="B415" t="str">
        <f t="shared" si="33"/>
        <v/>
      </c>
      <c r="C415">
        <f t="shared" si="35"/>
        <v>1</v>
      </c>
      <c r="D415" s="4"/>
      <c r="E415" t="s">
        <v>18</v>
      </c>
      <c r="F415" t="str">
        <f>INDEX(Establishment!B$2:B$1005,MATCH($E415,Establishment!$A$2:$A$1005,0))</f>
        <v xml:space="preserve"> </v>
      </c>
      <c r="G415" t="str">
        <f>INDEX(Establishment!C$2:C$1005,MATCH($E415,Establishment!$A$2:$A$1005,0))</f>
        <v xml:space="preserve"> </v>
      </c>
      <c r="M415">
        <f t="shared" si="36"/>
        <v>0</v>
      </c>
      <c r="N415">
        <f t="shared" si="34"/>
        <v>0</v>
      </c>
      <c r="P415" t="e">
        <f>INDEX(Items!B$2:B$1032,MATCH($O415,Items!$A$2:$A$1032,0))</f>
        <v>#N/A</v>
      </c>
      <c r="Q415" t="e">
        <f>INDEX(Items!C$2:C$1032,MATCH($O415,Items!$A$2:$A$1032,0))</f>
        <v>#N/A</v>
      </c>
      <c r="R415" t="e">
        <f>INDEX(Items!D$2:D$1032,MATCH($O415,Items!$A$2:$A$1032,0))</f>
        <v>#N/A</v>
      </c>
    </row>
    <row r="416" spans="1:18" x14ac:dyDescent="0.25">
      <c r="A416">
        <f t="shared" si="32"/>
        <v>1</v>
      </c>
      <c r="B416" t="str">
        <f t="shared" si="33"/>
        <v/>
      </c>
      <c r="C416">
        <f t="shared" si="35"/>
        <v>1</v>
      </c>
      <c r="D416" s="4"/>
      <c r="E416" t="s">
        <v>18</v>
      </c>
      <c r="F416" t="str">
        <f>INDEX(Establishment!B$2:B$1005,MATCH($E416,Establishment!$A$2:$A$1005,0))</f>
        <v xml:space="preserve"> </v>
      </c>
      <c r="G416" t="str">
        <f>INDEX(Establishment!C$2:C$1005,MATCH($E416,Establishment!$A$2:$A$1005,0))</f>
        <v xml:space="preserve"> </v>
      </c>
      <c r="M416">
        <f t="shared" si="36"/>
        <v>0</v>
      </c>
      <c r="N416">
        <f t="shared" si="34"/>
        <v>0</v>
      </c>
      <c r="P416" t="e">
        <f>INDEX(Items!B$2:B$1032,MATCH($O416,Items!$A$2:$A$1032,0))</f>
        <v>#N/A</v>
      </c>
      <c r="Q416" t="e">
        <f>INDEX(Items!C$2:C$1032,MATCH($O416,Items!$A$2:$A$1032,0))</f>
        <v>#N/A</v>
      </c>
      <c r="R416" t="e">
        <f>INDEX(Items!D$2:D$1032,MATCH($O416,Items!$A$2:$A$1032,0))</f>
        <v>#N/A</v>
      </c>
    </row>
    <row r="417" spans="1:18" x14ac:dyDescent="0.25">
      <c r="A417">
        <f t="shared" si="32"/>
        <v>1</v>
      </c>
      <c r="B417" t="str">
        <f t="shared" si="33"/>
        <v/>
      </c>
      <c r="C417">
        <f t="shared" si="35"/>
        <v>1</v>
      </c>
      <c r="D417" s="4"/>
      <c r="E417" t="s">
        <v>18</v>
      </c>
      <c r="F417" t="str">
        <f>INDEX(Establishment!B$2:B$1005,MATCH($E417,Establishment!$A$2:$A$1005,0))</f>
        <v xml:space="preserve"> </v>
      </c>
      <c r="G417" t="str">
        <f>INDEX(Establishment!C$2:C$1005,MATCH($E417,Establishment!$A$2:$A$1005,0))</f>
        <v xml:space="preserve"> </v>
      </c>
      <c r="M417">
        <f t="shared" si="36"/>
        <v>0</v>
      </c>
      <c r="N417">
        <f t="shared" si="34"/>
        <v>0</v>
      </c>
      <c r="P417" t="e">
        <f>INDEX(Items!B$2:B$1032,MATCH($O417,Items!$A$2:$A$1032,0))</f>
        <v>#N/A</v>
      </c>
      <c r="Q417" t="e">
        <f>INDEX(Items!C$2:C$1032,MATCH($O417,Items!$A$2:$A$1032,0))</f>
        <v>#N/A</v>
      </c>
      <c r="R417" t="e">
        <f>INDEX(Items!D$2:D$1032,MATCH($O417,Items!$A$2:$A$1032,0))</f>
        <v>#N/A</v>
      </c>
    </row>
    <row r="418" spans="1:18" x14ac:dyDescent="0.25">
      <c r="A418">
        <f t="shared" si="32"/>
        <v>1</v>
      </c>
      <c r="B418" t="str">
        <f t="shared" si="33"/>
        <v/>
      </c>
      <c r="C418">
        <f t="shared" si="35"/>
        <v>1</v>
      </c>
      <c r="D418" s="4"/>
      <c r="E418" t="s">
        <v>18</v>
      </c>
      <c r="F418" t="str">
        <f>INDEX(Establishment!B$2:B$1005,MATCH($E418,Establishment!$A$2:$A$1005,0))</f>
        <v xml:space="preserve"> </v>
      </c>
      <c r="G418" t="str">
        <f>INDEX(Establishment!C$2:C$1005,MATCH($E418,Establishment!$A$2:$A$1005,0))</f>
        <v xml:space="preserve"> </v>
      </c>
      <c r="M418">
        <f t="shared" si="36"/>
        <v>0</v>
      </c>
      <c r="N418">
        <f t="shared" si="34"/>
        <v>0</v>
      </c>
      <c r="P418" t="e">
        <f>INDEX(Items!B$2:B$1032,MATCH($O418,Items!$A$2:$A$1032,0))</f>
        <v>#N/A</v>
      </c>
      <c r="Q418" t="e">
        <f>INDEX(Items!C$2:C$1032,MATCH($O418,Items!$A$2:$A$1032,0))</f>
        <v>#N/A</v>
      </c>
      <c r="R418" t="e">
        <f>INDEX(Items!D$2:D$1032,MATCH($O418,Items!$A$2:$A$1032,0))</f>
        <v>#N/A</v>
      </c>
    </row>
    <row r="419" spans="1:18" x14ac:dyDescent="0.25">
      <c r="A419">
        <f t="shared" si="32"/>
        <v>1</v>
      </c>
      <c r="B419" t="str">
        <f t="shared" si="33"/>
        <v/>
      </c>
      <c r="C419">
        <f t="shared" si="35"/>
        <v>1</v>
      </c>
      <c r="D419" s="4"/>
      <c r="E419" t="s">
        <v>18</v>
      </c>
      <c r="F419" t="str">
        <f>INDEX(Establishment!B$2:B$1005,MATCH($E419,Establishment!$A$2:$A$1005,0))</f>
        <v xml:space="preserve"> </v>
      </c>
      <c r="G419" t="str">
        <f>INDEX(Establishment!C$2:C$1005,MATCH($E419,Establishment!$A$2:$A$1005,0))</f>
        <v xml:space="preserve"> </v>
      </c>
      <c r="M419">
        <f t="shared" si="36"/>
        <v>0</v>
      </c>
      <c r="N419">
        <f t="shared" si="34"/>
        <v>0</v>
      </c>
      <c r="P419" t="e">
        <f>INDEX(Items!B$2:B$1032,MATCH($O419,Items!$A$2:$A$1032,0))</f>
        <v>#N/A</v>
      </c>
      <c r="Q419" t="e">
        <f>INDEX(Items!C$2:C$1032,MATCH($O419,Items!$A$2:$A$1032,0))</f>
        <v>#N/A</v>
      </c>
      <c r="R419" t="e">
        <f>INDEX(Items!D$2:D$1032,MATCH($O419,Items!$A$2:$A$1032,0))</f>
        <v>#N/A</v>
      </c>
    </row>
    <row r="420" spans="1:18" x14ac:dyDescent="0.25">
      <c r="A420">
        <f t="shared" si="32"/>
        <v>1</v>
      </c>
      <c r="B420" t="str">
        <f t="shared" si="33"/>
        <v/>
      </c>
      <c r="C420">
        <f t="shared" si="35"/>
        <v>1</v>
      </c>
      <c r="D420" s="4"/>
      <c r="E420" t="s">
        <v>18</v>
      </c>
      <c r="F420" t="str">
        <f>INDEX(Establishment!B$2:B$1005,MATCH($E420,Establishment!$A$2:$A$1005,0))</f>
        <v xml:space="preserve"> </v>
      </c>
      <c r="G420" t="str">
        <f>INDEX(Establishment!C$2:C$1005,MATCH($E420,Establishment!$A$2:$A$1005,0))</f>
        <v xml:space="preserve"> </v>
      </c>
      <c r="M420">
        <f t="shared" si="36"/>
        <v>0</v>
      </c>
      <c r="N420">
        <f t="shared" si="34"/>
        <v>0</v>
      </c>
      <c r="P420" t="e">
        <f>INDEX(Items!B$2:B$1032,MATCH($O420,Items!$A$2:$A$1032,0))</f>
        <v>#N/A</v>
      </c>
      <c r="Q420" t="e">
        <f>INDEX(Items!C$2:C$1032,MATCH($O420,Items!$A$2:$A$1032,0))</f>
        <v>#N/A</v>
      </c>
      <c r="R420" t="e">
        <f>INDEX(Items!D$2:D$1032,MATCH($O420,Items!$A$2:$A$1032,0))</f>
        <v>#N/A</v>
      </c>
    </row>
    <row r="421" spans="1:18" x14ac:dyDescent="0.25">
      <c r="A421">
        <f t="shared" si="32"/>
        <v>1</v>
      </c>
      <c r="B421" t="str">
        <f t="shared" si="33"/>
        <v/>
      </c>
      <c r="C421">
        <f t="shared" si="35"/>
        <v>1</v>
      </c>
      <c r="D421" s="4"/>
      <c r="E421" t="s">
        <v>18</v>
      </c>
      <c r="F421" t="str">
        <f>INDEX(Establishment!B$2:B$1005,MATCH($E421,Establishment!$A$2:$A$1005,0))</f>
        <v xml:space="preserve"> </v>
      </c>
      <c r="G421" t="str">
        <f>INDEX(Establishment!C$2:C$1005,MATCH($E421,Establishment!$A$2:$A$1005,0))</f>
        <v xml:space="preserve"> </v>
      </c>
      <c r="M421">
        <f t="shared" si="36"/>
        <v>0</v>
      </c>
      <c r="N421">
        <f t="shared" si="34"/>
        <v>0</v>
      </c>
      <c r="P421" t="e">
        <f>INDEX(Items!B$2:B$1032,MATCH($O421,Items!$A$2:$A$1032,0))</f>
        <v>#N/A</v>
      </c>
      <c r="Q421" t="e">
        <f>INDEX(Items!C$2:C$1032,MATCH($O421,Items!$A$2:$A$1032,0))</f>
        <v>#N/A</v>
      </c>
      <c r="R421" t="e">
        <f>INDEX(Items!D$2:D$1032,MATCH($O421,Items!$A$2:$A$1032,0))</f>
        <v>#N/A</v>
      </c>
    </row>
    <row r="422" spans="1:18" x14ac:dyDescent="0.25">
      <c r="A422">
        <f t="shared" si="32"/>
        <v>1</v>
      </c>
      <c r="B422" t="str">
        <f t="shared" si="33"/>
        <v/>
      </c>
      <c r="C422">
        <f t="shared" si="35"/>
        <v>1</v>
      </c>
      <c r="D422" s="4"/>
      <c r="E422" t="s">
        <v>18</v>
      </c>
      <c r="F422" t="str">
        <f>INDEX(Establishment!B$2:B$1005,MATCH($E422,Establishment!$A$2:$A$1005,0))</f>
        <v xml:space="preserve"> </v>
      </c>
      <c r="G422" t="str">
        <f>INDEX(Establishment!C$2:C$1005,MATCH($E422,Establishment!$A$2:$A$1005,0))</f>
        <v xml:space="preserve"> </v>
      </c>
      <c r="M422">
        <f t="shared" si="36"/>
        <v>0</v>
      </c>
      <c r="N422">
        <f t="shared" si="34"/>
        <v>0</v>
      </c>
      <c r="P422" t="e">
        <f>INDEX(Items!B$2:B$1032,MATCH($O422,Items!$A$2:$A$1032,0))</f>
        <v>#N/A</v>
      </c>
      <c r="Q422" t="e">
        <f>INDEX(Items!C$2:C$1032,MATCH($O422,Items!$A$2:$A$1032,0))</f>
        <v>#N/A</v>
      </c>
      <c r="R422" t="e">
        <f>INDEX(Items!D$2:D$1032,MATCH($O422,Items!$A$2:$A$1032,0))</f>
        <v>#N/A</v>
      </c>
    </row>
    <row r="423" spans="1:18" x14ac:dyDescent="0.25">
      <c r="A423">
        <f t="shared" si="32"/>
        <v>1</v>
      </c>
      <c r="B423" t="str">
        <f t="shared" si="33"/>
        <v/>
      </c>
      <c r="C423">
        <f t="shared" si="35"/>
        <v>1</v>
      </c>
      <c r="D423" s="4"/>
      <c r="E423" t="s">
        <v>18</v>
      </c>
      <c r="F423" t="str">
        <f>INDEX(Establishment!B$2:B$1005,MATCH($E423,Establishment!$A$2:$A$1005,0))</f>
        <v xml:space="preserve"> </v>
      </c>
      <c r="G423" t="str">
        <f>INDEX(Establishment!C$2:C$1005,MATCH($E423,Establishment!$A$2:$A$1005,0))</f>
        <v xml:space="preserve"> </v>
      </c>
      <c r="M423">
        <f t="shared" si="36"/>
        <v>0</v>
      </c>
      <c r="N423">
        <f t="shared" si="34"/>
        <v>0</v>
      </c>
      <c r="P423" t="e">
        <f>INDEX(Items!B$2:B$1032,MATCH($O423,Items!$A$2:$A$1032,0))</f>
        <v>#N/A</v>
      </c>
      <c r="Q423" t="e">
        <f>INDEX(Items!C$2:C$1032,MATCH($O423,Items!$A$2:$A$1032,0))</f>
        <v>#N/A</v>
      </c>
      <c r="R423" t="e">
        <f>INDEX(Items!D$2:D$1032,MATCH($O423,Items!$A$2:$A$1032,0))</f>
        <v>#N/A</v>
      </c>
    </row>
    <row r="424" spans="1:18" x14ac:dyDescent="0.25">
      <c r="A424">
        <f t="shared" si="32"/>
        <v>1</v>
      </c>
      <c r="B424" t="str">
        <f t="shared" si="33"/>
        <v/>
      </c>
      <c r="C424">
        <f t="shared" si="35"/>
        <v>1</v>
      </c>
      <c r="D424" s="4"/>
      <c r="E424" t="s">
        <v>18</v>
      </c>
      <c r="F424" t="str">
        <f>INDEX(Establishment!B$2:B$1005,MATCH($E424,Establishment!$A$2:$A$1005,0))</f>
        <v xml:space="preserve"> </v>
      </c>
      <c r="G424" t="str">
        <f>INDEX(Establishment!C$2:C$1005,MATCH($E424,Establishment!$A$2:$A$1005,0))</f>
        <v xml:space="preserve"> </v>
      </c>
      <c r="M424">
        <f t="shared" si="36"/>
        <v>0</v>
      </c>
      <c r="N424">
        <f t="shared" si="34"/>
        <v>0</v>
      </c>
      <c r="P424" t="e">
        <f>INDEX(Items!B$2:B$1032,MATCH($O424,Items!$A$2:$A$1032,0))</f>
        <v>#N/A</v>
      </c>
      <c r="Q424" t="e">
        <f>INDEX(Items!C$2:C$1032,MATCH($O424,Items!$A$2:$A$1032,0))</f>
        <v>#N/A</v>
      </c>
      <c r="R424" t="e">
        <f>INDEX(Items!D$2:D$1032,MATCH($O424,Items!$A$2:$A$1032,0))</f>
        <v>#N/A</v>
      </c>
    </row>
    <row r="425" spans="1:18" x14ac:dyDescent="0.25">
      <c r="A425">
        <f t="shared" si="32"/>
        <v>1</v>
      </c>
      <c r="B425" t="str">
        <f t="shared" si="33"/>
        <v/>
      </c>
      <c r="C425">
        <f t="shared" si="35"/>
        <v>1</v>
      </c>
      <c r="D425" s="4"/>
      <c r="E425" t="s">
        <v>18</v>
      </c>
      <c r="F425" t="str">
        <f>INDEX(Establishment!B$2:B$1005,MATCH($E425,Establishment!$A$2:$A$1005,0))</f>
        <v xml:space="preserve"> </v>
      </c>
      <c r="G425" t="str">
        <f>INDEX(Establishment!C$2:C$1005,MATCH($E425,Establishment!$A$2:$A$1005,0))</f>
        <v xml:space="preserve"> </v>
      </c>
      <c r="M425">
        <f t="shared" si="36"/>
        <v>0</v>
      </c>
      <c r="N425">
        <f t="shared" si="34"/>
        <v>0</v>
      </c>
      <c r="P425" t="e">
        <f>INDEX(Items!B$2:B$1032,MATCH($O425,Items!$A$2:$A$1032,0))</f>
        <v>#N/A</v>
      </c>
      <c r="Q425" t="e">
        <f>INDEX(Items!C$2:C$1032,MATCH($O425,Items!$A$2:$A$1032,0))</f>
        <v>#N/A</v>
      </c>
      <c r="R425" t="e">
        <f>INDEX(Items!D$2:D$1032,MATCH($O425,Items!$A$2:$A$1032,0))</f>
        <v>#N/A</v>
      </c>
    </row>
    <row r="426" spans="1:18" x14ac:dyDescent="0.25">
      <c r="A426">
        <f t="shared" si="32"/>
        <v>1</v>
      </c>
      <c r="B426" t="str">
        <f t="shared" si="33"/>
        <v/>
      </c>
      <c r="C426">
        <f t="shared" si="35"/>
        <v>1</v>
      </c>
      <c r="D426" s="4"/>
      <c r="E426" t="s">
        <v>18</v>
      </c>
      <c r="F426" t="str">
        <f>INDEX(Establishment!B$2:B$1005,MATCH($E426,Establishment!$A$2:$A$1005,0))</f>
        <v xml:space="preserve"> </v>
      </c>
      <c r="G426" t="str">
        <f>INDEX(Establishment!C$2:C$1005,MATCH($E426,Establishment!$A$2:$A$1005,0))</f>
        <v xml:space="preserve"> </v>
      </c>
      <c r="M426">
        <f t="shared" si="36"/>
        <v>0</v>
      </c>
      <c r="N426">
        <f t="shared" si="34"/>
        <v>0</v>
      </c>
      <c r="P426" t="e">
        <f>INDEX(Items!B$2:B$1032,MATCH($O426,Items!$A$2:$A$1032,0))</f>
        <v>#N/A</v>
      </c>
      <c r="Q426" t="e">
        <f>INDEX(Items!C$2:C$1032,MATCH($O426,Items!$A$2:$A$1032,0))</f>
        <v>#N/A</v>
      </c>
      <c r="R426" t="e">
        <f>INDEX(Items!D$2:D$1032,MATCH($O426,Items!$A$2:$A$1032,0))</f>
        <v>#N/A</v>
      </c>
    </row>
    <row r="427" spans="1:18" x14ac:dyDescent="0.25">
      <c r="A427">
        <f t="shared" si="32"/>
        <v>1</v>
      </c>
      <c r="B427" t="str">
        <f t="shared" si="33"/>
        <v/>
      </c>
      <c r="C427">
        <f t="shared" si="35"/>
        <v>1</v>
      </c>
      <c r="D427" s="4"/>
      <c r="E427" t="s">
        <v>18</v>
      </c>
      <c r="F427" t="str">
        <f>INDEX(Establishment!B$2:B$1005,MATCH($E427,Establishment!$A$2:$A$1005,0))</f>
        <v xml:space="preserve"> </v>
      </c>
      <c r="G427" t="str">
        <f>INDEX(Establishment!C$2:C$1005,MATCH($E427,Establishment!$A$2:$A$1005,0))</f>
        <v xml:space="preserve"> </v>
      </c>
      <c r="M427">
        <f t="shared" si="36"/>
        <v>0</v>
      </c>
      <c r="N427">
        <f t="shared" si="34"/>
        <v>0</v>
      </c>
      <c r="P427" t="e">
        <f>INDEX(Items!B$2:B$1032,MATCH($O427,Items!$A$2:$A$1032,0))</f>
        <v>#N/A</v>
      </c>
      <c r="Q427" t="e">
        <f>INDEX(Items!C$2:C$1032,MATCH($O427,Items!$A$2:$A$1032,0))</f>
        <v>#N/A</v>
      </c>
      <c r="R427" t="e">
        <f>INDEX(Items!D$2:D$1032,MATCH($O427,Items!$A$2:$A$1032,0))</f>
        <v>#N/A</v>
      </c>
    </row>
    <row r="428" spans="1:18" x14ac:dyDescent="0.25">
      <c r="A428">
        <f t="shared" si="32"/>
        <v>1</v>
      </c>
      <c r="B428" t="str">
        <f t="shared" si="33"/>
        <v/>
      </c>
      <c r="C428">
        <f t="shared" si="35"/>
        <v>1</v>
      </c>
      <c r="D428" s="4"/>
      <c r="E428" t="s">
        <v>18</v>
      </c>
      <c r="F428" t="str">
        <f>INDEX(Establishment!B$2:B$1005,MATCH($E428,Establishment!$A$2:$A$1005,0))</f>
        <v xml:space="preserve"> </v>
      </c>
      <c r="G428" t="str">
        <f>INDEX(Establishment!C$2:C$1005,MATCH($E428,Establishment!$A$2:$A$1005,0))</f>
        <v xml:space="preserve"> </v>
      </c>
      <c r="M428">
        <f t="shared" si="36"/>
        <v>0</v>
      </c>
      <c r="N428">
        <f t="shared" si="34"/>
        <v>0</v>
      </c>
      <c r="P428" t="e">
        <f>INDEX(Items!B$2:B$1032,MATCH($O428,Items!$A$2:$A$1032,0))</f>
        <v>#N/A</v>
      </c>
      <c r="Q428" t="e">
        <f>INDEX(Items!C$2:C$1032,MATCH($O428,Items!$A$2:$A$1032,0))</f>
        <v>#N/A</v>
      </c>
      <c r="R428" t="e">
        <f>INDEX(Items!D$2:D$1032,MATCH($O428,Items!$A$2:$A$1032,0))</f>
        <v>#N/A</v>
      </c>
    </row>
    <row r="429" spans="1:18" x14ac:dyDescent="0.25">
      <c r="A429">
        <f t="shared" si="32"/>
        <v>1</v>
      </c>
      <c r="B429" t="str">
        <f t="shared" si="33"/>
        <v/>
      </c>
      <c r="C429">
        <f t="shared" si="35"/>
        <v>1</v>
      </c>
      <c r="D429" s="4"/>
      <c r="E429" t="s">
        <v>18</v>
      </c>
      <c r="F429" t="str">
        <f>INDEX(Establishment!B$2:B$1005,MATCH($E429,Establishment!$A$2:$A$1005,0))</f>
        <v xml:space="preserve"> </v>
      </c>
      <c r="G429" t="str">
        <f>INDEX(Establishment!C$2:C$1005,MATCH($E429,Establishment!$A$2:$A$1005,0))</f>
        <v xml:space="preserve"> </v>
      </c>
      <c r="M429">
        <f t="shared" si="36"/>
        <v>0</v>
      </c>
      <c r="N429">
        <f t="shared" si="34"/>
        <v>0</v>
      </c>
      <c r="P429" t="e">
        <f>INDEX(Items!B$2:B$1032,MATCH($O429,Items!$A$2:$A$1032,0))</f>
        <v>#N/A</v>
      </c>
      <c r="Q429" t="e">
        <f>INDEX(Items!C$2:C$1032,MATCH($O429,Items!$A$2:$A$1032,0))</f>
        <v>#N/A</v>
      </c>
      <c r="R429" t="e">
        <f>INDEX(Items!D$2:D$1032,MATCH($O429,Items!$A$2:$A$1032,0))</f>
        <v>#N/A</v>
      </c>
    </row>
    <row r="430" spans="1:18" x14ac:dyDescent="0.25">
      <c r="A430">
        <f t="shared" si="32"/>
        <v>1</v>
      </c>
      <c r="B430" t="str">
        <f t="shared" si="33"/>
        <v/>
      </c>
      <c r="C430">
        <f t="shared" si="35"/>
        <v>1</v>
      </c>
      <c r="D430" s="4"/>
      <c r="E430" t="s">
        <v>18</v>
      </c>
      <c r="F430" t="str">
        <f>INDEX(Establishment!B$2:B$1005,MATCH($E430,Establishment!$A$2:$A$1005,0))</f>
        <v xml:space="preserve"> </v>
      </c>
      <c r="G430" t="str">
        <f>INDEX(Establishment!C$2:C$1005,MATCH($E430,Establishment!$A$2:$A$1005,0))</f>
        <v xml:space="preserve"> </v>
      </c>
      <c r="M430">
        <f t="shared" si="36"/>
        <v>0</v>
      </c>
      <c r="N430">
        <f t="shared" si="34"/>
        <v>0</v>
      </c>
      <c r="P430" t="e">
        <f>INDEX(Items!B$2:B$1032,MATCH($O430,Items!$A$2:$A$1032,0))</f>
        <v>#N/A</v>
      </c>
      <c r="Q430" t="e">
        <f>INDEX(Items!C$2:C$1032,MATCH($O430,Items!$A$2:$A$1032,0))</f>
        <v>#N/A</v>
      </c>
      <c r="R430" t="e">
        <f>INDEX(Items!D$2:D$1032,MATCH($O430,Items!$A$2:$A$1032,0))</f>
        <v>#N/A</v>
      </c>
    </row>
    <row r="431" spans="1:18" x14ac:dyDescent="0.25">
      <c r="A431">
        <f t="shared" si="32"/>
        <v>1</v>
      </c>
      <c r="B431" t="str">
        <f t="shared" si="33"/>
        <v/>
      </c>
      <c r="C431">
        <f t="shared" si="35"/>
        <v>1</v>
      </c>
      <c r="D431" s="4"/>
      <c r="E431" t="s">
        <v>18</v>
      </c>
      <c r="F431" t="str">
        <f>INDEX(Establishment!B$2:B$1005,MATCH($E431,Establishment!$A$2:$A$1005,0))</f>
        <v xml:space="preserve"> </v>
      </c>
      <c r="G431" t="str">
        <f>INDEX(Establishment!C$2:C$1005,MATCH($E431,Establishment!$A$2:$A$1005,0))</f>
        <v xml:space="preserve"> </v>
      </c>
      <c r="M431">
        <f t="shared" si="36"/>
        <v>0</v>
      </c>
      <c r="N431">
        <f t="shared" si="34"/>
        <v>0</v>
      </c>
      <c r="P431" t="e">
        <f>INDEX(Items!B$2:B$1032,MATCH($O431,Items!$A$2:$A$1032,0))</f>
        <v>#N/A</v>
      </c>
      <c r="Q431" t="e">
        <f>INDEX(Items!C$2:C$1032,MATCH($O431,Items!$A$2:$A$1032,0))</f>
        <v>#N/A</v>
      </c>
      <c r="R431" t="e">
        <f>INDEX(Items!D$2:D$1032,MATCH($O431,Items!$A$2:$A$1032,0))</f>
        <v>#N/A</v>
      </c>
    </row>
    <row r="432" spans="1:18" x14ac:dyDescent="0.25">
      <c r="A432">
        <f t="shared" si="32"/>
        <v>1</v>
      </c>
      <c r="B432" t="str">
        <f t="shared" si="33"/>
        <v/>
      </c>
      <c r="C432">
        <f t="shared" si="35"/>
        <v>1</v>
      </c>
      <c r="D432" s="4"/>
      <c r="E432" t="s">
        <v>18</v>
      </c>
      <c r="F432" t="str">
        <f>INDEX(Establishment!B$2:B$1005,MATCH($E432,Establishment!$A$2:$A$1005,0))</f>
        <v xml:space="preserve"> </v>
      </c>
      <c r="G432" t="str">
        <f>INDEX(Establishment!C$2:C$1005,MATCH($E432,Establishment!$A$2:$A$1005,0))</f>
        <v xml:space="preserve"> </v>
      </c>
      <c r="M432">
        <f t="shared" si="36"/>
        <v>0</v>
      </c>
      <c r="N432">
        <f t="shared" si="34"/>
        <v>0</v>
      </c>
      <c r="P432" t="e">
        <f>INDEX(Items!B$2:B$1032,MATCH($O432,Items!$A$2:$A$1032,0))</f>
        <v>#N/A</v>
      </c>
      <c r="Q432" t="e">
        <f>INDEX(Items!C$2:C$1032,MATCH($O432,Items!$A$2:$A$1032,0))</f>
        <v>#N/A</v>
      </c>
      <c r="R432" t="e">
        <f>INDEX(Items!D$2:D$1032,MATCH($O432,Items!$A$2:$A$1032,0))</f>
        <v>#N/A</v>
      </c>
    </row>
    <row r="433" spans="1:18" x14ac:dyDescent="0.25">
      <c r="A433">
        <f t="shared" si="32"/>
        <v>1</v>
      </c>
      <c r="B433" t="str">
        <f t="shared" si="33"/>
        <v/>
      </c>
      <c r="C433">
        <f t="shared" si="35"/>
        <v>1</v>
      </c>
      <c r="D433" s="4"/>
      <c r="E433" t="s">
        <v>18</v>
      </c>
      <c r="F433" t="str">
        <f>INDEX(Establishment!B$2:B$1005,MATCH($E433,Establishment!$A$2:$A$1005,0))</f>
        <v xml:space="preserve"> </v>
      </c>
      <c r="G433" t="str">
        <f>INDEX(Establishment!C$2:C$1005,MATCH($E433,Establishment!$A$2:$A$1005,0))</f>
        <v xml:space="preserve"> </v>
      </c>
      <c r="M433">
        <f t="shared" si="36"/>
        <v>0</v>
      </c>
      <c r="N433">
        <f t="shared" si="34"/>
        <v>0</v>
      </c>
      <c r="P433" t="e">
        <f>INDEX(Items!B$2:B$1032,MATCH($O433,Items!$A$2:$A$1032,0))</f>
        <v>#N/A</v>
      </c>
      <c r="Q433" t="e">
        <f>INDEX(Items!C$2:C$1032,MATCH($O433,Items!$A$2:$A$1032,0))</f>
        <v>#N/A</v>
      </c>
      <c r="R433" t="e">
        <f>INDEX(Items!D$2:D$1032,MATCH($O433,Items!$A$2:$A$1032,0))</f>
        <v>#N/A</v>
      </c>
    </row>
    <row r="434" spans="1:18" x14ac:dyDescent="0.25">
      <c r="A434">
        <f t="shared" si="32"/>
        <v>1</v>
      </c>
      <c r="B434" t="str">
        <f t="shared" si="33"/>
        <v/>
      </c>
      <c r="C434">
        <f t="shared" si="35"/>
        <v>1</v>
      </c>
      <c r="D434" s="4"/>
      <c r="E434" t="s">
        <v>18</v>
      </c>
      <c r="F434" t="str">
        <f>INDEX(Establishment!B$2:B$1005,MATCH($E434,Establishment!$A$2:$A$1005,0))</f>
        <v xml:space="preserve"> </v>
      </c>
      <c r="G434" t="str">
        <f>INDEX(Establishment!C$2:C$1005,MATCH($E434,Establishment!$A$2:$A$1005,0))</f>
        <v xml:space="preserve"> </v>
      </c>
      <c r="M434">
        <f t="shared" si="36"/>
        <v>0</v>
      </c>
      <c r="N434">
        <f t="shared" si="34"/>
        <v>0</v>
      </c>
      <c r="P434" t="e">
        <f>INDEX(Items!B$2:B$1032,MATCH($O434,Items!$A$2:$A$1032,0))</f>
        <v>#N/A</v>
      </c>
      <c r="Q434" t="e">
        <f>INDEX(Items!C$2:C$1032,MATCH($O434,Items!$A$2:$A$1032,0))</f>
        <v>#N/A</v>
      </c>
      <c r="R434" t="e">
        <f>INDEX(Items!D$2:D$1032,MATCH($O434,Items!$A$2:$A$1032,0))</f>
        <v>#N/A</v>
      </c>
    </row>
    <row r="435" spans="1:18" x14ac:dyDescent="0.25">
      <c r="A435">
        <f t="shared" si="32"/>
        <v>1</v>
      </c>
      <c r="B435" t="str">
        <f t="shared" si="33"/>
        <v/>
      </c>
      <c r="C435">
        <f t="shared" si="35"/>
        <v>1</v>
      </c>
      <c r="D435" s="4"/>
      <c r="E435" t="s">
        <v>18</v>
      </c>
      <c r="F435" t="str">
        <f>INDEX(Establishment!B$2:B$1005,MATCH($E435,Establishment!$A$2:$A$1005,0))</f>
        <v xml:space="preserve"> </v>
      </c>
      <c r="G435" t="str">
        <f>INDEX(Establishment!C$2:C$1005,MATCH($E435,Establishment!$A$2:$A$1005,0))</f>
        <v xml:space="preserve"> </v>
      </c>
      <c r="M435">
        <f t="shared" si="36"/>
        <v>0</v>
      </c>
      <c r="N435">
        <f t="shared" si="34"/>
        <v>0</v>
      </c>
      <c r="P435" t="e">
        <f>INDEX(Items!B$2:B$1032,MATCH($O435,Items!$A$2:$A$1032,0))</f>
        <v>#N/A</v>
      </c>
      <c r="Q435" t="e">
        <f>INDEX(Items!C$2:C$1032,MATCH($O435,Items!$A$2:$A$1032,0))</f>
        <v>#N/A</v>
      </c>
      <c r="R435" t="e">
        <f>INDEX(Items!D$2:D$1032,MATCH($O435,Items!$A$2:$A$1032,0))</f>
        <v>#N/A</v>
      </c>
    </row>
    <row r="436" spans="1:18" x14ac:dyDescent="0.25">
      <c r="A436">
        <f t="shared" si="32"/>
        <v>1</v>
      </c>
      <c r="B436" t="str">
        <f t="shared" si="33"/>
        <v/>
      </c>
      <c r="C436">
        <f t="shared" si="35"/>
        <v>1</v>
      </c>
      <c r="D436" s="4"/>
      <c r="E436" t="s">
        <v>18</v>
      </c>
      <c r="F436" t="str">
        <f>INDEX(Establishment!B$2:B$1005,MATCH($E436,Establishment!$A$2:$A$1005,0))</f>
        <v xml:space="preserve"> </v>
      </c>
      <c r="G436" t="str">
        <f>INDEX(Establishment!C$2:C$1005,MATCH($E436,Establishment!$A$2:$A$1005,0))</f>
        <v xml:space="preserve"> </v>
      </c>
      <c r="M436">
        <f t="shared" si="36"/>
        <v>0</v>
      </c>
      <c r="N436">
        <f t="shared" si="34"/>
        <v>0</v>
      </c>
      <c r="P436" t="e">
        <f>INDEX(Items!B$2:B$1032,MATCH($O436,Items!$A$2:$A$1032,0))</f>
        <v>#N/A</v>
      </c>
      <c r="Q436" t="e">
        <f>INDEX(Items!C$2:C$1032,MATCH($O436,Items!$A$2:$A$1032,0))</f>
        <v>#N/A</v>
      </c>
      <c r="R436" t="e">
        <f>INDEX(Items!D$2:D$1032,MATCH($O436,Items!$A$2:$A$1032,0))</f>
        <v>#N/A</v>
      </c>
    </row>
    <row r="437" spans="1:18" x14ac:dyDescent="0.25">
      <c r="A437">
        <f t="shared" si="32"/>
        <v>1</v>
      </c>
      <c r="B437" t="str">
        <f t="shared" si="33"/>
        <v/>
      </c>
      <c r="C437">
        <f t="shared" si="35"/>
        <v>1</v>
      </c>
      <c r="D437" s="4"/>
      <c r="E437" t="s">
        <v>18</v>
      </c>
      <c r="F437" t="str">
        <f>INDEX(Establishment!B$2:B$1005,MATCH($E437,Establishment!$A$2:$A$1005,0))</f>
        <v xml:space="preserve"> </v>
      </c>
      <c r="G437" t="str">
        <f>INDEX(Establishment!C$2:C$1005,MATCH($E437,Establishment!$A$2:$A$1005,0))</f>
        <v xml:space="preserve"> </v>
      </c>
      <c r="M437">
        <f t="shared" si="36"/>
        <v>0</v>
      </c>
      <c r="N437">
        <f t="shared" si="34"/>
        <v>0</v>
      </c>
      <c r="P437" t="e">
        <f>INDEX(Items!B$2:B$1032,MATCH($O437,Items!$A$2:$A$1032,0))</f>
        <v>#N/A</v>
      </c>
      <c r="Q437" t="e">
        <f>INDEX(Items!C$2:C$1032,MATCH($O437,Items!$A$2:$A$1032,0))</f>
        <v>#N/A</v>
      </c>
      <c r="R437" t="e">
        <f>INDEX(Items!D$2:D$1032,MATCH($O437,Items!$A$2:$A$1032,0))</f>
        <v>#N/A</v>
      </c>
    </row>
    <row r="438" spans="1:18" x14ac:dyDescent="0.25">
      <c r="A438">
        <f t="shared" si="32"/>
        <v>1</v>
      </c>
      <c r="B438" t="str">
        <f t="shared" si="33"/>
        <v/>
      </c>
      <c r="C438">
        <f t="shared" si="35"/>
        <v>1</v>
      </c>
      <c r="D438" s="4"/>
      <c r="E438" t="s">
        <v>18</v>
      </c>
      <c r="F438" t="str">
        <f>INDEX(Establishment!B$2:B$1005,MATCH($E438,Establishment!$A$2:$A$1005,0))</f>
        <v xml:space="preserve"> </v>
      </c>
      <c r="G438" t="str">
        <f>INDEX(Establishment!C$2:C$1005,MATCH($E438,Establishment!$A$2:$A$1005,0))</f>
        <v xml:space="preserve"> </v>
      </c>
      <c r="M438">
        <f t="shared" si="36"/>
        <v>0</v>
      </c>
      <c r="N438">
        <f t="shared" si="34"/>
        <v>0</v>
      </c>
      <c r="P438" t="e">
        <f>INDEX(Items!B$2:B$1032,MATCH($O438,Items!$A$2:$A$1032,0))</f>
        <v>#N/A</v>
      </c>
      <c r="Q438" t="e">
        <f>INDEX(Items!C$2:C$1032,MATCH($O438,Items!$A$2:$A$1032,0))</f>
        <v>#N/A</v>
      </c>
      <c r="R438" t="e">
        <f>INDEX(Items!D$2:D$1032,MATCH($O438,Items!$A$2:$A$1032,0))</f>
        <v>#N/A</v>
      </c>
    </row>
    <row r="439" spans="1:18" x14ac:dyDescent="0.25">
      <c r="A439">
        <f t="shared" si="32"/>
        <v>1</v>
      </c>
      <c r="B439" t="str">
        <f t="shared" si="33"/>
        <v/>
      </c>
      <c r="C439">
        <f t="shared" si="35"/>
        <v>1</v>
      </c>
      <c r="D439" s="4"/>
      <c r="E439" t="s">
        <v>18</v>
      </c>
      <c r="F439" t="str">
        <f>INDEX(Establishment!B$2:B$1005,MATCH($E439,Establishment!$A$2:$A$1005,0))</f>
        <v xml:space="preserve"> </v>
      </c>
      <c r="G439" t="str">
        <f>INDEX(Establishment!C$2:C$1005,MATCH($E439,Establishment!$A$2:$A$1005,0))</f>
        <v xml:space="preserve"> </v>
      </c>
      <c r="M439">
        <f t="shared" si="36"/>
        <v>0</v>
      </c>
      <c r="N439">
        <f t="shared" si="34"/>
        <v>0</v>
      </c>
      <c r="P439" t="e">
        <f>INDEX(Items!B$2:B$1032,MATCH($O439,Items!$A$2:$A$1032,0))</f>
        <v>#N/A</v>
      </c>
      <c r="Q439" t="e">
        <f>INDEX(Items!C$2:C$1032,MATCH($O439,Items!$A$2:$A$1032,0))</f>
        <v>#N/A</v>
      </c>
      <c r="R439" t="e">
        <f>INDEX(Items!D$2:D$1032,MATCH($O439,Items!$A$2:$A$1032,0))</f>
        <v>#N/A</v>
      </c>
    </row>
    <row r="440" spans="1:18" x14ac:dyDescent="0.25">
      <c r="A440">
        <f t="shared" si="32"/>
        <v>1</v>
      </c>
      <c r="B440" t="str">
        <f t="shared" si="33"/>
        <v/>
      </c>
      <c r="C440">
        <f t="shared" si="35"/>
        <v>1</v>
      </c>
      <c r="D440" s="4"/>
      <c r="E440" t="s">
        <v>18</v>
      </c>
      <c r="F440" t="str">
        <f>INDEX(Establishment!B$2:B$1005,MATCH($E440,Establishment!$A$2:$A$1005,0))</f>
        <v xml:space="preserve"> </v>
      </c>
      <c r="G440" t="str">
        <f>INDEX(Establishment!C$2:C$1005,MATCH($E440,Establishment!$A$2:$A$1005,0))</f>
        <v xml:space="preserve"> </v>
      </c>
      <c r="M440">
        <f t="shared" si="36"/>
        <v>0</v>
      </c>
      <c r="N440">
        <f t="shared" si="34"/>
        <v>0</v>
      </c>
      <c r="P440" t="e">
        <f>INDEX(Items!B$2:B$1032,MATCH($O440,Items!$A$2:$A$1032,0))</f>
        <v>#N/A</v>
      </c>
      <c r="Q440" t="e">
        <f>INDEX(Items!C$2:C$1032,MATCH($O440,Items!$A$2:$A$1032,0))</f>
        <v>#N/A</v>
      </c>
      <c r="R440" t="e">
        <f>INDEX(Items!D$2:D$1032,MATCH($O440,Items!$A$2:$A$1032,0))</f>
        <v>#N/A</v>
      </c>
    </row>
    <row r="441" spans="1:18" x14ac:dyDescent="0.25">
      <c r="A441">
        <f t="shared" si="32"/>
        <v>1</v>
      </c>
      <c r="B441" t="str">
        <f t="shared" si="33"/>
        <v/>
      </c>
      <c r="C441">
        <f t="shared" si="35"/>
        <v>1</v>
      </c>
      <c r="D441" s="4"/>
      <c r="E441" t="s">
        <v>18</v>
      </c>
      <c r="F441" t="str">
        <f>INDEX(Establishment!B$2:B$1005,MATCH($E441,Establishment!$A$2:$A$1005,0))</f>
        <v xml:space="preserve"> </v>
      </c>
      <c r="G441" t="str">
        <f>INDEX(Establishment!C$2:C$1005,MATCH($E441,Establishment!$A$2:$A$1005,0))</f>
        <v xml:space="preserve"> </v>
      </c>
      <c r="M441">
        <f t="shared" si="36"/>
        <v>0</v>
      </c>
      <c r="N441">
        <f t="shared" si="34"/>
        <v>0</v>
      </c>
      <c r="P441" t="e">
        <f>INDEX(Items!B$2:B$1032,MATCH($O441,Items!$A$2:$A$1032,0))</f>
        <v>#N/A</v>
      </c>
      <c r="Q441" t="e">
        <f>INDEX(Items!C$2:C$1032,MATCH($O441,Items!$A$2:$A$1032,0))</f>
        <v>#N/A</v>
      </c>
      <c r="R441" t="e">
        <f>INDEX(Items!D$2:D$1032,MATCH($O441,Items!$A$2:$A$1032,0))</f>
        <v>#N/A</v>
      </c>
    </row>
    <row r="442" spans="1:18" x14ac:dyDescent="0.25">
      <c r="A442">
        <f t="shared" si="32"/>
        <v>1</v>
      </c>
      <c r="B442" t="str">
        <f t="shared" si="33"/>
        <v/>
      </c>
      <c r="C442">
        <f t="shared" si="35"/>
        <v>1</v>
      </c>
      <c r="D442" s="4"/>
      <c r="E442" t="s">
        <v>18</v>
      </c>
      <c r="F442" t="str">
        <f>INDEX(Establishment!B$2:B$1005,MATCH($E442,Establishment!$A$2:$A$1005,0))</f>
        <v xml:space="preserve"> </v>
      </c>
      <c r="G442" t="str">
        <f>INDEX(Establishment!C$2:C$1005,MATCH($E442,Establishment!$A$2:$A$1005,0))</f>
        <v xml:space="preserve"> </v>
      </c>
      <c r="M442">
        <f t="shared" si="36"/>
        <v>0</v>
      </c>
      <c r="N442">
        <f t="shared" si="34"/>
        <v>0</v>
      </c>
      <c r="P442" t="e">
        <f>INDEX(Items!B$2:B$1032,MATCH($O442,Items!$A$2:$A$1032,0))</f>
        <v>#N/A</v>
      </c>
      <c r="Q442" t="e">
        <f>INDEX(Items!C$2:C$1032,MATCH($O442,Items!$A$2:$A$1032,0))</f>
        <v>#N/A</v>
      </c>
      <c r="R442" t="e">
        <f>INDEX(Items!D$2:D$1032,MATCH($O442,Items!$A$2:$A$1032,0))</f>
        <v>#N/A</v>
      </c>
    </row>
    <row r="443" spans="1:18" x14ac:dyDescent="0.25">
      <c r="A443">
        <f t="shared" si="32"/>
        <v>1</v>
      </c>
      <c r="B443" t="str">
        <f t="shared" si="33"/>
        <v/>
      </c>
      <c r="C443">
        <f t="shared" si="35"/>
        <v>1</v>
      </c>
      <c r="D443" s="4"/>
      <c r="E443" t="s">
        <v>18</v>
      </c>
      <c r="F443" t="str">
        <f>INDEX(Establishment!B$2:B$1005,MATCH($E443,Establishment!$A$2:$A$1005,0))</f>
        <v xml:space="preserve"> </v>
      </c>
      <c r="G443" t="str">
        <f>INDEX(Establishment!C$2:C$1005,MATCH($E443,Establishment!$A$2:$A$1005,0))</f>
        <v xml:space="preserve"> </v>
      </c>
      <c r="M443">
        <f t="shared" si="36"/>
        <v>0</v>
      </c>
      <c r="N443">
        <f t="shared" si="34"/>
        <v>0</v>
      </c>
      <c r="P443" t="e">
        <f>INDEX(Items!B$2:B$1032,MATCH($O443,Items!$A$2:$A$1032,0))</f>
        <v>#N/A</v>
      </c>
      <c r="Q443" t="e">
        <f>INDEX(Items!C$2:C$1032,MATCH($O443,Items!$A$2:$A$1032,0))</f>
        <v>#N/A</v>
      </c>
      <c r="R443" t="e">
        <f>INDEX(Items!D$2:D$1032,MATCH($O443,Items!$A$2:$A$1032,0))</f>
        <v>#N/A</v>
      </c>
    </row>
    <row r="444" spans="1:18" x14ac:dyDescent="0.25">
      <c r="A444">
        <f t="shared" si="32"/>
        <v>1</v>
      </c>
      <c r="B444" t="str">
        <f t="shared" si="33"/>
        <v/>
      </c>
      <c r="C444">
        <f t="shared" si="35"/>
        <v>1</v>
      </c>
      <c r="D444" s="4"/>
      <c r="E444" t="s">
        <v>18</v>
      </c>
      <c r="F444" t="str">
        <f>INDEX(Establishment!B$2:B$1005,MATCH($E444,Establishment!$A$2:$A$1005,0))</f>
        <v xml:space="preserve"> </v>
      </c>
      <c r="G444" t="str">
        <f>INDEX(Establishment!C$2:C$1005,MATCH($E444,Establishment!$A$2:$A$1005,0))</f>
        <v xml:space="preserve"> </v>
      </c>
      <c r="M444">
        <f t="shared" si="36"/>
        <v>0</v>
      </c>
      <c r="N444">
        <f t="shared" si="34"/>
        <v>0</v>
      </c>
      <c r="P444" t="e">
        <f>INDEX(Items!B$2:B$1032,MATCH($O444,Items!$A$2:$A$1032,0))</f>
        <v>#N/A</v>
      </c>
      <c r="Q444" t="e">
        <f>INDEX(Items!C$2:C$1032,MATCH($O444,Items!$A$2:$A$1032,0))</f>
        <v>#N/A</v>
      </c>
      <c r="R444" t="e">
        <f>INDEX(Items!D$2:D$1032,MATCH($O444,Items!$A$2:$A$1032,0))</f>
        <v>#N/A</v>
      </c>
    </row>
    <row r="445" spans="1:18" x14ac:dyDescent="0.25">
      <c r="A445">
        <f t="shared" si="32"/>
        <v>1</v>
      </c>
      <c r="B445" t="str">
        <f t="shared" si="33"/>
        <v/>
      </c>
      <c r="C445">
        <f t="shared" si="35"/>
        <v>1</v>
      </c>
      <c r="D445" s="4"/>
      <c r="E445" t="s">
        <v>18</v>
      </c>
      <c r="F445" t="str">
        <f>INDEX(Establishment!B$2:B$1005,MATCH($E445,Establishment!$A$2:$A$1005,0))</f>
        <v xml:space="preserve"> </v>
      </c>
      <c r="G445" t="str">
        <f>INDEX(Establishment!C$2:C$1005,MATCH($E445,Establishment!$A$2:$A$1005,0))</f>
        <v xml:space="preserve"> </v>
      </c>
      <c r="M445">
        <f t="shared" si="36"/>
        <v>0</v>
      </c>
      <c r="N445">
        <f t="shared" si="34"/>
        <v>0</v>
      </c>
      <c r="P445" t="e">
        <f>INDEX(Items!B$2:B$1032,MATCH($O445,Items!$A$2:$A$1032,0))</f>
        <v>#N/A</v>
      </c>
      <c r="Q445" t="e">
        <f>INDEX(Items!C$2:C$1032,MATCH($O445,Items!$A$2:$A$1032,0))</f>
        <v>#N/A</v>
      </c>
      <c r="R445" t="e">
        <f>INDEX(Items!D$2:D$1032,MATCH($O445,Items!$A$2:$A$1032,0))</f>
        <v>#N/A</v>
      </c>
    </row>
    <row r="446" spans="1:18" x14ac:dyDescent="0.25">
      <c r="A446">
        <f t="shared" si="32"/>
        <v>1</v>
      </c>
      <c r="B446" t="str">
        <f t="shared" si="33"/>
        <v/>
      </c>
      <c r="C446">
        <f t="shared" si="35"/>
        <v>1</v>
      </c>
      <c r="D446" s="4"/>
      <c r="E446" t="s">
        <v>18</v>
      </c>
      <c r="F446" t="str">
        <f>INDEX(Establishment!B$2:B$1005,MATCH($E446,Establishment!$A$2:$A$1005,0))</f>
        <v xml:space="preserve"> </v>
      </c>
      <c r="G446" t="str">
        <f>INDEX(Establishment!C$2:C$1005,MATCH($E446,Establishment!$A$2:$A$1005,0))</f>
        <v xml:space="preserve"> </v>
      </c>
      <c r="M446">
        <f t="shared" si="36"/>
        <v>0</v>
      </c>
      <c r="N446">
        <f t="shared" si="34"/>
        <v>0</v>
      </c>
      <c r="P446" t="e">
        <f>INDEX(Items!B$2:B$1032,MATCH($O446,Items!$A$2:$A$1032,0))</f>
        <v>#N/A</v>
      </c>
      <c r="Q446" t="e">
        <f>INDEX(Items!C$2:C$1032,MATCH($O446,Items!$A$2:$A$1032,0))</f>
        <v>#N/A</v>
      </c>
      <c r="R446" t="e">
        <f>INDEX(Items!D$2:D$1032,MATCH($O446,Items!$A$2:$A$1032,0))</f>
        <v>#N/A</v>
      </c>
    </row>
    <row r="447" spans="1:18" x14ac:dyDescent="0.25">
      <c r="A447">
        <f t="shared" si="32"/>
        <v>1</v>
      </c>
      <c r="B447" t="str">
        <f t="shared" si="33"/>
        <v/>
      </c>
      <c r="C447">
        <f t="shared" si="35"/>
        <v>1</v>
      </c>
      <c r="D447" s="4"/>
      <c r="E447" t="s">
        <v>18</v>
      </c>
      <c r="F447" t="str">
        <f>INDEX(Establishment!B$2:B$1005,MATCH($E447,Establishment!$A$2:$A$1005,0))</f>
        <v xml:space="preserve"> </v>
      </c>
      <c r="G447" t="str">
        <f>INDEX(Establishment!C$2:C$1005,MATCH($E447,Establishment!$A$2:$A$1005,0))</f>
        <v xml:space="preserve"> </v>
      </c>
      <c r="M447">
        <f t="shared" si="36"/>
        <v>0</v>
      </c>
      <c r="N447">
        <f t="shared" si="34"/>
        <v>0</v>
      </c>
      <c r="P447" t="e">
        <f>INDEX(Items!B$2:B$1032,MATCH($O447,Items!$A$2:$A$1032,0))</f>
        <v>#N/A</v>
      </c>
      <c r="Q447" t="e">
        <f>INDEX(Items!C$2:C$1032,MATCH($O447,Items!$A$2:$A$1032,0))</f>
        <v>#N/A</v>
      </c>
      <c r="R447" t="e">
        <f>INDEX(Items!D$2:D$1032,MATCH($O447,Items!$A$2:$A$1032,0))</f>
        <v>#N/A</v>
      </c>
    </row>
    <row r="448" spans="1:18" x14ac:dyDescent="0.25">
      <c r="A448">
        <f t="shared" si="32"/>
        <v>1</v>
      </c>
      <c r="B448" t="str">
        <f t="shared" si="33"/>
        <v/>
      </c>
      <c r="C448">
        <f t="shared" si="35"/>
        <v>1</v>
      </c>
      <c r="D448" s="4"/>
      <c r="E448" t="s">
        <v>18</v>
      </c>
      <c r="F448" t="str">
        <f>INDEX(Establishment!B$2:B$1005,MATCH($E448,Establishment!$A$2:$A$1005,0))</f>
        <v xml:space="preserve"> </v>
      </c>
      <c r="G448" t="str">
        <f>INDEX(Establishment!C$2:C$1005,MATCH($E448,Establishment!$A$2:$A$1005,0))</f>
        <v xml:space="preserve"> </v>
      </c>
      <c r="M448">
        <f t="shared" si="36"/>
        <v>0</v>
      </c>
      <c r="N448">
        <f t="shared" si="34"/>
        <v>0</v>
      </c>
      <c r="P448" t="e">
        <f>INDEX(Items!B$2:B$1032,MATCH($O448,Items!$A$2:$A$1032,0))</f>
        <v>#N/A</v>
      </c>
      <c r="Q448" t="e">
        <f>INDEX(Items!C$2:C$1032,MATCH($O448,Items!$A$2:$A$1032,0))</f>
        <v>#N/A</v>
      </c>
      <c r="R448" t="e">
        <f>INDEX(Items!D$2:D$1032,MATCH($O448,Items!$A$2:$A$1032,0))</f>
        <v>#N/A</v>
      </c>
    </row>
    <row r="449" spans="1:18" x14ac:dyDescent="0.25">
      <c r="A449">
        <f t="shared" si="32"/>
        <v>1</v>
      </c>
      <c r="B449" t="str">
        <f t="shared" si="33"/>
        <v/>
      </c>
      <c r="C449">
        <f t="shared" si="35"/>
        <v>1</v>
      </c>
      <c r="D449" s="4"/>
      <c r="E449" t="s">
        <v>18</v>
      </c>
      <c r="F449" t="str">
        <f>INDEX(Establishment!B$2:B$1005,MATCH($E449,Establishment!$A$2:$A$1005,0))</f>
        <v xml:space="preserve"> </v>
      </c>
      <c r="G449" t="str">
        <f>INDEX(Establishment!C$2:C$1005,MATCH($E449,Establishment!$A$2:$A$1005,0))</f>
        <v xml:space="preserve"> </v>
      </c>
      <c r="M449">
        <f t="shared" si="36"/>
        <v>0</v>
      </c>
      <c r="N449">
        <f t="shared" si="34"/>
        <v>0</v>
      </c>
      <c r="P449" t="e">
        <f>INDEX(Items!B$2:B$1032,MATCH($O449,Items!$A$2:$A$1032,0))</f>
        <v>#N/A</v>
      </c>
      <c r="Q449" t="e">
        <f>INDEX(Items!C$2:C$1032,MATCH($O449,Items!$A$2:$A$1032,0))</f>
        <v>#N/A</v>
      </c>
      <c r="R449" t="e">
        <f>INDEX(Items!D$2:D$1032,MATCH($O449,Items!$A$2:$A$1032,0))</f>
        <v>#N/A</v>
      </c>
    </row>
    <row r="450" spans="1:18" x14ac:dyDescent="0.25">
      <c r="A450">
        <f t="shared" ref="A450:A499" si="37">IF(OR(D450&lt;&gt;D449,D450=""),1,IF(NOT(AND(E450=E449,F450=F449,G450=G449)),A449+1,IF(OR(H450="",AND(H450&lt;&gt;"",H450&lt;&gt;H449,H449&lt;&gt;"")),A449,A449+1)))</f>
        <v>1</v>
      </c>
      <c r="B450" t="str">
        <f t="shared" ref="B450:B499" si="38">IF(D450&lt;&gt;"",TEXT(D450,"YYYYMMDD")&amp;CHAR(64+A450),"")</f>
        <v/>
      </c>
      <c r="C450">
        <f t="shared" si="35"/>
        <v>1</v>
      </c>
      <c r="D450" s="4"/>
      <c r="E450" t="s">
        <v>18</v>
      </c>
      <c r="F450" t="str">
        <f>INDEX(Establishment!B$2:B$1005,MATCH($E450,Establishment!$A$2:$A$1005,0))</f>
        <v xml:space="preserve"> </v>
      </c>
      <c r="G450" t="str">
        <f>INDEX(Establishment!C$2:C$1005,MATCH($E450,Establishment!$A$2:$A$1005,0))</f>
        <v xml:space="preserve"> </v>
      </c>
      <c r="M450">
        <f t="shared" si="36"/>
        <v>0</v>
      </c>
      <c r="N450">
        <f t="shared" si="34"/>
        <v>0</v>
      </c>
      <c r="P450" t="e">
        <f>INDEX(Items!B$2:B$1032,MATCH($O450,Items!$A$2:$A$1032,0))</f>
        <v>#N/A</v>
      </c>
      <c r="Q450" t="e">
        <f>INDEX(Items!C$2:C$1032,MATCH($O450,Items!$A$2:$A$1032,0))</f>
        <v>#N/A</v>
      </c>
      <c r="R450" t="e">
        <f>INDEX(Items!D$2:D$1032,MATCH($O450,Items!$A$2:$A$1032,0))</f>
        <v>#N/A</v>
      </c>
    </row>
    <row r="451" spans="1:18" x14ac:dyDescent="0.25">
      <c r="A451">
        <f t="shared" si="37"/>
        <v>1</v>
      </c>
      <c r="B451" t="str">
        <f t="shared" si="38"/>
        <v/>
      </c>
      <c r="C451">
        <f t="shared" si="35"/>
        <v>1</v>
      </c>
      <c r="D451" s="4"/>
      <c r="E451" t="s">
        <v>18</v>
      </c>
      <c r="F451" t="str">
        <f>INDEX(Establishment!B$2:B$1005,MATCH($E451,Establishment!$A$2:$A$1005,0))</f>
        <v xml:space="preserve"> </v>
      </c>
      <c r="G451" t="str">
        <f>INDEX(Establishment!C$2:C$1005,MATCH($E451,Establishment!$A$2:$A$1005,0))</f>
        <v xml:space="preserve"> </v>
      </c>
      <c r="M451">
        <f t="shared" si="36"/>
        <v>0</v>
      </c>
      <c r="N451">
        <f t="shared" ref="N451:N499" si="39">IF(B451=B450,N450+M451,M451)</f>
        <v>0</v>
      </c>
      <c r="P451" t="e">
        <f>INDEX(Items!B$2:B$1032,MATCH($O451,Items!$A$2:$A$1032,0))</f>
        <v>#N/A</v>
      </c>
      <c r="Q451" t="e">
        <f>INDEX(Items!C$2:C$1032,MATCH($O451,Items!$A$2:$A$1032,0))</f>
        <v>#N/A</v>
      </c>
      <c r="R451" t="e">
        <f>INDEX(Items!D$2:D$1032,MATCH($O451,Items!$A$2:$A$1032,0))</f>
        <v>#N/A</v>
      </c>
    </row>
    <row r="452" spans="1:18" x14ac:dyDescent="0.25">
      <c r="A452">
        <f t="shared" si="37"/>
        <v>1</v>
      </c>
      <c r="B452" t="str">
        <f t="shared" si="38"/>
        <v/>
      </c>
      <c r="C452">
        <f t="shared" si="35"/>
        <v>1</v>
      </c>
      <c r="D452" s="4"/>
      <c r="E452" t="s">
        <v>18</v>
      </c>
      <c r="F452" t="str">
        <f>INDEX(Establishment!B$2:B$1005,MATCH($E452,Establishment!$A$2:$A$1005,0))</f>
        <v xml:space="preserve"> </v>
      </c>
      <c r="G452" t="str">
        <f>INDEX(Establishment!C$2:C$1005,MATCH($E452,Establishment!$A$2:$A$1005,0))</f>
        <v xml:space="preserve"> </v>
      </c>
      <c r="M452">
        <f t="shared" si="36"/>
        <v>0</v>
      </c>
      <c r="N452">
        <f t="shared" si="39"/>
        <v>0</v>
      </c>
      <c r="P452" t="e">
        <f>INDEX(Items!B$2:B$1032,MATCH($O452,Items!$A$2:$A$1032,0))</f>
        <v>#N/A</v>
      </c>
      <c r="Q452" t="e">
        <f>INDEX(Items!C$2:C$1032,MATCH($O452,Items!$A$2:$A$1032,0))</f>
        <v>#N/A</v>
      </c>
      <c r="R452" t="e">
        <f>INDEX(Items!D$2:D$1032,MATCH($O452,Items!$A$2:$A$1032,0))</f>
        <v>#N/A</v>
      </c>
    </row>
    <row r="453" spans="1:18" x14ac:dyDescent="0.25">
      <c r="A453">
        <f t="shared" si="37"/>
        <v>1</v>
      </c>
      <c r="B453" t="str">
        <f t="shared" si="38"/>
        <v/>
      </c>
      <c r="C453">
        <f t="shared" si="35"/>
        <v>1</v>
      </c>
      <c r="D453" s="4"/>
      <c r="E453" t="s">
        <v>18</v>
      </c>
      <c r="F453" t="str">
        <f>INDEX(Establishment!B$2:B$1005,MATCH($E453,Establishment!$A$2:$A$1005,0))</f>
        <v xml:space="preserve"> </v>
      </c>
      <c r="G453" t="str">
        <f>INDEX(Establishment!C$2:C$1005,MATCH($E453,Establishment!$A$2:$A$1005,0))</f>
        <v xml:space="preserve"> </v>
      </c>
      <c r="M453">
        <f t="shared" si="36"/>
        <v>0</v>
      </c>
      <c r="N453">
        <f t="shared" si="39"/>
        <v>0</v>
      </c>
      <c r="P453" t="e">
        <f>INDEX(Items!B$2:B$1032,MATCH($O453,Items!$A$2:$A$1032,0))</f>
        <v>#N/A</v>
      </c>
      <c r="Q453" t="e">
        <f>INDEX(Items!C$2:C$1032,MATCH($O453,Items!$A$2:$A$1032,0))</f>
        <v>#N/A</v>
      </c>
      <c r="R453" t="e">
        <f>INDEX(Items!D$2:D$1032,MATCH($O453,Items!$A$2:$A$1032,0))</f>
        <v>#N/A</v>
      </c>
    </row>
    <row r="454" spans="1:18" x14ac:dyDescent="0.25">
      <c r="A454">
        <f t="shared" si="37"/>
        <v>1</v>
      </c>
      <c r="B454" t="str">
        <f t="shared" si="38"/>
        <v/>
      </c>
      <c r="C454">
        <f t="shared" si="35"/>
        <v>1</v>
      </c>
      <c r="D454" s="4"/>
      <c r="E454" t="s">
        <v>18</v>
      </c>
      <c r="F454" t="str">
        <f>INDEX(Establishment!B$2:B$1005,MATCH($E454,Establishment!$A$2:$A$1005,0))</f>
        <v xml:space="preserve"> </v>
      </c>
      <c r="G454" t="str">
        <f>INDEX(Establishment!C$2:C$1005,MATCH($E454,Establishment!$A$2:$A$1005,0))</f>
        <v xml:space="preserve"> </v>
      </c>
      <c r="M454">
        <f t="shared" si="36"/>
        <v>0</v>
      </c>
      <c r="N454">
        <f t="shared" si="39"/>
        <v>0</v>
      </c>
      <c r="P454" t="e">
        <f>INDEX(Items!B$2:B$1032,MATCH($O454,Items!$A$2:$A$1032,0))</f>
        <v>#N/A</v>
      </c>
      <c r="Q454" t="e">
        <f>INDEX(Items!C$2:C$1032,MATCH($O454,Items!$A$2:$A$1032,0))</f>
        <v>#N/A</v>
      </c>
      <c r="R454" t="e">
        <f>INDEX(Items!D$2:D$1032,MATCH($O454,Items!$A$2:$A$1032,0))</f>
        <v>#N/A</v>
      </c>
    </row>
    <row r="455" spans="1:18" x14ac:dyDescent="0.25">
      <c r="A455">
        <f t="shared" si="37"/>
        <v>1</v>
      </c>
      <c r="B455" t="str">
        <f t="shared" si="38"/>
        <v/>
      </c>
      <c r="C455">
        <f t="shared" si="35"/>
        <v>1</v>
      </c>
      <c r="D455" s="4"/>
      <c r="E455" t="s">
        <v>18</v>
      </c>
      <c r="F455" t="str">
        <f>INDEX(Establishment!B$2:B$1005,MATCH($E455,Establishment!$A$2:$A$1005,0))</f>
        <v xml:space="preserve"> </v>
      </c>
      <c r="G455" t="str">
        <f>INDEX(Establishment!C$2:C$1005,MATCH($E455,Establishment!$A$2:$A$1005,0))</f>
        <v xml:space="preserve"> </v>
      </c>
      <c r="M455">
        <f t="shared" si="36"/>
        <v>0</v>
      </c>
      <c r="N455">
        <f t="shared" si="39"/>
        <v>0</v>
      </c>
      <c r="P455" t="e">
        <f>INDEX(Items!B$2:B$1032,MATCH($O455,Items!$A$2:$A$1032,0))</f>
        <v>#N/A</v>
      </c>
      <c r="Q455" t="e">
        <f>INDEX(Items!C$2:C$1032,MATCH($O455,Items!$A$2:$A$1032,0))</f>
        <v>#N/A</v>
      </c>
      <c r="R455" t="e">
        <f>INDEX(Items!D$2:D$1032,MATCH($O455,Items!$A$2:$A$1032,0))</f>
        <v>#N/A</v>
      </c>
    </row>
    <row r="456" spans="1:18" x14ac:dyDescent="0.25">
      <c r="A456">
        <f t="shared" si="37"/>
        <v>1</v>
      </c>
      <c r="B456" t="str">
        <f t="shared" si="38"/>
        <v/>
      </c>
      <c r="C456">
        <f t="shared" si="35"/>
        <v>1</v>
      </c>
      <c r="D456" s="4"/>
      <c r="E456" t="s">
        <v>18</v>
      </c>
      <c r="F456" t="str">
        <f>INDEX(Establishment!B$2:B$1005,MATCH($E456,Establishment!$A$2:$A$1005,0))</f>
        <v xml:space="preserve"> </v>
      </c>
      <c r="G456" t="str">
        <f>INDEX(Establishment!C$2:C$1005,MATCH($E456,Establishment!$A$2:$A$1005,0))</f>
        <v xml:space="preserve"> </v>
      </c>
      <c r="M456">
        <f t="shared" si="36"/>
        <v>0</v>
      </c>
      <c r="N456">
        <f t="shared" si="39"/>
        <v>0</v>
      </c>
      <c r="P456" t="e">
        <f>INDEX(Items!B$2:B$1032,MATCH($O456,Items!$A$2:$A$1032,0))</f>
        <v>#N/A</v>
      </c>
      <c r="Q456" t="e">
        <f>INDEX(Items!C$2:C$1032,MATCH($O456,Items!$A$2:$A$1032,0))</f>
        <v>#N/A</v>
      </c>
      <c r="R456" t="e">
        <f>INDEX(Items!D$2:D$1032,MATCH($O456,Items!$A$2:$A$1032,0))</f>
        <v>#N/A</v>
      </c>
    </row>
    <row r="457" spans="1:18" x14ac:dyDescent="0.25">
      <c r="A457">
        <f t="shared" si="37"/>
        <v>1</v>
      </c>
      <c r="B457" t="str">
        <f t="shared" si="38"/>
        <v/>
      </c>
      <c r="C457">
        <f t="shared" si="35"/>
        <v>1</v>
      </c>
      <c r="D457" s="4"/>
      <c r="E457" t="s">
        <v>18</v>
      </c>
      <c r="F457" t="str">
        <f>INDEX(Establishment!B$2:B$1005,MATCH($E457,Establishment!$A$2:$A$1005,0))</f>
        <v xml:space="preserve"> </v>
      </c>
      <c r="G457" t="str">
        <f>INDEX(Establishment!C$2:C$1005,MATCH($E457,Establishment!$A$2:$A$1005,0))</f>
        <v xml:space="preserve"> </v>
      </c>
      <c r="M457">
        <f t="shared" si="36"/>
        <v>0</v>
      </c>
      <c r="N457">
        <f t="shared" si="39"/>
        <v>0</v>
      </c>
      <c r="P457" t="e">
        <f>INDEX(Items!B$2:B$1032,MATCH($O457,Items!$A$2:$A$1032,0))</f>
        <v>#N/A</v>
      </c>
      <c r="Q457" t="e">
        <f>INDEX(Items!C$2:C$1032,MATCH($O457,Items!$A$2:$A$1032,0))</f>
        <v>#N/A</v>
      </c>
      <c r="R457" t="e">
        <f>INDEX(Items!D$2:D$1032,MATCH($O457,Items!$A$2:$A$1032,0))</f>
        <v>#N/A</v>
      </c>
    </row>
    <row r="458" spans="1:18" x14ac:dyDescent="0.25">
      <c r="A458">
        <f t="shared" si="37"/>
        <v>1</v>
      </c>
      <c r="B458" t="str">
        <f t="shared" si="38"/>
        <v/>
      </c>
      <c r="C458">
        <f t="shared" ref="C458:C499" si="40">IF(OR(B458="",B458&lt;&gt;B457),1,C457+1)</f>
        <v>1</v>
      </c>
      <c r="D458" s="4"/>
      <c r="E458" t="s">
        <v>18</v>
      </c>
      <c r="F458" t="str">
        <f>INDEX(Establishment!B$2:B$1005,MATCH($E458,Establishment!$A$2:$A$1005,0))</f>
        <v xml:space="preserve"> </v>
      </c>
      <c r="G458" t="str">
        <f>INDEX(Establishment!C$2:C$1005,MATCH($E458,Establishment!$A$2:$A$1005,0))</f>
        <v xml:space="preserve"> </v>
      </c>
      <c r="M458">
        <f t="shared" ref="M458:M499" si="41">K458*L458</f>
        <v>0</v>
      </c>
      <c r="N458">
        <f t="shared" si="39"/>
        <v>0</v>
      </c>
      <c r="P458" t="e">
        <f>INDEX(Items!B$2:B$1032,MATCH($O458,Items!$A$2:$A$1032,0))</f>
        <v>#N/A</v>
      </c>
      <c r="Q458" t="e">
        <f>INDEX(Items!C$2:C$1032,MATCH($O458,Items!$A$2:$A$1032,0))</f>
        <v>#N/A</v>
      </c>
      <c r="R458" t="e">
        <f>INDEX(Items!D$2:D$1032,MATCH($O458,Items!$A$2:$A$1032,0))</f>
        <v>#N/A</v>
      </c>
    </row>
    <row r="459" spans="1:18" x14ac:dyDescent="0.25">
      <c r="A459">
        <f t="shared" si="37"/>
        <v>1</v>
      </c>
      <c r="B459" t="str">
        <f t="shared" si="38"/>
        <v/>
      </c>
      <c r="C459">
        <f t="shared" si="40"/>
        <v>1</v>
      </c>
      <c r="D459" s="4"/>
      <c r="E459" t="s">
        <v>18</v>
      </c>
      <c r="F459" t="str">
        <f>INDEX(Establishment!B$2:B$1005,MATCH($E459,Establishment!$A$2:$A$1005,0))</f>
        <v xml:space="preserve"> </v>
      </c>
      <c r="G459" t="str">
        <f>INDEX(Establishment!C$2:C$1005,MATCH($E459,Establishment!$A$2:$A$1005,0))</f>
        <v xml:space="preserve"> </v>
      </c>
      <c r="M459">
        <f t="shared" si="41"/>
        <v>0</v>
      </c>
      <c r="N459">
        <f t="shared" si="39"/>
        <v>0</v>
      </c>
      <c r="P459" t="e">
        <f>INDEX(Items!B$2:B$1032,MATCH($O459,Items!$A$2:$A$1032,0))</f>
        <v>#N/A</v>
      </c>
      <c r="Q459" t="e">
        <f>INDEX(Items!C$2:C$1032,MATCH($O459,Items!$A$2:$A$1032,0))</f>
        <v>#N/A</v>
      </c>
      <c r="R459" t="e">
        <f>INDEX(Items!D$2:D$1032,MATCH($O459,Items!$A$2:$A$1032,0))</f>
        <v>#N/A</v>
      </c>
    </row>
    <row r="460" spans="1:18" x14ac:dyDescent="0.25">
      <c r="A460">
        <f t="shared" si="37"/>
        <v>1</v>
      </c>
      <c r="B460" t="str">
        <f t="shared" si="38"/>
        <v/>
      </c>
      <c r="C460">
        <f t="shared" si="40"/>
        <v>1</v>
      </c>
      <c r="D460" s="4"/>
      <c r="E460" t="s">
        <v>18</v>
      </c>
      <c r="F460" t="str">
        <f>INDEX(Establishment!B$2:B$1005,MATCH($E460,Establishment!$A$2:$A$1005,0))</f>
        <v xml:space="preserve"> </v>
      </c>
      <c r="G460" t="str">
        <f>INDEX(Establishment!C$2:C$1005,MATCH($E460,Establishment!$A$2:$A$1005,0))</f>
        <v xml:space="preserve"> </v>
      </c>
      <c r="M460">
        <f t="shared" si="41"/>
        <v>0</v>
      </c>
      <c r="N460">
        <f t="shared" si="39"/>
        <v>0</v>
      </c>
      <c r="P460" t="e">
        <f>INDEX(Items!B$2:B$1032,MATCH($O460,Items!$A$2:$A$1032,0))</f>
        <v>#N/A</v>
      </c>
      <c r="Q460" t="e">
        <f>INDEX(Items!C$2:C$1032,MATCH($O460,Items!$A$2:$A$1032,0))</f>
        <v>#N/A</v>
      </c>
      <c r="R460" t="e">
        <f>INDEX(Items!D$2:D$1032,MATCH($O460,Items!$A$2:$A$1032,0))</f>
        <v>#N/A</v>
      </c>
    </row>
    <row r="461" spans="1:18" x14ac:dyDescent="0.25">
      <c r="A461">
        <f t="shared" si="37"/>
        <v>1</v>
      </c>
      <c r="B461" t="str">
        <f t="shared" si="38"/>
        <v/>
      </c>
      <c r="C461">
        <f t="shared" si="40"/>
        <v>1</v>
      </c>
      <c r="D461" s="4"/>
      <c r="E461" t="s">
        <v>18</v>
      </c>
      <c r="F461" t="str">
        <f>INDEX(Establishment!B$2:B$1005,MATCH($E461,Establishment!$A$2:$A$1005,0))</f>
        <v xml:space="preserve"> </v>
      </c>
      <c r="G461" t="str">
        <f>INDEX(Establishment!C$2:C$1005,MATCH($E461,Establishment!$A$2:$A$1005,0))</f>
        <v xml:space="preserve"> </v>
      </c>
      <c r="M461">
        <f t="shared" si="41"/>
        <v>0</v>
      </c>
      <c r="N461">
        <f t="shared" si="39"/>
        <v>0</v>
      </c>
      <c r="P461" t="e">
        <f>INDEX(Items!B$2:B$1032,MATCH($O461,Items!$A$2:$A$1032,0))</f>
        <v>#N/A</v>
      </c>
      <c r="Q461" t="e">
        <f>INDEX(Items!C$2:C$1032,MATCH($O461,Items!$A$2:$A$1032,0))</f>
        <v>#N/A</v>
      </c>
      <c r="R461" t="e">
        <f>INDEX(Items!D$2:D$1032,MATCH($O461,Items!$A$2:$A$1032,0))</f>
        <v>#N/A</v>
      </c>
    </row>
    <row r="462" spans="1:18" x14ac:dyDescent="0.25">
      <c r="A462">
        <f t="shared" si="37"/>
        <v>1</v>
      </c>
      <c r="B462" t="str">
        <f t="shared" si="38"/>
        <v/>
      </c>
      <c r="C462">
        <f t="shared" si="40"/>
        <v>1</v>
      </c>
      <c r="D462" s="4"/>
      <c r="E462" t="s">
        <v>18</v>
      </c>
      <c r="F462" t="str">
        <f>INDEX(Establishment!B$2:B$1005,MATCH($E462,Establishment!$A$2:$A$1005,0))</f>
        <v xml:space="preserve"> </v>
      </c>
      <c r="G462" t="str">
        <f>INDEX(Establishment!C$2:C$1005,MATCH($E462,Establishment!$A$2:$A$1005,0))</f>
        <v xml:space="preserve"> </v>
      </c>
      <c r="M462">
        <f t="shared" si="41"/>
        <v>0</v>
      </c>
      <c r="N462">
        <f t="shared" si="39"/>
        <v>0</v>
      </c>
      <c r="P462" t="e">
        <f>INDEX(Items!B$2:B$1032,MATCH($O462,Items!$A$2:$A$1032,0))</f>
        <v>#N/A</v>
      </c>
      <c r="Q462" t="e">
        <f>INDEX(Items!C$2:C$1032,MATCH($O462,Items!$A$2:$A$1032,0))</f>
        <v>#N/A</v>
      </c>
      <c r="R462" t="e">
        <f>INDEX(Items!D$2:D$1032,MATCH($O462,Items!$A$2:$A$1032,0))</f>
        <v>#N/A</v>
      </c>
    </row>
    <row r="463" spans="1:18" x14ac:dyDescent="0.25">
      <c r="A463">
        <f t="shared" si="37"/>
        <v>1</v>
      </c>
      <c r="B463" t="str">
        <f t="shared" si="38"/>
        <v/>
      </c>
      <c r="C463">
        <f t="shared" si="40"/>
        <v>1</v>
      </c>
      <c r="D463" s="4"/>
      <c r="E463" t="s">
        <v>18</v>
      </c>
      <c r="F463" t="str">
        <f>INDEX(Establishment!B$2:B$1005,MATCH($E463,Establishment!$A$2:$A$1005,0))</f>
        <v xml:space="preserve"> </v>
      </c>
      <c r="G463" t="str">
        <f>INDEX(Establishment!C$2:C$1005,MATCH($E463,Establishment!$A$2:$A$1005,0))</f>
        <v xml:space="preserve"> </v>
      </c>
      <c r="M463">
        <f t="shared" si="41"/>
        <v>0</v>
      </c>
      <c r="N463">
        <f t="shared" si="39"/>
        <v>0</v>
      </c>
      <c r="P463" t="e">
        <f>INDEX(Items!B$2:B$1032,MATCH($O463,Items!$A$2:$A$1032,0))</f>
        <v>#N/A</v>
      </c>
      <c r="Q463" t="e">
        <f>INDEX(Items!C$2:C$1032,MATCH($O463,Items!$A$2:$A$1032,0))</f>
        <v>#N/A</v>
      </c>
      <c r="R463" t="e">
        <f>INDEX(Items!D$2:D$1032,MATCH($O463,Items!$A$2:$A$1032,0))</f>
        <v>#N/A</v>
      </c>
    </row>
    <row r="464" spans="1:18" x14ac:dyDescent="0.25">
      <c r="A464">
        <f t="shared" si="37"/>
        <v>1</v>
      </c>
      <c r="B464" t="str">
        <f t="shared" si="38"/>
        <v/>
      </c>
      <c r="C464">
        <f t="shared" si="40"/>
        <v>1</v>
      </c>
      <c r="D464" s="4"/>
      <c r="E464" t="s">
        <v>18</v>
      </c>
      <c r="F464" t="str">
        <f>INDEX(Establishment!B$2:B$1005,MATCH($E464,Establishment!$A$2:$A$1005,0))</f>
        <v xml:space="preserve"> </v>
      </c>
      <c r="G464" t="str">
        <f>INDEX(Establishment!C$2:C$1005,MATCH($E464,Establishment!$A$2:$A$1005,0))</f>
        <v xml:space="preserve"> </v>
      </c>
      <c r="M464">
        <f t="shared" si="41"/>
        <v>0</v>
      </c>
      <c r="N464">
        <f t="shared" si="39"/>
        <v>0</v>
      </c>
      <c r="P464" t="e">
        <f>INDEX(Items!B$2:B$1032,MATCH($O464,Items!$A$2:$A$1032,0))</f>
        <v>#N/A</v>
      </c>
      <c r="Q464" t="e">
        <f>INDEX(Items!C$2:C$1032,MATCH($O464,Items!$A$2:$A$1032,0))</f>
        <v>#N/A</v>
      </c>
      <c r="R464" t="e">
        <f>INDEX(Items!D$2:D$1032,MATCH($O464,Items!$A$2:$A$1032,0))</f>
        <v>#N/A</v>
      </c>
    </row>
    <row r="465" spans="1:18" x14ac:dyDescent="0.25">
      <c r="A465">
        <f t="shared" si="37"/>
        <v>1</v>
      </c>
      <c r="B465" t="str">
        <f t="shared" si="38"/>
        <v/>
      </c>
      <c r="C465">
        <f t="shared" si="40"/>
        <v>1</v>
      </c>
      <c r="D465" s="4"/>
      <c r="E465" t="s">
        <v>18</v>
      </c>
      <c r="F465" t="str">
        <f>INDEX(Establishment!B$2:B$1005,MATCH($E465,Establishment!$A$2:$A$1005,0))</f>
        <v xml:space="preserve"> </v>
      </c>
      <c r="G465" t="str">
        <f>INDEX(Establishment!C$2:C$1005,MATCH($E465,Establishment!$A$2:$A$1005,0))</f>
        <v xml:space="preserve"> </v>
      </c>
      <c r="M465">
        <f t="shared" si="41"/>
        <v>0</v>
      </c>
      <c r="N465">
        <f t="shared" si="39"/>
        <v>0</v>
      </c>
      <c r="P465" t="e">
        <f>INDEX(Items!B$2:B$1032,MATCH($O465,Items!$A$2:$A$1032,0))</f>
        <v>#N/A</v>
      </c>
      <c r="Q465" t="e">
        <f>INDEX(Items!C$2:C$1032,MATCH($O465,Items!$A$2:$A$1032,0))</f>
        <v>#N/A</v>
      </c>
      <c r="R465" t="e">
        <f>INDEX(Items!D$2:D$1032,MATCH($O465,Items!$A$2:$A$1032,0))</f>
        <v>#N/A</v>
      </c>
    </row>
    <row r="466" spans="1:18" x14ac:dyDescent="0.25">
      <c r="A466">
        <f t="shared" si="37"/>
        <v>1</v>
      </c>
      <c r="B466" t="str">
        <f t="shared" si="38"/>
        <v/>
      </c>
      <c r="C466">
        <f t="shared" si="40"/>
        <v>1</v>
      </c>
      <c r="D466" s="4"/>
      <c r="E466" t="s">
        <v>18</v>
      </c>
      <c r="F466" t="str">
        <f>INDEX(Establishment!B$2:B$1005,MATCH($E466,Establishment!$A$2:$A$1005,0))</f>
        <v xml:space="preserve"> </v>
      </c>
      <c r="G466" t="str">
        <f>INDEX(Establishment!C$2:C$1005,MATCH($E466,Establishment!$A$2:$A$1005,0))</f>
        <v xml:space="preserve"> </v>
      </c>
      <c r="M466">
        <f t="shared" si="41"/>
        <v>0</v>
      </c>
      <c r="N466">
        <f t="shared" si="39"/>
        <v>0</v>
      </c>
      <c r="P466" t="e">
        <f>INDEX(Items!B$2:B$1032,MATCH($O466,Items!$A$2:$A$1032,0))</f>
        <v>#N/A</v>
      </c>
      <c r="Q466" t="e">
        <f>INDEX(Items!C$2:C$1032,MATCH($O466,Items!$A$2:$A$1032,0))</f>
        <v>#N/A</v>
      </c>
      <c r="R466" t="e">
        <f>INDEX(Items!D$2:D$1032,MATCH($O466,Items!$A$2:$A$1032,0))</f>
        <v>#N/A</v>
      </c>
    </row>
    <row r="467" spans="1:18" x14ac:dyDescent="0.25">
      <c r="A467">
        <f t="shared" si="37"/>
        <v>1</v>
      </c>
      <c r="B467" t="str">
        <f t="shared" si="38"/>
        <v/>
      </c>
      <c r="C467">
        <f t="shared" si="40"/>
        <v>1</v>
      </c>
      <c r="D467" s="4"/>
      <c r="E467" t="s">
        <v>18</v>
      </c>
      <c r="F467" t="str">
        <f>INDEX(Establishment!B$2:B$1005,MATCH($E467,Establishment!$A$2:$A$1005,0))</f>
        <v xml:space="preserve"> </v>
      </c>
      <c r="G467" t="str">
        <f>INDEX(Establishment!C$2:C$1005,MATCH($E467,Establishment!$A$2:$A$1005,0))</f>
        <v xml:space="preserve"> </v>
      </c>
      <c r="M467">
        <f t="shared" si="41"/>
        <v>0</v>
      </c>
      <c r="N467">
        <f t="shared" si="39"/>
        <v>0</v>
      </c>
      <c r="P467" t="e">
        <f>INDEX(Items!B$2:B$1032,MATCH($O467,Items!$A$2:$A$1032,0))</f>
        <v>#N/A</v>
      </c>
      <c r="Q467" t="e">
        <f>INDEX(Items!C$2:C$1032,MATCH($O467,Items!$A$2:$A$1032,0))</f>
        <v>#N/A</v>
      </c>
      <c r="R467" t="e">
        <f>INDEX(Items!D$2:D$1032,MATCH($O467,Items!$A$2:$A$1032,0))</f>
        <v>#N/A</v>
      </c>
    </row>
    <row r="468" spans="1:18" x14ac:dyDescent="0.25">
      <c r="A468">
        <f t="shared" si="37"/>
        <v>1</v>
      </c>
      <c r="B468" t="str">
        <f t="shared" si="38"/>
        <v/>
      </c>
      <c r="C468">
        <f t="shared" si="40"/>
        <v>1</v>
      </c>
      <c r="D468" s="4"/>
      <c r="E468" t="s">
        <v>18</v>
      </c>
      <c r="F468" t="str">
        <f>INDEX(Establishment!B$2:B$1005,MATCH($E468,Establishment!$A$2:$A$1005,0))</f>
        <v xml:space="preserve"> </v>
      </c>
      <c r="G468" t="str">
        <f>INDEX(Establishment!C$2:C$1005,MATCH($E468,Establishment!$A$2:$A$1005,0))</f>
        <v xml:space="preserve"> </v>
      </c>
      <c r="M468">
        <f t="shared" si="41"/>
        <v>0</v>
      </c>
      <c r="N468">
        <f t="shared" si="39"/>
        <v>0</v>
      </c>
      <c r="P468" t="e">
        <f>INDEX(Items!B$2:B$1032,MATCH($O468,Items!$A$2:$A$1032,0))</f>
        <v>#N/A</v>
      </c>
      <c r="Q468" t="e">
        <f>INDEX(Items!C$2:C$1032,MATCH($O468,Items!$A$2:$A$1032,0))</f>
        <v>#N/A</v>
      </c>
      <c r="R468" t="e">
        <f>INDEX(Items!D$2:D$1032,MATCH($O468,Items!$A$2:$A$1032,0))</f>
        <v>#N/A</v>
      </c>
    </row>
    <row r="469" spans="1:18" x14ac:dyDescent="0.25">
      <c r="A469">
        <f t="shared" si="37"/>
        <v>1</v>
      </c>
      <c r="B469" t="str">
        <f t="shared" si="38"/>
        <v/>
      </c>
      <c r="C469">
        <f t="shared" si="40"/>
        <v>1</v>
      </c>
      <c r="D469" s="4"/>
      <c r="E469" t="s">
        <v>18</v>
      </c>
      <c r="F469" t="str">
        <f>INDEX(Establishment!B$2:B$1005,MATCH($E469,Establishment!$A$2:$A$1005,0))</f>
        <v xml:space="preserve"> </v>
      </c>
      <c r="G469" t="str">
        <f>INDEX(Establishment!C$2:C$1005,MATCH($E469,Establishment!$A$2:$A$1005,0))</f>
        <v xml:space="preserve"> </v>
      </c>
      <c r="M469">
        <f t="shared" si="41"/>
        <v>0</v>
      </c>
      <c r="N469">
        <f t="shared" si="39"/>
        <v>0</v>
      </c>
      <c r="P469" t="e">
        <f>INDEX(Items!B$2:B$1032,MATCH($O469,Items!$A$2:$A$1032,0))</f>
        <v>#N/A</v>
      </c>
      <c r="Q469" t="e">
        <f>INDEX(Items!C$2:C$1032,MATCH($O469,Items!$A$2:$A$1032,0))</f>
        <v>#N/A</v>
      </c>
      <c r="R469" t="e">
        <f>INDEX(Items!D$2:D$1032,MATCH($O469,Items!$A$2:$A$1032,0))</f>
        <v>#N/A</v>
      </c>
    </row>
    <row r="470" spans="1:18" x14ac:dyDescent="0.25">
      <c r="A470">
        <f t="shared" si="37"/>
        <v>1</v>
      </c>
      <c r="B470" t="str">
        <f t="shared" si="38"/>
        <v/>
      </c>
      <c r="C470">
        <f t="shared" si="40"/>
        <v>1</v>
      </c>
      <c r="D470" s="4"/>
      <c r="E470" t="s">
        <v>18</v>
      </c>
      <c r="F470" t="str">
        <f>INDEX(Establishment!B$2:B$1005,MATCH($E470,Establishment!$A$2:$A$1005,0))</f>
        <v xml:space="preserve"> </v>
      </c>
      <c r="G470" t="str">
        <f>INDEX(Establishment!C$2:C$1005,MATCH($E470,Establishment!$A$2:$A$1005,0))</f>
        <v xml:space="preserve"> </v>
      </c>
      <c r="M470">
        <f t="shared" si="41"/>
        <v>0</v>
      </c>
      <c r="N470">
        <f t="shared" si="39"/>
        <v>0</v>
      </c>
      <c r="P470" t="e">
        <f>INDEX(Items!B$2:B$1032,MATCH($O470,Items!$A$2:$A$1032,0))</f>
        <v>#N/A</v>
      </c>
      <c r="Q470" t="e">
        <f>INDEX(Items!C$2:C$1032,MATCH($O470,Items!$A$2:$A$1032,0))</f>
        <v>#N/A</v>
      </c>
      <c r="R470" t="e">
        <f>INDEX(Items!D$2:D$1032,MATCH($O470,Items!$A$2:$A$1032,0))</f>
        <v>#N/A</v>
      </c>
    </row>
    <row r="471" spans="1:18" x14ac:dyDescent="0.25">
      <c r="A471">
        <f t="shared" si="37"/>
        <v>1</v>
      </c>
      <c r="B471" t="str">
        <f t="shared" si="38"/>
        <v/>
      </c>
      <c r="C471">
        <f t="shared" si="40"/>
        <v>1</v>
      </c>
      <c r="D471" s="4"/>
      <c r="E471" t="s">
        <v>18</v>
      </c>
      <c r="F471" t="str">
        <f>INDEX(Establishment!B$2:B$1005,MATCH($E471,Establishment!$A$2:$A$1005,0))</f>
        <v xml:space="preserve"> </v>
      </c>
      <c r="G471" t="str">
        <f>INDEX(Establishment!C$2:C$1005,MATCH($E471,Establishment!$A$2:$A$1005,0))</f>
        <v xml:space="preserve"> </v>
      </c>
      <c r="M471">
        <f t="shared" si="41"/>
        <v>0</v>
      </c>
      <c r="N471">
        <f t="shared" si="39"/>
        <v>0</v>
      </c>
      <c r="P471" t="e">
        <f>INDEX(Items!B$2:B$1032,MATCH($O471,Items!$A$2:$A$1032,0))</f>
        <v>#N/A</v>
      </c>
      <c r="Q471" t="e">
        <f>INDEX(Items!C$2:C$1032,MATCH($O471,Items!$A$2:$A$1032,0))</f>
        <v>#N/A</v>
      </c>
      <c r="R471" t="e">
        <f>INDEX(Items!D$2:D$1032,MATCH($O471,Items!$A$2:$A$1032,0))</f>
        <v>#N/A</v>
      </c>
    </row>
    <row r="472" spans="1:18" x14ac:dyDescent="0.25">
      <c r="A472">
        <f t="shared" si="37"/>
        <v>1</v>
      </c>
      <c r="B472" t="str">
        <f t="shared" si="38"/>
        <v/>
      </c>
      <c r="C472">
        <f t="shared" si="40"/>
        <v>1</v>
      </c>
      <c r="D472" s="4"/>
      <c r="E472" t="s">
        <v>18</v>
      </c>
      <c r="F472" t="str">
        <f>INDEX(Establishment!B$2:B$1005,MATCH($E472,Establishment!$A$2:$A$1005,0))</f>
        <v xml:space="preserve"> </v>
      </c>
      <c r="G472" t="str">
        <f>INDEX(Establishment!C$2:C$1005,MATCH($E472,Establishment!$A$2:$A$1005,0))</f>
        <v xml:space="preserve"> </v>
      </c>
      <c r="M472">
        <f t="shared" si="41"/>
        <v>0</v>
      </c>
      <c r="N472">
        <f t="shared" si="39"/>
        <v>0</v>
      </c>
      <c r="P472" t="e">
        <f>INDEX(Items!B$2:B$1032,MATCH($O472,Items!$A$2:$A$1032,0))</f>
        <v>#N/A</v>
      </c>
      <c r="Q472" t="e">
        <f>INDEX(Items!C$2:C$1032,MATCH($O472,Items!$A$2:$A$1032,0))</f>
        <v>#N/A</v>
      </c>
      <c r="R472" t="e">
        <f>INDEX(Items!D$2:D$1032,MATCH($O472,Items!$A$2:$A$1032,0))</f>
        <v>#N/A</v>
      </c>
    </row>
    <row r="473" spans="1:18" x14ac:dyDescent="0.25">
      <c r="A473">
        <f t="shared" si="37"/>
        <v>1</v>
      </c>
      <c r="B473" t="str">
        <f t="shared" si="38"/>
        <v/>
      </c>
      <c r="C473">
        <f t="shared" si="40"/>
        <v>1</v>
      </c>
      <c r="D473" s="4"/>
      <c r="E473" t="s">
        <v>18</v>
      </c>
      <c r="F473" t="str">
        <f>INDEX(Establishment!B$2:B$1005,MATCH($E473,Establishment!$A$2:$A$1005,0))</f>
        <v xml:space="preserve"> </v>
      </c>
      <c r="G473" t="str">
        <f>INDEX(Establishment!C$2:C$1005,MATCH($E473,Establishment!$A$2:$A$1005,0))</f>
        <v xml:space="preserve"> </v>
      </c>
      <c r="M473">
        <f t="shared" si="41"/>
        <v>0</v>
      </c>
      <c r="N473">
        <f t="shared" si="39"/>
        <v>0</v>
      </c>
      <c r="P473" t="e">
        <f>INDEX(Items!B$2:B$1032,MATCH($O473,Items!$A$2:$A$1032,0))</f>
        <v>#N/A</v>
      </c>
      <c r="Q473" t="e">
        <f>INDEX(Items!C$2:C$1032,MATCH($O473,Items!$A$2:$A$1032,0))</f>
        <v>#N/A</v>
      </c>
      <c r="R473" t="e">
        <f>INDEX(Items!D$2:D$1032,MATCH($O473,Items!$A$2:$A$1032,0))</f>
        <v>#N/A</v>
      </c>
    </row>
    <row r="474" spans="1:18" x14ac:dyDescent="0.25">
      <c r="A474">
        <f t="shared" si="37"/>
        <v>1</v>
      </c>
      <c r="B474" t="str">
        <f t="shared" si="38"/>
        <v/>
      </c>
      <c r="C474">
        <f t="shared" si="40"/>
        <v>1</v>
      </c>
      <c r="D474" s="4"/>
      <c r="E474" t="s">
        <v>18</v>
      </c>
      <c r="F474" t="str">
        <f>INDEX(Establishment!B$2:B$1005,MATCH($E474,Establishment!$A$2:$A$1005,0))</f>
        <v xml:space="preserve"> </v>
      </c>
      <c r="G474" t="str">
        <f>INDEX(Establishment!C$2:C$1005,MATCH($E474,Establishment!$A$2:$A$1005,0))</f>
        <v xml:space="preserve"> </v>
      </c>
      <c r="M474">
        <f t="shared" si="41"/>
        <v>0</v>
      </c>
      <c r="N474">
        <f t="shared" si="39"/>
        <v>0</v>
      </c>
      <c r="P474" t="e">
        <f>INDEX(Items!B$2:B$1032,MATCH($O474,Items!$A$2:$A$1032,0))</f>
        <v>#N/A</v>
      </c>
      <c r="Q474" t="e">
        <f>INDEX(Items!C$2:C$1032,MATCH($O474,Items!$A$2:$A$1032,0))</f>
        <v>#N/A</v>
      </c>
      <c r="R474" t="e">
        <f>INDEX(Items!D$2:D$1032,MATCH($O474,Items!$A$2:$A$1032,0))</f>
        <v>#N/A</v>
      </c>
    </row>
    <row r="475" spans="1:18" x14ac:dyDescent="0.25">
      <c r="A475">
        <f t="shared" si="37"/>
        <v>1</v>
      </c>
      <c r="B475" t="str">
        <f t="shared" si="38"/>
        <v/>
      </c>
      <c r="C475">
        <f t="shared" si="40"/>
        <v>1</v>
      </c>
      <c r="D475" s="4"/>
      <c r="E475" t="s">
        <v>18</v>
      </c>
      <c r="F475" t="str">
        <f>INDEX(Establishment!B$2:B$1005,MATCH($E475,Establishment!$A$2:$A$1005,0))</f>
        <v xml:space="preserve"> </v>
      </c>
      <c r="G475" t="str">
        <f>INDEX(Establishment!C$2:C$1005,MATCH($E475,Establishment!$A$2:$A$1005,0))</f>
        <v xml:space="preserve"> </v>
      </c>
      <c r="M475">
        <f t="shared" si="41"/>
        <v>0</v>
      </c>
      <c r="N475">
        <f t="shared" si="39"/>
        <v>0</v>
      </c>
      <c r="P475" t="e">
        <f>INDEX(Items!B$2:B$1032,MATCH($O475,Items!$A$2:$A$1032,0))</f>
        <v>#N/A</v>
      </c>
      <c r="Q475" t="e">
        <f>INDEX(Items!C$2:C$1032,MATCH($O475,Items!$A$2:$A$1032,0))</f>
        <v>#N/A</v>
      </c>
      <c r="R475" t="e">
        <f>INDEX(Items!D$2:D$1032,MATCH($O475,Items!$A$2:$A$1032,0))</f>
        <v>#N/A</v>
      </c>
    </row>
    <row r="476" spans="1:18" x14ac:dyDescent="0.25">
      <c r="A476">
        <f t="shared" si="37"/>
        <v>1</v>
      </c>
      <c r="B476" t="str">
        <f t="shared" si="38"/>
        <v/>
      </c>
      <c r="C476">
        <f t="shared" si="40"/>
        <v>1</v>
      </c>
      <c r="D476" s="4"/>
      <c r="E476" t="s">
        <v>18</v>
      </c>
      <c r="F476" t="str">
        <f>INDEX(Establishment!B$2:B$1005,MATCH($E476,Establishment!$A$2:$A$1005,0))</f>
        <v xml:space="preserve"> </v>
      </c>
      <c r="G476" t="str">
        <f>INDEX(Establishment!C$2:C$1005,MATCH($E476,Establishment!$A$2:$A$1005,0))</f>
        <v xml:space="preserve"> </v>
      </c>
      <c r="M476">
        <f t="shared" si="41"/>
        <v>0</v>
      </c>
      <c r="N476">
        <f t="shared" si="39"/>
        <v>0</v>
      </c>
      <c r="P476" t="e">
        <f>INDEX(Items!B$2:B$1032,MATCH($O476,Items!$A$2:$A$1032,0))</f>
        <v>#N/A</v>
      </c>
      <c r="Q476" t="e">
        <f>INDEX(Items!C$2:C$1032,MATCH($O476,Items!$A$2:$A$1032,0))</f>
        <v>#N/A</v>
      </c>
      <c r="R476" t="e">
        <f>INDEX(Items!D$2:D$1032,MATCH($O476,Items!$A$2:$A$1032,0))</f>
        <v>#N/A</v>
      </c>
    </row>
    <row r="477" spans="1:18" x14ac:dyDescent="0.25">
      <c r="A477">
        <f t="shared" si="37"/>
        <v>1</v>
      </c>
      <c r="B477" t="str">
        <f t="shared" si="38"/>
        <v/>
      </c>
      <c r="C477">
        <f t="shared" si="40"/>
        <v>1</v>
      </c>
      <c r="D477" s="4"/>
      <c r="E477" t="s">
        <v>18</v>
      </c>
      <c r="F477" t="str">
        <f>INDEX(Establishment!B$2:B$1005,MATCH($E477,Establishment!$A$2:$A$1005,0))</f>
        <v xml:space="preserve"> </v>
      </c>
      <c r="G477" t="str">
        <f>INDEX(Establishment!C$2:C$1005,MATCH($E477,Establishment!$A$2:$A$1005,0))</f>
        <v xml:space="preserve"> </v>
      </c>
      <c r="M477">
        <f t="shared" si="41"/>
        <v>0</v>
      </c>
      <c r="N477">
        <f t="shared" si="39"/>
        <v>0</v>
      </c>
      <c r="P477" t="e">
        <f>INDEX(Items!B$2:B$1032,MATCH($O477,Items!$A$2:$A$1032,0))</f>
        <v>#N/A</v>
      </c>
      <c r="Q477" t="e">
        <f>INDEX(Items!C$2:C$1032,MATCH($O477,Items!$A$2:$A$1032,0))</f>
        <v>#N/A</v>
      </c>
      <c r="R477" t="e">
        <f>INDEX(Items!D$2:D$1032,MATCH($O477,Items!$A$2:$A$1032,0))</f>
        <v>#N/A</v>
      </c>
    </row>
    <row r="478" spans="1:18" x14ac:dyDescent="0.25">
      <c r="A478">
        <f t="shared" si="37"/>
        <v>1</v>
      </c>
      <c r="B478" t="str">
        <f t="shared" si="38"/>
        <v/>
      </c>
      <c r="C478">
        <f t="shared" si="40"/>
        <v>1</v>
      </c>
      <c r="D478" s="4"/>
      <c r="E478" t="s">
        <v>18</v>
      </c>
      <c r="F478" t="str">
        <f>INDEX(Establishment!B$2:B$1005,MATCH($E478,Establishment!$A$2:$A$1005,0))</f>
        <v xml:space="preserve"> </v>
      </c>
      <c r="G478" t="str">
        <f>INDEX(Establishment!C$2:C$1005,MATCH($E478,Establishment!$A$2:$A$1005,0))</f>
        <v xml:space="preserve"> </v>
      </c>
      <c r="M478">
        <f t="shared" si="41"/>
        <v>0</v>
      </c>
      <c r="N478">
        <f t="shared" si="39"/>
        <v>0</v>
      </c>
      <c r="P478" t="e">
        <f>INDEX(Items!B$2:B$1032,MATCH($O478,Items!$A$2:$A$1032,0))</f>
        <v>#N/A</v>
      </c>
      <c r="Q478" t="e">
        <f>INDEX(Items!C$2:C$1032,MATCH($O478,Items!$A$2:$A$1032,0))</f>
        <v>#N/A</v>
      </c>
      <c r="R478" t="e">
        <f>INDEX(Items!D$2:D$1032,MATCH($O478,Items!$A$2:$A$1032,0))</f>
        <v>#N/A</v>
      </c>
    </row>
    <row r="479" spans="1:18" x14ac:dyDescent="0.25">
      <c r="A479">
        <f t="shared" si="37"/>
        <v>1</v>
      </c>
      <c r="B479" t="str">
        <f t="shared" si="38"/>
        <v/>
      </c>
      <c r="C479">
        <f t="shared" si="40"/>
        <v>1</v>
      </c>
      <c r="D479" s="4"/>
      <c r="E479" t="s">
        <v>18</v>
      </c>
      <c r="F479" t="str">
        <f>INDEX(Establishment!B$2:B$1005,MATCH($E479,Establishment!$A$2:$A$1005,0))</f>
        <v xml:space="preserve"> </v>
      </c>
      <c r="G479" t="str">
        <f>INDEX(Establishment!C$2:C$1005,MATCH($E479,Establishment!$A$2:$A$1005,0))</f>
        <v xml:space="preserve"> </v>
      </c>
      <c r="M479">
        <f t="shared" si="41"/>
        <v>0</v>
      </c>
      <c r="N479">
        <f t="shared" si="39"/>
        <v>0</v>
      </c>
      <c r="P479" t="e">
        <f>INDEX(Items!B$2:B$1032,MATCH($O479,Items!$A$2:$A$1032,0))</f>
        <v>#N/A</v>
      </c>
      <c r="Q479" t="e">
        <f>INDEX(Items!C$2:C$1032,MATCH($O479,Items!$A$2:$A$1032,0))</f>
        <v>#N/A</v>
      </c>
      <c r="R479" t="e">
        <f>INDEX(Items!D$2:D$1032,MATCH($O479,Items!$A$2:$A$1032,0))</f>
        <v>#N/A</v>
      </c>
    </row>
    <row r="480" spans="1:18" x14ac:dyDescent="0.25">
      <c r="A480">
        <f t="shared" si="37"/>
        <v>1</v>
      </c>
      <c r="B480" t="str">
        <f t="shared" si="38"/>
        <v/>
      </c>
      <c r="C480">
        <f t="shared" si="40"/>
        <v>1</v>
      </c>
      <c r="D480" s="4"/>
      <c r="E480" t="s">
        <v>18</v>
      </c>
      <c r="F480" t="str">
        <f>INDEX(Establishment!B$2:B$1005,MATCH($E480,Establishment!$A$2:$A$1005,0))</f>
        <v xml:space="preserve"> </v>
      </c>
      <c r="G480" t="str">
        <f>INDEX(Establishment!C$2:C$1005,MATCH($E480,Establishment!$A$2:$A$1005,0))</f>
        <v xml:space="preserve"> </v>
      </c>
      <c r="M480">
        <f t="shared" si="41"/>
        <v>0</v>
      </c>
      <c r="N480">
        <f t="shared" si="39"/>
        <v>0</v>
      </c>
      <c r="P480" t="e">
        <f>INDEX(Items!B$2:B$1032,MATCH($O480,Items!$A$2:$A$1032,0))</f>
        <v>#N/A</v>
      </c>
      <c r="Q480" t="e">
        <f>INDEX(Items!C$2:C$1032,MATCH($O480,Items!$A$2:$A$1032,0))</f>
        <v>#N/A</v>
      </c>
      <c r="R480" t="e">
        <f>INDEX(Items!D$2:D$1032,MATCH($O480,Items!$A$2:$A$1032,0))</f>
        <v>#N/A</v>
      </c>
    </row>
    <row r="481" spans="1:18" x14ac:dyDescent="0.25">
      <c r="A481">
        <f t="shared" si="37"/>
        <v>1</v>
      </c>
      <c r="B481" t="str">
        <f t="shared" si="38"/>
        <v/>
      </c>
      <c r="C481">
        <f t="shared" si="40"/>
        <v>1</v>
      </c>
      <c r="D481" s="4"/>
      <c r="E481" t="s">
        <v>18</v>
      </c>
      <c r="F481" t="str">
        <f>INDEX(Establishment!B$2:B$1005,MATCH($E481,Establishment!$A$2:$A$1005,0))</f>
        <v xml:space="preserve"> </v>
      </c>
      <c r="G481" t="str">
        <f>INDEX(Establishment!C$2:C$1005,MATCH($E481,Establishment!$A$2:$A$1005,0))</f>
        <v xml:space="preserve"> </v>
      </c>
      <c r="M481">
        <f t="shared" si="41"/>
        <v>0</v>
      </c>
      <c r="N481">
        <f t="shared" si="39"/>
        <v>0</v>
      </c>
      <c r="P481" t="e">
        <f>INDEX(Items!B$2:B$1032,MATCH($O481,Items!$A$2:$A$1032,0))</f>
        <v>#N/A</v>
      </c>
      <c r="Q481" t="e">
        <f>INDEX(Items!C$2:C$1032,MATCH($O481,Items!$A$2:$A$1032,0))</f>
        <v>#N/A</v>
      </c>
      <c r="R481" t="e">
        <f>INDEX(Items!D$2:D$1032,MATCH($O481,Items!$A$2:$A$1032,0))</f>
        <v>#N/A</v>
      </c>
    </row>
    <row r="482" spans="1:18" x14ac:dyDescent="0.25">
      <c r="A482">
        <f t="shared" si="37"/>
        <v>1</v>
      </c>
      <c r="B482" t="str">
        <f t="shared" si="38"/>
        <v/>
      </c>
      <c r="C482">
        <f t="shared" si="40"/>
        <v>1</v>
      </c>
      <c r="D482" s="4"/>
      <c r="E482" t="s">
        <v>18</v>
      </c>
      <c r="F482" t="str">
        <f>INDEX(Establishment!B$2:B$1005,MATCH($E482,Establishment!$A$2:$A$1005,0))</f>
        <v xml:space="preserve"> </v>
      </c>
      <c r="G482" t="str">
        <f>INDEX(Establishment!C$2:C$1005,MATCH($E482,Establishment!$A$2:$A$1005,0))</f>
        <v xml:space="preserve"> </v>
      </c>
      <c r="M482">
        <f t="shared" si="41"/>
        <v>0</v>
      </c>
      <c r="N482">
        <f t="shared" si="39"/>
        <v>0</v>
      </c>
      <c r="P482" t="e">
        <f>INDEX(Items!B$2:B$1032,MATCH($O482,Items!$A$2:$A$1032,0))</f>
        <v>#N/A</v>
      </c>
      <c r="Q482" t="e">
        <f>INDEX(Items!C$2:C$1032,MATCH($O482,Items!$A$2:$A$1032,0))</f>
        <v>#N/A</v>
      </c>
      <c r="R482" t="e">
        <f>INDEX(Items!D$2:D$1032,MATCH($O482,Items!$A$2:$A$1032,0))</f>
        <v>#N/A</v>
      </c>
    </row>
    <row r="483" spans="1:18" x14ac:dyDescent="0.25">
      <c r="A483">
        <f t="shared" si="37"/>
        <v>1</v>
      </c>
      <c r="B483" t="str">
        <f t="shared" si="38"/>
        <v/>
      </c>
      <c r="C483">
        <f t="shared" si="40"/>
        <v>1</v>
      </c>
      <c r="D483" s="4"/>
      <c r="E483" t="s">
        <v>18</v>
      </c>
      <c r="F483" t="str">
        <f>INDEX(Establishment!B$2:B$1005,MATCH($E483,Establishment!$A$2:$A$1005,0))</f>
        <v xml:space="preserve"> </v>
      </c>
      <c r="G483" t="str">
        <f>INDEX(Establishment!C$2:C$1005,MATCH($E483,Establishment!$A$2:$A$1005,0))</f>
        <v xml:space="preserve"> </v>
      </c>
      <c r="M483">
        <f t="shared" si="41"/>
        <v>0</v>
      </c>
      <c r="N483">
        <f t="shared" si="39"/>
        <v>0</v>
      </c>
      <c r="P483" t="e">
        <f>INDEX(Items!B$2:B$1032,MATCH($O483,Items!$A$2:$A$1032,0))</f>
        <v>#N/A</v>
      </c>
      <c r="Q483" t="e">
        <f>INDEX(Items!C$2:C$1032,MATCH($O483,Items!$A$2:$A$1032,0))</f>
        <v>#N/A</v>
      </c>
      <c r="R483" t="e">
        <f>INDEX(Items!D$2:D$1032,MATCH($O483,Items!$A$2:$A$1032,0))</f>
        <v>#N/A</v>
      </c>
    </row>
    <row r="484" spans="1:18" x14ac:dyDescent="0.25">
      <c r="A484">
        <f t="shared" si="37"/>
        <v>1</v>
      </c>
      <c r="B484" t="str">
        <f t="shared" si="38"/>
        <v/>
      </c>
      <c r="C484">
        <f t="shared" si="40"/>
        <v>1</v>
      </c>
      <c r="D484" s="4"/>
      <c r="E484" t="s">
        <v>18</v>
      </c>
      <c r="F484" t="str">
        <f>INDEX(Establishment!B$2:B$1005,MATCH($E484,Establishment!$A$2:$A$1005,0))</f>
        <v xml:space="preserve"> </v>
      </c>
      <c r="G484" t="str">
        <f>INDEX(Establishment!C$2:C$1005,MATCH($E484,Establishment!$A$2:$A$1005,0))</f>
        <v xml:space="preserve"> </v>
      </c>
      <c r="M484">
        <f t="shared" si="41"/>
        <v>0</v>
      </c>
      <c r="N484">
        <f t="shared" si="39"/>
        <v>0</v>
      </c>
      <c r="P484" t="e">
        <f>INDEX(Items!B$2:B$1032,MATCH($O484,Items!$A$2:$A$1032,0))</f>
        <v>#N/A</v>
      </c>
      <c r="Q484" t="e">
        <f>INDEX(Items!C$2:C$1032,MATCH($O484,Items!$A$2:$A$1032,0))</f>
        <v>#N/A</v>
      </c>
      <c r="R484" t="e">
        <f>INDEX(Items!D$2:D$1032,MATCH($O484,Items!$A$2:$A$1032,0))</f>
        <v>#N/A</v>
      </c>
    </row>
    <row r="485" spans="1:18" x14ac:dyDescent="0.25">
      <c r="A485">
        <f t="shared" si="37"/>
        <v>1</v>
      </c>
      <c r="B485" t="str">
        <f t="shared" si="38"/>
        <v/>
      </c>
      <c r="C485">
        <f t="shared" si="40"/>
        <v>1</v>
      </c>
      <c r="D485" s="4"/>
      <c r="E485" t="s">
        <v>18</v>
      </c>
      <c r="F485" t="str">
        <f>INDEX(Establishment!B$2:B$1005,MATCH($E485,Establishment!$A$2:$A$1005,0))</f>
        <v xml:space="preserve"> </v>
      </c>
      <c r="G485" t="str">
        <f>INDEX(Establishment!C$2:C$1005,MATCH($E485,Establishment!$A$2:$A$1005,0))</f>
        <v xml:space="preserve"> </v>
      </c>
      <c r="M485">
        <f t="shared" si="41"/>
        <v>0</v>
      </c>
      <c r="N485">
        <f t="shared" si="39"/>
        <v>0</v>
      </c>
      <c r="P485" t="e">
        <f>INDEX(Items!B$2:B$1032,MATCH($O485,Items!$A$2:$A$1032,0))</f>
        <v>#N/A</v>
      </c>
      <c r="Q485" t="e">
        <f>INDEX(Items!C$2:C$1032,MATCH($O485,Items!$A$2:$A$1032,0))</f>
        <v>#N/A</v>
      </c>
      <c r="R485" t="e">
        <f>INDEX(Items!D$2:D$1032,MATCH($O485,Items!$A$2:$A$1032,0))</f>
        <v>#N/A</v>
      </c>
    </row>
    <row r="486" spans="1:18" x14ac:dyDescent="0.25">
      <c r="A486">
        <f t="shared" si="37"/>
        <v>1</v>
      </c>
      <c r="B486" t="str">
        <f t="shared" si="38"/>
        <v/>
      </c>
      <c r="C486">
        <f t="shared" si="40"/>
        <v>1</v>
      </c>
      <c r="D486" s="4"/>
      <c r="E486" t="s">
        <v>18</v>
      </c>
      <c r="F486" t="str">
        <f>INDEX(Establishment!B$2:B$1005,MATCH($E486,Establishment!$A$2:$A$1005,0))</f>
        <v xml:space="preserve"> </v>
      </c>
      <c r="G486" t="str">
        <f>INDEX(Establishment!C$2:C$1005,MATCH($E486,Establishment!$A$2:$A$1005,0))</f>
        <v xml:space="preserve"> </v>
      </c>
      <c r="M486">
        <f t="shared" si="41"/>
        <v>0</v>
      </c>
      <c r="N486">
        <f t="shared" si="39"/>
        <v>0</v>
      </c>
      <c r="P486" t="e">
        <f>INDEX(Items!B$2:B$1032,MATCH($O486,Items!$A$2:$A$1032,0))</f>
        <v>#N/A</v>
      </c>
      <c r="Q486" t="e">
        <f>INDEX(Items!C$2:C$1032,MATCH($O486,Items!$A$2:$A$1032,0))</f>
        <v>#N/A</v>
      </c>
      <c r="R486" t="e">
        <f>INDEX(Items!D$2:D$1032,MATCH($O486,Items!$A$2:$A$1032,0))</f>
        <v>#N/A</v>
      </c>
    </row>
    <row r="487" spans="1:18" x14ac:dyDescent="0.25">
      <c r="A487">
        <f t="shared" si="37"/>
        <v>1</v>
      </c>
      <c r="B487" t="str">
        <f t="shared" si="38"/>
        <v/>
      </c>
      <c r="C487">
        <f t="shared" si="40"/>
        <v>1</v>
      </c>
      <c r="D487" s="4"/>
      <c r="E487" t="s">
        <v>18</v>
      </c>
      <c r="F487" t="str">
        <f>INDEX(Establishment!B$2:B$1005,MATCH($E487,Establishment!$A$2:$A$1005,0))</f>
        <v xml:space="preserve"> </v>
      </c>
      <c r="G487" t="str">
        <f>INDEX(Establishment!C$2:C$1005,MATCH($E487,Establishment!$A$2:$A$1005,0))</f>
        <v xml:space="preserve"> </v>
      </c>
      <c r="M487">
        <f t="shared" si="41"/>
        <v>0</v>
      </c>
      <c r="N487">
        <f t="shared" si="39"/>
        <v>0</v>
      </c>
      <c r="P487" t="e">
        <f>INDEX(Items!B$2:B$1032,MATCH($O487,Items!$A$2:$A$1032,0))</f>
        <v>#N/A</v>
      </c>
      <c r="Q487" t="e">
        <f>INDEX(Items!C$2:C$1032,MATCH($O487,Items!$A$2:$A$1032,0))</f>
        <v>#N/A</v>
      </c>
      <c r="R487" t="e">
        <f>INDEX(Items!D$2:D$1032,MATCH($O487,Items!$A$2:$A$1032,0))</f>
        <v>#N/A</v>
      </c>
    </row>
    <row r="488" spans="1:18" x14ac:dyDescent="0.25">
      <c r="A488">
        <f t="shared" si="37"/>
        <v>1</v>
      </c>
      <c r="B488" t="str">
        <f t="shared" si="38"/>
        <v/>
      </c>
      <c r="C488">
        <f t="shared" si="40"/>
        <v>1</v>
      </c>
      <c r="D488" s="4"/>
      <c r="E488" t="s">
        <v>18</v>
      </c>
      <c r="F488" t="str">
        <f>INDEX(Establishment!B$2:B$1005,MATCH($E488,Establishment!$A$2:$A$1005,0))</f>
        <v xml:space="preserve"> </v>
      </c>
      <c r="G488" t="str">
        <f>INDEX(Establishment!C$2:C$1005,MATCH($E488,Establishment!$A$2:$A$1005,0))</f>
        <v xml:space="preserve"> </v>
      </c>
      <c r="M488">
        <f t="shared" si="41"/>
        <v>0</v>
      </c>
      <c r="N488">
        <f t="shared" si="39"/>
        <v>0</v>
      </c>
      <c r="P488" t="e">
        <f>INDEX(Items!B$2:B$1032,MATCH($O488,Items!$A$2:$A$1032,0))</f>
        <v>#N/A</v>
      </c>
      <c r="Q488" t="e">
        <f>INDEX(Items!C$2:C$1032,MATCH($O488,Items!$A$2:$A$1032,0))</f>
        <v>#N/A</v>
      </c>
      <c r="R488" t="e">
        <f>INDEX(Items!D$2:D$1032,MATCH($O488,Items!$A$2:$A$1032,0))</f>
        <v>#N/A</v>
      </c>
    </row>
    <row r="489" spans="1:18" x14ac:dyDescent="0.25">
      <c r="A489">
        <f t="shared" si="37"/>
        <v>1</v>
      </c>
      <c r="B489" t="str">
        <f t="shared" si="38"/>
        <v/>
      </c>
      <c r="C489">
        <f t="shared" si="40"/>
        <v>1</v>
      </c>
      <c r="D489" s="4"/>
      <c r="E489" t="s">
        <v>18</v>
      </c>
      <c r="F489" t="str">
        <f>INDEX(Establishment!B$2:B$1005,MATCH($E489,Establishment!$A$2:$A$1005,0))</f>
        <v xml:space="preserve"> </v>
      </c>
      <c r="G489" t="str">
        <f>INDEX(Establishment!C$2:C$1005,MATCH($E489,Establishment!$A$2:$A$1005,0))</f>
        <v xml:space="preserve"> </v>
      </c>
      <c r="M489">
        <f t="shared" si="41"/>
        <v>0</v>
      </c>
      <c r="N489">
        <f t="shared" si="39"/>
        <v>0</v>
      </c>
      <c r="P489" t="e">
        <f>INDEX(Items!B$2:B$1032,MATCH($O489,Items!$A$2:$A$1032,0))</f>
        <v>#N/A</v>
      </c>
      <c r="Q489" t="e">
        <f>INDEX(Items!C$2:C$1032,MATCH($O489,Items!$A$2:$A$1032,0))</f>
        <v>#N/A</v>
      </c>
      <c r="R489" t="e">
        <f>INDEX(Items!D$2:D$1032,MATCH($O489,Items!$A$2:$A$1032,0))</f>
        <v>#N/A</v>
      </c>
    </row>
    <row r="490" spans="1:18" x14ac:dyDescent="0.25">
      <c r="A490">
        <f t="shared" si="37"/>
        <v>1</v>
      </c>
      <c r="B490" t="str">
        <f t="shared" si="38"/>
        <v/>
      </c>
      <c r="C490">
        <f t="shared" si="40"/>
        <v>1</v>
      </c>
      <c r="D490" s="4"/>
      <c r="E490" t="s">
        <v>18</v>
      </c>
      <c r="F490" t="str">
        <f>INDEX(Establishment!B$2:B$1005,MATCH($E490,Establishment!$A$2:$A$1005,0))</f>
        <v xml:space="preserve"> </v>
      </c>
      <c r="G490" t="str">
        <f>INDEX(Establishment!C$2:C$1005,MATCH($E490,Establishment!$A$2:$A$1005,0))</f>
        <v xml:space="preserve"> </v>
      </c>
      <c r="M490">
        <f t="shared" si="41"/>
        <v>0</v>
      </c>
      <c r="N490">
        <f t="shared" si="39"/>
        <v>0</v>
      </c>
      <c r="P490" t="e">
        <f>INDEX(Items!B$2:B$1032,MATCH($O490,Items!$A$2:$A$1032,0))</f>
        <v>#N/A</v>
      </c>
      <c r="Q490" t="e">
        <f>INDEX(Items!C$2:C$1032,MATCH($O490,Items!$A$2:$A$1032,0))</f>
        <v>#N/A</v>
      </c>
      <c r="R490" t="e">
        <f>INDEX(Items!D$2:D$1032,MATCH($O490,Items!$A$2:$A$1032,0))</f>
        <v>#N/A</v>
      </c>
    </row>
    <row r="491" spans="1:18" x14ac:dyDescent="0.25">
      <c r="A491">
        <f t="shared" si="37"/>
        <v>1</v>
      </c>
      <c r="B491" t="str">
        <f t="shared" si="38"/>
        <v/>
      </c>
      <c r="C491">
        <f t="shared" si="40"/>
        <v>1</v>
      </c>
      <c r="D491" s="4"/>
      <c r="E491" t="s">
        <v>18</v>
      </c>
      <c r="F491" t="str">
        <f>INDEX(Establishment!B$2:B$1005,MATCH($E491,Establishment!$A$2:$A$1005,0))</f>
        <v xml:space="preserve"> </v>
      </c>
      <c r="G491" t="str">
        <f>INDEX(Establishment!C$2:C$1005,MATCH($E491,Establishment!$A$2:$A$1005,0))</f>
        <v xml:space="preserve"> </v>
      </c>
      <c r="M491">
        <f t="shared" si="41"/>
        <v>0</v>
      </c>
      <c r="N491">
        <f t="shared" si="39"/>
        <v>0</v>
      </c>
      <c r="P491" t="e">
        <f>INDEX(Items!B$2:B$1032,MATCH($O491,Items!$A$2:$A$1032,0))</f>
        <v>#N/A</v>
      </c>
      <c r="Q491" t="e">
        <f>INDEX(Items!C$2:C$1032,MATCH($O491,Items!$A$2:$A$1032,0))</f>
        <v>#N/A</v>
      </c>
      <c r="R491" t="e">
        <f>INDEX(Items!D$2:D$1032,MATCH($O491,Items!$A$2:$A$1032,0))</f>
        <v>#N/A</v>
      </c>
    </row>
    <row r="492" spans="1:18" x14ac:dyDescent="0.25">
      <c r="A492">
        <f t="shared" si="37"/>
        <v>1</v>
      </c>
      <c r="B492" t="str">
        <f t="shared" si="38"/>
        <v/>
      </c>
      <c r="C492">
        <f t="shared" si="40"/>
        <v>1</v>
      </c>
      <c r="D492" s="4"/>
      <c r="E492" t="s">
        <v>18</v>
      </c>
      <c r="F492" t="str">
        <f>INDEX(Establishment!B$2:B$1005,MATCH($E492,Establishment!$A$2:$A$1005,0))</f>
        <v xml:space="preserve"> </v>
      </c>
      <c r="G492" t="str">
        <f>INDEX(Establishment!C$2:C$1005,MATCH($E492,Establishment!$A$2:$A$1005,0))</f>
        <v xml:space="preserve"> </v>
      </c>
      <c r="M492">
        <f t="shared" si="41"/>
        <v>0</v>
      </c>
      <c r="N492">
        <f t="shared" si="39"/>
        <v>0</v>
      </c>
      <c r="P492" t="e">
        <f>INDEX(Items!B$2:B$1032,MATCH($O492,Items!$A$2:$A$1032,0))</f>
        <v>#N/A</v>
      </c>
      <c r="Q492" t="e">
        <f>INDEX(Items!C$2:C$1032,MATCH($O492,Items!$A$2:$A$1032,0))</f>
        <v>#N/A</v>
      </c>
      <c r="R492" t="e">
        <f>INDEX(Items!D$2:D$1032,MATCH($O492,Items!$A$2:$A$1032,0))</f>
        <v>#N/A</v>
      </c>
    </row>
    <row r="493" spans="1:18" x14ac:dyDescent="0.25">
      <c r="A493">
        <f t="shared" si="37"/>
        <v>1</v>
      </c>
      <c r="B493" t="str">
        <f t="shared" si="38"/>
        <v/>
      </c>
      <c r="C493">
        <f t="shared" si="40"/>
        <v>1</v>
      </c>
      <c r="D493" s="4"/>
      <c r="E493" t="s">
        <v>18</v>
      </c>
      <c r="F493" t="str">
        <f>INDEX(Establishment!B$2:B$1005,MATCH($E493,Establishment!$A$2:$A$1005,0))</f>
        <v xml:space="preserve"> </v>
      </c>
      <c r="G493" t="str">
        <f>INDEX(Establishment!C$2:C$1005,MATCH($E493,Establishment!$A$2:$A$1005,0))</f>
        <v xml:space="preserve"> </v>
      </c>
      <c r="M493">
        <f t="shared" si="41"/>
        <v>0</v>
      </c>
      <c r="N493">
        <f t="shared" si="39"/>
        <v>0</v>
      </c>
      <c r="P493" t="e">
        <f>INDEX(Items!B$2:B$1032,MATCH($O493,Items!$A$2:$A$1032,0))</f>
        <v>#N/A</v>
      </c>
      <c r="Q493" t="e">
        <f>INDEX(Items!C$2:C$1032,MATCH($O493,Items!$A$2:$A$1032,0))</f>
        <v>#N/A</v>
      </c>
      <c r="R493" t="e">
        <f>INDEX(Items!D$2:D$1032,MATCH($O493,Items!$A$2:$A$1032,0))</f>
        <v>#N/A</v>
      </c>
    </row>
    <row r="494" spans="1:18" x14ac:dyDescent="0.25">
      <c r="A494">
        <f t="shared" si="37"/>
        <v>1</v>
      </c>
      <c r="B494" t="str">
        <f t="shared" si="38"/>
        <v/>
      </c>
      <c r="C494">
        <f t="shared" si="40"/>
        <v>1</v>
      </c>
      <c r="D494" s="4"/>
      <c r="E494" t="s">
        <v>18</v>
      </c>
      <c r="F494" t="str">
        <f>INDEX(Establishment!B$2:B$1005,MATCH($E494,Establishment!$A$2:$A$1005,0))</f>
        <v xml:space="preserve"> </v>
      </c>
      <c r="G494" t="str">
        <f>INDEX(Establishment!C$2:C$1005,MATCH($E494,Establishment!$A$2:$A$1005,0))</f>
        <v xml:space="preserve"> </v>
      </c>
      <c r="M494">
        <f t="shared" si="41"/>
        <v>0</v>
      </c>
      <c r="N494">
        <f t="shared" si="39"/>
        <v>0</v>
      </c>
      <c r="P494" t="e">
        <f>INDEX(Items!B$2:B$1032,MATCH($O494,Items!$A$2:$A$1032,0))</f>
        <v>#N/A</v>
      </c>
      <c r="Q494" t="e">
        <f>INDEX(Items!C$2:C$1032,MATCH($O494,Items!$A$2:$A$1032,0))</f>
        <v>#N/A</v>
      </c>
      <c r="R494" t="e">
        <f>INDEX(Items!D$2:D$1032,MATCH($O494,Items!$A$2:$A$1032,0))</f>
        <v>#N/A</v>
      </c>
    </row>
    <row r="495" spans="1:18" x14ac:dyDescent="0.25">
      <c r="A495">
        <f t="shared" si="37"/>
        <v>1</v>
      </c>
      <c r="B495" t="str">
        <f t="shared" si="38"/>
        <v/>
      </c>
      <c r="C495">
        <f t="shared" si="40"/>
        <v>1</v>
      </c>
      <c r="D495" s="4"/>
      <c r="E495" t="s">
        <v>18</v>
      </c>
      <c r="F495" t="str">
        <f>INDEX(Establishment!B$2:B$1005,MATCH($E495,Establishment!$A$2:$A$1005,0))</f>
        <v xml:space="preserve"> </v>
      </c>
      <c r="G495" t="str">
        <f>INDEX(Establishment!C$2:C$1005,MATCH($E495,Establishment!$A$2:$A$1005,0))</f>
        <v xml:space="preserve"> </v>
      </c>
      <c r="M495">
        <f t="shared" si="41"/>
        <v>0</v>
      </c>
      <c r="N495">
        <f t="shared" si="39"/>
        <v>0</v>
      </c>
      <c r="P495" t="e">
        <f>INDEX(Items!B$2:B$1032,MATCH($O495,Items!$A$2:$A$1032,0))</f>
        <v>#N/A</v>
      </c>
      <c r="Q495" t="e">
        <f>INDEX(Items!C$2:C$1032,MATCH($O495,Items!$A$2:$A$1032,0))</f>
        <v>#N/A</v>
      </c>
      <c r="R495" t="e">
        <f>INDEX(Items!D$2:D$1032,MATCH($O495,Items!$A$2:$A$1032,0))</f>
        <v>#N/A</v>
      </c>
    </row>
    <row r="496" spans="1:18" x14ac:dyDescent="0.25">
      <c r="A496">
        <f t="shared" si="37"/>
        <v>1</v>
      </c>
      <c r="B496" t="str">
        <f t="shared" si="38"/>
        <v/>
      </c>
      <c r="C496">
        <f t="shared" si="40"/>
        <v>1</v>
      </c>
      <c r="D496" s="4"/>
      <c r="E496" t="s">
        <v>18</v>
      </c>
      <c r="F496" t="str">
        <f>INDEX(Establishment!B$2:B$1005,MATCH($E496,Establishment!$A$2:$A$1005,0))</f>
        <v xml:space="preserve"> </v>
      </c>
      <c r="G496" t="str">
        <f>INDEX(Establishment!C$2:C$1005,MATCH($E496,Establishment!$A$2:$A$1005,0))</f>
        <v xml:space="preserve"> </v>
      </c>
      <c r="M496">
        <f t="shared" si="41"/>
        <v>0</v>
      </c>
      <c r="N496">
        <f t="shared" si="39"/>
        <v>0</v>
      </c>
      <c r="P496" t="e">
        <f>INDEX(Items!B$2:B$1032,MATCH($O496,Items!$A$2:$A$1032,0))</f>
        <v>#N/A</v>
      </c>
      <c r="Q496" t="e">
        <f>INDEX(Items!C$2:C$1032,MATCH($O496,Items!$A$2:$A$1032,0))</f>
        <v>#N/A</v>
      </c>
      <c r="R496" t="e">
        <f>INDEX(Items!D$2:D$1032,MATCH($O496,Items!$A$2:$A$1032,0))</f>
        <v>#N/A</v>
      </c>
    </row>
    <row r="497" spans="1:18" x14ac:dyDescent="0.25">
      <c r="A497">
        <f t="shared" si="37"/>
        <v>1</v>
      </c>
      <c r="B497" t="str">
        <f t="shared" si="38"/>
        <v/>
      </c>
      <c r="C497">
        <f t="shared" si="40"/>
        <v>1</v>
      </c>
      <c r="D497" s="4"/>
      <c r="E497" t="s">
        <v>18</v>
      </c>
      <c r="F497" t="str">
        <f>INDEX(Establishment!B$2:B$1005,MATCH($E497,Establishment!$A$2:$A$1005,0))</f>
        <v xml:space="preserve"> </v>
      </c>
      <c r="G497" t="str">
        <f>INDEX(Establishment!C$2:C$1005,MATCH($E497,Establishment!$A$2:$A$1005,0))</f>
        <v xml:space="preserve"> </v>
      </c>
      <c r="M497">
        <f t="shared" si="41"/>
        <v>0</v>
      </c>
      <c r="N497">
        <f t="shared" si="39"/>
        <v>0</v>
      </c>
      <c r="P497" t="e">
        <f>INDEX(Items!B$2:B$1032,MATCH($O497,Items!$A$2:$A$1032,0))</f>
        <v>#N/A</v>
      </c>
      <c r="Q497" t="e">
        <f>INDEX(Items!C$2:C$1032,MATCH($O497,Items!$A$2:$A$1032,0))</f>
        <v>#N/A</v>
      </c>
      <c r="R497" t="e">
        <f>INDEX(Items!D$2:D$1032,MATCH($O497,Items!$A$2:$A$1032,0))</f>
        <v>#N/A</v>
      </c>
    </row>
    <row r="498" spans="1:18" x14ac:dyDescent="0.25">
      <c r="A498">
        <f t="shared" si="37"/>
        <v>1</v>
      </c>
      <c r="B498" t="str">
        <f t="shared" si="38"/>
        <v/>
      </c>
      <c r="C498">
        <f t="shared" si="40"/>
        <v>1</v>
      </c>
      <c r="D498" s="4"/>
      <c r="E498" t="s">
        <v>18</v>
      </c>
      <c r="F498" t="str">
        <f>INDEX(Establishment!B$2:B$1005,MATCH($E498,Establishment!$A$2:$A$1005,0))</f>
        <v xml:space="preserve"> </v>
      </c>
      <c r="G498" t="str">
        <f>INDEX(Establishment!C$2:C$1005,MATCH($E498,Establishment!$A$2:$A$1005,0))</f>
        <v xml:space="preserve"> </v>
      </c>
      <c r="M498">
        <f t="shared" si="41"/>
        <v>0</v>
      </c>
      <c r="N498">
        <f t="shared" si="39"/>
        <v>0</v>
      </c>
      <c r="P498" t="e">
        <f>INDEX(Items!B$2:B$1032,MATCH($O498,Items!$A$2:$A$1032,0))</f>
        <v>#N/A</v>
      </c>
      <c r="Q498" t="e">
        <f>INDEX(Items!C$2:C$1032,MATCH($O498,Items!$A$2:$A$1032,0))</f>
        <v>#N/A</v>
      </c>
      <c r="R498" t="e">
        <f>INDEX(Items!D$2:D$1032,MATCH($O498,Items!$A$2:$A$1032,0))</f>
        <v>#N/A</v>
      </c>
    </row>
    <row r="499" spans="1:18" x14ac:dyDescent="0.25">
      <c r="A499">
        <f t="shared" si="37"/>
        <v>1</v>
      </c>
      <c r="B499" t="str">
        <f t="shared" si="38"/>
        <v/>
      </c>
      <c r="C499">
        <f t="shared" si="40"/>
        <v>1</v>
      </c>
      <c r="D499" s="4"/>
      <c r="E499" t="s">
        <v>18</v>
      </c>
      <c r="F499" t="str">
        <f>INDEX(Establishment!B$2:B$1005,MATCH($E499,Establishment!$A$2:$A$1005,0))</f>
        <v xml:space="preserve"> </v>
      </c>
      <c r="G499" t="str">
        <f>INDEX(Establishment!C$2:C$1005,MATCH($E499,Establishment!$A$2:$A$1005,0))</f>
        <v xml:space="preserve"> </v>
      </c>
      <c r="M499">
        <f t="shared" si="41"/>
        <v>0</v>
      </c>
      <c r="N499">
        <f t="shared" si="39"/>
        <v>0</v>
      </c>
      <c r="P499" t="e">
        <f>INDEX(Items!B$2:B$1032,MATCH($O499,Items!$A$2:$A$1032,0))</f>
        <v>#N/A</v>
      </c>
      <c r="Q499" t="e">
        <f>INDEX(Items!C$2:C$1032,MATCH($O499,Items!$A$2:$A$1032,0))</f>
        <v>#N/A</v>
      </c>
      <c r="R499" t="e">
        <f>INDEX(Items!D$2:D$1032,MATCH($O499,Items!$A$2:$A$1032,0))</f>
        <v>#N/A</v>
      </c>
    </row>
  </sheetData>
  <autoFilter ref="A1:S499" xr:uid="{5F0E76B2-0B92-47EE-AE22-5D9D037037E9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9E8A41F-962E-43D1-B113-957B95B5B905}">
          <x14:formula1>
            <xm:f>Misc!$A$2:$A$8</xm:f>
          </x14:formula1>
          <xm:sqref>H1:H1048576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84A3-3953-4A4D-B388-A6A4B5DA27D8}">
  <dimension ref="A1:S499"/>
  <sheetViews>
    <sheetView tabSelected="1" zoomScale="145" zoomScaleNormal="145" workbookViewId="0">
      <pane xSplit="5" ySplit="1" topLeftCell="F2" activePane="bottomRight" state="frozen"/>
      <selection pane="topRight"/>
      <selection pane="bottomLeft"/>
      <selection pane="bottomRight" activeCell="A16" sqref="A16"/>
    </sheetView>
  </sheetViews>
  <sheetFormatPr defaultRowHeight="15" x14ac:dyDescent="0.25"/>
  <cols>
    <col min="1" max="1" width="8.42578125" bestFit="1" customWidth="1"/>
    <col min="2" max="2" width="11.140625" bestFit="1" customWidth="1"/>
    <col min="3" max="3" width="11.140625" customWidth="1"/>
    <col min="4" max="4" width="10.7109375" bestFit="1" customWidth="1"/>
    <col min="5" max="5" width="21.140625" bestFit="1" customWidth="1"/>
    <col min="6" max="6" width="13.7109375" bestFit="1" customWidth="1"/>
    <col min="7" max="7" width="9.7109375" bestFit="1" customWidth="1"/>
    <col min="8" max="8" width="13.7109375" bestFit="1" customWidth="1"/>
    <col min="9" max="9" width="8.140625" bestFit="1" customWidth="1"/>
    <col min="10" max="10" width="18.5703125" bestFit="1" customWidth="1"/>
    <col min="11" max="11" width="8.7109375" bestFit="1" customWidth="1"/>
    <col min="12" max="12" width="9.5703125" bestFit="1" customWidth="1"/>
    <col min="13" max="13" width="8.140625" bestFit="1" customWidth="1"/>
    <col min="14" max="14" width="11.140625" bestFit="1" customWidth="1"/>
    <col min="15" max="15" width="25.7109375" bestFit="1" customWidth="1"/>
    <col min="16" max="16" width="6.140625" bestFit="1" customWidth="1"/>
    <col min="17" max="17" width="12.7109375" bestFit="1" customWidth="1"/>
    <col min="18" max="18" width="7.140625" bestFit="1" customWidth="1"/>
  </cols>
  <sheetData>
    <row r="1" spans="1:19" ht="30" x14ac:dyDescent="0.25">
      <c r="A1" t="s">
        <v>0</v>
      </c>
      <c r="B1" s="2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f t="shared" ref="A2:A65" si="0">IF(OR(D2&lt;&gt;D1,D2=""),1,IF(NOT(AND(E2=E1,F2=F1,G2=G1)),A1+1,IF(OR(H2="",AND(H2&lt;&gt;"",H2&lt;&gt;H1,H1&lt;&gt;"")),A1,A1+1)))</f>
        <v>1</v>
      </c>
      <c r="B2" t="str">
        <f t="shared" ref="B2:B65" si="1">IF(D2&lt;&gt;"",TEXT(D2,"YYYYMMDD")&amp;CHAR(64+A2),"")</f>
        <v/>
      </c>
      <c r="C2">
        <f t="shared" ref="C2:C6" si="2">IF(OR(B2="",B2&lt;&gt;B10),1,C10+1)</f>
        <v>1</v>
      </c>
      <c r="D2" s="4"/>
      <c r="E2" t="s">
        <v>18</v>
      </c>
      <c r="F2" t="str">
        <f>INDEX(Establishment!B$2:B$1005,MATCH($E2,Establishment!$A$2:$A$1005,0))</f>
        <v xml:space="preserve"> </v>
      </c>
      <c r="G2" t="str">
        <f>INDEX(Establishment!C$2:C$1005,MATCH($E2,Establishment!$A$2:$A$1005,0))</f>
        <v xml:space="preserve"> </v>
      </c>
      <c r="M2">
        <f t="shared" ref="M2:M6" si="3">K2*L2</f>
        <v>0</v>
      </c>
      <c r="N2">
        <f>IF(B2=B1,N1+M2,M2)</f>
        <v>0</v>
      </c>
      <c r="P2" t="e">
        <f>INDEX(Items!B$2:B$1032,MATCH($O2,Items!$A$2:$A$1032,0))</f>
        <v>#N/A</v>
      </c>
      <c r="Q2" t="e">
        <f>INDEX(Items!C$2:C$1032,MATCH($O2,Items!$A$2:$A$1032,0))</f>
        <v>#N/A</v>
      </c>
      <c r="R2" t="e">
        <f>INDEX(Items!D$2:D$1032,MATCH($O2,Items!$A$2:$A$1032,0))</f>
        <v>#N/A</v>
      </c>
    </row>
    <row r="3" spans="1:19" x14ac:dyDescent="0.25">
      <c r="A3">
        <f t="shared" si="0"/>
        <v>1</v>
      </c>
      <c r="B3" t="str">
        <f t="shared" si="1"/>
        <v/>
      </c>
      <c r="C3">
        <f t="shared" si="2"/>
        <v>1</v>
      </c>
      <c r="D3" s="4"/>
      <c r="E3" t="s">
        <v>18</v>
      </c>
      <c r="F3" t="str">
        <f>INDEX(Establishment!B$2:B$1005,MATCH($E3,Establishment!$A$2:$A$1005,0))</f>
        <v xml:space="preserve"> </v>
      </c>
      <c r="G3" t="str">
        <f>INDEX(Establishment!C$2:C$1005,MATCH($E3,Establishment!$A$2:$A$1005,0))</f>
        <v xml:space="preserve"> </v>
      </c>
      <c r="M3">
        <f t="shared" si="3"/>
        <v>0</v>
      </c>
      <c r="N3">
        <f t="shared" ref="N3:N66" si="4">IF(B3=B2,N2+M3,M3)</f>
        <v>0</v>
      </c>
      <c r="P3" t="e">
        <f>INDEX(Items!B$2:B$1032,MATCH($O3,Items!$A$2:$A$1032,0))</f>
        <v>#N/A</v>
      </c>
      <c r="Q3" t="e">
        <f>INDEX(Items!C$2:C$1032,MATCH($O3,Items!$A$2:$A$1032,0))</f>
        <v>#N/A</v>
      </c>
      <c r="R3" t="e">
        <f>INDEX(Items!D$2:D$1032,MATCH($O3,Items!$A$2:$A$1032,0))</f>
        <v>#N/A</v>
      </c>
    </row>
    <row r="4" spans="1:19" x14ac:dyDescent="0.25">
      <c r="A4">
        <f t="shared" si="0"/>
        <v>1</v>
      </c>
      <c r="B4" t="str">
        <f t="shared" si="1"/>
        <v/>
      </c>
      <c r="C4">
        <f t="shared" si="2"/>
        <v>1</v>
      </c>
      <c r="D4" s="4"/>
      <c r="E4" t="s">
        <v>18</v>
      </c>
      <c r="F4" t="str">
        <f>INDEX(Establishment!B$2:B$1005,MATCH($E4,Establishment!$A$2:$A$1005,0))</f>
        <v xml:space="preserve"> </v>
      </c>
      <c r="G4" t="str">
        <f>INDEX(Establishment!C$2:C$1005,MATCH($E4,Establishment!$A$2:$A$1005,0))</f>
        <v xml:space="preserve"> </v>
      </c>
      <c r="M4">
        <f t="shared" si="3"/>
        <v>0</v>
      </c>
      <c r="N4">
        <f t="shared" si="4"/>
        <v>0</v>
      </c>
      <c r="P4" t="e">
        <f>INDEX(Items!B$2:B$1032,MATCH($O4,Items!$A$2:$A$1032,0))</f>
        <v>#N/A</v>
      </c>
      <c r="Q4" t="e">
        <f>INDEX(Items!C$2:C$1032,MATCH($O4,Items!$A$2:$A$1032,0))</f>
        <v>#N/A</v>
      </c>
      <c r="R4" t="e">
        <f>INDEX(Items!D$2:D$1032,MATCH($O4,Items!$A$2:$A$1032,0))</f>
        <v>#N/A</v>
      </c>
    </row>
    <row r="5" spans="1:19" x14ac:dyDescent="0.25">
      <c r="A5">
        <f t="shared" si="0"/>
        <v>1</v>
      </c>
      <c r="B5" t="str">
        <f t="shared" si="1"/>
        <v/>
      </c>
      <c r="C5">
        <f t="shared" si="2"/>
        <v>1</v>
      </c>
      <c r="D5" s="4"/>
      <c r="E5" t="s">
        <v>18</v>
      </c>
      <c r="F5" t="str">
        <f>INDEX(Establishment!B$2:B$1005,MATCH($E5,Establishment!$A$2:$A$1005,0))</f>
        <v xml:space="preserve"> </v>
      </c>
      <c r="G5" t="str">
        <f>INDEX(Establishment!C$2:C$1005,MATCH($E5,Establishment!$A$2:$A$1005,0))</f>
        <v xml:space="preserve"> </v>
      </c>
      <c r="M5">
        <f t="shared" si="3"/>
        <v>0</v>
      </c>
      <c r="N5">
        <f t="shared" si="4"/>
        <v>0</v>
      </c>
      <c r="P5" t="e">
        <f>INDEX(Items!B$2:B$1032,MATCH($O5,Items!$A$2:$A$1032,0))</f>
        <v>#N/A</v>
      </c>
      <c r="Q5" t="e">
        <f>INDEX(Items!C$2:C$1032,MATCH($O5,Items!$A$2:$A$1032,0))</f>
        <v>#N/A</v>
      </c>
      <c r="R5" t="e">
        <f>INDEX(Items!D$2:D$1032,MATCH($O5,Items!$A$2:$A$1032,0))</f>
        <v>#N/A</v>
      </c>
    </row>
    <row r="6" spans="1:19" x14ac:dyDescent="0.25">
      <c r="A6">
        <f t="shared" si="0"/>
        <v>1</v>
      </c>
      <c r="B6" t="str">
        <f t="shared" si="1"/>
        <v/>
      </c>
      <c r="C6">
        <f t="shared" si="2"/>
        <v>1</v>
      </c>
      <c r="D6" s="4"/>
      <c r="E6" t="s">
        <v>18</v>
      </c>
      <c r="F6" t="str">
        <f>INDEX(Establishment!B$2:B$1005,MATCH($E6,Establishment!$A$2:$A$1005,0))</f>
        <v xml:space="preserve"> </v>
      </c>
      <c r="G6" t="str">
        <f>INDEX(Establishment!C$2:C$1005,MATCH($E6,Establishment!$A$2:$A$1005,0))</f>
        <v xml:space="preserve"> </v>
      </c>
      <c r="M6">
        <f t="shared" si="3"/>
        <v>0</v>
      </c>
      <c r="N6">
        <f t="shared" si="4"/>
        <v>0</v>
      </c>
      <c r="P6" t="e">
        <f>INDEX(Items!B$2:B$1032,MATCH($O6,Items!$A$2:$A$1032,0))</f>
        <v>#N/A</v>
      </c>
      <c r="Q6" t="e">
        <f>INDEX(Items!C$2:C$1032,MATCH($O6,Items!$A$2:$A$1032,0))</f>
        <v>#N/A</v>
      </c>
      <c r="R6" t="e">
        <f>INDEX(Items!D$2:D$1032,MATCH($O6,Items!$A$2:$A$1032,0))</f>
        <v>#N/A</v>
      </c>
    </row>
    <row r="7" spans="1:19" x14ac:dyDescent="0.25">
      <c r="A7">
        <f t="shared" si="0"/>
        <v>1</v>
      </c>
      <c r="B7" t="str">
        <f t="shared" si="1"/>
        <v/>
      </c>
      <c r="C7">
        <f>IF(OR(B7="",B7&lt;&gt;B15),1,C15+1)</f>
        <v>1</v>
      </c>
      <c r="D7" s="4"/>
      <c r="E7" t="s">
        <v>18</v>
      </c>
      <c r="F7" t="str">
        <f>INDEX(Establishment!B$2:B$1005,MATCH($E7,Establishment!$A$2:$A$1005,0))</f>
        <v xml:space="preserve"> </v>
      </c>
      <c r="G7" t="str">
        <f>INDEX(Establishment!C$2:C$1005,MATCH($E7,Establishment!$A$2:$A$1005,0))</f>
        <v xml:space="preserve"> </v>
      </c>
      <c r="M7">
        <f>K7*L7</f>
        <v>0</v>
      </c>
      <c r="N7">
        <f t="shared" si="4"/>
        <v>0</v>
      </c>
      <c r="P7" t="e">
        <f>INDEX(Items!B$2:B$1032,MATCH($O7,Items!$A$2:$A$1032,0))</f>
        <v>#N/A</v>
      </c>
      <c r="Q7" t="e">
        <f>INDEX(Items!C$2:C$1032,MATCH($O7,Items!$A$2:$A$1032,0))</f>
        <v>#N/A</v>
      </c>
      <c r="R7" t="e">
        <f>INDEX(Items!D$2:D$1032,MATCH($O7,Items!$A$2:$A$1032,0))</f>
        <v>#N/A</v>
      </c>
    </row>
    <row r="8" spans="1:19" x14ac:dyDescent="0.25">
      <c r="A8">
        <f t="shared" si="0"/>
        <v>1</v>
      </c>
      <c r="B8" t="str">
        <f t="shared" si="1"/>
        <v/>
      </c>
      <c r="C8">
        <f>IF(OR(B8="",B8&lt;&gt;B7),1,C7+1)</f>
        <v>1</v>
      </c>
      <c r="D8" s="4"/>
      <c r="E8" t="s">
        <v>18</v>
      </c>
      <c r="F8" t="str">
        <f>INDEX(Establishment!B$2:B$1005,MATCH($E8,Establishment!$A$2:$A$1005,0))</f>
        <v xml:space="preserve"> </v>
      </c>
      <c r="G8" t="str">
        <f>INDEX(Establishment!C$2:C$1005,MATCH($E8,Establishment!$A$2:$A$1005,0))</f>
        <v xml:space="preserve"> </v>
      </c>
      <c r="M8">
        <f>K8*L8</f>
        <v>0</v>
      </c>
      <c r="N8">
        <f t="shared" si="4"/>
        <v>0</v>
      </c>
      <c r="P8" t="e">
        <f>INDEX(Items!B$2:B$1032,MATCH($O8,Items!$A$2:$A$1032,0))</f>
        <v>#N/A</v>
      </c>
      <c r="Q8" t="e">
        <f>INDEX(Items!C$2:C$1032,MATCH($O8,Items!$A$2:$A$1032,0))</f>
        <v>#N/A</v>
      </c>
      <c r="R8" t="e">
        <f>INDEX(Items!D$2:D$1032,MATCH($O8,Items!$A$2:$A$1032,0))</f>
        <v>#N/A</v>
      </c>
    </row>
    <row r="9" spans="1:19" x14ac:dyDescent="0.25">
      <c r="A9">
        <f t="shared" si="0"/>
        <v>1</v>
      </c>
      <c r="B9" t="str">
        <f t="shared" si="1"/>
        <v/>
      </c>
      <c r="C9">
        <f>IF(OR(B9="",B9&lt;&gt;B8),1,C8+1)</f>
        <v>1</v>
      </c>
      <c r="D9" s="4"/>
      <c r="E9" t="s">
        <v>18</v>
      </c>
      <c r="F9" t="str">
        <f>INDEX(Establishment!B$2:B$1005,MATCH($E9,Establishment!$A$2:$A$1005,0))</f>
        <v xml:space="preserve"> </v>
      </c>
      <c r="G9" t="str">
        <f>INDEX(Establishment!C$2:C$1005,MATCH($E9,Establishment!$A$2:$A$1005,0))</f>
        <v xml:space="preserve"> </v>
      </c>
      <c r="M9">
        <f>K9*L9</f>
        <v>0</v>
      </c>
      <c r="N9">
        <f t="shared" si="4"/>
        <v>0</v>
      </c>
      <c r="P9" t="e">
        <f>INDEX(Items!B$2:B$1032,MATCH($O9,Items!$A$2:$A$1032,0))</f>
        <v>#N/A</v>
      </c>
      <c r="Q9" t="e">
        <f>INDEX(Items!C$2:C$1032,MATCH($O9,Items!$A$2:$A$1032,0))</f>
        <v>#N/A</v>
      </c>
      <c r="R9" t="e">
        <f>INDEX(Items!D$2:D$1032,MATCH($O9,Items!$A$2:$A$1032,0))</f>
        <v>#N/A</v>
      </c>
    </row>
    <row r="10" spans="1:19" x14ac:dyDescent="0.25">
      <c r="A10">
        <f t="shared" si="0"/>
        <v>1</v>
      </c>
      <c r="B10" t="str">
        <f t="shared" si="1"/>
        <v/>
      </c>
      <c r="C10">
        <f t="shared" ref="C10:C73" si="5">IF(OR(B10="",B10&lt;&gt;B9),1,C9+1)</f>
        <v>1</v>
      </c>
      <c r="D10" s="4"/>
      <c r="E10" t="s">
        <v>18</v>
      </c>
      <c r="F10" t="str">
        <f>INDEX(Establishment!B$2:B$1005,MATCH($E10,Establishment!$A$2:$A$1005,0))</f>
        <v xml:space="preserve"> </v>
      </c>
      <c r="G10" t="str">
        <f>INDEX(Establishment!C$2:C$1005,MATCH($E10,Establishment!$A$2:$A$1005,0))</f>
        <v xml:space="preserve"> </v>
      </c>
      <c r="M10">
        <f t="shared" ref="M10:M73" si="6">K10*L10</f>
        <v>0</v>
      </c>
      <c r="N10">
        <f t="shared" si="4"/>
        <v>0</v>
      </c>
      <c r="P10" t="e">
        <f>INDEX(Items!B$2:B$1032,MATCH($O10,Items!$A$2:$A$1032,0))</f>
        <v>#N/A</v>
      </c>
      <c r="Q10" t="e">
        <f>INDEX(Items!C$2:C$1032,MATCH($O10,Items!$A$2:$A$1032,0))</f>
        <v>#N/A</v>
      </c>
      <c r="R10" t="e">
        <f>INDEX(Items!D$2:D$1032,MATCH($O10,Items!$A$2:$A$1032,0))</f>
        <v>#N/A</v>
      </c>
    </row>
    <row r="11" spans="1:19" x14ac:dyDescent="0.25">
      <c r="A11">
        <f t="shared" si="0"/>
        <v>1</v>
      </c>
      <c r="B11" t="str">
        <f t="shared" si="1"/>
        <v/>
      </c>
      <c r="C11">
        <f t="shared" si="5"/>
        <v>1</v>
      </c>
      <c r="D11" s="4"/>
      <c r="E11" t="s">
        <v>18</v>
      </c>
      <c r="F11" t="str">
        <f>INDEX(Establishment!B$2:B$1005,MATCH($E11,Establishment!$A$2:$A$1005,0))</f>
        <v xml:space="preserve"> </v>
      </c>
      <c r="G11" t="str">
        <f>INDEX(Establishment!C$2:C$1005,MATCH($E11,Establishment!$A$2:$A$1005,0))</f>
        <v xml:space="preserve"> </v>
      </c>
      <c r="M11">
        <f t="shared" si="6"/>
        <v>0</v>
      </c>
      <c r="N11">
        <f t="shared" si="4"/>
        <v>0</v>
      </c>
      <c r="P11" t="e">
        <f>INDEX(Items!B$2:B$1032,MATCH($O11,Items!$A$2:$A$1032,0))</f>
        <v>#N/A</v>
      </c>
      <c r="Q11" t="e">
        <f>INDEX(Items!C$2:C$1032,MATCH($O11,Items!$A$2:$A$1032,0))</f>
        <v>#N/A</v>
      </c>
      <c r="R11" t="e">
        <f>INDEX(Items!D$2:D$1032,MATCH($O11,Items!$A$2:$A$1032,0))</f>
        <v>#N/A</v>
      </c>
    </row>
    <row r="12" spans="1:19" x14ac:dyDescent="0.25">
      <c r="A12">
        <f t="shared" si="0"/>
        <v>1</v>
      </c>
      <c r="B12" t="str">
        <f t="shared" si="1"/>
        <v/>
      </c>
      <c r="C12">
        <f t="shared" si="5"/>
        <v>1</v>
      </c>
      <c r="D12" s="4"/>
      <c r="E12" t="s">
        <v>18</v>
      </c>
      <c r="F12" t="str">
        <f>INDEX(Establishment!B$2:B$1005,MATCH($E12,Establishment!$A$2:$A$1005,0))</f>
        <v xml:space="preserve"> </v>
      </c>
      <c r="G12" t="str">
        <f>INDEX(Establishment!C$2:C$1005,MATCH($E12,Establishment!$A$2:$A$1005,0))</f>
        <v xml:space="preserve"> </v>
      </c>
      <c r="M12">
        <f t="shared" si="6"/>
        <v>0</v>
      </c>
      <c r="N12">
        <f t="shared" si="4"/>
        <v>0</v>
      </c>
      <c r="P12" t="e">
        <f>INDEX(Items!B$2:B$1032,MATCH($O12,Items!$A$2:$A$1032,0))</f>
        <v>#N/A</v>
      </c>
      <c r="Q12" t="e">
        <f>INDEX(Items!C$2:C$1032,MATCH($O12,Items!$A$2:$A$1032,0))</f>
        <v>#N/A</v>
      </c>
      <c r="R12" t="e">
        <f>INDEX(Items!D$2:D$1032,MATCH($O12,Items!$A$2:$A$1032,0))</f>
        <v>#N/A</v>
      </c>
    </row>
    <row r="13" spans="1:19" x14ac:dyDescent="0.25">
      <c r="A13">
        <f t="shared" si="0"/>
        <v>1</v>
      </c>
      <c r="B13" t="str">
        <f t="shared" si="1"/>
        <v/>
      </c>
      <c r="C13">
        <f t="shared" si="5"/>
        <v>1</v>
      </c>
      <c r="D13" s="4"/>
      <c r="E13" t="s">
        <v>18</v>
      </c>
      <c r="F13" t="str">
        <f>INDEX(Establishment!B$2:B$1005,MATCH($E13,Establishment!$A$2:$A$1005,0))</f>
        <v xml:space="preserve"> </v>
      </c>
      <c r="G13" t="str">
        <f>INDEX(Establishment!C$2:C$1005,MATCH($E13,Establishment!$A$2:$A$1005,0))</f>
        <v xml:space="preserve"> </v>
      </c>
      <c r="M13">
        <f t="shared" si="6"/>
        <v>0</v>
      </c>
      <c r="N13">
        <f t="shared" si="4"/>
        <v>0</v>
      </c>
      <c r="P13" t="e">
        <f>INDEX(Items!B$2:B$1032,MATCH($O13,Items!$A$2:$A$1032,0))</f>
        <v>#N/A</v>
      </c>
      <c r="Q13" t="e">
        <f>INDEX(Items!C$2:C$1032,MATCH($O13,Items!$A$2:$A$1032,0))</f>
        <v>#N/A</v>
      </c>
      <c r="R13" t="e">
        <f>INDEX(Items!D$2:D$1032,MATCH($O13,Items!$A$2:$A$1032,0))</f>
        <v>#N/A</v>
      </c>
    </row>
    <row r="14" spans="1:19" x14ac:dyDescent="0.25">
      <c r="A14">
        <f t="shared" si="0"/>
        <v>1</v>
      </c>
      <c r="B14" t="str">
        <f t="shared" si="1"/>
        <v/>
      </c>
      <c r="C14">
        <f t="shared" si="5"/>
        <v>1</v>
      </c>
      <c r="D14" s="4"/>
      <c r="E14" t="s">
        <v>18</v>
      </c>
      <c r="F14" t="str">
        <f>INDEX(Establishment!B$2:B$1005,MATCH($E14,Establishment!$A$2:$A$1005,0))</f>
        <v xml:space="preserve"> </v>
      </c>
      <c r="G14" t="str">
        <f>INDEX(Establishment!C$2:C$1005,MATCH($E14,Establishment!$A$2:$A$1005,0))</f>
        <v xml:space="preserve"> </v>
      </c>
      <c r="M14">
        <f t="shared" si="6"/>
        <v>0</v>
      </c>
      <c r="N14">
        <f t="shared" si="4"/>
        <v>0</v>
      </c>
      <c r="P14" t="e">
        <f>INDEX(Items!B$2:B$1032,MATCH($O14,Items!$A$2:$A$1032,0))</f>
        <v>#N/A</v>
      </c>
      <c r="Q14" t="e">
        <f>INDEX(Items!C$2:C$1032,MATCH($O14,Items!$A$2:$A$1032,0))</f>
        <v>#N/A</v>
      </c>
      <c r="R14" t="e">
        <f>INDEX(Items!D$2:D$1032,MATCH($O14,Items!$A$2:$A$1032,0))</f>
        <v>#N/A</v>
      </c>
    </row>
    <row r="15" spans="1:19" x14ac:dyDescent="0.25">
      <c r="A15">
        <f t="shared" si="0"/>
        <v>1</v>
      </c>
      <c r="B15" t="str">
        <f t="shared" si="1"/>
        <v/>
      </c>
      <c r="C15">
        <f t="shared" si="5"/>
        <v>1</v>
      </c>
      <c r="D15" s="4"/>
      <c r="E15" t="s">
        <v>18</v>
      </c>
      <c r="F15" t="str">
        <f>INDEX(Establishment!B$2:B$1005,MATCH($E15,Establishment!$A$2:$A$1005,0))</f>
        <v xml:space="preserve"> </v>
      </c>
      <c r="G15" t="str">
        <f>INDEX(Establishment!C$2:C$1005,MATCH($E15,Establishment!$A$2:$A$1005,0))</f>
        <v xml:space="preserve"> </v>
      </c>
      <c r="M15">
        <f>K15*L15</f>
        <v>0</v>
      </c>
      <c r="N15">
        <f t="shared" si="4"/>
        <v>0</v>
      </c>
      <c r="P15" t="e">
        <f>INDEX(Items!B$2:B$1032,MATCH($O15,Items!$A$2:$A$1032,0))</f>
        <v>#N/A</v>
      </c>
      <c r="Q15" t="e">
        <f>INDEX(Items!C$2:C$1032,MATCH($O15,Items!$A$2:$A$1032,0))</f>
        <v>#N/A</v>
      </c>
      <c r="R15" t="e">
        <f>INDEX(Items!D$2:D$1032,MATCH($O15,Items!$A$2:$A$1032,0))</f>
        <v>#N/A</v>
      </c>
    </row>
    <row r="16" spans="1:19" s="13" customFormat="1" x14ac:dyDescent="0.25">
      <c r="A16" s="13">
        <f t="shared" si="0"/>
        <v>1</v>
      </c>
      <c r="B16" s="13" t="str">
        <f t="shared" si="1"/>
        <v>20230602A</v>
      </c>
      <c r="C16" s="13">
        <f t="shared" si="5"/>
        <v>1</v>
      </c>
      <c r="D16" s="14">
        <v>45079</v>
      </c>
      <c r="E16" s="13" t="s">
        <v>773</v>
      </c>
      <c r="F16" s="13" t="str">
        <f>INDEX([1]Establishment!B$2:B$1012,MATCH($E16,[1]Establishment!$A$2:$A$1012,0))</f>
        <v>KFC</v>
      </c>
      <c r="G16" s="13" t="str">
        <f>INDEX([1]Establishment!C$2:C$1012,MATCH($E16,[1]Establishment!$A$2:$A$1012,0))</f>
        <v>Redemptorist</v>
      </c>
      <c r="H16" s="13" t="s">
        <v>20</v>
      </c>
      <c r="I16" s="13">
        <v>600</v>
      </c>
      <c r="J16" s="13" t="s">
        <v>31</v>
      </c>
      <c r="K16" s="13">
        <v>1</v>
      </c>
      <c r="L16" s="15">
        <v>35</v>
      </c>
      <c r="M16" s="15">
        <f t="shared" ref="M16:M19" si="7">K16*L16</f>
        <v>35</v>
      </c>
      <c r="N16" s="15">
        <f t="shared" si="4"/>
        <v>35</v>
      </c>
      <c r="O16" s="13" t="s">
        <v>40</v>
      </c>
      <c r="P16" s="13" t="s">
        <v>174</v>
      </c>
      <c r="Q16" s="13" t="str">
        <f>INDEX([1]Items!C$2:C$1047,MATCH($O16,[1]Items!$A$2:$A$1047,0))</f>
        <v>Dish</v>
      </c>
      <c r="R16" s="13" t="str">
        <f>INDEX([1]Items!D$2:D$1047,MATCH($O16,[1]Items!$A$2:$A$1047,0))</f>
        <v>Rice</v>
      </c>
    </row>
    <row r="17" spans="1:19" s="13" customFormat="1" x14ac:dyDescent="0.25">
      <c r="A17" s="13">
        <f t="shared" si="0"/>
        <v>1</v>
      </c>
      <c r="B17" s="13" t="str">
        <f t="shared" si="1"/>
        <v>20230602A</v>
      </c>
      <c r="C17" s="13">
        <f t="shared" si="5"/>
        <v>2</v>
      </c>
      <c r="D17" s="14">
        <v>45079</v>
      </c>
      <c r="E17" s="13" t="s">
        <v>773</v>
      </c>
      <c r="F17" s="13" t="str">
        <f>INDEX([1]Establishment!B$2:B$1012,MATCH($E17,[1]Establishment!$A$2:$A$1012,0))</f>
        <v>KFC</v>
      </c>
      <c r="G17" s="13" t="str">
        <f>INDEX([1]Establishment!C$2:C$1012,MATCH($E17,[1]Establishment!$A$2:$A$1012,0))</f>
        <v>Redemptorist</v>
      </c>
      <c r="J17" s="13" t="s">
        <v>31</v>
      </c>
      <c r="K17" s="13">
        <f>1/3</f>
        <v>0.33333333333333331</v>
      </c>
      <c r="L17" s="15">
        <v>565</v>
      </c>
      <c r="M17" s="15">
        <f t="shared" si="7"/>
        <v>188.33333333333331</v>
      </c>
      <c r="N17" s="15">
        <f t="shared" si="4"/>
        <v>223.33333333333331</v>
      </c>
      <c r="O17" s="13" t="s">
        <v>774</v>
      </c>
      <c r="P17" s="13" t="str">
        <f>INDEX([1]Items!B$2:B$1047,MATCH($O17,[1]Items!$A$2:$A$1047,0))</f>
        <v>KFC</v>
      </c>
      <c r="Q17" s="13" t="str">
        <f>INDEX([1]Items!C$2:C$1047,MATCH($O17,[1]Items!$A$2:$A$1047,0))</f>
        <v>Bucket Meal</v>
      </c>
      <c r="R17" s="13" t="str">
        <f>INDEX([1]Items!D$2:D$1047,MATCH($O17,[1]Items!$A$2:$A$1047,0))</f>
        <v>Fried Chicken</v>
      </c>
      <c r="S17" s="13" t="s">
        <v>775</v>
      </c>
    </row>
    <row r="18" spans="1:19" s="13" customFormat="1" x14ac:dyDescent="0.25">
      <c r="A18" s="13">
        <f t="shared" si="0"/>
        <v>1</v>
      </c>
      <c r="B18" s="13" t="str">
        <f t="shared" si="1"/>
        <v>20230602A</v>
      </c>
      <c r="C18" s="13">
        <f t="shared" si="5"/>
        <v>3</v>
      </c>
      <c r="D18" s="14">
        <v>45079</v>
      </c>
      <c r="E18" s="13" t="s">
        <v>773</v>
      </c>
      <c r="F18" s="13" t="str">
        <f>INDEX([1]Establishment!B$2:B$1012,MATCH($E18,[1]Establishment!$A$2:$A$1012,0))</f>
        <v>KFC</v>
      </c>
      <c r="G18" s="13" t="str">
        <f>INDEX([1]Establishment!C$2:C$1012,MATCH($E18,[1]Establishment!$A$2:$A$1012,0))</f>
        <v>Redemptorist</v>
      </c>
      <c r="J18" s="13" t="s">
        <v>29</v>
      </c>
      <c r="K18" s="13">
        <f>1/3</f>
        <v>0.33333333333333331</v>
      </c>
      <c r="L18" s="15">
        <v>565</v>
      </c>
      <c r="M18" s="15">
        <f t="shared" si="7"/>
        <v>188.33333333333331</v>
      </c>
      <c r="N18" s="15">
        <f t="shared" si="4"/>
        <v>411.66666666666663</v>
      </c>
      <c r="O18" s="13" t="s">
        <v>774</v>
      </c>
      <c r="P18" s="13" t="str">
        <f>INDEX([1]Items!B$2:B$1047,MATCH($O18,[1]Items!$A$2:$A$1047,0))</f>
        <v>KFC</v>
      </c>
      <c r="Q18" s="13" t="str">
        <f>INDEX([1]Items!C$2:C$1047,MATCH($O18,[1]Items!$A$2:$A$1047,0))</f>
        <v>Bucket Meal</v>
      </c>
      <c r="R18" s="13" t="str">
        <f>INDEX([1]Items!D$2:D$1047,MATCH($O18,[1]Items!$A$2:$A$1047,0))</f>
        <v>Fried Chicken</v>
      </c>
    </row>
    <row r="19" spans="1:19" s="13" customFormat="1" x14ac:dyDescent="0.25">
      <c r="A19" s="13">
        <f t="shared" si="0"/>
        <v>1</v>
      </c>
      <c r="B19" s="13" t="str">
        <f t="shared" si="1"/>
        <v>20230602A</v>
      </c>
      <c r="C19" s="13">
        <f t="shared" si="5"/>
        <v>4</v>
      </c>
      <c r="D19" s="14">
        <v>45079</v>
      </c>
      <c r="E19" s="13" t="s">
        <v>773</v>
      </c>
      <c r="F19" s="13" t="str">
        <f>INDEX([1]Establishment!B$2:B$1012,MATCH($E19,[1]Establishment!$A$2:$A$1012,0))</f>
        <v>KFC</v>
      </c>
      <c r="G19" s="13" t="str">
        <f>INDEX([1]Establishment!C$2:C$1012,MATCH($E19,[1]Establishment!$A$2:$A$1012,0))</f>
        <v>Redemptorist</v>
      </c>
      <c r="J19" s="13" t="s">
        <v>776</v>
      </c>
      <c r="K19" s="13">
        <f>1/3</f>
        <v>0.33333333333333331</v>
      </c>
      <c r="L19" s="15">
        <v>565</v>
      </c>
      <c r="M19" s="15">
        <f t="shared" si="7"/>
        <v>188.33333333333331</v>
      </c>
      <c r="N19" s="15">
        <f t="shared" si="4"/>
        <v>600</v>
      </c>
      <c r="O19" s="13" t="s">
        <v>774</v>
      </c>
      <c r="P19" s="13" t="str">
        <f>INDEX([1]Items!B$2:B$1047,MATCH($O19,[1]Items!$A$2:$A$1047,0))</f>
        <v>KFC</v>
      </c>
      <c r="Q19" s="13" t="str">
        <f>INDEX([1]Items!C$2:C$1047,MATCH($O19,[1]Items!$A$2:$A$1047,0))</f>
        <v>Bucket Meal</v>
      </c>
      <c r="R19" s="13" t="str">
        <f>INDEX([1]Items!D$2:D$1047,MATCH($O19,[1]Items!$A$2:$A$1047,0))</f>
        <v>Fried Chicken</v>
      </c>
    </row>
    <row r="20" spans="1:19" x14ac:dyDescent="0.25">
      <c r="A20">
        <f t="shared" si="0"/>
        <v>1</v>
      </c>
      <c r="B20" t="str">
        <f t="shared" si="1"/>
        <v/>
      </c>
      <c r="C20">
        <f t="shared" si="5"/>
        <v>1</v>
      </c>
      <c r="D20" s="4"/>
      <c r="E20" t="s">
        <v>18</v>
      </c>
      <c r="F20" t="str">
        <f>INDEX(Establishment!B$2:B$1005,MATCH($E20,Establishment!$A$2:$A$1005,0))</f>
        <v xml:space="preserve"> </v>
      </c>
      <c r="G20" t="str">
        <f>INDEX(Establishment!C$2:C$1005,MATCH($E20,Establishment!$A$2:$A$1005,0))</f>
        <v xml:space="preserve"> </v>
      </c>
      <c r="M20">
        <f t="shared" si="6"/>
        <v>0</v>
      </c>
      <c r="N20">
        <f t="shared" si="4"/>
        <v>0</v>
      </c>
      <c r="P20" t="e">
        <f>INDEX(Items!B$2:B$1032,MATCH($O20,Items!$A$2:$A$1032,0))</f>
        <v>#N/A</v>
      </c>
      <c r="Q20" t="e">
        <f>INDEX(Items!C$2:C$1032,MATCH($O20,Items!$A$2:$A$1032,0))</f>
        <v>#N/A</v>
      </c>
      <c r="R20" t="e">
        <f>INDEX(Items!D$2:D$1032,MATCH($O20,Items!$A$2:$A$1032,0))</f>
        <v>#N/A</v>
      </c>
    </row>
    <row r="21" spans="1:19" x14ac:dyDescent="0.25">
      <c r="A21">
        <f t="shared" si="0"/>
        <v>1</v>
      </c>
      <c r="B21" t="str">
        <f t="shared" si="1"/>
        <v/>
      </c>
      <c r="C21">
        <f t="shared" si="5"/>
        <v>1</v>
      </c>
      <c r="D21" s="4"/>
      <c r="E21" t="s">
        <v>18</v>
      </c>
      <c r="F21" t="str">
        <f>INDEX(Establishment!B$2:B$1005,MATCH($E21,Establishment!$A$2:$A$1005,0))</f>
        <v xml:space="preserve"> </v>
      </c>
      <c r="G21" t="str">
        <f>INDEX(Establishment!C$2:C$1005,MATCH($E21,Establishment!$A$2:$A$1005,0))</f>
        <v xml:space="preserve"> </v>
      </c>
      <c r="M21">
        <f t="shared" si="6"/>
        <v>0</v>
      </c>
      <c r="N21">
        <f t="shared" si="4"/>
        <v>0</v>
      </c>
      <c r="P21" t="e">
        <f>INDEX(Items!B$2:B$1032,MATCH($O21,Items!$A$2:$A$1032,0))</f>
        <v>#N/A</v>
      </c>
      <c r="Q21" t="e">
        <f>INDEX(Items!C$2:C$1032,MATCH($O21,Items!$A$2:$A$1032,0))</f>
        <v>#N/A</v>
      </c>
      <c r="R21" t="e">
        <f>INDEX(Items!D$2:D$1032,MATCH($O21,Items!$A$2:$A$1032,0))</f>
        <v>#N/A</v>
      </c>
    </row>
    <row r="22" spans="1:19" x14ac:dyDescent="0.25">
      <c r="A22">
        <f t="shared" si="0"/>
        <v>1</v>
      </c>
      <c r="B22" t="str">
        <f t="shared" si="1"/>
        <v/>
      </c>
      <c r="C22">
        <f t="shared" si="5"/>
        <v>1</v>
      </c>
      <c r="D22" s="4"/>
      <c r="E22" t="s">
        <v>18</v>
      </c>
      <c r="F22" t="str">
        <f>INDEX(Establishment!B$2:B$1005,MATCH($E22,Establishment!$A$2:$A$1005,0))</f>
        <v xml:space="preserve"> </v>
      </c>
      <c r="G22" t="str">
        <f>INDEX(Establishment!C$2:C$1005,MATCH($E22,Establishment!$A$2:$A$1005,0))</f>
        <v xml:space="preserve"> </v>
      </c>
      <c r="M22">
        <f t="shared" si="6"/>
        <v>0</v>
      </c>
      <c r="N22">
        <f t="shared" si="4"/>
        <v>0</v>
      </c>
      <c r="P22" t="e">
        <f>INDEX(Items!B$2:B$1032,MATCH($O22,Items!$A$2:$A$1032,0))</f>
        <v>#N/A</v>
      </c>
      <c r="Q22" t="e">
        <f>INDEX(Items!C$2:C$1032,MATCH($O22,Items!$A$2:$A$1032,0))</f>
        <v>#N/A</v>
      </c>
      <c r="R22" t="e">
        <f>INDEX(Items!D$2:D$1032,MATCH($O22,Items!$A$2:$A$1032,0))</f>
        <v>#N/A</v>
      </c>
    </row>
    <row r="23" spans="1:19" x14ac:dyDescent="0.25">
      <c r="A23">
        <f t="shared" si="0"/>
        <v>1</v>
      </c>
      <c r="B23" t="str">
        <f t="shared" si="1"/>
        <v/>
      </c>
      <c r="C23">
        <f t="shared" si="5"/>
        <v>1</v>
      </c>
      <c r="D23" s="4"/>
      <c r="E23" t="s">
        <v>18</v>
      </c>
      <c r="F23" t="str">
        <f>INDEX(Establishment!B$2:B$1005,MATCH($E23,Establishment!$A$2:$A$1005,0))</f>
        <v xml:space="preserve"> </v>
      </c>
      <c r="G23" t="str">
        <f>INDEX(Establishment!C$2:C$1005,MATCH($E23,Establishment!$A$2:$A$1005,0))</f>
        <v xml:space="preserve"> </v>
      </c>
      <c r="M23">
        <f t="shared" si="6"/>
        <v>0</v>
      </c>
      <c r="N23">
        <f t="shared" si="4"/>
        <v>0</v>
      </c>
      <c r="P23" t="e">
        <f>INDEX(Items!B$2:B$1032,MATCH($O23,Items!$A$2:$A$1032,0))</f>
        <v>#N/A</v>
      </c>
      <c r="Q23" t="e">
        <f>INDEX(Items!C$2:C$1032,MATCH($O23,Items!$A$2:$A$1032,0))</f>
        <v>#N/A</v>
      </c>
      <c r="R23" t="e">
        <f>INDEX(Items!D$2:D$1032,MATCH($O23,Items!$A$2:$A$1032,0))</f>
        <v>#N/A</v>
      </c>
    </row>
    <row r="24" spans="1:19" x14ac:dyDescent="0.25">
      <c r="A24">
        <f t="shared" si="0"/>
        <v>1</v>
      </c>
      <c r="B24" t="str">
        <f t="shared" si="1"/>
        <v/>
      </c>
      <c r="C24">
        <f t="shared" si="5"/>
        <v>1</v>
      </c>
      <c r="D24" s="4"/>
      <c r="E24" t="s">
        <v>18</v>
      </c>
      <c r="F24" t="str">
        <f>INDEX(Establishment!B$2:B$1005,MATCH($E24,Establishment!$A$2:$A$1005,0))</f>
        <v xml:space="preserve"> </v>
      </c>
      <c r="G24" t="str">
        <f>INDEX(Establishment!C$2:C$1005,MATCH($E24,Establishment!$A$2:$A$1005,0))</f>
        <v xml:space="preserve"> </v>
      </c>
      <c r="M24">
        <f t="shared" si="6"/>
        <v>0</v>
      </c>
      <c r="N24">
        <f t="shared" si="4"/>
        <v>0</v>
      </c>
      <c r="P24" t="e">
        <f>INDEX(Items!B$2:B$1032,MATCH($O24,Items!$A$2:$A$1032,0))</f>
        <v>#N/A</v>
      </c>
      <c r="Q24" t="e">
        <f>INDEX(Items!C$2:C$1032,MATCH($O24,Items!$A$2:$A$1032,0))</f>
        <v>#N/A</v>
      </c>
      <c r="R24" t="e">
        <f>INDEX(Items!D$2:D$1032,MATCH($O24,Items!$A$2:$A$1032,0))</f>
        <v>#N/A</v>
      </c>
    </row>
    <row r="25" spans="1:19" x14ac:dyDescent="0.25">
      <c r="A25">
        <f t="shared" si="0"/>
        <v>1</v>
      </c>
      <c r="B25" t="str">
        <f t="shared" si="1"/>
        <v/>
      </c>
      <c r="C25">
        <f t="shared" si="5"/>
        <v>1</v>
      </c>
      <c r="D25" s="4"/>
      <c r="E25" t="s">
        <v>18</v>
      </c>
      <c r="F25" t="str">
        <f>INDEX(Establishment!B$2:B$1005,MATCH($E25,Establishment!$A$2:$A$1005,0))</f>
        <v xml:space="preserve"> </v>
      </c>
      <c r="G25" t="str">
        <f>INDEX(Establishment!C$2:C$1005,MATCH($E25,Establishment!$A$2:$A$1005,0))</f>
        <v xml:space="preserve"> </v>
      </c>
      <c r="M25">
        <f t="shared" si="6"/>
        <v>0</v>
      </c>
      <c r="N25">
        <f t="shared" si="4"/>
        <v>0</v>
      </c>
      <c r="P25" t="e">
        <f>INDEX(Items!B$2:B$1032,MATCH($O25,Items!$A$2:$A$1032,0))</f>
        <v>#N/A</v>
      </c>
      <c r="Q25" t="e">
        <f>INDEX(Items!C$2:C$1032,MATCH($O25,Items!$A$2:$A$1032,0))</f>
        <v>#N/A</v>
      </c>
      <c r="R25" t="e">
        <f>INDEX(Items!D$2:D$1032,MATCH($O25,Items!$A$2:$A$1032,0))</f>
        <v>#N/A</v>
      </c>
    </row>
    <row r="26" spans="1:19" x14ac:dyDescent="0.25">
      <c r="A26">
        <f t="shared" si="0"/>
        <v>1</v>
      </c>
      <c r="B26" t="str">
        <f t="shared" si="1"/>
        <v/>
      </c>
      <c r="C26">
        <f t="shared" si="5"/>
        <v>1</v>
      </c>
      <c r="D26" s="4"/>
      <c r="E26" t="s">
        <v>18</v>
      </c>
      <c r="F26" t="str">
        <f>INDEX(Establishment!B$2:B$1005,MATCH($E26,Establishment!$A$2:$A$1005,0))</f>
        <v xml:space="preserve"> </v>
      </c>
      <c r="G26" t="str">
        <f>INDEX(Establishment!C$2:C$1005,MATCH($E26,Establishment!$A$2:$A$1005,0))</f>
        <v xml:space="preserve"> </v>
      </c>
      <c r="M26">
        <f t="shared" si="6"/>
        <v>0</v>
      </c>
      <c r="N26">
        <f t="shared" si="4"/>
        <v>0</v>
      </c>
      <c r="P26" t="e">
        <f>INDEX(Items!B$2:B$1032,MATCH($O26,Items!$A$2:$A$1032,0))</f>
        <v>#N/A</v>
      </c>
      <c r="Q26" t="e">
        <f>INDEX(Items!C$2:C$1032,MATCH($O26,Items!$A$2:$A$1032,0))</f>
        <v>#N/A</v>
      </c>
      <c r="R26" t="e">
        <f>INDEX(Items!D$2:D$1032,MATCH($O26,Items!$A$2:$A$1032,0))</f>
        <v>#N/A</v>
      </c>
    </row>
    <row r="27" spans="1:19" x14ac:dyDescent="0.25">
      <c r="A27">
        <f t="shared" si="0"/>
        <v>1</v>
      </c>
      <c r="B27" t="str">
        <f t="shared" si="1"/>
        <v/>
      </c>
      <c r="C27">
        <f t="shared" si="5"/>
        <v>1</v>
      </c>
      <c r="D27" s="4"/>
      <c r="E27" t="s">
        <v>18</v>
      </c>
      <c r="F27" t="str">
        <f>INDEX(Establishment!B$2:B$1005,MATCH($E27,Establishment!$A$2:$A$1005,0))</f>
        <v xml:space="preserve"> </v>
      </c>
      <c r="G27" t="str">
        <f>INDEX(Establishment!C$2:C$1005,MATCH($E27,Establishment!$A$2:$A$1005,0))</f>
        <v xml:space="preserve"> </v>
      </c>
      <c r="M27">
        <f t="shared" si="6"/>
        <v>0</v>
      </c>
      <c r="N27">
        <f t="shared" si="4"/>
        <v>0</v>
      </c>
      <c r="P27" t="e">
        <f>INDEX(Items!B$2:B$1032,MATCH($O27,Items!$A$2:$A$1032,0))</f>
        <v>#N/A</v>
      </c>
      <c r="Q27" t="e">
        <f>INDEX(Items!C$2:C$1032,MATCH($O27,Items!$A$2:$A$1032,0))</f>
        <v>#N/A</v>
      </c>
      <c r="R27" t="e">
        <f>INDEX(Items!D$2:D$1032,MATCH($O27,Items!$A$2:$A$1032,0))</f>
        <v>#N/A</v>
      </c>
    </row>
    <row r="28" spans="1:19" x14ac:dyDescent="0.25">
      <c r="A28">
        <f t="shared" si="0"/>
        <v>1</v>
      </c>
      <c r="B28" t="str">
        <f t="shared" si="1"/>
        <v/>
      </c>
      <c r="C28">
        <f t="shared" si="5"/>
        <v>1</v>
      </c>
      <c r="D28" s="4"/>
      <c r="E28" t="s">
        <v>18</v>
      </c>
      <c r="F28" t="str">
        <f>INDEX(Establishment!B$2:B$1005,MATCH($E28,Establishment!$A$2:$A$1005,0))</f>
        <v xml:space="preserve"> </v>
      </c>
      <c r="G28" t="str">
        <f>INDEX(Establishment!C$2:C$1005,MATCH($E28,Establishment!$A$2:$A$1005,0))</f>
        <v xml:space="preserve"> </v>
      </c>
      <c r="M28">
        <f t="shared" si="6"/>
        <v>0</v>
      </c>
      <c r="N28">
        <f t="shared" si="4"/>
        <v>0</v>
      </c>
      <c r="P28" t="e">
        <f>INDEX(Items!B$2:B$1032,MATCH($O28,Items!$A$2:$A$1032,0))</f>
        <v>#N/A</v>
      </c>
      <c r="Q28" t="e">
        <f>INDEX(Items!C$2:C$1032,MATCH($O28,Items!$A$2:$A$1032,0))</f>
        <v>#N/A</v>
      </c>
      <c r="R28" t="e">
        <f>INDEX(Items!D$2:D$1032,MATCH($O28,Items!$A$2:$A$1032,0))</f>
        <v>#N/A</v>
      </c>
    </row>
    <row r="29" spans="1:19" x14ac:dyDescent="0.25">
      <c r="A29">
        <f t="shared" si="0"/>
        <v>1</v>
      </c>
      <c r="B29" t="str">
        <f t="shared" si="1"/>
        <v/>
      </c>
      <c r="C29">
        <f t="shared" si="5"/>
        <v>1</v>
      </c>
      <c r="D29" s="4"/>
      <c r="E29" t="s">
        <v>18</v>
      </c>
      <c r="F29" t="str">
        <f>INDEX(Establishment!B$2:B$1005,MATCH($E29,Establishment!$A$2:$A$1005,0))</f>
        <v xml:space="preserve"> </v>
      </c>
      <c r="G29" t="str">
        <f>INDEX(Establishment!C$2:C$1005,MATCH($E29,Establishment!$A$2:$A$1005,0))</f>
        <v xml:space="preserve"> </v>
      </c>
      <c r="M29">
        <f t="shared" si="6"/>
        <v>0</v>
      </c>
      <c r="N29">
        <f t="shared" si="4"/>
        <v>0</v>
      </c>
      <c r="P29" t="e">
        <f>INDEX(Items!B$2:B$1032,MATCH($O29,Items!$A$2:$A$1032,0))</f>
        <v>#N/A</v>
      </c>
      <c r="Q29" t="e">
        <f>INDEX(Items!C$2:C$1032,MATCH($O29,Items!$A$2:$A$1032,0))</f>
        <v>#N/A</v>
      </c>
      <c r="R29" t="e">
        <f>INDEX(Items!D$2:D$1032,MATCH($O29,Items!$A$2:$A$1032,0))</f>
        <v>#N/A</v>
      </c>
    </row>
    <row r="30" spans="1:19" x14ac:dyDescent="0.25">
      <c r="A30">
        <f t="shared" si="0"/>
        <v>1</v>
      </c>
      <c r="B30" t="str">
        <f t="shared" si="1"/>
        <v/>
      </c>
      <c r="C30">
        <f t="shared" si="5"/>
        <v>1</v>
      </c>
      <c r="D30" s="4"/>
      <c r="E30" t="s">
        <v>18</v>
      </c>
      <c r="F30" t="str">
        <f>INDEX(Establishment!B$2:B$1005,MATCH($E30,Establishment!$A$2:$A$1005,0))</f>
        <v xml:space="preserve"> </v>
      </c>
      <c r="G30" t="str">
        <f>INDEX(Establishment!C$2:C$1005,MATCH($E30,Establishment!$A$2:$A$1005,0))</f>
        <v xml:space="preserve"> </v>
      </c>
      <c r="M30">
        <f t="shared" si="6"/>
        <v>0</v>
      </c>
      <c r="N30">
        <f t="shared" si="4"/>
        <v>0</v>
      </c>
      <c r="P30" t="e">
        <f>INDEX(Items!B$2:B$1032,MATCH($O30,Items!$A$2:$A$1032,0))</f>
        <v>#N/A</v>
      </c>
      <c r="Q30" t="e">
        <f>INDEX(Items!C$2:C$1032,MATCH($O30,Items!$A$2:$A$1032,0))</f>
        <v>#N/A</v>
      </c>
      <c r="R30" t="e">
        <f>INDEX(Items!D$2:D$1032,MATCH($O30,Items!$A$2:$A$1032,0))</f>
        <v>#N/A</v>
      </c>
    </row>
    <row r="31" spans="1:19" x14ac:dyDescent="0.25">
      <c r="A31">
        <f t="shared" si="0"/>
        <v>1</v>
      </c>
      <c r="B31" t="str">
        <f t="shared" si="1"/>
        <v/>
      </c>
      <c r="C31">
        <f t="shared" si="5"/>
        <v>1</v>
      </c>
      <c r="D31" s="4"/>
      <c r="E31" t="s">
        <v>18</v>
      </c>
      <c r="F31" t="str">
        <f>INDEX(Establishment!B$2:B$1005,MATCH($E31,Establishment!$A$2:$A$1005,0))</f>
        <v xml:space="preserve"> </v>
      </c>
      <c r="G31" t="str">
        <f>INDEX(Establishment!C$2:C$1005,MATCH($E31,Establishment!$A$2:$A$1005,0))</f>
        <v xml:space="preserve"> </v>
      </c>
      <c r="M31">
        <f t="shared" si="6"/>
        <v>0</v>
      </c>
      <c r="N31">
        <f t="shared" si="4"/>
        <v>0</v>
      </c>
      <c r="P31" t="e">
        <f>INDEX(Items!B$2:B$1032,MATCH($O31,Items!$A$2:$A$1032,0))</f>
        <v>#N/A</v>
      </c>
      <c r="Q31" t="e">
        <f>INDEX(Items!C$2:C$1032,MATCH($O31,Items!$A$2:$A$1032,0))</f>
        <v>#N/A</v>
      </c>
      <c r="R31" t="e">
        <f>INDEX(Items!D$2:D$1032,MATCH($O31,Items!$A$2:$A$1032,0))</f>
        <v>#N/A</v>
      </c>
    </row>
    <row r="32" spans="1:19" x14ac:dyDescent="0.25">
      <c r="A32">
        <f t="shared" si="0"/>
        <v>1</v>
      </c>
      <c r="B32" t="str">
        <f t="shared" si="1"/>
        <v/>
      </c>
      <c r="C32">
        <f t="shared" si="5"/>
        <v>1</v>
      </c>
      <c r="D32" s="4"/>
      <c r="E32" t="s">
        <v>18</v>
      </c>
      <c r="F32" t="str">
        <f>INDEX(Establishment!B$2:B$1005,MATCH($E32,Establishment!$A$2:$A$1005,0))</f>
        <v xml:space="preserve"> </v>
      </c>
      <c r="G32" t="str">
        <f>INDEX(Establishment!C$2:C$1005,MATCH($E32,Establishment!$A$2:$A$1005,0))</f>
        <v xml:space="preserve"> </v>
      </c>
      <c r="M32">
        <f t="shared" si="6"/>
        <v>0</v>
      </c>
      <c r="N32">
        <f t="shared" si="4"/>
        <v>0</v>
      </c>
      <c r="P32" t="e">
        <f>INDEX(Items!B$2:B$1032,MATCH($O32,Items!$A$2:$A$1032,0))</f>
        <v>#N/A</v>
      </c>
      <c r="Q32" t="e">
        <f>INDEX(Items!C$2:C$1032,MATCH($O32,Items!$A$2:$A$1032,0))</f>
        <v>#N/A</v>
      </c>
      <c r="R32" t="e">
        <f>INDEX(Items!D$2:D$1032,MATCH($O32,Items!$A$2:$A$1032,0))</f>
        <v>#N/A</v>
      </c>
    </row>
    <row r="33" spans="1:18" x14ac:dyDescent="0.25">
      <c r="A33">
        <f t="shared" si="0"/>
        <v>1</v>
      </c>
      <c r="B33" t="str">
        <f t="shared" si="1"/>
        <v/>
      </c>
      <c r="C33">
        <f t="shared" si="5"/>
        <v>1</v>
      </c>
      <c r="D33" s="4"/>
      <c r="E33" t="s">
        <v>18</v>
      </c>
      <c r="F33" t="str">
        <f>INDEX(Establishment!B$2:B$1005,MATCH($E33,Establishment!$A$2:$A$1005,0))</f>
        <v xml:space="preserve"> </v>
      </c>
      <c r="G33" t="str">
        <f>INDEX(Establishment!C$2:C$1005,MATCH($E33,Establishment!$A$2:$A$1005,0))</f>
        <v xml:space="preserve"> </v>
      </c>
      <c r="M33">
        <f t="shared" si="6"/>
        <v>0</v>
      </c>
      <c r="N33">
        <f t="shared" si="4"/>
        <v>0</v>
      </c>
      <c r="P33" t="e">
        <f>INDEX(Items!B$2:B$1032,MATCH($O33,Items!$A$2:$A$1032,0))</f>
        <v>#N/A</v>
      </c>
      <c r="Q33" t="e">
        <f>INDEX(Items!C$2:C$1032,MATCH($O33,Items!$A$2:$A$1032,0))</f>
        <v>#N/A</v>
      </c>
      <c r="R33" t="e">
        <f>INDEX(Items!D$2:D$1032,MATCH($O33,Items!$A$2:$A$1032,0))</f>
        <v>#N/A</v>
      </c>
    </row>
    <row r="34" spans="1:18" x14ac:dyDescent="0.25">
      <c r="A34">
        <f t="shared" si="0"/>
        <v>1</v>
      </c>
      <c r="B34" t="str">
        <f t="shared" si="1"/>
        <v/>
      </c>
      <c r="C34">
        <f t="shared" si="5"/>
        <v>1</v>
      </c>
      <c r="D34" s="4"/>
      <c r="E34" t="s">
        <v>18</v>
      </c>
      <c r="F34" t="str">
        <f>INDEX(Establishment!B$2:B$1005,MATCH($E34,Establishment!$A$2:$A$1005,0))</f>
        <v xml:space="preserve"> </v>
      </c>
      <c r="G34" t="str">
        <f>INDEX(Establishment!C$2:C$1005,MATCH($E34,Establishment!$A$2:$A$1005,0))</f>
        <v xml:space="preserve"> </v>
      </c>
      <c r="M34">
        <f t="shared" si="6"/>
        <v>0</v>
      </c>
      <c r="N34">
        <f t="shared" si="4"/>
        <v>0</v>
      </c>
      <c r="P34" t="e">
        <f>INDEX(Items!B$2:B$1032,MATCH($O34,Items!$A$2:$A$1032,0))</f>
        <v>#N/A</v>
      </c>
      <c r="Q34" t="e">
        <f>INDEX(Items!C$2:C$1032,MATCH($O34,Items!$A$2:$A$1032,0))</f>
        <v>#N/A</v>
      </c>
      <c r="R34" t="e">
        <f>INDEX(Items!D$2:D$1032,MATCH($O34,Items!$A$2:$A$1032,0))</f>
        <v>#N/A</v>
      </c>
    </row>
    <row r="35" spans="1:18" x14ac:dyDescent="0.25">
      <c r="A35">
        <f t="shared" si="0"/>
        <v>1</v>
      </c>
      <c r="B35" t="str">
        <f t="shared" si="1"/>
        <v/>
      </c>
      <c r="C35">
        <f t="shared" si="5"/>
        <v>1</v>
      </c>
      <c r="D35" s="4"/>
      <c r="E35" t="s">
        <v>18</v>
      </c>
      <c r="F35" t="str">
        <f>INDEX(Establishment!B$2:B$1005,MATCH($E35,Establishment!$A$2:$A$1005,0))</f>
        <v xml:space="preserve"> </v>
      </c>
      <c r="G35" t="str">
        <f>INDEX(Establishment!C$2:C$1005,MATCH($E35,Establishment!$A$2:$A$1005,0))</f>
        <v xml:space="preserve"> </v>
      </c>
      <c r="M35">
        <f t="shared" si="6"/>
        <v>0</v>
      </c>
      <c r="N35">
        <f t="shared" si="4"/>
        <v>0</v>
      </c>
      <c r="P35" t="e">
        <f>INDEX(Items!B$2:B$1032,MATCH($O35,Items!$A$2:$A$1032,0))</f>
        <v>#N/A</v>
      </c>
      <c r="Q35" t="e">
        <f>INDEX(Items!C$2:C$1032,MATCH($O35,Items!$A$2:$A$1032,0))</f>
        <v>#N/A</v>
      </c>
      <c r="R35" t="e">
        <f>INDEX(Items!D$2:D$1032,MATCH($O35,Items!$A$2:$A$1032,0))</f>
        <v>#N/A</v>
      </c>
    </row>
    <row r="36" spans="1:18" x14ac:dyDescent="0.25">
      <c r="A36">
        <f t="shared" si="0"/>
        <v>1</v>
      </c>
      <c r="B36" t="str">
        <f t="shared" si="1"/>
        <v/>
      </c>
      <c r="C36">
        <f t="shared" si="5"/>
        <v>1</v>
      </c>
      <c r="D36" s="4"/>
      <c r="E36" t="s">
        <v>18</v>
      </c>
      <c r="F36" t="str">
        <f>INDEX(Establishment!B$2:B$1005,MATCH($E36,Establishment!$A$2:$A$1005,0))</f>
        <v xml:space="preserve"> </v>
      </c>
      <c r="G36" t="str">
        <f>INDEX(Establishment!C$2:C$1005,MATCH($E36,Establishment!$A$2:$A$1005,0))</f>
        <v xml:space="preserve"> </v>
      </c>
      <c r="M36">
        <f t="shared" si="6"/>
        <v>0</v>
      </c>
      <c r="N36">
        <f t="shared" si="4"/>
        <v>0</v>
      </c>
      <c r="P36" t="e">
        <f>INDEX(Items!B$2:B$1032,MATCH($O36,Items!$A$2:$A$1032,0))</f>
        <v>#N/A</v>
      </c>
      <c r="Q36" t="e">
        <f>INDEX(Items!C$2:C$1032,MATCH($O36,Items!$A$2:$A$1032,0))</f>
        <v>#N/A</v>
      </c>
      <c r="R36" t="e">
        <f>INDEX(Items!D$2:D$1032,MATCH($O36,Items!$A$2:$A$1032,0))</f>
        <v>#N/A</v>
      </c>
    </row>
    <row r="37" spans="1:18" x14ac:dyDescent="0.25">
      <c r="A37">
        <f t="shared" si="0"/>
        <v>1</v>
      </c>
      <c r="B37" t="str">
        <f t="shared" si="1"/>
        <v/>
      </c>
      <c r="C37">
        <f t="shared" si="5"/>
        <v>1</v>
      </c>
      <c r="D37" s="4"/>
      <c r="E37" t="s">
        <v>18</v>
      </c>
      <c r="F37" t="str">
        <f>INDEX(Establishment!B$2:B$1005,MATCH($E37,Establishment!$A$2:$A$1005,0))</f>
        <v xml:space="preserve"> </v>
      </c>
      <c r="G37" t="str">
        <f>INDEX(Establishment!C$2:C$1005,MATCH($E37,Establishment!$A$2:$A$1005,0))</f>
        <v xml:space="preserve"> </v>
      </c>
      <c r="M37">
        <f t="shared" si="6"/>
        <v>0</v>
      </c>
      <c r="N37">
        <f t="shared" si="4"/>
        <v>0</v>
      </c>
      <c r="P37" t="e">
        <f>INDEX(Items!B$2:B$1032,MATCH($O37,Items!$A$2:$A$1032,0))</f>
        <v>#N/A</v>
      </c>
      <c r="Q37" t="e">
        <f>INDEX(Items!C$2:C$1032,MATCH($O37,Items!$A$2:$A$1032,0))</f>
        <v>#N/A</v>
      </c>
      <c r="R37" t="e">
        <f>INDEX(Items!D$2:D$1032,MATCH($O37,Items!$A$2:$A$1032,0))</f>
        <v>#N/A</v>
      </c>
    </row>
    <row r="38" spans="1:18" x14ac:dyDescent="0.25">
      <c r="A38">
        <f t="shared" si="0"/>
        <v>1</v>
      </c>
      <c r="B38" t="str">
        <f t="shared" si="1"/>
        <v/>
      </c>
      <c r="C38">
        <f t="shared" si="5"/>
        <v>1</v>
      </c>
      <c r="D38" s="4"/>
      <c r="E38" t="s">
        <v>18</v>
      </c>
      <c r="F38" t="str">
        <f>INDEX(Establishment!B$2:B$1005,MATCH($E38,Establishment!$A$2:$A$1005,0))</f>
        <v xml:space="preserve"> </v>
      </c>
      <c r="G38" t="str">
        <f>INDEX(Establishment!C$2:C$1005,MATCH($E38,Establishment!$A$2:$A$1005,0))</f>
        <v xml:space="preserve"> </v>
      </c>
      <c r="M38">
        <f t="shared" si="6"/>
        <v>0</v>
      </c>
      <c r="N38">
        <f t="shared" si="4"/>
        <v>0</v>
      </c>
      <c r="P38" t="e">
        <f>INDEX(Items!B$2:B$1032,MATCH($O38,Items!$A$2:$A$1032,0))</f>
        <v>#N/A</v>
      </c>
      <c r="Q38" t="e">
        <f>INDEX(Items!C$2:C$1032,MATCH($O38,Items!$A$2:$A$1032,0))</f>
        <v>#N/A</v>
      </c>
      <c r="R38" t="e">
        <f>INDEX(Items!D$2:D$1032,MATCH($O38,Items!$A$2:$A$1032,0))</f>
        <v>#N/A</v>
      </c>
    </row>
    <row r="39" spans="1:18" x14ac:dyDescent="0.25">
      <c r="A39">
        <f t="shared" si="0"/>
        <v>1</v>
      </c>
      <c r="B39" t="str">
        <f t="shared" si="1"/>
        <v/>
      </c>
      <c r="C39">
        <f t="shared" si="5"/>
        <v>1</v>
      </c>
      <c r="D39" s="4"/>
      <c r="E39" t="s">
        <v>18</v>
      </c>
      <c r="F39" t="str">
        <f>INDEX(Establishment!B$2:B$1005,MATCH($E39,Establishment!$A$2:$A$1005,0))</f>
        <v xml:space="preserve"> </v>
      </c>
      <c r="G39" t="str">
        <f>INDEX(Establishment!C$2:C$1005,MATCH($E39,Establishment!$A$2:$A$1005,0))</f>
        <v xml:space="preserve"> </v>
      </c>
      <c r="M39">
        <f t="shared" si="6"/>
        <v>0</v>
      </c>
      <c r="N39">
        <f t="shared" si="4"/>
        <v>0</v>
      </c>
      <c r="P39" t="e">
        <f>INDEX(Items!B$2:B$1032,MATCH($O39,Items!$A$2:$A$1032,0))</f>
        <v>#N/A</v>
      </c>
      <c r="Q39" t="e">
        <f>INDEX(Items!C$2:C$1032,MATCH($O39,Items!$A$2:$A$1032,0))</f>
        <v>#N/A</v>
      </c>
      <c r="R39" t="e">
        <f>INDEX(Items!D$2:D$1032,MATCH($O39,Items!$A$2:$A$1032,0))</f>
        <v>#N/A</v>
      </c>
    </row>
    <row r="40" spans="1:18" x14ac:dyDescent="0.25">
      <c r="A40">
        <f t="shared" si="0"/>
        <v>1</v>
      </c>
      <c r="B40" t="str">
        <f t="shared" si="1"/>
        <v/>
      </c>
      <c r="C40">
        <f t="shared" si="5"/>
        <v>1</v>
      </c>
      <c r="D40" s="4"/>
      <c r="E40" t="s">
        <v>18</v>
      </c>
      <c r="F40" t="str">
        <f>INDEX(Establishment!B$2:B$1005,MATCH($E40,Establishment!$A$2:$A$1005,0))</f>
        <v xml:space="preserve"> </v>
      </c>
      <c r="G40" t="str">
        <f>INDEX(Establishment!C$2:C$1005,MATCH($E40,Establishment!$A$2:$A$1005,0))</f>
        <v xml:space="preserve"> </v>
      </c>
      <c r="M40">
        <f t="shared" si="6"/>
        <v>0</v>
      </c>
      <c r="N40">
        <f t="shared" si="4"/>
        <v>0</v>
      </c>
      <c r="P40" t="e">
        <f>INDEX(Items!B$2:B$1032,MATCH($O40,Items!$A$2:$A$1032,0))</f>
        <v>#N/A</v>
      </c>
      <c r="Q40" t="e">
        <f>INDEX(Items!C$2:C$1032,MATCH($O40,Items!$A$2:$A$1032,0))</f>
        <v>#N/A</v>
      </c>
      <c r="R40" t="e">
        <f>INDEX(Items!D$2:D$1032,MATCH($O40,Items!$A$2:$A$1032,0))</f>
        <v>#N/A</v>
      </c>
    </row>
    <row r="41" spans="1:18" x14ac:dyDescent="0.25">
      <c r="A41">
        <f t="shared" si="0"/>
        <v>1</v>
      </c>
      <c r="B41" t="str">
        <f t="shared" si="1"/>
        <v/>
      </c>
      <c r="C41">
        <f t="shared" si="5"/>
        <v>1</v>
      </c>
      <c r="D41" s="4"/>
      <c r="E41" t="s">
        <v>18</v>
      </c>
      <c r="F41" t="str">
        <f>INDEX(Establishment!B$2:B$1005,MATCH($E41,Establishment!$A$2:$A$1005,0))</f>
        <v xml:space="preserve"> </v>
      </c>
      <c r="G41" t="str">
        <f>INDEX(Establishment!C$2:C$1005,MATCH($E41,Establishment!$A$2:$A$1005,0))</f>
        <v xml:space="preserve"> </v>
      </c>
      <c r="M41">
        <f t="shared" si="6"/>
        <v>0</v>
      </c>
      <c r="N41">
        <f t="shared" si="4"/>
        <v>0</v>
      </c>
      <c r="P41" t="e">
        <f>INDEX(Items!B$2:B$1032,MATCH($O41,Items!$A$2:$A$1032,0))</f>
        <v>#N/A</v>
      </c>
      <c r="Q41" t="e">
        <f>INDEX(Items!C$2:C$1032,MATCH($O41,Items!$A$2:$A$1032,0))</f>
        <v>#N/A</v>
      </c>
      <c r="R41" t="e">
        <f>INDEX(Items!D$2:D$1032,MATCH($O41,Items!$A$2:$A$1032,0))</f>
        <v>#N/A</v>
      </c>
    </row>
    <row r="42" spans="1:18" x14ac:dyDescent="0.25">
      <c r="A42">
        <f t="shared" si="0"/>
        <v>1</v>
      </c>
      <c r="B42" t="str">
        <f t="shared" si="1"/>
        <v/>
      </c>
      <c r="C42">
        <f t="shared" si="5"/>
        <v>1</v>
      </c>
      <c r="D42" s="4"/>
      <c r="E42" t="s">
        <v>18</v>
      </c>
      <c r="F42" t="str">
        <f>INDEX(Establishment!B$2:B$1005,MATCH($E42,Establishment!$A$2:$A$1005,0))</f>
        <v xml:space="preserve"> </v>
      </c>
      <c r="G42" t="str">
        <f>INDEX(Establishment!C$2:C$1005,MATCH($E42,Establishment!$A$2:$A$1005,0))</f>
        <v xml:space="preserve"> </v>
      </c>
      <c r="M42">
        <f t="shared" si="6"/>
        <v>0</v>
      </c>
      <c r="N42">
        <f t="shared" si="4"/>
        <v>0</v>
      </c>
      <c r="P42" t="e">
        <f>INDEX(Items!B$2:B$1032,MATCH($O42,Items!$A$2:$A$1032,0))</f>
        <v>#N/A</v>
      </c>
      <c r="Q42" t="e">
        <f>INDEX(Items!C$2:C$1032,MATCH($O42,Items!$A$2:$A$1032,0))</f>
        <v>#N/A</v>
      </c>
      <c r="R42" t="e">
        <f>INDEX(Items!D$2:D$1032,MATCH($O42,Items!$A$2:$A$1032,0))</f>
        <v>#N/A</v>
      </c>
    </row>
    <row r="43" spans="1:18" x14ac:dyDescent="0.25">
      <c r="A43">
        <f t="shared" si="0"/>
        <v>1</v>
      </c>
      <c r="B43" t="str">
        <f t="shared" si="1"/>
        <v/>
      </c>
      <c r="C43">
        <f t="shared" si="5"/>
        <v>1</v>
      </c>
      <c r="D43" s="4"/>
      <c r="E43" t="s">
        <v>18</v>
      </c>
      <c r="F43" t="str">
        <f>INDEX(Establishment!B$2:B$1005,MATCH($E43,Establishment!$A$2:$A$1005,0))</f>
        <v xml:space="preserve"> </v>
      </c>
      <c r="G43" t="str">
        <f>INDEX(Establishment!C$2:C$1005,MATCH($E43,Establishment!$A$2:$A$1005,0))</f>
        <v xml:space="preserve"> </v>
      </c>
      <c r="M43">
        <f t="shared" si="6"/>
        <v>0</v>
      </c>
      <c r="N43">
        <f t="shared" si="4"/>
        <v>0</v>
      </c>
      <c r="P43" t="e">
        <f>INDEX(Items!B$2:B$1032,MATCH($O43,Items!$A$2:$A$1032,0))</f>
        <v>#N/A</v>
      </c>
      <c r="Q43" t="e">
        <f>INDEX(Items!C$2:C$1032,MATCH($O43,Items!$A$2:$A$1032,0))</f>
        <v>#N/A</v>
      </c>
      <c r="R43" t="e">
        <f>INDEX(Items!D$2:D$1032,MATCH($O43,Items!$A$2:$A$1032,0))</f>
        <v>#N/A</v>
      </c>
    </row>
    <row r="44" spans="1:18" x14ac:dyDescent="0.25">
      <c r="A44">
        <f t="shared" si="0"/>
        <v>1</v>
      </c>
      <c r="B44" t="str">
        <f t="shared" si="1"/>
        <v/>
      </c>
      <c r="C44">
        <f t="shared" si="5"/>
        <v>1</v>
      </c>
      <c r="D44" s="4"/>
      <c r="E44" t="s">
        <v>18</v>
      </c>
      <c r="F44" t="str">
        <f>INDEX(Establishment!B$2:B$1005,MATCH($E44,Establishment!$A$2:$A$1005,0))</f>
        <v xml:space="preserve"> </v>
      </c>
      <c r="G44" t="str">
        <f>INDEX(Establishment!C$2:C$1005,MATCH($E44,Establishment!$A$2:$A$1005,0))</f>
        <v xml:space="preserve"> </v>
      </c>
      <c r="M44">
        <f t="shared" si="6"/>
        <v>0</v>
      </c>
      <c r="N44">
        <f t="shared" si="4"/>
        <v>0</v>
      </c>
      <c r="P44" t="e">
        <f>INDEX(Items!B$2:B$1032,MATCH($O44,Items!$A$2:$A$1032,0))</f>
        <v>#N/A</v>
      </c>
      <c r="Q44" t="e">
        <f>INDEX(Items!C$2:C$1032,MATCH($O44,Items!$A$2:$A$1032,0))</f>
        <v>#N/A</v>
      </c>
      <c r="R44" t="e">
        <f>INDEX(Items!D$2:D$1032,MATCH($O44,Items!$A$2:$A$1032,0))</f>
        <v>#N/A</v>
      </c>
    </row>
    <row r="45" spans="1:18" x14ac:dyDescent="0.25">
      <c r="A45">
        <f t="shared" si="0"/>
        <v>1</v>
      </c>
      <c r="B45" t="str">
        <f t="shared" si="1"/>
        <v/>
      </c>
      <c r="C45">
        <f t="shared" si="5"/>
        <v>1</v>
      </c>
      <c r="D45" s="4"/>
      <c r="E45" t="s">
        <v>18</v>
      </c>
      <c r="F45" t="str">
        <f>INDEX(Establishment!B$2:B$1005,MATCH($E45,Establishment!$A$2:$A$1005,0))</f>
        <v xml:space="preserve"> </v>
      </c>
      <c r="G45" t="str">
        <f>INDEX(Establishment!C$2:C$1005,MATCH($E45,Establishment!$A$2:$A$1005,0))</f>
        <v xml:space="preserve"> </v>
      </c>
      <c r="M45">
        <f t="shared" si="6"/>
        <v>0</v>
      </c>
      <c r="N45">
        <f t="shared" si="4"/>
        <v>0</v>
      </c>
      <c r="P45" t="e">
        <f>INDEX(Items!B$2:B$1032,MATCH($O45,Items!$A$2:$A$1032,0))</f>
        <v>#N/A</v>
      </c>
      <c r="Q45" t="e">
        <f>INDEX(Items!C$2:C$1032,MATCH($O45,Items!$A$2:$A$1032,0))</f>
        <v>#N/A</v>
      </c>
      <c r="R45" t="e">
        <f>INDEX(Items!D$2:D$1032,MATCH($O45,Items!$A$2:$A$1032,0))</f>
        <v>#N/A</v>
      </c>
    </row>
    <row r="46" spans="1:18" x14ac:dyDescent="0.25">
      <c r="A46">
        <f t="shared" si="0"/>
        <v>1</v>
      </c>
      <c r="B46" t="str">
        <f t="shared" si="1"/>
        <v/>
      </c>
      <c r="C46">
        <f t="shared" si="5"/>
        <v>1</v>
      </c>
      <c r="D46" s="4"/>
      <c r="E46" t="s">
        <v>18</v>
      </c>
      <c r="F46" t="str">
        <f>INDEX(Establishment!B$2:B$1005,MATCH($E46,Establishment!$A$2:$A$1005,0))</f>
        <v xml:space="preserve"> </v>
      </c>
      <c r="G46" t="str">
        <f>INDEX(Establishment!C$2:C$1005,MATCH($E46,Establishment!$A$2:$A$1005,0))</f>
        <v xml:space="preserve"> </v>
      </c>
      <c r="M46">
        <f t="shared" si="6"/>
        <v>0</v>
      </c>
      <c r="N46">
        <f t="shared" si="4"/>
        <v>0</v>
      </c>
      <c r="P46" t="e">
        <f>INDEX(Items!B$2:B$1032,MATCH($O46,Items!$A$2:$A$1032,0))</f>
        <v>#N/A</v>
      </c>
      <c r="Q46" t="e">
        <f>INDEX(Items!C$2:C$1032,MATCH($O46,Items!$A$2:$A$1032,0))</f>
        <v>#N/A</v>
      </c>
      <c r="R46" t="e">
        <f>INDEX(Items!D$2:D$1032,MATCH($O46,Items!$A$2:$A$1032,0))</f>
        <v>#N/A</v>
      </c>
    </row>
    <row r="47" spans="1:18" x14ac:dyDescent="0.25">
      <c r="A47">
        <f t="shared" si="0"/>
        <v>1</v>
      </c>
      <c r="B47" t="str">
        <f t="shared" si="1"/>
        <v/>
      </c>
      <c r="C47">
        <f t="shared" si="5"/>
        <v>1</v>
      </c>
      <c r="D47" s="4"/>
      <c r="E47" t="s">
        <v>18</v>
      </c>
      <c r="F47" t="str">
        <f>INDEX(Establishment!B$2:B$1005,MATCH($E47,Establishment!$A$2:$A$1005,0))</f>
        <v xml:space="preserve"> </v>
      </c>
      <c r="G47" t="str">
        <f>INDEX(Establishment!C$2:C$1005,MATCH($E47,Establishment!$A$2:$A$1005,0))</f>
        <v xml:space="preserve"> </v>
      </c>
      <c r="M47">
        <f t="shared" si="6"/>
        <v>0</v>
      </c>
      <c r="N47">
        <f t="shared" si="4"/>
        <v>0</v>
      </c>
      <c r="P47" t="e">
        <f>INDEX(Items!B$2:B$1032,MATCH($O47,Items!$A$2:$A$1032,0))</f>
        <v>#N/A</v>
      </c>
      <c r="Q47" t="e">
        <f>INDEX(Items!C$2:C$1032,MATCH($O47,Items!$A$2:$A$1032,0))</f>
        <v>#N/A</v>
      </c>
      <c r="R47" t="e">
        <f>INDEX(Items!D$2:D$1032,MATCH($O47,Items!$A$2:$A$1032,0))</f>
        <v>#N/A</v>
      </c>
    </row>
    <row r="48" spans="1:18" x14ac:dyDescent="0.25">
      <c r="A48">
        <f t="shared" si="0"/>
        <v>1</v>
      </c>
      <c r="B48" t="str">
        <f t="shared" si="1"/>
        <v/>
      </c>
      <c r="C48">
        <f t="shared" si="5"/>
        <v>1</v>
      </c>
      <c r="D48" s="4"/>
      <c r="E48" t="s">
        <v>18</v>
      </c>
      <c r="F48" t="str">
        <f>INDEX(Establishment!B$2:B$1005,MATCH($E48,Establishment!$A$2:$A$1005,0))</f>
        <v xml:space="preserve"> </v>
      </c>
      <c r="G48" t="str">
        <f>INDEX(Establishment!C$2:C$1005,MATCH($E48,Establishment!$A$2:$A$1005,0))</f>
        <v xml:space="preserve"> </v>
      </c>
      <c r="M48">
        <f t="shared" si="6"/>
        <v>0</v>
      </c>
      <c r="N48">
        <f t="shared" si="4"/>
        <v>0</v>
      </c>
      <c r="P48" t="e">
        <f>INDEX(Items!B$2:B$1032,MATCH($O48,Items!$A$2:$A$1032,0))</f>
        <v>#N/A</v>
      </c>
      <c r="Q48" t="e">
        <f>INDEX(Items!C$2:C$1032,MATCH($O48,Items!$A$2:$A$1032,0))</f>
        <v>#N/A</v>
      </c>
      <c r="R48" t="e">
        <f>INDEX(Items!D$2:D$1032,MATCH($O48,Items!$A$2:$A$1032,0))</f>
        <v>#N/A</v>
      </c>
    </row>
    <row r="49" spans="1:18" x14ac:dyDescent="0.25">
      <c r="A49">
        <f t="shared" si="0"/>
        <v>1</v>
      </c>
      <c r="B49" t="str">
        <f t="shared" si="1"/>
        <v/>
      </c>
      <c r="C49">
        <f t="shared" si="5"/>
        <v>1</v>
      </c>
      <c r="D49" s="4"/>
      <c r="E49" t="s">
        <v>18</v>
      </c>
      <c r="F49" t="str">
        <f>INDEX(Establishment!B$2:B$1005,MATCH($E49,Establishment!$A$2:$A$1005,0))</f>
        <v xml:space="preserve"> </v>
      </c>
      <c r="G49" t="str">
        <f>INDEX(Establishment!C$2:C$1005,MATCH($E49,Establishment!$A$2:$A$1005,0))</f>
        <v xml:space="preserve"> </v>
      </c>
      <c r="M49">
        <f t="shared" si="6"/>
        <v>0</v>
      </c>
      <c r="N49">
        <f t="shared" si="4"/>
        <v>0</v>
      </c>
      <c r="P49" t="e">
        <f>INDEX(Items!B$2:B$1032,MATCH($O49,Items!$A$2:$A$1032,0))</f>
        <v>#N/A</v>
      </c>
      <c r="Q49" t="e">
        <f>INDEX(Items!C$2:C$1032,MATCH($O49,Items!$A$2:$A$1032,0))</f>
        <v>#N/A</v>
      </c>
      <c r="R49" t="e">
        <f>INDEX(Items!D$2:D$1032,MATCH($O49,Items!$A$2:$A$1032,0))</f>
        <v>#N/A</v>
      </c>
    </row>
    <row r="50" spans="1:18" x14ac:dyDescent="0.25">
      <c r="A50">
        <f t="shared" si="0"/>
        <v>1</v>
      </c>
      <c r="B50" t="str">
        <f t="shared" si="1"/>
        <v/>
      </c>
      <c r="C50">
        <f t="shared" si="5"/>
        <v>1</v>
      </c>
      <c r="D50" s="4"/>
      <c r="E50" t="s">
        <v>18</v>
      </c>
      <c r="F50" t="str">
        <f>INDEX(Establishment!B$2:B$1005,MATCH($E50,Establishment!$A$2:$A$1005,0))</f>
        <v xml:space="preserve"> </v>
      </c>
      <c r="G50" t="str">
        <f>INDEX(Establishment!C$2:C$1005,MATCH($E50,Establishment!$A$2:$A$1005,0))</f>
        <v xml:space="preserve"> </v>
      </c>
      <c r="M50">
        <f t="shared" si="6"/>
        <v>0</v>
      </c>
      <c r="N50">
        <f t="shared" si="4"/>
        <v>0</v>
      </c>
      <c r="P50" t="e">
        <f>INDEX(Items!B$2:B$1032,MATCH($O50,Items!$A$2:$A$1032,0))</f>
        <v>#N/A</v>
      </c>
      <c r="Q50" t="e">
        <f>INDEX(Items!C$2:C$1032,MATCH($O50,Items!$A$2:$A$1032,0))</f>
        <v>#N/A</v>
      </c>
      <c r="R50" t="e">
        <f>INDEX(Items!D$2:D$1032,MATCH($O50,Items!$A$2:$A$1032,0))</f>
        <v>#N/A</v>
      </c>
    </row>
    <row r="51" spans="1:18" x14ac:dyDescent="0.25">
      <c r="A51">
        <f t="shared" si="0"/>
        <v>1</v>
      </c>
      <c r="B51" t="str">
        <f t="shared" si="1"/>
        <v/>
      </c>
      <c r="C51">
        <f t="shared" si="5"/>
        <v>1</v>
      </c>
      <c r="D51" s="4"/>
      <c r="E51" t="s">
        <v>18</v>
      </c>
      <c r="F51" t="str">
        <f>INDEX(Establishment!B$2:B$1005,MATCH($E51,Establishment!$A$2:$A$1005,0))</f>
        <v xml:space="preserve"> </v>
      </c>
      <c r="G51" t="str">
        <f>INDEX(Establishment!C$2:C$1005,MATCH($E51,Establishment!$A$2:$A$1005,0))</f>
        <v xml:space="preserve"> </v>
      </c>
      <c r="M51">
        <f t="shared" si="6"/>
        <v>0</v>
      </c>
      <c r="N51">
        <f t="shared" si="4"/>
        <v>0</v>
      </c>
      <c r="P51" t="e">
        <f>INDEX(Items!B$2:B$1032,MATCH($O51,Items!$A$2:$A$1032,0))</f>
        <v>#N/A</v>
      </c>
      <c r="Q51" t="e">
        <f>INDEX(Items!C$2:C$1032,MATCH($O51,Items!$A$2:$A$1032,0))</f>
        <v>#N/A</v>
      </c>
      <c r="R51" t="e">
        <f>INDEX(Items!D$2:D$1032,MATCH($O51,Items!$A$2:$A$1032,0))</f>
        <v>#N/A</v>
      </c>
    </row>
    <row r="52" spans="1:18" x14ac:dyDescent="0.25">
      <c r="A52">
        <f t="shared" si="0"/>
        <v>1</v>
      </c>
      <c r="B52" t="str">
        <f t="shared" si="1"/>
        <v/>
      </c>
      <c r="C52">
        <f t="shared" si="5"/>
        <v>1</v>
      </c>
      <c r="D52" s="4"/>
      <c r="E52" t="s">
        <v>18</v>
      </c>
      <c r="F52" t="str">
        <f>INDEX(Establishment!B$2:B$1005,MATCH($E52,Establishment!$A$2:$A$1005,0))</f>
        <v xml:space="preserve"> </v>
      </c>
      <c r="G52" t="str">
        <f>INDEX(Establishment!C$2:C$1005,MATCH($E52,Establishment!$A$2:$A$1005,0))</f>
        <v xml:space="preserve"> </v>
      </c>
      <c r="M52">
        <f t="shared" si="6"/>
        <v>0</v>
      </c>
      <c r="N52">
        <f t="shared" si="4"/>
        <v>0</v>
      </c>
      <c r="P52" t="e">
        <f>INDEX(Items!B$2:B$1032,MATCH($O52,Items!$A$2:$A$1032,0))</f>
        <v>#N/A</v>
      </c>
      <c r="Q52" t="e">
        <f>INDEX(Items!C$2:C$1032,MATCH($O52,Items!$A$2:$A$1032,0))</f>
        <v>#N/A</v>
      </c>
      <c r="R52" t="e">
        <f>INDEX(Items!D$2:D$1032,MATCH($O52,Items!$A$2:$A$1032,0))</f>
        <v>#N/A</v>
      </c>
    </row>
    <row r="53" spans="1:18" x14ac:dyDescent="0.25">
      <c r="A53">
        <f t="shared" si="0"/>
        <v>1</v>
      </c>
      <c r="B53" t="str">
        <f t="shared" si="1"/>
        <v/>
      </c>
      <c r="C53">
        <f t="shared" si="5"/>
        <v>1</v>
      </c>
      <c r="D53" s="4"/>
      <c r="E53" t="s">
        <v>18</v>
      </c>
      <c r="F53" t="str">
        <f>INDEX(Establishment!B$2:B$1005,MATCH($E53,Establishment!$A$2:$A$1005,0))</f>
        <v xml:space="preserve"> </v>
      </c>
      <c r="G53" t="str">
        <f>INDEX(Establishment!C$2:C$1005,MATCH($E53,Establishment!$A$2:$A$1005,0))</f>
        <v xml:space="preserve"> </v>
      </c>
      <c r="M53">
        <f t="shared" si="6"/>
        <v>0</v>
      </c>
      <c r="N53">
        <f t="shared" si="4"/>
        <v>0</v>
      </c>
      <c r="P53" t="e">
        <f>INDEX(Items!B$2:B$1032,MATCH($O53,Items!$A$2:$A$1032,0))</f>
        <v>#N/A</v>
      </c>
      <c r="Q53" t="e">
        <f>INDEX(Items!C$2:C$1032,MATCH($O53,Items!$A$2:$A$1032,0))</f>
        <v>#N/A</v>
      </c>
      <c r="R53" t="e">
        <f>INDEX(Items!D$2:D$1032,MATCH($O53,Items!$A$2:$A$1032,0))</f>
        <v>#N/A</v>
      </c>
    </row>
    <row r="54" spans="1:18" x14ac:dyDescent="0.25">
      <c r="A54">
        <f t="shared" si="0"/>
        <v>1</v>
      </c>
      <c r="B54" t="str">
        <f t="shared" si="1"/>
        <v/>
      </c>
      <c r="C54">
        <f t="shared" si="5"/>
        <v>1</v>
      </c>
      <c r="D54" s="4"/>
      <c r="E54" t="s">
        <v>18</v>
      </c>
      <c r="F54" t="str">
        <f>INDEX(Establishment!B$2:B$1005,MATCH($E54,Establishment!$A$2:$A$1005,0))</f>
        <v xml:space="preserve"> </v>
      </c>
      <c r="G54" t="str">
        <f>INDEX(Establishment!C$2:C$1005,MATCH($E54,Establishment!$A$2:$A$1005,0))</f>
        <v xml:space="preserve"> </v>
      </c>
      <c r="M54">
        <f t="shared" si="6"/>
        <v>0</v>
      </c>
      <c r="N54">
        <f t="shared" si="4"/>
        <v>0</v>
      </c>
      <c r="P54" t="e">
        <f>INDEX(Items!B$2:B$1032,MATCH($O54,Items!$A$2:$A$1032,0))</f>
        <v>#N/A</v>
      </c>
      <c r="Q54" t="e">
        <f>INDEX(Items!C$2:C$1032,MATCH($O54,Items!$A$2:$A$1032,0))</f>
        <v>#N/A</v>
      </c>
      <c r="R54" t="e">
        <f>INDEX(Items!D$2:D$1032,MATCH($O54,Items!$A$2:$A$1032,0))</f>
        <v>#N/A</v>
      </c>
    </row>
    <row r="55" spans="1:18" x14ac:dyDescent="0.25">
      <c r="A55">
        <f t="shared" si="0"/>
        <v>1</v>
      </c>
      <c r="B55" t="str">
        <f t="shared" si="1"/>
        <v/>
      </c>
      <c r="C55">
        <f t="shared" si="5"/>
        <v>1</v>
      </c>
      <c r="D55" s="4"/>
      <c r="E55" t="s">
        <v>18</v>
      </c>
      <c r="F55" t="str">
        <f>INDEX(Establishment!B$2:B$1005,MATCH($E55,Establishment!$A$2:$A$1005,0))</f>
        <v xml:space="preserve"> </v>
      </c>
      <c r="G55" t="str">
        <f>INDEX(Establishment!C$2:C$1005,MATCH($E55,Establishment!$A$2:$A$1005,0))</f>
        <v xml:space="preserve"> </v>
      </c>
      <c r="M55">
        <f t="shared" si="6"/>
        <v>0</v>
      </c>
      <c r="N55">
        <f t="shared" si="4"/>
        <v>0</v>
      </c>
      <c r="P55" t="e">
        <f>INDEX(Items!B$2:B$1032,MATCH($O55,Items!$A$2:$A$1032,0))</f>
        <v>#N/A</v>
      </c>
      <c r="Q55" t="e">
        <f>INDEX(Items!C$2:C$1032,MATCH($O55,Items!$A$2:$A$1032,0))</f>
        <v>#N/A</v>
      </c>
      <c r="R55" t="e">
        <f>INDEX(Items!D$2:D$1032,MATCH($O55,Items!$A$2:$A$1032,0))</f>
        <v>#N/A</v>
      </c>
    </row>
    <row r="56" spans="1:18" x14ac:dyDescent="0.25">
      <c r="A56">
        <f t="shared" si="0"/>
        <v>1</v>
      </c>
      <c r="B56" t="str">
        <f t="shared" si="1"/>
        <v/>
      </c>
      <c r="C56">
        <f t="shared" si="5"/>
        <v>1</v>
      </c>
      <c r="D56" s="4"/>
      <c r="E56" t="s">
        <v>18</v>
      </c>
      <c r="F56" t="str">
        <f>INDEX(Establishment!B$2:B$1005,MATCH($E56,Establishment!$A$2:$A$1005,0))</f>
        <v xml:space="preserve"> </v>
      </c>
      <c r="G56" t="str">
        <f>INDEX(Establishment!C$2:C$1005,MATCH($E56,Establishment!$A$2:$A$1005,0))</f>
        <v xml:space="preserve"> </v>
      </c>
      <c r="M56">
        <f t="shared" si="6"/>
        <v>0</v>
      </c>
      <c r="N56">
        <f t="shared" si="4"/>
        <v>0</v>
      </c>
      <c r="P56" t="e">
        <f>INDEX(Items!B$2:B$1032,MATCH($O56,Items!$A$2:$A$1032,0))</f>
        <v>#N/A</v>
      </c>
      <c r="Q56" t="e">
        <f>INDEX(Items!C$2:C$1032,MATCH($O56,Items!$A$2:$A$1032,0))</f>
        <v>#N/A</v>
      </c>
      <c r="R56" t="e">
        <f>INDEX(Items!D$2:D$1032,MATCH($O56,Items!$A$2:$A$1032,0))</f>
        <v>#N/A</v>
      </c>
    </row>
    <row r="57" spans="1:18" x14ac:dyDescent="0.25">
      <c r="A57">
        <f t="shared" si="0"/>
        <v>1</v>
      </c>
      <c r="B57" t="str">
        <f t="shared" si="1"/>
        <v/>
      </c>
      <c r="C57">
        <f t="shared" si="5"/>
        <v>1</v>
      </c>
      <c r="D57" s="4"/>
      <c r="E57" t="s">
        <v>18</v>
      </c>
      <c r="F57" t="str">
        <f>INDEX(Establishment!B$2:B$1005,MATCH($E57,Establishment!$A$2:$A$1005,0))</f>
        <v xml:space="preserve"> </v>
      </c>
      <c r="G57" t="str">
        <f>INDEX(Establishment!C$2:C$1005,MATCH($E57,Establishment!$A$2:$A$1005,0))</f>
        <v xml:space="preserve"> </v>
      </c>
      <c r="M57">
        <f t="shared" si="6"/>
        <v>0</v>
      </c>
      <c r="N57">
        <f t="shared" si="4"/>
        <v>0</v>
      </c>
      <c r="P57" t="e">
        <f>INDEX(Items!B$2:B$1032,MATCH($O57,Items!$A$2:$A$1032,0))</f>
        <v>#N/A</v>
      </c>
      <c r="Q57" t="e">
        <f>INDEX(Items!C$2:C$1032,MATCH($O57,Items!$A$2:$A$1032,0))</f>
        <v>#N/A</v>
      </c>
      <c r="R57" t="e">
        <f>INDEX(Items!D$2:D$1032,MATCH($O57,Items!$A$2:$A$1032,0))</f>
        <v>#N/A</v>
      </c>
    </row>
    <row r="58" spans="1:18" x14ac:dyDescent="0.25">
      <c r="A58">
        <f t="shared" si="0"/>
        <v>1</v>
      </c>
      <c r="B58" t="str">
        <f t="shared" si="1"/>
        <v/>
      </c>
      <c r="C58">
        <f t="shared" si="5"/>
        <v>1</v>
      </c>
      <c r="D58" s="4"/>
      <c r="E58" t="s">
        <v>18</v>
      </c>
      <c r="F58" t="str">
        <f>INDEX(Establishment!B$2:B$1005,MATCH($E58,Establishment!$A$2:$A$1005,0))</f>
        <v xml:space="preserve"> </v>
      </c>
      <c r="G58" t="str">
        <f>INDEX(Establishment!C$2:C$1005,MATCH($E58,Establishment!$A$2:$A$1005,0))</f>
        <v xml:space="preserve"> </v>
      </c>
      <c r="M58">
        <f t="shared" si="6"/>
        <v>0</v>
      </c>
      <c r="N58">
        <f t="shared" si="4"/>
        <v>0</v>
      </c>
      <c r="P58" t="e">
        <f>INDEX(Items!B$2:B$1032,MATCH($O58,Items!$A$2:$A$1032,0))</f>
        <v>#N/A</v>
      </c>
      <c r="Q58" t="e">
        <f>INDEX(Items!C$2:C$1032,MATCH($O58,Items!$A$2:$A$1032,0))</f>
        <v>#N/A</v>
      </c>
      <c r="R58" t="e">
        <f>INDEX(Items!D$2:D$1032,MATCH($O58,Items!$A$2:$A$1032,0))</f>
        <v>#N/A</v>
      </c>
    </row>
    <row r="59" spans="1:18" x14ac:dyDescent="0.25">
      <c r="A59">
        <f t="shared" si="0"/>
        <v>1</v>
      </c>
      <c r="B59" t="str">
        <f t="shared" si="1"/>
        <v/>
      </c>
      <c r="C59">
        <f t="shared" si="5"/>
        <v>1</v>
      </c>
      <c r="D59" s="4"/>
      <c r="E59" t="s">
        <v>18</v>
      </c>
      <c r="F59" t="str">
        <f>INDEX(Establishment!B$2:B$1005,MATCH($E59,Establishment!$A$2:$A$1005,0))</f>
        <v xml:space="preserve"> </v>
      </c>
      <c r="G59" t="str">
        <f>INDEX(Establishment!C$2:C$1005,MATCH($E59,Establishment!$A$2:$A$1005,0))</f>
        <v xml:space="preserve"> </v>
      </c>
      <c r="M59">
        <f t="shared" si="6"/>
        <v>0</v>
      </c>
      <c r="N59">
        <f t="shared" si="4"/>
        <v>0</v>
      </c>
      <c r="P59" t="e">
        <f>INDEX(Items!B$2:B$1032,MATCH($O59,Items!$A$2:$A$1032,0))</f>
        <v>#N/A</v>
      </c>
      <c r="Q59" t="e">
        <f>INDEX(Items!C$2:C$1032,MATCH($O59,Items!$A$2:$A$1032,0))</f>
        <v>#N/A</v>
      </c>
      <c r="R59" t="e">
        <f>INDEX(Items!D$2:D$1032,MATCH($O59,Items!$A$2:$A$1032,0))</f>
        <v>#N/A</v>
      </c>
    </row>
    <row r="60" spans="1:18" x14ac:dyDescent="0.25">
      <c r="A60">
        <f t="shared" si="0"/>
        <v>1</v>
      </c>
      <c r="B60" t="str">
        <f t="shared" si="1"/>
        <v/>
      </c>
      <c r="C60">
        <f t="shared" si="5"/>
        <v>1</v>
      </c>
      <c r="D60" s="4"/>
      <c r="E60" t="s">
        <v>18</v>
      </c>
      <c r="F60" t="str">
        <f>INDEX(Establishment!B$2:B$1005,MATCH($E60,Establishment!$A$2:$A$1005,0))</f>
        <v xml:space="preserve"> </v>
      </c>
      <c r="G60" t="str">
        <f>INDEX(Establishment!C$2:C$1005,MATCH($E60,Establishment!$A$2:$A$1005,0))</f>
        <v xml:space="preserve"> </v>
      </c>
      <c r="M60">
        <f t="shared" si="6"/>
        <v>0</v>
      </c>
      <c r="N60">
        <f t="shared" si="4"/>
        <v>0</v>
      </c>
      <c r="P60" t="e">
        <f>INDEX(Items!B$2:B$1032,MATCH($O60,Items!$A$2:$A$1032,0))</f>
        <v>#N/A</v>
      </c>
      <c r="Q60" t="e">
        <f>INDEX(Items!C$2:C$1032,MATCH($O60,Items!$A$2:$A$1032,0))</f>
        <v>#N/A</v>
      </c>
      <c r="R60" t="e">
        <f>INDEX(Items!D$2:D$1032,MATCH($O60,Items!$A$2:$A$1032,0))</f>
        <v>#N/A</v>
      </c>
    </row>
    <row r="61" spans="1:18" x14ac:dyDescent="0.25">
      <c r="A61">
        <f t="shared" si="0"/>
        <v>1</v>
      </c>
      <c r="B61" t="str">
        <f t="shared" si="1"/>
        <v/>
      </c>
      <c r="C61">
        <f t="shared" si="5"/>
        <v>1</v>
      </c>
      <c r="D61" s="4"/>
      <c r="E61" t="s">
        <v>18</v>
      </c>
      <c r="F61" t="str">
        <f>INDEX(Establishment!B$2:B$1005,MATCH($E61,Establishment!$A$2:$A$1005,0))</f>
        <v xml:space="preserve"> </v>
      </c>
      <c r="G61" t="str">
        <f>INDEX(Establishment!C$2:C$1005,MATCH($E61,Establishment!$A$2:$A$1005,0))</f>
        <v xml:space="preserve"> </v>
      </c>
      <c r="M61">
        <f t="shared" si="6"/>
        <v>0</v>
      </c>
      <c r="N61">
        <f t="shared" si="4"/>
        <v>0</v>
      </c>
      <c r="P61" t="e">
        <f>INDEX(Items!B$2:B$1032,MATCH($O61,Items!$A$2:$A$1032,0))</f>
        <v>#N/A</v>
      </c>
      <c r="Q61" t="e">
        <f>INDEX(Items!C$2:C$1032,MATCH($O61,Items!$A$2:$A$1032,0))</f>
        <v>#N/A</v>
      </c>
      <c r="R61" t="e">
        <f>INDEX(Items!D$2:D$1032,MATCH($O61,Items!$A$2:$A$1032,0))</f>
        <v>#N/A</v>
      </c>
    </row>
    <row r="62" spans="1:18" x14ac:dyDescent="0.25">
      <c r="A62">
        <f t="shared" si="0"/>
        <v>1</v>
      </c>
      <c r="B62" t="str">
        <f t="shared" si="1"/>
        <v/>
      </c>
      <c r="C62">
        <f t="shared" si="5"/>
        <v>1</v>
      </c>
      <c r="D62" s="4"/>
      <c r="E62" t="s">
        <v>18</v>
      </c>
      <c r="F62" t="str">
        <f>INDEX(Establishment!B$2:B$1005,MATCH($E62,Establishment!$A$2:$A$1005,0))</f>
        <v xml:space="preserve"> </v>
      </c>
      <c r="G62" t="str">
        <f>INDEX(Establishment!C$2:C$1005,MATCH($E62,Establishment!$A$2:$A$1005,0))</f>
        <v xml:space="preserve"> </v>
      </c>
      <c r="M62">
        <f t="shared" si="6"/>
        <v>0</v>
      </c>
      <c r="N62">
        <f t="shared" si="4"/>
        <v>0</v>
      </c>
      <c r="P62" t="e">
        <f>INDEX(Items!B$2:B$1032,MATCH($O62,Items!$A$2:$A$1032,0))</f>
        <v>#N/A</v>
      </c>
      <c r="Q62" t="e">
        <f>INDEX(Items!C$2:C$1032,MATCH($O62,Items!$A$2:$A$1032,0))</f>
        <v>#N/A</v>
      </c>
      <c r="R62" t="e">
        <f>INDEX(Items!D$2:D$1032,MATCH($O62,Items!$A$2:$A$1032,0))</f>
        <v>#N/A</v>
      </c>
    </row>
    <row r="63" spans="1:18" x14ac:dyDescent="0.25">
      <c r="A63">
        <f t="shared" si="0"/>
        <v>1</v>
      </c>
      <c r="B63" t="str">
        <f t="shared" si="1"/>
        <v/>
      </c>
      <c r="C63">
        <f t="shared" si="5"/>
        <v>1</v>
      </c>
      <c r="D63" s="4"/>
      <c r="E63" t="s">
        <v>18</v>
      </c>
      <c r="F63" t="str">
        <f>INDEX(Establishment!B$2:B$1005,MATCH($E63,Establishment!$A$2:$A$1005,0))</f>
        <v xml:space="preserve"> </v>
      </c>
      <c r="G63" t="str">
        <f>INDEX(Establishment!C$2:C$1005,MATCH($E63,Establishment!$A$2:$A$1005,0))</f>
        <v xml:space="preserve"> </v>
      </c>
      <c r="M63">
        <f t="shared" si="6"/>
        <v>0</v>
      </c>
      <c r="N63">
        <f t="shared" si="4"/>
        <v>0</v>
      </c>
      <c r="P63" t="e">
        <f>INDEX(Items!B$2:B$1032,MATCH($O63,Items!$A$2:$A$1032,0))</f>
        <v>#N/A</v>
      </c>
      <c r="Q63" t="e">
        <f>INDEX(Items!C$2:C$1032,MATCH($O63,Items!$A$2:$A$1032,0))</f>
        <v>#N/A</v>
      </c>
      <c r="R63" t="e">
        <f>INDEX(Items!D$2:D$1032,MATCH($O63,Items!$A$2:$A$1032,0))</f>
        <v>#N/A</v>
      </c>
    </row>
    <row r="64" spans="1:18" x14ac:dyDescent="0.25">
      <c r="A64">
        <f t="shared" si="0"/>
        <v>1</v>
      </c>
      <c r="B64" t="str">
        <f t="shared" si="1"/>
        <v/>
      </c>
      <c r="C64">
        <f t="shared" si="5"/>
        <v>1</v>
      </c>
      <c r="D64" s="4"/>
      <c r="E64" t="s">
        <v>18</v>
      </c>
      <c r="F64" t="str">
        <f>INDEX(Establishment!B$2:B$1005,MATCH($E64,Establishment!$A$2:$A$1005,0))</f>
        <v xml:space="preserve"> </v>
      </c>
      <c r="G64" t="str">
        <f>INDEX(Establishment!C$2:C$1005,MATCH($E64,Establishment!$A$2:$A$1005,0))</f>
        <v xml:space="preserve"> </v>
      </c>
      <c r="M64">
        <f t="shared" si="6"/>
        <v>0</v>
      </c>
      <c r="N64">
        <f t="shared" si="4"/>
        <v>0</v>
      </c>
      <c r="P64" t="e">
        <f>INDEX(Items!B$2:B$1032,MATCH($O64,Items!$A$2:$A$1032,0))</f>
        <v>#N/A</v>
      </c>
      <c r="Q64" t="e">
        <f>INDEX(Items!C$2:C$1032,MATCH($O64,Items!$A$2:$A$1032,0))</f>
        <v>#N/A</v>
      </c>
      <c r="R64" t="e">
        <f>INDEX(Items!D$2:D$1032,MATCH($O64,Items!$A$2:$A$1032,0))</f>
        <v>#N/A</v>
      </c>
    </row>
    <row r="65" spans="1:18" x14ac:dyDescent="0.25">
      <c r="A65">
        <f t="shared" si="0"/>
        <v>1</v>
      </c>
      <c r="B65" t="str">
        <f t="shared" si="1"/>
        <v/>
      </c>
      <c r="C65">
        <f t="shared" si="5"/>
        <v>1</v>
      </c>
      <c r="D65" s="4"/>
      <c r="E65" t="s">
        <v>18</v>
      </c>
      <c r="F65" t="str">
        <f>INDEX(Establishment!B$2:B$1005,MATCH($E65,Establishment!$A$2:$A$1005,0))</f>
        <v xml:space="preserve"> </v>
      </c>
      <c r="G65" t="str">
        <f>INDEX(Establishment!C$2:C$1005,MATCH($E65,Establishment!$A$2:$A$1005,0))</f>
        <v xml:space="preserve"> </v>
      </c>
      <c r="M65">
        <f t="shared" si="6"/>
        <v>0</v>
      </c>
      <c r="N65">
        <f t="shared" si="4"/>
        <v>0</v>
      </c>
      <c r="P65" t="e">
        <f>INDEX(Items!B$2:B$1032,MATCH($O65,Items!$A$2:$A$1032,0))</f>
        <v>#N/A</v>
      </c>
      <c r="Q65" t="e">
        <f>INDEX(Items!C$2:C$1032,MATCH($O65,Items!$A$2:$A$1032,0))</f>
        <v>#N/A</v>
      </c>
      <c r="R65" t="e">
        <f>INDEX(Items!D$2:D$1032,MATCH($O65,Items!$A$2:$A$1032,0))</f>
        <v>#N/A</v>
      </c>
    </row>
    <row r="66" spans="1:18" x14ac:dyDescent="0.25">
      <c r="A66">
        <f t="shared" ref="A66:A129" si="8">IF(OR(D66&lt;&gt;D65,D66=""),1,IF(NOT(AND(E66=E65,F66=F65,G66=G65)),A65+1,IF(OR(H66="",AND(H66&lt;&gt;"",H66&lt;&gt;H65,H65&lt;&gt;"")),A65,A65+1)))</f>
        <v>1</v>
      </c>
      <c r="B66" t="str">
        <f t="shared" ref="B66:B129" si="9">IF(D66&lt;&gt;"",TEXT(D66,"YYYYMMDD")&amp;CHAR(64+A66),"")</f>
        <v/>
      </c>
      <c r="C66">
        <f t="shared" si="5"/>
        <v>1</v>
      </c>
      <c r="D66" s="4"/>
      <c r="E66" t="s">
        <v>18</v>
      </c>
      <c r="F66" t="str">
        <f>INDEX(Establishment!B$2:B$1005,MATCH($E66,Establishment!$A$2:$A$1005,0))</f>
        <v xml:space="preserve"> </v>
      </c>
      <c r="G66" t="str">
        <f>INDEX(Establishment!C$2:C$1005,MATCH($E66,Establishment!$A$2:$A$1005,0))</f>
        <v xml:space="preserve"> </v>
      </c>
      <c r="M66">
        <f t="shared" si="6"/>
        <v>0</v>
      </c>
      <c r="N66">
        <f t="shared" si="4"/>
        <v>0</v>
      </c>
      <c r="P66" t="e">
        <f>INDEX(Items!B$2:B$1032,MATCH($O66,Items!$A$2:$A$1032,0))</f>
        <v>#N/A</v>
      </c>
      <c r="Q66" t="e">
        <f>INDEX(Items!C$2:C$1032,MATCH($O66,Items!$A$2:$A$1032,0))</f>
        <v>#N/A</v>
      </c>
      <c r="R66" t="e">
        <f>INDEX(Items!D$2:D$1032,MATCH($O66,Items!$A$2:$A$1032,0))</f>
        <v>#N/A</v>
      </c>
    </row>
    <row r="67" spans="1:18" x14ac:dyDescent="0.25">
      <c r="A67">
        <f t="shared" si="8"/>
        <v>1</v>
      </c>
      <c r="B67" t="str">
        <f t="shared" si="9"/>
        <v/>
      </c>
      <c r="C67">
        <f t="shared" si="5"/>
        <v>1</v>
      </c>
      <c r="D67" s="4"/>
      <c r="E67" t="s">
        <v>18</v>
      </c>
      <c r="F67" t="str">
        <f>INDEX(Establishment!B$2:B$1005,MATCH($E67,Establishment!$A$2:$A$1005,0))</f>
        <v xml:space="preserve"> </v>
      </c>
      <c r="G67" t="str">
        <f>INDEX(Establishment!C$2:C$1005,MATCH($E67,Establishment!$A$2:$A$1005,0))</f>
        <v xml:space="preserve"> </v>
      </c>
      <c r="M67">
        <f t="shared" si="6"/>
        <v>0</v>
      </c>
      <c r="N67">
        <f t="shared" ref="N67:N130" si="10">IF(B67=B66,N66+M67,M67)</f>
        <v>0</v>
      </c>
      <c r="P67" t="e">
        <f>INDEX(Items!B$2:B$1032,MATCH($O67,Items!$A$2:$A$1032,0))</f>
        <v>#N/A</v>
      </c>
      <c r="Q67" t="e">
        <f>INDEX(Items!C$2:C$1032,MATCH($O67,Items!$A$2:$A$1032,0))</f>
        <v>#N/A</v>
      </c>
      <c r="R67" t="e">
        <f>INDEX(Items!D$2:D$1032,MATCH($O67,Items!$A$2:$A$1032,0))</f>
        <v>#N/A</v>
      </c>
    </row>
    <row r="68" spans="1:18" x14ac:dyDescent="0.25">
      <c r="A68">
        <f t="shared" si="8"/>
        <v>1</v>
      </c>
      <c r="B68" t="str">
        <f t="shared" si="9"/>
        <v/>
      </c>
      <c r="C68">
        <f t="shared" si="5"/>
        <v>1</v>
      </c>
      <c r="D68" s="4"/>
      <c r="E68" t="s">
        <v>18</v>
      </c>
      <c r="F68" t="str">
        <f>INDEX(Establishment!B$2:B$1005,MATCH($E68,Establishment!$A$2:$A$1005,0))</f>
        <v xml:space="preserve"> </v>
      </c>
      <c r="G68" t="str">
        <f>INDEX(Establishment!C$2:C$1005,MATCH($E68,Establishment!$A$2:$A$1005,0))</f>
        <v xml:space="preserve"> </v>
      </c>
      <c r="M68">
        <f t="shared" si="6"/>
        <v>0</v>
      </c>
      <c r="N68">
        <f t="shared" si="10"/>
        <v>0</v>
      </c>
      <c r="P68" t="e">
        <f>INDEX(Items!B$2:B$1032,MATCH($O68,Items!$A$2:$A$1032,0))</f>
        <v>#N/A</v>
      </c>
      <c r="Q68" t="e">
        <f>INDEX(Items!C$2:C$1032,MATCH($O68,Items!$A$2:$A$1032,0))</f>
        <v>#N/A</v>
      </c>
      <c r="R68" t="e">
        <f>INDEX(Items!D$2:D$1032,MATCH($O68,Items!$A$2:$A$1032,0))</f>
        <v>#N/A</v>
      </c>
    </row>
    <row r="69" spans="1:18" x14ac:dyDescent="0.25">
      <c r="A69">
        <f t="shared" si="8"/>
        <v>1</v>
      </c>
      <c r="B69" t="str">
        <f t="shared" si="9"/>
        <v/>
      </c>
      <c r="C69">
        <f t="shared" si="5"/>
        <v>1</v>
      </c>
      <c r="D69" s="4"/>
      <c r="E69" t="s">
        <v>18</v>
      </c>
      <c r="F69" t="str">
        <f>INDEX(Establishment!B$2:B$1005,MATCH($E69,Establishment!$A$2:$A$1005,0))</f>
        <v xml:space="preserve"> </v>
      </c>
      <c r="G69" t="str">
        <f>INDEX(Establishment!C$2:C$1005,MATCH($E69,Establishment!$A$2:$A$1005,0))</f>
        <v xml:space="preserve"> </v>
      </c>
      <c r="M69">
        <f t="shared" si="6"/>
        <v>0</v>
      </c>
      <c r="N69">
        <f t="shared" si="10"/>
        <v>0</v>
      </c>
      <c r="P69" t="e">
        <f>INDEX(Items!B$2:B$1032,MATCH($O69,Items!$A$2:$A$1032,0))</f>
        <v>#N/A</v>
      </c>
      <c r="Q69" t="e">
        <f>INDEX(Items!C$2:C$1032,MATCH($O69,Items!$A$2:$A$1032,0))</f>
        <v>#N/A</v>
      </c>
      <c r="R69" t="e">
        <f>INDEX(Items!D$2:D$1032,MATCH($O69,Items!$A$2:$A$1032,0))</f>
        <v>#N/A</v>
      </c>
    </row>
    <row r="70" spans="1:18" x14ac:dyDescent="0.25">
      <c r="A70">
        <f t="shared" si="8"/>
        <v>1</v>
      </c>
      <c r="B70" t="str">
        <f t="shared" si="9"/>
        <v/>
      </c>
      <c r="C70">
        <f t="shared" si="5"/>
        <v>1</v>
      </c>
      <c r="D70" s="4"/>
      <c r="E70" t="s">
        <v>18</v>
      </c>
      <c r="F70" t="str">
        <f>INDEX(Establishment!B$2:B$1005,MATCH($E70,Establishment!$A$2:$A$1005,0))</f>
        <v xml:space="preserve"> </v>
      </c>
      <c r="G70" t="str">
        <f>INDEX(Establishment!C$2:C$1005,MATCH($E70,Establishment!$A$2:$A$1005,0))</f>
        <v xml:space="preserve"> </v>
      </c>
      <c r="M70">
        <f t="shared" si="6"/>
        <v>0</v>
      </c>
      <c r="N70">
        <f t="shared" si="10"/>
        <v>0</v>
      </c>
      <c r="P70" t="e">
        <f>INDEX(Items!B$2:B$1032,MATCH($O70,Items!$A$2:$A$1032,0))</f>
        <v>#N/A</v>
      </c>
      <c r="Q70" t="e">
        <f>INDEX(Items!C$2:C$1032,MATCH($O70,Items!$A$2:$A$1032,0))</f>
        <v>#N/A</v>
      </c>
      <c r="R70" t="e">
        <f>INDEX(Items!D$2:D$1032,MATCH($O70,Items!$A$2:$A$1032,0))</f>
        <v>#N/A</v>
      </c>
    </row>
    <row r="71" spans="1:18" x14ac:dyDescent="0.25">
      <c r="A71">
        <f t="shared" si="8"/>
        <v>1</v>
      </c>
      <c r="B71" t="str">
        <f t="shared" si="9"/>
        <v/>
      </c>
      <c r="C71">
        <f t="shared" si="5"/>
        <v>1</v>
      </c>
      <c r="D71" s="4"/>
      <c r="E71" t="s">
        <v>18</v>
      </c>
      <c r="F71" t="str">
        <f>INDEX(Establishment!B$2:B$1005,MATCH($E71,Establishment!$A$2:$A$1005,0))</f>
        <v xml:space="preserve"> </v>
      </c>
      <c r="G71" t="str">
        <f>INDEX(Establishment!C$2:C$1005,MATCH($E71,Establishment!$A$2:$A$1005,0))</f>
        <v xml:space="preserve"> </v>
      </c>
      <c r="M71">
        <f t="shared" si="6"/>
        <v>0</v>
      </c>
      <c r="N71">
        <f t="shared" si="10"/>
        <v>0</v>
      </c>
      <c r="P71" t="e">
        <f>INDEX(Items!B$2:B$1032,MATCH($O71,Items!$A$2:$A$1032,0))</f>
        <v>#N/A</v>
      </c>
      <c r="Q71" t="e">
        <f>INDEX(Items!C$2:C$1032,MATCH($O71,Items!$A$2:$A$1032,0))</f>
        <v>#N/A</v>
      </c>
      <c r="R71" t="e">
        <f>INDEX(Items!D$2:D$1032,MATCH($O71,Items!$A$2:$A$1032,0))</f>
        <v>#N/A</v>
      </c>
    </row>
    <row r="72" spans="1:18" x14ac:dyDescent="0.25">
      <c r="A72">
        <f t="shared" si="8"/>
        <v>1</v>
      </c>
      <c r="B72" t="str">
        <f t="shared" si="9"/>
        <v/>
      </c>
      <c r="C72">
        <f t="shared" si="5"/>
        <v>1</v>
      </c>
      <c r="D72" s="4"/>
      <c r="E72" t="s">
        <v>18</v>
      </c>
      <c r="F72" t="str">
        <f>INDEX(Establishment!B$2:B$1005,MATCH($E72,Establishment!$A$2:$A$1005,0))</f>
        <v xml:space="preserve"> </v>
      </c>
      <c r="G72" t="str">
        <f>INDEX(Establishment!C$2:C$1005,MATCH($E72,Establishment!$A$2:$A$1005,0))</f>
        <v xml:space="preserve"> </v>
      </c>
      <c r="M72">
        <f t="shared" si="6"/>
        <v>0</v>
      </c>
      <c r="N72">
        <f t="shared" si="10"/>
        <v>0</v>
      </c>
      <c r="P72" t="e">
        <f>INDEX(Items!B$2:B$1032,MATCH($O72,Items!$A$2:$A$1032,0))</f>
        <v>#N/A</v>
      </c>
      <c r="Q72" t="e">
        <f>INDEX(Items!C$2:C$1032,MATCH($O72,Items!$A$2:$A$1032,0))</f>
        <v>#N/A</v>
      </c>
      <c r="R72" t="e">
        <f>INDEX(Items!D$2:D$1032,MATCH($O72,Items!$A$2:$A$1032,0))</f>
        <v>#N/A</v>
      </c>
    </row>
    <row r="73" spans="1:18" x14ac:dyDescent="0.25">
      <c r="A73">
        <f t="shared" si="8"/>
        <v>1</v>
      </c>
      <c r="B73" t="str">
        <f t="shared" si="9"/>
        <v/>
      </c>
      <c r="C73">
        <f t="shared" si="5"/>
        <v>1</v>
      </c>
      <c r="D73" s="4"/>
      <c r="E73" t="s">
        <v>18</v>
      </c>
      <c r="F73" t="str">
        <f>INDEX(Establishment!B$2:B$1005,MATCH($E73,Establishment!$A$2:$A$1005,0))</f>
        <v xml:space="preserve"> </v>
      </c>
      <c r="G73" t="str">
        <f>INDEX(Establishment!C$2:C$1005,MATCH($E73,Establishment!$A$2:$A$1005,0))</f>
        <v xml:space="preserve"> </v>
      </c>
      <c r="M73">
        <f t="shared" si="6"/>
        <v>0</v>
      </c>
      <c r="N73">
        <f t="shared" si="10"/>
        <v>0</v>
      </c>
      <c r="P73" t="e">
        <f>INDEX(Items!B$2:B$1032,MATCH($O73,Items!$A$2:$A$1032,0))</f>
        <v>#N/A</v>
      </c>
      <c r="Q73" t="e">
        <f>INDEX(Items!C$2:C$1032,MATCH($O73,Items!$A$2:$A$1032,0))</f>
        <v>#N/A</v>
      </c>
      <c r="R73" t="e">
        <f>INDEX(Items!D$2:D$1032,MATCH($O73,Items!$A$2:$A$1032,0))</f>
        <v>#N/A</v>
      </c>
    </row>
    <row r="74" spans="1:18" x14ac:dyDescent="0.25">
      <c r="A74">
        <f t="shared" si="8"/>
        <v>1</v>
      </c>
      <c r="B74" t="str">
        <f t="shared" si="9"/>
        <v/>
      </c>
      <c r="C74">
        <f t="shared" ref="C74:C137" si="11">IF(OR(B74="",B74&lt;&gt;B73),1,C73+1)</f>
        <v>1</v>
      </c>
      <c r="D74" s="4"/>
      <c r="E74" t="s">
        <v>18</v>
      </c>
      <c r="F74" t="str">
        <f>INDEX(Establishment!B$2:B$1005,MATCH($E74,Establishment!$A$2:$A$1005,0))</f>
        <v xml:space="preserve"> </v>
      </c>
      <c r="G74" t="str">
        <f>INDEX(Establishment!C$2:C$1005,MATCH($E74,Establishment!$A$2:$A$1005,0))</f>
        <v xml:space="preserve"> </v>
      </c>
      <c r="M74">
        <f t="shared" ref="M74:M137" si="12">K74*L74</f>
        <v>0</v>
      </c>
      <c r="N74">
        <f t="shared" si="10"/>
        <v>0</v>
      </c>
      <c r="P74" t="e">
        <f>INDEX(Items!B$2:B$1032,MATCH($O74,Items!$A$2:$A$1032,0))</f>
        <v>#N/A</v>
      </c>
      <c r="Q74" t="e">
        <f>INDEX(Items!C$2:C$1032,MATCH($O74,Items!$A$2:$A$1032,0))</f>
        <v>#N/A</v>
      </c>
      <c r="R74" t="e">
        <f>INDEX(Items!D$2:D$1032,MATCH($O74,Items!$A$2:$A$1032,0))</f>
        <v>#N/A</v>
      </c>
    </row>
    <row r="75" spans="1:18" x14ac:dyDescent="0.25">
      <c r="A75">
        <f t="shared" si="8"/>
        <v>1</v>
      </c>
      <c r="B75" t="str">
        <f t="shared" si="9"/>
        <v/>
      </c>
      <c r="C75">
        <f t="shared" si="11"/>
        <v>1</v>
      </c>
      <c r="D75" s="4"/>
      <c r="E75" t="s">
        <v>18</v>
      </c>
      <c r="F75" t="str">
        <f>INDEX(Establishment!B$2:B$1005,MATCH($E75,Establishment!$A$2:$A$1005,0))</f>
        <v xml:space="preserve"> </v>
      </c>
      <c r="G75" t="str">
        <f>INDEX(Establishment!C$2:C$1005,MATCH($E75,Establishment!$A$2:$A$1005,0))</f>
        <v xml:space="preserve"> </v>
      </c>
      <c r="M75">
        <f t="shared" si="12"/>
        <v>0</v>
      </c>
      <c r="N75">
        <f t="shared" si="10"/>
        <v>0</v>
      </c>
      <c r="P75" t="e">
        <f>INDEX(Items!B$2:B$1032,MATCH($O75,Items!$A$2:$A$1032,0))</f>
        <v>#N/A</v>
      </c>
      <c r="Q75" t="e">
        <f>INDEX(Items!C$2:C$1032,MATCH($O75,Items!$A$2:$A$1032,0))</f>
        <v>#N/A</v>
      </c>
      <c r="R75" t="e">
        <f>INDEX(Items!D$2:D$1032,MATCH($O75,Items!$A$2:$A$1032,0))</f>
        <v>#N/A</v>
      </c>
    </row>
    <row r="76" spans="1:18" x14ac:dyDescent="0.25">
      <c r="A76">
        <f t="shared" si="8"/>
        <v>1</v>
      </c>
      <c r="B76" t="str">
        <f t="shared" si="9"/>
        <v/>
      </c>
      <c r="C76">
        <f t="shared" si="11"/>
        <v>1</v>
      </c>
      <c r="D76" s="4"/>
      <c r="E76" t="s">
        <v>18</v>
      </c>
      <c r="F76" t="str">
        <f>INDEX(Establishment!B$2:B$1005,MATCH($E76,Establishment!$A$2:$A$1005,0))</f>
        <v xml:space="preserve"> </v>
      </c>
      <c r="G76" t="str">
        <f>INDEX(Establishment!C$2:C$1005,MATCH($E76,Establishment!$A$2:$A$1005,0))</f>
        <v xml:space="preserve"> </v>
      </c>
      <c r="M76">
        <f t="shared" si="12"/>
        <v>0</v>
      </c>
      <c r="N76">
        <f t="shared" si="10"/>
        <v>0</v>
      </c>
      <c r="P76" t="e">
        <f>INDEX(Items!B$2:B$1032,MATCH($O76,Items!$A$2:$A$1032,0))</f>
        <v>#N/A</v>
      </c>
      <c r="Q76" t="e">
        <f>INDEX(Items!C$2:C$1032,MATCH($O76,Items!$A$2:$A$1032,0))</f>
        <v>#N/A</v>
      </c>
      <c r="R76" t="e">
        <f>INDEX(Items!D$2:D$1032,MATCH($O76,Items!$A$2:$A$1032,0))</f>
        <v>#N/A</v>
      </c>
    </row>
    <row r="77" spans="1:18" x14ac:dyDescent="0.25">
      <c r="A77">
        <f t="shared" si="8"/>
        <v>1</v>
      </c>
      <c r="B77" t="str">
        <f t="shared" si="9"/>
        <v/>
      </c>
      <c r="C77">
        <f t="shared" si="11"/>
        <v>1</v>
      </c>
      <c r="D77" s="4"/>
      <c r="E77" t="s">
        <v>18</v>
      </c>
      <c r="F77" t="str">
        <f>INDEX(Establishment!B$2:B$1005,MATCH($E77,Establishment!$A$2:$A$1005,0))</f>
        <v xml:space="preserve"> </v>
      </c>
      <c r="G77" t="str">
        <f>INDEX(Establishment!C$2:C$1005,MATCH($E77,Establishment!$A$2:$A$1005,0))</f>
        <v xml:space="preserve"> </v>
      </c>
      <c r="M77">
        <f t="shared" si="12"/>
        <v>0</v>
      </c>
      <c r="N77">
        <f t="shared" si="10"/>
        <v>0</v>
      </c>
      <c r="P77" t="e">
        <f>INDEX(Items!B$2:B$1032,MATCH($O77,Items!$A$2:$A$1032,0))</f>
        <v>#N/A</v>
      </c>
      <c r="Q77" t="e">
        <f>INDEX(Items!C$2:C$1032,MATCH($O77,Items!$A$2:$A$1032,0))</f>
        <v>#N/A</v>
      </c>
      <c r="R77" t="e">
        <f>INDEX(Items!D$2:D$1032,MATCH($O77,Items!$A$2:$A$1032,0))</f>
        <v>#N/A</v>
      </c>
    </row>
    <row r="78" spans="1:18" x14ac:dyDescent="0.25">
      <c r="A78">
        <f t="shared" si="8"/>
        <v>1</v>
      </c>
      <c r="B78" t="str">
        <f t="shared" si="9"/>
        <v/>
      </c>
      <c r="C78">
        <f t="shared" si="11"/>
        <v>1</v>
      </c>
      <c r="D78" s="4"/>
      <c r="E78" t="s">
        <v>18</v>
      </c>
      <c r="F78" t="str">
        <f>INDEX(Establishment!B$2:B$1005,MATCH($E78,Establishment!$A$2:$A$1005,0))</f>
        <v xml:space="preserve"> </v>
      </c>
      <c r="G78" t="str">
        <f>INDEX(Establishment!C$2:C$1005,MATCH($E78,Establishment!$A$2:$A$1005,0))</f>
        <v xml:space="preserve"> </v>
      </c>
      <c r="M78">
        <f t="shared" si="12"/>
        <v>0</v>
      </c>
      <c r="N78">
        <f t="shared" si="10"/>
        <v>0</v>
      </c>
      <c r="P78" t="e">
        <f>INDEX(Items!B$2:B$1032,MATCH($O78,Items!$A$2:$A$1032,0))</f>
        <v>#N/A</v>
      </c>
      <c r="Q78" t="e">
        <f>INDEX(Items!C$2:C$1032,MATCH($O78,Items!$A$2:$A$1032,0))</f>
        <v>#N/A</v>
      </c>
      <c r="R78" t="e">
        <f>INDEX(Items!D$2:D$1032,MATCH($O78,Items!$A$2:$A$1032,0))</f>
        <v>#N/A</v>
      </c>
    </row>
    <row r="79" spans="1:18" x14ac:dyDescent="0.25">
      <c r="A79">
        <f t="shared" si="8"/>
        <v>1</v>
      </c>
      <c r="B79" t="str">
        <f t="shared" si="9"/>
        <v/>
      </c>
      <c r="C79">
        <f t="shared" si="11"/>
        <v>1</v>
      </c>
      <c r="D79" s="4"/>
      <c r="E79" t="s">
        <v>18</v>
      </c>
      <c r="F79" t="str">
        <f>INDEX(Establishment!B$2:B$1005,MATCH($E79,Establishment!$A$2:$A$1005,0))</f>
        <v xml:space="preserve"> </v>
      </c>
      <c r="G79" t="str">
        <f>INDEX(Establishment!C$2:C$1005,MATCH($E79,Establishment!$A$2:$A$1005,0))</f>
        <v xml:space="preserve"> </v>
      </c>
      <c r="M79">
        <f t="shared" si="12"/>
        <v>0</v>
      </c>
      <c r="N79">
        <f t="shared" si="10"/>
        <v>0</v>
      </c>
      <c r="P79" t="e">
        <f>INDEX(Items!B$2:B$1032,MATCH($O79,Items!$A$2:$A$1032,0))</f>
        <v>#N/A</v>
      </c>
      <c r="Q79" t="e">
        <f>INDEX(Items!C$2:C$1032,MATCH($O79,Items!$A$2:$A$1032,0))</f>
        <v>#N/A</v>
      </c>
      <c r="R79" t="e">
        <f>INDEX(Items!D$2:D$1032,MATCH($O79,Items!$A$2:$A$1032,0))</f>
        <v>#N/A</v>
      </c>
    </row>
    <row r="80" spans="1:18" x14ac:dyDescent="0.25">
      <c r="A80">
        <f t="shared" si="8"/>
        <v>1</v>
      </c>
      <c r="B80" t="str">
        <f t="shared" si="9"/>
        <v/>
      </c>
      <c r="C80">
        <f t="shared" si="11"/>
        <v>1</v>
      </c>
      <c r="D80" s="4"/>
      <c r="E80" t="s">
        <v>18</v>
      </c>
      <c r="F80" t="str">
        <f>INDEX(Establishment!B$2:B$1005,MATCH($E80,Establishment!$A$2:$A$1005,0))</f>
        <v xml:space="preserve"> </v>
      </c>
      <c r="G80" t="str">
        <f>INDEX(Establishment!C$2:C$1005,MATCH($E80,Establishment!$A$2:$A$1005,0))</f>
        <v xml:space="preserve"> </v>
      </c>
      <c r="M80">
        <f t="shared" si="12"/>
        <v>0</v>
      </c>
      <c r="N80">
        <f t="shared" si="10"/>
        <v>0</v>
      </c>
      <c r="P80" t="e">
        <f>INDEX(Items!B$2:B$1032,MATCH($O80,Items!$A$2:$A$1032,0))</f>
        <v>#N/A</v>
      </c>
      <c r="Q80" t="e">
        <f>INDEX(Items!C$2:C$1032,MATCH($O80,Items!$A$2:$A$1032,0))</f>
        <v>#N/A</v>
      </c>
      <c r="R80" t="e">
        <f>INDEX(Items!D$2:D$1032,MATCH($O80,Items!$A$2:$A$1032,0))</f>
        <v>#N/A</v>
      </c>
    </row>
    <row r="81" spans="1:18" x14ac:dyDescent="0.25">
      <c r="A81">
        <f t="shared" si="8"/>
        <v>1</v>
      </c>
      <c r="B81" t="str">
        <f t="shared" si="9"/>
        <v/>
      </c>
      <c r="C81">
        <f t="shared" si="11"/>
        <v>1</v>
      </c>
      <c r="D81" s="4"/>
      <c r="E81" t="s">
        <v>18</v>
      </c>
      <c r="F81" t="str">
        <f>INDEX(Establishment!B$2:B$1005,MATCH($E81,Establishment!$A$2:$A$1005,0))</f>
        <v xml:space="preserve"> </v>
      </c>
      <c r="G81" t="str">
        <f>INDEX(Establishment!C$2:C$1005,MATCH($E81,Establishment!$A$2:$A$1005,0))</f>
        <v xml:space="preserve"> </v>
      </c>
      <c r="M81">
        <f t="shared" si="12"/>
        <v>0</v>
      </c>
      <c r="N81">
        <f t="shared" si="10"/>
        <v>0</v>
      </c>
      <c r="P81" t="e">
        <f>INDEX(Items!B$2:B$1032,MATCH($O81,Items!$A$2:$A$1032,0))</f>
        <v>#N/A</v>
      </c>
      <c r="Q81" t="e">
        <f>INDEX(Items!C$2:C$1032,MATCH($O81,Items!$A$2:$A$1032,0))</f>
        <v>#N/A</v>
      </c>
      <c r="R81" t="e">
        <f>INDEX(Items!D$2:D$1032,MATCH($O81,Items!$A$2:$A$1032,0))</f>
        <v>#N/A</v>
      </c>
    </row>
    <row r="82" spans="1:18" x14ac:dyDescent="0.25">
      <c r="A82">
        <f t="shared" si="8"/>
        <v>1</v>
      </c>
      <c r="B82" t="str">
        <f t="shared" si="9"/>
        <v/>
      </c>
      <c r="C82">
        <f t="shared" si="11"/>
        <v>1</v>
      </c>
      <c r="D82" s="4"/>
      <c r="E82" t="s">
        <v>18</v>
      </c>
      <c r="F82" t="str">
        <f>INDEX(Establishment!B$2:B$1005,MATCH($E82,Establishment!$A$2:$A$1005,0))</f>
        <v xml:space="preserve"> </v>
      </c>
      <c r="G82" t="str">
        <f>INDEX(Establishment!C$2:C$1005,MATCH($E82,Establishment!$A$2:$A$1005,0))</f>
        <v xml:space="preserve"> </v>
      </c>
      <c r="M82">
        <f t="shared" si="12"/>
        <v>0</v>
      </c>
      <c r="N82">
        <f t="shared" si="10"/>
        <v>0</v>
      </c>
      <c r="P82" t="e">
        <f>INDEX(Items!B$2:B$1032,MATCH($O82,Items!$A$2:$A$1032,0))</f>
        <v>#N/A</v>
      </c>
      <c r="Q82" t="e">
        <f>INDEX(Items!C$2:C$1032,MATCH($O82,Items!$A$2:$A$1032,0))</f>
        <v>#N/A</v>
      </c>
      <c r="R82" t="e">
        <f>INDEX(Items!D$2:D$1032,MATCH($O82,Items!$A$2:$A$1032,0))</f>
        <v>#N/A</v>
      </c>
    </row>
    <row r="83" spans="1:18" x14ac:dyDescent="0.25">
      <c r="A83">
        <f t="shared" si="8"/>
        <v>1</v>
      </c>
      <c r="B83" t="str">
        <f t="shared" si="9"/>
        <v/>
      </c>
      <c r="C83">
        <f t="shared" si="11"/>
        <v>1</v>
      </c>
      <c r="D83" s="4"/>
      <c r="E83" t="s">
        <v>18</v>
      </c>
      <c r="F83" t="str">
        <f>INDEX(Establishment!B$2:B$1005,MATCH($E83,Establishment!$A$2:$A$1005,0))</f>
        <v xml:space="preserve"> </v>
      </c>
      <c r="G83" t="str">
        <f>INDEX(Establishment!C$2:C$1005,MATCH($E83,Establishment!$A$2:$A$1005,0))</f>
        <v xml:space="preserve"> </v>
      </c>
      <c r="M83">
        <f t="shared" si="12"/>
        <v>0</v>
      </c>
      <c r="N83">
        <f t="shared" si="10"/>
        <v>0</v>
      </c>
      <c r="P83" t="e">
        <f>INDEX(Items!B$2:B$1032,MATCH($O83,Items!$A$2:$A$1032,0))</f>
        <v>#N/A</v>
      </c>
      <c r="Q83" t="e">
        <f>INDEX(Items!C$2:C$1032,MATCH($O83,Items!$A$2:$A$1032,0))</f>
        <v>#N/A</v>
      </c>
      <c r="R83" t="e">
        <f>INDEX(Items!D$2:D$1032,MATCH($O83,Items!$A$2:$A$1032,0))</f>
        <v>#N/A</v>
      </c>
    </row>
    <row r="84" spans="1:18" x14ac:dyDescent="0.25">
      <c r="A84">
        <f t="shared" si="8"/>
        <v>1</v>
      </c>
      <c r="B84" t="str">
        <f t="shared" si="9"/>
        <v/>
      </c>
      <c r="C84">
        <f t="shared" si="11"/>
        <v>1</v>
      </c>
      <c r="D84" s="4"/>
      <c r="E84" t="s">
        <v>18</v>
      </c>
      <c r="F84" t="str">
        <f>INDEX(Establishment!B$2:B$1005,MATCH($E84,Establishment!$A$2:$A$1005,0))</f>
        <v xml:space="preserve"> </v>
      </c>
      <c r="G84" t="str">
        <f>INDEX(Establishment!C$2:C$1005,MATCH($E84,Establishment!$A$2:$A$1005,0))</f>
        <v xml:space="preserve"> </v>
      </c>
      <c r="M84">
        <f t="shared" si="12"/>
        <v>0</v>
      </c>
      <c r="N84">
        <f t="shared" si="10"/>
        <v>0</v>
      </c>
      <c r="P84" t="e">
        <f>INDEX(Items!B$2:B$1032,MATCH($O84,Items!$A$2:$A$1032,0))</f>
        <v>#N/A</v>
      </c>
      <c r="Q84" t="e">
        <f>INDEX(Items!C$2:C$1032,MATCH($O84,Items!$A$2:$A$1032,0))</f>
        <v>#N/A</v>
      </c>
      <c r="R84" t="e">
        <f>INDEX(Items!D$2:D$1032,MATCH($O84,Items!$A$2:$A$1032,0))</f>
        <v>#N/A</v>
      </c>
    </row>
    <row r="85" spans="1:18" x14ac:dyDescent="0.25">
      <c r="A85">
        <f t="shared" si="8"/>
        <v>1</v>
      </c>
      <c r="B85" t="str">
        <f t="shared" si="9"/>
        <v/>
      </c>
      <c r="C85">
        <f t="shared" si="11"/>
        <v>1</v>
      </c>
      <c r="D85" s="4"/>
      <c r="E85" t="s">
        <v>18</v>
      </c>
      <c r="F85" t="str">
        <f>INDEX(Establishment!B$2:B$1005,MATCH($E85,Establishment!$A$2:$A$1005,0))</f>
        <v xml:space="preserve"> </v>
      </c>
      <c r="G85" t="str">
        <f>INDEX(Establishment!C$2:C$1005,MATCH($E85,Establishment!$A$2:$A$1005,0))</f>
        <v xml:space="preserve"> </v>
      </c>
      <c r="M85">
        <f t="shared" si="12"/>
        <v>0</v>
      </c>
      <c r="N85">
        <f t="shared" si="10"/>
        <v>0</v>
      </c>
      <c r="P85" t="e">
        <f>INDEX(Items!B$2:B$1032,MATCH($O85,Items!$A$2:$A$1032,0))</f>
        <v>#N/A</v>
      </c>
      <c r="Q85" t="e">
        <f>INDEX(Items!C$2:C$1032,MATCH($O85,Items!$A$2:$A$1032,0))</f>
        <v>#N/A</v>
      </c>
      <c r="R85" t="e">
        <f>INDEX(Items!D$2:D$1032,MATCH($O85,Items!$A$2:$A$1032,0))</f>
        <v>#N/A</v>
      </c>
    </row>
    <row r="86" spans="1:18" x14ac:dyDescent="0.25">
      <c r="A86">
        <f t="shared" si="8"/>
        <v>1</v>
      </c>
      <c r="B86" t="str">
        <f t="shared" si="9"/>
        <v/>
      </c>
      <c r="C86">
        <f t="shared" si="11"/>
        <v>1</v>
      </c>
      <c r="D86" s="4"/>
      <c r="E86" t="s">
        <v>18</v>
      </c>
      <c r="F86" t="str">
        <f>INDEX(Establishment!B$2:B$1005,MATCH($E86,Establishment!$A$2:$A$1005,0))</f>
        <v xml:space="preserve"> </v>
      </c>
      <c r="G86" t="str">
        <f>INDEX(Establishment!C$2:C$1005,MATCH($E86,Establishment!$A$2:$A$1005,0))</f>
        <v xml:space="preserve"> </v>
      </c>
      <c r="M86">
        <f t="shared" si="12"/>
        <v>0</v>
      </c>
      <c r="N86">
        <f t="shared" si="10"/>
        <v>0</v>
      </c>
      <c r="P86" t="e">
        <f>INDEX(Items!B$2:B$1032,MATCH($O86,Items!$A$2:$A$1032,0))</f>
        <v>#N/A</v>
      </c>
      <c r="Q86" t="e">
        <f>INDEX(Items!C$2:C$1032,MATCH($O86,Items!$A$2:$A$1032,0))</f>
        <v>#N/A</v>
      </c>
      <c r="R86" t="e">
        <f>INDEX(Items!D$2:D$1032,MATCH($O86,Items!$A$2:$A$1032,0))</f>
        <v>#N/A</v>
      </c>
    </row>
    <row r="87" spans="1:18" x14ac:dyDescent="0.25">
      <c r="A87">
        <f t="shared" si="8"/>
        <v>1</v>
      </c>
      <c r="B87" t="str">
        <f t="shared" si="9"/>
        <v/>
      </c>
      <c r="C87">
        <f t="shared" si="11"/>
        <v>1</v>
      </c>
      <c r="D87" s="4"/>
      <c r="E87" t="s">
        <v>18</v>
      </c>
      <c r="F87" t="str">
        <f>INDEX(Establishment!B$2:B$1005,MATCH($E87,Establishment!$A$2:$A$1005,0))</f>
        <v xml:space="preserve"> </v>
      </c>
      <c r="G87" t="str">
        <f>INDEX(Establishment!C$2:C$1005,MATCH($E87,Establishment!$A$2:$A$1005,0))</f>
        <v xml:space="preserve"> </v>
      </c>
      <c r="M87">
        <f t="shared" si="12"/>
        <v>0</v>
      </c>
      <c r="N87">
        <f t="shared" si="10"/>
        <v>0</v>
      </c>
      <c r="P87" t="e">
        <f>INDEX(Items!B$2:B$1032,MATCH($O87,Items!$A$2:$A$1032,0))</f>
        <v>#N/A</v>
      </c>
      <c r="Q87" t="e">
        <f>INDEX(Items!C$2:C$1032,MATCH($O87,Items!$A$2:$A$1032,0))</f>
        <v>#N/A</v>
      </c>
      <c r="R87" t="e">
        <f>INDEX(Items!D$2:D$1032,MATCH($O87,Items!$A$2:$A$1032,0))</f>
        <v>#N/A</v>
      </c>
    </row>
    <row r="88" spans="1:18" x14ac:dyDescent="0.25">
      <c r="A88">
        <f t="shared" si="8"/>
        <v>1</v>
      </c>
      <c r="B88" t="str">
        <f t="shared" si="9"/>
        <v/>
      </c>
      <c r="C88">
        <f t="shared" si="11"/>
        <v>1</v>
      </c>
      <c r="D88" s="4"/>
      <c r="E88" t="s">
        <v>18</v>
      </c>
      <c r="F88" t="str">
        <f>INDEX(Establishment!B$2:B$1005,MATCH($E88,Establishment!$A$2:$A$1005,0))</f>
        <v xml:space="preserve"> </v>
      </c>
      <c r="G88" t="str">
        <f>INDEX(Establishment!C$2:C$1005,MATCH($E88,Establishment!$A$2:$A$1005,0))</f>
        <v xml:space="preserve"> </v>
      </c>
      <c r="M88">
        <f t="shared" si="12"/>
        <v>0</v>
      </c>
      <c r="N88">
        <f t="shared" si="10"/>
        <v>0</v>
      </c>
      <c r="P88" t="e">
        <f>INDEX(Items!B$2:B$1032,MATCH($O88,Items!$A$2:$A$1032,0))</f>
        <v>#N/A</v>
      </c>
      <c r="Q88" t="e">
        <f>INDEX(Items!C$2:C$1032,MATCH($O88,Items!$A$2:$A$1032,0))</f>
        <v>#N/A</v>
      </c>
      <c r="R88" t="e">
        <f>INDEX(Items!D$2:D$1032,MATCH($O88,Items!$A$2:$A$1032,0))</f>
        <v>#N/A</v>
      </c>
    </row>
    <row r="89" spans="1:18" x14ac:dyDescent="0.25">
      <c r="A89">
        <f t="shared" si="8"/>
        <v>1</v>
      </c>
      <c r="B89" t="str">
        <f t="shared" si="9"/>
        <v/>
      </c>
      <c r="C89">
        <f t="shared" si="11"/>
        <v>1</v>
      </c>
      <c r="D89" s="4"/>
      <c r="E89" t="s">
        <v>18</v>
      </c>
      <c r="F89" t="str">
        <f>INDEX(Establishment!B$2:B$1005,MATCH($E89,Establishment!$A$2:$A$1005,0))</f>
        <v xml:space="preserve"> </v>
      </c>
      <c r="G89" t="str">
        <f>INDEX(Establishment!C$2:C$1005,MATCH($E89,Establishment!$A$2:$A$1005,0))</f>
        <v xml:space="preserve"> </v>
      </c>
      <c r="M89">
        <f t="shared" si="12"/>
        <v>0</v>
      </c>
      <c r="N89">
        <f t="shared" si="10"/>
        <v>0</v>
      </c>
      <c r="P89" t="e">
        <f>INDEX(Items!B$2:B$1032,MATCH($O89,Items!$A$2:$A$1032,0))</f>
        <v>#N/A</v>
      </c>
      <c r="Q89" t="e">
        <f>INDEX(Items!C$2:C$1032,MATCH($O89,Items!$A$2:$A$1032,0))</f>
        <v>#N/A</v>
      </c>
      <c r="R89" t="e">
        <f>INDEX(Items!D$2:D$1032,MATCH($O89,Items!$A$2:$A$1032,0))</f>
        <v>#N/A</v>
      </c>
    </row>
    <row r="90" spans="1:18" x14ac:dyDescent="0.25">
      <c r="A90">
        <f t="shared" si="8"/>
        <v>1</v>
      </c>
      <c r="B90" t="str">
        <f t="shared" si="9"/>
        <v/>
      </c>
      <c r="C90">
        <f t="shared" si="11"/>
        <v>1</v>
      </c>
      <c r="D90" s="4"/>
      <c r="E90" t="s">
        <v>18</v>
      </c>
      <c r="F90" t="str">
        <f>INDEX(Establishment!B$2:B$1005,MATCH($E90,Establishment!$A$2:$A$1005,0))</f>
        <v xml:space="preserve"> </v>
      </c>
      <c r="G90" t="str">
        <f>INDEX(Establishment!C$2:C$1005,MATCH($E90,Establishment!$A$2:$A$1005,0))</f>
        <v xml:space="preserve"> </v>
      </c>
      <c r="M90">
        <f t="shared" si="12"/>
        <v>0</v>
      </c>
      <c r="N90">
        <f t="shared" si="10"/>
        <v>0</v>
      </c>
      <c r="P90" t="e">
        <f>INDEX(Items!B$2:B$1032,MATCH($O90,Items!$A$2:$A$1032,0))</f>
        <v>#N/A</v>
      </c>
      <c r="Q90" t="e">
        <f>INDEX(Items!C$2:C$1032,MATCH($O90,Items!$A$2:$A$1032,0))</f>
        <v>#N/A</v>
      </c>
      <c r="R90" t="e">
        <f>INDEX(Items!D$2:D$1032,MATCH($O90,Items!$A$2:$A$1032,0))</f>
        <v>#N/A</v>
      </c>
    </row>
    <row r="91" spans="1:18" x14ac:dyDescent="0.25">
      <c r="A91">
        <f t="shared" si="8"/>
        <v>1</v>
      </c>
      <c r="B91" t="str">
        <f t="shared" si="9"/>
        <v/>
      </c>
      <c r="C91">
        <f t="shared" si="11"/>
        <v>1</v>
      </c>
      <c r="D91" s="4"/>
      <c r="E91" t="s">
        <v>18</v>
      </c>
      <c r="F91" t="str">
        <f>INDEX(Establishment!B$2:B$1005,MATCH($E91,Establishment!$A$2:$A$1005,0))</f>
        <v xml:space="preserve"> </v>
      </c>
      <c r="G91" t="str">
        <f>INDEX(Establishment!C$2:C$1005,MATCH($E91,Establishment!$A$2:$A$1005,0))</f>
        <v xml:space="preserve"> </v>
      </c>
      <c r="M91">
        <f t="shared" si="12"/>
        <v>0</v>
      </c>
      <c r="N91">
        <f t="shared" si="10"/>
        <v>0</v>
      </c>
      <c r="P91" t="e">
        <f>INDEX(Items!B$2:B$1032,MATCH($O91,Items!$A$2:$A$1032,0))</f>
        <v>#N/A</v>
      </c>
      <c r="Q91" t="e">
        <f>INDEX(Items!C$2:C$1032,MATCH($O91,Items!$A$2:$A$1032,0))</f>
        <v>#N/A</v>
      </c>
      <c r="R91" t="e">
        <f>INDEX(Items!D$2:D$1032,MATCH($O91,Items!$A$2:$A$1032,0))</f>
        <v>#N/A</v>
      </c>
    </row>
    <row r="92" spans="1:18" x14ac:dyDescent="0.25">
      <c r="A92">
        <f t="shared" si="8"/>
        <v>1</v>
      </c>
      <c r="B92" t="str">
        <f t="shared" si="9"/>
        <v/>
      </c>
      <c r="C92">
        <f t="shared" si="11"/>
        <v>1</v>
      </c>
      <c r="D92" s="4"/>
      <c r="E92" t="s">
        <v>18</v>
      </c>
      <c r="F92" t="str">
        <f>INDEX(Establishment!B$2:B$1005,MATCH($E92,Establishment!$A$2:$A$1005,0))</f>
        <v xml:space="preserve"> </v>
      </c>
      <c r="G92" t="str">
        <f>INDEX(Establishment!C$2:C$1005,MATCH($E92,Establishment!$A$2:$A$1005,0))</f>
        <v xml:space="preserve"> </v>
      </c>
      <c r="M92">
        <f t="shared" si="12"/>
        <v>0</v>
      </c>
      <c r="N92">
        <f t="shared" si="10"/>
        <v>0</v>
      </c>
      <c r="P92" t="e">
        <f>INDEX(Items!B$2:B$1032,MATCH($O92,Items!$A$2:$A$1032,0))</f>
        <v>#N/A</v>
      </c>
      <c r="Q92" t="e">
        <f>INDEX(Items!C$2:C$1032,MATCH($O92,Items!$A$2:$A$1032,0))</f>
        <v>#N/A</v>
      </c>
      <c r="R92" t="e">
        <f>INDEX(Items!D$2:D$1032,MATCH($O92,Items!$A$2:$A$1032,0))</f>
        <v>#N/A</v>
      </c>
    </row>
    <row r="93" spans="1:18" x14ac:dyDescent="0.25">
      <c r="A93">
        <f t="shared" si="8"/>
        <v>1</v>
      </c>
      <c r="B93" t="str">
        <f t="shared" si="9"/>
        <v/>
      </c>
      <c r="C93">
        <f t="shared" si="11"/>
        <v>1</v>
      </c>
      <c r="D93" s="4"/>
      <c r="E93" t="s">
        <v>18</v>
      </c>
      <c r="F93" t="str">
        <f>INDEX(Establishment!B$2:B$1005,MATCH($E93,Establishment!$A$2:$A$1005,0))</f>
        <v xml:space="preserve"> </v>
      </c>
      <c r="G93" t="str">
        <f>INDEX(Establishment!C$2:C$1005,MATCH($E93,Establishment!$A$2:$A$1005,0))</f>
        <v xml:space="preserve"> </v>
      </c>
      <c r="M93">
        <f t="shared" si="12"/>
        <v>0</v>
      </c>
      <c r="N93">
        <f t="shared" si="10"/>
        <v>0</v>
      </c>
      <c r="P93" t="e">
        <f>INDEX(Items!B$2:B$1032,MATCH($O93,Items!$A$2:$A$1032,0))</f>
        <v>#N/A</v>
      </c>
      <c r="Q93" t="e">
        <f>INDEX(Items!C$2:C$1032,MATCH($O93,Items!$A$2:$A$1032,0))</f>
        <v>#N/A</v>
      </c>
      <c r="R93" t="e">
        <f>INDEX(Items!D$2:D$1032,MATCH($O93,Items!$A$2:$A$1032,0))</f>
        <v>#N/A</v>
      </c>
    </row>
    <row r="94" spans="1:18" x14ac:dyDescent="0.25">
      <c r="A94">
        <f t="shared" si="8"/>
        <v>1</v>
      </c>
      <c r="B94" t="str">
        <f t="shared" si="9"/>
        <v/>
      </c>
      <c r="C94">
        <f t="shared" si="11"/>
        <v>1</v>
      </c>
      <c r="D94" s="4"/>
      <c r="E94" t="s">
        <v>18</v>
      </c>
      <c r="F94" t="str">
        <f>INDEX(Establishment!B$2:B$1005,MATCH($E94,Establishment!$A$2:$A$1005,0))</f>
        <v xml:space="preserve"> </v>
      </c>
      <c r="G94" t="str">
        <f>INDEX(Establishment!C$2:C$1005,MATCH($E94,Establishment!$A$2:$A$1005,0))</f>
        <v xml:space="preserve"> </v>
      </c>
      <c r="M94">
        <f t="shared" si="12"/>
        <v>0</v>
      </c>
      <c r="N94">
        <f t="shared" si="10"/>
        <v>0</v>
      </c>
      <c r="P94" t="e">
        <f>INDEX(Items!B$2:B$1032,MATCH($O94,Items!$A$2:$A$1032,0))</f>
        <v>#N/A</v>
      </c>
      <c r="Q94" t="e">
        <f>INDEX(Items!C$2:C$1032,MATCH($O94,Items!$A$2:$A$1032,0))</f>
        <v>#N/A</v>
      </c>
      <c r="R94" t="e">
        <f>INDEX(Items!D$2:D$1032,MATCH($O94,Items!$A$2:$A$1032,0))</f>
        <v>#N/A</v>
      </c>
    </row>
    <row r="95" spans="1:18" x14ac:dyDescent="0.25">
      <c r="A95">
        <f t="shared" si="8"/>
        <v>1</v>
      </c>
      <c r="B95" t="str">
        <f t="shared" si="9"/>
        <v/>
      </c>
      <c r="C95">
        <f t="shared" si="11"/>
        <v>1</v>
      </c>
      <c r="D95" s="4"/>
      <c r="E95" t="s">
        <v>18</v>
      </c>
      <c r="F95" t="str">
        <f>INDEX(Establishment!B$2:B$1005,MATCH($E95,Establishment!$A$2:$A$1005,0))</f>
        <v xml:space="preserve"> </v>
      </c>
      <c r="G95" t="str">
        <f>INDEX(Establishment!C$2:C$1005,MATCH($E95,Establishment!$A$2:$A$1005,0))</f>
        <v xml:space="preserve"> </v>
      </c>
      <c r="M95">
        <f t="shared" si="12"/>
        <v>0</v>
      </c>
      <c r="N95">
        <f t="shared" si="10"/>
        <v>0</v>
      </c>
      <c r="P95" t="e">
        <f>INDEX(Items!B$2:B$1032,MATCH($O95,Items!$A$2:$A$1032,0))</f>
        <v>#N/A</v>
      </c>
      <c r="Q95" t="e">
        <f>INDEX(Items!C$2:C$1032,MATCH($O95,Items!$A$2:$A$1032,0))</f>
        <v>#N/A</v>
      </c>
      <c r="R95" t="e">
        <f>INDEX(Items!D$2:D$1032,MATCH($O95,Items!$A$2:$A$1032,0))</f>
        <v>#N/A</v>
      </c>
    </row>
    <row r="96" spans="1:18" x14ac:dyDescent="0.25">
      <c r="A96">
        <f t="shared" si="8"/>
        <v>1</v>
      </c>
      <c r="B96" t="str">
        <f t="shared" si="9"/>
        <v/>
      </c>
      <c r="C96">
        <f t="shared" si="11"/>
        <v>1</v>
      </c>
      <c r="D96" s="4"/>
      <c r="E96" t="s">
        <v>18</v>
      </c>
      <c r="F96" t="str">
        <f>INDEX(Establishment!B$2:B$1005,MATCH($E96,Establishment!$A$2:$A$1005,0))</f>
        <v xml:space="preserve"> </v>
      </c>
      <c r="G96" t="str">
        <f>INDEX(Establishment!C$2:C$1005,MATCH($E96,Establishment!$A$2:$A$1005,0))</f>
        <v xml:space="preserve"> </v>
      </c>
      <c r="M96">
        <f t="shared" si="12"/>
        <v>0</v>
      </c>
      <c r="N96">
        <f t="shared" si="10"/>
        <v>0</v>
      </c>
      <c r="P96" t="e">
        <f>INDEX(Items!B$2:B$1032,MATCH($O96,Items!$A$2:$A$1032,0))</f>
        <v>#N/A</v>
      </c>
      <c r="Q96" t="e">
        <f>INDEX(Items!C$2:C$1032,MATCH($O96,Items!$A$2:$A$1032,0))</f>
        <v>#N/A</v>
      </c>
      <c r="R96" t="e">
        <f>INDEX(Items!D$2:D$1032,MATCH($O96,Items!$A$2:$A$1032,0))</f>
        <v>#N/A</v>
      </c>
    </row>
    <row r="97" spans="1:18" x14ac:dyDescent="0.25">
      <c r="A97">
        <f t="shared" si="8"/>
        <v>1</v>
      </c>
      <c r="B97" t="str">
        <f t="shared" si="9"/>
        <v/>
      </c>
      <c r="C97">
        <f t="shared" si="11"/>
        <v>1</v>
      </c>
      <c r="D97" s="4"/>
      <c r="E97" t="s">
        <v>18</v>
      </c>
      <c r="F97" t="str">
        <f>INDEX(Establishment!B$2:B$1005,MATCH($E97,Establishment!$A$2:$A$1005,0))</f>
        <v xml:space="preserve"> </v>
      </c>
      <c r="G97" t="str">
        <f>INDEX(Establishment!C$2:C$1005,MATCH($E97,Establishment!$A$2:$A$1005,0))</f>
        <v xml:space="preserve"> </v>
      </c>
      <c r="M97">
        <f t="shared" si="12"/>
        <v>0</v>
      </c>
      <c r="N97">
        <f t="shared" si="10"/>
        <v>0</v>
      </c>
      <c r="P97" t="e">
        <f>INDEX(Items!B$2:B$1032,MATCH($O97,Items!$A$2:$A$1032,0))</f>
        <v>#N/A</v>
      </c>
      <c r="Q97" t="e">
        <f>INDEX(Items!C$2:C$1032,MATCH($O97,Items!$A$2:$A$1032,0))</f>
        <v>#N/A</v>
      </c>
      <c r="R97" t="e">
        <f>INDEX(Items!D$2:D$1032,MATCH($O97,Items!$A$2:$A$1032,0))</f>
        <v>#N/A</v>
      </c>
    </row>
    <row r="98" spans="1:18" x14ac:dyDescent="0.25">
      <c r="A98">
        <f t="shared" si="8"/>
        <v>1</v>
      </c>
      <c r="B98" t="str">
        <f t="shared" si="9"/>
        <v/>
      </c>
      <c r="C98">
        <f t="shared" si="11"/>
        <v>1</v>
      </c>
      <c r="D98" s="4"/>
      <c r="E98" t="s">
        <v>18</v>
      </c>
      <c r="F98" t="str">
        <f>INDEX(Establishment!B$2:B$1005,MATCH($E98,Establishment!$A$2:$A$1005,0))</f>
        <v xml:space="preserve"> </v>
      </c>
      <c r="G98" t="str">
        <f>INDEX(Establishment!C$2:C$1005,MATCH($E98,Establishment!$A$2:$A$1005,0))</f>
        <v xml:space="preserve"> </v>
      </c>
      <c r="M98">
        <f t="shared" si="12"/>
        <v>0</v>
      </c>
      <c r="N98">
        <f t="shared" si="10"/>
        <v>0</v>
      </c>
      <c r="P98" t="e">
        <f>INDEX(Items!B$2:B$1032,MATCH($O98,Items!$A$2:$A$1032,0))</f>
        <v>#N/A</v>
      </c>
      <c r="Q98" t="e">
        <f>INDEX(Items!C$2:C$1032,MATCH($O98,Items!$A$2:$A$1032,0))</f>
        <v>#N/A</v>
      </c>
      <c r="R98" t="e">
        <f>INDEX(Items!D$2:D$1032,MATCH($O98,Items!$A$2:$A$1032,0))</f>
        <v>#N/A</v>
      </c>
    </row>
    <row r="99" spans="1:18" x14ac:dyDescent="0.25">
      <c r="A99">
        <f t="shared" si="8"/>
        <v>1</v>
      </c>
      <c r="B99" t="str">
        <f t="shared" si="9"/>
        <v/>
      </c>
      <c r="C99">
        <f t="shared" si="11"/>
        <v>1</v>
      </c>
      <c r="D99" s="4"/>
      <c r="E99" t="s">
        <v>18</v>
      </c>
      <c r="F99" t="str">
        <f>INDEX(Establishment!B$2:B$1005,MATCH($E99,Establishment!$A$2:$A$1005,0))</f>
        <v xml:space="preserve"> </v>
      </c>
      <c r="G99" t="str">
        <f>INDEX(Establishment!C$2:C$1005,MATCH($E99,Establishment!$A$2:$A$1005,0))</f>
        <v xml:space="preserve"> </v>
      </c>
      <c r="M99">
        <f t="shared" si="12"/>
        <v>0</v>
      </c>
      <c r="N99">
        <f t="shared" si="10"/>
        <v>0</v>
      </c>
      <c r="P99" t="e">
        <f>INDEX(Items!B$2:B$1032,MATCH($O99,Items!$A$2:$A$1032,0))</f>
        <v>#N/A</v>
      </c>
      <c r="Q99" t="e">
        <f>INDEX(Items!C$2:C$1032,MATCH($O99,Items!$A$2:$A$1032,0))</f>
        <v>#N/A</v>
      </c>
      <c r="R99" t="e">
        <f>INDEX(Items!D$2:D$1032,MATCH($O99,Items!$A$2:$A$1032,0))</f>
        <v>#N/A</v>
      </c>
    </row>
    <row r="100" spans="1:18" x14ac:dyDescent="0.25">
      <c r="A100">
        <f t="shared" si="8"/>
        <v>1</v>
      </c>
      <c r="B100" t="str">
        <f t="shared" si="9"/>
        <v/>
      </c>
      <c r="C100">
        <f t="shared" si="11"/>
        <v>1</v>
      </c>
      <c r="D100" s="4"/>
      <c r="E100" t="s">
        <v>18</v>
      </c>
      <c r="F100" t="str">
        <f>INDEX(Establishment!B$2:B$1005,MATCH($E100,Establishment!$A$2:$A$1005,0))</f>
        <v xml:space="preserve"> </v>
      </c>
      <c r="G100" t="str">
        <f>INDEX(Establishment!C$2:C$1005,MATCH($E100,Establishment!$A$2:$A$1005,0))</f>
        <v xml:space="preserve"> </v>
      </c>
      <c r="M100">
        <f t="shared" si="12"/>
        <v>0</v>
      </c>
      <c r="N100">
        <f t="shared" si="10"/>
        <v>0</v>
      </c>
      <c r="P100" t="e">
        <f>INDEX(Items!B$2:B$1032,MATCH($O100,Items!$A$2:$A$1032,0))</f>
        <v>#N/A</v>
      </c>
      <c r="Q100" t="e">
        <f>INDEX(Items!C$2:C$1032,MATCH($O100,Items!$A$2:$A$1032,0))</f>
        <v>#N/A</v>
      </c>
      <c r="R100" t="e">
        <f>INDEX(Items!D$2:D$1032,MATCH($O100,Items!$A$2:$A$1032,0))</f>
        <v>#N/A</v>
      </c>
    </row>
    <row r="101" spans="1:18" x14ac:dyDescent="0.25">
      <c r="A101">
        <f t="shared" si="8"/>
        <v>1</v>
      </c>
      <c r="B101" t="str">
        <f t="shared" si="9"/>
        <v/>
      </c>
      <c r="C101">
        <f t="shared" si="11"/>
        <v>1</v>
      </c>
      <c r="D101" s="4"/>
      <c r="E101" t="s">
        <v>18</v>
      </c>
      <c r="F101" t="str">
        <f>INDEX(Establishment!B$2:B$1005,MATCH($E101,Establishment!$A$2:$A$1005,0))</f>
        <v xml:space="preserve"> </v>
      </c>
      <c r="G101" t="str">
        <f>INDEX(Establishment!C$2:C$1005,MATCH($E101,Establishment!$A$2:$A$1005,0))</f>
        <v xml:space="preserve"> </v>
      </c>
      <c r="M101">
        <f t="shared" si="12"/>
        <v>0</v>
      </c>
      <c r="N101">
        <f t="shared" si="10"/>
        <v>0</v>
      </c>
      <c r="P101" t="e">
        <f>INDEX(Items!B$2:B$1032,MATCH($O101,Items!$A$2:$A$1032,0))</f>
        <v>#N/A</v>
      </c>
      <c r="Q101" t="e">
        <f>INDEX(Items!C$2:C$1032,MATCH($O101,Items!$A$2:$A$1032,0))</f>
        <v>#N/A</v>
      </c>
      <c r="R101" t="e">
        <f>INDEX(Items!D$2:D$1032,MATCH($O101,Items!$A$2:$A$1032,0))</f>
        <v>#N/A</v>
      </c>
    </row>
    <row r="102" spans="1:18" x14ac:dyDescent="0.25">
      <c r="A102">
        <f t="shared" si="8"/>
        <v>1</v>
      </c>
      <c r="B102" t="str">
        <f t="shared" si="9"/>
        <v/>
      </c>
      <c r="C102">
        <f t="shared" si="11"/>
        <v>1</v>
      </c>
      <c r="D102" s="4"/>
      <c r="E102" t="s">
        <v>18</v>
      </c>
      <c r="F102" t="str">
        <f>INDEX(Establishment!B$2:B$1005,MATCH($E102,Establishment!$A$2:$A$1005,0))</f>
        <v xml:space="preserve"> </v>
      </c>
      <c r="G102" t="str">
        <f>INDEX(Establishment!C$2:C$1005,MATCH($E102,Establishment!$A$2:$A$1005,0))</f>
        <v xml:space="preserve"> </v>
      </c>
      <c r="M102">
        <f t="shared" si="12"/>
        <v>0</v>
      </c>
      <c r="N102">
        <f t="shared" si="10"/>
        <v>0</v>
      </c>
      <c r="P102" t="e">
        <f>INDEX(Items!B$2:B$1032,MATCH($O102,Items!$A$2:$A$1032,0))</f>
        <v>#N/A</v>
      </c>
      <c r="Q102" t="e">
        <f>INDEX(Items!C$2:C$1032,MATCH($O102,Items!$A$2:$A$1032,0))</f>
        <v>#N/A</v>
      </c>
      <c r="R102" t="e">
        <f>INDEX(Items!D$2:D$1032,MATCH($O102,Items!$A$2:$A$1032,0))</f>
        <v>#N/A</v>
      </c>
    </row>
    <row r="103" spans="1:18" x14ac:dyDescent="0.25">
      <c r="A103">
        <f t="shared" si="8"/>
        <v>1</v>
      </c>
      <c r="B103" t="str">
        <f t="shared" si="9"/>
        <v/>
      </c>
      <c r="C103">
        <f t="shared" si="11"/>
        <v>1</v>
      </c>
      <c r="D103" s="4"/>
      <c r="E103" t="s">
        <v>18</v>
      </c>
      <c r="F103" t="str">
        <f>INDEX(Establishment!B$2:B$1005,MATCH($E103,Establishment!$A$2:$A$1005,0))</f>
        <v xml:space="preserve"> </v>
      </c>
      <c r="G103" t="str">
        <f>INDEX(Establishment!C$2:C$1005,MATCH($E103,Establishment!$A$2:$A$1005,0))</f>
        <v xml:space="preserve"> </v>
      </c>
      <c r="M103">
        <f t="shared" si="12"/>
        <v>0</v>
      </c>
      <c r="N103">
        <f t="shared" si="10"/>
        <v>0</v>
      </c>
      <c r="P103" t="e">
        <f>INDEX(Items!B$2:B$1032,MATCH($O103,Items!$A$2:$A$1032,0))</f>
        <v>#N/A</v>
      </c>
      <c r="Q103" t="e">
        <f>INDEX(Items!C$2:C$1032,MATCH($O103,Items!$A$2:$A$1032,0))</f>
        <v>#N/A</v>
      </c>
      <c r="R103" t="e">
        <f>INDEX(Items!D$2:D$1032,MATCH($O103,Items!$A$2:$A$1032,0))</f>
        <v>#N/A</v>
      </c>
    </row>
    <row r="104" spans="1:18" x14ac:dyDescent="0.25">
      <c r="A104">
        <f t="shared" si="8"/>
        <v>1</v>
      </c>
      <c r="B104" t="str">
        <f t="shared" si="9"/>
        <v/>
      </c>
      <c r="C104">
        <f t="shared" si="11"/>
        <v>1</v>
      </c>
      <c r="D104" s="4"/>
      <c r="E104" t="s">
        <v>18</v>
      </c>
      <c r="F104" t="str">
        <f>INDEX(Establishment!B$2:B$1005,MATCH($E104,Establishment!$A$2:$A$1005,0))</f>
        <v xml:space="preserve"> </v>
      </c>
      <c r="G104" t="str">
        <f>INDEX(Establishment!C$2:C$1005,MATCH($E104,Establishment!$A$2:$A$1005,0))</f>
        <v xml:space="preserve"> </v>
      </c>
      <c r="M104">
        <f t="shared" si="12"/>
        <v>0</v>
      </c>
      <c r="N104">
        <f t="shared" si="10"/>
        <v>0</v>
      </c>
      <c r="P104" t="e">
        <f>INDEX(Items!B$2:B$1032,MATCH($O104,Items!$A$2:$A$1032,0))</f>
        <v>#N/A</v>
      </c>
      <c r="Q104" t="e">
        <f>INDEX(Items!C$2:C$1032,MATCH($O104,Items!$A$2:$A$1032,0))</f>
        <v>#N/A</v>
      </c>
      <c r="R104" t="e">
        <f>INDEX(Items!D$2:D$1032,MATCH($O104,Items!$A$2:$A$1032,0))</f>
        <v>#N/A</v>
      </c>
    </row>
    <row r="105" spans="1:18" x14ac:dyDescent="0.25">
      <c r="A105">
        <f t="shared" si="8"/>
        <v>1</v>
      </c>
      <c r="B105" t="str">
        <f t="shared" si="9"/>
        <v/>
      </c>
      <c r="C105">
        <f t="shared" si="11"/>
        <v>1</v>
      </c>
      <c r="D105" s="4"/>
      <c r="E105" t="s">
        <v>18</v>
      </c>
      <c r="F105" t="str">
        <f>INDEX(Establishment!B$2:B$1005,MATCH($E105,Establishment!$A$2:$A$1005,0))</f>
        <v xml:space="preserve"> </v>
      </c>
      <c r="G105" t="str">
        <f>INDEX(Establishment!C$2:C$1005,MATCH($E105,Establishment!$A$2:$A$1005,0))</f>
        <v xml:space="preserve"> </v>
      </c>
      <c r="M105">
        <f t="shared" si="12"/>
        <v>0</v>
      </c>
      <c r="N105">
        <f t="shared" si="10"/>
        <v>0</v>
      </c>
      <c r="P105" t="e">
        <f>INDEX(Items!B$2:B$1032,MATCH($O105,Items!$A$2:$A$1032,0))</f>
        <v>#N/A</v>
      </c>
      <c r="Q105" t="e">
        <f>INDEX(Items!C$2:C$1032,MATCH($O105,Items!$A$2:$A$1032,0))</f>
        <v>#N/A</v>
      </c>
      <c r="R105" t="e">
        <f>INDEX(Items!D$2:D$1032,MATCH($O105,Items!$A$2:$A$1032,0))</f>
        <v>#N/A</v>
      </c>
    </row>
    <row r="106" spans="1:18" x14ac:dyDescent="0.25">
      <c r="A106">
        <f t="shared" si="8"/>
        <v>1</v>
      </c>
      <c r="B106" t="str">
        <f t="shared" si="9"/>
        <v/>
      </c>
      <c r="C106">
        <f t="shared" si="11"/>
        <v>1</v>
      </c>
      <c r="D106" s="4"/>
      <c r="E106" t="s">
        <v>18</v>
      </c>
      <c r="F106" t="str">
        <f>INDEX(Establishment!B$2:B$1005,MATCH($E106,Establishment!$A$2:$A$1005,0))</f>
        <v xml:space="preserve"> </v>
      </c>
      <c r="G106" t="str">
        <f>INDEX(Establishment!C$2:C$1005,MATCH($E106,Establishment!$A$2:$A$1005,0))</f>
        <v xml:space="preserve"> </v>
      </c>
      <c r="M106">
        <f t="shared" si="12"/>
        <v>0</v>
      </c>
      <c r="N106">
        <f t="shared" si="10"/>
        <v>0</v>
      </c>
      <c r="P106" t="e">
        <f>INDEX(Items!B$2:B$1032,MATCH($O106,Items!$A$2:$A$1032,0))</f>
        <v>#N/A</v>
      </c>
      <c r="Q106" t="e">
        <f>INDEX(Items!C$2:C$1032,MATCH($O106,Items!$A$2:$A$1032,0))</f>
        <v>#N/A</v>
      </c>
      <c r="R106" t="e">
        <f>INDEX(Items!D$2:D$1032,MATCH($O106,Items!$A$2:$A$1032,0))</f>
        <v>#N/A</v>
      </c>
    </row>
    <row r="107" spans="1:18" x14ac:dyDescent="0.25">
      <c r="A107">
        <f t="shared" si="8"/>
        <v>1</v>
      </c>
      <c r="B107" t="str">
        <f t="shared" si="9"/>
        <v/>
      </c>
      <c r="C107">
        <f t="shared" si="11"/>
        <v>1</v>
      </c>
      <c r="D107" s="4"/>
      <c r="E107" t="s">
        <v>18</v>
      </c>
      <c r="F107" t="str">
        <f>INDEX(Establishment!B$2:B$1005,MATCH($E107,Establishment!$A$2:$A$1005,0))</f>
        <v xml:space="preserve"> </v>
      </c>
      <c r="G107" t="str">
        <f>INDEX(Establishment!C$2:C$1005,MATCH($E107,Establishment!$A$2:$A$1005,0))</f>
        <v xml:space="preserve"> </v>
      </c>
      <c r="M107">
        <f t="shared" si="12"/>
        <v>0</v>
      </c>
      <c r="N107">
        <f t="shared" si="10"/>
        <v>0</v>
      </c>
      <c r="P107" t="e">
        <f>INDEX(Items!B$2:B$1032,MATCH($O107,Items!$A$2:$A$1032,0))</f>
        <v>#N/A</v>
      </c>
      <c r="Q107" t="e">
        <f>INDEX(Items!C$2:C$1032,MATCH($O107,Items!$A$2:$A$1032,0))</f>
        <v>#N/A</v>
      </c>
      <c r="R107" t="e">
        <f>INDEX(Items!D$2:D$1032,MATCH($O107,Items!$A$2:$A$1032,0))</f>
        <v>#N/A</v>
      </c>
    </row>
    <row r="108" spans="1:18" x14ac:dyDescent="0.25">
      <c r="A108">
        <f t="shared" si="8"/>
        <v>1</v>
      </c>
      <c r="B108" t="str">
        <f t="shared" si="9"/>
        <v/>
      </c>
      <c r="C108">
        <f t="shared" si="11"/>
        <v>1</v>
      </c>
      <c r="D108" s="4"/>
      <c r="E108" t="s">
        <v>18</v>
      </c>
      <c r="F108" t="str">
        <f>INDEX(Establishment!B$2:B$1005,MATCH($E108,Establishment!$A$2:$A$1005,0))</f>
        <v xml:space="preserve"> </v>
      </c>
      <c r="G108" t="str">
        <f>INDEX(Establishment!C$2:C$1005,MATCH($E108,Establishment!$A$2:$A$1005,0))</f>
        <v xml:space="preserve"> </v>
      </c>
      <c r="M108">
        <f t="shared" si="12"/>
        <v>0</v>
      </c>
      <c r="N108">
        <f t="shared" si="10"/>
        <v>0</v>
      </c>
      <c r="P108" t="e">
        <f>INDEX(Items!B$2:B$1032,MATCH($O108,Items!$A$2:$A$1032,0))</f>
        <v>#N/A</v>
      </c>
      <c r="Q108" t="e">
        <f>INDEX(Items!C$2:C$1032,MATCH($O108,Items!$A$2:$A$1032,0))</f>
        <v>#N/A</v>
      </c>
      <c r="R108" t="e">
        <f>INDEX(Items!D$2:D$1032,MATCH($O108,Items!$A$2:$A$1032,0))</f>
        <v>#N/A</v>
      </c>
    </row>
    <row r="109" spans="1:18" x14ac:dyDescent="0.25">
      <c r="A109">
        <f t="shared" si="8"/>
        <v>1</v>
      </c>
      <c r="B109" t="str">
        <f t="shared" si="9"/>
        <v/>
      </c>
      <c r="C109">
        <f t="shared" si="11"/>
        <v>1</v>
      </c>
      <c r="D109" s="4"/>
      <c r="E109" t="s">
        <v>18</v>
      </c>
      <c r="F109" t="str">
        <f>INDEX(Establishment!B$2:B$1005,MATCH($E109,Establishment!$A$2:$A$1005,0))</f>
        <v xml:space="preserve"> </v>
      </c>
      <c r="G109" t="str">
        <f>INDEX(Establishment!C$2:C$1005,MATCH($E109,Establishment!$A$2:$A$1005,0))</f>
        <v xml:space="preserve"> </v>
      </c>
      <c r="M109">
        <f t="shared" si="12"/>
        <v>0</v>
      </c>
      <c r="N109">
        <f t="shared" si="10"/>
        <v>0</v>
      </c>
      <c r="P109" t="e">
        <f>INDEX(Items!B$2:B$1032,MATCH($O109,Items!$A$2:$A$1032,0))</f>
        <v>#N/A</v>
      </c>
      <c r="Q109" t="e">
        <f>INDEX(Items!C$2:C$1032,MATCH($O109,Items!$A$2:$A$1032,0))</f>
        <v>#N/A</v>
      </c>
      <c r="R109" t="e">
        <f>INDEX(Items!D$2:D$1032,MATCH($O109,Items!$A$2:$A$1032,0))</f>
        <v>#N/A</v>
      </c>
    </row>
    <row r="110" spans="1:18" x14ac:dyDescent="0.25">
      <c r="A110">
        <f t="shared" si="8"/>
        <v>1</v>
      </c>
      <c r="B110" t="str">
        <f t="shared" si="9"/>
        <v/>
      </c>
      <c r="C110">
        <f t="shared" si="11"/>
        <v>1</v>
      </c>
      <c r="D110" s="4"/>
      <c r="E110" t="s">
        <v>18</v>
      </c>
      <c r="F110" t="str">
        <f>INDEX(Establishment!B$2:B$1005,MATCH($E110,Establishment!$A$2:$A$1005,0))</f>
        <v xml:space="preserve"> </v>
      </c>
      <c r="G110" t="str">
        <f>INDEX(Establishment!C$2:C$1005,MATCH($E110,Establishment!$A$2:$A$1005,0))</f>
        <v xml:space="preserve"> </v>
      </c>
      <c r="M110">
        <f t="shared" si="12"/>
        <v>0</v>
      </c>
      <c r="N110">
        <f t="shared" si="10"/>
        <v>0</v>
      </c>
      <c r="P110" t="e">
        <f>INDEX(Items!B$2:B$1032,MATCH($O110,Items!$A$2:$A$1032,0))</f>
        <v>#N/A</v>
      </c>
      <c r="Q110" t="e">
        <f>INDEX(Items!C$2:C$1032,MATCH($O110,Items!$A$2:$A$1032,0))</f>
        <v>#N/A</v>
      </c>
      <c r="R110" t="e">
        <f>INDEX(Items!D$2:D$1032,MATCH($O110,Items!$A$2:$A$1032,0))</f>
        <v>#N/A</v>
      </c>
    </row>
    <row r="111" spans="1:18" x14ac:dyDescent="0.25">
      <c r="A111">
        <f t="shared" si="8"/>
        <v>1</v>
      </c>
      <c r="B111" t="str">
        <f t="shared" si="9"/>
        <v/>
      </c>
      <c r="C111">
        <f t="shared" si="11"/>
        <v>1</v>
      </c>
      <c r="D111" s="4"/>
      <c r="E111" t="s">
        <v>18</v>
      </c>
      <c r="F111" t="str">
        <f>INDEX(Establishment!B$2:B$1005,MATCH($E111,Establishment!$A$2:$A$1005,0))</f>
        <v xml:space="preserve"> </v>
      </c>
      <c r="G111" t="str">
        <f>INDEX(Establishment!C$2:C$1005,MATCH($E111,Establishment!$A$2:$A$1005,0))</f>
        <v xml:space="preserve"> </v>
      </c>
      <c r="M111">
        <f t="shared" si="12"/>
        <v>0</v>
      </c>
      <c r="N111">
        <f t="shared" si="10"/>
        <v>0</v>
      </c>
      <c r="P111" t="e">
        <f>INDEX(Items!B$2:B$1032,MATCH($O111,Items!$A$2:$A$1032,0))</f>
        <v>#N/A</v>
      </c>
      <c r="Q111" t="e">
        <f>INDEX(Items!C$2:C$1032,MATCH($O111,Items!$A$2:$A$1032,0))</f>
        <v>#N/A</v>
      </c>
      <c r="R111" t="e">
        <f>INDEX(Items!D$2:D$1032,MATCH($O111,Items!$A$2:$A$1032,0))</f>
        <v>#N/A</v>
      </c>
    </row>
    <row r="112" spans="1:18" x14ac:dyDescent="0.25">
      <c r="A112">
        <f t="shared" si="8"/>
        <v>1</v>
      </c>
      <c r="B112" t="str">
        <f t="shared" si="9"/>
        <v/>
      </c>
      <c r="C112">
        <f t="shared" si="11"/>
        <v>1</v>
      </c>
      <c r="D112" s="4"/>
      <c r="E112" t="s">
        <v>18</v>
      </c>
      <c r="F112" t="str">
        <f>INDEX(Establishment!B$2:B$1005,MATCH($E112,Establishment!$A$2:$A$1005,0))</f>
        <v xml:space="preserve"> </v>
      </c>
      <c r="G112" t="str">
        <f>INDEX(Establishment!C$2:C$1005,MATCH($E112,Establishment!$A$2:$A$1005,0))</f>
        <v xml:space="preserve"> </v>
      </c>
      <c r="M112">
        <f t="shared" si="12"/>
        <v>0</v>
      </c>
      <c r="N112">
        <f t="shared" si="10"/>
        <v>0</v>
      </c>
      <c r="P112" t="e">
        <f>INDEX(Items!B$2:B$1032,MATCH($O112,Items!$A$2:$A$1032,0))</f>
        <v>#N/A</v>
      </c>
      <c r="Q112" t="e">
        <f>INDEX(Items!C$2:C$1032,MATCH($O112,Items!$A$2:$A$1032,0))</f>
        <v>#N/A</v>
      </c>
      <c r="R112" t="e">
        <f>INDEX(Items!D$2:D$1032,MATCH($O112,Items!$A$2:$A$1032,0))</f>
        <v>#N/A</v>
      </c>
    </row>
    <row r="113" spans="1:18" x14ac:dyDescent="0.25">
      <c r="A113">
        <f t="shared" si="8"/>
        <v>1</v>
      </c>
      <c r="B113" t="str">
        <f t="shared" si="9"/>
        <v/>
      </c>
      <c r="C113">
        <f t="shared" si="11"/>
        <v>1</v>
      </c>
      <c r="D113" s="4"/>
      <c r="E113" t="s">
        <v>18</v>
      </c>
      <c r="F113" t="str">
        <f>INDEX(Establishment!B$2:B$1005,MATCH($E113,Establishment!$A$2:$A$1005,0))</f>
        <v xml:space="preserve"> </v>
      </c>
      <c r="G113" t="str">
        <f>INDEX(Establishment!C$2:C$1005,MATCH($E113,Establishment!$A$2:$A$1005,0))</f>
        <v xml:space="preserve"> </v>
      </c>
      <c r="M113">
        <f t="shared" si="12"/>
        <v>0</v>
      </c>
      <c r="N113">
        <f t="shared" si="10"/>
        <v>0</v>
      </c>
      <c r="P113" t="e">
        <f>INDEX(Items!B$2:B$1032,MATCH($O113,Items!$A$2:$A$1032,0))</f>
        <v>#N/A</v>
      </c>
      <c r="Q113" t="e">
        <f>INDEX(Items!C$2:C$1032,MATCH($O113,Items!$A$2:$A$1032,0))</f>
        <v>#N/A</v>
      </c>
      <c r="R113" t="e">
        <f>INDEX(Items!D$2:D$1032,MATCH($O113,Items!$A$2:$A$1032,0))</f>
        <v>#N/A</v>
      </c>
    </row>
    <row r="114" spans="1:18" x14ac:dyDescent="0.25">
      <c r="A114">
        <f t="shared" si="8"/>
        <v>1</v>
      </c>
      <c r="B114" t="str">
        <f t="shared" si="9"/>
        <v/>
      </c>
      <c r="C114">
        <f t="shared" si="11"/>
        <v>1</v>
      </c>
      <c r="D114" s="4"/>
      <c r="E114" t="s">
        <v>18</v>
      </c>
      <c r="F114" t="str">
        <f>INDEX(Establishment!B$2:B$1005,MATCH($E114,Establishment!$A$2:$A$1005,0))</f>
        <v xml:space="preserve"> </v>
      </c>
      <c r="G114" t="str">
        <f>INDEX(Establishment!C$2:C$1005,MATCH($E114,Establishment!$A$2:$A$1005,0))</f>
        <v xml:space="preserve"> </v>
      </c>
      <c r="M114">
        <f t="shared" si="12"/>
        <v>0</v>
      </c>
      <c r="N114">
        <f t="shared" si="10"/>
        <v>0</v>
      </c>
      <c r="P114" t="e">
        <f>INDEX(Items!B$2:B$1032,MATCH($O114,Items!$A$2:$A$1032,0))</f>
        <v>#N/A</v>
      </c>
      <c r="Q114" t="e">
        <f>INDEX(Items!C$2:C$1032,MATCH($O114,Items!$A$2:$A$1032,0))</f>
        <v>#N/A</v>
      </c>
      <c r="R114" t="e">
        <f>INDEX(Items!D$2:D$1032,MATCH($O114,Items!$A$2:$A$1032,0))</f>
        <v>#N/A</v>
      </c>
    </row>
    <row r="115" spans="1:18" x14ac:dyDescent="0.25">
      <c r="A115">
        <f t="shared" si="8"/>
        <v>1</v>
      </c>
      <c r="B115" t="str">
        <f t="shared" si="9"/>
        <v/>
      </c>
      <c r="C115">
        <f t="shared" si="11"/>
        <v>1</v>
      </c>
      <c r="D115" s="4"/>
      <c r="E115" t="s">
        <v>18</v>
      </c>
      <c r="F115" t="str">
        <f>INDEX(Establishment!B$2:B$1005,MATCH($E115,Establishment!$A$2:$A$1005,0))</f>
        <v xml:space="preserve"> </v>
      </c>
      <c r="G115" t="str">
        <f>INDEX(Establishment!C$2:C$1005,MATCH($E115,Establishment!$A$2:$A$1005,0))</f>
        <v xml:space="preserve"> </v>
      </c>
      <c r="M115">
        <f t="shared" si="12"/>
        <v>0</v>
      </c>
      <c r="N115">
        <f t="shared" si="10"/>
        <v>0</v>
      </c>
      <c r="P115" t="e">
        <f>INDEX(Items!B$2:B$1032,MATCH($O115,Items!$A$2:$A$1032,0))</f>
        <v>#N/A</v>
      </c>
      <c r="Q115" t="e">
        <f>INDEX(Items!C$2:C$1032,MATCH($O115,Items!$A$2:$A$1032,0))</f>
        <v>#N/A</v>
      </c>
      <c r="R115" t="e">
        <f>INDEX(Items!D$2:D$1032,MATCH($O115,Items!$A$2:$A$1032,0))</f>
        <v>#N/A</v>
      </c>
    </row>
    <row r="116" spans="1:18" x14ac:dyDescent="0.25">
      <c r="A116">
        <f t="shared" si="8"/>
        <v>1</v>
      </c>
      <c r="B116" t="str">
        <f t="shared" si="9"/>
        <v/>
      </c>
      <c r="C116">
        <f t="shared" si="11"/>
        <v>1</v>
      </c>
      <c r="D116" s="4"/>
      <c r="E116" t="s">
        <v>18</v>
      </c>
      <c r="F116" t="str">
        <f>INDEX(Establishment!B$2:B$1005,MATCH($E116,Establishment!$A$2:$A$1005,0))</f>
        <v xml:space="preserve"> </v>
      </c>
      <c r="G116" t="str">
        <f>INDEX(Establishment!C$2:C$1005,MATCH($E116,Establishment!$A$2:$A$1005,0))</f>
        <v xml:space="preserve"> </v>
      </c>
      <c r="M116">
        <f t="shared" si="12"/>
        <v>0</v>
      </c>
      <c r="N116">
        <f t="shared" si="10"/>
        <v>0</v>
      </c>
      <c r="P116" t="e">
        <f>INDEX(Items!B$2:B$1032,MATCH($O116,Items!$A$2:$A$1032,0))</f>
        <v>#N/A</v>
      </c>
      <c r="Q116" t="e">
        <f>INDEX(Items!C$2:C$1032,MATCH($O116,Items!$A$2:$A$1032,0))</f>
        <v>#N/A</v>
      </c>
      <c r="R116" t="e">
        <f>INDEX(Items!D$2:D$1032,MATCH($O116,Items!$A$2:$A$1032,0))</f>
        <v>#N/A</v>
      </c>
    </row>
    <row r="117" spans="1:18" x14ac:dyDescent="0.25">
      <c r="A117">
        <f t="shared" si="8"/>
        <v>1</v>
      </c>
      <c r="B117" t="str">
        <f t="shared" si="9"/>
        <v/>
      </c>
      <c r="C117">
        <f t="shared" si="11"/>
        <v>1</v>
      </c>
      <c r="D117" s="4"/>
      <c r="E117" t="s">
        <v>18</v>
      </c>
      <c r="F117" t="str">
        <f>INDEX(Establishment!B$2:B$1005,MATCH($E117,Establishment!$A$2:$A$1005,0))</f>
        <v xml:space="preserve"> </v>
      </c>
      <c r="G117" t="str">
        <f>INDEX(Establishment!C$2:C$1005,MATCH($E117,Establishment!$A$2:$A$1005,0))</f>
        <v xml:space="preserve"> </v>
      </c>
      <c r="M117">
        <f t="shared" si="12"/>
        <v>0</v>
      </c>
      <c r="N117">
        <f t="shared" si="10"/>
        <v>0</v>
      </c>
      <c r="P117" t="e">
        <f>INDEX(Items!B$2:B$1032,MATCH($O117,Items!$A$2:$A$1032,0))</f>
        <v>#N/A</v>
      </c>
      <c r="Q117" t="e">
        <f>INDEX(Items!C$2:C$1032,MATCH($O117,Items!$A$2:$A$1032,0))</f>
        <v>#N/A</v>
      </c>
      <c r="R117" t="e">
        <f>INDEX(Items!D$2:D$1032,MATCH($O117,Items!$A$2:$A$1032,0))</f>
        <v>#N/A</v>
      </c>
    </row>
    <row r="118" spans="1:18" x14ac:dyDescent="0.25">
      <c r="A118">
        <f t="shared" si="8"/>
        <v>1</v>
      </c>
      <c r="B118" t="str">
        <f t="shared" si="9"/>
        <v/>
      </c>
      <c r="C118">
        <f t="shared" si="11"/>
        <v>1</v>
      </c>
      <c r="D118" s="4"/>
      <c r="E118" t="s">
        <v>18</v>
      </c>
      <c r="F118" t="str">
        <f>INDEX(Establishment!B$2:B$1005,MATCH($E118,Establishment!$A$2:$A$1005,0))</f>
        <v xml:space="preserve"> </v>
      </c>
      <c r="G118" t="str">
        <f>INDEX(Establishment!C$2:C$1005,MATCH($E118,Establishment!$A$2:$A$1005,0))</f>
        <v xml:space="preserve"> </v>
      </c>
      <c r="M118">
        <f t="shared" si="12"/>
        <v>0</v>
      </c>
      <c r="N118">
        <f t="shared" si="10"/>
        <v>0</v>
      </c>
      <c r="P118" t="e">
        <f>INDEX(Items!B$2:B$1032,MATCH($O118,Items!$A$2:$A$1032,0))</f>
        <v>#N/A</v>
      </c>
      <c r="Q118" t="e">
        <f>INDEX(Items!C$2:C$1032,MATCH($O118,Items!$A$2:$A$1032,0))</f>
        <v>#N/A</v>
      </c>
      <c r="R118" t="e">
        <f>INDEX(Items!D$2:D$1032,MATCH($O118,Items!$A$2:$A$1032,0))</f>
        <v>#N/A</v>
      </c>
    </row>
    <row r="119" spans="1:18" x14ac:dyDescent="0.25">
      <c r="A119">
        <f t="shared" si="8"/>
        <v>1</v>
      </c>
      <c r="B119" t="str">
        <f t="shared" si="9"/>
        <v/>
      </c>
      <c r="C119">
        <f t="shared" si="11"/>
        <v>1</v>
      </c>
      <c r="D119" s="4"/>
      <c r="E119" t="s">
        <v>18</v>
      </c>
      <c r="F119" t="str">
        <f>INDEX(Establishment!B$2:B$1005,MATCH($E119,Establishment!$A$2:$A$1005,0))</f>
        <v xml:space="preserve"> </v>
      </c>
      <c r="G119" t="str">
        <f>INDEX(Establishment!C$2:C$1005,MATCH($E119,Establishment!$A$2:$A$1005,0))</f>
        <v xml:space="preserve"> </v>
      </c>
      <c r="M119">
        <f t="shared" si="12"/>
        <v>0</v>
      </c>
      <c r="N119">
        <f t="shared" si="10"/>
        <v>0</v>
      </c>
      <c r="P119" t="e">
        <f>INDEX(Items!B$2:B$1032,MATCH($O119,Items!$A$2:$A$1032,0))</f>
        <v>#N/A</v>
      </c>
      <c r="Q119" t="e">
        <f>INDEX(Items!C$2:C$1032,MATCH($O119,Items!$A$2:$A$1032,0))</f>
        <v>#N/A</v>
      </c>
      <c r="R119" t="e">
        <f>INDEX(Items!D$2:D$1032,MATCH($O119,Items!$A$2:$A$1032,0))</f>
        <v>#N/A</v>
      </c>
    </row>
    <row r="120" spans="1:18" x14ac:dyDescent="0.25">
      <c r="A120">
        <f t="shared" si="8"/>
        <v>1</v>
      </c>
      <c r="B120" t="str">
        <f t="shared" si="9"/>
        <v/>
      </c>
      <c r="C120">
        <f t="shared" si="11"/>
        <v>1</v>
      </c>
      <c r="D120" s="4"/>
      <c r="E120" t="s">
        <v>18</v>
      </c>
      <c r="F120" t="str">
        <f>INDEX(Establishment!B$2:B$1005,MATCH($E120,Establishment!$A$2:$A$1005,0))</f>
        <v xml:space="preserve"> </v>
      </c>
      <c r="G120" t="str">
        <f>INDEX(Establishment!C$2:C$1005,MATCH($E120,Establishment!$A$2:$A$1005,0))</f>
        <v xml:space="preserve"> </v>
      </c>
      <c r="M120">
        <f t="shared" si="12"/>
        <v>0</v>
      </c>
      <c r="N120">
        <f t="shared" si="10"/>
        <v>0</v>
      </c>
      <c r="P120" t="e">
        <f>INDEX(Items!B$2:B$1032,MATCH($O120,Items!$A$2:$A$1032,0))</f>
        <v>#N/A</v>
      </c>
      <c r="Q120" t="e">
        <f>INDEX(Items!C$2:C$1032,MATCH($O120,Items!$A$2:$A$1032,0))</f>
        <v>#N/A</v>
      </c>
      <c r="R120" t="e">
        <f>INDEX(Items!D$2:D$1032,MATCH($O120,Items!$A$2:$A$1032,0))</f>
        <v>#N/A</v>
      </c>
    </row>
    <row r="121" spans="1:18" x14ac:dyDescent="0.25">
      <c r="A121">
        <f t="shared" si="8"/>
        <v>1</v>
      </c>
      <c r="B121" t="str">
        <f t="shared" si="9"/>
        <v/>
      </c>
      <c r="C121">
        <f t="shared" si="11"/>
        <v>1</v>
      </c>
      <c r="D121" s="4"/>
      <c r="E121" t="s">
        <v>18</v>
      </c>
      <c r="F121" t="str">
        <f>INDEX(Establishment!B$2:B$1005,MATCH($E121,Establishment!$A$2:$A$1005,0))</f>
        <v xml:space="preserve"> </v>
      </c>
      <c r="G121" t="str">
        <f>INDEX(Establishment!C$2:C$1005,MATCH($E121,Establishment!$A$2:$A$1005,0))</f>
        <v xml:space="preserve"> </v>
      </c>
      <c r="M121">
        <f t="shared" si="12"/>
        <v>0</v>
      </c>
      <c r="N121">
        <f t="shared" si="10"/>
        <v>0</v>
      </c>
      <c r="P121" t="e">
        <f>INDEX(Items!B$2:B$1032,MATCH($O121,Items!$A$2:$A$1032,0))</f>
        <v>#N/A</v>
      </c>
      <c r="Q121" t="e">
        <f>INDEX(Items!C$2:C$1032,MATCH($O121,Items!$A$2:$A$1032,0))</f>
        <v>#N/A</v>
      </c>
      <c r="R121" t="e">
        <f>INDEX(Items!D$2:D$1032,MATCH($O121,Items!$A$2:$A$1032,0))</f>
        <v>#N/A</v>
      </c>
    </row>
    <row r="122" spans="1:18" x14ac:dyDescent="0.25">
      <c r="A122">
        <f t="shared" si="8"/>
        <v>1</v>
      </c>
      <c r="B122" t="str">
        <f t="shared" si="9"/>
        <v/>
      </c>
      <c r="C122">
        <f t="shared" si="11"/>
        <v>1</v>
      </c>
      <c r="D122" s="4"/>
      <c r="E122" t="s">
        <v>18</v>
      </c>
      <c r="F122" t="str">
        <f>INDEX(Establishment!B$2:B$1005,MATCH($E122,Establishment!$A$2:$A$1005,0))</f>
        <v xml:space="preserve"> </v>
      </c>
      <c r="G122" t="str">
        <f>INDEX(Establishment!C$2:C$1005,MATCH($E122,Establishment!$A$2:$A$1005,0))</f>
        <v xml:space="preserve"> </v>
      </c>
      <c r="M122">
        <f t="shared" si="12"/>
        <v>0</v>
      </c>
      <c r="N122">
        <f t="shared" si="10"/>
        <v>0</v>
      </c>
      <c r="P122" t="e">
        <f>INDEX(Items!B$2:B$1032,MATCH($O122,Items!$A$2:$A$1032,0))</f>
        <v>#N/A</v>
      </c>
      <c r="Q122" t="e">
        <f>INDEX(Items!C$2:C$1032,MATCH($O122,Items!$A$2:$A$1032,0))</f>
        <v>#N/A</v>
      </c>
      <c r="R122" t="e">
        <f>INDEX(Items!D$2:D$1032,MATCH($O122,Items!$A$2:$A$1032,0))</f>
        <v>#N/A</v>
      </c>
    </row>
    <row r="123" spans="1:18" x14ac:dyDescent="0.25">
      <c r="A123">
        <f t="shared" si="8"/>
        <v>1</v>
      </c>
      <c r="B123" t="str">
        <f t="shared" si="9"/>
        <v/>
      </c>
      <c r="C123">
        <f t="shared" si="11"/>
        <v>1</v>
      </c>
      <c r="D123" s="4"/>
      <c r="E123" t="s">
        <v>18</v>
      </c>
      <c r="F123" t="str">
        <f>INDEX(Establishment!B$2:B$1005,MATCH($E123,Establishment!$A$2:$A$1005,0))</f>
        <v xml:space="preserve"> </v>
      </c>
      <c r="G123" t="str">
        <f>INDEX(Establishment!C$2:C$1005,MATCH($E123,Establishment!$A$2:$A$1005,0))</f>
        <v xml:space="preserve"> </v>
      </c>
      <c r="M123">
        <f t="shared" si="12"/>
        <v>0</v>
      </c>
      <c r="N123">
        <f t="shared" si="10"/>
        <v>0</v>
      </c>
      <c r="P123" t="e">
        <f>INDEX(Items!B$2:B$1032,MATCH($O123,Items!$A$2:$A$1032,0))</f>
        <v>#N/A</v>
      </c>
      <c r="Q123" t="e">
        <f>INDEX(Items!C$2:C$1032,MATCH($O123,Items!$A$2:$A$1032,0))</f>
        <v>#N/A</v>
      </c>
      <c r="R123" t="e">
        <f>INDEX(Items!D$2:D$1032,MATCH($O123,Items!$A$2:$A$1032,0))</f>
        <v>#N/A</v>
      </c>
    </row>
    <row r="124" spans="1:18" x14ac:dyDescent="0.25">
      <c r="A124">
        <f t="shared" si="8"/>
        <v>1</v>
      </c>
      <c r="B124" t="str">
        <f t="shared" si="9"/>
        <v/>
      </c>
      <c r="C124">
        <f t="shared" si="11"/>
        <v>1</v>
      </c>
      <c r="D124" s="4"/>
      <c r="E124" t="s">
        <v>18</v>
      </c>
      <c r="F124" t="str">
        <f>INDEX(Establishment!B$2:B$1005,MATCH($E124,Establishment!$A$2:$A$1005,0))</f>
        <v xml:space="preserve"> </v>
      </c>
      <c r="G124" t="str">
        <f>INDEX(Establishment!C$2:C$1005,MATCH($E124,Establishment!$A$2:$A$1005,0))</f>
        <v xml:space="preserve"> </v>
      </c>
      <c r="M124">
        <f t="shared" si="12"/>
        <v>0</v>
      </c>
      <c r="N124">
        <f t="shared" si="10"/>
        <v>0</v>
      </c>
      <c r="P124" t="e">
        <f>INDEX(Items!B$2:B$1032,MATCH($O124,Items!$A$2:$A$1032,0))</f>
        <v>#N/A</v>
      </c>
      <c r="Q124" t="e">
        <f>INDEX(Items!C$2:C$1032,MATCH($O124,Items!$A$2:$A$1032,0))</f>
        <v>#N/A</v>
      </c>
      <c r="R124" t="e">
        <f>INDEX(Items!D$2:D$1032,MATCH($O124,Items!$A$2:$A$1032,0))</f>
        <v>#N/A</v>
      </c>
    </row>
    <row r="125" spans="1:18" x14ac:dyDescent="0.25">
      <c r="A125">
        <f t="shared" si="8"/>
        <v>1</v>
      </c>
      <c r="B125" t="str">
        <f t="shared" si="9"/>
        <v/>
      </c>
      <c r="C125">
        <f t="shared" si="11"/>
        <v>1</v>
      </c>
      <c r="D125" s="4"/>
      <c r="E125" t="s">
        <v>18</v>
      </c>
      <c r="F125" t="str">
        <f>INDEX(Establishment!B$2:B$1005,MATCH($E125,Establishment!$A$2:$A$1005,0))</f>
        <v xml:space="preserve"> </v>
      </c>
      <c r="G125" t="str">
        <f>INDEX(Establishment!C$2:C$1005,MATCH($E125,Establishment!$A$2:$A$1005,0))</f>
        <v xml:space="preserve"> </v>
      </c>
      <c r="M125">
        <f t="shared" si="12"/>
        <v>0</v>
      </c>
      <c r="N125">
        <f t="shared" si="10"/>
        <v>0</v>
      </c>
      <c r="P125" t="e">
        <f>INDEX(Items!B$2:B$1032,MATCH($O125,Items!$A$2:$A$1032,0))</f>
        <v>#N/A</v>
      </c>
      <c r="Q125" t="e">
        <f>INDEX(Items!C$2:C$1032,MATCH($O125,Items!$A$2:$A$1032,0))</f>
        <v>#N/A</v>
      </c>
      <c r="R125" t="e">
        <f>INDEX(Items!D$2:D$1032,MATCH($O125,Items!$A$2:$A$1032,0))</f>
        <v>#N/A</v>
      </c>
    </row>
    <row r="126" spans="1:18" x14ac:dyDescent="0.25">
      <c r="A126">
        <f t="shared" si="8"/>
        <v>1</v>
      </c>
      <c r="B126" t="str">
        <f t="shared" si="9"/>
        <v/>
      </c>
      <c r="C126">
        <f t="shared" si="11"/>
        <v>1</v>
      </c>
      <c r="D126" s="4"/>
      <c r="E126" t="s">
        <v>18</v>
      </c>
      <c r="F126" t="str">
        <f>INDEX(Establishment!B$2:B$1005,MATCH($E126,Establishment!$A$2:$A$1005,0))</f>
        <v xml:space="preserve"> </v>
      </c>
      <c r="G126" t="str">
        <f>INDEX(Establishment!C$2:C$1005,MATCH($E126,Establishment!$A$2:$A$1005,0))</f>
        <v xml:space="preserve"> </v>
      </c>
      <c r="M126">
        <f t="shared" si="12"/>
        <v>0</v>
      </c>
      <c r="N126">
        <f t="shared" si="10"/>
        <v>0</v>
      </c>
      <c r="P126" t="e">
        <f>INDEX(Items!B$2:B$1032,MATCH($O126,Items!$A$2:$A$1032,0))</f>
        <v>#N/A</v>
      </c>
      <c r="Q126" t="e">
        <f>INDEX(Items!C$2:C$1032,MATCH($O126,Items!$A$2:$A$1032,0))</f>
        <v>#N/A</v>
      </c>
      <c r="R126" t="e">
        <f>INDEX(Items!D$2:D$1032,MATCH($O126,Items!$A$2:$A$1032,0))</f>
        <v>#N/A</v>
      </c>
    </row>
    <row r="127" spans="1:18" x14ac:dyDescent="0.25">
      <c r="A127">
        <f t="shared" si="8"/>
        <v>1</v>
      </c>
      <c r="B127" t="str">
        <f t="shared" si="9"/>
        <v/>
      </c>
      <c r="C127">
        <f t="shared" si="11"/>
        <v>1</v>
      </c>
      <c r="D127" s="4"/>
      <c r="E127" t="s">
        <v>18</v>
      </c>
      <c r="F127" t="str">
        <f>INDEX(Establishment!B$2:B$1005,MATCH($E127,Establishment!$A$2:$A$1005,0))</f>
        <v xml:space="preserve"> </v>
      </c>
      <c r="G127" t="str">
        <f>INDEX(Establishment!C$2:C$1005,MATCH($E127,Establishment!$A$2:$A$1005,0))</f>
        <v xml:space="preserve"> </v>
      </c>
      <c r="M127">
        <f t="shared" si="12"/>
        <v>0</v>
      </c>
      <c r="N127">
        <f t="shared" si="10"/>
        <v>0</v>
      </c>
      <c r="P127" t="e">
        <f>INDEX(Items!B$2:B$1032,MATCH($O127,Items!$A$2:$A$1032,0))</f>
        <v>#N/A</v>
      </c>
      <c r="Q127" t="e">
        <f>INDEX(Items!C$2:C$1032,MATCH($O127,Items!$A$2:$A$1032,0))</f>
        <v>#N/A</v>
      </c>
      <c r="R127" t="e">
        <f>INDEX(Items!D$2:D$1032,MATCH($O127,Items!$A$2:$A$1032,0))</f>
        <v>#N/A</v>
      </c>
    </row>
    <row r="128" spans="1:18" x14ac:dyDescent="0.25">
      <c r="A128">
        <f t="shared" si="8"/>
        <v>1</v>
      </c>
      <c r="B128" t="str">
        <f t="shared" si="9"/>
        <v/>
      </c>
      <c r="C128">
        <f t="shared" si="11"/>
        <v>1</v>
      </c>
      <c r="D128" s="4"/>
      <c r="E128" t="s">
        <v>18</v>
      </c>
      <c r="F128" t="str">
        <f>INDEX(Establishment!B$2:B$1005,MATCH($E128,Establishment!$A$2:$A$1005,0))</f>
        <v xml:space="preserve"> </v>
      </c>
      <c r="G128" t="str">
        <f>INDEX(Establishment!C$2:C$1005,MATCH($E128,Establishment!$A$2:$A$1005,0))</f>
        <v xml:space="preserve"> </v>
      </c>
      <c r="M128">
        <f t="shared" si="12"/>
        <v>0</v>
      </c>
      <c r="N128">
        <f t="shared" si="10"/>
        <v>0</v>
      </c>
      <c r="P128" t="e">
        <f>INDEX(Items!B$2:B$1032,MATCH($O128,Items!$A$2:$A$1032,0))</f>
        <v>#N/A</v>
      </c>
      <c r="Q128" t="e">
        <f>INDEX(Items!C$2:C$1032,MATCH($O128,Items!$A$2:$A$1032,0))</f>
        <v>#N/A</v>
      </c>
      <c r="R128" t="e">
        <f>INDEX(Items!D$2:D$1032,MATCH($O128,Items!$A$2:$A$1032,0))</f>
        <v>#N/A</v>
      </c>
    </row>
    <row r="129" spans="1:18" x14ac:dyDescent="0.25">
      <c r="A129">
        <f t="shared" si="8"/>
        <v>1</v>
      </c>
      <c r="B129" t="str">
        <f t="shared" si="9"/>
        <v/>
      </c>
      <c r="C129">
        <f t="shared" si="11"/>
        <v>1</v>
      </c>
      <c r="D129" s="4"/>
      <c r="E129" t="s">
        <v>18</v>
      </c>
      <c r="F129" t="str">
        <f>INDEX(Establishment!B$2:B$1005,MATCH($E129,Establishment!$A$2:$A$1005,0))</f>
        <v xml:space="preserve"> </v>
      </c>
      <c r="G129" t="str">
        <f>INDEX(Establishment!C$2:C$1005,MATCH($E129,Establishment!$A$2:$A$1005,0))</f>
        <v xml:space="preserve"> </v>
      </c>
      <c r="M129">
        <f t="shared" si="12"/>
        <v>0</v>
      </c>
      <c r="N129">
        <f t="shared" si="10"/>
        <v>0</v>
      </c>
      <c r="P129" t="e">
        <f>INDEX(Items!B$2:B$1032,MATCH($O129,Items!$A$2:$A$1032,0))</f>
        <v>#N/A</v>
      </c>
      <c r="Q129" t="e">
        <f>INDEX(Items!C$2:C$1032,MATCH($O129,Items!$A$2:$A$1032,0))</f>
        <v>#N/A</v>
      </c>
      <c r="R129" t="e">
        <f>INDEX(Items!D$2:D$1032,MATCH($O129,Items!$A$2:$A$1032,0))</f>
        <v>#N/A</v>
      </c>
    </row>
    <row r="130" spans="1:18" x14ac:dyDescent="0.25">
      <c r="A130">
        <f t="shared" ref="A130:A193" si="13">IF(OR(D130&lt;&gt;D129,D130=""),1,IF(NOT(AND(E130=E129,F130=F129,G130=G129)),A129+1,IF(OR(H130="",AND(H130&lt;&gt;"",H130&lt;&gt;H129,H129&lt;&gt;"")),A129,A129+1)))</f>
        <v>1</v>
      </c>
      <c r="B130" t="str">
        <f t="shared" ref="B130:B193" si="14">IF(D130&lt;&gt;"",TEXT(D130,"YYYYMMDD")&amp;CHAR(64+A130),"")</f>
        <v/>
      </c>
      <c r="C130">
        <f t="shared" si="11"/>
        <v>1</v>
      </c>
      <c r="D130" s="4"/>
      <c r="E130" t="s">
        <v>18</v>
      </c>
      <c r="F130" t="str">
        <f>INDEX(Establishment!B$2:B$1005,MATCH($E130,Establishment!$A$2:$A$1005,0))</f>
        <v xml:space="preserve"> </v>
      </c>
      <c r="G130" t="str">
        <f>INDEX(Establishment!C$2:C$1005,MATCH($E130,Establishment!$A$2:$A$1005,0))</f>
        <v xml:space="preserve"> </v>
      </c>
      <c r="M130">
        <f t="shared" si="12"/>
        <v>0</v>
      </c>
      <c r="N130">
        <f t="shared" si="10"/>
        <v>0</v>
      </c>
      <c r="P130" t="e">
        <f>INDEX(Items!B$2:B$1032,MATCH($O130,Items!$A$2:$A$1032,0))</f>
        <v>#N/A</v>
      </c>
      <c r="Q130" t="e">
        <f>INDEX(Items!C$2:C$1032,MATCH($O130,Items!$A$2:$A$1032,0))</f>
        <v>#N/A</v>
      </c>
      <c r="R130" t="e">
        <f>INDEX(Items!D$2:D$1032,MATCH($O130,Items!$A$2:$A$1032,0))</f>
        <v>#N/A</v>
      </c>
    </row>
    <row r="131" spans="1:18" x14ac:dyDescent="0.25">
      <c r="A131">
        <f t="shared" si="13"/>
        <v>1</v>
      </c>
      <c r="B131" t="str">
        <f t="shared" si="14"/>
        <v/>
      </c>
      <c r="C131">
        <f t="shared" si="11"/>
        <v>1</v>
      </c>
      <c r="D131" s="4"/>
      <c r="E131" t="s">
        <v>18</v>
      </c>
      <c r="F131" t="str">
        <f>INDEX(Establishment!B$2:B$1005,MATCH($E131,Establishment!$A$2:$A$1005,0))</f>
        <v xml:space="preserve"> </v>
      </c>
      <c r="G131" t="str">
        <f>INDEX(Establishment!C$2:C$1005,MATCH($E131,Establishment!$A$2:$A$1005,0))</f>
        <v xml:space="preserve"> </v>
      </c>
      <c r="M131">
        <f t="shared" si="12"/>
        <v>0</v>
      </c>
      <c r="N131">
        <f t="shared" ref="N131:N194" si="15">IF(B131=B130,N130+M131,M131)</f>
        <v>0</v>
      </c>
      <c r="P131" t="e">
        <f>INDEX(Items!B$2:B$1032,MATCH($O131,Items!$A$2:$A$1032,0))</f>
        <v>#N/A</v>
      </c>
      <c r="Q131" t="e">
        <f>INDEX(Items!C$2:C$1032,MATCH($O131,Items!$A$2:$A$1032,0))</f>
        <v>#N/A</v>
      </c>
      <c r="R131" t="e">
        <f>INDEX(Items!D$2:D$1032,MATCH($O131,Items!$A$2:$A$1032,0))</f>
        <v>#N/A</v>
      </c>
    </row>
    <row r="132" spans="1:18" x14ac:dyDescent="0.25">
      <c r="A132">
        <f t="shared" si="13"/>
        <v>1</v>
      </c>
      <c r="B132" t="str">
        <f t="shared" si="14"/>
        <v/>
      </c>
      <c r="C132">
        <f t="shared" si="11"/>
        <v>1</v>
      </c>
      <c r="D132" s="4"/>
      <c r="E132" t="s">
        <v>18</v>
      </c>
      <c r="F132" t="str">
        <f>INDEX(Establishment!B$2:B$1005,MATCH($E132,Establishment!$A$2:$A$1005,0))</f>
        <v xml:space="preserve"> </v>
      </c>
      <c r="G132" t="str">
        <f>INDEX(Establishment!C$2:C$1005,MATCH($E132,Establishment!$A$2:$A$1005,0))</f>
        <v xml:space="preserve"> </v>
      </c>
      <c r="M132">
        <f t="shared" si="12"/>
        <v>0</v>
      </c>
      <c r="N132">
        <f t="shared" si="15"/>
        <v>0</v>
      </c>
      <c r="P132" t="e">
        <f>INDEX(Items!B$2:B$1032,MATCH($O132,Items!$A$2:$A$1032,0))</f>
        <v>#N/A</v>
      </c>
      <c r="Q132" t="e">
        <f>INDEX(Items!C$2:C$1032,MATCH($O132,Items!$A$2:$A$1032,0))</f>
        <v>#N/A</v>
      </c>
      <c r="R132" t="e">
        <f>INDEX(Items!D$2:D$1032,MATCH($O132,Items!$A$2:$A$1032,0))</f>
        <v>#N/A</v>
      </c>
    </row>
    <row r="133" spans="1:18" x14ac:dyDescent="0.25">
      <c r="A133">
        <f t="shared" si="13"/>
        <v>1</v>
      </c>
      <c r="B133" t="str">
        <f t="shared" si="14"/>
        <v/>
      </c>
      <c r="C133">
        <f t="shared" si="11"/>
        <v>1</v>
      </c>
      <c r="D133" s="4"/>
      <c r="E133" t="s">
        <v>18</v>
      </c>
      <c r="F133" t="str">
        <f>INDEX(Establishment!B$2:B$1005,MATCH($E133,Establishment!$A$2:$A$1005,0))</f>
        <v xml:space="preserve"> </v>
      </c>
      <c r="G133" t="str">
        <f>INDEX(Establishment!C$2:C$1005,MATCH($E133,Establishment!$A$2:$A$1005,0))</f>
        <v xml:space="preserve"> </v>
      </c>
      <c r="M133">
        <f t="shared" si="12"/>
        <v>0</v>
      </c>
      <c r="N133">
        <f t="shared" si="15"/>
        <v>0</v>
      </c>
      <c r="P133" t="e">
        <f>INDEX(Items!B$2:B$1032,MATCH($O133,Items!$A$2:$A$1032,0))</f>
        <v>#N/A</v>
      </c>
      <c r="Q133" t="e">
        <f>INDEX(Items!C$2:C$1032,MATCH($O133,Items!$A$2:$A$1032,0))</f>
        <v>#N/A</v>
      </c>
      <c r="R133" t="e">
        <f>INDEX(Items!D$2:D$1032,MATCH($O133,Items!$A$2:$A$1032,0))</f>
        <v>#N/A</v>
      </c>
    </row>
    <row r="134" spans="1:18" x14ac:dyDescent="0.25">
      <c r="A134">
        <f t="shared" si="13"/>
        <v>1</v>
      </c>
      <c r="B134" t="str">
        <f t="shared" si="14"/>
        <v/>
      </c>
      <c r="C134">
        <f t="shared" si="11"/>
        <v>1</v>
      </c>
      <c r="D134" s="4"/>
      <c r="E134" t="s">
        <v>18</v>
      </c>
      <c r="F134" t="str">
        <f>INDEX(Establishment!B$2:B$1005,MATCH($E134,Establishment!$A$2:$A$1005,0))</f>
        <v xml:space="preserve"> </v>
      </c>
      <c r="G134" t="str">
        <f>INDEX(Establishment!C$2:C$1005,MATCH($E134,Establishment!$A$2:$A$1005,0))</f>
        <v xml:space="preserve"> </v>
      </c>
      <c r="M134">
        <f t="shared" si="12"/>
        <v>0</v>
      </c>
      <c r="N134">
        <f t="shared" si="15"/>
        <v>0</v>
      </c>
      <c r="P134" t="e">
        <f>INDEX(Items!B$2:B$1032,MATCH($O134,Items!$A$2:$A$1032,0))</f>
        <v>#N/A</v>
      </c>
      <c r="Q134" t="e">
        <f>INDEX(Items!C$2:C$1032,MATCH($O134,Items!$A$2:$A$1032,0))</f>
        <v>#N/A</v>
      </c>
      <c r="R134" t="e">
        <f>INDEX(Items!D$2:D$1032,MATCH($O134,Items!$A$2:$A$1032,0))</f>
        <v>#N/A</v>
      </c>
    </row>
    <row r="135" spans="1:18" x14ac:dyDescent="0.25">
      <c r="A135">
        <f t="shared" si="13"/>
        <v>1</v>
      </c>
      <c r="B135" t="str">
        <f t="shared" si="14"/>
        <v/>
      </c>
      <c r="C135">
        <f t="shared" si="11"/>
        <v>1</v>
      </c>
      <c r="D135" s="4"/>
      <c r="E135" t="s">
        <v>18</v>
      </c>
      <c r="F135" t="str">
        <f>INDEX(Establishment!B$2:B$1005,MATCH($E135,Establishment!$A$2:$A$1005,0))</f>
        <v xml:space="preserve"> </v>
      </c>
      <c r="G135" t="str">
        <f>INDEX(Establishment!C$2:C$1005,MATCH($E135,Establishment!$A$2:$A$1005,0))</f>
        <v xml:space="preserve"> </v>
      </c>
      <c r="M135">
        <f t="shared" si="12"/>
        <v>0</v>
      </c>
      <c r="N135">
        <f t="shared" si="15"/>
        <v>0</v>
      </c>
      <c r="P135" t="e">
        <f>INDEX(Items!B$2:B$1032,MATCH($O135,Items!$A$2:$A$1032,0))</f>
        <v>#N/A</v>
      </c>
      <c r="Q135" t="e">
        <f>INDEX(Items!C$2:C$1032,MATCH($O135,Items!$A$2:$A$1032,0))</f>
        <v>#N/A</v>
      </c>
      <c r="R135" t="e">
        <f>INDEX(Items!D$2:D$1032,MATCH($O135,Items!$A$2:$A$1032,0))</f>
        <v>#N/A</v>
      </c>
    </row>
    <row r="136" spans="1:18" x14ac:dyDescent="0.25">
      <c r="A136">
        <f t="shared" si="13"/>
        <v>1</v>
      </c>
      <c r="B136" t="str">
        <f t="shared" si="14"/>
        <v/>
      </c>
      <c r="C136">
        <f t="shared" si="11"/>
        <v>1</v>
      </c>
      <c r="D136" s="4"/>
      <c r="E136" t="s">
        <v>18</v>
      </c>
      <c r="F136" t="str">
        <f>INDEX(Establishment!B$2:B$1005,MATCH($E136,Establishment!$A$2:$A$1005,0))</f>
        <v xml:space="preserve"> </v>
      </c>
      <c r="G136" t="str">
        <f>INDEX(Establishment!C$2:C$1005,MATCH($E136,Establishment!$A$2:$A$1005,0))</f>
        <v xml:space="preserve"> </v>
      </c>
      <c r="M136">
        <f t="shared" si="12"/>
        <v>0</v>
      </c>
      <c r="N136">
        <f t="shared" si="15"/>
        <v>0</v>
      </c>
      <c r="P136" t="e">
        <f>INDEX(Items!B$2:B$1032,MATCH($O136,Items!$A$2:$A$1032,0))</f>
        <v>#N/A</v>
      </c>
      <c r="Q136" t="e">
        <f>INDEX(Items!C$2:C$1032,MATCH($O136,Items!$A$2:$A$1032,0))</f>
        <v>#N/A</v>
      </c>
      <c r="R136" t="e">
        <f>INDEX(Items!D$2:D$1032,MATCH($O136,Items!$A$2:$A$1032,0))</f>
        <v>#N/A</v>
      </c>
    </row>
    <row r="137" spans="1:18" x14ac:dyDescent="0.25">
      <c r="A137">
        <f t="shared" si="13"/>
        <v>1</v>
      </c>
      <c r="B137" t="str">
        <f t="shared" si="14"/>
        <v/>
      </c>
      <c r="C137">
        <f t="shared" si="11"/>
        <v>1</v>
      </c>
      <c r="D137" s="4"/>
      <c r="E137" t="s">
        <v>18</v>
      </c>
      <c r="F137" t="str">
        <f>INDEX(Establishment!B$2:B$1005,MATCH($E137,Establishment!$A$2:$A$1005,0))</f>
        <v xml:space="preserve"> </v>
      </c>
      <c r="G137" t="str">
        <f>INDEX(Establishment!C$2:C$1005,MATCH($E137,Establishment!$A$2:$A$1005,0))</f>
        <v xml:space="preserve"> </v>
      </c>
      <c r="M137">
        <f t="shared" si="12"/>
        <v>0</v>
      </c>
      <c r="N137">
        <f t="shared" si="15"/>
        <v>0</v>
      </c>
      <c r="P137" t="e">
        <f>INDEX(Items!B$2:B$1032,MATCH($O137,Items!$A$2:$A$1032,0))</f>
        <v>#N/A</v>
      </c>
      <c r="Q137" t="e">
        <f>INDEX(Items!C$2:C$1032,MATCH($O137,Items!$A$2:$A$1032,0))</f>
        <v>#N/A</v>
      </c>
      <c r="R137" t="e">
        <f>INDEX(Items!D$2:D$1032,MATCH($O137,Items!$A$2:$A$1032,0))</f>
        <v>#N/A</v>
      </c>
    </row>
    <row r="138" spans="1:18" x14ac:dyDescent="0.25">
      <c r="A138">
        <f t="shared" si="13"/>
        <v>1</v>
      </c>
      <c r="B138" t="str">
        <f t="shared" si="14"/>
        <v/>
      </c>
      <c r="C138">
        <f t="shared" ref="C138:C201" si="16">IF(OR(B138="",B138&lt;&gt;B137),1,C137+1)</f>
        <v>1</v>
      </c>
      <c r="D138" s="4"/>
      <c r="E138" t="s">
        <v>18</v>
      </c>
      <c r="F138" t="str">
        <f>INDEX(Establishment!B$2:B$1005,MATCH($E138,Establishment!$A$2:$A$1005,0))</f>
        <v xml:space="preserve"> </v>
      </c>
      <c r="G138" t="str">
        <f>INDEX(Establishment!C$2:C$1005,MATCH($E138,Establishment!$A$2:$A$1005,0))</f>
        <v xml:space="preserve"> </v>
      </c>
      <c r="M138">
        <f t="shared" ref="M138:M201" si="17">K138*L138</f>
        <v>0</v>
      </c>
      <c r="N138">
        <f t="shared" si="15"/>
        <v>0</v>
      </c>
      <c r="P138" t="e">
        <f>INDEX(Items!B$2:B$1032,MATCH($O138,Items!$A$2:$A$1032,0))</f>
        <v>#N/A</v>
      </c>
      <c r="Q138" t="e">
        <f>INDEX(Items!C$2:C$1032,MATCH($O138,Items!$A$2:$A$1032,0))</f>
        <v>#N/A</v>
      </c>
      <c r="R138" t="e">
        <f>INDEX(Items!D$2:D$1032,MATCH($O138,Items!$A$2:$A$1032,0))</f>
        <v>#N/A</v>
      </c>
    </row>
    <row r="139" spans="1:18" x14ac:dyDescent="0.25">
      <c r="A139">
        <f t="shared" si="13"/>
        <v>1</v>
      </c>
      <c r="B139" t="str">
        <f t="shared" si="14"/>
        <v/>
      </c>
      <c r="C139">
        <f t="shared" si="16"/>
        <v>1</v>
      </c>
      <c r="D139" s="4"/>
      <c r="E139" t="s">
        <v>18</v>
      </c>
      <c r="F139" t="str">
        <f>INDEX(Establishment!B$2:B$1005,MATCH($E139,Establishment!$A$2:$A$1005,0))</f>
        <v xml:space="preserve"> </v>
      </c>
      <c r="G139" t="str">
        <f>INDEX(Establishment!C$2:C$1005,MATCH($E139,Establishment!$A$2:$A$1005,0))</f>
        <v xml:space="preserve"> </v>
      </c>
      <c r="M139">
        <f t="shared" si="17"/>
        <v>0</v>
      </c>
      <c r="N139">
        <f t="shared" si="15"/>
        <v>0</v>
      </c>
      <c r="P139" t="e">
        <f>INDEX(Items!B$2:B$1032,MATCH($O139,Items!$A$2:$A$1032,0))</f>
        <v>#N/A</v>
      </c>
      <c r="Q139" t="e">
        <f>INDEX(Items!C$2:C$1032,MATCH($O139,Items!$A$2:$A$1032,0))</f>
        <v>#N/A</v>
      </c>
      <c r="R139" t="e">
        <f>INDEX(Items!D$2:D$1032,MATCH($O139,Items!$A$2:$A$1032,0))</f>
        <v>#N/A</v>
      </c>
    </row>
    <row r="140" spans="1:18" x14ac:dyDescent="0.25">
      <c r="A140">
        <f t="shared" si="13"/>
        <v>1</v>
      </c>
      <c r="B140" t="str">
        <f t="shared" si="14"/>
        <v/>
      </c>
      <c r="C140">
        <f t="shared" si="16"/>
        <v>1</v>
      </c>
      <c r="D140" s="4"/>
      <c r="E140" t="s">
        <v>18</v>
      </c>
      <c r="F140" t="str">
        <f>INDEX(Establishment!B$2:B$1005,MATCH($E140,Establishment!$A$2:$A$1005,0))</f>
        <v xml:space="preserve"> </v>
      </c>
      <c r="G140" t="str">
        <f>INDEX(Establishment!C$2:C$1005,MATCH($E140,Establishment!$A$2:$A$1005,0))</f>
        <v xml:space="preserve"> </v>
      </c>
      <c r="M140">
        <f t="shared" si="17"/>
        <v>0</v>
      </c>
      <c r="N140">
        <f t="shared" si="15"/>
        <v>0</v>
      </c>
      <c r="P140" t="e">
        <f>INDEX(Items!B$2:B$1032,MATCH($O140,Items!$A$2:$A$1032,0))</f>
        <v>#N/A</v>
      </c>
      <c r="Q140" t="e">
        <f>INDEX(Items!C$2:C$1032,MATCH($O140,Items!$A$2:$A$1032,0))</f>
        <v>#N/A</v>
      </c>
      <c r="R140" t="e">
        <f>INDEX(Items!D$2:D$1032,MATCH($O140,Items!$A$2:$A$1032,0))</f>
        <v>#N/A</v>
      </c>
    </row>
    <row r="141" spans="1:18" x14ac:dyDescent="0.25">
      <c r="A141">
        <f t="shared" si="13"/>
        <v>1</v>
      </c>
      <c r="B141" t="str">
        <f t="shared" si="14"/>
        <v/>
      </c>
      <c r="C141">
        <f t="shared" si="16"/>
        <v>1</v>
      </c>
      <c r="D141" s="4"/>
      <c r="E141" t="s">
        <v>18</v>
      </c>
      <c r="F141" t="str">
        <f>INDEX(Establishment!B$2:B$1005,MATCH($E141,Establishment!$A$2:$A$1005,0))</f>
        <v xml:space="preserve"> </v>
      </c>
      <c r="G141" t="str">
        <f>INDEX(Establishment!C$2:C$1005,MATCH($E141,Establishment!$A$2:$A$1005,0))</f>
        <v xml:space="preserve"> </v>
      </c>
      <c r="M141">
        <f t="shared" si="17"/>
        <v>0</v>
      </c>
      <c r="N141">
        <f t="shared" si="15"/>
        <v>0</v>
      </c>
      <c r="P141" t="e">
        <f>INDEX(Items!B$2:B$1032,MATCH($O141,Items!$A$2:$A$1032,0))</f>
        <v>#N/A</v>
      </c>
      <c r="Q141" t="e">
        <f>INDEX(Items!C$2:C$1032,MATCH($O141,Items!$A$2:$A$1032,0))</f>
        <v>#N/A</v>
      </c>
      <c r="R141" t="e">
        <f>INDEX(Items!D$2:D$1032,MATCH($O141,Items!$A$2:$A$1032,0))</f>
        <v>#N/A</v>
      </c>
    </row>
    <row r="142" spans="1:18" x14ac:dyDescent="0.25">
      <c r="A142">
        <f t="shared" si="13"/>
        <v>1</v>
      </c>
      <c r="B142" t="str">
        <f t="shared" si="14"/>
        <v/>
      </c>
      <c r="C142">
        <f t="shared" si="16"/>
        <v>1</v>
      </c>
      <c r="D142" s="4"/>
      <c r="E142" t="s">
        <v>18</v>
      </c>
      <c r="F142" t="str">
        <f>INDEX(Establishment!B$2:B$1005,MATCH($E142,Establishment!$A$2:$A$1005,0))</f>
        <v xml:space="preserve"> </v>
      </c>
      <c r="G142" t="str">
        <f>INDEX(Establishment!C$2:C$1005,MATCH($E142,Establishment!$A$2:$A$1005,0))</f>
        <v xml:space="preserve"> </v>
      </c>
      <c r="M142">
        <f t="shared" si="17"/>
        <v>0</v>
      </c>
      <c r="N142">
        <f t="shared" si="15"/>
        <v>0</v>
      </c>
      <c r="P142" t="e">
        <f>INDEX(Items!B$2:B$1032,MATCH($O142,Items!$A$2:$A$1032,0))</f>
        <v>#N/A</v>
      </c>
      <c r="Q142" t="e">
        <f>INDEX(Items!C$2:C$1032,MATCH($O142,Items!$A$2:$A$1032,0))</f>
        <v>#N/A</v>
      </c>
      <c r="R142" t="e">
        <f>INDEX(Items!D$2:D$1032,MATCH($O142,Items!$A$2:$A$1032,0))</f>
        <v>#N/A</v>
      </c>
    </row>
    <row r="143" spans="1:18" x14ac:dyDescent="0.25">
      <c r="A143">
        <f t="shared" si="13"/>
        <v>1</v>
      </c>
      <c r="B143" t="str">
        <f t="shared" si="14"/>
        <v/>
      </c>
      <c r="C143">
        <f t="shared" si="16"/>
        <v>1</v>
      </c>
      <c r="D143" s="4"/>
      <c r="E143" t="s">
        <v>18</v>
      </c>
      <c r="F143" t="str">
        <f>INDEX(Establishment!B$2:B$1005,MATCH($E143,Establishment!$A$2:$A$1005,0))</f>
        <v xml:space="preserve"> </v>
      </c>
      <c r="G143" t="str">
        <f>INDEX(Establishment!C$2:C$1005,MATCH($E143,Establishment!$A$2:$A$1005,0))</f>
        <v xml:space="preserve"> </v>
      </c>
      <c r="M143">
        <f t="shared" si="17"/>
        <v>0</v>
      </c>
      <c r="N143">
        <f t="shared" si="15"/>
        <v>0</v>
      </c>
      <c r="P143" t="e">
        <f>INDEX(Items!B$2:B$1032,MATCH($O143,Items!$A$2:$A$1032,0))</f>
        <v>#N/A</v>
      </c>
      <c r="Q143" t="e">
        <f>INDEX(Items!C$2:C$1032,MATCH($O143,Items!$A$2:$A$1032,0))</f>
        <v>#N/A</v>
      </c>
      <c r="R143" t="e">
        <f>INDEX(Items!D$2:D$1032,MATCH($O143,Items!$A$2:$A$1032,0))</f>
        <v>#N/A</v>
      </c>
    </row>
    <row r="144" spans="1:18" x14ac:dyDescent="0.25">
      <c r="A144">
        <f t="shared" si="13"/>
        <v>1</v>
      </c>
      <c r="B144" t="str">
        <f t="shared" si="14"/>
        <v/>
      </c>
      <c r="C144">
        <f t="shared" si="16"/>
        <v>1</v>
      </c>
      <c r="D144" s="4"/>
      <c r="E144" t="s">
        <v>18</v>
      </c>
      <c r="F144" t="str">
        <f>INDEX(Establishment!B$2:B$1005,MATCH($E144,Establishment!$A$2:$A$1005,0))</f>
        <v xml:space="preserve"> </v>
      </c>
      <c r="G144" t="str">
        <f>INDEX(Establishment!C$2:C$1005,MATCH($E144,Establishment!$A$2:$A$1005,0))</f>
        <v xml:space="preserve"> </v>
      </c>
      <c r="M144">
        <f t="shared" si="17"/>
        <v>0</v>
      </c>
      <c r="N144">
        <f t="shared" si="15"/>
        <v>0</v>
      </c>
      <c r="P144" t="e">
        <f>INDEX(Items!B$2:B$1032,MATCH($O144,Items!$A$2:$A$1032,0))</f>
        <v>#N/A</v>
      </c>
      <c r="Q144" t="e">
        <f>INDEX(Items!C$2:C$1032,MATCH($O144,Items!$A$2:$A$1032,0))</f>
        <v>#N/A</v>
      </c>
      <c r="R144" t="e">
        <f>INDEX(Items!D$2:D$1032,MATCH($O144,Items!$A$2:$A$1032,0))</f>
        <v>#N/A</v>
      </c>
    </row>
    <row r="145" spans="1:18" x14ac:dyDescent="0.25">
      <c r="A145">
        <f t="shared" si="13"/>
        <v>1</v>
      </c>
      <c r="B145" t="str">
        <f t="shared" si="14"/>
        <v/>
      </c>
      <c r="C145">
        <f t="shared" si="16"/>
        <v>1</v>
      </c>
      <c r="D145" s="4"/>
      <c r="E145" t="s">
        <v>18</v>
      </c>
      <c r="F145" t="str">
        <f>INDEX(Establishment!B$2:B$1005,MATCH($E145,Establishment!$A$2:$A$1005,0))</f>
        <v xml:space="preserve"> </v>
      </c>
      <c r="G145" t="str">
        <f>INDEX(Establishment!C$2:C$1005,MATCH($E145,Establishment!$A$2:$A$1005,0))</f>
        <v xml:space="preserve"> </v>
      </c>
      <c r="M145">
        <f t="shared" si="17"/>
        <v>0</v>
      </c>
      <c r="N145">
        <f t="shared" si="15"/>
        <v>0</v>
      </c>
      <c r="P145" t="e">
        <f>INDEX(Items!B$2:B$1032,MATCH($O145,Items!$A$2:$A$1032,0))</f>
        <v>#N/A</v>
      </c>
      <c r="Q145" t="e">
        <f>INDEX(Items!C$2:C$1032,MATCH($O145,Items!$A$2:$A$1032,0))</f>
        <v>#N/A</v>
      </c>
      <c r="R145" t="e">
        <f>INDEX(Items!D$2:D$1032,MATCH($O145,Items!$A$2:$A$1032,0))</f>
        <v>#N/A</v>
      </c>
    </row>
    <row r="146" spans="1:18" x14ac:dyDescent="0.25">
      <c r="A146">
        <f t="shared" si="13"/>
        <v>1</v>
      </c>
      <c r="B146" t="str">
        <f t="shared" si="14"/>
        <v/>
      </c>
      <c r="C146">
        <f t="shared" si="16"/>
        <v>1</v>
      </c>
      <c r="D146" s="4"/>
      <c r="E146" t="s">
        <v>18</v>
      </c>
      <c r="F146" t="str">
        <f>INDEX(Establishment!B$2:B$1005,MATCH($E146,Establishment!$A$2:$A$1005,0))</f>
        <v xml:space="preserve"> </v>
      </c>
      <c r="G146" t="str">
        <f>INDEX(Establishment!C$2:C$1005,MATCH($E146,Establishment!$A$2:$A$1005,0))</f>
        <v xml:space="preserve"> </v>
      </c>
      <c r="M146">
        <f t="shared" si="17"/>
        <v>0</v>
      </c>
      <c r="N146">
        <f t="shared" si="15"/>
        <v>0</v>
      </c>
      <c r="P146" t="e">
        <f>INDEX(Items!B$2:B$1032,MATCH($O146,Items!$A$2:$A$1032,0))</f>
        <v>#N/A</v>
      </c>
      <c r="Q146" t="e">
        <f>INDEX(Items!C$2:C$1032,MATCH($O146,Items!$A$2:$A$1032,0))</f>
        <v>#N/A</v>
      </c>
      <c r="R146" t="e">
        <f>INDEX(Items!D$2:D$1032,MATCH($O146,Items!$A$2:$A$1032,0))</f>
        <v>#N/A</v>
      </c>
    </row>
    <row r="147" spans="1:18" x14ac:dyDescent="0.25">
      <c r="A147">
        <f t="shared" si="13"/>
        <v>1</v>
      </c>
      <c r="B147" t="str">
        <f t="shared" si="14"/>
        <v/>
      </c>
      <c r="C147">
        <f t="shared" si="16"/>
        <v>1</v>
      </c>
      <c r="D147" s="4"/>
      <c r="E147" t="s">
        <v>18</v>
      </c>
      <c r="F147" t="str">
        <f>INDEX(Establishment!B$2:B$1005,MATCH($E147,Establishment!$A$2:$A$1005,0))</f>
        <v xml:space="preserve"> </v>
      </c>
      <c r="G147" t="str">
        <f>INDEX(Establishment!C$2:C$1005,MATCH($E147,Establishment!$A$2:$A$1005,0))</f>
        <v xml:space="preserve"> </v>
      </c>
      <c r="M147">
        <f t="shared" si="17"/>
        <v>0</v>
      </c>
      <c r="N147">
        <f t="shared" si="15"/>
        <v>0</v>
      </c>
      <c r="P147" t="e">
        <f>INDEX(Items!B$2:B$1032,MATCH($O147,Items!$A$2:$A$1032,0))</f>
        <v>#N/A</v>
      </c>
      <c r="Q147" t="e">
        <f>INDEX(Items!C$2:C$1032,MATCH($O147,Items!$A$2:$A$1032,0))</f>
        <v>#N/A</v>
      </c>
      <c r="R147" t="e">
        <f>INDEX(Items!D$2:D$1032,MATCH($O147,Items!$A$2:$A$1032,0))</f>
        <v>#N/A</v>
      </c>
    </row>
    <row r="148" spans="1:18" x14ac:dyDescent="0.25">
      <c r="A148">
        <f t="shared" si="13"/>
        <v>1</v>
      </c>
      <c r="B148" t="str">
        <f t="shared" si="14"/>
        <v/>
      </c>
      <c r="C148">
        <f t="shared" si="16"/>
        <v>1</v>
      </c>
      <c r="D148" s="4"/>
      <c r="E148" t="s">
        <v>18</v>
      </c>
      <c r="F148" t="str">
        <f>INDEX(Establishment!B$2:B$1005,MATCH($E148,Establishment!$A$2:$A$1005,0))</f>
        <v xml:space="preserve"> </v>
      </c>
      <c r="G148" t="str">
        <f>INDEX(Establishment!C$2:C$1005,MATCH($E148,Establishment!$A$2:$A$1005,0))</f>
        <v xml:space="preserve"> </v>
      </c>
      <c r="M148">
        <f t="shared" si="17"/>
        <v>0</v>
      </c>
      <c r="N148">
        <f t="shared" si="15"/>
        <v>0</v>
      </c>
      <c r="P148" t="e">
        <f>INDEX(Items!B$2:B$1032,MATCH($O148,Items!$A$2:$A$1032,0))</f>
        <v>#N/A</v>
      </c>
      <c r="Q148" t="e">
        <f>INDEX(Items!C$2:C$1032,MATCH($O148,Items!$A$2:$A$1032,0))</f>
        <v>#N/A</v>
      </c>
      <c r="R148" t="e">
        <f>INDEX(Items!D$2:D$1032,MATCH($O148,Items!$A$2:$A$1032,0))</f>
        <v>#N/A</v>
      </c>
    </row>
    <row r="149" spans="1:18" x14ac:dyDescent="0.25">
      <c r="A149">
        <f t="shared" si="13"/>
        <v>1</v>
      </c>
      <c r="B149" t="str">
        <f t="shared" si="14"/>
        <v/>
      </c>
      <c r="C149">
        <f t="shared" si="16"/>
        <v>1</v>
      </c>
      <c r="D149" s="4"/>
      <c r="E149" t="s">
        <v>18</v>
      </c>
      <c r="F149" t="str">
        <f>INDEX(Establishment!B$2:B$1005,MATCH($E149,Establishment!$A$2:$A$1005,0))</f>
        <v xml:space="preserve"> </v>
      </c>
      <c r="G149" t="str">
        <f>INDEX(Establishment!C$2:C$1005,MATCH($E149,Establishment!$A$2:$A$1005,0))</f>
        <v xml:space="preserve"> </v>
      </c>
      <c r="M149">
        <f t="shared" si="17"/>
        <v>0</v>
      </c>
      <c r="N149">
        <f t="shared" si="15"/>
        <v>0</v>
      </c>
      <c r="P149" t="e">
        <f>INDEX(Items!B$2:B$1032,MATCH($O149,Items!$A$2:$A$1032,0))</f>
        <v>#N/A</v>
      </c>
      <c r="Q149" t="e">
        <f>INDEX(Items!C$2:C$1032,MATCH($O149,Items!$A$2:$A$1032,0))</f>
        <v>#N/A</v>
      </c>
      <c r="R149" t="e">
        <f>INDEX(Items!D$2:D$1032,MATCH($O149,Items!$A$2:$A$1032,0))</f>
        <v>#N/A</v>
      </c>
    </row>
    <row r="150" spans="1:18" x14ac:dyDescent="0.25">
      <c r="A150">
        <f t="shared" si="13"/>
        <v>1</v>
      </c>
      <c r="B150" t="str">
        <f t="shared" si="14"/>
        <v/>
      </c>
      <c r="C150">
        <f t="shared" si="16"/>
        <v>1</v>
      </c>
      <c r="D150" s="4"/>
      <c r="E150" t="s">
        <v>18</v>
      </c>
      <c r="F150" t="str">
        <f>INDEX(Establishment!B$2:B$1005,MATCH($E150,Establishment!$A$2:$A$1005,0))</f>
        <v xml:space="preserve"> </v>
      </c>
      <c r="G150" t="str">
        <f>INDEX(Establishment!C$2:C$1005,MATCH($E150,Establishment!$A$2:$A$1005,0))</f>
        <v xml:space="preserve"> </v>
      </c>
      <c r="M150">
        <f t="shared" si="17"/>
        <v>0</v>
      </c>
      <c r="N150">
        <f t="shared" si="15"/>
        <v>0</v>
      </c>
      <c r="P150" t="e">
        <f>INDEX(Items!B$2:B$1032,MATCH($O150,Items!$A$2:$A$1032,0))</f>
        <v>#N/A</v>
      </c>
      <c r="Q150" t="e">
        <f>INDEX(Items!C$2:C$1032,MATCH($O150,Items!$A$2:$A$1032,0))</f>
        <v>#N/A</v>
      </c>
      <c r="R150" t="e">
        <f>INDEX(Items!D$2:D$1032,MATCH($O150,Items!$A$2:$A$1032,0))</f>
        <v>#N/A</v>
      </c>
    </row>
    <row r="151" spans="1:18" x14ac:dyDescent="0.25">
      <c r="A151">
        <f t="shared" si="13"/>
        <v>1</v>
      </c>
      <c r="B151" t="str">
        <f t="shared" si="14"/>
        <v/>
      </c>
      <c r="C151">
        <f t="shared" si="16"/>
        <v>1</v>
      </c>
      <c r="D151" s="4"/>
      <c r="E151" t="s">
        <v>18</v>
      </c>
      <c r="F151" t="str">
        <f>INDEX(Establishment!B$2:B$1005,MATCH($E151,Establishment!$A$2:$A$1005,0))</f>
        <v xml:space="preserve"> </v>
      </c>
      <c r="G151" t="str">
        <f>INDEX(Establishment!C$2:C$1005,MATCH($E151,Establishment!$A$2:$A$1005,0))</f>
        <v xml:space="preserve"> </v>
      </c>
      <c r="M151">
        <f t="shared" si="17"/>
        <v>0</v>
      </c>
      <c r="N151">
        <f t="shared" si="15"/>
        <v>0</v>
      </c>
      <c r="P151" t="e">
        <f>INDEX(Items!B$2:B$1032,MATCH($O151,Items!$A$2:$A$1032,0))</f>
        <v>#N/A</v>
      </c>
      <c r="Q151" t="e">
        <f>INDEX(Items!C$2:C$1032,MATCH($O151,Items!$A$2:$A$1032,0))</f>
        <v>#N/A</v>
      </c>
      <c r="R151" t="e">
        <f>INDEX(Items!D$2:D$1032,MATCH($O151,Items!$A$2:$A$1032,0))</f>
        <v>#N/A</v>
      </c>
    </row>
    <row r="152" spans="1:18" x14ac:dyDescent="0.25">
      <c r="A152">
        <f t="shared" si="13"/>
        <v>1</v>
      </c>
      <c r="B152" t="str">
        <f t="shared" si="14"/>
        <v/>
      </c>
      <c r="C152">
        <f t="shared" si="16"/>
        <v>1</v>
      </c>
      <c r="D152" s="4"/>
      <c r="E152" t="s">
        <v>18</v>
      </c>
      <c r="F152" t="str">
        <f>INDEX(Establishment!B$2:B$1005,MATCH($E152,Establishment!$A$2:$A$1005,0))</f>
        <v xml:space="preserve"> </v>
      </c>
      <c r="G152" t="str">
        <f>INDEX(Establishment!C$2:C$1005,MATCH($E152,Establishment!$A$2:$A$1005,0))</f>
        <v xml:space="preserve"> </v>
      </c>
      <c r="M152">
        <f t="shared" si="17"/>
        <v>0</v>
      </c>
      <c r="N152">
        <f t="shared" si="15"/>
        <v>0</v>
      </c>
      <c r="P152" t="e">
        <f>INDEX(Items!B$2:B$1032,MATCH($O152,Items!$A$2:$A$1032,0))</f>
        <v>#N/A</v>
      </c>
      <c r="Q152" t="e">
        <f>INDEX(Items!C$2:C$1032,MATCH($O152,Items!$A$2:$A$1032,0))</f>
        <v>#N/A</v>
      </c>
      <c r="R152" t="e">
        <f>INDEX(Items!D$2:D$1032,MATCH($O152,Items!$A$2:$A$1032,0))</f>
        <v>#N/A</v>
      </c>
    </row>
    <row r="153" spans="1:18" x14ac:dyDescent="0.25">
      <c r="A153">
        <f t="shared" si="13"/>
        <v>1</v>
      </c>
      <c r="B153" t="str">
        <f t="shared" si="14"/>
        <v/>
      </c>
      <c r="C153">
        <f t="shared" si="16"/>
        <v>1</v>
      </c>
      <c r="D153" s="4"/>
      <c r="E153" t="s">
        <v>18</v>
      </c>
      <c r="F153" t="str">
        <f>INDEX(Establishment!B$2:B$1005,MATCH($E153,Establishment!$A$2:$A$1005,0))</f>
        <v xml:space="preserve"> </v>
      </c>
      <c r="G153" t="str">
        <f>INDEX(Establishment!C$2:C$1005,MATCH($E153,Establishment!$A$2:$A$1005,0))</f>
        <v xml:space="preserve"> </v>
      </c>
      <c r="M153">
        <f t="shared" si="17"/>
        <v>0</v>
      </c>
      <c r="N153">
        <f t="shared" si="15"/>
        <v>0</v>
      </c>
      <c r="P153" t="e">
        <f>INDEX(Items!B$2:B$1032,MATCH($O153,Items!$A$2:$A$1032,0))</f>
        <v>#N/A</v>
      </c>
      <c r="Q153" t="e">
        <f>INDEX(Items!C$2:C$1032,MATCH($O153,Items!$A$2:$A$1032,0))</f>
        <v>#N/A</v>
      </c>
      <c r="R153" t="e">
        <f>INDEX(Items!D$2:D$1032,MATCH($O153,Items!$A$2:$A$1032,0))</f>
        <v>#N/A</v>
      </c>
    </row>
    <row r="154" spans="1:18" x14ac:dyDescent="0.25">
      <c r="A154">
        <f t="shared" si="13"/>
        <v>1</v>
      </c>
      <c r="B154" t="str">
        <f t="shared" si="14"/>
        <v/>
      </c>
      <c r="C154">
        <f t="shared" si="16"/>
        <v>1</v>
      </c>
      <c r="D154" s="4"/>
      <c r="E154" t="s">
        <v>18</v>
      </c>
      <c r="F154" t="str">
        <f>INDEX(Establishment!B$2:B$1005,MATCH($E154,Establishment!$A$2:$A$1005,0))</f>
        <v xml:space="preserve"> </v>
      </c>
      <c r="G154" t="str">
        <f>INDEX(Establishment!C$2:C$1005,MATCH($E154,Establishment!$A$2:$A$1005,0))</f>
        <v xml:space="preserve"> </v>
      </c>
      <c r="M154">
        <f t="shared" si="17"/>
        <v>0</v>
      </c>
      <c r="N154">
        <f t="shared" si="15"/>
        <v>0</v>
      </c>
      <c r="P154" t="e">
        <f>INDEX(Items!B$2:B$1032,MATCH($O154,Items!$A$2:$A$1032,0))</f>
        <v>#N/A</v>
      </c>
      <c r="Q154" t="e">
        <f>INDEX(Items!C$2:C$1032,MATCH($O154,Items!$A$2:$A$1032,0))</f>
        <v>#N/A</v>
      </c>
      <c r="R154" t="e">
        <f>INDEX(Items!D$2:D$1032,MATCH($O154,Items!$A$2:$A$1032,0))</f>
        <v>#N/A</v>
      </c>
    </row>
    <row r="155" spans="1:18" x14ac:dyDescent="0.25">
      <c r="A155">
        <f t="shared" si="13"/>
        <v>1</v>
      </c>
      <c r="B155" t="str">
        <f t="shared" si="14"/>
        <v/>
      </c>
      <c r="C155">
        <f t="shared" si="16"/>
        <v>1</v>
      </c>
      <c r="D155" s="4"/>
      <c r="E155" t="s">
        <v>18</v>
      </c>
      <c r="F155" t="str">
        <f>INDEX(Establishment!B$2:B$1005,MATCH($E155,Establishment!$A$2:$A$1005,0))</f>
        <v xml:space="preserve"> </v>
      </c>
      <c r="G155" t="str">
        <f>INDEX(Establishment!C$2:C$1005,MATCH($E155,Establishment!$A$2:$A$1005,0))</f>
        <v xml:space="preserve"> </v>
      </c>
      <c r="M155">
        <f t="shared" si="17"/>
        <v>0</v>
      </c>
      <c r="N155">
        <f t="shared" si="15"/>
        <v>0</v>
      </c>
      <c r="P155" t="e">
        <f>INDEX(Items!B$2:B$1032,MATCH($O155,Items!$A$2:$A$1032,0))</f>
        <v>#N/A</v>
      </c>
      <c r="Q155" t="e">
        <f>INDEX(Items!C$2:C$1032,MATCH($O155,Items!$A$2:$A$1032,0))</f>
        <v>#N/A</v>
      </c>
      <c r="R155" t="e">
        <f>INDEX(Items!D$2:D$1032,MATCH($O155,Items!$A$2:$A$1032,0))</f>
        <v>#N/A</v>
      </c>
    </row>
    <row r="156" spans="1:18" x14ac:dyDescent="0.25">
      <c r="A156">
        <f t="shared" si="13"/>
        <v>1</v>
      </c>
      <c r="B156" t="str">
        <f t="shared" si="14"/>
        <v/>
      </c>
      <c r="C156">
        <f t="shared" si="16"/>
        <v>1</v>
      </c>
      <c r="D156" s="4"/>
      <c r="E156" t="s">
        <v>18</v>
      </c>
      <c r="F156" t="str">
        <f>INDEX(Establishment!B$2:B$1005,MATCH($E156,Establishment!$A$2:$A$1005,0))</f>
        <v xml:space="preserve"> </v>
      </c>
      <c r="G156" t="str">
        <f>INDEX(Establishment!C$2:C$1005,MATCH($E156,Establishment!$A$2:$A$1005,0))</f>
        <v xml:space="preserve"> </v>
      </c>
      <c r="M156">
        <f t="shared" si="17"/>
        <v>0</v>
      </c>
      <c r="N156">
        <f t="shared" si="15"/>
        <v>0</v>
      </c>
      <c r="P156" t="e">
        <f>INDEX(Items!B$2:B$1032,MATCH($O156,Items!$A$2:$A$1032,0))</f>
        <v>#N/A</v>
      </c>
      <c r="Q156" t="e">
        <f>INDEX(Items!C$2:C$1032,MATCH($O156,Items!$A$2:$A$1032,0))</f>
        <v>#N/A</v>
      </c>
      <c r="R156" t="e">
        <f>INDEX(Items!D$2:D$1032,MATCH($O156,Items!$A$2:$A$1032,0))</f>
        <v>#N/A</v>
      </c>
    </row>
    <row r="157" spans="1:18" x14ac:dyDescent="0.25">
      <c r="A157">
        <f t="shared" si="13"/>
        <v>1</v>
      </c>
      <c r="B157" t="str">
        <f t="shared" si="14"/>
        <v/>
      </c>
      <c r="C157">
        <f t="shared" si="16"/>
        <v>1</v>
      </c>
      <c r="D157" s="4"/>
      <c r="E157" t="s">
        <v>18</v>
      </c>
      <c r="F157" t="str">
        <f>INDEX(Establishment!B$2:B$1005,MATCH($E157,Establishment!$A$2:$A$1005,0))</f>
        <v xml:space="preserve"> </v>
      </c>
      <c r="G157" t="str">
        <f>INDEX(Establishment!C$2:C$1005,MATCH($E157,Establishment!$A$2:$A$1005,0))</f>
        <v xml:space="preserve"> </v>
      </c>
      <c r="M157">
        <f t="shared" si="17"/>
        <v>0</v>
      </c>
      <c r="N157">
        <f t="shared" si="15"/>
        <v>0</v>
      </c>
      <c r="P157" t="e">
        <f>INDEX(Items!B$2:B$1032,MATCH($O157,Items!$A$2:$A$1032,0))</f>
        <v>#N/A</v>
      </c>
      <c r="Q157" t="e">
        <f>INDEX(Items!C$2:C$1032,MATCH($O157,Items!$A$2:$A$1032,0))</f>
        <v>#N/A</v>
      </c>
      <c r="R157" t="e">
        <f>INDEX(Items!D$2:D$1032,MATCH($O157,Items!$A$2:$A$1032,0))</f>
        <v>#N/A</v>
      </c>
    </row>
    <row r="158" spans="1:18" x14ac:dyDescent="0.25">
      <c r="A158">
        <f t="shared" si="13"/>
        <v>1</v>
      </c>
      <c r="B158" t="str">
        <f t="shared" si="14"/>
        <v/>
      </c>
      <c r="C158">
        <f t="shared" si="16"/>
        <v>1</v>
      </c>
      <c r="D158" s="4"/>
      <c r="E158" t="s">
        <v>18</v>
      </c>
      <c r="F158" t="str">
        <f>INDEX(Establishment!B$2:B$1005,MATCH($E158,Establishment!$A$2:$A$1005,0))</f>
        <v xml:space="preserve"> </v>
      </c>
      <c r="G158" t="str">
        <f>INDEX(Establishment!C$2:C$1005,MATCH($E158,Establishment!$A$2:$A$1005,0))</f>
        <v xml:space="preserve"> </v>
      </c>
      <c r="M158">
        <f t="shared" si="17"/>
        <v>0</v>
      </c>
      <c r="N158">
        <f t="shared" si="15"/>
        <v>0</v>
      </c>
      <c r="P158" t="e">
        <f>INDEX(Items!B$2:B$1032,MATCH($O158,Items!$A$2:$A$1032,0))</f>
        <v>#N/A</v>
      </c>
      <c r="Q158" t="e">
        <f>INDEX(Items!C$2:C$1032,MATCH($O158,Items!$A$2:$A$1032,0))</f>
        <v>#N/A</v>
      </c>
      <c r="R158" t="e">
        <f>INDEX(Items!D$2:D$1032,MATCH($O158,Items!$A$2:$A$1032,0))</f>
        <v>#N/A</v>
      </c>
    </row>
    <row r="159" spans="1:18" x14ac:dyDescent="0.25">
      <c r="A159">
        <f t="shared" si="13"/>
        <v>1</v>
      </c>
      <c r="B159" t="str">
        <f t="shared" si="14"/>
        <v/>
      </c>
      <c r="C159">
        <f t="shared" si="16"/>
        <v>1</v>
      </c>
      <c r="D159" s="4"/>
      <c r="E159" t="s">
        <v>18</v>
      </c>
      <c r="F159" t="str">
        <f>INDEX(Establishment!B$2:B$1005,MATCH($E159,Establishment!$A$2:$A$1005,0))</f>
        <v xml:space="preserve"> </v>
      </c>
      <c r="G159" t="str">
        <f>INDEX(Establishment!C$2:C$1005,MATCH($E159,Establishment!$A$2:$A$1005,0))</f>
        <v xml:space="preserve"> </v>
      </c>
      <c r="M159">
        <f t="shared" si="17"/>
        <v>0</v>
      </c>
      <c r="N159">
        <f t="shared" si="15"/>
        <v>0</v>
      </c>
      <c r="P159" t="e">
        <f>INDEX(Items!B$2:B$1032,MATCH($O159,Items!$A$2:$A$1032,0))</f>
        <v>#N/A</v>
      </c>
      <c r="Q159" t="e">
        <f>INDEX(Items!C$2:C$1032,MATCH($O159,Items!$A$2:$A$1032,0))</f>
        <v>#N/A</v>
      </c>
      <c r="R159" t="e">
        <f>INDEX(Items!D$2:D$1032,MATCH($O159,Items!$A$2:$A$1032,0))</f>
        <v>#N/A</v>
      </c>
    </row>
    <row r="160" spans="1:18" x14ac:dyDescent="0.25">
      <c r="A160">
        <f t="shared" si="13"/>
        <v>1</v>
      </c>
      <c r="B160" t="str">
        <f t="shared" si="14"/>
        <v/>
      </c>
      <c r="C160">
        <f t="shared" si="16"/>
        <v>1</v>
      </c>
      <c r="D160" s="4"/>
      <c r="E160" t="s">
        <v>18</v>
      </c>
      <c r="F160" t="str">
        <f>INDEX(Establishment!B$2:B$1005,MATCH($E160,Establishment!$A$2:$A$1005,0))</f>
        <v xml:space="preserve"> </v>
      </c>
      <c r="G160" t="str">
        <f>INDEX(Establishment!C$2:C$1005,MATCH($E160,Establishment!$A$2:$A$1005,0))</f>
        <v xml:space="preserve"> </v>
      </c>
      <c r="M160">
        <f t="shared" si="17"/>
        <v>0</v>
      </c>
      <c r="N160">
        <f t="shared" si="15"/>
        <v>0</v>
      </c>
      <c r="P160" t="e">
        <f>INDEX(Items!B$2:B$1032,MATCH($O160,Items!$A$2:$A$1032,0))</f>
        <v>#N/A</v>
      </c>
      <c r="Q160" t="e">
        <f>INDEX(Items!C$2:C$1032,MATCH($O160,Items!$A$2:$A$1032,0))</f>
        <v>#N/A</v>
      </c>
      <c r="R160" t="e">
        <f>INDEX(Items!D$2:D$1032,MATCH($O160,Items!$A$2:$A$1032,0))</f>
        <v>#N/A</v>
      </c>
    </row>
    <row r="161" spans="1:18" x14ac:dyDescent="0.25">
      <c r="A161">
        <f t="shared" si="13"/>
        <v>1</v>
      </c>
      <c r="B161" t="str">
        <f t="shared" si="14"/>
        <v/>
      </c>
      <c r="C161">
        <f t="shared" si="16"/>
        <v>1</v>
      </c>
      <c r="D161" s="4"/>
      <c r="E161" t="s">
        <v>18</v>
      </c>
      <c r="F161" t="str">
        <f>INDEX(Establishment!B$2:B$1005,MATCH($E161,Establishment!$A$2:$A$1005,0))</f>
        <v xml:space="preserve"> </v>
      </c>
      <c r="G161" t="str">
        <f>INDEX(Establishment!C$2:C$1005,MATCH($E161,Establishment!$A$2:$A$1005,0))</f>
        <v xml:space="preserve"> </v>
      </c>
      <c r="M161">
        <f t="shared" si="17"/>
        <v>0</v>
      </c>
      <c r="N161">
        <f t="shared" si="15"/>
        <v>0</v>
      </c>
      <c r="P161" t="e">
        <f>INDEX(Items!B$2:B$1032,MATCH($O161,Items!$A$2:$A$1032,0))</f>
        <v>#N/A</v>
      </c>
      <c r="Q161" t="e">
        <f>INDEX(Items!C$2:C$1032,MATCH($O161,Items!$A$2:$A$1032,0))</f>
        <v>#N/A</v>
      </c>
      <c r="R161" t="e">
        <f>INDEX(Items!D$2:D$1032,MATCH($O161,Items!$A$2:$A$1032,0))</f>
        <v>#N/A</v>
      </c>
    </row>
    <row r="162" spans="1:18" x14ac:dyDescent="0.25">
      <c r="A162">
        <f t="shared" si="13"/>
        <v>1</v>
      </c>
      <c r="B162" t="str">
        <f t="shared" si="14"/>
        <v/>
      </c>
      <c r="C162">
        <f t="shared" si="16"/>
        <v>1</v>
      </c>
      <c r="D162" s="4"/>
      <c r="E162" t="s">
        <v>18</v>
      </c>
      <c r="F162" t="str">
        <f>INDEX(Establishment!B$2:B$1005,MATCH($E162,Establishment!$A$2:$A$1005,0))</f>
        <v xml:space="preserve"> </v>
      </c>
      <c r="G162" t="str">
        <f>INDEX(Establishment!C$2:C$1005,MATCH($E162,Establishment!$A$2:$A$1005,0))</f>
        <v xml:space="preserve"> </v>
      </c>
      <c r="M162">
        <f t="shared" si="17"/>
        <v>0</v>
      </c>
      <c r="N162">
        <f t="shared" si="15"/>
        <v>0</v>
      </c>
      <c r="P162" t="e">
        <f>INDEX(Items!B$2:B$1032,MATCH($O162,Items!$A$2:$A$1032,0))</f>
        <v>#N/A</v>
      </c>
      <c r="Q162" t="e">
        <f>INDEX(Items!C$2:C$1032,MATCH($O162,Items!$A$2:$A$1032,0))</f>
        <v>#N/A</v>
      </c>
      <c r="R162" t="e">
        <f>INDEX(Items!D$2:D$1032,MATCH($O162,Items!$A$2:$A$1032,0))</f>
        <v>#N/A</v>
      </c>
    </row>
    <row r="163" spans="1:18" x14ac:dyDescent="0.25">
      <c r="A163">
        <f t="shared" si="13"/>
        <v>1</v>
      </c>
      <c r="B163" t="str">
        <f t="shared" si="14"/>
        <v/>
      </c>
      <c r="C163">
        <f t="shared" si="16"/>
        <v>1</v>
      </c>
      <c r="D163" s="4"/>
      <c r="E163" t="s">
        <v>18</v>
      </c>
      <c r="F163" t="str">
        <f>INDEX(Establishment!B$2:B$1005,MATCH($E163,Establishment!$A$2:$A$1005,0))</f>
        <v xml:space="preserve"> </v>
      </c>
      <c r="G163" t="str">
        <f>INDEX(Establishment!C$2:C$1005,MATCH($E163,Establishment!$A$2:$A$1005,0))</f>
        <v xml:space="preserve"> </v>
      </c>
      <c r="M163">
        <f t="shared" si="17"/>
        <v>0</v>
      </c>
      <c r="N163">
        <f t="shared" si="15"/>
        <v>0</v>
      </c>
      <c r="P163" t="e">
        <f>INDEX(Items!B$2:B$1032,MATCH($O163,Items!$A$2:$A$1032,0))</f>
        <v>#N/A</v>
      </c>
      <c r="Q163" t="e">
        <f>INDEX(Items!C$2:C$1032,MATCH($O163,Items!$A$2:$A$1032,0))</f>
        <v>#N/A</v>
      </c>
      <c r="R163" t="e">
        <f>INDEX(Items!D$2:D$1032,MATCH($O163,Items!$A$2:$A$1032,0))</f>
        <v>#N/A</v>
      </c>
    </row>
    <row r="164" spans="1:18" x14ac:dyDescent="0.25">
      <c r="A164">
        <f t="shared" si="13"/>
        <v>1</v>
      </c>
      <c r="B164" t="str">
        <f t="shared" si="14"/>
        <v/>
      </c>
      <c r="C164">
        <f t="shared" si="16"/>
        <v>1</v>
      </c>
      <c r="D164" s="4"/>
      <c r="E164" t="s">
        <v>18</v>
      </c>
      <c r="F164" t="str">
        <f>INDEX(Establishment!B$2:B$1005,MATCH($E164,Establishment!$A$2:$A$1005,0))</f>
        <v xml:space="preserve"> </v>
      </c>
      <c r="G164" t="str">
        <f>INDEX(Establishment!C$2:C$1005,MATCH($E164,Establishment!$A$2:$A$1005,0))</f>
        <v xml:space="preserve"> </v>
      </c>
      <c r="M164">
        <f t="shared" si="17"/>
        <v>0</v>
      </c>
      <c r="N164">
        <f t="shared" si="15"/>
        <v>0</v>
      </c>
      <c r="P164" t="e">
        <f>INDEX(Items!B$2:B$1032,MATCH($O164,Items!$A$2:$A$1032,0))</f>
        <v>#N/A</v>
      </c>
      <c r="Q164" t="e">
        <f>INDEX(Items!C$2:C$1032,MATCH($O164,Items!$A$2:$A$1032,0))</f>
        <v>#N/A</v>
      </c>
      <c r="R164" t="e">
        <f>INDEX(Items!D$2:D$1032,MATCH($O164,Items!$A$2:$A$1032,0))</f>
        <v>#N/A</v>
      </c>
    </row>
    <row r="165" spans="1:18" x14ac:dyDescent="0.25">
      <c r="A165">
        <f t="shared" si="13"/>
        <v>1</v>
      </c>
      <c r="B165" t="str">
        <f t="shared" si="14"/>
        <v/>
      </c>
      <c r="C165">
        <f t="shared" si="16"/>
        <v>1</v>
      </c>
      <c r="D165" s="4"/>
      <c r="E165" t="s">
        <v>18</v>
      </c>
      <c r="F165" t="str">
        <f>INDEX(Establishment!B$2:B$1005,MATCH($E165,Establishment!$A$2:$A$1005,0))</f>
        <v xml:space="preserve"> </v>
      </c>
      <c r="G165" t="str">
        <f>INDEX(Establishment!C$2:C$1005,MATCH($E165,Establishment!$A$2:$A$1005,0))</f>
        <v xml:space="preserve"> </v>
      </c>
      <c r="M165">
        <f t="shared" si="17"/>
        <v>0</v>
      </c>
      <c r="N165">
        <f t="shared" si="15"/>
        <v>0</v>
      </c>
      <c r="P165" t="e">
        <f>INDEX(Items!B$2:B$1032,MATCH($O165,Items!$A$2:$A$1032,0))</f>
        <v>#N/A</v>
      </c>
      <c r="Q165" t="e">
        <f>INDEX(Items!C$2:C$1032,MATCH($O165,Items!$A$2:$A$1032,0))</f>
        <v>#N/A</v>
      </c>
      <c r="R165" t="e">
        <f>INDEX(Items!D$2:D$1032,MATCH($O165,Items!$A$2:$A$1032,0))</f>
        <v>#N/A</v>
      </c>
    </row>
    <row r="166" spans="1:18" x14ac:dyDescent="0.25">
      <c r="A166">
        <f t="shared" si="13"/>
        <v>1</v>
      </c>
      <c r="B166" t="str">
        <f t="shared" si="14"/>
        <v/>
      </c>
      <c r="C166">
        <f t="shared" si="16"/>
        <v>1</v>
      </c>
      <c r="D166" s="4"/>
      <c r="E166" t="s">
        <v>18</v>
      </c>
      <c r="F166" t="str">
        <f>INDEX(Establishment!B$2:B$1005,MATCH($E166,Establishment!$A$2:$A$1005,0))</f>
        <v xml:space="preserve"> </v>
      </c>
      <c r="G166" t="str">
        <f>INDEX(Establishment!C$2:C$1005,MATCH($E166,Establishment!$A$2:$A$1005,0))</f>
        <v xml:space="preserve"> </v>
      </c>
      <c r="M166">
        <f t="shared" si="17"/>
        <v>0</v>
      </c>
      <c r="N166">
        <f t="shared" si="15"/>
        <v>0</v>
      </c>
      <c r="P166" t="e">
        <f>INDEX(Items!B$2:B$1032,MATCH($O166,Items!$A$2:$A$1032,0))</f>
        <v>#N/A</v>
      </c>
      <c r="Q166" t="e">
        <f>INDEX(Items!C$2:C$1032,MATCH($O166,Items!$A$2:$A$1032,0))</f>
        <v>#N/A</v>
      </c>
      <c r="R166" t="e">
        <f>INDEX(Items!D$2:D$1032,MATCH($O166,Items!$A$2:$A$1032,0))</f>
        <v>#N/A</v>
      </c>
    </row>
    <row r="167" spans="1:18" x14ac:dyDescent="0.25">
      <c r="A167">
        <f t="shared" si="13"/>
        <v>1</v>
      </c>
      <c r="B167" t="str">
        <f t="shared" si="14"/>
        <v/>
      </c>
      <c r="C167">
        <f t="shared" si="16"/>
        <v>1</v>
      </c>
      <c r="D167" s="4"/>
      <c r="E167" t="s">
        <v>18</v>
      </c>
      <c r="F167" t="str">
        <f>INDEX(Establishment!B$2:B$1005,MATCH($E167,Establishment!$A$2:$A$1005,0))</f>
        <v xml:space="preserve"> </v>
      </c>
      <c r="G167" t="str">
        <f>INDEX(Establishment!C$2:C$1005,MATCH($E167,Establishment!$A$2:$A$1005,0))</f>
        <v xml:space="preserve"> </v>
      </c>
      <c r="M167">
        <f t="shared" si="17"/>
        <v>0</v>
      </c>
      <c r="N167">
        <f t="shared" si="15"/>
        <v>0</v>
      </c>
      <c r="P167" t="e">
        <f>INDEX(Items!B$2:B$1032,MATCH($O167,Items!$A$2:$A$1032,0))</f>
        <v>#N/A</v>
      </c>
      <c r="Q167" t="e">
        <f>INDEX(Items!C$2:C$1032,MATCH($O167,Items!$A$2:$A$1032,0))</f>
        <v>#N/A</v>
      </c>
      <c r="R167" t="e">
        <f>INDEX(Items!D$2:D$1032,MATCH($O167,Items!$A$2:$A$1032,0))</f>
        <v>#N/A</v>
      </c>
    </row>
    <row r="168" spans="1:18" x14ac:dyDescent="0.25">
      <c r="A168">
        <f t="shared" si="13"/>
        <v>1</v>
      </c>
      <c r="B168" t="str">
        <f t="shared" si="14"/>
        <v/>
      </c>
      <c r="C168">
        <f t="shared" si="16"/>
        <v>1</v>
      </c>
      <c r="D168" s="4"/>
      <c r="E168" t="s">
        <v>18</v>
      </c>
      <c r="F168" t="str">
        <f>INDEX(Establishment!B$2:B$1005,MATCH($E168,Establishment!$A$2:$A$1005,0))</f>
        <v xml:space="preserve"> </v>
      </c>
      <c r="G168" t="str">
        <f>INDEX(Establishment!C$2:C$1005,MATCH($E168,Establishment!$A$2:$A$1005,0))</f>
        <v xml:space="preserve"> </v>
      </c>
      <c r="M168">
        <f t="shared" si="17"/>
        <v>0</v>
      </c>
      <c r="N168">
        <f t="shared" si="15"/>
        <v>0</v>
      </c>
      <c r="P168" t="e">
        <f>INDEX(Items!B$2:B$1032,MATCH($O168,Items!$A$2:$A$1032,0))</f>
        <v>#N/A</v>
      </c>
      <c r="Q168" t="e">
        <f>INDEX(Items!C$2:C$1032,MATCH($O168,Items!$A$2:$A$1032,0))</f>
        <v>#N/A</v>
      </c>
      <c r="R168" t="e">
        <f>INDEX(Items!D$2:D$1032,MATCH($O168,Items!$A$2:$A$1032,0))</f>
        <v>#N/A</v>
      </c>
    </row>
    <row r="169" spans="1:18" x14ac:dyDescent="0.25">
      <c r="A169">
        <f t="shared" si="13"/>
        <v>1</v>
      </c>
      <c r="B169" t="str">
        <f t="shared" si="14"/>
        <v/>
      </c>
      <c r="C169">
        <f t="shared" si="16"/>
        <v>1</v>
      </c>
      <c r="D169" s="4"/>
      <c r="E169" t="s">
        <v>18</v>
      </c>
      <c r="F169" t="str">
        <f>INDEX(Establishment!B$2:B$1005,MATCH($E169,Establishment!$A$2:$A$1005,0))</f>
        <v xml:space="preserve"> </v>
      </c>
      <c r="G169" t="str">
        <f>INDEX(Establishment!C$2:C$1005,MATCH($E169,Establishment!$A$2:$A$1005,0))</f>
        <v xml:space="preserve"> </v>
      </c>
      <c r="M169">
        <f t="shared" si="17"/>
        <v>0</v>
      </c>
      <c r="N169">
        <f t="shared" si="15"/>
        <v>0</v>
      </c>
      <c r="P169" t="e">
        <f>INDEX(Items!B$2:B$1032,MATCH($O169,Items!$A$2:$A$1032,0))</f>
        <v>#N/A</v>
      </c>
      <c r="Q169" t="e">
        <f>INDEX(Items!C$2:C$1032,MATCH($O169,Items!$A$2:$A$1032,0))</f>
        <v>#N/A</v>
      </c>
      <c r="R169" t="e">
        <f>INDEX(Items!D$2:D$1032,MATCH($O169,Items!$A$2:$A$1032,0))</f>
        <v>#N/A</v>
      </c>
    </row>
    <row r="170" spans="1:18" x14ac:dyDescent="0.25">
      <c r="A170">
        <f t="shared" si="13"/>
        <v>1</v>
      </c>
      <c r="B170" t="str">
        <f t="shared" si="14"/>
        <v/>
      </c>
      <c r="C170">
        <f t="shared" si="16"/>
        <v>1</v>
      </c>
      <c r="D170" s="4"/>
      <c r="E170" t="s">
        <v>18</v>
      </c>
      <c r="F170" t="str">
        <f>INDEX(Establishment!B$2:B$1005,MATCH($E170,Establishment!$A$2:$A$1005,0))</f>
        <v xml:space="preserve"> </v>
      </c>
      <c r="G170" t="str">
        <f>INDEX(Establishment!C$2:C$1005,MATCH($E170,Establishment!$A$2:$A$1005,0))</f>
        <v xml:space="preserve"> </v>
      </c>
      <c r="M170">
        <f t="shared" si="17"/>
        <v>0</v>
      </c>
      <c r="N170">
        <f t="shared" si="15"/>
        <v>0</v>
      </c>
      <c r="P170" t="e">
        <f>INDEX(Items!B$2:B$1032,MATCH($O170,Items!$A$2:$A$1032,0))</f>
        <v>#N/A</v>
      </c>
      <c r="Q170" t="e">
        <f>INDEX(Items!C$2:C$1032,MATCH($O170,Items!$A$2:$A$1032,0))</f>
        <v>#N/A</v>
      </c>
      <c r="R170" t="e">
        <f>INDEX(Items!D$2:D$1032,MATCH($O170,Items!$A$2:$A$1032,0))</f>
        <v>#N/A</v>
      </c>
    </row>
    <row r="171" spans="1:18" x14ac:dyDescent="0.25">
      <c r="A171">
        <f t="shared" si="13"/>
        <v>1</v>
      </c>
      <c r="B171" t="str">
        <f t="shared" si="14"/>
        <v/>
      </c>
      <c r="C171">
        <f t="shared" si="16"/>
        <v>1</v>
      </c>
      <c r="D171" s="4"/>
      <c r="E171" t="s">
        <v>18</v>
      </c>
      <c r="F171" t="str">
        <f>INDEX(Establishment!B$2:B$1005,MATCH($E171,Establishment!$A$2:$A$1005,0))</f>
        <v xml:space="preserve"> </v>
      </c>
      <c r="G171" t="str">
        <f>INDEX(Establishment!C$2:C$1005,MATCH($E171,Establishment!$A$2:$A$1005,0))</f>
        <v xml:space="preserve"> </v>
      </c>
      <c r="M171">
        <f t="shared" si="17"/>
        <v>0</v>
      </c>
      <c r="N171">
        <f t="shared" si="15"/>
        <v>0</v>
      </c>
      <c r="P171" t="e">
        <f>INDEX(Items!B$2:B$1032,MATCH($O171,Items!$A$2:$A$1032,0))</f>
        <v>#N/A</v>
      </c>
      <c r="Q171" t="e">
        <f>INDEX(Items!C$2:C$1032,MATCH($O171,Items!$A$2:$A$1032,0))</f>
        <v>#N/A</v>
      </c>
      <c r="R171" t="e">
        <f>INDEX(Items!D$2:D$1032,MATCH($O171,Items!$A$2:$A$1032,0))</f>
        <v>#N/A</v>
      </c>
    </row>
    <row r="172" spans="1:18" x14ac:dyDescent="0.25">
      <c r="A172">
        <f t="shared" si="13"/>
        <v>1</v>
      </c>
      <c r="B172" t="str">
        <f t="shared" si="14"/>
        <v/>
      </c>
      <c r="C172">
        <f t="shared" si="16"/>
        <v>1</v>
      </c>
      <c r="D172" s="4"/>
      <c r="E172" t="s">
        <v>18</v>
      </c>
      <c r="F172" t="str">
        <f>INDEX(Establishment!B$2:B$1005,MATCH($E172,Establishment!$A$2:$A$1005,0))</f>
        <v xml:space="preserve"> </v>
      </c>
      <c r="G172" t="str">
        <f>INDEX(Establishment!C$2:C$1005,MATCH($E172,Establishment!$A$2:$A$1005,0))</f>
        <v xml:space="preserve"> </v>
      </c>
      <c r="M172">
        <f t="shared" si="17"/>
        <v>0</v>
      </c>
      <c r="N172">
        <f t="shared" si="15"/>
        <v>0</v>
      </c>
      <c r="P172" t="e">
        <f>INDEX(Items!B$2:B$1032,MATCH($O172,Items!$A$2:$A$1032,0))</f>
        <v>#N/A</v>
      </c>
      <c r="Q172" t="e">
        <f>INDEX(Items!C$2:C$1032,MATCH($O172,Items!$A$2:$A$1032,0))</f>
        <v>#N/A</v>
      </c>
      <c r="R172" t="e">
        <f>INDEX(Items!D$2:D$1032,MATCH($O172,Items!$A$2:$A$1032,0))</f>
        <v>#N/A</v>
      </c>
    </row>
    <row r="173" spans="1:18" x14ac:dyDescent="0.25">
      <c r="A173">
        <f t="shared" si="13"/>
        <v>1</v>
      </c>
      <c r="B173" t="str">
        <f t="shared" si="14"/>
        <v/>
      </c>
      <c r="C173">
        <f t="shared" si="16"/>
        <v>1</v>
      </c>
      <c r="D173" s="4"/>
      <c r="E173" t="s">
        <v>18</v>
      </c>
      <c r="F173" t="str">
        <f>INDEX(Establishment!B$2:B$1005,MATCH($E173,Establishment!$A$2:$A$1005,0))</f>
        <v xml:space="preserve"> </v>
      </c>
      <c r="G173" t="str">
        <f>INDEX(Establishment!C$2:C$1005,MATCH($E173,Establishment!$A$2:$A$1005,0))</f>
        <v xml:space="preserve"> </v>
      </c>
      <c r="M173">
        <f t="shared" si="17"/>
        <v>0</v>
      </c>
      <c r="N173">
        <f t="shared" si="15"/>
        <v>0</v>
      </c>
      <c r="P173" t="e">
        <f>INDEX(Items!B$2:B$1032,MATCH($O173,Items!$A$2:$A$1032,0))</f>
        <v>#N/A</v>
      </c>
      <c r="Q173" t="e">
        <f>INDEX(Items!C$2:C$1032,MATCH($O173,Items!$A$2:$A$1032,0))</f>
        <v>#N/A</v>
      </c>
      <c r="R173" t="e">
        <f>INDEX(Items!D$2:D$1032,MATCH($O173,Items!$A$2:$A$1032,0))</f>
        <v>#N/A</v>
      </c>
    </row>
    <row r="174" spans="1:18" x14ac:dyDescent="0.25">
      <c r="A174">
        <f t="shared" si="13"/>
        <v>1</v>
      </c>
      <c r="B174" t="str">
        <f t="shared" si="14"/>
        <v/>
      </c>
      <c r="C174">
        <f t="shared" si="16"/>
        <v>1</v>
      </c>
      <c r="D174" s="4"/>
      <c r="E174" t="s">
        <v>18</v>
      </c>
      <c r="F174" t="str">
        <f>INDEX(Establishment!B$2:B$1005,MATCH($E174,Establishment!$A$2:$A$1005,0))</f>
        <v xml:space="preserve"> </v>
      </c>
      <c r="G174" t="str">
        <f>INDEX(Establishment!C$2:C$1005,MATCH($E174,Establishment!$A$2:$A$1005,0))</f>
        <v xml:space="preserve"> </v>
      </c>
      <c r="M174">
        <f t="shared" si="17"/>
        <v>0</v>
      </c>
      <c r="N174">
        <f t="shared" si="15"/>
        <v>0</v>
      </c>
      <c r="P174" t="e">
        <f>INDEX(Items!B$2:B$1032,MATCH($O174,Items!$A$2:$A$1032,0))</f>
        <v>#N/A</v>
      </c>
      <c r="Q174" t="e">
        <f>INDEX(Items!C$2:C$1032,MATCH($O174,Items!$A$2:$A$1032,0))</f>
        <v>#N/A</v>
      </c>
      <c r="R174" t="e">
        <f>INDEX(Items!D$2:D$1032,MATCH($O174,Items!$A$2:$A$1032,0))</f>
        <v>#N/A</v>
      </c>
    </row>
    <row r="175" spans="1:18" x14ac:dyDescent="0.25">
      <c r="A175">
        <f t="shared" si="13"/>
        <v>1</v>
      </c>
      <c r="B175" t="str">
        <f t="shared" si="14"/>
        <v/>
      </c>
      <c r="C175">
        <f t="shared" si="16"/>
        <v>1</v>
      </c>
      <c r="D175" s="4"/>
      <c r="E175" t="s">
        <v>18</v>
      </c>
      <c r="F175" t="str">
        <f>INDEX(Establishment!B$2:B$1005,MATCH($E175,Establishment!$A$2:$A$1005,0))</f>
        <v xml:space="preserve"> </v>
      </c>
      <c r="G175" t="str">
        <f>INDEX(Establishment!C$2:C$1005,MATCH($E175,Establishment!$A$2:$A$1005,0))</f>
        <v xml:space="preserve"> </v>
      </c>
      <c r="M175">
        <f t="shared" si="17"/>
        <v>0</v>
      </c>
      <c r="N175">
        <f t="shared" si="15"/>
        <v>0</v>
      </c>
      <c r="P175" t="e">
        <f>INDEX(Items!B$2:B$1032,MATCH($O175,Items!$A$2:$A$1032,0))</f>
        <v>#N/A</v>
      </c>
      <c r="Q175" t="e">
        <f>INDEX(Items!C$2:C$1032,MATCH($O175,Items!$A$2:$A$1032,0))</f>
        <v>#N/A</v>
      </c>
      <c r="R175" t="e">
        <f>INDEX(Items!D$2:D$1032,MATCH($O175,Items!$A$2:$A$1032,0))</f>
        <v>#N/A</v>
      </c>
    </row>
    <row r="176" spans="1:18" x14ac:dyDescent="0.25">
      <c r="A176">
        <f t="shared" si="13"/>
        <v>1</v>
      </c>
      <c r="B176" t="str">
        <f t="shared" si="14"/>
        <v/>
      </c>
      <c r="C176">
        <f t="shared" si="16"/>
        <v>1</v>
      </c>
      <c r="D176" s="4"/>
      <c r="E176" t="s">
        <v>18</v>
      </c>
      <c r="F176" t="str">
        <f>INDEX(Establishment!B$2:B$1005,MATCH($E176,Establishment!$A$2:$A$1005,0))</f>
        <v xml:space="preserve"> </v>
      </c>
      <c r="G176" t="str">
        <f>INDEX(Establishment!C$2:C$1005,MATCH($E176,Establishment!$A$2:$A$1005,0))</f>
        <v xml:space="preserve"> </v>
      </c>
      <c r="M176">
        <f t="shared" si="17"/>
        <v>0</v>
      </c>
      <c r="N176">
        <f t="shared" si="15"/>
        <v>0</v>
      </c>
      <c r="P176" t="e">
        <f>INDEX(Items!B$2:B$1032,MATCH($O176,Items!$A$2:$A$1032,0))</f>
        <v>#N/A</v>
      </c>
      <c r="Q176" t="e">
        <f>INDEX(Items!C$2:C$1032,MATCH($O176,Items!$A$2:$A$1032,0))</f>
        <v>#N/A</v>
      </c>
      <c r="R176" t="e">
        <f>INDEX(Items!D$2:D$1032,MATCH($O176,Items!$A$2:$A$1032,0))</f>
        <v>#N/A</v>
      </c>
    </row>
    <row r="177" spans="1:18" x14ac:dyDescent="0.25">
      <c r="A177">
        <f t="shared" si="13"/>
        <v>1</v>
      </c>
      <c r="B177" t="str">
        <f t="shared" si="14"/>
        <v/>
      </c>
      <c r="C177">
        <f t="shared" si="16"/>
        <v>1</v>
      </c>
      <c r="D177" s="4"/>
      <c r="E177" t="s">
        <v>18</v>
      </c>
      <c r="F177" t="str">
        <f>INDEX(Establishment!B$2:B$1005,MATCH($E177,Establishment!$A$2:$A$1005,0))</f>
        <v xml:space="preserve"> </v>
      </c>
      <c r="G177" t="str">
        <f>INDEX(Establishment!C$2:C$1005,MATCH($E177,Establishment!$A$2:$A$1005,0))</f>
        <v xml:space="preserve"> </v>
      </c>
      <c r="M177">
        <f t="shared" si="17"/>
        <v>0</v>
      </c>
      <c r="N177">
        <f t="shared" si="15"/>
        <v>0</v>
      </c>
      <c r="P177" t="e">
        <f>INDEX(Items!B$2:B$1032,MATCH($O177,Items!$A$2:$A$1032,0))</f>
        <v>#N/A</v>
      </c>
      <c r="Q177" t="e">
        <f>INDEX(Items!C$2:C$1032,MATCH($O177,Items!$A$2:$A$1032,0))</f>
        <v>#N/A</v>
      </c>
      <c r="R177" t="e">
        <f>INDEX(Items!D$2:D$1032,MATCH($O177,Items!$A$2:$A$1032,0))</f>
        <v>#N/A</v>
      </c>
    </row>
    <row r="178" spans="1:18" x14ac:dyDescent="0.25">
      <c r="A178">
        <f t="shared" si="13"/>
        <v>1</v>
      </c>
      <c r="B178" t="str">
        <f t="shared" si="14"/>
        <v/>
      </c>
      <c r="C178">
        <f t="shared" si="16"/>
        <v>1</v>
      </c>
      <c r="D178" s="4"/>
      <c r="E178" t="s">
        <v>18</v>
      </c>
      <c r="F178" t="str">
        <f>INDEX(Establishment!B$2:B$1005,MATCH($E178,Establishment!$A$2:$A$1005,0))</f>
        <v xml:space="preserve"> </v>
      </c>
      <c r="G178" t="str">
        <f>INDEX(Establishment!C$2:C$1005,MATCH($E178,Establishment!$A$2:$A$1005,0))</f>
        <v xml:space="preserve"> </v>
      </c>
      <c r="M178">
        <f t="shared" si="17"/>
        <v>0</v>
      </c>
      <c r="N178">
        <f t="shared" si="15"/>
        <v>0</v>
      </c>
      <c r="P178" t="e">
        <f>INDEX(Items!B$2:B$1032,MATCH($O178,Items!$A$2:$A$1032,0))</f>
        <v>#N/A</v>
      </c>
      <c r="Q178" t="e">
        <f>INDEX(Items!C$2:C$1032,MATCH($O178,Items!$A$2:$A$1032,0))</f>
        <v>#N/A</v>
      </c>
      <c r="R178" t="e">
        <f>INDEX(Items!D$2:D$1032,MATCH($O178,Items!$A$2:$A$1032,0))</f>
        <v>#N/A</v>
      </c>
    </row>
    <row r="179" spans="1:18" x14ac:dyDescent="0.25">
      <c r="A179">
        <f t="shared" si="13"/>
        <v>1</v>
      </c>
      <c r="B179" t="str">
        <f t="shared" si="14"/>
        <v/>
      </c>
      <c r="C179">
        <f t="shared" si="16"/>
        <v>1</v>
      </c>
      <c r="D179" s="4"/>
      <c r="E179" t="s">
        <v>18</v>
      </c>
      <c r="F179" t="str">
        <f>INDEX(Establishment!B$2:B$1005,MATCH($E179,Establishment!$A$2:$A$1005,0))</f>
        <v xml:space="preserve"> </v>
      </c>
      <c r="G179" t="str">
        <f>INDEX(Establishment!C$2:C$1005,MATCH($E179,Establishment!$A$2:$A$1005,0))</f>
        <v xml:space="preserve"> </v>
      </c>
      <c r="M179">
        <f t="shared" si="17"/>
        <v>0</v>
      </c>
      <c r="N179">
        <f t="shared" si="15"/>
        <v>0</v>
      </c>
      <c r="P179" t="e">
        <f>INDEX(Items!B$2:B$1032,MATCH($O179,Items!$A$2:$A$1032,0))</f>
        <v>#N/A</v>
      </c>
      <c r="Q179" t="e">
        <f>INDEX(Items!C$2:C$1032,MATCH($O179,Items!$A$2:$A$1032,0))</f>
        <v>#N/A</v>
      </c>
      <c r="R179" t="e">
        <f>INDEX(Items!D$2:D$1032,MATCH($O179,Items!$A$2:$A$1032,0))</f>
        <v>#N/A</v>
      </c>
    </row>
    <row r="180" spans="1:18" x14ac:dyDescent="0.25">
      <c r="A180">
        <f t="shared" si="13"/>
        <v>1</v>
      </c>
      <c r="B180" t="str">
        <f t="shared" si="14"/>
        <v/>
      </c>
      <c r="C180">
        <f t="shared" si="16"/>
        <v>1</v>
      </c>
      <c r="D180" s="4"/>
      <c r="E180" t="s">
        <v>18</v>
      </c>
      <c r="F180" t="str">
        <f>INDEX(Establishment!B$2:B$1005,MATCH($E180,Establishment!$A$2:$A$1005,0))</f>
        <v xml:space="preserve"> </v>
      </c>
      <c r="G180" t="str">
        <f>INDEX(Establishment!C$2:C$1005,MATCH($E180,Establishment!$A$2:$A$1005,0))</f>
        <v xml:space="preserve"> </v>
      </c>
      <c r="M180">
        <f t="shared" si="17"/>
        <v>0</v>
      </c>
      <c r="N180">
        <f t="shared" si="15"/>
        <v>0</v>
      </c>
      <c r="P180" t="e">
        <f>INDEX(Items!B$2:B$1032,MATCH($O180,Items!$A$2:$A$1032,0))</f>
        <v>#N/A</v>
      </c>
      <c r="Q180" t="e">
        <f>INDEX(Items!C$2:C$1032,MATCH($O180,Items!$A$2:$A$1032,0))</f>
        <v>#N/A</v>
      </c>
      <c r="R180" t="e">
        <f>INDEX(Items!D$2:D$1032,MATCH($O180,Items!$A$2:$A$1032,0))</f>
        <v>#N/A</v>
      </c>
    </row>
    <row r="181" spans="1:18" x14ac:dyDescent="0.25">
      <c r="A181">
        <f t="shared" si="13"/>
        <v>1</v>
      </c>
      <c r="B181" t="str">
        <f t="shared" si="14"/>
        <v/>
      </c>
      <c r="C181">
        <f t="shared" si="16"/>
        <v>1</v>
      </c>
      <c r="D181" s="4"/>
      <c r="E181" t="s">
        <v>18</v>
      </c>
      <c r="F181" t="str">
        <f>INDEX(Establishment!B$2:B$1005,MATCH($E181,Establishment!$A$2:$A$1005,0))</f>
        <v xml:space="preserve"> </v>
      </c>
      <c r="G181" t="str">
        <f>INDEX(Establishment!C$2:C$1005,MATCH($E181,Establishment!$A$2:$A$1005,0))</f>
        <v xml:space="preserve"> </v>
      </c>
      <c r="M181">
        <f t="shared" si="17"/>
        <v>0</v>
      </c>
      <c r="N181">
        <f t="shared" si="15"/>
        <v>0</v>
      </c>
      <c r="P181" t="e">
        <f>INDEX(Items!B$2:B$1032,MATCH($O181,Items!$A$2:$A$1032,0))</f>
        <v>#N/A</v>
      </c>
      <c r="Q181" t="e">
        <f>INDEX(Items!C$2:C$1032,MATCH($O181,Items!$A$2:$A$1032,0))</f>
        <v>#N/A</v>
      </c>
      <c r="R181" t="e">
        <f>INDEX(Items!D$2:D$1032,MATCH($O181,Items!$A$2:$A$1032,0))</f>
        <v>#N/A</v>
      </c>
    </row>
    <row r="182" spans="1:18" x14ac:dyDescent="0.25">
      <c r="A182">
        <f t="shared" si="13"/>
        <v>1</v>
      </c>
      <c r="B182" t="str">
        <f t="shared" si="14"/>
        <v/>
      </c>
      <c r="C182">
        <f t="shared" si="16"/>
        <v>1</v>
      </c>
      <c r="D182" s="4"/>
      <c r="E182" t="s">
        <v>18</v>
      </c>
      <c r="F182" t="str">
        <f>INDEX(Establishment!B$2:B$1005,MATCH($E182,Establishment!$A$2:$A$1005,0))</f>
        <v xml:space="preserve"> </v>
      </c>
      <c r="G182" t="str">
        <f>INDEX(Establishment!C$2:C$1005,MATCH($E182,Establishment!$A$2:$A$1005,0))</f>
        <v xml:space="preserve"> </v>
      </c>
      <c r="M182">
        <f t="shared" si="17"/>
        <v>0</v>
      </c>
      <c r="N182">
        <f t="shared" si="15"/>
        <v>0</v>
      </c>
      <c r="P182" t="e">
        <f>INDEX(Items!B$2:B$1032,MATCH($O182,Items!$A$2:$A$1032,0))</f>
        <v>#N/A</v>
      </c>
      <c r="Q182" t="e">
        <f>INDEX(Items!C$2:C$1032,MATCH($O182,Items!$A$2:$A$1032,0))</f>
        <v>#N/A</v>
      </c>
      <c r="R182" t="e">
        <f>INDEX(Items!D$2:D$1032,MATCH($O182,Items!$A$2:$A$1032,0))</f>
        <v>#N/A</v>
      </c>
    </row>
    <row r="183" spans="1:18" x14ac:dyDescent="0.25">
      <c r="A183">
        <f t="shared" si="13"/>
        <v>1</v>
      </c>
      <c r="B183" t="str">
        <f t="shared" si="14"/>
        <v/>
      </c>
      <c r="C183">
        <f t="shared" si="16"/>
        <v>1</v>
      </c>
      <c r="D183" s="4"/>
      <c r="E183" t="s">
        <v>18</v>
      </c>
      <c r="F183" t="str">
        <f>INDEX(Establishment!B$2:B$1005,MATCH($E183,Establishment!$A$2:$A$1005,0))</f>
        <v xml:space="preserve"> </v>
      </c>
      <c r="G183" t="str">
        <f>INDEX(Establishment!C$2:C$1005,MATCH($E183,Establishment!$A$2:$A$1005,0))</f>
        <v xml:space="preserve"> </v>
      </c>
      <c r="M183">
        <f t="shared" si="17"/>
        <v>0</v>
      </c>
      <c r="N183">
        <f t="shared" si="15"/>
        <v>0</v>
      </c>
      <c r="P183" t="e">
        <f>INDEX(Items!B$2:B$1032,MATCH($O183,Items!$A$2:$A$1032,0))</f>
        <v>#N/A</v>
      </c>
      <c r="Q183" t="e">
        <f>INDEX(Items!C$2:C$1032,MATCH($O183,Items!$A$2:$A$1032,0))</f>
        <v>#N/A</v>
      </c>
      <c r="R183" t="e">
        <f>INDEX(Items!D$2:D$1032,MATCH($O183,Items!$A$2:$A$1032,0))</f>
        <v>#N/A</v>
      </c>
    </row>
    <row r="184" spans="1:18" x14ac:dyDescent="0.25">
      <c r="A184">
        <f t="shared" si="13"/>
        <v>1</v>
      </c>
      <c r="B184" t="str">
        <f t="shared" si="14"/>
        <v/>
      </c>
      <c r="C184">
        <f t="shared" si="16"/>
        <v>1</v>
      </c>
      <c r="D184" s="4"/>
      <c r="E184" t="s">
        <v>18</v>
      </c>
      <c r="F184" t="str">
        <f>INDEX(Establishment!B$2:B$1005,MATCH($E184,Establishment!$A$2:$A$1005,0))</f>
        <v xml:space="preserve"> </v>
      </c>
      <c r="G184" t="str">
        <f>INDEX(Establishment!C$2:C$1005,MATCH($E184,Establishment!$A$2:$A$1005,0))</f>
        <v xml:space="preserve"> </v>
      </c>
      <c r="M184">
        <f t="shared" si="17"/>
        <v>0</v>
      </c>
      <c r="N184">
        <f t="shared" si="15"/>
        <v>0</v>
      </c>
      <c r="P184" t="e">
        <f>INDEX(Items!B$2:B$1032,MATCH($O184,Items!$A$2:$A$1032,0))</f>
        <v>#N/A</v>
      </c>
      <c r="Q184" t="e">
        <f>INDEX(Items!C$2:C$1032,MATCH($O184,Items!$A$2:$A$1032,0))</f>
        <v>#N/A</v>
      </c>
      <c r="R184" t="e">
        <f>INDEX(Items!D$2:D$1032,MATCH($O184,Items!$A$2:$A$1032,0))</f>
        <v>#N/A</v>
      </c>
    </row>
    <row r="185" spans="1:18" x14ac:dyDescent="0.25">
      <c r="A185">
        <f t="shared" si="13"/>
        <v>1</v>
      </c>
      <c r="B185" t="str">
        <f t="shared" si="14"/>
        <v/>
      </c>
      <c r="C185">
        <f t="shared" si="16"/>
        <v>1</v>
      </c>
      <c r="D185" s="4"/>
      <c r="E185" t="s">
        <v>18</v>
      </c>
      <c r="F185" t="str">
        <f>INDEX(Establishment!B$2:B$1005,MATCH($E185,Establishment!$A$2:$A$1005,0))</f>
        <v xml:space="preserve"> </v>
      </c>
      <c r="G185" t="str">
        <f>INDEX(Establishment!C$2:C$1005,MATCH($E185,Establishment!$A$2:$A$1005,0))</f>
        <v xml:space="preserve"> </v>
      </c>
      <c r="M185">
        <f t="shared" si="17"/>
        <v>0</v>
      </c>
      <c r="N185">
        <f t="shared" si="15"/>
        <v>0</v>
      </c>
      <c r="P185" t="e">
        <f>INDEX(Items!B$2:B$1032,MATCH($O185,Items!$A$2:$A$1032,0))</f>
        <v>#N/A</v>
      </c>
      <c r="Q185" t="e">
        <f>INDEX(Items!C$2:C$1032,MATCH($O185,Items!$A$2:$A$1032,0))</f>
        <v>#N/A</v>
      </c>
      <c r="R185" t="e">
        <f>INDEX(Items!D$2:D$1032,MATCH($O185,Items!$A$2:$A$1032,0))</f>
        <v>#N/A</v>
      </c>
    </row>
    <row r="186" spans="1:18" x14ac:dyDescent="0.25">
      <c r="A186">
        <f t="shared" si="13"/>
        <v>1</v>
      </c>
      <c r="B186" t="str">
        <f t="shared" si="14"/>
        <v/>
      </c>
      <c r="C186">
        <f t="shared" si="16"/>
        <v>1</v>
      </c>
      <c r="D186" s="4"/>
      <c r="E186" t="s">
        <v>18</v>
      </c>
      <c r="F186" t="str">
        <f>INDEX(Establishment!B$2:B$1005,MATCH($E186,Establishment!$A$2:$A$1005,0))</f>
        <v xml:space="preserve"> </v>
      </c>
      <c r="G186" t="str">
        <f>INDEX(Establishment!C$2:C$1005,MATCH($E186,Establishment!$A$2:$A$1005,0))</f>
        <v xml:space="preserve"> </v>
      </c>
      <c r="M186">
        <f t="shared" si="17"/>
        <v>0</v>
      </c>
      <c r="N186">
        <f t="shared" si="15"/>
        <v>0</v>
      </c>
      <c r="P186" t="e">
        <f>INDEX(Items!B$2:B$1032,MATCH($O186,Items!$A$2:$A$1032,0))</f>
        <v>#N/A</v>
      </c>
      <c r="Q186" t="e">
        <f>INDEX(Items!C$2:C$1032,MATCH($O186,Items!$A$2:$A$1032,0))</f>
        <v>#N/A</v>
      </c>
      <c r="R186" t="e">
        <f>INDEX(Items!D$2:D$1032,MATCH($O186,Items!$A$2:$A$1032,0))</f>
        <v>#N/A</v>
      </c>
    </row>
    <row r="187" spans="1:18" x14ac:dyDescent="0.25">
      <c r="A187">
        <f t="shared" si="13"/>
        <v>1</v>
      </c>
      <c r="B187" t="str">
        <f t="shared" si="14"/>
        <v/>
      </c>
      <c r="C187">
        <f t="shared" si="16"/>
        <v>1</v>
      </c>
      <c r="D187" s="4"/>
      <c r="E187" t="s">
        <v>18</v>
      </c>
      <c r="F187" t="str">
        <f>INDEX(Establishment!B$2:B$1005,MATCH($E187,Establishment!$A$2:$A$1005,0))</f>
        <v xml:space="preserve"> </v>
      </c>
      <c r="G187" t="str">
        <f>INDEX(Establishment!C$2:C$1005,MATCH($E187,Establishment!$A$2:$A$1005,0))</f>
        <v xml:space="preserve"> </v>
      </c>
      <c r="M187">
        <f t="shared" si="17"/>
        <v>0</v>
      </c>
      <c r="N187">
        <f t="shared" si="15"/>
        <v>0</v>
      </c>
      <c r="P187" t="e">
        <f>INDEX(Items!B$2:B$1032,MATCH($O187,Items!$A$2:$A$1032,0))</f>
        <v>#N/A</v>
      </c>
      <c r="Q187" t="e">
        <f>INDEX(Items!C$2:C$1032,MATCH($O187,Items!$A$2:$A$1032,0))</f>
        <v>#N/A</v>
      </c>
      <c r="R187" t="e">
        <f>INDEX(Items!D$2:D$1032,MATCH($O187,Items!$A$2:$A$1032,0))</f>
        <v>#N/A</v>
      </c>
    </row>
    <row r="188" spans="1:18" x14ac:dyDescent="0.25">
      <c r="A188">
        <f t="shared" si="13"/>
        <v>1</v>
      </c>
      <c r="B188" t="str">
        <f t="shared" si="14"/>
        <v/>
      </c>
      <c r="C188">
        <f t="shared" si="16"/>
        <v>1</v>
      </c>
      <c r="D188" s="4"/>
      <c r="E188" t="s">
        <v>18</v>
      </c>
      <c r="F188" t="str">
        <f>INDEX(Establishment!B$2:B$1005,MATCH($E188,Establishment!$A$2:$A$1005,0))</f>
        <v xml:space="preserve"> </v>
      </c>
      <c r="G188" t="str">
        <f>INDEX(Establishment!C$2:C$1005,MATCH($E188,Establishment!$A$2:$A$1005,0))</f>
        <v xml:space="preserve"> </v>
      </c>
      <c r="M188">
        <f t="shared" si="17"/>
        <v>0</v>
      </c>
      <c r="N188">
        <f t="shared" si="15"/>
        <v>0</v>
      </c>
      <c r="P188" t="e">
        <f>INDEX(Items!B$2:B$1032,MATCH($O188,Items!$A$2:$A$1032,0))</f>
        <v>#N/A</v>
      </c>
      <c r="Q188" t="e">
        <f>INDEX(Items!C$2:C$1032,MATCH($O188,Items!$A$2:$A$1032,0))</f>
        <v>#N/A</v>
      </c>
      <c r="R188" t="e">
        <f>INDEX(Items!D$2:D$1032,MATCH($O188,Items!$A$2:$A$1032,0))</f>
        <v>#N/A</v>
      </c>
    </row>
    <row r="189" spans="1:18" x14ac:dyDescent="0.25">
      <c r="A189">
        <f t="shared" si="13"/>
        <v>1</v>
      </c>
      <c r="B189" t="str">
        <f t="shared" si="14"/>
        <v/>
      </c>
      <c r="C189">
        <f t="shared" si="16"/>
        <v>1</v>
      </c>
      <c r="D189" s="4"/>
      <c r="E189" t="s">
        <v>18</v>
      </c>
      <c r="F189" t="str">
        <f>INDEX(Establishment!B$2:B$1005,MATCH($E189,Establishment!$A$2:$A$1005,0))</f>
        <v xml:space="preserve"> </v>
      </c>
      <c r="G189" t="str">
        <f>INDEX(Establishment!C$2:C$1005,MATCH($E189,Establishment!$A$2:$A$1005,0))</f>
        <v xml:space="preserve"> </v>
      </c>
      <c r="M189">
        <f t="shared" si="17"/>
        <v>0</v>
      </c>
      <c r="N189">
        <f t="shared" si="15"/>
        <v>0</v>
      </c>
      <c r="P189" t="e">
        <f>INDEX(Items!B$2:B$1032,MATCH($O189,Items!$A$2:$A$1032,0))</f>
        <v>#N/A</v>
      </c>
      <c r="Q189" t="e">
        <f>INDEX(Items!C$2:C$1032,MATCH($O189,Items!$A$2:$A$1032,0))</f>
        <v>#N/A</v>
      </c>
      <c r="R189" t="e">
        <f>INDEX(Items!D$2:D$1032,MATCH($O189,Items!$A$2:$A$1032,0))</f>
        <v>#N/A</v>
      </c>
    </row>
    <row r="190" spans="1:18" x14ac:dyDescent="0.25">
      <c r="A190">
        <f t="shared" si="13"/>
        <v>1</v>
      </c>
      <c r="B190" t="str">
        <f t="shared" si="14"/>
        <v/>
      </c>
      <c r="C190">
        <f t="shared" si="16"/>
        <v>1</v>
      </c>
      <c r="D190" s="4"/>
      <c r="E190" t="s">
        <v>18</v>
      </c>
      <c r="F190" t="str">
        <f>INDEX(Establishment!B$2:B$1005,MATCH($E190,Establishment!$A$2:$A$1005,0))</f>
        <v xml:space="preserve"> </v>
      </c>
      <c r="G190" t="str">
        <f>INDEX(Establishment!C$2:C$1005,MATCH($E190,Establishment!$A$2:$A$1005,0))</f>
        <v xml:space="preserve"> </v>
      </c>
      <c r="M190">
        <f t="shared" si="17"/>
        <v>0</v>
      </c>
      <c r="N190">
        <f t="shared" si="15"/>
        <v>0</v>
      </c>
      <c r="P190" t="e">
        <f>INDEX(Items!B$2:B$1032,MATCH($O190,Items!$A$2:$A$1032,0))</f>
        <v>#N/A</v>
      </c>
      <c r="Q190" t="e">
        <f>INDEX(Items!C$2:C$1032,MATCH($O190,Items!$A$2:$A$1032,0))</f>
        <v>#N/A</v>
      </c>
      <c r="R190" t="e">
        <f>INDEX(Items!D$2:D$1032,MATCH($O190,Items!$A$2:$A$1032,0))</f>
        <v>#N/A</v>
      </c>
    </row>
    <row r="191" spans="1:18" x14ac:dyDescent="0.25">
      <c r="A191">
        <f t="shared" si="13"/>
        <v>1</v>
      </c>
      <c r="B191" t="str">
        <f t="shared" si="14"/>
        <v/>
      </c>
      <c r="C191">
        <f t="shared" si="16"/>
        <v>1</v>
      </c>
      <c r="D191" s="4"/>
      <c r="E191" t="s">
        <v>18</v>
      </c>
      <c r="F191" t="str">
        <f>INDEX(Establishment!B$2:B$1005,MATCH($E191,Establishment!$A$2:$A$1005,0))</f>
        <v xml:space="preserve"> </v>
      </c>
      <c r="G191" t="str">
        <f>INDEX(Establishment!C$2:C$1005,MATCH($E191,Establishment!$A$2:$A$1005,0))</f>
        <v xml:space="preserve"> </v>
      </c>
      <c r="M191">
        <f t="shared" si="17"/>
        <v>0</v>
      </c>
      <c r="N191">
        <f t="shared" si="15"/>
        <v>0</v>
      </c>
      <c r="P191" t="e">
        <f>INDEX(Items!B$2:B$1032,MATCH($O191,Items!$A$2:$A$1032,0))</f>
        <v>#N/A</v>
      </c>
      <c r="Q191" t="e">
        <f>INDEX(Items!C$2:C$1032,MATCH($O191,Items!$A$2:$A$1032,0))</f>
        <v>#N/A</v>
      </c>
      <c r="R191" t="e">
        <f>INDEX(Items!D$2:D$1032,MATCH($O191,Items!$A$2:$A$1032,0))</f>
        <v>#N/A</v>
      </c>
    </row>
    <row r="192" spans="1:18" x14ac:dyDescent="0.25">
      <c r="A192">
        <f t="shared" si="13"/>
        <v>1</v>
      </c>
      <c r="B192" t="str">
        <f t="shared" si="14"/>
        <v/>
      </c>
      <c r="C192">
        <f t="shared" si="16"/>
        <v>1</v>
      </c>
      <c r="D192" s="4"/>
      <c r="E192" t="s">
        <v>18</v>
      </c>
      <c r="F192" t="str">
        <f>INDEX(Establishment!B$2:B$1005,MATCH($E192,Establishment!$A$2:$A$1005,0))</f>
        <v xml:space="preserve"> </v>
      </c>
      <c r="G192" t="str">
        <f>INDEX(Establishment!C$2:C$1005,MATCH($E192,Establishment!$A$2:$A$1005,0))</f>
        <v xml:space="preserve"> </v>
      </c>
      <c r="M192">
        <f t="shared" si="17"/>
        <v>0</v>
      </c>
      <c r="N192">
        <f t="shared" si="15"/>
        <v>0</v>
      </c>
      <c r="P192" t="e">
        <f>INDEX(Items!B$2:B$1032,MATCH($O192,Items!$A$2:$A$1032,0))</f>
        <v>#N/A</v>
      </c>
      <c r="Q192" t="e">
        <f>INDEX(Items!C$2:C$1032,MATCH($O192,Items!$A$2:$A$1032,0))</f>
        <v>#N/A</v>
      </c>
      <c r="R192" t="e">
        <f>INDEX(Items!D$2:D$1032,MATCH($O192,Items!$A$2:$A$1032,0))</f>
        <v>#N/A</v>
      </c>
    </row>
    <row r="193" spans="1:18" x14ac:dyDescent="0.25">
      <c r="A193">
        <f t="shared" si="13"/>
        <v>1</v>
      </c>
      <c r="B193" t="str">
        <f t="shared" si="14"/>
        <v/>
      </c>
      <c r="C193">
        <f t="shared" si="16"/>
        <v>1</v>
      </c>
      <c r="D193" s="4"/>
      <c r="E193" t="s">
        <v>18</v>
      </c>
      <c r="F193" t="str">
        <f>INDEX(Establishment!B$2:B$1005,MATCH($E193,Establishment!$A$2:$A$1005,0))</f>
        <v xml:space="preserve"> </v>
      </c>
      <c r="G193" t="str">
        <f>INDEX(Establishment!C$2:C$1005,MATCH($E193,Establishment!$A$2:$A$1005,0))</f>
        <v xml:space="preserve"> </v>
      </c>
      <c r="M193">
        <f t="shared" si="17"/>
        <v>0</v>
      </c>
      <c r="N193">
        <f t="shared" si="15"/>
        <v>0</v>
      </c>
      <c r="P193" t="e">
        <f>INDEX(Items!B$2:B$1032,MATCH($O193,Items!$A$2:$A$1032,0))</f>
        <v>#N/A</v>
      </c>
      <c r="Q193" t="e">
        <f>INDEX(Items!C$2:C$1032,MATCH($O193,Items!$A$2:$A$1032,0))</f>
        <v>#N/A</v>
      </c>
      <c r="R193" t="e">
        <f>INDEX(Items!D$2:D$1032,MATCH($O193,Items!$A$2:$A$1032,0))</f>
        <v>#N/A</v>
      </c>
    </row>
    <row r="194" spans="1:18" x14ac:dyDescent="0.25">
      <c r="A194">
        <f t="shared" ref="A194:A257" si="18">IF(OR(D194&lt;&gt;D193,D194=""),1,IF(NOT(AND(E194=E193,F194=F193,G194=G193)),A193+1,IF(OR(H194="",AND(H194&lt;&gt;"",H194&lt;&gt;H193,H193&lt;&gt;"")),A193,A193+1)))</f>
        <v>1</v>
      </c>
      <c r="B194" t="str">
        <f t="shared" ref="B194:B257" si="19">IF(D194&lt;&gt;"",TEXT(D194,"YYYYMMDD")&amp;CHAR(64+A194),"")</f>
        <v/>
      </c>
      <c r="C194">
        <f t="shared" si="16"/>
        <v>1</v>
      </c>
      <c r="D194" s="4"/>
      <c r="E194" t="s">
        <v>18</v>
      </c>
      <c r="F194" t="str">
        <f>INDEX(Establishment!B$2:B$1005,MATCH($E194,Establishment!$A$2:$A$1005,0))</f>
        <v xml:space="preserve"> </v>
      </c>
      <c r="G194" t="str">
        <f>INDEX(Establishment!C$2:C$1005,MATCH($E194,Establishment!$A$2:$A$1005,0))</f>
        <v xml:space="preserve"> </v>
      </c>
      <c r="M194">
        <f t="shared" si="17"/>
        <v>0</v>
      </c>
      <c r="N194">
        <f t="shared" si="15"/>
        <v>0</v>
      </c>
      <c r="P194" t="e">
        <f>INDEX(Items!B$2:B$1032,MATCH($O194,Items!$A$2:$A$1032,0))</f>
        <v>#N/A</v>
      </c>
      <c r="Q194" t="e">
        <f>INDEX(Items!C$2:C$1032,MATCH($O194,Items!$A$2:$A$1032,0))</f>
        <v>#N/A</v>
      </c>
      <c r="R194" t="e">
        <f>INDEX(Items!D$2:D$1032,MATCH($O194,Items!$A$2:$A$1032,0))</f>
        <v>#N/A</v>
      </c>
    </row>
    <row r="195" spans="1:18" x14ac:dyDescent="0.25">
      <c r="A195">
        <f t="shared" si="18"/>
        <v>1</v>
      </c>
      <c r="B195" t="str">
        <f t="shared" si="19"/>
        <v/>
      </c>
      <c r="C195">
        <f t="shared" si="16"/>
        <v>1</v>
      </c>
      <c r="D195" s="4"/>
      <c r="E195" t="s">
        <v>18</v>
      </c>
      <c r="F195" t="str">
        <f>INDEX(Establishment!B$2:B$1005,MATCH($E195,Establishment!$A$2:$A$1005,0))</f>
        <v xml:space="preserve"> </v>
      </c>
      <c r="G195" t="str">
        <f>INDEX(Establishment!C$2:C$1005,MATCH($E195,Establishment!$A$2:$A$1005,0))</f>
        <v xml:space="preserve"> </v>
      </c>
      <c r="M195">
        <f t="shared" si="17"/>
        <v>0</v>
      </c>
      <c r="N195">
        <f t="shared" ref="N195:N258" si="20">IF(B195=B194,N194+M195,M195)</f>
        <v>0</v>
      </c>
      <c r="P195" t="e">
        <f>INDEX(Items!B$2:B$1032,MATCH($O195,Items!$A$2:$A$1032,0))</f>
        <v>#N/A</v>
      </c>
      <c r="Q195" t="e">
        <f>INDEX(Items!C$2:C$1032,MATCH($O195,Items!$A$2:$A$1032,0))</f>
        <v>#N/A</v>
      </c>
      <c r="R195" t="e">
        <f>INDEX(Items!D$2:D$1032,MATCH($O195,Items!$A$2:$A$1032,0))</f>
        <v>#N/A</v>
      </c>
    </row>
    <row r="196" spans="1:18" x14ac:dyDescent="0.25">
      <c r="A196">
        <f t="shared" si="18"/>
        <v>1</v>
      </c>
      <c r="B196" t="str">
        <f t="shared" si="19"/>
        <v/>
      </c>
      <c r="C196">
        <f t="shared" si="16"/>
        <v>1</v>
      </c>
      <c r="D196" s="4"/>
      <c r="E196" t="s">
        <v>18</v>
      </c>
      <c r="F196" t="str">
        <f>INDEX(Establishment!B$2:B$1005,MATCH($E196,Establishment!$A$2:$A$1005,0))</f>
        <v xml:space="preserve"> </v>
      </c>
      <c r="G196" t="str">
        <f>INDEX(Establishment!C$2:C$1005,MATCH($E196,Establishment!$A$2:$A$1005,0))</f>
        <v xml:space="preserve"> </v>
      </c>
      <c r="M196">
        <f t="shared" si="17"/>
        <v>0</v>
      </c>
      <c r="N196">
        <f t="shared" si="20"/>
        <v>0</v>
      </c>
      <c r="P196" t="e">
        <f>INDEX(Items!B$2:B$1032,MATCH($O196,Items!$A$2:$A$1032,0))</f>
        <v>#N/A</v>
      </c>
      <c r="Q196" t="e">
        <f>INDEX(Items!C$2:C$1032,MATCH($O196,Items!$A$2:$A$1032,0))</f>
        <v>#N/A</v>
      </c>
      <c r="R196" t="e">
        <f>INDEX(Items!D$2:D$1032,MATCH($O196,Items!$A$2:$A$1032,0))</f>
        <v>#N/A</v>
      </c>
    </row>
    <row r="197" spans="1:18" x14ac:dyDescent="0.25">
      <c r="A197">
        <f t="shared" si="18"/>
        <v>1</v>
      </c>
      <c r="B197" t="str">
        <f t="shared" si="19"/>
        <v/>
      </c>
      <c r="C197">
        <f t="shared" si="16"/>
        <v>1</v>
      </c>
      <c r="D197" s="4"/>
      <c r="E197" t="s">
        <v>18</v>
      </c>
      <c r="F197" t="str">
        <f>INDEX(Establishment!B$2:B$1005,MATCH($E197,Establishment!$A$2:$A$1005,0))</f>
        <v xml:space="preserve"> </v>
      </c>
      <c r="G197" t="str">
        <f>INDEX(Establishment!C$2:C$1005,MATCH($E197,Establishment!$A$2:$A$1005,0))</f>
        <v xml:space="preserve"> </v>
      </c>
      <c r="M197">
        <f t="shared" si="17"/>
        <v>0</v>
      </c>
      <c r="N197">
        <f t="shared" si="20"/>
        <v>0</v>
      </c>
      <c r="P197" t="e">
        <f>INDEX(Items!B$2:B$1032,MATCH($O197,Items!$A$2:$A$1032,0))</f>
        <v>#N/A</v>
      </c>
      <c r="Q197" t="e">
        <f>INDEX(Items!C$2:C$1032,MATCH($O197,Items!$A$2:$A$1032,0))</f>
        <v>#N/A</v>
      </c>
      <c r="R197" t="e">
        <f>INDEX(Items!D$2:D$1032,MATCH($O197,Items!$A$2:$A$1032,0))</f>
        <v>#N/A</v>
      </c>
    </row>
    <row r="198" spans="1:18" x14ac:dyDescent="0.25">
      <c r="A198">
        <f t="shared" si="18"/>
        <v>1</v>
      </c>
      <c r="B198" t="str">
        <f t="shared" si="19"/>
        <v/>
      </c>
      <c r="C198">
        <f t="shared" si="16"/>
        <v>1</v>
      </c>
      <c r="D198" s="4"/>
      <c r="E198" t="s">
        <v>18</v>
      </c>
      <c r="F198" t="str">
        <f>INDEX(Establishment!B$2:B$1005,MATCH($E198,Establishment!$A$2:$A$1005,0))</f>
        <v xml:space="preserve"> </v>
      </c>
      <c r="G198" t="str">
        <f>INDEX(Establishment!C$2:C$1005,MATCH($E198,Establishment!$A$2:$A$1005,0))</f>
        <v xml:space="preserve"> </v>
      </c>
      <c r="M198">
        <f t="shared" si="17"/>
        <v>0</v>
      </c>
      <c r="N198">
        <f t="shared" si="20"/>
        <v>0</v>
      </c>
      <c r="P198" t="e">
        <f>INDEX(Items!B$2:B$1032,MATCH($O198,Items!$A$2:$A$1032,0))</f>
        <v>#N/A</v>
      </c>
      <c r="Q198" t="e">
        <f>INDEX(Items!C$2:C$1032,MATCH($O198,Items!$A$2:$A$1032,0))</f>
        <v>#N/A</v>
      </c>
      <c r="R198" t="e">
        <f>INDEX(Items!D$2:D$1032,MATCH($O198,Items!$A$2:$A$1032,0))</f>
        <v>#N/A</v>
      </c>
    </row>
    <row r="199" spans="1:18" x14ac:dyDescent="0.25">
      <c r="A199">
        <f t="shared" si="18"/>
        <v>1</v>
      </c>
      <c r="B199" t="str">
        <f t="shared" si="19"/>
        <v/>
      </c>
      <c r="C199">
        <f t="shared" si="16"/>
        <v>1</v>
      </c>
      <c r="D199" s="4"/>
      <c r="E199" t="s">
        <v>18</v>
      </c>
      <c r="F199" t="str">
        <f>INDEX(Establishment!B$2:B$1005,MATCH($E199,Establishment!$A$2:$A$1005,0))</f>
        <v xml:space="preserve"> </v>
      </c>
      <c r="G199" t="str">
        <f>INDEX(Establishment!C$2:C$1005,MATCH($E199,Establishment!$A$2:$A$1005,0))</f>
        <v xml:space="preserve"> </v>
      </c>
      <c r="M199">
        <f t="shared" si="17"/>
        <v>0</v>
      </c>
      <c r="N199">
        <f t="shared" si="20"/>
        <v>0</v>
      </c>
      <c r="P199" t="e">
        <f>INDEX(Items!B$2:B$1032,MATCH($O199,Items!$A$2:$A$1032,0))</f>
        <v>#N/A</v>
      </c>
      <c r="Q199" t="e">
        <f>INDEX(Items!C$2:C$1032,MATCH($O199,Items!$A$2:$A$1032,0))</f>
        <v>#N/A</v>
      </c>
      <c r="R199" t="e">
        <f>INDEX(Items!D$2:D$1032,MATCH($O199,Items!$A$2:$A$1032,0))</f>
        <v>#N/A</v>
      </c>
    </row>
    <row r="200" spans="1:18" x14ac:dyDescent="0.25">
      <c r="A200">
        <f t="shared" si="18"/>
        <v>1</v>
      </c>
      <c r="B200" t="str">
        <f t="shared" si="19"/>
        <v/>
      </c>
      <c r="C200">
        <f t="shared" si="16"/>
        <v>1</v>
      </c>
      <c r="D200" s="4"/>
      <c r="E200" t="s">
        <v>18</v>
      </c>
      <c r="F200" t="str">
        <f>INDEX(Establishment!B$2:B$1005,MATCH($E200,Establishment!$A$2:$A$1005,0))</f>
        <v xml:space="preserve"> </v>
      </c>
      <c r="G200" t="str">
        <f>INDEX(Establishment!C$2:C$1005,MATCH($E200,Establishment!$A$2:$A$1005,0))</f>
        <v xml:space="preserve"> </v>
      </c>
      <c r="M200">
        <f t="shared" si="17"/>
        <v>0</v>
      </c>
      <c r="N200">
        <f t="shared" si="20"/>
        <v>0</v>
      </c>
      <c r="P200" t="e">
        <f>INDEX(Items!B$2:B$1032,MATCH($O200,Items!$A$2:$A$1032,0))</f>
        <v>#N/A</v>
      </c>
      <c r="Q200" t="e">
        <f>INDEX(Items!C$2:C$1032,MATCH($O200,Items!$A$2:$A$1032,0))</f>
        <v>#N/A</v>
      </c>
      <c r="R200" t="e">
        <f>INDEX(Items!D$2:D$1032,MATCH($O200,Items!$A$2:$A$1032,0))</f>
        <v>#N/A</v>
      </c>
    </row>
    <row r="201" spans="1:18" x14ac:dyDescent="0.25">
      <c r="A201">
        <f t="shared" si="18"/>
        <v>1</v>
      </c>
      <c r="B201" t="str">
        <f t="shared" si="19"/>
        <v/>
      </c>
      <c r="C201">
        <f t="shared" si="16"/>
        <v>1</v>
      </c>
      <c r="D201" s="4"/>
      <c r="E201" t="s">
        <v>18</v>
      </c>
      <c r="F201" t="str">
        <f>INDEX(Establishment!B$2:B$1005,MATCH($E201,Establishment!$A$2:$A$1005,0))</f>
        <v xml:space="preserve"> </v>
      </c>
      <c r="G201" t="str">
        <f>INDEX(Establishment!C$2:C$1005,MATCH($E201,Establishment!$A$2:$A$1005,0))</f>
        <v xml:space="preserve"> </v>
      </c>
      <c r="M201">
        <f t="shared" si="17"/>
        <v>0</v>
      </c>
      <c r="N201">
        <f t="shared" si="20"/>
        <v>0</v>
      </c>
      <c r="P201" t="e">
        <f>INDEX(Items!B$2:B$1032,MATCH($O201,Items!$A$2:$A$1032,0))</f>
        <v>#N/A</v>
      </c>
      <c r="Q201" t="e">
        <f>INDEX(Items!C$2:C$1032,MATCH($O201,Items!$A$2:$A$1032,0))</f>
        <v>#N/A</v>
      </c>
      <c r="R201" t="e">
        <f>INDEX(Items!D$2:D$1032,MATCH($O201,Items!$A$2:$A$1032,0))</f>
        <v>#N/A</v>
      </c>
    </row>
    <row r="202" spans="1:18" x14ac:dyDescent="0.25">
      <c r="A202">
        <f t="shared" si="18"/>
        <v>1</v>
      </c>
      <c r="B202" t="str">
        <f t="shared" si="19"/>
        <v/>
      </c>
      <c r="C202">
        <f t="shared" ref="C202:C265" si="21">IF(OR(B202="",B202&lt;&gt;B201),1,C201+1)</f>
        <v>1</v>
      </c>
      <c r="D202" s="4"/>
      <c r="E202" t="s">
        <v>18</v>
      </c>
      <c r="F202" t="str">
        <f>INDEX(Establishment!B$2:B$1005,MATCH($E202,Establishment!$A$2:$A$1005,0))</f>
        <v xml:space="preserve"> </v>
      </c>
      <c r="G202" t="str">
        <f>INDEX(Establishment!C$2:C$1005,MATCH($E202,Establishment!$A$2:$A$1005,0))</f>
        <v xml:space="preserve"> </v>
      </c>
      <c r="M202">
        <f t="shared" ref="M202:M265" si="22">K202*L202</f>
        <v>0</v>
      </c>
      <c r="N202">
        <f t="shared" si="20"/>
        <v>0</v>
      </c>
      <c r="P202" t="e">
        <f>INDEX(Items!B$2:B$1032,MATCH($O202,Items!$A$2:$A$1032,0))</f>
        <v>#N/A</v>
      </c>
      <c r="Q202" t="e">
        <f>INDEX(Items!C$2:C$1032,MATCH($O202,Items!$A$2:$A$1032,0))</f>
        <v>#N/A</v>
      </c>
      <c r="R202" t="e">
        <f>INDEX(Items!D$2:D$1032,MATCH($O202,Items!$A$2:$A$1032,0))</f>
        <v>#N/A</v>
      </c>
    </row>
    <row r="203" spans="1:18" x14ac:dyDescent="0.25">
      <c r="A203">
        <f t="shared" si="18"/>
        <v>1</v>
      </c>
      <c r="B203" t="str">
        <f t="shared" si="19"/>
        <v/>
      </c>
      <c r="C203">
        <f t="shared" si="21"/>
        <v>1</v>
      </c>
      <c r="D203" s="4"/>
      <c r="E203" t="s">
        <v>18</v>
      </c>
      <c r="F203" t="str">
        <f>INDEX(Establishment!B$2:B$1005,MATCH($E203,Establishment!$A$2:$A$1005,0))</f>
        <v xml:space="preserve"> </v>
      </c>
      <c r="G203" t="str">
        <f>INDEX(Establishment!C$2:C$1005,MATCH($E203,Establishment!$A$2:$A$1005,0))</f>
        <v xml:space="preserve"> </v>
      </c>
      <c r="M203">
        <f t="shared" si="22"/>
        <v>0</v>
      </c>
      <c r="N203">
        <f t="shared" si="20"/>
        <v>0</v>
      </c>
      <c r="P203" t="e">
        <f>INDEX(Items!B$2:B$1032,MATCH($O203,Items!$A$2:$A$1032,0))</f>
        <v>#N/A</v>
      </c>
      <c r="Q203" t="e">
        <f>INDEX(Items!C$2:C$1032,MATCH($O203,Items!$A$2:$A$1032,0))</f>
        <v>#N/A</v>
      </c>
      <c r="R203" t="e">
        <f>INDEX(Items!D$2:D$1032,MATCH($O203,Items!$A$2:$A$1032,0))</f>
        <v>#N/A</v>
      </c>
    </row>
    <row r="204" spans="1:18" x14ac:dyDescent="0.25">
      <c r="A204">
        <f t="shared" si="18"/>
        <v>1</v>
      </c>
      <c r="B204" t="str">
        <f t="shared" si="19"/>
        <v/>
      </c>
      <c r="C204">
        <f t="shared" si="21"/>
        <v>1</v>
      </c>
      <c r="D204" s="4"/>
      <c r="E204" t="s">
        <v>18</v>
      </c>
      <c r="F204" t="str">
        <f>INDEX(Establishment!B$2:B$1005,MATCH($E204,Establishment!$A$2:$A$1005,0))</f>
        <v xml:space="preserve"> </v>
      </c>
      <c r="G204" t="str">
        <f>INDEX(Establishment!C$2:C$1005,MATCH($E204,Establishment!$A$2:$A$1005,0))</f>
        <v xml:space="preserve"> </v>
      </c>
      <c r="M204">
        <f t="shared" si="22"/>
        <v>0</v>
      </c>
      <c r="N204">
        <f t="shared" si="20"/>
        <v>0</v>
      </c>
      <c r="P204" t="e">
        <f>INDEX(Items!B$2:B$1032,MATCH($O204,Items!$A$2:$A$1032,0))</f>
        <v>#N/A</v>
      </c>
      <c r="Q204" t="e">
        <f>INDEX(Items!C$2:C$1032,MATCH($O204,Items!$A$2:$A$1032,0))</f>
        <v>#N/A</v>
      </c>
      <c r="R204" t="e">
        <f>INDEX(Items!D$2:D$1032,MATCH($O204,Items!$A$2:$A$1032,0))</f>
        <v>#N/A</v>
      </c>
    </row>
    <row r="205" spans="1:18" x14ac:dyDescent="0.25">
      <c r="A205">
        <f t="shared" si="18"/>
        <v>1</v>
      </c>
      <c r="B205" t="str">
        <f t="shared" si="19"/>
        <v/>
      </c>
      <c r="C205">
        <f t="shared" si="21"/>
        <v>1</v>
      </c>
      <c r="D205" s="4"/>
      <c r="E205" t="s">
        <v>18</v>
      </c>
      <c r="F205" t="str">
        <f>INDEX(Establishment!B$2:B$1005,MATCH($E205,Establishment!$A$2:$A$1005,0))</f>
        <v xml:space="preserve"> </v>
      </c>
      <c r="G205" t="str">
        <f>INDEX(Establishment!C$2:C$1005,MATCH($E205,Establishment!$A$2:$A$1005,0))</f>
        <v xml:space="preserve"> </v>
      </c>
      <c r="M205">
        <f t="shared" si="22"/>
        <v>0</v>
      </c>
      <c r="N205">
        <f t="shared" si="20"/>
        <v>0</v>
      </c>
      <c r="P205" t="e">
        <f>INDEX(Items!B$2:B$1032,MATCH($O205,Items!$A$2:$A$1032,0))</f>
        <v>#N/A</v>
      </c>
      <c r="Q205" t="e">
        <f>INDEX(Items!C$2:C$1032,MATCH($O205,Items!$A$2:$A$1032,0))</f>
        <v>#N/A</v>
      </c>
      <c r="R205" t="e">
        <f>INDEX(Items!D$2:D$1032,MATCH($O205,Items!$A$2:$A$1032,0))</f>
        <v>#N/A</v>
      </c>
    </row>
    <row r="206" spans="1:18" x14ac:dyDescent="0.25">
      <c r="A206">
        <f t="shared" si="18"/>
        <v>1</v>
      </c>
      <c r="B206" t="str">
        <f t="shared" si="19"/>
        <v/>
      </c>
      <c r="C206">
        <f t="shared" si="21"/>
        <v>1</v>
      </c>
      <c r="D206" s="4"/>
      <c r="E206" t="s">
        <v>18</v>
      </c>
      <c r="F206" t="str">
        <f>INDEX(Establishment!B$2:B$1005,MATCH($E206,Establishment!$A$2:$A$1005,0))</f>
        <v xml:space="preserve"> </v>
      </c>
      <c r="G206" t="str">
        <f>INDEX(Establishment!C$2:C$1005,MATCH($E206,Establishment!$A$2:$A$1005,0))</f>
        <v xml:space="preserve"> </v>
      </c>
      <c r="M206">
        <f t="shared" si="22"/>
        <v>0</v>
      </c>
      <c r="N206">
        <f t="shared" si="20"/>
        <v>0</v>
      </c>
      <c r="P206" t="e">
        <f>INDEX(Items!B$2:B$1032,MATCH($O206,Items!$A$2:$A$1032,0))</f>
        <v>#N/A</v>
      </c>
      <c r="Q206" t="e">
        <f>INDEX(Items!C$2:C$1032,MATCH($O206,Items!$A$2:$A$1032,0))</f>
        <v>#N/A</v>
      </c>
      <c r="R206" t="e">
        <f>INDEX(Items!D$2:D$1032,MATCH($O206,Items!$A$2:$A$1032,0))</f>
        <v>#N/A</v>
      </c>
    </row>
    <row r="207" spans="1:18" x14ac:dyDescent="0.25">
      <c r="A207">
        <f t="shared" si="18"/>
        <v>1</v>
      </c>
      <c r="B207" t="str">
        <f t="shared" si="19"/>
        <v/>
      </c>
      <c r="C207">
        <f t="shared" si="21"/>
        <v>1</v>
      </c>
      <c r="D207" s="4"/>
      <c r="E207" t="s">
        <v>18</v>
      </c>
      <c r="F207" t="str">
        <f>INDEX(Establishment!B$2:B$1005,MATCH($E207,Establishment!$A$2:$A$1005,0))</f>
        <v xml:space="preserve"> </v>
      </c>
      <c r="G207" t="str">
        <f>INDEX(Establishment!C$2:C$1005,MATCH($E207,Establishment!$A$2:$A$1005,0))</f>
        <v xml:space="preserve"> </v>
      </c>
      <c r="M207">
        <f t="shared" si="22"/>
        <v>0</v>
      </c>
      <c r="N207">
        <f t="shared" si="20"/>
        <v>0</v>
      </c>
      <c r="P207" t="e">
        <f>INDEX(Items!B$2:B$1032,MATCH($O207,Items!$A$2:$A$1032,0))</f>
        <v>#N/A</v>
      </c>
      <c r="Q207" t="e">
        <f>INDEX(Items!C$2:C$1032,MATCH($O207,Items!$A$2:$A$1032,0))</f>
        <v>#N/A</v>
      </c>
      <c r="R207" t="e">
        <f>INDEX(Items!D$2:D$1032,MATCH($O207,Items!$A$2:$A$1032,0))</f>
        <v>#N/A</v>
      </c>
    </row>
    <row r="208" spans="1:18" x14ac:dyDescent="0.25">
      <c r="A208">
        <f t="shared" si="18"/>
        <v>1</v>
      </c>
      <c r="B208" t="str">
        <f t="shared" si="19"/>
        <v/>
      </c>
      <c r="C208">
        <f t="shared" si="21"/>
        <v>1</v>
      </c>
      <c r="D208" s="4"/>
      <c r="E208" t="s">
        <v>18</v>
      </c>
      <c r="F208" t="str">
        <f>INDEX(Establishment!B$2:B$1005,MATCH($E208,Establishment!$A$2:$A$1005,0))</f>
        <v xml:space="preserve"> </v>
      </c>
      <c r="G208" t="str">
        <f>INDEX(Establishment!C$2:C$1005,MATCH($E208,Establishment!$A$2:$A$1005,0))</f>
        <v xml:space="preserve"> </v>
      </c>
      <c r="M208">
        <f t="shared" si="22"/>
        <v>0</v>
      </c>
      <c r="N208">
        <f t="shared" si="20"/>
        <v>0</v>
      </c>
      <c r="P208" t="e">
        <f>INDEX(Items!B$2:B$1032,MATCH($O208,Items!$A$2:$A$1032,0))</f>
        <v>#N/A</v>
      </c>
      <c r="Q208" t="e">
        <f>INDEX(Items!C$2:C$1032,MATCH($O208,Items!$A$2:$A$1032,0))</f>
        <v>#N/A</v>
      </c>
      <c r="R208" t="e">
        <f>INDEX(Items!D$2:D$1032,MATCH($O208,Items!$A$2:$A$1032,0))</f>
        <v>#N/A</v>
      </c>
    </row>
    <row r="209" spans="1:18" x14ac:dyDescent="0.25">
      <c r="A209">
        <f t="shared" si="18"/>
        <v>1</v>
      </c>
      <c r="B209" t="str">
        <f t="shared" si="19"/>
        <v/>
      </c>
      <c r="C209">
        <f t="shared" si="21"/>
        <v>1</v>
      </c>
      <c r="D209" s="4"/>
      <c r="E209" t="s">
        <v>18</v>
      </c>
      <c r="F209" t="str">
        <f>INDEX(Establishment!B$2:B$1005,MATCH($E209,Establishment!$A$2:$A$1005,0))</f>
        <v xml:space="preserve"> </v>
      </c>
      <c r="G209" t="str">
        <f>INDEX(Establishment!C$2:C$1005,MATCH($E209,Establishment!$A$2:$A$1005,0))</f>
        <v xml:space="preserve"> </v>
      </c>
      <c r="M209">
        <f t="shared" si="22"/>
        <v>0</v>
      </c>
      <c r="N209">
        <f t="shared" si="20"/>
        <v>0</v>
      </c>
      <c r="P209" t="e">
        <f>INDEX(Items!B$2:B$1032,MATCH($O209,Items!$A$2:$A$1032,0))</f>
        <v>#N/A</v>
      </c>
      <c r="Q209" t="e">
        <f>INDEX(Items!C$2:C$1032,MATCH($O209,Items!$A$2:$A$1032,0))</f>
        <v>#N/A</v>
      </c>
      <c r="R209" t="e">
        <f>INDEX(Items!D$2:D$1032,MATCH($O209,Items!$A$2:$A$1032,0))</f>
        <v>#N/A</v>
      </c>
    </row>
    <row r="210" spans="1:18" x14ac:dyDescent="0.25">
      <c r="A210">
        <f t="shared" si="18"/>
        <v>1</v>
      </c>
      <c r="B210" t="str">
        <f t="shared" si="19"/>
        <v/>
      </c>
      <c r="C210">
        <f t="shared" si="21"/>
        <v>1</v>
      </c>
      <c r="D210" s="4"/>
      <c r="E210" t="s">
        <v>18</v>
      </c>
      <c r="F210" t="str">
        <f>INDEX(Establishment!B$2:B$1005,MATCH($E210,Establishment!$A$2:$A$1005,0))</f>
        <v xml:space="preserve"> </v>
      </c>
      <c r="G210" t="str">
        <f>INDEX(Establishment!C$2:C$1005,MATCH($E210,Establishment!$A$2:$A$1005,0))</f>
        <v xml:space="preserve"> </v>
      </c>
      <c r="M210">
        <f t="shared" si="22"/>
        <v>0</v>
      </c>
      <c r="N210">
        <f t="shared" si="20"/>
        <v>0</v>
      </c>
      <c r="P210" t="e">
        <f>INDEX(Items!B$2:B$1032,MATCH($O210,Items!$A$2:$A$1032,0))</f>
        <v>#N/A</v>
      </c>
      <c r="Q210" t="e">
        <f>INDEX(Items!C$2:C$1032,MATCH($O210,Items!$A$2:$A$1032,0))</f>
        <v>#N/A</v>
      </c>
      <c r="R210" t="e">
        <f>INDEX(Items!D$2:D$1032,MATCH($O210,Items!$A$2:$A$1032,0))</f>
        <v>#N/A</v>
      </c>
    </row>
    <row r="211" spans="1:18" x14ac:dyDescent="0.25">
      <c r="A211">
        <f t="shared" si="18"/>
        <v>1</v>
      </c>
      <c r="B211" t="str">
        <f t="shared" si="19"/>
        <v/>
      </c>
      <c r="C211">
        <f t="shared" si="21"/>
        <v>1</v>
      </c>
      <c r="D211" s="4"/>
      <c r="E211" t="s">
        <v>18</v>
      </c>
      <c r="F211" t="str">
        <f>INDEX(Establishment!B$2:B$1005,MATCH($E211,Establishment!$A$2:$A$1005,0))</f>
        <v xml:space="preserve"> </v>
      </c>
      <c r="G211" t="str">
        <f>INDEX(Establishment!C$2:C$1005,MATCH($E211,Establishment!$A$2:$A$1005,0))</f>
        <v xml:space="preserve"> </v>
      </c>
      <c r="M211">
        <f t="shared" si="22"/>
        <v>0</v>
      </c>
      <c r="N211">
        <f t="shared" si="20"/>
        <v>0</v>
      </c>
      <c r="P211" t="e">
        <f>INDEX(Items!B$2:B$1032,MATCH($O211,Items!$A$2:$A$1032,0))</f>
        <v>#N/A</v>
      </c>
      <c r="Q211" t="e">
        <f>INDEX(Items!C$2:C$1032,MATCH($O211,Items!$A$2:$A$1032,0))</f>
        <v>#N/A</v>
      </c>
      <c r="R211" t="e">
        <f>INDEX(Items!D$2:D$1032,MATCH($O211,Items!$A$2:$A$1032,0))</f>
        <v>#N/A</v>
      </c>
    </row>
    <row r="212" spans="1:18" x14ac:dyDescent="0.25">
      <c r="A212">
        <f t="shared" si="18"/>
        <v>1</v>
      </c>
      <c r="B212" t="str">
        <f t="shared" si="19"/>
        <v/>
      </c>
      <c r="C212">
        <f t="shared" si="21"/>
        <v>1</v>
      </c>
      <c r="D212" s="4"/>
      <c r="E212" t="s">
        <v>18</v>
      </c>
      <c r="F212" t="str">
        <f>INDEX(Establishment!B$2:B$1005,MATCH($E212,Establishment!$A$2:$A$1005,0))</f>
        <v xml:space="preserve"> </v>
      </c>
      <c r="G212" t="str">
        <f>INDEX(Establishment!C$2:C$1005,MATCH($E212,Establishment!$A$2:$A$1005,0))</f>
        <v xml:space="preserve"> </v>
      </c>
      <c r="M212">
        <f t="shared" si="22"/>
        <v>0</v>
      </c>
      <c r="N212">
        <f t="shared" si="20"/>
        <v>0</v>
      </c>
      <c r="P212" t="e">
        <f>INDEX(Items!B$2:B$1032,MATCH($O212,Items!$A$2:$A$1032,0))</f>
        <v>#N/A</v>
      </c>
      <c r="Q212" t="e">
        <f>INDEX(Items!C$2:C$1032,MATCH($O212,Items!$A$2:$A$1032,0))</f>
        <v>#N/A</v>
      </c>
      <c r="R212" t="e">
        <f>INDEX(Items!D$2:D$1032,MATCH($O212,Items!$A$2:$A$1032,0))</f>
        <v>#N/A</v>
      </c>
    </row>
    <row r="213" spans="1:18" x14ac:dyDescent="0.25">
      <c r="A213">
        <f t="shared" si="18"/>
        <v>1</v>
      </c>
      <c r="B213" t="str">
        <f t="shared" si="19"/>
        <v/>
      </c>
      <c r="C213">
        <f t="shared" si="21"/>
        <v>1</v>
      </c>
      <c r="D213" s="4"/>
      <c r="E213" t="s">
        <v>18</v>
      </c>
      <c r="F213" t="str">
        <f>INDEX(Establishment!B$2:B$1005,MATCH($E213,Establishment!$A$2:$A$1005,0))</f>
        <v xml:space="preserve"> </v>
      </c>
      <c r="G213" t="str">
        <f>INDEX(Establishment!C$2:C$1005,MATCH($E213,Establishment!$A$2:$A$1005,0))</f>
        <v xml:space="preserve"> </v>
      </c>
      <c r="M213">
        <f t="shared" si="22"/>
        <v>0</v>
      </c>
      <c r="N213">
        <f t="shared" si="20"/>
        <v>0</v>
      </c>
      <c r="P213" t="e">
        <f>INDEX(Items!B$2:B$1032,MATCH($O213,Items!$A$2:$A$1032,0))</f>
        <v>#N/A</v>
      </c>
      <c r="Q213" t="e">
        <f>INDEX(Items!C$2:C$1032,MATCH($O213,Items!$A$2:$A$1032,0))</f>
        <v>#N/A</v>
      </c>
      <c r="R213" t="e">
        <f>INDEX(Items!D$2:D$1032,MATCH($O213,Items!$A$2:$A$1032,0))</f>
        <v>#N/A</v>
      </c>
    </row>
    <row r="214" spans="1:18" x14ac:dyDescent="0.25">
      <c r="A214">
        <f t="shared" si="18"/>
        <v>1</v>
      </c>
      <c r="B214" t="str">
        <f t="shared" si="19"/>
        <v/>
      </c>
      <c r="C214">
        <f t="shared" si="21"/>
        <v>1</v>
      </c>
      <c r="D214" s="4"/>
      <c r="E214" t="s">
        <v>18</v>
      </c>
      <c r="F214" t="str">
        <f>INDEX(Establishment!B$2:B$1005,MATCH($E214,Establishment!$A$2:$A$1005,0))</f>
        <v xml:space="preserve"> </v>
      </c>
      <c r="G214" t="str">
        <f>INDEX(Establishment!C$2:C$1005,MATCH($E214,Establishment!$A$2:$A$1005,0))</f>
        <v xml:space="preserve"> </v>
      </c>
      <c r="M214">
        <f t="shared" si="22"/>
        <v>0</v>
      </c>
      <c r="N214">
        <f t="shared" si="20"/>
        <v>0</v>
      </c>
      <c r="P214" t="e">
        <f>INDEX(Items!B$2:B$1032,MATCH($O214,Items!$A$2:$A$1032,0))</f>
        <v>#N/A</v>
      </c>
      <c r="Q214" t="e">
        <f>INDEX(Items!C$2:C$1032,MATCH($O214,Items!$A$2:$A$1032,0))</f>
        <v>#N/A</v>
      </c>
      <c r="R214" t="e">
        <f>INDEX(Items!D$2:D$1032,MATCH($O214,Items!$A$2:$A$1032,0))</f>
        <v>#N/A</v>
      </c>
    </row>
    <row r="215" spans="1:18" x14ac:dyDescent="0.25">
      <c r="A215">
        <f t="shared" si="18"/>
        <v>1</v>
      </c>
      <c r="B215" t="str">
        <f t="shared" si="19"/>
        <v/>
      </c>
      <c r="C215">
        <f t="shared" si="21"/>
        <v>1</v>
      </c>
      <c r="D215" s="4"/>
      <c r="E215" t="s">
        <v>18</v>
      </c>
      <c r="F215" t="str">
        <f>INDEX(Establishment!B$2:B$1005,MATCH($E215,Establishment!$A$2:$A$1005,0))</f>
        <v xml:space="preserve"> </v>
      </c>
      <c r="G215" t="str">
        <f>INDEX(Establishment!C$2:C$1005,MATCH($E215,Establishment!$A$2:$A$1005,0))</f>
        <v xml:space="preserve"> </v>
      </c>
      <c r="M215">
        <f t="shared" si="22"/>
        <v>0</v>
      </c>
      <c r="N215">
        <f t="shared" si="20"/>
        <v>0</v>
      </c>
      <c r="P215" t="e">
        <f>INDEX(Items!B$2:B$1032,MATCH($O215,Items!$A$2:$A$1032,0))</f>
        <v>#N/A</v>
      </c>
      <c r="Q215" t="e">
        <f>INDEX(Items!C$2:C$1032,MATCH($O215,Items!$A$2:$A$1032,0))</f>
        <v>#N/A</v>
      </c>
      <c r="R215" t="e">
        <f>INDEX(Items!D$2:D$1032,MATCH($O215,Items!$A$2:$A$1032,0))</f>
        <v>#N/A</v>
      </c>
    </row>
    <row r="216" spans="1:18" x14ac:dyDescent="0.25">
      <c r="A216">
        <f t="shared" si="18"/>
        <v>1</v>
      </c>
      <c r="B216" t="str">
        <f t="shared" si="19"/>
        <v/>
      </c>
      <c r="C216">
        <f t="shared" si="21"/>
        <v>1</v>
      </c>
      <c r="D216" s="4"/>
      <c r="E216" t="s">
        <v>18</v>
      </c>
      <c r="F216" t="str">
        <f>INDEX(Establishment!B$2:B$1005,MATCH($E216,Establishment!$A$2:$A$1005,0))</f>
        <v xml:space="preserve"> </v>
      </c>
      <c r="G216" t="str">
        <f>INDEX(Establishment!C$2:C$1005,MATCH($E216,Establishment!$A$2:$A$1005,0))</f>
        <v xml:space="preserve"> </v>
      </c>
      <c r="M216">
        <f t="shared" si="22"/>
        <v>0</v>
      </c>
      <c r="N216">
        <f t="shared" si="20"/>
        <v>0</v>
      </c>
      <c r="P216" t="e">
        <f>INDEX(Items!B$2:B$1032,MATCH($O216,Items!$A$2:$A$1032,0))</f>
        <v>#N/A</v>
      </c>
      <c r="Q216" t="e">
        <f>INDEX(Items!C$2:C$1032,MATCH($O216,Items!$A$2:$A$1032,0))</f>
        <v>#N/A</v>
      </c>
      <c r="R216" t="e">
        <f>INDEX(Items!D$2:D$1032,MATCH($O216,Items!$A$2:$A$1032,0))</f>
        <v>#N/A</v>
      </c>
    </row>
    <row r="217" spans="1:18" x14ac:dyDescent="0.25">
      <c r="A217">
        <f t="shared" si="18"/>
        <v>1</v>
      </c>
      <c r="B217" t="str">
        <f t="shared" si="19"/>
        <v/>
      </c>
      <c r="C217">
        <f t="shared" si="21"/>
        <v>1</v>
      </c>
      <c r="D217" s="4"/>
      <c r="E217" t="s">
        <v>18</v>
      </c>
      <c r="F217" t="str">
        <f>INDEX(Establishment!B$2:B$1005,MATCH($E217,Establishment!$A$2:$A$1005,0))</f>
        <v xml:space="preserve"> </v>
      </c>
      <c r="G217" t="str">
        <f>INDEX(Establishment!C$2:C$1005,MATCH($E217,Establishment!$A$2:$A$1005,0))</f>
        <v xml:space="preserve"> </v>
      </c>
      <c r="M217">
        <f t="shared" si="22"/>
        <v>0</v>
      </c>
      <c r="N217">
        <f t="shared" si="20"/>
        <v>0</v>
      </c>
      <c r="P217" t="e">
        <f>INDEX(Items!B$2:B$1032,MATCH($O217,Items!$A$2:$A$1032,0))</f>
        <v>#N/A</v>
      </c>
      <c r="Q217" t="e">
        <f>INDEX(Items!C$2:C$1032,MATCH($O217,Items!$A$2:$A$1032,0))</f>
        <v>#N/A</v>
      </c>
      <c r="R217" t="e">
        <f>INDEX(Items!D$2:D$1032,MATCH($O217,Items!$A$2:$A$1032,0))</f>
        <v>#N/A</v>
      </c>
    </row>
    <row r="218" spans="1:18" x14ac:dyDescent="0.25">
      <c r="A218">
        <f t="shared" si="18"/>
        <v>1</v>
      </c>
      <c r="B218" t="str">
        <f t="shared" si="19"/>
        <v/>
      </c>
      <c r="C218">
        <f t="shared" si="21"/>
        <v>1</v>
      </c>
      <c r="D218" s="4"/>
      <c r="E218" t="s">
        <v>18</v>
      </c>
      <c r="F218" t="str">
        <f>INDEX(Establishment!B$2:B$1005,MATCH($E218,Establishment!$A$2:$A$1005,0))</f>
        <v xml:space="preserve"> </v>
      </c>
      <c r="G218" t="str">
        <f>INDEX(Establishment!C$2:C$1005,MATCH($E218,Establishment!$A$2:$A$1005,0))</f>
        <v xml:space="preserve"> </v>
      </c>
      <c r="M218">
        <f t="shared" si="22"/>
        <v>0</v>
      </c>
      <c r="N218">
        <f t="shared" si="20"/>
        <v>0</v>
      </c>
      <c r="P218" t="e">
        <f>INDEX(Items!B$2:B$1032,MATCH($O218,Items!$A$2:$A$1032,0))</f>
        <v>#N/A</v>
      </c>
      <c r="Q218" t="e">
        <f>INDEX(Items!C$2:C$1032,MATCH($O218,Items!$A$2:$A$1032,0))</f>
        <v>#N/A</v>
      </c>
      <c r="R218" t="e">
        <f>INDEX(Items!D$2:D$1032,MATCH($O218,Items!$A$2:$A$1032,0))</f>
        <v>#N/A</v>
      </c>
    </row>
    <row r="219" spans="1:18" x14ac:dyDescent="0.25">
      <c r="A219">
        <f t="shared" si="18"/>
        <v>1</v>
      </c>
      <c r="B219" t="str">
        <f t="shared" si="19"/>
        <v/>
      </c>
      <c r="C219">
        <f t="shared" si="21"/>
        <v>1</v>
      </c>
      <c r="D219" s="4"/>
      <c r="E219" t="s">
        <v>18</v>
      </c>
      <c r="F219" t="str">
        <f>INDEX(Establishment!B$2:B$1005,MATCH($E219,Establishment!$A$2:$A$1005,0))</f>
        <v xml:space="preserve"> </v>
      </c>
      <c r="G219" t="str">
        <f>INDEX(Establishment!C$2:C$1005,MATCH($E219,Establishment!$A$2:$A$1005,0))</f>
        <v xml:space="preserve"> </v>
      </c>
      <c r="M219">
        <f t="shared" si="22"/>
        <v>0</v>
      </c>
      <c r="N219">
        <f t="shared" si="20"/>
        <v>0</v>
      </c>
      <c r="P219" t="e">
        <f>INDEX(Items!B$2:B$1032,MATCH($O219,Items!$A$2:$A$1032,0))</f>
        <v>#N/A</v>
      </c>
      <c r="Q219" t="e">
        <f>INDEX(Items!C$2:C$1032,MATCH($O219,Items!$A$2:$A$1032,0))</f>
        <v>#N/A</v>
      </c>
      <c r="R219" t="e">
        <f>INDEX(Items!D$2:D$1032,MATCH($O219,Items!$A$2:$A$1032,0))</f>
        <v>#N/A</v>
      </c>
    </row>
    <row r="220" spans="1:18" x14ac:dyDescent="0.25">
      <c r="A220">
        <f t="shared" si="18"/>
        <v>1</v>
      </c>
      <c r="B220" t="str">
        <f t="shared" si="19"/>
        <v/>
      </c>
      <c r="C220">
        <f t="shared" si="21"/>
        <v>1</v>
      </c>
      <c r="D220" s="4"/>
      <c r="E220" t="s">
        <v>18</v>
      </c>
      <c r="F220" t="str">
        <f>INDEX(Establishment!B$2:B$1005,MATCH($E220,Establishment!$A$2:$A$1005,0))</f>
        <v xml:space="preserve"> </v>
      </c>
      <c r="G220" t="str">
        <f>INDEX(Establishment!C$2:C$1005,MATCH($E220,Establishment!$A$2:$A$1005,0))</f>
        <v xml:space="preserve"> </v>
      </c>
      <c r="M220">
        <f t="shared" si="22"/>
        <v>0</v>
      </c>
      <c r="N220">
        <f t="shared" si="20"/>
        <v>0</v>
      </c>
      <c r="P220" t="e">
        <f>INDEX(Items!B$2:B$1032,MATCH($O220,Items!$A$2:$A$1032,0))</f>
        <v>#N/A</v>
      </c>
      <c r="Q220" t="e">
        <f>INDEX(Items!C$2:C$1032,MATCH($O220,Items!$A$2:$A$1032,0))</f>
        <v>#N/A</v>
      </c>
      <c r="R220" t="e">
        <f>INDEX(Items!D$2:D$1032,MATCH($O220,Items!$A$2:$A$1032,0))</f>
        <v>#N/A</v>
      </c>
    </row>
    <row r="221" spans="1:18" x14ac:dyDescent="0.25">
      <c r="A221">
        <f t="shared" si="18"/>
        <v>1</v>
      </c>
      <c r="B221" t="str">
        <f t="shared" si="19"/>
        <v/>
      </c>
      <c r="C221">
        <f t="shared" si="21"/>
        <v>1</v>
      </c>
      <c r="D221" s="4"/>
      <c r="E221" t="s">
        <v>18</v>
      </c>
      <c r="F221" t="str">
        <f>INDEX(Establishment!B$2:B$1005,MATCH($E221,Establishment!$A$2:$A$1005,0))</f>
        <v xml:space="preserve"> </v>
      </c>
      <c r="G221" t="str">
        <f>INDEX(Establishment!C$2:C$1005,MATCH($E221,Establishment!$A$2:$A$1005,0))</f>
        <v xml:space="preserve"> </v>
      </c>
      <c r="M221">
        <f t="shared" si="22"/>
        <v>0</v>
      </c>
      <c r="N221">
        <f t="shared" si="20"/>
        <v>0</v>
      </c>
      <c r="P221" t="e">
        <f>INDEX(Items!B$2:B$1032,MATCH($O221,Items!$A$2:$A$1032,0))</f>
        <v>#N/A</v>
      </c>
      <c r="Q221" t="e">
        <f>INDEX(Items!C$2:C$1032,MATCH($O221,Items!$A$2:$A$1032,0))</f>
        <v>#N/A</v>
      </c>
      <c r="R221" t="e">
        <f>INDEX(Items!D$2:D$1032,MATCH($O221,Items!$A$2:$A$1032,0))</f>
        <v>#N/A</v>
      </c>
    </row>
    <row r="222" spans="1:18" x14ac:dyDescent="0.25">
      <c r="A222">
        <f t="shared" si="18"/>
        <v>1</v>
      </c>
      <c r="B222" t="str">
        <f t="shared" si="19"/>
        <v/>
      </c>
      <c r="C222">
        <f t="shared" si="21"/>
        <v>1</v>
      </c>
      <c r="D222" s="4"/>
      <c r="E222" t="s">
        <v>18</v>
      </c>
      <c r="F222" t="str">
        <f>INDEX(Establishment!B$2:B$1005,MATCH($E222,Establishment!$A$2:$A$1005,0))</f>
        <v xml:space="preserve"> </v>
      </c>
      <c r="G222" t="str">
        <f>INDEX(Establishment!C$2:C$1005,MATCH($E222,Establishment!$A$2:$A$1005,0))</f>
        <v xml:space="preserve"> </v>
      </c>
      <c r="M222">
        <f t="shared" si="22"/>
        <v>0</v>
      </c>
      <c r="N222">
        <f t="shared" si="20"/>
        <v>0</v>
      </c>
      <c r="P222" t="e">
        <f>INDEX(Items!B$2:B$1032,MATCH($O222,Items!$A$2:$A$1032,0))</f>
        <v>#N/A</v>
      </c>
      <c r="Q222" t="e">
        <f>INDEX(Items!C$2:C$1032,MATCH($O222,Items!$A$2:$A$1032,0))</f>
        <v>#N/A</v>
      </c>
      <c r="R222" t="e">
        <f>INDEX(Items!D$2:D$1032,MATCH($O222,Items!$A$2:$A$1032,0))</f>
        <v>#N/A</v>
      </c>
    </row>
    <row r="223" spans="1:18" x14ac:dyDescent="0.25">
      <c r="A223">
        <f t="shared" si="18"/>
        <v>1</v>
      </c>
      <c r="B223" t="str">
        <f t="shared" si="19"/>
        <v/>
      </c>
      <c r="C223">
        <f t="shared" si="21"/>
        <v>1</v>
      </c>
      <c r="D223" s="4"/>
      <c r="E223" t="s">
        <v>18</v>
      </c>
      <c r="F223" t="str">
        <f>INDEX(Establishment!B$2:B$1005,MATCH($E223,Establishment!$A$2:$A$1005,0))</f>
        <v xml:space="preserve"> </v>
      </c>
      <c r="G223" t="str">
        <f>INDEX(Establishment!C$2:C$1005,MATCH($E223,Establishment!$A$2:$A$1005,0))</f>
        <v xml:space="preserve"> </v>
      </c>
      <c r="M223">
        <f t="shared" si="22"/>
        <v>0</v>
      </c>
      <c r="N223">
        <f t="shared" si="20"/>
        <v>0</v>
      </c>
      <c r="P223" t="e">
        <f>INDEX(Items!B$2:B$1032,MATCH($O223,Items!$A$2:$A$1032,0))</f>
        <v>#N/A</v>
      </c>
      <c r="Q223" t="e">
        <f>INDEX(Items!C$2:C$1032,MATCH($O223,Items!$A$2:$A$1032,0))</f>
        <v>#N/A</v>
      </c>
      <c r="R223" t="e">
        <f>INDEX(Items!D$2:D$1032,MATCH($O223,Items!$A$2:$A$1032,0))</f>
        <v>#N/A</v>
      </c>
    </row>
    <row r="224" spans="1:18" x14ac:dyDescent="0.25">
      <c r="A224">
        <f t="shared" si="18"/>
        <v>1</v>
      </c>
      <c r="B224" t="str">
        <f t="shared" si="19"/>
        <v/>
      </c>
      <c r="C224">
        <f t="shared" si="21"/>
        <v>1</v>
      </c>
      <c r="D224" s="4"/>
      <c r="E224" t="s">
        <v>18</v>
      </c>
      <c r="F224" t="str">
        <f>INDEX(Establishment!B$2:B$1005,MATCH($E224,Establishment!$A$2:$A$1005,0))</f>
        <v xml:space="preserve"> </v>
      </c>
      <c r="G224" t="str">
        <f>INDEX(Establishment!C$2:C$1005,MATCH($E224,Establishment!$A$2:$A$1005,0))</f>
        <v xml:space="preserve"> </v>
      </c>
      <c r="M224">
        <f t="shared" si="22"/>
        <v>0</v>
      </c>
      <c r="N224">
        <f t="shared" si="20"/>
        <v>0</v>
      </c>
      <c r="P224" t="e">
        <f>INDEX(Items!B$2:B$1032,MATCH($O224,Items!$A$2:$A$1032,0))</f>
        <v>#N/A</v>
      </c>
      <c r="Q224" t="e">
        <f>INDEX(Items!C$2:C$1032,MATCH($O224,Items!$A$2:$A$1032,0))</f>
        <v>#N/A</v>
      </c>
      <c r="R224" t="e">
        <f>INDEX(Items!D$2:D$1032,MATCH($O224,Items!$A$2:$A$1032,0))</f>
        <v>#N/A</v>
      </c>
    </row>
    <row r="225" spans="1:18" x14ac:dyDescent="0.25">
      <c r="A225">
        <f t="shared" si="18"/>
        <v>1</v>
      </c>
      <c r="B225" t="str">
        <f t="shared" si="19"/>
        <v/>
      </c>
      <c r="C225">
        <f t="shared" si="21"/>
        <v>1</v>
      </c>
      <c r="D225" s="4"/>
      <c r="E225" t="s">
        <v>18</v>
      </c>
      <c r="F225" t="str">
        <f>INDEX(Establishment!B$2:B$1005,MATCH($E225,Establishment!$A$2:$A$1005,0))</f>
        <v xml:space="preserve"> </v>
      </c>
      <c r="G225" t="str">
        <f>INDEX(Establishment!C$2:C$1005,MATCH($E225,Establishment!$A$2:$A$1005,0))</f>
        <v xml:space="preserve"> </v>
      </c>
      <c r="M225">
        <f t="shared" si="22"/>
        <v>0</v>
      </c>
      <c r="N225">
        <f t="shared" si="20"/>
        <v>0</v>
      </c>
      <c r="P225" t="e">
        <f>INDEX(Items!B$2:B$1032,MATCH($O225,Items!$A$2:$A$1032,0))</f>
        <v>#N/A</v>
      </c>
      <c r="Q225" t="e">
        <f>INDEX(Items!C$2:C$1032,MATCH($O225,Items!$A$2:$A$1032,0))</f>
        <v>#N/A</v>
      </c>
      <c r="R225" t="e">
        <f>INDEX(Items!D$2:D$1032,MATCH($O225,Items!$A$2:$A$1032,0))</f>
        <v>#N/A</v>
      </c>
    </row>
    <row r="226" spans="1:18" x14ac:dyDescent="0.25">
      <c r="A226">
        <f t="shared" si="18"/>
        <v>1</v>
      </c>
      <c r="B226" t="str">
        <f t="shared" si="19"/>
        <v/>
      </c>
      <c r="C226">
        <f t="shared" si="21"/>
        <v>1</v>
      </c>
      <c r="D226" s="4"/>
      <c r="E226" t="s">
        <v>18</v>
      </c>
      <c r="F226" t="str">
        <f>INDEX(Establishment!B$2:B$1005,MATCH($E226,Establishment!$A$2:$A$1005,0))</f>
        <v xml:space="preserve"> </v>
      </c>
      <c r="G226" t="str">
        <f>INDEX(Establishment!C$2:C$1005,MATCH($E226,Establishment!$A$2:$A$1005,0))</f>
        <v xml:space="preserve"> </v>
      </c>
      <c r="M226">
        <f t="shared" si="22"/>
        <v>0</v>
      </c>
      <c r="N226">
        <f t="shared" si="20"/>
        <v>0</v>
      </c>
      <c r="P226" t="e">
        <f>INDEX(Items!B$2:B$1032,MATCH($O226,Items!$A$2:$A$1032,0))</f>
        <v>#N/A</v>
      </c>
      <c r="Q226" t="e">
        <f>INDEX(Items!C$2:C$1032,MATCH($O226,Items!$A$2:$A$1032,0))</f>
        <v>#N/A</v>
      </c>
      <c r="R226" t="e">
        <f>INDEX(Items!D$2:D$1032,MATCH($O226,Items!$A$2:$A$1032,0))</f>
        <v>#N/A</v>
      </c>
    </row>
    <row r="227" spans="1:18" x14ac:dyDescent="0.25">
      <c r="A227">
        <f t="shared" si="18"/>
        <v>1</v>
      </c>
      <c r="B227" t="str">
        <f t="shared" si="19"/>
        <v/>
      </c>
      <c r="C227">
        <f t="shared" si="21"/>
        <v>1</v>
      </c>
      <c r="D227" s="4"/>
      <c r="E227" t="s">
        <v>18</v>
      </c>
      <c r="F227" t="str">
        <f>INDEX(Establishment!B$2:B$1005,MATCH($E227,Establishment!$A$2:$A$1005,0))</f>
        <v xml:space="preserve"> </v>
      </c>
      <c r="G227" t="str">
        <f>INDEX(Establishment!C$2:C$1005,MATCH($E227,Establishment!$A$2:$A$1005,0))</f>
        <v xml:space="preserve"> </v>
      </c>
      <c r="M227">
        <f t="shared" si="22"/>
        <v>0</v>
      </c>
      <c r="N227">
        <f t="shared" si="20"/>
        <v>0</v>
      </c>
      <c r="P227" t="e">
        <f>INDEX(Items!B$2:B$1032,MATCH($O227,Items!$A$2:$A$1032,0))</f>
        <v>#N/A</v>
      </c>
      <c r="Q227" t="e">
        <f>INDEX(Items!C$2:C$1032,MATCH($O227,Items!$A$2:$A$1032,0))</f>
        <v>#N/A</v>
      </c>
      <c r="R227" t="e">
        <f>INDEX(Items!D$2:D$1032,MATCH($O227,Items!$A$2:$A$1032,0))</f>
        <v>#N/A</v>
      </c>
    </row>
    <row r="228" spans="1:18" x14ac:dyDescent="0.25">
      <c r="A228">
        <f t="shared" si="18"/>
        <v>1</v>
      </c>
      <c r="B228" t="str">
        <f t="shared" si="19"/>
        <v/>
      </c>
      <c r="C228">
        <f t="shared" si="21"/>
        <v>1</v>
      </c>
      <c r="D228" s="4"/>
      <c r="E228" t="s">
        <v>18</v>
      </c>
      <c r="F228" t="str">
        <f>INDEX(Establishment!B$2:B$1005,MATCH($E228,Establishment!$A$2:$A$1005,0))</f>
        <v xml:space="preserve"> </v>
      </c>
      <c r="G228" t="str">
        <f>INDEX(Establishment!C$2:C$1005,MATCH($E228,Establishment!$A$2:$A$1005,0))</f>
        <v xml:space="preserve"> </v>
      </c>
      <c r="M228">
        <f t="shared" si="22"/>
        <v>0</v>
      </c>
      <c r="N228">
        <f t="shared" si="20"/>
        <v>0</v>
      </c>
      <c r="P228" t="e">
        <f>INDEX(Items!B$2:B$1032,MATCH($O228,Items!$A$2:$A$1032,0))</f>
        <v>#N/A</v>
      </c>
      <c r="Q228" t="e">
        <f>INDEX(Items!C$2:C$1032,MATCH($O228,Items!$A$2:$A$1032,0))</f>
        <v>#N/A</v>
      </c>
      <c r="R228" t="e">
        <f>INDEX(Items!D$2:D$1032,MATCH($O228,Items!$A$2:$A$1032,0))</f>
        <v>#N/A</v>
      </c>
    </row>
    <row r="229" spans="1:18" x14ac:dyDescent="0.25">
      <c r="A229">
        <f t="shared" si="18"/>
        <v>1</v>
      </c>
      <c r="B229" t="str">
        <f t="shared" si="19"/>
        <v/>
      </c>
      <c r="C229">
        <f t="shared" si="21"/>
        <v>1</v>
      </c>
      <c r="D229" s="4"/>
      <c r="E229" t="s">
        <v>18</v>
      </c>
      <c r="F229" t="str">
        <f>INDEX(Establishment!B$2:B$1005,MATCH($E229,Establishment!$A$2:$A$1005,0))</f>
        <v xml:space="preserve"> </v>
      </c>
      <c r="G229" t="str">
        <f>INDEX(Establishment!C$2:C$1005,MATCH($E229,Establishment!$A$2:$A$1005,0))</f>
        <v xml:space="preserve"> </v>
      </c>
      <c r="M229">
        <f t="shared" si="22"/>
        <v>0</v>
      </c>
      <c r="N229">
        <f t="shared" si="20"/>
        <v>0</v>
      </c>
      <c r="P229" t="e">
        <f>INDEX(Items!B$2:B$1032,MATCH($O229,Items!$A$2:$A$1032,0))</f>
        <v>#N/A</v>
      </c>
      <c r="Q229" t="e">
        <f>INDEX(Items!C$2:C$1032,MATCH($O229,Items!$A$2:$A$1032,0))</f>
        <v>#N/A</v>
      </c>
      <c r="R229" t="e">
        <f>INDEX(Items!D$2:D$1032,MATCH($O229,Items!$A$2:$A$1032,0))</f>
        <v>#N/A</v>
      </c>
    </row>
    <row r="230" spans="1:18" x14ac:dyDescent="0.25">
      <c r="A230">
        <f t="shared" si="18"/>
        <v>1</v>
      </c>
      <c r="B230" t="str">
        <f t="shared" si="19"/>
        <v/>
      </c>
      <c r="C230">
        <f t="shared" si="21"/>
        <v>1</v>
      </c>
      <c r="D230" s="4"/>
      <c r="E230" t="s">
        <v>18</v>
      </c>
      <c r="F230" t="str">
        <f>INDEX(Establishment!B$2:B$1005,MATCH($E230,Establishment!$A$2:$A$1005,0))</f>
        <v xml:space="preserve"> </v>
      </c>
      <c r="G230" t="str">
        <f>INDEX(Establishment!C$2:C$1005,MATCH($E230,Establishment!$A$2:$A$1005,0))</f>
        <v xml:space="preserve"> </v>
      </c>
      <c r="M230">
        <f t="shared" si="22"/>
        <v>0</v>
      </c>
      <c r="N230">
        <f t="shared" si="20"/>
        <v>0</v>
      </c>
      <c r="P230" t="e">
        <f>INDEX(Items!B$2:B$1032,MATCH($O230,Items!$A$2:$A$1032,0))</f>
        <v>#N/A</v>
      </c>
      <c r="Q230" t="e">
        <f>INDEX(Items!C$2:C$1032,MATCH($O230,Items!$A$2:$A$1032,0))</f>
        <v>#N/A</v>
      </c>
      <c r="R230" t="e">
        <f>INDEX(Items!D$2:D$1032,MATCH($O230,Items!$A$2:$A$1032,0))</f>
        <v>#N/A</v>
      </c>
    </row>
    <row r="231" spans="1:18" x14ac:dyDescent="0.25">
      <c r="A231">
        <f t="shared" si="18"/>
        <v>1</v>
      </c>
      <c r="B231" t="str">
        <f t="shared" si="19"/>
        <v/>
      </c>
      <c r="C231">
        <f t="shared" si="21"/>
        <v>1</v>
      </c>
      <c r="D231" s="4"/>
      <c r="E231" t="s">
        <v>18</v>
      </c>
      <c r="F231" t="str">
        <f>INDEX(Establishment!B$2:B$1005,MATCH($E231,Establishment!$A$2:$A$1005,0))</f>
        <v xml:space="preserve"> </v>
      </c>
      <c r="G231" t="str">
        <f>INDEX(Establishment!C$2:C$1005,MATCH($E231,Establishment!$A$2:$A$1005,0))</f>
        <v xml:space="preserve"> </v>
      </c>
      <c r="M231">
        <f t="shared" si="22"/>
        <v>0</v>
      </c>
      <c r="N231">
        <f t="shared" si="20"/>
        <v>0</v>
      </c>
      <c r="P231" t="e">
        <f>INDEX(Items!B$2:B$1032,MATCH($O231,Items!$A$2:$A$1032,0))</f>
        <v>#N/A</v>
      </c>
      <c r="Q231" t="e">
        <f>INDEX(Items!C$2:C$1032,MATCH($O231,Items!$A$2:$A$1032,0))</f>
        <v>#N/A</v>
      </c>
      <c r="R231" t="e">
        <f>INDEX(Items!D$2:D$1032,MATCH($O231,Items!$A$2:$A$1032,0))</f>
        <v>#N/A</v>
      </c>
    </row>
    <row r="232" spans="1:18" x14ac:dyDescent="0.25">
      <c r="A232">
        <f t="shared" si="18"/>
        <v>1</v>
      </c>
      <c r="B232" t="str">
        <f t="shared" si="19"/>
        <v/>
      </c>
      <c r="C232">
        <f t="shared" si="21"/>
        <v>1</v>
      </c>
      <c r="D232" s="4"/>
      <c r="E232" t="s">
        <v>18</v>
      </c>
      <c r="F232" t="str">
        <f>INDEX(Establishment!B$2:B$1005,MATCH($E232,Establishment!$A$2:$A$1005,0))</f>
        <v xml:space="preserve"> </v>
      </c>
      <c r="G232" t="str">
        <f>INDEX(Establishment!C$2:C$1005,MATCH($E232,Establishment!$A$2:$A$1005,0))</f>
        <v xml:space="preserve"> </v>
      </c>
      <c r="M232">
        <f t="shared" si="22"/>
        <v>0</v>
      </c>
      <c r="N232">
        <f t="shared" si="20"/>
        <v>0</v>
      </c>
      <c r="P232" t="e">
        <f>INDEX(Items!B$2:B$1032,MATCH($O232,Items!$A$2:$A$1032,0))</f>
        <v>#N/A</v>
      </c>
      <c r="Q232" t="e">
        <f>INDEX(Items!C$2:C$1032,MATCH($O232,Items!$A$2:$A$1032,0))</f>
        <v>#N/A</v>
      </c>
      <c r="R232" t="e">
        <f>INDEX(Items!D$2:D$1032,MATCH($O232,Items!$A$2:$A$1032,0))</f>
        <v>#N/A</v>
      </c>
    </row>
    <row r="233" spans="1:18" x14ac:dyDescent="0.25">
      <c r="A233">
        <f t="shared" si="18"/>
        <v>1</v>
      </c>
      <c r="B233" t="str">
        <f t="shared" si="19"/>
        <v/>
      </c>
      <c r="C233">
        <f t="shared" si="21"/>
        <v>1</v>
      </c>
      <c r="D233" s="4"/>
      <c r="E233" t="s">
        <v>18</v>
      </c>
      <c r="F233" t="str">
        <f>INDEX(Establishment!B$2:B$1005,MATCH($E233,Establishment!$A$2:$A$1005,0))</f>
        <v xml:space="preserve"> </v>
      </c>
      <c r="G233" t="str">
        <f>INDEX(Establishment!C$2:C$1005,MATCH($E233,Establishment!$A$2:$A$1005,0))</f>
        <v xml:space="preserve"> </v>
      </c>
      <c r="M233">
        <f t="shared" si="22"/>
        <v>0</v>
      </c>
      <c r="N233">
        <f t="shared" si="20"/>
        <v>0</v>
      </c>
      <c r="P233" t="e">
        <f>INDEX(Items!B$2:B$1032,MATCH($O233,Items!$A$2:$A$1032,0))</f>
        <v>#N/A</v>
      </c>
      <c r="Q233" t="e">
        <f>INDEX(Items!C$2:C$1032,MATCH($O233,Items!$A$2:$A$1032,0))</f>
        <v>#N/A</v>
      </c>
      <c r="R233" t="e">
        <f>INDEX(Items!D$2:D$1032,MATCH($O233,Items!$A$2:$A$1032,0))</f>
        <v>#N/A</v>
      </c>
    </row>
    <row r="234" spans="1:18" x14ac:dyDescent="0.25">
      <c r="A234">
        <f t="shared" si="18"/>
        <v>1</v>
      </c>
      <c r="B234" t="str">
        <f t="shared" si="19"/>
        <v/>
      </c>
      <c r="C234">
        <f t="shared" si="21"/>
        <v>1</v>
      </c>
      <c r="D234" s="4"/>
      <c r="E234" t="s">
        <v>18</v>
      </c>
      <c r="F234" t="str">
        <f>INDEX(Establishment!B$2:B$1005,MATCH($E234,Establishment!$A$2:$A$1005,0))</f>
        <v xml:space="preserve"> </v>
      </c>
      <c r="G234" t="str">
        <f>INDEX(Establishment!C$2:C$1005,MATCH($E234,Establishment!$A$2:$A$1005,0))</f>
        <v xml:space="preserve"> </v>
      </c>
      <c r="M234">
        <f t="shared" si="22"/>
        <v>0</v>
      </c>
      <c r="N234">
        <f t="shared" si="20"/>
        <v>0</v>
      </c>
      <c r="P234" t="e">
        <f>INDEX(Items!B$2:B$1032,MATCH($O234,Items!$A$2:$A$1032,0))</f>
        <v>#N/A</v>
      </c>
      <c r="Q234" t="e">
        <f>INDEX(Items!C$2:C$1032,MATCH($O234,Items!$A$2:$A$1032,0))</f>
        <v>#N/A</v>
      </c>
      <c r="R234" t="e">
        <f>INDEX(Items!D$2:D$1032,MATCH($O234,Items!$A$2:$A$1032,0))</f>
        <v>#N/A</v>
      </c>
    </row>
    <row r="235" spans="1:18" x14ac:dyDescent="0.25">
      <c r="A235">
        <f t="shared" si="18"/>
        <v>1</v>
      </c>
      <c r="B235" t="str">
        <f t="shared" si="19"/>
        <v/>
      </c>
      <c r="C235">
        <f t="shared" si="21"/>
        <v>1</v>
      </c>
      <c r="D235" s="4"/>
      <c r="E235" t="s">
        <v>18</v>
      </c>
      <c r="F235" t="str">
        <f>INDEX(Establishment!B$2:B$1005,MATCH($E235,Establishment!$A$2:$A$1005,0))</f>
        <v xml:space="preserve"> </v>
      </c>
      <c r="G235" t="str">
        <f>INDEX(Establishment!C$2:C$1005,MATCH($E235,Establishment!$A$2:$A$1005,0))</f>
        <v xml:space="preserve"> </v>
      </c>
      <c r="M235">
        <f t="shared" si="22"/>
        <v>0</v>
      </c>
      <c r="N235">
        <f t="shared" si="20"/>
        <v>0</v>
      </c>
      <c r="P235" t="e">
        <f>INDEX(Items!B$2:B$1032,MATCH($O235,Items!$A$2:$A$1032,0))</f>
        <v>#N/A</v>
      </c>
      <c r="Q235" t="e">
        <f>INDEX(Items!C$2:C$1032,MATCH($O235,Items!$A$2:$A$1032,0))</f>
        <v>#N/A</v>
      </c>
      <c r="R235" t="e">
        <f>INDEX(Items!D$2:D$1032,MATCH($O235,Items!$A$2:$A$1032,0))</f>
        <v>#N/A</v>
      </c>
    </row>
    <row r="236" spans="1:18" x14ac:dyDescent="0.25">
      <c r="A236">
        <f t="shared" si="18"/>
        <v>1</v>
      </c>
      <c r="B236" t="str">
        <f t="shared" si="19"/>
        <v/>
      </c>
      <c r="C236">
        <f t="shared" si="21"/>
        <v>1</v>
      </c>
      <c r="D236" s="4"/>
      <c r="E236" t="s">
        <v>18</v>
      </c>
      <c r="F236" t="str">
        <f>INDEX(Establishment!B$2:B$1005,MATCH($E236,Establishment!$A$2:$A$1005,0))</f>
        <v xml:space="preserve"> </v>
      </c>
      <c r="G236" t="str">
        <f>INDEX(Establishment!C$2:C$1005,MATCH($E236,Establishment!$A$2:$A$1005,0))</f>
        <v xml:space="preserve"> </v>
      </c>
      <c r="M236">
        <f t="shared" si="22"/>
        <v>0</v>
      </c>
      <c r="N236">
        <f t="shared" si="20"/>
        <v>0</v>
      </c>
      <c r="P236" t="e">
        <f>INDEX(Items!B$2:B$1032,MATCH($O236,Items!$A$2:$A$1032,0))</f>
        <v>#N/A</v>
      </c>
      <c r="Q236" t="e">
        <f>INDEX(Items!C$2:C$1032,MATCH($O236,Items!$A$2:$A$1032,0))</f>
        <v>#N/A</v>
      </c>
      <c r="R236" t="e">
        <f>INDEX(Items!D$2:D$1032,MATCH($O236,Items!$A$2:$A$1032,0))</f>
        <v>#N/A</v>
      </c>
    </row>
    <row r="237" spans="1:18" x14ac:dyDescent="0.25">
      <c r="A237">
        <f t="shared" si="18"/>
        <v>1</v>
      </c>
      <c r="B237" t="str">
        <f t="shared" si="19"/>
        <v/>
      </c>
      <c r="C237">
        <f t="shared" si="21"/>
        <v>1</v>
      </c>
      <c r="D237" s="4"/>
      <c r="E237" t="s">
        <v>18</v>
      </c>
      <c r="F237" t="str">
        <f>INDEX(Establishment!B$2:B$1005,MATCH($E237,Establishment!$A$2:$A$1005,0))</f>
        <v xml:space="preserve"> </v>
      </c>
      <c r="G237" t="str">
        <f>INDEX(Establishment!C$2:C$1005,MATCH($E237,Establishment!$A$2:$A$1005,0))</f>
        <v xml:space="preserve"> </v>
      </c>
      <c r="M237">
        <f t="shared" si="22"/>
        <v>0</v>
      </c>
      <c r="N237">
        <f t="shared" si="20"/>
        <v>0</v>
      </c>
      <c r="P237" t="e">
        <f>INDEX(Items!B$2:B$1032,MATCH($O237,Items!$A$2:$A$1032,0))</f>
        <v>#N/A</v>
      </c>
      <c r="Q237" t="e">
        <f>INDEX(Items!C$2:C$1032,MATCH($O237,Items!$A$2:$A$1032,0))</f>
        <v>#N/A</v>
      </c>
      <c r="R237" t="e">
        <f>INDEX(Items!D$2:D$1032,MATCH($O237,Items!$A$2:$A$1032,0))</f>
        <v>#N/A</v>
      </c>
    </row>
    <row r="238" spans="1:18" x14ac:dyDescent="0.25">
      <c r="A238">
        <f t="shared" si="18"/>
        <v>1</v>
      </c>
      <c r="B238" t="str">
        <f t="shared" si="19"/>
        <v/>
      </c>
      <c r="C238">
        <f t="shared" si="21"/>
        <v>1</v>
      </c>
      <c r="D238" s="4"/>
      <c r="E238" t="s">
        <v>18</v>
      </c>
      <c r="F238" t="str">
        <f>INDEX(Establishment!B$2:B$1005,MATCH($E238,Establishment!$A$2:$A$1005,0))</f>
        <v xml:space="preserve"> </v>
      </c>
      <c r="G238" t="str">
        <f>INDEX(Establishment!C$2:C$1005,MATCH($E238,Establishment!$A$2:$A$1005,0))</f>
        <v xml:space="preserve"> </v>
      </c>
      <c r="M238">
        <f t="shared" si="22"/>
        <v>0</v>
      </c>
      <c r="N238">
        <f t="shared" si="20"/>
        <v>0</v>
      </c>
      <c r="P238" t="e">
        <f>INDEX(Items!B$2:B$1032,MATCH($O238,Items!$A$2:$A$1032,0))</f>
        <v>#N/A</v>
      </c>
      <c r="Q238" t="e">
        <f>INDEX(Items!C$2:C$1032,MATCH($O238,Items!$A$2:$A$1032,0))</f>
        <v>#N/A</v>
      </c>
      <c r="R238" t="e">
        <f>INDEX(Items!D$2:D$1032,MATCH($O238,Items!$A$2:$A$1032,0))</f>
        <v>#N/A</v>
      </c>
    </row>
    <row r="239" spans="1:18" x14ac:dyDescent="0.25">
      <c r="A239">
        <f t="shared" si="18"/>
        <v>1</v>
      </c>
      <c r="B239" t="str">
        <f t="shared" si="19"/>
        <v/>
      </c>
      <c r="C239">
        <f t="shared" si="21"/>
        <v>1</v>
      </c>
      <c r="D239" s="4"/>
      <c r="E239" t="s">
        <v>18</v>
      </c>
      <c r="F239" t="str">
        <f>INDEX(Establishment!B$2:B$1005,MATCH($E239,Establishment!$A$2:$A$1005,0))</f>
        <v xml:space="preserve"> </v>
      </c>
      <c r="G239" t="str">
        <f>INDEX(Establishment!C$2:C$1005,MATCH($E239,Establishment!$A$2:$A$1005,0))</f>
        <v xml:space="preserve"> </v>
      </c>
      <c r="M239">
        <f t="shared" si="22"/>
        <v>0</v>
      </c>
      <c r="N239">
        <f t="shared" si="20"/>
        <v>0</v>
      </c>
      <c r="P239" t="e">
        <f>INDEX(Items!B$2:B$1032,MATCH($O239,Items!$A$2:$A$1032,0))</f>
        <v>#N/A</v>
      </c>
      <c r="Q239" t="e">
        <f>INDEX(Items!C$2:C$1032,MATCH($O239,Items!$A$2:$A$1032,0))</f>
        <v>#N/A</v>
      </c>
      <c r="R239" t="e">
        <f>INDEX(Items!D$2:D$1032,MATCH($O239,Items!$A$2:$A$1032,0))</f>
        <v>#N/A</v>
      </c>
    </row>
    <row r="240" spans="1:18" x14ac:dyDescent="0.25">
      <c r="A240">
        <f t="shared" si="18"/>
        <v>1</v>
      </c>
      <c r="B240" t="str">
        <f t="shared" si="19"/>
        <v/>
      </c>
      <c r="C240">
        <f t="shared" si="21"/>
        <v>1</v>
      </c>
      <c r="D240" s="4"/>
      <c r="E240" t="s">
        <v>18</v>
      </c>
      <c r="F240" t="str">
        <f>INDEX(Establishment!B$2:B$1005,MATCH($E240,Establishment!$A$2:$A$1005,0))</f>
        <v xml:space="preserve"> </v>
      </c>
      <c r="G240" t="str">
        <f>INDEX(Establishment!C$2:C$1005,MATCH($E240,Establishment!$A$2:$A$1005,0))</f>
        <v xml:space="preserve"> </v>
      </c>
      <c r="M240">
        <f t="shared" si="22"/>
        <v>0</v>
      </c>
      <c r="N240">
        <f t="shared" si="20"/>
        <v>0</v>
      </c>
      <c r="P240" t="e">
        <f>INDEX(Items!B$2:B$1032,MATCH($O240,Items!$A$2:$A$1032,0))</f>
        <v>#N/A</v>
      </c>
      <c r="Q240" t="e">
        <f>INDEX(Items!C$2:C$1032,MATCH($O240,Items!$A$2:$A$1032,0))</f>
        <v>#N/A</v>
      </c>
      <c r="R240" t="e">
        <f>INDEX(Items!D$2:D$1032,MATCH($O240,Items!$A$2:$A$1032,0))</f>
        <v>#N/A</v>
      </c>
    </row>
    <row r="241" spans="1:18" x14ac:dyDescent="0.25">
      <c r="A241">
        <f t="shared" si="18"/>
        <v>1</v>
      </c>
      <c r="B241" t="str">
        <f t="shared" si="19"/>
        <v/>
      </c>
      <c r="C241">
        <f t="shared" si="21"/>
        <v>1</v>
      </c>
      <c r="D241" s="4"/>
      <c r="E241" t="s">
        <v>18</v>
      </c>
      <c r="F241" t="str">
        <f>INDEX(Establishment!B$2:B$1005,MATCH($E241,Establishment!$A$2:$A$1005,0))</f>
        <v xml:space="preserve"> </v>
      </c>
      <c r="G241" t="str">
        <f>INDEX(Establishment!C$2:C$1005,MATCH($E241,Establishment!$A$2:$A$1005,0))</f>
        <v xml:space="preserve"> </v>
      </c>
      <c r="M241">
        <f t="shared" si="22"/>
        <v>0</v>
      </c>
      <c r="N241">
        <f t="shared" si="20"/>
        <v>0</v>
      </c>
      <c r="P241" t="e">
        <f>INDEX(Items!B$2:B$1032,MATCH($O241,Items!$A$2:$A$1032,0))</f>
        <v>#N/A</v>
      </c>
      <c r="Q241" t="e">
        <f>INDEX(Items!C$2:C$1032,MATCH($O241,Items!$A$2:$A$1032,0))</f>
        <v>#N/A</v>
      </c>
      <c r="R241" t="e">
        <f>INDEX(Items!D$2:D$1032,MATCH($O241,Items!$A$2:$A$1032,0))</f>
        <v>#N/A</v>
      </c>
    </row>
    <row r="242" spans="1:18" x14ac:dyDescent="0.25">
      <c r="A242">
        <f t="shared" si="18"/>
        <v>1</v>
      </c>
      <c r="B242" t="str">
        <f t="shared" si="19"/>
        <v/>
      </c>
      <c r="C242">
        <f t="shared" si="21"/>
        <v>1</v>
      </c>
      <c r="D242" s="4"/>
      <c r="E242" t="s">
        <v>18</v>
      </c>
      <c r="F242" t="str">
        <f>INDEX(Establishment!B$2:B$1005,MATCH($E242,Establishment!$A$2:$A$1005,0))</f>
        <v xml:space="preserve"> </v>
      </c>
      <c r="G242" t="str">
        <f>INDEX(Establishment!C$2:C$1005,MATCH($E242,Establishment!$A$2:$A$1005,0))</f>
        <v xml:space="preserve"> </v>
      </c>
      <c r="M242">
        <f t="shared" si="22"/>
        <v>0</v>
      </c>
      <c r="N242">
        <f t="shared" si="20"/>
        <v>0</v>
      </c>
      <c r="P242" t="e">
        <f>INDEX(Items!B$2:B$1032,MATCH($O242,Items!$A$2:$A$1032,0))</f>
        <v>#N/A</v>
      </c>
      <c r="Q242" t="e">
        <f>INDEX(Items!C$2:C$1032,MATCH($O242,Items!$A$2:$A$1032,0))</f>
        <v>#N/A</v>
      </c>
      <c r="R242" t="e">
        <f>INDEX(Items!D$2:D$1032,MATCH($O242,Items!$A$2:$A$1032,0))</f>
        <v>#N/A</v>
      </c>
    </row>
    <row r="243" spans="1:18" x14ac:dyDescent="0.25">
      <c r="A243">
        <f t="shared" si="18"/>
        <v>1</v>
      </c>
      <c r="B243" t="str">
        <f t="shared" si="19"/>
        <v/>
      </c>
      <c r="C243">
        <f t="shared" si="21"/>
        <v>1</v>
      </c>
      <c r="D243" s="4"/>
      <c r="E243" t="s">
        <v>18</v>
      </c>
      <c r="F243" t="str">
        <f>INDEX(Establishment!B$2:B$1005,MATCH($E243,Establishment!$A$2:$A$1005,0))</f>
        <v xml:space="preserve"> </v>
      </c>
      <c r="G243" t="str">
        <f>INDEX(Establishment!C$2:C$1005,MATCH($E243,Establishment!$A$2:$A$1005,0))</f>
        <v xml:space="preserve"> </v>
      </c>
      <c r="M243">
        <f t="shared" si="22"/>
        <v>0</v>
      </c>
      <c r="N243">
        <f t="shared" si="20"/>
        <v>0</v>
      </c>
      <c r="P243" t="e">
        <f>INDEX(Items!B$2:B$1032,MATCH($O243,Items!$A$2:$A$1032,0))</f>
        <v>#N/A</v>
      </c>
      <c r="Q243" t="e">
        <f>INDEX(Items!C$2:C$1032,MATCH($O243,Items!$A$2:$A$1032,0))</f>
        <v>#N/A</v>
      </c>
      <c r="R243" t="e">
        <f>INDEX(Items!D$2:D$1032,MATCH($O243,Items!$A$2:$A$1032,0))</f>
        <v>#N/A</v>
      </c>
    </row>
    <row r="244" spans="1:18" x14ac:dyDescent="0.25">
      <c r="A244">
        <f t="shared" si="18"/>
        <v>1</v>
      </c>
      <c r="B244" t="str">
        <f t="shared" si="19"/>
        <v/>
      </c>
      <c r="C244">
        <f t="shared" si="21"/>
        <v>1</v>
      </c>
      <c r="D244" s="4"/>
      <c r="E244" t="s">
        <v>18</v>
      </c>
      <c r="F244" t="str">
        <f>INDEX(Establishment!B$2:B$1005,MATCH($E244,Establishment!$A$2:$A$1005,0))</f>
        <v xml:space="preserve"> </v>
      </c>
      <c r="G244" t="str">
        <f>INDEX(Establishment!C$2:C$1005,MATCH($E244,Establishment!$A$2:$A$1005,0))</f>
        <v xml:space="preserve"> </v>
      </c>
      <c r="M244">
        <f t="shared" si="22"/>
        <v>0</v>
      </c>
      <c r="N244">
        <f t="shared" si="20"/>
        <v>0</v>
      </c>
      <c r="P244" t="e">
        <f>INDEX(Items!B$2:B$1032,MATCH($O244,Items!$A$2:$A$1032,0))</f>
        <v>#N/A</v>
      </c>
      <c r="Q244" t="e">
        <f>INDEX(Items!C$2:C$1032,MATCH($O244,Items!$A$2:$A$1032,0))</f>
        <v>#N/A</v>
      </c>
      <c r="R244" t="e">
        <f>INDEX(Items!D$2:D$1032,MATCH($O244,Items!$A$2:$A$1032,0))</f>
        <v>#N/A</v>
      </c>
    </row>
    <row r="245" spans="1:18" x14ac:dyDescent="0.25">
      <c r="A245">
        <f t="shared" si="18"/>
        <v>1</v>
      </c>
      <c r="B245" t="str">
        <f t="shared" si="19"/>
        <v/>
      </c>
      <c r="C245">
        <f t="shared" si="21"/>
        <v>1</v>
      </c>
      <c r="D245" s="4"/>
      <c r="E245" t="s">
        <v>18</v>
      </c>
      <c r="F245" t="str">
        <f>INDEX(Establishment!B$2:B$1005,MATCH($E245,Establishment!$A$2:$A$1005,0))</f>
        <v xml:space="preserve"> </v>
      </c>
      <c r="G245" t="str">
        <f>INDEX(Establishment!C$2:C$1005,MATCH($E245,Establishment!$A$2:$A$1005,0))</f>
        <v xml:space="preserve"> </v>
      </c>
      <c r="M245">
        <f t="shared" si="22"/>
        <v>0</v>
      </c>
      <c r="N245">
        <f t="shared" si="20"/>
        <v>0</v>
      </c>
      <c r="P245" t="e">
        <f>INDEX(Items!B$2:B$1032,MATCH($O245,Items!$A$2:$A$1032,0))</f>
        <v>#N/A</v>
      </c>
      <c r="Q245" t="e">
        <f>INDEX(Items!C$2:C$1032,MATCH($O245,Items!$A$2:$A$1032,0))</f>
        <v>#N/A</v>
      </c>
      <c r="R245" t="e">
        <f>INDEX(Items!D$2:D$1032,MATCH($O245,Items!$A$2:$A$1032,0))</f>
        <v>#N/A</v>
      </c>
    </row>
    <row r="246" spans="1:18" x14ac:dyDescent="0.25">
      <c r="A246">
        <f t="shared" si="18"/>
        <v>1</v>
      </c>
      <c r="B246" t="str">
        <f t="shared" si="19"/>
        <v/>
      </c>
      <c r="C246">
        <f t="shared" si="21"/>
        <v>1</v>
      </c>
      <c r="D246" s="4"/>
      <c r="E246" t="s">
        <v>18</v>
      </c>
      <c r="F246" t="str">
        <f>INDEX(Establishment!B$2:B$1005,MATCH($E246,Establishment!$A$2:$A$1005,0))</f>
        <v xml:space="preserve"> </v>
      </c>
      <c r="G246" t="str">
        <f>INDEX(Establishment!C$2:C$1005,MATCH($E246,Establishment!$A$2:$A$1005,0))</f>
        <v xml:space="preserve"> </v>
      </c>
      <c r="M246">
        <f t="shared" si="22"/>
        <v>0</v>
      </c>
      <c r="N246">
        <f t="shared" si="20"/>
        <v>0</v>
      </c>
      <c r="P246" t="e">
        <f>INDEX(Items!B$2:B$1032,MATCH($O246,Items!$A$2:$A$1032,0))</f>
        <v>#N/A</v>
      </c>
      <c r="Q246" t="e">
        <f>INDEX(Items!C$2:C$1032,MATCH($O246,Items!$A$2:$A$1032,0))</f>
        <v>#N/A</v>
      </c>
      <c r="R246" t="e">
        <f>INDEX(Items!D$2:D$1032,MATCH($O246,Items!$A$2:$A$1032,0))</f>
        <v>#N/A</v>
      </c>
    </row>
    <row r="247" spans="1:18" x14ac:dyDescent="0.25">
      <c r="A247">
        <f t="shared" si="18"/>
        <v>1</v>
      </c>
      <c r="B247" t="str">
        <f t="shared" si="19"/>
        <v/>
      </c>
      <c r="C247">
        <f t="shared" si="21"/>
        <v>1</v>
      </c>
      <c r="D247" s="4"/>
      <c r="E247" t="s">
        <v>18</v>
      </c>
      <c r="F247" t="str">
        <f>INDEX(Establishment!B$2:B$1005,MATCH($E247,Establishment!$A$2:$A$1005,0))</f>
        <v xml:space="preserve"> </v>
      </c>
      <c r="G247" t="str">
        <f>INDEX(Establishment!C$2:C$1005,MATCH($E247,Establishment!$A$2:$A$1005,0))</f>
        <v xml:space="preserve"> </v>
      </c>
      <c r="M247">
        <f t="shared" si="22"/>
        <v>0</v>
      </c>
      <c r="N247">
        <f t="shared" si="20"/>
        <v>0</v>
      </c>
      <c r="P247" t="e">
        <f>INDEX(Items!B$2:B$1032,MATCH($O247,Items!$A$2:$A$1032,0))</f>
        <v>#N/A</v>
      </c>
      <c r="Q247" t="e">
        <f>INDEX(Items!C$2:C$1032,MATCH($O247,Items!$A$2:$A$1032,0))</f>
        <v>#N/A</v>
      </c>
      <c r="R247" t="e">
        <f>INDEX(Items!D$2:D$1032,MATCH($O247,Items!$A$2:$A$1032,0))</f>
        <v>#N/A</v>
      </c>
    </row>
    <row r="248" spans="1:18" x14ac:dyDescent="0.25">
      <c r="A248">
        <f t="shared" si="18"/>
        <v>1</v>
      </c>
      <c r="B248" t="str">
        <f t="shared" si="19"/>
        <v/>
      </c>
      <c r="C248">
        <f t="shared" si="21"/>
        <v>1</v>
      </c>
      <c r="D248" s="4"/>
      <c r="E248" t="s">
        <v>18</v>
      </c>
      <c r="F248" t="str">
        <f>INDEX(Establishment!B$2:B$1005,MATCH($E248,Establishment!$A$2:$A$1005,0))</f>
        <v xml:space="preserve"> </v>
      </c>
      <c r="G248" t="str">
        <f>INDEX(Establishment!C$2:C$1005,MATCH($E248,Establishment!$A$2:$A$1005,0))</f>
        <v xml:space="preserve"> </v>
      </c>
      <c r="M248">
        <f t="shared" si="22"/>
        <v>0</v>
      </c>
      <c r="N248">
        <f t="shared" si="20"/>
        <v>0</v>
      </c>
      <c r="P248" t="e">
        <f>INDEX(Items!B$2:B$1032,MATCH($O248,Items!$A$2:$A$1032,0))</f>
        <v>#N/A</v>
      </c>
      <c r="Q248" t="e">
        <f>INDEX(Items!C$2:C$1032,MATCH($O248,Items!$A$2:$A$1032,0))</f>
        <v>#N/A</v>
      </c>
      <c r="R248" t="e">
        <f>INDEX(Items!D$2:D$1032,MATCH($O248,Items!$A$2:$A$1032,0))</f>
        <v>#N/A</v>
      </c>
    </row>
    <row r="249" spans="1:18" x14ac:dyDescent="0.25">
      <c r="A249">
        <f t="shared" si="18"/>
        <v>1</v>
      </c>
      <c r="B249" t="str">
        <f t="shared" si="19"/>
        <v/>
      </c>
      <c r="C249">
        <f t="shared" si="21"/>
        <v>1</v>
      </c>
      <c r="D249" s="4"/>
      <c r="E249" t="s">
        <v>18</v>
      </c>
      <c r="F249" t="str">
        <f>INDEX(Establishment!B$2:B$1005,MATCH($E249,Establishment!$A$2:$A$1005,0))</f>
        <v xml:space="preserve"> </v>
      </c>
      <c r="G249" t="str">
        <f>INDEX(Establishment!C$2:C$1005,MATCH($E249,Establishment!$A$2:$A$1005,0))</f>
        <v xml:space="preserve"> </v>
      </c>
      <c r="M249">
        <f t="shared" si="22"/>
        <v>0</v>
      </c>
      <c r="N249">
        <f t="shared" si="20"/>
        <v>0</v>
      </c>
      <c r="P249" t="e">
        <f>INDEX(Items!B$2:B$1032,MATCH($O249,Items!$A$2:$A$1032,0))</f>
        <v>#N/A</v>
      </c>
      <c r="Q249" t="e">
        <f>INDEX(Items!C$2:C$1032,MATCH($O249,Items!$A$2:$A$1032,0))</f>
        <v>#N/A</v>
      </c>
      <c r="R249" t="e">
        <f>INDEX(Items!D$2:D$1032,MATCH($O249,Items!$A$2:$A$1032,0))</f>
        <v>#N/A</v>
      </c>
    </row>
    <row r="250" spans="1:18" x14ac:dyDescent="0.25">
      <c r="A250">
        <f t="shared" si="18"/>
        <v>1</v>
      </c>
      <c r="B250" t="str">
        <f t="shared" si="19"/>
        <v/>
      </c>
      <c r="C250">
        <f t="shared" si="21"/>
        <v>1</v>
      </c>
      <c r="D250" s="4"/>
      <c r="E250" t="s">
        <v>18</v>
      </c>
      <c r="F250" t="str">
        <f>INDEX(Establishment!B$2:B$1005,MATCH($E250,Establishment!$A$2:$A$1005,0))</f>
        <v xml:space="preserve"> </v>
      </c>
      <c r="G250" t="str">
        <f>INDEX(Establishment!C$2:C$1005,MATCH($E250,Establishment!$A$2:$A$1005,0))</f>
        <v xml:space="preserve"> </v>
      </c>
      <c r="M250">
        <f t="shared" si="22"/>
        <v>0</v>
      </c>
      <c r="N250">
        <f t="shared" si="20"/>
        <v>0</v>
      </c>
      <c r="P250" t="e">
        <f>INDEX(Items!B$2:B$1032,MATCH($O250,Items!$A$2:$A$1032,0))</f>
        <v>#N/A</v>
      </c>
      <c r="Q250" t="e">
        <f>INDEX(Items!C$2:C$1032,MATCH($O250,Items!$A$2:$A$1032,0))</f>
        <v>#N/A</v>
      </c>
      <c r="R250" t="e">
        <f>INDEX(Items!D$2:D$1032,MATCH($O250,Items!$A$2:$A$1032,0))</f>
        <v>#N/A</v>
      </c>
    </row>
    <row r="251" spans="1:18" x14ac:dyDescent="0.25">
      <c r="A251">
        <f t="shared" si="18"/>
        <v>1</v>
      </c>
      <c r="B251" t="str">
        <f t="shared" si="19"/>
        <v/>
      </c>
      <c r="C251">
        <f t="shared" si="21"/>
        <v>1</v>
      </c>
      <c r="D251" s="4"/>
      <c r="E251" t="s">
        <v>18</v>
      </c>
      <c r="F251" t="str">
        <f>INDEX(Establishment!B$2:B$1005,MATCH($E251,Establishment!$A$2:$A$1005,0))</f>
        <v xml:space="preserve"> </v>
      </c>
      <c r="G251" t="str">
        <f>INDEX(Establishment!C$2:C$1005,MATCH($E251,Establishment!$A$2:$A$1005,0))</f>
        <v xml:space="preserve"> </v>
      </c>
      <c r="M251">
        <f t="shared" si="22"/>
        <v>0</v>
      </c>
      <c r="N251">
        <f t="shared" si="20"/>
        <v>0</v>
      </c>
      <c r="P251" t="e">
        <f>INDEX(Items!B$2:B$1032,MATCH($O251,Items!$A$2:$A$1032,0))</f>
        <v>#N/A</v>
      </c>
      <c r="Q251" t="e">
        <f>INDEX(Items!C$2:C$1032,MATCH($O251,Items!$A$2:$A$1032,0))</f>
        <v>#N/A</v>
      </c>
      <c r="R251" t="e">
        <f>INDEX(Items!D$2:D$1032,MATCH($O251,Items!$A$2:$A$1032,0))</f>
        <v>#N/A</v>
      </c>
    </row>
    <row r="252" spans="1:18" x14ac:dyDescent="0.25">
      <c r="A252">
        <f t="shared" si="18"/>
        <v>1</v>
      </c>
      <c r="B252" t="str">
        <f t="shared" si="19"/>
        <v/>
      </c>
      <c r="C252">
        <f t="shared" si="21"/>
        <v>1</v>
      </c>
      <c r="D252" s="4"/>
      <c r="E252" t="s">
        <v>18</v>
      </c>
      <c r="F252" t="str">
        <f>INDEX(Establishment!B$2:B$1005,MATCH($E252,Establishment!$A$2:$A$1005,0))</f>
        <v xml:space="preserve"> </v>
      </c>
      <c r="G252" t="str">
        <f>INDEX(Establishment!C$2:C$1005,MATCH($E252,Establishment!$A$2:$A$1005,0))</f>
        <v xml:space="preserve"> </v>
      </c>
      <c r="M252">
        <f t="shared" si="22"/>
        <v>0</v>
      </c>
      <c r="N252">
        <f t="shared" si="20"/>
        <v>0</v>
      </c>
      <c r="P252" t="e">
        <f>INDEX(Items!B$2:B$1032,MATCH($O252,Items!$A$2:$A$1032,0))</f>
        <v>#N/A</v>
      </c>
      <c r="Q252" t="e">
        <f>INDEX(Items!C$2:C$1032,MATCH($O252,Items!$A$2:$A$1032,0))</f>
        <v>#N/A</v>
      </c>
      <c r="R252" t="e">
        <f>INDEX(Items!D$2:D$1032,MATCH($O252,Items!$A$2:$A$1032,0))</f>
        <v>#N/A</v>
      </c>
    </row>
    <row r="253" spans="1:18" x14ac:dyDescent="0.25">
      <c r="A253">
        <f t="shared" si="18"/>
        <v>1</v>
      </c>
      <c r="B253" t="str">
        <f t="shared" si="19"/>
        <v/>
      </c>
      <c r="C253">
        <f t="shared" si="21"/>
        <v>1</v>
      </c>
      <c r="D253" s="4"/>
      <c r="E253" t="s">
        <v>18</v>
      </c>
      <c r="F253" t="str">
        <f>INDEX(Establishment!B$2:B$1005,MATCH($E253,Establishment!$A$2:$A$1005,0))</f>
        <v xml:space="preserve"> </v>
      </c>
      <c r="G253" t="str">
        <f>INDEX(Establishment!C$2:C$1005,MATCH($E253,Establishment!$A$2:$A$1005,0))</f>
        <v xml:space="preserve"> </v>
      </c>
      <c r="M253">
        <f t="shared" si="22"/>
        <v>0</v>
      </c>
      <c r="N253">
        <f t="shared" si="20"/>
        <v>0</v>
      </c>
      <c r="P253" t="e">
        <f>INDEX(Items!B$2:B$1032,MATCH($O253,Items!$A$2:$A$1032,0))</f>
        <v>#N/A</v>
      </c>
      <c r="Q253" t="e">
        <f>INDEX(Items!C$2:C$1032,MATCH($O253,Items!$A$2:$A$1032,0))</f>
        <v>#N/A</v>
      </c>
      <c r="R253" t="e">
        <f>INDEX(Items!D$2:D$1032,MATCH($O253,Items!$A$2:$A$1032,0))</f>
        <v>#N/A</v>
      </c>
    </row>
    <row r="254" spans="1:18" x14ac:dyDescent="0.25">
      <c r="A254">
        <f t="shared" si="18"/>
        <v>1</v>
      </c>
      <c r="B254" t="str">
        <f t="shared" si="19"/>
        <v/>
      </c>
      <c r="C254">
        <f t="shared" si="21"/>
        <v>1</v>
      </c>
      <c r="D254" s="4"/>
      <c r="E254" t="s">
        <v>18</v>
      </c>
      <c r="F254" t="str">
        <f>INDEX(Establishment!B$2:B$1005,MATCH($E254,Establishment!$A$2:$A$1005,0))</f>
        <v xml:space="preserve"> </v>
      </c>
      <c r="G254" t="str">
        <f>INDEX(Establishment!C$2:C$1005,MATCH($E254,Establishment!$A$2:$A$1005,0))</f>
        <v xml:space="preserve"> </v>
      </c>
      <c r="M254">
        <f t="shared" si="22"/>
        <v>0</v>
      </c>
      <c r="N254">
        <f t="shared" si="20"/>
        <v>0</v>
      </c>
      <c r="P254" t="e">
        <f>INDEX(Items!B$2:B$1032,MATCH($O254,Items!$A$2:$A$1032,0))</f>
        <v>#N/A</v>
      </c>
      <c r="Q254" t="e">
        <f>INDEX(Items!C$2:C$1032,MATCH($O254,Items!$A$2:$A$1032,0))</f>
        <v>#N/A</v>
      </c>
      <c r="R254" t="e">
        <f>INDEX(Items!D$2:D$1032,MATCH($O254,Items!$A$2:$A$1032,0))</f>
        <v>#N/A</v>
      </c>
    </row>
    <row r="255" spans="1:18" x14ac:dyDescent="0.25">
      <c r="A255">
        <f t="shared" si="18"/>
        <v>1</v>
      </c>
      <c r="B255" t="str">
        <f t="shared" si="19"/>
        <v/>
      </c>
      <c r="C255">
        <f t="shared" si="21"/>
        <v>1</v>
      </c>
      <c r="D255" s="4"/>
      <c r="E255" t="s">
        <v>18</v>
      </c>
      <c r="F255" t="str">
        <f>INDEX(Establishment!B$2:B$1005,MATCH($E255,Establishment!$A$2:$A$1005,0))</f>
        <v xml:space="preserve"> </v>
      </c>
      <c r="G255" t="str">
        <f>INDEX(Establishment!C$2:C$1005,MATCH($E255,Establishment!$A$2:$A$1005,0))</f>
        <v xml:space="preserve"> </v>
      </c>
      <c r="M255">
        <f t="shared" si="22"/>
        <v>0</v>
      </c>
      <c r="N255">
        <f t="shared" si="20"/>
        <v>0</v>
      </c>
      <c r="P255" t="e">
        <f>INDEX(Items!B$2:B$1032,MATCH($O255,Items!$A$2:$A$1032,0))</f>
        <v>#N/A</v>
      </c>
      <c r="Q255" t="e">
        <f>INDEX(Items!C$2:C$1032,MATCH($O255,Items!$A$2:$A$1032,0))</f>
        <v>#N/A</v>
      </c>
      <c r="R255" t="e">
        <f>INDEX(Items!D$2:D$1032,MATCH($O255,Items!$A$2:$A$1032,0))</f>
        <v>#N/A</v>
      </c>
    </row>
    <row r="256" spans="1:18" x14ac:dyDescent="0.25">
      <c r="A256">
        <f t="shared" si="18"/>
        <v>1</v>
      </c>
      <c r="B256" t="str">
        <f t="shared" si="19"/>
        <v/>
      </c>
      <c r="C256">
        <f t="shared" si="21"/>
        <v>1</v>
      </c>
      <c r="D256" s="4"/>
      <c r="E256" t="s">
        <v>18</v>
      </c>
      <c r="F256" t="str">
        <f>INDEX(Establishment!B$2:B$1005,MATCH($E256,Establishment!$A$2:$A$1005,0))</f>
        <v xml:space="preserve"> </v>
      </c>
      <c r="G256" t="str">
        <f>INDEX(Establishment!C$2:C$1005,MATCH($E256,Establishment!$A$2:$A$1005,0))</f>
        <v xml:space="preserve"> </v>
      </c>
      <c r="M256">
        <f t="shared" si="22"/>
        <v>0</v>
      </c>
      <c r="N256">
        <f t="shared" si="20"/>
        <v>0</v>
      </c>
      <c r="P256" t="e">
        <f>INDEX(Items!B$2:B$1032,MATCH($O256,Items!$A$2:$A$1032,0))</f>
        <v>#N/A</v>
      </c>
      <c r="Q256" t="e">
        <f>INDEX(Items!C$2:C$1032,MATCH($O256,Items!$A$2:$A$1032,0))</f>
        <v>#N/A</v>
      </c>
      <c r="R256" t="e">
        <f>INDEX(Items!D$2:D$1032,MATCH($O256,Items!$A$2:$A$1032,0))</f>
        <v>#N/A</v>
      </c>
    </row>
    <row r="257" spans="1:18" x14ac:dyDescent="0.25">
      <c r="A257">
        <f t="shared" si="18"/>
        <v>1</v>
      </c>
      <c r="B257" t="str">
        <f t="shared" si="19"/>
        <v/>
      </c>
      <c r="C257">
        <f t="shared" si="21"/>
        <v>1</v>
      </c>
      <c r="D257" s="4"/>
      <c r="E257" t="s">
        <v>18</v>
      </c>
      <c r="F257" t="str">
        <f>INDEX(Establishment!B$2:B$1005,MATCH($E257,Establishment!$A$2:$A$1005,0))</f>
        <v xml:space="preserve"> </v>
      </c>
      <c r="G257" t="str">
        <f>INDEX(Establishment!C$2:C$1005,MATCH($E257,Establishment!$A$2:$A$1005,0))</f>
        <v xml:space="preserve"> </v>
      </c>
      <c r="M257">
        <f t="shared" si="22"/>
        <v>0</v>
      </c>
      <c r="N257">
        <f t="shared" si="20"/>
        <v>0</v>
      </c>
      <c r="P257" t="e">
        <f>INDEX(Items!B$2:B$1032,MATCH($O257,Items!$A$2:$A$1032,0))</f>
        <v>#N/A</v>
      </c>
      <c r="Q257" t="e">
        <f>INDEX(Items!C$2:C$1032,MATCH($O257,Items!$A$2:$A$1032,0))</f>
        <v>#N/A</v>
      </c>
      <c r="R257" t="e">
        <f>INDEX(Items!D$2:D$1032,MATCH($O257,Items!$A$2:$A$1032,0))</f>
        <v>#N/A</v>
      </c>
    </row>
    <row r="258" spans="1:18" x14ac:dyDescent="0.25">
      <c r="A258">
        <f t="shared" ref="A258:A321" si="23">IF(OR(D258&lt;&gt;D257,D258=""),1,IF(NOT(AND(E258=E257,F258=F257,G258=G257)),A257+1,IF(OR(H258="",AND(H258&lt;&gt;"",H258&lt;&gt;H257,H257&lt;&gt;"")),A257,A257+1)))</f>
        <v>1</v>
      </c>
      <c r="B258" t="str">
        <f t="shared" ref="B258:B321" si="24">IF(D258&lt;&gt;"",TEXT(D258,"YYYYMMDD")&amp;CHAR(64+A258),"")</f>
        <v/>
      </c>
      <c r="C258">
        <f t="shared" si="21"/>
        <v>1</v>
      </c>
      <c r="D258" s="4"/>
      <c r="E258" t="s">
        <v>18</v>
      </c>
      <c r="F258" t="str">
        <f>INDEX(Establishment!B$2:B$1005,MATCH($E258,Establishment!$A$2:$A$1005,0))</f>
        <v xml:space="preserve"> </v>
      </c>
      <c r="G258" t="str">
        <f>INDEX(Establishment!C$2:C$1005,MATCH($E258,Establishment!$A$2:$A$1005,0))</f>
        <v xml:space="preserve"> </v>
      </c>
      <c r="M258">
        <f t="shared" si="22"/>
        <v>0</v>
      </c>
      <c r="N258">
        <f t="shared" si="20"/>
        <v>0</v>
      </c>
      <c r="P258" t="e">
        <f>INDEX(Items!B$2:B$1032,MATCH($O258,Items!$A$2:$A$1032,0))</f>
        <v>#N/A</v>
      </c>
      <c r="Q258" t="e">
        <f>INDEX(Items!C$2:C$1032,MATCH($O258,Items!$A$2:$A$1032,0))</f>
        <v>#N/A</v>
      </c>
      <c r="R258" t="e">
        <f>INDEX(Items!D$2:D$1032,MATCH($O258,Items!$A$2:$A$1032,0))</f>
        <v>#N/A</v>
      </c>
    </row>
    <row r="259" spans="1:18" x14ac:dyDescent="0.25">
      <c r="A259">
        <f t="shared" si="23"/>
        <v>1</v>
      </c>
      <c r="B259" t="str">
        <f t="shared" si="24"/>
        <v/>
      </c>
      <c r="C259">
        <f t="shared" si="21"/>
        <v>1</v>
      </c>
      <c r="D259" s="4"/>
      <c r="E259" t="s">
        <v>18</v>
      </c>
      <c r="F259" t="str">
        <f>INDEX(Establishment!B$2:B$1005,MATCH($E259,Establishment!$A$2:$A$1005,0))</f>
        <v xml:space="preserve"> </v>
      </c>
      <c r="G259" t="str">
        <f>INDEX(Establishment!C$2:C$1005,MATCH($E259,Establishment!$A$2:$A$1005,0))</f>
        <v xml:space="preserve"> </v>
      </c>
      <c r="M259">
        <f t="shared" si="22"/>
        <v>0</v>
      </c>
      <c r="N259">
        <f t="shared" ref="N259:N322" si="25">IF(B259=B258,N258+M259,M259)</f>
        <v>0</v>
      </c>
      <c r="P259" t="e">
        <f>INDEX(Items!B$2:B$1032,MATCH($O259,Items!$A$2:$A$1032,0))</f>
        <v>#N/A</v>
      </c>
      <c r="Q259" t="e">
        <f>INDEX(Items!C$2:C$1032,MATCH($O259,Items!$A$2:$A$1032,0))</f>
        <v>#N/A</v>
      </c>
      <c r="R259" t="e">
        <f>INDEX(Items!D$2:D$1032,MATCH($O259,Items!$A$2:$A$1032,0))</f>
        <v>#N/A</v>
      </c>
    </row>
    <row r="260" spans="1:18" x14ac:dyDescent="0.25">
      <c r="A260">
        <f t="shared" si="23"/>
        <v>1</v>
      </c>
      <c r="B260" t="str">
        <f t="shared" si="24"/>
        <v/>
      </c>
      <c r="C260">
        <f t="shared" si="21"/>
        <v>1</v>
      </c>
      <c r="D260" s="4"/>
      <c r="E260" t="s">
        <v>18</v>
      </c>
      <c r="F260" t="str">
        <f>INDEX(Establishment!B$2:B$1005,MATCH($E260,Establishment!$A$2:$A$1005,0))</f>
        <v xml:space="preserve"> </v>
      </c>
      <c r="G260" t="str">
        <f>INDEX(Establishment!C$2:C$1005,MATCH($E260,Establishment!$A$2:$A$1005,0))</f>
        <v xml:space="preserve"> </v>
      </c>
      <c r="M260">
        <f t="shared" si="22"/>
        <v>0</v>
      </c>
      <c r="N260">
        <f t="shared" si="25"/>
        <v>0</v>
      </c>
      <c r="P260" t="e">
        <f>INDEX(Items!B$2:B$1032,MATCH($O260,Items!$A$2:$A$1032,0))</f>
        <v>#N/A</v>
      </c>
      <c r="Q260" t="e">
        <f>INDEX(Items!C$2:C$1032,MATCH($O260,Items!$A$2:$A$1032,0))</f>
        <v>#N/A</v>
      </c>
      <c r="R260" t="e">
        <f>INDEX(Items!D$2:D$1032,MATCH($O260,Items!$A$2:$A$1032,0))</f>
        <v>#N/A</v>
      </c>
    </row>
    <row r="261" spans="1:18" x14ac:dyDescent="0.25">
      <c r="A261">
        <f t="shared" si="23"/>
        <v>1</v>
      </c>
      <c r="B261" t="str">
        <f t="shared" si="24"/>
        <v/>
      </c>
      <c r="C261">
        <f t="shared" si="21"/>
        <v>1</v>
      </c>
      <c r="D261" s="4"/>
      <c r="E261" t="s">
        <v>18</v>
      </c>
      <c r="F261" t="str">
        <f>INDEX(Establishment!B$2:B$1005,MATCH($E261,Establishment!$A$2:$A$1005,0))</f>
        <v xml:space="preserve"> </v>
      </c>
      <c r="G261" t="str">
        <f>INDEX(Establishment!C$2:C$1005,MATCH($E261,Establishment!$A$2:$A$1005,0))</f>
        <v xml:space="preserve"> </v>
      </c>
      <c r="M261">
        <f t="shared" si="22"/>
        <v>0</v>
      </c>
      <c r="N261">
        <f t="shared" si="25"/>
        <v>0</v>
      </c>
      <c r="P261" t="e">
        <f>INDEX(Items!B$2:B$1032,MATCH($O261,Items!$A$2:$A$1032,0))</f>
        <v>#N/A</v>
      </c>
      <c r="Q261" t="e">
        <f>INDEX(Items!C$2:C$1032,MATCH($O261,Items!$A$2:$A$1032,0))</f>
        <v>#N/A</v>
      </c>
      <c r="R261" t="e">
        <f>INDEX(Items!D$2:D$1032,MATCH($O261,Items!$A$2:$A$1032,0))</f>
        <v>#N/A</v>
      </c>
    </row>
    <row r="262" spans="1:18" x14ac:dyDescent="0.25">
      <c r="A262">
        <f t="shared" si="23"/>
        <v>1</v>
      </c>
      <c r="B262" t="str">
        <f t="shared" si="24"/>
        <v/>
      </c>
      <c r="C262">
        <f t="shared" si="21"/>
        <v>1</v>
      </c>
      <c r="D262" s="4"/>
      <c r="E262" t="s">
        <v>18</v>
      </c>
      <c r="F262" t="str">
        <f>INDEX(Establishment!B$2:B$1005,MATCH($E262,Establishment!$A$2:$A$1005,0))</f>
        <v xml:space="preserve"> </v>
      </c>
      <c r="G262" t="str">
        <f>INDEX(Establishment!C$2:C$1005,MATCH($E262,Establishment!$A$2:$A$1005,0))</f>
        <v xml:space="preserve"> </v>
      </c>
      <c r="M262">
        <f t="shared" si="22"/>
        <v>0</v>
      </c>
      <c r="N262">
        <f t="shared" si="25"/>
        <v>0</v>
      </c>
      <c r="P262" t="e">
        <f>INDEX(Items!B$2:B$1032,MATCH($O262,Items!$A$2:$A$1032,0))</f>
        <v>#N/A</v>
      </c>
      <c r="Q262" t="e">
        <f>INDEX(Items!C$2:C$1032,MATCH($O262,Items!$A$2:$A$1032,0))</f>
        <v>#N/A</v>
      </c>
      <c r="R262" t="e">
        <f>INDEX(Items!D$2:D$1032,MATCH($O262,Items!$A$2:$A$1032,0))</f>
        <v>#N/A</v>
      </c>
    </row>
    <row r="263" spans="1:18" x14ac:dyDescent="0.25">
      <c r="A263">
        <f t="shared" si="23"/>
        <v>1</v>
      </c>
      <c r="B263" t="str">
        <f t="shared" si="24"/>
        <v/>
      </c>
      <c r="C263">
        <f t="shared" si="21"/>
        <v>1</v>
      </c>
      <c r="D263" s="4"/>
      <c r="E263" t="s">
        <v>18</v>
      </c>
      <c r="F263" t="str">
        <f>INDEX(Establishment!B$2:B$1005,MATCH($E263,Establishment!$A$2:$A$1005,0))</f>
        <v xml:space="preserve"> </v>
      </c>
      <c r="G263" t="str">
        <f>INDEX(Establishment!C$2:C$1005,MATCH($E263,Establishment!$A$2:$A$1005,0))</f>
        <v xml:space="preserve"> </v>
      </c>
      <c r="M263">
        <f t="shared" si="22"/>
        <v>0</v>
      </c>
      <c r="N263">
        <f t="shared" si="25"/>
        <v>0</v>
      </c>
      <c r="P263" t="e">
        <f>INDEX(Items!B$2:B$1032,MATCH($O263,Items!$A$2:$A$1032,0))</f>
        <v>#N/A</v>
      </c>
      <c r="Q263" t="e">
        <f>INDEX(Items!C$2:C$1032,MATCH($O263,Items!$A$2:$A$1032,0))</f>
        <v>#N/A</v>
      </c>
      <c r="R263" t="e">
        <f>INDEX(Items!D$2:D$1032,MATCH($O263,Items!$A$2:$A$1032,0))</f>
        <v>#N/A</v>
      </c>
    </row>
    <row r="264" spans="1:18" x14ac:dyDescent="0.25">
      <c r="A264">
        <f t="shared" si="23"/>
        <v>1</v>
      </c>
      <c r="B264" t="str">
        <f t="shared" si="24"/>
        <v/>
      </c>
      <c r="C264">
        <f t="shared" si="21"/>
        <v>1</v>
      </c>
      <c r="D264" s="4"/>
      <c r="E264" t="s">
        <v>18</v>
      </c>
      <c r="F264" t="str">
        <f>INDEX(Establishment!B$2:B$1005,MATCH($E264,Establishment!$A$2:$A$1005,0))</f>
        <v xml:space="preserve"> </v>
      </c>
      <c r="G264" t="str">
        <f>INDEX(Establishment!C$2:C$1005,MATCH($E264,Establishment!$A$2:$A$1005,0))</f>
        <v xml:space="preserve"> </v>
      </c>
      <c r="M264">
        <f t="shared" si="22"/>
        <v>0</v>
      </c>
      <c r="N264">
        <f t="shared" si="25"/>
        <v>0</v>
      </c>
      <c r="P264" t="e">
        <f>INDEX(Items!B$2:B$1032,MATCH($O264,Items!$A$2:$A$1032,0))</f>
        <v>#N/A</v>
      </c>
      <c r="Q264" t="e">
        <f>INDEX(Items!C$2:C$1032,MATCH($O264,Items!$A$2:$A$1032,0))</f>
        <v>#N/A</v>
      </c>
      <c r="R264" t="e">
        <f>INDEX(Items!D$2:D$1032,MATCH($O264,Items!$A$2:$A$1032,0))</f>
        <v>#N/A</v>
      </c>
    </row>
    <row r="265" spans="1:18" x14ac:dyDescent="0.25">
      <c r="A265">
        <f t="shared" si="23"/>
        <v>1</v>
      </c>
      <c r="B265" t="str">
        <f t="shared" si="24"/>
        <v/>
      </c>
      <c r="C265">
        <f t="shared" si="21"/>
        <v>1</v>
      </c>
      <c r="D265" s="4"/>
      <c r="E265" t="s">
        <v>18</v>
      </c>
      <c r="F265" t="str">
        <f>INDEX(Establishment!B$2:B$1005,MATCH($E265,Establishment!$A$2:$A$1005,0))</f>
        <v xml:space="preserve"> </v>
      </c>
      <c r="G265" t="str">
        <f>INDEX(Establishment!C$2:C$1005,MATCH($E265,Establishment!$A$2:$A$1005,0))</f>
        <v xml:space="preserve"> </v>
      </c>
      <c r="M265">
        <f t="shared" si="22"/>
        <v>0</v>
      </c>
      <c r="N265">
        <f t="shared" si="25"/>
        <v>0</v>
      </c>
      <c r="P265" t="e">
        <f>INDEX(Items!B$2:B$1032,MATCH($O265,Items!$A$2:$A$1032,0))</f>
        <v>#N/A</v>
      </c>
      <c r="Q265" t="e">
        <f>INDEX(Items!C$2:C$1032,MATCH($O265,Items!$A$2:$A$1032,0))</f>
        <v>#N/A</v>
      </c>
      <c r="R265" t="e">
        <f>INDEX(Items!D$2:D$1032,MATCH($O265,Items!$A$2:$A$1032,0))</f>
        <v>#N/A</v>
      </c>
    </row>
    <row r="266" spans="1:18" x14ac:dyDescent="0.25">
      <c r="A266">
        <f t="shared" si="23"/>
        <v>1</v>
      </c>
      <c r="B266" t="str">
        <f t="shared" si="24"/>
        <v/>
      </c>
      <c r="C266">
        <f t="shared" ref="C266:C329" si="26">IF(OR(B266="",B266&lt;&gt;B265),1,C265+1)</f>
        <v>1</v>
      </c>
      <c r="D266" s="4"/>
      <c r="E266" t="s">
        <v>18</v>
      </c>
      <c r="F266" t="str">
        <f>INDEX(Establishment!B$2:B$1005,MATCH($E266,Establishment!$A$2:$A$1005,0))</f>
        <v xml:space="preserve"> </v>
      </c>
      <c r="G266" t="str">
        <f>INDEX(Establishment!C$2:C$1005,MATCH($E266,Establishment!$A$2:$A$1005,0))</f>
        <v xml:space="preserve"> </v>
      </c>
      <c r="M266">
        <f t="shared" ref="M266:M329" si="27">K266*L266</f>
        <v>0</v>
      </c>
      <c r="N266">
        <f t="shared" si="25"/>
        <v>0</v>
      </c>
      <c r="P266" t="e">
        <f>INDEX(Items!B$2:B$1032,MATCH($O266,Items!$A$2:$A$1032,0))</f>
        <v>#N/A</v>
      </c>
      <c r="Q266" t="e">
        <f>INDEX(Items!C$2:C$1032,MATCH($O266,Items!$A$2:$A$1032,0))</f>
        <v>#N/A</v>
      </c>
      <c r="R266" t="e">
        <f>INDEX(Items!D$2:D$1032,MATCH($O266,Items!$A$2:$A$1032,0))</f>
        <v>#N/A</v>
      </c>
    </row>
    <row r="267" spans="1:18" x14ac:dyDescent="0.25">
      <c r="A267">
        <f t="shared" si="23"/>
        <v>1</v>
      </c>
      <c r="B267" t="str">
        <f t="shared" si="24"/>
        <v/>
      </c>
      <c r="C267">
        <f t="shared" si="26"/>
        <v>1</v>
      </c>
      <c r="D267" s="4"/>
      <c r="E267" t="s">
        <v>18</v>
      </c>
      <c r="F267" t="str">
        <f>INDEX(Establishment!B$2:B$1005,MATCH($E267,Establishment!$A$2:$A$1005,0))</f>
        <v xml:space="preserve"> </v>
      </c>
      <c r="G267" t="str">
        <f>INDEX(Establishment!C$2:C$1005,MATCH($E267,Establishment!$A$2:$A$1005,0))</f>
        <v xml:space="preserve"> </v>
      </c>
      <c r="M267">
        <f t="shared" si="27"/>
        <v>0</v>
      </c>
      <c r="N267">
        <f t="shared" si="25"/>
        <v>0</v>
      </c>
      <c r="P267" t="e">
        <f>INDEX(Items!B$2:B$1032,MATCH($O267,Items!$A$2:$A$1032,0))</f>
        <v>#N/A</v>
      </c>
      <c r="Q267" t="e">
        <f>INDEX(Items!C$2:C$1032,MATCH($O267,Items!$A$2:$A$1032,0))</f>
        <v>#N/A</v>
      </c>
      <c r="R267" t="e">
        <f>INDEX(Items!D$2:D$1032,MATCH($O267,Items!$A$2:$A$1032,0))</f>
        <v>#N/A</v>
      </c>
    </row>
    <row r="268" spans="1:18" x14ac:dyDescent="0.25">
      <c r="A268">
        <f t="shared" si="23"/>
        <v>1</v>
      </c>
      <c r="B268" t="str">
        <f t="shared" si="24"/>
        <v/>
      </c>
      <c r="C268">
        <f t="shared" si="26"/>
        <v>1</v>
      </c>
      <c r="D268" s="4"/>
      <c r="E268" t="s">
        <v>18</v>
      </c>
      <c r="F268" t="str">
        <f>INDEX(Establishment!B$2:B$1005,MATCH($E268,Establishment!$A$2:$A$1005,0))</f>
        <v xml:space="preserve"> </v>
      </c>
      <c r="G268" t="str">
        <f>INDEX(Establishment!C$2:C$1005,MATCH($E268,Establishment!$A$2:$A$1005,0))</f>
        <v xml:space="preserve"> </v>
      </c>
      <c r="M268">
        <f t="shared" si="27"/>
        <v>0</v>
      </c>
      <c r="N268">
        <f t="shared" si="25"/>
        <v>0</v>
      </c>
      <c r="P268" t="e">
        <f>INDEX(Items!B$2:B$1032,MATCH($O268,Items!$A$2:$A$1032,0))</f>
        <v>#N/A</v>
      </c>
      <c r="Q268" t="e">
        <f>INDEX(Items!C$2:C$1032,MATCH($O268,Items!$A$2:$A$1032,0))</f>
        <v>#N/A</v>
      </c>
      <c r="R268" t="e">
        <f>INDEX(Items!D$2:D$1032,MATCH($O268,Items!$A$2:$A$1032,0))</f>
        <v>#N/A</v>
      </c>
    </row>
    <row r="269" spans="1:18" x14ac:dyDescent="0.25">
      <c r="A269">
        <f t="shared" si="23"/>
        <v>1</v>
      </c>
      <c r="B269" t="str">
        <f t="shared" si="24"/>
        <v/>
      </c>
      <c r="C269">
        <f t="shared" si="26"/>
        <v>1</v>
      </c>
      <c r="D269" s="4"/>
      <c r="E269" t="s">
        <v>18</v>
      </c>
      <c r="F269" t="str">
        <f>INDEX(Establishment!B$2:B$1005,MATCH($E269,Establishment!$A$2:$A$1005,0))</f>
        <v xml:space="preserve"> </v>
      </c>
      <c r="G269" t="str">
        <f>INDEX(Establishment!C$2:C$1005,MATCH($E269,Establishment!$A$2:$A$1005,0))</f>
        <v xml:space="preserve"> </v>
      </c>
      <c r="M269">
        <f t="shared" si="27"/>
        <v>0</v>
      </c>
      <c r="N269">
        <f t="shared" si="25"/>
        <v>0</v>
      </c>
      <c r="P269" t="e">
        <f>INDEX(Items!B$2:B$1032,MATCH($O269,Items!$A$2:$A$1032,0))</f>
        <v>#N/A</v>
      </c>
      <c r="Q269" t="e">
        <f>INDEX(Items!C$2:C$1032,MATCH($O269,Items!$A$2:$A$1032,0))</f>
        <v>#N/A</v>
      </c>
      <c r="R269" t="e">
        <f>INDEX(Items!D$2:D$1032,MATCH($O269,Items!$A$2:$A$1032,0))</f>
        <v>#N/A</v>
      </c>
    </row>
    <row r="270" spans="1:18" x14ac:dyDescent="0.25">
      <c r="A270">
        <f t="shared" si="23"/>
        <v>1</v>
      </c>
      <c r="B270" t="str">
        <f t="shared" si="24"/>
        <v/>
      </c>
      <c r="C270">
        <f t="shared" si="26"/>
        <v>1</v>
      </c>
      <c r="D270" s="4"/>
      <c r="E270" t="s">
        <v>18</v>
      </c>
      <c r="F270" t="str">
        <f>INDEX(Establishment!B$2:B$1005,MATCH($E270,Establishment!$A$2:$A$1005,0))</f>
        <v xml:space="preserve"> </v>
      </c>
      <c r="G270" t="str">
        <f>INDEX(Establishment!C$2:C$1005,MATCH($E270,Establishment!$A$2:$A$1005,0))</f>
        <v xml:space="preserve"> </v>
      </c>
      <c r="M270">
        <f t="shared" si="27"/>
        <v>0</v>
      </c>
      <c r="N270">
        <f t="shared" si="25"/>
        <v>0</v>
      </c>
      <c r="P270" t="e">
        <f>INDEX(Items!B$2:B$1032,MATCH($O270,Items!$A$2:$A$1032,0))</f>
        <v>#N/A</v>
      </c>
      <c r="Q270" t="e">
        <f>INDEX(Items!C$2:C$1032,MATCH($O270,Items!$A$2:$A$1032,0))</f>
        <v>#N/A</v>
      </c>
      <c r="R270" t="e">
        <f>INDEX(Items!D$2:D$1032,MATCH($O270,Items!$A$2:$A$1032,0))</f>
        <v>#N/A</v>
      </c>
    </row>
    <row r="271" spans="1:18" x14ac:dyDescent="0.25">
      <c r="A271">
        <f t="shared" si="23"/>
        <v>1</v>
      </c>
      <c r="B271" t="str">
        <f t="shared" si="24"/>
        <v/>
      </c>
      <c r="C271">
        <f t="shared" si="26"/>
        <v>1</v>
      </c>
      <c r="D271" s="4"/>
      <c r="E271" t="s">
        <v>18</v>
      </c>
      <c r="F271" t="str">
        <f>INDEX(Establishment!B$2:B$1005,MATCH($E271,Establishment!$A$2:$A$1005,0))</f>
        <v xml:space="preserve"> </v>
      </c>
      <c r="G271" t="str">
        <f>INDEX(Establishment!C$2:C$1005,MATCH($E271,Establishment!$A$2:$A$1005,0))</f>
        <v xml:space="preserve"> </v>
      </c>
      <c r="M271">
        <f t="shared" si="27"/>
        <v>0</v>
      </c>
      <c r="N271">
        <f t="shared" si="25"/>
        <v>0</v>
      </c>
      <c r="P271" t="e">
        <f>INDEX(Items!B$2:B$1032,MATCH($O271,Items!$A$2:$A$1032,0))</f>
        <v>#N/A</v>
      </c>
      <c r="Q271" t="e">
        <f>INDEX(Items!C$2:C$1032,MATCH($O271,Items!$A$2:$A$1032,0))</f>
        <v>#N/A</v>
      </c>
      <c r="R271" t="e">
        <f>INDEX(Items!D$2:D$1032,MATCH($O271,Items!$A$2:$A$1032,0))</f>
        <v>#N/A</v>
      </c>
    </row>
    <row r="272" spans="1:18" x14ac:dyDescent="0.25">
      <c r="A272">
        <f t="shared" si="23"/>
        <v>1</v>
      </c>
      <c r="B272" t="str">
        <f t="shared" si="24"/>
        <v/>
      </c>
      <c r="C272">
        <f t="shared" si="26"/>
        <v>1</v>
      </c>
      <c r="D272" s="4"/>
      <c r="E272" t="s">
        <v>18</v>
      </c>
      <c r="F272" t="str">
        <f>INDEX(Establishment!B$2:B$1005,MATCH($E272,Establishment!$A$2:$A$1005,0))</f>
        <v xml:space="preserve"> </v>
      </c>
      <c r="G272" t="str">
        <f>INDEX(Establishment!C$2:C$1005,MATCH($E272,Establishment!$A$2:$A$1005,0))</f>
        <v xml:space="preserve"> </v>
      </c>
      <c r="M272">
        <f t="shared" si="27"/>
        <v>0</v>
      </c>
      <c r="N272">
        <f t="shared" si="25"/>
        <v>0</v>
      </c>
      <c r="P272" t="e">
        <f>INDEX(Items!B$2:B$1032,MATCH($O272,Items!$A$2:$A$1032,0))</f>
        <v>#N/A</v>
      </c>
      <c r="Q272" t="e">
        <f>INDEX(Items!C$2:C$1032,MATCH($O272,Items!$A$2:$A$1032,0))</f>
        <v>#N/A</v>
      </c>
      <c r="R272" t="e">
        <f>INDEX(Items!D$2:D$1032,MATCH($O272,Items!$A$2:$A$1032,0))</f>
        <v>#N/A</v>
      </c>
    </row>
    <row r="273" spans="1:18" x14ac:dyDescent="0.25">
      <c r="A273">
        <f t="shared" si="23"/>
        <v>1</v>
      </c>
      <c r="B273" t="str">
        <f t="shared" si="24"/>
        <v/>
      </c>
      <c r="C273">
        <f t="shared" si="26"/>
        <v>1</v>
      </c>
      <c r="D273" s="4"/>
      <c r="E273" t="s">
        <v>18</v>
      </c>
      <c r="F273" t="str">
        <f>INDEX(Establishment!B$2:B$1005,MATCH($E273,Establishment!$A$2:$A$1005,0))</f>
        <v xml:space="preserve"> </v>
      </c>
      <c r="G273" t="str">
        <f>INDEX(Establishment!C$2:C$1005,MATCH($E273,Establishment!$A$2:$A$1005,0))</f>
        <v xml:space="preserve"> </v>
      </c>
      <c r="M273">
        <f t="shared" si="27"/>
        <v>0</v>
      </c>
      <c r="N273">
        <f t="shared" si="25"/>
        <v>0</v>
      </c>
      <c r="P273" t="e">
        <f>INDEX(Items!B$2:B$1032,MATCH($O273,Items!$A$2:$A$1032,0))</f>
        <v>#N/A</v>
      </c>
      <c r="Q273" t="e">
        <f>INDEX(Items!C$2:C$1032,MATCH($O273,Items!$A$2:$A$1032,0))</f>
        <v>#N/A</v>
      </c>
      <c r="R273" t="e">
        <f>INDEX(Items!D$2:D$1032,MATCH($O273,Items!$A$2:$A$1032,0))</f>
        <v>#N/A</v>
      </c>
    </row>
    <row r="274" spans="1:18" x14ac:dyDescent="0.25">
      <c r="A274">
        <f t="shared" si="23"/>
        <v>1</v>
      </c>
      <c r="B274" t="str">
        <f t="shared" si="24"/>
        <v/>
      </c>
      <c r="C274">
        <f t="shared" si="26"/>
        <v>1</v>
      </c>
      <c r="D274" s="4"/>
      <c r="E274" t="s">
        <v>18</v>
      </c>
      <c r="F274" t="str">
        <f>INDEX(Establishment!B$2:B$1005,MATCH($E274,Establishment!$A$2:$A$1005,0))</f>
        <v xml:space="preserve"> </v>
      </c>
      <c r="G274" t="str">
        <f>INDEX(Establishment!C$2:C$1005,MATCH($E274,Establishment!$A$2:$A$1005,0))</f>
        <v xml:space="preserve"> </v>
      </c>
      <c r="M274">
        <f t="shared" si="27"/>
        <v>0</v>
      </c>
      <c r="N274">
        <f t="shared" si="25"/>
        <v>0</v>
      </c>
      <c r="P274" t="e">
        <f>INDEX(Items!B$2:B$1032,MATCH($O274,Items!$A$2:$A$1032,0))</f>
        <v>#N/A</v>
      </c>
      <c r="Q274" t="e">
        <f>INDEX(Items!C$2:C$1032,MATCH($O274,Items!$A$2:$A$1032,0))</f>
        <v>#N/A</v>
      </c>
      <c r="R274" t="e">
        <f>INDEX(Items!D$2:D$1032,MATCH($O274,Items!$A$2:$A$1032,0))</f>
        <v>#N/A</v>
      </c>
    </row>
    <row r="275" spans="1:18" x14ac:dyDescent="0.25">
      <c r="A275">
        <f t="shared" si="23"/>
        <v>1</v>
      </c>
      <c r="B275" t="str">
        <f t="shared" si="24"/>
        <v/>
      </c>
      <c r="C275">
        <f t="shared" si="26"/>
        <v>1</v>
      </c>
      <c r="D275" s="4"/>
      <c r="E275" t="s">
        <v>18</v>
      </c>
      <c r="F275" t="str">
        <f>INDEX(Establishment!B$2:B$1005,MATCH($E275,Establishment!$A$2:$A$1005,0))</f>
        <v xml:space="preserve"> </v>
      </c>
      <c r="G275" t="str">
        <f>INDEX(Establishment!C$2:C$1005,MATCH($E275,Establishment!$A$2:$A$1005,0))</f>
        <v xml:space="preserve"> </v>
      </c>
      <c r="M275">
        <f t="shared" si="27"/>
        <v>0</v>
      </c>
      <c r="N275">
        <f t="shared" si="25"/>
        <v>0</v>
      </c>
      <c r="P275" t="e">
        <f>INDEX(Items!B$2:B$1032,MATCH($O275,Items!$A$2:$A$1032,0))</f>
        <v>#N/A</v>
      </c>
      <c r="Q275" t="e">
        <f>INDEX(Items!C$2:C$1032,MATCH($O275,Items!$A$2:$A$1032,0))</f>
        <v>#N/A</v>
      </c>
      <c r="R275" t="e">
        <f>INDEX(Items!D$2:D$1032,MATCH($O275,Items!$A$2:$A$1032,0))</f>
        <v>#N/A</v>
      </c>
    </row>
    <row r="276" spans="1:18" x14ac:dyDescent="0.25">
      <c r="A276">
        <f t="shared" si="23"/>
        <v>1</v>
      </c>
      <c r="B276" t="str">
        <f t="shared" si="24"/>
        <v/>
      </c>
      <c r="C276">
        <f t="shared" si="26"/>
        <v>1</v>
      </c>
      <c r="D276" s="4"/>
      <c r="E276" t="s">
        <v>18</v>
      </c>
      <c r="F276" t="str">
        <f>INDEX(Establishment!B$2:B$1005,MATCH($E276,Establishment!$A$2:$A$1005,0))</f>
        <v xml:space="preserve"> </v>
      </c>
      <c r="G276" t="str">
        <f>INDEX(Establishment!C$2:C$1005,MATCH($E276,Establishment!$A$2:$A$1005,0))</f>
        <v xml:space="preserve"> </v>
      </c>
      <c r="M276">
        <f t="shared" si="27"/>
        <v>0</v>
      </c>
      <c r="N276">
        <f t="shared" si="25"/>
        <v>0</v>
      </c>
      <c r="P276" t="e">
        <f>INDEX(Items!B$2:B$1032,MATCH($O276,Items!$A$2:$A$1032,0))</f>
        <v>#N/A</v>
      </c>
      <c r="Q276" t="e">
        <f>INDEX(Items!C$2:C$1032,MATCH($O276,Items!$A$2:$A$1032,0))</f>
        <v>#N/A</v>
      </c>
      <c r="R276" t="e">
        <f>INDEX(Items!D$2:D$1032,MATCH($O276,Items!$A$2:$A$1032,0))</f>
        <v>#N/A</v>
      </c>
    </row>
    <row r="277" spans="1:18" x14ac:dyDescent="0.25">
      <c r="A277">
        <f t="shared" si="23"/>
        <v>1</v>
      </c>
      <c r="B277" t="str">
        <f t="shared" si="24"/>
        <v/>
      </c>
      <c r="C277">
        <f t="shared" si="26"/>
        <v>1</v>
      </c>
      <c r="D277" s="4"/>
      <c r="E277" t="s">
        <v>18</v>
      </c>
      <c r="F277" t="str">
        <f>INDEX(Establishment!B$2:B$1005,MATCH($E277,Establishment!$A$2:$A$1005,0))</f>
        <v xml:space="preserve"> </v>
      </c>
      <c r="G277" t="str">
        <f>INDEX(Establishment!C$2:C$1005,MATCH($E277,Establishment!$A$2:$A$1005,0))</f>
        <v xml:space="preserve"> </v>
      </c>
      <c r="M277">
        <f t="shared" si="27"/>
        <v>0</v>
      </c>
      <c r="N277">
        <f t="shared" si="25"/>
        <v>0</v>
      </c>
      <c r="P277" t="e">
        <f>INDEX(Items!B$2:B$1032,MATCH($O277,Items!$A$2:$A$1032,0))</f>
        <v>#N/A</v>
      </c>
      <c r="Q277" t="e">
        <f>INDEX(Items!C$2:C$1032,MATCH($O277,Items!$A$2:$A$1032,0))</f>
        <v>#N/A</v>
      </c>
      <c r="R277" t="e">
        <f>INDEX(Items!D$2:D$1032,MATCH($O277,Items!$A$2:$A$1032,0))</f>
        <v>#N/A</v>
      </c>
    </row>
    <row r="278" spans="1:18" x14ac:dyDescent="0.25">
      <c r="A278">
        <f t="shared" si="23"/>
        <v>1</v>
      </c>
      <c r="B278" t="str">
        <f t="shared" si="24"/>
        <v/>
      </c>
      <c r="C278">
        <f t="shared" si="26"/>
        <v>1</v>
      </c>
      <c r="D278" s="4"/>
      <c r="E278" t="s">
        <v>18</v>
      </c>
      <c r="F278" t="str">
        <f>INDEX(Establishment!B$2:B$1005,MATCH($E278,Establishment!$A$2:$A$1005,0))</f>
        <v xml:space="preserve"> </v>
      </c>
      <c r="G278" t="str">
        <f>INDEX(Establishment!C$2:C$1005,MATCH($E278,Establishment!$A$2:$A$1005,0))</f>
        <v xml:space="preserve"> </v>
      </c>
      <c r="M278">
        <f t="shared" si="27"/>
        <v>0</v>
      </c>
      <c r="N278">
        <f t="shared" si="25"/>
        <v>0</v>
      </c>
      <c r="P278" t="e">
        <f>INDEX(Items!B$2:B$1032,MATCH($O278,Items!$A$2:$A$1032,0))</f>
        <v>#N/A</v>
      </c>
      <c r="Q278" t="e">
        <f>INDEX(Items!C$2:C$1032,MATCH($O278,Items!$A$2:$A$1032,0))</f>
        <v>#N/A</v>
      </c>
      <c r="R278" t="e">
        <f>INDEX(Items!D$2:D$1032,MATCH($O278,Items!$A$2:$A$1032,0))</f>
        <v>#N/A</v>
      </c>
    </row>
    <row r="279" spans="1:18" x14ac:dyDescent="0.25">
      <c r="A279">
        <f t="shared" si="23"/>
        <v>1</v>
      </c>
      <c r="B279" t="str">
        <f t="shared" si="24"/>
        <v/>
      </c>
      <c r="C279">
        <f t="shared" si="26"/>
        <v>1</v>
      </c>
      <c r="D279" s="4"/>
      <c r="E279" t="s">
        <v>18</v>
      </c>
      <c r="F279" t="str">
        <f>INDEX(Establishment!B$2:B$1005,MATCH($E279,Establishment!$A$2:$A$1005,0))</f>
        <v xml:space="preserve"> </v>
      </c>
      <c r="G279" t="str">
        <f>INDEX(Establishment!C$2:C$1005,MATCH($E279,Establishment!$A$2:$A$1005,0))</f>
        <v xml:space="preserve"> </v>
      </c>
      <c r="M279">
        <f t="shared" si="27"/>
        <v>0</v>
      </c>
      <c r="N279">
        <f t="shared" si="25"/>
        <v>0</v>
      </c>
      <c r="P279" t="e">
        <f>INDEX(Items!B$2:B$1032,MATCH($O279,Items!$A$2:$A$1032,0))</f>
        <v>#N/A</v>
      </c>
      <c r="Q279" t="e">
        <f>INDEX(Items!C$2:C$1032,MATCH($O279,Items!$A$2:$A$1032,0))</f>
        <v>#N/A</v>
      </c>
      <c r="R279" t="e">
        <f>INDEX(Items!D$2:D$1032,MATCH($O279,Items!$A$2:$A$1032,0))</f>
        <v>#N/A</v>
      </c>
    </row>
    <row r="280" spans="1:18" x14ac:dyDescent="0.25">
      <c r="A280">
        <f t="shared" si="23"/>
        <v>1</v>
      </c>
      <c r="B280" t="str">
        <f t="shared" si="24"/>
        <v/>
      </c>
      <c r="C280">
        <f t="shared" si="26"/>
        <v>1</v>
      </c>
      <c r="D280" s="4"/>
      <c r="E280" t="s">
        <v>18</v>
      </c>
      <c r="F280" t="str">
        <f>INDEX(Establishment!B$2:B$1005,MATCH($E280,Establishment!$A$2:$A$1005,0))</f>
        <v xml:space="preserve"> </v>
      </c>
      <c r="G280" t="str">
        <f>INDEX(Establishment!C$2:C$1005,MATCH($E280,Establishment!$A$2:$A$1005,0))</f>
        <v xml:space="preserve"> </v>
      </c>
      <c r="M280">
        <f t="shared" si="27"/>
        <v>0</v>
      </c>
      <c r="N280">
        <f t="shared" si="25"/>
        <v>0</v>
      </c>
      <c r="P280" t="e">
        <f>INDEX(Items!B$2:B$1032,MATCH($O280,Items!$A$2:$A$1032,0))</f>
        <v>#N/A</v>
      </c>
      <c r="Q280" t="e">
        <f>INDEX(Items!C$2:C$1032,MATCH($O280,Items!$A$2:$A$1032,0))</f>
        <v>#N/A</v>
      </c>
      <c r="R280" t="e">
        <f>INDEX(Items!D$2:D$1032,MATCH($O280,Items!$A$2:$A$1032,0))</f>
        <v>#N/A</v>
      </c>
    </row>
    <row r="281" spans="1:18" x14ac:dyDescent="0.25">
      <c r="A281">
        <f t="shared" si="23"/>
        <v>1</v>
      </c>
      <c r="B281" t="str">
        <f t="shared" si="24"/>
        <v/>
      </c>
      <c r="C281">
        <f t="shared" si="26"/>
        <v>1</v>
      </c>
      <c r="D281" s="4"/>
      <c r="E281" t="s">
        <v>18</v>
      </c>
      <c r="F281" t="str">
        <f>INDEX(Establishment!B$2:B$1005,MATCH($E281,Establishment!$A$2:$A$1005,0))</f>
        <v xml:space="preserve"> </v>
      </c>
      <c r="G281" t="str">
        <f>INDEX(Establishment!C$2:C$1005,MATCH($E281,Establishment!$A$2:$A$1005,0))</f>
        <v xml:space="preserve"> </v>
      </c>
      <c r="M281">
        <f t="shared" si="27"/>
        <v>0</v>
      </c>
      <c r="N281">
        <f t="shared" si="25"/>
        <v>0</v>
      </c>
      <c r="P281" t="e">
        <f>INDEX(Items!B$2:B$1032,MATCH($O281,Items!$A$2:$A$1032,0))</f>
        <v>#N/A</v>
      </c>
      <c r="Q281" t="e">
        <f>INDEX(Items!C$2:C$1032,MATCH($O281,Items!$A$2:$A$1032,0))</f>
        <v>#N/A</v>
      </c>
      <c r="R281" t="e">
        <f>INDEX(Items!D$2:D$1032,MATCH($O281,Items!$A$2:$A$1032,0))</f>
        <v>#N/A</v>
      </c>
    </row>
    <row r="282" spans="1:18" x14ac:dyDescent="0.25">
      <c r="A282">
        <f t="shared" si="23"/>
        <v>1</v>
      </c>
      <c r="B282" t="str">
        <f t="shared" si="24"/>
        <v/>
      </c>
      <c r="C282">
        <f t="shared" si="26"/>
        <v>1</v>
      </c>
      <c r="D282" s="4"/>
      <c r="E282" t="s">
        <v>18</v>
      </c>
      <c r="F282" t="str">
        <f>INDEX(Establishment!B$2:B$1005,MATCH($E282,Establishment!$A$2:$A$1005,0))</f>
        <v xml:space="preserve"> </v>
      </c>
      <c r="G282" t="str">
        <f>INDEX(Establishment!C$2:C$1005,MATCH($E282,Establishment!$A$2:$A$1005,0))</f>
        <v xml:space="preserve"> </v>
      </c>
      <c r="M282">
        <f t="shared" si="27"/>
        <v>0</v>
      </c>
      <c r="N282">
        <f t="shared" si="25"/>
        <v>0</v>
      </c>
      <c r="P282" t="e">
        <f>INDEX(Items!B$2:B$1032,MATCH($O282,Items!$A$2:$A$1032,0))</f>
        <v>#N/A</v>
      </c>
      <c r="Q282" t="e">
        <f>INDEX(Items!C$2:C$1032,MATCH($O282,Items!$A$2:$A$1032,0))</f>
        <v>#N/A</v>
      </c>
      <c r="R282" t="e">
        <f>INDEX(Items!D$2:D$1032,MATCH($O282,Items!$A$2:$A$1032,0))</f>
        <v>#N/A</v>
      </c>
    </row>
    <row r="283" spans="1:18" x14ac:dyDescent="0.25">
      <c r="A283">
        <f t="shared" si="23"/>
        <v>1</v>
      </c>
      <c r="B283" t="str">
        <f t="shared" si="24"/>
        <v/>
      </c>
      <c r="C283">
        <f t="shared" si="26"/>
        <v>1</v>
      </c>
      <c r="D283" s="4"/>
      <c r="E283" t="s">
        <v>18</v>
      </c>
      <c r="F283" t="str">
        <f>INDEX(Establishment!B$2:B$1005,MATCH($E283,Establishment!$A$2:$A$1005,0))</f>
        <v xml:space="preserve"> </v>
      </c>
      <c r="G283" t="str">
        <f>INDEX(Establishment!C$2:C$1005,MATCH($E283,Establishment!$A$2:$A$1005,0))</f>
        <v xml:space="preserve"> </v>
      </c>
      <c r="M283">
        <f t="shared" si="27"/>
        <v>0</v>
      </c>
      <c r="N283">
        <f t="shared" si="25"/>
        <v>0</v>
      </c>
      <c r="P283" t="e">
        <f>INDEX(Items!B$2:B$1032,MATCH($O283,Items!$A$2:$A$1032,0))</f>
        <v>#N/A</v>
      </c>
      <c r="Q283" t="e">
        <f>INDEX(Items!C$2:C$1032,MATCH($O283,Items!$A$2:$A$1032,0))</f>
        <v>#N/A</v>
      </c>
      <c r="R283" t="e">
        <f>INDEX(Items!D$2:D$1032,MATCH($O283,Items!$A$2:$A$1032,0))</f>
        <v>#N/A</v>
      </c>
    </row>
    <row r="284" spans="1:18" x14ac:dyDescent="0.25">
      <c r="A284">
        <f t="shared" si="23"/>
        <v>1</v>
      </c>
      <c r="B284" t="str">
        <f t="shared" si="24"/>
        <v/>
      </c>
      <c r="C284">
        <f t="shared" si="26"/>
        <v>1</v>
      </c>
      <c r="D284" s="4"/>
      <c r="E284" t="s">
        <v>18</v>
      </c>
      <c r="F284" t="str">
        <f>INDEX(Establishment!B$2:B$1005,MATCH($E284,Establishment!$A$2:$A$1005,0))</f>
        <v xml:space="preserve"> </v>
      </c>
      <c r="G284" t="str">
        <f>INDEX(Establishment!C$2:C$1005,MATCH($E284,Establishment!$A$2:$A$1005,0))</f>
        <v xml:space="preserve"> </v>
      </c>
      <c r="M284">
        <f t="shared" si="27"/>
        <v>0</v>
      </c>
      <c r="N284">
        <f t="shared" si="25"/>
        <v>0</v>
      </c>
      <c r="P284" t="e">
        <f>INDEX(Items!B$2:B$1032,MATCH($O284,Items!$A$2:$A$1032,0))</f>
        <v>#N/A</v>
      </c>
      <c r="Q284" t="e">
        <f>INDEX(Items!C$2:C$1032,MATCH($O284,Items!$A$2:$A$1032,0))</f>
        <v>#N/A</v>
      </c>
      <c r="R284" t="e">
        <f>INDEX(Items!D$2:D$1032,MATCH($O284,Items!$A$2:$A$1032,0))</f>
        <v>#N/A</v>
      </c>
    </row>
    <row r="285" spans="1:18" x14ac:dyDescent="0.25">
      <c r="A285">
        <f t="shared" si="23"/>
        <v>1</v>
      </c>
      <c r="B285" t="str">
        <f t="shared" si="24"/>
        <v/>
      </c>
      <c r="C285">
        <f t="shared" si="26"/>
        <v>1</v>
      </c>
      <c r="D285" s="4"/>
      <c r="E285" t="s">
        <v>18</v>
      </c>
      <c r="F285" t="str">
        <f>INDEX(Establishment!B$2:B$1005,MATCH($E285,Establishment!$A$2:$A$1005,0))</f>
        <v xml:space="preserve"> </v>
      </c>
      <c r="G285" t="str">
        <f>INDEX(Establishment!C$2:C$1005,MATCH($E285,Establishment!$A$2:$A$1005,0))</f>
        <v xml:space="preserve"> </v>
      </c>
      <c r="M285">
        <f t="shared" si="27"/>
        <v>0</v>
      </c>
      <c r="N285">
        <f t="shared" si="25"/>
        <v>0</v>
      </c>
      <c r="P285" t="e">
        <f>INDEX(Items!B$2:B$1032,MATCH($O285,Items!$A$2:$A$1032,0))</f>
        <v>#N/A</v>
      </c>
      <c r="Q285" t="e">
        <f>INDEX(Items!C$2:C$1032,MATCH($O285,Items!$A$2:$A$1032,0))</f>
        <v>#N/A</v>
      </c>
      <c r="R285" t="e">
        <f>INDEX(Items!D$2:D$1032,MATCH($O285,Items!$A$2:$A$1032,0))</f>
        <v>#N/A</v>
      </c>
    </row>
    <row r="286" spans="1:18" x14ac:dyDescent="0.25">
      <c r="A286">
        <f t="shared" si="23"/>
        <v>1</v>
      </c>
      <c r="B286" t="str">
        <f t="shared" si="24"/>
        <v/>
      </c>
      <c r="C286">
        <f t="shared" si="26"/>
        <v>1</v>
      </c>
      <c r="D286" s="4"/>
      <c r="E286" t="s">
        <v>18</v>
      </c>
      <c r="F286" t="str">
        <f>INDEX(Establishment!B$2:B$1005,MATCH($E286,Establishment!$A$2:$A$1005,0))</f>
        <v xml:space="preserve"> </v>
      </c>
      <c r="G286" t="str">
        <f>INDEX(Establishment!C$2:C$1005,MATCH($E286,Establishment!$A$2:$A$1005,0))</f>
        <v xml:space="preserve"> </v>
      </c>
      <c r="M286">
        <f t="shared" si="27"/>
        <v>0</v>
      </c>
      <c r="N286">
        <f t="shared" si="25"/>
        <v>0</v>
      </c>
      <c r="P286" t="e">
        <f>INDEX(Items!B$2:B$1032,MATCH($O286,Items!$A$2:$A$1032,0))</f>
        <v>#N/A</v>
      </c>
      <c r="Q286" t="e">
        <f>INDEX(Items!C$2:C$1032,MATCH($O286,Items!$A$2:$A$1032,0))</f>
        <v>#N/A</v>
      </c>
      <c r="R286" t="e">
        <f>INDEX(Items!D$2:D$1032,MATCH($O286,Items!$A$2:$A$1032,0))</f>
        <v>#N/A</v>
      </c>
    </row>
    <row r="287" spans="1:18" x14ac:dyDescent="0.25">
      <c r="A287">
        <f t="shared" si="23"/>
        <v>1</v>
      </c>
      <c r="B287" t="str">
        <f t="shared" si="24"/>
        <v/>
      </c>
      <c r="C287">
        <f t="shared" si="26"/>
        <v>1</v>
      </c>
      <c r="D287" s="4"/>
      <c r="E287" t="s">
        <v>18</v>
      </c>
      <c r="F287" t="str">
        <f>INDEX(Establishment!B$2:B$1005,MATCH($E287,Establishment!$A$2:$A$1005,0))</f>
        <v xml:space="preserve"> </v>
      </c>
      <c r="G287" t="str">
        <f>INDEX(Establishment!C$2:C$1005,MATCH($E287,Establishment!$A$2:$A$1005,0))</f>
        <v xml:space="preserve"> </v>
      </c>
      <c r="M287">
        <f t="shared" si="27"/>
        <v>0</v>
      </c>
      <c r="N287">
        <f t="shared" si="25"/>
        <v>0</v>
      </c>
      <c r="P287" t="e">
        <f>INDEX(Items!B$2:B$1032,MATCH($O287,Items!$A$2:$A$1032,0))</f>
        <v>#N/A</v>
      </c>
      <c r="Q287" t="e">
        <f>INDEX(Items!C$2:C$1032,MATCH($O287,Items!$A$2:$A$1032,0))</f>
        <v>#N/A</v>
      </c>
      <c r="R287" t="e">
        <f>INDEX(Items!D$2:D$1032,MATCH($O287,Items!$A$2:$A$1032,0))</f>
        <v>#N/A</v>
      </c>
    </row>
    <row r="288" spans="1:18" x14ac:dyDescent="0.25">
      <c r="A288">
        <f t="shared" si="23"/>
        <v>1</v>
      </c>
      <c r="B288" t="str">
        <f t="shared" si="24"/>
        <v/>
      </c>
      <c r="C288">
        <f t="shared" si="26"/>
        <v>1</v>
      </c>
      <c r="D288" s="4"/>
      <c r="E288" t="s">
        <v>18</v>
      </c>
      <c r="F288" t="str">
        <f>INDEX(Establishment!B$2:B$1005,MATCH($E288,Establishment!$A$2:$A$1005,0))</f>
        <v xml:space="preserve"> </v>
      </c>
      <c r="G288" t="str">
        <f>INDEX(Establishment!C$2:C$1005,MATCH($E288,Establishment!$A$2:$A$1005,0))</f>
        <v xml:space="preserve"> </v>
      </c>
      <c r="M288">
        <f t="shared" si="27"/>
        <v>0</v>
      </c>
      <c r="N288">
        <f t="shared" si="25"/>
        <v>0</v>
      </c>
      <c r="P288" t="e">
        <f>INDEX(Items!B$2:B$1032,MATCH($O288,Items!$A$2:$A$1032,0))</f>
        <v>#N/A</v>
      </c>
      <c r="Q288" t="e">
        <f>INDEX(Items!C$2:C$1032,MATCH($O288,Items!$A$2:$A$1032,0))</f>
        <v>#N/A</v>
      </c>
      <c r="R288" t="e">
        <f>INDEX(Items!D$2:D$1032,MATCH($O288,Items!$A$2:$A$1032,0))</f>
        <v>#N/A</v>
      </c>
    </row>
    <row r="289" spans="1:18" x14ac:dyDescent="0.25">
      <c r="A289">
        <f t="shared" si="23"/>
        <v>1</v>
      </c>
      <c r="B289" t="str">
        <f t="shared" si="24"/>
        <v/>
      </c>
      <c r="C289">
        <f t="shared" si="26"/>
        <v>1</v>
      </c>
      <c r="D289" s="4"/>
      <c r="E289" t="s">
        <v>18</v>
      </c>
      <c r="F289" t="str">
        <f>INDEX(Establishment!B$2:B$1005,MATCH($E289,Establishment!$A$2:$A$1005,0))</f>
        <v xml:space="preserve"> </v>
      </c>
      <c r="G289" t="str">
        <f>INDEX(Establishment!C$2:C$1005,MATCH($E289,Establishment!$A$2:$A$1005,0))</f>
        <v xml:space="preserve"> </v>
      </c>
      <c r="M289">
        <f t="shared" si="27"/>
        <v>0</v>
      </c>
      <c r="N289">
        <f t="shared" si="25"/>
        <v>0</v>
      </c>
      <c r="P289" t="e">
        <f>INDEX(Items!B$2:B$1032,MATCH($O289,Items!$A$2:$A$1032,0))</f>
        <v>#N/A</v>
      </c>
      <c r="Q289" t="e">
        <f>INDEX(Items!C$2:C$1032,MATCH($O289,Items!$A$2:$A$1032,0))</f>
        <v>#N/A</v>
      </c>
      <c r="R289" t="e">
        <f>INDEX(Items!D$2:D$1032,MATCH($O289,Items!$A$2:$A$1032,0))</f>
        <v>#N/A</v>
      </c>
    </row>
    <row r="290" spans="1:18" x14ac:dyDescent="0.25">
      <c r="A290">
        <f t="shared" si="23"/>
        <v>1</v>
      </c>
      <c r="B290" t="str">
        <f t="shared" si="24"/>
        <v/>
      </c>
      <c r="C290">
        <f t="shared" si="26"/>
        <v>1</v>
      </c>
      <c r="D290" s="4"/>
      <c r="E290" t="s">
        <v>18</v>
      </c>
      <c r="F290" t="str">
        <f>INDEX(Establishment!B$2:B$1005,MATCH($E290,Establishment!$A$2:$A$1005,0))</f>
        <v xml:space="preserve"> </v>
      </c>
      <c r="G290" t="str">
        <f>INDEX(Establishment!C$2:C$1005,MATCH($E290,Establishment!$A$2:$A$1005,0))</f>
        <v xml:space="preserve"> </v>
      </c>
      <c r="M290">
        <f t="shared" si="27"/>
        <v>0</v>
      </c>
      <c r="N290">
        <f t="shared" si="25"/>
        <v>0</v>
      </c>
      <c r="P290" t="e">
        <f>INDEX(Items!B$2:B$1032,MATCH($O290,Items!$A$2:$A$1032,0))</f>
        <v>#N/A</v>
      </c>
      <c r="Q290" t="e">
        <f>INDEX(Items!C$2:C$1032,MATCH($O290,Items!$A$2:$A$1032,0))</f>
        <v>#N/A</v>
      </c>
      <c r="R290" t="e">
        <f>INDEX(Items!D$2:D$1032,MATCH($O290,Items!$A$2:$A$1032,0))</f>
        <v>#N/A</v>
      </c>
    </row>
    <row r="291" spans="1:18" x14ac:dyDescent="0.25">
      <c r="A291">
        <f t="shared" si="23"/>
        <v>1</v>
      </c>
      <c r="B291" t="str">
        <f t="shared" si="24"/>
        <v/>
      </c>
      <c r="C291">
        <f t="shared" si="26"/>
        <v>1</v>
      </c>
      <c r="D291" s="4"/>
      <c r="E291" t="s">
        <v>18</v>
      </c>
      <c r="F291" t="str">
        <f>INDEX(Establishment!B$2:B$1005,MATCH($E291,Establishment!$A$2:$A$1005,0))</f>
        <v xml:space="preserve"> </v>
      </c>
      <c r="G291" t="str">
        <f>INDEX(Establishment!C$2:C$1005,MATCH($E291,Establishment!$A$2:$A$1005,0))</f>
        <v xml:space="preserve"> </v>
      </c>
      <c r="M291">
        <f t="shared" si="27"/>
        <v>0</v>
      </c>
      <c r="N291">
        <f t="shared" si="25"/>
        <v>0</v>
      </c>
      <c r="P291" t="e">
        <f>INDEX(Items!B$2:B$1032,MATCH($O291,Items!$A$2:$A$1032,0))</f>
        <v>#N/A</v>
      </c>
      <c r="Q291" t="e">
        <f>INDEX(Items!C$2:C$1032,MATCH($O291,Items!$A$2:$A$1032,0))</f>
        <v>#N/A</v>
      </c>
      <c r="R291" t="e">
        <f>INDEX(Items!D$2:D$1032,MATCH($O291,Items!$A$2:$A$1032,0))</f>
        <v>#N/A</v>
      </c>
    </row>
    <row r="292" spans="1:18" x14ac:dyDescent="0.25">
      <c r="A292">
        <f t="shared" si="23"/>
        <v>1</v>
      </c>
      <c r="B292" t="str">
        <f t="shared" si="24"/>
        <v/>
      </c>
      <c r="C292">
        <f t="shared" si="26"/>
        <v>1</v>
      </c>
      <c r="D292" s="4"/>
      <c r="E292" t="s">
        <v>18</v>
      </c>
      <c r="F292" t="str">
        <f>INDEX(Establishment!B$2:B$1005,MATCH($E292,Establishment!$A$2:$A$1005,0))</f>
        <v xml:space="preserve"> </v>
      </c>
      <c r="G292" t="str">
        <f>INDEX(Establishment!C$2:C$1005,MATCH($E292,Establishment!$A$2:$A$1005,0))</f>
        <v xml:space="preserve"> </v>
      </c>
      <c r="M292">
        <f t="shared" si="27"/>
        <v>0</v>
      </c>
      <c r="N292">
        <f t="shared" si="25"/>
        <v>0</v>
      </c>
      <c r="P292" t="e">
        <f>INDEX(Items!B$2:B$1032,MATCH($O292,Items!$A$2:$A$1032,0))</f>
        <v>#N/A</v>
      </c>
      <c r="Q292" t="e">
        <f>INDEX(Items!C$2:C$1032,MATCH($O292,Items!$A$2:$A$1032,0))</f>
        <v>#N/A</v>
      </c>
      <c r="R292" t="e">
        <f>INDEX(Items!D$2:D$1032,MATCH($O292,Items!$A$2:$A$1032,0))</f>
        <v>#N/A</v>
      </c>
    </row>
    <row r="293" spans="1:18" x14ac:dyDescent="0.25">
      <c r="A293">
        <f t="shared" si="23"/>
        <v>1</v>
      </c>
      <c r="B293" t="str">
        <f t="shared" si="24"/>
        <v/>
      </c>
      <c r="C293">
        <f t="shared" si="26"/>
        <v>1</v>
      </c>
      <c r="D293" s="4"/>
      <c r="E293" t="s">
        <v>18</v>
      </c>
      <c r="F293" t="str">
        <f>INDEX(Establishment!B$2:B$1005,MATCH($E293,Establishment!$A$2:$A$1005,0))</f>
        <v xml:space="preserve"> </v>
      </c>
      <c r="G293" t="str">
        <f>INDEX(Establishment!C$2:C$1005,MATCH($E293,Establishment!$A$2:$A$1005,0))</f>
        <v xml:space="preserve"> </v>
      </c>
      <c r="M293">
        <f t="shared" si="27"/>
        <v>0</v>
      </c>
      <c r="N293">
        <f t="shared" si="25"/>
        <v>0</v>
      </c>
      <c r="P293" t="e">
        <f>INDEX(Items!B$2:B$1032,MATCH($O293,Items!$A$2:$A$1032,0))</f>
        <v>#N/A</v>
      </c>
      <c r="Q293" t="e">
        <f>INDEX(Items!C$2:C$1032,MATCH($O293,Items!$A$2:$A$1032,0))</f>
        <v>#N/A</v>
      </c>
      <c r="R293" t="e">
        <f>INDEX(Items!D$2:D$1032,MATCH($O293,Items!$A$2:$A$1032,0))</f>
        <v>#N/A</v>
      </c>
    </row>
    <row r="294" spans="1:18" x14ac:dyDescent="0.25">
      <c r="A294">
        <f t="shared" si="23"/>
        <v>1</v>
      </c>
      <c r="B294" t="str">
        <f t="shared" si="24"/>
        <v/>
      </c>
      <c r="C294">
        <f t="shared" si="26"/>
        <v>1</v>
      </c>
      <c r="D294" s="4"/>
      <c r="E294" t="s">
        <v>18</v>
      </c>
      <c r="F294" t="str">
        <f>INDEX(Establishment!B$2:B$1005,MATCH($E294,Establishment!$A$2:$A$1005,0))</f>
        <v xml:space="preserve"> </v>
      </c>
      <c r="G294" t="str">
        <f>INDEX(Establishment!C$2:C$1005,MATCH($E294,Establishment!$A$2:$A$1005,0))</f>
        <v xml:space="preserve"> </v>
      </c>
      <c r="M294">
        <f t="shared" si="27"/>
        <v>0</v>
      </c>
      <c r="N294">
        <f t="shared" si="25"/>
        <v>0</v>
      </c>
      <c r="P294" t="e">
        <f>INDEX(Items!B$2:B$1032,MATCH($O294,Items!$A$2:$A$1032,0))</f>
        <v>#N/A</v>
      </c>
      <c r="Q294" t="e">
        <f>INDEX(Items!C$2:C$1032,MATCH($O294,Items!$A$2:$A$1032,0))</f>
        <v>#N/A</v>
      </c>
      <c r="R294" t="e">
        <f>INDEX(Items!D$2:D$1032,MATCH($O294,Items!$A$2:$A$1032,0))</f>
        <v>#N/A</v>
      </c>
    </row>
    <row r="295" spans="1:18" x14ac:dyDescent="0.25">
      <c r="A295">
        <f t="shared" si="23"/>
        <v>1</v>
      </c>
      <c r="B295" t="str">
        <f t="shared" si="24"/>
        <v/>
      </c>
      <c r="C295">
        <f t="shared" si="26"/>
        <v>1</v>
      </c>
      <c r="D295" s="4"/>
      <c r="E295" t="s">
        <v>18</v>
      </c>
      <c r="F295" t="str">
        <f>INDEX(Establishment!B$2:B$1005,MATCH($E295,Establishment!$A$2:$A$1005,0))</f>
        <v xml:space="preserve"> </v>
      </c>
      <c r="G295" t="str">
        <f>INDEX(Establishment!C$2:C$1005,MATCH($E295,Establishment!$A$2:$A$1005,0))</f>
        <v xml:space="preserve"> </v>
      </c>
      <c r="M295">
        <f t="shared" si="27"/>
        <v>0</v>
      </c>
      <c r="N295">
        <f t="shared" si="25"/>
        <v>0</v>
      </c>
      <c r="P295" t="e">
        <f>INDEX(Items!B$2:B$1032,MATCH($O295,Items!$A$2:$A$1032,0))</f>
        <v>#N/A</v>
      </c>
      <c r="Q295" t="e">
        <f>INDEX(Items!C$2:C$1032,MATCH($O295,Items!$A$2:$A$1032,0))</f>
        <v>#N/A</v>
      </c>
      <c r="R295" t="e">
        <f>INDEX(Items!D$2:D$1032,MATCH($O295,Items!$A$2:$A$1032,0))</f>
        <v>#N/A</v>
      </c>
    </row>
    <row r="296" spans="1:18" x14ac:dyDescent="0.25">
      <c r="A296">
        <f t="shared" si="23"/>
        <v>1</v>
      </c>
      <c r="B296" t="str">
        <f t="shared" si="24"/>
        <v/>
      </c>
      <c r="C296">
        <f t="shared" si="26"/>
        <v>1</v>
      </c>
      <c r="D296" s="4"/>
      <c r="E296" t="s">
        <v>18</v>
      </c>
      <c r="F296" t="str">
        <f>INDEX(Establishment!B$2:B$1005,MATCH($E296,Establishment!$A$2:$A$1005,0))</f>
        <v xml:space="preserve"> </v>
      </c>
      <c r="G296" t="str">
        <f>INDEX(Establishment!C$2:C$1005,MATCH($E296,Establishment!$A$2:$A$1005,0))</f>
        <v xml:space="preserve"> </v>
      </c>
      <c r="M296">
        <f t="shared" si="27"/>
        <v>0</v>
      </c>
      <c r="N296">
        <f t="shared" si="25"/>
        <v>0</v>
      </c>
      <c r="P296" t="e">
        <f>INDEX(Items!B$2:B$1032,MATCH($O296,Items!$A$2:$A$1032,0))</f>
        <v>#N/A</v>
      </c>
      <c r="Q296" t="e">
        <f>INDEX(Items!C$2:C$1032,MATCH($O296,Items!$A$2:$A$1032,0))</f>
        <v>#N/A</v>
      </c>
      <c r="R296" t="e">
        <f>INDEX(Items!D$2:D$1032,MATCH($O296,Items!$A$2:$A$1032,0))</f>
        <v>#N/A</v>
      </c>
    </row>
    <row r="297" spans="1:18" x14ac:dyDescent="0.25">
      <c r="A297">
        <f t="shared" si="23"/>
        <v>1</v>
      </c>
      <c r="B297" t="str">
        <f t="shared" si="24"/>
        <v/>
      </c>
      <c r="C297">
        <f t="shared" si="26"/>
        <v>1</v>
      </c>
      <c r="D297" s="4"/>
      <c r="E297" t="s">
        <v>18</v>
      </c>
      <c r="F297" t="str">
        <f>INDEX(Establishment!B$2:B$1005,MATCH($E297,Establishment!$A$2:$A$1005,0))</f>
        <v xml:space="preserve"> </v>
      </c>
      <c r="G297" t="str">
        <f>INDEX(Establishment!C$2:C$1005,MATCH($E297,Establishment!$A$2:$A$1005,0))</f>
        <v xml:space="preserve"> </v>
      </c>
      <c r="M297">
        <f t="shared" si="27"/>
        <v>0</v>
      </c>
      <c r="N297">
        <f t="shared" si="25"/>
        <v>0</v>
      </c>
      <c r="P297" t="e">
        <f>INDEX(Items!B$2:B$1032,MATCH($O297,Items!$A$2:$A$1032,0))</f>
        <v>#N/A</v>
      </c>
      <c r="Q297" t="e">
        <f>INDEX(Items!C$2:C$1032,MATCH($O297,Items!$A$2:$A$1032,0))</f>
        <v>#N/A</v>
      </c>
      <c r="R297" t="e">
        <f>INDEX(Items!D$2:D$1032,MATCH($O297,Items!$A$2:$A$1032,0))</f>
        <v>#N/A</v>
      </c>
    </row>
    <row r="298" spans="1:18" x14ac:dyDescent="0.25">
      <c r="A298">
        <f t="shared" si="23"/>
        <v>1</v>
      </c>
      <c r="B298" t="str">
        <f t="shared" si="24"/>
        <v/>
      </c>
      <c r="C298">
        <f t="shared" si="26"/>
        <v>1</v>
      </c>
      <c r="D298" s="4"/>
      <c r="E298" t="s">
        <v>18</v>
      </c>
      <c r="F298" t="str">
        <f>INDEX(Establishment!B$2:B$1005,MATCH($E298,Establishment!$A$2:$A$1005,0))</f>
        <v xml:space="preserve"> </v>
      </c>
      <c r="G298" t="str">
        <f>INDEX(Establishment!C$2:C$1005,MATCH($E298,Establishment!$A$2:$A$1005,0))</f>
        <v xml:space="preserve"> </v>
      </c>
      <c r="M298">
        <f t="shared" si="27"/>
        <v>0</v>
      </c>
      <c r="N298">
        <f t="shared" si="25"/>
        <v>0</v>
      </c>
      <c r="P298" t="e">
        <f>INDEX(Items!B$2:B$1032,MATCH($O298,Items!$A$2:$A$1032,0))</f>
        <v>#N/A</v>
      </c>
      <c r="Q298" t="e">
        <f>INDEX(Items!C$2:C$1032,MATCH($O298,Items!$A$2:$A$1032,0))</f>
        <v>#N/A</v>
      </c>
      <c r="R298" t="e">
        <f>INDEX(Items!D$2:D$1032,MATCH($O298,Items!$A$2:$A$1032,0))</f>
        <v>#N/A</v>
      </c>
    </row>
    <row r="299" spans="1:18" x14ac:dyDescent="0.25">
      <c r="A299">
        <f t="shared" si="23"/>
        <v>1</v>
      </c>
      <c r="B299" t="str">
        <f t="shared" si="24"/>
        <v/>
      </c>
      <c r="C299">
        <f t="shared" si="26"/>
        <v>1</v>
      </c>
      <c r="D299" s="4"/>
      <c r="E299" t="s">
        <v>18</v>
      </c>
      <c r="F299" t="str">
        <f>INDEX(Establishment!B$2:B$1005,MATCH($E299,Establishment!$A$2:$A$1005,0))</f>
        <v xml:space="preserve"> </v>
      </c>
      <c r="G299" t="str">
        <f>INDEX(Establishment!C$2:C$1005,MATCH($E299,Establishment!$A$2:$A$1005,0))</f>
        <v xml:space="preserve"> </v>
      </c>
      <c r="M299">
        <f t="shared" si="27"/>
        <v>0</v>
      </c>
      <c r="N299">
        <f t="shared" si="25"/>
        <v>0</v>
      </c>
      <c r="P299" t="e">
        <f>INDEX(Items!B$2:B$1032,MATCH($O299,Items!$A$2:$A$1032,0))</f>
        <v>#N/A</v>
      </c>
      <c r="Q299" t="e">
        <f>INDEX(Items!C$2:C$1032,MATCH($O299,Items!$A$2:$A$1032,0))</f>
        <v>#N/A</v>
      </c>
      <c r="R299" t="e">
        <f>INDEX(Items!D$2:D$1032,MATCH($O299,Items!$A$2:$A$1032,0))</f>
        <v>#N/A</v>
      </c>
    </row>
    <row r="300" spans="1:18" x14ac:dyDescent="0.25">
      <c r="A300">
        <f t="shared" si="23"/>
        <v>1</v>
      </c>
      <c r="B300" t="str">
        <f t="shared" si="24"/>
        <v/>
      </c>
      <c r="C300">
        <f t="shared" si="26"/>
        <v>1</v>
      </c>
      <c r="D300" s="4"/>
      <c r="E300" t="s">
        <v>18</v>
      </c>
      <c r="F300" t="str">
        <f>INDEX(Establishment!B$2:B$1005,MATCH($E300,Establishment!$A$2:$A$1005,0))</f>
        <v xml:space="preserve"> </v>
      </c>
      <c r="G300" t="str">
        <f>INDEX(Establishment!C$2:C$1005,MATCH($E300,Establishment!$A$2:$A$1005,0))</f>
        <v xml:space="preserve"> </v>
      </c>
      <c r="M300">
        <f t="shared" si="27"/>
        <v>0</v>
      </c>
      <c r="N300">
        <f t="shared" si="25"/>
        <v>0</v>
      </c>
      <c r="P300" t="e">
        <f>INDEX(Items!B$2:B$1032,MATCH($O300,Items!$A$2:$A$1032,0))</f>
        <v>#N/A</v>
      </c>
      <c r="Q300" t="e">
        <f>INDEX(Items!C$2:C$1032,MATCH($O300,Items!$A$2:$A$1032,0))</f>
        <v>#N/A</v>
      </c>
      <c r="R300" t="e">
        <f>INDEX(Items!D$2:D$1032,MATCH($O300,Items!$A$2:$A$1032,0))</f>
        <v>#N/A</v>
      </c>
    </row>
    <row r="301" spans="1:18" x14ac:dyDescent="0.25">
      <c r="A301">
        <f t="shared" si="23"/>
        <v>1</v>
      </c>
      <c r="B301" t="str">
        <f t="shared" si="24"/>
        <v/>
      </c>
      <c r="C301">
        <f t="shared" si="26"/>
        <v>1</v>
      </c>
      <c r="D301" s="4"/>
      <c r="E301" t="s">
        <v>18</v>
      </c>
      <c r="F301" t="str">
        <f>INDEX(Establishment!B$2:B$1005,MATCH($E301,Establishment!$A$2:$A$1005,0))</f>
        <v xml:space="preserve"> </v>
      </c>
      <c r="G301" t="str">
        <f>INDEX(Establishment!C$2:C$1005,MATCH($E301,Establishment!$A$2:$A$1005,0))</f>
        <v xml:space="preserve"> </v>
      </c>
      <c r="M301">
        <f t="shared" si="27"/>
        <v>0</v>
      </c>
      <c r="N301">
        <f t="shared" si="25"/>
        <v>0</v>
      </c>
      <c r="P301" t="e">
        <f>INDEX(Items!B$2:B$1032,MATCH($O301,Items!$A$2:$A$1032,0))</f>
        <v>#N/A</v>
      </c>
      <c r="Q301" t="e">
        <f>INDEX(Items!C$2:C$1032,MATCH($O301,Items!$A$2:$A$1032,0))</f>
        <v>#N/A</v>
      </c>
      <c r="R301" t="e">
        <f>INDEX(Items!D$2:D$1032,MATCH($O301,Items!$A$2:$A$1032,0))</f>
        <v>#N/A</v>
      </c>
    </row>
    <row r="302" spans="1:18" x14ac:dyDescent="0.25">
      <c r="A302">
        <f t="shared" si="23"/>
        <v>1</v>
      </c>
      <c r="B302" t="str">
        <f t="shared" si="24"/>
        <v/>
      </c>
      <c r="C302">
        <f t="shared" si="26"/>
        <v>1</v>
      </c>
      <c r="D302" s="4"/>
      <c r="E302" t="s">
        <v>18</v>
      </c>
      <c r="F302" t="str">
        <f>INDEX(Establishment!B$2:B$1005,MATCH($E302,Establishment!$A$2:$A$1005,0))</f>
        <v xml:space="preserve"> </v>
      </c>
      <c r="G302" t="str">
        <f>INDEX(Establishment!C$2:C$1005,MATCH($E302,Establishment!$A$2:$A$1005,0))</f>
        <v xml:space="preserve"> </v>
      </c>
      <c r="M302">
        <f t="shared" si="27"/>
        <v>0</v>
      </c>
      <c r="N302">
        <f t="shared" si="25"/>
        <v>0</v>
      </c>
      <c r="P302" t="e">
        <f>INDEX(Items!B$2:B$1032,MATCH($O302,Items!$A$2:$A$1032,0))</f>
        <v>#N/A</v>
      </c>
      <c r="Q302" t="e">
        <f>INDEX(Items!C$2:C$1032,MATCH($O302,Items!$A$2:$A$1032,0))</f>
        <v>#N/A</v>
      </c>
      <c r="R302" t="e">
        <f>INDEX(Items!D$2:D$1032,MATCH($O302,Items!$A$2:$A$1032,0))</f>
        <v>#N/A</v>
      </c>
    </row>
    <row r="303" spans="1:18" x14ac:dyDescent="0.25">
      <c r="A303">
        <f t="shared" si="23"/>
        <v>1</v>
      </c>
      <c r="B303" t="str">
        <f t="shared" si="24"/>
        <v/>
      </c>
      <c r="C303">
        <f t="shared" si="26"/>
        <v>1</v>
      </c>
      <c r="D303" s="4"/>
      <c r="E303" t="s">
        <v>18</v>
      </c>
      <c r="F303" t="str">
        <f>INDEX(Establishment!B$2:B$1005,MATCH($E303,Establishment!$A$2:$A$1005,0))</f>
        <v xml:space="preserve"> </v>
      </c>
      <c r="G303" t="str">
        <f>INDEX(Establishment!C$2:C$1005,MATCH($E303,Establishment!$A$2:$A$1005,0))</f>
        <v xml:space="preserve"> </v>
      </c>
      <c r="M303">
        <f t="shared" si="27"/>
        <v>0</v>
      </c>
      <c r="N303">
        <f t="shared" si="25"/>
        <v>0</v>
      </c>
      <c r="P303" t="e">
        <f>INDEX(Items!B$2:B$1032,MATCH($O303,Items!$A$2:$A$1032,0))</f>
        <v>#N/A</v>
      </c>
      <c r="Q303" t="e">
        <f>INDEX(Items!C$2:C$1032,MATCH($O303,Items!$A$2:$A$1032,0))</f>
        <v>#N/A</v>
      </c>
      <c r="R303" t="e">
        <f>INDEX(Items!D$2:D$1032,MATCH($O303,Items!$A$2:$A$1032,0))</f>
        <v>#N/A</v>
      </c>
    </row>
    <row r="304" spans="1:18" x14ac:dyDescent="0.25">
      <c r="A304">
        <f t="shared" si="23"/>
        <v>1</v>
      </c>
      <c r="B304" t="str">
        <f t="shared" si="24"/>
        <v/>
      </c>
      <c r="C304">
        <f t="shared" si="26"/>
        <v>1</v>
      </c>
      <c r="D304" s="4"/>
      <c r="E304" t="s">
        <v>18</v>
      </c>
      <c r="F304" t="str">
        <f>INDEX(Establishment!B$2:B$1005,MATCH($E304,Establishment!$A$2:$A$1005,0))</f>
        <v xml:space="preserve"> </v>
      </c>
      <c r="G304" t="str">
        <f>INDEX(Establishment!C$2:C$1005,MATCH($E304,Establishment!$A$2:$A$1005,0))</f>
        <v xml:space="preserve"> </v>
      </c>
      <c r="M304">
        <f t="shared" si="27"/>
        <v>0</v>
      </c>
      <c r="N304">
        <f t="shared" si="25"/>
        <v>0</v>
      </c>
      <c r="P304" t="e">
        <f>INDEX(Items!B$2:B$1032,MATCH($O304,Items!$A$2:$A$1032,0))</f>
        <v>#N/A</v>
      </c>
      <c r="Q304" t="e">
        <f>INDEX(Items!C$2:C$1032,MATCH($O304,Items!$A$2:$A$1032,0))</f>
        <v>#N/A</v>
      </c>
      <c r="R304" t="e">
        <f>INDEX(Items!D$2:D$1032,MATCH($O304,Items!$A$2:$A$1032,0))</f>
        <v>#N/A</v>
      </c>
    </row>
    <row r="305" spans="1:18" x14ac:dyDescent="0.25">
      <c r="A305">
        <f t="shared" si="23"/>
        <v>1</v>
      </c>
      <c r="B305" t="str">
        <f t="shared" si="24"/>
        <v/>
      </c>
      <c r="C305">
        <f t="shared" si="26"/>
        <v>1</v>
      </c>
      <c r="D305" s="4"/>
      <c r="E305" t="s">
        <v>18</v>
      </c>
      <c r="F305" t="str">
        <f>INDEX(Establishment!B$2:B$1005,MATCH($E305,Establishment!$A$2:$A$1005,0))</f>
        <v xml:space="preserve"> </v>
      </c>
      <c r="G305" t="str">
        <f>INDEX(Establishment!C$2:C$1005,MATCH($E305,Establishment!$A$2:$A$1005,0))</f>
        <v xml:space="preserve"> </v>
      </c>
      <c r="M305">
        <f t="shared" si="27"/>
        <v>0</v>
      </c>
      <c r="N305">
        <f t="shared" si="25"/>
        <v>0</v>
      </c>
      <c r="P305" t="e">
        <f>INDEX(Items!B$2:B$1032,MATCH($O305,Items!$A$2:$A$1032,0))</f>
        <v>#N/A</v>
      </c>
      <c r="Q305" t="e">
        <f>INDEX(Items!C$2:C$1032,MATCH($O305,Items!$A$2:$A$1032,0))</f>
        <v>#N/A</v>
      </c>
      <c r="R305" t="e">
        <f>INDEX(Items!D$2:D$1032,MATCH($O305,Items!$A$2:$A$1032,0))</f>
        <v>#N/A</v>
      </c>
    </row>
    <row r="306" spans="1:18" x14ac:dyDescent="0.25">
      <c r="A306">
        <f t="shared" si="23"/>
        <v>1</v>
      </c>
      <c r="B306" t="str">
        <f t="shared" si="24"/>
        <v/>
      </c>
      <c r="C306">
        <f t="shared" si="26"/>
        <v>1</v>
      </c>
      <c r="D306" s="4"/>
      <c r="E306" t="s">
        <v>18</v>
      </c>
      <c r="F306" t="str">
        <f>INDEX(Establishment!B$2:B$1005,MATCH($E306,Establishment!$A$2:$A$1005,0))</f>
        <v xml:space="preserve"> </v>
      </c>
      <c r="G306" t="str">
        <f>INDEX(Establishment!C$2:C$1005,MATCH($E306,Establishment!$A$2:$A$1005,0))</f>
        <v xml:space="preserve"> </v>
      </c>
      <c r="M306">
        <f t="shared" si="27"/>
        <v>0</v>
      </c>
      <c r="N306">
        <f t="shared" si="25"/>
        <v>0</v>
      </c>
      <c r="P306" t="e">
        <f>INDEX(Items!B$2:B$1032,MATCH($O306,Items!$A$2:$A$1032,0))</f>
        <v>#N/A</v>
      </c>
      <c r="Q306" t="e">
        <f>INDEX(Items!C$2:C$1032,MATCH($O306,Items!$A$2:$A$1032,0))</f>
        <v>#N/A</v>
      </c>
      <c r="R306" t="e">
        <f>INDEX(Items!D$2:D$1032,MATCH($O306,Items!$A$2:$A$1032,0))</f>
        <v>#N/A</v>
      </c>
    </row>
    <row r="307" spans="1:18" x14ac:dyDescent="0.25">
      <c r="A307">
        <f t="shared" si="23"/>
        <v>1</v>
      </c>
      <c r="B307" t="str">
        <f t="shared" si="24"/>
        <v/>
      </c>
      <c r="C307">
        <f t="shared" si="26"/>
        <v>1</v>
      </c>
      <c r="D307" s="4"/>
      <c r="E307" t="s">
        <v>18</v>
      </c>
      <c r="F307" t="str">
        <f>INDEX(Establishment!B$2:B$1005,MATCH($E307,Establishment!$A$2:$A$1005,0))</f>
        <v xml:space="preserve"> </v>
      </c>
      <c r="G307" t="str">
        <f>INDEX(Establishment!C$2:C$1005,MATCH($E307,Establishment!$A$2:$A$1005,0))</f>
        <v xml:space="preserve"> </v>
      </c>
      <c r="M307">
        <f t="shared" si="27"/>
        <v>0</v>
      </c>
      <c r="N307">
        <f t="shared" si="25"/>
        <v>0</v>
      </c>
      <c r="P307" t="e">
        <f>INDEX(Items!B$2:B$1032,MATCH($O307,Items!$A$2:$A$1032,0))</f>
        <v>#N/A</v>
      </c>
      <c r="Q307" t="e">
        <f>INDEX(Items!C$2:C$1032,MATCH($O307,Items!$A$2:$A$1032,0))</f>
        <v>#N/A</v>
      </c>
      <c r="R307" t="e">
        <f>INDEX(Items!D$2:D$1032,MATCH($O307,Items!$A$2:$A$1032,0))</f>
        <v>#N/A</v>
      </c>
    </row>
    <row r="308" spans="1:18" x14ac:dyDescent="0.25">
      <c r="A308">
        <f t="shared" si="23"/>
        <v>1</v>
      </c>
      <c r="B308" t="str">
        <f t="shared" si="24"/>
        <v/>
      </c>
      <c r="C308">
        <f t="shared" si="26"/>
        <v>1</v>
      </c>
      <c r="D308" s="4"/>
      <c r="E308" t="s">
        <v>18</v>
      </c>
      <c r="F308" t="str">
        <f>INDEX(Establishment!B$2:B$1005,MATCH($E308,Establishment!$A$2:$A$1005,0))</f>
        <v xml:space="preserve"> </v>
      </c>
      <c r="G308" t="str">
        <f>INDEX(Establishment!C$2:C$1005,MATCH($E308,Establishment!$A$2:$A$1005,0))</f>
        <v xml:space="preserve"> </v>
      </c>
      <c r="M308">
        <f t="shared" si="27"/>
        <v>0</v>
      </c>
      <c r="N308">
        <f t="shared" si="25"/>
        <v>0</v>
      </c>
      <c r="P308" t="e">
        <f>INDEX(Items!B$2:B$1032,MATCH($O308,Items!$A$2:$A$1032,0))</f>
        <v>#N/A</v>
      </c>
      <c r="Q308" t="e">
        <f>INDEX(Items!C$2:C$1032,MATCH($O308,Items!$A$2:$A$1032,0))</f>
        <v>#N/A</v>
      </c>
      <c r="R308" t="e">
        <f>INDEX(Items!D$2:D$1032,MATCH($O308,Items!$A$2:$A$1032,0))</f>
        <v>#N/A</v>
      </c>
    </row>
    <row r="309" spans="1:18" x14ac:dyDescent="0.25">
      <c r="A309">
        <f t="shared" si="23"/>
        <v>1</v>
      </c>
      <c r="B309" t="str">
        <f t="shared" si="24"/>
        <v/>
      </c>
      <c r="C309">
        <f t="shared" si="26"/>
        <v>1</v>
      </c>
      <c r="D309" s="4"/>
      <c r="E309" t="s">
        <v>18</v>
      </c>
      <c r="F309" t="str">
        <f>INDEX(Establishment!B$2:B$1005,MATCH($E309,Establishment!$A$2:$A$1005,0))</f>
        <v xml:space="preserve"> </v>
      </c>
      <c r="G309" t="str">
        <f>INDEX(Establishment!C$2:C$1005,MATCH($E309,Establishment!$A$2:$A$1005,0))</f>
        <v xml:space="preserve"> </v>
      </c>
      <c r="M309">
        <f t="shared" si="27"/>
        <v>0</v>
      </c>
      <c r="N309">
        <f t="shared" si="25"/>
        <v>0</v>
      </c>
      <c r="P309" t="e">
        <f>INDEX(Items!B$2:B$1032,MATCH($O309,Items!$A$2:$A$1032,0))</f>
        <v>#N/A</v>
      </c>
      <c r="Q309" t="e">
        <f>INDEX(Items!C$2:C$1032,MATCH($O309,Items!$A$2:$A$1032,0))</f>
        <v>#N/A</v>
      </c>
      <c r="R309" t="e">
        <f>INDEX(Items!D$2:D$1032,MATCH($O309,Items!$A$2:$A$1032,0))</f>
        <v>#N/A</v>
      </c>
    </row>
    <row r="310" spans="1:18" x14ac:dyDescent="0.25">
      <c r="A310">
        <f t="shared" si="23"/>
        <v>1</v>
      </c>
      <c r="B310" t="str">
        <f t="shared" si="24"/>
        <v/>
      </c>
      <c r="C310">
        <f t="shared" si="26"/>
        <v>1</v>
      </c>
      <c r="D310" s="4"/>
      <c r="E310" t="s">
        <v>18</v>
      </c>
      <c r="F310" t="str">
        <f>INDEX(Establishment!B$2:B$1005,MATCH($E310,Establishment!$A$2:$A$1005,0))</f>
        <v xml:space="preserve"> </v>
      </c>
      <c r="G310" t="str">
        <f>INDEX(Establishment!C$2:C$1005,MATCH($E310,Establishment!$A$2:$A$1005,0))</f>
        <v xml:space="preserve"> </v>
      </c>
      <c r="M310">
        <f t="shared" si="27"/>
        <v>0</v>
      </c>
      <c r="N310">
        <f t="shared" si="25"/>
        <v>0</v>
      </c>
      <c r="P310" t="e">
        <f>INDEX(Items!B$2:B$1032,MATCH($O310,Items!$A$2:$A$1032,0))</f>
        <v>#N/A</v>
      </c>
      <c r="Q310" t="e">
        <f>INDEX(Items!C$2:C$1032,MATCH($O310,Items!$A$2:$A$1032,0))</f>
        <v>#N/A</v>
      </c>
      <c r="R310" t="e">
        <f>INDEX(Items!D$2:D$1032,MATCH($O310,Items!$A$2:$A$1032,0))</f>
        <v>#N/A</v>
      </c>
    </row>
    <row r="311" spans="1:18" x14ac:dyDescent="0.25">
      <c r="A311">
        <f t="shared" si="23"/>
        <v>1</v>
      </c>
      <c r="B311" t="str">
        <f t="shared" si="24"/>
        <v/>
      </c>
      <c r="C311">
        <f t="shared" si="26"/>
        <v>1</v>
      </c>
      <c r="D311" s="4"/>
      <c r="E311" t="s">
        <v>18</v>
      </c>
      <c r="F311" t="str">
        <f>INDEX(Establishment!B$2:B$1005,MATCH($E311,Establishment!$A$2:$A$1005,0))</f>
        <v xml:space="preserve"> </v>
      </c>
      <c r="G311" t="str">
        <f>INDEX(Establishment!C$2:C$1005,MATCH($E311,Establishment!$A$2:$A$1005,0))</f>
        <v xml:space="preserve"> </v>
      </c>
      <c r="M311">
        <f t="shared" si="27"/>
        <v>0</v>
      </c>
      <c r="N311">
        <f t="shared" si="25"/>
        <v>0</v>
      </c>
      <c r="P311" t="e">
        <f>INDEX(Items!B$2:B$1032,MATCH($O311,Items!$A$2:$A$1032,0))</f>
        <v>#N/A</v>
      </c>
      <c r="Q311" t="e">
        <f>INDEX(Items!C$2:C$1032,MATCH($O311,Items!$A$2:$A$1032,0))</f>
        <v>#N/A</v>
      </c>
      <c r="R311" t="e">
        <f>INDEX(Items!D$2:D$1032,MATCH($O311,Items!$A$2:$A$1032,0))</f>
        <v>#N/A</v>
      </c>
    </row>
    <row r="312" spans="1:18" x14ac:dyDescent="0.25">
      <c r="A312">
        <f t="shared" si="23"/>
        <v>1</v>
      </c>
      <c r="B312" t="str">
        <f t="shared" si="24"/>
        <v/>
      </c>
      <c r="C312">
        <f t="shared" si="26"/>
        <v>1</v>
      </c>
      <c r="D312" s="4"/>
      <c r="E312" t="s">
        <v>18</v>
      </c>
      <c r="F312" t="str">
        <f>INDEX(Establishment!B$2:B$1005,MATCH($E312,Establishment!$A$2:$A$1005,0))</f>
        <v xml:space="preserve"> </v>
      </c>
      <c r="G312" t="str">
        <f>INDEX(Establishment!C$2:C$1005,MATCH($E312,Establishment!$A$2:$A$1005,0))</f>
        <v xml:space="preserve"> </v>
      </c>
      <c r="M312">
        <f t="shared" si="27"/>
        <v>0</v>
      </c>
      <c r="N312">
        <f t="shared" si="25"/>
        <v>0</v>
      </c>
      <c r="P312" t="e">
        <f>INDEX(Items!B$2:B$1032,MATCH($O312,Items!$A$2:$A$1032,0))</f>
        <v>#N/A</v>
      </c>
      <c r="Q312" t="e">
        <f>INDEX(Items!C$2:C$1032,MATCH($O312,Items!$A$2:$A$1032,0))</f>
        <v>#N/A</v>
      </c>
      <c r="R312" t="e">
        <f>INDEX(Items!D$2:D$1032,MATCH($O312,Items!$A$2:$A$1032,0))</f>
        <v>#N/A</v>
      </c>
    </row>
    <row r="313" spans="1:18" x14ac:dyDescent="0.25">
      <c r="A313">
        <f t="shared" si="23"/>
        <v>1</v>
      </c>
      <c r="B313" t="str">
        <f t="shared" si="24"/>
        <v/>
      </c>
      <c r="C313">
        <f t="shared" si="26"/>
        <v>1</v>
      </c>
      <c r="D313" s="4"/>
      <c r="E313" t="s">
        <v>18</v>
      </c>
      <c r="F313" t="str">
        <f>INDEX(Establishment!B$2:B$1005,MATCH($E313,Establishment!$A$2:$A$1005,0))</f>
        <v xml:space="preserve"> </v>
      </c>
      <c r="G313" t="str">
        <f>INDEX(Establishment!C$2:C$1005,MATCH($E313,Establishment!$A$2:$A$1005,0))</f>
        <v xml:space="preserve"> </v>
      </c>
      <c r="M313">
        <f t="shared" si="27"/>
        <v>0</v>
      </c>
      <c r="N313">
        <f t="shared" si="25"/>
        <v>0</v>
      </c>
      <c r="P313" t="e">
        <f>INDEX(Items!B$2:B$1032,MATCH($O313,Items!$A$2:$A$1032,0))</f>
        <v>#N/A</v>
      </c>
      <c r="Q313" t="e">
        <f>INDEX(Items!C$2:C$1032,MATCH($O313,Items!$A$2:$A$1032,0))</f>
        <v>#N/A</v>
      </c>
      <c r="R313" t="e">
        <f>INDEX(Items!D$2:D$1032,MATCH($O313,Items!$A$2:$A$1032,0))</f>
        <v>#N/A</v>
      </c>
    </row>
    <row r="314" spans="1:18" x14ac:dyDescent="0.25">
      <c r="A314">
        <f t="shared" si="23"/>
        <v>1</v>
      </c>
      <c r="B314" t="str">
        <f t="shared" si="24"/>
        <v/>
      </c>
      <c r="C314">
        <f t="shared" si="26"/>
        <v>1</v>
      </c>
      <c r="D314" s="4"/>
      <c r="E314" t="s">
        <v>18</v>
      </c>
      <c r="F314" t="str">
        <f>INDEX(Establishment!B$2:B$1005,MATCH($E314,Establishment!$A$2:$A$1005,0))</f>
        <v xml:space="preserve"> </v>
      </c>
      <c r="G314" t="str">
        <f>INDEX(Establishment!C$2:C$1005,MATCH($E314,Establishment!$A$2:$A$1005,0))</f>
        <v xml:space="preserve"> </v>
      </c>
      <c r="M314">
        <f t="shared" si="27"/>
        <v>0</v>
      </c>
      <c r="N314">
        <f t="shared" si="25"/>
        <v>0</v>
      </c>
      <c r="P314" t="e">
        <f>INDEX(Items!B$2:B$1032,MATCH($O314,Items!$A$2:$A$1032,0))</f>
        <v>#N/A</v>
      </c>
      <c r="Q314" t="e">
        <f>INDEX(Items!C$2:C$1032,MATCH($O314,Items!$A$2:$A$1032,0))</f>
        <v>#N/A</v>
      </c>
      <c r="R314" t="e">
        <f>INDEX(Items!D$2:D$1032,MATCH($O314,Items!$A$2:$A$1032,0))</f>
        <v>#N/A</v>
      </c>
    </row>
    <row r="315" spans="1:18" x14ac:dyDescent="0.25">
      <c r="A315">
        <f t="shared" si="23"/>
        <v>1</v>
      </c>
      <c r="B315" t="str">
        <f t="shared" si="24"/>
        <v/>
      </c>
      <c r="C315">
        <f t="shared" si="26"/>
        <v>1</v>
      </c>
      <c r="D315" s="4"/>
      <c r="E315" t="s">
        <v>18</v>
      </c>
      <c r="F315" t="str">
        <f>INDEX(Establishment!B$2:B$1005,MATCH($E315,Establishment!$A$2:$A$1005,0))</f>
        <v xml:space="preserve"> </v>
      </c>
      <c r="G315" t="str">
        <f>INDEX(Establishment!C$2:C$1005,MATCH($E315,Establishment!$A$2:$A$1005,0))</f>
        <v xml:space="preserve"> </v>
      </c>
      <c r="M315">
        <f t="shared" si="27"/>
        <v>0</v>
      </c>
      <c r="N315">
        <f t="shared" si="25"/>
        <v>0</v>
      </c>
      <c r="P315" t="e">
        <f>INDEX(Items!B$2:B$1032,MATCH($O315,Items!$A$2:$A$1032,0))</f>
        <v>#N/A</v>
      </c>
      <c r="Q315" t="e">
        <f>INDEX(Items!C$2:C$1032,MATCH($O315,Items!$A$2:$A$1032,0))</f>
        <v>#N/A</v>
      </c>
      <c r="R315" t="e">
        <f>INDEX(Items!D$2:D$1032,MATCH($O315,Items!$A$2:$A$1032,0))</f>
        <v>#N/A</v>
      </c>
    </row>
    <row r="316" spans="1:18" x14ac:dyDescent="0.25">
      <c r="A316">
        <f t="shared" si="23"/>
        <v>1</v>
      </c>
      <c r="B316" t="str">
        <f t="shared" si="24"/>
        <v/>
      </c>
      <c r="C316">
        <f t="shared" si="26"/>
        <v>1</v>
      </c>
      <c r="D316" s="4"/>
      <c r="E316" t="s">
        <v>18</v>
      </c>
      <c r="F316" t="str">
        <f>INDEX(Establishment!B$2:B$1005,MATCH($E316,Establishment!$A$2:$A$1005,0))</f>
        <v xml:space="preserve"> </v>
      </c>
      <c r="G316" t="str">
        <f>INDEX(Establishment!C$2:C$1005,MATCH($E316,Establishment!$A$2:$A$1005,0))</f>
        <v xml:space="preserve"> </v>
      </c>
      <c r="M316">
        <f t="shared" si="27"/>
        <v>0</v>
      </c>
      <c r="N316">
        <f t="shared" si="25"/>
        <v>0</v>
      </c>
      <c r="P316" t="e">
        <f>INDEX(Items!B$2:B$1032,MATCH($O316,Items!$A$2:$A$1032,0))</f>
        <v>#N/A</v>
      </c>
      <c r="Q316" t="e">
        <f>INDEX(Items!C$2:C$1032,MATCH($O316,Items!$A$2:$A$1032,0))</f>
        <v>#N/A</v>
      </c>
      <c r="R316" t="e">
        <f>INDEX(Items!D$2:D$1032,MATCH($O316,Items!$A$2:$A$1032,0))</f>
        <v>#N/A</v>
      </c>
    </row>
    <row r="317" spans="1:18" x14ac:dyDescent="0.25">
      <c r="A317">
        <f t="shared" si="23"/>
        <v>1</v>
      </c>
      <c r="B317" t="str">
        <f t="shared" si="24"/>
        <v/>
      </c>
      <c r="C317">
        <f t="shared" si="26"/>
        <v>1</v>
      </c>
      <c r="D317" s="4"/>
      <c r="E317" t="s">
        <v>18</v>
      </c>
      <c r="F317" t="str">
        <f>INDEX(Establishment!B$2:B$1005,MATCH($E317,Establishment!$A$2:$A$1005,0))</f>
        <v xml:space="preserve"> </v>
      </c>
      <c r="G317" t="str">
        <f>INDEX(Establishment!C$2:C$1005,MATCH($E317,Establishment!$A$2:$A$1005,0))</f>
        <v xml:space="preserve"> </v>
      </c>
      <c r="M317">
        <f t="shared" si="27"/>
        <v>0</v>
      </c>
      <c r="N317">
        <f t="shared" si="25"/>
        <v>0</v>
      </c>
      <c r="P317" t="e">
        <f>INDEX(Items!B$2:B$1032,MATCH($O317,Items!$A$2:$A$1032,0))</f>
        <v>#N/A</v>
      </c>
      <c r="Q317" t="e">
        <f>INDEX(Items!C$2:C$1032,MATCH($O317,Items!$A$2:$A$1032,0))</f>
        <v>#N/A</v>
      </c>
      <c r="R317" t="e">
        <f>INDEX(Items!D$2:D$1032,MATCH($O317,Items!$A$2:$A$1032,0))</f>
        <v>#N/A</v>
      </c>
    </row>
    <row r="318" spans="1:18" x14ac:dyDescent="0.25">
      <c r="A318">
        <f t="shared" si="23"/>
        <v>1</v>
      </c>
      <c r="B318" t="str">
        <f t="shared" si="24"/>
        <v/>
      </c>
      <c r="C318">
        <f t="shared" si="26"/>
        <v>1</v>
      </c>
      <c r="D318" s="4"/>
      <c r="E318" t="s">
        <v>18</v>
      </c>
      <c r="F318" t="str">
        <f>INDEX(Establishment!B$2:B$1005,MATCH($E318,Establishment!$A$2:$A$1005,0))</f>
        <v xml:space="preserve"> </v>
      </c>
      <c r="G318" t="str">
        <f>INDEX(Establishment!C$2:C$1005,MATCH($E318,Establishment!$A$2:$A$1005,0))</f>
        <v xml:space="preserve"> </v>
      </c>
      <c r="M318">
        <f t="shared" si="27"/>
        <v>0</v>
      </c>
      <c r="N318">
        <f t="shared" si="25"/>
        <v>0</v>
      </c>
      <c r="P318" t="e">
        <f>INDEX(Items!B$2:B$1032,MATCH($O318,Items!$A$2:$A$1032,0))</f>
        <v>#N/A</v>
      </c>
      <c r="Q318" t="e">
        <f>INDEX(Items!C$2:C$1032,MATCH($O318,Items!$A$2:$A$1032,0))</f>
        <v>#N/A</v>
      </c>
      <c r="R318" t="e">
        <f>INDEX(Items!D$2:D$1032,MATCH($O318,Items!$A$2:$A$1032,0))</f>
        <v>#N/A</v>
      </c>
    </row>
    <row r="319" spans="1:18" x14ac:dyDescent="0.25">
      <c r="A319">
        <f t="shared" si="23"/>
        <v>1</v>
      </c>
      <c r="B319" t="str">
        <f t="shared" si="24"/>
        <v/>
      </c>
      <c r="C319">
        <f t="shared" si="26"/>
        <v>1</v>
      </c>
      <c r="D319" s="4"/>
      <c r="E319" t="s">
        <v>18</v>
      </c>
      <c r="F319" t="str">
        <f>INDEX(Establishment!B$2:B$1005,MATCH($E319,Establishment!$A$2:$A$1005,0))</f>
        <v xml:space="preserve"> </v>
      </c>
      <c r="G319" t="str">
        <f>INDEX(Establishment!C$2:C$1005,MATCH($E319,Establishment!$A$2:$A$1005,0))</f>
        <v xml:space="preserve"> </v>
      </c>
      <c r="M319">
        <f t="shared" si="27"/>
        <v>0</v>
      </c>
      <c r="N319">
        <f t="shared" si="25"/>
        <v>0</v>
      </c>
      <c r="P319" t="e">
        <f>INDEX(Items!B$2:B$1032,MATCH($O319,Items!$A$2:$A$1032,0))</f>
        <v>#N/A</v>
      </c>
      <c r="Q319" t="e">
        <f>INDEX(Items!C$2:C$1032,MATCH($O319,Items!$A$2:$A$1032,0))</f>
        <v>#N/A</v>
      </c>
      <c r="R319" t="e">
        <f>INDEX(Items!D$2:D$1032,MATCH($O319,Items!$A$2:$A$1032,0))</f>
        <v>#N/A</v>
      </c>
    </row>
    <row r="320" spans="1:18" x14ac:dyDescent="0.25">
      <c r="A320">
        <f t="shared" si="23"/>
        <v>1</v>
      </c>
      <c r="B320" t="str">
        <f t="shared" si="24"/>
        <v/>
      </c>
      <c r="C320">
        <f t="shared" si="26"/>
        <v>1</v>
      </c>
      <c r="D320" s="4"/>
      <c r="E320" t="s">
        <v>18</v>
      </c>
      <c r="F320" t="str">
        <f>INDEX(Establishment!B$2:B$1005,MATCH($E320,Establishment!$A$2:$A$1005,0))</f>
        <v xml:space="preserve"> </v>
      </c>
      <c r="G320" t="str">
        <f>INDEX(Establishment!C$2:C$1005,MATCH($E320,Establishment!$A$2:$A$1005,0))</f>
        <v xml:space="preserve"> </v>
      </c>
      <c r="M320">
        <f t="shared" si="27"/>
        <v>0</v>
      </c>
      <c r="N320">
        <f t="shared" si="25"/>
        <v>0</v>
      </c>
      <c r="P320" t="e">
        <f>INDEX(Items!B$2:B$1032,MATCH($O320,Items!$A$2:$A$1032,0))</f>
        <v>#N/A</v>
      </c>
      <c r="Q320" t="e">
        <f>INDEX(Items!C$2:C$1032,MATCH($O320,Items!$A$2:$A$1032,0))</f>
        <v>#N/A</v>
      </c>
      <c r="R320" t="e">
        <f>INDEX(Items!D$2:D$1032,MATCH($O320,Items!$A$2:$A$1032,0))</f>
        <v>#N/A</v>
      </c>
    </row>
    <row r="321" spans="1:18" x14ac:dyDescent="0.25">
      <c r="A321">
        <f t="shared" si="23"/>
        <v>1</v>
      </c>
      <c r="B321" t="str">
        <f t="shared" si="24"/>
        <v/>
      </c>
      <c r="C321">
        <f t="shared" si="26"/>
        <v>1</v>
      </c>
      <c r="D321" s="4"/>
      <c r="E321" t="s">
        <v>18</v>
      </c>
      <c r="F321" t="str">
        <f>INDEX(Establishment!B$2:B$1005,MATCH($E321,Establishment!$A$2:$A$1005,0))</f>
        <v xml:space="preserve"> </v>
      </c>
      <c r="G321" t="str">
        <f>INDEX(Establishment!C$2:C$1005,MATCH($E321,Establishment!$A$2:$A$1005,0))</f>
        <v xml:space="preserve"> </v>
      </c>
      <c r="M321">
        <f t="shared" si="27"/>
        <v>0</v>
      </c>
      <c r="N321">
        <f t="shared" si="25"/>
        <v>0</v>
      </c>
      <c r="P321" t="e">
        <f>INDEX(Items!B$2:B$1032,MATCH($O321,Items!$A$2:$A$1032,0))</f>
        <v>#N/A</v>
      </c>
      <c r="Q321" t="e">
        <f>INDEX(Items!C$2:C$1032,MATCH($O321,Items!$A$2:$A$1032,0))</f>
        <v>#N/A</v>
      </c>
      <c r="R321" t="e">
        <f>INDEX(Items!D$2:D$1032,MATCH($O321,Items!$A$2:$A$1032,0))</f>
        <v>#N/A</v>
      </c>
    </row>
    <row r="322" spans="1:18" x14ac:dyDescent="0.25">
      <c r="A322">
        <f t="shared" ref="A322:A385" si="28">IF(OR(D322&lt;&gt;D321,D322=""),1,IF(NOT(AND(E322=E321,F322=F321,G322=G321)),A321+1,IF(OR(H322="",AND(H322&lt;&gt;"",H322&lt;&gt;H321,H321&lt;&gt;"")),A321,A321+1)))</f>
        <v>1</v>
      </c>
      <c r="B322" t="str">
        <f t="shared" ref="B322:B385" si="29">IF(D322&lt;&gt;"",TEXT(D322,"YYYYMMDD")&amp;CHAR(64+A322),"")</f>
        <v/>
      </c>
      <c r="C322">
        <f t="shared" si="26"/>
        <v>1</v>
      </c>
      <c r="D322" s="4"/>
      <c r="E322" t="s">
        <v>18</v>
      </c>
      <c r="F322" t="str">
        <f>INDEX(Establishment!B$2:B$1005,MATCH($E322,Establishment!$A$2:$A$1005,0))</f>
        <v xml:space="preserve"> </v>
      </c>
      <c r="G322" t="str">
        <f>INDEX(Establishment!C$2:C$1005,MATCH($E322,Establishment!$A$2:$A$1005,0))</f>
        <v xml:space="preserve"> </v>
      </c>
      <c r="M322">
        <f t="shared" si="27"/>
        <v>0</v>
      </c>
      <c r="N322">
        <f t="shared" si="25"/>
        <v>0</v>
      </c>
      <c r="P322" t="e">
        <f>INDEX(Items!B$2:B$1032,MATCH($O322,Items!$A$2:$A$1032,0))</f>
        <v>#N/A</v>
      </c>
      <c r="Q322" t="e">
        <f>INDEX(Items!C$2:C$1032,MATCH($O322,Items!$A$2:$A$1032,0))</f>
        <v>#N/A</v>
      </c>
      <c r="R322" t="e">
        <f>INDEX(Items!D$2:D$1032,MATCH($O322,Items!$A$2:$A$1032,0))</f>
        <v>#N/A</v>
      </c>
    </row>
    <row r="323" spans="1:18" x14ac:dyDescent="0.25">
      <c r="A323">
        <f t="shared" si="28"/>
        <v>1</v>
      </c>
      <c r="B323" t="str">
        <f t="shared" si="29"/>
        <v/>
      </c>
      <c r="C323">
        <f t="shared" si="26"/>
        <v>1</v>
      </c>
      <c r="D323" s="4"/>
      <c r="E323" t="s">
        <v>18</v>
      </c>
      <c r="F323" t="str">
        <f>INDEX(Establishment!B$2:B$1005,MATCH($E323,Establishment!$A$2:$A$1005,0))</f>
        <v xml:space="preserve"> </v>
      </c>
      <c r="G323" t="str">
        <f>INDEX(Establishment!C$2:C$1005,MATCH($E323,Establishment!$A$2:$A$1005,0))</f>
        <v xml:space="preserve"> </v>
      </c>
      <c r="M323">
        <f t="shared" si="27"/>
        <v>0</v>
      </c>
      <c r="N323">
        <f t="shared" ref="N323:N386" si="30">IF(B323=B322,N322+M323,M323)</f>
        <v>0</v>
      </c>
      <c r="P323" t="e">
        <f>INDEX(Items!B$2:B$1032,MATCH($O323,Items!$A$2:$A$1032,0))</f>
        <v>#N/A</v>
      </c>
      <c r="Q323" t="e">
        <f>INDEX(Items!C$2:C$1032,MATCH($O323,Items!$A$2:$A$1032,0))</f>
        <v>#N/A</v>
      </c>
      <c r="R323" t="e">
        <f>INDEX(Items!D$2:D$1032,MATCH($O323,Items!$A$2:$A$1032,0))</f>
        <v>#N/A</v>
      </c>
    </row>
    <row r="324" spans="1:18" x14ac:dyDescent="0.25">
      <c r="A324">
        <f t="shared" si="28"/>
        <v>1</v>
      </c>
      <c r="B324" t="str">
        <f t="shared" si="29"/>
        <v/>
      </c>
      <c r="C324">
        <f t="shared" si="26"/>
        <v>1</v>
      </c>
      <c r="D324" s="4"/>
      <c r="E324" t="s">
        <v>18</v>
      </c>
      <c r="F324" t="str">
        <f>INDEX(Establishment!B$2:B$1005,MATCH($E324,Establishment!$A$2:$A$1005,0))</f>
        <v xml:space="preserve"> </v>
      </c>
      <c r="G324" t="str">
        <f>INDEX(Establishment!C$2:C$1005,MATCH($E324,Establishment!$A$2:$A$1005,0))</f>
        <v xml:space="preserve"> </v>
      </c>
      <c r="M324">
        <f t="shared" si="27"/>
        <v>0</v>
      </c>
      <c r="N324">
        <f t="shared" si="30"/>
        <v>0</v>
      </c>
      <c r="P324" t="e">
        <f>INDEX(Items!B$2:B$1032,MATCH($O324,Items!$A$2:$A$1032,0))</f>
        <v>#N/A</v>
      </c>
      <c r="Q324" t="e">
        <f>INDEX(Items!C$2:C$1032,MATCH($O324,Items!$A$2:$A$1032,0))</f>
        <v>#N/A</v>
      </c>
      <c r="R324" t="e">
        <f>INDEX(Items!D$2:D$1032,MATCH($O324,Items!$A$2:$A$1032,0))</f>
        <v>#N/A</v>
      </c>
    </row>
    <row r="325" spans="1:18" x14ac:dyDescent="0.25">
      <c r="A325">
        <f t="shared" si="28"/>
        <v>1</v>
      </c>
      <c r="B325" t="str">
        <f t="shared" si="29"/>
        <v/>
      </c>
      <c r="C325">
        <f t="shared" si="26"/>
        <v>1</v>
      </c>
      <c r="D325" s="4"/>
      <c r="E325" t="s">
        <v>18</v>
      </c>
      <c r="F325" t="str">
        <f>INDEX(Establishment!B$2:B$1005,MATCH($E325,Establishment!$A$2:$A$1005,0))</f>
        <v xml:space="preserve"> </v>
      </c>
      <c r="G325" t="str">
        <f>INDEX(Establishment!C$2:C$1005,MATCH($E325,Establishment!$A$2:$A$1005,0))</f>
        <v xml:space="preserve"> </v>
      </c>
      <c r="M325">
        <f t="shared" si="27"/>
        <v>0</v>
      </c>
      <c r="N325">
        <f t="shared" si="30"/>
        <v>0</v>
      </c>
      <c r="P325" t="e">
        <f>INDEX(Items!B$2:B$1032,MATCH($O325,Items!$A$2:$A$1032,0))</f>
        <v>#N/A</v>
      </c>
      <c r="Q325" t="e">
        <f>INDEX(Items!C$2:C$1032,MATCH($O325,Items!$A$2:$A$1032,0))</f>
        <v>#N/A</v>
      </c>
      <c r="R325" t="e">
        <f>INDEX(Items!D$2:D$1032,MATCH($O325,Items!$A$2:$A$1032,0))</f>
        <v>#N/A</v>
      </c>
    </row>
    <row r="326" spans="1:18" x14ac:dyDescent="0.25">
      <c r="A326">
        <f t="shared" si="28"/>
        <v>1</v>
      </c>
      <c r="B326" t="str">
        <f t="shared" si="29"/>
        <v/>
      </c>
      <c r="C326">
        <f t="shared" si="26"/>
        <v>1</v>
      </c>
      <c r="D326" s="4"/>
      <c r="E326" t="s">
        <v>18</v>
      </c>
      <c r="F326" t="str">
        <f>INDEX(Establishment!B$2:B$1005,MATCH($E326,Establishment!$A$2:$A$1005,0))</f>
        <v xml:space="preserve"> </v>
      </c>
      <c r="G326" t="str">
        <f>INDEX(Establishment!C$2:C$1005,MATCH($E326,Establishment!$A$2:$A$1005,0))</f>
        <v xml:space="preserve"> </v>
      </c>
      <c r="M326">
        <f t="shared" si="27"/>
        <v>0</v>
      </c>
      <c r="N326">
        <f t="shared" si="30"/>
        <v>0</v>
      </c>
      <c r="P326" t="e">
        <f>INDEX(Items!B$2:B$1032,MATCH($O326,Items!$A$2:$A$1032,0))</f>
        <v>#N/A</v>
      </c>
      <c r="Q326" t="e">
        <f>INDEX(Items!C$2:C$1032,MATCH($O326,Items!$A$2:$A$1032,0))</f>
        <v>#N/A</v>
      </c>
      <c r="R326" t="e">
        <f>INDEX(Items!D$2:D$1032,MATCH($O326,Items!$A$2:$A$1032,0))</f>
        <v>#N/A</v>
      </c>
    </row>
    <row r="327" spans="1:18" x14ac:dyDescent="0.25">
      <c r="A327">
        <f t="shared" si="28"/>
        <v>1</v>
      </c>
      <c r="B327" t="str">
        <f t="shared" si="29"/>
        <v/>
      </c>
      <c r="C327">
        <f t="shared" si="26"/>
        <v>1</v>
      </c>
      <c r="D327" s="4"/>
      <c r="E327" t="s">
        <v>18</v>
      </c>
      <c r="F327" t="str">
        <f>INDEX(Establishment!B$2:B$1005,MATCH($E327,Establishment!$A$2:$A$1005,0))</f>
        <v xml:space="preserve"> </v>
      </c>
      <c r="G327" t="str">
        <f>INDEX(Establishment!C$2:C$1005,MATCH($E327,Establishment!$A$2:$A$1005,0))</f>
        <v xml:space="preserve"> </v>
      </c>
      <c r="M327">
        <f t="shared" si="27"/>
        <v>0</v>
      </c>
      <c r="N327">
        <f t="shared" si="30"/>
        <v>0</v>
      </c>
      <c r="P327" t="e">
        <f>INDEX(Items!B$2:B$1032,MATCH($O327,Items!$A$2:$A$1032,0))</f>
        <v>#N/A</v>
      </c>
      <c r="Q327" t="e">
        <f>INDEX(Items!C$2:C$1032,MATCH($O327,Items!$A$2:$A$1032,0))</f>
        <v>#N/A</v>
      </c>
      <c r="R327" t="e">
        <f>INDEX(Items!D$2:D$1032,MATCH($O327,Items!$A$2:$A$1032,0))</f>
        <v>#N/A</v>
      </c>
    </row>
    <row r="328" spans="1:18" x14ac:dyDescent="0.25">
      <c r="A328">
        <f t="shared" si="28"/>
        <v>1</v>
      </c>
      <c r="B328" t="str">
        <f t="shared" si="29"/>
        <v/>
      </c>
      <c r="C328">
        <f t="shared" si="26"/>
        <v>1</v>
      </c>
      <c r="D328" s="4"/>
      <c r="E328" t="s">
        <v>18</v>
      </c>
      <c r="F328" t="str">
        <f>INDEX(Establishment!B$2:B$1005,MATCH($E328,Establishment!$A$2:$A$1005,0))</f>
        <v xml:space="preserve"> </v>
      </c>
      <c r="G328" t="str">
        <f>INDEX(Establishment!C$2:C$1005,MATCH($E328,Establishment!$A$2:$A$1005,0))</f>
        <v xml:space="preserve"> </v>
      </c>
      <c r="M328">
        <f t="shared" si="27"/>
        <v>0</v>
      </c>
      <c r="N328">
        <f t="shared" si="30"/>
        <v>0</v>
      </c>
      <c r="P328" t="e">
        <f>INDEX(Items!B$2:B$1032,MATCH($O328,Items!$A$2:$A$1032,0))</f>
        <v>#N/A</v>
      </c>
      <c r="Q328" t="e">
        <f>INDEX(Items!C$2:C$1032,MATCH($O328,Items!$A$2:$A$1032,0))</f>
        <v>#N/A</v>
      </c>
      <c r="R328" t="e">
        <f>INDEX(Items!D$2:D$1032,MATCH($O328,Items!$A$2:$A$1032,0))</f>
        <v>#N/A</v>
      </c>
    </row>
    <row r="329" spans="1:18" x14ac:dyDescent="0.25">
      <c r="A329">
        <f t="shared" si="28"/>
        <v>1</v>
      </c>
      <c r="B329" t="str">
        <f t="shared" si="29"/>
        <v/>
      </c>
      <c r="C329">
        <f t="shared" si="26"/>
        <v>1</v>
      </c>
      <c r="D329" s="4"/>
      <c r="E329" t="s">
        <v>18</v>
      </c>
      <c r="F329" t="str">
        <f>INDEX(Establishment!B$2:B$1005,MATCH($E329,Establishment!$A$2:$A$1005,0))</f>
        <v xml:space="preserve"> </v>
      </c>
      <c r="G329" t="str">
        <f>INDEX(Establishment!C$2:C$1005,MATCH($E329,Establishment!$A$2:$A$1005,0))</f>
        <v xml:space="preserve"> </v>
      </c>
      <c r="M329">
        <f t="shared" si="27"/>
        <v>0</v>
      </c>
      <c r="N329">
        <f t="shared" si="30"/>
        <v>0</v>
      </c>
      <c r="P329" t="e">
        <f>INDEX(Items!B$2:B$1032,MATCH($O329,Items!$A$2:$A$1032,0))</f>
        <v>#N/A</v>
      </c>
      <c r="Q329" t="e">
        <f>INDEX(Items!C$2:C$1032,MATCH($O329,Items!$A$2:$A$1032,0))</f>
        <v>#N/A</v>
      </c>
      <c r="R329" t="e">
        <f>INDEX(Items!D$2:D$1032,MATCH($O329,Items!$A$2:$A$1032,0))</f>
        <v>#N/A</v>
      </c>
    </row>
    <row r="330" spans="1:18" x14ac:dyDescent="0.25">
      <c r="A330">
        <f t="shared" si="28"/>
        <v>1</v>
      </c>
      <c r="B330" t="str">
        <f t="shared" si="29"/>
        <v/>
      </c>
      <c r="C330">
        <f t="shared" ref="C330:C393" si="31">IF(OR(B330="",B330&lt;&gt;B329),1,C329+1)</f>
        <v>1</v>
      </c>
      <c r="D330" s="4"/>
      <c r="E330" t="s">
        <v>18</v>
      </c>
      <c r="F330" t="str">
        <f>INDEX(Establishment!B$2:B$1005,MATCH($E330,Establishment!$A$2:$A$1005,0))</f>
        <v xml:space="preserve"> </v>
      </c>
      <c r="G330" t="str">
        <f>INDEX(Establishment!C$2:C$1005,MATCH($E330,Establishment!$A$2:$A$1005,0))</f>
        <v xml:space="preserve"> </v>
      </c>
      <c r="M330">
        <f t="shared" ref="M330:M393" si="32">K330*L330</f>
        <v>0</v>
      </c>
      <c r="N330">
        <f t="shared" si="30"/>
        <v>0</v>
      </c>
      <c r="P330" t="e">
        <f>INDEX(Items!B$2:B$1032,MATCH($O330,Items!$A$2:$A$1032,0))</f>
        <v>#N/A</v>
      </c>
      <c r="Q330" t="e">
        <f>INDEX(Items!C$2:C$1032,MATCH($O330,Items!$A$2:$A$1032,0))</f>
        <v>#N/A</v>
      </c>
      <c r="R330" t="e">
        <f>INDEX(Items!D$2:D$1032,MATCH($O330,Items!$A$2:$A$1032,0))</f>
        <v>#N/A</v>
      </c>
    </row>
    <row r="331" spans="1:18" x14ac:dyDescent="0.25">
      <c r="A331">
        <f t="shared" si="28"/>
        <v>1</v>
      </c>
      <c r="B331" t="str">
        <f t="shared" si="29"/>
        <v/>
      </c>
      <c r="C331">
        <f t="shared" si="31"/>
        <v>1</v>
      </c>
      <c r="D331" s="4"/>
      <c r="E331" t="s">
        <v>18</v>
      </c>
      <c r="F331" t="str">
        <f>INDEX(Establishment!B$2:B$1005,MATCH($E331,Establishment!$A$2:$A$1005,0))</f>
        <v xml:space="preserve"> </v>
      </c>
      <c r="G331" t="str">
        <f>INDEX(Establishment!C$2:C$1005,MATCH($E331,Establishment!$A$2:$A$1005,0))</f>
        <v xml:space="preserve"> </v>
      </c>
      <c r="M331">
        <f t="shared" si="32"/>
        <v>0</v>
      </c>
      <c r="N331">
        <f t="shared" si="30"/>
        <v>0</v>
      </c>
      <c r="P331" t="e">
        <f>INDEX(Items!B$2:B$1032,MATCH($O331,Items!$A$2:$A$1032,0))</f>
        <v>#N/A</v>
      </c>
      <c r="Q331" t="e">
        <f>INDEX(Items!C$2:C$1032,MATCH($O331,Items!$A$2:$A$1032,0))</f>
        <v>#N/A</v>
      </c>
      <c r="R331" t="e">
        <f>INDEX(Items!D$2:D$1032,MATCH($O331,Items!$A$2:$A$1032,0))</f>
        <v>#N/A</v>
      </c>
    </row>
    <row r="332" spans="1:18" x14ac:dyDescent="0.25">
      <c r="A332">
        <f t="shared" si="28"/>
        <v>1</v>
      </c>
      <c r="B332" t="str">
        <f t="shared" si="29"/>
        <v/>
      </c>
      <c r="C332">
        <f t="shared" si="31"/>
        <v>1</v>
      </c>
      <c r="D332" s="4"/>
      <c r="E332" t="s">
        <v>18</v>
      </c>
      <c r="F332" t="str">
        <f>INDEX(Establishment!B$2:B$1005,MATCH($E332,Establishment!$A$2:$A$1005,0))</f>
        <v xml:space="preserve"> </v>
      </c>
      <c r="G332" t="str">
        <f>INDEX(Establishment!C$2:C$1005,MATCH($E332,Establishment!$A$2:$A$1005,0))</f>
        <v xml:space="preserve"> </v>
      </c>
      <c r="M332">
        <f t="shared" si="32"/>
        <v>0</v>
      </c>
      <c r="N332">
        <f t="shared" si="30"/>
        <v>0</v>
      </c>
      <c r="P332" t="e">
        <f>INDEX(Items!B$2:B$1032,MATCH($O332,Items!$A$2:$A$1032,0))</f>
        <v>#N/A</v>
      </c>
      <c r="Q332" t="e">
        <f>INDEX(Items!C$2:C$1032,MATCH($O332,Items!$A$2:$A$1032,0))</f>
        <v>#N/A</v>
      </c>
      <c r="R332" t="e">
        <f>INDEX(Items!D$2:D$1032,MATCH($O332,Items!$A$2:$A$1032,0))</f>
        <v>#N/A</v>
      </c>
    </row>
    <row r="333" spans="1:18" x14ac:dyDescent="0.25">
      <c r="A333">
        <f t="shared" si="28"/>
        <v>1</v>
      </c>
      <c r="B333" t="str">
        <f t="shared" si="29"/>
        <v/>
      </c>
      <c r="C333">
        <f t="shared" si="31"/>
        <v>1</v>
      </c>
      <c r="D333" s="4"/>
      <c r="E333" t="s">
        <v>18</v>
      </c>
      <c r="F333" t="str">
        <f>INDEX(Establishment!B$2:B$1005,MATCH($E333,Establishment!$A$2:$A$1005,0))</f>
        <v xml:space="preserve"> </v>
      </c>
      <c r="G333" t="str">
        <f>INDEX(Establishment!C$2:C$1005,MATCH($E333,Establishment!$A$2:$A$1005,0))</f>
        <v xml:space="preserve"> </v>
      </c>
      <c r="M333">
        <f t="shared" si="32"/>
        <v>0</v>
      </c>
      <c r="N333">
        <f t="shared" si="30"/>
        <v>0</v>
      </c>
      <c r="P333" t="e">
        <f>INDEX(Items!B$2:B$1032,MATCH($O333,Items!$A$2:$A$1032,0))</f>
        <v>#N/A</v>
      </c>
      <c r="Q333" t="e">
        <f>INDEX(Items!C$2:C$1032,MATCH($O333,Items!$A$2:$A$1032,0))</f>
        <v>#N/A</v>
      </c>
      <c r="R333" t="e">
        <f>INDEX(Items!D$2:D$1032,MATCH($O333,Items!$A$2:$A$1032,0))</f>
        <v>#N/A</v>
      </c>
    </row>
    <row r="334" spans="1:18" x14ac:dyDescent="0.25">
      <c r="A334">
        <f t="shared" si="28"/>
        <v>1</v>
      </c>
      <c r="B334" t="str">
        <f t="shared" si="29"/>
        <v/>
      </c>
      <c r="C334">
        <f t="shared" si="31"/>
        <v>1</v>
      </c>
      <c r="D334" s="4"/>
      <c r="E334" t="s">
        <v>18</v>
      </c>
      <c r="F334" t="str">
        <f>INDEX(Establishment!B$2:B$1005,MATCH($E334,Establishment!$A$2:$A$1005,0))</f>
        <v xml:space="preserve"> </v>
      </c>
      <c r="G334" t="str">
        <f>INDEX(Establishment!C$2:C$1005,MATCH($E334,Establishment!$A$2:$A$1005,0))</f>
        <v xml:space="preserve"> </v>
      </c>
      <c r="M334">
        <f t="shared" si="32"/>
        <v>0</v>
      </c>
      <c r="N334">
        <f t="shared" si="30"/>
        <v>0</v>
      </c>
      <c r="P334" t="e">
        <f>INDEX(Items!B$2:B$1032,MATCH($O334,Items!$A$2:$A$1032,0))</f>
        <v>#N/A</v>
      </c>
      <c r="Q334" t="e">
        <f>INDEX(Items!C$2:C$1032,MATCH($O334,Items!$A$2:$A$1032,0))</f>
        <v>#N/A</v>
      </c>
      <c r="R334" t="e">
        <f>INDEX(Items!D$2:D$1032,MATCH($O334,Items!$A$2:$A$1032,0))</f>
        <v>#N/A</v>
      </c>
    </row>
    <row r="335" spans="1:18" x14ac:dyDescent="0.25">
      <c r="A335">
        <f t="shared" si="28"/>
        <v>1</v>
      </c>
      <c r="B335" t="str">
        <f t="shared" si="29"/>
        <v/>
      </c>
      <c r="C335">
        <f t="shared" si="31"/>
        <v>1</v>
      </c>
      <c r="D335" s="4"/>
      <c r="E335" t="s">
        <v>18</v>
      </c>
      <c r="F335" t="str">
        <f>INDEX(Establishment!B$2:B$1005,MATCH($E335,Establishment!$A$2:$A$1005,0))</f>
        <v xml:space="preserve"> </v>
      </c>
      <c r="G335" t="str">
        <f>INDEX(Establishment!C$2:C$1005,MATCH($E335,Establishment!$A$2:$A$1005,0))</f>
        <v xml:space="preserve"> </v>
      </c>
      <c r="M335">
        <f t="shared" si="32"/>
        <v>0</v>
      </c>
      <c r="N335">
        <f t="shared" si="30"/>
        <v>0</v>
      </c>
      <c r="P335" t="e">
        <f>INDEX(Items!B$2:B$1032,MATCH($O335,Items!$A$2:$A$1032,0))</f>
        <v>#N/A</v>
      </c>
      <c r="Q335" t="e">
        <f>INDEX(Items!C$2:C$1032,MATCH($O335,Items!$A$2:$A$1032,0))</f>
        <v>#N/A</v>
      </c>
      <c r="R335" t="e">
        <f>INDEX(Items!D$2:D$1032,MATCH($O335,Items!$A$2:$A$1032,0))</f>
        <v>#N/A</v>
      </c>
    </row>
    <row r="336" spans="1:18" x14ac:dyDescent="0.25">
      <c r="A336">
        <f t="shared" si="28"/>
        <v>1</v>
      </c>
      <c r="B336" t="str">
        <f t="shared" si="29"/>
        <v/>
      </c>
      <c r="C336">
        <f t="shared" si="31"/>
        <v>1</v>
      </c>
      <c r="D336" s="4"/>
      <c r="E336" t="s">
        <v>18</v>
      </c>
      <c r="F336" t="str">
        <f>INDEX(Establishment!B$2:B$1005,MATCH($E336,Establishment!$A$2:$A$1005,0))</f>
        <v xml:space="preserve"> </v>
      </c>
      <c r="G336" t="str">
        <f>INDEX(Establishment!C$2:C$1005,MATCH($E336,Establishment!$A$2:$A$1005,0))</f>
        <v xml:space="preserve"> </v>
      </c>
      <c r="M336">
        <f t="shared" si="32"/>
        <v>0</v>
      </c>
      <c r="N336">
        <f t="shared" si="30"/>
        <v>0</v>
      </c>
      <c r="P336" t="e">
        <f>INDEX(Items!B$2:B$1032,MATCH($O336,Items!$A$2:$A$1032,0))</f>
        <v>#N/A</v>
      </c>
      <c r="Q336" t="e">
        <f>INDEX(Items!C$2:C$1032,MATCH($O336,Items!$A$2:$A$1032,0))</f>
        <v>#N/A</v>
      </c>
      <c r="R336" t="e">
        <f>INDEX(Items!D$2:D$1032,MATCH($O336,Items!$A$2:$A$1032,0))</f>
        <v>#N/A</v>
      </c>
    </row>
    <row r="337" spans="1:18" x14ac:dyDescent="0.25">
      <c r="A337">
        <f t="shared" si="28"/>
        <v>1</v>
      </c>
      <c r="B337" t="str">
        <f t="shared" si="29"/>
        <v/>
      </c>
      <c r="C337">
        <f t="shared" si="31"/>
        <v>1</v>
      </c>
      <c r="D337" s="4"/>
      <c r="E337" t="s">
        <v>18</v>
      </c>
      <c r="F337" t="str">
        <f>INDEX(Establishment!B$2:B$1005,MATCH($E337,Establishment!$A$2:$A$1005,0))</f>
        <v xml:space="preserve"> </v>
      </c>
      <c r="G337" t="str">
        <f>INDEX(Establishment!C$2:C$1005,MATCH($E337,Establishment!$A$2:$A$1005,0))</f>
        <v xml:space="preserve"> </v>
      </c>
      <c r="M337">
        <f t="shared" si="32"/>
        <v>0</v>
      </c>
      <c r="N337">
        <f t="shared" si="30"/>
        <v>0</v>
      </c>
      <c r="P337" t="e">
        <f>INDEX(Items!B$2:B$1032,MATCH($O337,Items!$A$2:$A$1032,0))</f>
        <v>#N/A</v>
      </c>
      <c r="Q337" t="e">
        <f>INDEX(Items!C$2:C$1032,MATCH($O337,Items!$A$2:$A$1032,0))</f>
        <v>#N/A</v>
      </c>
      <c r="R337" t="e">
        <f>INDEX(Items!D$2:D$1032,MATCH($O337,Items!$A$2:$A$1032,0))</f>
        <v>#N/A</v>
      </c>
    </row>
    <row r="338" spans="1:18" x14ac:dyDescent="0.25">
      <c r="A338">
        <f t="shared" si="28"/>
        <v>1</v>
      </c>
      <c r="B338" t="str">
        <f t="shared" si="29"/>
        <v/>
      </c>
      <c r="C338">
        <f t="shared" si="31"/>
        <v>1</v>
      </c>
      <c r="D338" s="4"/>
      <c r="E338" t="s">
        <v>18</v>
      </c>
      <c r="F338" t="str">
        <f>INDEX(Establishment!B$2:B$1005,MATCH($E338,Establishment!$A$2:$A$1005,0))</f>
        <v xml:space="preserve"> </v>
      </c>
      <c r="G338" t="str">
        <f>INDEX(Establishment!C$2:C$1005,MATCH($E338,Establishment!$A$2:$A$1005,0))</f>
        <v xml:space="preserve"> </v>
      </c>
      <c r="M338">
        <f t="shared" si="32"/>
        <v>0</v>
      </c>
      <c r="N338">
        <f t="shared" si="30"/>
        <v>0</v>
      </c>
      <c r="P338" t="e">
        <f>INDEX(Items!B$2:B$1032,MATCH($O338,Items!$A$2:$A$1032,0))</f>
        <v>#N/A</v>
      </c>
      <c r="Q338" t="e">
        <f>INDEX(Items!C$2:C$1032,MATCH($O338,Items!$A$2:$A$1032,0))</f>
        <v>#N/A</v>
      </c>
      <c r="R338" t="e">
        <f>INDEX(Items!D$2:D$1032,MATCH($O338,Items!$A$2:$A$1032,0))</f>
        <v>#N/A</v>
      </c>
    </row>
    <row r="339" spans="1:18" x14ac:dyDescent="0.25">
      <c r="A339">
        <f t="shared" si="28"/>
        <v>1</v>
      </c>
      <c r="B339" t="str">
        <f t="shared" si="29"/>
        <v/>
      </c>
      <c r="C339">
        <f t="shared" si="31"/>
        <v>1</v>
      </c>
      <c r="D339" s="4"/>
      <c r="E339" t="s">
        <v>18</v>
      </c>
      <c r="F339" t="str">
        <f>INDEX(Establishment!B$2:B$1005,MATCH($E339,Establishment!$A$2:$A$1005,0))</f>
        <v xml:space="preserve"> </v>
      </c>
      <c r="G339" t="str">
        <f>INDEX(Establishment!C$2:C$1005,MATCH($E339,Establishment!$A$2:$A$1005,0))</f>
        <v xml:space="preserve"> </v>
      </c>
      <c r="M339">
        <f t="shared" si="32"/>
        <v>0</v>
      </c>
      <c r="N339">
        <f t="shared" si="30"/>
        <v>0</v>
      </c>
      <c r="P339" t="e">
        <f>INDEX(Items!B$2:B$1032,MATCH($O339,Items!$A$2:$A$1032,0))</f>
        <v>#N/A</v>
      </c>
      <c r="Q339" t="e">
        <f>INDEX(Items!C$2:C$1032,MATCH($O339,Items!$A$2:$A$1032,0))</f>
        <v>#N/A</v>
      </c>
      <c r="R339" t="e">
        <f>INDEX(Items!D$2:D$1032,MATCH($O339,Items!$A$2:$A$1032,0))</f>
        <v>#N/A</v>
      </c>
    </row>
    <row r="340" spans="1:18" x14ac:dyDescent="0.25">
      <c r="A340">
        <f t="shared" si="28"/>
        <v>1</v>
      </c>
      <c r="B340" t="str">
        <f t="shared" si="29"/>
        <v/>
      </c>
      <c r="C340">
        <f t="shared" si="31"/>
        <v>1</v>
      </c>
      <c r="D340" s="4"/>
      <c r="E340" t="s">
        <v>18</v>
      </c>
      <c r="F340" t="str">
        <f>INDEX(Establishment!B$2:B$1005,MATCH($E340,Establishment!$A$2:$A$1005,0))</f>
        <v xml:space="preserve"> </v>
      </c>
      <c r="G340" t="str">
        <f>INDEX(Establishment!C$2:C$1005,MATCH($E340,Establishment!$A$2:$A$1005,0))</f>
        <v xml:space="preserve"> </v>
      </c>
      <c r="M340">
        <f t="shared" si="32"/>
        <v>0</v>
      </c>
      <c r="N340">
        <f t="shared" si="30"/>
        <v>0</v>
      </c>
      <c r="P340" t="e">
        <f>INDEX(Items!B$2:B$1032,MATCH($O340,Items!$A$2:$A$1032,0))</f>
        <v>#N/A</v>
      </c>
      <c r="Q340" t="e">
        <f>INDEX(Items!C$2:C$1032,MATCH($O340,Items!$A$2:$A$1032,0))</f>
        <v>#N/A</v>
      </c>
      <c r="R340" t="e">
        <f>INDEX(Items!D$2:D$1032,MATCH($O340,Items!$A$2:$A$1032,0))</f>
        <v>#N/A</v>
      </c>
    </row>
    <row r="341" spans="1:18" x14ac:dyDescent="0.25">
      <c r="A341">
        <f t="shared" si="28"/>
        <v>1</v>
      </c>
      <c r="B341" t="str">
        <f t="shared" si="29"/>
        <v/>
      </c>
      <c r="C341">
        <f t="shared" si="31"/>
        <v>1</v>
      </c>
      <c r="D341" s="4"/>
      <c r="E341" t="s">
        <v>18</v>
      </c>
      <c r="F341" t="str">
        <f>INDEX(Establishment!B$2:B$1005,MATCH($E341,Establishment!$A$2:$A$1005,0))</f>
        <v xml:space="preserve"> </v>
      </c>
      <c r="G341" t="str">
        <f>INDEX(Establishment!C$2:C$1005,MATCH($E341,Establishment!$A$2:$A$1005,0))</f>
        <v xml:space="preserve"> </v>
      </c>
      <c r="M341">
        <f t="shared" si="32"/>
        <v>0</v>
      </c>
      <c r="N341">
        <f t="shared" si="30"/>
        <v>0</v>
      </c>
      <c r="P341" t="e">
        <f>INDEX(Items!B$2:B$1032,MATCH($O341,Items!$A$2:$A$1032,0))</f>
        <v>#N/A</v>
      </c>
      <c r="Q341" t="e">
        <f>INDEX(Items!C$2:C$1032,MATCH($O341,Items!$A$2:$A$1032,0))</f>
        <v>#N/A</v>
      </c>
      <c r="R341" t="e">
        <f>INDEX(Items!D$2:D$1032,MATCH($O341,Items!$A$2:$A$1032,0))</f>
        <v>#N/A</v>
      </c>
    </row>
    <row r="342" spans="1:18" x14ac:dyDescent="0.25">
      <c r="A342">
        <f t="shared" si="28"/>
        <v>1</v>
      </c>
      <c r="B342" t="str">
        <f t="shared" si="29"/>
        <v/>
      </c>
      <c r="C342">
        <f t="shared" si="31"/>
        <v>1</v>
      </c>
      <c r="D342" s="4"/>
      <c r="E342" t="s">
        <v>18</v>
      </c>
      <c r="F342" t="str">
        <f>INDEX(Establishment!B$2:B$1005,MATCH($E342,Establishment!$A$2:$A$1005,0))</f>
        <v xml:space="preserve"> </v>
      </c>
      <c r="G342" t="str">
        <f>INDEX(Establishment!C$2:C$1005,MATCH($E342,Establishment!$A$2:$A$1005,0))</f>
        <v xml:space="preserve"> </v>
      </c>
      <c r="M342">
        <f t="shared" si="32"/>
        <v>0</v>
      </c>
      <c r="N342">
        <f t="shared" si="30"/>
        <v>0</v>
      </c>
      <c r="P342" t="e">
        <f>INDEX(Items!B$2:B$1032,MATCH($O342,Items!$A$2:$A$1032,0))</f>
        <v>#N/A</v>
      </c>
      <c r="Q342" t="e">
        <f>INDEX(Items!C$2:C$1032,MATCH($O342,Items!$A$2:$A$1032,0))</f>
        <v>#N/A</v>
      </c>
      <c r="R342" t="e">
        <f>INDEX(Items!D$2:D$1032,MATCH($O342,Items!$A$2:$A$1032,0))</f>
        <v>#N/A</v>
      </c>
    </row>
    <row r="343" spans="1:18" x14ac:dyDescent="0.25">
      <c r="A343">
        <f t="shared" si="28"/>
        <v>1</v>
      </c>
      <c r="B343" t="str">
        <f t="shared" si="29"/>
        <v/>
      </c>
      <c r="C343">
        <f t="shared" si="31"/>
        <v>1</v>
      </c>
      <c r="D343" s="4"/>
      <c r="E343" t="s">
        <v>18</v>
      </c>
      <c r="F343" t="str">
        <f>INDEX(Establishment!B$2:B$1005,MATCH($E343,Establishment!$A$2:$A$1005,0))</f>
        <v xml:space="preserve"> </v>
      </c>
      <c r="G343" t="str">
        <f>INDEX(Establishment!C$2:C$1005,MATCH($E343,Establishment!$A$2:$A$1005,0))</f>
        <v xml:space="preserve"> </v>
      </c>
      <c r="M343">
        <f t="shared" si="32"/>
        <v>0</v>
      </c>
      <c r="N343">
        <f t="shared" si="30"/>
        <v>0</v>
      </c>
      <c r="P343" t="e">
        <f>INDEX(Items!B$2:B$1032,MATCH($O343,Items!$A$2:$A$1032,0))</f>
        <v>#N/A</v>
      </c>
      <c r="Q343" t="e">
        <f>INDEX(Items!C$2:C$1032,MATCH($O343,Items!$A$2:$A$1032,0))</f>
        <v>#N/A</v>
      </c>
      <c r="R343" t="e">
        <f>INDEX(Items!D$2:D$1032,MATCH($O343,Items!$A$2:$A$1032,0))</f>
        <v>#N/A</v>
      </c>
    </row>
    <row r="344" spans="1:18" x14ac:dyDescent="0.25">
      <c r="A344">
        <f t="shared" si="28"/>
        <v>1</v>
      </c>
      <c r="B344" t="str">
        <f t="shared" si="29"/>
        <v/>
      </c>
      <c r="C344">
        <f t="shared" si="31"/>
        <v>1</v>
      </c>
      <c r="D344" s="4"/>
      <c r="E344" t="s">
        <v>18</v>
      </c>
      <c r="F344" t="str">
        <f>INDEX(Establishment!B$2:B$1005,MATCH($E344,Establishment!$A$2:$A$1005,0))</f>
        <v xml:space="preserve"> </v>
      </c>
      <c r="G344" t="str">
        <f>INDEX(Establishment!C$2:C$1005,MATCH($E344,Establishment!$A$2:$A$1005,0))</f>
        <v xml:space="preserve"> </v>
      </c>
      <c r="M344">
        <f t="shared" si="32"/>
        <v>0</v>
      </c>
      <c r="N344">
        <f t="shared" si="30"/>
        <v>0</v>
      </c>
      <c r="P344" t="e">
        <f>INDEX(Items!B$2:B$1032,MATCH($O344,Items!$A$2:$A$1032,0))</f>
        <v>#N/A</v>
      </c>
      <c r="Q344" t="e">
        <f>INDEX(Items!C$2:C$1032,MATCH($O344,Items!$A$2:$A$1032,0))</f>
        <v>#N/A</v>
      </c>
      <c r="R344" t="e">
        <f>INDEX(Items!D$2:D$1032,MATCH($O344,Items!$A$2:$A$1032,0))</f>
        <v>#N/A</v>
      </c>
    </row>
    <row r="345" spans="1:18" x14ac:dyDescent="0.25">
      <c r="A345">
        <f t="shared" si="28"/>
        <v>1</v>
      </c>
      <c r="B345" t="str">
        <f t="shared" si="29"/>
        <v/>
      </c>
      <c r="C345">
        <f t="shared" si="31"/>
        <v>1</v>
      </c>
      <c r="D345" s="4"/>
      <c r="E345" t="s">
        <v>18</v>
      </c>
      <c r="F345" t="str">
        <f>INDEX(Establishment!B$2:B$1005,MATCH($E345,Establishment!$A$2:$A$1005,0))</f>
        <v xml:space="preserve"> </v>
      </c>
      <c r="G345" t="str">
        <f>INDEX(Establishment!C$2:C$1005,MATCH($E345,Establishment!$A$2:$A$1005,0))</f>
        <v xml:space="preserve"> </v>
      </c>
      <c r="M345">
        <f t="shared" si="32"/>
        <v>0</v>
      </c>
      <c r="N345">
        <f t="shared" si="30"/>
        <v>0</v>
      </c>
      <c r="P345" t="e">
        <f>INDEX(Items!B$2:B$1032,MATCH($O345,Items!$A$2:$A$1032,0))</f>
        <v>#N/A</v>
      </c>
      <c r="Q345" t="e">
        <f>INDEX(Items!C$2:C$1032,MATCH($O345,Items!$A$2:$A$1032,0))</f>
        <v>#N/A</v>
      </c>
      <c r="R345" t="e">
        <f>INDEX(Items!D$2:D$1032,MATCH($O345,Items!$A$2:$A$1032,0))</f>
        <v>#N/A</v>
      </c>
    </row>
    <row r="346" spans="1:18" x14ac:dyDescent="0.25">
      <c r="A346">
        <f t="shared" si="28"/>
        <v>1</v>
      </c>
      <c r="B346" t="str">
        <f t="shared" si="29"/>
        <v/>
      </c>
      <c r="C346">
        <f t="shared" si="31"/>
        <v>1</v>
      </c>
      <c r="D346" s="4"/>
      <c r="E346" t="s">
        <v>18</v>
      </c>
      <c r="F346" t="str">
        <f>INDEX(Establishment!B$2:B$1005,MATCH($E346,Establishment!$A$2:$A$1005,0))</f>
        <v xml:space="preserve"> </v>
      </c>
      <c r="G346" t="str">
        <f>INDEX(Establishment!C$2:C$1005,MATCH($E346,Establishment!$A$2:$A$1005,0))</f>
        <v xml:space="preserve"> </v>
      </c>
      <c r="M346">
        <f t="shared" si="32"/>
        <v>0</v>
      </c>
      <c r="N346">
        <f t="shared" si="30"/>
        <v>0</v>
      </c>
      <c r="P346" t="e">
        <f>INDEX(Items!B$2:B$1032,MATCH($O346,Items!$A$2:$A$1032,0))</f>
        <v>#N/A</v>
      </c>
      <c r="Q346" t="e">
        <f>INDEX(Items!C$2:C$1032,MATCH($O346,Items!$A$2:$A$1032,0))</f>
        <v>#N/A</v>
      </c>
      <c r="R346" t="e">
        <f>INDEX(Items!D$2:D$1032,MATCH($O346,Items!$A$2:$A$1032,0))</f>
        <v>#N/A</v>
      </c>
    </row>
    <row r="347" spans="1:18" x14ac:dyDescent="0.25">
      <c r="A347">
        <f t="shared" si="28"/>
        <v>1</v>
      </c>
      <c r="B347" t="str">
        <f t="shared" si="29"/>
        <v/>
      </c>
      <c r="C347">
        <f t="shared" si="31"/>
        <v>1</v>
      </c>
      <c r="D347" s="4"/>
      <c r="E347" t="s">
        <v>18</v>
      </c>
      <c r="F347" t="str">
        <f>INDEX(Establishment!B$2:B$1005,MATCH($E347,Establishment!$A$2:$A$1005,0))</f>
        <v xml:space="preserve"> </v>
      </c>
      <c r="G347" t="str">
        <f>INDEX(Establishment!C$2:C$1005,MATCH($E347,Establishment!$A$2:$A$1005,0))</f>
        <v xml:space="preserve"> </v>
      </c>
      <c r="M347">
        <f t="shared" si="32"/>
        <v>0</v>
      </c>
      <c r="N347">
        <f t="shared" si="30"/>
        <v>0</v>
      </c>
      <c r="P347" t="e">
        <f>INDEX(Items!B$2:B$1032,MATCH($O347,Items!$A$2:$A$1032,0))</f>
        <v>#N/A</v>
      </c>
      <c r="Q347" t="e">
        <f>INDEX(Items!C$2:C$1032,MATCH($O347,Items!$A$2:$A$1032,0))</f>
        <v>#N/A</v>
      </c>
      <c r="R347" t="e">
        <f>INDEX(Items!D$2:D$1032,MATCH($O347,Items!$A$2:$A$1032,0))</f>
        <v>#N/A</v>
      </c>
    </row>
    <row r="348" spans="1:18" x14ac:dyDescent="0.25">
      <c r="A348">
        <f t="shared" si="28"/>
        <v>1</v>
      </c>
      <c r="B348" t="str">
        <f t="shared" si="29"/>
        <v/>
      </c>
      <c r="C348">
        <f t="shared" si="31"/>
        <v>1</v>
      </c>
      <c r="D348" s="4"/>
      <c r="E348" t="s">
        <v>18</v>
      </c>
      <c r="F348" t="str">
        <f>INDEX(Establishment!B$2:B$1005,MATCH($E348,Establishment!$A$2:$A$1005,0))</f>
        <v xml:space="preserve"> </v>
      </c>
      <c r="G348" t="str">
        <f>INDEX(Establishment!C$2:C$1005,MATCH($E348,Establishment!$A$2:$A$1005,0))</f>
        <v xml:space="preserve"> </v>
      </c>
      <c r="M348">
        <f t="shared" si="32"/>
        <v>0</v>
      </c>
      <c r="N348">
        <f t="shared" si="30"/>
        <v>0</v>
      </c>
      <c r="P348" t="e">
        <f>INDEX(Items!B$2:B$1032,MATCH($O348,Items!$A$2:$A$1032,0))</f>
        <v>#N/A</v>
      </c>
      <c r="Q348" t="e">
        <f>INDEX(Items!C$2:C$1032,MATCH($O348,Items!$A$2:$A$1032,0))</f>
        <v>#N/A</v>
      </c>
      <c r="R348" t="e">
        <f>INDEX(Items!D$2:D$1032,MATCH($O348,Items!$A$2:$A$1032,0))</f>
        <v>#N/A</v>
      </c>
    </row>
    <row r="349" spans="1:18" x14ac:dyDescent="0.25">
      <c r="A349">
        <f t="shared" si="28"/>
        <v>1</v>
      </c>
      <c r="B349" t="str">
        <f t="shared" si="29"/>
        <v/>
      </c>
      <c r="C349">
        <f t="shared" si="31"/>
        <v>1</v>
      </c>
      <c r="D349" s="4"/>
      <c r="E349" t="s">
        <v>18</v>
      </c>
      <c r="F349" t="str">
        <f>INDEX(Establishment!B$2:B$1005,MATCH($E349,Establishment!$A$2:$A$1005,0))</f>
        <v xml:space="preserve"> </v>
      </c>
      <c r="G349" t="str">
        <f>INDEX(Establishment!C$2:C$1005,MATCH($E349,Establishment!$A$2:$A$1005,0))</f>
        <v xml:space="preserve"> </v>
      </c>
      <c r="M349">
        <f t="shared" si="32"/>
        <v>0</v>
      </c>
      <c r="N349">
        <f t="shared" si="30"/>
        <v>0</v>
      </c>
      <c r="P349" t="e">
        <f>INDEX(Items!B$2:B$1032,MATCH($O349,Items!$A$2:$A$1032,0))</f>
        <v>#N/A</v>
      </c>
      <c r="Q349" t="e">
        <f>INDEX(Items!C$2:C$1032,MATCH($O349,Items!$A$2:$A$1032,0))</f>
        <v>#N/A</v>
      </c>
      <c r="R349" t="e">
        <f>INDEX(Items!D$2:D$1032,MATCH($O349,Items!$A$2:$A$1032,0))</f>
        <v>#N/A</v>
      </c>
    </row>
    <row r="350" spans="1:18" x14ac:dyDescent="0.25">
      <c r="A350">
        <f t="shared" si="28"/>
        <v>1</v>
      </c>
      <c r="B350" t="str">
        <f t="shared" si="29"/>
        <v/>
      </c>
      <c r="C350">
        <f t="shared" si="31"/>
        <v>1</v>
      </c>
      <c r="D350" s="4"/>
      <c r="E350" t="s">
        <v>18</v>
      </c>
      <c r="F350" t="str">
        <f>INDEX(Establishment!B$2:B$1005,MATCH($E350,Establishment!$A$2:$A$1005,0))</f>
        <v xml:space="preserve"> </v>
      </c>
      <c r="G350" t="str">
        <f>INDEX(Establishment!C$2:C$1005,MATCH($E350,Establishment!$A$2:$A$1005,0))</f>
        <v xml:space="preserve"> </v>
      </c>
      <c r="M350">
        <f t="shared" si="32"/>
        <v>0</v>
      </c>
      <c r="N350">
        <f t="shared" si="30"/>
        <v>0</v>
      </c>
      <c r="P350" t="e">
        <f>INDEX(Items!B$2:B$1032,MATCH($O350,Items!$A$2:$A$1032,0))</f>
        <v>#N/A</v>
      </c>
      <c r="Q350" t="e">
        <f>INDEX(Items!C$2:C$1032,MATCH($O350,Items!$A$2:$A$1032,0))</f>
        <v>#N/A</v>
      </c>
      <c r="R350" t="e">
        <f>INDEX(Items!D$2:D$1032,MATCH($O350,Items!$A$2:$A$1032,0))</f>
        <v>#N/A</v>
      </c>
    </row>
    <row r="351" spans="1:18" x14ac:dyDescent="0.25">
      <c r="A351">
        <f t="shared" si="28"/>
        <v>1</v>
      </c>
      <c r="B351" t="str">
        <f t="shared" si="29"/>
        <v/>
      </c>
      <c r="C351">
        <f t="shared" si="31"/>
        <v>1</v>
      </c>
      <c r="D351" s="4"/>
      <c r="E351" t="s">
        <v>18</v>
      </c>
      <c r="F351" t="str">
        <f>INDEX(Establishment!B$2:B$1005,MATCH($E351,Establishment!$A$2:$A$1005,0))</f>
        <v xml:space="preserve"> </v>
      </c>
      <c r="G351" t="str">
        <f>INDEX(Establishment!C$2:C$1005,MATCH($E351,Establishment!$A$2:$A$1005,0))</f>
        <v xml:space="preserve"> </v>
      </c>
      <c r="M351">
        <f t="shared" si="32"/>
        <v>0</v>
      </c>
      <c r="N351">
        <f t="shared" si="30"/>
        <v>0</v>
      </c>
      <c r="P351" t="e">
        <f>INDEX(Items!B$2:B$1032,MATCH($O351,Items!$A$2:$A$1032,0))</f>
        <v>#N/A</v>
      </c>
      <c r="Q351" t="e">
        <f>INDEX(Items!C$2:C$1032,MATCH($O351,Items!$A$2:$A$1032,0))</f>
        <v>#N/A</v>
      </c>
      <c r="R351" t="e">
        <f>INDEX(Items!D$2:D$1032,MATCH($O351,Items!$A$2:$A$1032,0))</f>
        <v>#N/A</v>
      </c>
    </row>
    <row r="352" spans="1:18" x14ac:dyDescent="0.25">
      <c r="A352">
        <f t="shared" si="28"/>
        <v>1</v>
      </c>
      <c r="B352" t="str">
        <f t="shared" si="29"/>
        <v/>
      </c>
      <c r="C352">
        <f t="shared" si="31"/>
        <v>1</v>
      </c>
      <c r="D352" s="4"/>
      <c r="E352" t="s">
        <v>18</v>
      </c>
      <c r="F352" t="str">
        <f>INDEX(Establishment!B$2:B$1005,MATCH($E352,Establishment!$A$2:$A$1005,0))</f>
        <v xml:space="preserve"> </v>
      </c>
      <c r="G352" t="str">
        <f>INDEX(Establishment!C$2:C$1005,MATCH($E352,Establishment!$A$2:$A$1005,0))</f>
        <v xml:space="preserve"> </v>
      </c>
      <c r="M352">
        <f t="shared" si="32"/>
        <v>0</v>
      </c>
      <c r="N352">
        <f t="shared" si="30"/>
        <v>0</v>
      </c>
      <c r="P352" t="e">
        <f>INDEX(Items!B$2:B$1032,MATCH($O352,Items!$A$2:$A$1032,0))</f>
        <v>#N/A</v>
      </c>
      <c r="Q352" t="e">
        <f>INDEX(Items!C$2:C$1032,MATCH($O352,Items!$A$2:$A$1032,0))</f>
        <v>#N/A</v>
      </c>
      <c r="R352" t="e">
        <f>INDEX(Items!D$2:D$1032,MATCH($O352,Items!$A$2:$A$1032,0))</f>
        <v>#N/A</v>
      </c>
    </row>
    <row r="353" spans="1:18" x14ac:dyDescent="0.25">
      <c r="A353">
        <f t="shared" si="28"/>
        <v>1</v>
      </c>
      <c r="B353" t="str">
        <f t="shared" si="29"/>
        <v/>
      </c>
      <c r="C353">
        <f t="shared" si="31"/>
        <v>1</v>
      </c>
      <c r="D353" s="4"/>
      <c r="E353" t="s">
        <v>18</v>
      </c>
      <c r="F353" t="str">
        <f>INDEX(Establishment!B$2:B$1005,MATCH($E353,Establishment!$A$2:$A$1005,0))</f>
        <v xml:space="preserve"> </v>
      </c>
      <c r="G353" t="str">
        <f>INDEX(Establishment!C$2:C$1005,MATCH($E353,Establishment!$A$2:$A$1005,0))</f>
        <v xml:space="preserve"> </v>
      </c>
      <c r="M353">
        <f t="shared" si="32"/>
        <v>0</v>
      </c>
      <c r="N353">
        <f t="shared" si="30"/>
        <v>0</v>
      </c>
      <c r="P353" t="e">
        <f>INDEX(Items!B$2:B$1032,MATCH($O353,Items!$A$2:$A$1032,0))</f>
        <v>#N/A</v>
      </c>
      <c r="Q353" t="e">
        <f>INDEX(Items!C$2:C$1032,MATCH($O353,Items!$A$2:$A$1032,0))</f>
        <v>#N/A</v>
      </c>
      <c r="R353" t="e">
        <f>INDEX(Items!D$2:D$1032,MATCH($O353,Items!$A$2:$A$1032,0))</f>
        <v>#N/A</v>
      </c>
    </row>
    <row r="354" spans="1:18" x14ac:dyDescent="0.25">
      <c r="A354">
        <f t="shared" si="28"/>
        <v>1</v>
      </c>
      <c r="B354" t="str">
        <f t="shared" si="29"/>
        <v/>
      </c>
      <c r="C354">
        <f t="shared" si="31"/>
        <v>1</v>
      </c>
      <c r="D354" s="4"/>
      <c r="E354" t="s">
        <v>18</v>
      </c>
      <c r="F354" t="str">
        <f>INDEX(Establishment!B$2:B$1005,MATCH($E354,Establishment!$A$2:$A$1005,0))</f>
        <v xml:space="preserve"> </v>
      </c>
      <c r="G354" t="str">
        <f>INDEX(Establishment!C$2:C$1005,MATCH($E354,Establishment!$A$2:$A$1005,0))</f>
        <v xml:space="preserve"> </v>
      </c>
      <c r="M354">
        <f t="shared" si="32"/>
        <v>0</v>
      </c>
      <c r="N354">
        <f t="shared" si="30"/>
        <v>0</v>
      </c>
      <c r="P354" t="e">
        <f>INDEX(Items!B$2:B$1032,MATCH($O354,Items!$A$2:$A$1032,0))</f>
        <v>#N/A</v>
      </c>
      <c r="Q354" t="e">
        <f>INDEX(Items!C$2:C$1032,MATCH($O354,Items!$A$2:$A$1032,0))</f>
        <v>#N/A</v>
      </c>
      <c r="R354" t="e">
        <f>INDEX(Items!D$2:D$1032,MATCH($O354,Items!$A$2:$A$1032,0))</f>
        <v>#N/A</v>
      </c>
    </row>
    <row r="355" spans="1:18" x14ac:dyDescent="0.25">
      <c r="A355">
        <f t="shared" si="28"/>
        <v>1</v>
      </c>
      <c r="B355" t="str">
        <f t="shared" si="29"/>
        <v/>
      </c>
      <c r="C355">
        <f t="shared" si="31"/>
        <v>1</v>
      </c>
      <c r="D355" s="4"/>
      <c r="E355" t="s">
        <v>18</v>
      </c>
      <c r="F355" t="str">
        <f>INDEX(Establishment!B$2:B$1005,MATCH($E355,Establishment!$A$2:$A$1005,0))</f>
        <v xml:space="preserve"> </v>
      </c>
      <c r="G355" t="str">
        <f>INDEX(Establishment!C$2:C$1005,MATCH($E355,Establishment!$A$2:$A$1005,0))</f>
        <v xml:space="preserve"> </v>
      </c>
      <c r="M355">
        <f t="shared" si="32"/>
        <v>0</v>
      </c>
      <c r="N355">
        <f t="shared" si="30"/>
        <v>0</v>
      </c>
      <c r="P355" t="e">
        <f>INDEX(Items!B$2:B$1032,MATCH($O355,Items!$A$2:$A$1032,0))</f>
        <v>#N/A</v>
      </c>
      <c r="Q355" t="e">
        <f>INDEX(Items!C$2:C$1032,MATCH($O355,Items!$A$2:$A$1032,0))</f>
        <v>#N/A</v>
      </c>
      <c r="R355" t="e">
        <f>INDEX(Items!D$2:D$1032,MATCH($O355,Items!$A$2:$A$1032,0))</f>
        <v>#N/A</v>
      </c>
    </row>
    <row r="356" spans="1:18" x14ac:dyDescent="0.25">
      <c r="A356">
        <f t="shared" si="28"/>
        <v>1</v>
      </c>
      <c r="B356" t="str">
        <f t="shared" si="29"/>
        <v/>
      </c>
      <c r="C356">
        <f t="shared" si="31"/>
        <v>1</v>
      </c>
      <c r="D356" s="4"/>
      <c r="E356" t="s">
        <v>18</v>
      </c>
      <c r="F356" t="str">
        <f>INDEX(Establishment!B$2:B$1005,MATCH($E356,Establishment!$A$2:$A$1005,0))</f>
        <v xml:space="preserve"> </v>
      </c>
      <c r="G356" t="str">
        <f>INDEX(Establishment!C$2:C$1005,MATCH($E356,Establishment!$A$2:$A$1005,0))</f>
        <v xml:space="preserve"> </v>
      </c>
      <c r="M356">
        <f t="shared" si="32"/>
        <v>0</v>
      </c>
      <c r="N356">
        <f t="shared" si="30"/>
        <v>0</v>
      </c>
      <c r="P356" t="e">
        <f>INDEX(Items!B$2:B$1032,MATCH($O356,Items!$A$2:$A$1032,0))</f>
        <v>#N/A</v>
      </c>
      <c r="Q356" t="e">
        <f>INDEX(Items!C$2:C$1032,MATCH($O356,Items!$A$2:$A$1032,0))</f>
        <v>#N/A</v>
      </c>
      <c r="R356" t="e">
        <f>INDEX(Items!D$2:D$1032,MATCH($O356,Items!$A$2:$A$1032,0))</f>
        <v>#N/A</v>
      </c>
    </row>
    <row r="357" spans="1:18" x14ac:dyDescent="0.25">
      <c r="A357">
        <f t="shared" si="28"/>
        <v>1</v>
      </c>
      <c r="B357" t="str">
        <f t="shared" si="29"/>
        <v/>
      </c>
      <c r="C357">
        <f t="shared" si="31"/>
        <v>1</v>
      </c>
      <c r="D357" s="4"/>
      <c r="E357" t="s">
        <v>18</v>
      </c>
      <c r="F357" t="str">
        <f>INDEX(Establishment!B$2:B$1005,MATCH($E357,Establishment!$A$2:$A$1005,0))</f>
        <v xml:space="preserve"> </v>
      </c>
      <c r="G357" t="str">
        <f>INDEX(Establishment!C$2:C$1005,MATCH($E357,Establishment!$A$2:$A$1005,0))</f>
        <v xml:space="preserve"> </v>
      </c>
      <c r="M357">
        <f t="shared" si="32"/>
        <v>0</v>
      </c>
      <c r="N357">
        <f t="shared" si="30"/>
        <v>0</v>
      </c>
      <c r="P357" t="e">
        <f>INDEX(Items!B$2:B$1032,MATCH($O357,Items!$A$2:$A$1032,0))</f>
        <v>#N/A</v>
      </c>
      <c r="Q357" t="e">
        <f>INDEX(Items!C$2:C$1032,MATCH($O357,Items!$A$2:$A$1032,0))</f>
        <v>#N/A</v>
      </c>
      <c r="R357" t="e">
        <f>INDEX(Items!D$2:D$1032,MATCH($O357,Items!$A$2:$A$1032,0))</f>
        <v>#N/A</v>
      </c>
    </row>
    <row r="358" spans="1:18" x14ac:dyDescent="0.25">
      <c r="A358">
        <f t="shared" si="28"/>
        <v>1</v>
      </c>
      <c r="B358" t="str">
        <f t="shared" si="29"/>
        <v/>
      </c>
      <c r="C358">
        <f t="shared" si="31"/>
        <v>1</v>
      </c>
      <c r="D358" s="4"/>
      <c r="E358" t="s">
        <v>18</v>
      </c>
      <c r="F358" t="str">
        <f>INDEX(Establishment!B$2:B$1005,MATCH($E358,Establishment!$A$2:$A$1005,0))</f>
        <v xml:space="preserve"> </v>
      </c>
      <c r="G358" t="str">
        <f>INDEX(Establishment!C$2:C$1005,MATCH($E358,Establishment!$A$2:$A$1005,0))</f>
        <v xml:space="preserve"> </v>
      </c>
      <c r="M358">
        <f t="shared" si="32"/>
        <v>0</v>
      </c>
      <c r="N358">
        <f t="shared" si="30"/>
        <v>0</v>
      </c>
      <c r="P358" t="e">
        <f>INDEX(Items!B$2:B$1032,MATCH($O358,Items!$A$2:$A$1032,0))</f>
        <v>#N/A</v>
      </c>
      <c r="Q358" t="e">
        <f>INDEX(Items!C$2:C$1032,MATCH($O358,Items!$A$2:$A$1032,0))</f>
        <v>#N/A</v>
      </c>
      <c r="R358" t="e">
        <f>INDEX(Items!D$2:D$1032,MATCH($O358,Items!$A$2:$A$1032,0))</f>
        <v>#N/A</v>
      </c>
    </row>
    <row r="359" spans="1:18" x14ac:dyDescent="0.25">
      <c r="A359">
        <f t="shared" si="28"/>
        <v>1</v>
      </c>
      <c r="B359" t="str">
        <f t="shared" si="29"/>
        <v/>
      </c>
      <c r="C359">
        <f t="shared" si="31"/>
        <v>1</v>
      </c>
      <c r="D359" s="4"/>
      <c r="E359" t="s">
        <v>18</v>
      </c>
      <c r="F359" t="str">
        <f>INDEX(Establishment!B$2:B$1005,MATCH($E359,Establishment!$A$2:$A$1005,0))</f>
        <v xml:space="preserve"> </v>
      </c>
      <c r="G359" t="str">
        <f>INDEX(Establishment!C$2:C$1005,MATCH($E359,Establishment!$A$2:$A$1005,0))</f>
        <v xml:space="preserve"> </v>
      </c>
      <c r="M359">
        <f t="shared" si="32"/>
        <v>0</v>
      </c>
      <c r="N359">
        <f t="shared" si="30"/>
        <v>0</v>
      </c>
      <c r="P359" t="e">
        <f>INDEX(Items!B$2:B$1032,MATCH($O359,Items!$A$2:$A$1032,0))</f>
        <v>#N/A</v>
      </c>
      <c r="Q359" t="e">
        <f>INDEX(Items!C$2:C$1032,MATCH($O359,Items!$A$2:$A$1032,0))</f>
        <v>#N/A</v>
      </c>
      <c r="R359" t="e">
        <f>INDEX(Items!D$2:D$1032,MATCH($O359,Items!$A$2:$A$1032,0))</f>
        <v>#N/A</v>
      </c>
    </row>
    <row r="360" spans="1:18" x14ac:dyDescent="0.25">
      <c r="A360">
        <f t="shared" si="28"/>
        <v>1</v>
      </c>
      <c r="B360" t="str">
        <f t="shared" si="29"/>
        <v/>
      </c>
      <c r="C360">
        <f t="shared" si="31"/>
        <v>1</v>
      </c>
      <c r="D360" s="4"/>
      <c r="E360" t="s">
        <v>18</v>
      </c>
      <c r="F360" t="str">
        <f>INDEX(Establishment!B$2:B$1005,MATCH($E360,Establishment!$A$2:$A$1005,0))</f>
        <v xml:space="preserve"> </v>
      </c>
      <c r="G360" t="str">
        <f>INDEX(Establishment!C$2:C$1005,MATCH($E360,Establishment!$A$2:$A$1005,0))</f>
        <v xml:space="preserve"> </v>
      </c>
      <c r="M360">
        <f t="shared" si="32"/>
        <v>0</v>
      </c>
      <c r="N360">
        <f t="shared" si="30"/>
        <v>0</v>
      </c>
      <c r="P360" t="e">
        <f>INDEX(Items!B$2:B$1032,MATCH($O360,Items!$A$2:$A$1032,0))</f>
        <v>#N/A</v>
      </c>
      <c r="Q360" t="e">
        <f>INDEX(Items!C$2:C$1032,MATCH($O360,Items!$A$2:$A$1032,0))</f>
        <v>#N/A</v>
      </c>
      <c r="R360" t="e">
        <f>INDEX(Items!D$2:D$1032,MATCH($O360,Items!$A$2:$A$1032,0))</f>
        <v>#N/A</v>
      </c>
    </row>
    <row r="361" spans="1:18" x14ac:dyDescent="0.25">
      <c r="A361">
        <f t="shared" si="28"/>
        <v>1</v>
      </c>
      <c r="B361" t="str">
        <f t="shared" si="29"/>
        <v/>
      </c>
      <c r="C361">
        <f t="shared" si="31"/>
        <v>1</v>
      </c>
      <c r="D361" s="4"/>
      <c r="E361" t="s">
        <v>18</v>
      </c>
      <c r="F361" t="str">
        <f>INDEX(Establishment!B$2:B$1005,MATCH($E361,Establishment!$A$2:$A$1005,0))</f>
        <v xml:space="preserve"> </v>
      </c>
      <c r="G361" t="str">
        <f>INDEX(Establishment!C$2:C$1005,MATCH($E361,Establishment!$A$2:$A$1005,0))</f>
        <v xml:space="preserve"> </v>
      </c>
      <c r="M361">
        <f t="shared" si="32"/>
        <v>0</v>
      </c>
      <c r="N361">
        <f t="shared" si="30"/>
        <v>0</v>
      </c>
      <c r="P361" t="e">
        <f>INDEX(Items!B$2:B$1032,MATCH($O361,Items!$A$2:$A$1032,0))</f>
        <v>#N/A</v>
      </c>
      <c r="Q361" t="e">
        <f>INDEX(Items!C$2:C$1032,MATCH($O361,Items!$A$2:$A$1032,0))</f>
        <v>#N/A</v>
      </c>
      <c r="R361" t="e">
        <f>INDEX(Items!D$2:D$1032,MATCH($O361,Items!$A$2:$A$1032,0))</f>
        <v>#N/A</v>
      </c>
    </row>
    <row r="362" spans="1:18" x14ac:dyDescent="0.25">
      <c r="A362">
        <f t="shared" si="28"/>
        <v>1</v>
      </c>
      <c r="B362" t="str">
        <f t="shared" si="29"/>
        <v/>
      </c>
      <c r="C362">
        <f t="shared" si="31"/>
        <v>1</v>
      </c>
      <c r="D362" s="4"/>
      <c r="E362" t="s">
        <v>18</v>
      </c>
      <c r="F362" t="str">
        <f>INDEX(Establishment!B$2:B$1005,MATCH($E362,Establishment!$A$2:$A$1005,0))</f>
        <v xml:space="preserve"> </v>
      </c>
      <c r="G362" t="str">
        <f>INDEX(Establishment!C$2:C$1005,MATCH($E362,Establishment!$A$2:$A$1005,0))</f>
        <v xml:space="preserve"> </v>
      </c>
      <c r="M362">
        <f t="shared" si="32"/>
        <v>0</v>
      </c>
      <c r="N362">
        <f t="shared" si="30"/>
        <v>0</v>
      </c>
      <c r="P362" t="e">
        <f>INDEX(Items!B$2:B$1032,MATCH($O362,Items!$A$2:$A$1032,0))</f>
        <v>#N/A</v>
      </c>
      <c r="Q362" t="e">
        <f>INDEX(Items!C$2:C$1032,MATCH($O362,Items!$A$2:$A$1032,0))</f>
        <v>#N/A</v>
      </c>
      <c r="R362" t="e">
        <f>INDEX(Items!D$2:D$1032,MATCH($O362,Items!$A$2:$A$1032,0))</f>
        <v>#N/A</v>
      </c>
    </row>
    <row r="363" spans="1:18" x14ac:dyDescent="0.25">
      <c r="A363">
        <f t="shared" si="28"/>
        <v>1</v>
      </c>
      <c r="B363" t="str">
        <f t="shared" si="29"/>
        <v/>
      </c>
      <c r="C363">
        <f t="shared" si="31"/>
        <v>1</v>
      </c>
      <c r="D363" s="4"/>
      <c r="E363" t="s">
        <v>18</v>
      </c>
      <c r="F363" t="str">
        <f>INDEX(Establishment!B$2:B$1005,MATCH($E363,Establishment!$A$2:$A$1005,0))</f>
        <v xml:space="preserve"> </v>
      </c>
      <c r="G363" t="str">
        <f>INDEX(Establishment!C$2:C$1005,MATCH($E363,Establishment!$A$2:$A$1005,0))</f>
        <v xml:space="preserve"> </v>
      </c>
      <c r="M363">
        <f t="shared" si="32"/>
        <v>0</v>
      </c>
      <c r="N363">
        <f t="shared" si="30"/>
        <v>0</v>
      </c>
      <c r="P363" t="e">
        <f>INDEX(Items!B$2:B$1032,MATCH($O363,Items!$A$2:$A$1032,0))</f>
        <v>#N/A</v>
      </c>
      <c r="Q363" t="e">
        <f>INDEX(Items!C$2:C$1032,MATCH($O363,Items!$A$2:$A$1032,0))</f>
        <v>#N/A</v>
      </c>
      <c r="R363" t="e">
        <f>INDEX(Items!D$2:D$1032,MATCH($O363,Items!$A$2:$A$1032,0))</f>
        <v>#N/A</v>
      </c>
    </row>
    <row r="364" spans="1:18" x14ac:dyDescent="0.25">
      <c r="A364">
        <f t="shared" si="28"/>
        <v>1</v>
      </c>
      <c r="B364" t="str">
        <f t="shared" si="29"/>
        <v/>
      </c>
      <c r="C364">
        <f t="shared" si="31"/>
        <v>1</v>
      </c>
      <c r="D364" s="4"/>
      <c r="E364" t="s">
        <v>18</v>
      </c>
      <c r="F364" t="str">
        <f>INDEX(Establishment!B$2:B$1005,MATCH($E364,Establishment!$A$2:$A$1005,0))</f>
        <v xml:space="preserve"> </v>
      </c>
      <c r="G364" t="str">
        <f>INDEX(Establishment!C$2:C$1005,MATCH($E364,Establishment!$A$2:$A$1005,0))</f>
        <v xml:space="preserve"> </v>
      </c>
      <c r="M364">
        <f t="shared" si="32"/>
        <v>0</v>
      </c>
      <c r="N364">
        <f t="shared" si="30"/>
        <v>0</v>
      </c>
      <c r="P364" t="e">
        <f>INDEX(Items!B$2:B$1032,MATCH($O364,Items!$A$2:$A$1032,0))</f>
        <v>#N/A</v>
      </c>
      <c r="Q364" t="e">
        <f>INDEX(Items!C$2:C$1032,MATCH($O364,Items!$A$2:$A$1032,0))</f>
        <v>#N/A</v>
      </c>
      <c r="R364" t="e">
        <f>INDEX(Items!D$2:D$1032,MATCH($O364,Items!$A$2:$A$1032,0))</f>
        <v>#N/A</v>
      </c>
    </row>
    <row r="365" spans="1:18" x14ac:dyDescent="0.25">
      <c r="A365">
        <f t="shared" si="28"/>
        <v>1</v>
      </c>
      <c r="B365" t="str">
        <f t="shared" si="29"/>
        <v/>
      </c>
      <c r="C365">
        <f t="shared" si="31"/>
        <v>1</v>
      </c>
      <c r="D365" s="4"/>
      <c r="E365" t="s">
        <v>18</v>
      </c>
      <c r="F365" t="str">
        <f>INDEX(Establishment!B$2:B$1005,MATCH($E365,Establishment!$A$2:$A$1005,0))</f>
        <v xml:space="preserve"> </v>
      </c>
      <c r="G365" t="str">
        <f>INDEX(Establishment!C$2:C$1005,MATCH($E365,Establishment!$A$2:$A$1005,0))</f>
        <v xml:space="preserve"> </v>
      </c>
      <c r="M365">
        <f t="shared" si="32"/>
        <v>0</v>
      </c>
      <c r="N365">
        <f t="shared" si="30"/>
        <v>0</v>
      </c>
      <c r="P365" t="e">
        <f>INDEX(Items!B$2:B$1032,MATCH($O365,Items!$A$2:$A$1032,0))</f>
        <v>#N/A</v>
      </c>
      <c r="Q365" t="e">
        <f>INDEX(Items!C$2:C$1032,MATCH($O365,Items!$A$2:$A$1032,0))</f>
        <v>#N/A</v>
      </c>
      <c r="R365" t="e">
        <f>INDEX(Items!D$2:D$1032,MATCH($O365,Items!$A$2:$A$1032,0))</f>
        <v>#N/A</v>
      </c>
    </row>
    <row r="366" spans="1:18" x14ac:dyDescent="0.25">
      <c r="A366">
        <f t="shared" si="28"/>
        <v>1</v>
      </c>
      <c r="B366" t="str">
        <f t="shared" si="29"/>
        <v/>
      </c>
      <c r="C366">
        <f t="shared" si="31"/>
        <v>1</v>
      </c>
      <c r="D366" s="4"/>
      <c r="E366" t="s">
        <v>18</v>
      </c>
      <c r="F366" t="str">
        <f>INDEX(Establishment!B$2:B$1005,MATCH($E366,Establishment!$A$2:$A$1005,0))</f>
        <v xml:space="preserve"> </v>
      </c>
      <c r="G366" t="str">
        <f>INDEX(Establishment!C$2:C$1005,MATCH($E366,Establishment!$A$2:$A$1005,0))</f>
        <v xml:space="preserve"> </v>
      </c>
      <c r="M366">
        <f t="shared" si="32"/>
        <v>0</v>
      </c>
      <c r="N366">
        <f t="shared" si="30"/>
        <v>0</v>
      </c>
      <c r="P366" t="e">
        <f>INDEX(Items!B$2:B$1032,MATCH($O366,Items!$A$2:$A$1032,0))</f>
        <v>#N/A</v>
      </c>
      <c r="Q366" t="e">
        <f>INDEX(Items!C$2:C$1032,MATCH($O366,Items!$A$2:$A$1032,0))</f>
        <v>#N/A</v>
      </c>
      <c r="R366" t="e">
        <f>INDEX(Items!D$2:D$1032,MATCH($O366,Items!$A$2:$A$1032,0))</f>
        <v>#N/A</v>
      </c>
    </row>
    <row r="367" spans="1:18" x14ac:dyDescent="0.25">
      <c r="A367">
        <f t="shared" si="28"/>
        <v>1</v>
      </c>
      <c r="B367" t="str">
        <f t="shared" si="29"/>
        <v/>
      </c>
      <c r="C367">
        <f t="shared" si="31"/>
        <v>1</v>
      </c>
      <c r="D367" s="4"/>
      <c r="E367" t="s">
        <v>18</v>
      </c>
      <c r="F367" t="str">
        <f>INDEX(Establishment!B$2:B$1005,MATCH($E367,Establishment!$A$2:$A$1005,0))</f>
        <v xml:space="preserve"> </v>
      </c>
      <c r="G367" t="str">
        <f>INDEX(Establishment!C$2:C$1005,MATCH($E367,Establishment!$A$2:$A$1005,0))</f>
        <v xml:space="preserve"> </v>
      </c>
      <c r="M367">
        <f t="shared" si="32"/>
        <v>0</v>
      </c>
      <c r="N367">
        <f t="shared" si="30"/>
        <v>0</v>
      </c>
      <c r="P367" t="e">
        <f>INDEX(Items!B$2:B$1032,MATCH($O367,Items!$A$2:$A$1032,0))</f>
        <v>#N/A</v>
      </c>
      <c r="Q367" t="e">
        <f>INDEX(Items!C$2:C$1032,MATCH($O367,Items!$A$2:$A$1032,0))</f>
        <v>#N/A</v>
      </c>
      <c r="R367" t="e">
        <f>INDEX(Items!D$2:D$1032,MATCH($O367,Items!$A$2:$A$1032,0))</f>
        <v>#N/A</v>
      </c>
    </row>
    <row r="368" spans="1:18" x14ac:dyDescent="0.25">
      <c r="A368">
        <f t="shared" si="28"/>
        <v>1</v>
      </c>
      <c r="B368" t="str">
        <f t="shared" si="29"/>
        <v/>
      </c>
      <c r="C368">
        <f t="shared" si="31"/>
        <v>1</v>
      </c>
      <c r="D368" s="4"/>
      <c r="E368" t="s">
        <v>18</v>
      </c>
      <c r="F368" t="str">
        <f>INDEX(Establishment!B$2:B$1005,MATCH($E368,Establishment!$A$2:$A$1005,0))</f>
        <v xml:space="preserve"> </v>
      </c>
      <c r="G368" t="str">
        <f>INDEX(Establishment!C$2:C$1005,MATCH($E368,Establishment!$A$2:$A$1005,0))</f>
        <v xml:space="preserve"> </v>
      </c>
      <c r="M368">
        <f t="shared" si="32"/>
        <v>0</v>
      </c>
      <c r="N368">
        <f t="shared" si="30"/>
        <v>0</v>
      </c>
      <c r="P368" t="e">
        <f>INDEX(Items!B$2:B$1032,MATCH($O368,Items!$A$2:$A$1032,0))</f>
        <v>#N/A</v>
      </c>
      <c r="Q368" t="e">
        <f>INDEX(Items!C$2:C$1032,MATCH($O368,Items!$A$2:$A$1032,0))</f>
        <v>#N/A</v>
      </c>
      <c r="R368" t="e">
        <f>INDEX(Items!D$2:D$1032,MATCH($O368,Items!$A$2:$A$1032,0))</f>
        <v>#N/A</v>
      </c>
    </row>
    <row r="369" spans="1:18" x14ac:dyDescent="0.25">
      <c r="A369">
        <f t="shared" si="28"/>
        <v>1</v>
      </c>
      <c r="B369" t="str">
        <f t="shared" si="29"/>
        <v/>
      </c>
      <c r="C369">
        <f t="shared" si="31"/>
        <v>1</v>
      </c>
      <c r="D369" s="4"/>
      <c r="E369" t="s">
        <v>18</v>
      </c>
      <c r="F369" t="str">
        <f>INDEX(Establishment!B$2:B$1005,MATCH($E369,Establishment!$A$2:$A$1005,0))</f>
        <v xml:space="preserve"> </v>
      </c>
      <c r="G369" t="str">
        <f>INDEX(Establishment!C$2:C$1005,MATCH($E369,Establishment!$A$2:$A$1005,0))</f>
        <v xml:space="preserve"> </v>
      </c>
      <c r="M369">
        <f t="shared" si="32"/>
        <v>0</v>
      </c>
      <c r="N369">
        <f t="shared" si="30"/>
        <v>0</v>
      </c>
      <c r="P369" t="e">
        <f>INDEX(Items!B$2:B$1032,MATCH($O369,Items!$A$2:$A$1032,0))</f>
        <v>#N/A</v>
      </c>
      <c r="Q369" t="e">
        <f>INDEX(Items!C$2:C$1032,MATCH($O369,Items!$A$2:$A$1032,0))</f>
        <v>#N/A</v>
      </c>
      <c r="R369" t="e">
        <f>INDEX(Items!D$2:D$1032,MATCH($O369,Items!$A$2:$A$1032,0))</f>
        <v>#N/A</v>
      </c>
    </row>
    <row r="370" spans="1:18" x14ac:dyDescent="0.25">
      <c r="A370">
        <f t="shared" si="28"/>
        <v>1</v>
      </c>
      <c r="B370" t="str">
        <f t="shared" si="29"/>
        <v/>
      </c>
      <c r="C370">
        <f t="shared" si="31"/>
        <v>1</v>
      </c>
      <c r="D370" s="4"/>
      <c r="E370" t="s">
        <v>18</v>
      </c>
      <c r="F370" t="str">
        <f>INDEX(Establishment!B$2:B$1005,MATCH($E370,Establishment!$A$2:$A$1005,0))</f>
        <v xml:space="preserve"> </v>
      </c>
      <c r="G370" t="str">
        <f>INDEX(Establishment!C$2:C$1005,MATCH($E370,Establishment!$A$2:$A$1005,0))</f>
        <v xml:space="preserve"> </v>
      </c>
      <c r="M370">
        <f t="shared" si="32"/>
        <v>0</v>
      </c>
      <c r="N370">
        <f t="shared" si="30"/>
        <v>0</v>
      </c>
      <c r="P370" t="e">
        <f>INDEX(Items!B$2:B$1032,MATCH($O370,Items!$A$2:$A$1032,0))</f>
        <v>#N/A</v>
      </c>
      <c r="Q370" t="e">
        <f>INDEX(Items!C$2:C$1032,MATCH($O370,Items!$A$2:$A$1032,0))</f>
        <v>#N/A</v>
      </c>
      <c r="R370" t="e">
        <f>INDEX(Items!D$2:D$1032,MATCH($O370,Items!$A$2:$A$1032,0))</f>
        <v>#N/A</v>
      </c>
    </row>
    <row r="371" spans="1:18" x14ac:dyDescent="0.25">
      <c r="A371">
        <f t="shared" si="28"/>
        <v>1</v>
      </c>
      <c r="B371" t="str">
        <f t="shared" si="29"/>
        <v/>
      </c>
      <c r="C371">
        <f t="shared" si="31"/>
        <v>1</v>
      </c>
      <c r="D371" s="4"/>
      <c r="E371" t="s">
        <v>18</v>
      </c>
      <c r="F371" t="str">
        <f>INDEX(Establishment!B$2:B$1005,MATCH($E371,Establishment!$A$2:$A$1005,0))</f>
        <v xml:space="preserve"> </v>
      </c>
      <c r="G371" t="str">
        <f>INDEX(Establishment!C$2:C$1005,MATCH($E371,Establishment!$A$2:$A$1005,0))</f>
        <v xml:space="preserve"> </v>
      </c>
      <c r="M371">
        <f t="shared" si="32"/>
        <v>0</v>
      </c>
      <c r="N371">
        <f t="shared" si="30"/>
        <v>0</v>
      </c>
      <c r="P371" t="e">
        <f>INDEX(Items!B$2:B$1032,MATCH($O371,Items!$A$2:$A$1032,0))</f>
        <v>#N/A</v>
      </c>
      <c r="Q371" t="e">
        <f>INDEX(Items!C$2:C$1032,MATCH($O371,Items!$A$2:$A$1032,0))</f>
        <v>#N/A</v>
      </c>
      <c r="R371" t="e">
        <f>INDEX(Items!D$2:D$1032,MATCH($O371,Items!$A$2:$A$1032,0))</f>
        <v>#N/A</v>
      </c>
    </row>
    <row r="372" spans="1:18" x14ac:dyDescent="0.25">
      <c r="A372">
        <f t="shared" si="28"/>
        <v>1</v>
      </c>
      <c r="B372" t="str">
        <f t="shared" si="29"/>
        <v/>
      </c>
      <c r="C372">
        <f t="shared" si="31"/>
        <v>1</v>
      </c>
      <c r="D372" s="4"/>
      <c r="E372" t="s">
        <v>18</v>
      </c>
      <c r="F372" t="str">
        <f>INDEX(Establishment!B$2:B$1005,MATCH($E372,Establishment!$A$2:$A$1005,0))</f>
        <v xml:space="preserve"> </v>
      </c>
      <c r="G372" t="str">
        <f>INDEX(Establishment!C$2:C$1005,MATCH($E372,Establishment!$A$2:$A$1005,0))</f>
        <v xml:space="preserve"> </v>
      </c>
      <c r="M372">
        <f t="shared" si="32"/>
        <v>0</v>
      </c>
      <c r="N372">
        <f t="shared" si="30"/>
        <v>0</v>
      </c>
      <c r="P372" t="e">
        <f>INDEX(Items!B$2:B$1032,MATCH($O372,Items!$A$2:$A$1032,0))</f>
        <v>#N/A</v>
      </c>
      <c r="Q372" t="e">
        <f>INDEX(Items!C$2:C$1032,MATCH($O372,Items!$A$2:$A$1032,0))</f>
        <v>#N/A</v>
      </c>
      <c r="R372" t="e">
        <f>INDEX(Items!D$2:D$1032,MATCH($O372,Items!$A$2:$A$1032,0))</f>
        <v>#N/A</v>
      </c>
    </row>
    <row r="373" spans="1:18" x14ac:dyDescent="0.25">
      <c r="A373">
        <f t="shared" si="28"/>
        <v>1</v>
      </c>
      <c r="B373" t="str">
        <f t="shared" si="29"/>
        <v/>
      </c>
      <c r="C373">
        <f t="shared" si="31"/>
        <v>1</v>
      </c>
      <c r="D373" s="4"/>
      <c r="E373" t="s">
        <v>18</v>
      </c>
      <c r="F373" t="str">
        <f>INDEX(Establishment!B$2:B$1005,MATCH($E373,Establishment!$A$2:$A$1005,0))</f>
        <v xml:space="preserve"> </v>
      </c>
      <c r="G373" t="str">
        <f>INDEX(Establishment!C$2:C$1005,MATCH($E373,Establishment!$A$2:$A$1005,0))</f>
        <v xml:space="preserve"> </v>
      </c>
      <c r="M373">
        <f t="shared" si="32"/>
        <v>0</v>
      </c>
      <c r="N373">
        <f t="shared" si="30"/>
        <v>0</v>
      </c>
      <c r="P373" t="e">
        <f>INDEX(Items!B$2:B$1032,MATCH($O373,Items!$A$2:$A$1032,0))</f>
        <v>#N/A</v>
      </c>
      <c r="Q373" t="e">
        <f>INDEX(Items!C$2:C$1032,MATCH($O373,Items!$A$2:$A$1032,0))</f>
        <v>#N/A</v>
      </c>
      <c r="R373" t="e">
        <f>INDEX(Items!D$2:D$1032,MATCH($O373,Items!$A$2:$A$1032,0))</f>
        <v>#N/A</v>
      </c>
    </row>
    <row r="374" spans="1:18" x14ac:dyDescent="0.25">
      <c r="A374">
        <f t="shared" si="28"/>
        <v>1</v>
      </c>
      <c r="B374" t="str">
        <f t="shared" si="29"/>
        <v/>
      </c>
      <c r="C374">
        <f t="shared" si="31"/>
        <v>1</v>
      </c>
      <c r="D374" s="4"/>
      <c r="E374" t="s">
        <v>18</v>
      </c>
      <c r="F374" t="str">
        <f>INDEX(Establishment!B$2:B$1005,MATCH($E374,Establishment!$A$2:$A$1005,0))</f>
        <v xml:space="preserve"> </v>
      </c>
      <c r="G374" t="str">
        <f>INDEX(Establishment!C$2:C$1005,MATCH($E374,Establishment!$A$2:$A$1005,0))</f>
        <v xml:space="preserve"> </v>
      </c>
      <c r="M374">
        <f t="shared" si="32"/>
        <v>0</v>
      </c>
      <c r="N374">
        <f t="shared" si="30"/>
        <v>0</v>
      </c>
      <c r="P374" t="e">
        <f>INDEX(Items!B$2:B$1032,MATCH($O374,Items!$A$2:$A$1032,0))</f>
        <v>#N/A</v>
      </c>
      <c r="Q374" t="e">
        <f>INDEX(Items!C$2:C$1032,MATCH($O374,Items!$A$2:$A$1032,0))</f>
        <v>#N/A</v>
      </c>
      <c r="R374" t="e">
        <f>INDEX(Items!D$2:D$1032,MATCH($O374,Items!$A$2:$A$1032,0))</f>
        <v>#N/A</v>
      </c>
    </row>
    <row r="375" spans="1:18" x14ac:dyDescent="0.25">
      <c r="A375">
        <f t="shared" si="28"/>
        <v>1</v>
      </c>
      <c r="B375" t="str">
        <f t="shared" si="29"/>
        <v/>
      </c>
      <c r="C375">
        <f t="shared" si="31"/>
        <v>1</v>
      </c>
      <c r="D375" s="4"/>
      <c r="E375" t="s">
        <v>18</v>
      </c>
      <c r="F375" t="str">
        <f>INDEX(Establishment!B$2:B$1005,MATCH($E375,Establishment!$A$2:$A$1005,0))</f>
        <v xml:space="preserve"> </v>
      </c>
      <c r="G375" t="str">
        <f>INDEX(Establishment!C$2:C$1005,MATCH($E375,Establishment!$A$2:$A$1005,0))</f>
        <v xml:space="preserve"> </v>
      </c>
      <c r="M375">
        <f t="shared" si="32"/>
        <v>0</v>
      </c>
      <c r="N375">
        <f t="shared" si="30"/>
        <v>0</v>
      </c>
      <c r="P375" t="e">
        <f>INDEX(Items!B$2:B$1032,MATCH($O375,Items!$A$2:$A$1032,0))</f>
        <v>#N/A</v>
      </c>
      <c r="Q375" t="e">
        <f>INDEX(Items!C$2:C$1032,MATCH($O375,Items!$A$2:$A$1032,0))</f>
        <v>#N/A</v>
      </c>
      <c r="R375" t="e">
        <f>INDEX(Items!D$2:D$1032,MATCH($O375,Items!$A$2:$A$1032,0))</f>
        <v>#N/A</v>
      </c>
    </row>
    <row r="376" spans="1:18" x14ac:dyDescent="0.25">
      <c r="A376">
        <f t="shared" si="28"/>
        <v>1</v>
      </c>
      <c r="B376" t="str">
        <f t="shared" si="29"/>
        <v/>
      </c>
      <c r="C376">
        <f t="shared" si="31"/>
        <v>1</v>
      </c>
      <c r="D376" s="4"/>
      <c r="E376" t="s">
        <v>18</v>
      </c>
      <c r="F376" t="str">
        <f>INDEX(Establishment!B$2:B$1005,MATCH($E376,Establishment!$A$2:$A$1005,0))</f>
        <v xml:space="preserve"> </v>
      </c>
      <c r="G376" t="str">
        <f>INDEX(Establishment!C$2:C$1005,MATCH($E376,Establishment!$A$2:$A$1005,0))</f>
        <v xml:space="preserve"> </v>
      </c>
      <c r="M376">
        <f t="shared" si="32"/>
        <v>0</v>
      </c>
      <c r="N376">
        <f t="shared" si="30"/>
        <v>0</v>
      </c>
      <c r="P376" t="e">
        <f>INDEX(Items!B$2:B$1032,MATCH($O376,Items!$A$2:$A$1032,0))</f>
        <v>#N/A</v>
      </c>
      <c r="Q376" t="e">
        <f>INDEX(Items!C$2:C$1032,MATCH($O376,Items!$A$2:$A$1032,0))</f>
        <v>#N/A</v>
      </c>
      <c r="R376" t="e">
        <f>INDEX(Items!D$2:D$1032,MATCH($O376,Items!$A$2:$A$1032,0))</f>
        <v>#N/A</v>
      </c>
    </row>
    <row r="377" spans="1:18" x14ac:dyDescent="0.25">
      <c r="A377">
        <f t="shared" si="28"/>
        <v>1</v>
      </c>
      <c r="B377" t="str">
        <f t="shared" si="29"/>
        <v/>
      </c>
      <c r="C377">
        <f t="shared" si="31"/>
        <v>1</v>
      </c>
      <c r="D377" s="4"/>
      <c r="E377" t="s">
        <v>18</v>
      </c>
      <c r="F377" t="str">
        <f>INDEX(Establishment!B$2:B$1005,MATCH($E377,Establishment!$A$2:$A$1005,0))</f>
        <v xml:space="preserve"> </v>
      </c>
      <c r="G377" t="str">
        <f>INDEX(Establishment!C$2:C$1005,MATCH($E377,Establishment!$A$2:$A$1005,0))</f>
        <v xml:space="preserve"> </v>
      </c>
      <c r="M377">
        <f t="shared" si="32"/>
        <v>0</v>
      </c>
      <c r="N377">
        <f t="shared" si="30"/>
        <v>0</v>
      </c>
      <c r="P377" t="e">
        <f>INDEX(Items!B$2:B$1032,MATCH($O377,Items!$A$2:$A$1032,0))</f>
        <v>#N/A</v>
      </c>
      <c r="Q377" t="e">
        <f>INDEX(Items!C$2:C$1032,MATCH($O377,Items!$A$2:$A$1032,0))</f>
        <v>#N/A</v>
      </c>
      <c r="R377" t="e">
        <f>INDEX(Items!D$2:D$1032,MATCH($O377,Items!$A$2:$A$1032,0))</f>
        <v>#N/A</v>
      </c>
    </row>
    <row r="378" spans="1:18" x14ac:dyDescent="0.25">
      <c r="A378">
        <f t="shared" si="28"/>
        <v>1</v>
      </c>
      <c r="B378" t="str">
        <f t="shared" si="29"/>
        <v/>
      </c>
      <c r="C378">
        <f t="shared" si="31"/>
        <v>1</v>
      </c>
      <c r="D378" s="4"/>
      <c r="E378" t="s">
        <v>18</v>
      </c>
      <c r="F378" t="str">
        <f>INDEX(Establishment!B$2:B$1005,MATCH($E378,Establishment!$A$2:$A$1005,0))</f>
        <v xml:space="preserve"> </v>
      </c>
      <c r="G378" t="str">
        <f>INDEX(Establishment!C$2:C$1005,MATCH($E378,Establishment!$A$2:$A$1005,0))</f>
        <v xml:space="preserve"> </v>
      </c>
      <c r="M378">
        <f t="shared" si="32"/>
        <v>0</v>
      </c>
      <c r="N378">
        <f t="shared" si="30"/>
        <v>0</v>
      </c>
      <c r="P378" t="e">
        <f>INDEX(Items!B$2:B$1032,MATCH($O378,Items!$A$2:$A$1032,0))</f>
        <v>#N/A</v>
      </c>
      <c r="Q378" t="e">
        <f>INDEX(Items!C$2:C$1032,MATCH($O378,Items!$A$2:$A$1032,0))</f>
        <v>#N/A</v>
      </c>
      <c r="R378" t="e">
        <f>INDEX(Items!D$2:D$1032,MATCH($O378,Items!$A$2:$A$1032,0))</f>
        <v>#N/A</v>
      </c>
    </row>
    <row r="379" spans="1:18" x14ac:dyDescent="0.25">
      <c r="A379">
        <f t="shared" si="28"/>
        <v>1</v>
      </c>
      <c r="B379" t="str">
        <f t="shared" si="29"/>
        <v/>
      </c>
      <c r="C379">
        <f t="shared" si="31"/>
        <v>1</v>
      </c>
      <c r="D379" s="4"/>
      <c r="E379" t="s">
        <v>18</v>
      </c>
      <c r="F379" t="str">
        <f>INDEX(Establishment!B$2:B$1005,MATCH($E379,Establishment!$A$2:$A$1005,0))</f>
        <v xml:space="preserve"> </v>
      </c>
      <c r="G379" t="str">
        <f>INDEX(Establishment!C$2:C$1005,MATCH($E379,Establishment!$A$2:$A$1005,0))</f>
        <v xml:space="preserve"> </v>
      </c>
      <c r="M379">
        <f t="shared" si="32"/>
        <v>0</v>
      </c>
      <c r="N379">
        <f t="shared" si="30"/>
        <v>0</v>
      </c>
      <c r="P379" t="e">
        <f>INDEX(Items!B$2:B$1032,MATCH($O379,Items!$A$2:$A$1032,0))</f>
        <v>#N/A</v>
      </c>
      <c r="Q379" t="e">
        <f>INDEX(Items!C$2:C$1032,MATCH($O379,Items!$A$2:$A$1032,0))</f>
        <v>#N/A</v>
      </c>
      <c r="R379" t="e">
        <f>INDEX(Items!D$2:D$1032,MATCH($O379,Items!$A$2:$A$1032,0))</f>
        <v>#N/A</v>
      </c>
    </row>
    <row r="380" spans="1:18" x14ac:dyDescent="0.25">
      <c r="A380">
        <f t="shared" si="28"/>
        <v>1</v>
      </c>
      <c r="B380" t="str">
        <f t="shared" si="29"/>
        <v/>
      </c>
      <c r="C380">
        <f t="shared" si="31"/>
        <v>1</v>
      </c>
      <c r="D380" s="4"/>
      <c r="E380" t="s">
        <v>18</v>
      </c>
      <c r="F380" t="str">
        <f>INDEX(Establishment!B$2:B$1005,MATCH($E380,Establishment!$A$2:$A$1005,0))</f>
        <v xml:space="preserve"> </v>
      </c>
      <c r="G380" t="str">
        <f>INDEX(Establishment!C$2:C$1005,MATCH($E380,Establishment!$A$2:$A$1005,0))</f>
        <v xml:space="preserve"> </v>
      </c>
      <c r="M380">
        <f t="shared" si="32"/>
        <v>0</v>
      </c>
      <c r="N380">
        <f t="shared" si="30"/>
        <v>0</v>
      </c>
      <c r="P380" t="e">
        <f>INDEX(Items!B$2:B$1032,MATCH($O380,Items!$A$2:$A$1032,0))</f>
        <v>#N/A</v>
      </c>
      <c r="Q380" t="e">
        <f>INDEX(Items!C$2:C$1032,MATCH($O380,Items!$A$2:$A$1032,0))</f>
        <v>#N/A</v>
      </c>
      <c r="R380" t="e">
        <f>INDEX(Items!D$2:D$1032,MATCH($O380,Items!$A$2:$A$1032,0))</f>
        <v>#N/A</v>
      </c>
    </row>
    <row r="381" spans="1:18" x14ac:dyDescent="0.25">
      <c r="A381">
        <f t="shared" si="28"/>
        <v>1</v>
      </c>
      <c r="B381" t="str">
        <f t="shared" si="29"/>
        <v/>
      </c>
      <c r="C381">
        <f t="shared" si="31"/>
        <v>1</v>
      </c>
      <c r="D381" s="4"/>
      <c r="E381" t="s">
        <v>18</v>
      </c>
      <c r="F381" t="str">
        <f>INDEX(Establishment!B$2:B$1005,MATCH($E381,Establishment!$A$2:$A$1005,0))</f>
        <v xml:space="preserve"> </v>
      </c>
      <c r="G381" t="str">
        <f>INDEX(Establishment!C$2:C$1005,MATCH($E381,Establishment!$A$2:$A$1005,0))</f>
        <v xml:space="preserve"> </v>
      </c>
      <c r="M381">
        <f t="shared" si="32"/>
        <v>0</v>
      </c>
      <c r="N381">
        <f t="shared" si="30"/>
        <v>0</v>
      </c>
      <c r="P381" t="e">
        <f>INDEX(Items!B$2:B$1032,MATCH($O381,Items!$A$2:$A$1032,0))</f>
        <v>#N/A</v>
      </c>
      <c r="Q381" t="e">
        <f>INDEX(Items!C$2:C$1032,MATCH($O381,Items!$A$2:$A$1032,0))</f>
        <v>#N/A</v>
      </c>
      <c r="R381" t="e">
        <f>INDEX(Items!D$2:D$1032,MATCH($O381,Items!$A$2:$A$1032,0))</f>
        <v>#N/A</v>
      </c>
    </row>
    <row r="382" spans="1:18" x14ac:dyDescent="0.25">
      <c r="A382">
        <f t="shared" si="28"/>
        <v>1</v>
      </c>
      <c r="B382" t="str">
        <f t="shared" si="29"/>
        <v/>
      </c>
      <c r="C382">
        <f t="shared" si="31"/>
        <v>1</v>
      </c>
      <c r="D382" s="4"/>
      <c r="E382" t="s">
        <v>18</v>
      </c>
      <c r="F382" t="str">
        <f>INDEX(Establishment!B$2:B$1005,MATCH($E382,Establishment!$A$2:$A$1005,0))</f>
        <v xml:space="preserve"> </v>
      </c>
      <c r="G382" t="str">
        <f>INDEX(Establishment!C$2:C$1005,MATCH($E382,Establishment!$A$2:$A$1005,0))</f>
        <v xml:space="preserve"> </v>
      </c>
      <c r="M382">
        <f t="shared" si="32"/>
        <v>0</v>
      </c>
      <c r="N382">
        <f t="shared" si="30"/>
        <v>0</v>
      </c>
      <c r="P382" t="e">
        <f>INDEX(Items!B$2:B$1032,MATCH($O382,Items!$A$2:$A$1032,0))</f>
        <v>#N/A</v>
      </c>
      <c r="Q382" t="e">
        <f>INDEX(Items!C$2:C$1032,MATCH($O382,Items!$A$2:$A$1032,0))</f>
        <v>#N/A</v>
      </c>
      <c r="R382" t="e">
        <f>INDEX(Items!D$2:D$1032,MATCH($O382,Items!$A$2:$A$1032,0))</f>
        <v>#N/A</v>
      </c>
    </row>
    <row r="383" spans="1:18" x14ac:dyDescent="0.25">
      <c r="A383">
        <f t="shared" si="28"/>
        <v>1</v>
      </c>
      <c r="B383" t="str">
        <f t="shared" si="29"/>
        <v/>
      </c>
      <c r="C383">
        <f t="shared" si="31"/>
        <v>1</v>
      </c>
      <c r="D383" s="4"/>
      <c r="E383" t="s">
        <v>18</v>
      </c>
      <c r="F383" t="str">
        <f>INDEX(Establishment!B$2:B$1005,MATCH($E383,Establishment!$A$2:$A$1005,0))</f>
        <v xml:space="preserve"> </v>
      </c>
      <c r="G383" t="str">
        <f>INDEX(Establishment!C$2:C$1005,MATCH($E383,Establishment!$A$2:$A$1005,0))</f>
        <v xml:space="preserve"> </v>
      </c>
      <c r="M383">
        <f t="shared" si="32"/>
        <v>0</v>
      </c>
      <c r="N383">
        <f t="shared" si="30"/>
        <v>0</v>
      </c>
      <c r="P383" t="e">
        <f>INDEX(Items!B$2:B$1032,MATCH($O383,Items!$A$2:$A$1032,0))</f>
        <v>#N/A</v>
      </c>
      <c r="Q383" t="e">
        <f>INDEX(Items!C$2:C$1032,MATCH($O383,Items!$A$2:$A$1032,0))</f>
        <v>#N/A</v>
      </c>
      <c r="R383" t="e">
        <f>INDEX(Items!D$2:D$1032,MATCH($O383,Items!$A$2:$A$1032,0))</f>
        <v>#N/A</v>
      </c>
    </row>
    <row r="384" spans="1:18" x14ac:dyDescent="0.25">
      <c r="A384">
        <f t="shared" si="28"/>
        <v>1</v>
      </c>
      <c r="B384" t="str">
        <f t="shared" si="29"/>
        <v/>
      </c>
      <c r="C384">
        <f t="shared" si="31"/>
        <v>1</v>
      </c>
      <c r="D384" s="4"/>
      <c r="E384" t="s">
        <v>18</v>
      </c>
      <c r="F384" t="str">
        <f>INDEX(Establishment!B$2:B$1005,MATCH($E384,Establishment!$A$2:$A$1005,0))</f>
        <v xml:space="preserve"> </v>
      </c>
      <c r="G384" t="str">
        <f>INDEX(Establishment!C$2:C$1005,MATCH($E384,Establishment!$A$2:$A$1005,0))</f>
        <v xml:space="preserve"> </v>
      </c>
      <c r="M384">
        <f t="shared" si="32"/>
        <v>0</v>
      </c>
      <c r="N384">
        <f t="shared" si="30"/>
        <v>0</v>
      </c>
      <c r="P384" t="e">
        <f>INDEX(Items!B$2:B$1032,MATCH($O384,Items!$A$2:$A$1032,0))</f>
        <v>#N/A</v>
      </c>
      <c r="Q384" t="e">
        <f>INDEX(Items!C$2:C$1032,MATCH($O384,Items!$A$2:$A$1032,0))</f>
        <v>#N/A</v>
      </c>
      <c r="R384" t="e">
        <f>INDEX(Items!D$2:D$1032,MATCH($O384,Items!$A$2:$A$1032,0))</f>
        <v>#N/A</v>
      </c>
    </row>
    <row r="385" spans="1:18" x14ac:dyDescent="0.25">
      <c r="A385">
        <f t="shared" si="28"/>
        <v>1</v>
      </c>
      <c r="B385" t="str">
        <f t="shared" si="29"/>
        <v/>
      </c>
      <c r="C385">
        <f t="shared" si="31"/>
        <v>1</v>
      </c>
      <c r="D385" s="4"/>
      <c r="E385" t="s">
        <v>18</v>
      </c>
      <c r="F385" t="str">
        <f>INDEX(Establishment!B$2:B$1005,MATCH($E385,Establishment!$A$2:$A$1005,0))</f>
        <v xml:space="preserve"> </v>
      </c>
      <c r="G385" t="str">
        <f>INDEX(Establishment!C$2:C$1005,MATCH($E385,Establishment!$A$2:$A$1005,0))</f>
        <v xml:space="preserve"> </v>
      </c>
      <c r="M385">
        <f t="shared" si="32"/>
        <v>0</v>
      </c>
      <c r="N385">
        <f t="shared" si="30"/>
        <v>0</v>
      </c>
      <c r="P385" t="e">
        <f>INDEX(Items!B$2:B$1032,MATCH($O385,Items!$A$2:$A$1032,0))</f>
        <v>#N/A</v>
      </c>
      <c r="Q385" t="e">
        <f>INDEX(Items!C$2:C$1032,MATCH($O385,Items!$A$2:$A$1032,0))</f>
        <v>#N/A</v>
      </c>
      <c r="R385" t="e">
        <f>INDEX(Items!D$2:D$1032,MATCH($O385,Items!$A$2:$A$1032,0))</f>
        <v>#N/A</v>
      </c>
    </row>
    <row r="386" spans="1:18" x14ac:dyDescent="0.25">
      <c r="A386">
        <f t="shared" ref="A386:A449" si="33">IF(OR(D386&lt;&gt;D385,D386=""),1,IF(NOT(AND(E386=E385,F386=F385,G386=G385)),A385+1,IF(OR(H386="",AND(H386&lt;&gt;"",H386&lt;&gt;H385,H385&lt;&gt;"")),A385,A385+1)))</f>
        <v>1</v>
      </c>
      <c r="B386" t="str">
        <f t="shared" ref="B386:B449" si="34">IF(D386&lt;&gt;"",TEXT(D386,"YYYYMMDD")&amp;CHAR(64+A386),"")</f>
        <v/>
      </c>
      <c r="C386">
        <f t="shared" si="31"/>
        <v>1</v>
      </c>
      <c r="D386" s="4"/>
      <c r="E386" t="s">
        <v>18</v>
      </c>
      <c r="F386" t="str">
        <f>INDEX(Establishment!B$2:B$1005,MATCH($E386,Establishment!$A$2:$A$1005,0))</f>
        <v xml:space="preserve"> </v>
      </c>
      <c r="G386" t="str">
        <f>INDEX(Establishment!C$2:C$1005,MATCH($E386,Establishment!$A$2:$A$1005,0))</f>
        <v xml:space="preserve"> </v>
      </c>
      <c r="M386">
        <f t="shared" si="32"/>
        <v>0</v>
      </c>
      <c r="N386">
        <f t="shared" si="30"/>
        <v>0</v>
      </c>
      <c r="P386" t="e">
        <f>INDEX(Items!B$2:B$1032,MATCH($O386,Items!$A$2:$A$1032,0))</f>
        <v>#N/A</v>
      </c>
      <c r="Q386" t="e">
        <f>INDEX(Items!C$2:C$1032,MATCH($O386,Items!$A$2:$A$1032,0))</f>
        <v>#N/A</v>
      </c>
      <c r="R386" t="e">
        <f>INDEX(Items!D$2:D$1032,MATCH($O386,Items!$A$2:$A$1032,0))</f>
        <v>#N/A</v>
      </c>
    </row>
    <row r="387" spans="1:18" x14ac:dyDescent="0.25">
      <c r="A387">
        <f t="shared" si="33"/>
        <v>1</v>
      </c>
      <c r="B387" t="str">
        <f t="shared" si="34"/>
        <v/>
      </c>
      <c r="C387">
        <f t="shared" si="31"/>
        <v>1</v>
      </c>
      <c r="D387" s="4"/>
      <c r="E387" t="s">
        <v>18</v>
      </c>
      <c r="F387" t="str">
        <f>INDEX(Establishment!B$2:B$1005,MATCH($E387,Establishment!$A$2:$A$1005,0))</f>
        <v xml:space="preserve"> </v>
      </c>
      <c r="G387" t="str">
        <f>INDEX(Establishment!C$2:C$1005,MATCH($E387,Establishment!$A$2:$A$1005,0))</f>
        <v xml:space="preserve"> </v>
      </c>
      <c r="M387">
        <f t="shared" si="32"/>
        <v>0</v>
      </c>
      <c r="N387">
        <f t="shared" ref="N387:N450" si="35">IF(B387=B386,N386+M387,M387)</f>
        <v>0</v>
      </c>
      <c r="P387" t="e">
        <f>INDEX(Items!B$2:B$1032,MATCH($O387,Items!$A$2:$A$1032,0))</f>
        <v>#N/A</v>
      </c>
      <c r="Q387" t="e">
        <f>INDEX(Items!C$2:C$1032,MATCH($O387,Items!$A$2:$A$1032,0))</f>
        <v>#N/A</v>
      </c>
      <c r="R387" t="e">
        <f>INDEX(Items!D$2:D$1032,MATCH($O387,Items!$A$2:$A$1032,0))</f>
        <v>#N/A</v>
      </c>
    </row>
    <row r="388" spans="1:18" x14ac:dyDescent="0.25">
      <c r="A388">
        <f t="shared" si="33"/>
        <v>1</v>
      </c>
      <c r="B388" t="str">
        <f t="shared" si="34"/>
        <v/>
      </c>
      <c r="C388">
        <f t="shared" si="31"/>
        <v>1</v>
      </c>
      <c r="D388" s="4"/>
      <c r="E388" t="s">
        <v>18</v>
      </c>
      <c r="F388" t="str">
        <f>INDEX(Establishment!B$2:B$1005,MATCH($E388,Establishment!$A$2:$A$1005,0))</f>
        <v xml:space="preserve"> </v>
      </c>
      <c r="G388" t="str">
        <f>INDEX(Establishment!C$2:C$1005,MATCH($E388,Establishment!$A$2:$A$1005,0))</f>
        <v xml:space="preserve"> </v>
      </c>
      <c r="M388">
        <f t="shared" si="32"/>
        <v>0</v>
      </c>
      <c r="N388">
        <f t="shared" si="35"/>
        <v>0</v>
      </c>
      <c r="P388" t="e">
        <f>INDEX(Items!B$2:B$1032,MATCH($O388,Items!$A$2:$A$1032,0))</f>
        <v>#N/A</v>
      </c>
      <c r="Q388" t="e">
        <f>INDEX(Items!C$2:C$1032,MATCH($O388,Items!$A$2:$A$1032,0))</f>
        <v>#N/A</v>
      </c>
      <c r="R388" t="e">
        <f>INDEX(Items!D$2:D$1032,MATCH($O388,Items!$A$2:$A$1032,0))</f>
        <v>#N/A</v>
      </c>
    </row>
    <row r="389" spans="1:18" x14ac:dyDescent="0.25">
      <c r="A389">
        <f t="shared" si="33"/>
        <v>1</v>
      </c>
      <c r="B389" t="str">
        <f t="shared" si="34"/>
        <v/>
      </c>
      <c r="C389">
        <f t="shared" si="31"/>
        <v>1</v>
      </c>
      <c r="D389" s="4"/>
      <c r="E389" t="s">
        <v>18</v>
      </c>
      <c r="F389" t="str">
        <f>INDEX(Establishment!B$2:B$1005,MATCH($E389,Establishment!$A$2:$A$1005,0))</f>
        <v xml:space="preserve"> </v>
      </c>
      <c r="G389" t="str">
        <f>INDEX(Establishment!C$2:C$1005,MATCH($E389,Establishment!$A$2:$A$1005,0))</f>
        <v xml:space="preserve"> </v>
      </c>
      <c r="M389">
        <f t="shared" si="32"/>
        <v>0</v>
      </c>
      <c r="N389">
        <f t="shared" si="35"/>
        <v>0</v>
      </c>
      <c r="P389" t="e">
        <f>INDEX(Items!B$2:B$1032,MATCH($O389,Items!$A$2:$A$1032,0))</f>
        <v>#N/A</v>
      </c>
      <c r="Q389" t="e">
        <f>INDEX(Items!C$2:C$1032,MATCH($O389,Items!$A$2:$A$1032,0))</f>
        <v>#N/A</v>
      </c>
      <c r="R389" t="e">
        <f>INDEX(Items!D$2:D$1032,MATCH($O389,Items!$A$2:$A$1032,0))</f>
        <v>#N/A</v>
      </c>
    </row>
    <row r="390" spans="1:18" x14ac:dyDescent="0.25">
      <c r="A390">
        <f t="shared" si="33"/>
        <v>1</v>
      </c>
      <c r="B390" t="str">
        <f t="shared" si="34"/>
        <v/>
      </c>
      <c r="C390">
        <f t="shared" si="31"/>
        <v>1</v>
      </c>
      <c r="D390" s="4"/>
      <c r="E390" t="s">
        <v>18</v>
      </c>
      <c r="F390" t="str">
        <f>INDEX(Establishment!B$2:B$1005,MATCH($E390,Establishment!$A$2:$A$1005,0))</f>
        <v xml:space="preserve"> </v>
      </c>
      <c r="G390" t="str">
        <f>INDEX(Establishment!C$2:C$1005,MATCH($E390,Establishment!$A$2:$A$1005,0))</f>
        <v xml:space="preserve"> </v>
      </c>
      <c r="M390">
        <f t="shared" si="32"/>
        <v>0</v>
      </c>
      <c r="N390">
        <f t="shared" si="35"/>
        <v>0</v>
      </c>
      <c r="P390" t="e">
        <f>INDEX(Items!B$2:B$1032,MATCH($O390,Items!$A$2:$A$1032,0))</f>
        <v>#N/A</v>
      </c>
      <c r="Q390" t="e">
        <f>INDEX(Items!C$2:C$1032,MATCH($O390,Items!$A$2:$A$1032,0))</f>
        <v>#N/A</v>
      </c>
      <c r="R390" t="e">
        <f>INDEX(Items!D$2:D$1032,MATCH($O390,Items!$A$2:$A$1032,0))</f>
        <v>#N/A</v>
      </c>
    </row>
    <row r="391" spans="1:18" x14ac:dyDescent="0.25">
      <c r="A391">
        <f t="shared" si="33"/>
        <v>1</v>
      </c>
      <c r="B391" t="str">
        <f t="shared" si="34"/>
        <v/>
      </c>
      <c r="C391">
        <f t="shared" si="31"/>
        <v>1</v>
      </c>
      <c r="D391" s="4"/>
      <c r="E391" t="s">
        <v>18</v>
      </c>
      <c r="F391" t="str">
        <f>INDEX(Establishment!B$2:B$1005,MATCH($E391,Establishment!$A$2:$A$1005,0))</f>
        <v xml:space="preserve"> </v>
      </c>
      <c r="G391" t="str">
        <f>INDEX(Establishment!C$2:C$1005,MATCH($E391,Establishment!$A$2:$A$1005,0))</f>
        <v xml:space="preserve"> </v>
      </c>
      <c r="M391">
        <f t="shared" si="32"/>
        <v>0</v>
      </c>
      <c r="N391">
        <f t="shared" si="35"/>
        <v>0</v>
      </c>
      <c r="P391" t="e">
        <f>INDEX(Items!B$2:B$1032,MATCH($O391,Items!$A$2:$A$1032,0))</f>
        <v>#N/A</v>
      </c>
      <c r="Q391" t="e">
        <f>INDEX(Items!C$2:C$1032,MATCH($O391,Items!$A$2:$A$1032,0))</f>
        <v>#N/A</v>
      </c>
      <c r="R391" t="e">
        <f>INDEX(Items!D$2:D$1032,MATCH($O391,Items!$A$2:$A$1032,0))</f>
        <v>#N/A</v>
      </c>
    </row>
    <row r="392" spans="1:18" x14ac:dyDescent="0.25">
      <c r="A392">
        <f t="shared" si="33"/>
        <v>1</v>
      </c>
      <c r="B392" t="str">
        <f t="shared" si="34"/>
        <v/>
      </c>
      <c r="C392">
        <f t="shared" si="31"/>
        <v>1</v>
      </c>
      <c r="D392" s="4"/>
      <c r="E392" t="s">
        <v>18</v>
      </c>
      <c r="F392" t="str">
        <f>INDEX(Establishment!B$2:B$1005,MATCH($E392,Establishment!$A$2:$A$1005,0))</f>
        <v xml:space="preserve"> </v>
      </c>
      <c r="G392" t="str">
        <f>INDEX(Establishment!C$2:C$1005,MATCH($E392,Establishment!$A$2:$A$1005,0))</f>
        <v xml:space="preserve"> </v>
      </c>
      <c r="M392">
        <f t="shared" si="32"/>
        <v>0</v>
      </c>
      <c r="N392">
        <f t="shared" si="35"/>
        <v>0</v>
      </c>
      <c r="P392" t="e">
        <f>INDEX(Items!B$2:B$1032,MATCH($O392,Items!$A$2:$A$1032,0))</f>
        <v>#N/A</v>
      </c>
      <c r="Q392" t="e">
        <f>INDEX(Items!C$2:C$1032,MATCH($O392,Items!$A$2:$A$1032,0))</f>
        <v>#N/A</v>
      </c>
      <c r="R392" t="e">
        <f>INDEX(Items!D$2:D$1032,MATCH($O392,Items!$A$2:$A$1032,0))</f>
        <v>#N/A</v>
      </c>
    </row>
    <row r="393" spans="1:18" x14ac:dyDescent="0.25">
      <c r="A393">
        <f t="shared" si="33"/>
        <v>1</v>
      </c>
      <c r="B393" t="str">
        <f t="shared" si="34"/>
        <v/>
      </c>
      <c r="C393">
        <f t="shared" si="31"/>
        <v>1</v>
      </c>
      <c r="D393" s="4"/>
      <c r="E393" t="s">
        <v>18</v>
      </c>
      <c r="F393" t="str">
        <f>INDEX(Establishment!B$2:B$1005,MATCH($E393,Establishment!$A$2:$A$1005,0))</f>
        <v xml:space="preserve"> </v>
      </c>
      <c r="G393" t="str">
        <f>INDEX(Establishment!C$2:C$1005,MATCH($E393,Establishment!$A$2:$A$1005,0))</f>
        <v xml:space="preserve"> </v>
      </c>
      <c r="M393">
        <f t="shared" si="32"/>
        <v>0</v>
      </c>
      <c r="N393">
        <f t="shared" si="35"/>
        <v>0</v>
      </c>
      <c r="P393" t="e">
        <f>INDEX(Items!B$2:B$1032,MATCH($O393,Items!$A$2:$A$1032,0))</f>
        <v>#N/A</v>
      </c>
      <c r="Q393" t="e">
        <f>INDEX(Items!C$2:C$1032,MATCH($O393,Items!$A$2:$A$1032,0))</f>
        <v>#N/A</v>
      </c>
      <c r="R393" t="e">
        <f>INDEX(Items!D$2:D$1032,MATCH($O393,Items!$A$2:$A$1032,0))</f>
        <v>#N/A</v>
      </c>
    </row>
    <row r="394" spans="1:18" x14ac:dyDescent="0.25">
      <c r="A394">
        <f t="shared" si="33"/>
        <v>1</v>
      </c>
      <c r="B394" t="str">
        <f t="shared" si="34"/>
        <v/>
      </c>
      <c r="C394">
        <f t="shared" ref="C394:C457" si="36">IF(OR(B394="",B394&lt;&gt;B393),1,C393+1)</f>
        <v>1</v>
      </c>
      <c r="D394" s="4"/>
      <c r="E394" t="s">
        <v>18</v>
      </c>
      <c r="F394" t="str">
        <f>INDEX(Establishment!B$2:B$1005,MATCH($E394,Establishment!$A$2:$A$1005,0))</f>
        <v xml:space="preserve"> </v>
      </c>
      <c r="G394" t="str">
        <f>INDEX(Establishment!C$2:C$1005,MATCH($E394,Establishment!$A$2:$A$1005,0))</f>
        <v xml:space="preserve"> </v>
      </c>
      <c r="M394">
        <f t="shared" ref="M394:M457" si="37">K394*L394</f>
        <v>0</v>
      </c>
      <c r="N394">
        <f t="shared" si="35"/>
        <v>0</v>
      </c>
      <c r="P394" t="e">
        <f>INDEX(Items!B$2:B$1032,MATCH($O394,Items!$A$2:$A$1032,0))</f>
        <v>#N/A</v>
      </c>
      <c r="Q394" t="e">
        <f>INDEX(Items!C$2:C$1032,MATCH($O394,Items!$A$2:$A$1032,0))</f>
        <v>#N/A</v>
      </c>
      <c r="R394" t="e">
        <f>INDEX(Items!D$2:D$1032,MATCH($O394,Items!$A$2:$A$1032,0))</f>
        <v>#N/A</v>
      </c>
    </row>
    <row r="395" spans="1:18" x14ac:dyDescent="0.25">
      <c r="A395">
        <f t="shared" si="33"/>
        <v>1</v>
      </c>
      <c r="B395" t="str">
        <f t="shared" si="34"/>
        <v/>
      </c>
      <c r="C395">
        <f t="shared" si="36"/>
        <v>1</v>
      </c>
      <c r="D395" s="4"/>
      <c r="E395" t="s">
        <v>18</v>
      </c>
      <c r="F395" t="str">
        <f>INDEX(Establishment!B$2:B$1005,MATCH($E395,Establishment!$A$2:$A$1005,0))</f>
        <v xml:space="preserve"> </v>
      </c>
      <c r="G395" t="str">
        <f>INDEX(Establishment!C$2:C$1005,MATCH($E395,Establishment!$A$2:$A$1005,0))</f>
        <v xml:space="preserve"> </v>
      </c>
      <c r="M395">
        <f t="shared" si="37"/>
        <v>0</v>
      </c>
      <c r="N395">
        <f t="shared" si="35"/>
        <v>0</v>
      </c>
      <c r="P395" t="e">
        <f>INDEX(Items!B$2:B$1032,MATCH($O395,Items!$A$2:$A$1032,0))</f>
        <v>#N/A</v>
      </c>
      <c r="Q395" t="e">
        <f>INDEX(Items!C$2:C$1032,MATCH($O395,Items!$A$2:$A$1032,0))</f>
        <v>#N/A</v>
      </c>
      <c r="R395" t="e">
        <f>INDEX(Items!D$2:D$1032,MATCH($O395,Items!$A$2:$A$1032,0))</f>
        <v>#N/A</v>
      </c>
    </row>
    <row r="396" spans="1:18" x14ac:dyDescent="0.25">
      <c r="A396">
        <f t="shared" si="33"/>
        <v>1</v>
      </c>
      <c r="B396" t="str">
        <f t="shared" si="34"/>
        <v/>
      </c>
      <c r="C396">
        <f t="shared" si="36"/>
        <v>1</v>
      </c>
      <c r="D396" s="4"/>
      <c r="E396" t="s">
        <v>18</v>
      </c>
      <c r="F396" t="str">
        <f>INDEX(Establishment!B$2:B$1005,MATCH($E396,Establishment!$A$2:$A$1005,0))</f>
        <v xml:space="preserve"> </v>
      </c>
      <c r="G396" t="str">
        <f>INDEX(Establishment!C$2:C$1005,MATCH($E396,Establishment!$A$2:$A$1005,0))</f>
        <v xml:space="preserve"> </v>
      </c>
      <c r="M396">
        <f t="shared" si="37"/>
        <v>0</v>
      </c>
      <c r="N396">
        <f t="shared" si="35"/>
        <v>0</v>
      </c>
      <c r="P396" t="e">
        <f>INDEX(Items!B$2:B$1032,MATCH($O396,Items!$A$2:$A$1032,0))</f>
        <v>#N/A</v>
      </c>
      <c r="Q396" t="e">
        <f>INDEX(Items!C$2:C$1032,MATCH($O396,Items!$A$2:$A$1032,0))</f>
        <v>#N/A</v>
      </c>
      <c r="R396" t="e">
        <f>INDEX(Items!D$2:D$1032,MATCH($O396,Items!$A$2:$A$1032,0))</f>
        <v>#N/A</v>
      </c>
    </row>
    <row r="397" spans="1:18" x14ac:dyDescent="0.25">
      <c r="A397">
        <f t="shared" si="33"/>
        <v>1</v>
      </c>
      <c r="B397" t="str">
        <f t="shared" si="34"/>
        <v/>
      </c>
      <c r="C397">
        <f t="shared" si="36"/>
        <v>1</v>
      </c>
      <c r="D397" s="4"/>
      <c r="E397" t="s">
        <v>18</v>
      </c>
      <c r="F397" t="str">
        <f>INDEX(Establishment!B$2:B$1005,MATCH($E397,Establishment!$A$2:$A$1005,0))</f>
        <v xml:space="preserve"> </v>
      </c>
      <c r="G397" t="str">
        <f>INDEX(Establishment!C$2:C$1005,MATCH($E397,Establishment!$A$2:$A$1005,0))</f>
        <v xml:space="preserve"> </v>
      </c>
      <c r="M397">
        <f t="shared" si="37"/>
        <v>0</v>
      </c>
      <c r="N397">
        <f t="shared" si="35"/>
        <v>0</v>
      </c>
      <c r="P397" t="e">
        <f>INDEX(Items!B$2:B$1032,MATCH($O397,Items!$A$2:$A$1032,0))</f>
        <v>#N/A</v>
      </c>
      <c r="Q397" t="e">
        <f>INDEX(Items!C$2:C$1032,MATCH($O397,Items!$A$2:$A$1032,0))</f>
        <v>#N/A</v>
      </c>
      <c r="R397" t="e">
        <f>INDEX(Items!D$2:D$1032,MATCH($O397,Items!$A$2:$A$1032,0))</f>
        <v>#N/A</v>
      </c>
    </row>
    <row r="398" spans="1:18" x14ac:dyDescent="0.25">
      <c r="A398">
        <f t="shared" si="33"/>
        <v>1</v>
      </c>
      <c r="B398" t="str">
        <f t="shared" si="34"/>
        <v/>
      </c>
      <c r="C398">
        <f t="shared" si="36"/>
        <v>1</v>
      </c>
      <c r="D398" s="4"/>
      <c r="E398" t="s">
        <v>18</v>
      </c>
      <c r="F398" t="str">
        <f>INDEX(Establishment!B$2:B$1005,MATCH($E398,Establishment!$A$2:$A$1005,0))</f>
        <v xml:space="preserve"> </v>
      </c>
      <c r="G398" t="str">
        <f>INDEX(Establishment!C$2:C$1005,MATCH($E398,Establishment!$A$2:$A$1005,0))</f>
        <v xml:space="preserve"> </v>
      </c>
      <c r="M398">
        <f t="shared" si="37"/>
        <v>0</v>
      </c>
      <c r="N398">
        <f t="shared" si="35"/>
        <v>0</v>
      </c>
      <c r="P398" t="e">
        <f>INDEX(Items!B$2:B$1032,MATCH($O398,Items!$A$2:$A$1032,0))</f>
        <v>#N/A</v>
      </c>
      <c r="Q398" t="e">
        <f>INDEX(Items!C$2:C$1032,MATCH($O398,Items!$A$2:$A$1032,0))</f>
        <v>#N/A</v>
      </c>
      <c r="R398" t="e">
        <f>INDEX(Items!D$2:D$1032,MATCH($O398,Items!$A$2:$A$1032,0))</f>
        <v>#N/A</v>
      </c>
    </row>
    <row r="399" spans="1:18" x14ac:dyDescent="0.25">
      <c r="A399">
        <f t="shared" si="33"/>
        <v>1</v>
      </c>
      <c r="B399" t="str">
        <f t="shared" si="34"/>
        <v/>
      </c>
      <c r="C399">
        <f t="shared" si="36"/>
        <v>1</v>
      </c>
      <c r="D399" s="4"/>
      <c r="E399" t="s">
        <v>18</v>
      </c>
      <c r="F399" t="str">
        <f>INDEX(Establishment!B$2:B$1005,MATCH($E399,Establishment!$A$2:$A$1005,0))</f>
        <v xml:space="preserve"> </v>
      </c>
      <c r="G399" t="str">
        <f>INDEX(Establishment!C$2:C$1005,MATCH($E399,Establishment!$A$2:$A$1005,0))</f>
        <v xml:space="preserve"> </v>
      </c>
      <c r="M399">
        <f t="shared" si="37"/>
        <v>0</v>
      </c>
      <c r="N399">
        <f t="shared" si="35"/>
        <v>0</v>
      </c>
      <c r="P399" t="e">
        <f>INDEX(Items!B$2:B$1032,MATCH($O399,Items!$A$2:$A$1032,0))</f>
        <v>#N/A</v>
      </c>
      <c r="Q399" t="e">
        <f>INDEX(Items!C$2:C$1032,MATCH($O399,Items!$A$2:$A$1032,0))</f>
        <v>#N/A</v>
      </c>
      <c r="R399" t="e">
        <f>INDEX(Items!D$2:D$1032,MATCH($O399,Items!$A$2:$A$1032,0))</f>
        <v>#N/A</v>
      </c>
    </row>
    <row r="400" spans="1:18" x14ac:dyDescent="0.25">
      <c r="A400">
        <f t="shared" si="33"/>
        <v>1</v>
      </c>
      <c r="B400" t="str">
        <f t="shared" si="34"/>
        <v/>
      </c>
      <c r="C400">
        <f t="shared" si="36"/>
        <v>1</v>
      </c>
      <c r="D400" s="4"/>
      <c r="E400" t="s">
        <v>18</v>
      </c>
      <c r="F400" t="str">
        <f>INDEX(Establishment!B$2:B$1005,MATCH($E400,Establishment!$A$2:$A$1005,0))</f>
        <v xml:space="preserve"> </v>
      </c>
      <c r="G400" t="str">
        <f>INDEX(Establishment!C$2:C$1005,MATCH($E400,Establishment!$A$2:$A$1005,0))</f>
        <v xml:space="preserve"> </v>
      </c>
      <c r="M400">
        <f t="shared" si="37"/>
        <v>0</v>
      </c>
      <c r="N400">
        <f t="shared" si="35"/>
        <v>0</v>
      </c>
      <c r="P400" t="e">
        <f>INDEX(Items!B$2:B$1032,MATCH($O400,Items!$A$2:$A$1032,0))</f>
        <v>#N/A</v>
      </c>
      <c r="Q400" t="e">
        <f>INDEX(Items!C$2:C$1032,MATCH($O400,Items!$A$2:$A$1032,0))</f>
        <v>#N/A</v>
      </c>
      <c r="R400" t="e">
        <f>INDEX(Items!D$2:D$1032,MATCH($O400,Items!$A$2:$A$1032,0))</f>
        <v>#N/A</v>
      </c>
    </row>
    <row r="401" spans="1:18" x14ac:dyDescent="0.25">
      <c r="A401">
        <f t="shared" si="33"/>
        <v>1</v>
      </c>
      <c r="B401" t="str">
        <f t="shared" si="34"/>
        <v/>
      </c>
      <c r="C401">
        <f t="shared" si="36"/>
        <v>1</v>
      </c>
      <c r="D401" s="4"/>
      <c r="E401" t="s">
        <v>18</v>
      </c>
      <c r="F401" t="str">
        <f>INDEX(Establishment!B$2:B$1005,MATCH($E401,Establishment!$A$2:$A$1005,0))</f>
        <v xml:space="preserve"> </v>
      </c>
      <c r="G401" t="str">
        <f>INDEX(Establishment!C$2:C$1005,MATCH($E401,Establishment!$A$2:$A$1005,0))</f>
        <v xml:space="preserve"> </v>
      </c>
      <c r="M401">
        <f t="shared" si="37"/>
        <v>0</v>
      </c>
      <c r="N401">
        <f t="shared" si="35"/>
        <v>0</v>
      </c>
      <c r="P401" t="e">
        <f>INDEX(Items!B$2:B$1032,MATCH($O401,Items!$A$2:$A$1032,0))</f>
        <v>#N/A</v>
      </c>
      <c r="Q401" t="e">
        <f>INDEX(Items!C$2:C$1032,MATCH($O401,Items!$A$2:$A$1032,0))</f>
        <v>#N/A</v>
      </c>
      <c r="R401" t="e">
        <f>INDEX(Items!D$2:D$1032,MATCH($O401,Items!$A$2:$A$1032,0))</f>
        <v>#N/A</v>
      </c>
    </row>
    <row r="402" spans="1:18" x14ac:dyDescent="0.25">
      <c r="A402">
        <f t="shared" si="33"/>
        <v>1</v>
      </c>
      <c r="B402" t="str">
        <f t="shared" si="34"/>
        <v/>
      </c>
      <c r="C402">
        <f t="shared" si="36"/>
        <v>1</v>
      </c>
      <c r="D402" s="4"/>
      <c r="E402" t="s">
        <v>18</v>
      </c>
      <c r="F402" t="str">
        <f>INDEX(Establishment!B$2:B$1005,MATCH($E402,Establishment!$A$2:$A$1005,0))</f>
        <v xml:space="preserve"> </v>
      </c>
      <c r="G402" t="str">
        <f>INDEX(Establishment!C$2:C$1005,MATCH($E402,Establishment!$A$2:$A$1005,0))</f>
        <v xml:space="preserve"> </v>
      </c>
      <c r="M402">
        <f t="shared" si="37"/>
        <v>0</v>
      </c>
      <c r="N402">
        <f t="shared" si="35"/>
        <v>0</v>
      </c>
      <c r="P402" t="e">
        <f>INDEX(Items!B$2:B$1032,MATCH($O402,Items!$A$2:$A$1032,0))</f>
        <v>#N/A</v>
      </c>
      <c r="Q402" t="e">
        <f>INDEX(Items!C$2:C$1032,MATCH($O402,Items!$A$2:$A$1032,0))</f>
        <v>#N/A</v>
      </c>
      <c r="R402" t="e">
        <f>INDEX(Items!D$2:D$1032,MATCH($O402,Items!$A$2:$A$1032,0))</f>
        <v>#N/A</v>
      </c>
    </row>
    <row r="403" spans="1:18" x14ac:dyDescent="0.25">
      <c r="A403">
        <f t="shared" si="33"/>
        <v>1</v>
      </c>
      <c r="B403" t="str">
        <f t="shared" si="34"/>
        <v/>
      </c>
      <c r="C403">
        <f t="shared" si="36"/>
        <v>1</v>
      </c>
      <c r="D403" s="4"/>
      <c r="E403" t="s">
        <v>18</v>
      </c>
      <c r="F403" t="str">
        <f>INDEX(Establishment!B$2:B$1005,MATCH($E403,Establishment!$A$2:$A$1005,0))</f>
        <v xml:space="preserve"> </v>
      </c>
      <c r="G403" t="str">
        <f>INDEX(Establishment!C$2:C$1005,MATCH($E403,Establishment!$A$2:$A$1005,0))</f>
        <v xml:space="preserve"> </v>
      </c>
      <c r="M403">
        <f t="shared" si="37"/>
        <v>0</v>
      </c>
      <c r="N403">
        <f t="shared" si="35"/>
        <v>0</v>
      </c>
      <c r="P403" t="e">
        <f>INDEX(Items!B$2:B$1032,MATCH($O403,Items!$A$2:$A$1032,0))</f>
        <v>#N/A</v>
      </c>
      <c r="Q403" t="e">
        <f>INDEX(Items!C$2:C$1032,MATCH($O403,Items!$A$2:$A$1032,0))</f>
        <v>#N/A</v>
      </c>
      <c r="R403" t="e">
        <f>INDEX(Items!D$2:D$1032,MATCH($O403,Items!$A$2:$A$1032,0))</f>
        <v>#N/A</v>
      </c>
    </row>
    <row r="404" spans="1:18" x14ac:dyDescent="0.25">
      <c r="A404">
        <f t="shared" si="33"/>
        <v>1</v>
      </c>
      <c r="B404" t="str">
        <f t="shared" si="34"/>
        <v/>
      </c>
      <c r="C404">
        <f t="shared" si="36"/>
        <v>1</v>
      </c>
      <c r="D404" s="4"/>
      <c r="E404" t="s">
        <v>18</v>
      </c>
      <c r="F404" t="str">
        <f>INDEX(Establishment!B$2:B$1005,MATCH($E404,Establishment!$A$2:$A$1005,0))</f>
        <v xml:space="preserve"> </v>
      </c>
      <c r="G404" t="str">
        <f>INDEX(Establishment!C$2:C$1005,MATCH($E404,Establishment!$A$2:$A$1005,0))</f>
        <v xml:space="preserve"> </v>
      </c>
      <c r="M404">
        <f t="shared" si="37"/>
        <v>0</v>
      </c>
      <c r="N404">
        <f t="shared" si="35"/>
        <v>0</v>
      </c>
      <c r="P404" t="e">
        <f>INDEX(Items!B$2:B$1032,MATCH($O404,Items!$A$2:$A$1032,0))</f>
        <v>#N/A</v>
      </c>
      <c r="Q404" t="e">
        <f>INDEX(Items!C$2:C$1032,MATCH($O404,Items!$A$2:$A$1032,0))</f>
        <v>#N/A</v>
      </c>
      <c r="R404" t="e">
        <f>INDEX(Items!D$2:D$1032,MATCH($O404,Items!$A$2:$A$1032,0))</f>
        <v>#N/A</v>
      </c>
    </row>
    <row r="405" spans="1:18" x14ac:dyDescent="0.25">
      <c r="A405">
        <f t="shared" si="33"/>
        <v>1</v>
      </c>
      <c r="B405" t="str">
        <f t="shared" si="34"/>
        <v/>
      </c>
      <c r="C405">
        <f t="shared" si="36"/>
        <v>1</v>
      </c>
      <c r="D405" s="4"/>
      <c r="E405" t="s">
        <v>18</v>
      </c>
      <c r="F405" t="str">
        <f>INDEX(Establishment!B$2:B$1005,MATCH($E405,Establishment!$A$2:$A$1005,0))</f>
        <v xml:space="preserve"> </v>
      </c>
      <c r="G405" t="str">
        <f>INDEX(Establishment!C$2:C$1005,MATCH($E405,Establishment!$A$2:$A$1005,0))</f>
        <v xml:space="preserve"> </v>
      </c>
      <c r="M405">
        <f t="shared" si="37"/>
        <v>0</v>
      </c>
      <c r="N405">
        <f t="shared" si="35"/>
        <v>0</v>
      </c>
      <c r="P405" t="e">
        <f>INDEX(Items!B$2:B$1032,MATCH($O405,Items!$A$2:$A$1032,0))</f>
        <v>#N/A</v>
      </c>
      <c r="Q405" t="e">
        <f>INDEX(Items!C$2:C$1032,MATCH($O405,Items!$A$2:$A$1032,0))</f>
        <v>#N/A</v>
      </c>
      <c r="R405" t="e">
        <f>INDEX(Items!D$2:D$1032,MATCH($O405,Items!$A$2:$A$1032,0))</f>
        <v>#N/A</v>
      </c>
    </row>
    <row r="406" spans="1:18" x14ac:dyDescent="0.25">
      <c r="A406">
        <f t="shared" si="33"/>
        <v>1</v>
      </c>
      <c r="B406" t="str">
        <f t="shared" si="34"/>
        <v/>
      </c>
      <c r="C406">
        <f t="shared" si="36"/>
        <v>1</v>
      </c>
      <c r="D406" s="4"/>
      <c r="E406" t="s">
        <v>18</v>
      </c>
      <c r="F406" t="str">
        <f>INDEX(Establishment!B$2:B$1005,MATCH($E406,Establishment!$A$2:$A$1005,0))</f>
        <v xml:space="preserve"> </v>
      </c>
      <c r="G406" t="str">
        <f>INDEX(Establishment!C$2:C$1005,MATCH($E406,Establishment!$A$2:$A$1005,0))</f>
        <v xml:space="preserve"> </v>
      </c>
      <c r="M406">
        <f t="shared" si="37"/>
        <v>0</v>
      </c>
      <c r="N406">
        <f t="shared" si="35"/>
        <v>0</v>
      </c>
      <c r="P406" t="e">
        <f>INDEX(Items!B$2:B$1032,MATCH($O406,Items!$A$2:$A$1032,0))</f>
        <v>#N/A</v>
      </c>
      <c r="Q406" t="e">
        <f>INDEX(Items!C$2:C$1032,MATCH($O406,Items!$A$2:$A$1032,0))</f>
        <v>#N/A</v>
      </c>
      <c r="R406" t="e">
        <f>INDEX(Items!D$2:D$1032,MATCH($O406,Items!$A$2:$A$1032,0))</f>
        <v>#N/A</v>
      </c>
    </row>
    <row r="407" spans="1:18" x14ac:dyDescent="0.25">
      <c r="A407">
        <f t="shared" si="33"/>
        <v>1</v>
      </c>
      <c r="B407" t="str">
        <f t="shared" si="34"/>
        <v/>
      </c>
      <c r="C407">
        <f t="shared" si="36"/>
        <v>1</v>
      </c>
      <c r="D407" s="4"/>
      <c r="E407" t="s">
        <v>18</v>
      </c>
      <c r="F407" t="str">
        <f>INDEX(Establishment!B$2:B$1005,MATCH($E407,Establishment!$A$2:$A$1005,0))</f>
        <v xml:space="preserve"> </v>
      </c>
      <c r="G407" t="str">
        <f>INDEX(Establishment!C$2:C$1005,MATCH($E407,Establishment!$A$2:$A$1005,0))</f>
        <v xml:space="preserve"> </v>
      </c>
      <c r="M407">
        <f t="shared" si="37"/>
        <v>0</v>
      </c>
      <c r="N407">
        <f t="shared" si="35"/>
        <v>0</v>
      </c>
      <c r="P407" t="e">
        <f>INDEX(Items!B$2:B$1032,MATCH($O407,Items!$A$2:$A$1032,0))</f>
        <v>#N/A</v>
      </c>
      <c r="Q407" t="e">
        <f>INDEX(Items!C$2:C$1032,MATCH($O407,Items!$A$2:$A$1032,0))</f>
        <v>#N/A</v>
      </c>
      <c r="R407" t="e">
        <f>INDEX(Items!D$2:D$1032,MATCH($O407,Items!$A$2:$A$1032,0))</f>
        <v>#N/A</v>
      </c>
    </row>
    <row r="408" spans="1:18" x14ac:dyDescent="0.25">
      <c r="A408">
        <f t="shared" si="33"/>
        <v>1</v>
      </c>
      <c r="B408" t="str">
        <f t="shared" si="34"/>
        <v/>
      </c>
      <c r="C408">
        <f t="shared" si="36"/>
        <v>1</v>
      </c>
      <c r="D408" s="4"/>
      <c r="E408" t="s">
        <v>18</v>
      </c>
      <c r="F408" t="str">
        <f>INDEX(Establishment!B$2:B$1005,MATCH($E408,Establishment!$A$2:$A$1005,0))</f>
        <v xml:space="preserve"> </v>
      </c>
      <c r="G408" t="str">
        <f>INDEX(Establishment!C$2:C$1005,MATCH($E408,Establishment!$A$2:$A$1005,0))</f>
        <v xml:space="preserve"> </v>
      </c>
      <c r="M408">
        <f t="shared" si="37"/>
        <v>0</v>
      </c>
      <c r="N408">
        <f t="shared" si="35"/>
        <v>0</v>
      </c>
      <c r="P408" t="e">
        <f>INDEX(Items!B$2:B$1032,MATCH($O408,Items!$A$2:$A$1032,0))</f>
        <v>#N/A</v>
      </c>
      <c r="Q408" t="e">
        <f>INDEX(Items!C$2:C$1032,MATCH($O408,Items!$A$2:$A$1032,0))</f>
        <v>#N/A</v>
      </c>
      <c r="R408" t="e">
        <f>INDEX(Items!D$2:D$1032,MATCH($O408,Items!$A$2:$A$1032,0))</f>
        <v>#N/A</v>
      </c>
    </row>
    <row r="409" spans="1:18" x14ac:dyDescent="0.25">
      <c r="A409">
        <f t="shared" si="33"/>
        <v>1</v>
      </c>
      <c r="B409" t="str">
        <f t="shared" si="34"/>
        <v/>
      </c>
      <c r="C409">
        <f t="shared" si="36"/>
        <v>1</v>
      </c>
      <c r="D409" s="4"/>
      <c r="E409" t="s">
        <v>18</v>
      </c>
      <c r="F409" t="str">
        <f>INDEX(Establishment!B$2:B$1005,MATCH($E409,Establishment!$A$2:$A$1005,0))</f>
        <v xml:space="preserve"> </v>
      </c>
      <c r="G409" t="str">
        <f>INDEX(Establishment!C$2:C$1005,MATCH($E409,Establishment!$A$2:$A$1005,0))</f>
        <v xml:space="preserve"> </v>
      </c>
      <c r="M409">
        <f t="shared" si="37"/>
        <v>0</v>
      </c>
      <c r="N409">
        <f t="shared" si="35"/>
        <v>0</v>
      </c>
      <c r="P409" t="e">
        <f>INDEX(Items!B$2:B$1032,MATCH($O409,Items!$A$2:$A$1032,0))</f>
        <v>#N/A</v>
      </c>
      <c r="Q409" t="e">
        <f>INDEX(Items!C$2:C$1032,MATCH($O409,Items!$A$2:$A$1032,0))</f>
        <v>#N/A</v>
      </c>
      <c r="R409" t="e">
        <f>INDEX(Items!D$2:D$1032,MATCH($O409,Items!$A$2:$A$1032,0))</f>
        <v>#N/A</v>
      </c>
    </row>
    <row r="410" spans="1:18" x14ac:dyDescent="0.25">
      <c r="A410">
        <f t="shared" si="33"/>
        <v>1</v>
      </c>
      <c r="B410" t="str">
        <f t="shared" si="34"/>
        <v/>
      </c>
      <c r="C410">
        <f t="shared" si="36"/>
        <v>1</v>
      </c>
      <c r="D410" s="4"/>
      <c r="E410" t="s">
        <v>18</v>
      </c>
      <c r="F410" t="str">
        <f>INDEX(Establishment!B$2:B$1005,MATCH($E410,Establishment!$A$2:$A$1005,0))</f>
        <v xml:space="preserve"> </v>
      </c>
      <c r="G410" t="str">
        <f>INDEX(Establishment!C$2:C$1005,MATCH($E410,Establishment!$A$2:$A$1005,0))</f>
        <v xml:space="preserve"> </v>
      </c>
      <c r="M410">
        <f t="shared" si="37"/>
        <v>0</v>
      </c>
      <c r="N410">
        <f t="shared" si="35"/>
        <v>0</v>
      </c>
      <c r="P410" t="e">
        <f>INDEX(Items!B$2:B$1032,MATCH($O410,Items!$A$2:$A$1032,0))</f>
        <v>#N/A</v>
      </c>
      <c r="Q410" t="e">
        <f>INDEX(Items!C$2:C$1032,MATCH($O410,Items!$A$2:$A$1032,0))</f>
        <v>#N/A</v>
      </c>
      <c r="R410" t="e">
        <f>INDEX(Items!D$2:D$1032,MATCH($O410,Items!$A$2:$A$1032,0))</f>
        <v>#N/A</v>
      </c>
    </row>
    <row r="411" spans="1:18" x14ac:dyDescent="0.25">
      <c r="A411">
        <f t="shared" si="33"/>
        <v>1</v>
      </c>
      <c r="B411" t="str">
        <f t="shared" si="34"/>
        <v/>
      </c>
      <c r="C411">
        <f t="shared" si="36"/>
        <v>1</v>
      </c>
      <c r="D411" s="4"/>
      <c r="E411" t="s">
        <v>18</v>
      </c>
      <c r="F411" t="str">
        <f>INDEX(Establishment!B$2:B$1005,MATCH($E411,Establishment!$A$2:$A$1005,0))</f>
        <v xml:space="preserve"> </v>
      </c>
      <c r="G411" t="str">
        <f>INDEX(Establishment!C$2:C$1005,MATCH($E411,Establishment!$A$2:$A$1005,0))</f>
        <v xml:space="preserve"> </v>
      </c>
      <c r="M411">
        <f t="shared" si="37"/>
        <v>0</v>
      </c>
      <c r="N411">
        <f t="shared" si="35"/>
        <v>0</v>
      </c>
      <c r="P411" t="e">
        <f>INDEX(Items!B$2:B$1032,MATCH($O411,Items!$A$2:$A$1032,0))</f>
        <v>#N/A</v>
      </c>
      <c r="Q411" t="e">
        <f>INDEX(Items!C$2:C$1032,MATCH($O411,Items!$A$2:$A$1032,0))</f>
        <v>#N/A</v>
      </c>
      <c r="R411" t="e">
        <f>INDEX(Items!D$2:D$1032,MATCH($O411,Items!$A$2:$A$1032,0))</f>
        <v>#N/A</v>
      </c>
    </row>
    <row r="412" spans="1:18" x14ac:dyDescent="0.25">
      <c r="A412">
        <f t="shared" si="33"/>
        <v>1</v>
      </c>
      <c r="B412" t="str">
        <f t="shared" si="34"/>
        <v/>
      </c>
      <c r="C412">
        <f t="shared" si="36"/>
        <v>1</v>
      </c>
      <c r="D412" s="4"/>
      <c r="E412" t="s">
        <v>18</v>
      </c>
      <c r="F412" t="str">
        <f>INDEX(Establishment!B$2:B$1005,MATCH($E412,Establishment!$A$2:$A$1005,0))</f>
        <v xml:space="preserve"> </v>
      </c>
      <c r="G412" t="str">
        <f>INDEX(Establishment!C$2:C$1005,MATCH($E412,Establishment!$A$2:$A$1005,0))</f>
        <v xml:space="preserve"> </v>
      </c>
      <c r="M412">
        <f t="shared" si="37"/>
        <v>0</v>
      </c>
      <c r="N412">
        <f t="shared" si="35"/>
        <v>0</v>
      </c>
      <c r="P412" t="e">
        <f>INDEX(Items!B$2:B$1032,MATCH($O412,Items!$A$2:$A$1032,0))</f>
        <v>#N/A</v>
      </c>
      <c r="Q412" t="e">
        <f>INDEX(Items!C$2:C$1032,MATCH($O412,Items!$A$2:$A$1032,0))</f>
        <v>#N/A</v>
      </c>
      <c r="R412" t="e">
        <f>INDEX(Items!D$2:D$1032,MATCH($O412,Items!$A$2:$A$1032,0))</f>
        <v>#N/A</v>
      </c>
    </row>
    <row r="413" spans="1:18" x14ac:dyDescent="0.25">
      <c r="A413">
        <f t="shared" si="33"/>
        <v>1</v>
      </c>
      <c r="B413" t="str">
        <f t="shared" si="34"/>
        <v/>
      </c>
      <c r="C413">
        <f t="shared" si="36"/>
        <v>1</v>
      </c>
      <c r="D413" s="4"/>
      <c r="E413" t="s">
        <v>18</v>
      </c>
      <c r="F413" t="str">
        <f>INDEX(Establishment!B$2:B$1005,MATCH($E413,Establishment!$A$2:$A$1005,0))</f>
        <v xml:space="preserve"> </v>
      </c>
      <c r="G413" t="str">
        <f>INDEX(Establishment!C$2:C$1005,MATCH($E413,Establishment!$A$2:$A$1005,0))</f>
        <v xml:space="preserve"> </v>
      </c>
      <c r="M413">
        <f t="shared" si="37"/>
        <v>0</v>
      </c>
      <c r="N413">
        <f t="shared" si="35"/>
        <v>0</v>
      </c>
      <c r="P413" t="e">
        <f>INDEX(Items!B$2:B$1032,MATCH($O413,Items!$A$2:$A$1032,0))</f>
        <v>#N/A</v>
      </c>
      <c r="Q413" t="e">
        <f>INDEX(Items!C$2:C$1032,MATCH($O413,Items!$A$2:$A$1032,0))</f>
        <v>#N/A</v>
      </c>
      <c r="R413" t="e">
        <f>INDEX(Items!D$2:D$1032,MATCH($O413,Items!$A$2:$A$1032,0))</f>
        <v>#N/A</v>
      </c>
    </row>
    <row r="414" spans="1:18" x14ac:dyDescent="0.25">
      <c r="A414">
        <f t="shared" si="33"/>
        <v>1</v>
      </c>
      <c r="B414" t="str">
        <f t="shared" si="34"/>
        <v/>
      </c>
      <c r="C414">
        <f t="shared" si="36"/>
        <v>1</v>
      </c>
      <c r="D414" s="4"/>
      <c r="E414" t="s">
        <v>18</v>
      </c>
      <c r="F414" t="str">
        <f>INDEX(Establishment!B$2:B$1005,MATCH($E414,Establishment!$A$2:$A$1005,0))</f>
        <v xml:space="preserve"> </v>
      </c>
      <c r="G414" t="str">
        <f>INDEX(Establishment!C$2:C$1005,MATCH($E414,Establishment!$A$2:$A$1005,0))</f>
        <v xml:space="preserve"> </v>
      </c>
      <c r="M414">
        <f t="shared" si="37"/>
        <v>0</v>
      </c>
      <c r="N414">
        <f t="shared" si="35"/>
        <v>0</v>
      </c>
      <c r="P414" t="e">
        <f>INDEX(Items!B$2:B$1032,MATCH($O414,Items!$A$2:$A$1032,0))</f>
        <v>#N/A</v>
      </c>
      <c r="Q414" t="e">
        <f>INDEX(Items!C$2:C$1032,MATCH($O414,Items!$A$2:$A$1032,0))</f>
        <v>#N/A</v>
      </c>
      <c r="R414" t="e">
        <f>INDEX(Items!D$2:D$1032,MATCH($O414,Items!$A$2:$A$1032,0))</f>
        <v>#N/A</v>
      </c>
    </row>
    <row r="415" spans="1:18" x14ac:dyDescent="0.25">
      <c r="A415">
        <f t="shared" si="33"/>
        <v>1</v>
      </c>
      <c r="B415" t="str">
        <f t="shared" si="34"/>
        <v/>
      </c>
      <c r="C415">
        <f t="shared" si="36"/>
        <v>1</v>
      </c>
      <c r="D415" s="4"/>
      <c r="E415" t="s">
        <v>18</v>
      </c>
      <c r="F415" t="str">
        <f>INDEX(Establishment!B$2:B$1005,MATCH($E415,Establishment!$A$2:$A$1005,0))</f>
        <v xml:space="preserve"> </v>
      </c>
      <c r="G415" t="str">
        <f>INDEX(Establishment!C$2:C$1005,MATCH($E415,Establishment!$A$2:$A$1005,0))</f>
        <v xml:space="preserve"> </v>
      </c>
      <c r="M415">
        <f t="shared" si="37"/>
        <v>0</v>
      </c>
      <c r="N415">
        <f t="shared" si="35"/>
        <v>0</v>
      </c>
      <c r="P415" t="e">
        <f>INDEX(Items!B$2:B$1032,MATCH($O415,Items!$A$2:$A$1032,0))</f>
        <v>#N/A</v>
      </c>
      <c r="Q415" t="e">
        <f>INDEX(Items!C$2:C$1032,MATCH($O415,Items!$A$2:$A$1032,0))</f>
        <v>#N/A</v>
      </c>
      <c r="R415" t="e">
        <f>INDEX(Items!D$2:D$1032,MATCH($O415,Items!$A$2:$A$1032,0))</f>
        <v>#N/A</v>
      </c>
    </row>
    <row r="416" spans="1:18" x14ac:dyDescent="0.25">
      <c r="A416">
        <f t="shared" si="33"/>
        <v>1</v>
      </c>
      <c r="B416" t="str">
        <f t="shared" si="34"/>
        <v/>
      </c>
      <c r="C416">
        <f t="shared" si="36"/>
        <v>1</v>
      </c>
      <c r="D416" s="4"/>
      <c r="E416" t="s">
        <v>18</v>
      </c>
      <c r="F416" t="str">
        <f>INDEX(Establishment!B$2:B$1005,MATCH($E416,Establishment!$A$2:$A$1005,0))</f>
        <v xml:space="preserve"> </v>
      </c>
      <c r="G416" t="str">
        <f>INDEX(Establishment!C$2:C$1005,MATCH($E416,Establishment!$A$2:$A$1005,0))</f>
        <v xml:space="preserve"> </v>
      </c>
      <c r="M416">
        <f t="shared" si="37"/>
        <v>0</v>
      </c>
      <c r="N416">
        <f t="shared" si="35"/>
        <v>0</v>
      </c>
      <c r="P416" t="e">
        <f>INDEX(Items!B$2:B$1032,MATCH($O416,Items!$A$2:$A$1032,0))</f>
        <v>#N/A</v>
      </c>
      <c r="Q416" t="e">
        <f>INDEX(Items!C$2:C$1032,MATCH($O416,Items!$A$2:$A$1032,0))</f>
        <v>#N/A</v>
      </c>
      <c r="R416" t="e">
        <f>INDEX(Items!D$2:D$1032,MATCH($O416,Items!$A$2:$A$1032,0))</f>
        <v>#N/A</v>
      </c>
    </row>
    <row r="417" spans="1:18" x14ac:dyDescent="0.25">
      <c r="A417">
        <f t="shared" si="33"/>
        <v>1</v>
      </c>
      <c r="B417" t="str">
        <f t="shared" si="34"/>
        <v/>
      </c>
      <c r="C417">
        <f t="shared" si="36"/>
        <v>1</v>
      </c>
      <c r="D417" s="4"/>
      <c r="E417" t="s">
        <v>18</v>
      </c>
      <c r="F417" t="str">
        <f>INDEX(Establishment!B$2:B$1005,MATCH($E417,Establishment!$A$2:$A$1005,0))</f>
        <v xml:space="preserve"> </v>
      </c>
      <c r="G417" t="str">
        <f>INDEX(Establishment!C$2:C$1005,MATCH($E417,Establishment!$A$2:$A$1005,0))</f>
        <v xml:space="preserve"> </v>
      </c>
      <c r="M417">
        <f t="shared" si="37"/>
        <v>0</v>
      </c>
      <c r="N417">
        <f t="shared" si="35"/>
        <v>0</v>
      </c>
      <c r="P417" t="e">
        <f>INDEX(Items!B$2:B$1032,MATCH($O417,Items!$A$2:$A$1032,0))</f>
        <v>#N/A</v>
      </c>
      <c r="Q417" t="e">
        <f>INDEX(Items!C$2:C$1032,MATCH($O417,Items!$A$2:$A$1032,0))</f>
        <v>#N/A</v>
      </c>
      <c r="R417" t="e">
        <f>INDEX(Items!D$2:D$1032,MATCH($O417,Items!$A$2:$A$1032,0))</f>
        <v>#N/A</v>
      </c>
    </row>
    <row r="418" spans="1:18" x14ac:dyDescent="0.25">
      <c r="A418">
        <f t="shared" si="33"/>
        <v>1</v>
      </c>
      <c r="B418" t="str">
        <f t="shared" si="34"/>
        <v/>
      </c>
      <c r="C418">
        <f t="shared" si="36"/>
        <v>1</v>
      </c>
      <c r="D418" s="4"/>
      <c r="E418" t="s">
        <v>18</v>
      </c>
      <c r="F418" t="str">
        <f>INDEX(Establishment!B$2:B$1005,MATCH($E418,Establishment!$A$2:$A$1005,0))</f>
        <v xml:space="preserve"> </v>
      </c>
      <c r="G418" t="str">
        <f>INDEX(Establishment!C$2:C$1005,MATCH($E418,Establishment!$A$2:$A$1005,0))</f>
        <v xml:space="preserve"> </v>
      </c>
      <c r="M418">
        <f t="shared" si="37"/>
        <v>0</v>
      </c>
      <c r="N418">
        <f t="shared" si="35"/>
        <v>0</v>
      </c>
      <c r="P418" t="e">
        <f>INDEX(Items!B$2:B$1032,MATCH($O418,Items!$A$2:$A$1032,0))</f>
        <v>#N/A</v>
      </c>
      <c r="Q418" t="e">
        <f>INDEX(Items!C$2:C$1032,MATCH($O418,Items!$A$2:$A$1032,0))</f>
        <v>#N/A</v>
      </c>
      <c r="R418" t="e">
        <f>INDEX(Items!D$2:D$1032,MATCH($O418,Items!$A$2:$A$1032,0))</f>
        <v>#N/A</v>
      </c>
    </row>
    <row r="419" spans="1:18" x14ac:dyDescent="0.25">
      <c r="A419">
        <f t="shared" si="33"/>
        <v>1</v>
      </c>
      <c r="B419" t="str">
        <f t="shared" si="34"/>
        <v/>
      </c>
      <c r="C419">
        <f t="shared" si="36"/>
        <v>1</v>
      </c>
      <c r="D419" s="4"/>
      <c r="E419" t="s">
        <v>18</v>
      </c>
      <c r="F419" t="str">
        <f>INDEX(Establishment!B$2:B$1005,MATCH($E419,Establishment!$A$2:$A$1005,0))</f>
        <v xml:space="preserve"> </v>
      </c>
      <c r="G419" t="str">
        <f>INDEX(Establishment!C$2:C$1005,MATCH($E419,Establishment!$A$2:$A$1005,0))</f>
        <v xml:space="preserve"> </v>
      </c>
      <c r="M419">
        <f t="shared" si="37"/>
        <v>0</v>
      </c>
      <c r="N419">
        <f t="shared" si="35"/>
        <v>0</v>
      </c>
      <c r="P419" t="e">
        <f>INDEX(Items!B$2:B$1032,MATCH($O419,Items!$A$2:$A$1032,0))</f>
        <v>#N/A</v>
      </c>
      <c r="Q419" t="e">
        <f>INDEX(Items!C$2:C$1032,MATCH($O419,Items!$A$2:$A$1032,0))</f>
        <v>#N/A</v>
      </c>
      <c r="R419" t="e">
        <f>INDEX(Items!D$2:D$1032,MATCH($O419,Items!$A$2:$A$1032,0))</f>
        <v>#N/A</v>
      </c>
    </row>
    <row r="420" spans="1:18" x14ac:dyDescent="0.25">
      <c r="A420">
        <f t="shared" si="33"/>
        <v>1</v>
      </c>
      <c r="B420" t="str">
        <f t="shared" si="34"/>
        <v/>
      </c>
      <c r="C420">
        <f t="shared" si="36"/>
        <v>1</v>
      </c>
      <c r="D420" s="4"/>
      <c r="E420" t="s">
        <v>18</v>
      </c>
      <c r="F420" t="str">
        <f>INDEX(Establishment!B$2:B$1005,MATCH($E420,Establishment!$A$2:$A$1005,0))</f>
        <v xml:space="preserve"> </v>
      </c>
      <c r="G420" t="str">
        <f>INDEX(Establishment!C$2:C$1005,MATCH($E420,Establishment!$A$2:$A$1005,0))</f>
        <v xml:space="preserve"> </v>
      </c>
      <c r="M420">
        <f t="shared" si="37"/>
        <v>0</v>
      </c>
      <c r="N420">
        <f t="shared" si="35"/>
        <v>0</v>
      </c>
      <c r="P420" t="e">
        <f>INDEX(Items!B$2:B$1032,MATCH($O420,Items!$A$2:$A$1032,0))</f>
        <v>#N/A</v>
      </c>
      <c r="Q420" t="e">
        <f>INDEX(Items!C$2:C$1032,MATCH($O420,Items!$A$2:$A$1032,0))</f>
        <v>#N/A</v>
      </c>
      <c r="R420" t="e">
        <f>INDEX(Items!D$2:D$1032,MATCH($O420,Items!$A$2:$A$1032,0))</f>
        <v>#N/A</v>
      </c>
    </row>
    <row r="421" spans="1:18" x14ac:dyDescent="0.25">
      <c r="A421">
        <f t="shared" si="33"/>
        <v>1</v>
      </c>
      <c r="B421" t="str">
        <f t="shared" si="34"/>
        <v/>
      </c>
      <c r="C421">
        <f t="shared" si="36"/>
        <v>1</v>
      </c>
      <c r="D421" s="4"/>
      <c r="E421" t="s">
        <v>18</v>
      </c>
      <c r="F421" t="str">
        <f>INDEX(Establishment!B$2:B$1005,MATCH($E421,Establishment!$A$2:$A$1005,0))</f>
        <v xml:space="preserve"> </v>
      </c>
      <c r="G421" t="str">
        <f>INDEX(Establishment!C$2:C$1005,MATCH($E421,Establishment!$A$2:$A$1005,0))</f>
        <v xml:space="preserve"> </v>
      </c>
      <c r="M421">
        <f t="shared" si="37"/>
        <v>0</v>
      </c>
      <c r="N421">
        <f t="shared" si="35"/>
        <v>0</v>
      </c>
      <c r="P421" t="e">
        <f>INDEX(Items!B$2:B$1032,MATCH($O421,Items!$A$2:$A$1032,0))</f>
        <v>#N/A</v>
      </c>
      <c r="Q421" t="e">
        <f>INDEX(Items!C$2:C$1032,MATCH($O421,Items!$A$2:$A$1032,0))</f>
        <v>#N/A</v>
      </c>
      <c r="R421" t="e">
        <f>INDEX(Items!D$2:D$1032,MATCH($O421,Items!$A$2:$A$1032,0))</f>
        <v>#N/A</v>
      </c>
    </row>
    <row r="422" spans="1:18" x14ac:dyDescent="0.25">
      <c r="A422">
        <f t="shared" si="33"/>
        <v>1</v>
      </c>
      <c r="B422" t="str">
        <f t="shared" si="34"/>
        <v/>
      </c>
      <c r="C422">
        <f t="shared" si="36"/>
        <v>1</v>
      </c>
      <c r="D422" s="4"/>
      <c r="E422" t="s">
        <v>18</v>
      </c>
      <c r="F422" t="str">
        <f>INDEX(Establishment!B$2:B$1005,MATCH($E422,Establishment!$A$2:$A$1005,0))</f>
        <v xml:space="preserve"> </v>
      </c>
      <c r="G422" t="str">
        <f>INDEX(Establishment!C$2:C$1005,MATCH($E422,Establishment!$A$2:$A$1005,0))</f>
        <v xml:space="preserve"> </v>
      </c>
      <c r="M422">
        <f t="shared" si="37"/>
        <v>0</v>
      </c>
      <c r="N422">
        <f t="shared" si="35"/>
        <v>0</v>
      </c>
      <c r="P422" t="e">
        <f>INDEX(Items!B$2:B$1032,MATCH($O422,Items!$A$2:$A$1032,0))</f>
        <v>#N/A</v>
      </c>
      <c r="Q422" t="e">
        <f>INDEX(Items!C$2:C$1032,MATCH($O422,Items!$A$2:$A$1032,0))</f>
        <v>#N/A</v>
      </c>
      <c r="R422" t="e">
        <f>INDEX(Items!D$2:D$1032,MATCH($O422,Items!$A$2:$A$1032,0))</f>
        <v>#N/A</v>
      </c>
    </row>
    <row r="423" spans="1:18" x14ac:dyDescent="0.25">
      <c r="A423">
        <f t="shared" si="33"/>
        <v>1</v>
      </c>
      <c r="B423" t="str">
        <f t="shared" si="34"/>
        <v/>
      </c>
      <c r="C423">
        <f t="shared" si="36"/>
        <v>1</v>
      </c>
      <c r="D423" s="4"/>
      <c r="E423" t="s">
        <v>18</v>
      </c>
      <c r="F423" t="str">
        <f>INDEX(Establishment!B$2:B$1005,MATCH($E423,Establishment!$A$2:$A$1005,0))</f>
        <v xml:space="preserve"> </v>
      </c>
      <c r="G423" t="str">
        <f>INDEX(Establishment!C$2:C$1005,MATCH($E423,Establishment!$A$2:$A$1005,0))</f>
        <v xml:space="preserve"> </v>
      </c>
      <c r="M423">
        <f t="shared" si="37"/>
        <v>0</v>
      </c>
      <c r="N423">
        <f t="shared" si="35"/>
        <v>0</v>
      </c>
      <c r="P423" t="e">
        <f>INDEX(Items!B$2:B$1032,MATCH($O423,Items!$A$2:$A$1032,0))</f>
        <v>#N/A</v>
      </c>
      <c r="Q423" t="e">
        <f>INDEX(Items!C$2:C$1032,MATCH($O423,Items!$A$2:$A$1032,0))</f>
        <v>#N/A</v>
      </c>
      <c r="R423" t="e">
        <f>INDEX(Items!D$2:D$1032,MATCH($O423,Items!$A$2:$A$1032,0))</f>
        <v>#N/A</v>
      </c>
    </row>
    <row r="424" spans="1:18" x14ac:dyDescent="0.25">
      <c r="A424">
        <f t="shared" si="33"/>
        <v>1</v>
      </c>
      <c r="B424" t="str">
        <f t="shared" si="34"/>
        <v/>
      </c>
      <c r="C424">
        <f t="shared" si="36"/>
        <v>1</v>
      </c>
      <c r="D424" s="4"/>
      <c r="E424" t="s">
        <v>18</v>
      </c>
      <c r="F424" t="str">
        <f>INDEX(Establishment!B$2:B$1005,MATCH($E424,Establishment!$A$2:$A$1005,0))</f>
        <v xml:space="preserve"> </v>
      </c>
      <c r="G424" t="str">
        <f>INDEX(Establishment!C$2:C$1005,MATCH($E424,Establishment!$A$2:$A$1005,0))</f>
        <v xml:space="preserve"> </v>
      </c>
      <c r="M424">
        <f t="shared" si="37"/>
        <v>0</v>
      </c>
      <c r="N424">
        <f t="shared" si="35"/>
        <v>0</v>
      </c>
      <c r="P424" t="e">
        <f>INDEX(Items!B$2:B$1032,MATCH($O424,Items!$A$2:$A$1032,0))</f>
        <v>#N/A</v>
      </c>
      <c r="Q424" t="e">
        <f>INDEX(Items!C$2:C$1032,MATCH($O424,Items!$A$2:$A$1032,0))</f>
        <v>#N/A</v>
      </c>
      <c r="R424" t="e">
        <f>INDEX(Items!D$2:D$1032,MATCH($O424,Items!$A$2:$A$1032,0))</f>
        <v>#N/A</v>
      </c>
    </row>
    <row r="425" spans="1:18" x14ac:dyDescent="0.25">
      <c r="A425">
        <f t="shared" si="33"/>
        <v>1</v>
      </c>
      <c r="B425" t="str">
        <f t="shared" si="34"/>
        <v/>
      </c>
      <c r="C425">
        <f t="shared" si="36"/>
        <v>1</v>
      </c>
      <c r="D425" s="4"/>
      <c r="E425" t="s">
        <v>18</v>
      </c>
      <c r="F425" t="str">
        <f>INDEX(Establishment!B$2:B$1005,MATCH($E425,Establishment!$A$2:$A$1005,0))</f>
        <v xml:space="preserve"> </v>
      </c>
      <c r="G425" t="str">
        <f>INDEX(Establishment!C$2:C$1005,MATCH($E425,Establishment!$A$2:$A$1005,0))</f>
        <v xml:space="preserve"> </v>
      </c>
      <c r="M425">
        <f t="shared" si="37"/>
        <v>0</v>
      </c>
      <c r="N425">
        <f t="shared" si="35"/>
        <v>0</v>
      </c>
      <c r="P425" t="e">
        <f>INDEX(Items!B$2:B$1032,MATCH($O425,Items!$A$2:$A$1032,0))</f>
        <v>#N/A</v>
      </c>
      <c r="Q425" t="e">
        <f>INDEX(Items!C$2:C$1032,MATCH($O425,Items!$A$2:$A$1032,0))</f>
        <v>#N/A</v>
      </c>
      <c r="R425" t="e">
        <f>INDEX(Items!D$2:D$1032,MATCH($O425,Items!$A$2:$A$1032,0))</f>
        <v>#N/A</v>
      </c>
    </row>
    <row r="426" spans="1:18" x14ac:dyDescent="0.25">
      <c r="A426">
        <f t="shared" si="33"/>
        <v>1</v>
      </c>
      <c r="B426" t="str">
        <f t="shared" si="34"/>
        <v/>
      </c>
      <c r="C426">
        <f t="shared" si="36"/>
        <v>1</v>
      </c>
      <c r="D426" s="4"/>
      <c r="E426" t="s">
        <v>18</v>
      </c>
      <c r="F426" t="str">
        <f>INDEX(Establishment!B$2:B$1005,MATCH($E426,Establishment!$A$2:$A$1005,0))</f>
        <v xml:space="preserve"> </v>
      </c>
      <c r="G426" t="str">
        <f>INDEX(Establishment!C$2:C$1005,MATCH($E426,Establishment!$A$2:$A$1005,0))</f>
        <v xml:space="preserve"> </v>
      </c>
      <c r="M426">
        <f t="shared" si="37"/>
        <v>0</v>
      </c>
      <c r="N426">
        <f t="shared" si="35"/>
        <v>0</v>
      </c>
      <c r="P426" t="e">
        <f>INDEX(Items!B$2:B$1032,MATCH($O426,Items!$A$2:$A$1032,0))</f>
        <v>#N/A</v>
      </c>
      <c r="Q426" t="e">
        <f>INDEX(Items!C$2:C$1032,MATCH($O426,Items!$A$2:$A$1032,0))</f>
        <v>#N/A</v>
      </c>
      <c r="R426" t="e">
        <f>INDEX(Items!D$2:D$1032,MATCH($O426,Items!$A$2:$A$1032,0))</f>
        <v>#N/A</v>
      </c>
    </row>
    <row r="427" spans="1:18" x14ac:dyDescent="0.25">
      <c r="A427">
        <f t="shared" si="33"/>
        <v>1</v>
      </c>
      <c r="B427" t="str">
        <f t="shared" si="34"/>
        <v/>
      </c>
      <c r="C427">
        <f t="shared" si="36"/>
        <v>1</v>
      </c>
      <c r="D427" s="4"/>
      <c r="E427" t="s">
        <v>18</v>
      </c>
      <c r="F427" t="str">
        <f>INDEX(Establishment!B$2:B$1005,MATCH($E427,Establishment!$A$2:$A$1005,0))</f>
        <v xml:space="preserve"> </v>
      </c>
      <c r="G427" t="str">
        <f>INDEX(Establishment!C$2:C$1005,MATCH($E427,Establishment!$A$2:$A$1005,0))</f>
        <v xml:space="preserve"> </v>
      </c>
      <c r="M427">
        <f t="shared" si="37"/>
        <v>0</v>
      </c>
      <c r="N427">
        <f t="shared" si="35"/>
        <v>0</v>
      </c>
      <c r="P427" t="e">
        <f>INDEX(Items!B$2:B$1032,MATCH($O427,Items!$A$2:$A$1032,0))</f>
        <v>#N/A</v>
      </c>
      <c r="Q427" t="e">
        <f>INDEX(Items!C$2:C$1032,MATCH($O427,Items!$A$2:$A$1032,0))</f>
        <v>#N/A</v>
      </c>
      <c r="R427" t="e">
        <f>INDEX(Items!D$2:D$1032,MATCH($O427,Items!$A$2:$A$1032,0))</f>
        <v>#N/A</v>
      </c>
    </row>
    <row r="428" spans="1:18" x14ac:dyDescent="0.25">
      <c r="A428">
        <f t="shared" si="33"/>
        <v>1</v>
      </c>
      <c r="B428" t="str">
        <f t="shared" si="34"/>
        <v/>
      </c>
      <c r="C428">
        <f t="shared" si="36"/>
        <v>1</v>
      </c>
      <c r="D428" s="4"/>
      <c r="E428" t="s">
        <v>18</v>
      </c>
      <c r="F428" t="str">
        <f>INDEX(Establishment!B$2:B$1005,MATCH($E428,Establishment!$A$2:$A$1005,0))</f>
        <v xml:space="preserve"> </v>
      </c>
      <c r="G428" t="str">
        <f>INDEX(Establishment!C$2:C$1005,MATCH($E428,Establishment!$A$2:$A$1005,0))</f>
        <v xml:space="preserve"> </v>
      </c>
      <c r="M428">
        <f t="shared" si="37"/>
        <v>0</v>
      </c>
      <c r="N428">
        <f t="shared" si="35"/>
        <v>0</v>
      </c>
      <c r="P428" t="e">
        <f>INDEX(Items!B$2:B$1032,MATCH($O428,Items!$A$2:$A$1032,0))</f>
        <v>#N/A</v>
      </c>
      <c r="Q428" t="e">
        <f>INDEX(Items!C$2:C$1032,MATCH($O428,Items!$A$2:$A$1032,0))</f>
        <v>#N/A</v>
      </c>
      <c r="R428" t="e">
        <f>INDEX(Items!D$2:D$1032,MATCH($O428,Items!$A$2:$A$1032,0))</f>
        <v>#N/A</v>
      </c>
    </row>
    <row r="429" spans="1:18" x14ac:dyDescent="0.25">
      <c r="A429">
        <f t="shared" si="33"/>
        <v>1</v>
      </c>
      <c r="B429" t="str">
        <f t="shared" si="34"/>
        <v/>
      </c>
      <c r="C429">
        <f t="shared" si="36"/>
        <v>1</v>
      </c>
      <c r="D429" s="4"/>
      <c r="E429" t="s">
        <v>18</v>
      </c>
      <c r="F429" t="str">
        <f>INDEX(Establishment!B$2:B$1005,MATCH($E429,Establishment!$A$2:$A$1005,0))</f>
        <v xml:space="preserve"> </v>
      </c>
      <c r="G429" t="str">
        <f>INDEX(Establishment!C$2:C$1005,MATCH($E429,Establishment!$A$2:$A$1005,0))</f>
        <v xml:space="preserve"> </v>
      </c>
      <c r="M429">
        <f t="shared" si="37"/>
        <v>0</v>
      </c>
      <c r="N429">
        <f t="shared" si="35"/>
        <v>0</v>
      </c>
      <c r="P429" t="e">
        <f>INDEX(Items!B$2:B$1032,MATCH($O429,Items!$A$2:$A$1032,0))</f>
        <v>#N/A</v>
      </c>
      <c r="Q429" t="e">
        <f>INDEX(Items!C$2:C$1032,MATCH($O429,Items!$A$2:$A$1032,0))</f>
        <v>#N/A</v>
      </c>
      <c r="R429" t="e">
        <f>INDEX(Items!D$2:D$1032,MATCH($O429,Items!$A$2:$A$1032,0))</f>
        <v>#N/A</v>
      </c>
    </row>
    <row r="430" spans="1:18" x14ac:dyDescent="0.25">
      <c r="A430">
        <f t="shared" si="33"/>
        <v>1</v>
      </c>
      <c r="B430" t="str">
        <f t="shared" si="34"/>
        <v/>
      </c>
      <c r="C430">
        <f t="shared" si="36"/>
        <v>1</v>
      </c>
      <c r="D430" s="4"/>
      <c r="E430" t="s">
        <v>18</v>
      </c>
      <c r="F430" t="str">
        <f>INDEX(Establishment!B$2:B$1005,MATCH($E430,Establishment!$A$2:$A$1005,0))</f>
        <v xml:space="preserve"> </v>
      </c>
      <c r="G430" t="str">
        <f>INDEX(Establishment!C$2:C$1005,MATCH($E430,Establishment!$A$2:$A$1005,0))</f>
        <v xml:space="preserve"> </v>
      </c>
      <c r="M430">
        <f t="shared" si="37"/>
        <v>0</v>
      </c>
      <c r="N430">
        <f t="shared" si="35"/>
        <v>0</v>
      </c>
      <c r="P430" t="e">
        <f>INDEX(Items!B$2:B$1032,MATCH($O430,Items!$A$2:$A$1032,0))</f>
        <v>#N/A</v>
      </c>
      <c r="Q430" t="e">
        <f>INDEX(Items!C$2:C$1032,MATCH($O430,Items!$A$2:$A$1032,0))</f>
        <v>#N/A</v>
      </c>
      <c r="R430" t="e">
        <f>INDEX(Items!D$2:D$1032,MATCH($O430,Items!$A$2:$A$1032,0))</f>
        <v>#N/A</v>
      </c>
    </row>
    <row r="431" spans="1:18" x14ac:dyDescent="0.25">
      <c r="A431">
        <f t="shared" si="33"/>
        <v>1</v>
      </c>
      <c r="B431" t="str">
        <f t="shared" si="34"/>
        <v/>
      </c>
      <c r="C431">
        <f t="shared" si="36"/>
        <v>1</v>
      </c>
      <c r="D431" s="4"/>
      <c r="E431" t="s">
        <v>18</v>
      </c>
      <c r="F431" t="str">
        <f>INDEX(Establishment!B$2:B$1005,MATCH($E431,Establishment!$A$2:$A$1005,0))</f>
        <v xml:space="preserve"> </v>
      </c>
      <c r="G431" t="str">
        <f>INDEX(Establishment!C$2:C$1005,MATCH($E431,Establishment!$A$2:$A$1005,0))</f>
        <v xml:space="preserve"> </v>
      </c>
      <c r="M431">
        <f t="shared" si="37"/>
        <v>0</v>
      </c>
      <c r="N431">
        <f t="shared" si="35"/>
        <v>0</v>
      </c>
      <c r="P431" t="e">
        <f>INDEX(Items!B$2:B$1032,MATCH($O431,Items!$A$2:$A$1032,0))</f>
        <v>#N/A</v>
      </c>
      <c r="Q431" t="e">
        <f>INDEX(Items!C$2:C$1032,MATCH($O431,Items!$A$2:$A$1032,0))</f>
        <v>#N/A</v>
      </c>
      <c r="R431" t="e">
        <f>INDEX(Items!D$2:D$1032,MATCH($O431,Items!$A$2:$A$1032,0))</f>
        <v>#N/A</v>
      </c>
    </row>
    <row r="432" spans="1:18" x14ac:dyDescent="0.25">
      <c r="A432">
        <f t="shared" si="33"/>
        <v>1</v>
      </c>
      <c r="B432" t="str">
        <f t="shared" si="34"/>
        <v/>
      </c>
      <c r="C432">
        <f t="shared" si="36"/>
        <v>1</v>
      </c>
      <c r="D432" s="4"/>
      <c r="E432" t="s">
        <v>18</v>
      </c>
      <c r="F432" t="str">
        <f>INDEX(Establishment!B$2:B$1005,MATCH($E432,Establishment!$A$2:$A$1005,0))</f>
        <v xml:space="preserve"> </v>
      </c>
      <c r="G432" t="str">
        <f>INDEX(Establishment!C$2:C$1005,MATCH($E432,Establishment!$A$2:$A$1005,0))</f>
        <v xml:space="preserve"> </v>
      </c>
      <c r="M432">
        <f t="shared" si="37"/>
        <v>0</v>
      </c>
      <c r="N432">
        <f t="shared" si="35"/>
        <v>0</v>
      </c>
      <c r="P432" t="e">
        <f>INDEX(Items!B$2:B$1032,MATCH($O432,Items!$A$2:$A$1032,0))</f>
        <v>#N/A</v>
      </c>
      <c r="Q432" t="e">
        <f>INDEX(Items!C$2:C$1032,MATCH($O432,Items!$A$2:$A$1032,0))</f>
        <v>#N/A</v>
      </c>
      <c r="R432" t="e">
        <f>INDEX(Items!D$2:D$1032,MATCH($O432,Items!$A$2:$A$1032,0))</f>
        <v>#N/A</v>
      </c>
    </row>
    <row r="433" spans="1:18" x14ac:dyDescent="0.25">
      <c r="A433">
        <f t="shared" si="33"/>
        <v>1</v>
      </c>
      <c r="B433" t="str">
        <f t="shared" si="34"/>
        <v/>
      </c>
      <c r="C433">
        <f t="shared" si="36"/>
        <v>1</v>
      </c>
      <c r="D433" s="4"/>
      <c r="E433" t="s">
        <v>18</v>
      </c>
      <c r="F433" t="str">
        <f>INDEX(Establishment!B$2:B$1005,MATCH($E433,Establishment!$A$2:$A$1005,0))</f>
        <v xml:space="preserve"> </v>
      </c>
      <c r="G433" t="str">
        <f>INDEX(Establishment!C$2:C$1005,MATCH($E433,Establishment!$A$2:$A$1005,0))</f>
        <v xml:space="preserve"> </v>
      </c>
      <c r="M433">
        <f t="shared" si="37"/>
        <v>0</v>
      </c>
      <c r="N433">
        <f t="shared" si="35"/>
        <v>0</v>
      </c>
      <c r="P433" t="e">
        <f>INDEX(Items!B$2:B$1032,MATCH($O433,Items!$A$2:$A$1032,0))</f>
        <v>#N/A</v>
      </c>
      <c r="Q433" t="e">
        <f>INDEX(Items!C$2:C$1032,MATCH($O433,Items!$A$2:$A$1032,0))</f>
        <v>#N/A</v>
      </c>
      <c r="R433" t="e">
        <f>INDEX(Items!D$2:D$1032,MATCH($O433,Items!$A$2:$A$1032,0))</f>
        <v>#N/A</v>
      </c>
    </row>
    <row r="434" spans="1:18" x14ac:dyDescent="0.25">
      <c r="A434">
        <f t="shared" si="33"/>
        <v>1</v>
      </c>
      <c r="B434" t="str">
        <f t="shared" si="34"/>
        <v/>
      </c>
      <c r="C434">
        <f t="shared" si="36"/>
        <v>1</v>
      </c>
      <c r="D434" s="4"/>
      <c r="E434" t="s">
        <v>18</v>
      </c>
      <c r="F434" t="str">
        <f>INDEX(Establishment!B$2:B$1005,MATCH($E434,Establishment!$A$2:$A$1005,0))</f>
        <v xml:space="preserve"> </v>
      </c>
      <c r="G434" t="str">
        <f>INDEX(Establishment!C$2:C$1005,MATCH($E434,Establishment!$A$2:$A$1005,0))</f>
        <v xml:space="preserve"> </v>
      </c>
      <c r="M434">
        <f t="shared" si="37"/>
        <v>0</v>
      </c>
      <c r="N434">
        <f t="shared" si="35"/>
        <v>0</v>
      </c>
      <c r="P434" t="e">
        <f>INDEX(Items!B$2:B$1032,MATCH($O434,Items!$A$2:$A$1032,0))</f>
        <v>#N/A</v>
      </c>
      <c r="Q434" t="e">
        <f>INDEX(Items!C$2:C$1032,MATCH($O434,Items!$A$2:$A$1032,0))</f>
        <v>#N/A</v>
      </c>
      <c r="R434" t="e">
        <f>INDEX(Items!D$2:D$1032,MATCH($O434,Items!$A$2:$A$1032,0))</f>
        <v>#N/A</v>
      </c>
    </row>
    <row r="435" spans="1:18" x14ac:dyDescent="0.25">
      <c r="A435">
        <f t="shared" si="33"/>
        <v>1</v>
      </c>
      <c r="B435" t="str">
        <f t="shared" si="34"/>
        <v/>
      </c>
      <c r="C435">
        <f t="shared" si="36"/>
        <v>1</v>
      </c>
      <c r="D435" s="4"/>
      <c r="E435" t="s">
        <v>18</v>
      </c>
      <c r="F435" t="str">
        <f>INDEX(Establishment!B$2:B$1005,MATCH($E435,Establishment!$A$2:$A$1005,0))</f>
        <v xml:space="preserve"> </v>
      </c>
      <c r="G435" t="str">
        <f>INDEX(Establishment!C$2:C$1005,MATCH($E435,Establishment!$A$2:$A$1005,0))</f>
        <v xml:space="preserve"> </v>
      </c>
      <c r="M435">
        <f t="shared" si="37"/>
        <v>0</v>
      </c>
      <c r="N435">
        <f t="shared" si="35"/>
        <v>0</v>
      </c>
      <c r="P435" t="e">
        <f>INDEX(Items!B$2:B$1032,MATCH($O435,Items!$A$2:$A$1032,0))</f>
        <v>#N/A</v>
      </c>
      <c r="Q435" t="e">
        <f>INDEX(Items!C$2:C$1032,MATCH($O435,Items!$A$2:$A$1032,0))</f>
        <v>#N/A</v>
      </c>
      <c r="R435" t="e">
        <f>INDEX(Items!D$2:D$1032,MATCH($O435,Items!$A$2:$A$1032,0))</f>
        <v>#N/A</v>
      </c>
    </row>
    <row r="436" spans="1:18" x14ac:dyDescent="0.25">
      <c r="A436">
        <f t="shared" si="33"/>
        <v>1</v>
      </c>
      <c r="B436" t="str">
        <f t="shared" si="34"/>
        <v/>
      </c>
      <c r="C436">
        <f t="shared" si="36"/>
        <v>1</v>
      </c>
      <c r="D436" s="4"/>
      <c r="E436" t="s">
        <v>18</v>
      </c>
      <c r="F436" t="str">
        <f>INDEX(Establishment!B$2:B$1005,MATCH($E436,Establishment!$A$2:$A$1005,0))</f>
        <v xml:space="preserve"> </v>
      </c>
      <c r="G436" t="str">
        <f>INDEX(Establishment!C$2:C$1005,MATCH($E436,Establishment!$A$2:$A$1005,0))</f>
        <v xml:space="preserve"> </v>
      </c>
      <c r="M436">
        <f t="shared" si="37"/>
        <v>0</v>
      </c>
      <c r="N436">
        <f t="shared" si="35"/>
        <v>0</v>
      </c>
      <c r="P436" t="e">
        <f>INDEX(Items!B$2:B$1032,MATCH($O436,Items!$A$2:$A$1032,0))</f>
        <v>#N/A</v>
      </c>
      <c r="Q436" t="e">
        <f>INDEX(Items!C$2:C$1032,MATCH($O436,Items!$A$2:$A$1032,0))</f>
        <v>#N/A</v>
      </c>
      <c r="R436" t="e">
        <f>INDEX(Items!D$2:D$1032,MATCH($O436,Items!$A$2:$A$1032,0))</f>
        <v>#N/A</v>
      </c>
    </row>
    <row r="437" spans="1:18" x14ac:dyDescent="0.25">
      <c r="A437">
        <f t="shared" si="33"/>
        <v>1</v>
      </c>
      <c r="B437" t="str">
        <f t="shared" si="34"/>
        <v/>
      </c>
      <c r="C437">
        <f t="shared" si="36"/>
        <v>1</v>
      </c>
      <c r="D437" s="4"/>
      <c r="E437" t="s">
        <v>18</v>
      </c>
      <c r="F437" t="str">
        <f>INDEX(Establishment!B$2:B$1005,MATCH($E437,Establishment!$A$2:$A$1005,0))</f>
        <v xml:space="preserve"> </v>
      </c>
      <c r="G437" t="str">
        <f>INDEX(Establishment!C$2:C$1005,MATCH($E437,Establishment!$A$2:$A$1005,0))</f>
        <v xml:space="preserve"> </v>
      </c>
      <c r="M437">
        <f t="shared" si="37"/>
        <v>0</v>
      </c>
      <c r="N437">
        <f t="shared" si="35"/>
        <v>0</v>
      </c>
      <c r="P437" t="e">
        <f>INDEX(Items!B$2:B$1032,MATCH($O437,Items!$A$2:$A$1032,0))</f>
        <v>#N/A</v>
      </c>
      <c r="Q437" t="e">
        <f>INDEX(Items!C$2:C$1032,MATCH($O437,Items!$A$2:$A$1032,0))</f>
        <v>#N/A</v>
      </c>
      <c r="R437" t="e">
        <f>INDEX(Items!D$2:D$1032,MATCH($O437,Items!$A$2:$A$1032,0))</f>
        <v>#N/A</v>
      </c>
    </row>
    <row r="438" spans="1:18" x14ac:dyDescent="0.25">
      <c r="A438">
        <f t="shared" si="33"/>
        <v>1</v>
      </c>
      <c r="B438" t="str">
        <f t="shared" si="34"/>
        <v/>
      </c>
      <c r="C438">
        <f t="shared" si="36"/>
        <v>1</v>
      </c>
      <c r="D438" s="4"/>
      <c r="E438" t="s">
        <v>18</v>
      </c>
      <c r="F438" t="str">
        <f>INDEX(Establishment!B$2:B$1005,MATCH($E438,Establishment!$A$2:$A$1005,0))</f>
        <v xml:space="preserve"> </v>
      </c>
      <c r="G438" t="str">
        <f>INDEX(Establishment!C$2:C$1005,MATCH($E438,Establishment!$A$2:$A$1005,0))</f>
        <v xml:space="preserve"> </v>
      </c>
      <c r="M438">
        <f t="shared" si="37"/>
        <v>0</v>
      </c>
      <c r="N438">
        <f t="shared" si="35"/>
        <v>0</v>
      </c>
      <c r="P438" t="e">
        <f>INDEX(Items!B$2:B$1032,MATCH($O438,Items!$A$2:$A$1032,0))</f>
        <v>#N/A</v>
      </c>
      <c r="Q438" t="e">
        <f>INDEX(Items!C$2:C$1032,MATCH($O438,Items!$A$2:$A$1032,0))</f>
        <v>#N/A</v>
      </c>
      <c r="R438" t="e">
        <f>INDEX(Items!D$2:D$1032,MATCH($O438,Items!$A$2:$A$1032,0))</f>
        <v>#N/A</v>
      </c>
    </row>
    <row r="439" spans="1:18" x14ac:dyDescent="0.25">
      <c r="A439">
        <f t="shared" si="33"/>
        <v>1</v>
      </c>
      <c r="B439" t="str">
        <f t="shared" si="34"/>
        <v/>
      </c>
      <c r="C439">
        <f t="shared" si="36"/>
        <v>1</v>
      </c>
      <c r="D439" s="4"/>
      <c r="E439" t="s">
        <v>18</v>
      </c>
      <c r="F439" t="str">
        <f>INDEX(Establishment!B$2:B$1005,MATCH($E439,Establishment!$A$2:$A$1005,0))</f>
        <v xml:space="preserve"> </v>
      </c>
      <c r="G439" t="str">
        <f>INDEX(Establishment!C$2:C$1005,MATCH($E439,Establishment!$A$2:$A$1005,0))</f>
        <v xml:space="preserve"> </v>
      </c>
      <c r="M439">
        <f t="shared" si="37"/>
        <v>0</v>
      </c>
      <c r="N439">
        <f t="shared" si="35"/>
        <v>0</v>
      </c>
      <c r="P439" t="e">
        <f>INDEX(Items!B$2:B$1032,MATCH($O439,Items!$A$2:$A$1032,0))</f>
        <v>#N/A</v>
      </c>
      <c r="Q439" t="e">
        <f>INDEX(Items!C$2:C$1032,MATCH($O439,Items!$A$2:$A$1032,0))</f>
        <v>#N/A</v>
      </c>
      <c r="R439" t="e">
        <f>INDEX(Items!D$2:D$1032,MATCH($O439,Items!$A$2:$A$1032,0))</f>
        <v>#N/A</v>
      </c>
    </row>
    <row r="440" spans="1:18" x14ac:dyDescent="0.25">
      <c r="A440">
        <f t="shared" si="33"/>
        <v>1</v>
      </c>
      <c r="B440" t="str">
        <f t="shared" si="34"/>
        <v/>
      </c>
      <c r="C440">
        <f t="shared" si="36"/>
        <v>1</v>
      </c>
      <c r="D440" s="4"/>
      <c r="E440" t="s">
        <v>18</v>
      </c>
      <c r="F440" t="str">
        <f>INDEX(Establishment!B$2:B$1005,MATCH($E440,Establishment!$A$2:$A$1005,0))</f>
        <v xml:space="preserve"> </v>
      </c>
      <c r="G440" t="str">
        <f>INDEX(Establishment!C$2:C$1005,MATCH($E440,Establishment!$A$2:$A$1005,0))</f>
        <v xml:space="preserve"> </v>
      </c>
      <c r="M440">
        <f t="shared" si="37"/>
        <v>0</v>
      </c>
      <c r="N440">
        <f t="shared" si="35"/>
        <v>0</v>
      </c>
      <c r="P440" t="e">
        <f>INDEX(Items!B$2:B$1032,MATCH($O440,Items!$A$2:$A$1032,0))</f>
        <v>#N/A</v>
      </c>
      <c r="Q440" t="e">
        <f>INDEX(Items!C$2:C$1032,MATCH($O440,Items!$A$2:$A$1032,0))</f>
        <v>#N/A</v>
      </c>
      <c r="R440" t="e">
        <f>INDEX(Items!D$2:D$1032,MATCH($O440,Items!$A$2:$A$1032,0))</f>
        <v>#N/A</v>
      </c>
    </row>
    <row r="441" spans="1:18" x14ac:dyDescent="0.25">
      <c r="A441">
        <f t="shared" si="33"/>
        <v>1</v>
      </c>
      <c r="B441" t="str">
        <f t="shared" si="34"/>
        <v/>
      </c>
      <c r="C441">
        <f t="shared" si="36"/>
        <v>1</v>
      </c>
      <c r="D441" s="4"/>
      <c r="E441" t="s">
        <v>18</v>
      </c>
      <c r="F441" t="str">
        <f>INDEX(Establishment!B$2:B$1005,MATCH($E441,Establishment!$A$2:$A$1005,0))</f>
        <v xml:space="preserve"> </v>
      </c>
      <c r="G441" t="str">
        <f>INDEX(Establishment!C$2:C$1005,MATCH($E441,Establishment!$A$2:$A$1005,0))</f>
        <v xml:space="preserve"> </v>
      </c>
      <c r="M441">
        <f t="shared" si="37"/>
        <v>0</v>
      </c>
      <c r="N441">
        <f t="shared" si="35"/>
        <v>0</v>
      </c>
      <c r="P441" t="e">
        <f>INDEX(Items!B$2:B$1032,MATCH($O441,Items!$A$2:$A$1032,0))</f>
        <v>#N/A</v>
      </c>
      <c r="Q441" t="e">
        <f>INDEX(Items!C$2:C$1032,MATCH($O441,Items!$A$2:$A$1032,0))</f>
        <v>#N/A</v>
      </c>
      <c r="R441" t="e">
        <f>INDEX(Items!D$2:D$1032,MATCH($O441,Items!$A$2:$A$1032,0))</f>
        <v>#N/A</v>
      </c>
    </row>
    <row r="442" spans="1:18" x14ac:dyDescent="0.25">
      <c r="A442">
        <f t="shared" si="33"/>
        <v>1</v>
      </c>
      <c r="B442" t="str">
        <f t="shared" si="34"/>
        <v/>
      </c>
      <c r="C442">
        <f t="shared" si="36"/>
        <v>1</v>
      </c>
      <c r="D442" s="4"/>
      <c r="E442" t="s">
        <v>18</v>
      </c>
      <c r="F442" t="str">
        <f>INDEX(Establishment!B$2:B$1005,MATCH($E442,Establishment!$A$2:$A$1005,0))</f>
        <v xml:space="preserve"> </v>
      </c>
      <c r="G442" t="str">
        <f>INDEX(Establishment!C$2:C$1005,MATCH($E442,Establishment!$A$2:$A$1005,0))</f>
        <v xml:space="preserve"> </v>
      </c>
      <c r="M442">
        <f t="shared" si="37"/>
        <v>0</v>
      </c>
      <c r="N442">
        <f t="shared" si="35"/>
        <v>0</v>
      </c>
      <c r="P442" t="e">
        <f>INDEX(Items!B$2:B$1032,MATCH($O442,Items!$A$2:$A$1032,0))</f>
        <v>#N/A</v>
      </c>
      <c r="Q442" t="e">
        <f>INDEX(Items!C$2:C$1032,MATCH($O442,Items!$A$2:$A$1032,0))</f>
        <v>#N/A</v>
      </c>
      <c r="R442" t="e">
        <f>INDEX(Items!D$2:D$1032,MATCH($O442,Items!$A$2:$A$1032,0))</f>
        <v>#N/A</v>
      </c>
    </row>
    <row r="443" spans="1:18" x14ac:dyDescent="0.25">
      <c r="A443">
        <f t="shared" si="33"/>
        <v>1</v>
      </c>
      <c r="B443" t="str">
        <f t="shared" si="34"/>
        <v/>
      </c>
      <c r="C443">
        <f t="shared" si="36"/>
        <v>1</v>
      </c>
      <c r="D443" s="4"/>
      <c r="E443" t="s">
        <v>18</v>
      </c>
      <c r="F443" t="str">
        <f>INDEX(Establishment!B$2:B$1005,MATCH($E443,Establishment!$A$2:$A$1005,0))</f>
        <v xml:space="preserve"> </v>
      </c>
      <c r="G443" t="str">
        <f>INDEX(Establishment!C$2:C$1005,MATCH($E443,Establishment!$A$2:$A$1005,0))</f>
        <v xml:space="preserve"> </v>
      </c>
      <c r="M443">
        <f t="shared" si="37"/>
        <v>0</v>
      </c>
      <c r="N443">
        <f t="shared" si="35"/>
        <v>0</v>
      </c>
      <c r="P443" t="e">
        <f>INDEX(Items!B$2:B$1032,MATCH($O443,Items!$A$2:$A$1032,0))</f>
        <v>#N/A</v>
      </c>
      <c r="Q443" t="e">
        <f>INDEX(Items!C$2:C$1032,MATCH($O443,Items!$A$2:$A$1032,0))</f>
        <v>#N/A</v>
      </c>
      <c r="R443" t="e">
        <f>INDEX(Items!D$2:D$1032,MATCH($O443,Items!$A$2:$A$1032,0))</f>
        <v>#N/A</v>
      </c>
    </row>
    <row r="444" spans="1:18" x14ac:dyDescent="0.25">
      <c r="A444">
        <f t="shared" si="33"/>
        <v>1</v>
      </c>
      <c r="B444" t="str">
        <f t="shared" si="34"/>
        <v/>
      </c>
      <c r="C444">
        <f t="shared" si="36"/>
        <v>1</v>
      </c>
      <c r="D444" s="4"/>
      <c r="E444" t="s">
        <v>18</v>
      </c>
      <c r="F444" t="str">
        <f>INDEX(Establishment!B$2:B$1005,MATCH($E444,Establishment!$A$2:$A$1005,0))</f>
        <v xml:space="preserve"> </v>
      </c>
      <c r="G444" t="str">
        <f>INDEX(Establishment!C$2:C$1005,MATCH($E444,Establishment!$A$2:$A$1005,0))</f>
        <v xml:space="preserve"> </v>
      </c>
      <c r="M444">
        <f t="shared" si="37"/>
        <v>0</v>
      </c>
      <c r="N444">
        <f t="shared" si="35"/>
        <v>0</v>
      </c>
      <c r="P444" t="e">
        <f>INDEX(Items!B$2:B$1032,MATCH($O444,Items!$A$2:$A$1032,0))</f>
        <v>#N/A</v>
      </c>
      <c r="Q444" t="e">
        <f>INDEX(Items!C$2:C$1032,MATCH($O444,Items!$A$2:$A$1032,0))</f>
        <v>#N/A</v>
      </c>
      <c r="R444" t="e">
        <f>INDEX(Items!D$2:D$1032,MATCH($O444,Items!$A$2:$A$1032,0))</f>
        <v>#N/A</v>
      </c>
    </row>
    <row r="445" spans="1:18" x14ac:dyDescent="0.25">
      <c r="A445">
        <f t="shared" si="33"/>
        <v>1</v>
      </c>
      <c r="B445" t="str">
        <f t="shared" si="34"/>
        <v/>
      </c>
      <c r="C445">
        <f t="shared" si="36"/>
        <v>1</v>
      </c>
      <c r="D445" s="4"/>
      <c r="E445" t="s">
        <v>18</v>
      </c>
      <c r="F445" t="str">
        <f>INDEX(Establishment!B$2:B$1005,MATCH($E445,Establishment!$A$2:$A$1005,0))</f>
        <v xml:space="preserve"> </v>
      </c>
      <c r="G445" t="str">
        <f>INDEX(Establishment!C$2:C$1005,MATCH($E445,Establishment!$A$2:$A$1005,0))</f>
        <v xml:space="preserve"> </v>
      </c>
      <c r="M445">
        <f t="shared" si="37"/>
        <v>0</v>
      </c>
      <c r="N445">
        <f t="shared" si="35"/>
        <v>0</v>
      </c>
      <c r="P445" t="e">
        <f>INDEX(Items!B$2:B$1032,MATCH($O445,Items!$A$2:$A$1032,0))</f>
        <v>#N/A</v>
      </c>
      <c r="Q445" t="e">
        <f>INDEX(Items!C$2:C$1032,MATCH($O445,Items!$A$2:$A$1032,0))</f>
        <v>#N/A</v>
      </c>
      <c r="R445" t="e">
        <f>INDEX(Items!D$2:D$1032,MATCH($O445,Items!$A$2:$A$1032,0))</f>
        <v>#N/A</v>
      </c>
    </row>
    <row r="446" spans="1:18" x14ac:dyDescent="0.25">
      <c r="A446">
        <f t="shared" si="33"/>
        <v>1</v>
      </c>
      <c r="B446" t="str">
        <f t="shared" si="34"/>
        <v/>
      </c>
      <c r="C446">
        <f t="shared" si="36"/>
        <v>1</v>
      </c>
      <c r="D446" s="4"/>
      <c r="E446" t="s">
        <v>18</v>
      </c>
      <c r="F446" t="str">
        <f>INDEX(Establishment!B$2:B$1005,MATCH($E446,Establishment!$A$2:$A$1005,0))</f>
        <v xml:space="preserve"> </v>
      </c>
      <c r="G446" t="str">
        <f>INDEX(Establishment!C$2:C$1005,MATCH($E446,Establishment!$A$2:$A$1005,0))</f>
        <v xml:space="preserve"> </v>
      </c>
      <c r="M446">
        <f t="shared" si="37"/>
        <v>0</v>
      </c>
      <c r="N446">
        <f t="shared" si="35"/>
        <v>0</v>
      </c>
      <c r="P446" t="e">
        <f>INDEX(Items!B$2:B$1032,MATCH($O446,Items!$A$2:$A$1032,0))</f>
        <v>#N/A</v>
      </c>
      <c r="Q446" t="e">
        <f>INDEX(Items!C$2:C$1032,MATCH($O446,Items!$A$2:$A$1032,0))</f>
        <v>#N/A</v>
      </c>
      <c r="R446" t="e">
        <f>INDEX(Items!D$2:D$1032,MATCH($O446,Items!$A$2:$A$1032,0))</f>
        <v>#N/A</v>
      </c>
    </row>
    <row r="447" spans="1:18" x14ac:dyDescent="0.25">
      <c r="A447">
        <f t="shared" si="33"/>
        <v>1</v>
      </c>
      <c r="B447" t="str">
        <f t="shared" si="34"/>
        <v/>
      </c>
      <c r="C447">
        <f t="shared" si="36"/>
        <v>1</v>
      </c>
      <c r="D447" s="4"/>
      <c r="E447" t="s">
        <v>18</v>
      </c>
      <c r="F447" t="str">
        <f>INDEX(Establishment!B$2:B$1005,MATCH($E447,Establishment!$A$2:$A$1005,0))</f>
        <v xml:space="preserve"> </v>
      </c>
      <c r="G447" t="str">
        <f>INDEX(Establishment!C$2:C$1005,MATCH($E447,Establishment!$A$2:$A$1005,0))</f>
        <v xml:space="preserve"> </v>
      </c>
      <c r="M447">
        <f t="shared" si="37"/>
        <v>0</v>
      </c>
      <c r="N447">
        <f t="shared" si="35"/>
        <v>0</v>
      </c>
      <c r="P447" t="e">
        <f>INDEX(Items!B$2:B$1032,MATCH($O447,Items!$A$2:$A$1032,0))</f>
        <v>#N/A</v>
      </c>
      <c r="Q447" t="e">
        <f>INDEX(Items!C$2:C$1032,MATCH($O447,Items!$A$2:$A$1032,0))</f>
        <v>#N/A</v>
      </c>
      <c r="R447" t="e">
        <f>INDEX(Items!D$2:D$1032,MATCH($O447,Items!$A$2:$A$1032,0))</f>
        <v>#N/A</v>
      </c>
    </row>
    <row r="448" spans="1:18" x14ac:dyDescent="0.25">
      <c r="A448">
        <f t="shared" si="33"/>
        <v>1</v>
      </c>
      <c r="B448" t="str">
        <f t="shared" si="34"/>
        <v/>
      </c>
      <c r="C448">
        <f t="shared" si="36"/>
        <v>1</v>
      </c>
      <c r="D448" s="4"/>
      <c r="E448" t="s">
        <v>18</v>
      </c>
      <c r="F448" t="str">
        <f>INDEX(Establishment!B$2:B$1005,MATCH($E448,Establishment!$A$2:$A$1005,0))</f>
        <v xml:space="preserve"> </v>
      </c>
      <c r="G448" t="str">
        <f>INDEX(Establishment!C$2:C$1005,MATCH($E448,Establishment!$A$2:$A$1005,0))</f>
        <v xml:space="preserve"> </v>
      </c>
      <c r="M448">
        <f t="shared" si="37"/>
        <v>0</v>
      </c>
      <c r="N448">
        <f t="shared" si="35"/>
        <v>0</v>
      </c>
      <c r="P448" t="e">
        <f>INDEX(Items!B$2:B$1032,MATCH($O448,Items!$A$2:$A$1032,0))</f>
        <v>#N/A</v>
      </c>
      <c r="Q448" t="e">
        <f>INDEX(Items!C$2:C$1032,MATCH($O448,Items!$A$2:$A$1032,0))</f>
        <v>#N/A</v>
      </c>
      <c r="R448" t="e">
        <f>INDEX(Items!D$2:D$1032,MATCH($O448,Items!$A$2:$A$1032,0))</f>
        <v>#N/A</v>
      </c>
    </row>
    <row r="449" spans="1:18" x14ac:dyDescent="0.25">
      <c r="A449">
        <f t="shared" si="33"/>
        <v>1</v>
      </c>
      <c r="B449" t="str">
        <f t="shared" si="34"/>
        <v/>
      </c>
      <c r="C449">
        <f t="shared" si="36"/>
        <v>1</v>
      </c>
      <c r="D449" s="4"/>
      <c r="E449" t="s">
        <v>18</v>
      </c>
      <c r="F449" t="str">
        <f>INDEX(Establishment!B$2:B$1005,MATCH($E449,Establishment!$A$2:$A$1005,0))</f>
        <v xml:space="preserve"> </v>
      </c>
      <c r="G449" t="str">
        <f>INDEX(Establishment!C$2:C$1005,MATCH($E449,Establishment!$A$2:$A$1005,0))</f>
        <v xml:space="preserve"> </v>
      </c>
      <c r="M449">
        <f t="shared" si="37"/>
        <v>0</v>
      </c>
      <c r="N449">
        <f t="shared" si="35"/>
        <v>0</v>
      </c>
      <c r="P449" t="e">
        <f>INDEX(Items!B$2:B$1032,MATCH($O449,Items!$A$2:$A$1032,0))</f>
        <v>#N/A</v>
      </c>
      <c r="Q449" t="e">
        <f>INDEX(Items!C$2:C$1032,MATCH($O449,Items!$A$2:$A$1032,0))</f>
        <v>#N/A</v>
      </c>
      <c r="R449" t="e">
        <f>INDEX(Items!D$2:D$1032,MATCH($O449,Items!$A$2:$A$1032,0))</f>
        <v>#N/A</v>
      </c>
    </row>
    <row r="450" spans="1:18" x14ac:dyDescent="0.25">
      <c r="A450">
        <f t="shared" ref="A450:A499" si="38">IF(OR(D450&lt;&gt;D449,D450=""),1,IF(NOT(AND(E450=E449,F450=F449,G450=G449)),A449+1,IF(OR(H450="",AND(H450&lt;&gt;"",H450&lt;&gt;H449,H449&lt;&gt;"")),A449,A449+1)))</f>
        <v>1</v>
      </c>
      <c r="B450" t="str">
        <f t="shared" ref="B450:B499" si="39">IF(D450&lt;&gt;"",TEXT(D450,"YYYYMMDD")&amp;CHAR(64+A450),"")</f>
        <v/>
      </c>
      <c r="C450">
        <f t="shared" si="36"/>
        <v>1</v>
      </c>
      <c r="D450" s="4"/>
      <c r="E450" t="s">
        <v>18</v>
      </c>
      <c r="F450" t="str">
        <f>INDEX(Establishment!B$2:B$1005,MATCH($E450,Establishment!$A$2:$A$1005,0))</f>
        <v xml:space="preserve"> </v>
      </c>
      <c r="G450" t="str">
        <f>INDEX(Establishment!C$2:C$1005,MATCH($E450,Establishment!$A$2:$A$1005,0))</f>
        <v xml:space="preserve"> </v>
      </c>
      <c r="M450">
        <f t="shared" si="37"/>
        <v>0</v>
      </c>
      <c r="N450">
        <f t="shared" si="35"/>
        <v>0</v>
      </c>
      <c r="P450" t="e">
        <f>INDEX(Items!B$2:B$1032,MATCH($O450,Items!$A$2:$A$1032,0))</f>
        <v>#N/A</v>
      </c>
      <c r="Q450" t="e">
        <f>INDEX(Items!C$2:C$1032,MATCH($O450,Items!$A$2:$A$1032,0))</f>
        <v>#N/A</v>
      </c>
      <c r="R450" t="e">
        <f>INDEX(Items!D$2:D$1032,MATCH($O450,Items!$A$2:$A$1032,0))</f>
        <v>#N/A</v>
      </c>
    </row>
    <row r="451" spans="1:18" x14ac:dyDescent="0.25">
      <c r="A451">
        <f t="shared" si="38"/>
        <v>1</v>
      </c>
      <c r="B451" t="str">
        <f t="shared" si="39"/>
        <v/>
      </c>
      <c r="C451">
        <f t="shared" si="36"/>
        <v>1</v>
      </c>
      <c r="D451" s="4"/>
      <c r="E451" t="s">
        <v>18</v>
      </c>
      <c r="F451" t="str">
        <f>INDEX(Establishment!B$2:B$1005,MATCH($E451,Establishment!$A$2:$A$1005,0))</f>
        <v xml:space="preserve"> </v>
      </c>
      <c r="G451" t="str">
        <f>INDEX(Establishment!C$2:C$1005,MATCH($E451,Establishment!$A$2:$A$1005,0))</f>
        <v xml:space="preserve"> </v>
      </c>
      <c r="M451">
        <f t="shared" si="37"/>
        <v>0</v>
      </c>
      <c r="N451">
        <f t="shared" ref="N451:N499" si="40">IF(B451=B450,N450+M451,M451)</f>
        <v>0</v>
      </c>
      <c r="P451" t="e">
        <f>INDEX(Items!B$2:B$1032,MATCH($O451,Items!$A$2:$A$1032,0))</f>
        <v>#N/A</v>
      </c>
      <c r="Q451" t="e">
        <f>INDEX(Items!C$2:C$1032,MATCH($O451,Items!$A$2:$A$1032,0))</f>
        <v>#N/A</v>
      </c>
      <c r="R451" t="e">
        <f>INDEX(Items!D$2:D$1032,MATCH($O451,Items!$A$2:$A$1032,0))</f>
        <v>#N/A</v>
      </c>
    </row>
    <row r="452" spans="1:18" x14ac:dyDescent="0.25">
      <c r="A452">
        <f t="shared" si="38"/>
        <v>1</v>
      </c>
      <c r="B452" t="str">
        <f t="shared" si="39"/>
        <v/>
      </c>
      <c r="C452">
        <f t="shared" si="36"/>
        <v>1</v>
      </c>
      <c r="D452" s="4"/>
      <c r="E452" t="s">
        <v>18</v>
      </c>
      <c r="F452" t="str">
        <f>INDEX(Establishment!B$2:B$1005,MATCH($E452,Establishment!$A$2:$A$1005,0))</f>
        <v xml:space="preserve"> </v>
      </c>
      <c r="G452" t="str">
        <f>INDEX(Establishment!C$2:C$1005,MATCH($E452,Establishment!$A$2:$A$1005,0))</f>
        <v xml:space="preserve"> </v>
      </c>
      <c r="M452">
        <f t="shared" si="37"/>
        <v>0</v>
      </c>
      <c r="N452">
        <f t="shared" si="40"/>
        <v>0</v>
      </c>
      <c r="P452" t="e">
        <f>INDEX(Items!B$2:B$1032,MATCH($O452,Items!$A$2:$A$1032,0))</f>
        <v>#N/A</v>
      </c>
      <c r="Q452" t="e">
        <f>INDEX(Items!C$2:C$1032,MATCH($O452,Items!$A$2:$A$1032,0))</f>
        <v>#N/A</v>
      </c>
      <c r="R452" t="e">
        <f>INDEX(Items!D$2:D$1032,MATCH($O452,Items!$A$2:$A$1032,0))</f>
        <v>#N/A</v>
      </c>
    </row>
    <row r="453" spans="1:18" x14ac:dyDescent="0.25">
      <c r="A453">
        <f t="shared" si="38"/>
        <v>1</v>
      </c>
      <c r="B453" t="str">
        <f t="shared" si="39"/>
        <v/>
      </c>
      <c r="C453">
        <f t="shared" si="36"/>
        <v>1</v>
      </c>
      <c r="D453" s="4"/>
      <c r="E453" t="s">
        <v>18</v>
      </c>
      <c r="F453" t="str">
        <f>INDEX(Establishment!B$2:B$1005,MATCH($E453,Establishment!$A$2:$A$1005,0))</f>
        <v xml:space="preserve"> </v>
      </c>
      <c r="G453" t="str">
        <f>INDEX(Establishment!C$2:C$1005,MATCH($E453,Establishment!$A$2:$A$1005,0))</f>
        <v xml:space="preserve"> </v>
      </c>
      <c r="M453">
        <f t="shared" si="37"/>
        <v>0</v>
      </c>
      <c r="N453">
        <f t="shared" si="40"/>
        <v>0</v>
      </c>
      <c r="P453" t="e">
        <f>INDEX(Items!B$2:B$1032,MATCH($O453,Items!$A$2:$A$1032,0))</f>
        <v>#N/A</v>
      </c>
      <c r="Q453" t="e">
        <f>INDEX(Items!C$2:C$1032,MATCH($O453,Items!$A$2:$A$1032,0))</f>
        <v>#N/A</v>
      </c>
      <c r="R453" t="e">
        <f>INDEX(Items!D$2:D$1032,MATCH($O453,Items!$A$2:$A$1032,0))</f>
        <v>#N/A</v>
      </c>
    </row>
    <row r="454" spans="1:18" x14ac:dyDescent="0.25">
      <c r="A454">
        <f t="shared" si="38"/>
        <v>1</v>
      </c>
      <c r="B454" t="str">
        <f t="shared" si="39"/>
        <v/>
      </c>
      <c r="C454">
        <f t="shared" si="36"/>
        <v>1</v>
      </c>
      <c r="D454" s="4"/>
      <c r="E454" t="s">
        <v>18</v>
      </c>
      <c r="F454" t="str">
        <f>INDEX(Establishment!B$2:B$1005,MATCH($E454,Establishment!$A$2:$A$1005,0))</f>
        <v xml:space="preserve"> </v>
      </c>
      <c r="G454" t="str">
        <f>INDEX(Establishment!C$2:C$1005,MATCH($E454,Establishment!$A$2:$A$1005,0))</f>
        <v xml:space="preserve"> </v>
      </c>
      <c r="M454">
        <f t="shared" si="37"/>
        <v>0</v>
      </c>
      <c r="N454">
        <f t="shared" si="40"/>
        <v>0</v>
      </c>
      <c r="P454" t="e">
        <f>INDEX(Items!B$2:B$1032,MATCH($O454,Items!$A$2:$A$1032,0))</f>
        <v>#N/A</v>
      </c>
      <c r="Q454" t="e">
        <f>INDEX(Items!C$2:C$1032,MATCH($O454,Items!$A$2:$A$1032,0))</f>
        <v>#N/A</v>
      </c>
      <c r="R454" t="e">
        <f>INDEX(Items!D$2:D$1032,MATCH($O454,Items!$A$2:$A$1032,0))</f>
        <v>#N/A</v>
      </c>
    </row>
    <row r="455" spans="1:18" x14ac:dyDescent="0.25">
      <c r="A455">
        <f t="shared" si="38"/>
        <v>1</v>
      </c>
      <c r="B455" t="str">
        <f t="shared" si="39"/>
        <v/>
      </c>
      <c r="C455">
        <f t="shared" si="36"/>
        <v>1</v>
      </c>
      <c r="D455" s="4"/>
      <c r="E455" t="s">
        <v>18</v>
      </c>
      <c r="F455" t="str">
        <f>INDEX(Establishment!B$2:B$1005,MATCH($E455,Establishment!$A$2:$A$1005,0))</f>
        <v xml:space="preserve"> </v>
      </c>
      <c r="G455" t="str">
        <f>INDEX(Establishment!C$2:C$1005,MATCH($E455,Establishment!$A$2:$A$1005,0))</f>
        <v xml:space="preserve"> </v>
      </c>
      <c r="M455">
        <f t="shared" si="37"/>
        <v>0</v>
      </c>
      <c r="N455">
        <f t="shared" si="40"/>
        <v>0</v>
      </c>
      <c r="P455" t="e">
        <f>INDEX(Items!B$2:B$1032,MATCH($O455,Items!$A$2:$A$1032,0))</f>
        <v>#N/A</v>
      </c>
      <c r="Q455" t="e">
        <f>INDEX(Items!C$2:C$1032,MATCH($O455,Items!$A$2:$A$1032,0))</f>
        <v>#N/A</v>
      </c>
      <c r="R455" t="e">
        <f>INDEX(Items!D$2:D$1032,MATCH($O455,Items!$A$2:$A$1032,0))</f>
        <v>#N/A</v>
      </c>
    </row>
    <row r="456" spans="1:18" x14ac:dyDescent="0.25">
      <c r="A456">
        <f t="shared" si="38"/>
        <v>1</v>
      </c>
      <c r="B456" t="str">
        <f t="shared" si="39"/>
        <v/>
      </c>
      <c r="C456">
        <f t="shared" si="36"/>
        <v>1</v>
      </c>
      <c r="D456" s="4"/>
      <c r="E456" t="s">
        <v>18</v>
      </c>
      <c r="F456" t="str">
        <f>INDEX(Establishment!B$2:B$1005,MATCH($E456,Establishment!$A$2:$A$1005,0))</f>
        <v xml:space="preserve"> </v>
      </c>
      <c r="G456" t="str">
        <f>INDEX(Establishment!C$2:C$1005,MATCH($E456,Establishment!$A$2:$A$1005,0))</f>
        <v xml:space="preserve"> </v>
      </c>
      <c r="M456">
        <f t="shared" si="37"/>
        <v>0</v>
      </c>
      <c r="N456">
        <f t="shared" si="40"/>
        <v>0</v>
      </c>
      <c r="P456" t="e">
        <f>INDEX(Items!B$2:B$1032,MATCH($O456,Items!$A$2:$A$1032,0))</f>
        <v>#N/A</v>
      </c>
      <c r="Q456" t="e">
        <f>INDEX(Items!C$2:C$1032,MATCH($O456,Items!$A$2:$A$1032,0))</f>
        <v>#N/A</v>
      </c>
      <c r="R456" t="e">
        <f>INDEX(Items!D$2:D$1032,MATCH($O456,Items!$A$2:$A$1032,0))</f>
        <v>#N/A</v>
      </c>
    </row>
    <row r="457" spans="1:18" x14ac:dyDescent="0.25">
      <c r="A457">
        <f t="shared" si="38"/>
        <v>1</v>
      </c>
      <c r="B457" t="str">
        <f t="shared" si="39"/>
        <v/>
      </c>
      <c r="C457">
        <f t="shared" si="36"/>
        <v>1</v>
      </c>
      <c r="D457" s="4"/>
      <c r="E457" t="s">
        <v>18</v>
      </c>
      <c r="F457" t="str">
        <f>INDEX(Establishment!B$2:B$1005,MATCH($E457,Establishment!$A$2:$A$1005,0))</f>
        <v xml:space="preserve"> </v>
      </c>
      <c r="G457" t="str">
        <f>INDEX(Establishment!C$2:C$1005,MATCH($E457,Establishment!$A$2:$A$1005,0))</f>
        <v xml:space="preserve"> </v>
      </c>
      <c r="M457">
        <f t="shared" si="37"/>
        <v>0</v>
      </c>
      <c r="N457">
        <f t="shared" si="40"/>
        <v>0</v>
      </c>
      <c r="P457" t="e">
        <f>INDEX(Items!B$2:B$1032,MATCH($O457,Items!$A$2:$A$1032,0))</f>
        <v>#N/A</v>
      </c>
      <c r="Q457" t="e">
        <f>INDEX(Items!C$2:C$1032,MATCH($O457,Items!$A$2:$A$1032,0))</f>
        <v>#N/A</v>
      </c>
      <c r="R457" t="e">
        <f>INDEX(Items!D$2:D$1032,MATCH($O457,Items!$A$2:$A$1032,0))</f>
        <v>#N/A</v>
      </c>
    </row>
    <row r="458" spans="1:18" x14ac:dyDescent="0.25">
      <c r="A458">
        <f t="shared" si="38"/>
        <v>1</v>
      </c>
      <c r="B458" t="str">
        <f t="shared" si="39"/>
        <v/>
      </c>
      <c r="C458">
        <f t="shared" ref="C458:C499" si="41">IF(OR(B458="",B458&lt;&gt;B457),1,C457+1)</f>
        <v>1</v>
      </c>
      <c r="D458" s="4"/>
      <c r="E458" t="s">
        <v>18</v>
      </c>
      <c r="F458" t="str">
        <f>INDEX(Establishment!B$2:B$1005,MATCH($E458,Establishment!$A$2:$A$1005,0))</f>
        <v xml:space="preserve"> </v>
      </c>
      <c r="G458" t="str">
        <f>INDEX(Establishment!C$2:C$1005,MATCH($E458,Establishment!$A$2:$A$1005,0))</f>
        <v xml:space="preserve"> </v>
      </c>
      <c r="M458">
        <f t="shared" ref="M458:M499" si="42">K458*L458</f>
        <v>0</v>
      </c>
      <c r="N458">
        <f t="shared" si="40"/>
        <v>0</v>
      </c>
      <c r="P458" t="e">
        <f>INDEX(Items!B$2:B$1032,MATCH($O458,Items!$A$2:$A$1032,0))</f>
        <v>#N/A</v>
      </c>
      <c r="Q458" t="e">
        <f>INDEX(Items!C$2:C$1032,MATCH($O458,Items!$A$2:$A$1032,0))</f>
        <v>#N/A</v>
      </c>
      <c r="R458" t="e">
        <f>INDEX(Items!D$2:D$1032,MATCH($O458,Items!$A$2:$A$1032,0))</f>
        <v>#N/A</v>
      </c>
    </row>
    <row r="459" spans="1:18" x14ac:dyDescent="0.25">
      <c r="A459">
        <f t="shared" si="38"/>
        <v>1</v>
      </c>
      <c r="B459" t="str">
        <f t="shared" si="39"/>
        <v/>
      </c>
      <c r="C459">
        <f t="shared" si="41"/>
        <v>1</v>
      </c>
      <c r="D459" s="4"/>
      <c r="E459" t="s">
        <v>18</v>
      </c>
      <c r="F459" t="str">
        <f>INDEX(Establishment!B$2:B$1005,MATCH($E459,Establishment!$A$2:$A$1005,0))</f>
        <v xml:space="preserve"> </v>
      </c>
      <c r="G459" t="str">
        <f>INDEX(Establishment!C$2:C$1005,MATCH($E459,Establishment!$A$2:$A$1005,0))</f>
        <v xml:space="preserve"> </v>
      </c>
      <c r="M459">
        <f t="shared" si="42"/>
        <v>0</v>
      </c>
      <c r="N459">
        <f t="shared" si="40"/>
        <v>0</v>
      </c>
      <c r="P459" t="e">
        <f>INDEX(Items!B$2:B$1032,MATCH($O459,Items!$A$2:$A$1032,0))</f>
        <v>#N/A</v>
      </c>
      <c r="Q459" t="e">
        <f>INDEX(Items!C$2:C$1032,MATCH($O459,Items!$A$2:$A$1032,0))</f>
        <v>#N/A</v>
      </c>
      <c r="R459" t="e">
        <f>INDEX(Items!D$2:D$1032,MATCH($O459,Items!$A$2:$A$1032,0))</f>
        <v>#N/A</v>
      </c>
    </row>
    <row r="460" spans="1:18" x14ac:dyDescent="0.25">
      <c r="A460">
        <f t="shared" si="38"/>
        <v>1</v>
      </c>
      <c r="B460" t="str">
        <f t="shared" si="39"/>
        <v/>
      </c>
      <c r="C460">
        <f t="shared" si="41"/>
        <v>1</v>
      </c>
      <c r="D460" s="4"/>
      <c r="E460" t="s">
        <v>18</v>
      </c>
      <c r="F460" t="str">
        <f>INDEX(Establishment!B$2:B$1005,MATCH($E460,Establishment!$A$2:$A$1005,0))</f>
        <v xml:space="preserve"> </v>
      </c>
      <c r="G460" t="str">
        <f>INDEX(Establishment!C$2:C$1005,MATCH($E460,Establishment!$A$2:$A$1005,0))</f>
        <v xml:space="preserve"> </v>
      </c>
      <c r="M460">
        <f t="shared" si="42"/>
        <v>0</v>
      </c>
      <c r="N460">
        <f t="shared" si="40"/>
        <v>0</v>
      </c>
      <c r="P460" t="e">
        <f>INDEX(Items!B$2:B$1032,MATCH($O460,Items!$A$2:$A$1032,0))</f>
        <v>#N/A</v>
      </c>
      <c r="Q460" t="e">
        <f>INDEX(Items!C$2:C$1032,MATCH($O460,Items!$A$2:$A$1032,0))</f>
        <v>#N/A</v>
      </c>
      <c r="R460" t="e">
        <f>INDEX(Items!D$2:D$1032,MATCH($O460,Items!$A$2:$A$1032,0))</f>
        <v>#N/A</v>
      </c>
    </row>
    <row r="461" spans="1:18" x14ac:dyDescent="0.25">
      <c r="A461">
        <f t="shared" si="38"/>
        <v>1</v>
      </c>
      <c r="B461" t="str">
        <f t="shared" si="39"/>
        <v/>
      </c>
      <c r="C461">
        <f t="shared" si="41"/>
        <v>1</v>
      </c>
      <c r="D461" s="4"/>
      <c r="E461" t="s">
        <v>18</v>
      </c>
      <c r="F461" t="str">
        <f>INDEX(Establishment!B$2:B$1005,MATCH($E461,Establishment!$A$2:$A$1005,0))</f>
        <v xml:space="preserve"> </v>
      </c>
      <c r="G461" t="str">
        <f>INDEX(Establishment!C$2:C$1005,MATCH($E461,Establishment!$A$2:$A$1005,0))</f>
        <v xml:space="preserve"> </v>
      </c>
      <c r="M461">
        <f t="shared" si="42"/>
        <v>0</v>
      </c>
      <c r="N461">
        <f t="shared" si="40"/>
        <v>0</v>
      </c>
      <c r="P461" t="e">
        <f>INDEX(Items!B$2:B$1032,MATCH($O461,Items!$A$2:$A$1032,0))</f>
        <v>#N/A</v>
      </c>
      <c r="Q461" t="e">
        <f>INDEX(Items!C$2:C$1032,MATCH($O461,Items!$A$2:$A$1032,0))</f>
        <v>#N/A</v>
      </c>
      <c r="R461" t="e">
        <f>INDEX(Items!D$2:D$1032,MATCH($O461,Items!$A$2:$A$1032,0))</f>
        <v>#N/A</v>
      </c>
    </row>
    <row r="462" spans="1:18" x14ac:dyDescent="0.25">
      <c r="A462">
        <f t="shared" si="38"/>
        <v>1</v>
      </c>
      <c r="B462" t="str">
        <f t="shared" si="39"/>
        <v/>
      </c>
      <c r="C462">
        <f t="shared" si="41"/>
        <v>1</v>
      </c>
      <c r="D462" s="4"/>
      <c r="E462" t="s">
        <v>18</v>
      </c>
      <c r="F462" t="str">
        <f>INDEX(Establishment!B$2:B$1005,MATCH($E462,Establishment!$A$2:$A$1005,0))</f>
        <v xml:space="preserve"> </v>
      </c>
      <c r="G462" t="str">
        <f>INDEX(Establishment!C$2:C$1005,MATCH($E462,Establishment!$A$2:$A$1005,0))</f>
        <v xml:space="preserve"> </v>
      </c>
      <c r="M462">
        <f t="shared" si="42"/>
        <v>0</v>
      </c>
      <c r="N462">
        <f t="shared" si="40"/>
        <v>0</v>
      </c>
      <c r="P462" t="e">
        <f>INDEX(Items!B$2:B$1032,MATCH($O462,Items!$A$2:$A$1032,0))</f>
        <v>#N/A</v>
      </c>
      <c r="Q462" t="e">
        <f>INDEX(Items!C$2:C$1032,MATCH($O462,Items!$A$2:$A$1032,0))</f>
        <v>#N/A</v>
      </c>
      <c r="R462" t="e">
        <f>INDEX(Items!D$2:D$1032,MATCH($O462,Items!$A$2:$A$1032,0))</f>
        <v>#N/A</v>
      </c>
    </row>
    <row r="463" spans="1:18" x14ac:dyDescent="0.25">
      <c r="A463">
        <f t="shared" si="38"/>
        <v>1</v>
      </c>
      <c r="B463" t="str">
        <f t="shared" si="39"/>
        <v/>
      </c>
      <c r="C463">
        <f t="shared" si="41"/>
        <v>1</v>
      </c>
      <c r="D463" s="4"/>
      <c r="E463" t="s">
        <v>18</v>
      </c>
      <c r="F463" t="str">
        <f>INDEX(Establishment!B$2:B$1005,MATCH($E463,Establishment!$A$2:$A$1005,0))</f>
        <v xml:space="preserve"> </v>
      </c>
      <c r="G463" t="str">
        <f>INDEX(Establishment!C$2:C$1005,MATCH($E463,Establishment!$A$2:$A$1005,0))</f>
        <v xml:space="preserve"> </v>
      </c>
      <c r="M463">
        <f t="shared" si="42"/>
        <v>0</v>
      </c>
      <c r="N463">
        <f t="shared" si="40"/>
        <v>0</v>
      </c>
      <c r="P463" t="e">
        <f>INDEX(Items!B$2:B$1032,MATCH($O463,Items!$A$2:$A$1032,0))</f>
        <v>#N/A</v>
      </c>
      <c r="Q463" t="e">
        <f>INDEX(Items!C$2:C$1032,MATCH($O463,Items!$A$2:$A$1032,0))</f>
        <v>#N/A</v>
      </c>
      <c r="R463" t="e">
        <f>INDEX(Items!D$2:D$1032,MATCH($O463,Items!$A$2:$A$1032,0))</f>
        <v>#N/A</v>
      </c>
    </row>
    <row r="464" spans="1:18" x14ac:dyDescent="0.25">
      <c r="A464">
        <f t="shared" si="38"/>
        <v>1</v>
      </c>
      <c r="B464" t="str">
        <f t="shared" si="39"/>
        <v/>
      </c>
      <c r="C464">
        <f t="shared" si="41"/>
        <v>1</v>
      </c>
      <c r="D464" s="4"/>
      <c r="E464" t="s">
        <v>18</v>
      </c>
      <c r="F464" t="str">
        <f>INDEX(Establishment!B$2:B$1005,MATCH($E464,Establishment!$A$2:$A$1005,0))</f>
        <v xml:space="preserve"> </v>
      </c>
      <c r="G464" t="str">
        <f>INDEX(Establishment!C$2:C$1005,MATCH($E464,Establishment!$A$2:$A$1005,0))</f>
        <v xml:space="preserve"> </v>
      </c>
      <c r="M464">
        <f t="shared" si="42"/>
        <v>0</v>
      </c>
      <c r="N464">
        <f t="shared" si="40"/>
        <v>0</v>
      </c>
      <c r="P464" t="e">
        <f>INDEX(Items!B$2:B$1032,MATCH($O464,Items!$A$2:$A$1032,0))</f>
        <v>#N/A</v>
      </c>
      <c r="Q464" t="e">
        <f>INDEX(Items!C$2:C$1032,MATCH($O464,Items!$A$2:$A$1032,0))</f>
        <v>#N/A</v>
      </c>
      <c r="R464" t="e">
        <f>INDEX(Items!D$2:D$1032,MATCH($O464,Items!$A$2:$A$1032,0))</f>
        <v>#N/A</v>
      </c>
    </row>
    <row r="465" spans="1:18" x14ac:dyDescent="0.25">
      <c r="A465">
        <f t="shared" si="38"/>
        <v>1</v>
      </c>
      <c r="B465" t="str">
        <f t="shared" si="39"/>
        <v/>
      </c>
      <c r="C465">
        <f t="shared" si="41"/>
        <v>1</v>
      </c>
      <c r="D465" s="4"/>
      <c r="E465" t="s">
        <v>18</v>
      </c>
      <c r="F465" t="str">
        <f>INDEX(Establishment!B$2:B$1005,MATCH($E465,Establishment!$A$2:$A$1005,0))</f>
        <v xml:space="preserve"> </v>
      </c>
      <c r="G465" t="str">
        <f>INDEX(Establishment!C$2:C$1005,MATCH($E465,Establishment!$A$2:$A$1005,0))</f>
        <v xml:space="preserve"> </v>
      </c>
      <c r="M465">
        <f t="shared" si="42"/>
        <v>0</v>
      </c>
      <c r="N465">
        <f t="shared" si="40"/>
        <v>0</v>
      </c>
      <c r="P465" t="e">
        <f>INDEX(Items!B$2:B$1032,MATCH($O465,Items!$A$2:$A$1032,0))</f>
        <v>#N/A</v>
      </c>
      <c r="Q465" t="e">
        <f>INDEX(Items!C$2:C$1032,MATCH($O465,Items!$A$2:$A$1032,0))</f>
        <v>#N/A</v>
      </c>
      <c r="R465" t="e">
        <f>INDEX(Items!D$2:D$1032,MATCH($O465,Items!$A$2:$A$1032,0))</f>
        <v>#N/A</v>
      </c>
    </row>
    <row r="466" spans="1:18" x14ac:dyDescent="0.25">
      <c r="A466">
        <f t="shared" si="38"/>
        <v>1</v>
      </c>
      <c r="B466" t="str">
        <f t="shared" si="39"/>
        <v/>
      </c>
      <c r="C466">
        <f t="shared" si="41"/>
        <v>1</v>
      </c>
      <c r="D466" s="4"/>
      <c r="E466" t="s">
        <v>18</v>
      </c>
      <c r="F466" t="str">
        <f>INDEX(Establishment!B$2:B$1005,MATCH($E466,Establishment!$A$2:$A$1005,0))</f>
        <v xml:space="preserve"> </v>
      </c>
      <c r="G466" t="str">
        <f>INDEX(Establishment!C$2:C$1005,MATCH($E466,Establishment!$A$2:$A$1005,0))</f>
        <v xml:space="preserve"> </v>
      </c>
      <c r="M466">
        <f t="shared" si="42"/>
        <v>0</v>
      </c>
      <c r="N466">
        <f t="shared" si="40"/>
        <v>0</v>
      </c>
      <c r="P466" t="e">
        <f>INDEX(Items!B$2:B$1032,MATCH($O466,Items!$A$2:$A$1032,0))</f>
        <v>#N/A</v>
      </c>
      <c r="Q466" t="e">
        <f>INDEX(Items!C$2:C$1032,MATCH($O466,Items!$A$2:$A$1032,0))</f>
        <v>#N/A</v>
      </c>
      <c r="R466" t="e">
        <f>INDEX(Items!D$2:D$1032,MATCH($O466,Items!$A$2:$A$1032,0))</f>
        <v>#N/A</v>
      </c>
    </row>
    <row r="467" spans="1:18" x14ac:dyDescent="0.25">
      <c r="A467">
        <f t="shared" si="38"/>
        <v>1</v>
      </c>
      <c r="B467" t="str">
        <f t="shared" si="39"/>
        <v/>
      </c>
      <c r="C467">
        <f t="shared" si="41"/>
        <v>1</v>
      </c>
      <c r="D467" s="4"/>
      <c r="E467" t="s">
        <v>18</v>
      </c>
      <c r="F467" t="str">
        <f>INDEX(Establishment!B$2:B$1005,MATCH($E467,Establishment!$A$2:$A$1005,0))</f>
        <v xml:space="preserve"> </v>
      </c>
      <c r="G467" t="str">
        <f>INDEX(Establishment!C$2:C$1005,MATCH($E467,Establishment!$A$2:$A$1005,0))</f>
        <v xml:space="preserve"> </v>
      </c>
      <c r="M467">
        <f t="shared" si="42"/>
        <v>0</v>
      </c>
      <c r="N467">
        <f t="shared" si="40"/>
        <v>0</v>
      </c>
      <c r="P467" t="e">
        <f>INDEX(Items!B$2:B$1032,MATCH($O467,Items!$A$2:$A$1032,0))</f>
        <v>#N/A</v>
      </c>
      <c r="Q467" t="e">
        <f>INDEX(Items!C$2:C$1032,MATCH($O467,Items!$A$2:$A$1032,0))</f>
        <v>#N/A</v>
      </c>
      <c r="R467" t="e">
        <f>INDEX(Items!D$2:D$1032,MATCH($O467,Items!$A$2:$A$1032,0))</f>
        <v>#N/A</v>
      </c>
    </row>
    <row r="468" spans="1:18" x14ac:dyDescent="0.25">
      <c r="A468">
        <f t="shared" si="38"/>
        <v>1</v>
      </c>
      <c r="B468" t="str">
        <f t="shared" si="39"/>
        <v/>
      </c>
      <c r="C468">
        <f t="shared" si="41"/>
        <v>1</v>
      </c>
      <c r="D468" s="4"/>
      <c r="E468" t="s">
        <v>18</v>
      </c>
      <c r="F468" t="str">
        <f>INDEX(Establishment!B$2:B$1005,MATCH($E468,Establishment!$A$2:$A$1005,0))</f>
        <v xml:space="preserve"> </v>
      </c>
      <c r="G468" t="str">
        <f>INDEX(Establishment!C$2:C$1005,MATCH($E468,Establishment!$A$2:$A$1005,0))</f>
        <v xml:space="preserve"> </v>
      </c>
      <c r="M468">
        <f t="shared" si="42"/>
        <v>0</v>
      </c>
      <c r="N468">
        <f t="shared" si="40"/>
        <v>0</v>
      </c>
      <c r="P468" t="e">
        <f>INDEX(Items!B$2:B$1032,MATCH($O468,Items!$A$2:$A$1032,0))</f>
        <v>#N/A</v>
      </c>
      <c r="Q468" t="e">
        <f>INDEX(Items!C$2:C$1032,MATCH($O468,Items!$A$2:$A$1032,0))</f>
        <v>#N/A</v>
      </c>
      <c r="R468" t="e">
        <f>INDEX(Items!D$2:D$1032,MATCH($O468,Items!$A$2:$A$1032,0))</f>
        <v>#N/A</v>
      </c>
    </row>
    <row r="469" spans="1:18" x14ac:dyDescent="0.25">
      <c r="A469">
        <f t="shared" si="38"/>
        <v>1</v>
      </c>
      <c r="B469" t="str">
        <f t="shared" si="39"/>
        <v/>
      </c>
      <c r="C469">
        <f t="shared" si="41"/>
        <v>1</v>
      </c>
      <c r="D469" s="4"/>
      <c r="E469" t="s">
        <v>18</v>
      </c>
      <c r="F469" t="str">
        <f>INDEX(Establishment!B$2:B$1005,MATCH($E469,Establishment!$A$2:$A$1005,0))</f>
        <v xml:space="preserve"> </v>
      </c>
      <c r="G469" t="str">
        <f>INDEX(Establishment!C$2:C$1005,MATCH($E469,Establishment!$A$2:$A$1005,0))</f>
        <v xml:space="preserve"> </v>
      </c>
      <c r="M469">
        <f t="shared" si="42"/>
        <v>0</v>
      </c>
      <c r="N469">
        <f t="shared" si="40"/>
        <v>0</v>
      </c>
      <c r="P469" t="e">
        <f>INDEX(Items!B$2:B$1032,MATCH($O469,Items!$A$2:$A$1032,0))</f>
        <v>#N/A</v>
      </c>
      <c r="Q469" t="e">
        <f>INDEX(Items!C$2:C$1032,MATCH($O469,Items!$A$2:$A$1032,0))</f>
        <v>#N/A</v>
      </c>
      <c r="R469" t="e">
        <f>INDEX(Items!D$2:D$1032,MATCH($O469,Items!$A$2:$A$1032,0))</f>
        <v>#N/A</v>
      </c>
    </row>
    <row r="470" spans="1:18" x14ac:dyDescent="0.25">
      <c r="A470">
        <f t="shared" si="38"/>
        <v>1</v>
      </c>
      <c r="B470" t="str">
        <f t="shared" si="39"/>
        <v/>
      </c>
      <c r="C470">
        <f t="shared" si="41"/>
        <v>1</v>
      </c>
      <c r="D470" s="4"/>
      <c r="E470" t="s">
        <v>18</v>
      </c>
      <c r="F470" t="str">
        <f>INDEX(Establishment!B$2:B$1005,MATCH($E470,Establishment!$A$2:$A$1005,0))</f>
        <v xml:space="preserve"> </v>
      </c>
      <c r="G470" t="str">
        <f>INDEX(Establishment!C$2:C$1005,MATCH($E470,Establishment!$A$2:$A$1005,0))</f>
        <v xml:space="preserve"> </v>
      </c>
      <c r="M470">
        <f t="shared" si="42"/>
        <v>0</v>
      </c>
      <c r="N470">
        <f t="shared" si="40"/>
        <v>0</v>
      </c>
      <c r="P470" t="e">
        <f>INDEX(Items!B$2:B$1032,MATCH($O470,Items!$A$2:$A$1032,0))</f>
        <v>#N/A</v>
      </c>
      <c r="Q470" t="e">
        <f>INDEX(Items!C$2:C$1032,MATCH($O470,Items!$A$2:$A$1032,0))</f>
        <v>#N/A</v>
      </c>
      <c r="R470" t="e">
        <f>INDEX(Items!D$2:D$1032,MATCH($O470,Items!$A$2:$A$1032,0))</f>
        <v>#N/A</v>
      </c>
    </row>
    <row r="471" spans="1:18" x14ac:dyDescent="0.25">
      <c r="A471">
        <f t="shared" si="38"/>
        <v>1</v>
      </c>
      <c r="B471" t="str">
        <f t="shared" si="39"/>
        <v/>
      </c>
      <c r="C471">
        <f t="shared" si="41"/>
        <v>1</v>
      </c>
      <c r="D471" s="4"/>
      <c r="E471" t="s">
        <v>18</v>
      </c>
      <c r="F471" t="str">
        <f>INDEX(Establishment!B$2:B$1005,MATCH($E471,Establishment!$A$2:$A$1005,0))</f>
        <v xml:space="preserve"> </v>
      </c>
      <c r="G471" t="str">
        <f>INDEX(Establishment!C$2:C$1005,MATCH($E471,Establishment!$A$2:$A$1005,0))</f>
        <v xml:space="preserve"> </v>
      </c>
      <c r="M471">
        <f t="shared" si="42"/>
        <v>0</v>
      </c>
      <c r="N471">
        <f t="shared" si="40"/>
        <v>0</v>
      </c>
      <c r="P471" t="e">
        <f>INDEX(Items!B$2:B$1032,MATCH($O471,Items!$A$2:$A$1032,0))</f>
        <v>#N/A</v>
      </c>
      <c r="Q471" t="e">
        <f>INDEX(Items!C$2:C$1032,MATCH($O471,Items!$A$2:$A$1032,0))</f>
        <v>#N/A</v>
      </c>
      <c r="R471" t="e">
        <f>INDEX(Items!D$2:D$1032,MATCH($O471,Items!$A$2:$A$1032,0))</f>
        <v>#N/A</v>
      </c>
    </row>
    <row r="472" spans="1:18" x14ac:dyDescent="0.25">
      <c r="A472">
        <f t="shared" si="38"/>
        <v>1</v>
      </c>
      <c r="B472" t="str">
        <f t="shared" si="39"/>
        <v/>
      </c>
      <c r="C472">
        <f t="shared" si="41"/>
        <v>1</v>
      </c>
      <c r="D472" s="4"/>
      <c r="E472" t="s">
        <v>18</v>
      </c>
      <c r="F472" t="str">
        <f>INDEX(Establishment!B$2:B$1005,MATCH($E472,Establishment!$A$2:$A$1005,0))</f>
        <v xml:space="preserve"> </v>
      </c>
      <c r="G472" t="str">
        <f>INDEX(Establishment!C$2:C$1005,MATCH($E472,Establishment!$A$2:$A$1005,0))</f>
        <v xml:space="preserve"> </v>
      </c>
      <c r="M472">
        <f t="shared" si="42"/>
        <v>0</v>
      </c>
      <c r="N472">
        <f t="shared" si="40"/>
        <v>0</v>
      </c>
      <c r="P472" t="e">
        <f>INDEX(Items!B$2:B$1032,MATCH($O472,Items!$A$2:$A$1032,0))</f>
        <v>#N/A</v>
      </c>
      <c r="Q472" t="e">
        <f>INDEX(Items!C$2:C$1032,MATCH($O472,Items!$A$2:$A$1032,0))</f>
        <v>#N/A</v>
      </c>
      <c r="R472" t="e">
        <f>INDEX(Items!D$2:D$1032,MATCH($O472,Items!$A$2:$A$1032,0))</f>
        <v>#N/A</v>
      </c>
    </row>
    <row r="473" spans="1:18" x14ac:dyDescent="0.25">
      <c r="A473">
        <f t="shared" si="38"/>
        <v>1</v>
      </c>
      <c r="B473" t="str">
        <f t="shared" si="39"/>
        <v/>
      </c>
      <c r="C473">
        <f t="shared" si="41"/>
        <v>1</v>
      </c>
      <c r="D473" s="4"/>
      <c r="E473" t="s">
        <v>18</v>
      </c>
      <c r="F473" t="str">
        <f>INDEX(Establishment!B$2:B$1005,MATCH($E473,Establishment!$A$2:$A$1005,0))</f>
        <v xml:space="preserve"> </v>
      </c>
      <c r="G473" t="str">
        <f>INDEX(Establishment!C$2:C$1005,MATCH($E473,Establishment!$A$2:$A$1005,0))</f>
        <v xml:space="preserve"> </v>
      </c>
      <c r="M473">
        <f t="shared" si="42"/>
        <v>0</v>
      </c>
      <c r="N473">
        <f t="shared" si="40"/>
        <v>0</v>
      </c>
      <c r="P473" t="e">
        <f>INDEX(Items!B$2:B$1032,MATCH($O473,Items!$A$2:$A$1032,0))</f>
        <v>#N/A</v>
      </c>
      <c r="Q473" t="e">
        <f>INDEX(Items!C$2:C$1032,MATCH($O473,Items!$A$2:$A$1032,0))</f>
        <v>#N/A</v>
      </c>
      <c r="R473" t="e">
        <f>INDEX(Items!D$2:D$1032,MATCH($O473,Items!$A$2:$A$1032,0))</f>
        <v>#N/A</v>
      </c>
    </row>
    <row r="474" spans="1:18" x14ac:dyDescent="0.25">
      <c r="A474">
        <f t="shared" si="38"/>
        <v>1</v>
      </c>
      <c r="B474" t="str">
        <f t="shared" si="39"/>
        <v/>
      </c>
      <c r="C474">
        <f t="shared" si="41"/>
        <v>1</v>
      </c>
      <c r="D474" s="4"/>
      <c r="E474" t="s">
        <v>18</v>
      </c>
      <c r="F474" t="str">
        <f>INDEX(Establishment!B$2:B$1005,MATCH($E474,Establishment!$A$2:$A$1005,0))</f>
        <v xml:space="preserve"> </v>
      </c>
      <c r="G474" t="str">
        <f>INDEX(Establishment!C$2:C$1005,MATCH($E474,Establishment!$A$2:$A$1005,0))</f>
        <v xml:space="preserve"> </v>
      </c>
      <c r="M474">
        <f t="shared" si="42"/>
        <v>0</v>
      </c>
      <c r="N474">
        <f t="shared" si="40"/>
        <v>0</v>
      </c>
      <c r="P474" t="e">
        <f>INDEX(Items!B$2:B$1032,MATCH($O474,Items!$A$2:$A$1032,0))</f>
        <v>#N/A</v>
      </c>
      <c r="Q474" t="e">
        <f>INDEX(Items!C$2:C$1032,MATCH($O474,Items!$A$2:$A$1032,0))</f>
        <v>#N/A</v>
      </c>
      <c r="R474" t="e">
        <f>INDEX(Items!D$2:D$1032,MATCH($O474,Items!$A$2:$A$1032,0))</f>
        <v>#N/A</v>
      </c>
    </row>
    <row r="475" spans="1:18" x14ac:dyDescent="0.25">
      <c r="A475">
        <f t="shared" si="38"/>
        <v>1</v>
      </c>
      <c r="B475" t="str">
        <f t="shared" si="39"/>
        <v/>
      </c>
      <c r="C475">
        <f t="shared" si="41"/>
        <v>1</v>
      </c>
      <c r="D475" s="4"/>
      <c r="E475" t="s">
        <v>18</v>
      </c>
      <c r="F475" t="str">
        <f>INDEX(Establishment!B$2:B$1005,MATCH($E475,Establishment!$A$2:$A$1005,0))</f>
        <v xml:space="preserve"> </v>
      </c>
      <c r="G475" t="str">
        <f>INDEX(Establishment!C$2:C$1005,MATCH($E475,Establishment!$A$2:$A$1005,0))</f>
        <v xml:space="preserve"> </v>
      </c>
      <c r="M475">
        <f t="shared" si="42"/>
        <v>0</v>
      </c>
      <c r="N475">
        <f t="shared" si="40"/>
        <v>0</v>
      </c>
      <c r="P475" t="e">
        <f>INDEX(Items!B$2:B$1032,MATCH($O475,Items!$A$2:$A$1032,0))</f>
        <v>#N/A</v>
      </c>
      <c r="Q475" t="e">
        <f>INDEX(Items!C$2:C$1032,MATCH($O475,Items!$A$2:$A$1032,0))</f>
        <v>#N/A</v>
      </c>
      <c r="R475" t="e">
        <f>INDEX(Items!D$2:D$1032,MATCH($O475,Items!$A$2:$A$1032,0))</f>
        <v>#N/A</v>
      </c>
    </row>
    <row r="476" spans="1:18" x14ac:dyDescent="0.25">
      <c r="A476">
        <f t="shared" si="38"/>
        <v>1</v>
      </c>
      <c r="B476" t="str">
        <f t="shared" si="39"/>
        <v/>
      </c>
      <c r="C476">
        <f t="shared" si="41"/>
        <v>1</v>
      </c>
      <c r="D476" s="4"/>
      <c r="E476" t="s">
        <v>18</v>
      </c>
      <c r="F476" t="str">
        <f>INDEX(Establishment!B$2:B$1005,MATCH($E476,Establishment!$A$2:$A$1005,0))</f>
        <v xml:space="preserve"> </v>
      </c>
      <c r="G476" t="str">
        <f>INDEX(Establishment!C$2:C$1005,MATCH($E476,Establishment!$A$2:$A$1005,0))</f>
        <v xml:space="preserve"> </v>
      </c>
      <c r="M476">
        <f t="shared" si="42"/>
        <v>0</v>
      </c>
      <c r="N476">
        <f t="shared" si="40"/>
        <v>0</v>
      </c>
      <c r="P476" t="e">
        <f>INDEX(Items!B$2:B$1032,MATCH($O476,Items!$A$2:$A$1032,0))</f>
        <v>#N/A</v>
      </c>
      <c r="Q476" t="e">
        <f>INDEX(Items!C$2:C$1032,MATCH($O476,Items!$A$2:$A$1032,0))</f>
        <v>#N/A</v>
      </c>
      <c r="R476" t="e">
        <f>INDEX(Items!D$2:D$1032,MATCH($O476,Items!$A$2:$A$1032,0))</f>
        <v>#N/A</v>
      </c>
    </row>
    <row r="477" spans="1:18" x14ac:dyDescent="0.25">
      <c r="A477">
        <f t="shared" si="38"/>
        <v>1</v>
      </c>
      <c r="B477" t="str">
        <f t="shared" si="39"/>
        <v/>
      </c>
      <c r="C477">
        <f t="shared" si="41"/>
        <v>1</v>
      </c>
      <c r="D477" s="4"/>
      <c r="E477" t="s">
        <v>18</v>
      </c>
      <c r="F477" t="str">
        <f>INDEX(Establishment!B$2:B$1005,MATCH($E477,Establishment!$A$2:$A$1005,0))</f>
        <v xml:space="preserve"> </v>
      </c>
      <c r="G477" t="str">
        <f>INDEX(Establishment!C$2:C$1005,MATCH($E477,Establishment!$A$2:$A$1005,0))</f>
        <v xml:space="preserve"> </v>
      </c>
      <c r="M477">
        <f t="shared" si="42"/>
        <v>0</v>
      </c>
      <c r="N477">
        <f t="shared" si="40"/>
        <v>0</v>
      </c>
      <c r="P477" t="e">
        <f>INDEX(Items!B$2:B$1032,MATCH($O477,Items!$A$2:$A$1032,0))</f>
        <v>#N/A</v>
      </c>
      <c r="Q477" t="e">
        <f>INDEX(Items!C$2:C$1032,MATCH($O477,Items!$A$2:$A$1032,0))</f>
        <v>#N/A</v>
      </c>
      <c r="R477" t="e">
        <f>INDEX(Items!D$2:D$1032,MATCH($O477,Items!$A$2:$A$1032,0))</f>
        <v>#N/A</v>
      </c>
    </row>
    <row r="478" spans="1:18" x14ac:dyDescent="0.25">
      <c r="A478">
        <f t="shared" si="38"/>
        <v>1</v>
      </c>
      <c r="B478" t="str">
        <f t="shared" si="39"/>
        <v/>
      </c>
      <c r="C478">
        <f t="shared" si="41"/>
        <v>1</v>
      </c>
      <c r="D478" s="4"/>
      <c r="E478" t="s">
        <v>18</v>
      </c>
      <c r="F478" t="str">
        <f>INDEX(Establishment!B$2:B$1005,MATCH($E478,Establishment!$A$2:$A$1005,0))</f>
        <v xml:space="preserve"> </v>
      </c>
      <c r="G478" t="str">
        <f>INDEX(Establishment!C$2:C$1005,MATCH($E478,Establishment!$A$2:$A$1005,0))</f>
        <v xml:space="preserve"> </v>
      </c>
      <c r="M478">
        <f t="shared" si="42"/>
        <v>0</v>
      </c>
      <c r="N478">
        <f t="shared" si="40"/>
        <v>0</v>
      </c>
      <c r="P478" t="e">
        <f>INDEX(Items!B$2:B$1032,MATCH($O478,Items!$A$2:$A$1032,0))</f>
        <v>#N/A</v>
      </c>
      <c r="Q478" t="e">
        <f>INDEX(Items!C$2:C$1032,MATCH($O478,Items!$A$2:$A$1032,0))</f>
        <v>#N/A</v>
      </c>
      <c r="R478" t="e">
        <f>INDEX(Items!D$2:D$1032,MATCH($O478,Items!$A$2:$A$1032,0))</f>
        <v>#N/A</v>
      </c>
    </row>
    <row r="479" spans="1:18" x14ac:dyDescent="0.25">
      <c r="A479">
        <f t="shared" si="38"/>
        <v>1</v>
      </c>
      <c r="B479" t="str">
        <f t="shared" si="39"/>
        <v/>
      </c>
      <c r="C479">
        <f t="shared" si="41"/>
        <v>1</v>
      </c>
      <c r="D479" s="4"/>
      <c r="E479" t="s">
        <v>18</v>
      </c>
      <c r="F479" t="str">
        <f>INDEX(Establishment!B$2:B$1005,MATCH($E479,Establishment!$A$2:$A$1005,0))</f>
        <v xml:space="preserve"> </v>
      </c>
      <c r="G479" t="str">
        <f>INDEX(Establishment!C$2:C$1005,MATCH($E479,Establishment!$A$2:$A$1005,0))</f>
        <v xml:space="preserve"> </v>
      </c>
      <c r="M479">
        <f t="shared" si="42"/>
        <v>0</v>
      </c>
      <c r="N479">
        <f t="shared" si="40"/>
        <v>0</v>
      </c>
      <c r="P479" t="e">
        <f>INDEX(Items!B$2:B$1032,MATCH($O479,Items!$A$2:$A$1032,0))</f>
        <v>#N/A</v>
      </c>
      <c r="Q479" t="e">
        <f>INDEX(Items!C$2:C$1032,MATCH($O479,Items!$A$2:$A$1032,0))</f>
        <v>#N/A</v>
      </c>
      <c r="R479" t="e">
        <f>INDEX(Items!D$2:D$1032,MATCH($O479,Items!$A$2:$A$1032,0))</f>
        <v>#N/A</v>
      </c>
    </row>
    <row r="480" spans="1:18" x14ac:dyDescent="0.25">
      <c r="A480">
        <f t="shared" si="38"/>
        <v>1</v>
      </c>
      <c r="B480" t="str">
        <f t="shared" si="39"/>
        <v/>
      </c>
      <c r="C480">
        <f t="shared" si="41"/>
        <v>1</v>
      </c>
      <c r="D480" s="4"/>
      <c r="E480" t="s">
        <v>18</v>
      </c>
      <c r="F480" t="str">
        <f>INDEX(Establishment!B$2:B$1005,MATCH($E480,Establishment!$A$2:$A$1005,0))</f>
        <v xml:space="preserve"> </v>
      </c>
      <c r="G480" t="str">
        <f>INDEX(Establishment!C$2:C$1005,MATCH($E480,Establishment!$A$2:$A$1005,0))</f>
        <v xml:space="preserve"> </v>
      </c>
      <c r="M480">
        <f t="shared" si="42"/>
        <v>0</v>
      </c>
      <c r="N480">
        <f t="shared" si="40"/>
        <v>0</v>
      </c>
      <c r="P480" t="e">
        <f>INDEX(Items!B$2:B$1032,MATCH($O480,Items!$A$2:$A$1032,0))</f>
        <v>#N/A</v>
      </c>
      <c r="Q480" t="e">
        <f>INDEX(Items!C$2:C$1032,MATCH($O480,Items!$A$2:$A$1032,0))</f>
        <v>#N/A</v>
      </c>
      <c r="R480" t="e">
        <f>INDEX(Items!D$2:D$1032,MATCH($O480,Items!$A$2:$A$1032,0))</f>
        <v>#N/A</v>
      </c>
    </row>
    <row r="481" spans="1:18" x14ac:dyDescent="0.25">
      <c r="A481">
        <f t="shared" si="38"/>
        <v>1</v>
      </c>
      <c r="B481" t="str">
        <f t="shared" si="39"/>
        <v/>
      </c>
      <c r="C481">
        <f t="shared" si="41"/>
        <v>1</v>
      </c>
      <c r="D481" s="4"/>
      <c r="E481" t="s">
        <v>18</v>
      </c>
      <c r="F481" t="str">
        <f>INDEX(Establishment!B$2:B$1005,MATCH($E481,Establishment!$A$2:$A$1005,0))</f>
        <v xml:space="preserve"> </v>
      </c>
      <c r="G481" t="str">
        <f>INDEX(Establishment!C$2:C$1005,MATCH($E481,Establishment!$A$2:$A$1005,0))</f>
        <v xml:space="preserve"> </v>
      </c>
      <c r="M481">
        <f t="shared" si="42"/>
        <v>0</v>
      </c>
      <c r="N481">
        <f t="shared" si="40"/>
        <v>0</v>
      </c>
      <c r="P481" t="e">
        <f>INDEX(Items!B$2:B$1032,MATCH($O481,Items!$A$2:$A$1032,0))</f>
        <v>#N/A</v>
      </c>
      <c r="Q481" t="e">
        <f>INDEX(Items!C$2:C$1032,MATCH($O481,Items!$A$2:$A$1032,0))</f>
        <v>#N/A</v>
      </c>
      <c r="R481" t="e">
        <f>INDEX(Items!D$2:D$1032,MATCH($O481,Items!$A$2:$A$1032,0))</f>
        <v>#N/A</v>
      </c>
    </row>
    <row r="482" spans="1:18" x14ac:dyDescent="0.25">
      <c r="A482">
        <f t="shared" si="38"/>
        <v>1</v>
      </c>
      <c r="B482" t="str">
        <f t="shared" si="39"/>
        <v/>
      </c>
      <c r="C482">
        <f t="shared" si="41"/>
        <v>1</v>
      </c>
      <c r="D482" s="4"/>
      <c r="E482" t="s">
        <v>18</v>
      </c>
      <c r="F482" t="str">
        <f>INDEX(Establishment!B$2:B$1005,MATCH($E482,Establishment!$A$2:$A$1005,0))</f>
        <v xml:space="preserve"> </v>
      </c>
      <c r="G482" t="str">
        <f>INDEX(Establishment!C$2:C$1005,MATCH($E482,Establishment!$A$2:$A$1005,0))</f>
        <v xml:space="preserve"> </v>
      </c>
      <c r="M482">
        <f t="shared" si="42"/>
        <v>0</v>
      </c>
      <c r="N482">
        <f t="shared" si="40"/>
        <v>0</v>
      </c>
      <c r="P482" t="e">
        <f>INDEX(Items!B$2:B$1032,MATCH($O482,Items!$A$2:$A$1032,0))</f>
        <v>#N/A</v>
      </c>
      <c r="Q482" t="e">
        <f>INDEX(Items!C$2:C$1032,MATCH($O482,Items!$A$2:$A$1032,0))</f>
        <v>#N/A</v>
      </c>
      <c r="R482" t="e">
        <f>INDEX(Items!D$2:D$1032,MATCH($O482,Items!$A$2:$A$1032,0))</f>
        <v>#N/A</v>
      </c>
    </row>
    <row r="483" spans="1:18" x14ac:dyDescent="0.25">
      <c r="A483">
        <f t="shared" si="38"/>
        <v>1</v>
      </c>
      <c r="B483" t="str">
        <f t="shared" si="39"/>
        <v/>
      </c>
      <c r="C483">
        <f t="shared" si="41"/>
        <v>1</v>
      </c>
      <c r="D483" s="4"/>
      <c r="E483" t="s">
        <v>18</v>
      </c>
      <c r="F483" t="str">
        <f>INDEX(Establishment!B$2:B$1005,MATCH($E483,Establishment!$A$2:$A$1005,0))</f>
        <v xml:space="preserve"> </v>
      </c>
      <c r="G483" t="str">
        <f>INDEX(Establishment!C$2:C$1005,MATCH($E483,Establishment!$A$2:$A$1005,0))</f>
        <v xml:space="preserve"> </v>
      </c>
      <c r="M483">
        <f t="shared" si="42"/>
        <v>0</v>
      </c>
      <c r="N483">
        <f t="shared" si="40"/>
        <v>0</v>
      </c>
      <c r="P483" t="e">
        <f>INDEX(Items!B$2:B$1032,MATCH($O483,Items!$A$2:$A$1032,0))</f>
        <v>#N/A</v>
      </c>
      <c r="Q483" t="e">
        <f>INDEX(Items!C$2:C$1032,MATCH($O483,Items!$A$2:$A$1032,0))</f>
        <v>#N/A</v>
      </c>
      <c r="R483" t="e">
        <f>INDEX(Items!D$2:D$1032,MATCH($O483,Items!$A$2:$A$1032,0))</f>
        <v>#N/A</v>
      </c>
    </row>
    <row r="484" spans="1:18" x14ac:dyDescent="0.25">
      <c r="A484">
        <f t="shared" si="38"/>
        <v>1</v>
      </c>
      <c r="B484" t="str">
        <f t="shared" si="39"/>
        <v/>
      </c>
      <c r="C484">
        <f t="shared" si="41"/>
        <v>1</v>
      </c>
      <c r="D484" s="4"/>
      <c r="E484" t="s">
        <v>18</v>
      </c>
      <c r="F484" t="str">
        <f>INDEX(Establishment!B$2:B$1005,MATCH($E484,Establishment!$A$2:$A$1005,0))</f>
        <v xml:space="preserve"> </v>
      </c>
      <c r="G484" t="str">
        <f>INDEX(Establishment!C$2:C$1005,MATCH($E484,Establishment!$A$2:$A$1005,0))</f>
        <v xml:space="preserve"> </v>
      </c>
      <c r="M484">
        <f t="shared" si="42"/>
        <v>0</v>
      </c>
      <c r="N484">
        <f t="shared" si="40"/>
        <v>0</v>
      </c>
      <c r="P484" t="e">
        <f>INDEX(Items!B$2:B$1032,MATCH($O484,Items!$A$2:$A$1032,0))</f>
        <v>#N/A</v>
      </c>
      <c r="Q484" t="e">
        <f>INDEX(Items!C$2:C$1032,MATCH($O484,Items!$A$2:$A$1032,0))</f>
        <v>#N/A</v>
      </c>
      <c r="R484" t="e">
        <f>INDEX(Items!D$2:D$1032,MATCH($O484,Items!$A$2:$A$1032,0))</f>
        <v>#N/A</v>
      </c>
    </row>
    <row r="485" spans="1:18" x14ac:dyDescent="0.25">
      <c r="A485">
        <f t="shared" si="38"/>
        <v>1</v>
      </c>
      <c r="B485" t="str">
        <f t="shared" si="39"/>
        <v/>
      </c>
      <c r="C485">
        <f t="shared" si="41"/>
        <v>1</v>
      </c>
      <c r="D485" s="4"/>
      <c r="E485" t="s">
        <v>18</v>
      </c>
      <c r="F485" t="str">
        <f>INDEX(Establishment!B$2:B$1005,MATCH($E485,Establishment!$A$2:$A$1005,0))</f>
        <v xml:space="preserve"> </v>
      </c>
      <c r="G485" t="str">
        <f>INDEX(Establishment!C$2:C$1005,MATCH($E485,Establishment!$A$2:$A$1005,0))</f>
        <v xml:space="preserve"> </v>
      </c>
      <c r="M485">
        <f t="shared" si="42"/>
        <v>0</v>
      </c>
      <c r="N485">
        <f t="shared" si="40"/>
        <v>0</v>
      </c>
      <c r="P485" t="e">
        <f>INDEX(Items!B$2:B$1032,MATCH($O485,Items!$A$2:$A$1032,0))</f>
        <v>#N/A</v>
      </c>
      <c r="Q485" t="e">
        <f>INDEX(Items!C$2:C$1032,MATCH($O485,Items!$A$2:$A$1032,0))</f>
        <v>#N/A</v>
      </c>
      <c r="R485" t="e">
        <f>INDEX(Items!D$2:D$1032,MATCH($O485,Items!$A$2:$A$1032,0))</f>
        <v>#N/A</v>
      </c>
    </row>
    <row r="486" spans="1:18" x14ac:dyDescent="0.25">
      <c r="A486">
        <f t="shared" si="38"/>
        <v>1</v>
      </c>
      <c r="B486" t="str">
        <f t="shared" si="39"/>
        <v/>
      </c>
      <c r="C486">
        <f t="shared" si="41"/>
        <v>1</v>
      </c>
      <c r="D486" s="4"/>
      <c r="E486" t="s">
        <v>18</v>
      </c>
      <c r="F486" t="str">
        <f>INDEX(Establishment!B$2:B$1005,MATCH($E486,Establishment!$A$2:$A$1005,0))</f>
        <v xml:space="preserve"> </v>
      </c>
      <c r="G486" t="str">
        <f>INDEX(Establishment!C$2:C$1005,MATCH($E486,Establishment!$A$2:$A$1005,0))</f>
        <v xml:space="preserve"> </v>
      </c>
      <c r="M486">
        <f t="shared" si="42"/>
        <v>0</v>
      </c>
      <c r="N486">
        <f t="shared" si="40"/>
        <v>0</v>
      </c>
      <c r="P486" t="e">
        <f>INDEX(Items!B$2:B$1032,MATCH($O486,Items!$A$2:$A$1032,0))</f>
        <v>#N/A</v>
      </c>
      <c r="Q486" t="e">
        <f>INDEX(Items!C$2:C$1032,MATCH($O486,Items!$A$2:$A$1032,0))</f>
        <v>#N/A</v>
      </c>
      <c r="R486" t="e">
        <f>INDEX(Items!D$2:D$1032,MATCH($O486,Items!$A$2:$A$1032,0))</f>
        <v>#N/A</v>
      </c>
    </row>
    <row r="487" spans="1:18" x14ac:dyDescent="0.25">
      <c r="A487">
        <f t="shared" si="38"/>
        <v>1</v>
      </c>
      <c r="B487" t="str">
        <f t="shared" si="39"/>
        <v/>
      </c>
      <c r="C487">
        <f t="shared" si="41"/>
        <v>1</v>
      </c>
      <c r="D487" s="4"/>
      <c r="E487" t="s">
        <v>18</v>
      </c>
      <c r="F487" t="str">
        <f>INDEX(Establishment!B$2:B$1005,MATCH($E487,Establishment!$A$2:$A$1005,0))</f>
        <v xml:space="preserve"> </v>
      </c>
      <c r="G487" t="str">
        <f>INDEX(Establishment!C$2:C$1005,MATCH($E487,Establishment!$A$2:$A$1005,0))</f>
        <v xml:space="preserve"> </v>
      </c>
      <c r="M487">
        <f t="shared" si="42"/>
        <v>0</v>
      </c>
      <c r="N487">
        <f t="shared" si="40"/>
        <v>0</v>
      </c>
      <c r="P487" t="e">
        <f>INDEX(Items!B$2:B$1032,MATCH($O487,Items!$A$2:$A$1032,0))</f>
        <v>#N/A</v>
      </c>
      <c r="Q487" t="e">
        <f>INDEX(Items!C$2:C$1032,MATCH($O487,Items!$A$2:$A$1032,0))</f>
        <v>#N/A</v>
      </c>
      <c r="R487" t="e">
        <f>INDEX(Items!D$2:D$1032,MATCH($O487,Items!$A$2:$A$1032,0))</f>
        <v>#N/A</v>
      </c>
    </row>
    <row r="488" spans="1:18" x14ac:dyDescent="0.25">
      <c r="A488">
        <f t="shared" si="38"/>
        <v>1</v>
      </c>
      <c r="B488" t="str">
        <f t="shared" si="39"/>
        <v/>
      </c>
      <c r="C488">
        <f t="shared" si="41"/>
        <v>1</v>
      </c>
      <c r="D488" s="4"/>
      <c r="E488" t="s">
        <v>18</v>
      </c>
      <c r="F488" t="str">
        <f>INDEX(Establishment!B$2:B$1005,MATCH($E488,Establishment!$A$2:$A$1005,0))</f>
        <v xml:space="preserve"> </v>
      </c>
      <c r="G488" t="str">
        <f>INDEX(Establishment!C$2:C$1005,MATCH($E488,Establishment!$A$2:$A$1005,0))</f>
        <v xml:space="preserve"> </v>
      </c>
      <c r="M488">
        <f t="shared" si="42"/>
        <v>0</v>
      </c>
      <c r="N488">
        <f t="shared" si="40"/>
        <v>0</v>
      </c>
      <c r="P488" t="e">
        <f>INDEX(Items!B$2:B$1032,MATCH($O488,Items!$A$2:$A$1032,0))</f>
        <v>#N/A</v>
      </c>
      <c r="Q488" t="e">
        <f>INDEX(Items!C$2:C$1032,MATCH($O488,Items!$A$2:$A$1032,0))</f>
        <v>#N/A</v>
      </c>
      <c r="R488" t="e">
        <f>INDEX(Items!D$2:D$1032,MATCH($O488,Items!$A$2:$A$1032,0))</f>
        <v>#N/A</v>
      </c>
    </row>
    <row r="489" spans="1:18" x14ac:dyDescent="0.25">
      <c r="A489">
        <f t="shared" si="38"/>
        <v>1</v>
      </c>
      <c r="B489" t="str">
        <f t="shared" si="39"/>
        <v/>
      </c>
      <c r="C489">
        <f t="shared" si="41"/>
        <v>1</v>
      </c>
      <c r="D489" s="4"/>
      <c r="E489" t="s">
        <v>18</v>
      </c>
      <c r="F489" t="str">
        <f>INDEX(Establishment!B$2:B$1005,MATCH($E489,Establishment!$A$2:$A$1005,0))</f>
        <v xml:space="preserve"> </v>
      </c>
      <c r="G489" t="str">
        <f>INDEX(Establishment!C$2:C$1005,MATCH($E489,Establishment!$A$2:$A$1005,0))</f>
        <v xml:space="preserve"> </v>
      </c>
      <c r="M489">
        <f t="shared" si="42"/>
        <v>0</v>
      </c>
      <c r="N489">
        <f t="shared" si="40"/>
        <v>0</v>
      </c>
      <c r="P489" t="e">
        <f>INDEX(Items!B$2:B$1032,MATCH($O489,Items!$A$2:$A$1032,0))</f>
        <v>#N/A</v>
      </c>
      <c r="Q489" t="e">
        <f>INDEX(Items!C$2:C$1032,MATCH($O489,Items!$A$2:$A$1032,0))</f>
        <v>#N/A</v>
      </c>
      <c r="R489" t="e">
        <f>INDEX(Items!D$2:D$1032,MATCH($O489,Items!$A$2:$A$1032,0))</f>
        <v>#N/A</v>
      </c>
    </row>
    <row r="490" spans="1:18" x14ac:dyDescent="0.25">
      <c r="A490">
        <f t="shared" si="38"/>
        <v>1</v>
      </c>
      <c r="B490" t="str">
        <f t="shared" si="39"/>
        <v/>
      </c>
      <c r="C490">
        <f t="shared" si="41"/>
        <v>1</v>
      </c>
      <c r="D490" s="4"/>
      <c r="E490" t="s">
        <v>18</v>
      </c>
      <c r="F490" t="str">
        <f>INDEX(Establishment!B$2:B$1005,MATCH($E490,Establishment!$A$2:$A$1005,0))</f>
        <v xml:space="preserve"> </v>
      </c>
      <c r="G490" t="str">
        <f>INDEX(Establishment!C$2:C$1005,MATCH($E490,Establishment!$A$2:$A$1005,0))</f>
        <v xml:space="preserve"> </v>
      </c>
      <c r="M490">
        <f t="shared" si="42"/>
        <v>0</v>
      </c>
      <c r="N490">
        <f t="shared" si="40"/>
        <v>0</v>
      </c>
      <c r="P490" t="e">
        <f>INDEX(Items!B$2:B$1032,MATCH($O490,Items!$A$2:$A$1032,0))</f>
        <v>#N/A</v>
      </c>
      <c r="Q490" t="e">
        <f>INDEX(Items!C$2:C$1032,MATCH($O490,Items!$A$2:$A$1032,0))</f>
        <v>#N/A</v>
      </c>
      <c r="R490" t="e">
        <f>INDEX(Items!D$2:D$1032,MATCH($O490,Items!$A$2:$A$1032,0))</f>
        <v>#N/A</v>
      </c>
    </row>
    <row r="491" spans="1:18" x14ac:dyDescent="0.25">
      <c r="A491">
        <f t="shared" si="38"/>
        <v>1</v>
      </c>
      <c r="B491" t="str">
        <f t="shared" si="39"/>
        <v/>
      </c>
      <c r="C491">
        <f t="shared" si="41"/>
        <v>1</v>
      </c>
      <c r="D491" s="4"/>
      <c r="E491" t="s">
        <v>18</v>
      </c>
      <c r="F491" t="str">
        <f>INDEX(Establishment!B$2:B$1005,MATCH($E491,Establishment!$A$2:$A$1005,0))</f>
        <v xml:space="preserve"> </v>
      </c>
      <c r="G491" t="str">
        <f>INDEX(Establishment!C$2:C$1005,MATCH($E491,Establishment!$A$2:$A$1005,0))</f>
        <v xml:space="preserve"> </v>
      </c>
      <c r="M491">
        <f t="shared" si="42"/>
        <v>0</v>
      </c>
      <c r="N491">
        <f t="shared" si="40"/>
        <v>0</v>
      </c>
      <c r="P491" t="e">
        <f>INDEX(Items!B$2:B$1032,MATCH($O491,Items!$A$2:$A$1032,0))</f>
        <v>#N/A</v>
      </c>
      <c r="Q491" t="e">
        <f>INDEX(Items!C$2:C$1032,MATCH($O491,Items!$A$2:$A$1032,0))</f>
        <v>#N/A</v>
      </c>
      <c r="R491" t="e">
        <f>INDEX(Items!D$2:D$1032,MATCH($O491,Items!$A$2:$A$1032,0))</f>
        <v>#N/A</v>
      </c>
    </row>
    <row r="492" spans="1:18" x14ac:dyDescent="0.25">
      <c r="A492">
        <f t="shared" si="38"/>
        <v>1</v>
      </c>
      <c r="B492" t="str">
        <f t="shared" si="39"/>
        <v/>
      </c>
      <c r="C492">
        <f t="shared" si="41"/>
        <v>1</v>
      </c>
      <c r="D492" s="4"/>
      <c r="E492" t="s">
        <v>18</v>
      </c>
      <c r="F492" t="str">
        <f>INDEX(Establishment!B$2:B$1005,MATCH($E492,Establishment!$A$2:$A$1005,0))</f>
        <v xml:space="preserve"> </v>
      </c>
      <c r="G492" t="str">
        <f>INDEX(Establishment!C$2:C$1005,MATCH($E492,Establishment!$A$2:$A$1005,0))</f>
        <v xml:space="preserve"> </v>
      </c>
      <c r="M492">
        <f t="shared" si="42"/>
        <v>0</v>
      </c>
      <c r="N492">
        <f t="shared" si="40"/>
        <v>0</v>
      </c>
      <c r="P492" t="e">
        <f>INDEX(Items!B$2:B$1032,MATCH($O492,Items!$A$2:$A$1032,0))</f>
        <v>#N/A</v>
      </c>
      <c r="Q492" t="e">
        <f>INDEX(Items!C$2:C$1032,MATCH($O492,Items!$A$2:$A$1032,0))</f>
        <v>#N/A</v>
      </c>
      <c r="R492" t="e">
        <f>INDEX(Items!D$2:D$1032,MATCH($O492,Items!$A$2:$A$1032,0))</f>
        <v>#N/A</v>
      </c>
    </row>
    <row r="493" spans="1:18" x14ac:dyDescent="0.25">
      <c r="A493">
        <f t="shared" si="38"/>
        <v>1</v>
      </c>
      <c r="B493" t="str">
        <f t="shared" si="39"/>
        <v/>
      </c>
      <c r="C493">
        <f t="shared" si="41"/>
        <v>1</v>
      </c>
      <c r="D493" s="4"/>
      <c r="E493" t="s">
        <v>18</v>
      </c>
      <c r="F493" t="str">
        <f>INDEX(Establishment!B$2:B$1005,MATCH($E493,Establishment!$A$2:$A$1005,0))</f>
        <v xml:space="preserve"> </v>
      </c>
      <c r="G493" t="str">
        <f>INDEX(Establishment!C$2:C$1005,MATCH($E493,Establishment!$A$2:$A$1005,0))</f>
        <v xml:space="preserve"> </v>
      </c>
      <c r="M493">
        <f t="shared" si="42"/>
        <v>0</v>
      </c>
      <c r="N493">
        <f t="shared" si="40"/>
        <v>0</v>
      </c>
      <c r="P493" t="e">
        <f>INDEX(Items!B$2:B$1032,MATCH($O493,Items!$A$2:$A$1032,0))</f>
        <v>#N/A</v>
      </c>
      <c r="Q493" t="e">
        <f>INDEX(Items!C$2:C$1032,MATCH($O493,Items!$A$2:$A$1032,0))</f>
        <v>#N/A</v>
      </c>
      <c r="R493" t="e">
        <f>INDEX(Items!D$2:D$1032,MATCH($O493,Items!$A$2:$A$1032,0))</f>
        <v>#N/A</v>
      </c>
    </row>
    <row r="494" spans="1:18" x14ac:dyDescent="0.25">
      <c r="A494">
        <f t="shared" si="38"/>
        <v>1</v>
      </c>
      <c r="B494" t="str">
        <f t="shared" si="39"/>
        <v/>
      </c>
      <c r="C494">
        <f t="shared" si="41"/>
        <v>1</v>
      </c>
      <c r="D494" s="4"/>
      <c r="E494" t="s">
        <v>18</v>
      </c>
      <c r="F494" t="str">
        <f>INDEX(Establishment!B$2:B$1005,MATCH($E494,Establishment!$A$2:$A$1005,0))</f>
        <v xml:space="preserve"> </v>
      </c>
      <c r="G494" t="str">
        <f>INDEX(Establishment!C$2:C$1005,MATCH($E494,Establishment!$A$2:$A$1005,0))</f>
        <v xml:space="preserve"> </v>
      </c>
      <c r="M494">
        <f t="shared" si="42"/>
        <v>0</v>
      </c>
      <c r="N494">
        <f t="shared" si="40"/>
        <v>0</v>
      </c>
      <c r="P494" t="e">
        <f>INDEX(Items!B$2:B$1032,MATCH($O494,Items!$A$2:$A$1032,0))</f>
        <v>#N/A</v>
      </c>
      <c r="Q494" t="e">
        <f>INDEX(Items!C$2:C$1032,MATCH($O494,Items!$A$2:$A$1032,0))</f>
        <v>#N/A</v>
      </c>
      <c r="R494" t="e">
        <f>INDEX(Items!D$2:D$1032,MATCH($O494,Items!$A$2:$A$1032,0))</f>
        <v>#N/A</v>
      </c>
    </row>
    <row r="495" spans="1:18" x14ac:dyDescent="0.25">
      <c r="A495">
        <f t="shared" si="38"/>
        <v>1</v>
      </c>
      <c r="B495" t="str">
        <f t="shared" si="39"/>
        <v/>
      </c>
      <c r="C495">
        <f t="shared" si="41"/>
        <v>1</v>
      </c>
      <c r="D495" s="4"/>
      <c r="E495" t="s">
        <v>18</v>
      </c>
      <c r="F495" t="str">
        <f>INDEX(Establishment!B$2:B$1005,MATCH($E495,Establishment!$A$2:$A$1005,0))</f>
        <v xml:space="preserve"> </v>
      </c>
      <c r="G495" t="str">
        <f>INDEX(Establishment!C$2:C$1005,MATCH($E495,Establishment!$A$2:$A$1005,0))</f>
        <v xml:space="preserve"> </v>
      </c>
      <c r="M495">
        <f t="shared" si="42"/>
        <v>0</v>
      </c>
      <c r="N495">
        <f t="shared" si="40"/>
        <v>0</v>
      </c>
      <c r="P495" t="e">
        <f>INDEX(Items!B$2:B$1032,MATCH($O495,Items!$A$2:$A$1032,0))</f>
        <v>#N/A</v>
      </c>
      <c r="Q495" t="e">
        <f>INDEX(Items!C$2:C$1032,MATCH($O495,Items!$A$2:$A$1032,0))</f>
        <v>#N/A</v>
      </c>
      <c r="R495" t="e">
        <f>INDEX(Items!D$2:D$1032,MATCH($O495,Items!$A$2:$A$1032,0))</f>
        <v>#N/A</v>
      </c>
    </row>
    <row r="496" spans="1:18" x14ac:dyDescent="0.25">
      <c r="A496">
        <f t="shared" si="38"/>
        <v>1</v>
      </c>
      <c r="B496" t="str">
        <f t="shared" si="39"/>
        <v/>
      </c>
      <c r="C496">
        <f t="shared" si="41"/>
        <v>1</v>
      </c>
      <c r="D496" s="4"/>
      <c r="E496" t="s">
        <v>18</v>
      </c>
      <c r="F496" t="str">
        <f>INDEX(Establishment!B$2:B$1005,MATCH($E496,Establishment!$A$2:$A$1005,0))</f>
        <v xml:space="preserve"> </v>
      </c>
      <c r="G496" t="str">
        <f>INDEX(Establishment!C$2:C$1005,MATCH($E496,Establishment!$A$2:$A$1005,0))</f>
        <v xml:space="preserve"> </v>
      </c>
      <c r="M496">
        <f t="shared" si="42"/>
        <v>0</v>
      </c>
      <c r="N496">
        <f t="shared" si="40"/>
        <v>0</v>
      </c>
      <c r="P496" t="e">
        <f>INDEX(Items!B$2:B$1032,MATCH($O496,Items!$A$2:$A$1032,0))</f>
        <v>#N/A</v>
      </c>
      <c r="Q496" t="e">
        <f>INDEX(Items!C$2:C$1032,MATCH($O496,Items!$A$2:$A$1032,0))</f>
        <v>#N/A</v>
      </c>
      <c r="R496" t="e">
        <f>INDEX(Items!D$2:D$1032,MATCH($O496,Items!$A$2:$A$1032,0))</f>
        <v>#N/A</v>
      </c>
    </row>
    <row r="497" spans="1:18" x14ac:dyDescent="0.25">
      <c r="A497">
        <f t="shared" si="38"/>
        <v>1</v>
      </c>
      <c r="B497" t="str">
        <f t="shared" si="39"/>
        <v/>
      </c>
      <c r="C497">
        <f t="shared" si="41"/>
        <v>1</v>
      </c>
      <c r="D497" s="4"/>
      <c r="E497" t="s">
        <v>18</v>
      </c>
      <c r="F497" t="str">
        <f>INDEX(Establishment!B$2:B$1005,MATCH($E497,Establishment!$A$2:$A$1005,0))</f>
        <v xml:space="preserve"> </v>
      </c>
      <c r="G497" t="str">
        <f>INDEX(Establishment!C$2:C$1005,MATCH($E497,Establishment!$A$2:$A$1005,0))</f>
        <v xml:space="preserve"> </v>
      </c>
      <c r="M497">
        <f t="shared" si="42"/>
        <v>0</v>
      </c>
      <c r="N497">
        <f t="shared" si="40"/>
        <v>0</v>
      </c>
      <c r="P497" t="e">
        <f>INDEX(Items!B$2:B$1032,MATCH($O497,Items!$A$2:$A$1032,0))</f>
        <v>#N/A</v>
      </c>
      <c r="Q497" t="e">
        <f>INDEX(Items!C$2:C$1032,MATCH($O497,Items!$A$2:$A$1032,0))</f>
        <v>#N/A</v>
      </c>
      <c r="R497" t="e">
        <f>INDEX(Items!D$2:D$1032,MATCH($O497,Items!$A$2:$A$1032,0))</f>
        <v>#N/A</v>
      </c>
    </row>
    <row r="498" spans="1:18" x14ac:dyDescent="0.25">
      <c r="A498">
        <f t="shared" si="38"/>
        <v>1</v>
      </c>
      <c r="B498" t="str">
        <f t="shared" si="39"/>
        <v/>
      </c>
      <c r="C498">
        <f t="shared" si="41"/>
        <v>1</v>
      </c>
      <c r="D498" s="4"/>
      <c r="E498" t="s">
        <v>18</v>
      </c>
      <c r="F498" t="str">
        <f>INDEX(Establishment!B$2:B$1005,MATCH($E498,Establishment!$A$2:$A$1005,0))</f>
        <v xml:space="preserve"> </v>
      </c>
      <c r="G498" t="str">
        <f>INDEX(Establishment!C$2:C$1005,MATCH($E498,Establishment!$A$2:$A$1005,0))</f>
        <v xml:space="preserve"> </v>
      </c>
      <c r="M498">
        <f t="shared" si="42"/>
        <v>0</v>
      </c>
      <c r="N498">
        <f t="shared" si="40"/>
        <v>0</v>
      </c>
      <c r="P498" t="e">
        <f>INDEX(Items!B$2:B$1032,MATCH($O498,Items!$A$2:$A$1032,0))</f>
        <v>#N/A</v>
      </c>
      <c r="Q498" t="e">
        <f>INDEX(Items!C$2:C$1032,MATCH($O498,Items!$A$2:$A$1032,0))</f>
        <v>#N/A</v>
      </c>
      <c r="R498" t="e">
        <f>INDEX(Items!D$2:D$1032,MATCH($O498,Items!$A$2:$A$1032,0))</f>
        <v>#N/A</v>
      </c>
    </row>
    <row r="499" spans="1:18" x14ac:dyDescent="0.25">
      <c r="A499">
        <f t="shared" si="38"/>
        <v>1</v>
      </c>
      <c r="B499" t="str">
        <f t="shared" si="39"/>
        <v/>
      </c>
      <c r="C499">
        <f t="shared" si="41"/>
        <v>1</v>
      </c>
      <c r="D499" s="4"/>
      <c r="E499" t="s">
        <v>18</v>
      </c>
      <c r="F499" t="str">
        <f>INDEX(Establishment!B$2:B$1005,MATCH($E499,Establishment!$A$2:$A$1005,0))</f>
        <v xml:space="preserve"> </v>
      </c>
      <c r="G499" t="str">
        <f>INDEX(Establishment!C$2:C$1005,MATCH($E499,Establishment!$A$2:$A$1005,0))</f>
        <v xml:space="preserve"> </v>
      </c>
      <c r="M499">
        <f t="shared" si="42"/>
        <v>0</v>
      </c>
      <c r="N499">
        <f t="shared" si="40"/>
        <v>0</v>
      </c>
      <c r="P499" t="e">
        <f>INDEX(Items!B$2:B$1032,MATCH($O499,Items!$A$2:$A$1032,0))</f>
        <v>#N/A</v>
      </c>
      <c r="Q499" t="e">
        <f>INDEX(Items!C$2:C$1032,MATCH($O499,Items!$A$2:$A$1032,0))</f>
        <v>#N/A</v>
      </c>
      <c r="R499" t="e">
        <f>INDEX(Items!D$2:D$1032,MATCH($O499,Items!$A$2:$A$1032,0))</f>
        <v>#N/A</v>
      </c>
    </row>
  </sheetData>
  <autoFilter ref="A1:S499" xr:uid="{5F0E76B2-0B92-47EE-AE22-5D9D037037E9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EBE07309-D5B0-4558-9DCC-0697C2D6D302}">
          <x14:formula1>
            <xm:f>Misc!$A$2:$A$8</xm:f>
          </x14:formula1>
          <xm:sqref>H1:H15 H20:H1048576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6E55-E473-44E5-ADC7-787FCBAC40F0}">
  <dimension ref="A1:S499"/>
  <sheetViews>
    <sheetView zoomScale="145" zoomScaleNormal="145"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bestFit="1" customWidth="1"/>
    <col min="2" max="2" width="11.140625" bestFit="1" customWidth="1"/>
    <col min="3" max="3" width="11.140625" customWidth="1"/>
    <col min="4" max="4" width="10.7109375" bestFit="1" customWidth="1"/>
    <col min="5" max="5" width="21.140625" bestFit="1" customWidth="1"/>
    <col min="6" max="6" width="13.7109375" bestFit="1" customWidth="1"/>
    <col min="7" max="7" width="9.7109375" bestFit="1" customWidth="1"/>
    <col min="8" max="8" width="13.7109375" bestFit="1" customWidth="1"/>
    <col min="9" max="9" width="8.140625" bestFit="1" customWidth="1"/>
    <col min="10" max="10" width="18.5703125" bestFit="1" customWidth="1"/>
    <col min="11" max="11" width="8.7109375" bestFit="1" customWidth="1"/>
    <col min="12" max="12" width="9.5703125" bestFit="1" customWidth="1"/>
    <col min="13" max="13" width="8.140625" bestFit="1" customWidth="1"/>
    <col min="14" max="14" width="11.140625" bestFit="1" customWidth="1"/>
    <col min="15" max="15" width="25.7109375" bestFit="1" customWidth="1"/>
    <col min="16" max="16" width="6.140625" bestFit="1" customWidth="1"/>
    <col min="17" max="17" width="12.7109375" bestFit="1" customWidth="1"/>
    <col min="18" max="18" width="7.140625" bestFit="1" customWidth="1"/>
  </cols>
  <sheetData>
    <row r="1" spans="1:19" ht="30" x14ac:dyDescent="0.25">
      <c r="A1" t="s">
        <v>0</v>
      </c>
      <c r="B1" s="2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f t="shared" ref="A2:A65" si="0">IF(OR(D2&lt;&gt;D1,D2=""),1,IF(NOT(AND(E2=E1,F2=F1,G2=G1)),A1+1,IF(OR(H2="",AND(H2&lt;&gt;"",H2&lt;&gt;H1,H1&lt;&gt;"")),A1,A1+1)))</f>
        <v>1</v>
      </c>
      <c r="B2" t="str">
        <f t="shared" ref="B2:B65" si="1">IF(D2&lt;&gt;"",TEXT(D2,"YYYYMMDD")&amp;CHAR(64+A2),"")</f>
        <v/>
      </c>
      <c r="C2">
        <f t="shared" ref="C2:C6" si="2">IF(OR(B2="",B2&lt;&gt;B10),1,C10+1)</f>
        <v>1</v>
      </c>
      <c r="D2" s="4"/>
      <c r="F2" t="e">
        <f>INDEX(Establishment!B$2:B$1005,MATCH($E2,Establishment!$A$2:$A$1005,0))</f>
        <v>#N/A</v>
      </c>
      <c r="G2" t="e">
        <f>INDEX(Establishment!C$2:C$1005,MATCH($E2,Establishment!$A$2:$A$1005,0))</f>
        <v>#N/A</v>
      </c>
      <c r="M2">
        <f t="shared" ref="M2:M6" si="3">K2*L2</f>
        <v>0</v>
      </c>
      <c r="N2">
        <f>IF(B2=B1,N1+M2,M2)</f>
        <v>0</v>
      </c>
      <c r="P2" t="e">
        <f>INDEX(Items!B$2:B$1032,MATCH($O2,Items!$A$2:$A$1032,0))</f>
        <v>#N/A</v>
      </c>
      <c r="Q2" t="e">
        <f>INDEX(Items!C$2:C$1032,MATCH($O2,Items!$A$2:$A$1032,0))</f>
        <v>#N/A</v>
      </c>
      <c r="R2" t="e">
        <f>INDEX(Items!D$2:D$1032,MATCH($O2,Items!$A$2:$A$1032,0))</f>
        <v>#N/A</v>
      </c>
    </row>
    <row r="3" spans="1:19" x14ac:dyDescent="0.25">
      <c r="A3">
        <f t="shared" si="0"/>
        <v>1</v>
      </c>
      <c r="B3" t="str">
        <f t="shared" si="1"/>
        <v/>
      </c>
      <c r="C3">
        <f t="shared" si="2"/>
        <v>1</v>
      </c>
      <c r="D3" s="4"/>
      <c r="F3" t="e">
        <f>INDEX(Establishment!B$2:B$1005,MATCH($E3,Establishment!$A$2:$A$1005,0))</f>
        <v>#N/A</v>
      </c>
      <c r="G3" t="e">
        <f>INDEX(Establishment!C$2:C$1005,MATCH($E3,Establishment!$A$2:$A$1005,0))</f>
        <v>#N/A</v>
      </c>
      <c r="M3">
        <f t="shared" si="3"/>
        <v>0</v>
      </c>
      <c r="N3">
        <f t="shared" ref="N3:N66" si="4">IF(B3=B2,N2+M3,M3)</f>
        <v>0</v>
      </c>
      <c r="P3" t="e">
        <f>INDEX(Items!B$2:B$1032,MATCH($O3,Items!$A$2:$A$1032,0))</f>
        <v>#N/A</v>
      </c>
      <c r="Q3" t="e">
        <f>INDEX(Items!C$2:C$1032,MATCH($O3,Items!$A$2:$A$1032,0))</f>
        <v>#N/A</v>
      </c>
      <c r="R3" t="e">
        <f>INDEX(Items!D$2:D$1032,MATCH($O3,Items!$A$2:$A$1032,0))</f>
        <v>#N/A</v>
      </c>
    </row>
    <row r="4" spans="1:19" x14ac:dyDescent="0.25">
      <c r="A4">
        <f t="shared" si="0"/>
        <v>1</v>
      </c>
      <c r="B4" t="str">
        <f t="shared" si="1"/>
        <v/>
      </c>
      <c r="C4">
        <f t="shared" si="2"/>
        <v>1</v>
      </c>
      <c r="D4" s="4"/>
      <c r="F4" t="e">
        <f>INDEX(Establishment!B$2:B$1005,MATCH($E4,Establishment!$A$2:$A$1005,0))</f>
        <v>#N/A</v>
      </c>
      <c r="G4" t="e">
        <f>INDEX(Establishment!C$2:C$1005,MATCH($E4,Establishment!$A$2:$A$1005,0))</f>
        <v>#N/A</v>
      </c>
      <c r="M4">
        <f t="shared" si="3"/>
        <v>0</v>
      </c>
      <c r="N4">
        <f t="shared" si="4"/>
        <v>0</v>
      </c>
      <c r="P4" t="e">
        <f>INDEX(Items!B$2:B$1032,MATCH($O4,Items!$A$2:$A$1032,0))</f>
        <v>#N/A</v>
      </c>
      <c r="Q4" t="e">
        <f>INDEX(Items!C$2:C$1032,MATCH($O4,Items!$A$2:$A$1032,0))</f>
        <v>#N/A</v>
      </c>
      <c r="R4" t="e">
        <f>INDEX(Items!D$2:D$1032,MATCH($O4,Items!$A$2:$A$1032,0))</f>
        <v>#N/A</v>
      </c>
    </row>
    <row r="5" spans="1:19" x14ac:dyDescent="0.25">
      <c r="A5">
        <f t="shared" si="0"/>
        <v>1</v>
      </c>
      <c r="B5" t="str">
        <f t="shared" si="1"/>
        <v/>
      </c>
      <c r="C5">
        <f t="shared" si="2"/>
        <v>1</v>
      </c>
      <c r="D5" s="4"/>
      <c r="F5" t="e">
        <f>INDEX(Establishment!B$2:B$1005,MATCH($E5,Establishment!$A$2:$A$1005,0))</f>
        <v>#N/A</v>
      </c>
      <c r="G5" t="e">
        <f>INDEX(Establishment!C$2:C$1005,MATCH($E5,Establishment!$A$2:$A$1005,0))</f>
        <v>#N/A</v>
      </c>
      <c r="M5">
        <f t="shared" si="3"/>
        <v>0</v>
      </c>
      <c r="N5">
        <f t="shared" si="4"/>
        <v>0</v>
      </c>
      <c r="P5" t="e">
        <f>INDEX(Items!B$2:B$1032,MATCH($O5,Items!$A$2:$A$1032,0))</f>
        <v>#N/A</v>
      </c>
      <c r="Q5" t="e">
        <f>INDEX(Items!C$2:C$1032,MATCH($O5,Items!$A$2:$A$1032,0))</f>
        <v>#N/A</v>
      </c>
      <c r="R5" t="e">
        <f>INDEX(Items!D$2:D$1032,MATCH($O5,Items!$A$2:$A$1032,0))</f>
        <v>#N/A</v>
      </c>
    </row>
    <row r="6" spans="1:19" x14ac:dyDescent="0.25">
      <c r="A6">
        <f t="shared" si="0"/>
        <v>1</v>
      </c>
      <c r="B6" t="str">
        <f t="shared" si="1"/>
        <v/>
      </c>
      <c r="C6">
        <f t="shared" si="2"/>
        <v>1</v>
      </c>
      <c r="D6" s="4"/>
      <c r="F6" t="e">
        <f>INDEX(Establishment!B$2:B$1005,MATCH($E6,Establishment!$A$2:$A$1005,0))</f>
        <v>#N/A</v>
      </c>
      <c r="G6" t="e">
        <f>INDEX(Establishment!C$2:C$1005,MATCH($E6,Establishment!$A$2:$A$1005,0))</f>
        <v>#N/A</v>
      </c>
      <c r="M6">
        <f t="shared" si="3"/>
        <v>0</v>
      </c>
      <c r="N6">
        <f t="shared" si="4"/>
        <v>0</v>
      </c>
      <c r="P6" t="e">
        <f>INDEX(Items!B$2:B$1032,MATCH($O6,Items!$A$2:$A$1032,0))</f>
        <v>#N/A</v>
      </c>
      <c r="Q6" t="e">
        <f>INDEX(Items!C$2:C$1032,MATCH($O6,Items!$A$2:$A$1032,0))</f>
        <v>#N/A</v>
      </c>
      <c r="R6" t="e">
        <f>INDEX(Items!D$2:D$1032,MATCH($O6,Items!$A$2:$A$1032,0))</f>
        <v>#N/A</v>
      </c>
    </row>
    <row r="7" spans="1:19" x14ac:dyDescent="0.25">
      <c r="A7">
        <f t="shared" si="0"/>
        <v>1</v>
      </c>
      <c r="B7" t="str">
        <f t="shared" si="1"/>
        <v/>
      </c>
      <c r="C7">
        <f>IF(OR(B7="",B7&lt;&gt;B15),1,C15+1)</f>
        <v>1</v>
      </c>
      <c r="D7" s="4"/>
      <c r="F7" t="e">
        <f>INDEX(Establishment!B$2:B$1005,MATCH($E7,Establishment!$A$2:$A$1005,0))</f>
        <v>#N/A</v>
      </c>
      <c r="G7" t="e">
        <f>INDEX(Establishment!C$2:C$1005,MATCH($E7,Establishment!$A$2:$A$1005,0))</f>
        <v>#N/A</v>
      </c>
      <c r="M7">
        <f>K7*L7</f>
        <v>0</v>
      </c>
      <c r="N7">
        <f t="shared" si="4"/>
        <v>0</v>
      </c>
      <c r="P7" t="e">
        <f>INDEX(Items!B$2:B$1032,MATCH($O7,Items!$A$2:$A$1032,0))</f>
        <v>#N/A</v>
      </c>
      <c r="Q7" t="e">
        <f>INDEX(Items!C$2:C$1032,MATCH($O7,Items!$A$2:$A$1032,0))</f>
        <v>#N/A</v>
      </c>
      <c r="R7" t="e">
        <f>INDEX(Items!D$2:D$1032,MATCH($O7,Items!$A$2:$A$1032,0))</f>
        <v>#N/A</v>
      </c>
    </row>
    <row r="8" spans="1:19" x14ac:dyDescent="0.25">
      <c r="A8">
        <f t="shared" si="0"/>
        <v>1</v>
      </c>
      <c r="B8" t="str">
        <f t="shared" si="1"/>
        <v/>
      </c>
      <c r="C8">
        <f>IF(OR(B8="",B8&lt;&gt;B7),1,C7+1)</f>
        <v>1</v>
      </c>
      <c r="D8" s="4"/>
      <c r="F8" t="e">
        <f>INDEX(Establishment!B$2:B$1005,MATCH($E8,Establishment!$A$2:$A$1005,0))</f>
        <v>#N/A</v>
      </c>
      <c r="G8" t="e">
        <f>INDEX(Establishment!C$2:C$1005,MATCH($E8,Establishment!$A$2:$A$1005,0))</f>
        <v>#N/A</v>
      </c>
      <c r="M8">
        <f>K8*L8</f>
        <v>0</v>
      </c>
      <c r="N8">
        <f t="shared" si="4"/>
        <v>0</v>
      </c>
      <c r="P8" t="e">
        <f>INDEX(Items!B$2:B$1032,MATCH($O8,Items!$A$2:$A$1032,0))</f>
        <v>#N/A</v>
      </c>
      <c r="Q8" t="e">
        <f>INDEX(Items!C$2:C$1032,MATCH($O8,Items!$A$2:$A$1032,0))</f>
        <v>#N/A</v>
      </c>
      <c r="R8" t="e">
        <f>INDEX(Items!D$2:D$1032,MATCH($O8,Items!$A$2:$A$1032,0))</f>
        <v>#N/A</v>
      </c>
    </row>
    <row r="9" spans="1:19" x14ac:dyDescent="0.25">
      <c r="A9">
        <f t="shared" si="0"/>
        <v>1</v>
      </c>
      <c r="B9" t="str">
        <f t="shared" si="1"/>
        <v/>
      </c>
      <c r="C9">
        <f>IF(OR(B9="",B9&lt;&gt;B8),1,C8+1)</f>
        <v>1</v>
      </c>
      <c r="D9" s="4"/>
      <c r="F9" t="e">
        <f>INDEX(Establishment!B$2:B$1005,MATCH($E9,Establishment!$A$2:$A$1005,0))</f>
        <v>#N/A</v>
      </c>
      <c r="G9" t="e">
        <f>INDEX(Establishment!C$2:C$1005,MATCH($E9,Establishment!$A$2:$A$1005,0))</f>
        <v>#N/A</v>
      </c>
      <c r="M9">
        <f>K9*L9</f>
        <v>0</v>
      </c>
      <c r="N9">
        <f t="shared" si="4"/>
        <v>0</v>
      </c>
      <c r="P9" t="e">
        <f>INDEX(Items!B$2:B$1032,MATCH($O9,Items!$A$2:$A$1032,0))</f>
        <v>#N/A</v>
      </c>
      <c r="Q9" t="e">
        <f>INDEX(Items!C$2:C$1032,MATCH($O9,Items!$A$2:$A$1032,0))</f>
        <v>#N/A</v>
      </c>
      <c r="R9" t="e">
        <f>INDEX(Items!D$2:D$1032,MATCH($O9,Items!$A$2:$A$1032,0))</f>
        <v>#N/A</v>
      </c>
    </row>
    <row r="10" spans="1:19" x14ac:dyDescent="0.25">
      <c r="A10">
        <f t="shared" si="0"/>
        <v>1</v>
      </c>
      <c r="B10" t="str">
        <f t="shared" si="1"/>
        <v/>
      </c>
      <c r="C10">
        <f t="shared" ref="C10:C73" si="5">IF(OR(B10="",B10&lt;&gt;B9),1,C9+1)</f>
        <v>1</v>
      </c>
      <c r="D10" s="4"/>
      <c r="F10" t="e">
        <f>INDEX(Establishment!B$2:B$1005,MATCH($E10,Establishment!$A$2:$A$1005,0))</f>
        <v>#N/A</v>
      </c>
      <c r="G10" t="e">
        <f>INDEX(Establishment!C$2:C$1005,MATCH($E10,Establishment!$A$2:$A$1005,0))</f>
        <v>#N/A</v>
      </c>
      <c r="M10">
        <f t="shared" ref="M10:M73" si="6">K10*L10</f>
        <v>0</v>
      </c>
      <c r="N10">
        <f t="shared" si="4"/>
        <v>0</v>
      </c>
      <c r="P10" t="e">
        <f>INDEX(Items!B$2:B$1032,MATCH($O10,Items!$A$2:$A$1032,0))</f>
        <v>#N/A</v>
      </c>
      <c r="Q10" t="e">
        <f>INDEX(Items!C$2:C$1032,MATCH($O10,Items!$A$2:$A$1032,0))</f>
        <v>#N/A</v>
      </c>
      <c r="R10" t="e">
        <f>INDEX(Items!D$2:D$1032,MATCH($O10,Items!$A$2:$A$1032,0))</f>
        <v>#N/A</v>
      </c>
    </row>
    <row r="11" spans="1:19" x14ac:dyDescent="0.25">
      <c r="A11">
        <f t="shared" si="0"/>
        <v>1</v>
      </c>
      <c r="B11" t="str">
        <f t="shared" si="1"/>
        <v/>
      </c>
      <c r="C11">
        <f t="shared" si="5"/>
        <v>1</v>
      </c>
      <c r="D11" s="4"/>
      <c r="F11" t="e">
        <f>INDEX(Establishment!B$2:B$1005,MATCH($E11,Establishment!$A$2:$A$1005,0))</f>
        <v>#N/A</v>
      </c>
      <c r="G11" t="e">
        <f>INDEX(Establishment!C$2:C$1005,MATCH($E11,Establishment!$A$2:$A$1005,0))</f>
        <v>#N/A</v>
      </c>
      <c r="M11">
        <f t="shared" si="6"/>
        <v>0</v>
      </c>
      <c r="N11">
        <f t="shared" si="4"/>
        <v>0</v>
      </c>
      <c r="P11" t="e">
        <f>INDEX(Items!B$2:B$1032,MATCH($O11,Items!$A$2:$A$1032,0))</f>
        <v>#N/A</v>
      </c>
      <c r="Q11" t="e">
        <f>INDEX(Items!C$2:C$1032,MATCH($O11,Items!$A$2:$A$1032,0))</f>
        <v>#N/A</v>
      </c>
      <c r="R11" t="e">
        <f>INDEX(Items!D$2:D$1032,MATCH($O11,Items!$A$2:$A$1032,0))</f>
        <v>#N/A</v>
      </c>
    </row>
    <row r="12" spans="1:19" x14ac:dyDescent="0.25">
      <c r="A12">
        <f t="shared" si="0"/>
        <v>1</v>
      </c>
      <c r="B12" t="str">
        <f t="shared" si="1"/>
        <v/>
      </c>
      <c r="C12">
        <f t="shared" si="5"/>
        <v>1</v>
      </c>
      <c r="D12" s="4"/>
      <c r="F12" t="e">
        <f>INDEX(Establishment!B$2:B$1005,MATCH($E12,Establishment!$A$2:$A$1005,0))</f>
        <v>#N/A</v>
      </c>
      <c r="G12" t="e">
        <f>INDEX(Establishment!C$2:C$1005,MATCH($E12,Establishment!$A$2:$A$1005,0))</f>
        <v>#N/A</v>
      </c>
      <c r="M12">
        <f t="shared" si="6"/>
        <v>0</v>
      </c>
      <c r="N12">
        <f t="shared" si="4"/>
        <v>0</v>
      </c>
      <c r="P12" t="e">
        <f>INDEX(Items!B$2:B$1032,MATCH($O12,Items!$A$2:$A$1032,0))</f>
        <v>#N/A</v>
      </c>
      <c r="Q12" t="e">
        <f>INDEX(Items!C$2:C$1032,MATCH($O12,Items!$A$2:$A$1032,0))</f>
        <v>#N/A</v>
      </c>
      <c r="R12" t="e">
        <f>INDEX(Items!D$2:D$1032,MATCH($O12,Items!$A$2:$A$1032,0))</f>
        <v>#N/A</v>
      </c>
    </row>
    <row r="13" spans="1:19" x14ac:dyDescent="0.25">
      <c r="A13">
        <f t="shared" si="0"/>
        <v>1</v>
      </c>
      <c r="B13" t="str">
        <f t="shared" si="1"/>
        <v/>
      </c>
      <c r="C13">
        <f t="shared" si="5"/>
        <v>1</v>
      </c>
      <c r="D13" s="4"/>
      <c r="F13" t="e">
        <f>INDEX(Establishment!B$2:B$1005,MATCH($E13,Establishment!$A$2:$A$1005,0))</f>
        <v>#N/A</v>
      </c>
      <c r="G13" t="e">
        <f>INDEX(Establishment!C$2:C$1005,MATCH($E13,Establishment!$A$2:$A$1005,0))</f>
        <v>#N/A</v>
      </c>
      <c r="M13">
        <f t="shared" si="6"/>
        <v>0</v>
      </c>
      <c r="N13">
        <f t="shared" si="4"/>
        <v>0</v>
      </c>
      <c r="P13" t="e">
        <f>INDEX(Items!B$2:B$1032,MATCH($O13,Items!$A$2:$A$1032,0))</f>
        <v>#N/A</v>
      </c>
      <c r="Q13" t="e">
        <f>INDEX(Items!C$2:C$1032,MATCH($O13,Items!$A$2:$A$1032,0))</f>
        <v>#N/A</v>
      </c>
      <c r="R13" t="e">
        <f>INDEX(Items!D$2:D$1032,MATCH($O13,Items!$A$2:$A$1032,0))</f>
        <v>#N/A</v>
      </c>
    </row>
    <row r="14" spans="1:19" x14ac:dyDescent="0.25">
      <c r="A14">
        <f t="shared" si="0"/>
        <v>1</v>
      </c>
      <c r="B14" t="str">
        <f t="shared" si="1"/>
        <v/>
      </c>
      <c r="C14">
        <f t="shared" si="5"/>
        <v>1</v>
      </c>
      <c r="D14" s="4"/>
      <c r="F14" t="e">
        <f>INDEX(Establishment!B$2:B$1005,MATCH($E14,Establishment!$A$2:$A$1005,0))</f>
        <v>#N/A</v>
      </c>
      <c r="G14" t="e">
        <f>INDEX(Establishment!C$2:C$1005,MATCH($E14,Establishment!$A$2:$A$1005,0))</f>
        <v>#N/A</v>
      </c>
      <c r="M14">
        <f t="shared" si="6"/>
        <v>0</v>
      </c>
      <c r="N14">
        <f t="shared" si="4"/>
        <v>0</v>
      </c>
      <c r="P14" t="e">
        <f>INDEX(Items!B$2:B$1032,MATCH($O14,Items!$A$2:$A$1032,0))</f>
        <v>#N/A</v>
      </c>
      <c r="Q14" t="e">
        <f>INDEX(Items!C$2:C$1032,MATCH($O14,Items!$A$2:$A$1032,0))</f>
        <v>#N/A</v>
      </c>
      <c r="R14" t="e">
        <f>INDEX(Items!D$2:D$1032,MATCH($O14,Items!$A$2:$A$1032,0))</f>
        <v>#N/A</v>
      </c>
    </row>
    <row r="15" spans="1:19" x14ac:dyDescent="0.25">
      <c r="A15">
        <f t="shared" si="0"/>
        <v>1</v>
      </c>
      <c r="B15" t="str">
        <f t="shared" si="1"/>
        <v/>
      </c>
      <c r="C15">
        <f t="shared" si="5"/>
        <v>1</v>
      </c>
      <c r="D15" s="4"/>
      <c r="F15" t="e">
        <f>INDEX(Establishment!B$2:B$1005,MATCH($E15,Establishment!$A$2:$A$1005,0))</f>
        <v>#N/A</v>
      </c>
      <c r="G15" t="e">
        <f>INDEX(Establishment!C$2:C$1005,MATCH($E15,Establishment!$A$2:$A$1005,0))</f>
        <v>#N/A</v>
      </c>
      <c r="M15">
        <f>K15*L15</f>
        <v>0</v>
      </c>
      <c r="N15">
        <f t="shared" si="4"/>
        <v>0</v>
      </c>
      <c r="P15" t="e">
        <f>INDEX(Items!B$2:B$1032,MATCH($O15,Items!$A$2:$A$1032,0))</f>
        <v>#N/A</v>
      </c>
      <c r="Q15" t="e">
        <f>INDEX(Items!C$2:C$1032,MATCH($O15,Items!$A$2:$A$1032,0))</f>
        <v>#N/A</v>
      </c>
      <c r="R15" t="e">
        <f>INDEX(Items!D$2:D$1032,MATCH($O15,Items!$A$2:$A$1032,0))</f>
        <v>#N/A</v>
      </c>
    </row>
    <row r="16" spans="1:19" x14ac:dyDescent="0.25">
      <c r="A16">
        <f t="shared" si="0"/>
        <v>1</v>
      </c>
      <c r="B16" t="str">
        <f t="shared" si="1"/>
        <v/>
      </c>
      <c r="C16">
        <f t="shared" si="5"/>
        <v>1</v>
      </c>
      <c r="D16" s="4"/>
      <c r="F16" t="e">
        <f>INDEX(Establishment!B$2:B$1005,MATCH($E16,Establishment!$A$2:$A$1005,0))</f>
        <v>#N/A</v>
      </c>
      <c r="G16" t="e">
        <f>INDEX(Establishment!C$2:C$1005,MATCH($E16,Establishment!$A$2:$A$1005,0))</f>
        <v>#N/A</v>
      </c>
      <c r="M16">
        <f t="shared" si="6"/>
        <v>0</v>
      </c>
      <c r="N16">
        <f t="shared" si="4"/>
        <v>0</v>
      </c>
      <c r="P16" t="e">
        <f>INDEX(Items!B$2:B$1032,MATCH($O16,Items!$A$2:$A$1032,0))</f>
        <v>#N/A</v>
      </c>
      <c r="Q16" t="e">
        <f>INDEX(Items!C$2:C$1032,MATCH($O16,Items!$A$2:$A$1032,0))</f>
        <v>#N/A</v>
      </c>
      <c r="R16" t="e">
        <f>INDEX(Items!D$2:D$1032,MATCH($O16,Items!$A$2:$A$1032,0))</f>
        <v>#N/A</v>
      </c>
    </row>
    <row r="17" spans="1:18" x14ac:dyDescent="0.25">
      <c r="A17">
        <f t="shared" si="0"/>
        <v>1</v>
      </c>
      <c r="B17" t="str">
        <f t="shared" si="1"/>
        <v/>
      </c>
      <c r="C17">
        <f t="shared" si="5"/>
        <v>1</v>
      </c>
      <c r="D17" s="4"/>
      <c r="F17" t="e">
        <f>INDEX(Establishment!B$2:B$1005,MATCH($E17,Establishment!$A$2:$A$1005,0))</f>
        <v>#N/A</v>
      </c>
      <c r="G17" t="e">
        <f>INDEX(Establishment!C$2:C$1005,MATCH($E17,Establishment!$A$2:$A$1005,0))</f>
        <v>#N/A</v>
      </c>
      <c r="M17">
        <f t="shared" si="6"/>
        <v>0</v>
      </c>
      <c r="N17">
        <f t="shared" si="4"/>
        <v>0</v>
      </c>
      <c r="P17" t="e">
        <f>INDEX(Items!B$2:B$1032,MATCH($O17,Items!$A$2:$A$1032,0))</f>
        <v>#N/A</v>
      </c>
      <c r="Q17" t="e">
        <f>INDEX(Items!C$2:C$1032,MATCH($O17,Items!$A$2:$A$1032,0))</f>
        <v>#N/A</v>
      </c>
      <c r="R17" t="e">
        <f>INDEX(Items!D$2:D$1032,MATCH($O17,Items!$A$2:$A$1032,0))</f>
        <v>#N/A</v>
      </c>
    </row>
    <row r="18" spans="1:18" x14ac:dyDescent="0.25">
      <c r="A18">
        <f t="shared" si="0"/>
        <v>1</v>
      </c>
      <c r="B18" t="str">
        <f t="shared" si="1"/>
        <v/>
      </c>
      <c r="C18">
        <f t="shared" si="5"/>
        <v>1</v>
      </c>
      <c r="D18" s="4"/>
      <c r="F18" t="e">
        <f>INDEX(Establishment!B$2:B$1005,MATCH($E18,Establishment!$A$2:$A$1005,0))</f>
        <v>#N/A</v>
      </c>
      <c r="G18" t="e">
        <f>INDEX(Establishment!C$2:C$1005,MATCH($E18,Establishment!$A$2:$A$1005,0))</f>
        <v>#N/A</v>
      </c>
      <c r="M18">
        <f t="shared" si="6"/>
        <v>0</v>
      </c>
      <c r="N18">
        <f t="shared" si="4"/>
        <v>0</v>
      </c>
      <c r="P18" t="e">
        <f>INDEX(Items!B$2:B$1032,MATCH($O18,Items!$A$2:$A$1032,0))</f>
        <v>#N/A</v>
      </c>
      <c r="Q18" t="e">
        <f>INDEX(Items!C$2:C$1032,MATCH($O18,Items!$A$2:$A$1032,0))</f>
        <v>#N/A</v>
      </c>
      <c r="R18" t="e">
        <f>INDEX(Items!D$2:D$1032,MATCH($O18,Items!$A$2:$A$1032,0))</f>
        <v>#N/A</v>
      </c>
    </row>
    <row r="19" spans="1:18" x14ac:dyDescent="0.25">
      <c r="A19">
        <f t="shared" si="0"/>
        <v>1</v>
      </c>
      <c r="B19" t="str">
        <f t="shared" si="1"/>
        <v/>
      </c>
      <c r="C19">
        <f t="shared" si="5"/>
        <v>1</v>
      </c>
      <c r="D19" s="4"/>
      <c r="F19" t="e">
        <f>INDEX(Establishment!B$2:B$1005,MATCH($E19,Establishment!$A$2:$A$1005,0))</f>
        <v>#N/A</v>
      </c>
      <c r="G19" t="e">
        <f>INDEX(Establishment!C$2:C$1005,MATCH($E19,Establishment!$A$2:$A$1005,0))</f>
        <v>#N/A</v>
      </c>
      <c r="M19">
        <f t="shared" si="6"/>
        <v>0</v>
      </c>
      <c r="N19">
        <f t="shared" si="4"/>
        <v>0</v>
      </c>
      <c r="P19" t="e">
        <f>INDEX(Items!B$2:B$1032,MATCH($O19,Items!$A$2:$A$1032,0))</f>
        <v>#N/A</v>
      </c>
      <c r="Q19" t="e">
        <f>INDEX(Items!C$2:C$1032,MATCH($O19,Items!$A$2:$A$1032,0))</f>
        <v>#N/A</v>
      </c>
      <c r="R19" t="e">
        <f>INDEX(Items!D$2:D$1032,MATCH($O19,Items!$A$2:$A$1032,0))</f>
        <v>#N/A</v>
      </c>
    </row>
    <row r="20" spans="1:18" x14ac:dyDescent="0.25">
      <c r="A20">
        <f t="shared" si="0"/>
        <v>1</v>
      </c>
      <c r="B20" t="str">
        <f t="shared" si="1"/>
        <v/>
      </c>
      <c r="C20">
        <f t="shared" si="5"/>
        <v>1</v>
      </c>
      <c r="D20" s="4"/>
      <c r="F20" t="e">
        <f>INDEX(Establishment!B$2:B$1005,MATCH($E20,Establishment!$A$2:$A$1005,0))</f>
        <v>#N/A</v>
      </c>
      <c r="G20" t="e">
        <f>INDEX(Establishment!C$2:C$1005,MATCH($E20,Establishment!$A$2:$A$1005,0))</f>
        <v>#N/A</v>
      </c>
      <c r="M20">
        <f t="shared" si="6"/>
        <v>0</v>
      </c>
      <c r="N20">
        <f t="shared" si="4"/>
        <v>0</v>
      </c>
      <c r="P20" t="e">
        <f>INDEX(Items!B$2:B$1032,MATCH($O20,Items!$A$2:$A$1032,0))</f>
        <v>#N/A</v>
      </c>
      <c r="Q20" t="e">
        <f>INDEX(Items!C$2:C$1032,MATCH($O20,Items!$A$2:$A$1032,0))</f>
        <v>#N/A</v>
      </c>
      <c r="R20" t="e">
        <f>INDEX(Items!D$2:D$1032,MATCH($O20,Items!$A$2:$A$1032,0))</f>
        <v>#N/A</v>
      </c>
    </row>
    <row r="21" spans="1:18" x14ac:dyDescent="0.25">
      <c r="A21">
        <f t="shared" si="0"/>
        <v>1</v>
      </c>
      <c r="B21" t="str">
        <f t="shared" si="1"/>
        <v/>
      </c>
      <c r="C21">
        <f t="shared" si="5"/>
        <v>1</v>
      </c>
      <c r="D21" s="4"/>
      <c r="F21" t="e">
        <f>INDEX(Establishment!B$2:B$1005,MATCH($E21,Establishment!$A$2:$A$1005,0))</f>
        <v>#N/A</v>
      </c>
      <c r="G21" t="e">
        <f>INDEX(Establishment!C$2:C$1005,MATCH($E21,Establishment!$A$2:$A$1005,0))</f>
        <v>#N/A</v>
      </c>
      <c r="M21">
        <f t="shared" si="6"/>
        <v>0</v>
      </c>
      <c r="N21">
        <f t="shared" si="4"/>
        <v>0</v>
      </c>
      <c r="P21" t="e">
        <f>INDEX(Items!B$2:B$1032,MATCH($O21,Items!$A$2:$A$1032,0))</f>
        <v>#N/A</v>
      </c>
      <c r="Q21" t="e">
        <f>INDEX(Items!C$2:C$1032,MATCH($O21,Items!$A$2:$A$1032,0))</f>
        <v>#N/A</v>
      </c>
      <c r="R21" t="e">
        <f>INDEX(Items!D$2:D$1032,MATCH($O21,Items!$A$2:$A$1032,0))</f>
        <v>#N/A</v>
      </c>
    </row>
    <row r="22" spans="1:18" x14ac:dyDescent="0.25">
      <c r="A22">
        <f t="shared" si="0"/>
        <v>1</v>
      </c>
      <c r="B22" t="str">
        <f t="shared" si="1"/>
        <v/>
      </c>
      <c r="C22">
        <f t="shared" si="5"/>
        <v>1</v>
      </c>
      <c r="D22" s="4"/>
      <c r="F22" t="e">
        <f>INDEX(Establishment!B$2:B$1005,MATCH($E22,Establishment!$A$2:$A$1005,0))</f>
        <v>#N/A</v>
      </c>
      <c r="G22" t="e">
        <f>INDEX(Establishment!C$2:C$1005,MATCH($E22,Establishment!$A$2:$A$1005,0))</f>
        <v>#N/A</v>
      </c>
      <c r="M22">
        <f t="shared" si="6"/>
        <v>0</v>
      </c>
      <c r="N22">
        <f t="shared" si="4"/>
        <v>0</v>
      </c>
      <c r="P22" t="e">
        <f>INDEX(Items!B$2:B$1032,MATCH($O22,Items!$A$2:$A$1032,0))</f>
        <v>#N/A</v>
      </c>
      <c r="Q22" t="e">
        <f>INDEX(Items!C$2:C$1032,MATCH($O22,Items!$A$2:$A$1032,0))</f>
        <v>#N/A</v>
      </c>
      <c r="R22" t="e">
        <f>INDEX(Items!D$2:D$1032,MATCH($O22,Items!$A$2:$A$1032,0))</f>
        <v>#N/A</v>
      </c>
    </row>
    <row r="23" spans="1:18" x14ac:dyDescent="0.25">
      <c r="A23">
        <f t="shared" si="0"/>
        <v>1</v>
      </c>
      <c r="B23" t="str">
        <f t="shared" si="1"/>
        <v/>
      </c>
      <c r="C23">
        <f t="shared" si="5"/>
        <v>1</v>
      </c>
      <c r="D23" s="4"/>
      <c r="F23" t="e">
        <f>INDEX(Establishment!B$2:B$1005,MATCH($E23,Establishment!$A$2:$A$1005,0))</f>
        <v>#N/A</v>
      </c>
      <c r="G23" t="e">
        <f>INDEX(Establishment!C$2:C$1005,MATCH($E23,Establishment!$A$2:$A$1005,0))</f>
        <v>#N/A</v>
      </c>
      <c r="M23">
        <f t="shared" si="6"/>
        <v>0</v>
      </c>
      <c r="N23">
        <f t="shared" si="4"/>
        <v>0</v>
      </c>
      <c r="P23" t="e">
        <f>INDEX(Items!B$2:B$1032,MATCH($O23,Items!$A$2:$A$1032,0))</f>
        <v>#N/A</v>
      </c>
      <c r="Q23" t="e">
        <f>INDEX(Items!C$2:C$1032,MATCH($O23,Items!$A$2:$A$1032,0))</f>
        <v>#N/A</v>
      </c>
      <c r="R23" t="e">
        <f>INDEX(Items!D$2:D$1032,MATCH($O23,Items!$A$2:$A$1032,0))</f>
        <v>#N/A</v>
      </c>
    </row>
    <row r="24" spans="1:18" x14ac:dyDescent="0.25">
      <c r="A24">
        <f t="shared" si="0"/>
        <v>1</v>
      </c>
      <c r="B24" t="str">
        <f t="shared" si="1"/>
        <v/>
      </c>
      <c r="C24">
        <f t="shared" si="5"/>
        <v>1</v>
      </c>
      <c r="D24" s="4"/>
      <c r="F24" t="e">
        <f>INDEX(Establishment!B$2:B$1005,MATCH($E24,Establishment!$A$2:$A$1005,0))</f>
        <v>#N/A</v>
      </c>
      <c r="G24" t="e">
        <f>INDEX(Establishment!C$2:C$1005,MATCH($E24,Establishment!$A$2:$A$1005,0))</f>
        <v>#N/A</v>
      </c>
      <c r="M24">
        <f t="shared" si="6"/>
        <v>0</v>
      </c>
      <c r="N24">
        <f t="shared" si="4"/>
        <v>0</v>
      </c>
      <c r="P24" t="e">
        <f>INDEX(Items!B$2:B$1032,MATCH($O24,Items!$A$2:$A$1032,0))</f>
        <v>#N/A</v>
      </c>
      <c r="Q24" t="e">
        <f>INDEX(Items!C$2:C$1032,MATCH($O24,Items!$A$2:$A$1032,0))</f>
        <v>#N/A</v>
      </c>
      <c r="R24" t="e">
        <f>INDEX(Items!D$2:D$1032,MATCH($O24,Items!$A$2:$A$1032,0))</f>
        <v>#N/A</v>
      </c>
    </row>
    <row r="25" spans="1:18" x14ac:dyDescent="0.25">
      <c r="A25">
        <f t="shared" si="0"/>
        <v>1</v>
      </c>
      <c r="B25" t="str">
        <f t="shared" si="1"/>
        <v/>
      </c>
      <c r="C25">
        <f t="shared" si="5"/>
        <v>1</v>
      </c>
      <c r="D25" s="4"/>
      <c r="F25" t="e">
        <f>INDEX(Establishment!B$2:B$1005,MATCH($E25,Establishment!$A$2:$A$1005,0))</f>
        <v>#N/A</v>
      </c>
      <c r="G25" t="e">
        <f>INDEX(Establishment!C$2:C$1005,MATCH($E25,Establishment!$A$2:$A$1005,0))</f>
        <v>#N/A</v>
      </c>
      <c r="M25">
        <f t="shared" si="6"/>
        <v>0</v>
      </c>
      <c r="N25">
        <f t="shared" si="4"/>
        <v>0</v>
      </c>
      <c r="P25" t="e">
        <f>INDEX(Items!B$2:B$1032,MATCH($O25,Items!$A$2:$A$1032,0))</f>
        <v>#N/A</v>
      </c>
      <c r="Q25" t="e">
        <f>INDEX(Items!C$2:C$1032,MATCH($O25,Items!$A$2:$A$1032,0))</f>
        <v>#N/A</v>
      </c>
      <c r="R25" t="e">
        <f>INDEX(Items!D$2:D$1032,MATCH($O25,Items!$A$2:$A$1032,0))</f>
        <v>#N/A</v>
      </c>
    </row>
    <row r="26" spans="1:18" x14ac:dyDescent="0.25">
      <c r="A26">
        <f t="shared" si="0"/>
        <v>1</v>
      </c>
      <c r="B26" t="str">
        <f t="shared" si="1"/>
        <v/>
      </c>
      <c r="C26">
        <f t="shared" si="5"/>
        <v>1</v>
      </c>
      <c r="D26" s="4"/>
      <c r="F26" t="s">
        <v>43</v>
      </c>
      <c r="G26" t="s">
        <v>44</v>
      </c>
      <c r="M26">
        <f t="shared" si="6"/>
        <v>0</v>
      </c>
      <c r="N26">
        <f t="shared" si="4"/>
        <v>0</v>
      </c>
      <c r="P26" t="e">
        <f>INDEX(Items!B$2:B$1032,MATCH($O26,Items!$A$2:$A$1032,0))</f>
        <v>#N/A</v>
      </c>
      <c r="Q26" t="e">
        <f>INDEX(Items!C$2:C$1032,MATCH($O26,Items!$A$2:$A$1032,0))</f>
        <v>#N/A</v>
      </c>
      <c r="R26" t="e">
        <f>INDEX(Items!D$2:D$1032,MATCH($O26,Items!$A$2:$A$1032,0))</f>
        <v>#N/A</v>
      </c>
    </row>
    <row r="27" spans="1:18" x14ac:dyDescent="0.25">
      <c r="A27">
        <f t="shared" si="0"/>
        <v>1</v>
      </c>
      <c r="B27" t="str">
        <f t="shared" si="1"/>
        <v/>
      </c>
      <c r="C27">
        <f t="shared" si="5"/>
        <v>1</v>
      </c>
      <c r="D27" s="4"/>
      <c r="F27" t="s">
        <v>43</v>
      </c>
      <c r="G27" t="s">
        <v>44</v>
      </c>
      <c r="M27">
        <f t="shared" si="6"/>
        <v>0</v>
      </c>
      <c r="N27">
        <f t="shared" si="4"/>
        <v>0</v>
      </c>
      <c r="P27" t="e">
        <f>INDEX(Items!B$2:B$1032,MATCH($O27,Items!$A$2:$A$1032,0))</f>
        <v>#N/A</v>
      </c>
      <c r="Q27" t="e">
        <f>INDEX(Items!C$2:C$1032,MATCH($O27,Items!$A$2:$A$1032,0))</f>
        <v>#N/A</v>
      </c>
      <c r="R27" t="e">
        <f>INDEX(Items!D$2:D$1032,MATCH($O27,Items!$A$2:$A$1032,0))</f>
        <v>#N/A</v>
      </c>
    </row>
    <row r="28" spans="1:18" x14ac:dyDescent="0.25">
      <c r="A28">
        <f t="shared" si="0"/>
        <v>1</v>
      </c>
      <c r="B28" t="str">
        <f t="shared" si="1"/>
        <v/>
      </c>
      <c r="C28">
        <f t="shared" si="5"/>
        <v>1</v>
      </c>
      <c r="D28" s="4"/>
      <c r="F28" t="s">
        <v>43</v>
      </c>
      <c r="G28" t="s">
        <v>44</v>
      </c>
      <c r="M28">
        <f t="shared" si="6"/>
        <v>0</v>
      </c>
      <c r="N28">
        <f t="shared" si="4"/>
        <v>0</v>
      </c>
      <c r="P28" t="e">
        <f>INDEX(Items!B$2:B$1032,MATCH($O28,Items!$A$2:$A$1032,0))</f>
        <v>#N/A</v>
      </c>
      <c r="Q28" t="e">
        <f>INDEX(Items!C$2:C$1032,MATCH($O28,Items!$A$2:$A$1032,0))</f>
        <v>#N/A</v>
      </c>
      <c r="R28" t="e">
        <f>INDEX(Items!D$2:D$1032,MATCH($O28,Items!$A$2:$A$1032,0))</f>
        <v>#N/A</v>
      </c>
    </row>
    <row r="29" spans="1:18" x14ac:dyDescent="0.25">
      <c r="A29">
        <f t="shared" si="0"/>
        <v>1</v>
      </c>
      <c r="B29" t="str">
        <f t="shared" si="1"/>
        <v/>
      </c>
      <c r="C29">
        <f t="shared" si="5"/>
        <v>1</v>
      </c>
      <c r="D29" s="4"/>
      <c r="F29" t="e">
        <f>INDEX(Establishment!B$2:B$1005,MATCH($E29,Establishment!$A$2:$A$1005,0))</f>
        <v>#N/A</v>
      </c>
      <c r="G29" t="e">
        <f>INDEX(Establishment!C$2:C$1005,MATCH($E29,Establishment!$A$2:$A$1005,0))</f>
        <v>#N/A</v>
      </c>
      <c r="M29">
        <f t="shared" si="6"/>
        <v>0</v>
      </c>
      <c r="N29">
        <f t="shared" si="4"/>
        <v>0</v>
      </c>
      <c r="P29" t="e">
        <f>INDEX(Items!B$2:B$1032,MATCH($O29,Items!$A$2:$A$1032,0))</f>
        <v>#N/A</v>
      </c>
      <c r="Q29" t="e">
        <f>INDEX(Items!C$2:C$1032,MATCH($O29,Items!$A$2:$A$1032,0))</f>
        <v>#N/A</v>
      </c>
      <c r="R29" t="e">
        <f>INDEX(Items!D$2:D$1032,MATCH($O29,Items!$A$2:$A$1032,0))</f>
        <v>#N/A</v>
      </c>
    </row>
    <row r="30" spans="1:18" x14ac:dyDescent="0.25">
      <c r="A30">
        <f t="shared" si="0"/>
        <v>1</v>
      </c>
      <c r="B30" t="str">
        <f t="shared" si="1"/>
        <v/>
      </c>
      <c r="C30">
        <f t="shared" si="5"/>
        <v>1</v>
      </c>
      <c r="D30" s="4"/>
      <c r="F30" t="e">
        <f>INDEX(Establishment!B$2:B$1005,MATCH($E30,Establishment!$A$2:$A$1005,0))</f>
        <v>#N/A</v>
      </c>
      <c r="G30" t="e">
        <f>INDEX(Establishment!C$2:C$1005,MATCH($E30,Establishment!$A$2:$A$1005,0))</f>
        <v>#N/A</v>
      </c>
      <c r="M30">
        <f t="shared" si="6"/>
        <v>0</v>
      </c>
      <c r="N30">
        <f t="shared" si="4"/>
        <v>0</v>
      </c>
      <c r="P30" t="e">
        <f>INDEX(Items!B$2:B$1032,MATCH($O30,Items!$A$2:$A$1032,0))</f>
        <v>#N/A</v>
      </c>
      <c r="Q30" t="e">
        <f>INDEX(Items!C$2:C$1032,MATCH($O30,Items!$A$2:$A$1032,0))</f>
        <v>#N/A</v>
      </c>
      <c r="R30" t="e">
        <f>INDEX(Items!D$2:D$1032,MATCH($O30,Items!$A$2:$A$1032,0))</f>
        <v>#N/A</v>
      </c>
    </row>
    <row r="31" spans="1:18" x14ac:dyDescent="0.25">
      <c r="A31">
        <f t="shared" si="0"/>
        <v>1</v>
      </c>
      <c r="B31" t="str">
        <f t="shared" si="1"/>
        <v/>
      </c>
      <c r="C31">
        <f t="shared" si="5"/>
        <v>1</v>
      </c>
      <c r="D31" s="4"/>
      <c r="F31" t="e">
        <f>INDEX(Establishment!B$2:B$1005,MATCH($E31,Establishment!$A$2:$A$1005,0))</f>
        <v>#N/A</v>
      </c>
      <c r="G31" t="e">
        <f>INDEX(Establishment!C$2:C$1005,MATCH($E31,Establishment!$A$2:$A$1005,0))</f>
        <v>#N/A</v>
      </c>
      <c r="M31">
        <f t="shared" si="6"/>
        <v>0</v>
      </c>
      <c r="N31">
        <f t="shared" si="4"/>
        <v>0</v>
      </c>
      <c r="P31" t="e">
        <f>INDEX(Items!B$2:B$1032,MATCH($O31,Items!$A$2:$A$1032,0))</f>
        <v>#N/A</v>
      </c>
      <c r="Q31" t="e">
        <f>INDEX(Items!C$2:C$1032,MATCH($O31,Items!$A$2:$A$1032,0))</f>
        <v>#N/A</v>
      </c>
      <c r="R31" t="e">
        <f>INDEX(Items!D$2:D$1032,MATCH($O31,Items!$A$2:$A$1032,0))</f>
        <v>#N/A</v>
      </c>
    </row>
    <row r="32" spans="1:18" x14ac:dyDescent="0.25">
      <c r="A32">
        <f t="shared" si="0"/>
        <v>1</v>
      </c>
      <c r="B32" t="str">
        <f t="shared" si="1"/>
        <v/>
      </c>
      <c r="C32">
        <f t="shared" si="5"/>
        <v>1</v>
      </c>
      <c r="D32" s="4"/>
      <c r="F32" t="s">
        <v>43</v>
      </c>
      <c r="G32" t="s">
        <v>46</v>
      </c>
      <c r="M32">
        <f t="shared" si="6"/>
        <v>0</v>
      </c>
      <c r="N32">
        <f t="shared" si="4"/>
        <v>0</v>
      </c>
      <c r="P32" t="e">
        <f>INDEX(Items!B$2:B$1032,MATCH($O32,Items!$A$2:$A$1032,0))</f>
        <v>#N/A</v>
      </c>
      <c r="Q32" t="e">
        <f>INDEX(Items!C$2:C$1032,MATCH($O32,Items!$A$2:$A$1032,0))</f>
        <v>#N/A</v>
      </c>
      <c r="R32" t="e">
        <f>INDEX(Items!D$2:D$1032,MATCH($O32,Items!$A$2:$A$1032,0))</f>
        <v>#N/A</v>
      </c>
    </row>
    <row r="33" spans="1:18" x14ac:dyDescent="0.25">
      <c r="A33">
        <f t="shared" si="0"/>
        <v>1</v>
      </c>
      <c r="B33" t="str">
        <f t="shared" si="1"/>
        <v/>
      </c>
      <c r="C33">
        <f t="shared" si="5"/>
        <v>1</v>
      </c>
      <c r="D33" s="4"/>
      <c r="F33" t="s">
        <v>43</v>
      </c>
      <c r="G33" t="s">
        <v>46</v>
      </c>
      <c r="M33">
        <f t="shared" si="6"/>
        <v>0</v>
      </c>
      <c r="N33">
        <f t="shared" si="4"/>
        <v>0</v>
      </c>
      <c r="P33" t="e">
        <f>INDEX(Items!B$2:B$1032,MATCH($O33,Items!$A$2:$A$1032,0))</f>
        <v>#N/A</v>
      </c>
      <c r="Q33" t="e">
        <f>INDEX(Items!C$2:C$1032,MATCH($O33,Items!$A$2:$A$1032,0))</f>
        <v>#N/A</v>
      </c>
      <c r="R33" t="e">
        <f>INDEX(Items!D$2:D$1032,MATCH($O33,Items!$A$2:$A$1032,0))</f>
        <v>#N/A</v>
      </c>
    </row>
    <row r="34" spans="1:18" x14ac:dyDescent="0.25">
      <c r="A34">
        <f t="shared" si="0"/>
        <v>1</v>
      </c>
      <c r="B34" t="str">
        <f t="shared" si="1"/>
        <v/>
      </c>
      <c r="C34">
        <f t="shared" si="5"/>
        <v>1</v>
      </c>
      <c r="D34" s="4"/>
      <c r="F34" t="s">
        <v>43</v>
      </c>
      <c r="G34" t="s">
        <v>46</v>
      </c>
      <c r="M34">
        <f t="shared" si="6"/>
        <v>0</v>
      </c>
      <c r="N34">
        <f t="shared" si="4"/>
        <v>0</v>
      </c>
      <c r="P34" t="e">
        <f>INDEX(Items!B$2:B$1032,MATCH($O34,Items!$A$2:$A$1032,0))</f>
        <v>#N/A</v>
      </c>
      <c r="Q34" t="e">
        <f>INDEX(Items!C$2:C$1032,MATCH($O34,Items!$A$2:$A$1032,0))</f>
        <v>#N/A</v>
      </c>
      <c r="R34" t="e">
        <f>INDEX(Items!D$2:D$1032,MATCH($O34,Items!$A$2:$A$1032,0))</f>
        <v>#N/A</v>
      </c>
    </row>
    <row r="35" spans="1:18" x14ac:dyDescent="0.25">
      <c r="A35">
        <f t="shared" si="0"/>
        <v>1</v>
      </c>
      <c r="B35" t="str">
        <f t="shared" si="1"/>
        <v/>
      </c>
      <c r="C35">
        <f t="shared" si="5"/>
        <v>1</v>
      </c>
      <c r="D35" s="4"/>
      <c r="F35" t="s">
        <v>43</v>
      </c>
      <c r="G35" t="s">
        <v>46</v>
      </c>
      <c r="M35">
        <f t="shared" si="6"/>
        <v>0</v>
      </c>
      <c r="N35">
        <f t="shared" si="4"/>
        <v>0</v>
      </c>
      <c r="P35" t="e">
        <f>INDEX(Items!B$2:B$1032,MATCH($O35,Items!$A$2:$A$1032,0))</f>
        <v>#N/A</v>
      </c>
      <c r="Q35" t="e">
        <f>INDEX(Items!C$2:C$1032,MATCH($O35,Items!$A$2:$A$1032,0))</f>
        <v>#N/A</v>
      </c>
      <c r="R35" t="e">
        <f>INDEX(Items!D$2:D$1032,MATCH($O35,Items!$A$2:$A$1032,0))</f>
        <v>#N/A</v>
      </c>
    </row>
    <row r="36" spans="1:18" x14ac:dyDescent="0.25">
      <c r="A36">
        <f t="shared" si="0"/>
        <v>1</v>
      </c>
      <c r="B36" t="str">
        <f t="shared" si="1"/>
        <v/>
      </c>
      <c r="C36">
        <f t="shared" si="5"/>
        <v>1</v>
      </c>
      <c r="D36" s="4"/>
      <c r="F36" t="s">
        <v>47</v>
      </c>
      <c r="G36" t="s">
        <v>46</v>
      </c>
      <c r="M36">
        <f t="shared" si="6"/>
        <v>0</v>
      </c>
      <c r="N36">
        <f t="shared" si="4"/>
        <v>0</v>
      </c>
      <c r="P36" t="e">
        <f>INDEX(Items!B$2:B$1032,MATCH($O36,Items!$A$2:$A$1032,0))</f>
        <v>#N/A</v>
      </c>
      <c r="Q36" t="e">
        <f>INDEX(Items!C$2:C$1032,MATCH($O36,Items!$A$2:$A$1032,0))</f>
        <v>#N/A</v>
      </c>
      <c r="R36" t="e">
        <f>INDEX(Items!D$2:D$1032,MATCH($O36,Items!$A$2:$A$1032,0))</f>
        <v>#N/A</v>
      </c>
    </row>
    <row r="37" spans="1:18" x14ac:dyDescent="0.25">
      <c r="A37">
        <f t="shared" si="0"/>
        <v>1</v>
      </c>
      <c r="B37" t="str">
        <f t="shared" si="1"/>
        <v/>
      </c>
      <c r="C37">
        <f t="shared" si="5"/>
        <v>1</v>
      </c>
      <c r="D37" s="4"/>
      <c r="F37" t="s">
        <v>47</v>
      </c>
      <c r="G37" t="s">
        <v>46</v>
      </c>
      <c r="M37">
        <f t="shared" si="6"/>
        <v>0</v>
      </c>
      <c r="N37">
        <f t="shared" si="4"/>
        <v>0</v>
      </c>
      <c r="P37" t="e">
        <f>INDEX(Items!B$2:B$1032,MATCH($O37,Items!$A$2:$A$1032,0))</f>
        <v>#N/A</v>
      </c>
      <c r="Q37" t="e">
        <f>INDEX(Items!C$2:C$1032,MATCH($O37,Items!$A$2:$A$1032,0))</f>
        <v>#N/A</v>
      </c>
      <c r="R37" t="e">
        <f>INDEX(Items!D$2:D$1032,MATCH($O37,Items!$A$2:$A$1032,0))</f>
        <v>#N/A</v>
      </c>
    </row>
    <row r="38" spans="1:18" x14ac:dyDescent="0.25">
      <c r="A38">
        <f t="shared" si="0"/>
        <v>1</v>
      </c>
      <c r="B38" t="str">
        <f t="shared" si="1"/>
        <v/>
      </c>
      <c r="C38">
        <f t="shared" si="5"/>
        <v>1</v>
      </c>
      <c r="D38" s="4"/>
      <c r="F38" t="s">
        <v>47</v>
      </c>
      <c r="G38" t="s">
        <v>46</v>
      </c>
      <c r="M38">
        <f t="shared" si="6"/>
        <v>0</v>
      </c>
      <c r="N38">
        <f t="shared" si="4"/>
        <v>0</v>
      </c>
      <c r="P38" t="e">
        <f>INDEX(Items!B$2:B$1032,MATCH($O38,Items!$A$2:$A$1032,0))</f>
        <v>#N/A</v>
      </c>
      <c r="Q38" t="e">
        <f>INDEX(Items!C$2:C$1032,MATCH($O38,Items!$A$2:$A$1032,0))</f>
        <v>#N/A</v>
      </c>
      <c r="R38" t="e">
        <f>INDEX(Items!D$2:D$1032,MATCH($O38,Items!$A$2:$A$1032,0))</f>
        <v>#N/A</v>
      </c>
    </row>
    <row r="39" spans="1:18" x14ac:dyDescent="0.25">
      <c r="A39">
        <f t="shared" si="0"/>
        <v>1</v>
      </c>
      <c r="B39" t="str">
        <f t="shared" si="1"/>
        <v/>
      </c>
      <c r="C39">
        <f t="shared" si="5"/>
        <v>1</v>
      </c>
      <c r="D39" s="4"/>
      <c r="F39" t="s">
        <v>47</v>
      </c>
      <c r="G39" t="s">
        <v>46</v>
      </c>
      <c r="M39">
        <f t="shared" si="6"/>
        <v>0</v>
      </c>
      <c r="N39">
        <f t="shared" si="4"/>
        <v>0</v>
      </c>
      <c r="P39" t="e">
        <f>INDEX(Items!B$2:B$1032,MATCH($O39,Items!$A$2:$A$1032,0))</f>
        <v>#N/A</v>
      </c>
      <c r="Q39" t="e">
        <f>INDEX(Items!C$2:C$1032,MATCH($O39,Items!$A$2:$A$1032,0))</f>
        <v>#N/A</v>
      </c>
      <c r="R39" t="e">
        <f>INDEX(Items!D$2:D$1032,MATCH($O39,Items!$A$2:$A$1032,0))</f>
        <v>#N/A</v>
      </c>
    </row>
    <row r="40" spans="1:18" x14ac:dyDescent="0.25">
      <c r="A40">
        <f t="shared" si="0"/>
        <v>1</v>
      </c>
      <c r="B40" t="str">
        <f t="shared" si="1"/>
        <v/>
      </c>
      <c r="C40">
        <f t="shared" si="5"/>
        <v>1</v>
      </c>
      <c r="D40" s="4"/>
      <c r="F40" t="s">
        <v>47</v>
      </c>
      <c r="G40" t="s">
        <v>46</v>
      </c>
      <c r="M40">
        <f t="shared" si="6"/>
        <v>0</v>
      </c>
      <c r="N40">
        <f t="shared" si="4"/>
        <v>0</v>
      </c>
      <c r="P40" t="e">
        <f>INDEX(Items!B$2:B$1032,MATCH($O40,Items!$A$2:$A$1032,0))</f>
        <v>#N/A</v>
      </c>
      <c r="Q40" t="e">
        <f>INDEX(Items!C$2:C$1032,MATCH($O40,Items!$A$2:$A$1032,0))</f>
        <v>#N/A</v>
      </c>
      <c r="R40" t="e">
        <f>INDEX(Items!D$2:D$1032,MATCH($O40,Items!$A$2:$A$1032,0))</f>
        <v>#N/A</v>
      </c>
    </row>
    <row r="41" spans="1:18" x14ac:dyDescent="0.25">
      <c r="A41">
        <f t="shared" si="0"/>
        <v>1</v>
      </c>
      <c r="B41" t="str">
        <f t="shared" si="1"/>
        <v/>
      </c>
      <c r="C41">
        <f t="shared" si="5"/>
        <v>1</v>
      </c>
      <c r="D41" s="4"/>
      <c r="F41" t="s">
        <v>47</v>
      </c>
      <c r="G41" t="s">
        <v>46</v>
      </c>
      <c r="M41">
        <f t="shared" si="6"/>
        <v>0</v>
      </c>
      <c r="N41">
        <f t="shared" si="4"/>
        <v>0</v>
      </c>
      <c r="P41" t="e">
        <f>INDEX(Items!B$2:B$1032,MATCH($O41,Items!$A$2:$A$1032,0))</f>
        <v>#N/A</v>
      </c>
      <c r="Q41" t="e">
        <f>INDEX(Items!C$2:C$1032,MATCH($O41,Items!$A$2:$A$1032,0))</f>
        <v>#N/A</v>
      </c>
      <c r="R41" t="e">
        <f>INDEX(Items!D$2:D$1032,MATCH($O41,Items!$A$2:$A$1032,0))</f>
        <v>#N/A</v>
      </c>
    </row>
    <row r="42" spans="1:18" x14ac:dyDescent="0.25">
      <c r="A42">
        <f t="shared" si="0"/>
        <v>1</v>
      </c>
      <c r="B42" t="str">
        <f t="shared" si="1"/>
        <v/>
      </c>
      <c r="C42">
        <f t="shared" si="5"/>
        <v>1</v>
      </c>
      <c r="D42" s="4"/>
      <c r="F42" t="s">
        <v>47</v>
      </c>
      <c r="G42" t="s">
        <v>46</v>
      </c>
      <c r="M42">
        <f t="shared" si="6"/>
        <v>0</v>
      </c>
      <c r="N42">
        <f t="shared" si="4"/>
        <v>0</v>
      </c>
      <c r="P42" t="e">
        <f>INDEX(Items!B$2:B$1032,MATCH($O42,Items!$A$2:$A$1032,0))</f>
        <v>#N/A</v>
      </c>
      <c r="Q42" t="e">
        <f>INDEX(Items!C$2:C$1032,MATCH($O42,Items!$A$2:$A$1032,0))</f>
        <v>#N/A</v>
      </c>
      <c r="R42" t="e">
        <f>INDEX(Items!D$2:D$1032,MATCH($O42,Items!$A$2:$A$1032,0))</f>
        <v>#N/A</v>
      </c>
    </row>
    <row r="43" spans="1:18" x14ac:dyDescent="0.25">
      <c r="A43">
        <f t="shared" si="0"/>
        <v>1</v>
      </c>
      <c r="B43" t="str">
        <f t="shared" si="1"/>
        <v/>
      </c>
      <c r="C43">
        <f t="shared" si="5"/>
        <v>1</v>
      </c>
      <c r="D43" s="4"/>
      <c r="F43" t="s">
        <v>47</v>
      </c>
      <c r="G43" t="s">
        <v>46</v>
      </c>
      <c r="M43">
        <f t="shared" si="6"/>
        <v>0</v>
      </c>
      <c r="N43">
        <f t="shared" si="4"/>
        <v>0</v>
      </c>
      <c r="P43" t="e">
        <f>INDEX(Items!B$2:B$1032,MATCH($O43,Items!$A$2:$A$1032,0))</f>
        <v>#N/A</v>
      </c>
      <c r="Q43" t="e">
        <f>INDEX(Items!C$2:C$1032,MATCH($O43,Items!$A$2:$A$1032,0))</f>
        <v>#N/A</v>
      </c>
      <c r="R43" t="e">
        <f>INDEX(Items!D$2:D$1032,MATCH($O43,Items!$A$2:$A$1032,0))</f>
        <v>#N/A</v>
      </c>
    </row>
    <row r="44" spans="1:18" x14ac:dyDescent="0.25">
      <c r="A44">
        <f t="shared" si="0"/>
        <v>1</v>
      </c>
      <c r="B44" t="str">
        <f t="shared" si="1"/>
        <v/>
      </c>
      <c r="C44">
        <f t="shared" si="5"/>
        <v>1</v>
      </c>
      <c r="D44" s="4"/>
      <c r="F44" t="s">
        <v>43</v>
      </c>
      <c r="G44" t="s">
        <v>48</v>
      </c>
      <c r="M44">
        <f t="shared" si="6"/>
        <v>0</v>
      </c>
      <c r="N44">
        <f t="shared" si="4"/>
        <v>0</v>
      </c>
      <c r="P44" t="e">
        <f>INDEX(Items!B$2:B$1032,MATCH($O44,Items!$A$2:$A$1032,0))</f>
        <v>#N/A</v>
      </c>
      <c r="Q44" t="e">
        <f>INDEX(Items!C$2:C$1032,MATCH($O44,Items!$A$2:$A$1032,0))</f>
        <v>#N/A</v>
      </c>
      <c r="R44" t="e">
        <f>INDEX(Items!D$2:D$1032,MATCH($O44,Items!$A$2:$A$1032,0))</f>
        <v>#N/A</v>
      </c>
    </row>
    <row r="45" spans="1:18" x14ac:dyDescent="0.25">
      <c r="A45">
        <f t="shared" si="0"/>
        <v>1</v>
      </c>
      <c r="B45" t="str">
        <f t="shared" si="1"/>
        <v/>
      </c>
      <c r="C45">
        <f t="shared" si="5"/>
        <v>1</v>
      </c>
      <c r="D45" s="4"/>
      <c r="F45" t="s">
        <v>43</v>
      </c>
      <c r="G45" t="s">
        <v>48</v>
      </c>
      <c r="M45">
        <f t="shared" si="6"/>
        <v>0</v>
      </c>
      <c r="N45">
        <f t="shared" si="4"/>
        <v>0</v>
      </c>
      <c r="P45" t="e">
        <f>INDEX(Items!B$2:B$1032,MATCH($O45,Items!$A$2:$A$1032,0))</f>
        <v>#N/A</v>
      </c>
      <c r="Q45" t="e">
        <f>INDEX(Items!C$2:C$1032,MATCH($O45,Items!$A$2:$A$1032,0))</f>
        <v>#N/A</v>
      </c>
      <c r="R45" t="e">
        <f>INDEX(Items!D$2:D$1032,MATCH($O45,Items!$A$2:$A$1032,0))</f>
        <v>#N/A</v>
      </c>
    </row>
    <row r="46" spans="1:18" x14ac:dyDescent="0.25">
      <c r="A46">
        <f t="shared" si="0"/>
        <v>1</v>
      </c>
      <c r="B46" t="str">
        <f t="shared" si="1"/>
        <v/>
      </c>
      <c r="C46">
        <f t="shared" si="5"/>
        <v>1</v>
      </c>
      <c r="D46" s="4"/>
      <c r="F46" t="e">
        <f>INDEX(Establishment!B$2:B$1005,MATCH($E46,Establishment!$A$2:$A$1005,0))</f>
        <v>#N/A</v>
      </c>
      <c r="G46" t="e">
        <f>INDEX(Establishment!C$2:C$1005,MATCH($E46,Establishment!$A$2:$A$1005,0))</f>
        <v>#N/A</v>
      </c>
      <c r="M46">
        <f t="shared" si="6"/>
        <v>0</v>
      </c>
      <c r="N46">
        <f t="shared" si="4"/>
        <v>0</v>
      </c>
      <c r="P46" t="e">
        <f>INDEX(Items!B$2:B$1032,MATCH($O46,Items!$A$2:$A$1032,0))</f>
        <v>#N/A</v>
      </c>
      <c r="Q46" t="e">
        <f>INDEX(Items!C$2:C$1032,MATCH($O46,Items!$A$2:$A$1032,0))</f>
        <v>#N/A</v>
      </c>
      <c r="R46" t="e">
        <f>INDEX(Items!D$2:D$1032,MATCH($O46,Items!$A$2:$A$1032,0))</f>
        <v>#N/A</v>
      </c>
    </row>
    <row r="47" spans="1:18" x14ac:dyDescent="0.25">
      <c r="A47">
        <f t="shared" si="0"/>
        <v>1</v>
      </c>
      <c r="B47" t="str">
        <f t="shared" si="1"/>
        <v/>
      </c>
      <c r="C47">
        <f t="shared" si="5"/>
        <v>1</v>
      </c>
      <c r="D47" s="4"/>
      <c r="F47" t="e">
        <f>INDEX(Establishment!B$2:B$1005,MATCH($E47,Establishment!$A$2:$A$1005,0))</f>
        <v>#N/A</v>
      </c>
      <c r="G47" t="e">
        <f>INDEX(Establishment!C$2:C$1005,MATCH($E47,Establishment!$A$2:$A$1005,0))</f>
        <v>#N/A</v>
      </c>
      <c r="M47">
        <f t="shared" si="6"/>
        <v>0</v>
      </c>
      <c r="N47">
        <f t="shared" si="4"/>
        <v>0</v>
      </c>
      <c r="P47" t="e">
        <f>INDEX(Items!B$2:B$1032,MATCH($O47,Items!$A$2:$A$1032,0))</f>
        <v>#N/A</v>
      </c>
      <c r="Q47" t="e">
        <f>INDEX(Items!C$2:C$1032,MATCH($O47,Items!$A$2:$A$1032,0))</f>
        <v>#N/A</v>
      </c>
      <c r="R47" t="e">
        <f>INDEX(Items!D$2:D$1032,MATCH($O47,Items!$A$2:$A$1032,0))</f>
        <v>#N/A</v>
      </c>
    </row>
    <row r="48" spans="1:18" x14ac:dyDescent="0.25">
      <c r="A48">
        <f t="shared" si="0"/>
        <v>1</v>
      </c>
      <c r="B48" t="str">
        <f t="shared" si="1"/>
        <v/>
      </c>
      <c r="C48">
        <f t="shared" si="5"/>
        <v>1</v>
      </c>
      <c r="D48" s="4"/>
      <c r="F48" t="e">
        <f>INDEX(Establishment!B$2:B$1005,MATCH($E48,Establishment!$A$2:$A$1005,0))</f>
        <v>#N/A</v>
      </c>
      <c r="G48" t="e">
        <f>INDEX(Establishment!C$2:C$1005,MATCH($E48,Establishment!$A$2:$A$1005,0))</f>
        <v>#N/A</v>
      </c>
      <c r="M48">
        <f t="shared" si="6"/>
        <v>0</v>
      </c>
      <c r="N48">
        <f t="shared" si="4"/>
        <v>0</v>
      </c>
      <c r="P48" t="e">
        <f>INDEX(Items!B$2:B$1032,MATCH($O48,Items!$A$2:$A$1032,0))</f>
        <v>#N/A</v>
      </c>
      <c r="Q48" t="e">
        <f>INDEX(Items!C$2:C$1032,MATCH($O48,Items!$A$2:$A$1032,0))</f>
        <v>#N/A</v>
      </c>
      <c r="R48" t="e">
        <f>INDEX(Items!D$2:D$1032,MATCH($O48,Items!$A$2:$A$1032,0))</f>
        <v>#N/A</v>
      </c>
    </row>
    <row r="49" spans="1:18" x14ac:dyDescent="0.25">
      <c r="A49">
        <f t="shared" si="0"/>
        <v>1</v>
      </c>
      <c r="B49" t="str">
        <f t="shared" si="1"/>
        <v/>
      </c>
      <c r="C49">
        <f t="shared" si="5"/>
        <v>1</v>
      </c>
      <c r="D49" s="4"/>
      <c r="F49" t="e">
        <f>INDEX(Establishment!B$2:B$1005,MATCH($E49,Establishment!$A$2:$A$1005,0))</f>
        <v>#N/A</v>
      </c>
      <c r="G49" t="e">
        <f>INDEX(Establishment!C$2:C$1005,MATCH($E49,Establishment!$A$2:$A$1005,0))</f>
        <v>#N/A</v>
      </c>
      <c r="M49">
        <f t="shared" si="6"/>
        <v>0</v>
      </c>
      <c r="N49">
        <f t="shared" si="4"/>
        <v>0</v>
      </c>
      <c r="P49" t="e">
        <f>INDEX(Items!B$2:B$1032,MATCH($O49,Items!$A$2:$A$1032,0))</f>
        <v>#N/A</v>
      </c>
      <c r="Q49" t="e">
        <f>INDEX(Items!C$2:C$1032,MATCH($O49,Items!$A$2:$A$1032,0))</f>
        <v>#N/A</v>
      </c>
      <c r="R49" t="e">
        <f>INDEX(Items!D$2:D$1032,MATCH($O49,Items!$A$2:$A$1032,0))</f>
        <v>#N/A</v>
      </c>
    </row>
    <row r="50" spans="1:18" x14ac:dyDescent="0.25">
      <c r="A50">
        <f t="shared" si="0"/>
        <v>1</v>
      </c>
      <c r="B50" t="str">
        <f t="shared" si="1"/>
        <v/>
      </c>
      <c r="C50">
        <f t="shared" si="5"/>
        <v>1</v>
      </c>
      <c r="D50" s="4"/>
      <c r="F50" t="e">
        <f>INDEX(Establishment!B$2:B$1005,MATCH($E50,Establishment!$A$2:$A$1005,0))</f>
        <v>#N/A</v>
      </c>
      <c r="G50" t="e">
        <f>INDEX(Establishment!C$2:C$1005,MATCH($E50,Establishment!$A$2:$A$1005,0))</f>
        <v>#N/A</v>
      </c>
      <c r="M50">
        <f t="shared" si="6"/>
        <v>0</v>
      </c>
      <c r="N50">
        <f t="shared" si="4"/>
        <v>0</v>
      </c>
      <c r="P50" t="e">
        <f>INDEX(Items!B$2:B$1032,MATCH($O50,Items!$A$2:$A$1032,0))</f>
        <v>#N/A</v>
      </c>
      <c r="Q50" t="e">
        <f>INDEX(Items!C$2:C$1032,MATCH($O50,Items!$A$2:$A$1032,0))</f>
        <v>#N/A</v>
      </c>
      <c r="R50" t="e">
        <f>INDEX(Items!D$2:D$1032,MATCH($O50,Items!$A$2:$A$1032,0))</f>
        <v>#N/A</v>
      </c>
    </row>
    <row r="51" spans="1:18" x14ac:dyDescent="0.25">
      <c r="A51">
        <f t="shared" si="0"/>
        <v>1</v>
      </c>
      <c r="B51" t="str">
        <f t="shared" si="1"/>
        <v/>
      </c>
      <c r="C51">
        <f t="shared" si="5"/>
        <v>1</v>
      </c>
      <c r="D51" s="4"/>
      <c r="F51" t="e">
        <f>INDEX(Establishment!B$2:B$1005,MATCH($E51,Establishment!$A$2:$A$1005,0))</f>
        <v>#N/A</v>
      </c>
      <c r="G51" t="e">
        <f>INDEX(Establishment!C$2:C$1005,MATCH($E51,Establishment!$A$2:$A$1005,0))</f>
        <v>#N/A</v>
      </c>
      <c r="M51">
        <f t="shared" si="6"/>
        <v>0</v>
      </c>
      <c r="N51">
        <f t="shared" si="4"/>
        <v>0</v>
      </c>
      <c r="P51" t="e">
        <f>INDEX(Items!B$2:B$1032,MATCH($O51,Items!$A$2:$A$1032,0))</f>
        <v>#N/A</v>
      </c>
      <c r="Q51" t="e">
        <f>INDEX(Items!C$2:C$1032,MATCH($O51,Items!$A$2:$A$1032,0))</f>
        <v>#N/A</v>
      </c>
      <c r="R51" t="e">
        <f>INDEX(Items!D$2:D$1032,MATCH($O51,Items!$A$2:$A$1032,0))</f>
        <v>#N/A</v>
      </c>
    </row>
    <row r="52" spans="1:18" x14ac:dyDescent="0.25">
      <c r="A52">
        <f t="shared" si="0"/>
        <v>1</v>
      </c>
      <c r="B52" t="str">
        <f t="shared" si="1"/>
        <v/>
      </c>
      <c r="C52">
        <f t="shared" si="5"/>
        <v>1</v>
      </c>
      <c r="D52" s="4"/>
      <c r="F52" t="e">
        <f>INDEX(Establishment!B$2:B$1005,MATCH($E52,Establishment!$A$2:$A$1005,0))</f>
        <v>#N/A</v>
      </c>
      <c r="G52" t="e">
        <f>INDEX(Establishment!C$2:C$1005,MATCH($E52,Establishment!$A$2:$A$1005,0))</f>
        <v>#N/A</v>
      </c>
      <c r="M52">
        <f t="shared" si="6"/>
        <v>0</v>
      </c>
      <c r="N52">
        <f t="shared" si="4"/>
        <v>0</v>
      </c>
      <c r="P52" t="e">
        <f>INDEX(Items!B$2:B$1032,MATCH($O52,Items!$A$2:$A$1032,0))</f>
        <v>#N/A</v>
      </c>
      <c r="Q52" t="e">
        <f>INDEX(Items!C$2:C$1032,MATCH($O52,Items!$A$2:$A$1032,0))</f>
        <v>#N/A</v>
      </c>
      <c r="R52" t="e">
        <f>INDEX(Items!D$2:D$1032,MATCH($O52,Items!$A$2:$A$1032,0))</f>
        <v>#N/A</v>
      </c>
    </row>
    <row r="53" spans="1:18" x14ac:dyDescent="0.25">
      <c r="A53">
        <f t="shared" si="0"/>
        <v>1</v>
      </c>
      <c r="B53" t="str">
        <f t="shared" si="1"/>
        <v/>
      </c>
      <c r="C53">
        <f t="shared" si="5"/>
        <v>1</v>
      </c>
      <c r="D53" s="4"/>
      <c r="F53" t="e">
        <f>INDEX(Establishment!B$2:B$1005,MATCH($E53,Establishment!$A$2:$A$1005,0))</f>
        <v>#N/A</v>
      </c>
      <c r="G53" t="e">
        <f>INDEX(Establishment!C$2:C$1005,MATCH($E53,Establishment!$A$2:$A$1005,0))</f>
        <v>#N/A</v>
      </c>
      <c r="M53">
        <f t="shared" si="6"/>
        <v>0</v>
      </c>
      <c r="N53">
        <f t="shared" si="4"/>
        <v>0</v>
      </c>
      <c r="P53" t="e">
        <f>INDEX(Items!B$2:B$1032,MATCH($O53,Items!$A$2:$A$1032,0))</f>
        <v>#N/A</v>
      </c>
      <c r="Q53" t="e">
        <f>INDEX(Items!C$2:C$1032,MATCH($O53,Items!$A$2:$A$1032,0))</f>
        <v>#N/A</v>
      </c>
      <c r="R53" t="e">
        <f>INDEX(Items!D$2:D$1032,MATCH($O53,Items!$A$2:$A$1032,0))</f>
        <v>#N/A</v>
      </c>
    </row>
    <row r="54" spans="1:18" x14ac:dyDescent="0.25">
      <c r="A54">
        <f t="shared" si="0"/>
        <v>1</v>
      </c>
      <c r="B54" t="str">
        <f t="shared" si="1"/>
        <v/>
      </c>
      <c r="C54">
        <f t="shared" si="5"/>
        <v>1</v>
      </c>
      <c r="D54" s="4"/>
      <c r="F54" t="e">
        <f>INDEX(Establishment!B$2:B$1005,MATCH($E54,Establishment!$A$2:$A$1005,0))</f>
        <v>#N/A</v>
      </c>
      <c r="G54" t="e">
        <f>INDEX(Establishment!C$2:C$1005,MATCH($E54,Establishment!$A$2:$A$1005,0))</f>
        <v>#N/A</v>
      </c>
      <c r="M54">
        <f t="shared" si="6"/>
        <v>0</v>
      </c>
      <c r="N54">
        <f t="shared" si="4"/>
        <v>0</v>
      </c>
      <c r="P54" t="e">
        <f>INDEX(Items!B$2:B$1032,MATCH($O54,Items!$A$2:$A$1032,0))</f>
        <v>#N/A</v>
      </c>
      <c r="Q54" t="e">
        <f>INDEX(Items!C$2:C$1032,MATCH($O54,Items!$A$2:$A$1032,0))</f>
        <v>#N/A</v>
      </c>
      <c r="R54" t="e">
        <f>INDEX(Items!D$2:D$1032,MATCH($O54,Items!$A$2:$A$1032,0))</f>
        <v>#N/A</v>
      </c>
    </row>
    <row r="55" spans="1:18" x14ac:dyDescent="0.25">
      <c r="A55">
        <f t="shared" si="0"/>
        <v>1</v>
      </c>
      <c r="B55" t="str">
        <f t="shared" si="1"/>
        <v/>
      </c>
      <c r="C55">
        <f t="shared" si="5"/>
        <v>1</v>
      </c>
      <c r="D55" s="4"/>
      <c r="F55" t="e">
        <f>INDEX(Establishment!B$2:B$1005,MATCH($E55,Establishment!$A$2:$A$1005,0))</f>
        <v>#N/A</v>
      </c>
      <c r="G55" t="e">
        <f>INDEX(Establishment!C$2:C$1005,MATCH($E55,Establishment!$A$2:$A$1005,0))</f>
        <v>#N/A</v>
      </c>
      <c r="M55">
        <f t="shared" si="6"/>
        <v>0</v>
      </c>
      <c r="N55">
        <f t="shared" si="4"/>
        <v>0</v>
      </c>
      <c r="P55" t="e">
        <f>INDEX(Items!B$2:B$1032,MATCH($O55,Items!$A$2:$A$1032,0))</f>
        <v>#N/A</v>
      </c>
      <c r="Q55" t="e">
        <f>INDEX(Items!C$2:C$1032,MATCH($O55,Items!$A$2:$A$1032,0))</f>
        <v>#N/A</v>
      </c>
      <c r="R55" t="e">
        <f>INDEX(Items!D$2:D$1032,MATCH($O55,Items!$A$2:$A$1032,0))</f>
        <v>#N/A</v>
      </c>
    </row>
    <row r="56" spans="1:18" x14ac:dyDescent="0.25">
      <c r="A56">
        <f t="shared" si="0"/>
        <v>1</v>
      </c>
      <c r="B56" t="str">
        <f t="shared" si="1"/>
        <v/>
      </c>
      <c r="C56">
        <f t="shared" si="5"/>
        <v>1</v>
      </c>
      <c r="D56" s="4"/>
      <c r="F56" t="e">
        <f>INDEX(Establishment!B$2:B$1005,MATCH($E56,Establishment!$A$2:$A$1005,0))</f>
        <v>#N/A</v>
      </c>
      <c r="G56" t="e">
        <f>INDEX(Establishment!C$2:C$1005,MATCH($E56,Establishment!$A$2:$A$1005,0))</f>
        <v>#N/A</v>
      </c>
      <c r="M56">
        <f t="shared" si="6"/>
        <v>0</v>
      </c>
      <c r="N56">
        <f t="shared" si="4"/>
        <v>0</v>
      </c>
      <c r="P56" t="e">
        <f>INDEX(Items!B$2:B$1032,MATCH($O56,Items!$A$2:$A$1032,0))</f>
        <v>#N/A</v>
      </c>
      <c r="Q56" t="e">
        <f>INDEX(Items!C$2:C$1032,MATCH($O56,Items!$A$2:$A$1032,0))</f>
        <v>#N/A</v>
      </c>
      <c r="R56" t="e">
        <f>INDEX(Items!D$2:D$1032,MATCH($O56,Items!$A$2:$A$1032,0))</f>
        <v>#N/A</v>
      </c>
    </row>
    <row r="57" spans="1:18" x14ac:dyDescent="0.25">
      <c r="A57">
        <f t="shared" si="0"/>
        <v>1</v>
      </c>
      <c r="B57" t="str">
        <f t="shared" si="1"/>
        <v/>
      </c>
      <c r="C57">
        <f t="shared" si="5"/>
        <v>1</v>
      </c>
      <c r="D57" s="4"/>
      <c r="F57" t="e">
        <f>INDEX(Establishment!B$2:B$1005,MATCH($E57,Establishment!$A$2:$A$1005,0))</f>
        <v>#N/A</v>
      </c>
      <c r="G57" t="e">
        <f>INDEX(Establishment!C$2:C$1005,MATCH($E57,Establishment!$A$2:$A$1005,0))</f>
        <v>#N/A</v>
      </c>
      <c r="M57">
        <f t="shared" si="6"/>
        <v>0</v>
      </c>
      <c r="N57">
        <f t="shared" si="4"/>
        <v>0</v>
      </c>
      <c r="P57" t="e">
        <f>INDEX(Items!B$2:B$1032,MATCH($O57,Items!$A$2:$A$1032,0))</f>
        <v>#N/A</v>
      </c>
      <c r="Q57" t="e">
        <f>INDEX(Items!C$2:C$1032,MATCH($O57,Items!$A$2:$A$1032,0))</f>
        <v>#N/A</v>
      </c>
      <c r="R57" t="e">
        <f>INDEX(Items!D$2:D$1032,MATCH($O57,Items!$A$2:$A$1032,0))</f>
        <v>#N/A</v>
      </c>
    </row>
    <row r="58" spans="1:18" x14ac:dyDescent="0.25">
      <c r="A58">
        <f t="shared" si="0"/>
        <v>1</v>
      </c>
      <c r="B58" t="str">
        <f t="shared" si="1"/>
        <v/>
      </c>
      <c r="C58">
        <f t="shared" si="5"/>
        <v>1</v>
      </c>
      <c r="D58" s="4"/>
      <c r="F58" t="e">
        <f>INDEX(Establishment!B$2:B$1005,MATCH($E58,Establishment!$A$2:$A$1005,0))</f>
        <v>#N/A</v>
      </c>
      <c r="G58" t="e">
        <f>INDEX(Establishment!C$2:C$1005,MATCH($E58,Establishment!$A$2:$A$1005,0))</f>
        <v>#N/A</v>
      </c>
      <c r="M58">
        <f t="shared" si="6"/>
        <v>0</v>
      </c>
      <c r="N58">
        <f t="shared" si="4"/>
        <v>0</v>
      </c>
      <c r="P58" t="e">
        <f>INDEX(Items!B$2:B$1032,MATCH($O58,Items!$A$2:$A$1032,0))</f>
        <v>#N/A</v>
      </c>
      <c r="Q58" t="e">
        <f>INDEX(Items!C$2:C$1032,MATCH($O58,Items!$A$2:$A$1032,0))</f>
        <v>#N/A</v>
      </c>
      <c r="R58" t="e">
        <f>INDEX(Items!D$2:D$1032,MATCH($O58,Items!$A$2:$A$1032,0))</f>
        <v>#N/A</v>
      </c>
    </row>
    <row r="59" spans="1:18" x14ac:dyDescent="0.25">
      <c r="A59">
        <f t="shared" si="0"/>
        <v>1</v>
      </c>
      <c r="B59" t="str">
        <f t="shared" si="1"/>
        <v/>
      </c>
      <c r="C59">
        <f t="shared" si="5"/>
        <v>1</v>
      </c>
      <c r="D59" s="4"/>
      <c r="F59" t="e">
        <f>INDEX(Establishment!B$2:B$1005,MATCH($E59,Establishment!$A$2:$A$1005,0))</f>
        <v>#N/A</v>
      </c>
      <c r="G59" t="e">
        <f>INDEX(Establishment!C$2:C$1005,MATCH($E59,Establishment!$A$2:$A$1005,0))</f>
        <v>#N/A</v>
      </c>
      <c r="M59">
        <f t="shared" si="6"/>
        <v>0</v>
      </c>
      <c r="N59">
        <f t="shared" si="4"/>
        <v>0</v>
      </c>
      <c r="P59" t="e">
        <f>INDEX(Items!B$2:B$1032,MATCH($O59,Items!$A$2:$A$1032,0))</f>
        <v>#N/A</v>
      </c>
      <c r="Q59" t="e">
        <f>INDEX(Items!C$2:C$1032,MATCH($O59,Items!$A$2:$A$1032,0))</f>
        <v>#N/A</v>
      </c>
      <c r="R59" t="e">
        <f>INDEX(Items!D$2:D$1032,MATCH($O59,Items!$A$2:$A$1032,0))</f>
        <v>#N/A</v>
      </c>
    </row>
    <row r="60" spans="1:18" x14ac:dyDescent="0.25">
      <c r="A60">
        <f t="shared" si="0"/>
        <v>1</v>
      </c>
      <c r="B60" t="str">
        <f t="shared" si="1"/>
        <v/>
      </c>
      <c r="C60">
        <f t="shared" si="5"/>
        <v>1</v>
      </c>
      <c r="D60" s="4"/>
      <c r="F60" t="e">
        <f>INDEX(Establishment!B$2:B$1005,MATCH($E60,Establishment!$A$2:$A$1005,0))</f>
        <v>#N/A</v>
      </c>
      <c r="G60" t="e">
        <f>INDEX(Establishment!C$2:C$1005,MATCH($E60,Establishment!$A$2:$A$1005,0))</f>
        <v>#N/A</v>
      </c>
      <c r="M60">
        <f t="shared" si="6"/>
        <v>0</v>
      </c>
      <c r="N60">
        <f t="shared" si="4"/>
        <v>0</v>
      </c>
      <c r="P60" t="e">
        <f>INDEX(Items!B$2:B$1032,MATCH($O60,Items!$A$2:$A$1032,0))</f>
        <v>#N/A</v>
      </c>
      <c r="Q60" t="e">
        <f>INDEX(Items!C$2:C$1032,MATCH($O60,Items!$A$2:$A$1032,0))</f>
        <v>#N/A</v>
      </c>
      <c r="R60" t="e">
        <f>INDEX(Items!D$2:D$1032,MATCH($O60,Items!$A$2:$A$1032,0))</f>
        <v>#N/A</v>
      </c>
    </row>
    <row r="61" spans="1:18" x14ac:dyDescent="0.25">
      <c r="A61">
        <f t="shared" si="0"/>
        <v>1</v>
      </c>
      <c r="B61" t="str">
        <f t="shared" si="1"/>
        <v/>
      </c>
      <c r="C61">
        <f t="shared" si="5"/>
        <v>1</v>
      </c>
      <c r="D61" s="4"/>
      <c r="F61" t="e">
        <f>INDEX(Establishment!B$2:B$1005,MATCH($E61,Establishment!$A$2:$A$1005,0))</f>
        <v>#N/A</v>
      </c>
      <c r="G61" t="e">
        <f>INDEX(Establishment!C$2:C$1005,MATCH($E61,Establishment!$A$2:$A$1005,0))</f>
        <v>#N/A</v>
      </c>
      <c r="M61">
        <f t="shared" si="6"/>
        <v>0</v>
      </c>
      <c r="N61">
        <f t="shared" si="4"/>
        <v>0</v>
      </c>
      <c r="P61" t="e">
        <f>INDEX(Items!B$2:B$1032,MATCH($O61,Items!$A$2:$A$1032,0))</f>
        <v>#N/A</v>
      </c>
      <c r="Q61" t="e">
        <f>INDEX(Items!C$2:C$1032,MATCH($O61,Items!$A$2:$A$1032,0))</f>
        <v>#N/A</v>
      </c>
      <c r="R61" t="e">
        <f>INDEX(Items!D$2:D$1032,MATCH($O61,Items!$A$2:$A$1032,0))</f>
        <v>#N/A</v>
      </c>
    </row>
    <row r="62" spans="1:18" x14ac:dyDescent="0.25">
      <c r="A62">
        <f t="shared" si="0"/>
        <v>1</v>
      </c>
      <c r="B62" t="str">
        <f t="shared" si="1"/>
        <v/>
      </c>
      <c r="C62">
        <f t="shared" si="5"/>
        <v>1</v>
      </c>
      <c r="D62" s="4"/>
      <c r="F62" t="e">
        <f>INDEX(Establishment!B$2:B$1005,MATCH($E62,Establishment!$A$2:$A$1005,0))</f>
        <v>#N/A</v>
      </c>
      <c r="G62" t="e">
        <f>INDEX(Establishment!C$2:C$1005,MATCH($E62,Establishment!$A$2:$A$1005,0))</f>
        <v>#N/A</v>
      </c>
      <c r="M62">
        <f t="shared" si="6"/>
        <v>0</v>
      </c>
      <c r="N62">
        <f t="shared" si="4"/>
        <v>0</v>
      </c>
      <c r="P62" t="e">
        <f>INDEX(Items!B$2:B$1032,MATCH($O62,Items!$A$2:$A$1032,0))</f>
        <v>#N/A</v>
      </c>
      <c r="Q62" t="e">
        <f>INDEX(Items!C$2:C$1032,MATCH($O62,Items!$A$2:$A$1032,0))</f>
        <v>#N/A</v>
      </c>
      <c r="R62" t="e">
        <f>INDEX(Items!D$2:D$1032,MATCH($O62,Items!$A$2:$A$1032,0))</f>
        <v>#N/A</v>
      </c>
    </row>
    <row r="63" spans="1:18" x14ac:dyDescent="0.25">
      <c r="A63">
        <f t="shared" si="0"/>
        <v>1</v>
      </c>
      <c r="B63" t="str">
        <f t="shared" si="1"/>
        <v/>
      </c>
      <c r="C63">
        <f t="shared" si="5"/>
        <v>1</v>
      </c>
      <c r="D63" s="4"/>
      <c r="F63" t="e">
        <f>INDEX(Establishment!B$2:B$1005,MATCH($E63,Establishment!$A$2:$A$1005,0))</f>
        <v>#N/A</v>
      </c>
      <c r="G63" t="e">
        <f>INDEX(Establishment!C$2:C$1005,MATCH($E63,Establishment!$A$2:$A$1005,0))</f>
        <v>#N/A</v>
      </c>
      <c r="M63">
        <f t="shared" si="6"/>
        <v>0</v>
      </c>
      <c r="N63">
        <f t="shared" si="4"/>
        <v>0</v>
      </c>
      <c r="P63" t="e">
        <f>INDEX(Items!B$2:B$1032,MATCH($O63,Items!$A$2:$A$1032,0))</f>
        <v>#N/A</v>
      </c>
      <c r="Q63" t="e">
        <f>INDEX(Items!C$2:C$1032,MATCH($O63,Items!$A$2:$A$1032,0))</f>
        <v>#N/A</v>
      </c>
      <c r="R63" t="e">
        <f>INDEX(Items!D$2:D$1032,MATCH($O63,Items!$A$2:$A$1032,0))</f>
        <v>#N/A</v>
      </c>
    </row>
    <row r="64" spans="1:18" x14ac:dyDescent="0.25">
      <c r="A64">
        <f t="shared" si="0"/>
        <v>1</v>
      </c>
      <c r="B64" t="str">
        <f t="shared" si="1"/>
        <v/>
      </c>
      <c r="C64">
        <f t="shared" si="5"/>
        <v>1</v>
      </c>
      <c r="D64" s="4"/>
      <c r="F64" t="e">
        <f>INDEX(Establishment!B$2:B$1005,MATCH($E64,Establishment!$A$2:$A$1005,0))</f>
        <v>#N/A</v>
      </c>
      <c r="G64" t="e">
        <f>INDEX(Establishment!C$2:C$1005,MATCH($E64,Establishment!$A$2:$A$1005,0))</f>
        <v>#N/A</v>
      </c>
      <c r="M64">
        <f t="shared" si="6"/>
        <v>0</v>
      </c>
      <c r="N64">
        <f t="shared" si="4"/>
        <v>0</v>
      </c>
      <c r="P64" t="e">
        <f>INDEX(Items!B$2:B$1032,MATCH($O64,Items!$A$2:$A$1032,0))</f>
        <v>#N/A</v>
      </c>
      <c r="Q64" t="e">
        <f>INDEX(Items!C$2:C$1032,MATCH($O64,Items!$A$2:$A$1032,0))</f>
        <v>#N/A</v>
      </c>
      <c r="R64" t="e">
        <f>INDEX(Items!D$2:D$1032,MATCH($O64,Items!$A$2:$A$1032,0))</f>
        <v>#N/A</v>
      </c>
    </row>
    <row r="65" spans="1:18" x14ac:dyDescent="0.25">
      <c r="A65">
        <f t="shared" si="0"/>
        <v>1</v>
      </c>
      <c r="B65" t="str">
        <f t="shared" si="1"/>
        <v/>
      </c>
      <c r="C65">
        <f t="shared" si="5"/>
        <v>1</v>
      </c>
      <c r="D65" s="4"/>
      <c r="F65" t="e">
        <f>INDEX(Establishment!B$2:B$1005,MATCH($E65,Establishment!$A$2:$A$1005,0))</f>
        <v>#N/A</v>
      </c>
      <c r="G65" t="e">
        <f>INDEX(Establishment!C$2:C$1005,MATCH($E65,Establishment!$A$2:$A$1005,0))</f>
        <v>#N/A</v>
      </c>
      <c r="M65">
        <f t="shared" si="6"/>
        <v>0</v>
      </c>
      <c r="N65">
        <f t="shared" si="4"/>
        <v>0</v>
      </c>
      <c r="P65" t="e">
        <f>INDEX(Items!B$2:B$1032,MATCH($O65,Items!$A$2:$A$1032,0))</f>
        <v>#N/A</v>
      </c>
      <c r="Q65" t="e">
        <f>INDEX(Items!C$2:C$1032,MATCH($O65,Items!$A$2:$A$1032,0))</f>
        <v>#N/A</v>
      </c>
      <c r="R65" t="e">
        <f>INDEX(Items!D$2:D$1032,MATCH($O65,Items!$A$2:$A$1032,0))</f>
        <v>#N/A</v>
      </c>
    </row>
    <row r="66" spans="1:18" x14ac:dyDescent="0.25">
      <c r="A66">
        <f t="shared" ref="A66:A129" si="7">IF(OR(D66&lt;&gt;D65,D66=""),1,IF(NOT(AND(E66=E65,F66=F65,G66=G65)),A65+1,IF(OR(H66="",AND(H66&lt;&gt;"",H66&lt;&gt;H65,H65&lt;&gt;"")),A65,A65+1)))</f>
        <v>1</v>
      </c>
      <c r="B66" t="str">
        <f t="shared" ref="B66:B129" si="8">IF(D66&lt;&gt;"",TEXT(D66,"YYYYMMDD")&amp;CHAR(64+A66),"")</f>
        <v/>
      </c>
      <c r="C66">
        <f t="shared" si="5"/>
        <v>1</v>
      </c>
      <c r="D66" s="4"/>
      <c r="F66" t="e">
        <f>INDEX(Establishment!B$2:B$1005,MATCH($E66,Establishment!$A$2:$A$1005,0))</f>
        <v>#N/A</v>
      </c>
      <c r="G66" t="e">
        <f>INDEX(Establishment!C$2:C$1005,MATCH($E66,Establishment!$A$2:$A$1005,0))</f>
        <v>#N/A</v>
      </c>
      <c r="M66">
        <f t="shared" si="6"/>
        <v>0</v>
      </c>
      <c r="N66">
        <f t="shared" si="4"/>
        <v>0</v>
      </c>
      <c r="P66" t="e">
        <f>INDEX(Items!B$2:B$1032,MATCH($O66,Items!$A$2:$A$1032,0))</f>
        <v>#N/A</v>
      </c>
      <c r="Q66" t="e">
        <f>INDEX(Items!C$2:C$1032,MATCH($O66,Items!$A$2:$A$1032,0))</f>
        <v>#N/A</v>
      </c>
      <c r="R66" t="e">
        <f>INDEX(Items!D$2:D$1032,MATCH($O66,Items!$A$2:$A$1032,0))</f>
        <v>#N/A</v>
      </c>
    </row>
    <row r="67" spans="1:18" x14ac:dyDescent="0.25">
      <c r="A67">
        <f t="shared" si="7"/>
        <v>1</v>
      </c>
      <c r="B67" t="str">
        <f t="shared" si="8"/>
        <v/>
      </c>
      <c r="C67">
        <f t="shared" si="5"/>
        <v>1</v>
      </c>
      <c r="D67" s="4"/>
      <c r="F67" t="s">
        <v>43</v>
      </c>
      <c r="G67" t="s">
        <v>46</v>
      </c>
      <c r="M67">
        <f t="shared" si="6"/>
        <v>0</v>
      </c>
      <c r="N67">
        <f t="shared" ref="N67:N130" si="9">IF(B67=B66,N66+M67,M67)</f>
        <v>0</v>
      </c>
      <c r="P67" t="e">
        <f>INDEX(Items!B$2:B$1032,MATCH($O67,Items!$A$2:$A$1032,0))</f>
        <v>#N/A</v>
      </c>
      <c r="Q67" t="e">
        <f>INDEX(Items!C$2:C$1032,MATCH($O67,Items!$A$2:$A$1032,0))</f>
        <v>#N/A</v>
      </c>
      <c r="R67" t="e">
        <f>INDEX(Items!D$2:D$1032,MATCH($O67,Items!$A$2:$A$1032,0))</f>
        <v>#N/A</v>
      </c>
    </row>
    <row r="68" spans="1:18" x14ac:dyDescent="0.25">
      <c r="A68">
        <f t="shared" si="7"/>
        <v>1</v>
      </c>
      <c r="B68" t="str">
        <f t="shared" si="8"/>
        <v/>
      </c>
      <c r="C68">
        <f t="shared" si="5"/>
        <v>1</v>
      </c>
      <c r="D68" s="4"/>
      <c r="F68" t="s">
        <v>43</v>
      </c>
      <c r="G68" t="s">
        <v>46</v>
      </c>
      <c r="M68">
        <f t="shared" si="6"/>
        <v>0</v>
      </c>
      <c r="N68">
        <f t="shared" si="9"/>
        <v>0</v>
      </c>
      <c r="P68" t="e">
        <f>INDEX(Items!B$2:B$1032,MATCH($O68,Items!$A$2:$A$1032,0))</f>
        <v>#N/A</v>
      </c>
      <c r="Q68" t="e">
        <f>INDEX(Items!C$2:C$1032,MATCH($O68,Items!$A$2:$A$1032,0))</f>
        <v>#N/A</v>
      </c>
      <c r="R68" t="e">
        <f>INDEX(Items!D$2:D$1032,MATCH($O68,Items!$A$2:$A$1032,0))</f>
        <v>#N/A</v>
      </c>
    </row>
    <row r="69" spans="1:18" x14ac:dyDescent="0.25">
      <c r="A69">
        <f t="shared" si="7"/>
        <v>1</v>
      </c>
      <c r="B69" t="str">
        <f t="shared" si="8"/>
        <v/>
      </c>
      <c r="C69">
        <f t="shared" si="5"/>
        <v>1</v>
      </c>
      <c r="D69" s="4"/>
      <c r="F69" t="s">
        <v>43</v>
      </c>
      <c r="G69" t="s">
        <v>46</v>
      </c>
      <c r="M69">
        <f t="shared" si="6"/>
        <v>0</v>
      </c>
      <c r="N69">
        <f t="shared" si="9"/>
        <v>0</v>
      </c>
      <c r="P69" t="e">
        <f>INDEX(Items!B$2:B$1032,MATCH($O69,Items!$A$2:$A$1032,0))</f>
        <v>#N/A</v>
      </c>
      <c r="Q69" t="e">
        <f>INDEX(Items!C$2:C$1032,MATCH($O69,Items!$A$2:$A$1032,0))</f>
        <v>#N/A</v>
      </c>
      <c r="R69" t="e">
        <f>INDEX(Items!D$2:D$1032,MATCH($O69,Items!$A$2:$A$1032,0))</f>
        <v>#N/A</v>
      </c>
    </row>
    <row r="70" spans="1:18" x14ac:dyDescent="0.25">
      <c r="A70">
        <f t="shared" si="7"/>
        <v>1</v>
      </c>
      <c r="B70" t="str">
        <f t="shared" si="8"/>
        <v/>
      </c>
      <c r="C70">
        <f t="shared" si="5"/>
        <v>1</v>
      </c>
      <c r="D70" s="4"/>
      <c r="F70" t="s">
        <v>43</v>
      </c>
      <c r="G70" t="s">
        <v>46</v>
      </c>
      <c r="M70">
        <f t="shared" si="6"/>
        <v>0</v>
      </c>
      <c r="N70">
        <f t="shared" si="9"/>
        <v>0</v>
      </c>
      <c r="P70" t="e">
        <f>INDEX(Items!B$2:B$1032,MATCH($O70,Items!$A$2:$A$1032,0))</f>
        <v>#N/A</v>
      </c>
      <c r="Q70" t="e">
        <f>INDEX(Items!C$2:C$1032,MATCH($O70,Items!$A$2:$A$1032,0))</f>
        <v>#N/A</v>
      </c>
      <c r="R70" t="e">
        <f>INDEX(Items!D$2:D$1032,MATCH($O70,Items!$A$2:$A$1032,0))</f>
        <v>#N/A</v>
      </c>
    </row>
    <row r="71" spans="1:18" x14ac:dyDescent="0.25">
      <c r="A71">
        <f t="shared" si="7"/>
        <v>1</v>
      </c>
      <c r="B71" t="str">
        <f t="shared" si="8"/>
        <v/>
      </c>
      <c r="C71">
        <f t="shared" si="5"/>
        <v>1</v>
      </c>
      <c r="D71" s="4"/>
      <c r="F71" t="s">
        <v>43</v>
      </c>
      <c r="G71" t="s">
        <v>46</v>
      </c>
      <c r="M71">
        <f t="shared" si="6"/>
        <v>0</v>
      </c>
      <c r="N71">
        <f t="shared" si="9"/>
        <v>0</v>
      </c>
      <c r="P71" t="e">
        <f>INDEX(Items!B$2:B$1032,MATCH($O71,Items!$A$2:$A$1032,0))</f>
        <v>#N/A</v>
      </c>
      <c r="Q71" t="e">
        <f>INDEX(Items!C$2:C$1032,MATCH($O71,Items!$A$2:$A$1032,0))</f>
        <v>#N/A</v>
      </c>
      <c r="R71" t="e">
        <f>INDEX(Items!D$2:D$1032,MATCH($O71,Items!$A$2:$A$1032,0))</f>
        <v>#N/A</v>
      </c>
    </row>
    <row r="72" spans="1:18" x14ac:dyDescent="0.25">
      <c r="A72">
        <f t="shared" si="7"/>
        <v>1</v>
      </c>
      <c r="B72" t="str">
        <f t="shared" si="8"/>
        <v/>
      </c>
      <c r="C72">
        <f t="shared" si="5"/>
        <v>1</v>
      </c>
      <c r="D72" s="4"/>
      <c r="F72" t="s">
        <v>53</v>
      </c>
      <c r="G72" t="s">
        <v>48</v>
      </c>
      <c r="M72">
        <f t="shared" si="6"/>
        <v>0</v>
      </c>
      <c r="N72">
        <f t="shared" si="9"/>
        <v>0</v>
      </c>
      <c r="P72" t="e">
        <f>INDEX(Items!B$2:B$1032,MATCH($O72,Items!$A$2:$A$1032,0))</f>
        <v>#N/A</v>
      </c>
      <c r="Q72" t="e">
        <f>INDEX(Items!C$2:C$1032,MATCH($O72,Items!$A$2:$A$1032,0))</f>
        <v>#N/A</v>
      </c>
      <c r="R72" t="e">
        <f>INDEX(Items!D$2:D$1032,MATCH($O72,Items!$A$2:$A$1032,0))</f>
        <v>#N/A</v>
      </c>
    </row>
    <row r="73" spans="1:18" x14ac:dyDescent="0.25">
      <c r="A73">
        <f t="shared" si="7"/>
        <v>1</v>
      </c>
      <c r="B73" t="str">
        <f t="shared" si="8"/>
        <v/>
      </c>
      <c r="C73">
        <f t="shared" si="5"/>
        <v>1</v>
      </c>
      <c r="D73" s="4"/>
      <c r="F73" t="s">
        <v>53</v>
      </c>
      <c r="G73" t="s">
        <v>48</v>
      </c>
      <c r="M73">
        <f t="shared" si="6"/>
        <v>0</v>
      </c>
      <c r="N73">
        <f t="shared" si="9"/>
        <v>0</v>
      </c>
      <c r="P73" t="e">
        <f>INDEX(Items!B$2:B$1032,MATCH($O73,Items!$A$2:$A$1032,0))</f>
        <v>#N/A</v>
      </c>
      <c r="Q73" t="e">
        <f>INDEX(Items!C$2:C$1032,MATCH($O73,Items!$A$2:$A$1032,0))</f>
        <v>#N/A</v>
      </c>
      <c r="R73" t="e">
        <f>INDEX(Items!D$2:D$1032,MATCH($O73,Items!$A$2:$A$1032,0))</f>
        <v>#N/A</v>
      </c>
    </row>
    <row r="74" spans="1:18" x14ac:dyDescent="0.25">
      <c r="A74">
        <f t="shared" si="7"/>
        <v>1</v>
      </c>
      <c r="B74" t="str">
        <f t="shared" si="8"/>
        <v/>
      </c>
      <c r="C74">
        <f t="shared" ref="C74:C137" si="10">IF(OR(B74="",B74&lt;&gt;B73),1,C73+1)</f>
        <v>1</v>
      </c>
      <c r="D74" s="4"/>
      <c r="F74" t="s">
        <v>43</v>
      </c>
      <c r="G74" t="s">
        <v>48</v>
      </c>
      <c r="M74">
        <f t="shared" ref="M74:M137" si="11">K74*L74</f>
        <v>0</v>
      </c>
      <c r="N74">
        <f t="shared" si="9"/>
        <v>0</v>
      </c>
      <c r="P74" t="e">
        <f>INDEX(Items!B$2:B$1032,MATCH($O74,Items!$A$2:$A$1032,0))</f>
        <v>#N/A</v>
      </c>
      <c r="Q74" t="e">
        <f>INDEX(Items!C$2:C$1032,MATCH($O74,Items!$A$2:$A$1032,0))</f>
        <v>#N/A</v>
      </c>
      <c r="R74" t="e">
        <f>INDEX(Items!D$2:D$1032,MATCH($O74,Items!$A$2:$A$1032,0))</f>
        <v>#N/A</v>
      </c>
    </row>
    <row r="75" spans="1:18" x14ac:dyDescent="0.25">
      <c r="A75">
        <f t="shared" si="7"/>
        <v>1</v>
      </c>
      <c r="B75" t="str">
        <f t="shared" si="8"/>
        <v/>
      </c>
      <c r="C75">
        <f t="shared" si="10"/>
        <v>1</v>
      </c>
      <c r="D75" s="4"/>
      <c r="F75" t="s">
        <v>43</v>
      </c>
      <c r="G75" t="s">
        <v>48</v>
      </c>
      <c r="M75">
        <f t="shared" si="11"/>
        <v>0</v>
      </c>
      <c r="N75">
        <f t="shared" si="9"/>
        <v>0</v>
      </c>
      <c r="P75" t="e">
        <f>INDEX(Items!B$2:B$1032,MATCH($O75,Items!$A$2:$A$1032,0))</f>
        <v>#N/A</v>
      </c>
      <c r="Q75" t="e">
        <f>INDEX(Items!C$2:C$1032,MATCH($O75,Items!$A$2:$A$1032,0))</f>
        <v>#N/A</v>
      </c>
      <c r="R75" t="e">
        <f>INDEX(Items!D$2:D$1032,MATCH($O75,Items!$A$2:$A$1032,0))</f>
        <v>#N/A</v>
      </c>
    </row>
    <row r="76" spans="1:18" x14ac:dyDescent="0.25">
      <c r="A76">
        <f t="shared" si="7"/>
        <v>1</v>
      </c>
      <c r="B76" t="str">
        <f t="shared" si="8"/>
        <v/>
      </c>
      <c r="C76">
        <f t="shared" si="10"/>
        <v>1</v>
      </c>
      <c r="D76" s="4"/>
      <c r="F76" t="s">
        <v>43</v>
      </c>
      <c r="G76" t="s">
        <v>48</v>
      </c>
      <c r="M76">
        <f t="shared" si="11"/>
        <v>0</v>
      </c>
      <c r="N76">
        <f t="shared" si="9"/>
        <v>0</v>
      </c>
      <c r="P76" t="e">
        <f>INDEX(Items!B$2:B$1032,MATCH($O76,Items!$A$2:$A$1032,0))</f>
        <v>#N/A</v>
      </c>
      <c r="Q76" t="e">
        <f>INDEX(Items!C$2:C$1032,MATCH($O76,Items!$A$2:$A$1032,0))</f>
        <v>#N/A</v>
      </c>
      <c r="R76" t="e">
        <f>INDEX(Items!D$2:D$1032,MATCH($O76,Items!$A$2:$A$1032,0))</f>
        <v>#N/A</v>
      </c>
    </row>
    <row r="77" spans="1:18" x14ac:dyDescent="0.25">
      <c r="A77">
        <f t="shared" si="7"/>
        <v>1</v>
      </c>
      <c r="B77" t="str">
        <f t="shared" si="8"/>
        <v/>
      </c>
      <c r="C77">
        <f t="shared" si="10"/>
        <v>1</v>
      </c>
      <c r="D77" s="4"/>
      <c r="F77" t="s">
        <v>43</v>
      </c>
      <c r="G77" t="s">
        <v>48</v>
      </c>
      <c r="M77">
        <f t="shared" si="11"/>
        <v>0</v>
      </c>
      <c r="N77">
        <f t="shared" si="9"/>
        <v>0</v>
      </c>
      <c r="P77" t="e">
        <f>INDEX(Items!B$2:B$1032,MATCH($O77,Items!$A$2:$A$1032,0))</f>
        <v>#N/A</v>
      </c>
      <c r="Q77" t="e">
        <f>INDEX(Items!C$2:C$1032,MATCH($O77,Items!$A$2:$A$1032,0))</f>
        <v>#N/A</v>
      </c>
      <c r="R77" t="e">
        <f>INDEX(Items!D$2:D$1032,MATCH($O77,Items!$A$2:$A$1032,0))</f>
        <v>#N/A</v>
      </c>
    </row>
    <row r="78" spans="1:18" x14ac:dyDescent="0.25">
      <c r="A78">
        <f t="shared" si="7"/>
        <v>1</v>
      </c>
      <c r="B78" t="str">
        <f t="shared" si="8"/>
        <v/>
      </c>
      <c r="C78">
        <f t="shared" si="10"/>
        <v>1</v>
      </c>
      <c r="D78" s="4"/>
      <c r="F78" t="s">
        <v>43</v>
      </c>
      <c r="G78" t="s">
        <v>48</v>
      </c>
      <c r="M78">
        <f t="shared" si="11"/>
        <v>0</v>
      </c>
      <c r="N78">
        <f t="shared" si="9"/>
        <v>0</v>
      </c>
      <c r="P78" t="e">
        <f>INDEX(Items!B$2:B$1032,MATCH($O78,Items!$A$2:$A$1032,0))</f>
        <v>#N/A</v>
      </c>
      <c r="Q78" t="e">
        <f>INDEX(Items!C$2:C$1032,MATCH($O78,Items!$A$2:$A$1032,0))</f>
        <v>#N/A</v>
      </c>
      <c r="R78" t="e">
        <f>INDEX(Items!D$2:D$1032,MATCH($O78,Items!$A$2:$A$1032,0))</f>
        <v>#N/A</v>
      </c>
    </row>
    <row r="79" spans="1:18" x14ac:dyDescent="0.25">
      <c r="A79">
        <f t="shared" si="7"/>
        <v>1</v>
      </c>
      <c r="B79" t="str">
        <f t="shared" si="8"/>
        <v/>
      </c>
      <c r="C79">
        <f t="shared" si="10"/>
        <v>1</v>
      </c>
      <c r="D79" s="4"/>
      <c r="F79" t="s">
        <v>43</v>
      </c>
      <c r="G79" t="s">
        <v>46</v>
      </c>
      <c r="M79">
        <f t="shared" si="11"/>
        <v>0</v>
      </c>
      <c r="N79">
        <f t="shared" si="9"/>
        <v>0</v>
      </c>
      <c r="P79" t="e">
        <f>INDEX(Items!B$2:B$1032,MATCH($O79,Items!$A$2:$A$1032,0))</f>
        <v>#N/A</v>
      </c>
      <c r="Q79" t="e">
        <f>INDEX(Items!C$2:C$1032,MATCH($O79,Items!$A$2:$A$1032,0))</f>
        <v>#N/A</v>
      </c>
      <c r="R79" t="e">
        <f>INDEX(Items!D$2:D$1032,MATCH($O79,Items!$A$2:$A$1032,0))</f>
        <v>#N/A</v>
      </c>
    </row>
    <row r="80" spans="1:18" x14ac:dyDescent="0.25">
      <c r="A80">
        <f t="shared" si="7"/>
        <v>1</v>
      </c>
      <c r="B80" t="str">
        <f t="shared" si="8"/>
        <v/>
      </c>
      <c r="C80">
        <f t="shared" si="10"/>
        <v>1</v>
      </c>
      <c r="D80" s="4"/>
      <c r="F80" t="s">
        <v>43</v>
      </c>
      <c r="G80" t="s">
        <v>46</v>
      </c>
      <c r="M80">
        <f t="shared" si="11"/>
        <v>0</v>
      </c>
      <c r="N80">
        <f t="shared" si="9"/>
        <v>0</v>
      </c>
      <c r="P80" t="e">
        <f>INDEX(Items!B$2:B$1032,MATCH($O80,Items!$A$2:$A$1032,0))</f>
        <v>#N/A</v>
      </c>
      <c r="Q80" t="e">
        <f>INDEX(Items!C$2:C$1032,MATCH($O80,Items!$A$2:$A$1032,0))</f>
        <v>#N/A</v>
      </c>
      <c r="R80" t="e">
        <f>INDEX(Items!D$2:D$1032,MATCH($O80,Items!$A$2:$A$1032,0))</f>
        <v>#N/A</v>
      </c>
    </row>
    <row r="81" spans="1:18" x14ac:dyDescent="0.25">
      <c r="A81">
        <f t="shared" si="7"/>
        <v>1</v>
      </c>
      <c r="B81" t="str">
        <f t="shared" si="8"/>
        <v/>
      </c>
      <c r="C81">
        <f t="shared" si="10"/>
        <v>1</v>
      </c>
      <c r="D81" s="4"/>
      <c r="F81" t="s">
        <v>43</v>
      </c>
      <c r="G81" t="s">
        <v>46</v>
      </c>
      <c r="M81">
        <f t="shared" si="11"/>
        <v>0</v>
      </c>
      <c r="N81">
        <f t="shared" si="9"/>
        <v>0</v>
      </c>
      <c r="P81" t="e">
        <f>INDEX(Items!B$2:B$1032,MATCH($O81,Items!$A$2:$A$1032,0))</f>
        <v>#N/A</v>
      </c>
      <c r="Q81" t="e">
        <f>INDEX(Items!C$2:C$1032,MATCH($O81,Items!$A$2:$A$1032,0))</f>
        <v>#N/A</v>
      </c>
      <c r="R81" t="e">
        <f>INDEX(Items!D$2:D$1032,MATCH($O81,Items!$A$2:$A$1032,0))</f>
        <v>#N/A</v>
      </c>
    </row>
    <row r="82" spans="1:18" x14ac:dyDescent="0.25">
      <c r="A82">
        <f t="shared" si="7"/>
        <v>1</v>
      </c>
      <c r="B82" t="str">
        <f t="shared" si="8"/>
        <v/>
      </c>
      <c r="C82">
        <f t="shared" si="10"/>
        <v>1</v>
      </c>
      <c r="D82" s="4"/>
      <c r="F82" t="s">
        <v>43</v>
      </c>
      <c r="G82" t="s">
        <v>46</v>
      </c>
      <c r="M82">
        <f t="shared" si="11"/>
        <v>0</v>
      </c>
      <c r="N82">
        <f t="shared" si="9"/>
        <v>0</v>
      </c>
      <c r="P82" t="e">
        <f>INDEX(Items!B$2:B$1032,MATCH($O82,Items!$A$2:$A$1032,0))</f>
        <v>#N/A</v>
      </c>
      <c r="Q82" t="e">
        <f>INDEX(Items!C$2:C$1032,MATCH($O82,Items!$A$2:$A$1032,0))</f>
        <v>#N/A</v>
      </c>
      <c r="R82" t="e">
        <f>INDEX(Items!D$2:D$1032,MATCH($O82,Items!$A$2:$A$1032,0))</f>
        <v>#N/A</v>
      </c>
    </row>
    <row r="83" spans="1:18" x14ac:dyDescent="0.25">
      <c r="A83">
        <f t="shared" si="7"/>
        <v>1</v>
      </c>
      <c r="B83" t="str">
        <f t="shared" si="8"/>
        <v/>
      </c>
      <c r="C83">
        <f t="shared" si="10"/>
        <v>1</v>
      </c>
      <c r="D83" s="4"/>
      <c r="F83" t="e">
        <f>INDEX(Establishment!B$2:B$1005,MATCH($E83,Establishment!$A$2:$A$1005,0))</f>
        <v>#N/A</v>
      </c>
      <c r="G83" t="e">
        <f>INDEX(Establishment!C$2:C$1005,MATCH($E83,Establishment!$A$2:$A$1005,0))</f>
        <v>#N/A</v>
      </c>
      <c r="M83">
        <f t="shared" si="11"/>
        <v>0</v>
      </c>
      <c r="N83">
        <f t="shared" si="9"/>
        <v>0</v>
      </c>
      <c r="P83" t="e">
        <f>INDEX(Items!B$2:B$1032,MATCH($O83,Items!$A$2:$A$1032,0))</f>
        <v>#N/A</v>
      </c>
      <c r="Q83" t="e">
        <f>INDEX(Items!C$2:C$1032,MATCH($O83,Items!$A$2:$A$1032,0))</f>
        <v>#N/A</v>
      </c>
      <c r="R83" t="e">
        <f>INDEX(Items!D$2:D$1032,MATCH($O83,Items!$A$2:$A$1032,0))</f>
        <v>#N/A</v>
      </c>
    </row>
    <row r="84" spans="1:18" x14ac:dyDescent="0.25">
      <c r="A84">
        <f t="shared" si="7"/>
        <v>1</v>
      </c>
      <c r="B84" t="str">
        <f t="shared" si="8"/>
        <v/>
      </c>
      <c r="C84">
        <f t="shared" si="10"/>
        <v>1</v>
      </c>
      <c r="D84" s="4"/>
      <c r="F84" t="e">
        <f>INDEX(Establishment!B$2:B$1005,MATCH($E84,Establishment!$A$2:$A$1005,0))</f>
        <v>#N/A</v>
      </c>
      <c r="G84" t="e">
        <f>INDEX(Establishment!C$2:C$1005,MATCH($E84,Establishment!$A$2:$A$1005,0))</f>
        <v>#N/A</v>
      </c>
      <c r="M84">
        <f t="shared" si="11"/>
        <v>0</v>
      </c>
      <c r="N84">
        <f t="shared" si="9"/>
        <v>0</v>
      </c>
      <c r="P84" t="e">
        <f>INDEX(Items!B$2:B$1032,MATCH($O84,Items!$A$2:$A$1032,0))</f>
        <v>#N/A</v>
      </c>
      <c r="Q84" t="e">
        <f>INDEX(Items!C$2:C$1032,MATCH($O84,Items!$A$2:$A$1032,0))</f>
        <v>#N/A</v>
      </c>
      <c r="R84" t="e">
        <f>INDEX(Items!D$2:D$1032,MATCH($O84,Items!$A$2:$A$1032,0))</f>
        <v>#N/A</v>
      </c>
    </row>
    <row r="85" spans="1:18" x14ac:dyDescent="0.25">
      <c r="A85">
        <f t="shared" si="7"/>
        <v>1</v>
      </c>
      <c r="B85" t="str">
        <f t="shared" si="8"/>
        <v/>
      </c>
      <c r="C85">
        <f t="shared" si="10"/>
        <v>1</v>
      </c>
      <c r="D85" s="4"/>
      <c r="F85" t="e">
        <f>INDEX(Establishment!B$2:B$1005,MATCH($E85,Establishment!$A$2:$A$1005,0))</f>
        <v>#N/A</v>
      </c>
      <c r="G85" t="e">
        <f>INDEX(Establishment!C$2:C$1005,MATCH($E85,Establishment!$A$2:$A$1005,0))</f>
        <v>#N/A</v>
      </c>
      <c r="M85">
        <f t="shared" si="11"/>
        <v>0</v>
      </c>
      <c r="N85">
        <f t="shared" si="9"/>
        <v>0</v>
      </c>
      <c r="P85" t="e">
        <f>INDEX(Items!B$2:B$1032,MATCH($O85,Items!$A$2:$A$1032,0))</f>
        <v>#N/A</v>
      </c>
      <c r="Q85" t="e">
        <f>INDEX(Items!C$2:C$1032,MATCH($O85,Items!$A$2:$A$1032,0))</f>
        <v>#N/A</v>
      </c>
      <c r="R85" t="e">
        <f>INDEX(Items!D$2:D$1032,MATCH($O85,Items!$A$2:$A$1032,0))</f>
        <v>#N/A</v>
      </c>
    </row>
    <row r="86" spans="1:18" x14ac:dyDescent="0.25">
      <c r="A86">
        <f t="shared" si="7"/>
        <v>1</v>
      </c>
      <c r="B86" t="str">
        <f t="shared" si="8"/>
        <v/>
      </c>
      <c r="C86">
        <f t="shared" si="10"/>
        <v>1</v>
      </c>
      <c r="D86" s="4"/>
      <c r="F86" t="e">
        <f>INDEX(Establishment!B$2:B$1005,MATCH($E86,Establishment!$A$2:$A$1005,0))</f>
        <v>#N/A</v>
      </c>
      <c r="G86" t="e">
        <f>INDEX(Establishment!C$2:C$1005,MATCH($E86,Establishment!$A$2:$A$1005,0))</f>
        <v>#N/A</v>
      </c>
      <c r="M86">
        <f t="shared" si="11"/>
        <v>0</v>
      </c>
      <c r="N86">
        <f t="shared" si="9"/>
        <v>0</v>
      </c>
      <c r="P86" t="e">
        <f>INDEX(Items!B$2:B$1032,MATCH($O86,Items!$A$2:$A$1032,0))</f>
        <v>#N/A</v>
      </c>
      <c r="Q86" t="e">
        <f>INDEX(Items!C$2:C$1032,MATCH($O86,Items!$A$2:$A$1032,0))</f>
        <v>#N/A</v>
      </c>
      <c r="R86" t="e">
        <f>INDEX(Items!D$2:D$1032,MATCH($O86,Items!$A$2:$A$1032,0))</f>
        <v>#N/A</v>
      </c>
    </row>
    <row r="87" spans="1:18" x14ac:dyDescent="0.25">
      <c r="A87">
        <f t="shared" si="7"/>
        <v>1</v>
      </c>
      <c r="B87" t="str">
        <f t="shared" si="8"/>
        <v/>
      </c>
      <c r="C87">
        <f t="shared" si="10"/>
        <v>1</v>
      </c>
      <c r="D87" s="4"/>
      <c r="F87" t="e">
        <f>INDEX(Establishment!B$2:B$1005,MATCH($E87,Establishment!$A$2:$A$1005,0))</f>
        <v>#N/A</v>
      </c>
      <c r="G87" t="e">
        <f>INDEX(Establishment!C$2:C$1005,MATCH($E87,Establishment!$A$2:$A$1005,0))</f>
        <v>#N/A</v>
      </c>
      <c r="M87">
        <f t="shared" si="11"/>
        <v>0</v>
      </c>
      <c r="N87">
        <f t="shared" si="9"/>
        <v>0</v>
      </c>
      <c r="P87" t="e">
        <f>INDEX(Items!B$2:B$1032,MATCH($O87,Items!$A$2:$A$1032,0))</f>
        <v>#N/A</v>
      </c>
      <c r="Q87" t="e">
        <f>INDEX(Items!C$2:C$1032,MATCH($O87,Items!$A$2:$A$1032,0))</f>
        <v>#N/A</v>
      </c>
      <c r="R87" t="e">
        <f>INDEX(Items!D$2:D$1032,MATCH($O87,Items!$A$2:$A$1032,0))</f>
        <v>#N/A</v>
      </c>
    </row>
    <row r="88" spans="1:18" x14ac:dyDescent="0.25">
      <c r="A88">
        <f t="shared" si="7"/>
        <v>1</v>
      </c>
      <c r="B88" t="str">
        <f t="shared" si="8"/>
        <v/>
      </c>
      <c r="C88">
        <f t="shared" si="10"/>
        <v>1</v>
      </c>
      <c r="D88" s="4"/>
      <c r="F88" t="e">
        <f>INDEX(Establishment!B$2:B$1005,MATCH($E88,Establishment!$A$2:$A$1005,0))</f>
        <v>#N/A</v>
      </c>
      <c r="G88" t="e">
        <f>INDEX(Establishment!C$2:C$1005,MATCH($E88,Establishment!$A$2:$A$1005,0))</f>
        <v>#N/A</v>
      </c>
      <c r="M88">
        <f t="shared" si="11"/>
        <v>0</v>
      </c>
      <c r="N88">
        <f t="shared" si="9"/>
        <v>0</v>
      </c>
      <c r="P88" t="e">
        <f>INDEX(Items!B$2:B$1032,MATCH($O88,Items!$A$2:$A$1032,0))</f>
        <v>#N/A</v>
      </c>
      <c r="Q88" t="e">
        <f>INDEX(Items!C$2:C$1032,MATCH($O88,Items!$A$2:$A$1032,0))</f>
        <v>#N/A</v>
      </c>
      <c r="R88" t="e">
        <f>INDEX(Items!D$2:D$1032,MATCH($O88,Items!$A$2:$A$1032,0))</f>
        <v>#N/A</v>
      </c>
    </row>
    <row r="89" spans="1:18" x14ac:dyDescent="0.25">
      <c r="A89">
        <f t="shared" si="7"/>
        <v>1</v>
      </c>
      <c r="B89" t="str">
        <f t="shared" si="8"/>
        <v/>
      </c>
      <c r="C89">
        <f t="shared" si="10"/>
        <v>1</v>
      </c>
      <c r="D89" s="4"/>
      <c r="F89" t="e">
        <f>INDEX(Establishment!B$2:B$1005,MATCH($E89,Establishment!$A$2:$A$1005,0))</f>
        <v>#N/A</v>
      </c>
      <c r="G89" t="e">
        <f>INDEX(Establishment!C$2:C$1005,MATCH($E89,Establishment!$A$2:$A$1005,0))</f>
        <v>#N/A</v>
      </c>
      <c r="M89">
        <f t="shared" si="11"/>
        <v>0</v>
      </c>
      <c r="N89">
        <f t="shared" si="9"/>
        <v>0</v>
      </c>
      <c r="P89" t="e">
        <f>INDEX(Items!B$2:B$1032,MATCH($O89,Items!$A$2:$A$1032,0))</f>
        <v>#N/A</v>
      </c>
      <c r="Q89" t="e">
        <f>INDEX(Items!C$2:C$1032,MATCH($O89,Items!$A$2:$A$1032,0))</f>
        <v>#N/A</v>
      </c>
      <c r="R89" t="e">
        <f>INDEX(Items!D$2:D$1032,MATCH($O89,Items!$A$2:$A$1032,0))</f>
        <v>#N/A</v>
      </c>
    </row>
    <row r="90" spans="1:18" x14ac:dyDescent="0.25">
      <c r="A90">
        <f t="shared" si="7"/>
        <v>1</v>
      </c>
      <c r="B90" t="str">
        <f t="shared" si="8"/>
        <v/>
      </c>
      <c r="C90">
        <f t="shared" si="10"/>
        <v>1</v>
      </c>
      <c r="D90" s="4"/>
      <c r="F90" t="e">
        <f>INDEX(Establishment!B$2:B$1005,MATCH($E90,Establishment!$A$2:$A$1005,0))</f>
        <v>#N/A</v>
      </c>
      <c r="G90" t="e">
        <f>INDEX(Establishment!C$2:C$1005,MATCH($E90,Establishment!$A$2:$A$1005,0))</f>
        <v>#N/A</v>
      </c>
      <c r="M90">
        <f t="shared" si="11"/>
        <v>0</v>
      </c>
      <c r="N90">
        <f t="shared" si="9"/>
        <v>0</v>
      </c>
      <c r="P90" t="e">
        <f>INDEX(Items!B$2:B$1032,MATCH($O90,Items!$A$2:$A$1032,0))</f>
        <v>#N/A</v>
      </c>
      <c r="Q90" t="e">
        <f>INDEX(Items!C$2:C$1032,MATCH($O90,Items!$A$2:$A$1032,0))</f>
        <v>#N/A</v>
      </c>
      <c r="R90" t="e">
        <f>INDEX(Items!D$2:D$1032,MATCH($O90,Items!$A$2:$A$1032,0))</f>
        <v>#N/A</v>
      </c>
    </row>
    <row r="91" spans="1:18" x14ac:dyDescent="0.25">
      <c r="A91">
        <f t="shared" si="7"/>
        <v>1</v>
      </c>
      <c r="B91" t="str">
        <f t="shared" si="8"/>
        <v/>
      </c>
      <c r="C91">
        <f t="shared" si="10"/>
        <v>1</v>
      </c>
      <c r="D91" s="4"/>
      <c r="F91" t="e">
        <f>INDEX(Establishment!B$2:B$1005,MATCH($E91,Establishment!$A$2:$A$1005,0))</f>
        <v>#N/A</v>
      </c>
      <c r="G91" t="e">
        <f>INDEX(Establishment!C$2:C$1005,MATCH($E91,Establishment!$A$2:$A$1005,0))</f>
        <v>#N/A</v>
      </c>
      <c r="M91">
        <f t="shared" si="11"/>
        <v>0</v>
      </c>
      <c r="N91">
        <f t="shared" si="9"/>
        <v>0</v>
      </c>
      <c r="P91" t="e">
        <f>INDEX(Items!B$2:B$1032,MATCH($O91,Items!$A$2:$A$1032,0))</f>
        <v>#N/A</v>
      </c>
      <c r="Q91" t="e">
        <f>INDEX(Items!C$2:C$1032,MATCH($O91,Items!$A$2:$A$1032,0))</f>
        <v>#N/A</v>
      </c>
      <c r="R91" t="e">
        <f>INDEX(Items!D$2:D$1032,MATCH($O91,Items!$A$2:$A$1032,0))</f>
        <v>#N/A</v>
      </c>
    </row>
    <row r="92" spans="1:18" x14ac:dyDescent="0.25">
      <c r="A92">
        <f t="shared" si="7"/>
        <v>1</v>
      </c>
      <c r="B92" t="str">
        <f t="shared" si="8"/>
        <v/>
      </c>
      <c r="C92">
        <f t="shared" si="10"/>
        <v>1</v>
      </c>
      <c r="D92" s="4"/>
      <c r="F92" t="e">
        <f>INDEX(Establishment!B$2:B$1005,MATCH($E92,Establishment!$A$2:$A$1005,0))</f>
        <v>#N/A</v>
      </c>
      <c r="G92" t="e">
        <f>INDEX(Establishment!C$2:C$1005,MATCH($E92,Establishment!$A$2:$A$1005,0))</f>
        <v>#N/A</v>
      </c>
      <c r="M92">
        <f t="shared" si="11"/>
        <v>0</v>
      </c>
      <c r="N92">
        <f t="shared" si="9"/>
        <v>0</v>
      </c>
      <c r="P92" t="e">
        <f>INDEX(Items!B$2:B$1032,MATCH($O92,Items!$A$2:$A$1032,0))</f>
        <v>#N/A</v>
      </c>
      <c r="Q92" t="e">
        <f>INDEX(Items!C$2:C$1032,MATCH($O92,Items!$A$2:$A$1032,0))</f>
        <v>#N/A</v>
      </c>
      <c r="R92" t="e">
        <f>INDEX(Items!D$2:D$1032,MATCH($O92,Items!$A$2:$A$1032,0))</f>
        <v>#N/A</v>
      </c>
    </row>
    <row r="93" spans="1:18" x14ac:dyDescent="0.25">
      <c r="A93">
        <f t="shared" si="7"/>
        <v>1</v>
      </c>
      <c r="B93" t="str">
        <f t="shared" si="8"/>
        <v/>
      </c>
      <c r="C93">
        <f t="shared" si="10"/>
        <v>1</v>
      </c>
      <c r="D93" s="4"/>
      <c r="E93" t="s">
        <v>18</v>
      </c>
      <c r="F93" t="str">
        <f>INDEX(Establishment!B$2:B$1005,MATCH($E93,Establishment!$A$2:$A$1005,0))</f>
        <v xml:space="preserve"> </v>
      </c>
      <c r="G93" t="str">
        <f>INDEX(Establishment!C$2:C$1005,MATCH($E93,Establishment!$A$2:$A$1005,0))</f>
        <v xml:space="preserve"> </v>
      </c>
      <c r="M93">
        <f t="shared" si="11"/>
        <v>0</v>
      </c>
      <c r="N93">
        <f t="shared" si="9"/>
        <v>0</v>
      </c>
      <c r="P93" t="e">
        <f>INDEX(Items!B$2:B$1032,MATCH($O93,Items!$A$2:$A$1032,0))</f>
        <v>#N/A</v>
      </c>
      <c r="Q93" t="e">
        <f>INDEX(Items!C$2:C$1032,MATCH($O93,Items!$A$2:$A$1032,0))</f>
        <v>#N/A</v>
      </c>
      <c r="R93" t="e">
        <f>INDEX(Items!D$2:D$1032,MATCH($O93,Items!$A$2:$A$1032,0))</f>
        <v>#N/A</v>
      </c>
    </row>
    <row r="94" spans="1:18" x14ac:dyDescent="0.25">
      <c r="A94">
        <f t="shared" si="7"/>
        <v>1</v>
      </c>
      <c r="B94" t="str">
        <f t="shared" si="8"/>
        <v/>
      </c>
      <c r="C94">
        <f t="shared" si="10"/>
        <v>1</v>
      </c>
      <c r="D94" s="4"/>
      <c r="E94" t="s">
        <v>18</v>
      </c>
      <c r="F94" t="str">
        <f>INDEX(Establishment!B$2:B$1005,MATCH($E94,Establishment!$A$2:$A$1005,0))</f>
        <v xml:space="preserve"> </v>
      </c>
      <c r="G94" t="str">
        <f>INDEX(Establishment!C$2:C$1005,MATCH($E94,Establishment!$A$2:$A$1005,0))</f>
        <v xml:space="preserve"> </v>
      </c>
      <c r="M94">
        <f t="shared" si="11"/>
        <v>0</v>
      </c>
      <c r="N94">
        <f t="shared" si="9"/>
        <v>0</v>
      </c>
      <c r="P94" t="e">
        <f>INDEX(Items!B$2:B$1032,MATCH($O94,Items!$A$2:$A$1032,0))</f>
        <v>#N/A</v>
      </c>
      <c r="Q94" t="e">
        <f>INDEX(Items!C$2:C$1032,MATCH($O94,Items!$A$2:$A$1032,0))</f>
        <v>#N/A</v>
      </c>
      <c r="R94" t="e">
        <f>INDEX(Items!D$2:D$1032,MATCH($O94,Items!$A$2:$A$1032,0))</f>
        <v>#N/A</v>
      </c>
    </row>
    <row r="95" spans="1:18" x14ac:dyDescent="0.25">
      <c r="A95">
        <f t="shared" si="7"/>
        <v>1</v>
      </c>
      <c r="B95" t="str">
        <f t="shared" si="8"/>
        <v/>
      </c>
      <c r="C95">
        <f t="shared" si="10"/>
        <v>1</v>
      </c>
      <c r="D95" s="4"/>
      <c r="E95" t="s">
        <v>18</v>
      </c>
      <c r="F95" t="str">
        <f>INDEX(Establishment!B$2:B$1005,MATCH($E95,Establishment!$A$2:$A$1005,0))</f>
        <v xml:space="preserve"> </v>
      </c>
      <c r="G95" t="str">
        <f>INDEX(Establishment!C$2:C$1005,MATCH($E95,Establishment!$A$2:$A$1005,0))</f>
        <v xml:space="preserve"> </v>
      </c>
      <c r="M95">
        <f t="shared" si="11"/>
        <v>0</v>
      </c>
      <c r="N95">
        <f t="shared" si="9"/>
        <v>0</v>
      </c>
      <c r="P95" t="e">
        <f>INDEX(Items!B$2:B$1032,MATCH($O95,Items!$A$2:$A$1032,0))</f>
        <v>#N/A</v>
      </c>
      <c r="Q95" t="e">
        <f>INDEX(Items!C$2:C$1032,MATCH($O95,Items!$A$2:$A$1032,0))</f>
        <v>#N/A</v>
      </c>
      <c r="R95" t="e">
        <f>INDEX(Items!D$2:D$1032,MATCH($O95,Items!$A$2:$A$1032,0))</f>
        <v>#N/A</v>
      </c>
    </row>
    <row r="96" spans="1:18" x14ac:dyDescent="0.25">
      <c r="A96">
        <f t="shared" si="7"/>
        <v>1</v>
      </c>
      <c r="B96" t="str">
        <f t="shared" si="8"/>
        <v/>
      </c>
      <c r="C96">
        <f t="shared" si="10"/>
        <v>1</v>
      </c>
      <c r="D96" s="4"/>
      <c r="E96" t="s">
        <v>18</v>
      </c>
      <c r="F96" t="str">
        <f>INDEX(Establishment!B$2:B$1005,MATCH($E96,Establishment!$A$2:$A$1005,0))</f>
        <v xml:space="preserve"> </v>
      </c>
      <c r="G96" t="str">
        <f>INDEX(Establishment!C$2:C$1005,MATCH($E96,Establishment!$A$2:$A$1005,0))</f>
        <v xml:space="preserve"> </v>
      </c>
      <c r="M96">
        <f t="shared" si="11"/>
        <v>0</v>
      </c>
      <c r="N96">
        <f t="shared" si="9"/>
        <v>0</v>
      </c>
      <c r="P96" t="e">
        <f>INDEX(Items!B$2:B$1032,MATCH($O96,Items!$A$2:$A$1032,0))</f>
        <v>#N/A</v>
      </c>
      <c r="Q96" t="e">
        <f>INDEX(Items!C$2:C$1032,MATCH($O96,Items!$A$2:$A$1032,0))</f>
        <v>#N/A</v>
      </c>
      <c r="R96" t="e">
        <f>INDEX(Items!D$2:D$1032,MATCH($O96,Items!$A$2:$A$1032,0))</f>
        <v>#N/A</v>
      </c>
    </row>
    <row r="97" spans="1:18" x14ac:dyDescent="0.25">
      <c r="A97">
        <f t="shared" si="7"/>
        <v>1</v>
      </c>
      <c r="B97" t="str">
        <f t="shared" si="8"/>
        <v/>
      </c>
      <c r="C97">
        <f t="shared" si="10"/>
        <v>1</v>
      </c>
      <c r="D97" s="4"/>
      <c r="E97" t="s">
        <v>18</v>
      </c>
      <c r="F97" t="str">
        <f>INDEX(Establishment!B$2:B$1005,MATCH($E97,Establishment!$A$2:$A$1005,0))</f>
        <v xml:space="preserve"> </v>
      </c>
      <c r="G97" t="str">
        <f>INDEX(Establishment!C$2:C$1005,MATCH($E97,Establishment!$A$2:$A$1005,0))</f>
        <v xml:space="preserve"> </v>
      </c>
      <c r="M97">
        <f t="shared" si="11"/>
        <v>0</v>
      </c>
      <c r="N97">
        <f t="shared" si="9"/>
        <v>0</v>
      </c>
      <c r="P97" t="e">
        <f>INDEX(Items!B$2:B$1032,MATCH($O97,Items!$A$2:$A$1032,0))</f>
        <v>#N/A</v>
      </c>
      <c r="Q97" t="e">
        <f>INDEX(Items!C$2:C$1032,MATCH($O97,Items!$A$2:$A$1032,0))</f>
        <v>#N/A</v>
      </c>
      <c r="R97" t="e">
        <f>INDEX(Items!D$2:D$1032,MATCH($O97,Items!$A$2:$A$1032,0))</f>
        <v>#N/A</v>
      </c>
    </row>
    <row r="98" spans="1:18" x14ac:dyDescent="0.25">
      <c r="A98">
        <f t="shared" si="7"/>
        <v>1</v>
      </c>
      <c r="B98" t="str">
        <f t="shared" si="8"/>
        <v/>
      </c>
      <c r="C98">
        <f t="shared" si="10"/>
        <v>1</v>
      </c>
      <c r="D98" s="4"/>
      <c r="E98" t="s">
        <v>18</v>
      </c>
      <c r="F98" t="str">
        <f>INDEX(Establishment!B$2:B$1005,MATCH($E98,Establishment!$A$2:$A$1005,0))</f>
        <v xml:space="preserve"> </v>
      </c>
      <c r="G98" t="str">
        <f>INDEX(Establishment!C$2:C$1005,MATCH($E98,Establishment!$A$2:$A$1005,0))</f>
        <v xml:space="preserve"> </v>
      </c>
      <c r="M98">
        <f t="shared" si="11"/>
        <v>0</v>
      </c>
      <c r="N98">
        <f t="shared" si="9"/>
        <v>0</v>
      </c>
      <c r="P98" t="e">
        <f>INDEX(Items!B$2:B$1032,MATCH($O98,Items!$A$2:$A$1032,0))</f>
        <v>#N/A</v>
      </c>
      <c r="Q98" t="e">
        <f>INDEX(Items!C$2:C$1032,MATCH($O98,Items!$A$2:$A$1032,0))</f>
        <v>#N/A</v>
      </c>
      <c r="R98" t="e">
        <f>INDEX(Items!D$2:D$1032,MATCH($O98,Items!$A$2:$A$1032,0))</f>
        <v>#N/A</v>
      </c>
    </row>
    <row r="99" spans="1:18" x14ac:dyDescent="0.25">
      <c r="A99">
        <f t="shared" si="7"/>
        <v>1</v>
      </c>
      <c r="B99" t="str">
        <f t="shared" si="8"/>
        <v>20230621A</v>
      </c>
      <c r="C99">
        <f t="shared" si="10"/>
        <v>1</v>
      </c>
      <c r="D99" s="4">
        <v>45098</v>
      </c>
      <c r="E99" t="s">
        <v>39</v>
      </c>
      <c r="F99" t="str">
        <f>INDEX(Establishment!B$2:B$1005,MATCH($E99,Establishment!$A$2:$A$1005,0))</f>
        <v>Carenderia 14th Floor</v>
      </c>
      <c r="G99" t="str">
        <f>INDEX(Establishment!C$2:C$1005,MATCH($E99,Establishment!$A$2:$A$1005,0))</f>
        <v>ACC Tower Cebu Business Park</v>
      </c>
      <c r="M99">
        <f t="shared" si="11"/>
        <v>0</v>
      </c>
      <c r="N99">
        <f t="shared" si="9"/>
        <v>0</v>
      </c>
      <c r="P99" t="e">
        <f>INDEX(Items!B$2:B$1032,MATCH($O99,Items!$A$2:$A$1032,0))</f>
        <v>#N/A</v>
      </c>
      <c r="Q99" t="e">
        <f>INDEX(Items!C$2:C$1032,MATCH($O99,Items!$A$2:$A$1032,0))</f>
        <v>#N/A</v>
      </c>
      <c r="R99" t="e">
        <f>INDEX(Items!D$2:D$1032,MATCH($O99,Items!$A$2:$A$1032,0))</f>
        <v>#N/A</v>
      </c>
    </row>
    <row r="100" spans="1:18" x14ac:dyDescent="0.25">
      <c r="A100">
        <f t="shared" si="7"/>
        <v>1</v>
      </c>
      <c r="B100" t="str">
        <f t="shared" si="8"/>
        <v/>
      </c>
      <c r="C100">
        <f t="shared" si="10"/>
        <v>1</v>
      </c>
      <c r="D100" s="4"/>
      <c r="F100" t="e">
        <f>INDEX(Establishment!B$2:B$1005,MATCH($E100,Establishment!$A$2:$A$1005,0))</f>
        <v>#N/A</v>
      </c>
      <c r="G100" t="e">
        <f>INDEX(Establishment!C$2:C$1005,MATCH($E100,Establishment!$A$2:$A$1005,0))</f>
        <v>#N/A</v>
      </c>
      <c r="M100">
        <f t="shared" si="11"/>
        <v>0</v>
      </c>
      <c r="N100">
        <f t="shared" si="9"/>
        <v>0</v>
      </c>
      <c r="P100" t="e">
        <f>INDEX(Items!B$2:B$1032,MATCH($O100,Items!$A$2:$A$1032,0))</f>
        <v>#N/A</v>
      </c>
      <c r="Q100" t="e">
        <f>INDEX(Items!C$2:C$1032,MATCH($O100,Items!$A$2:$A$1032,0))</f>
        <v>#N/A</v>
      </c>
      <c r="R100" t="e">
        <f>INDEX(Items!D$2:D$1032,MATCH($O100,Items!$A$2:$A$1032,0))</f>
        <v>#N/A</v>
      </c>
    </row>
    <row r="101" spans="1:18" x14ac:dyDescent="0.25">
      <c r="A101">
        <f t="shared" si="7"/>
        <v>1</v>
      </c>
      <c r="B101" t="str">
        <f t="shared" si="8"/>
        <v/>
      </c>
      <c r="C101">
        <f t="shared" si="10"/>
        <v>1</v>
      </c>
      <c r="D101" s="4"/>
      <c r="E101" t="s">
        <v>18</v>
      </c>
      <c r="F101" t="str">
        <f>INDEX(Establishment!B$2:B$1005,MATCH($E101,Establishment!$A$2:$A$1005,0))</f>
        <v xml:space="preserve"> </v>
      </c>
      <c r="G101" t="str">
        <f>INDEX(Establishment!C$2:C$1005,MATCH($E101,Establishment!$A$2:$A$1005,0))</f>
        <v xml:space="preserve"> </v>
      </c>
      <c r="M101">
        <f t="shared" si="11"/>
        <v>0</v>
      </c>
      <c r="N101">
        <f t="shared" si="9"/>
        <v>0</v>
      </c>
      <c r="P101" t="e">
        <f>INDEX(Items!B$2:B$1032,MATCH($O101,Items!$A$2:$A$1032,0))</f>
        <v>#N/A</v>
      </c>
      <c r="Q101" t="e">
        <f>INDEX(Items!C$2:C$1032,MATCH($O101,Items!$A$2:$A$1032,0))</f>
        <v>#N/A</v>
      </c>
      <c r="R101" t="e">
        <f>INDEX(Items!D$2:D$1032,MATCH($O101,Items!$A$2:$A$1032,0))</f>
        <v>#N/A</v>
      </c>
    </row>
    <row r="102" spans="1:18" x14ac:dyDescent="0.25">
      <c r="A102">
        <f t="shared" si="7"/>
        <v>1</v>
      </c>
      <c r="B102" t="str">
        <f t="shared" si="8"/>
        <v/>
      </c>
      <c r="C102">
        <f t="shared" si="10"/>
        <v>1</v>
      </c>
      <c r="D102" s="4"/>
      <c r="E102" t="s">
        <v>18</v>
      </c>
      <c r="F102" t="str">
        <f>INDEX(Establishment!B$2:B$1005,MATCH($E102,Establishment!$A$2:$A$1005,0))</f>
        <v xml:space="preserve"> </v>
      </c>
      <c r="G102" t="str">
        <f>INDEX(Establishment!C$2:C$1005,MATCH($E102,Establishment!$A$2:$A$1005,0))</f>
        <v xml:space="preserve"> </v>
      </c>
      <c r="M102">
        <f t="shared" si="11"/>
        <v>0</v>
      </c>
      <c r="N102">
        <f t="shared" si="9"/>
        <v>0</v>
      </c>
      <c r="P102" t="e">
        <f>INDEX(Items!B$2:B$1032,MATCH($O102,Items!$A$2:$A$1032,0))</f>
        <v>#N/A</v>
      </c>
      <c r="Q102" t="e">
        <f>INDEX(Items!C$2:C$1032,MATCH($O102,Items!$A$2:$A$1032,0))</f>
        <v>#N/A</v>
      </c>
      <c r="R102" t="e">
        <f>INDEX(Items!D$2:D$1032,MATCH($O102,Items!$A$2:$A$1032,0))</f>
        <v>#N/A</v>
      </c>
    </row>
    <row r="103" spans="1:18" x14ac:dyDescent="0.25">
      <c r="A103">
        <f t="shared" si="7"/>
        <v>1</v>
      </c>
      <c r="B103" t="str">
        <f t="shared" si="8"/>
        <v/>
      </c>
      <c r="C103">
        <f t="shared" si="10"/>
        <v>1</v>
      </c>
      <c r="D103" s="4"/>
      <c r="E103" t="s">
        <v>18</v>
      </c>
      <c r="F103" t="str">
        <f>INDEX(Establishment!B$2:B$1005,MATCH($E103,Establishment!$A$2:$A$1005,0))</f>
        <v xml:space="preserve"> </v>
      </c>
      <c r="G103" t="str">
        <f>INDEX(Establishment!C$2:C$1005,MATCH($E103,Establishment!$A$2:$A$1005,0))</f>
        <v xml:space="preserve"> </v>
      </c>
      <c r="M103">
        <f t="shared" si="11"/>
        <v>0</v>
      </c>
      <c r="N103">
        <f t="shared" si="9"/>
        <v>0</v>
      </c>
      <c r="P103" t="e">
        <f>INDEX(Items!B$2:B$1032,MATCH($O103,Items!$A$2:$A$1032,0))</f>
        <v>#N/A</v>
      </c>
      <c r="Q103" t="e">
        <f>INDEX(Items!C$2:C$1032,MATCH($O103,Items!$A$2:$A$1032,0))</f>
        <v>#N/A</v>
      </c>
      <c r="R103" t="e">
        <f>INDEX(Items!D$2:D$1032,MATCH($O103,Items!$A$2:$A$1032,0))</f>
        <v>#N/A</v>
      </c>
    </row>
    <row r="104" spans="1:18" x14ac:dyDescent="0.25">
      <c r="A104">
        <f t="shared" si="7"/>
        <v>1</v>
      </c>
      <c r="B104" t="str">
        <f t="shared" si="8"/>
        <v/>
      </c>
      <c r="C104">
        <f t="shared" si="10"/>
        <v>1</v>
      </c>
      <c r="D104" s="4"/>
      <c r="E104" t="s">
        <v>18</v>
      </c>
      <c r="F104" t="str">
        <f>INDEX(Establishment!B$2:B$1005,MATCH($E104,Establishment!$A$2:$A$1005,0))</f>
        <v xml:space="preserve"> </v>
      </c>
      <c r="G104" t="str">
        <f>INDEX(Establishment!C$2:C$1005,MATCH($E104,Establishment!$A$2:$A$1005,0))</f>
        <v xml:space="preserve"> </v>
      </c>
      <c r="M104">
        <f t="shared" si="11"/>
        <v>0</v>
      </c>
      <c r="N104">
        <f t="shared" si="9"/>
        <v>0</v>
      </c>
      <c r="P104" t="e">
        <f>INDEX(Items!B$2:B$1032,MATCH($O104,Items!$A$2:$A$1032,0))</f>
        <v>#N/A</v>
      </c>
      <c r="Q104" t="e">
        <f>INDEX(Items!C$2:C$1032,MATCH($O104,Items!$A$2:$A$1032,0))</f>
        <v>#N/A</v>
      </c>
      <c r="R104" t="e">
        <f>INDEX(Items!D$2:D$1032,MATCH($O104,Items!$A$2:$A$1032,0))</f>
        <v>#N/A</v>
      </c>
    </row>
    <row r="105" spans="1:18" x14ac:dyDescent="0.25">
      <c r="A105">
        <f t="shared" si="7"/>
        <v>1</v>
      </c>
      <c r="B105" t="str">
        <f t="shared" si="8"/>
        <v/>
      </c>
      <c r="C105">
        <f t="shared" si="10"/>
        <v>1</v>
      </c>
      <c r="D105" s="4"/>
      <c r="E105" t="s">
        <v>18</v>
      </c>
      <c r="F105" t="str">
        <f>INDEX(Establishment!B$2:B$1005,MATCH($E105,Establishment!$A$2:$A$1005,0))</f>
        <v xml:space="preserve"> </v>
      </c>
      <c r="G105" t="str">
        <f>INDEX(Establishment!C$2:C$1005,MATCH($E105,Establishment!$A$2:$A$1005,0))</f>
        <v xml:space="preserve"> </v>
      </c>
      <c r="M105">
        <f t="shared" si="11"/>
        <v>0</v>
      </c>
      <c r="N105">
        <f t="shared" si="9"/>
        <v>0</v>
      </c>
      <c r="P105" t="e">
        <f>INDEX(Items!B$2:B$1032,MATCH($O105,Items!$A$2:$A$1032,0))</f>
        <v>#N/A</v>
      </c>
      <c r="Q105" t="e">
        <f>INDEX(Items!C$2:C$1032,MATCH($O105,Items!$A$2:$A$1032,0))</f>
        <v>#N/A</v>
      </c>
      <c r="R105" t="e">
        <f>INDEX(Items!D$2:D$1032,MATCH($O105,Items!$A$2:$A$1032,0))</f>
        <v>#N/A</v>
      </c>
    </row>
    <row r="106" spans="1:18" x14ac:dyDescent="0.25">
      <c r="A106">
        <f t="shared" si="7"/>
        <v>1</v>
      </c>
      <c r="B106" t="str">
        <f t="shared" si="8"/>
        <v/>
      </c>
      <c r="C106">
        <f t="shared" si="10"/>
        <v>1</v>
      </c>
      <c r="D106" s="4"/>
      <c r="E106" t="s">
        <v>18</v>
      </c>
      <c r="F106" t="str">
        <f>INDEX(Establishment!B$2:B$1005,MATCH($E106,Establishment!$A$2:$A$1005,0))</f>
        <v xml:space="preserve"> </v>
      </c>
      <c r="G106" t="str">
        <f>INDEX(Establishment!C$2:C$1005,MATCH($E106,Establishment!$A$2:$A$1005,0))</f>
        <v xml:space="preserve"> </v>
      </c>
      <c r="M106">
        <f t="shared" si="11"/>
        <v>0</v>
      </c>
      <c r="N106">
        <f t="shared" si="9"/>
        <v>0</v>
      </c>
      <c r="P106" t="e">
        <f>INDEX(Items!B$2:B$1032,MATCH($O106,Items!$A$2:$A$1032,0))</f>
        <v>#N/A</v>
      </c>
      <c r="Q106" t="e">
        <f>INDEX(Items!C$2:C$1032,MATCH($O106,Items!$A$2:$A$1032,0))</f>
        <v>#N/A</v>
      </c>
      <c r="R106" t="e">
        <f>INDEX(Items!D$2:D$1032,MATCH($O106,Items!$A$2:$A$1032,0))</f>
        <v>#N/A</v>
      </c>
    </row>
    <row r="107" spans="1:18" x14ac:dyDescent="0.25">
      <c r="A107">
        <f t="shared" si="7"/>
        <v>1</v>
      </c>
      <c r="B107" t="str">
        <f t="shared" si="8"/>
        <v/>
      </c>
      <c r="C107">
        <f t="shared" si="10"/>
        <v>1</v>
      </c>
      <c r="D107" s="4"/>
      <c r="E107" t="s">
        <v>18</v>
      </c>
      <c r="F107" t="str">
        <f>INDEX(Establishment!B$2:B$1005,MATCH($E107,Establishment!$A$2:$A$1005,0))</f>
        <v xml:space="preserve"> </v>
      </c>
      <c r="G107" t="str">
        <f>INDEX(Establishment!C$2:C$1005,MATCH($E107,Establishment!$A$2:$A$1005,0))</f>
        <v xml:space="preserve"> </v>
      </c>
      <c r="M107">
        <f t="shared" si="11"/>
        <v>0</v>
      </c>
      <c r="N107">
        <f t="shared" si="9"/>
        <v>0</v>
      </c>
      <c r="P107" t="e">
        <f>INDEX(Items!B$2:B$1032,MATCH($O107,Items!$A$2:$A$1032,0))</f>
        <v>#N/A</v>
      </c>
      <c r="Q107" t="e">
        <f>INDEX(Items!C$2:C$1032,MATCH($O107,Items!$A$2:$A$1032,0))</f>
        <v>#N/A</v>
      </c>
      <c r="R107" t="e">
        <f>INDEX(Items!D$2:D$1032,MATCH($O107,Items!$A$2:$A$1032,0))</f>
        <v>#N/A</v>
      </c>
    </row>
    <row r="108" spans="1:18" x14ac:dyDescent="0.25">
      <c r="A108">
        <f t="shared" si="7"/>
        <v>1</v>
      </c>
      <c r="B108" t="str">
        <f t="shared" si="8"/>
        <v/>
      </c>
      <c r="C108">
        <f t="shared" si="10"/>
        <v>1</v>
      </c>
      <c r="D108" s="4"/>
      <c r="E108" t="s">
        <v>18</v>
      </c>
      <c r="F108" t="str">
        <f>INDEX(Establishment!B$2:B$1005,MATCH($E108,Establishment!$A$2:$A$1005,0))</f>
        <v xml:space="preserve"> </v>
      </c>
      <c r="G108" t="str">
        <f>INDEX(Establishment!C$2:C$1005,MATCH($E108,Establishment!$A$2:$A$1005,0))</f>
        <v xml:space="preserve"> </v>
      </c>
      <c r="M108">
        <f t="shared" si="11"/>
        <v>0</v>
      </c>
      <c r="N108">
        <f t="shared" si="9"/>
        <v>0</v>
      </c>
      <c r="P108" t="e">
        <f>INDEX(Items!B$2:B$1032,MATCH($O108,Items!$A$2:$A$1032,0))</f>
        <v>#N/A</v>
      </c>
      <c r="Q108" t="e">
        <f>INDEX(Items!C$2:C$1032,MATCH($O108,Items!$A$2:$A$1032,0))</f>
        <v>#N/A</v>
      </c>
      <c r="R108" t="e">
        <f>INDEX(Items!D$2:D$1032,MATCH($O108,Items!$A$2:$A$1032,0))</f>
        <v>#N/A</v>
      </c>
    </row>
    <row r="109" spans="1:18" x14ac:dyDescent="0.25">
      <c r="A109">
        <f t="shared" si="7"/>
        <v>1</v>
      </c>
      <c r="B109" t="str">
        <f t="shared" si="8"/>
        <v/>
      </c>
      <c r="C109">
        <f t="shared" si="10"/>
        <v>1</v>
      </c>
      <c r="D109" s="4"/>
      <c r="E109" t="s">
        <v>18</v>
      </c>
      <c r="F109" t="str">
        <f>INDEX(Establishment!B$2:B$1005,MATCH($E109,Establishment!$A$2:$A$1005,0))</f>
        <v xml:space="preserve"> </v>
      </c>
      <c r="G109" t="str">
        <f>INDEX(Establishment!C$2:C$1005,MATCH($E109,Establishment!$A$2:$A$1005,0))</f>
        <v xml:space="preserve"> </v>
      </c>
      <c r="M109">
        <f t="shared" si="11"/>
        <v>0</v>
      </c>
      <c r="N109">
        <f t="shared" si="9"/>
        <v>0</v>
      </c>
      <c r="P109" t="e">
        <f>INDEX(Items!B$2:B$1032,MATCH($O109,Items!$A$2:$A$1032,0))</f>
        <v>#N/A</v>
      </c>
      <c r="Q109" t="e">
        <f>INDEX(Items!C$2:C$1032,MATCH($O109,Items!$A$2:$A$1032,0))</f>
        <v>#N/A</v>
      </c>
      <c r="R109" t="e">
        <f>INDEX(Items!D$2:D$1032,MATCH($O109,Items!$A$2:$A$1032,0))</f>
        <v>#N/A</v>
      </c>
    </row>
    <row r="110" spans="1:18" x14ac:dyDescent="0.25">
      <c r="A110">
        <f t="shared" si="7"/>
        <v>1</v>
      </c>
      <c r="B110" t="str">
        <f t="shared" si="8"/>
        <v/>
      </c>
      <c r="C110">
        <f t="shared" si="10"/>
        <v>1</v>
      </c>
      <c r="D110" s="4"/>
      <c r="E110" t="s">
        <v>18</v>
      </c>
      <c r="F110" t="str">
        <f>INDEX(Establishment!B$2:B$1005,MATCH($E110,Establishment!$A$2:$A$1005,0))</f>
        <v xml:space="preserve"> </v>
      </c>
      <c r="G110" t="str">
        <f>INDEX(Establishment!C$2:C$1005,MATCH($E110,Establishment!$A$2:$A$1005,0))</f>
        <v xml:space="preserve"> </v>
      </c>
      <c r="M110">
        <f t="shared" si="11"/>
        <v>0</v>
      </c>
      <c r="N110">
        <f t="shared" si="9"/>
        <v>0</v>
      </c>
      <c r="P110" t="e">
        <f>INDEX(Items!B$2:B$1032,MATCH($O110,Items!$A$2:$A$1032,0))</f>
        <v>#N/A</v>
      </c>
      <c r="Q110" t="e">
        <f>INDEX(Items!C$2:C$1032,MATCH($O110,Items!$A$2:$A$1032,0))</f>
        <v>#N/A</v>
      </c>
      <c r="R110" t="e">
        <f>INDEX(Items!D$2:D$1032,MATCH($O110,Items!$A$2:$A$1032,0))</f>
        <v>#N/A</v>
      </c>
    </row>
    <row r="111" spans="1:18" x14ac:dyDescent="0.25">
      <c r="A111">
        <f t="shared" si="7"/>
        <v>1</v>
      </c>
      <c r="B111" t="str">
        <f t="shared" si="8"/>
        <v/>
      </c>
      <c r="C111">
        <f t="shared" si="10"/>
        <v>1</v>
      </c>
      <c r="D111" s="4"/>
      <c r="E111" t="s">
        <v>18</v>
      </c>
      <c r="F111" t="str">
        <f>INDEX(Establishment!B$2:B$1005,MATCH($E111,Establishment!$A$2:$A$1005,0))</f>
        <v xml:space="preserve"> </v>
      </c>
      <c r="G111" t="str">
        <f>INDEX(Establishment!C$2:C$1005,MATCH($E111,Establishment!$A$2:$A$1005,0))</f>
        <v xml:space="preserve"> </v>
      </c>
      <c r="M111">
        <f t="shared" si="11"/>
        <v>0</v>
      </c>
      <c r="N111">
        <f t="shared" si="9"/>
        <v>0</v>
      </c>
      <c r="P111" t="e">
        <f>INDEX(Items!B$2:B$1032,MATCH($O111,Items!$A$2:$A$1032,0))</f>
        <v>#N/A</v>
      </c>
      <c r="Q111" t="e">
        <f>INDEX(Items!C$2:C$1032,MATCH($O111,Items!$A$2:$A$1032,0))</f>
        <v>#N/A</v>
      </c>
      <c r="R111" t="e">
        <f>INDEX(Items!D$2:D$1032,MATCH($O111,Items!$A$2:$A$1032,0))</f>
        <v>#N/A</v>
      </c>
    </row>
    <row r="112" spans="1:18" x14ac:dyDescent="0.25">
      <c r="A112">
        <f t="shared" si="7"/>
        <v>1</v>
      </c>
      <c r="B112" t="str">
        <f t="shared" si="8"/>
        <v/>
      </c>
      <c r="C112">
        <f t="shared" si="10"/>
        <v>1</v>
      </c>
      <c r="D112" s="4"/>
      <c r="E112" t="s">
        <v>18</v>
      </c>
      <c r="F112" t="str">
        <f>INDEX(Establishment!B$2:B$1005,MATCH($E112,Establishment!$A$2:$A$1005,0))</f>
        <v xml:space="preserve"> </v>
      </c>
      <c r="G112" t="str">
        <f>INDEX(Establishment!C$2:C$1005,MATCH($E112,Establishment!$A$2:$A$1005,0))</f>
        <v xml:space="preserve"> </v>
      </c>
      <c r="M112">
        <f t="shared" si="11"/>
        <v>0</v>
      </c>
      <c r="N112">
        <f t="shared" si="9"/>
        <v>0</v>
      </c>
      <c r="P112" t="e">
        <f>INDEX(Items!B$2:B$1032,MATCH($O112,Items!$A$2:$A$1032,0))</f>
        <v>#N/A</v>
      </c>
      <c r="Q112" t="e">
        <f>INDEX(Items!C$2:C$1032,MATCH($O112,Items!$A$2:$A$1032,0))</f>
        <v>#N/A</v>
      </c>
      <c r="R112" t="e">
        <f>INDEX(Items!D$2:D$1032,MATCH($O112,Items!$A$2:$A$1032,0))</f>
        <v>#N/A</v>
      </c>
    </row>
    <row r="113" spans="1:18" x14ac:dyDescent="0.25">
      <c r="A113">
        <f t="shared" si="7"/>
        <v>1</v>
      </c>
      <c r="B113" t="str">
        <f t="shared" si="8"/>
        <v/>
      </c>
      <c r="C113">
        <f t="shared" si="10"/>
        <v>1</v>
      </c>
      <c r="D113" s="4"/>
      <c r="E113" t="s">
        <v>18</v>
      </c>
      <c r="F113" t="str">
        <f>INDEX(Establishment!B$2:B$1005,MATCH($E113,Establishment!$A$2:$A$1005,0))</f>
        <v xml:space="preserve"> </v>
      </c>
      <c r="G113" t="str">
        <f>INDEX(Establishment!C$2:C$1005,MATCH($E113,Establishment!$A$2:$A$1005,0))</f>
        <v xml:space="preserve"> </v>
      </c>
      <c r="M113">
        <f t="shared" si="11"/>
        <v>0</v>
      </c>
      <c r="N113">
        <f t="shared" si="9"/>
        <v>0</v>
      </c>
      <c r="P113" t="e">
        <f>INDEX(Items!B$2:B$1032,MATCH($O113,Items!$A$2:$A$1032,0))</f>
        <v>#N/A</v>
      </c>
      <c r="Q113" t="e">
        <f>INDEX(Items!C$2:C$1032,MATCH($O113,Items!$A$2:$A$1032,0))</f>
        <v>#N/A</v>
      </c>
      <c r="R113" t="e">
        <f>INDEX(Items!D$2:D$1032,MATCH($O113,Items!$A$2:$A$1032,0))</f>
        <v>#N/A</v>
      </c>
    </row>
    <row r="114" spans="1:18" x14ac:dyDescent="0.25">
      <c r="A114">
        <f t="shared" si="7"/>
        <v>1</v>
      </c>
      <c r="B114" t="str">
        <f t="shared" si="8"/>
        <v/>
      </c>
      <c r="C114">
        <f t="shared" si="10"/>
        <v>1</v>
      </c>
      <c r="D114" s="4"/>
      <c r="E114" t="s">
        <v>18</v>
      </c>
      <c r="F114" t="str">
        <f>INDEX(Establishment!B$2:B$1005,MATCH($E114,Establishment!$A$2:$A$1005,0))</f>
        <v xml:space="preserve"> </v>
      </c>
      <c r="G114" t="str">
        <f>INDEX(Establishment!C$2:C$1005,MATCH($E114,Establishment!$A$2:$A$1005,0))</f>
        <v xml:space="preserve"> </v>
      </c>
      <c r="M114">
        <f t="shared" si="11"/>
        <v>0</v>
      </c>
      <c r="N114">
        <f t="shared" si="9"/>
        <v>0</v>
      </c>
      <c r="P114" t="e">
        <f>INDEX(Items!B$2:B$1032,MATCH($O114,Items!$A$2:$A$1032,0))</f>
        <v>#N/A</v>
      </c>
      <c r="Q114" t="e">
        <f>INDEX(Items!C$2:C$1032,MATCH($O114,Items!$A$2:$A$1032,0))</f>
        <v>#N/A</v>
      </c>
      <c r="R114" t="e">
        <f>INDEX(Items!D$2:D$1032,MATCH($O114,Items!$A$2:$A$1032,0))</f>
        <v>#N/A</v>
      </c>
    </row>
    <row r="115" spans="1:18" x14ac:dyDescent="0.25">
      <c r="A115">
        <f t="shared" si="7"/>
        <v>1</v>
      </c>
      <c r="B115" t="str">
        <f t="shared" si="8"/>
        <v/>
      </c>
      <c r="C115">
        <f t="shared" si="10"/>
        <v>1</v>
      </c>
      <c r="D115" s="4"/>
      <c r="E115" t="s">
        <v>18</v>
      </c>
      <c r="F115" t="str">
        <f>INDEX(Establishment!B$2:B$1005,MATCH($E115,Establishment!$A$2:$A$1005,0))</f>
        <v xml:space="preserve"> </v>
      </c>
      <c r="G115" t="str">
        <f>INDEX(Establishment!C$2:C$1005,MATCH($E115,Establishment!$A$2:$A$1005,0))</f>
        <v xml:space="preserve"> </v>
      </c>
      <c r="M115">
        <f t="shared" si="11"/>
        <v>0</v>
      </c>
      <c r="N115">
        <f t="shared" si="9"/>
        <v>0</v>
      </c>
      <c r="P115" t="e">
        <f>INDEX(Items!B$2:B$1032,MATCH($O115,Items!$A$2:$A$1032,0))</f>
        <v>#N/A</v>
      </c>
      <c r="Q115" t="e">
        <f>INDEX(Items!C$2:C$1032,MATCH($O115,Items!$A$2:$A$1032,0))</f>
        <v>#N/A</v>
      </c>
      <c r="R115" t="e">
        <f>INDEX(Items!D$2:D$1032,MATCH($O115,Items!$A$2:$A$1032,0))</f>
        <v>#N/A</v>
      </c>
    </row>
    <row r="116" spans="1:18" x14ac:dyDescent="0.25">
      <c r="A116">
        <f t="shared" si="7"/>
        <v>1</v>
      </c>
      <c r="B116" t="str">
        <f t="shared" si="8"/>
        <v/>
      </c>
      <c r="C116">
        <f t="shared" si="10"/>
        <v>1</v>
      </c>
      <c r="D116" s="4"/>
      <c r="E116" t="s">
        <v>18</v>
      </c>
      <c r="F116" t="str">
        <f>INDEX(Establishment!B$2:B$1005,MATCH($E116,Establishment!$A$2:$A$1005,0))</f>
        <v xml:space="preserve"> </v>
      </c>
      <c r="G116" t="str">
        <f>INDEX(Establishment!C$2:C$1005,MATCH($E116,Establishment!$A$2:$A$1005,0))</f>
        <v xml:space="preserve"> </v>
      </c>
      <c r="M116">
        <f t="shared" si="11"/>
        <v>0</v>
      </c>
      <c r="N116">
        <f t="shared" si="9"/>
        <v>0</v>
      </c>
      <c r="P116" t="e">
        <f>INDEX(Items!B$2:B$1032,MATCH($O116,Items!$A$2:$A$1032,0))</f>
        <v>#N/A</v>
      </c>
      <c r="Q116" t="e">
        <f>INDEX(Items!C$2:C$1032,MATCH($O116,Items!$A$2:$A$1032,0))</f>
        <v>#N/A</v>
      </c>
      <c r="R116" t="e">
        <f>INDEX(Items!D$2:D$1032,MATCH($O116,Items!$A$2:$A$1032,0))</f>
        <v>#N/A</v>
      </c>
    </row>
    <row r="117" spans="1:18" x14ac:dyDescent="0.25">
      <c r="A117">
        <f t="shared" si="7"/>
        <v>1</v>
      </c>
      <c r="B117" t="str">
        <f t="shared" si="8"/>
        <v/>
      </c>
      <c r="C117">
        <f t="shared" si="10"/>
        <v>1</v>
      </c>
      <c r="D117" s="4"/>
      <c r="E117" t="s">
        <v>18</v>
      </c>
      <c r="F117" t="str">
        <f>INDEX(Establishment!B$2:B$1005,MATCH($E117,Establishment!$A$2:$A$1005,0))</f>
        <v xml:space="preserve"> </v>
      </c>
      <c r="G117" t="str">
        <f>INDEX(Establishment!C$2:C$1005,MATCH($E117,Establishment!$A$2:$A$1005,0))</f>
        <v xml:space="preserve"> </v>
      </c>
      <c r="M117">
        <f t="shared" si="11"/>
        <v>0</v>
      </c>
      <c r="N117">
        <f t="shared" si="9"/>
        <v>0</v>
      </c>
      <c r="P117" t="e">
        <f>INDEX(Items!B$2:B$1032,MATCH($O117,Items!$A$2:$A$1032,0))</f>
        <v>#N/A</v>
      </c>
      <c r="Q117" t="e">
        <f>INDEX(Items!C$2:C$1032,MATCH($O117,Items!$A$2:$A$1032,0))</f>
        <v>#N/A</v>
      </c>
      <c r="R117" t="e">
        <f>INDEX(Items!D$2:D$1032,MATCH($O117,Items!$A$2:$A$1032,0))</f>
        <v>#N/A</v>
      </c>
    </row>
    <row r="118" spans="1:18" x14ac:dyDescent="0.25">
      <c r="A118">
        <f t="shared" si="7"/>
        <v>1</v>
      </c>
      <c r="B118" t="str">
        <f t="shared" si="8"/>
        <v/>
      </c>
      <c r="C118">
        <f t="shared" si="10"/>
        <v>1</v>
      </c>
      <c r="D118" s="4"/>
      <c r="E118" t="s">
        <v>18</v>
      </c>
      <c r="F118" t="str">
        <f>INDEX(Establishment!B$2:B$1005,MATCH($E118,Establishment!$A$2:$A$1005,0))</f>
        <v xml:space="preserve"> </v>
      </c>
      <c r="G118" t="str">
        <f>INDEX(Establishment!C$2:C$1005,MATCH($E118,Establishment!$A$2:$A$1005,0))</f>
        <v xml:space="preserve"> </v>
      </c>
      <c r="M118">
        <f t="shared" si="11"/>
        <v>0</v>
      </c>
      <c r="N118">
        <f t="shared" si="9"/>
        <v>0</v>
      </c>
      <c r="P118" t="e">
        <f>INDEX(Items!B$2:B$1032,MATCH($O118,Items!$A$2:$A$1032,0))</f>
        <v>#N/A</v>
      </c>
      <c r="Q118" t="e">
        <f>INDEX(Items!C$2:C$1032,MATCH($O118,Items!$A$2:$A$1032,0))</f>
        <v>#N/A</v>
      </c>
      <c r="R118" t="e">
        <f>INDEX(Items!D$2:D$1032,MATCH($O118,Items!$A$2:$A$1032,0))</f>
        <v>#N/A</v>
      </c>
    </row>
    <row r="119" spans="1:18" x14ac:dyDescent="0.25">
      <c r="A119">
        <f t="shared" si="7"/>
        <v>1</v>
      </c>
      <c r="B119" t="str">
        <f t="shared" si="8"/>
        <v/>
      </c>
      <c r="C119">
        <f t="shared" si="10"/>
        <v>1</v>
      </c>
      <c r="D119" s="4"/>
      <c r="E119" t="s">
        <v>18</v>
      </c>
      <c r="F119" t="str">
        <f>INDEX(Establishment!B$2:B$1005,MATCH($E119,Establishment!$A$2:$A$1005,0))</f>
        <v xml:space="preserve"> </v>
      </c>
      <c r="G119" t="str">
        <f>INDEX(Establishment!C$2:C$1005,MATCH($E119,Establishment!$A$2:$A$1005,0))</f>
        <v xml:space="preserve"> </v>
      </c>
      <c r="M119">
        <f t="shared" si="11"/>
        <v>0</v>
      </c>
      <c r="N119">
        <f t="shared" si="9"/>
        <v>0</v>
      </c>
      <c r="P119" t="e">
        <f>INDEX(Items!B$2:B$1032,MATCH($O119,Items!$A$2:$A$1032,0))</f>
        <v>#N/A</v>
      </c>
      <c r="Q119" t="e">
        <f>INDEX(Items!C$2:C$1032,MATCH($O119,Items!$A$2:$A$1032,0))</f>
        <v>#N/A</v>
      </c>
      <c r="R119" t="e">
        <f>INDEX(Items!D$2:D$1032,MATCH($O119,Items!$A$2:$A$1032,0))</f>
        <v>#N/A</v>
      </c>
    </row>
    <row r="120" spans="1:18" x14ac:dyDescent="0.25">
      <c r="A120">
        <f t="shared" si="7"/>
        <v>1</v>
      </c>
      <c r="B120" t="str">
        <f t="shared" si="8"/>
        <v/>
      </c>
      <c r="C120">
        <f t="shared" si="10"/>
        <v>1</v>
      </c>
      <c r="D120" s="4"/>
      <c r="E120" t="s">
        <v>18</v>
      </c>
      <c r="F120" t="str">
        <f>INDEX(Establishment!B$2:B$1005,MATCH($E120,Establishment!$A$2:$A$1005,0))</f>
        <v xml:space="preserve"> </v>
      </c>
      <c r="G120" t="str">
        <f>INDEX(Establishment!C$2:C$1005,MATCH($E120,Establishment!$A$2:$A$1005,0))</f>
        <v xml:space="preserve"> </v>
      </c>
      <c r="M120">
        <f t="shared" si="11"/>
        <v>0</v>
      </c>
      <c r="N120">
        <f t="shared" si="9"/>
        <v>0</v>
      </c>
      <c r="P120" t="e">
        <f>INDEX(Items!B$2:B$1032,MATCH($O120,Items!$A$2:$A$1032,0))</f>
        <v>#N/A</v>
      </c>
      <c r="Q120" t="e">
        <f>INDEX(Items!C$2:C$1032,MATCH($O120,Items!$A$2:$A$1032,0))</f>
        <v>#N/A</v>
      </c>
      <c r="R120" t="e">
        <f>INDEX(Items!D$2:D$1032,MATCH($O120,Items!$A$2:$A$1032,0))</f>
        <v>#N/A</v>
      </c>
    </row>
    <row r="121" spans="1:18" x14ac:dyDescent="0.25">
      <c r="A121">
        <f t="shared" si="7"/>
        <v>1</v>
      </c>
      <c r="B121" t="str">
        <f t="shared" si="8"/>
        <v/>
      </c>
      <c r="C121">
        <f t="shared" si="10"/>
        <v>1</v>
      </c>
      <c r="D121" s="4"/>
      <c r="E121" t="s">
        <v>18</v>
      </c>
      <c r="F121" t="str">
        <f>INDEX(Establishment!B$2:B$1005,MATCH($E121,Establishment!$A$2:$A$1005,0))</f>
        <v xml:space="preserve"> </v>
      </c>
      <c r="G121" t="str">
        <f>INDEX(Establishment!C$2:C$1005,MATCH($E121,Establishment!$A$2:$A$1005,0))</f>
        <v xml:space="preserve"> </v>
      </c>
      <c r="M121">
        <f t="shared" si="11"/>
        <v>0</v>
      </c>
      <c r="N121">
        <f t="shared" si="9"/>
        <v>0</v>
      </c>
      <c r="P121" t="e">
        <f>INDEX(Items!B$2:B$1032,MATCH($O121,Items!$A$2:$A$1032,0))</f>
        <v>#N/A</v>
      </c>
      <c r="Q121" t="e">
        <f>INDEX(Items!C$2:C$1032,MATCH($O121,Items!$A$2:$A$1032,0))</f>
        <v>#N/A</v>
      </c>
      <c r="R121" t="e">
        <f>INDEX(Items!D$2:D$1032,MATCH($O121,Items!$A$2:$A$1032,0))</f>
        <v>#N/A</v>
      </c>
    </row>
    <row r="122" spans="1:18" x14ac:dyDescent="0.25">
      <c r="A122">
        <f t="shared" si="7"/>
        <v>1</v>
      </c>
      <c r="B122" t="str">
        <f t="shared" si="8"/>
        <v/>
      </c>
      <c r="C122">
        <f t="shared" si="10"/>
        <v>1</v>
      </c>
      <c r="D122" s="4"/>
      <c r="E122" t="s">
        <v>18</v>
      </c>
      <c r="F122" t="str">
        <f>INDEX(Establishment!B$2:B$1005,MATCH($E122,Establishment!$A$2:$A$1005,0))</f>
        <v xml:space="preserve"> </v>
      </c>
      <c r="G122" t="str">
        <f>INDEX(Establishment!C$2:C$1005,MATCH($E122,Establishment!$A$2:$A$1005,0))</f>
        <v xml:space="preserve"> </v>
      </c>
      <c r="M122">
        <f t="shared" si="11"/>
        <v>0</v>
      </c>
      <c r="N122">
        <f t="shared" si="9"/>
        <v>0</v>
      </c>
      <c r="P122" t="e">
        <f>INDEX(Items!B$2:B$1032,MATCH($O122,Items!$A$2:$A$1032,0))</f>
        <v>#N/A</v>
      </c>
      <c r="Q122" t="e">
        <f>INDEX(Items!C$2:C$1032,MATCH($O122,Items!$A$2:$A$1032,0))</f>
        <v>#N/A</v>
      </c>
      <c r="R122" t="e">
        <f>INDEX(Items!D$2:D$1032,MATCH($O122,Items!$A$2:$A$1032,0))</f>
        <v>#N/A</v>
      </c>
    </row>
    <row r="123" spans="1:18" x14ac:dyDescent="0.25">
      <c r="A123">
        <f t="shared" si="7"/>
        <v>1</v>
      </c>
      <c r="B123" t="str">
        <f t="shared" si="8"/>
        <v/>
      </c>
      <c r="C123">
        <f t="shared" si="10"/>
        <v>1</v>
      </c>
      <c r="D123" s="4"/>
      <c r="E123" t="s">
        <v>18</v>
      </c>
      <c r="F123" t="str">
        <f>INDEX(Establishment!B$2:B$1005,MATCH($E123,Establishment!$A$2:$A$1005,0))</f>
        <v xml:space="preserve"> </v>
      </c>
      <c r="G123" t="str">
        <f>INDEX(Establishment!C$2:C$1005,MATCH($E123,Establishment!$A$2:$A$1005,0))</f>
        <v xml:space="preserve"> </v>
      </c>
      <c r="M123">
        <f t="shared" si="11"/>
        <v>0</v>
      </c>
      <c r="N123">
        <f t="shared" si="9"/>
        <v>0</v>
      </c>
      <c r="P123" t="e">
        <f>INDEX(Items!B$2:B$1032,MATCH($O123,Items!$A$2:$A$1032,0))</f>
        <v>#N/A</v>
      </c>
      <c r="Q123" t="e">
        <f>INDEX(Items!C$2:C$1032,MATCH($O123,Items!$A$2:$A$1032,0))</f>
        <v>#N/A</v>
      </c>
      <c r="R123" t="e">
        <f>INDEX(Items!D$2:D$1032,MATCH($O123,Items!$A$2:$A$1032,0))</f>
        <v>#N/A</v>
      </c>
    </row>
    <row r="124" spans="1:18" x14ac:dyDescent="0.25">
      <c r="A124">
        <f t="shared" si="7"/>
        <v>1</v>
      </c>
      <c r="B124" t="str">
        <f t="shared" si="8"/>
        <v/>
      </c>
      <c r="C124">
        <f t="shared" si="10"/>
        <v>1</v>
      </c>
      <c r="D124" s="4"/>
      <c r="E124" t="s">
        <v>18</v>
      </c>
      <c r="F124" t="str">
        <f>INDEX(Establishment!B$2:B$1005,MATCH($E124,Establishment!$A$2:$A$1005,0))</f>
        <v xml:space="preserve"> </v>
      </c>
      <c r="G124" t="str">
        <f>INDEX(Establishment!C$2:C$1005,MATCH($E124,Establishment!$A$2:$A$1005,0))</f>
        <v xml:space="preserve"> </v>
      </c>
      <c r="M124">
        <f t="shared" si="11"/>
        <v>0</v>
      </c>
      <c r="N124">
        <f t="shared" si="9"/>
        <v>0</v>
      </c>
      <c r="P124" t="e">
        <f>INDEX(Items!B$2:B$1032,MATCH($O124,Items!$A$2:$A$1032,0))</f>
        <v>#N/A</v>
      </c>
      <c r="Q124" t="e">
        <f>INDEX(Items!C$2:C$1032,MATCH($O124,Items!$A$2:$A$1032,0))</f>
        <v>#N/A</v>
      </c>
      <c r="R124" t="e">
        <f>INDEX(Items!D$2:D$1032,MATCH($O124,Items!$A$2:$A$1032,0))</f>
        <v>#N/A</v>
      </c>
    </row>
    <row r="125" spans="1:18" x14ac:dyDescent="0.25">
      <c r="A125">
        <f t="shared" si="7"/>
        <v>1</v>
      </c>
      <c r="B125" t="str">
        <f t="shared" si="8"/>
        <v/>
      </c>
      <c r="C125">
        <f t="shared" si="10"/>
        <v>1</v>
      </c>
      <c r="D125" s="4"/>
      <c r="E125" t="s">
        <v>18</v>
      </c>
      <c r="F125" t="str">
        <f>INDEX(Establishment!B$2:B$1005,MATCH($E125,Establishment!$A$2:$A$1005,0))</f>
        <v xml:space="preserve"> </v>
      </c>
      <c r="G125" t="str">
        <f>INDEX(Establishment!C$2:C$1005,MATCH($E125,Establishment!$A$2:$A$1005,0))</f>
        <v xml:space="preserve"> </v>
      </c>
      <c r="M125">
        <f t="shared" si="11"/>
        <v>0</v>
      </c>
      <c r="N125">
        <f t="shared" si="9"/>
        <v>0</v>
      </c>
      <c r="P125" t="e">
        <f>INDEX(Items!B$2:B$1032,MATCH($O125,Items!$A$2:$A$1032,0))</f>
        <v>#N/A</v>
      </c>
      <c r="Q125" t="e">
        <f>INDEX(Items!C$2:C$1032,MATCH($O125,Items!$A$2:$A$1032,0))</f>
        <v>#N/A</v>
      </c>
      <c r="R125" t="e">
        <f>INDEX(Items!D$2:D$1032,MATCH($O125,Items!$A$2:$A$1032,0))</f>
        <v>#N/A</v>
      </c>
    </row>
    <row r="126" spans="1:18" x14ac:dyDescent="0.25">
      <c r="A126">
        <f t="shared" si="7"/>
        <v>1</v>
      </c>
      <c r="B126" t="str">
        <f t="shared" si="8"/>
        <v/>
      </c>
      <c r="C126">
        <f t="shared" si="10"/>
        <v>1</v>
      </c>
      <c r="D126" s="4"/>
      <c r="E126" t="s">
        <v>18</v>
      </c>
      <c r="F126" t="str">
        <f>INDEX(Establishment!B$2:B$1005,MATCH($E126,Establishment!$A$2:$A$1005,0))</f>
        <v xml:space="preserve"> </v>
      </c>
      <c r="G126" t="str">
        <f>INDEX(Establishment!C$2:C$1005,MATCH($E126,Establishment!$A$2:$A$1005,0))</f>
        <v xml:space="preserve"> </v>
      </c>
      <c r="M126">
        <f t="shared" si="11"/>
        <v>0</v>
      </c>
      <c r="N126">
        <f t="shared" si="9"/>
        <v>0</v>
      </c>
      <c r="P126" t="e">
        <f>INDEX(Items!B$2:B$1032,MATCH($O126,Items!$A$2:$A$1032,0))</f>
        <v>#N/A</v>
      </c>
      <c r="Q126" t="e">
        <f>INDEX(Items!C$2:C$1032,MATCH($O126,Items!$A$2:$A$1032,0))</f>
        <v>#N/A</v>
      </c>
      <c r="R126" t="e">
        <f>INDEX(Items!D$2:D$1032,MATCH($O126,Items!$A$2:$A$1032,0))</f>
        <v>#N/A</v>
      </c>
    </row>
    <row r="127" spans="1:18" x14ac:dyDescent="0.25">
      <c r="A127">
        <f t="shared" si="7"/>
        <v>1</v>
      </c>
      <c r="B127" t="str">
        <f t="shared" si="8"/>
        <v/>
      </c>
      <c r="C127">
        <f t="shared" si="10"/>
        <v>1</v>
      </c>
      <c r="D127" s="4"/>
      <c r="E127" t="s">
        <v>18</v>
      </c>
      <c r="F127" t="str">
        <f>INDEX(Establishment!B$2:B$1005,MATCH($E127,Establishment!$A$2:$A$1005,0))</f>
        <v xml:space="preserve"> </v>
      </c>
      <c r="G127" t="str">
        <f>INDEX(Establishment!C$2:C$1005,MATCH($E127,Establishment!$A$2:$A$1005,0))</f>
        <v xml:space="preserve"> </v>
      </c>
      <c r="M127">
        <f t="shared" si="11"/>
        <v>0</v>
      </c>
      <c r="N127">
        <f t="shared" si="9"/>
        <v>0</v>
      </c>
      <c r="P127" t="e">
        <f>INDEX(Items!B$2:B$1032,MATCH($O127,Items!$A$2:$A$1032,0))</f>
        <v>#N/A</v>
      </c>
      <c r="Q127" t="e">
        <f>INDEX(Items!C$2:C$1032,MATCH($O127,Items!$A$2:$A$1032,0))</f>
        <v>#N/A</v>
      </c>
      <c r="R127" t="e">
        <f>INDEX(Items!D$2:D$1032,MATCH($O127,Items!$A$2:$A$1032,0))</f>
        <v>#N/A</v>
      </c>
    </row>
    <row r="128" spans="1:18" x14ac:dyDescent="0.25">
      <c r="A128">
        <f t="shared" si="7"/>
        <v>1</v>
      </c>
      <c r="B128" t="str">
        <f t="shared" si="8"/>
        <v/>
      </c>
      <c r="C128">
        <f t="shared" si="10"/>
        <v>1</v>
      </c>
      <c r="D128" s="4"/>
      <c r="E128" t="s">
        <v>18</v>
      </c>
      <c r="F128" t="str">
        <f>INDEX(Establishment!B$2:B$1005,MATCH($E128,Establishment!$A$2:$A$1005,0))</f>
        <v xml:space="preserve"> </v>
      </c>
      <c r="G128" t="str">
        <f>INDEX(Establishment!C$2:C$1005,MATCH($E128,Establishment!$A$2:$A$1005,0))</f>
        <v xml:space="preserve"> </v>
      </c>
      <c r="M128">
        <f t="shared" si="11"/>
        <v>0</v>
      </c>
      <c r="N128">
        <f t="shared" si="9"/>
        <v>0</v>
      </c>
      <c r="P128" t="e">
        <f>INDEX(Items!B$2:B$1032,MATCH($O128,Items!$A$2:$A$1032,0))</f>
        <v>#N/A</v>
      </c>
      <c r="Q128" t="e">
        <f>INDEX(Items!C$2:C$1032,MATCH($O128,Items!$A$2:$A$1032,0))</f>
        <v>#N/A</v>
      </c>
      <c r="R128" t="e">
        <f>INDEX(Items!D$2:D$1032,MATCH($O128,Items!$A$2:$A$1032,0))</f>
        <v>#N/A</v>
      </c>
    </row>
    <row r="129" spans="1:18" x14ac:dyDescent="0.25">
      <c r="A129">
        <f t="shared" si="7"/>
        <v>1</v>
      </c>
      <c r="B129" t="str">
        <f t="shared" si="8"/>
        <v/>
      </c>
      <c r="C129">
        <f t="shared" si="10"/>
        <v>1</v>
      </c>
      <c r="D129" s="4"/>
      <c r="E129" t="s">
        <v>18</v>
      </c>
      <c r="F129" t="str">
        <f>INDEX(Establishment!B$2:B$1005,MATCH($E129,Establishment!$A$2:$A$1005,0))</f>
        <v xml:space="preserve"> </v>
      </c>
      <c r="G129" t="str">
        <f>INDEX(Establishment!C$2:C$1005,MATCH($E129,Establishment!$A$2:$A$1005,0))</f>
        <v xml:space="preserve"> </v>
      </c>
      <c r="M129">
        <f t="shared" si="11"/>
        <v>0</v>
      </c>
      <c r="N129">
        <f t="shared" si="9"/>
        <v>0</v>
      </c>
      <c r="P129" t="e">
        <f>INDEX(Items!B$2:B$1032,MATCH($O129,Items!$A$2:$A$1032,0))</f>
        <v>#N/A</v>
      </c>
      <c r="Q129" t="e">
        <f>INDEX(Items!C$2:C$1032,MATCH($O129,Items!$A$2:$A$1032,0))</f>
        <v>#N/A</v>
      </c>
      <c r="R129" t="e">
        <f>INDEX(Items!D$2:D$1032,MATCH($O129,Items!$A$2:$A$1032,0))</f>
        <v>#N/A</v>
      </c>
    </row>
    <row r="130" spans="1:18" x14ac:dyDescent="0.25">
      <c r="A130">
        <f t="shared" ref="A130:A193" si="12">IF(OR(D130&lt;&gt;D129,D130=""),1,IF(NOT(AND(E130=E129,F130=F129,G130=G129)),A129+1,IF(OR(H130="",AND(H130&lt;&gt;"",H130&lt;&gt;H129,H129&lt;&gt;"")),A129,A129+1)))</f>
        <v>1</v>
      </c>
      <c r="B130" t="str">
        <f t="shared" ref="B130:B193" si="13">IF(D130&lt;&gt;"",TEXT(D130,"YYYYMMDD")&amp;CHAR(64+A130),"")</f>
        <v/>
      </c>
      <c r="C130">
        <f t="shared" si="10"/>
        <v>1</v>
      </c>
      <c r="D130" s="4"/>
      <c r="E130" t="s">
        <v>18</v>
      </c>
      <c r="F130" t="str">
        <f>INDEX(Establishment!B$2:B$1005,MATCH($E130,Establishment!$A$2:$A$1005,0))</f>
        <v xml:space="preserve"> </v>
      </c>
      <c r="G130" t="str">
        <f>INDEX(Establishment!C$2:C$1005,MATCH($E130,Establishment!$A$2:$A$1005,0))</f>
        <v xml:space="preserve"> </v>
      </c>
      <c r="M130">
        <f t="shared" si="11"/>
        <v>0</v>
      </c>
      <c r="N130">
        <f t="shared" si="9"/>
        <v>0</v>
      </c>
      <c r="P130" t="e">
        <f>INDEX(Items!B$2:B$1032,MATCH($O130,Items!$A$2:$A$1032,0))</f>
        <v>#N/A</v>
      </c>
      <c r="Q130" t="e">
        <f>INDEX(Items!C$2:C$1032,MATCH($O130,Items!$A$2:$A$1032,0))</f>
        <v>#N/A</v>
      </c>
      <c r="R130" t="e">
        <f>INDEX(Items!D$2:D$1032,MATCH($O130,Items!$A$2:$A$1032,0))</f>
        <v>#N/A</v>
      </c>
    </row>
    <row r="131" spans="1:18" x14ac:dyDescent="0.25">
      <c r="A131">
        <f t="shared" si="12"/>
        <v>1</v>
      </c>
      <c r="B131" t="str">
        <f t="shared" si="13"/>
        <v/>
      </c>
      <c r="C131">
        <f t="shared" si="10"/>
        <v>1</v>
      </c>
      <c r="D131" s="4"/>
      <c r="E131" t="s">
        <v>18</v>
      </c>
      <c r="F131" t="str">
        <f>INDEX(Establishment!B$2:B$1005,MATCH($E131,Establishment!$A$2:$A$1005,0))</f>
        <v xml:space="preserve"> </v>
      </c>
      <c r="G131" t="str">
        <f>INDEX(Establishment!C$2:C$1005,MATCH($E131,Establishment!$A$2:$A$1005,0))</f>
        <v xml:space="preserve"> </v>
      </c>
      <c r="M131">
        <f t="shared" si="11"/>
        <v>0</v>
      </c>
      <c r="N131">
        <f t="shared" ref="N131:N194" si="14">IF(B131=B130,N130+M131,M131)</f>
        <v>0</v>
      </c>
      <c r="P131" t="e">
        <f>INDEX(Items!B$2:B$1032,MATCH($O131,Items!$A$2:$A$1032,0))</f>
        <v>#N/A</v>
      </c>
      <c r="Q131" t="e">
        <f>INDEX(Items!C$2:C$1032,MATCH($O131,Items!$A$2:$A$1032,0))</f>
        <v>#N/A</v>
      </c>
      <c r="R131" t="e">
        <f>INDEX(Items!D$2:D$1032,MATCH($O131,Items!$A$2:$A$1032,0))</f>
        <v>#N/A</v>
      </c>
    </row>
    <row r="132" spans="1:18" x14ac:dyDescent="0.25">
      <c r="A132">
        <f t="shared" si="12"/>
        <v>1</v>
      </c>
      <c r="B132" t="str">
        <f t="shared" si="13"/>
        <v/>
      </c>
      <c r="C132">
        <f t="shared" si="10"/>
        <v>1</v>
      </c>
      <c r="D132" s="4"/>
      <c r="E132" t="s">
        <v>18</v>
      </c>
      <c r="F132" t="str">
        <f>INDEX(Establishment!B$2:B$1005,MATCH($E132,Establishment!$A$2:$A$1005,0))</f>
        <v xml:space="preserve"> </v>
      </c>
      <c r="G132" t="str">
        <f>INDEX(Establishment!C$2:C$1005,MATCH($E132,Establishment!$A$2:$A$1005,0))</f>
        <v xml:space="preserve"> </v>
      </c>
      <c r="M132">
        <f t="shared" si="11"/>
        <v>0</v>
      </c>
      <c r="N132">
        <f t="shared" si="14"/>
        <v>0</v>
      </c>
      <c r="P132" t="e">
        <f>INDEX(Items!B$2:B$1032,MATCH($O132,Items!$A$2:$A$1032,0))</f>
        <v>#N/A</v>
      </c>
      <c r="Q132" t="e">
        <f>INDEX(Items!C$2:C$1032,MATCH($O132,Items!$A$2:$A$1032,0))</f>
        <v>#N/A</v>
      </c>
      <c r="R132" t="e">
        <f>INDEX(Items!D$2:D$1032,MATCH($O132,Items!$A$2:$A$1032,0))</f>
        <v>#N/A</v>
      </c>
    </row>
    <row r="133" spans="1:18" x14ac:dyDescent="0.25">
      <c r="A133">
        <f t="shared" si="12"/>
        <v>1</v>
      </c>
      <c r="B133" t="str">
        <f t="shared" si="13"/>
        <v/>
      </c>
      <c r="C133">
        <f t="shared" si="10"/>
        <v>1</v>
      </c>
      <c r="D133" s="4"/>
      <c r="E133" t="s">
        <v>18</v>
      </c>
      <c r="F133" t="str">
        <f>INDEX(Establishment!B$2:B$1005,MATCH($E133,Establishment!$A$2:$A$1005,0))</f>
        <v xml:space="preserve"> </v>
      </c>
      <c r="G133" t="str">
        <f>INDEX(Establishment!C$2:C$1005,MATCH($E133,Establishment!$A$2:$A$1005,0))</f>
        <v xml:space="preserve"> </v>
      </c>
      <c r="M133">
        <f t="shared" si="11"/>
        <v>0</v>
      </c>
      <c r="N133">
        <f t="shared" si="14"/>
        <v>0</v>
      </c>
      <c r="P133" t="e">
        <f>INDEX(Items!B$2:B$1032,MATCH($O133,Items!$A$2:$A$1032,0))</f>
        <v>#N/A</v>
      </c>
      <c r="Q133" t="e">
        <f>INDEX(Items!C$2:C$1032,MATCH($O133,Items!$A$2:$A$1032,0))</f>
        <v>#N/A</v>
      </c>
      <c r="R133" t="e">
        <f>INDEX(Items!D$2:D$1032,MATCH($O133,Items!$A$2:$A$1032,0))</f>
        <v>#N/A</v>
      </c>
    </row>
    <row r="134" spans="1:18" x14ac:dyDescent="0.25">
      <c r="A134">
        <f t="shared" si="12"/>
        <v>1</v>
      </c>
      <c r="B134" t="str">
        <f t="shared" si="13"/>
        <v/>
      </c>
      <c r="C134">
        <f t="shared" si="10"/>
        <v>1</v>
      </c>
      <c r="D134" s="4"/>
      <c r="E134" t="s">
        <v>18</v>
      </c>
      <c r="F134" t="str">
        <f>INDEX(Establishment!B$2:B$1005,MATCH($E134,Establishment!$A$2:$A$1005,0))</f>
        <v xml:space="preserve"> </v>
      </c>
      <c r="G134" t="str">
        <f>INDEX(Establishment!C$2:C$1005,MATCH($E134,Establishment!$A$2:$A$1005,0))</f>
        <v xml:space="preserve"> </v>
      </c>
      <c r="M134">
        <f t="shared" si="11"/>
        <v>0</v>
      </c>
      <c r="N134">
        <f t="shared" si="14"/>
        <v>0</v>
      </c>
      <c r="P134" t="e">
        <f>INDEX(Items!B$2:B$1032,MATCH($O134,Items!$A$2:$A$1032,0))</f>
        <v>#N/A</v>
      </c>
      <c r="Q134" t="e">
        <f>INDEX(Items!C$2:C$1032,MATCH($O134,Items!$A$2:$A$1032,0))</f>
        <v>#N/A</v>
      </c>
      <c r="R134" t="e">
        <f>INDEX(Items!D$2:D$1032,MATCH($O134,Items!$A$2:$A$1032,0))</f>
        <v>#N/A</v>
      </c>
    </row>
    <row r="135" spans="1:18" x14ac:dyDescent="0.25">
      <c r="A135">
        <f t="shared" si="12"/>
        <v>1</v>
      </c>
      <c r="B135" t="str">
        <f t="shared" si="13"/>
        <v/>
      </c>
      <c r="C135">
        <f t="shared" si="10"/>
        <v>1</v>
      </c>
      <c r="D135" s="4"/>
      <c r="E135" t="s">
        <v>18</v>
      </c>
      <c r="F135" t="str">
        <f>INDEX(Establishment!B$2:B$1005,MATCH($E135,Establishment!$A$2:$A$1005,0))</f>
        <v xml:space="preserve"> </v>
      </c>
      <c r="G135" t="str">
        <f>INDEX(Establishment!C$2:C$1005,MATCH($E135,Establishment!$A$2:$A$1005,0))</f>
        <v xml:space="preserve"> </v>
      </c>
      <c r="M135">
        <f t="shared" si="11"/>
        <v>0</v>
      </c>
      <c r="N135">
        <f t="shared" si="14"/>
        <v>0</v>
      </c>
      <c r="P135" t="e">
        <f>INDEX(Items!B$2:B$1032,MATCH($O135,Items!$A$2:$A$1032,0))</f>
        <v>#N/A</v>
      </c>
      <c r="Q135" t="e">
        <f>INDEX(Items!C$2:C$1032,MATCH($O135,Items!$A$2:$A$1032,0))</f>
        <v>#N/A</v>
      </c>
      <c r="R135" t="e">
        <f>INDEX(Items!D$2:D$1032,MATCH($O135,Items!$A$2:$A$1032,0))</f>
        <v>#N/A</v>
      </c>
    </row>
    <row r="136" spans="1:18" x14ac:dyDescent="0.25">
      <c r="A136">
        <f t="shared" si="12"/>
        <v>1</v>
      </c>
      <c r="B136" t="str">
        <f t="shared" si="13"/>
        <v/>
      </c>
      <c r="C136">
        <f t="shared" si="10"/>
        <v>1</v>
      </c>
      <c r="D136" s="4"/>
      <c r="E136" t="s">
        <v>18</v>
      </c>
      <c r="F136" t="str">
        <f>INDEX(Establishment!B$2:B$1005,MATCH($E136,Establishment!$A$2:$A$1005,0))</f>
        <v xml:space="preserve"> </v>
      </c>
      <c r="G136" t="str">
        <f>INDEX(Establishment!C$2:C$1005,MATCH($E136,Establishment!$A$2:$A$1005,0))</f>
        <v xml:space="preserve"> </v>
      </c>
      <c r="M136">
        <f t="shared" si="11"/>
        <v>0</v>
      </c>
      <c r="N136">
        <f t="shared" si="14"/>
        <v>0</v>
      </c>
      <c r="P136" t="e">
        <f>INDEX(Items!B$2:B$1032,MATCH($O136,Items!$A$2:$A$1032,0))</f>
        <v>#N/A</v>
      </c>
      <c r="Q136" t="e">
        <f>INDEX(Items!C$2:C$1032,MATCH($O136,Items!$A$2:$A$1032,0))</f>
        <v>#N/A</v>
      </c>
      <c r="R136" t="e">
        <f>INDEX(Items!D$2:D$1032,MATCH($O136,Items!$A$2:$A$1032,0))</f>
        <v>#N/A</v>
      </c>
    </row>
    <row r="137" spans="1:18" x14ac:dyDescent="0.25">
      <c r="A137">
        <f t="shared" si="12"/>
        <v>1</v>
      </c>
      <c r="B137" t="str">
        <f t="shared" si="13"/>
        <v/>
      </c>
      <c r="C137">
        <f t="shared" si="10"/>
        <v>1</v>
      </c>
      <c r="D137" s="4"/>
      <c r="E137" t="s">
        <v>18</v>
      </c>
      <c r="F137" t="str">
        <f>INDEX(Establishment!B$2:B$1005,MATCH($E137,Establishment!$A$2:$A$1005,0))</f>
        <v xml:space="preserve"> </v>
      </c>
      <c r="G137" t="str">
        <f>INDEX(Establishment!C$2:C$1005,MATCH($E137,Establishment!$A$2:$A$1005,0))</f>
        <v xml:space="preserve"> </v>
      </c>
      <c r="M137">
        <f t="shared" si="11"/>
        <v>0</v>
      </c>
      <c r="N137">
        <f t="shared" si="14"/>
        <v>0</v>
      </c>
      <c r="P137" t="e">
        <f>INDEX(Items!B$2:B$1032,MATCH($O137,Items!$A$2:$A$1032,0))</f>
        <v>#N/A</v>
      </c>
      <c r="Q137" t="e">
        <f>INDEX(Items!C$2:C$1032,MATCH($O137,Items!$A$2:$A$1032,0))</f>
        <v>#N/A</v>
      </c>
      <c r="R137" t="e">
        <f>INDEX(Items!D$2:D$1032,MATCH($O137,Items!$A$2:$A$1032,0))</f>
        <v>#N/A</v>
      </c>
    </row>
    <row r="138" spans="1:18" x14ac:dyDescent="0.25">
      <c r="A138">
        <f t="shared" si="12"/>
        <v>1</v>
      </c>
      <c r="B138" t="str">
        <f t="shared" si="13"/>
        <v/>
      </c>
      <c r="C138">
        <f t="shared" ref="C138:C201" si="15">IF(OR(B138="",B138&lt;&gt;B137),1,C137+1)</f>
        <v>1</v>
      </c>
      <c r="D138" s="4"/>
      <c r="E138" t="s">
        <v>18</v>
      </c>
      <c r="F138" t="str">
        <f>INDEX(Establishment!B$2:B$1005,MATCH($E138,Establishment!$A$2:$A$1005,0))</f>
        <v xml:space="preserve"> </v>
      </c>
      <c r="G138" t="str">
        <f>INDEX(Establishment!C$2:C$1005,MATCH($E138,Establishment!$A$2:$A$1005,0))</f>
        <v xml:space="preserve"> </v>
      </c>
      <c r="M138">
        <f t="shared" ref="M138:M201" si="16">K138*L138</f>
        <v>0</v>
      </c>
      <c r="N138">
        <f t="shared" si="14"/>
        <v>0</v>
      </c>
      <c r="P138" t="e">
        <f>INDEX(Items!B$2:B$1032,MATCH($O138,Items!$A$2:$A$1032,0))</f>
        <v>#N/A</v>
      </c>
      <c r="Q138" t="e">
        <f>INDEX(Items!C$2:C$1032,MATCH($O138,Items!$A$2:$A$1032,0))</f>
        <v>#N/A</v>
      </c>
      <c r="R138" t="e">
        <f>INDEX(Items!D$2:D$1032,MATCH($O138,Items!$A$2:$A$1032,0))</f>
        <v>#N/A</v>
      </c>
    </row>
    <row r="139" spans="1:18" x14ac:dyDescent="0.25">
      <c r="A139">
        <f t="shared" si="12"/>
        <v>1</v>
      </c>
      <c r="B139" t="str">
        <f t="shared" si="13"/>
        <v/>
      </c>
      <c r="C139">
        <f t="shared" si="15"/>
        <v>1</v>
      </c>
      <c r="D139" s="4"/>
      <c r="E139" t="s">
        <v>18</v>
      </c>
      <c r="F139" t="str">
        <f>INDEX(Establishment!B$2:B$1005,MATCH($E139,Establishment!$A$2:$A$1005,0))</f>
        <v xml:space="preserve"> </v>
      </c>
      <c r="G139" t="str">
        <f>INDEX(Establishment!C$2:C$1005,MATCH($E139,Establishment!$A$2:$A$1005,0))</f>
        <v xml:space="preserve"> </v>
      </c>
      <c r="M139">
        <f t="shared" si="16"/>
        <v>0</v>
      </c>
      <c r="N139">
        <f t="shared" si="14"/>
        <v>0</v>
      </c>
      <c r="P139" t="e">
        <f>INDEX(Items!B$2:B$1032,MATCH($O139,Items!$A$2:$A$1032,0))</f>
        <v>#N/A</v>
      </c>
      <c r="Q139" t="e">
        <f>INDEX(Items!C$2:C$1032,MATCH($O139,Items!$A$2:$A$1032,0))</f>
        <v>#N/A</v>
      </c>
      <c r="R139" t="e">
        <f>INDEX(Items!D$2:D$1032,MATCH($O139,Items!$A$2:$A$1032,0))</f>
        <v>#N/A</v>
      </c>
    </row>
    <row r="140" spans="1:18" x14ac:dyDescent="0.25">
      <c r="A140">
        <f t="shared" si="12"/>
        <v>1</v>
      </c>
      <c r="B140" t="str">
        <f t="shared" si="13"/>
        <v/>
      </c>
      <c r="C140">
        <f t="shared" si="15"/>
        <v>1</v>
      </c>
      <c r="D140" s="4"/>
      <c r="E140" t="s">
        <v>18</v>
      </c>
      <c r="F140" t="str">
        <f>INDEX(Establishment!B$2:B$1005,MATCH($E140,Establishment!$A$2:$A$1005,0))</f>
        <v xml:space="preserve"> </v>
      </c>
      <c r="G140" t="str">
        <f>INDEX(Establishment!C$2:C$1005,MATCH($E140,Establishment!$A$2:$A$1005,0))</f>
        <v xml:space="preserve"> </v>
      </c>
      <c r="M140">
        <f t="shared" si="16"/>
        <v>0</v>
      </c>
      <c r="N140">
        <f t="shared" si="14"/>
        <v>0</v>
      </c>
      <c r="P140" t="e">
        <f>INDEX(Items!B$2:B$1032,MATCH($O140,Items!$A$2:$A$1032,0))</f>
        <v>#N/A</v>
      </c>
      <c r="Q140" t="e">
        <f>INDEX(Items!C$2:C$1032,MATCH($O140,Items!$A$2:$A$1032,0))</f>
        <v>#N/A</v>
      </c>
      <c r="R140" t="e">
        <f>INDEX(Items!D$2:D$1032,MATCH($O140,Items!$A$2:$A$1032,0))</f>
        <v>#N/A</v>
      </c>
    </row>
    <row r="141" spans="1:18" x14ac:dyDescent="0.25">
      <c r="A141">
        <f t="shared" si="12"/>
        <v>1</v>
      </c>
      <c r="B141" t="str">
        <f t="shared" si="13"/>
        <v/>
      </c>
      <c r="C141">
        <f t="shared" si="15"/>
        <v>1</v>
      </c>
      <c r="D141" s="4"/>
      <c r="E141" t="s">
        <v>18</v>
      </c>
      <c r="F141" t="str">
        <f>INDEX(Establishment!B$2:B$1005,MATCH($E141,Establishment!$A$2:$A$1005,0))</f>
        <v xml:space="preserve"> </v>
      </c>
      <c r="G141" t="str">
        <f>INDEX(Establishment!C$2:C$1005,MATCH($E141,Establishment!$A$2:$A$1005,0))</f>
        <v xml:space="preserve"> </v>
      </c>
      <c r="M141">
        <f t="shared" si="16"/>
        <v>0</v>
      </c>
      <c r="N141">
        <f t="shared" si="14"/>
        <v>0</v>
      </c>
      <c r="P141" t="e">
        <f>INDEX(Items!B$2:B$1032,MATCH($O141,Items!$A$2:$A$1032,0))</f>
        <v>#N/A</v>
      </c>
      <c r="Q141" t="e">
        <f>INDEX(Items!C$2:C$1032,MATCH($O141,Items!$A$2:$A$1032,0))</f>
        <v>#N/A</v>
      </c>
      <c r="R141" t="e">
        <f>INDEX(Items!D$2:D$1032,MATCH($O141,Items!$A$2:$A$1032,0))</f>
        <v>#N/A</v>
      </c>
    </row>
    <row r="142" spans="1:18" x14ac:dyDescent="0.25">
      <c r="A142">
        <f t="shared" si="12"/>
        <v>1</v>
      </c>
      <c r="B142" t="str">
        <f t="shared" si="13"/>
        <v/>
      </c>
      <c r="C142">
        <f t="shared" si="15"/>
        <v>1</v>
      </c>
      <c r="D142" s="4"/>
      <c r="E142" t="s">
        <v>18</v>
      </c>
      <c r="F142" t="str">
        <f>INDEX(Establishment!B$2:B$1005,MATCH($E142,Establishment!$A$2:$A$1005,0))</f>
        <v xml:space="preserve"> </v>
      </c>
      <c r="G142" t="str">
        <f>INDEX(Establishment!C$2:C$1005,MATCH($E142,Establishment!$A$2:$A$1005,0))</f>
        <v xml:space="preserve"> </v>
      </c>
      <c r="M142">
        <f t="shared" si="16"/>
        <v>0</v>
      </c>
      <c r="N142">
        <f t="shared" si="14"/>
        <v>0</v>
      </c>
      <c r="P142" t="e">
        <f>INDEX(Items!B$2:B$1032,MATCH($O142,Items!$A$2:$A$1032,0))</f>
        <v>#N/A</v>
      </c>
      <c r="Q142" t="e">
        <f>INDEX(Items!C$2:C$1032,MATCH($O142,Items!$A$2:$A$1032,0))</f>
        <v>#N/A</v>
      </c>
      <c r="R142" t="e">
        <f>INDEX(Items!D$2:D$1032,MATCH($O142,Items!$A$2:$A$1032,0))</f>
        <v>#N/A</v>
      </c>
    </row>
    <row r="143" spans="1:18" x14ac:dyDescent="0.25">
      <c r="A143">
        <f t="shared" si="12"/>
        <v>1</v>
      </c>
      <c r="B143" t="str">
        <f t="shared" si="13"/>
        <v/>
      </c>
      <c r="C143">
        <f t="shared" si="15"/>
        <v>1</v>
      </c>
      <c r="D143" s="4"/>
      <c r="E143" t="s">
        <v>18</v>
      </c>
      <c r="F143" t="str">
        <f>INDEX(Establishment!B$2:B$1005,MATCH($E143,Establishment!$A$2:$A$1005,0))</f>
        <v xml:space="preserve"> </v>
      </c>
      <c r="G143" t="str">
        <f>INDEX(Establishment!C$2:C$1005,MATCH($E143,Establishment!$A$2:$A$1005,0))</f>
        <v xml:space="preserve"> </v>
      </c>
      <c r="M143">
        <f t="shared" si="16"/>
        <v>0</v>
      </c>
      <c r="N143">
        <f t="shared" si="14"/>
        <v>0</v>
      </c>
      <c r="P143" t="e">
        <f>INDEX(Items!B$2:B$1032,MATCH($O143,Items!$A$2:$A$1032,0))</f>
        <v>#N/A</v>
      </c>
      <c r="Q143" t="e">
        <f>INDEX(Items!C$2:C$1032,MATCH($O143,Items!$A$2:$A$1032,0))</f>
        <v>#N/A</v>
      </c>
      <c r="R143" t="e">
        <f>INDEX(Items!D$2:D$1032,MATCH($O143,Items!$A$2:$A$1032,0))</f>
        <v>#N/A</v>
      </c>
    </row>
    <row r="144" spans="1:18" x14ac:dyDescent="0.25">
      <c r="A144">
        <f t="shared" si="12"/>
        <v>1</v>
      </c>
      <c r="B144" t="str">
        <f t="shared" si="13"/>
        <v/>
      </c>
      <c r="C144">
        <f t="shared" si="15"/>
        <v>1</v>
      </c>
      <c r="D144" s="4"/>
      <c r="E144" t="s">
        <v>18</v>
      </c>
      <c r="F144" t="str">
        <f>INDEX(Establishment!B$2:B$1005,MATCH($E144,Establishment!$A$2:$A$1005,0))</f>
        <v xml:space="preserve"> </v>
      </c>
      <c r="G144" t="str">
        <f>INDEX(Establishment!C$2:C$1005,MATCH($E144,Establishment!$A$2:$A$1005,0))</f>
        <v xml:space="preserve"> </v>
      </c>
      <c r="M144">
        <f t="shared" si="16"/>
        <v>0</v>
      </c>
      <c r="N144">
        <f t="shared" si="14"/>
        <v>0</v>
      </c>
      <c r="P144" t="e">
        <f>INDEX(Items!B$2:B$1032,MATCH($O144,Items!$A$2:$A$1032,0))</f>
        <v>#N/A</v>
      </c>
      <c r="Q144" t="e">
        <f>INDEX(Items!C$2:C$1032,MATCH($O144,Items!$A$2:$A$1032,0))</f>
        <v>#N/A</v>
      </c>
      <c r="R144" t="e">
        <f>INDEX(Items!D$2:D$1032,MATCH($O144,Items!$A$2:$A$1032,0))</f>
        <v>#N/A</v>
      </c>
    </row>
    <row r="145" spans="1:18" x14ac:dyDescent="0.25">
      <c r="A145">
        <f t="shared" si="12"/>
        <v>1</v>
      </c>
      <c r="B145" t="str">
        <f t="shared" si="13"/>
        <v/>
      </c>
      <c r="C145">
        <f t="shared" si="15"/>
        <v>1</v>
      </c>
      <c r="D145" s="4"/>
      <c r="E145" t="s">
        <v>18</v>
      </c>
      <c r="F145" t="str">
        <f>INDEX(Establishment!B$2:B$1005,MATCH($E145,Establishment!$A$2:$A$1005,0))</f>
        <v xml:space="preserve"> </v>
      </c>
      <c r="G145" t="str">
        <f>INDEX(Establishment!C$2:C$1005,MATCH($E145,Establishment!$A$2:$A$1005,0))</f>
        <v xml:space="preserve"> </v>
      </c>
      <c r="M145">
        <f t="shared" si="16"/>
        <v>0</v>
      </c>
      <c r="N145">
        <f t="shared" si="14"/>
        <v>0</v>
      </c>
      <c r="P145" t="e">
        <f>INDEX(Items!B$2:B$1032,MATCH($O145,Items!$A$2:$A$1032,0))</f>
        <v>#N/A</v>
      </c>
      <c r="Q145" t="e">
        <f>INDEX(Items!C$2:C$1032,MATCH($O145,Items!$A$2:$A$1032,0))</f>
        <v>#N/A</v>
      </c>
      <c r="R145" t="e">
        <f>INDEX(Items!D$2:D$1032,MATCH($O145,Items!$A$2:$A$1032,0))</f>
        <v>#N/A</v>
      </c>
    </row>
    <row r="146" spans="1:18" x14ac:dyDescent="0.25">
      <c r="A146">
        <f t="shared" si="12"/>
        <v>1</v>
      </c>
      <c r="B146" t="str">
        <f t="shared" si="13"/>
        <v/>
      </c>
      <c r="C146">
        <f t="shared" si="15"/>
        <v>1</v>
      </c>
      <c r="D146" s="4"/>
      <c r="E146" t="s">
        <v>18</v>
      </c>
      <c r="F146" t="str">
        <f>INDEX(Establishment!B$2:B$1005,MATCH($E146,Establishment!$A$2:$A$1005,0))</f>
        <v xml:space="preserve"> </v>
      </c>
      <c r="G146" t="str">
        <f>INDEX(Establishment!C$2:C$1005,MATCH($E146,Establishment!$A$2:$A$1005,0))</f>
        <v xml:space="preserve"> </v>
      </c>
      <c r="M146">
        <f t="shared" si="16"/>
        <v>0</v>
      </c>
      <c r="N146">
        <f t="shared" si="14"/>
        <v>0</v>
      </c>
      <c r="P146" t="e">
        <f>INDEX(Items!B$2:B$1032,MATCH($O146,Items!$A$2:$A$1032,0))</f>
        <v>#N/A</v>
      </c>
      <c r="Q146" t="e">
        <f>INDEX(Items!C$2:C$1032,MATCH($O146,Items!$A$2:$A$1032,0))</f>
        <v>#N/A</v>
      </c>
      <c r="R146" t="e">
        <f>INDEX(Items!D$2:D$1032,MATCH($O146,Items!$A$2:$A$1032,0))</f>
        <v>#N/A</v>
      </c>
    </row>
    <row r="147" spans="1:18" x14ac:dyDescent="0.25">
      <c r="A147">
        <f t="shared" si="12"/>
        <v>1</v>
      </c>
      <c r="B147" t="str">
        <f t="shared" si="13"/>
        <v/>
      </c>
      <c r="C147">
        <f t="shared" si="15"/>
        <v>1</v>
      </c>
      <c r="D147" s="4"/>
      <c r="E147" t="s">
        <v>18</v>
      </c>
      <c r="F147" t="str">
        <f>INDEX(Establishment!B$2:B$1005,MATCH($E147,Establishment!$A$2:$A$1005,0))</f>
        <v xml:space="preserve"> </v>
      </c>
      <c r="G147" t="str">
        <f>INDEX(Establishment!C$2:C$1005,MATCH($E147,Establishment!$A$2:$A$1005,0))</f>
        <v xml:space="preserve"> </v>
      </c>
      <c r="M147">
        <f t="shared" si="16"/>
        <v>0</v>
      </c>
      <c r="N147">
        <f t="shared" si="14"/>
        <v>0</v>
      </c>
      <c r="P147" t="e">
        <f>INDEX(Items!B$2:B$1032,MATCH($O147,Items!$A$2:$A$1032,0))</f>
        <v>#N/A</v>
      </c>
      <c r="Q147" t="e">
        <f>INDEX(Items!C$2:C$1032,MATCH($O147,Items!$A$2:$A$1032,0))</f>
        <v>#N/A</v>
      </c>
      <c r="R147" t="e">
        <f>INDEX(Items!D$2:D$1032,MATCH($O147,Items!$A$2:$A$1032,0))</f>
        <v>#N/A</v>
      </c>
    </row>
    <row r="148" spans="1:18" x14ac:dyDescent="0.25">
      <c r="A148">
        <f t="shared" si="12"/>
        <v>1</v>
      </c>
      <c r="B148" t="str">
        <f t="shared" si="13"/>
        <v/>
      </c>
      <c r="C148">
        <f t="shared" si="15"/>
        <v>1</v>
      </c>
      <c r="D148" s="4"/>
      <c r="E148" t="s">
        <v>18</v>
      </c>
      <c r="F148" t="str">
        <f>INDEX(Establishment!B$2:B$1005,MATCH($E148,Establishment!$A$2:$A$1005,0))</f>
        <v xml:space="preserve"> </v>
      </c>
      <c r="G148" t="str">
        <f>INDEX(Establishment!C$2:C$1005,MATCH($E148,Establishment!$A$2:$A$1005,0))</f>
        <v xml:space="preserve"> </v>
      </c>
      <c r="M148">
        <f t="shared" si="16"/>
        <v>0</v>
      </c>
      <c r="N148">
        <f t="shared" si="14"/>
        <v>0</v>
      </c>
      <c r="P148" t="e">
        <f>INDEX(Items!B$2:B$1032,MATCH($O148,Items!$A$2:$A$1032,0))</f>
        <v>#N/A</v>
      </c>
      <c r="Q148" t="e">
        <f>INDEX(Items!C$2:C$1032,MATCH($O148,Items!$A$2:$A$1032,0))</f>
        <v>#N/A</v>
      </c>
      <c r="R148" t="e">
        <f>INDEX(Items!D$2:D$1032,MATCH($O148,Items!$A$2:$A$1032,0))</f>
        <v>#N/A</v>
      </c>
    </row>
    <row r="149" spans="1:18" x14ac:dyDescent="0.25">
      <c r="A149">
        <f t="shared" si="12"/>
        <v>1</v>
      </c>
      <c r="B149" t="str">
        <f t="shared" si="13"/>
        <v/>
      </c>
      <c r="C149">
        <f t="shared" si="15"/>
        <v>1</v>
      </c>
      <c r="D149" s="4"/>
      <c r="E149" t="s">
        <v>18</v>
      </c>
      <c r="F149" t="str">
        <f>INDEX(Establishment!B$2:B$1005,MATCH($E149,Establishment!$A$2:$A$1005,0))</f>
        <v xml:space="preserve"> </v>
      </c>
      <c r="G149" t="str">
        <f>INDEX(Establishment!C$2:C$1005,MATCH($E149,Establishment!$A$2:$A$1005,0))</f>
        <v xml:space="preserve"> </v>
      </c>
      <c r="M149">
        <f t="shared" si="16"/>
        <v>0</v>
      </c>
      <c r="N149">
        <f t="shared" si="14"/>
        <v>0</v>
      </c>
      <c r="P149" t="e">
        <f>INDEX(Items!B$2:B$1032,MATCH($O149,Items!$A$2:$A$1032,0))</f>
        <v>#N/A</v>
      </c>
      <c r="Q149" t="e">
        <f>INDEX(Items!C$2:C$1032,MATCH($O149,Items!$A$2:$A$1032,0))</f>
        <v>#N/A</v>
      </c>
      <c r="R149" t="e">
        <f>INDEX(Items!D$2:D$1032,MATCH($O149,Items!$A$2:$A$1032,0))</f>
        <v>#N/A</v>
      </c>
    </row>
    <row r="150" spans="1:18" x14ac:dyDescent="0.25">
      <c r="A150">
        <f t="shared" si="12"/>
        <v>1</v>
      </c>
      <c r="B150" t="str">
        <f t="shared" si="13"/>
        <v/>
      </c>
      <c r="C150">
        <f t="shared" si="15"/>
        <v>1</v>
      </c>
      <c r="D150" s="4"/>
      <c r="E150" t="s">
        <v>18</v>
      </c>
      <c r="F150" t="str">
        <f>INDEX(Establishment!B$2:B$1005,MATCH($E150,Establishment!$A$2:$A$1005,0))</f>
        <v xml:space="preserve"> </v>
      </c>
      <c r="G150" t="str">
        <f>INDEX(Establishment!C$2:C$1005,MATCH($E150,Establishment!$A$2:$A$1005,0))</f>
        <v xml:space="preserve"> </v>
      </c>
      <c r="M150">
        <f t="shared" si="16"/>
        <v>0</v>
      </c>
      <c r="N150">
        <f t="shared" si="14"/>
        <v>0</v>
      </c>
      <c r="P150" t="e">
        <f>INDEX(Items!B$2:B$1032,MATCH($O150,Items!$A$2:$A$1032,0))</f>
        <v>#N/A</v>
      </c>
      <c r="Q150" t="e">
        <f>INDEX(Items!C$2:C$1032,MATCH($O150,Items!$A$2:$A$1032,0))</f>
        <v>#N/A</v>
      </c>
      <c r="R150" t="e">
        <f>INDEX(Items!D$2:D$1032,MATCH($O150,Items!$A$2:$A$1032,0))</f>
        <v>#N/A</v>
      </c>
    </row>
    <row r="151" spans="1:18" x14ac:dyDescent="0.25">
      <c r="A151">
        <f t="shared" si="12"/>
        <v>1</v>
      </c>
      <c r="B151" t="str">
        <f t="shared" si="13"/>
        <v/>
      </c>
      <c r="C151">
        <f t="shared" si="15"/>
        <v>1</v>
      </c>
      <c r="D151" s="4"/>
      <c r="E151" t="s">
        <v>18</v>
      </c>
      <c r="F151" t="str">
        <f>INDEX(Establishment!B$2:B$1005,MATCH($E151,Establishment!$A$2:$A$1005,0))</f>
        <v xml:space="preserve"> </v>
      </c>
      <c r="G151" t="str">
        <f>INDEX(Establishment!C$2:C$1005,MATCH($E151,Establishment!$A$2:$A$1005,0))</f>
        <v xml:space="preserve"> </v>
      </c>
      <c r="M151">
        <f t="shared" si="16"/>
        <v>0</v>
      </c>
      <c r="N151">
        <f t="shared" si="14"/>
        <v>0</v>
      </c>
      <c r="P151" t="e">
        <f>INDEX(Items!B$2:B$1032,MATCH($O151,Items!$A$2:$A$1032,0))</f>
        <v>#N/A</v>
      </c>
      <c r="Q151" t="e">
        <f>INDEX(Items!C$2:C$1032,MATCH($O151,Items!$A$2:$A$1032,0))</f>
        <v>#N/A</v>
      </c>
      <c r="R151" t="e">
        <f>INDEX(Items!D$2:D$1032,MATCH($O151,Items!$A$2:$A$1032,0))</f>
        <v>#N/A</v>
      </c>
    </row>
    <row r="152" spans="1:18" x14ac:dyDescent="0.25">
      <c r="A152">
        <f t="shared" si="12"/>
        <v>1</v>
      </c>
      <c r="B152" t="str">
        <f t="shared" si="13"/>
        <v/>
      </c>
      <c r="C152">
        <f t="shared" si="15"/>
        <v>1</v>
      </c>
      <c r="D152" s="4"/>
      <c r="E152" t="s">
        <v>18</v>
      </c>
      <c r="F152" t="str">
        <f>INDEX(Establishment!B$2:B$1005,MATCH($E152,Establishment!$A$2:$A$1005,0))</f>
        <v xml:space="preserve"> </v>
      </c>
      <c r="G152" t="str">
        <f>INDEX(Establishment!C$2:C$1005,MATCH($E152,Establishment!$A$2:$A$1005,0))</f>
        <v xml:space="preserve"> </v>
      </c>
      <c r="M152">
        <f t="shared" si="16"/>
        <v>0</v>
      </c>
      <c r="N152">
        <f t="shared" si="14"/>
        <v>0</v>
      </c>
      <c r="P152" t="e">
        <f>INDEX(Items!B$2:B$1032,MATCH($O152,Items!$A$2:$A$1032,0))</f>
        <v>#N/A</v>
      </c>
      <c r="Q152" t="e">
        <f>INDEX(Items!C$2:C$1032,MATCH($O152,Items!$A$2:$A$1032,0))</f>
        <v>#N/A</v>
      </c>
      <c r="R152" t="e">
        <f>INDEX(Items!D$2:D$1032,MATCH($O152,Items!$A$2:$A$1032,0))</f>
        <v>#N/A</v>
      </c>
    </row>
    <row r="153" spans="1:18" x14ac:dyDescent="0.25">
      <c r="A153">
        <f t="shared" si="12"/>
        <v>1</v>
      </c>
      <c r="B153" t="str">
        <f t="shared" si="13"/>
        <v/>
      </c>
      <c r="C153">
        <f t="shared" si="15"/>
        <v>1</v>
      </c>
      <c r="D153" s="4"/>
      <c r="E153" t="s">
        <v>18</v>
      </c>
      <c r="F153" t="str">
        <f>INDEX(Establishment!B$2:B$1005,MATCH($E153,Establishment!$A$2:$A$1005,0))</f>
        <v xml:space="preserve"> </v>
      </c>
      <c r="G153" t="str">
        <f>INDEX(Establishment!C$2:C$1005,MATCH($E153,Establishment!$A$2:$A$1005,0))</f>
        <v xml:space="preserve"> </v>
      </c>
      <c r="M153">
        <f t="shared" si="16"/>
        <v>0</v>
      </c>
      <c r="N153">
        <f t="shared" si="14"/>
        <v>0</v>
      </c>
      <c r="P153" t="e">
        <f>INDEX(Items!B$2:B$1032,MATCH($O153,Items!$A$2:$A$1032,0))</f>
        <v>#N/A</v>
      </c>
      <c r="Q153" t="e">
        <f>INDEX(Items!C$2:C$1032,MATCH($O153,Items!$A$2:$A$1032,0))</f>
        <v>#N/A</v>
      </c>
      <c r="R153" t="e">
        <f>INDEX(Items!D$2:D$1032,MATCH($O153,Items!$A$2:$A$1032,0))</f>
        <v>#N/A</v>
      </c>
    </row>
    <row r="154" spans="1:18" x14ac:dyDescent="0.25">
      <c r="A154">
        <f t="shared" si="12"/>
        <v>1</v>
      </c>
      <c r="B154" t="str">
        <f t="shared" si="13"/>
        <v/>
      </c>
      <c r="C154">
        <f t="shared" si="15"/>
        <v>1</v>
      </c>
      <c r="D154" s="4"/>
      <c r="E154" t="s">
        <v>18</v>
      </c>
      <c r="F154" t="str">
        <f>INDEX(Establishment!B$2:B$1005,MATCH($E154,Establishment!$A$2:$A$1005,0))</f>
        <v xml:space="preserve"> </v>
      </c>
      <c r="G154" t="str">
        <f>INDEX(Establishment!C$2:C$1005,MATCH($E154,Establishment!$A$2:$A$1005,0))</f>
        <v xml:space="preserve"> </v>
      </c>
      <c r="M154">
        <f t="shared" si="16"/>
        <v>0</v>
      </c>
      <c r="N154">
        <f t="shared" si="14"/>
        <v>0</v>
      </c>
      <c r="P154" t="e">
        <f>INDEX(Items!B$2:B$1032,MATCH($O154,Items!$A$2:$A$1032,0))</f>
        <v>#N/A</v>
      </c>
      <c r="Q154" t="e">
        <f>INDEX(Items!C$2:C$1032,MATCH($O154,Items!$A$2:$A$1032,0))</f>
        <v>#N/A</v>
      </c>
      <c r="R154" t="e">
        <f>INDEX(Items!D$2:D$1032,MATCH($O154,Items!$A$2:$A$1032,0))</f>
        <v>#N/A</v>
      </c>
    </row>
    <row r="155" spans="1:18" x14ac:dyDescent="0.25">
      <c r="A155">
        <f t="shared" si="12"/>
        <v>1</v>
      </c>
      <c r="B155" t="str">
        <f t="shared" si="13"/>
        <v/>
      </c>
      <c r="C155">
        <f t="shared" si="15"/>
        <v>1</v>
      </c>
      <c r="D155" s="4"/>
      <c r="E155" t="s">
        <v>18</v>
      </c>
      <c r="F155" t="str">
        <f>INDEX(Establishment!B$2:B$1005,MATCH($E155,Establishment!$A$2:$A$1005,0))</f>
        <v xml:space="preserve"> </v>
      </c>
      <c r="G155" t="str">
        <f>INDEX(Establishment!C$2:C$1005,MATCH($E155,Establishment!$A$2:$A$1005,0))</f>
        <v xml:space="preserve"> </v>
      </c>
      <c r="M155">
        <f t="shared" si="16"/>
        <v>0</v>
      </c>
      <c r="N155">
        <f t="shared" si="14"/>
        <v>0</v>
      </c>
      <c r="P155" t="e">
        <f>INDEX(Items!B$2:B$1032,MATCH($O155,Items!$A$2:$A$1032,0))</f>
        <v>#N/A</v>
      </c>
      <c r="Q155" t="e">
        <f>INDEX(Items!C$2:C$1032,MATCH($O155,Items!$A$2:$A$1032,0))</f>
        <v>#N/A</v>
      </c>
      <c r="R155" t="e">
        <f>INDEX(Items!D$2:D$1032,MATCH($O155,Items!$A$2:$A$1032,0))</f>
        <v>#N/A</v>
      </c>
    </row>
    <row r="156" spans="1:18" x14ac:dyDescent="0.25">
      <c r="A156">
        <f t="shared" si="12"/>
        <v>1</v>
      </c>
      <c r="B156" t="str">
        <f t="shared" si="13"/>
        <v/>
      </c>
      <c r="C156">
        <f t="shared" si="15"/>
        <v>1</v>
      </c>
      <c r="D156" s="4"/>
      <c r="E156" t="s">
        <v>18</v>
      </c>
      <c r="F156" t="str">
        <f>INDEX(Establishment!B$2:B$1005,MATCH($E156,Establishment!$A$2:$A$1005,0))</f>
        <v xml:space="preserve"> </v>
      </c>
      <c r="G156" t="str">
        <f>INDEX(Establishment!C$2:C$1005,MATCH($E156,Establishment!$A$2:$A$1005,0))</f>
        <v xml:space="preserve"> </v>
      </c>
      <c r="M156">
        <f t="shared" si="16"/>
        <v>0</v>
      </c>
      <c r="N156">
        <f t="shared" si="14"/>
        <v>0</v>
      </c>
      <c r="P156" t="e">
        <f>INDEX(Items!B$2:B$1032,MATCH($O156,Items!$A$2:$A$1032,0))</f>
        <v>#N/A</v>
      </c>
      <c r="Q156" t="e">
        <f>INDEX(Items!C$2:C$1032,MATCH($O156,Items!$A$2:$A$1032,0))</f>
        <v>#N/A</v>
      </c>
      <c r="R156" t="e">
        <f>INDEX(Items!D$2:D$1032,MATCH($O156,Items!$A$2:$A$1032,0))</f>
        <v>#N/A</v>
      </c>
    </row>
    <row r="157" spans="1:18" x14ac:dyDescent="0.25">
      <c r="A157">
        <f t="shared" si="12"/>
        <v>1</v>
      </c>
      <c r="B157" t="str">
        <f t="shared" si="13"/>
        <v/>
      </c>
      <c r="C157">
        <f t="shared" si="15"/>
        <v>1</v>
      </c>
      <c r="D157" s="4"/>
      <c r="E157" t="s">
        <v>18</v>
      </c>
      <c r="F157" t="str">
        <f>INDEX(Establishment!B$2:B$1005,MATCH($E157,Establishment!$A$2:$A$1005,0))</f>
        <v xml:space="preserve"> </v>
      </c>
      <c r="G157" t="str">
        <f>INDEX(Establishment!C$2:C$1005,MATCH($E157,Establishment!$A$2:$A$1005,0))</f>
        <v xml:space="preserve"> </v>
      </c>
      <c r="M157">
        <f t="shared" si="16"/>
        <v>0</v>
      </c>
      <c r="N157">
        <f t="shared" si="14"/>
        <v>0</v>
      </c>
      <c r="P157" t="e">
        <f>INDEX(Items!B$2:B$1032,MATCH($O157,Items!$A$2:$A$1032,0))</f>
        <v>#N/A</v>
      </c>
      <c r="Q157" t="e">
        <f>INDEX(Items!C$2:C$1032,MATCH($O157,Items!$A$2:$A$1032,0))</f>
        <v>#N/A</v>
      </c>
      <c r="R157" t="e">
        <f>INDEX(Items!D$2:D$1032,MATCH($O157,Items!$A$2:$A$1032,0))</f>
        <v>#N/A</v>
      </c>
    </row>
    <row r="158" spans="1:18" x14ac:dyDescent="0.25">
      <c r="A158">
        <f t="shared" si="12"/>
        <v>1</v>
      </c>
      <c r="B158" t="str">
        <f t="shared" si="13"/>
        <v/>
      </c>
      <c r="C158">
        <f t="shared" si="15"/>
        <v>1</v>
      </c>
      <c r="D158" s="4"/>
      <c r="E158" t="s">
        <v>18</v>
      </c>
      <c r="F158" t="str">
        <f>INDEX(Establishment!B$2:B$1005,MATCH($E158,Establishment!$A$2:$A$1005,0))</f>
        <v xml:space="preserve"> </v>
      </c>
      <c r="G158" t="str">
        <f>INDEX(Establishment!C$2:C$1005,MATCH($E158,Establishment!$A$2:$A$1005,0))</f>
        <v xml:space="preserve"> </v>
      </c>
      <c r="M158">
        <f t="shared" si="16"/>
        <v>0</v>
      </c>
      <c r="N158">
        <f t="shared" si="14"/>
        <v>0</v>
      </c>
      <c r="P158" t="e">
        <f>INDEX(Items!B$2:B$1032,MATCH($O158,Items!$A$2:$A$1032,0))</f>
        <v>#N/A</v>
      </c>
      <c r="Q158" t="e">
        <f>INDEX(Items!C$2:C$1032,MATCH($O158,Items!$A$2:$A$1032,0))</f>
        <v>#N/A</v>
      </c>
      <c r="R158" t="e">
        <f>INDEX(Items!D$2:D$1032,MATCH($O158,Items!$A$2:$A$1032,0))</f>
        <v>#N/A</v>
      </c>
    </row>
    <row r="159" spans="1:18" x14ac:dyDescent="0.25">
      <c r="A159">
        <f t="shared" si="12"/>
        <v>1</v>
      </c>
      <c r="B159" t="str">
        <f t="shared" si="13"/>
        <v/>
      </c>
      <c r="C159">
        <f t="shared" si="15"/>
        <v>1</v>
      </c>
      <c r="D159" s="4"/>
      <c r="E159" t="s">
        <v>18</v>
      </c>
      <c r="F159" t="str">
        <f>INDEX(Establishment!B$2:B$1005,MATCH($E159,Establishment!$A$2:$A$1005,0))</f>
        <v xml:space="preserve"> </v>
      </c>
      <c r="G159" t="str">
        <f>INDEX(Establishment!C$2:C$1005,MATCH($E159,Establishment!$A$2:$A$1005,0))</f>
        <v xml:space="preserve"> </v>
      </c>
      <c r="M159">
        <f t="shared" si="16"/>
        <v>0</v>
      </c>
      <c r="N159">
        <f t="shared" si="14"/>
        <v>0</v>
      </c>
      <c r="P159" t="e">
        <f>INDEX(Items!B$2:B$1032,MATCH($O159,Items!$A$2:$A$1032,0))</f>
        <v>#N/A</v>
      </c>
      <c r="Q159" t="e">
        <f>INDEX(Items!C$2:C$1032,MATCH($O159,Items!$A$2:$A$1032,0))</f>
        <v>#N/A</v>
      </c>
      <c r="R159" t="e">
        <f>INDEX(Items!D$2:D$1032,MATCH($O159,Items!$A$2:$A$1032,0))</f>
        <v>#N/A</v>
      </c>
    </row>
    <row r="160" spans="1:18" x14ac:dyDescent="0.25">
      <c r="A160">
        <f t="shared" si="12"/>
        <v>1</v>
      </c>
      <c r="B160" t="str">
        <f t="shared" si="13"/>
        <v/>
      </c>
      <c r="C160">
        <f t="shared" si="15"/>
        <v>1</v>
      </c>
      <c r="D160" s="4"/>
      <c r="E160" t="s">
        <v>18</v>
      </c>
      <c r="F160" t="str">
        <f>INDEX(Establishment!B$2:B$1005,MATCH($E160,Establishment!$A$2:$A$1005,0))</f>
        <v xml:space="preserve"> </v>
      </c>
      <c r="G160" t="str">
        <f>INDEX(Establishment!C$2:C$1005,MATCH($E160,Establishment!$A$2:$A$1005,0))</f>
        <v xml:space="preserve"> </v>
      </c>
      <c r="M160">
        <f t="shared" si="16"/>
        <v>0</v>
      </c>
      <c r="N160">
        <f t="shared" si="14"/>
        <v>0</v>
      </c>
      <c r="P160" t="e">
        <f>INDEX(Items!B$2:B$1032,MATCH($O160,Items!$A$2:$A$1032,0))</f>
        <v>#N/A</v>
      </c>
      <c r="Q160" t="e">
        <f>INDEX(Items!C$2:C$1032,MATCH($O160,Items!$A$2:$A$1032,0))</f>
        <v>#N/A</v>
      </c>
      <c r="R160" t="e">
        <f>INDEX(Items!D$2:D$1032,MATCH($O160,Items!$A$2:$A$1032,0))</f>
        <v>#N/A</v>
      </c>
    </row>
    <row r="161" spans="1:18" x14ac:dyDescent="0.25">
      <c r="A161">
        <f t="shared" si="12"/>
        <v>1</v>
      </c>
      <c r="B161" t="str">
        <f t="shared" si="13"/>
        <v/>
      </c>
      <c r="C161">
        <f t="shared" si="15"/>
        <v>1</v>
      </c>
      <c r="D161" s="4"/>
      <c r="E161" t="s">
        <v>18</v>
      </c>
      <c r="F161" t="str">
        <f>INDEX(Establishment!B$2:B$1005,MATCH($E161,Establishment!$A$2:$A$1005,0))</f>
        <v xml:space="preserve"> </v>
      </c>
      <c r="G161" t="str">
        <f>INDEX(Establishment!C$2:C$1005,MATCH($E161,Establishment!$A$2:$A$1005,0))</f>
        <v xml:space="preserve"> </v>
      </c>
      <c r="M161">
        <f t="shared" si="16"/>
        <v>0</v>
      </c>
      <c r="N161">
        <f t="shared" si="14"/>
        <v>0</v>
      </c>
      <c r="P161" t="e">
        <f>INDEX(Items!B$2:B$1032,MATCH($O161,Items!$A$2:$A$1032,0))</f>
        <v>#N/A</v>
      </c>
      <c r="Q161" t="e">
        <f>INDEX(Items!C$2:C$1032,MATCH($O161,Items!$A$2:$A$1032,0))</f>
        <v>#N/A</v>
      </c>
      <c r="R161" t="e">
        <f>INDEX(Items!D$2:D$1032,MATCH($O161,Items!$A$2:$A$1032,0))</f>
        <v>#N/A</v>
      </c>
    </row>
    <row r="162" spans="1:18" x14ac:dyDescent="0.25">
      <c r="A162">
        <f t="shared" si="12"/>
        <v>1</v>
      </c>
      <c r="B162" t="str">
        <f t="shared" si="13"/>
        <v/>
      </c>
      <c r="C162">
        <f t="shared" si="15"/>
        <v>1</v>
      </c>
      <c r="D162" s="4"/>
      <c r="E162" t="s">
        <v>18</v>
      </c>
      <c r="F162" t="str">
        <f>INDEX(Establishment!B$2:B$1005,MATCH($E162,Establishment!$A$2:$A$1005,0))</f>
        <v xml:space="preserve"> </v>
      </c>
      <c r="G162" t="str">
        <f>INDEX(Establishment!C$2:C$1005,MATCH($E162,Establishment!$A$2:$A$1005,0))</f>
        <v xml:space="preserve"> </v>
      </c>
      <c r="M162">
        <f t="shared" si="16"/>
        <v>0</v>
      </c>
      <c r="N162">
        <f t="shared" si="14"/>
        <v>0</v>
      </c>
      <c r="P162" t="e">
        <f>INDEX(Items!B$2:B$1032,MATCH($O162,Items!$A$2:$A$1032,0))</f>
        <v>#N/A</v>
      </c>
      <c r="Q162" t="e">
        <f>INDEX(Items!C$2:C$1032,MATCH($O162,Items!$A$2:$A$1032,0))</f>
        <v>#N/A</v>
      </c>
      <c r="R162" t="e">
        <f>INDEX(Items!D$2:D$1032,MATCH($O162,Items!$A$2:$A$1032,0))</f>
        <v>#N/A</v>
      </c>
    </row>
    <row r="163" spans="1:18" x14ac:dyDescent="0.25">
      <c r="A163">
        <f t="shared" si="12"/>
        <v>1</v>
      </c>
      <c r="B163" t="str">
        <f t="shared" si="13"/>
        <v/>
      </c>
      <c r="C163">
        <f t="shared" si="15"/>
        <v>1</v>
      </c>
      <c r="D163" s="4"/>
      <c r="E163" t="s">
        <v>18</v>
      </c>
      <c r="F163" t="str">
        <f>INDEX(Establishment!B$2:B$1005,MATCH($E163,Establishment!$A$2:$A$1005,0))</f>
        <v xml:space="preserve"> </v>
      </c>
      <c r="G163" t="str">
        <f>INDEX(Establishment!C$2:C$1005,MATCH($E163,Establishment!$A$2:$A$1005,0))</f>
        <v xml:space="preserve"> </v>
      </c>
      <c r="M163">
        <f t="shared" si="16"/>
        <v>0</v>
      </c>
      <c r="N163">
        <f t="shared" si="14"/>
        <v>0</v>
      </c>
      <c r="P163" t="e">
        <f>INDEX(Items!B$2:B$1032,MATCH($O163,Items!$A$2:$A$1032,0))</f>
        <v>#N/A</v>
      </c>
      <c r="Q163" t="e">
        <f>INDEX(Items!C$2:C$1032,MATCH($O163,Items!$A$2:$A$1032,0))</f>
        <v>#N/A</v>
      </c>
      <c r="R163" t="e">
        <f>INDEX(Items!D$2:D$1032,MATCH($O163,Items!$A$2:$A$1032,0))</f>
        <v>#N/A</v>
      </c>
    </row>
    <row r="164" spans="1:18" x14ac:dyDescent="0.25">
      <c r="A164">
        <f t="shared" si="12"/>
        <v>1</v>
      </c>
      <c r="B164" t="str">
        <f t="shared" si="13"/>
        <v/>
      </c>
      <c r="C164">
        <f t="shared" si="15"/>
        <v>1</v>
      </c>
      <c r="D164" s="4"/>
      <c r="E164" t="s">
        <v>18</v>
      </c>
      <c r="F164" t="str">
        <f>INDEX(Establishment!B$2:B$1005,MATCH($E164,Establishment!$A$2:$A$1005,0))</f>
        <v xml:space="preserve"> </v>
      </c>
      <c r="G164" t="str">
        <f>INDEX(Establishment!C$2:C$1005,MATCH($E164,Establishment!$A$2:$A$1005,0))</f>
        <v xml:space="preserve"> </v>
      </c>
      <c r="M164">
        <f t="shared" si="16"/>
        <v>0</v>
      </c>
      <c r="N164">
        <f t="shared" si="14"/>
        <v>0</v>
      </c>
      <c r="P164" t="e">
        <f>INDEX(Items!B$2:B$1032,MATCH($O164,Items!$A$2:$A$1032,0))</f>
        <v>#N/A</v>
      </c>
      <c r="Q164" t="e">
        <f>INDEX(Items!C$2:C$1032,MATCH($O164,Items!$A$2:$A$1032,0))</f>
        <v>#N/A</v>
      </c>
      <c r="R164" t="e">
        <f>INDEX(Items!D$2:D$1032,MATCH($O164,Items!$A$2:$A$1032,0))</f>
        <v>#N/A</v>
      </c>
    </row>
    <row r="165" spans="1:18" x14ac:dyDescent="0.25">
      <c r="A165">
        <f t="shared" si="12"/>
        <v>1</v>
      </c>
      <c r="B165" t="str">
        <f t="shared" si="13"/>
        <v/>
      </c>
      <c r="C165">
        <f t="shared" si="15"/>
        <v>1</v>
      </c>
      <c r="D165" s="4"/>
      <c r="E165" t="s">
        <v>18</v>
      </c>
      <c r="F165" t="str">
        <f>INDEX(Establishment!B$2:B$1005,MATCH($E165,Establishment!$A$2:$A$1005,0))</f>
        <v xml:space="preserve"> </v>
      </c>
      <c r="G165" t="str">
        <f>INDEX(Establishment!C$2:C$1005,MATCH($E165,Establishment!$A$2:$A$1005,0))</f>
        <v xml:space="preserve"> </v>
      </c>
      <c r="M165">
        <f t="shared" si="16"/>
        <v>0</v>
      </c>
      <c r="N165">
        <f t="shared" si="14"/>
        <v>0</v>
      </c>
      <c r="P165" t="e">
        <f>INDEX(Items!B$2:B$1032,MATCH($O165,Items!$A$2:$A$1032,0))</f>
        <v>#N/A</v>
      </c>
      <c r="Q165" t="e">
        <f>INDEX(Items!C$2:C$1032,MATCH($O165,Items!$A$2:$A$1032,0))</f>
        <v>#N/A</v>
      </c>
      <c r="R165" t="e">
        <f>INDEX(Items!D$2:D$1032,MATCH($O165,Items!$A$2:$A$1032,0))</f>
        <v>#N/A</v>
      </c>
    </row>
    <row r="166" spans="1:18" x14ac:dyDescent="0.25">
      <c r="A166">
        <f t="shared" si="12"/>
        <v>1</v>
      </c>
      <c r="B166" t="str">
        <f t="shared" si="13"/>
        <v/>
      </c>
      <c r="C166">
        <f t="shared" si="15"/>
        <v>1</v>
      </c>
      <c r="D166" s="4"/>
      <c r="E166" t="s">
        <v>18</v>
      </c>
      <c r="F166" t="str">
        <f>INDEX(Establishment!B$2:B$1005,MATCH($E166,Establishment!$A$2:$A$1005,0))</f>
        <v xml:space="preserve"> </v>
      </c>
      <c r="G166" t="str">
        <f>INDEX(Establishment!C$2:C$1005,MATCH($E166,Establishment!$A$2:$A$1005,0))</f>
        <v xml:space="preserve"> </v>
      </c>
      <c r="M166">
        <f t="shared" si="16"/>
        <v>0</v>
      </c>
      <c r="N166">
        <f t="shared" si="14"/>
        <v>0</v>
      </c>
      <c r="P166" t="e">
        <f>INDEX(Items!B$2:B$1032,MATCH($O166,Items!$A$2:$A$1032,0))</f>
        <v>#N/A</v>
      </c>
      <c r="Q166" t="e">
        <f>INDEX(Items!C$2:C$1032,MATCH($O166,Items!$A$2:$A$1032,0))</f>
        <v>#N/A</v>
      </c>
      <c r="R166" t="e">
        <f>INDEX(Items!D$2:D$1032,MATCH($O166,Items!$A$2:$A$1032,0))</f>
        <v>#N/A</v>
      </c>
    </row>
    <row r="167" spans="1:18" x14ac:dyDescent="0.25">
      <c r="A167">
        <f t="shared" si="12"/>
        <v>1</v>
      </c>
      <c r="B167" t="str">
        <f t="shared" si="13"/>
        <v/>
      </c>
      <c r="C167">
        <f t="shared" si="15"/>
        <v>1</v>
      </c>
      <c r="D167" s="4"/>
      <c r="E167" t="s">
        <v>18</v>
      </c>
      <c r="F167" t="str">
        <f>INDEX(Establishment!B$2:B$1005,MATCH($E167,Establishment!$A$2:$A$1005,0))</f>
        <v xml:space="preserve"> </v>
      </c>
      <c r="G167" t="str">
        <f>INDEX(Establishment!C$2:C$1005,MATCH($E167,Establishment!$A$2:$A$1005,0))</f>
        <v xml:space="preserve"> </v>
      </c>
      <c r="M167">
        <f t="shared" si="16"/>
        <v>0</v>
      </c>
      <c r="N167">
        <f t="shared" si="14"/>
        <v>0</v>
      </c>
      <c r="P167" t="e">
        <f>INDEX(Items!B$2:B$1032,MATCH($O167,Items!$A$2:$A$1032,0))</f>
        <v>#N/A</v>
      </c>
      <c r="Q167" t="e">
        <f>INDEX(Items!C$2:C$1032,MATCH($O167,Items!$A$2:$A$1032,0))</f>
        <v>#N/A</v>
      </c>
      <c r="R167" t="e">
        <f>INDEX(Items!D$2:D$1032,MATCH($O167,Items!$A$2:$A$1032,0))</f>
        <v>#N/A</v>
      </c>
    </row>
    <row r="168" spans="1:18" x14ac:dyDescent="0.25">
      <c r="A168">
        <f t="shared" si="12"/>
        <v>1</v>
      </c>
      <c r="B168" t="str">
        <f t="shared" si="13"/>
        <v/>
      </c>
      <c r="C168">
        <f t="shared" si="15"/>
        <v>1</v>
      </c>
      <c r="D168" s="4"/>
      <c r="E168" t="s">
        <v>18</v>
      </c>
      <c r="F168" t="str">
        <f>INDEX(Establishment!B$2:B$1005,MATCH($E168,Establishment!$A$2:$A$1005,0))</f>
        <v xml:space="preserve"> </v>
      </c>
      <c r="G168" t="str">
        <f>INDEX(Establishment!C$2:C$1005,MATCH($E168,Establishment!$A$2:$A$1005,0))</f>
        <v xml:space="preserve"> </v>
      </c>
      <c r="M168">
        <f t="shared" si="16"/>
        <v>0</v>
      </c>
      <c r="N168">
        <f t="shared" si="14"/>
        <v>0</v>
      </c>
      <c r="P168" t="e">
        <f>INDEX(Items!B$2:B$1032,MATCH($O168,Items!$A$2:$A$1032,0))</f>
        <v>#N/A</v>
      </c>
      <c r="Q168" t="e">
        <f>INDEX(Items!C$2:C$1032,MATCH($O168,Items!$A$2:$A$1032,0))</f>
        <v>#N/A</v>
      </c>
      <c r="R168" t="e">
        <f>INDEX(Items!D$2:D$1032,MATCH($O168,Items!$A$2:$A$1032,0))</f>
        <v>#N/A</v>
      </c>
    </row>
    <row r="169" spans="1:18" x14ac:dyDescent="0.25">
      <c r="A169">
        <f t="shared" si="12"/>
        <v>1</v>
      </c>
      <c r="B169" t="str">
        <f t="shared" si="13"/>
        <v/>
      </c>
      <c r="C169">
        <f t="shared" si="15"/>
        <v>1</v>
      </c>
      <c r="D169" s="4"/>
      <c r="E169" t="s">
        <v>18</v>
      </c>
      <c r="F169" t="str">
        <f>INDEX(Establishment!B$2:B$1005,MATCH($E169,Establishment!$A$2:$A$1005,0))</f>
        <v xml:space="preserve"> </v>
      </c>
      <c r="G169" t="str">
        <f>INDEX(Establishment!C$2:C$1005,MATCH($E169,Establishment!$A$2:$A$1005,0))</f>
        <v xml:space="preserve"> </v>
      </c>
      <c r="M169">
        <f t="shared" si="16"/>
        <v>0</v>
      </c>
      <c r="N169">
        <f t="shared" si="14"/>
        <v>0</v>
      </c>
      <c r="P169" t="e">
        <f>INDEX(Items!B$2:B$1032,MATCH($O169,Items!$A$2:$A$1032,0))</f>
        <v>#N/A</v>
      </c>
      <c r="Q169" t="e">
        <f>INDEX(Items!C$2:C$1032,MATCH($O169,Items!$A$2:$A$1032,0))</f>
        <v>#N/A</v>
      </c>
      <c r="R169" t="e">
        <f>INDEX(Items!D$2:D$1032,MATCH($O169,Items!$A$2:$A$1032,0))</f>
        <v>#N/A</v>
      </c>
    </row>
    <row r="170" spans="1:18" x14ac:dyDescent="0.25">
      <c r="A170">
        <f t="shared" si="12"/>
        <v>1</v>
      </c>
      <c r="B170" t="str">
        <f t="shared" si="13"/>
        <v/>
      </c>
      <c r="C170">
        <f t="shared" si="15"/>
        <v>1</v>
      </c>
      <c r="D170" s="4"/>
      <c r="E170" t="s">
        <v>18</v>
      </c>
      <c r="F170" t="str">
        <f>INDEX(Establishment!B$2:B$1005,MATCH($E170,Establishment!$A$2:$A$1005,0))</f>
        <v xml:space="preserve"> </v>
      </c>
      <c r="G170" t="str">
        <f>INDEX(Establishment!C$2:C$1005,MATCH($E170,Establishment!$A$2:$A$1005,0))</f>
        <v xml:space="preserve"> </v>
      </c>
      <c r="M170">
        <f t="shared" si="16"/>
        <v>0</v>
      </c>
      <c r="N170">
        <f t="shared" si="14"/>
        <v>0</v>
      </c>
      <c r="P170" t="e">
        <f>INDEX(Items!B$2:B$1032,MATCH($O170,Items!$A$2:$A$1032,0))</f>
        <v>#N/A</v>
      </c>
      <c r="Q170" t="e">
        <f>INDEX(Items!C$2:C$1032,MATCH($O170,Items!$A$2:$A$1032,0))</f>
        <v>#N/A</v>
      </c>
      <c r="R170" t="e">
        <f>INDEX(Items!D$2:D$1032,MATCH($O170,Items!$A$2:$A$1032,0))</f>
        <v>#N/A</v>
      </c>
    </row>
    <row r="171" spans="1:18" x14ac:dyDescent="0.25">
      <c r="A171">
        <f t="shared" si="12"/>
        <v>1</v>
      </c>
      <c r="B171" t="str">
        <f t="shared" si="13"/>
        <v/>
      </c>
      <c r="C171">
        <f t="shared" si="15"/>
        <v>1</v>
      </c>
      <c r="D171" s="4"/>
      <c r="E171" t="s">
        <v>18</v>
      </c>
      <c r="F171" t="str">
        <f>INDEX(Establishment!B$2:B$1005,MATCH($E171,Establishment!$A$2:$A$1005,0))</f>
        <v xml:space="preserve"> </v>
      </c>
      <c r="G171" t="str">
        <f>INDEX(Establishment!C$2:C$1005,MATCH($E171,Establishment!$A$2:$A$1005,0))</f>
        <v xml:space="preserve"> </v>
      </c>
      <c r="M171">
        <f t="shared" si="16"/>
        <v>0</v>
      </c>
      <c r="N171">
        <f t="shared" si="14"/>
        <v>0</v>
      </c>
      <c r="P171" t="e">
        <f>INDEX(Items!B$2:B$1032,MATCH($O171,Items!$A$2:$A$1032,0))</f>
        <v>#N/A</v>
      </c>
      <c r="Q171" t="e">
        <f>INDEX(Items!C$2:C$1032,MATCH($O171,Items!$A$2:$A$1032,0))</f>
        <v>#N/A</v>
      </c>
      <c r="R171" t="e">
        <f>INDEX(Items!D$2:D$1032,MATCH($O171,Items!$A$2:$A$1032,0))</f>
        <v>#N/A</v>
      </c>
    </row>
    <row r="172" spans="1:18" x14ac:dyDescent="0.25">
      <c r="A172">
        <f t="shared" si="12"/>
        <v>1</v>
      </c>
      <c r="B172" t="str">
        <f t="shared" si="13"/>
        <v/>
      </c>
      <c r="C172">
        <f t="shared" si="15"/>
        <v>1</v>
      </c>
      <c r="D172" s="4"/>
      <c r="E172" t="s">
        <v>18</v>
      </c>
      <c r="F172" t="str">
        <f>INDEX(Establishment!B$2:B$1005,MATCH($E172,Establishment!$A$2:$A$1005,0))</f>
        <v xml:space="preserve"> </v>
      </c>
      <c r="G172" t="str">
        <f>INDEX(Establishment!C$2:C$1005,MATCH($E172,Establishment!$A$2:$A$1005,0))</f>
        <v xml:space="preserve"> </v>
      </c>
      <c r="M172">
        <f t="shared" si="16"/>
        <v>0</v>
      </c>
      <c r="N172">
        <f t="shared" si="14"/>
        <v>0</v>
      </c>
      <c r="P172" t="e">
        <f>INDEX(Items!B$2:B$1032,MATCH($O172,Items!$A$2:$A$1032,0))</f>
        <v>#N/A</v>
      </c>
      <c r="Q172" t="e">
        <f>INDEX(Items!C$2:C$1032,MATCH($O172,Items!$A$2:$A$1032,0))</f>
        <v>#N/A</v>
      </c>
      <c r="R172" t="e">
        <f>INDEX(Items!D$2:D$1032,MATCH($O172,Items!$A$2:$A$1032,0))</f>
        <v>#N/A</v>
      </c>
    </row>
    <row r="173" spans="1:18" x14ac:dyDescent="0.25">
      <c r="A173">
        <f t="shared" si="12"/>
        <v>1</v>
      </c>
      <c r="B173" t="str">
        <f t="shared" si="13"/>
        <v/>
      </c>
      <c r="C173">
        <f t="shared" si="15"/>
        <v>1</v>
      </c>
      <c r="D173" s="4"/>
      <c r="E173" t="s">
        <v>18</v>
      </c>
      <c r="F173" t="str">
        <f>INDEX(Establishment!B$2:B$1005,MATCH($E173,Establishment!$A$2:$A$1005,0))</f>
        <v xml:space="preserve"> </v>
      </c>
      <c r="G173" t="str">
        <f>INDEX(Establishment!C$2:C$1005,MATCH($E173,Establishment!$A$2:$A$1005,0))</f>
        <v xml:space="preserve"> </v>
      </c>
      <c r="M173">
        <f t="shared" si="16"/>
        <v>0</v>
      </c>
      <c r="N173">
        <f t="shared" si="14"/>
        <v>0</v>
      </c>
      <c r="P173" t="e">
        <f>INDEX(Items!B$2:B$1032,MATCH($O173,Items!$A$2:$A$1032,0))</f>
        <v>#N/A</v>
      </c>
      <c r="Q173" t="e">
        <f>INDEX(Items!C$2:C$1032,MATCH($O173,Items!$A$2:$A$1032,0))</f>
        <v>#N/A</v>
      </c>
      <c r="R173" t="e">
        <f>INDEX(Items!D$2:D$1032,MATCH($O173,Items!$A$2:$A$1032,0))</f>
        <v>#N/A</v>
      </c>
    </row>
    <row r="174" spans="1:18" x14ac:dyDescent="0.25">
      <c r="A174">
        <f t="shared" si="12"/>
        <v>1</v>
      </c>
      <c r="B174" t="str">
        <f t="shared" si="13"/>
        <v/>
      </c>
      <c r="C174">
        <f t="shared" si="15"/>
        <v>1</v>
      </c>
      <c r="D174" s="4"/>
      <c r="E174" t="s">
        <v>18</v>
      </c>
      <c r="F174" t="str">
        <f>INDEX(Establishment!B$2:B$1005,MATCH($E174,Establishment!$A$2:$A$1005,0))</f>
        <v xml:space="preserve"> </v>
      </c>
      <c r="G174" t="str">
        <f>INDEX(Establishment!C$2:C$1005,MATCH($E174,Establishment!$A$2:$A$1005,0))</f>
        <v xml:space="preserve"> </v>
      </c>
      <c r="M174">
        <f t="shared" si="16"/>
        <v>0</v>
      </c>
      <c r="N174">
        <f t="shared" si="14"/>
        <v>0</v>
      </c>
      <c r="P174" t="e">
        <f>INDEX(Items!B$2:B$1032,MATCH($O174,Items!$A$2:$A$1032,0))</f>
        <v>#N/A</v>
      </c>
      <c r="Q174" t="e">
        <f>INDEX(Items!C$2:C$1032,MATCH($O174,Items!$A$2:$A$1032,0))</f>
        <v>#N/A</v>
      </c>
      <c r="R174" t="e">
        <f>INDEX(Items!D$2:D$1032,MATCH($O174,Items!$A$2:$A$1032,0))</f>
        <v>#N/A</v>
      </c>
    </row>
    <row r="175" spans="1:18" x14ac:dyDescent="0.25">
      <c r="A175">
        <f t="shared" si="12"/>
        <v>1</v>
      </c>
      <c r="B175" t="str">
        <f t="shared" si="13"/>
        <v/>
      </c>
      <c r="C175">
        <f t="shared" si="15"/>
        <v>1</v>
      </c>
      <c r="D175" s="4"/>
      <c r="E175" t="s">
        <v>18</v>
      </c>
      <c r="F175" t="str">
        <f>INDEX(Establishment!B$2:B$1005,MATCH($E175,Establishment!$A$2:$A$1005,0))</f>
        <v xml:space="preserve"> </v>
      </c>
      <c r="G175" t="str">
        <f>INDEX(Establishment!C$2:C$1005,MATCH($E175,Establishment!$A$2:$A$1005,0))</f>
        <v xml:space="preserve"> </v>
      </c>
      <c r="M175">
        <f t="shared" si="16"/>
        <v>0</v>
      </c>
      <c r="N175">
        <f t="shared" si="14"/>
        <v>0</v>
      </c>
      <c r="P175" t="e">
        <f>INDEX(Items!B$2:B$1032,MATCH($O175,Items!$A$2:$A$1032,0))</f>
        <v>#N/A</v>
      </c>
      <c r="Q175" t="e">
        <f>INDEX(Items!C$2:C$1032,MATCH($O175,Items!$A$2:$A$1032,0))</f>
        <v>#N/A</v>
      </c>
      <c r="R175" t="e">
        <f>INDEX(Items!D$2:D$1032,MATCH($O175,Items!$A$2:$A$1032,0))</f>
        <v>#N/A</v>
      </c>
    </row>
    <row r="176" spans="1:18" x14ac:dyDescent="0.25">
      <c r="A176">
        <f t="shared" si="12"/>
        <v>1</v>
      </c>
      <c r="B176" t="str">
        <f t="shared" si="13"/>
        <v/>
      </c>
      <c r="C176">
        <f t="shared" si="15"/>
        <v>1</v>
      </c>
      <c r="D176" s="4"/>
      <c r="E176" t="s">
        <v>18</v>
      </c>
      <c r="F176" t="str">
        <f>INDEX(Establishment!B$2:B$1005,MATCH($E176,Establishment!$A$2:$A$1005,0))</f>
        <v xml:space="preserve"> </v>
      </c>
      <c r="G176" t="str">
        <f>INDEX(Establishment!C$2:C$1005,MATCH($E176,Establishment!$A$2:$A$1005,0))</f>
        <v xml:space="preserve"> </v>
      </c>
      <c r="M176">
        <f t="shared" si="16"/>
        <v>0</v>
      </c>
      <c r="N176">
        <f t="shared" si="14"/>
        <v>0</v>
      </c>
      <c r="P176" t="e">
        <f>INDEX(Items!B$2:B$1032,MATCH($O176,Items!$A$2:$A$1032,0))</f>
        <v>#N/A</v>
      </c>
      <c r="Q176" t="e">
        <f>INDEX(Items!C$2:C$1032,MATCH($O176,Items!$A$2:$A$1032,0))</f>
        <v>#N/A</v>
      </c>
      <c r="R176" t="e">
        <f>INDEX(Items!D$2:D$1032,MATCH($O176,Items!$A$2:$A$1032,0))</f>
        <v>#N/A</v>
      </c>
    </row>
    <row r="177" spans="1:18" x14ac:dyDescent="0.25">
      <c r="A177">
        <f t="shared" si="12"/>
        <v>1</v>
      </c>
      <c r="B177" t="str">
        <f t="shared" si="13"/>
        <v/>
      </c>
      <c r="C177">
        <f t="shared" si="15"/>
        <v>1</v>
      </c>
      <c r="D177" s="4"/>
      <c r="E177" t="s">
        <v>18</v>
      </c>
      <c r="F177" t="str">
        <f>INDEX(Establishment!B$2:B$1005,MATCH($E177,Establishment!$A$2:$A$1005,0))</f>
        <v xml:space="preserve"> </v>
      </c>
      <c r="G177" t="str">
        <f>INDEX(Establishment!C$2:C$1005,MATCH($E177,Establishment!$A$2:$A$1005,0))</f>
        <v xml:space="preserve"> </v>
      </c>
      <c r="M177">
        <f t="shared" si="16"/>
        <v>0</v>
      </c>
      <c r="N177">
        <f t="shared" si="14"/>
        <v>0</v>
      </c>
      <c r="P177" t="e">
        <f>INDEX(Items!B$2:B$1032,MATCH($O177,Items!$A$2:$A$1032,0))</f>
        <v>#N/A</v>
      </c>
      <c r="Q177" t="e">
        <f>INDEX(Items!C$2:C$1032,MATCH($O177,Items!$A$2:$A$1032,0))</f>
        <v>#N/A</v>
      </c>
      <c r="R177" t="e">
        <f>INDEX(Items!D$2:D$1032,MATCH($O177,Items!$A$2:$A$1032,0))</f>
        <v>#N/A</v>
      </c>
    </row>
    <row r="178" spans="1:18" x14ac:dyDescent="0.25">
      <c r="A178">
        <f t="shared" si="12"/>
        <v>1</v>
      </c>
      <c r="B178" t="str">
        <f t="shared" si="13"/>
        <v/>
      </c>
      <c r="C178">
        <f t="shared" si="15"/>
        <v>1</v>
      </c>
      <c r="D178" s="4"/>
      <c r="E178" t="s">
        <v>18</v>
      </c>
      <c r="F178" t="str">
        <f>INDEX(Establishment!B$2:B$1005,MATCH($E178,Establishment!$A$2:$A$1005,0))</f>
        <v xml:space="preserve"> </v>
      </c>
      <c r="G178" t="str">
        <f>INDEX(Establishment!C$2:C$1005,MATCH($E178,Establishment!$A$2:$A$1005,0))</f>
        <v xml:space="preserve"> </v>
      </c>
      <c r="M178">
        <f t="shared" si="16"/>
        <v>0</v>
      </c>
      <c r="N178">
        <f t="shared" si="14"/>
        <v>0</v>
      </c>
      <c r="P178" t="e">
        <f>INDEX(Items!B$2:B$1032,MATCH($O178,Items!$A$2:$A$1032,0))</f>
        <v>#N/A</v>
      </c>
      <c r="Q178" t="e">
        <f>INDEX(Items!C$2:C$1032,MATCH($O178,Items!$A$2:$A$1032,0))</f>
        <v>#N/A</v>
      </c>
      <c r="R178" t="e">
        <f>INDEX(Items!D$2:D$1032,MATCH($O178,Items!$A$2:$A$1032,0))</f>
        <v>#N/A</v>
      </c>
    </row>
    <row r="179" spans="1:18" x14ac:dyDescent="0.25">
      <c r="A179">
        <f t="shared" si="12"/>
        <v>1</v>
      </c>
      <c r="B179" t="str">
        <f t="shared" si="13"/>
        <v/>
      </c>
      <c r="C179">
        <f t="shared" si="15"/>
        <v>1</v>
      </c>
      <c r="D179" s="4"/>
      <c r="E179" t="s">
        <v>18</v>
      </c>
      <c r="F179" t="str">
        <f>INDEX(Establishment!B$2:B$1005,MATCH($E179,Establishment!$A$2:$A$1005,0))</f>
        <v xml:space="preserve"> </v>
      </c>
      <c r="G179" t="str">
        <f>INDEX(Establishment!C$2:C$1005,MATCH($E179,Establishment!$A$2:$A$1005,0))</f>
        <v xml:space="preserve"> </v>
      </c>
      <c r="M179">
        <f t="shared" si="16"/>
        <v>0</v>
      </c>
      <c r="N179">
        <f t="shared" si="14"/>
        <v>0</v>
      </c>
      <c r="P179" t="e">
        <f>INDEX(Items!B$2:B$1032,MATCH($O179,Items!$A$2:$A$1032,0))</f>
        <v>#N/A</v>
      </c>
      <c r="Q179" t="e">
        <f>INDEX(Items!C$2:C$1032,MATCH($O179,Items!$A$2:$A$1032,0))</f>
        <v>#N/A</v>
      </c>
      <c r="R179" t="e">
        <f>INDEX(Items!D$2:D$1032,MATCH($O179,Items!$A$2:$A$1032,0))</f>
        <v>#N/A</v>
      </c>
    </row>
    <row r="180" spans="1:18" x14ac:dyDescent="0.25">
      <c r="A180">
        <f t="shared" si="12"/>
        <v>1</v>
      </c>
      <c r="B180" t="str">
        <f t="shared" si="13"/>
        <v/>
      </c>
      <c r="C180">
        <f t="shared" si="15"/>
        <v>1</v>
      </c>
      <c r="D180" s="4"/>
      <c r="E180" t="s">
        <v>18</v>
      </c>
      <c r="F180" t="str">
        <f>INDEX(Establishment!B$2:B$1005,MATCH($E180,Establishment!$A$2:$A$1005,0))</f>
        <v xml:space="preserve"> </v>
      </c>
      <c r="G180" t="str">
        <f>INDEX(Establishment!C$2:C$1005,MATCH($E180,Establishment!$A$2:$A$1005,0))</f>
        <v xml:space="preserve"> </v>
      </c>
      <c r="M180">
        <f t="shared" si="16"/>
        <v>0</v>
      </c>
      <c r="N180">
        <f t="shared" si="14"/>
        <v>0</v>
      </c>
      <c r="P180" t="e">
        <f>INDEX(Items!B$2:B$1032,MATCH($O180,Items!$A$2:$A$1032,0))</f>
        <v>#N/A</v>
      </c>
      <c r="Q180" t="e">
        <f>INDEX(Items!C$2:C$1032,MATCH($O180,Items!$A$2:$A$1032,0))</f>
        <v>#N/A</v>
      </c>
      <c r="R180" t="e">
        <f>INDEX(Items!D$2:D$1032,MATCH($O180,Items!$A$2:$A$1032,0))</f>
        <v>#N/A</v>
      </c>
    </row>
    <row r="181" spans="1:18" x14ac:dyDescent="0.25">
      <c r="A181">
        <f t="shared" si="12"/>
        <v>1</v>
      </c>
      <c r="B181" t="str">
        <f t="shared" si="13"/>
        <v/>
      </c>
      <c r="C181">
        <f t="shared" si="15"/>
        <v>1</v>
      </c>
      <c r="D181" s="4"/>
      <c r="E181" t="s">
        <v>18</v>
      </c>
      <c r="F181" t="str">
        <f>INDEX(Establishment!B$2:B$1005,MATCH($E181,Establishment!$A$2:$A$1005,0))</f>
        <v xml:space="preserve"> </v>
      </c>
      <c r="G181" t="str">
        <f>INDEX(Establishment!C$2:C$1005,MATCH($E181,Establishment!$A$2:$A$1005,0))</f>
        <v xml:space="preserve"> </v>
      </c>
      <c r="M181">
        <f t="shared" si="16"/>
        <v>0</v>
      </c>
      <c r="N181">
        <f t="shared" si="14"/>
        <v>0</v>
      </c>
      <c r="P181" t="e">
        <f>INDEX(Items!B$2:B$1032,MATCH($O181,Items!$A$2:$A$1032,0))</f>
        <v>#N/A</v>
      </c>
      <c r="Q181" t="e">
        <f>INDEX(Items!C$2:C$1032,MATCH($O181,Items!$A$2:$A$1032,0))</f>
        <v>#N/A</v>
      </c>
      <c r="R181" t="e">
        <f>INDEX(Items!D$2:D$1032,MATCH($O181,Items!$A$2:$A$1032,0))</f>
        <v>#N/A</v>
      </c>
    </row>
    <row r="182" spans="1:18" x14ac:dyDescent="0.25">
      <c r="A182">
        <f t="shared" si="12"/>
        <v>1</v>
      </c>
      <c r="B182" t="str">
        <f t="shared" si="13"/>
        <v/>
      </c>
      <c r="C182">
        <f t="shared" si="15"/>
        <v>1</v>
      </c>
      <c r="D182" s="4"/>
      <c r="E182" t="s">
        <v>18</v>
      </c>
      <c r="F182" t="str">
        <f>INDEX(Establishment!B$2:B$1005,MATCH($E182,Establishment!$A$2:$A$1005,0))</f>
        <v xml:space="preserve"> </v>
      </c>
      <c r="G182" t="str">
        <f>INDEX(Establishment!C$2:C$1005,MATCH($E182,Establishment!$A$2:$A$1005,0))</f>
        <v xml:space="preserve"> </v>
      </c>
      <c r="M182">
        <f t="shared" si="16"/>
        <v>0</v>
      </c>
      <c r="N182">
        <f t="shared" si="14"/>
        <v>0</v>
      </c>
      <c r="P182" t="e">
        <f>INDEX(Items!B$2:B$1032,MATCH($O182,Items!$A$2:$A$1032,0))</f>
        <v>#N/A</v>
      </c>
      <c r="Q182" t="e">
        <f>INDEX(Items!C$2:C$1032,MATCH($O182,Items!$A$2:$A$1032,0))</f>
        <v>#N/A</v>
      </c>
      <c r="R182" t="e">
        <f>INDEX(Items!D$2:D$1032,MATCH($O182,Items!$A$2:$A$1032,0))</f>
        <v>#N/A</v>
      </c>
    </row>
    <row r="183" spans="1:18" x14ac:dyDescent="0.25">
      <c r="A183">
        <f t="shared" si="12"/>
        <v>1</v>
      </c>
      <c r="B183" t="str">
        <f t="shared" si="13"/>
        <v/>
      </c>
      <c r="C183">
        <f t="shared" si="15"/>
        <v>1</v>
      </c>
      <c r="D183" s="4"/>
      <c r="E183" t="s">
        <v>18</v>
      </c>
      <c r="F183" t="str">
        <f>INDEX(Establishment!B$2:B$1005,MATCH($E183,Establishment!$A$2:$A$1005,0))</f>
        <v xml:space="preserve"> </v>
      </c>
      <c r="G183" t="str">
        <f>INDEX(Establishment!C$2:C$1005,MATCH($E183,Establishment!$A$2:$A$1005,0))</f>
        <v xml:space="preserve"> </v>
      </c>
      <c r="M183">
        <f t="shared" si="16"/>
        <v>0</v>
      </c>
      <c r="N183">
        <f t="shared" si="14"/>
        <v>0</v>
      </c>
      <c r="P183" t="e">
        <f>INDEX(Items!B$2:B$1032,MATCH($O183,Items!$A$2:$A$1032,0))</f>
        <v>#N/A</v>
      </c>
      <c r="Q183" t="e">
        <f>INDEX(Items!C$2:C$1032,MATCH($O183,Items!$A$2:$A$1032,0))</f>
        <v>#N/A</v>
      </c>
      <c r="R183" t="e">
        <f>INDEX(Items!D$2:D$1032,MATCH($O183,Items!$A$2:$A$1032,0))</f>
        <v>#N/A</v>
      </c>
    </row>
    <row r="184" spans="1:18" x14ac:dyDescent="0.25">
      <c r="A184">
        <f t="shared" si="12"/>
        <v>1</v>
      </c>
      <c r="B184" t="str">
        <f t="shared" si="13"/>
        <v/>
      </c>
      <c r="C184">
        <f t="shared" si="15"/>
        <v>1</v>
      </c>
      <c r="D184" s="4"/>
      <c r="E184" t="s">
        <v>18</v>
      </c>
      <c r="F184" t="str">
        <f>INDEX(Establishment!B$2:B$1005,MATCH($E184,Establishment!$A$2:$A$1005,0))</f>
        <v xml:space="preserve"> </v>
      </c>
      <c r="G184" t="str">
        <f>INDEX(Establishment!C$2:C$1005,MATCH($E184,Establishment!$A$2:$A$1005,0))</f>
        <v xml:space="preserve"> </v>
      </c>
      <c r="M184">
        <f t="shared" si="16"/>
        <v>0</v>
      </c>
      <c r="N184">
        <f t="shared" si="14"/>
        <v>0</v>
      </c>
      <c r="P184" t="e">
        <f>INDEX(Items!B$2:B$1032,MATCH($O184,Items!$A$2:$A$1032,0))</f>
        <v>#N/A</v>
      </c>
      <c r="Q184" t="e">
        <f>INDEX(Items!C$2:C$1032,MATCH($O184,Items!$A$2:$A$1032,0))</f>
        <v>#N/A</v>
      </c>
      <c r="R184" t="e">
        <f>INDEX(Items!D$2:D$1032,MATCH($O184,Items!$A$2:$A$1032,0))</f>
        <v>#N/A</v>
      </c>
    </row>
    <row r="185" spans="1:18" x14ac:dyDescent="0.25">
      <c r="A185">
        <f t="shared" si="12"/>
        <v>1</v>
      </c>
      <c r="B185" t="str">
        <f t="shared" si="13"/>
        <v/>
      </c>
      <c r="C185">
        <f t="shared" si="15"/>
        <v>1</v>
      </c>
      <c r="D185" s="4"/>
      <c r="E185" t="s">
        <v>18</v>
      </c>
      <c r="F185" t="str">
        <f>INDEX(Establishment!B$2:B$1005,MATCH($E185,Establishment!$A$2:$A$1005,0))</f>
        <v xml:space="preserve"> </v>
      </c>
      <c r="G185" t="str">
        <f>INDEX(Establishment!C$2:C$1005,MATCH($E185,Establishment!$A$2:$A$1005,0))</f>
        <v xml:space="preserve"> </v>
      </c>
      <c r="M185">
        <f t="shared" si="16"/>
        <v>0</v>
      </c>
      <c r="N185">
        <f t="shared" si="14"/>
        <v>0</v>
      </c>
      <c r="P185" t="e">
        <f>INDEX(Items!B$2:B$1032,MATCH($O185,Items!$A$2:$A$1032,0))</f>
        <v>#N/A</v>
      </c>
      <c r="Q185" t="e">
        <f>INDEX(Items!C$2:C$1032,MATCH($O185,Items!$A$2:$A$1032,0))</f>
        <v>#N/A</v>
      </c>
      <c r="R185" t="e">
        <f>INDEX(Items!D$2:D$1032,MATCH($O185,Items!$A$2:$A$1032,0))</f>
        <v>#N/A</v>
      </c>
    </row>
    <row r="186" spans="1:18" x14ac:dyDescent="0.25">
      <c r="A186">
        <f t="shared" si="12"/>
        <v>1</v>
      </c>
      <c r="B186" t="str">
        <f t="shared" si="13"/>
        <v/>
      </c>
      <c r="C186">
        <f t="shared" si="15"/>
        <v>1</v>
      </c>
      <c r="D186" s="4"/>
      <c r="E186" t="s">
        <v>18</v>
      </c>
      <c r="F186" t="str">
        <f>INDEX(Establishment!B$2:B$1005,MATCH($E186,Establishment!$A$2:$A$1005,0))</f>
        <v xml:space="preserve"> </v>
      </c>
      <c r="G186" t="str">
        <f>INDEX(Establishment!C$2:C$1005,MATCH($E186,Establishment!$A$2:$A$1005,0))</f>
        <v xml:space="preserve"> </v>
      </c>
      <c r="M186">
        <f t="shared" si="16"/>
        <v>0</v>
      </c>
      <c r="N186">
        <f t="shared" si="14"/>
        <v>0</v>
      </c>
      <c r="P186" t="e">
        <f>INDEX(Items!B$2:B$1032,MATCH($O186,Items!$A$2:$A$1032,0))</f>
        <v>#N/A</v>
      </c>
      <c r="Q186" t="e">
        <f>INDEX(Items!C$2:C$1032,MATCH($O186,Items!$A$2:$A$1032,0))</f>
        <v>#N/A</v>
      </c>
      <c r="R186" t="e">
        <f>INDEX(Items!D$2:D$1032,MATCH($O186,Items!$A$2:$A$1032,0))</f>
        <v>#N/A</v>
      </c>
    </row>
    <row r="187" spans="1:18" x14ac:dyDescent="0.25">
      <c r="A187">
        <f t="shared" si="12"/>
        <v>1</v>
      </c>
      <c r="B187" t="str">
        <f t="shared" si="13"/>
        <v/>
      </c>
      <c r="C187">
        <f t="shared" si="15"/>
        <v>1</v>
      </c>
      <c r="D187" s="4"/>
      <c r="E187" t="s">
        <v>18</v>
      </c>
      <c r="F187" t="str">
        <f>INDEX(Establishment!B$2:B$1005,MATCH($E187,Establishment!$A$2:$A$1005,0))</f>
        <v xml:space="preserve"> </v>
      </c>
      <c r="G187" t="str">
        <f>INDEX(Establishment!C$2:C$1005,MATCH($E187,Establishment!$A$2:$A$1005,0))</f>
        <v xml:space="preserve"> </v>
      </c>
      <c r="M187">
        <f t="shared" si="16"/>
        <v>0</v>
      </c>
      <c r="N187">
        <f t="shared" si="14"/>
        <v>0</v>
      </c>
      <c r="P187" t="e">
        <f>INDEX(Items!B$2:B$1032,MATCH($O187,Items!$A$2:$A$1032,0))</f>
        <v>#N/A</v>
      </c>
      <c r="Q187" t="e">
        <f>INDEX(Items!C$2:C$1032,MATCH($O187,Items!$A$2:$A$1032,0))</f>
        <v>#N/A</v>
      </c>
      <c r="R187" t="e">
        <f>INDEX(Items!D$2:D$1032,MATCH($O187,Items!$A$2:$A$1032,0))</f>
        <v>#N/A</v>
      </c>
    </row>
    <row r="188" spans="1:18" x14ac:dyDescent="0.25">
      <c r="A188">
        <f t="shared" si="12"/>
        <v>1</v>
      </c>
      <c r="B188" t="str">
        <f t="shared" si="13"/>
        <v/>
      </c>
      <c r="C188">
        <f t="shared" si="15"/>
        <v>1</v>
      </c>
      <c r="D188" s="4"/>
      <c r="E188" t="s">
        <v>18</v>
      </c>
      <c r="F188" t="str">
        <f>INDEX(Establishment!B$2:B$1005,MATCH($E188,Establishment!$A$2:$A$1005,0))</f>
        <v xml:space="preserve"> </v>
      </c>
      <c r="G188" t="str">
        <f>INDEX(Establishment!C$2:C$1005,MATCH($E188,Establishment!$A$2:$A$1005,0))</f>
        <v xml:space="preserve"> </v>
      </c>
      <c r="M188">
        <f t="shared" si="16"/>
        <v>0</v>
      </c>
      <c r="N188">
        <f t="shared" si="14"/>
        <v>0</v>
      </c>
      <c r="P188" t="e">
        <f>INDEX(Items!B$2:B$1032,MATCH($O188,Items!$A$2:$A$1032,0))</f>
        <v>#N/A</v>
      </c>
      <c r="Q188" t="e">
        <f>INDEX(Items!C$2:C$1032,MATCH($O188,Items!$A$2:$A$1032,0))</f>
        <v>#N/A</v>
      </c>
      <c r="R188" t="e">
        <f>INDEX(Items!D$2:D$1032,MATCH($O188,Items!$A$2:$A$1032,0))</f>
        <v>#N/A</v>
      </c>
    </row>
    <row r="189" spans="1:18" x14ac:dyDescent="0.25">
      <c r="A189">
        <f t="shared" si="12"/>
        <v>1</v>
      </c>
      <c r="B189" t="str">
        <f t="shared" si="13"/>
        <v/>
      </c>
      <c r="C189">
        <f t="shared" si="15"/>
        <v>1</v>
      </c>
      <c r="D189" s="4"/>
      <c r="E189" t="s">
        <v>18</v>
      </c>
      <c r="F189" t="str">
        <f>INDEX(Establishment!B$2:B$1005,MATCH($E189,Establishment!$A$2:$A$1005,0))</f>
        <v xml:space="preserve"> </v>
      </c>
      <c r="G189" t="str">
        <f>INDEX(Establishment!C$2:C$1005,MATCH($E189,Establishment!$A$2:$A$1005,0))</f>
        <v xml:space="preserve"> </v>
      </c>
      <c r="M189">
        <f t="shared" si="16"/>
        <v>0</v>
      </c>
      <c r="N189">
        <f t="shared" si="14"/>
        <v>0</v>
      </c>
      <c r="P189" t="e">
        <f>INDEX(Items!B$2:B$1032,MATCH($O189,Items!$A$2:$A$1032,0))</f>
        <v>#N/A</v>
      </c>
      <c r="Q189" t="e">
        <f>INDEX(Items!C$2:C$1032,MATCH($O189,Items!$A$2:$A$1032,0))</f>
        <v>#N/A</v>
      </c>
      <c r="R189" t="e">
        <f>INDEX(Items!D$2:D$1032,MATCH($O189,Items!$A$2:$A$1032,0))</f>
        <v>#N/A</v>
      </c>
    </row>
    <row r="190" spans="1:18" x14ac:dyDescent="0.25">
      <c r="A190">
        <f t="shared" si="12"/>
        <v>1</v>
      </c>
      <c r="B190" t="str">
        <f t="shared" si="13"/>
        <v/>
      </c>
      <c r="C190">
        <f t="shared" si="15"/>
        <v>1</v>
      </c>
      <c r="D190" s="4"/>
      <c r="E190" t="s">
        <v>18</v>
      </c>
      <c r="F190" t="str">
        <f>INDEX(Establishment!B$2:B$1005,MATCH($E190,Establishment!$A$2:$A$1005,0))</f>
        <v xml:space="preserve"> </v>
      </c>
      <c r="G190" t="str">
        <f>INDEX(Establishment!C$2:C$1005,MATCH($E190,Establishment!$A$2:$A$1005,0))</f>
        <v xml:space="preserve"> </v>
      </c>
      <c r="M190">
        <f t="shared" si="16"/>
        <v>0</v>
      </c>
      <c r="N190">
        <f t="shared" si="14"/>
        <v>0</v>
      </c>
      <c r="P190" t="e">
        <f>INDEX(Items!B$2:B$1032,MATCH($O190,Items!$A$2:$A$1032,0))</f>
        <v>#N/A</v>
      </c>
      <c r="Q190" t="e">
        <f>INDEX(Items!C$2:C$1032,MATCH($O190,Items!$A$2:$A$1032,0))</f>
        <v>#N/A</v>
      </c>
      <c r="R190" t="e">
        <f>INDEX(Items!D$2:D$1032,MATCH($O190,Items!$A$2:$A$1032,0))</f>
        <v>#N/A</v>
      </c>
    </row>
    <row r="191" spans="1:18" x14ac:dyDescent="0.25">
      <c r="A191">
        <f t="shared" si="12"/>
        <v>1</v>
      </c>
      <c r="B191" t="str">
        <f t="shared" si="13"/>
        <v/>
      </c>
      <c r="C191">
        <f t="shared" si="15"/>
        <v>1</v>
      </c>
      <c r="D191" s="4"/>
      <c r="E191" t="s">
        <v>18</v>
      </c>
      <c r="F191" t="str">
        <f>INDEX(Establishment!B$2:B$1005,MATCH($E191,Establishment!$A$2:$A$1005,0))</f>
        <v xml:space="preserve"> </v>
      </c>
      <c r="G191" t="str">
        <f>INDEX(Establishment!C$2:C$1005,MATCH($E191,Establishment!$A$2:$A$1005,0))</f>
        <v xml:space="preserve"> </v>
      </c>
      <c r="M191">
        <f t="shared" si="16"/>
        <v>0</v>
      </c>
      <c r="N191">
        <f t="shared" si="14"/>
        <v>0</v>
      </c>
      <c r="P191" t="e">
        <f>INDEX(Items!B$2:B$1032,MATCH($O191,Items!$A$2:$A$1032,0))</f>
        <v>#N/A</v>
      </c>
      <c r="Q191" t="e">
        <f>INDEX(Items!C$2:C$1032,MATCH($O191,Items!$A$2:$A$1032,0))</f>
        <v>#N/A</v>
      </c>
      <c r="R191" t="e">
        <f>INDEX(Items!D$2:D$1032,MATCH($O191,Items!$A$2:$A$1032,0))</f>
        <v>#N/A</v>
      </c>
    </row>
    <row r="192" spans="1:18" x14ac:dyDescent="0.25">
      <c r="A192">
        <f t="shared" si="12"/>
        <v>1</v>
      </c>
      <c r="B192" t="str">
        <f t="shared" si="13"/>
        <v/>
      </c>
      <c r="C192">
        <f t="shared" si="15"/>
        <v>1</v>
      </c>
      <c r="D192" s="4"/>
      <c r="E192" t="s">
        <v>18</v>
      </c>
      <c r="F192" t="str">
        <f>INDEX(Establishment!B$2:B$1005,MATCH($E192,Establishment!$A$2:$A$1005,0))</f>
        <v xml:space="preserve"> </v>
      </c>
      <c r="G192" t="str">
        <f>INDEX(Establishment!C$2:C$1005,MATCH($E192,Establishment!$A$2:$A$1005,0))</f>
        <v xml:space="preserve"> </v>
      </c>
      <c r="M192">
        <f t="shared" si="16"/>
        <v>0</v>
      </c>
      <c r="N192">
        <f t="shared" si="14"/>
        <v>0</v>
      </c>
      <c r="P192" t="e">
        <f>INDEX(Items!B$2:B$1032,MATCH($O192,Items!$A$2:$A$1032,0))</f>
        <v>#N/A</v>
      </c>
      <c r="Q192" t="e">
        <f>INDEX(Items!C$2:C$1032,MATCH($O192,Items!$A$2:$A$1032,0))</f>
        <v>#N/A</v>
      </c>
      <c r="R192" t="e">
        <f>INDEX(Items!D$2:D$1032,MATCH($O192,Items!$A$2:$A$1032,0))</f>
        <v>#N/A</v>
      </c>
    </row>
    <row r="193" spans="1:18" x14ac:dyDescent="0.25">
      <c r="A193">
        <f t="shared" si="12"/>
        <v>1</v>
      </c>
      <c r="B193" t="str">
        <f t="shared" si="13"/>
        <v/>
      </c>
      <c r="C193">
        <f t="shared" si="15"/>
        <v>1</v>
      </c>
      <c r="D193" s="4"/>
      <c r="E193" t="s">
        <v>18</v>
      </c>
      <c r="F193" t="str">
        <f>INDEX(Establishment!B$2:B$1005,MATCH($E193,Establishment!$A$2:$A$1005,0))</f>
        <v xml:space="preserve"> </v>
      </c>
      <c r="G193" t="str">
        <f>INDEX(Establishment!C$2:C$1005,MATCH($E193,Establishment!$A$2:$A$1005,0))</f>
        <v xml:space="preserve"> </v>
      </c>
      <c r="M193">
        <f t="shared" si="16"/>
        <v>0</v>
      </c>
      <c r="N193">
        <f t="shared" si="14"/>
        <v>0</v>
      </c>
      <c r="P193" t="e">
        <f>INDEX(Items!B$2:B$1032,MATCH($O193,Items!$A$2:$A$1032,0))</f>
        <v>#N/A</v>
      </c>
      <c r="Q193" t="e">
        <f>INDEX(Items!C$2:C$1032,MATCH($O193,Items!$A$2:$A$1032,0))</f>
        <v>#N/A</v>
      </c>
      <c r="R193" t="e">
        <f>INDEX(Items!D$2:D$1032,MATCH($O193,Items!$A$2:$A$1032,0))</f>
        <v>#N/A</v>
      </c>
    </row>
    <row r="194" spans="1:18" x14ac:dyDescent="0.25">
      <c r="A194">
        <f t="shared" ref="A194:A257" si="17">IF(OR(D194&lt;&gt;D193,D194=""),1,IF(NOT(AND(E194=E193,F194=F193,G194=G193)),A193+1,IF(OR(H194="",AND(H194&lt;&gt;"",H194&lt;&gt;H193,H193&lt;&gt;"")),A193,A193+1)))</f>
        <v>1</v>
      </c>
      <c r="B194" t="str">
        <f t="shared" ref="B194:B257" si="18">IF(D194&lt;&gt;"",TEXT(D194,"YYYYMMDD")&amp;CHAR(64+A194),"")</f>
        <v/>
      </c>
      <c r="C194">
        <f t="shared" si="15"/>
        <v>1</v>
      </c>
      <c r="D194" s="4"/>
      <c r="E194" t="s">
        <v>18</v>
      </c>
      <c r="F194" t="str">
        <f>INDEX(Establishment!B$2:B$1005,MATCH($E194,Establishment!$A$2:$A$1005,0))</f>
        <v xml:space="preserve"> </v>
      </c>
      <c r="G194" t="str">
        <f>INDEX(Establishment!C$2:C$1005,MATCH($E194,Establishment!$A$2:$A$1005,0))</f>
        <v xml:space="preserve"> </v>
      </c>
      <c r="M194">
        <f t="shared" si="16"/>
        <v>0</v>
      </c>
      <c r="N194">
        <f t="shared" si="14"/>
        <v>0</v>
      </c>
      <c r="P194" t="e">
        <f>INDEX(Items!B$2:B$1032,MATCH($O194,Items!$A$2:$A$1032,0))</f>
        <v>#N/A</v>
      </c>
      <c r="Q194" t="e">
        <f>INDEX(Items!C$2:C$1032,MATCH($O194,Items!$A$2:$A$1032,0))</f>
        <v>#N/A</v>
      </c>
      <c r="R194" t="e">
        <f>INDEX(Items!D$2:D$1032,MATCH($O194,Items!$A$2:$A$1032,0))</f>
        <v>#N/A</v>
      </c>
    </row>
    <row r="195" spans="1:18" x14ac:dyDescent="0.25">
      <c r="A195">
        <f t="shared" si="17"/>
        <v>1</v>
      </c>
      <c r="B195" t="str">
        <f t="shared" si="18"/>
        <v/>
      </c>
      <c r="C195">
        <f t="shared" si="15"/>
        <v>1</v>
      </c>
      <c r="D195" s="4"/>
      <c r="E195" t="s">
        <v>18</v>
      </c>
      <c r="F195" t="str">
        <f>INDEX(Establishment!B$2:B$1005,MATCH($E195,Establishment!$A$2:$A$1005,0))</f>
        <v xml:space="preserve"> </v>
      </c>
      <c r="G195" t="str">
        <f>INDEX(Establishment!C$2:C$1005,MATCH($E195,Establishment!$A$2:$A$1005,0))</f>
        <v xml:space="preserve"> </v>
      </c>
      <c r="M195">
        <f t="shared" si="16"/>
        <v>0</v>
      </c>
      <c r="N195">
        <f t="shared" ref="N195:N258" si="19">IF(B195=B194,N194+M195,M195)</f>
        <v>0</v>
      </c>
      <c r="P195" t="e">
        <f>INDEX(Items!B$2:B$1032,MATCH($O195,Items!$A$2:$A$1032,0))</f>
        <v>#N/A</v>
      </c>
      <c r="Q195" t="e">
        <f>INDEX(Items!C$2:C$1032,MATCH($O195,Items!$A$2:$A$1032,0))</f>
        <v>#N/A</v>
      </c>
      <c r="R195" t="e">
        <f>INDEX(Items!D$2:D$1032,MATCH($O195,Items!$A$2:$A$1032,0))</f>
        <v>#N/A</v>
      </c>
    </row>
    <row r="196" spans="1:18" x14ac:dyDescent="0.25">
      <c r="A196">
        <f t="shared" si="17"/>
        <v>1</v>
      </c>
      <c r="B196" t="str">
        <f t="shared" si="18"/>
        <v/>
      </c>
      <c r="C196">
        <f t="shared" si="15"/>
        <v>1</v>
      </c>
      <c r="D196" s="4"/>
      <c r="E196" t="s">
        <v>18</v>
      </c>
      <c r="F196" t="str">
        <f>INDEX(Establishment!B$2:B$1005,MATCH($E196,Establishment!$A$2:$A$1005,0))</f>
        <v xml:space="preserve"> </v>
      </c>
      <c r="G196" t="str">
        <f>INDEX(Establishment!C$2:C$1005,MATCH($E196,Establishment!$A$2:$A$1005,0))</f>
        <v xml:space="preserve"> </v>
      </c>
      <c r="M196">
        <f t="shared" si="16"/>
        <v>0</v>
      </c>
      <c r="N196">
        <f t="shared" si="19"/>
        <v>0</v>
      </c>
      <c r="P196" t="e">
        <f>INDEX(Items!B$2:B$1032,MATCH($O196,Items!$A$2:$A$1032,0))</f>
        <v>#N/A</v>
      </c>
      <c r="Q196" t="e">
        <f>INDEX(Items!C$2:C$1032,MATCH($O196,Items!$A$2:$A$1032,0))</f>
        <v>#N/A</v>
      </c>
      <c r="R196" t="e">
        <f>INDEX(Items!D$2:D$1032,MATCH($O196,Items!$A$2:$A$1032,0))</f>
        <v>#N/A</v>
      </c>
    </row>
    <row r="197" spans="1:18" x14ac:dyDescent="0.25">
      <c r="A197">
        <f t="shared" si="17"/>
        <v>1</v>
      </c>
      <c r="B197" t="str">
        <f t="shared" si="18"/>
        <v/>
      </c>
      <c r="C197">
        <f t="shared" si="15"/>
        <v>1</v>
      </c>
      <c r="D197" s="4"/>
      <c r="E197" t="s">
        <v>18</v>
      </c>
      <c r="F197" t="str">
        <f>INDEX(Establishment!B$2:B$1005,MATCH($E197,Establishment!$A$2:$A$1005,0))</f>
        <v xml:space="preserve"> </v>
      </c>
      <c r="G197" t="str">
        <f>INDEX(Establishment!C$2:C$1005,MATCH($E197,Establishment!$A$2:$A$1005,0))</f>
        <v xml:space="preserve"> </v>
      </c>
      <c r="M197">
        <f t="shared" si="16"/>
        <v>0</v>
      </c>
      <c r="N197">
        <f t="shared" si="19"/>
        <v>0</v>
      </c>
      <c r="P197" t="e">
        <f>INDEX(Items!B$2:B$1032,MATCH($O197,Items!$A$2:$A$1032,0))</f>
        <v>#N/A</v>
      </c>
      <c r="Q197" t="e">
        <f>INDEX(Items!C$2:C$1032,MATCH($O197,Items!$A$2:$A$1032,0))</f>
        <v>#N/A</v>
      </c>
      <c r="R197" t="e">
        <f>INDEX(Items!D$2:D$1032,MATCH($O197,Items!$A$2:$A$1032,0))</f>
        <v>#N/A</v>
      </c>
    </row>
    <row r="198" spans="1:18" x14ac:dyDescent="0.25">
      <c r="A198">
        <f t="shared" si="17"/>
        <v>1</v>
      </c>
      <c r="B198" t="str">
        <f t="shared" si="18"/>
        <v/>
      </c>
      <c r="C198">
        <f t="shared" si="15"/>
        <v>1</v>
      </c>
      <c r="D198" s="4"/>
      <c r="E198" t="s">
        <v>18</v>
      </c>
      <c r="F198" t="str">
        <f>INDEX(Establishment!B$2:B$1005,MATCH($E198,Establishment!$A$2:$A$1005,0))</f>
        <v xml:space="preserve"> </v>
      </c>
      <c r="G198" t="str">
        <f>INDEX(Establishment!C$2:C$1005,MATCH($E198,Establishment!$A$2:$A$1005,0))</f>
        <v xml:space="preserve"> </v>
      </c>
      <c r="M198">
        <f t="shared" si="16"/>
        <v>0</v>
      </c>
      <c r="N198">
        <f t="shared" si="19"/>
        <v>0</v>
      </c>
      <c r="P198" t="e">
        <f>INDEX(Items!B$2:B$1032,MATCH($O198,Items!$A$2:$A$1032,0))</f>
        <v>#N/A</v>
      </c>
      <c r="Q198" t="e">
        <f>INDEX(Items!C$2:C$1032,MATCH($O198,Items!$A$2:$A$1032,0))</f>
        <v>#N/A</v>
      </c>
      <c r="R198" t="e">
        <f>INDEX(Items!D$2:D$1032,MATCH($O198,Items!$A$2:$A$1032,0))</f>
        <v>#N/A</v>
      </c>
    </row>
    <row r="199" spans="1:18" x14ac:dyDescent="0.25">
      <c r="A199">
        <f t="shared" si="17"/>
        <v>1</v>
      </c>
      <c r="B199" t="str">
        <f t="shared" si="18"/>
        <v/>
      </c>
      <c r="C199">
        <f t="shared" si="15"/>
        <v>1</v>
      </c>
      <c r="D199" s="4"/>
      <c r="E199" t="s">
        <v>18</v>
      </c>
      <c r="F199" t="str">
        <f>INDEX(Establishment!B$2:B$1005,MATCH($E199,Establishment!$A$2:$A$1005,0))</f>
        <v xml:space="preserve"> </v>
      </c>
      <c r="G199" t="str">
        <f>INDEX(Establishment!C$2:C$1005,MATCH($E199,Establishment!$A$2:$A$1005,0))</f>
        <v xml:space="preserve"> </v>
      </c>
      <c r="M199">
        <f t="shared" si="16"/>
        <v>0</v>
      </c>
      <c r="N199">
        <f t="shared" si="19"/>
        <v>0</v>
      </c>
      <c r="P199" t="e">
        <f>INDEX(Items!B$2:B$1032,MATCH($O199,Items!$A$2:$A$1032,0))</f>
        <v>#N/A</v>
      </c>
      <c r="Q199" t="e">
        <f>INDEX(Items!C$2:C$1032,MATCH($O199,Items!$A$2:$A$1032,0))</f>
        <v>#N/A</v>
      </c>
      <c r="R199" t="e">
        <f>INDEX(Items!D$2:D$1032,MATCH($O199,Items!$A$2:$A$1032,0))</f>
        <v>#N/A</v>
      </c>
    </row>
    <row r="200" spans="1:18" x14ac:dyDescent="0.25">
      <c r="A200">
        <f t="shared" si="17"/>
        <v>1</v>
      </c>
      <c r="B200" t="str">
        <f t="shared" si="18"/>
        <v/>
      </c>
      <c r="C200">
        <f t="shared" si="15"/>
        <v>1</v>
      </c>
      <c r="D200" s="4"/>
      <c r="E200" t="s">
        <v>18</v>
      </c>
      <c r="F200" t="str">
        <f>INDEX(Establishment!B$2:B$1005,MATCH($E200,Establishment!$A$2:$A$1005,0))</f>
        <v xml:space="preserve"> </v>
      </c>
      <c r="G200" t="str">
        <f>INDEX(Establishment!C$2:C$1005,MATCH($E200,Establishment!$A$2:$A$1005,0))</f>
        <v xml:space="preserve"> </v>
      </c>
      <c r="M200">
        <f t="shared" si="16"/>
        <v>0</v>
      </c>
      <c r="N200">
        <f t="shared" si="19"/>
        <v>0</v>
      </c>
      <c r="P200" t="e">
        <f>INDEX(Items!B$2:B$1032,MATCH($O200,Items!$A$2:$A$1032,0))</f>
        <v>#N/A</v>
      </c>
      <c r="Q200" t="e">
        <f>INDEX(Items!C$2:C$1032,MATCH($O200,Items!$A$2:$A$1032,0))</f>
        <v>#N/A</v>
      </c>
      <c r="R200" t="e">
        <f>INDEX(Items!D$2:D$1032,MATCH($O200,Items!$A$2:$A$1032,0))</f>
        <v>#N/A</v>
      </c>
    </row>
    <row r="201" spans="1:18" x14ac:dyDescent="0.25">
      <c r="A201">
        <f t="shared" si="17"/>
        <v>1</v>
      </c>
      <c r="B201" t="str">
        <f t="shared" si="18"/>
        <v/>
      </c>
      <c r="C201">
        <f t="shared" si="15"/>
        <v>1</v>
      </c>
      <c r="D201" s="4"/>
      <c r="E201" t="s">
        <v>18</v>
      </c>
      <c r="F201" t="str">
        <f>INDEX(Establishment!B$2:B$1005,MATCH($E201,Establishment!$A$2:$A$1005,0))</f>
        <v xml:space="preserve"> </v>
      </c>
      <c r="G201" t="str">
        <f>INDEX(Establishment!C$2:C$1005,MATCH($E201,Establishment!$A$2:$A$1005,0))</f>
        <v xml:space="preserve"> </v>
      </c>
      <c r="M201">
        <f t="shared" si="16"/>
        <v>0</v>
      </c>
      <c r="N201">
        <f t="shared" si="19"/>
        <v>0</v>
      </c>
      <c r="P201" t="e">
        <f>INDEX(Items!B$2:B$1032,MATCH($O201,Items!$A$2:$A$1032,0))</f>
        <v>#N/A</v>
      </c>
      <c r="Q201" t="e">
        <f>INDEX(Items!C$2:C$1032,MATCH($O201,Items!$A$2:$A$1032,0))</f>
        <v>#N/A</v>
      </c>
      <c r="R201" t="e">
        <f>INDEX(Items!D$2:D$1032,MATCH($O201,Items!$A$2:$A$1032,0))</f>
        <v>#N/A</v>
      </c>
    </row>
    <row r="202" spans="1:18" x14ac:dyDescent="0.25">
      <c r="A202">
        <f t="shared" si="17"/>
        <v>1</v>
      </c>
      <c r="B202" t="str">
        <f t="shared" si="18"/>
        <v/>
      </c>
      <c r="C202">
        <f t="shared" ref="C202:C265" si="20">IF(OR(B202="",B202&lt;&gt;B201),1,C201+1)</f>
        <v>1</v>
      </c>
      <c r="D202" s="4"/>
      <c r="E202" t="s">
        <v>18</v>
      </c>
      <c r="F202" t="str">
        <f>INDEX(Establishment!B$2:B$1005,MATCH($E202,Establishment!$A$2:$A$1005,0))</f>
        <v xml:space="preserve"> </v>
      </c>
      <c r="G202" t="str">
        <f>INDEX(Establishment!C$2:C$1005,MATCH($E202,Establishment!$A$2:$A$1005,0))</f>
        <v xml:space="preserve"> </v>
      </c>
      <c r="M202">
        <f t="shared" ref="M202:M265" si="21">K202*L202</f>
        <v>0</v>
      </c>
      <c r="N202">
        <f t="shared" si="19"/>
        <v>0</v>
      </c>
      <c r="P202" t="e">
        <f>INDEX(Items!B$2:B$1032,MATCH($O202,Items!$A$2:$A$1032,0))</f>
        <v>#N/A</v>
      </c>
      <c r="Q202" t="e">
        <f>INDEX(Items!C$2:C$1032,MATCH($O202,Items!$A$2:$A$1032,0))</f>
        <v>#N/A</v>
      </c>
      <c r="R202" t="e">
        <f>INDEX(Items!D$2:D$1032,MATCH($O202,Items!$A$2:$A$1032,0))</f>
        <v>#N/A</v>
      </c>
    </row>
    <row r="203" spans="1:18" x14ac:dyDescent="0.25">
      <c r="A203">
        <f t="shared" si="17"/>
        <v>1</v>
      </c>
      <c r="B203" t="str">
        <f t="shared" si="18"/>
        <v/>
      </c>
      <c r="C203">
        <f t="shared" si="20"/>
        <v>1</v>
      </c>
      <c r="D203" s="4"/>
      <c r="E203" t="s">
        <v>18</v>
      </c>
      <c r="F203" t="str">
        <f>INDEX(Establishment!B$2:B$1005,MATCH($E203,Establishment!$A$2:$A$1005,0))</f>
        <v xml:space="preserve"> </v>
      </c>
      <c r="G203" t="str">
        <f>INDEX(Establishment!C$2:C$1005,MATCH($E203,Establishment!$A$2:$A$1005,0))</f>
        <v xml:space="preserve"> </v>
      </c>
      <c r="M203">
        <f t="shared" si="21"/>
        <v>0</v>
      </c>
      <c r="N203">
        <f t="shared" si="19"/>
        <v>0</v>
      </c>
      <c r="P203" t="e">
        <f>INDEX(Items!B$2:B$1032,MATCH($O203,Items!$A$2:$A$1032,0))</f>
        <v>#N/A</v>
      </c>
      <c r="Q203" t="e">
        <f>INDEX(Items!C$2:C$1032,MATCH($O203,Items!$A$2:$A$1032,0))</f>
        <v>#N/A</v>
      </c>
      <c r="R203" t="e">
        <f>INDEX(Items!D$2:D$1032,MATCH($O203,Items!$A$2:$A$1032,0))</f>
        <v>#N/A</v>
      </c>
    </row>
    <row r="204" spans="1:18" x14ac:dyDescent="0.25">
      <c r="A204">
        <f t="shared" si="17"/>
        <v>1</v>
      </c>
      <c r="B204" t="str">
        <f t="shared" si="18"/>
        <v/>
      </c>
      <c r="C204">
        <f t="shared" si="20"/>
        <v>1</v>
      </c>
      <c r="D204" s="4"/>
      <c r="E204" t="s">
        <v>18</v>
      </c>
      <c r="F204" t="str">
        <f>INDEX(Establishment!B$2:B$1005,MATCH($E204,Establishment!$A$2:$A$1005,0))</f>
        <v xml:space="preserve"> </v>
      </c>
      <c r="G204" t="str">
        <f>INDEX(Establishment!C$2:C$1005,MATCH($E204,Establishment!$A$2:$A$1005,0))</f>
        <v xml:space="preserve"> </v>
      </c>
      <c r="M204">
        <f t="shared" si="21"/>
        <v>0</v>
      </c>
      <c r="N204">
        <f t="shared" si="19"/>
        <v>0</v>
      </c>
      <c r="P204" t="e">
        <f>INDEX(Items!B$2:B$1032,MATCH($O204,Items!$A$2:$A$1032,0))</f>
        <v>#N/A</v>
      </c>
      <c r="Q204" t="e">
        <f>INDEX(Items!C$2:C$1032,MATCH($O204,Items!$A$2:$A$1032,0))</f>
        <v>#N/A</v>
      </c>
      <c r="R204" t="e">
        <f>INDEX(Items!D$2:D$1032,MATCH($O204,Items!$A$2:$A$1032,0))</f>
        <v>#N/A</v>
      </c>
    </row>
    <row r="205" spans="1:18" x14ac:dyDescent="0.25">
      <c r="A205">
        <f t="shared" si="17"/>
        <v>1</v>
      </c>
      <c r="B205" t="str">
        <f t="shared" si="18"/>
        <v/>
      </c>
      <c r="C205">
        <f t="shared" si="20"/>
        <v>1</v>
      </c>
      <c r="D205" s="4"/>
      <c r="E205" t="s">
        <v>18</v>
      </c>
      <c r="F205" t="str">
        <f>INDEX(Establishment!B$2:B$1005,MATCH($E205,Establishment!$A$2:$A$1005,0))</f>
        <v xml:space="preserve"> </v>
      </c>
      <c r="G205" t="str">
        <f>INDEX(Establishment!C$2:C$1005,MATCH($E205,Establishment!$A$2:$A$1005,0))</f>
        <v xml:space="preserve"> </v>
      </c>
      <c r="M205">
        <f t="shared" si="21"/>
        <v>0</v>
      </c>
      <c r="N205">
        <f t="shared" si="19"/>
        <v>0</v>
      </c>
      <c r="P205" t="e">
        <f>INDEX(Items!B$2:B$1032,MATCH($O205,Items!$A$2:$A$1032,0))</f>
        <v>#N/A</v>
      </c>
      <c r="Q205" t="e">
        <f>INDEX(Items!C$2:C$1032,MATCH($O205,Items!$A$2:$A$1032,0))</f>
        <v>#N/A</v>
      </c>
      <c r="R205" t="e">
        <f>INDEX(Items!D$2:D$1032,MATCH($O205,Items!$A$2:$A$1032,0))</f>
        <v>#N/A</v>
      </c>
    </row>
    <row r="206" spans="1:18" x14ac:dyDescent="0.25">
      <c r="A206">
        <f t="shared" si="17"/>
        <v>1</v>
      </c>
      <c r="B206" t="str">
        <f t="shared" si="18"/>
        <v/>
      </c>
      <c r="C206">
        <f t="shared" si="20"/>
        <v>1</v>
      </c>
      <c r="D206" s="4"/>
      <c r="E206" t="s">
        <v>18</v>
      </c>
      <c r="F206" t="str">
        <f>INDEX(Establishment!B$2:B$1005,MATCH($E206,Establishment!$A$2:$A$1005,0))</f>
        <v xml:space="preserve"> </v>
      </c>
      <c r="G206" t="str">
        <f>INDEX(Establishment!C$2:C$1005,MATCH($E206,Establishment!$A$2:$A$1005,0))</f>
        <v xml:space="preserve"> </v>
      </c>
      <c r="M206">
        <f t="shared" si="21"/>
        <v>0</v>
      </c>
      <c r="N206">
        <f t="shared" si="19"/>
        <v>0</v>
      </c>
      <c r="P206" t="e">
        <f>INDEX(Items!B$2:B$1032,MATCH($O206,Items!$A$2:$A$1032,0))</f>
        <v>#N/A</v>
      </c>
      <c r="Q206" t="e">
        <f>INDEX(Items!C$2:C$1032,MATCH($O206,Items!$A$2:$A$1032,0))</f>
        <v>#N/A</v>
      </c>
      <c r="R206" t="e">
        <f>INDEX(Items!D$2:D$1032,MATCH($O206,Items!$A$2:$A$1032,0))</f>
        <v>#N/A</v>
      </c>
    </row>
    <row r="207" spans="1:18" x14ac:dyDescent="0.25">
      <c r="A207">
        <f t="shared" si="17"/>
        <v>1</v>
      </c>
      <c r="B207" t="str">
        <f t="shared" si="18"/>
        <v/>
      </c>
      <c r="C207">
        <f t="shared" si="20"/>
        <v>1</v>
      </c>
      <c r="D207" s="4"/>
      <c r="E207" t="s">
        <v>18</v>
      </c>
      <c r="F207" t="str">
        <f>INDEX(Establishment!B$2:B$1005,MATCH($E207,Establishment!$A$2:$A$1005,0))</f>
        <v xml:space="preserve"> </v>
      </c>
      <c r="G207" t="str">
        <f>INDEX(Establishment!C$2:C$1005,MATCH($E207,Establishment!$A$2:$A$1005,0))</f>
        <v xml:space="preserve"> </v>
      </c>
      <c r="M207">
        <f t="shared" si="21"/>
        <v>0</v>
      </c>
      <c r="N207">
        <f t="shared" si="19"/>
        <v>0</v>
      </c>
      <c r="P207" t="e">
        <f>INDEX(Items!B$2:B$1032,MATCH($O207,Items!$A$2:$A$1032,0))</f>
        <v>#N/A</v>
      </c>
      <c r="Q207" t="e">
        <f>INDEX(Items!C$2:C$1032,MATCH($O207,Items!$A$2:$A$1032,0))</f>
        <v>#N/A</v>
      </c>
      <c r="R207" t="e">
        <f>INDEX(Items!D$2:D$1032,MATCH($O207,Items!$A$2:$A$1032,0))</f>
        <v>#N/A</v>
      </c>
    </row>
    <row r="208" spans="1:18" x14ac:dyDescent="0.25">
      <c r="A208">
        <f t="shared" si="17"/>
        <v>1</v>
      </c>
      <c r="B208" t="str">
        <f t="shared" si="18"/>
        <v/>
      </c>
      <c r="C208">
        <f t="shared" si="20"/>
        <v>1</v>
      </c>
      <c r="D208" s="4"/>
      <c r="E208" t="s">
        <v>18</v>
      </c>
      <c r="F208" t="str">
        <f>INDEX(Establishment!B$2:B$1005,MATCH($E208,Establishment!$A$2:$A$1005,0))</f>
        <v xml:space="preserve"> </v>
      </c>
      <c r="G208" t="str">
        <f>INDEX(Establishment!C$2:C$1005,MATCH($E208,Establishment!$A$2:$A$1005,0))</f>
        <v xml:space="preserve"> </v>
      </c>
      <c r="M208">
        <f t="shared" si="21"/>
        <v>0</v>
      </c>
      <c r="N208">
        <f t="shared" si="19"/>
        <v>0</v>
      </c>
      <c r="P208" t="e">
        <f>INDEX(Items!B$2:B$1032,MATCH($O208,Items!$A$2:$A$1032,0))</f>
        <v>#N/A</v>
      </c>
      <c r="Q208" t="e">
        <f>INDEX(Items!C$2:C$1032,MATCH($O208,Items!$A$2:$A$1032,0))</f>
        <v>#N/A</v>
      </c>
      <c r="R208" t="e">
        <f>INDEX(Items!D$2:D$1032,MATCH($O208,Items!$A$2:$A$1032,0))</f>
        <v>#N/A</v>
      </c>
    </row>
    <row r="209" spans="1:18" x14ac:dyDescent="0.25">
      <c r="A209">
        <f t="shared" si="17"/>
        <v>1</v>
      </c>
      <c r="B209" t="str">
        <f t="shared" si="18"/>
        <v/>
      </c>
      <c r="C209">
        <f t="shared" si="20"/>
        <v>1</v>
      </c>
      <c r="D209" s="4"/>
      <c r="E209" t="s">
        <v>18</v>
      </c>
      <c r="F209" t="str">
        <f>INDEX(Establishment!B$2:B$1005,MATCH($E209,Establishment!$A$2:$A$1005,0))</f>
        <v xml:space="preserve"> </v>
      </c>
      <c r="G209" t="str">
        <f>INDEX(Establishment!C$2:C$1005,MATCH($E209,Establishment!$A$2:$A$1005,0))</f>
        <v xml:space="preserve"> </v>
      </c>
      <c r="M209">
        <f t="shared" si="21"/>
        <v>0</v>
      </c>
      <c r="N209">
        <f t="shared" si="19"/>
        <v>0</v>
      </c>
      <c r="P209" t="e">
        <f>INDEX(Items!B$2:B$1032,MATCH($O209,Items!$A$2:$A$1032,0))</f>
        <v>#N/A</v>
      </c>
      <c r="Q209" t="e">
        <f>INDEX(Items!C$2:C$1032,MATCH($O209,Items!$A$2:$A$1032,0))</f>
        <v>#N/A</v>
      </c>
      <c r="R209" t="e">
        <f>INDEX(Items!D$2:D$1032,MATCH($O209,Items!$A$2:$A$1032,0))</f>
        <v>#N/A</v>
      </c>
    </row>
    <row r="210" spans="1:18" x14ac:dyDescent="0.25">
      <c r="A210">
        <f t="shared" si="17"/>
        <v>1</v>
      </c>
      <c r="B210" t="str">
        <f t="shared" si="18"/>
        <v/>
      </c>
      <c r="C210">
        <f t="shared" si="20"/>
        <v>1</v>
      </c>
      <c r="D210" s="4"/>
      <c r="E210" t="s">
        <v>18</v>
      </c>
      <c r="F210" t="str">
        <f>INDEX(Establishment!B$2:B$1005,MATCH($E210,Establishment!$A$2:$A$1005,0))</f>
        <v xml:space="preserve"> </v>
      </c>
      <c r="G210" t="str">
        <f>INDEX(Establishment!C$2:C$1005,MATCH($E210,Establishment!$A$2:$A$1005,0))</f>
        <v xml:space="preserve"> </v>
      </c>
      <c r="M210">
        <f t="shared" si="21"/>
        <v>0</v>
      </c>
      <c r="N210">
        <f t="shared" si="19"/>
        <v>0</v>
      </c>
      <c r="P210" t="e">
        <f>INDEX(Items!B$2:B$1032,MATCH($O210,Items!$A$2:$A$1032,0))</f>
        <v>#N/A</v>
      </c>
      <c r="Q210" t="e">
        <f>INDEX(Items!C$2:C$1032,MATCH($O210,Items!$A$2:$A$1032,0))</f>
        <v>#N/A</v>
      </c>
      <c r="R210" t="e">
        <f>INDEX(Items!D$2:D$1032,MATCH($O210,Items!$A$2:$A$1032,0))</f>
        <v>#N/A</v>
      </c>
    </row>
    <row r="211" spans="1:18" x14ac:dyDescent="0.25">
      <c r="A211">
        <f t="shared" si="17"/>
        <v>1</v>
      </c>
      <c r="B211" t="str">
        <f t="shared" si="18"/>
        <v/>
      </c>
      <c r="C211">
        <f t="shared" si="20"/>
        <v>1</v>
      </c>
      <c r="D211" s="4"/>
      <c r="E211" t="s">
        <v>18</v>
      </c>
      <c r="F211" t="str">
        <f>INDEX(Establishment!B$2:B$1005,MATCH($E211,Establishment!$A$2:$A$1005,0))</f>
        <v xml:space="preserve"> </v>
      </c>
      <c r="G211" t="str">
        <f>INDEX(Establishment!C$2:C$1005,MATCH($E211,Establishment!$A$2:$A$1005,0))</f>
        <v xml:space="preserve"> </v>
      </c>
      <c r="M211">
        <f t="shared" si="21"/>
        <v>0</v>
      </c>
      <c r="N211">
        <f t="shared" si="19"/>
        <v>0</v>
      </c>
      <c r="P211" t="e">
        <f>INDEX(Items!B$2:B$1032,MATCH($O211,Items!$A$2:$A$1032,0))</f>
        <v>#N/A</v>
      </c>
      <c r="Q211" t="e">
        <f>INDEX(Items!C$2:C$1032,MATCH($O211,Items!$A$2:$A$1032,0))</f>
        <v>#N/A</v>
      </c>
      <c r="R211" t="e">
        <f>INDEX(Items!D$2:D$1032,MATCH($O211,Items!$A$2:$A$1032,0))</f>
        <v>#N/A</v>
      </c>
    </row>
    <row r="212" spans="1:18" x14ac:dyDescent="0.25">
      <c r="A212">
        <f t="shared" si="17"/>
        <v>1</v>
      </c>
      <c r="B212" t="str">
        <f t="shared" si="18"/>
        <v/>
      </c>
      <c r="C212">
        <f t="shared" si="20"/>
        <v>1</v>
      </c>
      <c r="D212" s="4"/>
      <c r="E212" t="s">
        <v>18</v>
      </c>
      <c r="F212" t="str">
        <f>INDEX(Establishment!B$2:B$1005,MATCH($E212,Establishment!$A$2:$A$1005,0))</f>
        <v xml:space="preserve"> </v>
      </c>
      <c r="G212" t="str">
        <f>INDEX(Establishment!C$2:C$1005,MATCH($E212,Establishment!$A$2:$A$1005,0))</f>
        <v xml:space="preserve"> </v>
      </c>
      <c r="M212">
        <f t="shared" si="21"/>
        <v>0</v>
      </c>
      <c r="N212">
        <f t="shared" si="19"/>
        <v>0</v>
      </c>
      <c r="P212" t="e">
        <f>INDEX(Items!B$2:B$1032,MATCH($O212,Items!$A$2:$A$1032,0))</f>
        <v>#N/A</v>
      </c>
      <c r="Q212" t="e">
        <f>INDEX(Items!C$2:C$1032,MATCH($O212,Items!$A$2:$A$1032,0))</f>
        <v>#N/A</v>
      </c>
      <c r="R212" t="e">
        <f>INDEX(Items!D$2:D$1032,MATCH($O212,Items!$A$2:$A$1032,0))</f>
        <v>#N/A</v>
      </c>
    </row>
    <row r="213" spans="1:18" x14ac:dyDescent="0.25">
      <c r="A213">
        <f t="shared" si="17"/>
        <v>1</v>
      </c>
      <c r="B213" t="str">
        <f t="shared" si="18"/>
        <v/>
      </c>
      <c r="C213">
        <f t="shared" si="20"/>
        <v>1</v>
      </c>
      <c r="D213" s="4"/>
      <c r="E213" t="s">
        <v>18</v>
      </c>
      <c r="F213" t="str">
        <f>INDEX(Establishment!B$2:B$1005,MATCH($E213,Establishment!$A$2:$A$1005,0))</f>
        <v xml:space="preserve"> </v>
      </c>
      <c r="G213" t="str">
        <f>INDEX(Establishment!C$2:C$1005,MATCH($E213,Establishment!$A$2:$A$1005,0))</f>
        <v xml:space="preserve"> </v>
      </c>
      <c r="M213">
        <f t="shared" si="21"/>
        <v>0</v>
      </c>
      <c r="N213">
        <f t="shared" si="19"/>
        <v>0</v>
      </c>
      <c r="P213" t="e">
        <f>INDEX(Items!B$2:B$1032,MATCH($O213,Items!$A$2:$A$1032,0))</f>
        <v>#N/A</v>
      </c>
      <c r="Q213" t="e">
        <f>INDEX(Items!C$2:C$1032,MATCH($O213,Items!$A$2:$A$1032,0))</f>
        <v>#N/A</v>
      </c>
      <c r="R213" t="e">
        <f>INDEX(Items!D$2:D$1032,MATCH($O213,Items!$A$2:$A$1032,0))</f>
        <v>#N/A</v>
      </c>
    </row>
    <row r="214" spans="1:18" x14ac:dyDescent="0.25">
      <c r="A214">
        <f t="shared" si="17"/>
        <v>1</v>
      </c>
      <c r="B214" t="str">
        <f t="shared" si="18"/>
        <v/>
      </c>
      <c r="C214">
        <f t="shared" si="20"/>
        <v>1</v>
      </c>
      <c r="D214" s="4"/>
      <c r="E214" t="s">
        <v>18</v>
      </c>
      <c r="F214" t="str">
        <f>INDEX(Establishment!B$2:B$1005,MATCH($E214,Establishment!$A$2:$A$1005,0))</f>
        <v xml:space="preserve"> </v>
      </c>
      <c r="G214" t="str">
        <f>INDEX(Establishment!C$2:C$1005,MATCH($E214,Establishment!$A$2:$A$1005,0))</f>
        <v xml:space="preserve"> </v>
      </c>
      <c r="M214">
        <f t="shared" si="21"/>
        <v>0</v>
      </c>
      <c r="N214">
        <f t="shared" si="19"/>
        <v>0</v>
      </c>
      <c r="P214" t="e">
        <f>INDEX(Items!B$2:B$1032,MATCH($O214,Items!$A$2:$A$1032,0))</f>
        <v>#N/A</v>
      </c>
      <c r="Q214" t="e">
        <f>INDEX(Items!C$2:C$1032,MATCH($O214,Items!$A$2:$A$1032,0))</f>
        <v>#N/A</v>
      </c>
      <c r="R214" t="e">
        <f>INDEX(Items!D$2:D$1032,MATCH($O214,Items!$A$2:$A$1032,0))</f>
        <v>#N/A</v>
      </c>
    </row>
    <row r="215" spans="1:18" x14ac:dyDescent="0.25">
      <c r="A215">
        <f t="shared" si="17"/>
        <v>1</v>
      </c>
      <c r="B215" t="str">
        <f t="shared" si="18"/>
        <v/>
      </c>
      <c r="C215">
        <f t="shared" si="20"/>
        <v>1</v>
      </c>
      <c r="D215" s="4"/>
      <c r="E215" t="s">
        <v>18</v>
      </c>
      <c r="F215" t="str">
        <f>INDEX(Establishment!B$2:B$1005,MATCH($E215,Establishment!$A$2:$A$1005,0))</f>
        <v xml:space="preserve"> </v>
      </c>
      <c r="G215" t="str">
        <f>INDEX(Establishment!C$2:C$1005,MATCH($E215,Establishment!$A$2:$A$1005,0))</f>
        <v xml:space="preserve"> </v>
      </c>
      <c r="M215">
        <f t="shared" si="21"/>
        <v>0</v>
      </c>
      <c r="N215">
        <f t="shared" si="19"/>
        <v>0</v>
      </c>
      <c r="P215" t="e">
        <f>INDEX(Items!B$2:B$1032,MATCH($O215,Items!$A$2:$A$1032,0))</f>
        <v>#N/A</v>
      </c>
      <c r="Q215" t="e">
        <f>INDEX(Items!C$2:C$1032,MATCH($O215,Items!$A$2:$A$1032,0))</f>
        <v>#N/A</v>
      </c>
      <c r="R215" t="e">
        <f>INDEX(Items!D$2:D$1032,MATCH($O215,Items!$A$2:$A$1032,0))</f>
        <v>#N/A</v>
      </c>
    </row>
    <row r="216" spans="1:18" x14ac:dyDescent="0.25">
      <c r="A216">
        <f t="shared" si="17"/>
        <v>1</v>
      </c>
      <c r="B216" t="str">
        <f t="shared" si="18"/>
        <v/>
      </c>
      <c r="C216">
        <f t="shared" si="20"/>
        <v>1</v>
      </c>
      <c r="D216" s="4"/>
      <c r="E216" t="s">
        <v>18</v>
      </c>
      <c r="F216" t="str">
        <f>INDEX(Establishment!B$2:B$1005,MATCH($E216,Establishment!$A$2:$A$1005,0))</f>
        <v xml:space="preserve"> </v>
      </c>
      <c r="G216" t="str">
        <f>INDEX(Establishment!C$2:C$1005,MATCH($E216,Establishment!$A$2:$A$1005,0))</f>
        <v xml:space="preserve"> </v>
      </c>
      <c r="M216">
        <f t="shared" si="21"/>
        <v>0</v>
      </c>
      <c r="N216">
        <f t="shared" si="19"/>
        <v>0</v>
      </c>
      <c r="P216" t="e">
        <f>INDEX(Items!B$2:B$1032,MATCH($O216,Items!$A$2:$A$1032,0))</f>
        <v>#N/A</v>
      </c>
      <c r="Q216" t="e">
        <f>INDEX(Items!C$2:C$1032,MATCH($O216,Items!$A$2:$A$1032,0))</f>
        <v>#N/A</v>
      </c>
      <c r="R216" t="e">
        <f>INDEX(Items!D$2:D$1032,MATCH($O216,Items!$A$2:$A$1032,0))</f>
        <v>#N/A</v>
      </c>
    </row>
    <row r="217" spans="1:18" x14ac:dyDescent="0.25">
      <c r="A217">
        <f t="shared" si="17"/>
        <v>1</v>
      </c>
      <c r="B217" t="str">
        <f t="shared" si="18"/>
        <v/>
      </c>
      <c r="C217">
        <f t="shared" si="20"/>
        <v>1</v>
      </c>
      <c r="D217" s="4"/>
      <c r="E217" t="s">
        <v>18</v>
      </c>
      <c r="F217" t="str">
        <f>INDEX(Establishment!B$2:B$1005,MATCH($E217,Establishment!$A$2:$A$1005,0))</f>
        <v xml:space="preserve"> </v>
      </c>
      <c r="G217" t="str">
        <f>INDEX(Establishment!C$2:C$1005,MATCH($E217,Establishment!$A$2:$A$1005,0))</f>
        <v xml:space="preserve"> </v>
      </c>
      <c r="M217">
        <f t="shared" si="21"/>
        <v>0</v>
      </c>
      <c r="N217">
        <f t="shared" si="19"/>
        <v>0</v>
      </c>
      <c r="P217" t="e">
        <f>INDEX(Items!B$2:B$1032,MATCH($O217,Items!$A$2:$A$1032,0))</f>
        <v>#N/A</v>
      </c>
      <c r="Q217" t="e">
        <f>INDEX(Items!C$2:C$1032,MATCH($O217,Items!$A$2:$A$1032,0))</f>
        <v>#N/A</v>
      </c>
      <c r="R217" t="e">
        <f>INDEX(Items!D$2:D$1032,MATCH($O217,Items!$A$2:$A$1032,0))</f>
        <v>#N/A</v>
      </c>
    </row>
    <row r="218" spans="1:18" x14ac:dyDescent="0.25">
      <c r="A218">
        <f t="shared" si="17"/>
        <v>1</v>
      </c>
      <c r="B218" t="str">
        <f t="shared" si="18"/>
        <v/>
      </c>
      <c r="C218">
        <f t="shared" si="20"/>
        <v>1</v>
      </c>
      <c r="D218" s="4"/>
      <c r="E218" t="s">
        <v>18</v>
      </c>
      <c r="F218" t="str">
        <f>INDEX(Establishment!B$2:B$1005,MATCH($E218,Establishment!$A$2:$A$1005,0))</f>
        <v xml:space="preserve"> </v>
      </c>
      <c r="G218" t="str">
        <f>INDEX(Establishment!C$2:C$1005,MATCH($E218,Establishment!$A$2:$A$1005,0))</f>
        <v xml:space="preserve"> </v>
      </c>
      <c r="M218">
        <f t="shared" si="21"/>
        <v>0</v>
      </c>
      <c r="N218">
        <f t="shared" si="19"/>
        <v>0</v>
      </c>
      <c r="P218" t="e">
        <f>INDEX(Items!B$2:B$1032,MATCH($O218,Items!$A$2:$A$1032,0))</f>
        <v>#N/A</v>
      </c>
      <c r="Q218" t="e">
        <f>INDEX(Items!C$2:C$1032,MATCH($O218,Items!$A$2:$A$1032,0))</f>
        <v>#N/A</v>
      </c>
      <c r="R218" t="e">
        <f>INDEX(Items!D$2:D$1032,MATCH($O218,Items!$A$2:$A$1032,0))</f>
        <v>#N/A</v>
      </c>
    </row>
    <row r="219" spans="1:18" x14ac:dyDescent="0.25">
      <c r="A219">
        <f t="shared" si="17"/>
        <v>1</v>
      </c>
      <c r="B219" t="str">
        <f t="shared" si="18"/>
        <v/>
      </c>
      <c r="C219">
        <f t="shared" si="20"/>
        <v>1</v>
      </c>
      <c r="D219" s="4"/>
      <c r="E219" t="s">
        <v>18</v>
      </c>
      <c r="F219" t="str">
        <f>INDEX(Establishment!B$2:B$1005,MATCH($E219,Establishment!$A$2:$A$1005,0))</f>
        <v xml:space="preserve"> </v>
      </c>
      <c r="G219" t="str">
        <f>INDEX(Establishment!C$2:C$1005,MATCH($E219,Establishment!$A$2:$A$1005,0))</f>
        <v xml:space="preserve"> </v>
      </c>
      <c r="M219">
        <f t="shared" si="21"/>
        <v>0</v>
      </c>
      <c r="N219">
        <f t="shared" si="19"/>
        <v>0</v>
      </c>
      <c r="P219" t="e">
        <f>INDEX(Items!B$2:B$1032,MATCH($O219,Items!$A$2:$A$1032,0))</f>
        <v>#N/A</v>
      </c>
      <c r="Q219" t="e">
        <f>INDEX(Items!C$2:C$1032,MATCH($O219,Items!$A$2:$A$1032,0))</f>
        <v>#N/A</v>
      </c>
      <c r="R219" t="e">
        <f>INDEX(Items!D$2:D$1032,MATCH($O219,Items!$A$2:$A$1032,0))</f>
        <v>#N/A</v>
      </c>
    </row>
    <row r="220" spans="1:18" x14ac:dyDescent="0.25">
      <c r="A220">
        <f t="shared" si="17"/>
        <v>1</v>
      </c>
      <c r="B220" t="str">
        <f t="shared" si="18"/>
        <v/>
      </c>
      <c r="C220">
        <f t="shared" si="20"/>
        <v>1</v>
      </c>
      <c r="D220" s="4"/>
      <c r="E220" t="s">
        <v>18</v>
      </c>
      <c r="F220" t="str">
        <f>INDEX(Establishment!B$2:B$1005,MATCH($E220,Establishment!$A$2:$A$1005,0))</f>
        <v xml:space="preserve"> </v>
      </c>
      <c r="G220" t="str">
        <f>INDEX(Establishment!C$2:C$1005,MATCH($E220,Establishment!$A$2:$A$1005,0))</f>
        <v xml:space="preserve"> </v>
      </c>
      <c r="M220">
        <f t="shared" si="21"/>
        <v>0</v>
      </c>
      <c r="N220">
        <f t="shared" si="19"/>
        <v>0</v>
      </c>
      <c r="P220" t="e">
        <f>INDEX(Items!B$2:B$1032,MATCH($O220,Items!$A$2:$A$1032,0))</f>
        <v>#N/A</v>
      </c>
      <c r="Q220" t="e">
        <f>INDEX(Items!C$2:C$1032,MATCH($O220,Items!$A$2:$A$1032,0))</f>
        <v>#N/A</v>
      </c>
      <c r="R220" t="e">
        <f>INDEX(Items!D$2:D$1032,MATCH($O220,Items!$A$2:$A$1032,0))</f>
        <v>#N/A</v>
      </c>
    </row>
    <row r="221" spans="1:18" x14ac:dyDescent="0.25">
      <c r="A221">
        <f t="shared" si="17"/>
        <v>1</v>
      </c>
      <c r="B221" t="str">
        <f t="shared" si="18"/>
        <v/>
      </c>
      <c r="C221">
        <f t="shared" si="20"/>
        <v>1</v>
      </c>
      <c r="D221" s="4"/>
      <c r="E221" t="s">
        <v>18</v>
      </c>
      <c r="F221" t="str">
        <f>INDEX(Establishment!B$2:B$1005,MATCH($E221,Establishment!$A$2:$A$1005,0))</f>
        <v xml:space="preserve"> </v>
      </c>
      <c r="G221" t="str">
        <f>INDEX(Establishment!C$2:C$1005,MATCH($E221,Establishment!$A$2:$A$1005,0))</f>
        <v xml:space="preserve"> </v>
      </c>
      <c r="M221">
        <f t="shared" si="21"/>
        <v>0</v>
      </c>
      <c r="N221">
        <f t="shared" si="19"/>
        <v>0</v>
      </c>
      <c r="P221" t="e">
        <f>INDEX(Items!B$2:B$1032,MATCH($O221,Items!$A$2:$A$1032,0))</f>
        <v>#N/A</v>
      </c>
      <c r="Q221" t="e">
        <f>INDEX(Items!C$2:C$1032,MATCH($O221,Items!$A$2:$A$1032,0))</f>
        <v>#N/A</v>
      </c>
      <c r="R221" t="e">
        <f>INDEX(Items!D$2:D$1032,MATCH($O221,Items!$A$2:$A$1032,0))</f>
        <v>#N/A</v>
      </c>
    </row>
    <row r="222" spans="1:18" x14ac:dyDescent="0.25">
      <c r="A222">
        <f t="shared" si="17"/>
        <v>1</v>
      </c>
      <c r="B222" t="str">
        <f t="shared" si="18"/>
        <v/>
      </c>
      <c r="C222">
        <f t="shared" si="20"/>
        <v>1</v>
      </c>
      <c r="D222" s="4"/>
      <c r="E222" t="s">
        <v>18</v>
      </c>
      <c r="F222" t="str">
        <f>INDEX(Establishment!B$2:B$1005,MATCH($E222,Establishment!$A$2:$A$1005,0))</f>
        <v xml:space="preserve"> </v>
      </c>
      <c r="G222" t="str">
        <f>INDEX(Establishment!C$2:C$1005,MATCH($E222,Establishment!$A$2:$A$1005,0))</f>
        <v xml:space="preserve"> </v>
      </c>
      <c r="M222">
        <f t="shared" si="21"/>
        <v>0</v>
      </c>
      <c r="N222">
        <f t="shared" si="19"/>
        <v>0</v>
      </c>
      <c r="P222" t="e">
        <f>INDEX(Items!B$2:B$1032,MATCH($O222,Items!$A$2:$A$1032,0))</f>
        <v>#N/A</v>
      </c>
      <c r="Q222" t="e">
        <f>INDEX(Items!C$2:C$1032,MATCH($O222,Items!$A$2:$A$1032,0))</f>
        <v>#N/A</v>
      </c>
      <c r="R222" t="e">
        <f>INDEX(Items!D$2:D$1032,MATCH($O222,Items!$A$2:$A$1032,0))</f>
        <v>#N/A</v>
      </c>
    </row>
    <row r="223" spans="1:18" x14ac:dyDescent="0.25">
      <c r="A223">
        <f t="shared" si="17"/>
        <v>1</v>
      </c>
      <c r="B223" t="str">
        <f t="shared" si="18"/>
        <v/>
      </c>
      <c r="C223">
        <f t="shared" si="20"/>
        <v>1</v>
      </c>
      <c r="D223" s="4"/>
      <c r="E223" t="s">
        <v>18</v>
      </c>
      <c r="F223" t="str">
        <f>INDEX(Establishment!B$2:B$1005,MATCH($E223,Establishment!$A$2:$A$1005,0))</f>
        <v xml:space="preserve"> </v>
      </c>
      <c r="G223" t="str">
        <f>INDEX(Establishment!C$2:C$1005,MATCH($E223,Establishment!$A$2:$A$1005,0))</f>
        <v xml:space="preserve"> </v>
      </c>
      <c r="M223">
        <f t="shared" si="21"/>
        <v>0</v>
      </c>
      <c r="N223">
        <f t="shared" si="19"/>
        <v>0</v>
      </c>
      <c r="P223" t="e">
        <f>INDEX(Items!B$2:B$1032,MATCH($O223,Items!$A$2:$A$1032,0))</f>
        <v>#N/A</v>
      </c>
      <c r="Q223" t="e">
        <f>INDEX(Items!C$2:C$1032,MATCH($O223,Items!$A$2:$A$1032,0))</f>
        <v>#N/A</v>
      </c>
      <c r="R223" t="e">
        <f>INDEX(Items!D$2:D$1032,MATCH($O223,Items!$A$2:$A$1032,0))</f>
        <v>#N/A</v>
      </c>
    </row>
    <row r="224" spans="1:18" x14ac:dyDescent="0.25">
      <c r="A224">
        <f t="shared" si="17"/>
        <v>1</v>
      </c>
      <c r="B224" t="str">
        <f t="shared" si="18"/>
        <v/>
      </c>
      <c r="C224">
        <f t="shared" si="20"/>
        <v>1</v>
      </c>
      <c r="D224" s="4"/>
      <c r="E224" t="s">
        <v>18</v>
      </c>
      <c r="F224" t="str">
        <f>INDEX(Establishment!B$2:B$1005,MATCH($E224,Establishment!$A$2:$A$1005,0))</f>
        <v xml:space="preserve"> </v>
      </c>
      <c r="G224" t="str">
        <f>INDEX(Establishment!C$2:C$1005,MATCH($E224,Establishment!$A$2:$A$1005,0))</f>
        <v xml:space="preserve"> </v>
      </c>
      <c r="M224">
        <f t="shared" si="21"/>
        <v>0</v>
      </c>
      <c r="N224">
        <f t="shared" si="19"/>
        <v>0</v>
      </c>
      <c r="P224" t="e">
        <f>INDEX(Items!B$2:B$1032,MATCH($O224,Items!$A$2:$A$1032,0))</f>
        <v>#N/A</v>
      </c>
      <c r="Q224" t="e">
        <f>INDEX(Items!C$2:C$1032,MATCH($O224,Items!$A$2:$A$1032,0))</f>
        <v>#N/A</v>
      </c>
      <c r="R224" t="e">
        <f>INDEX(Items!D$2:D$1032,MATCH($O224,Items!$A$2:$A$1032,0))</f>
        <v>#N/A</v>
      </c>
    </row>
    <row r="225" spans="1:18" x14ac:dyDescent="0.25">
      <c r="A225">
        <f t="shared" si="17"/>
        <v>1</v>
      </c>
      <c r="B225" t="str">
        <f t="shared" si="18"/>
        <v/>
      </c>
      <c r="C225">
        <f t="shared" si="20"/>
        <v>1</v>
      </c>
      <c r="D225" s="4"/>
      <c r="E225" t="s">
        <v>18</v>
      </c>
      <c r="F225" t="str">
        <f>INDEX(Establishment!B$2:B$1005,MATCH($E225,Establishment!$A$2:$A$1005,0))</f>
        <v xml:space="preserve"> </v>
      </c>
      <c r="G225" t="str">
        <f>INDEX(Establishment!C$2:C$1005,MATCH($E225,Establishment!$A$2:$A$1005,0))</f>
        <v xml:space="preserve"> </v>
      </c>
      <c r="M225">
        <f t="shared" si="21"/>
        <v>0</v>
      </c>
      <c r="N225">
        <f t="shared" si="19"/>
        <v>0</v>
      </c>
      <c r="P225" t="e">
        <f>INDEX(Items!B$2:B$1032,MATCH($O225,Items!$A$2:$A$1032,0))</f>
        <v>#N/A</v>
      </c>
      <c r="Q225" t="e">
        <f>INDEX(Items!C$2:C$1032,MATCH($O225,Items!$A$2:$A$1032,0))</f>
        <v>#N/A</v>
      </c>
      <c r="R225" t="e">
        <f>INDEX(Items!D$2:D$1032,MATCH($O225,Items!$A$2:$A$1032,0))</f>
        <v>#N/A</v>
      </c>
    </row>
    <row r="226" spans="1:18" x14ac:dyDescent="0.25">
      <c r="A226">
        <f t="shared" si="17"/>
        <v>1</v>
      </c>
      <c r="B226" t="str">
        <f t="shared" si="18"/>
        <v/>
      </c>
      <c r="C226">
        <f t="shared" si="20"/>
        <v>1</v>
      </c>
      <c r="D226" s="4"/>
      <c r="E226" t="s">
        <v>18</v>
      </c>
      <c r="F226" t="str">
        <f>INDEX(Establishment!B$2:B$1005,MATCH($E226,Establishment!$A$2:$A$1005,0))</f>
        <v xml:space="preserve"> </v>
      </c>
      <c r="G226" t="str">
        <f>INDEX(Establishment!C$2:C$1005,MATCH($E226,Establishment!$A$2:$A$1005,0))</f>
        <v xml:space="preserve"> </v>
      </c>
      <c r="M226">
        <f t="shared" si="21"/>
        <v>0</v>
      </c>
      <c r="N226">
        <f t="shared" si="19"/>
        <v>0</v>
      </c>
      <c r="P226" t="e">
        <f>INDEX(Items!B$2:B$1032,MATCH($O226,Items!$A$2:$A$1032,0))</f>
        <v>#N/A</v>
      </c>
      <c r="Q226" t="e">
        <f>INDEX(Items!C$2:C$1032,MATCH($O226,Items!$A$2:$A$1032,0))</f>
        <v>#N/A</v>
      </c>
      <c r="R226" t="e">
        <f>INDEX(Items!D$2:D$1032,MATCH($O226,Items!$A$2:$A$1032,0))</f>
        <v>#N/A</v>
      </c>
    </row>
    <row r="227" spans="1:18" x14ac:dyDescent="0.25">
      <c r="A227">
        <f t="shared" si="17"/>
        <v>1</v>
      </c>
      <c r="B227" t="str">
        <f t="shared" si="18"/>
        <v/>
      </c>
      <c r="C227">
        <f t="shared" si="20"/>
        <v>1</v>
      </c>
      <c r="D227" s="4"/>
      <c r="E227" t="s">
        <v>18</v>
      </c>
      <c r="F227" t="str">
        <f>INDEX(Establishment!B$2:B$1005,MATCH($E227,Establishment!$A$2:$A$1005,0))</f>
        <v xml:space="preserve"> </v>
      </c>
      <c r="G227" t="str">
        <f>INDEX(Establishment!C$2:C$1005,MATCH($E227,Establishment!$A$2:$A$1005,0))</f>
        <v xml:space="preserve"> </v>
      </c>
      <c r="M227">
        <f t="shared" si="21"/>
        <v>0</v>
      </c>
      <c r="N227">
        <f t="shared" si="19"/>
        <v>0</v>
      </c>
      <c r="P227" t="e">
        <f>INDEX(Items!B$2:B$1032,MATCH($O227,Items!$A$2:$A$1032,0))</f>
        <v>#N/A</v>
      </c>
      <c r="Q227" t="e">
        <f>INDEX(Items!C$2:C$1032,MATCH($O227,Items!$A$2:$A$1032,0))</f>
        <v>#N/A</v>
      </c>
      <c r="R227" t="e">
        <f>INDEX(Items!D$2:D$1032,MATCH($O227,Items!$A$2:$A$1032,0))</f>
        <v>#N/A</v>
      </c>
    </row>
    <row r="228" spans="1:18" x14ac:dyDescent="0.25">
      <c r="A228">
        <f t="shared" si="17"/>
        <v>1</v>
      </c>
      <c r="B228" t="str">
        <f t="shared" si="18"/>
        <v/>
      </c>
      <c r="C228">
        <f t="shared" si="20"/>
        <v>1</v>
      </c>
      <c r="D228" s="4"/>
      <c r="E228" t="s">
        <v>18</v>
      </c>
      <c r="F228" t="str">
        <f>INDEX(Establishment!B$2:B$1005,MATCH($E228,Establishment!$A$2:$A$1005,0))</f>
        <v xml:space="preserve"> </v>
      </c>
      <c r="G228" t="str">
        <f>INDEX(Establishment!C$2:C$1005,MATCH($E228,Establishment!$A$2:$A$1005,0))</f>
        <v xml:space="preserve"> </v>
      </c>
      <c r="M228">
        <f t="shared" si="21"/>
        <v>0</v>
      </c>
      <c r="N228">
        <f t="shared" si="19"/>
        <v>0</v>
      </c>
      <c r="P228" t="e">
        <f>INDEX(Items!B$2:B$1032,MATCH($O228,Items!$A$2:$A$1032,0))</f>
        <v>#N/A</v>
      </c>
      <c r="Q228" t="e">
        <f>INDEX(Items!C$2:C$1032,MATCH($O228,Items!$A$2:$A$1032,0))</f>
        <v>#N/A</v>
      </c>
      <c r="R228" t="e">
        <f>INDEX(Items!D$2:D$1032,MATCH($O228,Items!$A$2:$A$1032,0))</f>
        <v>#N/A</v>
      </c>
    </row>
    <row r="229" spans="1:18" x14ac:dyDescent="0.25">
      <c r="A229">
        <f t="shared" si="17"/>
        <v>1</v>
      </c>
      <c r="B229" t="str">
        <f t="shared" si="18"/>
        <v/>
      </c>
      <c r="C229">
        <f t="shared" si="20"/>
        <v>1</v>
      </c>
      <c r="D229" s="4"/>
      <c r="E229" t="s">
        <v>18</v>
      </c>
      <c r="F229" t="str">
        <f>INDEX(Establishment!B$2:B$1005,MATCH($E229,Establishment!$A$2:$A$1005,0))</f>
        <v xml:space="preserve"> </v>
      </c>
      <c r="G229" t="str">
        <f>INDEX(Establishment!C$2:C$1005,MATCH($E229,Establishment!$A$2:$A$1005,0))</f>
        <v xml:space="preserve"> </v>
      </c>
      <c r="M229">
        <f t="shared" si="21"/>
        <v>0</v>
      </c>
      <c r="N229">
        <f t="shared" si="19"/>
        <v>0</v>
      </c>
      <c r="P229" t="e">
        <f>INDEX(Items!B$2:B$1032,MATCH($O229,Items!$A$2:$A$1032,0))</f>
        <v>#N/A</v>
      </c>
      <c r="Q229" t="e">
        <f>INDEX(Items!C$2:C$1032,MATCH($O229,Items!$A$2:$A$1032,0))</f>
        <v>#N/A</v>
      </c>
      <c r="R229" t="e">
        <f>INDEX(Items!D$2:D$1032,MATCH($O229,Items!$A$2:$A$1032,0))</f>
        <v>#N/A</v>
      </c>
    </row>
    <row r="230" spans="1:18" x14ac:dyDescent="0.25">
      <c r="A230">
        <f t="shared" si="17"/>
        <v>1</v>
      </c>
      <c r="B230" t="str">
        <f t="shared" si="18"/>
        <v/>
      </c>
      <c r="C230">
        <f t="shared" si="20"/>
        <v>1</v>
      </c>
      <c r="D230" s="4"/>
      <c r="E230" t="s">
        <v>18</v>
      </c>
      <c r="F230" t="str">
        <f>INDEX(Establishment!B$2:B$1005,MATCH($E230,Establishment!$A$2:$A$1005,0))</f>
        <v xml:space="preserve"> </v>
      </c>
      <c r="G230" t="str">
        <f>INDEX(Establishment!C$2:C$1005,MATCH($E230,Establishment!$A$2:$A$1005,0))</f>
        <v xml:space="preserve"> </v>
      </c>
      <c r="M230">
        <f t="shared" si="21"/>
        <v>0</v>
      </c>
      <c r="N230">
        <f t="shared" si="19"/>
        <v>0</v>
      </c>
      <c r="P230" t="e">
        <f>INDEX(Items!B$2:B$1032,MATCH($O230,Items!$A$2:$A$1032,0))</f>
        <v>#N/A</v>
      </c>
      <c r="Q230" t="e">
        <f>INDEX(Items!C$2:C$1032,MATCH($O230,Items!$A$2:$A$1032,0))</f>
        <v>#N/A</v>
      </c>
      <c r="R230" t="e">
        <f>INDEX(Items!D$2:D$1032,MATCH($O230,Items!$A$2:$A$1032,0))</f>
        <v>#N/A</v>
      </c>
    </row>
    <row r="231" spans="1:18" x14ac:dyDescent="0.25">
      <c r="A231">
        <f t="shared" si="17"/>
        <v>1</v>
      </c>
      <c r="B231" t="str">
        <f t="shared" si="18"/>
        <v/>
      </c>
      <c r="C231">
        <f t="shared" si="20"/>
        <v>1</v>
      </c>
      <c r="D231" s="4"/>
      <c r="E231" t="s">
        <v>18</v>
      </c>
      <c r="F231" t="str">
        <f>INDEX(Establishment!B$2:B$1005,MATCH($E231,Establishment!$A$2:$A$1005,0))</f>
        <v xml:space="preserve"> </v>
      </c>
      <c r="G231" t="str">
        <f>INDEX(Establishment!C$2:C$1005,MATCH($E231,Establishment!$A$2:$A$1005,0))</f>
        <v xml:space="preserve"> </v>
      </c>
      <c r="M231">
        <f t="shared" si="21"/>
        <v>0</v>
      </c>
      <c r="N231">
        <f t="shared" si="19"/>
        <v>0</v>
      </c>
      <c r="P231" t="e">
        <f>INDEX(Items!B$2:B$1032,MATCH($O231,Items!$A$2:$A$1032,0))</f>
        <v>#N/A</v>
      </c>
      <c r="Q231" t="e">
        <f>INDEX(Items!C$2:C$1032,MATCH($O231,Items!$A$2:$A$1032,0))</f>
        <v>#N/A</v>
      </c>
      <c r="R231" t="e">
        <f>INDEX(Items!D$2:D$1032,MATCH($O231,Items!$A$2:$A$1032,0))</f>
        <v>#N/A</v>
      </c>
    </row>
    <row r="232" spans="1:18" x14ac:dyDescent="0.25">
      <c r="A232">
        <f t="shared" si="17"/>
        <v>1</v>
      </c>
      <c r="B232" t="str">
        <f t="shared" si="18"/>
        <v/>
      </c>
      <c r="C232">
        <f t="shared" si="20"/>
        <v>1</v>
      </c>
      <c r="D232" s="4"/>
      <c r="E232" t="s">
        <v>18</v>
      </c>
      <c r="F232" t="str">
        <f>INDEX(Establishment!B$2:B$1005,MATCH($E232,Establishment!$A$2:$A$1005,0))</f>
        <v xml:space="preserve"> </v>
      </c>
      <c r="G232" t="str">
        <f>INDEX(Establishment!C$2:C$1005,MATCH($E232,Establishment!$A$2:$A$1005,0))</f>
        <v xml:space="preserve"> </v>
      </c>
      <c r="M232">
        <f t="shared" si="21"/>
        <v>0</v>
      </c>
      <c r="N232">
        <f t="shared" si="19"/>
        <v>0</v>
      </c>
      <c r="P232" t="e">
        <f>INDEX(Items!B$2:B$1032,MATCH($O232,Items!$A$2:$A$1032,0))</f>
        <v>#N/A</v>
      </c>
      <c r="Q232" t="e">
        <f>INDEX(Items!C$2:C$1032,MATCH($O232,Items!$A$2:$A$1032,0))</f>
        <v>#N/A</v>
      </c>
      <c r="R232" t="e">
        <f>INDEX(Items!D$2:D$1032,MATCH($O232,Items!$A$2:$A$1032,0))</f>
        <v>#N/A</v>
      </c>
    </row>
    <row r="233" spans="1:18" x14ac:dyDescent="0.25">
      <c r="A233">
        <f t="shared" si="17"/>
        <v>1</v>
      </c>
      <c r="B233" t="str">
        <f t="shared" si="18"/>
        <v/>
      </c>
      <c r="C233">
        <f t="shared" si="20"/>
        <v>1</v>
      </c>
      <c r="D233" s="4"/>
      <c r="E233" t="s">
        <v>18</v>
      </c>
      <c r="F233" t="str">
        <f>INDEX(Establishment!B$2:B$1005,MATCH($E233,Establishment!$A$2:$A$1005,0))</f>
        <v xml:space="preserve"> </v>
      </c>
      <c r="G233" t="str">
        <f>INDEX(Establishment!C$2:C$1005,MATCH($E233,Establishment!$A$2:$A$1005,0))</f>
        <v xml:space="preserve"> </v>
      </c>
      <c r="M233">
        <f t="shared" si="21"/>
        <v>0</v>
      </c>
      <c r="N233">
        <f t="shared" si="19"/>
        <v>0</v>
      </c>
      <c r="P233" t="e">
        <f>INDEX(Items!B$2:B$1032,MATCH($O233,Items!$A$2:$A$1032,0))</f>
        <v>#N/A</v>
      </c>
      <c r="Q233" t="e">
        <f>INDEX(Items!C$2:C$1032,MATCH($O233,Items!$A$2:$A$1032,0))</f>
        <v>#N/A</v>
      </c>
      <c r="R233" t="e">
        <f>INDEX(Items!D$2:D$1032,MATCH($O233,Items!$A$2:$A$1032,0))</f>
        <v>#N/A</v>
      </c>
    </row>
    <row r="234" spans="1:18" x14ac:dyDescent="0.25">
      <c r="A234">
        <f t="shared" si="17"/>
        <v>1</v>
      </c>
      <c r="B234" t="str">
        <f t="shared" si="18"/>
        <v/>
      </c>
      <c r="C234">
        <f t="shared" si="20"/>
        <v>1</v>
      </c>
      <c r="D234" s="4"/>
      <c r="E234" t="s">
        <v>18</v>
      </c>
      <c r="F234" t="str">
        <f>INDEX(Establishment!B$2:B$1005,MATCH($E234,Establishment!$A$2:$A$1005,0))</f>
        <v xml:space="preserve"> </v>
      </c>
      <c r="G234" t="str">
        <f>INDEX(Establishment!C$2:C$1005,MATCH($E234,Establishment!$A$2:$A$1005,0))</f>
        <v xml:space="preserve"> </v>
      </c>
      <c r="M234">
        <f t="shared" si="21"/>
        <v>0</v>
      </c>
      <c r="N234">
        <f t="shared" si="19"/>
        <v>0</v>
      </c>
      <c r="P234" t="e">
        <f>INDEX(Items!B$2:B$1032,MATCH($O234,Items!$A$2:$A$1032,0))</f>
        <v>#N/A</v>
      </c>
      <c r="Q234" t="e">
        <f>INDEX(Items!C$2:C$1032,MATCH($O234,Items!$A$2:$A$1032,0))</f>
        <v>#N/A</v>
      </c>
      <c r="R234" t="e">
        <f>INDEX(Items!D$2:D$1032,MATCH($O234,Items!$A$2:$A$1032,0))</f>
        <v>#N/A</v>
      </c>
    </row>
    <row r="235" spans="1:18" x14ac:dyDescent="0.25">
      <c r="A235">
        <f t="shared" si="17"/>
        <v>1</v>
      </c>
      <c r="B235" t="str">
        <f t="shared" si="18"/>
        <v/>
      </c>
      <c r="C235">
        <f t="shared" si="20"/>
        <v>1</v>
      </c>
      <c r="D235" s="4"/>
      <c r="E235" t="s">
        <v>18</v>
      </c>
      <c r="F235" t="str">
        <f>INDEX(Establishment!B$2:B$1005,MATCH($E235,Establishment!$A$2:$A$1005,0))</f>
        <v xml:space="preserve"> </v>
      </c>
      <c r="G235" t="str">
        <f>INDEX(Establishment!C$2:C$1005,MATCH($E235,Establishment!$A$2:$A$1005,0))</f>
        <v xml:space="preserve"> </v>
      </c>
      <c r="M235">
        <f t="shared" si="21"/>
        <v>0</v>
      </c>
      <c r="N235">
        <f t="shared" si="19"/>
        <v>0</v>
      </c>
      <c r="P235" t="e">
        <f>INDEX(Items!B$2:B$1032,MATCH($O235,Items!$A$2:$A$1032,0))</f>
        <v>#N/A</v>
      </c>
      <c r="Q235" t="e">
        <f>INDEX(Items!C$2:C$1032,MATCH($O235,Items!$A$2:$A$1032,0))</f>
        <v>#N/A</v>
      </c>
      <c r="R235" t="e">
        <f>INDEX(Items!D$2:D$1032,MATCH($O235,Items!$A$2:$A$1032,0))</f>
        <v>#N/A</v>
      </c>
    </row>
    <row r="236" spans="1:18" x14ac:dyDescent="0.25">
      <c r="A236">
        <f t="shared" si="17"/>
        <v>1</v>
      </c>
      <c r="B236" t="str">
        <f t="shared" si="18"/>
        <v/>
      </c>
      <c r="C236">
        <f t="shared" si="20"/>
        <v>1</v>
      </c>
      <c r="D236" s="4"/>
      <c r="E236" t="s">
        <v>18</v>
      </c>
      <c r="F236" t="str">
        <f>INDEX(Establishment!B$2:B$1005,MATCH($E236,Establishment!$A$2:$A$1005,0))</f>
        <v xml:space="preserve"> </v>
      </c>
      <c r="G236" t="str">
        <f>INDEX(Establishment!C$2:C$1005,MATCH($E236,Establishment!$A$2:$A$1005,0))</f>
        <v xml:space="preserve"> </v>
      </c>
      <c r="M236">
        <f t="shared" si="21"/>
        <v>0</v>
      </c>
      <c r="N236">
        <f t="shared" si="19"/>
        <v>0</v>
      </c>
      <c r="P236" t="e">
        <f>INDEX(Items!B$2:B$1032,MATCH($O236,Items!$A$2:$A$1032,0))</f>
        <v>#N/A</v>
      </c>
      <c r="Q236" t="e">
        <f>INDEX(Items!C$2:C$1032,MATCH($O236,Items!$A$2:$A$1032,0))</f>
        <v>#N/A</v>
      </c>
      <c r="R236" t="e">
        <f>INDEX(Items!D$2:D$1032,MATCH($O236,Items!$A$2:$A$1032,0))</f>
        <v>#N/A</v>
      </c>
    </row>
    <row r="237" spans="1:18" x14ac:dyDescent="0.25">
      <c r="A237">
        <f t="shared" si="17"/>
        <v>1</v>
      </c>
      <c r="B237" t="str">
        <f t="shared" si="18"/>
        <v/>
      </c>
      <c r="C237">
        <f t="shared" si="20"/>
        <v>1</v>
      </c>
      <c r="D237" s="4"/>
      <c r="E237" t="s">
        <v>18</v>
      </c>
      <c r="F237" t="str">
        <f>INDEX(Establishment!B$2:B$1005,MATCH($E237,Establishment!$A$2:$A$1005,0))</f>
        <v xml:space="preserve"> </v>
      </c>
      <c r="G237" t="str">
        <f>INDEX(Establishment!C$2:C$1005,MATCH($E237,Establishment!$A$2:$A$1005,0))</f>
        <v xml:space="preserve"> </v>
      </c>
      <c r="M237">
        <f t="shared" si="21"/>
        <v>0</v>
      </c>
      <c r="N237">
        <f t="shared" si="19"/>
        <v>0</v>
      </c>
      <c r="P237" t="e">
        <f>INDEX(Items!B$2:B$1032,MATCH($O237,Items!$A$2:$A$1032,0))</f>
        <v>#N/A</v>
      </c>
      <c r="Q237" t="e">
        <f>INDEX(Items!C$2:C$1032,MATCH($O237,Items!$A$2:$A$1032,0))</f>
        <v>#N/A</v>
      </c>
      <c r="R237" t="e">
        <f>INDEX(Items!D$2:D$1032,MATCH($O237,Items!$A$2:$A$1032,0))</f>
        <v>#N/A</v>
      </c>
    </row>
    <row r="238" spans="1:18" x14ac:dyDescent="0.25">
      <c r="A238">
        <f t="shared" si="17"/>
        <v>1</v>
      </c>
      <c r="B238" t="str">
        <f t="shared" si="18"/>
        <v/>
      </c>
      <c r="C238">
        <f t="shared" si="20"/>
        <v>1</v>
      </c>
      <c r="D238" s="4"/>
      <c r="E238" t="s">
        <v>18</v>
      </c>
      <c r="F238" t="str">
        <f>INDEX(Establishment!B$2:B$1005,MATCH($E238,Establishment!$A$2:$A$1005,0))</f>
        <v xml:space="preserve"> </v>
      </c>
      <c r="G238" t="str">
        <f>INDEX(Establishment!C$2:C$1005,MATCH($E238,Establishment!$A$2:$A$1005,0))</f>
        <v xml:space="preserve"> </v>
      </c>
      <c r="M238">
        <f t="shared" si="21"/>
        <v>0</v>
      </c>
      <c r="N238">
        <f t="shared" si="19"/>
        <v>0</v>
      </c>
      <c r="P238" t="e">
        <f>INDEX(Items!B$2:B$1032,MATCH($O238,Items!$A$2:$A$1032,0))</f>
        <v>#N/A</v>
      </c>
      <c r="Q238" t="e">
        <f>INDEX(Items!C$2:C$1032,MATCH($O238,Items!$A$2:$A$1032,0))</f>
        <v>#N/A</v>
      </c>
      <c r="R238" t="e">
        <f>INDEX(Items!D$2:D$1032,MATCH($O238,Items!$A$2:$A$1032,0))</f>
        <v>#N/A</v>
      </c>
    </row>
    <row r="239" spans="1:18" x14ac:dyDescent="0.25">
      <c r="A239">
        <f t="shared" si="17"/>
        <v>1</v>
      </c>
      <c r="B239" t="str">
        <f t="shared" si="18"/>
        <v/>
      </c>
      <c r="C239">
        <f t="shared" si="20"/>
        <v>1</v>
      </c>
      <c r="D239" s="4"/>
      <c r="E239" t="s">
        <v>18</v>
      </c>
      <c r="F239" t="str">
        <f>INDEX(Establishment!B$2:B$1005,MATCH($E239,Establishment!$A$2:$A$1005,0))</f>
        <v xml:space="preserve"> </v>
      </c>
      <c r="G239" t="str">
        <f>INDEX(Establishment!C$2:C$1005,MATCH($E239,Establishment!$A$2:$A$1005,0))</f>
        <v xml:space="preserve"> </v>
      </c>
      <c r="M239">
        <f t="shared" si="21"/>
        <v>0</v>
      </c>
      <c r="N239">
        <f t="shared" si="19"/>
        <v>0</v>
      </c>
      <c r="P239" t="e">
        <f>INDEX(Items!B$2:B$1032,MATCH($O239,Items!$A$2:$A$1032,0))</f>
        <v>#N/A</v>
      </c>
      <c r="Q239" t="e">
        <f>INDEX(Items!C$2:C$1032,MATCH($O239,Items!$A$2:$A$1032,0))</f>
        <v>#N/A</v>
      </c>
      <c r="R239" t="e">
        <f>INDEX(Items!D$2:D$1032,MATCH($O239,Items!$A$2:$A$1032,0))</f>
        <v>#N/A</v>
      </c>
    </row>
    <row r="240" spans="1:18" x14ac:dyDescent="0.25">
      <c r="A240">
        <f t="shared" si="17"/>
        <v>1</v>
      </c>
      <c r="B240" t="str">
        <f t="shared" si="18"/>
        <v/>
      </c>
      <c r="C240">
        <f t="shared" si="20"/>
        <v>1</v>
      </c>
      <c r="D240" s="4"/>
      <c r="E240" t="s">
        <v>18</v>
      </c>
      <c r="F240" t="str">
        <f>INDEX(Establishment!B$2:B$1005,MATCH($E240,Establishment!$A$2:$A$1005,0))</f>
        <v xml:space="preserve"> </v>
      </c>
      <c r="G240" t="str">
        <f>INDEX(Establishment!C$2:C$1005,MATCH($E240,Establishment!$A$2:$A$1005,0))</f>
        <v xml:space="preserve"> </v>
      </c>
      <c r="M240">
        <f t="shared" si="21"/>
        <v>0</v>
      </c>
      <c r="N240">
        <f t="shared" si="19"/>
        <v>0</v>
      </c>
      <c r="P240" t="e">
        <f>INDEX(Items!B$2:B$1032,MATCH($O240,Items!$A$2:$A$1032,0))</f>
        <v>#N/A</v>
      </c>
      <c r="Q240" t="e">
        <f>INDEX(Items!C$2:C$1032,MATCH($O240,Items!$A$2:$A$1032,0))</f>
        <v>#N/A</v>
      </c>
      <c r="R240" t="e">
        <f>INDEX(Items!D$2:D$1032,MATCH($O240,Items!$A$2:$A$1032,0))</f>
        <v>#N/A</v>
      </c>
    </row>
    <row r="241" spans="1:18" x14ac:dyDescent="0.25">
      <c r="A241">
        <f t="shared" si="17"/>
        <v>1</v>
      </c>
      <c r="B241" t="str">
        <f t="shared" si="18"/>
        <v/>
      </c>
      <c r="C241">
        <f t="shared" si="20"/>
        <v>1</v>
      </c>
      <c r="D241" s="4"/>
      <c r="E241" t="s">
        <v>18</v>
      </c>
      <c r="F241" t="str">
        <f>INDEX(Establishment!B$2:B$1005,MATCH($E241,Establishment!$A$2:$A$1005,0))</f>
        <v xml:space="preserve"> </v>
      </c>
      <c r="G241" t="str">
        <f>INDEX(Establishment!C$2:C$1005,MATCH($E241,Establishment!$A$2:$A$1005,0))</f>
        <v xml:space="preserve"> </v>
      </c>
      <c r="M241">
        <f t="shared" si="21"/>
        <v>0</v>
      </c>
      <c r="N241">
        <f t="shared" si="19"/>
        <v>0</v>
      </c>
      <c r="P241" t="e">
        <f>INDEX(Items!B$2:B$1032,MATCH($O241,Items!$A$2:$A$1032,0))</f>
        <v>#N/A</v>
      </c>
      <c r="Q241" t="e">
        <f>INDEX(Items!C$2:C$1032,MATCH($O241,Items!$A$2:$A$1032,0))</f>
        <v>#N/A</v>
      </c>
      <c r="R241" t="e">
        <f>INDEX(Items!D$2:D$1032,MATCH($O241,Items!$A$2:$A$1032,0))</f>
        <v>#N/A</v>
      </c>
    </row>
    <row r="242" spans="1:18" x14ac:dyDescent="0.25">
      <c r="A242">
        <f t="shared" si="17"/>
        <v>1</v>
      </c>
      <c r="B242" t="str">
        <f t="shared" si="18"/>
        <v/>
      </c>
      <c r="C242">
        <f t="shared" si="20"/>
        <v>1</v>
      </c>
      <c r="D242" s="4"/>
      <c r="E242" t="s">
        <v>18</v>
      </c>
      <c r="F242" t="str">
        <f>INDEX(Establishment!B$2:B$1005,MATCH($E242,Establishment!$A$2:$A$1005,0))</f>
        <v xml:space="preserve"> </v>
      </c>
      <c r="G242" t="str">
        <f>INDEX(Establishment!C$2:C$1005,MATCH($E242,Establishment!$A$2:$A$1005,0))</f>
        <v xml:space="preserve"> </v>
      </c>
      <c r="M242">
        <f t="shared" si="21"/>
        <v>0</v>
      </c>
      <c r="N242">
        <f t="shared" si="19"/>
        <v>0</v>
      </c>
      <c r="P242" t="e">
        <f>INDEX(Items!B$2:B$1032,MATCH($O242,Items!$A$2:$A$1032,0))</f>
        <v>#N/A</v>
      </c>
      <c r="Q242" t="e">
        <f>INDEX(Items!C$2:C$1032,MATCH($O242,Items!$A$2:$A$1032,0))</f>
        <v>#N/A</v>
      </c>
      <c r="R242" t="e">
        <f>INDEX(Items!D$2:D$1032,MATCH($O242,Items!$A$2:$A$1032,0))</f>
        <v>#N/A</v>
      </c>
    </row>
    <row r="243" spans="1:18" x14ac:dyDescent="0.25">
      <c r="A243">
        <f t="shared" si="17"/>
        <v>1</v>
      </c>
      <c r="B243" t="str">
        <f t="shared" si="18"/>
        <v/>
      </c>
      <c r="C243">
        <f t="shared" si="20"/>
        <v>1</v>
      </c>
      <c r="D243" s="4"/>
      <c r="E243" t="s">
        <v>18</v>
      </c>
      <c r="F243" t="str">
        <f>INDEX(Establishment!B$2:B$1005,MATCH($E243,Establishment!$A$2:$A$1005,0))</f>
        <v xml:space="preserve"> </v>
      </c>
      <c r="G243" t="str">
        <f>INDEX(Establishment!C$2:C$1005,MATCH($E243,Establishment!$A$2:$A$1005,0))</f>
        <v xml:space="preserve"> </v>
      </c>
      <c r="M243">
        <f t="shared" si="21"/>
        <v>0</v>
      </c>
      <c r="N243">
        <f t="shared" si="19"/>
        <v>0</v>
      </c>
      <c r="P243" t="e">
        <f>INDEX(Items!B$2:B$1032,MATCH($O243,Items!$A$2:$A$1032,0))</f>
        <v>#N/A</v>
      </c>
      <c r="Q243" t="e">
        <f>INDEX(Items!C$2:C$1032,MATCH($O243,Items!$A$2:$A$1032,0))</f>
        <v>#N/A</v>
      </c>
      <c r="R243" t="e">
        <f>INDEX(Items!D$2:D$1032,MATCH($O243,Items!$A$2:$A$1032,0))</f>
        <v>#N/A</v>
      </c>
    </row>
    <row r="244" spans="1:18" x14ac:dyDescent="0.25">
      <c r="A244">
        <f t="shared" si="17"/>
        <v>1</v>
      </c>
      <c r="B244" t="str">
        <f t="shared" si="18"/>
        <v/>
      </c>
      <c r="C244">
        <f t="shared" si="20"/>
        <v>1</v>
      </c>
      <c r="D244" s="4"/>
      <c r="E244" t="s">
        <v>18</v>
      </c>
      <c r="F244" t="str">
        <f>INDEX(Establishment!B$2:B$1005,MATCH($E244,Establishment!$A$2:$A$1005,0))</f>
        <v xml:space="preserve"> </v>
      </c>
      <c r="G244" t="str">
        <f>INDEX(Establishment!C$2:C$1005,MATCH($E244,Establishment!$A$2:$A$1005,0))</f>
        <v xml:space="preserve"> </v>
      </c>
      <c r="M244">
        <f t="shared" si="21"/>
        <v>0</v>
      </c>
      <c r="N244">
        <f t="shared" si="19"/>
        <v>0</v>
      </c>
      <c r="P244" t="e">
        <f>INDEX(Items!B$2:B$1032,MATCH($O244,Items!$A$2:$A$1032,0))</f>
        <v>#N/A</v>
      </c>
      <c r="Q244" t="e">
        <f>INDEX(Items!C$2:C$1032,MATCH($O244,Items!$A$2:$A$1032,0))</f>
        <v>#N/A</v>
      </c>
      <c r="R244" t="e">
        <f>INDEX(Items!D$2:D$1032,MATCH($O244,Items!$A$2:$A$1032,0))</f>
        <v>#N/A</v>
      </c>
    </row>
    <row r="245" spans="1:18" x14ac:dyDescent="0.25">
      <c r="A245">
        <f t="shared" si="17"/>
        <v>1</v>
      </c>
      <c r="B245" t="str">
        <f t="shared" si="18"/>
        <v/>
      </c>
      <c r="C245">
        <f t="shared" si="20"/>
        <v>1</v>
      </c>
      <c r="D245" s="4"/>
      <c r="E245" t="s">
        <v>18</v>
      </c>
      <c r="F245" t="str">
        <f>INDEX(Establishment!B$2:B$1005,MATCH($E245,Establishment!$A$2:$A$1005,0))</f>
        <v xml:space="preserve"> </v>
      </c>
      <c r="G245" t="str">
        <f>INDEX(Establishment!C$2:C$1005,MATCH($E245,Establishment!$A$2:$A$1005,0))</f>
        <v xml:space="preserve"> </v>
      </c>
      <c r="M245">
        <f t="shared" si="21"/>
        <v>0</v>
      </c>
      <c r="N245">
        <f t="shared" si="19"/>
        <v>0</v>
      </c>
      <c r="P245" t="e">
        <f>INDEX(Items!B$2:B$1032,MATCH($O245,Items!$A$2:$A$1032,0))</f>
        <v>#N/A</v>
      </c>
      <c r="Q245" t="e">
        <f>INDEX(Items!C$2:C$1032,MATCH($O245,Items!$A$2:$A$1032,0))</f>
        <v>#N/A</v>
      </c>
      <c r="R245" t="e">
        <f>INDEX(Items!D$2:D$1032,MATCH($O245,Items!$A$2:$A$1032,0))</f>
        <v>#N/A</v>
      </c>
    </row>
    <row r="246" spans="1:18" x14ac:dyDescent="0.25">
      <c r="A246">
        <f t="shared" si="17"/>
        <v>1</v>
      </c>
      <c r="B246" t="str">
        <f t="shared" si="18"/>
        <v/>
      </c>
      <c r="C246">
        <f t="shared" si="20"/>
        <v>1</v>
      </c>
      <c r="D246" s="4"/>
      <c r="E246" t="s">
        <v>18</v>
      </c>
      <c r="F246" t="str">
        <f>INDEX(Establishment!B$2:B$1005,MATCH($E246,Establishment!$A$2:$A$1005,0))</f>
        <v xml:space="preserve"> </v>
      </c>
      <c r="G246" t="str">
        <f>INDEX(Establishment!C$2:C$1005,MATCH($E246,Establishment!$A$2:$A$1005,0))</f>
        <v xml:space="preserve"> </v>
      </c>
      <c r="M246">
        <f t="shared" si="21"/>
        <v>0</v>
      </c>
      <c r="N246">
        <f t="shared" si="19"/>
        <v>0</v>
      </c>
      <c r="P246" t="e">
        <f>INDEX(Items!B$2:B$1032,MATCH($O246,Items!$A$2:$A$1032,0))</f>
        <v>#N/A</v>
      </c>
      <c r="Q246" t="e">
        <f>INDEX(Items!C$2:C$1032,MATCH($O246,Items!$A$2:$A$1032,0))</f>
        <v>#N/A</v>
      </c>
      <c r="R246" t="e">
        <f>INDEX(Items!D$2:D$1032,MATCH($O246,Items!$A$2:$A$1032,0))</f>
        <v>#N/A</v>
      </c>
    </row>
    <row r="247" spans="1:18" x14ac:dyDescent="0.25">
      <c r="A247">
        <f t="shared" si="17"/>
        <v>1</v>
      </c>
      <c r="B247" t="str">
        <f t="shared" si="18"/>
        <v/>
      </c>
      <c r="C247">
        <f t="shared" si="20"/>
        <v>1</v>
      </c>
      <c r="D247" s="4"/>
      <c r="E247" t="s">
        <v>18</v>
      </c>
      <c r="F247" t="str">
        <f>INDEX(Establishment!B$2:B$1005,MATCH($E247,Establishment!$A$2:$A$1005,0))</f>
        <v xml:space="preserve"> </v>
      </c>
      <c r="G247" t="str">
        <f>INDEX(Establishment!C$2:C$1005,MATCH($E247,Establishment!$A$2:$A$1005,0))</f>
        <v xml:space="preserve"> </v>
      </c>
      <c r="M247">
        <f t="shared" si="21"/>
        <v>0</v>
      </c>
      <c r="N247">
        <f t="shared" si="19"/>
        <v>0</v>
      </c>
      <c r="P247" t="e">
        <f>INDEX(Items!B$2:B$1032,MATCH($O247,Items!$A$2:$A$1032,0))</f>
        <v>#N/A</v>
      </c>
      <c r="Q247" t="e">
        <f>INDEX(Items!C$2:C$1032,MATCH($O247,Items!$A$2:$A$1032,0))</f>
        <v>#N/A</v>
      </c>
      <c r="R247" t="e">
        <f>INDEX(Items!D$2:D$1032,MATCH($O247,Items!$A$2:$A$1032,0))</f>
        <v>#N/A</v>
      </c>
    </row>
    <row r="248" spans="1:18" x14ac:dyDescent="0.25">
      <c r="A248">
        <f t="shared" si="17"/>
        <v>1</v>
      </c>
      <c r="B248" t="str">
        <f t="shared" si="18"/>
        <v/>
      </c>
      <c r="C248">
        <f t="shared" si="20"/>
        <v>1</v>
      </c>
      <c r="D248" s="4"/>
      <c r="E248" t="s">
        <v>18</v>
      </c>
      <c r="F248" t="str">
        <f>INDEX(Establishment!B$2:B$1005,MATCH($E248,Establishment!$A$2:$A$1005,0))</f>
        <v xml:space="preserve"> </v>
      </c>
      <c r="G248" t="str">
        <f>INDEX(Establishment!C$2:C$1005,MATCH($E248,Establishment!$A$2:$A$1005,0))</f>
        <v xml:space="preserve"> </v>
      </c>
      <c r="M248">
        <f t="shared" si="21"/>
        <v>0</v>
      </c>
      <c r="N248">
        <f t="shared" si="19"/>
        <v>0</v>
      </c>
      <c r="P248" t="e">
        <f>INDEX(Items!B$2:B$1032,MATCH($O248,Items!$A$2:$A$1032,0))</f>
        <v>#N/A</v>
      </c>
      <c r="Q248" t="e">
        <f>INDEX(Items!C$2:C$1032,MATCH($O248,Items!$A$2:$A$1032,0))</f>
        <v>#N/A</v>
      </c>
      <c r="R248" t="e">
        <f>INDEX(Items!D$2:D$1032,MATCH($O248,Items!$A$2:$A$1032,0))</f>
        <v>#N/A</v>
      </c>
    </row>
    <row r="249" spans="1:18" x14ac:dyDescent="0.25">
      <c r="A249">
        <f t="shared" si="17"/>
        <v>1</v>
      </c>
      <c r="B249" t="str">
        <f t="shared" si="18"/>
        <v/>
      </c>
      <c r="C249">
        <f t="shared" si="20"/>
        <v>1</v>
      </c>
      <c r="D249" s="4"/>
      <c r="E249" t="s">
        <v>18</v>
      </c>
      <c r="F249" t="str">
        <f>INDEX(Establishment!B$2:B$1005,MATCH($E249,Establishment!$A$2:$A$1005,0))</f>
        <v xml:space="preserve"> </v>
      </c>
      <c r="G249" t="str">
        <f>INDEX(Establishment!C$2:C$1005,MATCH($E249,Establishment!$A$2:$A$1005,0))</f>
        <v xml:space="preserve"> </v>
      </c>
      <c r="M249">
        <f t="shared" si="21"/>
        <v>0</v>
      </c>
      <c r="N249">
        <f t="shared" si="19"/>
        <v>0</v>
      </c>
      <c r="P249" t="e">
        <f>INDEX(Items!B$2:B$1032,MATCH($O249,Items!$A$2:$A$1032,0))</f>
        <v>#N/A</v>
      </c>
      <c r="Q249" t="e">
        <f>INDEX(Items!C$2:C$1032,MATCH($O249,Items!$A$2:$A$1032,0))</f>
        <v>#N/A</v>
      </c>
      <c r="R249" t="e">
        <f>INDEX(Items!D$2:D$1032,MATCH($O249,Items!$A$2:$A$1032,0))</f>
        <v>#N/A</v>
      </c>
    </row>
    <row r="250" spans="1:18" x14ac:dyDescent="0.25">
      <c r="A250">
        <f t="shared" si="17"/>
        <v>1</v>
      </c>
      <c r="B250" t="str">
        <f t="shared" si="18"/>
        <v/>
      </c>
      <c r="C250">
        <f t="shared" si="20"/>
        <v>1</v>
      </c>
      <c r="D250" s="4"/>
      <c r="E250" t="s">
        <v>18</v>
      </c>
      <c r="F250" t="str">
        <f>INDEX(Establishment!B$2:B$1005,MATCH($E250,Establishment!$A$2:$A$1005,0))</f>
        <v xml:space="preserve"> </v>
      </c>
      <c r="G250" t="str">
        <f>INDEX(Establishment!C$2:C$1005,MATCH($E250,Establishment!$A$2:$A$1005,0))</f>
        <v xml:space="preserve"> </v>
      </c>
      <c r="M250">
        <f t="shared" si="21"/>
        <v>0</v>
      </c>
      <c r="N250">
        <f t="shared" si="19"/>
        <v>0</v>
      </c>
      <c r="P250" t="e">
        <f>INDEX(Items!B$2:B$1032,MATCH($O250,Items!$A$2:$A$1032,0))</f>
        <v>#N/A</v>
      </c>
      <c r="Q250" t="e">
        <f>INDEX(Items!C$2:C$1032,MATCH($O250,Items!$A$2:$A$1032,0))</f>
        <v>#N/A</v>
      </c>
      <c r="R250" t="e">
        <f>INDEX(Items!D$2:D$1032,MATCH($O250,Items!$A$2:$A$1032,0))</f>
        <v>#N/A</v>
      </c>
    </row>
    <row r="251" spans="1:18" x14ac:dyDescent="0.25">
      <c r="A251">
        <f t="shared" si="17"/>
        <v>1</v>
      </c>
      <c r="B251" t="str">
        <f t="shared" si="18"/>
        <v/>
      </c>
      <c r="C251">
        <f t="shared" si="20"/>
        <v>1</v>
      </c>
      <c r="D251" s="4"/>
      <c r="E251" t="s">
        <v>18</v>
      </c>
      <c r="F251" t="str">
        <f>INDEX(Establishment!B$2:B$1005,MATCH($E251,Establishment!$A$2:$A$1005,0))</f>
        <v xml:space="preserve"> </v>
      </c>
      <c r="G251" t="str">
        <f>INDEX(Establishment!C$2:C$1005,MATCH($E251,Establishment!$A$2:$A$1005,0))</f>
        <v xml:space="preserve"> </v>
      </c>
      <c r="M251">
        <f t="shared" si="21"/>
        <v>0</v>
      </c>
      <c r="N251">
        <f t="shared" si="19"/>
        <v>0</v>
      </c>
      <c r="P251" t="e">
        <f>INDEX(Items!B$2:B$1032,MATCH($O251,Items!$A$2:$A$1032,0))</f>
        <v>#N/A</v>
      </c>
      <c r="Q251" t="e">
        <f>INDEX(Items!C$2:C$1032,MATCH($O251,Items!$A$2:$A$1032,0))</f>
        <v>#N/A</v>
      </c>
      <c r="R251" t="e">
        <f>INDEX(Items!D$2:D$1032,MATCH($O251,Items!$A$2:$A$1032,0))</f>
        <v>#N/A</v>
      </c>
    </row>
    <row r="252" spans="1:18" x14ac:dyDescent="0.25">
      <c r="A252">
        <f t="shared" si="17"/>
        <v>1</v>
      </c>
      <c r="B252" t="str">
        <f t="shared" si="18"/>
        <v/>
      </c>
      <c r="C252">
        <f t="shared" si="20"/>
        <v>1</v>
      </c>
      <c r="D252" s="4"/>
      <c r="E252" t="s">
        <v>18</v>
      </c>
      <c r="F252" t="str">
        <f>INDEX(Establishment!B$2:B$1005,MATCH($E252,Establishment!$A$2:$A$1005,0))</f>
        <v xml:space="preserve"> </v>
      </c>
      <c r="G252" t="str">
        <f>INDEX(Establishment!C$2:C$1005,MATCH($E252,Establishment!$A$2:$A$1005,0))</f>
        <v xml:space="preserve"> </v>
      </c>
      <c r="M252">
        <f t="shared" si="21"/>
        <v>0</v>
      </c>
      <c r="N252">
        <f t="shared" si="19"/>
        <v>0</v>
      </c>
      <c r="P252" t="e">
        <f>INDEX(Items!B$2:B$1032,MATCH($O252,Items!$A$2:$A$1032,0))</f>
        <v>#N/A</v>
      </c>
      <c r="Q252" t="e">
        <f>INDEX(Items!C$2:C$1032,MATCH($O252,Items!$A$2:$A$1032,0))</f>
        <v>#N/A</v>
      </c>
      <c r="R252" t="e">
        <f>INDEX(Items!D$2:D$1032,MATCH($O252,Items!$A$2:$A$1032,0))</f>
        <v>#N/A</v>
      </c>
    </row>
    <row r="253" spans="1:18" x14ac:dyDescent="0.25">
      <c r="A253">
        <f t="shared" si="17"/>
        <v>1</v>
      </c>
      <c r="B253" t="str">
        <f t="shared" si="18"/>
        <v/>
      </c>
      <c r="C253">
        <f t="shared" si="20"/>
        <v>1</v>
      </c>
      <c r="D253" s="4"/>
      <c r="E253" t="s">
        <v>18</v>
      </c>
      <c r="F253" t="str">
        <f>INDEX(Establishment!B$2:B$1005,MATCH($E253,Establishment!$A$2:$A$1005,0))</f>
        <v xml:space="preserve"> </v>
      </c>
      <c r="G253" t="str">
        <f>INDEX(Establishment!C$2:C$1005,MATCH($E253,Establishment!$A$2:$A$1005,0))</f>
        <v xml:space="preserve"> </v>
      </c>
      <c r="M253">
        <f t="shared" si="21"/>
        <v>0</v>
      </c>
      <c r="N253">
        <f t="shared" si="19"/>
        <v>0</v>
      </c>
      <c r="P253" t="e">
        <f>INDEX(Items!B$2:B$1032,MATCH($O253,Items!$A$2:$A$1032,0))</f>
        <v>#N/A</v>
      </c>
      <c r="Q253" t="e">
        <f>INDEX(Items!C$2:C$1032,MATCH($O253,Items!$A$2:$A$1032,0))</f>
        <v>#N/A</v>
      </c>
      <c r="R253" t="e">
        <f>INDEX(Items!D$2:D$1032,MATCH($O253,Items!$A$2:$A$1032,0))</f>
        <v>#N/A</v>
      </c>
    </row>
    <row r="254" spans="1:18" x14ac:dyDescent="0.25">
      <c r="A254">
        <f t="shared" si="17"/>
        <v>1</v>
      </c>
      <c r="B254" t="str">
        <f t="shared" si="18"/>
        <v/>
      </c>
      <c r="C254">
        <f t="shared" si="20"/>
        <v>1</v>
      </c>
      <c r="D254" s="4"/>
      <c r="E254" t="s">
        <v>18</v>
      </c>
      <c r="F254" t="str">
        <f>INDEX(Establishment!B$2:B$1005,MATCH($E254,Establishment!$A$2:$A$1005,0))</f>
        <v xml:space="preserve"> </v>
      </c>
      <c r="G254" t="str">
        <f>INDEX(Establishment!C$2:C$1005,MATCH($E254,Establishment!$A$2:$A$1005,0))</f>
        <v xml:space="preserve"> </v>
      </c>
      <c r="M254">
        <f t="shared" si="21"/>
        <v>0</v>
      </c>
      <c r="N254">
        <f t="shared" si="19"/>
        <v>0</v>
      </c>
      <c r="P254" t="e">
        <f>INDEX(Items!B$2:B$1032,MATCH($O254,Items!$A$2:$A$1032,0))</f>
        <v>#N/A</v>
      </c>
      <c r="Q254" t="e">
        <f>INDEX(Items!C$2:C$1032,MATCH($O254,Items!$A$2:$A$1032,0))</f>
        <v>#N/A</v>
      </c>
      <c r="R254" t="e">
        <f>INDEX(Items!D$2:D$1032,MATCH($O254,Items!$A$2:$A$1032,0))</f>
        <v>#N/A</v>
      </c>
    </row>
    <row r="255" spans="1:18" x14ac:dyDescent="0.25">
      <c r="A255">
        <f t="shared" si="17"/>
        <v>1</v>
      </c>
      <c r="B255" t="str">
        <f t="shared" si="18"/>
        <v/>
      </c>
      <c r="C255">
        <f t="shared" si="20"/>
        <v>1</v>
      </c>
      <c r="D255" s="4"/>
      <c r="E255" t="s">
        <v>18</v>
      </c>
      <c r="F255" t="str">
        <f>INDEX(Establishment!B$2:B$1005,MATCH($E255,Establishment!$A$2:$A$1005,0))</f>
        <v xml:space="preserve"> </v>
      </c>
      <c r="G255" t="str">
        <f>INDEX(Establishment!C$2:C$1005,MATCH($E255,Establishment!$A$2:$A$1005,0))</f>
        <v xml:space="preserve"> </v>
      </c>
      <c r="M255">
        <f t="shared" si="21"/>
        <v>0</v>
      </c>
      <c r="N255">
        <f t="shared" si="19"/>
        <v>0</v>
      </c>
      <c r="P255" t="e">
        <f>INDEX(Items!B$2:B$1032,MATCH($O255,Items!$A$2:$A$1032,0))</f>
        <v>#N/A</v>
      </c>
      <c r="Q255" t="e">
        <f>INDEX(Items!C$2:C$1032,MATCH($O255,Items!$A$2:$A$1032,0))</f>
        <v>#N/A</v>
      </c>
      <c r="R255" t="e">
        <f>INDEX(Items!D$2:D$1032,MATCH($O255,Items!$A$2:$A$1032,0))</f>
        <v>#N/A</v>
      </c>
    </row>
    <row r="256" spans="1:18" x14ac:dyDescent="0.25">
      <c r="A256">
        <f t="shared" si="17"/>
        <v>1</v>
      </c>
      <c r="B256" t="str">
        <f t="shared" si="18"/>
        <v/>
      </c>
      <c r="C256">
        <f t="shared" si="20"/>
        <v>1</v>
      </c>
      <c r="D256" s="4"/>
      <c r="E256" t="s">
        <v>18</v>
      </c>
      <c r="F256" t="str">
        <f>INDEX(Establishment!B$2:B$1005,MATCH($E256,Establishment!$A$2:$A$1005,0))</f>
        <v xml:space="preserve"> </v>
      </c>
      <c r="G256" t="str">
        <f>INDEX(Establishment!C$2:C$1005,MATCH($E256,Establishment!$A$2:$A$1005,0))</f>
        <v xml:space="preserve"> </v>
      </c>
      <c r="M256">
        <f t="shared" si="21"/>
        <v>0</v>
      </c>
      <c r="N256">
        <f t="shared" si="19"/>
        <v>0</v>
      </c>
      <c r="P256" t="e">
        <f>INDEX(Items!B$2:B$1032,MATCH($O256,Items!$A$2:$A$1032,0))</f>
        <v>#N/A</v>
      </c>
      <c r="Q256" t="e">
        <f>INDEX(Items!C$2:C$1032,MATCH($O256,Items!$A$2:$A$1032,0))</f>
        <v>#N/A</v>
      </c>
      <c r="R256" t="e">
        <f>INDEX(Items!D$2:D$1032,MATCH($O256,Items!$A$2:$A$1032,0))</f>
        <v>#N/A</v>
      </c>
    </row>
    <row r="257" spans="1:18" x14ac:dyDescent="0.25">
      <c r="A257">
        <f t="shared" si="17"/>
        <v>1</v>
      </c>
      <c r="B257" t="str">
        <f t="shared" si="18"/>
        <v/>
      </c>
      <c r="C257">
        <f t="shared" si="20"/>
        <v>1</v>
      </c>
      <c r="D257" s="4"/>
      <c r="E257" t="s">
        <v>18</v>
      </c>
      <c r="F257" t="str">
        <f>INDEX(Establishment!B$2:B$1005,MATCH($E257,Establishment!$A$2:$A$1005,0))</f>
        <v xml:space="preserve"> </v>
      </c>
      <c r="G257" t="str">
        <f>INDEX(Establishment!C$2:C$1005,MATCH($E257,Establishment!$A$2:$A$1005,0))</f>
        <v xml:space="preserve"> </v>
      </c>
      <c r="M257">
        <f t="shared" si="21"/>
        <v>0</v>
      </c>
      <c r="N257">
        <f t="shared" si="19"/>
        <v>0</v>
      </c>
      <c r="P257" t="e">
        <f>INDEX(Items!B$2:B$1032,MATCH($O257,Items!$A$2:$A$1032,0))</f>
        <v>#N/A</v>
      </c>
      <c r="Q257" t="e">
        <f>INDEX(Items!C$2:C$1032,MATCH($O257,Items!$A$2:$A$1032,0))</f>
        <v>#N/A</v>
      </c>
      <c r="R257" t="e">
        <f>INDEX(Items!D$2:D$1032,MATCH($O257,Items!$A$2:$A$1032,0))</f>
        <v>#N/A</v>
      </c>
    </row>
    <row r="258" spans="1:18" x14ac:dyDescent="0.25">
      <c r="A258">
        <f t="shared" ref="A258:A321" si="22">IF(OR(D258&lt;&gt;D257,D258=""),1,IF(NOT(AND(E258=E257,F258=F257,G258=G257)),A257+1,IF(OR(H258="",AND(H258&lt;&gt;"",H258&lt;&gt;H257,H257&lt;&gt;"")),A257,A257+1)))</f>
        <v>1</v>
      </c>
      <c r="B258" t="str">
        <f t="shared" ref="B258:B321" si="23">IF(D258&lt;&gt;"",TEXT(D258,"YYYYMMDD")&amp;CHAR(64+A258),"")</f>
        <v/>
      </c>
      <c r="C258">
        <f t="shared" si="20"/>
        <v>1</v>
      </c>
      <c r="D258" s="4"/>
      <c r="E258" t="s">
        <v>18</v>
      </c>
      <c r="F258" t="str">
        <f>INDEX(Establishment!B$2:B$1005,MATCH($E258,Establishment!$A$2:$A$1005,0))</f>
        <v xml:space="preserve"> </v>
      </c>
      <c r="G258" t="str">
        <f>INDEX(Establishment!C$2:C$1005,MATCH($E258,Establishment!$A$2:$A$1005,0))</f>
        <v xml:space="preserve"> </v>
      </c>
      <c r="M258">
        <f t="shared" si="21"/>
        <v>0</v>
      </c>
      <c r="N258">
        <f t="shared" si="19"/>
        <v>0</v>
      </c>
      <c r="P258" t="e">
        <f>INDEX(Items!B$2:B$1032,MATCH($O258,Items!$A$2:$A$1032,0))</f>
        <v>#N/A</v>
      </c>
      <c r="Q258" t="e">
        <f>INDEX(Items!C$2:C$1032,MATCH($O258,Items!$A$2:$A$1032,0))</f>
        <v>#N/A</v>
      </c>
      <c r="R258" t="e">
        <f>INDEX(Items!D$2:D$1032,MATCH($O258,Items!$A$2:$A$1032,0))</f>
        <v>#N/A</v>
      </c>
    </row>
    <row r="259" spans="1:18" x14ac:dyDescent="0.25">
      <c r="A259">
        <f t="shared" si="22"/>
        <v>1</v>
      </c>
      <c r="B259" t="str">
        <f t="shared" si="23"/>
        <v/>
      </c>
      <c r="C259">
        <f t="shared" si="20"/>
        <v>1</v>
      </c>
      <c r="D259" s="4"/>
      <c r="E259" t="s">
        <v>18</v>
      </c>
      <c r="F259" t="str">
        <f>INDEX(Establishment!B$2:B$1005,MATCH($E259,Establishment!$A$2:$A$1005,0))</f>
        <v xml:space="preserve"> </v>
      </c>
      <c r="G259" t="str">
        <f>INDEX(Establishment!C$2:C$1005,MATCH($E259,Establishment!$A$2:$A$1005,0))</f>
        <v xml:space="preserve"> </v>
      </c>
      <c r="M259">
        <f t="shared" si="21"/>
        <v>0</v>
      </c>
      <c r="N259">
        <f t="shared" ref="N259:N322" si="24">IF(B259=B258,N258+M259,M259)</f>
        <v>0</v>
      </c>
      <c r="P259" t="e">
        <f>INDEX(Items!B$2:B$1032,MATCH($O259,Items!$A$2:$A$1032,0))</f>
        <v>#N/A</v>
      </c>
      <c r="Q259" t="e">
        <f>INDEX(Items!C$2:C$1032,MATCH($O259,Items!$A$2:$A$1032,0))</f>
        <v>#N/A</v>
      </c>
      <c r="R259" t="e">
        <f>INDEX(Items!D$2:D$1032,MATCH($O259,Items!$A$2:$A$1032,0))</f>
        <v>#N/A</v>
      </c>
    </row>
    <row r="260" spans="1:18" x14ac:dyDescent="0.25">
      <c r="A260">
        <f t="shared" si="22"/>
        <v>1</v>
      </c>
      <c r="B260" t="str">
        <f t="shared" si="23"/>
        <v/>
      </c>
      <c r="C260">
        <f t="shared" si="20"/>
        <v>1</v>
      </c>
      <c r="D260" s="4"/>
      <c r="E260" t="s">
        <v>18</v>
      </c>
      <c r="F260" t="str">
        <f>INDEX(Establishment!B$2:B$1005,MATCH($E260,Establishment!$A$2:$A$1005,0))</f>
        <v xml:space="preserve"> </v>
      </c>
      <c r="G260" t="str">
        <f>INDEX(Establishment!C$2:C$1005,MATCH($E260,Establishment!$A$2:$A$1005,0))</f>
        <v xml:space="preserve"> </v>
      </c>
      <c r="M260">
        <f t="shared" si="21"/>
        <v>0</v>
      </c>
      <c r="N260">
        <f t="shared" si="24"/>
        <v>0</v>
      </c>
      <c r="P260" t="e">
        <f>INDEX(Items!B$2:B$1032,MATCH($O260,Items!$A$2:$A$1032,0))</f>
        <v>#N/A</v>
      </c>
      <c r="Q260" t="e">
        <f>INDEX(Items!C$2:C$1032,MATCH($O260,Items!$A$2:$A$1032,0))</f>
        <v>#N/A</v>
      </c>
      <c r="R260" t="e">
        <f>INDEX(Items!D$2:D$1032,MATCH($O260,Items!$A$2:$A$1032,0))</f>
        <v>#N/A</v>
      </c>
    </row>
    <row r="261" spans="1:18" x14ac:dyDescent="0.25">
      <c r="A261">
        <f t="shared" si="22"/>
        <v>1</v>
      </c>
      <c r="B261" t="str">
        <f t="shared" si="23"/>
        <v/>
      </c>
      <c r="C261">
        <f t="shared" si="20"/>
        <v>1</v>
      </c>
      <c r="D261" s="4"/>
      <c r="E261" t="s">
        <v>18</v>
      </c>
      <c r="F261" t="str">
        <f>INDEX(Establishment!B$2:B$1005,MATCH($E261,Establishment!$A$2:$A$1005,0))</f>
        <v xml:space="preserve"> </v>
      </c>
      <c r="G261" t="str">
        <f>INDEX(Establishment!C$2:C$1005,MATCH($E261,Establishment!$A$2:$A$1005,0))</f>
        <v xml:space="preserve"> </v>
      </c>
      <c r="M261">
        <f t="shared" si="21"/>
        <v>0</v>
      </c>
      <c r="N261">
        <f t="shared" si="24"/>
        <v>0</v>
      </c>
      <c r="P261" t="e">
        <f>INDEX(Items!B$2:B$1032,MATCH($O261,Items!$A$2:$A$1032,0))</f>
        <v>#N/A</v>
      </c>
      <c r="Q261" t="e">
        <f>INDEX(Items!C$2:C$1032,MATCH($O261,Items!$A$2:$A$1032,0))</f>
        <v>#N/A</v>
      </c>
      <c r="R261" t="e">
        <f>INDEX(Items!D$2:D$1032,MATCH($O261,Items!$A$2:$A$1032,0))</f>
        <v>#N/A</v>
      </c>
    </row>
    <row r="262" spans="1:18" x14ac:dyDescent="0.25">
      <c r="A262">
        <f t="shared" si="22"/>
        <v>1</v>
      </c>
      <c r="B262" t="str">
        <f t="shared" si="23"/>
        <v/>
      </c>
      <c r="C262">
        <f t="shared" si="20"/>
        <v>1</v>
      </c>
      <c r="D262" s="4"/>
      <c r="E262" t="s">
        <v>18</v>
      </c>
      <c r="F262" t="str">
        <f>INDEX(Establishment!B$2:B$1005,MATCH($E262,Establishment!$A$2:$A$1005,0))</f>
        <v xml:space="preserve"> </v>
      </c>
      <c r="G262" t="str">
        <f>INDEX(Establishment!C$2:C$1005,MATCH($E262,Establishment!$A$2:$A$1005,0))</f>
        <v xml:space="preserve"> </v>
      </c>
      <c r="M262">
        <f t="shared" si="21"/>
        <v>0</v>
      </c>
      <c r="N262">
        <f t="shared" si="24"/>
        <v>0</v>
      </c>
      <c r="P262" t="e">
        <f>INDEX(Items!B$2:B$1032,MATCH($O262,Items!$A$2:$A$1032,0))</f>
        <v>#N/A</v>
      </c>
      <c r="Q262" t="e">
        <f>INDEX(Items!C$2:C$1032,MATCH($O262,Items!$A$2:$A$1032,0))</f>
        <v>#N/A</v>
      </c>
      <c r="R262" t="e">
        <f>INDEX(Items!D$2:D$1032,MATCH($O262,Items!$A$2:$A$1032,0))</f>
        <v>#N/A</v>
      </c>
    </row>
    <row r="263" spans="1:18" x14ac:dyDescent="0.25">
      <c r="A263">
        <f t="shared" si="22"/>
        <v>1</v>
      </c>
      <c r="B263" t="str">
        <f t="shared" si="23"/>
        <v/>
      </c>
      <c r="C263">
        <f t="shared" si="20"/>
        <v>1</v>
      </c>
      <c r="D263" s="4"/>
      <c r="E263" t="s">
        <v>18</v>
      </c>
      <c r="F263" t="str">
        <f>INDEX(Establishment!B$2:B$1005,MATCH($E263,Establishment!$A$2:$A$1005,0))</f>
        <v xml:space="preserve"> </v>
      </c>
      <c r="G263" t="str">
        <f>INDEX(Establishment!C$2:C$1005,MATCH($E263,Establishment!$A$2:$A$1005,0))</f>
        <v xml:space="preserve"> </v>
      </c>
      <c r="M263">
        <f t="shared" si="21"/>
        <v>0</v>
      </c>
      <c r="N263">
        <f t="shared" si="24"/>
        <v>0</v>
      </c>
      <c r="P263" t="e">
        <f>INDEX(Items!B$2:B$1032,MATCH($O263,Items!$A$2:$A$1032,0))</f>
        <v>#N/A</v>
      </c>
      <c r="Q263" t="e">
        <f>INDEX(Items!C$2:C$1032,MATCH($O263,Items!$A$2:$A$1032,0))</f>
        <v>#N/A</v>
      </c>
      <c r="R263" t="e">
        <f>INDEX(Items!D$2:D$1032,MATCH($O263,Items!$A$2:$A$1032,0))</f>
        <v>#N/A</v>
      </c>
    </row>
    <row r="264" spans="1:18" x14ac:dyDescent="0.25">
      <c r="A264">
        <f t="shared" si="22"/>
        <v>1</v>
      </c>
      <c r="B264" t="str">
        <f t="shared" si="23"/>
        <v/>
      </c>
      <c r="C264">
        <f t="shared" si="20"/>
        <v>1</v>
      </c>
      <c r="D264" s="4"/>
      <c r="E264" t="s">
        <v>18</v>
      </c>
      <c r="F264" t="str">
        <f>INDEX(Establishment!B$2:B$1005,MATCH($E264,Establishment!$A$2:$A$1005,0))</f>
        <v xml:space="preserve"> </v>
      </c>
      <c r="G264" t="str">
        <f>INDEX(Establishment!C$2:C$1005,MATCH($E264,Establishment!$A$2:$A$1005,0))</f>
        <v xml:space="preserve"> </v>
      </c>
      <c r="M264">
        <f t="shared" si="21"/>
        <v>0</v>
      </c>
      <c r="N264">
        <f t="shared" si="24"/>
        <v>0</v>
      </c>
      <c r="P264" t="e">
        <f>INDEX(Items!B$2:B$1032,MATCH($O264,Items!$A$2:$A$1032,0))</f>
        <v>#N/A</v>
      </c>
      <c r="Q264" t="e">
        <f>INDEX(Items!C$2:C$1032,MATCH($O264,Items!$A$2:$A$1032,0))</f>
        <v>#N/A</v>
      </c>
      <c r="R264" t="e">
        <f>INDEX(Items!D$2:D$1032,MATCH($O264,Items!$A$2:$A$1032,0))</f>
        <v>#N/A</v>
      </c>
    </row>
    <row r="265" spans="1:18" x14ac:dyDescent="0.25">
      <c r="A265">
        <f t="shared" si="22"/>
        <v>1</v>
      </c>
      <c r="B265" t="str">
        <f t="shared" si="23"/>
        <v/>
      </c>
      <c r="C265">
        <f t="shared" si="20"/>
        <v>1</v>
      </c>
      <c r="D265" s="4"/>
      <c r="E265" t="s">
        <v>18</v>
      </c>
      <c r="F265" t="str">
        <f>INDEX(Establishment!B$2:B$1005,MATCH($E265,Establishment!$A$2:$A$1005,0))</f>
        <v xml:space="preserve"> </v>
      </c>
      <c r="G265" t="str">
        <f>INDEX(Establishment!C$2:C$1005,MATCH($E265,Establishment!$A$2:$A$1005,0))</f>
        <v xml:space="preserve"> </v>
      </c>
      <c r="M265">
        <f t="shared" si="21"/>
        <v>0</v>
      </c>
      <c r="N265">
        <f t="shared" si="24"/>
        <v>0</v>
      </c>
      <c r="P265" t="e">
        <f>INDEX(Items!B$2:B$1032,MATCH($O265,Items!$A$2:$A$1032,0))</f>
        <v>#N/A</v>
      </c>
      <c r="Q265" t="e">
        <f>INDEX(Items!C$2:C$1032,MATCH($O265,Items!$A$2:$A$1032,0))</f>
        <v>#N/A</v>
      </c>
      <c r="R265" t="e">
        <f>INDEX(Items!D$2:D$1032,MATCH($O265,Items!$A$2:$A$1032,0))</f>
        <v>#N/A</v>
      </c>
    </row>
    <row r="266" spans="1:18" x14ac:dyDescent="0.25">
      <c r="A266">
        <f t="shared" si="22"/>
        <v>1</v>
      </c>
      <c r="B266" t="str">
        <f t="shared" si="23"/>
        <v/>
      </c>
      <c r="C266">
        <f t="shared" ref="C266:C329" si="25">IF(OR(B266="",B266&lt;&gt;B265),1,C265+1)</f>
        <v>1</v>
      </c>
      <c r="D266" s="4"/>
      <c r="E266" t="s">
        <v>18</v>
      </c>
      <c r="F266" t="str">
        <f>INDEX(Establishment!B$2:B$1005,MATCH($E266,Establishment!$A$2:$A$1005,0))</f>
        <v xml:space="preserve"> </v>
      </c>
      <c r="G266" t="str">
        <f>INDEX(Establishment!C$2:C$1005,MATCH($E266,Establishment!$A$2:$A$1005,0))</f>
        <v xml:space="preserve"> </v>
      </c>
      <c r="M266">
        <f t="shared" ref="M266:M329" si="26">K266*L266</f>
        <v>0</v>
      </c>
      <c r="N266">
        <f t="shared" si="24"/>
        <v>0</v>
      </c>
      <c r="P266" t="e">
        <f>INDEX(Items!B$2:B$1032,MATCH($O266,Items!$A$2:$A$1032,0))</f>
        <v>#N/A</v>
      </c>
      <c r="Q266" t="e">
        <f>INDEX(Items!C$2:C$1032,MATCH($O266,Items!$A$2:$A$1032,0))</f>
        <v>#N/A</v>
      </c>
      <c r="R266" t="e">
        <f>INDEX(Items!D$2:D$1032,MATCH($O266,Items!$A$2:$A$1032,0))</f>
        <v>#N/A</v>
      </c>
    </row>
    <row r="267" spans="1:18" x14ac:dyDescent="0.25">
      <c r="A267">
        <f t="shared" si="22"/>
        <v>1</v>
      </c>
      <c r="B267" t="str">
        <f t="shared" si="23"/>
        <v/>
      </c>
      <c r="C267">
        <f t="shared" si="25"/>
        <v>1</v>
      </c>
      <c r="D267" s="4"/>
      <c r="E267" t="s">
        <v>18</v>
      </c>
      <c r="F267" t="str">
        <f>INDEX(Establishment!B$2:B$1005,MATCH($E267,Establishment!$A$2:$A$1005,0))</f>
        <v xml:space="preserve"> </v>
      </c>
      <c r="G267" t="str">
        <f>INDEX(Establishment!C$2:C$1005,MATCH($E267,Establishment!$A$2:$A$1005,0))</f>
        <v xml:space="preserve"> </v>
      </c>
      <c r="M267">
        <f t="shared" si="26"/>
        <v>0</v>
      </c>
      <c r="N267">
        <f t="shared" si="24"/>
        <v>0</v>
      </c>
      <c r="P267" t="e">
        <f>INDEX(Items!B$2:B$1032,MATCH($O267,Items!$A$2:$A$1032,0))</f>
        <v>#N/A</v>
      </c>
      <c r="Q267" t="e">
        <f>INDEX(Items!C$2:C$1032,MATCH($O267,Items!$A$2:$A$1032,0))</f>
        <v>#N/A</v>
      </c>
      <c r="R267" t="e">
        <f>INDEX(Items!D$2:D$1032,MATCH($O267,Items!$A$2:$A$1032,0))</f>
        <v>#N/A</v>
      </c>
    </row>
    <row r="268" spans="1:18" x14ac:dyDescent="0.25">
      <c r="A268">
        <f t="shared" si="22"/>
        <v>1</v>
      </c>
      <c r="B268" t="str">
        <f t="shared" si="23"/>
        <v/>
      </c>
      <c r="C268">
        <f t="shared" si="25"/>
        <v>1</v>
      </c>
      <c r="D268" s="4"/>
      <c r="E268" t="s">
        <v>18</v>
      </c>
      <c r="F268" t="str">
        <f>INDEX(Establishment!B$2:B$1005,MATCH($E268,Establishment!$A$2:$A$1005,0))</f>
        <v xml:space="preserve"> </v>
      </c>
      <c r="G268" t="str">
        <f>INDEX(Establishment!C$2:C$1005,MATCH($E268,Establishment!$A$2:$A$1005,0))</f>
        <v xml:space="preserve"> </v>
      </c>
      <c r="M268">
        <f t="shared" si="26"/>
        <v>0</v>
      </c>
      <c r="N268">
        <f t="shared" si="24"/>
        <v>0</v>
      </c>
      <c r="P268" t="e">
        <f>INDEX(Items!B$2:B$1032,MATCH($O268,Items!$A$2:$A$1032,0))</f>
        <v>#N/A</v>
      </c>
      <c r="Q268" t="e">
        <f>INDEX(Items!C$2:C$1032,MATCH($O268,Items!$A$2:$A$1032,0))</f>
        <v>#N/A</v>
      </c>
      <c r="R268" t="e">
        <f>INDEX(Items!D$2:D$1032,MATCH($O268,Items!$A$2:$A$1032,0))</f>
        <v>#N/A</v>
      </c>
    </row>
    <row r="269" spans="1:18" x14ac:dyDescent="0.25">
      <c r="A269">
        <f t="shared" si="22"/>
        <v>1</v>
      </c>
      <c r="B269" t="str">
        <f t="shared" si="23"/>
        <v/>
      </c>
      <c r="C269">
        <f t="shared" si="25"/>
        <v>1</v>
      </c>
      <c r="D269" s="4"/>
      <c r="E269" t="s">
        <v>18</v>
      </c>
      <c r="F269" t="str">
        <f>INDEX(Establishment!B$2:B$1005,MATCH($E269,Establishment!$A$2:$A$1005,0))</f>
        <v xml:space="preserve"> </v>
      </c>
      <c r="G269" t="str">
        <f>INDEX(Establishment!C$2:C$1005,MATCH($E269,Establishment!$A$2:$A$1005,0))</f>
        <v xml:space="preserve"> </v>
      </c>
      <c r="M269">
        <f t="shared" si="26"/>
        <v>0</v>
      </c>
      <c r="N269">
        <f t="shared" si="24"/>
        <v>0</v>
      </c>
      <c r="P269" t="e">
        <f>INDEX(Items!B$2:B$1032,MATCH($O269,Items!$A$2:$A$1032,0))</f>
        <v>#N/A</v>
      </c>
      <c r="Q269" t="e">
        <f>INDEX(Items!C$2:C$1032,MATCH($O269,Items!$A$2:$A$1032,0))</f>
        <v>#N/A</v>
      </c>
      <c r="R269" t="e">
        <f>INDEX(Items!D$2:D$1032,MATCH($O269,Items!$A$2:$A$1032,0))</f>
        <v>#N/A</v>
      </c>
    </row>
    <row r="270" spans="1:18" x14ac:dyDescent="0.25">
      <c r="A270">
        <f t="shared" si="22"/>
        <v>1</v>
      </c>
      <c r="B270" t="str">
        <f t="shared" si="23"/>
        <v/>
      </c>
      <c r="C270">
        <f t="shared" si="25"/>
        <v>1</v>
      </c>
      <c r="D270" s="4"/>
      <c r="E270" t="s">
        <v>18</v>
      </c>
      <c r="F270" t="str">
        <f>INDEX(Establishment!B$2:B$1005,MATCH($E270,Establishment!$A$2:$A$1005,0))</f>
        <v xml:space="preserve"> </v>
      </c>
      <c r="G270" t="str">
        <f>INDEX(Establishment!C$2:C$1005,MATCH($E270,Establishment!$A$2:$A$1005,0))</f>
        <v xml:space="preserve"> </v>
      </c>
      <c r="M270">
        <f t="shared" si="26"/>
        <v>0</v>
      </c>
      <c r="N270">
        <f t="shared" si="24"/>
        <v>0</v>
      </c>
      <c r="P270" t="e">
        <f>INDEX(Items!B$2:B$1032,MATCH($O270,Items!$A$2:$A$1032,0))</f>
        <v>#N/A</v>
      </c>
      <c r="Q270" t="e">
        <f>INDEX(Items!C$2:C$1032,MATCH($O270,Items!$A$2:$A$1032,0))</f>
        <v>#N/A</v>
      </c>
      <c r="R270" t="e">
        <f>INDEX(Items!D$2:D$1032,MATCH($O270,Items!$A$2:$A$1032,0))</f>
        <v>#N/A</v>
      </c>
    </row>
    <row r="271" spans="1:18" x14ac:dyDescent="0.25">
      <c r="A271">
        <f t="shared" si="22"/>
        <v>1</v>
      </c>
      <c r="B271" t="str">
        <f t="shared" si="23"/>
        <v/>
      </c>
      <c r="C271">
        <f t="shared" si="25"/>
        <v>1</v>
      </c>
      <c r="D271" s="4"/>
      <c r="E271" t="s">
        <v>18</v>
      </c>
      <c r="F271" t="str">
        <f>INDEX(Establishment!B$2:B$1005,MATCH($E271,Establishment!$A$2:$A$1005,0))</f>
        <v xml:space="preserve"> </v>
      </c>
      <c r="G271" t="str">
        <f>INDEX(Establishment!C$2:C$1005,MATCH($E271,Establishment!$A$2:$A$1005,0))</f>
        <v xml:space="preserve"> </v>
      </c>
      <c r="M271">
        <f t="shared" si="26"/>
        <v>0</v>
      </c>
      <c r="N271">
        <f t="shared" si="24"/>
        <v>0</v>
      </c>
      <c r="P271" t="e">
        <f>INDEX(Items!B$2:B$1032,MATCH($O271,Items!$A$2:$A$1032,0))</f>
        <v>#N/A</v>
      </c>
      <c r="Q271" t="e">
        <f>INDEX(Items!C$2:C$1032,MATCH($O271,Items!$A$2:$A$1032,0))</f>
        <v>#N/A</v>
      </c>
      <c r="R271" t="e">
        <f>INDEX(Items!D$2:D$1032,MATCH($O271,Items!$A$2:$A$1032,0))</f>
        <v>#N/A</v>
      </c>
    </row>
    <row r="272" spans="1:18" x14ac:dyDescent="0.25">
      <c r="A272">
        <f t="shared" si="22"/>
        <v>1</v>
      </c>
      <c r="B272" t="str">
        <f t="shared" si="23"/>
        <v/>
      </c>
      <c r="C272">
        <f t="shared" si="25"/>
        <v>1</v>
      </c>
      <c r="D272" s="4"/>
      <c r="E272" t="s">
        <v>18</v>
      </c>
      <c r="F272" t="str">
        <f>INDEX(Establishment!B$2:B$1005,MATCH($E272,Establishment!$A$2:$A$1005,0))</f>
        <v xml:space="preserve"> </v>
      </c>
      <c r="G272" t="str">
        <f>INDEX(Establishment!C$2:C$1005,MATCH($E272,Establishment!$A$2:$A$1005,0))</f>
        <v xml:space="preserve"> </v>
      </c>
      <c r="M272">
        <f t="shared" si="26"/>
        <v>0</v>
      </c>
      <c r="N272">
        <f t="shared" si="24"/>
        <v>0</v>
      </c>
      <c r="P272" t="e">
        <f>INDEX(Items!B$2:B$1032,MATCH($O272,Items!$A$2:$A$1032,0))</f>
        <v>#N/A</v>
      </c>
      <c r="Q272" t="e">
        <f>INDEX(Items!C$2:C$1032,MATCH($O272,Items!$A$2:$A$1032,0))</f>
        <v>#N/A</v>
      </c>
      <c r="R272" t="e">
        <f>INDEX(Items!D$2:D$1032,MATCH($O272,Items!$A$2:$A$1032,0))</f>
        <v>#N/A</v>
      </c>
    </row>
    <row r="273" spans="1:18" x14ac:dyDescent="0.25">
      <c r="A273">
        <f t="shared" si="22"/>
        <v>1</v>
      </c>
      <c r="B273" t="str">
        <f t="shared" si="23"/>
        <v/>
      </c>
      <c r="C273">
        <f t="shared" si="25"/>
        <v>1</v>
      </c>
      <c r="D273" s="4"/>
      <c r="E273" t="s">
        <v>18</v>
      </c>
      <c r="F273" t="str">
        <f>INDEX(Establishment!B$2:B$1005,MATCH($E273,Establishment!$A$2:$A$1005,0))</f>
        <v xml:space="preserve"> </v>
      </c>
      <c r="G273" t="str">
        <f>INDEX(Establishment!C$2:C$1005,MATCH($E273,Establishment!$A$2:$A$1005,0))</f>
        <v xml:space="preserve"> </v>
      </c>
      <c r="M273">
        <f t="shared" si="26"/>
        <v>0</v>
      </c>
      <c r="N273">
        <f t="shared" si="24"/>
        <v>0</v>
      </c>
      <c r="P273" t="e">
        <f>INDEX(Items!B$2:B$1032,MATCH($O273,Items!$A$2:$A$1032,0))</f>
        <v>#N/A</v>
      </c>
      <c r="Q273" t="e">
        <f>INDEX(Items!C$2:C$1032,MATCH($O273,Items!$A$2:$A$1032,0))</f>
        <v>#N/A</v>
      </c>
      <c r="R273" t="e">
        <f>INDEX(Items!D$2:D$1032,MATCH($O273,Items!$A$2:$A$1032,0))</f>
        <v>#N/A</v>
      </c>
    </row>
    <row r="274" spans="1:18" x14ac:dyDescent="0.25">
      <c r="A274">
        <f t="shared" si="22"/>
        <v>1</v>
      </c>
      <c r="B274" t="str">
        <f t="shared" si="23"/>
        <v/>
      </c>
      <c r="C274">
        <f t="shared" si="25"/>
        <v>1</v>
      </c>
      <c r="D274" s="4"/>
      <c r="E274" t="s">
        <v>18</v>
      </c>
      <c r="F274" t="str">
        <f>INDEX(Establishment!B$2:B$1005,MATCH($E274,Establishment!$A$2:$A$1005,0))</f>
        <v xml:space="preserve"> </v>
      </c>
      <c r="G274" t="str">
        <f>INDEX(Establishment!C$2:C$1005,MATCH($E274,Establishment!$A$2:$A$1005,0))</f>
        <v xml:space="preserve"> </v>
      </c>
      <c r="M274">
        <f t="shared" si="26"/>
        <v>0</v>
      </c>
      <c r="N274">
        <f t="shared" si="24"/>
        <v>0</v>
      </c>
      <c r="P274" t="e">
        <f>INDEX(Items!B$2:B$1032,MATCH($O274,Items!$A$2:$A$1032,0))</f>
        <v>#N/A</v>
      </c>
      <c r="Q274" t="e">
        <f>INDEX(Items!C$2:C$1032,MATCH($O274,Items!$A$2:$A$1032,0))</f>
        <v>#N/A</v>
      </c>
      <c r="R274" t="e">
        <f>INDEX(Items!D$2:D$1032,MATCH($O274,Items!$A$2:$A$1032,0))</f>
        <v>#N/A</v>
      </c>
    </row>
    <row r="275" spans="1:18" x14ac:dyDescent="0.25">
      <c r="A275">
        <f t="shared" si="22"/>
        <v>1</v>
      </c>
      <c r="B275" t="str">
        <f t="shared" si="23"/>
        <v/>
      </c>
      <c r="C275">
        <f t="shared" si="25"/>
        <v>1</v>
      </c>
      <c r="D275" s="4"/>
      <c r="E275" t="s">
        <v>18</v>
      </c>
      <c r="F275" t="str">
        <f>INDEX(Establishment!B$2:B$1005,MATCH($E275,Establishment!$A$2:$A$1005,0))</f>
        <v xml:space="preserve"> </v>
      </c>
      <c r="G275" t="str">
        <f>INDEX(Establishment!C$2:C$1005,MATCH($E275,Establishment!$A$2:$A$1005,0))</f>
        <v xml:space="preserve"> </v>
      </c>
      <c r="M275">
        <f t="shared" si="26"/>
        <v>0</v>
      </c>
      <c r="N275">
        <f t="shared" si="24"/>
        <v>0</v>
      </c>
      <c r="P275" t="e">
        <f>INDEX(Items!B$2:B$1032,MATCH($O275,Items!$A$2:$A$1032,0))</f>
        <v>#N/A</v>
      </c>
      <c r="Q275" t="e">
        <f>INDEX(Items!C$2:C$1032,MATCH($O275,Items!$A$2:$A$1032,0))</f>
        <v>#N/A</v>
      </c>
      <c r="R275" t="e">
        <f>INDEX(Items!D$2:D$1032,MATCH($O275,Items!$A$2:$A$1032,0))</f>
        <v>#N/A</v>
      </c>
    </row>
    <row r="276" spans="1:18" x14ac:dyDescent="0.25">
      <c r="A276">
        <f t="shared" si="22"/>
        <v>1</v>
      </c>
      <c r="B276" t="str">
        <f t="shared" si="23"/>
        <v/>
      </c>
      <c r="C276">
        <f t="shared" si="25"/>
        <v>1</v>
      </c>
      <c r="D276" s="4"/>
      <c r="E276" t="s">
        <v>18</v>
      </c>
      <c r="F276" t="str">
        <f>INDEX(Establishment!B$2:B$1005,MATCH($E276,Establishment!$A$2:$A$1005,0))</f>
        <v xml:space="preserve"> </v>
      </c>
      <c r="G276" t="str">
        <f>INDEX(Establishment!C$2:C$1005,MATCH($E276,Establishment!$A$2:$A$1005,0))</f>
        <v xml:space="preserve"> </v>
      </c>
      <c r="M276">
        <f t="shared" si="26"/>
        <v>0</v>
      </c>
      <c r="N276">
        <f t="shared" si="24"/>
        <v>0</v>
      </c>
      <c r="P276" t="e">
        <f>INDEX(Items!B$2:B$1032,MATCH($O276,Items!$A$2:$A$1032,0))</f>
        <v>#N/A</v>
      </c>
      <c r="Q276" t="e">
        <f>INDEX(Items!C$2:C$1032,MATCH($O276,Items!$A$2:$A$1032,0))</f>
        <v>#N/A</v>
      </c>
      <c r="R276" t="e">
        <f>INDEX(Items!D$2:D$1032,MATCH($O276,Items!$A$2:$A$1032,0))</f>
        <v>#N/A</v>
      </c>
    </row>
    <row r="277" spans="1:18" x14ac:dyDescent="0.25">
      <c r="A277">
        <f t="shared" si="22"/>
        <v>1</v>
      </c>
      <c r="B277" t="str">
        <f t="shared" si="23"/>
        <v/>
      </c>
      <c r="C277">
        <f t="shared" si="25"/>
        <v>1</v>
      </c>
      <c r="D277" s="4"/>
      <c r="E277" t="s">
        <v>18</v>
      </c>
      <c r="F277" t="str">
        <f>INDEX(Establishment!B$2:B$1005,MATCH($E277,Establishment!$A$2:$A$1005,0))</f>
        <v xml:space="preserve"> </v>
      </c>
      <c r="G277" t="str">
        <f>INDEX(Establishment!C$2:C$1005,MATCH($E277,Establishment!$A$2:$A$1005,0))</f>
        <v xml:space="preserve"> </v>
      </c>
      <c r="M277">
        <f t="shared" si="26"/>
        <v>0</v>
      </c>
      <c r="N277">
        <f t="shared" si="24"/>
        <v>0</v>
      </c>
      <c r="P277" t="e">
        <f>INDEX(Items!B$2:B$1032,MATCH($O277,Items!$A$2:$A$1032,0))</f>
        <v>#N/A</v>
      </c>
      <c r="Q277" t="e">
        <f>INDEX(Items!C$2:C$1032,MATCH($O277,Items!$A$2:$A$1032,0))</f>
        <v>#N/A</v>
      </c>
      <c r="R277" t="e">
        <f>INDEX(Items!D$2:D$1032,MATCH($O277,Items!$A$2:$A$1032,0))</f>
        <v>#N/A</v>
      </c>
    </row>
    <row r="278" spans="1:18" x14ac:dyDescent="0.25">
      <c r="A278">
        <f t="shared" si="22"/>
        <v>1</v>
      </c>
      <c r="B278" t="str">
        <f t="shared" si="23"/>
        <v/>
      </c>
      <c r="C278">
        <f t="shared" si="25"/>
        <v>1</v>
      </c>
      <c r="D278" s="4"/>
      <c r="E278" t="s">
        <v>18</v>
      </c>
      <c r="F278" t="str">
        <f>INDEX(Establishment!B$2:B$1005,MATCH($E278,Establishment!$A$2:$A$1005,0))</f>
        <v xml:space="preserve"> </v>
      </c>
      <c r="G278" t="str">
        <f>INDEX(Establishment!C$2:C$1005,MATCH($E278,Establishment!$A$2:$A$1005,0))</f>
        <v xml:space="preserve"> </v>
      </c>
      <c r="M278">
        <f t="shared" si="26"/>
        <v>0</v>
      </c>
      <c r="N278">
        <f t="shared" si="24"/>
        <v>0</v>
      </c>
      <c r="P278" t="e">
        <f>INDEX(Items!B$2:B$1032,MATCH($O278,Items!$A$2:$A$1032,0))</f>
        <v>#N/A</v>
      </c>
      <c r="Q278" t="e">
        <f>INDEX(Items!C$2:C$1032,MATCH($O278,Items!$A$2:$A$1032,0))</f>
        <v>#N/A</v>
      </c>
      <c r="R278" t="e">
        <f>INDEX(Items!D$2:D$1032,MATCH($O278,Items!$A$2:$A$1032,0))</f>
        <v>#N/A</v>
      </c>
    </row>
    <row r="279" spans="1:18" x14ac:dyDescent="0.25">
      <c r="A279">
        <f t="shared" si="22"/>
        <v>1</v>
      </c>
      <c r="B279" t="str">
        <f t="shared" si="23"/>
        <v/>
      </c>
      <c r="C279">
        <f t="shared" si="25"/>
        <v>1</v>
      </c>
      <c r="D279" s="4"/>
      <c r="E279" t="s">
        <v>18</v>
      </c>
      <c r="F279" t="str">
        <f>INDEX(Establishment!B$2:B$1005,MATCH($E279,Establishment!$A$2:$A$1005,0))</f>
        <v xml:space="preserve"> </v>
      </c>
      <c r="G279" t="str">
        <f>INDEX(Establishment!C$2:C$1005,MATCH($E279,Establishment!$A$2:$A$1005,0))</f>
        <v xml:space="preserve"> </v>
      </c>
      <c r="M279">
        <f t="shared" si="26"/>
        <v>0</v>
      </c>
      <c r="N279">
        <f t="shared" si="24"/>
        <v>0</v>
      </c>
      <c r="P279" t="e">
        <f>INDEX(Items!B$2:B$1032,MATCH($O279,Items!$A$2:$A$1032,0))</f>
        <v>#N/A</v>
      </c>
      <c r="Q279" t="e">
        <f>INDEX(Items!C$2:C$1032,MATCH($O279,Items!$A$2:$A$1032,0))</f>
        <v>#N/A</v>
      </c>
      <c r="R279" t="e">
        <f>INDEX(Items!D$2:D$1032,MATCH($O279,Items!$A$2:$A$1032,0))</f>
        <v>#N/A</v>
      </c>
    </row>
    <row r="280" spans="1:18" x14ac:dyDescent="0.25">
      <c r="A280">
        <f t="shared" si="22"/>
        <v>1</v>
      </c>
      <c r="B280" t="str">
        <f t="shared" si="23"/>
        <v/>
      </c>
      <c r="C280">
        <f t="shared" si="25"/>
        <v>1</v>
      </c>
      <c r="D280" s="4"/>
      <c r="E280" t="s">
        <v>18</v>
      </c>
      <c r="F280" t="str">
        <f>INDEX(Establishment!B$2:B$1005,MATCH($E280,Establishment!$A$2:$A$1005,0))</f>
        <v xml:space="preserve"> </v>
      </c>
      <c r="G280" t="str">
        <f>INDEX(Establishment!C$2:C$1005,MATCH($E280,Establishment!$A$2:$A$1005,0))</f>
        <v xml:space="preserve"> </v>
      </c>
      <c r="M280">
        <f t="shared" si="26"/>
        <v>0</v>
      </c>
      <c r="N280">
        <f t="shared" si="24"/>
        <v>0</v>
      </c>
      <c r="P280" t="e">
        <f>INDEX(Items!B$2:B$1032,MATCH($O280,Items!$A$2:$A$1032,0))</f>
        <v>#N/A</v>
      </c>
      <c r="Q280" t="e">
        <f>INDEX(Items!C$2:C$1032,MATCH($O280,Items!$A$2:$A$1032,0))</f>
        <v>#N/A</v>
      </c>
      <c r="R280" t="e">
        <f>INDEX(Items!D$2:D$1032,MATCH($O280,Items!$A$2:$A$1032,0))</f>
        <v>#N/A</v>
      </c>
    </row>
    <row r="281" spans="1:18" x14ac:dyDescent="0.25">
      <c r="A281">
        <f t="shared" si="22"/>
        <v>1</v>
      </c>
      <c r="B281" t="str">
        <f t="shared" si="23"/>
        <v/>
      </c>
      <c r="C281">
        <f t="shared" si="25"/>
        <v>1</v>
      </c>
      <c r="D281" s="4"/>
      <c r="E281" t="s">
        <v>18</v>
      </c>
      <c r="F281" t="str">
        <f>INDEX(Establishment!B$2:B$1005,MATCH($E281,Establishment!$A$2:$A$1005,0))</f>
        <v xml:space="preserve"> </v>
      </c>
      <c r="G281" t="str">
        <f>INDEX(Establishment!C$2:C$1005,MATCH($E281,Establishment!$A$2:$A$1005,0))</f>
        <v xml:space="preserve"> </v>
      </c>
      <c r="M281">
        <f t="shared" si="26"/>
        <v>0</v>
      </c>
      <c r="N281">
        <f t="shared" si="24"/>
        <v>0</v>
      </c>
      <c r="P281" t="e">
        <f>INDEX(Items!B$2:B$1032,MATCH($O281,Items!$A$2:$A$1032,0))</f>
        <v>#N/A</v>
      </c>
      <c r="Q281" t="e">
        <f>INDEX(Items!C$2:C$1032,MATCH($O281,Items!$A$2:$A$1032,0))</f>
        <v>#N/A</v>
      </c>
      <c r="R281" t="e">
        <f>INDEX(Items!D$2:D$1032,MATCH($O281,Items!$A$2:$A$1032,0))</f>
        <v>#N/A</v>
      </c>
    </row>
    <row r="282" spans="1:18" x14ac:dyDescent="0.25">
      <c r="A282">
        <f t="shared" si="22"/>
        <v>1</v>
      </c>
      <c r="B282" t="str">
        <f t="shared" si="23"/>
        <v/>
      </c>
      <c r="C282">
        <f t="shared" si="25"/>
        <v>1</v>
      </c>
      <c r="D282" s="4"/>
      <c r="E282" t="s">
        <v>18</v>
      </c>
      <c r="F282" t="str">
        <f>INDEX(Establishment!B$2:B$1005,MATCH($E282,Establishment!$A$2:$A$1005,0))</f>
        <v xml:space="preserve"> </v>
      </c>
      <c r="G282" t="str">
        <f>INDEX(Establishment!C$2:C$1005,MATCH($E282,Establishment!$A$2:$A$1005,0))</f>
        <v xml:space="preserve"> </v>
      </c>
      <c r="M282">
        <f t="shared" si="26"/>
        <v>0</v>
      </c>
      <c r="N282">
        <f t="shared" si="24"/>
        <v>0</v>
      </c>
      <c r="P282" t="e">
        <f>INDEX(Items!B$2:B$1032,MATCH($O282,Items!$A$2:$A$1032,0))</f>
        <v>#N/A</v>
      </c>
      <c r="Q282" t="e">
        <f>INDEX(Items!C$2:C$1032,MATCH($O282,Items!$A$2:$A$1032,0))</f>
        <v>#N/A</v>
      </c>
      <c r="R282" t="e">
        <f>INDEX(Items!D$2:D$1032,MATCH($O282,Items!$A$2:$A$1032,0))</f>
        <v>#N/A</v>
      </c>
    </row>
    <row r="283" spans="1:18" x14ac:dyDescent="0.25">
      <c r="A283">
        <f t="shared" si="22"/>
        <v>1</v>
      </c>
      <c r="B283" t="str">
        <f t="shared" si="23"/>
        <v/>
      </c>
      <c r="C283">
        <f t="shared" si="25"/>
        <v>1</v>
      </c>
      <c r="D283" s="4"/>
      <c r="E283" t="s">
        <v>18</v>
      </c>
      <c r="F283" t="str">
        <f>INDEX(Establishment!B$2:B$1005,MATCH($E283,Establishment!$A$2:$A$1005,0))</f>
        <v xml:space="preserve"> </v>
      </c>
      <c r="G283" t="str">
        <f>INDEX(Establishment!C$2:C$1005,MATCH($E283,Establishment!$A$2:$A$1005,0))</f>
        <v xml:space="preserve"> </v>
      </c>
      <c r="M283">
        <f t="shared" si="26"/>
        <v>0</v>
      </c>
      <c r="N283">
        <f t="shared" si="24"/>
        <v>0</v>
      </c>
      <c r="P283" t="e">
        <f>INDEX(Items!B$2:B$1032,MATCH($O283,Items!$A$2:$A$1032,0))</f>
        <v>#N/A</v>
      </c>
      <c r="Q283" t="e">
        <f>INDEX(Items!C$2:C$1032,MATCH($O283,Items!$A$2:$A$1032,0))</f>
        <v>#N/A</v>
      </c>
      <c r="R283" t="e">
        <f>INDEX(Items!D$2:D$1032,MATCH($O283,Items!$A$2:$A$1032,0))</f>
        <v>#N/A</v>
      </c>
    </row>
    <row r="284" spans="1:18" x14ac:dyDescent="0.25">
      <c r="A284">
        <f t="shared" si="22"/>
        <v>1</v>
      </c>
      <c r="B284" t="str">
        <f t="shared" si="23"/>
        <v/>
      </c>
      <c r="C284">
        <f t="shared" si="25"/>
        <v>1</v>
      </c>
      <c r="D284" s="4"/>
      <c r="E284" t="s">
        <v>18</v>
      </c>
      <c r="F284" t="str">
        <f>INDEX(Establishment!B$2:B$1005,MATCH($E284,Establishment!$A$2:$A$1005,0))</f>
        <v xml:space="preserve"> </v>
      </c>
      <c r="G284" t="str">
        <f>INDEX(Establishment!C$2:C$1005,MATCH($E284,Establishment!$A$2:$A$1005,0))</f>
        <v xml:space="preserve"> </v>
      </c>
      <c r="M284">
        <f t="shared" si="26"/>
        <v>0</v>
      </c>
      <c r="N284">
        <f t="shared" si="24"/>
        <v>0</v>
      </c>
      <c r="P284" t="e">
        <f>INDEX(Items!B$2:B$1032,MATCH($O284,Items!$A$2:$A$1032,0))</f>
        <v>#N/A</v>
      </c>
      <c r="Q284" t="e">
        <f>INDEX(Items!C$2:C$1032,MATCH($O284,Items!$A$2:$A$1032,0))</f>
        <v>#N/A</v>
      </c>
      <c r="R284" t="e">
        <f>INDEX(Items!D$2:D$1032,MATCH($O284,Items!$A$2:$A$1032,0))</f>
        <v>#N/A</v>
      </c>
    </row>
    <row r="285" spans="1:18" x14ac:dyDescent="0.25">
      <c r="A285">
        <f t="shared" si="22"/>
        <v>1</v>
      </c>
      <c r="B285" t="str">
        <f t="shared" si="23"/>
        <v/>
      </c>
      <c r="C285">
        <f t="shared" si="25"/>
        <v>1</v>
      </c>
      <c r="D285" s="4"/>
      <c r="E285" t="s">
        <v>18</v>
      </c>
      <c r="F285" t="str">
        <f>INDEX(Establishment!B$2:B$1005,MATCH($E285,Establishment!$A$2:$A$1005,0))</f>
        <v xml:space="preserve"> </v>
      </c>
      <c r="G285" t="str">
        <f>INDEX(Establishment!C$2:C$1005,MATCH($E285,Establishment!$A$2:$A$1005,0))</f>
        <v xml:space="preserve"> </v>
      </c>
      <c r="M285">
        <f t="shared" si="26"/>
        <v>0</v>
      </c>
      <c r="N285">
        <f t="shared" si="24"/>
        <v>0</v>
      </c>
      <c r="P285" t="e">
        <f>INDEX(Items!B$2:B$1032,MATCH($O285,Items!$A$2:$A$1032,0))</f>
        <v>#N/A</v>
      </c>
      <c r="Q285" t="e">
        <f>INDEX(Items!C$2:C$1032,MATCH($O285,Items!$A$2:$A$1032,0))</f>
        <v>#N/A</v>
      </c>
      <c r="R285" t="e">
        <f>INDEX(Items!D$2:D$1032,MATCH($O285,Items!$A$2:$A$1032,0))</f>
        <v>#N/A</v>
      </c>
    </row>
    <row r="286" spans="1:18" x14ac:dyDescent="0.25">
      <c r="A286">
        <f t="shared" si="22"/>
        <v>1</v>
      </c>
      <c r="B286" t="str">
        <f t="shared" si="23"/>
        <v/>
      </c>
      <c r="C286">
        <f t="shared" si="25"/>
        <v>1</v>
      </c>
      <c r="D286" s="4"/>
      <c r="E286" t="s">
        <v>18</v>
      </c>
      <c r="F286" t="str">
        <f>INDEX(Establishment!B$2:B$1005,MATCH($E286,Establishment!$A$2:$A$1005,0))</f>
        <v xml:space="preserve"> </v>
      </c>
      <c r="G286" t="str">
        <f>INDEX(Establishment!C$2:C$1005,MATCH($E286,Establishment!$A$2:$A$1005,0))</f>
        <v xml:space="preserve"> </v>
      </c>
      <c r="M286">
        <f t="shared" si="26"/>
        <v>0</v>
      </c>
      <c r="N286">
        <f t="shared" si="24"/>
        <v>0</v>
      </c>
      <c r="P286" t="e">
        <f>INDEX(Items!B$2:B$1032,MATCH($O286,Items!$A$2:$A$1032,0))</f>
        <v>#N/A</v>
      </c>
      <c r="Q286" t="e">
        <f>INDEX(Items!C$2:C$1032,MATCH($O286,Items!$A$2:$A$1032,0))</f>
        <v>#N/A</v>
      </c>
      <c r="R286" t="e">
        <f>INDEX(Items!D$2:D$1032,MATCH($O286,Items!$A$2:$A$1032,0))</f>
        <v>#N/A</v>
      </c>
    </row>
    <row r="287" spans="1:18" x14ac:dyDescent="0.25">
      <c r="A287">
        <f t="shared" si="22"/>
        <v>1</v>
      </c>
      <c r="B287" t="str">
        <f t="shared" si="23"/>
        <v/>
      </c>
      <c r="C287">
        <f t="shared" si="25"/>
        <v>1</v>
      </c>
      <c r="D287" s="4"/>
      <c r="E287" t="s">
        <v>18</v>
      </c>
      <c r="F287" t="str">
        <f>INDEX(Establishment!B$2:B$1005,MATCH($E287,Establishment!$A$2:$A$1005,0))</f>
        <v xml:space="preserve"> </v>
      </c>
      <c r="G287" t="str">
        <f>INDEX(Establishment!C$2:C$1005,MATCH($E287,Establishment!$A$2:$A$1005,0))</f>
        <v xml:space="preserve"> </v>
      </c>
      <c r="M287">
        <f t="shared" si="26"/>
        <v>0</v>
      </c>
      <c r="N287">
        <f t="shared" si="24"/>
        <v>0</v>
      </c>
      <c r="P287" t="e">
        <f>INDEX(Items!B$2:B$1032,MATCH($O287,Items!$A$2:$A$1032,0))</f>
        <v>#N/A</v>
      </c>
      <c r="Q287" t="e">
        <f>INDEX(Items!C$2:C$1032,MATCH($O287,Items!$A$2:$A$1032,0))</f>
        <v>#N/A</v>
      </c>
      <c r="R287" t="e">
        <f>INDEX(Items!D$2:D$1032,MATCH($O287,Items!$A$2:$A$1032,0))</f>
        <v>#N/A</v>
      </c>
    </row>
    <row r="288" spans="1:18" x14ac:dyDescent="0.25">
      <c r="A288">
        <f t="shared" si="22"/>
        <v>1</v>
      </c>
      <c r="B288" t="str">
        <f t="shared" si="23"/>
        <v/>
      </c>
      <c r="C288">
        <f t="shared" si="25"/>
        <v>1</v>
      </c>
      <c r="D288" s="4"/>
      <c r="E288" t="s">
        <v>18</v>
      </c>
      <c r="F288" t="str">
        <f>INDEX(Establishment!B$2:B$1005,MATCH($E288,Establishment!$A$2:$A$1005,0))</f>
        <v xml:space="preserve"> </v>
      </c>
      <c r="G288" t="str">
        <f>INDEX(Establishment!C$2:C$1005,MATCH($E288,Establishment!$A$2:$A$1005,0))</f>
        <v xml:space="preserve"> </v>
      </c>
      <c r="M288">
        <f t="shared" si="26"/>
        <v>0</v>
      </c>
      <c r="N288">
        <f t="shared" si="24"/>
        <v>0</v>
      </c>
      <c r="P288" t="e">
        <f>INDEX(Items!B$2:B$1032,MATCH($O288,Items!$A$2:$A$1032,0))</f>
        <v>#N/A</v>
      </c>
      <c r="Q288" t="e">
        <f>INDEX(Items!C$2:C$1032,MATCH($O288,Items!$A$2:$A$1032,0))</f>
        <v>#N/A</v>
      </c>
      <c r="R288" t="e">
        <f>INDEX(Items!D$2:D$1032,MATCH($O288,Items!$A$2:$A$1032,0))</f>
        <v>#N/A</v>
      </c>
    </row>
    <row r="289" spans="1:18" x14ac:dyDescent="0.25">
      <c r="A289">
        <f t="shared" si="22"/>
        <v>1</v>
      </c>
      <c r="B289" t="str">
        <f t="shared" si="23"/>
        <v/>
      </c>
      <c r="C289">
        <f t="shared" si="25"/>
        <v>1</v>
      </c>
      <c r="D289" s="4"/>
      <c r="E289" t="s">
        <v>18</v>
      </c>
      <c r="F289" t="str">
        <f>INDEX(Establishment!B$2:B$1005,MATCH($E289,Establishment!$A$2:$A$1005,0))</f>
        <v xml:space="preserve"> </v>
      </c>
      <c r="G289" t="str">
        <f>INDEX(Establishment!C$2:C$1005,MATCH($E289,Establishment!$A$2:$A$1005,0))</f>
        <v xml:space="preserve"> </v>
      </c>
      <c r="M289">
        <f t="shared" si="26"/>
        <v>0</v>
      </c>
      <c r="N289">
        <f t="shared" si="24"/>
        <v>0</v>
      </c>
      <c r="P289" t="e">
        <f>INDEX(Items!B$2:B$1032,MATCH($O289,Items!$A$2:$A$1032,0))</f>
        <v>#N/A</v>
      </c>
      <c r="Q289" t="e">
        <f>INDEX(Items!C$2:C$1032,MATCH($O289,Items!$A$2:$A$1032,0))</f>
        <v>#N/A</v>
      </c>
      <c r="R289" t="e">
        <f>INDEX(Items!D$2:D$1032,MATCH($O289,Items!$A$2:$A$1032,0))</f>
        <v>#N/A</v>
      </c>
    </row>
    <row r="290" spans="1:18" x14ac:dyDescent="0.25">
      <c r="A290">
        <f t="shared" si="22"/>
        <v>1</v>
      </c>
      <c r="B290" t="str">
        <f t="shared" si="23"/>
        <v/>
      </c>
      <c r="C290">
        <f t="shared" si="25"/>
        <v>1</v>
      </c>
      <c r="D290" s="4"/>
      <c r="E290" t="s">
        <v>18</v>
      </c>
      <c r="F290" t="str">
        <f>INDEX(Establishment!B$2:B$1005,MATCH($E290,Establishment!$A$2:$A$1005,0))</f>
        <v xml:space="preserve"> </v>
      </c>
      <c r="G290" t="str">
        <f>INDEX(Establishment!C$2:C$1005,MATCH($E290,Establishment!$A$2:$A$1005,0))</f>
        <v xml:space="preserve"> </v>
      </c>
      <c r="M290">
        <f t="shared" si="26"/>
        <v>0</v>
      </c>
      <c r="N290">
        <f t="shared" si="24"/>
        <v>0</v>
      </c>
      <c r="P290" t="e">
        <f>INDEX(Items!B$2:B$1032,MATCH($O290,Items!$A$2:$A$1032,0))</f>
        <v>#N/A</v>
      </c>
      <c r="Q290" t="e">
        <f>INDEX(Items!C$2:C$1032,MATCH($O290,Items!$A$2:$A$1032,0))</f>
        <v>#N/A</v>
      </c>
      <c r="R290" t="e">
        <f>INDEX(Items!D$2:D$1032,MATCH($O290,Items!$A$2:$A$1032,0))</f>
        <v>#N/A</v>
      </c>
    </row>
    <row r="291" spans="1:18" x14ac:dyDescent="0.25">
      <c r="A291">
        <f t="shared" si="22"/>
        <v>1</v>
      </c>
      <c r="B291" t="str">
        <f t="shared" si="23"/>
        <v/>
      </c>
      <c r="C291">
        <f t="shared" si="25"/>
        <v>1</v>
      </c>
      <c r="D291" s="4"/>
      <c r="E291" t="s">
        <v>18</v>
      </c>
      <c r="F291" t="str">
        <f>INDEX(Establishment!B$2:B$1005,MATCH($E291,Establishment!$A$2:$A$1005,0))</f>
        <v xml:space="preserve"> </v>
      </c>
      <c r="G291" t="str">
        <f>INDEX(Establishment!C$2:C$1005,MATCH($E291,Establishment!$A$2:$A$1005,0))</f>
        <v xml:space="preserve"> </v>
      </c>
      <c r="M291">
        <f t="shared" si="26"/>
        <v>0</v>
      </c>
      <c r="N291">
        <f t="shared" si="24"/>
        <v>0</v>
      </c>
      <c r="P291" t="e">
        <f>INDEX(Items!B$2:B$1032,MATCH($O291,Items!$A$2:$A$1032,0))</f>
        <v>#N/A</v>
      </c>
      <c r="Q291" t="e">
        <f>INDEX(Items!C$2:C$1032,MATCH($O291,Items!$A$2:$A$1032,0))</f>
        <v>#N/A</v>
      </c>
      <c r="R291" t="e">
        <f>INDEX(Items!D$2:D$1032,MATCH($O291,Items!$A$2:$A$1032,0))</f>
        <v>#N/A</v>
      </c>
    </row>
    <row r="292" spans="1:18" x14ac:dyDescent="0.25">
      <c r="A292">
        <f t="shared" si="22"/>
        <v>1</v>
      </c>
      <c r="B292" t="str">
        <f t="shared" si="23"/>
        <v/>
      </c>
      <c r="C292">
        <f t="shared" si="25"/>
        <v>1</v>
      </c>
      <c r="D292" s="4"/>
      <c r="E292" t="s">
        <v>18</v>
      </c>
      <c r="F292" t="str">
        <f>INDEX(Establishment!B$2:B$1005,MATCH($E292,Establishment!$A$2:$A$1005,0))</f>
        <v xml:space="preserve"> </v>
      </c>
      <c r="G292" t="str">
        <f>INDEX(Establishment!C$2:C$1005,MATCH($E292,Establishment!$A$2:$A$1005,0))</f>
        <v xml:space="preserve"> </v>
      </c>
      <c r="M292">
        <f t="shared" si="26"/>
        <v>0</v>
      </c>
      <c r="N292">
        <f t="shared" si="24"/>
        <v>0</v>
      </c>
      <c r="P292" t="e">
        <f>INDEX(Items!B$2:B$1032,MATCH($O292,Items!$A$2:$A$1032,0))</f>
        <v>#N/A</v>
      </c>
      <c r="Q292" t="e">
        <f>INDEX(Items!C$2:C$1032,MATCH($O292,Items!$A$2:$A$1032,0))</f>
        <v>#N/A</v>
      </c>
      <c r="R292" t="e">
        <f>INDEX(Items!D$2:D$1032,MATCH($O292,Items!$A$2:$A$1032,0))</f>
        <v>#N/A</v>
      </c>
    </row>
    <row r="293" spans="1:18" x14ac:dyDescent="0.25">
      <c r="A293">
        <f t="shared" si="22"/>
        <v>1</v>
      </c>
      <c r="B293" t="str">
        <f t="shared" si="23"/>
        <v/>
      </c>
      <c r="C293">
        <f t="shared" si="25"/>
        <v>1</v>
      </c>
      <c r="D293" s="4"/>
      <c r="E293" t="s">
        <v>18</v>
      </c>
      <c r="F293" t="str">
        <f>INDEX(Establishment!B$2:B$1005,MATCH($E293,Establishment!$A$2:$A$1005,0))</f>
        <v xml:space="preserve"> </v>
      </c>
      <c r="G293" t="str">
        <f>INDEX(Establishment!C$2:C$1005,MATCH($E293,Establishment!$A$2:$A$1005,0))</f>
        <v xml:space="preserve"> </v>
      </c>
      <c r="M293">
        <f t="shared" si="26"/>
        <v>0</v>
      </c>
      <c r="N293">
        <f t="shared" si="24"/>
        <v>0</v>
      </c>
      <c r="P293" t="e">
        <f>INDEX(Items!B$2:B$1032,MATCH($O293,Items!$A$2:$A$1032,0))</f>
        <v>#N/A</v>
      </c>
      <c r="Q293" t="e">
        <f>INDEX(Items!C$2:C$1032,MATCH($O293,Items!$A$2:$A$1032,0))</f>
        <v>#N/A</v>
      </c>
      <c r="R293" t="e">
        <f>INDEX(Items!D$2:D$1032,MATCH($O293,Items!$A$2:$A$1032,0))</f>
        <v>#N/A</v>
      </c>
    </row>
    <row r="294" spans="1:18" x14ac:dyDescent="0.25">
      <c r="A294">
        <f t="shared" si="22"/>
        <v>1</v>
      </c>
      <c r="B294" t="str">
        <f t="shared" si="23"/>
        <v/>
      </c>
      <c r="C294">
        <f t="shared" si="25"/>
        <v>1</v>
      </c>
      <c r="D294" s="4"/>
      <c r="E294" t="s">
        <v>18</v>
      </c>
      <c r="F294" t="str">
        <f>INDEX(Establishment!B$2:B$1005,MATCH($E294,Establishment!$A$2:$A$1005,0))</f>
        <v xml:space="preserve"> </v>
      </c>
      <c r="G294" t="str">
        <f>INDEX(Establishment!C$2:C$1005,MATCH($E294,Establishment!$A$2:$A$1005,0))</f>
        <v xml:space="preserve"> </v>
      </c>
      <c r="M294">
        <f t="shared" si="26"/>
        <v>0</v>
      </c>
      <c r="N294">
        <f t="shared" si="24"/>
        <v>0</v>
      </c>
      <c r="P294" t="e">
        <f>INDEX(Items!B$2:B$1032,MATCH($O294,Items!$A$2:$A$1032,0))</f>
        <v>#N/A</v>
      </c>
      <c r="Q294" t="e">
        <f>INDEX(Items!C$2:C$1032,MATCH($O294,Items!$A$2:$A$1032,0))</f>
        <v>#N/A</v>
      </c>
      <c r="R294" t="e">
        <f>INDEX(Items!D$2:D$1032,MATCH($O294,Items!$A$2:$A$1032,0))</f>
        <v>#N/A</v>
      </c>
    </row>
    <row r="295" spans="1:18" x14ac:dyDescent="0.25">
      <c r="A295">
        <f t="shared" si="22"/>
        <v>1</v>
      </c>
      <c r="B295" t="str">
        <f t="shared" si="23"/>
        <v/>
      </c>
      <c r="C295">
        <f t="shared" si="25"/>
        <v>1</v>
      </c>
      <c r="D295" s="4"/>
      <c r="E295" t="s">
        <v>18</v>
      </c>
      <c r="F295" t="str">
        <f>INDEX(Establishment!B$2:B$1005,MATCH($E295,Establishment!$A$2:$A$1005,0))</f>
        <v xml:space="preserve"> </v>
      </c>
      <c r="G295" t="str">
        <f>INDEX(Establishment!C$2:C$1005,MATCH($E295,Establishment!$A$2:$A$1005,0))</f>
        <v xml:space="preserve"> </v>
      </c>
      <c r="M295">
        <f t="shared" si="26"/>
        <v>0</v>
      </c>
      <c r="N295">
        <f t="shared" si="24"/>
        <v>0</v>
      </c>
      <c r="P295" t="e">
        <f>INDEX(Items!B$2:B$1032,MATCH($O295,Items!$A$2:$A$1032,0))</f>
        <v>#N/A</v>
      </c>
      <c r="Q295" t="e">
        <f>INDEX(Items!C$2:C$1032,MATCH($O295,Items!$A$2:$A$1032,0))</f>
        <v>#N/A</v>
      </c>
      <c r="R295" t="e">
        <f>INDEX(Items!D$2:D$1032,MATCH($O295,Items!$A$2:$A$1032,0))</f>
        <v>#N/A</v>
      </c>
    </row>
    <row r="296" spans="1:18" x14ac:dyDescent="0.25">
      <c r="A296">
        <f t="shared" si="22"/>
        <v>1</v>
      </c>
      <c r="B296" t="str">
        <f t="shared" si="23"/>
        <v/>
      </c>
      <c r="C296">
        <f t="shared" si="25"/>
        <v>1</v>
      </c>
      <c r="D296" s="4"/>
      <c r="E296" t="s">
        <v>18</v>
      </c>
      <c r="F296" t="str">
        <f>INDEX(Establishment!B$2:B$1005,MATCH($E296,Establishment!$A$2:$A$1005,0))</f>
        <v xml:space="preserve"> </v>
      </c>
      <c r="G296" t="str">
        <f>INDEX(Establishment!C$2:C$1005,MATCH($E296,Establishment!$A$2:$A$1005,0))</f>
        <v xml:space="preserve"> </v>
      </c>
      <c r="M296">
        <f t="shared" si="26"/>
        <v>0</v>
      </c>
      <c r="N296">
        <f t="shared" si="24"/>
        <v>0</v>
      </c>
      <c r="P296" t="e">
        <f>INDEX(Items!B$2:B$1032,MATCH($O296,Items!$A$2:$A$1032,0))</f>
        <v>#N/A</v>
      </c>
      <c r="Q296" t="e">
        <f>INDEX(Items!C$2:C$1032,MATCH($O296,Items!$A$2:$A$1032,0))</f>
        <v>#N/A</v>
      </c>
      <c r="R296" t="e">
        <f>INDEX(Items!D$2:D$1032,MATCH($O296,Items!$A$2:$A$1032,0))</f>
        <v>#N/A</v>
      </c>
    </row>
    <row r="297" spans="1:18" x14ac:dyDescent="0.25">
      <c r="A297">
        <f t="shared" si="22"/>
        <v>1</v>
      </c>
      <c r="B297" t="str">
        <f t="shared" si="23"/>
        <v/>
      </c>
      <c r="C297">
        <f t="shared" si="25"/>
        <v>1</v>
      </c>
      <c r="D297" s="4"/>
      <c r="E297" t="s">
        <v>18</v>
      </c>
      <c r="F297" t="str">
        <f>INDEX(Establishment!B$2:B$1005,MATCH($E297,Establishment!$A$2:$A$1005,0))</f>
        <v xml:space="preserve"> </v>
      </c>
      <c r="G297" t="str">
        <f>INDEX(Establishment!C$2:C$1005,MATCH($E297,Establishment!$A$2:$A$1005,0))</f>
        <v xml:space="preserve"> </v>
      </c>
      <c r="M297">
        <f t="shared" si="26"/>
        <v>0</v>
      </c>
      <c r="N297">
        <f t="shared" si="24"/>
        <v>0</v>
      </c>
      <c r="P297" t="e">
        <f>INDEX(Items!B$2:B$1032,MATCH($O297,Items!$A$2:$A$1032,0))</f>
        <v>#N/A</v>
      </c>
      <c r="Q297" t="e">
        <f>INDEX(Items!C$2:C$1032,MATCH($O297,Items!$A$2:$A$1032,0))</f>
        <v>#N/A</v>
      </c>
      <c r="R297" t="e">
        <f>INDEX(Items!D$2:D$1032,MATCH($O297,Items!$A$2:$A$1032,0))</f>
        <v>#N/A</v>
      </c>
    </row>
    <row r="298" spans="1:18" x14ac:dyDescent="0.25">
      <c r="A298">
        <f t="shared" si="22"/>
        <v>1</v>
      </c>
      <c r="B298" t="str">
        <f t="shared" si="23"/>
        <v/>
      </c>
      <c r="C298">
        <f t="shared" si="25"/>
        <v>1</v>
      </c>
      <c r="D298" s="4"/>
      <c r="E298" t="s">
        <v>18</v>
      </c>
      <c r="F298" t="str">
        <f>INDEX(Establishment!B$2:B$1005,MATCH($E298,Establishment!$A$2:$A$1005,0))</f>
        <v xml:space="preserve"> </v>
      </c>
      <c r="G298" t="str">
        <f>INDEX(Establishment!C$2:C$1005,MATCH($E298,Establishment!$A$2:$A$1005,0))</f>
        <v xml:space="preserve"> </v>
      </c>
      <c r="M298">
        <f t="shared" si="26"/>
        <v>0</v>
      </c>
      <c r="N298">
        <f t="shared" si="24"/>
        <v>0</v>
      </c>
      <c r="P298" t="e">
        <f>INDEX(Items!B$2:B$1032,MATCH($O298,Items!$A$2:$A$1032,0))</f>
        <v>#N/A</v>
      </c>
      <c r="Q298" t="e">
        <f>INDEX(Items!C$2:C$1032,MATCH($O298,Items!$A$2:$A$1032,0))</f>
        <v>#N/A</v>
      </c>
      <c r="R298" t="e">
        <f>INDEX(Items!D$2:D$1032,MATCH($O298,Items!$A$2:$A$1032,0))</f>
        <v>#N/A</v>
      </c>
    </row>
    <row r="299" spans="1:18" x14ac:dyDescent="0.25">
      <c r="A299">
        <f t="shared" si="22"/>
        <v>1</v>
      </c>
      <c r="B299" t="str">
        <f t="shared" si="23"/>
        <v/>
      </c>
      <c r="C299">
        <f t="shared" si="25"/>
        <v>1</v>
      </c>
      <c r="D299" s="4"/>
      <c r="E299" t="s">
        <v>18</v>
      </c>
      <c r="F299" t="str">
        <f>INDEX(Establishment!B$2:B$1005,MATCH($E299,Establishment!$A$2:$A$1005,0))</f>
        <v xml:space="preserve"> </v>
      </c>
      <c r="G299" t="str">
        <f>INDEX(Establishment!C$2:C$1005,MATCH($E299,Establishment!$A$2:$A$1005,0))</f>
        <v xml:space="preserve"> </v>
      </c>
      <c r="M299">
        <f t="shared" si="26"/>
        <v>0</v>
      </c>
      <c r="N299">
        <f t="shared" si="24"/>
        <v>0</v>
      </c>
      <c r="P299" t="e">
        <f>INDEX(Items!B$2:B$1032,MATCH($O299,Items!$A$2:$A$1032,0))</f>
        <v>#N/A</v>
      </c>
      <c r="Q299" t="e">
        <f>INDEX(Items!C$2:C$1032,MATCH($O299,Items!$A$2:$A$1032,0))</f>
        <v>#N/A</v>
      </c>
      <c r="R299" t="e">
        <f>INDEX(Items!D$2:D$1032,MATCH($O299,Items!$A$2:$A$1032,0))</f>
        <v>#N/A</v>
      </c>
    </row>
    <row r="300" spans="1:18" x14ac:dyDescent="0.25">
      <c r="A300">
        <f t="shared" si="22"/>
        <v>1</v>
      </c>
      <c r="B300" t="str">
        <f t="shared" si="23"/>
        <v/>
      </c>
      <c r="C300">
        <f t="shared" si="25"/>
        <v>1</v>
      </c>
      <c r="D300" s="4"/>
      <c r="E300" t="s">
        <v>18</v>
      </c>
      <c r="F300" t="str">
        <f>INDEX(Establishment!B$2:B$1005,MATCH($E300,Establishment!$A$2:$A$1005,0))</f>
        <v xml:space="preserve"> </v>
      </c>
      <c r="G300" t="str">
        <f>INDEX(Establishment!C$2:C$1005,MATCH($E300,Establishment!$A$2:$A$1005,0))</f>
        <v xml:space="preserve"> </v>
      </c>
      <c r="M300">
        <f t="shared" si="26"/>
        <v>0</v>
      </c>
      <c r="N300">
        <f t="shared" si="24"/>
        <v>0</v>
      </c>
      <c r="P300" t="e">
        <f>INDEX(Items!B$2:B$1032,MATCH($O300,Items!$A$2:$A$1032,0))</f>
        <v>#N/A</v>
      </c>
      <c r="Q300" t="e">
        <f>INDEX(Items!C$2:C$1032,MATCH($O300,Items!$A$2:$A$1032,0))</f>
        <v>#N/A</v>
      </c>
      <c r="R300" t="e">
        <f>INDEX(Items!D$2:D$1032,MATCH($O300,Items!$A$2:$A$1032,0))</f>
        <v>#N/A</v>
      </c>
    </row>
    <row r="301" spans="1:18" x14ac:dyDescent="0.25">
      <c r="A301">
        <f t="shared" si="22"/>
        <v>1</v>
      </c>
      <c r="B301" t="str">
        <f t="shared" si="23"/>
        <v/>
      </c>
      <c r="C301">
        <f t="shared" si="25"/>
        <v>1</v>
      </c>
      <c r="D301" s="4"/>
      <c r="E301" t="s">
        <v>18</v>
      </c>
      <c r="F301" t="str">
        <f>INDEX(Establishment!B$2:B$1005,MATCH($E301,Establishment!$A$2:$A$1005,0))</f>
        <v xml:space="preserve"> </v>
      </c>
      <c r="G301" t="str">
        <f>INDEX(Establishment!C$2:C$1005,MATCH($E301,Establishment!$A$2:$A$1005,0))</f>
        <v xml:space="preserve"> </v>
      </c>
      <c r="M301">
        <f t="shared" si="26"/>
        <v>0</v>
      </c>
      <c r="N301">
        <f t="shared" si="24"/>
        <v>0</v>
      </c>
      <c r="P301" t="e">
        <f>INDEX(Items!B$2:B$1032,MATCH($O301,Items!$A$2:$A$1032,0))</f>
        <v>#N/A</v>
      </c>
      <c r="Q301" t="e">
        <f>INDEX(Items!C$2:C$1032,MATCH($O301,Items!$A$2:$A$1032,0))</f>
        <v>#N/A</v>
      </c>
      <c r="R301" t="e">
        <f>INDEX(Items!D$2:D$1032,MATCH($O301,Items!$A$2:$A$1032,0))</f>
        <v>#N/A</v>
      </c>
    </row>
    <row r="302" spans="1:18" x14ac:dyDescent="0.25">
      <c r="A302">
        <f t="shared" si="22"/>
        <v>1</v>
      </c>
      <c r="B302" t="str">
        <f t="shared" si="23"/>
        <v/>
      </c>
      <c r="C302">
        <f t="shared" si="25"/>
        <v>1</v>
      </c>
      <c r="D302" s="4"/>
      <c r="E302" t="s">
        <v>18</v>
      </c>
      <c r="F302" t="str">
        <f>INDEX(Establishment!B$2:B$1005,MATCH($E302,Establishment!$A$2:$A$1005,0))</f>
        <v xml:space="preserve"> </v>
      </c>
      <c r="G302" t="str">
        <f>INDEX(Establishment!C$2:C$1005,MATCH($E302,Establishment!$A$2:$A$1005,0))</f>
        <v xml:space="preserve"> </v>
      </c>
      <c r="M302">
        <f t="shared" si="26"/>
        <v>0</v>
      </c>
      <c r="N302">
        <f t="shared" si="24"/>
        <v>0</v>
      </c>
      <c r="P302" t="e">
        <f>INDEX(Items!B$2:B$1032,MATCH($O302,Items!$A$2:$A$1032,0))</f>
        <v>#N/A</v>
      </c>
      <c r="Q302" t="e">
        <f>INDEX(Items!C$2:C$1032,MATCH($O302,Items!$A$2:$A$1032,0))</f>
        <v>#N/A</v>
      </c>
      <c r="R302" t="e">
        <f>INDEX(Items!D$2:D$1032,MATCH($O302,Items!$A$2:$A$1032,0))</f>
        <v>#N/A</v>
      </c>
    </row>
    <row r="303" spans="1:18" x14ac:dyDescent="0.25">
      <c r="A303">
        <f t="shared" si="22"/>
        <v>1</v>
      </c>
      <c r="B303" t="str">
        <f t="shared" si="23"/>
        <v/>
      </c>
      <c r="C303">
        <f t="shared" si="25"/>
        <v>1</v>
      </c>
      <c r="D303" s="4"/>
      <c r="E303" t="s">
        <v>18</v>
      </c>
      <c r="F303" t="str">
        <f>INDEX(Establishment!B$2:B$1005,MATCH($E303,Establishment!$A$2:$A$1005,0))</f>
        <v xml:space="preserve"> </v>
      </c>
      <c r="G303" t="str">
        <f>INDEX(Establishment!C$2:C$1005,MATCH($E303,Establishment!$A$2:$A$1005,0))</f>
        <v xml:space="preserve"> </v>
      </c>
      <c r="M303">
        <f t="shared" si="26"/>
        <v>0</v>
      </c>
      <c r="N303">
        <f t="shared" si="24"/>
        <v>0</v>
      </c>
      <c r="P303" t="e">
        <f>INDEX(Items!B$2:B$1032,MATCH($O303,Items!$A$2:$A$1032,0))</f>
        <v>#N/A</v>
      </c>
      <c r="Q303" t="e">
        <f>INDEX(Items!C$2:C$1032,MATCH($O303,Items!$A$2:$A$1032,0))</f>
        <v>#N/A</v>
      </c>
      <c r="R303" t="e">
        <f>INDEX(Items!D$2:D$1032,MATCH($O303,Items!$A$2:$A$1032,0))</f>
        <v>#N/A</v>
      </c>
    </row>
    <row r="304" spans="1:18" x14ac:dyDescent="0.25">
      <c r="A304">
        <f t="shared" si="22"/>
        <v>1</v>
      </c>
      <c r="B304" t="str">
        <f t="shared" si="23"/>
        <v/>
      </c>
      <c r="C304">
        <f t="shared" si="25"/>
        <v>1</v>
      </c>
      <c r="D304" s="4"/>
      <c r="E304" t="s">
        <v>18</v>
      </c>
      <c r="F304" t="str">
        <f>INDEX(Establishment!B$2:B$1005,MATCH($E304,Establishment!$A$2:$A$1005,0))</f>
        <v xml:space="preserve"> </v>
      </c>
      <c r="G304" t="str">
        <f>INDEX(Establishment!C$2:C$1005,MATCH($E304,Establishment!$A$2:$A$1005,0))</f>
        <v xml:space="preserve"> </v>
      </c>
      <c r="M304">
        <f t="shared" si="26"/>
        <v>0</v>
      </c>
      <c r="N304">
        <f t="shared" si="24"/>
        <v>0</v>
      </c>
      <c r="P304" t="e">
        <f>INDEX(Items!B$2:B$1032,MATCH($O304,Items!$A$2:$A$1032,0))</f>
        <v>#N/A</v>
      </c>
      <c r="Q304" t="e">
        <f>INDEX(Items!C$2:C$1032,MATCH($O304,Items!$A$2:$A$1032,0))</f>
        <v>#N/A</v>
      </c>
      <c r="R304" t="e">
        <f>INDEX(Items!D$2:D$1032,MATCH($O304,Items!$A$2:$A$1032,0))</f>
        <v>#N/A</v>
      </c>
    </row>
    <row r="305" spans="1:18" x14ac:dyDescent="0.25">
      <c r="A305">
        <f t="shared" si="22"/>
        <v>1</v>
      </c>
      <c r="B305" t="str">
        <f t="shared" si="23"/>
        <v/>
      </c>
      <c r="C305">
        <f t="shared" si="25"/>
        <v>1</v>
      </c>
      <c r="D305" s="4"/>
      <c r="E305" t="s">
        <v>18</v>
      </c>
      <c r="F305" t="str">
        <f>INDEX(Establishment!B$2:B$1005,MATCH($E305,Establishment!$A$2:$A$1005,0))</f>
        <v xml:space="preserve"> </v>
      </c>
      <c r="G305" t="str">
        <f>INDEX(Establishment!C$2:C$1005,MATCH($E305,Establishment!$A$2:$A$1005,0))</f>
        <v xml:space="preserve"> </v>
      </c>
      <c r="M305">
        <f t="shared" si="26"/>
        <v>0</v>
      </c>
      <c r="N305">
        <f t="shared" si="24"/>
        <v>0</v>
      </c>
      <c r="P305" t="e">
        <f>INDEX(Items!B$2:B$1032,MATCH($O305,Items!$A$2:$A$1032,0))</f>
        <v>#N/A</v>
      </c>
      <c r="Q305" t="e">
        <f>INDEX(Items!C$2:C$1032,MATCH($O305,Items!$A$2:$A$1032,0))</f>
        <v>#N/A</v>
      </c>
      <c r="R305" t="e">
        <f>INDEX(Items!D$2:D$1032,MATCH($O305,Items!$A$2:$A$1032,0))</f>
        <v>#N/A</v>
      </c>
    </row>
    <row r="306" spans="1:18" x14ac:dyDescent="0.25">
      <c r="A306">
        <f t="shared" si="22"/>
        <v>1</v>
      </c>
      <c r="B306" t="str">
        <f t="shared" si="23"/>
        <v/>
      </c>
      <c r="C306">
        <f t="shared" si="25"/>
        <v>1</v>
      </c>
      <c r="D306" s="4"/>
      <c r="E306" t="s">
        <v>18</v>
      </c>
      <c r="F306" t="str">
        <f>INDEX(Establishment!B$2:B$1005,MATCH($E306,Establishment!$A$2:$A$1005,0))</f>
        <v xml:space="preserve"> </v>
      </c>
      <c r="G306" t="str">
        <f>INDEX(Establishment!C$2:C$1005,MATCH($E306,Establishment!$A$2:$A$1005,0))</f>
        <v xml:space="preserve"> </v>
      </c>
      <c r="M306">
        <f t="shared" si="26"/>
        <v>0</v>
      </c>
      <c r="N306">
        <f t="shared" si="24"/>
        <v>0</v>
      </c>
      <c r="P306" t="e">
        <f>INDEX(Items!B$2:B$1032,MATCH($O306,Items!$A$2:$A$1032,0))</f>
        <v>#N/A</v>
      </c>
      <c r="Q306" t="e">
        <f>INDEX(Items!C$2:C$1032,MATCH($O306,Items!$A$2:$A$1032,0))</f>
        <v>#N/A</v>
      </c>
      <c r="R306" t="e">
        <f>INDEX(Items!D$2:D$1032,MATCH($O306,Items!$A$2:$A$1032,0))</f>
        <v>#N/A</v>
      </c>
    </row>
    <row r="307" spans="1:18" x14ac:dyDescent="0.25">
      <c r="A307">
        <f t="shared" si="22"/>
        <v>1</v>
      </c>
      <c r="B307" t="str">
        <f t="shared" si="23"/>
        <v/>
      </c>
      <c r="C307">
        <f t="shared" si="25"/>
        <v>1</v>
      </c>
      <c r="D307" s="4"/>
      <c r="E307" t="s">
        <v>18</v>
      </c>
      <c r="F307" t="str">
        <f>INDEX(Establishment!B$2:B$1005,MATCH($E307,Establishment!$A$2:$A$1005,0))</f>
        <v xml:space="preserve"> </v>
      </c>
      <c r="G307" t="str">
        <f>INDEX(Establishment!C$2:C$1005,MATCH($E307,Establishment!$A$2:$A$1005,0))</f>
        <v xml:space="preserve"> </v>
      </c>
      <c r="M307">
        <f t="shared" si="26"/>
        <v>0</v>
      </c>
      <c r="N307">
        <f t="shared" si="24"/>
        <v>0</v>
      </c>
      <c r="P307" t="e">
        <f>INDEX(Items!B$2:B$1032,MATCH($O307,Items!$A$2:$A$1032,0))</f>
        <v>#N/A</v>
      </c>
      <c r="Q307" t="e">
        <f>INDEX(Items!C$2:C$1032,MATCH($O307,Items!$A$2:$A$1032,0))</f>
        <v>#N/A</v>
      </c>
      <c r="R307" t="e">
        <f>INDEX(Items!D$2:D$1032,MATCH($O307,Items!$A$2:$A$1032,0))</f>
        <v>#N/A</v>
      </c>
    </row>
    <row r="308" spans="1:18" x14ac:dyDescent="0.25">
      <c r="A308">
        <f t="shared" si="22"/>
        <v>1</v>
      </c>
      <c r="B308" t="str">
        <f t="shared" si="23"/>
        <v/>
      </c>
      <c r="C308">
        <f t="shared" si="25"/>
        <v>1</v>
      </c>
      <c r="D308" s="4"/>
      <c r="E308" t="s">
        <v>18</v>
      </c>
      <c r="F308" t="str">
        <f>INDEX(Establishment!B$2:B$1005,MATCH($E308,Establishment!$A$2:$A$1005,0))</f>
        <v xml:space="preserve"> </v>
      </c>
      <c r="G308" t="str">
        <f>INDEX(Establishment!C$2:C$1005,MATCH($E308,Establishment!$A$2:$A$1005,0))</f>
        <v xml:space="preserve"> </v>
      </c>
      <c r="M308">
        <f t="shared" si="26"/>
        <v>0</v>
      </c>
      <c r="N308">
        <f t="shared" si="24"/>
        <v>0</v>
      </c>
      <c r="P308" t="e">
        <f>INDEX(Items!B$2:B$1032,MATCH($O308,Items!$A$2:$A$1032,0))</f>
        <v>#N/A</v>
      </c>
      <c r="Q308" t="e">
        <f>INDEX(Items!C$2:C$1032,MATCH($O308,Items!$A$2:$A$1032,0))</f>
        <v>#N/A</v>
      </c>
      <c r="R308" t="e">
        <f>INDEX(Items!D$2:D$1032,MATCH($O308,Items!$A$2:$A$1032,0))</f>
        <v>#N/A</v>
      </c>
    </row>
    <row r="309" spans="1:18" x14ac:dyDescent="0.25">
      <c r="A309">
        <f t="shared" si="22"/>
        <v>1</v>
      </c>
      <c r="B309" t="str">
        <f t="shared" si="23"/>
        <v/>
      </c>
      <c r="C309">
        <f t="shared" si="25"/>
        <v>1</v>
      </c>
      <c r="D309" s="4"/>
      <c r="E309" t="s">
        <v>18</v>
      </c>
      <c r="F309" t="str">
        <f>INDEX(Establishment!B$2:B$1005,MATCH($E309,Establishment!$A$2:$A$1005,0))</f>
        <v xml:space="preserve"> </v>
      </c>
      <c r="G309" t="str">
        <f>INDEX(Establishment!C$2:C$1005,MATCH($E309,Establishment!$A$2:$A$1005,0))</f>
        <v xml:space="preserve"> </v>
      </c>
      <c r="M309">
        <f t="shared" si="26"/>
        <v>0</v>
      </c>
      <c r="N309">
        <f t="shared" si="24"/>
        <v>0</v>
      </c>
      <c r="P309" t="e">
        <f>INDEX(Items!B$2:B$1032,MATCH($O309,Items!$A$2:$A$1032,0))</f>
        <v>#N/A</v>
      </c>
      <c r="Q309" t="e">
        <f>INDEX(Items!C$2:C$1032,MATCH($O309,Items!$A$2:$A$1032,0))</f>
        <v>#N/A</v>
      </c>
      <c r="R309" t="e">
        <f>INDEX(Items!D$2:D$1032,MATCH($O309,Items!$A$2:$A$1032,0))</f>
        <v>#N/A</v>
      </c>
    </row>
    <row r="310" spans="1:18" x14ac:dyDescent="0.25">
      <c r="A310">
        <f t="shared" si="22"/>
        <v>1</v>
      </c>
      <c r="B310" t="str">
        <f t="shared" si="23"/>
        <v/>
      </c>
      <c r="C310">
        <f t="shared" si="25"/>
        <v>1</v>
      </c>
      <c r="D310" s="4"/>
      <c r="E310" t="s">
        <v>18</v>
      </c>
      <c r="F310" t="str">
        <f>INDEX(Establishment!B$2:B$1005,MATCH($E310,Establishment!$A$2:$A$1005,0))</f>
        <v xml:space="preserve"> </v>
      </c>
      <c r="G310" t="str">
        <f>INDEX(Establishment!C$2:C$1005,MATCH($E310,Establishment!$A$2:$A$1005,0))</f>
        <v xml:space="preserve"> </v>
      </c>
      <c r="M310">
        <f t="shared" si="26"/>
        <v>0</v>
      </c>
      <c r="N310">
        <f t="shared" si="24"/>
        <v>0</v>
      </c>
      <c r="P310" t="e">
        <f>INDEX(Items!B$2:B$1032,MATCH($O310,Items!$A$2:$A$1032,0))</f>
        <v>#N/A</v>
      </c>
      <c r="Q310" t="e">
        <f>INDEX(Items!C$2:C$1032,MATCH($O310,Items!$A$2:$A$1032,0))</f>
        <v>#N/A</v>
      </c>
      <c r="R310" t="e">
        <f>INDEX(Items!D$2:D$1032,MATCH($O310,Items!$A$2:$A$1032,0))</f>
        <v>#N/A</v>
      </c>
    </row>
    <row r="311" spans="1:18" x14ac:dyDescent="0.25">
      <c r="A311">
        <f t="shared" si="22"/>
        <v>1</v>
      </c>
      <c r="B311" t="str">
        <f t="shared" si="23"/>
        <v/>
      </c>
      <c r="C311">
        <f t="shared" si="25"/>
        <v>1</v>
      </c>
      <c r="D311" s="4"/>
      <c r="E311" t="s">
        <v>18</v>
      </c>
      <c r="F311" t="str">
        <f>INDEX(Establishment!B$2:B$1005,MATCH($E311,Establishment!$A$2:$A$1005,0))</f>
        <v xml:space="preserve"> </v>
      </c>
      <c r="G311" t="str">
        <f>INDEX(Establishment!C$2:C$1005,MATCH($E311,Establishment!$A$2:$A$1005,0))</f>
        <v xml:space="preserve"> </v>
      </c>
      <c r="M311">
        <f t="shared" si="26"/>
        <v>0</v>
      </c>
      <c r="N311">
        <f t="shared" si="24"/>
        <v>0</v>
      </c>
      <c r="P311" t="e">
        <f>INDEX(Items!B$2:B$1032,MATCH($O311,Items!$A$2:$A$1032,0))</f>
        <v>#N/A</v>
      </c>
      <c r="Q311" t="e">
        <f>INDEX(Items!C$2:C$1032,MATCH($O311,Items!$A$2:$A$1032,0))</f>
        <v>#N/A</v>
      </c>
      <c r="R311" t="e">
        <f>INDEX(Items!D$2:D$1032,MATCH($O311,Items!$A$2:$A$1032,0))</f>
        <v>#N/A</v>
      </c>
    </row>
    <row r="312" spans="1:18" x14ac:dyDescent="0.25">
      <c r="A312">
        <f t="shared" si="22"/>
        <v>1</v>
      </c>
      <c r="B312" t="str">
        <f t="shared" si="23"/>
        <v/>
      </c>
      <c r="C312">
        <f t="shared" si="25"/>
        <v>1</v>
      </c>
      <c r="D312" s="4"/>
      <c r="E312" t="s">
        <v>18</v>
      </c>
      <c r="F312" t="str">
        <f>INDEX(Establishment!B$2:B$1005,MATCH($E312,Establishment!$A$2:$A$1005,0))</f>
        <v xml:space="preserve"> </v>
      </c>
      <c r="G312" t="str">
        <f>INDEX(Establishment!C$2:C$1005,MATCH($E312,Establishment!$A$2:$A$1005,0))</f>
        <v xml:space="preserve"> </v>
      </c>
      <c r="M312">
        <f t="shared" si="26"/>
        <v>0</v>
      </c>
      <c r="N312">
        <f t="shared" si="24"/>
        <v>0</v>
      </c>
      <c r="P312" t="e">
        <f>INDEX(Items!B$2:B$1032,MATCH($O312,Items!$A$2:$A$1032,0))</f>
        <v>#N/A</v>
      </c>
      <c r="Q312" t="e">
        <f>INDEX(Items!C$2:C$1032,MATCH($O312,Items!$A$2:$A$1032,0))</f>
        <v>#N/A</v>
      </c>
      <c r="R312" t="e">
        <f>INDEX(Items!D$2:D$1032,MATCH($O312,Items!$A$2:$A$1032,0))</f>
        <v>#N/A</v>
      </c>
    </row>
    <row r="313" spans="1:18" x14ac:dyDescent="0.25">
      <c r="A313">
        <f t="shared" si="22"/>
        <v>1</v>
      </c>
      <c r="B313" t="str">
        <f t="shared" si="23"/>
        <v/>
      </c>
      <c r="C313">
        <f t="shared" si="25"/>
        <v>1</v>
      </c>
      <c r="D313" s="4"/>
      <c r="E313" t="s">
        <v>18</v>
      </c>
      <c r="F313" t="str">
        <f>INDEX(Establishment!B$2:B$1005,MATCH($E313,Establishment!$A$2:$A$1005,0))</f>
        <v xml:space="preserve"> </v>
      </c>
      <c r="G313" t="str">
        <f>INDEX(Establishment!C$2:C$1005,MATCH($E313,Establishment!$A$2:$A$1005,0))</f>
        <v xml:space="preserve"> </v>
      </c>
      <c r="M313">
        <f t="shared" si="26"/>
        <v>0</v>
      </c>
      <c r="N313">
        <f t="shared" si="24"/>
        <v>0</v>
      </c>
      <c r="P313" t="e">
        <f>INDEX(Items!B$2:B$1032,MATCH($O313,Items!$A$2:$A$1032,0))</f>
        <v>#N/A</v>
      </c>
      <c r="Q313" t="e">
        <f>INDEX(Items!C$2:C$1032,MATCH($O313,Items!$A$2:$A$1032,0))</f>
        <v>#N/A</v>
      </c>
      <c r="R313" t="e">
        <f>INDEX(Items!D$2:D$1032,MATCH($O313,Items!$A$2:$A$1032,0))</f>
        <v>#N/A</v>
      </c>
    </row>
    <row r="314" spans="1:18" x14ac:dyDescent="0.25">
      <c r="A314">
        <f t="shared" si="22"/>
        <v>1</v>
      </c>
      <c r="B314" t="str">
        <f t="shared" si="23"/>
        <v/>
      </c>
      <c r="C314">
        <f t="shared" si="25"/>
        <v>1</v>
      </c>
      <c r="D314" s="4"/>
      <c r="E314" t="s">
        <v>18</v>
      </c>
      <c r="F314" t="str">
        <f>INDEX(Establishment!B$2:B$1005,MATCH($E314,Establishment!$A$2:$A$1005,0))</f>
        <v xml:space="preserve"> </v>
      </c>
      <c r="G314" t="str">
        <f>INDEX(Establishment!C$2:C$1005,MATCH($E314,Establishment!$A$2:$A$1005,0))</f>
        <v xml:space="preserve"> </v>
      </c>
      <c r="M314">
        <f t="shared" si="26"/>
        <v>0</v>
      </c>
      <c r="N314">
        <f t="shared" si="24"/>
        <v>0</v>
      </c>
      <c r="P314" t="e">
        <f>INDEX(Items!B$2:B$1032,MATCH($O314,Items!$A$2:$A$1032,0))</f>
        <v>#N/A</v>
      </c>
      <c r="Q314" t="e">
        <f>INDEX(Items!C$2:C$1032,MATCH($O314,Items!$A$2:$A$1032,0))</f>
        <v>#N/A</v>
      </c>
      <c r="R314" t="e">
        <f>INDEX(Items!D$2:D$1032,MATCH($O314,Items!$A$2:$A$1032,0))</f>
        <v>#N/A</v>
      </c>
    </row>
    <row r="315" spans="1:18" x14ac:dyDescent="0.25">
      <c r="A315">
        <f t="shared" si="22"/>
        <v>1</v>
      </c>
      <c r="B315" t="str">
        <f t="shared" si="23"/>
        <v/>
      </c>
      <c r="C315">
        <f t="shared" si="25"/>
        <v>1</v>
      </c>
      <c r="D315" s="4"/>
      <c r="E315" t="s">
        <v>18</v>
      </c>
      <c r="F315" t="str">
        <f>INDEX(Establishment!B$2:B$1005,MATCH($E315,Establishment!$A$2:$A$1005,0))</f>
        <v xml:space="preserve"> </v>
      </c>
      <c r="G315" t="str">
        <f>INDEX(Establishment!C$2:C$1005,MATCH($E315,Establishment!$A$2:$A$1005,0))</f>
        <v xml:space="preserve"> </v>
      </c>
      <c r="M315">
        <f t="shared" si="26"/>
        <v>0</v>
      </c>
      <c r="N315">
        <f t="shared" si="24"/>
        <v>0</v>
      </c>
      <c r="P315" t="e">
        <f>INDEX(Items!B$2:B$1032,MATCH($O315,Items!$A$2:$A$1032,0))</f>
        <v>#N/A</v>
      </c>
      <c r="Q315" t="e">
        <f>INDEX(Items!C$2:C$1032,MATCH($O315,Items!$A$2:$A$1032,0))</f>
        <v>#N/A</v>
      </c>
      <c r="R315" t="e">
        <f>INDEX(Items!D$2:D$1032,MATCH($O315,Items!$A$2:$A$1032,0))</f>
        <v>#N/A</v>
      </c>
    </row>
    <row r="316" spans="1:18" x14ac:dyDescent="0.25">
      <c r="A316">
        <f t="shared" si="22"/>
        <v>1</v>
      </c>
      <c r="B316" t="str">
        <f t="shared" si="23"/>
        <v/>
      </c>
      <c r="C316">
        <f t="shared" si="25"/>
        <v>1</v>
      </c>
      <c r="D316" s="4"/>
      <c r="E316" t="s">
        <v>18</v>
      </c>
      <c r="F316" t="str">
        <f>INDEX(Establishment!B$2:B$1005,MATCH($E316,Establishment!$A$2:$A$1005,0))</f>
        <v xml:space="preserve"> </v>
      </c>
      <c r="G316" t="str">
        <f>INDEX(Establishment!C$2:C$1005,MATCH($E316,Establishment!$A$2:$A$1005,0))</f>
        <v xml:space="preserve"> </v>
      </c>
      <c r="M316">
        <f t="shared" si="26"/>
        <v>0</v>
      </c>
      <c r="N316">
        <f t="shared" si="24"/>
        <v>0</v>
      </c>
      <c r="P316" t="e">
        <f>INDEX(Items!B$2:B$1032,MATCH($O316,Items!$A$2:$A$1032,0))</f>
        <v>#N/A</v>
      </c>
      <c r="Q316" t="e">
        <f>INDEX(Items!C$2:C$1032,MATCH($O316,Items!$A$2:$A$1032,0))</f>
        <v>#N/A</v>
      </c>
      <c r="R316" t="e">
        <f>INDEX(Items!D$2:D$1032,MATCH($O316,Items!$A$2:$A$1032,0))</f>
        <v>#N/A</v>
      </c>
    </row>
    <row r="317" spans="1:18" x14ac:dyDescent="0.25">
      <c r="A317">
        <f t="shared" si="22"/>
        <v>1</v>
      </c>
      <c r="B317" t="str">
        <f t="shared" si="23"/>
        <v/>
      </c>
      <c r="C317">
        <f t="shared" si="25"/>
        <v>1</v>
      </c>
      <c r="D317" s="4"/>
      <c r="E317" t="s">
        <v>18</v>
      </c>
      <c r="F317" t="str">
        <f>INDEX(Establishment!B$2:B$1005,MATCH($E317,Establishment!$A$2:$A$1005,0))</f>
        <v xml:space="preserve"> </v>
      </c>
      <c r="G317" t="str">
        <f>INDEX(Establishment!C$2:C$1005,MATCH($E317,Establishment!$A$2:$A$1005,0))</f>
        <v xml:space="preserve"> </v>
      </c>
      <c r="M317">
        <f t="shared" si="26"/>
        <v>0</v>
      </c>
      <c r="N317">
        <f t="shared" si="24"/>
        <v>0</v>
      </c>
      <c r="P317" t="e">
        <f>INDEX(Items!B$2:B$1032,MATCH($O317,Items!$A$2:$A$1032,0))</f>
        <v>#N/A</v>
      </c>
      <c r="Q317" t="e">
        <f>INDEX(Items!C$2:C$1032,MATCH($O317,Items!$A$2:$A$1032,0))</f>
        <v>#N/A</v>
      </c>
      <c r="R317" t="e">
        <f>INDEX(Items!D$2:D$1032,MATCH($O317,Items!$A$2:$A$1032,0))</f>
        <v>#N/A</v>
      </c>
    </row>
    <row r="318" spans="1:18" x14ac:dyDescent="0.25">
      <c r="A318">
        <f t="shared" si="22"/>
        <v>1</v>
      </c>
      <c r="B318" t="str">
        <f t="shared" si="23"/>
        <v/>
      </c>
      <c r="C318">
        <f t="shared" si="25"/>
        <v>1</v>
      </c>
      <c r="D318" s="4"/>
      <c r="E318" t="s">
        <v>18</v>
      </c>
      <c r="F318" t="str">
        <f>INDEX(Establishment!B$2:B$1005,MATCH($E318,Establishment!$A$2:$A$1005,0))</f>
        <v xml:space="preserve"> </v>
      </c>
      <c r="G318" t="str">
        <f>INDEX(Establishment!C$2:C$1005,MATCH($E318,Establishment!$A$2:$A$1005,0))</f>
        <v xml:space="preserve"> </v>
      </c>
      <c r="M318">
        <f t="shared" si="26"/>
        <v>0</v>
      </c>
      <c r="N318">
        <f t="shared" si="24"/>
        <v>0</v>
      </c>
      <c r="P318" t="e">
        <f>INDEX(Items!B$2:B$1032,MATCH($O318,Items!$A$2:$A$1032,0))</f>
        <v>#N/A</v>
      </c>
      <c r="Q318" t="e">
        <f>INDEX(Items!C$2:C$1032,MATCH($O318,Items!$A$2:$A$1032,0))</f>
        <v>#N/A</v>
      </c>
      <c r="R318" t="e">
        <f>INDEX(Items!D$2:D$1032,MATCH($O318,Items!$A$2:$A$1032,0))</f>
        <v>#N/A</v>
      </c>
    </row>
    <row r="319" spans="1:18" x14ac:dyDescent="0.25">
      <c r="A319">
        <f t="shared" si="22"/>
        <v>1</v>
      </c>
      <c r="B319" t="str">
        <f t="shared" si="23"/>
        <v/>
      </c>
      <c r="C319">
        <f t="shared" si="25"/>
        <v>1</v>
      </c>
      <c r="D319" s="4"/>
      <c r="E319" t="s">
        <v>18</v>
      </c>
      <c r="F319" t="str">
        <f>INDEX(Establishment!B$2:B$1005,MATCH($E319,Establishment!$A$2:$A$1005,0))</f>
        <v xml:space="preserve"> </v>
      </c>
      <c r="G319" t="str">
        <f>INDEX(Establishment!C$2:C$1005,MATCH($E319,Establishment!$A$2:$A$1005,0))</f>
        <v xml:space="preserve"> </v>
      </c>
      <c r="M319">
        <f t="shared" si="26"/>
        <v>0</v>
      </c>
      <c r="N319">
        <f t="shared" si="24"/>
        <v>0</v>
      </c>
      <c r="P319" t="e">
        <f>INDEX(Items!B$2:B$1032,MATCH($O319,Items!$A$2:$A$1032,0))</f>
        <v>#N/A</v>
      </c>
      <c r="Q319" t="e">
        <f>INDEX(Items!C$2:C$1032,MATCH($O319,Items!$A$2:$A$1032,0))</f>
        <v>#N/A</v>
      </c>
      <c r="R319" t="e">
        <f>INDEX(Items!D$2:D$1032,MATCH($O319,Items!$A$2:$A$1032,0))</f>
        <v>#N/A</v>
      </c>
    </row>
    <row r="320" spans="1:18" x14ac:dyDescent="0.25">
      <c r="A320">
        <f t="shared" si="22"/>
        <v>1</v>
      </c>
      <c r="B320" t="str">
        <f t="shared" si="23"/>
        <v/>
      </c>
      <c r="C320">
        <f t="shared" si="25"/>
        <v>1</v>
      </c>
      <c r="D320" s="4"/>
      <c r="E320" t="s">
        <v>18</v>
      </c>
      <c r="F320" t="str">
        <f>INDEX(Establishment!B$2:B$1005,MATCH($E320,Establishment!$A$2:$A$1005,0))</f>
        <v xml:space="preserve"> </v>
      </c>
      <c r="G320" t="str">
        <f>INDEX(Establishment!C$2:C$1005,MATCH($E320,Establishment!$A$2:$A$1005,0))</f>
        <v xml:space="preserve"> </v>
      </c>
      <c r="M320">
        <f t="shared" si="26"/>
        <v>0</v>
      </c>
      <c r="N320">
        <f t="shared" si="24"/>
        <v>0</v>
      </c>
      <c r="P320" t="e">
        <f>INDEX(Items!B$2:B$1032,MATCH($O320,Items!$A$2:$A$1032,0))</f>
        <v>#N/A</v>
      </c>
      <c r="Q320" t="e">
        <f>INDEX(Items!C$2:C$1032,MATCH($O320,Items!$A$2:$A$1032,0))</f>
        <v>#N/A</v>
      </c>
      <c r="R320" t="e">
        <f>INDEX(Items!D$2:D$1032,MATCH($O320,Items!$A$2:$A$1032,0))</f>
        <v>#N/A</v>
      </c>
    </row>
    <row r="321" spans="1:18" x14ac:dyDescent="0.25">
      <c r="A321">
        <f t="shared" si="22"/>
        <v>1</v>
      </c>
      <c r="B321" t="str">
        <f t="shared" si="23"/>
        <v/>
      </c>
      <c r="C321">
        <f t="shared" si="25"/>
        <v>1</v>
      </c>
      <c r="D321" s="4"/>
      <c r="E321" t="s">
        <v>18</v>
      </c>
      <c r="F321" t="str">
        <f>INDEX(Establishment!B$2:B$1005,MATCH($E321,Establishment!$A$2:$A$1005,0))</f>
        <v xml:space="preserve"> </v>
      </c>
      <c r="G321" t="str">
        <f>INDEX(Establishment!C$2:C$1005,MATCH($E321,Establishment!$A$2:$A$1005,0))</f>
        <v xml:space="preserve"> </v>
      </c>
      <c r="M321">
        <f t="shared" si="26"/>
        <v>0</v>
      </c>
      <c r="N321">
        <f t="shared" si="24"/>
        <v>0</v>
      </c>
      <c r="P321" t="e">
        <f>INDEX(Items!B$2:B$1032,MATCH($O321,Items!$A$2:$A$1032,0))</f>
        <v>#N/A</v>
      </c>
      <c r="Q321" t="e">
        <f>INDEX(Items!C$2:C$1032,MATCH($O321,Items!$A$2:$A$1032,0))</f>
        <v>#N/A</v>
      </c>
      <c r="R321" t="e">
        <f>INDEX(Items!D$2:D$1032,MATCH($O321,Items!$A$2:$A$1032,0))</f>
        <v>#N/A</v>
      </c>
    </row>
    <row r="322" spans="1:18" x14ac:dyDescent="0.25">
      <c r="A322">
        <f t="shared" ref="A322:A385" si="27">IF(OR(D322&lt;&gt;D321,D322=""),1,IF(NOT(AND(E322=E321,F322=F321,G322=G321)),A321+1,IF(OR(H322="",AND(H322&lt;&gt;"",H322&lt;&gt;H321,H321&lt;&gt;"")),A321,A321+1)))</f>
        <v>1</v>
      </c>
      <c r="B322" t="str">
        <f t="shared" ref="B322:B385" si="28">IF(D322&lt;&gt;"",TEXT(D322,"YYYYMMDD")&amp;CHAR(64+A322),"")</f>
        <v/>
      </c>
      <c r="C322">
        <f t="shared" si="25"/>
        <v>1</v>
      </c>
      <c r="D322" s="4"/>
      <c r="E322" t="s">
        <v>18</v>
      </c>
      <c r="F322" t="str">
        <f>INDEX(Establishment!B$2:B$1005,MATCH($E322,Establishment!$A$2:$A$1005,0))</f>
        <v xml:space="preserve"> </v>
      </c>
      <c r="G322" t="str">
        <f>INDEX(Establishment!C$2:C$1005,MATCH($E322,Establishment!$A$2:$A$1005,0))</f>
        <v xml:space="preserve"> </v>
      </c>
      <c r="M322">
        <f t="shared" si="26"/>
        <v>0</v>
      </c>
      <c r="N322">
        <f t="shared" si="24"/>
        <v>0</v>
      </c>
      <c r="P322" t="e">
        <f>INDEX(Items!B$2:B$1032,MATCH($O322,Items!$A$2:$A$1032,0))</f>
        <v>#N/A</v>
      </c>
      <c r="Q322" t="e">
        <f>INDEX(Items!C$2:C$1032,MATCH($O322,Items!$A$2:$A$1032,0))</f>
        <v>#N/A</v>
      </c>
      <c r="R322" t="e">
        <f>INDEX(Items!D$2:D$1032,MATCH($O322,Items!$A$2:$A$1032,0))</f>
        <v>#N/A</v>
      </c>
    </row>
    <row r="323" spans="1:18" x14ac:dyDescent="0.25">
      <c r="A323">
        <f t="shared" si="27"/>
        <v>1</v>
      </c>
      <c r="B323" t="str">
        <f t="shared" si="28"/>
        <v/>
      </c>
      <c r="C323">
        <f t="shared" si="25"/>
        <v>1</v>
      </c>
      <c r="D323" s="4"/>
      <c r="E323" t="s">
        <v>18</v>
      </c>
      <c r="F323" t="str">
        <f>INDEX(Establishment!B$2:B$1005,MATCH($E323,Establishment!$A$2:$A$1005,0))</f>
        <v xml:space="preserve"> </v>
      </c>
      <c r="G323" t="str">
        <f>INDEX(Establishment!C$2:C$1005,MATCH($E323,Establishment!$A$2:$A$1005,0))</f>
        <v xml:space="preserve"> </v>
      </c>
      <c r="M323">
        <f t="shared" si="26"/>
        <v>0</v>
      </c>
      <c r="N323">
        <f t="shared" ref="N323:N386" si="29">IF(B323=B322,N322+M323,M323)</f>
        <v>0</v>
      </c>
      <c r="P323" t="e">
        <f>INDEX(Items!B$2:B$1032,MATCH($O323,Items!$A$2:$A$1032,0))</f>
        <v>#N/A</v>
      </c>
      <c r="Q323" t="e">
        <f>INDEX(Items!C$2:C$1032,MATCH($O323,Items!$A$2:$A$1032,0))</f>
        <v>#N/A</v>
      </c>
      <c r="R323" t="e">
        <f>INDEX(Items!D$2:D$1032,MATCH($O323,Items!$A$2:$A$1032,0))</f>
        <v>#N/A</v>
      </c>
    </row>
    <row r="324" spans="1:18" x14ac:dyDescent="0.25">
      <c r="A324">
        <f t="shared" si="27"/>
        <v>1</v>
      </c>
      <c r="B324" t="str">
        <f t="shared" si="28"/>
        <v/>
      </c>
      <c r="C324">
        <f t="shared" si="25"/>
        <v>1</v>
      </c>
      <c r="D324" s="4"/>
      <c r="E324" t="s">
        <v>18</v>
      </c>
      <c r="F324" t="str">
        <f>INDEX(Establishment!B$2:B$1005,MATCH($E324,Establishment!$A$2:$A$1005,0))</f>
        <v xml:space="preserve"> </v>
      </c>
      <c r="G324" t="str">
        <f>INDEX(Establishment!C$2:C$1005,MATCH($E324,Establishment!$A$2:$A$1005,0))</f>
        <v xml:space="preserve"> </v>
      </c>
      <c r="M324">
        <f t="shared" si="26"/>
        <v>0</v>
      </c>
      <c r="N324">
        <f t="shared" si="29"/>
        <v>0</v>
      </c>
      <c r="P324" t="e">
        <f>INDEX(Items!B$2:B$1032,MATCH($O324,Items!$A$2:$A$1032,0))</f>
        <v>#N/A</v>
      </c>
      <c r="Q324" t="e">
        <f>INDEX(Items!C$2:C$1032,MATCH($O324,Items!$A$2:$A$1032,0))</f>
        <v>#N/A</v>
      </c>
      <c r="R324" t="e">
        <f>INDEX(Items!D$2:D$1032,MATCH($O324,Items!$A$2:$A$1032,0))</f>
        <v>#N/A</v>
      </c>
    </row>
    <row r="325" spans="1:18" x14ac:dyDescent="0.25">
      <c r="A325">
        <f t="shared" si="27"/>
        <v>1</v>
      </c>
      <c r="B325" t="str">
        <f t="shared" si="28"/>
        <v/>
      </c>
      <c r="C325">
        <f t="shared" si="25"/>
        <v>1</v>
      </c>
      <c r="D325" s="4"/>
      <c r="E325" t="s">
        <v>18</v>
      </c>
      <c r="F325" t="str">
        <f>INDEX(Establishment!B$2:B$1005,MATCH($E325,Establishment!$A$2:$A$1005,0))</f>
        <v xml:space="preserve"> </v>
      </c>
      <c r="G325" t="str">
        <f>INDEX(Establishment!C$2:C$1005,MATCH($E325,Establishment!$A$2:$A$1005,0))</f>
        <v xml:space="preserve"> </v>
      </c>
      <c r="M325">
        <f t="shared" si="26"/>
        <v>0</v>
      </c>
      <c r="N325">
        <f t="shared" si="29"/>
        <v>0</v>
      </c>
      <c r="P325" t="e">
        <f>INDEX(Items!B$2:B$1032,MATCH($O325,Items!$A$2:$A$1032,0))</f>
        <v>#N/A</v>
      </c>
      <c r="Q325" t="e">
        <f>INDEX(Items!C$2:C$1032,MATCH($O325,Items!$A$2:$A$1032,0))</f>
        <v>#N/A</v>
      </c>
      <c r="R325" t="e">
        <f>INDEX(Items!D$2:D$1032,MATCH($O325,Items!$A$2:$A$1032,0))</f>
        <v>#N/A</v>
      </c>
    </row>
    <row r="326" spans="1:18" x14ac:dyDescent="0.25">
      <c r="A326">
        <f t="shared" si="27"/>
        <v>1</v>
      </c>
      <c r="B326" t="str">
        <f t="shared" si="28"/>
        <v/>
      </c>
      <c r="C326">
        <f t="shared" si="25"/>
        <v>1</v>
      </c>
      <c r="D326" s="4"/>
      <c r="E326" t="s">
        <v>18</v>
      </c>
      <c r="F326" t="str">
        <f>INDEX(Establishment!B$2:B$1005,MATCH($E326,Establishment!$A$2:$A$1005,0))</f>
        <v xml:space="preserve"> </v>
      </c>
      <c r="G326" t="str">
        <f>INDEX(Establishment!C$2:C$1005,MATCH($E326,Establishment!$A$2:$A$1005,0))</f>
        <v xml:space="preserve"> </v>
      </c>
      <c r="M326">
        <f t="shared" si="26"/>
        <v>0</v>
      </c>
      <c r="N326">
        <f t="shared" si="29"/>
        <v>0</v>
      </c>
      <c r="P326" t="e">
        <f>INDEX(Items!B$2:B$1032,MATCH($O326,Items!$A$2:$A$1032,0))</f>
        <v>#N/A</v>
      </c>
      <c r="Q326" t="e">
        <f>INDEX(Items!C$2:C$1032,MATCH($O326,Items!$A$2:$A$1032,0))</f>
        <v>#N/A</v>
      </c>
      <c r="R326" t="e">
        <f>INDEX(Items!D$2:D$1032,MATCH($O326,Items!$A$2:$A$1032,0))</f>
        <v>#N/A</v>
      </c>
    </row>
    <row r="327" spans="1:18" x14ac:dyDescent="0.25">
      <c r="A327">
        <f t="shared" si="27"/>
        <v>1</v>
      </c>
      <c r="B327" t="str">
        <f t="shared" si="28"/>
        <v/>
      </c>
      <c r="C327">
        <f t="shared" si="25"/>
        <v>1</v>
      </c>
      <c r="D327" s="4"/>
      <c r="E327" t="s">
        <v>18</v>
      </c>
      <c r="F327" t="str">
        <f>INDEX(Establishment!B$2:B$1005,MATCH($E327,Establishment!$A$2:$A$1005,0))</f>
        <v xml:space="preserve"> </v>
      </c>
      <c r="G327" t="str">
        <f>INDEX(Establishment!C$2:C$1005,MATCH($E327,Establishment!$A$2:$A$1005,0))</f>
        <v xml:space="preserve"> </v>
      </c>
      <c r="M327">
        <f t="shared" si="26"/>
        <v>0</v>
      </c>
      <c r="N327">
        <f t="shared" si="29"/>
        <v>0</v>
      </c>
      <c r="P327" t="e">
        <f>INDEX(Items!B$2:B$1032,MATCH($O327,Items!$A$2:$A$1032,0))</f>
        <v>#N/A</v>
      </c>
      <c r="Q327" t="e">
        <f>INDEX(Items!C$2:C$1032,MATCH($O327,Items!$A$2:$A$1032,0))</f>
        <v>#N/A</v>
      </c>
      <c r="R327" t="e">
        <f>INDEX(Items!D$2:D$1032,MATCH($O327,Items!$A$2:$A$1032,0))</f>
        <v>#N/A</v>
      </c>
    </row>
    <row r="328" spans="1:18" x14ac:dyDescent="0.25">
      <c r="A328">
        <f t="shared" si="27"/>
        <v>1</v>
      </c>
      <c r="B328" t="str">
        <f t="shared" si="28"/>
        <v/>
      </c>
      <c r="C328">
        <f t="shared" si="25"/>
        <v>1</v>
      </c>
      <c r="D328" s="4"/>
      <c r="E328" t="s">
        <v>18</v>
      </c>
      <c r="F328" t="str">
        <f>INDEX(Establishment!B$2:B$1005,MATCH($E328,Establishment!$A$2:$A$1005,0))</f>
        <v xml:space="preserve"> </v>
      </c>
      <c r="G328" t="str">
        <f>INDEX(Establishment!C$2:C$1005,MATCH($E328,Establishment!$A$2:$A$1005,0))</f>
        <v xml:space="preserve"> </v>
      </c>
      <c r="M328">
        <f t="shared" si="26"/>
        <v>0</v>
      </c>
      <c r="N328">
        <f t="shared" si="29"/>
        <v>0</v>
      </c>
      <c r="P328" t="e">
        <f>INDEX(Items!B$2:B$1032,MATCH($O328,Items!$A$2:$A$1032,0))</f>
        <v>#N/A</v>
      </c>
      <c r="Q328" t="e">
        <f>INDEX(Items!C$2:C$1032,MATCH($O328,Items!$A$2:$A$1032,0))</f>
        <v>#N/A</v>
      </c>
      <c r="R328" t="e">
        <f>INDEX(Items!D$2:D$1032,MATCH($O328,Items!$A$2:$A$1032,0))</f>
        <v>#N/A</v>
      </c>
    </row>
    <row r="329" spans="1:18" x14ac:dyDescent="0.25">
      <c r="A329">
        <f t="shared" si="27"/>
        <v>1</v>
      </c>
      <c r="B329" t="str">
        <f t="shared" si="28"/>
        <v/>
      </c>
      <c r="C329">
        <f t="shared" si="25"/>
        <v>1</v>
      </c>
      <c r="D329" s="4"/>
      <c r="E329" t="s">
        <v>18</v>
      </c>
      <c r="F329" t="str">
        <f>INDEX(Establishment!B$2:B$1005,MATCH($E329,Establishment!$A$2:$A$1005,0))</f>
        <v xml:space="preserve"> </v>
      </c>
      <c r="G329" t="str">
        <f>INDEX(Establishment!C$2:C$1005,MATCH($E329,Establishment!$A$2:$A$1005,0))</f>
        <v xml:space="preserve"> </v>
      </c>
      <c r="M329">
        <f t="shared" si="26"/>
        <v>0</v>
      </c>
      <c r="N329">
        <f t="shared" si="29"/>
        <v>0</v>
      </c>
      <c r="P329" t="e">
        <f>INDEX(Items!B$2:B$1032,MATCH($O329,Items!$A$2:$A$1032,0))</f>
        <v>#N/A</v>
      </c>
      <c r="Q329" t="e">
        <f>INDEX(Items!C$2:C$1032,MATCH($O329,Items!$A$2:$A$1032,0))</f>
        <v>#N/A</v>
      </c>
      <c r="R329" t="e">
        <f>INDEX(Items!D$2:D$1032,MATCH($O329,Items!$A$2:$A$1032,0))</f>
        <v>#N/A</v>
      </c>
    </row>
    <row r="330" spans="1:18" x14ac:dyDescent="0.25">
      <c r="A330">
        <f t="shared" si="27"/>
        <v>1</v>
      </c>
      <c r="B330" t="str">
        <f t="shared" si="28"/>
        <v/>
      </c>
      <c r="C330">
        <f t="shared" ref="C330:C393" si="30">IF(OR(B330="",B330&lt;&gt;B329),1,C329+1)</f>
        <v>1</v>
      </c>
      <c r="D330" s="4"/>
      <c r="E330" t="s">
        <v>18</v>
      </c>
      <c r="F330" t="str">
        <f>INDEX(Establishment!B$2:B$1005,MATCH($E330,Establishment!$A$2:$A$1005,0))</f>
        <v xml:space="preserve"> </v>
      </c>
      <c r="G330" t="str">
        <f>INDEX(Establishment!C$2:C$1005,MATCH($E330,Establishment!$A$2:$A$1005,0))</f>
        <v xml:space="preserve"> </v>
      </c>
      <c r="M330">
        <f t="shared" ref="M330:M393" si="31">K330*L330</f>
        <v>0</v>
      </c>
      <c r="N330">
        <f t="shared" si="29"/>
        <v>0</v>
      </c>
      <c r="P330" t="e">
        <f>INDEX(Items!B$2:B$1032,MATCH($O330,Items!$A$2:$A$1032,0))</f>
        <v>#N/A</v>
      </c>
      <c r="Q330" t="e">
        <f>INDEX(Items!C$2:C$1032,MATCH($O330,Items!$A$2:$A$1032,0))</f>
        <v>#N/A</v>
      </c>
      <c r="R330" t="e">
        <f>INDEX(Items!D$2:D$1032,MATCH($O330,Items!$A$2:$A$1032,0))</f>
        <v>#N/A</v>
      </c>
    </row>
    <row r="331" spans="1:18" x14ac:dyDescent="0.25">
      <c r="A331">
        <f t="shared" si="27"/>
        <v>1</v>
      </c>
      <c r="B331" t="str">
        <f t="shared" si="28"/>
        <v/>
      </c>
      <c r="C331">
        <f t="shared" si="30"/>
        <v>1</v>
      </c>
      <c r="D331" s="4"/>
      <c r="E331" t="s">
        <v>18</v>
      </c>
      <c r="F331" t="str">
        <f>INDEX(Establishment!B$2:B$1005,MATCH($E331,Establishment!$A$2:$A$1005,0))</f>
        <v xml:space="preserve"> </v>
      </c>
      <c r="G331" t="str">
        <f>INDEX(Establishment!C$2:C$1005,MATCH($E331,Establishment!$A$2:$A$1005,0))</f>
        <v xml:space="preserve"> </v>
      </c>
      <c r="M331">
        <f t="shared" si="31"/>
        <v>0</v>
      </c>
      <c r="N331">
        <f t="shared" si="29"/>
        <v>0</v>
      </c>
      <c r="P331" t="e">
        <f>INDEX(Items!B$2:B$1032,MATCH($O331,Items!$A$2:$A$1032,0))</f>
        <v>#N/A</v>
      </c>
      <c r="Q331" t="e">
        <f>INDEX(Items!C$2:C$1032,MATCH($O331,Items!$A$2:$A$1032,0))</f>
        <v>#N/A</v>
      </c>
      <c r="R331" t="e">
        <f>INDEX(Items!D$2:D$1032,MATCH($O331,Items!$A$2:$A$1032,0))</f>
        <v>#N/A</v>
      </c>
    </row>
    <row r="332" spans="1:18" x14ac:dyDescent="0.25">
      <c r="A332">
        <f t="shared" si="27"/>
        <v>1</v>
      </c>
      <c r="B332" t="str">
        <f t="shared" si="28"/>
        <v/>
      </c>
      <c r="C332">
        <f t="shared" si="30"/>
        <v>1</v>
      </c>
      <c r="D332" s="4"/>
      <c r="E332" t="s">
        <v>18</v>
      </c>
      <c r="F332" t="str">
        <f>INDEX(Establishment!B$2:B$1005,MATCH($E332,Establishment!$A$2:$A$1005,0))</f>
        <v xml:space="preserve"> </v>
      </c>
      <c r="G332" t="str">
        <f>INDEX(Establishment!C$2:C$1005,MATCH($E332,Establishment!$A$2:$A$1005,0))</f>
        <v xml:space="preserve"> </v>
      </c>
      <c r="M332">
        <f t="shared" si="31"/>
        <v>0</v>
      </c>
      <c r="N332">
        <f t="shared" si="29"/>
        <v>0</v>
      </c>
      <c r="P332" t="e">
        <f>INDEX(Items!B$2:B$1032,MATCH($O332,Items!$A$2:$A$1032,0))</f>
        <v>#N/A</v>
      </c>
      <c r="Q332" t="e">
        <f>INDEX(Items!C$2:C$1032,MATCH($O332,Items!$A$2:$A$1032,0))</f>
        <v>#N/A</v>
      </c>
      <c r="R332" t="e">
        <f>INDEX(Items!D$2:D$1032,MATCH($O332,Items!$A$2:$A$1032,0))</f>
        <v>#N/A</v>
      </c>
    </row>
    <row r="333" spans="1:18" x14ac:dyDescent="0.25">
      <c r="A333">
        <f t="shared" si="27"/>
        <v>1</v>
      </c>
      <c r="B333" t="str">
        <f t="shared" si="28"/>
        <v/>
      </c>
      <c r="C333">
        <f t="shared" si="30"/>
        <v>1</v>
      </c>
      <c r="D333" s="4"/>
      <c r="E333" t="s">
        <v>18</v>
      </c>
      <c r="F333" t="str">
        <f>INDEX(Establishment!B$2:B$1005,MATCH($E333,Establishment!$A$2:$A$1005,0))</f>
        <v xml:space="preserve"> </v>
      </c>
      <c r="G333" t="str">
        <f>INDEX(Establishment!C$2:C$1005,MATCH($E333,Establishment!$A$2:$A$1005,0))</f>
        <v xml:space="preserve"> </v>
      </c>
      <c r="M333">
        <f t="shared" si="31"/>
        <v>0</v>
      </c>
      <c r="N333">
        <f t="shared" si="29"/>
        <v>0</v>
      </c>
      <c r="P333" t="e">
        <f>INDEX(Items!B$2:B$1032,MATCH($O333,Items!$A$2:$A$1032,0))</f>
        <v>#N/A</v>
      </c>
      <c r="Q333" t="e">
        <f>INDEX(Items!C$2:C$1032,MATCH($O333,Items!$A$2:$A$1032,0))</f>
        <v>#N/A</v>
      </c>
      <c r="R333" t="e">
        <f>INDEX(Items!D$2:D$1032,MATCH($O333,Items!$A$2:$A$1032,0))</f>
        <v>#N/A</v>
      </c>
    </row>
    <row r="334" spans="1:18" x14ac:dyDescent="0.25">
      <c r="A334">
        <f t="shared" si="27"/>
        <v>1</v>
      </c>
      <c r="B334" t="str">
        <f t="shared" si="28"/>
        <v/>
      </c>
      <c r="C334">
        <f t="shared" si="30"/>
        <v>1</v>
      </c>
      <c r="D334" s="4"/>
      <c r="E334" t="s">
        <v>18</v>
      </c>
      <c r="F334" t="str">
        <f>INDEX(Establishment!B$2:B$1005,MATCH($E334,Establishment!$A$2:$A$1005,0))</f>
        <v xml:space="preserve"> </v>
      </c>
      <c r="G334" t="str">
        <f>INDEX(Establishment!C$2:C$1005,MATCH($E334,Establishment!$A$2:$A$1005,0))</f>
        <v xml:space="preserve"> </v>
      </c>
      <c r="M334">
        <f t="shared" si="31"/>
        <v>0</v>
      </c>
      <c r="N334">
        <f t="shared" si="29"/>
        <v>0</v>
      </c>
      <c r="P334" t="e">
        <f>INDEX(Items!B$2:B$1032,MATCH($O334,Items!$A$2:$A$1032,0))</f>
        <v>#N/A</v>
      </c>
      <c r="Q334" t="e">
        <f>INDEX(Items!C$2:C$1032,MATCH($O334,Items!$A$2:$A$1032,0))</f>
        <v>#N/A</v>
      </c>
      <c r="R334" t="e">
        <f>INDEX(Items!D$2:D$1032,MATCH($O334,Items!$A$2:$A$1032,0))</f>
        <v>#N/A</v>
      </c>
    </row>
    <row r="335" spans="1:18" x14ac:dyDescent="0.25">
      <c r="A335">
        <f t="shared" si="27"/>
        <v>1</v>
      </c>
      <c r="B335" t="str">
        <f t="shared" si="28"/>
        <v/>
      </c>
      <c r="C335">
        <f t="shared" si="30"/>
        <v>1</v>
      </c>
      <c r="D335" s="4"/>
      <c r="E335" t="s">
        <v>18</v>
      </c>
      <c r="F335" t="str">
        <f>INDEX(Establishment!B$2:B$1005,MATCH($E335,Establishment!$A$2:$A$1005,0))</f>
        <v xml:space="preserve"> </v>
      </c>
      <c r="G335" t="str">
        <f>INDEX(Establishment!C$2:C$1005,MATCH($E335,Establishment!$A$2:$A$1005,0))</f>
        <v xml:space="preserve"> </v>
      </c>
      <c r="M335">
        <f t="shared" si="31"/>
        <v>0</v>
      </c>
      <c r="N335">
        <f t="shared" si="29"/>
        <v>0</v>
      </c>
      <c r="P335" t="e">
        <f>INDEX(Items!B$2:B$1032,MATCH($O335,Items!$A$2:$A$1032,0))</f>
        <v>#N/A</v>
      </c>
      <c r="Q335" t="e">
        <f>INDEX(Items!C$2:C$1032,MATCH($O335,Items!$A$2:$A$1032,0))</f>
        <v>#N/A</v>
      </c>
      <c r="R335" t="e">
        <f>INDEX(Items!D$2:D$1032,MATCH($O335,Items!$A$2:$A$1032,0))</f>
        <v>#N/A</v>
      </c>
    </row>
    <row r="336" spans="1:18" x14ac:dyDescent="0.25">
      <c r="A336">
        <f t="shared" si="27"/>
        <v>1</v>
      </c>
      <c r="B336" t="str">
        <f t="shared" si="28"/>
        <v/>
      </c>
      <c r="C336">
        <f t="shared" si="30"/>
        <v>1</v>
      </c>
      <c r="D336" s="4"/>
      <c r="E336" t="s">
        <v>18</v>
      </c>
      <c r="F336" t="str">
        <f>INDEX(Establishment!B$2:B$1005,MATCH($E336,Establishment!$A$2:$A$1005,0))</f>
        <v xml:space="preserve"> </v>
      </c>
      <c r="G336" t="str">
        <f>INDEX(Establishment!C$2:C$1005,MATCH($E336,Establishment!$A$2:$A$1005,0))</f>
        <v xml:space="preserve"> </v>
      </c>
      <c r="M336">
        <f t="shared" si="31"/>
        <v>0</v>
      </c>
      <c r="N336">
        <f t="shared" si="29"/>
        <v>0</v>
      </c>
      <c r="P336" t="e">
        <f>INDEX(Items!B$2:B$1032,MATCH($O336,Items!$A$2:$A$1032,0))</f>
        <v>#N/A</v>
      </c>
      <c r="Q336" t="e">
        <f>INDEX(Items!C$2:C$1032,MATCH($O336,Items!$A$2:$A$1032,0))</f>
        <v>#N/A</v>
      </c>
      <c r="R336" t="e">
        <f>INDEX(Items!D$2:D$1032,MATCH($O336,Items!$A$2:$A$1032,0))</f>
        <v>#N/A</v>
      </c>
    </row>
    <row r="337" spans="1:18" x14ac:dyDescent="0.25">
      <c r="A337">
        <f t="shared" si="27"/>
        <v>1</v>
      </c>
      <c r="B337" t="str">
        <f t="shared" si="28"/>
        <v/>
      </c>
      <c r="C337">
        <f t="shared" si="30"/>
        <v>1</v>
      </c>
      <c r="D337" s="4"/>
      <c r="E337" t="s">
        <v>18</v>
      </c>
      <c r="F337" t="str">
        <f>INDEX(Establishment!B$2:B$1005,MATCH($E337,Establishment!$A$2:$A$1005,0))</f>
        <v xml:space="preserve"> </v>
      </c>
      <c r="G337" t="str">
        <f>INDEX(Establishment!C$2:C$1005,MATCH($E337,Establishment!$A$2:$A$1005,0))</f>
        <v xml:space="preserve"> </v>
      </c>
      <c r="M337">
        <f t="shared" si="31"/>
        <v>0</v>
      </c>
      <c r="N337">
        <f t="shared" si="29"/>
        <v>0</v>
      </c>
      <c r="P337" t="e">
        <f>INDEX(Items!B$2:B$1032,MATCH($O337,Items!$A$2:$A$1032,0))</f>
        <v>#N/A</v>
      </c>
      <c r="Q337" t="e">
        <f>INDEX(Items!C$2:C$1032,MATCH($O337,Items!$A$2:$A$1032,0))</f>
        <v>#N/A</v>
      </c>
      <c r="R337" t="e">
        <f>INDEX(Items!D$2:D$1032,MATCH($O337,Items!$A$2:$A$1032,0))</f>
        <v>#N/A</v>
      </c>
    </row>
    <row r="338" spans="1:18" x14ac:dyDescent="0.25">
      <c r="A338">
        <f t="shared" si="27"/>
        <v>1</v>
      </c>
      <c r="B338" t="str">
        <f t="shared" si="28"/>
        <v/>
      </c>
      <c r="C338">
        <f t="shared" si="30"/>
        <v>1</v>
      </c>
      <c r="D338" s="4"/>
      <c r="E338" t="s">
        <v>18</v>
      </c>
      <c r="F338" t="str">
        <f>INDEX(Establishment!B$2:B$1005,MATCH($E338,Establishment!$A$2:$A$1005,0))</f>
        <v xml:space="preserve"> </v>
      </c>
      <c r="G338" t="str">
        <f>INDEX(Establishment!C$2:C$1005,MATCH($E338,Establishment!$A$2:$A$1005,0))</f>
        <v xml:space="preserve"> </v>
      </c>
      <c r="M338">
        <f t="shared" si="31"/>
        <v>0</v>
      </c>
      <c r="N338">
        <f t="shared" si="29"/>
        <v>0</v>
      </c>
      <c r="P338" t="e">
        <f>INDEX(Items!B$2:B$1032,MATCH($O338,Items!$A$2:$A$1032,0))</f>
        <v>#N/A</v>
      </c>
      <c r="Q338" t="e">
        <f>INDEX(Items!C$2:C$1032,MATCH($O338,Items!$A$2:$A$1032,0))</f>
        <v>#N/A</v>
      </c>
      <c r="R338" t="e">
        <f>INDEX(Items!D$2:D$1032,MATCH($O338,Items!$A$2:$A$1032,0))</f>
        <v>#N/A</v>
      </c>
    </row>
    <row r="339" spans="1:18" x14ac:dyDescent="0.25">
      <c r="A339">
        <f t="shared" si="27"/>
        <v>1</v>
      </c>
      <c r="B339" t="str">
        <f t="shared" si="28"/>
        <v/>
      </c>
      <c r="C339">
        <f t="shared" si="30"/>
        <v>1</v>
      </c>
      <c r="D339" s="4"/>
      <c r="E339" t="s">
        <v>18</v>
      </c>
      <c r="F339" t="str">
        <f>INDEX(Establishment!B$2:B$1005,MATCH($E339,Establishment!$A$2:$A$1005,0))</f>
        <v xml:space="preserve"> </v>
      </c>
      <c r="G339" t="str">
        <f>INDEX(Establishment!C$2:C$1005,MATCH($E339,Establishment!$A$2:$A$1005,0))</f>
        <v xml:space="preserve"> </v>
      </c>
      <c r="M339">
        <f t="shared" si="31"/>
        <v>0</v>
      </c>
      <c r="N339">
        <f t="shared" si="29"/>
        <v>0</v>
      </c>
      <c r="P339" t="e">
        <f>INDEX(Items!B$2:B$1032,MATCH($O339,Items!$A$2:$A$1032,0))</f>
        <v>#N/A</v>
      </c>
      <c r="Q339" t="e">
        <f>INDEX(Items!C$2:C$1032,MATCH($O339,Items!$A$2:$A$1032,0))</f>
        <v>#N/A</v>
      </c>
      <c r="R339" t="e">
        <f>INDEX(Items!D$2:D$1032,MATCH($O339,Items!$A$2:$A$1032,0))</f>
        <v>#N/A</v>
      </c>
    </row>
    <row r="340" spans="1:18" x14ac:dyDescent="0.25">
      <c r="A340">
        <f t="shared" si="27"/>
        <v>1</v>
      </c>
      <c r="B340" t="str">
        <f t="shared" si="28"/>
        <v/>
      </c>
      <c r="C340">
        <f t="shared" si="30"/>
        <v>1</v>
      </c>
      <c r="D340" s="4"/>
      <c r="E340" t="s">
        <v>18</v>
      </c>
      <c r="F340" t="str">
        <f>INDEX(Establishment!B$2:B$1005,MATCH($E340,Establishment!$A$2:$A$1005,0))</f>
        <v xml:space="preserve"> </v>
      </c>
      <c r="G340" t="str">
        <f>INDEX(Establishment!C$2:C$1005,MATCH($E340,Establishment!$A$2:$A$1005,0))</f>
        <v xml:space="preserve"> </v>
      </c>
      <c r="M340">
        <f t="shared" si="31"/>
        <v>0</v>
      </c>
      <c r="N340">
        <f t="shared" si="29"/>
        <v>0</v>
      </c>
      <c r="P340" t="e">
        <f>INDEX(Items!B$2:B$1032,MATCH($O340,Items!$A$2:$A$1032,0))</f>
        <v>#N/A</v>
      </c>
      <c r="Q340" t="e">
        <f>INDEX(Items!C$2:C$1032,MATCH($O340,Items!$A$2:$A$1032,0))</f>
        <v>#N/A</v>
      </c>
      <c r="R340" t="e">
        <f>INDEX(Items!D$2:D$1032,MATCH($O340,Items!$A$2:$A$1032,0))</f>
        <v>#N/A</v>
      </c>
    </row>
    <row r="341" spans="1:18" x14ac:dyDescent="0.25">
      <c r="A341">
        <f t="shared" si="27"/>
        <v>1</v>
      </c>
      <c r="B341" t="str">
        <f t="shared" si="28"/>
        <v/>
      </c>
      <c r="C341">
        <f t="shared" si="30"/>
        <v>1</v>
      </c>
      <c r="D341" s="4"/>
      <c r="E341" t="s">
        <v>18</v>
      </c>
      <c r="F341" t="str">
        <f>INDEX(Establishment!B$2:B$1005,MATCH($E341,Establishment!$A$2:$A$1005,0))</f>
        <v xml:space="preserve"> </v>
      </c>
      <c r="G341" t="str">
        <f>INDEX(Establishment!C$2:C$1005,MATCH($E341,Establishment!$A$2:$A$1005,0))</f>
        <v xml:space="preserve"> </v>
      </c>
      <c r="M341">
        <f t="shared" si="31"/>
        <v>0</v>
      </c>
      <c r="N341">
        <f t="shared" si="29"/>
        <v>0</v>
      </c>
      <c r="P341" t="e">
        <f>INDEX(Items!B$2:B$1032,MATCH($O341,Items!$A$2:$A$1032,0))</f>
        <v>#N/A</v>
      </c>
      <c r="Q341" t="e">
        <f>INDEX(Items!C$2:C$1032,MATCH($O341,Items!$A$2:$A$1032,0))</f>
        <v>#N/A</v>
      </c>
      <c r="R341" t="e">
        <f>INDEX(Items!D$2:D$1032,MATCH($O341,Items!$A$2:$A$1032,0))</f>
        <v>#N/A</v>
      </c>
    </row>
    <row r="342" spans="1:18" x14ac:dyDescent="0.25">
      <c r="A342">
        <f t="shared" si="27"/>
        <v>1</v>
      </c>
      <c r="B342" t="str">
        <f t="shared" si="28"/>
        <v/>
      </c>
      <c r="C342">
        <f t="shared" si="30"/>
        <v>1</v>
      </c>
      <c r="D342" s="4"/>
      <c r="E342" t="s">
        <v>18</v>
      </c>
      <c r="F342" t="str">
        <f>INDEX(Establishment!B$2:B$1005,MATCH($E342,Establishment!$A$2:$A$1005,0))</f>
        <v xml:space="preserve"> </v>
      </c>
      <c r="G342" t="str">
        <f>INDEX(Establishment!C$2:C$1005,MATCH($E342,Establishment!$A$2:$A$1005,0))</f>
        <v xml:space="preserve"> </v>
      </c>
      <c r="M342">
        <f t="shared" si="31"/>
        <v>0</v>
      </c>
      <c r="N342">
        <f t="shared" si="29"/>
        <v>0</v>
      </c>
      <c r="P342" t="e">
        <f>INDEX(Items!B$2:B$1032,MATCH($O342,Items!$A$2:$A$1032,0))</f>
        <v>#N/A</v>
      </c>
      <c r="Q342" t="e">
        <f>INDEX(Items!C$2:C$1032,MATCH($O342,Items!$A$2:$A$1032,0))</f>
        <v>#N/A</v>
      </c>
      <c r="R342" t="e">
        <f>INDEX(Items!D$2:D$1032,MATCH($O342,Items!$A$2:$A$1032,0))</f>
        <v>#N/A</v>
      </c>
    </row>
    <row r="343" spans="1:18" x14ac:dyDescent="0.25">
      <c r="A343">
        <f t="shared" si="27"/>
        <v>1</v>
      </c>
      <c r="B343" t="str">
        <f t="shared" si="28"/>
        <v/>
      </c>
      <c r="C343">
        <f t="shared" si="30"/>
        <v>1</v>
      </c>
      <c r="D343" s="4"/>
      <c r="E343" t="s">
        <v>18</v>
      </c>
      <c r="F343" t="str">
        <f>INDEX(Establishment!B$2:B$1005,MATCH($E343,Establishment!$A$2:$A$1005,0))</f>
        <v xml:space="preserve"> </v>
      </c>
      <c r="G343" t="str">
        <f>INDEX(Establishment!C$2:C$1005,MATCH($E343,Establishment!$A$2:$A$1005,0))</f>
        <v xml:space="preserve"> </v>
      </c>
      <c r="M343">
        <f t="shared" si="31"/>
        <v>0</v>
      </c>
      <c r="N343">
        <f t="shared" si="29"/>
        <v>0</v>
      </c>
      <c r="P343" t="e">
        <f>INDEX(Items!B$2:B$1032,MATCH($O343,Items!$A$2:$A$1032,0))</f>
        <v>#N/A</v>
      </c>
      <c r="Q343" t="e">
        <f>INDEX(Items!C$2:C$1032,MATCH($O343,Items!$A$2:$A$1032,0))</f>
        <v>#N/A</v>
      </c>
      <c r="R343" t="e">
        <f>INDEX(Items!D$2:D$1032,MATCH($O343,Items!$A$2:$A$1032,0))</f>
        <v>#N/A</v>
      </c>
    </row>
    <row r="344" spans="1:18" x14ac:dyDescent="0.25">
      <c r="A344">
        <f t="shared" si="27"/>
        <v>1</v>
      </c>
      <c r="B344" t="str">
        <f t="shared" si="28"/>
        <v/>
      </c>
      <c r="C344">
        <f t="shared" si="30"/>
        <v>1</v>
      </c>
      <c r="D344" s="4"/>
      <c r="E344" t="s">
        <v>18</v>
      </c>
      <c r="F344" t="str">
        <f>INDEX(Establishment!B$2:B$1005,MATCH($E344,Establishment!$A$2:$A$1005,0))</f>
        <v xml:space="preserve"> </v>
      </c>
      <c r="G344" t="str">
        <f>INDEX(Establishment!C$2:C$1005,MATCH($E344,Establishment!$A$2:$A$1005,0))</f>
        <v xml:space="preserve"> </v>
      </c>
      <c r="M344">
        <f t="shared" si="31"/>
        <v>0</v>
      </c>
      <c r="N344">
        <f t="shared" si="29"/>
        <v>0</v>
      </c>
      <c r="P344" t="e">
        <f>INDEX(Items!B$2:B$1032,MATCH($O344,Items!$A$2:$A$1032,0))</f>
        <v>#N/A</v>
      </c>
      <c r="Q344" t="e">
        <f>INDEX(Items!C$2:C$1032,MATCH($O344,Items!$A$2:$A$1032,0))</f>
        <v>#N/A</v>
      </c>
      <c r="R344" t="e">
        <f>INDEX(Items!D$2:D$1032,MATCH($O344,Items!$A$2:$A$1032,0))</f>
        <v>#N/A</v>
      </c>
    </row>
    <row r="345" spans="1:18" x14ac:dyDescent="0.25">
      <c r="A345">
        <f t="shared" si="27"/>
        <v>1</v>
      </c>
      <c r="B345" t="str">
        <f t="shared" si="28"/>
        <v/>
      </c>
      <c r="C345">
        <f t="shared" si="30"/>
        <v>1</v>
      </c>
      <c r="D345" s="4"/>
      <c r="E345" t="s">
        <v>18</v>
      </c>
      <c r="F345" t="str">
        <f>INDEX(Establishment!B$2:B$1005,MATCH($E345,Establishment!$A$2:$A$1005,0))</f>
        <v xml:space="preserve"> </v>
      </c>
      <c r="G345" t="str">
        <f>INDEX(Establishment!C$2:C$1005,MATCH($E345,Establishment!$A$2:$A$1005,0))</f>
        <v xml:space="preserve"> </v>
      </c>
      <c r="M345">
        <f t="shared" si="31"/>
        <v>0</v>
      </c>
      <c r="N345">
        <f t="shared" si="29"/>
        <v>0</v>
      </c>
      <c r="P345" t="e">
        <f>INDEX(Items!B$2:B$1032,MATCH($O345,Items!$A$2:$A$1032,0))</f>
        <v>#N/A</v>
      </c>
      <c r="Q345" t="e">
        <f>INDEX(Items!C$2:C$1032,MATCH($O345,Items!$A$2:$A$1032,0))</f>
        <v>#N/A</v>
      </c>
      <c r="R345" t="e">
        <f>INDEX(Items!D$2:D$1032,MATCH($O345,Items!$A$2:$A$1032,0))</f>
        <v>#N/A</v>
      </c>
    </row>
    <row r="346" spans="1:18" x14ac:dyDescent="0.25">
      <c r="A346">
        <f t="shared" si="27"/>
        <v>1</v>
      </c>
      <c r="B346" t="str">
        <f t="shared" si="28"/>
        <v/>
      </c>
      <c r="C346">
        <f t="shared" si="30"/>
        <v>1</v>
      </c>
      <c r="D346" s="4"/>
      <c r="E346" t="s">
        <v>18</v>
      </c>
      <c r="F346" t="str">
        <f>INDEX(Establishment!B$2:B$1005,MATCH($E346,Establishment!$A$2:$A$1005,0))</f>
        <v xml:space="preserve"> </v>
      </c>
      <c r="G346" t="str">
        <f>INDEX(Establishment!C$2:C$1005,MATCH($E346,Establishment!$A$2:$A$1005,0))</f>
        <v xml:space="preserve"> </v>
      </c>
      <c r="M346">
        <f t="shared" si="31"/>
        <v>0</v>
      </c>
      <c r="N346">
        <f t="shared" si="29"/>
        <v>0</v>
      </c>
      <c r="P346" t="e">
        <f>INDEX(Items!B$2:B$1032,MATCH($O346,Items!$A$2:$A$1032,0))</f>
        <v>#N/A</v>
      </c>
      <c r="Q346" t="e">
        <f>INDEX(Items!C$2:C$1032,MATCH($O346,Items!$A$2:$A$1032,0))</f>
        <v>#N/A</v>
      </c>
      <c r="R346" t="e">
        <f>INDEX(Items!D$2:D$1032,MATCH($O346,Items!$A$2:$A$1032,0))</f>
        <v>#N/A</v>
      </c>
    </row>
    <row r="347" spans="1:18" x14ac:dyDescent="0.25">
      <c r="A347">
        <f t="shared" si="27"/>
        <v>1</v>
      </c>
      <c r="B347" t="str">
        <f t="shared" si="28"/>
        <v/>
      </c>
      <c r="C347">
        <f t="shared" si="30"/>
        <v>1</v>
      </c>
      <c r="D347" s="4"/>
      <c r="E347" t="s">
        <v>18</v>
      </c>
      <c r="F347" t="str">
        <f>INDEX(Establishment!B$2:B$1005,MATCH($E347,Establishment!$A$2:$A$1005,0))</f>
        <v xml:space="preserve"> </v>
      </c>
      <c r="G347" t="str">
        <f>INDEX(Establishment!C$2:C$1005,MATCH($E347,Establishment!$A$2:$A$1005,0))</f>
        <v xml:space="preserve"> </v>
      </c>
      <c r="M347">
        <f t="shared" si="31"/>
        <v>0</v>
      </c>
      <c r="N347">
        <f t="shared" si="29"/>
        <v>0</v>
      </c>
      <c r="P347" t="e">
        <f>INDEX(Items!B$2:B$1032,MATCH($O347,Items!$A$2:$A$1032,0))</f>
        <v>#N/A</v>
      </c>
      <c r="Q347" t="e">
        <f>INDEX(Items!C$2:C$1032,MATCH($O347,Items!$A$2:$A$1032,0))</f>
        <v>#N/A</v>
      </c>
      <c r="R347" t="e">
        <f>INDEX(Items!D$2:D$1032,MATCH($O347,Items!$A$2:$A$1032,0))</f>
        <v>#N/A</v>
      </c>
    </row>
    <row r="348" spans="1:18" x14ac:dyDescent="0.25">
      <c r="A348">
        <f t="shared" si="27"/>
        <v>1</v>
      </c>
      <c r="B348" t="str">
        <f t="shared" si="28"/>
        <v/>
      </c>
      <c r="C348">
        <f t="shared" si="30"/>
        <v>1</v>
      </c>
      <c r="D348" s="4"/>
      <c r="E348" t="s">
        <v>18</v>
      </c>
      <c r="F348" t="str">
        <f>INDEX(Establishment!B$2:B$1005,MATCH($E348,Establishment!$A$2:$A$1005,0))</f>
        <v xml:space="preserve"> </v>
      </c>
      <c r="G348" t="str">
        <f>INDEX(Establishment!C$2:C$1005,MATCH($E348,Establishment!$A$2:$A$1005,0))</f>
        <v xml:space="preserve"> </v>
      </c>
      <c r="M348">
        <f t="shared" si="31"/>
        <v>0</v>
      </c>
      <c r="N348">
        <f t="shared" si="29"/>
        <v>0</v>
      </c>
      <c r="P348" t="e">
        <f>INDEX(Items!B$2:B$1032,MATCH($O348,Items!$A$2:$A$1032,0))</f>
        <v>#N/A</v>
      </c>
      <c r="Q348" t="e">
        <f>INDEX(Items!C$2:C$1032,MATCH($O348,Items!$A$2:$A$1032,0))</f>
        <v>#N/A</v>
      </c>
      <c r="R348" t="e">
        <f>INDEX(Items!D$2:D$1032,MATCH($O348,Items!$A$2:$A$1032,0))</f>
        <v>#N/A</v>
      </c>
    </row>
    <row r="349" spans="1:18" x14ac:dyDescent="0.25">
      <c r="A349">
        <f t="shared" si="27"/>
        <v>1</v>
      </c>
      <c r="B349" t="str">
        <f t="shared" si="28"/>
        <v/>
      </c>
      <c r="C349">
        <f t="shared" si="30"/>
        <v>1</v>
      </c>
      <c r="D349" s="4"/>
      <c r="E349" t="s">
        <v>18</v>
      </c>
      <c r="F349" t="str">
        <f>INDEX(Establishment!B$2:B$1005,MATCH($E349,Establishment!$A$2:$A$1005,0))</f>
        <v xml:space="preserve"> </v>
      </c>
      <c r="G349" t="str">
        <f>INDEX(Establishment!C$2:C$1005,MATCH($E349,Establishment!$A$2:$A$1005,0))</f>
        <v xml:space="preserve"> </v>
      </c>
      <c r="M349">
        <f t="shared" si="31"/>
        <v>0</v>
      </c>
      <c r="N349">
        <f t="shared" si="29"/>
        <v>0</v>
      </c>
      <c r="P349" t="e">
        <f>INDEX(Items!B$2:B$1032,MATCH($O349,Items!$A$2:$A$1032,0))</f>
        <v>#N/A</v>
      </c>
      <c r="Q349" t="e">
        <f>INDEX(Items!C$2:C$1032,MATCH($O349,Items!$A$2:$A$1032,0))</f>
        <v>#N/A</v>
      </c>
      <c r="R349" t="e">
        <f>INDEX(Items!D$2:D$1032,MATCH($O349,Items!$A$2:$A$1032,0))</f>
        <v>#N/A</v>
      </c>
    </row>
    <row r="350" spans="1:18" x14ac:dyDescent="0.25">
      <c r="A350">
        <f t="shared" si="27"/>
        <v>1</v>
      </c>
      <c r="B350" t="str">
        <f t="shared" si="28"/>
        <v/>
      </c>
      <c r="C350">
        <f t="shared" si="30"/>
        <v>1</v>
      </c>
      <c r="D350" s="4"/>
      <c r="E350" t="s">
        <v>18</v>
      </c>
      <c r="F350" t="str">
        <f>INDEX(Establishment!B$2:B$1005,MATCH($E350,Establishment!$A$2:$A$1005,0))</f>
        <v xml:space="preserve"> </v>
      </c>
      <c r="G350" t="str">
        <f>INDEX(Establishment!C$2:C$1005,MATCH($E350,Establishment!$A$2:$A$1005,0))</f>
        <v xml:space="preserve"> </v>
      </c>
      <c r="M350">
        <f t="shared" si="31"/>
        <v>0</v>
      </c>
      <c r="N350">
        <f t="shared" si="29"/>
        <v>0</v>
      </c>
      <c r="P350" t="e">
        <f>INDEX(Items!B$2:B$1032,MATCH($O350,Items!$A$2:$A$1032,0))</f>
        <v>#N/A</v>
      </c>
      <c r="Q350" t="e">
        <f>INDEX(Items!C$2:C$1032,MATCH($O350,Items!$A$2:$A$1032,0))</f>
        <v>#N/A</v>
      </c>
      <c r="R350" t="e">
        <f>INDEX(Items!D$2:D$1032,MATCH($O350,Items!$A$2:$A$1032,0))</f>
        <v>#N/A</v>
      </c>
    </row>
    <row r="351" spans="1:18" x14ac:dyDescent="0.25">
      <c r="A351">
        <f t="shared" si="27"/>
        <v>1</v>
      </c>
      <c r="B351" t="str">
        <f t="shared" si="28"/>
        <v/>
      </c>
      <c r="C351">
        <f t="shared" si="30"/>
        <v>1</v>
      </c>
      <c r="D351" s="4"/>
      <c r="E351" t="s">
        <v>18</v>
      </c>
      <c r="F351" t="str">
        <f>INDEX(Establishment!B$2:B$1005,MATCH($E351,Establishment!$A$2:$A$1005,0))</f>
        <v xml:space="preserve"> </v>
      </c>
      <c r="G351" t="str">
        <f>INDEX(Establishment!C$2:C$1005,MATCH($E351,Establishment!$A$2:$A$1005,0))</f>
        <v xml:space="preserve"> </v>
      </c>
      <c r="M351">
        <f t="shared" si="31"/>
        <v>0</v>
      </c>
      <c r="N351">
        <f t="shared" si="29"/>
        <v>0</v>
      </c>
      <c r="P351" t="e">
        <f>INDEX(Items!B$2:B$1032,MATCH($O351,Items!$A$2:$A$1032,0))</f>
        <v>#N/A</v>
      </c>
      <c r="Q351" t="e">
        <f>INDEX(Items!C$2:C$1032,MATCH($O351,Items!$A$2:$A$1032,0))</f>
        <v>#N/A</v>
      </c>
      <c r="R351" t="e">
        <f>INDEX(Items!D$2:D$1032,MATCH($O351,Items!$A$2:$A$1032,0))</f>
        <v>#N/A</v>
      </c>
    </row>
    <row r="352" spans="1:18" x14ac:dyDescent="0.25">
      <c r="A352">
        <f t="shared" si="27"/>
        <v>1</v>
      </c>
      <c r="B352" t="str">
        <f t="shared" si="28"/>
        <v/>
      </c>
      <c r="C352">
        <f t="shared" si="30"/>
        <v>1</v>
      </c>
      <c r="D352" s="4"/>
      <c r="E352" t="s">
        <v>18</v>
      </c>
      <c r="F352" t="str">
        <f>INDEX(Establishment!B$2:B$1005,MATCH($E352,Establishment!$A$2:$A$1005,0))</f>
        <v xml:space="preserve"> </v>
      </c>
      <c r="G352" t="str">
        <f>INDEX(Establishment!C$2:C$1005,MATCH($E352,Establishment!$A$2:$A$1005,0))</f>
        <v xml:space="preserve"> </v>
      </c>
      <c r="M352">
        <f t="shared" si="31"/>
        <v>0</v>
      </c>
      <c r="N352">
        <f t="shared" si="29"/>
        <v>0</v>
      </c>
      <c r="P352" t="e">
        <f>INDEX(Items!B$2:B$1032,MATCH($O352,Items!$A$2:$A$1032,0))</f>
        <v>#N/A</v>
      </c>
      <c r="Q352" t="e">
        <f>INDEX(Items!C$2:C$1032,MATCH($O352,Items!$A$2:$A$1032,0))</f>
        <v>#N/A</v>
      </c>
      <c r="R352" t="e">
        <f>INDEX(Items!D$2:D$1032,MATCH($O352,Items!$A$2:$A$1032,0))</f>
        <v>#N/A</v>
      </c>
    </row>
    <row r="353" spans="1:18" x14ac:dyDescent="0.25">
      <c r="A353">
        <f t="shared" si="27"/>
        <v>1</v>
      </c>
      <c r="B353" t="str">
        <f t="shared" si="28"/>
        <v/>
      </c>
      <c r="C353">
        <f t="shared" si="30"/>
        <v>1</v>
      </c>
      <c r="D353" s="4"/>
      <c r="E353" t="s">
        <v>18</v>
      </c>
      <c r="F353" t="str">
        <f>INDEX(Establishment!B$2:B$1005,MATCH($E353,Establishment!$A$2:$A$1005,0))</f>
        <v xml:space="preserve"> </v>
      </c>
      <c r="G353" t="str">
        <f>INDEX(Establishment!C$2:C$1005,MATCH($E353,Establishment!$A$2:$A$1005,0))</f>
        <v xml:space="preserve"> </v>
      </c>
      <c r="M353">
        <f t="shared" si="31"/>
        <v>0</v>
      </c>
      <c r="N353">
        <f t="shared" si="29"/>
        <v>0</v>
      </c>
      <c r="P353" t="e">
        <f>INDEX(Items!B$2:B$1032,MATCH($O353,Items!$A$2:$A$1032,0))</f>
        <v>#N/A</v>
      </c>
      <c r="Q353" t="e">
        <f>INDEX(Items!C$2:C$1032,MATCH($O353,Items!$A$2:$A$1032,0))</f>
        <v>#N/A</v>
      </c>
      <c r="R353" t="e">
        <f>INDEX(Items!D$2:D$1032,MATCH($O353,Items!$A$2:$A$1032,0))</f>
        <v>#N/A</v>
      </c>
    </row>
    <row r="354" spans="1:18" x14ac:dyDescent="0.25">
      <c r="A354">
        <f t="shared" si="27"/>
        <v>1</v>
      </c>
      <c r="B354" t="str">
        <f t="shared" si="28"/>
        <v/>
      </c>
      <c r="C354">
        <f t="shared" si="30"/>
        <v>1</v>
      </c>
      <c r="D354" s="4"/>
      <c r="E354" t="s">
        <v>18</v>
      </c>
      <c r="F354" t="str">
        <f>INDEX(Establishment!B$2:B$1005,MATCH($E354,Establishment!$A$2:$A$1005,0))</f>
        <v xml:space="preserve"> </v>
      </c>
      <c r="G354" t="str">
        <f>INDEX(Establishment!C$2:C$1005,MATCH($E354,Establishment!$A$2:$A$1005,0))</f>
        <v xml:space="preserve"> </v>
      </c>
      <c r="M354">
        <f t="shared" si="31"/>
        <v>0</v>
      </c>
      <c r="N354">
        <f t="shared" si="29"/>
        <v>0</v>
      </c>
      <c r="P354" t="e">
        <f>INDEX(Items!B$2:B$1032,MATCH($O354,Items!$A$2:$A$1032,0))</f>
        <v>#N/A</v>
      </c>
      <c r="Q354" t="e">
        <f>INDEX(Items!C$2:C$1032,MATCH($O354,Items!$A$2:$A$1032,0))</f>
        <v>#N/A</v>
      </c>
      <c r="R354" t="e">
        <f>INDEX(Items!D$2:D$1032,MATCH($O354,Items!$A$2:$A$1032,0))</f>
        <v>#N/A</v>
      </c>
    </row>
    <row r="355" spans="1:18" x14ac:dyDescent="0.25">
      <c r="A355">
        <f t="shared" si="27"/>
        <v>1</v>
      </c>
      <c r="B355" t="str">
        <f t="shared" si="28"/>
        <v/>
      </c>
      <c r="C355">
        <f t="shared" si="30"/>
        <v>1</v>
      </c>
      <c r="D355" s="4"/>
      <c r="E355" t="s">
        <v>18</v>
      </c>
      <c r="F355" t="str">
        <f>INDEX(Establishment!B$2:B$1005,MATCH($E355,Establishment!$A$2:$A$1005,0))</f>
        <v xml:space="preserve"> </v>
      </c>
      <c r="G355" t="str">
        <f>INDEX(Establishment!C$2:C$1005,MATCH($E355,Establishment!$A$2:$A$1005,0))</f>
        <v xml:space="preserve"> </v>
      </c>
      <c r="M355">
        <f t="shared" si="31"/>
        <v>0</v>
      </c>
      <c r="N355">
        <f t="shared" si="29"/>
        <v>0</v>
      </c>
      <c r="P355" t="e">
        <f>INDEX(Items!B$2:B$1032,MATCH($O355,Items!$A$2:$A$1032,0))</f>
        <v>#N/A</v>
      </c>
      <c r="Q355" t="e">
        <f>INDEX(Items!C$2:C$1032,MATCH($O355,Items!$A$2:$A$1032,0))</f>
        <v>#N/A</v>
      </c>
      <c r="R355" t="e">
        <f>INDEX(Items!D$2:D$1032,MATCH($O355,Items!$A$2:$A$1032,0))</f>
        <v>#N/A</v>
      </c>
    </row>
    <row r="356" spans="1:18" x14ac:dyDescent="0.25">
      <c r="A356">
        <f t="shared" si="27"/>
        <v>1</v>
      </c>
      <c r="B356" t="str">
        <f t="shared" si="28"/>
        <v/>
      </c>
      <c r="C356">
        <f t="shared" si="30"/>
        <v>1</v>
      </c>
      <c r="D356" s="4"/>
      <c r="E356" t="s">
        <v>18</v>
      </c>
      <c r="F356" t="str">
        <f>INDEX(Establishment!B$2:B$1005,MATCH($E356,Establishment!$A$2:$A$1005,0))</f>
        <v xml:space="preserve"> </v>
      </c>
      <c r="G356" t="str">
        <f>INDEX(Establishment!C$2:C$1005,MATCH($E356,Establishment!$A$2:$A$1005,0))</f>
        <v xml:space="preserve"> </v>
      </c>
      <c r="M356">
        <f t="shared" si="31"/>
        <v>0</v>
      </c>
      <c r="N356">
        <f t="shared" si="29"/>
        <v>0</v>
      </c>
      <c r="P356" t="e">
        <f>INDEX(Items!B$2:B$1032,MATCH($O356,Items!$A$2:$A$1032,0))</f>
        <v>#N/A</v>
      </c>
      <c r="Q356" t="e">
        <f>INDEX(Items!C$2:C$1032,MATCH($O356,Items!$A$2:$A$1032,0))</f>
        <v>#N/A</v>
      </c>
      <c r="R356" t="e">
        <f>INDEX(Items!D$2:D$1032,MATCH($O356,Items!$A$2:$A$1032,0))</f>
        <v>#N/A</v>
      </c>
    </row>
    <row r="357" spans="1:18" x14ac:dyDescent="0.25">
      <c r="A357">
        <f t="shared" si="27"/>
        <v>1</v>
      </c>
      <c r="B357" t="str">
        <f t="shared" si="28"/>
        <v/>
      </c>
      <c r="C357">
        <f t="shared" si="30"/>
        <v>1</v>
      </c>
      <c r="D357" s="4"/>
      <c r="E357" t="s">
        <v>18</v>
      </c>
      <c r="F357" t="str">
        <f>INDEX(Establishment!B$2:B$1005,MATCH($E357,Establishment!$A$2:$A$1005,0))</f>
        <v xml:space="preserve"> </v>
      </c>
      <c r="G357" t="str">
        <f>INDEX(Establishment!C$2:C$1005,MATCH($E357,Establishment!$A$2:$A$1005,0))</f>
        <v xml:space="preserve"> </v>
      </c>
      <c r="M357">
        <f t="shared" si="31"/>
        <v>0</v>
      </c>
      <c r="N357">
        <f t="shared" si="29"/>
        <v>0</v>
      </c>
      <c r="P357" t="e">
        <f>INDEX(Items!B$2:B$1032,MATCH($O357,Items!$A$2:$A$1032,0))</f>
        <v>#N/A</v>
      </c>
      <c r="Q357" t="e">
        <f>INDEX(Items!C$2:C$1032,MATCH($O357,Items!$A$2:$A$1032,0))</f>
        <v>#N/A</v>
      </c>
      <c r="R357" t="e">
        <f>INDEX(Items!D$2:D$1032,MATCH($O357,Items!$A$2:$A$1032,0))</f>
        <v>#N/A</v>
      </c>
    </row>
    <row r="358" spans="1:18" x14ac:dyDescent="0.25">
      <c r="A358">
        <f t="shared" si="27"/>
        <v>1</v>
      </c>
      <c r="B358" t="str">
        <f t="shared" si="28"/>
        <v/>
      </c>
      <c r="C358">
        <f t="shared" si="30"/>
        <v>1</v>
      </c>
      <c r="D358" s="4"/>
      <c r="E358" t="s">
        <v>18</v>
      </c>
      <c r="F358" t="str">
        <f>INDEX(Establishment!B$2:B$1005,MATCH($E358,Establishment!$A$2:$A$1005,0))</f>
        <v xml:space="preserve"> </v>
      </c>
      <c r="G358" t="str">
        <f>INDEX(Establishment!C$2:C$1005,MATCH($E358,Establishment!$A$2:$A$1005,0))</f>
        <v xml:space="preserve"> </v>
      </c>
      <c r="M358">
        <f t="shared" si="31"/>
        <v>0</v>
      </c>
      <c r="N358">
        <f t="shared" si="29"/>
        <v>0</v>
      </c>
      <c r="P358" t="e">
        <f>INDEX(Items!B$2:B$1032,MATCH($O358,Items!$A$2:$A$1032,0))</f>
        <v>#N/A</v>
      </c>
      <c r="Q358" t="e">
        <f>INDEX(Items!C$2:C$1032,MATCH($O358,Items!$A$2:$A$1032,0))</f>
        <v>#N/A</v>
      </c>
      <c r="R358" t="e">
        <f>INDEX(Items!D$2:D$1032,MATCH($O358,Items!$A$2:$A$1032,0))</f>
        <v>#N/A</v>
      </c>
    </row>
    <row r="359" spans="1:18" x14ac:dyDescent="0.25">
      <c r="A359">
        <f t="shared" si="27"/>
        <v>1</v>
      </c>
      <c r="B359" t="str">
        <f t="shared" si="28"/>
        <v/>
      </c>
      <c r="C359">
        <f t="shared" si="30"/>
        <v>1</v>
      </c>
      <c r="D359" s="4"/>
      <c r="E359" t="s">
        <v>18</v>
      </c>
      <c r="F359" t="str">
        <f>INDEX(Establishment!B$2:B$1005,MATCH($E359,Establishment!$A$2:$A$1005,0))</f>
        <v xml:space="preserve"> </v>
      </c>
      <c r="G359" t="str">
        <f>INDEX(Establishment!C$2:C$1005,MATCH($E359,Establishment!$A$2:$A$1005,0))</f>
        <v xml:space="preserve"> </v>
      </c>
      <c r="M359">
        <f t="shared" si="31"/>
        <v>0</v>
      </c>
      <c r="N359">
        <f t="shared" si="29"/>
        <v>0</v>
      </c>
      <c r="P359" t="e">
        <f>INDEX(Items!B$2:B$1032,MATCH($O359,Items!$A$2:$A$1032,0))</f>
        <v>#N/A</v>
      </c>
      <c r="Q359" t="e">
        <f>INDEX(Items!C$2:C$1032,MATCH($O359,Items!$A$2:$A$1032,0))</f>
        <v>#N/A</v>
      </c>
      <c r="R359" t="e">
        <f>INDEX(Items!D$2:D$1032,MATCH($O359,Items!$A$2:$A$1032,0))</f>
        <v>#N/A</v>
      </c>
    </row>
    <row r="360" spans="1:18" x14ac:dyDescent="0.25">
      <c r="A360">
        <f t="shared" si="27"/>
        <v>1</v>
      </c>
      <c r="B360" t="str">
        <f t="shared" si="28"/>
        <v/>
      </c>
      <c r="C360">
        <f t="shared" si="30"/>
        <v>1</v>
      </c>
      <c r="D360" s="4"/>
      <c r="E360" t="s">
        <v>18</v>
      </c>
      <c r="F360" t="str">
        <f>INDEX(Establishment!B$2:B$1005,MATCH($E360,Establishment!$A$2:$A$1005,0))</f>
        <v xml:space="preserve"> </v>
      </c>
      <c r="G360" t="str">
        <f>INDEX(Establishment!C$2:C$1005,MATCH($E360,Establishment!$A$2:$A$1005,0))</f>
        <v xml:space="preserve"> </v>
      </c>
      <c r="M360">
        <f t="shared" si="31"/>
        <v>0</v>
      </c>
      <c r="N360">
        <f t="shared" si="29"/>
        <v>0</v>
      </c>
      <c r="P360" t="e">
        <f>INDEX(Items!B$2:B$1032,MATCH($O360,Items!$A$2:$A$1032,0))</f>
        <v>#N/A</v>
      </c>
      <c r="Q360" t="e">
        <f>INDEX(Items!C$2:C$1032,MATCH($O360,Items!$A$2:$A$1032,0))</f>
        <v>#N/A</v>
      </c>
      <c r="R360" t="e">
        <f>INDEX(Items!D$2:D$1032,MATCH($O360,Items!$A$2:$A$1032,0))</f>
        <v>#N/A</v>
      </c>
    </row>
    <row r="361" spans="1:18" x14ac:dyDescent="0.25">
      <c r="A361">
        <f t="shared" si="27"/>
        <v>1</v>
      </c>
      <c r="B361" t="str">
        <f t="shared" si="28"/>
        <v/>
      </c>
      <c r="C361">
        <f t="shared" si="30"/>
        <v>1</v>
      </c>
      <c r="D361" s="4"/>
      <c r="E361" t="s">
        <v>18</v>
      </c>
      <c r="F361" t="str">
        <f>INDEX(Establishment!B$2:B$1005,MATCH($E361,Establishment!$A$2:$A$1005,0))</f>
        <v xml:space="preserve"> </v>
      </c>
      <c r="G361" t="str">
        <f>INDEX(Establishment!C$2:C$1005,MATCH($E361,Establishment!$A$2:$A$1005,0))</f>
        <v xml:space="preserve"> </v>
      </c>
      <c r="M361">
        <f t="shared" si="31"/>
        <v>0</v>
      </c>
      <c r="N361">
        <f t="shared" si="29"/>
        <v>0</v>
      </c>
      <c r="P361" t="e">
        <f>INDEX(Items!B$2:B$1032,MATCH($O361,Items!$A$2:$A$1032,0))</f>
        <v>#N/A</v>
      </c>
      <c r="Q361" t="e">
        <f>INDEX(Items!C$2:C$1032,MATCH($O361,Items!$A$2:$A$1032,0))</f>
        <v>#N/A</v>
      </c>
      <c r="R361" t="e">
        <f>INDEX(Items!D$2:D$1032,MATCH($O361,Items!$A$2:$A$1032,0))</f>
        <v>#N/A</v>
      </c>
    </row>
    <row r="362" spans="1:18" x14ac:dyDescent="0.25">
      <c r="A362">
        <f t="shared" si="27"/>
        <v>1</v>
      </c>
      <c r="B362" t="str">
        <f t="shared" si="28"/>
        <v/>
      </c>
      <c r="C362">
        <f t="shared" si="30"/>
        <v>1</v>
      </c>
      <c r="D362" s="4"/>
      <c r="E362" t="s">
        <v>18</v>
      </c>
      <c r="F362" t="str">
        <f>INDEX(Establishment!B$2:B$1005,MATCH($E362,Establishment!$A$2:$A$1005,0))</f>
        <v xml:space="preserve"> </v>
      </c>
      <c r="G362" t="str">
        <f>INDEX(Establishment!C$2:C$1005,MATCH($E362,Establishment!$A$2:$A$1005,0))</f>
        <v xml:space="preserve"> </v>
      </c>
      <c r="M362">
        <f t="shared" si="31"/>
        <v>0</v>
      </c>
      <c r="N362">
        <f t="shared" si="29"/>
        <v>0</v>
      </c>
      <c r="P362" t="e">
        <f>INDEX(Items!B$2:B$1032,MATCH($O362,Items!$A$2:$A$1032,0))</f>
        <v>#N/A</v>
      </c>
      <c r="Q362" t="e">
        <f>INDEX(Items!C$2:C$1032,MATCH($O362,Items!$A$2:$A$1032,0))</f>
        <v>#N/A</v>
      </c>
      <c r="R362" t="e">
        <f>INDEX(Items!D$2:D$1032,MATCH($O362,Items!$A$2:$A$1032,0))</f>
        <v>#N/A</v>
      </c>
    </row>
    <row r="363" spans="1:18" x14ac:dyDescent="0.25">
      <c r="A363">
        <f t="shared" si="27"/>
        <v>1</v>
      </c>
      <c r="B363" t="str">
        <f t="shared" si="28"/>
        <v/>
      </c>
      <c r="C363">
        <f t="shared" si="30"/>
        <v>1</v>
      </c>
      <c r="D363" s="4"/>
      <c r="E363" t="s">
        <v>18</v>
      </c>
      <c r="F363" t="str">
        <f>INDEX(Establishment!B$2:B$1005,MATCH($E363,Establishment!$A$2:$A$1005,0))</f>
        <v xml:space="preserve"> </v>
      </c>
      <c r="G363" t="str">
        <f>INDEX(Establishment!C$2:C$1005,MATCH($E363,Establishment!$A$2:$A$1005,0))</f>
        <v xml:space="preserve"> </v>
      </c>
      <c r="M363">
        <f t="shared" si="31"/>
        <v>0</v>
      </c>
      <c r="N363">
        <f t="shared" si="29"/>
        <v>0</v>
      </c>
      <c r="P363" t="e">
        <f>INDEX(Items!B$2:B$1032,MATCH($O363,Items!$A$2:$A$1032,0))</f>
        <v>#N/A</v>
      </c>
      <c r="Q363" t="e">
        <f>INDEX(Items!C$2:C$1032,MATCH($O363,Items!$A$2:$A$1032,0))</f>
        <v>#N/A</v>
      </c>
      <c r="R363" t="e">
        <f>INDEX(Items!D$2:D$1032,MATCH($O363,Items!$A$2:$A$1032,0))</f>
        <v>#N/A</v>
      </c>
    </row>
    <row r="364" spans="1:18" x14ac:dyDescent="0.25">
      <c r="A364">
        <f t="shared" si="27"/>
        <v>1</v>
      </c>
      <c r="B364" t="str">
        <f t="shared" si="28"/>
        <v/>
      </c>
      <c r="C364">
        <f t="shared" si="30"/>
        <v>1</v>
      </c>
      <c r="D364" s="4"/>
      <c r="E364" t="s">
        <v>18</v>
      </c>
      <c r="F364" t="str">
        <f>INDEX(Establishment!B$2:B$1005,MATCH($E364,Establishment!$A$2:$A$1005,0))</f>
        <v xml:space="preserve"> </v>
      </c>
      <c r="G364" t="str">
        <f>INDEX(Establishment!C$2:C$1005,MATCH($E364,Establishment!$A$2:$A$1005,0))</f>
        <v xml:space="preserve"> </v>
      </c>
      <c r="M364">
        <f t="shared" si="31"/>
        <v>0</v>
      </c>
      <c r="N364">
        <f t="shared" si="29"/>
        <v>0</v>
      </c>
      <c r="P364" t="e">
        <f>INDEX(Items!B$2:B$1032,MATCH($O364,Items!$A$2:$A$1032,0))</f>
        <v>#N/A</v>
      </c>
      <c r="Q364" t="e">
        <f>INDEX(Items!C$2:C$1032,MATCH($O364,Items!$A$2:$A$1032,0))</f>
        <v>#N/A</v>
      </c>
      <c r="R364" t="e">
        <f>INDEX(Items!D$2:D$1032,MATCH($O364,Items!$A$2:$A$1032,0))</f>
        <v>#N/A</v>
      </c>
    </row>
    <row r="365" spans="1:18" x14ac:dyDescent="0.25">
      <c r="A365">
        <f t="shared" si="27"/>
        <v>1</v>
      </c>
      <c r="B365" t="str">
        <f t="shared" si="28"/>
        <v/>
      </c>
      <c r="C365">
        <f t="shared" si="30"/>
        <v>1</v>
      </c>
      <c r="D365" s="4"/>
      <c r="E365" t="s">
        <v>18</v>
      </c>
      <c r="F365" t="str">
        <f>INDEX(Establishment!B$2:B$1005,MATCH($E365,Establishment!$A$2:$A$1005,0))</f>
        <v xml:space="preserve"> </v>
      </c>
      <c r="G365" t="str">
        <f>INDEX(Establishment!C$2:C$1005,MATCH($E365,Establishment!$A$2:$A$1005,0))</f>
        <v xml:space="preserve"> </v>
      </c>
      <c r="M365">
        <f t="shared" si="31"/>
        <v>0</v>
      </c>
      <c r="N365">
        <f t="shared" si="29"/>
        <v>0</v>
      </c>
      <c r="P365" t="e">
        <f>INDEX(Items!B$2:B$1032,MATCH($O365,Items!$A$2:$A$1032,0))</f>
        <v>#N/A</v>
      </c>
      <c r="Q365" t="e">
        <f>INDEX(Items!C$2:C$1032,MATCH($O365,Items!$A$2:$A$1032,0))</f>
        <v>#N/A</v>
      </c>
      <c r="R365" t="e">
        <f>INDEX(Items!D$2:D$1032,MATCH($O365,Items!$A$2:$A$1032,0))</f>
        <v>#N/A</v>
      </c>
    </row>
    <row r="366" spans="1:18" x14ac:dyDescent="0.25">
      <c r="A366">
        <f t="shared" si="27"/>
        <v>1</v>
      </c>
      <c r="B366" t="str">
        <f t="shared" si="28"/>
        <v/>
      </c>
      <c r="C366">
        <f t="shared" si="30"/>
        <v>1</v>
      </c>
      <c r="D366" s="4"/>
      <c r="E366" t="s">
        <v>18</v>
      </c>
      <c r="F366" t="str">
        <f>INDEX(Establishment!B$2:B$1005,MATCH($E366,Establishment!$A$2:$A$1005,0))</f>
        <v xml:space="preserve"> </v>
      </c>
      <c r="G366" t="str">
        <f>INDEX(Establishment!C$2:C$1005,MATCH($E366,Establishment!$A$2:$A$1005,0))</f>
        <v xml:space="preserve"> </v>
      </c>
      <c r="M366">
        <f t="shared" si="31"/>
        <v>0</v>
      </c>
      <c r="N366">
        <f t="shared" si="29"/>
        <v>0</v>
      </c>
      <c r="P366" t="e">
        <f>INDEX(Items!B$2:B$1032,MATCH($O366,Items!$A$2:$A$1032,0))</f>
        <v>#N/A</v>
      </c>
      <c r="Q366" t="e">
        <f>INDEX(Items!C$2:C$1032,MATCH($O366,Items!$A$2:$A$1032,0))</f>
        <v>#N/A</v>
      </c>
      <c r="R366" t="e">
        <f>INDEX(Items!D$2:D$1032,MATCH($O366,Items!$A$2:$A$1032,0))</f>
        <v>#N/A</v>
      </c>
    </row>
    <row r="367" spans="1:18" x14ac:dyDescent="0.25">
      <c r="A367">
        <f t="shared" si="27"/>
        <v>1</v>
      </c>
      <c r="B367" t="str">
        <f t="shared" si="28"/>
        <v/>
      </c>
      <c r="C367">
        <f t="shared" si="30"/>
        <v>1</v>
      </c>
      <c r="D367" s="4"/>
      <c r="E367" t="s">
        <v>18</v>
      </c>
      <c r="F367" t="str">
        <f>INDEX(Establishment!B$2:B$1005,MATCH($E367,Establishment!$A$2:$A$1005,0))</f>
        <v xml:space="preserve"> </v>
      </c>
      <c r="G367" t="str">
        <f>INDEX(Establishment!C$2:C$1005,MATCH($E367,Establishment!$A$2:$A$1005,0))</f>
        <v xml:space="preserve"> </v>
      </c>
      <c r="M367">
        <f t="shared" si="31"/>
        <v>0</v>
      </c>
      <c r="N367">
        <f t="shared" si="29"/>
        <v>0</v>
      </c>
      <c r="P367" t="e">
        <f>INDEX(Items!B$2:B$1032,MATCH($O367,Items!$A$2:$A$1032,0))</f>
        <v>#N/A</v>
      </c>
      <c r="Q367" t="e">
        <f>INDEX(Items!C$2:C$1032,MATCH($O367,Items!$A$2:$A$1032,0))</f>
        <v>#N/A</v>
      </c>
      <c r="R367" t="e">
        <f>INDEX(Items!D$2:D$1032,MATCH($O367,Items!$A$2:$A$1032,0))</f>
        <v>#N/A</v>
      </c>
    </row>
    <row r="368" spans="1:18" x14ac:dyDescent="0.25">
      <c r="A368">
        <f t="shared" si="27"/>
        <v>1</v>
      </c>
      <c r="B368" t="str">
        <f t="shared" si="28"/>
        <v/>
      </c>
      <c r="C368">
        <f t="shared" si="30"/>
        <v>1</v>
      </c>
      <c r="D368" s="4"/>
      <c r="E368" t="s">
        <v>18</v>
      </c>
      <c r="F368" t="str">
        <f>INDEX(Establishment!B$2:B$1005,MATCH($E368,Establishment!$A$2:$A$1005,0))</f>
        <v xml:space="preserve"> </v>
      </c>
      <c r="G368" t="str">
        <f>INDEX(Establishment!C$2:C$1005,MATCH($E368,Establishment!$A$2:$A$1005,0))</f>
        <v xml:space="preserve"> </v>
      </c>
      <c r="M368">
        <f t="shared" si="31"/>
        <v>0</v>
      </c>
      <c r="N368">
        <f t="shared" si="29"/>
        <v>0</v>
      </c>
      <c r="P368" t="e">
        <f>INDEX(Items!B$2:B$1032,MATCH($O368,Items!$A$2:$A$1032,0))</f>
        <v>#N/A</v>
      </c>
      <c r="Q368" t="e">
        <f>INDEX(Items!C$2:C$1032,MATCH($O368,Items!$A$2:$A$1032,0))</f>
        <v>#N/A</v>
      </c>
      <c r="R368" t="e">
        <f>INDEX(Items!D$2:D$1032,MATCH($O368,Items!$A$2:$A$1032,0))</f>
        <v>#N/A</v>
      </c>
    </row>
    <row r="369" spans="1:18" x14ac:dyDescent="0.25">
      <c r="A369">
        <f t="shared" si="27"/>
        <v>1</v>
      </c>
      <c r="B369" t="str">
        <f t="shared" si="28"/>
        <v/>
      </c>
      <c r="C369">
        <f t="shared" si="30"/>
        <v>1</v>
      </c>
      <c r="D369" s="4"/>
      <c r="E369" t="s">
        <v>18</v>
      </c>
      <c r="F369" t="str">
        <f>INDEX(Establishment!B$2:B$1005,MATCH($E369,Establishment!$A$2:$A$1005,0))</f>
        <v xml:space="preserve"> </v>
      </c>
      <c r="G369" t="str">
        <f>INDEX(Establishment!C$2:C$1005,MATCH($E369,Establishment!$A$2:$A$1005,0))</f>
        <v xml:space="preserve"> </v>
      </c>
      <c r="M369">
        <f t="shared" si="31"/>
        <v>0</v>
      </c>
      <c r="N369">
        <f t="shared" si="29"/>
        <v>0</v>
      </c>
      <c r="P369" t="e">
        <f>INDEX(Items!B$2:B$1032,MATCH($O369,Items!$A$2:$A$1032,0))</f>
        <v>#N/A</v>
      </c>
      <c r="Q369" t="e">
        <f>INDEX(Items!C$2:C$1032,MATCH($O369,Items!$A$2:$A$1032,0))</f>
        <v>#N/A</v>
      </c>
      <c r="R369" t="e">
        <f>INDEX(Items!D$2:D$1032,MATCH($O369,Items!$A$2:$A$1032,0))</f>
        <v>#N/A</v>
      </c>
    </row>
    <row r="370" spans="1:18" x14ac:dyDescent="0.25">
      <c r="A370">
        <f t="shared" si="27"/>
        <v>1</v>
      </c>
      <c r="B370" t="str">
        <f t="shared" si="28"/>
        <v/>
      </c>
      <c r="C370">
        <f t="shared" si="30"/>
        <v>1</v>
      </c>
      <c r="D370" s="4"/>
      <c r="E370" t="s">
        <v>18</v>
      </c>
      <c r="F370" t="str">
        <f>INDEX(Establishment!B$2:B$1005,MATCH($E370,Establishment!$A$2:$A$1005,0))</f>
        <v xml:space="preserve"> </v>
      </c>
      <c r="G370" t="str">
        <f>INDEX(Establishment!C$2:C$1005,MATCH($E370,Establishment!$A$2:$A$1005,0))</f>
        <v xml:space="preserve"> </v>
      </c>
      <c r="M370">
        <f t="shared" si="31"/>
        <v>0</v>
      </c>
      <c r="N370">
        <f t="shared" si="29"/>
        <v>0</v>
      </c>
      <c r="P370" t="e">
        <f>INDEX(Items!B$2:B$1032,MATCH($O370,Items!$A$2:$A$1032,0))</f>
        <v>#N/A</v>
      </c>
      <c r="Q370" t="e">
        <f>INDEX(Items!C$2:C$1032,MATCH($O370,Items!$A$2:$A$1032,0))</f>
        <v>#N/A</v>
      </c>
      <c r="R370" t="e">
        <f>INDEX(Items!D$2:D$1032,MATCH($O370,Items!$A$2:$A$1032,0))</f>
        <v>#N/A</v>
      </c>
    </row>
    <row r="371" spans="1:18" x14ac:dyDescent="0.25">
      <c r="A371">
        <f t="shared" si="27"/>
        <v>1</v>
      </c>
      <c r="B371" t="str">
        <f t="shared" si="28"/>
        <v/>
      </c>
      <c r="C371">
        <f t="shared" si="30"/>
        <v>1</v>
      </c>
      <c r="D371" s="4"/>
      <c r="E371" t="s">
        <v>18</v>
      </c>
      <c r="F371" t="str">
        <f>INDEX(Establishment!B$2:B$1005,MATCH($E371,Establishment!$A$2:$A$1005,0))</f>
        <v xml:space="preserve"> </v>
      </c>
      <c r="G371" t="str">
        <f>INDEX(Establishment!C$2:C$1005,MATCH($E371,Establishment!$A$2:$A$1005,0))</f>
        <v xml:space="preserve"> </v>
      </c>
      <c r="M371">
        <f t="shared" si="31"/>
        <v>0</v>
      </c>
      <c r="N371">
        <f t="shared" si="29"/>
        <v>0</v>
      </c>
      <c r="P371" t="e">
        <f>INDEX(Items!B$2:B$1032,MATCH($O371,Items!$A$2:$A$1032,0))</f>
        <v>#N/A</v>
      </c>
      <c r="Q371" t="e">
        <f>INDEX(Items!C$2:C$1032,MATCH($O371,Items!$A$2:$A$1032,0))</f>
        <v>#N/A</v>
      </c>
      <c r="R371" t="e">
        <f>INDEX(Items!D$2:D$1032,MATCH($O371,Items!$A$2:$A$1032,0))</f>
        <v>#N/A</v>
      </c>
    </row>
    <row r="372" spans="1:18" x14ac:dyDescent="0.25">
      <c r="A372">
        <f t="shared" si="27"/>
        <v>1</v>
      </c>
      <c r="B372" t="str">
        <f t="shared" si="28"/>
        <v/>
      </c>
      <c r="C372">
        <f t="shared" si="30"/>
        <v>1</v>
      </c>
      <c r="D372" s="4"/>
      <c r="E372" t="s">
        <v>18</v>
      </c>
      <c r="F372" t="str">
        <f>INDEX(Establishment!B$2:B$1005,MATCH($E372,Establishment!$A$2:$A$1005,0))</f>
        <v xml:space="preserve"> </v>
      </c>
      <c r="G372" t="str">
        <f>INDEX(Establishment!C$2:C$1005,MATCH($E372,Establishment!$A$2:$A$1005,0))</f>
        <v xml:space="preserve"> </v>
      </c>
      <c r="M372">
        <f t="shared" si="31"/>
        <v>0</v>
      </c>
      <c r="N372">
        <f t="shared" si="29"/>
        <v>0</v>
      </c>
      <c r="P372" t="e">
        <f>INDEX(Items!B$2:B$1032,MATCH($O372,Items!$A$2:$A$1032,0))</f>
        <v>#N/A</v>
      </c>
      <c r="Q372" t="e">
        <f>INDEX(Items!C$2:C$1032,MATCH($O372,Items!$A$2:$A$1032,0))</f>
        <v>#N/A</v>
      </c>
      <c r="R372" t="e">
        <f>INDEX(Items!D$2:D$1032,MATCH($O372,Items!$A$2:$A$1032,0))</f>
        <v>#N/A</v>
      </c>
    </row>
    <row r="373" spans="1:18" x14ac:dyDescent="0.25">
      <c r="A373">
        <f t="shared" si="27"/>
        <v>1</v>
      </c>
      <c r="B373" t="str">
        <f t="shared" si="28"/>
        <v/>
      </c>
      <c r="C373">
        <f t="shared" si="30"/>
        <v>1</v>
      </c>
      <c r="D373" s="4"/>
      <c r="E373" t="s">
        <v>18</v>
      </c>
      <c r="F373" t="str">
        <f>INDEX(Establishment!B$2:B$1005,MATCH($E373,Establishment!$A$2:$A$1005,0))</f>
        <v xml:space="preserve"> </v>
      </c>
      <c r="G373" t="str">
        <f>INDEX(Establishment!C$2:C$1005,MATCH($E373,Establishment!$A$2:$A$1005,0))</f>
        <v xml:space="preserve"> </v>
      </c>
      <c r="M373">
        <f t="shared" si="31"/>
        <v>0</v>
      </c>
      <c r="N373">
        <f t="shared" si="29"/>
        <v>0</v>
      </c>
      <c r="P373" t="e">
        <f>INDEX(Items!B$2:B$1032,MATCH($O373,Items!$A$2:$A$1032,0))</f>
        <v>#N/A</v>
      </c>
      <c r="Q373" t="e">
        <f>INDEX(Items!C$2:C$1032,MATCH($O373,Items!$A$2:$A$1032,0))</f>
        <v>#N/A</v>
      </c>
      <c r="R373" t="e">
        <f>INDEX(Items!D$2:D$1032,MATCH($O373,Items!$A$2:$A$1032,0))</f>
        <v>#N/A</v>
      </c>
    </row>
    <row r="374" spans="1:18" x14ac:dyDescent="0.25">
      <c r="A374">
        <f t="shared" si="27"/>
        <v>1</v>
      </c>
      <c r="B374" t="str">
        <f t="shared" si="28"/>
        <v/>
      </c>
      <c r="C374">
        <f t="shared" si="30"/>
        <v>1</v>
      </c>
      <c r="D374" s="4"/>
      <c r="E374" t="s">
        <v>18</v>
      </c>
      <c r="F374" t="str">
        <f>INDEX(Establishment!B$2:B$1005,MATCH($E374,Establishment!$A$2:$A$1005,0))</f>
        <v xml:space="preserve"> </v>
      </c>
      <c r="G374" t="str">
        <f>INDEX(Establishment!C$2:C$1005,MATCH($E374,Establishment!$A$2:$A$1005,0))</f>
        <v xml:space="preserve"> </v>
      </c>
      <c r="M374">
        <f t="shared" si="31"/>
        <v>0</v>
      </c>
      <c r="N374">
        <f t="shared" si="29"/>
        <v>0</v>
      </c>
      <c r="P374" t="e">
        <f>INDEX(Items!B$2:B$1032,MATCH($O374,Items!$A$2:$A$1032,0))</f>
        <v>#N/A</v>
      </c>
      <c r="Q374" t="e">
        <f>INDEX(Items!C$2:C$1032,MATCH($O374,Items!$A$2:$A$1032,0))</f>
        <v>#N/A</v>
      </c>
      <c r="R374" t="e">
        <f>INDEX(Items!D$2:D$1032,MATCH($O374,Items!$A$2:$A$1032,0))</f>
        <v>#N/A</v>
      </c>
    </row>
    <row r="375" spans="1:18" x14ac:dyDescent="0.25">
      <c r="A375">
        <f t="shared" si="27"/>
        <v>1</v>
      </c>
      <c r="B375" t="str">
        <f t="shared" si="28"/>
        <v/>
      </c>
      <c r="C375">
        <f t="shared" si="30"/>
        <v>1</v>
      </c>
      <c r="D375" s="4"/>
      <c r="E375" t="s">
        <v>18</v>
      </c>
      <c r="F375" t="str">
        <f>INDEX(Establishment!B$2:B$1005,MATCH($E375,Establishment!$A$2:$A$1005,0))</f>
        <v xml:space="preserve"> </v>
      </c>
      <c r="G375" t="str">
        <f>INDEX(Establishment!C$2:C$1005,MATCH($E375,Establishment!$A$2:$A$1005,0))</f>
        <v xml:space="preserve"> </v>
      </c>
      <c r="M375">
        <f t="shared" si="31"/>
        <v>0</v>
      </c>
      <c r="N375">
        <f t="shared" si="29"/>
        <v>0</v>
      </c>
      <c r="P375" t="e">
        <f>INDEX(Items!B$2:B$1032,MATCH($O375,Items!$A$2:$A$1032,0))</f>
        <v>#N/A</v>
      </c>
      <c r="Q375" t="e">
        <f>INDEX(Items!C$2:C$1032,MATCH($O375,Items!$A$2:$A$1032,0))</f>
        <v>#N/A</v>
      </c>
      <c r="R375" t="e">
        <f>INDEX(Items!D$2:D$1032,MATCH($O375,Items!$A$2:$A$1032,0))</f>
        <v>#N/A</v>
      </c>
    </row>
    <row r="376" spans="1:18" x14ac:dyDescent="0.25">
      <c r="A376">
        <f t="shared" si="27"/>
        <v>1</v>
      </c>
      <c r="B376" t="str">
        <f t="shared" si="28"/>
        <v/>
      </c>
      <c r="C376">
        <f t="shared" si="30"/>
        <v>1</v>
      </c>
      <c r="D376" s="4"/>
      <c r="E376" t="s">
        <v>18</v>
      </c>
      <c r="F376" t="str">
        <f>INDEX(Establishment!B$2:B$1005,MATCH($E376,Establishment!$A$2:$A$1005,0))</f>
        <v xml:space="preserve"> </v>
      </c>
      <c r="G376" t="str">
        <f>INDEX(Establishment!C$2:C$1005,MATCH($E376,Establishment!$A$2:$A$1005,0))</f>
        <v xml:space="preserve"> </v>
      </c>
      <c r="M376">
        <f t="shared" si="31"/>
        <v>0</v>
      </c>
      <c r="N376">
        <f t="shared" si="29"/>
        <v>0</v>
      </c>
      <c r="P376" t="e">
        <f>INDEX(Items!B$2:B$1032,MATCH($O376,Items!$A$2:$A$1032,0))</f>
        <v>#N/A</v>
      </c>
      <c r="Q376" t="e">
        <f>INDEX(Items!C$2:C$1032,MATCH($O376,Items!$A$2:$A$1032,0))</f>
        <v>#N/A</v>
      </c>
      <c r="R376" t="e">
        <f>INDEX(Items!D$2:D$1032,MATCH($O376,Items!$A$2:$A$1032,0))</f>
        <v>#N/A</v>
      </c>
    </row>
    <row r="377" spans="1:18" x14ac:dyDescent="0.25">
      <c r="A377">
        <f t="shared" si="27"/>
        <v>1</v>
      </c>
      <c r="B377" t="str">
        <f t="shared" si="28"/>
        <v/>
      </c>
      <c r="C377">
        <f t="shared" si="30"/>
        <v>1</v>
      </c>
      <c r="D377" s="4"/>
      <c r="E377" t="s">
        <v>18</v>
      </c>
      <c r="F377" t="str">
        <f>INDEX(Establishment!B$2:B$1005,MATCH($E377,Establishment!$A$2:$A$1005,0))</f>
        <v xml:space="preserve"> </v>
      </c>
      <c r="G377" t="str">
        <f>INDEX(Establishment!C$2:C$1005,MATCH($E377,Establishment!$A$2:$A$1005,0))</f>
        <v xml:space="preserve"> </v>
      </c>
      <c r="M377">
        <f t="shared" si="31"/>
        <v>0</v>
      </c>
      <c r="N377">
        <f t="shared" si="29"/>
        <v>0</v>
      </c>
      <c r="P377" t="e">
        <f>INDEX(Items!B$2:B$1032,MATCH($O377,Items!$A$2:$A$1032,0))</f>
        <v>#N/A</v>
      </c>
      <c r="Q377" t="e">
        <f>INDEX(Items!C$2:C$1032,MATCH($O377,Items!$A$2:$A$1032,0))</f>
        <v>#N/A</v>
      </c>
      <c r="R377" t="e">
        <f>INDEX(Items!D$2:D$1032,MATCH($O377,Items!$A$2:$A$1032,0))</f>
        <v>#N/A</v>
      </c>
    </row>
    <row r="378" spans="1:18" x14ac:dyDescent="0.25">
      <c r="A378">
        <f t="shared" si="27"/>
        <v>1</v>
      </c>
      <c r="B378" t="str">
        <f t="shared" si="28"/>
        <v/>
      </c>
      <c r="C378">
        <f t="shared" si="30"/>
        <v>1</v>
      </c>
      <c r="D378" s="4"/>
      <c r="E378" t="s">
        <v>18</v>
      </c>
      <c r="F378" t="str">
        <f>INDEX(Establishment!B$2:B$1005,MATCH($E378,Establishment!$A$2:$A$1005,0))</f>
        <v xml:space="preserve"> </v>
      </c>
      <c r="G378" t="str">
        <f>INDEX(Establishment!C$2:C$1005,MATCH($E378,Establishment!$A$2:$A$1005,0))</f>
        <v xml:space="preserve"> </v>
      </c>
      <c r="M378">
        <f t="shared" si="31"/>
        <v>0</v>
      </c>
      <c r="N378">
        <f t="shared" si="29"/>
        <v>0</v>
      </c>
      <c r="P378" t="e">
        <f>INDEX(Items!B$2:B$1032,MATCH($O378,Items!$A$2:$A$1032,0))</f>
        <v>#N/A</v>
      </c>
      <c r="Q378" t="e">
        <f>INDEX(Items!C$2:C$1032,MATCH($O378,Items!$A$2:$A$1032,0))</f>
        <v>#N/A</v>
      </c>
      <c r="R378" t="e">
        <f>INDEX(Items!D$2:D$1032,MATCH($O378,Items!$A$2:$A$1032,0))</f>
        <v>#N/A</v>
      </c>
    </row>
    <row r="379" spans="1:18" x14ac:dyDescent="0.25">
      <c r="A379">
        <f t="shared" si="27"/>
        <v>1</v>
      </c>
      <c r="B379" t="str">
        <f t="shared" si="28"/>
        <v/>
      </c>
      <c r="C379">
        <f t="shared" si="30"/>
        <v>1</v>
      </c>
      <c r="D379" s="4"/>
      <c r="E379" t="s">
        <v>18</v>
      </c>
      <c r="F379" t="str">
        <f>INDEX(Establishment!B$2:B$1005,MATCH($E379,Establishment!$A$2:$A$1005,0))</f>
        <v xml:space="preserve"> </v>
      </c>
      <c r="G379" t="str">
        <f>INDEX(Establishment!C$2:C$1005,MATCH($E379,Establishment!$A$2:$A$1005,0))</f>
        <v xml:space="preserve"> </v>
      </c>
      <c r="M379">
        <f t="shared" si="31"/>
        <v>0</v>
      </c>
      <c r="N379">
        <f t="shared" si="29"/>
        <v>0</v>
      </c>
      <c r="P379" t="e">
        <f>INDEX(Items!B$2:B$1032,MATCH($O379,Items!$A$2:$A$1032,0))</f>
        <v>#N/A</v>
      </c>
      <c r="Q379" t="e">
        <f>INDEX(Items!C$2:C$1032,MATCH($O379,Items!$A$2:$A$1032,0))</f>
        <v>#N/A</v>
      </c>
      <c r="R379" t="e">
        <f>INDEX(Items!D$2:D$1032,MATCH($O379,Items!$A$2:$A$1032,0))</f>
        <v>#N/A</v>
      </c>
    </row>
    <row r="380" spans="1:18" x14ac:dyDescent="0.25">
      <c r="A380">
        <f t="shared" si="27"/>
        <v>1</v>
      </c>
      <c r="B380" t="str">
        <f t="shared" si="28"/>
        <v/>
      </c>
      <c r="C380">
        <f t="shared" si="30"/>
        <v>1</v>
      </c>
      <c r="D380" s="4"/>
      <c r="E380" t="s">
        <v>18</v>
      </c>
      <c r="F380" t="str">
        <f>INDEX(Establishment!B$2:B$1005,MATCH($E380,Establishment!$A$2:$A$1005,0))</f>
        <v xml:space="preserve"> </v>
      </c>
      <c r="G380" t="str">
        <f>INDEX(Establishment!C$2:C$1005,MATCH($E380,Establishment!$A$2:$A$1005,0))</f>
        <v xml:space="preserve"> </v>
      </c>
      <c r="M380">
        <f t="shared" si="31"/>
        <v>0</v>
      </c>
      <c r="N380">
        <f t="shared" si="29"/>
        <v>0</v>
      </c>
      <c r="P380" t="e">
        <f>INDEX(Items!B$2:B$1032,MATCH($O380,Items!$A$2:$A$1032,0))</f>
        <v>#N/A</v>
      </c>
      <c r="Q380" t="e">
        <f>INDEX(Items!C$2:C$1032,MATCH($O380,Items!$A$2:$A$1032,0))</f>
        <v>#N/A</v>
      </c>
      <c r="R380" t="e">
        <f>INDEX(Items!D$2:D$1032,MATCH($O380,Items!$A$2:$A$1032,0))</f>
        <v>#N/A</v>
      </c>
    </row>
    <row r="381" spans="1:18" x14ac:dyDescent="0.25">
      <c r="A381">
        <f t="shared" si="27"/>
        <v>1</v>
      </c>
      <c r="B381" t="str">
        <f t="shared" si="28"/>
        <v/>
      </c>
      <c r="C381">
        <f t="shared" si="30"/>
        <v>1</v>
      </c>
      <c r="D381" s="4"/>
      <c r="E381" t="s">
        <v>18</v>
      </c>
      <c r="F381" t="str">
        <f>INDEX(Establishment!B$2:B$1005,MATCH($E381,Establishment!$A$2:$A$1005,0))</f>
        <v xml:space="preserve"> </v>
      </c>
      <c r="G381" t="str">
        <f>INDEX(Establishment!C$2:C$1005,MATCH($E381,Establishment!$A$2:$A$1005,0))</f>
        <v xml:space="preserve"> </v>
      </c>
      <c r="M381">
        <f t="shared" si="31"/>
        <v>0</v>
      </c>
      <c r="N381">
        <f t="shared" si="29"/>
        <v>0</v>
      </c>
      <c r="P381" t="e">
        <f>INDEX(Items!B$2:B$1032,MATCH($O381,Items!$A$2:$A$1032,0))</f>
        <v>#N/A</v>
      </c>
      <c r="Q381" t="e">
        <f>INDEX(Items!C$2:C$1032,MATCH($O381,Items!$A$2:$A$1032,0))</f>
        <v>#N/A</v>
      </c>
      <c r="R381" t="e">
        <f>INDEX(Items!D$2:D$1032,MATCH($O381,Items!$A$2:$A$1032,0))</f>
        <v>#N/A</v>
      </c>
    </row>
    <row r="382" spans="1:18" x14ac:dyDescent="0.25">
      <c r="A382">
        <f t="shared" si="27"/>
        <v>1</v>
      </c>
      <c r="B382" t="str">
        <f t="shared" si="28"/>
        <v/>
      </c>
      <c r="C382">
        <f t="shared" si="30"/>
        <v>1</v>
      </c>
      <c r="D382" s="4"/>
      <c r="E382" t="s">
        <v>18</v>
      </c>
      <c r="F382" t="str">
        <f>INDEX(Establishment!B$2:B$1005,MATCH($E382,Establishment!$A$2:$A$1005,0))</f>
        <v xml:space="preserve"> </v>
      </c>
      <c r="G382" t="str">
        <f>INDEX(Establishment!C$2:C$1005,MATCH($E382,Establishment!$A$2:$A$1005,0))</f>
        <v xml:space="preserve"> </v>
      </c>
      <c r="M382">
        <f t="shared" si="31"/>
        <v>0</v>
      </c>
      <c r="N382">
        <f t="shared" si="29"/>
        <v>0</v>
      </c>
      <c r="P382" t="e">
        <f>INDEX(Items!B$2:B$1032,MATCH($O382,Items!$A$2:$A$1032,0))</f>
        <v>#N/A</v>
      </c>
      <c r="Q382" t="e">
        <f>INDEX(Items!C$2:C$1032,MATCH($O382,Items!$A$2:$A$1032,0))</f>
        <v>#N/A</v>
      </c>
      <c r="R382" t="e">
        <f>INDEX(Items!D$2:D$1032,MATCH($O382,Items!$A$2:$A$1032,0))</f>
        <v>#N/A</v>
      </c>
    </row>
    <row r="383" spans="1:18" x14ac:dyDescent="0.25">
      <c r="A383">
        <f t="shared" si="27"/>
        <v>1</v>
      </c>
      <c r="B383" t="str">
        <f t="shared" si="28"/>
        <v/>
      </c>
      <c r="C383">
        <f t="shared" si="30"/>
        <v>1</v>
      </c>
      <c r="D383" s="4"/>
      <c r="E383" t="s">
        <v>18</v>
      </c>
      <c r="F383" t="str">
        <f>INDEX(Establishment!B$2:B$1005,MATCH($E383,Establishment!$A$2:$A$1005,0))</f>
        <v xml:space="preserve"> </v>
      </c>
      <c r="G383" t="str">
        <f>INDEX(Establishment!C$2:C$1005,MATCH($E383,Establishment!$A$2:$A$1005,0))</f>
        <v xml:space="preserve"> </v>
      </c>
      <c r="M383">
        <f t="shared" si="31"/>
        <v>0</v>
      </c>
      <c r="N383">
        <f t="shared" si="29"/>
        <v>0</v>
      </c>
      <c r="P383" t="e">
        <f>INDEX(Items!B$2:B$1032,MATCH($O383,Items!$A$2:$A$1032,0))</f>
        <v>#N/A</v>
      </c>
      <c r="Q383" t="e">
        <f>INDEX(Items!C$2:C$1032,MATCH($O383,Items!$A$2:$A$1032,0))</f>
        <v>#N/A</v>
      </c>
      <c r="R383" t="e">
        <f>INDEX(Items!D$2:D$1032,MATCH($O383,Items!$A$2:$A$1032,0))</f>
        <v>#N/A</v>
      </c>
    </row>
    <row r="384" spans="1:18" x14ac:dyDescent="0.25">
      <c r="A384">
        <f t="shared" si="27"/>
        <v>1</v>
      </c>
      <c r="B384" t="str">
        <f t="shared" si="28"/>
        <v/>
      </c>
      <c r="C384">
        <f t="shared" si="30"/>
        <v>1</v>
      </c>
      <c r="D384" s="4"/>
      <c r="E384" t="s">
        <v>18</v>
      </c>
      <c r="F384" t="str">
        <f>INDEX(Establishment!B$2:B$1005,MATCH($E384,Establishment!$A$2:$A$1005,0))</f>
        <v xml:space="preserve"> </v>
      </c>
      <c r="G384" t="str">
        <f>INDEX(Establishment!C$2:C$1005,MATCH($E384,Establishment!$A$2:$A$1005,0))</f>
        <v xml:space="preserve"> </v>
      </c>
      <c r="M384">
        <f t="shared" si="31"/>
        <v>0</v>
      </c>
      <c r="N384">
        <f t="shared" si="29"/>
        <v>0</v>
      </c>
      <c r="P384" t="e">
        <f>INDEX(Items!B$2:B$1032,MATCH($O384,Items!$A$2:$A$1032,0))</f>
        <v>#N/A</v>
      </c>
      <c r="Q384" t="e">
        <f>INDEX(Items!C$2:C$1032,MATCH($O384,Items!$A$2:$A$1032,0))</f>
        <v>#N/A</v>
      </c>
      <c r="R384" t="e">
        <f>INDEX(Items!D$2:D$1032,MATCH($O384,Items!$A$2:$A$1032,0))</f>
        <v>#N/A</v>
      </c>
    </row>
    <row r="385" spans="1:18" x14ac:dyDescent="0.25">
      <c r="A385">
        <f t="shared" si="27"/>
        <v>1</v>
      </c>
      <c r="B385" t="str">
        <f t="shared" si="28"/>
        <v/>
      </c>
      <c r="C385">
        <f t="shared" si="30"/>
        <v>1</v>
      </c>
      <c r="D385" s="4"/>
      <c r="E385" t="s">
        <v>18</v>
      </c>
      <c r="F385" t="str">
        <f>INDEX(Establishment!B$2:B$1005,MATCH($E385,Establishment!$A$2:$A$1005,0))</f>
        <v xml:space="preserve"> </v>
      </c>
      <c r="G385" t="str">
        <f>INDEX(Establishment!C$2:C$1005,MATCH($E385,Establishment!$A$2:$A$1005,0))</f>
        <v xml:space="preserve"> </v>
      </c>
      <c r="M385">
        <f t="shared" si="31"/>
        <v>0</v>
      </c>
      <c r="N385">
        <f t="shared" si="29"/>
        <v>0</v>
      </c>
      <c r="P385" t="e">
        <f>INDEX(Items!B$2:B$1032,MATCH($O385,Items!$A$2:$A$1032,0))</f>
        <v>#N/A</v>
      </c>
      <c r="Q385" t="e">
        <f>INDEX(Items!C$2:C$1032,MATCH($O385,Items!$A$2:$A$1032,0))</f>
        <v>#N/A</v>
      </c>
      <c r="R385" t="e">
        <f>INDEX(Items!D$2:D$1032,MATCH($O385,Items!$A$2:$A$1032,0))</f>
        <v>#N/A</v>
      </c>
    </row>
    <row r="386" spans="1:18" x14ac:dyDescent="0.25">
      <c r="A386">
        <f t="shared" ref="A386:A449" si="32">IF(OR(D386&lt;&gt;D385,D386=""),1,IF(NOT(AND(E386=E385,F386=F385,G386=G385)),A385+1,IF(OR(H386="",AND(H386&lt;&gt;"",H386&lt;&gt;H385,H385&lt;&gt;"")),A385,A385+1)))</f>
        <v>1</v>
      </c>
      <c r="B386" t="str">
        <f t="shared" ref="B386:B449" si="33">IF(D386&lt;&gt;"",TEXT(D386,"YYYYMMDD")&amp;CHAR(64+A386),"")</f>
        <v/>
      </c>
      <c r="C386">
        <f t="shared" si="30"/>
        <v>1</v>
      </c>
      <c r="D386" s="4"/>
      <c r="E386" t="s">
        <v>18</v>
      </c>
      <c r="F386" t="str">
        <f>INDEX(Establishment!B$2:B$1005,MATCH($E386,Establishment!$A$2:$A$1005,0))</f>
        <v xml:space="preserve"> </v>
      </c>
      <c r="G386" t="str">
        <f>INDEX(Establishment!C$2:C$1005,MATCH($E386,Establishment!$A$2:$A$1005,0))</f>
        <v xml:space="preserve"> </v>
      </c>
      <c r="M386">
        <f t="shared" si="31"/>
        <v>0</v>
      </c>
      <c r="N386">
        <f t="shared" si="29"/>
        <v>0</v>
      </c>
      <c r="P386" t="e">
        <f>INDEX(Items!B$2:B$1032,MATCH($O386,Items!$A$2:$A$1032,0))</f>
        <v>#N/A</v>
      </c>
      <c r="Q386" t="e">
        <f>INDEX(Items!C$2:C$1032,MATCH($O386,Items!$A$2:$A$1032,0))</f>
        <v>#N/A</v>
      </c>
      <c r="R386" t="e">
        <f>INDEX(Items!D$2:D$1032,MATCH($O386,Items!$A$2:$A$1032,0))</f>
        <v>#N/A</v>
      </c>
    </row>
    <row r="387" spans="1:18" x14ac:dyDescent="0.25">
      <c r="A387">
        <f t="shared" si="32"/>
        <v>1</v>
      </c>
      <c r="B387" t="str">
        <f t="shared" si="33"/>
        <v/>
      </c>
      <c r="C387">
        <f t="shared" si="30"/>
        <v>1</v>
      </c>
      <c r="D387" s="4"/>
      <c r="E387" t="s">
        <v>18</v>
      </c>
      <c r="F387" t="str">
        <f>INDEX(Establishment!B$2:B$1005,MATCH($E387,Establishment!$A$2:$A$1005,0))</f>
        <v xml:space="preserve"> </v>
      </c>
      <c r="G387" t="str">
        <f>INDEX(Establishment!C$2:C$1005,MATCH($E387,Establishment!$A$2:$A$1005,0))</f>
        <v xml:space="preserve"> </v>
      </c>
      <c r="M387">
        <f t="shared" si="31"/>
        <v>0</v>
      </c>
      <c r="N387">
        <f t="shared" ref="N387:N450" si="34">IF(B387=B386,N386+M387,M387)</f>
        <v>0</v>
      </c>
      <c r="P387" t="e">
        <f>INDEX(Items!B$2:B$1032,MATCH($O387,Items!$A$2:$A$1032,0))</f>
        <v>#N/A</v>
      </c>
      <c r="Q387" t="e">
        <f>INDEX(Items!C$2:C$1032,MATCH($O387,Items!$A$2:$A$1032,0))</f>
        <v>#N/A</v>
      </c>
      <c r="R387" t="e">
        <f>INDEX(Items!D$2:D$1032,MATCH($O387,Items!$A$2:$A$1032,0))</f>
        <v>#N/A</v>
      </c>
    </row>
    <row r="388" spans="1:18" x14ac:dyDescent="0.25">
      <c r="A388">
        <f t="shared" si="32"/>
        <v>1</v>
      </c>
      <c r="B388" t="str">
        <f t="shared" si="33"/>
        <v/>
      </c>
      <c r="C388">
        <f t="shared" si="30"/>
        <v>1</v>
      </c>
      <c r="D388" s="4"/>
      <c r="E388" t="s">
        <v>18</v>
      </c>
      <c r="F388" t="str">
        <f>INDEX(Establishment!B$2:B$1005,MATCH($E388,Establishment!$A$2:$A$1005,0))</f>
        <v xml:space="preserve"> </v>
      </c>
      <c r="G388" t="str">
        <f>INDEX(Establishment!C$2:C$1005,MATCH($E388,Establishment!$A$2:$A$1005,0))</f>
        <v xml:space="preserve"> </v>
      </c>
      <c r="M388">
        <f t="shared" si="31"/>
        <v>0</v>
      </c>
      <c r="N388">
        <f t="shared" si="34"/>
        <v>0</v>
      </c>
      <c r="P388" t="e">
        <f>INDEX(Items!B$2:B$1032,MATCH($O388,Items!$A$2:$A$1032,0))</f>
        <v>#N/A</v>
      </c>
      <c r="Q388" t="e">
        <f>INDEX(Items!C$2:C$1032,MATCH($O388,Items!$A$2:$A$1032,0))</f>
        <v>#N/A</v>
      </c>
      <c r="R388" t="e">
        <f>INDEX(Items!D$2:D$1032,MATCH($O388,Items!$A$2:$A$1032,0))</f>
        <v>#N/A</v>
      </c>
    </row>
    <row r="389" spans="1:18" x14ac:dyDescent="0.25">
      <c r="A389">
        <f t="shared" si="32"/>
        <v>1</v>
      </c>
      <c r="B389" t="str">
        <f t="shared" si="33"/>
        <v/>
      </c>
      <c r="C389">
        <f t="shared" si="30"/>
        <v>1</v>
      </c>
      <c r="D389" s="4"/>
      <c r="E389" t="s">
        <v>18</v>
      </c>
      <c r="F389" t="str">
        <f>INDEX(Establishment!B$2:B$1005,MATCH($E389,Establishment!$A$2:$A$1005,0))</f>
        <v xml:space="preserve"> </v>
      </c>
      <c r="G389" t="str">
        <f>INDEX(Establishment!C$2:C$1005,MATCH($E389,Establishment!$A$2:$A$1005,0))</f>
        <v xml:space="preserve"> </v>
      </c>
      <c r="M389">
        <f t="shared" si="31"/>
        <v>0</v>
      </c>
      <c r="N389">
        <f t="shared" si="34"/>
        <v>0</v>
      </c>
      <c r="P389" t="e">
        <f>INDEX(Items!B$2:B$1032,MATCH($O389,Items!$A$2:$A$1032,0))</f>
        <v>#N/A</v>
      </c>
      <c r="Q389" t="e">
        <f>INDEX(Items!C$2:C$1032,MATCH($O389,Items!$A$2:$A$1032,0))</f>
        <v>#N/A</v>
      </c>
      <c r="R389" t="e">
        <f>INDEX(Items!D$2:D$1032,MATCH($O389,Items!$A$2:$A$1032,0))</f>
        <v>#N/A</v>
      </c>
    </row>
    <row r="390" spans="1:18" x14ac:dyDescent="0.25">
      <c r="A390">
        <f t="shared" si="32"/>
        <v>1</v>
      </c>
      <c r="B390" t="str">
        <f t="shared" si="33"/>
        <v/>
      </c>
      <c r="C390">
        <f t="shared" si="30"/>
        <v>1</v>
      </c>
      <c r="D390" s="4"/>
      <c r="E390" t="s">
        <v>18</v>
      </c>
      <c r="F390" t="str">
        <f>INDEX(Establishment!B$2:B$1005,MATCH($E390,Establishment!$A$2:$A$1005,0))</f>
        <v xml:space="preserve"> </v>
      </c>
      <c r="G390" t="str">
        <f>INDEX(Establishment!C$2:C$1005,MATCH($E390,Establishment!$A$2:$A$1005,0))</f>
        <v xml:space="preserve"> </v>
      </c>
      <c r="M390">
        <f t="shared" si="31"/>
        <v>0</v>
      </c>
      <c r="N390">
        <f t="shared" si="34"/>
        <v>0</v>
      </c>
      <c r="P390" t="e">
        <f>INDEX(Items!B$2:B$1032,MATCH($O390,Items!$A$2:$A$1032,0))</f>
        <v>#N/A</v>
      </c>
      <c r="Q390" t="e">
        <f>INDEX(Items!C$2:C$1032,MATCH($O390,Items!$A$2:$A$1032,0))</f>
        <v>#N/A</v>
      </c>
      <c r="R390" t="e">
        <f>INDEX(Items!D$2:D$1032,MATCH($O390,Items!$A$2:$A$1032,0))</f>
        <v>#N/A</v>
      </c>
    </row>
    <row r="391" spans="1:18" x14ac:dyDescent="0.25">
      <c r="A391">
        <f t="shared" si="32"/>
        <v>1</v>
      </c>
      <c r="B391" t="str">
        <f t="shared" si="33"/>
        <v/>
      </c>
      <c r="C391">
        <f t="shared" si="30"/>
        <v>1</v>
      </c>
      <c r="D391" s="4"/>
      <c r="E391" t="s">
        <v>18</v>
      </c>
      <c r="F391" t="str">
        <f>INDEX(Establishment!B$2:B$1005,MATCH($E391,Establishment!$A$2:$A$1005,0))</f>
        <v xml:space="preserve"> </v>
      </c>
      <c r="G391" t="str">
        <f>INDEX(Establishment!C$2:C$1005,MATCH($E391,Establishment!$A$2:$A$1005,0))</f>
        <v xml:space="preserve"> </v>
      </c>
      <c r="M391">
        <f t="shared" si="31"/>
        <v>0</v>
      </c>
      <c r="N391">
        <f t="shared" si="34"/>
        <v>0</v>
      </c>
      <c r="P391" t="e">
        <f>INDEX(Items!B$2:B$1032,MATCH($O391,Items!$A$2:$A$1032,0))</f>
        <v>#N/A</v>
      </c>
      <c r="Q391" t="e">
        <f>INDEX(Items!C$2:C$1032,MATCH($O391,Items!$A$2:$A$1032,0))</f>
        <v>#N/A</v>
      </c>
      <c r="R391" t="e">
        <f>INDEX(Items!D$2:D$1032,MATCH($O391,Items!$A$2:$A$1032,0))</f>
        <v>#N/A</v>
      </c>
    </row>
    <row r="392" spans="1:18" x14ac:dyDescent="0.25">
      <c r="A392">
        <f t="shared" si="32"/>
        <v>1</v>
      </c>
      <c r="B392" t="str">
        <f t="shared" si="33"/>
        <v/>
      </c>
      <c r="C392">
        <f t="shared" si="30"/>
        <v>1</v>
      </c>
      <c r="D392" s="4"/>
      <c r="E392" t="s">
        <v>18</v>
      </c>
      <c r="F392" t="str">
        <f>INDEX(Establishment!B$2:B$1005,MATCH($E392,Establishment!$A$2:$A$1005,0))</f>
        <v xml:space="preserve"> </v>
      </c>
      <c r="G392" t="str">
        <f>INDEX(Establishment!C$2:C$1005,MATCH($E392,Establishment!$A$2:$A$1005,0))</f>
        <v xml:space="preserve"> </v>
      </c>
      <c r="M392">
        <f t="shared" si="31"/>
        <v>0</v>
      </c>
      <c r="N392">
        <f t="shared" si="34"/>
        <v>0</v>
      </c>
      <c r="P392" t="e">
        <f>INDEX(Items!B$2:B$1032,MATCH($O392,Items!$A$2:$A$1032,0))</f>
        <v>#N/A</v>
      </c>
      <c r="Q392" t="e">
        <f>INDEX(Items!C$2:C$1032,MATCH($O392,Items!$A$2:$A$1032,0))</f>
        <v>#N/A</v>
      </c>
      <c r="R392" t="e">
        <f>INDEX(Items!D$2:D$1032,MATCH($O392,Items!$A$2:$A$1032,0))</f>
        <v>#N/A</v>
      </c>
    </row>
    <row r="393" spans="1:18" x14ac:dyDescent="0.25">
      <c r="A393">
        <f t="shared" si="32"/>
        <v>1</v>
      </c>
      <c r="B393" t="str">
        <f t="shared" si="33"/>
        <v/>
      </c>
      <c r="C393">
        <f t="shared" si="30"/>
        <v>1</v>
      </c>
      <c r="D393" s="4"/>
      <c r="E393" t="s">
        <v>18</v>
      </c>
      <c r="F393" t="str">
        <f>INDEX(Establishment!B$2:B$1005,MATCH($E393,Establishment!$A$2:$A$1005,0))</f>
        <v xml:space="preserve"> </v>
      </c>
      <c r="G393" t="str">
        <f>INDEX(Establishment!C$2:C$1005,MATCH($E393,Establishment!$A$2:$A$1005,0))</f>
        <v xml:space="preserve"> </v>
      </c>
      <c r="M393">
        <f t="shared" si="31"/>
        <v>0</v>
      </c>
      <c r="N393">
        <f t="shared" si="34"/>
        <v>0</v>
      </c>
      <c r="P393" t="e">
        <f>INDEX(Items!B$2:B$1032,MATCH($O393,Items!$A$2:$A$1032,0))</f>
        <v>#N/A</v>
      </c>
      <c r="Q393" t="e">
        <f>INDEX(Items!C$2:C$1032,MATCH($O393,Items!$A$2:$A$1032,0))</f>
        <v>#N/A</v>
      </c>
      <c r="R393" t="e">
        <f>INDEX(Items!D$2:D$1032,MATCH($O393,Items!$A$2:$A$1032,0))</f>
        <v>#N/A</v>
      </c>
    </row>
    <row r="394" spans="1:18" x14ac:dyDescent="0.25">
      <c r="A394">
        <f t="shared" si="32"/>
        <v>1</v>
      </c>
      <c r="B394" t="str">
        <f t="shared" si="33"/>
        <v/>
      </c>
      <c r="C394">
        <f t="shared" ref="C394:C457" si="35">IF(OR(B394="",B394&lt;&gt;B393),1,C393+1)</f>
        <v>1</v>
      </c>
      <c r="D394" s="4"/>
      <c r="E394" t="s">
        <v>18</v>
      </c>
      <c r="F394" t="str">
        <f>INDEX(Establishment!B$2:B$1005,MATCH($E394,Establishment!$A$2:$A$1005,0))</f>
        <v xml:space="preserve"> </v>
      </c>
      <c r="G394" t="str">
        <f>INDEX(Establishment!C$2:C$1005,MATCH($E394,Establishment!$A$2:$A$1005,0))</f>
        <v xml:space="preserve"> </v>
      </c>
      <c r="M394">
        <f t="shared" ref="M394:M457" si="36">K394*L394</f>
        <v>0</v>
      </c>
      <c r="N394">
        <f t="shared" si="34"/>
        <v>0</v>
      </c>
      <c r="P394" t="e">
        <f>INDEX(Items!B$2:B$1032,MATCH($O394,Items!$A$2:$A$1032,0))</f>
        <v>#N/A</v>
      </c>
      <c r="Q394" t="e">
        <f>INDEX(Items!C$2:C$1032,MATCH($O394,Items!$A$2:$A$1032,0))</f>
        <v>#N/A</v>
      </c>
      <c r="R394" t="e">
        <f>INDEX(Items!D$2:D$1032,MATCH($O394,Items!$A$2:$A$1032,0))</f>
        <v>#N/A</v>
      </c>
    </row>
    <row r="395" spans="1:18" x14ac:dyDescent="0.25">
      <c r="A395">
        <f t="shared" si="32"/>
        <v>1</v>
      </c>
      <c r="B395" t="str">
        <f t="shared" si="33"/>
        <v/>
      </c>
      <c r="C395">
        <f t="shared" si="35"/>
        <v>1</v>
      </c>
      <c r="D395" s="4"/>
      <c r="E395" t="s">
        <v>18</v>
      </c>
      <c r="F395" t="str">
        <f>INDEX(Establishment!B$2:B$1005,MATCH($E395,Establishment!$A$2:$A$1005,0))</f>
        <v xml:space="preserve"> </v>
      </c>
      <c r="G395" t="str">
        <f>INDEX(Establishment!C$2:C$1005,MATCH($E395,Establishment!$A$2:$A$1005,0))</f>
        <v xml:space="preserve"> </v>
      </c>
      <c r="M395">
        <f t="shared" si="36"/>
        <v>0</v>
      </c>
      <c r="N395">
        <f t="shared" si="34"/>
        <v>0</v>
      </c>
      <c r="P395" t="e">
        <f>INDEX(Items!B$2:B$1032,MATCH($O395,Items!$A$2:$A$1032,0))</f>
        <v>#N/A</v>
      </c>
      <c r="Q395" t="e">
        <f>INDEX(Items!C$2:C$1032,MATCH($O395,Items!$A$2:$A$1032,0))</f>
        <v>#N/A</v>
      </c>
      <c r="R395" t="e">
        <f>INDEX(Items!D$2:D$1032,MATCH($O395,Items!$A$2:$A$1032,0))</f>
        <v>#N/A</v>
      </c>
    </row>
    <row r="396" spans="1:18" x14ac:dyDescent="0.25">
      <c r="A396">
        <f t="shared" si="32"/>
        <v>1</v>
      </c>
      <c r="B396" t="str">
        <f t="shared" si="33"/>
        <v/>
      </c>
      <c r="C396">
        <f t="shared" si="35"/>
        <v>1</v>
      </c>
      <c r="D396" s="4"/>
      <c r="E396" t="s">
        <v>18</v>
      </c>
      <c r="F396" t="str">
        <f>INDEX(Establishment!B$2:B$1005,MATCH($E396,Establishment!$A$2:$A$1005,0))</f>
        <v xml:space="preserve"> </v>
      </c>
      <c r="G396" t="str">
        <f>INDEX(Establishment!C$2:C$1005,MATCH($E396,Establishment!$A$2:$A$1005,0))</f>
        <v xml:space="preserve"> </v>
      </c>
      <c r="M396">
        <f t="shared" si="36"/>
        <v>0</v>
      </c>
      <c r="N396">
        <f t="shared" si="34"/>
        <v>0</v>
      </c>
      <c r="P396" t="e">
        <f>INDEX(Items!B$2:B$1032,MATCH($O396,Items!$A$2:$A$1032,0))</f>
        <v>#N/A</v>
      </c>
      <c r="Q396" t="e">
        <f>INDEX(Items!C$2:C$1032,MATCH($O396,Items!$A$2:$A$1032,0))</f>
        <v>#N/A</v>
      </c>
      <c r="R396" t="e">
        <f>INDEX(Items!D$2:D$1032,MATCH($O396,Items!$A$2:$A$1032,0))</f>
        <v>#N/A</v>
      </c>
    </row>
    <row r="397" spans="1:18" x14ac:dyDescent="0.25">
      <c r="A397">
        <f t="shared" si="32"/>
        <v>1</v>
      </c>
      <c r="B397" t="str">
        <f t="shared" si="33"/>
        <v/>
      </c>
      <c r="C397">
        <f t="shared" si="35"/>
        <v>1</v>
      </c>
      <c r="D397" s="4"/>
      <c r="E397" t="s">
        <v>18</v>
      </c>
      <c r="F397" t="str">
        <f>INDEX(Establishment!B$2:B$1005,MATCH($E397,Establishment!$A$2:$A$1005,0))</f>
        <v xml:space="preserve"> </v>
      </c>
      <c r="G397" t="str">
        <f>INDEX(Establishment!C$2:C$1005,MATCH($E397,Establishment!$A$2:$A$1005,0))</f>
        <v xml:space="preserve"> </v>
      </c>
      <c r="M397">
        <f t="shared" si="36"/>
        <v>0</v>
      </c>
      <c r="N397">
        <f t="shared" si="34"/>
        <v>0</v>
      </c>
      <c r="P397" t="e">
        <f>INDEX(Items!B$2:B$1032,MATCH($O397,Items!$A$2:$A$1032,0))</f>
        <v>#N/A</v>
      </c>
      <c r="Q397" t="e">
        <f>INDEX(Items!C$2:C$1032,MATCH($O397,Items!$A$2:$A$1032,0))</f>
        <v>#N/A</v>
      </c>
      <c r="R397" t="e">
        <f>INDEX(Items!D$2:D$1032,MATCH($O397,Items!$A$2:$A$1032,0))</f>
        <v>#N/A</v>
      </c>
    </row>
    <row r="398" spans="1:18" x14ac:dyDescent="0.25">
      <c r="A398">
        <f t="shared" si="32"/>
        <v>1</v>
      </c>
      <c r="B398" t="str">
        <f t="shared" si="33"/>
        <v/>
      </c>
      <c r="C398">
        <f t="shared" si="35"/>
        <v>1</v>
      </c>
      <c r="D398" s="4"/>
      <c r="E398" t="s">
        <v>18</v>
      </c>
      <c r="F398" t="str">
        <f>INDEX(Establishment!B$2:B$1005,MATCH($E398,Establishment!$A$2:$A$1005,0))</f>
        <v xml:space="preserve"> </v>
      </c>
      <c r="G398" t="str">
        <f>INDEX(Establishment!C$2:C$1005,MATCH($E398,Establishment!$A$2:$A$1005,0))</f>
        <v xml:space="preserve"> </v>
      </c>
      <c r="M398">
        <f t="shared" si="36"/>
        <v>0</v>
      </c>
      <c r="N398">
        <f t="shared" si="34"/>
        <v>0</v>
      </c>
      <c r="P398" t="e">
        <f>INDEX(Items!B$2:B$1032,MATCH($O398,Items!$A$2:$A$1032,0))</f>
        <v>#N/A</v>
      </c>
      <c r="Q398" t="e">
        <f>INDEX(Items!C$2:C$1032,MATCH($O398,Items!$A$2:$A$1032,0))</f>
        <v>#N/A</v>
      </c>
      <c r="R398" t="e">
        <f>INDEX(Items!D$2:D$1032,MATCH($O398,Items!$A$2:$A$1032,0))</f>
        <v>#N/A</v>
      </c>
    </row>
    <row r="399" spans="1:18" x14ac:dyDescent="0.25">
      <c r="A399">
        <f t="shared" si="32"/>
        <v>1</v>
      </c>
      <c r="B399" t="str">
        <f t="shared" si="33"/>
        <v/>
      </c>
      <c r="C399">
        <f t="shared" si="35"/>
        <v>1</v>
      </c>
      <c r="D399" s="4"/>
      <c r="E399" t="s">
        <v>18</v>
      </c>
      <c r="F399" t="str">
        <f>INDEX(Establishment!B$2:B$1005,MATCH($E399,Establishment!$A$2:$A$1005,0))</f>
        <v xml:space="preserve"> </v>
      </c>
      <c r="G399" t="str">
        <f>INDEX(Establishment!C$2:C$1005,MATCH($E399,Establishment!$A$2:$A$1005,0))</f>
        <v xml:space="preserve"> </v>
      </c>
      <c r="M399">
        <f t="shared" si="36"/>
        <v>0</v>
      </c>
      <c r="N399">
        <f t="shared" si="34"/>
        <v>0</v>
      </c>
      <c r="P399" t="e">
        <f>INDEX(Items!B$2:B$1032,MATCH($O399,Items!$A$2:$A$1032,0))</f>
        <v>#N/A</v>
      </c>
      <c r="Q399" t="e">
        <f>INDEX(Items!C$2:C$1032,MATCH($O399,Items!$A$2:$A$1032,0))</f>
        <v>#N/A</v>
      </c>
      <c r="R399" t="e">
        <f>INDEX(Items!D$2:D$1032,MATCH($O399,Items!$A$2:$A$1032,0))</f>
        <v>#N/A</v>
      </c>
    </row>
    <row r="400" spans="1:18" x14ac:dyDescent="0.25">
      <c r="A400">
        <f t="shared" si="32"/>
        <v>1</v>
      </c>
      <c r="B400" t="str">
        <f t="shared" si="33"/>
        <v/>
      </c>
      <c r="C400">
        <f t="shared" si="35"/>
        <v>1</v>
      </c>
      <c r="D400" s="4"/>
      <c r="E400" t="s">
        <v>18</v>
      </c>
      <c r="F400" t="str">
        <f>INDEX(Establishment!B$2:B$1005,MATCH($E400,Establishment!$A$2:$A$1005,0))</f>
        <v xml:space="preserve"> </v>
      </c>
      <c r="G400" t="str">
        <f>INDEX(Establishment!C$2:C$1005,MATCH($E400,Establishment!$A$2:$A$1005,0))</f>
        <v xml:space="preserve"> </v>
      </c>
      <c r="M400">
        <f t="shared" si="36"/>
        <v>0</v>
      </c>
      <c r="N400">
        <f t="shared" si="34"/>
        <v>0</v>
      </c>
      <c r="P400" t="e">
        <f>INDEX(Items!B$2:B$1032,MATCH($O400,Items!$A$2:$A$1032,0))</f>
        <v>#N/A</v>
      </c>
      <c r="Q400" t="e">
        <f>INDEX(Items!C$2:C$1032,MATCH($O400,Items!$A$2:$A$1032,0))</f>
        <v>#N/A</v>
      </c>
      <c r="R400" t="e">
        <f>INDEX(Items!D$2:D$1032,MATCH($O400,Items!$A$2:$A$1032,0))</f>
        <v>#N/A</v>
      </c>
    </row>
    <row r="401" spans="1:18" x14ac:dyDescent="0.25">
      <c r="A401">
        <f t="shared" si="32"/>
        <v>1</v>
      </c>
      <c r="B401" t="str">
        <f t="shared" si="33"/>
        <v/>
      </c>
      <c r="C401">
        <f t="shared" si="35"/>
        <v>1</v>
      </c>
      <c r="D401" s="4"/>
      <c r="E401" t="s">
        <v>18</v>
      </c>
      <c r="F401" t="str">
        <f>INDEX(Establishment!B$2:B$1005,MATCH($E401,Establishment!$A$2:$A$1005,0))</f>
        <v xml:space="preserve"> </v>
      </c>
      <c r="G401" t="str">
        <f>INDEX(Establishment!C$2:C$1005,MATCH($E401,Establishment!$A$2:$A$1005,0))</f>
        <v xml:space="preserve"> </v>
      </c>
      <c r="M401">
        <f t="shared" si="36"/>
        <v>0</v>
      </c>
      <c r="N401">
        <f t="shared" si="34"/>
        <v>0</v>
      </c>
      <c r="P401" t="e">
        <f>INDEX(Items!B$2:B$1032,MATCH($O401,Items!$A$2:$A$1032,0))</f>
        <v>#N/A</v>
      </c>
      <c r="Q401" t="e">
        <f>INDEX(Items!C$2:C$1032,MATCH($O401,Items!$A$2:$A$1032,0))</f>
        <v>#N/A</v>
      </c>
      <c r="R401" t="e">
        <f>INDEX(Items!D$2:D$1032,MATCH($O401,Items!$A$2:$A$1032,0))</f>
        <v>#N/A</v>
      </c>
    </row>
    <row r="402" spans="1:18" x14ac:dyDescent="0.25">
      <c r="A402">
        <f t="shared" si="32"/>
        <v>1</v>
      </c>
      <c r="B402" t="str">
        <f t="shared" si="33"/>
        <v/>
      </c>
      <c r="C402">
        <f t="shared" si="35"/>
        <v>1</v>
      </c>
      <c r="D402" s="4"/>
      <c r="E402" t="s">
        <v>18</v>
      </c>
      <c r="F402" t="str">
        <f>INDEX(Establishment!B$2:B$1005,MATCH($E402,Establishment!$A$2:$A$1005,0))</f>
        <v xml:space="preserve"> </v>
      </c>
      <c r="G402" t="str">
        <f>INDEX(Establishment!C$2:C$1005,MATCH($E402,Establishment!$A$2:$A$1005,0))</f>
        <v xml:space="preserve"> </v>
      </c>
      <c r="M402">
        <f t="shared" si="36"/>
        <v>0</v>
      </c>
      <c r="N402">
        <f t="shared" si="34"/>
        <v>0</v>
      </c>
      <c r="P402" t="e">
        <f>INDEX(Items!B$2:B$1032,MATCH($O402,Items!$A$2:$A$1032,0))</f>
        <v>#N/A</v>
      </c>
      <c r="Q402" t="e">
        <f>INDEX(Items!C$2:C$1032,MATCH($O402,Items!$A$2:$A$1032,0))</f>
        <v>#N/A</v>
      </c>
      <c r="R402" t="e">
        <f>INDEX(Items!D$2:D$1032,MATCH($O402,Items!$A$2:$A$1032,0))</f>
        <v>#N/A</v>
      </c>
    </row>
    <row r="403" spans="1:18" x14ac:dyDescent="0.25">
      <c r="A403">
        <f t="shared" si="32"/>
        <v>1</v>
      </c>
      <c r="B403" t="str">
        <f t="shared" si="33"/>
        <v/>
      </c>
      <c r="C403">
        <f t="shared" si="35"/>
        <v>1</v>
      </c>
      <c r="D403" s="4"/>
      <c r="E403" t="s">
        <v>18</v>
      </c>
      <c r="F403" t="str">
        <f>INDEX(Establishment!B$2:B$1005,MATCH($E403,Establishment!$A$2:$A$1005,0))</f>
        <v xml:space="preserve"> </v>
      </c>
      <c r="G403" t="str">
        <f>INDEX(Establishment!C$2:C$1005,MATCH($E403,Establishment!$A$2:$A$1005,0))</f>
        <v xml:space="preserve"> </v>
      </c>
      <c r="M403">
        <f t="shared" si="36"/>
        <v>0</v>
      </c>
      <c r="N403">
        <f t="shared" si="34"/>
        <v>0</v>
      </c>
      <c r="P403" t="e">
        <f>INDEX(Items!B$2:B$1032,MATCH($O403,Items!$A$2:$A$1032,0))</f>
        <v>#N/A</v>
      </c>
      <c r="Q403" t="e">
        <f>INDEX(Items!C$2:C$1032,MATCH($O403,Items!$A$2:$A$1032,0))</f>
        <v>#N/A</v>
      </c>
      <c r="R403" t="e">
        <f>INDEX(Items!D$2:D$1032,MATCH($O403,Items!$A$2:$A$1032,0))</f>
        <v>#N/A</v>
      </c>
    </row>
    <row r="404" spans="1:18" x14ac:dyDescent="0.25">
      <c r="A404">
        <f t="shared" si="32"/>
        <v>1</v>
      </c>
      <c r="B404" t="str">
        <f t="shared" si="33"/>
        <v/>
      </c>
      <c r="C404">
        <f t="shared" si="35"/>
        <v>1</v>
      </c>
      <c r="D404" s="4"/>
      <c r="E404" t="s">
        <v>18</v>
      </c>
      <c r="F404" t="str">
        <f>INDEX(Establishment!B$2:B$1005,MATCH($E404,Establishment!$A$2:$A$1005,0))</f>
        <v xml:space="preserve"> </v>
      </c>
      <c r="G404" t="str">
        <f>INDEX(Establishment!C$2:C$1005,MATCH($E404,Establishment!$A$2:$A$1005,0))</f>
        <v xml:space="preserve"> </v>
      </c>
      <c r="M404">
        <f t="shared" si="36"/>
        <v>0</v>
      </c>
      <c r="N404">
        <f t="shared" si="34"/>
        <v>0</v>
      </c>
      <c r="P404" t="e">
        <f>INDEX(Items!B$2:B$1032,MATCH($O404,Items!$A$2:$A$1032,0))</f>
        <v>#N/A</v>
      </c>
      <c r="Q404" t="e">
        <f>INDEX(Items!C$2:C$1032,MATCH($O404,Items!$A$2:$A$1032,0))</f>
        <v>#N/A</v>
      </c>
      <c r="R404" t="e">
        <f>INDEX(Items!D$2:D$1032,MATCH($O404,Items!$A$2:$A$1032,0))</f>
        <v>#N/A</v>
      </c>
    </row>
    <row r="405" spans="1:18" x14ac:dyDescent="0.25">
      <c r="A405">
        <f t="shared" si="32"/>
        <v>1</v>
      </c>
      <c r="B405" t="str">
        <f t="shared" si="33"/>
        <v/>
      </c>
      <c r="C405">
        <f t="shared" si="35"/>
        <v>1</v>
      </c>
      <c r="D405" s="4"/>
      <c r="E405" t="s">
        <v>18</v>
      </c>
      <c r="F405" t="str">
        <f>INDEX(Establishment!B$2:B$1005,MATCH($E405,Establishment!$A$2:$A$1005,0))</f>
        <v xml:space="preserve"> </v>
      </c>
      <c r="G405" t="str">
        <f>INDEX(Establishment!C$2:C$1005,MATCH($E405,Establishment!$A$2:$A$1005,0))</f>
        <v xml:space="preserve"> </v>
      </c>
      <c r="M405">
        <f t="shared" si="36"/>
        <v>0</v>
      </c>
      <c r="N405">
        <f t="shared" si="34"/>
        <v>0</v>
      </c>
      <c r="P405" t="e">
        <f>INDEX(Items!B$2:B$1032,MATCH($O405,Items!$A$2:$A$1032,0))</f>
        <v>#N/A</v>
      </c>
      <c r="Q405" t="e">
        <f>INDEX(Items!C$2:C$1032,MATCH($O405,Items!$A$2:$A$1032,0))</f>
        <v>#N/A</v>
      </c>
      <c r="R405" t="e">
        <f>INDEX(Items!D$2:D$1032,MATCH($O405,Items!$A$2:$A$1032,0))</f>
        <v>#N/A</v>
      </c>
    </row>
    <row r="406" spans="1:18" x14ac:dyDescent="0.25">
      <c r="A406">
        <f t="shared" si="32"/>
        <v>1</v>
      </c>
      <c r="B406" t="str">
        <f t="shared" si="33"/>
        <v/>
      </c>
      <c r="C406">
        <f t="shared" si="35"/>
        <v>1</v>
      </c>
      <c r="D406" s="4"/>
      <c r="E406" t="s">
        <v>18</v>
      </c>
      <c r="F406" t="str">
        <f>INDEX(Establishment!B$2:B$1005,MATCH($E406,Establishment!$A$2:$A$1005,0))</f>
        <v xml:space="preserve"> </v>
      </c>
      <c r="G406" t="str">
        <f>INDEX(Establishment!C$2:C$1005,MATCH($E406,Establishment!$A$2:$A$1005,0))</f>
        <v xml:space="preserve"> </v>
      </c>
      <c r="M406">
        <f t="shared" si="36"/>
        <v>0</v>
      </c>
      <c r="N406">
        <f t="shared" si="34"/>
        <v>0</v>
      </c>
      <c r="P406" t="e">
        <f>INDEX(Items!B$2:B$1032,MATCH($O406,Items!$A$2:$A$1032,0))</f>
        <v>#N/A</v>
      </c>
      <c r="Q406" t="e">
        <f>INDEX(Items!C$2:C$1032,MATCH($O406,Items!$A$2:$A$1032,0))</f>
        <v>#N/A</v>
      </c>
      <c r="R406" t="e">
        <f>INDEX(Items!D$2:D$1032,MATCH($O406,Items!$A$2:$A$1032,0))</f>
        <v>#N/A</v>
      </c>
    </row>
    <row r="407" spans="1:18" x14ac:dyDescent="0.25">
      <c r="A407">
        <f t="shared" si="32"/>
        <v>1</v>
      </c>
      <c r="B407" t="str">
        <f t="shared" si="33"/>
        <v/>
      </c>
      <c r="C407">
        <f t="shared" si="35"/>
        <v>1</v>
      </c>
      <c r="D407" s="4"/>
      <c r="E407" t="s">
        <v>18</v>
      </c>
      <c r="F407" t="str">
        <f>INDEX(Establishment!B$2:B$1005,MATCH($E407,Establishment!$A$2:$A$1005,0))</f>
        <v xml:space="preserve"> </v>
      </c>
      <c r="G407" t="str">
        <f>INDEX(Establishment!C$2:C$1005,MATCH($E407,Establishment!$A$2:$A$1005,0))</f>
        <v xml:space="preserve"> </v>
      </c>
      <c r="M407">
        <f t="shared" si="36"/>
        <v>0</v>
      </c>
      <c r="N407">
        <f t="shared" si="34"/>
        <v>0</v>
      </c>
      <c r="P407" t="e">
        <f>INDEX(Items!B$2:B$1032,MATCH($O407,Items!$A$2:$A$1032,0))</f>
        <v>#N/A</v>
      </c>
      <c r="Q407" t="e">
        <f>INDEX(Items!C$2:C$1032,MATCH($O407,Items!$A$2:$A$1032,0))</f>
        <v>#N/A</v>
      </c>
      <c r="R407" t="e">
        <f>INDEX(Items!D$2:D$1032,MATCH($O407,Items!$A$2:$A$1032,0))</f>
        <v>#N/A</v>
      </c>
    </row>
    <row r="408" spans="1:18" x14ac:dyDescent="0.25">
      <c r="A408">
        <f t="shared" si="32"/>
        <v>1</v>
      </c>
      <c r="B408" t="str">
        <f t="shared" si="33"/>
        <v/>
      </c>
      <c r="C408">
        <f t="shared" si="35"/>
        <v>1</v>
      </c>
      <c r="D408" s="4"/>
      <c r="E408" t="s">
        <v>18</v>
      </c>
      <c r="F408" t="str">
        <f>INDEX(Establishment!B$2:B$1005,MATCH($E408,Establishment!$A$2:$A$1005,0))</f>
        <v xml:space="preserve"> </v>
      </c>
      <c r="G408" t="str">
        <f>INDEX(Establishment!C$2:C$1005,MATCH($E408,Establishment!$A$2:$A$1005,0))</f>
        <v xml:space="preserve"> </v>
      </c>
      <c r="M408">
        <f t="shared" si="36"/>
        <v>0</v>
      </c>
      <c r="N408">
        <f t="shared" si="34"/>
        <v>0</v>
      </c>
      <c r="P408" t="e">
        <f>INDEX(Items!B$2:B$1032,MATCH($O408,Items!$A$2:$A$1032,0))</f>
        <v>#N/A</v>
      </c>
      <c r="Q408" t="e">
        <f>INDEX(Items!C$2:C$1032,MATCH($O408,Items!$A$2:$A$1032,0))</f>
        <v>#N/A</v>
      </c>
      <c r="R408" t="e">
        <f>INDEX(Items!D$2:D$1032,MATCH($O408,Items!$A$2:$A$1032,0))</f>
        <v>#N/A</v>
      </c>
    </row>
    <row r="409" spans="1:18" x14ac:dyDescent="0.25">
      <c r="A409">
        <f t="shared" si="32"/>
        <v>1</v>
      </c>
      <c r="B409" t="str">
        <f t="shared" si="33"/>
        <v/>
      </c>
      <c r="C409">
        <f t="shared" si="35"/>
        <v>1</v>
      </c>
      <c r="D409" s="4"/>
      <c r="E409" t="s">
        <v>18</v>
      </c>
      <c r="F409" t="str">
        <f>INDEX(Establishment!B$2:B$1005,MATCH($E409,Establishment!$A$2:$A$1005,0))</f>
        <v xml:space="preserve"> </v>
      </c>
      <c r="G409" t="str">
        <f>INDEX(Establishment!C$2:C$1005,MATCH($E409,Establishment!$A$2:$A$1005,0))</f>
        <v xml:space="preserve"> </v>
      </c>
      <c r="M409">
        <f t="shared" si="36"/>
        <v>0</v>
      </c>
      <c r="N409">
        <f t="shared" si="34"/>
        <v>0</v>
      </c>
      <c r="P409" t="e">
        <f>INDEX(Items!B$2:B$1032,MATCH($O409,Items!$A$2:$A$1032,0))</f>
        <v>#N/A</v>
      </c>
      <c r="Q409" t="e">
        <f>INDEX(Items!C$2:C$1032,MATCH($O409,Items!$A$2:$A$1032,0))</f>
        <v>#N/A</v>
      </c>
      <c r="R409" t="e">
        <f>INDEX(Items!D$2:D$1032,MATCH($O409,Items!$A$2:$A$1032,0))</f>
        <v>#N/A</v>
      </c>
    </row>
    <row r="410" spans="1:18" x14ac:dyDescent="0.25">
      <c r="A410">
        <f t="shared" si="32"/>
        <v>1</v>
      </c>
      <c r="B410" t="str">
        <f t="shared" si="33"/>
        <v/>
      </c>
      <c r="C410">
        <f t="shared" si="35"/>
        <v>1</v>
      </c>
      <c r="D410" s="4"/>
      <c r="E410" t="s">
        <v>18</v>
      </c>
      <c r="F410" t="str">
        <f>INDEX(Establishment!B$2:B$1005,MATCH($E410,Establishment!$A$2:$A$1005,0))</f>
        <v xml:space="preserve"> </v>
      </c>
      <c r="G410" t="str">
        <f>INDEX(Establishment!C$2:C$1005,MATCH($E410,Establishment!$A$2:$A$1005,0))</f>
        <v xml:space="preserve"> </v>
      </c>
      <c r="M410">
        <f t="shared" si="36"/>
        <v>0</v>
      </c>
      <c r="N410">
        <f t="shared" si="34"/>
        <v>0</v>
      </c>
      <c r="P410" t="e">
        <f>INDEX(Items!B$2:B$1032,MATCH($O410,Items!$A$2:$A$1032,0))</f>
        <v>#N/A</v>
      </c>
      <c r="Q410" t="e">
        <f>INDEX(Items!C$2:C$1032,MATCH($O410,Items!$A$2:$A$1032,0))</f>
        <v>#N/A</v>
      </c>
      <c r="R410" t="e">
        <f>INDEX(Items!D$2:D$1032,MATCH($O410,Items!$A$2:$A$1032,0))</f>
        <v>#N/A</v>
      </c>
    </row>
    <row r="411" spans="1:18" x14ac:dyDescent="0.25">
      <c r="A411">
        <f t="shared" si="32"/>
        <v>1</v>
      </c>
      <c r="B411" t="str">
        <f t="shared" si="33"/>
        <v/>
      </c>
      <c r="C411">
        <f t="shared" si="35"/>
        <v>1</v>
      </c>
      <c r="D411" s="4"/>
      <c r="E411" t="s">
        <v>18</v>
      </c>
      <c r="F411" t="str">
        <f>INDEX(Establishment!B$2:B$1005,MATCH($E411,Establishment!$A$2:$A$1005,0))</f>
        <v xml:space="preserve"> </v>
      </c>
      <c r="G411" t="str">
        <f>INDEX(Establishment!C$2:C$1005,MATCH($E411,Establishment!$A$2:$A$1005,0))</f>
        <v xml:space="preserve"> </v>
      </c>
      <c r="M411">
        <f t="shared" si="36"/>
        <v>0</v>
      </c>
      <c r="N411">
        <f t="shared" si="34"/>
        <v>0</v>
      </c>
      <c r="P411" t="e">
        <f>INDEX(Items!B$2:B$1032,MATCH($O411,Items!$A$2:$A$1032,0))</f>
        <v>#N/A</v>
      </c>
      <c r="Q411" t="e">
        <f>INDEX(Items!C$2:C$1032,MATCH($O411,Items!$A$2:$A$1032,0))</f>
        <v>#N/A</v>
      </c>
      <c r="R411" t="e">
        <f>INDEX(Items!D$2:D$1032,MATCH($O411,Items!$A$2:$A$1032,0))</f>
        <v>#N/A</v>
      </c>
    </row>
    <row r="412" spans="1:18" x14ac:dyDescent="0.25">
      <c r="A412">
        <f t="shared" si="32"/>
        <v>1</v>
      </c>
      <c r="B412" t="str">
        <f t="shared" si="33"/>
        <v/>
      </c>
      <c r="C412">
        <f t="shared" si="35"/>
        <v>1</v>
      </c>
      <c r="D412" s="4"/>
      <c r="E412" t="s">
        <v>18</v>
      </c>
      <c r="F412" t="str">
        <f>INDEX(Establishment!B$2:B$1005,MATCH($E412,Establishment!$A$2:$A$1005,0))</f>
        <v xml:space="preserve"> </v>
      </c>
      <c r="G412" t="str">
        <f>INDEX(Establishment!C$2:C$1005,MATCH($E412,Establishment!$A$2:$A$1005,0))</f>
        <v xml:space="preserve"> </v>
      </c>
      <c r="M412">
        <f t="shared" si="36"/>
        <v>0</v>
      </c>
      <c r="N412">
        <f t="shared" si="34"/>
        <v>0</v>
      </c>
      <c r="P412" t="e">
        <f>INDEX(Items!B$2:B$1032,MATCH($O412,Items!$A$2:$A$1032,0))</f>
        <v>#N/A</v>
      </c>
      <c r="Q412" t="e">
        <f>INDEX(Items!C$2:C$1032,MATCH($O412,Items!$A$2:$A$1032,0))</f>
        <v>#N/A</v>
      </c>
      <c r="R412" t="e">
        <f>INDEX(Items!D$2:D$1032,MATCH($O412,Items!$A$2:$A$1032,0))</f>
        <v>#N/A</v>
      </c>
    </row>
    <row r="413" spans="1:18" x14ac:dyDescent="0.25">
      <c r="A413">
        <f t="shared" si="32"/>
        <v>1</v>
      </c>
      <c r="B413" t="str">
        <f t="shared" si="33"/>
        <v/>
      </c>
      <c r="C413">
        <f t="shared" si="35"/>
        <v>1</v>
      </c>
      <c r="D413" s="4"/>
      <c r="E413" t="s">
        <v>18</v>
      </c>
      <c r="F413" t="str">
        <f>INDEX(Establishment!B$2:B$1005,MATCH($E413,Establishment!$A$2:$A$1005,0))</f>
        <v xml:space="preserve"> </v>
      </c>
      <c r="G413" t="str">
        <f>INDEX(Establishment!C$2:C$1005,MATCH($E413,Establishment!$A$2:$A$1005,0))</f>
        <v xml:space="preserve"> </v>
      </c>
      <c r="M413">
        <f t="shared" si="36"/>
        <v>0</v>
      </c>
      <c r="N413">
        <f t="shared" si="34"/>
        <v>0</v>
      </c>
      <c r="P413" t="e">
        <f>INDEX(Items!B$2:B$1032,MATCH($O413,Items!$A$2:$A$1032,0))</f>
        <v>#N/A</v>
      </c>
      <c r="Q413" t="e">
        <f>INDEX(Items!C$2:C$1032,MATCH($O413,Items!$A$2:$A$1032,0))</f>
        <v>#N/A</v>
      </c>
      <c r="R413" t="e">
        <f>INDEX(Items!D$2:D$1032,MATCH($O413,Items!$A$2:$A$1032,0))</f>
        <v>#N/A</v>
      </c>
    </row>
    <row r="414" spans="1:18" x14ac:dyDescent="0.25">
      <c r="A414">
        <f t="shared" si="32"/>
        <v>1</v>
      </c>
      <c r="B414" t="str">
        <f t="shared" si="33"/>
        <v/>
      </c>
      <c r="C414">
        <f t="shared" si="35"/>
        <v>1</v>
      </c>
      <c r="D414" s="4"/>
      <c r="E414" t="s">
        <v>18</v>
      </c>
      <c r="F414" t="str">
        <f>INDEX(Establishment!B$2:B$1005,MATCH($E414,Establishment!$A$2:$A$1005,0))</f>
        <v xml:space="preserve"> </v>
      </c>
      <c r="G414" t="str">
        <f>INDEX(Establishment!C$2:C$1005,MATCH($E414,Establishment!$A$2:$A$1005,0))</f>
        <v xml:space="preserve"> </v>
      </c>
      <c r="M414">
        <f t="shared" si="36"/>
        <v>0</v>
      </c>
      <c r="N414">
        <f t="shared" si="34"/>
        <v>0</v>
      </c>
      <c r="P414" t="e">
        <f>INDEX(Items!B$2:B$1032,MATCH($O414,Items!$A$2:$A$1032,0))</f>
        <v>#N/A</v>
      </c>
      <c r="Q414" t="e">
        <f>INDEX(Items!C$2:C$1032,MATCH($O414,Items!$A$2:$A$1032,0))</f>
        <v>#N/A</v>
      </c>
      <c r="R414" t="e">
        <f>INDEX(Items!D$2:D$1032,MATCH($O414,Items!$A$2:$A$1032,0))</f>
        <v>#N/A</v>
      </c>
    </row>
    <row r="415" spans="1:18" x14ac:dyDescent="0.25">
      <c r="A415">
        <f t="shared" si="32"/>
        <v>1</v>
      </c>
      <c r="B415" t="str">
        <f t="shared" si="33"/>
        <v/>
      </c>
      <c r="C415">
        <f t="shared" si="35"/>
        <v>1</v>
      </c>
      <c r="D415" s="4"/>
      <c r="E415" t="s">
        <v>18</v>
      </c>
      <c r="F415" t="str">
        <f>INDEX(Establishment!B$2:B$1005,MATCH($E415,Establishment!$A$2:$A$1005,0))</f>
        <v xml:space="preserve"> </v>
      </c>
      <c r="G415" t="str">
        <f>INDEX(Establishment!C$2:C$1005,MATCH($E415,Establishment!$A$2:$A$1005,0))</f>
        <v xml:space="preserve"> </v>
      </c>
      <c r="M415">
        <f t="shared" si="36"/>
        <v>0</v>
      </c>
      <c r="N415">
        <f t="shared" si="34"/>
        <v>0</v>
      </c>
      <c r="P415" t="e">
        <f>INDEX(Items!B$2:B$1032,MATCH($O415,Items!$A$2:$A$1032,0))</f>
        <v>#N/A</v>
      </c>
      <c r="Q415" t="e">
        <f>INDEX(Items!C$2:C$1032,MATCH($O415,Items!$A$2:$A$1032,0))</f>
        <v>#N/A</v>
      </c>
      <c r="R415" t="e">
        <f>INDEX(Items!D$2:D$1032,MATCH($O415,Items!$A$2:$A$1032,0))</f>
        <v>#N/A</v>
      </c>
    </row>
    <row r="416" spans="1:18" x14ac:dyDescent="0.25">
      <c r="A416">
        <f t="shared" si="32"/>
        <v>1</v>
      </c>
      <c r="B416" t="str">
        <f t="shared" si="33"/>
        <v/>
      </c>
      <c r="C416">
        <f t="shared" si="35"/>
        <v>1</v>
      </c>
      <c r="D416" s="4"/>
      <c r="E416" t="s">
        <v>18</v>
      </c>
      <c r="F416" t="str">
        <f>INDEX(Establishment!B$2:B$1005,MATCH($E416,Establishment!$A$2:$A$1005,0))</f>
        <v xml:space="preserve"> </v>
      </c>
      <c r="G416" t="str">
        <f>INDEX(Establishment!C$2:C$1005,MATCH($E416,Establishment!$A$2:$A$1005,0))</f>
        <v xml:space="preserve"> </v>
      </c>
      <c r="M416">
        <f t="shared" si="36"/>
        <v>0</v>
      </c>
      <c r="N416">
        <f t="shared" si="34"/>
        <v>0</v>
      </c>
      <c r="P416" t="e">
        <f>INDEX(Items!B$2:B$1032,MATCH($O416,Items!$A$2:$A$1032,0))</f>
        <v>#N/A</v>
      </c>
      <c r="Q416" t="e">
        <f>INDEX(Items!C$2:C$1032,MATCH($O416,Items!$A$2:$A$1032,0))</f>
        <v>#N/A</v>
      </c>
      <c r="R416" t="e">
        <f>INDEX(Items!D$2:D$1032,MATCH($O416,Items!$A$2:$A$1032,0))</f>
        <v>#N/A</v>
      </c>
    </row>
    <row r="417" spans="1:18" x14ac:dyDescent="0.25">
      <c r="A417">
        <f t="shared" si="32"/>
        <v>1</v>
      </c>
      <c r="B417" t="str">
        <f t="shared" si="33"/>
        <v/>
      </c>
      <c r="C417">
        <f t="shared" si="35"/>
        <v>1</v>
      </c>
      <c r="D417" s="4"/>
      <c r="E417" t="s">
        <v>18</v>
      </c>
      <c r="F417" t="str">
        <f>INDEX(Establishment!B$2:B$1005,MATCH($E417,Establishment!$A$2:$A$1005,0))</f>
        <v xml:space="preserve"> </v>
      </c>
      <c r="G417" t="str">
        <f>INDEX(Establishment!C$2:C$1005,MATCH($E417,Establishment!$A$2:$A$1005,0))</f>
        <v xml:space="preserve"> </v>
      </c>
      <c r="M417">
        <f t="shared" si="36"/>
        <v>0</v>
      </c>
      <c r="N417">
        <f t="shared" si="34"/>
        <v>0</v>
      </c>
      <c r="P417" t="e">
        <f>INDEX(Items!B$2:B$1032,MATCH($O417,Items!$A$2:$A$1032,0))</f>
        <v>#N/A</v>
      </c>
      <c r="Q417" t="e">
        <f>INDEX(Items!C$2:C$1032,MATCH($O417,Items!$A$2:$A$1032,0))</f>
        <v>#N/A</v>
      </c>
      <c r="R417" t="e">
        <f>INDEX(Items!D$2:D$1032,MATCH($O417,Items!$A$2:$A$1032,0))</f>
        <v>#N/A</v>
      </c>
    </row>
    <row r="418" spans="1:18" x14ac:dyDescent="0.25">
      <c r="A418">
        <f t="shared" si="32"/>
        <v>1</v>
      </c>
      <c r="B418" t="str">
        <f t="shared" si="33"/>
        <v/>
      </c>
      <c r="C418">
        <f t="shared" si="35"/>
        <v>1</v>
      </c>
      <c r="D418" s="4"/>
      <c r="E418" t="s">
        <v>18</v>
      </c>
      <c r="F418" t="str">
        <f>INDEX(Establishment!B$2:B$1005,MATCH($E418,Establishment!$A$2:$A$1005,0))</f>
        <v xml:space="preserve"> </v>
      </c>
      <c r="G418" t="str">
        <f>INDEX(Establishment!C$2:C$1005,MATCH($E418,Establishment!$A$2:$A$1005,0))</f>
        <v xml:space="preserve"> </v>
      </c>
      <c r="M418">
        <f t="shared" si="36"/>
        <v>0</v>
      </c>
      <c r="N418">
        <f t="shared" si="34"/>
        <v>0</v>
      </c>
      <c r="P418" t="e">
        <f>INDEX(Items!B$2:B$1032,MATCH($O418,Items!$A$2:$A$1032,0))</f>
        <v>#N/A</v>
      </c>
      <c r="Q418" t="e">
        <f>INDEX(Items!C$2:C$1032,MATCH($O418,Items!$A$2:$A$1032,0))</f>
        <v>#N/A</v>
      </c>
      <c r="R418" t="e">
        <f>INDEX(Items!D$2:D$1032,MATCH($O418,Items!$A$2:$A$1032,0))</f>
        <v>#N/A</v>
      </c>
    </row>
    <row r="419" spans="1:18" x14ac:dyDescent="0.25">
      <c r="A419">
        <f t="shared" si="32"/>
        <v>1</v>
      </c>
      <c r="B419" t="str">
        <f t="shared" si="33"/>
        <v/>
      </c>
      <c r="C419">
        <f t="shared" si="35"/>
        <v>1</v>
      </c>
      <c r="D419" s="4"/>
      <c r="E419" t="s">
        <v>18</v>
      </c>
      <c r="F419" t="str">
        <f>INDEX(Establishment!B$2:B$1005,MATCH($E419,Establishment!$A$2:$A$1005,0))</f>
        <v xml:space="preserve"> </v>
      </c>
      <c r="G419" t="str">
        <f>INDEX(Establishment!C$2:C$1005,MATCH($E419,Establishment!$A$2:$A$1005,0))</f>
        <v xml:space="preserve"> </v>
      </c>
      <c r="M419">
        <f t="shared" si="36"/>
        <v>0</v>
      </c>
      <c r="N419">
        <f t="shared" si="34"/>
        <v>0</v>
      </c>
      <c r="P419" t="e">
        <f>INDEX(Items!B$2:B$1032,MATCH($O419,Items!$A$2:$A$1032,0))</f>
        <v>#N/A</v>
      </c>
      <c r="Q419" t="e">
        <f>INDEX(Items!C$2:C$1032,MATCH($O419,Items!$A$2:$A$1032,0))</f>
        <v>#N/A</v>
      </c>
      <c r="R419" t="e">
        <f>INDEX(Items!D$2:D$1032,MATCH($O419,Items!$A$2:$A$1032,0))</f>
        <v>#N/A</v>
      </c>
    </row>
    <row r="420" spans="1:18" x14ac:dyDescent="0.25">
      <c r="A420">
        <f t="shared" si="32"/>
        <v>1</v>
      </c>
      <c r="B420" t="str">
        <f t="shared" si="33"/>
        <v/>
      </c>
      <c r="C420">
        <f t="shared" si="35"/>
        <v>1</v>
      </c>
      <c r="D420" s="4"/>
      <c r="E420" t="s">
        <v>18</v>
      </c>
      <c r="F420" t="str">
        <f>INDEX(Establishment!B$2:B$1005,MATCH($E420,Establishment!$A$2:$A$1005,0))</f>
        <v xml:space="preserve"> </v>
      </c>
      <c r="G420" t="str">
        <f>INDEX(Establishment!C$2:C$1005,MATCH($E420,Establishment!$A$2:$A$1005,0))</f>
        <v xml:space="preserve"> </v>
      </c>
      <c r="M420">
        <f t="shared" si="36"/>
        <v>0</v>
      </c>
      <c r="N420">
        <f t="shared" si="34"/>
        <v>0</v>
      </c>
      <c r="P420" t="e">
        <f>INDEX(Items!B$2:B$1032,MATCH($O420,Items!$A$2:$A$1032,0))</f>
        <v>#N/A</v>
      </c>
      <c r="Q420" t="e">
        <f>INDEX(Items!C$2:C$1032,MATCH($O420,Items!$A$2:$A$1032,0))</f>
        <v>#N/A</v>
      </c>
      <c r="R420" t="e">
        <f>INDEX(Items!D$2:D$1032,MATCH($O420,Items!$A$2:$A$1032,0))</f>
        <v>#N/A</v>
      </c>
    </row>
    <row r="421" spans="1:18" x14ac:dyDescent="0.25">
      <c r="A421">
        <f t="shared" si="32"/>
        <v>1</v>
      </c>
      <c r="B421" t="str">
        <f t="shared" si="33"/>
        <v/>
      </c>
      <c r="C421">
        <f t="shared" si="35"/>
        <v>1</v>
      </c>
      <c r="D421" s="4"/>
      <c r="E421" t="s">
        <v>18</v>
      </c>
      <c r="F421" t="str">
        <f>INDEX(Establishment!B$2:B$1005,MATCH($E421,Establishment!$A$2:$A$1005,0))</f>
        <v xml:space="preserve"> </v>
      </c>
      <c r="G421" t="str">
        <f>INDEX(Establishment!C$2:C$1005,MATCH($E421,Establishment!$A$2:$A$1005,0))</f>
        <v xml:space="preserve"> </v>
      </c>
      <c r="M421">
        <f t="shared" si="36"/>
        <v>0</v>
      </c>
      <c r="N421">
        <f t="shared" si="34"/>
        <v>0</v>
      </c>
      <c r="P421" t="e">
        <f>INDEX(Items!B$2:B$1032,MATCH($O421,Items!$A$2:$A$1032,0))</f>
        <v>#N/A</v>
      </c>
      <c r="Q421" t="e">
        <f>INDEX(Items!C$2:C$1032,MATCH($O421,Items!$A$2:$A$1032,0))</f>
        <v>#N/A</v>
      </c>
      <c r="R421" t="e">
        <f>INDEX(Items!D$2:D$1032,MATCH($O421,Items!$A$2:$A$1032,0))</f>
        <v>#N/A</v>
      </c>
    </row>
    <row r="422" spans="1:18" x14ac:dyDescent="0.25">
      <c r="A422">
        <f t="shared" si="32"/>
        <v>1</v>
      </c>
      <c r="B422" t="str">
        <f t="shared" si="33"/>
        <v/>
      </c>
      <c r="C422">
        <f t="shared" si="35"/>
        <v>1</v>
      </c>
      <c r="D422" s="4"/>
      <c r="E422" t="s">
        <v>18</v>
      </c>
      <c r="F422" t="str">
        <f>INDEX(Establishment!B$2:B$1005,MATCH($E422,Establishment!$A$2:$A$1005,0))</f>
        <v xml:space="preserve"> </v>
      </c>
      <c r="G422" t="str">
        <f>INDEX(Establishment!C$2:C$1005,MATCH($E422,Establishment!$A$2:$A$1005,0))</f>
        <v xml:space="preserve"> </v>
      </c>
      <c r="M422">
        <f t="shared" si="36"/>
        <v>0</v>
      </c>
      <c r="N422">
        <f t="shared" si="34"/>
        <v>0</v>
      </c>
      <c r="P422" t="e">
        <f>INDEX(Items!B$2:B$1032,MATCH($O422,Items!$A$2:$A$1032,0))</f>
        <v>#N/A</v>
      </c>
      <c r="Q422" t="e">
        <f>INDEX(Items!C$2:C$1032,MATCH($O422,Items!$A$2:$A$1032,0))</f>
        <v>#N/A</v>
      </c>
      <c r="R422" t="e">
        <f>INDEX(Items!D$2:D$1032,MATCH($O422,Items!$A$2:$A$1032,0))</f>
        <v>#N/A</v>
      </c>
    </row>
    <row r="423" spans="1:18" x14ac:dyDescent="0.25">
      <c r="A423">
        <f t="shared" si="32"/>
        <v>1</v>
      </c>
      <c r="B423" t="str">
        <f t="shared" si="33"/>
        <v/>
      </c>
      <c r="C423">
        <f t="shared" si="35"/>
        <v>1</v>
      </c>
      <c r="D423" s="4"/>
      <c r="E423" t="s">
        <v>18</v>
      </c>
      <c r="F423" t="str">
        <f>INDEX(Establishment!B$2:B$1005,MATCH($E423,Establishment!$A$2:$A$1005,0))</f>
        <v xml:space="preserve"> </v>
      </c>
      <c r="G423" t="str">
        <f>INDEX(Establishment!C$2:C$1005,MATCH($E423,Establishment!$A$2:$A$1005,0))</f>
        <v xml:space="preserve"> </v>
      </c>
      <c r="M423">
        <f t="shared" si="36"/>
        <v>0</v>
      </c>
      <c r="N423">
        <f t="shared" si="34"/>
        <v>0</v>
      </c>
      <c r="P423" t="e">
        <f>INDEX(Items!B$2:B$1032,MATCH($O423,Items!$A$2:$A$1032,0))</f>
        <v>#N/A</v>
      </c>
      <c r="Q423" t="e">
        <f>INDEX(Items!C$2:C$1032,MATCH($O423,Items!$A$2:$A$1032,0))</f>
        <v>#N/A</v>
      </c>
      <c r="R423" t="e">
        <f>INDEX(Items!D$2:D$1032,MATCH($O423,Items!$A$2:$A$1032,0))</f>
        <v>#N/A</v>
      </c>
    </row>
    <row r="424" spans="1:18" x14ac:dyDescent="0.25">
      <c r="A424">
        <f t="shared" si="32"/>
        <v>1</v>
      </c>
      <c r="B424" t="str">
        <f t="shared" si="33"/>
        <v/>
      </c>
      <c r="C424">
        <f t="shared" si="35"/>
        <v>1</v>
      </c>
      <c r="D424" s="4"/>
      <c r="E424" t="s">
        <v>18</v>
      </c>
      <c r="F424" t="str">
        <f>INDEX(Establishment!B$2:B$1005,MATCH($E424,Establishment!$A$2:$A$1005,0))</f>
        <v xml:space="preserve"> </v>
      </c>
      <c r="G424" t="str">
        <f>INDEX(Establishment!C$2:C$1005,MATCH($E424,Establishment!$A$2:$A$1005,0))</f>
        <v xml:space="preserve"> </v>
      </c>
      <c r="M424">
        <f t="shared" si="36"/>
        <v>0</v>
      </c>
      <c r="N424">
        <f t="shared" si="34"/>
        <v>0</v>
      </c>
      <c r="P424" t="e">
        <f>INDEX(Items!B$2:B$1032,MATCH($O424,Items!$A$2:$A$1032,0))</f>
        <v>#N/A</v>
      </c>
      <c r="Q424" t="e">
        <f>INDEX(Items!C$2:C$1032,MATCH($O424,Items!$A$2:$A$1032,0))</f>
        <v>#N/A</v>
      </c>
      <c r="R424" t="e">
        <f>INDEX(Items!D$2:D$1032,MATCH($O424,Items!$A$2:$A$1032,0))</f>
        <v>#N/A</v>
      </c>
    </row>
    <row r="425" spans="1:18" x14ac:dyDescent="0.25">
      <c r="A425">
        <f t="shared" si="32"/>
        <v>1</v>
      </c>
      <c r="B425" t="str">
        <f t="shared" si="33"/>
        <v/>
      </c>
      <c r="C425">
        <f t="shared" si="35"/>
        <v>1</v>
      </c>
      <c r="D425" s="4"/>
      <c r="E425" t="s">
        <v>18</v>
      </c>
      <c r="F425" t="str">
        <f>INDEX(Establishment!B$2:B$1005,MATCH($E425,Establishment!$A$2:$A$1005,0))</f>
        <v xml:space="preserve"> </v>
      </c>
      <c r="G425" t="str">
        <f>INDEX(Establishment!C$2:C$1005,MATCH($E425,Establishment!$A$2:$A$1005,0))</f>
        <v xml:space="preserve"> </v>
      </c>
      <c r="M425">
        <f t="shared" si="36"/>
        <v>0</v>
      </c>
      <c r="N425">
        <f t="shared" si="34"/>
        <v>0</v>
      </c>
      <c r="P425" t="e">
        <f>INDEX(Items!B$2:B$1032,MATCH($O425,Items!$A$2:$A$1032,0))</f>
        <v>#N/A</v>
      </c>
      <c r="Q425" t="e">
        <f>INDEX(Items!C$2:C$1032,MATCH($O425,Items!$A$2:$A$1032,0))</f>
        <v>#N/A</v>
      </c>
      <c r="R425" t="e">
        <f>INDEX(Items!D$2:D$1032,MATCH($O425,Items!$A$2:$A$1032,0))</f>
        <v>#N/A</v>
      </c>
    </row>
    <row r="426" spans="1:18" x14ac:dyDescent="0.25">
      <c r="A426">
        <f t="shared" si="32"/>
        <v>1</v>
      </c>
      <c r="B426" t="str">
        <f t="shared" si="33"/>
        <v/>
      </c>
      <c r="C426">
        <f t="shared" si="35"/>
        <v>1</v>
      </c>
      <c r="D426" s="4"/>
      <c r="E426" t="s">
        <v>18</v>
      </c>
      <c r="F426" t="str">
        <f>INDEX(Establishment!B$2:B$1005,MATCH($E426,Establishment!$A$2:$A$1005,0))</f>
        <v xml:space="preserve"> </v>
      </c>
      <c r="G426" t="str">
        <f>INDEX(Establishment!C$2:C$1005,MATCH($E426,Establishment!$A$2:$A$1005,0))</f>
        <v xml:space="preserve"> </v>
      </c>
      <c r="M426">
        <f t="shared" si="36"/>
        <v>0</v>
      </c>
      <c r="N426">
        <f t="shared" si="34"/>
        <v>0</v>
      </c>
      <c r="P426" t="e">
        <f>INDEX(Items!B$2:B$1032,MATCH($O426,Items!$A$2:$A$1032,0))</f>
        <v>#N/A</v>
      </c>
      <c r="Q426" t="e">
        <f>INDEX(Items!C$2:C$1032,MATCH($O426,Items!$A$2:$A$1032,0))</f>
        <v>#N/A</v>
      </c>
      <c r="R426" t="e">
        <f>INDEX(Items!D$2:D$1032,MATCH($O426,Items!$A$2:$A$1032,0))</f>
        <v>#N/A</v>
      </c>
    </row>
    <row r="427" spans="1:18" x14ac:dyDescent="0.25">
      <c r="A427">
        <f t="shared" si="32"/>
        <v>1</v>
      </c>
      <c r="B427" t="str">
        <f t="shared" si="33"/>
        <v/>
      </c>
      <c r="C427">
        <f t="shared" si="35"/>
        <v>1</v>
      </c>
      <c r="D427" s="4"/>
      <c r="E427" t="s">
        <v>18</v>
      </c>
      <c r="F427" t="str">
        <f>INDEX(Establishment!B$2:B$1005,MATCH($E427,Establishment!$A$2:$A$1005,0))</f>
        <v xml:space="preserve"> </v>
      </c>
      <c r="G427" t="str">
        <f>INDEX(Establishment!C$2:C$1005,MATCH($E427,Establishment!$A$2:$A$1005,0))</f>
        <v xml:space="preserve"> </v>
      </c>
      <c r="M427">
        <f t="shared" si="36"/>
        <v>0</v>
      </c>
      <c r="N427">
        <f t="shared" si="34"/>
        <v>0</v>
      </c>
      <c r="P427" t="e">
        <f>INDEX(Items!B$2:B$1032,MATCH($O427,Items!$A$2:$A$1032,0))</f>
        <v>#N/A</v>
      </c>
      <c r="Q427" t="e">
        <f>INDEX(Items!C$2:C$1032,MATCH($O427,Items!$A$2:$A$1032,0))</f>
        <v>#N/A</v>
      </c>
      <c r="R427" t="e">
        <f>INDEX(Items!D$2:D$1032,MATCH($O427,Items!$A$2:$A$1032,0))</f>
        <v>#N/A</v>
      </c>
    </row>
    <row r="428" spans="1:18" x14ac:dyDescent="0.25">
      <c r="A428">
        <f t="shared" si="32"/>
        <v>1</v>
      </c>
      <c r="B428" t="str">
        <f t="shared" si="33"/>
        <v/>
      </c>
      <c r="C428">
        <f t="shared" si="35"/>
        <v>1</v>
      </c>
      <c r="D428" s="4"/>
      <c r="E428" t="s">
        <v>18</v>
      </c>
      <c r="F428" t="str">
        <f>INDEX(Establishment!B$2:B$1005,MATCH($E428,Establishment!$A$2:$A$1005,0))</f>
        <v xml:space="preserve"> </v>
      </c>
      <c r="G428" t="str">
        <f>INDEX(Establishment!C$2:C$1005,MATCH($E428,Establishment!$A$2:$A$1005,0))</f>
        <v xml:space="preserve"> </v>
      </c>
      <c r="M428">
        <f t="shared" si="36"/>
        <v>0</v>
      </c>
      <c r="N428">
        <f t="shared" si="34"/>
        <v>0</v>
      </c>
      <c r="P428" t="e">
        <f>INDEX(Items!B$2:B$1032,MATCH($O428,Items!$A$2:$A$1032,0))</f>
        <v>#N/A</v>
      </c>
      <c r="Q428" t="e">
        <f>INDEX(Items!C$2:C$1032,MATCH($O428,Items!$A$2:$A$1032,0))</f>
        <v>#N/A</v>
      </c>
      <c r="R428" t="e">
        <f>INDEX(Items!D$2:D$1032,MATCH($O428,Items!$A$2:$A$1032,0))</f>
        <v>#N/A</v>
      </c>
    </row>
    <row r="429" spans="1:18" x14ac:dyDescent="0.25">
      <c r="A429">
        <f t="shared" si="32"/>
        <v>1</v>
      </c>
      <c r="B429" t="str">
        <f t="shared" si="33"/>
        <v/>
      </c>
      <c r="C429">
        <f t="shared" si="35"/>
        <v>1</v>
      </c>
      <c r="D429" s="4"/>
      <c r="E429" t="s">
        <v>18</v>
      </c>
      <c r="F429" t="str">
        <f>INDEX(Establishment!B$2:B$1005,MATCH($E429,Establishment!$A$2:$A$1005,0))</f>
        <v xml:space="preserve"> </v>
      </c>
      <c r="G429" t="str">
        <f>INDEX(Establishment!C$2:C$1005,MATCH($E429,Establishment!$A$2:$A$1005,0))</f>
        <v xml:space="preserve"> </v>
      </c>
      <c r="M429">
        <f t="shared" si="36"/>
        <v>0</v>
      </c>
      <c r="N429">
        <f t="shared" si="34"/>
        <v>0</v>
      </c>
      <c r="P429" t="e">
        <f>INDEX(Items!B$2:B$1032,MATCH($O429,Items!$A$2:$A$1032,0))</f>
        <v>#N/A</v>
      </c>
      <c r="Q429" t="e">
        <f>INDEX(Items!C$2:C$1032,MATCH($O429,Items!$A$2:$A$1032,0))</f>
        <v>#N/A</v>
      </c>
      <c r="R429" t="e">
        <f>INDEX(Items!D$2:D$1032,MATCH($O429,Items!$A$2:$A$1032,0))</f>
        <v>#N/A</v>
      </c>
    </row>
    <row r="430" spans="1:18" x14ac:dyDescent="0.25">
      <c r="A430">
        <f t="shared" si="32"/>
        <v>1</v>
      </c>
      <c r="B430" t="str">
        <f t="shared" si="33"/>
        <v/>
      </c>
      <c r="C430">
        <f t="shared" si="35"/>
        <v>1</v>
      </c>
      <c r="D430" s="4"/>
      <c r="E430" t="s">
        <v>18</v>
      </c>
      <c r="F430" t="str">
        <f>INDEX(Establishment!B$2:B$1005,MATCH($E430,Establishment!$A$2:$A$1005,0))</f>
        <v xml:space="preserve"> </v>
      </c>
      <c r="G430" t="str">
        <f>INDEX(Establishment!C$2:C$1005,MATCH($E430,Establishment!$A$2:$A$1005,0))</f>
        <v xml:space="preserve"> </v>
      </c>
      <c r="M430">
        <f t="shared" si="36"/>
        <v>0</v>
      </c>
      <c r="N430">
        <f t="shared" si="34"/>
        <v>0</v>
      </c>
      <c r="P430" t="e">
        <f>INDEX(Items!B$2:B$1032,MATCH($O430,Items!$A$2:$A$1032,0))</f>
        <v>#N/A</v>
      </c>
      <c r="Q430" t="e">
        <f>INDEX(Items!C$2:C$1032,MATCH($O430,Items!$A$2:$A$1032,0))</f>
        <v>#N/A</v>
      </c>
      <c r="R430" t="e">
        <f>INDEX(Items!D$2:D$1032,MATCH($O430,Items!$A$2:$A$1032,0))</f>
        <v>#N/A</v>
      </c>
    </row>
    <row r="431" spans="1:18" x14ac:dyDescent="0.25">
      <c r="A431">
        <f t="shared" si="32"/>
        <v>1</v>
      </c>
      <c r="B431" t="str">
        <f t="shared" si="33"/>
        <v/>
      </c>
      <c r="C431">
        <f t="shared" si="35"/>
        <v>1</v>
      </c>
      <c r="D431" s="4"/>
      <c r="E431" t="s">
        <v>18</v>
      </c>
      <c r="F431" t="str">
        <f>INDEX(Establishment!B$2:B$1005,MATCH($E431,Establishment!$A$2:$A$1005,0))</f>
        <v xml:space="preserve"> </v>
      </c>
      <c r="G431" t="str">
        <f>INDEX(Establishment!C$2:C$1005,MATCH($E431,Establishment!$A$2:$A$1005,0))</f>
        <v xml:space="preserve"> </v>
      </c>
      <c r="M431">
        <f t="shared" si="36"/>
        <v>0</v>
      </c>
      <c r="N431">
        <f t="shared" si="34"/>
        <v>0</v>
      </c>
      <c r="P431" t="e">
        <f>INDEX(Items!B$2:B$1032,MATCH($O431,Items!$A$2:$A$1032,0))</f>
        <v>#N/A</v>
      </c>
      <c r="Q431" t="e">
        <f>INDEX(Items!C$2:C$1032,MATCH($O431,Items!$A$2:$A$1032,0))</f>
        <v>#N/A</v>
      </c>
      <c r="R431" t="e">
        <f>INDEX(Items!D$2:D$1032,MATCH($O431,Items!$A$2:$A$1032,0))</f>
        <v>#N/A</v>
      </c>
    </row>
    <row r="432" spans="1:18" x14ac:dyDescent="0.25">
      <c r="A432">
        <f t="shared" si="32"/>
        <v>1</v>
      </c>
      <c r="B432" t="str">
        <f t="shared" si="33"/>
        <v/>
      </c>
      <c r="C432">
        <f t="shared" si="35"/>
        <v>1</v>
      </c>
      <c r="D432" s="4"/>
      <c r="E432" t="s">
        <v>18</v>
      </c>
      <c r="F432" t="str">
        <f>INDEX(Establishment!B$2:B$1005,MATCH($E432,Establishment!$A$2:$A$1005,0))</f>
        <v xml:space="preserve"> </v>
      </c>
      <c r="G432" t="str">
        <f>INDEX(Establishment!C$2:C$1005,MATCH($E432,Establishment!$A$2:$A$1005,0))</f>
        <v xml:space="preserve"> </v>
      </c>
      <c r="M432">
        <f t="shared" si="36"/>
        <v>0</v>
      </c>
      <c r="N432">
        <f t="shared" si="34"/>
        <v>0</v>
      </c>
      <c r="P432" t="e">
        <f>INDEX(Items!B$2:B$1032,MATCH($O432,Items!$A$2:$A$1032,0))</f>
        <v>#N/A</v>
      </c>
      <c r="Q432" t="e">
        <f>INDEX(Items!C$2:C$1032,MATCH($O432,Items!$A$2:$A$1032,0))</f>
        <v>#N/A</v>
      </c>
      <c r="R432" t="e">
        <f>INDEX(Items!D$2:D$1032,MATCH($O432,Items!$A$2:$A$1032,0))</f>
        <v>#N/A</v>
      </c>
    </row>
    <row r="433" spans="1:18" x14ac:dyDescent="0.25">
      <c r="A433">
        <f t="shared" si="32"/>
        <v>1</v>
      </c>
      <c r="B433" t="str">
        <f t="shared" si="33"/>
        <v/>
      </c>
      <c r="C433">
        <f t="shared" si="35"/>
        <v>1</v>
      </c>
      <c r="D433" s="4"/>
      <c r="E433" t="s">
        <v>18</v>
      </c>
      <c r="F433" t="str">
        <f>INDEX(Establishment!B$2:B$1005,MATCH($E433,Establishment!$A$2:$A$1005,0))</f>
        <v xml:space="preserve"> </v>
      </c>
      <c r="G433" t="str">
        <f>INDEX(Establishment!C$2:C$1005,MATCH($E433,Establishment!$A$2:$A$1005,0))</f>
        <v xml:space="preserve"> </v>
      </c>
      <c r="M433">
        <f t="shared" si="36"/>
        <v>0</v>
      </c>
      <c r="N433">
        <f t="shared" si="34"/>
        <v>0</v>
      </c>
      <c r="P433" t="e">
        <f>INDEX(Items!B$2:B$1032,MATCH($O433,Items!$A$2:$A$1032,0))</f>
        <v>#N/A</v>
      </c>
      <c r="Q433" t="e">
        <f>INDEX(Items!C$2:C$1032,MATCH($O433,Items!$A$2:$A$1032,0))</f>
        <v>#N/A</v>
      </c>
      <c r="R433" t="e">
        <f>INDEX(Items!D$2:D$1032,MATCH($O433,Items!$A$2:$A$1032,0))</f>
        <v>#N/A</v>
      </c>
    </row>
    <row r="434" spans="1:18" x14ac:dyDescent="0.25">
      <c r="A434">
        <f t="shared" si="32"/>
        <v>1</v>
      </c>
      <c r="B434" t="str">
        <f t="shared" si="33"/>
        <v/>
      </c>
      <c r="C434">
        <f t="shared" si="35"/>
        <v>1</v>
      </c>
      <c r="D434" s="4"/>
      <c r="E434" t="s">
        <v>18</v>
      </c>
      <c r="F434" t="str">
        <f>INDEX(Establishment!B$2:B$1005,MATCH($E434,Establishment!$A$2:$A$1005,0))</f>
        <v xml:space="preserve"> </v>
      </c>
      <c r="G434" t="str">
        <f>INDEX(Establishment!C$2:C$1005,MATCH($E434,Establishment!$A$2:$A$1005,0))</f>
        <v xml:space="preserve"> </v>
      </c>
      <c r="M434">
        <f t="shared" si="36"/>
        <v>0</v>
      </c>
      <c r="N434">
        <f t="shared" si="34"/>
        <v>0</v>
      </c>
      <c r="P434" t="e">
        <f>INDEX(Items!B$2:B$1032,MATCH($O434,Items!$A$2:$A$1032,0))</f>
        <v>#N/A</v>
      </c>
      <c r="Q434" t="e">
        <f>INDEX(Items!C$2:C$1032,MATCH($O434,Items!$A$2:$A$1032,0))</f>
        <v>#N/A</v>
      </c>
      <c r="R434" t="e">
        <f>INDEX(Items!D$2:D$1032,MATCH($O434,Items!$A$2:$A$1032,0))</f>
        <v>#N/A</v>
      </c>
    </row>
    <row r="435" spans="1:18" x14ac:dyDescent="0.25">
      <c r="A435">
        <f t="shared" si="32"/>
        <v>1</v>
      </c>
      <c r="B435" t="str">
        <f t="shared" si="33"/>
        <v/>
      </c>
      <c r="C435">
        <f t="shared" si="35"/>
        <v>1</v>
      </c>
      <c r="D435" s="4"/>
      <c r="E435" t="s">
        <v>18</v>
      </c>
      <c r="F435" t="str">
        <f>INDEX(Establishment!B$2:B$1005,MATCH($E435,Establishment!$A$2:$A$1005,0))</f>
        <v xml:space="preserve"> </v>
      </c>
      <c r="G435" t="str">
        <f>INDEX(Establishment!C$2:C$1005,MATCH($E435,Establishment!$A$2:$A$1005,0))</f>
        <v xml:space="preserve"> </v>
      </c>
      <c r="M435">
        <f t="shared" si="36"/>
        <v>0</v>
      </c>
      <c r="N435">
        <f t="shared" si="34"/>
        <v>0</v>
      </c>
      <c r="P435" t="e">
        <f>INDEX(Items!B$2:B$1032,MATCH($O435,Items!$A$2:$A$1032,0))</f>
        <v>#N/A</v>
      </c>
      <c r="Q435" t="e">
        <f>INDEX(Items!C$2:C$1032,MATCH($O435,Items!$A$2:$A$1032,0))</f>
        <v>#N/A</v>
      </c>
      <c r="R435" t="e">
        <f>INDEX(Items!D$2:D$1032,MATCH($O435,Items!$A$2:$A$1032,0))</f>
        <v>#N/A</v>
      </c>
    </row>
    <row r="436" spans="1:18" x14ac:dyDescent="0.25">
      <c r="A436">
        <f t="shared" si="32"/>
        <v>1</v>
      </c>
      <c r="B436" t="str">
        <f t="shared" si="33"/>
        <v/>
      </c>
      <c r="C436">
        <f t="shared" si="35"/>
        <v>1</v>
      </c>
      <c r="D436" s="4"/>
      <c r="E436" t="s">
        <v>18</v>
      </c>
      <c r="F436" t="str">
        <f>INDEX(Establishment!B$2:B$1005,MATCH($E436,Establishment!$A$2:$A$1005,0))</f>
        <v xml:space="preserve"> </v>
      </c>
      <c r="G436" t="str">
        <f>INDEX(Establishment!C$2:C$1005,MATCH($E436,Establishment!$A$2:$A$1005,0))</f>
        <v xml:space="preserve"> </v>
      </c>
      <c r="M436">
        <f t="shared" si="36"/>
        <v>0</v>
      </c>
      <c r="N436">
        <f t="shared" si="34"/>
        <v>0</v>
      </c>
      <c r="P436" t="e">
        <f>INDEX(Items!B$2:B$1032,MATCH($O436,Items!$A$2:$A$1032,0))</f>
        <v>#N/A</v>
      </c>
      <c r="Q436" t="e">
        <f>INDEX(Items!C$2:C$1032,MATCH($O436,Items!$A$2:$A$1032,0))</f>
        <v>#N/A</v>
      </c>
      <c r="R436" t="e">
        <f>INDEX(Items!D$2:D$1032,MATCH($O436,Items!$A$2:$A$1032,0))</f>
        <v>#N/A</v>
      </c>
    </row>
    <row r="437" spans="1:18" x14ac:dyDescent="0.25">
      <c r="A437">
        <f t="shared" si="32"/>
        <v>1</v>
      </c>
      <c r="B437" t="str">
        <f t="shared" si="33"/>
        <v/>
      </c>
      <c r="C437">
        <f t="shared" si="35"/>
        <v>1</v>
      </c>
      <c r="D437" s="4"/>
      <c r="E437" t="s">
        <v>18</v>
      </c>
      <c r="F437" t="str">
        <f>INDEX(Establishment!B$2:B$1005,MATCH($E437,Establishment!$A$2:$A$1005,0))</f>
        <v xml:space="preserve"> </v>
      </c>
      <c r="G437" t="str">
        <f>INDEX(Establishment!C$2:C$1005,MATCH($E437,Establishment!$A$2:$A$1005,0))</f>
        <v xml:space="preserve"> </v>
      </c>
      <c r="M437">
        <f t="shared" si="36"/>
        <v>0</v>
      </c>
      <c r="N437">
        <f t="shared" si="34"/>
        <v>0</v>
      </c>
      <c r="P437" t="e">
        <f>INDEX(Items!B$2:B$1032,MATCH($O437,Items!$A$2:$A$1032,0))</f>
        <v>#N/A</v>
      </c>
      <c r="Q437" t="e">
        <f>INDEX(Items!C$2:C$1032,MATCH($O437,Items!$A$2:$A$1032,0))</f>
        <v>#N/A</v>
      </c>
      <c r="R437" t="e">
        <f>INDEX(Items!D$2:D$1032,MATCH($O437,Items!$A$2:$A$1032,0))</f>
        <v>#N/A</v>
      </c>
    </row>
    <row r="438" spans="1:18" x14ac:dyDescent="0.25">
      <c r="A438">
        <f t="shared" si="32"/>
        <v>1</v>
      </c>
      <c r="B438" t="str">
        <f t="shared" si="33"/>
        <v/>
      </c>
      <c r="C438">
        <f t="shared" si="35"/>
        <v>1</v>
      </c>
      <c r="D438" s="4"/>
      <c r="E438" t="s">
        <v>18</v>
      </c>
      <c r="F438" t="str">
        <f>INDEX(Establishment!B$2:B$1005,MATCH($E438,Establishment!$A$2:$A$1005,0))</f>
        <v xml:space="preserve"> </v>
      </c>
      <c r="G438" t="str">
        <f>INDEX(Establishment!C$2:C$1005,MATCH($E438,Establishment!$A$2:$A$1005,0))</f>
        <v xml:space="preserve"> </v>
      </c>
      <c r="M438">
        <f t="shared" si="36"/>
        <v>0</v>
      </c>
      <c r="N438">
        <f t="shared" si="34"/>
        <v>0</v>
      </c>
      <c r="P438" t="e">
        <f>INDEX(Items!B$2:B$1032,MATCH($O438,Items!$A$2:$A$1032,0))</f>
        <v>#N/A</v>
      </c>
      <c r="Q438" t="e">
        <f>INDEX(Items!C$2:C$1032,MATCH($O438,Items!$A$2:$A$1032,0))</f>
        <v>#N/A</v>
      </c>
      <c r="R438" t="e">
        <f>INDEX(Items!D$2:D$1032,MATCH($O438,Items!$A$2:$A$1032,0))</f>
        <v>#N/A</v>
      </c>
    </row>
    <row r="439" spans="1:18" x14ac:dyDescent="0.25">
      <c r="A439">
        <f t="shared" si="32"/>
        <v>1</v>
      </c>
      <c r="B439" t="str">
        <f t="shared" si="33"/>
        <v/>
      </c>
      <c r="C439">
        <f t="shared" si="35"/>
        <v>1</v>
      </c>
      <c r="D439" s="4"/>
      <c r="E439" t="s">
        <v>18</v>
      </c>
      <c r="F439" t="str">
        <f>INDEX(Establishment!B$2:B$1005,MATCH($E439,Establishment!$A$2:$A$1005,0))</f>
        <v xml:space="preserve"> </v>
      </c>
      <c r="G439" t="str">
        <f>INDEX(Establishment!C$2:C$1005,MATCH($E439,Establishment!$A$2:$A$1005,0))</f>
        <v xml:space="preserve"> </v>
      </c>
      <c r="M439">
        <f t="shared" si="36"/>
        <v>0</v>
      </c>
      <c r="N439">
        <f t="shared" si="34"/>
        <v>0</v>
      </c>
      <c r="P439" t="e">
        <f>INDEX(Items!B$2:B$1032,MATCH($O439,Items!$A$2:$A$1032,0))</f>
        <v>#N/A</v>
      </c>
      <c r="Q439" t="e">
        <f>INDEX(Items!C$2:C$1032,MATCH($O439,Items!$A$2:$A$1032,0))</f>
        <v>#N/A</v>
      </c>
      <c r="R439" t="e">
        <f>INDEX(Items!D$2:D$1032,MATCH($O439,Items!$A$2:$A$1032,0))</f>
        <v>#N/A</v>
      </c>
    </row>
    <row r="440" spans="1:18" x14ac:dyDescent="0.25">
      <c r="A440">
        <f t="shared" si="32"/>
        <v>1</v>
      </c>
      <c r="B440" t="str">
        <f t="shared" si="33"/>
        <v/>
      </c>
      <c r="C440">
        <f t="shared" si="35"/>
        <v>1</v>
      </c>
      <c r="D440" s="4"/>
      <c r="E440" t="s">
        <v>18</v>
      </c>
      <c r="F440" t="str">
        <f>INDEX(Establishment!B$2:B$1005,MATCH($E440,Establishment!$A$2:$A$1005,0))</f>
        <v xml:space="preserve"> </v>
      </c>
      <c r="G440" t="str">
        <f>INDEX(Establishment!C$2:C$1005,MATCH($E440,Establishment!$A$2:$A$1005,0))</f>
        <v xml:space="preserve"> </v>
      </c>
      <c r="M440">
        <f t="shared" si="36"/>
        <v>0</v>
      </c>
      <c r="N440">
        <f t="shared" si="34"/>
        <v>0</v>
      </c>
      <c r="P440" t="e">
        <f>INDEX(Items!B$2:B$1032,MATCH($O440,Items!$A$2:$A$1032,0))</f>
        <v>#N/A</v>
      </c>
      <c r="Q440" t="e">
        <f>INDEX(Items!C$2:C$1032,MATCH($O440,Items!$A$2:$A$1032,0))</f>
        <v>#N/A</v>
      </c>
      <c r="R440" t="e">
        <f>INDEX(Items!D$2:D$1032,MATCH($O440,Items!$A$2:$A$1032,0))</f>
        <v>#N/A</v>
      </c>
    </row>
    <row r="441" spans="1:18" x14ac:dyDescent="0.25">
      <c r="A441">
        <f t="shared" si="32"/>
        <v>1</v>
      </c>
      <c r="B441" t="str">
        <f t="shared" si="33"/>
        <v/>
      </c>
      <c r="C441">
        <f t="shared" si="35"/>
        <v>1</v>
      </c>
      <c r="D441" s="4"/>
      <c r="E441" t="s">
        <v>18</v>
      </c>
      <c r="F441" t="str">
        <f>INDEX(Establishment!B$2:B$1005,MATCH($E441,Establishment!$A$2:$A$1005,0))</f>
        <v xml:space="preserve"> </v>
      </c>
      <c r="G441" t="str">
        <f>INDEX(Establishment!C$2:C$1005,MATCH($E441,Establishment!$A$2:$A$1005,0))</f>
        <v xml:space="preserve"> </v>
      </c>
      <c r="M441">
        <f t="shared" si="36"/>
        <v>0</v>
      </c>
      <c r="N441">
        <f t="shared" si="34"/>
        <v>0</v>
      </c>
      <c r="P441" t="e">
        <f>INDEX(Items!B$2:B$1032,MATCH($O441,Items!$A$2:$A$1032,0))</f>
        <v>#N/A</v>
      </c>
      <c r="Q441" t="e">
        <f>INDEX(Items!C$2:C$1032,MATCH($O441,Items!$A$2:$A$1032,0))</f>
        <v>#N/A</v>
      </c>
      <c r="R441" t="e">
        <f>INDEX(Items!D$2:D$1032,MATCH($O441,Items!$A$2:$A$1032,0))</f>
        <v>#N/A</v>
      </c>
    </row>
    <row r="442" spans="1:18" x14ac:dyDescent="0.25">
      <c r="A442">
        <f t="shared" si="32"/>
        <v>1</v>
      </c>
      <c r="B442" t="str">
        <f t="shared" si="33"/>
        <v/>
      </c>
      <c r="C442">
        <f t="shared" si="35"/>
        <v>1</v>
      </c>
      <c r="D442" s="4"/>
      <c r="E442" t="s">
        <v>18</v>
      </c>
      <c r="F442" t="str">
        <f>INDEX(Establishment!B$2:B$1005,MATCH($E442,Establishment!$A$2:$A$1005,0))</f>
        <v xml:space="preserve"> </v>
      </c>
      <c r="G442" t="str">
        <f>INDEX(Establishment!C$2:C$1005,MATCH($E442,Establishment!$A$2:$A$1005,0))</f>
        <v xml:space="preserve"> </v>
      </c>
      <c r="M442">
        <f t="shared" si="36"/>
        <v>0</v>
      </c>
      <c r="N442">
        <f t="shared" si="34"/>
        <v>0</v>
      </c>
      <c r="P442" t="e">
        <f>INDEX(Items!B$2:B$1032,MATCH($O442,Items!$A$2:$A$1032,0))</f>
        <v>#N/A</v>
      </c>
      <c r="Q442" t="e">
        <f>INDEX(Items!C$2:C$1032,MATCH($O442,Items!$A$2:$A$1032,0))</f>
        <v>#N/A</v>
      </c>
      <c r="R442" t="e">
        <f>INDEX(Items!D$2:D$1032,MATCH($O442,Items!$A$2:$A$1032,0))</f>
        <v>#N/A</v>
      </c>
    </row>
    <row r="443" spans="1:18" x14ac:dyDescent="0.25">
      <c r="A443">
        <f t="shared" si="32"/>
        <v>1</v>
      </c>
      <c r="B443" t="str">
        <f t="shared" si="33"/>
        <v/>
      </c>
      <c r="C443">
        <f t="shared" si="35"/>
        <v>1</v>
      </c>
      <c r="D443" s="4"/>
      <c r="E443" t="s">
        <v>18</v>
      </c>
      <c r="F443" t="str">
        <f>INDEX(Establishment!B$2:B$1005,MATCH($E443,Establishment!$A$2:$A$1005,0))</f>
        <v xml:space="preserve"> </v>
      </c>
      <c r="G443" t="str">
        <f>INDEX(Establishment!C$2:C$1005,MATCH($E443,Establishment!$A$2:$A$1005,0))</f>
        <v xml:space="preserve"> </v>
      </c>
      <c r="M443">
        <f t="shared" si="36"/>
        <v>0</v>
      </c>
      <c r="N443">
        <f t="shared" si="34"/>
        <v>0</v>
      </c>
      <c r="P443" t="e">
        <f>INDEX(Items!B$2:B$1032,MATCH($O443,Items!$A$2:$A$1032,0))</f>
        <v>#N/A</v>
      </c>
      <c r="Q443" t="e">
        <f>INDEX(Items!C$2:C$1032,MATCH($O443,Items!$A$2:$A$1032,0))</f>
        <v>#N/A</v>
      </c>
      <c r="R443" t="e">
        <f>INDEX(Items!D$2:D$1032,MATCH($O443,Items!$A$2:$A$1032,0))</f>
        <v>#N/A</v>
      </c>
    </row>
    <row r="444" spans="1:18" x14ac:dyDescent="0.25">
      <c r="A444">
        <f t="shared" si="32"/>
        <v>1</v>
      </c>
      <c r="B444" t="str">
        <f t="shared" si="33"/>
        <v/>
      </c>
      <c r="C444">
        <f t="shared" si="35"/>
        <v>1</v>
      </c>
      <c r="D444" s="4"/>
      <c r="E444" t="s">
        <v>18</v>
      </c>
      <c r="F444" t="str">
        <f>INDEX(Establishment!B$2:B$1005,MATCH($E444,Establishment!$A$2:$A$1005,0))</f>
        <v xml:space="preserve"> </v>
      </c>
      <c r="G444" t="str">
        <f>INDEX(Establishment!C$2:C$1005,MATCH($E444,Establishment!$A$2:$A$1005,0))</f>
        <v xml:space="preserve"> </v>
      </c>
      <c r="M444">
        <f t="shared" si="36"/>
        <v>0</v>
      </c>
      <c r="N444">
        <f t="shared" si="34"/>
        <v>0</v>
      </c>
      <c r="P444" t="e">
        <f>INDEX(Items!B$2:B$1032,MATCH($O444,Items!$A$2:$A$1032,0))</f>
        <v>#N/A</v>
      </c>
      <c r="Q444" t="e">
        <f>INDEX(Items!C$2:C$1032,MATCH($O444,Items!$A$2:$A$1032,0))</f>
        <v>#N/A</v>
      </c>
      <c r="R444" t="e">
        <f>INDEX(Items!D$2:D$1032,MATCH($O444,Items!$A$2:$A$1032,0))</f>
        <v>#N/A</v>
      </c>
    </row>
    <row r="445" spans="1:18" x14ac:dyDescent="0.25">
      <c r="A445">
        <f t="shared" si="32"/>
        <v>1</v>
      </c>
      <c r="B445" t="str">
        <f t="shared" si="33"/>
        <v/>
      </c>
      <c r="C445">
        <f t="shared" si="35"/>
        <v>1</v>
      </c>
      <c r="D445" s="4"/>
      <c r="E445" t="s">
        <v>18</v>
      </c>
      <c r="F445" t="str">
        <f>INDEX(Establishment!B$2:B$1005,MATCH($E445,Establishment!$A$2:$A$1005,0))</f>
        <v xml:space="preserve"> </v>
      </c>
      <c r="G445" t="str">
        <f>INDEX(Establishment!C$2:C$1005,MATCH($E445,Establishment!$A$2:$A$1005,0))</f>
        <v xml:space="preserve"> </v>
      </c>
      <c r="M445">
        <f t="shared" si="36"/>
        <v>0</v>
      </c>
      <c r="N445">
        <f t="shared" si="34"/>
        <v>0</v>
      </c>
      <c r="P445" t="e">
        <f>INDEX(Items!B$2:B$1032,MATCH($O445,Items!$A$2:$A$1032,0))</f>
        <v>#N/A</v>
      </c>
      <c r="Q445" t="e">
        <f>INDEX(Items!C$2:C$1032,MATCH($O445,Items!$A$2:$A$1032,0))</f>
        <v>#N/A</v>
      </c>
      <c r="R445" t="e">
        <f>INDEX(Items!D$2:D$1032,MATCH($O445,Items!$A$2:$A$1032,0))</f>
        <v>#N/A</v>
      </c>
    </row>
    <row r="446" spans="1:18" x14ac:dyDescent="0.25">
      <c r="A446">
        <f t="shared" si="32"/>
        <v>1</v>
      </c>
      <c r="B446" t="str">
        <f t="shared" si="33"/>
        <v/>
      </c>
      <c r="C446">
        <f t="shared" si="35"/>
        <v>1</v>
      </c>
      <c r="D446" s="4"/>
      <c r="E446" t="s">
        <v>18</v>
      </c>
      <c r="F446" t="str">
        <f>INDEX(Establishment!B$2:B$1005,MATCH($E446,Establishment!$A$2:$A$1005,0))</f>
        <v xml:space="preserve"> </v>
      </c>
      <c r="G446" t="str">
        <f>INDEX(Establishment!C$2:C$1005,MATCH($E446,Establishment!$A$2:$A$1005,0))</f>
        <v xml:space="preserve"> </v>
      </c>
      <c r="M446">
        <f t="shared" si="36"/>
        <v>0</v>
      </c>
      <c r="N446">
        <f t="shared" si="34"/>
        <v>0</v>
      </c>
      <c r="P446" t="e">
        <f>INDEX(Items!B$2:B$1032,MATCH($O446,Items!$A$2:$A$1032,0))</f>
        <v>#N/A</v>
      </c>
      <c r="Q446" t="e">
        <f>INDEX(Items!C$2:C$1032,MATCH($O446,Items!$A$2:$A$1032,0))</f>
        <v>#N/A</v>
      </c>
      <c r="R446" t="e">
        <f>INDEX(Items!D$2:D$1032,MATCH($O446,Items!$A$2:$A$1032,0))</f>
        <v>#N/A</v>
      </c>
    </row>
    <row r="447" spans="1:18" x14ac:dyDescent="0.25">
      <c r="A447">
        <f t="shared" si="32"/>
        <v>1</v>
      </c>
      <c r="B447" t="str">
        <f t="shared" si="33"/>
        <v/>
      </c>
      <c r="C447">
        <f t="shared" si="35"/>
        <v>1</v>
      </c>
      <c r="D447" s="4"/>
      <c r="E447" t="s">
        <v>18</v>
      </c>
      <c r="F447" t="str">
        <f>INDEX(Establishment!B$2:B$1005,MATCH($E447,Establishment!$A$2:$A$1005,0))</f>
        <v xml:space="preserve"> </v>
      </c>
      <c r="G447" t="str">
        <f>INDEX(Establishment!C$2:C$1005,MATCH($E447,Establishment!$A$2:$A$1005,0))</f>
        <v xml:space="preserve"> </v>
      </c>
      <c r="M447">
        <f t="shared" si="36"/>
        <v>0</v>
      </c>
      <c r="N447">
        <f t="shared" si="34"/>
        <v>0</v>
      </c>
      <c r="P447" t="e">
        <f>INDEX(Items!B$2:B$1032,MATCH($O447,Items!$A$2:$A$1032,0))</f>
        <v>#N/A</v>
      </c>
      <c r="Q447" t="e">
        <f>INDEX(Items!C$2:C$1032,MATCH($O447,Items!$A$2:$A$1032,0))</f>
        <v>#N/A</v>
      </c>
      <c r="R447" t="e">
        <f>INDEX(Items!D$2:D$1032,MATCH($O447,Items!$A$2:$A$1032,0))</f>
        <v>#N/A</v>
      </c>
    </row>
    <row r="448" spans="1:18" x14ac:dyDescent="0.25">
      <c r="A448">
        <f t="shared" si="32"/>
        <v>1</v>
      </c>
      <c r="B448" t="str">
        <f t="shared" si="33"/>
        <v/>
      </c>
      <c r="C448">
        <f t="shared" si="35"/>
        <v>1</v>
      </c>
      <c r="D448" s="4"/>
      <c r="E448" t="s">
        <v>18</v>
      </c>
      <c r="F448" t="str">
        <f>INDEX(Establishment!B$2:B$1005,MATCH($E448,Establishment!$A$2:$A$1005,0))</f>
        <v xml:space="preserve"> </v>
      </c>
      <c r="G448" t="str">
        <f>INDEX(Establishment!C$2:C$1005,MATCH($E448,Establishment!$A$2:$A$1005,0))</f>
        <v xml:space="preserve"> </v>
      </c>
      <c r="M448">
        <f t="shared" si="36"/>
        <v>0</v>
      </c>
      <c r="N448">
        <f t="shared" si="34"/>
        <v>0</v>
      </c>
      <c r="P448" t="e">
        <f>INDEX(Items!B$2:B$1032,MATCH($O448,Items!$A$2:$A$1032,0))</f>
        <v>#N/A</v>
      </c>
      <c r="Q448" t="e">
        <f>INDEX(Items!C$2:C$1032,MATCH($O448,Items!$A$2:$A$1032,0))</f>
        <v>#N/A</v>
      </c>
      <c r="R448" t="e">
        <f>INDEX(Items!D$2:D$1032,MATCH($O448,Items!$A$2:$A$1032,0))</f>
        <v>#N/A</v>
      </c>
    </row>
    <row r="449" spans="1:18" x14ac:dyDescent="0.25">
      <c r="A449">
        <f t="shared" si="32"/>
        <v>1</v>
      </c>
      <c r="B449" t="str">
        <f t="shared" si="33"/>
        <v/>
      </c>
      <c r="C449">
        <f t="shared" si="35"/>
        <v>1</v>
      </c>
      <c r="D449" s="4"/>
      <c r="E449" t="s">
        <v>18</v>
      </c>
      <c r="F449" t="str">
        <f>INDEX(Establishment!B$2:B$1005,MATCH($E449,Establishment!$A$2:$A$1005,0))</f>
        <v xml:space="preserve"> </v>
      </c>
      <c r="G449" t="str">
        <f>INDEX(Establishment!C$2:C$1005,MATCH($E449,Establishment!$A$2:$A$1005,0))</f>
        <v xml:space="preserve"> </v>
      </c>
      <c r="M449">
        <f t="shared" si="36"/>
        <v>0</v>
      </c>
      <c r="N449">
        <f t="shared" si="34"/>
        <v>0</v>
      </c>
      <c r="P449" t="e">
        <f>INDEX(Items!B$2:B$1032,MATCH($O449,Items!$A$2:$A$1032,0))</f>
        <v>#N/A</v>
      </c>
      <c r="Q449" t="e">
        <f>INDEX(Items!C$2:C$1032,MATCH($O449,Items!$A$2:$A$1032,0))</f>
        <v>#N/A</v>
      </c>
      <c r="R449" t="e">
        <f>INDEX(Items!D$2:D$1032,MATCH($O449,Items!$A$2:$A$1032,0))</f>
        <v>#N/A</v>
      </c>
    </row>
    <row r="450" spans="1:18" x14ac:dyDescent="0.25">
      <c r="A450">
        <f t="shared" ref="A450:A499" si="37">IF(OR(D450&lt;&gt;D449,D450=""),1,IF(NOT(AND(E450=E449,F450=F449,G450=G449)),A449+1,IF(OR(H450="",AND(H450&lt;&gt;"",H450&lt;&gt;H449,H449&lt;&gt;"")),A449,A449+1)))</f>
        <v>1</v>
      </c>
      <c r="B450" t="str">
        <f t="shared" ref="B450:B499" si="38">IF(D450&lt;&gt;"",TEXT(D450,"YYYYMMDD")&amp;CHAR(64+A450),"")</f>
        <v/>
      </c>
      <c r="C450">
        <f t="shared" si="35"/>
        <v>1</v>
      </c>
      <c r="D450" s="4"/>
      <c r="E450" t="s">
        <v>18</v>
      </c>
      <c r="F450" t="str">
        <f>INDEX(Establishment!B$2:B$1005,MATCH($E450,Establishment!$A$2:$A$1005,0))</f>
        <v xml:space="preserve"> </v>
      </c>
      <c r="G450" t="str">
        <f>INDEX(Establishment!C$2:C$1005,MATCH($E450,Establishment!$A$2:$A$1005,0))</f>
        <v xml:space="preserve"> </v>
      </c>
      <c r="M450">
        <f t="shared" si="36"/>
        <v>0</v>
      </c>
      <c r="N450">
        <f t="shared" si="34"/>
        <v>0</v>
      </c>
      <c r="P450" t="e">
        <f>INDEX(Items!B$2:B$1032,MATCH($O450,Items!$A$2:$A$1032,0))</f>
        <v>#N/A</v>
      </c>
      <c r="Q450" t="e">
        <f>INDEX(Items!C$2:C$1032,MATCH($O450,Items!$A$2:$A$1032,0))</f>
        <v>#N/A</v>
      </c>
      <c r="R450" t="e">
        <f>INDEX(Items!D$2:D$1032,MATCH($O450,Items!$A$2:$A$1032,0))</f>
        <v>#N/A</v>
      </c>
    </row>
    <row r="451" spans="1:18" x14ac:dyDescent="0.25">
      <c r="A451">
        <f t="shared" si="37"/>
        <v>1</v>
      </c>
      <c r="B451" t="str">
        <f t="shared" si="38"/>
        <v/>
      </c>
      <c r="C451">
        <f t="shared" si="35"/>
        <v>1</v>
      </c>
      <c r="D451" s="4"/>
      <c r="E451" t="s">
        <v>18</v>
      </c>
      <c r="F451" t="str">
        <f>INDEX(Establishment!B$2:B$1005,MATCH($E451,Establishment!$A$2:$A$1005,0))</f>
        <v xml:space="preserve"> </v>
      </c>
      <c r="G451" t="str">
        <f>INDEX(Establishment!C$2:C$1005,MATCH($E451,Establishment!$A$2:$A$1005,0))</f>
        <v xml:space="preserve"> </v>
      </c>
      <c r="M451">
        <f t="shared" si="36"/>
        <v>0</v>
      </c>
      <c r="N451">
        <f t="shared" ref="N451:N499" si="39">IF(B451=B450,N450+M451,M451)</f>
        <v>0</v>
      </c>
      <c r="P451" t="e">
        <f>INDEX(Items!B$2:B$1032,MATCH($O451,Items!$A$2:$A$1032,0))</f>
        <v>#N/A</v>
      </c>
      <c r="Q451" t="e">
        <f>INDEX(Items!C$2:C$1032,MATCH($O451,Items!$A$2:$A$1032,0))</f>
        <v>#N/A</v>
      </c>
      <c r="R451" t="e">
        <f>INDEX(Items!D$2:D$1032,MATCH($O451,Items!$A$2:$A$1032,0))</f>
        <v>#N/A</v>
      </c>
    </row>
    <row r="452" spans="1:18" x14ac:dyDescent="0.25">
      <c r="A452">
        <f t="shared" si="37"/>
        <v>1</v>
      </c>
      <c r="B452" t="str">
        <f t="shared" si="38"/>
        <v/>
      </c>
      <c r="C452">
        <f t="shared" si="35"/>
        <v>1</v>
      </c>
      <c r="D452" s="4"/>
      <c r="E452" t="s">
        <v>18</v>
      </c>
      <c r="F452" t="str">
        <f>INDEX(Establishment!B$2:B$1005,MATCH($E452,Establishment!$A$2:$A$1005,0))</f>
        <v xml:space="preserve"> </v>
      </c>
      <c r="G452" t="str">
        <f>INDEX(Establishment!C$2:C$1005,MATCH($E452,Establishment!$A$2:$A$1005,0))</f>
        <v xml:space="preserve"> </v>
      </c>
      <c r="M452">
        <f t="shared" si="36"/>
        <v>0</v>
      </c>
      <c r="N452">
        <f t="shared" si="39"/>
        <v>0</v>
      </c>
      <c r="P452" t="e">
        <f>INDEX(Items!B$2:B$1032,MATCH($O452,Items!$A$2:$A$1032,0))</f>
        <v>#N/A</v>
      </c>
      <c r="Q452" t="e">
        <f>INDEX(Items!C$2:C$1032,MATCH($O452,Items!$A$2:$A$1032,0))</f>
        <v>#N/A</v>
      </c>
      <c r="R452" t="e">
        <f>INDEX(Items!D$2:D$1032,MATCH($O452,Items!$A$2:$A$1032,0))</f>
        <v>#N/A</v>
      </c>
    </row>
    <row r="453" spans="1:18" x14ac:dyDescent="0.25">
      <c r="A453">
        <f t="shared" si="37"/>
        <v>1</v>
      </c>
      <c r="B453" t="str">
        <f t="shared" si="38"/>
        <v/>
      </c>
      <c r="C453">
        <f t="shared" si="35"/>
        <v>1</v>
      </c>
      <c r="D453" s="4"/>
      <c r="E453" t="s">
        <v>18</v>
      </c>
      <c r="F453" t="str">
        <f>INDEX(Establishment!B$2:B$1005,MATCH($E453,Establishment!$A$2:$A$1005,0))</f>
        <v xml:space="preserve"> </v>
      </c>
      <c r="G453" t="str">
        <f>INDEX(Establishment!C$2:C$1005,MATCH($E453,Establishment!$A$2:$A$1005,0))</f>
        <v xml:space="preserve"> </v>
      </c>
      <c r="M453">
        <f t="shared" si="36"/>
        <v>0</v>
      </c>
      <c r="N453">
        <f t="shared" si="39"/>
        <v>0</v>
      </c>
      <c r="P453" t="e">
        <f>INDEX(Items!B$2:B$1032,MATCH($O453,Items!$A$2:$A$1032,0))</f>
        <v>#N/A</v>
      </c>
      <c r="Q453" t="e">
        <f>INDEX(Items!C$2:C$1032,MATCH($O453,Items!$A$2:$A$1032,0))</f>
        <v>#N/A</v>
      </c>
      <c r="R453" t="e">
        <f>INDEX(Items!D$2:D$1032,MATCH($O453,Items!$A$2:$A$1032,0))</f>
        <v>#N/A</v>
      </c>
    </row>
    <row r="454" spans="1:18" x14ac:dyDescent="0.25">
      <c r="A454">
        <f t="shared" si="37"/>
        <v>1</v>
      </c>
      <c r="B454" t="str">
        <f t="shared" si="38"/>
        <v/>
      </c>
      <c r="C454">
        <f t="shared" si="35"/>
        <v>1</v>
      </c>
      <c r="D454" s="4"/>
      <c r="E454" t="s">
        <v>18</v>
      </c>
      <c r="F454" t="str">
        <f>INDEX(Establishment!B$2:B$1005,MATCH($E454,Establishment!$A$2:$A$1005,0))</f>
        <v xml:space="preserve"> </v>
      </c>
      <c r="G454" t="str">
        <f>INDEX(Establishment!C$2:C$1005,MATCH($E454,Establishment!$A$2:$A$1005,0))</f>
        <v xml:space="preserve"> </v>
      </c>
      <c r="M454">
        <f t="shared" si="36"/>
        <v>0</v>
      </c>
      <c r="N454">
        <f t="shared" si="39"/>
        <v>0</v>
      </c>
      <c r="P454" t="e">
        <f>INDEX(Items!B$2:B$1032,MATCH($O454,Items!$A$2:$A$1032,0))</f>
        <v>#N/A</v>
      </c>
      <c r="Q454" t="e">
        <f>INDEX(Items!C$2:C$1032,MATCH($O454,Items!$A$2:$A$1032,0))</f>
        <v>#N/A</v>
      </c>
      <c r="R454" t="e">
        <f>INDEX(Items!D$2:D$1032,MATCH($O454,Items!$A$2:$A$1032,0))</f>
        <v>#N/A</v>
      </c>
    </row>
    <row r="455" spans="1:18" x14ac:dyDescent="0.25">
      <c r="A455">
        <f t="shared" si="37"/>
        <v>1</v>
      </c>
      <c r="B455" t="str">
        <f t="shared" si="38"/>
        <v/>
      </c>
      <c r="C455">
        <f t="shared" si="35"/>
        <v>1</v>
      </c>
      <c r="D455" s="4"/>
      <c r="E455" t="s">
        <v>18</v>
      </c>
      <c r="F455" t="str">
        <f>INDEX(Establishment!B$2:B$1005,MATCH($E455,Establishment!$A$2:$A$1005,0))</f>
        <v xml:space="preserve"> </v>
      </c>
      <c r="G455" t="str">
        <f>INDEX(Establishment!C$2:C$1005,MATCH($E455,Establishment!$A$2:$A$1005,0))</f>
        <v xml:space="preserve"> </v>
      </c>
      <c r="M455">
        <f t="shared" si="36"/>
        <v>0</v>
      </c>
      <c r="N455">
        <f t="shared" si="39"/>
        <v>0</v>
      </c>
      <c r="P455" t="e">
        <f>INDEX(Items!B$2:B$1032,MATCH($O455,Items!$A$2:$A$1032,0))</f>
        <v>#N/A</v>
      </c>
      <c r="Q455" t="e">
        <f>INDEX(Items!C$2:C$1032,MATCH($O455,Items!$A$2:$A$1032,0))</f>
        <v>#N/A</v>
      </c>
      <c r="R455" t="e">
        <f>INDEX(Items!D$2:D$1032,MATCH($O455,Items!$A$2:$A$1032,0))</f>
        <v>#N/A</v>
      </c>
    </row>
    <row r="456" spans="1:18" x14ac:dyDescent="0.25">
      <c r="A456">
        <f t="shared" si="37"/>
        <v>1</v>
      </c>
      <c r="B456" t="str">
        <f t="shared" si="38"/>
        <v/>
      </c>
      <c r="C456">
        <f t="shared" si="35"/>
        <v>1</v>
      </c>
      <c r="D456" s="4"/>
      <c r="E456" t="s">
        <v>18</v>
      </c>
      <c r="F456" t="str">
        <f>INDEX(Establishment!B$2:B$1005,MATCH($E456,Establishment!$A$2:$A$1005,0))</f>
        <v xml:space="preserve"> </v>
      </c>
      <c r="G456" t="str">
        <f>INDEX(Establishment!C$2:C$1005,MATCH($E456,Establishment!$A$2:$A$1005,0))</f>
        <v xml:space="preserve"> </v>
      </c>
      <c r="M456">
        <f t="shared" si="36"/>
        <v>0</v>
      </c>
      <c r="N456">
        <f t="shared" si="39"/>
        <v>0</v>
      </c>
      <c r="P456" t="e">
        <f>INDEX(Items!B$2:B$1032,MATCH($O456,Items!$A$2:$A$1032,0))</f>
        <v>#N/A</v>
      </c>
      <c r="Q456" t="e">
        <f>INDEX(Items!C$2:C$1032,MATCH($O456,Items!$A$2:$A$1032,0))</f>
        <v>#N/A</v>
      </c>
      <c r="R456" t="e">
        <f>INDEX(Items!D$2:D$1032,MATCH($O456,Items!$A$2:$A$1032,0))</f>
        <v>#N/A</v>
      </c>
    </row>
    <row r="457" spans="1:18" x14ac:dyDescent="0.25">
      <c r="A457">
        <f t="shared" si="37"/>
        <v>1</v>
      </c>
      <c r="B457" t="str">
        <f t="shared" si="38"/>
        <v/>
      </c>
      <c r="C457">
        <f t="shared" si="35"/>
        <v>1</v>
      </c>
      <c r="D457" s="4"/>
      <c r="E457" t="s">
        <v>18</v>
      </c>
      <c r="F457" t="str">
        <f>INDEX(Establishment!B$2:B$1005,MATCH($E457,Establishment!$A$2:$A$1005,0))</f>
        <v xml:space="preserve"> </v>
      </c>
      <c r="G457" t="str">
        <f>INDEX(Establishment!C$2:C$1005,MATCH($E457,Establishment!$A$2:$A$1005,0))</f>
        <v xml:space="preserve"> </v>
      </c>
      <c r="M457">
        <f t="shared" si="36"/>
        <v>0</v>
      </c>
      <c r="N457">
        <f t="shared" si="39"/>
        <v>0</v>
      </c>
      <c r="P457" t="e">
        <f>INDEX(Items!B$2:B$1032,MATCH($O457,Items!$A$2:$A$1032,0))</f>
        <v>#N/A</v>
      </c>
      <c r="Q457" t="e">
        <f>INDEX(Items!C$2:C$1032,MATCH($O457,Items!$A$2:$A$1032,0))</f>
        <v>#N/A</v>
      </c>
      <c r="R457" t="e">
        <f>INDEX(Items!D$2:D$1032,MATCH($O457,Items!$A$2:$A$1032,0))</f>
        <v>#N/A</v>
      </c>
    </row>
    <row r="458" spans="1:18" x14ac:dyDescent="0.25">
      <c r="A458">
        <f t="shared" si="37"/>
        <v>1</v>
      </c>
      <c r="B458" t="str">
        <f t="shared" si="38"/>
        <v/>
      </c>
      <c r="C458">
        <f t="shared" ref="C458:C499" si="40">IF(OR(B458="",B458&lt;&gt;B457),1,C457+1)</f>
        <v>1</v>
      </c>
      <c r="D458" s="4"/>
      <c r="E458" t="s">
        <v>18</v>
      </c>
      <c r="F458" t="str">
        <f>INDEX(Establishment!B$2:B$1005,MATCH($E458,Establishment!$A$2:$A$1005,0))</f>
        <v xml:space="preserve"> </v>
      </c>
      <c r="G458" t="str">
        <f>INDEX(Establishment!C$2:C$1005,MATCH($E458,Establishment!$A$2:$A$1005,0))</f>
        <v xml:space="preserve"> </v>
      </c>
      <c r="M458">
        <f t="shared" ref="M458:M499" si="41">K458*L458</f>
        <v>0</v>
      </c>
      <c r="N458">
        <f t="shared" si="39"/>
        <v>0</v>
      </c>
      <c r="P458" t="e">
        <f>INDEX(Items!B$2:B$1032,MATCH($O458,Items!$A$2:$A$1032,0))</f>
        <v>#N/A</v>
      </c>
      <c r="Q458" t="e">
        <f>INDEX(Items!C$2:C$1032,MATCH($O458,Items!$A$2:$A$1032,0))</f>
        <v>#N/A</v>
      </c>
      <c r="R458" t="e">
        <f>INDEX(Items!D$2:D$1032,MATCH($O458,Items!$A$2:$A$1032,0))</f>
        <v>#N/A</v>
      </c>
    </row>
    <row r="459" spans="1:18" x14ac:dyDescent="0.25">
      <c r="A459">
        <f t="shared" si="37"/>
        <v>1</v>
      </c>
      <c r="B459" t="str">
        <f t="shared" si="38"/>
        <v/>
      </c>
      <c r="C459">
        <f t="shared" si="40"/>
        <v>1</v>
      </c>
      <c r="D459" s="4"/>
      <c r="E459" t="s">
        <v>18</v>
      </c>
      <c r="F459" t="str">
        <f>INDEX(Establishment!B$2:B$1005,MATCH($E459,Establishment!$A$2:$A$1005,0))</f>
        <v xml:space="preserve"> </v>
      </c>
      <c r="G459" t="str">
        <f>INDEX(Establishment!C$2:C$1005,MATCH($E459,Establishment!$A$2:$A$1005,0))</f>
        <v xml:space="preserve"> </v>
      </c>
      <c r="M459">
        <f t="shared" si="41"/>
        <v>0</v>
      </c>
      <c r="N459">
        <f t="shared" si="39"/>
        <v>0</v>
      </c>
      <c r="P459" t="e">
        <f>INDEX(Items!B$2:B$1032,MATCH($O459,Items!$A$2:$A$1032,0))</f>
        <v>#N/A</v>
      </c>
      <c r="Q459" t="e">
        <f>INDEX(Items!C$2:C$1032,MATCH($O459,Items!$A$2:$A$1032,0))</f>
        <v>#N/A</v>
      </c>
      <c r="R459" t="e">
        <f>INDEX(Items!D$2:D$1032,MATCH($O459,Items!$A$2:$A$1032,0))</f>
        <v>#N/A</v>
      </c>
    </row>
    <row r="460" spans="1:18" x14ac:dyDescent="0.25">
      <c r="A460">
        <f t="shared" si="37"/>
        <v>1</v>
      </c>
      <c r="B460" t="str">
        <f t="shared" si="38"/>
        <v/>
      </c>
      <c r="C460">
        <f t="shared" si="40"/>
        <v>1</v>
      </c>
      <c r="D460" s="4"/>
      <c r="E460" t="s">
        <v>18</v>
      </c>
      <c r="F460" t="str">
        <f>INDEX(Establishment!B$2:B$1005,MATCH($E460,Establishment!$A$2:$A$1005,0))</f>
        <v xml:space="preserve"> </v>
      </c>
      <c r="G460" t="str">
        <f>INDEX(Establishment!C$2:C$1005,MATCH($E460,Establishment!$A$2:$A$1005,0))</f>
        <v xml:space="preserve"> </v>
      </c>
      <c r="M460">
        <f t="shared" si="41"/>
        <v>0</v>
      </c>
      <c r="N460">
        <f t="shared" si="39"/>
        <v>0</v>
      </c>
      <c r="P460" t="e">
        <f>INDEX(Items!B$2:B$1032,MATCH($O460,Items!$A$2:$A$1032,0))</f>
        <v>#N/A</v>
      </c>
      <c r="Q460" t="e">
        <f>INDEX(Items!C$2:C$1032,MATCH($O460,Items!$A$2:$A$1032,0))</f>
        <v>#N/A</v>
      </c>
      <c r="R460" t="e">
        <f>INDEX(Items!D$2:D$1032,MATCH($O460,Items!$A$2:$A$1032,0))</f>
        <v>#N/A</v>
      </c>
    </row>
    <row r="461" spans="1:18" x14ac:dyDescent="0.25">
      <c r="A461">
        <f t="shared" si="37"/>
        <v>1</v>
      </c>
      <c r="B461" t="str">
        <f t="shared" si="38"/>
        <v/>
      </c>
      <c r="C461">
        <f t="shared" si="40"/>
        <v>1</v>
      </c>
      <c r="D461" s="4"/>
      <c r="E461" t="s">
        <v>18</v>
      </c>
      <c r="F461" t="str">
        <f>INDEX(Establishment!B$2:B$1005,MATCH($E461,Establishment!$A$2:$A$1005,0))</f>
        <v xml:space="preserve"> </v>
      </c>
      <c r="G461" t="str">
        <f>INDEX(Establishment!C$2:C$1005,MATCH($E461,Establishment!$A$2:$A$1005,0))</f>
        <v xml:space="preserve"> </v>
      </c>
      <c r="M461">
        <f t="shared" si="41"/>
        <v>0</v>
      </c>
      <c r="N461">
        <f t="shared" si="39"/>
        <v>0</v>
      </c>
      <c r="P461" t="e">
        <f>INDEX(Items!B$2:B$1032,MATCH($O461,Items!$A$2:$A$1032,0))</f>
        <v>#N/A</v>
      </c>
      <c r="Q461" t="e">
        <f>INDEX(Items!C$2:C$1032,MATCH($O461,Items!$A$2:$A$1032,0))</f>
        <v>#N/A</v>
      </c>
      <c r="R461" t="e">
        <f>INDEX(Items!D$2:D$1032,MATCH($O461,Items!$A$2:$A$1032,0))</f>
        <v>#N/A</v>
      </c>
    </row>
    <row r="462" spans="1:18" x14ac:dyDescent="0.25">
      <c r="A462">
        <f t="shared" si="37"/>
        <v>1</v>
      </c>
      <c r="B462" t="str">
        <f t="shared" si="38"/>
        <v/>
      </c>
      <c r="C462">
        <f t="shared" si="40"/>
        <v>1</v>
      </c>
      <c r="D462" s="4"/>
      <c r="E462" t="s">
        <v>18</v>
      </c>
      <c r="F462" t="str">
        <f>INDEX(Establishment!B$2:B$1005,MATCH($E462,Establishment!$A$2:$A$1005,0))</f>
        <v xml:space="preserve"> </v>
      </c>
      <c r="G462" t="str">
        <f>INDEX(Establishment!C$2:C$1005,MATCH($E462,Establishment!$A$2:$A$1005,0))</f>
        <v xml:space="preserve"> </v>
      </c>
      <c r="M462">
        <f t="shared" si="41"/>
        <v>0</v>
      </c>
      <c r="N462">
        <f t="shared" si="39"/>
        <v>0</v>
      </c>
      <c r="P462" t="e">
        <f>INDEX(Items!B$2:B$1032,MATCH($O462,Items!$A$2:$A$1032,0))</f>
        <v>#N/A</v>
      </c>
      <c r="Q462" t="e">
        <f>INDEX(Items!C$2:C$1032,MATCH($O462,Items!$A$2:$A$1032,0))</f>
        <v>#N/A</v>
      </c>
      <c r="R462" t="e">
        <f>INDEX(Items!D$2:D$1032,MATCH($O462,Items!$A$2:$A$1032,0))</f>
        <v>#N/A</v>
      </c>
    </row>
    <row r="463" spans="1:18" x14ac:dyDescent="0.25">
      <c r="A463">
        <f t="shared" si="37"/>
        <v>1</v>
      </c>
      <c r="B463" t="str">
        <f t="shared" si="38"/>
        <v/>
      </c>
      <c r="C463">
        <f t="shared" si="40"/>
        <v>1</v>
      </c>
      <c r="D463" s="4"/>
      <c r="E463" t="s">
        <v>18</v>
      </c>
      <c r="F463" t="str">
        <f>INDEX(Establishment!B$2:B$1005,MATCH($E463,Establishment!$A$2:$A$1005,0))</f>
        <v xml:space="preserve"> </v>
      </c>
      <c r="G463" t="str">
        <f>INDEX(Establishment!C$2:C$1005,MATCH($E463,Establishment!$A$2:$A$1005,0))</f>
        <v xml:space="preserve"> </v>
      </c>
      <c r="M463">
        <f t="shared" si="41"/>
        <v>0</v>
      </c>
      <c r="N463">
        <f t="shared" si="39"/>
        <v>0</v>
      </c>
      <c r="P463" t="e">
        <f>INDEX(Items!B$2:B$1032,MATCH($O463,Items!$A$2:$A$1032,0))</f>
        <v>#N/A</v>
      </c>
      <c r="Q463" t="e">
        <f>INDEX(Items!C$2:C$1032,MATCH($O463,Items!$A$2:$A$1032,0))</f>
        <v>#N/A</v>
      </c>
      <c r="R463" t="e">
        <f>INDEX(Items!D$2:D$1032,MATCH($O463,Items!$A$2:$A$1032,0))</f>
        <v>#N/A</v>
      </c>
    </row>
    <row r="464" spans="1:18" x14ac:dyDescent="0.25">
      <c r="A464">
        <f t="shared" si="37"/>
        <v>1</v>
      </c>
      <c r="B464" t="str">
        <f t="shared" si="38"/>
        <v/>
      </c>
      <c r="C464">
        <f t="shared" si="40"/>
        <v>1</v>
      </c>
      <c r="D464" s="4"/>
      <c r="E464" t="s">
        <v>18</v>
      </c>
      <c r="F464" t="str">
        <f>INDEX(Establishment!B$2:B$1005,MATCH($E464,Establishment!$A$2:$A$1005,0))</f>
        <v xml:space="preserve"> </v>
      </c>
      <c r="G464" t="str">
        <f>INDEX(Establishment!C$2:C$1005,MATCH($E464,Establishment!$A$2:$A$1005,0))</f>
        <v xml:space="preserve"> </v>
      </c>
      <c r="M464">
        <f t="shared" si="41"/>
        <v>0</v>
      </c>
      <c r="N464">
        <f t="shared" si="39"/>
        <v>0</v>
      </c>
      <c r="P464" t="e">
        <f>INDEX(Items!B$2:B$1032,MATCH($O464,Items!$A$2:$A$1032,0))</f>
        <v>#N/A</v>
      </c>
      <c r="Q464" t="e">
        <f>INDEX(Items!C$2:C$1032,MATCH($O464,Items!$A$2:$A$1032,0))</f>
        <v>#N/A</v>
      </c>
      <c r="R464" t="e">
        <f>INDEX(Items!D$2:D$1032,MATCH($O464,Items!$A$2:$A$1032,0))</f>
        <v>#N/A</v>
      </c>
    </row>
    <row r="465" spans="1:18" x14ac:dyDescent="0.25">
      <c r="A465">
        <f t="shared" si="37"/>
        <v>1</v>
      </c>
      <c r="B465" t="str">
        <f t="shared" si="38"/>
        <v/>
      </c>
      <c r="C465">
        <f t="shared" si="40"/>
        <v>1</v>
      </c>
      <c r="D465" s="4"/>
      <c r="E465" t="s">
        <v>18</v>
      </c>
      <c r="F465" t="str">
        <f>INDEX(Establishment!B$2:B$1005,MATCH($E465,Establishment!$A$2:$A$1005,0))</f>
        <v xml:space="preserve"> </v>
      </c>
      <c r="G465" t="str">
        <f>INDEX(Establishment!C$2:C$1005,MATCH($E465,Establishment!$A$2:$A$1005,0))</f>
        <v xml:space="preserve"> </v>
      </c>
      <c r="M465">
        <f t="shared" si="41"/>
        <v>0</v>
      </c>
      <c r="N465">
        <f t="shared" si="39"/>
        <v>0</v>
      </c>
      <c r="P465" t="e">
        <f>INDEX(Items!B$2:B$1032,MATCH($O465,Items!$A$2:$A$1032,0))</f>
        <v>#N/A</v>
      </c>
      <c r="Q465" t="e">
        <f>INDEX(Items!C$2:C$1032,MATCH($O465,Items!$A$2:$A$1032,0))</f>
        <v>#N/A</v>
      </c>
      <c r="R465" t="e">
        <f>INDEX(Items!D$2:D$1032,MATCH($O465,Items!$A$2:$A$1032,0))</f>
        <v>#N/A</v>
      </c>
    </row>
    <row r="466" spans="1:18" x14ac:dyDescent="0.25">
      <c r="A466">
        <f t="shared" si="37"/>
        <v>1</v>
      </c>
      <c r="B466" t="str">
        <f t="shared" si="38"/>
        <v/>
      </c>
      <c r="C466">
        <f t="shared" si="40"/>
        <v>1</v>
      </c>
      <c r="D466" s="4"/>
      <c r="E466" t="s">
        <v>18</v>
      </c>
      <c r="F466" t="str">
        <f>INDEX(Establishment!B$2:B$1005,MATCH($E466,Establishment!$A$2:$A$1005,0))</f>
        <v xml:space="preserve"> </v>
      </c>
      <c r="G466" t="str">
        <f>INDEX(Establishment!C$2:C$1005,MATCH($E466,Establishment!$A$2:$A$1005,0))</f>
        <v xml:space="preserve"> </v>
      </c>
      <c r="M466">
        <f t="shared" si="41"/>
        <v>0</v>
      </c>
      <c r="N466">
        <f t="shared" si="39"/>
        <v>0</v>
      </c>
      <c r="P466" t="e">
        <f>INDEX(Items!B$2:B$1032,MATCH($O466,Items!$A$2:$A$1032,0))</f>
        <v>#N/A</v>
      </c>
      <c r="Q466" t="e">
        <f>INDEX(Items!C$2:C$1032,MATCH($O466,Items!$A$2:$A$1032,0))</f>
        <v>#N/A</v>
      </c>
      <c r="R466" t="e">
        <f>INDEX(Items!D$2:D$1032,MATCH($O466,Items!$A$2:$A$1032,0))</f>
        <v>#N/A</v>
      </c>
    </row>
    <row r="467" spans="1:18" x14ac:dyDescent="0.25">
      <c r="A467">
        <f t="shared" si="37"/>
        <v>1</v>
      </c>
      <c r="B467" t="str">
        <f t="shared" si="38"/>
        <v/>
      </c>
      <c r="C467">
        <f t="shared" si="40"/>
        <v>1</v>
      </c>
      <c r="D467" s="4"/>
      <c r="E467" t="s">
        <v>18</v>
      </c>
      <c r="F467" t="str">
        <f>INDEX(Establishment!B$2:B$1005,MATCH($E467,Establishment!$A$2:$A$1005,0))</f>
        <v xml:space="preserve"> </v>
      </c>
      <c r="G467" t="str">
        <f>INDEX(Establishment!C$2:C$1005,MATCH($E467,Establishment!$A$2:$A$1005,0))</f>
        <v xml:space="preserve"> </v>
      </c>
      <c r="M467">
        <f t="shared" si="41"/>
        <v>0</v>
      </c>
      <c r="N467">
        <f t="shared" si="39"/>
        <v>0</v>
      </c>
      <c r="P467" t="e">
        <f>INDEX(Items!B$2:B$1032,MATCH($O467,Items!$A$2:$A$1032,0))</f>
        <v>#N/A</v>
      </c>
      <c r="Q467" t="e">
        <f>INDEX(Items!C$2:C$1032,MATCH($O467,Items!$A$2:$A$1032,0))</f>
        <v>#N/A</v>
      </c>
      <c r="R467" t="e">
        <f>INDEX(Items!D$2:D$1032,MATCH($O467,Items!$A$2:$A$1032,0))</f>
        <v>#N/A</v>
      </c>
    </row>
    <row r="468" spans="1:18" x14ac:dyDescent="0.25">
      <c r="A468">
        <f t="shared" si="37"/>
        <v>1</v>
      </c>
      <c r="B468" t="str">
        <f t="shared" si="38"/>
        <v/>
      </c>
      <c r="C468">
        <f t="shared" si="40"/>
        <v>1</v>
      </c>
      <c r="D468" s="4"/>
      <c r="E468" t="s">
        <v>18</v>
      </c>
      <c r="F468" t="str">
        <f>INDEX(Establishment!B$2:B$1005,MATCH($E468,Establishment!$A$2:$A$1005,0))</f>
        <v xml:space="preserve"> </v>
      </c>
      <c r="G468" t="str">
        <f>INDEX(Establishment!C$2:C$1005,MATCH($E468,Establishment!$A$2:$A$1005,0))</f>
        <v xml:space="preserve"> </v>
      </c>
      <c r="M468">
        <f t="shared" si="41"/>
        <v>0</v>
      </c>
      <c r="N468">
        <f t="shared" si="39"/>
        <v>0</v>
      </c>
      <c r="P468" t="e">
        <f>INDEX(Items!B$2:B$1032,MATCH($O468,Items!$A$2:$A$1032,0))</f>
        <v>#N/A</v>
      </c>
      <c r="Q468" t="e">
        <f>INDEX(Items!C$2:C$1032,MATCH($O468,Items!$A$2:$A$1032,0))</f>
        <v>#N/A</v>
      </c>
      <c r="R468" t="e">
        <f>INDEX(Items!D$2:D$1032,MATCH($O468,Items!$A$2:$A$1032,0))</f>
        <v>#N/A</v>
      </c>
    </row>
    <row r="469" spans="1:18" x14ac:dyDescent="0.25">
      <c r="A469">
        <f t="shared" si="37"/>
        <v>1</v>
      </c>
      <c r="B469" t="str">
        <f t="shared" si="38"/>
        <v/>
      </c>
      <c r="C469">
        <f t="shared" si="40"/>
        <v>1</v>
      </c>
      <c r="D469" s="4"/>
      <c r="E469" t="s">
        <v>18</v>
      </c>
      <c r="F469" t="str">
        <f>INDEX(Establishment!B$2:B$1005,MATCH($E469,Establishment!$A$2:$A$1005,0))</f>
        <v xml:space="preserve"> </v>
      </c>
      <c r="G469" t="str">
        <f>INDEX(Establishment!C$2:C$1005,MATCH($E469,Establishment!$A$2:$A$1005,0))</f>
        <v xml:space="preserve"> </v>
      </c>
      <c r="M469">
        <f t="shared" si="41"/>
        <v>0</v>
      </c>
      <c r="N469">
        <f t="shared" si="39"/>
        <v>0</v>
      </c>
      <c r="P469" t="e">
        <f>INDEX(Items!B$2:B$1032,MATCH($O469,Items!$A$2:$A$1032,0))</f>
        <v>#N/A</v>
      </c>
      <c r="Q469" t="e">
        <f>INDEX(Items!C$2:C$1032,MATCH($O469,Items!$A$2:$A$1032,0))</f>
        <v>#N/A</v>
      </c>
      <c r="R469" t="e">
        <f>INDEX(Items!D$2:D$1032,MATCH($O469,Items!$A$2:$A$1032,0))</f>
        <v>#N/A</v>
      </c>
    </row>
    <row r="470" spans="1:18" x14ac:dyDescent="0.25">
      <c r="A470">
        <f t="shared" si="37"/>
        <v>1</v>
      </c>
      <c r="B470" t="str">
        <f t="shared" si="38"/>
        <v/>
      </c>
      <c r="C470">
        <f t="shared" si="40"/>
        <v>1</v>
      </c>
      <c r="D470" s="4"/>
      <c r="E470" t="s">
        <v>18</v>
      </c>
      <c r="F470" t="str">
        <f>INDEX(Establishment!B$2:B$1005,MATCH($E470,Establishment!$A$2:$A$1005,0))</f>
        <v xml:space="preserve"> </v>
      </c>
      <c r="G470" t="str">
        <f>INDEX(Establishment!C$2:C$1005,MATCH($E470,Establishment!$A$2:$A$1005,0))</f>
        <v xml:space="preserve"> </v>
      </c>
      <c r="M470">
        <f t="shared" si="41"/>
        <v>0</v>
      </c>
      <c r="N470">
        <f t="shared" si="39"/>
        <v>0</v>
      </c>
      <c r="P470" t="e">
        <f>INDEX(Items!B$2:B$1032,MATCH($O470,Items!$A$2:$A$1032,0))</f>
        <v>#N/A</v>
      </c>
      <c r="Q470" t="e">
        <f>INDEX(Items!C$2:C$1032,MATCH($O470,Items!$A$2:$A$1032,0))</f>
        <v>#N/A</v>
      </c>
      <c r="R470" t="e">
        <f>INDEX(Items!D$2:D$1032,MATCH($O470,Items!$A$2:$A$1032,0))</f>
        <v>#N/A</v>
      </c>
    </row>
    <row r="471" spans="1:18" x14ac:dyDescent="0.25">
      <c r="A471">
        <f t="shared" si="37"/>
        <v>1</v>
      </c>
      <c r="B471" t="str">
        <f t="shared" si="38"/>
        <v/>
      </c>
      <c r="C471">
        <f t="shared" si="40"/>
        <v>1</v>
      </c>
      <c r="D471" s="4"/>
      <c r="E471" t="s">
        <v>18</v>
      </c>
      <c r="F471" t="str">
        <f>INDEX(Establishment!B$2:B$1005,MATCH($E471,Establishment!$A$2:$A$1005,0))</f>
        <v xml:space="preserve"> </v>
      </c>
      <c r="G471" t="str">
        <f>INDEX(Establishment!C$2:C$1005,MATCH($E471,Establishment!$A$2:$A$1005,0))</f>
        <v xml:space="preserve"> </v>
      </c>
      <c r="M471">
        <f t="shared" si="41"/>
        <v>0</v>
      </c>
      <c r="N471">
        <f t="shared" si="39"/>
        <v>0</v>
      </c>
      <c r="P471" t="e">
        <f>INDEX(Items!B$2:B$1032,MATCH($O471,Items!$A$2:$A$1032,0))</f>
        <v>#N/A</v>
      </c>
      <c r="Q471" t="e">
        <f>INDEX(Items!C$2:C$1032,MATCH($O471,Items!$A$2:$A$1032,0))</f>
        <v>#N/A</v>
      </c>
      <c r="R471" t="e">
        <f>INDEX(Items!D$2:D$1032,MATCH($O471,Items!$A$2:$A$1032,0))</f>
        <v>#N/A</v>
      </c>
    </row>
    <row r="472" spans="1:18" x14ac:dyDescent="0.25">
      <c r="A472">
        <f t="shared" si="37"/>
        <v>1</v>
      </c>
      <c r="B472" t="str">
        <f t="shared" si="38"/>
        <v/>
      </c>
      <c r="C472">
        <f t="shared" si="40"/>
        <v>1</v>
      </c>
      <c r="D472" s="4"/>
      <c r="E472" t="s">
        <v>18</v>
      </c>
      <c r="F472" t="str">
        <f>INDEX(Establishment!B$2:B$1005,MATCH($E472,Establishment!$A$2:$A$1005,0))</f>
        <v xml:space="preserve"> </v>
      </c>
      <c r="G472" t="str">
        <f>INDEX(Establishment!C$2:C$1005,MATCH($E472,Establishment!$A$2:$A$1005,0))</f>
        <v xml:space="preserve"> </v>
      </c>
      <c r="M472">
        <f t="shared" si="41"/>
        <v>0</v>
      </c>
      <c r="N472">
        <f t="shared" si="39"/>
        <v>0</v>
      </c>
      <c r="P472" t="e">
        <f>INDEX(Items!B$2:B$1032,MATCH($O472,Items!$A$2:$A$1032,0))</f>
        <v>#N/A</v>
      </c>
      <c r="Q472" t="e">
        <f>INDEX(Items!C$2:C$1032,MATCH($O472,Items!$A$2:$A$1032,0))</f>
        <v>#N/A</v>
      </c>
      <c r="R472" t="e">
        <f>INDEX(Items!D$2:D$1032,MATCH($O472,Items!$A$2:$A$1032,0))</f>
        <v>#N/A</v>
      </c>
    </row>
    <row r="473" spans="1:18" x14ac:dyDescent="0.25">
      <c r="A473">
        <f t="shared" si="37"/>
        <v>1</v>
      </c>
      <c r="B473" t="str">
        <f t="shared" si="38"/>
        <v/>
      </c>
      <c r="C473">
        <f t="shared" si="40"/>
        <v>1</v>
      </c>
      <c r="D473" s="4"/>
      <c r="E473" t="s">
        <v>18</v>
      </c>
      <c r="F473" t="str">
        <f>INDEX(Establishment!B$2:B$1005,MATCH($E473,Establishment!$A$2:$A$1005,0))</f>
        <v xml:space="preserve"> </v>
      </c>
      <c r="G473" t="str">
        <f>INDEX(Establishment!C$2:C$1005,MATCH($E473,Establishment!$A$2:$A$1005,0))</f>
        <v xml:space="preserve"> </v>
      </c>
      <c r="M473">
        <f t="shared" si="41"/>
        <v>0</v>
      </c>
      <c r="N473">
        <f t="shared" si="39"/>
        <v>0</v>
      </c>
      <c r="P473" t="e">
        <f>INDEX(Items!B$2:B$1032,MATCH($O473,Items!$A$2:$A$1032,0))</f>
        <v>#N/A</v>
      </c>
      <c r="Q473" t="e">
        <f>INDEX(Items!C$2:C$1032,MATCH($O473,Items!$A$2:$A$1032,0))</f>
        <v>#N/A</v>
      </c>
      <c r="R473" t="e">
        <f>INDEX(Items!D$2:D$1032,MATCH($O473,Items!$A$2:$A$1032,0))</f>
        <v>#N/A</v>
      </c>
    </row>
    <row r="474" spans="1:18" x14ac:dyDescent="0.25">
      <c r="A474">
        <f t="shared" si="37"/>
        <v>1</v>
      </c>
      <c r="B474" t="str">
        <f t="shared" si="38"/>
        <v/>
      </c>
      <c r="C474">
        <f t="shared" si="40"/>
        <v>1</v>
      </c>
      <c r="D474" s="4"/>
      <c r="E474" t="s">
        <v>18</v>
      </c>
      <c r="F474" t="str">
        <f>INDEX(Establishment!B$2:B$1005,MATCH($E474,Establishment!$A$2:$A$1005,0))</f>
        <v xml:space="preserve"> </v>
      </c>
      <c r="G474" t="str">
        <f>INDEX(Establishment!C$2:C$1005,MATCH($E474,Establishment!$A$2:$A$1005,0))</f>
        <v xml:space="preserve"> </v>
      </c>
      <c r="M474">
        <f t="shared" si="41"/>
        <v>0</v>
      </c>
      <c r="N474">
        <f t="shared" si="39"/>
        <v>0</v>
      </c>
      <c r="P474" t="e">
        <f>INDEX(Items!B$2:B$1032,MATCH($O474,Items!$A$2:$A$1032,0))</f>
        <v>#N/A</v>
      </c>
      <c r="Q474" t="e">
        <f>INDEX(Items!C$2:C$1032,MATCH($O474,Items!$A$2:$A$1032,0))</f>
        <v>#N/A</v>
      </c>
      <c r="R474" t="e">
        <f>INDEX(Items!D$2:D$1032,MATCH($O474,Items!$A$2:$A$1032,0))</f>
        <v>#N/A</v>
      </c>
    </row>
    <row r="475" spans="1:18" x14ac:dyDescent="0.25">
      <c r="A475">
        <f t="shared" si="37"/>
        <v>1</v>
      </c>
      <c r="B475" t="str">
        <f t="shared" si="38"/>
        <v/>
      </c>
      <c r="C475">
        <f t="shared" si="40"/>
        <v>1</v>
      </c>
      <c r="D475" s="4"/>
      <c r="E475" t="s">
        <v>18</v>
      </c>
      <c r="F475" t="str">
        <f>INDEX(Establishment!B$2:B$1005,MATCH($E475,Establishment!$A$2:$A$1005,0))</f>
        <v xml:space="preserve"> </v>
      </c>
      <c r="G475" t="str">
        <f>INDEX(Establishment!C$2:C$1005,MATCH($E475,Establishment!$A$2:$A$1005,0))</f>
        <v xml:space="preserve"> </v>
      </c>
      <c r="M475">
        <f t="shared" si="41"/>
        <v>0</v>
      </c>
      <c r="N475">
        <f t="shared" si="39"/>
        <v>0</v>
      </c>
      <c r="P475" t="e">
        <f>INDEX(Items!B$2:B$1032,MATCH($O475,Items!$A$2:$A$1032,0))</f>
        <v>#N/A</v>
      </c>
      <c r="Q475" t="e">
        <f>INDEX(Items!C$2:C$1032,MATCH($O475,Items!$A$2:$A$1032,0))</f>
        <v>#N/A</v>
      </c>
      <c r="R475" t="e">
        <f>INDEX(Items!D$2:D$1032,MATCH($O475,Items!$A$2:$A$1032,0))</f>
        <v>#N/A</v>
      </c>
    </row>
    <row r="476" spans="1:18" x14ac:dyDescent="0.25">
      <c r="A476">
        <f t="shared" si="37"/>
        <v>1</v>
      </c>
      <c r="B476" t="str">
        <f t="shared" si="38"/>
        <v/>
      </c>
      <c r="C476">
        <f t="shared" si="40"/>
        <v>1</v>
      </c>
      <c r="D476" s="4"/>
      <c r="E476" t="s">
        <v>18</v>
      </c>
      <c r="F476" t="str">
        <f>INDEX(Establishment!B$2:B$1005,MATCH($E476,Establishment!$A$2:$A$1005,0))</f>
        <v xml:space="preserve"> </v>
      </c>
      <c r="G476" t="str">
        <f>INDEX(Establishment!C$2:C$1005,MATCH($E476,Establishment!$A$2:$A$1005,0))</f>
        <v xml:space="preserve"> </v>
      </c>
      <c r="M476">
        <f t="shared" si="41"/>
        <v>0</v>
      </c>
      <c r="N476">
        <f t="shared" si="39"/>
        <v>0</v>
      </c>
      <c r="P476" t="e">
        <f>INDEX(Items!B$2:B$1032,MATCH($O476,Items!$A$2:$A$1032,0))</f>
        <v>#N/A</v>
      </c>
      <c r="Q476" t="e">
        <f>INDEX(Items!C$2:C$1032,MATCH($O476,Items!$A$2:$A$1032,0))</f>
        <v>#N/A</v>
      </c>
      <c r="R476" t="e">
        <f>INDEX(Items!D$2:D$1032,MATCH($O476,Items!$A$2:$A$1032,0))</f>
        <v>#N/A</v>
      </c>
    </row>
    <row r="477" spans="1:18" x14ac:dyDescent="0.25">
      <c r="A477">
        <f t="shared" si="37"/>
        <v>1</v>
      </c>
      <c r="B477" t="str">
        <f t="shared" si="38"/>
        <v/>
      </c>
      <c r="C477">
        <f t="shared" si="40"/>
        <v>1</v>
      </c>
      <c r="D477" s="4"/>
      <c r="E477" t="s">
        <v>18</v>
      </c>
      <c r="F477" t="str">
        <f>INDEX(Establishment!B$2:B$1005,MATCH($E477,Establishment!$A$2:$A$1005,0))</f>
        <v xml:space="preserve"> </v>
      </c>
      <c r="G477" t="str">
        <f>INDEX(Establishment!C$2:C$1005,MATCH($E477,Establishment!$A$2:$A$1005,0))</f>
        <v xml:space="preserve"> </v>
      </c>
      <c r="M477">
        <f t="shared" si="41"/>
        <v>0</v>
      </c>
      <c r="N477">
        <f t="shared" si="39"/>
        <v>0</v>
      </c>
      <c r="P477" t="e">
        <f>INDEX(Items!B$2:B$1032,MATCH($O477,Items!$A$2:$A$1032,0))</f>
        <v>#N/A</v>
      </c>
      <c r="Q477" t="e">
        <f>INDEX(Items!C$2:C$1032,MATCH($O477,Items!$A$2:$A$1032,0))</f>
        <v>#N/A</v>
      </c>
      <c r="R477" t="e">
        <f>INDEX(Items!D$2:D$1032,MATCH($O477,Items!$A$2:$A$1032,0))</f>
        <v>#N/A</v>
      </c>
    </row>
    <row r="478" spans="1:18" x14ac:dyDescent="0.25">
      <c r="A478">
        <f t="shared" si="37"/>
        <v>1</v>
      </c>
      <c r="B478" t="str">
        <f t="shared" si="38"/>
        <v/>
      </c>
      <c r="C478">
        <f t="shared" si="40"/>
        <v>1</v>
      </c>
      <c r="D478" s="4"/>
      <c r="E478" t="s">
        <v>18</v>
      </c>
      <c r="F478" t="str">
        <f>INDEX(Establishment!B$2:B$1005,MATCH($E478,Establishment!$A$2:$A$1005,0))</f>
        <v xml:space="preserve"> </v>
      </c>
      <c r="G478" t="str">
        <f>INDEX(Establishment!C$2:C$1005,MATCH($E478,Establishment!$A$2:$A$1005,0))</f>
        <v xml:space="preserve"> </v>
      </c>
      <c r="M478">
        <f t="shared" si="41"/>
        <v>0</v>
      </c>
      <c r="N478">
        <f t="shared" si="39"/>
        <v>0</v>
      </c>
      <c r="P478" t="e">
        <f>INDEX(Items!B$2:B$1032,MATCH($O478,Items!$A$2:$A$1032,0))</f>
        <v>#N/A</v>
      </c>
      <c r="Q478" t="e">
        <f>INDEX(Items!C$2:C$1032,MATCH($O478,Items!$A$2:$A$1032,0))</f>
        <v>#N/A</v>
      </c>
      <c r="R478" t="e">
        <f>INDEX(Items!D$2:D$1032,MATCH($O478,Items!$A$2:$A$1032,0))</f>
        <v>#N/A</v>
      </c>
    </row>
    <row r="479" spans="1:18" x14ac:dyDescent="0.25">
      <c r="A479">
        <f t="shared" si="37"/>
        <v>1</v>
      </c>
      <c r="B479" t="str">
        <f t="shared" si="38"/>
        <v/>
      </c>
      <c r="C479">
        <f t="shared" si="40"/>
        <v>1</v>
      </c>
      <c r="D479" s="4"/>
      <c r="E479" t="s">
        <v>18</v>
      </c>
      <c r="F479" t="str">
        <f>INDEX(Establishment!B$2:B$1005,MATCH($E479,Establishment!$A$2:$A$1005,0))</f>
        <v xml:space="preserve"> </v>
      </c>
      <c r="G479" t="str">
        <f>INDEX(Establishment!C$2:C$1005,MATCH($E479,Establishment!$A$2:$A$1005,0))</f>
        <v xml:space="preserve"> </v>
      </c>
      <c r="M479">
        <f t="shared" si="41"/>
        <v>0</v>
      </c>
      <c r="N479">
        <f t="shared" si="39"/>
        <v>0</v>
      </c>
      <c r="P479" t="e">
        <f>INDEX(Items!B$2:B$1032,MATCH($O479,Items!$A$2:$A$1032,0))</f>
        <v>#N/A</v>
      </c>
      <c r="Q479" t="e">
        <f>INDEX(Items!C$2:C$1032,MATCH($O479,Items!$A$2:$A$1032,0))</f>
        <v>#N/A</v>
      </c>
      <c r="R479" t="e">
        <f>INDEX(Items!D$2:D$1032,MATCH($O479,Items!$A$2:$A$1032,0))</f>
        <v>#N/A</v>
      </c>
    </row>
    <row r="480" spans="1:18" x14ac:dyDescent="0.25">
      <c r="A480">
        <f t="shared" si="37"/>
        <v>1</v>
      </c>
      <c r="B480" t="str">
        <f t="shared" si="38"/>
        <v/>
      </c>
      <c r="C480">
        <f t="shared" si="40"/>
        <v>1</v>
      </c>
      <c r="D480" s="4"/>
      <c r="E480" t="s">
        <v>18</v>
      </c>
      <c r="F480" t="str">
        <f>INDEX(Establishment!B$2:B$1005,MATCH($E480,Establishment!$A$2:$A$1005,0))</f>
        <v xml:space="preserve"> </v>
      </c>
      <c r="G480" t="str">
        <f>INDEX(Establishment!C$2:C$1005,MATCH($E480,Establishment!$A$2:$A$1005,0))</f>
        <v xml:space="preserve"> </v>
      </c>
      <c r="M480">
        <f t="shared" si="41"/>
        <v>0</v>
      </c>
      <c r="N480">
        <f t="shared" si="39"/>
        <v>0</v>
      </c>
      <c r="P480" t="e">
        <f>INDEX(Items!B$2:B$1032,MATCH($O480,Items!$A$2:$A$1032,0))</f>
        <v>#N/A</v>
      </c>
      <c r="Q480" t="e">
        <f>INDEX(Items!C$2:C$1032,MATCH($O480,Items!$A$2:$A$1032,0))</f>
        <v>#N/A</v>
      </c>
      <c r="R480" t="e">
        <f>INDEX(Items!D$2:D$1032,MATCH($O480,Items!$A$2:$A$1032,0))</f>
        <v>#N/A</v>
      </c>
    </row>
    <row r="481" spans="1:18" x14ac:dyDescent="0.25">
      <c r="A481">
        <f t="shared" si="37"/>
        <v>1</v>
      </c>
      <c r="B481" t="str">
        <f t="shared" si="38"/>
        <v/>
      </c>
      <c r="C481">
        <f t="shared" si="40"/>
        <v>1</v>
      </c>
      <c r="D481" s="4"/>
      <c r="E481" t="s">
        <v>18</v>
      </c>
      <c r="F481" t="str">
        <f>INDEX(Establishment!B$2:B$1005,MATCH($E481,Establishment!$A$2:$A$1005,0))</f>
        <v xml:space="preserve"> </v>
      </c>
      <c r="G481" t="str">
        <f>INDEX(Establishment!C$2:C$1005,MATCH($E481,Establishment!$A$2:$A$1005,0))</f>
        <v xml:space="preserve"> </v>
      </c>
      <c r="M481">
        <f t="shared" si="41"/>
        <v>0</v>
      </c>
      <c r="N481">
        <f t="shared" si="39"/>
        <v>0</v>
      </c>
      <c r="P481" t="e">
        <f>INDEX(Items!B$2:B$1032,MATCH($O481,Items!$A$2:$A$1032,0))</f>
        <v>#N/A</v>
      </c>
      <c r="Q481" t="e">
        <f>INDEX(Items!C$2:C$1032,MATCH($O481,Items!$A$2:$A$1032,0))</f>
        <v>#N/A</v>
      </c>
      <c r="R481" t="e">
        <f>INDEX(Items!D$2:D$1032,MATCH($O481,Items!$A$2:$A$1032,0))</f>
        <v>#N/A</v>
      </c>
    </row>
    <row r="482" spans="1:18" x14ac:dyDescent="0.25">
      <c r="A482">
        <f t="shared" si="37"/>
        <v>1</v>
      </c>
      <c r="B482" t="str">
        <f t="shared" si="38"/>
        <v/>
      </c>
      <c r="C482">
        <f t="shared" si="40"/>
        <v>1</v>
      </c>
      <c r="D482" s="4"/>
      <c r="E482" t="s">
        <v>18</v>
      </c>
      <c r="F482" t="str">
        <f>INDEX(Establishment!B$2:B$1005,MATCH($E482,Establishment!$A$2:$A$1005,0))</f>
        <v xml:space="preserve"> </v>
      </c>
      <c r="G482" t="str">
        <f>INDEX(Establishment!C$2:C$1005,MATCH($E482,Establishment!$A$2:$A$1005,0))</f>
        <v xml:space="preserve"> </v>
      </c>
      <c r="M482">
        <f t="shared" si="41"/>
        <v>0</v>
      </c>
      <c r="N482">
        <f t="shared" si="39"/>
        <v>0</v>
      </c>
      <c r="P482" t="e">
        <f>INDEX(Items!B$2:B$1032,MATCH($O482,Items!$A$2:$A$1032,0))</f>
        <v>#N/A</v>
      </c>
      <c r="Q482" t="e">
        <f>INDEX(Items!C$2:C$1032,MATCH($O482,Items!$A$2:$A$1032,0))</f>
        <v>#N/A</v>
      </c>
      <c r="R482" t="e">
        <f>INDEX(Items!D$2:D$1032,MATCH($O482,Items!$A$2:$A$1032,0))</f>
        <v>#N/A</v>
      </c>
    </row>
    <row r="483" spans="1:18" x14ac:dyDescent="0.25">
      <c r="A483">
        <f t="shared" si="37"/>
        <v>1</v>
      </c>
      <c r="B483" t="str">
        <f t="shared" si="38"/>
        <v/>
      </c>
      <c r="C483">
        <f t="shared" si="40"/>
        <v>1</v>
      </c>
      <c r="D483" s="4"/>
      <c r="E483" t="s">
        <v>18</v>
      </c>
      <c r="F483" t="str">
        <f>INDEX(Establishment!B$2:B$1005,MATCH($E483,Establishment!$A$2:$A$1005,0))</f>
        <v xml:space="preserve"> </v>
      </c>
      <c r="G483" t="str">
        <f>INDEX(Establishment!C$2:C$1005,MATCH($E483,Establishment!$A$2:$A$1005,0))</f>
        <v xml:space="preserve"> </v>
      </c>
      <c r="M483">
        <f t="shared" si="41"/>
        <v>0</v>
      </c>
      <c r="N483">
        <f t="shared" si="39"/>
        <v>0</v>
      </c>
      <c r="P483" t="e">
        <f>INDEX(Items!B$2:B$1032,MATCH($O483,Items!$A$2:$A$1032,0))</f>
        <v>#N/A</v>
      </c>
      <c r="Q483" t="e">
        <f>INDEX(Items!C$2:C$1032,MATCH($O483,Items!$A$2:$A$1032,0))</f>
        <v>#N/A</v>
      </c>
      <c r="R483" t="e">
        <f>INDEX(Items!D$2:D$1032,MATCH($O483,Items!$A$2:$A$1032,0))</f>
        <v>#N/A</v>
      </c>
    </row>
    <row r="484" spans="1:18" x14ac:dyDescent="0.25">
      <c r="A484">
        <f t="shared" si="37"/>
        <v>1</v>
      </c>
      <c r="B484" t="str">
        <f t="shared" si="38"/>
        <v/>
      </c>
      <c r="C484">
        <f t="shared" si="40"/>
        <v>1</v>
      </c>
      <c r="D484" s="4"/>
      <c r="E484" t="s">
        <v>18</v>
      </c>
      <c r="F484" t="str">
        <f>INDEX(Establishment!B$2:B$1005,MATCH($E484,Establishment!$A$2:$A$1005,0))</f>
        <v xml:space="preserve"> </v>
      </c>
      <c r="G484" t="str">
        <f>INDEX(Establishment!C$2:C$1005,MATCH($E484,Establishment!$A$2:$A$1005,0))</f>
        <v xml:space="preserve"> </v>
      </c>
      <c r="M484">
        <f t="shared" si="41"/>
        <v>0</v>
      </c>
      <c r="N484">
        <f t="shared" si="39"/>
        <v>0</v>
      </c>
      <c r="P484" t="e">
        <f>INDEX(Items!B$2:B$1032,MATCH($O484,Items!$A$2:$A$1032,0))</f>
        <v>#N/A</v>
      </c>
      <c r="Q484" t="e">
        <f>INDEX(Items!C$2:C$1032,MATCH($O484,Items!$A$2:$A$1032,0))</f>
        <v>#N/A</v>
      </c>
      <c r="R484" t="e">
        <f>INDEX(Items!D$2:D$1032,MATCH($O484,Items!$A$2:$A$1032,0))</f>
        <v>#N/A</v>
      </c>
    </row>
    <row r="485" spans="1:18" x14ac:dyDescent="0.25">
      <c r="A485">
        <f t="shared" si="37"/>
        <v>1</v>
      </c>
      <c r="B485" t="str">
        <f t="shared" si="38"/>
        <v/>
      </c>
      <c r="C485">
        <f t="shared" si="40"/>
        <v>1</v>
      </c>
      <c r="D485" s="4"/>
      <c r="E485" t="s">
        <v>18</v>
      </c>
      <c r="F485" t="str">
        <f>INDEX(Establishment!B$2:B$1005,MATCH($E485,Establishment!$A$2:$A$1005,0))</f>
        <v xml:space="preserve"> </v>
      </c>
      <c r="G485" t="str">
        <f>INDEX(Establishment!C$2:C$1005,MATCH($E485,Establishment!$A$2:$A$1005,0))</f>
        <v xml:space="preserve"> </v>
      </c>
      <c r="M485">
        <f t="shared" si="41"/>
        <v>0</v>
      </c>
      <c r="N485">
        <f t="shared" si="39"/>
        <v>0</v>
      </c>
      <c r="P485" t="e">
        <f>INDEX(Items!B$2:B$1032,MATCH($O485,Items!$A$2:$A$1032,0))</f>
        <v>#N/A</v>
      </c>
      <c r="Q485" t="e">
        <f>INDEX(Items!C$2:C$1032,MATCH($O485,Items!$A$2:$A$1032,0))</f>
        <v>#N/A</v>
      </c>
      <c r="R485" t="e">
        <f>INDEX(Items!D$2:D$1032,MATCH($O485,Items!$A$2:$A$1032,0))</f>
        <v>#N/A</v>
      </c>
    </row>
    <row r="486" spans="1:18" x14ac:dyDescent="0.25">
      <c r="A486">
        <f t="shared" si="37"/>
        <v>1</v>
      </c>
      <c r="B486" t="str">
        <f t="shared" si="38"/>
        <v/>
      </c>
      <c r="C486">
        <f t="shared" si="40"/>
        <v>1</v>
      </c>
      <c r="D486" s="4"/>
      <c r="E486" t="s">
        <v>18</v>
      </c>
      <c r="F486" t="str">
        <f>INDEX(Establishment!B$2:B$1005,MATCH($E486,Establishment!$A$2:$A$1005,0))</f>
        <v xml:space="preserve"> </v>
      </c>
      <c r="G486" t="str">
        <f>INDEX(Establishment!C$2:C$1005,MATCH($E486,Establishment!$A$2:$A$1005,0))</f>
        <v xml:space="preserve"> </v>
      </c>
      <c r="M486">
        <f t="shared" si="41"/>
        <v>0</v>
      </c>
      <c r="N486">
        <f t="shared" si="39"/>
        <v>0</v>
      </c>
      <c r="P486" t="e">
        <f>INDEX(Items!B$2:B$1032,MATCH($O486,Items!$A$2:$A$1032,0))</f>
        <v>#N/A</v>
      </c>
      <c r="Q486" t="e">
        <f>INDEX(Items!C$2:C$1032,MATCH($O486,Items!$A$2:$A$1032,0))</f>
        <v>#N/A</v>
      </c>
      <c r="R486" t="e">
        <f>INDEX(Items!D$2:D$1032,MATCH($O486,Items!$A$2:$A$1032,0))</f>
        <v>#N/A</v>
      </c>
    </row>
    <row r="487" spans="1:18" x14ac:dyDescent="0.25">
      <c r="A487">
        <f t="shared" si="37"/>
        <v>1</v>
      </c>
      <c r="B487" t="str">
        <f t="shared" si="38"/>
        <v/>
      </c>
      <c r="C487">
        <f t="shared" si="40"/>
        <v>1</v>
      </c>
      <c r="D487" s="4"/>
      <c r="E487" t="s">
        <v>18</v>
      </c>
      <c r="F487" t="str">
        <f>INDEX(Establishment!B$2:B$1005,MATCH($E487,Establishment!$A$2:$A$1005,0))</f>
        <v xml:space="preserve"> </v>
      </c>
      <c r="G487" t="str">
        <f>INDEX(Establishment!C$2:C$1005,MATCH($E487,Establishment!$A$2:$A$1005,0))</f>
        <v xml:space="preserve"> </v>
      </c>
      <c r="M487">
        <f t="shared" si="41"/>
        <v>0</v>
      </c>
      <c r="N487">
        <f t="shared" si="39"/>
        <v>0</v>
      </c>
      <c r="P487" t="e">
        <f>INDEX(Items!B$2:B$1032,MATCH($O487,Items!$A$2:$A$1032,0))</f>
        <v>#N/A</v>
      </c>
      <c r="Q487" t="e">
        <f>INDEX(Items!C$2:C$1032,MATCH($O487,Items!$A$2:$A$1032,0))</f>
        <v>#N/A</v>
      </c>
      <c r="R487" t="e">
        <f>INDEX(Items!D$2:D$1032,MATCH($O487,Items!$A$2:$A$1032,0))</f>
        <v>#N/A</v>
      </c>
    </row>
    <row r="488" spans="1:18" x14ac:dyDescent="0.25">
      <c r="A488">
        <f t="shared" si="37"/>
        <v>1</v>
      </c>
      <c r="B488" t="str">
        <f t="shared" si="38"/>
        <v/>
      </c>
      <c r="C488">
        <f t="shared" si="40"/>
        <v>1</v>
      </c>
      <c r="D488" s="4"/>
      <c r="E488" t="s">
        <v>18</v>
      </c>
      <c r="F488" t="str">
        <f>INDEX(Establishment!B$2:B$1005,MATCH($E488,Establishment!$A$2:$A$1005,0))</f>
        <v xml:space="preserve"> </v>
      </c>
      <c r="G488" t="str">
        <f>INDEX(Establishment!C$2:C$1005,MATCH($E488,Establishment!$A$2:$A$1005,0))</f>
        <v xml:space="preserve"> </v>
      </c>
      <c r="M488">
        <f t="shared" si="41"/>
        <v>0</v>
      </c>
      <c r="N488">
        <f t="shared" si="39"/>
        <v>0</v>
      </c>
      <c r="P488" t="e">
        <f>INDEX(Items!B$2:B$1032,MATCH($O488,Items!$A$2:$A$1032,0))</f>
        <v>#N/A</v>
      </c>
      <c r="Q488" t="e">
        <f>INDEX(Items!C$2:C$1032,MATCH($O488,Items!$A$2:$A$1032,0))</f>
        <v>#N/A</v>
      </c>
      <c r="R488" t="e">
        <f>INDEX(Items!D$2:D$1032,MATCH($O488,Items!$A$2:$A$1032,0))</f>
        <v>#N/A</v>
      </c>
    </row>
    <row r="489" spans="1:18" x14ac:dyDescent="0.25">
      <c r="A489">
        <f t="shared" si="37"/>
        <v>1</v>
      </c>
      <c r="B489" t="str">
        <f t="shared" si="38"/>
        <v/>
      </c>
      <c r="C489">
        <f t="shared" si="40"/>
        <v>1</v>
      </c>
      <c r="D489" s="4"/>
      <c r="E489" t="s">
        <v>18</v>
      </c>
      <c r="F489" t="str">
        <f>INDEX(Establishment!B$2:B$1005,MATCH($E489,Establishment!$A$2:$A$1005,0))</f>
        <v xml:space="preserve"> </v>
      </c>
      <c r="G489" t="str">
        <f>INDEX(Establishment!C$2:C$1005,MATCH($E489,Establishment!$A$2:$A$1005,0))</f>
        <v xml:space="preserve"> </v>
      </c>
      <c r="M489">
        <f t="shared" si="41"/>
        <v>0</v>
      </c>
      <c r="N489">
        <f t="shared" si="39"/>
        <v>0</v>
      </c>
      <c r="P489" t="e">
        <f>INDEX(Items!B$2:B$1032,MATCH($O489,Items!$A$2:$A$1032,0))</f>
        <v>#N/A</v>
      </c>
      <c r="Q489" t="e">
        <f>INDEX(Items!C$2:C$1032,MATCH($O489,Items!$A$2:$A$1032,0))</f>
        <v>#N/A</v>
      </c>
      <c r="R489" t="e">
        <f>INDEX(Items!D$2:D$1032,MATCH($O489,Items!$A$2:$A$1032,0))</f>
        <v>#N/A</v>
      </c>
    </row>
    <row r="490" spans="1:18" x14ac:dyDescent="0.25">
      <c r="A490">
        <f t="shared" si="37"/>
        <v>1</v>
      </c>
      <c r="B490" t="str">
        <f t="shared" si="38"/>
        <v/>
      </c>
      <c r="C490">
        <f t="shared" si="40"/>
        <v>1</v>
      </c>
      <c r="D490" s="4"/>
      <c r="E490" t="s">
        <v>18</v>
      </c>
      <c r="F490" t="str">
        <f>INDEX(Establishment!B$2:B$1005,MATCH($E490,Establishment!$A$2:$A$1005,0))</f>
        <v xml:space="preserve"> </v>
      </c>
      <c r="G490" t="str">
        <f>INDEX(Establishment!C$2:C$1005,MATCH($E490,Establishment!$A$2:$A$1005,0))</f>
        <v xml:space="preserve"> </v>
      </c>
      <c r="M490">
        <f t="shared" si="41"/>
        <v>0</v>
      </c>
      <c r="N490">
        <f t="shared" si="39"/>
        <v>0</v>
      </c>
      <c r="P490" t="e">
        <f>INDEX(Items!B$2:B$1032,MATCH($O490,Items!$A$2:$A$1032,0))</f>
        <v>#N/A</v>
      </c>
      <c r="Q490" t="e">
        <f>INDEX(Items!C$2:C$1032,MATCH($O490,Items!$A$2:$A$1032,0))</f>
        <v>#N/A</v>
      </c>
      <c r="R490" t="e">
        <f>INDEX(Items!D$2:D$1032,MATCH($O490,Items!$A$2:$A$1032,0))</f>
        <v>#N/A</v>
      </c>
    </row>
    <row r="491" spans="1:18" x14ac:dyDescent="0.25">
      <c r="A491">
        <f t="shared" si="37"/>
        <v>1</v>
      </c>
      <c r="B491" t="str">
        <f t="shared" si="38"/>
        <v/>
      </c>
      <c r="C491">
        <f t="shared" si="40"/>
        <v>1</v>
      </c>
      <c r="D491" s="4"/>
      <c r="E491" t="s">
        <v>18</v>
      </c>
      <c r="F491" t="str">
        <f>INDEX(Establishment!B$2:B$1005,MATCH($E491,Establishment!$A$2:$A$1005,0))</f>
        <v xml:space="preserve"> </v>
      </c>
      <c r="G491" t="str">
        <f>INDEX(Establishment!C$2:C$1005,MATCH($E491,Establishment!$A$2:$A$1005,0))</f>
        <v xml:space="preserve"> </v>
      </c>
      <c r="M491">
        <f t="shared" si="41"/>
        <v>0</v>
      </c>
      <c r="N491">
        <f t="shared" si="39"/>
        <v>0</v>
      </c>
      <c r="P491" t="e">
        <f>INDEX(Items!B$2:B$1032,MATCH($O491,Items!$A$2:$A$1032,0))</f>
        <v>#N/A</v>
      </c>
      <c r="Q491" t="e">
        <f>INDEX(Items!C$2:C$1032,MATCH($O491,Items!$A$2:$A$1032,0))</f>
        <v>#N/A</v>
      </c>
      <c r="R491" t="e">
        <f>INDEX(Items!D$2:D$1032,MATCH($O491,Items!$A$2:$A$1032,0))</f>
        <v>#N/A</v>
      </c>
    </row>
    <row r="492" spans="1:18" x14ac:dyDescent="0.25">
      <c r="A492">
        <f t="shared" si="37"/>
        <v>1</v>
      </c>
      <c r="B492" t="str">
        <f t="shared" si="38"/>
        <v/>
      </c>
      <c r="C492">
        <f t="shared" si="40"/>
        <v>1</v>
      </c>
      <c r="D492" s="4"/>
      <c r="E492" t="s">
        <v>18</v>
      </c>
      <c r="F492" t="str">
        <f>INDEX(Establishment!B$2:B$1005,MATCH($E492,Establishment!$A$2:$A$1005,0))</f>
        <v xml:space="preserve"> </v>
      </c>
      <c r="G492" t="str">
        <f>INDEX(Establishment!C$2:C$1005,MATCH($E492,Establishment!$A$2:$A$1005,0))</f>
        <v xml:space="preserve"> </v>
      </c>
      <c r="M492">
        <f t="shared" si="41"/>
        <v>0</v>
      </c>
      <c r="N492">
        <f t="shared" si="39"/>
        <v>0</v>
      </c>
      <c r="P492" t="e">
        <f>INDEX(Items!B$2:B$1032,MATCH($O492,Items!$A$2:$A$1032,0))</f>
        <v>#N/A</v>
      </c>
      <c r="Q492" t="e">
        <f>INDEX(Items!C$2:C$1032,MATCH($O492,Items!$A$2:$A$1032,0))</f>
        <v>#N/A</v>
      </c>
      <c r="R492" t="e">
        <f>INDEX(Items!D$2:D$1032,MATCH($O492,Items!$A$2:$A$1032,0))</f>
        <v>#N/A</v>
      </c>
    </row>
    <row r="493" spans="1:18" x14ac:dyDescent="0.25">
      <c r="A493">
        <f t="shared" si="37"/>
        <v>1</v>
      </c>
      <c r="B493" t="str">
        <f t="shared" si="38"/>
        <v/>
      </c>
      <c r="C493">
        <f t="shared" si="40"/>
        <v>1</v>
      </c>
      <c r="D493" s="4"/>
      <c r="E493" t="s">
        <v>18</v>
      </c>
      <c r="F493" t="str">
        <f>INDEX(Establishment!B$2:B$1005,MATCH($E493,Establishment!$A$2:$A$1005,0))</f>
        <v xml:space="preserve"> </v>
      </c>
      <c r="G493" t="str">
        <f>INDEX(Establishment!C$2:C$1005,MATCH($E493,Establishment!$A$2:$A$1005,0))</f>
        <v xml:space="preserve"> </v>
      </c>
      <c r="M493">
        <f t="shared" si="41"/>
        <v>0</v>
      </c>
      <c r="N493">
        <f t="shared" si="39"/>
        <v>0</v>
      </c>
      <c r="P493" t="e">
        <f>INDEX(Items!B$2:B$1032,MATCH($O493,Items!$A$2:$A$1032,0))</f>
        <v>#N/A</v>
      </c>
      <c r="Q493" t="e">
        <f>INDEX(Items!C$2:C$1032,MATCH($O493,Items!$A$2:$A$1032,0))</f>
        <v>#N/A</v>
      </c>
      <c r="R493" t="e">
        <f>INDEX(Items!D$2:D$1032,MATCH($O493,Items!$A$2:$A$1032,0))</f>
        <v>#N/A</v>
      </c>
    </row>
    <row r="494" spans="1:18" x14ac:dyDescent="0.25">
      <c r="A494">
        <f t="shared" si="37"/>
        <v>1</v>
      </c>
      <c r="B494" t="str">
        <f t="shared" si="38"/>
        <v/>
      </c>
      <c r="C494">
        <f t="shared" si="40"/>
        <v>1</v>
      </c>
      <c r="D494" s="4"/>
      <c r="E494" t="s">
        <v>18</v>
      </c>
      <c r="F494" t="str">
        <f>INDEX(Establishment!B$2:B$1005,MATCH($E494,Establishment!$A$2:$A$1005,0))</f>
        <v xml:space="preserve"> </v>
      </c>
      <c r="G494" t="str">
        <f>INDEX(Establishment!C$2:C$1005,MATCH($E494,Establishment!$A$2:$A$1005,0))</f>
        <v xml:space="preserve"> </v>
      </c>
      <c r="M494">
        <f t="shared" si="41"/>
        <v>0</v>
      </c>
      <c r="N494">
        <f t="shared" si="39"/>
        <v>0</v>
      </c>
      <c r="P494" t="e">
        <f>INDEX(Items!B$2:B$1032,MATCH($O494,Items!$A$2:$A$1032,0))</f>
        <v>#N/A</v>
      </c>
      <c r="Q494" t="e">
        <f>INDEX(Items!C$2:C$1032,MATCH($O494,Items!$A$2:$A$1032,0))</f>
        <v>#N/A</v>
      </c>
      <c r="R494" t="e">
        <f>INDEX(Items!D$2:D$1032,MATCH($O494,Items!$A$2:$A$1032,0))</f>
        <v>#N/A</v>
      </c>
    </row>
    <row r="495" spans="1:18" x14ac:dyDescent="0.25">
      <c r="A495">
        <f t="shared" si="37"/>
        <v>1</v>
      </c>
      <c r="B495" t="str">
        <f t="shared" si="38"/>
        <v/>
      </c>
      <c r="C495">
        <f t="shared" si="40"/>
        <v>1</v>
      </c>
      <c r="D495" s="4"/>
      <c r="E495" t="s">
        <v>18</v>
      </c>
      <c r="F495" t="str">
        <f>INDEX(Establishment!B$2:B$1005,MATCH($E495,Establishment!$A$2:$A$1005,0))</f>
        <v xml:space="preserve"> </v>
      </c>
      <c r="G495" t="str">
        <f>INDEX(Establishment!C$2:C$1005,MATCH($E495,Establishment!$A$2:$A$1005,0))</f>
        <v xml:space="preserve"> </v>
      </c>
      <c r="M495">
        <f t="shared" si="41"/>
        <v>0</v>
      </c>
      <c r="N495">
        <f t="shared" si="39"/>
        <v>0</v>
      </c>
      <c r="P495" t="e">
        <f>INDEX(Items!B$2:B$1032,MATCH($O495,Items!$A$2:$A$1032,0))</f>
        <v>#N/A</v>
      </c>
      <c r="Q495" t="e">
        <f>INDEX(Items!C$2:C$1032,MATCH($O495,Items!$A$2:$A$1032,0))</f>
        <v>#N/A</v>
      </c>
      <c r="R495" t="e">
        <f>INDEX(Items!D$2:D$1032,MATCH($O495,Items!$A$2:$A$1032,0))</f>
        <v>#N/A</v>
      </c>
    </row>
    <row r="496" spans="1:18" x14ac:dyDescent="0.25">
      <c r="A496">
        <f t="shared" si="37"/>
        <v>1</v>
      </c>
      <c r="B496" t="str">
        <f t="shared" si="38"/>
        <v/>
      </c>
      <c r="C496">
        <f t="shared" si="40"/>
        <v>1</v>
      </c>
      <c r="D496" s="4"/>
      <c r="E496" t="s">
        <v>18</v>
      </c>
      <c r="F496" t="str">
        <f>INDEX(Establishment!B$2:B$1005,MATCH($E496,Establishment!$A$2:$A$1005,0))</f>
        <v xml:space="preserve"> </v>
      </c>
      <c r="G496" t="str">
        <f>INDEX(Establishment!C$2:C$1005,MATCH($E496,Establishment!$A$2:$A$1005,0))</f>
        <v xml:space="preserve"> </v>
      </c>
      <c r="M496">
        <f t="shared" si="41"/>
        <v>0</v>
      </c>
      <c r="N496">
        <f t="shared" si="39"/>
        <v>0</v>
      </c>
      <c r="P496" t="e">
        <f>INDEX(Items!B$2:B$1032,MATCH($O496,Items!$A$2:$A$1032,0))</f>
        <v>#N/A</v>
      </c>
      <c r="Q496" t="e">
        <f>INDEX(Items!C$2:C$1032,MATCH($O496,Items!$A$2:$A$1032,0))</f>
        <v>#N/A</v>
      </c>
      <c r="R496" t="e">
        <f>INDEX(Items!D$2:D$1032,MATCH($O496,Items!$A$2:$A$1032,0))</f>
        <v>#N/A</v>
      </c>
    </row>
    <row r="497" spans="1:18" x14ac:dyDescent="0.25">
      <c r="A497">
        <f t="shared" si="37"/>
        <v>1</v>
      </c>
      <c r="B497" t="str">
        <f t="shared" si="38"/>
        <v/>
      </c>
      <c r="C497">
        <f t="shared" si="40"/>
        <v>1</v>
      </c>
      <c r="D497" s="4"/>
      <c r="E497" t="s">
        <v>18</v>
      </c>
      <c r="F497" t="str">
        <f>INDEX(Establishment!B$2:B$1005,MATCH($E497,Establishment!$A$2:$A$1005,0))</f>
        <v xml:space="preserve"> </v>
      </c>
      <c r="G497" t="str">
        <f>INDEX(Establishment!C$2:C$1005,MATCH($E497,Establishment!$A$2:$A$1005,0))</f>
        <v xml:space="preserve"> </v>
      </c>
      <c r="M497">
        <f t="shared" si="41"/>
        <v>0</v>
      </c>
      <c r="N497">
        <f t="shared" si="39"/>
        <v>0</v>
      </c>
      <c r="P497" t="e">
        <f>INDEX(Items!B$2:B$1032,MATCH($O497,Items!$A$2:$A$1032,0))</f>
        <v>#N/A</v>
      </c>
      <c r="Q497" t="e">
        <f>INDEX(Items!C$2:C$1032,MATCH($O497,Items!$A$2:$A$1032,0))</f>
        <v>#N/A</v>
      </c>
      <c r="R497" t="e">
        <f>INDEX(Items!D$2:D$1032,MATCH($O497,Items!$A$2:$A$1032,0))</f>
        <v>#N/A</v>
      </c>
    </row>
    <row r="498" spans="1:18" x14ac:dyDescent="0.25">
      <c r="A498">
        <f t="shared" si="37"/>
        <v>1</v>
      </c>
      <c r="B498" t="str">
        <f t="shared" si="38"/>
        <v/>
      </c>
      <c r="C498">
        <f t="shared" si="40"/>
        <v>1</v>
      </c>
      <c r="D498" s="4"/>
      <c r="E498" t="s">
        <v>18</v>
      </c>
      <c r="F498" t="str">
        <f>INDEX(Establishment!B$2:B$1005,MATCH($E498,Establishment!$A$2:$A$1005,0))</f>
        <v xml:space="preserve"> </v>
      </c>
      <c r="G498" t="str">
        <f>INDEX(Establishment!C$2:C$1005,MATCH($E498,Establishment!$A$2:$A$1005,0))</f>
        <v xml:space="preserve"> </v>
      </c>
      <c r="M498">
        <f t="shared" si="41"/>
        <v>0</v>
      </c>
      <c r="N498">
        <f t="shared" si="39"/>
        <v>0</v>
      </c>
      <c r="P498" t="e">
        <f>INDEX(Items!B$2:B$1032,MATCH($O498,Items!$A$2:$A$1032,0))</f>
        <v>#N/A</v>
      </c>
      <c r="Q498" t="e">
        <f>INDEX(Items!C$2:C$1032,MATCH($O498,Items!$A$2:$A$1032,0))</f>
        <v>#N/A</v>
      </c>
      <c r="R498" t="e">
        <f>INDEX(Items!D$2:D$1032,MATCH($O498,Items!$A$2:$A$1032,0))</f>
        <v>#N/A</v>
      </c>
    </row>
    <row r="499" spans="1:18" x14ac:dyDescent="0.25">
      <c r="A499">
        <f t="shared" si="37"/>
        <v>1</v>
      </c>
      <c r="B499" t="str">
        <f t="shared" si="38"/>
        <v/>
      </c>
      <c r="C499">
        <f t="shared" si="40"/>
        <v>1</v>
      </c>
      <c r="D499" s="4"/>
      <c r="E499" t="s">
        <v>18</v>
      </c>
      <c r="F499" t="str">
        <f>INDEX(Establishment!B$2:B$1005,MATCH($E499,Establishment!$A$2:$A$1005,0))</f>
        <v xml:space="preserve"> </v>
      </c>
      <c r="G499" t="str">
        <f>INDEX(Establishment!C$2:C$1005,MATCH($E499,Establishment!$A$2:$A$1005,0))</f>
        <v xml:space="preserve"> </v>
      </c>
      <c r="M499">
        <f t="shared" si="41"/>
        <v>0</v>
      </c>
      <c r="N499">
        <f t="shared" si="39"/>
        <v>0</v>
      </c>
      <c r="P499" t="e">
        <f>INDEX(Items!B$2:B$1032,MATCH($O499,Items!$A$2:$A$1032,0))</f>
        <v>#N/A</v>
      </c>
      <c r="Q499" t="e">
        <f>INDEX(Items!C$2:C$1032,MATCH($O499,Items!$A$2:$A$1032,0))</f>
        <v>#N/A</v>
      </c>
      <c r="R499" t="e">
        <f>INDEX(Items!D$2:D$1032,MATCH($O499,Items!$A$2:$A$1032,0))</f>
        <v>#N/A</v>
      </c>
    </row>
  </sheetData>
  <autoFilter ref="A1:S499" xr:uid="{5F0E76B2-0B92-47EE-AE22-5D9D037037E9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2921B8DF-EC97-4F69-A334-A4CA1BD6D757}">
          <x14:formula1>
            <xm:f>Misc!$A$2:$A$8</xm:f>
          </x14:formula1>
          <xm:sqref>H1:H1048576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EDF63-2A0E-46AA-A5D3-6A8D75EBEC09}">
  <dimension ref="A1:S499"/>
  <sheetViews>
    <sheetView zoomScale="145" zoomScaleNormal="145"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bestFit="1" customWidth="1"/>
    <col min="2" max="2" width="11.140625" bestFit="1" customWidth="1"/>
    <col min="3" max="3" width="11.140625" customWidth="1"/>
    <col min="4" max="4" width="10.7109375" bestFit="1" customWidth="1"/>
    <col min="5" max="5" width="21.140625" bestFit="1" customWidth="1"/>
    <col min="6" max="6" width="13.7109375" bestFit="1" customWidth="1"/>
    <col min="7" max="7" width="9.7109375" bestFit="1" customWidth="1"/>
    <col min="8" max="8" width="13.7109375" bestFit="1" customWidth="1"/>
    <col min="9" max="9" width="8.140625" bestFit="1" customWidth="1"/>
    <col min="10" max="10" width="18.5703125" bestFit="1" customWidth="1"/>
    <col min="11" max="11" width="8.7109375" bestFit="1" customWidth="1"/>
    <col min="12" max="12" width="9.5703125" bestFit="1" customWidth="1"/>
    <col min="13" max="13" width="8.140625" bestFit="1" customWidth="1"/>
    <col min="14" max="14" width="11.140625" bestFit="1" customWidth="1"/>
    <col min="15" max="15" width="25.7109375" bestFit="1" customWidth="1"/>
    <col min="16" max="16" width="6.140625" bestFit="1" customWidth="1"/>
    <col min="17" max="17" width="12.7109375" bestFit="1" customWidth="1"/>
    <col min="18" max="18" width="7.140625" bestFit="1" customWidth="1"/>
  </cols>
  <sheetData>
    <row r="1" spans="1:19" ht="30" x14ac:dyDescent="0.25">
      <c r="A1" t="s">
        <v>0</v>
      </c>
      <c r="B1" s="2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f t="shared" ref="A2:A65" si="0">IF(OR(D2&lt;&gt;D1,D2=""),1,IF(NOT(AND(E2=E1,F2=F1,G2=G1)),A1+1,IF(OR(H2="",AND(H2&lt;&gt;"",H2&lt;&gt;H1,H1&lt;&gt;"")),A1,A1+1)))</f>
        <v>1</v>
      </c>
      <c r="B2" t="str">
        <f t="shared" ref="B2:B65" si="1">IF(D2&lt;&gt;"",TEXT(D2,"YYYYMMDD")&amp;CHAR(64+A2),"")</f>
        <v/>
      </c>
      <c r="C2">
        <f t="shared" ref="C2:C6" si="2">IF(OR(B2="",B2&lt;&gt;B10),1,C10+1)</f>
        <v>1</v>
      </c>
      <c r="D2" s="4"/>
      <c r="F2" t="e">
        <f>INDEX(Establishment!B$2:B$1005,MATCH($E2,Establishment!$A$2:$A$1005,0))</f>
        <v>#N/A</v>
      </c>
      <c r="G2" t="e">
        <f>INDEX(Establishment!C$2:C$1005,MATCH($E2,Establishment!$A$2:$A$1005,0))</f>
        <v>#N/A</v>
      </c>
      <c r="M2">
        <f t="shared" ref="M2:M6" si="3">K2*L2</f>
        <v>0</v>
      </c>
      <c r="N2">
        <f>IF(B2=B1,N1+M2,M2)</f>
        <v>0</v>
      </c>
      <c r="P2" t="e">
        <f>INDEX(Items!B$2:B$1032,MATCH($O2,Items!$A$2:$A$1032,0))</f>
        <v>#N/A</v>
      </c>
      <c r="Q2" t="e">
        <f>INDEX(Items!C$2:C$1032,MATCH($O2,Items!$A$2:$A$1032,0))</f>
        <v>#N/A</v>
      </c>
      <c r="R2" t="e">
        <f>INDEX(Items!D$2:D$1032,MATCH($O2,Items!$A$2:$A$1032,0))</f>
        <v>#N/A</v>
      </c>
    </row>
    <row r="3" spans="1:19" x14ac:dyDescent="0.25">
      <c r="A3">
        <f t="shared" si="0"/>
        <v>1</v>
      </c>
      <c r="B3" t="str">
        <f t="shared" si="1"/>
        <v/>
      </c>
      <c r="C3">
        <f t="shared" si="2"/>
        <v>1</v>
      </c>
      <c r="D3" s="4"/>
      <c r="F3" t="e">
        <f>INDEX(Establishment!B$2:B$1005,MATCH($E3,Establishment!$A$2:$A$1005,0))</f>
        <v>#N/A</v>
      </c>
      <c r="G3" t="e">
        <f>INDEX(Establishment!C$2:C$1005,MATCH($E3,Establishment!$A$2:$A$1005,0))</f>
        <v>#N/A</v>
      </c>
      <c r="M3">
        <f t="shared" si="3"/>
        <v>0</v>
      </c>
      <c r="N3">
        <f t="shared" ref="N3:N66" si="4">IF(B3=B2,N2+M3,M3)</f>
        <v>0</v>
      </c>
      <c r="P3" t="e">
        <f>INDEX(Items!B$2:B$1032,MATCH($O3,Items!$A$2:$A$1032,0))</f>
        <v>#N/A</v>
      </c>
      <c r="Q3" t="e">
        <f>INDEX(Items!C$2:C$1032,MATCH($O3,Items!$A$2:$A$1032,0))</f>
        <v>#N/A</v>
      </c>
      <c r="R3" t="e">
        <f>INDEX(Items!D$2:D$1032,MATCH($O3,Items!$A$2:$A$1032,0))</f>
        <v>#N/A</v>
      </c>
    </row>
    <row r="4" spans="1:19" x14ac:dyDescent="0.25">
      <c r="A4">
        <f t="shared" si="0"/>
        <v>1</v>
      </c>
      <c r="B4" t="str">
        <f t="shared" si="1"/>
        <v/>
      </c>
      <c r="C4">
        <f t="shared" si="2"/>
        <v>1</v>
      </c>
      <c r="D4" s="4"/>
      <c r="F4" t="e">
        <f>INDEX(Establishment!B$2:B$1005,MATCH($E4,Establishment!$A$2:$A$1005,0))</f>
        <v>#N/A</v>
      </c>
      <c r="G4" t="e">
        <f>INDEX(Establishment!C$2:C$1005,MATCH($E4,Establishment!$A$2:$A$1005,0))</f>
        <v>#N/A</v>
      </c>
      <c r="M4">
        <f t="shared" si="3"/>
        <v>0</v>
      </c>
      <c r="N4">
        <f t="shared" si="4"/>
        <v>0</v>
      </c>
      <c r="P4" t="e">
        <f>INDEX(Items!B$2:B$1032,MATCH($O4,Items!$A$2:$A$1032,0))</f>
        <v>#N/A</v>
      </c>
      <c r="Q4" t="e">
        <f>INDEX(Items!C$2:C$1032,MATCH($O4,Items!$A$2:$A$1032,0))</f>
        <v>#N/A</v>
      </c>
      <c r="R4" t="e">
        <f>INDEX(Items!D$2:D$1032,MATCH($O4,Items!$A$2:$A$1032,0))</f>
        <v>#N/A</v>
      </c>
    </row>
    <row r="5" spans="1:19" x14ac:dyDescent="0.25">
      <c r="A5">
        <f t="shared" si="0"/>
        <v>1</v>
      </c>
      <c r="B5" t="str">
        <f t="shared" si="1"/>
        <v/>
      </c>
      <c r="C5">
        <f t="shared" si="2"/>
        <v>1</v>
      </c>
      <c r="D5" s="4"/>
      <c r="F5" t="e">
        <f>INDEX(Establishment!B$2:B$1005,MATCH($E5,Establishment!$A$2:$A$1005,0))</f>
        <v>#N/A</v>
      </c>
      <c r="G5" t="e">
        <f>INDEX(Establishment!C$2:C$1005,MATCH($E5,Establishment!$A$2:$A$1005,0))</f>
        <v>#N/A</v>
      </c>
      <c r="M5">
        <f t="shared" si="3"/>
        <v>0</v>
      </c>
      <c r="N5">
        <f t="shared" si="4"/>
        <v>0</v>
      </c>
      <c r="P5" t="e">
        <f>INDEX(Items!B$2:B$1032,MATCH($O5,Items!$A$2:$A$1032,0))</f>
        <v>#N/A</v>
      </c>
      <c r="Q5" t="e">
        <f>INDEX(Items!C$2:C$1032,MATCH($O5,Items!$A$2:$A$1032,0))</f>
        <v>#N/A</v>
      </c>
      <c r="R5" t="e">
        <f>INDEX(Items!D$2:D$1032,MATCH($O5,Items!$A$2:$A$1032,0))</f>
        <v>#N/A</v>
      </c>
    </row>
    <row r="6" spans="1:19" x14ac:dyDescent="0.25">
      <c r="A6">
        <f t="shared" si="0"/>
        <v>1</v>
      </c>
      <c r="B6" t="str">
        <f t="shared" si="1"/>
        <v/>
      </c>
      <c r="C6">
        <f t="shared" si="2"/>
        <v>1</v>
      </c>
      <c r="D6" s="4"/>
      <c r="F6" t="e">
        <f>INDEX(Establishment!B$2:B$1005,MATCH($E6,Establishment!$A$2:$A$1005,0))</f>
        <v>#N/A</v>
      </c>
      <c r="G6" t="e">
        <f>INDEX(Establishment!C$2:C$1005,MATCH($E6,Establishment!$A$2:$A$1005,0))</f>
        <v>#N/A</v>
      </c>
      <c r="M6">
        <f t="shared" si="3"/>
        <v>0</v>
      </c>
      <c r="N6">
        <f t="shared" si="4"/>
        <v>0</v>
      </c>
      <c r="P6" t="e">
        <f>INDEX(Items!B$2:B$1032,MATCH($O6,Items!$A$2:$A$1032,0))</f>
        <v>#N/A</v>
      </c>
      <c r="Q6" t="e">
        <f>INDEX(Items!C$2:C$1032,MATCH($O6,Items!$A$2:$A$1032,0))</f>
        <v>#N/A</v>
      </c>
      <c r="R6" t="e">
        <f>INDEX(Items!D$2:D$1032,MATCH($O6,Items!$A$2:$A$1032,0))</f>
        <v>#N/A</v>
      </c>
    </row>
    <row r="7" spans="1:19" x14ac:dyDescent="0.25">
      <c r="A7">
        <f t="shared" si="0"/>
        <v>1</v>
      </c>
      <c r="B7" t="str">
        <f t="shared" si="1"/>
        <v/>
      </c>
      <c r="C7">
        <f>IF(OR(B7="",B7&lt;&gt;B15),1,C15+1)</f>
        <v>1</v>
      </c>
      <c r="D7" s="4"/>
      <c r="F7" t="e">
        <f>INDEX(Establishment!B$2:B$1005,MATCH($E7,Establishment!$A$2:$A$1005,0))</f>
        <v>#N/A</v>
      </c>
      <c r="G7" t="e">
        <f>INDEX(Establishment!C$2:C$1005,MATCH($E7,Establishment!$A$2:$A$1005,0))</f>
        <v>#N/A</v>
      </c>
      <c r="M7">
        <f>K7*L7</f>
        <v>0</v>
      </c>
      <c r="N7">
        <f t="shared" si="4"/>
        <v>0</v>
      </c>
      <c r="P7" t="e">
        <f>INDEX(Items!B$2:B$1032,MATCH($O7,Items!$A$2:$A$1032,0))</f>
        <v>#N/A</v>
      </c>
      <c r="Q7" t="e">
        <f>INDEX(Items!C$2:C$1032,MATCH($O7,Items!$A$2:$A$1032,0))</f>
        <v>#N/A</v>
      </c>
      <c r="R7" t="e">
        <f>INDEX(Items!D$2:D$1032,MATCH($O7,Items!$A$2:$A$1032,0))</f>
        <v>#N/A</v>
      </c>
    </row>
    <row r="8" spans="1:19" x14ac:dyDescent="0.25">
      <c r="A8">
        <f t="shared" si="0"/>
        <v>1</v>
      </c>
      <c r="B8" t="str">
        <f t="shared" si="1"/>
        <v/>
      </c>
      <c r="C8">
        <f>IF(OR(B8="",B8&lt;&gt;B7),1,C7+1)</f>
        <v>1</v>
      </c>
      <c r="D8" s="4"/>
      <c r="F8" t="e">
        <f>INDEX(Establishment!B$2:B$1005,MATCH($E8,Establishment!$A$2:$A$1005,0))</f>
        <v>#N/A</v>
      </c>
      <c r="G8" t="e">
        <f>INDEX(Establishment!C$2:C$1005,MATCH($E8,Establishment!$A$2:$A$1005,0))</f>
        <v>#N/A</v>
      </c>
      <c r="M8">
        <f>K8*L8</f>
        <v>0</v>
      </c>
      <c r="N8">
        <f t="shared" si="4"/>
        <v>0</v>
      </c>
      <c r="P8" t="e">
        <f>INDEX(Items!B$2:B$1032,MATCH($O8,Items!$A$2:$A$1032,0))</f>
        <v>#N/A</v>
      </c>
      <c r="Q8" t="e">
        <f>INDEX(Items!C$2:C$1032,MATCH($O8,Items!$A$2:$A$1032,0))</f>
        <v>#N/A</v>
      </c>
      <c r="R8" t="e">
        <f>INDEX(Items!D$2:D$1032,MATCH($O8,Items!$A$2:$A$1032,0))</f>
        <v>#N/A</v>
      </c>
    </row>
    <row r="9" spans="1:19" x14ac:dyDescent="0.25">
      <c r="A9">
        <f t="shared" si="0"/>
        <v>1</v>
      </c>
      <c r="B9" t="str">
        <f t="shared" si="1"/>
        <v/>
      </c>
      <c r="C9">
        <f>IF(OR(B9="",B9&lt;&gt;B8),1,C8+1)</f>
        <v>1</v>
      </c>
      <c r="D9" s="4"/>
      <c r="F9" t="e">
        <f>INDEX(Establishment!B$2:B$1005,MATCH($E9,Establishment!$A$2:$A$1005,0))</f>
        <v>#N/A</v>
      </c>
      <c r="G9" t="e">
        <f>INDEX(Establishment!C$2:C$1005,MATCH($E9,Establishment!$A$2:$A$1005,0))</f>
        <v>#N/A</v>
      </c>
      <c r="M9">
        <f>K9*L9</f>
        <v>0</v>
      </c>
      <c r="N9">
        <f t="shared" si="4"/>
        <v>0</v>
      </c>
      <c r="P9" t="e">
        <f>INDEX(Items!B$2:B$1032,MATCH($O9,Items!$A$2:$A$1032,0))</f>
        <v>#N/A</v>
      </c>
      <c r="Q9" t="e">
        <f>INDEX(Items!C$2:C$1032,MATCH($O9,Items!$A$2:$A$1032,0))</f>
        <v>#N/A</v>
      </c>
      <c r="R9" t="e">
        <f>INDEX(Items!D$2:D$1032,MATCH($O9,Items!$A$2:$A$1032,0))</f>
        <v>#N/A</v>
      </c>
    </row>
    <row r="10" spans="1:19" x14ac:dyDescent="0.25">
      <c r="A10">
        <f t="shared" si="0"/>
        <v>1</v>
      </c>
      <c r="B10" t="str">
        <f t="shared" si="1"/>
        <v/>
      </c>
      <c r="C10">
        <f t="shared" ref="C10:C73" si="5">IF(OR(B10="",B10&lt;&gt;B9),1,C9+1)</f>
        <v>1</v>
      </c>
      <c r="D10" s="4"/>
      <c r="F10" t="e">
        <f>INDEX(Establishment!B$2:B$1005,MATCH($E10,Establishment!$A$2:$A$1005,0))</f>
        <v>#N/A</v>
      </c>
      <c r="G10" t="e">
        <f>INDEX(Establishment!C$2:C$1005,MATCH($E10,Establishment!$A$2:$A$1005,0))</f>
        <v>#N/A</v>
      </c>
      <c r="M10">
        <f t="shared" ref="M10:M73" si="6">K10*L10</f>
        <v>0</v>
      </c>
      <c r="N10">
        <f t="shared" si="4"/>
        <v>0</v>
      </c>
      <c r="P10" t="e">
        <f>INDEX(Items!B$2:B$1032,MATCH($O10,Items!$A$2:$A$1032,0))</f>
        <v>#N/A</v>
      </c>
      <c r="Q10" t="e">
        <f>INDEX(Items!C$2:C$1032,MATCH($O10,Items!$A$2:$A$1032,0))</f>
        <v>#N/A</v>
      </c>
      <c r="R10" t="e">
        <f>INDEX(Items!D$2:D$1032,MATCH($O10,Items!$A$2:$A$1032,0))</f>
        <v>#N/A</v>
      </c>
    </row>
    <row r="11" spans="1:19" x14ac:dyDescent="0.25">
      <c r="A11">
        <f t="shared" si="0"/>
        <v>1</v>
      </c>
      <c r="B11" t="str">
        <f t="shared" si="1"/>
        <v/>
      </c>
      <c r="C11">
        <f t="shared" si="5"/>
        <v>1</v>
      </c>
      <c r="D11" s="4"/>
      <c r="F11" t="e">
        <f>INDEX(Establishment!B$2:B$1005,MATCH($E11,Establishment!$A$2:$A$1005,0))</f>
        <v>#N/A</v>
      </c>
      <c r="G11" t="e">
        <f>INDEX(Establishment!C$2:C$1005,MATCH($E11,Establishment!$A$2:$A$1005,0))</f>
        <v>#N/A</v>
      </c>
      <c r="M11">
        <f t="shared" si="6"/>
        <v>0</v>
      </c>
      <c r="N11">
        <f t="shared" si="4"/>
        <v>0</v>
      </c>
      <c r="P11" t="e">
        <f>INDEX(Items!B$2:B$1032,MATCH($O11,Items!$A$2:$A$1032,0))</f>
        <v>#N/A</v>
      </c>
      <c r="Q11" t="e">
        <f>INDEX(Items!C$2:C$1032,MATCH($O11,Items!$A$2:$A$1032,0))</f>
        <v>#N/A</v>
      </c>
      <c r="R11" t="e">
        <f>INDEX(Items!D$2:D$1032,MATCH($O11,Items!$A$2:$A$1032,0))</f>
        <v>#N/A</v>
      </c>
    </row>
    <row r="12" spans="1:19" x14ac:dyDescent="0.25">
      <c r="A12">
        <f t="shared" si="0"/>
        <v>1</v>
      </c>
      <c r="B12" t="str">
        <f t="shared" si="1"/>
        <v/>
      </c>
      <c r="C12">
        <f t="shared" si="5"/>
        <v>1</v>
      </c>
      <c r="D12" s="4"/>
      <c r="F12" t="e">
        <f>INDEX(Establishment!B$2:B$1005,MATCH($E12,Establishment!$A$2:$A$1005,0))</f>
        <v>#N/A</v>
      </c>
      <c r="G12" t="e">
        <f>INDEX(Establishment!C$2:C$1005,MATCH($E12,Establishment!$A$2:$A$1005,0))</f>
        <v>#N/A</v>
      </c>
      <c r="M12">
        <f t="shared" si="6"/>
        <v>0</v>
      </c>
      <c r="N12">
        <f t="shared" si="4"/>
        <v>0</v>
      </c>
      <c r="P12" t="e">
        <f>INDEX(Items!B$2:B$1032,MATCH($O12,Items!$A$2:$A$1032,0))</f>
        <v>#N/A</v>
      </c>
      <c r="Q12" t="e">
        <f>INDEX(Items!C$2:C$1032,MATCH($O12,Items!$A$2:$A$1032,0))</f>
        <v>#N/A</v>
      </c>
      <c r="R12" t="e">
        <f>INDEX(Items!D$2:D$1032,MATCH($O12,Items!$A$2:$A$1032,0))</f>
        <v>#N/A</v>
      </c>
    </row>
    <row r="13" spans="1:19" x14ac:dyDescent="0.25">
      <c r="A13">
        <f t="shared" si="0"/>
        <v>1</v>
      </c>
      <c r="B13" t="str">
        <f t="shared" si="1"/>
        <v/>
      </c>
      <c r="C13">
        <f t="shared" si="5"/>
        <v>1</v>
      </c>
      <c r="D13" s="4"/>
      <c r="F13" t="e">
        <f>INDEX(Establishment!B$2:B$1005,MATCH($E13,Establishment!$A$2:$A$1005,0))</f>
        <v>#N/A</v>
      </c>
      <c r="G13" t="e">
        <f>INDEX(Establishment!C$2:C$1005,MATCH($E13,Establishment!$A$2:$A$1005,0))</f>
        <v>#N/A</v>
      </c>
      <c r="M13">
        <f t="shared" si="6"/>
        <v>0</v>
      </c>
      <c r="N13">
        <f t="shared" si="4"/>
        <v>0</v>
      </c>
      <c r="P13" t="e">
        <f>INDEX(Items!B$2:B$1032,MATCH($O13,Items!$A$2:$A$1032,0))</f>
        <v>#N/A</v>
      </c>
      <c r="Q13" t="e">
        <f>INDEX(Items!C$2:C$1032,MATCH($O13,Items!$A$2:$A$1032,0))</f>
        <v>#N/A</v>
      </c>
      <c r="R13" t="e">
        <f>INDEX(Items!D$2:D$1032,MATCH($O13,Items!$A$2:$A$1032,0))</f>
        <v>#N/A</v>
      </c>
    </row>
    <row r="14" spans="1:19" x14ac:dyDescent="0.25">
      <c r="A14">
        <f t="shared" si="0"/>
        <v>1</v>
      </c>
      <c r="B14" t="str">
        <f t="shared" si="1"/>
        <v/>
      </c>
      <c r="C14">
        <f t="shared" si="5"/>
        <v>1</v>
      </c>
      <c r="D14" s="4"/>
      <c r="F14" t="e">
        <f>INDEX(Establishment!B$2:B$1005,MATCH($E14,Establishment!$A$2:$A$1005,0))</f>
        <v>#N/A</v>
      </c>
      <c r="G14" t="e">
        <f>INDEX(Establishment!C$2:C$1005,MATCH($E14,Establishment!$A$2:$A$1005,0))</f>
        <v>#N/A</v>
      </c>
      <c r="M14">
        <f t="shared" si="6"/>
        <v>0</v>
      </c>
      <c r="N14">
        <f t="shared" si="4"/>
        <v>0</v>
      </c>
      <c r="P14" t="e">
        <f>INDEX(Items!B$2:B$1032,MATCH($O14,Items!$A$2:$A$1032,0))</f>
        <v>#N/A</v>
      </c>
      <c r="Q14" t="e">
        <f>INDEX(Items!C$2:C$1032,MATCH($O14,Items!$A$2:$A$1032,0))</f>
        <v>#N/A</v>
      </c>
      <c r="R14" t="e">
        <f>INDEX(Items!D$2:D$1032,MATCH($O14,Items!$A$2:$A$1032,0))</f>
        <v>#N/A</v>
      </c>
    </row>
    <row r="15" spans="1:19" x14ac:dyDescent="0.25">
      <c r="A15">
        <f t="shared" si="0"/>
        <v>1</v>
      </c>
      <c r="B15" t="str">
        <f t="shared" si="1"/>
        <v/>
      </c>
      <c r="C15">
        <f t="shared" si="5"/>
        <v>1</v>
      </c>
      <c r="D15" s="4"/>
      <c r="F15" t="e">
        <f>INDEX(Establishment!B$2:B$1005,MATCH($E15,Establishment!$A$2:$A$1005,0))</f>
        <v>#N/A</v>
      </c>
      <c r="G15" t="e">
        <f>INDEX(Establishment!C$2:C$1005,MATCH($E15,Establishment!$A$2:$A$1005,0))</f>
        <v>#N/A</v>
      </c>
      <c r="M15">
        <f>K15*L15</f>
        <v>0</v>
      </c>
      <c r="N15">
        <f t="shared" si="4"/>
        <v>0</v>
      </c>
      <c r="P15" t="e">
        <f>INDEX(Items!B$2:B$1032,MATCH($O15,Items!$A$2:$A$1032,0))</f>
        <v>#N/A</v>
      </c>
      <c r="Q15" t="e">
        <f>INDEX(Items!C$2:C$1032,MATCH($O15,Items!$A$2:$A$1032,0))</f>
        <v>#N/A</v>
      </c>
      <c r="R15" t="e">
        <f>INDEX(Items!D$2:D$1032,MATCH($O15,Items!$A$2:$A$1032,0))</f>
        <v>#N/A</v>
      </c>
    </row>
    <row r="16" spans="1:19" x14ac:dyDescent="0.25">
      <c r="A16">
        <f t="shared" si="0"/>
        <v>1</v>
      </c>
      <c r="B16" t="str">
        <f t="shared" si="1"/>
        <v/>
      </c>
      <c r="C16">
        <f t="shared" si="5"/>
        <v>1</v>
      </c>
      <c r="D16" s="4"/>
      <c r="F16" t="e">
        <f>INDEX(Establishment!B$2:B$1005,MATCH($E16,Establishment!$A$2:$A$1005,0))</f>
        <v>#N/A</v>
      </c>
      <c r="G16" t="e">
        <f>INDEX(Establishment!C$2:C$1005,MATCH($E16,Establishment!$A$2:$A$1005,0))</f>
        <v>#N/A</v>
      </c>
      <c r="M16">
        <f t="shared" si="6"/>
        <v>0</v>
      </c>
      <c r="N16">
        <f t="shared" si="4"/>
        <v>0</v>
      </c>
      <c r="P16" t="e">
        <f>INDEX(Items!B$2:B$1032,MATCH($O16,Items!$A$2:$A$1032,0))</f>
        <v>#N/A</v>
      </c>
      <c r="Q16" t="e">
        <f>INDEX(Items!C$2:C$1032,MATCH($O16,Items!$A$2:$A$1032,0))</f>
        <v>#N/A</v>
      </c>
      <c r="R16" t="e">
        <f>INDEX(Items!D$2:D$1032,MATCH($O16,Items!$A$2:$A$1032,0))</f>
        <v>#N/A</v>
      </c>
    </row>
    <row r="17" spans="1:18" x14ac:dyDescent="0.25">
      <c r="A17">
        <f t="shared" si="0"/>
        <v>1</v>
      </c>
      <c r="B17" t="str">
        <f t="shared" si="1"/>
        <v/>
      </c>
      <c r="C17">
        <f t="shared" si="5"/>
        <v>1</v>
      </c>
      <c r="D17" s="4"/>
      <c r="F17" t="e">
        <f>INDEX(Establishment!B$2:B$1005,MATCH($E17,Establishment!$A$2:$A$1005,0))</f>
        <v>#N/A</v>
      </c>
      <c r="G17" t="e">
        <f>INDEX(Establishment!C$2:C$1005,MATCH($E17,Establishment!$A$2:$A$1005,0))</f>
        <v>#N/A</v>
      </c>
      <c r="M17">
        <f t="shared" si="6"/>
        <v>0</v>
      </c>
      <c r="N17">
        <f t="shared" si="4"/>
        <v>0</v>
      </c>
      <c r="P17" t="e">
        <f>INDEX(Items!B$2:B$1032,MATCH($O17,Items!$A$2:$A$1032,0))</f>
        <v>#N/A</v>
      </c>
      <c r="Q17" t="e">
        <f>INDEX(Items!C$2:C$1032,MATCH($O17,Items!$A$2:$A$1032,0))</f>
        <v>#N/A</v>
      </c>
      <c r="R17" t="e">
        <f>INDEX(Items!D$2:D$1032,MATCH($O17,Items!$A$2:$A$1032,0))</f>
        <v>#N/A</v>
      </c>
    </row>
    <row r="18" spans="1:18" x14ac:dyDescent="0.25">
      <c r="A18">
        <f t="shared" si="0"/>
        <v>1</v>
      </c>
      <c r="B18" t="str">
        <f t="shared" si="1"/>
        <v/>
      </c>
      <c r="C18">
        <f t="shared" si="5"/>
        <v>1</v>
      </c>
      <c r="D18" s="4"/>
      <c r="F18" t="e">
        <f>INDEX(Establishment!B$2:B$1005,MATCH($E18,Establishment!$A$2:$A$1005,0))</f>
        <v>#N/A</v>
      </c>
      <c r="G18" t="e">
        <f>INDEX(Establishment!C$2:C$1005,MATCH($E18,Establishment!$A$2:$A$1005,0))</f>
        <v>#N/A</v>
      </c>
      <c r="M18">
        <f t="shared" si="6"/>
        <v>0</v>
      </c>
      <c r="N18">
        <f t="shared" si="4"/>
        <v>0</v>
      </c>
      <c r="P18" t="e">
        <f>INDEX(Items!B$2:B$1032,MATCH($O18,Items!$A$2:$A$1032,0))</f>
        <v>#N/A</v>
      </c>
      <c r="Q18" t="e">
        <f>INDEX(Items!C$2:C$1032,MATCH($O18,Items!$A$2:$A$1032,0))</f>
        <v>#N/A</v>
      </c>
      <c r="R18" t="e">
        <f>INDEX(Items!D$2:D$1032,MATCH($O18,Items!$A$2:$A$1032,0))</f>
        <v>#N/A</v>
      </c>
    </row>
    <row r="19" spans="1:18" x14ac:dyDescent="0.25">
      <c r="A19">
        <f t="shared" si="0"/>
        <v>1</v>
      </c>
      <c r="B19" t="str">
        <f t="shared" si="1"/>
        <v/>
      </c>
      <c r="C19">
        <f t="shared" si="5"/>
        <v>1</v>
      </c>
      <c r="D19" s="4"/>
      <c r="F19" t="e">
        <f>INDEX(Establishment!B$2:B$1005,MATCH($E19,Establishment!$A$2:$A$1005,0))</f>
        <v>#N/A</v>
      </c>
      <c r="G19" t="e">
        <f>INDEX(Establishment!C$2:C$1005,MATCH($E19,Establishment!$A$2:$A$1005,0))</f>
        <v>#N/A</v>
      </c>
      <c r="M19">
        <f t="shared" si="6"/>
        <v>0</v>
      </c>
      <c r="N19">
        <f t="shared" si="4"/>
        <v>0</v>
      </c>
      <c r="P19" t="e">
        <f>INDEX(Items!B$2:B$1032,MATCH($O19,Items!$A$2:$A$1032,0))</f>
        <v>#N/A</v>
      </c>
      <c r="Q19" t="e">
        <f>INDEX(Items!C$2:C$1032,MATCH($O19,Items!$A$2:$A$1032,0))</f>
        <v>#N/A</v>
      </c>
      <c r="R19" t="e">
        <f>INDEX(Items!D$2:D$1032,MATCH($O19,Items!$A$2:$A$1032,0))</f>
        <v>#N/A</v>
      </c>
    </row>
    <row r="20" spans="1:18" x14ac:dyDescent="0.25">
      <c r="A20">
        <f t="shared" si="0"/>
        <v>1</v>
      </c>
      <c r="B20" t="str">
        <f t="shared" si="1"/>
        <v/>
      </c>
      <c r="C20">
        <f t="shared" si="5"/>
        <v>1</v>
      </c>
      <c r="D20" s="4"/>
      <c r="F20" t="e">
        <f>INDEX(Establishment!B$2:B$1005,MATCH($E20,Establishment!$A$2:$A$1005,0))</f>
        <v>#N/A</v>
      </c>
      <c r="G20" t="e">
        <f>INDEX(Establishment!C$2:C$1005,MATCH($E20,Establishment!$A$2:$A$1005,0))</f>
        <v>#N/A</v>
      </c>
      <c r="M20">
        <f t="shared" si="6"/>
        <v>0</v>
      </c>
      <c r="N20">
        <f t="shared" si="4"/>
        <v>0</v>
      </c>
      <c r="P20" t="e">
        <f>INDEX(Items!B$2:B$1032,MATCH($O20,Items!$A$2:$A$1032,0))</f>
        <v>#N/A</v>
      </c>
      <c r="Q20" t="e">
        <f>INDEX(Items!C$2:C$1032,MATCH($O20,Items!$A$2:$A$1032,0))</f>
        <v>#N/A</v>
      </c>
      <c r="R20" t="e">
        <f>INDEX(Items!D$2:D$1032,MATCH($O20,Items!$A$2:$A$1032,0))</f>
        <v>#N/A</v>
      </c>
    </row>
    <row r="21" spans="1:18" x14ac:dyDescent="0.25">
      <c r="A21">
        <f t="shared" si="0"/>
        <v>1</v>
      </c>
      <c r="B21" t="str">
        <f t="shared" si="1"/>
        <v/>
      </c>
      <c r="C21">
        <f t="shared" si="5"/>
        <v>1</v>
      </c>
      <c r="D21" s="4"/>
      <c r="F21" t="e">
        <f>INDEX(Establishment!B$2:B$1005,MATCH($E21,Establishment!$A$2:$A$1005,0))</f>
        <v>#N/A</v>
      </c>
      <c r="G21" t="e">
        <f>INDEX(Establishment!C$2:C$1005,MATCH($E21,Establishment!$A$2:$A$1005,0))</f>
        <v>#N/A</v>
      </c>
      <c r="M21">
        <f t="shared" si="6"/>
        <v>0</v>
      </c>
      <c r="N21">
        <f t="shared" si="4"/>
        <v>0</v>
      </c>
      <c r="P21" t="e">
        <f>INDEX(Items!B$2:B$1032,MATCH($O21,Items!$A$2:$A$1032,0))</f>
        <v>#N/A</v>
      </c>
      <c r="Q21" t="e">
        <f>INDEX(Items!C$2:C$1032,MATCH($O21,Items!$A$2:$A$1032,0))</f>
        <v>#N/A</v>
      </c>
      <c r="R21" t="e">
        <f>INDEX(Items!D$2:D$1032,MATCH($O21,Items!$A$2:$A$1032,0))</f>
        <v>#N/A</v>
      </c>
    </row>
    <row r="22" spans="1:18" x14ac:dyDescent="0.25">
      <c r="A22">
        <f t="shared" si="0"/>
        <v>1</v>
      </c>
      <c r="B22" t="str">
        <f t="shared" si="1"/>
        <v/>
      </c>
      <c r="C22">
        <f t="shared" si="5"/>
        <v>1</v>
      </c>
      <c r="D22" s="4"/>
      <c r="F22" t="e">
        <f>INDEX(Establishment!B$2:B$1005,MATCH($E22,Establishment!$A$2:$A$1005,0))</f>
        <v>#N/A</v>
      </c>
      <c r="G22" t="e">
        <f>INDEX(Establishment!C$2:C$1005,MATCH($E22,Establishment!$A$2:$A$1005,0))</f>
        <v>#N/A</v>
      </c>
      <c r="M22">
        <f t="shared" si="6"/>
        <v>0</v>
      </c>
      <c r="N22">
        <f t="shared" si="4"/>
        <v>0</v>
      </c>
      <c r="P22" t="e">
        <f>INDEX(Items!B$2:B$1032,MATCH($O22,Items!$A$2:$A$1032,0))</f>
        <v>#N/A</v>
      </c>
      <c r="Q22" t="e">
        <f>INDEX(Items!C$2:C$1032,MATCH($O22,Items!$A$2:$A$1032,0))</f>
        <v>#N/A</v>
      </c>
      <c r="R22" t="e">
        <f>INDEX(Items!D$2:D$1032,MATCH($O22,Items!$A$2:$A$1032,0))</f>
        <v>#N/A</v>
      </c>
    </row>
    <row r="23" spans="1:18" x14ac:dyDescent="0.25">
      <c r="A23">
        <f t="shared" si="0"/>
        <v>1</v>
      </c>
      <c r="B23" t="str">
        <f t="shared" si="1"/>
        <v/>
      </c>
      <c r="C23">
        <f t="shared" si="5"/>
        <v>1</v>
      </c>
      <c r="D23" s="4"/>
      <c r="F23" t="e">
        <f>INDEX(Establishment!B$2:B$1005,MATCH($E23,Establishment!$A$2:$A$1005,0))</f>
        <v>#N/A</v>
      </c>
      <c r="G23" t="e">
        <f>INDEX(Establishment!C$2:C$1005,MATCH($E23,Establishment!$A$2:$A$1005,0))</f>
        <v>#N/A</v>
      </c>
      <c r="M23">
        <f t="shared" si="6"/>
        <v>0</v>
      </c>
      <c r="N23">
        <f t="shared" si="4"/>
        <v>0</v>
      </c>
      <c r="P23" t="e">
        <f>INDEX(Items!B$2:B$1032,MATCH($O23,Items!$A$2:$A$1032,0))</f>
        <v>#N/A</v>
      </c>
      <c r="Q23" t="e">
        <f>INDEX(Items!C$2:C$1032,MATCH($O23,Items!$A$2:$A$1032,0))</f>
        <v>#N/A</v>
      </c>
      <c r="R23" t="e">
        <f>INDEX(Items!D$2:D$1032,MATCH($O23,Items!$A$2:$A$1032,0))</f>
        <v>#N/A</v>
      </c>
    </row>
    <row r="24" spans="1:18" x14ac:dyDescent="0.25">
      <c r="A24">
        <f t="shared" si="0"/>
        <v>1</v>
      </c>
      <c r="B24" t="str">
        <f t="shared" si="1"/>
        <v/>
      </c>
      <c r="C24">
        <f t="shared" si="5"/>
        <v>1</v>
      </c>
      <c r="D24" s="4"/>
      <c r="F24" t="e">
        <f>INDEX(Establishment!B$2:B$1005,MATCH($E24,Establishment!$A$2:$A$1005,0))</f>
        <v>#N/A</v>
      </c>
      <c r="G24" t="e">
        <f>INDEX(Establishment!C$2:C$1005,MATCH($E24,Establishment!$A$2:$A$1005,0))</f>
        <v>#N/A</v>
      </c>
      <c r="M24">
        <f t="shared" si="6"/>
        <v>0</v>
      </c>
      <c r="N24">
        <f t="shared" si="4"/>
        <v>0</v>
      </c>
      <c r="P24" t="e">
        <f>INDEX(Items!B$2:B$1032,MATCH($O24,Items!$A$2:$A$1032,0))</f>
        <v>#N/A</v>
      </c>
      <c r="Q24" t="e">
        <f>INDEX(Items!C$2:C$1032,MATCH($O24,Items!$A$2:$A$1032,0))</f>
        <v>#N/A</v>
      </c>
      <c r="R24" t="e">
        <f>INDEX(Items!D$2:D$1032,MATCH($O24,Items!$A$2:$A$1032,0))</f>
        <v>#N/A</v>
      </c>
    </row>
    <row r="25" spans="1:18" x14ac:dyDescent="0.25">
      <c r="A25">
        <f t="shared" si="0"/>
        <v>1</v>
      </c>
      <c r="B25" t="str">
        <f t="shared" si="1"/>
        <v/>
      </c>
      <c r="C25">
        <f t="shared" si="5"/>
        <v>1</v>
      </c>
      <c r="D25" s="4"/>
      <c r="F25" t="e">
        <f>INDEX(Establishment!B$2:B$1005,MATCH($E25,Establishment!$A$2:$A$1005,0))</f>
        <v>#N/A</v>
      </c>
      <c r="G25" t="e">
        <f>INDEX(Establishment!C$2:C$1005,MATCH($E25,Establishment!$A$2:$A$1005,0))</f>
        <v>#N/A</v>
      </c>
      <c r="M25">
        <f t="shared" si="6"/>
        <v>0</v>
      </c>
      <c r="N25">
        <f t="shared" si="4"/>
        <v>0</v>
      </c>
      <c r="P25" t="e">
        <f>INDEX(Items!B$2:B$1032,MATCH($O25,Items!$A$2:$A$1032,0))</f>
        <v>#N/A</v>
      </c>
      <c r="Q25" t="e">
        <f>INDEX(Items!C$2:C$1032,MATCH($O25,Items!$A$2:$A$1032,0))</f>
        <v>#N/A</v>
      </c>
      <c r="R25" t="e">
        <f>INDEX(Items!D$2:D$1032,MATCH($O25,Items!$A$2:$A$1032,0))</f>
        <v>#N/A</v>
      </c>
    </row>
    <row r="26" spans="1:18" x14ac:dyDescent="0.25">
      <c r="A26">
        <f t="shared" si="0"/>
        <v>1</v>
      </c>
      <c r="B26" t="str">
        <f t="shared" si="1"/>
        <v/>
      </c>
      <c r="C26">
        <f t="shared" si="5"/>
        <v>1</v>
      </c>
      <c r="D26" s="4"/>
      <c r="F26" t="s">
        <v>43</v>
      </c>
      <c r="G26" t="s">
        <v>44</v>
      </c>
      <c r="M26">
        <f t="shared" si="6"/>
        <v>0</v>
      </c>
      <c r="N26">
        <f t="shared" si="4"/>
        <v>0</v>
      </c>
      <c r="P26" t="e">
        <f>INDEX(Items!B$2:B$1032,MATCH($O26,Items!$A$2:$A$1032,0))</f>
        <v>#N/A</v>
      </c>
      <c r="Q26" t="e">
        <f>INDEX(Items!C$2:C$1032,MATCH($O26,Items!$A$2:$A$1032,0))</f>
        <v>#N/A</v>
      </c>
      <c r="R26" t="e">
        <f>INDEX(Items!D$2:D$1032,MATCH($O26,Items!$A$2:$A$1032,0))</f>
        <v>#N/A</v>
      </c>
    </row>
    <row r="27" spans="1:18" x14ac:dyDescent="0.25">
      <c r="A27">
        <f t="shared" si="0"/>
        <v>1</v>
      </c>
      <c r="B27" t="str">
        <f t="shared" si="1"/>
        <v/>
      </c>
      <c r="C27">
        <f t="shared" si="5"/>
        <v>1</v>
      </c>
      <c r="D27" s="4"/>
      <c r="F27" t="s">
        <v>43</v>
      </c>
      <c r="G27" t="s">
        <v>44</v>
      </c>
      <c r="M27">
        <f t="shared" si="6"/>
        <v>0</v>
      </c>
      <c r="N27">
        <f t="shared" si="4"/>
        <v>0</v>
      </c>
      <c r="P27" t="e">
        <f>INDEX(Items!B$2:B$1032,MATCH($O27,Items!$A$2:$A$1032,0))</f>
        <v>#N/A</v>
      </c>
      <c r="Q27" t="e">
        <f>INDEX(Items!C$2:C$1032,MATCH($O27,Items!$A$2:$A$1032,0))</f>
        <v>#N/A</v>
      </c>
      <c r="R27" t="e">
        <f>INDEX(Items!D$2:D$1032,MATCH($O27,Items!$A$2:$A$1032,0))</f>
        <v>#N/A</v>
      </c>
    </row>
    <row r="28" spans="1:18" x14ac:dyDescent="0.25">
      <c r="A28">
        <f t="shared" si="0"/>
        <v>1</v>
      </c>
      <c r="B28" t="str">
        <f t="shared" si="1"/>
        <v/>
      </c>
      <c r="C28">
        <f t="shared" si="5"/>
        <v>1</v>
      </c>
      <c r="D28" s="4"/>
      <c r="F28" t="s">
        <v>43</v>
      </c>
      <c r="G28" t="s">
        <v>44</v>
      </c>
      <c r="M28">
        <f t="shared" si="6"/>
        <v>0</v>
      </c>
      <c r="N28">
        <f t="shared" si="4"/>
        <v>0</v>
      </c>
      <c r="P28" t="e">
        <f>INDEX(Items!B$2:B$1032,MATCH($O28,Items!$A$2:$A$1032,0))</f>
        <v>#N/A</v>
      </c>
      <c r="Q28" t="e">
        <f>INDEX(Items!C$2:C$1032,MATCH($O28,Items!$A$2:$A$1032,0))</f>
        <v>#N/A</v>
      </c>
      <c r="R28" t="e">
        <f>INDEX(Items!D$2:D$1032,MATCH($O28,Items!$A$2:$A$1032,0))</f>
        <v>#N/A</v>
      </c>
    </row>
    <row r="29" spans="1:18" x14ac:dyDescent="0.25">
      <c r="A29">
        <f t="shared" si="0"/>
        <v>1</v>
      </c>
      <c r="B29" t="str">
        <f t="shared" si="1"/>
        <v/>
      </c>
      <c r="C29">
        <f t="shared" si="5"/>
        <v>1</v>
      </c>
      <c r="D29" s="4"/>
      <c r="F29" t="e">
        <f>INDEX(Establishment!B$2:B$1005,MATCH($E29,Establishment!$A$2:$A$1005,0))</f>
        <v>#N/A</v>
      </c>
      <c r="G29" t="e">
        <f>INDEX(Establishment!C$2:C$1005,MATCH($E29,Establishment!$A$2:$A$1005,0))</f>
        <v>#N/A</v>
      </c>
      <c r="M29">
        <f t="shared" si="6"/>
        <v>0</v>
      </c>
      <c r="N29">
        <f t="shared" si="4"/>
        <v>0</v>
      </c>
      <c r="P29" t="e">
        <f>INDEX(Items!B$2:B$1032,MATCH($O29,Items!$A$2:$A$1032,0))</f>
        <v>#N/A</v>
      </c>
      <c r="Q29" t="e">
        <f>INDEX(Items!C$2:C$1032,MATCH($O29,Items!$A$2:$A$1032,0))</f>
        <v>#N/A</v>
      </c>
      <c r="R29" t="e">
        <f>INDEX(Items!D$2:D$1032,MATCH($O29,Items!$A$2:$A$1032,0))</f>
        <v>#N/A</v>
      </c>
    </row>
    <row r="30" spans="1:18" x14ac:dyDescent="0.25">
      <c r="A30">
        <f t="shared" si="0"/>
        <v>1</v>
      </c>
      <c r="B30" t="str">
        <f t="shared" si="1"/>
        <v/>
      </c>
      <c r="C30">
        <f t="shared" si="5"/>
        <v>1</v>
      </c>
      <c r="D30" s="4"/>
      <c r="F30" t="e">
        <f>INDEX(Establishment!B$2:B$1005,MATCH($E30,Establishment!$A$2:$A$1005,0))</f>
        <v>#N/A</v>
      </c>
      <c r="G30" t="e">
        <f>INDEX(Establishment!C$2:C$1005,MATCH($E30,Establishment!$A$2:$A$1005,0))</f>
        <v>#N/A</v>
      </c>
      <c r="M30">
        <f t="shared" si="6"/>
        <v>0</v>
      </c>
      <c r="N30">
        <f t="shared" si="4"/>
        <v>0</v>
      </c>
      <c r="P30" t="e">
        <f>INDEX(Items!B$2:B$1032,MATCH($O30,Items!$A$2:$A$1032,0))</f>
        <v>#N/A</v>
      </c>
      <c r="Q30" t="e">
        <f>INDEX(Items!C$2:C$1032,MATCH($O30,Items!$A$2:$A$1032,0))</f>
        <v>#N/A</v>
      </c>
      <c r="R30" t="e">
        <f>INDEX(Items!D$2:D$1032,MATCH($O30,Items!$A$2:$A$1032,0))</f>
        <v>#N/A</v>
      </c>
    </row>
    <row r="31" spans="1:18" x14ac:dyDescent="0.25">
      <c r="A31">
        <f t="shared" si="0"/>
        <v>1</v>
      </c>
      <c r="B31" t="str">
        <f t="shared" si="1"/>
        <v/>
      </c>
      <c r="C31">
        <f t="shared" si="5"/>
        <v>1</v>
      </c>
      <c r="D31" s="4"/>
      <c r="F31" t="e">
        <f>INDEX(Establishment!B$2:B$1005,MATCH($E31,Establishment!$A$2:$A$1005,0))</f>
        <v>#N/A</v>
      </c>
      <c r="G31" t="e">
        <f>INDEX(Establishment!C$2:C$1005,MATCH($E31,Establishment!$A$2:$A$1005,0))</f>
        <v>#N/A</v>
      </c>
      <c r="M31">
        <f t="shared" si="6"/>
        <v>0</v>
      </c>
      <c r="N31">
        <f t="shared" si="4"/>
        <v>0</v>
      </c>
      <c r="P31" t="e">
        <f>INDEX(Items!B$2:B$1032,MATCH($O31,Items!$A$2:$A$1032,0))</f>
        <v>#N/A</v>
      </c>
      <c r="Q31" t="e">
        <f>INDEX(Items!C$2:C$1032,MATCH($O31,Items!$A$2:$A$1032,0))</f>
        <v>#N/A</v>
      </c>
      <c r="R31" t="e">
        <f>INDEX(Items!D$2:D$1032,MATCH($O31,Items!$A$2:$A$1032,0))</f>
        <v>#N/A</v>
      </c>
    </row>
    <row r="32" spans="1:18" x14ac:dyDescent="0.25">
      <c r="A32">
        <f t="shared" si="0"/>
        <v>1</v>
      </c>
      <c r="B32" t="str">
        <f t="shared" si="1"/>
        <v/>
      </c>
      <c r="C32">
        <f t="shared" si="5"/>
        <v>1</v>
      </c>
      <c r="D32" s="4"/>
      <c r="F32" t="s">
        <v>43</v>
      </c>
      <c r="G32" t="s">
        <v>46</v>
      </c>
      <c r="M32">
        <f t="shared" si="6"/>
        <v>0</v>
      </c>
      <c r="N32">
        <f t="shared" si="4"/>
        <v>0</v>
      </c>
      <c r="P32" t="e">
        <f>INDEX(Items!B$2:B$1032,MATCH($O32,Items!$A$2:$A$1032,0))</f>
        <v>#N/A</v>
      </c>
      <c r="Q32" t="e">
        <f>INDEX(Items!C$2:C$1032,MATCH($O32,Items!$A$2:$A$1032,0))</f>
        <v>#N/A</v>
      </c>
      <c r="R32" t="e">
        <f>INDEX(Items!D$2:D$1032,MATCH($O32,Items!$A$2:$A$1032,0))</f>
        <v>#N/A</v>
      </c>
    </row>
    <row r="33" spans="1:18" x14ac:dyDescent="0.25">
      <c r="A33">
        <f t="shared" si="0"/>
        <v>1</v>
      </c>
      <c r="B33" t="str">
        <f t="shared" si="1"/>
        <v/>
      </c>
      <c r="C33">
        <f t="shared" si="5"/>
        <v>1</v>
      </c>
      <c r="D33" s="4"/>
      <c r="F33" t="s">
        <v>43</v>
      </c>
      <c r="G33" t="s">
        <v>46</v>
      </c>
      <c r="M33">
        <f t="shared" si="6"/>
        <v>0</v>
      </c>
      <c r="N33">
        <f t="shared" si="4"/>
        <v>0</v>
      </c>
      <c r="P33" t="e">
        <f>INDEX(Items!B$2:B$1032,MATCH($O33,Items!$A$2:$A$1032,0))</f>
        <v>#N/A</v>
      </c>
      <c r="Q33" t="e">
        <f>INDEX(Items!C$2:C$1032,MATCH($O33,Items!$A$2:$A$1032,0))</f>
        <v>#N/A</v>
      </c>
      <c r="R33" t="e">
        <f>INDEX(Items!D$2:D$1032,MATCH($O33,Items!$A$2:$A$1032,0))</f>
        <v>#N/A</v>
      </c>
    </row>
    <row r="34" spans="1:18" x14ac:dyDescent="0.25">
      <c r="A34">
        <f t="shared" si="0"/>
        <v>1</v>
      </c>
      <c r="B34" t="str">
        <f t="shared" si="1"/>
        <v/>
      </c>
      <c r="C34">
        <f t="shared" si="5"/>
        <v>1</v>
      </c>
      <c r="D34" s="4"/>
      <c r="F34" t="s">
        <v>43</v>
      </c>
      <c r="G34" t="s">
        <v>46</v>
      </c>
      <c r="M34">
        <f t="shared" si="6"/>
        <v>0</v>
      </c>
      <c r="N34">
        <f t="shared" si="4"/>
        <v>0</v>
      </c>
      <c r="P34" t="e">
        <f>INDEX(Items!B$2:B$1032,MATCH($O34,Items!$A$2:$A$1032,0))</f>
        <v>#N/A</v>
      </c>
      <c r="Q34" t="e">
        <f>INDEX(Items!C$2:C$1032,MATCH($O34,Items!$A$2:$A$1032,0))</f>
        <v>#N/A</v>
      </c>
      <c r="R34" t="e">
        <f>INDEX(Items!D$2:D$1032,MATCH($O34,Items!$A$2:$A$1032,0))</f>
        <v>#N/A</v>
      </c>
    </row>
    <row r="35" spans="1:18" x14ac:dyDescent="0.25">
      <c r="A35">
        <f t="shared" si="0"/>
        <v>1</v>
      </c>
      <c r="B35" t="str">
        <f t="shared" si="1"/>
        <v/>
      </c>
      <c r="C35">
        <f t="shared" si="5"/>
        <v>1</v>
      </c>
      <c r="D35" s="4"/>
      <c r="F35" t="s">
        <v>43</v>
      </c>
      <c r="G35" t="s">
        <v>46</v>
      </c>
      <c r="M35">
        <f t="shared" si="6"/>
        <v>0</v>
      </c>
      <c r="N35">
        <f t="shared" si="4"/>
        <v>0</v>
      </c>
      <c r="P35" t="e">
        <f>INDEX(Items!B$2:B$1032,MATCH($O35,Items!$A$2:$A$1032,0))</f>
        <v>#N/A</v>
      </c>
      <c r="Q35" t="e">
        <f>INDEX(Items!C$2:C$1032,MATCH($O35,Items!$A$2:$A$1032,0))</f>
        <v>#N/A</v>
      </c>
      <c r="R35" t="e">
        <f>INDEX(Items!D$2:D$1032,MATCH($O35,Items!$A$2:$A$1032,0))</f>
        <v>#N/A</v>
      </c>
    </row>
    <row r="36" spans="1:18" x14ac:dyDescent="0.25">
      <c r="A36">
        <f t="shared" si="0"/>
        <v>1</v>
      </c>
      <c r="B36" t="str">
        <f t="shared" si="1"/>
        <v/>
      </c>
      <c r="C36">
        <f t="shared" si="5"/>
        <v>1</v>
      </c>
      <c r="D36" s="4"/>
      <c r="F36" t="s">
        <v>47</v>
      </c>
      <c r="G36" t="s">
        <v>46</v>
      </c>
      <c r="M36">
        <f t="shared" si="6"/>
        <v>0</v>
      </c>
      <c r="N36">
        <f t="shared" si="4"/>
        <v>0</v>
      </c>
      <c r="P36" t="e">
        <f>INDEX(Items!B$2:B$1032,MATCH($O36,Items!$A$2:$A$1032,0))</f>
        <v>#N/A</v>
      </c>
      <c r="Q36" t="e">
        <f>INDEX(Items!C$2:C$1032,MATCH($O36,Items!$A$2:$A$1032,0))</f>
        <v>#N/A</v>
      </c>
      <c r="R36" t="e">
        <f>INDEX(Items!D$2:D$1032,MATCH($O36,Items!$A$2:$A$1032,0))</f>
        <v>#N/A</v>
      </c>
    </row>
    <row r="37" spans="1:18" x14ac:dyDescent="0.25">
      <c r="A37">
        <f t="shared" si="0"/>
        <v>1</v>
      </c>
      <c r="B37" t="str">
        <f t="shared" si="1"/>
        <v/>
      </c>
      <c r="C37">
        <f t="shared" si="5"/>
        <v>1</v>
      </c>
      <c r="D37" s="4"/>
      <c r="F37" t="s">
        <v>47</v>
      </c>
      <c r="G37" t="s">
        <v>46</v>
      </c>
      <c r="M37">
        <f t="shared" si="6"/>
        <v>0</v>
      </c>
      <c r="N37">
        <f t="shared" si="4"/>
        <v>0</v>
      </c>
      <c r="P37" t="e">
        <f>INDEX(Items!B$2:B$1032,MATCH($O37,Items!$A$2:$A$1032,0))</f>
        <v>#N/A</v>
      </c>
      <c r="Q37" t="e">
        <f>INDEX(Items!C$2:C$1032,MATCH($O37,Items!$A$2:$A$1032,0))</f>
        <v>#N/A</v>
      </c>
      <c r="R37" t="e">
        <f>INDEX(Items!D$2:D$1032,MATCH($O37,Items!$A$2:$A$1032,0))</f>
        <v>#N/A</v>
      </c>
    </row>
    <row r="38" spans="1:18" x14ac:dyDescent="0.25">
      <c r="A38">
        <f t="shared" si="0"/>
        <v>1</v>
      </c>
      <c r="B38" t="str">
        <f t="shared" si="1"/>
        <v/>
      </c>
      <c r="C38">
        <f t="shared" si="5"/>
        <v>1</v>
      </c>
      <c r="D38" s="4"/>
      <c r="F38" t="s">
        <v>47</v>
      </c>
      <c r="G38" t="s">
        <v>46</v>
      </c>
      <c r="M38">
        <f t="shared" si="6"/>
        <v>0</v>
      </c>
      <c r="N38">
        <f t="shared" si="4"/>
        <v>0</v>
      </c>
      <c r="P38" t="e">
        <f>INDEX(Items!B$2:B$1032,MATCH($O38,Items!$A$2:$A$1032,0))</f>
        <v>#N/A</v>
      </c>
      <c r="Q38" t="e">
        <f>INDEX(Items!C$2:C$1032,MATCH($O38,Items!$A$2:$A$1032,0))</f>
        <v>#N/A</v>
      </c>
      <c r="R38" t="e">
        <f>INDEX(Items!D$2:D$1032,MATCH($O38,Items!$A$2:$A$1032,0))</f>
        <v>#N/A</v>
      </c>
    </row>
    <row r="39" spans="1:18" x14ac:dyDescent="0.25">
      <c r="A39">
        <f t="shared" si="0"/>
        <v>1</v>
      </c>
      <c r="B39" t="str">
        <f t="shared" si="1"/>
        <v/>
      </c>
      <c r="C39">
        <f t="shared" si="5"/>
        <v>1</v>
      </c>
      <c r="D39" s="4"/>
      <c r="F39" t="s">
        <v>47</v>
      </c>
      <c r="G39" t="s">
        <v>46</v>
      </c>
      <c r="M39">
        <f t="shared" si="6"/>
        <v>0</v>
      </c>
      <c r="N39">
        <f t="shared" si="4"/>
        <v>0</v>
      </c>
      <c r="P39" t="e">
        <f>INDEX(Items!B$2:B$1032,MATCH($O39,Items!$A$2:$A$1032,0))</f>
        <v>#N/A</v>
      </c>
      <c r="Q39" t="e">
        <f>INDEX(Items!C$2:C$1032,MATCH($O39,Items!$A$2:$A$1032,0))</f>
        <v>#N/A</v>
      </c>
      <c r="R39" t="e">
        <f>INDEX(Items!D$2:D$1032,MATCH($O39,Items!$A$2:$A$1032,0))</f>
        <v>#N/A</v>
      </c>
    </row>
    <row r="40" spans="1:18" x14ac:dyDescent="0.25">
      <c r="A40">
        <f t="shared" si="0"/>
        <v>1</v>
      </c>
      <c r="B40" t="str">
        <f t="shared" si="1"/>
        <v/>
      </c>
      <c r="C40">
        <f t="shared" si="5"/>
        <v>1</v>
      </c>
      <c r="D40" s="4"/>
      <c r="F40" t="s">
        <v>47</v>
      </c>
      <c r="G40" t="s">
        <v>46</v>
      </c>
      <c r="M40">
        <f t="shared" si="6"/>
        <v>0</v>
      </c>
      <c r="N40">
        <f t="shared" si="4"/>
        <v>0</v>
      </c>
      <c r="P40" t="e">
        <f>INDEX(Items!B$2:B$1032,MATCH($O40,Items!$A$2:$A$1032,0))</f>
        <v>#N/A</v>
      </c>
      <c r="Q40" t="e">
        <f>INDEX(Items!C$2:C$1032,MATCH($O40,Items!$A$2:$A$1032,0))</f>
        <v>#N/A</v>
      </c>
      <c r="R40" t="e">
        <f>INDEX(Items!D$2:D$1032,MATCH($O40,Items!$A$2:$A$1032,0))</f>
        <v>#N/A</v>
      </c>
    </row>
    <row r="41" spans="1:18" x14ac:dyDescent="0.25">
      <c r="A41">
        <f t="shared" si="0"/>
        <v>1</v>
      </c>
      <c r="B41" t="str">
        <f t="shared" si="1"/>
        <v/>
      </c>
      <c r="C41">
        <f t="shared" si="5"/>
        <v>1</v>
      </c>
      <c r="D41" s="4"/>
      <c r="F41" t="s">
        <v>47</v>
      </c>
      <c r="G41" t="s">
        <v>46</v>
      </c>
      <c r="M41">
        <f t="shared" si="6"/>
        <v>0</v>
      </c>
      <c r="N41">
        <f t="shared" si="4"/>
        <v>0</v>
      </c>
      <c r="P41" t="e">
        <f>INDEX(Items!B$2:B$1032,MATCH($O41,Items!$A$2:$A$1032,0))</f>
        <v>#N/A</v>
      </c>
      <c r="Q41" t="e">
        <f>INDEX(Items!C$2:C$1032,MATCH($O41,Items!$A$2:$A$1032,0))</f>
        <v>#N/A</v>
      </c>
      <c r="R41" t="e">
        <f>INDEX(Items!D$2:D$1032,MATCH($O41,Items!$A$2:$A$1032,0))</f>
        <v>#N/A</v>
      </c>
    </row>
    <row r="42" spans="1:18" x14ac:dyDescent="0.25">
      <c r="A42">
        <f t="shared" si="0"/>
        <v>1</v>
      </c>
      <c r="B42" t="str">
        <f t="shared" si="1"/>
        <v/>
      </c>
      <c r="C42">
        <f t="shared" si="5"/>
        <v>1</v>
      </c>
      <c r="D42" s="4"/>
      <c r="F42" t="s">
        <v>47</v>
      </c>
      <c r="G42" t="s">
        <v>46</v>
      </c>
      <c r="M42">
        <f t="shared" si="6"/>
        <v>0</v>
      </c>
      <c r="N42">
        <f t="shared" si="4"/>
        <v>0</v>
      </c>
      <c r="P42" t="e">
        <f>INDEX(Items!B$2:B$1032,MATCH($O42,Items!$A$2:$A$1032,0))</f>
        <v>#N/A</v>
      </c>
      <c r="Q42" t="e">
        <f>INDEX(Items!C$2:C$1032,MATCH($O42,Items!$A$2:$A$1032,0))</f>
        <v>#N/A</v>
      </c>
      <c r="R42" t="e">
        <f>INDEX(Items!D$2:D$1032,MATCH($O42,Items!$A$2:$A$1032,0))</f>
        <v>#N/A</v>
      </c>
    </row>
    <row r="43" spans="1:18" x14ac:dyDescent="0.25">
      <c r="A43">
        <f t="shared" si="0"/>
        <v>1</v>
      </c>
      <c r="B43" t="str">
        <f t="shared" si="1"/>
        <v/>
      </c>
      <c r="C43">
        <f t="shared" si="5"/>
        <v>1</v>
      </c>
      <c r="D43" s="4"/>
      <c r="F43" t="s">
        <v>47</v>
      </c>
      <c r="G43" t="s">
        <v>46</v>
      </c>
      <c r="M43">
        <f t="shared" si="6"/>
        <v>0</v>
      </c>
      <c r="N43">
        <f t="shared" si="4"/>
        <v>0</v>
      </c>
      <c r="P43" t="e">
        <f>INDEX(Items!B$2:B$1032,MATCH($O43,Items!$A$2:$A$1032,0))</f>
        <v>#N/A</v>
      </c>
      <c r="Q43" t="e">
        <f>INDEX(Items!C$2:C$1032,MATCH($O43,Items!$A$2:$A$1032,0))</f>
        <v>#N/A</v>
      </c>
      <c r="R43" t="e">
        <f>INDEX(Items!D$2:D$1032,MATCH($O43,Items!$A$2:$A$1032,0))</f>
        <v>#N/A</v>
      </c>
    </row>
    <row r="44" spans="1:18" x14ac:dyDescent="0.25">
      <c r="A44">
        <f t="shared" si="0"/>
        <v>1</v>
      </c>
      <c r="B44" t="str">
        <f t="shared" si="1"/>
        <v/>
      </c>
      <c r="C44">
        <f t="shared" si="5"/>
        <v>1</v>
      </c>
      <c r="D44" s="4"/>
      <c r="F44" t="s">
        <v>43</v>
      </c>
      <c r="G44" t="s">
        <v>48</v>
      </c>
      <c r="M44">
        <f t="shared" si="6"/>
        <v>0</v>
      </c>
      <c r="N44">
        <f t="shared" si="4"/>
        <v>0</v>
      </c>
      <c r="P44" t="e">
        <f>INDEX(Items!B$2:B$1032,MATCH($O44,Items!$A$2:$A$1032,0))</f>
        <v>#N/A</v>
      </c>
      <c r="Q44" t="e">
        <f>INDEX(Items!C$2:C$1032,MATCH($O44,Items!$A$2:$A$1032,0))</f>
        <v>#N/A</v>
      </c>
      <c r="R44" t="e">
        <f>INDEX(Items!D$2:D$1032,MATCH($O44,Items!$A$2:$A$1032,0))</f>
        <v>#N/A</v>
      </c>
    </row>
    <row r="45" spans="1:18" x14ac:dyDescent="0.25">
      <c r="A45">
        <f t="shared" si="0"/>
        <v>1</v>
      </c>
      <c r="B45" t="str">
        <f t="shared" si="1"/>
        <v/>
      </c>
      <c r="C45">
        <f t="shared" si="5"/>
        <v>1</v>
      </c>
      <c r="D45" s="4"/>
      <c r="F45" t="s">
        <v>43</v>
      </c>
      <c r="G45" t="s">
        <v>48</v>
      </c>
      <c r="M45">
        <f t="shared" si="6"/>
        <v>0</v>
      </c>
      <c r="N45">
        <f t="shared" si="4"/>
        <v>0</v>
      </c>
      <c r="P45" t="e">
        <f>INDEX(Items!B$2:B$1032,MATCH($O45,Items!$A$2:$A$1032,0))</f>
        <v>#N/A</v>
      </c>
      <c r="Q45" t="e">
        <f>INDEX(Items!C$2:C$1032,MATCH($O45,Items!$A$2:$A$1032,0))</f>
        <v>#N/A</v>
      </c>
      <c r="R45" t="e">
        <f>INDEX(Items!D$2:D$1032,MATCH($O45,Items!$A$2:$A$1032,0))</f>
        <v>#N/A</v>
      </c>
    </row>
    <row r="46" spans="1:18" x14ac:dyDescent="0.25">
      <c r="A46">
        <f t="shared" si="0"/>
        <v>1</v>
      </c>
      <c r="B46" t="str">
        <f t="shared" si="1"/>
        <v/>
      </c>
      <c r="C46">
        <f t="shared" si="5"/>
        <v>1</v>
      </c>
      <c r="D46" s="4"/>
      <c r="F46" t="e">
        <f>INDEX(Establishment!B$2:B$1005,MATCH($E46,Establishment!$A$2:$A$1005,0))</f>
        <v>#N/A</v>
      </c>
      <c r="G46" t="e">
        <f>INDEX(Establishment!C$2:C$1005,MATCH($E46,Establishment!$A$2:$A$1005,0))</f>
        <v>#N/A</v>
      </c>
      <c r="M46">
        <f t="shared" si="6"/>
        <v>0</v>
      </c>
      <c r="N46">
        <f t="shared" si="4"/>
        <v>0</v>
      </c>
      <c r="P46" t="e">
        <f>INDEX(Items!B$2:B$1032,MATCH($O46,Items!$A$2:$A$1032,0))</f>
        <v>#N/A</v>
      </c>
      <c r="Q46" t="e">
        <f>INDEX(Items!C$2:C$1032,MATCH($O46,Items!$A$2:$A$1032,0))</f>
        <v>#N/A</v>
      </c>
      <c r="R46" t="e">
        <f>INDEX(Items!D$2:D$1032,MATCH($O46,Items!$A$2:$A$1032,0))</f>
        <v>#N/A</v>
      </c>
    </row>
    <row r="47" spans="1:18" x14ac:dyDescent="0.25">
      <c r="A47">
        <f t="shared" si="0"/>
        <v>1</v>
      </c>
      <c r="B47" t="str">
        <f t="shared" si="1"/>
        <v/>
      </c>
      <c r="C47">
        <f t="shared" si="5"/>
        <v>1</v>
      </c>
      <c r="D47" s="4"/>
      <c r="F47" t="e">
        <f>INDEX(Establishment!B$2:B$1005,MATCH($E47,Establishment!$A$2:$A$1005,0))</f>
        <v>#N/A</v>
      </c>
      <c r="G47" t="e">
        <f>INDEX(Establishment!C$2:C$1005,MATCH($E47,Establishment!$A$2:$A$1005,0))</f>
        <v>#N/A</v>
      </c>
      <c r="M47">
        <f t="shared" si="6"/>
        <v>0</v>
      </c>
      <c r="N47">
        <f t="shared" si="4"/>
        <v>0</v>
      </c>
      <c r="P47" t="e">
        <f>INDEX(Items!B$2:B$1032,MATCH($O47,Items!$A$2:$A$1032,0))</f>
        <v>#N/A</v>
      </c>
      <c r="Q47" t="e">
        <f>INDEX(Items!C$2:C$1032,MATCH($O47,Items!$A$2:$A$1032,0))</f>
        <v>#N/A</v>
      </c>
      <c r="R47" t="e">
        <f>INDEX(Items!D$2:D$1032,MATCH($O47,Items!$A$2:$A$1032,0))</f>
        <v>#N/A</v>
      </c>
    </row>
    <row r="48" spans="1:18" x14ac:dyDescent="0.25">
      <c r="A48">
        <f t="shared" si="0"/>
        <v>1</v>
      </c>
      <c r="B48" t="str">
        <f t="shared" si="1"/>
        <v/>
      </c>
      <c r="C48">
        <f t="shared" si="5"/>
        <v>1</v>
      </c>
      <c r="D48" s="4"/>
      <c r="F48" t="e">
        <f>INDEX(Establishment!B$2:B$1005,MATCH($E48,Establishment!$A$2:$A$1005,0))</f>
        <v>#N/A</v>
      </c>
      <c r="G48" t="e">
        <f>INDEX(Establishment!C$2:C$1005,MATCH($E48,Establishment!$A$2:$A$1005,0))</f>
        <v>#N/A</v>
      </c>
      <c r="M48">
        <f t="shared" si="6"/>
        <v>0</v>
      </c>
      <c r="N48">
        <f t="shared" si="4"/>
        <v>0</v>
      </c>
      <c r="P48" t="e">
        <f>INDEX(Items!B$2:B$1032,MATCH($O48,Items!$A$2:$A$1032,0))</f>
        <v>#N/A</v>
      </c>
      <c r="Q48" t="e">
        <f>INDEX(Items!C$2:C$1032,MATCH($O48,Items!$A$2:$A$1032,0))</f>
        <v>#N/A</v>
      </c>
      <c r="R48" t="e">
        <f>INDEX(Items!D$2:D$1032,MATCH($O48,Items!$A$2:$A$1032,0))</f>
        <v>#N/A</v>
      </c>
    </row>
    <row r="49" spans="1:18" x14ac:dyDescent="0.25">
      <c r="A49">
        <f t="shared" si="0"/>
        <v>1</v>
      </c>
      <c r="B49" t="str">
        <f t="shared" si="1"/>
        <v/>
      </c>
      <c r="C49">
        <f t="shared" si="5"/>
        <v>1</v>
      </c>
      <c r="D49" s="4"/>
      <c r="F49" t="e">
        <f>INDEX(Establishment!B$2:B$1005,MATCH($E49,Establishment!$A$2:$A$1005,0))</f>
        <v>#N/A</v>
      </c>
      <c r="G49" t="e">
        <f>INDEX(Establishment!C$2:C$1005,MATCH($E49,Establishment!$A$2:$A$1005,0))</f>
        <v>#N/A</v>
      </c>
      <c r="M49">
        <f t="shared" si="6"/>
        <v>0</v>
      </c>
      <c r="N49">
        <f t="shared" si="4"/>
        <v>0</v>
      </c>
      <c r="P49" t="e">
        <f>INDEX(Items!B$2:B$1032,MATCH($O49,Items!$A$2:$A$1032,0))</f>
        <v>#N/A</v>
      </c>
      <c r="Q49" t="e">
        <f>INDEX(Items!C$2:C$1032,MATCH($O49,Items!$A$2:$A$1032,0))</f>
        <v>#N/A</v>
      </c>
      <c r="R49" t="e">
        <f>INDEX(Items!D$2:D$1032,MATCH($O49,Items!$A$2:$A$1032,0))</f>
        <v>#N/A</v>
      </c>
    </row>
    <row r="50" spans="1:18" x14ac:dyDescent="0.25">
      <c r="A50">
        <f t="shared" si="0"/>
        <v>1</v>
      </c>
      <c r="B50" t="str">
        <f t="shared" si="1"/>
        <v/>
      </c>
      <c r="C50">
        <f t="shared" si="5"/>
        <v>1</v>
      </c>
      <c r="D50" s="4"/>
      <c r="F50" t="e">
        <f>INDEX(Establishment!B$2:B$1005,MATCH($E50,Establishment!$A$2:$A$1005,0))</f>
        <v>#N/A</v>
      </c>
      <c r="G50" t="e">
        <f>INDEX(Establishment!C$2:C$1005,MATCH($E50,Establishment!$A$2:$A$1005,0))</f>
        <v>#N/A</v>
      </c>
      <c r="M50">
        <f t="shared" si="6"/>
        <v>0</v>
      </c>
      <c r="N50">
        <f t="shared" si="4"/>
        <v>0</v>
      </c>
      <c r="P50" t="e">
        <f>INDEX(Items!B$2:B$1032,MATCH($O50,Items!$A$2:$A$1032,0))</f>
        <v>#N/A</v>
      </c>
      <c r="Q50" t="e">
        <f>INDEX(Items!C$2:C$1032,MATCH($O50,Items!$A$2:$A$1032,0))</f>
        <v>#N/A</v>
      </c>
      <c r="R50" t="e">
        <f>INDEX(Items!D$2:D$1032,MATCH($O50,Items!$A$2:$A$1032,0))</f>
        <v>#N/A</v>
      </c>
    </row>
    <row r="51" spans="1:18" x14ac:dyDescent="0.25">
      <c r="A51">
        <f t="shared" si="0"/>
        <v>1</v>
      </c>
      <c r="B51" t="str">
        <f t="shared" si="1"/>
        <v/>
      </c>
      <c r="C51">
        <f t="shared" si="5"/>
        <v>1</v>
      </c>
      <c r="D51" s="4"/>
      <c r="F51" t="e">
        <f>INDEX(Establishment!B$2:B$1005,MATCH($E51,Establishment!$A$2:$A$1005,0))</f>
        <v>#N/A</v>
      </c>
      <c r="G51" t="e">
        <f>INDEX(Establishment!C$2:C$1005,MATCH($E51,Establishment!$A$2:$A$1005,0))</f>
        <v>#N/A</v>
      </c>
      <c r="M51">
        <f t="shared" si="6"/>
        <v>0</v>
      </c>
      <c r="N51">
        <f t="shared" si="4"/>
        <v>0</v>
      </c>
      <c r="P51" t="e">
        <f>INDEX(Items!B$2:B$1032,MATCH($O51,Items!$A$2:$A$1032,0))</f>
        <v>#N/A</v>
      </c>
      <c r="Q51" t="e">
        <f>INDEX(Items!C$2:C$1032,MATCH($O51,Items!$A$2:$A$1032,0))</f>
        <v>#N/A</v>
      </c>
      <c r="R51" t="e">
        <f>INDEX(Items!D$2:D$1032,MATCH($O51,Items!$A$2:$A$1032,0))</f>
        <v>#N/A</v>
      </c>
    </row>
    <row r="52" spans="1:18" x14ac:dyDescent="0.25">
      <c r="A52">
        <f t="shared" si="0"/>
        <v>1</v>
      </c>
      <c r="B52" t="str">
        <f t="shared" si="1"/>
        <v/>
      </c>
      <c r="C52">
        <f t="shared" si="5"/>
        <v>1</v>
      </c>
      <c r="D52" s="4"/>
      <c r="F52" t="e">
        <f>INDEX(Establishment!B$2:B$1005,MATCH($E52,Establishment!$A$2:$A$1005,0))</f>
        <v>#N/A</v>
      </c>
      <c r="G52" t="e">
        <f>INDEX(Establishment!C$2:C$1005,MATCH($E52,Establishment!$A$2:$A$1005,0))</f>
        <v>#N/A</v>
      </c>
      <c r="M52">
        <f t="shared" si="6"/>
        <v>0</v>
      </c>
      <c r="N52">
        <f t="shared" si="4"/>
        <v>0</v>
      </c>
      <c r="P52" t="e">
        <f>INDEX(Items!B$2:B$1032,MATCH($O52,Items!$A$2:$A$1032,0))</f>
        <v>#N/A</v>
      </c>
      <c r="Q52" t="e">
        <f>INDEX(Items!C$2:C$1032,MATCH($O52,Items!$A$2:$A$1032,0))</f>
        <v>#N/A</v>
      </c>
      <c r="R52" t="e">
        <f>INDEX(Items!D$2:D$1032,MATCH($O52,Items!$A$2:$A$1032,0))</f>
        <v>#N/A</v>
      </c>
    </row>
    <row r="53" spans="1:18" x14ac:dyDescent="0.25">
      <c r="A53">
        <f t="shared" si="0"/>
        <v>1</v>
      </c>
      <c r="B53" t="str">
        <f t="shared" si="1"/>
        <v/>
      </c>
      <c r="C53">
        <f t="shared" si="5"/>
        <v>1</v>
      </c>
      <c r="D53" s="4"/>
      <c r="F53" t="e">
        <f>INDEX(Establishment!B$2:B$1005,MATCH($E53,Establishment!$A$2:$A$1005,0))</f>
        <v>#N/A</v>
      </c>
      <c r="G53" t="e">
        <f>INDEX(Establishment!C$2:C$1005,MATCH($E53,Establishment!$A$2:$A$1005,0))</f>
        <v>#N/A</v>
      </c>
      <c r="M53">
        <f t="shared" si="6"/>
        <v>0</v>
      </c>
      <c r="N53">
        <f t="shared" si="4"/>
        <v>0</v>
      </c>
      <c r="P53" t="e">
        <f>INDEX(Items!B$2:B$1032,MATCH($O53,Items!$A$2:$A$1032,0))</f>
        <v>#N/A</v>
      </c>
      <c r="Q53" t="e">
        <f>INDEX(Items!C$2:C$1032,MATCH($O53,Items!$A$2:$A$1032,0))</f>
        <v>#N/A</v>
      </c>
      <c r="R53" t="e">
        <f>INDEX(Items!D$2:D$1032,MATCH($O53,Items!$A$2:$A$1032,0))</f>
        <v>#N/A</v>
      </c>
    </row>
    <row r="54" spans="1:18" x14ac:dyDescent="0.25">
      <c r="A54">
        <f t="shared" si="0"/>
        <v>1</v>
      </c>
      <c r="B54" t="str">
        <f t="shared" si="1"/>
        <v/>
      </c>
      <c r="C54">
        <f t="shared" si="5"/>
        <v>1</v>
      </c>
      <c r="D54" s="4"/>
      <c r="F54" t="e">
        <f>INDEX(Establishment!B$2:B$1005,MATCH($E54,Establishment!$A$2:$A$1005,0))</f>
        <v>#N/A</v>
      </c>
      <c r="G54" t="e">
        <f>INDEX(Establishment!C$2:C$1005,MATCH($E54,Establishment!$A$2:$A$1005,0))</f>
        <v>#N/A</v>
      </c>
      <c r="M54">
        <f t="shared" si="6"/>
        <v>0</v>
      </c>
      <c r="N54">
        <f t="shared" si="4"/>
        <v>0</v>
      </c>
      <c r="P54" t="e">
        <f>INDEX(Items!B$2:B$1032,MATCH($O54,Items!$A$2:$A$1032,0))</f>
        <v>#N/A</v>
      </c>
      <c r="Q54" t="e">
        <f>INDEX(Items!C$2:C$1032,MATCH($O54,Items!$A$2:$A$1032,0))</f>
        <v>#N/A</v>
      </c>
      <c r="R54" t="e">
        <f>INDEX(Items!D$2:D$1032,MATCH($O54,Items!$A$2:$A$1032,0))</f>
        <v>#N/A</v>
      </c>
    </row>
    <row r="55" spans="1:18" x14ac:dyDescent="0.25">
      <c r="A55">
        <f t="shared" si="0"/>
        <v>1</v>
      </c>
      <c r="B55" t="str">
        <f t="shared" si="1"/>
        <v/>
      </c>
      <c r="C55">
        <f t="shared" si="5"/>
        <v>1</v>
      </c>
      <c r="D55" s="4"/>
      <c r="F55" t="e">
        <f>INDEX(Establishment!B$2:B$1005,MATCH($E55,Establishment!$A$2:$A$1005,0))</f>
        <v>#N/A</v>
      </c>
      <c r="G55" t="e">
        <f>INDEX(Establishment!C$2:C$1005,MATCH($E55,Establishment!$A$2:$A$1005,0))</f>
        <v>#N/A</v>
      </c>
      <c r="M55">
        <f t="shared" si="6"/>
        <v>0</v>
      </c>
      <c r="N55">
        <f t="shared" si="4"/>
        <v>0</v>
      </c>
      <c r="P55" t="e">
        <f>INDEX(Items!B$2:B$1032,MATCH($O55,Items!$A$2:$A$1032,0))</f>
        <v>#N/A</v>
      </c>
      <c r="Q55" t="e">
        <f>INDEX(Items!C$2:C$1032,MATCH($O55,Items!$A$2:$A$1032,0))</f>
        <v>#N/A</v>
      </c>
      <c r="R55" t="e">
        <f>INDEX(Items!D$2:D$1032,MATCH($O55,Items!$A$2:$A$1032,0))</f>
        <v>#N/A</v>
      </c>
    </row>
    <row r="56" spans="1:18" x14ac:dyDescent="0.25">
      <c r="A56">
        <f t="shared" si="0"/>
        <v>1</v>
      </c>
      <c r="B56" t="str">
        <f t="shared" si="1"/>
        <v/>
      </c>
      <c r="C56">
        <f t="shared" si="5"/>
        <v>1</v>
      </c>
      <c r="D56" s="4"/>
      <c r="F56" t="e">
        <f>INDEX(Establishment!B$2:B$1005,MATCH($E56,Establishment!$A$2:$A$1005,0))</f>
        <v>#N/A</v>
      </c>
      <c r="G56" t="e">
        <f>INDEX(Establishment!C$2:C$1005,MATCH($E56,Establishment!$A$2:$A$1005,0))</f>
        <v>#N/A</v>
      </c>
      <c r="M56">
        <f t="shared" si="6"/>
        <v>0</v>
      </c>
      <c r="N56">
        <f t="shared" si="4"/>
        <v>0</v>
      </c>
      <c r="P56" t="e">
        <f>INDEX(Items!B$2:B$1032,MATCH($O56,Items!$A$2:$A$1032,0))</f>
        <v>#N/A</v>
      </c>
      <c r="Q56" t="e">
        <f>INDEX(Items!C$2:C$1032,MATCH($O56,Items!$A$2:$A$1032,0))</f>
        <v>#N/A</v>
      </c>
      <c r="R56" t="e">
        <f>INDEX(Items!D$2:D$1032,MATCH($O56,Items!$A$2:$A$1032,0))</f>
        <v>#N/A</v>
      </c>
    </row>
    <row r="57" spans="1:18" x14ac:dyDescent="0.25">
      <c r="A57">
        <f t="shared" si="0"/>
        <v>1</v>
      </c>
      <c r="B57" t="str">
        <f t="shared" si="1"/>
        <v/>
      </c>
      <c r="C57">
        <f t="shared" si="5"/>
        <v>1</v>
      </c>
      <c r="D57" s="4"/>
      <c r="F57" t="e">
        <f>INDEX(Establishment!B$2:B$1005,MATCH($E57,Establishment!$A$2:$A$1005,0))</f>
        <v>#N/A</v>
      </c>
      <c r="G57" t="e">
        <f>INDEX(Establishment!C$2:C$1005,MATCH($E57,Establishment!$A$2:$A$1005,0))</f>
        <v>#N/A</v>
      </c>
      <c r="M57">
        <f t="shared" si="6"/>
        <v>0</v>
      </c>
      <c r="N57">
        <f t="shared" si="4"/>
        <v>0</v>
      </c>
      <c r="P57" t="e">
        <f>INDEX(Items!B$2:B$1032,MATCH($O57,Items!$A$2:$A$1032,0))</f>
        <v>#N/A</v>
      </c>
      <c r="Q57" t="e">
        <f>INDEX(Items!C$2:C$1032,MATCH($O57,Items!$A$2:$A$1032,0))</f>
        <v>#N/A</v>
      </c>
      <c r="R57" t="e">
        <f>INDEX(Items!D$2:D$1032,MATCH($O57,Items!$A$2:$A$1032,0))</f>
        <v>#N/A</v>
      </c>
    </row>
    <row r="58" spans="1:18" x14ac:dyDescent="0.25">
      <c r="A58">
        <f t="shared" si="0"/>
        <v>1</v>
      </c>
      <c r="B58" t="str">
        <f t="shared" si="1"/>
        <v/>
      </c>
      <c r="C58">
        <f t="shared" si="5"/>
        <v>1</v>
      </c>
      <c r="D58" s="4"/>
      <c r="F58" t="e">
        <f>INDEX(Establishment!B$2:B$1005,MATCH($E58,Establishment!$A$2:$A$1005,0))</f>
        <v>#N/A</v>
      </c>
      <c r="G58" t="e">
        <f>INDEX(Establishment!C$2:C$1005,MATCH($E58,Establishment!$A$2:$A$1005,0))</f>
        <v>#N/A</v>
      </c>
      <c r="M58">
        <f t="shared" si="6"/>
        <v>0</v>
      </c>
      <c r="N58">
        <f t="shared" si="4"/>
        <v>0</v>
      </c>
      <c r="P58" t="e">
        <f>INDEX(Items!B$2:B$1032,MATCH($O58,Items!$A$2:$A$1032,0))</f>
        <v>#N/A</v>
      </c>
      <c r="Q58" t="e">
        <f>INDEX(Items!C$2:C$1032,MATCH($O58,Items!$A$2:$A$1032,0))</f>
        <v>#N/A</v>
      </c>
      <c r="R58" t="e">
        <f>INDEX(Items!D$2:D$1032,MATCH($O58,Items!$A$2:$A$1032,0))</f>
        <v>#N/A</v>
      </c>
    </row>
    <row r="59" spans="1:18" x14ac:dyDescent="0.25">
      <c r="A59">
        <f t="shared" si="0"/>
        <v>1</v>
      </c>
      <c r="B59" t="str">
        <f t="shared" si="1"/>
        <v/>
      </c>
      <c r="C59">
        <f t="shared" si="5"/>
        <v>1</v>
      </c>
      <c r="D59" s="4"/>
      <c r="F59" t="e">
        <f>INDEX(Establishment!B$2:B$1005,MATCH($E59,Establishment!$A$2:$A$1005,0))</f>
        <v>#N/A</v>
      </c>
      <c r="G59" t="e">
        <f>INDEX(Establishment!C$2:C$1005,MATCH($E59,Establishment!$A$2:$A$1005,0))</f>
        <v>#N/A</v>
      </c>
      <c r="M59">
        <f t="shared" si="6"/>
        <v>0</v>
      </c>
      <c r="N59">
        <f t="shared" si="4"/>
        <v>0</v>
      </c>
      <c r="P59" t="e">
        <f>INDEX(Items!B$2:B$1032,MATCH($O59,Items!$A$2:$A$1032,0))</f>
        <v>#N/A</v>
      </c>
      <c r="Q59" t="e">
        <f>INDEX(Items!C$2:C$1032,MATCH($O59,Items!$A$2:$A$1032,0))</f>
        <v>#N/A</v>
      </c>
      <c r="R59" t="e">
        <f>INDEX(Items!D$2:D$1032,MATCH($O59,Items!$A$2:$A$1032,0))</f>
        <v>#N/A</v>
      </c>
    </row>
    <row r="60" spans="1:18" x14ac:dyDescent="0.25">
      <c r="A60">
        <f t="shared" si="0"/>
        <v>1</v>
      </c>
      <c r="B60" t="str">
        <f t="shared" si="1"/>
        <v/>
      </c>
      <c r="C60">
        <f t="shared" si="5"/>
        <v>1</v>
      </c>
      <c r="D60" s="4"/>
      <c r="F60" t="e">
        <f>INDEX(Establishment!B$2:B$1005,MATCH($E60,Establishment!$A$2:$A$1005,0))</f>
        <v>#N/A</v>
      </c>
      <c r="G60" t="e">
        <f>INDEX(Establishment!C$2:C$1005,MATCH($E60,Establishment!$A$2:$A$1005,0))</f>
        <v>#N/A</v>
      </c>
      <c r="M60">
        <f t="shared" si="6"/>
        <v>0</v>
      </c>
      <c r="N60">
        <f t="shared" si="4"/>
        <v>0</v>
      </c>
      <c r="P60" t="e">
        <f>INDEX(Items!B$2:B$1032,MATCH($O60,Items!$A$2:$A$1032,0))</f>
        <v>#N/A</v>
      </c>
      <c r="Q60" t="e">
        <f>INDEX(Items!C$2:C$1032,MATCH($O60,Items!$A$2:$A$1032,0))</f>
        <v>#N/A</v>
      </c>
      <c r="R60" t="e">
        <f>INDEX(Items!D$2:D$1032,MATCH($O60,Items!$A$2:$A$1032,0))</f>
        <v>#N/A</v>
      </c>
    </row>
    <row r="61" spans="1:18" x14ac:dyDescent="0.25">
      <c r="A61">
        <f t="shared" si="0"/>
        <v>1</v>
      </c>
      <c r="B61" t="str">
        <f t="shared" si="1"/>
        <v/>
      </c>
      <c r="C61">
        <f t="shared" si="5"/>
        <v>1</v>
      </c>
      <c r="D61" s="4"/>
      <c r="F61" t="e">
        <f>INDEX(Establishment!B$2:B$1005,MATCH($E61,Establishment!$A$2:$A$1005,0))</f>
        <v>#N/A</v>
      </c>
      <c r="G61" t="e">
        <f>INDEX(Establishment!C$2:C$1005,MATCH($E61,Establishment!$A$2:$A$1005,0))</f>
        <v>#N/A</v>
      </c>
      <c r="M61">
        <f t="shared" si="6"/>
        <v>0</v>
      </c>
      <c r="N61">
        <f t="shared" si="4"/>
        <v>0</v>
      </c>
      <c r="P61" t="e">
        <f>INDEX(Items!B$2:B$1032,MATCH($O61,Items!$A$2:$A$1032,0))</f>
        <v>#N/A</v>
      </c>
      <c r="Q61" t="e">
        <f>INDEX(Items!C$2:C$1032,MATCH($O61,Items!$A$2:$A$1032,0))</f>
        <v>#N/A</v>
      </c>
      <c r="R61" t="e">
        <f>INDEX(Items!D$2:D$1032,MATCH($O61,Items!$A$2:$A$1032,0))</f>
        <v>#N/A</v>
      </c>
    </row>
    <row r="62" spans="1:18" x14ac:dyDescent="0.25">
      <c r="A62">
        <f t="shared" si="0"/>
        <v>1</v>
      </c>
      <c r="B62" t="str">
        <f t="shared" si="1"/>
        <v/>
      </c>
      <c r="C62">
        <f t="shared" si="5"/>
        <v>1</v>
      </c>
      <c r="D62" s="4"/>
      <c r="F62" t="e">
        <f>INDEX(Establishment!B$2:B$1005,MATCH($E62,Establishment!$A$2:$A$1005,0))</f>
        <v>#N/A</v>
      </c>
      <c r="G62" t="e">
        <f>INDEX(Establishment!C$2:C$1005,MATCH($E62,Establishment!$A$2:$A$1005,0))</f>
        <v>#N/A</v>
      </c>
      <c r="M62">
        <f t="shared" si="6"/>
        <v>0</v>
      </c>
      <c r="N62">
        <f t="shared" si="4"/>
        <v>0</v>
      </c>
      <c r="P62" t="e">
        <f>INDEX(Items!B$2:B$1032,MATCH($O62,Items!$A$2:$A$1032,0))</f>
        <v>#N/A</v>
      </c>
      <c r="Q62" t="e">
        <f>INDEX(Items!C$2:C$1032,MATCH($O62,Items!$A$2:$A$1032,0))</f>
        <v>#N/A</v>
      </c>
      <c r="R62" t="e">
        <f>INDEX(Items!D$2:D$1032,MATCH($O62,Items!$A$2:$A$1032,0))</f>
        <v>#N/A</v>
      </c>
    </row>
    <row r="63" spans="1:18" x14ac:dyDescent="0.25">
      <c r="A63">
        <f t="shared" si="0"/>
        <v>1</v>
      </c>
      <c r="B63" t="str">
        <f t="shared" si="1"/>
        <v/>
      </c>
      <c r="C63">
        <f t="shared" si="5"/>
        <v>1</v>
      </c>
      <c r="D63" s="4"/>
      <c r="F63" t="e">
        <f>INDEX(Establishment!B$2:B$1005,MATCH($E63,Establishment!$A$2:$A$1005,0))</f>
        <v>#N/A</v>
      </c>
      <c r="G63" t="e">
        <f>INDEX(Establishment!C$2:C$1005,MATCH($E63,Establishment!$A$2:$A$1005,0))</f>
        <v>#N/A</v>
      </c>
      <c r="M63">
        <f t="shared" si="6"/>
        <v>0</v>
      </c>
      <c r="N63">
        <f t="shared" si="4"/>
        <v>0</v>
      </c>
      <c r="P63" t="e">
        <f>INDEX(Items!B$2:B$1032,MATCH($O63,Items!$A$2:$A$1032,0))</f>
        <v>#N/A</v>
      </c>
      <c r="Q63" t="e">
        <f>INDEX(Items!C$2:C$1032,MATCH($O63,Items!$A$2:$A$1032,0))</f>
        <v>#N/A</v>
      </c>
      <c r="R63" t="e">
        <f>INDEX(Items!D$2:D$1032,MATCH($O63,Items!$A$2:$A$1032,0))</f>
        <v>#N/A</v>
      </c>
    </row>
    <row r="64" spans="1:18" x14ac:dyDescent="0.25">
      <c r="A64">
        <f t="shared" si="0"/>
        <v>1</v>
      </c>
      <c r="B64" t="str">
        <f t="shared" si="1"/>
        <v/>
      </c>
      <c r="C64">
        <f t="shared" si="5"/>
        <v>1</v>
      </c>
      <c r="D64" s="4"/>
      <c r="F64" t="e">
        <f>INDEX(Establishment!B$2:B$1005,MATCH($E64,Establishment!$A$2:$A$1005,0))</f>
        <v>#N/A</v>
      </c>
      <c r="G64" t="e">
        <f>INDEX(Establishment!C$2:C$1005,MATCH($E64,Establishment!$A$2:$A$1005,0))</f>
        <v>#N/A</v>
      </c>
      <c r="M64">
        <f t="shared" si="6"/>
        <v>0</v>
      </c>
      <c r="N64">
        <f t="shared" si="4"/>
        <v>0</v>
      </c>
      <c r="P64" t="e">
        <f>INDEX(Items!B$2:B$1032,MATCH($O64,Items!$A$2:$A$1032,0))</f>
        <v>#N/A</v>
      </c>
      <c r="Q64" t="e">
        <f>INDEX(Items!C$2:C$1032,MATCH($O64,Items!$A$2:$A$1032,0))</f>
        <v>#N/A</v>
      </c>
      <c r="R64" t="e">
        <f>INDEX(Items!D$2:D$1032,MATCH($O64,Items!$A$2:$A$1032,0))</f>
        <v>#N/A</v>
      </c>
    </row>
    <row r="65" spans="1:18" x14ac:dyDescent="0.25">
      <c r="A65">
        <f t="shared" si="0"/>
        <v>1</v>
      </c>
      <c r="B65" t="str">
        <f t="shared" si="1"/>
        <v/>
      </c>
      <c r="C65">
        <f t="shared" si="5"/>
        <v>1</v>
      </c>
      <c r="D65" s="4"/>
      <c r="F65" t="e">
        <f>INDEX(Establishment!B$2:B$1005,MATCH($E65,Establishment!$A$2:$A$1005,0))</f>
        <v>#N/A</v>
      </c>
      <c r="G65" t="e">
        <f>INDEX(Establishment!C$2:C$1005,MATCH($E65,Establishment!$A$2:$A$1005,0))</f>
        <v>#N/A</v>
      </c>
      <c r="M65">
        <f t="shared" si="6"/>
        <v>0</v>
      </c>
      <c r="N65">
        <f t="shared" si="4"/>
        <v>0</v>
      </c>
      <c r="P65" t="e">
        <f>INDEX(Items!B$2:B$1032,MATCH($O65,Items!$A$2:$A$1032,0))</f>
        <v>#N/A</v>
      </c>
      <c r="Q65" t="e">
        <f>INDEX(Items!C$2:C$1032,MATCH($O65,Items!$A$2:$A$1032,0))</f>
        <v>#N/A</v>
      </c>
      <c r="R65" t="e">
        <f>INDEX(Items!D$2:D$1032,MATCH($O65,Items!$A$2:$A$1032,0))</f>
        <v>#N/A</v>
      </c>
    </row>
    <row r="66" spans="1:18" x14ac:dyDescent="0.25">
      <c r="A66">
        <f t="shared" ref="A66:A129" si="7">IF(OR(D66&lt;&gt;D65,D66=""),1,IF(NOT(AND(E66=E65,F66=F65,G66=G65)),A65+1,IF(OR(H66="",AND(H66&lt;&gt;"",H66&lt;&gt;H65,H65&lt;&gt;"")),A65,A65+1)))</f>
        <v>1</v>
      </c>
      <c r="B66" t="str">
        <f t="shared" ref="B66:B129" si="8">IF(D66&lt;&gt;"",TEXT(D66,"YYYYMMDD")&amp;CHAR(64+A66),"")</f>
        <v/>
      </c>
      <c r="C66">
        <f t="shared" si="5"/>
        <v>1</v>
      </c>
      <c r="D66" s="4"/>
      <c r="F66" t="e">
        <f>INDEX(Establishment!B$2:B$1005,MATCH($E66,Establishment!$A$2:$A$1005,0))</f>
        <v>#N/A</v>
      </c>
      <c r="G66" t="e">
        <f>INDEX(Establishment!C$2:C$1005,MATCH($E66,Establishment!$A$2:$A$1005,0))</f>
        <v>#N/A</v>
      </c>
      <c r="M66">
        <f t="shared" si="6"/>
        <v>0</v>
      </c>
      <c r="N66">
        <f t="shared" si="4"/>
        <v>0</v>
      </c>
      <c r="P66" t="e">
        <f>INDEX(Items!B$2:B$1032,MATCH($O66,Items!$A$2:$A$1032,0))</f>
        <v>#N/A</v>
      </c>
      <c r="Q66" t="e">
        <f>INDEX(Items!C$2:C$1032,MATCH($O66,Items!$A$2:$A$1032,0))</f>
        <v>#N/A</v>
      </c>
      <c r="R66" t="e">
        <f>INDEX(Items!D$2:D$1032,MATCH($O66,Items!$A$2:$A$1032,0))</f>
        <v>#N/A</v>
      </c>
    </row>
    <row r="67" spans="1:18" x14ac:dyDescent="0.25">
      <c r="A67">
        <f t="shared" si="7"/>
        <v>1</v>
      </c>
      <c r="B67" t="str">
        <f t="shared" si="8"/>
        <v/>
      </c>
      <c r="C67">
        <f t="shared" si="5"/>
        <v>1</v>
      </c>
      <c r="D67" s="4"/>
      <c r="F67" t="s">
        <v>43</v>
      </c>
      <c r="G67" t="s">
        <v>46</v>
      </c>
      <c r="M67">
        <f t="shared" si="6"/>
        <v>0</v>
      </c>
      <c r="N67">
        <f t="shared" ref="N67:N130" si="9">IF(B67=B66,N66+M67,M67)</f>
        <v>0</v>
      </c>
      <c r="P67" t="e">
        <f>INDEX(Items!B$2:B$1032,MATCH($O67,Items!$A$2:$A$1032,0))</f>
        <v>#N/A</v>
      </c>
      <c r="Q67" t="e">
        <f>INDEX(Items!C$2:C$1032,MATCH($O67,Items!$A$2:$A$1032,0))</f>
        <v>#N/A</v>
      </c>
      <c r="R67" t="e">
        <f>INDEX(Items!D$2:D$1032,MATCH($O67,Items!$A$2:$A$1032,0))</f>
        <v>#N/A</v>
      </c>
    </row>
    <row r="68" spans="1:18" x14ac:dyDescent="0.25">
      <c r="A68">
        <f t="shared" si="7"/>
        <v>1</v>
      </c>
      <c r="B68" t="str">
        <f t="shared" si="8"/>
        <v/>
      </c>
      <c r="C68">
        <f t="shared" si="5"/>
        <v>1</v>
      </c>
      <c r="D68" s="4"/>
      <c r="F68" t="s">
        <v>43</v>
      </c>
      <c r="G68" t="s">
        <v>46</v>
      </c>
      <c r="M68">
        <f t="shared" si="6"/>
        <v>0</v>
      </c>
      <c r="N68">
        <f t="shared" si="9"/>
        <v>0</v>
      </c>
      <c r="P68" t="e">
        <f>INDEX(Items!B$2:B$1032,MATCH($O68,Items!$A$2:$A$1032,0))</f>
        <v>#N/A</v>
      </c>
      <c r="Q68" t="e">
        <f>INDEX(Items!C$2:C$1032,MATCH($O68,Items!$A$2:$A$1032,0))</f>
        <v>#N/A</v>
      </c>
      <c r="R68" t="e">
        <f>INDEX(Items!D$2:D$1032,MATCH($O68,Items!$A$2:$A$1032,0))</f>
        <v>#N/A</v>
      </c>
    </row>
    <row r="69" spans="1:18" x14ac:dyDescent="0.25">
      <c r="A69">
        <f t="shared" si="7"/>
        <v>1</v>
      </c>
      <c r="B69" t="str">
        <f t="shared" si="8"/>
        <v/>
      </c>
      <c r="C69">
        <f t="shared" si="5"/>
        <v>1</v>
      </c>
      <c r="D69" s="4"/>
      <c r="F69" t="s">
        <v>43</v>
      </c>
      <c r="G69" t="s">
        <v>46</v>
      </c>
      <c r="M69">
        <f t="shared" si="6"/>
        <v>0</v>
      </c>
      <c r="N69">
        <f t="shared" si="9"/>
        <v>0</v>
      </c>
      <c r="P69" t="e">
        <f>INDEX(Items!B$2:B$1032,MATCH($O69,Items!$A$2:$A$1032,0))</f>
        <v>#N/A</v>
      </c>
      <c r="Q69" t="e">
        <f>INDEX(Items!C$2:C$1032,MATCH($O69,Items!$A$2:$A$1032,0))</f>
        <v>#N/A</v>
      </c>
      <c r="R69" t="e">
        <f>INDEX(Items!D$2:D$1032,MATCH($O69,Items!$A$2:$A$1032,0))</f>
        <v>#N/A</v>
      </c>
    </row>
    <row r="70" spans="1:18" x14ac:dyDescent="0.25">
      <c r="A70">
        <f t="shared" si="7"/>
        <v>1</v>
      </c>
      <c r="B70" t="str">
        <f t="shared" si="8"/>
        <v/>
      </c>
      <c r="C70">
        <f t="shared" si="5"/>
        <v>1</v>
      </c>
      <c r="D70" s="4"/>
      <c r="F70" t="s">
        <v>43</v>
      </c>
      <c r="G70" t="s">
        <v>46</v>
      </c>
      <c r="M70">
        <f t="shared" si="6"/>
        <v>0</v>
      </c>
      <c r="N70">
        <f t="shared" si="9"/>
        <v>0</v>
      </c>
      <c r="P70" t="e">
        <f>INDEX(Items!B$2:B$1032,MATCH($O70,Items!$A$2:$A$1032,0))</f>
        <v>#N/A</v>
      </c>
      <c r="Q70" t="e">
        <f>INDEX(Items!C$2:C$1032,MATCH($O70,Items!$A$2:$A$1032,0))</f>
        <v>#N/A</v>
      </c>
      <c r="R70" t="e">
        <f>INDEX(Items!D$2:D$1032,MATCH($O70,Items!$A$2:$A$1032,0))</f>
        <v>#N/A</v>
      </c>
    </row>
    <row r="71" spans="1:18" x14ac:dyDescent="0.25">
      <c r="A71">
        <f t="shared" si="7"/>
        <v>1</v>
      </c>
      <c r="B71" t="str">
        <f t="shared" si="8"/>
        <v/>
      </c>
      <c r="C71">
        <f t="shared" si="5"/>
        <v>1</v>
      </c>
      <c r="D71" s="4"/>
      <c r="F71" t="s">
        <v>43</v>
      </c>
      <c r="G71" t="s">
        <v>46</v>
      </c>
      <c r="M71">
        <f t="shared" si="6"/>
        <v>0</v>
      </c>
      <c r="N71">
        <f t="shared" si="9"/>
        <v>0</v>
      </c>
      <c r="P71" t="e">
        <f>INDEX(Items!B$2:B$1032,MATCH($O71,Items!$A$2:$A$1032,0))</f>
        <v>#N/A</v>
      </c>
      <c r="Q71" t="e">
        <f>INDEX(Items!C$2:C$1032,MATCH($O71,Items!$A$2:$A$1032,0))</f>
        <v>#N/A</v>
      </c>
      <c r="R71" t="e">
        <f>INDEX(Items!D$2:D$1032,MATCH($O71,Items!$A$2:$A$1032,0))</f>
        <v>#N/A</v>
      </c>
    </row>
    <row r="72" spans="1:18" x14ac:dyDescent="0.25">
      <c r="A72">
        <f t="shared" si="7"/>
        <v>1</v>
      </c>
      <c r="B72" t="str">
        <f t="shared" si="8"/>
        <v/>
      </c>
      <c r="C72">
        <f t="shared" si="5"/>
        <v>1</v>
      </c>
      <c r="D72" s="4"/>
      <c r="F72" t="s">
        <v>53</v>
      </c>
      <c r="G72" t="s">
        <v>48</v>
      </c>
      <c r="M72">
        <f t="shared" si="6"/>
        <v>0</v>
      </c>
      <c r="N72">
        <f t="shared" si="9"/>
        <v>0</v>
      </c>
      <c r="P72" t="e">
        <f>INDEX(Items!B$2:B$1032,MATCH($O72,Items!$A$2:$A$1032,0))</f>
        <v>#N/A</v>
      </c>
      <c r="Q72" t="e">
        <f>INDEX(Items!C$2:C$1032,MATCH($O72,Items!$A$2:$A$1032,0))</f>
        <v>#N/A</v>
      </c>
      <c r="R72" t="e">
        <f>INDEX(Items!D$2:D$1032,MATCH($O72,Items!$A$2:$A$1032,0))</f>
        <v>#N/A</v>
      </c>
    </row>
    <row r="73" spans="1:18" x14ac:dyDescent="0.25">
      <c r="A73">
        <f t="shared" si="7"/>
        <v>1</v>
      </c>
      <c r="B73" t="str">
        <f t="shared" si="8"/>
        <v/>
      </c>
      <c r="C73">
        <f t="shared" si="5"/>
        <v>1</v>
      </c>
      <c r="D73" s="4"/>
      <c r="F73" t="s">
        <v>53</v>
      </c>
      <c r="G73" t="s">
        <v>48</v>
      </c>
      <c r="M73">
        <f t="shared" si="6"/>
        <v>0</v>
      </c>
      <c r="N73">
        <f t="shared" si="9"/>
        <v>0</v>
      </c>
      <c r="P73" t="e">
        <f>INDEX(Items!B$2:B$1032,MATCH($O73,Items!$A$2:$A$1032,0))</f>
        <v>#N/A</v>
      </c>
      <c r="Q73" t="e">
        <f>INDEX(Items!C$2:C$1032,MATCH($O73,Items!$A$2:$A$1032,0))</f>
        <v>#N/A</v>
      </c>
      <c r="R73" t="e">
        <f>INDEX(Items!D$2:D$1032,MATCH($O73,Items!$A$2:$A$1032,0))</f>
        <v>#N/A</v>
      </c>
    </row>
    <row r="74" spans="1:18" x14ac:dyDescent="0.25">
      <c r="A74">
        <f t="shared" si="7"/>
        <v>1</v>
      </c>
      <c r="B74" t="str">
        <f t="shared" si="8"/>
        <v/>
      </c>
      <c r="C74">
        <f t="shared" ref="C74:C137" si="10">IF(OR(B74="",B74&lt;&gt;B73),1,C73+1)</f>
        <v>1</v>
      </c>
      <c r="D74" s="4"/>
      <c r="F74" t="s">
        <v>43</v>
      </c>
      <c r="G74" t="s">
        <v>48</v>
      </c>
      <c r="M74">
        <f t="shared" ref="M74:M137" si="11">K74*L74</f>
        <v>0</v>
      </c>
      <c r="N74">
        <f t="shared" si="9"/>
        <v>0</v>
      </c>
      <c r="P74" t="e">
        <f>INDEX(Items!B$2:B$1032,MATCH($O74,Items!$A$2:$A$1032,0))</f>
        <v>#N/A</v>
      </c>
      <c r="Q74" t="e">
        <f>INDEX(Items!C$2:C$1032,MATCH($O74,Items!$A$2:$A$1032,0))</f>
        <v>#N/A</v>
      </c>
      <c r="R74" t="e">
        <f>INDEX(Items!D$2:D$1032,MATCH($O74,Items!$A$2:$A$1032,0))</f>
        <v>#N/A</v>
      </c>
    </row>
    <row r="75" spans="1:18" x14ac:dyDescent="0.25">
      <c r="A75">
        <f t="shared" si="7"/>
        <v>1</v>
      </c>
      <c r="B75" t="str">
        <f t="shared" si="8"/>
        <v/>
      </c>
      <c r="C75">
        <f t="shared" si="10"/>
        <v>1</v>
      </c>
      <c r="D75" s="4"/>
      <c r="F75" t="s">
        <v>43</v>
      </c>
      <c r="G75" t="s">
        <v>48</v>
      </c>
      <c r="M75">
        <f t="shared" si="11"/>
        <v>0</v>
      </c>
      <c r="N75">
        <f t="shared" si="9"/>
        <v>0</v>
      </c>
      <c r="P75" t="e">
        <f>INDEX(Items!B$2:B$1032,MATCH($O75,Items!$A$2:$A$1032,0))</f>
        <v>#N/A</v>
      </c>
      <c r="Q75" t="e">
        <f>INDEX(Items!C$2:C$1032,MATCH($O75,Items!$A$2:$A$1032,0))</f>
        <v>#N/A</v>
      </c>
      <c r="R75" t="e">
        <f>INDEX(Items!D$2:D$1032,MATCH($O75,Items!$A$2:$A$1032,0))</f>
        <v>#N/A</v>
      </c>
    </row>
    <row r="76" spans="1:18" x14ac:dyDescent="0.25">
      <c r="A76">
        <f t="shared" si="7"/>
        <v>1</v>
      </c>
      <c r="B76" t="str">
        <f t="shared" si="8"/>
        <v/>
      </c>
      <c r="C76">
        <f t="shared" si="10"/>
        <v>1</v>
      </c>
      <c r="D76" s="4"/>
      <c r="F76" t="s">
        <v>43</v>
      </c>
      <c r="G76" t="s">
        <v>48</v>
      </c>
      <c r="M76">
        <f t="shared" si="11"/>
        <v>0</v>
      </c>
      <c r="N76">
        <f t="shared" si="9"/>
        <v>0</v>
      </c>
      <c r="P76" t="e">
        <f>INDEX(Items!B$2:B$1032,MATCH($O76,Items!$A$2:$A$1032,0))</f>
        <v>#N/A</v>
      </c>
      <c r="Q76" t="e">
        <f>INDEX(Items!C$2:C$1032,MATCH($O76,Items!$A$2:$A$1032,0))</f>
        <v>#N/A</v>
      </c>
      <c r="R76" t="e">
        <f>INDEX(Items!D$2:D$1032,MATCH($O76,Items!$A$2:$A$1032,0))</f>
        <v>#N/A</v>
      </c>
    </row>
    <row r="77" spans="1:18" x14ac:dyDescent="0.25">
      <c r="A77">
        <f t="shared" si="7"/>
        <v>1</v>
      </c>
      <c r="B77" t="str">
        <f t="shared" si="8"/>
        <v/>
      </c>
      <c r="C77">
        <f t="shared" si="10"/>
        <v>1</v>
      </c>
      <c r="D77" s="4"/>
      <c r="F77" t="s">
        <v>43</v>
      </c>
      <c r="G77" t="s">
        <v>48</v>
      </c>
      <c r="M77">
        <f t="shared" si="11"/>
        <v>0</v>
      </c>
      <c r="N77">
        <f t="shared" si="9"/>
        <v>0</v>
      </c>
      <c r="P77" t="e">
        <f>INDEX(Items!B$2:B$1032,MATCH($O77,Items!$A$2:$A$1032,0))</f>
        <v>#N/A</v>
      </c>
      <c r="Q77" t="e">
        <f>INDEX(Items!C$2:C$1032,MATCH($O77,Items!$A$2:$A$1032,0))</f>
        <v>#N/A</v>
      </c>
      <c r="R77" t="e">
        <f>INDEX(Items!D$2:D$1032,MATCH($O77,Items!$A$2:$A$1032,0))</f>
        <v>#N/A</v>
      </c>
    </row>
    <row r="78" spans="1:18" x14ac:dyDescent="0.25">
      <c r="A78">
        <f t="shared" si="7"/>
        <v>1</v>
      </c>
      <c r="B78" t="str">
        <f t="shared" si="8"/>
        <v/>
      </c>
      <c r="C78">
        <f t="shared" si="10"/>
        <v>1</v>
      </c>
      <c r="D78" s="4"/>
      <c r="F78" t="s">
        <v>43</v>
      </c>
      <c r="G78" t="s">
        <v>48</v>
      </c>
      <c r="M78">
        <f t="shared" si="11"/>
        <v>0</v>
      </c>
      <c r="N78">
        <f t="shared" si="9"/>
        <v>0</v>
      </c>
      <c r="P78" t="e">
        <f>INDEX(Items!B$2:B$1032,MATCH($O78,Items!$A$2:$A$1032,0))</f>
        <v>#N/A</v>
      </c>
      <c r="Q78" t="e">
        <f>INDEX(Items!C$2:C$1032,MATCH($O78,Items!$A$2:$A$1032,0))</f>
        <v>#N/A</v>
      </c>
      <c r="R78" t="e">
        <f>INDEX(Items!D$2:D$1032,MATCH($O78,Items!$A$2:$A$1032,0))</f>
        <v>#N/A</v>
      </c>
    </row>
    <row r="79" spans="1:18" x14ac:dyDescent="0.25">
      <c r="A79">
        <f t="shared" si="7"/>
        <v>1</v>
      </c>
      <c r="B79" t="str">
        <f t="shared" si="8"/>
        <v/>
      </c>
      <c r="C79">
        <f t="shared" si="10"/>
        <v>1</v>
      </c>
      <c r="D79" s="4"/>
      <c r="F79" t="s">
        <v>43</v>
      </c>
      <c r="G79" t="s">
        <v>46</v>
      </c>
      <c r="M79">
        <f t="shared" si="11"/>
        <v>0</v>
      </c>
      <c r="N79">
        <f t="shared" si="9"/>
        <v>0</v>
      </c>
      <c r="P79" t="e">
        <f>INDEX(Items!B$2:B$1032,MATCH($O79,Items!$A$2:$A$1032,0))</f>
        <v>#N/A</v>
      </c>
      <c r="Q79" t="e">
        <f>INDEX(Items!C$2:C$1032,MATCH($O79,Items!$A$2:$A$1032,0))</f>
        <v>#N/A</v>
      </c>
      <c r="R79" t="e">
        <f>INDEX(Items!D$2:D$1032,MATCH($O79,Items!$A$2:$A$1032,0))</f>
        <v>#N/A</v>
      </c>
    </row>
    <row r="80" spans="1:18" x14ac:dyDescent="0.25">
      <c r="A80">
        <f t="shared" si="7"/>
        <v>1</v>
      </c>
      <c r="B80" t="str">
        <f t="shared" si="8"/>
        <v/>
      </c>
      <c r="C80">
        <f t="shared" si="10"/>
        <v>1</v>
      </c>
      <c r="D80" s="4"/>
      <c r="F80" t="s">
        <v>43</v>
      </c>
      <c r="G80" t="s">
        <v>46</v>
      </c>
      <c r="M80">
        <f t="shared" si="11"/>
        <v>0</v>
      </c>
      <c r="N80">
        <f t="shared" si="9"/>
        <v>0</v>
      </c>
      <c r="P80" t="e">
        <f>INDEX(Items!B$2:B$1032,MATCH($O80,Items!$A$2:$A$1032,0))</f>
        <v>#N/A</v>
      </c>
      <c r="Q80" t="e">
        <f>INDEX(Items!C$2:C$1032,MATCH($O80,Items!$A$2:$A$1032,0))</f>
        <v>#N/A</v>
      </c>
      <c r="R80" t="e">
        <f>INDEX(Items!D$2:D$1032,MATCH($O80,Items!$A$2:$A$1032,0))</f>
        <v>#N/A</v>
      </c>
    </row>
    <row r="81" spans="1:18" x14ac:dyDescent="0.25">
      <c r="A81">
        <f t="shared" si="7"/>
        <v>1</v>
      </c>
      <c r="B81" t="str">
        <f t="shared" si="8"/>
        <v/>
      </c>
      <c r="C81">
        <f t="shared" si="10"/>
        <v>1</v>
      </c>
      <c r="D81" s="4"/>
      <c r="F81" t="s">
        <v>43</v>
      </c>
      <c r="G81" t="s">
        <v>46</v>
      </c>
      <c r="M81">
        <f t="shared" si="11"/>
        <v>0</v>
      </c>
      <c r="N81">
        <f t="shared" si="9"/>
        <v>0</v>
      </c>
      <c r="P81" t="e">
        <f>INDEX(Items!B$2:B$1032,MATCH($O81,Items!$A$2:$A$1032,0))</f>
        <v>#N/A</v>
      </c>
      <c r="Q81" t="e">
        <f>INDEX(Items!C$2:C$1032,MATCH($O81,Items!$A$2:$A$1032,0))</f>
        <v>#N/A</v>
      </c>
      <c r="R81" t="e">
        <f>INDEX(Items!D$2:D$1032,MATCH($O81,Items!$A$2:$A$1032,0))</f>
        <v>#N/A</v>
      </c>
    </row>
    <row r="82" spans="1:18" x14ac:dyDescent="0.25">
      <c r="A82">
        <f t="shared" si="7"/>
        <v>1</v>
      </c>
      <c r="B82" t="str">
        <f t="shared" si="8"/>
        <v/>
      </c>
      <c r="C82">
        <f t="shared" si="10"/>
        <v>1</v>
      </c>
      <c r="D82" s="4"/>
      <c r="F82" t="s">
        <v>43</v>
      </c>
      <c r="G82" t="s">
        <v>46</v>
      </c>
      <c r="M82">
        <f t="shared" si="11"/>
        <v>0</v>
      </c>
      <c r="N82">
        <f t="shared" si="9"/>
        <v>0</v>
      </c>
      <c r="P82" t="e">
        <f>INDEX(Items!B$2:B$1032,MATCH($O82,Items!$A$2:$A$1032,0))</f>
        <v>#N/A</v>
      </c>
      <c r="Q82" t="e">
        <f>INDEX(Items!C$2:C$1032,MATCH($O82,Items!$A$2:$A$1032,0))</f>
        <v>#N/A</v>
      </c>
      <c r="R82" t="e">
        <f>INDEX(Items!D$2:D$1032,MATCH($O82,Items!$A$2:$A$1032,0))</f>
        <v>#N/A</v>
      </c>
    </row>
    <row r="83" spans="1:18" x14ac:dyDescent="0.25">
      <c r="A83">
        <f t="shared" si="7"/>
        <v>1</v>
      </c>
      <c r="B83" t="str">
        <f t="shared" si="8"/>
        <v/>
      </c>
      <c r="C83">
        <f t="shared" si="10"/>
        <v>1</v>
      </c>
      <c r="D83" s="4"/>
      <c r="F83" t="e">
        <f>INDEX(Establishment!B$2:B$1005,MATCH($E83,Establishment!$A$2:$A$1005,0))</f>
        <v>#N/A</v>
      </c>
      <c r="G83" t="e">
        <f>INDEX(Establishment!C$2:C$1005,MATCH($E83,Establishment!$A$2:$A$1005,0))</f>
        <v>#N/A</v>
      </c>
      <c r="M83">
        <f t="shared" si="11"/>
        <v>0</v>
      </c>
      <c r="N83">
        <f t="shared" si="9"/>
        <v>0</v>
      </c>
      <c r="P83" t="e">
        <f>INDEX(Items!B$2:B$1032,MATCH($O83,Items!$A$2:$A$1032,0))</f>
        <v>#N/A</v>
      </c>
      <c r="Q83" t="e">
        <f>INDEX(Items!C$2:C$1032,MATCH($O83,Items!$A$2:$A$1032,0))</f>
        <v>#N/A</v>
      </c>
      <c r="R83" t="e">
        <f>INDEX(Items!D$2:D$1032,MATCH($O83,Items!$A$2:$A$1032,0))</f>
        <v>#N/A</v>
      </c>
    </row>
    <row r="84" spans="1:18" x14ac:dyDescent="0.25">
      <c r="A84">
        <f t="shared" si="7"/>
        <v>1</v>
      </c>
      <c r="B84" t="str">
        <f t="shared" si="8"/>
        <v/>
      </c>
      <c r="C84">
        <f t="shared" si="10"/>
        <v>1</v>
      </c>
      <c r="D84" s="4"/>
      <c r="F84" t="e">
        <f>INDEX(Establishment!B$2:B$1005,MATCH($E84,Establishment!$A$2:$A$1005,0))</f>
        <v>#N/A</v>
      </c>
      <c r="G84" t="e">
        <f>INDEX(Establishment!C$2:C$1005,MATCH($E84,Establishment!$A$2:$A$1005,0))</f>
        <v>#N/A</v>
      </c>
      <c r="M84">
        <f t="shared" si="11"/>
        <v>0</v>
      </c>
      <c r="N84">
        <f t="shared" si="9"/>
        <v>0</v>
      </c>
      <c r="P84" t="e">
        <f>INDEX(Items!B$2:B$1032,MATCH($O84,Items!$A$2:$A$1032,0))</f>
        <v>#N/A</v>
      </c>
      <c r="Q84" t="e">
        <f>INDEX(Items!C$2:C$1032,MATCH($O84,Items!$A$2:$A$1032,0))</f>
        <v>#N/A</v>
      </c>
      <c r="R84" t="e">
        <f>INDEX(Items!D$2:D$1032,MATCH($O84,Items!$A$2:$A$1032,0))</f>
        <v>#N/A</v>
      </c>
    </row>
    <row r="85" spans="1:18" x14ac:dyDescent="0.25">
      <c r="A85">
        <f t="shared" si="7"/>
        <v>1</v>
      </c>
      <c r="B85" t="str">
        <f t="shared" si="8"/>
        <v/>
      </c>
      <c r="C85">
        <f t="shared" si="10"/>
        <v>1</v>
      </c>
      <c r="D85" s="4"/>
      <c r="F85" t="e">
        <f>INDEX(Establishment!B$2:B$1005,MATCH($E85,Establishment!$A$2:$A$1005,0))</f>
        <v>#N/A</v>
      </c>
      <c r="G85" t="e">
        <f>INDEX(Establishment!C$2:C$1005,MATCH($E85,Establishment!$A$2:$A$1005,0))</f>
        <v>#N/A</v>
      </c>
      <c r="M85">
        <f t="shared" si="11"/>
        <v>0</v>
      </c>
      <c r="N85">
        <f t="shared" si="9"/>
        <v>0</v>
      </c>
      <c r="P85" t="e">
        <f>INDEX(Items!B$2:B$1032,MATCH($O85,Items!$A$2:$A$1032,0))</f>
        <v>#N/A</v>
      </c>
      <c r="Q85" t="e">
        <f>INDEX(Items!C$2:C$1032,MATCH($O85,Items!$A$2:$A$1032,0))</f>
        <v>#N/A</v>
      </c>
      <c r="R85" t="e">
        <f>INDEX(Items!D$2:D$1032,MATCH($O85,Items!$A$2:$A$1032,0))</f>
        <v>#N/A</v>
      </c>
    </row>
    <row r="86" spans="1:18" x14ac:dyDescent="0.25">
      <c r="A86">
        <f t="shared" si="7"/>
        <v>1</v>
      </c>
      <c r="B86" t="str">
        <f t="shared" si="8"/>
        <v/>
      </c>
      <c r="C86">
        <f t="shared" si="10"/>
        <v>1</v>
      </c>
      <c r="D86" s="4"/>
      <c r="F86" t="e">
        <f>INDEX(Establishment!B$2:B$1005,MATCH($E86,Establishment!$A$2:$A$1005,0))</f>
        <v>#N/A</v>
      </c>
      <c r="G86" t="e">
        <f>INDEX(Establishment!C$2:C$1005,MATCH($E86,Establishment!$A$2:$A$1005,0))</f>
        <v>#N/A</v>
      </c>
      <c r="M86">
        <f t="shared" si="11"/>
        <v>0</v>
      </c>
      <c r="N86">
        <f t="shared" si="9"/>
        <v>0</v>
      </c>
      <c r="P86" t="e">
        <f>INDEX(Items!B$2:B$1032,MATCH($O86,Items!$A$2:$A$1032,0))</f>
        <v>#N/A</v>
      </c>
      <c r="Q86" t="e">
        <f>INDEX(Items!C$2:C$1032,MATCH($O86,Items!$A$2:$A$1032,0))</f>
        <v>#N/A</v>
      </c>
      <c r="R86" t="e">
        <f>INDEX(Items!D$2:D$1032,MATCH($O86,Items!$A$2:$A$1032,0))</f>
        <v>#N/A</v>
      </c>
    </row>
    <row r="87" spans="1:18" x14ac:dyDescent="0.25">
      <c r="A87">
        <f t="shared" si="7"/>
        <v>1</v>
      </c>
      <c r="B87" t="str">
        <f t="shared" si="8"/>
        <v/>
      </c>
      <c r="C87">
        <f t="shared" si="10"/>
        <v>1</v>
      </c>
      <c r="D87" s="4"/>
      <c r="F87" t="e">
        <f>INDEX(Establishment!B$2:B$1005,MATCH($E87,Establishment!$A$2:$A$1005,0))</f>
        <v>#N/A</v>
      </c>
      <c r="G87" t="e">
        <f>INDEX(Establishment!C$2:C$1005,MATCH($E87,Establishment!$A$2:$A$1005,0))</f>
        <v>#N/A</v>
      </c>
      <c r="M87">
        <f t="shared" si="11"/>
        <v>0</v>
      </c>
      <c r="N87">
        <f t="shared" si="9"/>
        <v>0</v>
      </c>
      <c r="P87" t="e">
        <f>INDEX(Items!B$2:B$1032,MATCH($O87,Items!$A$2:$A$1032,0))</f>
        <v>#N/A</v>
      </c>
      <c r="Q87" t="e">
        <f>INDEX(Items!C$2:C$1032,MATCH($O87,Items!$A$2:$A$1032,0))</f>
        <v>#N/A</v>
      </c>
      <c r="R87" t="e">
        <f>INDEX(Items!D$2:D$1032,MATCH($O87,Items!$A$2:$A$1032,0))</f>
        <v>#N/A</v>
      </c>
    </row>
    <row r="88" spans="1:18" x14ac:dyDescent="0.25">
      <c r="A88">
        <f t="shared" si="7"/>
        <v>1</v>
      </c>
      <c r="B88" t="str">
        <f t="shared" si="8"/>
        <v/>
      </c>
      <c r="C88">
        <f t="shared" si="10"/>
        <v>1</v>
      </c>
      <c r="D88" s="4"/>
      <c r="F88" t="e">
        <f>INDEX(Establishment!B$2:B$1005,MATCH($E88,Establishment!$A$2:$A$1005,0))</f>
        <v>#N/A</v>
      </c>
      <c r="G88" t="e">
        <f>INDEX(Establishment!C$2:C$1005,MATCH($E88,Establishment!$A$2:$A$1005,0))</f>
        <v>#N/A</v>
      </c>
      <c r="M88">
        <f t="shared" si="11"/>
        <v>0</v>
      </c>
      <c r="N88">
        <f t="shared" si="9"/>
        <v>0</v>
      </c>
      <c r="P88" t="e">
        <f>INDEX(Items!B$2:B$1032,MATCH($O88,Items!$A$2:$A$1032,0))</f>
        <v>#N/A</v>
      </c>
      <c r="Q88" t="e">
        <f>INDEX(Items!C$2:C$1032,MATCH($O88,Items!$A$2:$A$1032,0))</f>
        <v>#N/A</v>
      </c>
      <c r="R88" t="e">
        <f>INDEX(Items!D$2:D$1032,MATCH($O88,Items!$A$2:$A$1032,0))</f>
        <v>#N/A</v>
      </c>
    </row>
    <row r="89" spans="1:18" x14ac:dyDescent="0.25">
      <c r="A89">
        <f t="shared" si="7"/>
        <v>1</v>
      </c>
      <c r="B89" t="str">
        <f t="shared" si="8"/>
        <v/>
      </c>
      <c r="C89">
        <f t="shared" si="10"/>
        <v>1</v>
      </c>
      <c r="D89" s="4"/>
      <c r="F89" t="e">
        <f>INDEX(Establishment!B$2:B$1005,MATCH($E89,Establishment!$A$2:$A$1005,0))</f>
        <v>#N/A</v>
      </c>
      <c r="G89" t="e">
        <f>INDEX(Establishment!C$2:C$1005,MATCH($E89,Establishment!$A$2:$A$1005,0))</f>
        <v>#N/A</v>
      </c>
      <c r="M89">
        <f t="shared" si="11"/>
        <v>0</v>
      </c>
      <c r="N89">
        <f t="shared" si="9"/>
        <v>0</v>
      </c>
      <c r="P89" t="e">
        <f>INDEX(Items!B$2:B$1032,MATCH($O89,Items!$A$2:$A$1032,0))</f>
        <v>#N/A</v>
      </c>
      <c r="Q89" t="e">
        <f>INDEX(Items!C$2:C$1032,MATCH($O89,Items!$A$2:$A$1032,0))</f>
        <v>#N/A</v>
      </c>
      <c r="R89" t="e">
        <f>INDEX(Items!D$2:D$1032,MATCH($O89,Items!$A$2:$A$1032,0))</f>
        <v>#N/A</v>
      </c>
    </row>
    <row r="90" spans="1:18" x14ac:dyDescent="0.25">
      <c r="A90">
        <f t="shared" si="7"/>
        <v>1</v>
      </c>
      <c r="B90" t="str">
        <f t="shared" si="8"/>
        <v/>
      </c>
      <c r="C90">
        <f t="shared" si="10"/>
        <v>1</v>
      </c>
      <c r="D90" s="4"/>
      <c r="F90" t="e">
        <f>INDEX(Establishment!B$2:B$1005,MATCH($E90,Establishment!$A$2:$A$1005,0))</f>
        <v>#N/A</v>
      </c>
      <c r="G90" t="e">
        <f>INDEX(Establishment!C$2:C$1005,MATCH($E90,Establishment!$A$2:$A$1005,0))</f>
        <v>#N/A</v>
      </c>
      <c r="M90">
        <f t="shared" si="11"/>
        <v>0</v>
      </c>
      <c r="N90">
        <f t="shared" si="9"/>
        <v>0</v>
      </c>
      <c r="P90" t="e">
        <f>INDEX(Items!B$2:B$1032,MATCH($O90,Items!$A$2:$A$1032,0))</f>
        <v>#N/A</v>
      </c>
      <c r="Q90" t="e">
        <f>INDEX(Items!C$2:C$1032,MATCH($O90,Items!$A$2:$A$1032,0))</f>
        <v>#N/A</v>
      </c>
      <c r="R90" t="e">
        <f>INDEX(Items!D$2:D$1032,MATCH($O90,Items!$A$2:$A$1032,0))</f>
        <v>#N/A</v>
      </c>
    </row>
    <row r="91" spans="1:18" x14ac:dyDescent="0.25">
      <c r="A91">
        <f t="shared" si="7"/>
        <v>1</v>
      </c>
      <c r="B91" t="str">
        <f t="shared" si="8"/>
        <v/>
      </c>
      <c r="C91">
        <f t="shared" si="10"/>
        <v>1</v>
      </c>
      <c r="D91" s="4"/>
      <c r="F91" t="e">
        <f>INDEX(Establishment!B$2:B$1005,MATCH($E91,Establishment!$A$2:$A$1005,0))</f>
        <v>#N/A</v>
      </c>
      <c r="G91" t="e">
        <f>INDEX(Establishment!C$2:C$1005,MATCH($E91,Establishment!$A$2:$A$1005,0))</f>
        <v>#N/A</v>
      </c>
      <c r="M91">
        <f t="shared" si="11"/>
        <v>0</v>
      </c>
      <c r="N91">
        <f t="shared" si="9"/>
        <v>0</v>
      </c>
      <c r="P91" t="e">
        <f>INDEX(Items!B$2:B$1032,MATCH($O91,Items!$A$2:$A$1032,0))</f>
        <v>#N/A</v>
      </c>
      <c r="Q91" t="e">
        <f>INDEX(Items!C$2:C$1032,MATCH($O91,Items!$A$2:$A$1032,0))</f>
        <v>#N/A</v>
      </c>
      <c r="R91" t="e">
        <f>INDEX(Items!D$2:D$1032,MATCH($O91,Items!$A$2:$A$1032,0))</f>
        <v>#N/A</v>
      </c>
    </row>
    <row r="92" spans="1:18" x14ac:dyDescent="0.25">
      <c r="A92">
        <f t="shared" si="7"/>
        <v>1</v>
      </c>
      <c r="B92" t="str">
        <f t="shared" si="8"/>
        <v/>
      </c>
      <c r="C92">
        <f t="shared" si="10"/>
        <v>1</v>
      </c>
      <c r="D92" s="4"/>
      <c r="F92" t="e">
        <f>INDEX(Establishment!B$2:B$1005,MATCH($E92,Establishment!$A$2:$A$1005,0))</f>
        <v>#N/A</v>
      </c>
      <c r="G92" t="e">
        <f>INDEX(Establishment!C$2:C$1005,MATCH($E92,Establishment!$A$2:$A$1005,0))</f>
        <v>#N/A</v>
      </c>
      <c r="M92">
        <f t="shared" si="11"/>
        <v>0</v>
      </c>
      <c r="N92">
        <f t="shared" si="9"/>
        <v>0</v>
      </c>
      <c r="P92" t="e">
        <f>INDEX(Items!B$2:B$1032,MATCH($O92,Items!$A$2:$A$1032,0))</f>
        <v>#N/A</v>
      </c>
      <c r="Q92" t="e">
        <f>INDEX(Items!C$2:C$1032,MATCH($O92,Items!$A$2:$A$1032,0))</f>
        <v>#N/A</v>
      </c>
      <c r="R92" t="e">
        <f>INDEX(Items!D$2:D$1032,MATCH($O92,Items!$A$2:$A$1032,0))</f>
        <v>#N/A</v>
      </c>
    </row>
    <row r="93" spans="1:18" x14ac:dyDescent="0.25">
      <c r="A93">
        <f t="shared" si="7"/>
        <v>1</v>
      </c>
      <c r="B93" t="str">
        <f t="shared" si="8"/>
        <v/>
      </c>
      <c r="C93">
        <f t="shared" si="10"/>
        <v>1</v>
      </c>
      <c r="D93" s="4"/>
      <c r="E93" t="s">
        <v>18</v>
      </c>
      <c r="F93" t="str">
        <f>INDEX(Establishment!B$2:B$1005,MATCH($E93,Establishment!$A$2:$A$1005,0))</f>
        <v xml:space="preserve"> </v>
      </c>
      <c r="G93" t="str">
        <f>INDEX(Establishment!C$2:C$1005,MATCH($E93,Establishment!$A$2:$A$1005,0))</f>
        <v xml:space="preserve"> </v>
      </c>
      <c r="M93">
        <f t="shared" si="11"/>
        <v>0</v>
      </c>
      <c r="N93">
        <f t="shared" si="9"/>
        <v>0</v>
      </c>
      <c r="P93" t="e">
        <f>INDEX(Items!B$2:B$1032,MATCH($O93,Items!$A$2:$A$1032,0))</f>
        <v>#N/A</v>
      </c>
      <c r="Q93" t="e">
        <f>INDEX(Items!C$2:C$1032,MATCH($O93,Items!$A$2:$A$1032,0))</f>
        <v>#N/A</v>
      </c>
      <c r="R93" t="e">
        <f>INDEX(Items!D$2:D$1032,MATCH($O93,Items!$A$2:$A$1032,0))</f>
        <v>#N/A</v>
      </c>
    </row>
    <row r="94" spans="1:18" x14ac:dyDescent="0.25">
      <c r="A94">
        <f t="shared" si="7"/>
        <v>1</v>
      </c>
      <c r="B94" t="str">
        <f t="shared" si="8"/>
        <v/>
      </c>
      <c r="C94">
        <f t="shared" si="10"/>
        <v>1</v>
      </c>
      <c r="D94" s="4"/>
      <c r="E94" t="s">
        <v>18</v>
      </c>
      <c r="F94" t="str">
        <f>INDEX(Establishment!B$2:B$1005,MATCH($E94,Establishment!$A$2:$A$1005,0))</f>
        <v xml:space="preserve"> </v>
      </c>
      <c r="G94" t="str">
        <f>INDEX(Establishment!C$2:C$1005,MATCH($E94,Establishment!$A$2:$A$1005,0))</f>
        <v xml:space="preserve"> </v>
      </c>
      <c r="M94">
        <f t="shared" si="11"/>
        <v>0</v>
      </c>
      <c r="N94">
        <f t="shared" si="9"/>
        <v>0</v>
      </c>
      <c r="P94" t="e">
        <f>INDEX(Items!B$2:B$1032,MATCH($O94,Items!$A$2:$A$1032,0))</f>
        <v>#N/A</v>
      </c>
      <c r="Q94" t="e">
        <f>INDEX(Items!C$2:C$1032,MATCH($O94,Items!$A$2:$A$1032,0))</f>
        <v>#N/A</v>
      </c>
      <c r="R94" t="e">
        <f>INDEX(Items!D$2:D$1032,MATCH($O94,Items!$A$2:$A$1032,0))</f>
        <v>#N/A</v>
      </c>
    </row>
    <row r="95" spans="1:18" x14ac:dyDescent="0.25">
      <c r="A95">
        <f t="shared" si="7"/>
        <v>1</v>
      </c>
      <c r="B95" t="str">
        <f t="shared" si="8"/>
        <v/>
      </c>
      <c r="C95">
        <f t="shared" si="10"/>
        <v>1</v>
      </c>
      <c r="D95" s="4"/>
      <c r="E95" t="s">
        <v>18</v>
      </c>
      <c r="F95" t="str">
        <f>INDEX(Establishment!B$2:B$1005,MATCH($E95,Establishment!$A$2:$A$1005,0))</f>
        <v xml:space="preserve"> </v>
      </c>
      <c r="G95" t="str">
        <f>INDEX(Establishment!C$2:C$1005,MATCH($E95,Establishment!$A$2:$A$1005,0))</f>
        <v xml:space="preserve"> </v>
      </c>
      <c r="M95">
        <f t="shared" si="11"/>
        <v>0</v>
      </c>
      <c r="N95">
        <f t="shared" si="9"/>
        <v>0</v>
      </c>
      <c r="P95" t="e">
        <f>INDEX(Items!B$2:B$1032,MATCH($O95,Items!$A$2:$A$1032,0))</f>
        <v>#N/A</v>
      </c>
      <c r="Q95" t="e">
        <f>INDEX(Items!C$2:C$1032,MATCH($O95,Items!$A$2:$A$1032,0))</f>
        <v>#N/A</v>
      </c>
      <c r="R95" t="e">
        <f>INDEX(Items!D$2:D$1032,MATCH($O95,Items!$A$2:$A$1032,0))</f>
        <v>#N/A</v>
      </c>
    </row>
    <row r="96" spans="1:18" x14ac:dyDescent="0.25">
      <c r="A96">
        <f t="shared" si="7"/>
        <v>1</v>
      </c>
      <c r="B96" t="str">
        <f t="shared" si="8"/>
        <v/>
      </c>
      <c r="C96">
        <f t="shared" si="10"/>
        <v>1</v>
      </c>
      <c r="D96" s="4"/>
      <c r="E96" t="s">
        <v>18</v>
      </c>
      <c r="F96" t="str">
        <f>INDEX(Establishment!B$2:B$1005,MATCH($E96,Establishment!$A$2:$A$1005,0))</f>
        <v xml:space="preserve"> </v>
      </c>
      <c r="G96" t="str">
        <f>INDEX(Establishment!C$2:C$1005,MATCH($E96,Establishment!$A$2:$A$1005,0))</f>
        <v xml:space="preserve"> </v>
      </c>
      <c r="M96">
        <f t="shared" si="11"/>
        <v>0</v>
      </c>
      <c r="N96">
        <f t="shared" si="9"/>
        <v>0</v>
      </c>
      <c r="P96" t="e">
        <f>INDEX(Items!B$2:B$1032,MATCH($O96,Items!$A$2:$A$1032,0))</f>
        <v>#N/A</v>
      </c>
      <c r="Q96" t="e">
        <f>INDEX(Items!C$2:C$1032,MATCH($O96,Items!$A$2:$A$1032,0))</f>
        <v>#N/A</v>
      </c>
      <c r="R96" t="e">
        <f>INDEX(Items!D$2:D$1032,MATCH($O96,Items!$A$2:$A$1032,0))</f>
        <v>#N/A</v>
      </c>
    </row>
    <row r="97" spans="1:18" x14ac:dyDescent="0.25">
      <c r="A97">
        <f t="shared" si="7"/>
        <v>1</v>
      </c>
      <c r="B97" t="str">
        <f t="shared" si="8"/>
        <v/>
      </c>
      <c r="C97">
        <f t="shared" si="10"/>
        <v>1</v>
      </c>
      <c r="D97" s="4"/>
      <c r="E97" t="s">
        <v>18</v>
      </c>
      <c r="F97" t="str">
        <f>INDEX(Establishment!B$2:B$1005,MATCH($E97,Establishment!$A$2:$A$1005,0))</f>
        <v xml:space="preserve"> </v>
      </c>
      <c r="G97" t="str">
        <f>INDEX(Establishment!C$2:C$1005,MATCH($E97,Establishment!$A$2:$A$1005,0))</f>
        <v xml:space="preserve"> </v>
      </c>
      <c r="M97">
        <f t="shared" si="11"/>
        <v>0</v>
      </c>
      <c r="N97">
        <f t="shared" si="9"/>
        <v>0</v>
      </c>
      <c r="P97" t="e">
        <f>INDEX(Items!B$2:B$1032,MATCH($O97,Items!$A$2:$A$1032,0))</f>
        <v>#N/A</v>
      </c>
      <c r="Q97" t="e">
        <f>INDEX(Items!C$2:C$1032,MATCH($O97,Items!$A$2:$A$1032,0))</f>
        <v>#N/A</v>
      </c>
      <c r="R97" t="e">
        <f>INDEX(Items!D$2:D$1032,MATCH($O97,Items!$A$2:$A$1032,0))</f>
        <v>#N/A</v>
      </c>
    </row>
    <row r="98" spans="1:18" x14ac:dyDescent="0.25">
      <c r="A98">
        <f t="shared" si="7"/>
        <v>1</v>
      </c>
      <c r="B98" t="str">
        <f t="shared" si="8"/>
        <v/>
      </c>
      <c r="C98">
        <f t="shared" si="10"/>
        <v>1</v>
      </c>
      <c r="D98" s="4"/>
      <c r="E98" t="s">
        <v>18</v>
      </c>
      <c r="F98" t="str">
        <f>INDEX(Establishment!B$2:B$1005,MATCH($E98,Establishment!$A$2:$A$1005,0))</f>
        <v xml:space="preserve"> </v>
      </c>
      <c r="G98" t="str">
        <f>INDEX(Establishment!C$2:C$1005,MATCH($E98,Establishment!$A$2:$A$1005,0))</f>
        <v xml:space="preserve"> </v>
      </c>
      <c r="M98">
        <f t="shared" si="11"/>
        <v>0</v>
      </c>
      <c r="N98">
        <f t="shared" si="9"/>
        <v>0</v>
      </c>
      <c r="P98" t="e">
        <f>INDEX(Items!B$2:B$1032,MATCH($O98,Items!$A$2:$A$1032,0))</f>
        <v>#N/A</v>
      </c>
      <c r="Q98" t="e">
        <f>INDEX(Items!C$2:C$1032,MATCH($O98,Items!$A$2:$A$1032,0))</f>
        <v>#N/A</v>
      </c>
      <c r="R98" t="e">
        <f>INDEX(Items!D$2:D$1032,MATCH($O98,Items!$A$2:$A$1032,0))</f>
        <v>#N/A</v>
      </c>
    </row>
    <row r="99" spans="1:18" x14ac:dyDescent="0.25">
      <c r="A99">
        <f t="shared" si="7"/>
        <v>1</v>
      </c>
      <c r="B99" t="str">
        <f t="shared" si="8"/>
        <v>20230621A</v>
      </c>
      <c r="C99">
        <f t="shared" si="10"/>
        <v>1</v>
      </c>
      <c r="D99" s="4">
        <v>45098</v>
      </c>
      <c r="E99" t="s">
        <v>39</v>
      </c>
      <c r="F99" t="str">
        <f>INDEX(Establishment!B$2:B$1005,MATCH($E99,Establishment!$A$2:$A$1005,0))</f>
        <v>Carenderia 14th Floor</v>
      </c>
      <c r="G99" t="str">
        <f>INDEX(Establishment!C$2:C$1005,MATCH($E99,Establishment!$A$2:$A$1005,0))</f>
        <v>ACC Tower Cebu Business Park</v>
      </c>
      <c r="M99">
        <f t="shared" si="11"/>
        <v>0</v>
      </c>
      <c r="N99">
        <f t="shared" si="9"/>
        <v>0</v>
      </c>
      <c r="P99" t="e">
        <f>INDEX(Items!B$2:B$1032,MATCH($O99,Items!$A$2:$A$1032,0))</f>
        <v>#N/A</v>
      </c>
      <c r="Q99" t="e">
        <f>INDEX(Items!C$2:C$1032,MATCH($O99,Items!$A$2:$A$1032,0))</f>
        <v>#N/A</v>
      </c>
      <c r="R99" t="e">
        <f>INDEX(Items!D$2:D$1032,MATCH($O99,Items!$A$2:$A$1032,0))</f>
        <v>#N/A</v>
      </c>
    </row>
    <row r="100" spans="1:18" x14ac:dyDescent="0.25">
      <c r="A100">
        <f t="shared" si="7"/>
        <v>1</v>
      </c>
      <c r="B100" t="str">
        <f t="shared" si="8"/>
        <v/>
      </c>
      <c r="C100">
        <f t="shared" si="10"/>
        <v>1</v>
      </c>
      <c r="D100" s="4"/>
      <c r="F100" t="e">
        <f>INDEX(Establishment!B$2:B$1005,MATCH($E100,Establishment!$A$2:$A$1005,0))</f>
        <v>#N/A</v>
      </c>
      <c r="G100" t="e">
        <f>INDEX(Establishment!C$2:C$1005,MATCH($E100,Establishment!$A$2:$A$1005,0))</f>
        <v>#N/A</v>
      </c>
      <c r="M100">
        <f t="shared" si="11"/>
        <v>0</v>
      </c>
      <c r="N100">
        <f t="shared" si="9"/>
        <v>0</v>
      </c>
      <c r="P100" t="e">
        <f>INDEX(Items!B$2:B$1032,MATCH($O100,Items!$A$2:$A$1032,0))</f>
        <v>#N/A</v>
      </c>
      <c r="Q100" t="e">
        <f>INDEX(Items!C$2:C$1032,MATCH($O100,Items!$A$2:$A$1032,0))</f>
        <v>#N/A</v>
      </c>
      <c r="R100" t="e">
        <f>INDEX(Items!D$2:D$1032,MATCH($O100,Items!$A$2:$A$1032,0))</f>
        <v>#N/A</v>
      </c>
    </row>
    <row r="101" spans="1:18" x14ac:dyDescent="0.25">
      <c r="A101">
        <f t="shared" si="7"/>
        <v>1</v>
      </c>
      <c r="B101" t="str">
        <f t="shared" si="8"/>
        <v/>
      </c>
      <c r="C101">
        <f t="shared" si="10"/>
        <v>1</v>
      </c>
      <c r="D101" s="4"/>
      <c r="E101" t="s">
        <v>18</v>
      </c>
      <c r="F101" t="str">
        <f>INDEX(Establishment!B$2:B$1005,MATCH($E101,Establishment!$A$2:$A$1005,0))</f>
        <v xml:space="preserve"> </v>
      </c>
      <c r="G101" t="str">
        <f>INDEX(Establishment!C$2:C$1005,MATCH($E101,Establishment!$A$2:$A$1005,0))</f>
        <v xml:space="preserve"> </v>
      </c>
      <c r="M101">
        <f t="shared" si="11"/>
        <v>0</v>
      </c>
      <c r="N101">
        <f t="shared" si="9"/>
        <v>0</v>
      </c>
      <c r="P101" t="e">
        <f>INDEX(Items!B$2:B$1032,MATCH($O101,Items!$A$2:$A$1032,0))</f>
        <v>#N/A</v>
      </c>
      <c r="Q101" t="e">
        <f>INDEX(Items!C$2:C$1032,MATCH($O101,Items!$A$2:$A$1032,0))</f>
        <v>#N/A</v>
      </c>
      <c r="R101" t="e">
        <f>INDEX(Items!D$2:D$1032,MATCH($O101,Items!$A$2:$A$1032,0))</f>
        <v>#N/A</v>
      </c>
    </row>
    <row r="102" spans="1:18" x14ac:dyDescent="0.25">
      <c r="A102">
        <f t="shared" si="7"/>
        <v>1</v>
      </c>
      <c r="B102" t="str">
        <f t="shared" si="8"/>
        <v/>
      </c>
      <c r="C102">
        <f t="shared" si="10"/>
        <v>1</v>
      </c>
      <c r="D102" s="4"/>
      <c r="E102" t="s">
        <v>18</v>
      </c>
      <c r="F102" t="str">
        <f>INDEX(Establishment!B$2:B$1005,MATCH($E102,Establishment!$A$2:$A$1005,0))</f>
        <v xml:space="preserve"> </v>
      </c>
      <c r="G102" t="str">
        <f>INDEX(Establishment!C$2:C$1005,MATCH($E102,Establishment!$A$2:$A$1005,0))</f>
        <v xml:space="preserve"> </v>
      </c>
      <c r="M102">
        <f t="shared" si="11"/>
        <v>0</v>
      </c>
      <c r="N102">
        <f t="shared" si="9"/>
        <v>0</v>
      </c>
      <c r="P102" t="e">
        <f>INDEX(Items!B$2:B$1032,MATCH($O102,Items!$A$2:$A$1032,0))</f>
        <v>#N/A</v>
      </c>
      <c r="Q102" t="e">
        <f>INDEX(Items!C$2:C$1032,MATCH($O102,Items!$A$2:$A$1032,0))</f>
        <v>#N/A</v>
      </c>
      <c r="R102" t="e">
        <f>INDEX(Items!D$2:D$1032,MATCH($O102,Items!$A$2:$A$1032,0))</f>
        <v>#N/A</v>
      </c>
    </row>
    <row r="103" spans="1:18" x14ac:dyDescent="0.25">
      <c r="A103">
        <f t="shared" si="7"/>
        <v>1</v>
      </c>
      <c r="B103" t="str">
        <f t="shared" si="8"/>
        <v/>
      </c>
      <c r="C103">
        <f t="shared" si="10"/>
        <v>1</v>
      </c>
      <c r="D103" s="4"/>
      <c r="E103" t="s">
        <v>18</v>
      </c>
      <c r="F103" t="str">
        <f>INDEX(Establishment!B$2:B$1005,MATCH($E103,Establishment!$A$2:$A$1005,0))</f>
        <v xml:space="preserve"> </v>
      </c>
      <c r="G103" t="str">
        <f>INDEX(Establishment!C$2:C$1005,MATCH($E103,Establishment!$A$2:$A$1005,0))</f>
        <v xml:space="preserve"> </v>
      </c>
      <c r="M103">
        <f t="shared" si="11"/>
        <v>0</v>
      </c>
      <c r="N103">
        <f t="shared" si="9"/>
        <v>0</v>
      </c>
      <c r="P103" t="e">
        <f>INDEX(Items!B$2:B$1032,MATCH($O103,Items!$A$2:$A$1032,0))</f>
        <v>#N/A</v>
      </c>
      <c r="Q103" t="e">
        <f>INDEX(Items!C$2:C$1032,MATCH($O103,Items!$A$2:$A$1032,0))</f>
        <v>#N/A</v>
      </c>
      <c r="R103" t="e">
        <f>INDEX(Items!D$2:D$1032,MATCH($O103,Items!$A$2:$A$1032,0))</f>
        <v>#N/A</v>
      </c>
    </row>
    <row r="104" spans="1:18" x14ac:dyDescent="0.25">
      <c r="A104">
        <f t="shared" si="7"/>
        <v>1</v>
      </c>
      <c r="B104" t="str">
        <f t="shared" si="8"/>
        <v/>
      </c>
      <c r="C104">
        <f t="shared" si="10"/>
        <v>1</v>
      </c>
      <c r="D104" s="4"/>
      <c r="E104" t="s">
        <v>18</v>
      </c>
      <c r="F104" t="str">
        <f>INDEX(Establishment!B$2:B$1005,MATCH($E104,Establishment!$A$2:$A$1005,0))</f>
        <v xml:space="preserve"> </v>
      </c>
      <c r="G104" t="str">
        <f>INDEX(Establishment!C$2:C$1005,MATCH($E104,Establishment!$A$2:$A$1005,0))</f>
        <v xml:space="preserve"> </v>
      </c>
      <c r="M104">
        <f t="shared" si="11"/>
        <v>0</v>
      </c>
      <c r="N104">
        <f t="shared" si="9"/>
        <v>0</v>
      </c>
      <c r="P104" t="e">
        <f>INDEX(Items!B$2:B$1032,MATCH($O104,Items!$A$2:$A$1032,0))</f>
        <v>#N/A</v>
      </c>
      <c r="Q104" t="e">
        <f>INDEX(Items!C$2:C$1032,MATCH($O104,Items!$A$2:$A$1032,0))</f>
        <v>#N/A</v>
      </c>
      <c r="R104" t="e">
        <f>INDEX(Items!D$2:D$1032,MATCH($O104,Items!$A$2:$A$1032,0))</f>
        <v>#N/A</v>
      </c>
    </row>
    <row r="105" spans="1:18" x14ac:dyDescent="0.25">
      <c r="A105">
        <f t="shared" si="7"/>
        <v>1</v>
      </c>
      <c r="B105" t="str">
        <f t="shared" si="8"/>
        <v/>
      </c>
      <c r="C105">
        <f t="shared" si="10"/>
        <v>1</v>
      </c>
      <c r="D105" s="4"/>
      <c r="E105" t="s">
        <v>18</v>
      </c>
      <c r="F105" t="str">
        <f>INDEX(Establishment!B$2:B$1005,MATCH($E105,Establishment!$A$2:$A$1005,0))</f>
        <v xml:space="preserve"> </v>
      </c>
      <c r="G105" t="str">
        <f>INDEX(Establishment!C$2:C$1005,MATCH($E105,Establishment!$A$2:$A$1005,0))</f>
        <v xml:space="preserve"> </v>
      </c>
      <c r="M105">
        <f t="shared" si="11"/>
        <v>0</v>
      </c>
      <c r="N105">
        <f t="shared" si="9"/>
        <v>0</v>
      </c>
      <c r="P105" t="e">
        <f>INDEX(Items!B$2:B$1032,MATCH($O105,Items!$A$2:$A$1032,0))</f>
        <v>#N/A</v>
      </c>
      <c r="Q105" t="e">
        <f>INDEX(Items!C$2:C$1032,MATCH($O105,Items!$A$2:$A$1032,0))</f>
        <v>#N/A</v>
      </c>
      <c r="R105" t="e">
        <f>INDEX(Items!D$2:D$1032,MATCH($O105,Items!$A$2:$A$1032,0))</f>
        <v>#N/A</v>
      </c>
    </row>
    <row r="106" spans="1:18" x14ac:dyDescent="0.25">
      <c r="A106">
        <f t="shared" si="7"/>
        <v>1</v>
      </c>
      <c r="B106" t="str">
        <f t="shared" si="8"/>
        <v/>
      </c>
      <c r="C106">
        <f t="shared" si="10"/>
        <v>1</v>
      </c>
      <c r="D106" s="4"/>
      <c r="E106" t="s">
        <v>18</v>
      </c>
      <c r="F106" t="str">
        <f>INDEX(Establishment!B$2:B$1005,MATCH($E106,Establishment!$A$2:$A$1005,0))</f>
        <v xml:space="preserve"> </v>
      </c>
      <c r="G106" t="str">
        <f>INDEX(Establishment!C$2:C$1005,MATCH($E106,Establishment!$A$2:$A$1005,0))</f>
        <v xml:space="preserve"> </v>
      </c>
      <c r="M106">
        <f t="shared" si="11"/>
        <v>0</v>
      </c>
      <c r="N106">
        <f t="shared" si="9"/>
        <v>0</v>
      </c>
      <c r="P106" t="e">
        <f>INDEX(Items!B$2:B$1032,MATCH($O106,Items!$A$2:$A$1032,0))</f>
        <v>#N/A</v>
      </c>
      <c r="Q106" t="e">
        <f>INDEX(Items!C$2:C$1032,MATCH($O106,Items!$A$2:$A$1032,0))</f>
        <v>#N/A</v>
      </c>
      <c r="R106" t="e">
        <f>INDEX(Items!D$2:D$1032,MATCH($O106,Items!$A$2:$A$1032,0))</f>
        <v>#N/A</v>
      </c>
    </row>
    <row r="107" spans="1:18" x14ac:dyDescent="0.25">
      <c r="A107">
        <f t="shared" si="7"/>
        <v>1</v>
      </c>
      <c r="B107" t="str">
        <f t="shared" si="8"/>
        <v/>
      </c>
      <c r="C107">
        <f t="shared" si="10"/>
        <v>1</v>
      </c>
      <c r="D107" s="4"/>
      <c r="E107" t="s">
        <v>18</v>
      </c>
      <c r="F107" t="str">
        <f>INDEX(Establishment!B$2:B$1005,MATCH($E107,Establishment!$A$2:$A$1005,0))</f>
        <v xml:space="preserve"> </v>
      </c>
      <c r="G107" t="str">
        <f>INDEX(Establishment!C$2:C$1005,MATCH($E107,Establishment!$A$2:$A$1005,0))</f>
        <v xml:space="preserve"> </v>
      </c>
      <c r="M107">
        <f t="shared" si="11"/>
        <v>0</v>
      </c>
      <c r="N107">
        <f t="shared" si="9"/>
        <v>0</v>
      </c>
      <c r="P107" t="e">
        <f>INDEX(Items!B$2:B$1032,MATCH($O107,Items!$A$2:$A$1032,0))</f>
        <v>#N/A</v>
      </c>
      <c r="Q107" t="e">
        <f>INDEX(Items!C$2:C$1032,MATCH($O107,Items!$A$2:$A$1032,0))</f>
        <v>#N/A</v>
      </c>
      <c r="R107" t="e">
        <f>INDEX(Items!D$2:D$1032,MATCH($O107,Items!$A$2:$A$1032,0))</f>
        <v>#N/A</v>
      </c>
    </row>
    <row r="108" spans="1:18" x14ac:dyDescent="0.25">
      <c r="A108">
        <f t="shared" si="7"/>
        <v>1</v>
      </c>
      <c r="B108" t="str">
        <f t="shared" si="8"/>
        <v/>
      </c>
      <c r="C108">
        <f t="shared" si="10"/>
        <v>1</v>
      </c>
      <c r="D108" s="4"/>
      <c r="E108" t="s">
        <v>18</v>
      </c>
      <c r="F108" t="str">
        <f>INDEX(Establishment!B$2:B$1005,MATCH($E108,Establishment!$A$2:$A$1005,0))</f>
        <v xml:space="preserve"> </v>
      </c>
      <c r="G108" t="str">
        <f>INDEX(Establishment!C$2:C$1005,MATCH($E108,Establishment!$A$2:$A$1005,0))</f>
        <v xml:space="preserve"> </v>
      </c>
      <c r="M108">
        <f t="shared" si="11"/>
        <v>0</v>
      </c>
      <c r="N108">
        <f t="shared" si="9"/>
        <v>0</v>
      </c>
      <c r="P108" t="e">
        <f>INDEX(Items!B$2:B$1032,MATCH($O108,Items!$A$2:$A$1032,0))</f>
        <v>#N/A</v>
      </c>
      <c r="Q108" t="e">
        <f>INDEX(Items!C$2:C$1032,MATCH($O108,Items!$A$2:$A$1032,0))</f>
        <v>#N/A</v>
      </c>
      <c r="R108" t="e">
        <f>INDEX(Items!D$2:D$1032,MATCH($O108,Items!$A$2:$A$1032,0))</f>
        <v>#N/A</v>
      </c>
    </row>
    <row r="109" spans="1:18" x14ac:dyDescent="0.25">
      <c r="A109">
        <f t="shared" si="7"/>
        <v>1</v>
      </c>
      <c r="B109" t="str">
        <f t="shared" si="8"/>
        <v/>
      </c>
      <c r="C109">
        <f t="shared" si="10"/>
        <v>1</v>
      </c>
      <c r="D109" s="4"/>
      <c r="E109" t="s">
        <v>18</v>
      </c>
      <c r="F109" t="str">
        <f>INDEX(Establishment!B$2:B$1005,MATCH($E109,Establishment!$A$2:$A$1005,0))</f>
        <v xml:space="preserve"> </v>
      </c>
      <c r="G109" t="str">
        <f>INDEX(Establishment!C$2:C$1005,MATCH($E109,Establishment!$A$2:$A$1005,0))</f>
        <v xml:space="preserve"> </v>
      </c>
      <c r="M109">
        <f t="shared" si="11"/>
        <v>0</v>
      </c>
      <c r="N109">
        <f t="shared" si="9"/>
        <v>0</v>
      </c>
      <c r="P109" t="e">
        <f>INDEX(Items!B$2:B$1032,MATCH($O109,Items!$A$2:$A$1032,0))</f>
        <v>#N/A</v>
      </c>
      <c r="Q109" t="e">
        <f>INDEX(Items!C$2:C$1032,MATCH($O109,Items!$A$2:$A$1032,0))</f>
        <v>#N/A</v>
      </c>
      <c r="R109" t="e">
        <f>INDEX(Items!D$2:D$1032,MATCH($O109,Items!$A$2:$A$1032,0))</f>
        <v>#N/A</v>
      </c>
    </row>
    <row r="110" spans="1:18" x14ac:dyDescent="0.25">
      <c r="A110">
        <f t="shared" si="7"/>
        <v>1</v>
      </c>
      <c r="B110" t="str">
        <f t="shared" si="8"/>
        <v/>
      </c>
      <c r="C110">
        <f t="shared" si="10"/>
        <v>1</v>
      </c>
      <c r="D110" s="4"/>
      <c r="E110" t="s">
        <v>18</v>
      </c>
      <c r="F110" t="str">
        <f>INDEX(Establishment!B$2:B$1005,MATCH($E110,Establishment!$A$2:$A$1005,0))</f>
        <v xml:space="preserve"> </v>
      </c>
      <c r="G110" t="str">
        <f>INDEX(Establishment!C$2:C$1005,MATCH($E110,Establishment!$A$2:$A$1005,0))</f>
        <v xml:space="preserve"> </v>
      </c>
      <c r="M110">
        <f t="shared" si="11"/>
        <v>0</v>
      </c>
      <c r="N110">
        <f t="shared" si="9"/>
        <v>0</v>
      </c>
      <c r="P110" t="e">
        <f>INDEX(Items!B$2:B$1032,MATCH($O110,Items!$A$2:$A$1032,0))</f>
        <v>#N/A</v>
      </c>
      <c r="Q110" t="e">
        <f>INDEX(Items!C$2:C$1032,MATCH($O110,Items!$A$2:$A$1032,0))</f>
        <v>#N/A</v>
      </c>
      <c r="R110" t="e">
        <f>INDEX(Items!D$2:D$1032,MATCH($O110,Items!$A$2:$A$1032,0))</f>
        <v>#N/A</v>
      </c>
    </row>
    <row r="111" spans="1:18" x14ac:dyDescent="0.25">
      <c r="A111">
        <f t="shared" si="7"/>
        <v>1</v>
      </c>
      <c r="B111" t="str">
        <f t="shared" si="8"/>
        <v/>
      </c>
      <c r="C111">
        <f t="shared" si="10"/>
        <v>1</v>
      </c>
      <c r="D111" s="4"/>
      <c r="E111" t="s">
        <v>18</v>
      </c>
      <c r="F111" t="str">
        <f>INDEX(Establishment!B$2:B$1005,MATCH($E111,Establishment!$A$2:$A$1005,0))</f>
        <v xml:space="preserve"> </v>
      </c>
      <c r="G111" t="str">
        <f>INDEX(Establishment!C$2:C$1005,MATCH($E111,Establishment!$A$2:$A$1005,0))</f>
        <v xml:space="preserve"> </v>
      </c>
      <c r="M111">
        <f t="shared" si="11"/>
        <v>0</v>
      </c>
      <c r="N111">
        <f t="shared" si="9"/>
        <v>0</v>
      </c>
      <c r="P111" t="e">
        <f>INDEX(Items!B$2:B$1032,MATCH($O111,Items!$A$2:$A$1032,0))</f>
        <v>#N/A</v>
      </c>
      <c r="Q111" t="e">
        <f>INDEX(Items!C$2:C$1032,MATCH($O111,Items!$A$2:$A$1032,0))</f>
        <v>#N/A</v>
      </c>
      <c r="R111" t="e">
        <f>INDEX(Items!D$2:D$1032,MATCH($O111,Items!$A$2:$A$1032,0))</f>
        <v>#N/A</v>
      </c>
    </row>
    <row r="112" spans="1:18" x14ac:dyDescent="0.25">
      <c r="A112">
        <f t="shared" si="7"/>
        <v>1</v>
      </c>
      <c r="B112" t="str">
        <f t="shared" si="8"/>
        <v/>
      </c>
      <c r="C112">
        <f t="shared" si="10"/>
        <v>1</v>
      </c>
      <c r="D112" s="4"/>
      <c r="E112" t="s">
        <v>18</v>
      </c>
      <c r="F112" t="str">
        <f>INDEX(Establishment!B$2:B$1005,MATCH($E112,Establishment!$A$2:$A$1005,0))</f>
        <v xml:space="preserve"> </v>
      </c>
      <c r="G112" t="str">
        <f>INDEX(Establishment!C$2:C$1005,MATCH($E112,Establishment!$A$2:$A$1005,0))</f>
        <v xml:space="preserve"> </v>
      </c>
      <c r="M112">
        <f t="shared" si="11"/>
        <v>0</v>
      </c>
      <c r="N112">
        <f t="shared" si="9"/>
        <v>0</v>
      </c>
      <c r="P112" t="e">
        <f>INDEX(Items!B$2:B$1032,MATCH($O112,Items!$A$2:$A$1032,0))</f>
        <v>#N/A</v>
      </c>
      <c r="Q112" t="e">
        <f>INDEX(Items!C$2:C$1032,MATCH($O112,Items!$A$2:$A$1032,0))</f>
        <v>#N/A</v>
      </c>
      <c r="R112" t="e">
        <f>INDEX(Items!D$2:D$1032,MATCH($O112,Items!$A$2:$A$1032,0))</f>
        <v>#N/A</v>
      </c>
    </row>
    <row r="113" spans="1:18" x14ac:dyDescent="0.25">
      <c r="A113">
        <f t="shared" si="7"/>
        <v>1</v>
      </c>
      <c r="B113" t="str">
        <f t="shared" si="8"/>
        <v/>
      </c>
      <c r="C113">
        <f t="shared" si="10"/>
        <v>1</v>
      </c>
      <c r="D113" s="4"/>
      <c r="E113" t="s">
        <v>18</v>
      </c>
      <c r="F113" t="str">
        <f>INDEX(Establishment!B$2:B$1005,MATCH($E113,Establishment!$A$2:$A$1005,0))</f>
        <v xml:space="preserve"> </v>
      </c>
      <c r="G113" t="str">
        <f>INDEX(Establishment!C$2:C$1005,MATCH($E113,Establishment!$A$2:$A$1005,0))</f>
        <v xml:space="preserve"> </v>
      </c>
      <c r="M113">
        <f t="shared" si="11"/>
        <v>0</v>
      </c>
      <c r="N113">
        <f t="shared" si="9"/>
        <v>0</v>
      </c>
      <c r="P113" t="e">
        <f>INDEX(Items!B$2:B$1032,MATCH($O113,Items!$A$2:$A$1032,0))</f>
        <v>#N/A</v>
      </c>
      <c r="Q113" t="e">
        <f>INDEX(Items!C$2:C$1032,MATCH($O113,Items!$A$2:$A$1032,0))</f>
        <v>#N/A</v>
      </c>
      <c r="R113" t="e">
        <f>INDEX(Items!D$2:D$1032,MATCH($O113,Items!$A$2:$A$1032,0))</f>
        <v>#N/A</v>
      </c>
    </row>
    <row r="114" spans="1:18" x14ac:dyDescent="0.25">
      <c r="A114">
        <f t="shared" si="7"/>
        <v>1</v>
      </c>
      <c r="B114" t="str">
        <f t="shared" si="8"/>
        <v/>
      </c>
      <c r="C114">
        <f t="shared" si="10"/>
        <v>1</v>
      </c>
      <c r="D114" s="4"/>
      <c r="E114" t="s">
        <v>18</v>
      </c>
      <c r="F114" t="str">
        <f>INDEX(Establishment!B$2:B$1005,MATCH($E114,Establishment!$A$2:$A$1005,0))</f>
        <v xml:space="preserve"> </v>
      </c>
      <c r="G114" t="str">
        <f>INDEX(Establishment!C$2:C$1005,MATCH($E114,Establishment!$A$2:$A$1005,0))</f>
        <v xml:space="preserve"> </v>
      </c>
      <c r="M114">
        <f t="shared" si="11"/>
        <v>0</v>
      </c>
      <c r="N114">
        <f t="shared" si="9"/>
        <v>0</v>
      </c>
      <c r="P114" t="e">
        <f>INDEX(Items!B$2:B$1032,MATCH($O114,Items!$A$2:$A$1032,0))</f>
        <v>#N/A</v>
      </c>
      <c r="Q114" t="e">
        <f>INDEX(Items!C$2:C$1032,MATCH($O114,Items!$A$2:$A$1032,0))</f>
        <v>#N/A</v>
      </c>
      <c r="R114" t="e">
        <f>INDEX(Items!D$2:D$1032,MATCH($O114,Items!$A$2:$A$1032,0))</f>
        <v>#N/A</v>
      </c>
    </row>
    <row r="115" spans="1:18" x14ac:dyDescent="0.25">
      <c r="A115">
        <f t="shared" si="7"/>
        <v>1</v>
      </c>
      <c r="B115" t="str">
        <f t="shared" si="8"/>
        <v/>
      </c>
      <c r="C115">
        <f t="shared" si="10"/>
        <v>1</v>
      </c>
      <c r="D115" s="4"/>
      <c r="E115" t="s">
        <v>18</v>
      </c>
      <c r="F115" t="str">
        <f>INDEX(Establishment!B$2:B$1005,MATCH($E115,Establishment!$A$2:$A$1005,0))</f>
        <v xml:space="preserve"> </v>
      </c>
      <c r="G115" t="str">
        <f>INDEX(Establishment!C$2:C$1005,MATCH($E115,Establishment!$A$2:$A$1005,0))</f>
        <v xml:space="preserve"> </v>
      </c>
      <c r="M115">
        <f t="shared" si="11"/>
        <v>0</v>
      </c>
      <c r="N115">
        <f t="shared" si="9"/>
        <v>0</v>
      </c>
      <c r="P115" t="e">
        <f>INDEX(Items!B$2:B$1032,MATCH($O115,Items!$A$2:$A$1032,0))</f>
        <v>#N/A</v>
      </c>
      <c r="Q115" t="e">
        <f>INDEX(Items!C$2:C$1032,MATCH($O115,Items!$A$2:$A$1032,0))</f>
        <v>#N/A</v>
      </c>
      <c r="R115" t="e">
        <f>INDEX(Items!D$2:D$1032,MATCH($O115,Items!$A$2:$A$1032,0))</f>
        <v>#N/A</v>
      </c>
    </row>
    <row r="116" spans="1:18" x14ac:dyDescent="0.25">
      <c r="A116">
        <f t="shared" si="7"/>
        <v>1</v>
      </c>
      <c r="B116" t="str">
        <f t="shared" si="8"/>
        <v/>
      </c>
      <c r="C116">
        <f t="shared" si="10"/>
        <v>1</v>
      </c>
      <c r="D116" s="4"/>
      <c r="E116" t="s">
        <v>18</v>
      </c>
      <c r="F116" t="str">
        <f>INDEX(Establishment!B$2:B$1005,MATCH($E116,Establishment!$A$2:$A$1005,0))</f>
        <v xml:space="preserve"> </v>
      </c>
      <c r="G116" t="str">
        <f>INDEX(Establishment!C$2:C$1005,MATCH($E116,Establishment!$A$2:$A$1005,0))</f>
        <v xml:space="preserve"> </v>
      </c>
      <c r="M116">
        <f t="shared" si="11"/>
        <v>0</v>
      </c>
      <c r="N116">
        <f t="shared" si="9"/>
        <v>0</v>
      </c>
      <c r="P116" t="e">
        <f>INDEX(Items!B$2:B$1032,MATCH($O116,Items!$A$2:$A$1032,0))</f>
        <v>#N/A</v>
      </c>
      <c r="Q116" t="e">
        <f>INDEX(Items!C$2:C$1032,MATCH($O116,Items!$A$2:$A$1032,0))</f>
        <v>#N/A</v>
      </c>
      <c r="R116" t="e">
        <f>INDEX(Items!D$2:D$1032,MATCH($O116,Items!$A$2:$A$1032,0))</f>
        <v>#N/A</v>
      </c>
    </row>
    <row r="117" spans="1:18" x14ac:dyDescent="0.25">
      <c r="A117">
        <f t="shared" si="7"/>
        <v>1</v>
      </c>
      <c r="B117" t="str">
        <f t="shared" si="8"/>
        <v/>
      </c>
      <c r="C117">
        <f t="shared" si="10"/>
        <v>1</v>
      </c>
      <c r="D117" s="4"/>
      <c r="E117" t="s">
        <v>18</v>
      </c>
      <c r="F117" t="str">
        <f>INDEX(Establishment!B$2:B$1005,MATCH($E117,Establishment!$A$2:$A$1005,0))</f>
        <v xml:space="preserve"> </v>
      </c>
      <c r="G117" t="str">
        <f>INDEX(Establishment!C$2:C$1005,MATCH($E117,Establishment!$A$2:$A$1005,0))</f>
        <v xml:space="preserve"> </v>
      </c>
      <c r="M117">
        <f t="shared" si="11"/>
        <v>0</v>
      </c>
      <c r="N117">
        <f t="shared" si="9"/>
        <v>0</v>
      </c>
      <c r="P117" t="e">
        <f>INDEX(Items!B$2:B$1032,MATCH($O117,Items!$A$2:$A$1032,0))</f>
        <v>#N/A</v>
      </c>
      <c r="Q117" t="e">
        <f>INDEX(Items!C$2:C$1032,MATCH($O117,Items!$A$2:$A$1032,0))</f>
        <v>#N/A</v>
      </c>
      <c r="R117" t="e">
        <f>INDEX(Items!D$2:D$1032,MATCH($O117,Items!$A$2:$A$1032,0))</f>
        <v>#N/A</v>
      </c>
    </row>
    <row r="118" spans="1:18" x14ac:dyDescent="0.25">
      <c r="A118">
        <f t="shared" si="7"/>
        <v>1</v>
      </c>
      <c r="B118" t="str">
        <f t="shared" si="8"/>
        <v/>
      </c>
      <c r="C118">
        <f t="shared" si="10"/>
        <v>1</v>
      </c>
      <c r="D118" s="4"/>
      <c r="E118" t="s">
        <v>18</v>
      </c>
      <c r="F118" t="str">
        <f>INDEX(Establishment!B$2:B$1005,MATCH($E118,Establishment!$A$2:$A$1005,0))</f>
        <v xml:space="preserve"> </v>
      </c>
      <c r="G118" t="str">
        <f>INDEX(Establishment!C$2:C$1005,MATCH($E118,Establishment!$A$2:$A$1005,0))</f>
        <v xml:space="preserve"> </v>
      </c>
      <c r="M118">
        <f t="shared" si="11"/>
        <v>0</v>
      </c>
      <c r="N118">
        <f t="shared" si="9"/>
        <v>0</v>
      </c>
      <c r="P118" t="e">
        <f>INDEX(Items!B$2:B$1032,MATCH($O118,Items!$A$2:$A$1032,0))</f>
        <v>#N/A</v>
      </c>
      <c r="Q118" t="e">
        <f>INDEX(Items!C$2:C$1032,MATCH($O118,Items!$A$2:$A$1032,0))</f>
        <v>#N/A</v>
      </c>
      <c r="R118" t="e">
        <f>INDEX(Items!D$2:D$1032,MATCH($O118,Items!$A$2:$A$1032,0))</f>
        <v>#N/A</v>
      </c>
    </row>
    <row r="119" spans="1:18" x14ac:dyDescent="0.25">
      <c r="A119">
        <f t="shared" si="7"/>
        <v>1</v>
      </c>
      <c r="B119" t="str">
        <f t="shared" si="8"/>
        <v/>
      </c>
      <c r="C119">
        <f t="shared" si="10"/>
        <v>1</v>
      </c>
      <c r="D119" s="4"/>
      <c r="E119" t="s">
        <v>18</v>
      </c>
      <c r="F119" t="str">
        <f>INDEX(Establishment!B$2:B$1005,MATCH($E119,Establishment!$A$2:$A$1005,0))</f>
        <v xml:space="preserve"> </v>
      </c>
      <c r="G119" t="str">
        <f>INDEX(Establishment!C$2:C$1005,MATCH($E119,Establishment!$A$2:$A$1005,0))</f>
        <v xml:space="preserve"> </v>
      </c>
      <c r="M119">
        <f t="shared" si="11"/>
        <v>0</v>
      </c>
      <c r="N119">
        <f t="shared" si="9"/>
        <v>0</v>
      </c>
      <c r="P119" t="e">
        <f>INDEX(Items!B$2:B$1032,MATCH($O119,Items!$A$2:$A$1032,0))</f>
        <v>#N/A</v>
      </c>
      <c r="Q119" t="e">
        <f>INDEX(Items!C$2:C$1032,MATCH($O119,Items!$A$2:$A$1032,0))</f>
        <v>#N/A</v>
      </c>
      <c r="R119" t="e">
        <f>INDEX(Items!D$2:D$1032,MATCH($O119,Items!$A$2:$A$1032,0))</f>
        <v>#N/A</v>
      </c>
    </row>
    <row r="120" spans="1:18" x14ac:dyDescent="0.25">
      <c r="A120">
        <f t="shared" si="7"/>
        <v>1</v>
      </c>
      <c r="B120" t="str">
        <f t="shared" si="8"/>
        <v/>
      </c>
      <c r="C120">
        <f t="shared" si="10"/>
        <v>1</v>
      </c>
      <c r="D120" s="4"/>
      <c r="E120" t="s">
        <v>18</v>
      </c>
      <c r="F120" t="str">
        <f>INDEX(Establishment!B$2:B$1005,MATCH($E120,Establishment!$A$2:$A$1005,0))</f>
        <v xml:space="preserve"> </v>
      </c>
      <c r="G120" t="str">
        <f>INDEX(Establishment!C$2:C$1005,MATCH($E120,Establishment!$A$2:$A$1005,0))</f>
        <v xml:space="preserve"> </v>
      </c>
      <c r="M120">
        <f t="shared" si="11"/>
        <v>0</v>
      </c>
      <c r="N120">
        <f t="shared" si="9"/>
        <v>0</v>
      </c>
      <c r="P120" t="e">
        <f>INDEX(Items!B$2:B$1032,MATCH($O120,Items!$A$2:$A$1032,0))</f>
        <v>#N/A</v>
      </c>
      <c r="Q120" t="e">
        <f>INDEX(Items!C$2:C$1032,MATCH($O120,Items!$A$2:$A$1032,0))</f>
        <v>#N/A</v>
      </c>
      <c r="R120" t="e">
        <f>INDEX(Items!D$2:D$1032,MATCH($O120,Items!$A$2:$A$1032,0))</f>
        <v>#N/A</v>
      </c>
    </row>
    <row r="121" spans="1:18" x14ac:dyDescent="0.25">
      <c r="A121">
        <f t="shared" si="7"/>
        <v>1</v>
      </c>
      <c r="B121" t="str">
        <f t="shared" si="8"/>
        <v/>
      </c>
      <c r="C121">
        <f t="shared" si="10"/>
        <v>1</v>
      </c>
      <c r="D121" s="4"/>
      <c r="E121" t="s">
        <v>18</v>
      </c>
      <c r="F121" t="str">
        <f>INDEX(Establishment!B$2:B$1005,MATCH($E121,Establishment!$A$2:$A$1005,0))</f>
        <v xml:space="preserve"> </v>
      </c>
      <c r="G121" t="str">
        <f>INDEX(Establishment!C$2:C$1005,MATCH($E121,Establishment!$A$2:$A$1005,0))</f>
        <v xml:space="preserve"> </v>
      </c>
      <c r="M121">
        <f t="shared" si="11"/>
        <v>0</v>
      </c>
      <c r="N121">
        <f t="shared" si="9"/>
        <v>0</v>
      </c>
      <c r="P121" t="e">
        <f>INDEX(Items!B$2:B$1032,MATCH($O121,Items!$A$2:$A$1032,0))</f>
        <v>#N/A</v>
      </c>
      <c r="Q121" t="e">
        <f>INDEX(Items!C$2:C$1032,MATCH($O121,Items!$A$2:$A$1032,0))</f>
        <v>#N/A</v>
      </c>
      <c r="R121" t="e">
        <f>INDEX(Items!D$2:D$1032,MATCH($O121,Items!$A$2:$A$1032,0))</f>
        <v>#N/A</v>
      </c>
    </row>
    <row r="122" spans="1:18" x14ac:dyDescent="0.25">
      <c r="A122">
        <f t="shared" si="7"/>
        <v>1</v>
      </c>
      <c r="B122" t="str">
        <f t="shared" si="8"/>
        <v/>
      </c>
      <c r="C122">
        <f t="shared" si="10"/>
        <v>1</v>
      </c>
      <c r="D122" s="4"/>
      <c r="E122" t="s">
        <v>18</v>
      </c>
      <c r="F122" t="str">
        <f>INDEX(Establishment!B$2:B$1005,MATCH($E122,Establishment!$A$2:$A$1005,0))</f>
        <v xml:space="preserve"> </v>
      </c>
      <c r="G122" t="str">
        <f>INDEX(Establishment!C$2:C$1005,MATCH($E122,Establishment!$A$2:$A$1005,0))</f>
        <v xml:space="preserve"> </v>
      </c>
      <c r="M122">
        <f t="shared" si="11"/>
        <v>0</v>
      </c>
      <c r="N122">
        <f t="shared" si="9"/>
        <v>0</v>
      </c>
      <c r="P122" t="e">
        <f>INDEX(Items!B$2:B$1032,MATCH($O122,Items!$A$2:$A$1032,0))</f>
        <v>#N/A</v>
      </c>
      <c r="Q122" t="e">
        <f>INDEX(Items!C$2:C$1032,MATCH($O122,Items!$A$2:$A$1032,0))</f>
        <v>#N/A</v>
      </c>
      <c r="R122" t="e">
        <f>INDEX(Items!D$2:D$1032,MATCH($O122,Items!$A$2:$A$1032,0))</f>
        <v>#N/A</v>
      </c>
    </row>
    <row r="123" spans="1:18" x14ac:dyDescent="0.25">
      <c r="A123">
        <f t="shared" si="7"/>
        <v>1</v>
      </c>
      <c r="B123" t="str">
        <f t="shared" si="8"/>
        <v/>
      </c>
      <c r="C123">
        <f t="shared" si="10"/>
        <v>1</v>
      </c>
      <c r="D123" s="4"/>
      <c r="E123" t="s">
        <v>18</v>
      </c>
      <c r="F123" t="str">
        <f>INDEX(Establishment!B$2:B$1005,MATCH($E123,Establishment!$A$2:$A$1005,0))</f>
        <v xml:space="preserve"> </v>
      </c>
      <c r="G123" t="str">
        <f>INDEX(Establishment!C$2:C$1005,MATCH($E123,Establishment!$A$2:$A$1005,0))</f>
        <v xml:space="preserve"> </v>
      </c>
      <c r="M123">
        <f t="shared" si="11"/>
        <v>0</v>
      </c>
      <c r="N123">
        <f t="shared" si="9"/>
        <v>0</v>
      </c>
      <c r="P123" t="e">
        <f>INDEX(Items!B$2:B$1032,MATCH($O123,Items!$A$2:$A$1032,0))</f>
        <v>#N/A</v>
      </c>
      <c r="Q123" t="e">
        <f>INDEX(Items!C$2:C$1032,MATCH($O123,Items!$A$2:$A$1032,0))</f>
        <v>#N/A</v>
      </c>
      <c r="R123" t="e">
        <f>INDEX(Items!D$2:D$1032,MATCH($O123,Items!$A$2:$A$1032,0))</f>
        <v>#N/A</v>
      </c>
    </row>
    <row r="124" spans="1:18" x14ac:dyDescent="0.25">
      <c r="A124">
        <f t="shared" si="7"/>
        <v>1</v>
      </c>
      <c r="B124" t="str">
        <f t="shared" si="8"/>
        <v/>
      </c>
      <c r="C124">
        <f t="shared" si="10"/>
        <v>1</v>
      </c>
      <c r="D124" s="4"/>
      <c r="E124" t="s">
        <v>18</v>
      </c>
      <c r="F124" t="str">
        <f>INDEX(Establishment!B$2:B$1005,MATCH($E124,Establishment!$A$2:$A$1005,0))</f>
        <v xml:space="preserve"> </v>
      </c>
      <c r="G124" t="str">
        <f>INDEX(Establishment!C$2:C$1005,MATCH($E124,Establishment!$A$2:$A$1005,0))</f>
        <v xml:space="preserve"> </v>
      </c>
      <c r="M124">
        <f t="shared" si="11"/>
        <v>0</v>
      </c>
      <c r="N124">
        <f t="shared" si="9"/>
        <v>0</v>
      </c>
      <c r="P124" t="e">
        <f>INDEX(Items!B$2:B$1032,MATCH($O124,Items!$A$2:$A$1032,0))</f>
        <v>#N/A</v>
      </c>
      <c r="Q124" t="e">
        <f>INDEX(Items!C$2:C$1032,MATCH($O124,Items!$A$2:$A$1032,0))</f>
        <v>#N/A</v>
      </c>
      <c r="R124" t="e">
        <f>INDEX(Items!D$2:D$1032,MATCH($O124,Items!$A$2:$A$1032,0))</f>
        <v>#N/A</v>
      </c>
    </row>
    <row r="125" spans="1:18" x14ac:dyDescent="0.25">
      <c r="A125">
        <f t="shared" si="7"/>
        <v>1</v>
      </c>
      <c r="B125" t="str">
        <f t="shared" si="8"/>
        <v/>
      </c>
      <c r="C125">
        <f t="shared" si="10"/>
        <v>1</v>
      </c>
      <c r="D125" s="4"/>
      <c r="E125" t="s">
        <v>18</v>
      </c>
      <c r="F125" t="str">
        <f>INDEX(Establishment!B$2:B$1005,MATCH($E125,Establishment!$A$2:$A$1005,0))</f>
        <v xml:space="preserve"> </v>
      </c>
      <c r="G125" t="str">
        <f>INDEX(Establishment!C$2:C$1005,MATCH($E125,Establishment!$A$2:$A$1005,0))</f>
        <v xml:space="preserve"> </v>
      </c>
      <c r="M125">
        <f t="shared" si="11"/>
        <v>0</v>
      </c>
      <c r="N125">
        <f t="shared" si="9"/>
        <v>0</v>
      </c>
      <c r="P125" t="e">
        <f>INDEX(Items!B$2:B$1032,MATCH($O125,Items!$A$2:$A$1032,0))</f>
        <v>#N/A</v>
      </c>
      <c r="Q125" t="e">
        <f>INDEX(Items!C$2:C$1032,MATCH($O125,Items!$A$2:$A$1032,0))</f>
        <v>#N/A</v>
      </c>
      <c r="R125" t="e">
        <f>INDEX(Items!D$2:D$1032,MATCH($O125,Items!$A$2:$A$1032,0))</f>
        <v>#N/A</v>
      </c>
    </row>
    <row r="126" spans="1:18" x14ac:dyDescent="0.25">
      <c r="A126">
        <f t="shared" si="7"/>
        <v>1</v>
      </c>
      <c r="B126" t="str">
        <f t="shared" si="8"/>
        <v/>
      </c>
      <c r="C126">
        <f t="shared" si="10"/>
        <v>1</v>
      </c>
      <c r="D126" s="4"/>
      <c r="E126" t="s">
        <v>18</v>
      </c>
      <c r="F126" t="str">
        <f>INDEX(Establishment!B$2:B$1005,MATCH($E126,Establishment!$A$2:$A$1005,0))</f>
        <v xml:space="preserve"> </v>
      </c>
      <c r="G126" t="str">
        <f>INDEX(Establishment!C$2:C$1005,MATCH($E126,Establishment!$A$2:$A$1005,0))</f>
        <v xml:space="preserve"> </v>
      </c>
      <c r="M126">
        <f t="shared" si="11"/>
        <v>0</v>
      </c>
      <c r="N126">
        <f t="shared" si="9"/>
        <v>0</v>
      </c>
      <c r="P126" t="e">
        <f>INDEX(Items!B$2:B$1032,MATCH($O126,Items!$A$2:$A$1032,0))</f>
        <v>#N/A</v>
      </c>
      <c r="Q126" t="e">
        <f>INDEX(Items!C$2:C$1032,MATCH($O126,Items!$A$2:$A$1032,0))</f>
        <v>#N/A</v>
      </c>
      <c r="R126" t="e">
        <f>INDEX(Items!D$2:D$1032,MATCH($O126,Items!$A$2:$A$1032,0))</f>
        <v>#N/A</v>
      </c>
    </row>
    <row r="127" spans="1:18" x14ac:dyDescent="0.25">
      <c r="A127">
        <f t="shared" si="7"/>
        <v>1</v>
      </c>
      <c r="B127" t="str">
        <f t="shared" si="8"/>
        <v/>
      </c>
      <c r="C127">
        <f t="shared" si="10"/>
        <v>1</v>
      </c>
      <c r="D127" s="4"/>
      <c r="E127" t="s">
        <v>18</v>
      </c>
      <c r="F127" t="str">
        <f>INDEX(Establishment!B$2:B$1005,MATCH($E127,Establishment!$A$2:$A$1005,0))</f>
        <v xml:space="preserve"> </v>
      </c>
      <c r="G127" t="str">
        <f>INDEX(Establishment!C$2:C$1005,MATCH($E127,Establishment!$A$2:$A$1005,0))</f>
        <v xml:space="preserve"> </v>
      </c>
      <c r="M127">
        <f t="shared" si="11"/>
        <v>0</v>
      </c>
      <c r="N127">
        <f t="shared" si="9"/>
        <v>0</v>
      </c>
      <c r="P127" t="e">
        <f>INDEX(Items!B$2:B$1032,MATCH($O127,Items!$A$2:$A$1032,0))</f>
        <v>#N/A</v>
      </c>
      <c r="Q127" t="e">
        <f>INDEX(Items!C$2:C$1032,MATCH($O127,Items!$A$2:$A$1032,0))</f>
        <v>#N/A</v>
      </c>
      <c r="R127" t="e">
        <f>INDEX(Items!D$2:D$1032,MATCH($O127,Items!$A$2:$A$1032,0))</f>
        <v>#N/A</v>
      </c>
    </row>
    <row r="128" spans="1:18" x14ac:dyDescent="0.25">
      <c r="A128">
        <f t="shared" si="7"/>
        <v>1</v>
      </c>
      <c r="B128" t="str">
        <f t="shared" si="8"/>
        <v/>
      </c>
      <c r="C128">
        <f t="shared" si="10"/>
        <v>1</v>
      </c>
      <c r="D128" s="4"/>
      <c r="E128" t="s">
        <v>18</v>
      </c>
      <c r="F128" t="str">
        <f>INDEX(Establishment!B$2:B$1005,MATCH($E128,Establishment!$A$2:$A$1005,0))</f>
        <v xml:space="preserve"> </v>
      </c>
      <c r="G128" t="str">
        <f>INDEX(Establishment!C$2:C$1005,MATCH($E128,Establishment!$A$2:$A$1005,0))</f>
        <v xml:space="preserve"> </v>
      </c>
      <c r="M128">
        <f t="shared" si="11"/>
        <v>0</v>
      </c>
      <c r="N128">
        <f t="shared" si="9"/>
        <v>0</v>
      </c>
      <c r="P128" t="e">
        <f>INDEX(Items!B$2:B$1032,MATCH($O128,Items!$A$2:$A$1032,0))</f>
        <v>#N/A</v>
      </c>
      <c r="Q128" t="e">
        <f>INDEX(Items!C$2:C$1032,MATCH($O128,Items!$A$2:$A$1032,0))</f>
        <v>#N/A</v>
      </c>
      <c r="R128" t="e">
        <f>INDEX(Items!D$2:D$1032,MATCH($O128,Items!$A$2:$A$1032,0))</f>
        <v>#N/A</v>
      </c>
    </row>
    <row r="129" spans="1:18" x14ac:dyDescent="0.25">
      <c r="A129">
        <f t="shared" si="7"/>
        <v>1</v>
      </c>
      <c r="B129" t="str">
        <f t="shared" si="8"/>
        <v/>
      </c>
      <c r="C129">
        <f t="shared" si="10"/>
        <v>1</v>
      </c>
      <c r="D129" s="4"/>
      <c r="E129" t="s">
        <v>18</v>
      </c>
      <c r="F129" t="str">
        <f>INDEX(Establishment!B$2:B$1005,MATCH($E129,Establishment!$A$2:$A$1005,0))</f>
        <v xml:space="preserve"> </v>
      </c>
      <c r="G129" t="str">
        <f>INDEX(Establishment!C$2:C$1005,MATCH($E129,Establishment!$A$2:$A$1005,0))</f>
        <v xml:space="preserve"> </v>
      </c>
      <c r="M129">
        <f t="shared" si="11"/>
        <v>0</v>
      </c>
      <c r="N129">
        <f t="shared" si="9"/>
        <v>0</v>
      </c>
      <c r="P129" t="e">
        <f>INDEX(Items!B$2:B$1032,MATCH($O129,Items!$A$2:$A$1032,0))</f>
        <v>#N/A</v>
      </c>
      <c r="Q129" t="e">
        <f>INDEX(Items!C$2:C$1032,MATCH($O129,Items!$A$2:$A$1032,0))</f>
        <v>#N/A</v>
      </c>
      <c r="R129" t="e">
        <f>INDEX(Items!D$2:D$1032,MATCH($O129,Items!$A$2:$A$1032,0))</f>
        <v>#N/A</v>
      </c>
    </row>
    <row r="130" spans="1:18" x14ac:dyDescent="0.25">
      <c r="A130">
        <f t="shared" ref="A130:A193" si="12">IF(OR(D130&lt;&gt;D129,D130=""),1,IF(NOT(AND(E130=E129,F130=F129,G130=G129)),A129+1,IF(OR(H130="",AND(H130&lt;&gt;"",H130&lt;&gt;H129,H129&lt;&gt;"")),A129,A129+1)))</f>
        <v>1</v>
      </c>
      <c r="B130" t="str">
        <f t="shared" ref="B130:B193" si="13">IF(D130&lt;&gt;"",TEXT(D130,"YYYYMMDD")&amp;CHAR(64+A130),"")</f>
        <v/>
      </c>
      <c r="C130">
        <f t="shared" si="10"/>
        <v>1</v>
      </c>
      <c r="D130" s="4"/>
      <c r="E130" t="s">
        <v>18</v>
      </c>
      <c r="F130" t="str">
        <f>INDEX(Establishment!B$2:B$1005,MATCH($E130,Establishment!$A$2:$A$1005,0))</f>
        <v xml:space="preserve"> </v>
      </c>
      <c r="G130" t="str">
        <f>INDEX(Establishment!C$2:C$1005,MATCH($E130,Establishment!$A$2:$A$1005,0))</f>
        <v xml:space="preserve"> </v>
      </c>
      <c r="M130">
        <f t="shared" si="11"/>
        <v>0</v>
      </c>
      <c r="N130">
        <f t="shared" si="9"/>
        <v>0</v>
      </c>
      <c r="P130" t="e">
        <f>INDEX(Items!B$2:B$1032,MATCH($O130,Items!$A$2:$A$1032,0))</f>
        <v>#N/A</v>
      </c>
      <c r="Q130" t="e">
        <f>INDEX(Items!C$2:C$1032,MATCH($O130,Items!$A$2:$A$1032,0))</f>
        <v>#N/A</v>
      </c>
      <c r="R130" t="e">
        <f>INDEX(Items!D$2:D$1032,MATCH($O130,Items!$A$2:$A$1032,0))</f>
        <v>#N/A</v>
      </c>
    </row>
    <row r="131" spans="1:18" x14ac:dyDescent="0.25">
      <c r="A131">
        <f t="shared" si="12"/>
        <v>1</v>
      </c>
      <c r="B131" t="str">
        <f t="shared" si="13"/>
        <v/>
      </c>
      <c r="C131">
        <f t="shared" si="10"/>
        <v>1</v>
      </c>
      <c r="D131" s="4"/>
      <c r="E131" t="s">
        <v>18</v>
      </c>
      <c r="F131" t="str">
        <f>INDEX(Establishment!B$2:B$1005,MATCH($E131,Establishment!$A$2:$A$1005,0))</f>
        <v xml:space="preserve"> </v>
      </c>
      <c r="G131" t="str">
        <f>INDEX(Establishment!C$2:C$1005,MATCH($E131,Establishment!$A$2:$A$1005,0))</f>
        <v xml:space="preserve"> </v>
      </c>
      <c r="M131">
        <f t="shared" si="11"/>
        <v>0</v>
      </c>
      <c r="N131">
        <f t="shared" ref="N131:N194" si="14">IF(B131=B130,N130+M131,M131)</f>
        <v>0</v>
      </c>
      <c r="P131" t="e">
        <f>INDEX(Items!B$2:B$1032,MATCH($O131,Items!$A$2:$A$1032,0))</f>
        <v>#N/A</v>
      </c>
      <c r="Q131" t="e">
        <f>INDEX(Items!C$2:C$1032,MATCH($O131,Items!$A$2:$A$1032,0))</f>
        <v>#N/A</v>
      </c>
      <c r="R131" t="e">
        <f>INDEX(Items!D$2:D$1032,MATCH($O131,Items!$A$2:$A$1032,0))</f>
        <v>#N/A</v>
      </c>
    </row>
    <row r="132" spans="1:18" x14ac:dyDescent="0.25">
      <c r="A132">
        <f t="shared" si="12"/>
        <v>1</v>
      </c>
      <c r="B132" t="str">
        <f t="shared" si="13"/>
        <v/>
      </c>
      <c r="C132">
        <f t="shared" si="10"/>
        <v>1</v>
      </c>
      <c r="D132" s="4"/>
      <c r="E132" t="s">
        <v>18</v>
      </c>
      <c r="F132" t="str">
        <f>INDEX(Establishment!B$2:B$1005,MATCH($E132,Establishment!$A$2:$A$1005,0))</f>
        <v xml:space="preserve"> </v>
      </c>
      <c r="G132" t="str">
        <f>INDEX(Establishment!C$2:C$1005,MATCH($E132,Establishment!$A$2:$A$1005,0))</f>
        <v xml:space="preserve"> </v>
      </c>
      <c r="M132">
        <f t="shared" si="11"/>
        <v>0</v>
      </c>
      <c r="N132">
        <f t="shared" si="14"/>
        <v>0</v>
      </c>
      <c r="P132" t="e">
        <f>INDEX(Items!B$2:B$1032,MATCH($O132,Items!$A$2:$A$1032,0))</f>
        <v>#N/A</v>
      </c>
      <c r="Q132" t="e">
        <f>INDEX(Items!C$2:C$1032,MATCH($O132,Items!$A$2:$A$1032,0))</f>
        <v>#N/A</v>
      </c>
      <c r="R132" t="e">
        <f>INDEX(Items!D$2:D$1032,MATCH($O132,Items!$A$2:$A$1032,0))</f>
        <v>#N/A</v>
      </c>
    </row>
    <row r="133" spans="1:18" x14ac:dyDescent="0.25">
      <c r="A133">
        <f t="shared" si="12"/>
        <v>1</v>
      </c>
      <c r="B133" t="str">
        <f t="shared" si="13"/>
        <v/>
      </c>
      <c r="C133">
        <f t="shared" si="10"/>
        <v>1</v>
      </c>
      <c r="D133" s="4"/>
      <c r="E133" t="s">
        <v>18</v>
      </c>
      <c r="F133" t="str">
        <f>INDEX(Establishment!B$2:B$1005,MATCH($E133,Establishment!$A$2:$A$1005,0))</f>
        <v xml:space="preserve"> </v>
      </c>
      <c r="G133" t="str">
        <f>INDEX(Establishment!C$2:C$1005,MATCH($E133,Establishment!$A$2:$A$1005,0))</f>
        <v xml:space="preserve"> </v>
      </c>
      <c r="M133">
        <f t="shared" si="11"/>
        <v>0</v>
      </c>
      <c r="N133">
        <f t="shared" si="14"/>
        <v>0</v>
      </c>
      <c r="P133" t="e">
        <f>INDEX(Items!B$2:B$1032,MATCH($O133,Items!$A$2:$A$1032,0))</f>
        <v>#N/A</v>
      </c>
      <c r="Q133" t="e">
        <f>INDEX(Items!C$2:C$1032,MATCH($O133,Items!$A$2:$A$1032,0))</f>
        <v>#N/A</v>
      </c>
      <c r="R133" t="e">
        <f>INDEX(Items!D$2:D$1032,MATCH($O133,Items!$A$2:$A$1032,0))</f>
        <v>#N/A</v>
      </c>
    </row>
    <row r="134" spans="1:18" x14ac:dyDescent="0.25">
      <c r="A134">
        <f t="shared" si="12"/>
        <v>1</v>
      </c>
      <c r="B134" t="str">
        <f t="shared" si="13"/>
        <v/>
      </c>
      <c r="C134">
        <f t="shared" si="10"/>
        <v>1</v>
      </c>
      <c r="D134" s="4"/>
      <c r="E134" t="s">
        <v>18</v>
      </c>
      <c r="F134" t="str">
        <f>INDEX(Establishment!B$2:B$1005,MATCH($E134,Establishment!$A$2:$A$1005,0))</f>
        <v xml:space="preserve"> </v>
      </c>
      <c r="G134" t="str">
        <f>INDEX(Establishment!C$2:C$1005,MATCH($E134,Establishment!$A$2:$A$1005,0))</f>
        <v xml:space="preserve"> </v>
      </c>
      <c r="M134">
        <f t="shared" si="11"/>
        <v>0</v>
      </c>
      <c r="N134">
        <f t="shared" si="14"/>
        <v>0</v>
      </c>
      <c r="P134" t="e">
        <f>INDEX(Items!B$2:B$1032,MATCH($O134,Items!$A$2:$A$1032,0))</f>
        <v>#N/A</v>
      </c>
      <c r="Q134" t="e">
        <f>INDEX(Items!C$2:C$1032,MATCH($O134,Items!$A$2:$A$1032,0))</f>
        <v>#N/A</v>
      </c>
      <c r="R134" t="e">
        <f>INDEX(Items!D$2:D$1032,MATCH($O134,Items!$A$2:$A$1032,0))</f>
        <v>#N/A</v>
      </c>
    </row>
    <row r="135" spans="1:18" x14ac:dyDescent="0.25">
      <c r="A135">
        <f t="shared" si="12"/>
        <v>1</v>
      </c>
      <c r="B135" t="str">
        <f t="shared" si="13"/>
        <v/>
      </c>
      <c r="C135">
        <f t="shared" si="10"/>
        <v>1</v>
      </c>
      <c r="D135" s="4"/>
      <c r="E135" t="s">
        <v>18</v>
      </c>
      <c r="F135" t="str">
        <f>INDEX(Establishment!B$2:B$1005,MATCH($E135,Establishment!$A$2:$A$1005,0))</f>
        <v xml:space="preserve"> </v>
      </c>
      <c r="G135" t="str">
        <f>INDEX(Establishment!C$2:C$1005,MATCH($E135,Establishment!$A$2:$A$1005,0))</f>
        <v xml:space="preserve"> </v>
      </c>
      <c r="M135">
        <f t="shared" si="11"/>
        <v>0</v>
      </c>
      <c r="N135">
        <f t="shared" si="14"/>
        <v>0</v>
      </c>
      <c r="P135" t="e">
        <f>INDEX(Items!B$2:B$1032,MATCH($O135,Items!$A$2:$A$1032,0))</f>
        <v>#N/A</v>
      </c>
      <c r="Q135" t="e">
        <f>INDEX(Items!C$2:C$1032,MATCH($O135,Items!$A$2:$A$1032,0))</f>
        <v>#N/A</v>
      </c>
      <c r="R135" t="e">
        <f>INDEX(Items!D$2:D$1032,MATCH($O135,Items!$A$2:$A$1032,0))</f>
        <v>#N/A</v>
      </c>
    </row>
    <row r="136" spans="1:18" x14ac:dyDescent="0.25">
      <c r="A136">
        <f t="shared" si="12"/>
        <v>1</v>
      </c>
      <c r="B136" t="str">
        <f t="shared" si="13"/>
        <v/>
      </c>
      <c r="C136">
        <f t="shared" si="10"/>
        <v>1</v>
      </c>
      <c r="D136" s="4"/>
      <c r="E136" t="s">
        <v>18</v>
      </c>
      <c r="F136" t="str">
        <f>INDEX(Establishment!B$2:B$1005,MATCH($E136,Establishment!$A$2:$A$1005,0))</f>
        <v xml:space="preserve"> </v>
      </c>
      <c r="G136" t="str">
        <f>INDEX(Establishment!C$2:C$1005,MATCH($E136,Establishment!$A$2:$A$1005,0))</f>
        <v xml:space="preserve"> </v>
      </c>
      <c r="M136">
        <f t="shared" si="11"/>
        <v>0</v>
      </c>
      <c r="N136">
        <f t="shared" si="14"/>
        <v>0</v>
      </c>
      <c r="P136" t="e">
        <f>INDEX(Items!B$2:B$1032,MATCH($O136,Items!$A$2:$A$1032,0))</f>
        <v>#N/A</v>
      </c>
      <c r="Q136" t="e">
        <f>INDEX(Items!C$2:C$1032,MATCH($O136,Items!$A$2:$A$1032,0))</f>
        <v>#N/A</v>
      </c>
      <c r="R136" t="e">
        <f>INDEX(Items!D$2:D$1032,MATCH($O136,Items!$A$2:$A$1032,0))</f>
        <v>#N/A</v>
      </c>
    </row>
    <row r="137" spans="1:18" x14ac:dyDescent="0.25">
      <c r="A137">
        <f t="shared" si="12"/>
        <v>1</v>
      </c>
      <c r="B137" t="str">
        <f t="shared" si="13"/>
        <v/>
      </c>
      <c r="C137">
        <f t="shared" si="10"/>
        <v>1</v>
      </c>
      <c r="D137" s="4"/>
      <c r="E137" t="s">
        <v>18</v>
      </c>
      <c r="F137" t="str">
        <f>INDEX(Establishment!B$2:B$1005,MATCH($E137,Establishment!$A$2:$A$1005,0))</f>
        <v xml:space="preserve"> </v>
      </c>
      <c r="G137" t="str">
        <f>INDEX(Establishment!C$2:C$1005,MATCH($E137,Establishment!$A$2:$A$1005,0))</f>
        <v xml:space="preserve"> </v>
      </c>
      <c r="M137">
        <f t="shared" si="11"/>
        <v>0</v>
      </c>
      <c r="N137">
        <f t="shared" si="14"/>
        <v>0</v>
      </c>
      <c r="P137" t="e">
        <f>INDEX(Items!B$2:B$1032,MATCH($O137,Items!$A$2:$A$1032,0))</f>
        <v>#N/A</v>
      </c>
      <c r="Q137" t="e">
        <f>INDEX(Items!C$2:C$1032,MATCH($O137,Items!$A$2:$A$1032,0))</f>
        <v>#N/A</v>
      </c>
      <c r="R137" t="e">
        <f>INDEX(Items!D$2:D$1032,MATCH($O137,Items!$A$2:$A$1032,0))</f>
        <v>#N/A</v>
      </c>
    </row>
    <row r="138" spans="1:18" x14ac:dyDescent="0.25">
      <c r="A138">
        <f t="shared" si="12"/>
        <v>1</v>
      </c>
      <c r="B138" t="str">
        <f t="shared" si="13"/>
        <v/>
      </c>
      <c r="C138">
        <f t="shared" ref="C138:C201" si="15">IF(OR(B138="",B138&lt;&gt;B137),1,C137+1)</f>
        <v>1</v>
      </c>
      <c r="D138" s="4"/>
      <c r="E138" t="s">
        <v>18</v>
      </c>
      <c r="F138" t="str">
        <f>INDEX(Establishment!B$2:B$1005,MATCH($E138,Establishment!$A$2:$A$1005,0))</f>
        <v xml:space="preserve"> </v>
      </c>
      <c r="G138" t="str">
        <f>INDEX(Establishment!C$2:C$1005,MATCH($E138,Establishment!$A$2:$A$1005,0))</f>
        <v xml:space="preserve"> </v>
      </c>
      <c r="M138">
        <f t="shared" ref="M138:M201" si="16">K138*L138</f>
        <v>0</v>
      </c>
      <c r="N138">
        <f t="shared" si="14"/>
        <v>0</v>
      </c>
      <c r="P138" t="e">
        <f>INDEX(Items!B$2:B$1032,MATCH($O138,Items!$A$2:$A$1032,0))</f>
        <v>#N/A</v>
      </c>
      <c r="Q138" t="e">
        <f>INDEX(Items!C$2:C$1032,MATCH($O138,Items!$A$2:$A$1032,0))</f>
        <v>#N/A</v>
      </c>
      <c r="R138" t="e">
        <f>INDEX(Items!D$2:D$1032,MATCH($O138,Items!$A$2:$A$1032,0))</f>
        <v>#N/A</v>
      </c>
    </row>
    <row r="139" spans="1:18" x14ac:dyDescent="0.25">
      <c r="A139">
        <f t="shared" si="12"/>
        <v>1</v>
      </c>
      <c r="B139" t="str">
        <f t="shared" si="13"/>
        <v/>
      </c>
      <c r="C139">
        <f t="shared" si="15"/>
        <v>1</v>
      </c>
      <c r="D139" s="4"/>
      <c r="E139" t="s">
        <v>18</v>
      </c>
      <c r="F139" t="str">
        <f>INDEX(Establishment!B$2:B$1005,MATCH($E139,Establishment!$A$2:$A$1005,0))</f>
        <v xml:space="preserve"> </v>
      </c>
      <c r="G139" t="str">
        <f>INDEX(Establishment!C$2:C$1005,MATCH($E139,Establishment!$A$2:$A$1005,0))</f>
        <v xml:space="preserve"> </v>
      </c>
      <c r="M139">
        <f t="shared" si="16"/>
        <v>0</v>
      </c>
      <c r="N139">
        <f t="shared" si="14"/>
        <v>0</v>
      </c>
      <c r="P139" t="e">
        <f>INDEX(Items!B$2:B$1032,MATCH($O139,Items!$A$2:$A$1032,0))</f>
        <v>#N/A</v>
      </c>
      <c r="Q139" t="e">
        <f>INDEX(Items!C$2:C$1032,MATCH($O139,Items!$A$2:$A$1032,0))</f>
        <v>#N/A</v>
      </c>
      <c r="R139" t="e">
        <f>INDEX(Items!D$2:D$1032,MATCH($O139,Items!$A$2:$A$1032,0))</f>
        <v>#N/A</v>
      </c>
    </row>
    <row r="140" spans="1:18" x14ac:dyDescent="0.25">
      <c r="A140">
        <f t="shared" si="12"/>
        <v>1</v>
      </c>
      <c r="B140" t="str">
        <f t="shared" si="13"/>
        <v/>
      </c>
      <c r="C140">
        <f t="shared" si="15"/>
        <v>1</v>
      </c>
      <c r="D140" s="4"/>
      <c r="E140" t="s">
        <v>18</v>
      </c>
      <c r="F140" t="str">
        <f>INDEX(Establishment!B$2:B$1005,MATCH($E140,Establishment!$A$2:$A$1005,0))</f>
        <v xml:space="preserve"> </v>
      </c>
      <c r="G140" t="str">
        <f>INDEX(Establishment!C$2:C$1005,MATCH($E140,Establishment!$A$2:$A$1005,0))</f>
        <v xml:space="preserve"> </v>
      </c>
      <c r="M140">
        <f t="shared" si="16"/>
        <v>0</v>
      </c>
      <c r="N140">
        <f t="shared" si="14"/>
        <v>0</v>
      </c>
      <c r="P140" t="e">
        <f>INDEX(Items!B$2:B$1032,MATCH($O140,Items!$A$2:$A$1032,0))</f>
        <v>#N/A</v>
      </c>
      <c r="Q140" t="e">
        <f>INDEX(Items!C$2:C$1032,MATCH($O140,Items!$A$2:$A$1032,0))</f>
        <v>#N/A</v>
      </c>
      <c r="R140" t="e">
        <f>INDEX(Items!D$2:D$1032,MATCH($O140,Items!$A$2:$A$1032,0))</f>
        <v>#N/A</v>
      </c>
    </row>
    <row r="141" spans="1:18" x14ac:dyDescent="0.25">
      <c r="A141">
        <f t="shared" si="12"/>
        <v>1</v>
      </c>
      <c r="B141" t="str">
        <f t="shared" si="13"/>
        <v/>
      </c>
      <c r="C141">
        <f t="shared" si="15"/>
        <v>1</v>
      </c>
      <c r="D141" s="4"/>
      <c r="E141" t="s">
        <v>18</v>
      </c>
      <c r="F141" t="str">
        <f>INDEX(Establishment!B$2:B$1005,MATCH($E141,Establishment!$A$2:$A$1005,0))</f>
        <v xml:space="preserve"> </v>
      </c>
      <c r="G141" t="str">
        <f>INDEX(Establishment!C$2:C$1005,MATCH($E141,Establishment!$A$2:$A$1005,0))</f>
        <v xml:space="preserve"> </v>
      </c>
      <c r="M141">
        <f t="shared" si="16"/>
        <v>0</v>
      </c>
      <c r="N141">
        <f t="shared" si="14"/>
        <v>0</v>
      </c>
      <c r="P141" t="e">
        <f>INDEX(Items!B$2:B$1032,MATCH($O141,Items!$A$2:$A$1032,0))</f>
        <v>#N/A</v>
      </c>
      <c r="Q141" t="e">
        <f>INDEX(Items!C$2:C$1032,MATCH($O141,Items!$A$2:$A$1032,0))</f>
        <v>#N/A</v>
      </c>
      <c r="R141" t="e">
        <f>INDEX(Items!D$2:D$1032,MATCH($O141,Items!$A$2:$A$1032,0))</f>
        <v>#N/A</v>
      </c>
    </row>
    <row r="142" spans="1:18" x14ac:dyDescent="0.25">
      <c r="A142">
        <f t="shared" si="12"/>
        <v>1</v>
      </c>
      <c r="B142" t="str">
        <f t="shared" si="13"/>
        <v/>
      </c>
      <c r="C142">
        <f t="shared" si="15"/>
        <v>1</v>
      </c>
      <c r="D142" s="4"/>
      <c r="E142" t="s">
        <v>18</v>
      </c>
      <c r="F142" t="str">
        <f>INDEX(Establishment!B$2:B$1005,MATCH($E142,Establishment!$A$2:$A$1005,0))</f>
        <v xml:space="preserve"> </v>
      </c>
      <c r="G142" t="str">
        <f>INDEX(Establishment!C$2:C$1005,MATCH($E142,Establishment!$A$2:$A$1005,0))</f>
        <v xml:space="preserve"> </v>
      </c>
      <c r="M142">
        <f t="shared" si="16"/>
        <v>0</v>
      </c>
      <c r="N142">
        <f t="shared" si="14"/>
        <v>0</v>
      </c>
      <c r="P142" t="e">
        <f>INDEX(Items!B$2:B$1032,MATCH($O142,Items!$A$2:$A$1032,0))</f>
        <v>#N/A</v>
      </c>
      <c r="Q142" t="e">
        <f>INDEX(Items!C$2:C$1032,MATCH($O142,Items!$A$2:$A$1032,0))</f>
        <v>#N/A</v>
      </c>
      <c r="R142" t="e">
        <f>INDEX(Items!D$2:D$1032,MATCH($O142,Items!$A$2:$A$1032,0))</f>
        <v>#N/A</v>
      </c>
    </row>
    <row r="143" spans="1:18" x14ac:dyDescent="0.25">
      <c r="A143">
        <f t="shared" si="12"/>
        <v>1</v>
      </c>
      <c r="B143" t="str">
        <f t="shared" si="13"/>
        <v/>
      </c>
      <c r="C143">
        <f t="shared" si="15"/>
        <v>1</v>
      </c>
      <c r="D143" s="4"/>
      <c r="E143" t="s">
        <v>18</v>
      </c>
      <c r="F143" t="str">
        <f>INDEX(Establishment!B$2:B$1005,MATCH($E143,Establishment!$A$2:$A$1005,0))</f>
        <v xml:space="preserve"> </v>
      </c>
      <c r="G143" t="str">
        <f>INDEX(Establishment!C$2:C$1005,MATCH($E143,Establishment!$A$2:$A$1005,0))</f>
        <v xml:space="preserve"> </v>
      </c>
      <c r="M143">
        <f t="shared" si="16"/>
        <v>0</v>
      </c>
      <c r="N143">
        <f t="shared" si="14"/>
        <v>0</v>
      </c>
      <c r="P143" t="e">
        <f>INDEX(Items!B$2:B$1032,MATCH($O143,Items!$A$2:$A$1032,0))</f>
        <v>#N/A</v>
      </c>
      <c r="Q143" t="e">
        <f>INDEX(Items!C$2:C$1032,MATCH($O143,Items!$A$2:$A$1032,0))</f>
        <v>#N/A</v>
      </c>
      <c r="R143" t="e">
        <f>INDEX(Items!D$2:D$1032,MATCH($O143,Items!$A$2:$A$1032,0))</f>
        <v>#N/A</v>
      </c>
    </row>
    <row r="144" spans="1:18" x14ac:dyDescent="0.25">
      <c r="A144">
        <f t="shared" si="12"/>
        <v>1</v>
      </c>
      <c r="B144" t="str">
        <f t="shared" si="13"/>
        <v/>
      </c>
      <c r="C144">
        <f t="shared" si="15"/>
        <v>1</v>
      </c>
      <c r="D144" s="4"/>
      <c r="E144" t="s">
        <v>18</v>
      </c>
      <c r="F144" t="str">
        <f>INDEX(Establishment!B$2:B$1005,MATCH($E144,Establishment!$A$2:$A$1005,0))</f>
        <v xml:space="preserve"> </v>
      </c>
      <c r="G144" t="str">
        <f>INDEX(Establishment!C$2:C$1005,MATCH($E144,Establishment!$A$2:$A$1005,0))</f>
        <v xml:space="preserve"> </v>
      </c>
      <c r="M144">
        <f t="shared" si="16"/>
        <v>0</v>
      </c>
      <c r="N144">
        <f t="shared" si="14"/>
        <v>0</v>
      </c>
      <c r="P144" t="e">
        <f>INDEX(Items!B$2:B$1032,MATCH($O144,Items!$A$2:$A$1032,0))</f>
        <v>#N/A</v>
      </c>
      <c r="Q144" t="e">
        <f>INDEX(Items!C$2:C$1032,MATCH($O144,Items!$A$2:$A$1032,0))</f>
        <v>#N/A</v>
      </c>
      <c r="R144" t="e">
        <f>INDEX(Items!D$2:D$1032,MATCH($O144,Items!$A$2:$A$1032,0))</f>
        <v>#N/A</v>
      </c>
    </row>
    <row r="145" spans="1:18" x14ac:dyDescent="0.25">
      <c r="A145">
        <f t="shared" si="12"/>
        <v>1</v>
      </c>
      <c r="B145" t="str">
        <f t="shared" si="13"/>
        <v/>
      </c>
      <c r="C145">
        <f t="shared" si="15"/>
        <v>1</v>
      </c>
      <c r="D145" s="4"/>
      <c r="E145" t="s">
        <v>18</v>
      </c>
      <c r="F145" t="str">
        <f>INDEX(Establishment!B$2:B$1005,MATCH($E145,Establishment!$A$2:$A$1005,0))</f>
        <v xml:space="preserve"> </v>
      </c>
      <c r="G145" t="str">
        <f>INDEX(Establishment!C$2:C$1005,MATCH($E145,Establishment!$A$2:$A$1005,0))</f>
        <v xml:space="preserve"> </v>
      </c>
      <c r="M145">
        <f t="shared" si="16"/>
        <v>0</v>
      </c>
      <c r="N145">
        <f t="shared" si="14"/>
        <v>0</v>
      </c>
      <c r="P145" t="e">
        <f>INDEX(Items!B$2:B$1032,MATCH($O145,Items!$A$2:$A$1032,0))</f>
        <v>#N/A</v>
      </c>
      <c r="Q145" t="e">
        <f>INDEX(Items!C$2:C$1032,MATCH($O145,Items!$A$2:$A$1032,0))</f>
        <v>#N/A</v>
      </c>
      <c r="R145" t="e">
        <f>INDEX(Items!D$2:D$1032,MATCH($O145,Items!$A$2:$A$1032,0))</f>
        <v>#N/A</v>
      </c>
    </row>
    <row r="146" spans="1:18" x14ac:dyDescent="0.25">
      <c r="A146">
        <f t="shared" si="12"/>
        <v>1</v>
      </c>
      <c r="B146" t="str">
        <f t="shared" si="13"/>
        <v/>
      </c>
      <c r="C146">
        <f t="shared" si="15"/>
        <v>1</v>
      </c>
      <c r="D146" s="4"/>
      <c r="E146" t="s">
        <v>18</v>
      </c>
      <c r="F146" t="str">
        <f>INDEX(Establishment!B$2:B$1005,MATCH($E146,Establishment!$A$2:$A$1005,0))</f>
        <v xml:space="preserve"> </v>
      </c>
      <c r="G146" t="str">
        <f>INDEX(Establishment!C$2:C$1005,MATCH($E146,Establishment!$A$2:$A$1005,0))</f>
        <v xml:space="preserve"> </v>
      </c>
      <c r="M146">
        <f t="shared" si="16"/>
        <v>0</v>
      </c>
      <c r="N146">
        <f t="shared" si="14"/>
        <v>0</v>
      </c>
      <c r="P146" t="e">
        <f>INDEX(Items!B$2:B$1032,MATCH($O146,Items!$A$2:$A$1032,0))</f>
        <v>#N/A</v>
      </c>
      <c r="Q146" t="e">
        <f>INDEX(Items!C$2:C$1032,MATCH($O146,Items!$A$2:$A$1032,0))</f>
        <v>#N/A</v>
      </c>
      <c r="R146" t="e">
        <f>INDEX(Items!D$2:D$1032,MATCH($O146,Items!$A$2:$A$1032,0))</f>
        <v>#N/A</v>
      </c>
    </row>
    <row r="147" spans="1:18" x14ac:dyDescent="0.25">
      <c r="A147">
        <f t="shared" si="12"/>
        <v>1</v>
      </c>
      <c r="B147" t="str">
        <f t="shared" si="13"/>
        <v/>
      </c>
      <c r="C147">
        <f t="shared" si="15"/>
        <v>1</v>
      </c>
      <c r="D147" s="4"/>
      <c r="E147" t="s">
        <v>18</v>
      </c>
      <c r="F147" t="str">
        <f>INDEX(Establishment!B$2:B$1005,MATCH($E147,Establishment!$A$2:$A$1005,0))</f>
        <v xml:space="preserve"> </v>
      </c>
      <c r="G147" t="str">
        <f>INDEX(Establishment!C$2:C$1005,MATCH($E147,Establishment!$A$2:$A$1005,0))</f>
        <v xml:space="preserve"> </v>
      </c>
      <c r="M147">
        <f t="shared" si="16"/>
        <v>0</v>
      </c>
      <c r="N147">
        <f t="shared" si="14"/>
        <v>0</v>
      </c>
      <c r="P147" t="e">
        <f>INDEX(Items!B$2:B$1032,MATCH($O147,Items!$A$2:$A$1032,0))</f>
        <v>#N/A</v>
      </c>
      <c r="Q147" t="e">
        <f>INDEX(Items!C$2:C$1032,MATCH($O147,Items!$A$2:$A$1032,0))</f>
        <v>#N/A</v>
      </c>
      <c r="R147" t="e">
        <f>INDEX(Items!D$2:D$1032,MATCH($O147,Items!$A$2:$A$1032,0))</f>
        <v>#N/A</v>
      </c>
    </row>
    <row r="148" spans="1:18" x14ac:dyDescent="0.25">
      <c r="A148">
        <f t="shared" si="12"/>
        <v>1</v>
      </c>
      <c r="B148" t="str">
        <f t="shared" si="13"/>
        <v/>
      </c>
      <c r="C148">
        <f t="shared" si="15"/>
        <v>1</v>
      </c>
      <c r="D148" s="4"/>
      <c r="E148" t="s">
        <v>18</v>
      </c>
      <c r="F148" t="str">
        <f>INDEX(Establishment!B$2:B$1005,MATCH($E148,Establishment!$A$2:$A$1005,0))</f>
        <v xml:space="preserve"> </v>
      </c>
      <c r="G148" t="str">
        <f>INDEX(Establishment!C$2:C$1005,MATCH($E148,Establishment!$A$2:$A$1005,0))</f>
        <v xml:space="preserve"> </v>
      </c>
      <c r="M148">
        <f t="shared" si="16"/>
        <v>0</v>
      </c>
      <c r="N148">
        <f t="shared" si="14"/>
        <v>0</v>
      </c>
      <c r="P148" t="e">
        <f>INDEX(Items!B$2:B$1032,MATCH($O148,Items!$A$2:$A$1032,0))</f>
        <v>#N/A</v>
      </c>
      <c r="Q148" t="e">
        <f>INDEX(Items!C$2:C$1032,MATCH($O148,Items!$A$2:$A$1032,0))</f>
        <v>#N/A</v>
      </c>
      <c r="R148" t="e">
        <f>INDEX(Items!D$2:D$1032,MATCH($O148,Items!$A$2:$A$1032,0))</f>
        <v>#N/A</v>
      </c>
    </row>
    <row r="149" spans="1:18" x14ac:dyDescent="0.25">
      <c r="A149">
        <f t="shared" si="12"/>
        <v>1</v>
      </c>
      <c r="B149" t="str">
        <f t="shared" si="13"/>
        <v/>
      </c>
      <c r="C149">
        <f t="shared" si="15"/>
        <v>1</v>
      </c>
      <c r="D149" s="4"/>
      <c r="E149" t="s">
        <v>18</v>
      </c>
      <c r="F149" t="str">
        <f>INDEX(Establishment!B$2:B$1005,MATCH($E149,Establishment!$A$2:$A$1005,0))</f>
        <v xml:space="preserve"> </v>
      </c>
      <c r="G149" t="str">
        <f>INDEX(Establishment!C$2:C$1005,MATCH($E149,Establishment!$A$2:$A$1005,0))</f>
        <v xml:space="preserve"> </v>
      </c>
      <c r="M149">
        <f t="shared" si="16"/>
        <v>0</v>
      </c>
      <c r="N149">
        <f t="shared" si="14"/>
        <v>0</v>
      </c>
      <c r="P149" t="e">
        <f>INDEX(Items!B$2:B$1032,MATCH($O149,Items!$A$2:$A$1032,0))</f>
        <v>#N/A</v>
      </c>
      <c r="Q149" t="e">
        <f>INDEX(Items!C$2:C$1032,MATCH($O149,Items!$A$2:$A$1032,0))</f>
        <v>#N/A</v>
      </c>
      <c r="R149" t="e">
        <f>INDEX(Items!D$2:D$1032,MATCH($O149,Items!$A$2:$A$1032,0))</f>
        <v>#N/A</v>
      </c>
    </row>
    <row r="150" spans="1:18" x14ac:dyDescent="0.25">
      <c r="A150">
        <f t="shared" si="12"/>
        <v>1</v>
      </c>
      <c r="B150" t="str">
        <f t="shared" si="13"/>
        <v/>
      </c>
      <c r="C150">
        <f t="shared" si="15"/>
        <v>1</v>
      </c>
      <c r="D150" s="4"/>
      <c r="E150" t="s">
        <v>18</v>
      </c>
      <c r="F150" t="str">
        <f>INDEX(Establishment!B$2:B$1005,MATCH($E150,Establishment!$A$2:$A$1005,0))</f>
        <v xml:space="preserve"> </v>
      </c>
      <c r="G150" t="str">
        <f>INDEX(Establishment!C$2:C$1005,MATCH($E150,Establishment!$A$2:$A$1005,0))</f>
        <v xml:space="preserve"> </v>
      </c>
      <c r="M150">
        <f t="shared" si="16"/>
        <v>0</v>
      </c>
      <c r="N150">
        <f t="shared" si="14"/>
        <v>0</v>
      </c>
      <c r="P150" t="e">
        <f>INDEX(Items!B$2:B$1032,MATCH($O150,Items!$A$2:$A$1032,0))</f>
        <v>#N/A</v>
      </c>
      <c r="Q150" t="e">
        <f>INDEX(Items!C$2:C$1032,MATCH($O150,Items!$A$2:$A$1032,0))</f>
        <v>#N/A</v>
      </c>
      <c r="R150" t="e">
        <f>INDEX(Items!D$2:D$1032,MATCH($O150,Items!$A$2:$A$1032,0))</f>
        <v>#N/A</v>
      </c>
    </row>
    <row r="151" spans="1:18" x14ac:dyDescent="0.25">
      <c r="A151">
        <f t="shared" si="12"/>
        <v>1</v>
      </c>
      <c r="B151" t="str">
        <f t="shared" si="13"/>
        <v/>
      </c>
      <c r="C151">
        <f t="shared" si="15"/>
        <v>1</v>
      </c>
      <c r="D151" s="4"/>
      <c r="E151" t="s">
        <v>18</v>
      </c>
      <c r="F151" t="str">
        <f>INDEX(Establishment!B$2:B$1005,MATCH($E151,Establishment!$A$2:$A$1005,0))</f>
        <v xml:space="preserve"> </v>
      </c>
      <c r="G151" t="str">
        <f>INDEX(Establishment!C$2:C$1005,MATCH($E151,Establishment!$A$2:$A$1005,0))</f>
        <v xml:space="preserve"> </v>
      </c>
      <c r="M151">
        <f t="shared" si="16"/>
        <v>0</v>
      </c>
      <c r="N151">
        <f t="shared" si="14"/>
        <v>0</v>
      </c>
      <c r="P151" t="e">
        <f>INDEX(Items!B$2:B$1032,MATCH($O151,Items!$A$2:$A$1032,0))</f>
        <v>#N/A</v>
      </c>
      <c r="Q151" t="e">
        <f>INDEX(Items!C$2:C$1032,MATCH($O151,Items!$A$2:$A$1032,0))</f>
        <v>#N/A</v>
      </c>
      <c r="R151" t="e">
        <f>INDEX(Items!D$2:D$1032,MATCH($O151,Items!$A$2:$A$1032,0))</f>
        <v>#N/A</v>
      </c>
    </row>
    <row r="152" spans="1:18" x14ac:dyDescent="0.25">
      <c r="A152">
        <f t="shared" si="12"/>
        <v>1</v>
      </c>
      <c r="B152" t="str">
        <f t="shared" si="13"/>
        <v/>
      </c>
      <c r="C152">
        <f t="shared" si="15"/>
        <v>1</v>
      </c>
      <c r="D152" s="4"/>
      <c r="E152" t="s">
        <v>18</v>
      </c>
      <c r="F152" t="str">
        <f>INDEX(Establishment!B$2:B$1005,MATCH($E152,Establishment!$A$2:$A$1005,0))</f>
        <v xml:space="preserve"> </v>
      </c>
      <c r="G152" t="str">
        <f>INDEX(Establishment!C$2:C$1005,MATCH($E152,Establishment!$A$2:$A$1005,0))</f>
        <v xml:space="preserve"> </v>
      </c>
      <c r="M152">
        <f t="shared" si="16"/>
        <v>0</v>
      </c>
      <c r="N152">
        <f t="shared" si="14"/>
        <v>0</v>
      </c>
      <c r="P152" t="e">
        <f>INDEX(Items!B$2:B$1032,MATCH($O152,Items!$A$2:$A$1032,0))</f>
        <v>#N/A</v>
      </c>
      <c r="Q152" t="e">
        <f>INDEX(Items!C$2:C$1032,MATCH($O152,Items!$A$2:$A$1032,0))</f>
        <v>#N/A</v>
      </c>
      <c r="R152" t="e">
        <f>INDEX(Items!D$2:D$1032,MATCH($O152,Items!$A$2:$A$1032,0))</f>
        <v>#N/A</v>
      </c>
    </row>
    <row r="153" spans="1:18" x14ac:dyDescent="0.25">
      <c r="A153">
        <f t="shared" si="12"/>
        <v>1</v>
      </c>
      <c r="B153" t="str">
        <f t="shared" si="13"/>
        <v/>
      </c>
      <c r="C153">
        <f t="shared" si="15"/>
        <v>1</v>
      </c>
      <c r="D153" s="4"/>
      <c r="E153" t="s">
        <v>18</v>
      </c>
      <c r="F153" t="str">
        <f>INDEX(Establishment!B$2:B$1005,MATCH($E153,Establishment!$A$2:$A$1005,0))</f>
        <v xml:space="preserve"> </v>
      </c>
      <c r="G153" t="str">
        <f>INDEX(Establishment!C$2:C$1005,MATCH($E153,Establishment!$A$2:$A$1005,0))</f>
        <v xml:space="preserve"> </v>
      </c>
      <c r="M153">
        <f t="shared" si="16"/>
        <v>0</v>
      </c>
      <c r="N153">
        <f t="shared" si="14"/>
        <v>0</v>
      </c>
      <c r="P153" t="e">
        <f>INDEX(Items!B$2:B$1032,MATCH($O153,Items!$A$2:$A$1032,0))</f>
        <v>#N/A</v>
      </c>
      <c r="Q153" t="e">
        <f>INDEX(Items!C$2:C$1032,MATCH($O153,Items!$A$2:$A$1032,0))</f>
        <v>#N/A</v>
      </c>
      <c r="R153" t="e">
        <f>INDEX(Items!D$2:D$1032,MATCH($O153,Items!$A$2:$A$1032,0))</f>
        <v>#N/A</v>
      </c>
    </row>
    <row r="154" spans="1:18" x14ac:dyDescent="0.25">
      <c r="A154">
        <f t="shared" si="12"/>
        <v>1</v>
      </c>
      <c r="B154" t="str">
        <f t="shared" si="13"/>
        <v/>
      </c>
      <c r="C154">
        <f t="shared" si="15"/>
        <v>1</v>
      </c>
      <c r="D154" s="4"/>
      <c r="E154" t="s">
        <v>18</v>
      </c>
      <c r="F154" t="str">
        <f>INDEX(Establishment!B$2:B$1005,MATCH($E154,Establishment!$A$2:$A$1005,0))</f>
        <v xml:space="preserve"> </v>
      </c>
      <c r="G154" t="str">
        <f>INDEX(Establishment!C$2:C$1005,MATCH($E154,Establishment!$A$2:$A$1005,0))</f>
        <v xml:space="preserve"> </v>
      </c>
      <c r="M154">
        <f t="shared" si="16"/>
        <v>0</v>
      </c>
      <c r="N154">
        <f t="shared" si="14"/>
        <v>0</v>
      </c>
      <c r="P154" t="e">
        <f>INDEX(Items!B$2:B$1032,MATCH($O154,Items!$A$2:$A$1032,0))</f>
        <v>#N/A</v>
      </c>
      <c r="Q154" t="e">
        <f>INDEX(Items!C$2:C$1032,MATCH($O154,Items!$A$2:$A$1032,0))</f>
        <v>#N/A</v>
      </c>
      <c r="R154" t="e">
        <f>INDEX(Items!D$2:D$1032,MATCH($O154,Items!$A$2:$A$1032,0))</f>
        <v>#N/A</v>
      </c>
    </row>
    <row r="155" spans="1:18" x14ac:dyDescent="0.25">
      <c r="A155">
        <f t="shared" si="12"/>
        <v>1</v>
      </c>
      <c r="B155" t="str">
        <f t="shared" si="13"/>
        <v/>
      </c>
      <c r="C155">
        <f t="shared" si="15"/>
        <v>1</v>
      </c>
      <c r="D155" s="4"/>
      <c r="E155" t="s">
        <v>18</v>
      </c>
      <c r="F155" t="str">
        <f>INDEX(Establishment!B$2:B$1005,MATCH($E155,Establishment!$A$2:$A$1005,0))</f>
        <v xml:space="preserve"> </v>
      </c>
      <c r="G155" t="str">
        <f>INDEX(Establishment!C$2:C$1005,MATCH($E155,Establishment!$A$2:$A$1005,0))</f>
        <v xml:space="preserve"> </v>
      </c>
      <c r="M155">
        <f t="shared" si="16"/>
        <v>0</v>
      </c>
      <c r="N155">
        <f t="shared" si="14"/>
        <v>0</v>
      </c>
      <c r="P155" t="e">
        <f>INDEX(Items!B$2:B$1032,MATCH($O155,Items!$A$2:$A$1032,0))</f>
        <v>#N/A</v>
      </c>
      <c r="Q155" t="e">
        <f>INDEX(Items!C$2:C$1032,MATCH($O155,Items!$A$2:$A$1032,0))</f>
        <v>#N/A</v>
      </c>
      <c r="R155" t="e">
        <f>INDEX(Items!D$2:D$1032,MATCH($O155,Items!$A$2:$A$1032,0))</f>
        <v>#N/A</v>
      </c>
    </row>
    <row r="156" spans="1:18" x14ac:dyDescent="0.25">
      <c r="A156">
        <f t="shared" si="12"/>
        <v>1</v>
      </c>
      <c r="B156" t="str">
        <f t="shared" si="13"/>
        <v/>
      </c>
      <c r="C156">
        <f t="shared" si="15"/>
        <v>1</v>
      </c>
      <c r="D156" s="4"/>
      <c r="E156" t="s">
        <v>18</v>
      </c>
      <c r="F156" t="str">
        <f>INDEX(Establishment!B$2:B$1005,MATCH($E156,Establishment!$A$2:$A$1005,0))</f>
        <v xml:space="preserve"> </v>
      </c>
      <c r="G156" t="str">
        <f>INDEX(Establishment!C$2:C$1005,MATCH($E156,Establishment!$A$2:$A$1005,0))</f>
        <v xml:space="preserve"> </v>
      </c>
      <c r="M156">
        <f t="shared" si="16"/>
        <v>0</v>
      </c>
      <c r="N156">
        <f t="shared" si="14"/>
        <v>0</v>
      </c>
      <c r="P156" t="e">
        <f>INDEX(Items!B$2:B$1032,MATCH($O156,Items!$A$2:$A$1032,0))</f>
        <v>#N/A</v>
      </c>
      <c r="Q156" t="e">
        <f>INDEX(Items!C$2:C$1032,MATCH($O156,Items!$A$2:$A$1032,0))</f>
        <v>#N/A</v>
      </c>
      <c r="R156" t="e">
        <f>INDEX(Items!D$2:D$1032,MATCH($O156,Items!$A$2:$A$1032,0))</f>
        <v>#N/A</v>
      </c>
    </row>
    <row r="157" spans="1:18" x14ac:dyDescent="0.25">
      <c r="A157">
        <f t="shared" si="12"/>
        <v>1</v>
      </c>
      <c r="B157" t="str">
        <f t="shared" si="13"/>
        <v/>
      </c>
      <c r="C157">
        <f t="shared" si="15"/>
        <v>1</v>
      </c>
      <c r="D157" s="4"/>
      <c r="E157" t="s">
        <v>18</v>
      </c>
      <c r="F157" t="str">
        <f>INDEX(Establishment!B$2:B$1005,MATCH($E157,Establishment!$A$2:$A$1005,0))</f>
        <v xml:space="preserve"> </v>
      </c>
      <c r="G157" t="str">
        <f>INDEX(Establishment!C$2:C$1005,MATCH($E157,Establishment!$A$2:$A$1005,0))</f>
        <v xml:space="preserve"> </v>
      </c>
      <c r="M157">
        <f t="shared" si="16"/>
        <v>0</v>
      </c>
      <c r="N157">
        <f t="shared" si="14"/>
        <v>0</v>
      </c>
      <c r="P157" t="e">
        <f>INDEX(Items!B$2:B$1032,MATCH($O157,Items!$A$2:$A$1032,0))</f>
        <v>#N/A</v>
      </c>
      <c r="Q157" t="e">
        <f>INDEX(Items!C$2:C$1032,MATCH($O157,Items!$A$2:$A$1032,0))</f>
        <v>#N/A</v>
      </c>
      <c r="R157" t="e">
        <f>INDEX(Items!D$2:D$1032,MATCH($O157,Items!$A$2:$A$1032,0))</f>
        <v>#N/A</v>
      </c>
    </row>
    <row r="158" spans="1:18" x14ac:dyDescent="0.25">
      <c r="A158">
        <f t="shared" si="12"/>
        <v>1</v>
      </c>
      <c r="B158" t="str">
        <f t="shared" si="13"/>
        <v/>
      </c>
      <c r="C158">
        <f t="shared" si="15"/>
        <v>1</v>
      </c>
      <c r="D158" s="4"/>
      <c r="E158" t="s">
        <v>18</v>
      </c>
      <c r="F158" t="str">
        <f>INDEX(Establishment!B$2:B$1005,MATCH($E158,Establishment!$A$2:$A$1005,0))</f>
        <v xml:space="preserve"> </v>
      </c>
      <c r="G158" t="str">
        <f>INDEX(Establishment!C$2:C$1005,MATCH($E158,Establishment!$A$2:$A$1005,0))</f>
        <v xml:space="preserve"> </v>
      </c>
      <c r="M158">
        <f t="shared" si="16"/>
        <v>0</v>
      </c>
      <c r="N158">
        <f t="shared" si="14"/>
        <v>0</v>
      </c>
      <c r="P158" t="e">
        <f>INDEX(Items!B$2:B$1032,MATCH($O158,Items!$A$2:$A$1032,0))</f>
        <v>#N/A</v>
      </c>
      <c r="Q158" t="e">
        <f>INDEX(Items!C$2:C$1032,MATCH($O158,Items!$A$2:$A$1032,0))</f>
        <v>#N/A</v>
      </c>
      <c r="R158" t="e">
        <f>INDEX(Items!D$2:D$1032,MATCH($O158,Items!$A$2:$A$1032,0))</f>
        <v>#N/A</v>
      </c>
    </row>
    <row r="159" spans="1:18" x14ac:dyDescent="0.25">
      <c r="A159">
        <f t="shared" si="12"/>
        <v>1</v>
      </c>
      <c r="B159" t="str">
        <f t="shared" si="13"/>
        <v/>
      </c>
      <c r="C159">
        <f t="shared" si="15"/>
        <v>1</v>
      </c>
      <c r="D159" s="4"/>
      <c r="E159" t="s">
        <v>18</v>
      </c>
      <c r="F159" t="str">
        <f>INDEX(Establishment!B$2:B$1005,MATCH($E159,Establishment!$A$2:$A$1005,0))</f>
        <v xml:space="preserve"> </v>
      </c>
      <c r="G159" t="str">
        <f>INDEX(Establishment!C$2:C$1005,MATCH($E159,Establishment!$A$2:$A$1005,0))</f>
        <v xml:space="preserve"> </v>
      </c>
      <c r="M159">
        <f t="shared" si="16"/>
        <v>0</v>
      </c>
      <c r="N159">
        <f t="shared" si="14"/>
        <v>0</v>
      </c>
      <c r="P159" t="e">
        <f>INDEX(Items!B$2:B$1032,MATCH($O159,Items!$A$2:$A$1032,0))</f>
        <v>#N/A</v>
      </c>
      <c r="Q159" t="e">
        <f>INDEX(Items!C$2:C$1032,MATCH($O159,Items!$A$2:$A$1032,0))</f>
        <v>#N/A</v>
      </c>
      <c r="R159" t="e">
        <f>INDEX(Items!D$2:D$1032,MATCH($O159,Items!$A$2:$A$1032,0))</f>
        <v>#N/A</v>
      </c>
    </row>
    <row r="160" spans="1:18" x14ac:dyDescent="0.25">
      <c r="A160">
        <f t="shared" si="12"/>
        <v>1</v>
      </c>
      <c r="B160" t="str">
        <f t="shared" si="13"/>
        <v/>
      </c>
      <c r="C160">
        <f t="shared" si="15"/>
        <v>1</v>
      </c>
      <c r="D160" s="4"/>
      <c r="E160" t="s">
        <v>18</v>
      </c>
      <c r="F160" t="str">
        <f>INDEX(Establishment!B$2:B$1005,MATCH($E160,Establishment!$A$2:$A$1005,0))</f>
        <v xml:space="preserve"> </v>
      </c>
      <c r="G160" t="str">
        <f>INDEX(Establishment!C$2:C$1005,MATCH($E160,Establishment!$A$2:$A$1005,0))</f>
        <v xml:space="preserve"> </v>
      </c>
      <c r="M160">
        <f t="shared" si="16"/>
        <v>0</v>
      </c>
      <c r="N160">
        <f t="shared" si="14"/>
        <v>0</v>
      </c>
      <c r="P160" t="e">
        <f>INDEX(Items!B$2:B$1032,MATCH($O160,Items!$A$2:$A$1032,0))</f>
        <v>#N/A</v>
      </c>
      <c r="Q160" t="e">
        <f>INDEX(Items!C$2:C$1032,MATCH($O160,Items!$A$2:$A$1032,0))</f>
        <v>#N/A</v>
      </c>
      <c r="R160" t="e">
        <f>INDEX(Items!D$2:D$1032,MATCH($O160,Items!$A$2:$A$1032,0))</f>
        <v>#N/A</v>
      </c>
    </row>
    <row r="161" spans="1:18" x14ac:dyDescent="0.25">
      <c r="A161">
        <f t="shared" si="12"/>
        <v>1</v>
      </c>
      <c r="B161" t="str">
        <f t="shared" si="13"/>
        <v/>
      </c>
      <c r="C161">
        <f t="shared" si="15"/>
        <v>1</v>
      </c>
      <c r="D161" s="4"/>
      <c r="E161" t="s">
        <v>18</v>
      </c>
      <c r="F161" t="str">
        <f>INDEX(Establishment!B$2:B$1005,MATCH($E161,Establishment!$A$2:$A$1005,0))</f>
        <v xml:space="preserve"> </v>
      </c>
      <c r="G161" t="str">
        <f>INDEX(Establishment!C$2:C$1005,MATCH($E161,Establishment!$A$2:$A$1005,0))</f>
        <v xml:space="preserve"> </v>
      </c>
      <c r="M161">
        <f t="shared" si="16"/>
        <v>0</v>
      </c>
      <c r="N161">
        <f t="shared" si="14"/>
        <v>0</v>
      </c>
      <c r="P161" t="e">
        <f>INDEX(Items!B$2:B$1032,MATCH($O161,Items!$A$2:$A$1032,0))</f>
        <v>#N/A</v>
      </c>
      <c r="Q161" t="e">
        <f>INDEX(Items!C$2:C$1032,MATCH($O161,Items!$A$2:$A$1032,0))</f>
        <v>#N/A</v>
      </c>
      <c r="R161" t="e">
        <f>INDEX(Items!D$2:D$1032,MATCH($O161,Items!$A$2:$A$1032,0))</f>
        <v>#N/A</v>
      </c>
    </row>
    <row r="162" spans="1:18" x14ac:dyDescent="0.25">
      <c r="A162">
        <f t="shared" si="12"/>
        <v>1</v>
      </c>
      <c r="B162" t="str">
        <f t="shared" si="13"/>
        <v/>
      </c>
      <c r="C162">
        <f t="shared" si="15"/>
        <v>1</v>
      </c>
      <c r="D162" s="4"/>
      <c r="E162" t="s">
        <v>18</v>
      </c>
      <c r="F162" t="str">
        <f>INDEX(Establishment!B$2:B$1005,MATCH($E162,Establishment!$A$2:$A$1005,0))</f>
        <v xml:space="preserve"> </v>
      </c>
      <c r="G162" t="str">
        <f>INDEX(Establishment!C$2:C$1005,MATCH($E162,Establishment!$A$2:$A$1005,0))</f>
        <v xml:space="preserve"> </v>
      </c>
      <c r="M162">
        <f t="shared" si="16"/>
        <v>0</v>
      </c>
      <c r="N162">
        <f t="shared" si="14"/>
        <v>0</v>
      </c>
      <c r="P162" t="e">
        <f>INDEX(Items!B$2:B$1032,MATCH($O162,Items!$A$2:$A$1032,0))</f>
        <v>#N/A</v>
      </c>
      <c r="Q162" t="e">
        <f>INDEX(Items!C$2:C$1032,MATCH($O162,Items!$A$2:$A$1032,0))</f>
        <v>#N/A</v>
      </c>
      <c r="R162" t="e">
        <f>INDEX(Items!D$2:D$1032,MATCH($O162,Items!$A$2:$A$1032,0))</f>
        <v>#N/A</v>
      </c>
    </row>
    <row r="163" spans="1:18" x14ac:dyDescent="0.25">
      <c r="A163">
        <f t="shared" si="12"/>
        <v>1</v>
      </c>
      <c r="B163" t="str">
        <f t="shared" si="13"/>
        <v/>
      </c>
      <c r="C163">
        <f t="shared" si="15"/>
        <v>1</v>
      </c>
      <c r="D163" s="4"/>
      <c r="E163" t="s">
        <v>18</v>
      </c>
      <c r="F163" t="str">
        <f>INDEX(Establishment!B$2:B$1005,MATCH($E163,Establishment!$A$2:$A$1005,0))</f>
        <v xml:space="preserve"> </v>
      </c>
      <c r="G163" t="str">
        <f>INDEX(Establishment!C$2:C$1005,MATCH($E163,Establishment!$A$2:$A$1005,0))</f>
        <v xml:space="preserve"> </v>
      </c>
      <c r="M163">
        <f t="shared" si="16"/>
        <v>0</v>
      </c>
      <c r="N163">
        <f t="shared" si="14"/>
        <v>0</v>
      </c>
      <c r="P163" t="e">
        <f>INDEX(Items!B$2:B$1032,MATCH($O163,Items!$A$2:$A$1032,0))</f>
        <v>#N/A</v>
      </c>
      <c r="Q163" t="e">
        <f>INDEX(Items!C$2:C$1032,MATCH($O163,Items!$A$2:$A$1032,0))</f>
        <v>#N/A</v>
      </c>
      <c r="R163" t="e">
        <f>INDEX(Items!D$2:D$1032,MATCH($O163,Items!$A$2:$A$1032,0))</f>
        <v>#N/A</v>
      </c>
    </row>
    <row r="164" spans="1:18" x14ac:dyDescent="0.25">
      <c r="A164">
        <f t="shared" si="12"/>
        <v>1</v>
      </c>
      <c r="B164" t="str">
        <f t="shared" si="13"/>
        <v/>
      </c>
      <c r="C164">
        <f t="shared" si="15"/>
        <v>1</v>
      </c>
      <c r="D164" s="4"/>
      <c r="E164" t="s">
        <v>18</v>
      </c>
      <c r="F164" t="str">
        <f>INDEX(Establishment!B$2:B$1005,MATCH($E164,Establishment!$A$2:$A$1005,0))</f>
        <v xml:space="preserve"> </v>
      </c>
      <c r="G164" t="str">
        <f>INDEX(Establishment!C$2:C$1005,MATCH($E164,Establishment!$A$2:$A$1005,0))</f>
        <v xml:space="preserve"> </v>
      </c>
      <c r="M164">
        <f t="shared" si="16"/>
        <v>0</v>
      </c>
      <c r="N164">
        <f t="shared" si="14"/>
        <v>0</v>
      </c>
      <c r="P164" t="e">
        <f>INDEX(Items!B$2:B$1032,MATCH($O164,Items!$A$2:$A$1032,0))</f>
        <v>#N/A</v>
      </c>
      <c r="Q164" t="e">
        <f>INDEX(Items!C$2:C$1032,MATCH($O164,Items!$A$2:$A$1032,0))</f>
        <v>#N/A</v>
      </c>
      <c r="R164" t="e">
        <f>INDEX(Items!D$2:D$1032,MATCH($O164,Items!$A$2:$A$1032,0))</f>
        <v>#N/A</v>
      </c>
    </row>
    <row r="165" spans="1:18" x14ac:dyDescent="0.25">
      <c r="A165">
        <f t="shared" si="12"/>
        <v>1</v>
      </c>
      <c r="B165" t="str">
        <f t="shared" si="13"/>
        <v/>
      </c>
      <c r="C165">
        <f t="shared" si="15"/>
        <v>1</v>
      </c>
      <c r="D165" s="4"/>
      <c r="E165" t="s">
        <v>18</v>
      </c>
      <c r="F165" t="str">
        <f>INDEX(Establishment!B$2:B$1005,MATCH($E165,Establishment!$A$2:$A$1005,0))</f>
        <v xml:space="preserve"> </v>
      </c>
      <c r="G165" t="str">
        <f>INDEX(Establishment!C$2:C$1005,MATCH($E165,Establishment!$A$2:$A$1005,0))</f>
        <v xml:space="preserve"> </v>
      </c>
      <c r="M165">
        <f t="shared" si="16"/>
        <v>0</v>
      </c>
      <c r="N165">
        <f t="shared" si="14"/>
        <v>0</v>
      </c>
      <c r="P165" t="e">
        <f>INDEX(Items!B$2:B$1032,MATCH($O165,Items!$A$2:$A$1032,0))</f>
        <v>#N/A</v>
      </c>
      <c r="Q165" t="e">
        <f>INDEX(Items!C$2:C$1032,MATCH($O165,Items!$A$2:$A$1032,0))</f>
        <v>#N/A</v>
      </c>
      <c r="R165" t="e">
        <f>INDEX(Items!D$2:D$1032,MATCH($O165,Items!$A$2:$A$1032,0))</f>
        <v>#N/A</v>
      </c>
    </row>
    <row r="166" spans="1:18" x14ac:dyDescent="0.25">
      <c r="A166">
        <f t="shared" si="12"/>
        <v>1</v>
      </c>
      <c r="B166" t="str">
        <f t="shared" si="13"/>
        <v/>
      </c>
      <c r="C166">
        <f t="shared" si="15"/>
        <v>1</v>
      </c>
      <c r="D166" s="4"/>
      <c r="E166" t="s">
        <v>18</v>
      </c>
      <c r="F166" t="str">
        <f>INDEX(Establishment!B$2:B$1005,MATCH($E166,Establishment!$A$2:$A$1005,0))</f>
        <v xml:space="preserve"> </v>
      </c>
      <c r="G166" t="str">
        <f>INDEX(Establishment!C$2:C$1005,MATCH($E166,Establishment!$A$2:$A$1005,0))</f>
        <v xml:space="preserve"> </v>
      </c>
      <c r="M166">
        <f t="shared" si="16"/>
        <v>0</v>
      </c>
      <c r="N166">
        <f t="shared" si="14"/>
        <v>0</v>
      </c>
      <c r="P166" t="e">
        <f>INDEX(Items!B$2:B$1032,MATCH($O166,Items!$A$2:$A$1032,0))</f>
        <v>#N/A</v>
      </c>
      <c r="Q166" t="e">
        <f>INDEX(Items!C$2:C$1032,MATCH($O166,Items!$A$2:$A$1032,0))</f>
        <v>#N/A</v>
      </c>
      <c r="R166" t="e">
        <f>INDEX(Items!D$2:D$1032,MATCH($O166,Items!$A$2:$A$1032,0))</f>
        <v>#N/A</v>
      </c>
    </row>
    <row r="167" spans="1:18" x14ac:dyDescent="0.25">
      <c r="A167">
        <f t="shared" si="12"/>
        <v>1</v>
      </c>
      <c r="B167" t="str">
        <f t="shared" si="13"/>
        <v/>
      </c>
      <c r="C167">
        <f t="shared" si="15"/>
        <v>1</v>
      </c>
      <c r="D167" s="4"/>
      <c r="E167" t="s">
        <v>18</v>
      </c>
      <c r="F167" t="str">
        <f>INDEX(Establishment!B$2:B$1005,MATCH($E167,Establishment!$A$2:$A$1005,0))</f>
        <v xml:space="preserve"> </v>
      </c>
      <c r="G167" t="str">
        <f>INDEX(Establishment!C$2:C$1005,MATCH($E167,Establishment!$A$2:$A$1005,0))</f>
        <v xml:space="preserve"> </v>
      </c>
      <c r="M167">
        <f t="shared" si="16"/>
        <v>0</v>
      </c>
      <c r="N167">
        <f t="shared" si="14"/>
        <v>0</v>
      </c>
      <c r="P167" t="e">
        <f>INDEX(Items!B$2:B$1032,MATCH($O167,Items!$A$2:$A$1032,0))</f>
        <v>#N/A</v>
      </c>
      <c r="Q167" t="e">
        <f>INDEX(Items!C$2:C$1032,MATCH($O167,Items!$A$2:$A$1032,0))</f>
        <v>#N/A</v>
      </c>
      <c r="R167" t="e">
        <f>INDEX(Items!D$2:D$1032,MATCH($O167,Items!$A$2:$A$1032,0))</f>
        <v>#N/A</v>
      </c>
    </row>
    <row r="168" spans="1:18" x14ac:dyDescent="0.25">
      <c r="A168">
        <f t="shared" si="12"/>
        <v>1</v>
      </c>
      <c r="B168" t="str">
        <f t="shared" si="13"/>
        <v/>
      </c>
      <c r="C168">
        <f t="shared" si="15"/>
        <v>1</v>
      </c>
      <c r="D168" s="4"/>
      <c r="E168" t="s">
        <v>18</v>
      </c>
      <c r="F168" t="str">
        <f>INDEX(Establishment!B$2:B$1005,MATCH($E168,Establishment!$A$2:$A$1005,0))</f>
        <v xml:space="preserve"> </v>
      </c>
      <c r="G168" t="str">
        <f>INDEX(Establishment!C$2:C$1005,MATCH($E168,Establishment!$A$2:$A$1005,0))</f>
        <v xml:space="preserve"> </v>
      </c>
      <c r="M168">
        <f t="shared" si="16"/>
        <v>0</v>
      </c>
      <c r="N168">
        <f t="shared" si="14"/>
        <v>0</v>
      </c>
      <c r="P168" t="e">
        <f>INDEX(Items!B$2:B$1032,MATCH($O168,Items!$A$2:$A$1032,0))</f>
        <v>#N/A</v>
      </c>
      <c r="Q168" t="e">
        <f>INDEX(Items!C$2:C$1032,MATCH($O168,Items!$A$2:$A$1032,0))</f>
        <v>#N/A</v>
      </c>
      <c r="R168" t="e">
        <f>INDEX(Items!D$2:D$1032,MATCH($O168,Items!$A$2:$A$1032,0))</f>
        <v>#N/A</v>
      </c>
    </row>
    <row r="169" spans="1:18" x14ac:dyDescent="0.25">
      <c r="A169">
        <f t="shared" si="12"/>
        <v>1</v>
      </c>
      <c r="B169" t="str">
        <f t="shared" si="13"/>
        <v/>
      </c>
      <c r="C169">
        <f t="shared" si="15"/>
        <v>1</v>
      </c>
      <c r="D169" s="4"/>
      <c r="E169" t="s">
        <v>18</v>
      </c>
      <c r="F169" t="str">
        <f>INDEX(Establishment!B$2:B$1005,MATCH($E169,Establishment!$A$2:$A$1005,0))</f>
        <v xml:space="preserve"> </v>
      </c>
      <c r="G169" t="str">
        <f>INDEX(Establishment!C$2:C$1005,MATCH($E169,Establishment!$A$2:$A$1005,0))</f>
        <v xml:space="preserve"> </v>
      </c>
      <c r="M169">
        <f t="shared" si="16"/>
        <v>0</v>
      </c>
      <c r="N169">
        <f t="shared" si="14"/>
        <v>0</v>
      </c>
      <c r="P169" t="e">
        <f>INDEX(Items!B$2:B$1032,MATCH($O169,Items!$A$2:$A$1032,0))</f>
        <v>#N/A</v>
      </c>
      <c r="Q169" t="e">
        <f>INDEX(Items!C$2:C$1032,MATCH($O169,Items!$A$2:$A$1032,0))</f>
        <v>#N/A</v>
      </c>
      <c r="R169" t="e">
        <f>INDEX(Items!D$2:D$1032,MATCH($O169,Items!$A$2:$A$1032,0))</f>
        <v>#N/A</v>
      </c>
    </row>
    <row r="170" spans="1:18" x14ac:dyDescent="0.25">
      <c r="A170">
        <f t="shared" si="12"/>
        <v>1</v>
      </c>
      <c r="B170" t="str">
        <f t="shared" si="13"/>
        <v/>
      </c>
      <c r="C170">
        <f t="shared" si="15"/>
        <v>1</v>
      </c>
      <c r="D170" s="4"/>
      <c r="E170" t="s">
        <v>18</v>
      </c>
      <c r="F170" t="str">
        <f>INDEX(Establishment!B$2:B$1005,MATCH($E170,Establishment!$A$2:$A$1005,0))</f>
        <v xml:space="preserve"> </v>
      </c>
      <c r="G170" t="str">
        <f>INDEX(Establishment!C$2:C$1005,MATCH($E170,Establishment!$A$2:$A$1005,0))</f>
        <v xml:space="preserve"> </v>
      </c>
      <c r="M170">
        <f t="shared" si="16"/>
        <v>0</v>
      </c>
      <c r="N170">
        <f t="shared" si="14"/>
        <v>0</v>
      </c>
      <c r="P170" t="e">
        <f>INDEX(Items!B$2:B$1032,MATCH($O170,Items!$A$2:$A$1032,0))</f>
        <v>#N/A</v>
      </c>
      <c r="Q170" t="e">
        <f>INDEX(Items!C$2:C$1032,MATCH($O170,Items!$A$2:$A$1032,0))</f>
        <v>#N/A</v>
      </c>
      <c r="R170" t="e">
        <f>INDEX(Items!D$2:D$1032,MATCH($O170,Items!$A$2:$A$1032,0))</f>
        <v>#N/A</v>
      </c>
    </row>
    <row r="171" spans="1:18" x14ac:dyDescent="0.25">
      <c r="A171">
        <f t="shared" si="12"/>
        <v>1</v>
      </c>
      <c r="B171" t="str">
        <f t="shared" si="13"/>
        <v/>
      </c>
      <c r="C171">
        <f t="shared" si="15"/>
        <v>1</v>
      </c>
      <c r="D171" s="4"/>
      <c r="E171" t="s">
        <v>18</v>
      </c>
      <c r="F171" t="str">
        <f>INDEX(Establishment!B$2:B$1005,MATCH($E171,Establishment!$A$2:$A$1005,0))</f>
        <v xml:space="preserve"> </v>
      </c>
      <c r="G171" t="str">
        <f>INDEX(Establishment!C$2:C$1005,MATCH($E171,Establishment!$A$2:$A$1005,0))</f>
        <v xml:space="preserve"> </v>
      </c>
      <c r="M171">
        <f t="shared" si="16"/>
        <v>0</v>
      </c>
      <c r="N171">
        <f t="shared" si="14"/>
        <v>0</v>
      </c>
      <c r="P171" t="e">
        <f>INDEX(Items!B$2:B$1032,MATCH($O171,Items!$A$2:$A$1032,0))</f>
        <v>#N/A</v>
      </c>
      <c r="Q171" t="e">
        <f>INDEX(Items!C$2:C$1032,MATCH($O171,Items!$A$2:$A$1032,0))</f>
        <v>#N/A</v>
      </c>
      <c r="R171" t="e">
        <f>INDEX(Items!D$2:D$1032,MATCH($O171,Items!$A$2:$A$1032,0))</f>
        <v>#N/A</v>
      </c>
    </row>
    <row r="172" spans="1:18" x14ac:dyDescent="0.25">
      <c r="A172">
        <f t="shared" si="12"/>
        <v>1</v>
      </c>
      <c r="B172" t="str">
        <f t="shared" si="13"/>
        <v/>
      </c>
      <c r="C172">
        <f t="shared" si="15"/>
        <v>1</v>
      </c>
      <c r="D172" s="4"/>
      <c r="E172" t="s">
        <v>18</v>
      </c>
      <c r="F172" t="str">
        <f>INDEX(Establishment!B$2:B$1005,MATCH($E172,Establishment!$A$2:$A$1005,0))</f>
        <v xml:space="preserve"> </v>
      </c>
      <c r="G172" t="str">
        <f>INDEX(Establishment!C$2:C$1005,MATCH($E172,Establishment!$A$2:$A$1005,0))</f>
        <v xml:space="preserve"> </v>
      </c>
      <c r="M172">
        <f t="shared" si="16"/>
        <v>0</v>
      </c>
      <c r="N172">
        <f t="shared" si="14"/>
        <v>0</v>
      </c>
      <c r="P172" t="e">
        <f>INDEX(Items!B$2:B$1032,MATCH($O172,Items!$A$2:$A$1032,0))</f>
        <v>#N/A</v>
      </c>
      <c r="Q172" t="e">
        <f>INDEX(Items!C$2:C$1032,MATCH($O172,Items!$A$2:$A$1032,0))</f>
        <v>#N/A</v>
      </c>
      <c r="R172" t="e">
        <f>INDEX(Items!D$2:D$1032,MATCH($O172,Items!$A$2:$A$1032,0))</f>
        <v>#N/A</v>
      </c>
    </row>
    <row r="173" spans="1:18" x14ac:dyDescent="0.25">
      <c r="A173">
        <f t="shared" si="12"/>
        <v>1</v>
      </c>
      <c r="B173" t="str">
        <f t="shared" si="13"/>
        <v/>
      </c>
      <c r="C173">
        <f t="shared" si="15"/>
        <v>1</v>
      </c>
      <c r="D173" s="4"/>
      <c r="E173" t="s">
        <v>18</v>
      </c>
      <c r="F173" t="str">
        <f>INDEX(Establishment!B$2:B$1005,MATCH($E173,Establishment!$A$2:$A$1005,0))</f>
        <v xml:space="preserve"> </v>
      </c>
      <c r="G173" t="str">
        <f>INDEX(Establishment!C$2:C$1005,MATCH($E173,Establishment!$A$2:$A$1005,0))</f>
        <v xml:space="preserve"> </v>
      </c>
      <c r="M173">
        <f t="shared" si="16"/>
        <v>0</v>
      </c>
      <c r="N173">
        <f t="shared" si="14"/>
        <v>0</v>
      </c>
      <c r="P173" t="e">
        <f>INDEX(Items!B$2:B$1032,MATCH($O173,Items!$A$2:$A$1032,0))</f>
        <v>#N/A</v>
      </c>
      <c r="Q173" t="e">
        <f>INDEX(Items!C$2:C$1032,MATCH($O173,Items!$A$2:$A$1032,0))</f>
        <v>#N/A</v>
      </c>
      <c r="R173" t="e">
        <f>INDEX(Items!D$2:D$1032,MATCH($O173,Items!$A$2:$A$1032,0))</f>
        <v>#N/A</v>
      </c>
    </row>
    <row r="174" spans="1:18" x14ac:dyDescent="0.25">
      <c r="A174">
        <f t="shared" si="12"/>
        <v>1</v>
      </c>
      <c r="B174" t="str">
        <f t="shared" si="13"/>
        <v/>
      </c>
      <c r="C174">
        <f t="shared" si="15"/>
        <v>1</v>
      </c>
      <c r="D174" s="4"/>
      <c r="E174" t="s">
        <v>18</v>
      </c>
      <c r="F174" t="str">
        <f>INDEX(Establishment!B$2:B$1005,MATCH($E174,Establishment!$A$2:$A$1005,0))</f>
        <v xml:space="preserve"> </v>
      </c>
      <c r="G174" t="str">
        <f>INDEX(Establishment!C$2:C$1005,MATCH($E174,Establishment!$A$2:$A$1005,0))</f>
        <v xml:space="preserve"> </v>
      </c>
      <c r="M174">
        <f t="shared" si="16"/>
        <v>0</v>
      </c>
      <c r="N174">
        <f t="shared" si="14"/>
        <v>0</v>
      </c>
      <c r="P174" t="e">
        <f>INDEX(Items!B$2:B$1032,MATCH($O174,Items!$A$2:$A$1032,0))</f>
        <v>#N/A</v>
      </c>
      <c r="Q174" t="e">
        <f>INDEX(Items!C$2:C$1032,MATCH($O174,Items!$A$2:$A$1032,0))</f>
        <v>#N/A</v>
      </c>
      <c r="R174" t="e">
        <f>INDEX(Items!D$2:D$1032,MATCH($O174,Items!$A$2:$A$1032,0))</f>
        <v>#N/A</v>
      </c>
    </row>
    <row r="175" spans="1:18" x14ac:dyDescent="0.25">
      <c r="A175">
        <f t="shared" si="12"/>
        <v>1</v>
      </c>
      <c r="B175" t="str">
        <f t="shared" si="13"/>
        <v/>
      </c>
      <c r="C175">
        <f t="shared" si="15"/>
        <v>1</v>
      </c>
      <c r="D175" s="4"/>
      <c r="E175" t="s">
        <v>18</v>
      </c>
      <c r="F175" t="str">
        <f>INDEX(Establishment!B$2:B$1005,MATCH($E175,Establishment!$A$2:$A$1005,0))</f>
        <v xml:space="preserve"> </v>
      </c>
      <c r="G175" t="str">
        <f>INDEX(Establishment!C$2:C$1005,MATCH($E175,Establishment!$A$2:$A$1005,0))</f>
        <v xml:space="preserve"> </v>
      </c>
      <c r="M175">
        <f t="shared" si="16"/>
        <v>0</v>
      </c>
      <c r="N175">
        <f t="shared" si="14"/>
        <v>0</v>
      </c>
      <c r="P175" t="e">
        <f>INDEX(Items!B$2:B$1032,MATCH($O175,Items!$A$2:$A$1032,0))</f>
        <v>#N/A</v>
      </c>
      <c r="Q175" t="e">
        <f>INDEX(Items!C$2:C$1032,MATCH($O175,Items!$A$2:$A$1032,0))</f>
        <v>#N/A</v>
      </c>
      <c r="R175" t="e">
        <f>INDEX(Items!D$2:D$1032,MATCH($O175,Items!$A$2:$A$1032,0))</f>
        <v>#N/A</v>
      </c>
    </row>
    <row r="176" spans="1:18" x14ac:dyDescent="0.25">
      <c r="A176">
        <f t="shared" si="12"/>
        <v>1</v>
      </c>
      <c r="B176" t="str">
        <f t="shared" si="13"/>
        <v/>
      </c>
      <c r="C176">
        <f t="shared" si="15"/>
        <v>1</v>
      </c>
      <c r="D176" s="4"/>
      <c r="E176" t="s">
        <v>18</v>
      </c>
      <c r="F176" t="str">
        <f>INDEX(Establishment!B$2:B$1005,MATCH($E176,Establishment!$A$2:$A$1005,0))</f>
        <v xml:space="preserve"> </v>
      </c>
      <c r="G176" t="str">
        <f>INDEX(Establishment!C$2:C$1005,MATCH($E176,Establishment!$A$2:$A$1005,0))</f>
        <v xml:space="preserve"> </v>
      </c>
      <c r="M176">
        <f t="shared" si="16"/>
        <v>0</v>
      </c>
      <c r="N176">
        <f t="shared" si="14"/>
        <v>0</v>
      </c>
      <c r="P176" t="e">
        <f>INDEX(Items!B$2:B$1032,MATCH($O176,Items!$A$2:$A$1032,0))</f>
        <v>#N/A</v>
      </c>
      <c r="Q176" t="e">
        <f>INDEX(Items!C$2:C$1032,MATCH($O176,Items!$A$2:$A$1032,0))</f>
        <v>#N/A</v>
      </c>
      <c r="R176" t="e">
        <f>INDEX(Items!D$2:D$1032,MATCH($O176,Items!$A$2:$A$1032,0))</f>
        <v>#N/A</v>
      </c>
    </row>
    <row r="177" spans="1:18" x14ac:dyDescent="0.25">
      <c r="A177">
        <f t="shared" si="12"/>
        <v>1</v>
      </c>
      <c r="B177" t="str">
        <f t="shared" si="13"/>
        <v/>
      </c>
      <c r="C177">
        <f t="shared" si="15"/>
        <v>1</v>
      </c>
      <c r="D177" s="4"/>
      <c r="E177" t="s">
        <v>18</v>
      </c>
      <c r="F177" t="str">
        <f>INDEX(Establishment!B$2:B$1005,MATCH($E177,Establishment!$A$2:$A$1005,0))</f>
        <v xml:space="preserve"> </v>
      </c>
      <c r="G177" t="str">
        <f>INDEX(Establishment!C$2:C$1005,MATCH($E177,Establishment!$A$2:$A$1005,0))</f>
        <v xml:space="preserve"> </v>
      </c>
      <c r="M177">
        <f t="shared" si="16"/>
        <v>0</v>
      </c>
      <c r="N177">
        <f t="shared" si="14"/>
        <v>0</v>
      </c>
      <c r="P177" t="e">
        <f>INDEX(Items!B$2:B$1032,MATCH($O177,Items!$A$2:$A$1032,0))</f>
        <v>#N/A</v>
      </c>
      <c r="Q177" t="e">
        <f>INDEX(Items!C$2:C$1032,MATCH($O177,Items!$A$2:$A$1032,0))</f>
        <v>#N/A</v>
      </c>
      <c r="R177" t="e">
        <f>INDEX(Items!D$2:D$1032,MATCH($O177,Items!$A$2:$A$1032,0))</f>
        <v>#N/A</v>
      </c>
    </row>
    <row r="178" spans="1:18" x14ac:dyDescent="0.25">
      <c r="A178">
        <f t="shared" si="12"/>
        <v>1</v>
      </c>
      <c r="B178" t="str">
        <f t="shared" si="13"/>
        <v/>
      </c>
      <c r="C178">
        <f t="shared" si="15"/>
        <v>1</v>
      </c>
      <c r="D178" s="4"/>
      <c r="E178" t="s">
        <v>18</v>
      </c>
      <c r="F178" t="str">
        <f>INDEX(Establishment!B$2:B$1005,MATCH($E178,Establishment!$A$2:$A$1005,0))</f>
        <v xml:space="preserve"> </v>
      </c>
      <c r="G178" t="str">
        <f>INDEX(Establishment!C$2:C$1005,MATCH($E178,Establishment!$A$2:$A$1005,0))</f>
        <v xml:space="preserve"> </v>
      </c>
      <c r="M178">
        <f t="shared" si="16"/>
        <v>0</v>
      </c>
      <c r="N178">
        <f t="shared" si="14"/>
        <v>0</v>
      </c>
      <c r="P178" t="e">
        <f>INDEX(Items!B$2:B$1032,MATCH($O178,Items!$A$2:$A$1032,0))</f>
        <v>#N/A</v>
      </c>
      <c r="Q178" t="e">
        <f>INDEX(Items!C$2:C$1032,MATCH($O178,Items!$A$2:$A$1032,0))</f>
        <v>#N/A</v>
      </c>
      <c r="R178" t="e">
        <f>INDEX(Items!D$2:D$1032,MATCH($O178,Items!$A$2:$A$1032,0))</f>
        <v>#N/A</v>
      </c>
    </row>
    <row r="179" spans="1:18" x14ac:dyDescent="0.25">
      <c r="A179">
        <f t="shared" si="12"/>
        <v>1</v>
      </c>
      <c r="B179" t="str">
        <f t="shared" si="13"/>
        <v/>
      </c>
      <c r="C179">
        <f t="shared" si="15"/>
        <v>1</v>
      </c>
      <c r="D179" s="4"/>
      <c r="E179" t="s">
        <v>18</v>
      </c>
      <c r="F179" t="str">
        <f>INDEX(Establishment!B$2:B$1005,MATCH($E179,Establishment!$A$2:$A$1005,0))</f>
        <v xml:space="preserve"> </v>
      </c>
      <c r="G179" t="str">
        <f>INDEX(Establishment!C$2:C$1005,MATCH($E179,Establishment!$A$2:$A$1005,0))</f>
        <v xml:space="preserve"> </v>
      </c>
      <c r="M179">
        <f t="shared" si="16"/>
        <v>0</v>
      </c>
      <c r="N179">
        <f t="shared" si="14"/>
        <v>0</v>
      </c>
      <c r="P179" t="e">
        <f>INDEX(Items!B$2:B$1032,MATCH($O179,Items!$A$2:$A$1032,0))</f>
        <v>#N/A</v>
      </c>
      <c r="Q179" t="e">
        <f>INDEX(Items!C$2:C$1032,MATCH($O179,Items!$A$2:$A$1032,0))</f>
        <v>#N/A</v>
      </c>
      <c r="R179" t="e">
        <f>INDEX(Items!D$2:D$1032,MATCH($O179,Items!$A$2:$A$1032,0))</f>
        <v>#N/A</v>
      </c>
    </row>
    <row r="180" spans="1:18" x14ac:dyDescent="0.25">
      <c r="A180">
        <f t="shared" si="12"/>
        <v>1</v>
      </c>
      <c r="B180" t="str">
        <f t="shared" si="13"/>
        <v/>
      </c>
      <c r="C180">
        <f t="shared" si="15"/>
        <v>1</v>
      </c>
      <c r="D180" s="4"/>
      <c r="E180" t="s">
        <v>18</v>
      </c>
      <c r="F180" t="str">
        <f>INDEX(Establishment!B$2:B$1005,MATCH($E180,Establishment!$A$2:$A$1005,0))</f>
        <v xml:space="preserve"> </v>
      </c>
      <c r="G180" t="str">
        <f>INDEX(Establishment!C$2:C$1005,MATCH($E180,Establishment!$A$2:$A$1005,0))</f>
        <v xml:space="preserve"> </v>
      </c>
      <c r="M180">
        <f t="shared" si="16"/>
        <v>0</v>
      </c>
      <c r="N180">
        <f t="shared" si="14"/>
        <v>0</v>
      </c>
      <c r="P180" t="e">
        <f>INDEX(Items!B$2:B$1032,MATCH($O180,Items!$A$2:$A$1032,0))</f>
        <v>#N/A</v>
      </c>
      <c r="Q180" t="e">
        <f>INDEX(Items!C$2:C$1032,MATCH($O180,Items!$A$2:$A$1032,0))</f>
        <v>#N/A</v>
      </c>
      <c r="R180" t="e">
        <f>INDEX(Items!D$2:D$1032,MATCH($O180,Items!$A$2:$A$1032,0))</f>
        <v>#N/A</v>
      </c>
    </row>
    <row r="181" spans="1:18" x14ac:dyDescent="0.25">
      <c r="A181">
        <f t="shared" si="12"/>
        <v>1</v>
      </c>
      <c r="B181" t="str">
        <f t="shared" si="13"/>
        <v/>
      </c>
      <c r="C181">
        <f t="shared" si="15"/>
        <v>1</v>
      </c>
      <c r="D181" s="4"/>
      <c r="E181" t="s">
        <v>18</v>
      </c>
      <c r="F181" t="str">
        <f>INDEX(Establishment!B$2:B$1005,MATCH($E181,Establishment!$A$2:$A$1005,0))</f>
        <v xml:space="preserve"> </v>
      </c>
      <c r="G181" t="str">
        <f>INDEX(Establishment!C$2:C$1005,MATCH($E181,Establishment!$A$2:$A$1005,0))</f>
        <v xml:space="preserve"> </v>
      </c>
      <c r="M181">
        <f t="shared" si="16"/>
        <v>0</v>
      </c>
      <c r="N181">
        <f t="shared" si="14"/>
        <v>0</v>
      </c>
      <c r="P181" t="e">
        <f>INDEX(Items!B$2:B$1032,MATCH($O181,Items!$A$2:$A$1032,0))</f>
        <v>#N/A</v>
      </c>
      <c r="Q181" t="e">
        <f>INDEX(Items!C$2:C$1032,MATCH($O181,Items!$A$2:$A$1032,0))</f>
        <v>#N/A</v>
      </c>
      <c r="R181" t="e">
        <f>INDEX(Items!D$2:D$1032,MATCH($O181,Items!$A$2:$A$1032,0))</f>
        <v>#N/A</v>
      </c>
    </row>
    <row r="182" spans="1:18" x14ac:dyDescent="0.25">
      <c r="A182">
        <f t="shared" si="12"/>
        <v>1</v>
      </c>
      <c r="B182" t="str">
        <f t="shared" si="13"/>
        <v/>
      </c>
      <c r="C182">
        <f t="shared" si="15"/>
        <v>1</v>
      </c>
      <c r="D182" s="4"/>
      <c r="E182" t="s">
        <v>18</v>
      </c>
      <c r="F182" t="str">
        <f>INDEX(Establishment!B$2:B$1005,MATCH($E182,Establishment!$A$2:$A$1005,0))</f>
        <v xml:space="preserve"> </v>
      </c>
      <c r="G182" t="str">
        <f>INDEX(Establishment!C$2:C$1005,MATCH($E182,Establishment!$A$2:$A$1005,0))</f>
        <v xml:space="preserve"> </v>
      </c>
      <c r="M182">
        <f t="shared" si="16"/>
        <v>0</v>
      </c>
      <c r="N182">
        <f t="shared" si="14"/>
        <v>0</v>
      </c>
      <c r="P182" t="e">
        <f>INDEX(Items!B$2:B$1032,MATCH($O182,Items!$A$2:$A$1032,0))</f>
        <v>#N/A</v>
      </c>
      <c r="Q182" t="e">
        <f>INDEX(Items!C$2:C$1032,MATCH($O182,Items!$A$2:$A$1032,0))</f>
        <v>#N/A</v>
      </c>
      <c r="R182" t="e">
        <f>INDEX(Items!D$2:D$1032,MATCH($O182,Items!$A$2:$A$1032,0))</f>
        <v>#N/A</v>
      </c>
    </row>
    <row r="183" spans="1:18" x14ac:dyDescent="0.25">
      <c r="A183">
        <f t="shared" si="12"/>
        <v>1</v>
      </c>
      <c r="B183" t="str">
        <f t="shared" si="13"/>
        <v/>
      </c>
      <c r="C183">
        <f t="shared" si="15"/>
        <v>1</v>
      </c>
      <c r="D183" s="4"/>
      <c r="E183" t="s">
        <v>18</v>
      </c>
      <c r="F183" t="str">
        <f>INDEX(Establishment!B$2:B$1005,MATCH($E183,Establishment!$A$2:$A$1005,0))</f>
        <v xml:space="preserve"> </v>
      </c>
      <c r="G183" t="str">
        <f>INDEX(Establishment!C$2:C$1005,MATCH($E183,Establishment!$A$2:$A$1005,0))</f>
        <v xml:space="preserve"> </v>
      </c>
      <c r="M183">
        <f t="shared" si="16"/>
        <v>0</v>
      </c>
      <c r="N183">
        <f t="shared" si="14"/>
        <v>0</v>
      </c>
      <c r="P183" t="e">
        <f>INDEX(Items!B$2:B$1032,MATCH($O183,Items!$A$2:$A$1032,0))</f>
        <v>#N/A</v>
      </c>
      <c r="Q183" t="e">
        <f>INDEX(Items!C$2:C$1032,MATCH($O183,Items!$A$2:$A$1032,0))</f>
        <v>#N/A</v>
      </c>
      <c r="R183" t="e">
        <f>INDEX(Items!D$2:D$1032,MATCH($O183,Items!$A$2:$A$1032,0))</f>
        <v>#N/A</v>
      </c>
    </row>
    <row r="184" spans="1:18" x14ac:dyDescent="0.25">
      <c r="A184">
        <f t="shared" si="12"/>
        <v>1</v>
      </c>
      <c r="B184" t="str">
        <f t="shared" si="13"/>
        <v/>
      </c>
      <c r="C184">
        <f t="shared" si="15"/>
        <v>1</v>
      </c>
      <c r="D184" s="4"/>
      <c r="E184" t="s">
        <v>18</v>
      </c>
      <c r="F184" t="str">
        <f>INDEX(Establishment!B$2:B$1005,MATCH($E184,Establishment!$A$2:$A$1005,0))</f>
        <v xml:space="preserve"> </v>
      </c>
      <c r="G184" t="str">
        <f>INDEX(Establishment!C$2:C$1005,MATCH($E184,Establishment!$A$2:$A$1005,0))</f>
        <v xml:space="preserve"> </v>
      </c>
      <c r="M184">
        <f t="shared" si="16"/>
        <v>0</v>
      </c>
      <c r="N184">
        <f t="shared" si="14"/>
        <v>0</v>
      </c>
      <c r="P184" t="e">
        <f>INDEX(Items!B$2:B$1032,MATCH($O184,Items!$A$2:$A$1032,0))</f>
        <v>#N/A</v>
      </c>
      <c r="Q184" t="e">
        <f>INDEX(Items!C$2:C$1032,MATCH($O184,Items!$A$2:$A$1032,0))</f>
        <v>#N/A</v>
      </c>
      <c r="R184" t="e">
        <f>INDEX(Items!D$2:D$1032,MATCH($O184,Items!$A$2:$A$1032,0))</f>
        <v>#N/A</v>
      </c>
    </row>
    <row r="185" spans="1:18" x14ac:dyDescent="0.25">
      <c r="A185">
        <f t="shared" si="12"/>
        <v>1</v>
      </c>
      <c r="B185" t="str">
        <f t="shared" si="13"/>
        <v/>
      </c>
      <c r="C185">
        <f t="shared" si="15"/>
        <v>1</v>
      </c>
      <c r="D185" s="4"/>
      <c r="E185" t="s">
        <v>18</v>
      </c>
      <c r="F185" t="str">
        <f>INDEX(Establishment!B$2:B$1005,MATCH($E185,Establishment!$A$2:$A$1005,0))</f>
        <v xml:space="preserve"> </v>
      </c>
      <c r="G185" t="str">
        <f>INDEX(Establishment!C$2:C$1005,MATCH($E185,Establishment!$A$2:$A$1005,0))</f>
        <v xml:space="preserve"> </v>
      </c>
      <c r="M185">
        <f t="shared" si="16"/>
        <v>0</v>
      </c>
      <c r="N185">
        <f t="shared" si="14"/>
        <v>0</v>
      </c>
      <c r="P185" t="e">
        <f>INDEX(Items!B$2:B$1032,MATCH($O185,Items!$A$2:$A$1032,0))</f>
        <v>#N/A</v>
      </c>
      <c r="Q185" t="e">
        <f>INDEX(Items!C$2:C$1032,MATCH($O185,Items!$A$2:$A$1032,0))</f>
        <v>#N/A</v>
      </c>
      <c r="R185" t="e">
        <f>INDEX(Items!D$2:D$1032,MATCH($O185,Items!$A$2:$A$1032,0))</f>
        <v>#N/A</v>
      </c>
    </row>
    <row r="186" spans="1:18" x14ac:dyDescent="0.25">
      <c r="A186">
        <f t="shared" si="12"/>
        <v>1</v>
      </c>
      <c r="B186" t="str">
        <f t="shared" si="13"/>
        <v/>
      </c>
      <c r="C186">
        <f t="shared" si="15"/>
        <v>1</v>
      </c>
      <c r="D186" s="4"/>
      <c r="E186" t="s">
        <v>18</v>
      </c>
      <c r="F186" t="str">
        <f>INDEX(Establishment!B$2:B$1005,MATCH($E186,Establishment!$A$2:$A$1005,0))</f>
        <v xml:space="preserve"> </v>
      </c>
      <c r="G186" t="str">
        <f>INDEX(Establishment!C$2:C$1005,MATCH($E186,Establishment!$A$2:$A$1005,0))</f>
        <v xml:space="preserve"> </v>
      </c>
      <c r="M186">
        <f t="shared" si="16"/>
        <v>0</v>
      </c>
      <c r="N186">
        <f t="shared" si="14"/>
        <v>0</v>
      </c>
      <c r="P186" t="e">
        <f>INDEX(Items!B$2:B$1032,MATCH($O186,Items!$A$2:$A$1032,0))</f>
        <v>#N/A</v>
      </c>
      <c r="Q186" t="e">
        <f>INDEX(Items!C$2:C$1032,MATCH($O186,Items!$A$2:$A$1032,0))</f>
        <v>#N/A</v>
      </c>
      <c r="R186" t="e">
        <f>INDEX(Items!D$2:D$1032,MATCH($O186,Items!$A$2:$A$1032,0))</f>
        <v>#N/A</v>
      </c>
    </row>
    <row r="187" spans="1:18" x14ac:dyDescent="0.25">
      <c r="A187">
        <f t="shared" si="12"/>
        <v>1</v>
      </c>
      <c r="B187" t="str">
        <f t="shared" si="13"/>
        <v/>
      </c>
      <c r="C187">
        <f t="shared" si="15"/>
        <v>1</v>
      </c>
      <c r="D187" s="4"/>
      <c r="E187" t="s">
        <v>18</v>
      </c>
      <c r="F187" t="str">
        <f>INDEX(Establishment!B$2:B$1005,MATCH($E187,Establishment!$A$2:$A$1005,0))</f>
        <v xml:space="preserve"> </v>
      </c>
      <c r="G187" t="str">
        <f>INDEX(Establishment!C$2:C$1005,MATCH($E187,Establishment!$A$2:$A$1005,0))</f>
        <v xml:space="preserve"> </v>
      </c>
      <c r="M187">
        <f t="shared" si="16"/>
        <v>0</v>
      </c>
      <c r="N187">
        <f t="shared" si="14"/>
        <v>0</v>
      </c>
      <c r="P187" t="e">
        <f>INDEX(Items!B$2:B$1032,MATCH($O187,Items!$A$2:$A$1032,0))</f>
        <v>#N/A</v>
      </c>
      <c r="Q187" t="e">
        <f>INDEX(Items!C$2:C$1032,MATCH($O187,Items!$A$2:$A$1032,0))</f>
        <v>#N/A</v>
      </c>
      <c r="R187" t="e">
        <f>INDEX(Items!D$2:D$1032,MATCH($O187,Items!$A$2:$A$1032,0))</f>
        <v>#N/A</v>
      </c>
    </row>
    <row r="188" spans="1:18" x14ac:dyDescent="0.25">
      <c r="A188">
        <f t="shared" si="12"/>
        <v>1</v>
      </c>
      <c r="B188" t="str">
        <f t="shared" si="13"/>
        <v/>
      </c>
      <c r="C188">
        <f t="shared" si="15"/>
        <v>1</v>
      </c>
      <c r="D188" s="4"/>
      <c r="E188" t="s">
        <v>18</v>
      </c>
      <c r="F188" t="str">
        <f>INDEX(Establishment!B$2:B$1005,MATCH($E188,Establishment!$A$2:$A$1005,0))</f>
        <v xml:space="preserve"> </v>
      </c>
      <c r="G188" t="str">
        <f>INDEX(Establishment!C$2:C$1005,MATCH($E188,Establishment!$A$2:$A$1005,0))</f>
        <v xml:space="preserve"> </v>
      </c>
      <c r="M188">
        <f t="shared" si="16"/>
        <v>0</v>
      </c>
      <c r="N188">
        <f t="shared" si="14"/>
        <v>0</v>
      </c>
      <c r="P188" t="e">
        <f>INDEX(Items!B$2:B$1032,MATCH($O188,Items!$A$2:$A$1032,0))</f>
        <v>#N/A</v>
      </c>
      <c r="Q188" t="e">
        <f>INDEX(Items!C$2:C$1032,MATCH($O188,Items!$A$2:$A$1032,0))</f>
        <v>#N/A</v>
      </c>
      <c r="R188" t="e">
        <f>INDEX(Items!D$2:D$1032,MATCH($O188,Items!$A$2:$A$1032,0))</f>
        <v>#N/A</v>
      </c>
    </row>
    <row r="189" spans="1:18" x14ac:dyDescent="0.25">
      <c r="A189">
        <f t="shared" si="12"/>
        <v>1</v>
      </c>
      <c r="B189" t="str">
        <f t="shared" si="13"/>
        <v/>
      </c>
      <c r="C189">
        <f t="shared" si="15"/>
        <v>1</v>
      </c>
      <c r="D189" s="4"/>
      <c r="E189" t="s">
        <v>18</v>
      </c>
      <c r="F189" t="str">
        <f>INDEX(Establishment!B$2:B$1005,MATCH($E189,Establishment!$A$2:$A$1005,0))</f>
        <v xml:space="preserve"> </v>
      </c>
      <c r="G189" t="str">
        <f>INDEX(Establishment!C$2:C$1005,MATCH($E189,Establishment!$A$2:$A$1005,0))</f>
        <v xml:space="preserve"> </v>
      </c>
      <c r="M189">
        <f t="shared" si="16"/>
        <v>0</v>
      </c>
      <c r="N189">
        <f t="shared" si="14"/>
        <v>0</v>
      </c>
      <c r="P189" t="e">
        <f>INDEX(Items!B$2:B$1032,MATCH($O189,Items!$A$2:$A$1032,0))</f>
        <v>#N/A</v>
      </c>
      <c r="Q189" t="e">
        <f>INDEX(Items!C$2:C$1032,MATCH($O189,Items!$A$2:$A$1032,0))</f>
        <v>#N/A</v>
      </c>
      <c r="R189" t="e">
        <f>INDEX(Items!D$2:D$1032,MATCH($O189,Items!$A$2:$A$1032,0))</f>
        <v>#N/A</v>
      </c>
    </row>
    <row r="190" spans="1:18" x14ac:dyDescent="0.25">
      <c r="A190">
        <f t="shared" si="12"/>
        <v>1</v>
      </c>
      <c r="B190" t="str">
        <f t="shared" si="13"/>
        <v/>
      </c>
      <c r="C190">
        <f t="shared" si="15"/>
        <v>1</v>
      </c>
      <c r="D190" s="4"/>
      <c r="E190" t="s">
        <v>18</v>
      </c>
      <c r="F190" t="str">
        <f>INDEX(Establishment!B$2:B$1005,MATCH($E190,Establishment!$A$2:$A$1005,0))</f>
        <v xml:space="preserve"> </v>
      </c>
      <c r="G190" t="str">
        <f>INDEX(Establishment!C$2:C$1005,MATCH($E190,Establishment!$A$2:$A$1005,0))</f>
        <v xml:space="preserve"> </v>
      </c>
      <c r="M190">
        <f t="shared" si="16"/>
        <v>0</v>
      </c>
      <c r="N190">
        <f t="shared" si="14"/>
        <v>0</v>
      </c>
      <c r="P190" t="e">
        <f>INDEX(Items!B$2:B$1032,MATCH($O190,Items!$A$2:$A$1032,0))</f>
        <v>#N/A</v>
      </c>
      <c r="Q190" t="e">
        <f>INDEX(Items!C$2:C$1032,MATCH($O190,Items!$A$2:$A$1032,0))</f>
        <v>#N/A</v>
      </c>
      <c r="R190" t="e">
        <f>INDEX(Items!D$2:D$1032,MATCH($O190,Items!$A$2:$A$1032,0))</f>
        <v>#N/A</v>
      </c>
    </row>
    <row r="191" spans="1:18" x14ac:dyDescent="0.25">
      <c r="A191">
        <f t="shared" si="12"/>
        <v>1</v>
      </c>
      <c r="B191" t="str">
        <f t="shared" si="13"/>
        <v/>
      </c>
      <c r="C191">
        <f t="shared" si="15"/>
        <v>1</v>
      </c>
      <c r="D191" s="4"/>
      <c r="E191" t="s">
        <v>18</v>
      </c>
      <c r="F191" t="str">
        <f>INDEX(Establishment!B$2:B$1005,MATCH($E191,Establishment!$A$2:$A$1005,0))</f>
        <v xml:space="preserve"> </v>
      </c>
      <c r="G191" t="str">
        <f>INDEX(Establishment!C$2:C$1005,MATCH($E191,Establishment!$A$2:$A$1005,0))</f>
        <v xml:space="preserve"> </v>
      </c>
      <c r="M191">
        <f t="shared" si="16"/>
        <v>0</v>
      </c>
      <c r="N191">
        <f t="shared" si="14"/>
        <v>0</v>
      </c>
      <c r="P191" t="e">
        <f>INDEX(Items!B$2:B$1032,MATCH($O191,Items!$A$2:$A$1032,0))</f>
        <v>#N/A</v>
      </c>
      <c r="Q191" t="e">
        <f>INDEX(Items!C$2:C$1032,MATCH($O191,Items!$A$2:$A$1032,0))</f>
        <v>#N/A</v>
      </c>
      <c r="R191" t="e">
        <f>INDEX(Items!D$2:D$1032,MATCH($O191,Items!$A$2:$A$1032,0))</f>
        <v>#N/A</v>
      </c>
    </row>
    <row r="192" spans="1:18" x14ac:dyDescent="0.25">
      <c r="A192">
        <f t="shared" si="12"/>
        <v>1</v>
      </c>
      <c r="B192" t="str">
        <f t="shared" si="13"/>
        <v/>
      </c>
      <c r="C192">
        <f t="shared" si="15"/>
        <v>1</v>
      </c>
      <c r="D192" s="4"/>
      <c r="E192" t="s">
        <v>18</v>
      </c>
      <c r="F192" t="str">
        <f>INDEX(Establishment!B$2:B$1005,MATCH($E192,Establishment!$A$2:$A$1005,0))</f>
        <v xml:space="preserve"> </v>
      </c>
      <c r="G192" t="str">
        <f>INDEX(Establishment!C$2:C$1005,MATCH($E192,Establishment!$A$2:$A$1005,0))</f>
        <v xml:space="preserve"> </v>
      </c>
      <c r="M192">
        <f t="shared" si="16"/>
        <v>0</v>
      </c>
      <c r="N192">
        <f t="shared" si="14"/>
        <v>0</v>
      </c>
      <c r="P192" t="e">
        <f>INDEX(Items!B$2:B$1032,MATCH($O192,Items!$A$2:$A$1032,0))</f>
        <v>#N/A</v>
      </c>
      <c r="Q192" t="e">
        <f>INDEX(Items!C$2:C$1032,MATCH($O192,Items!$A$2:$A$1032,0))</f>
        <v>#N/A</v>
      </c>
      <c r="R192" t="e">
        <f>INDEX(Items!D$2:D$1032,MATCH($O192,Items!$A$2:$A$1032,0))</f>
        <v>#N/A</v>
      </c>
    </row>
    <row r="193" spans="1:18" x14ac:dyDescent="0.25">
      <c r="A193">
        <f t="shared" si="12"/>
        <v>1</v>
      </c>
      <c r="B193" t="str">
        <f t="shared" si="13"/>
        <v/>
      </c>
      <c r="C193">
        <f t="shared" si="15"/>
        <v>1</v>
      </c>
      <c r="D193" s="4"/>
      <c r="E193" t="s">
        <v>18</v>
      </c>
      <c r="F193" t="str">
        <f>INDEX(Establishment!B$2:B$1005,MATCH($E193,Establishment!$A$2:$A$1005,0))</f>
        <v xml:space="preserve"> </v>
      </c>
      <c r="G193" t="str">
        <f>INDEX(Establishment!C$2:C$1005,MATCH($E193,Establishment!$A$2:$A$1005,0))</f>
        <v xml:space="preserve"> </v>
      </c>
      <c r="M193">
        <f t="shared" si="16"/>
        <v>0</v>
      </c>
      <c r="N193">
        <f t="shared" si="14"/>
        <v>0</v>
      </c>
      <c r="P193" t="e">
        <f>INDEX(Items!B$2:B$1032,MATCH($O193,Items!$A$2:$A$1032,0))</f>
        <v>#N/A</v>
      </c>
      <c r="Q193" t="e">
        <f>INDEX(Items!C$2:C$1032,MATCH($O193,Items!$A$2:$A$1032,0))</f>
        <v>#N/A</v>
      </c>
      <c r="R193" t="e">
        <f>INDEX(Items!D$2:D$1032,MATCH($O193,Items!$A$2:$A$1032,0))</f>
        <v>#N/A</v>
      </c>
    </row>
    <row r="194" spans="1:18" x14ac:dyDescent="0.25">
      <c r="A194">
        <f t="shared" ref="A194:A257" si="17">IF(OR(D194&lt;&gt;D193,D194=""),1,IF(NOT(AND(E194=E193,F194=F193,G194=G193)),A193+1,IF(OR(H194="",AND(H194&lt;&gt;"",H194&lt;&gt;H193,H193&lt;&gt;"")),A193,A193+1)))</f>
        <v>1</v>
      </c>
      <c r="B194" t="str">
        <f t="shared" ref="B194:B257" si="18">IF(D194&lt;&gt;"",TEXT(D194,"YYYYMMDD")&amp;CHAR(64+A194),"")</f>
        <v/>
      </c>
      <c r="C194">
        <f t="shared" si="15"/>
        <v>1</v>
      </c>
      <c r="D194" s="4"/>
      <c r="E194" t="s">
        <v>18</v>
      </c>
      <c r="F194" t="str">
        <f>INDEX(Establishment!B$2:B$1005,MATCH($E194,Establishment!$A$2:$A$1005,0))</f>
        <v xml:space="preserve"> </v>
      </c>
      <c r="G194" t="str">
        <f>INDEX(Establishment!C$2:C$1005,MATCH($E194,Establishment!$A$2:$A$1005,0))</f>
        <v xml:space="preserve"> </v>
      </c>
      <c r="M194">
        <f t="shared" si="16"/>
        <v>0</v>
      </c>
      <c r="N194">
        <f t="shared" si="14"/>
        <v>0</v>
      </c>
      <c r="P194" t="e">
        <f>INDEX(Items!B$2:B$1032,MATCH($O194,Items!$A$2:$A$1032,0))</f>
        <v>#N/A</v>
      </c>
      <c r="Q194" t="e">
        <f>INDEX(Items!C$2:C$1032,MATCH($O194,Items!$A$2:$A$1032,0))</f>
        <v>#N/A</v>
      </c>
      <c r="R194" t="e">
        <f>INDEX(Items!D$2:D$1032,MATCH($O194,Items!$A$2:$A$1032,0))</f>
        <v>#N/A</v>
      </c>
    </row>
    <row r="195" spans="1:18" x14ac:dyDescent="0.25">
      <c r="A195">
        <f t="shared" si="17"/>
        <v>1</v>
      </c>
      <c r="B195" t="str">
        <f t="shared" si="18"/>
        <v/>
      </c>
      <c r="C195">
        <f t="shared" si="15"/>
        <v>1</v>
      </c>
      <c r="D195" s="4"/>
      <c r="E195" t="s">
        <v>18</v>
      </c>
      <c r="F195" t="str">
        <f>INDEX(Establishment!B$2:B$1005,MATCH($E195,Establishment!$A$2:$A$1005,0))</f>
        <v xml:space="preserve"> </v>
      </c>
      <c r="G195" t="str">
        <f>INDEX(Establishment!C$2:C$1005,MATCH($E195,Establishment!$A$2:$A$1005,0))</f>
        <v xml:space="preserve"> </v>
      </c>
      <c r="M195">
        <f t="shared" si="16"/>
        <v>0</v>
      </c>
      <c r="N195">
        <f t="shared" ref="N195:N258" si="19">IF(B195=B194,N194+M195,M195)</f>
        <v>0</v>
      </c>
      <c r="P195" t="e">
        <f>INDEX(Items!B$2:B$1032,MATCH($O195,Items!$A$2:$A$1032,0))</f>
        <v>#N/A</v>
      </c>
      <c r="Q195" t="e">
        <f>INDEX(Items!C$2:C$1032,MATCH($O195,Items!$A$2:$A$1032,0))</f>
        <v>#N/A</v>
      </c>
      <c r="R195" t="e">
        <f>INDEX(Items!D$2:D$1032,MATCH($O195,Items!$A$2:$A$1032,0))</f>
        <v>#N/A</v>
      </c>
    </row>
    <row r="196" spans="1:18" x14ac:dyDescent="0.25">
      <c r="A196">
        <f t="shared" si="17"/>
        <v>1</v>
      </c>
      <c r="B196" t="str">
        <f t="shared" si="18"/>
        <v/>
      </c>
      <c r="C196">
        <f t="shared" si="15"/>
        <v>1</v>
      </c>
      <c r="D196" s="4"/>
      <c r="E196" t="s">
        <v>18</v>
      </c>
      <c r="F196" t="str">
        <f>INDEX(Establishment!B$2:B$1005,MATCH($E196,Establishment!$A$2:$A$1005,0))</f>
        <v xml:space="preserve"> </v>
      </c>
      <c r="G196" t="str">
        <f>INDEX(Establishment!C$2:C$1005,MATCH($E196,Establishment!$A$2:$A$1005,0))</f>
        <v xml:space="preserve"> </v>
      </c>
      <c r="M196">
        <f t="shared" si="16"/>
        <v>0</v>
      </c>
      <c r="N196">
        <f t="shared" si="19"/>
        <v>0</v>
      </c>
      <c r="P196" t="e">
        <f>INDEX(Items!B$2:B$1032,MATCH($O196,Items!$A$2:$A$1032,0))</f>
        <v>#N/A</v>
      </c>
      <c r="Q196" t="e">
        <f>INDEX(Items!C$2:C$1032,MATCH($O196,Items!$A$2:$A$1032,0))</f>
        <v>#N/A</v>
      </c>
      <c r="R196" t="e">
        <f>INDEX(Items!D$2:D$1032,MATCH($O196,Items!$A$2:$A$1032,0))</f>
        <v>#N/A</v>
      </c>
    </row>
    <row r="197" spans="1:18" x14ac:dyDescent="0.25">
      <c r="A197">
        <f t="shared" si="17"/>
        <v>1</v>
      </c>
      <c r="B197" t="str">
        <f t="shared" si="18"/>
        <v/>
      </c>
      <c r="C197">
        <f t="shared" si="15"/>
        <v>1</v>
      </c>
      <c r="D197" s="4"/>
      <c r="E197" t="s">
        <v>18</v>
      </c>
      <c r="F197" t="str">
        <f>INDEX(Establishment!B$2:B$1005,MATCH($E197,Establishment!$A$2:$A$1005,0))</f>
        <v xml:space="preserve"> </v>
      </c>
      <c r="G197" t="str">
        <f>INDEX(Establishment!C$2:C$1005,MATCH($E197,Establishment!$A$2:$A$1005,0))</f>
        <v xml:space="preserve"> </v>
      </c>
      <c r="M197">
        <f t="shared" si="16"/>
        <v>0</v>
      </c>
      <c r="N197">
        <f t="shared" si="19"/>
        <v>0</v>
      </c>
      <c r="P197" t="e">
        <f>INDEX(Items!B$2:B$1032,MATCH($O197,Items!$A$2:$A$1032,0))</f>
        <v>#N/A</v>
      </c>
      <c r="Q197" t="e">
        <f>INDEX(Items!C$2:C$1032,MATCH($O197,Items!$A$2:$A$1032,0))</f>
        <v>#N/A</v>
      </c>
      <c r="R197" t="e">
        <f>INDEX(Items!D$2:D$1032,MATCH($O197,Items!$A$2:$A$1032,0))</f>
        <v>#N/A</v>
      </c>
    </row>
    <row r="198" spans="1:18" x14ac:dyDescent="0.25">
      <c r="A198">
        <f t="shared" si="17"/>
        <v>1</v>
      </c>
      <c r="B198" t="str">
        <f t="shared" si="18"/>
        <v/>
      </c>
      <c r="C198">
        <f t="shared" si="15"/>
        <v>1</v>
      </c>
      <c r="D198" s="4"/>
      <c r="E198" t="s">
        <v>18</v>
      </c>
      <c r="F198" t="str">
        <f>INDEX(Establishment!B$2:B$1005,MATCH($E198,Establishment!$A$2:$A$1005,0))</f>
        <v xml:space="preserve"> </v>
      </c>
      <c r="G198" t="str">
        <f>INDEX(Establishment!C$2:C$1005,MATCH($E198,Establishment!$A$2:$A$1005,0))</f>
        <v xml:space="preserve"> </v>
      </c>
      <c r="M198">
        <f t="shared" si="16"/>
        <v>0</v>
      </c>
      <c r="N198">
        <f t="shared" si="19"/>
        <v>0</v>
      </c>
      <c r="P198" t="e">
        <f>INDEX(Items!B$2:B$1032,MATCH($O198,Items!$A$2:$A$1032,0))</f>
        <v>#N/A</v>
      </c>
      <c r="Q198" t="e">
        <f>INDEX(Items!C$2:C$1032,MATCH($O198,Items!$A$2:$A$1032,0))</f>
        <v>#N/A</v>
      </c>
      <c r="R198" t="e">
        <f>INDEX(Items!D$2:D$1032,MATCH($O198,Items!$A$2:$A$1032,0))</f>
        <v>#N/A</v>
      </c>
    </row>
    <row r="199" spans="1:18" x14ac:dyDescent="0.25">
      <c r="A199">
        <f t="shared" si="17"/>
        <v>1</v>
      </c>
      <c r="B199" t="str">
        <f t="shared" si="18"/>
        <v/>
      </c>
      <c r="C199">
        <f t="shared" si="15"/>
        <v>1</v>
      </c>
      <c r="D199" s="4"/>
      <c r="E199" t="s">
        <v>18</v>
      </c>
      <c r="F199" t="str">
        <f>INDEX(Establishment!B$2:B$1005,MATCH($E199,Establishment!$A$2:$A$1005,0))</f>
        <v xml:space="preserve"> </v>
      </c>
      <c r="G199" t="str">
        <f>INDEX(Establishment!C$2:C$1005,MATCH($E199,Establishment!$A$2:$A$1005,0))</f>
        <v xml:space="preserve"> </v>
      </c>
      <c r="M199">
        <f t="shared" si="16"/>
        <v>0</v>
      </c>
      <c r="N199">
        <f t="shared" si="19"/>
        <v>0</v>
      </c>
      <c r="P199" t="e">
        <f>INDEX(Items!B$2:B$1032,MATCH($O199,Items!$A$2:$A$1032,0))</f>
        <v>#N/A</v>
      </c>
      <c r="Q199" t="e">
        <f>INDEX(Items!C$2:C$1032,MATCH($O199,Items!$A$2:$A$1032,0))</f>
        <v>#N/A</v>
      </c>
      <c r="R199" t="e">
        <f>INDEX(Items!D$2:D$1032,MATCH($O199,Items!$A$2:$A$1032,0))</f>
        <v>#N/A</v>
      </c>
    </row>
    <row r="200" spans="1:18" x14ac:dyDescent="0.25">
      <c r="A200">
        <f t="shared" si="17"/>
        <v>1</v>
      </c>
      <c r="B200" t="str">
        <f t="shared" si="18"/>
        <v/>
      </c>
      <c r="C200">
        <f t="shared" si="15"/>
        <v>1</v>
      </c>
      <c r="D200" s="4"/>
      <c r="E200" t="s">
        <v>18</v>
      </c>
      <c r="F200" t="str">
        <f>INDEX(Establishment!B$2:B$1005,MATCH($E200,Establishment!$A$2:$A$1005,0))</f>
        <v xml:space="preserve"> </v>
      </c>
      <c r="G200" t="str">
        <f>INDEX(Establishment!C$2:C$1005,MATCH($E200,Establishment!$A$2:$A$1005,0))</f>
        <v xml:space="preserve"> </v>
      </c>
      <c r="M200">
        <f t="shared" si="16"/>
        <v>0</v>
      </c>
      <c r="N200">
        <f t="shared" si="19"/>
        <v>0</v>
      </c>
      <c r="P200" t="e">
        <f>INDEX(Items!B$2:B$1032,MATCH($O200,Items!$A$2:$A$1032,0))</f>
        <v>#N/A</v>
      </c>
      <c r="Q200" t="e">
        <f>INDEX(Items!C$2:C$1032,MATCH($O200,Items!$A$2:$A$1032,0))</f>
        <v>#N/A</v>
      </c>
      <c r="R200" t="e">
        <f>INDEX(Items!D$2:D$1032,MATCH($O200,Items!$A$2:$A$1032,0))</f>
        <v>#N/A</v>
      </c>
    </row>
    <row r="201" spans="1:18" x14ac:dyDescent="0.25">
      <c r="A201">
        <f t="shared" si="17"/>
        <v>1</v>
      </c>
      <c r="B201" t="str">
        <f t="shared" si="18"/>
        <v/>
      </c>
      <c r="C201">
        <f t="shared" si="15"/>
        <v>1</v>
      </c>
      <c r="D201" s="4"/>
      <c r="E201" t="s">
        <v>18</v>
      </c>
      <c r="F201" t="str">
        <f>INDEX(Establishment!B$2:B$1005,MATCH($E201,Establishment!$A$2:$A$1005,0))</f>
        <v xml:space="preserve"> </v>
      </c>
      <c r="G201" t="str">
        <f>INDEX(Establishment!C$2:C$1005,MATCH($E201,Establishment!$A$2:$A$1005,0))</f>
        <v xml:space="preserve"> </v>
      </c>
      <c r="M201">
        <f t="shared" si="16"/>
        <v>0</v>
      </c>
      <c r="N201">
        <f t="shared" si="19"/>
        <v>0</v>
      </c>
      <c r="P201" t="e">
        <f>INDEX(Items!B$2:B$1032,MATCH($O201,Items!$A$2:$A$1032,0))</f>
        <v>#N/A</v>
      </c>
      <c r="Q201" t="e">
        <f>INDEX(Items!C$2:C$1032,MATCH($O201,Items!$A$2:$A$1032,0))</f>
        <v>#N/A</v>
      </c>
      <c r="R201" t="e">
        <f>INDEX(Items!D$2:D$1032,MATCH($O201,Items!$A$2:$A$1032,0))</f>
        <v>#N/A</v>
      </c>
    </row>
    <row r="202" spans="1:18" x14ac:dyDescent="0.25">
      <c r="A202">
        <f t="shared" si="17"/>
        <v>1</v>
      </c>
      <c r="B202" t="str">
        <f t="shared" si="18"/>
        <v/>
      </c>
      <c r="C202">
        <f t="shared" ref="C202:C265" si="20">IF(OR(B202="",B202&lt;&gt;B201),1,C201+1)</f>
        <v>1</v>
      </c>
      <c r="D202" s="4"/>
      <c r="E202" t="s">
        <v>18</v>
      </c>
      <c r="F202" t="str">
        <f>INDEX(Establishment!B$2:B$1005,MATCH($E202,Establishment!$A$2:$A$1005,0))</f>
        <v xml:space="preserve"> </v>
      </c>
      <c r="G202" t="str">
        <f>INDEX(Establishment!C$2:C$1005,MATCH($E202,Establishment!$A$2:$A$1005,0))</f>
        <v xml:space="preserve"> </v>
      </c>
      <c r="M202">
        <f t="shared" ref="M202:M265" si="21">K202*L202</f>
        <v>0</v>
      </c>
      <c r="N202">
        <f t="shared" si="19"/>
        <v>0</v>
      </c>
      <c r="P202" t="e">
        <f>INDEX(Items!B$2:B$1032,MATCH($O202,Items!$A$2:$A$1032,0))</f>
        <v>#N/A</v>
      </c>
      <c r="Q202" t="e">
        <f>INDEX(Items!C$2:C$1032,MATCH($O202,Items!$A$2:$A$1032,0))</f>
        <v>#N/A</v>
      </c>
      <c r="R202" t="e">
        <f>INDEX(Items!D$2:D$1032,MATCH($O202,Items!$A$2:$A$1032,0))</f>
        <v>#N/A</v>
      </c>
    </row>
    <row r="203" spans="1:18" x14ac:dyDescent="0.25">
      <c r="A203">
        <f t="shared" si="17"/>
        <v>1</v>
      </c>
      <c r="B203" t="str">
        <f t="shared" si="18"/>
        <v/>
      </c>
      <c r="C203">
        <f t="shared" si="20"/>
        <v>1</v>
      </c>
      <c r="D203" s="4"/>
      <c r="E203" t="s">
        <v>18</v>
      </c>
      <c r="F203" t="str">
        <f>INDEX(Establishment!B$2:B$1005,MATCH($E203,Establishment!$A$2:$A$1005,0))</f>
        <v xml:space="preserve"> </v>
      </c>
      <c r="G203" t="str">
        <f>INDEX(Establishment!C$2:C$1005,MATCH($E203,Establishment!$A$2:$A$1005,0))</f>
        <v xml:space="preserve"> </v>
      </c>
      <c r="M203">
        <f t="shared" si="21"/>
        <v>0</v>
      </c>
      <c r="N203">
        <f t="shared" si="19"/>
        <v>0</v>
      </c>
      <c r="P203" t="e">
        <f>INDEX(Items!B$2:B$1032,MATCH($O203,Items!$A$2:$A$1032,0))</f>
        <v>#N/A</v>
      </c>
      <c r="Q203" t="e">
        <f>INDEX(Items!C$2:C$1032,MATCH($O203,Items!$A$2:$A$1032,0))</f>
        <v>#N/A</v>
      </c>
      <c r="R203" t="e">
        <f>INDEX(Items!D$2:D$1032,MATCH($O203,Items!$A$2:$A$1032,0))</f>
        <v>#N/A</v>
      </c>
    </row>
    <row r="204" spans="1:18" x14ac:dyDescent="0.25">
      <c r="A204">
        <f t="shared" si="17"/>
        <v>1</v>
      </c>
      <c r="B204" t="str">
        <f t="shared" si="18"/>
        <v/>
      </c>
      <c r="C204">
        <f t="shared" si="20"/>
        <v>1</v>
      </c>
      <c r="D204" s="4"/>
      <c r="E204" t="s">
        <v>18</v>
      </c>
      <c r="F204" t="str">
        <f>INDEX(Establishment!B$2:B$1005,MATCH($E204,Establishment!$A$2:$A$1005,0))</f>
        <v xml:space="preserve"> </v>
      </c>
      <c r="G204" t="str">
        <f>INDEX(Establishment!C$2:C$1005,MATCH($E204,Establishment!$A$2:$A$1005,0))</f>
        <v xml:space="preserve"> </v>
      </c>
      <c r="M204">
        <f t="shared" si="21"/>
        <v>0</v>
      </c>
      <c r="N204">
        <f t="shared" si="19"/>
        <v>0</v>
      </c>
      <c r="P204" t="e">
        <f>INDEX(Items!B$2:B$1032,MATCH($O204,Items!$A$2:$A$1032,0))</f>
        <v>#N/A</v>
      </c>
      <c r="Q204" t="e">
        <f>INDEX(Items!C$2:C$1032,MATCH($O204,Items!$A$2:$A$1032,0))</f>
        <v>#N/A</v>
      </c>
      <c r="R204" t="e">
        <f>INDEX(Items!D$2:D$1032,MATCH($O204,Items!$A$2:$A$1032,0))</f>
        <v>#N/A</v>
      </c>
    </row>
    <row r="205" spans="1:18" x14ac:dyDescent="0.25">
      <c r="A205">
        <f t="shared" si="17"/>
        <v>1</v>
      </c>
      <c r="B205" t="str">
        <f t="shared" si="18"/>
        <v/>
      </c>
      <c r="C205">
        <f t="shared" si="20"/>
        <v>1</v>
      </c>
      <c r="D205" s="4"/>
      <c r="E205" t="s">
        <v>18</v>
      </c>
      <c r="F205" t="str">
        <f>INDEX(Establishment!B$2:B$1005,MATCH($E205,Establishment!$A$2:$A$1005,0))</f>
        <v xml:space="preserve"> </v>
      </c>
      <c r="G205" t="str">
        <f>INDEX(Establishment!C$2:C$1005,MATCH($E205,Establishment!$A$2:$A$1005,0))</f>
        <v xml:space="preserve"> </v>
      </c>
      <c r="M205">
        <f t="shared" si="21"/>
        <v>0</v>
      </c>
      <c r="N205">
        <f t="shared" si="19"/>
        <v>0</v>
      </c>
      <c r="P205" t="e">
        <f>INDEX(Items!B$2:B$1032,MATCH($O205,Items!$A$2:$A$1032,0))</f>
        <v>#N/A</v>
      </c>
      <c r="Q205" t="e">
        <f>INDEX(Items!C$2:C$1032,MATCH($O205,Items!$A$2:$A$1032,0))</f>
        <v>#N/A</v>
      </c>
      <c r="R205" t="e">
        <f>INDEX(Items!D$2:D$1032,MATCH($O205,Items!$A$2:$A$1032,0))</f>
        <v>#N/A</v>
      </c>
    </row>
    <row r="206" spans="1:18" x14ac:dyDescent="0.25">
      <c r="A206">
        <f t="shared" si="17"/>
        <v>1</v>
      </c>
      <c r="B206" t="str">
        <f t="shared" si="18"/>
        <v/>
      </c>
      <c r="C206">
        <f t="shared" si="20"/>
        <v>1</v>
      </c>
      <c r="D206" s="4"/>
      <c r="E206" t="s">
        <v>18</v>
      </c>
      <c r="F206" t="str">
        <f>INDEX(Establishment!B$2:B$1005,MATCH($E206,Establishment!$A$2:$A$1005,0))</f>
        <v xml:space="preserve"> </v>
      </c>
      <c r="G206" t="str">
        <f>INDEX(Establishment!C$2:C$1005,MATCH($E206,Establishment!$A$2:$A$1005,0))</f>
        <v xml:space="preserve"> </v>
      </c>
      <c r="M206">
        <f t="shared" si="21"/>
        <v>0</v>
      </c>
      <c r="N206">
        <f t="shared" si="19"/>
        <v>0</v>
      </c>
      <c r="P206" t="e">
        <f>INDEX(Items!B$2:B$1032,MATCH($O206,Items!$A$2:$A$1032,0))</f>
        <v>#N/A</v>
      </c>
      <c r="Q206" t="e">
        <f>INDEX(Items!C$2:C$1032,MATCH($O206,Items!$A$2:$A$1032,0))</f>
        <v>#N/A</v>
      </c>
      <c r="R206" t="e">
        <f>INDEX(Items!D$2:D$1032,MATCH($O206,Items!$A$2:$A$1032,0))</f>
        <v>#N/A</v>
      </c>
    </row>
    <row r="207" spans="1:18" x14ac:dyDescent="0.25">
      <c r="A207">
        <f t="shared" si="17"/>
        <v>1</v>
      </c>
      <c r="B207" t="str">
        <f t="shared" si="18"/>
        <v/>
      </c>
      <c r="C207">
        <f t="shared" si="20"/>
        <v>1</v>
      </c>
      <c r="D207" s="4"/>
      <c r="E207" t="s">
        <v>18</v>
      </c>
      <c r="F207" t="str">
        <f>INDEX(Establishment!B$2:B$1005,MATCH($E207,Establishment!$A$2:$A$1005,0))</f>
        <v xml:space="preserve"> </v>
      </c>
      <c r="G207" t="str">
        <f>INDEX(Establishment!C$2:C$1005,MATCH($E207,Establishment!$A$2:$A$1005,0))</f>
        <v xml:space="preserve"> </v>
      </c>
      <c r="M207">
        <f t="shared" si="21"/>
        <v>0</v>
      </c>
      <c r="N207">
        <f t="shared" si="19"/>
        <v>0</v>
      </c>
      <c r="P207" t="e">
        <f>INDEX(Items!B$2:B$1032,MATCH($O207,Items!$A$2:$A$1032,0))</f>
        <v>#N/A</v>
      </c>
      <c r="Q207" t="e">
        <f>INDEX(Items!C$2:C$1032,MATCH($O207,Items!$A$2:$A$1032,0))</f>
        <v>#N/A</v>
      </c>
      <c r="R207" t="e">
        <f>INDEX(Items!D$2:D$1032,MATCH($O207,Items!$A$2:$A$1032,0))</f>
        <v>#N/A</v>
      </c>
    </row>
    <row r="208" spans="1:18" x14ac:dyDescent="0.25">
      <c r="A208">
        <f t="shared" si="17"/>
        <v>1</v>
      </c>
      <c r="B208" t="str">
        <f t="shared" si="18"/>
        <v/>
      </c>
      <c r="C208">
        <f t="shared" si="20"/>
        <v>1</v>
      </c>
      <c r="D208" s="4"/>
      <c r="E208" t="s">
        <v>18</v>
      </c>
      <c r="F208" t="str">
        <f>INDEX(Establishment!B$2:B$1005,MATCH($E208,Establishment!$A$2:$A$1005,0))</f>
        <v xml:space="preserve"> </v>
      </c>
      <c r="G208" t="str">
        <f>INDEX(Establishment!C$2:C$1005,MATCH($E208,Establishment!$A$2:$A$1005,0))</f>
        <v xml:space="preserve"> </v>
      </c>
      <c r="M208">
        <f t="shared" si="21"/>
        <v>0</v>
      </c>
      <c r="N208">
        <f t="shared" si="19"/>
        <v>0</v>
      </c>
      <c r="P208" t="e">
        <f>INDEX(Items!B$2:B$1032,MATCH($O208,Items!$A$2:$A$1032,0))</f>
        <v>#N/A</v>
      </c>
      <c r="Q208" t="e">
        <f>INDEX(Items!C$2:C$1032,MATCH($O208,Items!$A$2:$A$1032,0))</f>
        <v>#N/A</v>
      </c>
      <c r="R208" t="e">
        <f>INDEX(Items!D$2:D$1032,MATCH($O208,Items!$A$2:$A$1032,0))</f>
        <v>#N/A</v>
      </c>
    </row>
    <row r="209" spans="1:18" x14ac:dyDescent="0.25">
      <c r="A209">
        <f t="shared" si="17"/>
        <v>1</v>
      </c>
      <c r="B209" t="str">
        <f t="shared" si="18"/>
        <v/>
      </c>
      <c r="C209">
        <f t="shared" si="20"/>
        <v>1</v>
      </c>
      <c r="D209" s="4"/>
      <c r="E209" t="s">
        <v>18</v>
      </c>
      <c r="F209" t="str">
        <f>INDEX(Establishment!B$2:B$1005,MATCH($E209,Establishment!$A$2:$A$1005,0))</f>
        <v xml:space="preserve"> </v>
      </c>
      <c r="G209" t="str">
        <f>INDEX(Establishment!C$2:C$1005,MATCH($E209,Establishment!$A$2:$A$1005,0))</f>
        <v xml:space="preserve"> </v>
      </c>
      <c r="M209">
        <f t="shared" si="21"/>
        <v>0</v>
      </c>
      <c r="N209">
        <f t="shared" si="19"/>
        <v>0</v>
      </c>
      <c r="P209" t="e">
        <f>INDEX(Items!B$2:B$1032,MATCH($O209,Items!$A$2:$A$1032,0))</f>
        <v>#N/A</v>
      </c>
      <c r="Q209" t="e">
        <f>INDEX(Items!C$2:C$1032,MATCH($O209,Items!$A$2:$A$1032,0))</f>
        <v>#N/A</v>
      </c>
      <c r="R209" t="e">
        <f>INDEX(Items!D$2:D$1032,MATCH($O209,Items!$A$2:$A$1032,0))</f>
        <v>#N/A</v>
      </c>
    </row>
    <row r="210" spans="1:18" x14ac:dyDescent="0.25">
      <c r="A210">
        <f t="shared" si="17"/>
        <v>1</v>
      </c>
      <c r="B210" t="str">
        <f t="shared" si="18"/>
        <v/>
      </c>
      <c r="C210">
        <f t="shared" si="20"/>
        <v>1</v>
      </c>
      <c r="D210" s="4"/>
      <c r="E210" t="s">
        <v>18</v>
      </c>
      <c r="F210" t="str">
        <f>INDEX(Establishment!B$2:B$1005,MATCH($E210,Establishment!$A$2:$A$1005,0))</f>
        <v xml:space="preserve"> </v>
      </c>
      <c r="G210" t="str">
        <f>INDEX(Establishment!C$2:C$1005,MATCH($E210,Establishment!$A$2:$A$1005,0))</f>
        <v xml:space="preserve"> </v>
      </c>
      <c r="M210">
        <f t="shared" si="21"/>
        <v>0</v>
      </c>
      <c r="N210">
        <f t="shared" si="19"/>
        <v>0</v>
      </c>
      <c r="P210" t="e">
        <f>INDEX(Items!B$2:B$1032,MATCH($O210,Items!$A$2:$A$1032,0))</f>
        <v>#N/A</v>
      </c>
      <c r="Q210" t="e">
        <f>INDEX(Items!C$2:C$1032,MATCH($O210,Items!$A$2:$A$1032,0))</f>
        <v>#N/A</v>
      </c>
      <c r="R210" t="e">
        <f>INDEX(Items!D$2:D$1032,MATCH($O210,Items!$A$2:$A$1032,0))</f>
        <v>#N/A</v>
      </c>
    </row>
    <row r="211" spans="1:18" x14ac:dyDescent="0.25">
      <c r="A211">
        <f t="shared" si="17"/>
        <v>1</v>
      </c>
      <c r="B211" t="str">
        <f t="shared" si="18"/>
        <v/>
      </c>
      <c r="C211">
        <f t="shared" si="20"/>
        <v>1</v>
      </c>
      <c r="D211" s="4"/>
      <c r="E211" t="s">
        <v>18</v>
      </c>
      <c r="F211" t="str">
        <f>INDEX(Establishment!B$2:B$1005,MATCH($E211,Establishment!$A$2:$A$1005,0))</f>
        <v xml:space="preserve"> </v>
      </c>
      <c r="G211" t="str">
        <f>INDEX(Establishment!C$2:C$1005,MATCH($E211,Establishment!$A$2:$A$1005,0))</f>
        <v xml:space="preserve"> </v>
      </c>
      <c r="M211">
        <f t="shared" si="21"/>
        <v>0</v>
      </c>
      <c r="N211">
        <f t="shared" si="19"/>
        <v>0</v>
      </c>
      <c r="P211" t="e">
        <f>INDEX(Items!B$2:B$1032,MATCH($O211,Items!$A$2:$A$1032,0))</f>
        <v>#N/A</v>
      </c>
      <c r="Q211" t="e">
        <f>INDEX(Items!C$2:C$1032,MATCH($O211,Items!$A$2:$A$1032,0))</f>
        <v>#N/A</v>
      </c>
      <c r="R211" t="e">
        <f>INDEX(Items!D$2:D$1032,MATCH($O211,Items!$A$2:$A$1032,0))</f>
        <v>#N/A</v>
      </c>
    </row>
    <row r="212" spans="1:18" x14ac:dyDescent="0.25">
      <c r="A212">
        <f t="shared" si="17"/>
        <v>1</v>
      </c>
      <c r="B212" t="str">
        <f t="shared" si="18"/>
        <v/>
      </c>
      <c r="C212">
        <f t="shared" si="20"/>
        <v>1</v>
      </c>
      <c r="D212" s="4"/>
      <c r="E212" t="s">
        <v>18</v>
      </c>
      <c r="F212" t="str">
        <f>INDEX(Establishment!B$2:B$1005,MATCH($E212,Establishment!$A$2:$A$1005,0))</f>
        <v xml:space="preserve"> </v>
      </c>
      <c r="G212" t="str">
        <f>INDEX(Establishment!C$2:C$1005,MATCH($E212,Establishment!$A$2:$A$1005,0))</f>
        <v xml:space="preserve"> </v>
      </c>
      <c r="M212">
        <f t="shared" si="21"/>
        <v>0</v>
      </c>
      <c r="N212">
        <f t="shared" si="19"/>
        <v>0</v>
      </c>
      <c r="P212" t="e">
        <f>INDEX(Items!B$2:B$1032,MATCH($O212,Items!$A$2:$A$1032,0))</f>
        <v>#N/A</v>
      </c>
      <c r="Q212" t="e">
        <f>INDEX(Items!C$2:C$1032,MATCH($O212,Items!$A$2:$A$1032,0))</f>
        <v>#N/A</v>
      </c>
      <c r="R212" t="e">
        <f>INDEX(Items!D$2:D$1032,MATCH($O212,Items!$A$2:$A$1032,0))</f>
        <v>#N/A</v>
      </c>
    </row>
    <row r="213" spans="1:18" x14ac:dyDescent="0.25">
      <c r="A213">
        <f t="shared" si="17"/>
        <v>1</v>
      </c>
      <c r="B213" t="str">
        <f t="shared" si="18"/>
        <v/>
      </c>
      <c r="C213">
        <f t="shared" si="20"/>
        <v>1</v>
      </c>
      <c r="D213" s="4"/>
      <c r="E213" t="s">
        <v>18</v>
      </c>
      <c r="F213" t="str">
        <f>INDEX(Establishment!B$2:B$1005,MATCH($E213,Establishment!$A$2:$A$1005,0))</f>
        <v xml:space="preserve"> </v>
      </c>
      <c r="G213" t="str">
        <f>INDEX(Establishment!C$2:C$1005,MATCH($E213,Establishment!$A$2:$A$1005,0))</f>
        <v xml:space="preserve"> </v>
      </c>
      <c r="M213">
        <f t="shared" si="21"/>
        <v>0</v>
      </c>
      <c r="N213">
        <f t="shared" si="19"/>
        <v>0</v>
      </c>
      <c r="P213" t="e">
        <f>INDEX(Items!B$2:B$1032,MATCH($O213,Items!$A$2:$A$1032,0))</f>
        <v>#N/A</v>
      </c>
      <c r="Q213" t="e">
        <f>INDEX(Items!C$2:C$1032,MATCH($O213,Items!$A$2:$A$1032,0))</f>
        <v>#N/A</v>
      </c>
      <c r="R213" t="e">
        <f>INDEX(Items!D$2:D$1032,MATCH($O213,Items!$A$2:$A$1032,0))</f>
        <v>#N/A</v>
      </c>
    </row>
    <row r="214" spans="1:18" x14ac:dyDescent="0.25">
      <c r="A214">
        <f t="shared" si="17"/>
        <v>1</v>
      </c>
      <c r="B214" t="str">
        <f t="shared" si="18"/>
        <v/>
      </c>
      <c r="C214">
        <f t="shared" si="20"/>
        <v>1</v>
      </c>
      <c r="D214" s="4"/>
      <c r="E214" t="s">
        <v>18</v>
      </c>
      <c r="F214" t="str">
        <f>INDEX(Establishment!B$2:B$1005,MATCH($E214,Establishment!$A$2:$A$1005,0))</f>
        <v xml:space="preserve"> </v>
      </c>
      <c r="G214" t="str">
        <f>INDEX(Establishment!C$2:C$1005,MATCH($E214,Establishment!$A$2:$A$1005,0))</f>
        <v xml:space="preserve"> </v>
      </c>
      <c r="M214">
        <f t="shared" si="21"/>
        <v>0</v>
      </c>
      <c r="N214">
        <f t="shared" si="19"/>
        <v>0</v>
      </c>
      <c r="P214" t="e">
        <f>INDEX(Items!B$2:B$1032,MATCH($O214,Items!$A$2:$A$1032,0))</f>
        <v>#N/A</v>
      </c>
      <c r="Q214" t="e">
        <f>INDEX(Items!C$2:C$1032,MATCH($O214,Items!$A$2:$A$1032,0))</f>
        <v>#N/A</v>
      </c>
      <c r="R214" t="e">
        <f>INDEX(Items!D$2:D$1032,MATCH($O214,Items!$A$2:$A$1032,0))</f>
        <v>#N/A</v>
      </c>
    </row>
    <row r="215" spans="1:18" x14ac:dyDescent="0.25">
      <c r="A215">
        <f t="shared" si="17"/>
        <v>1</v>
      </c>
      <c r="B215" t="str">
        <f t="shared" si="18"/>
        <v/>
      </c>
      <c r="C215">
        <f t="shared" si="20"/>
        <v>1</v>
      </c>
      <c r="D215" s="4"/>
      <c r="E215" t="s">
        <v>18</v>
      </c>
      <c r="F215" t="str">
        <f>INDEX(Establishment!B$2:B$1005,MATCH($E215,Establishment!$A$2:$A$1005,0))</f>
        <v xml:space="preserve"> </v>
      </c>
      <c r="G215" t="str">
        <f>INDEX(Establishment!C$2:C$1005,MATCH($E215,Establishment!$A$2:$A$1005,0))</f>
        <v xml:space="preserve"> </v>
      </c>
      <c r="M215">
        <f t="shared" si="21"/>
        <v>0</v>
      </c>
      <c r="N215">
        <f t="shared" si="19"/>
        <v>0</v>
      </c>
      <c r="P215" t="e">
        <f>INDEX(Items!B$2:B$1032,MATCH($O215,Items!$A$2:$A$1032,0))</f>
        <v>#N/A</v>
      </c>
      <c r="Q215" t="e">
        <f>INDEX(Items!C$2:C$1032,MATCH($O215,Items!$A$2:$A$1032,0))</f>
        <v>#N/A</v>
      </c>
      <c r="R215" t="e">
        <f>INDEX(Items!D$2:D$1032,MATCH($O215,Items!$A$2:$A$1032,0))</f>
        <v>#N/A</v>
      </c>
    </row>
    <row r="216" spans="1:18" x14ac:dyDescent="0.25">
      <c r="A216">
        <f t="shared" si="17"/>
        <v>1</v>
      </c>
      <c r="B216" t="str">
        <f t="shared" si="18"/>
        <v/>
      </c>
      <c r="C216">
        <f t="shared" si="20"/>
        <v>1</v>
      </c>
      <c r="D216" s="4"/>
      <c r="E216" t="s">
        <v>18</v>
      </c>
      <c r="F216" t="str">
        <f>INDEX(Establishment!B$2:B$1005,MATCH($E216,Establishment!$A$2:$A$1005,0))</f>
        <v xml:space="preserve"> </v>
      </c>
      <c r="G216" t="str">
        <f>INDEX(Establishment!C$2:C$1005,MATCH($E216,Establishment!$A$2:$A$1005,0))</f>
        <v xml:space="preserve"> </v>
      </c>
      <c r="M216">
        <f t="shared" si="21"/>
        <v>0</v>
      </c>
      <c r="N216">
        <f t="shared" si="19"/>
        <v>0</v>
      </c>
      <c r="P216" t="e">
        <f>INDEX(Items!B$2:B$1032,MATCH($O216,Items!$A$2:$A$1032,0))</f>
        <v>#N/A</v>
      </c>
      <c r="Q216" t="e">
        <f>INDEX(Items!C$2:C$1032,MATCH($O216,Items!$A$2:$A$1032,0))</f>
        <v>#N/A</v>
      </c>
      <c r="R216" t="e">
        <f>INDEX(Items!D$2:D$1032,MATCH($O216,Items!$A$2:$A$1032,0))</f>
        <v>#N/A</v>
      </c>
    </row>
    <row r="217" spans="1:18" x14ac:dyDescent="0.25">
      <c r="A217">
        <f t="shared" si="17"/>
        <v>1</v>
      </c>
      <c r="B217" t="str">
        <f t="shared" si="18"/>
        <v/>
      </c>
      <c r="C217">
        <f t="shared" si="20"/>
        <v>1</v>
      </c>
      <c r="D217" s="4"/>
      <c r="E217" t="s">
        <v>18</v>
      </c>
      <c r="F217" t="str">
        <f>INDEX(Establishment!B$2:B$1005,MATCH($E217,Establishment!$A$2:$A$1005,0))</f>
        <v xml:space="preserve"> </v>
      </c>
      <c r="G217" t="str">
        <f>INDEX(Establishment!C$2:C$1005,MATCH($E217,Establishment!$A$2:$A$1005,0))</f>
        <v xml:space="preserve"> </v>
      </c>
      <c r="M217">
        <f t="shared" si="21"/>
        <v>0</v>
      </c>
      <c r="N217">
        <f t="shared" si="19"/>
        <v>0</v>
      </c>
      <c r="P217" t="e">
        <f>INDEX(Items!B$2:B$1032,MATCH($O217,Items!$A$2:$A$1032,0))</f>
        <v>#N/A</v>
      </c>
      <c r="Q217" t="e">
        <f>INDEX(Items!C$2:C$1032,MATCH($O217,Items!$A$2:$A$1032,0))</f>
        <v>#N/A</v>
      </c>
      <c r="R217" t="e">
        <f>INDEX(Items!D$2:D$1032,MATCH($O217,Items!$A$2:$A$1032,0))</f>
        <v>#N/A</v>
      </c>
    </row>
    <row r="218" spans="1:18" x14ac:dyDescent="0.25">
      <c r="A218">
        <f t="shared" si="17"/>
        <v>1</v>
      </c>
      <c r="B218" t="str">
        <f t="shared" si="18"/>
        <v/>
      </c>
      <c r="C218">
        <f t="shared" si="20"/>
        <v>1</v>
      </c>
      <c r="D218" s="4"/>
      <c r="E218" t="s">
        <v>18</v>
      </c>
      <c r="F218" t="str">
        <f>INDEX(Establishment!B$2:B$1005,MATCH($E218,Establishment!$A$2:$A$1005,0))</f>
        <v xml:space="preserve"> </v>
      </c>
      <c r="G218" t="str">
        <f>INDEX(Establishment!C$2:C$1005,MATCH($E218,Establishment!$A$2:$A$1005,0))</f>
        <v xml:space="preserve"> </v>
      </c>
      <c r="M218">
        <f t="shared" si="21"/>
        <v>0</v>
      </c>
      <c r="N218">
        <f t="shared" si="19"/>
        <v>0</v>
      </c>
      <c r="P218" t="e">
        <f>INDEX(Items!B$2:B$1032,MATCH($O218,Items!$A$2:$A$1032,0))</f>
        <v>#N/A</v>
      </c>
      <c r="Q218" t="e">
        <f>INDEX(Items!C$2:C$1032,MATCH($O218,Items!$A$2:$A$1032,0))</f>
        <v>#N/A</v>
      </c>
      <c r="R218" t="e">
        <f>INDEX(Items!D$2:D$1032,MATCH($O218,Items!$A$2:$A$1032,0))</f>
        <v>#N/A</v>
      </c>
    </row>
    <row r="219" spans="1:18" x14ac:dyDescent="0.25">
      <c r="A219">
        <f t="shared" si="17"/>
        <v>1</v>
      </c>
      <c r="B219" t="str">
        <f t="shared" si="18"/>
        <v/>
      </c>
      <c r="C219">
        <f t="shared" si="20"/>
        <v>1</v>
      </c>
      <c r="D219" s="4"/>
      <c r="E219" t="s">
        <v>18</v>
      </c>
      <c r="F219" t="str">
        <f>INDEX(Establishment!B$2:B$1005,MATCH($E219,Establishment!$A$2:$A$1005,0))</f>
        <v xml:space="preserve"> </v>
      </c>
      <c r="G219" t="str">
        <f>INDEX(Establishment!C$2:C$1005,MATCH($E219,Establishment!$A$2:$A$1005,0))</f>
        <v xml:space="preserve"> </v>
      </c>
      <c r="M219">
        <f t="shared" si="21"/>
        <v>0</v>
      </c>
      <c r="N219">
        <f t="shared" si="19"/>
        <v>0</v>
      </c>
      <c r="P219" t="e">
        <f>INDEX(Items!B$2:B$1032,MATCH($O219,Items!$A$2:$A$1032,0))</f>
        <v>#N/A</v>
      </c>
      <c r="Q219" t="e">
        <f>INDEX(Items!C$2:C$1032,MATCH($O219,Items!$A$2:$A$1032,0))</f>
        <v>#N/A</v>
      </c>
      <c r="R219" t="e">
        <f>INDEX(Items!D$2:D$1032,MATCH($O219,Items!$A$2:$A$1032,0))</f>
        <v>#N/A</v>
      </c>
    </row>
    <row r="220" spans="1:18" x14ac:dyDescent="0.25">
      <c r="A220">
        <f t="shared" si="17"/>
        <v>1</v>
      </c>
      <c r="B220" t="str">
        <f t="shared" si="18"/>
        <v/>
      </c>
      <c r="C220">
        <f t="shared" si="20"/>
        <v>1</v>
      </c>
      <c r="D220" s="4"/>
      <c r="E220" t="s">
        <v>18</v>
      </c>
      <c r="F220" t="str">
        <f>INDEX(Establishment!B$2:B$1005,MATCH($E220,Establishment!$A$2:$A$1005,0))</f>
        <v xml:space="preserve"> </v>
      </c>
      <c r="G220" t="str">
        <f>INDEX(Establishment!C$2:C$1005,MATCH($E220,Establishment!$A$2:$A$1005,0))</f>
        <v xml:space="preserve"> </v>
      </c>
      <c r="M220">
        <f t="shared" si="21"/>
        <v>0</v>
      </c>
      <c r="N220">
        <f t="shared" si="19"/>
        <v>0</v>
      </c>
      <c r="P220" t="e">
        <f>INDEX(Items!B$2:B$1032,MATCH($O220,Items!$A$2:$A$1032,0))</f>
        <v>#N/A</v>
      </c>
      <c r="Q220" t="e">
        <f>INDEX(Items!C$2:C$1032,MATCH($O220,Items!$A$2:$A$1032,0))</f>
        <v>#N/A</v>
      </c>
      <c r="R220" t="e">
        <f>INDEX(Items!D$2:D$1032,MATCH($O220,Items!$A$2:$A$1032,0))</f>
        <v>#N/A</v>
      </c>
    </row>
    <row r="221" spans="1:18" x14ac:dyDescent="0.25">
      <c r="A221">
        <f t="shared" si="17"/>
        <v>1</v>
      </c>
      <c r="B221" t="str">
        <f t="shared" si="18"/>
        <v/>
      </c>
      <c r="C221">
        <f t="shared" si="20"/>
        <v>1</v>
      </c>
      <c r="D221" s="4"/>
      <c r="E221" t="s">
        <v>18</v>
      </c>
      <c r="F221" t="str">
        <f>INDEX(Establishment!B$2:B$1005,MATCH($E221,Establishment!$A$2:$A$1005,0))</f>
        <v xml:space="preserve"> </v>
      </c>
      <c r="G221" t="str">
        <f>INDEX(Establishment!C$2:C$1005,MATCH($E221,Establishment!$A$2:$A$1005,0))</f>
        <v xml:space="preserve"> </v>
      </c>
      <c r="M221">
        <f t="shared" si="21"/>
        <v>0</v>
      </c>
      <c r="N221">
        <f t="shared" si="19"/>
        <v>0</v>
      </c>
      <c r="P221" t="e">
        <f>INDEX(Items!B$2:B$1032,MATCH($O221,Items!$A$2:$A$1032,0))</f>
        <v>#N/A</v>
      </c>
      <c r="Q221" t="e">
        <f>INDEX(Items!C$2:C$1032,MATCH($O221,Items!$A$2:$A$1032,0))</f>
        <v>#N/A</v>
      </c>
      <c r="R221" t="e">
        <f>INDEX(Items!D$2:D$1032,MATCH($O221,Items!$A$2:$A$1032,0))</f>
        <v>#N/A</v>
      </c>
    </row>
    <row r="222" spans="1:18" x14ac:dyDescent="0.25">
      <c r="A222">
        <f t="shared" si="17"/>
        <v>1</v>
      </c>
      <c r="B222" t="str">
        <f t="shared" si="18"/>
        <v/>
      </c>
      <c r="C222">
        <f t="shared" si="20"/>
        <v>1</v>
      </c>
      <c r="D222" s="4"/>
      <c r="E222" t="s">
        <v>18</v>
      </c>
      <c r="F222" t="str">
        <f>INDEX(Establishment!B$2:B$1005,MATCH($E222,Establishment!$A$2:$A$1005,0))</f>
        <v xml:space="preserve"> </v>
      </c>
      <c r="G222" t="str">
        <f>INDEX(Establishment!C$2:C$1005,MATCH($E222,Establishment!$A$2:$A$1005,0))</f>
        <v xml:space="preserve"> </v>
      </c>
      <c r="M222">
        <f t="shared" si="21"/>
        <v>0</v>
      </c>
      <c r="N222">
        <f t="shared" si="19"/>
        <v>0</v>
      </c>
      <c r="P222" t="e">
        <f>INDEX(Items!B$2:B$1032,MATCH($O222,Items!$A$2:$A$1032,0))</f>
        <v>#N/A</v>
      </c>
      <c r="Q222" t="e">
        <f>INDEX(Items!C$2:C$1032,MATCH($O222,Items!$A$2:$A$1032,0))</f>
        <v>#N/A</v>
      </c>
      <c r="R222" t="e">
        <f>INDEX(Items!D$2:D$1032,MATCH($O222,Items!$A$2:$A$1032,0))</f>
        <v>#N/A</v>
      </c>
    </row>
    <row r="223" spans="1:18" x14ac:dyDescent="0.25">
      <c r="A223">
        <f t="shared" si="17"/>
        <v>1</v>
      </c>
      <c r="B223" t="str">
        <f t="shared" si="18"/>
        <v/>
      </c>
      <c r="C223">
        <f t="shared" si="20"/>
        <v>1</v>
      </c>
      <c r="D223" s="4"/>
      <c r="E223" t="s">
        <v>18</v>
      </c>
      <c r="F223" t="str">
        <f>INDEX(Establishment!B$2:B$1005,MATCH($E223,Establishment!$A$2:$A$1005,0))</f>
        <v xml:space="preserve"> </v>
      </c>
      <c r="G223" t="str">
        <f>INDEX(Establishment!C$2:C$1005,MATCH($E223,Establishment!$A$2:$A$1005,0))</f>
        <v xml:space="preserve"> </v>
      </c>
      <c r="M223">
        <f t="shared" si="21"/>
        <v>0</v>
      </c>
      <c r="N223">
        <f t="shared" si="19"/>
        <v>0</v>
      </c>
      <c r="P223" t="e">
        <f>INDEX(Items!B$2:B$1032,MATCH($O223,Items!$A$2:$A$1032,0))</f>
        <v>#N/A</v>
      </c>
      <c r="Q223" t="e">
        <f>INDEX(Items!C$2:C$1032,MATCH($O223,Items!$A$2:$A$1032,0))</f>
        <v>#N/A</v>
      </c>
      <c r="R223" t="e">
        <f>INDEX(Items!D$2:D$1032,MATCH($O223,Items!$A$2:$A$1032,0))</f>
        <v>#N/A</v>
      </c>
    </row>
    <row r="224" spans="1:18" x14ac:dyDescent="0.25">
      <c r="A224">
        <f t="shared" si="17"/>
        <v>1</v>
      </c>
      <c r="B224" t="str">
        <f t="shared" si="18"/>
        <v/>
      </c>
      <c r="C224">
        <f t="shared" si="20"/>
        <v>1</v>
      </c>
      <c r="D224" s="4"/>
      <c r="E224" t="s">
        <v>18</v>
      </c>
      <c r="F224" t="str">
        <f>INDEX(Establishment!B$2:B$1005,MATCH($E224,Establishment!$A$2:$A$1005,0))</f>
        <v xml:space="preserve"> </v>
      </c>
      <c r="G224" t="str">
        <f>INDEX(Establishment!C$2:C$1005,MATCH($E224,Establishment!$A$2:$A$1005,0))</f>
        <v xml:space="preserve"> </v>
      </c>
      <c r="M224">
        <f t="shared" si="21"/>
        <v>0</v>
      </c>
      <c r="N224">
        <f t="shared" si="19"/>
        <v>0</v>
      </c>
      <c r="P224" t="e">
        <f>INDEX(Items!B$2:B$1032,MATCH($O224,Items!$A$2:$A$1032,0))</f>
        <v>#N/A</v>
      </c>
      <c r="Q224" t="e">
        <f>INDEX(Items!C$2:C$1032,MATCH($O224,Items!$A$2:$A$1032,0))</f>
        <v>#N/A</v>
      </c>
      <c r="R224" t="e">
        <f>INDEX(Items!D$2:D$1032,MATCH($O224,Items!$A$2:$A$1032,0))</f>
        <v>#N/A</v>
      </c>
    </row>
    <row r="225" spans="1:18" x14ac:dyDescent="0.25">
      <c r="A225">
        <f t="shared" si="17"/>
        <v>1</v>
      </c>
      <c r="B225" t="str">
        <f t="shared" si="18"/>
        <v/>
      </c>
      <c r="C225">
        <f t="shared" si="20"/>
        <v>1</v>
      </c>
      <c r="D225" s="4"/>
      <c r="E225" t="s">
        <v>18</v>
      </c>
      <c r="F225" t="str">
        <f>INDEX(Establishment!B$2:B$1005,MATCH($E225,Establishment!$A$2:$A$1005,0))</f>
        <v xml:space="preserve"> </v>
      </c>
      <c r="G225" t="str">
        <f>INDEX(Establishment!C$2:C$1005,MATCH($E225,Establishment!$A$2:$A$1005,0))</f>
        <v xml:space="preserve"> </v>
      </c>
      <c r="M225">
        <f t="shared" si="21"/>
        <v>0</v>
      </c>
      <c r="N225">
        <f t="shared" si="19"/>
        <v>0</v>
      </c>
      <c r="P225" t="e">
        <f>INDEX(Items!B$2:B$1032,MATCH($O225,Items!$A$2:$A$1032,0))</f>
        <v>#N/A</v>
      </c>
      <c r="Q225" t="e">
        <f>INDEX(Items!C$2:C$1032,MATCH($O225,Items!$A$2:$A$1032,0))</f>
        <v>#N/A</v>
      </c>
      <c r="R225" t="e">
        <f>INDEX(Items!D$2:D$1032,MATCH($O225,Items!$A$2:$A$1032,0))</f>
        <v>#N/A</v>
      </c>
    </row>
    <row r="226" spans="1:18" x14ac:dyDescent="0.25">
      <c r="A226">
        <f t="shared" si="17"/>
        <v>1</v>
      </c>
      <c r="B226" t="str">
        <f t="shared" si="18"/>
        <v/>
      </c>
      <c r="C226">
        <f t="shared" si="20"/>
        <v>1</v>
      </c>
      <c r="D226" s="4"/>
      <c r="E226" t="s">
        <v>18</v>
      </c>
      <c r="F226" t="str">
        <f>INDEX(Establishment!B$2:B$1005,MATCH($E226,Establishment!$A$2:$A$1005,0))</f>
        <v xml:space="preserve"> </v>
      </c>
      <c r="G226" t="str">
        <f>INDEX(Establishment!C$2:C$1005,MATCH($E226,Establishment!$A$2:$A$1005,0))</f>
        <v xml:space="preserve"> </v>
      </c>
      <c r="M226">
        <f t="shared" si="21"/>
        <v>0</v>
      </c>
      <c r="N226">
        <f t="shared" si="19"/>
        <v>0</v>
      </c>
      <c r="P226" t="e">
        <f>INDEX(Items!B$2:B$1032,MATCH($O226,Items!$A$2:$A$1032,0))</f>
        <v>#N/A</v>
      </c>
      <c r="Q226" t="e">
        <f>INDEX(Items!C$2:C$1032,MATCH($O226,Items!$A$2:$A$1032,0))</f>
        <v>#N/A</v>
      </c>
      <c r="R226" t="e">
        <f>INDEX(Items!D$2:D$1032,MATCH($O226,Items!$A$2:$A$1032,0))</f>
        <v>#N/A</v>
      </c>
    </row>
    <row r="227" spans="1:18" x14ac:dyDescent="0.25">
      <c r="A227">
        <f t="shared" si="17"/>
        <v>1</v>
      </c>
      <c r="B227" t="str">
        <f t="shared" si="18"/>
        <v/>
      </c>
      <c r="C227">
        <f t="shared" si="20"/>
        <v>1</v>
      </c>
      <c r="D227" s="4"/>
      <c r="E227" t="s">
        <v>18</v>
      </c>
      <c r="F227" t="str">
        <f>INDEX(Establishment!B$2:B$1005,MATCH($E227,Establishment!$A$2:$A$1005,0))</f>
        <v xml:space="preserve"> </v>
      </c>
      <c r="G227" t="str">
        <f>INDEX(Establishment!C$2:C$1005,MATCH($E227,Establishment!$A$2:$A$1005,0))</f>
        <v xml:space="preserve"> </v>
      </c>
      <c r="M227">
        <f t="shared" si="21"/>
        <v>0</v>
      </c>
      <c r="N227">
        <f t="shared" si="19"/>
        <v>0</v>
      </c>
      <c r="P227" t="e">
        <f>INDEX(Items!B$2:B$1032,MATCH($O227,Items!$A$2:$A$1032,0))</f>
        <v>#N/A</v>
      </c>
      <c r="Q227" t="e">
        <f>INDEX(Items!C$2:C$1032,MATCH($O227,Items!$A$2:$A$1032,0))</f>
        <v>#N/A</v>
      </c>
      <c r="R227" t="e">
        <f>INDEX(Items!D$2:D$1032,MATCH($O227,Items!$A$2:$A$1032,0))</f>
        <v>#N/A</v>
      </c>
    </row>
    <row r="228" spans="1:18" x14ac:dyDescent="0.25">
      <c r="A228">
        <f t="shared" si="17"/>
        <v>1</v>
      </c>
      <c r="B228" t="str">
        <f t="shared" si="18"/>
        <v/>
      </c>
      <c r="C228">
        <f t="shared" si="20"/>
        <v>1</v>
      </c>
      <c r="D228" s="4"/>
      <c r="E228" t="s">
        <v>18</v>
      </c>
      <c r="F228" t="str">
        <f>INDEX(Establishment!B$2:B$1005,MATCH($E228,Establishment!$A$2:$A$1005,0))</f>
        <v xml:space="preserve"> </v>
      </c>
      <c r="G228" t="str">
        <f>INDEX(Establishment!C$2:C$1005,MATCH($E228,Establishment!$A$2:$A$1005,0))</f>
        <v xml:space="preserve"> </v>
      </c>
      <c r="M228">
        <f t="shared" si="21"/>
        <v>0</v>
      </c>
      <c r="N228">
        <f t="shared" si="19"/>
        <v>0</v>
      </c>
      <c r="P228" t="e">
        <f>INDEX(Items!B$2:B$1032,MATCH($O228,Items!$A$2:$A$1032,0))</f>
        <v>#N/A</v>
      </c>
      <c r="Q228" t="e">
        <f>INDEX(Items!C$2:C$1032,MATCH($O228,Items!$A$2:$A$1032,0))</f>
        <v>#N/A</v>
      </c>
      <c r="R228" t="e">
        <f>INDEX(Items!D$2:D$1032,MATCH($O228,Items!$A$2:$A$1032,0))</f>
        <v>#N/A</v>
      </c>
    </row>
    <row r="229" spans="1:18" x14ac:dyDescent="0.25">
      <c r="A229">
        <f t="shared" si="17"/>
        <v>1</v>
      </c>
      <c r="B229" t="str">
        <f t="shared" si="18"/>
        <v/>
      </c>
      <c r="C229">
        <f t="shared" si="20"/>
        <v>1</v>
      </c>
      <c r="D229" s="4"/>
      <c r="E229" t="s">
        <v>18</v>
      </c>
      <c r="F229" t="str">
        <f>INDEX(Establishment!B$2:B$1005,MATCH($E229,Establishment!$A$2:$A$1005,0))</f>
        <v xml:space="preserve"> </v>
      </c>
      <c r="G229" t="str">
        <f>INDEX(Establishment!C$2:C$1005,MATCH($E229,Establishment!$A$2:$A$1005,0))</f>
        <v xml:space="preserve"> </v>
      </c>
      <c r="M229">
        <f t="shared" si="21"/>
        <v>0</v>
      </c>
      <c r="N229">
        <f t="shared" si="19"/>
        <v>0</v>
      </c>
      <c r="P229" t="e">
        <f>INDEX(Items!B$2:B$1032,MATCH($O229,Items!$A$2:$A$1032,0))</f>
        <v>#N/A</v>
      </c>
      <c r="Q229" t="e">
        <f>INDEX(Items!C$2:C$1032,MATCH($O229,Items!$A$2:$A$1032,0))</f>
        <v>#N/A</v>
      </c>
      <c r="R229" t="e">
        <f>INDEX(Items!D$2:D$1032,MATCH($O229,Items!$A$2:$A$1032,0))</f>
        <v>#N/A</v>
      </c>
    </row>
    <row r="230" spans="1:18" x14ac:dyDescent="0.25">
      <c r="A230">
        <f t="shared" si="17"/>
        <v>1</v>
      </c>
      <c r="B230" t="str">
        <f t="shared" si="18"/>
        <v/>
      </c>
      <c r="C230">
        <f t="shared" si="20"/>
        <v>1</v>
      </c>
      <c r="D230" s="4"/>
      <c r="E230" t="s">
        <v>18</v>
      </c>
      <c r="F230" t="str">
        <f>INDEX(Establishment!B$2:B$1005,MATCH($E230,Establishment!$A$2:$A$1005,0))</f>
        <v xml:space="preserve"> </v>
      </c>
      <c r="G230" t="str">
        <f>INDEX(Establishment!C$2:C$1005,MATCH($E230,Establishment!$A$2:$A$1005,0))</f>
        <v xml:space="preserve"> </v>
      </c>
      <c r="M230">
        <f t="shared" si="21"/>
        <v>0</v>
      </c>
      <c r="N230">
        <f t="shared" si="19"/>
        <v>0</v>
      </c>
      <c r="P230" t="e">
        <f>INDEX(Items!B$2:B$1032,MATCH($O230,Items!$A$2:$A$1032,0))</f>
        <v>#N/A</v>
      </c>
      <c r="Q230" t="e">
        <f>INDEX(Items!C$2:C$1032,MATCH($O230,Items!$A$2:$A$1032,0))</f>
        <v>#N/A</v>
      </c>
      <c r="R230" t="e">
        <f>INDEX(Items!D$2:D$1032,MATCH($O230,Items!$A$2:$A$1032,0))</f>
        <v>#N/A</v>
      </c>
    </row>
    <row r="231" spans="1:18" x14ac:dyDescent="0.25">
      <c r="A231">
        <f t="shared" si="17"/>
        <v>1</v>
      </c>
      <c r="B231" t="str">
        <f t="shared" si="18"/>
        <v/>
      </c>
      <c r="C231">
        <f t="shared" si="20"/>
        <v>1</v>
      </c>
      <c r="D231" s="4"/>
      <c r="E231" t="s">
        <v>18</v>
      </c>
      <c r="F231" t="str">
        <f>INDEX(Establishment!B$2:B$1005,MATCH($E231,Establishment!$A$2:$A$1005,0))</f>
        <v xml:space="preserve"> </v>
      </c>
      <c r="G231" t="str">
        <f>INDEX(Establishment!C$2:C$1005,MATCH($E231,Establishment!$A$2:$A$1005,0))</f>
        <v xml:space="preserve"> </v>
      </c>
      <c r="M231">
        <f t="shared" si="21"/>
        <v>0</v>
      </c>
      <c r="N231">
        <f t="shared" si="19"/>
        <v>0</v>
      </c>
      <c r="P231" t="e">
        <f>INDEX(Items!B$2:B$1032,MATCH($O231,Items!$A$2:$A$1032,0))</f>
        <v>#N/A</v>
      </c>
      <c r="Q231" t="e">
        <f>INDEX(Items!C$2:C$1032,MATCH($O231,Items!$A$2:$A$1032,0))</f>
        <v>#N/A</v>
      </c>
      <c r="R231" t="e">
        <f>INDEX(Items!D$2:D$1032,MATCH($O231,Items!$A$2:$A$1032,0))</f>
        <v>#N/A</v>
      </c>
    </row>
    <row r="232" spans="1:18" x14ac:dyDescent="0.25">
      <c r="A232">
        <f t="shared" si="17"/>
        <v>1</v>
      </c>
      <c r="B232" t="str">
        <f t="shared" si="18"/>
        <v/>
      </c>
      <c r="C232">
        <f t="shared" si="20"/>
        <v>1</v>
      </c>
      <c r="D232" s="4"/>
      <c r="E232" t="s">
        <v>18</v>
      </c>
      <c r="F232" t="str">
        <f>INDEX(Establishment!B$2:B$1005,MATCH($E232,Establishment!$A$2:$A$1005,0))</f>
        <v xml:space="preserve"> </v>
      </c>
      <c r="G232" t="str">
        <f>INDEX(Establishment!C$2:C$1005,MATCH($E232,Establishment!$A$2:$A$1005,0))</f>
        <v xml:space="preserve"> </v>
      </c>
      <c r="M232">
        <f t="shared" si="21"/>
        <v>0</v>
      </c>
      <c r="N232">
        <f t="shared" si="19"/>
        <v>0</v>
      </c>
      <c r="P232" t="e">
        <f>INDEX(Items!B$2:B$1032,MATCH($O232,Items!$A$2:$A$1032,0))</f>
        <v>#N/A</v>
      </c>
      <c r="Q232" t="e">
        <f>INDEX(Items!C$2:C$1032,MATCH($O232,Items!$A$2:$A$1032,0))</f>
        <v>#N/A</v>
      </c>
      <c r="R232" t="e">
        <f>INDEX(Items!D$2:D$1032,MATCH($O232,Items!$A$2:$A$1032,0))</f>
        <v>#N/A</v>
      </c>
    </row>
    <row r="233" spans="1:18" x14ac:dyDescent="0.25">
      <c r="A233">
        <f t="shared" si="17"/>
        <v>1</v>
      </c>
      <c r="B233" t="str">
        <f t="shared" si="18"/>
        <v/>
      </c>
      <c r="C233">
        <f t="shared" si="20"/>
        <v>1</v>
      </c>
      <c r="D233" s="4"/>
      <c r="E233" t="s">
        <v>18</v>
      </c>
      <c r="F233" t="str">
        <f>INDEX(Establishment!B$2:B$1005,MATCH($E233,Establishment!$A$2:$A$1005,0))</f>
        <v xml:space="preserve"> </v>
      </c>
      <c r="G233" t="str">
        <f>INDEX(Establishment!C$2:C$1005,MATCH($E233,Establishment!$A$2:$A$1005,0))</f>
        <v xml:space="preserve"> </v>
      </c>
      <c r="M233">
        <f t="shared" si="21"/>
        <v>0</v>
      </c>
      <c r="N233">
        <f t="shared" si="19"/>
        <v>0</v>
      </c>
      <c r="P233" t="e">
        <f>INDEX(Items!B$2:B$1032,MATCH($O233,Items!$A$2:$A$1032,0))</f>
        <v>#N/A</v>
      </c>
      <c r="Q233" t="e">
        <f>INDEX(Items!C$2:C$1032,MATCH($O233,Items!$A$2:$A$1032,0))</f>
        <v>#N/A</v>
      </c>
      <c r="R233" t="e">
        <f>INDEX(Items!D$2:D$1032,MATCH($O233,Items!$A$2:$A$1032,0))</f>
        <v>#N/A</v>
      </c>
    </row>
    <row r="234" spans="1:18" x14ac:dyDescent="0.25">
      <c r="A234">
        <f t="shared" si="17"/>
        <v>1</v>
      </c>
      <c r="B234" t="str">
        <f t="shared" si="18"/>
        <v/>
      </c>
      <c r="C234">
        <f t="shared" si="20"/>
        <v>1</v>
      </c>
      <c r="D234" s="4"/>
      <c r="E234" t="s">
        <v>18</v>
      </c>
      <c r="F234" t="str">
        <f>INDEX(Establishment!B$2:B$1005,MATCH($E234,Establishment!$A$2:$A$1005,0))</f>
        <v xml:space="preserve"> </v>
      </c>
      <c r="G234" t="str">
        <f>INDEX(Establishment!C$2:C$1005,MATCH($E234,Establishment!$A$2:$A$1005,0))</f>
        <v xml:space="preserve"> </v>
      </c>
      <c r="M234">
        <f t="shared" si="21"/>
        <v>0</v>
      </c>
      <c r="N234">
        <f t="shared" si="19"/>
        <v>0</v>
      </c>
      <c r="P234" t="e">
        <f>INDEX(Items!B$2:B$1032,MATCH($O234,Items!$A$2:$A$1032,0))</f>
        <v>#N/A</v>
      </c>
      <c r="Q234" t="e">
        <f>INDEX(Items!C$2:C$1032,MATCH($O234,Items!$A$2:$A$1032,0))</f>
        <v>#N/A</v>
      </c>
      <c r="R234" t="e">
        <f>INDEX(Items!D$2:D$1032,MATCH($O234,Items!$A$2:$A$1032,0))</f>
        <v>#N/A</v>
      </c>
    </row>
    <row r="235" spans="1:18" x14ac:dyDescent="0.25">
      <c r="A235">
        <f t="shared" si="17"/>
        <v>1</v>
      </c>
      <c r="B235" t="str">
        <f t="shared" si="18"/>
        <v/>
      </c>
      <c r="C235">
        <f t="shared" si="20"/>
        <v>1</v>
      </c>
      <c r="D235" s="4"/>
      <c r="E235" t="s">
        <v>18</v>
      </c>
      <c r="F235" t="str">
        <f>INDEX(Establishment!B$2:B$1005,MATCH($E235,Establishment!$A$2:$A$1005,0))</f>
        <v xml:space="preserve"> </v>
      </c>
      <c r="G235" t="str">
        <f>INDEX(Establishment!C$2:C$1005,MATCH($E235,Establishment!$A$2:$A$1005,0))</f>
        <v xml:space="preserve"> </v>
      </c>
      <c r="M235">
        <f t="shared" si="21"/>
        <v>0</v>
      </c>
      <c r="N235">
        <f t="shared" si="19"/>
        <v>0</v>
      </c>
      <c r="P235" t="e">
        <f>INDEX(Items!B$2:B$1032,MATCH($O235,Items!$A$2:$A$1032,0))</f>
        <v>#N/A</v>
      </c>
      <c r="Q235" t="e">
        <f>INDEX(Items!C$2:C$1032,MATCH($O235,Items!$A$2:$A$1032,0))</f>
        <v>#N/A</v>
      </c>
      <c r="R235" t="e">
        <f>INDEX(Items!D$2:D$1032,MATCH($O235,Items!$A$2:$A$1032,0))</f>
        <v>#N/A</v>
      </c>
    </row>
    <row r="236" spans="1:18" x14ac:dyDescent="0.25">
      <c r="A236">
        <f t="shared" si="17"/>
        <v>1</v>
      </c>
      <c r="B236" t="str">
        <f t="shared" si="18"/>
        <v/>
      </c>
      <c r="C236">
        <f t="shared" si="20"/>
        <v>1</v>
      </c>
      <c r="D236" s="4"/>
      <c r="E236" t="s">
        <v>18</v>
      </c>
      <c r="F236" t="str">
        <f>INDEX(Establishment!B$2:B$1005,MATCH($E236,Establishment!$A$2:$A$1005,0))</f>
        <v xml:space="preserve"> </v>
      </c>
      <c r="G236" t="str">
        <f>INDEX(Establishment!C$2:C$1005,MATCH($E236,Establishment!$A$2:$A$1005,0))</f>
        <v xml:space="preserve"> </v>
      </c>
      <c r="M236">
        <f t="shared" si="21"/>
        <v>0</v>
      </c>
      <c r="N236">
        <f t="shared" si="19"/>
        <v>0</v>
      </c>
      <c r="P236" t="e">
        <f>INDEX(Items!B$2:B$1032,MATCH($O236,Items!$A$2:$A$1032,0))</f>
        <v>#N/A</v>
      </c>
      <c r="Q236" t="e">
        <f>INDEX(Items!C$2:C$1032,MATCH($O236,Items!$A$2:$A$1032,0))</f>
        <v>#N/A</v>
      </c>
      <c r="R236" t="e">
        <f>INDEX(Items!D$2:D$1032,MATCH($O236,Items!$A$2:$A$1032,0))</f>
        <v>#N/A</v>
      </c>
    </row>
    <row r="237" spans="1:18" x14ac:dyDescent="0.25">
      <c r="A237">
        <f t="shared" si="17"/>
        <v>1</v>
      </c>
      <c r="B237" t="str">
        <f t="shared" si="18"/>
        <v/>
      </c>
      <c r="C237">
        <f t="shared" si="20"/>
        <v>1</v>
      </c>
      <c r="D237" s="4"/>
      <c r="E237" t="s">
        <v>18</v>
      </c>
      <c r="F237" t="str">
        <f>INDEX(Establishment!B$2:B$1005,MATCH($E237,Establishment!$A$2:$A$1005,0))</f>
        <v xml:space="preserve"> </v>
      </c>
      <c r="G237" t="str">
        <f>INDEX(Establishment!C$2:C$1005,MATCH($E237,Establishment!$A$2:$A$1005,0))</f>
        <v xml:space="preserve"> </v>
      </c>
      <c r="M237">
        <f t="shared" si="21"/>
        <v>0</v>
      </c>
      <c r="N237">
        <f t="shared" si="19"/>
        <v>0</v>
      </c>
      <c r="P237" t="e">
        <f>INDEX(Items!B$2:B$1032,MATCH($O237,Items!$A$2:$A$1032,0))</f>
        <v>#N/A</v>
      </c>
      <c r="Q237" t="e">
        <f>INDEX(Items!C$2:C$1032,MATCH($O237,Items!$A$2:$A$1032,0))</f>
        <v>#N/A</v>
      </c>
      <c r="R237" t="e">
        <f>INDEX(Items!D$2:D$1032,MATCH($O237,Items!$A$2:$A$1032,0))</f>
        <v>#N/A</v>
      </c>
    </row>
    <row r="238" spans="1:18" x14ac:dyDescent="0.25">
      <c r="A238">
        <f t="shared" si="17"/>
        <v>1</v>
      </c>
      <c r="B238" t="str">
        <f t="shared" si="18"/>
        <v/>
      </c>
      <c r="C238">
        <f t="shared" si="20"/>
        <v>1</v>
      </c>
      <c r="D238" s="4"/>
      <c r="E238" t="s">
        <v>18</v>
      </c>
      <c r="F238" t="str">
        <f>INDEX(Establishment!B$2:B$1005,MATCH($E238,Establishment!$A$2:$A$1005,0))</f>
        <v xml:space="preserve"> </v>
      </c>
      <c r="G238" t="str">
        <f>INDEX(Establishment!C$2:C$1005,MATCH($E238,Establishment!$A$2:$A$1005,0))</f>
        <v xml:space="preserve"> </v>
      </c>
      <c r="M238">
        <f t="shared" si="21"/>
        <v>0</v>
      </c>
      <c r="N238">
        <f t="shared" si="19"/>
        <v>0</v>
      </c>
      <c r="P238" t="e">
        <f>INDEX(Items!B$2:B$1032,MATCH($O238,Items!$A$2:$A$1032,0))</f>
        <v>#N/A</v>
      </c>
      <c r="Q238" t="e">
        <f>INDEX(Items!C$2:C$1032,MATCH($O238,Items!$A$2:$A$1032,0))</f>
        <v>#N/A</v>
      </c>
      <c r="R238" t="e">
        <f>INDEX(Items!D$2:D$1032,MATCH($O238,Items!$A$2:$A$1032,0))</f>
        <v>#N/A</v>
      </c>
    </row>
    <row r="239" spans="1:18" x14ac:dyDescent="0.25">
      <c r="A239">
        <f t="shared" si="17"/>
        <v>1</v>
      </c>
      <c r="B239" t="str">
        <f t="shared" si="18"/>
        <v/>
      </c>
      <c r="C239">
        <f t="shared" si="20"/>
        <v>1</v>
      </c>
      <c r="D239" s="4"/>
      <c r="E239" t="s">
        <v>18</v>
      </c>
      <c r="F239" t="str">
        <f>INDEX(Establishment!B$2:B$1005,MATCH($E239,Establishment!$A$2:$A$1005,0))</f>
        <v xml:space="preserve"> </v>
      </c>
      <c r="G239" t="str">
        <f>INDEX(Establishment!C$2:C$1005,MATCH($E239,Establishment!$A$2:$A$1005,0))</f>
        <v xml:space="preserve"> </v>
      </c>
      <c r="M239">
        <f t="shared" si="21"/>
        <v>0</v>
      </c>
      <c r="N239">
        <f t="shared" si="19"/>
        <v>0</v>
      </c>
      <c r="P239" t="e">
        <f>INDEX(Items!B$2:B$1032,MATCH($O239,Items!$A$2:$A$1032,0))</f>
        <v>#N/A</v>
      </c>
      <c r="Q239" t="e">
        <f>INDEX(Items!C$2:C$1032,MATCH($O239,Items!$A$2:$A$1032,0))</f>
        <v>#N/A</v>
      </c>
      <c r="R239" t="e">
        <f>INDEX(Items!D$2:D$1032,MATCH($O239,Items!$A$2:$A$1032,0))</f>
        <v>#N/A</v>
      </c>
    </row>
    <row r="240" spans="1:18" x14ac:dyDescent="0.25">
      <c r="A240">
        <f t="shared" si="17"/>
        <v>1</v>
      </c>
      <c r="B240" t="str">
        <f t="shared" si="18"/>
        <v/>
      </c>
      <c r="C240">
        <f t="shared" si="20"/>
        <v>1</v>
      </c>
      <c r="D240" s="4"/>
      <c r="E240" t="s">
        <v>18</v>
      </c>
      <c r="F240" t="str">
        <f>INDEX(Establishment!B$2:B$1005,MATCH($E240,Establishment!$A$2:$A$1005,0))</f>
        <v xml:space="preserve"> </v>
      </c>
      <c r="G240" t="str">
        <f>INDEX(Establishment!C$2:C$1005,MATCH($E240,Establishment!$A$2:$A$1005,0))</f>
        <v xml:space="preserve"> </v>
      </c>
      <c r="M240">
        <f t="shared" si="21"/>
        <v>0</v>
      </c>
      <c r="N240">
        <f t="shared" si="19"/>
        <v>0</v>
      </c>
      <c r="P240" t="e">
        <f>INDEX(Items!B$2:B$1032,MATCH($O240,Items!$A$2:$A$1032,0))</f>
        <v>#N/A</v>
      </c>
      <c r="Q240" t="e">
        <f>INDEX(Items!C$2:C$1032,MATCH($O240,Items!$A$2:$A$1032,0))</f>
        <v>#N/A</v>
      </c>
      <c r="R240" t="e">
        <f>INDEX(Items!D$2:D$1032,MATCH($O240,Items!$A$2:$A$1032,0))</f>
        <v>#N/A</v>
      </c>
    </row>
    <row r="241" spans="1:18" x14ac:dyDescent="0.25">
      <c r="A241">
        <f t="shared" si="17"/>
        <v>1</v>
      </c>
      <c r="B241" t="str">
        <f t="shared" si="18"/>
        <v/>
      </c>
      <c r="C241">
        <f t="shared" si="20"/>
        <v>1</v>
      </c>
      <c r="D241" s="4"/>
      <c r="E241" t="s">
        <v>18</v>
      </c>
      <c r="F241" t="str">
        <f>INDEX(Establishment!B$2:B$1005,MATCH($E241,Establishment!$A$2:$A$1005,0))</f>
        <v xml:space="preserve"> </v>
      </c>
      <c r="G241" t="str">
        <f>INDEX(Establishment!C$2:C$1005,MATCH($E241,Establishment!$A$2:$A$1005,0))</f>
        <v xml:space="preserve"> </v>
      </c>
      <c r="M241">
        <f t="shared" si="21"/>
        <v>0</v>
      </c>
      <c r="N241">
        <f t="shared" si="19"/>
        <v>0</v>
      </c>
      <c r="P241" t="e">
        <f>INDEX(Items!B$2:B$1032,MATCH($O241,Items!$A$2:$A$1032,0))</f>
        <v>#N/A</v>
      </c>
      <c r="Q241" t="e">
        <f>INDEX(Items!C$2:C$1032,MATCH($O241,Items!$A$2:$A$1032,0))</f>
        <v>#N/A</v>
      </c>
      <c r="R241" t="e">
        <f>INDEX(Items!D$2:D$1032,MATCH($O241,Items!$A$2:$A$1032,0))</f>
        <v>#N/A</v>
      </c>
    </row>
    <row r="242" spans="1:18" x14ac:dyDescent="0.25">
      <c r="A242">
        <f t="shared" si="17"/>
        <v>1</v>
      </c>
      <c r="B242" t="str">
        <f t="shared" si="18"/>
        <v/>
      </c>
      <c r="C242">
        <f t="shared" si="20"/>
        <v>1</v>
      </c>
      <c r="D242" s="4"/>
      <c r="E242" t="s">
        <v>18</v>
      </c>
      <c r="F242" t="str">
        <f>INDEX(Establishment!B$2:B$1005,MATCH($E242,Establishment!$A$2:$A$1005,0))</f>
        <v xml:space="preserve"> </v>
      </c>
      <c r="G242" t="str">
        <f>INDEX(Establishment!C$2:C$1005,MATCH($E242,Establishment!$A$2:$A$1005,0))</f>
        <v xml:space="preserve"> </v>
      </c>
      <c r="M242">
        <f t="shared" si="21"/>
        <v>0</v>
      </c>
      <c r="N242">
        <f t="shared" si="19"/>
        <v>0</v>
      </c>
      <c r="P242" t="e">
        <f>INDEX(Items!B$2:B$1032,MATCH($O242,Items!$A$2:$A$1032,0))</f>
        <v>#N/A</v>
      </c>
      <c r="Q242" t="e">
        <f>INDEX(Items!C$2:C$1032,MATCH($O242,Items!$A$2:$A$1032,0))</f>
        <v>#N/A</v>
      </c>
      <c r="R242" t="e">
        <f>INDEX(Items!D$2:D$1032,MATCH($O242,Items!$A$2:$A$1032,0))</f>
        <v>#N/A</v>
      </c>
    </row>
    <row r="243" spans="1:18" x14ac:dyDescent="0.25">
      <c r="A243">
        <f t="shared" si="17"/>
        <v>1</v>
      </c>
      <c r="B243" t="str">
        <f t="shared" si="18"/>
        <v/>
      </c>
      <c r="C243">
        <f t="shared" si="20"/>
        <v>1</v>
      </c>
      <c r="D243" s="4"/>
      <c r="E243" t="s">
        <v>18</v>
      </c>
      <c r="F243" t="str">
        <f>INDEX(Establishment!B$2:B$1005,MATCH($E243,Establishment!$A$2:$A$1005,0))</f>
        <v xml:space="preserve"> </v>
      </c>
      <c r="G243" t="str">
        <f>INDEX(Establishment!C$2:C$1005,MATCH($E243,Establishment!$A$2:$A$1005,0))</f>
        <v xml:space="preserve"> </v>
      </c>
      <c r="M243">
        <f t="shared" si="21"/>
        <v>0</v>
      </c>
      <c r="N243">
        <f t="shared" si="19"/>
        <v>0</v>
      </c>
      <c r="P243" t="e">
        <f>INDEX(Items!B$2:B$1032,MATCH($O243,Items!$A$2:$A$1032,0))</f>
        <v>#N/A</v>
      </c>
      <c r="Q243" t="e">
        <f>INDEX(Items!C$2:C$1032,MATCH($O243,Items!$A$2:$A$1032,0))</f>
        <v>#N/A</v>
      </c>
      <c r="R243" t="e">
        <f>INDEX(Items!D$2:D$1032,MATCH($O243,Items!$A$2:$A$1032,0))</f>
        <v>#N/A</v>
      </c>
    </row>
    <row r="244" spans="1:18" x14ac:dyDescent="0.25">
      <c r="A244">
        <f t="shared" si="17"/>
        <v>1</v>
      </c>
      <c r="B244" t="str">
        <f t="shared" si="18"/>
        <v/>
      </c>
      <c r="C244">
        <f t="shared" si="20"/>
        <v>1</v>
      </c>
      <c r="D244" s="4"/>
      <c r="E244" t="s">
        <v>18</v>
      </c>
      <c r="F244" t="str">
        <f>INDEX(Establishment!B$2:B$1005,MATCH($E244,Establishment!$A$2:$A$1005,0))</f>
        <v xml:space="preserve"> </v>
      </c>
      <c r="G244" t="str">
        <f>INDEX(Establishment!C$2:C$1005,MATCH($E244,Establishment!$A$2:$A$1005,0))</f>
        <v xml:space="preserve"> </v>
      </c>
      <c r="M244">
        <f t="shared" si="21"/>
        <v>0</v>
      </c>
      <c r="N244">
        <f t="shared" si="19"/>
        <v>0</v>
      </c>
      <c r="P244" t="e">
        <f>INDEX(Items!B$2:B$1032,MATCH($O244,Items!$A$2:$A$1032,0))</f>
        <v>#N/A</v>
      </c>
      <c r="Q244" t="e">
        <f>INDEX(Items!C$2:C$1032,MATCH($O244,Items!$A$2:$A$1032,0))</f>
        <v>#N/A</v>
      </c>
      <c r="R244" t="e">
        <f>INDEX(Items!D$2:D$1032,MATCH($O244,Items!$A$2:$A$1032,0))</f>
        <v>#N/A</v>
      </c>
    </row>
    <row r="245" spans="1:18" x14ac:dyDescent="0.25">
      <c r="A245">
        <f t="shared" si="17"/>
        <v>1</v>
      </c>
      <c r="B245" t="str">
        <f t="shared" si="18"/>
        <v/>
      </c>
      <c r="C245">
        <f t="shared" si="20"/>
        <v>1</v>
      </c>
      <c r="D245" s="4"/>
      <c r="E245" t="s">
        <v>18</v>
      </c>
      <c r="F245" t="str">
        <f>INDEX(Establishment!B$2:B$1005,MATCH($E245,Establishment!$A$2:$A$1005,0))</f>
        <v xml:space="preserve"> </v>
      </c>
      <c r="G245" t="str">
        <f>INDEX(Establishment!C$2:C$1005,MATCH($E245,Establishment!$A$2:$A$1005,0))</f>
        <v xml:space="preserve"> </v>
      </c>
      <c r="M245">
        <f t="shared" si="21"/>
        <v>0</v>
      </c>
      <c r="N245">
        <f t="shared" si="19"/>
        <v>0</v>
      </c>
      <c r="P245" t="e">
        <f>INDEX(Items!B$2:B$1032,MATCH($O245,Items!$A$2:$A$1032,0))</f>
        <v>#N/A</v>
      </c>
      <c r="Q245" t="e">
        <f>INDEX(Items!C$2:C$1032,MATCH($O245,Items!$A$2:$A$1032,0))</f>
        <v>#N/A</v>
      </c>
      <c r="R245" t="e">
        <f>INDEX(Items!D$2:D$1032,MATCH($O245,Items!$A$2:$A$1032,0))</f>
        <v>#N/A</v>
      </c>
    </row>
    <row r="246" spans="1:18" x14ac:dyDescent="0.25">
      <c r="A246">
        <f t="shared" si="17"/>
        <v>1</v>
      </c>
      <c r="B246" t="str">
        <f t="shared" si="18"/>
        <v/>
      </c>
      <c r="C246">
        <f t="shared" si="20"/>
        <v>1</v>
      </c>
      <c r="D246" s="4"/>
      <c r="E246" t="s">
        <v>18</v>
      </c>
      <c r="F246" t="str">
        <f>INDEX(Establishment!B$2:B$1005,MATCH($E246,Establishment!$A$2:$A$1005,0))</f>
        <v xml:space="preserve"> </v>
      </c>
      <c r="G246" t="str">
        <f>INDEX(Establishment!C$2:C$1005,MATCH($E246,Establishment!$A$2:$A$1005,0))</f>
        <v xml:space="preserve"> </v>
      </c>
      <c r="M246">
        <f t="shared" si="21"/>
        <v>0</v>
      </c>
      <c r="N246">
        <f t="shared" si="19"/>
        <v>0</v>
      </c>
      <c r="P246" t="e">
        <f>INDEX(Items!B$2:B$1032,MATCH($O246,Items!$A$2:$A$1032,0))</f>
        <v>#N/A</v>
      </c>
      <c r="Q246" t="e">
        <f>INDEX(Items!C$2:C$1032,MATCH($O246,Items!$A$2:$A$1032,0))</f>
        <v>#N/A</v>
      </c>
      <c r="R246" t="e">
        <f>INDEX(Items!D$2:D$1032,MATCH($O246,Items!$A$2:$A$1032,0))</f>
        <v>#N/A</v>
      </c>
    </row>
    <row r="247" spans="1:18" x14ac:dyDescent="0.25">
      <c r="A247">
        <f t="shared" si="17"/>
        <v>1</v>
      </c>
      <c r="B247" t="str">
        <f t="shared" si="18"/>
        <v/>
      </c>
      <c r="C247">
        <f t="shared" si="20"/>
        <v>1</v>
      </c>
      <c r="D247" s="4"/>
      <c r="E247" t="s">
        <v>18</v>
      </c>
      <c r="F247" t="str">
        <f>INDEX(Establishment!B$2:B$1005,MATCH($E247,Establishment!$A$2:$A$1005,0))</f>
        <v xml:space="preserve"> </v>
      </c>
      <c r="G247" t="str">
        <f>INDEX(Establishment!C$2:C$1005,MATCH($E247,Establishment!$A$2:$A$1005,0))</f>
        <v xml:space="preserve"> </v>
      </c>
      <c r="M247">
        <f t="shared" si="21"/>
        <v>0</v>
      </c>
      <c r="N247">
        <f t="shared" si="19"/>
        <v>0</v>
      </c>
      <c r="P247" t="e">
        <f>INDEX(Items!B$2:B$1032,MATCH($O247,Items!$A$2:$A$1032,0))</f>
        <v>#N/A</v>
      </c>
      <c r="Q247" t="e">
        <f>INDEX(Items!C$2:C$1032,MATCH($O247,Items!$A$2:$A$1032,0))</f>
        <v>#N/A</v>
      </c>
      <c r="R247" t="e">
        <f>INDEX(Items!D$2:D$1032,MATCH($O247,Items!$A$2:$A$1032,0))</f>
        <v>#N/A</v>
      </c>
    </row>
    <row r="248" spans="1:18" x14ac:dyDescent="0.25">
      <c r="A248">
        <f t="shared" si="17"/>
        <v>1</v>
      </c>
      <c r="B248" t="str">
        <f t="shared" si="18"/>
        <v/>
      </c>
      <c r="C248">
        <f t="shared" si="20"/>
        <v>1</v>
      </c>
      <c r="D248" s="4"/>
      <c r="E248" t="s">
        <v>18</v>
      </c>
      <c r="F248" t="str">
        <f>INDEX(Establishment!B$2:B$1005,MATCH($E248,Establishment!$A$2:$A$1005,0))</f>
        <v xml:space="preserve"> </v>
      </c>
      <c r="G248" t="str">
        <f>INDEX(Establishment!C$2:C$1005,MATCH($E248,Establishment!$A$2:$A$1005,0))</f>
        <v xml:space="preserve"> </v>
      </c>
      <c r="M248">
        <f t="shared" si="21"/>
        <v>0</v>
      </c>
      <c r="N248">
        <f t="shared" si="19"/>
        <v>0</v>
      </c>
      <c r="P248" t="e">
        <f>INDEX(Items!B$2:B$1032,MATCH($O248,Items!$A$2:$A$1032,0))</f>
        <v>#N/A</v>
      </c>
      <c r="Q248" t="e">
        <f>INDEX(Items!C$2:C$1032,MATCH($O248,Items!$A$2:$A$1032,0))</f>
        <v>#N/A</v>
      </c>
      <c r="R248" t="e">
        <f>INDEX(Items!D$2:D$1032,MATCH($O248,Items!$A$2:$A$1032,0))</f>
        <v>#N/A</v>
      </c>
    </row>
    <row r="249" spans="1:18" x14ac:dyDescent="0.25">
      <c r="A249">
        <f t="shared" si="17"/>
        <v>1</v>
      </c>
      <c r="B249" t="str">
        <f t="shared" si="18"/>
        <v/>
      </c>
      <c r="C249">
        <f t="shared" si="20"/>
        <v>1</v>
      </c>
      <c r="D249" s="4"/>
      <c r="E249" t="s">
        <v>18</v>
      </c>
      <c r="F249" t="str">
        <f>INDEX(Establishment!B$2:B$1005,MATCH($E249,Establishment!$A$2:$A$1005,0))</f>
        <v xml:space="preserve"> </v>
      </c>
      <c r="G249" t="str">
        <f>INDEX(Establishment!C$2:C$1005,MATCH($E249,Establishment!$A$2:$A$1005,0))</f>
        <v xml:space="preserve"> </v>
      </c>
      <c r="M249">
        <f t="shared" si="21"/>
        <v>0</v>
      </c>
      <c r="N249">
        <f t="shared" si="19"/>
        <v>0</v>
      </c>
      <c r="P249" t="e">
        <f>INDEX(Items!B$2:B$1032,MATCH($O249,Items!$A$2:$A$1032,0))</f>
        <v>#N/A</v>
      </c>
      <c r="Q249" t="e">
        <f>INDEX(Items!C$2:C$1032,MATCH($O249,Items!$A$2:$A$1032,0))</f>
        <v>#N/A</v>
      </c>
      <c r="R249" t="e">
        <f>INDEX(Items!D$2:D$1032,MATCH($O249,Items!$A$2:$A$1032,0))</f>
        <v>#N/A</v>
      </c>
    </row>
    <row r="250" spans="1:18" x14ac:dyDescent="0.25">
      <c r="A250">
        <f t="shared" si="17"/>
        <v>1</v>
      </c>
      <c r="B250" t="str">
        <f t="shared" si="18"/>
        <v/>
      </c>
      <c r="C250">
        <f t="shared" si="20"/>
        <v>1</v>
      </c>
      <c r="D250" s="4"/>
      <c r="E250" t="s">
        <v>18</v>
      </c>
      <c r="F250" t="str">
        <f>INDEX(Establishment!B$2:B$1005,MATCH($E250,Establishment!$A$2:$A$1005,0))</f>
        <v xml:space="preserve"> </v>
      </c>
      <c r="G250" t="str">
        <f>INDEX(Establishment!C$2:C$1005,MATCH($E250,Establishment!$A$2:$A$1005,0))</f>
        <v xml:space="preserve"> </v>
      </c>
      <c r="M250">
        <f t="shared" si="21"/>
        <v>0</v>
      </c>
      <c r="N250">
        <f t="shared" si="19"/>
        <v>0</v>
      </c>
      <c r="P250" t="e">
        <f>INDEX(Items!B$2:B$1032,MATCH($O250,Items!$A$2:$A$1032,0))</f>
        <v>#N/A</v>
      </c>
      <c r="Q250" t="e">
        <f>INDEX(Items!C$2:C$1032,MATCH($O250,Items!$A$2:$A$1032,0))</f>
        <v>#N/A</v>
      </c>
      <c r="R250" t="e">
        <f>INDEX(Items!D$2:D$1032,MATCH($O250,Items!$A$2:$A$1032,0))</f>
        <v>#N/A</v>
      </c>
    </row>
    <row r="251" spans="1:18" x14ac:dyDescent="0.25">
      <c r="A251">
        <f t="shared" si="17"/>
        <v>1</v>
      </c>
      <c r="B251" t="str">
        <f t="shared" si="18"/>
        <v/>
      </c>
      <c r="C251">
        <f t="shared" si="20"/>
        <v>1</v>
      </c>
      <c r="D251" s="4"/>
      <c r="E251" t="s">
        <v>18</v>
      </c>
      <c r="F251" t="str">
        <f>INDEX(Establishment!B$2:B$1005,MATCH($E251,Establishment!$A$2:$A$1005,0))</f>
        <v xml:space="preserve"> </v>
      </c>
      <c r="G251" t="str">
        <f>INDEX(Establishment!C$2:C$1005,MATCH($E251,Establishment!$A$2:$A$1005,0))</f>
        <v xml:space="preserve"> </v>
      </c>
      <c r="M251">
        <f t="shared" si="21"/>
        <v>0</v>
      </c>
      <c r="N251">
        <f t="shared" si="19"/>
        <v>0</v>
      </c>
      <c r="P251" t="e">
        <f>INDEX(Items!B$2:B$1032,MATCH($O251,Items!$A$2:$A$1032,0))</f>
        <v>#N/A</v>
      </c>
      <c r="Q251" t="e">
        <f>INDEX(Items!C$2:C$1032,MATCH($O251,Items!$A$2:$A$1032,0))</f>
        <v>#N/A</v>
      </c>
      <c r="R251" t="e">
        <f>INDEX(Items!D$2:D$1032,MATCH($O251,Items!$A$2:$A$1032,0))</f>
        <v>#N/A</v>
      </c>
    </row>
    <row r="252" spans="1:18" x14ac:dyDescent="0.25">
      <c r="A252">
        <f t="shared" si="17"/>
        <v>1</v>
      </c>
      <c r="B252" t="str">
        <f t="shared" si="18"/>
        <v/>
      </c>
      <c r="C252">
        <f t="shared" si="20"/>
        <v>1</v>
      </c>
      <c r="D252" s="4"/>
      <c r="E252" t="s">
        <v>18</v>
      </c>
      <c r="F252" t="str">
        <f>INDEX(Establishment!B$2:B$1005,MATCH($E252,Establishment!$A$2:$A$1005,0))</f>
        <v xml:space="preserve"> </v>
      </c>
      <c r="G252" t="str">
        <f>INDEX(Establishment!C$2:C$1005,MATCH($E252,Establishment!$A$2:$A$1005,0))</f>
        <v xml:space="preserve"> </v>
      </c>
      <c r="M252">
        <f t="shared" si="21"/>
        <v>0</v>
      </c>
      <c r="N252">
        <f t="shared" si="19"/>
        <v>0</v>
      </c>
      <c r="P252" t="e">
        <f>INDEX(Items!B$2:B$1032,MATCH($O252,Items!$A$2:$A$1032,0))</f>
        <v>#N/A</v>
      </c>
      <c r="Q252" t="e">
        <f>INDEX(Items!C$2:C$1032,MATCH($O252,Items!$A$2:$A$1032,0))</f>
        <v>#N/A</v>
      </c>
      <c r="R252" t="e">
        <f>INDEX(Items!D$2:D$1032,MATCH($O252,Items!$A$2:$A$1032,0))</f>
        <v>#N/A</v>
      </c>
    </row>
    <row r="253" spans="1:18" x14ac:dyDescent="0.25">
      <c r="A253">
        <f t="shared" si="17"/>
        <v>1</v>
      </c>
      <c r="B253" t="str">
        <f t="shared" si="18"/>
        <v/>
      </c>
      <c r="C253">
        <f t="shared" si="20"/>
        <v>1</v>
      </c>
      <c r="D253" s="4"/>
      <c r="E253" t="s">
        <v>18</v>
      </c>
      <c r="F253" t="str">
        <f>INDEX(Establishment!B$2:B$1005,MATCH($E253,Establishment!$A$2:$A$1005,0))</f>
        <v xml:space="preserve"> </v>
      </c>
      <c r="G253" t="str">
        <f>INDEX(Establishment!C$2:C$1005,MATCH($E253,Establishment!$A$2:$A$1005,0))</f>
        <v xml:space="preserve"> </v>
      </c>
      <c r="M253">
        <f t="shared" si="21"/>
        <v>0</v>
      </c>
      <c r="N253">
        <f t="shared" si="19"/>
        <v>0</v>
      </c>
      <c r="P253" t="e">
        <f>INDEX(Items!B$2:B$1032,MATCH($O253,Items!$A$2:$A$1032,0))</f>
        <v>#N/A</v>
      </c>
      <c r="Q253" t="e">
        <f>INDEX(Items!C$2:C$1032,MATCH($O253,Items!$A$2:$A$1032,0))</f>
        <v>#N/A</v>
      </c>
      <c r="R253" t="e">
        <f>INDEX(Items!D$2:D$1032,MATCH($O253,Items!$A$2:$A$1032,0))</f>
        <v>#N/A</v>
      </c>
    </row>
    <row r="254" spans="1:18" x14ac:dyDescent="0.25">
      <c r="A254">
        <f t="shared" si="17"/>
        <v>1</v>
      </c>
      <c r="B254" t="str">
        <f t="shared" si="18"/>
        <v/>
      </c>
      <c r="C254">
        <f t="shared" si="20"/>
        <v>1</v>
      </c>
      <c r="D254" s="4"/>
      <c r="E254" t="s">
        <v>18</v>
      </c>
      <c r="F254" t="str">
        <f>INDEX(Establishment!B$2:B$1005,MATCH($E254,Establishment!$A$2:$A$1005,0))</f>
        <v xml:space="preserve"> </v>
      </c>
      <c r="G254" t="str">
        <f>INDEX(Establishment!C$2:C$1005,MATCH($E254,Establishment!$A$2:$A$1005,0))</f>
        <v xml:space="preserve"> </v>
      </c>
      <c r="M254">
        <f t="shared" si="21"/>
        <v>0</v>
      </c>
      <c r="N254">
        <f t="shared" si="19"/>
        <v>0</v>
      </c>
      <c r="P254" t="e">
        <f>INDEX(Items!B$2:B$1032,MATCH($O254,Items!$A$2:$A$1032,0))</f>
        <v>#N/A</v>
      </c>
      <c r="Q254" t="e">
        <f>INDEX(Items!C$2:C$1032,MATCH($O254,Items!$A$2:$A$1032,0))</f>
        <v>#N/A</v>
      </c>
      <c r="R254" t="e">
        <f>INDEX(Items!D$2:D$1032,MATCH($O254,Items!$A$2:$A$1032,0))</f>
        <v>#N/A</v>
      </c>
    </row>
    <row r="255" spans="1:18" x14ac:dyDescent="0.25">
      <c r="A255">
        <f t="shared" si="17"/>
        <v>1</v>
      </c>
      <c r="B255" t="str">
        <f t="shared" si="18"/>
        <v/>
      </c>
      <c r="C255">
        <f t="shared" si="20"/>
        <v>1</v>
      </c>
      <c r="D255" s="4"/>
      <c r="E255" t="s">
        <v>18</v>
      </c>
      <c r="F255" t="str">
        <f>INDEX(Establishment!B$2:B$1005,MATCH($E255,Establishment!$A$2:$A$1005,0))</f>
        <v xml:space="preserve"> </v>
      </c>
      <c r="G255" t="str">
        <f>INDEX(Establishment!C$2:C$1005,MATCH($E255,Establishment!$A$2:$A$1005,0))</f>
        <v xml:space="preserve"> </v>
      </c>
      <c r="M255">
        <f t="shared" si="21"/>
        <v>0</v>
      </c>
      <c r="N255">
        <f t="shared" si="19"/>
        <v>0</v>
      </c>
      <c r="P255" t="e">
        <f>INDEX(Items!B$2:B$1032,MATCH($O255,Items!$A$2:$A$1032,0))</f>
        <v>#N/A</v>
      </c>
      <c r="Q255" t="e">
        <f>INDEX(Items!C$2:C$1032,MATCH($O255,Items!$A$2:$A$1032,0))</f>
        <v>#N/A</v>
      </c>
      <c r="R255" t="e">
        <f>INDEX(Items!D$2:D$1032,MATCH($O255,Items!$A$2:$A$1032,0))</f>
        <v>#N/A</v>
      </c>
    </row>
    <row r="256" spans="1:18" x14ac:dyDescent="0.25">
      <c r="A256">
        <f t="shared" si="17"/>
        <v>1</v>
      </c>
      <c r="B256" t="str">
        <f t="shared" si="18"/>
        <v/>
      </c>
      <c r="C256">
        <f t="shared" si="20"/>
        <v>1</v>
      </c>
      <c r="D256" s="4"/>
      <c r="E256" t="s">
        <v>18</v>
      </c>
      <c r="F256" t="str">
        <f>INDEX(Establishment!B$2:B$1005,MATCH($E256,Establishment!$A$2:$A$1005,0))</f>
        <v xml:space="preserve"> </v>
      </c>
      <c r="G256" t="str">
        <f>INDEX(Establishment!C$2:C$1005,MATCH($E256,Establishment!$A$2:$A$1005,0))</f>
        <v xml:space="preserve"> </v>
      </c>
      <c r="M256">
        <f t="shared" si="21"/>
        <v>0</v>
      </c>
      <c r="N256">
        <f t="shared" si="19"/>
        <v>0</v>
      </c>
      <c r="P256" t="e">
        <f>INDEX(Items!B$2:B$1032,MATCH($O256,Items!$A$2:$A$1032,0))</f>
        <v>#N/A</v>
      </c>
      <c r="Q256" t="e">
        <f>INDEX(Items!C$2:C$1032,MATCH($O256,Items!$A$2:$A$1032,0))</f>
        <v>#N/A</v>
      </c>
      <c r="R256" t="e">
        <f>INDEX(Items!D$2:D$1032,MATCH($O256,Items!$A$2:$A$1032,0))</f>
        <v>#N/A</v>
      </c>
    </row>
    <row r="257" spans="1:18" x14ac:dyDescent="0.25">
      <c r="A257">
        <f t="shared" si="17"/>
        <v>1</v>
      </c>
      <c r="B257" t="str">
        <f t="shared" si="18"/>
        <v/>
      </c>
      <c r="C257">
        <f t="shared" si="20"/>
        <v>1</v>
      </c>
      <c r="D257" s="4"/>
      <c r="E257" t="s">
        <v>18</v>
      </c>
      <c r="F257" t="str">
        <f>INDEX(Establishment!B$2:B$1005,MATCH($E257,Establishment!$A$2:$A$1005,0))</f>
        <v xml:space="preserve"> </v>
      </c>
      <c r="G257" t="str">
        <f>INDEX(Establishment!C$2:C$1005,MATCH($E257,Establishment!$A$2:$A$1005,0))</f>
        <v xml:space="preserve"> </v>
      </c>
      <c r="M257">
        <f t="shared" si="21"/>
        <v>0</v>
      </c>
      <c r="N257">
        <f t="shared" si="19"/>
        <v>0</v>
      </c>
      <c r="P257" t="e">
        <f>INDEX(Items!B$2:B$1032,MATCH($O257,Items!$A$2:$A$1032,0))</f>
        <v>#N/A</v>
      </c>
      <c r="Q257" t="e">
        <f>INDEX(Items!C$2:C$1032,MATCH($O257,Items!$A$2:$A$1032,0))</f>
        <v>#N/A</v>
      </c>
      <c r="R257" t="e">
        <f>INDEX(Items!D$2:D$1032,MATCH($O257,Items!$A$2:$A$1032,0))</f>
        <v>#N/A</v>
      </c>
    </row>
    <row r="258" spans="1:18" x14ac:dyDescent="0.25">
      <c r="A258">
        <f t="shared" ref="A258:A321" si="22">IF(OR(D258&lt;&gt;D257,D258=""),1,IF(NOT(AND(E258=E257,F258=F257,G258=G257)),A257+1,IF(OR(H258="",AND(H258&lt;&gt;"",H258&lt;&gt;H257,H257&lt;&gt;"")),A257,A257+1)))</f>
        <v>1</v>
      </c>
      <c r="B258" t="str">
        <f t="shared" ref="B258:B321" si="23">IF(D258&lt;&gt;"",TEXT(D258,"YYYYMMDD")&amp;CHAR(64+A258),"")</f>
        <v/>
      </c>
      <c r="C258">
        <f t="shared" si="20"/>
        <v>1</v>
      </c>
      <c r="D258" s="4"/>
      <c r="E258" t="s">
        <v>18</v>
      </c>
      <c r="F258" t="str">
        <f>INDEX(Establishment!B$2:B$1005,MATCH($E258,Establishment!$A$2:$A$1005,0))</f>
        <v xml:space="preserve"> </v>
      </c>
      <c r="G258" t="str">
        <f>INDEX(Establishment!C$2:C$1005,MATCH($E258,Establishment!$A$2:$A$1005,0))</f>
        <v xml:space="preserve"> </v>
      </c>
      <c r="M258">
        <f t="shared" si="21"/>
        <v>0</v>
      </c>
      <c r="N258">
        <f t="shared" si="19"/>
        <v>0</v>
      </c>
      <c r="P258" t="e">
        <f>INDEX(Items!B$2:B$1032,MATCH($O258,Items!$A$2:$A$1032,0))</f>
        <v>#N/A</v>
      </c>
      <c r="Q258" t="e">
        <f>INDEX(Items!C$2:C$1032,MATCH($O258,Items!$A$2:$A$1032,0))</f>
        <v>#N/A</v>
      </c>
      <c r="R258" t="e">
        <f>INDEX(Items!D$2:D$1032,MATCH($O258,Items!$A$2:$A$1032,0))</f>
        <v>#N/A</v>
      </c>
    </row>
    <row r="259" spans="1:18" x14ac:dyDescent="0.25">
      <c r="A259">
        <f t="shared" si="22"/>
        <v>1</v>
      </c>
      <c r="B259" t="str">
        <f t="shared" si="23"/>
        <v/>
      </c>
      <c r="C259">
        <f t="shared" si="20"/>
        <v>1</v>
      </c>
      <c r="D259" s="4"/>
      <c r="E259" t="s">
        <v>18</v>
      </c>
      <c r="F259" t="str">
        <f>INDEX(Establishment!B$2:B$1005,MATCH($E259,Establishment!$A$2:$A$1005,0))</f>
        <v xml:space="preserve"> </v>
      </c>
      <c r="G259" t="str">
        <f>INDEX(Establishment!C$2:C$1005,MATCH($E259,Establishment!$A$2:$A$1005,0))</f>
        <v xml:space="preserve"> </v>
      </c>
      <c r="M259">
        <f t="shared" si="21"/>
        <v>0</v>
      </c>
      <c r="N259">
        <f t="shared" ref="N259:N322" si="24">IF(B259=B258,N258+M259,M259)</f>
        <v>0</v>
      </c>
      <c r="P259" t="e">
        <f>INDEX(Items!B$2:B$1032,MATCH($O259,Items!$A$2:$A$1032,0))</f>
        <v>#N/A</v>
      </c>
      <c r="Q259" t="e">
        <f>INDEX(Items!C$2:C$1032,MATCH($O259,Items!$A$2:$A$1032,0))</f>
        <v>#N/A</v>
      </c>
      <c r="R259" t="e">
        <f>INDEX(Items!D$2:D$1032,MATCH($O259,Items!$A$2:$A$1032,0))</f>
        <v>#N/A</v>
      </c>
    </row>
    <row r="260" spans="1:18" x14ac:dyDescent="0.25">
      <c r="A260">
        <f t="shared" si="22"/>
        <v>1</v>
      </c>
      <c r="B260" t="str">
        <f t="shared" si="23"/>
        <v/>
      </c>
      <c r="C260">
        <f t="shared" si="20"/>
        <v>1</v>
      </c>
      <c r="D260" s="4"/>
      <c r="E260" t="s">
        <v>18</v>
      </c>
      <c r="F260" t="str">
        <f>INDEX(Establishment!B$2:B$1005,MATCH($E260,Establishment!$A$2:$A$1005,0))</f>
        <v xml:space="preserve"> </v>
      </c>
      <c r="G260" t="str">
        <f>INDEX(Establishment!C$2:C$1005,MATCH($E260,Establishment!$A$2:$A$1005,0))</f>
        <v xml:space="preserve"> </v>
      </c>
      <c r="M260">
        <f t="shared" si="21"/>
        <v>0</v>
      </c>
      <c r="N260">
        <f t="shared" si="24"/>
        <v>0</v>
      </c>
      <c r="P260" t="e">
        <f>INDEX(Items!B$2:B$1032,MATCH($O260,Items!$A$2:$A$1032,0))</f>
        <v>#N/A</v>
      </c>
      <c r="Q260" t="e">
        <f>INDEX(Items!C$2:C$1032,MATCH($O260,Items!$A$2:$A$1032,0))</f>
        <v>#N/A</v>
      </c>
      <c r="R260" t="e">
        <f>INDEX(Items!D$2:D$1032,MATCH($O260,Items!$A$2:$A$1032,0))</f>
        <v>#N/A</v>
      </c>
    </row>
    <row r="261" spans="1:18" x14ac:dyDescent="0.25">
      <c r="A261">
        <f t="shared" si="22"/>
        <v>1</v>
      </c>
      <c r="B261" t="str">
        <f t="shared" si="23"/>
        <v/>
      </c>
      <c r="C261">
        <f t="shared" si="20"/>
        <v>1</v>
      </c>
      <c r="D261" s="4"/>
      <c r="E261" t="s">
        <v>18</v>
      </c>
      <c r="F261" t="str">
        <f>INDEX(Establishment!B$2:B$1005,MATCH($E261,Establishment!$A$2:$A$1005,0))</f>
        <v xml:space="preserve"> </v>
      </c>
      <c r="G261" t="str">
        <f>INDEX(Establishment!C$2:C$1005,MATCH($E261,Establishment!$A$2:$A$1005,0))</f>
        <v xml:space="preserve"> </v>
      </c>
      <c r="M261">
        <f t="shared" si="21"/>
        <v>0</v>
      </c>
      <c r="N261">
        <f t="shared" si="24"/>
        <v>0</v>
      </c>
      <c r="P261" t="e">
        <f>INDEX(Items!B$2:B$1032,MATCH($O261,Items!$A$2:$A$1032,0))</f>
        <v>#N/A</v>
      </c>
      <c r="Q261" t="e">
        <f>INDEX(Items!C$2:C$1032,MATCH($O261,Items!$A$2:$A$1032,0))</f>
        <v>#N/A</v>
      </c>
      <c r="R261" t="e">
        <f>INDEX(Items!D$2:D$1032,MATCH($O261,Items!$A$2:$A$1032,0))</f>
        <v>#N/A</v>
      </c>
    </row>
    <row r="262" spans="1:18" x14ac:dyDescent="0.25">
      <c r="A262">
        <f t="shared" si="22"/>
        <v>1</v>
      </c>
      <c r="B262" t="str">
        <f t="shared" si="23"/>
        <v/>
      </c>
      <c r="C262">
        <f t="shared" si="20"/>
        <v>1</v>
      </c>
      <c r="D262" s="4"/>
      <c r="E262" t="s">
        <v>18</v>
      </c>
      <c r="F262" t="str">
        <f>INDEX(Establishment!B$2:B$1005,MATCH($E262,Establishment!$A$2:$A$1005,0))</f>
        <v xml:space="preserve"> </v>
      </c>
      <c r="G262" t="str">
        <f>INDEX(Establishment!C$2:C$1005,MATCH($E262,Establishment!$A$2:$A$1005,0))</f>
        <v xml:space="preserve"> </v>
      </c>
      <c r="M262">
        <f t="shared" si="21"/>
        <v>0</v>
      </c>
      <c r="N262">
        <f t="shared" si="24"/>
        <v>0</v>
      </c>
      <c r="P262" t="e">
        <f>INDEX(Items!B$2:B$1032,MATCH($O262,Items!$A$2:$A$1032,0))</f>
        <v>#N/A</v>
      </c>
      <c r="Q262" t="e">
        <f>INDEX(Items!C$2:C$1032,MATCH($O262,Items!$A$2:$A$1032,0))</f>
        <v>#N/A</v>
      </c>
      <c r="R262" t="e">
        <f>INDEX(Items!D$2:D$1032,MATCH($O262,Items!$A$2:$A$1032,0))</f>
        <v>#N/A</v>
      </c>
    </row>
    <row r="263" spans="1:18" x14ac:dyDescent="0.25">
      <c r="A263">
        <f t="shared" si="22"/>
        <v>1</v>
      </c>
      <c r="B263" t="str">
        <f t="shared" si="23"/>
        <v/>
      </c>
      <c r="C263">
        <f t="shared" si="20"/>
        <v>1</v>
      </c>
      <c r="D263" s="4"/>
      <c r="E263" t="s">
        <v>18</v>
      </c>
      <c r="F263" t="str">
        <f>INDEX(Establishment!B$2:B$1005,MATCH($E263,Establishment!$A$2:$A$1005,0))</f>
        <v xml:space="preserve"> </v>
      </c>
      <c r="G263" t="str">
        <f>INDEX(Establishment!C$2:C$1005,MATCH($E263,Establishment!$A$2:$A$1005,0))</f>
        <v xml:space="preserve"> </v>
      </c>
      <c r="M263">
        <f t="shared" si="21"/>
        <v>0</v>
      </c>
      <c r="N263">
        <f t="shared" si="24"/>
        <v>0</v>
      </c>
      <c r="P263" t="e">
        <f>INDEX(Items!B$2:B$1032,MATCH($O263,Items!$A$2:$A$1032,0))</f>
        <v>#N/A</v>
      </c>
      <c r="Q263" t="e">
        <f>INDEX(Items!C$2:C$1032,MATCH($O263,Items!$A$2:$A$1032,0))</f>
        <v>#N/A</v>
      </c>
      <c r="R263" t="e">
        <f>INDEX(Items!D$2:D$1032,MATCH($O263,Items!$A$2:$A$1032,0))</f>
        <v>#N/A</v>
      </c>
    </row>
    <row r="264" spans="1:18" x14ac:dyDescent="0.25">
      <c r="A264">
        <f t="shared" si="22"/>
        <v>1</v>
      </c>
      <c r="B264" t="str">
        <f t="shared" si="23"/>
        <v/>
      </c>
      <c r="C264">
        <f t="shared" si="20"/>
        <v>1</v>
      </c>
      <c r="D264" s="4"/>
      <c r="E264" t="s">
        <v>18</v>
      </c>
      <c r="F264" t="str">
        <f>INDEX(Establishment!B$2:B$1005,MATCH($E264,Establishment!$A$2:$A$1005,0))</f>
        <v xml:space="preserve"> </v>
      </c>
      <c r="G264" t="str">
        <f>INDEX(Establishment!C$2:C$1005,MATCH($E264,Establishment!$A$2:$A$1005,0))</f>
        <v xml:space="preserve"> </v>
      </c>
      <c r="M264">
        <f t="shared" si="21"/>
        <v>0</v>
      </c>
      <c r="N264">
        <f t="shared" si="24"/>
        <v>0</v>
      </c>
      <c r="P264" t="e">
        <f>INDEX(Items!B$2:B$1032,MATCH($O264,Items!$A$2:$A$1032,0))</f>
        <v>#N/A</v>
      </c>
      <c r="Q264" t="e">
        <f>INDEX(Items!C$2:C$1032,MATCH($O264,Items!$A$2:$A$1032,0))</f>
        <v>#N/A</v>
      </c>
      <c r="R264" t="e">
        <f>INDEX(Items!D$2:D$1032,MATCH($O264,Items!$A$2:$A$1032,0))</f>
        <v>#N/A</v>
      </c>
    </row>
    <row r="265" spans="1:18" x14ac:dyDescent="0.25">
      <c r="A265">
        <f t="shared" si="22"/>
        <v>1</v>
      </c>
      <c r="B265" t="str">
        <f t="shared" si="23"/>
        <v/>
      </c>
      <c r="C265">
        <f t="shared" si="20"/>
        <v>1</v>
      </c>
      <c r="D265" s="4"/>
      <c r="E265" t="s">
        <v>18</v>
      </c>
      <c r="F265" t="str">
        <f>INDEX(Establishment!B$2:B$1005,MATCH($E265,Establishment!$A$2:$A$1005,0))</f>
        <v xml:space="preserve"> </v>
      </c>
      <c r="G265" t="str">
        <f>INDEX(Establishment!C$2:C$1005,MATCH($E265,Establishment!$A$2:$A$1005,0))</f>
        <v xml:space="preserve"> </v>
      </c>
      <c r="M265">
        <f t="shared" si="21"/>
        <v>0</v>
      </c>
      <c r="N265">
        <f t="shared" si="24"/>
        <v>0</v>
      </c>
      <c r="P265" t="e">
        <f>INDEX(Items!B$2:B$1032,MATCH($O265,Items!$A$2:$A$1032,0))</f>
        <v>#N/A</v>
      </c>
      <c r="Q265" t="e">
        <f>INDEX(Items!C$2:C$1032,MATCH($O265,Items!$A$2:$A$1032,0))</f>
        <v>#N/A</v>
      </c>
      <c r="R265" t="e">
        <f>INDEX(Items!D$2:D$1032,MATCH($O265,Items!$A$2:$A$1032,0))</f>
        <v>#N/A</v>
      </c>
    </row>
    <row r="266" spans="1:18" x14ac:dyDescent="0.25">
      <c r="A266">
        <f t="shared" si="22"/>
        <v>1</v>
      </c>
      <c r="B266" t="str">
        <f t="shared" si="23"/>
        <v/>
      </c>
      <c r="C266">
        <f t="shared" ref="C266:C329" si="25">IF(OR(B266="",B266&lt;&gt;B265),1,C265+1)</f>
        <v>1</v>
      </c>
      <c r="D266" s="4"/>
      <c r="E266" t="s">
        <v>18</v>
      </c>
      <c r="F266" t="str">
        <f>INDEX(Establishment!B$2:B$1005,MATCH($E266,Establishment!$A$2:$A$1005,0))</f>
        <v xml:space="preserve"> </v>
      </c>
      <c r="G266" t="str">
        <f>INDEX(Establishment!C$2:C$1005,MATCH($E266,Establishment!$A$2:$A$1005,0))</f>
        <v xml:space="preserve"> </v>
      </c>
      <c r="M266">
        <f t="shared" ref="M266:M329" si="26">K266*L266</f>
        <v>0</v>
      </c>
      <c r="N266">
        <f t="shared" si="24"/>
        <v>0</v>
      </c>
      <c r="P266" t="e">
        <f>INDEX(Items!B$2:B$1032,MATCH($O266,Items!$A$2:$A$1032,0))</f>
        <v>#N/A</v>
      </c>
      <c r="Q266" t="e">
        <f>INDEX(Items!C$2:C$1032,MATCH($O266,Items!$A$2:$A$1032,0))</f>
        <v>#N/A</v>
      </c>
      <c r="R266" t="e">
        <f>INDEX(Items!D$2:D$1032,MATCH($O266,Items!$A$2:$A$1032,0))</f>
        <v>#N/A</v>
      </c>
    </row>
    <row r="267" spans="1:18" x14ac:dyDescent="0.25">
      <c r="A267">
        <f t="shared" si="22"/>
        <v>1</v>
      </c>
      <c r="B267" t="str">
        <f t="shared" si="23"/>
        <v/>
      </c>
      <c r="C267">
        <f t="shared" si="25"/>
        <v>1</v>
      </c>
      <c r="D267" s="4"/>
      <c r="E267" t="s">
        <v>18</v>
      </c>
      <c r="F267" t="str">
        <f>INDEX(Establishment!B$2:B$1005,MATCH($E267,Establishment!$A$2:$A$1005,0))</f>
        <v xml:space="preserve"> </v>
      </c>
      <c r="G267" t="str">
        <f>INDEX(Establishment!C$2:C$1005,MATCH($E267,Establishment!$A$2:$A$1005,0))</f>
        <v xml:space="preserve"> </v>
      </c>
      <c r="M267">
        <f t="shared" si="26"/>
        <v>0</v>
      </c>
      <c r="N267">
        <f t="shared" si="24"/>
        <v>0</v>
      </c>
      <c r="P267" t="e">
        <f>INDEX(Items!B$2:B$1032,MATCH($O267,Items!$A$2:$A$1032,0))</f>
        <v>#N/A</v>
      </c>
      <c r="Q267" t="e">
        <f>INDEX(Items!C$2:C$1032,MATCH($O267,Items!$A$2:$A$1032,0))</f>
        <v>#N/A</v>
      </c>
      <c r="R267" t="e">
        <f>INDEX(Items!D$2:D$1032,MATCH($O267,Items!$A$2:$A$1032,0))</f>
        <v>#N/A</v>
      </c>
    </row>
    <row r="268" spans="1:18" x14ac:dyDescent="0.25">
      <c r="A268">
        <f t="shared" si="22"/>
        <v>1</v>
      </c>
      <c r="B268" t="str">
        <f t="shared" si="23"/>
        <v/>
      </c>
      <c r="C268">
        <f t="shared" si="25"/>
        <v>1</v>
      </c>
      <c r="D268" s="4"/>
      <c r="E268" t="s">
        <v>18</v>
      </c>
      <c r="F268" t="str">
        <f>INDEX(Establishment!B$2:B$1005,MATCH($E268,Establishment!$A$2:$A$1005,0))</f>
        <v xml:space="preserve"> </v>
      </c>
      <c r="G268" t="str">
        <f>INDEX(Establishment!C$2:C$1005,MATCH($E268,Establishment!$A$2:$A$1005,0))</f>
        <v xml:space="preserve"> </v>
      </c>
      <c r="M268">
        <f t="shared" si="26"/>
        <v>0</v>
      </c>
      <c r="N268">
        <f t="shared" si="24"/>
        <v>0</v>
      </c>
      <c r="P268" t="e">
        <f>INDEX(Items!B$2:B$1032,MATCH($O268,Items!$A$2:$A$1032,0))</f>
        <v>#N/A</v>
      </c>
      <c r="Q268" t="e">
        <f>INDEX(Items!C$2:C$1032,MATCH($O268,Items!$A$2:$A$1032,0))</f>
        <v>#N/A</v>
      </c>
      <c r="R268" t="e">
        <f>INDEX(Items!D$2:D$1032,MATCH($O268,Items!$A$2:$A$1032,0))</f>
        <v>#N/A</v>
      </c>
    </row>
    <row r="269" spans="1:18" x14ac:dyDescent="0.25">
      <c r="A269">
        <f t="shared" si="22"/>
        <v>1</v>
      </c>
      <c r="B269" t="str">
        <f t="shared" si="23"/>
        <v/>
      </c>
      <c r="C269">
        <f t="shared" si="25"/>
        <v>1</v>
      </c>
      <c r="D269" s="4"/>
      <c r="E269" t="s">
        <v>18</v>
      </c>
      <c r="F269" t="str">
        <f>INDEX(Establishment!B$2:B$1005,MATCH($E269,Establishment!$A$2:$A$1005,0))</f>
        <v xml:space="preserve"> </v>
      </c>
      <c r="G269" t="str">
        <f>INDEX(Establishment!C$2:C$1005,MATCH($E269,Establishment!$A$2:$A$1005,0))</f>
        <v xml:space="preserve"> </v>
      </c>
      <c r="M269">
        <f t="shared" si="26"/>
        <v>0</v>
      </c>
      <c r="N269">
        <f t="shared" si="24"/>
        <v>0</v>
      </c>
      <c r="P269" t="e">
        <f>INDEX(Items!B$2:B$1032,MATCH($O269,Items!$A$2:$A$1032,0))</f>
        <v>#N/A</v>
      </c>
      <c r="Q269" t="e">
        <f>INDEX(Items!C$2:C$1032,MATCH($O269,Items!$A$2:$A$1032,0))</f>
        <v>#N/A</v>
      </c>
      <c r="R269" t="e">
        <f>INDEX(Items!D$2:D$1032,MATCH($O269,Items!$A$2:$A$1032,0))</f>
        <v>#N/A</v>
      </c>
    </row>
    <row r="270" spans="1:18" x14ac:dyDescent="0.25">
      <c r="A270">
        <f t="shared" si="22"/>
        <v>1</v>
      </c>
      <c r="B270" t="str">
        <f t="shared" si="23"/>
        <v/>
      </c>
      <c r="C270">
        <f t="shared" si="25"/>
        <v>1</v>
      </c>
      <c r="D270" s="4"/>
      <c r="E270" t="s">
        <v>18</v>
      </c>
      <c r="F270" t="str">
        <f>INDEX(Establishment!B$2:B$1005,MATCH($E270,Establishment!$A$2:$A$1005,0))</f>
        <v xml:space="preserve"> </v>
      </c>
      <c r="G270" t="str">
        <f>INDEX(Establishment!C$2:C$1005,MATCH($E270,Establishment!$A$2:$A$1005,0))</f>
        <v xml:space="preserve"> </v>
      </c>
      <c r="M270">
        <f t="shared" si="26"/>
        <v>0</v>
      </c>
      <c r="N270">
        <f t="shared" si="24"/>
        <v>0</v>
      </c>
      <c r="P270" t="e">
        <f>INDEX(Items!B$2:B$1032,MATCH($O270,Items!$A$2:$A$1032,0))</f>
        <v>#N/A</v>
      </c>
      <c r="Q270" t="e">
        <f>INDEX(Items!C$2:C$1032,MATCH($O270,Items!$A$2:$A$1032,0))</f>
        <v>#N/A</v>
      </c>
      <c r="R270" t="e">
        <f>INDEX(Items!D$2:D$1032,MATCH($O270,Items!$A$2:$A$1032,0))</f>
        <v>#N/A</v>
      </c>
    </row>
    <row r="271" spans="1:18" x14ac:dyDescent="0.25">
      <c r="A271">
        <f t="shared" si="22"/>
        <v>1</v>
      </c>
      <c r="B271" t="str">
        <f t="shared" si="23"/>
        <v/>
      </c>
      <c r="C271">
        <f t="shared" si="25"/>
        <v>1</v>
      </c>
      <c r="D271" s="4"/>
      <c r="E271" t="s">
        <v>18</v>
      </c>
      <c r="F271" t="str">
        <f>INDEX(Establishment!B$2:B$1005,MATCH($E271,Establishment!$A$2:$A$1005,0))</f>
        <v xml:space="preserve"> </v>
      </c>
      <c r="G271" t="str">
        <f>INDEX(Establishment!C$2:C$1005,MATCH($E271,Establishment!$A$2:$A$1005,0))</f>
        <v xml:space="preserve"> </v>
      </c>
      <c r="M271">
        <f t="shared" si="26"/>
        <v>0</v>
      </c>
      <c r="N271">
        <f t="shared" si="24"/>
        <v>0</v>
      </c>
      <c r="P271" t="e">
        <f>INDEX(Items!B$2:B$1032,MATCH($O271,Items!$A$2:$A$1032,0))</f>
        <v>#N/A</v>
      </c>
      <c r="Q271" t="e">
        <f>INDEX(Items!C$2:C$1032,MATCH($O271,Items!$A$2:$A$1032,0))</f>
        <v>#N/A</v>
      </c>
      <c r="R271" t="e">
        <f>INDEX(Items!D$2:D$1032,MATCH($O271,Items!$A$2:$A$1032,0))</f>
        <v>#N/A</v>
      </c>
    </row>
    <row r="272" spans="1:18" x14ac:dyDescent="0.25">
      <c r="A272">
        <f t="shared" si="22"/>
        <v>1</v>
      </c>
      <c r="B272" t="str">
        <f t="shared" si="23"/>
        <v/>
      </c>
      <c r="C272">
        <f t="shared" si="25"/>
        <v>1</v>
      </c>
      <c r="D272" s="4"/>
      <c r="E272" t="s">
        <v>18</v>
      </c>
      <c r="F272" t="str">
        <f>INDEX(Establishment!B$2:B$1005,MATCH($E272,Establishment!$A$2:$A$1005,0))</f>
        <v xml:space="preserve"> </v>
      </c>
      <c r="G272" t="str">
        <f>INDEX(Establishment!C$2:C$1005,MATCH($E272,Establishment!$A$2:$A$1005,0))</f>
        <v xml:space="preserve"> </v>
      </c>
      <c r="M272">
        <f t="shared" si="26"/>
        <v>0</v>
      </c>
      <c r="N272">
        <f t="shared" si="24"/>
        <v>0</v>
      </c>
      <c r="P272" t="e">
        <f>INDEX(Items!B$2:B$1032,MATCH($O272,Items!$A$2:$A$1032,0))</f>
        <v>#N/A</v>
      </c>
      <c r="Q272" t="e">
        <f>INDEX(Items!C$2:C$1032,MATCH($O272,Items!$A$2:$A$1032,0))</f>
        <v>#N/A</v>
      </c>
      <c r="R272" t="e">
        <f>INDEX(Items!D$2:D$1032,MATCH($O272,Items!$A$2:$A$1032,0))</f>
        <v>#N/A</v>
      </c>
    </row>
    <row r="273" spans="1:18" x14ac:dyDescent="0.25">
      <c r="A273">
        <f t="shared" si="22"/>
        <v>1</v>
      </c>
      <c r="B273" t="str">
        <f t="shared" si="23"/>
        <v/>
      </c>
      <c r="C273">
        <f t="shared" si="25"/>
        <v>1</v>
      </c>
      <c r="D273" s="4"/>
      <c r="E273" t="s">
        <v>18</v>
      </c>
      <c r="F273" t="str">
        <f>INDEX(Establishment!B$2:B$1005,MATCH($E273,Establishment!$A$2:$A$1005,0))</f>
        <v xml:space="preserve"> </v>
      </c>
      <c r="G273" t="str">
        <f>INDEX(Establishment!C$2:C$1005,MATCH($E273,Establishment!$A$2:$A$1005,0))</f>
        <v xml:space="preserve"> </v>
      </c>
      <c r="M273">
        <f t="shared" si="26"/>
        <v>0</v>
      </c>
      <c r="N273">
        <f t="shared" si="24"/>
        <v>0</v>
      </c>
      <c r="P273" t="e">
        <f>INDEX(Items!B$2:B$1032,MATCH($O273,Items!$A$2:$A$1032,0))</f>
        <v>#N/A</v>
      </c>
      <c r="Q273" t="e">
        <f>INDEX(Items!C$2:C$1032,MATCH($O273,Items!$A$2:$A$1032,0))</f>
        <v>#N/A</v>
      </c>
      <c r="R273" t="e">
        <f>INDEX(Items!D$2:D$1032,MATCH($O273,Items!$A$2:$A$1032,0))</f>
        <v>#N/A</v>
      </c>
    </row>
    <row r="274" spans="1:18" x14ac:dyDescent="0.25">
      <c r="A274">
        <f t="shared" si="22"/>
        <v>1</v>
      </c>
      <c r="B274" t="str">
        <f t="shared" si="23"/>
        <v/>
      </c>
      <c r="C274">
        <f t="shared" si="25"/>
        <v>1</v>
      </c>
      <c r="D274" s="4"/>
      <c r="E274" t="s">
        <v>18</v>
      </c>
      <c r="F274" t="str">
        <f>INDEX(Establishment!B$2:B$1005,MATCH($E274,Establishment!$A$2:$A$1005,0))</f>
        <v xml:space="preserve"> </v>
      </c>
      <c r="G274" t="str">
        <f>INDEX(Establishment!C$2:C$1005,MATCH($E274,Establishment!$A$2:$A$1005,0))</f>
        <v xml:space="preserve"> </v>
      </c>
      <c r="M274">
        <f t="shared" si="26"/>
        <v>0</v>
      </c>
      <c r="N274">
        <f t="shared" si="24"/>
        <v>0</v>
      </c>
      <c r="P274" t="e">
        <f>INDEX(Items!B$2:B$1032,MATCH($O274,Items!$A$2:$A$1032,0))</f>
        <v>#N/A</v>
      </c>
      <c r="Q274" t="e">
        <f>INDEX(Items!C$2:C$1032,MATCH($O274,Items!$A$2:$A$1032,0))</f>
        <v>#N/A</v>
      </c>
      <c r="R274" t="e">
        <f>INDEX(Items!D$2:D$1032,MATCH($O274,Items!$A$2:$A$1032,0))</f>
        <v>#N/A</v>
      </c>
    </row>
    <row r="275" spans="1:18" x14ac:dyDescent="0.25">
      <c r="A275">
        <f t="shared" si="22"/>
        <v>1</v>
      </c>
      <c r="B275" t="str">
        <f t="shared" si="23"/>
        <v/>
      </c>
      <c r="C275">
        <f t="shared" si="25"/>
        <v>1</v>
      </c>
      <c r="D275" s="4"/>
      <c r="E275" t="s">
        <v>18</v>
      </c>
      <c r="F275" t="str">
        <f>INDEX(Establishment!B$2:B$1005,MATCH($E275,Establishment!$A$2:$A$1005,0))</f>
        <v xml:space="preserve"> </v>
      </c>
      <c r="G275" t="str">
        <f>INDEX(Establishment!C$2:C$1005,MATCH($E275,Establishment!$A$2:$A$1005,0))</f>
        <v xml:space="preserve"> </v>
      </c>
      <c r="M275">
        <f t="shared" si="26"/>
        <v>0</v>
      </c>
      <c r="N275">
        <f t="shared" si="24"/>
        <v>0</v>
      </c>
      <c r="P275" t="e">
        <f>INDEX(Items!B$2:B$1032,MATCH($O275,Items!$A$2:$A$1032,0))</f>
        <v>#N/A</v>
      </c>
      <c r="Q275" t="e">
        <f>INDEX(Items!C$2:C$1032,MATCH($O275,Items!$A$2:$A$1032,0))</f>
        <v>#N/A</v>
      </c>
      <c r="R275" t="e">
        <f>INDEX(Items!D$2:D$1032,MATCH($O275,Items!$A$2:$A$1032,0))</f>
        <v>#N/A</v>
      </c>
    </row>
    <row r="276" spans="1:18" x14ac:dyDescent="0.25">
      <c r="A276">
        <f t="shared" si="22"/>
        <v>1</v>
      </c>
      <c r="B276" t="str">
        <f t="shared" si="23"/>
        <v/>
      </c>
      <c r="C276">
        <f t="shared" si="25"/>
        <v>1</v>
      </c>
      <c r="D276" s="4"/>
      <c r="E276" t="s">
        <v>18</v>
      </c>
      <c r="F276" t="str">
        <f>INDEX(Establishment!B$2:B$1005,MATCH($E276,Establishment!$A$2:$A$1005,0))</f>
        <v xml:space="preserve"> </v>
      </c>
      <c r="G276" t="str">
        <f>INDEX(Establishment!C$2:C$1005,MATCH($E276,Establishment!$A$2:$A$1005,0))</f>
        <v xml:space="preserve"> </v>
      </c>
      <c r="M276">
        <f t="shared" si="26"/>
        <v>0</v>
      </c>
      <c r="N276">
        <f t="shared" si="24"/>
        <v>0</v>
      </c>
      <c r="P276" t="e">
        <f>INDEX(Items!B$2:B$1032,MATCH($O276,Items!$A$2:$A$1032,0))</f>
        <v>#N/A</v>
      </c>
      <c r="Q276" t="e">
        <f>INDEX(Items!C$2:C$1032,MATCH($O276,Items!$A$2:$A$1032,0))</f>
        <v>#N/A</v>
      </c>
      <c r="R276" t="e">
        <f>INDEX(Items!D$2:D$1032,MATCH($O276,Items!$A$2:$A$1032,0))</f>
        <v>#N/A</v>
      </c>
    </row>
    <row r="277" spans="1:18" x14ac:dyDescent="0.25">
      <c r="A277">
        <f t="shared" si="22"/>
        <v>1</v>
      </c>
      <c r="B277" t="str">
        <f t="shared" si="23"/>
        <v/>
      </c>
      <c r="C277">
        <f t="shared" si="25"/>
        <v>1</v>
      </c>
      <c r="D277" s="4"/>
      <c r="E277" t="s">
        <v>18</v>
      </c>
      <c r="F277" t="str">
        <f>INDEX(Establishment!B$2:B$1005,MATCH($E277,Establishment!$A$2:$A$1005,0))</f>
        <v xml:space="preserve"> </v>
      </c>
      <c r="G277" t="str">
        <f>INDEX(Establishment!C$2:C$1005,MATCH($E277,Establishment!$A$2:$A$1005,0))</f>
        <v xml:space="preserve"> </v>
      </c>
      <c r="M277">
        <f t="shared" si="26"/>
        <v>0</v>
      </c>
      <c r="N277">
        <f t="shared" si="24"/>
        <v>0</v>
      </c>
      <c r="P277" t="e">
        <f>INDEX(Items!B$2:B$1032,MATCH($O277,Items!$A$2:$A$1032,0))</f>
        <v>#N/A</v>
      </c>
      <c r="Q277" t="e">
        <f>INDEX(Items!C$2:C$1032,MATCH($O277,Items!$A$2:$A$1032,0))</f>
        <v>#N/A</v>
      </c>
      <c r="R277" t="e">
        <f>INDEX(Items!D$2:D$1032,MATCH($O277,Items!$A$2:$A$1032,0))</f>
        <v>#N/A</v>
      </c>
    </row>
    <row r="278" spans="1:18" x14ac:dyDescent="0.25">
      <c r="A278">
        <f t="shared" si="22"/>
        <v>1</v>
      </c>
      <c r="B278" t="str">
        <f t="shared" si="23"/>
        <v/>
      </c>
      <c r="C278">
        <f t="shared" si="25"/>
        <v>1</v>
      </c>
      <c r="D278" s="4"/>
      <c r="E278" t="s">
        <v>18</v>
      </c>
      <c r="F278" t="str">
        <f>INDEX(Establishment!B$2:B$1005,MATCH($E278,Establishment!$A$2:$A$1005,0))</f>
        <v xml:space="preserve"> </v>
      </c>
      <c r="G278" t="str">
        <f>INDEX(Establishment!C$2:C$1005,MATCH($E278,Establishment!$A$2:$A$1005,0))</f>
        <v xml:space="preserve"> </v>
      </c>
      <c r="M278">
        <f t="shared" si="26"/>
        <v>0</v>
      </c>
      <c r="N278">
        <f t="shared" si="24"/>
        <v>0</v>
      </c>
      <c r="P278" t="e">
        <f>INDEX(Items!B$2:B$1032,MATCH($O278,Items!$A$2:$A$1032,0))</f>
        <v>#N/A</v>
      </c>
      <c r="Q278" t="e">
        <f>INDEX(Items!C$2:C$1032,MATCH($O278,Items!$A$2:$A$1032,0))</f>
        <v>#N/A</v>
      </c>
      <c r="R278" t="e">
        <f>INDEX(Items!D$2:D$1032,MATCH($O278,Items!$A$2:$A$1032,0))</f>
        <v>#N/A</v>
      </c>
    </row>
    <row r="279" spans="1:18" x14ac:dyDescent="0.25">
      <c r="A279">
        <f t="shared" si="22"/>
        <v>1</v>
      </c>
      <c r="B279" t="str">
        <f t="shared" si="23"/>
        <v/>
      </c>
      <c r="C279">
        <f t="shared" si="25"/>
        <v>1</v>
      </c>
      <c r="D279" s="4"/>
      <c r="E279" t="s">
        <v>18</v>
      </c>
      <c r="F279" t="str">
        <f>INDEX(Establishment!B$2:B$1005,MATCH($E279,Establishment!$A$2:$A$1005,0))</f>
        <v xml:space="preserve"> </v>
      </c>
      <c r="G279" t="str">
        <f>INDEX(Establishment!C$2:C$1005,MATCH($E279,Establishment!$A$2:$A$1005,0))</f>
        <v xml:space="preserve"> </v>
      </c>
      <c r="M279">
        <f t="shared" si="26"/>
        <v>0</v>
      </c>
      <c r="N279">
        <f t="shared" si="24"/>
        <v>0</v>
      </c>
      <c r="P279" t="e">
        <f>INDEX(Items!B$2:B$1032,MATCH($O279,Items!$A$2:$A$1032,0))</f>
        <v>#N/A</v>
      </c>
      <c r="Q279" t="e">
        <f>INDEX(Items!C$2:C$1032,MATCH($O279,Items!$A$2:$A$1032,0))</f>
        <v>#N/A</v>
      </c>
      <c r="R279" t="e">
        <f>INDEX(Items!D$2:D$1032,MATCH($O279,Items!$A$2:$A$1032,0))</f>
        <v>#N/A</v>
      </c>
    </row>
    <row r="280" spans="1:18" x14ac:dyDescent="0.25">
      <c r="A280">
        <f t="shared" si="22"/>
        <v>1</v>
      </c>
      <c r="B280" t="str">
        <f t="shared" si="23"/>
        <v/>
      </c>
      <c r="C280">
        <f t="shared" si="25"/>
        <v>1</v>
      </c>
      <c r="D280" s="4"/>
      <c r="E280" t="s">
        <v>18</v>
      </c>
      <c r="F280" t="str">
        <f>INDEX(Establishment!B$2:B$1005,MATCH($E280,Establishment!$A$2:$A$1005,0))</f>
        <v xml:space="preserve"> </v>
      </c>
      <c r="G280" t="str">
        <f>INDEX(Establishment!C$2:C$1005,MATCH($E280,Establishment!$A$2:$A$1005,0))</f>
        <v xml:space="preserve"> </v>
      </c>
      <c r="M280">
        <f t="shared" si="26"/>
        <v>0</v>
      </c>
      <c r="N280">
        <f t="shared" si="24"/>
        <v>0</v>
      </c>
      <c r="P280" t="e">
        <f>INDEX(Items!B$2:B$1032,MATCH($O280,Items!$A$2:$A$1032,0))</f>
        <v>#N/A</v>
      </c>
      <c r="Q280" t="e">
        <f>INDEX(Items!C$2:C$1032,MATCH($O280,Items!$A$2:$A$1032,0))</f>
        <v>#N/A</v>
      </c>
      <c r="R280" t="e">
        <f>INDEX(Items!D$2:D$1032,MATCH($O280,Items!$A$2:$A$1032,0))</f>
        <v>#N/A</v>
      </c>
    </row>
    <row r="281" spans="1:18" x14ac:dyDescent="0.25">
      <c r="A281">
        <f t="shared" si="22"/>
        <v>1</v>
      </c>
      <c r="B281" t="str">
        <f t="shared" si="23"/>
        <v/>
      </c>
      <c r="C281">
        <f t="shared" si="25"/>
        <v>1</v>
      </c>
      <c r="D281" s="4"/>
      <c r="E281" t="s">
        <v>18</v>
      </c>
      <c r="F281" t="str">
        <f>INDEX(Establishment!B$2:B$1005,MATCH($E281,Establishment!$A$2:$A$1005,0))</f>
        <v xml:space="preserve"> </v>
      </c>
      <c r="G281" t="str">
        <f>INDEX(Establishment!C$2:C$1005,MATCH($E281,Establishment!$A$2:$A$1005,0))</f>
        <v xml:space="preserve"> </v>
      </c>
      <c r="M281">
        <f t="shared" si="26"/>
        <v>0</v>
      </c>
      <c r="N281">
        <f t="shared" si="24"/>
        <v>0</v>
      </c>
      <c r="P281" t="e">
        <f>INDEX(Items!B$2:B$1032,MATCH($O281,Items!$A$2:$A$1032,0))</f>
        <v>#N/A</v>
      </c>
      <c r="Q281" t="e">
        <f>INDEX(Items!C$2:C$1032,MATCH($O281,Items!$A$2:$A$1032,0))</f>
        <v>#N/A</v>
      </c>
      <c r="R281" t="e">
        <f>INDEX(Items!D$2:D$1032,MATCH($O281,Items!$A$2:$A$1032,0))</f>
        <v>#N/A</v>
      </c>
    </row>
    <row r="282" spans="1:18" x14ac:dyDescent="0.25">
      <c r="A282">
        <f t="shared" si="22"/>
        <v>1</v>
      </c>
      <c r="B282" t="str">
        <f t="shared" si="23"/>
        <v/>
      </c>
      <c r="C282">
        <f t="shared" si="25"/>
        <v>1</v>
      </c>
      <c r="D282" s="4"/>
      <c r="E282" t="s">
        <v>18</v>
      </c>
      <c r="F282" t="str">
        <f>INDEX(Establishment!B$2:B$1005,MATCH($E282,Establishment!$A$2:$A$1005,0))</f>
        <v xml:space="preserve"> </v>
      </c>
      <c r="G282" t="str">
        <f>INDEX(Establishment!C$2:C$1005,MATCH($E282,Establishment!$A$2:$A$1005,0))</f>
        <v xml:space="preserve"> </v>
      </c>
      <c r="M282">
        <f t="shared" si="26"/>
        <v>0</v>
      </c>
      <c r="N282">
        <f t="shared" si="24"/>
        <v>0</v>
      </c>
      <c r="P282" t="e">
        <f>INDEX(Items!B$2:B$1032,MATCH($O282,Items!$A$2:$A$1032,0))</f>
        <v>#N/A</v>
      </c>
      <c r="Q282" t="e">
        <f>INDEX(Items!C$2:C$1032,MATCH($O282,Items!$A$2:$A$1032,0))</f>
        <v>#N/A</v>
      </c>
      <c r="R282" t="e">
        <f>INDEX(Items!D$2:D$1032,MATCH($O282,Items!$A$2:$A$1032,0))</f>
        <v>#N/A</v>
      </c>
    </row>
    <row r="283" spans="1:18" x14ac:dyDescent="0.25">
      <c r="A283">
        <f t="shared" si="22"/>
        <v>1</v>
      </c>
      <c r="B283" t="str">
        <f t="shared" si="23"/>
        <v/>
      </c>
      <c r="C283">
        <f t="shared" si="25"/>
        <v>1</v>
      </c>
      <c r="D283" s="4"/>
      <c r="E283" t="s">
        <v>18</v>
      </c>
      <c r="F283" t="str">
        <f>INDEX(Establishment!B$2:B$1005,MATCH($E283,Establishment!$A$2:$A$1005,0))</f>
        <v xml:space="preserve"> </v>
      </c>
      <c r="G283" t="str">
        <f>INDEX(Establishment!C$2:C$1005,MATCH($E283,Establishment!$A$2:$A$1005,0))</f>
        <v xml:space="preserve"> </v>
      </c>
      <c r="M283">
        <f t="shared" si="26"/>
        <v>0</v>
      </c>
      <c r="N283">
        <f t="shared" si="24"/>
        <v>0</v>
      </c>
      <c r="P283" t="e">
        <f>INDEX(Items!B$2:B$1032,MATCH($O283,Items!$A$2:$A$1032,0))</f>
        <v>#N/A</v>
      </c>
      <c r="Q283" t="e">
        <f>INDEX(Items!C$2:C$1032,MATCH($O283,Items!$A$2:$A$1032,0))</f>
        <v>#N/A</v>
      </c>
      <c r="R283" t="e">
        <f>INDEX(Items!D$2:D$1032,MATCH($O283,Items!$A$2:$A$1032,0))</f>
        <v>#N/A</v>
      </c>
    </row>
    <row r="284" spans="1:18" x14ac:dyDescent="0.25">
      <c r="A284">
        <f t="shared" si="22"/>
        <v>1</v>
      </c>
      <c r="B284" t="str">
        <f t="shared" si="23"/>
        <v/>
      </c>
      <c r="C284">
        <f t="shared" si="25"/>
        <v>1</v>
      </c>
      <c r="D284" s="4"/>
      <c r="E284" t="s">
        <v>18</v>
      </c>
      <c r="F284" t="str">
        <f>INDEX(Establishment!B$2:B$1005,MATCH($E284,Establishment!$A$2:$A$1005,0))</f>
        <v xml:space="preserve"> </v>
      </c>
      <c r="G284" t="str">
        <f>INDEX(Establishment!C$2:C$1005,MATCH($E284,Establishment!$A$2:$A$1005,0))</f>
        <v xml:space="preserve"> </v>
      </c>
      <c r="M284">
        <f t="shared" si="26"/>
        <v>0</v>
      </c>
      <c r="N284">
        <f t="shared" si="24"/>
        <v>0</v>
      </c>
      <c r="P284" t="e">
        <f>INDEX(Items!B$2:B$1032,MATCH($O284,Items!$A$2:$A$1032,0))</f>
        <v>#N/A</v>
      </c>
      <c r="Q284" t="e">
        <f>INDEX(Items!C$2:C$1032,MATCH($O284,Items!$A$2:$A$1032,0))</f>
        <v>#N/A</v>
      </c>
      <c r="R284" t="e">
        <f>INDEX(Items!D$2:D$1032,MATCH($O284,Items!$A$2:$A$1032,0))</f>
        <v>#N/A</v>
      </c>
    </row>
    <row r="285" spans="1:18" x14ac:dyDescent="0.25">
      <c r="A285">
        <f t="shared" si="22"/>
        <v>1</v>
      </c>
      <c r="B285" t="str">
        <f t="shared" si="23"/>
        <v/>
      </c>
      <c r="C285">
        <f t="shared" si="25"/>
        <v>1</v>
      </c>
      <c r="D285" s="4"/>
      <c r="E285" t="s">
        <v>18</v>
      </c>
      <c r="F285" t="str">
        <f>INDEX(Establishment!B$2:B$1005,MATCH($E285,Establishment!$A$2:$A$1005,0))</f>
        <v xml:space="preserve"> </v>
      </c>
      <c r="G285" t="str">
        <f>INDEX(Establishment!C$2:C$1005,MATCH($E285,Establishment!$A$2:$A$1005,0))</f>
        <v xml:space="preserve"> </v>
      </c>
      <c r="M285">
        <f t="shared" si="26"/>
        <v>0</v>
      </c>
      <c r="N285">
        <f t="shared" si="24"/>
        <v>0</v>
      </c>
      <c r="P285" t="e">
        <f>INDEX(Items!B$2:B$1032,MATCH($O285,Items!$A$2:$A$1032,0))</f>
        <v>#N/A</v>
      </c>
      <c r="Q285" t="e">
        <f>INDEX(Items!C$2:C$1032,MATCH($O285,Items!$A$2:$A$1032,0))</f>
        <v>#N/A</v>
      </c>
      <c r="R285" t="e">
        <f>INDEX(Items!D$2:D$1032,MATCH($O285,Items!$A$2:$A$1032,0))</f>
        <v>#N/A</v>
      </c>
    </row>
    <row r="286" spans="1:18" x14ac:dyDescent="0.25">
      <c r="A286">
        <f t="shared" si="22"/>
        <v>1</v>
      </c>
      <c r="B286" t="str">
        <f t="shared" si="23"/>
        <v/>
      </c>
      <c r="C286">
        <f t="shared" si="25"/>
        <v>1</v>
      </c>
      <c r="D286" s="4"/>
      <c r="E286" t="s">
        <v>18</v>
      </c>
      <c r="F286" t="str">
        <f>INDEX(Establishment!B$2:B$1005,MATCH($E286,Establishment!$A$2:$A$1005,0))</f>
        <v xml:space="preserve"> </v>
      </c>
      <c r="G286" t="str">
        <f>INDEX(Establishment!C$2:C$1005,MATCH($E286,Establishment!$A$2:$A$1005,0))</f>
        <v xml:space="preserve"> </v>
      </c>
      <c r="M286">
        <f t="shared" si="26"/>
        <v>0</v>
      </c>
      <c r="N286">
        <f t="shared" si="24"/>
        <v>0</v>
      </c>
      <c r="P286" t="e">
        <f>INDEX(Items!B$2:B$1032,MATCH($O286,Items!$A$2:$A$1032,0))</f>
        <v>#N/A</v>
      </c>
      <c r="Q286" t="e">
        <f>INDEX(Items!C$2:C$1032,MATCH($O286,Items!$A$2:$A$1032,0))</f>
        <v>#N/A</v>
      </c>
      <c r="R286" t="e">
        <f>INDEX(Items!D$2:D$1032,MATCH($O286,Items!$A$2:$A$1032,0))</f>
        <v>#N/A</v>
      </c>
    </row>
    <row r="287" spans="1:18" x14ac:dyDescent="0.25">
      <c r="A287">
        <f t="shared" si="22"/>
        <v>1</v>
      </c>
      <c r="B287" t="str">
        <f t="shared" si="23"/>
        <v/>
      </c>
      <c r="C287">
        <f t="shared" si="25"/>
        <v>1</v>
      </c>
      <c r="D287" s="4"/>
      <c r="E287" t="s">
        <v>18</v>
      </c>
      <c r="F287" t="str">
        <f>INDEX(Establishment!B$2:B$1005,MATCH($E287,Establishment!$A$2:$A$1005,0))</f>
        <v xml:space="preserve"> </v>
      </c>
      <c r="G287" t="str">
        <f>INDEX(Establishment!C$2:C$1005,MATCH($E287,Establishment!$A$2:$A$1005,0))</f>
        <v xml:space="preserve"> </v>
      </c>
      <c r="M287">
        <f t="shared" si="26"/>
        <v>0</v>
      </c>
      <c r="N287">
        <f t="shared" si="24"/>
        <v>0</v>
      </c>
      <c r="P287" t="e">
        <f>INDEX(Items!B$2:B$1032,MATCH($O287,Items!$A$2:$A$1032,0))</f>
        <v>#N/A</v>
      </c>
      <c r="Q287" t="e">
        <f>INDEX(Items!C$2:C$1032,MATCH($O287,Items!$A$2:$A$1032,0))</f>
        <v>#N/A</v>
      </c>
      <c r="R287" t="e">
        <f>INDEX(Items!D$2:D$1032,MATCH($O287,Items!$A$2:$A$1032,0))</f>
        <v>#N/A</v>
      </c>
    </row>
    <row r="288" spans="1:18" x14ac:dyDescent="0.25">
      <c r="A288">
        <f t="shared" si="22"/>
        <v>1</v>
      </c>
      <c r="B288" t="str">
        <f t="shared" si="23"/>
        <v/>
      </c>
      <c r="C288">
        <f t="shared" si="25"/>
        <v>1</v>
      </c>
      <c r="D288" s="4"/>
      <c r="E288" t="s">
        <v>18</v>
      </c>
      <c r="F288" t="str">
        <f>INDEX(Establishment!B$2:B$1005,MATCH($E288,Establishment!$A$2:$A$1005,0))</f>
        <v xml:space="preserve"> </v>
      </c>
      <c r="G288" t="str">
        <f>INDEX(Establishment!C$2:C$1005,MATCH($E288,Establishment!$A$2:$A$1005,0))</f>
        <v xml:space="preserve"> </v>
      </c>
      <c r="M288">
        <f t="shared" si="26"/>
        <v>0</v>
      </c>
      <c r="N288">
        <f t="shared" si="24"/>
        <v>0</v>
      </c>
      <c r="P288" t="e">
        <f>INDEX(Items!B$2:B$1032,MATCH($O288,Items!$A$2:$A$1032,0))</f>
        <v>#N/A</v>
      </c>
      <c r="Q288" t="e">
        <f>INDEX(Items!C$2:C$1032,MATCH($O288,Items!$A$2:$A$1032,0))</f>
        <v>#N/A</v>
      </c>
      <c r="R288" t="e">
        <f>INDEX(Items!D$2:D$1032,MATCH($O288,Items!$A$2:$A$1032,0))</f>
        <v>#N/A</v>
      </c>
    </row>
    <row r="289" spans="1:18" x14ac:dyDescent="0.25">
      <c r="A289">
        <f t="shared" si="22"/>
        <v>1</v>
      </c>
      <c r="B289" t="str">
        <f t="shared" si="23"/>
        <v/>
      </c>
      <c r="C289">
        <f t="shared" si="25"/>
        <v>1</v>
      </c>
      <c r="D289" s="4"/>
      <c r="E289" t="s">
        <v>18</v>
      </c>
      <c r="F289" t="str">
        <f>INDEX(Establishment!B$2:B$1005,MATCH($E289,Establishment!$A$2:$A$1005,0))</f>
        <v xml:space="preserve"> </v>
      </c>
      <c r="G289" t="str">
        <f>INDEX(Establishment!C$2:C$1005,MATCH($E289,Establishment!$A$2:$A$1005,0))</f>
        <v xml:space="preserve"> </v>
      </c>
      <c r="M289">
        <f t="shared" si="26"/>
        <v>0</v>
      </c>
      <c r="N289">
        <f t="shared" si="24"/>
        <v>0</v>
      </c>
      <c r="P289" t="e">
        <f>INDEX(Items!B$2:B$1032,MATCH($O289,Items!$A$2:$A$1032,0))</f>
        <v>#N/A</v>
      </c>
      <c r="Q289" t="e">
        <f>INDEX(Items!C$2:C$1032,MATCH($O289,Items!$A$2:$A$1032,0))</f>
        <v>#N/A</v>
      </c>
      <c r="R289" t="e">
        <f>INDEX(Items!D$2:D$1032,MATCH($O289,Items!$A$2:$A$1032,0))</f>
        <v>#N/A</v>
      </c>
    </row>
    <row r="290" spans="1:18" x14ac:dyDescent="0.25">
      <c r="A290">
        <f t="shared" si="22"/>
        <v>1</v>
      </c>
      <c r="B290" t="str">
        <f t="shared" si="23"/>
        <v/>
      </c>
      <c r="C290">
        <f t="shared" si="25"/>
        <v>1</v>
      </c>
      <c r="D290" s="4"/>
      <c r="E290" t="s">
        <v>18</v>
      </c>
      <c r="F290" t="str">
        <f>INDEX(Establishment!B$2:B$1005,MATCH($E290,Establishment!$A$2:$A$1005,0))</f>
        <v xml:space="preserve"> </v>
      </c>
      <c r="G290" t="str">
        <f>INDEX(Establishment!C$2:C$1005,MATCH($E290,Establishment!$A$2:$A$1005,0))</f>
        <v xml:space="preserve"> </v>
      </c>
      <c r="M290">
        <f t="shared" si="26"/>
        <v>0</v>
      </c>
      <c r="N290">
        <f t="shared" si="24"/>
        <v>0</v>
      </c>
      <c r="P290" t="e">
        <f>INDEX(Items!B$2:B$1032,MATCH($O290,Items!$A$2:$A$1032,0))</f>
        <v>#N/A</v>
      </c>
      <c r="Q290" t="e">
        <f>INDEX(Items!C$2:C$1032,MATCH($O290,Items!$A$2:$A$1032,0))</f>
        <v>#N/A</v>
      </c>
      <c r="R290" t="e">
        <f>INDEX(Items!D$2:D$1032,MATCH($O290,Items!$A$2:$A$1032,0))</f>
        <v>#N/A</v>
      </c>
    </row>
    <row r="291" spans="1:18" x14ac:dyDescent="0.25">
      <c r="A291">
        <f t="shared" si="22"/>
        <v>1</v>
      </c>
      <c r="B291" t="str">
        <f t="shared" si="23"/>
        <v/>
      </c>
      <c r="C291">
        <f t="shared" si="25"/>
        <v>1</v>
      </c>
      <c r="D291" s="4"/>
      <c r="E291" t="s">
        <v>18</v>
      </c>
      <c r="F291" t="str">
        <f>INDEX(Establishment!B$2:B$1005,MATCH($E291,Establishment!$A$2:$A$1005,0))</f>
        <v xml:space="preserve"> </v>
      </c>
      <c r="G291" t="str">
        <f>INDEX(Establishment!C$2:C$1005,MATCH($E291,Establishment!$A$2:$A$1005,0))</f>
        <v xml:space="preserve"> </v>
      </c>
      <c r="M291">
        <f t="shared" si="26"/>
        <v>0</v>
      </c>
      <c r="N291">
        <f t="shared" si="24"/>
        <v>0</v>
      </c>
      <c r="P291" t="e">
        <f>INDEX(Items!B$2:B$1032,MATCH($O291,Items!$A$2:$A$1032,0))</f>
        <v>#N/A</v>
      </c>
      <c r="Q291" t="e">
        <f>INDEX(Items!C$2:C$1032,MATCH($O291,Items!$A$2:$A$1032,0))</f>
        <v>#N/A</v>
      </c>
      <c r="R291" t="e">
        <f>INDEX(Items!D$2:D$1032,MATCH($O291,Items!$A$2:$A$1032,0))</f>
        <v>#N/A</v>
      </c>
    </row>
    <row r="292" spans="1:18" x14ac:dyDescent="0.25">
      <c r="A292">
        <f t="shared" si="22"/>
        <v>1</v>
      </c>
      <c r="B292" t="str">
        <f t="shared" si="23"/>
        <v/>
      </c>
      <c r="C292">
        <f t="shared" si="25"/>
        <v>1</v>
      </c>
      <c r="D292" s="4"/>
      <c r="E292" t="s">
        <v>18</v>
      </c>
      <c r="F292" t="str">
        <f>INDEX(Establishment!B$2:B$1005,MATCH($E292,Establishment!$A$2:$A$1005,0))</f>
        <v xml:space="preserve"> </v>
      </c>
      <c r="G292" t="str">
        <f>INDEX(Establishment!C$2:C$1005,MATCH($E292,Establishment!$A$2:$A$1005,0))</f>
        <v xml:space="preserve"> </v>
      </c>
      <c r="M292">
        <f t="shared" si="26"/>
        <v>0</v>
      </c>
      <c r="N292">
        <f t="shared" si="24"/>
        <v>0</v>
      </c>
      <c r="P292" t="e">
        <f>INDEX(Items!B$2:B$1032,MATCH($O292,Items!$A$2:$A$1032,0))</f>
        <v>#N/A</v>
      </c>
      <c r="Q292" t="e">
        <f>INDEX(Items!C$2:C$1032,MATCH($O292,Items!$A$2:$A$1032,0))</f>
        <v>#N/A</v>
      </c>
      <c r="R292" t="e">
        <f>INDEX(Items!D$2:D$1032,MATCH($O292,Items!$A$2:$A$1032,0))</f>
        <v>#N/A</v>
      </c>
    </row>
    <row r="293" spans="1:18" x14ac:dyDescent="0.25">
      <c r="A293">
        <f t="shared" si="22"/>
        <v>1</v>
      </c>
      <c r="B293" t="str">
        <f t="shared" si="23"/>
        <v/>
      </c>
      <c r="C293">
        <f t="shared" si="25"/>
        <v>1</v>
      </c>
      <c r="D293" s="4"/>
      <c r="E293" t="s">
        <v>18</v>
      </c>
      <c r="F293" t="str">
        <f>INDEX(Establishment!B$2:B$1005,MATCH($E293,Establishment!$A$2:$A$1005,0))</f>
        <v xml:space="preserve"> </v>
      </c>
      <c r="G293" t="str">
        <f>INDEX(Establishment!C$2:C$1005,MATCH($E293,Establishment!$A$2:$A$1005,0))</f>
        <v xml:space="preserve"> </v>
      </c>
      <c r="M293">
        <f t="shared" si="26"/>
        <v>0</v>
      </c>
      <c r="N293">
        <f t="shared" si="24"/>
        <v>0</v>
      </c>
      <c r="P293" t="e">
        <f>INDEX(Items!B$2:B$1032,MATCH($O293,Items!$A$2:$A$1032,0))</f>
        <v>#N/A</v>
      </c>
      <c r="Q293" t="e">
        <f>INDEX(Items!C$2:C$1032,MATCH($O293,Items!$A$2:$A$1032,0))</f>
        <v>#N/A</v>
      </c>
      <c r="R293" t="e">
        <f>INDEX(Items!D$2:D$1032,MATCH($O293,Items!$A$2:$A$1032,0))</f>
        <v>#N/A</v>
      </c>
    </row>
    <row r="294" spans="1:18" x14ac:dyDescent="0.25">
      <c r="A294">
        <f t="shared" si="22"/>
        <v>1</v>
      </c>
      <c r="B294" t="str">
        <f t="shared" si="23"/>
        <v/>
      </c>
      <c r="C294">
        <f t="shared" si="25"/>
        <v>1</v>
      </c>
      <c r="D294" s="4"/>
      <c r="E294" t="s">
        <v>18</v>
      </c>
      <c r="F294" t="str">
        <f>INDEX(Establishment!B$2:B$1005,MATCH($E294,Establishment!$A$2:$A$1005,0))</f>
        <v xml:space="preserve"> </v>
      </c>
      <c r="G294" t="str">
        <f>INDEX(Establishment!C$2:C$1005,MATCH($E294,Establishment!$A$2:$A$1005,0))</f>
        <v xml:space="preserve"> </v>
      </c>
      <c r="M294">
        <f t="shared" si="26"/>
        <v>0</v>
      </c>
      <c r="N294">
        <f t="shared" si="24"/>
        <v>0</v>
      </c>
      <c r="P294" t="e">
        <f>INDEX(Items!B$2:B$1032,MATCH($O294,Items!$A$2:$A$1032,0))</f>
        <v>#N/A</v>
      </c>
      <c r="Q294" t="e">
        <f>INDEX(Items!C$2:C$1032,MATCH($O294,Items!$A$2:$A$1032,0))</f>
        <v>#N/A</v>
      </c>
      <c r="R294" t="e">
        <f>INDEX(Items!D$2:D$1032,MATCH($O294,Items!$A$2:$A$1032,0))</f>
        <v>#N/A</v>
      </c>
    </row>
    <row r="295" spans="1:18" x14ac:dyDescent="0.25">
      <c r="A295">
        <f t="shared" si="22"/>
        <v>1</v>
      </c>
      <c r="B295" t="str">
        <f t="shared" si="23"/>
        <v/>
      </c>
      <c r="C295">
        <f t="shared" si="25"/>
        <v>1</v>
      </c>
      <c r="D295" s="4"/>
      <c r="E295" t="s">
        <v>18</v>
      </c>
      <c r="F295" t="str">
        <f>INDEX(Establishment!B$2:B$1005,MATCH($E295,Establishment!$A$2:$A$1005,0))</f>
        <v xml:space="preserve"> </v>
      </c>
      <c r="G295" t="str">
        <f>INDEX(Establishment!C$2:C$1005,MATCH($E295,Establishment!$A$2:$A$1005,0))</f>
        <v xml:space="preserve"> </v>
      </c>
      <c r="M295">
        <f t="shared" si="26"/>
        <v>0</v>
      </c>
      <c r="N295">
        <f t="shared" si="24"/>
        <v>0</v>
      </c>
      <c r="P295" t="e">
        <f>INDEX(Items!B$2:B$1032,MATCH($O295,Items!$A$2:$A$1032,0))</f>
        <v>#N/A</v>
      </c>
      <c r="Q295" t="e">
        <f>INDEX(Items!C$2:C$1032,MATCH($O295,Items!$A$2:$A$1032,0))</f>
        <v>#N/A</v>
      </c>
      <c r="R295" t="e">
        <f>INDEX(Items!D$2:D$1032,MATCH($O295,Items!$A$2:$A$1032,0))</f>
        <v>#N/A</v>
      </c>
    </row>
    <row r="296" spans="1:18" x14ac:dyDescent="0.25">
      <c r="A296">
        <f t="shared" si="22"/>
        <v>1</v>
      </c>
      <c r="B296" t="str">
        <f t="shared" si="23"/>
        <v/>
      </c>
      <c r="C296">
        <f t="shared" si="25"/>
        <v>1</v>
      </c>
      <c r="D296" s="4"/>
      <c r="E296" t="s">
        <v>18</v>
      </c>
      <c r="F296" t="str">
        <f>INDEX(Establishment!B$2:B$1005,MATCH($E296,Establishment!$A$2:$A$1005,0))</f>
        <v xml:space="preserve"> </v>
      </c>
      <c r="G296" t="str">
        <f>INDEX(Establishment!C$2:C$1005,MATCH($E296,Establishment!$A$2:$A$1005,0))</f>
        <v xml:space="preserve"> </v>
      </c>
      <c r="M296">
        <f t="shared" si="26"/>
        <v>0</v>
      </c>
      <c r="N296">
        <f t="shared" si="24"/>
        <v>0</v>
      </c>
      <c r="P296" t="e">
        <f>INDEX(Items!B$2:B$1032,MATCH($O296,Items!$A$2:$A$1032,0))</f>
        <v>#N/A</v>
      </c>
      <c r="Q296" t="e">
        <f>INDEX(Items!C$2:C$1032,MATCH($O296,Items!$A$2:$A$1032,0))</f>
        <v>#N/A</v>
      </c>
      <c r="R296" t="e">
        <f>INDEX(Items!D$2:D$1032,MATCH($O296,Items!$A$2:$A$1032,0))</f>
        <v>#N/A</v>
      </c>
    </row>
    <row r="297" spans="1:18" x14ac:dyDescent="0.25">
      <c r="A297">
        <f t="shared" si="22"/>
        <v>1</v>
      </c>
      <c r="B297" t="str">
        <f t="shared" si="23"/>
        <v/>
      </c>
      <c r="C297">
        <f t="shared" si="25"/>
        <v>1</v>
      </c>
      <c r="D297" s="4"/>
      <c r="E297" t="s">
        <v>18</v>
      </c>
      <c r="F297" t="str">
        <f>INDEX(Establishment!B$2:B$1005,MATCH($E297,Establishment!$A$2:$A$1005,0))</f>
        <v xml:space="preserve"> </v>
      </c>
      <c r="G297" t="str">
        <f>INDEX(Establishment!C$2:C$1005,MATCH($E297,Establishment!$A$2:$A$1005,0))</f>
        <v xml:space="preserve"> </v>
      </c>
      <c r="M297">
        <f t="shared" si="26"/>
        <v>0</v>
      </c>
      <c r="N297">
        <f t="shared" si="24"/>
        <v>0</v>
      </c>
      <c r="P297" t="e">
        <f>INDEX(Items!B$2:B$1032,MATCH($O297,Items!$A$2:$A$1032,0))</f>
        <v>#N/A</v>
      </c>
      <c r="Q297" t="e">
        <f>INDEX(Items!C$2:C$1032,MATCH($O297,Items!$A$2:$A$1032,0))</f>
        <v>#N/A</v>
      </c>
      <c r="R297" t="e">
        <f>INDEX(Items!D$2:D$1032,MATCH($O297,Items!$A$2:$A$1032,0))</f>
        <v>#N/A</v>
      </c>
    </row>
    <row r="298" spans="1:18" x14ac:dyDescent="0.25">
      <c r="A298">
        <f t="shared" si="22"/>
        <v>1</v>
      </c>
      <c r="B298" t="str">
        <f t="shared" si="23"/>
        <v/>
      </c>
      <c r="C298">
        <f t="shared" si="25"/>
        <v>1</v>
      </c>
      <c r="D298" s="4"/>
      <c r="E298" t="s">
        <v>18</v>
      </c>
      <c r="F298" t="str">
        <f>INDEX(Establishment!B$2:B$1005,MATCH($E298,Establishment!$A$2:$A$1005,0))</f>
        <v xml:space="preserve"> </v>
      </c>
      <c r="G298" t="str">
        <f>INDEX(Establishment!C$2:C$1005,MATCH($E298,Establishment!$A$2:$A$1005,0))</f>
        <v xml:space="preserve"> </v>
      </c>
      <c r="M298">
        <f t="shared" si="26"/>
        <v>0</v>
      </c>
      <c r="N298">
        <f t="shared" si="24"/>
        <v>0</v>
      </c>
      <c r="P298" t="e">
        <f>INDEX(Items!B$2:B$1032,MATCH($O298,Items!$A$2:$A$1032,0))</f>
        <v>#N/A</v>
      </c>
      <c r="Q298" t="e">
        <f>INDEX(Items!C$2:C$1032,MATCH($O298,Items!$A$2:$A$1032,0))</f>
        <v>#N/A</v>
      </c>
      <c r="R298" t="e">
        <f>INDEX(Items!D$2:D$1032,MATCH($O298,Items!$A$2:$A$1032,0))</f>
        <v>#N/A</v>
      </c>
    </row>
    <row r="299" spans="1:18" x14ac:dyDescent="0.25">
      <c r="A299">
        <f t="shared" si="22"/>
        <v>1</v>
      </c>
      <c r="B299" t="str">
        <f t="shared" si="23"/>
        <v/>
      </c>
      <c r="C299">
        <f t="shared" si="25"/>
        <v>1</v>
      </c>
      <c r="D299" s="4"/>
      <c r="E299" t="s">
        <v>18</v>
      </c>
      <c r="F299" t="str">
        <f>INDEX(Establishment!B$2:B$1005,MATCH($E299,Establishment!$A$2:$A$1005,0))</f>
        <v xml:space="preserve"> </v>
      </c>
      <c r="G299" t="str">
        <f>INDEX(Establishment!C$2:C$1005,MATCH($E299,Establishment!$A$2:$A$1005,0))</f>
        <v xml:space="preserve"> </v>
      </c>
      <c r="M299">
        <f t="shared" si="26"/>
        <v>0</v>
      </c>
      <c r="N299">
        <f t="shared" si="24"/>
        <v>0</v>
      </c>
      <c r="P299" t="e">
        <f>INDEX(Items!B$2:B$1032,MATCH($O299,Items!$A$2:$A$1032,0))</f>
        <v>#N/A</v>
      </c>
      <c r="Q299" t="e">
        <f>INDEX(Items!C$2:C$1032,MATCH($O299,Items!$A$2:$A$1032,0))</f>
        <v>#N/A</v>
      </c>
      <c r="R299" t="e">
        <f>INDEX(Items!D$2:D$1032,MATCH($O299,Items!$A$2:$A$1032,0))</f>
        <v>#N/A</v>
      </c>
    </row>
    <row r="300" spans="1:18" x14ac:dyDescent="0.25">
      <c r="A300">
        <f t="shared" si="22"/>
        <v>1</v>
      </c>
      <c r="B300" t="str">
        <f t="shared" si="23"/>
        <v/>
      </c>
      <c r="C300">
        <f t="shared" si="25"/>
        <v>1</v>
      </c>
      <c r="D300" s="4"/>
      <c r="E300" t="s">
        <v>18</v>
      </c>
      <c r="F300" t="str">
        <f>INDEX(Establishment!B$2:B$1005,MATCH($E300,Establishment!$A$2:$A$1005,0))</f>
        <v xml:space="preserve"> </v>
      </c>
      <c r="G300" t="str">
        <f>INDEX(Establishment!C$2:C$1005,MATCH($E300,Establishment!$A$2:$A$1005,0))</f>
        <v xml:space="preserve"> </v>
      </c>
      <c r="M300">
        <f t="shared" si="26"/>
        <v>0</v>
      </c>
      <c r="N300">
        <f t="shared" si="24"/>
        <v>0</v>
      </c>
      <c r="P300" t="e">
        <f>INDEX(Items!B$2:B$1032,MATCH($O300,Items!$A$2:$A$1032,0))</f>
        <v>#N/A</v>
      </c>
      <c r="Q300" t="e">
        <f>INDEX(Items!C$2:C$1032,MATCH($O300,Items!$A$2:$A$1032,0))</f>
        <v>#N/A</v>
      </c>
      <c r="R300" t="e">
        <f>INDEX(Items!D$2:D$1032,MATCH($O300,Items!$A$2:$A$1032,0))</f>
        <v>#N/A</v>
      </c>
    </row>
    <row r="301" spans="1:18" x14ac:dyDescent="0.25">
      <c r="A301">
        <f t="shared" si="22"/>
        <v>1</v>
      </c>
      <c r="B301" t="str">
        <f t="shared" si="23"/>
        <v/>
      </c>
      <c r="C301">
        <f t="shared" si="25"/>
        <v>1</v>
      </c>
      <c r="D301" s="4"/>
      <c r="E301" t="s">
        <v>18</v>
      </c>
      <c r="F301" t="str">
        <f>INDEX(Establishment!B$2:B$1005,MATCH($E301,Establishment!$A$2:$A$1005,0))</f>
        <v xml:space="preserve"> </v>
      </c>
      <c r="G301" t="str">
        <f>INDEX(Establishment!C$2:C$1005,MATCH($E301,Establishment!$A$2:$A$1005,0))</f>
        <v xml:space="preserve"> </v>
      </c>
      <c r="M301">
        <f t="shared" si="26"/>
        <v>0</v>
      </c>
      <c r="N301">
        <f t="shared" si="24"/>
        <v>0</v>
      </c>
      <c r="P301" t="e">
        <f>INDEX(Items!B$2:B$1032,MATCH($O301,Items!$A$2:$A$1032,0))</f>
        <v>#N/A</v>
      </c>
      <c r="Q301" t="e">
        <f>INDEX(Items!C$2:C$1032,MATCH($O301,Items!$A$2:$A$1032,0))</f>
        <v>#N/A</v>
      </c>
      <c r="R301" t="e">
        <f>INDEX(Items!D$2:D$1032,MATCH($O301,Items!$A$2:$A$1032,0))</f>
        <v>#N/A</v>
      </c>
    </row>
    <row r="302" spans="1:18" x14ac:dyDescent="0.25">
      <c r="A302">
        <f t="shared" si="22"/>
        <v>1</v>
      </c>
      <c r="B302" t="str">
        <f t="shared" si="23"/>
        <v/>
      </c>
      <c r="C302">
        <f t="shared" si="25"/>
        <v>1</v>
      </c>
      <c r="D302" s="4"/>
      <c r="E302" t="s">
        <v>18</v>
      </c>
      <c r="F302" t="str">
        <f>INDEX(Establishment!B$2:B$1005,MATCH($E302,Establishment!$A$2:$A$1005,0))</f>
        <v xml:space="preserve"> </v>
      </c>
      <c r="G302" t="str">
        <f>INDEX(Establishment!C$2:C$1005,MATCH($E302,Establishment!$A$2:$A$1005,0))</f>
        <v xml:space="preserve"> </v>
      </c>
      <c r="M302">
        <f t="shared" si="26"/>
        <v>0</v>
      </c>
      <c r="N302">
        <f t="shared" si="24"/>
        <v>0</v>
      </c>
      <c r="P302" t="e">
        <f>INDEX(Items!B$2:B$1032,MATCH($O302,Items!$A$2:$A$1032,0))</f>
        <v>#N/A</v>
      </c>
      <c r="Q302" t="e">
        <f>INDEX(Items!C$2:C$1032,MATCH($O302,Items!$A$2:$A$1032,0))</f>
        <v>#N/A</v>
      </c>
      <c r="R302" t="e">
        <f>INDEX(Items!D$2:D$1032,MATCH($O302,Items!$A$2:$A$1032,0))</f>
        <v>#N/A</v>
      </c>
    </row>
    <row r="303" spans="1:18" x14ac:dyDescent="0.25">
      <c r="A303">
        <f t="shared" si="22"/>
        <v>1</v>
      </c>
      <c r="B303" t="str">
        <f t="shared" si="23"/>
        <v/>
      </c>
      <c r="C303">
        <f t="shared" si="25"/>
        <v>1</v>
      </c>
      <c r="D303" s="4"/>
      <c r="E303" t="s">
        <v>18</v>
      </c>
      <c r="F303" t="str">
        <f>INDEX(Establishment!B$2:B$1005,MATCH($E303,Establishment!$A$2:$A$1005,0))</f>
        <v xml:space="preserve"> </v>
      </c>
      <c r="G303" t="str">
        <f>INDEX(Establishment!C$2:C$1005,MATCH($E303,Establishment!$A$2:$A$1005,0))</f>
        <v xml:space="preserve"> </v>
      </c>
      <c r="M303">
        <f t="shared" si="26"/>
        <v>0</v>
      </c>
      <c r="N303">
        <f t="shared" si="24"/>
        <v>0</v>
      </c>
      <c r="P303" t="e">
        <f>INDEX(Items!B$2:B$1032,MATCH($O303,Items!$A$2:$A$1032,0))</f>
        <v>#N/A</v>
      </c>
      <c r="Q303" t="e">
        <f>INDEX(Items!C$2:C$1032,MATCH($O303,Items!$A$2:$A$1032,0))</f>
        <v>#N/A</v>
      </c>
      <c r="R303" t="e">
        <f>INDEX(Items!D$2:D$1032,MATCH($O303,Items!$A$2:$A$1032,0))</f>
        <v>#N/A</v>
      </c>
    </row>
    <row r="304" spans="1:18" x14ac:dyDescent="0.25">
      <c r="A304">
        <f t="shared" si="22"/>
        <v>1</v>
      </c>
      <c r="B304" t="str">
        <f t="shared" si="23"/>
        <v/>
      </c>
      <c r="C304">
        <f t="shared" si="25"/>
        <v>1</v>
      </c>
      <c r="D304" s="4"/>
      <c r="E304" t="s">
        <v>18</v>
      </c>
      <c r="F304" t="str">
        <f>INDEX(Establishment!B$2:B$1005,MATCH($E304,Establishment!$A$2:$A$1005,0))</f>
        <v xml:space="preserve"> </v>
      </c>
      <c r="G304" t="str">
        <f>INDEX(Establishment!C$2:C$1005,MATCH($E304,Establishment!$A$2:$A$1005,0))</f>
        <v xml:space="preserve"> </v>
      </c>
      <c r="M304">
        <f t="shared" si="26"/>
        <v>0</v>
      </c>
      <c r="N304">
        <f t="shared" si="24"/>
        <v>0</v>
      </c>
      <c r="P304" t="e">
        <f>INDEX(Items!B$2:B$1032,MATCH($O304,Items!$A$2:$A$1032,0))</f>
        <v>#N/A</v>
      </c>
      <c r="Q304" t="e">
        <f>INDEX(Items!C$2:C$1032,MATCH($O304,Items!$A$2:$A$1032,0))</f>
        <v>#N/A</v>
      </c>
      <c r="R304" t="e">
        <f>INDEX(Items!D$2:D$1032,MATCH($O304,Items!$A$2:$A$1032,0))</f>
        <v>#N/A</v>
      </c>
    </row>
    <row r="305" spans="1:18" x14ac:dyDescent="0.25">
      <c r="A305">
        <f t="shared" si="22"/>
        <v>1</v>
      </c>
      <c r="B305" t="str">
        <f t="shared" si="23"/>
        <v/>
      </c>
      <c r="C305">
        <f t="shared" si="25"/>
        <v>1</v>
      </c>
      <c r="D305" s="4"/>
      <c r="E305" t="s">
        <v>18</v>
      </c>
      <c r="F305" t="str">
        <f>INDEX(Establishment!B$2:B$1005,MATCH($E305,Establishment!$A$2:$A$1005,0))</f>
        <v xml:space="preserve"> </v>
      </c>
      <c r="G305" t="str">
        <f>INDEX(Establishment!C$2:C$1005,MATCH($E305,Establishment!$A$2:$A$1005,0))</f>
        <v xml:space="preserve"> </v>
      </c>
      <c r="M305">
        <f t="shared" si="26"/>
        <v>0</v>
      </c>
      <c r="N305">
        <f t="shared" si="24"/>
        <v>0</v>
      </c>
      <c r="P305" t="e">
        <f>INDEX(Items!B$2:B$1032,MATCH($O305,Items!$A$2:$A$1032,0))</f>
        <v>#N/A</v>
      </c>
      <c r="Q305" t="e">
        <f>INDEX(Items!C$2:C$1032,MATCH($O305,Items!$A$2:$A$1032,0))</f>
        <v>#N/A</v>
      </c>
      <c r="R305" t="e">
        <f>INDEX(Items!D$2:D$1032,MATCH($O305,Items!$A$2:$A$1032,0))</f>
        <v>#N/A</v>
      </c>
    </row>
    <row r="306" spans="1:18" x14ac:dyDescent="0.25">
      <c r="A306">
        <f t="shared" si="22"/>
        <v>1</v>
      </c>
      <c r="B306" t="str">
        <f t="shared" si="23"/>
        <v/>
      </c>
      <c r="C306">
        <f t="shared" si="25"/>
        <v>1</v>
      </c>
      <c r="D306" s="4"/>
      <c r="E306" t="s">
        <v>18</v>
      </c>
      <c r="F306" t="str">
        <f>INDEX(Establishment!B$2:B$1005,MATCH($E306,Establishment!$A$2:$A$1005,0))</f>
        <v xml:space="preserve"> </v>
      </c>
      <c r="G306" t="str">
        <f>INDEX(Establishment!C$2:C$1005,MATCH($E306,Establishment!$A$2:$A$1005,0))</f>
        <v xml:space="preserve"> </v>
      </c>
      <c r="M306">
        <f t="shared" si="26"/>
        <v>0</v>
      </c>
      <c r="N306">
        <f t="shared" si="24"/>
        <v>0</v>
      </c>
      <c r="P306" t="e">
        <f>INDEX(Items!B$2:B$1032,MATCH($O306,Items!$A$2:$A$1032,0))</f>
        <v>#N/A</v>
      </c>
      <c r="Q306" t="e">
        <f>INDEX(Items!C$2:C$1032,MATCH($O306,Items!$A$2:$A$1032,0))</f>
        <v>#N/A</v>
      </c>
      <c r="R306" t="e">
        <f>INDEX(Items!D$2:D$1032,MATCH($O306,Items!$A$2:$A$1032,0))</f>
        <v>#N/A</v>
      </c>
    </row>
    <row r="307" spans="1:18" x14ac:dyDescent="0.25">
      <c r="A307">
        <f t="shared" si="22"/>
        <v>1</v>
      </c>
      <c r="B307" t="str">
        <f t="shared" si="23"/>
        <v/>
      </c>
      <c r="C307">
        <f t="shared" si="25"/>
        <v>1</v>
      </c>
      <c r="D307" s="4"/>
      <c r="E307" t="s">
        <v>18</v>
      </c>
      <c r="F307" t="str">
        <f>INDEX(Establishment!B$2:B$1005,MATCH($E307,Establishment!$A$2:$A$1005,0))</f>
        <v xml:space="preserve"> </v>
      </c>
      <c r="G307" t="str">
        <f>INDEX(Establishment!C$2:C$1005,MATCH($E307,Establishment!$A$2:$A$1005,0))</f>
        <v xml:space="preserve"> </v>
      </c>
      <c r="M307">
        <f t="shared" si="26"/>
        <v>0</v>
      </c>
      <c r="N307">
        <f t="shared" si="24"/>
        <v>0</v>
      </c>
      <c r="P307" t="e">
        <f>INDEX(Items!B$2:B$1032,MATCH($O307,Items!$A$2:$A$1032,0))</f>
        <v>#N/A</v>
      </c>
      <c r="Q307" t="e">
        <f>INDEX(Items!C$2:C$1032,MATCH($O307,Items!$A$2:$A$1032,0))</f>
        <v>#N/A</v>
      </c>
      <c r="R307" t="e">
        <f>INDEX(Items!D$2:D$1032,MATCH($O307,Items!$A$2:$A$1032,0))</f>
        <v>#N/A</v>
      </c>
    </row>
    <row r="308" spans="1:18" x14ac:dyDescent="0.25">
      <c r="A308">
        <f t="shared" si="22"/>
        <v>1</v>
      </c>
      <c r="B308" t="str">
        <f t="shared" si="23"/>
        <v/>
      </c>
      <c r="C308">
        <f t="shared" si="25"/>
        <v>1</v>
      </c>
      <c r="D308" s="4"/>
      <c r="E308" t="s">
        <v>18</v>
      </c>
      <c r="F308" t="str">
        <f>INDEX(Establishment!B$2:B$1005,MATCH($E308,Establishment!$A$2:$A$1005,0))</f>
        <v xml:space="preserve"> </v>
      </c>
      <c r="G308" t="str">
        <f>INDEX(Establishment!C$2:C$1005,MATCH($E308,Establishment!$A$2:$A$1005,0))</f>
        <v xml:space="preserve"> </v>
      </c>
      <c r="M308">
        <f t="shared" si="26"/>
        <v>0</v>
      </c>
      <c r="N308">
        <f t="shared" si="24"/>
        <v>0</v>
      </c>
      <c r="P308" t="e">
        <f>INDEX(Items!B$2:B$1032,MATCH($O308,Items!$A$2:$A$1032,0))</f>
        <v>#N/A</v>
      </c>
      <c r="Q308" t="e">
        <f>INDEX(Items!C$2:C$1032,MATCH($O308,Items!$A$2:$A$1032,0))</f>
        <v>#N/A</v>
      </c>
      <c r="R308" t="e">
        <f>INDEX(Items!D$2:D$1032,MATCH($O308,Items!$A$2:$A$1032,0))</f>
        <v>#N/A</v>
      </c>
    </row>
    <row r="309" spans="1:18" x14ac:dyDescent="0.25">
      <c r="A309">
        <f t="shared" si="22"/>
        <v>1</v>
      </c>
      <c r="B309" t="str">
        <f t="shared" si="23"/>
        <v/>
      </c>
      <c r="C309">
        <f t="shared" si="25"/>
        <v>1</v>
      </c>
      <c r="D309" s="4"/>
      <c r="E309" t="s">
        <v>18</v>
      </c>
      <c r="F309" t="str">
        <f>INDEX(Establishment!B$2:B$1005,MATCH($E309,Establishment!$A$2:$A$1005,0))</f>
        <v xml:space="preserve"> </v>
      </c>
      <c r="G309" t="str">
        <f>INDEX(Establishment!C$2:C$1005,MATCH($E309,Establishment!$A$2:$A$1005,0))</f>
        <v xml:space="preserve"> </v>
      </c>
      <c r="M309">
        <f t="shared" si="26"/>
        <v>0</v>
      </c>
      <c r="N309">
        <f t="shared" si="24"/>
        <v>0</v>
      </c>
      <c r="P309" t="e">
        <f>INDEX(Items!B$2:B$1032,MATCH($O309,Items!$A$2:$A$1032,0))</f>
        <v>#N/A</v>
      </c>
      <c r="Q309" t="e">
        <f>INDEX(Items!C$2:C$1032,MATCH($O309,Items!$A$2:$A$1032,0))</f>
        <v>#N/A</v>
      </c>
      <c r="R309" t="e">
        <f>INDEX(Items!D$2:D$1032,MATCH($O309,Items!$A$2:$A$1032,0))</f>
        <v>#N/A</v>
      </c>
    </row>
    <row r="310" spans="1:18" x14ac:dyDescent="0.25">
      <c r="A310">
        <f t="shared" si="22"/>
        <v>1</v>
      </c>
      <c r="B310" t="str">
        <f t="shared" si="23"/>
        <v/>
      </c>
      <c r="C310">
        <f t="shared" si="25"/>
        <v>1</v>
      </c>
      <c r="D310" s="4"/>
      <c r="E310" t="s">
        <v>18</v>
      </c>
      <c r="F310" t="str">
        <f>INDEX(Establishment!B$2:B$1005,MATCH($E310,Establishment!$A$2:$A$1005,0))</f>
        <v xml:space="preserve"> </v>
      </c>
      <c r="G310" t="str">
        <f>INDEX(Establishment!C$2:C$1005,MATCH($E310,Establishment!$A$2:$A$1005,0))</f>
        <v xml:space="preserve"> </v>
      </c>
      <c r="M310">
        <f t="shared" si="26"/>
        <v>0</v>
      </c>
      <c r="N310">
        <f t="shared" si="24"/>
        <v>0</v>
      </c>
      <c r="P310" t="e">
        <f>INDEX(Items!B$2:B$1032,MATCH($O310,Items!$A$2:$A$1032,0))</f>
        <v>#N/A</v>
      </c>
      <c r="Q310" t="e">
        <f>INDEX(Items!C$2:C$1032,MATCH($O310,Items!$A$2:$A$1032,0))</f>
        <v>#N/A</v>
      </c>
      <c r="R310" t="e">
        <f>INDEX(Items!D$2:D$1032,MATCH($O310,Items!$A$2:$A$1032,0))</f>
        <v>#N/A</v>
      </c>
    </row>
    <row r="311" spans="1:18" x14ac:dyDescent="0.25">
      <c r="A311">
        <f t="shared" si="22"/>
        <v>1</v>
      </c>
      <c r="B311" t="str">
        <f t="shared" si="23"/>
        <v/>
      </c>
      <c r="C311">
        <f t="shared" si="25"/>
        <v>1</v>
      </c>
      <c r="D311" s="4"/>
      <c r="E311" t="s">
        <v>18</v>
      </c>
      <c r="F311" t="str">
        <f>INDEX(Establishment!B$2:B$1005,MATCH($E311,Establishment!$A$2:$A$1005,0))</f>
        <v xml:space="preserve"> </v>
      </c>
      <c r="G311" t="str">
        <f>INDEX(Establishment!C$2:C$1005,MATCH($E311,Establishment!$A$2:$A$1005,0))</f>
        <v xml:space="preserve"> </v>
      </c>
      <c r="M311">
        <f t="shared" si="26"/>
        <v>0</v>
      </c>
      <c r="N311">
        <f t="shared" si="24"/>
        <v>0</v>
      </c>
      <c r="P311" t="e">
        <f>INDEX(Items!B$2:B$1032,MATCH($O311,Items!$A$2:$A$1032,0))</f>
        <v>#N/A</v>
      </c>
      <c r="Q311" t="e">
        <f>INDEX(Items!C$2:C$1032,MATCH($O311,Items!$A$2:$A$1032,0))</f>
        <v>#N/A</v>
      </c>
      <c r="R311" t="e">
        <f>INDEX(Items!D$2:D$1032,MATCH($O311,Items!$A$2:$A$1032,0))</f>
        <v>#N/A</v>
      </c>
    </row>
    <row r="312" spans="1:18" x14ac:dyDescent="0.25">
      <c r="A312">
        <f t="shared" si="22"/>
        <v>1</v>
      </c>
      <c r="B312" t="str">
        <f t="shared" si="23"/>
        <v/>
      </c>
      <c r="C312">
        <f t="shared" si="25"/>
        <v>1</v>
      </c>
      <c r="D312" s="4"/>
      <c r="E312" t="s">
        <v>18</v>
      </c>
      <c r="F312" t="str">
        <f>INDEX(Establishment!B$2:B$1005,MATCH($E312,Establishment!$A$2:$A$1005,0))</f>
        <v xml:space="preserve"> </v>
      </c>
      <c r="G312" t="str">
        <f>INDEX(Establishment!C$2:C$1005,MATCH($E312,Establishment!$A$2:$A$1005,0))</f>
        <v xml:space="preserve"> </v>
      </c>
      <c r="M312">
        <f t="shared" si="26"/>
        <v>0</v>
      </c>
      <c r="N312">
        <f t="shared" si="24"/>
        <v>0</v>
      </c>
      <c r="P312" t="e">
        <f>INDEX(Items!B$2:B$1032,MATCH($O312,Items!$A$2:$A$1032,0))</f>
        <v>#N/A</v>
      </c>
      <c r="Q312" t="e">
        <f>INDEX(Items!C$2:C$1032,MATCH($O312,Items!$A$2:$A$1032,0))</f>
        <v>#N/A</v>
      </c>
      <c r="R312" t="e">
        <f>INDEX(Items!D$2:D$1032,MATCH($O312,Items!$A$2:$A$1032,0))</f>
        <v>#N/A</v>
      </c>
    </row>
    <row r="313" spans="1:18" x14ac:dyDescent="0.25">
      <c r="A313">
        <f t="shared" si="22"/>
        <v>1</v>
      </c>
      <c r="B313" t="str">
        <f t="shared" si="23"/>
        <v/>
      </c>
      <c r="C313">
        <f t="shared" si="25"/>
        <v>1</v>
      </c>
      <c r="D313" s="4"/>
      <c r="E313" t="s">
        <v>18</v>
      </c>
      <c r="F313" t="str">
        <f>INDEX(Establishment!B$2:B$1005,MATCH($E313,Establishment!$A$2:$A$1005,0))</f>
        <v xml:space="preserve"> </v>
      </c>
      <c r="G313" t="str">
        <f>INDEX(Establishment!C$2:C$1005,MATCH($E313,Establishment!$A$2:$A$1005,0))</f>
        <v xml:space="preserve"> </v>
      </c>
      <c r="M313">
        <f t="shared" si="26"/>
        <v>0</v>
      </c>
      <c r="N313">
        <f t="shared" si="24"/>
        <v>0</v>
      </c>
      <c r="P313" t="e">
        <f>INDEX(Items!B$2:B$1032,MATCH($O313,Items!$A$2:$A$1032,0))</f>
        <v>#N/A</v>
      </c>
      <c r="Q313" t="e">
        <f>INDEX(Items!C$2:C$1032,MATCH($O313,Items!$A$2:$A$1032,0))</f>
        <v>#N/A</v>
      </c>
      <c r="R313" t="e">
        <f>INDEX(Items!D$2:D$1032,MATCH($O313,Items!$A$2:$A$1032,0))</f>
        <v>#N/A</v>
      </c>
    </row>
    <row r="314" spans="1:18" x14ac:dyDescent="0.25">
      <c r="A314">
        <f t="shared" si="22"/>
        <v>1</v>
      </c>
      <c r="B314" t="str">
        <f t="shared" si="23"/>
        <v/>
      </c>
      <c r="C314">
        <f t="shared" si="25"/>
        <v>1</v>
      </c>
      <c r="D314" s="4"/>
      <c r="E314" t="s">
        <v>18</v>
      </c>
      <c r="F314" t="str">
        <f>INDEX(Establishment!B$2:B$1005,MATCH($E314,Establishment!$A$2:$A$1005,0))</f>
        <v xml:space="preserve"> </v>
      </c>
      <c r="G314" t="str">
        <f>INDEX(Establishment!C$2:C$1005,MATCH($E314,Establishment!$A$2:$A$1005,0))</f>
        <v xml:space="preserve"> </v>
      </c>
      <c r="M314">
        <f t="shared" si="26"/>
        <v>0</v>
      </c>
      <c r="N314">
        <f t="shared" si="24"/>
        <v>0</v>
      </c>
      <c r="P314" t="e">
        <f>INDEX(Items!B$2:B$1032,MATCH($O314,Items!$A$2:$A$1032,0))</f>
        <v>#N/A</v>
      </c>
      <c r="Q314" t="e">
        <f>INDEX(Items!C$2:C$1032,MATCH($O314,Items!$A$2:$A$1032,0))</f>
        <v>#N/A</v>
      </c>
      <c r="R314" t="e">
        <f>INDEX(Items!D$2:D$1032,MATCH($O314,Items!$A$2:$A$1032,0))</f>
        <v>#N/A</v>
      </c>
    </row>
    <row r="315" spans="1:18" x14ac:dyDescent="0.25">
      <c r="A315">
        <f t="shared" si="22"/>
        <v>1</v>
      </c>
      <c r="B315" t="str">
        <f t="shared" si="23"/>
        <v/>
      </c>
      <c r="C315">
        <f t="shared" si="25"/>
        <v>1</v>
      </c>
      <c r="D315" s="4"/>
      <c r="E315" t="s">
        <v>18</v>
      </c>
      <c r="F315" t="str">
        <f>INDEX(Establishment!B$2:B$1005,MATCH($E315,Establishment!$A$2:$A$1005,0))</f>
        <v xml:space="preserve"> </v>
      </c>
      <c r="G315" t="str">
        <f>INDEX(Establishment!C$2:C$1005,MATCH($E315,Establishment!$A$2:$A$1005,0))</f>
        <v xml:space="preserve"> </v>
      </c>
      <c r="M315">
        <f t="shared" si="26"/>
        <v>0</v>
      </c>
      <c r="N315">
        <f t="shared" si="24"/>
        <v>0</v>
      </c>
      <c r="P315" t="e">
        <f>INDEX(Items!B$2:B$1032,MATCH($O315,Items!$A$2:$A$1032,0))</f>
        <v>#N/A</v>
      </c>
      <c r="Q315" t="e">
        <f>INDEX(Items!C$2:C$1032,MATCH($O315,Items!$A$2:$A$1032,0))</f>
        <v>#N/A</v>
      </c>
      <c r="R315" t="e">
        <f>INDEX(Items!D$2:D$1032,MATCH($O315,Items!$A$2:$A$1032,0))</f>
        <v>#N/A</v>
      </c>
    </row>
    <row r="316" spans="1:18" x14ac:dyDescent="0.25">
      <c r="A316">
        <f t="shared" si="22"/>
        <v>1</v>
      </c>
      <c r="B316" t="str">
        <f t="shared" si="23"/>
        <v/>
      </c>
      <c r="C316">
        <f t="shared" si="25"/>
        <v>1</v>
      </c>
      <c r="D316" s="4"/>
      <c r="E316" t="s">
        <v>18</v>
      </c>
      <c r="F316" t="str">
        <f>INDEX(Establishment!B$2:B$1005,MATCH($E316,Establishment!$A$2:$A$1005,0))</f>
        <v xml:space="preserve"> </v>
      </c>
      <c r="G316" t="str">
        <f>INDEX(Establishment!C$2:C$1005,MATCH($E316,Establishment!$A$2:$A$1005,0))</f>
        <v xml:space="preserve"> </v>
      </c>
      <c r="M316">
        <f t="shared" si="26"/>
        <v>0</v>
      </c>
      <c r="N316">
        <f t="shared" si="24"/>
        <v>0</v>
      </c>
      <c r="P316" t="e">
        <f>INDEX(Items!B$2:B$1032,MATCH($O316,Items!$A$2:$A$1032,0))</f>
        <v>#N/A</v>
      </c>
      <c r="Q316" t="e">
        <f>INDEX(Items!C$2:C$1032,MATCH($O316,Items!$A$2:$A$1032,0))</f>
        <v>#N/A</v>
      </c>
      <c r="R316" t="e">
        <f>INDEX(Items!D$2:D$1032,MATCH($O316,Items!$A$2:$A$1032,0))</f>
        <v>#N/A</v>
      </c>
    </row>
    <row r="317" spans="1:18" x14ac:dyDescent="0.25">
      <c r="A317">
        <f t="shared" si="22"/>
        <v>1</v>
      </c>
      <c r="B317" t="str">
        <f t="shared" si="23"/>
        <v/>
      </c>
      <c r="C317">
        <f t="shared" si="25"/>
        <v>1</v>
      </c>
      <c r="D317" s="4"/>
      <c r="E317" t="s">
        <v>18</v>
      </c>
      <c r="F317" t="str">
        <f>INDEX(Establishment!B$2:B$1005,MATCH($E317,Establishment!$A$2:$A$1005,0))</f>
        <v xml:space="preserve"> </v>
      </c>
      <c r="G317" t="str">
        <f>INDEX(Establishment!C$2:C$1005,MATCH($E317,Establishment!$A$2:$A$1005,0))</f>
        <v xml:space="preserve"> </v>
      </c>
      <c r="M317">
        <f t="shared" si="26"/>
        <v>0</v>
      </c>
      <c r="N317">
        <f t="shared" si="24"/>
        <v>0</v>
      </c>
      <c r="P317" t="e">
        <f>INDEX(Items!B$2:B$1032,MATCH($O317,Items!$A$2:$A$1032,0))</f>
        <v>#N/A</v>
      </c>
      <c r="Q317" t="e">
        <f>INDEX(Items!C$2:C$1032,MATCH($O317,Items!$A$2:$A$1032,0))</f>
        <v>#N/A</v>
      </c>
      <c r="R317" t="e">
        <f>INDEX(Items!D$2:D$1032,MATCH($O317,Items!$A$2:$A$1032,0))</f>
        <v>#N/A</v>
      </c>
    </row>
    <row r="318" spans="1:18" x14ac:dyDescent="0.25">
      <c r="A318">
        <f t="shared" si="22"/>
        <v>1</v>
      </c>
      <c r="B318" t="str">
        <f t="shared" si="23"/>
        <v/>
      </c>
      <c r="C318">
        <f t="shared" si="25"/>
        <v>1</v>
      </c>
      <c r="D318" s="4"/>
      <c r="E318" t="s">
        <v>18</v>
      </c>
      <c r="F318" t="str">
        <f>INDEX(Establishment!B$2:B$1005,MATCH($E318,Establishment!$A$2:$A$1005,0))</f>
        <v xml:space="preserve"> </v>
      </c>
      <c r="G318" t="str">
        <f>INDEX(Establishment!C$2:C$1005,MATCH($E318,Establishment!$A$2:$A$1005,0))</f>
        <v xml:space="preserve"> </v>
      </c>
      <c r="M318">
        <f t="shared" si="26"/>
        <v>0</v>
      </c>
      <c r="N318">
        <f t="shared" si="24"/>
        <v>0</v>
      </c>
      <c r="P318" t="e">
        <f>INDEX(Items!B$2:B$1032,MATCH($O318,Items!$A$2:$A$1032,0))</f>
        <v>#N/A</v>
      </c>
      <c r="Q318" t="e">
        <f>INDEX(Items!C$2:C$1032,MATCH($O318,Items!$A$2:$A$1032,0))</f>
        <v>#N/A</v>
      </c>
      <c r="R318" t="e">
        <f>INDEX(Items!D$2:D$1032,MATCH($O318,Items!$A$2:$A$1032,0))</f>
        <v>#N/A</v>
      </c>
    </row>
    <row r="319" spans="1:18" x14ac:dyDescent="0.25">
      <c r="A319">
        <f t="shared" si="22"/>
        <v>1</v>
      </c>
      <c r="B319" t="str">
        <f t="shared" si="23"/>
        <v/>
      </c>
      <c r="C319">
        <f t="shared" si="25"/>
        <v>1</v>
      </c>
      <c r="D319" s="4"/>
      <c r="E319" t="s">
        <v>18</v>
      </c>
      <c r="F319" t="str">
        <f>INDEX(Establishment!B$2:B$1005,MATCH($E319,Establishment!$A$2:$A$1005,0))</f>
        <v xml:space="preserve"> </v>
      </c>
      <c r="G319" t="str">
        <f>INDEX(Establishment!C$2:C$1005,MATCH($E319,Establishment!$A$2:$A$1005,0))</f>
        <v xml:space="preserve"> </v>
      </c>
      <c r="M319">
        <f t="shared" si="26"/>
        <v>0</v>
      </c>
      <c r="N319">
        <f t="shared" si="24"/>
        <v>0</v>
      </c>
      <c r="P319" t="e">
        <f>INDEX(Items!B$2:B$1032,MATCH($O319,Items!$A$2:$A$1032,0))</f>
        <v>#N/A</v>
      </c>
      <c r="Q319" t="e">
        <f>INDEX(Items!C$2:C$1032,MATCH($O319,Items!$A$2:$A$1032,0))</f>
        <v>#N/A</v>
      </c>
      <c r="R319" t="e">
        <f>INDEX(Items!D$2:D$1032,MATCH($O319,Items!$A$2:$A$1032,0))</f>
        <v>#N/A</v>
      </c>
    </row>
    <row r="320" spans="1:18" x14ac:dyDescent="0.25">
      <c r="A320">
        <f t="shared" si="22"/>
        <v>1</v>
      </c>
      <c r="B320" t="str">
        <f t="shared" si="23"/>
        <v/>
      </c>
      <c r="C320">
        <f t="shared" si="25"/>
        <v>1</v>
      </c>
      <c r="D320" s="4"/>
      <c r="E320" t="s">
        <v>18</v>
      </c>
      <c r="F320" t="str">
        <f>INDEX(Establishment!B$2:B$1005,MATCH($E320,Establishment!$A$2:$A$1005,0))</f>
        <v xml:space="preserve"> </v>
      </c>
      <c r="G320" t="str">
        <f>INDEX(Establishment!C$2:C$1005,MATCH($E320,Establishment!$A$2:$A$1005,0))</f>
        <v xml:space="preserve"> </v>
      </c>
      <c r="M320">
        <f t="shared" si="26"/>
        <v>0</v>
      </c>
      <c r="N320">
        <f t="shared" si="24"/>
        <v>0</v>
      </c>
      <c r="P320" t="e">
        <f>INDEX(Items!B$2:B$1032,MATCH($O320,Items!$A$2:$A$1032,0))</f>
        <v>#N/A</v>
      </c>
      <c r="Q320" t="e">
        <f>INDEX(Items!C$2:C$1032,MATCH($O320,Items!$A$2:$A$1032,0))</f>
        <v>#N/A</v>
      </c>
      <c r="R320" t="e">
        <f>INDEX(Items!D$2:D$1032,MATCH($O320,Items!$A$2:$A$1032,0))</f>
        <v>#N/A</v>
      </c>
    </row>
    <row r="321" spans="1:18" x14ac:dyDescent="0.25">
      <c r="A321">
        <f t="shared" si="22"/>
        <v>1</v>
      </c>
      <c r="B321" t="str">
        <f t="shared" si="23"/>
        <v/>
      </c>
      <c r="C321">
        <f t="shared" si="25"/>
        <v>1</v>
      </c>
      <c r="D321" s="4"/>
      <c r="E321" t="s">
        <v>18</v>
      </c>
      <c r="F321" t="str">
        <f>INDEX(Establishment!B$2:B$1005,MATCH($E321,Establishment!$A$2:$A$1005,0))</f>
        <v xml:space="preserve"> </v>
      </c>
      <c r="G321" t="str">
        <f>INDEX(Establishment!C$2:C$1005,MATCH($E321,Establishment!$A$2:$A$1005,0))</f>
        <v xml:space="preserve"> </v>
      </c>
      <c r="M321">
        <f t="shared" si="26"/>
        <v>0</v>
      </c>
      <c r="N321">
        <f t="shared" si="24"/>
        <v>0</v>
      </c>
      <c r="P321" t="e">
        <f>INDEX(Items!B$2:B$1032,MATCH($O321,Items!$A$2:$A$1032,0))</f>
        <v>#N/A</v>
      </c>
      <c r="Q321" t="e">
        <f>INDEX(Items!C$2:C$1032,MATCH($O321,Items!$A$2:$A$1032,0))</f>
        <v>#N/A</v>
      </c>
      <c r="R321" t="e">
        <f>INDEX(Items!D$2:D$1032,MATCH($O321,Items!$A$2:$A$1032,0))</f>
        <v>#N/A</v>
      </c>
    </row>
    <row r="322" spans="1:18" x14ac:dyDescent="0.25">
      <c r="A322">
        <f t="shared" ref="A322:A385" si="27">IF(OR(D322&lt;&gt;D321,D322=""),1,IF(NOT(AND(E322=E321,F322=F321,G322=G321)),A321+1,IF(OR(H322="",AND(H322&lt;&gt;"",H322&lt;&gt;H321,H321&lt;&gt;"")),A321,A321+1)))</f>
        <v>1</v>
      </c>
      <c r="B322" t="str">
        <f t="shared" ref="B322:B385" si="28">IF(D322&lt;&gt;"",TEXT(D322,"YYYYMMDD")&amp;CHAR(64+A322),"")</f>
        <v/>
      </c>
      <c r="C322">
        <f t="shared" si="25"/>
        <v>1</v>
      </c>
      <c r="D322" s="4"/>
      <c r="E322" t="s">
        <v>18</v>
      </c>
      <c r="F322" t="str">
        <f>INDEX(Establishment!B$2:B$1005,MATCH($E322,Establishment!$A$2:$A$1005,0))</f>
        <v xml:space="preserve"> </v>
      </c>
      <c r="G322" t="str">
        <f>INDEX(Establishment!C$2:C$1005,MATCH($E322,Establishment!$A$2:$A$1005,0))</f>
        <v xml:space="preserve"> </v>
      </c>
      <c r="M322">
        <f t="shared" si="26"/>
        <v>0</v>
      </c>
      <c r="N322">
        <f t="shared" si="24"/>
        <v>0</v>
      </c>
      <c r="P322" t="e">
        <f>INDEX(Items!B$2:B$1032,MATCH($O322,Items!$A$2:$A$1032,0))</f>
        <v>#N/A</v>
      </c>
      <c r="Q322" t="e">
        <f>INDEX(Items!C$2:C$1032,MATCH($O322,Items!$A$2:$A$1032,0))</f>
        <v>#N/A</v>
      </c>
      <c r="R322" t="e">
        <f>INDEX(Items!D$2:D$1032,MATCH($O322,Items!$A$2:$A$1032,0))</f>
        <v>#N/A</v>
      </c>
    </row>
    <row r="323" spans="1:18" x14ac:dyDescent="0.25">
      <c r="A323">
        <f t="shared" si="27"/>
        <v>1</v>
      </c>
      <c r="B323" t="str">
        <f t="shared" si="28"/>
        <v/>
      </c>
      <c r="C323">
        <f t="shared" si="25"/>
        <v>1</v>
      </c>
      <c r="D323" s="4"/>
      <c r="E323" t="s">
        <v>18</v>
      </c>
      <c r="F323" t="str">
        <f>INDEX(Establishment!B$2:B$1005,MATCH($E323,Establishment!$A$2:$A$1005,0))</f>
        <v xml:space="preserve"> </v>
      </c>
      <c r="G323" t="str">
        <f>INDEX(Establishment!C$2:C$1005,MATCH($E323,Establishment!$A$2:$A$1005,0))</f>
        <v xml:space="preserve"> </v>
      </c>
      <c r="M323">
        <f t="shared" si="26"/>
        <v>0</v>
      </c>
      <c r="N323">
        <f t="shared" ref="N323:N386" si="29">IF(B323=B322,N322+M323,M323)</f>
        <v>0</v>
      </c>
      <c r="P323" t="e">
        <f>INDEX(Items!B$2:B$1032,MATCH($O323,Items!$A$2:$A$1032,0))</f>
        <v>#N/A</v>
      </c>
      <c r="Q323" t="e">
        <f>INDEX(Items!C$2:C$1032,MATCH($O323,Items!$A$2:$A$1032,0))</f>
        <v>#N/A</v>
      </c>
      <c r="R323" t="e">
        <f>INDEX(Items!D$2:D$1032,MATCH($O323,Items!$A$2:$A$1032,0))</f>
        <v>#N/A</v>
      </c>
    </row>
    <row r="324" spans="1:18" x14ac:dyDescent="0.25">
      <c r="A324">
        <f t="shared" si="27"/>
        <v>1</v>
      </c>
      <c r="B324" t="str">
        <f t="shared" si="28"/>
        <v/>
      </c>
      <c r="C324">
        <f t="shared" si="25"/>
        <v>1</v>
      </c>
      <c r="D324" s="4"/>
      <c r="E324" t="s">
        <v>18</v>
      </c>
      <c r="F324" t="str">
        <f>INDEX(Establishment!B$2:B$1005,MATCH($E324,Establishment!$A$2:$A$1005,0))</f>
        <v xml:space="preserve"> </v>
      </c>
      <c r="G324" t="str">
        <f>INDEX(Establishment!C$2:C$1005,MATCH($E324,Establishment!$A$2:$A$1005,0))</f>
        <v xml:space="preserve"> </v>
      </c>
      <c r="M324">
        <f t="shared" si="26"/>
        <v>0</v>
      </c>
      <c r="N324">
        <f t="shared" si="29"/>
        <v>0</v>
      </c>
      <c r="P324" t="e">
        <f>INDEX(Items!B$2:B$1032,MATCH($O324,Items!$A$2:$A$1032,0))</f>
        <v>#N/A</v>
      </c>
      <c r="Q324" t="e">
        <f>INDEX(Items!C$2:C$1032,MATCH($O324,Items!$A$2:$A$1032,0))</f>
        <v>#N/A</v>
      </c>
      <c r="R324" t="e">
        <f>INDEX(Items!D$2:D$1032,MATCH($O324,Items!$A$2:$A$1032,0))</f>
        <v>#N/A</v>
      </c>
    </row>
    <row r="325" spans="1:18" x14ac:dyDescent="0.25">
      <c r="A325">
        <f t="shared" si="27"/>
        <v>1</v>
      </c>
      <c r="B325" t="str">
        <f t="shared" si="28"/>
        <v/>
      </c>
      <c r="C325">
        <f t="shared" si="25"/>
        <v>1</v>
      </c>
      <c r="D325" s="4"/>
      <c r="E325" t="s">
        <v>18</v>
      </c>
      <c r="F325" t="str">
        <f>INDEX(Establishment!B$2:B$1005,MATCH($E325,Establishment!$A$2:$A$1005,0))</f>
        <v xml:space="preserve"> </v>
      </c>
      <c r="G325" t="str">
        <f>INDEX(Establishment!C$2:C$1005,MATCH($E325,Establishment!$A$2:$A$1005,0))</f>
        <v xml:space="preserve"> </v>
      </c>
      <c r="M325">
        <f t="shared" si="26"/>
        <v>0</v>
      </c>
      <c r="N325">
        <f t="shared" si="29"/>
        <v>0</v>
      </c>
      <c r="P325" t="e">
        <f>INDEX(Items!B$2:B$1032,MATCH($O325,Items!$A$2:$A$1032,0))</f>
        <v>#N/A</v>
      </c>
      <c r="Q325" t="e">
        <f>INDEX(Items!C$2:C$1032,MATCH($O325,Items!$A$2:$A$1032,0))</f>
        <v>#N/A</v>
      </c>
      <c r="R325" t="e">
        <f>INDEX(Items!D$2:D$1032,MATCH($O325,Items!$A$2:$A$1032,0))</f>
        <v>#N/A</v>
      </c>
    </row>
    <row r="326" spans="1:18" x14ac:dyDescent="0.25">
      <c r="A326">
        <f t="shared" si="27"/>
        <v>1</v>
      </c>
      <c r="B326" t="str">
        <f t="shared" si="28"/>
        <v/>
      </c>
      <c r="C326">
        <f t="shared" si="25"/>
        <v>1</v>
      </c>
      <c r="D326" s="4"/>
      <c r="E326" t="s">
        <v>18</v>
      </c>
      <c r="F326" t="str">
        <f>INDEX(Establishment!B$2:B$1005,MATCH($E326,Establishment!$A$2:$A$1005,0))</f>
        <v xml:space="preserve"> </v>
      </c>
      <c r="G326" t="str">
        <f>INDEX(Establishment!C$2:C$1005,MATCH($E326,Establishment!$A$2:$A$1005,0))</f>
        <v xml:space="preserve"> </v>
      </c>
      <c r="M326">
        <f t="shared" si="26"/>
        <v>0</v>
      </c>
      <c r="N326">
        <f t="shared" si="29"/>
        <v>0</v>
      </c>
      <c r="P326" t="e">
        <f>INDEX(Items!B$2:B$1032,MATCH($O326,Items!$A$2:$A$1032,0))</f>
        <v>#N/A</v>
      </c>
      <c r="Q326" t="e">
        <f>INDEX(Items!C$2:C$1032,MATCH($O326,Items!$A$2:$A$1032,0))</f>
        <v>#N/A</v>
      </c>
      <c r="R326" t="e">
        <f>INDEX(Items!D$2:D$1032,MATCH($O326,Items!$A$2:$A$1032,0))</f>
        <v>#N/A</v>
      </c>
    </row>
    <row r="327" spans="1:18" x14ac:dyDescent="0.25">
      <c r="A327">
        <f t="shared" si="27"/>
        <v>1</v>
      </c>
      <c r="B327" t="str">
        <f t="shared" si="28"/>
        <v/>
      </c>
      <c r="C327">
        <f t="shared" si="25"/>
        <v>1</v>
      </c>
      <c r="D327" s="4"/>
      <c r="E327" t="s">
        <v>18</v>
      </c>
      <c r="F327" t="str">
        <f>INDEX(Establishment!B$2:B$1005,MATCH($E327,Establishment!$A$2:$A$1005,0))</f>
        <v xml:space="preserve"> </v>
      </c>
      <c r="G327" t="str">
        <f>INDEX(Establishment!C$2:C$1005,MATCH($E327,Establishment!$A$2:$A$1005,0))</f>
        <v xml:space="preserve"> </v>
      </c>
      <c r="M327">
        <f t="shared" si="26"/>
        <v>0</v>
      </c>
      <c r="N327">
        <f t="shared" si="29"/>
        <v>0</v>
      </c>
      <c r="P327" t="e">
        <f>INDEX(Items!B$2:B$1032,MATCH($O327,Items!$A$2:$A$1032,0))</f>
        <v>#N/A</v>
      </c>
      <c r="Q327" t="e">
        <f>INDEX(Items!C$2:C$1032,MATCH($O327,Items!$A$2:$A$1032,0))</f>
        <v>#N/A</v>
      </c>
      <c r="R327" t="e">
        <f>INDEX(Items!D$2:D$1032,MATCH($O327,Items!$A$2:$A$1032,0))</f>
        <v>#N/A</v>
      </c>
    </row>
    <row r="328" spans="1:18" x14ac:dyDescent="0.25">
      <c r="A328">
        <f t="shared" si="27"/>
        <v>1</v>
      </c>
      <c r="B328" t="str">
        <f t="shared" si="28"/>
        <v/>
      </c>
      <c r="C328">
        <f t="shared" si="25"/>
        <v>1</v>
      </c>
      <c r="D328" s="4"/>
      <c r="E328" t="s">
        <v>18</v>
      </c>
      <c r="F328" t="str">
        <f>INDEX(Establishment!B$2:B$1005,MATCH($E328,Establishment!$A$2:$A$1005,0))</f>
        <v xml:space="preserve"> </v>
      </c>
      <c r="G328" t="str">
        <f>INDEX(Establishment!C$2:C$1005,MATCH($E328,Establishment!$A$2:$A$1005,0))</f>
        <v xml:space="preserve"> </v>
      </c>
      <c r="M328">
        <f t="shared" si="26"/>
        <v>0</v>
      </c>
      <c r="N328">
        <f t="shared" si="29"/>
        <v>0</v>
      </c>
      <c r="P328" t="e">
        <f>INDEX(Items!B$2:B$1032,MATCH($O328,Items!$A$2:$A$1032,0))</f>
        <v>#N/A</v>
      </c>
      <c r="Q328" t="e">
        <f>INDEX(Items!C$2:C$1032,MATCH($O328,Items!$A$2:$A$1032,0))</f>
        <v>#N/A</v>
      </c>
      <c r="R328" t="e">
        <f>INDEX(Items!D$2:D$1032,MATCH($O328,Items!$A$2:$A$1032,0))</f>
        <v>#N/A</v>
      </c>
    </row>
    <row r="329" spans="1:18" x14ac:dyDescent="0.25">
      <c r="A329">
        <f t="shared" si="27"/>
        <v>1</v>
      </c>
      <c r="B329" t="str">
        <f t="shared" si="28"/>
        <v/>
      </c>
      <c r="C329">
        <f t="shared" si="25"/>
        <v>1</v>
      </c>
      <c r="D329" s="4"/>
      <c r="E329" t="s">
        <v>18</v>
      </c>
      <c r="F329" t="str">
        <f>INDEX(Establishment!B$2:B$1005,MATCH($E329,Establishment!$A$2:$A$1005,0))</f>
        <v xml:space="preserve"> </v>
      </c>
      <c r="G329" t="str">
        <f>INDEX(Establishment!C$2:C$1005,MATCH($E329,Establishment!$A$2:$A$1005,0))</f>
        <v xml:space="preserve"> </v>
      </c>
      <c r="M329">
        <f t="shared" si="26"/>
        <v>0</v>
      </c>
      <c r="N329">
        <f t="shared" si="29"/>
        <v>0</v>
      </c>
      <c r="P329" t="e">
        <f>INDEX(Items!B$2:B$1032,MATCH($O329,Items!$A$2:$A$1032,0))</f>
        <v>#N/A</v>
      </c>
      <c r="Q329" t="e">
        <f>INDEX(Items!C$2:C$1032,MATCH($O329,Items!$A$2:$A$1032,0))</f>
        <v>#N/A</v>
      </c>
      <c r="R329" t="e">
        <f>INDEX(Items!D$2:D$1032,MATCH($O329,Items!$A$2:$A$1032,0))</f>
        <v>#N/A</v>
      </c>
    </row>
    <row r="330" spans="1:18" x14ac:dyDescent="0.25">
      <c r="A330">
        <f t="shared" si="27"/>
        <v>1</v>
      </c>
      <c r="B330" t="str">
        <f t="shared" si="28"/>
        <v/>
      </c>
      <c r="C330">
        <f t="shared" ref="C330:C393" si="30">IF(OR(B330="",B330&lt;&gt;B329),1,C329+1)</f>
        <v>1</v>
      </c>
      <c r="D330" s="4"/>
      <c r="E330" t="s">
        <v>18</v>
      </c>
      <c r="F330" t="str">
        <f>INDEX(Establishment!B$2:B$1005,MATCH($E330,Establishment!$A$2:$A$1005,0))</f>
        <v xml:space="preserve"> </v>
      </c>
      <c r="G330" t="str">
        <f>INDEX(Establishment!C$2:C$1005,MATCH($E330,Establishment!$A$2:$A$1005,0))</f>
        <v xml:space="preserve"> </v>
      </c>
      <c r="M330">
        <f t="shared" ref="M330:M393" si="31">K330*L330</f>
        <v>0</v>
      </c>
      <c r="N330">
        <f t="shared" si="29"/>
        <v>0</v>
      </c>
      <c r="P330" t="e">
        <f>INDEX(Items!B$2:B$1032,MATCH($O330,Items!$A$2:$A$1032,0))</f>
        <v>#N/A</v>
      </c>
      <c r="Q330" t="e">
        <f>INDEX(Items!C$2:C$1032,MATCH($O330,Items!$A$2:$A$1032,0))</f>
        <v>#N/A</v>
      </c>
      <c r="R330" t="e">
        <f>INDEX(Items!D$2:D$1032,MATCH($O330,Items!$A$2:$A$1032,0))</f>
        <v>#N/A</v>
      </c>
    </row>
    <row r="331" spans="1:18" x14ac:dyDescent="0.25">
      <c r="A331">
        <f t="shared" si="27"/>
        <v>1</v>
      </c>
      <c r="B331" t="str">
        <f t="shared" si="28"/>
        <v/>
      </c>
      <c r="C331">
        <f t="shared" si="30"/>
        <v>1</v>
      </c>
      <c r="D331" s="4"/>
      <c r="E331" t="s">
        <v>18</v>
      </c>
      <c r="F331" t="str">
        <f>INDEX(Establishment!B$2:B$1005,MATCH($E331,Establishment!$A$2:$A$1005,0))</f>
        <v xml:space="preserve"> </v>
      </c>
      <c r="G331" t="str">
        <f>INDEX(Establishment!C$2:C$1005,MATCH($E331,Establishment!$A$2:$A$1005,0))</f>
        <v xml:space="preserve"> </v>
      </c>
      <c r="M331">
        <f t="shared" si="31"/>
        <v>0</v>
      </c>
      <c r="N331">
        <f t="shared" si="29"/>
        <v>0</v>
      </c>
      <c r="P331" t="e">
        <f>INDEX(Items!B$2:B$1032,MATCH($O331,Items!$A$2:$A$1032,0))</f>
        <v>#N/A</v>
      </c>
      <c r="Q331" t="e">
        <f>INDEX(Items!C$2:C$1032,MATCH($O331,Items!$A$2:$A$1032,0))</f>
        <v>#N/A</v>
      </c>
      <c r="R331" t="e">
        <f>INDEX(Items!D$2:D$1032,MATCH($O331,Items!$A$2:$A$1032,0))</f>
        <v>#N/A</v>
      </c>
    </row>
    <row r="332" spans="1:18" x14ac:dyDescent="0.25">
      <c r="A332">
        <f t="shared" si="27"/>
        <v>1</v>
      </c>
      <c r="B332" t="str">
        <f t="shared" si="28"/>
        <v/>
      </c>
      <c r="C332">
        <f t="shared" si="30"/>
        <v>1</v>
      </c>
      <c r="D332" s="4"/>
      <c r="E332" t="s">
        <v>18</v>
      </c>
      <c r="F332" t="str">
        <f>INDEX(Establishment!B$2:B$1005,MATCH($E332,Establishment!$A$2:$A$1005,0))</f>
        <v xml:space="preserve"> </v>
      </c>
      <c r="G332" t="str">
        <f>INDEX(Establishment!C$2:C$1005,MATCH($E332,Establishment!$A$2:$A$1005,0))</f>
        <v xml:space="preserve"> </v>
      </c>
      <c r="M332">
        <f t="shared" si="31"/>
        <v>0</v>
      </c>
      <c r="N332">
        <f t="shared" si="29"/>
        <v>0</v>
      </c>
      <c r="P332" t="e">
        <f>INDEX(Items!B$2:B$1032,MATCH($O332,Items!$A$2:$A$1032,0))</f>
        <v>#N/A</v>
      </c>
      <c r="Q332" t="e">
        <f>INDEX(Items!C$2:C$1032,MATCH($O332,Items!$A$2:$A$1032,0))</f>
        <v>#N/A</v>
      </c>
      <c r="R332" t="e">
        <f>INDEX(Items!D$2:D$1032,MATCH($O332,Items!$A$2:$A$1032,0))</f>
        <v>#N/A</v>
      </c>
    </row>
    <row r="333" spans="1:18" x14ac:dyDescent="0.25">
      <c r="A333">
        <f t="shared" si="27"/>
        <v>1</v>
      </c>
      <c r="B333" t="str">
        <f t="shared" si="28"/>
        <v/>
      </c>
      <c r="C333">
        <f t="shared" si="30"/>
        <v>1</v>
      </c>
      <c r="D333" s="4"/>
      <c r="E333" t="s">
        <v>18</v>
      </c>
      <c r="F333" t="str">
        <f>INDEX(Establishment!B$2:B$1005,MATCH($E333,Establishment!$A$2:$A$1005,0))</f>
        <v xml:space="preserve"> </v>
      </c>
      <c r="G333" t="str">
        <f>INDEX(Establishment!C$2:C$1005,MATCH($E333,Establishment!$A$2:$A$1005,0))</f>
        <v xml:space="preserve"> </v>
      </c>
      <c r="M333">
        <f t="shared" si="31"/>
        <v>0</v>
      </c>
      <c r="N333">
        <f t="shared" si="29"/>
        <v>0</v>
      </c>
      <c r="P333" t="e">
        <f>INDEX(Items!B$2:B$1032,MATCH($O333,Items!$A$2:$A$1032,0))</f>
        <v>#N/A</v>
      </c>
      <c r="Q333" t="e">
        <f>INDEX(Items!C$2:C$1032,MATCH($O333,Items!$A$2:$A$1032,0))</f>
        <v>#N/A</v>
      </c>
      <c r="R333" t="e">
        <f>INDEX(Items!D$2:D$1032,MATCH($O333,Items!$A$2:$A$1032,0))</f>
        <v>#N/A</v>
      </c>
    </row>
    <row r="334" spans="1:18" x14ac:dyDescent="0.25">
      <c r="A334">
        <f t="shared" si="27"/>
        <v>1</v>
      </c>
      <c r="B334" t="str">
        <f t="shared" si="28"/>
        <v/>
      </c>
      <c r="C334">
        <f t="shared" si="30"/>
        <v>1</v>
      </c>
      <c r="D334" s="4"/>
      <c r="E334" t="s">
        <v>18</v>
      </c>
      <c r="F334" t="str">
        <f>INDEX(Establishment!B$2:B$1005,MATCH($E334,Establishment!$A$2:$A$1005,0))</f>
        <v xml:space="preserve"> </v>
      </c>
      <c r="G334" t="str">
        <f>INDEX(Establishment!C$2:C$1005,MATCH($E334,Establishment!$A$2:$A$1005,0))</f>
        <v xml:space="preserve"> </v>
      </c>
      <c r="M334">
        <f t="shared" si="31"/>
        <v>0</v>
      </c>
      <c r="N334">
        <f t="shared" si="29"/>
        <v>0</v>
      </c>
      <c r="P334" t="e">
        <f>INDEX(Items!B$2:B$1032,MATCH($O334,Items!$A$2:$A$1032,0))</f>
        <v>#N/A</v>
      </c>
      <c r="Q334" t="e">
        <f>INDEX(Items!C$2:C$1032,MATCH($O334,Items!$A$2:$A$1032,0))</f>
        <v>#N/A</v>
      </c>
      <c r="R334" t="e">
        <f>INDEX(Items!D$2:D$1032,MATCH($O334,Items!$A$2:$A$1032,0))</f>
        <v>#N/A</v>
      </c>
    </row>
    <row r="335" spans="1:18" x14ac:dyDescent="0.25">
      <c r="A335">
        <f t="shared" si="27"/>
        <v>1</v>
      </c>
      <c r="B335" t="str">
        <f t="shared" si="28"/>
        <v/>
      </c>
      <c r="C335">
        <f t="shared" si="30"/>
        <v>1</v>
      </c>
      <c r="D335" s="4"/>
      <c r="E335" t="s">
        <v>18</v>
      </c>
      <c r="F335" t="str">
        <f>INDEX(Establishment!B$2:B$1005,MATCH($E335,Establishment!$A$2:$A$1005,0))</f>
        <v xml:space="preserve"> </v>
      </c>
      <c r="G335" t="str">
        <f>INDEX(Establishment!C$2:C$1005,MATCH($E335,Establishment!$A$2:$A$1005,0))</f>
        <v xml:space="preserve"> </v>
      </c>
      <c r="M335">
        <f t="shared" si="31"/>
        <v>0</v>
      </c>
      <c r="N335">
        <f t="shared" si="29"/>
        <v>0</v>
      </c>
      <c r="P335" t="e">
        <f>INDEX(Items!B$2:B$1032,MATCH($O335,Items!$A$2:$A$1032,0))</f>
        <v>#N/A</v>
      </c>
      <c r="Q335" t="e">
        <f>INDEX(Items!C$2:C$1032,MATCH($O335,Items!$A$2:$A$1032,0))</f>
        <v>#N/A</v>
      </c>
      <c r="R335" t="e">
        <f>INDEX(Items!D$2:D$1032,MATCH($O335,Items!$A$2:$A$1032,0))</f>
        <v>#N/A</v>
      </c>
    </row>
    <row r="336" spans="1:18" x14ac:dyDescent="0.25">
      <c r="A336">
        <f t="shared" si="27"/>
        <v>1</v>
      </c>
      <c r="B336" t="str">
        <f t="shared" si="28"/>
        <v/>
      </c>
      <c r="C336">
        <f t="shared" si="30"/>
        <v>1</v>
      </c>
      <c r="D336" s="4"/>
      <c r="E336" t="s">
        <v>18</v>
      </c>
      <c r="F336" t="str">
        <f>INDEX(Establishment!B$2:B$1005,MATCH($E336,Establishment!$A$2:$A$1005,0))</f>
        <v xml:space="preserve"> </v>
      </c>
      <c r="G336" t="str">
        <f>INDEX(Establishment!C$2:C$1005,MATCH($E336,Establishment!$A$2:$A$1005,0))</f>
        <v xml:space="preserve"> </v>
      </c>
      <c r="M336">
        <f t="shared" si="31"/>
        <v>0</v>
      </c>
      <c r="N336">
        <f t="shared" si="29"/>
        <v>0</v>
      </c>
      <c r="P336" t="e">
        <f>INDEX(Items!B$2:B$1032,MATCH($O336,Items!$A$2:$A$1032,0))</f>
        <v>#N/A</v>
      </c>
      <c r="Q336" t="e">
        <f>INDEX(Items!C$2:C$1032,MATCH($O336,Items!$A$2:$A$1032,0))</f>
        <v>#N/A</v>
      </c>
      <c r="R336" t="e">
        <f>INDEX(Items!D$2:D$1032,MATCH($O336,Items!$A$2:$A$1032,0))</f>
        <v>#N/A</v>
      </c>
    </row>
    <row r="337" spans="1:18" x14ac:dyDescent="0.25">
      <c r="A337">
        <f t="shared" si="27"/>
        <v>1</v>
      </c>
      <c r="B337" t="str">
        <f t="shared" si="28"/>
        <v/>
      </c>
      <c r="C337">
        <f t="shared" si="30"/>
        <v>1</v>
      </c>
      <c r="D337" s="4"/>
      <c r="E337" t="s">
        <v>18</v>
      </c>
      <c r="F337" t="str">
        <f>INDEX(Establishment!B$2:B$1005,MATCH($E337,Establishment!$A$2:$A$1005,0))</f>
        <v xml:space="preserve"> </v>
      </c>
      <c r="G337" t="str">
        <f>INDEX(Establishment!C$2:C$1005,MATCH($E337,Establishment!$A$2:$A$1005,0))</f>
        <v xml:space="preserve"> </v>
      </c>
      <c r="M337">
        <f t="shared" si="31"/>
        <v>0</v>
      </c>
      <c r="N337">
        <f t="shared" si="29"/>
        <v>0</v>
      </c>
      <c r="P337" t="e">
        <f>INDEX(Items!B$2:B$1032,MATCH($O337,Items!$A$2:$A$1032,0))</f>
        <v>#N/A</v>
      </c>
      <c r="Q337" t="e">
        <f>INDEX(Items!C$2:C$1032,MATCH($O337,Items!$A$2:$A$1032,0))</f>
        <v>#N/A</v>
      </c>
      <c r="R337" t="e">
        <f>INDEX(Items!D$2:D$1032,MATCH($O337,Items!$A$2:$A$1032,0))</f>
        <v>#N/A</v>
      </c>
    </row>
    <row r="338" spans="1:18" x14ac:dyDescent="0.25">
      <c r="A338">
        <f t="shared" si="27"/>
        <v>1</v>
      </c>
      <c r="B338" t="str">
        <f t="shared" si="28"/>
        <v/>
      </c>
      <c r="C338">
        <f t="shared" si="30"/>
        <v>1</v>
      </c>
      <c r="D338" s="4"/>
      <c r="E338" t="s">
        <v>18</v>
      </c>
      <c r="F338" t="str">
        <f>INDEX(Establishment!B$2:B$1005,MATCH($E338,Establishment!$A$2:$A$1005,0))</f>
        <v xml:space="preserve"> </v>
      </c>
      <c r="G338" t="str">
        <f>INDEX(Establishment!C$2:C$1005,MATCH($E338,Establishment!$A$2:$A$1005,0))</f>
        <v xml:space="preserve"> </v>
      </c>
      <c r="M338">
        <f t="shared" si="31"/>
        <v>0</v>
      </c>
      <c r="N338">
        <f t="shared" si="29"/>
        <v>0</v>
      </c>
      <c r="P338" t="e">
        <f>INDEX(Items!B$2:B$1032,MATCH($O338,Items!$A$2:$A$1032,0))</f>
        <v>#N/A</v>
      </c>
      <c r="Q338" t="e">
        <f>INDEX(Items!C$2:C$1032,MATCH($O338,Items!$A$2:$A$1032,0))</f>
        <v>#N/A</v>
      </c>
      <c r="R338" t="e">
        <f>INDEX(Items!D$2:D$1032,MATCH($O338,Items!$A$2:$A$1032,0))</f>
        <v>#N/A</v>
      </c>
    </row>
    <row r="339" spans="1:18" x14ac:dyDescent="0.25">
      <c r="A339">
        <f t="shared" si="27"/>
        <v>1</v>
      </c>
      <c r="B339" t="str">
        <f t="shared" si="28"/>
        <v/>
      </c>
      <c r="C339">
        <f t="shared" si="30"/>
        <v>1</v>
      </c>
      <c r="D339" s="4"/>
      <c r="E339" t="s">
        <v>18</v>
      </c>
      <c r="F339" t="str">
        <f>INDEX(Establishment!B$2:B$1005,MATCH($E339,Establishment!$A$2:$A$1005,0))</f>
        <v xml:space="preserve"> </v>
      </c>
      <c r="G339" t="str">
        <f>INDEX(Establishment!C$2:C$1005,MATCH($E339,Establishment!$A$2:$A$1005,0))</f>
        <v xml:space="preserve"> </v>
      </c>
      <c r="M339">
        <f t="shared" si="31"/>
        <v>0</v>
      </c>
      <c r="N339">
        <f t="shared" si="29"/>
        <v>0</v>
      </c>
      <c r="P339" t="e">
        <f>INDEX(Items!B$2:B$1032,MATCH($O339,Items!$A$2:$A$1032,0))</f>
        <v>#N/A</v>
      </c>
      <c r="Q339" t="e">
        <f>INDEX(Items!C$2:C$1032,MATCH($O339,Items!$A$2:$A$1032,0))</f>
        <v>#N/A</v>
      </c>
      <c r="R339" t="e">
        <f>INDEX(Items!D$2:D$1032,MATCH($O339,Items!$A$2:$A$1032,0))</f>
        <v>#N/A</v>
      </c>
    </row>
    <row r="340" spans="1:18" x14ac:dyDescent="0.25">
      <c r="A340">
        <f t="shared" si="27"/>
        <v>1</v>
      </c>
      <c r="B340" t="str">
        <f t="shared" si="28"/>
        <v/>
      </c>
      <c r="C340">
        <f t="shared" si="30"/>
        <v>1</v>
      </c>
      <c r="D340" s="4"/>
      <c r="E340" t="s">
        <v>18</v>
      </c>
      <c r="F340" t="str">
        <f>INDEX(Establishment!B$2:B$1005,MATCH($E340,Establishment!$A$2:$A$1005,0))</f>
        <v xml:space="preserve"> </v>
      </c>
      <c r="G340" t="str">
        <f>INDEX(Establishment!C$2:C$1005,MATCH($E340,Establishment!$A$2:$A$1005,0))</f>
        <v xml:space="preserve"> </v>
      </c>
      <c r="M340">
        <f t="shared" si="31"/>
        <v>0</v>
      </c>
      <c r="N340">
        <f t="shared" si="29"/>
        <v>0</v>
      </c>
      <c r="P340" t="e">
        <f>INDEX(Items!B$2:B$1032,MATCH($O340,Items!$A$2:$A$1032,0))</f>
        <v>#N/A</v>
      </c>
      <c r="Q340" t="e">
        <f>INDEX(Items!C$2:C$1032,MATCH($O340,Items!$A$2:$A$1032,0))</f>
        <v>#N/A</v>
      </c>
      <c r="R340" t="e">
        <f>INDEX(Items!D$2:D$1032,MATCH($O340,Items!$A$2:$A$1032,0))</f>
        <v>#N/A</v>
      </c>
    </row>
    <row r="341" spans="1:18" x14ac:dyDescent="0.25">
      <c r="A341">
        <f t="shared" si="27"/>
        <v>1</v>
      </c>
      <c r="B341" t="str">
        <f t="shared" si="28"/>
        <v/>
      </c>
      <c r="C341">
        <f t="shared" si="30"/>
        <v>1</v>
      </c>
      <c r="D341" s="4"/>
      <c r="E341" t="s">
        <v>18</v>
      </c>
      <c r="F341" t="str">
        <f>INDEX(Establishment!B$2:B$1005,MATCH($E341,Establishment!$A$2:$A$1005,0))</f>
        <v xml:space="preserve"> </v>
      </c>
      <c r="G341" t="str">
        <f>INDEX(Establishment!C$2:C$1005,MATCH($E341,Establishment!$A$2:$A$1005,0))</f>
        <v xml:space="preserve"> </v>
      </c>
      <c r="M341">
        <f t="shared" si="31"/>
        <v>0</v>
      </c>
      <c r="N341">
        <f t="shared" si="29"/>
        <v>0</v>
      </c>
      <c r="P341" t="e">
        <f>INDEX(Items!B$2:B$1032,MATCH($O341,Items!$A$2:$A$1032,0))</f>
        <v>#N/A</v>
      </c>
      <c r="Q341" t="e">
        <f>INDEX(Items!C$2:C$1032,MATCH($O341,Items!$A$2:$A$1032,0))</f>
        <v>#N/A</v>
      </c>
      <c r="R341" t="e">
        <f>INDEX(Items!D$2:D$1032,MATCH($O341,Items!$A$2:$A$1032,0))</f>
        <v>#N/A</v>
      </c>
    </row>
    <row r="342" spans="1:18" x14ac:dyDescent="0.25">
      <c r="A342">
        <f t="shared" si="27"/>
        <v>1</v>
      </c>
      <c r="B342" t="str">
        <f t="shared" si="28"/>
        <v/>
      </c>
      <c r="C342">
        <f t="shared" si="30"/>
        <v>1</v>
      </c>
      <c r="D342" s="4"/>
      <c r="E342" t="s">
        <v>18</v>
      </c>
      <c r="F342" t="str">
        <f>INDEX(Establishment!B$2:B$1005,MATCH($E342,Establishment!$A$2:$A$1005,0))</f>
        <v xml:space="preserve"> </v>
      </c>
      <c r="G342" t="str">
        <f>INDEX(Establishment!C$2:C$1005,MATCH($E342,Establishment!$A$2:$A$1005,0))</f>
        <v xml:space="preserve"> </v>
      </c>
      <c r="M342">
        <f t="shared" si="31"/>
        <v>0</v>
      </c>
      <c r="N342">
        <f t="shared" si="29"/>
        <v>0</v>
      </c>
      <c r="P342" t="e">
        <f>INDEX(Items!B$2:B$1032,MATCH($O342,Items!$A$2:$A$1032,0))</f>
        <v>#N/A</v>
      </c>
      <c r="Q342" t="e">
        <f>INDEX(Items!C$2:C$1032,MATCH($O342,Items!$A$2:$A$1032,0))</f>
        <v>#N/A</v>
      </c>
      <c r="R342" t="e">
        <f>INDEX(Items!D$2:D$1032,MATCH($O342,Items!$A$2:$A$1032,0))</f>
        <v>#N/A</v>
      </c>
    </row>
    <row r="343" spans="1:18" x14ac:dyDescent="0.25">
      <c r="A343">
        <f t="shared" si="27"/>
        <v>1</v>
      </c>
      <c r="B343" t="str">
        <f t="shared" si="28"/>
        <v/>
      </c>
      <c r="C343">
        <f t="shared" si="30"/>
        <v>1</v>
      </c>
      <c r="D343" s="4"/>
      <c r="E343" t="s">
        <v>18</v>
      </c>
      <c r="F343" t="str">
        <f>INDEX(Establishment!B$2:B$1005,MATCH($E343,Establishment!$A$2:$A$1005,0))</f>
        <v xml:space="preserve"> </v>
      </c>
      <c r="G343" t="str">
        <f>INDEX(Establishment!C$2:C$1005,MATCH($E343,Establishment!$A$2:$A$1005,0))</f>
        <v xml:space="preserve"> </v>
      </c>
      <c r="M343">
        <f t="shared" si="31"/>
        <v>0</v>
      </c>
      <c r="N343">
        <f t="shared" si="29"/>
        <v>0</v>
      </c>
      <c r="P343" t="e">
        <f>INDEX(Items!B$2:B$1032,MATCH($O343,Items!$A$2:$A$1032,0))</f>
        <v>#N/A</v>
      </c>
      <c r="Q343" t="e">
        <f>INDEX(Items!C$2:C$1032,MATCH($O343,Items!$A$2:$A$1032,0))</f>
        <v>#N/A</v>
      </c>
      <c r="R343" t="e">
        <f>INDEX(Items!D$2:D$1032,MATCH($O343,Items!$A$2:$A$1032,0))</f>
        <v>#N/A</v>
      </c>
    </row>
    <row r="344" spans="1:18" x14ac:dyDescent="0.25">
      <c r="A344">
        <f t="shared" si="27"/>
        <v>1</v>
      </c>
      <c r="B344" t="str">
        <f t="shared" si="28"/>
        <v/>
      </c>
      <c r="C344">
        <f t="shared" si="30"/>
        <v>1</v>
      </c>
      <c r="D344" s="4"/>
      <c r="E344" t="s">
        <v>18</v>
      </c>
      <c r="F344" t="str">
        <f>INDEX(Establishment!B$2:B$1005,MATCH($E344,Establishment!$A$2:$A$1005,0))</f>
        <v xml:space="preserve"> </v>
      </c>
      <c r="G344" t="str">
        <f>INDEX(Establishment!C$2:C$1005,MATCH($E344,Establishment!$A$2:$A$1005,0))</f>
        <v xml:space="preserve"> </v>
      </c>
      <c r="M344">
        <f t="shared" si="31"/>
        <v>0</v>
      </c>
      <c r="N344">
        <f t="shared" si="29"/>
        <v>0</v>
      </c>
      <c r="P344" t="e">
        <f>INDEX(Items!B$2:B$1032,MATCH($O344,Items!$A$2:$A$1032,0))</f>
        <v>#N/A</v>
      </c>
      <c r="Q344" t="e">
        <f>INDEX(Items!C$2:C$1032,MATCH($O344,Items!$A$2:$A$1032,0))</f>
        <v>#N/A</v>
      </c>
      <c r="R344" t="e">
        <f>INDEX(Items!D$2:D$1032,MATCH($O344,Items!$A$2:$A$1032,0))</f>
        <v>#N/A</v>
      </c>
    </row>
    <row r="345" spans="1:18" x14ac:dyDescent="0.25">
      <c r="A345">
        <f t="shared" si="27"/>
        <v>1</v>
      </c>
      <c r="B345" t="str">
        <f t="shared" si="28"/>
        <v/>
      </c>
      <c r="C345">
        <f t="shared" si="30"/>
        <v>1</v>
      </c>
      <c r="D345" s="4"/>
      <c r="E345" t="s">
        <v>18</v>
      </c>
      <c r="F345" t="str">
        <f>INDEX(Establishment!B$2:B$1005,MATCH($E345,Establishment!$A$2:$A$1005,0))</f>
        <v xml:space="preserve"> </v>
      </c>
      <c r="G345" t="str">
        <f>INDEX(Establishment!C$2:C$1005,MATCH($E345,Establishment!$A$2:$A$1005,0))</f>
        <v xml:space="preserve"> </v>
      </c>
      <c r="M345">
        <f t="shared" si="31"/>
        <v>0</v>
      </c>
      <c r="N345">
        <f t="shared" si="29"/>
        <v>0</v>
      </c>
      <c r="P345" t="e">
        <f>INDEX(Items!B$2:B$1032,MATCH($O345,Items!$A$2:$A$1032,0))</f>
        <v>#N/A</v>
      </c>
      <c r="Q345" t="e">
        <f>INDEX(Items!C$2:C$1032,MATCH($O345,Items!$A$2:$A$1032,0))</f>
        <v>#N/A</v>
      </c>
      <c r="R345" t="e">
        <f>INDEX(Items!D$2:D$1032,MATCH($O345,Items!$A$2:$A$1032,0))</f>
        <v>#N/A</v>
      </c>
    </row>
    <row r="346" spans="1:18" x14ac:dyDescent="0.25">
      <c r="A346">
        <f t="shared" si="27"/>
        <v>1</v>
      </c>
      <c r="B346" t="str">
        <f t="shared" si="28"/>
        <v/>
      </c>
      <c r="C346">
        <f t="shared" si="30"/>
        <v>1</v>
      </c>
      <c r="D346" s="4"/>
      <c r="E346" t="s">
        <v>18</v>
      </c>
      <c r="F346" t="str">
        <f>INDEX(Establishment!B$2:B$1005,MATCH($E346,Establishment!$A$2:$A$1005,0))</f>
        <v xml:space="preserve"> </v>
      </c>
      <c r="G346" t="str">
        <f>INDEX(Establishment!C$2:C$1005,MATCH($E346,Establishment!$A$2:$A$1005,0))</f>
        <v xml:space="preserve"> </v>
      </c>
      <c r="M346">
        <f t="shared" si="31"/>
        <v>0</v>
      </c>
      <c r="N346">
        <f t="shared" si="29"/>
        <v>0</v>
      </c>
      <c r="P346" t="e">
        <f>INDEX(Items!B$2:B$1032,MATCH($O346,Items!$A$2:$A$1032,0))</f>
        <v>#N/A</v>
      </c>
      <c r="Q346" t="e">
        <f>INDEX(Items!C$2:C$1032,MATCH($O346,Items!$A$2:$A$1032,0))</f>
        <v>#N/A</v>
      </c>
      <c r="R346" t="e">
        <f>INDEX(Items!D$2:D$1032,MATCH($O346,Items!$A$2:$A$1032,0))</f>
        <v>#N/A</v>
      </c>
    </row>
    <row r="347" spans="1:18" x14ac:dyDescent="0.25">
      <c r="A347">
        <f t="shared" si="27"/>
        <v>1</v>
      </c>
      <c r="B347" t="str">
        <f t="shared" si="28"/>
        <v/>
      </c>
      <c r="C347">
        <f t="shared" si="30"/>
        <v>1</v>
      </c>
      <c r="D347" s="4"/>
      <c r="E347" t="s">
        <v>18</v>
      </c>
      <c r="F347" t="str">
        <f>INDEX(Establishment!B$2:B$1005,MATCH($E347,Establishment!$A$2:$A$1005,0))</f>
        <v xml:space="preserve"> </v>
      </c>
      <c r="G347" t="str">
        <f>INDEX(Establishment!C$2:C$1005,MATCH($E347,Establishment!$A$2:$A$1005,0))</f>
        <v xml:space="preserve"> </v>
      </c>
      <c r="M347">
        <f t="shared" si="31"/>
        <v>0</v>
      </c>
      <c r="N347">
        <f t="shared" si="29"/>
        <v>0</v>
      </c>
      <c r="P347" t="e">
        <f>INDEX(Items!B$2:B$1032,MATCH($O347,Items!$A$2:$A$1032,0))</f>
        <v>#N/A</v>
      </c>
      <c r="Q347" t="e">
        <f>INDEX(Items!C$2:C$1032,MATCH($O347,Items!$A$2:$A$1032,0))</f>
        <v>#N/A</v>
      </c>
      <c r="R347" t="e">
        <f>INDEX(Items!D$2:D$1032,MATCH($O347,Items!$A$2:$A$1032,0))</f>
        <v>#N/A</v>
      </c>
    </row>
    <row r="348" spans="1:18" x14ac:dyDescent="0.25">
      <c r="A348">
        <f t="shared" si="27"/>
        <v>1</v>
      </c>
      <c r="B348" t="str">
        <f t="shared" si="28"/>
        <v/>
      </c>
      <c r="C348">
        <f t="shared" si="30"/>
        <v>1</v>
      </c>
      <c r="D348" s="4"/>
      <c r="E348" t="s">
        <v>18</v>
      </c>
      <c r="F348" t="str">
        <f>INDEX(Establishment!B$2:B$1005,MATCH($E348,Establishment!$A$2:$A$1005,0))</f>
        <v xml:space="preserve"> </v>
      </c>
      <c r="G348" t="str">
        <f>INDEX(Establishment!C$2:C$1005,MATCH($E348,Establishment!$A$2:$A$1005,0))</f>
        <v xml:space="preserve"> </v>
      </c>
      <c r="M348">
        <f t="shared" si="31"/>
        <v>0</v>
      </c>
      <c r="N348">
        <f t="shared" si="29"/>
        <v>0</v>
      </c>
      <c r="P348" t="e">
        <f>INDEX(Items!B$2:B$1032,MATCH($O348,Items!$A$2:$A$1032,0))</f>
        <v>#N/A</v>
      </c>
      <c r="Q348" t="e">
        <f>INDEX(Items!C$2:C$1032,MATCH($O348,Items!$A$2:$A$1032,0))</f>
        <v>#N/A</v>
      </c>
      <c r="R348" t="e">
        <f>INDEX(Items!D$2:D$1032,MATCH($O348,Items!$A$2:$A$1032,0))</f>
        <v>#N/A</v>
      </c>
    </row>
    <row r="349" spans="1:18" x14ac:dyDescent="0.25">
      <c r="A349">
        <f t="shared" si="27"/>
        <v>1</v>
      </c>
      <c r="B349" t="str">
        <f t="shared" si="28"/>
        <v/>
      </c>
      <c r="C349">
        <f t="shared" si="30"/>
        <v>1</v>
      </c>
      <c r="D349" s="4"/>
      <c r="E349" t="s">
        <v>18</v>
      </c>
      <c r="F349" t="str">
        <f>INDEX(Establishment!B$2:B$1005,MATCH($E349,Establishment!$A$2:$A$1005,0))</f>
        <v xml:space="preserve"> </v>
      </c>
      <c r="G349" t="str">
        <f>INDEX(Establishment!C$2:C$1005,MATCH($E349,Establishment!$A$2:$A$1005,0))</f>
        <v xml:space="preserve"> </v>
      </c>
      <c r="M349">
        <f t="shared" si="31"/>
        <v>0</v>
      </c>
      <c r="N349">
        <f t="shared" si="29"/>
        <v>0</v>
      </c>
      <c r="P349" t="e">
        <f>INDEX(Items!B$2:B$1032,MATCH($O349,Items!$A$2:$A$1032,0))</f>
        <v>#N/A</v>
      </c>
      <c r="Q349" t="e">
        <f>INDEX(Items!C$2:C$1032,MATCH($O349,Items!$A$2:$A$1032,0))</f>
        <v>#N/A</v>
      </c>
      <c r="R349" t="e">
        <f>INDEX(Items!D$2:D$1032,MATCH($O349,Items!$A$2:$A$1032,0))</f>
        <v>#N/A</v>
      </c>
    </row>
    <row r="350" spans="1:18" x14ac:dyDescent="0.25">
      <c r="A350">
        <f t="shared" si="27"/>
        <v>1</v>
      </c>
      <c r="B350" t="str">
        <f t="shared" si="28"/>
        <v/>
      </c>
      <c r="C350">
        <f t="shared" si="30"/>
        <v>1</v>
      </c>
      <c r="D350" s="4"/>
      <c r="E350" t="s">
        <v>18</v>
      </c>
      <c r="F350" t="str">
        <f>INDEX(Establishment!B$2:B$1005,MATCH($E350,Establishment!$A$2:$A$1005,0))</f>
        <v xml:space="preserve"> </v>
      </c>
      <c r="G350" t="str">
        <f>INDEX(Establishment!C$2:C$1005,MATCH($E350,Establishment!$A$2:$A$1005,0))</f>
        <v xml:space="preserve"> </v>
      </c>
      <c r="M350">
        <f t="shared" si="31"/>
        <v>0</v>
      </c>
      <c r="N350">
        <f t="shared" si="29"/>
        <v>0</v>
      </c>
      <c r="P350" t="e">
        <f>INDEX(Items!B$2:B$1032,MATCH($O350,Items!$A$2:$A$1032,0))</f>
        <v>#N/A</v>
      </c>
      <c r="Q350" t="e">
        <f>INDEX(Items!C$2:C$1032,MATCH($O350,Items!$A$2:$A$1032,0))</f>
        <v>#N/A</v>
      </c>
      <c r="R350" t="e">
        <f>INDEX(Items!D$2:D$1032,MATCH($O350,Items!$A$2:$A$1032,0))</f>
        <v>#N/A</v>
      </c>
    </row>
    <row r="351" spans="1:18" x14ac:dyDescent="0.25">
      <c r="A351">
        <f t="shared" si="27"/>
        <v>1</v>
      </c>
      <c r="B351" t="str">
        <f t="shared" si="28"/>
        <v/>
      </c>
      <c r="C351">
        <f t="shared" si="30"/>
        <v>1</v>
      </c>
      <c r="D351" s="4"/>
      <c r="E351" t="s">
        <v>18</v>
      </c>
      <c r="F351" t="str">
        <f>INDEX(Establishment!B$2:B$1005,MATCH($E351,Establishment!$A$2:$A$1005,0))</f>
        <v xml:space="preserve"> </v>
      </c>
      <c r="G351" t="str">
        <f>INDEX(Establishment!C$2:C$1005,MATCH($E351,Establishment!$A$2:$A$1005,0))</f>
        <v xml:space="preserve"> </v>
      </c>
      <c r="M351">
        <f t="shared" si="31"/>
        <v>0</v>
      </c>
      <c r="N351">
        <f t="shared" si="29"/>
        <v>0</v>
      </c>
      <c r="P351" t="e">
        <f>INDEX(Items!B$2:B$1032,MATCH($O351,Items!$A$2:$A$1032,0))</f>
        <v>#N/A</v>
      </c>
      <c r="Q351" t="e">
        <f>INDEX(Items!C$2:C$1032,MATCH($O351,Items!$A$2:$A$1032,0))</f>
        <v>#N/A</v>
      </c>
      <c r="R351" t="e">
        <f>INDEX(Items!D$2:D$1032,MATCH($O351,Items!$A$2:$A$1032,0))</f>
        <v>#N/A</v>
      </c>
    </row>
    <row r="352" spans="1:18" x14ac:dyDescent="0.25">
      <c r="A352">
        <f t="shared" si="27"/>
        <v>1</v>
      </c>
      <c r="B352" t="str">
        <f t="shared" si="28"/>
        <v/>
      </c>
      <c r="C352">
        <f t="shared" si="30"/>
        <v>1</v>
      </c>
      <c r="D352" s="4"/>
      <c r="E352" t="s">
        <v>18</v>
      </c>
      <c r="F352" t="str">
        <f>INDEX(Establishment!B$2:B$1005,MATCH($E352,Establishment!$A$2:$A$1005,0))</f>
        <v xml:space="preserve"> </v>
      </c>
      <c r="G352" t="str">
        <f>INDEX(Establishment!C$2:C$1005,MATCH($E352,Establishment!$A$2:$A$1005,0))</f>
        <v xml:space="preserve"> </v>
      </c>
      <c r="M352">
        <f t="shared" si="31"/>
        <v>0</v>
      </c>
      <c r="N352">
        <f t="shared" si="29"/>
        <v>0</v>
      </c>
      <c r="P352" t="e">
        <f>INDEX(Items!B$2:B$1032,MATCH($O352,Items!$A$2:$A$1032,0))</f>
        <v>#N/A</v>
      </c>
      <c r="Q352" t="e">
        <f>INDEX(Items!C$2:C$1032,MATCH($O352,Items!$A$2:$A$1032,0))</f>
        <v>#N/A</v>
      </c>
      <c r="R352" t="e">
        <f>INDEX(Items!D$2:D$1032,MATCH($O352,Items!$A$2:$A$1032,0))</f>
        <v>#N/A</v>
      </c>
    </row>
    <row r="353" spans="1:18" x14ac:dyDescent="0.25">
      <c r="A353">
        <f t="shared" si="27"/>
        <v>1</v>
      </c>
      <c r="B353" t="str">
        <f t="shared" si="28"/>
        <v/>
      </c>
      <c r="C353">
        <f t="shared" si="30"/>
        <v>1</v>
      </c>
      <c r="D353" s="4"/>
      <c r="E353" t="s">
        <v>18</v>
      </c>
      <c r="F353" t="str">
        <f>INDEX(Establishment!B$2:B$1005,MATCH($E353,Establishment!$A$2:$A$1005,0))</f>
        <v xml:space="preserve"> </v>
      </c>
      <c r="G353" t="str">
        <f>INDEX(Establishment!C$2:C$1005,MATCH($E353,Establishment!$A$2:$A$1005,0))</f>
        <v xml:space="preserve"> </v>
      </c>
      <c r="M353">
        <f t="shared" si="31"/>
        <v>0</v>
      </c>
      <c r="N353">
        <f t="shared" si="29"/>
        <v>0</v>
      </c>
      <c r="P353" t="e">
        <f>INDEX(Items!B$2:B$1032,MATCH($O353,Items!$A$2:$A$1032,0))</f>
        <v>#N/A</v>
      </c>
      <c r="Q353" t="e">
        <f>INDEX(Items!C$2:C$1032,MATCH($O353,Items!$A$2:$A$1032,0))</f>
        <v>#N/A</v>
      </c>
      <c r="R353" t="e">
        <f>INDEX(Items!D$2:D$1032,MATCH($O353,Items!$A$2:$A$1032,0))</f>
        <v>#N/A</v>
      </c>
    </row>
    <row r="354" spans="1:18" x14ac:dyDescent="0.25">
      <c r="A354">
        <f t="shared" si="27"/>
        <v>1</v>
      </c>
      <c r="B354" t="str">
        <f t="shared" si="28"/>
        <v/>
      </c>
      <c r="C354">
        <f t="shared" si="30"/>
        <v>1</v>
      </c>
      <c r="D354" s="4"/>
      <c r="E354" t="s">
        <v>18</v>
      </c>
      <c r="F354" t="str">
        <f>INDEX(Establishment!B$2:B$1005,MATCH($E354,Establishment!$A$2:$A$1005,0))</f>
        <v xml:space="preserve"> </v>
      </c>
      <c r="G354" t="str">
        <f>INDEX(Establishment!C$2:C$1005,MATCH($E354,Establishment!$A$2:$A$1005,0))</f>
        <v xml:space="preserve"> </v>
      </c>
      <c r="M354">
        <f t="shared" si="31"/>
        <v>0</v>
      </c>
      <c r="N354">
        <f t="shared" si="29"/>
        <v>0</v>
      </c>
      <c r="P354" t="e">
        <f>INDEX(Items!B$2:B$1032,MATCH($O354,Items!$A$2:$A$1032,0))</f>
        <v>#N/A</v>
      </c>
      <c r="Q354" t="e">
        <f>INDEX(Items!C$2:C$1032,MATCH($O354,Items!$A$2:$A$1032,0))</f>
        <v>#N/A</v>
      </c>
      <c r="R354" t="e">
        <f>INDEX(Items!D$2:D$1032,MATCH($O354,Items!$A$2:$A$1032,0))</f>
        <v>#N/A</v>
      </c>
    </row>
    <row r="355" spans="1:18" x14ac:dyDescent="0.25">
      <c r="A355">
        <f t="shared" si="27"/>
        <v>1</v>
      </c>
      <c r="B355" t="str">
        <f t="shared" si="28"/>
        <v/>
      </c>
      <c r="C355">
        <f t="shared" si="30"/>
        <v>1</v>
      </c>
      <c r="D355" s="4"/>
      <c r="E355" t="s">
        <v>18</v>
      </c>
      <c r="F355" t="str">
        <f>INDEX(Establishment!B$2:B$1005,MATCH($E355,Establishment!$A$2:$A$1005,0))</f>
        <v xml:space="preserve"> </v>
      </c>
      <c r="G355" t="str">
        <f>INDEX(Establishment!C$2:C$1005,MATCH($E355,Establishment!$A$2:$A$1005,0))</f>
        <v xml:space="preserve"> </v>
      </c>
      <c r="M355">
        <f t="shared" si="31"/>
        <v>0</v>
      </c>
      <c r="N355">
        <f t="shared" si="29"/>
        <v>0</v>
      </c>
      <c r="P355" t="e">
        <f>INDEX(Items!B$2:B$1032,MATCH($O355,Items!$A$2:$A$1032,0))</f>
        <v>#N/A</v>
      </c>
      <c r="Q355" t="e">
        <f>INDEX(Items!C$2:C$1032,MATCH($O355,Items!$A$2:$A$1032,0))</f>
        <v>#N/A</v>
      </c>
      <c r="R355" t="e">
        <f>INDEX(Items!D$2:D$1032,MATCH($O355,Items!$A$2:$A$1032,0))</f>
        <v>#N/A</v>
      </c>
    </row>
    <row r="356" spans="1:18" x14ac:dyDescent="0.25">
      <c r="A356">
        <f t="shared" si="27"/>
        <v>1</v>
      </c>
      <c r="B356" t="str">
        <f t="shared" si="28"/>
        <v/>
      </c>
      <c r="C356">
        <f t="shared" si="30"/>
        <v>1</v>
      </c>
      <c r="D356" s="4"/>
      <c r="E356" t="s">
        <v>18</v>
      </c>
      <c r="F356" t="str">
        <f>INDEX(Establishment!B$2:B$1005,MATCH($E356,Establishment!$A$2:$A$1005,0))</f>
        <v xml:space="preserve"> </v>
      </c>
      <c r="G356" t="str">
        <f>INDEX(Establishment!C$2:C$1005,MATCH($E356,Establishment!$A$2:$A$1005,0))</f>
        <v xml:space="preserve"> </v>
      </c>
      <c r="M356">
        <f t="shared" si="31"/>
        <v>0</v>
      </c>
      <c r="N356">
        <f t="shared" si="29"/>
        <v>0</v>
      </c>
      <c r="P356" t="e">
        <f>INDEX(Items!B$2:B$1032,MATCH($O356,Items!$A$2:$A$1032,0))</f>
        <v>#N/A</v>
      </c>
      <c r="Q356" t="e">
        <f>INDEX(Items!C$2:C$1032,MATCH($O356,Items!$A$2:$A$1032,0))</f>
        <v>#N/A</v>
      </c>
      <c r="R356" t="e">
        <f>INDEX(Items!D$2:D$1032,MATCH($O356,Items!$A$2:$A$1032,0))</f>
        <v>#N/A</v>
      </c>
    </row>
    <row r="357" spans="1:18" x14ac:dyDescent="0.25">
      <c r="A357">
        <f t="shared" si="27"/>
        <v>1</v>
      </c>
      <c r="B357" t="str">
        <f t="shared" si="28"/>
        <v/>
      </c>
      <c r="C357">
        <f t="shared" si="30"/>
        <v>1</v>
      </c>
      <c r="D357" s="4"/>
      <c r="E357" t="s">
        <v>18</v>
      </c>
      <c r="F357" t="str">
        <f>INDEX(Establishment!B$2:B$1005,MATCH($E357,Establishment!$A$2:$A$1005,0))</f>
        <v xml:space="preserve"> </v>
      </c>
      <c r="G357" t="str">
        <f>INDEX(Establishment!C$2:C$1005,MATCH($E357,Establishment!$A$2:$A$1005,0))</f>
        <v xml:space="preserve"> </v>
      </c>
      <c r="M357">
        <f t="shared" si="31"/>
        <v>0</v>
      </c>
      <c r="N357">
        <f t="shared" si="29"/>
        <v>0</v>
      </c>
      <c r="P357" t="e">
        <f>INDEX(Items!B$2:B$1032,MATCH($O357,Items!$A$2:$A$1032,0))</f>
        <v>#N/A</v>
      </c>
      <c r="Q357" t="e">
        <f>INDEX(Items!C$2:C$1032,MATCH($O357,Items!$A$2:$A$1032,0))</f>
        <v>#N/A</v>
      </c>
      <c r="R357" t="e">
        <f>INDEX(Items!D$2:D$1032,MATCH($O357,Items!$A$2:$A$1032,0))</f>
        <v>#N/A</v>
      </c>
    </row>
    <row r="358" spans="1:18" x14ac:dyDescent="0.25">
      <c r="A358">
        <f t="shared" si="27"/>
        <v>1</v>
      </c>
      <c r="B358" t="str">
        <f t="shared" si="28"/>
        <v/>
      </c>
      <c r="C358">
        <f t="shared" si="30"/>
        <v>1</v>
      </c>
      <c r="D358" s="4"/>
      <c r="E358" t="s">
        <v>18</v>
      </c>
      <c r="F358" t="str">
        <f>INDEX(Establishment!B$2:B$1005,MATCH($E358,Establishment!$A$2:$A$1005,0))</f>
        <v xml:space="preserve"> </v>
      </c>
      <c r="G358" t="str">
        <f>INDEX(Establishment!C$2:C$1005,MATCH($E358,Establishment!$A$2:$A$1005,0))</f>
        <v xml:space="preserve"> </v>
      </c>
      <c r="M358">
        <f t="shared" si="31"/>
        <v>0</v>
      </c>
      <c r="N358">
        <f t="shared" si="29"/>
        <v>0</v>
      </c>
      <c r="P358" t="e">
        <f>INDEX(Items!B$2:B$1032,MATCH($O358,Items!$A$2:$A$1032,0))</f>
        <v>#N/A</v>
      </c>
      <c r="Q358" t="e">
        <f>INDEX(Items!C$2:C$1032,MATCH($O358,Items!$A$2:$A$1032,0))</f>
        <v>#N/A</v>
      </c>
      <c r="R358" t="e">
        <f>INDEX(Items!D$2:D$1032,MATCH($O358,Items!$A$2:$A$1032,0))</f>
        <v>#N/A</v>
      </c>
    </row>
    <row r="359" spans="1:18" x14ac:dyDescent="0.25">
      <c r="A359">
        <f t="shared" si="27"/>
        <v>1</v>
      </c>
      <c r="B359" t="str">
        <f t="shared" si="28"/>
        <v/>
      </c>
      <c r="C359">
        <f t="shared" si="30"/>
        <v>1</v>
      </c>
      <c r="D359" s="4"/>
      <c r="E359" t="s">
        <v>18</v>
      </c>
      <c r="F359" t="str">
        <f>INDEX(Establishment!B$2:B$1005,MATCH($E359,Establishment!$A$2:$A$1005,0))</f>
        <v xml:space="preserve"> </v>
      </c>
      <c r="G359" t="str">
        <f>INDEX(Establishment!C$2:C$1005,MATCH($E359,Establishment!$A$2:$A$1005,0))</f>
        <v xml:space="preserve"> </v>
      </c>
      <c r="M359">
        <f t="shared" si="31"/>
        <v>0</v>
      </c>
      <c r="N359">
        <f t="shared" si="29"/>
        <v>0</v>
      </c>
      <c r="P359" t="e">
        <f>INDEX(Items!B$2:B$1032,MATCH($O359,Items!$A$2:$A$1032,0))</f>
        <v>#N/A</v>
      </c>
      <c r="Q359" t="e">
        <f>INDEX(Items!C$2:C$1032,MATCH($O359,Items!$A$2:$A$1032,0))</f>
        <v>#N/A</v>
      </c>
      <c r="R359" t="e">
        <f>INDEX(Items!D$2:D$1032,MATCH($O359,Items!$A$2:$A$1032,0))</f>
        <v>#N/A</v>
      </c>
    </row>
    <row r="360" spans="1:18" x14ac:dyDescent="0.25">
      <c r="A360">
        <f t="shared" si="27"/>
        <v>1</v>
      </c>
      <c r="B360" t="str">
        <f t="shared" si="28"/>
        <v/>
      </c>
      <c r="C360">
        <f t="shared" si="30"/>
        <v>1</v>
      </c>
      <c r="D360" s="4"/>
      <c r="E360" t="s">
        <v>18</v>
      </c>
      <c r="F360" t="str">
        <f>INDEX(Establishment!B$2:B$1005,MATCH($E360,Establishment!$A$2:$A$1005,0))</f>
        <v xml:space="preserve"> </v>
      </c>
      <c r="G360" t="str">
        <f>INDEX(Establishment!C$2:C$1005,MATCH($E360,Establishment!$A$2:$A$1005,0))</f>
        <v xml:space="preserve"> </v>
      </c>
      <c r="M360">
        <f t="shared" si="31"/>
        <v>0</v>
      </c>
      <c r="N360">
        <f t="shared" si="29"/>
        <v>0</v>
      </c>
      <c r="P360" t="e">
        <f>INDEX(Items!B$2:B$1032,MATCH($O360,Items!$A$2:$A$1032,0))</f>
        <v>#N/A</v>
      </c>
      <c r="Q360" t="e">
        <f>INDEX(Items!C$2:C$1032,MATCH($O360,Items!$A$2:$A$1032,0))</f>
        <v>#N/A</v>
      </c>
      <c r="R360" t="e">
        <f>INDEX(Items!D$2:D$1032,MATCH($O360,Items!$A$2:$A$1032,0))</f>
        <v>#N/A</v>
      </c>
    </row>
    <row r="361" spans="1:18" x14ac:dyDescent="0.25">
      <c r="A361">
        <f t="shared" si="27"/>
        <v>1</v>
      </c>
      <c r="B361" t="str">
        <f t="shared" si="28"/>
        <v/>
      </c>
      <c r="C361">
        <f t="shared" si="30"/>
        <v>1</v>
      </c>
      <c r="D361" s="4"/>
      <c r="E361" t="s">
        <v>18</v>
      </c>
      <c r="F361" t="str">
        <f>INDEX(Establishment!B$2:B$1005,MATCH($E361,Establishment!$A$2:$A$1005,0))</f>
        <v xml:space="preserve"> </v>
      </c>
      <c r="G361" t="str">
        <f>INDEX(Establishment!C$2:C$1005,MATCH($E361,Establishment!$A$2:$A$1005,0))</f>
        <v xml:space="preserve"> </v>
      </c>
      <c r="M361">
        <f t="shared" si="31"/>
        <v>0</v>
      </c>
      <c r="N361">
        <f t="shared" si="29"/>
        <v>0</v>
      </c>
      <c r="P361" t="e">
        <f>INDEX(Items!B$2:B$1032,MATCH($O361,Items!$A$2:$A$1032,0))</f>
        <v>#N/A</v>
      </c>
      <c r="Q361" t="e">
        <f>INDEX(Items!C$2:C$1032,MATCH($O361,Items!$A$2:$A$1032,0))</f>
        <v>#N/A</v>
      </c>
      <c r="R361" t="e">
        <f>INDEX(Items!D$2:D$1032,MATCH($O361,Items!$A$2:$A$1032,0))</f>
        <v>#N/A</v>
      </c>
    </row>
    <row r="362" spans="1:18" x14ac:dyDescent="0.25">
      <c r="A362">
        <f t="shared" si="27"/>
        <v>1</v>
      </c>
      <c r="B362" t="str">
        <f t="shared" si="28"/>
        <v/>
      </c>
      <c r="C362">
        <f t="shared" si="30"/>
        <v>1</v>
      </c>
      <c r="D362" s="4"/>
      <c r="E362" t="s">
        <v>18</v>
      </c>
      <c r="F362" t="str">
        <f>INDEX(Establishment!B$2:B$1005,MATCH($E362,Establishment!$A$2:$A$1005,0))</f>
        <v xml:space="preserve"> </v>
      </c>
      <c r="G362" t="str">
        <f>INDEX(Establishment!C$2:C$1005,MATCH($E362,Establishment!$A$2:$A$1005,0))</f>
        <v xml:space="preserve"> </v>
      </c>
      <c r="M362">
        <f t="shared" si="31"/>
        <v>0</v>
      </c>
      <c r="N362">
        <f t="shared" si="29"/>
        <v>0</v>
      </c>
      <c r="P362" t="e">
        <f>INDEX(Items!B$2:B$1032,MATCH($O362,Items!$A$2:$A$1032,0))</f>
        <v>#N/A</v>
      </c>
      <c r="Q362" t="e">
        <f>INDEX(Items!C$2:C$1032,MATCH($O362,Items!$A$2:$A$1032,0))</f>
        <v>#N/A</v>
      </c>
      <c r="R362" t="e">
        <f>INDEX(Items!D$2:D$1032,MATCH($O362,Items!$A$2:$A$1032,0))</f>
        <v>#N/A</v>
      </c>
    </row>
    <row r="363" spans="1:18" x14ac:dyDescent="0.25">
      <c r="A363">
        <f t="shared" si="27"/>
        <v>1</v>
      </c>
      <c r="B363" t="str">
        <f t="shared" si="28"/>
        <v/>
      </c>
      <c r="C363">
        <f t="shared" si="30"/>
        <v>1</v>
      </c>
      <c r="D363" s="4"/>
      <c r="E363" t="s">
        <v>18</v>
      </c>
      <c r="F363" t="str">
        <f>INDEX(Establishment!B$2:B$1005,MATCH($E363,Establishment!$A$2:$A$1005,0))</f>
        <v xml:space="preserve"> </v>
      </c>
      <c r="G363" t="str">
        <f>INDEX(Establishment!C$2:C$1005,MATCH($E363,Establishment!$A$2:$A$1005,0))</f>
        <v xml:space="preserve"> </v>
      </c>
      <c r="M363">
        <f t="shared" si="31"/>
        <v>0</v>
      </c>
      <c r="N363">
        <f t="shared" si="29"/>
        <v>0</v>
      </c>
      <c r="P363" t="e">
        <f>INDEX(Items!B$2:B$1032,MATCH($O363,Items!$A$2:$A$1032,0))</f>
        <v>#N/A</v>
      </c>
      <c r="Q363" t="e">
        <f>INDEX(Items!C$2:C$1032,MATCH($O363,Items!$A$2:$A$1032,0))</f>
        <v>#N/A</v>
      </c>
      <c r="R363" t="e">
        <f>INDEX(Items!D$2:D$1032,MATCH($O363,Items!$A$2:$A$1032,0))</f>
        <v>#N/A</v>
      </c>
    </row>
    <row r="364" spans="1:18" x14ac:dyDescent="0.25">
      <c r="A364">
        <f t="shared" si="27"/>
        <v>1</v>
      </c>
      <c r="B364" t="str">
        <f t="shared" si="28"/>
        <v/>
      </c>
      <c r="C364">
        <f t="shared" si="30"/>
        <v>1</v>
      </c>
      <c r="D364" s="4"/>
      <c r="E364" t="s">
        <v>18</v>
      </c>
      <c r="F364" t="str">
        <f>INDEX(Establishment!B$2:B$1005,MATCH($E364,Establishment!$A$2:$A$1005,0))</f>
        <v xml:space="preserve"> </v>
      </c>
      <c r="G364" t="str">
        <f>INDEX(Establishment!C$2:C$1005,MATCH($E364,Establishment!$A$2:$A$1005,0))</f>
        <v xml:space="preserve"> </v>
      </c>
      <c r="M364">
        <f t="shared" si="31"/>
        <v>0</v>
      </c>
      <c r="N364">
        <f t="shared" si="29"/>
        <v>0</v>
      </c>
      <c r="P364" t="e">
        <f>INDEX(Items!B$2:B$1032,MATCH($O364,Items!$A$2:$A$1032,0))</f>
        <v>#N/A</v>
      </c>
      <c r="Q364" t="e">
        <f>INDEX(Items!C$2:C$1032,MATCH($O364,Items!$A$2:$A$1032,0))</f>
        <v>#N/A</v>
      </c>
      <c r="R364" t="e">
        <f>INDEX(Items!D$2:D$1032,MATCH($O364,Items!$A$2:$A$1032,0))</f>
        <v>#N/A</v>
      </c>
    </row>
    <row r="365" spans="1:18" x14ac:dyDescent="0.25">
      <c r="A365">
        <f t="shared" si="27"/>
        <v>1</v>
      </c>
      <c r="B365" t="str">
        <f t="shared" si="28"/>
        <v/>
      </c>
      <c r="C365">
        <f t="shared" si="30"/>
        <v>1</v>
      </c>
      <c r="D365" s="4"/>
      <c r="E365" t="s">
        <v>18</v>
      </c>
      <c r="F365" t="str">
        <f>INDEX(Establishment!B$2:B$1005,MATCH($E365,Establishment!$A$2:$A$1005,0))</f>
        <v xml:space="preserve"> </v>
      </c>
      <c r="G365" t="str">
        <f>INDEX(Establishment!C$2:C$1005,MATCH($E365,Establishment!$A$2:$A$1005,0))</f>
        <v xml:space="preserve"> </v>
      </c>
      <c r="M365">
        <f t="shared" si="31"/>
        <v>0</v>
      </c>
      <c r="N365">
        <f t="shared" si="29"/>
        <v>0</v>
      </c>
      <c r="P365" t="e">
        <f>INDEX(Items!B$2:B$1032,MATCH($O365,Items!$A$2:$A$1032,0))</f>
        <v>#N/A</v>
      </c>
      <c r="Q365" t="e">
        <f>INDEX(Items!C$2:C$1032,MATCH($O365,Items!$A$2:$A$1032,0))</f>
        <v>#N/A</v>
      </c>
      <c r="R365" t="e">
        <f>INDEX(Items!D$2:D$1032,MATCH($O365,Items!$A$2:$A$1032,0))</f>
        <v>#N/A</v>
      </c>
    </row>
    <row r="366" spans="1:18" x14ac:dyDescent="0.25">
      <c r="A366">
        <f t="shared" si="27"/>
        <v>1</v>
      </c>
      <c r="B366" t="str">
        <f t="shared" si="28"/>
        <v/>
      </c>
      <c r="C366">
        <f t="shared" si="30"/>
        <v>1</v>
      </c>
      <c r="D366" s="4"/>
      <c r="E366" t="s">
        <v>18</v>
      </c>
      <c r="F366" t="str">
        <f>INDEX(Establishment!B$2:B$1005,MATCH($E366,Establishment!$A$2:$A$1005,0))</f>
        <v xml:space="preserve"> </v>
      </c>
      <c r="G366" t="str">
        <f>INDEX(Establishment!C$2:C$1005,MATCH($E366,Establishment!$A$2:$A$1005,0))</f>
        <v xml:space="preserve"> </v>
      </c>
      <c r="M366">
        <f t="shared" si="31"/>
        <v>0</v>
      </c>
      <c r="N366">
        <f t="shared" si="29"/>
        <v>0</v>
      </c>
      <c r="P366" t="e">
        <f>INDEX(Items!B$2:B$1032,MATCH($O366,Items!$A$2:$A$1032,0))</f>
        <v>#N/A</v>
      </c>
      <c r="Q366" t="e">
        <f>INDEX(Items!C$2:C$1032,MATCH($O366,Items!$A$2:$A$1032,0))</f>
        <v>#N/A</v>
      </c>
      <c r="R366" t="e">
        <f>INDEX(Items!D$2:D$1032,MATCH($O366,Items!$A$2:$A$1032,0))</f>
        <v>#N/A</v>
      </c>
    </row>
    <row r="367" spans="1:18" x14ac:dyDescent="0.25">
      <c r="A367">
        <f t="shared" si="27"/>
        <v>1</v>
      </c>
      <c r="B367" t="str">
        <f t="shared" si="28"/>
        <v/>
      </c>
      <c r="C367">
        <f t="shared" si="30"/>
        <v>1</v>
      </c>
      <c r="D367" s="4"/>
      <c r="E367" t="s">
        <v>18</v>
      </c>
      <c r="F367" t="str">
        <f>INDEX(Establishment!B$2:B$1005,MATCH($E367,Establishment!$A$2:$A$1005,0))</f>
        <v xml:space="preserve"> </v>
      </c>
      <c r="G367" t="str">
        <f>INDEX(Establishment!C$2:C$1005,MATCH($E367,Establishment!$A$2:$A$1005,0))</f>
        <v xml:space="preserve"> </v>
      </c>
      <c r="M367">
        <f t="shared" si="31"/>
        <v>0</v>
      </c>
      <c r="N367">
        <f t="shared" si="29"/>
        <v>0</v>
      </c>
      <c r="P367" t="e">
        <f>INDEX(Items!B$2:B$1032,MATCH($O367,Items!$A$2:$A$1032,0))</f>
        <v>#N/A</v>
      </c>
      <c r="Q367" t="e">
        <f>INDEX(Items!C$2:C$1032,MATCH($O367,Items!$A$2:$A$1032,0))</f>
        <v>#N/A</v>
      </c>
      <c r="R367" t="e">
        <f>INDEX(Items!D$2:D$1032,MATCH($O367,Items!$A$2:$A$1032,0))</f>
        <v>#N/A</v>
      </c>
    </row>
    <row r="368" spans="1:18" x14ac:dyDescent="0.25">
      <c r="A368">
        <f t="shared" si="27"/>
        <v>1</v>
      </c>
      <c r="B368" t="str">
        <f t="shared" si="28"/>
        <v/>
      </c>
      <c r="C368">
        <f t="shared" si="30"/>
        <v>1</v>
      </c>
      <c r="D368" s="4"/>
      <c r="E368" t="s">
        <v>18</v>
      </c>
      <c r="F368" t="str">
        <f>INDEX(Establishment!B$2:B$1005,MATCH($E368,Establishment!$A$2:$A$1005,0))</f>
        <v xml:space="preserve"> </v>
      </c>
      <c r="G368" t="str">
        <f>INDEX(Establishment!C$2:C$1005,MATCH($E368,Establishment!$A$2:$A$1005,0))</f>
        <v xml:space="preserve"> </v>
      </c>
      <c r="M368">
        <f t="shared" si="31"/>
        <v>0</v>
      </c>
      <c r="N368">
        <f t="shared" si="29"/>
        <v>0</v>
      </c>
      <c r="P368" t="e">
        <f>INDEX(Items!B$2:B$1032,MATCH($O368,Items!$A$2:$A$1032,0))</f>
        <v>#N/A</v>
      </c>
      <c r="Q368" t="e">
        <f>INDEX(Items!C$2:C$1032,MATCH($O368,Items!$A$2:$A$1032,0))</f>
        <v>#N/A</v>
      </c>
      <c r="R368" t="e">
        <f>INDEX(Items!D$2:D$1032,MATCH($O368,Items!$A$2:$A$1032,0))</f>
        <v>#N/A</v>
      </c>
    </row>
    <row r="369" spans="1:18" x14ac:dyDescent="0.25">
      <c r="A369">
        <f t="shared" si="27"/>
        <v>1</v>
      </c>
      <c r="B369" t="str">
        <f t="shared" si="28"/>
        <v/>
      </c>
      <c r="C369">
        <f t="shared" si="30"/>
        <v>1</v>
      </c>
      <c r="D369" s="4"/>
      <c r="E369" t="s">
        <v>18</v>
      </c>
      <c r="F369" t="str">
        <f>INDEX(Establishment!B$2:B$1005,MATCH($E369,Establishment!$A$2:$A$1005,0))</f>
        <v xml:space="preserve"> </v>
      </c>
      <c r="G369" t="str">
        <f>INDEX(Establishment!C$2:C$1005,MATCH($E369,Establishment!$A$2:$A$1005,0))</f>
        <v xml:space="preserve"> </v>
      </c>
      <c r="M369">
        <f t="shared" si="31"/>
        <v>0</v>
      </c>
      <c r="N369">
        <f t="shared" si="29"/>
        <v>0</v>
      </c>
      <c r="P369" t="e">
        <f>INDEX(Items!B$2:B$1032,MATCH($O369,Items!$A$2:$A$1032,0))</f>
        <v>#N/A</v>
      </c>
      <c r="Q369" t="e">
        <f>INDEX(Items!C$2:C$1032,MATCH($O369,Items!$A$2:$A$1032,0))</f>
        <v>#N/A</v>
      </c>
      <c r="R369" t="e">
        <f>INDEX(Items!D$2:D$1032,MATCH($O369,Items!$A$2:$A$1032,0))</f>
        <v>#N/A</v>
      </c>
    </row>
    <row r="370" spans="1:18" x14ac:dyDescent="0.25">
      <c r="A370">
        <f t="shared" si="27"/>
        <v>1</v>
      </c>
      <c r="B370" t="str">
        <f t="shared" si="28"/>
        <v/>
      </c>
      <c r="C370">
        <f t="shared" si="30"/>
        <v>1</v>
      </c>
      <c r="D370" s="4"/>
      <c r="E370" t="s">
        <v>18</v>
      </c>
      <c r="F370" t="str">
        <f>INDEX(Establishment!B$2:B$1005,MATCH($E370,Establishment!$A$2:$A$1005,0))</f>
        <v xml:space="preserve"> </v>
      </c>
      <c r="G370" t="str">
        <f>INDEX(Establishment!C$2:C$1005,MATCH($E370,Establishment!$A$2:$A$1005,0))</f>
        <v xml:space="preserve"> </v>
      </c>
      <c r="M370">
        <f t="shared" si="31"/>
        <v>0</v>
      </c>
      <c r="N370">
        <f t="shared" si="29"/>
        <v>0</v>
      </c>
      <c r="P370" t="e">
        <f>INDEX(Items!B$2:B$1032,MATCH($O370,Items!$A$2:$A$1032,0))</f>
        <v>#N/A</v>
      </c>
      <c r="Q370" t="e">
        <f>INDEX(Items!C$2:C$1032,MATCH($O370,Items!$A$2:$A$1032,0))</f>
        <v>#N/A</v>
      </c>
      <c r="R370" t="e">
        <f>INDEX(Items!D$2:D$1032,MATCH($O370,Items!$A$2:$A$1032,0))</f>
        <v>#N/A</v>
      </c>
    </row>
    <row r="371" spans="1:18" x14ac:dyDescent="0.25">
      <c r="A371">
        <f t="shared" si="27"/>
        <v>1</v>
      </c>
      <c r="B371" t="str">
        <f t="shared" si="28"/>
        <v/>
      </c>
      <c r="C371">
        <f t="shared" si="30"/>
        <v>1</v>
      </c>
      <c r="D371" s="4"/>
      <c r="E371" t="s">
        <v>18</v>
      </c>
      <c r="F371" t="str">
        <f>INDEX(Establishment!B$2:B$1005,MATCH($E371,Establishment!$A$2:$A$1005,0))</f>
        <v xml:space="preserve"> </v>
      </c>
      <c r="G371" t="str">
        <f>INDEX(Establishment!C$2:C$1005,MATCH($E371,Establishment!$A$2:$A$1005,0))</f>
        <v xml:space="preserve"> </v>
      </c>
      <c r="M371">
        <f t="shared" si="31"/>
        <v>0</v>
      </c>
      <c r="N371">
        <f t="shared" si="29"/>
        <v>0</v>
      </c>
      <c r="P371" t="e">
        <f>INDEX(Items!B$2:B$1032,MATCH($O371,Items!$A$2:$A$1032,0))</f>
        <v>#N/A</v>
      </c>
      <c r="Q371" t="e">
        <f>INDEX(Items!C$2:C$1032,MATCH($O371,Items!$A$2:$A$1032,0))</f>
        <v>#N/A</v>
      </c>
      <c r="R371" t="e">
        <f>INDEX(Items!D$2:D$1032,MATCH($O371,Items!$A$2:$A$1032,0))</f>
        <v>#N/A</v>
      </c>
    </row>
    <row r="372" spans="1:18" x14ac:dyDescent="0.25">
      <c r="A372">
        <f t="shared" si="27"/>
        <v>1</v>
      </c>
      <c r="B372" t="str">
        <f t="shared" si="28"/>
        <v/>
      </c>
      <c r="C372">
        <f t="shared" si="30"/>
        <v>1</v>
      </c>
      <c r="D372" s="4"/>
      <c r="E372" t="s">
        <v>18</v>
      </c>
      <c r="F372" t="str">
        <f>INDEX(Establishment!B$2:B$1005,MATCH($E372,Establishment!$A$2:$A$1005,0))</f>
        <v xml:space="preserve"> </v>
      </c>
      <c r="G372" t="str">
        <f>INDEX(Establishment!C$2:C$1005,MATCH($E372,Establishment!$A$2:$A$1005,0))</f>
        <v xml:space="preserve"> </v>
      </c>
      <c r="M372">
        <f t="shared" si="31"/>
        <v>0</v>
      </c>
      <c r="N372">
        <f t="shared" si="29"/>
        <v>0</v>
      </c>
      <c r="P372" t="e">
        <f>INDEX(Items!B$2:B$1032,MATCH($O372,Items!$A$2:$A$1032,0))</f>
        <v>#N/A</v>
      </c>
      <c r="Q372" t="e">
        <f>INDEX(Items!C$2:C$1032,MATCH($O372,Items!$A$2:$A$1032,0))</f>
        <v>#N/A</v>
      </c>
      <c r="R372" t="e">
        <f>INDEX(Items!D$2:D$1032,MATCH($O372,Items!$A$2:$A$1032,0))</f>
        <v>#N/A</v>
      </c>
    </row>
    <row r="373" spans="1:18" x14ac:dyDescent="0.25">
      <c r="A373">
        <f t="shared" si="27"/>
        <v>1</v>
      </c>
      <c r="B373" t="str">
        <f t="shared" si="28"/>
        <v/>
      </c>
      <c r="C373">
        <f t="shared" si="30"/>
        <v>1</v>
      </c>
      <c r="D373" s="4"/>
      <c r="E373" t="s">
        <v>18</v>
      </c>
      <c r="F373" t="str">
        <f>INDEX(Establishment!B$2:B$1005,MATCH($E373,Establishment!$A$2:$A$1005,0))</f>
        <v xml:space="preserve"> </v>
      </c>
      <c r="G373" t="str">
        <f>INDEX(Establishment!C$2:C$1005,MATCH($E373,Establishment!$A$2:$A$1005,0))</f>
        <v xml:space="preserve"> </v>
      </c>
      <c r="M373">
        <f t="shared" si="31"/>
        <v>0</v>
      </c>
      <c r="N373">
        <f t="shared" si="29"/>
        <v>0</v>
      </c>
      <c r="P373" t="e">
        <f>INDEX(Items!B$2:B$1032,MATCH($O373,Items!$A$2:$A$1032,0))</f>
        <v>#N/A</v>
      </c>
      <c r="Q373" t="e">
        <f>INDEX(Items!C$2:C$1032,MATCH($O373,Items!$A$2:$A$1032,0))</f>
        <v>#N/A</v>
      </c>
      <c r="R373" t="e">
        <f>INDEX(Items!D$2:D$1032,MATCH($O373,Items!$A$2:$A$1032,0))</f>
        <v>#N/A</v>
      </c>
    </row>
    <row r="374" spans="1:18" x14ac:dyDescent="0.25">
      <c r="A374">
        <f t="shared" si="27"/>
        <v>1</v>
      </c>
      <c r="B374" t="str">
        <f t="shared" si="28"/>
        <v/>
      </c>
      <c r="C374">
        <f t="shared" si="30"/>
        <v>1</v>
      </c>
      <c r="D374" s="4"/>
      <c r="E374" t="s">
        <v>18</v>
      </c>
      <c r="F374" t="str">
        <f>INDEX(Establishment!B$2:B$1005,MATCH($E374,Establishment!$A$2:$A$1005,0))</f>
        <v xml:space="preserve"> </v>
      </c>
      <c r="G374" t="str">
        <f>INDEX(Establishment!C$2:C$1005,MATCH($E374,Establishment!$A$2:$A$1005,0))</f>
        <v xml:space="preserve"> </v>
      </c>
      <c r="M374">
        <f t="shared" si="31"/>
        <v>0</v>
      </c>
      <c r="N374">
        <f t="shared" si="29"/>
        <v>0</v>
      </c>
      <c r="P374" t="e">
        <f>INDEX(Items!B$2:B$1032,MATCH($O374,Items!$A$2:$A$1032,0))</f>
        <v>#N/A</v>
      </c>
      <c r="Q374" t="e">
        <f>INDEX(Items!C$2:C$1032,MATCH($O374,Items!$A$2:$A$1032,0))</f>
        <v>#N/A</v>
      </c>
      <c r="R374" t="e">
        <f>INDEX(Items!D$2:D$1032,MATCH($O374,Items!$A$2:$A$1032,0))</f>
        <v>#N/A</v>
      </c>
    </row>
    <row r="375" spans="1:18" x14ac:dyDescent="0.25">
      <c r="A375">
        <f t="shared" si="27"/>
        <v>1</v>
      </c>
      <c r="B375" t="str">
        <f t="shared" si="28"/>
        <v/>
      </c>
      <c r="C375">
        <f t="shared" si="30"/>
        <v>1</v>
      </c>
      <c r="D375" s="4"/>
      <c r="E375" t="s">
        <v>18</v>
      </c>
      <c r="F375" t="str">
        <f>INDEX(Establishment!B$2:B$1005,MATCH($E375,Establishment!$A$2:$A$1005,0))</f>
        <v xml:space="preserve"> </v>
      </c>
      <c r="G375" t="str">
        <f>INDEX(Establishment!C$2:C$1005,MATCH($E375,Establishment!$A$2:$A$1005,0))</f>
        <v xml:space="preserve"> </v>
      </c>
      <c r="M375">
        <f t="shared" si="31"/>
        <v>0</v>
      </c>
      <c r="N375">
        <f t="shared" si="29"/>
        <v>0</v>
      </c>
      <c r="P375" t="e">
        <f>INDEX(Items!B$2:B$1032,MATCH($O375,Items!$A$2:$A$1032,0))</f>
        <v>#N/A</v>
      </c>
      <c r="Q375" t="e">
        <f>INDEX(Items!C$2:C$1032,MATCH($O375,Items!$A$2:$A$1032,0))</f>
        <v>#N/A</v>
      </c>
      <c r="R375" t="e">
        <f>INDEX(Items!D$2:D$1032,MATCH($O375,Items!$A$2:$A$1032,0))</f>
        <v>#N/A</v>
      </c>
    </row>
    <row r="376" spans="1:18" x14ac:dyDescent="0.25">
      <c r="A376">
        <f t="shared" si="27"/>
        <v>1</v>
      </c>
      <c r="B376" t="str">
        <f t="shared" si="28"/>
        <v/>
      </c>
      <c r="C376">
        <f t="shared" si="30"/>
        <v>1</v>
      </c>
      <c r="D376" s="4"/>
      <c r="E376" t="s">
        <v>18</v>
      </c>
      <c r="F376" t="str">
        <f>INDEX(Establishment!B$2:B$1005,MATCH($E376,Establishment!$A$2:$A$1005,0))</f>
        <v xml:space="preserve"> </v>
      </c>
      <c r="G376" t="str">
        <f>INDEX(Establishment!C$2:C$1005,MATCH($E376,Establishment!$A$2:$A$1005,0))</f>
        <v xml:space="preserve"> </v>
      </c>
      <c r="M376">
        <f t="shared" si="31"/>
        <v>0</v>
      </c>
      <c r="N376">
        <f t="shared" si="29"/>
        <v>0</v>
      </c>
      <c r="P376" t="e">
        <f>INDEX(Items!B$2:B$1032,MATCH($O376,Items!$A$2:$A$1032,0))</f>
        <v>#N/A</v>
      </c>
      <c r="Q376" t="e">
        <f>INDEX(Items!C$2:C$1032,MATCH($O376,Items!$A$2:$A$1032,0))</f>
        <v>#N/A</v>
      </c>
      <c r="R376" t="e">
        <f>INDEX(Items!D$2:D$1032,MATCH($O376,Items!$A$2:$A$1032,0))</f>
        <v>#N/A</v>
      </c>
    </row>
    <row r="377" spans="1:18" x14ac:dyDescent="0.25">
      <c r="A377">
        <f t="shared" si="27"/>
        <v>1</v>
      </c>
      <c r="B377" t="str">
        <f t="shared" si="28"/>
        <v/>
      </c>
      <c r="C377">
        <f t="shared" si="30"/>
        <v>1</v>
      </c>
      <c r="D377" s="4"/>
      <c r="E377" t="s">
        <v>18</v>
      </c>
      <c r="F377" t="str">
        <f>INDEX(Establishment!B$2:B$1005,MATCH($E377,Establishment!$A$2:$A$1005,0))</f>
        <v xml:space="preserve"> </v>
      </c>
      <c r="G377" t="str">
        <f>INDEX(Establishment!C$2:C$1005,MATCH($E377,Establishment!$A$2:$A$1005,0))</f>
        <v xml:space="preserve"> </v>
      </c>
      <c r="M377">
        <f t="shared" si="31"/>
        <v>0</v>
      </c>
      <c r="N377">
        <f t="shared" si="29"/>
        <v>0</v>
      </c>
      <c r="P377" t="e">
        <f>INDEX(Items!B$2:B$1032,MATCH($O377,Items!$A$2:$A$1032,0))</f>
        <v>#N/A</v>
      </c>
      <c r="Q377" t="e">
        <f>INDEX(Items!C$2:C$1032,MATCH($O377,Items!$A$2:$A$1032,0))</f>
        <v>#N/A</v>
      </c>
      <c r="R377" t="e">
        <f>INDEX(Items!D$2:D$1032,MATCH($O377,Items!$A$2:$A$1032,0))</f>
        <v>#N/A</v>
      </c>
    </row>
    <row r="378" spans="1:18" x14ac:dyDescent="0.25">
      <c r="A378">
        <f t="shared" si="27"/>
        <v>1</v>
      </c>
      <c r="B378" t="str">
        <f t="shared" si="28"/>
        <v/>
      </c>
      <c r="C378">
        <f t="shared" si="30"/>
        <v>1</v>
      </c>
      <c r="D378" s="4"/>
      <c r="E378" t="s">
        <v>18</v>
      </c>
      <c r="F378" t="str">
        <f>INDEX(Establishment!B$2:B$1005,MATCH($E378,Establishment!$A$2:$A$1005,0))</f>
        <v xml:space="preserve"> </v>
      </c>
      <c r="G378" t="str">
        <f>INDEX(Establishment!C$2:C$1005,MATCH($E378,Establishment!$A$2:$A$1005,0))</f>
        <v xml:space="preserve"> </v>
      </c>
      <c r="M378">
        <f t="shared" si="31"/>
        <v>0</v>
      </c>
      <c r="N378">
        <f t="shared" si="29"/>
        <v>0</v>
      </c>
      <c r="P378" t="e">
        <f>INDEX(Items!B$2:B$1032,MATCH($O378,Items!$A$2:$A$1032,0))</f>
        <v>#N/A</v>
      </c>
      <c r="Q378" t="e">
        <f>INDEX(Items!C$2:C$1032,MATCH($O378,Items!$A$2:$A$1032,0))</f>
        <v>#N/A</v>
      </c>
      <c r="R378" t="e">
        <f>INDEX(Items!D$2:D$1032,MATCH($O378,Items!$A$2:$A$1032,0))</f>
        <v>#N/A</v>
      </c>
    </row>
    <row r="379" spans="1:18" x14ac:dyDescent="0.25">
      <c r="A379">
        <f t="shared" si="27"/>
        <v>1</v>
      </c>
      <c r="B379" t="str">
        <f t="shared" si="28"/>
        <v/>
      </c>
      <c r="C379">
        <f t="shared" si="30"/>
        <v>1</v>
      </c>
      <c r="D379" s="4"/>
      <c r="E379" t="s">
        <v>18</v>
      </c>
      <c r="F379" t="str">
        <f>INDEX(Establishment!B$2:B$1005,MATCH($E379,Establishment!$A$2:$A$1005,0))</f>
        <v xml:space="preserve"> </v>
      </c>
      <c r="G379" t="str">
        <f>INDEX(Establishment!C$2:C$1005,MATCH($E379,Establishment!$A$2:$A$1005,0))</f>
        <v xml:space="preserve"> </v>
      </c>
      <c r="M379">
        <f t="shared" si="31"/>
        <v>0</v>
      </c>
      <c r="N379">
        <f t="shared" si="29"/>
        <v>0</v>
      </c>
      <c r="P379" t="e">
        <f>INDEX(Items!B$2:B$1032,MATCH($O379,Items!$A$2:$A$1032,0))</f>
        <v>#N/A</v>
      </c>
      <c r="Q379" t="e">
        <f>INDEX(Items!C$2:C$1032,MATCH($O379,Items!$A$2:$A$1032,0))</f>
        <v>#N/A</v>
      </c>
      <c r="R379" t="e">
        <f>INDEX(Items!D$2:D$1032,MATCH($O379,Items!$A$2:$A$1032,0))</f>
        <v>#N/A</v>
      </c>
    </row>
    <row r="380" spans="1:18" x14ac:dyDescent="0.25">
      <c r="A380">
        <f t="shared" si="27"/>
        <v>1</v>
      </c>
      <c r="B380" t="str">
        <f t="shared" si="28"/>
        <v/>
      </c>
      <c r="C380">
        <f t="shared" si="30"/>
        <v>1</v>
      </c>
      <c r="D380" s="4"/>
      <c r="E380" t="s">
        <v>18</v>
      </c>
      <c r="F380" t="str">
        <f>INDEX(Establishment!B$2:B$1005,MATCH($E380,Establishment!$A$2:$A$1005,0))</f>
        <v xml:space="preserve"> </v>
      </c>
      <c r="G380" t="str">
        <f>INDEX(Establishment!C$2:C$1005,MATCH($E380,Establishment!$A$2:$A$1005,0))</f>
        <v xml:space="preserve"> </v>
      </c>
      <c r="M380">
        <f t="shared" si="31"/>
        <v>0</v>
      </c>
      <c r="N380">
        <f t="shared" si="29"/>
        <v>0</v>
      </c>
      <c r="P380" t="e">
        <f>INDEX(Items!B$2:B$1032,MATCH($O380,Items!$A$2:$A$1032,0))</f>
        <v>#N/A</v>
      </c>
      <c r="Q380" t="e">
        <f>INDEX(Items!C$2:C$1032,MATCH($O380,Items!$A$2:$A$1032,0))</f>
        <v>#N/A</v>
      </c>
      <c r="R380" t="e">
        <f>INDEX(Items!D$2:D$1032,MATCH($O380,Items!$A$2:$A$1032,0))</f>
        <v>#N/A</v>
      </c>
    </row>
    <row r="381" spans="1:18" x14ac:dyDescent="0.25">
      <c r="A381">
        <f t="shared" si="27"/>
        <v>1</v>
      </c>
      <c r="B381" t="str">
        <f t="shared" si="28"/>
        <v/>
      </c>
      <c r="C381">
        <f t="shared" si="30"/>
        <v>1</v>
      </c>
      <c r="D381" s="4"/>
      <c r="E381" t="s">
        <v>18</v>
      </c>
      <c r="F381" t="str">
        <f>INDEX(Establishment!B$2:B$1005,MATCH($E381,Establishment!$A$2:$A$1005,0))</f>
        <v xml:space="preserve"> </v>
      </c>
      <c r="G381" t="str">
        <f>INDEX(Establishment!C$2:C$1005,MATCH($E381,Establishment!$A$2:$A$1005,0))</f>
        <v xml:space="preserve"> </v>
      </c>
      <c r="M381">
        <f t="shared" si="31"/>
        <v>0</v>
      </c>
      <c r="N381">
        <f t="shared" si="29"/>
        <v>0</v>
      </c>
      <c r="P381" t="e">
        <f>INDEX(Items!B$2:B$1032,MATCH($O381,Items!$A$2:$A$1032,0))</f>
        <v>#N/A</v>
      </c>
      <c r="Q381" t="e">
        <f>INDEX(Items!C$2:C$1032,MATCH($O381,Items!$A$2:$A$1032,0))</f>
        <v>#N/A</v>
      </c>
      <c r="R381" t="e">
        <f>INDEX(Items!D$2:D$1032,MATCH($O381,Items!$A$2:$A$1032,0))</f>
        <v>#N/A</v>
      </c>
    </row>
    <row r="382" spans="1:18" x14ac:dyDescent="0.25">
      <c r="A382">
        <f t="shared" si="27"/>
        <v>1</v>
      </c>
      <c r="B382" t="str">
        <f t="shared" si="28"/>
        <v/>
      </c>
      <c r="C382">
        <f t="shared" si="30"/>
        <v>1</v>
      </c>
      <c r="D382" s="4"/>
      <c r="E382" t="s">
        <v>18</v>
      </c>
      <c r="F382" t="str">
        <f>INDEX(Establishment!B$2:B$1005,MATCH($E382,Establishment!$A$2:$A$1005,0))</f>
        <v xml:space="preserve"> </v>
      </c>
      <c r="G382" t="str">
        <f>INDEX(Establishment!C$2:C$1005,MATCH($E382,Establishment!$A$2:$A$1005,0))</f>
        <v xml:space="preserve"> </v>
      </c>
      <c r="M382">
        <f t="shared" si="31"/>
        <v>0</v>
      </c>
      <c r="N382">
        <f t="shared" si="29"/>
        <v>0</v>
      </c>
      <c r="P382" t="e">
        <f>INDEX(Items!B$2:B$1032,MATCH($O382,Items!$A$2:$A$1032,0))</f>
        <v>#N/A</v>
      </c>
      <c r="Q382" t="e">
        <f>INDEX(Items!C$2:C$1032,MATCH($O382,Items!$A$2:$A$1032,0))</f>
        <v>#N/A</v>
      </c>
      <c r="R382" t="e">
        <f>INDEX(Items!D$2:D$1032,MATCH($O382,Items!$A$2:$A$1032,0))</f>
        <v>#N/A</v>
      </c>
    </row>
    <row r="383" spans="1:18" x14ac:dyDescent="0.25">
      <c r="A383">
        <f t="shared" si="27"/>
        <v>1</v>
      </c>
      <c r="B383" t="str">
        <f t="shared" si="28"/>
        <v/>
      </c>
      <c r="C383">
        <f t="shared" si="30"/>
        <v>1</v>
      </c>
      <c r="D383" s="4"/>
      <c r="E383" t="s">
        <v>18</v>
      </c>
      <c r="F383" t="str">
        <f>INDEX(Establishment!B$2:B$1005,MATCH($E383,Establishment!$A$2:$A$1005,0))</f>
        <v xml:space="preserve"> </v>
      </c>
      <c r="G383" t="str">
        <f>INDEX(Establishment!C$2:C$1005,MATCH($E383,Establishment!$A$2:$A$1005,0))</f>
        <v xml:space="preserve"> </v>
      </c>
      <c r="M383">
        <f t="shared" si="31"/>
        <v>0</v>
      </c>
      <c r="N383">
        <f t="shared" si="29"/>
        <v>0</v>
      </c>
      <c r="P383" t="e">
        <f>INDEX(Items!B$2:B$1032,MATCH($O383,Items!$A$2:$A$1032,0))</f>
        <v>#N/A</v>
      </c>
      <c r="Q383" t="e">
        <f>INDEX(Items!C$2:C$1032,MATCH($O383,Items!$A$2:$A$1032,0))</f>
        <v>#N/A</v>
      </c>
      <c r="R383" t="e">
        <f>INDEX(Items!D$2:D$1032,MATCH($O383,Items!$A$2:$A$1032,0))</f>
        <v>#N/A</v>
      </c>
    </row>
    <row r="384" spans="1:18" x14ac:dyDescent="0.25">
      <c r="A384">
        <f t="shared" si="27"/>
        <v>1</v>
      </c>
      <c r="B384" t="str">
        <f t="shared" si="28"/>
        <v/>
      </c>
      <c r="C384">
        <f t="shared" si="30"/>
        <v>1</v>
      </c>
      <c r="D384" s="4"/>
      <c r="E384" t="s">
        <v>18</v>
      </c>
      <c r="F384" t="str">
        <f>INDEX(Establishment!B$2:B$1005,MATCH($E384,Establishment!$A$2:$A$1005,0))</f>
        <v xml:space="preserve"> </v>
      </c>
      <c r="G384" t="str">
        <f>INDEX(Establishment!C$2:C$1005,MATCH($E384,Establishment!$A$2:$A$1005,0))</f>
        <v xml:space="preserve"> </v>
      </c>
      <c r="M384">
        <f t="shared" si="31"/>
        <v>0</v>
      </c>
      <c r="N384">
        <f t="shared" si="29"/>
        <v>0</v>
      </c>
      <c r="P384" t="e">
        <f>INDEX(Items!B$2:B$1032,MATCH($O384,Items!$A$2:$A$1032,0))</f>
        <v>#N/A</v>
      </c>
      <c r="Q384" t="e">
        <f>INDEX(Items!C$2:C$1032,MATCH($O384,Items!$A$2:$A$1032,0))</f>
        <v>#N/A</v>
      </c>
      <c r="R384" t="e">
        <f>INDEX(Items!D$2:D$1032,MATCH($O384,Items!$A$2:$A$1032,0))</f>
        <v>#N/A</v>
      </c>
    </row>
    <row r="385" spans="1:18" x14ac:dyDescent="0.25">
      <c r="A385">
        <f t="shared" si="27"/>
        <v>1</v>
      </c>
      <c r="B385" t="str">
        <f t="shared" si="28"/>
        <v/>
      </c>
      <c r="C385">
        <f t="shared" si="30"/>
        <v>1</v>
      </c>
      <c r="D385" s="4"/>
      <c r="E385" t="s">
        <v>18</v>
      </c>
      <c r="F385" t="str">
        <f>INDEX(Establishment!B$2:B$1005,MATCH($E385,Establishment!$A$2:$A$1005,0))</f>
        <v xml:space="preserve"> </v>
      </c>
      <c r="G385" t="str">
        <f>INDEX(Establishment!C$2:C$1005,MATCH($E385,Establishment!$A$2:$A$1005,0))</f>
        <v xml:space="preserve"> </v>
      </c>
      <c r="M385">
        <f t="shared" si="31"/>
        <v>0</v>
      </c>
      <c r="N385">
        <f t="shared" si="29"/>
        <v>0</v>
      </c>
      <c r="P385" t="e">
        <f>INDEX(Items!B$2:B$1032,MATCH($O385,Items!$A$2:$A$1032,0))</f>
        <v>#N/A</v>
      </c>
      <c r="Q385" t="e">
        <f>INDEX(Items!C$2:C$1032,MATCH($O385,Items!$A$2:$A$1032,0))</f>
        <v>#N/A</v>
      </c>
      <c r="R385" t="e">
        <f>INDEX(Items!D$2:D$1032,MATCH($O385,Items!$A$2:$A$1032,0))</f>
        <v>#N/A</v>
      </c>
    </row>
    <row r="386" spans="1:18" x14ac:dyDescent="0.25">
      <c r="A386">
        <f t="shared" ref="A386:A449" si="32">IF(OR(D386&lt;&gt;D385,D386=""),1,IF(NOT(AND(E386=E385,F386=F385,G386=G385)),A385+1,IF(OR(H386="",AND(H386&lt;&gt;"",H386&lt;&gt;H385,H385&lt;&gt;"")),A385,A385+1)))</f>
        <v>1</v>
      </c>
      <c r="B386" t="str">
        <f t="shared" ref="B386:B449" si="33">IF(D386&lt;&gt;"",TEXT(D386,"YYYYMMDD")&amp;CHAR(64+A386),"")</f>
        <v/>
      </c>
      <c r="C386">
        <f t="shared" si="30"/>
        <v>1</v>
      </c>
      <c r="D386" s="4"/>
      <c r="E386" t="s">
        <v>18</v>
      </c>
      <c r="F386" t="str">
        <f>INDEX(Establishment!B$2:B$1005,MATCH($E386,Establishment!$A$2:$A$1005,0))</f>
        <v xml:space="preserve"> </v>
      </c>
      <c r="G386" t="str">
        <f>INDEX(Establishment!C$2:C$1005,MATCH($E386,Establishment!$A$2:$A$1005,0))</f>
        <v xml:space="preserve"> </v>
      </c>
      <c r="M386">
        <f t="shared" si="31"/>
        <v>0</v>
      </c>
      <c r="N386">
        <f t="shared" si="29"/>
        <v>0</v>
      </c>
      <c r="P386" t="e">
        <f>INDEX(Items!B$2:B$1032,MATCH($O386,Items!$A$2:$A$1032,0))</f>
        <v>#N/A</v>
      </c>
      <c r="Q386" t="e">
        <f>INDEX(Items!C$2:C$1032,MATCH($O386,Items!$A$2:$A$1032,0))</f>
        <v>#N/A</v>
      </c>
      <c r="R386" t="e">
        <f>INDEX(Items!D$2:D$1032,MATCH($O386,Items!$A$2:$A$1032,0))</f>
        <v>#N/A</v>
      </c>
    </row>
    <row r="387" spans="1:18" x14ac:dyDescent="0.25">
      <c r="A387">
        <f t="shared" si="32"/>
        <v>1</v>
      </c>
      <c r="B387" t="str">
        <f t="shared" si="33"/>
        <v/>
      </c>
      <c r="C387">
        <f t="shared" si="30"/>
        <v>1</v>
      </c>
      <c r="D387" s="4"/>
      <c r="E387" t="s">
        <v>18</v>
      </c>
      <c r="F387" t="str">
        <f>INDEX(Establishment!B$2:B$1005,MATCH($E387,Establishment!$A$2:$A$1005,0))</f>
        <v xml:space="preserve"> </v>
      </c>
      <c r="G387" t="str">
        <f>INDEX(Establishment!C$2:C$1005,MATCH($E387,Establishment!$A$2:$A$1005,0))</f>
        <v xml:space="preserve"> </v>
      </c>
      <c r="M387">
        <f t="shared" si="31"/>
        <v>0</v>
      </c>
      <c r="N387">
        <f t="shared" ref="N387:N450" si="34">IF(B387=B386,N386+M387,M387)</f>
        <v>0</v>
      </c>
      <c r="P387" t="e">
        <f>INDEX(Items!B$2:B$1032,MATCH($O387,Items!$A$2:$A$1032,0))</f>
        <v>#N/A</v>
      </c>
      <c r="Q387" t="e">
        <f>INDEX(Items!C$2:C$1032,MATCH($O387,Items!$A$2:$A$1032,0))</f>
        <v>#N/A</v>
      </c>
      <c r="R387" t="e">
        <f>INDEX(Items!D$2:D$1032,MATCH($O387,Items!$A$2:$A$1032,0))</f>
        <v>#N/A</v>
      </c>
    </row>
    <row r="388" spans="1:18" x14ac:dyDescent="0.25">
      <c r="A388">
        <f t="shared" si="32"/>
        <v>1</v>
      </c>
      <c r="B388" t="str">
        <f t="shared" si="33"/>
        <v/>
      </c>
      <c r="C388">
        <f t="shared" si="30"/>
        <v>1</v>
      </c>
      <c r="D388" s="4"/>
      <c r="E388" t="s">
        <v>18</v>
      </c>
      <c r="F388" t="str">
        <f>INDEX(Establishment!B$2:B$1005,MATCH($E388,Establishment!$A$2:$A$1005,0))</f>
        <v xml:space="preserve"> </v>
      </c>
      <c r="G388" t="str">
        <f>INDEX(Establishment!C$2:C$1005,MATCH($E388,Establishment!$A$2:$A$1005,0))</f>
        <v xml:space="preserve"> </v>
      </c>
      <c r="M388">
        <f t="shared" si="31"/>
        <v>0</v>
      </c>
      <c r="N388">
        <f t="shared" si="34"/>
        <v>0</v>
      </c>
      <c r="P388" t="e">
        <f>INDEX(Items!B$2:B$1032,MATCH($O388,Items!$A$2:$A$1032,0))</f>
        <v>#N/A</v>
      </c>
      <c r="Q388" t="e">
        <f>INDEX(Items!C$2:C$1032,MATCH($O388,Items!$A$2:$A$1032,0))</f>
        <v>#N/A</v>
      </c>
      <c r="R388" t="e">
        <f>INDEX(Items!D$2:D$1032,MATCH($O388,Items!$A$2:$A$1032,0))</f>
        <v>#N/A</v>
      </c>
    </row>
    <row r="389" spans="1:18" x14ac:dyDescent="0.25">
      <c r="A389">
        <f t="shared" si="32"/>
        <v>1</v>
      </c>
      <c r="B389" t="str">
        <f t="shared" si="33"/>
        <v/>
      </c>
      <c r="C389">
        <f t="shared" si="30"/>
        <v>1</v>
      </c>
      <c r="D389" s="4"/>
      <c r="E389" t="s">
        <v>18</v>
      </c>
      <c r="F389" t="str">
        <f>INDEX(Establishment!B$2:B$1005,MATCH($E389,Establishment!$A$2:$A$1005,0))</f>
        <v xml:space="preserve"> </v>
      </c>
      <c r="G389" t="str">
        <f>INDEX(Establishment!C$2:C$1005,MATCH($E389,Establishment!$A$2:$A$1005,0))</f>
        <v xml:space="preserve"> </v>
      </c>
      <c r="M389">
        <f t="shared" si="31"/>
        <v>0</v>
      </c>
      <c r="N389">
        <f t="shared" si="34"/>
        <v>0</v>
      </c>
      <c r="P389" t="e">
        <f>INDEX(Items!B$2:B$1032,MATCH($O389,Items!$A$2:$A$1032,0))</f>
        <v>#N/A</v>
      </c>
      <c r="Q389" t="e">
        <f>INDEX(Items!C$2:C$1032,MATCH($O389,Items!$A$2:$A$1032,0))</f>
        <v>#N/A</v>
      </c>
      <c r="R389" t="e">
        <f>INDEX(Items!D$2:D$1032,MATCH($O389,Items!$A$2:$A$1032,0))</f>
        <v>#N/A</v>
      </c>
    </row>
    <row r="390" spans="1:18" x14ac:dyDescent="0.25">
      <c r="A390">
        <f t="shared" si="32"/>
        <v>1</v>
      </c>
      <c r="B390" t="str">
        <f t="shared" si="33"/>
        <v/>
      </c>
      <c r="C390">
        <f t="shared" si="30"/>
        <v>1</v>
      </c>
      <c r="D390" s="4"/>
      <c r="E390" t="s">
        <v>18</v>
      </c>
      <c r="F390" t="str">
        <f>INDEX(Establishment!B$2:B$1005,MATCH($E390,Establishment!$A$2:$A$1005,0))</f>
        <v xml:space="preserve"> </v>
      </c>
      <c r="G390" t="str">
        <f>INDEX(Establishment!C$2:C$1005,MATCH($E390,Establishment!$A$2:$A$1005,0))</f>
        <v xml:space="preserve"> </v>
      </c>
      <c r="M390">
        <f t="shared" si="31"/>
        <v>0</v>
      </c>
      <c r="N390">
        <f t="shared" si="34"/>
        <v>0</v>
      </c>
      <c r="P390" t="e">
        <f>INDEX(Items!B$2:B$1032,MATCH($O390,Items!$A$2:$A$1032,0))</f>
        <v>#N/A</v>
      </c>
      <c r="Q390" t="e">
        <f>INDEX(Items!C$2:C$1032,MATCH($O390,Items!$A$2:$A$1032,0))</f>
        <v>#N/A</v>
      </c>
      <c r="R390" t="e">
        <f>INDEX(Items!D$2:D$1032,MATCH($O390,Items!$A$2:$A$1032,0))</f>
        <v>#N/A</v>
      </c>
    </row>
    <row r="391" spans="1:18" x14ac:dyDescent="0.25">
      <c r="A391">
        <f t="shared" si="32"/>
        <v>1</v>
      </c>
      <c r="B391" t="str">
        <f t="shared" si="33"/>
        <v/>
      </c>
      <c r="C391">
        <f t="shared" si="30"/>
        <v>1</v>
      </c>
      <c r="D391" s="4"/>
      <c r="E391" t="s">
        <v>18</v>
      </c>
      <c r="F391" t="str">
        <f>INDEX(Establishment!B$2:B$1005,MATCH($E391,Establishment!$A$2:$A$1005,0))</f>
        <v xml:space="preserve"> </v>
      </c>
      <c r="G391" t="str">
        <f>INDEX(Establishment!C$2:C$1005,MATCH($E391,Establishment!$A$2:$A$1005,0))</f>
        <v xml:space="preserve"> </v>
      </c>
      <c r="M391">
        <f t="shared" si="31"/>
        <v>0</v>
      </c>
      <c r="N391">
        <f t="shared" si="34"/>
        <v>0</v>
      </c>
      <c r="P391" t="e">
        <f>INDEX(Items!B$2:B$1032,MATCH($O391,Items!$A$2:$A$1032,0))</f>
        <v>#N/A</v>
      </c>
      <c r="Q391" t="e">
        <f>INDEX(Items!C$2:C$1032,MATCH($O391,Items!$A$2:$A$1032,0))</f>
        <v>#N/A</v>
      </c>
      <c r="R391" t="e">
        <f>INDEX(Items!D$2:D$1032,MATCH($O391,Items!$A$2:$A$1032,0))</f>
        <v>#N/A</v>
      </c>
    </row>
    <row r="392" spans="1:18" x14ac:dyDescent="0.25">
      <c r="A392">
        <f t="shared" si="32"/>
        <v>1</v>
      </c>
      <c r="B392" t="str">
        <f t="shared" si="33"/>
        <v/>
      </c>
      <c r="C392">
        <f t="shared" si="30"/>
        <v>1</v>
      </c>
      <c r="D392" s="4"/>
      <c r="E392" t="s">
        <v>18</v>
      </c>
      <c r="F392" t="str">
        <f>INDEX(Establishment!B$2:B$1005,MATCH($E392,Establishment!$A$2:$A$1005,0))</f>
        <v xml:space="preserve"> </v>
      </c>
      <c r="G392" t="str">
        <f>INDEX(Establishment!C$2:C$1005,MATCH($E392,Establishment!$A$2:$A$1005,0))</f>
        <v xml:space="preserve"> </v>
      </c>
      <c r="M392">
        <f t="shared" si="31"/>
        <v>0</v>
      </c>
      <c r="N392">
        <f t="shared" si="34"/>
        <v>0</v>
      </c>
      <c r="P392" t="e">
        <f>INDEX(Items!B$2:B$1032,MATCH($O392,Items!$A$2:$A$1032,0))</f>
        <v>#N/A</v>
      </c>
      <c r="Q392" t="e">
        <f>INDEX(Items!C$2:C$1032,MATCH($O392,Items!$A$2:$A$1032,0))</f>
        <v>#N/A</v>
      </c>
      <c r="R392" t="e">
        <f>INDEX(Items!D$2:D$1032,MATCH($O392,Items!$A$2:$A$1032,0))</f>
        <v>#N/A</v>
      </c>
    </row>
    <row r="393" spans="1:18" x14ac:dyDescent="0.25">
      <c r="A393">
        <f t="shared" si="32"/>
        <v>1</v>
      </c>
      <c r="B393" t="str">
        <f t="shared" si="33"/>
        <v/>
      </c>
      <c r="C393">
        <f t="shared" si="30"/>
        <v>1</v>
      </c>
      <c r="D393" s="4"/>
      <c r="E393" t="s">
        <v>18</v>
      </c>
      <c r="F393" t="str">
        <f>INDEX(Establishment!B$2:B$1005,MATCH($E393,Establishment!$A$2:$A$1005,0))</f>
        <v xml:space="preserve"> </v>
      </c>
      <c r="G393" t="str">
        <f>INDEX(Establishment!C$2:C$1005,MATCH($E393,Establishment!$A$2:$A$1005,0))</f>
        <v xml:space="preserve"> </v>
      </c>
      <c r="M393">
        <f t="shared" si="31"/>
        <v>0</v>
      </c>
      <c r="N393">
        <f t="shared" si="34"/>
        <v>0</v>
      </c>
      <c r="P393" t="e">
        <f>INDEX(Items!B$2:B$1032,MATCH($O393,Items!$A$2:$A$1032,0))</f>
        <v>#N/A</v>
      </c>
      <c r="Q393" t="e">
        <f>INDEX(Items!C$2:C$1032,MATCH($O393,Items!$A$2:$A$1032,0))</f>
        <v>#N/A</v>
      </c>
      <c r="R393" t="e">
        <f>INDEX(Items!D$2:D$1032,MATCH($O393,Items!$A$2:$A$1032,0))</f>
        <v>#N/A</v>
      </c>
    </row>
    <row r="394" spans="1:18" x14ac:dyDescent="0.25">
      <c r="A394">
        <f t="shared" si="32"/>
        <v>1</v>
      </c>
      <c r="B394" t="str">
        <f t="shared" si="33"/>
        <v/>
      </c>
      <c r="C394">
        <f t="shared" ref="C394:C457" si="35">IF(OR(B394="",B394&lt;&gt;B393),1,C393+1)</f>
        <v>1</v>
      </c>
      <c r="D394" s="4"/>
      <c r="E394" t="s">
        <v>18</v>
      </c>
      <c r="F394" t="str">
        <f>INDEX(Establishment!B$2:B$1005,MATCH($E394,Establishment!$A$2:$A$1005,0))</f>
        <v xml:space="preserve"> </v>
      </c>
      <c r="G394" t="str">
        <f>INDEX(Establishment!C$2:C$1005,MATCH($E394,Establishment!$A$2:$A$1005,0))</f>
        <v xml:space="preserve"> </v>
      </c>
      <c r="M394">
        <f t="shared" ref="M394:M457" si="36">K394*L394</f>
        <v>0</v>
      </c>
      <c r="N394">
        <f t="shared" si="34"/>
        <v>0</v>
      </c>
      <c r="P394" t="e">
        <f>INDEX(Items!B$2:B$1032,MATCH($O394,Items!$A$2:$A$1032,0))</f>
        <v>#N/A</v>
      </c>
      <c r="Q394" t="e">
        <f>INDEX(Items!C$2:C$1032,MATCH($O394,Items!$A$2:$A$1032,0))</f>
        <v>#N/A</v>
      </c>
      <c r="R394" t="e">
        <f>INDEX(Items!D$2:D$1032,MATCH($O394,Items!$A$2:$A$1032,0))</f>
        <v>#N/A</v>
      </c>
    </row>
    <row r="395" spans="1:18" x14ac:dyDescent="0.25">
      <c r="A395">
        <f t="shared" si="32"/>
        <v>1</v>
      </c>
      <c r="B395" t="str">
        <f t="shared" si="33"/>
        <v/>
      </c>
      <c r="C395">
        <f t="shared" si="35"/>
        <v>1</v>
      </c>
      <c r="D395" s="4"/>
      <c r="E395" t="s">
        <v>18</v>
      </c>
      <c r="F395" t="str">
        <f>INDEX(Establishment!B$2:B$1005,MATCH($E395,Establishment!$A$2:$A$1005,0))</f>
        <v xml:space="preserve"> </v>
      </c>
      <c r="G395" t="str">
        <f>INDEX(Establishment!C$2:C$1005,MATCH($E395,Establishment!$A$2:$A$1005,0))</f>
        <v xml:space="preserve"> </v>
      </c>
      <c r="M395">
        <f t="shared" si="36"/>
        <v>0</v>
      </c>
      <c r="N395">
        <f t="shared" si="34"/>
        <v>0</v>
      </c>
      <c r="P395" t="e">
        <f>INDEX(Items!B$2:B$1032,MATCH($O395,Items!$A$2:$A$1032,0))</f>
        <v>#N/A</v>
      </c>
      <c r="Q395" t="e">
        <f>INDEX(Items!C$2:C$1032,MATCH($O395,Items!$A$2:$A$1032,0))</f>
        <v>#N/A</v>
      </c>
      <c r="R395" t="e">
        <f>INDEX(Items!D$2:D$1032,MATCH($O395,Items!$A$2:$A$1032,0))</f>
        <v>#N/A</v>
      </c>
    </row>
    <row r="396" spans="1:18" x14ac:dyDescent="0.25">
      <c r="A396">
        <f t="shared" si="32"/>
        <v>1</v>
      </c>
      <c r="B396" t="str">
        <f t="shared" si="33"/>
        <v/>
      </c>
      <c r="C396">
        <f t="shared" si="35"/>
        <v>1</v>
      </c>
      <c r="D396" s="4"/>
      <c r="E396" t="s">
        <v>18</v>
      </c>
      <c r="F396" t="str">
        <f>INDEX(Establishment!B$2:B$1005,MATCH($E396,Establishment!$A$2:$A$1005,0))</f>
        <v xml:space="preserve"> </v>
      </c>
      <c r="G396" t="str">
        <f>INDEX(Establishment!C$2:C$1005,MATCH($E396,Establishment!$A$2:$A$1005,0))</f>
        <v xml:space="preserve"> </v>
      </c>
      <c r="M396">
        <f t="shared" si="36"/>
        <v>0</v>
      </c>
      <c r="N396">
        <f t="shared" si="34"/>
        <v>0</v>
      </c>
      <c r="P396" t="e">
        <f>INDEX(Items!B$2:B$1032,MATCH($O396,Items!$A$2:$A$1032,0))</f>
        <v>#N/A</v>
      </c>
      <c r="Q396" t="e">
        <f>INDEX(Items!C$2:C$1032,MATCH($O396,Items!$A$2:$A$1032,0))</f>
        <v>#N/A</v>
      </c>
      <c r="R396" t="e">
        <f>INDEX(Items!D$2:D$1032,MATCH($O396,Items!$A$2:$A$1032,0))</f>
        <v>#N/A</v>
      </c>
    </row>
    <row r="397" spans="1:18" x14ac:dyDescent="0.25">
      <c r="A397">
        <f t="shared" si="32"/>
        <v>1</v>
      </c>
      <c r="B397" t="str">
        <f t="shared" si="33"/>
        <v/>
      </c>
      <c r="C397">
        <f t="shared" si="35"/>
        <v>1</v>
      </c>
      <c r="D397" s="4"/>
      <c r="E397" t="s">
        <v>18</v>
      </c>
      <c r="F397" t="str">
        <f>INDEX(Establishment!B$2:B$1005,MATCH($E397,Establishment!$A$2:$A$1005,0))</f>
        <v xml:space="preserve"> </v>
      </c>
      <c r="G397" t="str">
        <f>INDEX(Establishment!C$2:C$1005,MATCH($E397,Establishment!$A$2:$A$1005,0))</f>
        <v xml:space="preserve"> </v>
      </c>
      <c r="M397">
        <f t="shared" si="36"/>
        <v>0</v>
      </c>
      <c r="N397">
        <f t="shared" si="34"/>
        <v>0</v>
      </c>
      <c r="P397" t="e">
        <f>INDEX(Items!B$2:B$1032,MATCH($O397,Items!$A$2:$A$1032,0))</f>
        <v>#N/A</v>
      </c>
      <c r="Q397" t="e">
        <f>INDEX(Items!C$2:C$1032,MATCH($O397,Items!$A$2:$A$1032,0))</f>
        <v>#N/A</v>
      </c>
      <c r="R397" t="e">
        <f>INDEX(Items!D$2:D$1032,MATCH($O397,Items!$A$2:$A$1032,0))</f>
        <v>#N/A</v>
      </c>
    </row>
    <row r="398" spans="1:18" x14ac:dyDescent="0.25">
      <c r="A398">
        <f t="shared" si="32"/>
        <v>1</v>
      </c>
      <c r="B398" t="str">
        <f t="shared" si="33"/>
        <v/>
      </c>
      <c r="C398">
        <f t="shared" si="35"/>
        <v>1</v>
      </c>
      <c r="D398" s="4"/>
      <c r="E398" t="s">
        <v>18</v>
      </c>
      <c r="F398" t="str">
        <f>INDEX(Establishment!B$2:B$1005,MATCH($E398,Establishment!$A$2:$A$1005,0))</f>
        <v xml:space="preserve"> </v>
      </c>
      <c r="G398" t="str">
        <f>INDEX(Establishment!C$2:C$1005,MATCH($E398,Establishment!$A$2:$A$1005,0))</f>
        <v xml:space="preserve"> </v>
      </c>
      <c r="M398">
        <f t="shared" si="36"/>
        <v>0</v>
      </c>
      <c r="N398">
        <f t="shared" si="34"/>
        <v>0</v>
      </c>
      <c r="P398" t="e">
        <f>INDEX(Items!B$2:B$1032,MATCH($O398,Items!$A$2:$A$1032,0))</f>
        <v>#N/A</v>
      </c>
      <c r="Q398" t="e">
        <f>INDEX(Items!C$2:C$1032,MATCH($O398,Items!$A$2:$A$1032,0))</f>
        <v>#N/A</v>
      </c>
      <c r="R398" t="e">
        <f>INDEX(Items!D$2:D$1032,MATCH($O398,Items!$A$2:$A$1032,0))</f>
        <v>#N/A</v>
      </c>
    </row>
    <row r="399" spans="1:18" x14ac:dyDescent="0.25">
      <c r="A399">
        <f t="shared" si="32"/>
        <v>1</v>
      </c>
      <c r="B399" t="str">
        <f t="shared" si="33"/>
        <v/>
      </c>
      <c r="C399">
        <f t="shared" si="35"/>
        <v>1</v>
      </c>
      <c r="D399" s="4"/>
      <c r="E399" t="s">
        <v>18</v>
      </c>
      <c r="F399" t="str">
        <f>INDEX(Establishment!B$2:B$1005,MATCH($E399,Establishment!$A$2:$A$1005,0))</f>
        <v xml:space="preserve"> </v>
      </c>
      <c r="G399" t="str">
        <f>INDEX(Establishment!C$2:C$1005,MATCH($E399,Establishment!$A$2:$A$1005,0))</f>
        <v xml:space="preserve"> </v>
      </c>
      <c r="M399">
        <f t="shared" si="36"/>
        <v>0</v>
      </c>
      <c r="N399">
        <f t="shared" si="34"/>
        <v>0</v>
      </c>
      <c r="P399" t="e">
        <f>INDEX(Items!B$2:B$1032,MATCH($O399,Items!$A$2:$A$1032,0))</f>
        <v>#N/A</v>
      </c>
      <c r="Q399" t="e">
        <f>INDEX(Items!C$2:C$1032,MATCH($O399,Items!$A$2:$A$1032,0))</f>
        <v>#N/A</v>
      </c>
      <c r="R399" t="e">
        <f>INDEX(Items!D$2:D$1032,MATCH($O399,Items!$A$2:$A$1032,0))</f>
        <v>#N/A</v>
      </c>
    </row>
    <row r="400" spans="1:18" x14ac:dyDescent="0.25">
      <c r="A400">
        <f t="shared" si="32"/>
        <v>1</v>
      </c>
      <c r="B400" t="str">
        <f t="shared" si="33"/>
        <v/>
      </c>
      <c r="C400">
        <f t="shared" si="35"/>
        <v>1</v>
      </c>
      <c r="D400" s="4"/>
      <c r="E400" t="s">
        <v>18</v>
      </c>
      <c r="F400" t="str">
        <f>INDEX(Establishment!B$2:B$1005,MATCH($E400,Establishment!$A$2:$A$1005,0))</f>
        <v xml:space="preserve"> </v>
      </c>
      <c r="G400" t="str">
        <f>INDEX(Establishment!C$2:C$1005,MATCH($E400,Establishment!$A$2:$A$1005,0))</f>
        <v xml:space="preserve"> </v>
      </c>
      <c r="M400">
        <f t="shared" si="36"/>
        <v>0</v>
      </c>
      <c r="N400">
        <f t="shared" si="34"/>
        <v>0</v>
      </c>
      <c r="P400" t="e">
        <f>INDEX(Items!B$2:B$1032,MATCH($O400,Items!$A$2:$A$1032,0))</f>
        <v>#N/A</v>
      </c>
      <c r="Q400" t="e">
        <f>INDEX(Items!C$2:C$1032,MATCH($O400,Items!$A$2:$A$1032,0))</f>
        <v>#N/A</v>
      </c>
      <c r="R400" t="e">
        <f>INDEX(Items!D$2:D$1032,MATCH($O400,Items!$A$2:$A$1032,0))</f>
        <v>#N/A</v>
      </c>
    </row>
    <row r="401" spans="1:18" x14ac:dyDescent="0.25">
      <c r="A401">
        <f t="shared" si="32"/>
        <v>1</v>
      </c>
      <c r="B401" t="str">
        <f t="shared" si="33"/>
        <v/>
      </c>
      <c r="C401">
        <f t="shared" si="35"/>
        <v>1</v>
      </c>
      <c r="D401" s="4"/>
      <c r="E401" t="s">
        <v>18</v>
      </c>
      <c r="F401" t="str">
        <f>INDEX(Establishment!B$2:B$1005,MATCH($E401,Establishment!$A$2:$A$1005,0))</f>
        <v xml:space="preserve"> </v>
      </c>
      <c r="G401" t="str">
        <f>INDEX(Establishment!C$2:C$1005,MATCH($E401,Establishment!$A$2:$A$1005,0))</f>
        <v xml:space="preserve"> </v>
      </c>
      <c r="M401">
        <f t="shared" si="36"/>
        <v>0</v>
      </c>
      <c r="N401">
        <f t="shared" si="34"/>
        <v>0</v>
      </c>
      <c r="P401" t="e">
        <f>INDEX(Items!B$2:B$1032,MATCH($O401,Items!$A$2:$A$1032,0))</f>
        <v>#N/A</v>
      </c>
      <c r="Q401" t="e">
        <f>INDEX(Items!C$2:C$1032,MATCH($O401,Items!$A$2:$A$1032,0))</f>
        <v>#N/A</v>
      </c>
      <c r="R401" t="e">
        <f>INDEX(Items!D$2:D$1032,MATCH($O401,Items!$A$2:$A$1032,0))</f>
        <v>#N/A</v>
      </c>
    </row>
    <row r="402" spans="1:18" x14ac:dyDescent="0.25">
      <c r="A402">
        <f t="shared" si="32"/>
        <v>1</v>
      </c>
      <c r="B402" t="str">
        <f t="shared" si="33"/>
        <v/>
      </c>
      <c r="C402">
        <f t="shared" si="35"/>
        <v>1</v>
      </c>
      <c r="D402" s="4"/>
      <c r="E402" t="s">
        <v>18</v>
      </c>
      <c r="F402" t="str">
        <f>INDEX(Establishment!B$2:B$1005,MATCH($E402,Establishment!$A$2:$A$1005,0))</f>
        <v xml:space="preserve"> </v>
      </c>
      <c r="G402" t="str">
        <f>INDEX(Establishment!C$2:C$1005,MATCH($E402,Establishment!$A$2:$A$1005,0))</f>
        <v xml:space="preserve"> </v>
      </c>
      <c r="M402">
        <f t="shared" si="36"/>
        <v>0</v>
      </c>
      <c r="N402">
        <f t="shared" si="34"/>
        <v>0</v>
      </c>
      <c r="P402" t="e">
        <f>INDEX(Items!B$2:B$1032,MATCH($O402,Items!$A$2:$A$1032,0))</f>
        <v>#N/A</v>
      </c>
      <c r="Q402" t="e">
        <f>INDEX(Items!C$2:C$1032,MATCH($O402,Items!$A$2:$A$1032,0))</f>
        <v>#N/A</v>
      </c>
      <c r="R402" t="e">
        <f>INDEX(Items!D$2:D$1032,MATCH($O402,Items!$A$2:$A$1032,0))</f>
        <v>#N/A</v>
      </c>
    </row>
    <row r="403" spans="1:18" x14ac:dyDescent="0.25">
      <c r="A403">
        <f t="shared" si="32"/>
        <v>1</v>
      </c>
      <c r="B403" t="str">
        <f t="shared" si="33"/>
        <v/>
      </c>
      <c r="C403">
        <f t="shared" si="35"/>
        <v>1</v>
      </c>
      <c r="D403" s="4"/>
      <c r="E403" t="s">
        <v>18</v>
      </c>
      <c r="F403" t="str">
        <f>INDEX(Establishment!B$2:B$1005,MATCH($E403,Establishment!$A$2:$A$1005,0))</f>
        <v xml:space="preserve"> </v>
      </c>
      <c r="G403" t="str">
        <f>INDEX(Establishment!C$2:C$1005,MATCH($E403,Establishment!$A$2:$A$1005,0))</f>
        <v xml:space="preserve"> </v>
      </c>
      <c r="M403">
        <f t="shared" si="36"/>
        <v>0</v>
      </c>
      <c r="N403">
        <f t="shared" si="34"/>
        <v>0</v>
      </c>
      <c r="P403" t="e">
        <f>INDEX(Items!B$2:B$1032,MATCH($O403,Items!$A$2:$A$1032,0))</f>
        <v>#N/A</v>
      </c>
      <c r="Q403" t="e">
        <f>INDEX(Items!C$2:C$1032,MATCH($O403,Items!$A$2:$A$1032,0))</f>
        <v>#N/A</v>
      </c>
      <c r="R403" t="e">
        <f>INDEX(Items!D$2:D$1032,MATCH($O403,Items!$A$2:$A$1032,0))</f>
        <v>#N/A</v>
      </c>
    </row>
    <row r="404" spans="1:18" x14ac:dyDescent="0.25">
      <c r="A404">
        <f t="shared" si="32"/>
        <v>1</v>
      </c>
      <c r="B404" t="str">
        <f t="shared" si="33"/>
        <v/>
      </c>
      <c r="C404">
        <f t="shared" si="35"/>
        <v>1</v>
      </c>
      <c r="D404" s="4"/>
      <c r="E404" t="s">
        <v>18</v>
      </c>
      <c r="F404" t="str">
        <f>INDEX(Establishment!B$2:B$1005,MATCH($E404,Establishment!$A$2:$A$1005,0))</f>
        <v xml:space="preserve"> </v>
      </c>
      <c r="G404" t="str">
        <f>INDEX(Establishment!C$2:C$1005,MATCH($E404,Establishment!$A$2:$A$1005,0))</f>
        <v xml:space="preserve"> </v>
      </c>
      <c r="M404">
        <f t="shared" si="36"/>
        <v>0</v>
      </c>
      <c r="N404">
        <f t="shared" si="34"/>
        <v>0</v>
      </c>
      <c r="P404" t="e">
        <f>INDEX(Items!B$2:B$1032,MATCH($O404,Items!$A$2:$A$1032,0))</f>
        <v>#N/A</v>
      </c>
      <c r="Q404" t="e">
        <f>INDEX(Items!C$2:C$1032,MATCH($O404,Items!$A$2:$A$1032,0))</f>
        <v>#N/A</v>
      </c>
      <c r="R404" t="e">
        <f>INDEX(Items!D$2:D$1032,MATCH($O404,Items!$A$2:$A$1032,0))</f>
        <v>#N/A</v>
      </c>
    </row>
    <row r="405" spans="1:18" x14ac:dyDescent="0.25">
      <c r="A405">
        <f t="shared" si="32"/>
        <v>1</v>
      </c>
      <c r="B405" t="str">
        <f t="shared" si="33"/>
        <v/>
      </c>
      <c r="C405">
        <f t="shared" si="35"/>
        <v>1</v>
      </c>
      <c r="D405" s="4"/>
      <c r="E405" t="s">
        <v>18</v>
      </c>
      <c r="F405" t="str">
        <f>INDEX(Establishment!B$2:B$1005,MATCH($E405,Establishment!$A$2:$A$1005,0))</f>
        <v xml:space="preserve"> </v>
      </c>
      <c r="G405" t="str">
        <f>INDEX(Establishment!C$2:C$1005,MATCH($E405,Establishment!$A$2:$A$1005,0))</f>
        <v xml:space="preserve"> </v>
      </c>
      <c r="M405">
        <f t="shared" si="36"/>
        <v>0</v>
      </c>
      <c r="N405">
        <f t="shared" si="34"/>
        <v>0</v>
      </c>
      <c r="P405" t="e">
        <f>INDEX(Items!B$2:B$1032,MATCH($O405,Items!$A$2:$A$1032,0))</f>
        <v>#N/A</v>
      </c>
      <c r="Q405" t="e">
        <f>INDEX(Items!C$2:C$1032,MATCH($O405,Items!$A$2:$A$1032,0))</f>
        <v>#N/A</v>
      </c>
      <c r="R405" t="e">
        <f>INDEX(Items!D$2:D$1032,MATCH($O405,Items!$A$2:$A$1032,0))</f>
        <v>#N/A</v>
      </c>
    </row>
    <row r="406" spans="1:18" x14ac:dyDescent="0.25">
      <c r="A406">
        <f t="shared" si="32"/>
        <v>1</v>
      </c>
      <c r="B406" t="str">
        <f t="shared" si="33"/>
        <v/>
      </c>
      <c r="C406">
        <f t="shared" si="35"/>
        <v>1</v>
      </c>
      <c r="D406" s="4"/>
      <c r="E406" t="s">
        <v>18</v>
      </c>
      <c r="F406" t="str">
        <f>INDEX(Establishment!B$2:B$1005,MATCH($E406,Establishment!$A$2:$A$1005,0))</f>
        <v xml:space="preserve"> </v>
      </c>
      <c r="G406" t="str">
        <f>INDEX(Establishment!C$2:C$1005,MATCH($E406,Establishment!$A$2:$A$1005,0))</f>
        <v xml:space="preserve"> </v>
      </c>
      <c r="M406">
        <f t="shared" si="36"/>
        <v>0</v>
      </c>
      <c r="N406">
        <f t="shared" si="34"/>
        <v>0</v>
      </c>
      <c r="P406" t="e">
        <f>INDEX(Items!B$2:B$1032,MATCH($O406,Items!$A$2:$A$1032,0))</f>
        <v>#N/A</v>
      </c>
      <c r="Q406" t="e">
        <f>INDEX(Items!C$2:C$1032,MATCH($O406,Items!$A$2:$A$1032,0))</f>
        <v>#N/A</v>
      </c>
      <c r="R406" t="e">
        <f>INDEX(Items!D$2:D$1032,MATCH($O406,Items!$A$2:$A$1032,0))</f>
        <v>#N/A</v>
      </c>
    </row>
    <row r="407" spans="1:18" x14ac:dyDescent="0.25">
      <c r="A407">
        <f t="shared" si="32"/>
        <v>1</v>
      </c>
      <c r="B407" t="str">
        <f t="shared" si="33"/>
        <v/>
      </c>
      <c r="C407">
        <f t="shared" si="35"/>
        <v>1</v>
      </c>
      <c r="D407" s="4"/>
      <c r="E407" t="s">
        <v>18</v>
      </c>
      <c r="F407" t="str">
        <f>INDEX(Establishment!B$2:B$1005,MATCH($E407,Establishment!$A$2:$A$1005,0))</f>
        <v xml:space="preserve"> </v>
      </c>
      <c r="G407" t="str">
        <f>INDEX(Establishment!C$2:C$1005,MATCH($E407,Establishment!$A$2:$A$1005,0))</f>
        <v xml:space="preserve"> </v>
      </c>
      <c r="M407">
        <f t="shared" si="36"/>
        <v>0</v>
      </c>
      <c r="N407">
        <f t="shared" si="34"/>
        <v>0</v>
      </c>
      <c r="P407" t="e">
        <f>INDEX(Items!B$2:B$1032,MATCH($O407,Items!$A$2:$A$1032,0))</f>
        <v>#N/A</v>
      </c>
      <c r="Q407" t="e">
        <f>INDEX(Items!C$2:C$1032,MATCH($O407,Items!$A$2:$A$1032,0))</f>
        <v>#N/A</v>
      </c>
      <c r="R407" t="e">
        <f>INDEX(Items!D$2:D$1032,MATCH($O407,Items!$A$2:$A$1032,0))</f>
        <v>#N/A</v>
      </c>
    </row>
    <row r="408" spans="1:18" x14ac:dyDescent="0.25">
      <c r="A408">
        <f t="shared" si="32"/>
        <v>1</v>
      </c>
      <c r="B408" t="str">
        <f t="shared" si="33"/>
        <v/>
      </c>
      <c r="C408">
        <f t="shared" si="35"/>
        <v>1</v>
      </c>
      <c r="D408" s="4"/>
      <c r="E408" t="s">
        <v>18</v>
      </c>
      <c r="F408" t="str">
        <f>INDEX(Establishment!B$2:B$1005,MATCH($E408,Establishment!$A$2:$A$1005,0))</f>
        <v xml:space="preserve"> </v>
      </c>
      <c r="G408" t="str">
        <f>INDEX(Establishment!C$2:C$1005,MATCH($E408,Establishment!$A$2:$A$1005,0))</f>
        <v xml:space="preserve"> </v>
      </c>
      <c r="M408">
        <f t="shared" si="36"/>
        <v>0</v>
      </c>
      <c r="N408">
        <f t="shared" si="34"/>
        <v>0</v>
      </c>
      <c r="P408" t="e">
        <f>INDEX(Items!B$2:B$1032,MATCH($O408,Items!$A$2:$A$1032,0))</f>
        <v>#N/A</v>
      </c>
      <c r="Q408" t="e">
        <f>INDEX(Items!C$2:C$1032,MATCH($O408,Items!$A$2:$A$1032,0))</f>
        <v>#N/A</v>
      </c>
      <c r="R408" t="e">
        <f>INDEX(Items!D$2:D$1032,MATCH($O408,Items!$A$2:$A$1032,0))</f>
        <v>#N/A</v>
      </c>
    </row>
    <row r="409" spans="1:18" x14ac:dyDescent="0.25">
      <c r="A409">
        <f t="shared" si="32"/>
        <v>1</v>
      </c>
      <c r="B409" t="str">
        <f t="shared" si="33"/>
        <v/>
      </c>
      <c r="C409">
        <f t="shared" si="35"/>
        <v>1</v>
      </c>
      <c r="D409" s="4"/>
      <c r="E409" t="s">
        <v>18</v>
      </c>
      <c r="F409" t="str">
        <f>INDEX(Establishment!B$2:B$1005,MATCH($E409,Establishment!$A$2:$A$1005,0))</f>
        <v xml:space="preserve"> </v>
      </c>
      <c r="G409" t="str">
        <f>INDEX(Establishment!C$2:C$1005,MATCH($E409,Establishment!$A$2:$A$1005,0))</f>
        <v xml:space="preserve"> </v>
      </c>
      <c r="M409">
        <f t="shared" si="36"/>
        <v>0</v>
      </c>
      <c r="N409">
        <f t="shared" si="34"/>
        <v>0</v>
      </c>
      <c r="P409" t="e">
        <f>INDEX(Items!B$2:B$1032,MATCH($O409,Items!$A$2:$A$1032,0))</f>
        <v>#N/A</v>
      </c>
      <c r="Q409" t="e">
        <f>INDEX(Items!C$2:C$1032,MATCH($O409,Items!$A$2:$A$1032,0))</f>
        <v>#N/A</v>
      </c>
      <c r="R409" t="e">
        <f>INDEX(Items!D$2:D$1032,MATCH($O409,Items!$A$2:$A$1032,0))</f>
        <v>#N/A</v>
      </c>
    </row>
    <row r="410" spans="1:18" x14ac:dyDescent="0.25">
      <c r="A410">
        <f t="shared" si="32"/>
        <v>1</v>
      </c>
      <c r="B410" t="str">
        <f t="shared" si="33"/>
        <v/>
      </c>
      <c r="C410">
        <f t="shared" si="35"/>
        <v>1</v>
      </c>
      <c r="D410" s="4"/>
      <c r="E410" t="s">
        <v>18</v>
      </c>
      <c r="F410" t="str">
        <f>INDEX(Establishment!B$2:B$1005,MATCH($E410,Establishment!$A$2:$A$1005,0))</f>
        <v xml:space="preserve"> </v>
      </c>
      <c r="G410" t="str">
        <f>INDEX(Establishment!C$2:C$1005,MATCH($E410,Establishment!$A$2:$A$1005,0))</f>
        <v xml:space="preserve"> </v>
      </c>
      <c r="M410">
        <f t="shared" si="36"/>
        <v>0</v>
      </c>
      <c r="N410">
        <f t="shared" si="34"/>
        <v>0</v>
      </c>
      <c r="P410" t="e">
        <f>INDEX(Items!B$2:B$1032,MATCH($O410,Items!$A$2:$A$1032,0))</f>
        <v>#N/A</v>
      </c>
      <c r="Q410" t="e">
        <f>INDEX(Items!C$2:C$1032,MATCH($O410,Items!$A$2:$A$1032,0))</f>
        <v>#N/A</v>
      </c>
      <c r="R410" t="e">
        <f>INDEX(Items!D$2:D$1032,MATCH($O410,Items!$A$2:$A$1032,0))</f>
        <v>#N/A</v>
      </c>
    </row>
    <row r="411" spans="1:18" x14ac:dyDescent="0.25">
      <c r="A411">
        <f t="shared" si="32"/>
        <v>1</v>
      </c>
      <c r="B411" t="str">
        <f t="shared" si="33"/>
        <v/>
      </c>
      <c r="C411">
        <f t="shared" si="35"/>
        <v>1</v>
      </c>
      <c r="D411" s="4"/>
      <c r="E411" t="s">
        <v>18</v>
      </c>
      <c r="F411" t="str">
        <f>INDEX(Establishment!B$2:B$1005,MATCH($E411,Establishment!$A$2:$A$1005,0))</f>
        <v xml:space="preserve"> </v>
      </c>
      <c r="G411" t="str">
        <f>INDEX(Establishment!C$2:C$1005,MATCH($E411,Establishment!$A$2:$A$1005,0))</f>
        <v xml:space="preserve"> </v>
      </c>
      <c r="M411">
        <f t="shared" si="36"/>
        <v>0</v>
      </c>
      <c r="N411">
        <f t="shared" si="34"/>
        <v>0</v>
      </c>
      <c r="P411" t="e">
        <f>INDEX(Items!B$2:B$1032,MATCH($O411,Items!$A$2:$A$1032,0))</f>
        <v>#N/A</v>
      </c>
      <c r="Q411" t="e">
        <f>INDEX(Items!C$2:C$1032,MATCH($O411,Items!$A$2:$A$1032,0))</f>
        <v>#N/A</v>
      </c>
      <c r="R411" t="e">
        <f>INDEX(Items!D$2:D$1032,MATCH($O411,Items!$A$2:$A$1032,0))</f>
        <v>#N/A</v>
      </c>
    </row>
    <row r="412" spans="1:18" x14ac:dyDescent="0.25">
      <c r="A412">
        <f t="shared" si="32"/>
        <v>1</v>
      </c>
      <c r="B412" t="str">
        <f t="shared" si="33"/>
        <v/>
      </c>
      <c r="C412">
        <f t="shared" si="35"/>
        <v>1</v>
      </c>
      <c r="D412" s="4"/>
      <c r="E412" t="s">
        <v>18</v>
      </c>
      <c r="F412" t="str">
        <f>INDEX(Establishment!B$2:B$1005,MATCH($E412,Establishment!$A$2:$A$1005,0))</f>
        <v xml:space="preserve"> </v>
      </c>
      <c r="G412" t="str">
        <f>INDEX(Establishment!C$2:C$1005,MATCH($E412,Establishment!$A$2:$A$1005,0))</f>
        <v xml:space="preserve"> </v>
      </c>
      <c r="M412">
        <f t="shared" si="36"/>
        <v>0</v>
      </c>
      <c r="N412">
        <f t="shared" si="34"/>
        <v>0</v>
      </c>
      <c r="P412" t="e">
        <f>INDEX(Items!B$2:B$1032,MATCH($O412,Items!$A$2:$A$1032,0))</f>
        <v>#N/A</v>
      </c>
      <c r="Q412" t="e">
        <f>INDEX(Items!C$2:C$1032,MATCH($O412,Items!$A$2:$A$1032,0))</f>
        <v>#N/A</v>
      </c>
      <c r="R412" t="e">
        <f>INDEX(Items!D$2:D$1032,MATCH($O412,Items!$A$2:$A$1032,0))</f>
        <v>#N/A</v>
      </c>
    </row>
    <row r="413" spans="1:18" x14ac:dyDescent="0.25">
      <c r="A413">
        <f t="shared" si="32"/>
        <v>1</v>
      </c>
      <c r="B413" t="str">
        <f t="shared" si="33"/>
        <v/>
      </c>
      <c r="C413">
        <f t="shared" si="35"/>
        <v>1</v>
      </c>
      <c r="D413" s="4"/>
      <c r="E413" t="s">
        <v>18</v>
      </c>
      <c r="F413" t="str">
        <f>INDEX(Establishment!B$2:B$1005,MATCH($E413,Establishment!$A$2:$A$1005,0))</f>
        <v xml:space="preserve"> </v>
      </c>
      <c r="G413" t="str">
        <f>INDEX(Establishment!C$2:C$1005,MATCH($E413,Establishment!$A$2:$A$1005,0))</f>
        <v xml:space="preserve"> </v>
      </c>
      <c r="M413">
        <f t="shared" si="36"/>
        <v>0</v>
      </c>
      <c r="N413">
        <f t="shared" si="34"/>
        <v>0</v>
      </c>
      <c r="P413" t="e">
        <f>INDEX(Items!B$2:B$1032,MATCH($O413,Items!$A$2:$A$1032,0))</f>
        <v>#N/A</v>
      </c>
      <c r="Q413" t="e">
        <f>INDEX(Items!C$2:C$1032,MATCH($O413,Items!$A$2:$A$1032,0))</f>
        <v>#N/A</v>
      </c>
      <c r="R413" t="e">
        <f>INDEX(Items!D$2:D$1032,MATCH($O413,Items!$A$2:$A$1032,0))</f>
        <v>#N/A</v>
      </c>
    </row>
    <row r="414" spans="1:18" x14ac:dyDescent="0.25">
      <c r="A414">
        <f t="shared" si="32"/>
        <v>1</v>
      </c>
      <c r="B414" t="str">
        <f t="shared" si="33"/>
        <v/>
      </c>
      <c r="C414">
        <f t="shared" si="35"/>
        <v>1</v>
      </c>
      <c r="D414" s="4"/>
      <c r="E414" t="s">
        <v>18</v>
      </c>
      <c r="F414" t="str">
        <f>INDEX(Establishment!B$2:B$1005,MATCH($E414,Establishment!$A$2:$A$1005,0))</f>
        <v xml:space="preserve"> </v>
      </c>
      <c r="G414" t="str">
        <f>INDEX(Establishment!C$2:C$1005,MATCH($E414,Establishment!$A$2:$A$1005,0))</f>
        <v xml:space="preserve"> </v>
      </c>
      <c r="M414">
        <f t="shared" si="36"/>
        <v>0</v>
      </c>
      <c r="N414">
        <f t="shared" si="34"/>
        <v>0</v>
      </c>
      <c r="P414" t="e">
        <f>INDEX(Items!B$2:B$1032,MATCH($O414,Items!$A$2:$A$1032,0))</f>
        <v>#N/A</v>
      </c>
      <c r="Q414" t="e">
        <f>INDEX(Items!C$2:C$1032,MATCH($O414,Items!$A$2:$A$1032,0))</f>
        <v>#N/A</v>
      </c>
      <c r="R414" t="e">
        <f>INDEX(Items!D$2:D$1032,MATCH($O414,Items!$A$2:$A$1032,0))</f>
        <v>#N/A</v>
      </c>
    </row>
    <row r="415" spans="1:18" x14ac:dyDescent="0.25">
      <c r="A415">
        <f t="shared" si="32"/>
        <v>1</v>
      </c>
      <c r="B415" t="str">
        <f t="shared" si="33"/>
        <v/>
      </c>
      <c r="C415">
        <f t="shared" si="35"/>
        <v>1</v>
      </c>
      <c r="D415" s="4"/>
      <c r="E415" t="s">
        <v>18</v>
      </c>
      <c r="F415" t="str">
        <f>INDEX(Establishment!B$2:B$1005,MATCH($E415,Establishment!$A$2:$A$1005,0))</f>
        <v xml:space="preserve"> </v>
      </c>
      <c r="G415" t="str">
        <f>INDEX(Establishment!C$2:C$1005,MATCH($E415,Establishment!$A$2:$A$1005,0))</f>
        <v xml:space="preserve"> </v>
      </c>
      <c r="M415">
        <f t="shared" si="36"/>
        <v>0</v>
      </c>
      <c r="N415">
        <f t="shared" si="34"/>
        <v>0</v>
      </c>
      <c r="P415" t="e">
        <f>INDEX(Items!B$2:B$1032,MATCH($O415,Items!$A$2:$A$1032,0))</f>
        <v>#N/A</v>
      </c>
      <c r="Q415" t="e">
        <f>INDEX(Items!C$2:C$1032,MATCH($O415,Items!$A$2:$A$1032,0))</f>
        <v>#N/A</v>
      </c>
      <c r="R415" t="e">
        <f>INDEX(Items!D$2:D$1032,MATCH($O415,Items!$A$2:$A$1032,0))</f>
        <v>#N/A</v>
      </c>
    </row>
    <row r="416" spans="1:18" x14ac:dyDescent="0.25">
      <c r="A416">
        <f t="shared" si="32"/>
        <v>1</v>
      </c>
      <c r="B416" t="str">
        <f t="shared" si="33"/>
        <v/>
      </c>
      <c r="C416">
        <f t="shared" si="35"/>
        <v>1</v>
      </c>
      <c r="D416" s="4"/>
      <c r="E416" t="s">
        <v>18</v>
      </c>
      <c r="F416" t="str">
        <f>INDEX(Establishment!B$2:B$1005,MATCH($E416,Establishment!$A$2:$A$1005,0))</f>
        <v xml:space="preserve"> </v>
      </c>
      <c r="G416" t="str">
        <f>INDEX(Establishment!C$2:C$1005,MATCH($E416,Establishment!$A$2:$A$1005,0))</f>
        <v xml:space="preserve"> </v>
      </c>
      <c r="M416">
        <f t="shared" si="36"/>
        <v>0</v>
      </c>
      <c r="N416">
        <f t="shared" si="34"/>
        <v>0</v>
      </c>
      <c r="P416" t="e">
        <f>INDEX(Items!B$2:B$1032,MATCH($O416,Items!$A$2:$A$1032,0))</f>
        <v>#N/A</v>
      </c>
      <c r="Q416" t="e">
        <f>INDEX(Items!C$2:C$1032,MATCH($O416,Items!$A$2:$A$1032,0))</f>
        <v>#N/A</v>
      </c>
      <c r="R416" t="e">
        <f>INDEX(Items!D$2:D$1032,MATCH($O416,Items!$A$2:$A$1032,0))</f>
        <v>#N/A</v>
      </c>
    </row>
    <row r="417" spans="1:18" x14ac:dyDescent="0.25">
      <c r="A417">
        <f t="shared" si="32"/>
        <v>1</v>
      </c>
      <c r="B417" t="str">
        <f t="shared" si="33"/>
        <v/>
      </c>
      <c r="C417">
        <f t="shared" si="35"/>
        <v>1</v>
      </c>
      <c r="D417" s="4"/>
      <c r="E417" t="s">
        <v>18</v>
      </c>
      <c r="F417" t="str">
        <f>INDEX(Establishment!B$2:B$1005,MATCH($E417,Establishment!$A$2:$A$1005,0))</f>
        <v xml:space="preserve"> </v>
      </c>
      <c r="G417" t="str">
        <f>INDEX(Establishment!C$2:C$1005,MATCH($E417,Establishment!$A$2:$A$1005,0))</f>
        <v xml:space="preserve"> </v>
      </c>
      <c r="M417">
        <f t="shared" si="36"/>
        <v>0</v>
      </c>
      <c r="N417">
        <f t="shared" si="34"/>
        <v>0</v>
      </c>
      <c r="P417" t="e">
        <f>INDEX(Items!B$2:B$1032,MATCH($O417,Items!$A$2:$A$1032,0))</f>
        <v>#N/A</v>
      </c>
      <c r="Q417" t="e">
        <f>INDEX(Items!C$2:C$1032,MATCH($O417,Items!$A$2:$A$1032,0))</f>
        <v>#N/A</v>
      </c>
      <c r="R417" t="e">
        <f>INDEX(Items!D$2:D$1032,MATCH($O417,Items!$A$2:$A$1032,0))</f>
        <v>#N/A</v>
      </c>
    </row>
    <row r="418" spans="1:18" x14ac:dyDescent="0.25">
      <c r="A418">
        <f t="shared" si="32"/>
        <v>1</v>
      </c>
      <c r="B418" t="str">
        <f t="shared" si="33"/>
        <v/>
      </c>
      <c r="C418">
        <f t="shared" si="35"/>
        <v>1</v>
      </c>
      <c r="D418" s="4"/>
      <c r="E418" t="s">
        <v>18</v>
      </c>
      <c r="F418" t="str">
        <f>INDEX(Establishment!B$2:B$1005,MATCH($E418,Establishment!$A$2:$A$1005,0))</f>
        <v xml:space="preserve"> </v>
      </c>
      <c r="G418" t="str">
        <f>INDEX(Establishment!C$2:C$1005,MATCH($E418,Establishment!$A$2:$A$1005,0))</f>
        <v xml:space="preserve"> </v>
      </c>
      <c r="M418">
        <f t="shared" si="36"/>
        <v>0</v>
      </c>
      <c r="N418">
        <f t="shared" si="34"/>
        <v>0</v>
      </c>
      <c r="P418" t="e">
        <f>INDEX(Items!B$2:B$1032,MATCH($O418,Items!$A$2:$A$1032,0))</f>
        <v>#N/A</v>
      </c>
      <c r="Q418" t="e">
        <f>INDEX(Items!C$2:C$1032,MATCH($O418,Items!$A$2:$A$1032,0))</f>
        <v>#N/A</v>
      </c>
      <c r="R418" t="e">
        <f>INDEX(Items!D$2:D$1032,MATCH($O418,Items!$A$2:$A$1032,0))</f>
        <v>#N/A</v>
      </c>
    </row>
    <row r="419" spans="1:18" x14ac:dyDescent="0.25">
      <c r="A419">
        <f t="shared" si="32"/>
        <v>1</v>
      </c>
      <c r="B419" t="str">
        <f t="shared" si="33"/>
        <v/>
      </c>
      <c r="C419">
        <f t="shared" si="35"/>
        <v>1</v>
      </c>
      <c r="D419" s="4"/>
      <c r="E419" t="s">
        <v>18</v>
      </c>
      <c r="F419" t="str">
        <f>INDEX(Establishment!B$2:B$1005,MATCH($E419,Establishment!$A$2:$A$1005,0))</f>
        <v xml:space="preserve"> </v>
      </c>
      <c r="G419" t="str">
        <f>INDEX(Establishment!C$2:C$1005,MATCH($E419,Establishment!$A$2:$A$1005,0))</f>
        <v xml:space="preserve"> </v>
      </c>
      <c r="M419">
        <f t="shared" si="36"/>
        <v>0</v>
      </c>
      <c r="N419">
        <f t="shared" si="34"/>
        <v>0</v>
      </c>
      <c r="P419" t="e">
        <f>INDEX(Items!B$2:B$1032,MATCH($O419,Items!$A$2:$A$1032,0))</f>
        <v>#N/A</v>
      </c>
      <c r="Q419" t="e">
        <f>INDEX(Items!C$2:C$1032,MATCH($O419,Items!$A$2:$A$1032,0))</f>
        <v>#N/A</v>
      </c>
      <c r="R419" t="e">
        <f>INDEX(Items!D$2:D$1032,MATCH($O419,Items!$A$2:$A$1032,0))</f>
        <v>#N/A</v>
      </c>
    </row>
    <row r="420" spans="1:18" x14ac:dyDescent="0.25">
      <c r="A420">
        <f t="shared" si="32"/>
        <v>1</v>
      </c>
      <c r="B420" t="str">
        <f t="shared" si="33"/>
        <v/>
      </c>
      <c r="C420">
        <f t="shared" si="35"/>
        <v>1</v>
      </c>
      <c r="D420" s="4"/>
      <c r="E420" t="s">
        <v>18</v>
      </c>
      <c r="F420" t="str">
        <f>INDEX(Establishment!B$2:B$1005,MATCH($E420,Establishment!$A$2:$A$1005,0))</f>
        <v xml:space="preserve"> </v>
      </c>
      <c r="G420" t="str">
        <f>INDEX(Establishment!C$2:C$1005,MATCH($E420,Establishment!$A$2:$A$1005,0))</f>
        <v xml:space="preserve"> </v>
      </c>
      <c r="M420">
        <f t="shared" si="36"/>
        <v>0</v>
      </c>
      <c r="N420">
        <f t="shared" si="34"/>
        <v>0</v>
      </c>
      <c r="P420" t="e">
        <f>INDEX(Items!B$2:B$1032,MATCH($O420,Items!$A$2:$A$1032,0))</f>
        <v>#N/A</v>
      </c>
      <c r="Q420" t="e">
        <f>INDEX(Items!C$2:C$1032,MATCH($O420,Items!$A$2:$A$1032,0))</f>
        <v>#N/A</v>
      </c>
      <c r="R420" t="e">
        <f>INDEX(Items!D$2:D$1032,MATCH($O420,Items!$A$2:$A$1032,0))</f>
        <v>#N/A</v>
      </c>
    </row>
    <row r="421" spans="1:18" x14ac:dyDescent="0.25">
      <c r="A421">
        <f t="shared" si="32"/>
        <v>1</v>
      </c>
      <c r="B421" t="str">
        <f t="shared" si="33"/>
        <v/>
      </c>
      <c r="C421">
        <f t="shared" si="35"/>
        <v>1</v>
      </c>
      <c r="D421" s="4"/>
      <c r="E421" t="s">
        <v>18</v>
      </c>
      <c r="F421" t="str">
        <f>INDEX(Establishment!B$2:B$1005,MATCH($E421,Establishment!$A$2:$A$1005,0))</f>
        <v xml:space="preserve"> </v>
      </c>
      <c r="G421" t="str">
        <f>INDEX(Establishment!C$2:C$1005,MATCH($E421,Establishment!$A$2:$A$1005,0))</f>
        <v xml:space="preserve"> </v>
      </c>
      <c r="M421">
        <f t="shared" si="36"/>
        <v>0</v>
      </c>
      <c r="N421">
        <f t="shared" si="34"/>
        <v>0</v>
      </c>
      <c r="P421" t="e">
        <f>INDEX(Items!B$2:B$1032,MATCH($O421,Items!$A$2:$A$1032,0))</f>
        <v>#N/A</v>
      </c>
      <c r="Q421" t="e">
        <f>INDEX(Items!C$2:C$1032,MATCH($O421,Items!$A$2:$A$1032,0))</f>
        <v>#N/A</v>
      </c>
      <c r="R421" t="e">
        <f>INDEX(Items!D$2:D$1032,MATCH($O421,Items!$A$2:$A$1032,0))</f>
        <v>#N/A</v>
      </c>
    </row>
    <row r="422" spans="1:18" x14ac:dyDescent="0.25">
      <c r="A422">
        <f t="shared" si="32"/>
        <v>1</v>
      </c>
      <c r="B422" t="str">
        <f t="shared" si="33"/>
        <v/>
      </c>
      <c r="C422">
        <f t="shared" si="35"/>
        <v>1</v>
      </c>
      <c r="D422" s="4"/>
      <c r="E422" t="s">
        <v>18</v>
      </c>
      <c r="F422" t="str">
        <f>INDEX(Establishment!B$2:B$1005,MATCH($E422,Establishment!$A$2:$A$1005,0))</f>
        <v xml:space="preserve"> </v>
      </c>
      <c r="G422" t="str">
        <f>INDEX(Establishment!C$2:C$1005,MATCH($E422,Establishment!$A$2:$A$1005,0))</f>
        <v xml:space="preserve"> </v>
      </c>
      <c r="M422">
        <f t="shared" si="36"/>
        <v>0</v>
      </c>
      <c r="N422">
        <f t="shared" si="34"/>
        <v>0</v>
      </c>
      <c r="P422" t="e">
        <f>INDEX(Items!B$2:B$1032,MATCH($O422,Items!$A$2:$A$1032,0))</f>
        <v>#N/A</v>
      </c>
      <c r="Q422" t="e">
        <f>INDEX(Items!C$2:C$1032,MATCH($O422,Items!$A$2:$A$1032,0))</f>
        <v>#N/A</v>
      </c>
      <c r="R422" t="e">
        <f>INDEX(Items!D$2:D$1032,MATCH($O422,Items!$A$2:$A$1032,0))</f>
        <v>#N/A</v>
      </c>
    </row>
    <row r="423" spans="1:18" x14ac:dyDescent="0.25">
      <c r="A423">
        <f t="shared" si="32"/>
        <v>1</v>
      </c>
      <c r="B423" t="str">
        <f t="shared" si="33"/>
        <v/>
      </c>
      <c r="C423">
        <f t="shared" si="35"/>
        <v>1</v>
      </c>
      <c r="D423" s="4"/>
      <c r="E423" t="s">
        <v>18</v>
      </c>
      <c r="F423" t="str">
        <f>INDEX(Establishment!B$2:B$1005,MATCH($E423,Establishment!$A$2:$A$1005,0))</f>
        <v xml:space="preserve"> </v>
      </c>
      <c r="G423" t="str">
        <f>INDEX(Establishment!C$2:C$1005,MATCH($E423,Establishment!$A$2:$A$1005,0))</f>
        <v xml:space="preserve"> </v>
      </c>
      <c r="M423">
        <f t="shared" si="36"/>
        <v>0</v>
      </c>
      <c r="N423">
        <f t="shared" si="34"/>
        <v>0</v>
      </c>
      <c r="P423" t="e">
        <f>INDEX(Items!B$2:B$1032,MATCH($O423,Items!$A$2:$A$1032,0))</f>
        <v>#N/A</v>
      </c>
      <c r="Q423" t="e">
        <f>INDEX(Items!C$2:C$1032,MATCH($O423,Items!$A$2:$A$1032,0))</f>
        <v>#N/A</v>
      </c>
      <c r="R423" t="e">
        <f>INDEX(Items!D$2:D$1032,MATCH($O423,Items!$A$2:$A$1032,0))</f>
        <v>#N/A</v>
      </c>
    </row>
    <row r="424" spans="1:18" x14ac:dyDescent="0.25">
      <c r="A424">
        <f t="shared" si="32"/>
        <v>1</v>
      </c>
      <c r="B424" t="str">
        <f t="shared" si="33"/>
        <v/>
      </c>
      <c r="C424">
        <f t="shared" si="35"/>
        <v>1</v>
      </c>
      <c r="D424" s="4"/>
      <c r="E424" t="s">
        <v>18</v>
      </c>
      <c r="F424" t="str">
        <f>INDEX(Establishment!B$2:B$1005,MATCH($E424,Establishment!$A$2:$A$1005,0))</f>
        <v xml:space="preserve"> </v>
      </c>
      <c r="G424" t="str">
        <f>INDEX(Establishment!C$2:C$1005,MATCH($E424,Establishment!$A$2:$A$1005,0))</f>
        <v xml:space="preserve"> </v>
      </c>
      <c r="M424">
        <f t="shared" si="36"/>
        <v>0</v>
      </c>
      <c r="N424">
        <f t="shared" si="34"/>
        <v>0</v>
      </c>
      <c r="P424" t="e">
        <f>INDEX(Items!B$2:B$1032,MATCH($O424,Items!$A$2:$A$1032,0))</f>
        <v>#N/A</v>
      </c>
      <c r="Q424" t="e">
        <f>INDEX(Items!C$2:C$1032,MATCH($O424,Items!$A$2:$A$1032,0))</f>
        <v>#N/A</v>
      </c>
      <c r="R424" t="e">
        <f>INDEX(Items!D$2:D$1032,MATCH($O424,Items!$A$2:$A$1032,0))</f>
        <v>#N/A</v>
      </c>
    </row>
    <row r="425" spans="1:18" x14ac:dyDescent="0.25">
      <c r="A425">
        <f t="shared" si="32"/>
        <v>1</v>
      </c>
      <c r="B425" t="str">
        <f t="shared" si="33"/>
        <v/>
      </c>
      <c r="C425">
        <f t="shared" si="35"/>
        <v>1</v>
      </c>
      <c r="D425" s="4"/>
      <c r="E425" t="s">
        <v>18</v>
      </c>
      <c r="F425" t="str">
        <f>INDEX(Establishment!B$2:B$1005,MATCH($E425,Establishment!$A$2:$A$1005,0))</f>
        <v xml:space="preserve"> </v>
      </c>
      <c r="G425" t="str">
        <f>INDEX(Establishment!C$2:C$1005,MATCH($E425,Establishment!$A$2:$A$1005,0))</f>
        <v xml:space="preserve"> </v>
      </c>
      <c r="M425">
        <f t="shared" si="36"/>
        <v>0</v>
      </c>
      <c r="N425">
        <f t="shared" si="34"/>
        <v>0</v>
      </c>
      <c r="P425" t="e">
        <f>INDEX(Items!B$2:B$1032,MATCH($O425,Items!$A$2:$A$1032,0))</f>
        <v>#N/A</v>
      </c>
      <c r="Q425" t="e">
        <f>INDEX(Items!C$2:C$1032,MATCH($O425,Items!$A$2:$A$1032,0))</f>
        <v>#N/A</v>
      </c>
      <c r="R425" t="e">
        <f>INDEX(Items!D$2:D$1032,MATCH($O425,Items!$A$2:$A$1032,0))</f>
        <v>#N/A</v>
      </c>
    </row>
    <row r="426" spans="1:18" x14ac:dyDescent="0.25">
      <c r="A426">
        <f t="shared" si="32"/>
        <v>1</v>
      </c>
      <c r="B426" t="str">
        <f t="shared" si="33"/>
        <v/>
      </c>
      <c r="C426">
        <f t="shared" si="35"/>
        <v>1</v>
      </c>
      <c r="D426" s="4"/>
      <c r="E426" t="s">
        <v>18</v>
      </c>
      <c r="F426" t="str">
        <f>INDEX(Establishment!B$2:B$1005,MATCH($E426,Establishment!$A$2:$A$1005,0))</f>
        <v xml:space="preserve"> </v>
      </c>
      <c r="G426" t="str">
        <f>INDEX(Establishment!C$2:C$1005,MATCH($E426,Establishment!$A$2:$A$1005,0))</f>
        <v xml:space="preserve"> </v>
      </c>
      <c r="M426">
        <f t="shared" si="36"/>
        <v>0</v>
      </c>
      <c r="N426">
        <f t="shared" si="34"/>
        <v>0</v>
      </c>
      <c r="P426" t="e">
        <f>INDEX(Items!B$2:B$1032,MATCH($O426,Items!$A$2:$A$1032,0))</f>
        <v>#N/A</v>
      </c>
      <c r="Q426" t="e">
        <f>INDEX(Items!C$2:C$1032,MATCH($O426,Items!$A$2:$A$1032,0))</f>
        <v>#N/A</v>
      </c>
      <c r="R426" t="e">
        <f>INDEX(Items!D$2:D$1032,MATCH($O426,Items!$A$2:$A$1032,0))</f>
        <v>#N/A</v>
      </c>
    </row>
    <row r="427" spans="1:18" x14ac:dyDescent="0.25">
      <c r="A427">
        <f t="shared" si="32"/>
        <v>1</v>
      </c>
      <c r="B427" t="str">
        <f t="shared" si="33"/>
        <v/>
      </c>
      <c r="C427">
        <f t="shared" si="35"/>
        <v>1</v>
      </c>
      <c r="D427" s="4"/>
      <c r="E427" t="s">
        <v>18</v>
      </c>
      <c r="F427" t="str">
        <f>INDEX(Establishment!B$2:B$1005,MATCH($E427,Establishment!$A$2:$A$1005,0))</f>
        <v xml:space="preserve"> </v>
      </c>
      <c r="G427" t="str">
        <f>INDEX(Establishment!C$2:C$1005,MATCH($E427,Establishment!$A$2:$A$1005,0))</f>
        <v xml:space="preserve"> </v>
      </c>
      <c r="M427">
        <f t="shared" si="36"/>
        <v>0</v>
      </c>
      <c r="N427">
        <f t="shared" si="34"/>
        <v>0</v>
      </c>
      <c r="P427" t="e">
        <f>INDEX(Items!B$2:B$1032,MATCH($O427,Items!$A$2:$A$1032,0))</f>
        <v>#N/A</v>
      </c>
      <c r="Q427" t="e">
        <f>INDEX(Items!C$2:C$1032,MATCH($O427,Items!$A$2:$A$1032,0))</f>
        <v>#N/A</v>
      </c>
      <c r="R427" t="e">
        <f>INDEX(Items!D$2:D$1032,MATCH($O427,Items!$A$2:$A$1032,0))</f>
        <v>#N/A</v>
      </c>
    </row>
    <row r="428" spans="1:18" x14ac:dyDescent="0.25">
      <c r="A428">
        <f t="shared" si="32"/>
        <v>1</v>
      </c>
      <c r="B428" t="str">
        <f t="shared" si="33"/>
        <v/>
      </c>
      <c r="C428">
        <f t="shared" si="35"/>
        <v>1</v>
      </c>
      <c r="D428" s="4"/>
      <c r="E428" t="s">
        <v>18</v>
      </c>
      <c r="F428" t="str">
        <f>INDEX(Establishment!B$2:B$1005,MATCH($E428,Establishment!$A$2:$A$1005,0))</f>
        <v xml:space="preserve"> </v>
      </c>
      <c r="G428" t="str">
        <f>INDEX(Establishment!C$2:C$1005,MATCH($E428,Establishment!$A$2:$A$1005,0))</f>
        <v xml:space="preserve"> </v>
      </c>
      <c r="M428">
        <f t="shared" si="36"/>
        <v>0</v>
      </c>
      <c r="N428">
        <f t="shared" si="34"/>
        <v>0</v>
      </c>
      <c r="P428" t="e">
        <f>INDEX(Items!B$2:B$1032,MATCH($O428,Items!$A$2:$A$1032,0))</f>
        <v>#N/A</v>
      </c>
      <c r="Q428" t="e">
        <f>INDEX(Items!C$2:C$1032,MATCH($O428,Items!$A$2:$A$1032,0))</f>
        <v>#N/A</v>
      </c>
      <c r="R428" t="e">
        <f>INDEX(Items!D$2:D$1032,MATCH($O428,Items!$A$2:$A$1032,0))</f>
        <v>#N/A</v>
      </c>
    </row>
    <row r="429" spans="1:18" x14ac:dyDescent="0.25">
      <c r="A429">
        <f t="shared" si="32"/>
        <v>1</v>
      </c>
      <c r="B429" t="str">
        <f t="shared" si="33"/>
        <v/>
      </c>
      <c r="C429">
        <f t="shared" si="35"/>
        <v>1</v>
      </c>
      <c r="D429" s="4"/>
      <c r="E429" t="s">
        <v>18</v>
      </c>
      <c r="F429" t="str">
        <f>INDEX(Establishment!B$2:B$1005,MATCH($E429,Establishment!$A$2:$A$1005,0))</f>
        <v xml:space="preserve"> </v>
      </c>
      <c r="G429" t="str">
        <f>INDEX(Establishment!C$2:C$1005,MATCH($E429,Establishment!$A$2:$A$1005,0))</f>
        <v xml:space="preserve"> </v>
      </c>
      <c r="M429">
        <f t="shared" si="36"/>
        <v>0</v>
      </c>
      <c r="N429">
        <f t="shared" si="34"/>
        <v>0</v>
      </c>
      <c r="P429" t="e">
        <f>INDEX(Items!B$2:B$1032,MATCH($O429,Items!$A$2:$A$1032,0))</f>
        <v>#N/A</v>
      </c>
      <c r="Q429" t="e">
        <f>INDEX(Items!C$2:C$1032,MATCH($O429,Items!$A$2:$A$1032,0))</f>
        <v>#N/A</v>
      </c>
      <c r="R429" t="e">
        <f>INDEX(Items!D$2:D$1032,MATCH($O429,Items!$A$2:$A$1032,0))</f>
        <v>#N/A</v>
      </c>
    </row>
    <row r="430" spans="1:18" x14ac:dyDescent="0.25">
      <c r="A430">
        <f t="shared" si="32"/>
        <v>1</v>
      </c>
      <c r="B430" t="str">
        <f t="shared" si="33"/>
        <v/>
      </c>
      <c r="C430">
        <f t="shared" si="35"/>
        <v>1</v>
      </c>
      <c r="D430" s="4"/>
      <c r="E430" t="s">
        <v>18</v>
      </c>
      <c r="F430" t="str">
        <f>INDEX(Establishment!B$2:B$1005,MATCH($E430,Establishment!$A$2:$A$1005,0))</f>
        <v xml:space="preserve"> </v>
      </c>
      <c r="G430" t="str">
        <f>INDEX(Establishment!C$2:C$1005,MATCH($E430,Establishment!$A$2:$A$1005,0))</f>
        <v xml:space="preserve"> </v>
      </c>
      <c r="M430">
        <f t="shared" si="36"/>
        <v>0</v>
      </c>
      <c r="N430">
        <f t="shared" si="34"/>
        <v>0</v>
      </c>
      <c r="P430" t="e">
        <f>INDEX(Items!B$2:B$1032,MATCH($O430,Items!$A$2:$A$1032,0))</f>
        <v>#N/A</v>
      </c>
      <c r="Q430" t="e">
        <f>INDEX(Items!C$2:C$1032,MATCH($O430,Items!$A$2:$A$1032,0))</f>
        <v>#N/A</v>
      </c>
      <c r="R430" t="e">
        <f>INDEX(Items!D$2:D$1032,MATCH($O430,Items!$A$2:$A$1032,0))</f>
        <v>#N/A</v>
      </c>
    </row>
    <row r="431" spans="1:18" x14ac:dyDescent="0.25">
      <c r="A431">
        <f t="shared" si="32"/>
        <v>1</v>
      </c>
      <c r="B431" t="str">
        <f t="shared" si="33"/>
        <v/>
      </c>
      <c r="C431">
        <f t="shared" si="35"/>
        <v>1</v>
      </c>
      <c r="D431" s="4"/>
      <c r="E431" t="s">
        <v>18</v>
      </c>
      <c r="F431" t="str">
        <f>INDEX(Establishment!B$2:B$1005,MATCH($E431,Establishment!$A$2:$A$1005,0))</f>
        <v xml:space="preserve"> </v>
      </c>
      <c r="G431" t="str">
        <f>INDEX(Establishment!C$2:C$1005,MATCH($E431,Establishment!$A$2:$A$1005,0))</f>
        <v xml:space="preserve"> </v>
      </c>
      <c r="M431">
        <f t="shared" si="36"/>
        <v>0</v>
      </c>
      <c r="N431">
        <f t="shared" si="34"/>
        <v>0</v>
      </c>
      <c r="P431" t="e">
        <f>INDEX(Items!B$2:B$1032,MATCH($O431,Items!$A$2:$A$1032,0))</f>
        <v>#N/A</v>
      </c>
      <c r="Q431" t="e">
        <f>INDEX(Items!C$2:C$1032,MATCH($O431,Items!$A$2:$A$1032,0))</f>
        <v>#N/A</v>
      </c>
      <c r="R431" t="e">
        <f>INDEX(Items!D$2:D$1032,MATCH($O431,Items!$A$2:$A$1032,0))</f>
        <v>#N/A</v>
      </c>
    </row>
    <row r="432" spans="1:18" x14ac:dyDescent="0.25">
      <c r="A432">
        <f t="shared" si="32"/>
        <v>1</v>
      </c>
      <c r="B432" t="str">
        <f t="shared" si="33"/>
        <v/>
      </c>
      <c r="C432">
        <f t="shared" si="35"/>
        <v>1</v>
      </c>
      <c r="D432" s="4"/>
      <c r="E432" t="s">
        <v>18</v>
      </c>
      <c r="F432" t="str">
        <f>INDEX(Establishment!B$2:B$1005,MATCH($E432,Establishment!$A$2:$A$1005,0))</f>
        <v xml:space="preserve"> </v>
      </c>
      <c r="G432" t="str">
        <f>INDEX(Establishment!C$2:C$1005,MATCH($E432,Establishment!$A$2:$A$1005,0))</f>
        <v xml:space="preserve"> </v>
      </c>
      <c r="M432">
        <f t="shared" si="36"/>
        <v>0</v>
      </c>
      <c r="N432">
        <f t="shared" si="34"/>
        <v>0</v>
      </c>
      <c r="P432" t="e">
        <f>INDEX(Items!B$2:B$1032,MATCH($O432,Items!$A$2:$A$1032,0))</f>
        <v>#N/A</v>
      </c>
      <c r="Q432" t="e">
        <f>INDEX(Items!C$2:C$1032,MATCH($O432,Items!$A$2:$A$1032,0))</f>
        <v>#N/A</v>
      </c>
      <c r="R432" t="e">
        <f>INDEX(Items!D$2:D$1032,MATCH($O432,Items!$A$2:$A$1032,0))</f>
        <v>#N/A</v>
      </c>
    </row>
    <row r="433" spans="1:18" x14ac:dyDescent="0.25">
      <c r="A433">
        <f t="shared" si="32"/>
        <v>1</v>
      </c>
      <c r="B433" t="str">
        <f t="shared" si="33"/>
        <v/>
      </c>
      <c r="C433">
        <f t="shared" si="35"/>
        <v>1</v>
      </c>
      <c r="D433" s="4"/>
      <c r="E433" t="s">
        <v>18</v>
      </c>
      <c r="F433" t="str">
        <f>INDEX(Establishment!B$2:B$1005,MATCH($E433,Establishment!$A$2:$A$1005,0))</f>
        <v xml:space="preserve"> </v>
      </c>
      <c r="G433" t="str">
        <f>INDEX(Establishment!C$2:C$1005,MATCH($E433,Establishment!$A$2:$A$1005,0))</f>
        <v xml:space="preserve"> </v>
      </c>
      <c r="M433">
        <f t="shared" si="36"/>
        <v>0</v>
      </c>
      <c r="N433">
        <f t="shared" si="34"/>
        <v>0</v>
      </c>
      <c r="P433" t="e">
        <f>INDEX(Items!B$2:B$1032,MATCH($O433,Items!$A$2:$A$1032,0))</f>
        <v>#N/A</v>
      </c>
      <c r="Q433" t="e">
        <f>INDEX(Items!C$2:C$1032,MATCH($O433,Items!$A$2:$A$1032,0))</f>
        <v>#N/A</v>
      </c>
      <c r="R433" t="e">
        <f>INDEX(Items!D$2:D$1032,MATCH($O433,Items!$A$2:$A$1032,0))</f>
        <v>#N/A</v>
      </c>
    </row>
    <row r="434" spans="1:18" x14ac:dyDescent="0.25">
      <c r="A434">
        <f t="shared" si="32"/>
        <v>1</v>
      </c>
      <c r="B434" t="str">
        <f t="shared" si="33"/>
        <v/>
      </c>
      <c r="C434">
        <f t="shared" si="35"/>
        <v>1</v>
      </c>
      <c r="D434" s="4"/>
      <c r="E434" t="s">
        <v>18</v>
      </c>
      <c r="F434" t="str">
        <f>INDEX(Establishment!B$2:B$1005,MATCH($E434,Establishment!$A$2:$A$1005,0))</f>
        <v xml:space="preserve"> </v>
      </c>
      <c r="G434" t="str">
        <f>INDEX(Establishment!C$2:C$1005,MATCH($E434,Establishment!$A$2:$A$1005,0))</f>
        <v xml:space="preserve"> </v>
      </c>
      <c r="M434">
        <f t="shared" si="36"/>
        <v>0</v>
      </c>
      <c r="N434">
        <f t="shared" si="34"/>
        <v>0</v>
      </c>
      <c r="P434" t="e">
        <f>INDEX(Items!B$2:B$1032,MATCH($O434,Items!$A$2:$A$1032,0))</f>
        <v>#N/A</v>
      </c>
      <c r="Q434" t="e">
        <f>INDEX(Items!C$2:C$1032,MATCH($O434,Items!$A$2:$A$1032,0))</f>
        <v>#N/A</v>
      </c>
      <c r="R434" t="e">
        <f>INDEX(Items!D$2:D$1032,MATCH($O434,Items!$A$2:$A$1032,0))</f>
        <v>#N/A</v>
      </c>
    </row>
    <row r="435" spans="1:18" x14ac:dyDescent="0.25">
      <c r="A435">
        <f t="shared" si="32"/>
        <v>1</v>
      </c>
      <c r="B435" t="str">
        <f t="shared" si="33"/>
        <v/>
      </c>
      <c r="C435">
        <f t="shared" si="35"/>
        <v>1</v>
      </c>
      <c r="D435" s="4"/>
      <c r="E435" t="s">
        <v>18</v>
      </c>
      <c r="F435" t="str">
        <f>INDEX(Establishment!B$2:B$1005,MATCH($E435,Establishment!$A$2:$A$1005,0))</f>
        <v xml:space="preserve"> </v>
      </c>
      <c r="G435" t="str">
        <f>INDEX(Establishment!C$2:C$1005,MATCH($E435,Establishment!$A$2:$A$1005,0))</f>
        <v xml:space="preserve"> </v>
      </c>
      <c r="M435">
        <f t="shared" si="36"/>
        <v>0</v>
      </c>
      <c r="N435">
        <f t="shared" si="34"/>
        <v>0</v>
      </c>
      <c r="P435" t="e">
        <f>INDEX(Items!B$2:B$1032,MATCH($O435,Items!$A$2:$A$1032,0))</f>
        <v>#N/A</v>
      </c>
      <c r="Q435" t="e">
        <f>INDEX(Items!C$2:C$1032,MATCH($O435,Items!$A$2:$A$1032,0))</f>
        <v>#N/A</v>
      </c>
      <c r="R435" t="e">
        <f>INDEX(Items!D$2:D$1032,MATCH($O435,Items!$A$2:$A$1032,0))</f>
        <v>#N/A</v>
      </c>
    </row>
    <row r="436" spans="1:18" x14ac:dyDescent="0.25">
      <c r="A436">
        <f t="shared" si="32"/>
        <v>1</v>
      </c>
      <c r="B436" t="str">
        <f t="shared" si="33"/>
        <v/>
      </c>
      <c r="C436">
        <f t="shared" si="35"/>
        <v>1</v>
      </c>
      <c r="D436" s="4"/>
      <c r="E436" t="s">
        <v>18</v>
      </c>
      <c r="F436" t="str">
        <f>INDEX(Establishment!B$2:B$1005,MATCH($E436,Establishment!$A$2:$A$1005,0))</f>
        <v xml:space="preserve"> </v>
      </c>
      <c r="G436" t="str">
        <f>INDEX(Establishment!C$2:C$1005,MATCH($E436,Establishment!$A$2:$A$1005,0))</f>
        <v xml:space="preserve"> </v>
      </c>
      <c r="M436">
        <f t="shared" si="36"/>
        <v>0</v>
      </c>
      <c r="N436">
        <f t="shared" si="34"/>
        <v>0</v>
      </c>
      <c r="P436" t="e">
        <f>INDEX(Items!B$2:B$1032,MATCH($O436,Items!$A$2:$A$1032,0))</f>
        <v>#N/A</v>
      </c>
      <c r="Q436" t="e">
        <f>INDEX(Items!C$2:C$1032,MATCH($O436,Items!$A$2:$A$1032,0))</f>
        <v>#N/A</v>
      </c>
      <c r="R436" t="e">
        <f>INDEX(Items!D$2:D$1032,MATCH($O436,Items!$A$2:$A$1032,0))</f>
        <v>#N/A</v>
      </c>
    </row>
    <row r="437" spans="1:18" x14ac:dyDescent="0.25">
      <c r="A437">
        <f t="shared" si="32"/>
        <v>1</v>
      </c>
      <c r="B437" t="str">
        <f t="shared" si="33"/>
        <v/>
      </c>
      <c r="C437">
        <f t="shared" si="35"/>
        <v>1</v>
      </c>
      <c r="D437" s="4"/>
      <c r="E437" t="s">
        <v>18</v>
      </c>
      <c r="F437" t="str">
        <f>INDEX(Establishment!B$2:B$1005,MATCH($E437,Establishment!$A$2:$A$1005,0))</f>
        <v xml:space="preserve"> </v>
      </c>
      <c r="G437" t="str">
        <f>INDEX(Establishment!C$2:C$1005,MATCH($E437,Establishment!$A$2:$A$1005,0))</f>
        <v xml:space="preserve"> </v>
      </c>
      <c r="M437">
        <f t="shared" si="36"/>
        <v>0</v>
      </c>
      <c r="N437">
        <f t="shared" si="34"/>
        <v>0</v>
      </c>
      <c r="P437" t="e">
        <f>INDEX(Items!B$2:B$1032,MATCH($O437,Items!$A$2:$A$1032,0))</f>
        <v>#N/A</v>
      </c>
      <c r="Q437" t="e">
        <f>INDEX(Items!C$2:C$1032,MATCH($O437,Items!$A$2:$A$1032,0))</f>
        <v>#N/A</v>
      </c>
      <c r="R437" t="e">
        <f>INDEX(Items!D$2:D$1032,MATCH($O437,Items!$A$2:$A$1032,0))</f>
        <v>#N/A</v>
      </c>
    </row>
    <row r="438" spans="1:18" x14ac:dyDescent="0.25">
      <c r="A438">
        <f t="shared" si="32"/>
        <v>1</v>
      </c>
      <c r="B438" t="str">
        <f t="shared" si="33"/>
        <v/>
      </c>
      <c r="C438">
        <f t="shared" si="35"/>
        <v>1</v>
      </c>
      <c r="D438" s="4"/>
      <c r="E438" t="s">
        <v>18</v>
      </c>
      <c r="F438" t="str">
        <f>INDEX(Establishment!B$2:B$1005,MATCH($E438,Establishment!$A$2:$A$1005,0))</f>
        <v xml:space="preserve"> </v>
      </c>
      <c r="G438" t="str">
        <f>INDEX(Establishment!C$2:C$1005,MATCH($E438,Establishment!$A$2:$A$1005,0))</f>
        <v xml:space="preserve"> </v>
      </c>
      <c r="M438">
        <f t="shared" si="36"/>
        <v>0</v>
      </c>
      <c r="N438">
        <f t="shared" si="34"/>
        <v>0</v>
      </c>
      <c r="P438" t="e">
        <f>INDEX(Items!B$2:B$1032,MATCH($O438,Items!$A$2:$A$1032,0))</f>
        <v>#N/A</v>
      </c>
      <c r="Q438" t="e">
        <f>INDEX(Items!C$2:C$1032,MATCH($O438,Items!$A$2:$A$1032,0))</f>
        <v>#N/A</v>
      </c>
      <c r="R438" t="e">
        <f>INDEX(Items!D$2:D$1032,MATCH($O438,Items!$A$2:$A$1032,0))</f>
        <v>#N/A</v>
      </c>
    </row>
    <row r="439" spans="1:18" x14ac:dyDescent="0.25">
      <c r="A439">
        <f t="shared" si="32"/>
        <v>1</v>
      </c>
      <c r="B439" t="str">
        <f t="shared" si="33"/>
        <v/>
      </c>
      <c r="C439">
        <f t="shared" si="35"/>
        <v>1</v>
      </c>
      <c r="D439" s="4"/>
      <c r="E439" t="s">
        <v>18</v>
      </c>
      <c r="F439" t="str">
        <f>INDEX(Establishment!B$2:B$1005,MATCH($E439,Establishment!$A$2:$A$1005,0))</f>
        <v xml:space="preserve"> </v>
      </c>
      <c r="G439" t="str">
        <f>INDEX(Establishment!C$2:C$1005,MATCH($E439,Establishment!$A$2:$A$1005,0))</f>
        <v xml:space="preserve"> </v>
      </c>
      <c r="M439">
        <f t="shared" si="36"/>
        <v>0</v>
      </c>
      <c r="N439">
        <f t="shared" si="34"/>
        <v>0</v>
      </c>
      <c r="P439" t="e">
        <f>INDEX(Items!B$2:B$1032,MATCH($O439,Items!$A$2:$A$1032,0))</f>
        <v>#N/A</v>
      </c>
      <c r="Q439" t="e">
        <f>INDEX(Items!C$2:C$1032,MATCH($O439,Items!$A$2:$A$1032,0))</f>
        <v>#N/A</v>
      </c>
      <c r="R439" t="e">
        <f>INDEX(Items!D$2:D$1032,MATCH($O439,Items!$A$2:$A$1032,0))</f>
        <v>#N/A</v>
      </c>
    </row>
    <row r="440" spans="1:18" x14ac:dyDescent="0.25">
      <c r="A440">
        <f t="shared" si="32"/>
        <v>1</v>
      </c>
      <c r="B440" t="str">
        <f t="shared" si="33"/>
        <v/>
      </c>
      <c r="C440">
        <f t="shared" si="35"/>
        <v>1</v>
      </c>
      <c r="D440" s="4"/>
      <c r="E440" t="s">
        <v>18</v>
      </c>
      <c r="F440" t="str">
        <f>INDEX(Establishment!B$2:B$1005,MATCH($E440,Establishment!$A$2:$A$1005,0))</f>
        <v xml:space="preserve"> </v>
      </c>
      <c r="G440" t="str">
        <f>INDEX(Establishment!C$2:C$1005,MATCH($E440,Establishment!$A$2:$A$1005,0))</f>
        <v xml:space="preserve"> </v>
      </c>
      <c r="M440">
        <f t="shared" si="36"/>
        <v>0</v>
      </c>
      <c r="N440">
        <f t="shared" si="34"/>
        <v>0</v>
      </c>
      <c r="P440" t="e">
        <f>INDEX(Items!B$2:B$1032,MATCH($O440,Items!$A$2:$A$1032,0))</f>
        <v>#N/A</v>
      </c>
      <c r="Q440" t="e">
        <f>INDEX(Items!C$2:C$1032,MATCH($O440,Items!$A$2:$A$1032,0))</f>
        <v>#N/A</v>
      </c>
      <c r="R440" t="e">
        <f>INDEX(Items!D$2:D$1032,MATCH($O440,Items!$A$2:$A$1032,0))</f>
        <v>#N/A</v>
      </c>
    </row>
    <row r="441" spans="1:18" x14ac:dyDescent="0.25">
      <c r="A441">
        <f t="shared" si="32"/>
        <v>1</v>
      </c>
      <c r="B441" t="str">
        <f t="shared" si="33"/>
        <v/>
      </c>
      <c r="C441">
        <f t="shared" si="35"/>
        <v>1</v>
      </c>
      <c r="D441" s="4"/>
      <c r="E441" t="s">
        <v>18</v>
      </c>
      <c r="F441" t="str">
        <f>INDEX(Establishment!B$2:B$1005,MATCH($E441,Establishment!$A$2:$A$1005,0))</f>
        <v xml:space="preserve"> </v>
      </c>
      <c r="G441" t="str">
        <f>INDEX(Establishment!C$2:C$1005,MATCH($E441,Establishment!$A$2:$A$1005,0))</f>
        <v xml:space="preserve"> </v>
      </c>
      <c r="M441">
        <f t="shared" si="36"/>
        <v>0</v>
      </c>
      <c r="N441">
        <f t="shared" si="34"/>
        <v>0</v>
      </c>
      <c r="P441" t="e">
        <f>INDEX(Items!B$2:B$1032,MATCH($O441,Items!$A$2:$A$1032,0))</f>
        <v>#N/A</v>
      </c>
      <c r="Q441" t="e">
        <f>INDEX(Items!C$2:C$1032,MATCH($O441,Items!$A$2:$A$1032,0))</f>
        <v>#N/A</v>
      </c>
      <c r="R441" t="e">
        <f>INDEX(Items!D$2:D$1032,MATCH($O441,Items!$A$2:$A$1032,0))</f>
        <v>#N/A</v>
      </c>
    </row>
    <row r="442" spans="1:18" x14ac:dyDescent="0.25">
      <c r="A442">
        <f t="shared" si="32"/>
        <v>1</v>
      </c>
      <c r="B442" t="str">
        <f t="shared" si="33"/>
        <v/>
      </c>
      <c r="C442">
        <f t="shared" si="35"/>
        <v>1</v>
      </c>
      <c r="D442" s="4"/>
      <c r="E442" t="s">
        <v>18</v>
      </c>
      <c r="F442" t="str">
        <f>INDEX(Establishment!B$2:B$1005,MATCH($E442,Establishment!$A$2:$A$1005,0))</f>
        <v xml:space="preserve"> </v>
      </c>
      <c r="G442" t="str">
        <f>INDEX(Establishment!C$2:C$1005,MATCH($E442,Establishment!$A$2:$A$1005,0))</f>
        <v xml:space="preserve"> </v>
      </c>
      <c r="M442">
        <f t="shared" si="36"/>
        <v>0</v>
      </c>
      <c r="N442">
        <f t="shared" si="34"/>
        <v>0</v>
      </c>
      <c r="P442" t="e">
        <f>INDEX(Items!B$2:B$1032,MATCH($O442,Items!$A$2:$A$1032,0))</f>
        <v>#N/A</v>
      </c>
      <c r="Q442" t="e">
        <f>INDEX(Items!C$2:C$1032,MATCH($O442,Items!$A$2:$A$1032,0))</f>
        <v>#N/A</v>
      </c>
      <c r="R442" t="e">
        <f>INDEX(Items!D$2:D$1032,MATCH($O442,Items!$A$2:$A$1032,0))</f>
        <v>#N/A</v>
      </c>
    </row>
    <row r="443" spans="1:18" x14ac:dyDescent="0.25">
      <c r="A443">
        <f t="shared" si="32"/>
        <v>1</v>
      </c>
      <c r="B443" t="str">
        <f t="shared" si="33"/>
        <v/>
      </c>
      <c r="C443">
        <f t="shared" si="35"/>
        <v>1</v>
      </c>
      <c r="D443" s="4"/>
      <c r="E443" t="s">
        <v>18</v>
      </c>
      <c r="F443" t="str">
        <f>INDEX(Establishment!B$2:B$1005,MATCH($E443,Establishment!$A$2:$A$1005,0))</f>
        <v xml:space="preserve"> </v>
      </c>
      <c r="G443" t="str">
        <f>INDEX(Establishment!C$2:C$1005,MATCH($E443,Establishment!$A$2:$A$1005,0))</f>
        <v xml:space="preserve"> </v>
      </c>
      <c r="M443">
        <f t="shared" si="36"/>
        <v>0</v>
      </c>
      <c r="N443">
        <f t="shared" si="34"/>
        <v>0</v>
      </c>
      <c r="P443" t="e">
        <f>INDEX(Items!B$2:B$1032,MATCH($O443,Items!$A$2:$A$1032,0))</f>
        <v>#N/A</v>
      </c>
      <c r="Q443" t="e">
        <f>INDEX(Items!C$2:C$1032,MATCH($O443,Items!$A$2:$A$1032,0))</f>
        <v>#N/A</v>
      </c>
      <c r="R443" t="e">
        <f>INDEX(Items!D$2:D$1032,MATCH($O443,Items!$A$2:$A$1032,0))</f>
        <v>#N/A</v>
      </c>
    </row>
    <row r="444" spans="1:18" x14ac:dyDescent="0.25">
      <c r="A444">
        <f t="shared" si="32"/>
        <v>1</v>
      </c>
      <c r="B444" t="str">
        <f t="shared" si="33"/>
        <v/>
      </c>
      <c r="C444">
        <f t="shared" si="35"/>
        <v>1</v>
      </c>
      <c r="D444" s="4"/>
      <c r="E444" t="s">
        <v>18</v>
      </c>
      <c r="F444" t="str">
        <f>INDEX(Establishment!B$2:B$1005,MATCH($E444,Establishment!$A$2:$A$1005,0))</f>
        <v xml:space="preserve"> </v>
      </c>
      <c r="G444" t="str">
        <f>INDEX(Establishment!C$2:C$1005,MATCH($E444,Establishment!$A$2:$A$1005,0))</f>
        <v xml:space="preserve"> </v>
      </c>
      <c r="M444">
        <f t="shared" si="36"/>
        <v>0</v>
      </c>
      <c r="N444">
        <f t="shared" si="34"/>
        <v>0</v>
      </c>
      <c r="P444" t="e">
        <f>INDEX(Items!B$2:B$1032,MATCH($O444,Items!$A$2:$A$1032,0))</f>
        <v>#N/A</v>
      </c>
      <c r="Q444" t="e">
        <f>INDEX(Items!C$2:C$1032,MATCH($O444,Items!$A$2:$A$1032,0))</f>
        <v>#N/A</v>
      </c>
      <c r="R444" t="e">
        <f>INDEX(Items!D$2:D$1032,MATCH($O444,Items!$A$2:$A$1032,0))</f>
        <v>#N/A</v>
      </c>
    </row>
    <row r="445" spans="1:18" x14ac:dyDescent="0.25">
      <c r="A445">
        <f t="shared" si="32"/>
        <v>1</v>
      </c>
      <c r="B445" t="str">
        <f t="shared" si="33"/>
        <v/>
      </c>
      <c r="C445">
        <f t="shared" si="35"/>
        <v>1</v>
      </c>
      <c r="D445" s="4"/>
      <c r="E445" t="s">
        <v>18</v>
      </c>
      <c r="F445" t="str">
        <f>INDEX(Establishment!B$2:B$1005,MATCH($E445,Establishment!$A$2:$A$1005,0))</f>
        <v xml:space="preserve"> </v>
      </c>
      <c r="G445" t="str">
        <f>INDEX(Establishment!C$2:C$1005,MATCH($E445,Establishment!$A$2:$A$1005,0))</f>
        <v xml:space="preserve"> </v>
      </c>
      <c r="M445">
        <f t="shared" si="36"/>
        <v>0</v>
      </c>
      <c r="N445">
        <f t="shared" si="34"/>
        <v>0</v>
      </c>
      <c r="P445" t="e">
        <f>INDEX(Items!B$2:B$1032,MATCH($O445,Items!$A$2:$A$1032,0))</f>
        <v>#N/A</v>
      </c>
      <c r="Q445" t="e">
        <f>INDEX(Items!C$2:C$1032,MATCH($O445,Items!$A$2:$A$1032,0))</f>
        <v>#N/A</v>
      </c>
      <c r="R445" t="e">
        <f>INDEX(Items!D$2:D$1032,MATCH($O445,Items!$A$2:$A$1032,0))</f>
        <v>#N/A</v>
      </c>
    </row>
    <row r="446" spans="1:18" x14ac:dyDescent="0.25">
      <c r="A446">
        <f t="shared" si="32"/>
        <v>1</v>
      </c>
      <c r="B446" t="str">
        <f t="shared" si="33"/>
        <v/>
      </c>
      <c r="C446">
        <f t="shared" si="35"/>
        <v>1</v>
      </c>
      <c r="D446" s="4"/>
      <c r="E446" t="s">
        <v>18</v>
      </c>
      <c r="F446" t="str">
        <f>INDEX(Establishment!B$2:B$1005,MATCH($E446,Establishment!$A$2:$A$1005,0))</f>
        <v xml:space="preserve"> </v>
      </c>
      <c r="G446" t="str">
        <f>INDEX(Establishment!C$2:C$1005,MATCH($E446,Establishment!$A$2:$A$1005,0))</f>
        <v xml:space="preserve"> </v>
      </c>
      <c r="M446">
        <f t="shared" si="36"/>
        <v>0</v>
      </c>
      <c r="N446">
        <f t="shared" si="34"/>
        <v>0</v>
      </c>
      <c r="P446" t="e">
        <f>INDEX(Items!B$2:B$1032,MATCH($O446,Items!$A$2:$A$1032,0))</f>
        <v>#N/A</v>
      </c>
      <c r="Q446" t="e">
        <f>INDEX(Items!C$2:C$1032,MATCH($O446,Items!$A$2:$A$1032,0))</f>
        <v>#N/A</v>
      </c>
      <c r="R446" t="e">
        <f>INDEX(Items!D$2:D$1032,MATCH($O446,Items!$A$2:$A$1032,0))</f>
        <v>#N/A</v>
      </c>
    </row>
    <row r="447" spans="1:18" x14ac:dyDescent="0.25">
      <c r="A447">
        <f t="shared" si="32"/>
        <v>1</v>
      </c>
      <c r="B447" t="str">
        <f t="shared" si="33"/>
        <v/>
      </c>
      <c r="C447">
        <f t="shared" si="35"/>
        <v>1</v>
      </c>
      <c r="D447" s="4"/>
      <c r="E447" t="s">
        <v>18</v>
      </c>
      <c r="F447" t="str">
        <f>INDEX(Establishment!B$2:B$1005,MATCH($E447,Establishment!$A$2:$A$1005,0))</f>
        <v xml:space="preserve"> </v>
      </c>
      <c r="G447" t="str">
        <f>INDEX(Establishment!C$2:C$1005,MATCH($E447,Establishment!$A$2:$A$1005,0))</f>
        <v xml:space="preserve"> </v>
      </c>
      <c r="M447">
        <f t="shared" si="36"/>
        <v>0</v>
      </c>
      <c r="N447">
        <f t="shared" si="34"/>
        <v>0</v>
      </c>
      <c r="P447" t="e">
        <f>INDEX(Items!B$2:B$1032,MATCH($O447,Items!$A$2:$A$1032,0))</f>
        <v>#N/A</v>
      </c>
      <c r="Q447" t="e">
        <f>INDEX(Items!C$2:C$1032,MATCH($O447,Items!$A$2:$A$1032,0))</f>
        <v>#N/A</v>
      </c>
      <c r="R447" t="e">
        <f>INDEX(Items!D$2:D$1032,MATCH($O447,Items!$A$2:$A$1032,0))</f>
        <v>#N/A</v>
      </c>
    </row>
    <row r="448" spans="1:18" x14ac:dyDescent="0.25">
      <c r="A448">
        <f t="shared" si="32"/>
        <v>1</v>
      </c>
      <c r="B448" t="str">
        <f t="shared" si="33"/>
        <v/>
      </c>
      <c r="C448">
        <f t="shared" si="35"/>
        <v>1</v>
      </c>
      <c r="D448" s="4"/>
      <c r="E448" t="s">
        <v>18</v>
      </c>
      <c r="F448" t="str">
        <f>INDEX(Establishment!B$2:B$1005,MATCH($E448,Establishment!$A$2:$A$1005,0))</f>
        <v xml:space="preserve"> </v>
      </c>
      <c r="G448" t="str">
        <f>INDEX(Establishment!C$2:C$1005,MATCH($E448,Establishment!$A$2:$A$1005,0))</f>
        <v xml:space="preserve"> </v>
      </c>
      <c r="M448">
        <f t="shared" si="36"/>
        <v>0</v>
      </c>
      <c r="N448">
        <f t="shared" si="34"/>
        <v>0</v>
      </c>
      <c r="P448" t="e">
        <f>INDEX(Items!B$2:B$1032,MATCH($O448,Items!$A$2:$A$1032,0))</f>
        <v>#N/A</v>
      </c>
      <c r="Q448" t="e">
        <f>INDEX(Items!C$2:C$1032,MATCH($O448,Items!$A$2:$A$1032,0))</f>
        <v>#N/A</v>
      </c>
      <c r="R448" t="e">
        <f>INDEX(Items!D$2:D$1032,MATCH($O448,Items!$A$2:$A$1032,0))</f>
        <v>#N/A</v>
      </c>
    </row>
    <row r="449" spans="1:18" x14ac:dyDescent="0.25">
      <c r="A449">
        <f t="shared" si="32"/>
        <v>1</v>
      </c>
      <c r="B449" t="str">
        <f t="shared" si="33"/>
        <v/>
      </c>
      <c r="C449">
        <f t="shared" si="35"/>
        <v>1</v>
      </c>
      <c r="D449" s="4"/>
      <c r="E449" t="s">
        <v>18</v>
      </c>
      <c r="F449" t="str">
        <f>INDEX(Establishment!B$2:B$1005,MATCH($E449,Establishment!$A$2:$A$1005,0))</f>
        <v xml:space="preserve"> </v>
      </c>
      <c r="G449" t="str">
        <f>INDEX(Establishment!C$2:C$1005,MATCH($E449,Establishment!$A$2:$A$1005,0))</f>
        <v xml:space="preserve"> </v>
      </c>
      <c r="M449">
        <f t="shared" si="36"/>
        <v>0</v>
      </c>
      <c r="N449">
        <f t="shared" si="34"/>
        <v>0</v>
      </c>
      <c r="P449" t="e">
        <f>INDEX(Items!B$2:B$1032,MATCH($O449,Items!$A$2:$A$1032,0))</f>
        <v>#N/A</v>
      </c>
      <c r="Q449" t="e">
        <f>INDEX(Items!C$2:C$1032,MATCH($O449,Items!$A$2:$A$1032,0))</f>
        <v>#N/A</v>
      </c>
      <c r="R449" t="e">
        <f>INDEX(Items!D$2:D$1032,MATCH($O449,Items!$A$2:$A$1032,0))</f>
        <v>#N/A</v>
      </c>
    </row>
    <row r="450" spans="1:18" x14ac:dyDescent="0.25">
      <c r="A450">
        <f t="shared" ref="A450:A499" si="37">IF(OR(D450&lt;&gt;D449,D450=""),1,IF(NOT(AND(E450=E449,F450=F449,G450=G449)),A449+1,IF(OR(H450="",AND(H450&lt;&gt;"",H450&lt;&gt;H449,H449&lt;&gt;"")),A449,A449+1)))</f>
        <v>1</v>
      </c>
      <c r="B450" t="str">
        <f t="shared" ref="B450:B499" si="38">IF(D450&lt;&gt;"",TEXT(D450,"YYYYMMDD")&amp;CHAR(64+A450),"")</f>
        <v/>
      </c>
      <c r="C450">
        <f t="shared" si="35"/>
        <v>1</v>
      </c>
      <c r="D450" s="4"/>
      <c r="E450" t="s">
        <v>18</v>
      </c>
      <c r="F450" t="str">
        <f>INDEX(Establishment!B$2:B$1005,MATCH($E450,Establishment!$A$2:$A$1005,0))</f>
        <v xml:space="preserve"> </v>
      </c>
      <c r="G450" t="str">
        <f>INDEX(Establishment!C$2:C$1005,MATCH($E450,Establishment!$A$2:$A$1005,0))</f>
        <v xml:space="preserve"> </v>
      </c>
      <c r="M450">
        <f t="shared" si="36"/>
        <v>0</v>
      </c>
      <c r="N450">
        <f t="shared" si="34"/>
        <v>0</v>
      </c>
      <c r="P450" t="e">
        <f>INDEX(Items!B$2:B$1032,MATCH($O450,Items!$A$2:$A$1032,0))</f>
        <v>#N/A</v>
      </c>
      <c r="Q450" t="e">
        <f>INDEX(Items!C$2:C$1032,MATCH($O450,Items!$A$2:$A$1032,0))</f>
        <v>#N/A</v>
      </c>
      <c r="R450" t="e">
        <f>INDEX(Items!D$2:D$1032,MATCH($O450,Items!$A$2:$A$1032,0))</f>
        <v>#N/A</v>
      </c>
    </row>
    <row r="451" spans="1:18" x14ac:dyDescent="0.25">
      <c r="A451">
        <f t="shared" si="37"/>
        <v>1</v>
      </c>
      <c r="B451" t="str">
        <f t="shared" si="38"/>
        <v/>
      </c>
      <c r="C451">
        <f t="shared" si="35"/>
        <v>1</v>
      </c>
      <c r="D451" s="4"/>
      <c r="E451" t="s">
        <v>18</v>
      </c>
      <c r="F451" t="str">
        <f>INDEX(Establishment!B$2:B$1005,MATCH($E451,Establishment!$A$2:$A$1005,0))</f>
        <v xml:space="preserve"> </v>
      </c>
      <c r="G451" t="str">
        <f>INDEX(Establishment!C$2:C$1005,MATCH($E451,Establishment!$A$2:$A$1005,0))</f>
        <v xml:space="preserve"> </v>
      </c>
      <c r="M451">
        <f t="shared" si="36"/>
        <v>0</v>
      </c>
      <c r="N451">
        <f t="shared" ref="N451:N499" si="39">IF(B451=B450,N450+M451,M451)</f>
        <v>0</v>
      </c>
      <c r="P451" t="e">
        <f>INDEX(Items!B$2:B$1032,MATCH($O451,Items!$A$2:$A$1032,0))</f>
        <v>#N/A</v>
      </c>
      <c r="Q451" t="e">
        <f>INDEX(Items!C$2:C$1032,MATCH($O451,Items!$A$2:$A$1032,0))</f>
        <v>#N/A</v>
      </c>
      <c r="R451" t="e">
        <f>INDEX(Items!D$2:D$1032,MATCH($O451,Items!$A$2:$A$1032,0))</f>
        <v>#N/A</v>
      </c>
    </row>
    <row r="452" spans="1:18" x14ac:dyDescent="0.25">
      <c r="A452">
        <f t="shared" si="37"/>
        <v>1</v>
      </c>
      <c r="B452" t="str">
        <f t="shared" si="38"/>
        <v/>
      </c>
      <c r="C452">
        <f t="shared" si="35"/>
        <v>1</v>
      </c>
      <c r="D452" s="4"/>
      <c r="E452" t="s">
        <v>18</v>
      </c>
      <c r="F452" t="str">
        <f>INDEX(Establishment!B$2:B$1005,MATCH($E452,Establishment!$A$2:$A$1005,0))</f>
        <v xml:space="preserve"> </v>
      </c>
      <c r="G452" t="str">
        <f>INDEX(Establishment!C$2:C$1005,MATCH($E452,Establishment!$A$2:$A$1005,0))</f>
        <v xml:space="preserve"> </v>
      </c>
      <c r="M452">
        <f t="shared" si="36"/>
        <v>0</v>
      </c>
      <c r="N452">
        <f t="shared" si="39"/>
        <v>0</v>
      </c>
      <c r="P452" t="e">
        <f>INDEX(Items!B$2:B$1032,MATCH($O452,Items!$A$2:$A$1032,0))</f>
        <v>#N/A</v>
      </c>
      <c r="Q452" t="e">
        <f>INDEX(Items!C$2:C$1032,MATCH($O452,Items!$A$2:$A$1032,0))</f>
        <v>#N/A</v>
      </c>
      <c r="R452" t="e">
        <f>INDEX(Items!D$2:D$1032,MATCH($O452,Items!$A$2:$A$1032,0))</f>
        <v>#N/A</v>
      </c>
    </row>
    <row r="453" spans="1:18" x14ac:dyDescent="0.25">
      <c r="A453">
        <f t="shared" si="37"/>
        <v>1</v>
      </c>
      <c r="B453" t="str">
        <f t="shared" si="38"/>
        <v/>
      </c>
      <c r="C453">
        <f t="shared" si="35"/>
        <v>1</v>
      </c>
      <c r="D453" s="4"/>
      <c r="E453" t="s">
        <v>18</v>
      </c>
      <c r="F453" t="str">
        <f>INDEX(Establishment!B$2:B$1005,MATCH($E453,Establishment!$A$2:$A$1005,0))</f>
        <v xml:space="preserve"> </v>
      </c>
      <c r="G453" t="str">
        <f>INDEX(Establishment!C$2:C$1005,MATCH($E453,Establishment!$A$2:$A$1005,0))</f>
        <v xml:space="preserve"> </v>
      </c>
      <c r="M453">
        <f t="shared" si="36"/>
        <v>0</v>
      </c>
      <c r="N453">
        <f t="shared" si="39"/>
        <v>0</v>
      </c>
      <c r="P453" t="e">
        <f>INDEX(Items!B$2:B$1032,MATCH($O453,Items!$A$2:$A$1032,0))</f>
        <v>#N/A</v>
      </c>
      <c r="Q453" t="e">
        <f>INDEX(Items!C$2:C$1032,MATCH($O453,Items!$A$2:$A$1032,0))</f>
        <v>#N/A</v>
      </c>
      <c r="R453" t="e">
        <f>INDEX(Items!D$2:D$1032,MATCH($O453,Items!$A$2:$A$1032,0))</f>
        <v>#N/A</v>
      </c>
    </row>
    <row r="454" spans="1:18" x14ac:dyDescent="0.25">
      <c r="A454">
        <f t="shared" si="37"/>
        <v>1</v>
      </c>
      <c r="B454" t="str">
        <f t="shared" si="38"/>
        <v/>
      </c>
      <c r="C454">
        <f t="shared" si="35"/>
        <v>1</v>
      </c>
      <c r="D454" s="4"/>
      <c r="E454" t="s">
        <v>18</v>
      </c>
      <c r="F454" t="str">
        <f>INDEX(Establishment!B$2:B$1005,MATCH($E454,Establishment!$A$2:$A$1005,0))</f>
        <v xml:space="preserve"> </v>
      </c>
      <c r="G454" t="str">
        <f>INDEX(Establishment!C$2:C$1005,MATCH($E454,Establishment!$A$2:$A$1005,0))</f>
        <v xml:space="preserve"> </v>
      </c>
      <c r="M454">
        <f t="shared" si="36"/>
        <v>0</v>
      </c>
      <c r="N454">
        <f t="shared" si="39"/>
        <v>0</v>
      </c>
      <c r="P454" t="e">
        <f>INDEX(Items!B$2:B$1032,MATCH($O454,Items!$A$2:$A$1032,0))</f>
        <v>#N/A</v>
      </c>
      <c r="Q454" t="e">
        <f>INDEX(Items!C$2:C$1032,MATCH($O454,Items!$A$2:$A$1032,0))</f>
        <v>#N/A</v>
      </c>
      <c r="R454" t="e">
        <f>INDEX(Items!D$2:D$1032,MATCH($O454,Items!$A$2:$A$1032,0))</f>
        <v>#N/A</v>
      </c>
    </row>
    <row r="455" spans="1:18" x14ac:dyDescent="0.25">
      <c r="A455">
        <f t="shared" si="37"/>
        <v>1</v>
      </c>
      <c r="B455" t="str">
        <f t="shared" si="38"/>
        <v/>
      </c>
      <c r="C455">
        <f t="shared" si="35"/>
        <v>1</v>
      </c>
      <c r="D455" s="4"/>
      <c r="E455" t="s">
        <v>18</v>
      </c>
      <c r="F455" t="str">
        <f>INDEX(Establishment!B$2:B$1005,MATCH($E455,Establishment!$A$2:$A$1005,0))</f>
        <v xml:space="preserve"> </v>
      </c>
      <c r="G455" t="str">
        <f>INDEX(Establishment!C$2:C$1005,MATCH($E455,Establishment!$A$2:$A$1005,0))</f>
        <v xml:space="preserve"> </v>
      </c>
      <c r="M455">
        <f t="shared" si="36"/>
        <v>0</v>
      </c>
      <c r="N455">
        <f t="shared" si="39"/>
        <v>0</v>
      </c>
      <c r="P455" t="e">
        <f>INDEX(Items!B$2:B$1032,MATCH($O455,Items!$A$2:$A$1032,0))</f>
        <v>#N/A</v>
      </c>
      <c r="Q455" t="e">
        <f>INDEX(Items!C$2:C$1032,MATCH($O455,Items!$A$2:$A$1032,0))</f>
        <v>#N/A</v>
      </c>
      <c r="R455" t="e">
        <f>INDEX(Items!D$2:D$1032,MATCH($O455,Items!$A$2:$A$1032,0))</f>
        <v>#N/A</v>
      </c>
    </row>
    <row r="456" spans="1:18" x14ac:dyDescent="0.25">
      <c r="A456">
        <f t="shared" si="37"/>
        <v>1</v>
      </c>
      <c r="B456" t="str">
        <f t="shared" si="38"/>
        <v/>
      </c>
      <c r="C456">
        <f t="shared" si="35"/>
        <v>1</v>
      </c>
      <c r="D456" s="4"/>
      <c r="E456" t="s">
        <v>18</v>
      </c>
      <c r="F456" t="str">
        <f>INDEX(Establishment!B$2:B$1005,MATCH($E456,Establishment!$A$2:$A$1005,0))</f>
        <v xml:space="preserve"> </v>
      </c>
      <c r="G456" t="str">
        <f>INDEX(Establishment!C$2:C$1005,MATCH($E456,Establishment!$A$2:$A$1005,0))</f>
        <v xml:space="preserve"> </v>
      </c>
      <c r="M456">
        <f t="shared" si="36"/>
        <v>0</v>
      </c>
      <c r="N456">
        <f t="shared" si="39"/>
        <v>0</v>
      </c>
      <c r="P456" t="e">
        <f>INDEX(Items!B$2:B$1032,MATCH($O456,Items!$A$2:$A$1032,0))</f>
        <v>#N/A</v>
      </c>
      <c r="Q456" t="e">
        <f>INDEX(Items!C$2:C$1032,MATCH($O456,Items!$A$2:$A$1032,0))</f>
        <v>#N/A</v>
      </c>
      <c r="R456" t="e">
        <f>INDEX(Items!D$2:D$1032,MATCH($O456,Items!$A$2:$A$1032,0))</f>
        <v>#N/A</v>
      </c>
    </row>
    <row r="457" spans="1:18" x14ac:dyDescent="0.25">
      <c r="A457">
        <f t="shared" si="37"/>
        <v>1</v>
      </c>
      <c r="B457" t="str">
        <f t="shared" si="38"/>
        <v/>
      </c>
      <c r="C457">
        <f t="shared" si="35"/>
        <v>1</v>
      </c>
      <c r="D457" s="4"/>
      <c r="E457" t="s">
        <v>18</v>
      </c>
      <c r="F457" t="str">
        <f>INDEX(Establishment!B$2:B$1005,MATCH($E457,Establishment!$A$2:$A$1005,0))</f>
        <v xml:space="preserve"> </v>
      </c>
      <c r="G457" t="str">
        <f>INDEX(Establishment!C$2:C$1005,MATCH($E457,Establishment!$A$2:$A$1005,0))</f>
        <v xml:space="preserve"> </v>
      </c>
      <c r="M457">
        <f t="shared" si="36"/>
        <v>0</v>
      </c>
      <c r="N457">
        <f t="shared" si="39"/>
        <v>0</v>
      </c>
      <c r="P457" t="e">
        <f>INDEX(Items!B$2:B$1032,MATCH($O457,Items!$A$2:$A$1032,0))</f>
        <v>#N/A</v>
      </c>
      <c r="Q457" t="e">
        <f>INDEX(Items!C$2:C$1032,MATCH($O457,Items!$A$2:$A$1032,0))</f>
        <v>#N/A</v>
      </c>
      <c r="R457" t="e">
        <f>INDEX(Items!D$2:D$1032,MATCH($O457,Items!$A$2:$A$1032,0))</f>
        <v>#N/A</v>
      </c>
    </row>
    <row r="458" spans="1:18" x14ac:dyDescent="0.25">
      <c r="A458">
        <f t="shared" si="37"/>
        <v>1</v>
      </c>
      <c r="B458" t="str">
        <f t="shared" si="38"/>
        <v/>
      </c>
      <c r="C458">
        <f t="shared" ref="C458:C499" si="40">IF(OR(B458="",B458&lt;&gt;B457),1,C457+1)</f>
        <v>1</v>
      </c>
      <c r="D458" s="4"/>
      <c r="E458" t="s">
        <v>18</v>
      </c>
      <c r="F458" t="str">
        <f>INDEX(Establishment!B$2:B$1005,MATCH($E458,Establishment!$A$2:$A$1005,0))</f>
        <v xml:space="preserve"> </v>
      </c>
      <c r="G458" t="str">
        <f>INDEX(Establishment!C$2:C$1005,MATCH($E458,Establishment!$A$2:$A$1005,0))</f>
        <v xml:space="preserve"> </v>
      </c>
      <c r="M458">
        <f t="shared" ref="M458:M499" si="41">K458*L458</f>
        <v>0</v>
      </c>
      <c r="N458">
        <f t="shared" si="39"/>
        <v>0</v>
      </c>
      <c r="P458" t="e">
        <f>INDEX(Items!B$2:B$1032,MATCH($O458,Items!$A$2:$A$1032,0))</f>
        <v>#N/A</v>
      </c>
      <c r="Q458" t="e">
        <f>INDEX(Items!C$2:C$1032,MATCH($O458,Items!$A$2:$A$1032,0))</f>
        <v>#N/A</v>
      </c>
      <c r="R458" t="e">
        <f>INDEX(Items!D$2:D$1032,MATCH($O458,Items!$A$2:$A$1032,0))</f>
        <v>#N/A</v>
      </c>
    </row>
    <row r="459" spans="1:18" x14ac:dyDescent="0.25">
      <c r="A459">
        <f t="shared" si="37"/>
        <v>1</v>
      </c>
      <c r="B459" t="str">
        <f t="shared" si="38"/>
        <v/>
      </c>
      <c r="C459">
        <f t="shared" si="40"/>
        <v>1</v>
      </c>
      <c r="D459" s="4"/>
      <c r="E459" t="s">
        <v>18</v>
      </c>
      <c r="F459" t="str">
        <f>INDEX(Establishment!B$2:B$1005,MATCH($E459,Establishment!$A$2:$A$1005,0))</f>
        <v xml:space="preserve"> </v>
      </c>
      <c r="G459" t="str">
        <f>INDEX(Establishment!C$2:C$1005,MATCH($E459,Establishment!$A$2:$A$1005,0))</f>
        <v xml:space="preserve"> </v>
      </c>
      <c r="M459">
        <f t="shared" si="41"/>
        <v>0</v>
      </c>
      <c r="N459">
        <f t="shared" si="39"/>
        <v>0</v>
      </c>
      <c r="P459" t="e">
        <f>INDEX(Items!B$2:B$1032,MATCH($O459,Items!$A$2:$A$1032,0))</f>
        <v>#N/A</v>
      </c>
      <c r="Q459" t="e">
        <f>INDEX(Items!C$2:C$1032,MATCH($O459,Items!$A$2:$A$1032,0))</f>
        <v>#N/A</v>
      </c>
      <c r="R459" t="e">
        <f>INDEX(Items!D$2:D$1032,MATCH($O459,Items!$A$2:$A$1032,0))</f>
        <v>#N/A</v>
      </c>
    </row>
    <row r="460" spans="1:18" x14ac:dyDescent="0.25">
      <c r="A460">
        <f t="shared" si="37"/>
        <v>1</v>
      </c>
      <c r="B460" t="str">
        <f t="shared" si="38"/>
        <v/>
      </c>
      <c r="C460">
        <f t="shared" si="40"/>
        <v>1</v>
      </c>
      <c r="D460" s="4"/>
      <c r="E460" t="s">
        <v>18</v>
      </c>
      <c r="F460" t="str">
        <f>INDEX(Establishment!B$2:B$1005,MATCH($E460,Establishment!$A$2:$A$1005,0))</f>
        <v xml:space="preserve"> </v>
      </c>
      <c r="G460" t="str">
        <f>INDEX(Establishment!C$2:C$1005,MATCH($E460,Establishment!$A$2:$A$1005,0))</f>
        <v xml:space="preserve"> </v>
      </c>
      <c r="M460">
        <f t="shared" si="41"/>
        <v>0</v>
      </c>
      <c r="N460">
        <f t="shared" si="39"/>
        <v>0</v>
      </c>
      <c r="P460" t="e">
        <f>INDEX(Items!B$2:B$1032,MATCH($O460,Items!$A$2:$A$1032,0))</f>
        <v>#N/A</v>
      </c>
      <c r="Q460" t="e">
        <f>INDEX(Items!C$2:C$1032,MATCH($O460,Items!$A$2:$A$1032,0))</f>
        <v>#N/A</v>
      </c>
      <c r="R460" t="e">
        <f>INDEX(Items!D$2:D$1032,MATCH($O460,Items!$A$2:$A$1032,0))</f>
        <v>#N/A</v>
      </c>
    </row>
    <row r="461" spans="1:18" x14ac:dyDescent="0.25">
      <c r="A461">
        <f t="shared" si="37"/>
        <v>1</v>
      </c>
      <c r="B461" t="str">
        <f t="shared" si="38"/>
        <v/>
      </c>
      <c r="C461">
        <f t="shared" si="40"/>
        <v>1</v>
      </c>
      <c r="D461" s="4"/>
      <c r="E461" t="s">
        <v>18</v>
      </c>
      <c r="F461" t="str">
        <f>INDEX(Establishment!B$2:B$1005,MATCH($E461,Establishment!$A$2:$A$1005,0))</f>
        <v xml:space="preserve"> </v>
      </c>
      <c r="G461" t="str">
        <f>INDEX(Establishment!C$2:C$1005,MATCH($E461,Establishment!$A$2:$A$1005,0))</f>
        <v xml:space="preserve"> </v>
      </c>
      <c r="M461">
        <f t="shared" si="41"/>
        <v>0</v>
      </c>
      <c r="N461">
        <f t="shared" si="39"/>
        <v>0</v>
      </c>
      <c r="P461" t="e">
        <f>INDEX(Items!B$2:B$1032,MATCH($O461,Items!$A$2:$A$1032,0))</f>
        <v>#N/A</v>
      </c>
      <c r="Q461" t="e">
        <f>INDEX(Items!C$2:C$1032,MATCH($O461,Items!$A$2:$A$1032,0))</f>
        <v>#N/A</v>
      </c>
      <c r="R461" t="e">
        <f>INDEX(Items!D$2:D$1032,MATCH($O461,Items!$A$2:$A$1032,0))</f>
        <v>#N/A</v>
      </c>
    </row>
    <row r="462" spans="1:18" x14ac:dyDescent="0.25">
      <c r="A462">
        <f t="shared" si="37"/>
        <v>1</v>
      </c>
      <c r="B462" t="str">
        <f t="shared" si="38"/>
        <v/>
      </c>
      <c r="C462">
        <f t="shared" si="40"/>
        <v>1</v>
      </c>
      <c r="D462" s="4"/>
      <c r="E462" t="s">
        <v>18</v>
      </c>
      <c r="F462" t="str">
        <f>INDEX(Establishment!B$2:B$1005,MATCH($E462,Establishment!$A$2:$A$1005,0))</f>
        <v xml:space="preserve"> </v>
      </c>
      <c r="G462" t="str">
        <f>INDEX(Establishment!C$2:C$1005,MATCH($E462,Establishment!$A$2:$A$1005,0))</f>
        <v xml:space="preserve"> </v>
      </c>
      <c r="M462">
        <f t="shared" si="41"/>
        <v>0</v>
      </c>
      <c r="N462">
        <f t="shared" si="39"/>
        <v>0</v>
      </c>
      <c r="P462" t="e">
        <f>INDEX(Items!B$2:B$1032,MATCH($O462,Items!$A$2:$A$1032,0))</f>
        <v>#N/A</v>
      </c>
      <c r="Q462" t="e">
        <f>INDEX(Items!C$2:C$1032,MATCH($O462,Items!$A$2:$A$1032,0))</f>
        <v>#N/A</v>
      </c>
      <c r="R462" t="e">
        <f>INDEX(Items!D$2:D$1032,MATCH($O462,Items!$A$2:$A$1032,0))</f>
        <v>#N/A</v>
      </c>
    </row>
    <row r="463" spans="1:18" x14ac:dyDescent="0.25">
      <c r="A463">
        <f t="shared" si="37"/>
        <v>1</v>
      </c>
      <c r="B463" t="str">
        <f t="shared" si="38"/>
        <v/>
      </c>
      <c r="C463">
        <f t="shared" si="40"/>
        <v>1</v>
      </c>
      <c r="D463" s="4"/>
      <c r="E463" t="s">
        <v>18</v>
      </c>
      <c r="F463" t="str">
        <f>INDEX(Establishment!B$2:B$1005,MATCH($E463,Establishment!$A$2:$A$1005,0))</f>
        <v xml:space="preserve"> </v>
      </c>
      <c r="G463" t="str">
        <f>INDEX(Establishment!C$2:C$1005,MATCH($E463,Establishment!$A$2:$A$1005,0))</f>
        <v xml:space="preserve"> </v>
      </c>
      <c r="M463">
        <f t="shared" si="41"/>
        <v>0</v>
      </c>
      <c r="N463">
        <f t="shared" si="39"/>
        <v>0</v>
      </c>
      <c r="P463" t="e">
        <f>INDEX(Items!B$2:B$1032,MATCH($O463,Items!$A$2:$A$1032,0))</f>
        <v>#N/A</v>
      </c>
      <c r="Q463" t="e">
        <f>INDEX(Items!C$2:C$1032,MATCH($O463,Items!$A$2:$A$1032,0))</f>
        <v>#N/A</v>
      </c>
      <c r="R463" t="e">
        <f>INDEX(Items!D$2:D$1032,MATCH($O463,Items!$A$2:$A$1032,0))</f>
        <v>#N/A</v>
      </c>
    </row>
    <row r="464" spans="1:18" x14ac:dyDescent="0.25">
      <c r="A464">
        <f t="shared" si="37"/>
        <v>1</v>
      </c>
      <c r="B464" t="str">
        <f t="shared" si="38"/>
        <v/>
      </c>
      <c r="C464">
        <f t="shared" si="40"/>
        <v>1</v>
      </c>
      <c r="D464" s="4"/>
      <c r="E464" t="s">
        <v>18</v>
      </c>
      <c r="F464" t="str">
        <f>INDEX(Establishment!B$2:B$1005,MATCH($E464,Establishment!$A$2:$A$1005,0))</f>
        <v xml:space="preserve"> </v>
      </c>
      <c r="G464" t="str">
        <f>INDEX(Establishment!C$2:C$1005,MATCH($E464,Establishment!$A$2:$A$1005,0))</f>
        <v xml:space="preserve"> </v>
      </c>
      <c r="M464">
        <f t="shared" si="41"/>
        <v>0</v>
      </c>
      <c r="N464">
        <f t="shared" si="39"/>
        <v>0</v>
      </c>
      <c r="P464" t="e">
        <f>INDEX(Items!B$2:B$1032,MATCH($O464,Items!$A$2:$A$1032,0))</f>
        <v>#N/A</v>
      </c>
      <c r="Q464" t="e">
        <f>INDEX(Items!C$2:C$1032,MATCH($O464,Items!$A$2:$A$1032,0))</f>
        <v>#N/A</v>
      </c>
      <c r="R464" t="e">
        <f>INDEX(Items!D$2:D$1032,MATCH($O464,Items!$A$2:$A$1032,0))</f>
        <v>#N/A</v>
      </c>
    </row>
    <row r="465" spans="1:18" x14ac:dyDescent="0.25">
      <c r="A465">
        <f t="shared" si="37"/>
        <v>1</v>
      </c>
      <c r="B465" t="str">
        <f t="shared" si="38"/>
        <v/>
      </c>
      <c r="C465">
        <f t="shared" si="40"/>
        <v>1</v>
      </c>
      <c r="D465" s="4"/>
      <c r="E465" t="s">
        <v>18</v>
      </c>
      <c r="F465" t="str">
        <f>INDEX(Establishment!B$2:B$1005,MATCH($E465,Establishment!$A$2:$A$1005,0))</f>
        <v xml:space="preserve"> </v>
      </c>
      <c r="G465" t="str">
        <f>INDEX(Establishment!C$2:C$1005,MATCH($E465,Establishment!$A$2:$A$1005,0))</f>
        <v xml:space="preserve"> </v>
      </c>
      <c r="M465">
        <f t="shared" si="41"/>
        <v>0</v>
      </c>
      <c r="N465">
        <f t="shared" si="39"/>
        <v>0</v>
      </c>
      <c r="P465" t="e">
        <f>INDEX(Items!B$2:B$1032,MATCH($O465,Items!$A$2:$A$1032,0))</f>
        <v>#N/A</v>
      </c>
      <c r="Q465" t="e">
        <f>INDEX(Items!C$2:C$1032,MATCH($O465,Items!$A$2:$A$1032,0))</f>
        <v>#N/A</v>
      </c>
      <c r="R465" t="e">
        <f>INDEX(Items!D$2:D$1032,MATCH($O465,Items!$A$2:$A$1032,0))</f>
        <v>#N/A</v>
      </c>
    </row>
    <row r="466" spans="1:18" x14ac:dyDescent="0.25">
      <c r="A466">
        <f t="shared" si="37"/>
        <v>1</v>
      </c>
      <c r="B466" t="str">
        <f t="shared" si="38"/>
        <v/>
      </c>
      <c r="C466">
        <f t="shared" si="40"/>
        <v>1</v>
      </c>
      <c r="D466" s="4"/>
      <c r="E466" t="s">
        <v>18</v>
      </c>
      <c r="F466" t="str">
        <f>INDEX(Establishment!B$2:B$1005,MATCH($E466,Establishment!$A$2:$A$1005,0))</f>
        <v xml:space="preserve"> </v>
      </c>
      <c r="G466" t="str">
        <f>INDEX(Establishment!C$2:C$1005,MATCH($E466,Establishment!$A$2:$A$1005,0))</f>
        <v xml:space="preserve"> </v>
      </c>
      <c r="M466">
        <f t="shared" si="41"/>
        <v>0</v>
      </c>
      <c r="N466">
        <f t="shared" si="39"/>
        <v>0</v>
      </c>
      <c r="P466" t="e">
        <f>INDEX(Items!B$2:B$1032,MATCH($O466,Items!$A$2:$A$1032,0))</f>
        <v>#N/A</v>
      </c>
      <c r="Q466" t="e">
        <f>INDEX(Items!C$2:C$1032,MATCH($O466,Items!$A$2:$A$1032,0))</f>
        <v>#N/A</v>
      </c>
      <c r="R466" t="e">
        <f>INDEX(Items!D$2:D$1032,MATCH($O466,Items!$A$2:$A$1032,0))</f>
        <v>#N/A</v>
      </c>
    </row>
    <row r="467" spans="1:18" x14ac:dyDescent="0.25">
      <c r="A467">
        <f t="shared" si="37"/>
        <v>1</v>
      </c>
      <c r="B467" t="str">
        <f t="shared" si="38"/>
        <v/>
      </c>
      <c r="C467">
        <f t="shared" si="40"/>
        <v>1</v>
      </c>
      <c r="D467" s="4"/>
      <c r="E467" t="s">
        <v>18</v>
      </c>
      <c r="F467" t="str">
        <f>INDEX(Establishment!B$2:B$1005,MATCH($E467,Establishment!$A$2:$A$1005,0))</f>
        <v xml:space="preserve"> </v>
      </c>
      <c r="G467" t="str">
        <f>INDEX(Establishment!C$2:C$1005,MATCH($E467,Establishment!$A$2:$A$1005,0))</f>
        <v xml:space="preserve"> </v>
      </c>
      <c r="M467">
        <f t="shared" si="41"/>
        <v>0</v>
      </c>
      <c r="N467">
        <f t="shared" si="39"/>
        <v>0</v>
      </c>
      <c r="P467" t="e">
        <f>INDEX(Items!B$2:B$1032,MATCH($O467,Items!$A$2:$A$1032,0))</f>
        <v>#N/A</v>
      </c>
      <c r="Q467" t="e">
        <f>INDEX(Items!C$2:C$1032,MATCH($O467,Items!$A$2:$A$1032,0))</f>
        <v>#N/A</v>
      </c>
      <c r="R467" t="e">
        <f>INDEX(Items!D$2:D$1032,MATCH($O467,Items!$A$2:$A$1032,0))</f>
        <v>#N/A</v>
      </c>
    </row>
    <row r="468" spans="1:18" x14ac:dyDescent="0.25">
      <c r="A468">
        <f t="shared" si="37"/>
        <v>1</v>
      </c>
      <c r="B468" t="str">
        <f t="shared" si="38"/>
        <v/>
      </c>
      <c r="C468">
        <f t="shared" si="40"/>
        <v>1</v>
      </c>
      <c r="D468" s="4"/>
      <c r="E468" t="s">
        <v>18</v>
      </c>
      <c r="F468" t="str">
        <f>INDEX(Establishment!B$2:B$1005,MATCH($E468,Establishment!$A$2:$A$1005,0))</f>
        <v xml:space="preserve"> </v>
      </c>
      <c r="G468" t="str">
        <f>INDEX(Establishment!C$2:C$1005,MATCH($E468,Establishment!$A$2:$A$1005,0))</f>
        <v xml:space="preserve"> </v>
      </c>
      <c r="M468">
        <f t="shared" si="41"/>
        <v>0</v>
      </c>
      <c r="N468">
        <f t="shared" si="39"/>
        <v>0</v>
      </c>
      <c r="P468" t="e">
        <f>INDEX(Items!B$2:B$1032,MATCH($O468,Items!$A$2:$A$1032,0))</f>
        <v>#N/A</v>
      </c>
      <c r="Q468" t="e">
        <f>INDEX(Items!C$2:C$1032,MATCH($O468,Items!$A$2:$A$1032,0))</f>
        <v>#N/A</v>
      </c>
      <c r="R468" t="e">
        <f>INDEX(Items!D$2:D$1032,MATCH($O468,Items!$A$2:$A$1032,0))</f>
        <v>#N/A</v>
      </c>
    </row>
    <row r="469" spans="1:18" x14ac:dyDescent="0.25">
      <c r="A469">
        <f t="shared" si="37"/>
        <v>1</v>
      </c>
      <c r="B469" t="str">
        <f t="shared" si="38"/>
        <v/>
      </c>
      <c r="C469">
        <f t="shared" si="40"/>
        <v>1</v>
      </c>
      <c r="D469" s="4"/>
      <c r="E469" t="s">
        <v>18</v>
      </c>
      <c r="F469" t="str">
        <f>INDEX(Establishment!B$2:B$1005,MATCH($E469,Establishment!$A$2:$A$1005,0))</f>
        <v xml:space="preserve"> </v>
      </c>
      <c r="G469" t="str">
        <f>INDEX(Establishment!C$2:C$1005,MATCH($E469,Establishment!$A$2:$A$1005,0))</f>
        <v xml:space="preserve"> </v>
      </c>
      <c r="M469">
        <f t="shared" si="41"/>
        <v>0</v>
      </c>
      <c r="N469">
        <f t="shared" si="39"/>
        <v>0</v>
      </c>
      <c r="P469" t="e">
        <f>INDEX(Items!B$2:B$1032,MATCH($O469,Items!$A$2:$A$1032,0))</f>
        <v>#N/A</v>
      </c>
      <c r="Q469" t="e">
        <f>INDEX(Items!C$2:C$1032,MATCH($O469,Items!$A$2:$A$1032,0))</f>
        <v>#N/A</v>
      </c>
      <c r="R469" t="e">
        <f>INDEX(Items!D$2:D$1032,MATCH($O469,Items!$A$2:$A$1032,0))</f>
        <v>#N/A</v>
      </c>
    </row>
    <row r="470" spans="1:18" x14ac:dyDescent="0.25">
      <c r="A470">
        <f t="shared" si="37"/>
        <v>1</v>
      </c>
      <c r="B470" t="str">
        <f t="shared" si="38"/>
        <v/>
      </c>
      <c r="C470">
        <f t="shared" si="40"/>
        <v>1</v>
      </c>
      <c r="D470" s="4"/>
      <c r="E470" t="s">
        <v>18</v>
      </c>
      <c r="F470" t="str">
        <f>INDEX(Establishment!B$2:B$1005,MATCH($E470,Establishment!$A$2:$A$1005,0))</f>
        <v xml:space="preserve"> </v>
      </c>
      <c r="G470" t="str">
        <f>INDEX(Establishment!C$2:C$1005,MATCH($E470,Establishment!$A$2:$A$1005,0))</f>
        <v xml:space="preserve"> </v>
      </c>
      <c r="M470">
        <f t="shared" si="41"/>
        <v>0</v>
      </c>
      <c r="N470">
        <f t="shared" si="39"/>
        <v>0</v>
      </c>
      <c r="P470" t="e">
        <f>INDEX(Items!B$2:B$1032,MATCH($O470,Items!$A$2:$A$1032,0))</f>
        <v>#N/A</v>
      </c>
      <c r="Q470" t="e">
        <f>INDEX(Items!C$2:C$1032,MATCH($O470,Items!$A$2:$A$1032,0))</f>
        <v>#N/A</v>
      </c>
      <c r="R470" t="e">
        <f>INDEX(Items!D$2:D$1032,MATCH($O470,Items!$A$2:$A$1032,0))</f>
        <v>#N/A</v>
      </c>
    </row>
    <row r="471" spans="1:18" x14ac:dyDescent="0.25">
      <c r="A471">
        <f t="shared" si="37"/>
        <v>1</v>
      </c>
      <c r="B471" t="str">
        <f t="shared" si="38"/>
        <v/>
      </c>
      <c r="C471">
        <f t="shared" si="40"/>
        <v>1</v>
      </c>
      <c r="D471" s="4"/>
      <c r="E471" t="s">
        <v>18</v>
      </c>
      <c r="F471" t="str">
        <f>INDEX(Establishment!B$2:B$1005,MATCH($E471,Establishment!$A$2:$A$1005,0))</f>
        <v xml:space="preserve"> </v>
      </c>
      <c r="G471" t="str">
        <f>INDEX(Establishment!C$2:C$1005,MATCH($E471,Establishment!$A$2:$A$1005,0))</f>
        <v xml:space="preserve"> </v>
      </c>
      <c r="M471">
        <f t="shared" si="41"/>
        <v>0</v>
      </c>
      <c r="N471">
        <f t="shared" si="39"/>
        <v>0</v>
      </c>
      <c r="P471" t="e">
        <f>INDEX(Items!B$2:B$1032,MATCH($O471,Items!$A$2:$A$1032,0))</f>
        <v>#N/A</v>
      </c>
      <c r="Q471" t="e">
        <f>INDEX(Items!C$2:C$1032,MATCH($O471,Items!$A$2:$A$1032,0))</f>
        <v>#N/A</v>
      </c>
      <c r="R471" t="e">
        <f>INDEX(Items!D$2:D$1032,MATCH($O471,Items!$A$2:$A$1032,0))</f>
        <v>#N/A</v>
      </c>
    </row>
    <row r="472" spans="1:18" x14ac:dyDescent="0.25">
      <c r="A472">
        <f t="shared" si="37"/>
        <v>1</v>
      </c>
      <c r="B472" t="str">
        <f t="shared" si="38"/>
        <v/>
      </c>
      <c r="C472">
        <f t="shared" si="40"/>
        <v>1</v>
      </c>
      <c r="D472" s="4"/>
      <c r="E472" t="s">
        <v>18</v>
      </c>
      <c r="F472" t="str">
        <f>INDEX(Establishment!B$2:B$1005,MATCH($E472,Establishment!$A$2:$A$1005,0))</f>
        <v xml:space="preserve"> </v>
      </c>
      <c r="G472" t="str">
        <f>INDEX(Establishment!C$2:C$1005,MATCH($E472,Establishment!$A$2:$A$1005,0))</f>
        <v xml:space="preserve"> </v>
      </c>
      <c r="M472">
        <f t="shared" si="41"/>
        <v>0</v>
      </c>
      <c r="N472">
        <f t="shared" si="39"/>
        <v>0</v>
      </c>
      <c r="P472" t="e">
        <f>INDEX(Items!B$2:B$1032,MATCH($O472,Items!$A$2:$A$1032,0))</f>
        <v>#N/A</v>
      </c>
      <c r="Q472" t="e">
        <f>INDEX(Items!C$2:C$1032,MATCH($O472,Items!$A$2:$A$1032,0))</f>
        <v>#N/A</v>
      </c>
      <c r="R472" t="e">
        <f>INDEX(Items!D$2:D$1032,MATCH($O472,Items!$A$2:$A$1032,0))</f>
        <v>#N/A</v>
      </c>
    </row>
    <row r="473" spans="1:18" x14ac:dyDescent="0.25">
      <c r="A473">
        <f t="shared" si="37"/>
        <v>1</v>
      </c>
      <c r="B473" t="str">
        <f t="shared" si="38"/>
        <v/>
      </c>
      <c r="C473">
        <f t="shared" si="40"/>
        <v>1</v>
      </c>
      <c r="D473" s="4"/>
      <c r="E473" t="s">
        <v>18</v>
      </c>
      <c r="F473" t="str">
        <f>INDEX(Establishment!B$2:B$1005,MATCH($E473,Establishment!$A$2:$A$1005,0))</f>
        <v xml:space="preserve"> </v>
      </c>
      <c r="G473" t="str">
        <f>INDEX(Establishment!C$2:C$1005,MATCH($E473,Establishment!$A$2:$A$1005,0))</f>
        <v xml:space="preserve"> </v>
      </c>
      <c r="M473">
        <f t="shared" si="41"/>
        <v>0</v>
      </c>
      <c r="N473">
        <f t="shared" si="39"/>
        <v>0</v>
      </c>
      <c r="P473" t="e">
        <f>INDEX(Items!B$2:B$1032,MATCH($O473,Items!$A$2:$A$1032,0))</f>
        <v>#N/A</v>
      </c>
      <c r="Q473" t="e">
        <f>INDEX(Items!C$2:C$1032,MATCH($O473,Items!$A$2:$A$1032,0))</f>
        <v>#N/A</v>
      </c>
      <c r="R473" t="e">
        <f>INDEX(Items!D$2:D$1032,MATCH($O473,Items!$A$2:$A$1032,0))</f>
        <v>#N/A</v>
      </c>
    </row>
    <row r="474" spans="1:18" x14ac:dyDescent="0.25">
      <c r="A474">
        <f t="shared" si="37"/>
        <v>1</v>
      </c>
      <c r="B474" t="str">
        <f t="shared" si="38"/>
        <v/>
      </c>
      <c r="C474">
        <f t="shared" si="40"/>
        <v>1</v>
      </c>
      <c r="D474" s="4"/>
      <c r="E474" t="s">
        <v>18</v>
      </c>
      <c r="F474" t="str">
        <f>INDEX(Establishment!B$2:B$1005,MATCH($E474,Establishment!$A$2:$A$1005,0))</f>
        <v xml:space="preserve"> </v>
      </c>
      <c r="G474" t="str">
        <f>INDEX(Establishment!C$2:C$1005,MATCH($E474,Establishment!$A$2:$A$1005,0))</f>
        <v xml:space="preserve"> </v>
      </c>
      <c r="M474">
        <f t="shared" si="41"/>
        <v>0</v>
      </c>
      <c r="N474">
        <f t="shared" si="39"/>
        <v>0</v>
      </c>
      <c r="P474" t="e">
        <f>INDEX(Items!B$2:B$1032,MATCH($O474,Items!$A$2:$A$1032,0))</f>
        <v>#N/A</v>
      </c>
      <c r="Q474" t="e">
        <f>INDEX(Items!C$2:C$1032,MATCH($O474,Items!$A$2:$A$1032,0))</f>
        <v>#N/A</v>
      </c>
      <c r="R474" t="e">
        <f>INDEX(Items!D$2:D$1032,MATCH($O474,Items!$A$2:$A$1032,0))</f>
        <v>#N/A</v>
      </c>
    </row>
    <row r="475" spans="1:18" x14ac:dyDescent="0.25">
      <c r="A475">
        <f t="shared" si="37"/>
        <v>1</v>
      </c>
      <c r="B475" t="str">
        <f t="shared" si="38"/>
        <v/>
      </c>
      <c r="C475">
        <f t="shared" si="40"/>
        <v>1</v>
      </c>
      <c r="D475" s="4"/>
      <c r="E475" t="s">
        <v>18</v>
      </c>
      <c r="F475" t="str">
        <f>INDEX(Establishment!B$2:B$1005,MATCH($E475,Establishment!$A$2:$A$1005,0))</f>
        <v xml:space="preserve"> </v>
      </c>
      <c r="G475" t="str">
        <f>INDEX(Establishment!C$2:C$1005,MATCH($E475,Establishment!$A$2:$A$1005,0))</f>
        <v xml:space="preserve"> </v>
      </c>
      <c r="M475">
        <f t="shared" si="41"/>
        <v>0</v>
      </c>
      <c r="N475">
        <f t="shared" si="39"/>
        <v>0</v>
      </c>
      <c r="P475" t="e">
        <f>INDEX(Items!B$2:B$1032,MATCH($O475,Items!$A$2:$A$1032,0))</f>
        <v>#N/A</v>
      </c>
      <c r="Q475" t="e">
        <f>INDEX(Items!C$2:C$1032,MATCH($O475,Items!$A$2:$A$1032,0))</f>
        <v>#N/A</v>
      </c>
      <c r="R475" t="e">
        <f>INDEX(Items!D$2:D$1032,MATCH($O475,Items!$A$2:$A$1032,0))</f>
        <v>#N/A</v>
      </c>
    </row>
    <row r="476" spans="1:18" x14ac:dyDescent="0.25">
      <c r="A476">
        <f t="shared" si="37"/>
        <v>1</v>
      </c>
      <c r="B476" t="str">
        <f t="shared" si="38"/>
        <v/>
      </c>
      <c r="C476">
        <f t="shared" si="40"/>
        <v>1</v>
      </c>
      <c r="D476" s="4"/>
      <c r="E476" t="s">
        <v>18</v>
      </c>
      <c r="F476" t="str">
        <f>INDEX(Establishment!B$2:B$1005,MATCH($E476,Establishment!$A$2:$A$1005,0))</f>
        <v xml:space="preserve"> </v>
      </c>
      <c r="G476" t="str">
        <f>INDEX(Establishment!C$2:C$1005,MATCH($E476,Establishment!$A$2:$A$1005,0))</f>
        <v xml:space="preserve"> </v>
      </c>
      <c r="M476">
        <f t="shared" si="41"/>
        <v>0</v>
      </c>
      <c r="N476">
        <f t="shared" si="39"/>
        <v>0</v>
      </c>
      <c r="P476" t="e">
        <f>INDEX(Items!B$2:B$1032,MATCH($O476,Items!$A$2:$A$1032,0))</f>
        <v>#N/A</v>
      </c>
      <c r="Q476" t="e">
        <f>INDEX(Items!C$2:C$1032,MATCH($O476,Items!$A$2:$A$1032,0))</f>
        <v>#N/A</v>
      </c>
      <c r="R476" t="e">
        <f>INDEX(Items!D$2:D$1032,MATCH($O476,Items!$A$2:$A$1032,0))</f>
        <v>#N/A</v>
      </c>
    </row>
    <row r="477" spans="1:18" x14ac:dyDescent="0.25">
      <c r="A477">
        <f t="shared" si="37"/>
        <v>1</v>
      </c>
      <c r="B477" t="str">
        <f t="shared" si="38"/>
        <v/>
      </c>
      <c r="C477">
        <f t="shared" si="40"/>
        <v>1</v>
      </c>
      <c r="D477" s="4"/>
      <c r="E477" t="s">
        <v>18</v>
      </c>
      <c r="F477" t="str">
        <f>INDEX(Establishment!B$2:B$1005,MATCH($E477,Establishment!$A$2:$A$1005,0))</f>
        <v xml:space="preserve"> </v>
      </c>
      <c r="G477" t="str">
        <f>INDEX(Establishment!C$2:C$1005,MATCH($E477,Establishment!$A$2:$A$1005,0))</f>
        <v xml:space="preserve"> </v>
      </c>
      <c r="M477">
        <f t="shared" si="41"/>
        <v>0</v>
      </c>
      <c r="N477">
        <f t="shared" si="39"/>
        <v>0</v>
      </c>
      <c r="P477" t="e">
        <f>INDEX(Items!B$2:B$1032,MATCH($O477,Items!$A$2:$A$1032,0))</f>
        <v>#N/A</v>
      </c>
      <c r="Q477" t="e">
        <f>INDEX(Items!C$2:C$1032,MATCH($O477,Items!$A$2:$A$1032,0))</f>
        <v>#N/A</v>
      </c>
      <c r="R477" t="e">
        <f>INDEX(Items!D$2:D$1032,MATCH($O477,Items!$A$2:$A$1032,0))</f>
        <v>#N/A</v>
      </c>
    </row>
    <row r="478" spans="1:18" x14ac:dyDescent="0.25">
      <c r="A478">
        <f t="shared" si="37"/>
        <v>1</v>
      </c>
      <c r="B478" t="str">
        <f t="shared" si="38"/>
        <v/>
      </c>
      <c r="C478">
        <f t="shared" si="40"/>
        <v>1</v>
      </c>
      <c r="D478" s="4"/>
      <c r="E478" t="s">
        <v>18</v>
      </c>
      <c r="F478" t="str">
        <f>INDEX(Establishment!B$2:B$1005,MATCH($E478,Establishment!$A$2:$A$1005,0))</f>
        <v xml:space="preserve"> </v>
      </c>
      <c r="G478" t="str">
        <f>INDEX(Establishment!C$2:C$1005,MATCH($E478,Establishment!$A$2:$A$1005,0))</f>
        <v xml:space="preserve"> </v>
      </c>
      <c r="M478">
        <f t="shared" si="41"/>
        <v>0</v>
      </c>
      <c r="N478">
        <f t="shared" si="39"/>
        <v>0</v>
      </c>
      <c r="P478" t="e">
        <f>INDEX(Items!B$2:B$1032,MATCH($O478,Items!$A$2:$A$1032,0))</f>
        <v>#N/A</v>
      </c>
      <c r="Q478" t="e">
        <f>INDEX(Items!C$2:C$1032,MATCH($O478,Items!$A$2:$A$1032,0))</f>
        <v>#N/A</v>
      </c>
      <c r="R478" t="e">
        <f>INDEX(Items!D$2:D$1032,MATCH($O478,Items!$A$2:$A$1032,0))</f>
        <v>#N/A</v>
      </c>
    </row>
    <row r="479" spans="1:18" x14ac:dyDescent="0.25">
      <c r="A479">
        <f t="shared" si="37"/>
        <v>1</v>
      </c>
      <c r="B479" t="str">
        <f t="shared" si="38"/>
        <v/>
      </c>
      <c r="C479">
        <f t="shared" si="40"/>
        <v>1</v>
      </c>
      <c r="D479" s="4"/>
      <c r="E479" t="s">
        <v>18</v>
      </c>
      <c r="F479" t="str">
        <f>INDEX(Establishment!B$2:B$1005,MATCH($E479,Establishment!$A$2:$A$1005,0))</f>
        <v xml:space="preserve"> </v>
      </c>
      <c r="G479" t="str">
        <f>INDEX(Establishment!C$2:C$1005,MATCH($E479,Establishment!$A$2:$A$1005,0))</f>
        <v xml:space="preserve"> </v>
      </c>
      <c r="M479">
        <f t="shared" si="41"/>
        <v>0</v>
      </c>
      <c r="N479">
        <f t="shared" si="39"/>
        <v>0</v>
      </c>
      <c r="P479" t="e">
        <f>INDEX(Items!B$2:B$1032,MATCH($O479,Items!$A$2:$A$1032,0))</f>
        <v>#N/A</v>
      </c>
      <c r="Q479" t="e">
        <f>INDEX(Items!C$2:C$1032,MATCH($O479,Items!$A$2:$A$1032,0))</f>
        <v>#N/A</v>
      </c>
      <c r="R479" t="e">
        <f>INDEX(Items!D$2:D$1032,MATCH($O479,Items!$A$2:$A$1032,0))</f>
        <v>#N/A</v>
      </c>
    </row>
    <row r="480" spans="1:18" x14ac:dyDescent="0.25">
      <c r="A480">
        <f t="shared" si="37"/>
        <v>1</v>
      </c>
      <c r="B480" t="str">
        <f t="shared" si="38"/>
        <v/>
      </c>
      <c r="C480">
        <f t="shared" si="40"/>
        <v>1</v>
      </c>
      <c r="D480" s="4"/>
      <c r="E480" t="s">
        <v>18</v>
      </c>
      <c r="F480" t="str">
        <f>INDEX(Establishment!B$2:B$1005,MATCH($E480,Establishment!$A$2:$A$1005,0))</f>
        <v xml:space="preserve"> </v>
      </c>
      <c r="G480" t="str">
        <f>INDEX(Establishment!C$2:C$1005,MATCH($E480,Establishment!$A$2:$A$1005,0))</f>
        <v xml:space="preserve"> </v>
      </c>
      <c r="M480">
        <f t="shared" si="41"/>
        <v>0</v>
      </c>
      <c r="N480">
        <f t="shared" si="39"/>
        <v>0</v>
      </c>
      <c r="P480" t="e">
        <f>INDEX(Items!B$2:B$1032,MATCH($O480,Items!$A$2:$A$1032,0))</f>
        <v>#N/A</v>
      </c>
      <c r="Q480" t="e">
        <f>INDEX(Items!C$2:C$1032,MATCH($O480,Items!$A$2:$A$1032,0))</f>
        <v>#N/A</v>
      </c>
      <c r="R480" t="e">
        <f>INDEX(Items!D$2:D$1032,MATCH($O480,Items!$A$2:$A$1032,0))</f>
        <v>#N/A</v>
      </c>
    </row>
    <row r="481" spans="1:18" x14ac:dyDescent="0.25">
      <c r="A481">
        <f t="shared" si="37"/>
        <v>1</v>
      </c>
      <c r="B481" t="str">
        <f t="shared" si="38"/>
        <v/>
      </c>
      <c r="C481">
        <f t="shared" si="40"/>
        <v>1</v>
      </c>
      <c r="D481" s="4"/>
      <c r="E481" t="s">
        <v>18</v>
      </c>
      <c r="F481" t="str">
        <f>INDEX(Establishment!B$2:B$1005,MATCH($E481,Establishment!$A$2:$A$1005,0))</f>
        <v xml:space="preserve"> </v>
      </c>
      <c r="G481" t="str">
        <f>INDEX(Establishment!C$2:C$1005,MATCH($E481,Establishment!$A$2:$A$1005,0))</f>
        <v xml:space="preserve"> </v>
      </c>
      <c r="M481">
        <f t="shared" si="41"/>
        <v>0</v>
      </c>
      <c r="N481">
        <f t="shared" si="39"/>
        <v>0</v>
      </c>
      <c r="P481" t="e">
        <f>INDEX(Items!B$2:B$1032,MATCH($O481,Items!$A$2:$A$1032,0))</f>
        <v>#N/A</v>
      </c>
      <c r="Q481" t="e">
        <f>INDEX(Items!C$2:C$1032,MATCH($O481,Items!$A$2:$A$1032,0))</f>
        <v>#N/A</v>
      </c>
      <c r="R481" t="e">
        <f>INDEX(Items!D$2:D$1032,MATCH($O481,Items!$A$2:$A$1032,0))</f>
        <v>#N/A</v>
      </c>
    </row>
    <row r="482" spans="1:18" x14ac:dyDescent="0.25">
      <c r="A482">
        <f t="shared" si="37"/>
        <v>1</v>
      </c>
      <c r="B482" t="str">
        <f t="shared" si="38"/>
        <v/>
      </c>
      <c r="C482">
        <f t="shared" si="40"/>
        <v>1</v>
      </c>
      <c r="D482" s="4"/>
      <c r="E482" t="s">
        <v>18</v>
      </c>
      <c r="F482" t="str">
        <f>INDEX(Establishment!B$2:B$1005,MATCH($E482,Establishment!$A$2:$A$1005,0))</f>
        <v xml:space="preserve"> </v>
      </c>
      <c r="G482" t="str">
        <f>INDEX(Establishment!C$2:C$1005,MATCH($E482,Establishment!$A$2:$A$1005,0))</f>
        <v xml:space="preserve"> </v>
      </c>
      <c r="M482">
        <f t="shared" si="41"/>
        <v>0</v>
      </c>
      <c r="N482">
        <f t="shared" si="39"/>
        <v>0</v>
      </c>
      <c r="P482" t="e">
        <f>INDEX(Items!B$2:B$1032,MATCH($O482,Items!$A$2:$A$1032,0))</f>
        <v>#N/A</v>
      </c>
      <c r="Q482" t="e">
        <f>INDEX(Items!C$2:C$1032,MATCH($O482,Items!$A$2:$A$1032,0))</f>
        <v>#N/A</v>
      </c>
      <c r="R482" t="e">
        <f>INDEX(Items!D$2:D$1032,MATCH($O482,Items!$A$2:$A$1032,0))</f>
        <v>#N/A</v>
      </c>
    </row>
    <row r="483" spans="1:18" x14ac:dyDescent="0.25">
      <c r="A483">
        <f t="shared" si="37"/>
        <v>1</v>
      </c>
      <c r="B483" t="str">
        <f t="shared" si="38"/>
        <v/>
      </c>
      <c r="C483">
        <f t="shared" si="40"/>
        <v>1</v>
      </c>
      <c r="D483" s="4"/>
      <c r="E483" t="s">
        <v>18</v>
      </c>
      <c r="F483" t="str">
        <f>INDEX(Establishment!B$2:B$1005,MATCH($E483,Establishment!$A$2:$A$1005,0))</f>
        <v xml:space="preserve"> </v>
      </c>
      <c r="G483" t="str">
        <f>INDEX(Establishment!C$2:C$1005,MATCH($E483,Establishment!$A$2:$A$1005,0))</f>
        <v xml:space="preserve"> </v>
      </c>
      <c r="M483">
        <f t="shared" si="41"/>
        <v>0</v>
      </c>
      <c r="N483">
        <f t="shared" si="39"/>
        <v>0</v>
      </c>
      <c r="P483" t="e">
        <f>INDEX(Items!B$2:B$1032,MATCH($O483,Items!$A$2:$A$1032,0))</f>
        <v>#N/A</v>
      </c>
      <c r="Q483" t="e">
        <f>INDEX(Items!C$2:C$1032,MATCH($O483,Items!$A$2:$A$1032,0))</f>
        <v>#N/A</v>
      </c>
      <c r="R483" t="e">
        <f>INDEX(Items!D$2:D$1032,MATCH($O483,Items!$A$2:$A$1032,0))</f>
        <v>#N/A</v>
      </c>
    </row>
    <row r="484" spans="1:18" x14ac:dyDescent="0.25">
      <c r="A484">
        <f t="shared" si="37"/>
        <v>1</v>
      </c>
      <c r="B484" t="str">
        <f t="shared" si="38"/>
        <v/>
      </c>
      <c r="C484">
        <f t="shared" si="40"/>
        <v>1</v>
      </c>
      <c r="D484" s="4"/>
      <c r="E484" t="s">
        <v>18</v>
      </c>
      <c r="F484" t="str">
        <f>INDEX(Establishment!B$2:B$1005,MATCH($E484,Establishment!$A$2:$A$1005,0))</f>
        <v xml:space="preserve"> </v>
      </c>
      <c r="G484" t="str">
        <f>INDEX(Establishment!C$2:C$1005,MATCH($E484,Establishment!$A$2:$A$1005,0))</f>
        <v xml:space="preserve"> </v>
      </c>
      <c r="M484">
        <f t="shared" si="41"/>
        <v>0</v>
      </c>
      <c r="N484">
        <f t="shared" si="39"/>
        <v>0</v>
      </c>
      <c r="P484" t="e">
        <f>INDEX(Items!B$2:B$1032,MATCH($O484,Items!$A$2:$A$1032,0))</f>
        <v>#N/A</v>
      </c>
      <c r="Q484" t="e">
        <f>INDEX(Items!C$2:C$1032,MATCH($O484,Items!$A$2:$A$1032,0))</f>
        <v>#N/A</v>
      </c>
      <c r="R484" t="e">
        <f>INDEX(Items!D$2:D$1032,MATCH($O484,Items!$A$2:$A$1032,0))</f>
        <v>#N/A</v>
      </c>
    </row>
    <row r="485" spans="1:18" x14ac:dyDescent="0.25">
      <c r="A485">
        <f t="shared" si="37"/>
        <v>1</v>
      </c>
      <c r="B485" t="str">
        <f t="shared" si="38"/>
        <v/>
      </c>
      <c r="C485">
        <f t="shared" si="40"/>
        <v>1</v>
      </c>
      <c r="D485" s="4"/>
      <c r="E485" t="s">
        <v>18</v>
      </c>
      <c r="F485" t="str">
        <f>INDEX(Establishment!B$2:B$1005,MATCH($E485,Establishment!$A$2:$A$1005,0))</f>
        <v xml:space="preserve"> </v>
      </c>
      <c r="G485" t="str">
        <f>INDEX(Establishment!C$2:C$1005,MATCH($E485,Establishment!$A$2:$A$1005,0))</f>
        <v xml:space="preserve"> </v>
      </c>
      <c r="M485">
        <f t="shared" si="41"/>
        <v>0</v>
      </c>
      <c r="N485">
        <f t="shared" si="39"/>
        <v>0</v>
      </c>
      <c r="P485" t="e">
        <f>INDEX(Items!B$2:B$1032,MATCH($O485,Items!$A$2:$A$1032,0))</f>
        <v>#N/A</v>
      </c>
      <c r="Q485" t="e">
        <f>INDEX(Items!C$2:C$1032,MATCH($O485,Items!$A$2:$A$1032,0))</f>
        <v>#N/A</v>
      </c>
      <c r="R485" t="e">
        <f>INDEX(Items!D$2:D$1032,MATCH($O485,Items!$A$2:$A$1032,0))</f>
        <v>#N/A</v>
      </c>
    </row>
    <row r="486" spans="1:18" x14ac:dyDescent="0.25">
      <c r="A486">
        <f t="shared" si="37"/>
        <v>1</v>
      </c>
      <c r="B486" t="str">
        <f t="shared" si="38"/>
        <v/>
      </c>
      <c r="C486">
        <f t="shared" si="40"/>
        <v>1</v>
      </c>
      <c r="D486" s="4"/>
      <c r="E486" t="s">
        <v>18</v>
      </c>
      <c r="F486" t="str">
        <f>INDEX(Establishment!B$2:B$1005,MATCH($E486,Establishment!$A$2:$A$1005,0))</f>
        <v xml:space="preserve"> </v>
      </c>
      <c r="G486" t="str">
        <f>INDEX(Establishment!C$2:C$1005,MATCH($E486,Establishment!$A$2:$A$1005,0))</f>
        <v xml:space="preserve"> </v>
      </c>
      <c r="M486">
        <f t="shared" si="41"/>
        <v>0</v>
      </c>
      <c r="N486">
        <f t="shared" si="39"/>
        <v>0</v>
      </c>
      <c r="P486" t="e">
        <f>INDEX(Items!B$2:B$1032,MATCH($O486,Items!$A$2:$A$1032,0))</f>
        <v>#N/A</v>
      </c>
      <c r="Q486" t="e">
        <f>INDEX(Items!C$2:C$1032,MATCH($O486,Items!$A$2:$A$1032,0))</f>
        <v>#N/A</v>
      </c>
      <c r="R486" t="e">
        <f>INDEX(Items!D$2:D$1032,MATCH($O486,Items!$A$2:$A$1032,0))</f>
        <v>#N/A</v>
      </c>
    </row>
    <row r="487" spans="1:18" x14ac:dyDescent="0.25">
      <c r="A487">
        <f t="shared" si="37"/>
        <v>1</v>
      </c>
      <c r="B487" t="str">
        <f t="shared" si="38"/>
        <v/>
      </c>
      <c r="C487">
        <f t="shared" si="40"/>
        <v>1</v>
      </c>
      <c r="D487" s="4"/>
      <c r="E487" t="s">
        <v>18</v>
      </c>
      <c r="F487" t="str">
        <f>INDEX(Establishment!B$2:B$1005,MATCH($E487,Establishment!$A$2:$A$1005,0))</f>
        <v xml:space="preserve"> </v>
      </c>
      <c r="G487" t="str">
        <f>INDEX(Establishment!C$2:C$1005,MATCH($E487,Establishment!$A$2:$A$1005,0))</f>
        <v xml:space="preserve"> </v>
      </c>
      <c r="M487">
        <f t="shared" si="41"/>
        <v>0</v>
      </c>
      <c r="N487">
        <f t="shared" si="39"/>
        <v>0</v>
      </c>
      <c r="P487" t="e">
        <f>INDEX(Items!B$2:B$1032,MATCH($O487,Items!$A$2:$A$1032,0))</f>
        <v>#N/A</v>
      </c>
      <c r="Q487" t="e">
        <f>INDEX(Items!C$2:C$1032,MATCH($O487,Items!$A$2:$A$1032,0))</f>
        <v>#N/A</v>
      </c>
      <c r="R487" t="e">
        <f>INDEX(Items!D$2:D$1032,MATCH($O487,Items!$A$2:$A$1032,0))</f>
        <v>#N/A</v>
      </c>
    </row>
    <row r="488" spans="1:18" x14ac:dyDescent="0.25">
      <c r="A488">
        <f t="shared" si="37"/>
        <v>1</v>
      </c>
      <c r="B488" t="str">
        <f t="shared" si="38"/>
        <v/>
      </c>
      <c r="C488">
        <f t="shared" si="40"/>
        <v>1</v>
      </c>
      <c r="D488" s="4"/>
      <c r="E488" t="s">
        <v>18</v>
      </c>
      <c r="F488" t="str">
        <f>INDEX(Establishment!B$2:B$1005,MATCH($E488,Establishment!$A$2:$A$1005,0))</f>
        <v xml:space="preserve"> </v>
      </c>
      <c r="G488" t="str">
        <f>INDEX(Establishment!C$2:C$1005,MATCH($E488,Establishment!$A$2:$A$1005,0))</f>
        <v xml:space="preserve"> </v>
      </c>
      <c r="M488">
        <f t="shared" si="41"/>
        <v>0</v>
      </c>
      <c r="N488">
        <f t="shared" si="39"/>
        <v>0</v>
      </c>
      <c r="P488" t="e">
        <f>INDEX(Items!B$2:B$1032,MATCH($O488,Items!$A$2:$A$1032,0))</f>
        <v>#N/A</v>
      </c>
      <c r="Q488" t="e">
        <f>INDEX(Items!C$2:C$1032,MATCH($O488,Items!$A$2:$A$1032,0))</f>
        <v>#N/A</v>
      </c>
      <c r="R488" t="e">
        <f>INDEX(Items!D$2:D$1032,MATCH($O488,Items!$A$2:$A$1032,0))</f>
        <v>#N/A</v>
      </c>
    </row>
    <row r="489" spans="1:18" x14ac:dyDescent="0.25">
      <c r="A489">
        <f t="shared" si="37"/>
        <v>1</v>
      </c>
      <c r="B489" t="str">
        <f t="shared" si="38"/>
        <v/>
      </c>
      <c r="C489">
        <f t="shared" si="40"/>
        <v>1</v>
      </c>
      <c r="D489" s="4"/>
      <c r="E489" t="s">
        <v>18</v>
      </c>
      <c r="F489" t="str">
        <f>INDEX(Establishment!B$2:B$1005,MATCH($E489,Establishment!$A$2:$A$1005,0))</f>
        <v xml:space="preserve"> </v>
      </c>
      <c r="G489" t="str">
        <f>INDEX(Establishment!C$2:C$1005,MATCH($E489,Establishment!$A$2:$A$1005,0))</f>
        <v xml:space="preserve"> </v>
      </c>
      <c r="M489">
        <f t="shared" si="41"/>
        <v>0</v>
      </c>
      <c r="N489">
        <f t="shared" si="39"/>
        <v>0</v>
      </c>
      <c r="P489" t="e">
        <f>INDEX(Items!B$2:B$1032,MATCH($O489,Items!$A$2:$A$1032,0))</f>
        <v>#N/A</v>
      </c>
      <c r="Q489" t="e">
        <f>INDEX(Items!C$2:C$1032,MATCH($O489,Items!$A$2:$A$1032,0))</f>
        <v>#N/A</v>
      </c>
      <c r="R489" t="e">
        <f>INDEX(Items!D$2:D$1032,MATCH($O489,Items!$A$2:$A$1032,0))</f>
        <v>#N/A</v>
      </c>
    </row>
    <row r="490" spans="1:18" x14ac:dyDescent="0.25">
      <c r="A490">
        <f t="shared" si="37"/>
        <v>1</v>
      </c>
      <c r="B490" t="str">
        <f t="shared" si="38"/>
        <v/>
      </c>
      <c r="C490">
        <f t="shared" si="40"/>
        <v>1</v>
      </c>
      <c r="D490" s="4"/>
      <c r="E490" t="s">
        <v>18</v>
      </c>
      <c r="F490" t="str">
        <f>INDEX(Establishment!B$2:B$1005,MATCH($E490,Establishment!$A$2:$A$1005,0))</f>
        <v xml:space="preserve"> </v>
      </c>
      <c r="G490" t="str">
        <f>INDEX(Establishment!C$2:C$1005,MATCH($E490,Establishment!$A$2:$A$1005,0))</f>
        <v xml:space="preserve"> </v>
      </c>
      <c r="M490">
        <f t="shared" si="41"/>
        <v>0</v>
      </c>
      <c r="N490">
        <f t="shared" si="39"/>
        <v>0</v>
      </c>
      <c r="P490" t="e">
        <f>INDEX(Items!B$2:B$1032,MATCH($O490,Items!$A$2:$A$1032,0))</f>
        <v>#N/A</v>
      </c>
      <c r="Q490" t="e">
        <f>INDEX(Items!C$2:C$1032,MATCH($O490,Items!$A$2:$A$1032,0))</f>
        <v>#N/A</v>
      </c>
      <c r="R490" t="e">
        <f>INDEX(Items!D$2:D$1032,MATCH($O490,Items!$A$2:$A$1032,0))</f>
        <v>#N/A</v>
      </c>
    </row>
    <row r="491" spans="1:18" x14ac:dyDescent="0.25">
      <c r="A491">
        <f t="shared" si="37"/>
        <v>1</v>
      </c>
      <c r="B491" t="str">
        <f t="shared" si="38"/>
        <v/>
      </c>
      <c r="C491">
        <f t="shared" si="40"/>
        <v>1</v>
      </c>
      <c r="D491" s="4"/>
      <c r="E491" t="s">
        <v>18</v>
      </c>
      <c r="F491" t="str">
        <f>INDEX(Establishment!B$2:B$1005,MATCH($E491,Establishment!$A$2:$A$1005,0))</f>
        <v xml:space="preserve"> </v>
      </c>
      <c r="G491" t="str">
        <f>INDEX(Establishment!C$2:C$1005,MATCH($E491,Establishment!$A$2:$A$1005,0))</f>
        <v xml:space="preserve"> </v>
      </c>
      <c r="M491">
        <f t="shared" si="41"/>
        <v>0</v>
      </c>
      <c r="N491">
        <f t="shared" si="39"/>
        <v>0</v>
      </c>
      <c r="P491" t="e">
        <f>INDEX(Items!B$2:B$1032,MATCH($O491,Items!$A$2:$A$1032,0))</f>
        <v>#N/A</v>
      </c>
      <c r="Q491" t="e">
        <f>INDEX(Items!C$2:C$1032,MATCH($O491,Items!$A$2:$A$1032,0))</f>
        <v>#N/A</v>
      </c>
      <c r="R491" t="e">
        <f>INDEX(Items!D$2:D$1032,MATCH($O491,Items!$A$2:$A$1032,0))</f>
        <v>#N/A</v>
      </c>
    </row>
    <row r="492" spans="1:18" x14ac:dyDescent="0.25">
      <c r="A492">
        <f t="shared" si="37"/>
        <v>1</v>
      </c>
      <c r="B492" t="str">
        <f t="shared" si="38"/>
        <v/>
      </c>
      <c r="C492">
        <f t="shared" si="40"/>
        <v>1</v>
      </c>
      <c r="D492" s="4"/>
      <c r="E492" t="s">
        <v>18</v>
      </c>
      <c r="F492" t="str">
        <f>INDEX(Establishment!B$2:B$1005,MATCH($E492,Establishment!$A$2:$A$1005,0))</f>
        <v xml:space="preserve"> </v>
      </c>
      <c r="G492" t="str">
        <f>INDEX(Establishment!C$2:C$1005,MATCH($E492,Establishment!$A$2:$A$1005,0))</f>
        <v xml:space="preserve"> </v>
      </c>
      <c r="M492">
        <f t="shared" si="41"/>
        <v>0</v>
      </c>
      <c r="N492">
        <f t="shared" si="39"/>
        <v>0</v>
      </c>
      <c r="P492" t="e">
        <f>INDEX(Items!B$2:B$1032,MATCH($O492,Items!$A$2:$A$1032,0))</f>
        <v>#N/A</v>
      </c>
      <c r="Q492" t="e">
        <f>INDEX(Items!C$2:C$1032,MATCH($O492,Items!$A$2:$A$1032,0))</f>
        <v>#N/A</v>
      </c>
      <c r="R492" t="e">
        <f>INDEX(Items!D$2:D$1032,MATCH($O492,Items!$A$2:$A$1032,0))</f>
        <v>#N/A</v>
      </c>
    </row>
    <row r="493" spans="1:18" x14ac:dyDescent="0.25">
      <c r="A493">
        <f t="shared" si="37"/>
        <v>1</v>
      </c>
      <c r="B493" t="str">
        <f t="shared" si="38"/>
        <v/>
      </c>
      <c r="C493">
        <f t="shared" si="40"/>
        <v>1</v>
      </c>
      <c r="D493" s="4"/>
      <c r="E493" t="s">
        <v>18</v>
      </c>
      <c r="F493" t="str">
        <f>INDEX(Establishment!B$2:B$1005,MATCH($E493,Establishment!$A$2:$A$1005,0))</f>
        <v xml:space="preserve"> </v>
      </c>
      <c r="G493" t="str">
        <f>INDEX(Establishment!C$2:C$1005,MATCH($E493,Establishment!$A$2:$A$1005,0))</f>
        <v xml:space="preserve"> </v>
      </c>
      <c r="M493">
        <f t="shared" si="41"/>
        <v>0</v>
      </c>
      <c r="N493">
        <f t="shared" si="39"/>
        <v>0</v>
      </c>
      <c r="P493" t="e">
        <f>INDEX(Items!B$2:B$1032,MATCH($O493,Items!$A$2:$A$1032,0))</f>
        <v>#N/A</v>
      </c>
      <c r="Q493" t="e">
        <f>INDEX(Items!C$2:C$1032,MATCH($O493,Items!$A$2:$A$1032,0))</f>
        <v>#N/A</v>
      </c>
      <c r="R493" t="e">
        <f>INDEX(Items!D$2:D$1032,MATCH($O493,Items!$A$2:$A$1032,0))</f>
        <v>#N/A</v>
      </c>
    </row>
    <row r="494" spans="1:18" x14ac:dyDescent="0.25">
      <c r="A494">
        <f t="shared" si="37"/>
        <v>1</v>
      </c>
      <c r="B494" t="str">
        <f t="shared" si="38"/>
        <v/>
      </c>
      <c r="C494">
        <f t="shared" si="40"/>
        <v>1</v>
      </c>
      <c r="D494" s="4"/>
      <c r="E494" t="s">
        <v>18</v>
      </c>
      <c r="F494" t="str">
        <f>INDEX(Establishment!B$2:B$1005,MATCH($E494,Establishment!$A$2:$A$1005,0))</f>
        <v xml:space="preserve"> </v>
      </c>
      <c r="G494" t="str">
        <f>INDEX(Establishment!C$2:C$1005,MATCH($E494,Establishment!$A$2:$A$1005,0))</f>
        <v xml:space="preserve"> </v>
      </c>
      <c r="M494">
        <f t="shared" si="41"/>
        <v>0</v>
      </c>
      <c r="N494">
        <f t="shared" si="39"/>
        <v>0</v>
      </c>
      <c r="P494" t="e">
        <f>INDEX(Items!B$2:B$1032,MATCH($O494,Items!$A$2:$A$1032,0))</f>
        <v>#N/A</v>
      </c>
      <c r="Q494" t="e">
        <f>INDEX(Items!C$2:C$1032,MATCH($O494,Items!$A$2:$A$1032,0))</f>
        <v>#N/A</v>
      </c>
      <c r="R494" t="e">
        <f>INDEX(Items!D$2:D$1032,MATCH($O494,Items!$A$2:$A$1032,0))</f>
        <v>#N/A</v>
      </c>
    </row>
    <row r="495" spans="1:18" x14ac:dyDescent="0.25">
      <c r="A495">
        <f t="shared" si="37"/>
        <v>1</v>
      </c>
      <c r="B495" t="str">
        <f t="shared" si="38"/>
        <v/>
      </c>
      <c r="C495">
        <f t="shared" si="40"/>
        <v>1</v>
      </c>
      <c r="D495" s="4"/>
      <c r="E495" t="s">
        <v>18</v>
      </c>
      <c r="F495" t="str">
        <f>INDEX(Establishment!B$2:B$1005,MATCH($E495,Establishment!$A$2:$A$1005,0))</f>
        <v xml:space="preserve"> </v>
      </c>
      <c r="G495" t="str">
        <f>INDEX(Establishment!C$2:C$1005,MATCH($E495,Establishment!$A$2:$A$1005,0))</f>
        <v xml:space="preserve"> </v>
      </c>
      <c r="M495">
        <f t="shared" si="41"/>
        <v>0</v>
      </c>
      <c r="N495">
        <f t="shared" si="39"/>
        <v>0</v>
      </c>
      <c r="P495" t="e">
        <f>INDEX(Items!B$2:B$1032,MATCH($O495,Items!$A$2:$A$1032,0))</f>
        <v>#N/A</v>
      </c>
      <c r="Q495" t="e">
        <f>INDEX(Items!C$2:C$1032,MATCH($O495,Items!$A$2:$A$1032,0))</f>
        <v>#N/A</v>
      </c>
      <c r="R495" t="e">
        <f>INDEX(Items!D$2:D$1032,MATCH($O495,Items!$A$2:$A$1032,0))</f>
        <v>#N/A</v>
      </c>
    </row>
    <row r="496" spans="1:18" x14ac:dyDescent="0.25">
      <c r="A496">
        <f t="shared" si="37"/>
        <v>1</v>
      </c>
      <c r="B496" t="str">
        <f t="shared" si="38"/>
        <v/>
      </c>
      <c r="C496">
        <f t="shared" si="40"/>
        <v>1</v>
      </c>
      <c r="D496" s="4"/>
      <c r="E496" t="s">
        <v>18</v>
      </c>
      <c r="F496" t="str">
        <f>INDEX(Establishment!B$2:B$1005,MATCH($E496,Establishment!$A$2:$A$1005,0))</f>
        <v xml:space="preserve"> </v>
      </c>
      <c r="G496" t="str">
        <f>INDEX(Establishment!C$2:C$1005,MATCH($E496,Establishment!$A$2:$A$1005,0))</f>
        <v xml:space="preserve"> </v>
      </c>
      <c r="M496">
        <f t="shared" si="41"/>
        <v>0</v>
      </c>
      <c r="N496">
        <f t="shared" si="39"/>
        <v>0</v>
      </c>
      <c r="P496" t="e">
        <f>INDEX(Items!B$2:B$1032,MATCH($O496,Items!$A$2:$A$1032,0))</f>
        <v>#N/A</v>
      </c>
      <c r="Q496" t="e">
        <f>INDEX(Items!C$2:C$1032,MATCH($O496,Items!$A$2:$A$1032,0))</f>
        <v>#N/A</v>
      </c>
      <c r="R496" t="e">
        <f>INDEX(Items!D$2:D$1032,MATCH($O496,Items!$A$2:$A$1032,0))</f>
        <v>#N/A</v>
      </c>
    </row>
    <row r="497" spans="1:18" x14ac:dyDescent="0.25">
      <c r="A497">
        <f t="shared" si="37"/>
        <v>1</v>
      </c>
      <c r="B497" t="str">
        <f t="shared" si="38"/>
        <v/>
      </c>
      <c r="C497">
        <f t="shared" si="40"/>
        <v>1</v>
      </c>
      <c r="D497" s="4"/>
      <c r="E497" t="s">
        <v>18</v>
      </c>
      <c r="F497" t="str">
        <f>INDEX(Establishment!B$2:B$1005,MATCH($E497,Establishment!$A$2:$A$1005,0))</f>
        <v xml:space="preserve"> </v>
      </c>
      <c r="G497" t="str">
        <f>INDEX(Establishment!C$2:C$1005,MATCH($E497,Establishment!$A$2:$A$1005,0))</f>
        <v xml:space="preserve"> </v>
      </c>
      <c r="M497">
        <f t="shared" si="41"/>
        <v>0</v>
      </c>
      <c r="N497">
        <f t="shared" si="39"/>
        <v>0</v>
      </c>
      <c r="P497" t="e">
        <f>INDEX(Items!B$2:B$1032,MATCH($O497,Items!$A$2:$A$1032,0))</f>
        <v>#N/A</v>
      </c>
      <c r="Q497" t="e">
        <f>INDEX(Items!C$2:C$1032,MATCH($O497,Items!$A$2:$A$1032,0))</f>
        <v>#N/A</v>
      </c>
      <c r="R497" t="e">
        <f>INDEX(Items!D$2:D$1032,MATCH($O497,Items!$A$2:$A$1032,0))</f>
        <v>#N/A</v>
      </c>
    </row>
    <row r="498" spans="1:18" x14ac:dyDescent="0.25">
      <c r="A498">
        <f t="shared" si="37"/>
        <v>1</v>
      </c>
      <c r="B498" t="str">
        <f t="shared" si="38"/>
        <v/>
      </c>
      <c r="C498">
        <f t="shared" si="40"/>
        <v>1</v>
      </c>
      <c r="D498" s="4"/>
      <c r="E498" t="s">
        <v>18</v>
      </c>
      <c r="F498" t="str">
        <f>INDEX(Establishment!B$2:B$1005,MATCH($E498,Establishment!$A$2:$A$1005,0))</f>
        <v xml:space="preserve"> </v>
      </c>
      <c r="G498" t="str">
        <f>INDEX(Establishment!C$2:C$1005,MATCH($E498,Establishment!$A$2:$A$1005,0))</f>
        <v xml:space="preserve"> </v>
      </c>
      <c r="M498">
        <f t="shared" si="41"/>
        <v>0</v>
      </c>
      <c r="N498">
        <f t="shared" si="39"/>
        <v>0</v>
      </c>
      <c r="P498" t="e">
        <f>INDEX(Items!B$2:B$1032,MATCH($O498,Items!$A$2:$A$1032,0))</f>
        <v>#N/A</v>
      </c>
      <c r="Q498" t="e">
        <f>INDEX(Items!C$2:C$1032,MATCH($O498,Items!$A$2:$A$1032,0))</f>
        <v>#N/A</v>
      </c>
      <c r="R498" t="e">
        <f>INDEX(Items!D$2:D$1032,MATCH($O498,Items!$A$2:$A$1032,0))</f>
        <v>#N/A</v>
      </c>
    </row>
    <row r="499" spans="1:18" x14ac:dyDescent="0.25">
      <c r="A499">
        <f t="shared" si="37"/>
        <v>1</v>
      </c>
      <c r="B499" t="str">
        <f t="shared" si="38"/>
        <v/>
      </c>
      <c r="C499">
        <f t="shared" si="40"/>
        <v>1</v>
      </c>
      <c r="D499" s="4"/>
      <c r="E499" t="s">
        <v>18</v>
      </c>
      <c r="F499" t="str">
        <f>INDEX(Establishment!B$2:B$1005,MATCH($E499,Establishment!$A$2:$A$1005,0))</f>
        <v xml:space="preserve"> </v>
      </c>
      <c r="G499" t="str">
        <f>INDEX(Establishment!C$2:C$1005,MATCH($E499,Establishment!$A$2:$A$1005,0))</f>
        <v xml:space="preserve"> </v>
      </c>
      <c r="M499">
        <f t="shared" si="41"/>
        <v>0</v>
      </c>
      <c r="N499">
        <f t="shared" si="39"/>
        <v>0</v>
      </c>
      <c r="P499" t="e">
        <f>INDEX(Items!B$2:B$1032,MATCH($O499,Items!$A$2:$A$1032,0))</f>
        <v>#N/A</v>
      </c>
      <c r="Q499" t="e">
        <f>INDEX(Items!C$2:C$1032,MATCH($O499,Items!$A$2:$A$1032,0))</f>
        <v>#N/A</v>
      </c>
      <c r="R499" t="e">
        <f>INDEX(Items!D$2:D$1032,MATCH($O499,Items!$A$2:$A$1032,0))</f>
        <v>#N/A</v>
      </c>
    </row>
  </sheetData>
  <autoFilter ref="A1:S499" xr:uid="{5F0E76B2-0B92-47EE-AE22-5D9D037037E9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C7B7D187-4E1A-4348-ADE4-17CCA07A66B6}">
          <x14:formula1>
            <xm:f>Misc!$A$2:$A$8</xm:f>
          </x14:formula1>
          <xm:sqref>H1:H1048576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25226-D3AA-4C09-A6E0-999082D8B37A}">
  <dimension ref="A1:S499"/>
  <sheetViews>
    <sheetView zoomScale="145" zoomScaleNormal="145"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bestFit="1" customWidth="1"/>
    <col min="2" max="2" width="11.140625" bestFit="1" customWidth="1"/>
    <col min="3" max="3" width="11.140625" customWidth="1"/>
    <col min="4" max="4" width="10.7109375" bestFit="1" customWidth="1"/>
    <col min="5" max="5" width="21.140625" bestFit="1" customWidth="1"/>
    <col min="6" max="6" width="13.7109375" bestFit="1" customWidth="1"/>
    <col min="7" max="7" width="9.7109375" bestFit="1" customWidth="1"/>
    <col min="8" max="8" width="13.7109375" bestFit="1" customWidth="1"/>
    <col min="9" max="9" width="8.140625" bestFit="1" customWidth="1"/>
    <col min="10" max="10" width="18.5703125" bestFit="1" customWidth="1"/>
    <col min="11" max="11" width="8.7109375" bestFit="1" customWidth="1"/>
    <col min="12" max="12" width="9.5703125" bestFit="1" customWidth="1"/>
    <col min="13" max="13" width="8.140625" bestFit="1" customWidth="1"/>
    <col min="14" max="14" width="11.140625" bestFit="1" customWidth="1"/>
    <col min="15" max="15" width="25.7109375" bestFit="1" customWidth="1"/>
    <col min="16" max="16" width="6.140625" bestFit="1" customWidth="1"/>
    <col min="17" max="17" width="12.7109375" bestFit="1" customWidth="1"/>
    <col min="18" max="18" width="7.140625" bestFit="1" customWidth="1"/>
  </cols>
  <sheetData>
    <row r="1" spans="1:19" ht="30" x14ac:dyDescent="0.25">
      <c r="A1" t="s">
        <v>0</v>
      </c>
      <c r="B1" s="2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f t="shared" ref="A2:A65" si="0">IF(OR(D2&lt;&gt;D1,D2=""),1,IF(NOT(AND(E2=E1,F2=F1,G2=G1)),A1+1,IF(OR(H2="",AND(H2&lt;&gt;"",H2&lt;&gt;H1,H1&lt;&gt;"")),A1,A1+1)))</f>
        <v>1</v>
      </c>
      <c r="B2" t="str">
        <f t="shared" ref="B2:B65" si="1">IF(D2&lt;&gt;"",TEXT(D2,"YYYYMMDD")&amp;CHAR(64+A2),"")</f>
        <v/>
      </c>
      <c r="C2">
        <f t="shared" ref="C2:C6" si="2">IF(OR(B2="",B2&lt;&gt;B10),1,C10+1)</f>
        <v>1</v>
      </c>
      <c r="D2" s="4"/>
      <c r="F2" t="e">
        <f>INDEX(Establishment!B$2:B$1005,MATCH($E2,Establishment!$A$2:$A$1005,0))</f>
        <v>#N/A</v>
      </c>
      <c r="G2" t="e">
        <f>INDEX(Establishment!C$2:C$1005,MATCH($E2,Establishment!$A$2:$A$1005,0))</f>
        <v>#N/A</v>
      </c>
      <c r="M2">
        <f t="shared" ref="M2:M6" si="3">K2*L2</f>
        <v>0</v>
      </c>
      <c r="N2">
        <f>IF(B2=B1,N1+M2,M2)</f>
        <v>0</v>
      </c>
      <c r="P2" t="e">
        <f>INDEX(Items!B$2:B$1032,MATCH($O2,Items!$A$2:$A$1032,0))</f>
        <v>#N/A</v>
      </c>
      <c r="Q2" t="e">
        <f>INDEX(Items!C$2:C$1032,MATCH($O2,Items!$A$2:$A$1032,0))</f>
        <v>#N/A</v>
      </c>
      <c r="R2" t="e">
        <f>INDEX(Items!D$2:D$1032,MATCH($O2,Items!$A$2:$A$1032,0))</f>
        <v>#N/A</v>
      </c>
    </row>
    <row r="3" spans="1:19" x14ac:dyDescent="0.25">
      <c r="A3">
        <f t="shared" si="0"/>
        <v>1</v>
      </c>
      <c r="B3" t="str">
        <f t="shared" si="1"/>
        <v/>
      </c>
      <c r="C3">
        <f t="shared" si="2"/>
        <v>1</v>
      </c>
      <c r="D3" s="4"/>
      <c r="F3" t="e">
        <f>INDEX(Establishment!B$2:B$1005,MATCH($E3,Establishment!$A$2:$A$1005,0))</f>
        <v>#N/A</v>
      </c>
      <c r="G3" t="e">
        <f>INDEX(Establishment!C$2:C$1005,MATCH($E3,Establishment!$A$2:$A$1005,0))</f>
        <v>#N/A</v>
      </c>
      <c r="M3">
        <f t="shared" si="3"/>
        <v>0</v>
      </c>
      <c r="N3">
        <f t="shared" ref="N3:N66" si="4">IF(B3=B2,N2+M3,M3)</f>
        <v>0</v>
      </c>
      <c r="P3" t="e">
        <f>INDEX(Items!B$2:B$1032,MATCH($O3,Items!$A$2:$A$1032,0))</f>
        <v>#N/A</v>
      </c>
      <c r="Q3" t="e">
        <f>INDEX(Items!C$2:C$1032,MATCH($O3,Items!$A$2:$A$1032,0))</f>
        <v>#N/A</v>
      </c>
      <c r="R3" t="e">
        <f>INDEX(Items!D$2:D$1032,MATCH($O3,Items!$A$2:$A$1032,0))</f>
        <v>#N/A</v>
      </c>
    </row>
    <row r="4" spans="1:19" x14ac:dyDescent="0.25">
      <c r="A4">
        <f t="shared" si="0"/>
        <v>1</v>
      </c>
      <c r="B4" t="str">
        <f t="shared" si="1"/>
        <v/>
      </c>
      <c r="C4">
        <f t="shared" si="2"/>
        <v>1</v>
      </c>
      <c r="D4" s="4"/>
      <c r="F4" t="e">
        <f>INDEX(Establishment!B$2:B$1005,MATCH($E4,Establishment!$A$2:$A$1005,0))</f>
        <v>#N/A</v>
      </c>
      <c r="G4" t="e">
        <f>INDEX(Establishment!C$2:C$1005,MATCH($E4,Establishment!$A$2:$A$1005,0))</f>
        <v>#N/A</v>
      </c>
      <c r="M4">
        <f t="shared" si="3"/>
        <v>0</v>
      </c>
      <c r="N4">
        <f t="shared" si="4"/>
        <v>0</v>
      </c>
      <c r="P4" t="e">
        <f>INDEX(Items!B$2:B$1032,MATCH($O4,Items!$A$2:$A$1032,0))</f>
        <v>#N/A</v>
      </c>
      <c r="Q4" t="e">
        <f>INDEX(Items!C$2:C$1032,MATCH($O4,Items!$A$2:$A$1032,0))</f>
        <v>#N/A</v>
      </c>
      <c r="R4" t="e">
        <f>INDEX(Items!D$2:D$1032,MATCH($O4,Items!$A$2:$A$1032,0))</f>
        <v>#N/A</v>
      </c>
    </row>
    <row r="5" spans="1:19" x14ac:dyDescent="0.25">
      <c r="A5">
        <f t="shared" si="0"/>
        <v>1</v>
      </c>
      <c r="B5" t="str">
        <f t="shared" si="1"/>
        <v/>
      </c>
      <c r="C5">
        <f t="shared" si="2"/>
        <v>1</v>
      </c>
      <c r="D5" s="4"/>
      <c r="F5" t="e">
        <f>INDEX(Establishment!B$2:B$1005,MATCH($E5,Establishment!$A$2:$A$1005,0))</f>
        <v>#N/A</v>
      </c>
      <c r="G5" t="e">
        <f>INDEX(Establishment!C$2:C$1005,MATCH($E5,Establishment!$A$2:$A$1005,0))</f>
        <v>#N/A</v>
      </c>
      <c r="M5">
        <f t="shared" si="3"/>
        <v>0</v>
      </c>
      <c r="N5">
        <f t="shared" si="4"/>
        <v>0</v>
      </c>
      <c r="P5" t="e">
        <f>INDEX(Items!B$2:B$1032,MATCH($O5,Items!$A$2:$A$1032,0))</f>
        <v>#N/A</v>
      </c>
      <c r="Q5" t="e">
        <f>INDEX(Items!C$2:C$1032,MATCH($O5,Items!$A$2:$A$1032,0))</f>
        <v>#N/A</v>
      </c>
      <c r="R5" t="e">
        <f>INDEX(Items!D$2:D$1032,MATCH($O5,Items!$A$2:$A$1032,0))</f>
        <v>#N/A</v>
      </c>
    </row>
    <row r="6" spans="1:19" x14ac:dyDescent="0.25">
      <c r="A6">
        <f t="shared" si="0"/>
        <v>1</v>
      </c>
      <c r="B6" t="str">
        <f t="shared" si="1"/>
        <v/>
      </c>
      <c r="C6">
        <f t="shared" si="2"/>
        <v>1</v>
      </c>
      <c r="D6" s="4"/>
      <c r="F6" t="e">
        <f>INDEX(Establishment!B$2:B$1005,MATCH($E6,Establishment!$A$2:$A$1005,0))</f>
        <v>#N/A</v>
      </c>
      <c r="G6" t="e">
        <f>INDEX(Establishment!C$2:C$1005,MATCH($E6,Establishment!$A$2:$A$1005,0))</f>
        <v>#N/A</v>
      </c>
      <c r="M6">
        <f t="shared" si="3"/>
        <v>0</v>
      </c>
      <c r="N6">
        <f t="shared" si="4"/>
        <v>0</v>
      </c>
      <c r="P6" t="e">
        <f>INDEX(Items!B$2:B$1032,MATCH($O6,Items!$A$2:$A$1032,0))</f>
        <v>#N/A</v>
      </c>
      <c r="Q6" t="e">
        <f>INDEX(Items!C$2:C$1032,MATCH($O6,Items!$A$2:$A$1032,0))</f>
        <v>#N/A</v>
      </c>
      <c r="R6" t="e">
        <f>INDEX(Items!D$2:D$1032,MATCH($O6,Items!$A$2:$A$1032,0))</f>
        <v>#N/A</v>
      </c>
    </row>
    <row r="7" spans="1:19" x14ac:dyDescent="0.25">
      <c r="A7">
        <f t="shared" si="0"/>
        <v>1</v>
      </c>
      <c r="B7" t="str">
        <f t="shared" si="1"/>
        <v/>
      </c>
      <c r="C7">
        <f>IF(OR(B7="",B7&lt;&gt;B15),1,C15+1)</f>
        <v>1</v>
      </c>
      <c r="D7" s="4"/>
      <c r="F7" t="e">
        <f>INDEX(Establishment!B$2:B$1005,MATCH($E7,Establishment!$A$2:$A$1005,0))</f>
        <v>#N/A</v>
      </c>
      <c r="G7" t="e">
        <f>INDEX(Establishment!C$2:C$1005,MATCH($E7,Establishment!$A$2:$A$1005,0))</f>
        <v>#N/A</v>
      </c>
      <c r="M7">
        <f>K7*L7</f>
        <v>0</v>
      </c>
      <c r="N7">
        <f t="shared" si="4"/>
        <v>0</v>
      </c>
      <c r="P7" t="e">
        <f>INDEX(Items!B$2:B$1032,MATCH($O7,Items!$A$2:$A$1032,0))</f>
        <v>#N/A</v>
      </c>
      <c r="Q7" t="e">
        <f>INDEX(Items!C$2:C$1032,MATCH($O7,Items!$A$2:$A$1032,0))</f>
        <v>#N/A</v>
      </c>
      <c r="R7" t="e">
        <f>INDEX(Items!D$2:D$1032,MATCH($O7,Items!$A$2:$A$1032,0))</f>
        <v>#N/A</v>
      </c>
    </row>
    <row r="8" spans="1:19" x14ac:dyDescent="0.25">
      <c r="A8">
        <f t="shared" si="0"/>
        <v>1</v>
      </c>
      <c r="B8" t="str">
        <f t="shared" si="1"/>
        <v/>
      </c>
      <c r="C8">
        <f>IF(OR(B8="",B8&lt;&gt;B7),1,C7+1)</f>
        <v>1</v>
      </c>
      <c r="D8" s="4"/>
      <c r="F8" t="e">
        <f>INDEX(Establishment!B$2:B$1005,MATCH($E8,Establishment!$A$2:$A$1005,0))</f>
        <v>#N/A</v>
      </c>
      <c r="G8" t="e">
        <f>INDEX(Establishment!C$2:C$1005,MATCH($E8,Establishment!$A$2:$A$1005,0))</f>
        <v>#N/A</v>
      </c>
      <c r="M8">
        <f>K8*L8</f>
        <v>0</v>
      </c>
      <c r="N8">
        <f t="shared" si="4"/>
        <v>0</v>
      </c>
      <c r="P8" t="e">
        <f>INDEX(Items!B$2:B$1032,MATCH($O8,Items!$A$2:$A$1032,0))</f>
        <v>#N/A</v>
      </c>
      <c r="Q8" t="e">
        <f>INDEX(Items!C$2:C$1032,MATCH($O8,Items!$A$2:$A$1032,0))</f>
        <v>#N/A</v>
      </c>
      <c r="R8" t="e">
        <f>INDEX(Items!D$2:D$1032,MATCH($O8,Items!$A$2:$A$1032,0))</f>
        <v>#N/A</v>
      </c>
    </row>
    <row r="9" spans="1:19" x14ac:dyDescent="0.25">
      <c r="A9">
        <f t="shared" si="0"/>
        <v>1</v>
      </c>
      <c r="B9" t="str">
        <f t="shared" si="1"/>
        <v/>
      </c>
      <c r="C9">
        <f>IF(OR(B9="",B9&lt;&gt;B8),1,C8+1)</f>
        <v>1</v>
      </c>
      <c r="D9" s="4"/>
      <c r="F9" t="e">
        <f>INDEX(Establishment!B$2:B$1005,MATCH($E9,Establishment!$A$2:$A$1005,0))</f>
        <v>#N/A</v>
      </c>
      <c r="G9" t="e">
        <f>INDEX(Establishment!C$2:C$1005,MATCH($E9,Establishment!$A$2:$A$1005,0))</f>
        <v>#N/A</v>
      </c>
      <c r="M9">
        <f>K9*L9</f>
        <v>0</v>
      </c>
      <c r="N9">
        <f t="shared" si="4"/>
        <v>0</v>
      </c>
      <c r="P9" t="e">
        <f>INDEX(Items!B$2:B$1032,MATCH($O9,Items!$A$2:$A$1032,0))</f>
        <v>#N/A</v>
      </c>
      <c r="Q9" t="e">
        <f>INDEX(Items!C$2:C$1032,MATCH($O9,Items!$A$2:$A$1032,0))</f>
        <v>#N/A</v>
      </c>
      <c r="R9" t="e">
        <f>INDEX(Items!D$2:D$1032,MATCH($O9,Items!$A$2:$A$1032,0))</f>
        <v>#N/A</v>
      </c>
    </row>
    <row r="10" spans="1:19" x14ac:dyDescent="0.25">
      <c r="A10">
        <f t="shared" si="0"/>
        <v>1</v>
      </c>
      <c r="B10" t="str">
        <f t="shared" si="1"/>
        <v/>
      </c>
      <c r="C10">
        <f t="shared" ref="C10:C73" si="5">IF(OR(B10="",B10&lt;&gt;B9),1,C9+1)</f>
        <v>1</v>
      </c>
      <c r="D10" s="4"/>
      <c r="F10" t="e">
        <f>INDEX(Establishment!B$2:B$1005,MATCH($E10,Establishment!$A$2:$A$1005,0))</f>
        <v>#N/A</v>
      </c>
      <c r="G10" t="e">
        <f>INDEX(Establishment!C$2:C$1005,MATCH($E10,Establishment!$A$2:$A$1005,0))</f>
        <v>#N/A</v>
      </c>
      <c r="M10">
        <f t="shared" ref="M10:M73" si="6">K10*L10</f>
        <v>0</v>
      </c>
      <c r="N10">
        <f t="shared" si="4"/>
        <v>0</v>
      </c>
      <c r="P10" t="e">
        <f>INDEX(Items!B$2:B$1032,MATCH($O10,Items!$A$2:$A$1032,0))</f>
        <v>#N/A</v>
      </c>
      <c r="Q10" t="e">
        <f>INDEX(Items!C$2:C$1032,MATCH($O10,Items!$A$2:$A$1032,0))</f>
        <v>#N/A</v>
      </c>
      <c r="R10" t="e">
        <f>INDEX(Items!D$2:D$1032,MATCH($O10,Items!$A$2:$A$1032,0))</f>
        <v>#N/A</v>
      </c>
    </row>
    <row r="11" spans="1:19" x14ac:dyDescent="0.25">
      <c r="A11">
        <f t="shared" si="0"/>
        <v>1</v>
      </c>
      <c r="B11" t="str">
        <f t="shared" si="1"/>
        <v/>
      </c>
      <c r="C11">
        <f t="shared" si="5"/>
        <v>1</v>
      </c>
      <c r="D11" s="4"/>
      <c r="F11" t="e">
        <f>INDEX(Establishment!B$2:B$1005,MATCH($E11,Establishment!$A$2:$A$1005,0))</f>
        <v>#N/A</v>
      </c>
      <c r="G11" t="e">
        <f>INDEX(Establishment!C$2:C$1005,MATCH($E11,Establishment!$A$2:$A$1005,0))</f>
        <v>#N/A</v>
      </c>
      <c r="M11">
        <f t="shared" si="6"/>
        <v>0</v>
      </c>
      <c r="N11">
        <f t="shared" si="4"/>
        <v>0</v>
      </c>
      <c r="P11" t="e">
        <f>INDEX(Items!B$2:B$1032,MATCH($O11,Items!$A$2:$A$1032,0))</f>
        <v>#N/A</v>
      </c>
      <c r="Q11" t="e">
        <f>INDEX(Items!C$2:C$1032,MATCH($O11,Items!$A$2:$A$1032,0))</f>
        <v>#N/A</v>
      </c>
      <c r="R11" t="e">
        <f>INDEX(Items!D$2:D$1032,MATCH($O11,Items!$A$2:$A$1032,0))</f>
        <v>#N/A</v>
      </c>
    </row>
    <row r="12" spans="1:19" x14ac:dyDescent="0.25">
      <c r="A12">
        <f t="shared" si="0"/>
        <v>1</v>
      </c>
      <c r="B12" t="str">
        <f t="shared" si="1"/>
        <v/>
      </c>
      <c r="C12">
        <f t="shared" si="5"/>
        <v>1</v>
      </c>
      <c r="D12" s="4"/>
      <c r="F12" t="e">
        <f>INDEX(Establishment!B$2:B$1005,MATCH($E12,Establishment!$A$2:$A$1005,0))</f>
        <v>#N/A</v>
      </c>
      <c r="G12" t="e">
        <f>INDEX(Establishment!C$2:C$1005,MATCH($E12,Establishment!$A$2:$A$1005,0))</f>
        <v>#N/A</v>
      </c>
      <c r="M12">
        <f t="shared" si="6"/>
        <v>0</v>
      </c>
      <c r="N12">
        <f t="shared" si="4"/>
        <v>0</v>
      </c>
      <c r="P12" t="e">
        <f>INDEX(Items!B$2:B$1032,MATCH($O12,Items!$A$2:$A$1032,0))</f>
        <v>#N/A</v>
      </c>
      <c r="Q12" t="e">
        <f>INDEX(Items!C$2:C$1032,MATCH($O12,Items!$A$2:$A$1032,0))</f>
        <v>#N/A</v>
      </c>
      <c r="R12" t="e">
        <f>INDEX(Items!D$2:D$1032,MATCH($O12,Items!$A$2:$A$1032,0))</f>
        <v>#N/A</v>
      </c>
    </row>
    <row r="13" spans="1:19" x14ac:dyDescent="0.25">
      <c r="A13">
        <f t="shared" si="0"/>
        <v>1</v>
      </c>
      <c r="B13" t="str">
        <f t="shared" si="1"/>
        <v/>
      </c>
      <c r="C13">
        <f t="shared" si="5"/>
        <v>1</v>
      </c>
      <c r="D13" s="4"/>
      <c r="F13" t="e">
        <f>INDEX(Establishment!B$2:B$1005,MATCH($E13,Establishment!$A$2:$A$1005,0))</f>
        <v>#N/A</v>
      </c>
      <c r="G13" t="e">
        <f>INDEX(Establishment!C$2:C$1005,MATCH($E13,Establishment!$A$2:$A$1005,0))</f>
        <v>#N/A</v>
      </c>
      <c r="M13">
        <f t="shared" si="6"/>
        <v>0</v>
      </c>
      <c r="N13">
        <f t="shared" si="4"/>
        <v>0</v>
      </c>
      <c r="P13" t="e">
        <f>INDEX(Items!B$2:B$1032,MATCH($O13,Items!$A$2:$A$1032,0))</f>
        <v>#N/A</v>
      </c>
      <c r="Q13" t="e">
        <f>INDEX(Items!C$2:C$1032,MATCH($O13,Items!$A$2:$A$1032,0))</f>
        <v>#N/A</v>
      </c>
      <c r="R13" t="e">
        <f>INDEX(Items!D$2:D$1032,MATCH($O13,Items!$A$2:$A$1032,0))</f>
        <v>#N/A</v>
      </c>
    </row>
    <row r="14" spans="1:19" x14ac:dyDescent="0.25">
      <c r="A14">
        <f t="shared" si="0"/>
        <v>1</v>
      </c>
      <c r="B14" t="str">
        <f t="shared" si="1"/>
        <v/>
      </c>
      <c r="C14">
        <f t="shared" si="5"/>
        <v>1</v>
      </c>
      <c r="D14" s="4"/>
      <c r="F14" t="e">
        <f>INDEX(Establishment!B$2:B$1005,MATCH($E14,Establishment!$A$2:$A$1005,0))</f>
        <v>#N/A</v>
      </c>
      <c r="G14" t="e">
        <f>INDEX(Establishment!C$2:C$1005,MATCH($E14,Establishment!$A$2:$A$1005,0))</f>
        <v>#N/A</v>
      </c>
      <c r="M14">
        <f t="shared" si="6"/>
        <v>0</v>
      </c>
      <c r="N14">
        <f t="shared" si="4"/>
        <v>0</v>
      </c>
      <c r="P14" t="e">
        <f>INDEX(Items!B$2:B$1032,MATCH($O14,Items!$A$2:$A$1032,0))</f>
        <v>#N/A</v>
      </c>
      <c r="Q14" t="e">
        <f>INDEX(Items!C$2:C$1032,MATCH($O14,Items!$A$2:$A$1032,0))</f>
        <v>#N/A</v>
      </c>
      <c r="R14" t="e">
        <f>INDEX(Items!D$2:D$1032,MATCH($O14,Items!$A$2:$A$1032,0))</f>
        <v>#N/A</v>
      </c>
    </row>
    <row r="15" spans="1:19" x14ac:dyDescent="0.25">
      <c r="A15">
        <f t="shared" si="0"/>
        <v>1</v>
      </c>
      <c r="B15" t="str">
        <f t="shared" si="1"/>
        <v/>
      </c>
      <c r="C15">
        <f t="shared" si="5"/>
        <v>1</v>
      </c>
      <c r="D15" s="4"/>
      <c r="F15" t="e">
        <f>INDEX(Establishment!B$2:B$1005,MATCH($E15,Establishment!$A$2:$A$1005,0))</f>
        <v>#N/A</v>
      </c>
      <c r="G15" t="e">
        <f>INDEX(Establishment!C$2:C$1005,MATCH($E15,Establishment!$A$2:$A$1005,0))</f>
        <v>#N/A</v>
      </c>
      <c r="M15">
        <f>K15*L15</f>
        <v>0</v>
      </c>
      <c r="N15">
        <f t="shared" si="4"/>
        <v>0</v>
      </c>
      <c r="P15" t="e">
        <f>INDEX(Items!B$2:B$1032,MATCH($O15,Items!$A$2:$A$1032,0))</f>
        <v>#N/A</v>
      </c>
      <c r="Q15" t="e">
        <f>INDEX(Items!C$2:C$1032,MATCH($O15,Items!$A$2:$A$1032,0))</f>
        <v>#N/A</v>
      </c>
      <c r="R15" t="e">
        <f>INDEX(Items!D$2:D$1032,MATCH($O15,Items!$A$2:$A$1032,0))</f>
        <v>#N/A</v>
      </c>
    </row>
    <row r="16" spans="1:19" x14ac:dyDescent="0.25">
      <c r="A16">
        <f t="shared" si="0"/>
        <v>1</v>
      </c>
      <c r="B16" t="str">
        <f t="shared" si="1"/>
        <v/>
      </c>
      <c r="C16">
        <f t="shared" si="5"/>
        <v>1</v>
      </c>
      <c r="D16" s="4"/>
      <c r="F16" t="e">
        <f>INDEX(Establishment!B$2:B$1005,MATCH($E16,Establishment!$A$2:$A$1005,0))</f>
        <v>#N/A</v>
      </c>
      <c r="G16" t="e">
        <f>INDEX(Establishment!C$2:C$1005,MATCH($E16,Establishment!$A$2:$A$1005,0))</f>
        <v>#N/A</v>
      </c>
      <c r="M16">
        <f t="shared" si="6"/>
        <v>0</v>
      </c>
      <c r="N16">
        <f t="shared" si="4"/>
        <v>0</v>
      </c>
      <c r="P16" t="e">
        <f>INDEX(Items!B$2:B$1032,MATCH($O16,Items!$A$2:$A$1032,0))</f>
        <v>#N/A</v>
      </c>
      <c r="Q16" t="e">
        <f>INDEX(Items!C$2:C$1032,MATCH($O16,Items!$A$2:$A$1032,0))</f>
        <v>#N/A</v>
      </c>
      <c r="R16" t="e">
        <f>INDEX(Items!D$2:D$1032,MATCH($O16,Items!$A$2:$A$1032,0))</f>
        <v>#N/A</v>
      </c>
    </row>
    <row r="17" spans="1:18" x14ac:dyDescent="0.25">
      <c r="A17">
        <f t="shared" si="0"/>
        <v>1</v>
      </c>
      <c r="B17" t="str">
        <f t="shared" si="1"/>
        <v/>
      </c>
      <c r="C17">
        <f t="shared" si="5"/>
        <v>1</v>
      </c>
      <c r="D17" s="4"/>
      <c r="F17" t="e">
        <f>INDEX(Establishment!B$2:B$1005,MATCH($E17,Establishment!$A$2:$A$1005,0))</f>
        <v>#N/A</v>
      </c>
      <c r="G17" t="e">
        <f>INDEX(Establishment!C$2:C$1005,MATCH($E17,Establishment!$A$2:$A$1005,0))</f>
        <v>#N/A</v>
      </c>
      <c r="M17">
        <f t="shared" si="6"/>
        <v>0</v>
      </c>
      <c r="N17">
        <f t="shared" si="4"/>
        <v>0</v>
      </c>
      <c r="P17" t="e">
        <f>INDEX(Items!B$2:B$1032,MATCH($O17,Items!$A$2:$A$1032,0))</f>
        <v>#N/A</v>
      </c>
      <c r="Q17" t="e">
        <f>INDEX(Items!C$2:C$1032,MATCH($O17,Items!$A$2:$A$1032,0))</f>
        <v>#N/A</v>
      </c>
      <c r="R17" t="e">
        <f>INDEX(Items!D$2:D$1032,MATCH($O17,Items!$A$2:$A$1032,0))</f>
        <v>#N/A</v>
      </c>
    </row>
    <row r="18" spans="1:18" x14ac:dyDescent="0.25">
      <c r="A18">
        <f t="shared" si="0"/>
        <v>1</v>
      </c>
      <c r="B18" t="str">
        <f t="shared" si="1"/>
        <v/>
      </c>
      <c r="C18">
        <f t="shared" si="5"/>
        <v>1</v>
      </c>
      <c r="D18" s="4"/>
      <c r="F18" t="e">
        <f>INDEX(Establishment!B$2:B$1005,MATCH($E18,Establishment!$A$2:$A$1005,0))</f>
        <v>#N/A</v>
      </c>
      <c r="G18" t="e">
        <f>INDEX(Establishment!C$2:C$1005,MATCH($E18,Establishment!$A$2:$A$1005,0))</f>
        <v>#N/A</v>
      </c>
      <c r="M18">
        <f t="shared" si="6"/>
        <v>0</v>
      </c>
      <c r="N18">
        <f t="shared" si="4"/>
        <v>0</v>
      </c>
      <c r="P18" t="e">
        <f>INDEX(Items!B$2:B$1032,MATCH($O18,Items!$A$2:$A$1032,0))</f>
        <v>#N/A</v>
      </c>
      <c r="Q18" t="e">
        <f>INDEX(Items!C$2:C$1032,MATCH($O18,Items!$A$2:$A$1032,0))</f>
        <v>#N/A</v>
      </c>
      <c r="R18" t="e">
        <f>INDEX(Items!D$2:D$1032,MATCH($O18,Items!$A$2:$A$1032,0))</f>
        <v>#N/A</v>
      </c>
    </row>
    <row r="19" spans="1:18" x14ac:dyDescent="0.25">
      <c r="A19">
        <f t="shared" si="0"/>
        <v>1</v>
      </c>
      <c r="B19" t="str">
        <f t="shared" si="1"/>
        <v/>
      </c>
      <c r="C19">
        <f t="shared" si="5"/>
        <v>1</v>
      </c>
      <c r="D19" s="4"/>
      <c r="F19" t="e">
        <f>INDEX(Establishment!B$2:B$1005,MATCH($E19,Establishment!$A$2:$A$1005,0))</f>
        <v>#N/A</v>
      </c>
      <c r="G19" t="e">
        <f>INDEX(Establishment!C$2:C$1005,MATCH($E19,Establishment!$A$2:$A$1005,0))</f>
        <v>#N/A</v>
      </c>
      <c r="M19">
        <f t="shared" si="6"/>
        <v>0</v>
      </c>
      <c r="N19">
        <f t="shared" si="4"/>
        <v>0</v>
      </c>
      <c r="P19" t="e">
        <f>INDEX(Items!B$2:B$1032,MATCH($O19,Items!$A$2:$A$1032,0))</f>
        <v>#N/A</v>
      </c>
      <c r="Q19" t="e">
        <f>INDEX(Items!C$2:C$1032,MATCH($O19,Items!$A$2:$A$1032,0))</f>
        <v>#N/A</v>
      </c>
      <c r="R19" t="e">
        <f>INDEX(Items!D$2:D$1032,MATCH($O19,Items!$A$2:$A$1032,0))</f>
        <v>#N/A</v>
      </c>
    </row>
    <row r="20" spans="1:18" x14ac:dyDescent="0.25">
      <c r="A20">
        <f t="shared" si="0"/>
        <v>1</v>
      </c>
      <c r="B20" t="str">
        <f t="shared" si="1"/>
        <v/>
      </c>
      <c r="C20">
        <f t="shared" si="5"/>
        <v>1</v>
      </c>
      <c r="D20" s="4"/>
      <c r="F20" t="e">
        <f>INDEX(Establishment!B$2:B$1005,MATCH($E20,Establishment!$A$2:$A$1005,0))</f>
        <v>#N/A</v>
      </c>
      <c r="G20" t="e">
        <f>INDEX(Establishment!C$2:C$1005,MATCH($E20,Establishment!$A$2:$A$1005,0))</f>
        <v>#N/A</v>
      </c>
      <c r="M20">
        <f t="shared" si="6"/>
        <v>0</v>
      </c>
      <c r="N20">
        <f t="shared" si="4"/>
        <v>0</v>
      </c>
      <c r="P20" t="e">
        <f>INDEX(Items!B$2:B$1032,MATCH($O20,Items!$A$2:$A$1032,0))</f>
        <v>#N/A</v>
      </c>
      <c r="Q20" t="e">
        <f>INDEX(Items!C$2:C$1032,MATCH($O20,Items!$A$2:$A$1032,0))</f>
        <v>#N/A</v>
      </c>
      <c r="R20" t="e">
        <f>INDEX(Items!D$2:D$1032,MATCH($O20,Items!$A$2:$A$1032,0))</f>
        <v>#N/A</v>
      </c>
    </row>
    <row r="21" spans="1:18" x14ac:dyDescent="0.25">
      <c r="A21">
        <f t="shared" si="0"/>
        <v>1</v>
      </c>
      <c r="B21" t="str">
        <f t="shared" si="1"/>
        <v/>
      </c>
      <c r="C21">
        <f t="shared" si="5"/>
        <v>1</v>
      </c>
      <c r="D21" s="4"/>
      <c r="F21" t="e">
        <f>INDEX(Establishment!B$2:B$1005,MATCH($E21,Establishment!$A$2:$A$1005,0))</f>
        <v>#N/A</v>
      </c>
      <c r="G21" t="e">
        <f>INDEX(Establishment!C$2:C$1005,MATCH($E21,Establishment!$A$2:$A$1005,0))</f>
        <v>#N/A</v>
      </c>
      <c r="M21">
        <f t="shared" si="6"/>
        <v>0</v>
      </c>
      <c r="N21">
        <f t="shared" si="4"/>
        <v>0</v>
      </c>
      <c r="P21" t="e">
        <f>INDEX(Items!B$2:B$1032,MATCH($O21,Items!$A$2:$A$1032,0))</f>
        <v>#N/A</v>
      </c>
      <c r="Q21" t="e">
        <f>INDEX(Items!C$2:C$1032,MATCH($O21,Items!$A$2:$A$1032,0))</f>
        <v>#N/A</v>
      </c>
      <c r="R21" t="e">
        <f>INDEX(Items!D$2:D$1032,MATCH($O21,Items!$A$2:$A$1032,0))</f>
        <v>#N/A</v>
      </c>
    </row>
    <row r="22" spans="1:18" x14ac:dyDescent="0.25">
      <c r="A22">
        <f t="shared" si="0"/>
        <v>1</v>
      </c>
      <c r="B22" t="str">
        <f t="shared" si="1"/>
        <v/>
      </c>
      <c r="C22">
        <f t="shared" si="5"/>
        <v>1</v>
      </c>
      <c r="D22" s="4"/>
      <c r="F22" t="e">
        <f>INDEX(Establishment!B$2:B$1005,MATCH($E22,Establishment!$A$2:$A$1005,0))</f>
        <v>#N/A</v>
      </c>
      <c r="G22" t="e">
        <f>INDEX(Establishment!C$2:C$1005,MATCH($E22,Establishment!$A$2:$A$1005,0))</f>
        <v>#N/A</v>
      </c>
      <c r="M22">
        <f t="shared" si="6"/>
        <v>0</v>
      </c>
      <c r="N22">
        <f t="shared" si="4"/>
        <v>0</v>
      </c>
      <c r="P22" t="e">
        <f>INDEX(Items!B$2:B$1032,MATCH($O22,Items!$A$2:$A$1032,0))</f>
        <v>#N/A</v>
      </c>
      <c r="Q22" t="e">
        <f>INDEX(Items!C$2:C$1032,MATCH($O22,Items!$A$2:$A$1032,0))</f>
        <v>#N/A</v>
      </c>
      <c r="R22" t="e">
        <f>INDEX(Items!D$2:D$1032,MATCH($O22,Items!$A$2:$A$1032,0))</f>
        <v>#N/A</v>
      </c>
    </row>
    <row r="23" spans="1:18" x14ac:dyDescent="0.25">
      <c r="A23">
        <f t="shared" si="0"/>
        <v>1</v>
      </c>
      <c r="B23" t="str">
        <f t="shared" si="1"/>
        <v/>
      </c>
      <c r="C23">
        <f t="shared" si="5"/>
        <v>1</v>
      </c>
      <c r="D23" s="4"/>
      <c r="F23" t="e">
        <f>INDEX(Establishment!B$2:B$1005,MATCH($E23,Establishment!$A$2:$A$1005,0))</f>
        <v>#N/A</v>
      </c>
      <c r="G23" t="e">
        <f>INDEX(Establishment!C$2:C$1005,MATCH($E23,Establishment!$A$2:$A$1005,0))</f>
        <v>#N/A</v>
      </c>
      <c r="M23">
        <f t="shared" si="6"/>
        <v>0</v>
      </c>
      <c r="N23">
        <f t="shared" si="4"/>
        <v>0</v>
      </c>
      <c r="P23" t="e">
        <f>INDEX(Items!B$2:B$1032,MATCH($O23,Items!$A$2:$A$1032,0))</f>
        <v>#N/A</v>
      </c>
      <c r="Q23" t="e">
        <f>INDEX(Items!C$2:C$1032,MATCH($O23,Items!$A$2:$A$1032,0))</f>
        <v>#N/A</v>
      </c>
      <c r="R23" t="e">
        <f>INDEX(Items!D$2:D$1032,MATCH($O23,Items!$A$2:$A$1032,0))</f>
        <v>#N/A</v>
      </c>
    </row>
    <row r="24" spans="1:18" x14ac:dyDescent="0.25">
      <c r="A24">
        <f t="shared" si="0"/>
        <v>1</v>
      </c>
      <c r="B24" t="str">
        <f t="shared" si="1"/>
        <v/>
      </c>
      <c r="C24">
        <f t="shared" si="5"/>
        <v>1</v>
      </c>
      <c r="D24" s="4"/>
      <c r="F24" t="e">
        <f>INDEX(Establishment!B$2:B$1005,MATCH($E24,Establishment!$A$2:$A$1005,0))</f>
        <v>#N/A</v>
      </c>
      <c r="G24" t="e">
        <f>INDEX(Establishment!C$2:C$1005,MATCH($E24,Establishment!$A$2:$A$1005,0))</f>
        <v>#N/A</v>
      </c>
      <c r="M24">
        <f t="shared" si="6"/>
        <v>0</v>
      </c>
      <c r="N24">
        <f t="shared" si="4"/>
        <v>0</v>
      </c>
      <c r="P24" t="e">
        <f>INDEX(Items!B$2:B$1032,MATCH($O24,Items!$A$2:$A$1032,0))</f>
        <v>#N/A</v>
      </c>
      <c r="Q24" t="e">
        <f>INDEX(Items!C$2:C$1032,MATCH($O24,Items!$A$2:$A$1032,0))</f>
        <v>#N/A</v>
      </c>
      <c r="R24" t="e">
        <f>INDEX(Items!D$2:D$1032,MATCH($O24,Items!$A$2:$A$1032,0))</f>
        <v>#N/A</v>
      </c>
    </row>
    <row r="25" spans="1:18" x14ac:dyDescent="0.25">
      <c r="A25">
        <f t="shared" si="0"/>
        <v>1</v>
      </c>
      <c r="B25" t="str">
        <f t="shared" si="1"/>
        <v/>
      </c>
      <c r="C25">
        <f t="shared" si="5"/>
        <v>1</v>
      </c>
      <c r="D25" s="4"/>
      <c r="F25" t="e">
        <f>INDEX(Establishment!B$2:B$1005,MATCH($E25,Establishment!$A$2:$A$1005,0))</f>
        <v>#N/A</v>
      </c>
      <c r="G25" t="e">
        <f>INDEX(Establishment!C$2:C$1005,MATCH($E25,Establishment!$A$2:$A$1005,0))</f>
        <v>#N/A</v>
      </c>
      <c r="M25">
        <f t="shared" si="6"/>
        <v>0</v>
      </c>
      <c r="N25">
        <f t="shared" si="4"/>
        <v>0</v>
      </c>
      <c r="P25" t="e">
        <f>INDEX(Items!B$2:B$1032,MATCH($O25,Items!$A$2:$A$1032,0))</f>
        <v>#N/A</v>
      </c>
      <c r="Q25" t="e">
        <f>INDEX(Items!C$2:C$1032,MATCH($O25,Items!$A$2:$A$1032,0))</f>
        <v>#N/A</v>
      </c>
      <c r="R25" t="e">
        <f>INDEX(Items!D$2:D$1032,MATCH($O25,Items!$A$2:$A$1032,0))</f>
        <v>#N/A</v>
      </c>
    </row>
    <row r="26" spans="1:18" x14ac:dyDescent="0.25">
      <c r="A26">
        <f t="shared" si="0"/>
        <v>1</v>
      </c>
      <c r="B26" t="str">
        <f t="shared" si="1"/>
        <v/>
      </c>
      <c r="C26">
        <f t="shared" si="5"/>
        <v>1</v>
      </c>
      <c r="D26" s="4"/>
      <c r="F26" t="s">
        <v>43</v>
      </c>
      <c r="G26" t="s">
        <v>44</v>
      </c>
      <c r="M26">
        <f t="shared" si="6"/>
        <v>0</v>
      </c>
      <c r="N26">
        <f t="shared" si="4"/>
        <v>0</v>
      </c>
      <c r="P26" t="e">
        <f>INDEX(Items!B$2:B$1032,MATCH($O26,Items!$A$2:$A$1032,0))</f>
        <v>#N/A</v>
      </c>
      <c r="Q26" t="e">
        <f>INDEX(Items!C$2:C$1032,MATCH($O26,Items!$A$2:$A$1032,0))</f>
        <v>#N/A</v>
      </c>
      <c r="R26" t="e">
        <f>INDEX(Items!D$2:D$1032,MATCH($O26,Items!$A$2:$A$1032,0))</f>
        <v>#N/A</v>
      </c>
    </row>
    <row r="27" spans="1:18" x14ac:dyDescent="0.25">
      <c r="A27">
        <f t="shared" si="0"/>
        <v>1</v>
      </c>
      <c r="B27" t="str">
        <f t="shared" si="1"/>
        <v/>
      </c>
      <c r="C27">
        <f t="shared" si="5"/>
        <v>1</v>
      </c>
      <c r="D27" s="4"/>
      <c r="F27" t="s">
        <v>43</v>
      </c>
      <c r="G27" t="s">
        <v>44</v>
      </c>
      <c r="M27">
        <f t="shared" si="6"/>
        <v>0</v>
      </c>
      <c r="N27">
        <f t="shared" si="4"/>
        <v>0</v>
      </c>
      <c r="P27" t="e">
        <f>INDEX(Items!B$2:B$1032,MATCH($O27,Items!$A$2:$A$1032,0))</f>
        <v>#N/A</v>
      </c>
      <c r="Q27" t="e">
        <f>INDEX(Items!C$2:C$1032,MATCH($O27,Items!$A$2:$A$1032,0))</f>
        <v>#N/A</v>
      </c>
      <c r="R27" t="e">
        <f>INDEX(Items!D$2:D$1032,MATCH($O27,Items!$A$2:$A$1032,0))</f>
        <v>#N/A</v>
      </c>
    </row>
    <row r="28" spans="1:18" x14ac:dyDescent="0.25">
      <c r="A28">
        <f t="shared" si="0"/>
        <v>1</v>
      </c>
      <c r="B28" t="str">
        <f t="shared" si="1"/>
        <v/>
      </c>
      <c r="C28">
        <f t="shared" si="5"/>
        <v>1</v>
      </c>
      <c r="D28" s="4"/>
      <c r="F28" t="s">
        <v>43</v>
      </c>
      <c r="G28" t="s">
        <v>44</v>
      </c>
      <c r="M28">
        <f t="shared" si="6"/>
        <v>0</v>
      </c>
      <c r="N28">
        <f t="shared" si="4"/>
        <v>0</v>
      </c>
      <c r="P28" t="e">
        <f>INDEX(Items!B$2:B$1032,MATCH($O28,Items!$A$2:$A$1032,0))</f>
        <v>#N/A</v>
      </c>
      <c r="Q28" t="e">
        <f>INDEX(Items!C$2:C$1032,MATCH($O28,Items!$A$2:$A$1032,0))</f>
        <v>#N/A</v>
      </c>
      <c r="R28" t="e">
        <f>INDEX(Items!D$2:D$1032,MATCH($O28,Items!$A$2:$A$1032,0))</f>
        <v>#N/A</v>
      </c>
    </row>
    <row r="29" spans="1:18" x14ac:dyDescent="0.25">
      <c r="A29">
        <f t="shared" si="0"/>
        <v>1</v>
      </c>
      <c r="B29" t="str">
        <f t="shared" si="1"/>
        <v/>
      </c>
      <c r="C29">
        <f t="shared" si="5"/>
        <v>1</v>
      </c>
      <c r="D29" s="4"/>
      <c r="F29" t="e">
        <f>INDEX(Establishment!B$2:B$1005,MATCH($E29,Establishment!$A$2:$A$1005,0))</f>
        <v>#N/A</v>
      </c>
      <c r="G29" t="e">
        <f>INDEX(Establishment!C$2:C$1005,MATCH($E29,Establishment!$A$2:$A$1005,0))</f>
        <v>#N/A</v>
      </c>
      <c r="M29">
        <f t="shared" si="6"/>
        <v>0</v>
      </c>
      <c r="N29">
        <f t="shared" si="4"/>
        <v>0</v>
      </c>
      <c r="P29" t="e">
        <f>INDEX(Items!B$2:B$1032,MATCH($O29,Items!$A$2:$A$1032,0))</f>
        <v>#N/A</v>
      </c>
      <c r="Q29" t="e">
        <f>INDEX(Items!C$2:C$1032,MATCH($O29,Items!$A$2:$A$1032,0))</f>
        <v>#N/A</v>
      </c>
      <c r="R29" t="e">
        <f>INDEX(Items!D$2:D$1032,MATCH($O29,Items!$A$2:$A$1032,0))</f>
        <v>#N/A</v>
      </c>
    </row>
    <row r="30" spans="1:18" x14ac:dyDescent="0.25">
      <c r="A30">
        <f t="shared" si="0"/>
        <v>1</v>
      </c>
      <c r="B30" t="str">
        <f t="shared" si="1"/>
        <v/>
      </c>
      <c r="C30">
        <f t="shared" si="5"/>
        <v>1</v>
      </c>
      <c r="D30" s="4"/>
      <c r="F30" t="e">
        <f>INDEX(Establishment!B$2:B$1005,MATCH($E30,Establishment!$A$2:$A$1005,0))</f>
        <v>#N/A</v>
      </c>
      <c r="G30" t="e">
        <f>INDEX(Establishment!C$2:C$1005,MATCH($E30,Establishment!$A$2:$A$1005,0))</f>
        <v>#N/A</v>
      </c>
      <c r="M30">
        <f t="shared" si="6"/>
        <v>0</v>
      </c>
      <c r="N30">
        <f t="shared" si="4"/>
        <v>0</v>
      </c>
      <c r="P30" t="e">
        <f>INDEX(Items!B$2:B$1032,MATCH($O30,Items!$A$2:$A$1032,0))</f>
        <v>#N/A</v>
      </c>
      <c r="Q30" t="e">
        <f>INDEX(Items!C$2:C$1032,MATCH($O30,Items!$A$2:$A$1032,0))</f>
        <v>#N/A</v>
      </c>
      <c r="R30" t="e">
        <f>INDEX(Items!D$2:D$1032,MATCH($O30,Items!$A$2:$A$1032,0))</f>
        <v>#N/A</v>
      </c>
    </row>
    <row r="31" spans="1:18" x14ac:dyDescent="0.25">
      <c r="A31">
        <f t="shared" si="0"/>
        <v>1</v>
      </c>
      <c r="B31" t="str">
        <f t="shared" si="1"/>
        <v/>
      </c>
      <c r="C31">
        <f t="shared" si="5"/>
        <v>1</v>
      </c>
      <c r="D31" s="4"/>
      <c r="F31" t="e">
        <f>INDEX(Establishment!B$2:B$1005,MATCH($E31,Establishment!$A$2:$A$1005,0))</f>
        <v>#N/A</v>
      </c>
      <c r="G31" t="e">
        <f>INDEX(Establishment!C$2:C$1005,MATCH($E31,Establishment!$A$2:$A$1005,0))</f>
        <v>#N/A</v>
      </c>
      <c r="M31">
        <f t="shared" si="6"/>
        <v>0</v>
      </c>
      <c r="N31">
        <f t="shared" si="4"/>
        <v>0</v>
      </c>
      <c r="P31" t="e">
        <f>INDEX(Items!B$2:B$1032,MATCH($O31,Items!$A$2:$A$1032,0))</f>
        <v>#N/A</v>
      </c>
      <c r="Q31" t="e">
        <f>INDEX(Items!C$2:C$1032,MATCH($O31,Items!$A$2:$A$1032,0))</f>
        <v>#N/A</v>
      </c>
      <c r="R31" t="e">
        <f>INDEX(Items!D$2:D$1032,MATCH($O31,Items!$A$2:$A$1032,0))</f>
        <v>#N/A</v>
      </c>
    </row>
    <row r="32" spans="1:18" x14ac:dyDescent="0.25">
      <c r="A32">
        <f t="shared" si="0"/>
        <v>1</v>
      </c>
      <c r="B32" t="str">
        <f t="shared" si="1"/>
        <v/>
      </c>
      <c r="C32">
        <f t="shared" si="5"/>
        <v>1</v>
      </c>
      <c r="D32" s="4"/>
      <c r="F32" t="s">
        <v>43</v>
      </c>
      <c r="G32" t="s">
        <v>46</v>
      </c>
      <c r="M32">
        <f t="shared" si="6"/>
        <v>0</v>
      </c>
      <c r="N32">
        <f t="shared" si="4"/>
        <v>0</v>
      </c>
      <c r="P32" t="e">
        <f>INDEX(Items!B$2:B$1032,MATCH($O32,Items!$A$2:$A$1032,0))</f>
        <v>#N/A</v>
      </c>
      <c r="Q32" t="e">
        <f>INDEX(Items!C$2:C$1032,MATCH($O32,Items!$A$2:$A$1032,0))</f>
        <v>#N/A</v>
      </c>
      <c r="R32" t="e">
        <f>INDEX(Items!D$2:D$1032,MATCH($O32,Items!$A$2:$A$1032,0))</f>
        <v>#N/A</v>
      </c>
    </row>
    <row r="33" spans="1:18" x14ac:dyDescent="0.25">
      <c r="A33">
        <f t="shared" si="0"/>
        <v>1</v>
      </c>
      <c r="B33" t="str">
        <f t="shared" si="1"/>
        <v/>
      </c>
      <c r="C33">
        <f t="shared" si="5"/>
        <v>1</v>
      </c>
      <c r="D33" s="4"/>
      <c r="F33" t="s">
        <v>43</v>
      </c>
      <c r="G33" t="s">
        <v>46</v>
      </c>
      <c r="M33">
        <f t="shared" si="6"/>
        <v>0</v>
      </c>
      <c r="N33">
        <f t="shared" si="4"/>
        <v>0</v>
      </c>
      <c r="P33" t="e">
        <f>INDEX(Items!B$2:B$1032,MATCH($O33,Items!$A$2:$A$1032,0))</f>
        <v>#N/A</v>
      </c>
      <c r="Q33" t="e">
        <f>INDEX(Items!C$2:C$1032,MATCH($O33,Items!$A$2:$A$1032,0))</f>
        <v>#N/A</v>
      </c>
      <c r="R33" t="e">
        <f>INDEX(Items!D$2:D$1032,MATCH($O33,Items!$A$2:$A$1032,0))</f>
        <v>#N/A</v>
      </c>
    </row>
    <row r="34" spans="1:18" x14ac:dyDescent="0.25">
      <c r="A34">
        <f t="shared" si="0"/>
        <v>1</v>
      </c>
      <c r="B34" t="str">
        <f t="shared" si="1"/>
        <v/>
      </c>
      <c r="C34">
        <f t="shared" si="5"/>
        <v>1</v>
      </c>
      <c r="D34" s="4"/>
      <c r="F34" t="s">
        <v>43</v>
      </c>
      <c r="G34" t="s">
        <v>46</v>
      </c>
      <c r="M34">
        <f t="shared" si="6"/>
        <v>0</v>
      </c>
      <c r="N34">
        <f t="shared" si="4"/>
        <v>0</v>
      </c>
      <c r="P34" t="e">
        <f>INDEX(Items!B$2:B$1032,MATCH($O34,Items!$A$2:$A$1032,0))</f>
        <v>#N/A</v>
      </c>
      <c r="Q34" t="e">
        <f>INDEX(Items!C$2:C$1032,MATCH($O34,Items!$A$2:$A$1032,0))</f>
        <v>#N/A</v>
      </c>
      <c r="R34" t="e">
        <f>INDEX(Items!D$2:D$1032,MATCH($O34,Items!$A$2:$A$1032,0))</f>
        <v>#N/A</v>
      </c>
    </row>
    <row r="35" spans="1:18" x14ac:dyDescent="0.25">
      <c r="A35">
        <f t="shared" si="0"/>
        <v>1</v>
      </c>
      <c r="B35" t="str">
        <f t="shared" si="1"/>
        <v/>
      </c>
      <c r="C35">
        <f t="shared" si="5"/>
        <v>1</v>
      </c>
      <c r="D35" s="4"/>
      <c r="F35" t="s">
        <v>43</v>
      </c>
      <c r="G35" t="s">
        <v>46</v>
      </c>
      <c r="M35">
        <f t="shared" si="6"/>
        <v>0</v>
      </c>
      <c r="N35">
        <f t="shared" si="4"/>
        <v>0</v>
      </c>
      <c r="P35" t="e">
        <f>INDEX(Items!B$2:B$1032,MATCH($O35,Items!$A$2:$A$1032,0))</f>
        <v>#N/A</v>
      </c>
      <c r="Q35" t="e">
        <f>INDEX(Items!C$2:C$1032,MATCH($O35,Items!$A$2:$A$1032,0))</f>
        <v>#N/A</v>
      </c>
      <c r="R35" t="e">
        <f>INDEX(Items!D$2:D$1032,MATCH($O35,Items!$A$2:$A$1032,0))</f>
        <v>#N/A</v>
      </c>
    </row>
    <row r="36" spans="1:18" x14ac:dyDescent="0.25">
      <c r="A36">
        <f t="shared" si="0"/>
        <v>1</v>
      </c>
      <c r="B36" t="str">
        <f t="shared" si="1"/>
        <v/>
      </c>
      <c r="C36">
        <f t="shared" si="5"/>
        <v>1</v>
      </c>
      <c r="D36" s="4"/>
      <c r="F36" t="s">
        <v>47</v>
      </c>
      <c r="G36" t="s">
        <v>46</v>
      </c>
      <c r="M36">
        <f t="shared" si="6"/>
        <v>0</v>
      </c>
      <c r="N36">
        <f t="shared" si="4"/>
        <v>0</v>
      </c>
      <c r="P36" t="e">
        <f>INDEX(Items!B$2:B$1032,MATCH($O36,Items!$A$2:$A$1032,0))</f>
        <v>#N/A</v>
      </c>
      <c r="Q36" t="e">
        <f>INDEX(Items!C$2:C$1032,MATCH($O36,Items!$A$2:$A$1032,0))</f>
        <v>#N/A</v>
      </c>
      <c r="R36" t="e">
        <f>INDEX(Items!D$2:D$1032,MATCH($O36,Items!$A$2:$A$1032,0))</f>
        <v>#N/A</v>
      </c>
    </row>
    <row r="37" spans="1:18" x14ac:dyDescent="0.25">
      <c r="A37">
        <f t="shared" si="0"/>
        <v>1</v>
      </c>
      <c r="B37" t="str">
        <f t="shared" si="1"/>
        <v/>
      </c>
      <c r="C37">
        <f t="shared" si="5"/>
        <v>1</v>
      </c>
      <c r="D37" s="4"/>
      <c r="F37" t="s">
        <v>47</v>
      </c>
      <c r="G37" t="s">
        <v>46</v>
      </c>
      <c r="M37">
        <f t="shared" si="6"/>
        <v>0</v>
      </c>
      <c r="N37">
        <f t="shared" si="4"/>
        <v>0</v>
      </c>
      <c r="P37" t="e">
        <f>INDEX(Items!B$2:B$1032,MATCH($O37,Items!$A$2:$A$1032,0))</f>
        <v>#N/A</v>
      </c>
      <c r="Q37" t="e">
        <f>INDEX(Items!C$2:C$1032,MATCH($O37,Items!$A$2:$A$1032,0))</f>
        <v>#N/A</v>
      </c>
      <c r="R37" t="e">
        <f>INDEX(Items!D$2:D$1032,MATCH($O37,Items!$A$2:$A$1032,0))</f>
        <v>#N/A</v>
      </c>
    </row>
    <row r="38" spans="1:18" x14ac:dyDescent="0.25">
      <c r="A38">
        <f t="shared" si="0"/>
        <v>1</v>
      </c>
      <c r="B38" t="str">
        <f t="shared" si="1"/>
        <v/>
      </c>
      <c r="C38">
        <f t="shared" si="5"/>
        <v>1</v>
      </c>
      <c r="D38" s="4"/>
      <c r="F38" t="s">
        <v>47</v>
      </c>
      <c r="G38" t="s">
        <v>46</v>
      </c>
      <c r="M38">
        <f t="shared" si="6"/>
        <v>0</v>
      </c>
      <c r="N38">
        <f t="shared" si="4"/>
        <v>0</v>
      </c>
      <c r="P38" t="e">
        <f>INDEX(Items!B$2:B$1032,MATCH($O38,Items!$A$2:$A$1032,0))</f>
        <v>#N/A</v>
      </c>
      <c r="Q38" t="e">
        <f>INDEX(Items!C$2:C$1032,MATCH($O38,Items!$A$2:$A$1032,0))</f>
        <v>#N/A</v>
      </c>
      <c r="R38" t="e">
        <f>INDEX(Items!D$2:D$1032,MATCH($O38,Items!$A$2:$A$1032,0))</f>
        <v>#N/A</v>
      </c>
    </row>
    <row r="39" spans="1:18" x14ac:dyDescent="0.25">
      <c r="A39">
        <f t="shared" si="0"/>
        <v>1</v>
      </c>
      <c r="B39" t="str">
        <f t="shared" si="1"/>
        <v/>
      </c>
      <c r="C39">
        <f t="shared" si="5"/>
        <v>1</v>
      </c>
      <c r="D39" s="4"/>
      <c r="F39" t="s">
        <v>47</v>
      </c>
      <c r="G39" t="s">
        <v>46</v>
      </c>
      <c r="M39">
        <f t="shared" si="6"/>
        <v>0</v>
      </c>
      <c r="N39">
        <f t="shared" si="4"/>
        <v>0</v>
      </c>
      <c r="P39" t="e">
        <f>INDEX(Items!B$2:B$1032,MATCH($O39,Items!$A$2:$A$1032,0))</f>
        <v>#N/A</v>
      </c>
      <c r="Q39" t="e">
        <f>INDEX(Items!C$2:C$1032,MATCH($O39,Items!$A$2:$A$1032,0))</f>
        <v>#N/A</v>
      </c>
      <c r="R39" t="e">
        <f>INDEX(Items!D$2:D$1032,MATCH($O39,Items!$A$2:$A$1032,0))</f>
        <v>#N/A</v>
      </c>
    </row>
    <row r="40" spans="1:18" x14ac:dyDescent="0.25">
      <c r="A40">
        <f t="shared" si="0"/>
        <v>1</v>
      </c>
      <c r="B40" t="str">
        <f t="shared" si="1"/>
        <v/>
      </c>
      <c r="C40">
        <f t="shared" si="5"/>
        <v>1</v>
      </c>
      <c r="D40" s="4"/>
      <c r="F40" t="s">
        <v>47</v>
      </c>
      <c r="G40" t="s">
        <v>46</v>
      </c>
      <c r="M40">
        <f t="shared" si="6"/>
        <v>0</v>
      </c>
      <c r="N40">
        <f t="shared" si="4"/>
        <v>0</v>
      </c>
      <c r="P40" t="e">
        <f>INDEX(Items!B$2:B$1032,MATCH($O40,Items!$A$2:$A$1032,0))</f>
        <v>#N/A</v>
      </c>
      <c r="Q40" t="e">
        <f>INDEX(Items!C$2:C$1032,MATCH($O40,Items!$A$2:$A$1032,0))</f>
        <v>#N/A</v>
      </c>
      <c r="R40" t="e">
        <f>INDEX(Items!D$2:D$1032,MATCH($O40,Items!$A$2:$A$1032,0))</f>
        <v>#N/A</v>
      </c>
    </row>
    <row r="41" spans="1:18" x14ac:dyDescent="0.25">
      <c r="A41">
        <f t="shared" si="0"/>
        <v>1</v>
      </c>
      <c r="B41" t="str">
        <f t="shared" si="1"/>
        <v/>
      </c>
      <c r="C41">
        <f t="shared" si="5"/>
        <v>1</v>
      </c>
      <c r="D41" s="4"/>
      <c r="F41" t="s">
        <v>47</v>
      </c>
      <c r="G41" t="s">
        <v>46</v>
      </c>
      <c r="M41">
        <f t="shared" si="6"/>
        <v>0</v>
      </c>
      <c r="N41">
        <f t="shared" si="4"/>
        <v>0</v>
      </c>
      <c r="P41" t="e">
        <f>INDEX(Items!B$2:B$1032,MATCH($O41,Items!$A$2:$A$1032,0))</f>
        <v>#N/A</v>
      </c>
      <c r="Q41" t="e">
        <f>INDEX(Items!C$2:C$1032,MATCH($O41,Items!$A$2:$A$1032,0))</f>
        <v>#N/A</v>
      </c>
      <c r="R41" t="e">
        <f>INDEX(Items!D$2:D$1032,MATCH($O41,Items!$A$2:$A$1032,0))</f>
        <v>#N/A</v>
      </c>
    </row>
    <row r="42" spans="1:18" x14ac:dyDescent="0.25">
      <c r="A42">
        <f t="shared" si="0"/>
        <v>1</v>
      </c>
      <c r="B42" t="str">
        <f t="shared" si="1"/>
        <v/>
      </c>
      <c r="C42">
        <f t="shared" si="5"/>
        <v>1</v>
      </c>
      <c r="D42" s="4"/>
      <c r="F42" t="s">
        <v>47</v>
      </c>
      <c r="G42" t="s">
        <v>46</v>
      </c>
      <c r="M42">
        <f t="shared" si="6"/>
        <v>0</v>
      </c>
      <c r="N42">
        <f t="shared" si="4"/>
        <v>0</v>
      </c>
      <c r="P42" t="e">
        <f>INDEX(Items!B$2:B$1032,MATCH($O42,Items!$A$2:$A$1032,0))</f>
        <v>#N/A</v>
      </c>
      <c r="Q42" t="e">
        <f>INDEX(Items!C$2:C$1032,MATCH($O42,Items!$A$2:$A$1032,0))</f>
        <v>#N/A</v>
      </c>
      <c r="R42" t="e">
        <f>INDEX(Items!D$2:D$1032,MATCH($O42,Items!$A$2:$A$1032,0))</f>
        <v>#N/A</v>
      </c>
    </row>
    <row r="43" spans="1:18" x14ac:dyDescent="0.25">
      <c r="A43">
        <f t="shared" si="0"/>
        <v>1</v>
      </c>
      <c r="B43" t="str">
        <f t="shared" si="1"/>
        <v/>
      </c>
      <c r="C43">
        <f t="shared" si="5"/>
        <v>1</v>
      </c>
      <c r="D43" s="4"/>
      <c r="F43" t="s">
        <v>47</v>
      </c>
      <c r="G43" t="s">
        <v>46</v>
      </c>
      <c r="M43">
        <f t="shared" si="6"/>
        <v>0</v>
      </c>
      <c r="N43">
        <f t="shared" si="4"/>
        <v>0</v>
      </c>
      <c r="P43" t="e">
        <f>INDEX(Items!B$2:B$1032,MATCH($O43,Items!$A$2:$A$1032,0))</f>
        <v>#N/A</v>
      </c>
      <c r="Q43" t="e">
        <f>INDEX(Items!C$2:C$1032,MATCH($O43,Items!$A$2:$A$1032,0))</f>
        <v>#N/A</v>
      </c>
      <c r="R43" t="e">
        <f>INDEX(Items!D$2:D$1032,MATCH($O43,Items!$A$2:$A$1032,0))</f>
        <v>#N/A</v>
      </c>
    </row>
    <row r="44" spans="1:18" x14ac:dyDescent="0.25">
      <c r="A44">
        <f t="shared" si="0"/>
        <v>1</v>
      </c>
      <c r="B44" t="str">
        <f t="shared" si="1"/>
        <v/>
      </c>
      <c r="C44">
        <f t="shared" si="5"/>
        <v>1</v>
      </c>
      <c r="D44" s="4"/>
      <c r="F44" t="s">
        <v>43</v>
      </c>
      <c r="G44" t="s">
        <v>48</v>
      </c>
      <c r="M44">
        <f t="shared" si="6"/>
        <v>0</v>
      </c>
      <c r="N44">
        <f t="shared" si="4"/>
        <v>0</v>
      </c>
      <c r="P44" t="e">
        <f>INDEX(Items!B$2:B$1032,MATCH($O44,Items!$A$2:$A$1032,0))</f>
        <v>#N/A</v>
      </c>
      <c r="Q44" t="e">
        <f>INDEX(Items!C$2:C$1032,MATCH($O44,Items!$A$2:$A$1032,0))</f>
        <v>#N/A</v>
      </c>
      <c r="R44" t="e">
        <f>INDEX(Items!D$2:D$1032,MATCH($O44,Items!$A$2:$A$1032,0))</f>
        <v>#N/A</v>
      </c>
    </row>
    <row r="45" spans="1:18" x14ac:dyDescent="0.25">
      <c r="A45">
        <f t="shared" si="0"/>
        <v>1</v>
      </c>
      <c r="B45" t="str">
        <f t="shared" si="1"/>
        <v/>
      </c>
      <c r="C45">
        <f t="shared" si="5"/>
        <v>1</v>
      </c>
      <c r="D45" s="4"/>
      <c r="F45" t="s">
        <v>43</v>
      </c>
      <c r="G45" t="s">
        <v>48</v>
      </c>
      <c r="M45">
        <f t="shared" si="6"/>
        <v>0</v>
      </c>
      <c r="N45">
        <f t="shared" si="4"/>
        <v>0</v>
      </c>
      <c r="P45" t="e">
        <f>INDEX(Items!B$2:B$1032,MATCH($O45,Items!$A$2:$A$1032,0))</f>
        <v>#N/A</v>
      </c>
      <c r="Q45" t="e">
        <f>INDEX(Items!C$2:C$1032,MATCH($O45,Items!$A$2:$A$1032,0))</f>
        <v>#N/A</v>
      </c>
      <c r="R45" t="e">
        <f>INDEX(Items!D$2:D$1032,MATCH($O45,Items!$A$2:$A$1032,0))</f>
        <v>#N/A</v>
      </c>
    </row>
    <row r="46" spans="1:18" x14ac:dyDescent="0.25">
      <c r="A46">
        <f t="shared" si="0"/>
        <v>1</v>
      </c>
      <c r="B46" t="str">
        <f t="shared" si="1"/>
        <v/>
      </c>
      <c r="C46">
        <f t="shared" si="5"/>
        <v>1</v>
      </c>
      <c r="D46" s="4"/>
      <c r="F46" t="e">
        <f>INDEX(Establishment!B$2:B$1005,MATCH($E46,Establishment!$A$2:$A$1005,0))</f>
        <v>#N/A</v>
      </c>
      <c r="G46" t="e">
        <f>INDEX(Establishment!C$2:C$1005,MATCH($E46,Establishment!$A$2:$A$1005,0))</f>
        <v>#N/A</v>
      </c>
      <c r="M46">
        <f t="shared" si="6"/>
        <v>0</v>
      </c>
      <c r="N46">
        <f t="shared" si="4"/>
        <v>0</v>
      </c>
      <c r="P46" t="e">
        <f>INDEX(Items!B$2:B$1032,MATCH($O46,Items!$A$2:$A$1032,0))</f>
        <v>#N/A</v>
      </c>
      <c r="Q46" t="e">
        <f>INDEX(Items!C$2:C$1032,MATCH($O46,Items!$A$2:$A$1032,0))</f>
        <v>#N/A</v>
      </c>
      <c r="R46" t="e">
        <f>INDEX(Items!D$2:D$1032,MATCH($O46,Items!$A$2:$A$1032,0))</f>
        <v>#N/A</v>
      </c>
    </row>
    <row r="47" spans="1:18" x14ac:dyDescent="0.25">
      <c r="A47">
        <f t="shared" si="0"/>
        <v>1</v>
      </c>
      <c r="B47" t="str">
        <f t="shared" si="1"/>
        <v/>
      </c>
      <c r="C47">
        <f t="shared" si="5"/>
        <v>1</v>
      </c>
      <c r="D47" s="4"/>
      <c r="F47" t="e">
        <f>INDEX(Establishment!B$2:B$1005,MATCH($E47,Establishment!$A$2:$A$1005,0))</f>
        <v>#N/A</v>
      </c>
      <c r="G47" t="e">
        <f>INDEX(Establishment!C$2:C$1005,MATCH($E47,Establishment!$A$2:$A$1005,0))</f>
        <v>#N/A</v>
      </c>
      <c r="M47">
        <f t="shared" si="6"/>
        <v>0</v>
      </c>
      <c r="N47">
        <f t="shared" si="4"/>
        <v>0</v>
      </c>
      <c r="P47" t="e">
        <f>INDEX(Items!B$2:B$1032,MATCH($O47,Items!$A$2:$A$1032,0))</f>
        <v>#N/A</v>
      </c>
      <c r="Q47" t="e">
        <f>INDEX(Items!C$2:C$1032,MATCH($O47,Items!$A$2:$A$1032,0))</f>
        <v>#N/A</v>
      </c>
      <c r="R47" t="e">
        <f>INDEX(Items!D$2:D$1032,MATCH($O47,Items!$A$2:$A$1032,0))</f>
        <v>#N/A</v>
      </c>
    </row>
    <row r="48" spans="1:18" x14ac:dyDescent="0.25">
      <c r="A48">
        <f t="shared" si="0"/>
        <v>1</v>
      </c>
      <c r="B48" t="str">
        <f t="shared" si="1"/>
        <v/>
      </c>
      <c r="C48">
        <f t="shared" si="5"/>
        <v>1</v>
      </c>
      <c r="D48" s="4"/>
      <c r="F48" t="e">
        <f>INDEX(Establishment!B$2:B$1005,MATCH($E48,Establishment!$A$2:$A$1005,0))</f>
        <v>#N/A</v>
      </c>
      <c r="G48" t="e">
        <f>INDEX(Establishment!C$2:C$1005,MATCH($E48,Establishment!$A$2:$A$1005,0))</f>
        <v>#N/A</v>
      </c>
      <c r="M48">
        <f t="shared" si="6"/>
        <v>0</v>
      </c>
      <c r="N48">
        <f t="shared" si="4"/>
        <v>0</v>
      </c>
      <c r="P48" t="e">
        <f>INDEX(Items!B$2:B$1032,MATCH($O48,Items!$A$2:$A$1032,0))</f>
        <v>#N/A</v>
      </c>
      <c r="Q48" t="e">
        <f>INDEX(Items!C$2:C$1032,MATCH($O48,Items!$A$2:$A$1032,0))</f>
        <v>#N/A</v>
      </c>
      <c r="R48" t="e">
        <f>INDEX(Items!D$2:D$1032,MATCH($O48,Items!$A$2:$A$1032,0))</f>
        <v>#N/A</v>
      </c>
    </row>
    <row r="49" spans="1:18" x14ac:dyDescent="0.25">
      <c r="A49">
        <f t="shared" si="0"/>
        <v>1</v>
      </c>
      <c r="B49" t="str">
        <f t="shared" si="1"/>
        <v/>
      </c>
      <c r="C49">
        <f t="shared" si="5"/>
        <v>1</v>
      </c>
      <c r="D49" s="4"/>
      <c r="F49" t="e">
        <f>INDEX(Establishment!B$2:B$1005,MATCH($E49,Establishment!$A$2:$A$1005,0))</f>
        <v>#N/A</v>
      </c>
      <c r="G49" t="e">
        <f>INDEX(Establishment!C$2:C$1005,MATCH($E49,Establishment!$A$2:$A$1005,0))</f>
        <v>#N/A</v>
      </c>
      <c r="M49">
        <f t="shared" si="6"/>
        <v>0</v>
      </c>
      <c r="N49">
        <f t="shared" si="4"/>
        <v>0</v>
      </c>
      <c r="P49" t="e">
        <f>INDEX(Items!B$2:B$1032,MATCH($O49,Items!$A$2:$A$1032,0))</f>
        <v>#N/A</v>
      </c>
      <c r="Q49" t="e">
        <f>INDEX(Items!C$2:C$1032,MATCH($O49,Items!$A$2:$A$1032,0))</f>
        <v>#N/A</v>
      </c>
      <c r="R49" t="e">
        <f>INDEX(Items!D$2:D$1032,MATCH($O49,Items!$A$2:$A$1032,0))</f>
        <v>#N/A</v>
      </c>
    </row>
    <row r="50" spans="1:18" x14ac:dyDescent="0.25">
      <c r="A50">
        <f t="shared" si="0"/>
        <v>1</v>
      </c>
      <c r="B50" t="str">
        <f t="shared" si="1"/>
        <v/>
      </c>
      <c r="C50">
        <f t="shared" si="5"/>
        <v>1</v>
      </c>
      <c r="D50" s="4"/>
      <c r="F50" t="e">
        <f>INDEX(Establishment!B$2:B$1005,MATCH($E50,Establishment!$A$2:$A$1005,0))</f>
        <v>#N/A</v>
      </c>
      <c r="G50" t="e">
        <f>INDEX(Establishment!C$2:C$1005,MATCH($E50,Establishment!$A$2:$A$1005,0))</f>
        <v>#N/A</v>
      </c>
      <c r="M50">
        <f t="shared" si="6"/>
        <v>0</v>
      </c>
      <c r="N50">
        <f t="shared" si="4"/>
        <v>0</v>
      </c>
      <c r="P50" t="e">
        <f>INDEX(Items!B$2:B$1032,MATCH($O50,Items!$A$2:$A$1032,0))</f>
        <v>#N/A</v>
      </c>
      <c r="Q50" t="e">
        <f>INDEX(Items!C$2:C$1032,MATCH($O50,Items!$A$2:$A$1032,0))</f>
        <v>#N/A</v>
      </c>
      <c r="R50" t="e">
        <f>INDEX(Items!D$2:D$1032,MATCH($O50,Items!$A$2:$A$1032,0))</f>
        <v>#N/A</v>
      </c>
    </row>
    <row r="51" spans="1:18" x14ac:dyDescent="0.25">
      <c r="A51">
        <f t="shared" si="0"/>
        <v>1</v>
      </c>
      <c r="B51" t="str">
        <f t="shared" si="1"/>
        <v/>
      </c>
      <c r="C51">
        <f t="shared" si="5"/>
        <v>1</v>
      </c>
      <c r="D51" s="4"/>
      <c r="F51" t="e">
        <f>INDEX(Establishment!B$2:B$1005,MATCH($E51,Establishment!$A$2:$A$1005,0))</f>
        <v>#N/A</v>
      </c>
      <c r="G51" t="e">
        <f>INDEX(Establishment!C$2:C$1005,MATCH($E51,Establishment!$A$2:$A$1005,0))</f>
        <v>#N/A</v>
      </c>
      <c r="M51">
        <f t="shared" si="6"/>
        <v>0</v>
      </c>
      <c r="N51">
        <f t="shared" si="4"/>
        <v>0</v>
      </c>
      <c r="P51" t="e">
        <f>INDEX(Items!B$2:B$1032,MATCH($O51,Items!$A$2:$A$1032,0))</f>
        <v>#N/A</v>
      </c>
      <c r="Q51" t="e">
        <f>INDEX(Items!C$2:C$1032,MATCH($O51,Items!$A$2:$A$1032,0))</f>
        <v>#N/A</v>
      </c>
      <c r="R51" t="e">
        <f>INDEX(Items!D$2:D$1032,MATCH($O51,Items!$A$2:$A$1032,0))</f>
        <v>#N/A</v>
      </c>
    </row>
    <row r="52" spans="1:18" x14ac:dyDescent="0.25">
      <c r="A52">
        <f t="shared" si="0"/>
        <v>1</v>
      </c>
      <c r="B52" t="str">
        <f t="shared" si="1"/>
        <v/>
      </c>
      <c r="C52">
        <f t="shared" si="5"/>
        <v>1</v>
      </c>
      <c r="D52" s="4"/>
      <c r="F52" t="e">
        <f>INDEX(Establishment!B$2:B$1005,MATCH($E52,Establishment!$A$2:$A$1005,0))</f>
        <v>#N/A</v>
      </c>
      <c r="G52" t="e">
        <f>INDEX(Establishment!C$2:C$1005,MATCH($E52,Establishment!$A$2:$A$1005,0))</f>
        <v>#N/A</v>
      </c>
      <c r="M52">
        <f t="shared" si="6"/>
        <v>0</v>
      </c>
      <c r="N52">
        <f t="shared" si="4"/>
        <v>0</v>
      </c>
      <c r="P52" t="e">
        <f>INDEX(Items!B$2:B$1032,MATCH($O52,Items!$A$2:$A$1032,0))</f>
        <v>#N/A</v>
      </c>
      <c r="Q52" t="e">
        <f>INDEX(Items!C$2:C$1032,MATCH($O52,Items!$A$2:$A$1032,0))</f>
        <v>#N/A</v>
      </c>
      <c r="R52" t="e">
        <f>INDEX(Items!D$2:D$1032,MATCH($O52,Items!$A$2:$A$1032,0))</f>
        <v>#N/A</v>
      </c>
    </row>
    <row r="53" spans="1:18" x14ac:dyDescent="0.25">
      <c r="A53">
        <f t="shared" si="0"/>
        <v>1</v>
      </c>
      <c r="B53" t="str">
        <f t="shared" si="1"/>
        <v/>
      </c>
      <c r="C53">
        <f t="shared" si="5"/>
        <v>1</v>
      </c>
      <c r="D53" s="4"/>
      <c r="F53" t="e">
        <f>INDEX(Establishment!B$2:B$1005,MATCH($E53,Establishment!$A$2:$A$1005,0))</f>
        <v>#N/A</v>
      </c>
      <c r="G53" t="e">
        <f>INDEX(Establishment!C$2:C$1005,MATCH($E53,Establishment!$A$2:$A$1005,0))</f>
        <v>#N/A</v>
      </c>
      <c r="M53">
        <f t="shared" si="6"/>
        <v>0</v>
      </c>
      <c r="N53">
        <f t="shared" si="4"/>
        <v>0</v>
      </c>
      <c r="P53" t="e">
        <f>INDEX(Items!B$2:B$1032,MATCH($O53,Items!$A$2:$A$1032,0))</f>
        <v>#N/A</v>
      </c>
      <c r="Q53" t="e">
        <f>INDEX(Items!C$2:C$1032,MATCH($O53,Items!$A$2:$A$1032,0))</f>
        <v>#N/A</v>
      </c>
      <c r="R53" t="e">
        <f>INDEX(Items!D$2:D$1032,MATCH($O53,Items!$A$2:$A$1032,0))</f>
        <v>#N/A</v>
      </c>
    </row>
    <row r="54" spans="1:18" x14ac:dyDescent="0.25">
      <c r="A54">
        <f t="shared" si="0"/>
        <v>1</v>
      </c>
      <c r="B54" t="str">
        <f t="shared" si="1"/>
        <v/>
      </c>
      <c r="C54">
        <f t="shared" si="5"/>
        <v>1</v>
      </c>
      <c r="D54" s="4"/>
      <c r="F54" t="e">
        <f>INDEX(Establishment!B$2:B$1005,MATCH($E54,Establishment!$A$2:$A$1005,0))</f>
        <v>#N/A</v>
      </c>
      <c r="G54" t="e">
        <f>INDEX(Establishment!C$2:C$1005,MATCH($E54,Establishment!$A$2:$A$1005,0))</f>
        <v>#N/A</v>
      </c>
      <c r="M54">
        <f t="shared" si="6"/>
        <v>0</v>
      </c>
      <c r="N54">
        <f t="shared" si="4"/>
        <v>0</v>
      </c>
      <c r="P54" t="e">
        <f>INDEX(Items!B$2:B$1032,MATCH($O54,Items!$A$2:$A$1032,0))</f>
        <v>#N/A</v>
      </c>
      <c r="Q54" t="e">
        <f>INDEX(Items!C$2:C$1032,MATCH($O54,Items!$A$2:$A$1032,0))</f>
        <v>#N/A</v>
      </c>
      <c r="R54" t="e">
        <f>INDEX(Items!D$2:D$1032,MATCH($O54,Items!$A$2:$A$1032,0))</f>
        <v>#N/A</v>
      </c>
    </row>
    <row r="55" spans="1:18" x14ac:dyDescent="0.25">
      <c r="A55">
        <f t="shared" si="0"/>
        <v>1</v>
      </c>
      <c r="B55" t="str">
        <f t="shared" si="1"/>
        <v/>
      </c>
      <c r="C55">
        <f t="shared" si="5"/>
        <v>1</v>
      </c>
      <c r="D55" s="4"/>
      <c r="F55" t="e">
        <f>INDEX(Establishment!B$2:B$1005,MATCH($E55,Establishment!$A$2:$A$1005,0))</f>
        <v>#N/A</v>
      </c>
      <c r="G55" t="e">
        <f>INDEX(Establishment!C$2:C$1005,MATCH($E55,Establishment!$A$2:$A$1005,0))</f>
        <v>#N/A</v>
      </c>
      <c r="M55">
        <f t="shared" si="6"/>
        <v>0</v>
      </c>
      <c r="N55">
        <f t="shared" si="4"/>
        <v>0</v>
      </c>
      <c r="P55" t="e">
        <f>INDEX(Items!B$2:B$1032,MATCH($O55,Items!$A$2:$A$1032,0))</f>
        <v>#N/A</v>
      </c>
      <c r="Q55" t="e">
        <f>INDEX(Items!C$2:C$1032,MATCH($O55,Items!$A$2:$A$1032,0))</f>
        <v>#N/A</v>
      </c>
      <c r="R55" t="e">
        <f>INDEX(Items!D$2:D$1032,MATCH($O55,Items!$A$2:$A$1032,0))</f>
        <v>#N/A</v>
      </c>
    </row>
    <row r="56" spans="1:18" x14ac:dyDescent="0.25">
      <c r="A56">
        <f t="shared" si="0"/>
        <v>1</v>
      </c>
      <c r="B56" t="str">
        <f t="shared" si="1"/>
        <v/>
      </c>
      <c r="C56">
        <f t="shared" si="5"/>
        <v>1</v>
      </c>
      <c r="D56" s="4"/>
      <c r="F56" t="e">
        <f>INDEX(Establishment!B$2:B$1005,MATCH($E56,Establishment!$A$2:$A$1005,0))</f>
        <v>#N/A</v>
      </c>
      <c r="G56" t="e">
        <f>INDEX(Establishment!C$2:C$1005,MATCH($E56,Establishment!$A$2:$A$1005,0))</f>
        <v>#N/A</v>
      </c>
      <c r="M56">
        <f t="shared" si="6"/>
        <v>0</v>
      </c>
      <c r="N56">
        <f t="shared" si="4"/>
        <v>0</v>
      </c>
      <c r="P56" t="e">
        <f>INDEX(Items!B$2:B$1032,MATCH($O56,Items!$A$2:$A$1032,0))</f>
        <v>#N/A</v>
      </c>
      <c r="Q56" t="e">
        <f>INDEX(Items!C$2:C$1032,MATCH($O56,Items!$A$2:$A$1032,0))</f>
        <v>#N/A</v>
      </c>
      <c r="R56" t="e">
        <f>INDEX(Items!D$2:D$1032,MATCH($O56,Items!$A$2:$A$1032,0))</f>
        <v>#N/A</v>
      </c>
    </row>
    <row r="57" spans="1:18" x14ac:dyDescent="0.25">
      <c r="A57">
        <f t="shared" si="0"/>
        <v>1</v>
      </c>
      <c r="B57" t="str">
        <f t="shared" si="1"/>
        <v/>
      </c>
      <c r="C57">
        <f t="shared" si="5"/>
        <v>1</v>
      </c>
      <c r="D57" s="4"/>
      <c r="F57" t="e">
        <f>INDEX(Establishment!B$2:B$1005,MATCH($E57,Establishment!$A$2:$A$1005,0))</f>
        <v>#N/A</v>
      </c>
      <c r="G57" t="e">
        <f>INDEX(Establishment!C$2:C$1005,MATCH($E57,Establishment!$A$2:$A$1005,0))</f>
        <v>#N/A</v>
      </c>
      <c r="M57">
        <f t="shared" si="6"/>
        <v>0</v>
      </c>
      <c r="N57">
        <f t="shared" si="4"/>
        <v>0</v>
      </c>
      <c r="P57" t="e">
        <f>INDEX(Items!B$2:B$1032,MATCH($O57,Items!$A$2:$A$1032,0))</f>
        <v>#N/A</v>
      </c>
      <c r="Q57" t="e">
        <f>INDEX(Items!C$2:C$1032,MATCH($O57,Items!$A$2:$A$1032,0))</f>
        <v>#N/A</v>
      </c>
      <c r="R57" t="e">
        <f>INDEX(Items!D$2:D$1032,MATCH($O57,Items!$A$2:$A$1032,0))</f>
        <v>#N/A</v>
      </c>
    </row>
    <row r="58" spans="1:18" x14ac:dyDescent="0.25">
      <c r="A58">
        <f t="shared" si="0"/>
        <v>1</v>
      </c>
      <c r="B58" t="str">
        <f t="shared" si="1"/>
        <v/>
      </c>
      <c r="C58">
        <f t="shared" si="5"/>
        <v>1</v>
      </c>
      <c r="D58" s="4"/>
      <c r="F58" t="e">
        <f>INDEX(Establishment!B$2:B$1005,MATCH($E58,Establishment!$A$2:$A$1005,0))</f>
        <v>#N/A</v>
      </c>
      <c r="G58" t="e">
        <f>INDEX(Establishment!C$2:C$1005,MATCH($E58,Establishment!$A$2:$A$1005,0))</f>
        <v>#N/A</v>
      </c>
      <c r="M58">
        <f t="shared" si="6"/>
        <v>0</v>
      </c>
      <c r="N58">
        <f t="shared" si="4"/>
        <v>0</v>
      </c>
      <c r="P58" t="e">
        <f>INDEX(Items!B$2:B$1032,MATCH($O58,Items!$A$2:$A$1032,0))</f>
        <v>#N/A</v>
      </c>
      <c r="Q58" t="e">
        <f>INDEX(Items!C$2:C$1032,MATCH($O58,Items!$A$2:$A$1032,0))</f>
        <v>#N/A</v>
      </c>
      <c r="R58" t="e">
        <f>INDEX(Items!D$2:D$1032,MATCH($O58,Items!$A$2:$A$1032,0))</f>
        <v>#N/A</v>
      </c>
    </row>
    <row r="59" spans="1:18" x14ac:dyDescent="0.25">
      <c r="A59">
        <f t="shared" si="0"/>
        <v>1</v>
      </c>
      <c r="B59" t="str">
        <f t="shared" si="1"/>
        <v/>
      </c>
      <c r="C59">
        <f t="shared" si="5"/>
        <v>1</v>
      </c>
      <c r="D59" s="4"/>
      <c r="F59" t="e">
        <f>INDEX(Establishment!B$2:B$1005,MATCH($E59,Establishment!$A$2:$A$1005,0))</f>
        <v>#N/A</v>
      </c>
      <c r="G59" t="e">
        <f>INDEX(Establishment!C$2:C$1005,MATCH($E59,Establishment!$A$2:$A$1005,0))</f>
        <v>#N/A</v>
      </c>
      <c r="M59">
        <f t="shared" si="6"/>
        <v>0</v>
      </c>
      <c r="N59">
        <f t="shared" si="4"/>
        <v>0</v>
      </c>
      <c r="P59" t="e">
        <f>INDEX(Items!B$2:B$1032,MATCH($O59,Items!$A$2:$A$1032,0))</f>
        <v>#N/A</v>
      </c>
      <c r="Q59" t="e">
        <f>INDEX(Items!C$2:C$1032,MATCH($O59,Items!$A$2:$A$1032,0))</f>
        <v>#N/A</v>
      </c>
      <c r="R59" t="e">
        <f>INDEX(Items!D$2:D$1032,MATCH($O59,Items!$A$2:$A$1032,0))</f>
        <v>#N/A</v>
      </c>
    </row>
    <row r="60" spans="1:18" x14ac:dyDescent="0.25">
      <c r="A60">
        <f t="shared" si="0"/>
        <v>1</v>
      </c>
      <c r="B60" t="str">
        <f t="shared" si="1"/>
        <v/>
      </c>
      <c r="C60">
        <f t="shared" si="5"/>
        <v>1</v>
      </c>
      <c r="D60" s="4"/>
      <c r="F60" t="e">
        <f>INDEX(Establishment!B$2:B$1005,MATCH($E60,Establishment!$A$2:$A$1005,0))</f>
        <v>#N/A</v>
      </c>
      <c r="G60" t="e">
        <f>INDEX(Establishment!C$2:C$1005,MATCH($E60,Establishment!$A$2:$A$1005,0))</f>
        <v>#N/A</v>
      </c>
      <c r="M60">
        <f t="shared" si="6"/>
        <v>0</v>
      </c>
      <c r="N60">
        <f t="shared" si="4"/>
        <v>0</v>
      </c>
      <c r="P60" t="e">
        <f>INDEX(Items!B$2:B$1032,MATCH($O60,Items!$A$2:$A$1032,0))</f>
        <v>#N/A</v>
      </c>
      <c r="Q60" t="e">
        <f>INDEX(Items!C$2:C$1032,MATCH($O60,Items!$A$2:$A$1032,0))</f>
        <v>#N/A</v>
      </c>
      <c r="R60" t="e">
        <f>INDEX(Items!D$2:D$1032,MATCH($O60,Items!$A$2:$A$1032,0))</f>
        <v>#N/A</v>
      </c>
    </row>
    <row r="61" spans="1:18" x14ac:dyDescent="0.25">
      <c r="A61">
        <f t="shared" si="0"/>
        <v>1</v>
      </c>
      <c r="B61" t="str">
        <f t="shared" si="1"/>
        <v/>
      </c>
      <c r="C61">
        <f t="shared" si="5"/>
        <v>1</v>
      </c>
      <c r="D61" s="4"/>
      <c r="F61" t="e">
        <f>INDEX(Establishment!B$2:B$1005,MATCH($E61,Establishment!$A$2:$A$1005,0))</f>
        <v>#N/A</v>
      </c>
      <c r="G61" t="e">
        <f>INDEX(Establishment!C$2:C$1005,MATCH($E61,Establishment!$A$2:$A$1005,0))</f>
        <v>#N/A</v>
      </c>
      <c r="M61">
        <f t="shared" si="6"/>
        <v>0</v>
      </c>
      <c r="N61">
        <f t="shared" si="4"/>
        <v>0</v>
      </c>
      <c r="P61" t="e">
        <f>INDEX(Items!B$2:B$1032,MATCH($O61,Items!$A$2:$A$1032,0))</f>
        <v>#N/A</v>
      </c>
      <c r="Q61" t="e">
        <f>INDEX(Items!C$2:C$1032,MATCH($O61,Items!$A$2:$A$1032,0))</f>
        <v>#N/A</v>
      </c>
      <c r="R61" t="e">
        <f>INDEX(Items!D$2:D$1032,MATCH($O61,Items!$A$2:$A$1032,0))</f>
        <v>#N/A</v>
      </c>
    </row>
    <row r="62" spans="1:18" x14ac:dyDescent="0.25">
      <c r="A62">
        <f t="shared" si="0"/>
        <v>1</v>
      </c>
      <c r="B62" t="str">
        <f t="shared" si="1"/>
        <v/>
      </c>
      <c r="C62">
        <f t="shared" si="5"/>
        <v>1</v>
      </c>
      <c r="D62" s="4"/>
      <c r="F62" t="e">
        <f>INDEX(Establishment!B$2:B$1005,MATCH($E62,Establishment!$A$2:$A$1005,0))</f>
        <v>#N/A</v>
      </c>
      <c r="G62" t="e">
        <f>INDEX(Establishment!C$2:C$1005,MATCH($E62,Establishment!$A$2:$A$1005,0))</f>
        <v>#N/A</v>
      </c>
      <c r="M62">
        <f t="shared" si="6"/>
        <v>0</v>
      </c>
      <c r="N62">
        <f t="shared" si="4"/>
        <v>0</v>
      </c>
      <c r="P62" t="e">
        <f>INDEX(Items!B$2:B$1032,MATCH($O62,Items!$A$2:$A$1032,0))</f>
        <v>#N/A</v>
      </c>
      <c r="Q62" t="e">
        <f>INDEX(Items!C$2:C$1032,MATCH($O62,Items!$A$2:$A$1032,0))</f>
        <v>#N/A</v>
      </c>
      <c r="R62" t="e">
        <f>INDEX(Items!D$2:D$1032,MATCH($O62,Items!$A$2:$A$1032,0))</f>
        <v>#N/A</v>
      </c>
    </row>
    <row r="63" spans="1:18" x14ac:dyDescent="0.25">
      <c r="A63">
        <f t="shared" si="0"/>
        <v>1</v>
      </c>
      <c r="B63" t="str">
        <f t="shared" si="1"/>
        <v/>
      </c>
      <c r="C63">
        <f t="shared" si="5"/>
        <v>1</v>
      </c>
      <c r="D63" s="4"/>
      <c r="F63" t="e">
        <f>INDEX(Establishment!B$2:B$1005,MATCH($E63,Establishment!$A$2:$A$1005,0))</f>
        <v>#N/A</v>
      </c>
      <c r="G63" t="e">
        <f>INDEX(Establishment!C$2:C$1005,MATCH($E63,Establishment!$A$2:$A$1005,0))</f>
        <v>#N/A</v>
      </c>
      <c r="M63">
        <f t="shared" si="6"/>
        <v>0</v>
      </c>
      <c r="N63">
        <f t="shared" si="4"/>
        <v>0</v>
      </c>
      <c r="P63" t="e">
        <f>INDEX(Items!B$2:B$1032,MATCH($O63,Items!$A$2:$A$1032,0))</f>
        <v>#N/A</v>
      </c>
      <c r="Q63" t="e">
        <f>INDEX(Items!C$2:C$1032,MATCH($O63,Items!$A$2:$A$1032,0))</f>
        <v>#N/A</v>
      </c>
      <c r="R63" t="e">
        <f>INDEX(Items!D$2:D$1032,MATCH($O63,Items!$A$2:$A$1032,0))</f>
        <v>#N/A</v>
      </c>
    </row>
    <row r="64" spans="1:18" x14ac:dyDescent="0.25">
      <c r="A64">
        <f t="shared" si="0"/>
        <v>1</v>
      </c>
      <c r="B64" t="str">
        <f t="shared" si="1"/>
        <v/>
      </c>
      <c r="C64">
        <f t="shared" si="5"/>
        <v>1</v>
      </c>
      <c r="D64" s="4"/>
      <c r="F64" t="e">
        <f>INDEX(Establishment!B$2:B$1005,MATCH($E64,Establishment!$A$2:$A$1005,0))</f>
        <v>#N/A</v>
      </c>
      <c r="G64" t="e">
        <f>INDEX(Establishment!C$2:C$1005,MATCH($E64,Establishment!$A$2:$A$1005,0))</f>
        <v>#N/A</v>
      </c>
      <c r="M64">
        <f t="shared" si="6"/>
        <v>0</v>
      </c>
      <c r="N64">
        <f t="shared" si="4"/>
        <v>0</v>
      </c>
      <c r="P64" t="e">
        <f>INDEX(Items!B$2:B$1032,MATCH($O64,Items!$A$2:$A$1032,0))</f>
        <v>#N/A</v>
      </c>
      <c r="Q64" t="e">
        <f>INDEX(Items!C$2:C$1032,MATCH($O64,Items!$A$2:$A$1032,0))</f>
        <v>#N/A</v>
      </c>
      <c r="R64" t="e">
        <f>INDEX(Items!D$2:D$1032,MATCH($O64,Items!$A$2:$A$1032,0))</f>
        <v>#N/A</v>
      </c>
    </row>
    <row r="65" spans="1:18" x14ac:dyDescent="0.25">
      <c r="A65">
        <f t="shared" si="0"/>
        <v>1</v>
      </c>
      <c r="B65" t="str">
        <f t="shared" si="1"/>
        <v/>
      </c>
      <c r="C65">
        <f t="shared" si="5"/>
        <v>1</v>
      </c>
      <c r="D65" s="4"/>
      <c r="F65" t="e">
        <f>INDEX(Establishment!B$2:B$1005,MATCH($E65,Establishment!$A$2:$A$1005,0))</f>
        <v>#N/A</v>
      </c>
      <c r="G65" t="e">
        <f>INDEX(Establishment!C$2:C$1005,MATCH($E65,Establishment!$A$2:$A$1005,0))</f>
        <v>#N/A</v>
      </c>
      <c r="M65">
        <f t="shared" si="6"/>
        <v>0</v>
      </c>
      <c r="N65">
        <f t="shared" si="4"/>
        <v>0</v>
      </c>
      <c r="P65" t="e">
        <f>INDEX(Items!B$2:B$1032,MATCH($O65,Items!$A$2:$A$1032,0))</f>
        <v>#N/A</v>
      </c>
      <c r="Q65" t="e">
        <f>INDEX(Items!C$2:C$1032,MATCH($O65,Items!$A$2:$A$1032,0))</f>
        <v>#N/A</v>
      </c>
      <c r="R65" t="e">
        <f>INDEX(Items!D$2:D$1032,MATCH($O65,Items!$A$2:$A$1032,0))</f>
        <v>#N/A</v>
      </c>
    </row>
    <row r="66" spans="1:18" x14ac:dyDescent="0.25">
      <c r="A66">
        <f t="shared" ref="A66:A129" si="7">IF(OR(D66&lt;&gt;D65,D66=""),1,IF(NOT(AND(E66=E65,F66=F65,G66=G65)),A65+1,IF(OR(H66="",AND(H66&lt;&gt;"",H66&lt;&gt;H65,H65&lt;&gt;"")),A65,A65+1)))</f>
        <v>1</v>
      </c>
      <c r="B66" t="str">
        <f t="shared" ref="B66:B129" si="8">IF(D66&lt;&gt;"",TEXT(D66,"YYYYMMDD")&amp;CHAR(64+A66),"")</f>
        <v/>
      </c>
      <c r="C66">
        <f t="shared" si="5"/>
        <v>1</v>
      </c>
      <c r="D66" s="4"/>
      <c r="F66" t="e">
        <f>INDEX(Establishment!B$2:B$1005,MATCH($E66,Establishment!$A$2:$A$1005,0))</f>
        <v>#N/A</v>
      </c>
      <c r="G66" t="e">
        <f>INDEX(Establishment!C$2:C$1005,MATCH($E66,Establishment!$A$2:$A$1005,0))</f>
        <v>#N/A</v>
      </c>
      <c r="M66">
        <f t="shared" si="6"/>
        <v>0</v>
      </c>
      <c r="N66">
        <f t="shared" si="4"/>
        <v>0</v>
      </c>
      <c r="P66" t="e">
        <f>INDEX(Items!B$2:B$1032,MATCH($O66,Items!$A$2:$A$1032,0))</f>
        <v>#N/A</v>
      </c>
      <c r="Q66" t="e">
        <f>INDEX(Items!C$2:C$1032,MATCH($O66,Items!$A$2:$A$1032,0))</f>
        <v>#N/A</v>
      </c>
      <c r="R66" t="e">
        <f>INDEX(Items!D$2:D$1032,MATCH($O66,Items!$A$2:$A$1032,0))</f>
        <v>#N/A</v>
      </c>
    </row>
    <row r="67" spans="1:18" x14ac:dyDescent="0.25">
      <c r="A67">
        <f t="shared" si="7"/>
        <v>1</v>
      </c>
      <c r="B67" t="str">
        <f t="shared" si="8"/>
        <v/>
      </c>
      <c r="C67">
        <f t="shared" si="5"/>
        <v>1</v>
      </c>
      <c r="D67" s="4"/>
      <c r="F67" t="s">
        <v>43</v>
      </c>
      <c r="G67" t="s">
        <v>46</v>
      </c>
      <c r="M67">
        <f t="shared" si="6"/>
        <v>0</v>
      </c>
      <c r="N67">
        <f t="shared" ref="N67:N130" si="9">IF(B67=B66,N66+M67,M67)</f>
        <v>0</v>
      </c>
      <c r="P67" t="e">
        <f>INDEX(Items!B$2:B$1032,MATCH($O67,Items!$A$2:$A$1032,0))</f>
        <v>#N/A</v>
      </c>
      <c r="Q67" t="e">
        <f>INDEX(Items!C$2:C$1032,MATCH($O67,Items!$A$2:$A$1032,0))</f>
        <v>#N/A</v>
      </c>
      <c r="R67" t="e">
        <f>INDEX(Items!D$2:D$1032,MATCH($O67,Items!$A$2:$A$1032,0))</f>
        <v>#N/A</v>
      </c>
    </row>
    <row r="68" spans="1:18" x14ac:dyDescent="0.25">
      <c r="A68">
        <f t="shared" si="7"/>
        <v>1</v>
      </c>
      <c r="B68" t="str">
        <f t="shared" si="8"/>
        <v/>
      </c>
      <c r="C68">
        <f t="shared" si="5"/>
        <v>1</v>
      </c>
      <c r="D68" s="4"/>
      <c r="F68" t="s">
        <v>43</v>
      </c>
      <c r="G68" t="s">
        <v>46</v>
      </c>
      <c r="M68">
        <f t="shared" si="6"/>
        <v>0</v>
      </c>
      <c r="N68">
        <f t="shared" si="9"/>
        <v>0</v>
      </c>
      <c r="P68" t="e">
        <f>INDEX(Items!B$2:B$1032,MATCH($O68,Items!$A$2:$A$1032,0))</f>
        <v>#N/A</v>
      </c>
      <c r="Q68" t="e">
        <f>INDEX(Items!C$2:C$1032,MATCH($O68,Items!$A$2:$A$1032,0))</f>
        <v>#N/A</v>
      </c>
      <c r="R68" t="e">
        <f>INDEX(Items!D$2:D$1032,MATCH($O68,Items!$A$2:$A$1032,0))</f>
        <v>#N/A</v>
      </c>
    </row>
    <row r="69" spans="1:18" x14ac:dyDescent="0.25">
      <c r="A69">
        <f t="shared" si="7"/>
        <v>1</v>
      </c>
      <c r="B69" t="str">
        <f t="shared" si="8"/>
        <v/>
      </c>
      <c r="C69">
        <f t="shared" si="5"/>
        <v>1</v>
      </c>
      <c r="D69" s="4"/>
      <c r="F69" t="s">
        <v>43</v>
      </c>
      <c r="G69" t="s">
        <v>46</v>
      </c>
      <c r="M69">
        <f t="shared" si="6"/>
        <v>0</v>
      </c>
      <c r="N69">
        <f t="shared" si="9"/>
        <v>0</v>
      </c>
      <c r="P69" t="e">
        <f>INDEX(Items!B$2:B$1032,MATCH($O69,Items!$A$2:$A$1032,0))</f>
        <v>#N/A</v>
      </c>
      <c r="Q69" t="e">
        <f>INDEX(Items!C$2:C$1032,MATCH($O69,Items!$A$2:$A$1032,0))</f>
        <v>#N/A</v>
      </c>
      <c r="R69" t="e">
        <f>INDEX(Items!D$2:D$1032,MATCH($O69,Items!$A$2:$A$1032,0))</f>
        <v>#N/A</v>
      </c>
    </row>
    <row r="70" spans="1:18" x14ac:dyDescent="0.25">
      <c r="A70">
        <f t="shared" si="7"/>
        <v>1</v>
      </c>
      <c r="B70" t="str">
        <f t="shared" si="8"/>
        <v/>
      </c>
      <c r="C70">
        <f t="shared" si="5"/>
        <v>1</v>
      </c>
      <c r="D70" s="4"/>
      <c r="F70" t="s">
        <v>43</v>
      </c>
      <c r="G70" t="s">
        <v>46</v>
      </c>
      <c r="M70">
        <f t="shared" si="6"/>
        <v>0</v>
      </c>
      <c r="N70">
        <f t="shared" si="9"/>
        <v>0</v>
      </c>
      <c r="P70" t="e">
        <f>INDEX(Items!B$2:B$1032,MATCH($O70,Items!$A$2:$A$1032,0))</f>
        <v>#N/A</v>
      </c>
      <c r="Q70" t="e">
        <f>INDEX(Items!C$2:C$1032,MATCH($O70,Items!$A$2:$A$1032,0))</f>
        <v>#N/A</v>
      </c>
      <c r="R70" t="e">
        <f>INDEX(Items!D$2:D$1032,MATCH($O70,Items!$A$2:$A$1032,0))</f>
        <v>#N/A</v>
      </c>
    </row>
    <row r="71" spans="1:18" x14ac:dyDescent="0.25">
      <c r="A71">
        <f t="shared" si="7"/>
        <v>1</v>
      </c>
      <c r="B71" t="str">
        <f t="shared" si="8"/>
        <v/>
      </c>
      <c r="C71">
        <f t="shared" si="5"/>
        <v>1</v>
      </c>
      <c r="D71" s="4"/>
      <c r="F71" t="s">
        <v>43</v>
      </c>
      <c r="G71" t="s">
        <v>46</v>
      </c>
      <c r="M71">
        <f t="shared" si="6"/>
        <v>0</v>
      </c>
      <c r="N71">
        <f t="shared" si="9"/>
        <v>0</v>
      </c>
      <c r="P71" t="e">
        <f>INDEX(Items!B$2:B$1032,MATCH($O71,Items!$A$2:$A$1032,0))</f>
        <v>#N/A</v>
      </c>
      <c r="Q71" t="e">
        <f>INDEX(Items!C$2:C$1032,MATCH($O71,Items!$A$2:$A$1032,0))</f>
        <v>#N/A</v>
      </c>
      <c r="R71" t="e">
        <f>INDEX(Items!D$2:D$1032,MATCH($O71,Items!$A$2:$A$1032,0))</f>
        <v>#N/A</v>
      </c>
    </row>
    <row r="72" spans="1:18" x14ac:dyDescent="0.25">
      <c r="A72">
        <f t="shared" si="7"/>
        <v>1</v>
      </c>
      <c r="B72" t="str">
        <f t="shared" si="8"/>
        <v/>
      </c>
      <c r="C72">
        <f t="shared" si="5"/>
        <v>1</v>
      </c>
      <c r="D72" s="4"/>
      <c r="F72" t="s">
        <v>53</v>
      </c>
      <c r="G72" t="s">
        <v>48</v>
      </c>
      <c r="M72">
        <f t="shared" si="6"/>
        <v>0</v>
      </c>
      <c r="N72">
        <f t="shared" si="9"/>
        <v>0</v>
      </c>
      <c r="P72" t="e">
        <f>INDEX(Items!B$2:B$1032,MATCH($O72,Items!$A$2:$A$1032,0))</f>
        <v>#N/A</v>
      </c>
      <c r="Q72" t="e">
        <f>INDEX(Items!C$2:C$1032,MATCH($O72,Items!$A$2:$A$1032,0))</f>
        <v>#N/A</v>
      </c>
      <c r="R72" t="e">
        <f>INDEX(Items!D$2:D$1032,MATCH($O72,Items!$A$2:$A$1032,0))</f>
        <v>#N/A</v>
      </c>
    </row>
    <row r="73" spans="1:18" x14ac:dyDescent="0.25">
      <c r="A73">
        <f t="shared" si="7"/>
        <v>1</v>
      </c>
      <c r="B73" t="str">
        <f t="shared" si="8"/>
        <v/>
      </c>
      <c r="C73">
        <f t="shared" si="5"/>
        <v>1</v>
      </c>
      <c r="D73" s="4"/>
      <c r="F73" t="s">
        <v>53</v>
      </c>
      <c r="G73" t="s">
        <v>48</v>
      </c>
      <c r="M73">
        <f t="shared" si="6"/>
        <v>0</v>
      </c>
      <c r="N73">
        <f t="shared" si="9"/>
        <v>0</v>
      </c>
      <c r="P73" t="e">
        <f>INDEX(Items!B$2:B$1032,MATCH($O73,Items!$A$2:$A$1032,0))</f>
        <v>#N/A</v>
      </c>
      <c r="Q73" t="e">
        <f>INDEX(Items!C$2:C$1032,MATCH($O73,Items!$A$2:$A$1032,0))</f>
        <v>#N/A</v>
      </c>
      <c r="R73" t="e">
        <f>INDEX(Items!D$2:D$1032,MATCH($O73,Items!$A$2:$A$1032,0))</f>
        <v>#N/A</v>
      </c>
    </row>
    <row r="74" spans="1:18" x14ac:dyDescent="0.25">
      <c r="A74">
        <f t="shared" si="7"/>
        <v>1</v>
      </c>
      <c r="B74" t="str">
        <f t="shared" si="8"/>
        <v/>
      </c>
      <c r="C74">
        <f t="shared" ref="C74:C137" si="10">IF(OR(B74="",B74&lt;&gt;B73),1,C73+1)</f>
        <v>1</v>
      </c>
      <c r="D74" s="4"/>
      <c r="F74" t="s">
        <v>43</v>
      </c>
      <c r="G74" t="s">
        <v>48</v>
      </c>
      <c r="M74">
        <f t="shared" ref="M74:M137" si="11">K74*L74</f>
        <v>0</v>
      </c>
      <c r="N74">
        <f t="shared" si="9"/>
        <v>0</v>
      </c>
      <c r="P74" t="e">
        <f>INDEX(Items!B$2:B$1032,MATCH($O74,Items!$A$2:$A$1032,0))</f>
        <v>#N/A</v>
      </c>
      <c r="Q74" t="e">
        <f>INDEX(Items!C$2:C$1032,MATCH($O74,Items!$A$2:$A$1032,0))</f>
        <v>#N/A</v>
      </c>
      <c r="R74" t="e">
        <f>INDEX(Items!D$2:D$1032,MATCH($O74,Items!$A$2:$A$1032,0))</f>
        <v>#N/A</v>
      </c>
    </row>
    <row r="75" spans="1:18" x14ac:dyDescent="0.25">
      <c r="A75">
        <f t="shared" si="7"/>
        <v>1</v>
      </c>
      <c r="B75" t="str">
        <f t="shared" si="8"/>
        <v/>
      </c>
      <c r="C75">
        <f t="shared" si="10"/>
        <v>1</v>
      </c>
      <c r="D75" s="4"/>
      <c r="F75" t="s">
        <v>43</v>
      </c>
      <c r="G75" t="s">
        <v>48</v>
      </c>
      <c r="M75">
        <f t="shared" si="11"/>
        <v>0</v>
      </c>
      <c r="N75">
        <f t="shared" si="9"/>
        <v>0</v>
      </c>
      <c r="P75" t="e">
        <f>INDEX(Items!B$2:B$1032,MATCH($O75,Items!$A$2:$A$1032,0))</f>
        <v>#N/A</v>
      </c>
      <c r="Q75" t="e">
        <f>INDEX(Items!C$2:C$1032,MATCH($O75,Items!$A$2:$A$1032,0))</f>
        <v>#N/A</v>
      </c>
      <c r="R75" t="e">
        <f>INDEX(Items!D$2:D$1032,MATCH($O75,Items!$A$2:$A$1032,0))</f>
        <v>#N/A</v>
      </c>
    </row>
    <row r="76" spans="1:18" x14ac:dyDescent="0.25">
      <c r="A76">
        <f t="shared" si="7"/>
        <v>1</v>
      </c>
      <c r="B76" t="str">
        <f t="shared" si="8"/>
        <v/>
      </c>
      <c r="C76">
        <f t="shared" si="10"/>
        <v>1</v>
      </c>
      <c r="D76" s="4"/>
      <c r="F76" t="s">
        <v>43</v>
      </c>
      <c r="G76" t="s">
        <v>48</v>
      </c>
      <c r="M76">
        <f t="shared" si="11"/>
        <v>0</v>
      </c>
      <c r="N76">
        <f t="shared" si="9"/>
        <v>0</v>
      </c>
      <c r="P76" t="e">
        <f>INDEX(Items!B$2:B$1032,MATCH($O76,Items!$A$2:$A$1032,0))</f>
        <v>#N/A</v>
      </c>
      <c r="Q76" t="e">
        <f>INDEX(Items!C$2:C$1032,MATCH($O76,Items!$A$2:$A$1032,0))</f>
        <v>#N/A</v>
      </c>
      <c r="R76" t="e">
        <f>INDEX(Items!D$2:D$1032,MATCH($O76,Items!$A$2:$A$1032,0))</f>
        <v>#N/A</v>
      </c>
    </row>
    <row r="77" spans="1:18" x14ac:dyDescent="0.25">
      <c r="A77">
        <f t="shared" si="7"/>
        <v>1</v>
      </c>
      <c r="B77" t="str">
        <f t="shared" si="8"/>
        <v/>
      </c>
      <c r="C77">
        <f t="shared" si="10"/>
        <v>1</v>
      </c>
      <c r="D77" s="4"/>
      <c r="F77" t="s">
        <v>43</v>
      </c>
      <c r="G77" t="s">
        <v>48</v>
      </c>
      <c r="M77">
        <f t="shared" si="11"/>
        <v>0</v>
      </c>
      <c r="N77">
        <f t="shared" si="9"/>
        <v>0</v>
      </c>
      <c r="P77" t="e">
        <f>INDEX(Items!B$2:B$1032,MATCH($O77,Items!$A$2:$A$1032,0))</f>
        <v>#N/A</v>
      </c>
      <c r="Q77" t="e">
        <f>INDEX(Items!C$2:C$1032,MATCH($O77,Items!$A$2:$A$1032,0))</f>
        <v>#N/A</v>
      </c>
      <c r="R77" t="e">
        <f>INDEX(Items!D$2:D$1032,MATCH($O77,Items!$A$2:$A$1032,0))</f>
        <v>#N/A</v>
      </c>
    </row>
    <row r="78" spans="1:18" x14ac:dyDescent="0.25">
      <c r="A78">
        <f t="shared" si="7"/>
        <v>1</v>
      </c>
      <c r="B78" t="str">
        <f t="shared" si="8"/>
        <v/>
      </c>
      <c r="C78">
        <f t="shared" si="10"/>
        <v>1</v>
      </c>
      <c r="D78" s="4"/>
      <c r="F78" t="s">
        <v>43</v>
      </c>
      <c r="G78" t="s">
        <v>48</v>
      </c>
      <c r="M78">
        <f t="shared" si="11"/>
        <v>0</v>
      </c>
      <c r="N78">
        <f t="shared" si="9"/>
        <v>0</v>
      </c>
      <c r="P78" t="e">
        <f>INDEX(Items!B$2:B$1032,MATCH($O78,Items!$A$2:$A$1032,0))</f>
        <v>#N/A</v>
      </c>
      <c r="Q78" t="e">
        <f>INDEX(Items!C$2:C$1032,MATCH($O78,Items!$A$2:$A$1032,0))</f>
        <v>#N/A</v>
      </c>
      <c r="R78" t="e">
        <f>INDEX(Items!D$2:D$1032,MATCH($O78,Items!$A$2:$A$1032,0))</f>
        <v>#N/A</v>
      </c>
    </row>
    <row r="79" spans="1:18" x14ac:dyDescent="0.25">
      <c r="A79">
        <f t="shared" si="7"/>
        <v>1</v>
      </c>
      <c r="B79" t="str">
        <f t="shared" si="8"/>
        <v/>
      </c>
      <c r="C79">
        <f t="shared" si="10"/>
        <v>1</v>
      </c>
      <c r="D79" s="4"/>
      <c r="F79" t="s">
        <v>43</v>
      </c>
      <c r="G79" t="s">
        <v>46</v>
      </c>
      <c r="M79">
        <f t="shared" si="11"/>
        <v>0</v>
      </c>
      <c r="N79">
        <f t="shared" si="9"/>
        <v>0</v>
      </c>
      <c r="P79" t="e">
        <f>INDEX(Items!B$2:B$1032,MATCH($O79,Items!$A$2:$A$1032,0))</f>
        <v>#N/A</v>
      </c>
      <c r="Q79" t="e">
        <f>INDEX(Items!C$2:C$1032,MATCH($O79,Items!$A$2:$A$1032,0))</f>
        <v>#N/A</v>
      </c>
      <c r="R79" t="e">
        <f>INDEX(Items!D$2:D$1032,MATCH($O79,Items!$A$2:$A$1032,0))</f>
        <v>#N/A</v>
      </c>
    </row>
    <row r="80" spans="1:18" x14ac:dyDescent="0.25">
      <c r="A80">
        <f t="shared" si="7"/>
        <v>1</v>
      </c>
      <c r="B80" t="str">
        <f t="shared" si="8"/>
        <v/>
      </c>
      <c r="C80">
        <f t="shared" si="10"/>
        <v>1</v>
      </c>
      <c r="D80" s="4"/>
      <c r="F80" t="s">
        <v>43</v>
      </c>
      <c r="G80" t="s">
        <v>46</v>
      </c>
      <c r="M80">
        <f t="shared" si="11"/>
        <v>0</v>
      </c>
      <c r="N80">
        <f t="shared" si="9"/>
        <v>0</v>
      </c>
      <c r="P80" t="e">
        <f>INDEX(Items!B$2:B$1032,MATCH($O80,Items!$A$2:$A$1032,0))</f>
        <v>#N/A</v>
      </c>
      <c r="Q80" t="e">
        <f>INDEX(Items!C$2:C$1032,MATCH($O80,Items!$A$2:$A$1032,0))</f>
        <v>#N/A</v>
      </c>
      <c r="R80" t="e">
        <f>INDEX(Items!D$2:D$1032,MATCH($O80,Items!$A$2:$A$1032,0))</f>
        <v>#N/A</v>
      </c>
    </row>
    <row r="81" spans="1:18" x14ac:dyDescent="0.25">
      <c r="A81">
        <f t="shared" si="7"/>
        <v>1</v>
      </c>
      <c r="B81" t="str">
        <f t="shared" si="8"/>
        <v/>
      </c>
      <c r="C81">
        <f t="shared" si="10"/>
        <v>1</v>
      </c>
      <c r="D81" s="4"/>
      <c r="F81" t="s">
        <v>43</v>
      </c>
      <c r="G81" t="s">
        <v>46</v>
      </c>
      <c r="M81">
        <f t="shared" si="11"/>
        <v>0</v>
      </c>
      <c r="N81">
        <f t="shared" si="9"/>
        <v>0</v>
      </c>
      <c r="P81" t="e">
        <f>INDEX(Items!B$2:B$1032,MATCH($O81,Items!$A$2:$A$1032,0))</f>
        <v>#N/A</v>
      </c>
      <c r="Q81" t="e">
        <f>INDEX(Items!C$2:C$1032,MATCH($O81,Items!$A$2:$A$1032,0))</f>
        <v>#N/A</v>
      </c>
      <c r="R81" t="e">
        <f>INDEX(Items!D$2:D$1032,MATCH($O81,Items!$A$2:$A$1032,0))</f>
        <v>#N/A</v>
      </c>
    </row>
    <row r="82" spans="1:18" x14ac:dyDescent="0.25">
      <c r="A82">
        <f t="shared" si="7"/>
        <v>1</v>
      </c>
      <c r="B82" t="str">
        <f t="shared" si="8"/>
        <v/>
      </c>
      <c r="C82">
        <f t="shared" si="10"/>
        <v>1</v>
      </c>
      <c r="D82" s="4"/>
      <c r="F82" t="s">
        <v>43</v>
      </c>
      <c r="G82" t="s">
        <v>46</v>
      </c>
      <c r="M82">
        <f t="shared" si="11"/>
        <v>0</v>
      </c>
      <c r="N82">
        <f t="shared" si="9"/>
        <v>0</v>
      </c>
      <c r="P82" t="e">
        <f>INDEX(Items!B$2:B$1032,MATCH($O82,Items!$A$2:$A$1032,0))</f>
        <v>#N/A</v>
      </c>
      <c r="Q82" t="e">
        <f>INDEX(Items!C$2:C$1032,MATCH($O82,Items!$A$2:$A$1032,0))</f>
        <v>#N/A</v>
      </c>
      <c r="R82" t="e">
        <f>INDEX(Items!D$2:D$1032,MATCH($O82,Items!$A$2:$A$1032,0))</f>
        <v>#N/A</v>
      </c>
    </row>
    <row r="83" spans="1:18" x14ac:dyDescent="0.25">
      <c r="A83">
        <f t="shared" si="7"/>
        <v>1</v>
      </c>
      <c r="B83" t="str">
        <f t="shared" si="8"/>
        <v/>
      </c>
      <c r="C83">
        <f t="shared" si="10"/>
        <v>1</v>
      </c>
      <c r="D83" s="4"/>
      <c r="F83" t="e">
        <f>INDEX(Establishment!B$2:B$1005,MATCH($E83,Establishment!$A$2:$A$1005,0))</f>
        <v>#N/A</v>
      </c>
      <c r="G83" t="e">
        <f>INDEX(Establishment!C$2:C$1005,MATCH($E83,Establishment!$A$2:$A$1005,0))</f>
        <v>#N/A</v>
      </c>
      <c r="M83">
        <f t="shared" si="11"/>
        <v>0</v>
      </c>
      <c r="N83">
        <f t="shared" si="9"/>
        <v>0</v>
      </c>
      <c r="P83" t="e">
        <f>INDEX(Items!B$2:B$1032,MATCH($O83,Items!$A$2:$A$1032,0))</f>
        <v>#N/A</v>
      </c>
      <c r="Q83" t="e">
        <f>INDEX(Items!C$2:C$1032,MATCH($O83,Items!$A$2:$A$1032,0))</f>
        <v>#N/A</v>
      </c>
      <c r="R83" t="e">
        <f>INDEX(Items!D$2:D$1032,MATCH($O83,Items!$A$2:$A$1032,0))</f>
        <v>#N/A</v>
      </c>
    </row>
    <row r="84" spans="1:18" x14ac:dyDescent="0.25">
      <c r="A84">
        <f t="shared" si="7"/>
        <v>1</v>
      </c>
      <c r="B84" t="str">
        <f t="shared" si="8"/>
        <v/>
      </c>
      <c r="C84">
        <f t="shared" si="10"/>
        <v>1</v>
      </c>
      <c r="D84" s="4"/>
      <c r="F84" t="e">
        <f>INDEX(Establishment!B$2:B$1005,MATCH($E84,Establishment!$A$2:$A$1005,0))</f>
        <v>#N/A</v>
      </c>
      <c r="G84" t="e">
        <f>INDEX(Establishment!C$2:C$1005,MATCH($E84,Establishment!$A$2:$A$1005,0))</f>
        <v>#N/A</v>
      </c>
      <c r="M84">
        <f t="shared" si="11"/>
        <v>0</v>
      </c>
      <c r="N84">
        <f t="shared" si="9"/>
        <v>0</v>
      </c>
      <c r="P84" t="e">
        <f>INDEX(Items!B$2:B$1032,MATCH($O84,Items!$A$2:$A$1032,0))</f>
        <v>#N/A</v>
      </c>
      <c r="Q84" t="e">
        <f>INDEX(Items!C$2:C$1032,MATCH($O84,Items!$A$2:$A$1032,0))</f>
        <v>#N/A</v>
      </c>
      <c r="R84" t="e">
        <f>INDEX(Items!D$2:D$1032,MATCH($O84,Items!$A$2:$A$1032,0))</f>
        <v>#N/A</v>
      </c>
    </row>
    <row r="85" spans="1:18" x14ac:dyDescent="0.25">
      <c r="A85">
        <f t="shared" si="7"/>
        <v>1</v>
      </c>
      <c r="B85" t="str">
        <f t="shared" si="8"/>
        <v/>
      </c>
      <c r="C85">
        <f t="shared" si="10"/>
        <v>1</v>
      </c>
      <c r="D85" s="4"/>
      <c r="F85" t="e">
        <f>INDEX(Establishment!B$2:B$1005,MATCH($E85,Establishment!$A$2:$A$1005,0))</f>
        <v>#N/A</v>
      </c>
      <c r="G85" t="e">
        <f>INDEX(Establishment!C$2:C$1005,MATCH($E85,Establishment!$A$2:$A$1005,0))</f>
        <v>#N/A</v>
      </c>
      <c r="M85">
        <f t="shared" si="11"/>
        <v>0</v>
      </c>
      <c r="N85">
        <f t="shared" si="9"/>
        <v>0</v>
      </c>
      <c r="P85" t="e">
        <f>INDEX(Items!B$2:B$1032,MATCH($O85,Items!$A$2:$A$1032,0))</f>
        <v>#N/A</v>
      </c>
      <c r="Q85" t="e">
        <f>INDEX(Items!C$2:C$1032,MATCH($O85,Items!$A$2:$A$1032,0))</f>
        <v>#N/A</v>
      </c>
      <c r="R85" t="e">
        <f>INDEX(Items!D$2:D$1032,MATCH($O85,Items!$A$2:$A$1032,0))</f>
        <v>#N/A</v>
      </c>
    </row>
    <row r="86" spans="1:18" x14ac:dyDescent="0.25">
      <c r="A86">
        <f t="shared" si="7"/>
        <v>1</v>
      </c>
      <c r="B86" t="str">
        <f t="shared" si="8"/>
        <v/>
      </c>
      <c r="C86">
        <f t="shared" si="10"/>
        <v>1</v>
      </c>
      <c r="D86" s="4"/>
      <c r="F86" t="e">
        <f>INDEX(Establishment!B$2:B$1005,MATCH($E86,Establishment!$A$2:$A$1005,0))</f>
        <v>#N/A</v>
      </c>
      <c r="G86" t="e">
        <f>INDEX(Establishment!C$2:C$1005,MATCH($E86,Establishment!$A$2:$A$1005,0))</f>
        <v>#N/A</v>
      </c>
      <c r="M86">
        <f t="shared" si="11"/>
        <v>0</v>
      </c>
      <c r="N86">
        <f t="shared" si="9"/>
        <v>0</v>
      </c>
      <c r="P86" t="e">
        <f>INDEX(Items!B$2:B$1032,MATCH($O86,Items!$A$2:$A$1032,0))</f>
        <v>#N/A</v>
      </c>
      <c r="Q86" t="e">
        <f>INDEX(Items!C$2:C$1032,MATCH($O86,Items!$A$2:$A$1032,0))</f>
        <v>#N/A</v>
      </c>
      <c r="R86" t="e">
        <f>INDEX(Items!D$2:D$1032,MATCH($O86,Items!$A$2:$A$1032,0))</f>
        <v>#N/A</v>
      </c>
    </row>
    <row r="87" spans="1:18" x14ac:dyDescent="0.25">
      <c r="A87">
        <f t="shared" si="7"/>
        <v>1</v>
      </c>
      <c r="B87" t="str">
        <f t="shared" si="8"/>
        <v/>
      </c>
      <c r="C87">
        <f t="shared" si="10"/>
        <v>1</v>
      </c>
      <c r="D87" s="4"/>
      <c r="F87" t="e">
        <f>INDEX(Establishment!B$2:B$1005,MATCH($E87,Establishment!$A$2:$A$1005,0))</f>
        <v>#N/A</v>
      </c>
      <c r="G87" t="e">
        <f>INDEX(Establishment!C$2:C$1005,MATCH($E87,Establishment!$A$2:$A$1005,0))</f>
        <v>#N/A</v>
      </c>
      <c r="M87">
        <f t="shared" si="11"/>
        <v>0</v>
      </c>
      <c r="N87">
        <f t="shared" si="9"/>
        <v>0</v>
      </c>
      <c r="P87" t="e">
        <f>INDEX(Items!B$2:B$1032,MATCH($O87,Items!$A$2:$A$1032,0))</f>
        <v>#N/A</v>
      </c>
      <c r="Q87" t="e">
        <f>INDEX(Items!C$2:C$1032,MATCH($O87,Items!$A$2:$A$1032,0))</f>
        <v>#N/A</v>
      </c>
      <c r="R87" t="e">
        <f>INDEX(Items!D$2:D$1032,MATCH($O87,Items!$A$2:$A$1032,0))</f>
        <v>#N/A</v>
      </c>
    </row>
    <row r="88" spans="1:18" x14ac:dyDescent="0.25">
      <c r="A88">
        <f t="shared" si="7"/>
        <v>1</v>
      </c>
      <c r="B88" t="str">
        <f t="shared" si="8"/>
        <v/>
      </c>
      <c r="C88">
        <f t="shared" si="10"/>
        <v>1</v>
      </c>
      <c r="D88" s="4"/>
      <c r="F88" t="e">
        <f>INDEX(Establishment!B$2:B$1005,MATCH($E88,Establishment!$A$2:$A$1005,0))</f>
        <v>#N/A</v>
      </c>
      <c r="G88" t="e">
        <f>INDEX(Establishment!C$2:C$1005,MATCH($E88,Establishment!$A$2:$A$1005,0))</f>
        <v>#N/A</v>
      </c>
      <c r="M88">
        <f t="shared" si="11"/>
        <v>0</v>
      </c>
      <c r="N88">
        <f t="shared" si="9"/>
        <v>0</v>
      </c>
      <c r="P88" t="e">
        <f>INDEX(Items!B$2:B$1032,MATCH($O88,Items!$A$2:$A$1032,0))</f>
        <v>#N/A</v>
      </c>
      <c r="Q88" t="e">
        <f>INDEX(Items!C$2:C$1032,MATCH($O88,Items!$A$2:$A$1032,0))</f>
        <v>#N/A</v>
      </c>
      <c r="R88" t="e">
        <f>INDEX(Items!D$2:D$1032,MATCH($O88,Items!$A$2:$A$1032,0))</f>
        <v>#N/A</v>
      </c>
    </row>
    <row r="89" spans="1:18" x14ac:dyDescent="0.25">
      <c r="A89">
        <f t="shared" si="7"/>
        <v>1</v>
      </c>
      <c r="B89" t="str">
        <f t="shared" si="8"/>
        <v/>
      </c>
      <c r="C89">
        <f t="shared" si="10"/>
        <v>1</v>
      </c>
      <c r="D89" s="4"/>
      <c r="F89" t="e">
        <f>INDEX(Establishment!B$2:B$1005,MATCH($E89,Establishment!$A$2:$A$1005,0))</f>
        <v>#N/A</v>
      </c>
      <c r="G89" t="e">
        <f>INDEX(Establishment!C$2:C$1005,MATCH($E89,Establishment!$A$2:$A$1005,0))</f>
        <v>#N/A</v>
      </c>
      <c r="M89">
        <f t="shared" si="11"/>
        <v>0</v>
      </c>
      <c r="N89">
        <f t="shared" si="9"/>
        <v>0</v>
      </c>
      <c r="P89" t="e">
        <f>INDEX(Items!B$2:B$1032,MATCH($O89,Items!$A$2:$A$1032,0))</f>
        <v>#N/A</v>
      </c>
      <c r="Q89" t="e">
        <f>INDEX(Items!C$2:C$1032,MATCH($O89,Items!$A$2:$A$1032,0))</f>
        <v>#N/A</v>
      </c>
      <c r="R89" t="e">
        <f>INDEX(Items!D$2:D$1032,MATCH($O89,Items!$A$2:$A$1032,0))</f>
        <v>#N/A</v>
      </c>
    </row>
    <row r="90" spans="1:18" x14ac:dyDescent="0.25">
      <c r="A90">
        <f t="shared" si="7"/>
        <v>1</v>
      </c>
      <c r="B90" t="str">
        <f t="shared" si="8"/>
        <v/>
      </c>
      <c r="C90">
        <f t="shared" si="10"/>
        <v>1</v>
      </c>
      <c r="D90" s="4"/>
      <c r="F90" t="e">
        <f>INDEX(Establishment!B$2:B$1005,MATCH($E90,Establishment!$A$2:$A$1005,0))</f>
        <v>#N/A</v>
      </c>
      <c r="G90" t="e">
        <f>INDEX(Establishment!C$2:C$1005,MATCH($E90,Establishment!$A$2:$A$1005,0))</f>
        <v>#N/A</v>
      </c>
      <c r="M90">
        <f t="shared" si="11"/>
        <v>0</v>
      </c>
      <c r="N90">
        <f t="shared" si="9"/>
        <v>0</v>
      </c>
      <c r="P90" t="e">
        <f>INDEX(Items!B$2:B$1032,MATCH($O90,Items!$A$2:$A$1032,0))</f>
        <v>#N/A</v>
      </c>
      <c r="Q90" t="e">
        <f>INDEX(Items!C$2:C$1032,MATCH($O90,Items!$A$2:$A$1032,0))</f>
        <v>#N/A</v>
      </c>
      <c r="R90" t="e">
        <f>INDEX(Items!D$2:D$1032,MATCH($O90,Items!$A$2:$A$1032,0))</f>
        <v>#N/A</v>
      </c>
    </row>
    <row r="91" spans="1:18" x14ac:dyDescent="0.25">
      <c r="A91">
        <f t="shared" si="7"/>
        <v>1</v>
      </c>
      <c r="B91" t="str">
        <f t="shared" si="8"/>
        <v/>
      </c>
      <c r="C91">
        <f t="shared" si="10"/>
        <v>1</v>
      </c>
      <c r="D91" s="4"/>
      <c r="F91" t="e">
        <f>INDEX(Establishment!B$2:B$1005,MATCH($E91,Establishment!$A$2:$A$1005,0))</f>
        <v>#N/A</v>
      </c>
      <c r="G91" t="e">
        <f>INDEX(Establishment!C$2:C$1005,MATCH($E91,Establishment!$A$2:$A$1005,0))</f>
        <v>#N/A</v>
      </c>
      <c r="M91">
        <f t="shared" si="11"/>
        <v>0</v>
      </c>
      <c r="N91">
        <f t="shared" si="9"/>
        <v>0</v>
      </c>
      <c r="P91" t="e">
        <f>INDEX(Items!B$2:B$1032,MATCH($O91,Items!$A$2:$A$1032,0))</f>
        <v>#N/A</v>
      </c>
      <c r="Q91" t="e">
        <f>INDEX(Items!C$2:C$1032,MATCH($O91,Items!$A$2:$A$1032,0))</f>
        <v>#N/A</v>
      </c>
      <c r="R91" t="e">
        <f>INDEX(Items!D$2:D$1032,MATCH($O91,Items!$A$2:$A$1032,0))</f>
        <v>#N/A</v>
      </c>
    </row>
    <row r="92" spans="1:18" x14ac:dyDescent="0.25">
      <c r="A92">
        <f t="shared" si="7"/>
        <v>1</v>
      </c>
      <c r="B92" t="str">
        <f t="shared" si="8"/>
        <v/>
      </c>
      <c r="C92">
        <f t="shared" si="10"/>
        <v>1</v>
      </c>
      <c r="D92" s="4"/>
      <c r="F92" t="e">
        <f>INDEX(Establishment!B$2:B$1005,MATCH($E92,Establishment!$A$2:$A$1005,0))</f>
        <v>#N/A</v>
      </c>
      <c r="G92" t="e">
        <f>INDEX(Establishment!C$2:C$1005,MATCH($E92,Establishment!$A$2:$A$1005,0))</f>
        <v>#N/A</v>
      </c>
      <c r="M92">
        <f t="shared" si="11"/>
        <v>0</v>
      </c>
      <c r="N92">
        <f t="shared" si="9"/>
        <v>0</v>
      </c>
      <c r="P92" t="e">
        <f>INDEX(Items!B$2:B$1032,MATCH($O92,Items!$A$2:$A$1032,0))</f>
        <v>#N/A</v>
      </c>
      <c r="Q92" t="e">
        <f>INDEX(Items!C$2:C$1032,MATCH($O92,Items!$A$2:$A$1032,0))</f>
        <v>#N/A</v>
      </c>
      <c r="R92" t="e">
        <f>INDEX(Items!D$2:D$1032,MATCH($O92,Items!$A$2:$A$1032,0))</f>
        <v>#N/A</v>
      </c>
    </row>
    <row r="93" spans="1:18" x14ac:dyDescent="0.25">
      <c r="A93">
        <f t="shared" si="7"/>
        <v>1</v>
      </c>
      <c r="B93" t="str">
        <f t="shared" si="8"/>
        <v/>
      </c>
      <c r="C93">
        <f t="shared" si="10"/>
        <v>1</v>
      </c>
      <c r="D93" s="4"/>
      <c r="E93" t="s">
        <v>18</v>
      </c>
      <c r="F93" t="str">
        <f>INDEX(Establishment!B$2:B$1005,MATCH($E93,Establishment!$A$2:$A$1005,0))</f>
        <v xml:space="preserve"> </v>
      </c>
      <c r="G93" t="str">
        <f>INDEX(Establishment!C$2:C$1005,MATCH($E93,Establishment!$A$2:$A$1005,0))</f>
        <v xml:space="preserve"> </v>
      </c>
      <c r="M93">
        <f t="shared" si="11"/>
        <v>0</v>
      </c>
      <c r="N93">
        <f t="shared" si="9"/>
        <v>0</v>
      </c>
      <c r="P93" t="e">
        <f>INDEX(Items!B$2:B$1032,MATCH($O93,Items!$A$2:$A$1032,0))</f>
        <v>#N/A</v>
      </c>
      <c r="Q93" t="e">
        <f>INDEX(Items!C$2:C$1032,MATCH($O93,Items!$A$2:$A$1032,0))</f>
        <v>#N/A</v>
      </c>
      <c r="R93" t="e">
        <f>INDEX(Items!D$2:D$1032,MATCH($O93,Items!$A$2:$A$1032,0))</f>
        <v>#N/A</v>
      </c>
    </row>
    <row r="94" spans="1:18" x14ac:dyDescent="0.25">
      <c r="A94">
        <f t="shared" si="7"/>
        <v>1</v>
      </c>
      <c r="B94" t="str">
        <f t="shared" si="8"/>
        <v/>
      </c>
      <c r="C94">
        <f t="shared" si="10"/>
        <v>1</v>
      </c>
      <c r="D94" s="4"/>
      <c r="E94" t="s">
        <v>18</v>
      </c>
      <c r="F94" t="str">
        <f>INDEX(Establishment!B$2:B$1005,MATCH($E94,Establishment!$A$2:$A$1005,0))</f>
        <v xml:space="preserve"> </v>
      </c>
      <c r="G94" t="str">
        <f>INDEX(Establishment!C$2:C$1005,MATCH($E94,Establishment!$A$2:$A$1005,0))</f>
        <v xml:space="preserve"> </v>
      </c>
      <c r="M94">
        <f t="shared" si="11"/>
        <v>0</v>
      </c>
      <c r="N94">
        <f t="shared" si="9"/>
        <v>0</v>
      </c>
      <c r="P94" t="e">
        <f>INDEX(Items!B$2:B$1032,MATCH($O94,Items!$A$2:$A$1032,0))</f>
        <v>#N/A</v>
      </c>
      <c r="Q94" t="e">
        <f>INDEX(Items!C$2:C$1032,MATCH($O94,Items!$A$2:$A$1032,0))</f>
        <v>#N/A</v>
      </c>
      <c r="R94" t="e">
        <f>INDEX(Items!D$2:D$1032,MATCH($O94,Items!$A$2:$A$1032,0))</f>
        <v>#N/A</v>
      </c>
    </row>
    <row r="95" spans="1:18" x14ac:dyDescent="0.25">
      <c r="A95">
        <f t="shared" si="7"/>
        <v>1</v>
      </c>
      <c r="B95" t="str">
        <f t="shared" si="8"/>
        <v/>
      </c>
      <c r="C95">
        <f t="shared" si="10"/>
        <v>1</v>
      </c>
      <c r="D95" s="4"/>
      <c r="E95" t="s">
        <v>18</v>
      </c>
      <c r="F95" t="str">
        <f>INDEX(Establishment!B$2:B$1005,MATCH($E95,Establishment!$A$2:$A$1005,0))</f>
        <v xml:space="preserve"> </v>
      </c>
      <c r="G95" t="str">
        <f>INDEX(Establishment!C$2:C$1005,MATCH($E95,Establishment!$A$2:$A$1005,0))</f>
        <v xml:space="preserve"> </v>
      </c>
      <c r="M95">
        <f t="shared" si="11"/>
        <v>0</v>
      </c>
      <c r="N95">
        <f t="shared" si="9"/>
        <v>0</v>
      </c>
      <c r="P95" t="e">
        <f>INDEX(Items!B$2:B$1032,MATCH($O95,Items!$A$2:$A$1032,0))</f>
        <v>#N/A</v>
      </c>
      <c r="Q95" t="e">
        <f>INDEX(Items!C$2:C$1032,MATCH($O95,Items!$A$2:$A$1032,0))</f>
        <v>#N/A</v>
      </c>
      <c r="R95" t="e">
        <f>INDEX(Items!D$2:D$1032,MATCH($O95,Items!$A$2:$A$1032,0))</f>
        <v>#N/A</v>
      </c>
    </row>
    <row r="96" spans="1:18" x14ac:dyDescent="0.25">
      <c r="A96">
        <f t="shared" si="7"/>
        <v>1</v>
      </c>
      <c r="B96" t="str">
        <f t="shared" si="8"/>
        <v/>
      </c>
      <c r="C96">
        <f t="shared" si="10"/>
        <v>1</v>
      </c>
      <c r="D96" s="4"/>
      <c r="E96" t="s">
        <v>18</v>
      </c>
      <c r="F96" t="str">
        <f>INDEX(Establishment!B$2:B$1005,MATCH($E96,Establishment!$A$2:$A$1005,0))</f>
        <v xml:space="preserve"> </v>
      </c>
      <c r="G96" t="str">
        <f>INDEX(Establishment!C$2:C$1005,MATCH($E96,Establishment!$A$2:$A$1005,0))</f>
        <v xml:space="preserve"> </v>
      </c>
      <c r="M96">
        <f t="shared" si="11"/>
        <v>0</v>
      </c>
      <c r="N96">
        <f t="shared" si="9"/>
        <v>0</v>
      </c>
      <c r="P96" t="e">
        <f>INDEX(Items!B$2:B$1032,MATCH($O96,Items!$A$2:$A$1032,0))</f>
        <v>#N/A</v>
      </c>
      <c r="Q96" t="e">
        <f>INDEX(Items!C$2:C$1032,MATCH($O96,Items!$A$2:$A$1032,0))</f>
        <v>#N/A</v>
      </c>
      <c r="R96" t="e">
        <f>INDEX(Items!D$2:D$1032,MATCH($O96,Items!$A$2:$A$1032,0))</f>
        <v>#N/A</v>
      </c>
    </row>
    <row r="97" spans="1:18" x14ac:dyDescent="0.25">
      <c r="A97">
        <f t="shared" si="7"/>
        <v>1</v>
      </c>
      <c r="B97" t="str">
        <f t="shared" si="8"/>
        <v/>
      </c>
      <c r="C97">
        <f t="shared" si="10"/>
        <v>1</v>
      </c>
      <c r="D97" s="4"/>
      <c r="E97" t="s">
        <v>18</v>
      </c>
      <c r="F97" t="str">
        <f>INDEX(Establishment!B$2:B$1005,MATCH($E97,Establishment!$A$2:$A$1005,0))</f>
        <v xml:space="preserve"> </v>
      </c>
      <c r="G97" t="str">
        <f>INDEX(Establishment!C$2:C$1005,MATCH($E97,Establishment!$A$2:$A$1005,0))</f>
        <v xml:space="preserve"> </v>
      </c>
      <c r="M97">
        <f t="shared" si="11"/>
        <v>0</v>
      </c>
      <c r="N97">
        <f t="shared" si="9"/>
        <v>0</v>
      </c>
      <c r="P97" t="e">
        <f>INDEX(Items!B$2:B$1032,MATCH($O97,Items!$A$2:$A$1032,0))</f>
        <v>#N/A</v>
      </c>
      <c r="Q97" t="e">
        <f>INDEX(Items!C$2:C$1032,MATCH($O97,Items!$A$2:$A$1032,0))</f>
        <v>#N/A</v>
      </c>
      <c r="R97" t="e">
        <f>INDEX(Items!D$2:D$1032,MATCH($O97,Items!$A$2:$A$1032,0))</f>
        <v>#N/A</v>
      </c>
    </row>
    <row r="98" spans="1:18" x14ac:dyDescent="0.25">
      <c r="A98">
        <f t="shared" si="7"/>
        <v>1</v>
      </c>
      <c r="B98" t="str">
        <f t="shared" si="8"/>
        <v/>
      </c>
      <c r="C98">
        <f t="shared" si="10"/>
        <v>1</v>
      </c>
      <c r="D98" s="4"/>
      <c r="E98" t="s">
        <v>18</v>
      </c>
      <c r="F98" t="str">
        <f>INDEX(Establishment!B$2:B$1005,MATCH($E98,Establishment!$A$2:$A$1005,0))</f>
        <v xml:space="preserve"> </v>
      </c>
      <c r="G98" t="str">
        <f>INDEX(Establishment!C$2:C$1005,MATCH($E98,Establishment!$A$2:$A$1005,0))</f>
        <v xml:space="preserve"> </v>
      </c>
      <c r="M98">
        <f t="shared" si="11"/>
        <v>0</v>
      </c>
      <c r="N98">
        <f t="shared" si="9"/>
        <v>0</v>
      </c>
      <c r="P98" t="e">
        <f>INDEX(Items!B$2:B$1032,MATCH($O98,Items!$A$2:$A$1032,0))</f>
        <v>#N/A</v>
      </c>
      <c r="Q98" t="e">
        <f>INDEX(Items!C$2:C$1032,MATCH($O98,Items!$A$2:$A$1032,0))</f>
        <v>#N/A</v>
      </c>
      <c r="R98" t="e">
        <f>INDEX(Items!D$2:D$1032,MATCH($O98,Items!$A$2:$A$1032,0))</f>
        <v>#N/A</v>
      </c>
    </row>
    <row r="99" spans="1:18" x14ac:dyDescent="0.25">
      <c r="A99">
        <f t="shared" si="7"/>
        <v>1</v>
      </c>
      <c r="B99" t="str">
        <f t="shared" si="8"/>
        <v>20230621A</v>
      </c>
      <c r="C99">
        <f t="shared" si="10"/>
        <v>1</v>
      </c>
      <c r="D99" s="4">
        <v>45098</v>
      </c>
      <c r="E99" t="s">
        <v>39</v>
      </c>
      <c r="F99" t="str">
        <f>INDEX(Establishment!B$2:B$1005,MATCH($E99,Establishment!$A$2:$A$1005,0))</f>
        <v>Carenderia 14th Floor</v>
      </c>
      <c r="G99" t="str">
        <f>INDEX(Establishment!C$2:C$1005,MATCH($E99,Establishment!$A$2:$A$1005,0))</f>
        <v>ACC Tower Cebu Business Park</v>
      </c>
      <c r="M99">
        <f t="shared" si="11"/>
        <v>0</v>
      </c>
      <c r="N99">
        <f t="shared" si="9"/>
        <v>0</v>
      </c>
      <c r="P99" t="e">
        <f>INDEX(Items!B$2:B$1032,MATCH($O99,Items!$A$2:$A$1032,0))</f>
        <v>#N/A</v>
      </c>
      <c r="Q99" t="e">
        <f>INDEX(Items!C$2:C$1032,MATCH($O99,Items!$A$2:$A$1032,0))</f>
        <v>#N/A</v>
      </c>
      <c r="R99" t="e">
        <f>INDEX(Items!D$2:D$1032,MATCH($O99,Items!$A$2:$A$1032,0))</f>
        <v>#N/A</v>
      </c>
    </row>
    <row r="100" spans="1:18" x14ac:dyDescent="0.25">
      <c r="A100">
        <f t="shared" si="7"/>
        <v>1</v>
      </c>
      <c r="B100" t="str">
        <f t="shared" si="8"/>
        <v/>
      </c>
      <c r="C100">
        <f t="shared" si="10"/>
        <v>1</v>
      </c>
      <c r="D100" s="4"/>
      <c r="F100" t="e">
        <f>INDEX(Establishment!B$2:B$1005,MATCH($E100,Establishment!$A$2:$A$1005,0))</f>
        <v>#N/A</v>
      </c>
      <c r="G100" t="e">
        <f>INDEX(Establishment!C$2:C$1005,MATCH($E100,Establishment!$A$2:$A$1005,0))</f>
        <v>#N/A</v>
      </c>
      <c r="M100">
        <f t="shared" si="11"/>
        <v>0</v>
      </c>
      <c r="N100">
        <f t="shared" si="9"/>
        <v>0</v>
      </c>
      <c r="P100" t="e">
        <f>INDEX(Items!B$2:B$1032,MATCH($O100,Items!$A$2:$A$1032,0))</f>
        <v>#N/A</v>
      </c>
      <c r="Q100" t="e">
        <f>INDEX(Items!C$2:C$1032,MATCH($O100,Items!$A$2:$A$1032,0))</f>
        <v>#N/A</v>
      </c>
      <c r="R100" t="e">
        <f>INDEX(Items!D$2:D$1032,MATCH($O100,Items!$A$2:$A$1032,0))</f>
        <v>#N/A</v>
      </c>
    </row>
    <row r="101" spans="1:18" x14ac:dyDescent="0.25">
      <c r="A101">
        <f t="shared" si="7"/>
        <v>1</v>
      </c>
      <c r="B101" t="str">
        <f t="shared" si="8"/>
        <v/>
      </c>
      <c r="C101">
        <f t="shared" si="10"/>
        <v>1</v>
      </c>
      <c r="D101" s="4"/>
      <c r="E101" t="s">
        <v>18</v>
      </c>
      <c r="F101" t="str">
        <f>INDEX(Establishment!B$2:B$1005,MATCH($E101,Establishment!$A$2:$A$1005,0))</f>
        <v xml:space="preserve"> </v>
      </c>
      <c r="G101" t="str">
        <f>INDEX(Establishment!C$2:C$1005,MATCH($E101,Establishment!$A$2:$A$1005,0))</f>
        <v xml:space="preserve"> </v>
      </c>
      <c r="M101">
        <f t="shared" si="11"/>
        <v>0</v>
      </c>
      <c r="N101">
        <f t="shared" si="9"/>
        <v>0</v>
      </c>
      <c r="P101" t="e">
        <f>INDEX(Items!B$2:B$1032,MATCH($O101,Items!$A$2:$A$1032,0))</f>
        <v>#N/A</v>
      </c>
      <c r="Q101" t="e">
        <f>INDEX(Items!C$2:C$1032,MATCH($O101,Items!$A$2:$A$1032,0))</f>
        <v>#N/A</v>
      </c>
      <c r="R101" t="e">
        <f>INDEX(Items!D$2:D$1032,MATCH($O101,Items!$A$2:$A$1032,0))</f>
        <v>#N/A</v>
      </c>
    </row>
    <row r="102" spans="1:18" x14ac:dyDescent="0.25">
      <c r="A102">
        <f t="shared" si="7"/>
        <v>1</v>
      </c>
      <c r="B102" t="str">
        <f t="shared" si="8"/>
        <v/>
      </c>
      <c r="C102">
        <f t="shared" si="10"/>
        <v>1</v>
      </c>
      <c r="D102" s="4"/>
      <c r="E102" t="s">
        <v>18</v>
      </c>
      <c r="F102" t="str">
        <f>INDEX(Establishment!B$2:B$1005,MATCH($E102,Establishment!$A$2:$A$1005,0))</f>
        <v xml:space="preserve"> </v>
      </c>
      <c r="G102" t="str">
        <f>INDEX(Establishment!C$2:C$1005,MATCH($E102,Establishment!$A$2:$A$1005,0))</f>
        <v xml:space="preserve"> </v>
      </c>
      <c r="M102">
        <f t="shared" si="11"/>
        <v>0</v>
      </c>
      <c r="N102">
        <f t="shared" si="9"/>
        <v>0</v>
      </c>
      <c r="P102" t="e">
        <f>INDEX(Items!B$2:B$1032,MATCH($O102,Items!$A$2:$A$1032,0))</f>
        <v>#N/A</v>
      </c>
      <c r="Q102" t="e">
        <f>INDEX(Items!C$2:C$1032,MATCH($O102,Items!$A$2:$A$1032,0))</f>
        <v>#N/A</v>
      </c>
      <c r="R102" t="e">
        <f>INDEX(Items!D$2:D$1032,MATCH($O102,Items!$A$2:$A$1032,0))</f>
        <v>#N/A</v>
      </c>
    </row>
    <row r="103" spans="1:18" x14ac:dyDescent="0.25">
      <c r="A103">
        <f t="shared" si="7"/>
        <v>1</v>
      </c>
      <c r="B103" t="str">
        <f t="shared" si="8"/>
        <v/>
      </c>
      <c r="C103">
        <f t="shared" si="10"/>
        <v>1</v>
      </c>
      <c r="D103" s="4"/>
      <c r="E103" t="s">
        <v>18</v>
      </c>
      <c r="F103" t="str">
        <f>INDEX(Establishment!B$2:B$1005,MATCH($E103,Establishment!$A$2:$A$1005,0))</f>
        <v xml:space="preserve"> </v>
      </c>
      <c r="G103" t="str">
        <f>INDEX(Establishment!C$2:C$1005,MATCH($E103,Establishment!$A$2:$A$1005,0))</f>
        <v xml:space="preserve"> </v>
      </c>
      <c r="M103">
        <f t="shared" si="11"/>
        <v>0</v>
      </c>
      <c r="N103">
        <f t="shared" si="9"/>
        <v>0</v>
      </c>
      <c r="P103" t="e">
        <f>INDEX(Items!B$2:B$1032,MATCH($O103,Items!$A$2:$A$1032,0))</f>
        <v>#N/A</v>
      </c>
      <c r="Q103" t="e">
        <f>INDEX(Items!C$2:C$1032,MATCH($O103,Items!$A$2:$A$1032,0))</f>
        <v>#N/A</v>
      </c>
      <c r="R103" t="e">
        <f>INDEX(Items!D$2:D$1032,MATCH($O103,Items!$A$2:$A$1032,0))</f>
        <v>#N/A</v>
      </c>
    </row>
    <row r="104" spans="1:18" x14ac:dyDescent="0.25">
      <c r="A104">
        <f t="shared" si="7"/>
        <v>1</v>
      </c>
      <c r="B104" t="str">
        <f t="shared" si="8"/>
        <v/>
      </c>
      <c r="C104">
        <f t="shared" si="10"/>
        <v>1</v>
      </c>
      <c r="D104" s="4"/>
      <c r="E104" t="s">
        <v>18</v>
      </c>
      <c r="F104" t="str">
        <f>INDEX(Establishment!B$2:B$1005,MATCH($E104,Establishment!$A$2:$A$1005,0))</f>
        <v xml:space="preserve"> </v>
      </c>
      <c r="G104" t="str">
        <f>INDEX(Establishment!C$2:C$1005,MATCH($E104,Establishment!$A$2:$A$1005,0))</f>
        <v xml:space="preserve"> </v>
      </c>
      <c r="M104">
        <f t="shared" si="11"/>
        <v>0</v>
      </c>
      <c r="N104">
        <f t="shared" si="9"/>
        <v>0</v>
      </c>
      <c r="P104" t="e">
        <f>INDEX(Items!B$2:B$1032,MATCH($O104,Items!$A$2:$A$1032,0))</f>
        <v>#N/A</v>
      </c>
      <c r="Q104" t="e">
        <f>INDEX(Items!C$2:C$1032,MATCH($O104,Items!$A$2:$A$1032,0))</f>
        <v>#N/A</v>
      </c>
      <c r="R104" t="e">
        <f>INDEX(Items!D$2:D$1032,MATCH($O104,Items!$A$2:$A$1032,0))</f>
        <v>#N/A</v>
      </c>
    </row>
    <row r="105" spans="1:18" x14ac:dyDescent="0.25">
      <c r="A105">
        <f t="shared" si="7"/>
        <v>1</v>
      </c>
      <c r="B105" t="str">
        <f t="shared" si="8"/>
        <v/>
      </c>
      <c r="C105">
        <f t="shared" si="10"/>
        <v>1</v>
      </c>
      <c r="D105" s="4"/>
      <c r="E105" t="s">
        <v>18</v>
      </c>
      <c r="F105" t="str">
        <f>INDEX(Establishment!B$2:B$1005,MATCH($E105,Establishment!$A$2:$A$1005,0))</f>
        <v xml:space="preserve"> </v>
      </c>
      <c r="G105" t="str">
        <f>INDEX(Establishment!C$2:C$1005,MATCH($E105,Establishment!$A$2:$A$1005,0))</f>
        <v xml:space="preserve"> </v>
      </c>
      <c r="M105">
        <f t="shared" si="11"/>
        <v>0</v>
      </c>
      <c r="N105">
        <f t="shared" si="9"/>
        <v>0</v>
      </c>
      <c r="P105" t="e">
        <f>INDEX(Items!B$2:B$1032,MATCH($O105,Items!$A$2:$A$1032,0))</f>
        <v>#N/A</v>
      </c>
      <c r="Q105" t="e">
        <f>INDEX(Items!C$2:C$1032,MATCH($O105,Items!$A$2:$A$1032,0))</f>
        <v>#N/A</v>
      </c>
      <c r="R105" t="e">
        <f>INDEX(Items!D$2:D$1032,MATCH($O105,Items!$A$2:$A$1032,0))</f>
        <v>#N/A</v>
      </c>
    </row>
    <row r="106" spans="1:18" x14ac:dyDescent="0.25">
      <c r="A106">
        <f t="shared" si="7"/>
        <v>1</v>
      </c>
      <c r="B106" t="str">
        <f t="shared" si="8"/>
        <v/>
      </c>
      <c r="C106">
        <f t="shared" si="10"/>
        <v>1</v>
      </c>
      <c r="D106" s="4"/>
      <c r="E106" t="s">
        <v>18</v>
      </c>
      <c r="F106" t="str">
        <f>INDEX(Establishment!B$2:B$1005,MATCH($E106,Establishment!$A$2:$A$1005,0))</f>
        <v xml:space="preserve"> </v>
      </c>
      <c r="G106" t="str">
        <f>INDEX(Establishment!C$2:C$1005,MATCH($E106,Establishment!$A$2:$A$1005,0))</f>
        <v xml:space="preserve"> </v>
      </c>
      <c r="M106">
        <f t="shared" si="11"/>
        <v>0</v>
      </c>
      <c r="N106">
        <f t="shared" si="9"/>
        <v>0</v>
      </c>
      <c r="P106" t="e">
        <f>INDEX(Items!B$2:B$1032,MATCH($O106,Items!$A$2:$A$1032,0))</f>
        <v>#N/A</v>
      </c>
      <c r="Q106" t="e">
        <f>INDEX(Items!C$2:C$1032,MATCH($O106,Items!$A$2:$A$1032,0))</f>
        <v>#N/A</v>
      </c>
      <c r="R106" t="e">
        <f>INDEX(Items!D$2:D$1032,MATCH($O106,Items!$A$2:$A$1032,0))</f>
        <v>#N/A</v>
      </c>
    </row>
    <row r="107" spans="1:18" x14ac:dyDescent="0.25">
      <c r="A107">
        <f t="shared" si="7"/>
        <v>1</v>
      </c>
      <c r="B107" t="str">
        <f t="shared" si="8"/>
        <v/>
      </c>
      <c r="C107">
        <f t="shared" si="10"/>
        <v>1</v>
      </c>
      <c r="D107" s="4"/>
      <c r="E107" t="s">
        <v>18</v>
      </c>
      <c r="F107" t="str">
        <f>INDEX(Establishment!B$2:B$1005,MATCH($E107,Establishment!$A$2:$A$1005,0))</f>
        <v xml:space="preserve"> </v>
      </c>
      <c r="G107" t="str">
        <f>INDEX(Establishment!C$2:C$1005,MATCH($E107,Establishment!$A$2:$A$1005,0))</f>
        <v xml:space="preserve"> </v>
      </c>
      <c r="M107">
        <f t="shared" si="11"/>
        <v>0</v>
      </c>
      <c r="N107">
        <f t="shared" si="9"/>
        <v>0</v>
      </c>
      <c r="P107" t="e">
        <f>INDEX(Items!B$2:B$1032,MATCH($O107,Items!$A$2:$A$1032,0))</f>
        <v>#N/A</v>
      </c>
      <c r="Q107" t="e">
        <f>INDEX(Items!C$2:C$1032,MATCH($O107,Items!$A$2:$A$1032,0))</f>
        <v>#N/A</v>
      </c>
      <c r="R107" t="e">
        <f>INDEX(Items!D$2:D$1032,MATCH($O107,Items!$A$2:$A$1032,0))</f>
        <v>#N/A</v>
      </c>
    </row>
    <row r="108" spans="1:18" x14ac:dyDescent="0.25">
      <c r="A108">
        <f t="shared" si="7"/>
        <v>1</v>
      </c>
      <c r="B108" t="str">
        <f t="shared" si="8"/>
        <v/>
      </c>
      <c r="C108">
        <f t="shared" si="10"/>
        <v>1</v>
      </c>
      <c r="D108" s="4"/>
      <c r="E108" t="s">
        <v>18</v>
      </c>
      <c r="F108" t="str">
        <f>INDEX(Establishment!B$2:B$1005,MATCH($E108,Establishment!$A$2:$A$1005,0))</f>
        <v xml:space="preserve"> </v>
      </c>
      <c r="G108" t="str">
        <f>INDEX(Establishment!C$2:C$1005,MATCH($E108,Establishment!$A$2:$A$1005,0))</f>
        <v xml:space="preserve"> </v>
      </c>
      <c r="M108">
        <f t="shared" si="11"/>
        <v>0</v>
      </c>
      <c r="N108">
        <f t="shared" si="9"/>
        <v>0</v>
      </c>
      <c r="P108" t="e">
        <f>INDEX(Items!B$2:B$1032,MATCH($O108,Items!$A$2:$A$1032,0))</f>
        <v>#N/A</v>
      </c>
      <c r="Q108" t="e">
        <f>INDEX(Items!C$2:C$1032,MATCH($O108,Items!$A$2:$A$1032,0))</f>
        <v>#N/A</v>
      </c>
      <c r="R108" t="e">
        <f>INDEX(Items!D$2:D$1032,MATCH($O108,Items!$A$2:$A$1032,0))</f>
        <v>#N/A</v>
      </c>
    </row>
    <row r="109" spans="1:18" x14ac:dyDescent="0.25">
      <c r="A109">
        <f t="shared" si="7"/>
        <v>1</v>
      </c>
      <c r="B109" t="str">
        <f t="shared" si="8"/>
        <v/>
      </c>
      <c r="C109">
        <f t="shared" si="10"/>
        <v>1</v>
      </c>
      <c r="D109" s="4"/>
      <c r="E109" t="s">
        <v>18</v>
      </c>
      <c r="F109" t="str">
        <f>INDEX(Establishment!B$2:B$1005,MATCH($E109,Establishment!$A$2:$A$1005,0))</f>
        <v xml:space="preserve"> </v>
      </c>
      <c r="G109" t="str">
        <f>INDEX(Establishment!C$2:C$1005,MATCH($E109,Establishment!$A$2:$A$1005,0))</f>
        <v xml:space="preserve"> </v>
      </c>
      <c r="M109">
        <f t="shared" si="11"/>
        <v>0</v>
      </c>
      <c r="N109">
        <f t="shared" si="9"/>
        <v>0</v>
      </c>
      <c r="P109" t="e">
        <f>INDEX(Items!B$2:B$1032,MATCH($O109,Items!$A$2:$A$1032,0))</f>
        <v>#N/A</v>
      </c>
      <c r="Q109" t="e">
        <f>INDEX(Items!C$2:C$1032,MATCH($O109,Items!$A$2:$A$1032,0))</f>
        <v>#N/A</v>
      </c>
      <c r="R109" t="e">
        <f>INDEX(Items!D$2:D$1032,MATCH($O109,Items!$A$2:$A$1032,0))</f>
        <v>#N/A</v>
      </c>
    </row>
    <row r="110" spans="1:18" x14ac:dyDescent="0.25">
      <c r="A110">
        <f t="shared" si="7"/>
        <v>1</v>
      </c>
      <c r="B110" t="str">
        <f t="shared" si="8"/>
        <v/>
      </c>
      <c r="C110">
        <f t="shared" si="10"/>
        <v>1</v>
      </c>
      <c r="D110" s="4"/>
      <c r="E110" t="s">
        <v>18</v>
      </c>
      <c r="F110" t="str">
        <f>INDEX(Establishment!B$2:B$1005,MATCH($E110,Establishment!$A$2:$A$1005,0))</f>
        <v xml:space="preserve"> </v>
      </c>
      <c r="G110" t="str">
        <f>INDEX(Establishment!C$2:C$1005,MATCH($E110,Establishment!$A$2:$A$1005,0))</f>
        <v xml:space="preserve"> </v>
      </c>
      <c r="M110">
        <f t="shared" si="11"/>
        <v>0</v>
      </c>
      <c r="N110">
        <f t="shared" si="9"/>
        <v>0</v>
      </c>
      <c r="P110" t="e">
        <f>INDEX(Items!B$2:B$1032,MATCH($O110,Items!$A$2:$A$1032,0))</f>
        <v>#N/A</v>
      </c>
      <c r="Q110" t="e">
        <f>INDEX(Items!C$2:C$1032,MATCH($O110,Items!$A$2:$A$1032,0))</f>
        <v>#N/A</v>
      </c>
      <c r="R110" t="e">
        <f>INDEX(Items!D$2:D$1032,MATCH($O110,Items!$A$2:$A$1032,0))</f>
        <v>#N/A</v>
      </c>
    </row>
    <row r="111" spans="1:18" x14ac:dyDescent="0.25">
      <c r="A111">
        <f t="shared" si="7"/>
        <v>1</v>
      </c>
      <c r="B111" t="str">
        <f t="shared" si="8"/>
        <v/>
      </c>
      <c r="C111">
        <f t="shared" si="10"/>
        <v>1</v>
      </c>
      <c r="D111" s="4"/>
      <c r="E111" t="s">
        <v>18</v>
      </c>
      <c r="F111" t="str">
        <f>INDEX(Establishment!B$2:B$1005,MATCH($E111,Establishment!$A$2:$A$1005,0))</f>
        <v xml:space="preserve"> </v>
      </c>
      <c r="G111" t="str">
        <f>INDEX(Establishment!C$2:C$1005,MATCH($E111,Establishment!$A$2:$A$1005,0))</f>
        <v xml:space="preserve"> </v>
      </c>
      <c r="M111">
        <f t="shared" si="11"/>
        <v>0</v>
      </c>
      <c r="N111">
        <f t="shared" si="9"/>
        <v>0</v>
      </c>
      <c r="P111" t="e">
        <f>INDEX(Items!B$2:B$1032,MATCH($O111,Items!$A$2:$A$1032,0))</f>
        <v>#N/A</v>
      </c>
      <c r="Q111" t="e">
        <f>INDEX(Items!C$2:C$1032,MATCH($O111,Items!$A$2:$A$1032,0))</f>
        <v>#N/A</v>
      </c>
      <c r="R111" t="e">
        <f>INDEX(Items!D$2:D$1032,MATCH($O111,Items!$A$2:$A$1032,0))</f>
        <v>#N/A</v>
      </c>
    </row>
    <row r="112" spans="1:18" x14ac:dyDescent="0.25">
      <c r="A112">
        <f t="shared" si="7"/>
        <v>1</v>
      </c>
      <c r="B112" t="str">
        <f t="shared" si="8"/>
        <v/>
      </c>
      <c r="C112">
        <f t="shared" si="10"/>
        <v>1</v>
      </c>
      <c r="D112" s="4"/>
      <c r="E112" t="s">
        <v>18</v>
      </c>
      <c r="F112" t="str">
        <f>INDEX(Establishment!B$2:B$1005,MATCH($E112,Establishment!$A$2:$A$1005,0))</f>
        <v xml:space="preserve"> </v>
      </c>
      <c r="G112" t="str">
        <f>INDEX(Establishment!C$2:C$1005,MATCH($E112,Establishment!$A$2:$A$1005,0))</f>
        <v xml:space="preserve"> </v>
      </c>
      <c r="M112">
        <f t="shared" si="11"/>
        <v>0</v>
      </c>
      <c r="N112">
        <f t="shared" si="9"/>
        <v>0</v>
      </c>
      <c r="P112" t="e">
        <f>INDEX(Items!B$2:B$1032,MATCH($O112,Items!$A$2:$A$1032,0))</f>
        <v>#N/A</v>
      </c>
      <c r="Q112" t="e">
        <f>INDEX(Items!C$2:C$1032,MATCH($O112,Items!$A$2:$A$1032,0))</f>
        <v>#N/A</v>
      </c>
      <c r="R112" t="e">
        <f>INDEX(Items!D$2:D$1032,MATCH($O112,Items!$A$2:$A$1032,0))</f>
        <v>#N/A</v>
      </c>
    </row>
    <row r="113" spans="1:18" x14ac:dyDescent="0.25">
      <c r="A113">
        <f t="shared" si="7"/>
        <v>1</v>
      </c>
      <c r="B113" t="str">
        <f t="shared" si="8"/>
        <v/>
      </c>
      <c r="C113">
        <f t="shared" si="10"/>
        <v>1</v>
      </c>
      <c r="D113" s="4"/>
      <c r="E113" t="s">
        <v>18</v>
      </c>
      <c r="F113" t="str">
        <f>INDEX(Establishment!B$2:B$1005,MATCH($E113,Establishment!$A$2:$A$1005,0))</f>
        <v xml:space="preserve"> </v>
      </c>
      <c r="G113" t="str">
        <f>INDEX(Establishment!C$2:C$1005,MATCH($E113,Establishment!$A$2:$A$1005,0))</f>
        <v xml:space="preserve"> </v>
      </c>
      <c r="M113">
        <f t="shared" si="11"/>
        <v>0</v>
      </c>
      <c r="N113">
        <f t="shared" si="9"/>
        <v>0</v>
      </c>
      <c r="P113" t="e">
        <f>INDEX(Items!B$2:B$1032,MATCH($O113,Items!$A$2:$A$1032,0))</f>
        <v>#N/A</v>
      </c>
      <c r="Q113" t="e">
        <f>INDEX(Items!C$2:C$1032,MATCH($O113,Items!$A$2:$A$1032,0))</f>
        <v>#N/A</v>
      </c>
      <c r="R113" t="e">
        <f>INDEX(Items!D$2:D$1032,MATCH($O113,Items!$A$2:$A$1032,0))</f>
        <v>#N/A</v>
      </c>
    </row>
    <row r="114" spans="1:18" x14ac:dyDescent="0.25">
      <c r="A114">
        <f t="shared" si="7"/>
        <v>1</v>
      </c>
      <c r="B114" t="str">
        <f t="shared" si="8"/>
        <v/>
      </c>
      <c r="C114">
        <f t="shared" si="10"/>
        <v>1</v>
      </c>
      <c r="D114" s="4"/>
      <c r="E114" t="s">
        <v>18</v>
      </c>
      <c r="F114" t="str">
        <f>INDEX(Establishment!B$2:B$1005,MATCH($E114,Establishment!$A$2:$A$1005,0))</f>
        <v xml:space="preserve"> </v>
      </c>
      <c r="G114" t="str">
        <f>INDEX(Establishment!C$2:C$1005,MATCH($E114,Establishment!$A$2:$A$1005,0))</f>
        <v xml:space="preserve"> </v>
      </c>
      <c r="M114">
        <f t="shared" si="11"/>
        <v>0</v>
      </c>
      <c r="N114">
        <f t="shared" si="9"/>
        <v>0</v>
      </c>
      <c r="P114" t="e">
        <f>INDEX(Items!B$2:B$1032,MATCH($O114,Items!$A$2:$A$1032,0))</f>
        <v>#N/A</v>
      </c>
      <c r="Q114" t="e">
        <f>INDEX(Items!C$2:C$1032,MATCH($O114,Items!$A$2:$A$1032,0))</f>
        <v>#N/A</v>
      </c>
      <c r="R114" t="e">
        <f>INDEX(Items!D$2:D$1032,MATCH($O114,Items!$A$2:$A$1032,0))</f>
        <v>#N/A</v>
      </c>
    </row>
    <row r="115" spans="1:18" x14ac:dyDescent="0.25">
      <c r="A115">
        <f t="shared" si="7"/>
        <v>1</v>
      </c>
      <c r="B115" t="str">
        <f t="shared" si="8"/>
        <v/>
      </c>
      <c r="C115">
        <f t="shared" si="10"/>
        <v>1</v>
      </c>
      <c r="D115" s="4"/>
      <c r="E115" t="s">
        <v>18</v>
      </c>
      <c r="F115" t="str">
        <f>INDEX(Establishment!B$2:B$1005,MATCH($E115,Establishment!$A$2:$A$1005,0))</f>
        <v xml:space="preserve"> </v>
      </c>
      <c r="G115" t="str">
        <f>INDEX(Establishment!C$2:C$1005,MATCH($E115,Establishment!$A$2:$A$1005,0))</f>
        <v xml:space="preserve"> </v>
      </c>
      <c r="M115">
        <f t="shared" si="11"/>
        <v>0</v>
      </c>
      <c r="N115">
        <f t="shared" si="9"/>
        <v>0</v>
      </c>
      <c r="P115" t="e">
        <f>INDEX(Items!B$2:B$1032,MATCH($O115,Items!$A$2:$A$1032,0))</f>
        <v>#N/A</v>
      </c>
      <c r="Q115" t="e">
        <f>INDEX(Items!C$2:C$1032,MATCH($O115,Items!$A$2:$A$1032,0))</f>
        <v>#N/A</v>
      </c>
      <c r="R115" t="e">
        <f>INDEX(Items!D$2:D$1032,MATCH($O115,Items!$A$2:$A$1032,0))</f>
        <v>#N/A</v>
      </c>
    </row>
    <row r="116" spans="1:18" x14ac:dyDescent="0.25">
      <c r="A116">
        <f t="shared" si="7"/>
        <v>1</v>
      </c>
      <c r="B116" t="str">
        <f t="shared" si="8"/>
        <v/>
      </c>
      <c r="C116">
        <f t="shared" si="10"/>
        <v>1</v>
      </c>
      <c r="D116" s="4"/>
      <c r="E116" t="s">
        <v>18</v>
      </c>
      <c r="F116" t="str">
        <f>INDEX(Establishment!B$2:B$1005,MATCH($E116,Establishment!$A$2:$A$1005,0))</f>
        <v xml:space="preserve"> </v>
      </c>
      <c r="G116" t="str">
        <f>INDEX(Establishment!C$2:C$1005,MATCH($E116,Establishment!$A$2:$A$1005,0))</f>
        <v xml:space="preserve"> </v>
      </c>
      <c r="M116">
        <f t="shared" si="11"/>
        <v>0</v>
      </c>
      <c r="N116">
        <f t="shared" si="9"/>
        <v>0</v>
      </c>
      <c r="P116" t="e">
        <f>INDEX(Items!B$2:B$1032,MATCH($O116,Items!$A$2:$A$1032,0))</f>
        <v>#N/A</v>
      </c>
      <c r="Q116" t="e">
        <f>INDEX(Items!C$2:C$1032,MATCH($O116,Items!$A$2:$A$1032,0))</f>
        <v>#N/A</v>
      </c>
      <c r="R116" t="e">
        <f>INDEX(Items!D$2:D$1032,MATCH($O116,Items!$A$2:$A$1032,0))</f>
        <v>#N/A</v>
      </c>
    </row>
    <row r="117" spans="1:18" x14ac:dyDescent="0.25">
      <c r="A117">
        <f t="shared" si="7"/>
        <v>1</v>
      </c>
      <c r="B117" t="str">
        <f t="shared" si="8"/>
        <v/>
      </c>
      <c r="C117">
        <f t="shared" si="10"/>
        <v>1</v>
      </c>
      <c r="D117" s="4"/>
      <c r="E117" t="s">
        <v>18</v>
      </c>
      <c r="F117" t="str">
        <f>INDEX(Establishment!B$2:B$1005,MATCH($E117,Establishment!$A$2:$A$1005,0))</f>
        <v xml:space="preserve"> </v>
      </c>
      <c r="G117" t="str">
        <f>INDEX(Establishment!C$2:C$1005,MATCH($E117,Establishment!$A$2:$A$1005,0))</f>
        <v xml:space="preserve"> </v>
      </c>
      <c r="M117">
        <f t="shared" si="11"/>
        <v>0</v>
      </c>
      <c r="N117">
        <f t="shared" si="9"/>
        <v>0</v>
      </c>
      <c r="P117" t="e">
        <f>INDEX(Items!B$2:B$1032,MATCH($O117,Items!$A$2:$A$1032,0))</f>
        <v>#N/A</v>
      </c>
      <c r="Q117" t="e">
        <f>INDEX(Items!C$2:C$1032,MATCH($O117,Items!$A$2:$A$1032,0))</f>
        <v>#N/A</v>
      </c>
      <c r="R117" t="e">
        <f>INDEX(Items!D$2:D$1032,MATCH($O117,Items!$A$2:$A$1032,0))</f>
        <v>#N/A</v>
      </c>
    </row>
    <row r="118" spans="1:18" x14ac:dyDescent="0.25">
      <c r="A118">
        <f t="shared" si="7"/>
        <v>1</v>
      </c>
      <c r="B118" t="str">
        <f t="shared" si="8"/>
        <v/>
      </c>
      <c r="C118">
        <f t="shared" si="10"/>
        <v>1</v>
      </c>
      <c r="D118" s="4"/>
      <c r="E118" t="s">
        <v>18</v>
      </c>
      <c r="F118" t="str">
        <f>INDEX(Establishment!B$2:B$1005,MATCH($E118,Establishment!$A$2:$A$1005,0))</f>
        <v xml:space="preserve"> </v>
      </c>
      <c r="G118" t="str">
        <f>INDEX(Establishment!C$2:C$1005,MATCH($E118,Establishment!$A$2:$A$1005,0))</f>
        <v xml:space="preserve"> </v>
      </c>
      <c r="M118">
        <f t="shared" si="11"/>
        <v>0</v>
      </c>
      <c r="N118">
        <f t="shared" si="9"/>
        <v>0</v>
      </c>
      <c r="P118" t="e">
        <f>INDEX(Items!B$2:B$1032,MATCH($O118,Items!$A$2:$A$1032,0))</f>
        <v>#N/A</v>
      </c>
      <c r="Q118" t="e">
        <f>INDEX(Items!C$2:C$1032,MATCH($O118,Items!$A$2:$A$1032,0))</f>
        <v>#N/A</v>
      </c>
      <c r="R118" t="e">
        <f>INDEX(Items!D$2:D$1032,MATCH($O118,Items!$A$2:$A$1032,0))</f>
        <v>#N/A</v>
      </c>
    </row>
    <row r="119" spans="1:18" x14ac:dyDescent="0.25">
      <c r="A119">
        <f t="shared" si="7"/>
        <v>1</v>
      </c>
      <c r="B119" t="str">
        <f t="shared" si="8"/>
        <v/>
      </c>
      <c r="C119">
        <f t="shared" si="10"/>
        <v>1</v>
      </c>
      <c r="D119" s="4"/>
      <c r="E119" t="s">
        <v>18</v>
      </c>
      <c r="F119" t="str">
        <f>INDEX(Establishment!B$2:B$1005,MATCH($E119,Establishment!$A$2:$A$1005,0))</f>
        <v xml:space="preserve"> </v>
      </c>
      <c r="G119" t="str">
        <f>INDEX(Establishment!C$2:C$1005,MATCH($E119,Establishment!$A$2:$A$1005,0))</f>
        <v xml:space="preserve"> </v>
      </c>
      <c r="M119">
        <f t="shared" si="11"/>
        <v>0</v>
      </c>
      <c r="N119">
        <f t="shared" si="9"/>
        <v>0</v>
      </c>
      <c r="P119" t="e">
        <f>INDEX(Items!B$2:B$1032,MATCH($O119,Items!$A$2:$A$1032,0))</f>
        <v>#N/A</v>
      </c>
      <c r="Q119" t="e">
        <f>INDEX(Items!C$2:C$1032,MATCH($O119,Items!$A$2:$A$1032,0))</f>
        <v>#N/A</v>
      </c>
      <c r="R119" t="e">
        <f>INDEX(Items!D$2:D$1032,MATCH($O119,Items!$A$2:$A$1032,0))</f>
        <v>#N/A</v>
      </c>
    </row>
    <row r="120" spans="1:18" x14ac:dyDescent="0.25">
      <c r="A120">
        <f t="shared" si="7"/>
        <v>1</v>
      </c>
      <c r="B120" t="str">
        <f t="shared" si="8"/>
        <v/>
      </c>
      <c r="C120">
        <f t="shared" si="10"/>
        <v>1</v>
      </c>
      <c r="D120" s="4"/>
      <c r="E120" t="s">
        <v>18</v>
      </c>
      <c r="F120" t="str">
        <f>INDEX(Establishment!B$2:B$1005,MATCH($E120,Establishment!$A$2:$A$1005,0))</f>
        <v xml:space="preserve"> </v>
      </c>
      <c r="G120" t="str">
        <f>INDEX(Establishment!C$2:C$1005,MATCH($E120,Establishment!$A$2:$A$1005,0))</f>
        <v xml:space="preserve"> </v>
      </c>
      <c r="M120">
        <f t="shared" si="11"/>
        <v>0</v>
      </c>
      <c r="N120">
        <f t="shared" si="9"/>
        <v>0</v>
      </c>
      <c r="P120" t="e">
        <f>INDEX(Items!B$2:B$1032,MATCH($O120,Items!$A$2:$A$1032,0))</f>
        <v>#N/A</v>
      </c>
      <c r="Q120" t="e">
        <f>INDEX(Items!C$2:C$1032,MATCH($O120,Items!$A$2:$A$1032,0))</f>
        <v>#N/A</v>
      </c>
      <c r="R120" t="e">
        <f>INDEX(Items!D$2:D$1032,MATCH($O120,Items!$A$2:$A$1032,0))</f>
        <v>#N/A</v>
      </c>
    </row>
    <row r="121" spans="1:18" x14ac:dyDescent="0.25">
      <c r="A121">
        <f t="shared" si="7"/>
        <v>1</v>
      </c>
      <c r="B121" t="str">
        <f t="shared" si="8"/>
        <v/>
      </c>
      <c r="C121">
        <f t="shared" si="10"/>
        <v>1</v>
      </c>
      <c r="D121" s="4"/>
      <c r="E121" t="s">
        <v>18</v>
      </c>
      <c r="F121" t="str">
        <f>INDEX(Establishment!B$2:B$1005,MATCH($E121,Establishment!$A$2:$A$1005,0))</f>
        <v xml:space="preserve"> </v>
      </c>
      <c r="G121" t="str">
        <f>INDEX(Establishment!C$2:C$1005,MATCH($E121,Establishment!$A$2:$A$1005,0))</f>
        <v xml:space="preserve"> </v>
      </c>
      <c r="M121">
        <f t="shared" si="11"/>
        <v>0</v>
      </c>
      <c r="N121">
        <f t="shared" si="9"/>
        <v>0</v>
      </c>
      <c r="P121" t="e">
        <f>INDEX(Items!B$2:B$1032,MATCH($O121,Items!$A$2:$A$1032,0))</f>
        <v>#N/A</v>
      </c>
      <c r="Q121" t="e">
        <f>INDEX(Items!C$2:C$1032,MATCH($O121,Items!$A$2:$A$1032,0))</f>
        <v>#N/A</v>
      </c>
      <c r="R121" t="e">
        <f>INDEX(Items!D$2:D$1032,MATCH($O121,Items!$A$2:$A$1032,0))</f>
        <v>#N/A</v>
      </c>
    </row>
    <row r="122" spans="1:18" x14ac:dyDescent="0.25">
      <c r="A122">
        <f t="shared" si="7"/>
        <v>1</v>
      </c>
      <c r="B122" t="str">
        <f t="shared" si="8"/>
        <v/>
      </c>
      <c r="C122">
        <f t="shared" si="10"/>
        <v>1</v>
      </c>
      <c r="D122" s="4"/>
      <c r="E122" t="s">
        <v>18</v>
      </c>
      <c r="F122" t="str">
        <f>INDEX(Establishment!B$2:B$1005,MATCH($E122,Establishment!$A$2:$A$1005,0))</f>
        <v xml:space="preserve"> </v>
      </c>
      <c r="G122" t="str">
        <f>INDEX(Establishment!C$2:C$1005,MATCH($E122,Establishment!$A$2:$A$1005,0))</f>
        <v xml:space="preserve"> </v>
      </c>
      <c r="M122">
        <f t="shared" si="11"/>
        <v>0</v>
      </c>
      <c r="N122">
        <f t="shared" si="9"/>
        <v>0</v>
      </c>
      <c r="P122" t="e">
        <f>INDEX(Items!B$2:B$1032,MATCH($O122,Items!$A$2:$A$1032,0))</f>
        <v>#N/A</v>
      </c>
      <c r="Q122" t="e">
        <f>INDEX(Items!C$2:C$1032,MATCH($O122,Items!$A$2:$A$1032,0))</f>
        <v>#N/A</v>
      </c>
      <c r="R122" t="e">
        <f>INDEX(Items!D$2:D$1032,MATCH($O122,Items!$A$2:$A$1032,0))</f>
        <v>#N/A</v>
      </c>
    </row>
    <row r="123" spans="1:18" x14ac:dyDescent="0.25">
      <c r="A123">
        <f t="shared" si="7"/>
        <v>1</v>
      </c>
      <c r="B123" t="str">
        <f t="shared" si="8"/>
        <v/>
      </c>
      <c r="C123">
        <f t="shared" si="10"/>
        <v>1</v>
      </c>
      <c r="D123" s="4"/>
      <c r="E123" t="s">
        <v>18</v>
      </c>
      <c r="F123" t="str">
        <f>INDEX(Establishment!B$2:B$1005,MATCH($E123,Establishment!$A$2:$A$1005,0))</f>
        <v xml:space="preserve"> </v>
      </c>
      <c r="G123" t="str">
        <f>INDEX(Establishment!C$2:C$1005,MATCH($E123,Establishment!$A$2:$A$1005,0))</f>
        <v xml:space="preserve"> </v>
      </c>
      <c r="M123">
        <f t="shared" si="11"/>
        <v>0</v>
      </c>
      <c r="N123">
        <f t="shared" si="9"/>
        <v>0</v>
      </c>
      <c r="P123" t="e">
        <f>INDEX(Items!B$2:B$1032,MATCH($O123,Items!$A$2:$A$1032,0))</f>
        <v>#N/A</v>
      </c>
      <c r="Q123" t="e">
        <f>INDEX(Items!C$2:C$1032,MATCH($O123,Items!$A$2:$A$1032,0))</f>
        <v>#N/A</v>
      </c>
      <c r="R123" t="e">
        <f>INDEX(Items!D$2:D$1032,MATCH($O123,Items!$A$2:$A$1032,0))</f>
        <v>#N/A</v>
      </c>
    </row>
    <row r="124" spans="1:18" x14ac:dyDescent="0.25">
      <c r="A124">
        <f t="shared" si="7"/>
        <v>1</v>
      </c>
      <c r="B124" t="str">
        <f t="shared" si="8"/>
        <v/>
      </c>
      <c r="C124">
        <f t="shared" si="10"/>
        <v>1</v>
      </c>
      <c r="D124" s="4"/>
      <c r="E124" t="s">
        <v>18</v>
      </c>
      <c r="F124" t="str">
        <f>INDEX(Establishment!B$2:B$1005,MATCH($E124,Establishment!$A$2:$A$1005,0))</f>
        <v xml:space="preserve"> </v>
      </c>
      <c r="G124" t="str">
        <f>INDEX(Establishment!C$2:C$1005,MATCH($E124,Establishment!$A$2:$A$1005,0))</f>
        <v xml:space="preserve"> </v>
      </c>
      <c r="M124">
        <f t="shared" si="11"/>
        <v>0</v>
      </c>
      <c r="N124">
        <f t="shared" si="9"/>
        <v>0</v>
      </c>
      <c r="P124" t="e">
        <f>INDEX(Items!B$2:B$1032,MATCH($O124,Items!$A$2:$A$1032,0))</f>
        <v>#N/A</v>
      </c>
      <c r="Q124" t="e">
        <f>INDEX(Items!C$2:C$1032,MATCH($O124,Items!$A$2:$A$1032,0))</f>
        <v>#N/A</v>
      </c>
      <c r="R124" t="e">
        <f>INDEX(Items!D$2:D$1032,MATCH($O124,Items!$A$2:$A$1032,0))</f>
        <v>#N/A</v>
      </c>
    </row>
    <row r="125" spans="1:18" x14ac:dyDescent="0.25">
      <c r="A125">
        <f t="shared" si="7"/>
        <v>1</v>
      </c>
      <c r="B125" t="str">
        <f t="shared" si="8"/>
        <v/>
      </c>
      <c r="C125">
        <f t="shared" si="10"/>
        <v>1</v>
      </c>
      <c r="D125" s="4"/>
      <c r="E125" t="s">
        <v>18</v>
      </c>
      <c r="F125" t="str">
        <f>INDEX(Establishment!B$2:B$1005,MATCH($E125,Establishment!$A$2:$A$1005,0))</f>
        <v xml:space="preserve"> </v>
      </c>
      <c r="G125" t="str">
        <f>INDEX(Establishment!C$2:C$1005,MATCH($E125,Establishment!$A$2:$A$1005,0))</f>
        <v xml:space="preserve"> </v>
      </c>
      <c r="M125">
        <f t="shared" si="11"/>
        <v>0</v>
      </c>
      <c r="N125">
        <f t="shared" si="9"/>
        <v>0</v>
      </c>
      <c r="P125" t="e">
        <f>INDEX(Items!B$2:B$1032,MATCH($O125,Items!$A$2:$A$1032,0))</f>
        <v>#N/A</v>
      </c>
      <c r="Q125" t="e">
        <f>INDEX(Items!C$2:C$1032,MATCH($O125,Items!$A$2:$A$1032,0))</f>
        <v>#N/A</v>
      </c>
      <c r="R125" t="e">
        <f>INDEX(Items!D$2:D$1032,MATCH($O125,Items!$A$2:$A$1032,0))</f>
        <v>#N/A</v>
      </c>
    </row>
    <row r="126" spans="1:18" x14ac:dyDescent="0.25">
      <c r="A126">
        <f t="shared" si="7"/>
        <v>1</v>
      </c>
      <c r="B126" t="str">
        <f t="shared" si="8"/>
        <v/>
      </c>
      <c r="C126">
        <f t="shared" si="10"/>
        <v>1</v>
      </c>
      <c r="D126" s="4"/>
      <c r="E126" t="s">
        <v>18</v>
      </c>
      <c r="F126" t="str">
        <f>INDEX(Establishment!B$2:B$1005,MATCH($E126,Establishment!$A$2:$A$1005,0))</f>
        <v xml:space="preserve"> </v>
      </c>
      <c r="G126" t="str">
        <f>INDEX(Establishment!C$2:C$1005,MATCH($E126,Establishment!$A$2:$A$1005,0))</f>
        <v xml:space="preserve"> </v>
      </c>
      <c r="M126">
        <f t="shared" si="11"/>
        <v>0</v>
      </c>
      <c r="N126">
        <f t="shared" si="9"/>
        <v>0</v>
      </c>
      <c r="P126" t="e">
        <f>INDEX(Items!B$2:B$1032,MATCH($O126,Items!$A$2:$A$1032,0))</f>
        <v>#N/A</v>
      </c>
      <c r="Q126" t="e">
        <f>INDEX(Items!C$2:C$1032,MATCH($O126,Items!$A$2:$A$1032,0))</f>
        <v>#N/A</v>
      </c>
      <c r="R126" t="e">
        <f>INDEX(Items!D$2:D$1032,MATCH($O126,Items!$A$2:$A$1032,0))</f>
        <v>#N/A</v>
      </c>
    </row>
    <row r="127" spans="1:18" x14ac:dyDescent="0.25">
      <c r="A127">
        <f t="shared" si="7"/>
        <v>1</v>
      </c>
      <c r="B127" t="str">
        <f t="shared" si="8"/>
        <v/>
      </c>
      <c r="C127">
        <f t="shared" si="10"/>
        <v>1</v>
      </c>
      <c r="D127" s="4"/>
      <c r="E127" t="s">
        <v>18</v>
      </c>
      <c r="F127" t="str">
        <f>INDEX(Establishment!B$2:B$1005,MATCH($E127,Establishment!$A$2:$A$1005,0))</f>
        <v xml:space="preserve"> </v>
      </c>
      <c r="G127" t="str">
        <f>INDEX(Establishment!C$2:C$1005,MATCH($E127,Establishment!$A$2:$A$1005,0))</f>
        <v xml:space="preserve"> </v>
      </c>
      <c r="M127">
        <f t="shared" si="11"/>
        <v>0</v>
      </c>
      <c r="N127">
        <f t="shared" si="9"/>
        <v>0</v>
      </c>
      <c r="P127" t="e">
        <f>INDEX(Items!B$2:B$1032,MATCH($O127,Items!$A$2:$A$1032,0))</f>
        <v>#N/A</v>
      </c>
      <c r="Q127" t="e">
        <f>INDEX(Items!C$2:C$1032,MATCH($O127,Items!$A$2:$A$1032,0))</f>
        <v>#N/A</v>
      </c>
      <c r="R127" t="e">
        <f>INDEX(Items!D$2:D$1032,MATCH($O127,Items!$A$2:$A$1032,0))</f>
        <v>#N/A</v>
      </c>
    </row>
    <row r="128" spans="1:18" x14ac:dyDescent="0.25">
      <c r="A128">
        <f t="shared" si="7"/>
        <v>1</v>
      </c>
      <c r="B128" t="str">
        <f t="shared" si="8"/>
        <v/>
      </c>
      <c r="C128">
        <f t="shared" si="10"/>
        <v>1</v>
      </c>
      <c r="D128" s="4"/>
      <c r="E128" t="s">
        <v>18</v>
      </c>
      <c r="F128" t="str">
        <f>INDEX(Establishment!B$2:B$1005,MATCH($E128,Establishment!$A$2:$A$1005,0))</f>
        <v xml:space="preserve"> </v>
      </c>
      <c r="G128" t="str">
        <f>INDEX(Establishment!C$2:C$1005,MATCH($E128,Establishment!$A$2:$A$1005,0))</f>
        <v xml:space="preserve"> </v>
      </c>
      <c r="M128">
        <f t="shared" si="11"/>
        <v>0</v>
      </c>
      <c r="N128">
        <f t="shared" si="9"/>
        <v>0</v>
      </c>
      <c r="P128" t="e">
        <f>INDEX(Items!B$2:B$1032,MATCH($O128,Items!$A$2:$A$1032,0))</f>
        <v>#N/A</v>
      </c>
      <c r="Q128" t="e">
        <f>INDEX(Items!C$2:C$1032,MATCH($O128,Items!$A$2:$A$1032,0))</f>
        <v>#N/A</v>
      </c>
      <c r="R128" t="e">
        <f>INDEX(Items!D$2:D$1032,MATCH($O128,Items!$A$2:$A$1032,0))</f>
        <v>#N/A</v>
      </c>
    </row>
    <row r="129" spans="1:18" x14ac:dyDescent="0.25">
      <c r="A129">
        <f t="shared" si="7"/>
        <v>1</v>
      </c>
      <c r="B129" t="str">
        <f t="shared" si="8"/>
        <v/>
      </c>
      <c r="C129">
        <f t="shared" si="10"/>
        <v>1</v>
      </c>
      <c r="D129" s="4"/>
      <c r="E129" t="s">
        <v>18</v>
      </c>
      <c r="F129" t="str">
        <f>INDEX(Establishment!B$2:B$1005,MATCH($E129,Establishment!$A$2:$A$1005,0))</f>
        <v xml:space="preserve"> </v>
      </c>
      <c r="G129" t="str">
        <f>INDEX(Establishment!C$2:C$1005,MATCH($E129,Establishment!$A$2:$A$1005,0))</f>
        <v xml:space="preserve"> </v>
      </c>
      <c r="M129">
        <f t="shared" si="11"/>
        <v>0</v>
      </c>
      <c r="N129">
        <f t="shared" si="9"/>
        <v>0</v>
      </c>
      <c r="P129" t="e">
        <f>INDEX(Items!B$2:B$1032,MATCH($O129,Items!$A$2:$A$1032,0))</f>
        <v>#N/A</v>
      </c>
      <c r="Q129" t="e">
        <f>INDEX(Items!C$2:C$1032,MATCH($O129,Items!$A$2:$A$1032,0))</f>
        <v>#N/A</v>
      </c>
      <c r="R129" t="e">
        <f>INDEX(Items!D$2:D$1032,MATCH($O129,Items!$A$2:$A$1032,0))</f>
        <v>#N/A</v>
      </c>
    </row>
    <row r="130" spans="1:18" x14ac:dyDescent="0.25">
      <c r="A130">
        <f t="shared" ref="A130:A193" si="12">IF(OR(D130&lt;&gt;D129,D130=""),1,IF(NOT(AND(E130=E129,F130=F129,G130=G129)),A129+1,IF(OR(H130="",AND(H130&lt;&gt;"",H130&lt;&gt;H129,H129&lt;&gt;"")),A129,A129+1)))</f>
        <v>1</v>
      </c>
      <c r="B130" t="str">
        <f t="shared" ref="B130:B193" si="13">IF(D130&lt;&gt;"",TEXT(D130,"YYYYMMDD")&amp;CHAR(64+A130),"")</f>
        <v/>
      </c>
      <c r="C130">
        <f t="shared" si="10"/>
        <v>1</v>
      </c>
      <c r="D130" s="4"/>
      <c r="E130" t="s">
        <v>18</v>
      </c>
      <c r="F130" t="str">
        <f>INDEX(Establishment!B$2:B$1005,MATCH($E130,Establishment!$A$2:$A$1005,0))</f>
        <v xml:space="preserve"> </v>
      </c>
      <c r="G130" t="str">
        <f>INDEX(Establishment!C$2:C$1005,MATCH($E130,Establishment!$A$2:$A$1005,0))</f>
        <v xml:space="preserve"> </v>
      </c>
      <c r="M130">
        <f t="shared" si="11"/>
        <v>0</v>
      </c>
      <c r="N130">
        <f t="shared" si="9"/>
        <v>0</v>
      </c>
      <c r="P130" t="e">
        <f>INDEX(Items!B$2:B$1032,MATCH($O130,Items!$A$2:$A$1032,0))</f>
        <v>#N/A</v>
      </c>
      <c r="Q130" t="e">
        <f>INDEX(Items!C$2:C$1032,MATCH($O130,Items!$A$2:$A$1032,0))</f>
        <v>#N/A</v>
      </c>
      <c r="R130" t="e">
        <f>INDEX(Items!D$2:D$1032,MATCH($O130,Items!$A$2:$A$1032,0))</f>
        <v>#N/A</v>
      </c>
    </row>
    <row r="131" spans="1:18" x14ac:dyDescent="0.25">
      <c r="A131">
        <f t="shared" si="12"/>
        <v>1</v>
      </c>
      <c r="B131" t="str">
        <f t="shared" si="13"/>
        <v/>
      </c>
      <c r="C131">
        <f t="shared" si="10"/>
        <v>1</v>
      </c>
      <c r="D131" s="4"/>
      <c r="E131" t="s">
        <v>18</v>
      </c>
      <c r="F131" t="str">
        <f>INDEX(Establishment!B$2:B$1005,MATCH($E131,Establishment!$A$2:$A$1005,0))</f>
        <v xml:space="preserve"> </v>
      </c>
      <c r="G131" t="str">
        <f>INDEX(Establishment!C$2:C$1005,MATCH($E131,Establishment!$A$2:$A$1005,0))</f>
        <v xml:space="preserve"> </v>
      </c>
      <c r="M131">
        <f t="shared" si="11"/>
        <v>0</v>
      </c>
      <c r="N131">
        <f t="shared" ref="N131:N194" si="14">IF(B131=B130,N130+M131,M131)</f>
        <v>0</v>
      </c>
      <c r="P131" t="e">
        <f>INDEX(Items!B$2:B$1032,MATCH($O131,Items!$A$2:$A$1032,0))</f>
        <v>#N/A</v>
      </c>
      <c r="Q131" t="e">
        <f>INDEX(Items!C$2:C$1032,MATCH($O131,Items!$A$2:$A$1032,0))</f>
        <v>#N/A</v>
      </c>
      <c r="R131" t="e">
        <f>INDEX(Items!D$2:D$1032,MATCH($O131,Items!$A$2:$A$1032,0))</f>
        <v>#N/A</v>
      </c>
    </row>
    <row r="132" spans="1:18" x14ac:dyDescent="0.25">
      <c r="A132">
        <f t="shared" si="12"/>
        <v>1</v>
      </c>
      <c r="B132" t="str">
        <f t="shared" si="13"/>
        <v/>
      </c>
      <c r="C132">
        <f t="shared" si="10"/>
        <v>1</v>
      </c>
      <c r="D132" s="4"/>
      <c r="E132" t="s">
        <v>18</v>
      </c>
      <c r="F132" t="str">
        <f>INDEX(Establishment!B$2:B$1005,MATCH($E132,Establishment!$A$2:$A$1005,0))</f>
        <v xml:space="preserve"> </v>
      </c>
      <c r="G132" t="str">
        <f>INDEX(Establishment!C$2:C$1005,MATCH($E132,Establishment!$A$2:$A$1005,0))</f>
        <v xml:space="preserve"> </v>
      </c>
      <c r="M132">
        <f t="shared" si="11"/>
        <v>0</v>
      </c>
      <c r="N132">
        <f t="shared" si="14"/>
        <v>0</v>
      </c>
      <c r="P132" t="e">
        <f>INDEX(Items!B$2:B$1032,MATCH($O132,Items!$A$2:$A$1032,0))</f>
        <v>#N/A</v>
      </c>
      <c r="Q132" t="e">
        <f>INDEX(Items!C$2:C$1032,MATCH($O132,Items!$A$2:$A$1032,0))</f>
        <v>#N/A</v>
      </c>
      <c r="R132" t="e">
        <f>INDEX(Items!D$2:D$1032,MATCH($O132,Items!$A$2:$A$1032,0))</f>
        <v>#N/A</v>
      </c>
    </row>
    <row r="133" spans="1:18" x14ac:dyDescent="0.25">
      <c r="A133">
        <f t="shared" si="12"/>
        <v>1</v>
      </c>
      <c r="B133" t="str">
        <f t="shared" si="13"/>
        <v/>
      </c>
      <c r="C133">
        <f t="shared" si="10"/>
        <v>1</v>
      </c>
      <c r="D133" s="4"/>
      <c r="E133" t="s">
        <v>18</v>
      </c>
      <c r="F133" t="str">
        <f>INDEX(Establishment!B$2:B$1005,MATCH($E133,Establishment!$A$2:$A$1005,0))</f>
        <v xml:space="preserve"> </v>
      </c>
      <c r="G133" t="str">
        <f>INDEX(Establishment!C$2:C$1005,MATCH($E133,Establishment!$A$2:$A$1005,0))</f>
        <v xml:space="preserve"> </v>
      </c>
      <c r="M133">
        <f t="shared" si="11"/>
        <v>0</v>
      </c>
      <c r="N133">
        <f t="shared" si="14"/>
        <v>0</v>
      </c>
      <c r="P133" t="e">
        <f>INDEX(Items!B$2:B$1032,MATCH($O133,Items!$A$2:$A$1032,0))</f>
        <v>#N/A</v>
      </c>
      <c r="Q133" t="e">
        <f>INDEX(Items!C$2:C$1032,MATCH($O133,Items!$A$2:$A$1032,0))</f>
        <v>#N/A</v>
      </c>
      <c r="R133" t="e">
        <f>INDEX(Items!D$2:D$1032,MATCH($O133,Items!$A$2:$A$1032,0))</f>
        <v>#N/A</v>
      </c>
    </row>
    <row r="134" spans="1:18" x14ac:dyDescent="0.25">
      <c r="A134">
        <f t="shared" si="12"/>
        <v>1</v>
      </c>
      <c r="B134" t="str">
        <f t="shared" si="13"/>
        <v/>
      </c>
      <c r="C134">
        <f t="shared" si="10"/>
        <v>1</v>
      </c>
      <c r="D134" s="4"/>
      <c r="E134" t="s">
        <v>18</v>
      </c>
      <c r="F134" t="str">
        <f>INDEX(Establishment!B$2:B$1005,MATCH($E134,Establishment!$A$2:$A$1005,0))</f>
        <v xml:space="preserve"> </v>
      </c>
      <c r="G134" t="str">
        <f>INDEX(Establishment!C$2:C$1005,MATCH($E134,Establishment!$A$2:$A$1005,0))</f>
        <v xml:space="preserve"> </v>
      </c>
      <c r="M134">
        <f t="shared" si="11"/>
        <v>0</v>
      </c>
      <c r="N134">
        <f t="shared" si="14"/>
        <v>0</v>
      </c>
      <c r="P134" t="e">
        <f>INDEX(Items!B$2:B$1032,MATCH($O134,Items!$A$2:$A$1032,0))</f>
        <v>#N/A</v>
      </c>
      <c r="Q134" t="e">
        <f>INDEX(Items!C$2:C$1032,MATCH($O134,Items!$A$2:$A$1032,0))</f>
        <v>#N/A</v>
      </c>
      <c r="R134" t="e">
        <f>INDEX(Items!D$2:D$1032,MATCH($O134,Items!$A$2:$A$1032,0))</f>
        <v>#N/A</v>
      </c>
    </row>
    <row r="135" spans="1:18" x14ac:dyDescent="0.25">
      <c r="A135">
        <f t="shared" si="12"/>
        <v>1</v>
      </c>
      <c r="B135" t="str">
        <f t="shared" si="13"/>
        <v/>
      </c>
      <c r="C135">
        <f t="shared" si="10"/>
        <v>1</v>
      </c>
      <c r="D135" s="4"/>
      <c r="E135" t="s">
        <v>18</v>
      </c>
      <c r="F135" t="str">
        <f>INDEX(Establishment!B$2:B$1005,MATCH($E135,Establishment!$A$2:$A$1005,0))</f>
        <v xml:space="preserve"> </v>
      </c>
      <c r="G135" t="str">
        <f>INDEX(Establishment!C$2:C$1005,MATCH($E135,Establishment!$A$2:$A$1005,0))</f>
        <v xml:space="preserve"> </v>
      </c>
      <c r="M135">
        <f t="shared" si="11"/>
        <v>0</v>
      </c>
      <c r="N135">
        <f t="shared" si="14"/>
        <v>0</v>
      </c>
      <c r="P135" t="e">
        <f>INDEX(Items!B$2:B$1032,MATCH($O135,Items!$A$2:$A$1032,0))</f>
        <v>#N/A</v>
      </c>
      <c r="Q135" t="e">
        <f>INDEX(Items!C$2:C$1032,MATCH($O135,Items!$A$2:$A$1032,0))</f>
        <v>#N/A</v>
      </c>
      <c r="R135" t="e">
        <f>INDEX(Items!D$2:D$1032,MATCH($O135,Items!$A$2:$A$1032,0))</f>
        <v>#N/A</v>
      </c>
    </row>
    <row r="136" spans="1:18" x14ac:dyDescent="0.25">
      <c r="A136">
        <f t="shared" si="12"/>
        <v>1</v>
      </c>
      <c r="B136" t="str">
        <f t="shared" si="13"/>
        <v/>
      </c>
      <c r="C136">
        <f t="shared" si="10"/>
        <v>1</v>
      </c>
      <c r="D136" s="4"/>
      <c r="E136" t="s">
        <v>18</v>
      </c>
      <c r="F136" t="str">
        <f>INDEX(Establishment!B$2:B$1005,MATCH($E136,Establishment!$A$2:$A$1005,0))</f>
        <v xml:space="preserve"> </v>
      </c>
      <c r="G136" t="str">
        <f>INDEX(Establishment!C$2:C$1005,MATCH($E136,Establishment!$A$2:$A$1005,0))</f>
        <v xml:space="preserve"> </v>
      </c>
      <c r="M136">
        <f t="shared" si="11"/>
        <v>0</v>
      </c>
      <c r="N136">
        <f t="shared" si="14"/>
        <v>0</v>
      </c>
      <c r="P136" t="e">
        <f>INDEX(Items!B$2:B$1032,MATCH($O136,Items!$A$2:$A$1032,0))</f>
        <v>#N/A</v>
      </c>
      <c r="Q136" t="e">
        <f>INDEX(Items!C$2:C$1032,MATCH($O136,Items!$A$2:$A$1032,0))</f>
        <v>#N/A</v>
      </c>
      <c r="R136" t="e">
        <f>INDEX(Items!D$2:D$1032,MATCH($O136,Items!$A$2:$A$1032,0))</f>
        <v>#N/A</v>
      </c>
    </row>
    <row r="137" spans="1:18" x14ac:dyDescent="0.25">
      <c r="A137">
        <f t="shared" si="12"/>
        <v>1</v>
      </c>
      <c r="B137" t="str">
        <f t="shared" si="13"/>
        <v/>
      </c>
      <c r="C137">
        <f t="shared" si="10"/>
        <v>1</v>
      </c>
      <c r="D137" s="4"/>
      <c r="E137" t="s">
        <v>18</v>
      </c>
      <c r="F137" t="str">
        <f>INDEX(Establishment!B$2:B$1005,MATCH($E137,Establishment!$A$2:$A$1005,0))</f>
        <v xml:space="preserve"> </v>
      </c>
      <c r="G137" t="str">
        <f>INDEX(Establishment!C$2:C$1005,MATCH($E137,Establishment!$A$2:$A$1005,0))</f>
        <v xml:space="preserve"> </v>
      </c>
      <c r="M137">
        <f t="shared" si="11"/>
        <v>0</v>
      </c>
      <c r="N137">
        <f t="shared" si="14"/>
        <v>0</v>
      </c>
      <c r="P137" t="e">
        <f>INDEX(Items!B$2:B$1032,MATCH($O137,Items!$A$2:$A$1032,0))</f>
        <v>#N/A</v>
      </c>
      <c r="Q137" t="e">
        <f>INDEX(Items!C$2:C$1032,MATCH($O137,Items!$A$2:$A$1032,0))</f>
        <v>#N/A</v>
      </c>
      <c r="R137" t="e">
        <f>INDEX(Items!D$2:D$1032,MATCH($O137,Items!$A$2:$A$1032,0))</f>
        <v>#N/A</v>
      </c>
    </row>
    <row r="138" spans="1:18" x14ac:dyDescent="0.25">
      <c r="A138">
        <f t="shared" si="12"/>
        <v>1</v>
      </c>
      <c r="B138" t="str">
        <f t="shared" si="13"/>
        <v/>
      </c>
      <c r="C138">
        <f t="shared" ref="C138:C201" si="15">IF(OR(B138="",B138&lt;&gt;B137),1,C137+1)</f>
        <v>1</v>
      </c>
      <c r="D138" s="4"/>
      <c r="E138" t="s">
        <v>18</v>
      </c>
      <c r="F138" t="str">
        <f>INDEX(Establishment!B$2:B$1005,MATCH($E138,Establishment!$A$2:$A$1005,0))</f>
        <v xml:space="preserve"> </v>
      </c>
      <c r="G138" t="str">
        <f>INDEX(Establishment!C$2:C$1005,MATCH($E138,Establishment!$A$2:$A$1005,0))</f>
        <v xml:space="preserve"> </v>
      </c>
      <c r="M138">
        <f t="shared" ref="M138:M201" si="16">K138*L138</f>
        <v>0</v>
      </c>
      <c r="N138">
        <f t="shared" si="14"/>
        <v>0</v>
      </c>
      <c r="P138" t="e">
        <f>INDEX(Items!B$2:B$1032,MATCH($O138,Items!$A$2:$A$1032,0))</f>
        <v>#N/A</v>
      </c>
      <c r="Q138" t="e">
        <f>INDEX(Items!C$2:C$1032,MATCH($O138,Items!$A$2:$A$1032,0))</f>
        <v>#N/A</v>
      </c>
      <c r="R138" t="e">
        <f>INDEX(Items!D$2:D$1032,MATCH($O138,Items!$A$2:$A$1032,0))</f>
        <v>#N/A</v>
      </c>
    </row>
    <row r="139" spans="1:18" x14ac:dyDescent="0.25">
      <c r="A139">
        <f t="shared" si="12"/>
        <v>1</v>
      </c>
      <c r="B139" t="str">
        <f t="shared" si="13"/>
        <v/>
      </c>
      <c r="C139">
        <f t="shared" si="15"/>
        <v>1</v>
      </c>
      <c r="D139" s="4"/>
      <c r="E139" t="s">
        <v>18</v>
      </c>
      <c r="F139" t="str">
        <f>INDEX(Establishment!B$2:B$1005,MATCH($E139,Establishment!$A$2:$A$1005,0))</f>
        <v xml:space="preserve"> </v>
      </c>
      <c r="G139" t="str">
        <f>INDEX(Establishment!C$2:C$1005,MATCH($E139,Establishment!$A$2:$A$1005,0))</f>
        <v xml:space="preserve"> </v>
      </c>
      <c r="M139">
        <f t="shared" si="16"/>
        <v>0</v>
      </c>
      <c r="N139">
        <f t="shared" si="14"/>
        <v>0</v>
      </c>
      <c r="P139" t="e">
        <f>INDEX(Items!B$2:B$1032,MATCH($O139,Items!$A$2:$A$1032,0))</f>
        <v>#N/A</v>
      </c>
      <c r="Q139" t="e">
        <f>INDEX(Items!C$2:C$1032,MATCH($O139,Items!$A$2:$A$1032,0))</f>
        <v>#N/A</v>
      </c>
      <c r="R139" t="e">
        <f>INDEX(Items!D$2:D$1032,MATCH($O139,Items!$A$2:$A$1032,0))</f>
        <v>#N/A</v>
      </c>
    </row>
    <row r="140" spans="1:18" x14ac:dyDescent="0.25">
      <c r="A140">
        <f t="shared" si="12"/>
        <v>1</v>
      </c>
      <c r="B140" t="str">
        <f t="shared" si="13"/>
        <v/>
      </c>
      <c r="C140">
        <f t="shared" si="15"/>
        <v>1</v>
      </c>
      <c r="D140" s="4"/>
      <c r="E140" t="s">
        <v>18</v>
      </c>
      <c r="F140" t="str">
        <f>INDEX(Establishment!B$2:B$1005,MATCH($E140,Establishment!$A$2:$A$1005,0))</f>
        <v xml:space="preserve"> </v>
      </c>
      <c r="G140" t="str">
        <f>INDEX(Establishment!C$2:C$1005,MATCH($E140,Establishment!$A$2:$A$1005,0))</f>
        <v xml:space="preserve"> </v>
      </c>
      <c r="M140">
        <f t="shared" si="16"/>
        <v>0</v>
      </c>
      <c r="N140">
        <f t="shared" si="14"/>
        <v>0</v>
      </c>
      <c r="P140" t="e">
        <f>INDEX(Items!B$2:B$1032,MATCH($O140,Items!$A$2:$A$1032,0))</f>
        <v>#N/A</v>
      </c>
      <c r="Q140" t="e">
        <f>INDEX(Items!C$2:C$1032,MATCH($O140,Items!$A$2:$A$1032,0))</f>
        <v>#N/A</v>
      </c>
      <c r="R140" t="e">
        <f>INDEX(Items!D$2:D$1032,MATCH($O140,Items!$A$2:$A$1032,0))</f>
        <v>#N/A</v>
      </c>
    </row>
    <row r="141" spans="1:18" x14ac:dyDescent="0.25">
      <c r="A141">
        <f t="shared" si="12"/>
        <v>1</v>
      </c>
      <c r="B141" t="str">
        <f t="shared" si="13"/>
        <v/>
      </c>
      <c r="C141">
        <f t="shared" si="15"/>
        <v>1</v>
      </c>
      <c r="D141" s="4"/>
      <c r="E141" t="s">
        <v>18</v>
      </c>
      <c r="F141" t="str">
        <f>INDEX(Establishment!B$2:B$1005,MATCH($E141,Establishment!$A$2:$A$1005,0))</f>
        <v xml:space="preserve"> </v>
      </c>
      <c r="G141" t="str">
        <f>INDEX(Establishment!C$2:C$1005,MATCH($E141,Establishment!$A$2:$A$1005,0))</f>
        <v xml:space="preserve"> </v>
      </c>
      <c r="M141">
        <f t="shared" si="16"/>
        <v>0</v>
      </c>
      <c r="N141">
        <f t="shared" si="14"/>
        <v>0</v>
      </c>
      <c r="P141" t="e">
        <f>INDEX(Items!B$2:B$1032,MATCH($O141,Items!$A$2:$A$1032,0))</f>
        <v>#N/A</v>
      </c>
      <c r="Q141" t="e">
        <f>INDEX(Items!C$2:C$1032,MATCH($O141,Items!$A$2:$A$1032,0))</f>
        <v>#N/A</v>
      </c>
      <c r="R141" t="e">
        <f>INDEX(Items!D$2:D$1032,MATCH($O141,Items!$A$2:$A$1032,0))</f>
        <v>#N/A</v>
      </c>
    </row>
    <row r="142" spans="1:18" x14ac:dyDescent="0.25">
      <c r="A142">
        <f t="shared" si="12"/>
        <v>1</v>
      </c>
      <c r="B142" t="str">
        <f t="shared" si="13"/>
        <v/>
      </c>
      <c r="C142">
        <f t="shared" si="15"/>
        <v>1</v>
      </c>
      <c r="D142" s="4"/>
      <c r="E142" t="s">
        <v>18</v>
      </c>
      <c r="F142" t="str">
        <f>INDEX(Establishment!B$2:B$1005,MATCH($E142,Establishment!$A$2:$A$1005,0))</f>
        <v xml:space="preserve"> </v>
      </c>
      <c r="G142" t="str">
        <f>INDEX(Establishment!C$2:C$1005,MATCH($E142,Establishment!$A$2:$A$1005,0))</f>
        <v xml:space="preserve"> </v>
      </c>
      <c r="M142">
        <f t="shared" si="16"/>
        <v>0</v>
      </c>
      <c r="N142">
        <f t="shared" si="14"/>
        <v>0</v>
      </c>
      <c r="P142" t="e">
        <f>INDEX(Items!B$2:B$1032,MATCH($O142,Items!$A$2:$A$1032,0))</f>
        <v>#N/A</v>
      </c>
      <c r="Q142" t="e">
        <f>INDEX(Items!C$2:C$1032,MATCH($O142,Items!$A$2:$A$1032,0))</f>
        <v>#N/A</v>
      </c>
      <c r="R142" t="e">
        <f>INDEX(Items!D$2:D$1032,MATCH($O142,Items!$A$2:$A$1032,0))</f>
        <v>#N/A</v>
      </c>
    </row>
    <row r="143" spans="1:18" x14ac:dyDescent="0.25">
      <c r="A143">
        <f t="shared" si="12"/>
        <v>1</v>
      </c>
      <c r="B143" t="str">
        <f t="shared" si="13"/>
        <v/>
      </c>
      <c r="C143">
        <f t="shared" si="15"/>
        <v>1</v>
      </c>
      <c r="D143" s="4"/>
      <c r="E143" t="s">
        <v>18</v>
      </c>
      <c r="F143" t="str">
        <f>INDEX(Establishment!B$2:B$1005,MATCH($E143,Establishment!$A$2:$A$1005,0))</f>
        <v xml:space="preserve"> </v>
      </c>
      <c r="G143" t="str">
        <f>INDEX(Establishment!C$2:C$1005,MATCH($E143,Establishment!$A$2:$A$1005,0))</f>
        <v xml:space="preserve"> </v>
      </c>
      <c r="M143">
        <f t="shared" si="16"/>
        <v>0</v>
      </c>
      <c r="N143">
        <f t="shared" si="14"/>
        <v>0</v>
      </c>
      <c r="P143" t="e">
        <f>INDEX(Items!B$2:B$1032,MATCH($O143,Items!$A$2:$A$1032,0))</f>
        <v>#N/A</v>
      </c>
      <c r="Q143" t="e">
        <f>INDEX(Items!C$2:C$1032,MATCH($O143,Items!$A$2:$A$1032,0))</f>
        <v>#N/A</v>
      </c>
      <c r="R143" t="e">
        <f>INDEX(Items!D$2:D$1032,MATCH($O143,Items!$A$2:$A$1032,0))</f>
        <v>#N/A</v>
      </c>
    </row>
    <row r="144" spans="1:18" x14ac:dyDescent="0.25">
      <c r="A144">
        <f t="shared" si="12"/>
        <v>1</v>
      </c>
      <c r="B144" t="str">
        <f t="shared" si="13"/>
        <v/>
      </c>
      <c r="C144">
        <f t="shared" si="15"/>
        <v>1</v>
      </c>
      <c r="D144" s="4"/>
      <c r="E144" t="s">
        <v>18</v>
      </c>
      <c r="F144" t="str">
        <f>INDEX(Establishment!B$2:B$1005,MATCH($E144,Establishment!$A$2:$A$1005,0))</f>
        <v xml:space="preserve"> </v>
      </c>
      <c r="G144" t="str">
        <f>INDEX(Establishment!C$2:C$1005,MATCH($E144,Establishment!$A$2:$A$1005,0))</f>
        <v xml:space="preserve"> </v>
      </c>
      <c r="M144">
        <f t="shared" si="16"/>
        <v>0</v>
      </c>
      <c r="N144">
        <f t="shared" si="14"/>
        <v>0</v>
      </c>
      <c r="P144" t="e">
        <f>INDEX(Items!B$2:B$1032,MATCH($O144,Items!$A$2:$A$1032,0))</f>
        <v>#N/A</v>
      </c>
      <c r="Q144" t="e">
        <f>INDEX(Items!C$2:C$1032,MATCH($O144,Items!$A$2:$A$1032,0))</f>
        <v>#N/A</v>
      </c>
      <c r="R144" t="e">
        <f>INDEX(Items!D$2:D$1032,MATCH($O144,Items!$A$2:$A$1032,0))</f>
        <v>#N/A</v>
      </c>
    </row>
    <row r="145" spans="1:18" x14ac:dyDescent="0.25">
      <c r="A145">
        <f t="shared" si="12"/>
        <v>1</v>
      </c>
      <c r="B145" t="str">
        <f t="shared" si="13"/>
        <v/>
      </c>
      <c r="C145">
        <f t="shared" si="15"/>
        <v>1</v>
      </c>
      <c r="D145" s="4"/>
      <c r="E145" t="s">
        <v>18</v>
      </c>
      <c r="F145" t="str">
        <f>INDEX(Establishment!B$2:B$1005,MATCH($E145,Establishment!$A$2:$A$1005,0))</f>
        <v xml:space="preserve"> </v>
      </c>
      <c r="G145" t="str">
        <f>INDEX(Establishment!C$2:C$1005,MATCH($E145,Establishment!$A$2:$A$1005,0))</f>
        <v xml:space="preserve"> </v>
      </c>
      <c r="M145">
        <f t="shared" si="16"/>
        <v>0</v>
      </c>
      <c r="N145">
        <f t="shared" si="14"/>
        <v>0</v>
      </c>
      <c r="P145" t="e">
        <f>INDEX(Items!B$2:B$1032,MATCH($O145,Items!$A$2:$A$1032,0))</f>
        <v>#N/A</v>
      </c>
      <c r="Q145" t="e">
        <f>INDEX(Items!C$2:C$1032,MATCH($O145,Items!$A$2:$A$1032,0))</f>
        <v>#N/A</v>
      </c>
      <c r="R145" t="e">
        <f>INDEX(Items!D$2:D$1032,MATCH($O145,Items!$A$2:$A$1032,0))</f>
        <v>#N/A</v>
      </c>
    </row>
    <row r="146" spans="1:18" x14ac:dyDescent="0.25">
      <c r="A146">
        <f t="shared" si="12"/>
        <v>1</v>
      </c>
      <c r="B146" t="str">
        <f t="shared" si="13"/>
        <v/>
      </c>
      <c r="C146">
        <f t="shared" si="15"/>
        <v>1</v>
      </c>
      <c r="D146" s="4"/>
      <c r="E146" t="s">
        <v>18</v>
      </c>
      <c r="F146" t="str">
        <f>INDEX(Establishment!B$2:B$1005,MATCH($E146,Establishment!$A$2:$A$1005,0))</f>
        <v xml:space="preserve"> </v>
      </c>
      <c r="G146" t="str">
        <f>INDEX(Establishment!C$2:C$1005,MATCH($E146,Establishment!$A$2:$A$1005,0))</f>
        <v xml:space="preserve"> </v>
      </c>
      <c r="M146">
        <f t="shared" si="16"/>
        <v>0</v>
      </c>
      <c r="N146">
        <f t="shared" si="14"/>
        <v>0</v>
      </c>
      <c r="P146" t="e">
        <f>INDEX(Items!B$2:B$1032,MATCH($O146,Items!$A$2:$A$1032,0))</f>
        <v>#N/A</v>
      </c>
      <c r="Q146" t="e">
        <f>INDEX(Items!C$2:C$1032,MATCH($O146,Items!$A$2:$A$1032,0))</f>
        <v>#N/A</v>
      </c>
      <c r="R146" t="e">
        <f>INDEX(Items!D$2:D$1032,MATCH($O146,Items!$A$2:$A$1032,0))</f>
        <v>#N/A</v>
      </c>
    </row>
    <row r="147" spans="1:18" x14ac:dyDescent="0.25">
      <c r="A147">
        <f t="shared" si="12"/>
        <v>1</v>
      </c>
      <c r="B147" t="str">
        <f t="shared" si="13"/>
        <v/>
      </c>
      <c r="C147">
        <f t="shared" si="15"/>
        <v>1</v>
      </c>
      <c r="D147" s="4"/>
      <c r="E147" t="s">
        <v>18</v>
      </c>
      <c r="F147" t="str">
        <f>INDEX(Establishment!B$2:B$1005,MATCH($E147,Establishment!$A$2:$A$1005,0))</f>
        <v xml:space="preserve"> </v>
      </c>
      <c r="G147" t="str">
        <f>INDEX(Establishment!C$2:C$1005,MATCH($E147,Establishment!$A$2:$A$1005,0))</f>
        <v xml:space="preserve"> </v>
      </c>
      <c r="M147">
        <f t="shared" si="16"/>
        <v>0</v>
      </c>
      <c r="N147">
        <f t="shared" si="14"/>
        <v>0</v>
      </c>
      <c r="P147" t="e">
        <f>INDEX(Items!B$2:B$1032,MATCH($O147,Items!$A$2:$A$1032,0))</f>
        <v>#N/A</v>
      </c>
      <c r="Q147" t="e">
        <f>INDEX(Items!C$2:C$1032,MATCH($O147,Items!$A$2:$A$1032,0))</f>
        <v>#N/A</v>
      </c>
      <c r="R147" t="e">
        <f>INDEX(Items!D$2:D$1032,MATCH($O147,Items!$A$2:$A$1032,0))</f>
        <v>#N/A</v>
      </c>
    </row>
    <row r="148" spans="1:18" x14ac:dyDescent="0.25">
      <c r="A148">
        <f t="shared" si="12"/>
        <v>1</v>
      </c>
      <c r="B148" t="str">
        <f t="shared" si="13"/>
        <v/>
      </c>
      <c r="C148">
        <f t="shared" si="15"/>
        <v>1</v>
      </c>
      <c r="D148" s="4"/>
      <c r="E148" t="s">
        <v>18</v>
      </c>
      <c r="F148" t="str">
        <f>INDEX(Establishment!B$2:B$1005,MATCH($E148,Establishment!$A$2:$A$1005,0))</f>
        <v xml:space="preserve"> </v>
      </c>
      <c r="G148" t="str">
        <f>INDEX(Establishment!C$2:C$1005,MATCH($E148,Establishment!$A$2:$A$1005,0))</f>
        <v xml:space="preserve"> </v>
      </c>
      <c r="M148">
        <f t="shared" si="16"/>
        <v>0</v>
      </c>
      <c r="N148">
        <f t="shared" si="14"/>
        <v>0</v>
      </c>
      <c r="P148" t="e">
        <f>INDEX(Items!B$2:B$1032,MATCH($O148,Items!$A$2:$A$1032,0))</f>
        <v>#N/A</v>
      </c>
      <c r="Q148" t="e">
        <f>INDEX(Items!C$2:C$1032,MATCH($O148,Items!$A$2:$A$1032,0))</f>
        <v>#N/A</v>
      </c>
      <c r="R148" t="e">
        <f>INDEX(Items!D$2:D$1032,MATCH($O148,Items!$A$2:$A$1032,0))</f>
        <v>#N/A</v>
      </c>
    </row>
    <row r="149" spans="1:18" x14ac:dyDescent="0.25">
      <c r="A149">
        <f t="shared" si="12"/>
        <v>1</v>
      </c>
      <c r="B149" t="str">
        <f t="shared" si="13"/>
        <v/>
      </c>
      <c r="C149">
        <f t="shared" si="15"/>
        <v>1</v>
      </c>
      <c r="D149" s="4"/>
      <c r="E149" t="s">
        <v>18</v>
      </c>
      <c r="F149" t="str">
        <f>INDEX(Establishment!B$2:B$1005,MATCH($E149,Establishment!$A$2:$A$1005,0))</f>
        <v xml:space="preserve"> </v>
      </c>
      <c r="G149" t="str">
        <f>INDEX(Establishment!C$2:C$1005,MATCH($E149,Establishment!$A$2:$A$1005,0))</f>
        <v xml:space="preserve"> </v>
      </c>
      <c r="M149">
        <f t="shared" si="16"/>
        <v>0</v>
      </c>
      <c r="N149">
        <f t="shared" si="14"/>
        <v>0</v>
      </c>
      <c r="P149" t="e">
        <f>INDEX(Items!B$2:B$1032,MATCH($O149,Items!$A$2:$A$1032,0))</f>
        <v>#N/A</v>
      </c>
      <c r="Q149" t="e">
        <f>INDEX(Items!C$2:C$1032,MATCH($O149,Items!$A$2:$A$1032,0))</f>
        <v>#N/A</v>
      </c>
      <c r="R149" t="e">
        <f>INDEX(Items!D$2:D$1032,MATCH($O149,Items!$A$2:$A$1032,0))</f>
        <v>#N/A</v>
      </c>
    </row>
    <row r="150" spans="1:18" x14ac:dyDescent="0.25">
      <c r="A150">
        <f t="shared" si="12"/>
        <v>1</v>
      </c>
      <c r="B150" t="str">
        <f t="shared" si="13"/>
        <v/>
      </c>
      <c r="C150">
        <f t="shared" si="15"/>
        <v>1</v>
      </c>
      <c r="D150" s="4"/>
      <c r="E150" t="s">
        <v>18</v>
      </c>
      <c r="F150" t="str">
        <f>INDEX(Establishment!B$2:B$1005,MATCH($E150,Establishment!$A$2:$A$1005,0))</f>
        <v xml:space="preserve"> </v>
      </c>
      <c r="G150" t="str">
        <f>INDEX(Establishment!C$2:C$1005,MATCH($E150,Establishment!$A$2:$A$1005,0))</f>
        <v xml:space="preserve"> </v>
      </c>
      <c r="M150">
        <f t="shared" si="16"/>
        <v>0</v>
      </c>
      <c r="N150">
        <f t="shared" si="14"/>
        <v>0</v>
      </c>
      <c r="P150" t="e">
        <f>INDEX(Items!B$2:B$1032,MATCH($O150,Items!$A$2:$A$1032,0))</f>
        <v>#N/A</v>
      </c>
      <c r="Q150" t="e">
        <f>INDEX(Items!C$2:C$1032,MATCH($O150,Items!$A$2:$A$1032,0))</f>
        <v>#N/A</v>
      </c>
      <c r="R150" t="e">
        <f>INDEX(Items!D$2:D$1032,MATCH($O150,Items!$A$2:$A$1032,0))</f>
        <v>#N/A</v>
      </c>
    </row>
    <row r="151" spans="1:18" x14ac:dyDescent="0.25">
      <c r="A151">
        <f t="shared" si="12"/>
        <v>1</v>
      </c>
      <c r="B151" t="str">
        <f t="shared" si="13"/>
        <v/>
      </c>
      <c r="C151">
        <f t="shared" si="15"/>
        <v>1</v>
      </c>
      <c r="D151" s="4"/>
      <c r="E151" t="s">
        <v>18</v>
      </c>
      <c r="F151" t="str">
        <f>INDEX(Establishment!B$2:B$1005,MATCH($E151,Establishment!$A$2:$A$1005,0))</f>
        <v xml:space="preserve"> </v>
      </c>
      <c r="G151" t="str">
        <f>INDEX(Establishment!C$2:C$1005,MATCH($E151,Establishment!$A$2:$A$1005,0))</f>
        <v xml:space="preserve"> </v>
      </c>
      <c r="M151">
        <f t="shared" si="16"/>
        <v>0</v>
      </c>
      <c r="N151">
        <f t="shared" si="14"/>
        <v>0</v>
      </c>
      <c r="P151" t="e">
        <f>INDEX(Items!B$2:B$1032,MATCH($O151,Items!$A$2:$A$1032,0))</f>
        <v>#N/A</v>
      </c>
      <c r="Q151" t="e">
        <f>INDEX(Items!C$2:C$1032,MATCH($O151,Items!$A$2:$A$1032,0))</f>
        <v>#N/A</v>
      </c>
      <c r="R151" t="e">
        <f>INDEX(Items!D$2:D$1032,MATCH($O151,Items!$A$2:$A$1032,0))</f>
        <v>#N/A</v>
      </c>
    </row>
    <row r="152" spans="1:18" x14ac:dyDescent="0.25">
      <c r="A152">
        <f t="shared" si="12"/>
        <v>1</v>
      </c>
      <c r="B152" t="str">
        <f t="shared" si="13"/>
        <v/>
      </c>
      <c r="C152">
        <f t="shared" si="15"/>
        <v>1</v>
      </c>
      <c r="D152" s="4"/>
      <c r="E152" t="s">
        <v>18</v>
      </c>
      <c r="F152" t="str">
        <f>INDEX(Establishment!B$2:B$1005,MATCH($E152,Establishment!$A$2:$A$1005,0))</f>
        <v xml:space="preserve"> </v>
      </c>
      <c r="G152" t="str">
        <f>INDEX(Establishment!C$2:C$1005,MATCH($E152,Establishment!$A$2:$A$1005,0))</f>
        <v xml:space="preserve"> </v>
      </c>
      <c r="M152">
        <f t="shared" si="16"/>
        <v>0</v>
      </c>
      <c r="N152">
        <f t="shared" si="14"/>
        <v>0</v>
      </c>
      <c r="P152" t="e">
        <f>INDEX(Items!B$2:B$1032,MATCH($O152,Items!$A$2:$A$1032,0))</f>
        <v>#N/A</v>
      </c>
      <c r="Q152" t="e">
        <f>INDEX(Items!C$2:C$1032,MATCH($O152,Items!$A$2:$A$1032,0))</f>
        <v>#N/A</v>
      </c>
      <c r="R152" t="e">
        <f>INDEX(Items!D$2:D$1032,MATCH($O152,Items!$A$2:$A$1032,0))</f>
        <v>#N/A</v>
      </c>
    </row>
    <row r="153" spans="1:18" x14ac:dyDescent="0.25">
      <c r="A153">
        <f t="shared" si="12"/>
        <v>1</v>
      </c>
      <c r="B153" t="str">
        <f t="shared" si="13"/>
        <v/>
      </c>
      <c r="C153">
        <f t="shared" si="15"/>
        <v>1</v>
      </c>
      <c r="D153" s="4"/>
      <c r="E153" t="s">
        <v>18</v>
      </c>
      <c r="F153" t="str">
        <f>INDEX(Establishment!B$2:B$1005,MATCH($E153,Establishment!$A$2:$A$1005,0))</f>
        <v xml:space="preserve"> </v>
      </c>
      <c r="G153" t="str">
        <f>INDEX(Establishment!C$2:C$1005,MATCH($E153,Establishment!$A$2:$A$1005,0))</f>
        <v xml:space="preserve"> </v>
      </c>
      <c r="M153">
        <f t="shared" si="16"/>
        <v>0</v>
      </c>
      <c r="N153">
        <f t="shared" si="14"/>
        <v>0</v>
      </c>
      <c r="P153" t="e">
        <f>INDEX(Items!B$2:B$1032,MATCH($O153,Items!$A$2:$A$1032,0))</f>
        <v>#N/A</v>
      </c>
      <c r="Q153" t="e">
        <f>INDEX(Items!C$2:C$1032,MATCH($O153,Items!$A$2:$A$1032,0))</f>
        <v>#N/A</v>
      </c>
      <c r="R153" t="e">
        <f>INDEX(Items!D$2:D$1032,MATCH($O153,Items!$A$2:$A$1032,0))</f>
        <v>#N/A</v>
      </c>
    </row>
    <row r="154" spans="1:18" x14ac:dyDescent="0.25">
      <c r="A154">
        <f t="shared" si="12"/>
        <v>1</v>
      </c>
      <c r="B154" t="str">
        <f t="shared" si="13"/>
        <v/>
      </c>
      <c r="C154">
        <f t="shared" si="15"/>
        <v>1</v>
      </c>
      <c r="D154" s="4"/>
      <c r="E154" t="s">
        <v>18</v>
      </c>
      <c r="F154" t="str">
        <f>INDEX(Establishment!B$2:B$1005,MATCH($E154,Establishment!$A$2:$A$1005,0))</f>
        <v xml:space="preserve"> </v>
      </c>
      <c r="G154" t="str">
        <f>INDEX(Establishment!C$2:C$1005,MATCH($E154,Establishment!$A$2:$A$1005,0))</f>
        <v xml:space="preserve"> </v>
      </c>
      <c r="M154">
        <f t="shared" si="16"/>
        <v>0</v>
      </c>
      <c r="N154">
        <f t="shared" si="14"/>
        <v>0</v>
      </c>
      <c r="P154" t="e">
        <f>INDEX(Items!B$2:B$1032,MATCH($O154,Items!$A$2:$A$1032,0))</f>
        <v>#N/A</v>
      </c>
      <c r="Q154" t="e">
        <f>INDEX(Items!C$2:C$1032,MATCH($O154,Items!$A$2:$A$1032,0))</f>
        <v>#N/A</v>
      </c>
      <c r="R154" t="e">
        <f>INDEX(Items!D$2:D$1032,MATCH($O154,Items!$A$2:$A$1032,0))</f>
        <v>#N/A</v>
      </c>
    </row>
    <row r="155" spans="1:18" x14ac:dyDescent="0.25">
      <c r="A155">
        <f t="shared" si="12"/>
        <v>1</v>
      </c>
      <c r="B155" t="str">
        <f t="shared" si="13"/>
        <v/>
      </c>
      <c r="C155">
        <f t="shared" si="15"/>
        <v>1</v>
      </c>
      <c r="D155" s="4"/>
      <c r="E155" t="s">
        <v>18</v>
      </c>
      <c r="F155" t="str">
        <f>INDEX(Establishment!B$2:B$1005,MATCH($E155,Establishment!$A$2:$A$1005,0))</f>
        <v xml:space="preserve"> </v>
      </c>
      <c r="G155" t="str">
        <f>INDEX(Establishment!C$2:C$1005,MATCH($E155,Establishment!$A$2:$A$1005,0))</f>
        <v xml:space="preserve"> </v>
      </c>
      <c r="M155">
        <f t="shared" si="16"/>
        <v>0</v>
      </c>
      <c r="N155">
        <f t="shared" si="14"/>
        <v>0</v>
      </c>
      <c r="P155" t="e">
        <f>INDEX(Items!B$2:B$1032,MATCH($O155,Items!$A$2:$A$1032,0))</f>
        <v>#N/A</v>
      </c>
      <c r="Q155" t="e">
        <f>INDEX(Items!C$2:C$1032,MATCH($O155,Items!$A$2:$A$1032,0))</f>
        <v>#N/A</v>
      </c>
      <c r="R155" t="e">
        <f>INDEX(Items!D$2:D$1032,MATCH($O155,Items!$A$2:$A$1032,0))</f>
        <v>#N/A</v>
      </c>
    </row>
    <row r="156" spans="1:18" x14ac:dyDescent="0.25">
      <c r="A156">
        <f t="shared" si="12"/>
        <v>1</v>
      </c>
      <c r="B156" t="str">
        <f t="shared" si="13"/>
        <v/>
      </c>
      <c r="C156">
        <f t="shared" si="15"/>
        <v>1</v>
      </c>
      <c r="D156" s="4"/>
      <c r="E156" t="s">
        <v>18</v>
      </c>
      <c r="F156" t="str">
        <f>INDEX(Establishment!B$2:B$1005,MATCH($E156,Establishment!$A$2:$A$1005,0))</f>
        <v xml:space="preserve"> </v>
      </c>
      <c r="G156" t="str">
        <f>INDEX(Establishment!C$2:C$1005,MATCH($E156,Establishment!$A$2:$A$1005,0))</f>
        <v xml:space="preserve"> </v>
      </c>
      <c r="M156">
        <f t="shared" si="16"/>
        <v>0</v>
      </c>
      <c r="N156">
        <f t="shared" si="14"/>
        <v>0</v>
      </c>
      <c r="P156" t="e">
        <f>INDEX(Items!B$2:B$1032,MATCH($O156,Items!$A$2:$A$1032,0))</f>
        <v>#N/A</v>
      </c>
      <c r="Q156" t="e">
        <f>INDEX(Items!C$2:C$1032,MATCH($O156,Items!$A$2:$A$1032,0))</f>
        <v>#N/A</v>
      </c>
      <c r="R156" t="e">
        <f>INDEX(Items!D$2:D$1032,MATCH($O156,Items!$A$2:$A$1032,0))</f>
        <v>#N/A</v>
      </c>
    </row>
    <row r="157" spans="1:18" x14ac:dyDescent="0.25">
      <c r="A157">
        <f t="shared" si="12"/>
        <v>1</v>
      </c>
      <c r="B157" t="str">
        <f t="shared" si="13"/>
        <v/>
      </c>
      <c r="C157">
        <f t="shared" si="15"/>
        <v>1</v>
      </c>
      <c r="D157" s="4"/>
      <c r="E157" t="s">
        <v>18</v>
      </c>
      <c r="F157" t="str">
        <f>INDEX(Establishment!B$2:B$1005,MATCH($E157,Establishment!$A$2:$A$1005,0))</f>
        <v xml:space="preserve"> </v>
      </c>
      <c r="G157" t="str">
        <f>INDEX(Establishment!C$2:C$1005,MATCH($E157,Establishment!$A$2:$A$1005,0))</f>
        <v xml:space="preserve"> </v>
      </c>
      <c r="M157">
        <f t="shared" si="16"/>
        <v>0</v>
      </c>
      <c r="N157">
        <f t="shared" si="14"/>
        <v>0</v>
      </c>
      <c r="P157" t="e">
        <f>INDEX(Items!B$2:B$1032,MATCH($O157,Items!$A$2:$A$1032,0))</f>
        <v>#N/A</v>
      </c>
      <c r="Q157" t="e">
        <f>INDEX(Items!C$2:C$1032,MATCH($O157,Items!$A$2:$A$1032,0))</f>
        <v>#N/A</v>
      </c>
      <c r="R157" t="e">
        <f>INDEX(Items!D$2:D$1032,MATCH($O157,Items!$A$2:$A$1032,0))</f>
        <v>#N/A</v>
      </c>
    </row>
    <row r="158" spans="1:18" x14ac:dyDescent="0.25">
      <c r="A158">
        <f t="shared" si="12"/>
        <v>1</v>
      </c>
      <c r="B158" t="str">
        <f t="shared" si="13"/>
        <v/>
      </c>
      <c r="C158">
        <f t="shared" si="15"/>
        <v>1</v>
      </c>
      <c r="D158" s="4"/>
      <c r="E158" t="s">
        <v>18</v>
      </c>
      <c r="F158" t="str">
        <f>INDEX(Establishment!B$2:B$1005,MATCH($E158,Establishment!$A$2:$A$1005,0))</f>
        <v xml:space="preserve"> </v>
      </c>
      <c r="G158" t="str">
        <f>INDEX(Establishment!C$2:C$1005,MATCH($E158,Establishment!$A$2:$A$1005,0))</f>
        <v xml:space="preserve"> </v>
      </c>
      <c r="M158">
        <f t="shared" si="16"/>
        <v>0</v>
      </c>
      <c r="N158">
        <f t="shared" si="14"/>
        <v>0</v>
      </c>
      <c r="P158" t="e">
        <f>INDEX(Items!B$2:B$1032,MATCH($O158,Items!$A$2:$A$1032,0))</f>
        <v>#N/A</v>
      </c>
      <c r="Q158" t="e">
        <f>INDEX(Items!C$2:C$1032,MATCH($O158,Items!$A$2:$A$1032,0))</f>
        <v>#N/A</v>
      </c>
      <c r="R158" t="e">
        <f>INDEX(Items!D$2:D$1032,MATCH($O158,Items!$A$2:$A$1032,0))</f>
        <v>#N/A</v>
      </c>
    </row>
    <row r="159" spans="1:18" x14ac:dyDescent="0.25">
      <c r="A159">
        <f t="shared" si="12"/>
        <v>1</v>
      </c>
      <c r="B159" t="str">
        <f t="shared" si="13"/>
        <v/>
      </c>
      <c r="C159">
        <f t="shared" si="15"/>
        <v>1</v>
      </c>
      <c r="D159" s="4"/>
      <c r="E159" t="s">
        <v>18</v>
      </c>
      <c r="F159" t="str">
        <f>INDEX(Establishment!B$2:B$1005,MATCH($E159,Establishment!$A$2:$A$1005,0))</f>
        <v xml:space="preserve"> </v>
      </c>
      <c r="G159" t="str">
        <f>INDEX(Establishment!C$2:C$1005,MATCH($E159,Establishment!$A$2:$A$1005,0))</f>
        <v xml:space="preserve"> </v>
      </c>
      <c r="M159">
        <f t="shared" si="16"/>
        <v>0</v>
      </c>
      <c r="N159">
        <f t="shared" si="14"/>
        <v>0</v>
      </c>
      <c r="P159" t="e">
        <f>INDEX(Items!B$2:B$1032,MATCH($O159,Items!$A$2:$A$1032,0))</f>
        <v>#N/A</v>
      </c>
      <c r="Q159" t="e">
        <f>INDEX(Items!C$2:C$1032,MATCH($O159,Items!$A$2:$A$1032,0))</f>
        <v>#N/A</v>
      </c>
      <c r="R159" t="e">
        <f>INDEX(Items!D$2:D$1032,MATCH($O159,Items!$A$2:$A$1032,0))</f>
        <v>#N/A</v>
      </c>
    </row>
    <row r="160" spans="1:18" x14ac:dyDescent="0.25">
      <c r="A160">
        <f t="shared" si="12"/>
        <v>1</v>
      </c>
      <c r="B160" t="str">
        <f t="shared" si="13"/>
        <v/>
      </c>
      <c r="C160">
        <f t="shared" si="15"/>
        <v>1</v>
      </c>
      <c r="D160" s="4"/>
      <c r="E160" t="s">
        <v>18</v>
      </c>
      <c r="F160" t="str">
        <f>INDEX(Establishment!B$2:B$1005,MATCH($E160,Establishment!$A$2:$A$1005,0))</f>
        <v xml:space="preserve"> </v>
      </c>
      <c r="G160" t="str">
        <f>INDEX(Establishment!C$2:C$1005,MATCH($E160,Establishment!$A$2:$A$1005,0))</f>
        <v xml:space="preserve"> </v>
      </c>
      <c r="M160">
        <f t="shared" si="16"/>
        <v>0</v>
      </c>
      <c r="N160">
        <f t="shared" si="14"/>
        <v>0</v>
      </c>
      <c r="P160" t="e">
        <f>INDEX(Items!B$2:B$1032,MATCH($O160,Items!$A$2:$A$1032,0))</f>
        <v>#N/A</v>
      </c>
      <c r="Q160" t="e">
        <f>INDEX(Items!C$2:C$1032,MATCH($O160,Items!$A$2:$A$1032,0))</f>
        <v>#N/A</v>
      </c>
      <c r="R160" t="e">
        <f>INDEX(Items!D$2:D$1032,MATCH($O160,Items!$A$2:$A$1032,0))</f>
        <v>#N/A</v>
      </c>
    </row>
    <row r="161" spans="1:18" x14ac:dyDescent="0.25">
      <c r="A161">
        <f t="shared" si="12"/>
        <v>1</v>
      </c>
      <c r="B161" t="str">
        <f t="shared" si="13"/>
        <v/>
      </c>
      <c r="C161">
        <f t="shared" si="15"/>
        <v>1</v>
      </c>
      <c r="D161" s="4"/>
      <c r="E161" t="s">
        <v>18</v>
      </c>
      <c r="F161" t="str">
        <f>INDEX(Establishment!B$2:B$1005,MATCH($E161,Establishment!$A$2:$A$1005,0))</f>
        <v xml:space="preserve"> </v>
      </c>
      <c r="G161" t="str">
        <f>INDEX(Establishment!C$2:C$1005,MATCH($E161,Establishment!$A$2:$A$1005,0))</f>
        <v xml:space="preserve"> </v>
      </c>
      <c r="M161">
        <f t="shared" si="16"/>
        <v>0</v>
      </c>
      <c r="N161">
        <f t="shared" si="14"/>
        <v>0</v>
      </c>
      <c r="P161" t="e">
        <f>INDEX(Items!B$2:B$1032,MATCH($O161,Items!$A$2:$A$1032,0))</f>
        <v>#N/A</v>
      </c>
      <c r="Q161" t="e">
        <f>INDEX(Items!C$2:C$1032,MATCH($O161,Items!$A$2:$A$1032,0))</f>
        <v>#N/A</v>
      </c>
      <c r="R161" t="e">
        <f>INDEX(Items!D$2:D$1032,MATCH($O161,Items!$A$2:$A$1032,0))</f>
        <v>#N/A</v>
      </c>
    </row>
    <row r="162" spans="1:18" x14ac:dyDescent="0.25">
      <c r="A162">
        <f t="shared" si="12"/>
        <v>1</v>
      </c>
      <c r="B162" t="str">
        <f t="shared" si="13"/>
        <v/>
      </c>
      <c r="C162">
        <f t="shared" si="15"/>
        <v>1</v>
      </c>
      <c r="D162" s="4"/>
      <c r="E162" t="s">
        <v>18</v>
      </c>
      <c r="F162" t="str">
        <f>INDEX(Establishment!B$2:B$1005,MATCH($E162,Establishment!$A$2:$A$1005,0))</f>
        <v xml:space="preserve"> </v>
      </c>
      <c r="G162" t="str">
        <f>INDEX(Establishment!C$2:C$1005,MATCH($E162,Establishment!$A$2:$A$1005,0))</f>
        <v xml:space="preserve"> </v>
      </c>
      <c r="M162">
        <f t="shared" si="16"/>
        <v>0</v>
      </c>
      <c r="N162">
        <f t="shared" si="14"/>
        <v>0</v>
      </c>
      <c r="P162" t="e">
        <f>INDEX(Items!B$2:B$1032,MATCH($O162,Items!$A$2:$A$1032,0))</f>
        <v>#N/A</v>
      </c>
      <c r="Q162" t="e">
        <f>INDEX(Items!C$2:C$1032,MATCH($O162,Items!$A$2:$A$1032,0))</f>
        <v>#N/A</v>
      </c>
      <c r="R162" t="e">
        <f>INDEX(Items!D$2:D$1032,MATCH($O162,Items!$A$2:$A$1032,0))</f>
        <v>#N/A</v>
      </c>
    </row>
    <row r="163" spans="1:18" x14ac:dyDescent="0.25">
      <c r="A163">
        <f t="shared" si="12"/>
        <v>1</v>
      </c>
      <c r="B163" t="str">
        <f t="shared" si="13"/>
        <v/>
      </c>
      <c r="C163">
        <f t="shared" si="15"/>
        <v>1</v>
      </c>
      <c r="D163" s="4"/>
      <c r="E163" t="s">
        <v>18</v>
      </c>
      <c r="F163" t="str">
        <f>INDEX(Establishment!B$2:B$1005,MATCH($E163,Establishment!$A$2:$A$1005,0))</f>
        <v xml:space="preserve"> </v>
      </c>
      <c r="G163" t="str">
        <f>INDEX(Establishment!C$2:C$1005,MATCH($E163,Establishment!$A$2:$A$1005,0))</f>
        <v xml:space="preserve"> </v>
      </c>
      <c r="M163">
        <f t="shared" si="16"/>
        <v>0</v>
      </c>
      <c r="N163">
        <f t="shared" si="14"/>
        <v>0</v>
      </c>
      <c r="P163" t="e">
        <f>INDEX(Items!B$2:B$1032,MATCH($O163,Items!$A$2:$A$1032,0))</f>
        <v>#N/A</v>
      </c>
      <c r="Q163" t="e">
        <f>INDEX(Items!C$2:C$1032,MATCH($O163,Items!$A$2:$A$1032,0))</f>
        <v>#N/A</v>
      </c>
      <c r="R163" t="e">
        <f>INDEX(Items!D$2:D$1032,MATCH($O163,Items!$A$2:$A$1032,0))</f>
        <v>#N/A</v>
      </c>
    </row>
    <row r="164" spans="1:18" x14ac:dyDescent="0.25">
      <c r="A164">
        <f t="shared" si="12"/>
        <v>1</v>
      </c>
      <c r="B164" t="str">
        <f t="shared" si="13"/>
        <v/>
      </c>
      <c r="C164">
        <f t="shared" si="15"/>
        <v>1</v>
      </c>
      <c r="D164" s="4"/>
      <c r="E164" t="s">
        <v>18</v>
      </c>
      <c r="F164" t="str">
        <f>INDEX(Establishment!B$2:B$1005,MATCH($E164,Establishment!$A$2:$A$1005,0))</f>
        <v xml:space="preserve"> </v>
      </c>
      <c r="G164" t="str">
        <f>INDEX(Establishment!C$2:C$1005,MATCH($E164,Establishment!$A$2:$A$1005,0))</f>
        <v xml:space="preserve"> </v>
      </c>
      <c r="M164">
        <f t="shared" si="16"/>
        <v>0</v>
      </c>
      <c r="N164">
        <f t="shared" si="14"/>
        <v>0</v>
      </c>
      <c r="P164" t="e">
        <f>INDEX(Items!B$2:B$1032,MATCH($O164,Items!$A$2:$A$1032,0))</f>
        <v>#N/A</v>
      </c>
      <c r="Q164" t="e">
        <f>INDEX(Items!C$2:C$1032,MATCH($O164,Items!$A$2:$A$1032,0))</f>
        <v>#N/A</v>
      </c>
      <c r="R164" t="e">
        <f>INDEX(Items!D$2:D$1032,MATCH($O164,Items!$A$2:$A$1032,0))</f>
        <v>#N/A</v>
      </c>
    </row>
    <row r="165" spans="1:18" x14ac:dyDescent="0.25">
      <c r="A165">
        <f t="shared" si="12"/>
        <v>1</v>
      </c>
      <c r="B165" t="str">
        <f t="shared" si="13"/>
        <v/>
      </c>
      <c r="C165">
        <f t="shared" si="15"/>
        <v>1</v>
      </c>
      <c r="D165" s="4"/>
      <c r="E165" t="s">
        <v>18</v>
      </c>
      <c r="F165" t="str">
        <f>INDEX(Establishment!B$2:B$1005,MATCH($E165,Establishment!$A$2:$A$1005,0))</f>
        <v xml:space="preserve"> </v>
      </c>
      <c r="G165" t="str">
        <f>INDEX(Establishment!C$2:C$1005,MATCH($E165,Establishment!$A$2:$A$1005,0))</f>
        <v xml:space="preserve"> </v>
      </c>
      <c r="M165">
        <f t="shared" si="16"/>
        <v>0</v>
      </c>
      <c r="N165">
        <f t="shared" si="14"/>
        <v>0</v>
      </c>
      <c r="P165" t="e">
        <f>INDEX(Items!B$2:B$1032,MATCH($O165,Items!$A$2:$A$1032,0))</f>
        <v>#N/A</v>
      </c>
      <c r="Q165" t="e">
        <f>INDEX(Items!C$2:C$1032,MATCH($O165,Items!$A$2:$A$1032,0))</f>
        <v>#N/A</v>
      </c>
      <c r="R165" t="e">
        <f>INDEX(Items!D$2:D$1032,MATCH($O165,Items!$A$2:$A$1032,0))</f>
        <v>#N/A</v>
      </c>
    </row>
    <row r="166" spans="1:18" x14ac:dyDescent="0.25">
      <c r="A166">
        <f t="shared" si="12"/>
        <v>1</v>
      </c>
      <c r="B166" t="str">
        <f t="shared" si="13"/>
        <v/>
      </c>
      <c r="C166">
        <f t="shared" si="15"/>
        <v>1</v>
      </c>
      <c r="D166" s="4"/>
      <c r="E166" t="s">
        <v>18</v>
      </c>
      <c r="F166" t="str">
        <f>INDEX(Establishment!B$2:B$1005,MATCH($E166,Establishment!$A$2:$A$1005,0))</f>
        <v xml:space="preserve"> </v>
      </c>
      <c r="G166" t="str">
        <f>INDEX(Establishment!C$2:C$1005,MATCH($E166,Establishment!$A$2:$A$1005,0))</f>
        <v xml:space="preserve"> </v>
      </c>
      <c r="M166">
        <f t="shared" si="16"/>
        <v>0</v>
      </c>
      <c r="N166">
        <f t="shared" si="14"/>
        <v>0</v>
      </c>
      <c r="P166" t="e">
        <f>INDEX(Items!B$2:B$1032,MATCH($O166,Items!$A$2:$A$1032,0))</f>
        <v>#N/A</v>
      </c>
      <c r="Q166" t="e">
        <f>INDEX(Items!C$2:C$1032,MATCH($O166,Items!$A$2:$A$1032,0))</f>
        <v>#N/A</v>
      </c>
      <c r="R166" t="e">
        <f>INDEX(Items!D$2:D$1032,MATCH($O166,Items!$A$2:$A$1032,0))</f>
        <v>#N/A</v>
      </c>
    </row>
    <row r="167" spans="1:18" x14ac:dyDescent="0.25">
      <c r="A167">
        <f t="shared" si="12"/>
        <v>1</v>
      </c>
      <c r="B167" t="str">
        <f t="shared" si="13"/>
        <v/>
      </c>
      <c r="C167">
        <f t="shared" si="15"/>
        <v>1</v>
      </c>
      <c r="D167" s="4"/>
      <c r="E167" t="s">
        <v>18</v>
      </c>
      <c r="F167" t="str">
        <f>INDEX(Establishment!B$2:B$1005,MATCH($E167,Establishment!$A$2:$A$1005,0))</f>
        <v xml:space="preserve"> </v>
      </c>
      <c r="G167" t="str">
        <f>INDEX(Establishment!C$2:C$1005,MATCH($E167,Establishment!$A$2:$A$1005,0))</f>
        <v xml:space="preserve"> </v>
      </c>
      <c r="M167">
        <f t="shared" si="16"/>
        <v>0</v>
      </c>
      <c r="N167">
        <f t="shared" si="14"/>
        <v>0</v>
      </c>
      <c r="P167" t="e">
        <f>INDEX(Items!B$2:B$1032,MATCH($O167,Items!$A$2:$A$1032,0))</f>
        <v>#N/A</v>
      </c>
      <c r="Q167" t="e">
        <f>INDEX(Items!C$2:C$1032,MATCH($O167,Items!$A$2:$A$1032,0))</f>
        <v>#N/A</v>
      </c>
      <c r="R167" t="e">
        <f>INDEX(Items!D$2:D$1032,MATCH($O167,Items!$A$2:$A$1032,0))</f>
        <v>#N/A</v>
      </c>
    </row>
    <row r="168" spans="1:18" x14ac:dyDescent="0.25">
      <c r="A168">
        <f t="shared" si="12"/>
        <v>1</v>
      </c>
      <c r="B168" t="str">
        <f t="shared" si="13"/>
        <v/>
      </c>
      <c r="C168">
        <f t="shared" si="15"/>
        <v>1</v>
      </c>
      <c r="D168" s="4"/>
      <c r="E168" t="s">
        <v>18</v>
      </c>
      <c r="F168" t="str">
        <f>INDEX(Establishment!B$2:B$1005,MATCH($E168,Establishment!$A$2:$A$1005,0))</f>
        <v xml:space="preserve"> </v>
      </c>
      <c r="G168" t="str">
        <f>INDEX(Establishment!C$2:C$1005,MATCH($E168,Establishment!$A$2:$A$1005,0))</f>
        <v xml:space="preserve"> </v>
      </c>
      <c r="M168">
        <f t="shared" si="16"/>
        <v>0</v>
      </c>
      <c r="N168">
        <f t="shared" si="14"/>
        <v>0</v>
      </c>
      <c r="P168" t="e">
        <f>INDEX(Items!B$2:B$1032,MATCH($O168,Items!$A$2:$A$1032,0))</f>
        <v>#N/A</v>
      </c>
      <c r="Q168" t="e">
        <f>INDEX(Items!C$2:C$1032,MATCH($O168,Items!$A$2:$A$1032,0))</f>
        <v>#N/A</v>
      </c>
      <c r="R168" t="e">
        <f>INDEX(Items!D$2:D$1032,MATCH($O168,Items!$A$2:$A$1032,0))</f>
        <v>#N/A</v>
      </c>
    </row>
    <row r="169" spans="1:18" x14ac:dyDescent="0.25">
      <c r="A169">
        <f t="shared" si="12"/>
        <v>1</v>
      </c>
      <c r="B169" t="str">
        <f t="shared" si="13"/>
        <v/>
      </c>
      <c r="C169">
        <f t="shared" si="15"/>
        <v>1</v>
      </c>
      <c r="D169" s="4"/>
      <c r="E169" t="s">
        <v>18</v>
      </c>
      <c r="F169" t="str">
        <f>INDEX(Establishment!B$2:B$1005,MATCH($E169,Establishment!$A$2:$A$1005,0))</f>
        <v xml:space="preserve"> </v>
      </c>
      <c r="G169" t="str">
        <f>INDEX(Establishment!C$2:C$1005,MATCH($E169,Establishment!$A$2:$A$1005,0))</f>
        <v xml:space="preserve"> </v>
      </c>
      <c r="M169">
        <f t="shared" si="16"/>
        <v>0</v>
      </c>
      <c r="N169">
        <f t="shared" si="14"/>
        <v>0</v>
      </c>
      <c r="P169" t="e">
        <f>INDEX(Items!B$2:B$1032,MATCH($O169,Items!$A$2:$A$1032,0))</f>
        <v>#N/A</v>
      </c>
      <c r="Q169" t="e">
        <f>INDEX(Items!C$2:C$1032,MATCH($O169,Items!$A$2:$A$1032,0))</f>
        <v>#N/A</v>
      </c>
      <c r="R169" t="e">
        <f>INDEX(Items!D$2:D$1032,MATCH($O169,Items!$A$2:$A$1032,0))</f>
        <v>#N/A</v>
      </c>
    </row>
    <row r="170" spans="1:18" x14ac:dyDescent="0.25">
      <c r="A170">
        <f t="shared" si="12"/>
        <v>1</v>
      </c>
      <c r="B170" t="str">
        <f t="shared" si="13"/>
        <v/>
      </c>
      <c r="C170">
        <f t="shared" si="15"/>
        <v>1</v>
      </c>
      <c r="D170" s="4"/>
      <c r="E170" t="s">
        <v>18</v>
      </c>
      <c r="F170" t="str">
        <f>INDEX(Establishment!B$2:B$1005,MATCH($E170,Establishment!$A$2:$A$1005,0))</f>
        <v xml:space="preserve"> </v>
      </c>
      <c r="G170" t="str">
        <f>INDEX(Establishment!C$2:C$1005,MATCH($E170,Establishment!$A$2:$A$1005,0))</f>
        <v xml:space="preserve"> </v>
      </c>
      <c r="M170">
        <f t="shared" si="16"/>
        <v>0</v>
      </c>
      <c r="N170">
        <f t="shared" si="14"/>
        <v>0</v>
      </c>
      <c r="P170" t="e">
        <f>INDEX(Items!B$2:B$1032,MATCH($O170,Items!$A$2:$A$1032,0))</f>
        <v>#N/A</v>
      </c>
      <c r="Q170" t="e">
        <f>INDEX(Items!C$2:C$1032,MATCH($O170,Items!$A$2:$A$1032,0))</f>
        <v>#N/A</v>
      </c>
      <c r="R170" t="e">
        <f>INDEX(Items!D$2:D$1032,MATCH($O170,Items!$A$2:$A$1032,0))</f>
        <v>#N/A</v>
      </c>
    </row>
    <row r="171" spans="1:18" x14ac:dyDescent="0.25">
      <c r="A171">
        <f t="shared" si="12"/>
        <v>1</v>
      </c>
      <c r="B171" t="str">
        <f t="shared" si="13"/>
        <v/>
      </c>
      <c r="C171">
        <f t="shared" si="15"/>
        <v>1</v>
      </c>
      <c r="D171" s="4"/>
      <c r="E171" t="s">
        <v>18</v>
      </c>
      <c r="F171" t="str">
        <f>INDEX(Establishment!B$2:B$1005,MATCH($E171,Establishment!$A$2:$A$1005,0))</f>
        <v xml:space="preserve"> </v>
      </c>
      <c r="G171" t="str">
        <f>INDEX(Establishment!C$2:C$1005,MATCH($E171,Establishment!$A$2:$A$1005,0))</f>
        <v xml:space="preserve"> </v>
      </c>
      <c r="M171">
        <f t="shared" si="16"/>
        <v>0</v>
      </c>
      <c r="N171">
        <f t="shared" si="14"/>
        <v>0</v>
      </c>
      <c r="P171" t="e">
        <f>INDEX(Items!B$2:B$1032,MATCH($O171,Items!$A$2:$A$1032,0))</f>
        <v>#N/A</v>
      </c>
      <c r="Q171" t="e">
        <f>INDEX(Items!C$2:C$1032,MATCH($O171,Items!$A$2:$A$1032,0))</f>
        <v>#N/A</v>
      </c>
      <c r="R171" t="e">
        <f>INDEX(Items!D$2:D$1032,MATCH($O171,Items!$A$2:$A$1032,0))</f>
        <v>#N/A</v>
      </c>
    </row>
    <row r="172" spans="1:18" x14ac:dyDescent="0.25">
      <c r="A172">
        <f t="shared" si="12"/>
        <v>1</v>
      </c>
      <c r="B172" t="str">
        <f t="shared" si="13"/>
        <v/>
      </c>
      <c r="C172">
        <f t="shared" si="15"/>
        <v>1</v>
      </c>
      <c r="D172" s="4"/>
      <c r="E172" t="s">
        <v>18</v>
      </c>
      <c r="F172" t="str">
        <f>INDEX(Establishment!B$2:B$1005,MATCH($E172,Establishment!$A$2:$A$1005,0))</f>
        <v xml:space="preserve"> </v>
      </c>
      <c r="G172" t="str">
        <f>INDEX(Establishment!C$2:C$1005,MATCH($E172,Establishment!$A$2:$A$1005,0))</f>
        <v xml:space="preserve"> </v>
      </c>
      <c r="M172">
        <f t="shared" si="16"/>
        <v>0</v>
      </c>
      <c r="N172">
        <f t="shared" si="14"/>
        <v>0</v>
      </c>
      <c r="P172" t="e">
        <f>INDEX(Items!B$2:B$1032,MATCH($O172,Items!$A$2:$A$1032,0))</f>
        <v>#N/A</v>
      </c>
      <c r="Q172" t="e">
        <f>INDEX(Items!C$2:C$1032,MATCH($O172,Items!$A$2:$A$1032,0))</f>
        <v>#N/A</v>
      </c>
      <c r="R172" t="e">
        <f>INDEX(Items!D$2:D$1032,MATCH($O172,Items!$A$2:$A$1032,0))</f>
        <v>#N/A</v>
      </c>
    </row>
    <row r="173" spans="1:18" x14ac:dyDescent="0.25">
      <c r="A173">
        <f t="shared" si="12"/>
        <v>1</v>
      </c>
      <c r="B173" t="str">
        <f t="shared" si="13"/>
        <v/>
      </c>
      <c r="C173">
        <f t="shared" si="15"/>
        <v>1</v>
      </c>
      <c r="D173" s="4"/>
      <c r="E173" t="s">
        <v>18</v>
      </c>
      <c r="F173" t="str">
        <f>INDEX(Establishment!B$2:B$1005,MATCH($E173,Establishment!$A$2:$A$1005,0))</f>
        <v xml:space="preserve"> </v>
      </c>
      <c r="G173" t="str">
        <f>INDEX(Establishment!C$2:C$1005,MATCH($E173,Establishment!$A$2:$A$1005,0))</f>
        <v xml:space="preserve"> </v>
      </c>
      <c r="M173">
        <f t="shared" si="16"/>
        <v>0</v>
      </c>
      <c r="N173">
        <f t="shared" si="14"/>
        <v>0</v>
      </c>
      <c r="P173" t="e">
        <f>INDEX(Items!B$2:B$1032,MATCH($O173,Items!$A$2:$A$1032,0))</f>
        <v>#N/A</v>
      </c>
      <c r="Q173" t="e">
        <f>INDEX(Items!C$2:C$1032,MATCH($O173,Items!$A$2:$A$1032,0))</f>
        <v>#N/A</v>
      </c>
      <c r="R173" t="e">
        <f>INDEX(Items!D$2:D$1032,MATCH($O173,Items!$A$2:$A$1032,0))</f>
        <v>#N/A</v>
      </c>
    </row>
    <row r="174" spans="1:18" x14ac:dyDescent="0.25">
      <c r="A174">
        <f t="shared" si="12"/>
        <v>1</v>
      </c>
      <c r="B174" t="str">
        <f t="shared" si="13"/>
        <v/>
      </c>
      <c r="C174">
        <f t="shared" si="15"/>
        <v>1</v>
      </c>
      <c r="D174" s="4"/>
      <c r="E174" t="s">
        <v>18</v>
      </c>
      <c r="F174" t="str">
        <f>INDEX(Establishment!B$2:B$1005,MATCH($E174,Establishment!$A$2:$A$1005,0))</f>
        <v xml:space="preserve"> </v>
      </c>
      <c r="G174" t="str">
        <f>INDEX(Establishment!C$2:C$1005,MATCH($E174,Establishment!$A$2:$A$1005,0))</f>
        <v xml:space="preserve"> </v>
      </c>
      <c r="M174">
        <f t="shared" si="16"/>
        <v>0</v>
      </c>
      <c r="N174">
        <f t="shared" si="14"/>
        <v>0</v>
      </c>
      <c r="P174" t="e">
        <f>INDEX(Items!B$2:B$1032,MATCH($O174,Items!$A$2:$A$1032,0))</f>
        <v>#N/A</v>
      </c>
      <c r="Q174" t="e">
        <f>INDEX(Items!C$2:C$1032,MATCH($O174,Items!$A$2:$A$1032,0))</f>
        <v>#N/A</v>
      </c>
      <c r="R174" t="e">
        <f>INDEX(Items!D$2:D$1032,MATCH($O174,Items!$A$2:$A$1032,0))</f>
        <v>#N/A</v>
      </c>
    </row>
    <row r="175" spans="1:18" x14ac:dyDescent="0.25">
      <c r="A175">
        <f t="shared" si="12"/>
        <v>1</v>
      </c>
      <c r="B175" t="str">
        <f t="shared" si="13"/>
        <v/>
      </c>
      <c r="C175">
        <f t="shared" si="15"/>
        <v>1</v>
      </c>
      <c r="D175" s="4"/>
      <c r="E175" t="s">
        <v>18</v>
      </c>
      <c r="F175" t="str">
        <f>INDEX(Establishment!B$2:B$1005,MATCH($E175,Establishment!$A$2:$A$1005,0))</f>
        <v xml:space="preserve"> </v>
      </c>
      <c r="G175" t="str">
        <f>INDEX(Establishment!C$2:C$1005,MATCH($E175,Establishment!$A$2:$A$1005,0))</f>
        <v xml:space="preserve"> </v>
      </c>
      <c r="M175">
        <f t="shared" si="16"/>
        <v>0</v>
      </c>
      <c r="N175">
        <f t="shared" si="14"/>
        <v>0</v>
      </c>
      <c r="P175" t="e">
        <f>INDEX(Items!B$2:B$1032,MATCH($O175,Items!$A$2:$A$1032,0))</f>
        <v>#N/A</v>
      </c>
      <c r="Q175" t="e">
        <f>INDEX(Items!C$2:C$1032,MATCH($O175,Items!$A$2:$A$1032,0))</f>
        <v>#N/A</v>
      </c>
      <c r="R175" t="e">
        <f>INDEX(Items!D$2:D$1032,MATCH($O175,Items!$A$2:$A$1032,0))</f>
        <v>#N/A</v>
      </c>
    </row>
    <row r="176" spans="1:18" x14ac:dyDescent="0.25">
      <c r="A176">
        <f t="shared" si="12"/>
        <v>1</v>
      </c>
      <c r="B176" t="str">
        <f t="shared" si="13"/>
        <v/>
      </c>
      <c r="C176">
        <f t="shared" si="15"/>
        <v>1</v>
      </c>
      <c r="D176" s="4"/>
      <c r="E176" t="s">
        <v>18</v>
      </c>
      <c r="F176" t="str">
        <f>INDEX(Establishment!B$2:B$1005,MATCH($E176,Establishment!$A$2:$A$1005,0))</f>
        <v xml:space="preserve"> </v>
      </c>
      <c r="G176" t="str">
        <f>INDEX(Establishment!C$2:C$1005,MATCH($E176,Establishment!$A$2:$A$1005,0))</f>
        <v xml:space="preserve"> </v>
      </c>
      <c r="M176">
        <f t="shared" si="16"/>
        <v>0</v>
      </c>
      <c r="N176">
        <f t="shared" si="14"/>
        <v>0</v>
      </c>
      <c r="P176" t="e">
        <f>INDEX(Items!B$2:B$1032,MATCH($O176,Items!$A$2:$A$1032,0))</f>
        <v>#N/A</v>
      </c>
      <c r="Q176" t="e">
        <f>INDEX(Items!C$2:C$1032,MATCH($O176,Items!$A$2:$A$1032,0))</f>
        <v>#N/A</v>
      </c>
      <c r="R176" t="e">
        <f>INDEX(Items!D$2:D$1032,MATCH($O176,Items!$A$2:$A$1032,0))</f>
        <v>#N/A</v>
      </c>
    </row>
    <row r="177" spans="1:18" x14ac:dyDescent="0.25">
      <c r="A177">
        <f t="shared" si="12"/>
        <v>1</v>
      </c>
      <c r="B177" t="str">
        <f t="shared" si="13"/>
        <v/>
      </c>
      <c r="C177">
        <f t="shared" si="15"/>
        <v>1</v>
      </c>
      <c r="D177" s="4"/>
      <c r="E177" t="s">
        <v>18</v>
      </c>
      <c r="F177" t="str">
        <f>INDEX(Establishment!B$2:B$1005,MATCH($E177,Establishment!$A$2:$A$1005,0))</f>
        <v xml:space="preserve"> </v>
      </c>
      <c r="G177" t="str">
        <f>INDEX(Establishment!C$2:C$1005,MATCH($E177,Establishment!$A$2:$A$1005,0))</f>
        <v xml:space="preserve"> </v>
      </c>
      <c r="M177">
        <f t="shared" si="16"/>
        <v>0</v>
      </c>
      <c r="N177">
        <f t="shared" si="14"/>
        <v>0</v>
      </c>
      <c r="P177" t="e">
        <f>INDEX(Items!B$2:B$1032,MATCH($O177,Items!$A$2:$A$1032,0))</f>
        <v>#N/A</v>
      </c>
      <c r="Q177" t="e">
        <f>INDEX(Items!C$2:C$1032,MATCH($O177,Items!$A$2:$A$1032,0))</f>
        <v>#N/A</v>
      </c>
      <c r="R177" t="e">
        <f>INDEX(Items!D$2:D$1032,MATCH($O177,Items!$A$2:$A$1032,0))</f>
        <v>#N/A</v>
      </c>
    </row>
    <row r="178" spans="1:18" x14ac:dyDescent="0.25">
      <c r="A178">
        <f t="shared" si="12"/>
        <v>1</v>
      </c>
      <c r="B178" t="str">
        <f t="shared" si="13"/>
        <v/>
      </c>
      <c r="C178">
        <f t="shared" si="15"/>
        <v>1</v>
      </c>
      <c r="D178" s="4"/>
      <c r="E178" t="s">
        <v>18</v>
      </c>
      <c r="F178" t="str">
        <f>INDEX(Establishment!B$2:B$1005,MATCH($E178,Establishment!$A$2:$A$1005,0))</f>
        <v xml:space="preserve"> </v>
      </c>
      <c r="G178" t="str">
        <f>INDEX(Establishment!C$2:C$1005,MATCH($E178,Establishment!$A$2:$A$1005,0))</f>
        <v xml:space="preserve"> </v>
      </c>
      <c r="M178">
        <f t="shared" si="16"/>
        <v>0</v>
      </c>
      <c r="N178">
        <f t="shared" si="14"/>
        <v>0</v>
      </c>
      <c r="P178" t="e">
        <f>INDEX(Items!B$2:B$1032,MATCH($O178,Items!$A$2:$A$1032,0))</f>
        <v>#N/A</v>
      </c>
      <c r="Q178" t="e">
        <f>INDEX(Items!C$2:C$1032,MATCH($O178,Items!$A$2:$A$1032,0))</f>
        <v>#N/A</v>
      </c>
      <c r="R178" t="e">
        <f>INDEX(Items!D$2:D$1032,MATCH($O178,Items!$A$2:$A$1032,0))</f>
        <v>#N/A</v>
      </c>
    </row>
    <row r="179" spans="1:18" x14ac:dyDescent="0.25">
      <c r="A179">
        <f t="shared" si="12"/>
        <v>1</v>
      </c>
      <c r="B179" t="str">
        <f t="shared" si="13"/>
        <v/>
      </c>
      <c r="C179">
        <f t="shared" si="15"/>
        <v>1</v>
      </c>
      <c r="D179" s="4"/>
      <c r="E179" t="s">
        <v>18</v>
      </c>
      <c r="F179" t="str">
        <f>INDEX(Establishment!B$2:B$1005,MATCH($E179,Establishment!$A$2:$A$1005,0))</f>
        <v xml:space="preserve"> </v>
      </c>
      <c r="G179" t="str">
        <f>INDEX(Establishment!C$2:C$1005,MATCH($E179,Establishment!$A$2:$A$1005,0))</f>
        <v xml:space="preserve"> </v>
      </c>
      <c r="M179">
        <f t="shared" si="16"/>
        <v>0</v>
      </c>
      <c r="N179">
        <f t="shared" si="14"/>
        <v>0</v>
      </c>
      <c r="P179" t="e">
        <f>INDEX(Items!B$2:B$1032,MATCH($O179,Items!$A$2:$A$1032,0))</f>
        <v>#N/A</v>
      </c>
      <c r="Q179" t="e">
        <f>INDEX(Items!C$2:C$1032,MATCH($O179,Items!$A$2:$A$1032,0))</f>
        <v>#N/A</v>
      </c>
      <c r="R179" t="e">
        <f>INDEX(Items!D$2:D$1032,MATCH($O179,Items!$A$2:$A$1032,0))</f>
        <v>#N/A</v>
      </c>
    </row>
    <row r="180" spans="1:18" x14ac:dyDescent="0.25">
      <c r="A180">
        <f t="shared" si="12"/>
        <v>1</v>
      </c>
      <c r="B180" t="str">
        <f t="shared" si="13"/>
        <v/>
      </c>
      <c r="C180">
        <f t="shared" si="15"/>
        <v>1</v>
      </c>
      <c r="D180" s="4"/>
      <c r="E180" t="s">
        <v>18</v>
      </c>
      <c r="F180" t="str">
        <f>INDEX(Establishment!B$2:B$1005,MATCH($E180,Establishment!$A$2:$A$1005,0))</f>
        <v xml:space="preserve"> </v>
      </c>
      <c r="G180" t="str">
        <f>INDEX(Establishment!C$2:C$1005,MATCH($E180,Establishment!$A$2:$A$1005,0))</f>
        <v xml:space="preserve"> </v>
      </c>
      <c r="M180">
        <f t="shared" si="16"/>
        <v>0</v>
      </c>
      <c r="N180">
        <f t="shared" si="14"/>
        <v>0</v>
      </c>
      <c r="P180" t="e">
        <f>INDEX(Items!B$2:B$1032,MATCH($O180,Items!$A$2:$A$1032,0))</f>
        <v>#N/A</v>
      </c>
      <c r="Q180" t="e">
        <f>INDEX(Items!C$2:C$1032,MATCH($O180,Items!$A$2:$A$1032,0))</f>
        <v>#N/A</v>
      </c>
      <c r="R180" t="e">
        <f>INDEX(Items!D$2:D$1032,MATCH($O180,Items!$A$2:$A$1032,0))</f>
        <v>#N/A</v>
      </c>
    </row>
    <row r="181" spans="1:18" x14ac:dyDescent="0.25">
      <c r="A181">
        <f t="shared" si="12"/>
        <v>1</v>
      </c>
      <c r="B181" t="str">
        <f t="shared" si="13"/>
        <v/>
      </c>
      <c r="C181">
        <f t="shared" si="15"/>
        <v>1</v>
      </c>
      <c r="D181" s="4"/>
      <c r="E181" t="s">
        <v>18</v>
      </c>
      <c r="F181" t="str">
        <f>INDEX(Establishment!B$2:B$1005,MATCH($E181,Establishment!$A$2:$A$1005,0))</f>
        <v xml:space="preserve"> </v>
      </c>
      <c r="G181" t="str">
        <f>INDEX(Establishment!C$2:C$1005,MATCH($E181,Establishment!$A$2:$A$1005,0))</f>
        <v xml:space="preserve"> </v>
      </c>
      <c r="M181">
        <f t="shared" si="16"/>
        <v>0</v>
      </c>
      <c r="N181">
        <f t="shared" si="14"/>
        <v>0</v>
      </c>
      <c r="P181" t="e">
        <f>INDEX(Items!B$2:B$1032,MATCH($O181,Items!$A$2:$A$1032,0))</f>
        <v>#N/A</v>
      </c>
      <c r="Q181" t="e">
        <f>INDEX(Items!C$2:C$1032,MATCH($O181,Items!$A$2:$A$1032,0))</f>
        <v>#N/A</v>
      </c>
      <c r="R181" t="e">
        <f>INDEX(Items!D$2:D$1032,MATCH($O181,Items!$A$2:$A$1032,0))</f>
        <v>#N/A</v>
      </c>
    </row>
    <row r="182" spans="1:18" x14ac:dyDescent="0.25">
      <c r="A182">
        <f t="shared" si="12"/>
        <v>1</v>
      </c>
      <c r="B182" t="str">
        <f t="shared" si="13"/>
        <v/>
      </c>
      <c r="C182">
        <f t="shared" si="15"/>
        <v>1</v>
      </c>
      <c r="D182" s="4"/>
      <c r="E182" t="s">
        <v>18</v>
      </c>
      <c r="F182" t="str">
        <f>INDEX(Establishment!B$2:B$1005,MATCH($E182,Establishment!$A$2:$A$1005,0))</f>
        <v xml:space="preserve"> </v>
      </c>
      <c r="G182" t="str">
        <f>INDEX(Establishment!C$2:C$1005,MATCH($E182,Establishment!$A$2:$A$1005,0))</f>
        <v xml:space="preserve"> </v>
      </c>
      <c r="M182">
        <f t="shared" si="16"/>
        <v>0</v>
      </c>
      <c r="N182">
        <f t="shared" si="14"/>
        <v>0</v>
      </c>
      <c r="P182" t="e">
        <f>INDEX(Items!B$2:B$1032,MATCH($O182,Items!$A$2:$A$1032,0))</f>
        <v>#N/A</v>
      </c>
      <c r="Q182" t="e">
        <f>INDEX(Items!C$2:C$1032,MATCH($O182,Items!$A$2:$A$1032,0))</f>
        <v>#N/A</v>
      </c>
      <c r="R182" t="e">
        <f>INDEX(Items!D$2:D$1032,MATCH($O182,Items!$A$2:$A$1032,0))</f>
        <v>#N/A</v>
      </c>
    </row>
    <row r="183" spans="1:18" x14ac:dyDescent="0.25">
      <c r="A183">
        <f t="shared" si="12"/>
        <v>1</v>
      </c>
      <c r="B183" t="str">
        <f t="shared" si="13"/>
        <v/>
      </c>
      <c r="C183">
        <f t="shared" si="15"/>
        <v>1</v>
      </c>
      <c r="D183" s="4"/>
      <c r="E183" t="s">
        <v>18</v>
      </c>
      <c r="F183" t="str">
        <f>INDEX(Establishment!B$2:B$1005,MATCH($E183,Establishment!$A$2:$A$1005,0))</f>
        <v xml:space="preserve"> </v>
      </c>
      <c r="G183" t="str">
        <f>INDEX(Establishment!C$2:C$1005,MATCH($E183,Establishment!$A$2:$A$1005,0))</f>
        <v xml:space="preserve"> </v>
      </c>
      <c r="M183">
        <f t="shared" si="16"/>
        <v>0</v>
      </c>
      <c r="N183">
        <f t="shared" si="14"/>
        <v>0</v>
      </c>
      <c r="P183" t="e">
        <f>INDEX(Items!B$2:B$1032,MATCH($O183,Items!$A$2:$A$1032,0))</f>
        <v>#N/A</v>
      </c>
      <c r="Q183" t="e">
        <f>INDEX(Items!C$2:C$1032,MATCH($O183,Items!$A$2:$A$1032,0))</f>
        <v>#N/A</v>
      </c>
      <c r="R183" t="e">
        <f>INDEX(Items!D$2:D$1032,MATCH($O183,Items!$A$2:$A$1032,0))</f>
        <v>#N/A</v>
      </c>
    </row>
    <row r="184" spans="1:18" x14ac:dyDescent="0.25">
      <c r="A184">
        <f t="shared" si="12"/>
        <v>1</v>
      </c>
      <c r="B184" t="str">
        <f t="shared" si="13"/>
        <v/>
      </c>
      <c r="C184">
        <f t="shared" si="15"/>
        <v>1</v>
      </c>
      <c r="D184" s="4"/>
      <c r="E184" t="s">
        <v>18</v>
      </c>
      <c r="F184" t="str">
        <f>INDEX(Establishment!B$2:B$1005,MATCH($E184,Establishment!$A$2:$A$1005,0))</f>
        <v xml:space="preserve"> </v>
      </c>
      <c r="G184" t="str">
        <f>INDEX(Establishment!C$2:C$1005,MATCH($E184,Establishment!$A$2:$A$1005,0))</f>
        <v xml:space="preserve"> </v>
      </c>
      <c r="M184">
        <f t="shared" si="16"/>
        <v>0</v>
      </c>
      <c r="N184">
        <f t="shared" si="14"/>
        <v>0</v>
      </c>
      <c r="P184" t="e">
        <f>INDEX(Items!B$2:B$1032,MATCH($O184,Items!$A$2:$A$1032,0))</f>
        <v>#N/A</v>
      </c>
      <c r="Q184" t="e">
        <f>INDEX(Items!C$2:C$1032,MATCH($O184,Items!$A$2:$A$1032,0))</f>
        <v>#N/A</v>
      </c>
      <c r="R184" t="e">
        <f>INDEX(Items!D$2:D$1032,MATCH($O184,Items!$A$2:$A$1032,0))</f>
        <v>#N/A</v>
      </c>
    </row>
    <row r="185" spans="1:18" x14ac:dyDescent="0.25">
      <c r="A185">
        <f t="shared" si="12"/>
        <v>1</v>
      </c>
      <c r="B185" t="str">
        <f t="shared" si="13"/>
        <v/>
      </c>
      <c r="C185">
        <f t="shared" si="15"/>
        <v>1</v>
      </c>
      <c r="D185" s="4"/>
      <c r="E185" t="s">
        <v>18</v>
      </c>
      <c r="F185" t="str">
        <f>INDEX(Establishment!B$2:B$1005,MATCH($E185,Establishment!$A$2:$A$1005,0))</f>
        <v xml:space="preserve"> </v>
      </c>
      <c r="G185" t="str">
        <f>INDEX(Establishment!C$2:C$1005,MATCH($E185,Establishment!$A$2:$A$1005,0))</f>
        <v xml:space="preserve"> </v>
      </c>
      <c r="M185">
        <f t="shared" si="16"/>
        <v>0</v>
      </c>
      <c r="N185">
        <f t="shared" si="14"/>
        <v>0</v>
      </c>
      <c r="P185" t="e">
        <f>INDEX(Items!B$2:B$1032,MATCH($O185,Items!$A$2:$A$1032,0))</f>
        <v>#N/A</v>
      </c>
      <c r="Q185" t="e">
        <f>INDEX(Items!C$2:C$1032,MATCH($O185,Items!$A$2:$A$1032,0))</f>
        <v>#N/A</v>
      </c>
      <c r="R185" t="e">
        <f>INDEX(Items!D$2:D$1032,MATCH($O185,Items!$A$2:$A$1032,0))</f>
        <v>#N/A</v>
      </c>
    </row>
    <row r="186" spans="1:18" x14ac:dyDescent="0.25">
      <c r="A186">
        <f t="shared" si="12"/>
        <v>1</v>
      </c>
      <c r="B186" t="str">
        <f t="shared" si="13"/>
        <v/>
      </c>
      <c r="C186">
        <f t="shared" si="15"/>
        <v>1</v>
      </c>
      <c r="D186" s="4"/>
      <c r="E186" t="s">
        <v>18</v>
      </c>
      <c r="F186" t="str">
        <f>INDEX(Establishment!B$2:B$1005,MATCH($E186,Establishment!$A$2:$A$1005,0))</f>
        <v xml:space="preserve"> </v>
      </c>
      <c r="G186" t="str">
        <f>INDEX(Establishment!C$2:C$1005,MATCH($E186,Establishment!$A$2:$A$1005,0))</f>
        <v xml:space="preserve"> </v>
      </c>
      <c r="M186">
        <f t="shared" si="16"/>
        <v>0</v>
      </c>
      <c r="N186">
        <f t="shared" si="14"/>
        <v>0</v>
      </c>
      <c r="P186" t="e">
        <f>INDEX(Items!B$2:B$1032,MATCH($O186,Items!$A$2:$A$1032,0))</f>
        <v>#N/A</v>
      </c>
      <c r="Q186" t="e">
        <f>INDEX(Items!C$2:C$1032,MATCH($O186,Items!$A$2:$A$1032,0))</f>
        <v>#N/A</v>
      </c>
      <c r="R186" t="e">
        <f>INDEX(Items!D$2:D$1032,MATCH($O186,Items!$A$2:$A$1032,0))</f>
        <v>#N/A</v>
      </c>
    </row>
    <row r="187" spans="1:18" x14ac:dyDescent="0.25">
      <c r="A187">
        <f t="shared" si="12"/>
        <v>1</v>
      </c>
      <c r="B187" t="str">
        <f t="shared" si="13"/>
        <v/>
      </c>
      <c r="C187">
        <f t="shared" si="15"/>
        <v>1</v>
      </c>
      <c r="D187" s="4"/>
      <c r="E187" t="s">
        <v>18</v>
      </c>
      <c r="F187" t="str">
        <f>INDEX(Establishment!B$2:B$1005,MATCH($E187,Establishment!$A$2:$A$1005,0))</f>
        <v xml:space="preserve"> </v>
      </c>
      <c r="G187" t="str">
        <f>INDEX(Establishment!C$2:C$1005,MATCH($E187,Establishment!$A$2:$A$1005,0))</f>
        <v xml:space="preserve"> </v>
      </c>
      <c r="M187">
        <f t="shared" si="16"/>
        <v>0</v>
      </c>
      <c r="N187">
        <f t="shared" si="14"/>
        <v>0</v>
      </c>
      <c r="P187" t="e">
        <f>INDEX(Items!B$2:B$1032,MATCH($O187,Items!$A$2:$A$1032,0))</f>
        <v>#N/A</v>
      </c>
      <c r="Q187" t="e">
        <f>INDEX(Items!C$2:C$1032,MATCH($O187,Items!$A$2:$A$1032,0))</f>
        <v>#N/A</v>
      </c>
      <c r="R187" t="e">
        <f>INDEX(Items!D$2:D$1032,MATCH($O187,Items!$A$2:$A$1032,0))</f>
        <v>#N/A</v>
      </c>
    </row>
    <row r="188" spans="1:18" x14ac:dyDescent="0.25">
      <c r="A188">
        <f t="shared" si="12"/>
        <v>1</v>
      </c>
      <c r="B188" t="str">
        <f t="shared" si="13"/>
        <v/>
      </c>
      <c r="C188">
        <f t="shared" si="15"/>
        <v>1</v>
      </c>
      <c r="D188" s="4"/>
      <c r="E188" t="s">
        <v>18</v>
      </c>
      <c r="F188" t="str">
        <f>INDEX(Establishment!B$2:B$1005,MATCH($E188,Establishment!$A$2:$A$1005,0))</f>
        <v xml:space="preserve"> </v>
      </c>
      <c r="G188" t="str">
        <f>INDEX(Establishment!C$2:C$1005,MATCH($E188,Establishment!$A$2:$A$1005,0))</f>
        <v xml:space="preserve"> </v>
      </c>
      <c r="M188">
        <f t="shared" si="16"/>
        <v>0</v>
      </c>
      <c r="N188">
        <f t="shared" si="14"/>
        <v>0</v>
      </c>
      <c r="P188" t="e">
        <f>INDEX(Items!B$2:B$1032,MATCH($O188,Items!$A$2:$A$1032,0))</f>
        <v>#N/A</v>
      </c>
      <c r="Q188" t="e">
        <f>INDEX(Items!C$2:C$1032,MATCH($O188,Items!$A$2:$A$1032,0))</f>
        <v>#N/A</v>
      </c>
      <c r="R188" t="e">
        <f>INDEX(Items!D$2:D$1032,MATCH($O188,Items!$A$2:$A$1032,0))</f>
        <v>#N/A</v>
      </c>
    </row>
    <row r="189" spans="1:18" x14ac:dyDescent="0.25">
      <c r="A189">
        <f t="shared" si="12"/>
        <v>1</v>
      </c>
      <c r="B189" t="str">
        <f t="shared" si="13"/>
        <v/>
      </c>
      <c r="C189">
        <f t="shared" si="15"/>
        <v>1</v>
      </c>
      <c r="D189" s="4"/>
      <c r="E189" t="s">
        <v>18</v>
      </c>
      <c r="F189" t="str">
        <f>INDEX(Establishment!B$2:B$1005,MATCH($E189,Establishment!$A$2:$A$1005,0))</f>
        <v xml:space="preserve"> </v>
      </c>
      <c r="G189" t="str">
        <f>INDEX(Establishment!C$2:C$1005,MATCH($E189,Establishment!$A$2:$A$1005,0))</f>
        <v xml:space="preserve"> </v>
      </c>
      <c r="M189">
        <f t="shared" si="16"/>
        <v>0</v>
      </c>
      <c r="N189">
        <f t="shared" si="14"/>
        <v>0</v>
      </c>
      <c r="P189" t="e">
        <f>INDEX(Items!B$2:B$1032,MATCH($O189,Items!$A$2:$A$1032,0))</f>
        <v>#N/A</v>
      </c>
      <c r="Q189" t="e">
        <f>INDEX(Items!C$2:C$1032,MATCH($O189,Items!$A$2:$A$1032,0))</f>
        <v>#N/A</v>
      </c>
      <c r="R189" t="e">
        <f>INDEX(Items!D$2:D$1032,MATCH($O189,Items!$A$2:$A$1032,0))</f>
        <v>#N/A</v>
      </c>
    </row>
    <row r="190" spans="1:18" x14ac:dyDescent="0.25">
      <c r="A190">
        <f t="shared" si="12"/>
        <v>1</v>
      </c>
      <c r="B190" t="str">
        <f t="shared" si="13"/>
        <v/>
      </c>
      <c r="C190">
        <f t="shared" si="15"/>
        <v>1</v>
      </c>
      <c r="D190" s="4"/>
      <c r="E190" t="s">
        <v>18</v>
      </c>
      <c r="F190" t="str">
        <f>INDEX(Establishment!B$2:B$1005,MATCH($E190,Establishment!$A$2:$A$1005,0))</f>
        <v xml:space="preserve"> </v>
      </c>
      <c r="G190" t="str">
        <f>INDEX(Establishment!C$2:C$1005,MATCH($E190,Establishment!$A$2:$A$1005,0))</f>
        <v xml:space="preserve"> </v>
      </c>
      <c r="M190">
        <f t="shared" si="16"/>
        <v>0</v>
      </c>
      <c r="N190">
        <f t="shared" si="14"/>
        <v>0</v>
      </c>
      <c r="P190" t="e">
        <f>INDEX(Items!B$2:B$1032,MATCH($O190,Items!$A$2:$A$1032,0))</f>
        <v>#N/A</v>
      </c>
      <c r="Q190" t="e">
        <f>INDEX(Items!C$2:C$1032,MATCH($O190,Items!$A$2:$A$1032,0))</f>
        <v>#N/A</v>
      </c>
      <c r="R190" t="e">
        <f>INDEX(Items!D$2:D$1032,MATCH($O190,Items!$A$2:$A$1032,0))</f>
        <v>#N/A</v>
      </c>
    </row>
    <row r="191" spans="1:18" x14ac:dyDescent="0.25">
      <c r="A191">
        <f t="shared" si="12"/>
        <v>1</v>
      </c>
      <c r="B191" t="str">
        <f t="shared" si="13"/>
        <v/>
      </c>
      <c r="C191">
        <f t="shared" si="15"/>
        <v>1</v>
      </c>
      <c r="D191" s="4"/>
      <c r="E191" t="s">
        <v>18</v>
      </c>
      <c r="F191" t="str">
        <f>INDEX(Establishment!B$2:B$1005,MATCH($E191,Establishment!$A$2:$A$1005,0))</f>
        <v xml:space="preserve"> </v>
      </c>
      <c r="G191" t="str">
        <f>INDEX(Establishment!C$2:C$1005,MATCH($E191,Establishment!$A$2:$A$1005,0))</f>
        <v xml:space="preserve"> </v>
      </c>
      <c r="M191">
        <f t="shared" si="16"/>
        <v>0</v>
      </c>
      <c r="N191">
        <f t="shared" si="14"/>
        <v>0</v>
      </c>
      <c r="P191" t="e">
        <f>INDEX(Items!B$2:B$1032,MATCH($O191,Items!$A$2:$A$1032,0))</f>
        <v>#N/A</v>
      </c>
      <c r="Q191" t="e">
        <f>INDEX(Items!C$2:C$1032,MATCH($O191,Items!$A$2:$A$1032,0))</f>
        <v>#N/A</v>
      </c>
      <c r="R191" t="e">
        <f>INDEX(Items!D$2:D$1032,MATCH($O191,Items!$A$2:$A$1032,0))</f>
        <v>#N/A</v>
      </c>
    </row>
    <row r="192" spans="1:18" x14ac:dyDescent="0.25">
      <c r="A192">
        <f t="shared" si="12"/>
        <v>1</v>
      </c>
      <c r="B192" t="str">
        <f t="shared" si="13"/>
        <v/>
      </c>
      <c r="C192">
        <f t="shared" si="15"/>
        <v>1</v>
      </c>
      <c r="D192" s="4"/>
      <c r="E192" t="s">
        <v>18</v>
      </c>
      <c r="F192" t="str">
        <f>INDEX(Establishment!B$2:B$1005,MATCH($E192,Establishment!$A$2:$A$1005,0))</f>
        <v xml:space="preserve"> </v>
      </c>
      <c r="G192" t="str">
        <f>INDEX(Establishment!C$2:C$1005,MATCH($E192,Establishment!$A$2:$A$1005,0))</f>
        <v xml:space="preserve"> </v>
      </c>
      <c r="M192">
        <f t="shared" si="16"/>
        <v>0</v>
      </c>
      <c r="N192">
        <f t="shared" si="14"/>
        <v>0</v>
      </c>
      <c r="P192" t="e">
        <f>INDEX(Items!B$2:B$1032,MATCH($O192,Items!$A$2:$A$1032,0))</f>
        <v>#N/A</v>
      </c>
      <c r="Q192" t="e">
        <f>INDEX(Items!C$2:C$1032,MATCH($O192,Items!$A$2:$A$1032,0))</f>
        <v>#N/A</v>
      </c>
      <c r="R192" t="e">
        <f>INDEX(Items!D$2:D$1032,MATCH($O192,Items!$A$2:$A$1032,0))</f>
        <v>#N/A</v>
      </c>
    </row>
    <row r="193" spans="1:18" x14ac:dyDescent="0.25">
      <c r="A193">
        <f t="shared" si="12"/>
        <v>1</v>
      </c>
      <c r="B193" t="str">
        <f t="shared" si="13"/>
        <v/>
      </c>
      <c r="C193">
        <f t="shared" si="15"/>
        <v>1</v>
      </c>
      <c r="D193" s="4"/>
      <c r="E193" t="s">
        <v>18</v>
      </c>
      <c r="F193" t="str">
        <f>INDEX(Establishment!B$2:B$1005,MATCH($E193,Establishment!$A$2:$A$1005,0))</f>
        <v xml:space="preserve"> </v>
      </c>
      <c r="G193" t="str">
        <f>INDEX(Establishment!C$2:C$1005,MATCH($E193,Establishment!$A$2:$A$1005,0))</f>
        <v xml:space="preserve"> </v>
      </c>
      <c r="M193">
        <f t="shared" si="16"/>
        <v>0</v>
      </c>
      <c r="N193">
        <f t="shared" si="14"/>
        <v>0</v>
      </c>
      <c r="P193" t="e">
        <f>INDEX(Items!B$2:B$1032,MATCH($O193,Items!$A$2:$A$1032,0))</f>
        <v>#N/A</v>
      </c>
      <c r="Q193" t="e">
        <f>INDEX(Items!C$2:C$1032,MATCH($O193,Items!$A$2:$A$1032,0))</f>
        <v>#N/A</v>
      </c>
      <c r="R193" t="e">
        <f>INDEX(Items!D$2:D$1032,MATCH($O193,Items!$A$2:$A$1032,0))</f>
        <v>#N/A</v>
      </c>
    </row>
    <row r="194" spans="1:18" x14ac:dyDescent="0.25">
      <c r="A194">
        <f t="shared" ref="A194:A257" si="17">IF(OR(D194&lt;&gt;D193,D194=""),1,IF(NOT(AND(E194=E193,F194=F193,G194=G193)),A193+1,IF(OR(H194="",AND(H194&lt;&gt;"",H194&lt;&gt;H193,H193&lt;&gt;"")),A193,A193+1)))</f>
        <v>1</v>
      </c>
      <c r="B194" t="str">
        <f t="shared" ref="B194:B257" si="18">IF(D194&lt;&gt;"",TEXT(D194,"YYYYMMDD")&amp;CHAR(64+A194),"")</f>
        <v/>
      </c>
      <c r="C194">
        <f t="shared" si="15"/>
        <v>1</v>
      </c>
      <c r="D194" s="4"/>
      <c r="E194" t="s">
        <v>18</v>
      </c>
      <c r="F194" t="str">
        <f>INDEX(Establishment!B$2:B$1005,MATCH($E194,Establishment!$A$2:$A$1005,0))</f>
        <v xml:space="preserve"> </v>
      </c>
      <c r="G194" t="str">
        <f>INDEX(Establishment!C$2:C$1005,MATCH($E194,Establishment!$A$2:$A$1005,0))</f>
        <v xml:space="preserve"> </v>
      </c>
      <c r="M194">
        <f t="shared" si="16"/>
        <v>0</v>
      </c>
      <c r="N194">
        <f t="shared" si="14"/>
        <v>0</v>
      </c>
      <c r="P194" t="e">
        <f>INDEX(Items!B$2:B$1032,MATCH($O194,Items!$A$2:$A$1032,0))</f>
        <v>#N/A</v>
      </c>
      <c r="Q194" t="e">
        <f>INDEX(Items!C$2:C$1032,MATCH($O194,Items!$A$2:$A$1032,0))</f>
        <v>#N/A</v>
      </c>
      <c r="R194" t="e">
        <f>INDEX(Items!D$2:D$1032,MATCH($O194,Items!$A$2:$A$1032,0))</f>
        <v>#N/A</v>
      </c>
    </row>
    <row r="195" spans="1:18" x14ac:dyDescent="0.25">
      <c r="A195">
        <f t="shared" si="17"/>
        <v>1</v>
      </c>
      <c r="B195" t="str">
        <f t="shared" si="18"/>
        <v/>
      </c>
      <c r="C195">
        <f t="shared" si="15"/>
        <v>1</v>
      </c>
      <c r="D195" s="4"/>
      <c r="E195" t="s">
        <v>18</v>
      </c>
      <c r="F195" t="str">
        <f>INDEX(Establishment!B$2:B$1005,MATCH($E195,Establishment!$A$2:$A$1005,0))</f>
        <v xml:space="preserve"> </v>
      </c>
      <c r="G195" t="str">
        <f>INDEX(Establishment!C$2:C$1005,MATCH($E195,Establishment!$A$2:$A$1005,0))</f>
        <v xml:space="preserve"> </v>
      </c>
      <c r="M195">
        <f t="shared" si="16"/>
        <v>0</v>
      </c>
      <c r="N195">
        <f t="shared" ref="N195:N258" si="19">IF(B195=B194,N194+M195,M195)</f>
        <v>0</v>
      </c>
      <c r="P195" t="e">
        <f>INDEX(Items!B$2:B$1032,MATCH($O195,Items!$A$2:$A$1032,0))</f>
        <v>#N/A</v>
      </c>
      <c r="Q195" t="e">
        <f>INDEX(Items!C$2:C$1032,MATCH($O195,Items!$A$2:$A$1032,0))</f>
        <v>#N/A</v>
      </c>
      <c r="R195" t="e">
        <f>INDEX(Items!D$2:D$1032,MATCH($O195,Items!$A$2:$A$1032,0))</f>
        <v>#N/A</v>
      </c>
    </row>
    <row r="196" spans="1:18" x14ac:dyDescent="0.25">
      <c r="A196">
        <f t="shared" si="17"/>
        <v>1</v>
      </c>
      <c r="B196" t="str">
        <f t="shared" si="18"/>
        <v/>
      </c>
      <c r="C196">
        <f t="shared" si="15"/>
        <v>1</v>
      </c>
      <c r="D196" s="4"/>
      <c r="E196" t="s">
        <v>18</v>
      </c>
      <c r="F196" t="str">
        <f>INDEX(Establishment!B$2:B$1005,MATCH($E196,Establishment!$A$2:$A$1005,0))</f>
        <v xml:space="preserve"> </v>
      </c>
      <c r="G196" t="str">
        <f>INDEX(Establishment!C$2:C$1005,MATCH($E196,Establishment!$A$2:$A$1005,0))</f>
        <v xml:space="preserve"> </v>
      </c>
      <c r="M196">
        <f t="shared" si="16"/>
        <v>0</v>
      </c>
      <c r="N196">
        <f t="shared" si="19"/>
        <v>0</v>
      </c>
      <c r="P196" t="e">
        <f>INDEX(Items!B$2:B$1032,MATCH($O196,Items!$A$2:$A$1032,0))</f>
        <v>#N/A</v>
      </c>
      <c r="Q196" t="e">
        <f>INDEX(Items!C$2:C$1032,MATCH($O196,Items!$A$2:$A$1032,0))</f>
        <v>#N/A</v>
      </c>
      <c r="R196" t="e">
        <f>INDEX(Items!D$2:D$1032,MATCH($O196,Items!$A$2:$A$1032,0))</f>
        <v>#N/A</v>
      </c>
    </row>
    <row r="197" spans="1:18" x14ac:dyDescent="0.25">
      <c r="A197">
        <f t="shared" si="17"/>
        <v>1</v>
      </c>
      <c r="B197" t="str">
        <f t="shared" si="18"/>
        <v/>
      </c>
      <c r="C197">
        <f t="shared" si="15"/>
        <v>1</v>
      </c>
      <c r="D197" s="4"/>
      <c r="E197" t="s">
        <v>18</v>
      </c>
      <c r="F197" t="str">
        <f>INDEX(Establishment!B$2:B$1005,MATCH($E197,Establishment!$A$2:$A$1005,0))</f>
        <v xml:space="preserve"> </v>
      </c>
      <c r="G197" t="str">
        <f>INDEX(Establishment!C$2:C$1005,MATCH($E197,Establishment!$A$2:$A$1005,0))</f>
        <v xml:space="preserve"> </v>
      </c>
      <c r="M197">
        <f t="shared" si="16"/>
        <v>0</v>
      </c>
      <c r="N197">
        <f t="shared" si="19"/>
        <v>0</v>
      </c>
      <c r="P197" t="e">
        <f>INDEX(Items!B$2:B$1032,MATCH($O197,Items!$A$2:$A$1032,0))</f>
        <v>#N/A</v>
      </c>
      <c r="Q197" t="e">
        <f>INDEX(Items!C$2:C$1032,MATCH($O197,Items!$A$2:$A$1032,0))</f>
        <v>#N/A</v>
      </c>
      <c r="R197" t="e">
        <f>INDEX(Items!D$2:D$1032,MATCH($O197,Items!$A$2:$A$1032,0))</f>
        <v>#N/A</v>
      </c>
    </row>
    <row r="198" spans="1:18" x14ac:dyDescent="0.25">
      <c r="A198">
        <f t="shared" si="17"/>
        <v>1</v>
      </c>
      <c r="B198" t="str">
        <f t="shared" si="18"/>
        <v/>
      </c>
      <c r="C198">
        <f t="shared" si="15"/>
        <v>1</v>
      </c>
      <c r="D198" s="4"/>
      <c r="E198" t="s">
        <v>18</v>
      </c>
      <c r="F198" t="str">
        <f>INDEX(Establishment!B$2:B$1005,MATCH($E198,Establishment!$A$2:$A$1005,0))</f>
        <v xml:space="preserve"> </v>
      </c>
      <c r="G198" t="str">
        <f>INDEX(Establishment!C$2:C$1005,MATCH($E198,Establishment!$A$2:$A$1005,0))</f>
        <v xml:space="preserve"> </v>
      </c>
      <c r="M198">
        <f t="shared" si="16"/>
        <v>0</v>
      </c>
      <c r="N198">
        <f t="shared" si="19"/>
        <v>0</v>
      </c>
      <c r="P198" t="e">
        <f>INDEX(Items!B$2:B$1032,MATCH($O198,Items!$A$2:$A$1032,0))</f>
        <v>#N/A</v>
      </c>
      <c r="Q198" t="e">
        <f>INDEX(Items!C$2:C$1032,MATCH($O198,Items!$A$2:$A$1032,0))</f>
        <v>#N/A</v>
      </c>
      <c r="R198" t="e">
        <f>INDEX(Items!D$2:D$1032,MATCH($O198,Items!$A$2:$A$1032,0))</f>
        <v>#N/A</v>
      </c>
    </row>
    <row r="199" spans="1:18" x14ac:dyDescent="0.25">
      <c r="A199">
        <f t="shared" si="17"/>
        <v>1</v>
      </c>
      <c r="B199" t="str">
        <f t="shared" si="18"/>
        <v/>
      </c>
      <c r="C199">
        <f t="shared" si="15"/>
        <v>1</v>
      </c>
      <c r="D199" s="4"/>
      <c r="E199" t="s">
        <v>18</v>
      </c>
      <c r="F199" t="str">
        <f>INDEX(Establishment!B$2:B$1005,MATCH($E199,Establishment!$A$2:$A$1005,0))</f>
        <v xml:space="preserve"> </v>
      </c>
      <c r="G199" t="str">
        <f>INDEX(Establishment!C$2:C$1005,MATCH($E199,Establishment!$A$2:$A$1005,0))</f>
        <v xml:space="preserve"> </v>
      </c>
      <c r="M199">
        <f t="shared" si="16"/>
        <v>0</v>
      </c>
      <c r="N199">
        <f t="shared" si="19"/>
        <v>0</v>
      </c>
      <c r="P199" t="e">
        <f>INDEX(Items!B$2:B$1032,MATCH($O199,Items!$A$2:$A$1032,0))</f>
        <v>#N/A</v>
      </c>
      <c r="Q199" t="e">
        <f>INDEX(Items!C$2:C$1032,MATCH($O199,Items!$A$2:$A$1032,0))</f>
        <v>#N/A</v>
      </c>
      <c r="R199" t="e">
        <f>INDEX(Items!D$2:D$1032,MATCH($O199,Items!$A$2:$A$1032,0))</f>
        <v>#N/A</v>
      </c>
    </row>
    <row r="200" spans="1:18" x14ac:dyDescent="0.25">
      <c r="A200">
        <f t="shared" si="17"/>
        <v>1</v>
      </c>
      <c r="B200" t="str">
        <f t="shared" si="18"/>
        <v/>
      </c>
      <c r="C200">
        <f t="shared" si="15"/>
        <v>1</v>
      </c>
      <c r="D200" s="4"/>
      <c r="E200" t="s">
        <v>18</v>
      </c>
      <c r="F200" t="str">
        <f>INDEX(Establishment!B$2:B$1005,MATCH($E200,Establishment!$A$2:$A$1005,0))</f>
        <v xml:space="preserve"> </v>
      </c>
      <c r="G200" t="str">
        <f>INDEX(Establishment!C$2:C$1005,MATCH($E200,Establishment!$A$2:$A$1005,0))</f>
        <v xml:space="preserve"> </v>
      </c>
      <c r="M200">
        <f t="shared" si="16"/>
        <v>0</v>
      </c>
      <c r="N200">
        <f t="shared" si="19"/>
        <v>0</v>
      </c>
      <c r="P200" t="e">
        <f>INDEX(Items!B$2:B$1032,MATCH($O200,Items!$A$2:$A$1032,0))</f>
        <v>#N/A</v>
      </c>
      <c r="Q200" t="e">
        <f>INDEX(Items!C$2:C$1032,MATCH($O200,Items!$A$2:$A$1032,0))</f>
        <v>#N/A</v>
      </c>
      <c r="R200" t="e">
        <f>INDEX(Items!D$2:D$1032,MATCH($O200,Items!$A$2:$A$1032,0))</f>
        <v>#N/A</v>
      </c>
    </row>
    <row r="201" spans="1:18" x14ac:dyDescent="0.25">
      <c r="A201">
        <f t="shared" si="17"/>
        <v>1</v>
      </c>
      <c r="B201" t="str">
        <f t="shared" si="18"/>
        <v/>
      </c>
      <c r="C201">
        <f t="shared" si="15"/>
        <v>1</v>
      </c>
      <c r="D201" s="4"/>
      <c r="E201" t="s">
        <v>18</v>
      </c>
      <c r="F201" t="str">
        <f>INDEX(Establishment!B$2:B$1005,MATCH($E201,Establishment!$A$2:$A$1005,0))</f>
        <v xml:space="preserve"> </v>
      </c>
      <c r="G201" t="str">
        <f>INDEX(Establishment!C$2:C$1005,MATCH($E201,Establishment!$A$2:$A$1005,0))</f>
        <v xml:space="preserve"> </v>
      </c>
      <c r="M201">
        <f t="shared" si="16"/>
        <v>0</v>
      </c>
      <c r="N201">
        <f t="shared" si="19"/>
        <v>0</v>
      </c>
      <c r="P201" t="e">
        <f>INDEX(Items!B$2:B$1032,MATCH($O201,Items!$A$2:$A$1032,0))</f>
        <v>#N/A</v>
      </c>
      <c r="Q201" t="e">
        <f>INDEX(Items!C$2:C$1032,MATCH($O201,Items!$A$2:$A$1032,0))</f>
        <v>#N/A</v>
      </c>
      <c r="R201" t="e">
        <f>INDEX(Items!D$2:D$1032,MATCH($O201,Items!$A$2:$A$1032,0))</f>
        <v>#N/A</v>
      </c>
    </row>
    <row r="202" spans="1:18" x14ac:dyDescent="0.25">
      <c r="A202">
        <f t="shared" si="17"/>
        <v>1</v>
      </c>
      <c r="B202" t="str">
        <f t="shared" si="18"/>
        <v/>
      </c>
      <c r="C202">
        <f t="shared" ref="C202:C265" si="20">IF(OR(B202="",B202&lt;&gt;B201),1,C201+1)</f>
        <v>1</v>
      </c>
      <c r="D202" s="4"/>
      <c r="E202" t="s">
        <v>18</v>
      </c>
      <c r="F202" t="str">
        <f>INDEX(Establishment!B$2:B$1005,MATCH($E202,Establishment!$A$2:$A$1005,0))</f>
        <v xml:space="preserve"> </v>
      </c>
      <c r="G202" t="str">
        <f>INDEX(Establishment!C$2:C$1005,MATCH($E202,Establishment!$A$2:$A$1005,0))</f>
        <v xml:space="preserve"> </v>
      </c>
      <c r="M202">
        <f t="shared" ref="M202:M265" si="21">K202*L202</f>
        <v>0</v>
      </c>
      <c r="N202">
        <f t="shared" si="19"/>
        <v>0</v>
      </c>
      <c r="P202" t="e">
        <f>INDEX(Items!B$2:B$1032,MATCH($O202,Items!$A$2:$A$1032,0))</f>
        <v>#N/A</v>
      </c>
      <c r="Q202" t="e">
        <f>INDEX(Items!C$2:C$1032,MATCH($O202,Items!$A$2:$A$1032,0))</f>
        <v>#N/A</v>
      </c>
      <c r="R202" t="e">
        <f>INDEX(Items!D$2:D$1032,MATCH($O202,Items!$A$2:$A$1032,0))</f>
        <v>#N/A</v>
      </c>
    </row>
    <row r="203" spans="1:18" x14ac:dyDescent="0.25">
      <c r="A203">
        <f t="shared" si="17"/>
        <v>1</v>
      </c>
      <c r="B203" t="str">
        <f t="shared" si="18"/>
        <v/>
      </c>
      <c r="C203">
        <f t="shared" si="20"/>
        <v>1</v>
      </c>
      <c r="D203" s="4"/>
      <c r="E203" t="s">
        <v>18</v>
      </c>
      <c r="F203" t="str">
        <f>INDEX(Establishment!B$2:B$1005,MATCH($E203,Establishment!$A$2:$A$1005,0))</f>
        <v xml:space="preserve"> </v>
      </c>
      <c r="G203" t="str">
        <f>INDEX(Establishment!C$2:C$1005,MATCH($E203,Establishment!$A$2:$A$1005,0))</f>
        <v xml:space="preserve"> </v>
      </c>
      <c r="M203">
        <f t="shared" si="21"/>
        <v>0</v>
      </c>
      <c r="N203">
        <f t="shared" si="19"/>
        <v>0</v>
      </c>
      <c r="P203" t="e">
        <f>INDEX(Items!B$2:B$1032,MATCH($O203,Items!$A$2:$A$1032,0))</f>
        <v>#N/A</v>
      </c>
      <c r="Q203" t="e">
        <f>INDEX(Items!C$2:C$1032,MATCH($O203,Items!$A$2:$A$1032,0))</f>
        <v>#N/A</v>
      </c>
      <c r="R203" t="e">
        <f>INDEX(Items!D$2:D$1032,MATCH($O203,Items!$A$2:$A$1032,0))</f>
        <v>#N/A</v>
      </c>
    </row>
    <row r="204" spans="1:18" x14ac:dyDescent="0.25">
      <c r="A204">
        <f t="shared" si="17"/>
        <v>1</v>
      </c>
      <c r="B204" t="str">
        <f t="shared" si="18"/>
        <v/>
      </c>
      <c r="C204">
        <f t="shared" si="20"/>
        <v>1</v>
      </c>
      <c r="D204" s="4"/>
      <c r="E204" t="s">
        <v>18</v>
      </c>
      <c r="F204" t="str">
        <f>INDEX(Establishment!B$2:B$1005,MATCH($E204,Establishment!$A$2:$A$1005,0))</f>
        <v xml:space="preserve"> </v>
      </c>
      <c r="G204" t="str">
        <f>INDEX(Establishment!C$2:C$1005,MATCH($E204,Establishment!$A$2:$A$1005,0))</f>
        <v xml:space="preserve"> </v>
      </c>
      <c r="M204">
        <f t="shared" si="21"/>
        <v>0</v>
      </c>
      <c r="N204">
        <f t="shared" si="19"/>
        <v>0</v>
      </c>
      <c r="P204" t="e">
        <f>INDEX(Items!B$2:B$1032,MATCH($O204,Items!$A$2:$A$1032,0))</f>
        <v>#N/A</v>
      </c>
      <c r="Q204" t="e">
        <f>INDEX(Items!C$2:C$1032,MATCH($O204,Items!$A$2:$A$1032,0))</f>
        <v>#N/A</v>
      </c>
      <c r="R204" t="e">
        <f>INDEX(Items!D$2:D$1032,MATCH($O204,Items!$A$2:$A$1032,0))</f>
        <v>#N/A</v>
      </c>
    </row>
    <row r="205" spans="1:18" x14ac:dyDescent="0.25">
      <c r="A205">
        <f t="shared" si="17"/>
        <v>1</v>
      </c>
      <c r="B205" t="str">
        <f t="shared" si="18"/>
        <v/>
      </c>
      <c r="C205">
        <f t="shared" si="20"/>
        <v>1</v>
      </c>
      <c r="D205" s="4"/>
      <c r="E205" t="s">
        <v>18</v>
      </c>
      <c r="F205" t="str">
        <f>INDEX(Establishment!B$2:B$1005,MATCH($E205,Establishment!$A$2:$A$1005,0))</f>
        <v xml:space="preserve"> </v>
      </c>
      <c r="G205" t="str">
        <f>INDEX(Establishment!C$2:C$1005,MATCH($E205,Establishment!$A$2:$A$1005,0))</f>
        <v xml:space="preserve"> </v>
      </c>
      <c r="M205">
        <f t="shared" si="21"/>
        <v>0</v>
      </c>
      <c r="N205">
        <f t="shared" si="19"/>
        <v>0</v>
      </c>
      <c r="P205" t="e">
        <f>INDEX(Items!B$2:B$1032,MATCH($O205,Items!$A$2:$A$1032,0))</f>
        <v>#N/A</v>
      </c>
      <c r="Q205" t="e">
        <f>INDEX(Items!C$2:C$1032,MATCH($O205,Items!$A$2:$A$1032,0))</f>
        <v>#N/A</v>
      </c>
      <c r="R205" t="e">
        <f>INDEX(Items!D$2:D$1032,MATCH($O205,Items!$A$2:$A$1032,0))</f>
        <v>#N/A</v>
      </c>
    </row>
    <row r="206" spans="1:18" x14ac:dyDescent="0.25">
      <c r="A206">
        <f t="shared" si="17"/>
        <v>1</v>
      </c>
      <c r="B206" t="str">
        <f t="shared" si="18"/>
        <v/>
      </c>
      <c r="C206">
        <f t="shared" si="20"/>
        <v>1</v>
      </c>
      <c r="D206" s="4"/>
      <c r="E206" t="s">
        <v>18</v>
      </c>
      <c r="F206" t="str">
        <f>INDEX(Establishment!B$2:B$1005,MATCH($E206,Establishment!$A$2:$A$1005,0))</f>
        <v xml:space="preserve"> </v>
      </c>
      <c r="G206" t="str">
        <f>INDEX(Establishment!C$2:C$1005,MATCH($E206,Establishment!$A$2:$A$1005,0))</f>
        <v xml:space="preserve"> </v>
      </c>
      <c r="M206">
        <f t="shared" si="21"/>
        <v>0</v>
      </c>
      <c r="N206">
        <f t="shared" si="19"/>
        <v>0</v>
      </c>
      <c r="P206" t="e">
        <f>INDEX(Items!B$2:B$1032,MATCH($O206,Items!$A$2:$A$1032,0))</f>
        <v>#N/A</v>
      </c>
      <c r="Q206" t="e">
        <f>INDEX(Items!C$2:C$1032,MATCH($O206,Items!$A$2:$A$1032,0))</f>
        <v>#N/A</v>
      </c>
      <c r="R206" t="e">
        <f>INDEX(Items!D$2:D$1032,MATCH($O206,Items!$A$2:$A$1032,0))</f>
        <v>#N/A</v>
      </c>
    </row>
    <row r="207" spans="1:18" x14ac:dyDescent="0.25">
      <c r="A207">
        <f t="shared" si="17"/>
        <v>1</v>
      </c>
      <c r="B207" t="str">
        <f t="shared" si="18"/>
        <v/>
      </c>
      <c r="C207">
        <f t="shared" si="20"/>
        <v>1</v>
      </c>
      <c r="D207" s="4"/>
      <c r="E207" t="s">
        <v>18</v>
      </c>
      <c r="F207" t="str">
        <f>INDEX(Establishment!B$2:B$1005,MATCH($E207,Establishment!$A$2:$A$1005,0))</f>
        <v xml:space="preserve"> </v>
      </c>
      <c r="G207" t="str">
        <f>INDEX(Establishment!C$2:C$1005,MATCH($E207,Establishment!$A$2:$A$1005,0))</f>
        <v xml:space="preserve"> </v>
      </c>
      <c r="M207">
        <f t="shared" si="21"/>
        <v>0</v>
      </c>
      <c r="N207">
        <f t="shared" si="19"/>
        <v>0</v>
      </c>
      <c r="P207" t="e">
        <f>INDEX(Items!B$2:B$1032,MATCH($O207,Items!$A$2:$A$1032,0))</f>
        <v>#N/A</v>
      </c>
      <c r="Q207" t="e">
        <f>INDEX(Items!C$2:C$1032,MATCH($O207,Items!$A$2:$A$1032,0))</f>
        <v>#N/A</v>
      </c>
      <c r="R207" t="e">
        <f>INDEX(Items!D$2:D$1032,MATCH($O207,Items!$A$2:$A$1032,0))</f>
        <v>#N/A</v>
      </c>
    </row>
    <row r="208" spans="1:18" x14ac:dyDescent="0.25">
      <c r="A208">
        <f t="shared" si="17"/>
        <v>1</v>
      </c>
      <c r="B208" t="str">
        <f t="shared" si="18"/>
        <v/>
      </c>
      <c r="C208">
        <f t="shared" si="20"/>
        <v>1</v>
      </c>
      <c r="D208" s="4"/>
      <c r="E208" t="s">
        <v>18</v>
      </c>
      <c r="F208" t="str">
        <f>INDEX(Establishment!B$2:B$1005,MATCH($E208,Establishment!$A$2:$A$1005,0))</f>
        <v xml:space="preserve"> </v>
      </c>
      <c r="G208" t="str">
        <f>INDEX(Establishment!C$2:C$1005,MATCH($E208,Establishment!$A$2:$A$1005,0))</f>
        <v xml:space="preserve"> </v>
      </c>
      <c r="M208">
        <f t="shared" si="21"/>
        <v>0</v>
      </c>
      <c r="N208">
        <f t="shared" si="19"/>
        <v>0</v>
      </c>
      <c r="P208" t="e">
        <f>INDEX(Items!B$2:B$1032,MATCH($O208,Items!$A$2:$A$1032,0))</f>
        <v>#N/A</v>
      </c>
      <c r="Q208" t="e">
        <f>INDEX(Items!C$2:C$1032,MATCH($O208,Items!$A$2:$A$1032,0))</f>
        <v>#N/A</v>
      </c>
      <c r="R208" t="e">
        <f>INDEX(Items!D$2:D$1032,MATCH($O208,Items!$A$2:$A$1032,0))</f>
        <v>#N/A</v>
      </c>
    </row>
    <row r="209" spans="1:18" x14ac:dyDescent="0.25">
      <c r="A209">
        <f t="shared" si="17"/>
        <v>1</v>
      </c>
      <c r="B209" t="str">
        <f t="shared" si="18"/>
        <v/>
      </c>
      <c r="C209">
        <f t="shared" si="20"/>
        <v>1</v>
      </c>
      <c r="D209" s="4"/>
      <c r="E209" t="s">
        <v>18</v>
      </c>
      <c r="F209" t="str">
        <f>INDEX(Establishment!B$2:B$1005,MATCH($E209,Establishment!$A$2:$A$1005,0))</f>
        <v xml:space="preserve"> </v>
      </c>
      <c r="G209" t="str">
        <f>INDEX(Establishment!C$2:C$1005,MATCH($E209,Establishment!$A$2:$A$1005,0))</f>
        <v xml:space="preserve"> </v>
      </c>
      <c r="M209">
        <f t="shared" si="21"/>
        <v>0</v>
      </c>
      <c r="N209">
        <f t="shared" si="19"/>
        <v>0</v>
      </c>
      <c r="P209" t="e">
        <f>INDEX(Items!B$2:B$1032,MATCH($O209,Items!$A$2:$A$1032,0))</f>
        <v>#N/A</v>
      </c>
      <c r="Q209" t="e">
        <f>INDEX(Items!C$2:C$1032,MATCH($O209,Items!$A$2:$A$1032,0))</f>
        <v>#N/A</v>
      </c>
      <c r="R209" t="e">
        <f>INDEX(Items!D$2:D$1032,MATCH($O209,Items!$A$2:$A$1032,0))</f>
        <v>#N/A</v>
      </c>
    </row>
    <row r="210" spans="1:18" x14ac:dyDescent="0.25">
      <c r="A210">
        <f t="shared" si="17"/>
        <v>1</v>
      </c>
      <c r="B210" t="str">
        <f t="shared" si="18"/>
        <v/>
      </c>
      <c r="C210">
        <f t="shared" si="20"/>
        <v>1</v>
      </c>
      <c r="D210" s="4"/>
      <c r="E210" t="s">
        <v>18</v>
      </c>
      <c r="F210" t="str">
        <f>INDEX(Establishment!B$2:B$1005,MATCH($E210,Establishment!$A$2:$A$1005,0))</f>
        <v xml:space="preserve"> </v>
      </c>
      <c r="G210" t="str">
        <f>INDEX(Establishment!C$2:C$1005,MATCH($E210,Establishment!$A$2:$A$1005,0))</f>
        <v xml:space="preserve"> </v>
      </c>
      <c r="M210">
        <f t="shared" si="21"/>
        <v>0</v>
      </c>
      <c r="N210">
        <f t="shared" si="19"/>
        <v>0</v>
      </c>
      <c r="P210" t="e">
        <f>INDEX(Items!B$2:B$1032,MATCH($O210,Items!$A$2:$A$1032,0))</f>
        <v>#N/A</v>
      </c>
      <c r="Q210" t="e">
        <f>INDEX(Items!C$2:C$1032,MATCH($O210,Items!$A$2:$A$1032,0))</f>
        <v>#N/A</v>
      </c>
      <c r="R210" t="e">
        <f>INDEX(Items!D$2:D$1032,MATCH($O210,Items!$A$2:$A$1032,0))</f>
        <v>#N/A</v>
      </c>
    </row>
    <row r="211" spans="1:18" x14ac:dyDescent="0.25">
      <c r="A211">
        <f t="shared" si="17"/>
        <v>1</v>
      </c>
      <c r="B211" t="str">
        <f t="shared" si="18"/>
        <v/>
      </c>
      <c r="C211">
        <f t="shared" si="20"/>
        <v>1</v>
      </c>
      <c r="D211" s="4"/>
      <c r="E211" t="s">
        <v>18</v>
      </c>
      <c r="F211" t="str">
        <f>INDEX(Establishment!B$2:B$1005,MATCH($E211,Establishment!$A$2:$A$1005,0))</f>
        <v xml:space="preserve"> </v>
      </c>
      <c r="G211" t="str">
        <f>INDEX(Establishment!C$2:C$1005,MATCH($E211,Establishment!$A$2:$A$1005,0))</f>
        <v xml:space="preserve"> </v>
      </c>
      <c r="M211">
        <f t="shared" si="21"/>
        <v>0</v>
      </c>
      <c r="N211">
        <f t="shared" si="19"/>
        <v>0</v>
      </c>
      <c r="P211" t="e">
        <f>INDEX(Items!B$2:B$1032,MATCH($O211,Items!$A$2:$A$1032,0))</f>
        <v>#N/A</v>
      </c>
      <c r="Q211" t="e">
        <f>INDEX(Items!C$2:C$1032,MATCH($O211,Items!$A$2:$A$1032,0))</f>
        <v>#N/A</v>
      </c>
      <c r="R211" t="e">
        <f>INDEX(Items!D$2:D$1032,MATCH($O211,Items!$A$2:$A$1032,0))</f>
        <v>#N/A</v>
      </c>
    </row>
    <row r="212" spans="1:18" x14ac:dyDescent="0.25">
      <c r="A212">
        <f t="shared" si="17"/>
        <v>1</v>
      </c>
      <c r="B212" t="str">
        <f t="shared" si="18"/>
        <v/>
      </c>
      <c r="C212">
        <f t="shared" si="20"/>
        <v>1</v>
      </c>
      <c r="D212" s="4"/>
      <c r="E212" t="s">
        <v>18</v>
      </c>
      <c r="F212" t="str">
        <f>INDEX(Establishment!B$2:B$1005,MATCH($E212,Establishment!$A$2:$A$1005,0))</f>
        <v xml:space="preserve"> </v>
      </c>
      <c r="G212" t="str">
        <f>INDEX(Establishment!C$2:C$1005,MATCH($E212,Establishment!$A$2:$A$1005,0))</f>
        <v xml:space="preserve"> </v>
      </c>
      <c r="M212">
        <f t="shared" si="21"/>
        <v>0</v>
      </c>
      <c r="N212">
        <f t="shared" si="19"/>
        <v>0</v>
      </c>
      <c r="P212" t="e">
        <f>INDEX(Items!B$2:B$1032,MATCH($O212,Items!$A$2:$A$1032,0))</f>
        <v>#N/A</v>
      </c>
      <c r="Q212" t="e">
        <f>INDEX(Items!C$2:C$1032,MATCH($O212,Items!$A$2:$A$1032,0))</f>
        <v>#N/A</v>
      </c>
      <c r="R212" t="e">
        <f>INDEX(Items!D$2:D$1032,MATCH($O212,Items!$A$2:$A$1032,0))</f>
        <v>#N/A</v>
      </c>
    </row>
    <row r="213" spans="1:18" x14ac:dyDescent="0.25">
      <c r="A213">
        <f t="shared" si="17"/>
        <v>1</v>
      </c>
      <c r="B213" t="str">
        <f t="shared" si="18"/>
        <v/>
      </c>
      <c r="C213">
        <f t="shared" si="20"/>
        <v>1</v>
      </c>
      <c r="D213" s="4"/>
      <c r="E213" t="s">
        <v>18</v>
      </c>
      <c r="F213" t="str">
        <f>INDEX(Establishment!B$2:B$1005,MATCH($E213,Establishment!$A$2:$A$1005,0))</f>
        <v xml:space="preserve"> </v>
      </c>
      <c r="G213" t="str">
        <f>INDEX(Establishment!C$2:C$1005,MATCH($E213,Establishment!$A$2:$A$1005,0))</f>
        <v xml:space="preserve"> </v>
      </c>
      <c r="M213">
        <f t="shared" si="21"/>
        <v>0</v>
      </c>
      <c r="N213">
        <f t="shared" si="19"/>
        <v>0</v>
      </c>
      <c r="P213" t="e">
        <f>INDEX(Items!B$2:B$1032,MATCH($O213,Items!$A$2:$A$1032,0))</f>
        <v>#N/A</v>
      </c>
      <c r="Q213" t="e">
        <f>INDEX(Items!C$2:C$1032,MATCH($O213,Items!$A$2:$A$1032,0))</f>
        <v>#N/A</v>
      </c>
      <c r="R213" t="e">
        <f>INDEX(Items!D$2:D$1032,MATCH($O213,Items!$A$2:$A$1032,0))</f>
        <v>#N/A</v>
      </c>
    </row>
    <row r="214" spans="1:18" x14ac:dyDescent="0.25">
      <c r="A214">
        <f t="shared" si="17"/>
        <v>1</v>
      </c>
      <c r="B214" t="str">
        <f t="shared" si="18"/>
        <v/>
      </c>
      <c r="C214">
        <f t="shared" si="20"/>
        <v>1</v>
      </c>
      <c r="D214" s="4"/>
      <c r="E214" t="s">
        <v>18</v>
      </c>
      <c r="F214" t="str">
        <f>INDEX(Establishment!B$2:B$1005,MATCH($E214,Establishment!$A$2:$A$1005,0))</f>
        <v xml:space="preserve"> </v>
      </c>
      <c r="G214" t="str">
        <f>INDEX(Establishment!C$2:C$1005,MATCH($E214,Establishment!$A$2:$A$1005,0))</f>
        <v xml:space="preserve"> </v>
      </c>
      <c r="M214">
        <f t="shared" si="21"/>
        <v>0</v>
      </c>
      <c r="N214">
        <f t="shared" si="19"/>
        <v>0</v>
      </c>
      <c r="P214" t="e">
        <f>INDEX(Items!B$2:B$1032,MATCH($O214,Items!$A$2:$A$1032,0))</f>
        <v>#N/A</v>
      </c>
      <c r="Q214" t="e">
        <f>INDEX(Items!C$2:C$1032,MATCH($O214,Items!$A$2:$A$1032,0))</f>
        <v>#N/A</v>
      </c>
      <c r="R214" t="e">
        <f>INDEX(Items!D$2:D$1032,MATCH($O214,Items!$A$2:$A$1032,0))</f>
        <v>#N/A</v>
      </c>
    </row>
    <row r="215" spans="1:18" x14ac:dyDescent="0.25">
      <c r="A215">
        <f t="shared" si="17"/>
        <v>1</v>
      </c>
      <c r="B215" t="str">
        <f t="shared" si="18"/>
        <v/>
      </c>
      <c r="C215">
        <f t="shared" si="20"/>
        <v>1</v>
      </c>
      <c r="D215" s="4"/>
      <c r="E215" t="s">
        <v>18</v>
      </c>
      <c r="F215" t="str">
        <f>INDEX(Establishment!B$2:B$1005,MATCH($E215,Establishment!$A$2:$A$1005,0))</f>
        <v xml:space="preserve"> </v>
      </c>
      <c r="G215" t="str">
        <f>INDEX(Establishment!C$2:C$1005,MATCH($E215,Establishment!$A$2:$A$1005,0))</f>
        <v xml:space="preserve"> </v>
      </c>
      <c r="M215">
        <f t="shared" si="21"/>
        <v>0</v>
      </c>
      <c r="N215">
        <f t="shared" si="19"/>
        <v>0</v>
      </c>
      <c r="P215" t="e">
        <f>INDEX(Items!B$2:B$1032,MATCH($O215,Items!$A$2:$A$1032,0))</f>
        <v>#N/A</v>
      </c>
      <c r="Q215" t="e">
        <f>INDEX(Items!C$2:C$1032,MATCH($O215,Items!$A$2:$A$1032,0))</f>
        <v>#N/A</v>
      </c>
      <c r="R215" t="e">
        <f>INDEX(Items!D$2:D$1032,MATCH($O215,Items!$A$2:$A$1032,0))</f>
        <v>#N/A</v>
      </c>
    </row>
    <row r="216" spans="1:18" x14ac:dyDescent="0.25">
      <c r="A216">
        <f t="shared" si="17"/>
        <v>1</v>
      </c>
      <c r="B216" t="str">
        <f t="shared" si="18"/>
        <v/>
      </c>
      <c r="C216">
        <f t="shared" si="20"/>
        <v>1</v>
      </c>
      <c r="D216" s="4"/>
      <c r="E216" t="s">
        <v>18</v>
      </c>
      <c r="F216" t="str">
        <f>INDEX(Establishment!B$2:B$1005,MATCH($E216,Establishment!$A$2:$A$1005,0))</f>
        <v xml:space="preserve"> </v>
      </c>
      <c r="G216" t="str">
        <f>INDEX(Establishment!C$2:C$1005,MATCH($E216,Establishment!$A$2:$A$1005,0))</f>
        <v xml:space="preserve"> </v>
      </c>
      <c r="M216">
        <f t="shared" si="21"/>
        <v>0</v>
      </c>
      <c r="N216">
        <f t="shared" si="19"/>
        <v>0</v>
      </c>
      <c r="P216" t="e">
        <f>INDEX(Items!B$2:B$1032,MATCH($O216,Items!$A$2:$A$1032,0))</f>
        <v>#N/A</v>
      </c>
      <c r="Q216" t="e">
        <f>INDEX(Items!C$2:C$1032,MATCH($O216,Items!$A$2:$A$1032,0))</f>
        <v>#N/A</v>
      </c>
      <c r="R216" t="e">
        <f>INDEX(Items!D$2:D$1032,MATCH($O216,Items!$A$2:$A$1032,0))</f>
        <v>#N/A</v>
      </c>
    </row>
    <row r="217" spans="1:18" x14ac:dyDescent="0.25">
      <c r="A217">
        <f t="shared" si="17"/>
        <v>1</v>
      </c>
      <c r="B217" t="str">
        <f t="shared" si="18"/>
        <v/>
      </c>
      <c r="C217">
        <f t="shared" si="20"/>
        <v>1</v>
      </c>
      <c r="D217" s="4"/>
      <c r="E217" t="s">
        <v>18</v>
      </c>
      <c r="F217" t="str">
        <f>INDEX(Establishment!B$2:B$1005,MATCH($E217,Establishment!$A$2:$A$1005,0))</f>
        <v xml:space="preserve"> </v>
      </c>
      <c r="G217" t="str">
        <f>INDEX(Establishment!C$2:C$1005,MATCH($E217,Establishment!$A$2:$A$1005,0))</f>
        <v xml:space="preserve"> </v>
      </c>
      <c r="M217">
        <f t="shared" si="21"/>
        <v>0</v>
      </c>
      <c r="N217">
        <f t="shared" si="19"/>
        <v>0</v>
      </c>
      <c r="P217" t="e">
        <f>INDEX(Items!B$2:B$1032,MATCH($O217,Items!$A$2:$A$1032,0))</f>
        <v>#N/A</v>
      </c>
      <c r="Q217" t="e">
        <f>INDEX(Items!C$2:C$1032,MATCH($O217,Items!$A$2:$A$1032,0))</f>
        <v>#N/A</v>
      </c>
      <c r="R217" t="e">
        <f>INDEX(Items!D$2:D$1032,MATCH($O217,Items!$A$2:$A$1032,0))</f>
        <v>#N/A</v>
      </c>
    </row>
    <row r="218" spans="1:18" x14ac:dyDescent="0.25">
      <c r="A218">
        <f t="shared" si="17"/>
        <v>1</v>
      </c>
      <c r="B218" t="str">
        <f t="shared" si="18"/>
        <v/>
      </c>
      <c r="C218">
        <f t="shared" si="20"/>
        <v>1</v>
      </c>
      <c r="D218" s="4"/>
      <c r="E218" t="s">
        <v>18</v>
      </c>
      <c r="F218" t="str">
        <f>INDEX(Establishment!B$2:B$1005,MATCH($E218,Establishment!$A$2:$A$1005,0))</f>
        <v xml:space="preserve"> </v>
      </c>
      <c r="G218" t="str">
        <f>INDEX(Establishment!C$2:C$1005,MATCH($E218,Establishment!$A$2:$A$1005,0))</f>
        <v xml:space="preserve"> </v>
      </c>
      <c r="M218">
        <f t="shared" si="21"/>
        <v>0</v>
      </c>
      <c r="N218">
        <f t="shared" si="19"/>
        <v>0</v>
      </c>
      <c r="P218" t="e">
        <f>INDEX(Items!B$2:B$1032,MATCH($O218,Items!$A$2:$A$1032,0))</f>
        <v>#N/A</v>
      </c>
      <c r="Q218" t="e">
        <f>INDEX(Items!C$2:C$1032,MATCH($O218,Items!$A$2:$A$1032,0))</f>
        <v>#N/A</v>
      </c>
      <c r="R218" t="e">
        <f>INDEX(Items!D$2:D$1032,MATCH($O218,Items!$A$2:$A$1032,0))</f>
        <v>#N/A</v>
      </c>
    </row>
    <row r="219" spans="1:18" x14ac:dyDescent="0.25">
      <c r="A219">
        <f t="shared" si="17"/>
        <v>1</v>
      </c>
      <c r="B219" t="str">
        <f t="shared" si="18"/>
        <v/>
      </c>
      <c r="C219">
        <f t="shared" si="20"/>
        <v>1</v>
      </c>
      <c r="D219" s="4"/>
      <c r="E219" t="s">
        <v>18</v>
      </c>
      <c r="F219" t="str">
        <f>INDEX(Establishment!B$2:B$1005,MATCH($E219,Establishment!$A$2:$A$1005,0))</f>
        <v xml:space="preserve"> </v>
      </c>
      <c r="G219" t="str">
        <f>INDEX(Establishment!C$2:C$1005,MATCH($E219,Establishment!$A$2:$A$1005,0))</f>
        <v xml:space="preserve"> </v>
      </c>
      <c r="M219">
        <f t="shared" si="21"/>
        <v>0</v>
      </c>
      <c r="N219">
        <f t="shared" si="19"/>
        <v>0</v>
      </c>
      <c r="P219" t="e">
        <f>INDEX(Items!B$2:B$1032,MATCH($O219,Items!$A$2:$A$1032,0))</f>
        <v>#N/A</v>
      </c>
      <c r="Q219" t="e">
        <f>INDEX(Items!C$2:C$1032,MATCH($O219,Items!$A$2:$A$1032,0))</f>
        <v>#N/A</v>
      </c>
      <c r="R219" t="e">
        <f>INDEX(Items!D$2:D$1032,MATCH($O219,Items!$A$2:$A$1032,0))</f>
        <v>#N/A</v>
      </c>
    </row>
    <row r="220" spans="1:18" x14ac:dyDescent="0.25">
      <c r="A220">
        <f t="shared" si="17"/>
        <v>1</v>
      </c>
      <c r="B220" t="str">
        <f t="shared" si="18"/>
        <v/>
      </c>
      <c r="C220">
        <f t="shared" si="20"/>
        <v>1</v>
      </c>
      <c r="D220" s="4"/>
      <c r="E220" t="s">
        <v>18</v>
      </c>
      <c r="F220" t="str">
        <f>INDEX(Establishment!B$2:B$1005,MATCH($E220,Establishment!$A$2:$A$1005,0))</f>
        <v xml:space="preserve"> </v>
      </c>
      <c r="G220" t="str">
        <f>INDEX(Establishment!C$2:C$1005,MATCH($E220,Establishment!$A$2:$A$1005,0))</f>
        <v xml:space="preserve"> </v>
      </c>
      <c r="M220">
        <f t="shared" si="21"/>
        <v>0</v>
      </c>
      <c r="N220">
        <f t="shared" si="19"/>
        <v>0</v>
      </c>
      <c r="P220" t="e">
        <f>INDEX(Items!B$2:B$1032,MATCH($O220,Items!$A$2:$A$1032,0))</f>
        <v>#N/A</v>
      </c>
      <c r="Q220" t="e">
        <f>INDEX(Items!C$2:C$1032,MATCH($O220,Items!$A$2:$A$1032,0))</f>
        <v>#N/A</v>
      </c>
      <c r="R220" t="e">
        <f>INDEX(Items!D$2:D$1032,MATCH($O220,Items!$A$2:$A$1032,0))</f>
        <v>#N/A</v>
      </c>
    </row>
    <row r="221" spans="1:18" x14ac:dyDescent="0.25">
      <c r="A221">
        <f t="shared" si="17"/>
        <v>1</v>
      </c>
      <c r="B221" t="str">
        <f t="shared" si="18"/>
        <v/>
      </c>
      <c r="C221">
        <f t="shared" si="20"/>
        <v>1</v>
      </c>
      <c r="D221" s="4"/>
      <c r="E221" t="s">
        <v>18</v>
      </c>
      <c r="F221" t="str">
        <f>INDEX(Establishment!B$2:B$1005,MATCH($E221,Establishment!$A$2:$A$1005,0))</f>
        <v xml:space="preserve"> </v>
      </c>
      <c r="G221" t="str">
        <f>INDEX(Establishment!C$2:C$1005,MATCH($E221,Establishment!$A$2:$A$1005,0))</f>
        <v xml:space="preserve"> </v>
      </c>
      <c r="M221">
        <f t="shared" si="21"/>
        <v>0</v>
      </c>
      <c r="N221">
        <f t="shared" si="19"/>
        <v>0</v>
      </c>
      <c r="P221" t="e">
        <f>INDEX(Items!B$2:B$1032,MATCH($O221,Items!$A$2:$A$1032,0))</f>
        <v>#N/A</v>
      </c>
      <c r="Q221" t="e">
        <f>INDEX(Items!C$2:C$1032,MATCH($O221,Items!$A$2:$A$1032,0))</f>
        <v>#N/A</v>
      </c>
      <c r="R221" t="e">
        <f>INDEX(Items!D$2:D$1032,MATCH($O221,Items!$A$2:$A$1032,0))</f>
        <v>#N/A</v>
      </c>
    </row>
    <row r="222" spans="1:18" x14ac:dyDescent="0.25">
      <c r="A222">
        <f t="shared" si="17"/>
        <v>1</v>
      </c>
      <c r="B222" t="str">
        <f t="shared" si="18"/>
        <v/>
      </c>
      <c r="C222">
        <f t="shared" si="20"/>
        <v>1</v>
      </c>
      <c r="D222" s="4"/>
      <c r="E222" t="s">
        <v>18</v>
      </c>
      <c r="F222" t="str">
        <f>INDEX(Establishment!B$2:B$1005,MATCH($E222,Establishment!$A$2:$A$1005,0))</f>
        <v xml:space="preserve"> </v>
      </c>
      <c r="G222" t="str">
        <f>INDEX(Establishment!C$2:C$1005,MATCH($E222,Establishment!$A$2:$A$1005,0))</f>
        <v xml:space="preserve"> </v>
      </c>
      <c r="M222">
        <f t="shared" si="21"/>
        <v>0</v>
      </c>
      <c r="N222">
        <f t="shared" si="19"/>
        <v>0</v>
      </c>
      <c r="P222" t="e">
        <f>INDEX(Items!B$2:B$1032,MATCH($O222,Items!$A$2:$A$1032,0))</f>
        <v>#N/A</v>
      </c>
      <c r="Q222" t="e">
        <f>INDEX(Items!C$2:C$1032,MATCH($O222,Items!$A$2:$A$1032,0))</f>
        <v>#N/A</v>
      </c>
      <c r="R222" t="e">
        <f>INDEX(Items!D$2:D$1032,MATCH($O222,Items!$A$2:$A$1032,0))</f>
        <v>#N/A</v>
      </c>
    </row>
    <row r="223" spans="1:18" x14ac:dyDescent="0.25">
      <c r="A223">
        <f t="shared" si="17"/>
        <v>1</v>
      </c>
      <c r="B223" t="str">
        <f t="shared" si="18"/>
        <v/>
      </c>
      <c r="C223">
        <f t="shared" si="20"/>
        <v>1</v>
      </c>
      <c r="D223" s="4"/>
      <c r="E223" t="s">
        <v>18</v>
      </c>
      <c r="F223" t="str">
        <f>INDEX(Establishment!B$2:B$1005,MATCH($E223,Establishment!$A$2:$A$1005,0))</f>
        <v xml:space="preserve"> </v>
      </c>
      <c r="G223" t="str">
        <f>INDEX(Establishment!C$2:C$1005,MATCH($E223,Establishment!$A$2:$A$1005,0))</f>
        <v xml:space="preserve"> </v>
      </c>
      <c r="M223">
        <f t="shared" si="21"/>
        <v>0</v>
      </c>
      <c r="N223">
        <f t="shared" si="19"/>
        <v>0</v>
      </c>
      <c r="P223" t="e">
        <f>INDEX(Items!B$2:B$1032,MATCH($O223,Items!$A$2:$A$1032,0))</f>
        <v>#N/A</v>
      </c>
      <c r="Q223" t="e">
        <f>INDEX(Items!C$2:C$1032,MATCH($O223,Items!$A$2:$A$1032,0))</f>
        <v>#N/A</v>
      </c>
      <c r="R223" t="e">
        <f>INDEX(Items!D$2:D$1032,MATCH($O223,Items!$A$2:$A$1032,0))</f>
        <v>#N/A</v>
      </c>
    </row>
    <row r="224" spans="1:18" x14ac:dyDescent="0.25">
      <c r="A224">
        <f t="shared" si="17"/>
        <v>1</v>
      </c>
      <c r="B224" t="str">
        <f t="shared" si="18"/>
        <v/>
      </c>
      <c r="C224">
        <f t="shared" si="20"/>
        <v>1</v>
      </c>
      <c r="D224" s="4"/>
      <c r="E224" t="s">
        <v>18</v>
      </c>
      <c r="F224" t="str">
        <f>INDEX(Establishment!B$2:B$1005,MATCH($E224,Establishment!$A$2:$A$1005,0))</f>
        <v xml:space="preserve"> </v>
      </c>
      <c r="G224" t="str">
        <f>INDEX(Establishment!C$2:C$1005,MATCH($E224,Establishment!$A$2:$A$1005,0))</f>
        <v xml:space="preserve"> </v>
      </c>
      <c r="M224">
        <f t="shared" si="21"/>
        <v>0</v>
      </c>
      <c r="N224">
        <f t="shared" si="19"/>
        <v>0</v>
      </c>
      <c r="P224" t="e">
        <f>INDEX(Items!B$2:B$1032,MATCH($O224,Items!$A$2:$A$1032,0))</f>
        <v>#N/A</v>
      </c>
      <c r="Q224" t="e">
        <f>INDEX(Items!C$2:C$1032,MATCH($O224,Items!$A$2:$A$1032,0))</f>
        <v>#N/A</v>
      </c>
      <c r="R224" t="e">
        <f>INDEX(Items!D$2:D$1032,MATCH($O224,Items!$A$2:$A$1032,0))</f>
        <v>#N/A</v>
      </c>
    </row>
    <row r="225" spans="1:18" x14ac:dyDescent="0.25">
      <c r="A225">
        <f t="shared" si="17"/>
        <v>1</v>
      </c>
      <c r="B225" t="str">
        <f t="shared" si="18"/>
        <v/>
      </c>
      <c r="C225">
        <f t="shared" si="20"/>
        <v>1</v>
      </c>
      <c r="D225" s="4"/>
      <c r="E225" t="s">
        <v>18</v>
      </c>
      <c r="F225" t="str">
        <f>INDEX(Establishment!B$2:B$1005,MATCH($E225,Establishment!$A$2:$A$1005,0))</f>
        <v xml:space="preserve"> </v>
      </c>
      <c r="G225" t="str">
        <f>INDEX(Establishment!C$2:C$1005,MATCH($E225,Establishment!$A$2:$A$1005,0))</f>
        <v xml:space="preserve"> </v>
      </c>
      <c r="M225">
        <f t="shared" si="21"/>
        <v>0</v>
      </c>
      <c r="N225">
        <f t="shared" si="19"/>
        <v>0</v>
      </c>
      <c r="P225" t="e">
        <f>INDEX(Items!B$2:B$1032,MATCH($O225,Items!$A$2:$A$1032,0))</f>
        <v>#N/A</v>
      </c>
      <c r="Q225" t="e">
        <f>INDEX(Items!C$2:C$1032,MATCH($O225,Items!$A$2:$A$1032,0))</f>
        <v>#N/A</v>
      </c>
      <c r="R225" t="e">
        <f>INDEX(Items!D$2:D$1032,MATCH($O225,Items!$A$2:$A$1032,0))</f>
        <v>#N/A</v>
      </c>
    </row>
    <row r="226" spans="1:18" x14ac:dyDescent="0.25">
      <c r="A226">
        <f t="shared" si="17"/>
        <v>1</v>
      </c>
      <c r="B226" t="str">
        <f t="shared" si="18"/>
        <v/>
      </c>
      <c r="C226">
        <f t="shared" si="20"/>
        <v>1</v>
      </c>
      <c r="D226" s="4"/>
      <c r="E226" t="s">
        <v>18</v>
      </c>
      <c r="F226" t="str">
        <f>INDEX(Establishment!B$2:B$1005,MATCH($E226,Establishment!$A$2:$A$1005,0))</f>
        <v xml:space="preserve"> </v>
      </c>
      <c r="G226" t="str">
        <f>INDEX(Establishment!C$2:C$1005,MATCH($E226,Establishment!$A$2:$A$1005,0))</f>
        <v xml:space="preserve"> </v>
      </c>
      <c r="M226">
        <f t="shared" si="21"/>
        <v>0</v>
      </c>
      <c r="N226">
        <f t="shared" si="19"/>
        <v>0</v>
      </c>
      <c r="P226" t="e">
        <f>INDEX(Items!B$2:B$1032,MATCH($O226,Items!$A$2:$A$1032,0))</f>
        <v>#N/A</v>
      </c>
      <c r="Q226" t="e">
        <f>INDEX(Items!C$2:C$1032,MATCH($O226,Items!$A$2:$A$1032,0))</f>
        <v>#N/A</v>
      </c>
      <c r="R226" t="e">
        <f>INDEX(Items!D$2:D$1032,MATCH($O226,Items!$A$2:$A$1032,0))</f>
        <v>#N/A</v>
      </c>
    </row>
    <row r="227" spans="1:18" x14ac:dyDescent="0.25">
      <c r="A227">
        <f t="shared" si="17"/>
        <v>1</v>
      </c>
      <c r="B227" t="str">
        <f t="shared" si="18"/>
        <v/>
      </c>
      <c r="C227">
        <f t="shared" si="20"/>
        <v>1</v>
      </c>
      <c r="D227" s="4"/>
      <c r="E227" t="s">
        <v>18</v>
      </c>
      <c r="F227" t="str">
        <f>INDEX(Establishment!B$2:B$1005,MATCH($E227,Establishment!$A$2:$A$1005,0))</f>
        <v xml:space="preserve"> </v>
      </c>
      <c r="G227" t="str">
        <f>INDEX(Establishment!C$2:C$1005,MATCH($E227,Establishment!$A$2:$A$1005,0))</f>
        <v xml:space="preserve"> </v>
      </c>
      <c r="M227">
        <f t="shared" si="21"/>
        <v>0</v>
      </c>
      <c r="N227">
        <f t="shared" si="19"/>
        <v>0</v>
      </c>
      <c r="P227" t="e">
        <f>INDEX(Items!B$2:B$1032,MATCH($O227,Items!$A$2:$A$1032,0))</f>
        <v>#N/A</v>
      </c>
      <c r="Q227" t="e">
        <f>INDEX(Items!C$2:C$1032,MATCH($O227,Items!$A$2:$A$1032,0))</f>
        <v>#N/A</v>
      </c>
      <c r="R227" t="e">
        <f>INDEX(Items!D$2:D$1032,MATCH($O227,Items!$A$2:$A$1032,0))</f>
        <v>#N/A</v>
      </c>
    </row>
    <row r="228" spans="1:18" x14ac:dyDescent="0.25">
      <c r="A228">
        <f t="shared" si="17"/>
        <v>1</v>
      </c>
      <c r="B228" t="str">
        <f t="shared" si="18"/>
        <v/>
      </c>
      <c r="C228">
        <f t="shared" si="20"/>
        <v>1</v>
      </c>
      <c r="D228" s="4"/>
      <c r="E228" t="s">
        <v>18</v>
      </c>
      <c r="F228" t="str">
        <f>INDEX(Establishment!B$2:B$1005,MATCH($E228,Establishment!$A$2:$A$1005,0))</f>
        <v xml:space="preserve"> </v>
      </c>
      <c r="G228" t="str">
        <f>INDEX(Establishment!C$2:C$1005,MATCH($E228,Establishment!$A$2:$A$1005,0))</f>
        <v xml:space="preserve"> </v>
      </c>
      <c r="M228">
        <f t="shared" si="21"/>
        <v>0</v>
      </c>
      <c r="N228">
        <f t="shared" si="19"/>
        <v>0</v>
      </c>
      <c r="P228" t="e">
        <f>INDEX(Items!B$2:B$1032,MATCH($O228,Items!$A$2:$A$1032,0))</f>
        <v>#N/A</v>
      </c>
      <c r="Q228" t="e">
        <f>INDEX(Items!C$2:C$1032,MATCH($O228,Items!$A$2:$A$1032,0))</f>
        <v>#N/A</v>
      </c>
      <c r="R228" t="e">
        <f>INDEX(Items!D$2:D$1032,MATCH($O228,Items!$A$2:$A$1032,0))</f>
        <v>#N/A</v>
      </c>
    </row>
    <row r="229" spans="1:18" x14ac:dyDescent="0.25">
      <c r="A229">
        <f t="shared" si="17"/>
        <v>1</v>
      </c>
      <c r="B229" t="str">
        <f t="shared" si="18"/>
        <v/>
      </c>
      <c r="C229">
        <f t="shared" si="20"/>
        <v>1</v>
      </c>
      <c r="D229" s="4"/>
      <c r="E229" t="s">
        <v>18</v>
      </c>
      <c r="F229" t="str">
        <f>INDEX(Establishment!B$2:B$1005,MATCH($E229,Establishment!$A$2:$A$1005,0))</f>
        <v xml:space="preserve"> </v>
      </c>
      <c r="G229" t="str">
        <f>INDEX(Establishment!C$2:C$1005,MATCH($E229,Establishment!$A$2:$A$1005,0))</f>
        <v xml:space="preserve"> </v>
      </c>
      <c r="M229">
        <f t="shared" si="21"/>
        <v>0</v>
      </c>
      <c r="N229">
        <f t="shared" si="19"/>
        <v>0</v>
      </c>
      <c r="P229" t="e">
        <f>INDEX(Items!B$2:B$1032,MATCH($O229,Items!$A$2:$A$1032,0))</f>
        <v>#N/A</v>
      </c>
      <c r="Q229" t="e">
        <f>INDEX(Items!C$2:C$1032,MATCH($O229,Items!$A$2:$A$1032,0))</f>
        <v>#N/A</v>
      </c>
      <c r="R229" t="e">
        <f>INDEX(Items!D$2:D$1032,MATCH($O229,Items!$A$2:$A$1032,0))</f>
        <v>#N/A</v>
      </c>
    </row>
    <row r="230" spans="1:18" x14ac:dyDescent="0.25">
      <c r="A230">
        <f t="shared" si="17"/>
        <v>1</v>
      </c>
      <c r="B230" t="str">
        <f t="shared" si="18"/>
        <v/>
      </c>
      <c r="C230">
        <f t="shared" si="20"/>
        <v>1</v>
      </c>
      <c r="D230" s="4"/>
      <c r="E230" t="s">
        <v>18</v>
      </c>
      <c r="F230" t="str">
        <f>INDEX(Establishment!B$2:B$1005,MATCH($E230,Establishment!$A$2:$A$1005,0))</f>
        <v xml:space="preserve"> </v>
      </c>
      <c r="G230" t="str">
        <f>INDEX(Establishment!C$2:C$1005,MATCH($E230,Establishment!$A$2:$A$1005,0))</f>
        <v xml:space="preserve"> </v>
      </c>
      <c r="M230">
        <f t="shared" si="21"/>
        <v>0</v>
      </c>
      <c r="N230">
        <f t="shared" si="19"/>
        <v>0</v>
      </c>
      <c r="P230" t="e">
        <f>INDEX(Items!B$2:B$1032,MATCH($O230,Items!$A$2:$A$1032,0))</f>
        <v>#N/A</v>
      </c>
      <c r="Q230" t="e">
        <f>INDEX(Items!C$2:C$1032,MATCH($O230,Items!$A$2:$A$1032,0))</f>
        <v>#N/A</v>
      </c>
      <c r="R230" t="e">
        <f>INDEX(Items!D$2:D$1032,MATCH($O230,Items!$A$2:$A$1032,0))</f>
        <v>#N/A</v>
      </c>
    </row>
    <row r="231" spans="1:18" x14ac:dyDescent="0.25">
      <c r="A231">
        <f t="shared" si="17"/>
        <v>1</v>
      </c>
      <c r="B231" t="str">
        <f t="shared" si="18"/>
        <v/>
      </c>
      <c r="C231">
        <f t="shared" si="20"/>
        <v>1</v>
      </c>
      <c r="D231" s="4"/>
      <c r="E231" t="s">
        <v>18</v>
      </c>
      <c r="F231" t="str">
        <f>INDEX(Establishment!B$2:B$1005,MATCH($E231,Establishment!$A$2:$A$1005,0))</f>
        <v xml:space="preserve"> </v>
      </c>
      <c r="G231" t="str">
        <f>INDEX(Establishment!C$2:C$1005,MATCH($E231,Establishment!$A$2:$A$1005,0))</f>
        <v xml:space="preserve"> </v>
      </c>
      <c r="M231">
        <f t="shared" si="21"/>
        <v>0</v>
      </c>
      <c r="N231">
        <f t="shared" si="19"/>
        <v>0</v>
      </c>
      <c r="P231" t="e">
        <f>INDEX(Items!B$2:B$1032,MATCH($O231,Items!$A$2:$A$1032,0))</f>
        <v>#N/A</v>
      </c>
      <c r="Q231" t="e">
        <f>INDEX(Items!C$2:C$1032,MATCH($O231,Items!$A$2:$A$1032,0))</f>
        <v>#N/A</v>
      </c>
      <c r="R231" t="e">
        <f>INDEX(Items!D$2:D$1032,MATCH($O231,Items!$A$2:$A$1032,0))</f>
        <v>#N/A</v>
      </c>
    </row>
    <row r="232" spans="1:18" x14ac:dyDescent="0.25">
      <c r="A232">
        <f t="shared" si="17"/>
        <v>1</v>
      </c>
      <c r="B232" t="str">
        <f t="shared" si="18"/>
        <v/>
      </c>
      <c r="C232">
        <f t="shared" si="20"/>
        <v>1</v>
      </c>
      <c r="D232" s="4"/>
      <c r="E232" t="s">
        <v>18</v>
      </c>
      <c r="F232" t="str">
        <f>INDEX(Establishment!B$2:B$1005,MATCH($E232,Establishment!$A$2:$A$1005,0))</f>
        <v xml:space="preserve"> </v>
      </c>
      <c r="G232" t="str">
        <f>INDEX(Establishment!C$2:C$1005,MATCH($E232,Establishment!$A$2:$A$1005,0))</f>
        <v xml:space="preserve"> </v>
      </c>
      <c r="M232">
        <f t="shared" si="21"/>
        <v>0</v>
      </c>
      <c r="N232">
        <f t="shared" si="19"/>
        <v>0</v>
      </c>
      <c r="P232" t="e">
        <f>INDEX(Items!B$2:B$1032,MATCH($O232,Items!$A$2:$A$1032,0))</f>
        <v>#N/A</v>
      </c>
      <c r="Q232" t="e">
        <f>INDEX(Items!C$2:C$1032,MATCH($O232,Items!$A$2:$A$1032,0))</f>
        <v>#N/A</v>
      </c>
      <c r="R232" t="e">
        <f>INDEX(Items!D$2:D$1032,MATCH($O232,Items!$A$2:$A$1032,0))</f>
        <v>#N/A</v>
      </c>
    </row>
    <row r="233" spans="1:18" x14ac:dyDescent="0.25">
      <c r="A233">
        <f t="shared" si="17"/>
        <v>1</v>
      </c>
      <c r="B233" t="str">
        <f t="shared" si="18"/>
        <v/>
      </c>
      <c r="C233">
        <f t="shared" si="20"/>
        <v>1</v>
      </c>
      <c r="D233" s="4"/>
      <c r="E233" t="s">
        <v>18</v>
      </c>
      <c r="F233" t="str">
        <f>INDEX(Establishment!B$2:B$1005,MATCH($E233,Establishment!$A$2:$A$1005,0))</f>
        <v xml:space="preserve"> </v>
      </c>
      <c r="G233" t="str">
        <f>INDEX(Establishment!C$2:C$1005,MATCH($E233,Establishment!$A$2:$A$1005,0))</f>
        <v xml:space="preserve"> </v>
      </c>
      <c r="M233">
        <f t="shared" si="21"/>
        <v>0</v>
      </c>
      <c r="N233">
        <f t="shared" si="19"/>
        <v>0</v>
      </c>
      <c r="P233" t="e">
        <f>INDEX(Items!B$2:B$1032,MATCH($O233,Items!$A$2:$A$1032,0))</f>
        <v>#N/A</v>
      </c>
      <c r="Q233" t="e">
        <f>INDEX(Items!C$2:C$1032,MATCH($O233,Items!$A$2:$A$1032,0))</f>
        <v>#N/A</v>
      </c>
      <c r="R233" t="e">
        <f>INDEX(Items!D$2:D$1032,MATCH($O233,Items!$A$2:$A$1032,0))</f>
        <v>#N/A</v>
      </c>
    </row>
    <row r="234" spans="1:18" x14ac:dyDescent="0.25">
      <c r="A234">
        <f t="shared" si="17"/>
        <v>1</v>
      </c>
      <c r="B234" t="str">
        <f t="shared" si="18"/>
        <v/>
      </c>
      <c r="C234">
        <f t="shared" si="20"/>
        <v>1</v>
      </c>
      <c r="D234" s="4"/>
      <c r="E234" t="s">
        <v>18</v>
      </c>
      <c r="F234" t="str">
        <f>INDEX(Establishment!B$2:B$1005,MATCH($E234,Establishment!$A$2:$A$1005,0))</f>
        <v xml:space="preserve"> </v>
      </c>
      <c r="G234" t="str">
        <f>INDEX(Establishment!C$2:C$1005,MATCH($E234,Establishment!$A$2:$A$1005,0))</f>
        <v xml:space="preserve"> </v>
      </c>
      <c r="M234">
        <f t="shared" si="21"/>
        <v>0</v>
      </c>
      <c r="N234">
        <f t="shared" si="19"/>
        <v>0</v>
      </c>
      <c r="P234" t="e">
        <f>INDEX(Items!B$2:B$1032,MATCH($O234,Items!$A$2:$A$1032,0))</f>
        <v>#N/A</v>
      </c>
      <c r="Q234" t="e">
        <f>INDEX(Items!C$2:C$1032,MATCH($O234,Items!$A$2:$A$1032,0))</f>
        <v>#N/A</v>
      </c>
      <c r="R234" t="e">
        <f>INDEX(Items!D$2:D$1032,MATCH($O234,Items!$A$2:$A$1032,0))</f>
        <v>#N/A</v>
      </c>
    </row>
    <row r="235" spans="1:18" x14ac:dyDescent="0.25">
      <c r="A235">
        <f t="shared" si="17"/>
        <v>1</v>
      </c>
      <c r="B235" t="str">
        <f t="shared" si="18"/>
        <v/>
      </c>
      <c r="C235">
        <f t="shared" si="20"/>
        <v>1</v>
      </c>
      <c r="D235" s="4"/>
      <c r="E235" t="s">
        <v>18</v>
      </c>
      <c r="F235" t="str">
        <f>INDEX(Establishment!B$2:B$1005,MATCH($E235,Establishment!$A$2:$A$1005,0))</f>
        <v xml:space="preserve"> </v>
      </c>
      <c r="G235" t="str">
        <f>INDEX(Establishment!C$2:C$1005,MATCH($E235,Establishment!$A$2:$A$1005,0))</f>
        <v xml:space="preserve"> </v>
      </c>
      <c r="M235">
        <f t="shared" si="21"/>
        <v>0</v>
      </c>
      <c r="N235">
        <f t="shared" si="19"/>
        <v>0</v>
      </c>
      <c r="P235" t="e">
        <f>INDEX(Items!B$2:B$1032,MATCH($O235,Items!$A$2:$A$1032,0))</f>
        <v>#N/A</v>
      </c>
      <c r="Q235" t="e">
        <f>INDEX(Items!C$2:C$1032,MATCH($O235,Items!$A$2:$A$1032,0))</f>
        <v>#N/A</v>
      </c>
      <c r="R235" t="e">
        <f>INDEX(Items!D$2:D$1032,MATCH($O235,Items!$A$2:$A$1032,0))</f>
        <v>#N/A</v>
      </c>
    </row>
    <row r="236" spans="1:18" x14ac:dyDescent="0.25">
      <c r="A236">
        <f t="shared" si="17"/>
        <v>1</v>
      </c>
      <c r="B236" t="str">
        <f t="shared" si="18"/>
        <v/>
      </c>
      <c r="C236">
        <f t="shared" si="20"/>
        <v>1</v>
      </c>
      <c r="D236" s="4"/>
      <c r="E236" t="s">
        <v>18</v>
      </c>
      <c r="F236" t="str">
        <f>INDEX(Establishment!B$2:B$1005,MATCH($E236,Establishment!$A$2:$A$1005,0))</f>
        <v xml:space="preserve"> </v>
      </c>
      <c r="G236" t="str">
        <f>INDEX(Establishment!C$2:C$1005,MATCH($E236,Establishment!$A$2:$A$1005,0))</f>
        <v xml:space="preserve"> </v>
      </c>
      <c r="M236">
        <f t="shared" si="21"/>
        <v>0</v>
      </c>
      <c r="N236">
        <f t="shared" si="19"/>
        <v>0</v>
      </c>
      <c r="P236" t="e">
        <f>INDEX(Items!B$2:B$1032,MATCH($O236,Items!$A$2:$A$1032,0))</f>
        <v>#N/A</v>
      </c>
      <c r="Q236" t="e">
        <f>INDEX(Items!C$2:C$1032,MATCH($O236,Items!$A$2:$A$1032,0))</f>
        <v>#N/A</v>
      </c>
      <c r="R236" t="e">
        <f>INDEX(Items!D$2:D$1032,MATCH($O236,Items!$A$2:$A$1032,0))</f>
        <v>#N/A</v>
      </c>
    </row>
    <row r="237" spans="1:18" x14ac:dyDescent="0.25">
      <c r="A237">
        <f t="shared" si="17"/>
        <v>1</v>
      </c>
      <c r="B237" t="str">
        <f t="shared" si="18"/>
        <v/>
      </c>
      <c r="C237">
        <f t="shared" si="20"/>
        <v>1</v>
      </c>
      <c r="D237" s="4"/>
      <c r="E237" t="s">
        <v>18</v>
      </c>
      <c r="F237" t="str">
        <f>INDEX(Establishment!B$2:B$1005,MATCH($E237,Establishment!$A$2:$A$1005,0))</f>
        <v xml:space="preserve"> </v>
      </c>
      <c r="G237" t="str">
        <f>INDEX(Establishment!C$2:C$1005,MATCH($E237,Establishment!$A$2:$A$1005,0))</f>
        <v xml:space="preserve"> </v>
      </c>
      <c r="M237">
        <f t="shared" si="21"/>
        <v>0</v>
      </c>
      <c r="N237">
        <f t="shared" si="19"/>
        <v>0</v>
      </c>
      <c r="P237" t="e">
        <f>INDEX(Items!B$2:B$1032,MATCH($O237,Items!$A$2:$A$1032,0))</f>
        <v>#N/A</v>
      </c>
      <c r="Q237" t="e">
        <f>INDEX(Items!C$2:C$1032,MATCH($O237,Items!$A$2:$A$1032,0))</f>
        <v>#N/A</v>
      </c>
      <c r="R237" t="e">
        <f>INDEX(Items!D$2:D$1032,MATCH($O237,Items!$A$2:$A$1032,0))</f>
        <v>#N/A</v>
      </c>
    </row>
    <row r="238" spans="1:18" x14ac:dyDescent="0.25">
      <c r="A238">
        <f t="shared" si="17"/>
        <v>1</v>
      </c>
      <c r="B238" t="str">
        <f t="shared" si="18"/>
        <v/>
      </c>
      <c r="C238">
        <f t="shared" si="20"/>
        <v>1</v>
      </c>
      <c r="D238" s="4"/>
      <c r="E238" t="s">
        <v>18</v>
      </c>
      <c r="F238" t="str">
        <f>INDEX(Establishment!B$2:B$1005,MATCH($E238,Establishment!$A$2:$A$1005,0))</f>
        <v xml:space="preserve"> </v>
      </c>
      <c r="G238" t="str">
        <f>INDEX(Establishment!C$2:C$1005,MATCH($E238,Establishment!$A$2:$A$1005,0))</f>
        <v xml:space="preserve"> </v>
      </c>
      <c r="M238">
        <f t="shared" si="21"/>
        <v>0</v>
      </c>
      <c r="N238">
        <f t="shared" si="19"/>
        <v>0</v>
      </c>
      <c r="P238" t="e">
        <f>INDEX(Items!B$2:B$1032,MATCH($O238,Items!$A$2:$A$1032,0))</f>
        <v>#N/A</v>
      </c>
      <c r="Q238" t="e">
        <f>INDEX(Items!C$2:C$1032,MATCH($O238,Items!$A$2:$A$1032,0))</f>
        <v>#N/A</v>
      </c>
      <c r="R238" t="e">
        <f>INDEX(Items!D$2:D$1032,MATCH($O238,Items!$A$2:$A$1032,0))</f>
        <v>#N/A</v>
      </c>
    </row>
    <row r="239" spans="1:18" x14ac:dyDescent="0.25">
      <c r="A239">
        <f t="shared" si="17"/>
        <v>1</v>
      </c>
      <c r="B239" t="str">
        <f t="shared" si="18"/>
        <v/>
      </c>
      <c r="C239">
        <f t="shared" si="20"/>
        <v>1</v>
      </c>
      <c r="D239" s="4"/>
      <c r="E239" t="s">
        <v>18</v>
      </c>
      <c r="F239" t="str">
        <f>INDEX(Establishment!B$2:B$1005,MATCH($E239,Establishment!$A$2:$A$1005,0))</f>
        <v xml:space="preserve"> </v>
      </c>
      <c r="G239" t="str">
        <f>INDEX(Establishment!C$2:C$1005,MATCH($E239,Establishment!$A$2:$A$1005,0))</f>
        <v xml:space="preserve"> </v>
      </c>
      <c r="M239">
        <f t="shared" si="21"/>
        <v>0</v>
      </c>
      <c r="N239">
        <f t="shared" si="19"/>
        <v>0</v>
      </c>
      <c r="P239" t="e">
        <f>INDEX(Items!B$2:B$1032,MATCH($O239,Items!$A$2:$A$1032,0))</f>
        <v>#N/A</v>
      </c>
      <c r="Q239" t="e">
        <f>INDEX(Items!C$2:C$1032,MATCH($O239,Items!$A$2:$A$1032,0))</f>
        <v>#N/A</v>
      </c>
      <c r="R239" t="e">
        <f>INDEX(Items!D$2:D$1032,MATCH($O239,Items!$A$2:$A$1032,0))</f>
        <v>#N/A</v>
      </c>
    </row>
    <row r="240" spans="1:18" x14ac:dyDescent="0.25">
      <c r="A240">
        <f t="shared" si="17"/>
        <v>1</v>
      </c>
      <c r="B240" t="str">
        <f t="shared" si="18"/>
        <v/>
      </c>
      <c r="C240">
        <f t="shared" si="20"/>
        <v>1</v>
      </c>
      <c r="D240" s="4"/>
      <c r="E240" t="s">
        <v>18</v>
      </c>
      <c r="F240" t="str">
        <f>INDEX(Establishment!B$2:B$1005,MATCH($E240,Establishment!$A$2:$A$1005,0))</f>
        <v xml:space="preserve"> </v>
      </c>
      <c r="G240" t="str">
        <f>INDEX(Establishment!C$2:C$1005,MATCH($E240,Establishment!$A$2:$A$1005,0))</f>
        <v xml:space="preserve"> </v>
      </c>
      <c r="M240">
        <f t="shared" si="21"/>
        <v>0</v>
      </c>
      <c r="N240">
        <f t="shared" si="19"/>
        <v>0</v>
      </c>
      <c r="P240" t="e">
        <f>INDEX(Items!B$2:B$1032,MATCH($O240,Items!$A$2:$A$1032,0))</f>
        <v>#N/A</v>
      </c>
      <c r="Q240" t="e">
        <f>INDEX(Items!C$2:C$1032,MATCH($O240,Items!$A$2:$A$1032,0))</f>
        <v>#N/A</v>
      </c>
      <c r="R240" t="e">
        <f>INDEX(Items!D$2:D$1032,MATCH($O240,Items!$A$2:$A$1032,0))</f>
        <v>#N/A</v>
      </c>
    </row>
    <row r="241" spans="1:18" x14ac:dyDescent="0.25">
      <c r="A241">
        <f t="shared" si="17"/>
        <v>1</v>
      </c>
      <c r="B241" t="str">
        <f t="shared" si="18"/>
        <v/>
      </c>
      <c r="C241">
        <f t="shared" si="20"/>
        <v>1</v>
      </c>
      <c r="D241" s="4"/>
      <c r="E241" t="s">
        <v>18</v>
      </c>
      <c r="F241" t="str">
        <f>INDEX(Establishment!B$2:B$1005,MATCH($E241,Establishment!$A$2:$A$1005,0))</f>
        <v xml:space="preserve"> </v>
      </c>
      <c r="G241" t="str">
        <f>INDEX(Establishment!C$2:C$1005,MATCH($E241,Establishment!$A$2:$A$1005,0))</f>
        <v xml:space="preserve"> </v>
      </c>
      <c r="M241">
        <f t="shared" si="21"/>
        <v>0</v>
      </c>
      <c r="N241">
        <f t="shared" si="19"/>
        <v>0</v>
      </c>
      <c r="P241" t="e">
        <f>INDEX(Items!B$2:B$1032,MATCH($O241,Items!$A$2:$A$1032,0))</f>
        <v>#N/A</v>
      </c>
      <c r="Q241" t="e">
        <f>INDEX(Items!C$2:C$1032,MATCH($O241,Items!$A$2:$A$1032,0))</f>
        <v>#N/A</v>
      </c>
      <c r="R241" t="e">
        <f>INDEX(Items!D$2:D$1032,MATCH($O241,Items!$A$2:$A$1032,0))</f>
        <v>#N/A</v>
      </c>
    </row>
    <row r="242" spans="1:18" x14ac:dyDescent="0.25">
      <c r="A242">
        <f t="shared" si="17"/>
        <v>1</v>
      </c>
      <c r="B242" t="str">
        <f t="shared" si="18"/>
        <v/>
      </c>
      <c r="C242">
        <f t="shared" si="20"/>
        <v>1</v>
      </c>
      <c r="D242" s="4"/>
      <c r="E242" t="s">
        <v>18</v>
      </c>
      <c r="F242" t="str">
        <f>INDEX(Establishment!B$2:B$1005,MATCH($E242,Establishment!$A$2:$A$1005,0))</f>
        <v xml:space="preserve"> </v>
      </c>
      <c r="G242" t="str">
        <f>INDEX(Establishment!C$2:C$1005,MATCH($E242,Establishment!$A$2:$A$1005,0))</f>
        <v xml:space="preserve"> </v>
      </c>
      <c r="M242">
        <f t="shared" si="21"/>
        <v>0</v>
      </c>
      <c r="N242">
        <f t="shared" si="19"/>
        <v>0</v>
      </c>
      <c r="P242" t="e">
        <f>INDEX(Items!B$2:B$1032,MATCH($O242,Items!$A$2:$A$1032,0))</f>
        <v>#N/A</v>
      </c>
      <c r="Q242" t="e">
        <f>INDEX(Items!C$2:C$1032,MATCH($O242,Items!$A$2:$A$1032,0))</f>
        <v>#N/A</v>
      </c>
      <c r="R242" t="e">
        <f>INDEX(Items!D$2:D$1032,MATCH($O242,Items!$A$2:$A$1032,0))</f>
        <v>#N/A</v>
      </c>
    </row>
    <row r="243" spans="1:18" x14ac:dyDescent="0.25">
      <c r="A243">
        <f t="shared" si="17"/>
        <v>1</v>
      </c>
      <c r="B243" t="str">
        <f t="shared" si="18"/>
        <v/>
      </c>
      <c r="C243">
        <f t="shared" si="20"/>
        <v>1</v>
      </c>
      <c r="D243" s="4"/>
      <c r="E243" t="s">
        <v>18</v>
      </c>
      <c r="F243" t="str">
        <f>INDEX(Establishment!B$2:B$1005,MATCH($E243,Establishment!$A$2:$A$1005,0))</f>
        <v xml:space="preserve"> </v>
      </c>
      <c r="G243" t="str">
        <f>INDEX(Establishment!C$2:C$1005,MATCH($E243,Establishment!$A$2:$A$1005,0))</f>
        <v xml:space="preserve"> </v>
      </c>
      <c r="M243">
        <f t="shared" si="21"/>
        <v>0</v>
      </c>
      <c r="N243">
        <f t="shared" si="19"/>
        <v>0</v>
      </c>
      <c r="P243" t="e">
        <f>INDEX(Items!B$2:B$1032,MATCH($O243,Items!$A$2:$A$1032,0))</f>
        <v>#N/A</v>
      </c>
      <c r="Q243" t="e">
        <f>INDEX(Items!C$2:C$1032,MATCH($O243,Items!$A$2:$A$1032,0))</f>
        <v>#N/A</v>
      </c>
      <c r="R243" t="e">
        <f>INDEX(Items!D$2:D$1032,MATCH($O243,Items!$A$2:$A$1032,0))</f>
        <v>#N/A</v>
      </c>
    </row>
    <row r="244" spans="1:18" x14ac:dyDescent="0.25">
      <c r="A244">
        <f t="shared" si="17"/>
        <v>1</v>
      </c>
      <c r="B244" t="str">
        <f t="shared" si="18"/>
        <v/>
      </c>
      <c r="C244">
        <f t="shared" si="20"/>
        <v>1</v>
      </c>
      <c r="D244" s="4"/>
      <c r="E244" t="s">
        <v>18</v>
      </c>
      <c r="F244" t="str">
        <f>INDEX(Establishment!B$2:B$1005,MATCH($E244,Establishment!$A$2:$A$1005,0))</f>
        <v xml:space="preserve"> </v>
      </c>
      <c r="G244" t="str">
        <f>INDEX(Establishment!C$2:C$1005,MATCH($E244,Establishment!$A$2:$A$1005,0))</f>
        <v xml:space="preserve"> </v>
      </c>
      <c r="M244">
        <f t="shared" si="21"/>
        <v>0</v>
      </c>
      <c r="N244">
        <f t="shared" si="19"/>
        <v>0</v>
      </c>
      <c r="P244" t="e">
        <f>INDEX(Items!B$2:B$1032,MATCH($O244,Items!$A$2:$A$1032,0))</f>
        <v>#N/A</v>
      </c>
      <c r="Q244" t="e">
        <f>INDEX(Items!C$2:C$1032,MATCH($O244,Items!$A$2:$A$1032,0))</f>
        <v>#N/A</v>
      </c>
      <c r="R244" t="e">
        <f>INDEX(Items!D$2:D$1032,MATCH($O244,Items!$A$2:$A$1032,0))</f>
        <v>#N/A</v>
      </c>
    </row>
    <row r="245" spans="1:18" x14ac:dyDescent="0.25">
      <c r="A245">
        <f t="shared" si="17"/>
        <v>1</v>
      </c>
      <c r="B245" t="str">
        <f t="shared" si="18"/>
        <v/>
      </c>
      <c r="C245">
        <f t="shared" si="20"/>
        <v>1</v>
      </c>
      <c r="D245" s="4"/>
      <c r="E245" t="s">
        <v>18</v>
      </c>
      <c r="F245" t="str">
        <f>INDEX(Establishment!B$2:B$1005,MATCH($E245,Establishment!$A$2:$A$1005,0))</f>
        <v xml:space="preserve"> </v>
      </c>
      <c r="G245" t="str">
        <f>INDEX(Establishment!C$2:C$1005,MATCH($E245,Establishment!$A$2:$A$1005,0))</f>
        <v xml:space="preserve"> </v>
      </c>
      <c r="M245">
        <f t="shared" si="21"/>
        <v>0</v>
      </c>
      <c r="N245">
        <f t="shared" si="19"/>
        <v>0</v>
      </c>
      <c r="P245" t="e">
        <f>INDEX(Items!B$2:B$1032,MATCH($O245,Items!$A$2:$A$1032,0))</f>
        <v>#N/A</v>
      </c>
      <c r="Q245" t="e">
        <f>INDEX(Items!C$2:C$1032,MATCH($O245,Items!$A$2:$A$1032,0))</f>
        <v>#N/A</v>
      </c>
      <c r="R245" t="e">
        <f>INDEX(Items!D$2:D$1032,MATCH($O245,Items!$A$2:$A$1032,0))</f>
        <v>#N/A</v>
      </c>
    </row>
    <row r="246" spans="1:18" x14ac:dyDescent="0.25">
      <c r="A246">
        <f t="shared" si="17"/>
        <v>1</v>
      </c>
      <c r="B246" t="str">
        <f t="shared" si="18"/>
        <v/>
      </c>
      <c r="C246">
        <f t="shared" si="20"/>
        <v>1</v>
      </c>
      <c r="D246" s="4"/>
      <c r="E246" t="s">
        <v>18</v>
      </c>
      <c r="F246" t="str">
        <f>INDEX(Establishment!B$2:B$1005,MATCH($E246,Establishment!$A$2:$A$1005,0))</f>
        <v xml:space="preserve"> </v>
      </c>
      <c r="G246" t="str">
        <f>INDEX(Establishment!C$2:C$1005,MATCH($E246,Establishment!$A$2:$A$1005,0))</f>
        <v xml:space="preserve"> </v>
      </c>
      <c r="M246">
        <f t="shared" si="21"/>
        <v>0</v>
      </c>
      <c r="N246">
        <f t="shared" si="19"/>
        <v>0</v>
      </c>
      <c r="P246" t="e">
        <f>INDEX(Items!B$2:B$1032,MATCH($O246,Items!$A$2:$A$1032,0))</f>
        <v>#N/A</v>
      </c>
      <c r="Q246" t="e">
        <f>INDEX(Items!C$2:C$1032,MATCH($O246,Items!$A$2:$A$1032,0))</f>
        <v>#N/A</v>
      </c>
      <c r="R246" t="e">
        <f>INDEX(Items!D$2:D$1032,MATCH($O246,Items!$A$2:$A$1032,0))</f>
        <v>#N/A</v>
      </c>
    </row>
    <row r="247" spans="1:18" x14ac:dyDescent="0.25">
      <c r="A247">
        <f t="shared" si="17"/>
        <v>1</v>
      </c>
      <c r="B247" t="str">
        <f t="shared" si="18"/>
        <v/>
      </c>
      <c r="C247">
        <f t="shared" si="20"/>
        <v>1</v>
      </c>
      <c r="D247" s="4"/>
      <c r="E247" t="s">
        <v>18</v>
      </c>
      <c r="F247" t="str">
        <f>INDEX(Establishment!B$2:B$1005,MATCH($E247,Establishment!$A$2:$A$1005,0))</f>
        <v xml:space="preserve"> </v>
      </c>
      <c r="G247" t="str">
        <f>INDEX(Establishment!C$2:C$1005,MATCH($E247,Establishment!$A$2:$A$1005,0))</f>
        <v xml:space="preserve"> </v>
      </c>
      <c r="M247">
        <f t="shared" si="21"/>
        <v>0</v>
      </c>
      <c r="N247">
        <f t="shared" si="19"/>
        <v>0</v>
      </c>
      <c r="P247" t="e">
        <f>INDEX(Items!B$2:B$1032,MATCH($O247,Items!$A$2:$A$1032,0))</f>
        <v>#N/A</v>
      </c>
      <c r="Q247" t="e">
        <f>INDEX(Items!C$2:C$1032,MATCH($O247,Items!$A$2:$A$1032,0))</f>
        <v>#N/A</v>
      </c>
      <c r="R247" t="e">
        <f>INDEX(Items!D$2:D$1032,MATCH($O247,Items!$A$2:$A$1032,0))</f>
        <v>#N/A</v>
      </c>
    </row>
    <row r="248" spans="1:18" x14ac:dyDescent="0.25">
      <c r="A248">
        <f t="shared" si="17"/>
        <v>1</v>
      </c>
      <c r="B248" t="str">
        <f t="shared" si="18"/>
        <v/>
      </c>
      <c r="C248">
        <f t="shared" si="20"/>
        <v>1</v>
      </c>
      <c r="D248" s="4"/>
      <c r="E248" t="s">
        <v>18</v>
      </c>
      <c r="F248" t="str">
        <f>INDEX(Establishment!B$2:B$1005,MATCH($E248,Establishment!$A$2:$A$1005,0))</f>
        <v xml:space="preserve"> </v>
      </c>
      <c r="G248" t="str">
        <f>INDEX(Establishment!C$2:C$1005,MATCH($E248,Establishment!$A$2:$A$1005,0))</f>
        <v xml:space="preserve"> </v>
      </c>
      <c r="M248">
        <f t="shared" si="21"/>
        <v>0</v>
      </c>
      <c r="N248">
        <f t="shared" si="19"/>
        <v>0</v>
      </c>
      <c r="P248" t="e">
        <f>INDEX(Items!B$2:B$1032,MATCH($O248,Items!$A$2:$A$1032,0))</f>
        <v>#N/A</v>
      </c>
      <c r="Q248" t="e">
        <f>INDEX(Items!C$2:C$1032,MATCH($O248,Items!$A$2:$A$1032,0))</f>
        <v>#N/A</v>
      </c>
      <c r="R248" t="e">
        <f>INDEX(Items!D$2:D$1032,MATCH($O248,Items!$A$2:$A$1032,0))</f>
        <v>#N/A</v>
      </c>
    </row>
    <row r="249" spans="1:18" x14ac:dyDescent="0.25">
      <c r="A249">
        <f t="shared" si="17"/>
        <v>1</v>
      </c>
      <c r="B249" t="str">
        <f t="shared" si="18"/>
        <v/>
      </c>
      <c r="C249">
        <f t="shared" si="20"/>
        <v>1</v>
      </c>
      <c r="D249" s="4"/>
      <c r="E249" t="s">
        <v>18</v>
      </c>
      <c r="F249" t="str">
        <f>INDEX(Establishment!B$2:B$1005,MATCH($E249,Establishment!$A$2:$A$1005,0))</f>
        <v xml:space="preserve"> </v>
      </c>
      <c r="G249" t="str">
        <f>INDEX(Establishment!C$2:C$1005,MATCH($E249,Establishment!$A$2:$A$1005,0))</f>
        <v xml:space="preserve"> </v>
      </c>
      <c r="M249">
        <f t="shared" si="21"/>
        <v>0</v>
      </c>
      <c r="N249">
        <f t="shared" si="19"/>
        <v>0</v>
      </c>
      <c r="P249" t="e">
        <f>INDEX(Items!B$2:B$1032,MATCH($O249,Items!$A$2:$A$1032,0))</f>
        <v>#N/A</v>
      </c>
      <c r="Q249" t="e">
        <f>INDEX(Items!C$2:C$1032,MATCH($O249,Items!$A$2:$A$1032,0))</f>
        <v>#N/A</v>
      </c>
      <c r="R249" t="e">
        <f>INDEX(Items!D$2:D$1032,MATCH($O249,Items!$A$2:$A$1032,0))</f>
        <v>#N/A</v>
      </c>
    </row>
    <row r="250" spans="1:18" x14ac:dyDescent="0.25">
      <c r="A250">
        <f t="shared" si="17"/>
        <v>1</v>
      </c>
      <c r="B250" t="str">
        <f t="shared" si="18"/>
        <v/>
      </c>
      <c r="C250">
        <f t="shared" si="20"/>
        <v>1</v>
      </c>
      <c r="D250" s="4"/>
      <c r="E250" t="s">
        <v>18</v>
      </c>
      <c r="F250" t="str">
        <f>INDEX(Establishment!B$2:B$1005,MATCH($E250,Establishment!$A$2:$A$1005,0))</f>
        <v xml:space="preserve"> </v>
      </c>
      <c r="G250" t="str">
        <f>INDEX(Establishment!C$2:C$1005,MATCH($E250,Establishment!$A$2:$A$1005,0))</f>
        <v xml:space="preserve"> </v>
      </c>
      <c r="M250">
        <f t="shared" si="21"/>
        <v>0</v>
      </c>
      <c r="N250">
        <f t="shared" si="19"/>
        <v>0</v>
      </c>
      <c r="P250" t="e">
        <f>INDEX(Items!B$2:B$1032,MATCH($O250,Items!$A$2:$A$1032,0))</f>
        <v>#N/A</v>
      </c>
      <c r="Q250" t="e">
        <f>INDEX(Items!C$2:C$1032,MATCH($O250,Items!$A$2:$A$1032,0))</f>
        <v>#N/A</v>
      </c>
      <c r="R250" t="e">
        <f>INDEX(Items!D$2:D$1032,MATCH($O250,Items!$A$2:$A$1032,0))</f>
        <v>#N/A</v>
      </c>
    </row>
    <row r="251" spans="1:18" x14ac:dyDescent="0.25">
      <c r="A251">
        <f t="shared" si="17"/>
        <v>1</v>
      </c>
      <c r="B251" t="str">
        <f t="shared" si="18"/>
        <v/>
      </c>
      <c r="C251">
        <f t="shared" si="20"/>
        <v>1</v>
      </c>
      <c r="D251" s="4"/>
      <c r="E251" t="s">
        <v>18</v>
      </c>
      <c r="F251" t="str">
        <f>INDEX(Establishment!B$2:B$1005,MATCH($E251,Establishment!$A$2:$A$1005,0))</f>
        <v xml:space="preserve"> </v>
      </c>
      <c r="G251" t="str">
        <f>INDEX(Establishment!C$2:C$1005,MATCH($E251,Establishment!$A$2:$A$1005,0))</f>
        <v xml:space="preserve"> </v>
      </c>
      <c r="M251">
        <f t="shared" si="21"/>
        <v>0</v>
      </c>
      <c r="N251">
        <f t="shared" si="19"/>
        <v>0</v>
      </c>
      <c r="P251" t="e">
        <f>INDEX(Items!B$2:B$1032,MATCH($O251,Items!$A$2:$A$1032,0))</f>
        <v>#N/A</v>
      </c>
      <c r="Q251" t="e">
        <f>INDEX(Items!C$2:C$1032,MATCH($O251,Items!$A$2:$A$1032,0))</f>
        <v>#N/A</v>
      </c>
      <c r="R251" t="e">
        <f>INDEX(Items!D$2:D$1032,MATCH($O251,Items!$A$2:$A$1032,0))</f>
        <v>#N/A</v>
      </c>
    </row>
    <row r="252" spans="1:18" x14ac:dyDescent="0.25">
      <c r="A252">
        <f t="shared" si="17"/>
        <v>1</v>
      </c>
      <c r="B252" t="str">
        <f t="shared" si="18"/>
        <v/>
      </c>
      <c r="C252">
        <f t="shared" si="20"/>
        <v>1</v>
      </c>
      <c r="D252" s="4"/>
      <c r="E252" t="s">
        <v>18</v>
      </c>
      <c r="F252" t="str">
        <f>INDEX(Establishment!B$2:B$1005,MATCH($E252,Establishment!$A$2:$A$1005,0))</f>
        <v xml:space="preserve"> </v>
      </c>
      <c r="G252" t="str">
        <f>INDEX(Establishment!C$2:C$1005,MATCH($E252,Establishment!$A$2:$A$1005,0))</f>
        <v xml:space="preserve"> </v>
      </c>
      <c r="M252">
        <f t="shared" si="21"/>
        <v>0</v>
      </c>
      <c r="N252">
        <f t="shared" si="19"/>
        <v>0</v>
      </c>
      <c r="P252" t="e">
        <f>INDEX(Items!B$2:B$1032,MATCH($O252,Items!$A$2:$A$1032,0))</f>
        <v>#N/A</v>
      </c>
      <c r="Q252" t="e">
        <f>INDEX(Items!C$2:C$1032,MATCH($O252,Items!$A$2:$A$1032,0))</f>
        <v>#N/A</v>
      </c>
      <c r="R252" t="e">
        <f>INDEX(Items!D$2:D$1032,MATCH($O252,Items!$A$2:$A$1032,0))</f>
        <v>#N/A</v>
      </c>
    </row>
    <row r="253" spans="1:18" x14ac:dyDescent="0.25">
      <c r="A253">
        <f t="shared" si="17"/>
        <v>1</v>
      </c>
      <c r="B253" t="str">
        <f t="shared" si="18"/>
        <v/>
      </c>
      <c r="C253">
        <f t="shared" si="20"/>
        <v>1</v>
      </c>
      <c r="D253" s="4"/>
      <c r="E253" t="s">
        <v>18</v>
      </c>
      <c r="F253" t="str">
        <f>INDEX(Establishment!B$2:B$1005,MATCH($E253,Establishment!$A$2:$A$1005,0))</f>
        <v xml:space="preserve"> </v>
      </c>
      <c r="G253" t="str">
        <f>INDEX(Establishment!C$2:C$1005,MATCH($E253,Establishment!$A$2:$A$1005,0))</f>
        <v xml:space="preserve"> </v>
      </c>
      <c r="M253">
        <f t="shared" si="21"/>
        <v>0</v>
      </c>
      <c r="N253">
        <f t="shared" si="19"/>
        <v>0</v>
      </c>
      <c r="P253" t="e">
        <f>INDEX(Items!B$2:B$1032,MATCH($O253,Items!$A$2:$A$1032,0))</f>
        <v>#N/A</v>
      </c>
      <c r="Q253" t="e">
        <f>INDEX(Items!C$2:C$1032,MATCH($O253,Items!$A$2:$A$1032,0))</f>
        <v>#N/A</v>
      </c>
      <c r="R253" t="e">
        <f>INDEX(Items!D$2:D$1032,MATCH($O253,Items!$A$2:$A$1032,0))</f>
        <v>#N/A</v>
      </c>
    </row>
    <row r="254" spans="1:18" x14ac:dyDescent="0.25">
      <c r="A254">
        <f t="shared" si="17"/>
        <v>1</v>
      </c>
      <c r="B254" t="str">
        <f t="shared" si="18"/>
        <v/>
      </c>
      <c r="C254">
        <f t="shared" si="20"/>
        <v>1</v>
      </c>
      <c r="D254" s="4"/>
      <c r="E254" t="s">
        <v>18</v>
      </c>
      <c r="F254" t="str">
        <f>INDEX(Establishment!B$2:B$1005,MATCH($E254,Establishment!$A$2:$A$1005,0))</f>
        <v xml:space="preserve"> </v>
      </c>
      <c r="G254" t="str">
        <f>INDEX(Establishment!C$2:C$1005,MATCH($E254,Establishment!$A$2:$A$1005,0))</f>
        <v xml:space="preserve"> </v>
      </c>
      <c r="M254">
        <f t="shared" si="21"/>
        <v>0</v>
      </c>
      <c r="N254">
        <f t="shared" si="19"/>
        <v>0</v>
      </c>
      <c r="P254" t="e">
        <f>INDEX(Items!B$2:B$1032,MATCH($O254,Items!$A$2:$A$1032,0))</f>
        <v>#N/A</v>
      </c>
      <c r="Q254" t="e">
        <f>INDEX(Items!C$2:C$1032,MATCH($O254,Items!$A$2:$A$1032,0))</f>
        <v>#N/A</v>
      </c>
      <c r="R254" t="e">
        <f>INDEX(Items!D$2:D$1032,MATCH($O254,Items!$A$2:$A$1032,0))</f>
        <v>#N/A</v>
      </c>
    </row>
    <row r="255" spans="1:18" x14ac:dyDescent="0.25">
      <c r="A255">
        <f t="shared" si="17"/>
        <v>1</v>
      </c>
      <c r="B255" t="str">
        <f t="shared" si="18"/>
        <v/>
      </c>
      <c r="C255">
        <f t="shared" si="20"/>
        <v>1</v>
      </c>
      <c r="D255" s="4"/>
      <c r="E255" t="s">
        <v>18</v>
      </c>
      <c r="F255" t="str">
        <f>INDEX(Establishment!B$2:B$1005,MATCH($E255,Establishment!$A$2:$A$1005,0))</f>
        <v xml:space="preserve"> </v>
      </c>
      <c r="G255" t="str">
        <f>INDEX(Establishment!C$2:C$1005,MATCH($E255,Establishment!$A$2:$A$1005,0))</f>
        <v xml:space="preserve"> </v>
      </c>
      <c r="M255">
        <f t="shared" si="21"/>
        <v>0</v>
      </c>
      <c r="N255">
        <f t="shared" si="19"/>
        <v>0</v>
      </c>
      <c r="P255" t="e">
        <f>INDEX(Items!B$2:B$1032,MATCH($O255,Items!$A$2:$A$1032,0))</f>
        <v>#N/A</v>
      </c>
      <c r="Q255" t="e">
        <f>INDEX(Items!C$2:C$1032,MATCH($O255,Items!$A$2:$A$1032,0))</f>
        <v>#N/A</v>
      </c>
      <c r="R255" t="e">
        <f>INDEX(Items!D$2:D$1032,MATCH($O255,Items!$A$2:$A$1032,0))</f>
        <v>#N/A</v>
      </c>
    </row>
    <row r="256" spans="1:18" x14ac:dyDescent="0.25">
      <c r="A256">
        <f t="shared" si="17"/>
        <v>1</v>
      </c>
      <c r="B256" t="str">
        <f t="shared" si="18"/>
        <v/>
      </c>
      <c r="C256">
        <f t="shared" si="20"/>
        <v>1</v>
      </c>
      <c r="D256" s="4"/>
      <c r="E256" t="s">
        <v>18</v>
      </c>
      <c r="F256" t="str">
        <f>INDEX(Establishment!B$2:B$1005,MATCH($E256,Establishment!$A$2:$A$1005,0))</f>
        <v xml:space="preserve"> </v>
      </c>
      <c r="G256" t="str">
        <f>INDEX(Establishment!C$2:C$1005,MATCH($E256,Establishment!$A$2:$A$1005,0))</f>
        <v xml:space="preserve"> </v>
      </c>
      <c r="M256">
        <f t="shared" si="21"/>
        <v>0</v>
      </c>
      <c r="N256">
        <f t="shared" si="19"/>
        <v>0</v>
      </c>
      <c r="P256" t="e">
        <f>INDEX(Items!B$2:B$1032,MATCH($O256,Items!$A$2:$A$1032,0))</f>
        <v>#N/A</v>
      </c>
      <c r="Q256" t="e">
        <f>INDEX(Items!C$2:C$1032,MATCH($O256,Items!$A$2:$A$1032,0))</f>
        <v>#N/A</v>
      </c>
      <c r="R256" t="e">
        <f>INDEX(Items!D$2:D$1032,MATCH($O256,Items!$A$2:$A$1032,0))</f>
        <v>#N/A</v>
      </c>
    </row>
    <row r="257" spans="1:18" x14ac:dyDescent="0.25">
      <c r="A257">
        <f t="shared" si="17"/>
        <v>1</v>
      </c>
      <c r="B257" t="str">
        <f t="shared" si="18"/>
        <v/>
      </c>
      <c r="C257">
        <f t="shared" si="20"/>
        <v>1</v>
      </c>
      <c r="D257" s="4"/>
      <c r="E257" t="s">
        <v>18</v>
      </c>
      <c r="F257" t="str">
        <f>INDEX(Establishment!B$2:B$1005,MATCH($E257,Establishment!$A$2:$A$1005,0))</f>
        <v xml:space="preserve"> </v>
      </c>
      <c r="G257" t="str">
        <f>INDEX(Establishment!C$2:C$1005,MATCH($E257,Establishment!$A$2:$A$1005,0))</f>
        <v xml:space="preserve"> </v>
      </c>
      <c r="M257">
        <f t="shared" si="21"/>
        <v>0</v>
      </c>
      <c r="N257">
        <f t="shared" si="19"/>
        <v>0</v>
      </c>
      <c r="P257" t="e">
        <f>INDEX(Items!B$2:B$1032,MATCH($O257,Items!$A$2:$A$1032,0))</f>
        <v>#N/A</v>
      </c>
      <c r="Q257" t="e">
        <f>INDEX(Items!C$2:C$1032,MATCH($O257,Items!$A$2:$A$1032,0))</f>
        <v>#N/A</v>
      </c>
      <c r="R257" t="e">
        <f>INDEX(Items!D$2:D$1032,MATCH($O257,Items!$A$2:$A$1032,0))</f>
        <v>#N/A</v>
      </c>
    </row>
    <row r="258" spans="1:18" x14ac:dyDescent="0.25">
      <c r="A258">
        <f t="shared" ref="A258:A321" si="22">IF(OR(D258&lt;&gt;D257,D258=""),1,IF(NOT(AND(E258=E257,F258=F257,G258=G257)),A257+1,IF(OR(H258="",AND(H258&lt;&gt;"",H258&lt;&gt;H257,H257&lt;&gt;"")),A257,A257+1)))</f>
        <v>1</v>
      </c>
      <c r="B258" t="str">
        <f t="shared" ref="B258:B321" si="23">IF(D258&lt;&gt;"",TEXT(D258,"YYYYMMDD")&amp;CHAR(64+A258),"")</f>
        <v/>
      </c>
      <c r="C258">
        <f t="shared" si="20"/>
        <v>1</v>
      </c>
      <c r="D258" s="4"/>
      <c r="E258" t="s">
        <v>18</v>
      </c>
      <c r="F258" t="str">
        <f>INDEX(Establishment!B$2:B$1005,MATCH($E258,Establishment!$A$2:$A$1005,0))</f>
        <v xml:space="preserve"> </v>
      </c>
      <c r="G258" t="str">
        <f>INDEX(Establishment!C$2:C$1005,MATCH($E258,Establishment!$A$2:$A$1005,0))</f>
        <v xml:space="preserve"> </v>
      </c>
      <c r="M258">
        <f t="shared" si="21"/>
        <v>0</v>
      </c>
      <c r="N258">
        <f t="shared" si="19"/>
        <v>0</v>
      </c>
      <c r="P258" t="e">
        <f>INDEX(Items!B$2:B$1032,MATCH($O258,Items!$A$2:$A$1032,0))</f>
        <v>#N/A</v>
      </c>
      <c r="Q258" t="e">
        <f>INDEX(Items!C$2:C$1032,MATCH($O258,Items!$A$2:$A$1032,0))</f>
        <v>#N/A</v>
      </c>
      <c r="R258" t="e">
        <f>INDEX(Items!D$2:D$1032,MATCH($O258,Items!$A$2:$A$1032,0))</f>
        <v>#N/A</v>
      </c>
    </row>
    <row r="259" spans="1:18" x14ac:dyDescent="0.25">
      <c r="A259">
        <f t="shared" si="22"/>
        <v>1</v>
      </c>
      <c r="B259" t="str">
        <f t="shared" si="23"/>
        <v/>
      </c>
      <c r="C259">
        <f t="shared" si="20"/>
        <v>1</v>
      </c>
      <c r="D259" s="4"/>
      <c r="E259" t="s">
        <v>18</v>
      </c>
      <c r="F259" t="str">
        <f>INDEX(Establishment!B$2:B$1005,MATCH($E259,Establishment!$A$2:$A$1005,0))</f>
        <v xml:space="preserve"> </v>
      </c>
      <c r="G259" t="str">
        <f>INDEX(Establishment!C$2:C$1005,MATCH($E259,Establishment!$A$2:$A$1005,0))</f>
        <v xml:space="preserve"> </v>
      </c>
      <c r="M259">
        <f t="shared" si="21"/>
        <v>0</v>
      </c>
      <c r="N259">
        <f t="shared" ref="N259:N322" si="24">IF(B259=B258,N258+M259,M259)</f>
        <v>0</v>
      </c>
      <c r="P259" t="e">
        <f>INDEX(Items!B$2:B$1032,MATCH($O259,Items!$A$2:$A$1032,0))</f>
        <v>#N/A</v>
      </c>
      <c r="Q259" t="e">
        <f>INDEX(Items!C$2:C$1032,MATCH($O259,Items!$A$2:$A$1032,0))</f>
        <v>#N/A</v>
      </c>
      <c r="R259" t="e">
        <f>INDEX(Items!D$2:D$1032,MATCH($O259,Items!$A$2:$A$1032,0))</f>
        <v>#N/A</v>
      </c>
    </row>
    <row r="260" spans="1:18" x14ac:dyDescent="0.25">
      <c r="A260">
        <f t="shared" si="22"/>
        <v>1</v>
      </c>
      <c r="B260" t="str">
        <f t="shared" si="23"/>
        <v/>
      </c>
      <c r="C260">
        <f t="shared" si="20"/>
        <v>1</v>
      </c>
      <c r="D260" s="4"/>
      <c r="E260" t="s">
        <v>18</v>
      </c>
      <c r="F260" t="str">
        <f>INDEX(Establishment!B$2:B$1005,MATCH($E260,Establishment!$A$2:$A$1005,0))</f>
        <v xml:space="preserve"> </v>
      </c>
      <c r="G260" t="str">
        <f>INDEX(Establishment!C$2:C$1005,MATCH($E260,Establishment!$A$2:$A$1005,0))</f>
        <v xml:space="preserve"> </v>
      </c>
      <c r="M260">
        <f t="shared" si="21"/>
        <v>0</v>
      </c>
      <c r="N260">
        <f t="shared" si="24"/>
        <v>0</v>
      </c>
      <c r="P260" t="e">
        <f>INDEX(Items!B$2:B$1032,MATCH($O260,Items!$A$2:$A$1032,0))</f>
        <v>#N/A</v>
      </c>
      <c r="Q260" t="e">
        <f>INDEX(Items!C$2:C$1032,MATCH($O260,Items!$A$2:$A$1032,0))</f>
        <v>#N/A</v>
      </c>
      <c r="R260" t="e">
        <f>INDEX(Items!D$2:D$1032,MATCH($O260,Items!$A$2:$A$1032,0))</f>
        <v>#N/A</v>
      </c>
    </row>
    <row r="261" spans="1:18" x14ac:dyDescent="0.25">
      <c r="A261">
        <f t="shared" si="22"/>
        <v>1</v>
      </c>
      <c r="B261" t="str">
        <f t="shared" si="23"/>
        <v/>
      </c>
      <c r="C261">
        <f t="shared" si="20"/>
        <v>1</v>
      </c>
      <c r="D261" s="4"/>
      <c r="E261" t="s">
        <v>18</v>
      </c>
      <c r="F261" t="str">
        <f>INDEX(Establishment!B$2:B$1005,MATCH($E261,Establishment!$A$2:$A$1005,0))</f>
        <v xml:space="preserve"> </v>
      </c>
      <c r="G261" t="str">
        <f>INDEX(Establishment!C$2:C$1005,MATCH($E261,Establishment!$A$2:$A$1005,0))</f>
        <v xml:space="preserve"> </v>
      </c>
      <c r="M261">
        <f t="shared" si="21"/>
        <v>0</v>
      </c>
      <c r="N261">
        <f t="shared" si="24"/>
        <v>0</v>
      </c>
      <c r="P261" t="e">
        <f>INDEX(Items!B$2:B$1032,MATCH($O261,Items!$A$2:$A$1032,0))</f>
        <v>#N/A</v>
      </c>
      <c r="Q261" t="e">
        <f>INDEX(Items!C$2:C$1032,MATCH($O261,Items!$A$2:$A$1032,0))</f>
        <v>#N/A</v>
      </c>
      <c r="R261" t="e">
        <f>INDEX(Items!D$2:D$1032,MATCH($O261,Items!$A$2:$A$1032,0))</f>
        <v>#N/A</v>
      </c>
    </row>
    <row r="262" spans="1:18" x14ac:dyDescent="0.25">
      <c r="A262">
        <f t="shared" si="22"/>
        <v>1</v>
      </c>
      <c r="B262" t="str">
        <f t="shared" si="23"/>
        <v/>
      </c>
      <c r="C262">
        <f t="shared" si="20"/>
        <v>1</v>
      </c>
      <c r="D262" s="4"/>
      <c r="E262" t="s">
        <v>18</v>
      </c>
      <c r="F262" t="str">
        <f>INDEX(Establishment!B$2:B$1005,MATCH($E262,Establishment!$A$2:$A$1005,0))</f>
        <v xml:space="preserve"> </v>
      </c>
      <c r="G262" t="str">
        <f>INDEX(Establishment!C$2:C$1005,MATCH($E262,Establishment!$A$2:$A$1005,0))</f>
        <v xml:space="preserve"> </v>
      </c>
      <c r="M262">
        <f t="shared" si="21"/>
        <v>0</v>
      </c>
      <c r="N262">
        <f t="shared" si="24"/>
        <v>0</v>
      </c>
      <c r="P262" t="e">
        <f>INDEX(Items!B$2:B$1032,MATCH($O262,Items!$A$2:$A$1032,0))</f>
        <v>#N/A</v>
      </c>
      <c r="Q262" t="e">
        <f>INDEX(Items!C$2:C$1032,MATCH($O262,Items!$A$2:$A$1032,0))</f>
        <v>#N/A</v>
      </c>
      <c r="R262" t="e">
        <f>INDEX(Items!D$2:D$1032,MATCH($O262,Items!$A$2:$A$1032,0))</f>
        <v>#N/A</v>
      </c>
    </row>
    <row r="263" spans="1:18" x14ac:dyDescent="0.25">
      <c r="A263">
        <f t="shared" si="22"/>
        <v>1</v>
      </c>
      <c r="B263" t="str">
        <f t="shared" si="23"/>
        <v/>
      </c>
      <c r="C263">
        <f t="shared" si="20"/>
        <v>1</v>
      </c>
      <c r="D263" s="4"/>
      <c r="E263" t="s">
        <v>18</v>
      </c>
      <c r="F263" t="str">
        <f>INDEX(Establishment!B$2:B$1005,MATCH($E263,Establishment!$A$2:$A$1005,0))</f>
        <v xml:space="preserve"> </v>
      </c>
      <c r="G263" t="str">
        <f>INDEX(Establishment!C$2:C$1005,MATCH($E263,Establishment!$A$2:$A$1005,0))</f>
        <v xml:space="preserve"> </v>
      </c>
      <c r="M263">
        <f t="shared" si="21"/>
        <v>0</v>
      </c>
      <c r="N263">
        <f t="shared" si="24"/>
        <v>0</v>
      </c>
      <c r="P263" t="e">
        <f>INDEX(Items!B$2:B$1032,MATCH($O263,Items!$A$2:$A$1032,0))</f>
        <v>#N/A</v>
      </c>
      <c r="Q263" t="e">
        <f>INDEX(Items!C$2:C$1032,MATCH($O263,Items!$A$2:$A$1032,0))</f>
        <v>#N/A</v>
      </c>
      <c r="R263" t="e">
        <f>INDEX(Items!D$2:D$1032,MATCH($O263,Items!$A$2:$A$1032,0))</f>
        <v>#N/A</v>
      </c>
    </row>
    <row r="264" spans="1:18" x14ac:dyDescent="0.25">
      <c r="A264">
        <f t="shared" si="22"/>
        <v>1</v>
      </c>
      <c r="B264" t="str">
        <f t="shared" si="23"/>
        <v/>
      </c>
      <c r="C264">
        <f t="shared" si="20"/>
        <v>1</v>
      </c>
      <c r="D264" s="4"/>
      <c r="E264" t="s">
        <v>18</v>
      </c>
      <c r="F264" t="str">
        <f>INDEX(Establishment!B$2:B$1005,MATCH($E264,Establishment!$A$2:$A$1005,0))</f>
        <v xml:space="preserve"> </v>
      </c>
      <c r="G264" t="str">
        <f>INDEX(Establishment!C$2:C$1005,MATCH($E264,Establishment!$A$2:$A$1005,0))</f>
        <v xml:space="preserve"> </v>
      </c>
      <c r="M264">
        <f t="shared" si="21"/>
        <v>0</v>
      </c>
      <c r="N264">
        <f t="shared" si="24"/>
        <v>0</v>
      </c>
      <c r="P264" t="e">
        <f>INDEX(Items!B$2:B$1032,MATCH($O264,Items!$A$2:$A$1032,0))</f>
        <v>#N/A</v>
      </c>
      <c r="Q264" t="e">
        <f>INDEX(Items!C$2:C$1032,MATCH($O264,Items!$A$2:$A$1032,0))</f>
        <v>#N/A</v>
      </c>
      <c r="R264" t="e">
        <f>INDEX(Items!D$2:D$1032,MATCH($O264,Items!$A$2:$A$1032,0))</f>
        <v>#N/A</v>
      </c>
    </row>
    <row r="265" spans="1:18" x14ac:dyDescent="0.25">
      <c r="A265">
        <f t="shared" si="22"/>
        <v>1</v>
      </c>
      <c r="B265" t="str">
        <f t="shared" si="23"/>
        <v/>
      </c>
      <c r="C265">
        <f t="shared" si="20"/>
        <v>1</v>
      </c>
      <c r="D265" s="4"/>
      <c r="E265" t="s">
        <v>18</v>
      </c>
      <c r="F265" t="str">
        <f>INDEX(Establishment!B$2:B$1005,MATCH($E265,Establishment!$A$2:$A$1005,0))</f>
        <v xml:space="preserve"> </v>
      </c>
      <c r="G265" t="str">
        <f>INDEX(Establishment!C$2:C$1005,MATCH($E265,Establishment!$A$2:$A$1005,0))</f>
        <v xml:space="preserve"> </v>
      </c>
      <c r="M265">
        <f t="shared" si="21"/>
        <v>0</v>
      </c>
      <c r="N265">
        <f t="shared" si="24"/>
        <v>0</v>
      </c>
      <c r="P265" t="e">
        <f>INDEX(Items!B$2:B$1032,MATCH($O265,Items!$A$2:$A$1032,0))</f>
        <v>#N/A</v>
      </c>
      <c r="Q265" t="e">
        <f>INDEX(Items!C$2:C$1032,MATCH($O265,Items!$A$2:$A$1032,0))</f>
        <v>#N/A</v>
      </c>
      <c r="R265" t="e">
        <f>INDEX(Items!D$2:D$1032,MATCH($O265,Items!$A$2:$A$1032,0))</f>
        <v>#N/A</v>
      </c>
    </row>
    <row r="266" spans="1:18" x14ac:dyDescent="0.25">
      <c r="A266">
        <f t="shared" si="22"/>
        <v>1</v>
      </c>
      <c r="B266" t="str">
        <f t="shared" si="23"/>
        <v/>
      </c>
      <c r="C266">
        <f t="shared" ref="C266:C329" si="25">IF(OR(B266="",B266&lt;&gt;B265),1,C265+1)</f>
        <v>1</v>
      </c>
      <c r="D266" s="4"/>
      <c r="E266" t="s">
        <v>18</v>
      </c>
      <c r="F266" t="str">
        <f>INDEX(Establishment!B$2:B$1005,MATCH($E266,Establishment!$A$2:$A$1005,0))</f>
        <v xml:space="preserve"> </v>
      </c>
      <c r="G266" t="str">
        <f>INDEX(Establishment!C$2:C$1005,MATCH($E266,Establishment!$A$2:$A$1005,0))</f>
        <v xml:space="preserve"> </v>
      </c>
      <c r="M266">
        <f t="shared" ref="M266:M329" si="26">K266*L266</f>
        <v>0</v>
      </c>
      <c r="N266">
        <f t="shared" si="24"/>
        <v>0</v>
      </c>
      <c r="P266" t="e">
        <f>INDEX(Items!B$2:B$1032,MATCH($O266,Items!$A$2:$A$1032,0))</f>
        <v>#N/A</v>
      </c>
      <c r="Q266" t="e">
        <f>INDEX(Items!C$2:C$1032,MATCH($O266,Items!$A$2:$A$1032,0))</f>
        <v>#N/A</v>
      </c>
      <c r="R266" t="e">
        <f>INDEX(Items!D$2:D$1032,MATCH($O266,Items!$A$2:$A$1032,0))</f>
        <v>#N/A</v>
      </c>
    </row>
    <row r="267" spans="1:18" x14ac:dyDescent="0.25">
      <c r="A267">
        <f t="shared" si="22"/>
        <v>1</v>
      </c>
      <c r="B267" t="str">
        <f t="shared" si="23"/>
        <v/>
      </c>
      <c r="C267">
        <f t="shared" si="25"/>
        <v>1</v>
      </c>
      <c r="D267" s="4"/>
      <c r="E267" t="s">
        <v>18</v>
      </c>
      <c r="F267" t="str">
        <f>INDEX(Establishment!B$2:B$1005,MATCH($E267,Establishment!$A$2:$A$1005,0))</f>
        <v xml:space="preserve"> </v>
      </c>
      <c r="G267" t="str">
        <f>INDEX(Establishment!C$2:C$1005,MATCH($E267,Establishment!$A$2:$A$1005,0))</f>
        <v xml:space="preserve"> </v>
      </c>
      <c r="M267">
        <f t="shared" si="26"/>
        <v>0</v>
      </c>
      <c r="N267">
        <f t="shared" si="24"/>
        <v>0</v>
      </c>
      <c r="P267" t="e">
        <f>INDEX(Items!B$2:B$1032,MATCH($O267,Items!$A$2:$A$1032,0))</f>
        <v>#N/A</v>
      </c>
      <c r="Q267" t="e">
        <f>INDEX(Items!C$2:C$1032,MATCH($O267,Items!$A$2:$A$1032,0))</f>
        <v>#N/A</v>
      </c>
      <c r="R267" t="e">
        <f>INDEX(Items!D$2:D$1032,MATCH($O267,Items!$A$2:$A$1032,0))</f>
        <v>#N/A</v>
      </c>
    </row>
    <row r="268" spans="1:18" x14ac:dyDescent="0.25">
      <c r="A268">
        <f t="shared" si="22"/>
        <v>1</v>
      </c>
      <c r="B268" t="str">
        <f t="shared" si="23"/>
        <v/>
      </c>
      <c r="C268">
        <f t="shared" si="25"/>
        <v>1</v>
      </c>
      <c r="D268" s="4"/>
      <c r="E268" t="s">
        <v>18</v>
      </c>
      <c r="F268" t="str">
        <f>INDEX(Establishment!B$2:B$1005,MATCH($E268,Establishment!$A$2:$A$1005,0))</f>
        <v xml:space="preserve"> </v>
      </c>
      <c r="G268" t="str">
        <f>INDEX(Establishment!C$2:C$1005,MATCH($E268,Establishment!$A$2:$A$1005,0))</f>
        <v xml:space="preserve"> </v>
      </c>
      <c r="M268">
        <f t="shared" si="26"/>
        <v>0</v>
      </c>
      <c r="N268">
        <f t="shared" si="24"/>
        <v>0</v>
      </c>
      <c r="P268" t="e">
        <f>INDEX(Items!B$2:B$1032,MATCH($O268,Items!$A$2:$A$1032,0))</f>
        <v>#N/A</v>
      </c>
      <c r="Q268" t="e">
        <f>INDEX(Items!C$2:C$1032,MATCH($O268,Items!$A$2:$A$1032,0))</f>
        <v>#N/A</v>
      </c>
      <c r="R268" t="e">
        <f>INDEX(Items!D$2:D$1032,MATCH($O268,Items!$A$2:$A$1032,0))</f>
        <v>#N/A</v>
      </c>
    </row>
    <row r="269" spans="1:18" x14ac:dyDescent="0.25">
      <c r="A269">
        <f t="shared" si="22"/>
        <v>1</v>
      </c>
      <c r="B269" t="str">
        <f t="shared" si="23"/>
        <v/>
      </c>
      <c r="C269">
        <f t="shared" si="25"/>
        <v>1</v>
      </c>
      <c r="D269" s="4"/>
      <c r="E269" t="s">
        <v>18</v>
      </c>
      <c r="F269" t="str">
        <f>INDEX(Establishment!B$2:B$1005,MATCH($E269,Establishment!$A$2:$A$1005,0))</f>
        <v xml:space="preserve"> </v>
      </c>
      <c r="G269" t="str">
        <f>INDEX(Establishment!C$2:C$1005,MATCH($E269,Establishment!$A$2:$A$1005,0))</f>
        <v xml:space="preserve"> </v>
      </c>
      <c r="M269">
        <f t="shared" si="26"/>
        <v>0</v>
      </c>
      <c r="N269">
        <f t="shared" si="24"/>
        <v>0</v>
      </c>
      <c r="P269" t="e">
        <f>INDEX(Items!B$2:B$1032,MATCH($O269,Items!$A$2:$A$1032,0))</f>
        <v>#N/A</v>
      </c>
      <c r="Q269" t="e">
        <f>INDEX(Items!C$2:C$1032,MATCH($O269,Items!$A$2:$A$1032,0))</f>
        <v>#N/A</v>
      </c>
      <c r="R269" t="e">
        <f>INDEX(Items!D$2:D$1032,MATCH($O269,Items!$A$2:$A$1032,0))</f>
        <v>#N/A</v>
      </c>
    </row>
    <row r="270" spans="1:18" x14ac:dyDescent="0.25">
      <c r="A270">
        <f t="shared" si="22"/>
        <v>1</v>
      </c>
      <c r="B270" t="str">
        <f t="shared" si="23"/>
        <v/>
      </c>
      <c r="C270">
        <f t="shared" si="25"/>
        <v>1</v>
      </c>
      <c r="D270" s="4"/>
      <c r="E270" t="s">
        <v>18</v>
      </c>
      <c r="F270" t="str">
        <f>INDEX(Establishment!B$2:B$1005,MATCH($E270,Establishment!$A$2:$A$1005,0))</f>
        <v xml:space="preserve"> </v>
      </c>
      <c r="G270" t="str">
        <f>INDEX(Establishment!C$2:C$1005,MATCH($E270,Establishment!$A$2:$A$1005,0))</f>
        <v xml:space="preserve"> </v>
      </c>
      <c r="M270">
        <f t="shared" si="26"/>
        <v>0</v>
      </c>
      <c r="N270">
        <f t="shared" si="24"/>
        <v>0</v>
      </c>
      <c r="P270" t="e">
        <f>INDEX(Items!B$2:B$1032,MATCH($O270,Items!$A$2:$A$1032,0))</f>
        <v>#N/A</v>
      </c>
      <c r="Q270" t="e">
        <f>INDEX(Items!C$2:C$1032,MATCH($O270,Items!$A$2:$A$1032,0))</f>
        <v>#N/A</v>
      </c>
      <c r="R270" t="e">
        <f>INDEX(Items!D$2:D$1032,MATCH($O270,Items!$A$2:$A$1032,0))</f>
        <v>#N/A</v>
      </c>
    </row>
    <row r="271" spans="1:18" x14ac:dyDescent="0.25">
      <c r="A271">
        <f t="shared" si="22"/>
        <v>1</v>
      </c>
      <c r="B271" t="str">
        <f t="shared" si="23"/>
        <v/>
      </c>
      <c r="C271">
        <f t="shared" si="25"/>
        <v>1</v>
      </c>
      <c r="D271" s="4"/>
      <c r="E271" t="s">
        <v>18</v>
      </c>
      <c r="F271" t="str">
        <f>INDEX(Establishment!B$2:B$1005,MATCH($E271,Establishment!$A$2:$A$1005,0))</f>
        <v xml:space="preserve"> </v>
      </c>
      <c r="G271" t="str">
        <f>INDEX(Establishment!C$2:C$1005,MATCH($E271,Establishment!$A$2:$A$1005,0))</f>
        <v xml:space="preserve"> </v>
      </c>
      <c r="M271">
        <f t="shared" si="26"/>
        <v>0</v>
      </c>
      <c r="N271">
        <f t="shared" si="24"/>
        <v>0</v>
      </c>
      <c r="P271" t="e">
        <f>INDEX(Items!B$2:B$1032,MATCH($O271,Items!$A$2:$A$1032,0))</f>
        <v>#N/A</v>
      </c>
      <c r="Q271" t="e">
        <f>INDEX(Items!C$2:C$1032,MATCH($O271,Items!$A$2:$A$1032,0))</f>
        <v>#N/A</v>
      </c>
      <c r="R271" t="e">
        <f>INDEX(Items!D$2:D$1032,MATCH($O271,Items!$A$2:$A$1032,0))</f>
        <v>#N/A</v>
      </c>
    </row>
    <row r="272" spans="1:18" x14ac:dyDescent="0.25">
      <c r="A272">
        <f t="shared" si="22"/>
        <v>1</v>
      </c>
      <c r="B272" t="str">
        <f t="shared" si="23"/>
        <v/>
      </c>
      <c r="C272">
        <f t="shared" si="25"/>
        <v>1</v>
      </c>
      <c r="D272" s="4"/>
      <c r="E272" t="s">
        <v>18</v>
      </c>
      <c r="F272" t="str">
        <f>INDEX(Establishment!B$2:B$1005,MATCH($E272,Establishment!$A$2:$A$1005,0))</f>
        <v xml:space="preserve"> </v>
      </c>
      <c r="G272" t="str">
        <f>INDEX(Establishment!C$2:C$1005,MATCH($E272,Establishment!$A$2:$A$1005,0))</f>
        <v xml:space="preserve"> </v>
      </c>
      <c r="M272">
        <f t="shared" si="26"/>
        <v>0</v>
      </c>
      <c r="N272">
        <f t="shared" si="24"/>
        <v>0</v>
      </c>
      <c r="P272" t="e">
        <f>INDEX(Items!B$2:B$1032,MATCH($O272,Items!$A$2:$A$1032,0))</f>
        <v>#N/A</v>
      </c>
      <c r="Q272" t="e">
        <f>INDEX(Items!C$2:C$1032,MATCH($O272,Items!$A$2:$A$1032,0))</f>
        <v>#N/A</v>
      </c>
      <c r="R272" t="e">
        <f>INDEX(Items!D$2:D$1032,MATCH($O272,Items!$A$2:$A$1032,0))</f>
        <v>#N/A</v>
      </c>
    </row>
    <row r="273" spans="1:18" x14ac:dyDescent="0.25">
      <c r="A273">
        <f t="shared" si="22"/>
        <v>1</v>
      </c>
      <c r="B273" t="str">
        <f t="shared" si="23"/>
        <v/>
      </c>
      <c r="C273">
        <f t="shared" si="25"/>
        <v>1</v>
      </c>
      <c r="D273" s="4"/>
      <c r="E273" t="s">
        <v>18</v>
      </c>
      <c r="F273" t="str">
        <f>INDEX(Establishment!B$2:B$1005,MATCH($E273,Establishment!$A$2:$A$1005,0))</f>
        <v xml:space="preserve"> </v>
      </c>
      <c r="G273" t="str">
        <f>INDEX(Establishment!C$2:C$1005,MATCH($E273,Establishment!$A$2:$A$1005,0))</f>
        <v xml:space="preserve"> </v>
      </c>
      <c r="M273">
        <f t="shared" si="26"/>
        <v>0</v>
      </c>
      <c r="N273">
        <f t="shared" si="24"/>
        <v>0</v>
      </c>
      <c r="P273" t="e">
        <f>INDEX(Items!B$2:B$1032,MATCH($O273,Items!$A$2:$A$1032,0))</f>
        <v>#N/A</v>
      </c>
      <c r="Q273" t="e">
        <f>INDEX(Items!C$2:C$1032,MATCH($O273,Items!$A$2:$A$1032,0))</f>
        <v>#N/A</v>
      </c>
      <c r="R273" t="e">
        <f>INDEX(Items!D$2:D$1032,MATCH($O273,Items!$A$2:$A$1032,0))</f>
        <v>#N/A</v>
      </c>
    </row>
    <row r="274" spans="1:18" x14ac:dyDescent="0.25">
      <c r="A274">
        <f t="shared" si="22"/>
        <v>1</v>
      </c>
      <c r="B274" t="str">
        <f t="shared" si="23"/>
        <v/>
      </c>
      <c r="C274">
        <f t="shared" si="25"/>
        <v>1</v>
      </c>
      <c r="D274" s="4"/>
      <c r="E274" t="s">
        <v>18</v>
      </c>
      <c r="F274" t="str">
        <f>INDEX(Establishment!B$2:B$1005,MATCH($E274,Establishment!$A$2:$A$1005,0))</f>
        <v xml:space="preserve"> </v>
      </c>
      <c r="G274" t="str">
        <f>INDEX(Establishment!C$2:C$1005,MATCH($E274,Establishment!$A$2:$A$1005,0))</f>
        <v xml:space="preserve"> </v>
      </c>
      <c r="M274">
        <f t="shared" si="26"/>
        <v>0</v>
      </c>
      <c r="N274">
        <f t="shared" si="24"/>
        <v>0</v>
      </c>
      <c r="P274" t="e">
        <f>INDEX(Items!B$2:B$1032,MATCH($O274,Items!$A$2:$A$1032,0))</f>
        <v>#N/A</v>
      </c>
      <c r="Q274" t="e">
        <f>INDEX(Items!C$2:C$1032,MATCH($O274,Items!$A$2:$A$1032,0))</f>
        <v>#N/A</v>
      </c>
      <c r="R274" t="e">
        <f>INDEX(Items!D$2:D$1032,MATCH($O274,Items!$A$2:$A$1032,0))</f>
        <v>#N/A</v>
      </c>
    </row>
    <row r="275" spans="1:18" x14ac:dyDescent="0.25">
      <c r="A275">
        <f t="shared" si="22"/>
        <v>1</v>
      </c>
      <c r="B275" t="str">
        <f t="shared" si="23"/>
        <v/>
      </c>
      <c r="C275">
        <f t="shared" si="25"/>
        <v>1</v>
      </c>
      <c r="D275" s="4"/>
      <c r="E275" t="s">
        <v>18</v>
      </c>
      <c r="F275" t="str">
        <f>INDEX(Establishment!B$2:B$1005,MATCH($E275,Establishment!$A$2:$A$1005,0))</f>
        <v xml:space="preserve"> </v>
      </c>
      <c r="G275" t="str">
        <f>INDEX(Establishment!C$2:C$1005,MATCH($E275,Establishment!$A$2:$A$1005,0))</f>
        <v xml:space="preserve"> </v>
      </c>
      <c r="M275">
        <f t="shared" si="26"/>
        <v>0</v>
      </c>
      <c r="N275">
        <f t="shared" si="24"/>
        <v>0</v>
      </c>
      <c r="P275" t="e">
        <f>INDEX(Items!B$2:B$1032,MATCH($O275,Items!$A$2:$A$1032,0))</f>
        <v>#N/A</v>
      </c>
      <c r="Q275" t="e">
        <f>INDEX(Items!C$2:C$1032,MATCH($O275,Items!$A$2:$A$1032,0))</f>
        <v>#N/A</v>
      </c>
      <c r="R275" t="e">
        <f>INDEX(Items!D$2:D$1032,MATCH($O275,Items!$A$2:$A$1032,0))</f>
        <v>#N/A</v>
      </c>
    </row>
    <row r="276" spans="1:18" x14ac:dyDescent="0.25">
      <c r="A276">
        <f t="shared" si="22"/>
        <v>1</v>
      </c>
      <c r="B276" t="str">
        <f t="shared" si="23"/>
        <v/>
      </c>
      <c r="C276">
        <f t="shared" si="25"/>
        <v>1</v>
      </c>
      <c r="D276" s="4"/>
      <c r="E276" t="s">
        <v>18</v>
      </c>
      <c r="F276" t="str">
        <f>INDEX(Establishment!B$2:B$1005,MATCH($E276,Establishment!$A$2:$A$1005,0))</f>
        <v xml:space="preserve"> </v>
      </c>
      <c r="G276" t="str">
        <f>INDEX(Establishment!C$2:C$1005,MATCH($E276,Establishment!$A$2:$A$1005,0))</f>
        <v xml:space="preserve"> </v>
      </c>
      <c r="M276">
        <f t="shared" si="26"/>
        <v>0</v>
      </c>
      <c r="N276">
        <f t="shared" si="24"/>
        <v>0</v>
      </c>
      <c r="P276" t="e">
        <f>INDEX(Items!B$2:B$1032,MATCH($O276,Items!$A$2:$A$1032,0))</f>
        <v>#N/A</v>
      </c>
      <c r="Q276" t="e">
        <f>INDEX(Items!C$2:C$1032,MATCH($O276,Items!$A$2:$A$1032,0))</f>
        <v>#N/A</v>
      </c>
      <c r="R276" t="e">
        <f>INDEX(Items!D$2:D$1032,MATCH($O276,Items!$A$2:$A$1032,0))</f>
        <v>#N/A</v>
      </c>
    </row>
    <row r="277" spans="1:18" x14ac:dyDescent="0.25">
      <c r="A277">
        <f t="shared" si="22"/>
        <v>1</v>
      </c>
      <c r="B277" t="str">
        <f t="shared" si="23"/>
        <v/>
      </c>
      <c r="C277">
        <f t="shared" si="25"/>
        <v>1</v>
      </c>
      <c r="D277" s="4"/>
      <c r="E277" t="s">
        <v>18</v>
      </c>
      <c r="F277" t="str">
        <f>INDEX(Establishment!B$2:B$1005,MATCH($E277,Establishment!$A$2:$A$1005,0))</f>
        <v xml:space="preserve"> </v>
      </c>
      <c r="G277" t="str">
        <f>INDEX(Establishment!C$2:C$1005,MATCH($E277,Establishment!$A$2:$A$1005,0))</f>
        <v xml:space="preserve"> </v>
      </c>
      <c r="M277">
        <f t="shared" si="26"/>
        <v>0</v>
      </c>
      <c r="N277">
        <f t="shared" si="24"/>
        <v>0</v>
      </c>
      <c r="P277" t="e">
        <f>INDEX(Items!B$2:B$1032,MATCH($O277,Items!$A$2:$A$1032,0))</f>
        <v>#N/A</v>
      </c>
      <c r="Q277" t="e">
        <f>INDEX(Items!C$2:C$1032,MATCH($O277,Items!$A$2:$A$1032,0))</f>
        <v>#N/A</v>
      </c>
      <c r="R277" t="e">
        <f>INDEX(Items!D$2:D$1032,MATCH($O277,Items!$A$2:$A$1032,0))</f>
        <v>#N/A</v>
      </c>
    </row>
    <row r="278" spans="1:18" x14ac:dyDescent="0.25">
      <c r="A278">
        <f t="shared" si="22"/>
        <v>1</v>
      </c>
      <c r="B278" t="str">
        <f t="shared" si="23"/>
        <v/>
      </c>
      <c r="C278">
        <f t="shared" si="25"/>
        <v>1</v>
      </c>
      <c r="D278" s="4"/>
      <c r="E278" t="s">
        <v>18</v>
      </c>
      <c r="F278" t="str">
        <f>INDEX(Establishment!B$2:B$1005,MATCH($E278,Establishment!$A$2:$A$1005,0))</f>
        <v xml:space="preserve"> </v>
      </c>
      <c r="G278" t="str">
        <f>INDEX(Establishment!C$2:C$1005,MATCH($E278,Establishment!$A$2:$A$1005,0))</f>
        <v xml:space="preserve"> </v>
      </c>
      <c r="M278">
        <f t="shared" si="26"/>
        <v>0</v>
      </c>
      <c r="N278">
        <f t="shared" si="24"/>
        <v>0</v>
      </c>
      <c r="P278" t="e">
        <f>INDEX(Items!B$2:B$1032,MATCH($O278,Items!$A$2:$A$1032,0))</f>
        <v>#N/A</v>
      </c>
      <c r="Q278" t="e">
        <f>INDEX(Items!C$2:C$1032,MATCH($O278,Items!$A$2:$A$1032,0))</f>
        <v>#N/A</v>
      </c>
      <c r="R278" t="e">
        <f>INDEX(Items!D$2:D$1032,MATCH($O278,Items!$A$2:$A$1032,0))</f>
        <v>#N/A</v>
      </c>
    </row>
    <row r="279" spans="1:18" x14ac:dyDescent="0.25">
      <c r="A279">
        <f t="shared" si="22"/>
        <v>1</v>
      </c>
      <c r="B279" t="str">
        <f t="shared" si="23"/>
        <v/>
      </c>
      <c r="C279">
        <f t="shared" si="25"/>
        <v>1</v>
      </c>
      <c r="D279" s="4"/>
      <c r="E279" t="s">
        <v>18</v>
      </c>
      <c r="F279" t="str">
        <f>INDEX(Establishment!B$2:B$1005,MATCH($E279,Establishment!$A$2:$A$1005,0))</f>
        <v xml:space="preserve"> </v>
      </c>
      <c r="G279" t="str">
        <f>INDEX(Establishment!C$2:C$1005,MATCH($E279,Establishment!$A$2:$A$1005,0))</f>
        <v xml:space="preserve"> </v>
      </c>
      <c r="M279">
        <f t="shared" si="26"/>
        <v>0</v>
      </c>
      <c r="N279">
        <f t="shared" si="24"/>
        <v>0</v>
      </c>
      <c r="P279" t="e">
        <f>INDEX(Items!B$2:B$1032,MATCH($O279,Items!$A$2:$A$1032,0))</f>
        <v>#N/A</v>
      </c>
      <c r="Q279" t="e">
        <f>INDEX(Items!C$2:C$1032,MATCH($O279,Items!$A$2:$A$1032,0))</f>
        <v>#N/A</v>
      </c>
      <c r="R279" t="e">
        <f>INDEX(Items!D$2:D$1032,MATCH($O279,Items!$A$2:$A$1032,0))</f>
        <v>#N/A</v>
      </c>
    </row>
    <row r="280" spans="1:18" x14ac:dyDescent="0.25">
      <c r="A280">
        <f t="shared" si="22"/>
        <v>1</v>
      </c>
      <c r="B280" t="str">
        <f t="shared" si="23"/>
        <v/>
      </c>
      <c r="C280">
        <f t="shared" si="25"/>
        <v>1</v>
      </c>
      <c r="D280" s="4"/>
      <c r="E280" t="s">
        <v>18</v>
      </c>
      <c r="F280" t="str">
        <f>INDEX(Establishment!B$2:B$1005,MATCH($E280,Establishment!$A$2:$A$1005,0))</f>
        <v xml:space="preserve"> </v>
      </c>
      <c r="G280" t="str">
        <f>INDEX(Establishment!C$2:C$1005,MATCH($E280,Establishment!$A$2:$A$1005,0))</f>
        <v xml:space="preserve"> </v>
      </c>
      <c r="M280">
        <f t="shared" si="26"/>
        <v>0</v>
      </c>
      <c r="N280">
        <f t="shared" si="24"/>
        <v>0</v>
      </c>
      <c r="P280" t="e">
        <f>INDEX(Items!B$2:B$1032,MATCH($O280,Items!$A$2:$A$1032,0))</f>
        <v>#N/A</v>
      </c>
      <c r="Q280" t="e">
        <f>INDEX(Items!C$2:C$1032,MATCH($O280,Items!$A$2:$A$1032,0))</f>
        <v>#N/A</v>
      </c>
      <c r="R280" t="e">
        <f>INDEX(Items!D$2:D$1032,MATCH($O280,Items!$A$2:$A$1032,0))</f>
        <v>#N/A</v>
      </c>
    </row>
    <row r="281" spans="1:18" x14ac:dyDescent="0.25">
      <c r="A281">
        <f t="shared" si="22"/>
        <v>1</v>
      </c>
      <c r="B281" t="str">
        <f t="shared" si="23"/>
        <v/>
      </c>
      <c r="C281">
        <f t="shared" si="25"/>
        <v>1</v>
      </c>
      <c r="D281" s="4"/>
      <c r="E281" t="s">
        <v>18</v>
      </c>
      <c r="F281" t="str">
        <f>INDEX(Establishment!B$2:B$1005,MATCH($E281,Establishment!$A$2:$A$1005,0))</f>
        <v xml:space="preserve"> </v>
      </c>
      <c r="G281" t="str">
        <f>INDEX(Establishment!C$2:C$1005,MATCH($E281,Establishment!$A$2:$A$1005,0))</f>
        <v xml:space="preserve"> </v>
      </c>
      <c r="M281">
        <f t="shared" si="26"/>
        <v>0</v>
      </c>
      <c r="N281">
        <f t="shared" si="24"/>
        <v>0</v>
      </c>
      <c r="P281" t="e">
        <f>INDEX(Items!B$2:B$1032,MATCH($O281,Items!$A$2:$A$1032,0))</f>
        <v>#N/A</v>
      </c>
      <c r="Q281" t="e">
        <f>INDEX(Items!C$2:C$1032,MATCH($O281,Items!$A$2:$A$1032,0))</f>
        <v>#N/A</v>
      </c>
      <c r="R281" t="e">
        <f>INDEX(Items!D$2:D$1032,MATCH($O281,Items!$A$2:$A$1032,0))</f>
        <v>#N/A</v>
      </c>
    </row>
    <row r="282" spans="1:18" x14ac:dyDescent="0.25">
      <c r="A282">
        <f t="shared" si="22"/>
        <v>1</v>
      </c>
      <c r="B282" t="str">
        <f t="shared" si="23"/>
        <v/>
      </c>
      <c r="C282">
        <f t="shared" si="25"/>
        <v>1</v>
      </c>
      <c r="D282" s="4"/>
      <c r="E282" t="s">
        <v>18</v>
      </c>
      <c r="F282" t="str">
        <f>INDEX(Establishment!B$2:B$1005,MATCH($E282,Establishment!$A$2:$A$1005,0))</f>
        <v xml:space="preserve"> </v>
      </c>
      <c r="G282" t="str">
        <f>INDEX(Establishment!C$2:C$1005,MATCH($E282,Establishment!$A$2:$A$1005,0))</f>
        <v xml:space="preserve"> </v>
      </c>
      <c r="M282">
        <f t="shared" si="26"/>
        <v>0</v>
      </c>
      <c r="N282">
        <f t="shared" si="24"/>
        <v>0</v>
      </c>
      <c r="P282" t="e">
        <f>INDEX(Items!B$2:B$1032,MATCH($O282,Items!$A$2:$A$1032,0))</f>
        <v>#N/A</v>
      </c>
      <c r="Q282" t="e">
        <f>INDEX(Items!C$2:C$1032,MATCH($O282,Items!$A$2:$A$1032,0))</f>
        <v>#N/A</v>
      </c>
      <c r="R282" t="e">
        <f>INDEX(Items!D$2:D$1032,MATCH($O282,Items!$A$2:$A$1032,0))</f>
        <v>#N/A</v>
      </c>
    </row>
    <row r="283" spans="1:18" x14ac:dyDescent="0.25">
      <c r="A283">
        <f t="shared" si="22"/>
        <v>1</v>
      </c>
      <c r="B283" t="str">
        <f t="shared" si="23"/>
        <v/>
      </c>
      <c r="C283">
        <f t="shared" si="25"/>
        <v>1</v>
      </c>
      <c r="D283" s="4"/>
      <c r="E283" t="s">
        <v>18</v>
      </c>
      <c r="F283" t="str">
        <f>INDEX(Establishment!B$2:B$1005,MATCH($E283,Establishment!$A$2:$A$1005,0))</f>
        <v xml:space="preserve"> </v>
      </c>
      <c r="G283" t="str">
        <f>INDEX(Establishment!C$2:C$1005,MATCH($E283,Establishment!$A$2:$A$1005,0))</f>
        <v xml:space="preserve"> </v>
      </c>
      <c r="M283">
        <f t="shared" si="26"/>
        <v>0</v>
      </c>
      <c r="N283">
        <f t="shared" si="24"/>
        <v>0</v>
      </c>
      <c r="P283" t="e">
        <f>INDEX(Items!B$2:B$1032,MATCH($O283,Items!$A$2:$A$1032,0))</f>
        <v>#N/A</v>
      </c>
      <c r="Q283" t="e">
        <f>INDEX(Items!C$2:C$1032,MATCH($O283,Items!$A$2:$A$1032,0))</f>
        <v>#N/A</v>
      </c>
      <c r="R283" t="e">
        <f>INDEX(Items!D$2:D$1032,MATCH($O283,Items!$A$2:$A$1032,0))</f>
        <v>#N/A</v>
      </c>
    </row>
    <row r="284" spans="1:18" x14ac:dyDescent="0.25">
      <c r="A284">
        <f t="shared" si="22"/>
        <v>1</v>
      </c>
      <c r="B284" t="str">
        <f t="shared" si="23"/>
        <v/>
      </c>
      <c r="C284">
        <f t="shared" si="25"/>
        <v>1</v>
      </c>
      <c r="D284" s="4"/>
      <c r="E284" t="s">
        <v>18</v>
      </c>
      <c r="F284" t="str">
        <f>INDEX(Establishment!B$2:B$1005,MATCH($E284,Establishment!$A$2:$A$1005,0))</f>
        <v xml:space="preserve"> </v>
      </c>
      <c r="G284" t="str">
        <f>INDEX(Establishment!C$2:C$1005,MATCH($E284,Establishment!$A$2:$A$1005,0))</f>
        <v xml:space="preserve"> </v>
      </c>
      <c r="M284">
        <f t="shared" si="26"/>
        <v>0</v>
      </c>
      <c r="N284">
        <f t="shared" si="24"/>
        <v>0</v>
      </c>
      <c r="P284" t="e">
        <f>INDEX(Items!B$2:B$1032,MATCH($O284,Items!$A$2:$A$1032,0))</f>
        <v>#N/A</v>
      </c>
      <c r="Q284" t="e">
        <f>INDEX(Items!C$2:C$1032,MATCH($O284,Items!$A$2:$A$1032,0))</f>
        <v>#N/A</v>
      </c>
      <c r="R284" t="e">
        <f>INDEX(Items!D$2:D$1032,MATCH($O284,Items!$A$2:$A$1032,0))</f>
        <v>#N/A</v>
      </c>
    </row>
    <row r="285" spans="1:18" x14ac:dyDescent="0.25">
      <c r="A285">
        <f t="shared" si="22"/>
        <v>1</v>
      </c>
      <c r="B285" t="str">
        <f t="shared" si="23"/>
        <v/>
      </c>
      <c r="C285">
        <f t="shared" si="25"/>
        <v>1</v>
      </c>
      <c r="D285" s="4"/>
      <c r="E285" t="s">
        <v>18</v>
      </c>
      <c r="F285" t="str">
        <f>INDEX(Establishment!B$2:B$1005,MATCH($E285,Establishment!$A$2:$A$1005,0))</f>
        <v xml:space="preserve"> </v>
      </c>
      <c r="G285" t="str">
        <f>INDEX(Establishment!C$2:C$1005,MATCH($E285,Establishment!$A$2:$A$1005,0))</f>
        <v xml:space="preserve"> </v>
      </c>
      <c r="M285">
        <f t="shared" si="26"/>
        <v>0</v>
      </c>
      <c r="N285">
        <f t="shared" si="24"/>
        <v>0</v>
      </c>
      <c r="P285" t="e">
        <f>INDEX(Items!B$2:B$1032,MATCH($O285,Items!$A$2:$A$1032,0))</f>
        <v>#N/A</v>
      </c>
      <c r="Q285" t="e">
        <f>INDEX(Items!C$2:C$1032,MATCH($O285,Items!$A$2:$A$1032,0))</f>
        <v>#N/A</v>
      </c>
      <c r="R285" t="e">
        <f>INDEX(Items!D$2:D$1032,MATCH($O285,Items!$A$2:$A$1032,0))</f>
        <v>#N/A</v>
      </c>
    </row>
    <row r="286" spans="1:18" x14ac:dyDescent="0.25">
      <c r="A286">
        <f t="shared" si="22"/>
        <v>1</v>
      </c>
      <c r="B286" t="str">
        <f t="shared" si="23"/>
        <v/>
      </c>
      <c r="C286">
        <f t="shared" si="25"/>
        <v>1</v>
      </c>
      <c r="D286" s="4"/>
      <c r="E286" t="s">
        <v>18</v>
      </c>
      <c r="F286" t="str">
        <f>INDEX(Establishment!B$2:B$1005,MATCH($E286,Establishment!$A$2:$A$1005,0))</f>
        <v xml:space="preserve"> </v>
      </c>
      <c r="G286" t="str">
        <f>INDEX(Establishment!C$2:C$1005,MATCH($E286,Establishment!$A$2:$A$1005,0))</f>
        <v xml:space="preserve"> </v>
      </c>
      <c r="M286">
        <f t="shared" si="26"/>
        <v>0</v>
      </c>
      <c r="N286">
        <f t="shared" si="24"/>
        <v>0</v>
      </c>
      <c r="P286" t="e">
        <f>INDEX(Items!B$2:B$1032,MATCH($O286,Items!$A$2:$A$1032,0))</f>
        <v>#N/A</v>
      </c>
      <c r="Q286" t="e">
        <f>INDEX(Items!C$2:C$1032,MATCH($O286,Items!$A$2:$A$1032,0))</f>
        <v>#N/A</v>
      </c>
      <c r="R286" t="e">
        <f>INDEX(Items!D$2:D$1032,MATCH($O286,Items!$A$2:$A$1032,0))</f>
        <v>#N/A</v>
      </c>
    </row>
    <row r="287" spans="1:18" x14ac:dyDescent="0.25">
      <c r="A287">
        <f t="shared" si="22"/>
        <v>1</v>
      </c>
      <c r="B287" t="str">
        <f t="shared" si="23"/>
        <v/>
      </c>
      <c r="C287">
        <f t="shared" si="25"/>
        <v>1</v>
      </c>
      <c r="D287" s="4"/>
      <c r="E287" t="s">
        <v>18</v>
      </c>
      <c r="F287" t="str">
        <f>INDEX(Establishment!B$2:B$1005,MATCH($E287,Establishment!$A$2:$A$1005,0))</f>
        <v xml:space="preserve"> </v>
      </c>
      <c r="G287" t="str">
        <f>INDEX(Establishment!C$2:C$1005,MATCH($E287,Establishment!$A$2:$A$1005,0))</f>
        <v xml:space="preserve"> </v>
      </c>
      <c r="M287">
        <f t="shared" si="26"/>
        <v>0</v>
      </c>
      <c r="N287">
        <f t="shared" si="24"/>
        <v>0</v>
      </c>
      <c r="P287" t="e">
        <f>INDEX(Items!B$2:B$1032,MATCH($O287,Items!$A$2:$A$1032,0))</f>
        <v>#N/A</v>
      </c>
      <c r="Q287" t="e">
        <f>INDEX(Items!C$2:C$1032,MATCH($O287,Items!$A$2:$A$1032,0))</f>
        <v>#N/A</v>
      </c>
      <c r="R287" t="e">
        <f>INDEX(Items!D$2:D$1032,MATCH($O287,Items!$A$2:$A$1032,0))</f>
        <v>#N/A</v>
      </c>
    </row>
    <row r="288" spans="1:18" x14ac:dyDescent="0.25">
      <c r="A288">
        <f t="shared" si="22"/>
        <v>1</v>
      </c>
      <c r="B288" t="str">
        <f t="shared" si="23"/>
        <v/>
      </c>
      <c r="C288">
        <f t="shared" si="25"/>
        <v>1</v>
      </c>
      <c r="D288" s="4"/>
      <c r="E288" t="s">
        <v>18</v>
      </c>
      <c r="F288" t="str">
        <f>INDEX(Establishment!B$2:B$1005,MATCH($E288,Establishment!$A$2:$A$1005,0))</f>
        <v xml:space="preserve"> </v>
      </c>
      <c r="G288" t="str">
        <f>INDEX(Establishment!C$2:C$1005,MATCH($E288,Establishment!$A$2:$A$1005,0))</f>
        <v xml:space="preserve"> </v>
      </c>
      <c r="M288">
        <f t="shared" si="26"/>
        <v>0</v>
      </c>
      <c r="N288">
        <f t="shared" si="24"/>
        <v>0</v>
      </c>
      <c r="P288" t="e">
        <f>INDEX(Items!B$2:B$1032,MATCH($O288,Items!$A$2:$A$1032,0))</f>
        <v>#N/A</v>
      </c>
      <c r="Q288" t="e">
        <f>INDEX(Items!C$2:C$1032,MATCH($O288,Items!$A$2:$A$1032,0))</f>
        <v>#N/A</v>
      </c>
      <c r="R288" t="e">
        <f>INDEX(Items!D$2:D$1032,MATCH($O288,Items!$A$2:$A$1032,0))</f>
        <v>#N/A</v>
      </c>
    </row>
    <row r="289" spans="1:18" x14ac:dyDescent="0.25">
      <c r="A289">
        <f t="shared" si="22"/>
        <v>1</v>
      </c>
      <c r="B289" t="str">
        <f t="shared" si="23"/>
        <v/>
      </c>
      <c r="C289">
        <f t="shared" si="25"/>
        <v>1</v>
      </c>
      <c r="D289" s="4"/>
      <c r="E289" t="s">
        <v>18</v>
      </c>
      <c r="F289" t="str">
        <f>INDEX(Establishment!B$2:B$1005,MATCH($E289,Establishment!$A$2:$A$1005,0))</f>
        <v xml:space="preserve"> </v>
      </c>
      <c r="G289" t="str">
        <f>INDEX(Establishment!C$2:C$1005,MATCH($E289,Establishment!$A$2:$A$1005,0))</f>
        <v xml:space="preserve"> </v>
      </c>
      <c r="M289">
        <f t="shared" si="26"/>
        <v>0</v>
      </c>
      <c r="N289">
        <f t="shared" si="24"/>
        <v>0</v>
      </c>
      <c r="P289" t="e">
        <f>INDEX(Items!B$2:B$1032,MATCH($O289,Items!$A$2:$A$1032,0))</f>
        <v>#N/A</v>
      </c>
      <c r="Q289" t="e">
        <f>INDEX(Items!C$2:C$1032,MATCH($O289,Items!$A$2:$A$1032,0))</f>
        <v>#N/A</v>
      </c>
      <c r="R289" t="e">
        <f>INDEX(Items!D$2:D$1032,MATCH($O289,Items!$A$2:$A$1032,0))</f>
        <v>#N/A</v>
      </c>
    </row>
    <row r="290" spans="1:18" x14ac:dyDescent="0.25">
      <c r="A290">
        <f t="shared" si="22"/>
        <v>1</v>
      </c>
      <c r="B290" t="str">
        <f t="shared" si="23"/>
        <v/>
      </c>
      <c r="C290">
        <f t="shared" si="25"/>
        <v>1</v>
      </c>
      <c r="D290" s="4"/>
      <c r="E290" t="s">
        <v>18</v>
      </c>
      <c r="F290" t="str">
        <f>INDEX(Establishment!B$2:B$1005,MATCH($E290,Establishment!$A$2:$A$1005,0))</f>
        <v xml:space="preserve"> </v>
      </c>
      <c r="G290" t="str">
        <f>INDEX(Establishment!C$2:C$1005,MATCH($E290,Establishment!$A$2:$A$1005,0))</f>
        <v xml:space="preserve"> </v>
      </c>
      <c r="M290">
        <f t="shared" si="26"/>
        <v>0</v>
      </c>
      <c r="N290">
        <f t="shared" si="24"/>
        <v>0</v>
      </c>
      <c r="P290" t="e">
        <f>INDEX(Items!B$2:B$1032,MATCH($O290,Items!$A$2:$A$1032,0))</f>
        <v>#N/A</v>
      </c>
      <c r="Q290" t="e">
        <f>INDEX(Items!C$2:C$1032,MATCH($O290,Items!$A$2:$A$1032,0))</f>
        <v>#N/A</v>
      </c>
      <c r="R290" t="e">
        <f>INDEX(Items!D$2:D$1032,MATCH($O290,Items!$A$2:$A$1032,0))</f>
        <v>#N/A</v>
      </c>
    </row>
    <row r="291" spans="1:18" x14ac:dyDescent="0.25">
      <c r="A291">
        <f t="shared" si="22"/>
        <v>1</v>
      </c>
      <c r="B291" t="str">
        <f t="shared" si="23"/>
        <v/>
      </c>
      <c r="C291">
        <f t="shared" si="25"/>
        <v>1</v>
      </c>
      <c r="D291" s="4"/>
      <c r="E291" t="s">
        <v>18</v>
      </c>
      <c r="F291" t="str">
        <f>INDEX(Establishment!B$2:B$1005,MATCH($E291,Establishment!$A$2:$A$1005,0))</f>
        <v xml:space="preserve"> </v>
      </c>
      <c r="G291" t="str">
        <f>INDEX(Establishment!C$2:C$1005,MATCH($E291,Establishment!$A$2:$A$1005,0))</f>
        <v xml:space="preserve"> </v>
      </c>
      <c r="M291">
        <f t="shared" si="26"/>
        <v>0</v>
      </c>
      <c r="N291">
        <f t="shared" si="24"/>
        <v>0</v>
      </c>
      <c r="P291" t="e">
        <f>INDEX(Items!B$2:B$1032,MATCH($O291,Items!$A$2:$A$1032,0))</f>
        <v>#N/A</v>
      </c>
      <c r="Q291" t="e">
        <f>INDEX(Items!C$2:C$1032,MATCH($O291,Items!$A$2:$A$1032,0))</f>
        <v>#N/A</v>
      </c>
      <c r="R291" t="e">
        <f>INDEX(Items!D$2:D$1032,MATCH($O291,Items!$A$2:$A$1032,0))</f>
        <v>#N/A</v>
      </c>
    </row>
    <row r="292" spans="1:18" x14ac:dyDescent="0.25">
      <c r="A292">
        <f t="shared" si="22"/>
        <v>1</v>
      </c>
      <c r="B292" t="str">
        <f t="shared" si="23"/>
        <v/>
      </c>
      <c r="C292">
        <f t="shared" si="25"/>
        <v>1</v>
      </c>
      <c r="D292" s="4"/>
      <c r="E292" t="s">
        <v>18</v>
      </c>
      <c r="F292" t="str">
        <f>INDEX(Establishment!B$2:B$1005,MATCH($E292,Establishment!$A$2:$A$1005,0))</f>
        <v xml:space="preserve"> </v>
      </c>
      <c r="G292" t="str">
        <f>INDEX(Establishment!C$2:C$1005,MATCH($E292,Establishment!$A$2:$A$1005,0))</f>
        <v xml:space="preserve"> </v>
      </c>
      <c r="M292">
        <f t="shared" si="26"/>
        <v>0</v>
      </c>
      <c r="N292">
        <f t="shared" si="24"/>
        <v>0</v>
      </c>
      <c r="P292" t="e">
        <f>INDEX(Items!B$2:B$1032,MATCH($O292,Items!$A$2:$A$1032,0))</f>
        <v>#N/A</v>
      </c>
      <c r="Q292" t="e">
        <f>INDEX(Items!C$2:C$1032,MATCH($O292,Items!$A$2:$A$1032,0))</f>
        <v>#N/A</v>
      </c>
      <c r="R292" t="e">
        <f>INDEX(Items!D$2:D$1032,MATCH($O292,Items!$A$2:$A$1032,0))</f>
        <v>#N/A</v>
      </c>
    </row>
    <row r="293" spans="1:18" x14ac:dyDescent="0.25">
      <c r="A293">
        <f t="shared" si="22"/>
        <v>1</v>
      </c>
      <c r="B293" t="str">
        <f t="shared" si="23"/>
        <v/>
      </c>
      <c r="C293">
        <f t="shared" si="25"/>
        <v>1</v>
      </c>
      <c r="D293" s="4"/>
      <c r="E293" t="s">
        <v>18</v>
      </c>
      <c r="F293" t="str">
        <f>INDEX(Establishment!B$2:B$1005,MATCH($E293,Establishment!$A$2:$A$1005,0))</f>
        <v xml:space="preserve"> </v>
      </c>
      <c r="G293" t="str">
        <f>INDEX(Establishment!C$2:C$1005,MATCH($E293,Establishment!$A$2:$A$1005,0))</f>
        <v xml:space="preserve"> </v>
      </c>
      <c r="M293">
        <f t="shared" si="26"/>
        <v>0</v>
      </c>
      <c r="N293">
        <f t="shared" si="24"/>
        <v>0</v>
      </c>
      <c r="P293" t="e">
        <f>INDEX(Items!B$2:B$1032,MATCH($O293,Items!$A$2:$A$1032,0))</f>
        <v>#N/A</v>
      </c>
      <c r="Q293" t="e">
        <f>INDEX(Items!C$2:C$1032,MATCH($O293,Items!$A$2:$A$1032,0))</f>
        <v>#N/A</v>
      </c>
      <c r="R293" t="e">
        <f>INDEX(Items!D$2:D$1032,MATCH($O293,Items!$A$2:$A$1032,0))</f>
        <v>#N/A</v>
      </c>
    </row>
    <row r="294" spans="1:18" x14ac:dyDescent="0.25">
      <c r="A294">
        <f t="shared" si="22"/>
        <v>1</v>
      </c>
      <c r="B294" t="str">
        <f t="shared" si="23"/>
        <v/>
      </c>
      <c r="C294">
        <f t="shared" si="25"/>
        <v>1</v>
      </c>
      <c r="D294" s="4"/>
      <c r="E294" t="s">
        <v>18</v>
      </c>
      <c r="F294" t="str">
        <f>INDEX(Establishment!B$2:B$1005,MATCH($E294,Establishment!$A$2:$A$1005,0))</f>
        <v xml:space="preserve"> </v>
      </c>
      <c r="G294" t="str">
        <f>INDEX(Establishment!C$2:C$1005,MATCH($E294,Establishment!$A$2:$A$1005,0))</f>
        <v xml:space="preserve"> </v>
      </c>
      <c r="M294">
        <f t="shared" si="26"/>
        <v>0</v>
      </c>
      <c r="N294">
        <f t="shared" si="24"/>
        <v>0</v>
      </c>
      <c r="P294" t="e">
        <f>INDEX(Items!B$2:B$1032,MATCH($O294,Items!$A$2:$A$1032,0))</f>
        <v>#N/A</v>
      </c>
      <c r="Q294" t="e">
        <f>INDEX(Items!C$2:C$1032,MATCH($O294,Items!$A$2:$A$1032,0))</f>
        <v>#N/A</v>
      </c>
      <c r="R294" t="e">
        <f>INDEX(Items!D$2:D$1032,MATCH($O294,Items!$A$2:$A$1032,0))</f>
        <v>#N/A</v>
      </c>
    </row>
    <row r="295" spans="1:18" x14ac:dyDescent="0.25">
      <c r="A295">
        <f t="shared" si="22"/>
        <v>1</v>
      </c>
      <c r="B295" t="str">
        <f t="shared" si="23"/>
        <v/>
      </c>
      <c r="C295">
        <f t="shared" si="25"/>
        <v>1</v>
      </c>
      <c r="D295" s="4"/>
      <c r="E295" t="s">
        <v>18</v>
      </c>
      <c r="F295" t="str">
        <f>INDEX(Establishment!B$2:B$1005,MATCH($E295,Establishment!$A$2:$A$1005,0))</f>
        <v xml:space="preserve"> </v>
      </c>
      <c r="G295" t="str">
        <f>INDEX(Establishment!C$2:C$1005,MATCH($E295,Establishment!$A$2:$A$1005,0))</f>
        <v xml:space="preserve"> </v>
      </c>
      <c r="M295">
        <f t="shared" si="26"/>
        <v>0</v>
      </c>
      <c r="N295">
        <f t="shared" si="24"/>
        <v>0</v>
      </c>
      <c r="P295" t="e">
        <f>INDEX(Items!B$2:B$1032,MATCH($O295,Items!$A$2:$A$1032,0))</f>
        <v>#N/A</v>
      </c>
      <c r="Q295" t="e">
        <f>INDEX(Items!C$2:C$1032,MATCH($O295,Items!$A$2:$A$1032,0))</f>
        <v>#N/A</v>
      </c>
      <c r="R295" t="e">
        <f>INDEX(Items!D$2:D$1032,MATCH($O295,Items!$A$2:$A$1032,0))</f>
        <v>#N/A</v>
      </c>
    </row>
    <row r="296" spans="1:18" x14ac:dyDescent="0.25">
      <c r="A296">
        <f t="shared" si="22"/>
        <v>1</v>
      </c>
      <c r="B296" t="str">
        <f t="shared" si="23"/>
        <v/>
      </c>
      <c r="C296">
        <f t="shared" si="25"/>
        <v>1</v>
      </c>
      <c r="D296" s="4"/>
      <c r="E296" t="s">
        <v>18</v>
      </c>
      <c r="F296" t="str">
        <f>INDEX(Establishment!B$2:B$1005,MATCH($E296,Establishment!$A$2:$A$1005,0))</f>
        <v xml:space="preserve"> </v>
      </c>
      <c r="G296" t="str">
        <f>INDEX(Establishment!C$2:C$1005,MATCH($E296,Establishment!$A$2:$A$1005,0))</f>
        <v xml:space="preserve"> </v>
      </c>
      <c r="M296">
        <f t="shared" si="26"/>
        <v>0</v>
      </c>
      <c r="N296">
        <f t="shared" si="24"/>
        <v>0</v>
      </c>
      <c r="P296" t="e">
        <f>INDEX(Items!B$2:B$1032,MATCH($O296,Items!$A$2:$A$1032,0))</f>
        <v>#N/A</v>
      </c>
      <c r="Q296" t="e">
        <f>INDEX(Items!C$2:C$1032,MATCH($O296,Items!$A$2:$A$1032,0))</f>
        <v>#N/A</v>
      </c>
      <c r="R296" t="e">
        <f>INDEX(Items!D$2:D$1032,MATCH($O296,Items!$A$2:$A$1032,0))</f>
        <v>#N/A</v>
      </c>
    </row>
    <row r="297" spans="1:18" x14ac:dyDescent="0.25">
      <c r="A297">
        <f t="shared" si="22"/>
        <v>1</v>
      </c>
      <c r="B297" t="str">
        <f t="shared" si="23"/>
        <v/>
      </c>
      <c r="C297">
        <f t="shared" si="25"/>
        <v>1</v>
      </c>
      <c r="D297" s="4"/>
      <c r="E297" t="s">
        <v>18</v>
      </c>
      <c r="F297" t="str">
        <f>INDEX(Establishment!B$2:B$1005,MATCH($E297,Establishment!$A$2:$A$1005,0))</f>
        <v xml:space="preserve"> </v>
      </c>
      <c r="G297" t="str">
        <f>INDEX(Establishment!C$2:C$1005,MATCH($E297,Establishment!$A$2:$A$1005,0))</f>
        <v xml:space="preserve"> </v>
      </c>
      <c r="M297">
        <f t="shared" si="26"/>
        <v>0</v>
      </c>
      <c r="N297">
        <f t="shared" si="24"/>
        <v>0</v>
      </c>
      <c r="P297" t="e">
        <f>INDEX(Items!B$2:B$1032,MATCH($O297,Items!$A$2:$A$1032,0))</f>
        <v>#N/A</v>
      </c>
      <c r="Q297" t="e">
        <f>INDEX(Items!C$2:C$1032,MATCH($O297,Items!$A$2:$A$1032,0))</f>
        <v>#N/A</v>
      </c>
      <c r="R297" t="e">
        <f>INDEX(Items!D$2:D$1032,MATCH($O297,Items!$A$2:$A$1032,0))</f>
        <v>#N/A</v>
      </c>
    </row>
    <row r="298" spans="1:18" x14ac:dyDescent="0.25">
      <c r="A298">
        <f t="shared" si="22"/>
        <v>1</v>
      </c>
      <c r="B298" t="str">
        <f t="shared" si="23"/>
        <v/>
      </c>
      <c r="C298">
        <f t="shared" si="25"/>
        <v>1</v>
      </c>
      <c r="D298" s="4"/>
      <c r="E298" t="s">
        <v>18</v>
      </c>
      <c r="F298" t="str">
        <f>INDEX(Establishment!B$2:B$1005,MATCH($E298,Establishment!$A$2:$A$1005,0))</f>
        <v xml:space="preserve"> </v>
      </c>
      <c r="G298" t="str">
        <f>INDEX(Establishment!C$2:C$1005,MATCH($E298,Establishment!$A$2:$A$1005,0))</f>
        <v xml:space="preserve"> </v>
      </c>
      <c r="M298">
        <f t="shared" si="26"/>
        <v>0</v>
      </c>
      <c r="N298">
        <f t="shared" si="24"/>
        <v>0</v>
      </c>
      <c r="P298" t="e">
        <f>INDEX(Items!B$2:B$1032,MATCH($O298,Items!$A$2:$A$1032,0))</f>
        <v>#N/A</v>
      </c>
      <c r="Q298" t="e">
        <f>INDEX(Items!C$2:C$1032,MATCH($O298,Items!$A$2:$A$1032,0))</f>
        <v>#N/A</v>
      </c>
      <c r="R298" t="e">
        <f>INDEX(Items!D$2:D$1032,MATCH($O298,Items!$A$2:$A$1032,0))</f>
        <v>#N/A</v>
      </c>
    </row>
    <row r="299" spans="1:18" x14ac:dyDescent="0.25">
      <c r="A299">
        <f t="shared" si="22"/>
        <v>1</v>
      </c>
      <c r="B299" t="str">
        <f t="shared" si="23"/>
        <v/>
      </c>
      <c r="C299">
        <f t="shared" si="25"/>
        <v>1</v>
      </c>
      <c r="D299" s="4"/>
      <c r="E299" t="s">
        <v>18</v>
      </c>
      <c r="F299" t="str">
        <f>INDEX(Establishment!B$2:B$1005,MATCH($E299,Establishment!$A$2:$A$1005,0))</f>
        <v xml:space="preserve"> </v>
      </c>
      <c r="G299" t="str">
        <f>INDEX(Establishment!C$2:C$1005,MATCH($E299,Establishment!$A$2:$A$1005,0))</f>
        <v xml:space="preserve"> </v>
      </c>
      <c r="M299">
        <f t="shared" si="26"/>
        <v>0</v>
      </c>
      <c r="N299">
        <f t="shared" si="24"/>
        <v>0</v>
      </c>
      <c r="P299" t="e">
        <f>INDEX(Items!B$2:B$1032,MATCH($O299,Items!$A$2:$A$1032,0))</f>
        <v>#N/A</v>
      </c>
      <c r="Q299" t="e">
        <f>INDEX(Items!C$2:C$1032,MATCH($O299,Items!$A$2:$A$1032,0))</f>
        <v>#N/A</v>
      </c>
      <c r="R299" t="e">
        <f>INDEX(Items!D$2:D$1032,MATCH($O299,Items!$A$2:$A$1032,0))</f>
        <v>#N/A</v>
      </c>
    </row>
    <row r="300" spans="1:18" x14ac:dyDescent="0.25">
      <c r="A300">
        <f t="shared" si="22"/>
        <v>1</v>
      </c>
      <c r="B300" t="str">
        <f t="shared" si="23"/>
        <v/>
      </c>
      <c r="C300">
        <f t="shared" si="25"/>
        <v>1</v>
      </c>
      <c r="D300" s="4"/>
      <c r="E300" t="s">
        <v>18</v>
      </c>
      <c r="F300" t="str">
        <f>INDEX(Establishment!B$2:B$1005,MATCH($E300,Establishment!$A$2:$A$1005,0))</f>
        <v xml:space="preserve"> </v>
      </c>
      <c r="G300" t="str">
        <f>INDEX(Establishment!C$2:C$1005,MATCH($E300,Establishment!$A$2:$A$1005,0))</f>
        <v xml:space="preserve"> </v>
      </c>
      <c r="M300">
        <f t="shared" si="26"/>
        <v>0</v>
      </c>
      <c r="N300">
        <f t="shared" si="24"/>
        <v>0</v>
      </c>
      <c r="P300" t="e">
        <f>INDEX(Items!B$2:B$1032,MATCH($O300,Items!$A$2:$A$1032,0))</f>
        <v>#N/A</v>
      </c>
      <c r="Q300" t="e">
        <f>INDEX(Items!C$2:C$1032,MATCH($O300,Items!$A$2:$A$1032,0))</f>
        <v>#N/A</v>
      </c>
      <c r="R300" t="e">
        <f>INDEX(Items!D$2:D$1032,MATCH($O300,Items!$A$2:$A$1032,0))</f>
        <v>#N/A</v>
      </c>
    </row>
    <row r="301" spans="1:18" x14ac:dyDescent="0.25">
      <c r="A301">
        <f t="shared" si="22"/>
        <v>1</v>
      </c>
      <c r="B301" t="str">
        <f t="shared" si="23"/>
        <v/>
      </c>
      <c r="C301">
        <f t="shared" si="25"/>
        <v>1</v>
      </c>
      <c r="D301" s="4"/>
      <c r="E301" t="s">
        <v>18</v>
      </c>
      <c r="F301" t="str">
        <f>INDEX(Establishment!B$2:B$1005,MATCH($E301,Establishment!$A$2:$A$1005,0))</f>
        <v xml:space="preserve"> </v>
      </c>
      <c r="G301" t="str">
        <f>INDEX(Establishment!C$2:C$1005,MATCH($E301,Establishment!$A$2:$A$1005,0))</f>
        <v xml:space="preserve"> </v>
      </c>
      <c r="M301">
        <f t="shared" si="26"/>
        <v>0</v>
      </c>
      <c r="N301">
        <f t="shared" si="24"/>
        <v>0</v>
      </c>
      <c r="P301" t="e">
        <f>INDEX(Items!B$2:B$1032,MATCH($O301,Items!$A$2:$A$1032,0))</f>
        <v>#N/A</v>
      </c>
      <c r="Q301" t="e">
        <f>INDEX(Items!C$2:C$1032,MATCH($O301,Items!$A$2:$A$1032,0))</f>
        <v>#N/A</v>
      </c>
      <c r="R301" t="e">
        <f>INDEX(Items!D$2:D$1032,MATCH($O301,Items!$A$2:$A$1032,0))</f>
        <v>#N/A</v>
      </c>
    </row>
    <row r="302" spans="1:18" x14ac:dyDescent="0.25">
      <c r="A302">
        <f t="shared" si="22"/>
        <v>1</v>
      </c>
      <c r="B302" t="str">
        <f t="shared" si="23"/>
        <v/>
      </c>
      <c r="C302">
        <f t="shared" si="25"/>
        <v>1</v>
      </c>
      <c r="D302" s="4"/>
      <c r="E302" t="s">
        <v>18</v>
      </c>
      <c r="F302" t="str">
        <f>INDEX(Establishment!B$2:B$1005,MATCH($E302,Establishment!$A$2:$A$1005,0))</f>
        <v xml:space="preserve"> </v>
      </c>
      <c r="G302" t="str">
        <f>INDEX(Establishment!C$2:C$1005,MATCH($E302,Establishment!$A$2:$A$1005,0))</f>
        <v xml:space="preserve"> </v>
      </c>
      <c r="M302">
        <f t="shared" si="26"/>
        <v>0</v>
      </c>
      <c r="N302">
        <f t="shared" si="24"/>
        <v>0</v>
      </c>
      <c r="P302" t="e">
        <f>INDEX(Items!B$2:B$1032,MATCH($O302,Items!$A$2:$A$1032,0))</f>
        <v>#N/A</v>
      </c>
      <c r="Q302" t="e">
        <f>INDEX(Items!C$2:C$1032,MATCH($O302,Items!$A$2:$A$1032,0))</f>
        <v>#N/A</v>
      </c>
      <c r="R302" t="e">
        <f>INDEX(Items!D$2:D$1032,MATCH($O302,Items!$A$2:$A$1032,0))</f>
        <v>#N/A</v>
      </c>
    </row>
    <row r="303" spans="1:18" x14ac:dyDescent="0.25">
      <c r="A303">
        <f t="shared" si="22"/>
        <v>1</v>
      </c>
      <c r="B303" t="str">
        <f t="shared" si="23"/>
        <v/>
      </c>
      <c r="C303">
        <f t="shared" si="25"/>
        <v>1</v>
      </c>
      <c r="D303" s="4"/>
      <c r="E303" t="s">
        <v>18</v>
      </c>
      <c r="F303" t="str">
        <f>INDEX(Establishment!B$2:B$1005,MATCH($E303,Establishment!$A$2:$A$1005,0))</f>
        <v xml:space="preserve"> </v>
      </c>
      <c r="G303" t="str">
        <f>INDEX(Establishment!C$2:C$1005,MATCH($E303,Establishment!$A$2:$A$1005,0))</f>
        <v xml:space="preserve"> </v>
      </c>
      <c r="M303">
        <f t="shared" si="26"/>
        <v>0</v>
      </c>
      <c r="N303">
        <f t="shared" si="24"/>
        <v>0</v>
      </c>
      <c r="P303" t="e">
        <f>INDEX(Items!B$2:B$1032,MATCH($O303,Items!$A$2:$A$1032,0))</f>
        <v>#N/A</v>
      </c>
      <c r="Q303" t="e">
        <f>INDEX(Items!C$2:C$1032,MATCH($O303,Items!$A$2:$A$1032,0))</f>
        <v>#N/A</v>
      </c>
      <c r="R303" t="e">
        <f>INDEX(Items!D$2:D$1032,MATCH($O303,Items!$A$2:$A$1032,0))</f>
        <v>#N/A</v>
      </c>
    </row>
    <row r="304" spans="1:18" x14ac:dyDescent="0.25">
      <c r="A304">
        <f t="shared" si="22"/>
        <v>1</v>
      </c>
      <c r="B304" t="str">
        <f t="shared" si="23"/>
        <v/>
      </c>
      <c r="C304">
        <f t="shared" si="25"/>
        <v>1</v>
      </c>
      <c r="D304" s="4"/>
      <c r="E304" t="s">
        <v>18</v>
      </c>
      <c r="F304" t="str">
        <f>INDEX(Establishment!B$2:B$1005,MATCH($E304,Establishment!$A$2:$A$1005,0))</f>
        <v xml:space="preserve"> </v>
      </c>
      <c r="G304" t="str">
        <f>INDEX(Establishment!C$2:C$1005,MATCH($E304,Establishment!$A$2:$A$1005,0))</f>
        <v xml:space="preserve"> </v>
      </c>
      <c r="M304">
        <f t="shared" si="26"/>
        <v>0</v>
      </c>
      <c r="N304">
        <f t="shared" si="24"/>
        <v>0</v>
      </c>
      <c r="P304" t="e">
        <f>INDEX(Items!B$2:B$1032,MATCH($O304,Items!$A$2:$A$1032,0))</f>
        <v>#N/A</v>
      </c>
      <c r="Q304" t="e">
        <f>INDEX(Items!C$2:C$1032,MATCH($O304,Items!$A$2:$A$1032,0))</f>
        <v>#N/A</v>
      </c>
      <c r="R304" t="e">
        <f>INDEX(Items!D$2:D$1032,MATCH($O304,Items!$A$2:$A$1032,0))</f>
        <v>#N/A</v>
      </c>
    </row>
    <row r="305" spans="1:18" x14ac:dyDescent="0.25">
      <c r="A305">
        <f t="shared" si="22"/>
        <v>1</v>
      </c>
      <c r="B305" t="str">
        <f t="shared" si="23"/>
        <v/>
      </c>
      <c r="C305">
        <f t="shared" si="25"/>
        <v>1</v>
      </c>
      <c r="D305" s="4"/>
      <c r="E305" t="s">
        <v>18</v>
      </c>
      <c r="F305" t="str">
        <f>INDEX(Establishment!B$2:B$1005,MATCH($E305,Establishment!$A$2:$A$1005,0))</f>
        <v xml:space="preserve"> </v>
      </c>
      <c r="G305" t="str">
        <f>INDEX(Establishment!C$2:C$1005,MATCH($E305,Establishment!$A$2:$A$1005,0))</f>
        <v xml:space="preserve"> </v>
      </c>
      <c r="M305">
        <f t="shared" si="26"/>
        <v>0</v>
      </c>
      <c r="N305">
        <f t="shared" si="24"/>
        <v>0</v>
      </c>
      <c r="P305" t="e">
        <f>INDEX(Items!B$2:B$1032,MATCH($O305,Items!$A$2:$A$1032,0))</f>
        <v>#N/A</v>
      </c>
      <c r="Q305" t="e">
        <f>INDEX(Items!C$2:C$1032,MATCH($O305,Items!$A$2:$A$1032,0))</f>
        <v>#N/A</v>
      </c>
      <c r="R305" t="e">
        <f>INDEX(Items!D$2:D$1032,MATCH($O305,Items!$A$2:$A$1032,0))</f>
        <v>#N/A</v>
      </c>
    </row>
    <row r="306" spans="1:18" x14ac:dyDescent="0.25">
      <c r="A306">
        <f t="shared" si="22"/>
        <v>1</v>
      </c>
      <c r="B306" t="str">
        <f t="shared" si="23"/>
        <v/>
      </c>
      <c r="C306">
        <f t="shared" si="25"/>
        <v>1</v>
      </c>
      <c r="D306" s="4"/>
      <c r="E306" t="s">
        <v>18</v>
      </c>
      <c r="F306" t="str">
        <f>INDEX(Establishment!B$2:B$1005,MATCH($E306,Establishment!$A$2:$A$1005,0))</f>
        <v xml:space="preserve"> </v>
      </c>
      <c r="G306" t="str">
        <f>INDEX(Establishment!C$2:C$1005,MATCH($E306,Establishment!$A$2:$A$1005,0))</f>
        <v xml:space="preserve"> </v>
      </c>
      <c r="M306">
        <f t="shared" si="26"/>
        <v>0</v>
      </c>
      <c r="N306">
        <f t="shared" si="24"/>
        <v>0</v>
      </c>
      <c r="P306" t="e">
        <f>INDEX(Items!B$2:B$1032,MATCH($O306,Items!$A$2:$A$1032,0))</f>
        <v>#N/A</v>
      </c>
      <c r="Q306" t="e">
        <f>INDEX(Items!C$2:C$1032,MATCH($O306,Items!$A$2:$A$1032,0))</f>
        <v>#N/A</v>
      </c>
      <c r="R306" t="e">
        <f>INDEX(Items!D$2:D$1032,MATCH($O306,Items!$A$2:$A$1032,0))</f>
        <v>#N/A</v>
      </c>
    </row>
    <row r="307" spans="1:18" x14ac:dyDescent="0.25">
      <c r="A307">
        <f t="shared" si="22"/>
        <v>1</v>
      </c>
      <c r="B307" t="str">
        <f t="shared" si="23"/>
        <v/>
      </c>
      <c r="C307">
        <f t="shared" si="25"/>
        <v>1</v>
      </c>
      <c r="D307" s="4"/>
      <c r="E307" t="s">
        <v>18</v>
      </c>
      <c r="F307" t="str">
        <f>INDEX(Establishment!B$2:B$1005,MATCH($E307,Establishment!$A$2:$A$1005,0))</f>
        <v xml:space="preserve"> </v>
      </c>
      <c r="G307" t="str">
        <f>INDEX(Establishment!C$2:C$1005,MATCH($E307,Establishment!$A$2:$A$1005,0))</f>
        <v xml:space="preserve"> </v>
      </c>
      <c r="M307">
        <f t="shared" si="26"/>
        <v>0</v>
      </c>
      <c r="N307">
        <f t="shared" si="24"/>
        <v>0</v>
      </c>
      <c r="P307" t="e">
        <f>INDEX(Items!B$2:B$1032,MATCH($O307,Items!$A$2:$A$1032,0))</f>
        <v>#N/A</v>
      </c>
      <c r="Q307" t="e">
        <f>INDEX(Items!C$2:C$1032,MATCH($O307,Items!$A$2:$A$1032,0))</f>
        <v>#N/A</v>
      </c>
      <c r="R307" t="e">
        <f>INDEX(Items!D$2:D$1032,MATCH($O307,Items!$A$2:$A$1032,0))</f>
        <v>#N/A</v>
      </c>
    </row>
    <row r="308" spans="1:18" x14ac:dyDescent="0.25">
      <c r="A308">
        <f t="shared" si="22"/>
        <v>1</v>
      </c>
      <c r="B308" t="str">
        <f t="shared" si="23"/>
        <v/>
      </c>
      <c r="C308">
        <f t="shared" si="25"/>
        <v>1</v>
      </c>
      <c r="D308" s="4"/>
      <c r="E308" t="s">
        <v>18</v>
      </c>
      <c r="F308" t="str">
        <f>INDEX(Establishment!B$2:B$1005,MATCH($E308,Establishment!$A$2:$A$1005,0))</f>
        <v xml:space="preserve"> </v>
      </c>
      <c r="G308" t="str">
        <f>INDEX(Establishment!C$2:C$1005,MATCH($E308,Establishment!$A$2:$A$1005,0))</f>
        <v xml:space="preserve"> </v>
      </c>
      <c r="M308">
        <f t="shared" si="26"/>
        <v>0</v>
      </c>
      <c r="N308">
        <f t="shared" si="24"/>
        <v>0</v>
      </c>
      <c r="P308" t="e">
        <f>INDEX(Items!B$2:B$1032,MATCH($O308,Items!$A$2:$A$1032,0))</f>
        <v>#N/A</v>
      </c>
      <c r="Q308" t="e">
        <f>INDEX(Items!C$2:C$1032,MATCH($O308,Items!$A$2:$A$1032,0))</f>
        <v>#N/A</v>
      </c>
      <c r="R308" t="e">
        <f>INDEX(Items!D$2:D$1032,MATCH($O308,Items!$A$2:$A$1032,0))</f>
        <v>#N/A</v>
      </c>
    </row>
    <row r="309" spans="1:18" x14ac:dyDescent="0.25">
      <c r="A309">
        <f t="shared" si="22"/>
        <v>1</v>
      </c>
      <c r="B309" t="str">
        <f t="shared" si="23"/>
        <v/>
      </c>
      <c r="C309">
        <f t="shared" si="25"/>
        <v>1</v>
      </c>
      <c r="D309" s="4"/>
      <c r="E309" t="s">
        <v>18</v>
      </c>
      <c r="F309" t="str">
        <f>INDEX(Establishment!B$2:B$1005,MATCH($E309,Establishment!$A$2:$A$1005,0))</f>
        <v xml:space="preserve"> </v>
      </c>
      <c r="G309" t="str">
        <f>INDEX(Establishment!C$2:C$1005,MATCH($E309,Establishment!$A$2:$A$1005,0))</f>
        <v xml:space="preserve"> </v>
      </c>
      <c r="M309">
        <f t="shared" si="26"/>
        <v>0</v>
      </c>
      <c r="N309">
        <f t="shared" si="24"/>
        <v>0</v>
      </c>
      <c r="P309" t="e">
        <f>INDEX(Items!B$2:B$1032,MATCH($O309,Items!$A$2:$A$1032,0))</f>
        <v>#N/A</v>
      </c>
      <c r="Q309" t="e">
        <f>INDEX(Items!C$2:C$1032,MATCH($O309,Items!$A$2:$A$1032,0))</f>
        <v>#N/A</v>
      </c>
      <c r="R309" t="e">
        <f>INDEX(Items!D$2:D$1032,MATCH($O309,Items!$A$2:$A$1032,0))</f>
        <v>#N/A</v>
      </c>
    </row>
    <row r="310" spans="1:18" x14ac:dyDescent="0.25">
      <c r="A310">
        <f t="shared" si="22"/>
        <v>1</v>
      </c>
      <c r="B310" t="str">
        <f t="shared" si="23"/>
        <v/>
      </c>
      <c r="C310">
        <f t="shared" si="25"/>
        <v>1</v>
      </c>
      <c r="D310" s="4"/>
      <c r="E310" t="s">
        <v>18</v>
      </c>
      <c r="F310" t="str">
        <f>INDEX(Establishment!B$2:B$1005,MATCH($E310,Establishment!$A$2:$A$1005,0))</f>
        <v xml:space="preserve"> </v>
      </c>
      <c r="G310" t="str">
        <f>INDEX(Establishment!C$2:C$1005,MATCH($E310,Establishment!$A$2:$A$1005,0))</f>
        <v xml:space="preserve"> </v>
      </c>
      <c r="M310">
        <f t="shared" si="26"/>
        <v>0</v>
      </c>
      <c r="N310">
        <f t="shared" si="24"/>
        <v>0</v>
      </c>
      <c r="P310" t="e">
        <f>INDEX(Items!B$2:B$1032,MATCH($O310,Items!$A$2:$A$1032,0))</f>
        <v>#N/A</v>
      </c>
      <c r="Q310" t="e">
        <f>INDEX(Items!C$2:C$1032,MATCH($O310,Items!$A$2:$A$1032,0))</f>
        <v>#N/A</v>
      </c>
      <c r="R310" t="e">
        <f>INDEX(Items!D$2:D$1032,MATCH($O310,Items!$A$2:$A$1032,0))</f>
        <v>#N/A</v>
      </c>
    </row>
    <row r="311" spans="1:18" x14ac:dyDescent="0.25">
      <c r="A311">
        <f t="shared" si="22"/>
        <v>1</v>
      </c>
      <c r="B311" t="str">
        <f t="shared" si="23"/>
        <v/>
      </c>
      <c r="C311">
        <f t="shared" si="25"/>
        <v>1</v>
      </c>
      <c r="D311" s="4"/>
      <c r="E311" t="s">
        <v>18</v>
      </c>
      <c r="F311" t="str">
        <f>INDEX(Establishment!B$2:B$1005,MATCH($E311,Establishment!$A$2:$A$1005,0))</f>
        <v xml:space="preserve"> </v>
      </c>
      <c r="G311" t="str">
        <f>INDEX(Establishment!C$2:C$1005,MATCH($E311,Establishment!$A$2:$A$1005,0))</f>
        <v xml:space="preserve"> </v>
      </c>
      <c r="M311">
        <f t="shared" si="26"/>
        <v>0</v>
      </c>
      <c r="N311">
        <f t="shared" si="24"/>
        <v>0</v>
      </c>
      <c r="P311" t="e">
        <f>INDEX(Items!B$2:B$1032,MATCH($O311,Items!$A$2:$A$1032,0))</f>
        <v>#N/A</v>
      </c>
      <c r="Q311" t="e">
        <f>INDEX(Items!C$2:C$1032,MATCH($O311,Items!$A$2:$A$1032,0))</f>
        <v>#N/A</v>
      </c>
      <c r="R311" t="e">
        <f>INDEX(Items!D$2:D$1032,MATCH($O311,Items!$A$2:$A$1032,0))</f>
        <v>#N/A</v>
      </c>
    </row>
    <row r="312" spans="1:18" x14ac:dyDescent="0.25">
      <c r="A312">
        <f t="shared" si="22"/>
        <v>1</v>
      </c>
      <c r="B312" t="str">
        <f t="shared" si="23"/>
        <v/>
      </c>
      <c r="C312">
        <f t="shared" si="25"/>
        <v>1</v>
      </c>
      <c r="D312" s="4"/>
      <c r="E312" t="s">
        <v>18</v>
      </c>
      <c r="F312" t="str">
        <f>INDEX(Establishment!B$2:B$1005,MATCH($E312,Establishment!$A$2:$A$1005,0))</f>
        <v xml:space="preserve"> </v>
      </c>
      <c r="G312" t="str">
        <f>INDEX(Establishment!C$2:C$1005,MATCH($E312,Establishment!$A$2:$A$1005,0))</f>
        <v xml:space="preserve"> </v>
      </c>
      <c r="M312">
        <f t="shared" si="26"/>
        <v>0</v>
      </c>
      <c r="N312">
        <f t="shared" si="24"/>
        <v>0</v>
      </c>
      <c r="P312" t="e">
        <f>INDEX(Items!B$2:B$1032,MATCH($O312,Items!$A$2:$A$1032,0))</f>
        <v>#N/A</v>
      </c>
      <c r="Q312" t="e">
        <f>INDEX(Items!C$2:C$1032,MATCH($O312,Items!$A$2:$A$1032,0))</f>
        <v>#N/A</v>
      </c>
      <c r="R312" t="e">
        <f>INDEX(Items!D$2:D$1032,MATCH($O312,Items!$A$2:$A$1032,0))</f>
        <v>#N/A</v>
      </c>
    </row>
    <row r="313" spans="1:18" x14ac:dyDescent="0.25">
      <c r="A313">
        <f t="shared" si="22"/>
        <v>1</v>
      </c>
      <c r="B313" t="str">
        <f t="shared" si="23"/>
        <v/>
      </c>
      <c r="C313">
        <f t="shared" si="25"/>
        <v>1</v>
      </c>
      <c r="D313" s="4"/>
      <c r="E313" t="s">
        <v>18</v>
      </c>
      <c r="F313" t="str">
        <f>INDEX(Establishment!B$2:B$1005,MATCH($E313,Establishment!$A$2:$A$1005,0))</f>
        <v xml:space="preserve"> </v>
      </c>
      <c r="G313" t="str">
        <f>INDEX(Establishment!C$2:C$1005,MATCH($E313,Establishment!$A$2:$A$1005,0))</f>
        <v xml:space="preserve"> </v>
      </c>
      <c r="M313">
        <f t="shared" si="26"/>
        <v>0</v>
      </c>
      <c r="N313">
        <f t="shared" si="24"/>
        <v>0</v>
      </c>
      <c r="P313" t="e">
        <f>INDEX(Items!B$2:B$1032,MATCH($O313,Items!$A$2:$A$1032,0))</f>
        <v>#N/A</v>
      </c>
      <c r="Q313" t="e">
        <f>INDEX(Items!C$2:C$1032,MATCH($O313,Items!$A$2:$A$1032,0))</f>
        <v>#N/A</v>
      </c>
      <c r="R313" t="e">
        <f>INDEX(Items!D$2:D$1032,MATCH($O313,Items!$A$2:$A$1032,0))</f>
        <v>#N/A</v>
      </c>
    </row>
    <row r="314" spans="1:18" x14ac:dyDescent="0.25">
      <c r="A314">
        <f t="shared" si="22"/>
        <v>1</v>
      </c>
      <c r="B314" t="str">
        <f t="shared" si="23"/>
        <v/>
      </c>
      <c r="C314">
        <f t="shared" si="25"/>
        <v>1</v>
      </c>
      <c r="D314" s="4"/>
      <c r="E314" t="s">
        <v>18</v>
      </c>
      <c r="F314" t="str">
        <f>INDEX(Establishment!B$2:B$1005,MATCH($E314,Establishment!$A$2:$A$1005,0))</f>
        <v xml:space="preserve"> </v>
      </c>
      <c r="G314" t="str">
        <f>INDEX(Establishment!C$2:C$1005,MATCH($E314,Establishment!$A$2:$A$1005,0))</f>
        <v xml:space="preserve"> </v>
      </c>
      <c r="M314">
        <f t="shared" si="26"/>
        <v>0</v>
      </c>
      <c r="N314">
        <f t="shared" si="24"/>
        <v>0</v>
      </c>
      <c r="P314" t="e">
        <f>INDEX(Items!B$2:B$1032,MATCH($O314,Items!$A$2:$A$1032,0))</f>
        <v>#N/A</v>
      </c>
      <c r="Q314" t="e">
        <f>INDEX(Items!C$2:C$1032,MATCH($O314,Items!$A$2:$A$1032,0))</f>
        <v>#N/A</v>
      </c>
      <c r="R314" t="e">
        <f>INDEX(Items!D$2:D$1032,MATCH($O314,Items!$A$2:$A$1032,0))</f>
        <v>#N/A</v>
      </c>
    </row>
    <row r="315" spans="1:18" x14ac:dyDescent="0.25">
      <c r="A315">
        <f t="shared" si="22"/>
        <v>1</v>
      </c>
      <c r="B315" t="str">
        <f t="shared" si="23"/>
        <v/>
      </c>
      <c r="C315">
        <f t="shared" si="25"/>
        <v>1</v>
      </c>
      <c r="D315" s="4"/>
      <c r="E315" t="s">
        <v>18</v>
      </c>
      <c r="F315" t="str">
        <f>INDEX(Establishment!B$2:B$1005,MATCH($E315,Establishment!$A$2:$A$1005,0))</f>
        <v xml:space="preserve"> </v>
      </c>
      <c r="G315" t="str">
        <f>INDEX(Establishment!C$2:C$1005,MATCH($E315,Establishment!$A$2:$A$1005,0))</f>
        <v xml:space="preserve"> </v>
      </c>
      <c r="M315">
        <f t="shared" si="26"/>
        <v>0</v>
      </c>
      <c r="N315">
        <f t="shared" si="24"/>
        <v>0</v>
      </c>
      <c r="P315" t="e">
        <f>INDEX(Items!B$2:B$1032,MATCH($O315,Items!$A$2:$A$1032,0))</f>
        <v>#N/A</v>
      </c>
      <c r="Q315" t="e">
        <f>INDEX(Items!C$2:C$1032,MATCH($O315,Items!$A$2:$A$1032,0))</f>
        <v>#N/A</v>
      </c>
      <c r="R315" t="e">
        <f>INDEX(Items!D$2:D$1032,MATCH($O315,Items!$A$2:$A$1032,0))</f>
        <v>#N/A</v>
      </c>
    </row>
    <row r="316" spans="1:18" x14ac:dyDescent="0.25">
      <c r="A316">
        <f t="shared" si="22"/>
        <v>1</v>
      </c>
      <c r="B316" t="str">
        <f t="shared" si="23"/>
        <v/>
      </c>
      <c r="C316">
        <f t="shared" si="25"/>
        <v>1</v>
      </c>
      <c r="D316" s="4"/>
      <c r="E316" t="s">
        <v>18</v>
      </c>
      <c r="F316" t="str">
        <f>INDEX(Establishment!B$2:B$1005,MATCH($E316,Establishment!$A$2:$A$1005,0))</f>
        <v xml:space="preserve"> </v>
      </c>
      <c r="G316" t="str">
        <f>INDEX(Establishment!C$2:C$1005,MATCH($E316,Establishment!$A$2:$A$1005,0))</f>
        <v xml:space="preserve"> </v>
      </c>
      <c r="M316">
        <f t="shared" si="26"/>
        <v>0</v>
      </c>
      <c r="N316">
        <f t="shared" si="24"/>
        <v>0</v>
      </c>
      <c r="P316" t="e">
        <f>INDEX(Items!B$2:B$1032,MATCH($O316,Items!$A$2:$A$1032,0))</f>
        <v>#N/A</v>
      </c>
      <c r="Q316" t="e">
        <f>INDEX(Items!C$2:C$1032,MATCH($O316,Items!$A$2:$A$1032,0))</f>
        <v>#N/A</v>
      </c>
      <c r="R316" t="e">
        <f>INDEX(Items!D$2:D$1032,MATCH($O316,Items!$A$2:$A$1032,0))</f>
        <v>#N/A</v>
      </c>
    </row>
    <row r="317" spans="1:18" x14ac:dyDescent="0.25">
      <c r="A317">
        <f t="shared" si="22"/>
        <v>1</v>
      </c>
      <c r="B317" t="str">
        <f t="shared" si="23"/>
        <v/>
      </c>
      <c r="C317">
        <f t="shared" si="25"/>
        <v>1</v>
      </c>
      <c r="D317" s="4"/>
      <c r="E317" t="s">
        <v>18</v>
      </c>
      <c r="F317" t="str">
        <f>INDEX(Establishment!B$2:B$1005,MATCH($E317,Establishment!$A$2:$A$1005,0))</f>
        <v xml:space="preserve"> </v>
      </c>
      <c r="G317" t="str">
        <f>INDEX(Establishment!C$2:C$1005,MATCH($E317,Establishment!$A$2:$A$1005,0))</f>
        <v xml:space="preserve"> </v>
      </c>
      <c r="M317">
        <f t="shared" si="26"/>
        <v>0</v>
      </c>
      <c r="N317">
        <f t="shared" si="24"/>
        <v>0</v>
      </c>
      <c r="P317" t="e">
        <f>INDEX(Items!B$2:B$1032,MATCH($O317,Items!$A$2:$A$1032,0))</f>
        <v>#N/A</v>
      </c>
      <c r="Q317" t="e">
        <f>INDEX(Items!C$2:C$1032,MATCH($O317,Items!$A$2:$A$1032,0))</f>
        <v>#N/A</v>
      </c>
      <c r="R317" t="e">
        <f>INDEX(Items!D$2:D$1032,MATCH($O317,Items!$A$2:$A$1032,0))</f>
        <v>#N/A</v>
      </c>
    </row>
    <row r="318" spans="1:18" x14ac:dyDescent="0.25">
      <c r="A318">
        <f t="shared" si="22"/>
        <v>1</v>
      </c>
      <c r="B318" t="str">
        <f t="shared" si="23"/>
        <v/>
      </c>
      <c r="C318">
        <f t="shared" si="25"/>
        <v>1</v>
      </c>
      <c r="D318" s="4"/>
      <c r="E318" t="s">
        <v>18</v>
      </c>
      <c r="F318" t="str">
        <f>INDEX(Establishment!B$2:B$1005,MATCH($E318,Establishment!$A$2:$A$1005,0))</f>
        <v xml:space="preserve"> </v>
      </c>
      <c r="G318" t="str">
        <f>INDEX(Establishment!C$2:C$1005,MATCH($E318,Establishment!$A$2:$A$1005,0))</f>
        <v xml:space="preserve"> </v>
      </c>
      <c r="M318">
        <f t="shared" si="26"/>
        <v>0</v>
      </c>
      <c r="N318">
        <f t="shared" si="24"/>
        <v>0</v>
      </c>
      <c r="P318" t="e">
        <f>INDEX(Items!B$2:B$1032,MATCH($O318,Items!$A$2:$A$1032,0))</f>
        <v>#N/A</v>
      </c>
      <c r="Q318" t="e">
        <f>INDEX(Items!C$2:C$1032,MATCH($O318,Items!$A$2:$A$1032,0))</f>
        <v>#N/A</v>
      </c>
      <c r="R318" t="e">
        <f>INDEX(Items!D$2:D$1032,MATCH($O318,Items!$A$2:$A$1032,0))</f>
        <v>#N/A</v>
      </c>
    </row>
    <row r="319" spans="1:18" x14ac:dyDescent="0.25">
      <c r="A319">
        <f t="shared" si="22"/>
        <v>1</v>
      </c>
      <c r="B319" t="str">
        <f t="shared" si="23"/>
        <v/>
      </c>
      <c r="C319">
        <f t="shared" si="25"/>
        <v>1</v>
      </c>
      <c r="D319" s="4"/>
      <c r="E319" t="s">
        <v>18</v>
      </c>
      <c r="F319" t="str">
        <f>INDEX(Establishment!B$2:B$1005,MATCH($E319,Establishment!$A$2:$A$1005,0))</f>
        <v xml:space="preserve"> </v>
      </c>
      <c r="G319" t="str">
        <f>INDEX(Establishment!C$2:C$1005,MATCH($E319,Establishment!$A$2:$A$1005,0))</f>
        <v xml:space="preserve"> </v>
      </c>
      <c r="M319">
        <f t="shared" si="26"/>
        <v>0</v>
      </c>
      <c r="N319">
        <f t="shared" si="24"/>
        <v>0</v>
      </c>
      <c r="P319" t="e">
        <f>INDEX(Items!B$2:B$1032,MATCH($O319,Items!$A$2:$A$1032,0))</f>
        <v>#N/A</v>
      </c>
      <c r="Q319" t="e">
        <f>INDEX(Items!C$2:C$1032,MATCH($O319,Items!$A$2:$A$1032,0))</f>
        <v>#N/A</v>
      </c>
      <c r="R319" t="e">
        <f>INDEX(Items!D$2:D$1032,MATCH($O319,Items!$A$2:$A$1032,0))</f>
        <v>#N/A</v>
      </c>
    </row>
    <row r="320" spans="1:18" x14ac:dyDescent="0.25">
      <c r="A320">
        <f t="shared" si="22"/>
        <v>1</v>
      </c>
      <c r="B320" t="str">
        <f t="shared" si="23"/>
        <v/>
      </c>
      <c r="C320">
        <f t="shared" si="25"/>
        <v>1</v>
      </c>
      <c r="D320" s="4"/>
      <c r="E320" t="s">
        <v>18</v>
      </c>
      <c r="F320" t="str">
        <f>INDEX(Establishment!B$2:B$1005,MATCH($E320,Establishment!$A$2:$A$1005,0))</f>
        <v xml:space="preserve"> </v>
      </c>
      <c r="G320" t="str">
        <f>INDEX(Establishment!C$2:C$1005,MATCH($E320,Establishment!$A$2:$A$1005,0))</f>
        <v xml:space="preserve"> </v>
      </c>
      <c r="M320">
        <f t="shared" si="26"/>
        <v>0</v>
      </c>
      <c r="N320">
        <f t="shared" si="24"/>
        <v>0</v>
      </c>
      <c r="P320" t="e">
        <f>INDEX(Items!B$2:B$1032,MATCH($O320,Items!$A$2:$A$1032,0))</f>
        <v>#N/A</v>
      </c>
      <c r="Q320" t="e">
        <f>INDEX(Items!C$2:C$1032,MATCH($O320,Items!$A$2:$A$1032,0))</f>
        <v>#N/A</v>
      </c>
      <c r="R320" t="e">
        <f>INDEX(Items!D$2:D$1032,MATCH($O320,Items!$A$2:$A$1032,0))</f>
        <v>#N/A</v>
      </c>
    </row>
    <row r="321" spans="1:18" x14ac:dyDescent="0.25">
      <c r="A321">
        <f t="shared" si="22"/>
        <v>1</v>
      </c>
      <c r="B321" t="str">
        <f t="shared" si="23"/>
        <v/>
      </c>
      <c r="C321">
        <f t="shared" si="25"/>
        <v>1</v>
      </c>
      <c r="D321" s="4"/>
      <c r="E321" t="s">
        <v>18</v>
      </c>
      <c r="F321" t="str">
        <f>INDEX(Establishment!B$2:B$1005,MATCH($E321,Establishment!$A$2:$A$1005,0))</f>
        <v xml:space="preserve"> </v>
      </c>
      <c r="G321" t="str">
        <f>INDEX(Establishment!C$2:C$1005,MATCH($E321,Establishment!$A$2:$A$1005,0))</f>
        <v xml:space="preserve"> </v>
      </c>
      <c r="M321">
        <f t="shared" si="26"/>
        <v>0</v>
      </c>
      <c r="N321">
        <f t="shared" si="24"/>
        <v>0</v>
      </c>
      <c r="P321" t="e">
        <f>INDEX(Items!B$2:B$1032,MATCH($O321,Items!$A$2:$A$1032,0))</f>
        <v>#N/A</v>
      </c>
      <c r="Q321" t="e">
        <f>INDEX(Items!C$2:C$1032,MATCH($O321,Items!$A$2:$A$1032,0))</f>
        <v>#N/A</v>
      </c>
      <c r="R321" t="e">
        <f>INDEX(Items!D$2:D$1032,MATCH($O321,Items!$A$2:$A$1032,0))</f>
        <v>#N/A</v>
      </c>
    </row>
    <row r="322" spans="1:18" x14ac:dyDescent="0.25">
      <c r="A322">
        <f t="shared" ref="A322:A385" si="27">IF(OR(D322&lt;&gt;D321,D322=""),1,IF(NOT(AND(E322=E321,F322=F321,G322=G321)),A321+1,IF(OR(H322="",AND(H322&lt;&gt;"",H322&lt;&gt;H321,H321&lt;&gt;"")),A321,A321+1)))</f>
        <v>1</v>
      </c>
      <c r="B322" t="str">
        <f t="shared" ref="B322:B385" si="28">IF(D322&lt;&gt;"",TEXT(D322,"YYYYMMDD")&amp;CHAR(64+A322),"")</f>
        <v/>
      </c>
      <c r="C322">
        <f t="shared" si="25"/>
        <v>1</v>
      </c>
      <c r="D322" s="4"/>
      <c r="E322" t="s">
        <v>18</v>
      </c>
      <c r="F322" t="str">
        <f>INDEX(Establishment!B$2:B$1005,MATCH($E322,Establishment!$A$2:$A$1005,0))</f>
        <v xml:space="preserve"> </v>
      </c>
      <c r="G322" t="str">
        <f>INDEX(Establishment!C$2:C$1005,MATCH($E322,Establishment!$A$2:$A$1005,0))</f>
        <v xml:space="preserve"> </v>
      </c>
      <c r="M322">
        <f t="shared" si="26"/>
        <v>0</v>
      </c>
      <c r="N322">
        <f t="shared" si="24"/>
        <v>0</v>
      </c>
      <c r="P322" t="e">
        <f>INDEX(Items!B$2:B$1032,MATCH($O322,Items!$A$2:$A$1032,0))</f>
        <v>#N/A</v>
      </c>
      <c r="Q322" t="e">
        <f>INDEX(Items!C$2:C$1032,MATCH($O322,Items!$A$2:$A$1032,0))</f>
        <v>#N/A</v>
      </c>
      <c r="R322" t="e">
        <f>INDEX(Items!D$2:D$1032,MATCH($O322,Items!$A$2:$A$1032,0))</f>
        <v>#N/A</v>
      </c>
    </row>
    <row r="323" spans="1:18" x14ac:dyDescent="0.25">
      <c r="A323">
        <f t="shared" si="27"/>
        <v>1</v>
      </c>
      <c r="B323" t="str">
        <f t="shared" si="28"/>
        <v/>
      </c>
      <c r="C323">
        <f t="shared" si="25"/>
        <v>1</v>
      </c>
      <c r="D323" s="4"/>
      <c r="E323" t="s">
        <v>18</v>
      </c>
      <c r="F323" t="str">
        <f>INDEX(Establishment!B$2:B$1005,MATCH($E323,Establishment!$A$2:$A$1005,0))</f>
        <v xml:space="preserve"> </v>
      </c>
      <c r="G323" t="str">
        <f>INDEX(Establishment!C$2:C$1005,MATCH($E323,Establishment!$A$2:$A$1005,0))</f>
        <v xml:space="preserve"> </v>
      </c>
      <c r="M323">
        <f t="shared" si="26"/>
        <v>0</v>
      </c>
      <c r="N323">
        <f t="shared" ref="N323:N386" si="29">IF(B323=B322,N322+M323,M323)</f>
        <v>0</v>
      </c>
      <c r="P323" t="e">
        <f>INDEX(Items!B$2:B$1032,MATCH($O323,Items!$A$2:$A$1032,0))</f>
        <v>#N/A</v>
      </c>
      <c r="Q323" t="e">
        <f>INDEX(Items!C$2:C$1032,MATCH($O323,Items!$A$2:$A$1032,0))</f>
        <v>#N/A</v>
      </c>
      <c r="R323" t="e">
        <f>INDEX(Items!D$2:D$1032,MATCH($O323,Items!$A$2:$A$1032,0))</f>
        <v>#N/A</v>
      </c>
    </row>
    <row r="324" spans="1:18" x14ac:dyDescent="0.25">
      <c r="A324">
        <f t="shared" si="27"/>
        <v>1</v>
      </c>
      <c r="B324" t="str">
        <f t="shared" si="28"/>
        <v/>
      </c>
      <c r="C324">
        <f t="shared" si="25"/>
        <v>1</v>
      </c>
      <c r="D324" s="4"/>
      <c r="E324" t="s">
        <v>18</v>
      </c>
      <c r="F324" t="str">
        <f>INDEX(Establishment!B$2:B$1005,MATCH($E324,Establishment!$A$2:$A$1005,0))</f>
        <v xml:space="preserve"> </v>
      </c>
      <c r="G324" t="str">
        <f>INDEX(Establishment!C$2:C$1005,MATCH($E324,Establishment!$A$2:$A$1005,0))</f>
        <v xml:space="preserve"> </v>
      </c>
      <c r="M324">
        <f t="shared" si="26"/>
        <v>0</v>
      </c>
      <c r="N324">
        <f t="shared" si="29"/>
        <v>0</v>
      </c>
      <c r="P324" t="e">
        <f>INDEX(Items!B$2:B$1032,MATCH($O324,Items!$A$2:$A$1032,0))</f>
        <v>#N/A</v>
      </c>
      <c r="Q324" t="e">
        <f>INDEX(Items!C$2:C$1032,MATCH($O324,Items!$A$2:$A$1032,0))</f>
        <v>#N/A</v>
      </c>
      <c r="R324" t="e">
        <f>INDEX(Items!D$2:D$1032,MATCH($O324,Items!$A$2:$A$1032,0))</f>
        <v>#N/A</v>
      </c>
    </row>
    <row r="325" spans="1:18" x14ac:dyDescent="0.25">
      <c r="A325">
        <f t="shared" si="27"/>
        <v>1</v>
      </c>
      <c r="B325" t="str">
        <f t="shared" si="28"/>
        <v/>
      </c>
      <c r="C325">
        <f t="shared" si="25"/>
        <v>1</v>
      </c>
      <c r="D325" s="4"/>
      <c r="E325" t="s">
        <v>18</v>
      </c>
      <c r="F325" t="str">
        <f>INDEX(Establishment!B$2:B$1005,MATCH($E325,Establishment!$A$2:$A$1005,0))</f>
        <v xml:space="preserve"> </v>
      </c>
      <c r="G325" t="str">
        <f>INDEX(Establishment!C$2:C$1005,MATCH($E325,Establishment!$A$2:$A$1005,0))</f>
        <v xml:space="preserve"> </v>
      </c>
      <c r="M325">
        <f t="shared" si="26"/>
        <v>0</v>
      </c>
      <c r="N325">
        <f t="shared" si="29"/>
        <v>0</v>
      </c>
      <c r="P325" t="e">
        <f>INDEX(Items!B$2:B$1032,MATCH($O325,Items!$A$2:$A$1032,0))</f>
        <v>#N/A</v>
      </c>
      <c r="Q325" t="e">
        <f>INDEX(Items!C$2:C$1032,MATCH($O325,Items!$A$2:$A$1032,0))</f>
        <v>#N/A</v>
      </c>
      <c r="R325" t="e">
        <f>INDEX(Items!D$2:D$1032,MATCH($O325,Items!$A$2:$A$1032,0))</f>
        <v>#N/A</v>
      </c>
    </row>
    <row r="326" spans="1:18" x14ac:dyDescent="0.25">
      <c r="A326">
        <f t="shared" si="27"/>
        <v>1</v>
      </c>
      <c r="B326" t="str">
        <f t="shared" si="28"/>
        <v/>
      </c>
      <c r="C326">
        <f t="shared" si="25"/>
        <v>1</v>
      </c>
      <c r="D326" s="4"/>
      <c r="E326" t="s">
        <v>18</v>
      </c>
      <c r="F326" t="str">
        <f>INDEX(Establishment!B$2:B$1005,MATCH($E326,Establishment!$A$2:$A$1005,0))</f>
        <v xml:space="preserve"> </v>
      </c>
      <c r="G326" t="str">
        <f>INDEX(Establishment!C$2:C$1005,MATCH($E326,Establishment!$A$2:$A$1005,0))</f>
        <v xml:space="preserve"> </v>
      </c>
      <c r="M326">
        <f t="shared" si="26"/>
        <v>0</v>
      </c>
      <c r="N326">
        <f t="shared" si="29"/>
        <v>0</v>
      </c>
      <c r="P326" t="e">
        <f>INDEX(Items!B$2:B$1032,MATCH($O326,Items!$A$2:$A$1032,0))</f>
        <v>#N/A</v>
      </c>
      <c r="Q326" t="e">
        <f>INDEX(Items!C$2:C$1032,MATCH($O326,Items!$A$2:$A$1032,0))</f>
        <v>#N/A</v>
      </c>
      <c r="R326" t="e">
        <f>INDEX(Items!D$2:D$1032,MATCH($O326,Items!$A$2:$A$1032,0))</f>
        <v>#N/A</v>
      </c>
    </row>
    <row r="327" spans="1:18" x14ac:dyDescent="0.25">
      <c r="A327">
        <f t="shared" si="27"/>
        <v>1</v>
      </c>
      <c r="B327" t="str">
        <f t="shared" si="28"/>
        <v/>
      </c>
      <c r="C327">
        <f t="shared" si="25"/>
        <v>1</v>
      </c>
      <c r="D327" s="4"/>
      <c r="E327" t="s">
        <v>18</v>
      </c>
      <c r="F327" t="str">
        <f>INDEX(Establishment!B$2:B$1005,MATCH($E327,Establishment!$A$2:$A$1005,0))</f>
        <v xml:space="preserve"> </v>
      </c>
      <c r="G327" t="str">
        <f>INDEX(Establishment!C$2:C$1005,MATCH($E327,Establishment!$A$2:$A$1005,0))</f>
        <v xml:space="preserve"> </v>
      </c>
      <c r="M327">
        <f t="shared" si="26"/>
        <v>0</v>
      </c>
      <c r="N327">
        <f t="shared" si="29"/>
        <v>0</v>
      </c>
      <c r="P327" t="e">
        <f>INDEX(Items!B$2:B$1032,MATCH($O327,Items!$A$2:$A$1032,0))</f>
        <v>#N/A</v>
      </c>
      <c r="Q327" t="e">
        <f>INDEX(Items!C$2:C$1032,MATCH($O327,Items!$A$2:$A$1032,0))</f>
        <v>#N/A</v>
      </c>
      <c r="R327" t="e">
        <f>INDEX(Items!D$2:D$1032,MATCH($O327,Items!$A$2:$A$1032,0))</f>
        <v>#N/A</v>
      </c>
    </row>
    <row r="328" spans="1:18" x14ac:dyDescent="0.25">
      <c r="A328">
        <f t="shared" si="27"/>
        <v>1</v>
      </c>
      <c r="B328" t="str">
        <f t="shared" si="28"/>
        <v/>
      </c>
      <c r="C328">
        <f t="shared" si="25"/>
        <v>1</v>
      </c>
      <c r="D328" s="4"/>
      <c r="E328" t="s">
        <v>18</v>
      </c>
      <c r="F328" t="str">
        <f>INDEX(Establishment!B$2:B$1005,MATCH($E328,Establishment!$A$2:$A$1005,0))</f>
        <v xml:space="preserve"> </v>
      </c>
      <c r="G328" t="str">
        <f>INDEX(Establishment!C$2:C$1005,MATCH($E328,Establishment!$A$2:$A$1005,0))</f>
        <v xml:space="preserve"> </v>
      </c>
      <c r="M328">
        <f t="shared" si="26"/>
        <v>0</v>
      </c>
      <c r="N328">
        <f t="shared" si="29"/>
        <v>0</v>
      </c>
      <c r="P328" t="e">
        <f>INDEX(Items!B$2:B$1032,MATCH($O328,Items!$A$2:$A$1032,0))</f>
        <v>#N/A</v>
      </c>
      <c r="Q328" t="e">
        <f>INDEX(Items!C$2:C$1032,MATCH($O328,Items!$A$2:$A$1032,0))</f>
        <v>#N/A</v>
      </c>
      <c r="R328" t="e">
        <f>INDEX(Items!D$2:D$1032,MATCH($O328,Items!$A$2:$A$1032,0))</f>
        <v>#N/A</v>
      </c>
    </row>
    <row r="329" spans="1:18" x14ac:dyDescent="0.25">
      <c r="A329">
        <f t="shared" si="27"/>
        <v>1</v>
      </c>
      <c r="B329" t="str">
        <f t="shared" si="28"/>
        <v/>
      </c>
      <c r="C329">
        <f t="shared" si="25"/>
        <v>1</v>
      </c>
      <c r="D329" s="4"/>
      <c r="E329" t="s">
        <v>18</v>
      </c>
      <c r="F329" t="str">
        <f>INDEX(Establishment!B$2:B$1005,MATCH($E329,Establishment!$A$2:$A$1005,0))</f>
        <v xml:space="preserve"> </v>
      </c>
      <c r="G329" t="str">
        <f>INDEX(Establishment!C$2:C$1005,MATCH($E329,Establishment!$A$2:$A$1005,0))</f>
        <v xml:space="preserve"> </v>
      </c>
      <c r="M329">
        <f t="shared" si="26"/>
        <v>0</v>
      </c>
      <c r="N329">
        <f t="shared" si="29"/>
        <v>0</v>
      </c>
      <c r="P329" t="e">
        <f>INDEX(Items!B$2:B$1032,MATCH($O329,Items!$A$2:$A$1032,0))</f>
        <v>#N/A</v>
      </c>
      <c r="Q329" t="e">
        <f>INDEX(Items!C$2:C$1032,MATCH($O329,Items!$A$2:$A$1032,0))</f>
        <v>#N/A</v>
      </c>
      <c r="R329" t="e">
        <f>INDEX(Items!D$2:D$1032,MATCH($O329,Items!$A$2:$A$1032,0))</f>
        <v>#N/A</v>
      </c>
    </row>
    <row r="330" spans="1:18" x14ac:dyDescent="0.25">
      <c r="A330">
        <f t="shared" si="27"/>
        <v>1</v>
      </c>
      <c r="B330" t="str">
        <f t="shared" si="28"/>
        <v/>
      </c>
      <c r="C330">
        <f t="shared" ref="C330:C393" si="30">IF(OR(B330="",B330&lt;&gt;B329),1,C329+1)</f>
        <v>1</v>
      </c>
      <c r="D330" s="4"/>
      <c r="E330" t="s">
        <v>18</v>
      </c>
      <c r="F330" t="str">
        <f>INDEX(Establishment!B$2:B$1005,MATCH($E330,Establishment!$A$2:$A$1005,0))</f>
        <v xml:space="preserve"> </v>
      </c>
      <c r="G330" t="str">
        <f>INDEX(Establishment!C$2:C$1005,MATCH($E330,Establishment!$A$2:$A$1005,0))</f>
        <v xml:space="preserve"> </v>
      </c>
      <c r="M330">
        <f t="shared" ref="M330:M393" si="31">K330*L330</f>
        <v>0</v>
      </c>
      <c r="N330">
        <f t="shared" si="29"/>
        <v>0</v>
      </c>
      <c r="P330" t="e">
        <f>INDEX(Items!B$2:B$1032,MATCH($O330,Items!$A$2:$A$1032,0))</f>
        <v>#N/A</v>
      </c>
      <c r="Q330" t="e">
        <f>INDEX(Items!C$2:C$1032,MATCH($O330,Items!$A$2:$A$1032,0))</f>
        <v>#N/A</v>
      </c>
      <c r="R330" t="e">
        <f>INDEX(Items!D$2:D$1032,MATCH($O330,Items!$A$2:$A$1032,0))</f>
        <v>#N/A</v>
      </c>
    </row>
    <row r="331" spans="1:18" x14ac:dyDescent="0.25">
      <c r="A331">
        <f t="shared" si="27"/>
        <v>1</v>
      </c>
      <c r="B331" t="str">
        <f t="shared" si="28"/>
        <v/>
      </c>
      <c r="C331">
        <f t="shared" si="30"/>
        <v>1</v>
      </c>
      <c r="D331" s="4"/>
      <c r="E331" t="s">
        <v>18</v>
      </c>
      <c r="F331" t="str">
        <f>INDEX(Establishment!B$2:B$1005,MATCH($E331,Establishment!$A$2:$A$1005,0))</f>
        <v xml:space="preserve"> </v>
      </c>
      <c r="G331" t="str">
        <f>INDEX(Establishment!C$2:C$1005,MATCH($E331,Establishment!$A$2:$A$1005,0))</f>
        <v xml:space="preserve"> </v>
      </c>
      <c r="M331">
        <f t="shared" si="31"/>
        <v>0</v>
      </c>
      <c r="N331">
        <f t="shared" si="29"/>
        <v>0</v>
      </c>
      <c r="P331" t="e">
        <f>INDEX(Items!B$2:B$1032,MATCH($O331,Items!$A$2:$A$1032,0))</f>
        <v>#N/A</v>
      </c>
      <c r="Q331" t="e">
        <f>INDEX(Items!C$2:C$1032,MATCH($O331,Items!$A$2:$A$1032,0))</f>
        <v>#N/A</v>
      </c>
      <c r="R331" t="e">
        <f>INDEX(Items!D$2:D$1032,MATCH($O331,Items!$A$2:$A$1032,0))</f>
        <v>#N/A</v>
      </c>
    </row>
    <row r="332" spans="1:18" x14ac:dyDescent="0.25">
      <c r="A332">
        <f t="shared" si="27"/>
        <v>1</v>
      </c>
      <c r="B332" t="str">
        <f t="shared" si="28"/>
        <v/>
      </c>
      <c r="C332">
        <f t="shared" si="30"/>
        <v>1</v>
      </c>
      <c r="D332" s="4"/>
      <c r="E332" t="s">
        <v>18</v>
      </c>
      <c r="F332" t="str">
        <f>INDEX(Establishment!B$2:B$1005,MATCH($E332,Establishment!$A$2:$A$1005,0))</f>
        <v xml:space="preserve"> </v>
      </c>
      <c r="G332" t="str">
        <f>INDEX(Establishment!C$2:C$1005,MATCH($E332,Establishment!$A$2:$A$1005,0))</f>
        <v xml:space="preserve"> </v>
      </c>
      <c r="M332">
        <f t="shared" si="31"/>
        <v>0</v>
      </c>
      <c r="N332">
        <f t="shared" si="29"/>
        <v>0</v>
      </c>
      <c r="P332" t="e">
        <f>INDEX(Items!B$2:B$1032,MATCH($O332,Items!$A$2:$A$1032,0))</f>
        <v>#N/A</v>
      </c>
      <c r="Q332" t="e">
        <f>INDEX(Items!C$2:C$1032,MATCH($O332,Items!$A$2:$A$1032,0))</f>
        <v>#N/A</v>
      </c>
      <c r="R332" t="e">
        <f>INDEX(Items!D$2:D$1032,MATCH($O332,Items!$A$2:$A$1032,0))</f>
        <v>#N/A</v>
      </c>
    </row>
    <row r="333" spans="1:18" x14ac:dyDescent="0.25">
      <c r="A333">
        <f t="shared" si="27"/>
        <v>1</v>
      </c>
      <c r="B333" t="str">
        <f t="shared" si="28"/>
        <v/>
      </c>
      <c r="C333">
        <f t="shared" si="30"/>
        <v>1</v>
      </c>
      <c r="D333" s="4"/>
      <c r="E333" t="s">
        <v>18</v>
      </c>
      <c r="F333" t="str">
        <f>INDEX(Establishment!B$2:B$1005,MATCH($E333,Establishment!$A$2:$A$1005,0))</f>
        <v xml:space="preserve"> </v>
      </c>
      <c r="G333" t="str">
        <f>INDEX(Establishment!C$2:C$1005,MATCH($E333,Establishment!$A$2:$A$1005,0))</f>
        <v xml:space="preserve"> </v>
      </c>
      <c r="M333">
        <f t="shared" si="31"/>
        <v>0</v>
      </c>
      <c r="N333">
        <f t="shared" si="29"/>
        <v>0</v>
      </c>
      <c r="P333" t="e">
        <f>INDEX(Items!B$2:B$1032,MATCH($O333,Items!$A$2:$A$1032,0))</f>
        <v>#N/A</v>
      </c>
      <c r="Q333" t="e">
        <f>INDEX(Items!C$2:C$1032,MATCH($O333,Items!$A$2:$A$1032,0))</f>
        <v>#N/A</v>
      </c>
      <c r="R333" t="e">
        <f>INDEX(Items!D$2:D$1032,MATCH($O333,Items!$A$2:$A$1032,0))</f>
        <v>#N/A</v>
      </c>
    </row>
    <row r="334" spans="1:18" x14ac:dyDescent="0.25">
      <c r="A334">
        <f t="shared" si="27"/>
        <v>1</v>
      </c>
      <c r="B334" t="str">
        <f t="shared" si="28"/>
        <v/>
      </c>
      <c r="C334">
        <f t="shared" si="30"/>
        <v>1</v>
      </c>
      <c r="D334" s="4"/>
      <c r="E334" t="s">
        <v>18</v>
      </c>
      <c r="F334" t="str">
        <f>INDEX(Establishment!B$2:B$1005,MATCH($E334,Establishment!$A$2:$A$1005,0))</f>
        <v xml:space="preserve"> </v>
      </c>
      <c r="G334" t="str">
        <f>INDEX(Establishment!C$2:C$1005,MATCH($E334,Establishment!$A$2:$A$1005,0))</f>
        <v xml:space="preserve"> </v>
      </c>
      <c r="M334">
        <f t="shared" si="31"/>
        <v>0</v>
      </c>
      <c r="N334">
        <f t="shared" si="29"/>
        <v>0</v>
      </c>
      <c r="P334" t="e">
        <f>INDEX(Items!B$2:B$1032,MATCH($O334,Items!$A$2:$A$1032,0))</f>
        <v>#N/A</v>
      </c>
      <c r="Q334" t="e">
        <f>INDEX(Items!C$2:C$1032,MATCH($O334,Items!$A$2:$A$1032,0))</f>
        <v>#N/A</v>
      </c>
      <c r="R334" t="e">
        <f>INDEX(Items!D$2:D$1032,MATCH($O334,Items!$A$2:$A$1032,0))</f>
        <v>#N/A</v>
      </c>
    </row>
    <row r="335" spans="1:18" x14ac:dyDescent="0.25">
      <c r="A335">
        <f t="shared" si="27"/>
        <v>1</v>
      </c>
      <c r="B335" t="str">
        <f t="shared" si="28"/>
        <v/>
      </c>
      <c r="C335">
        <f t="shared" si="30"/>
        <v>1</v>
      </c>
      <c r="D335" s="4"/>
      <c r="E335" t="s">
        <v>18</v>
      </c>
      <c r="F335" t="str">
        <f>INDEX(Establishment!B$2:B$1005,MATCH($E335,Establishment!$A$2:$A$1005,0))</f>
        <v xml:space="preserve"> </v>
      </c>
      <c r="G335" t="str">
        <f>INDEX(Establishment!C$2:C$1005,MATCH($E335,Establishment!$A$2:$A$1005,0))</f>
        <v xml:space="preserve"> </v>
      </c>
      <c r="M335">
        <f t="shared" si="31"/>
        <v>0</v>
      </c>
      <c r="N335">
        <f t="shared" si="29"/>
        <v>0</v>
      </c>
      <c r="P335" t="e">
        <f>INDEX(Items!B$2:B$1032,MATCH($O335,Items!$A$2:$A$1032,0))</f>
        <v>#N/A</v>
      </c>
      <c r="Q335" t="e">
        <f>INDEX(Items!C$2:C$1032,MATCH($O335,Items!$A$2:$A$1032,0))</f>
        <v>#N/A</v>
      </c>
      <c r="R335" t="e">
        <f>INDEX(Items!D$2:D$1032,MATCH($O335,Items!$A$2:$A$1032,0))</f>
        <v>#N/A</v>
      </c>
    </row>
    <row r="336" spans="1:18" x14ac:dyDescent="0.25">
      <c r="A336">
        <f t="shared" si="27"/>
        <v>1</v>
      </c>
      <c r="B336" t="str">
        <f t="shared" si="28"/>
        <v/>
      </c>
      <c r="C336">
        <f t="shared" si="30"/>
        <v>1</v>
      </c>
      <c r="D336" s="4"/>
      <c r="E336" t="s">
        <v>18</v>
      </c>
      <c r="F336" t="str">
        <f>INDEX(Establishment!B$2:B$1005,MATCH($E336,Establishment!$A$2:$A$1005,0))</f>
        <v xml:space="preserve"> </v>
      </c>
      <c r="G336" t="str">
        <f>INDEX(Establishment!C$2:C$1005,MATCH($E336,Establishment!$A$2:$A$1005,0))</f>
        <v xml:space="preserve"> </v>
      </c>
      <c r="M336">
        <f t="shared" si="31"/>
        <v>0</v>
      </c>
      <c r="N336">
        <f t="shared" si="29"/>
        <v>0</v>
      </c>
      <c r="P336" t="e">
        <f>INDEX(Items!B$2:B$1032,MATCH($O336,Items!$A$2:$A$1032,0))</f>
        <v>#N/A</v>
      </c>
      <c r="Q336" t="e">
        <f>INDEX(Items!C$2:C$1032,MATCH($O336,Items!$A$2:$A$1032,0))</f>
        <v>#N/A</v>
      </c>
      <c r="R336" t="e">
        <f>INDEX(Items!D$2:D$1032,MATCH($O336,Items!$A$2:$A$1032,0))</f>
        <v>#N/A</v>
      </c>
    </row>
    <row r="337" spans="1:18" x14ac:dyDescent="0.25">
      <c r="A337">
        <f t="shared" si="27"/>
        <v>1</v>
      </c>
      <c r="B337" t="str">
        <f t="shared" si="28"/>
        <v/>
      </c>
      <c r="C337">
        <f t="shared" si="30"/>
        <v>1</v>
      </c>
      <c r="D337" s="4"/>
      <c r="E337" t="s">
        <v>18</v>
      </c>
      <c r="F337" t="str">
        <f>INDEX(Establishment!B$2:B$1005,MATCH($E337,Establishment!$A$2:$A$1005,0))</f>
        <v xml:space="preserve"> </v>
      </c>
      <c r="G337" t="str">
        <f>INDEX(Establishment!C$2:C$1005,MATCH($E337,Establishment!$A$2:$A$1005,0))</f>
        <v xml:space="preserve"> </v>
      </c>
      <c r="M337">
        <f t="shared" si="31"/>
        <v>0</v>
      </c>
      <c r="N337">
        <f t="shared" si="29"/>
        <v>0</v>
      </c>
      <c r="P337" t="e">
        <f>INDEX(Items!B$2:B$1032,MATCH($O337,Items!$A$2:$A$1032,0))</f>
        <v>#N/A</v>
      </c>
      <c r="Q337" t="e">
        <f>INDEX(Items!C$2:C$1032,MATCH($O337,Items!$A$2:$A$1032,0))</f>
        <v>#N/A</v>
      </c>
      <c r="R337" t="e">
        <f>INDEX(Items!D$2:D$1032,MATCH($O337,Items!$A$2:$A$1032,0))</f>
        <v>#N/A</v>
      </c>
    </row>
    <row r="338" spans="1:18" x14ac:dyDescent="0.25">
      <c r="A338">
        <f t="shared" si="27"/>
        <v>1</v>
      </c>
      <c r="B338" t="str">
        <f t="shared" si="28"/>
        <v/>
      </c>
      <c r="C338">
        <f t="shared" si="30"/>
        <v>1</v>
      </c>
      <c r="D338" s="4"/>
      <c r="E338" t="s">
        <v>18</v>
      </c>
      <c r="F338" t="str">
        <f>INDEX(Establishment!B$2:B$1005,MATCH($E338,Establishment!$A$2:$A$1005,0))</f>
        <v xml:space="preserve"> </v>
      </c>
      <c r="G338" t="str">
        <f>INDEX(Establishment!C$2:C$1005,MATCH($E338,Establishment!$A$2:$A$1005,0))</f>
        <v xml:space="preserve"> </v>
      </c>
      <c r="M338">
        <f t="shared" si="31"/>
        <v>0</v>
      </c>
      <c r="N338">
        <f t="shared" si="29"/>
        <v>0</v>
      </c>
      <c r="P338" t="e">
        <f>INDEX(Items!B$2:B$1032,MATCH($O338,Items!$A$2:$A$1032,0))</f>
        <v>#N/A</v>
      </c>
      <c r="Q338" t="e">
        <f>INDEX(Items!C$2:C$1032,MATCH($O338,Items!$A$2:$A$1032,0))</f>
        <v>#N/A</v>
      </c>
      <c r="R338" t="e">
        <f>INDEX(Items!D$2:D$1032,MATCH($O338,Items!$A$2:$A$1032,0))</f>
        <v>#N/A</v>
      </c>
    </row>
    <row r="339" spans="1:18" x14ac:dyDescent="0.25">
      <c r="A339">
        <f t="shared" si="27"/>
        <v>1</v>
      </c>
      <c r="B339" t="str">
        <f t="shared" si="28"/>
        <v/>
      </c>
      <c r="C339">
        <f t="shared" si="30"/>
        <v>1</v>
      </c>
      <c r="D339" s="4"/>
      <c r="E339" t="s">
        <v>18</v>
      </c>
      <c r="F339" t="str">
        <f>INDEX(Establishment!B$2:B$1005,MATCH($E339,Establishment!$A$2:$A$1005,0))</f>
        <v xml:space="preserve"> </v>
      </c>
      <c r="G339" t="str">
        <f>INDEX(Establishment!C$2:C$1005,MATCH($E339,Establishment!$A$2:$A$1005,0))</f>
        <v xml:space="preserve"> </v>
      </c>
      <c r="M339">
        <f t="shared" si="31"/>
        <v>0</v>
      </c>
      <c r="N339">
        <f t="shared" si="29"/>
        <v>0</v>
      </c>
      <c r="P339" t="e">
        <f>INDEX(Items!B$2:B$1032,MATCH($O339,Items!$A$2:$A$1032,0))</f>
        <v>#N/A</v>
      </c>
      <c r="Q339" t="e">
        <f>INDEX(Items!C$2:C$1032,MATCH($O339,Items!$A$2:$A$1032,0))</f>
        <v>#N/A</v>
      </c>
      <c r="R339" t="e">
        <f>INDEX(Items!D$2:D$1032,MATCH($O339,Items!$A$2:$A$1032,0))</f>
        <v>#N/A</v>
      </c>
    </row>
    <row r="340" spans="1:18" x14ac:dyDescent="0.25">
      <c r="A340">
        <f t="shared" si="27"/>
        <v>1</v>
      </c>
      <c r="B340" t="str">
        <f t="shared" si="28"/>
        <v/>
      </c>
      <c r="C340">
        <f t="shared" si="30"/>
        <v>1</v>
      </c>
      <c r="D340" s="4"/>
      <c r="E340" t="s">
        <v>18</v>
      </c>
      <c r="F340" t="str">
        <f>INDEX(Establishment!B$2:B$1005,MATCH($E340,Establishment!$A$2:$A$1005,0))</f>
        <v xml:space="preserve"> </v>
      </c>
      <c r="G340" t="str">
        <f>INDEX(Establishment!C$2:C$1005,MATCH($E340,Establishment!$A$2:$A$1005,0))</f>
        <v xml:space="preserve"> </v>
      </c>
      <c r="M340">
        <f t="shared" si="31"/>
        <v>0</v>
      </c>
      <c r="N340">
        <f t="shared" si="29"/>
        <v>0</v>
      </c>
      <c r="P340" t="e">
        <f>INDEX(Items!B$2:B$1032,MATCH($O340,Items!$A$2:$A$1032,0))</f>
        <v>#N/A</v>
      </c>
      <c r="Q340" t="e">
        <f>INDEX(Items!C$2:C$1032,MATCH($O340,Items!$A$2:$A$1032,0))</f>
        <v>#N/A</v>
      </c>
      <c r="R340" t="e">
        <f>INDEX(Items!D$2:D$1032,MATCH($O340,Items!$A$2:$A$1032,0))</f>
        <v>#N/A</v>
      </c>
    </row>
    <row r="341" spans="1:18" x14ac:dyDescent="0.25">
      <c r="A341">
        <f t="shared" si="27"/>
        <v>1</v>
      </c>
      <c r="B341" t="str">
        <f t="shared" si="28"/>
        <v/>
      </c>
      <c r="C341">
        <f t="shared" si="30"/>
        <v>1</v>
      </c>
      <c r="D341" s="4"/>
      <c r="E341" t="s">
        <v>18</v>
      </c>
      <c r="F341" t="str">
        <f>INDEX(Establishment!B$2:B$1005,MATCH($E341,Establishment!$A$2:$A$1005,0))</f>
        <v xml:space="preserve"> </v>
      </c>
      <c r="G341" t="str">
        <f>INDEX(Establishment!C$2:C$1005,MATCH($E341,Establishment!$A$2:$A$1005,0))</f>
        <v xml:space="preserve"> </v>
      </c>
      <c r="M341">
        <f t="shared" si="31"/>
        <v>0</v>
      </c>
      <c r="N341">
        <f t="shared" si="29"/>
        <v>0</v>
      </c>
      <c r="P341" t="e">
        <f>INDEX(Items!B$2:B$1032,MATCH($O341,Items!$A$2:$A$1032,0))</f>
        <v>#N/A</v>
      </c>
      <c r="Q341" t="e">
        <f>INDEX(Items!C$2:C$1032,MATCH($O341,Items!$A$2:$A$1032,0))</f>
        <v>#N/A</v>
      </c>
      <c r="R341" t="e">
        <f>INDEX(Items!D$2:D$1032,MATCH($O341,Items!$A$2:$A$1032,0))</f>
        <v>#N/A</v>
      </c>
    </row>
    <row r="342" spans="1:18" x14ac:dyDescent="0.25">
      <c r="A342">
        <f t="shared" si="27"/>
        <v>1</v>
      </c>
      <c r="B342" t="str">
        <f t="shared" si="28"/>
        <v/>
      </c>
      <c r="C342">
        <f t="shared" si="30"/>
        <v>1</v>
      </c>
      <c r="D342" s="4"/>
      <c r="E342" t="s">
        <v>18</v>
      </c>
      <c r="F342" t="str">
        <f>INDEX(Establishment!B$2:B$1005,MATCH($E342,Establishment!$A$2:$A$1005,0))</f>
        <v xml:space="preserve"> </v>
      </c>
      <c r="G342" t="str">
        <f>INDEX(Establishment!C$2:C$1005,MATCH($E342,Establishment!$A$2:$A$1005,0))</f>
        <v xml:space="preserve"> </v>
      </c>
      <c r="M342">
        <f t="shared" si="31"/>
        <v>0</v>
      </c>
      <c r="N342">
        <f t="shared" si="29"/>
        <v>0</v>
      </c>
      <c r="P342" t="e">
        <f>INDEX(Items!B$2:B$1032,MATCH($O342,Items!$A$2:$A$1032,0))</f>
        <v>#N/A</v>
      </c>
      <c r="Q342" t="e">
        <f>INDEX(Items!C$2:C$1032,MATCH($O342,Items!$A$2:$A$1032,0))</f>
        <v>#N/A</v>
      </c>
      <c r="R342" t="e">
        <f>INDEX(Items!D$2:D$1032,MATCH($O342,Items!$A$2:$A$1032,0))</f>
        <v>#N/A</v>
      </c>
    </row>
    <row r="343" spans="1:18" x14ac:dyDescent="0.25">
      <c r="A343">
        <f t="shared" si="27"/>
        <v>1</v>
      </c>
      <c r="B343" t="str">
        <f t="shared" si="28"/>
        <v/>
      </c>
      <c r="C343">
        <f t="shared" si="30"/>
        <v>1</v>
      </c>
      <c r="D343" s="4"/>
      <c r="E343" t="s">
        <v>18</v>
      </c>
      <c r="F343" t="str">
        <f>INDEX(Establishment!B$2:B$1005,MATCH($E343,Establishment!$A$2:$A$1005,0))</f>
        <v xml:space="preserve"> </v>
      </c>
      <c r="G343" t="str">
        <f>INDEX(Establishment!C$2:C$1005,MATCH($E343,Establishment!$A$2:$A$1005,0))</f>
        <v xml:space="preserve"> </v>
      </c>
      <c r="M343">
        <f t="shared" si="31"/>
        <v>0</v>
      </c>
      <c r="N343">
        <f t="shared" si="29"/>
        <v>0</v>
      </c>
      <c r="P343" t="e">
        <f>INDEX(Items!B$2:B$1032,MATCH($O343,Items!$A$2:$A$1032,0))</f>
        <v>#N/A</v>
      </c>
      <c r="Q343" t="e">
        <f>INDEX(Items!C$2:C$1032,MATCH($O343,Items!$A$2:$A$1032,0))</f>
        <v>#N/A</v>
      </c>
      <c r="R343" t="e">
        <f>INDEX(Items!D$2:D$1032,MATCH($O343,Items!$A$2:$A$1032,0))</f>
        <v>#N/A</v>
      </c>
    </row>
    <row r="344" spans="1:18" x14ac:dyDescent="0.25">
      <c r="A344">
        <f t="shared" si="27"/>
        <v>1</v>
      </c>
      <c r="B344" t="str">
        <f t="shared" si="28"/>
        <v/>
      </c>
      <c r="C344">
        <f t="shared" si="30"/>
        <v>1</v>
      </c>
      <c r="D344" s="4"/>
      <c r="E344" t="s">
        <v>18</v>
      </c>
      <c r="F344" t="str">
        <f>INDEX(Establishment!B$2:B$1005,MATCH($E344,Establishment!$A$2:$A$1005,0))</f>
        <v xml:space="preserve"> </v>
      </c>
      <c r="G344" t="str">
        <f>INDEX(Establishment!C$2:C$1005,MATCH($E344,Establishment!$A$2:$A$1005,0))</f>
        <v xml:space="preserve"> </v>
      </c>
      <c r="M344">
        <f t="shared" si="31"/>
        <v>0</v>
      </c>
      <c r="N344">
        <f t="shared" si="29"/>
        <v>0</v>
      </c>
      <c r="P344" t="e">
        <f>INDEX(Items!B$2:B$1032,MATCH($O344,Items!$A$2:$A$1032,0))</f>
        <v>#N/A</v>
      </c>
      <c r="Q344" t="e">
        <f>INDEX(Items!C$2:C$1032,MATCH($O344,Items!$A$2:$A$1032,0))</f>
        <v>#N/A</v>
      </c>
      <c r="R344" t="e">
        <f>INDEX(Items!D$2:D$1032,MATCH($O344,Items!$A$2:$A$1032,0))</f>
        <v>#N/A</v>
      </c>
    </row>
    <row r="345" spans="1:18" x14ac:dyDescent="0.25">
      <c r="A345">
        <f t="shared" si="27"/>
        <v>1</v>
      </c>
      <c r="B345" t="str">
        <f t="shared" si="28"/>
        <v/>
      </c>
      <c r="C345">
        <f t="shared" si="30"/>
        <v>1</v>
      </c>
      <c r="D345" s="4"/>
      <c r="E345" t="s">
        <v>18</v>
      </c>
      <c r="F345" t="str">
        <f>INDEX(Establishment!B$2:B$1005,MATCH($E345,Establishment!$A$2:$A$1005,0))</f>
        <v xml:space="preserve"> </v>
      </c>
      <c r="G345" t="str">
        <f>INDEX(Establishment!C$2:C$1005,MATCH($E345,Establishment!$A$2:$A$1005,0))</f>
        <v xml:space="preserve"> </v>
      </c>
      <c r="M345">
        <f t="shared" si="31"/>
        <v>0</v>
      </c>
      <c r="N345">
        <f t="shared" si="29"/>
        <v>0</v>
      </c>
      <c r="P345" t="e">
        <f>INDEX(Items!B$2:B$1032,MATCH($O345,Items!$A$2:$A$1032,0))</f>
        <v>#N/A</v>
      </c>
      <c r="Q345" t="e">
        <f>INDEX(Items!C$2:C$1032,MATCH($O345,Items!$A$2:$A$1032,0))</f>
        <v>#N/A</v>
      </c>
      <c r="R345" t="e">
        <f>INDEX(Items!D$2:D$1032,MATCH($O345,Items!$A$2:$A$1032,0))</f>
        <v>#N/A</v>
      </c>
    </row>
    <row r="346" spans="1:18" x14ac:dyDescent="0.25">
      <c r="A346">
        <f t="shared" si="27"/>
        <v>1</v>
      </c>
      <c r="B346" t="str">
        <f t="shared" si="28"/>
        <v/>
      </c>
      <c r="C346">
        <f t="shared" si="30"/>
        <v>1</v>
      </c>
      <c r="D346" s="4"/>
      <c r="E346" t="s">
        <v>18</v>
      </c>
      <c r="F346" t="str">
        <f>INDEX(Establishment!B$2:B$1005,MATCH($E346,Establishment!$A$2:$A$1005,0))</f>
        <v xml:space="preserve"> </v>
      </c>
      <c r="G346" t="str">
        <f>INDEX(Establishment!C$2:C$1005,MATCH($E346,Establishment!$A$2:$A$1005,0))</f>
        <v xml:space="preserve"> </v>
      </c>
      <c r="M346">
        <f t="shared" si="31"/>
        <v>0</v>
      </c>
      <c r="N346">
        <f t="shared" si="29"/>
        <v>0</v>
      </c>
      <c r="P346" t="e">
        <f>INDEX(Items!B$2:B$1032,MATCH($O346,Items!$A$2:$A$1032,0))</f>
        <v>#N/A</v>
      </c>
      <c r="Q346" t="e">
        <f>INDEX(Items!C$2:C$1032,MATCH($O346,Items!$A$2:$A$1032,0))</f>
        <v>#N/A</v>
      </c>
      <c r="R346" t="e">
        <f>INDEX(Items!D$2:D$1032,MATCH($O346,Items!$A$2:$A$1032,0))</f>
        <v>#N/A</v>
      </c>
    </row>
    <row r="347" spans="1:18" x14ac:dyDescent="0.25">
      <c r="A347">
        <f t="shared" si="27"/>
        <v>1</v>
      </c>
      <c r="B347" t="str">
        <f t="shared" si="28"/>
        <v/>
      </c>
      <c r="C347">
        <f t="shared" si="30"/>
        <v>1</v>
      </c>
      <c r="D347" s="4"/>
      <c r="E347" t="s">
        <v>18</v>
      </c>
      <c r="F347" t="str">
        <f>INDEX(Establishment!B$2:B$1005,MATCH($E347,Establishment!$A$2:$A$1005,0))</f>
        <v xml:space="preserve"> </v>
      </c>
      <c r="G347" t="str">
        <f>INDEX(Establishment!C$2:C$1005,MATCH($E347,Establishment!$A$2:$A$1005,0))</f>
        <v xml:space="preserve"> </v>
      </c>
      <c r="M347">
        <f t="shared" si="31"/>
        <v>0</v>
      </c>
      <c r="N347">
        <f t="shared" si="29"/>
        <v>0</v>
      </c>
      <c r="P347" t="e">
        <f>INDEX(Items!B$2:B$1032,MATCH($O347,Items!$A$2:$A$1032,0))</f>
        <v>#N/A</v>
      </c>
      <c r="Q347" t="e">
        <f>INDEX(Items!C$2:C$1032,MATCH($O347,Items!$A$2:$A$1032,0))</f>
        <v>#N/A</v>
      </c>
      <c r="R347" t="e">
        <f>INDEX(Items!D$2:D$1032,MATCH($O347,Items!$A$2:$A$1032,0))</f>
        <v>#N/A</v>
      </c>
    </row>
    <row r="348" spans="1:18" x14ac:dyDescent="0.25">
      <c r="A348">
        <f t="shared" si="27"/>
        <v>1</v>
      </c>
      <c r="B348" t="str">
        <f t="shared" si="28"/>
        <v/>
      </c>
      <c r="C348">
        <f t="shared" si="30"/>
        <v>1</v>
      </c>
      <c r="D348" s="4"/>
      <c r="E348" t="s">
        <v>18</v>
      </c>
      <c r="F348" t="str">
        <f>INDEX(Establishment!B$2:B$1005,MATCH($E348,Establishment!$A$2:$A$1005,0))</f>
        <v xml:space="preserve"> </v>
      </c>
      <c r="G348" t="str">
        <f>INDEX(Establishment!C$2:C$1005,MATCH($E348,Establishment!$A$2:$A$1005,0))</f>
        <v xml:space="preserve"> </v>
      </c>
      <c r="M348">
        <f t="shared" si="31"/>
        <v>0</v>
      </c>
      <c r="N348">
        <f t="shared" si="29"/>
        <v>0</v>
      </c>
      <c r="P348" t="e">
        <f>INDEX(Items!B$2:B$1032,MATCH($O348,Items!$A$2:$A$1032,0))</f>
        <v>#N/A</v>
      </c>
      <c r="Q348" t="e">
        <f>INDEX(Items!C$2:C$1032,MATCH($O348,Items!$A$2:$A$1032,0))</f>
        <v>#N/A</v>
      </c>
      <c r="R348" t="e">
        <f>INDEX(Items!D$2:D$1032,MATCH($O348,Items!$A$2:$A$1032,0))</f>
        <v>#N/A</v>
      </c>
    </row>
    <row r="349" spans="1:18" x14ac:dyDescent="0.25">
      <c r="A349">
        <f t="shared" si="27"/>
        <v>1</v>
      </c>
      <c r="B349" t="str">
        <f t="shared" si="28"/>
        <v/>
      </c>
      <c r="C349">
        <f t="shared" si="30"/>
        <v>1</v>
      </c>
      <c r="D349" s="4"/>
      <c r="E349" t="s">
        <v>18</v>
      </c>
      <c r="F349" t="str">
        <f>INDEX(Establishment!B$2:B$1005,MATCH($E349,Establishment!$A$2:$A$1005,0))</f>
        <v xml:space="preserve"> </v>
      </c>
      <c r="G349" t="str">
        <f>INDEX(Establishment!C$2:C$1005,MATCH($E349,Establishment!$A$2:$A$1005,0))</f>
        <v xml:space="preserve"> </v>
      </c>
      <c r="M349">
        <f t="shared" si="31"/>
        <v>0</v>
      </c>
      <c r="N349">
        <f t="shared" si="29"/>
        <v>0</v>
      </c>
      <c r="P349" t="e">
        <f>INDEX(Items!B$2:B$1032,MATCH($O349,Items!$A$2:$A$1032,0))</f>
        <v>#N/A</v>
      </c>
      <c r="Q349" t="e">
        <f>INDEX(Items!C$2:C$1032,MATCH($O349,Items!$A$2:$A$1032,0))</f>
        <v>#N/A</v>
      </c>
      <c r="R349" t="e">
        <f>INDEX(Items!D$2:D$1032,MATCH($O349,Items!$A$2:$A$1032,0))</f>
        <v>#N/A</v>
      </c>
    </row>
    <row r="350" spans="1:18" x14ac:dyDescent="0.25">
      <c r="A350">
        <f t="shared" si="27"/>
        <v>1</v>
      </c>
      <c r="B350" t="str">
        <f t="shared" si="28"/>
        <v/>
      </c>
      <c r="C350">
        <f t="shared" si="30"/>
        <v>1</v>
      </c>
      <c r="D350" s="4"/>
      <c r="E350" t="s">
        <v>18</v>
      </c>
      <c r="F350" t="str">
        <f>INDEX(Establishment!B$2:B$1005,MATCH($E350,Establishment!$A$2:$A$1005,0))</f>
        <v xml:space="preserve"> </v>
      </c>
      <c r="G350" t="str">
        <f>INDEX(Establishment!C$2:C$1005,MATCH($E350,Establishment!$A$2:$A$1005,0))</f>
        <v xml:space="preserve"> </v>
      </c>
      <c r="M350">
        <f t="shared" si="31"/>
        <v>0</v>
      </c>
      <c r="N350">
        <f t="shared" si="29"/>
        <v>0</v>
      </c>
      <c r="P350" t="e">
        <f>INDEX(Items!B$2:B$1032,MATCH($O350,Items!$A$2:$A$1032,0))</f>
        <v>#N/A</v>
      </c>
      <c r="Q350" t="e">
        <f>INDEX(Items!C$2:C$1032,MATCH($O350,Items!$A$2:$A$1032,0))</f>
        <v>#N/A</v>
      </c>
      <c r="R350" t="e">
        <f>INDEX(Items!D$2:D$1032,MATCH($O350,Items!$A$2:$A$1032,0))</f>
        <v>#N/A</v>
      </c>
    </row>
    <row r="351" spans="1:18" x14ac:dyDescent="0.25">
      <c r="A351">
        <f t="shared" si="27"/>
        <v>1</v>
      </c>
      <c r="B351" t="str">
        <f t="shared" si="28"/>
        <v/>
      </c>
      <c r="C351">
        <f t="shared" si="30"/>
        <v>1</v>
      </c>
      <c r="D351" s="4"/>
      <c r="E351" t="s">
        <v>18</v>
      </c>
      <c r="F351" t="str">
        <f>INDEX(Establishment!B$2:B$1005,MATCH($E351,Establishment!$A$2:$A$1005,0))</f>
        <v xml:space="preserve"> </v>
      </c>
      <c r="G351" t="str">
        <f>INDEX(Establishment!C$2:C$1005,MATCH($E351,Establishment!$A$2:$A$1005,0))</f>
        <v xml:space="preserve"> </v>
      </c>
      <c r="M351">
        <f t="shared" si="31"/>
        <v>0</v>
      </c>
      <c r="N351">
        <f t="shared" si="29"/>
        <v>0</v>
      </c>
      <c r="P351" t="e">
        <f>INDEX(Items!B$2:B$1032,MATCH($O351,Items!$A$2:$A$1032,0))</f>
        <v>#N/A</v>
      </c>
      <c r="Q351" t="e">
        <f>INDEX(Items!C$2:C$1032,MATCH($O351,Items!$A$2:$A$1032,0))</f>
        <v>#N/A</v>
      </c>
      <c r="R351" t="e">
        <f>INDEX(Items!D$2:D$1032,MATCH($O351,Items!$A$2:$A$1032,0))</f>
        <v>#N/A</v>
      </c>
    </row>
    <row r="352" spans="1:18" x14ac:dyDescent="0.25">
      <c r="A352">
        <f t="shared" si="27"/>
        <v>1</v>
      </c>
      <c r="B352" t="str">
        <f t="shared" si="28"/>
        <v/>
      </c>
      <c r="C352">
        <f t="shared" si="30"/>
        <v>1</v>
      </c>
      <c r="D352" s="4"/>
      <c r="E352" t="s">
        <v>18</v>
      </c>
      <c r="F352" t="str">
        <f>INDEX(Establishment!B$2:B$1005,MATCH($E352,Establishment!$A$2:$A$1005,0))</f>
        <v xml:space="preserve"> </v>
      </c>
      <c r="G352" t="str">
        <f>INDEX(Establishment!C$2:C$1005,MATCH($E352,Establishment!$A$2:$A$1005,0))</f>
        <v xml:space="preserve"> </v>
      </c>
      <c r="M352">
        <f t="shared" si="31"/>
        <v>0</v>
      </c>
      <c r="N352">
        <f t="shared" si="29"/>
        <v>0</v>
      </c>
      <c r="P352" t="e">
        <f>INDEX(Items!B$2:B$1032,MATCH($O352,Items!$A$2:$A$1032,0))</f>
        <v>#N/A</v>
      </c>
      <c r="Q352" t="e">
        <f>INDEX(Items!C$2:C$1032,MATCH($O352,Items!$A$2:$A$1032,0))</f>
        <v>#N/A</v>
      </c>
      <c r="R352" t="e">
        <f>INDEX(Items!D$2:D$1032,MATCH($O352,Items!$A$2:$A$1032,0))</f>
        <v>#N/A</v>
      </c>
    </row>
    <row r="353" spans="1:18" x14ac:dyDescent="0.25">
      <c r="A353">
        <f t="shared" si="27"/>
        <v>1</v>
      </c>
      <c r="B353" t="str">
        <f t="shared" si="28"/>
        <v/>
      </c>
      <c r="C353">
        <f t="shared" si="30"/>
        <v>1</v>
      </c>
      <c r="D353" s="4"/>
      <c r="E353" t="s">
        <v>18</v>
      </c>
      <c r="F353" t="str">
        <f>INDEX(Establishment!B$2:B$1005,MATCH($E353,Establishment!$A$2:$A$1005,0))</f>
        <v xml:space="preserve"> </v>
      </c>
      <c r="G353" t="str">
        <f>INDEX(Establishment!C$2:C$1005,MATCH($E353,Establishment!$A$2:$A$1005,0))</f>
        <v xml:space="preserve"> </v>
      </c>
      <c r="M353">
        <f t="shared" si="31"/>
        <v>0</v>
      </c>
      <c r="N353">
        <f t="shared" si="29"/>
        <v>0</v>
      </c>
      <c r="P353" t="e">
        <f>INDEX(Items!B$2:B$1032,MATCH($O353,Items!$A$2:$A$1032,0))</f>
        <v>#N/A</v>
      </c>
      <c r="Q353" t="e">
        <f>INDEX(Items!C$2:C$1032,MATCH($O353,Items!$A$2:$A$1032,0))</f>
        <v>#N/A</v>
      </c>
      <c r="R353" t="e">
        <f>INDEX(Items!D$2:D$1032,MATCH($O353,Items!$A$2:$A$1032,0))</f>
        <v>#N/A</v>
      </c>
    </row>
    <row r="354" spans="1:18" x14ac:dyDescent="0.25">
      <c r="A354">
        <f t="shared" si="27"/>
        <v>1</v>
      </c>
      <c r="B354" t="str">
        <f t="shared" si="28"/>
        <v/>
      </c>
      <c r="C354">
        <f t="shared" si="30"/>
        <v>1</v>
      </c>
      <c r="D354" s="4"/>
      <c r="E354" t="s">
        <v>18</v>
      </c>
      <c r="F354" t="str">
        <f>INDEX(Establishment!B$2:B$1005,MATCH($E354,Establishment!$A$2:$A$1005,0))</f>
        <v xml:space="preserve"> </v>
      </c>
      <c r="G354" t="str">
        <f>INDEX(Establishment!C$2:C$1005,MATCH($E354,Establishment!$A$2:$A$1005,0))</f>
        <v xml:space="preserve"> </v>
      </c>
      <c r="M354">
        <f t="shared" si="31"/>
        <v>0</v>
      </c>
      <c r="N354">
        <f t="shared" si="29"/>
        <v>0</v>
      </c>
      <c r="P354" t="e">
        <f>INDEX(Items!B$2:B$1032,MATCH($O354,Items!$A$2:$A$1032,0))</f>
        <v>#N/A</v>
      </c>
      <c r="Q354" t="e">
        <f>INDEX(Items!C$2:C$1032,MATCH($O354,Items!$A$2:$A$1032,0))</f>
        <v>#N/A</v>
      </c>
      <c r="R354" t="e">
        <f>INDEX(Items!D$2:D$1032,MATCH($O354,Items!$A$2:$A$1032,0))</f>
        <v>#N/A</v>
      </c>
    </row>
    <row r="355" spans="1:18" x14ac:dyDescent="0.25">
      <c r="A355">
        <f t="shared" si="27"/>
        <v>1</v>
      </c>
      <c r="B355" t="str">
        <f t="shared" si="28"/>
        <v/>
      </c>
      <c r="C355">
        <f t="shared" si="30"/>
        <v>1</v>
      </c>
      <c r="D355" s="4"/>
      <c r="E355" t="s">
        <v>18</v>
      </c>
      <c r="F355" t="str">
        <f>INDEX(Establishment!B$2:B$1005,MATCH($E355,Establishment!$A$2:$A$1005,0))</f>
        <v xml:space="preserve"> </v>
      </c>
      <c r="G355" t="str">
        <f>INDEX(Establishment!C$2:C$1005,MATCH($E355,Establishment!$A$2:$A$1005,0))</f>
        <v xml:space="preserve"> </v>
      </c>
      <c r="M355">
        <f t="shared" si="31"/>
        <v>0</v>
      </c>
      <c r="N355">
        <f t="shared" si="29"/>
        <v>0</v>
      </c>
      <c r="P355" t="e">
        <f>INDEX(Items!B$2:B$1032,MATCH($O355,Items!$A$2:$A$1032,0))</f>
        <v>#N/A</v>
      </c>
      <c r="Q355" t="e">
        <f>INDEX(Items!C$2:C$1032,MATCH($O355,Items!$A$2:$A$1032,0))</f>
        <v>#N/A</v>
      </c>
      <c r="R355" t="e">
        <f>INDEX(Items!D$2:D$1032,MATCH($O355,Items!$A$2:$A$1032,0))</f>
        <v>#N/A</v>
      </c>
    </row>
    <row r="356" spans="1:18" x14ac:dyDescent="0.25">
      <c r="A356">
        <f t="shared" si="27"/>
        <v>1</v>
      </c>
      <c r="B356" t="str">
        <f t="shared" si="28"/>
        <v/>
      </c>
      <c r="C356">
        <f t="shared" si="30"/>
        <v>1</v>
      </c>
      <c r="D356" s="4"/>
      <c r="E356" t="s">
        <v>18</v>
      </c>
      <c r="F356" t="str">
        <f>INDEX(Establishment!B$2:B$1005,MATCH($E356,Establishment!$A$2:$A$1005,0))</f>
        <v xml:space="preserve"> </v>
      </c>
      <c r="G356" t="str">
        <f>INDEX(Establishment!C$2:C$1005,MATCH($E356,Establishment!$A$2:$A$1005,0))</f>
        <v xml:space="preserve"> </v>
      </c>
      <c r="M356">
        <f t="shared" si="31"/>
        <v>0</v>
      </c>
      <c r="N356">
        <f t="shared" si="29"/>
        <v>0</v>
      </c>
      <c r="P356" t="e">
        <f>INDEX(Items!B$2:B$1032,MATCH($O356,Items!$A$2:$A$1032,0))</f>
        <v>#N/A</v>
      </c>
      <c r="Q356" t="e">
        <f>INDEX(Items!C$2:C$1032,MATCH($O356,Items!$A$2:$A$1032,0))</f>
        <v>#N/A</v>
      </c>
      <c r="R356" t="e">
        <f>INDEX(Items!D$2:D$1032,MATCH($O356,Items!$A$2:$A$1032,0))</f>
        <v>#N/A</v>
      </c>
    </row>
    <row r="357" spans="1:18" x14ac:dyDescent="0.25">
      <c r="A357">
        <f t="shared" si="27"/>
        <v>1</v>
      </c>
      <c r="B357" t="str">
        <f t="shared" si="28"/>
        <v/>
      </c>
      <c r="C357">
        <f t="shared" si="30"/>
        <v>1</v>
      </c>
      <c r="D357" s="4"/>
      <c r="E357" t="s">
        <v>18</v>
      </c>
      <c r="F357" t="str">
        <f>INDEX(Establishment!B$2:B$1005,MATCH($E357,Establishment!$A$2:$A$1005,0))</f>
        <v xml:space="preserve"> </v>
      </c>
      <c r="G357" t="str">
        <f>INDEX(Establishment!C$2:C$1005,MATCH($E357,Establishment!$A$2:$A$1005,0))</f>
        <v xml:space="preserve"> </v>
      </c>
      <c r="M357">
        <f t="shared" si="31"/>
        <v>0</v>
      </c>
      <c r="N357">
        <f t="shared" si="29"/>
        <v>0</v>
      </c>
      <c r="P357" t="e">
        <f>INDEX(Items!B$2:B$1032,MATCH($O357,Items!$A$2:$A$1032,0))</f>
        <v>#N/A</v>
      </c>
      <c r="Q357" t="e">
        <f>INDEX(Items!C$2:C$1032,MATCH($O357,Items!$A$2:$A$1032,0))</f>
        <v>#N/A</v>
      </c>
      <c r="R357" t="e">
        <f>INDEX(Items!D$2:D$1032,MATCH($O357,Items!$A$2:$A$1032,0))</f>
        <v>#N/A</v>
      </c>
    </row>
    <row r="358" spans="1:18" x14ac:dyDescent="0.25">
      <c r="A358">
        <f t="shared" si="27"/>
        <v>1</v>
      </c>
      <c r="B358" t="str">
        <f t="shared" si="28"/>
        <v/>
      </c>
      <c r="C358">
        <f t="shared" si="30"/>
        <v>1</v>
      </c>
      <c r="D358" s="4"/>
      <c r="E358" t="s">
        <v>18</v>
      </c>
      <c r="F358" t="str">
        <f>INDEX(Establishment!B$2:B$1005,MATCH($E358,Establishment!$A$2:$A$1005,0))</f>
        <v xml:space="preserve"> </v>
      </c>
      <c r="G358" t="str">
        <f>INDEX(Establishment!C$2:C$1005,MATCH($E358,Establishment!$A$2:$A$1005,0))</f>
        <v xml:space="preserve"> </v>
      </c>
      <c r="M358">
        <f t="shared" si="31"/>
        <v>0</v>
      </c>
      <c r="N358">
        <f t="shared" si="29"/>
        <v>0</v>
      </c>
      <c r="P358" t="e">
        <f>INDEX(Items!B$2:B$1032,MATCH($O358,Items!$A$2:$A$1032,0))</f>
        <v>#N/A</v>
      </c>
      <c r="Q358" t="e">
        <f>INDEX(Items!C$2:C$1032,MATCH($O358,Items!$A$2:$A$1032,0))</f>
        <v>#N/A</v>
      </c>
      <c r="R358" t="e">
        <f>INDEX(Items!D$2:D$1032,MATCH($O358,Items!$A$2:$A$1032,0))</f>
        <v>#N/A</v>
      </c>
    </row>
    <row r="359" spans="1:18" x14ac:dyDescent="0.25">
      <c r="A359">
        <f t="shared" si="27"/>
        <v>1</v>
      </c>
      <c r="B359" t="str">
        <f t="shared" si="28"/>
        <v/>
      </c>
      <c r="C359">
        <f t="shared" si="30"/>
        <v>1</v>
      </c>
      <c r="D359" s="4"/>
      <c r="E359" t="s">
        <v>18</v>
      </c>
      <c r="F359" t="str">
        <f>INDEX(Establishment!B$2:B$1005,MATCH($E359,Establishment!$A$2:$A$1005,0))</f>
        <v xml:space="preserve"> </v>
      </c>
      <c r="G359" t="str">
        <f>INDEX(Establishment!C$2:C$1005,MATCH($E359,Establishment!$A$2:$A$1005,0))</f>
        <v xml:space="preserve"> </v>
      </c>
      <c r="M359">
        <f t="shared" si="31"/>
        <v>0</v>
      </c>
      <c r="N359">
        <f t="shared" si="29"/>
        <v>0</v>
      </c>
      <c r="P359" t="e">
        <f>INDEX(Items!B$2:B$1032,MATCH($O359,Items!$A$2:$A$1032,0))</f>
        <v>#N/A</v>
      </c>
      <c r="Q359" t="e">
        <f>INDEX(Items!C$2:C$1032,MATCH($O359,Items!$A$2:$A$1032,0))</f>
        <v>#N/A</v>
      </c>
      <c r="R359" t="e">
        <f>INDEX(Items!D$2:D$1032,MATCH($O359,Items!$A$2:$A$1032,0))</f>
        <v>#N/A</v>
      </c>
    </row>
    <row r="360" spans="1:18" x14ac:dyDescent="0.25">
      <c r="A360">
        <f t="shared" si="27"/>
        <v>1</v>
      </c>
      <c r="B360" t="str">
        <f t="shared" si="28"/>
        <v/>
      </c>
      <c r="C360">
        <f t="shared" si="30"/>
        <v>1</v>
      </c>
      <c r="D360" s="4"/>
      <c r="E360" t="s">
        <v>18</v>
      </c>
      <c r="F360" t="str">
        <f>INDEX(Establishment!B$2:B$1005,MATCH($E360,Establishment!$A$2:$A$1005,0))</f>
        <v xml:space="preserve"> </v>
      </c>
      <c r="G360" t="str">
        <f>INDEX(Establishment!C$2:C$1005,MATCH($E360,Establishment!$A$2:$A$1005,0))</f>
        <v xml:space="preserve"> </v>
      </c>
      <c r="M360">
        <f t="shared" si="31"/>
        <v>0</v>
      </c>
      <c r="N360">
        <f t="shared" si="29"/>
        <v>0</v>
      </c>
      <c r="P360" t="e">
        <f>INDEX(Items!B$2:B$1032,MATCH($O360,Items!$A$2:$A$1032,0))</f>
        <v>#N/A</v>
      </c>
      <c r="Q360" t="e">
        <f>INDEX(Items!C$2:C$1032,MATCH($O360,Items!$A$2:$A$1032,0))</f>
        <v>#N/A</v>
      </c>
      <c r="R360" t="e">
        <f>INDEX(Items!D$2:D$1032,MATCH($O360,Items!$A$2:$A$1032,0))</f>
        <v>#N/A</v>
      </c>
    </row>
    <row r="361" spans="1:18" x14ac:dyDescent="0.25">
      <c r="A361">
        <f t="shared" si="27"/>
        <v>1</v>
      </c>
      <c r="B361" t="str">
        <f t="shared" si="28"/>
        <v/>
      </c>
      <c r="C361">
        <f t="shared" si="30"/>
        <v>1</v>
      </c>
      <c r="D361" s="4"/>
      <c r="E361" t="s">
        <v>18</v>
      </c>
      <c r="F361" t="str">
        <f>INDEX(Establishment!B$2:B$1005,MATCH($E361,Establishment!$A$2:$A$1005,0))</f>
        <v xml:space="preserve"> </v>
      </c>
      <c r="G361" t="str">
        <f>INDEX(Establishment!C$2:C$1005,MATCH($E361,Establishment!$A$2:$A$1005,0))</f>
        <v xml:space="preserve"> </v>
      </c>
      <c r="M361">
        <f t="shared" si="31"/>
        <v>0</v>
      </c>
      <c r="N361">
        <f t="shared" si="29"/>
        <v>0</v>
      </c>
      <c r="P361" t="e">
        <f>INDEX(Items!B$2:B$1032,MATCH($O361,Items!$A$2:$A$1032,0))</f>
        <v>#N/A</v>
      </c>
      <c r="Q361" t="e">
        <f>INDEX(Items!C$2:C$1032,MATCH($O361,Items!$A$2:$A$1032,0))</f>
        <v>#N/A</v>
      </c>
      <c r="R361" t="e">
        <f>INDEX(Items!D$2:D$1032,MATCH($O361,Items!$A$2:$A$1032,0))</f>
        <v>#N/A</v>
      </c>
    </row>
    <row r="362" spans="1:18" x14ac:dyDescent="0.25">
      <c r="A362">
        <f t="shared" si="27"/>
        <v>1</v>
      </c>
      <c r="B362" t="str">
        <f t="shared" si="28"/>
        <v/>
      </c>
      <c r="C362">
        <f t="shared" si="30"/>
        <v>1</v>
      </c>
      <c r="D362" s="4"/>
      <c r="E362" t="s">
        <v>18</v>
      </c>
      <c r="F362" t="str">
        <f>INDEX(Establishment!B$2:B$1005,MATCH($E362,Establishment!$A$2:$A$1005,0))</f>
        <v xml:space="preserve"> </v>
      </c>
      <c r="G362" t="str">
        <f>INDEX(Establishment!C$2:C$1005,MATCH($E362,Establishment!$A$2:$A$1005,0))</f>
        <v xml:space="preserve"> </v>
      </c>
      <c r="M362">
        <f t="shared" si="31"/>
        <v>0</v>
      </c>
      <c r="N362">
        <f t="shared" si="29"/>
        <v>0</v>
      </c>
      <c r="P362" t="e">
        <f>INDEX(Items!B$2:B$1032,MATCH($O362,Items!$A$2:$A$1032,0))</f>
        <v>#N/A</v>
      </c>
      <c r="Q362" t="e">
        <f>INDEX(Items!C$2:C$1032,MATCH($O362,Items!$A$2:$A$1032,0))</f>
        <v>#N/A</v>
      </c>
      <c r="R362" t="e">
        <f>INDEX(Items!D$2:D$1032,MATCH($O362,Items!$A$2:$A$1032,0))</f>
        <v>#N/A</v>
      </c>
    </row>
    <row r="363" spans="1:18" x14ac:dyDescent="0.25">
      <c r="A363">
        <f t="shared" si="27"/>
        <v>1</v>
      </c>
      <c r="B363" t="str">
        <f t="shared" si="28"/>
        <v/>
      </c>
      <c r="C363">
        <f t="shared" si="30"/>
        <v>1</v>
      </c>
      <c r="D363" s="4"/>
      <c r="E363" t="s">
        <v>18</v>
      </c>
      <c r="F363" t="str">
        <f>INDEX(Establishment!B$2:B$1005,MATCH($E363,Establishment!$A$2:$A$1005,0))</f>
        <v xml:space="preserve"> </v>
      </c>
      <c r="G363" t="str">
        <f>INDEX(Establishment!C$2:C$1005,MATCH($E363,Establishment!$A$2:$A$1005,0))</f>
        <v xml:space="preserve"> </v>
      </c>
      <c r="M363">
        <f t="shared" si="31"/>
        <v>0</v>
      </c>
      <c r="N363">
        <f t="shared" si="29"/>
        <v>0</v>
      </c>
      <c r="P363" t="e">
        <f>INDEX(Items!B$2:B$1032,MATCH($O363,Items!$A$2:$A$1032,0))</f>
        <v>#N/A</v>
      </c>
      <c r="Q363" t="e">
        <f>INDEX(Items!C$2:C$1032,MATCH($O363,Items!$A$2:$A$1032,0))</f>
        <v>#N/A</v>
      </c>
      <c r="R363" t="e">
        <f>INDEX(Items!D$2:D$1032,MATCH($O363,Items!$A$2:$A$1032,0))</f>
        <v>#N/A</v>
      </c>
    </row>
    <row r="364" spans="1:18" x14ac:dyDescent="0.25">
      <c r="A364">
        <f t="shared" si="27"/>
        <v>1</v>
      </c>
      <c r="B364" t="str">
        <f t="shared" si="28"/>
        <v/>
      </c>
      <c r="C364">
        <f t="shared" si="30"/>
        <v>1</v>
      </c>
      <c r="D364" s="4"/>
      <c r="E364" t="s">
        <v>18</v>
      </c>
      <c r="F364" t="str">
        <f>INDEX(Establishment!B$2:B$1005,MATCH($E364,Establishment!$A$2:$A$1005,0))</f>
        <v xml:space="preserve"> </v>
      </c>
      <c r="G364" t="str">
        <f>INDEX(Establishment!C$2:C$1005,MATCH($E364,Establishment!$A$2:$A$1005,0))</f>
        <v xml:space="preserve"> </v>
      </c>
      <c r="M364">
        <f t="shared" si="31"/>
        <v>0</v>
      </c>
      <c r="N364">
        <f t="shared" si="29"/>
        <v>0</v>
      </c>
      <c r="P364" t="e">
        <f>INDEX(Items!B$2:B$1032,MATCH($O364,Items!$A$2:$A$1032,0))</f>
        <v>#N/A</v>
      </c>
      <c r="Q364" t="e">
        <f>INDEX(Items!C$2:C$1032,MATCH($O364,Items!$A$2:$A$1032,0))</f>
        <v>#N/A</v>
      </c>
      <c r="R364" t="e">
        <f>INDEX(Items!D$2:D$1032,MATCH($O364,Items!$A$2:$A$1032,0))</f>
        <v>#N/A</v>
      </c>
    </row>
    <row r="365" spans="1:18" x14ac:dyDescent="0.25">
      <c r="A365">
        <f t="shared" si="27"/>
        <v>1</v>
      </c>
      <c r="B365" t="str">
        <f t="shared" si="28"/>
        <v/>
      </c>
      <c r="C365">
        <f t="shared" si="30"/>
        <v>1</v>
      </c>
      <c r="D365" s="4"/>
      <c r="E365" t="s">
        <v>18</v>
      </c>
      <c r="F365" t="str">
        <f>INDEX(Establishment!B$2:B$1005,MATCH($E365,Establishment!$A$2:$A$1005,0))</f>
        <v xml:space="preserve"> </v>
      </c>
      <c r="G365" t="str">
        <f>INDEX(Establishment!C$2:C$1005,MATCH($E365,Establishment!$A$2:$A$1005,0))</f>
        <v xml:space="preserve"> </v>
      </c>
      <c r="M365">
        <f t="shared" si="31"/>
        <v>0</v>
      </c>
      <c r="N365">
        <f t="shared" si="29"/>
        <v>0</v>
      </c>
      <c r="P365" t="e">
        <f>INDEX(Items!B$2:B$1032,MATCH($O365,Items!$A$2:$A$1032,0))</f>
        <v>#N/A</v>
      </c>
      <c r="Q365" t="e">
        <f>INDEX(Items!C$2:C$1032,MATCH($O365,Items!$A$2:$A$1032,0))</f>
        <v>#N/A</v>
      </c>
      <c r="R365" t="e">
        <f>INDEX(Items!D$2:D$1032,MATCH($O365,Items!$A$2:$A$1032,0))</f>
        <v>#N/A</v>
      </c>
    </row>
    <row r="366" spans="1:18" x14ac:dyDescent="0.25">
      <c r="A366">
        <f t="shared" si="27"/>
        <v>1</v>
      </c>
      <c r="B366" t="str">
        <f t="shared" si="28"/>
        <v/>
      </c>
      <c r="C366">
        <f t="shared" si="30"/>
        <v>1</v>
      </c>
      <c r="D366" s="4"/>
      <c r="E366" t="s">
        <v>18</v>
      </c>
      <c r="F366" t="str">
        <f>INDEX(Establishment!B$2:B$1005,MATCH($E366,Establishment!$A$2:$A$1005,0))</f>
        <v xml:space="preserve"> </v>
      </c>
      <c r="G366" t="str">
        <f>INDEX(Establishment!C$2:C$1005,MATCH($E366,Establishment!$A$2:$A$1005,0))</f>
        <v xml:space="preserve"> </v>
      </c>
      <c r="M366">
        <f t="shared" si="31"/>
        <v>0</v>
      </c>
      <c r="N366">
        <f t="shared" si="29"/>
        <v>0</v>
      </c>
      <c r="P366" t="e">
        <f>INDEX(Items!B$2:B$1032,MATCH($O366,Items!$A$2:$A$1032,0))</f>
        <v>#N/A</v>
      </c>
      <c r="Q366" t="e">
        <f>INDEX(Items!C$2:C$1032,MATCH($O366,Items!$A$2:$A$1032,0))</f>
        <v>#N/A</v>
      </c>
      <c r="R366" t="e">
        <f>INDEX(Items!D$2:D$1032,MATCH($O366,Items!$A$2:$A$1032,0))</f>
        <v>#N/A</v>
      </c>
    </row>
    <row r="367" spans="1:18" x14ac:dyDescent="0.25">
      <c r="A367">
        <f t="shared" si="27"/>
        <v>1</v>
      </c>
      <c r="B367" t="str">
        <f t="shared" si="28"/>
        <v/>
      </c>
      <c r="C367">
        <f t="shared" si="30"/>
        <v>1</v>
      </c>
      <c r="D367" s="4"/>
      <c r="E367" t="s">
        <v>18</v>
      </c>
      <c r="F367" t="str">
        <f>INDEX(Establishment!B$2:B$1005,MATCH($E367,Establishment!$A$2:$A$1005,0))</f>
        <v xml:space="preserve"> </v>
      </c>
      <c r="G367" t="str">
        <f>INDEX(Establishment!C$2:C$1005,MATCH($E367,Establishment!$A$2:$A$1005,0))</f>
        <v xml:space="preserve"> </v>
      </c>
      <c r="M367">
        <f t="shared" si="31"/>
        <v>0</v>
      </c>
      <c r="N367">
        <f t="shared" si="29"/>
        <v>0</v>
      </c>
      <c r="P367" t="e">
        <f>INDEX(Items!B$2:B$1032,MATCH($O367,Items!$A$2:$A$1032,0))</f>
        <v>#N/A</v>
      </c>
      <c r="Q367" t="e">
        <f>INDEX(Items!C$2:C$1032,MATCH($O367,Items!$A$2:$A$1032,0))</f>
        <v>#N/A</v>
      </c>
      <c r="R367" t="e">
        <f>INDEX(Items!D$2:D$1032,MATCH($O367,Items!$A$2:$A$1032,0))</f>
        <v>#N/A</v>
      </c>
    </row>
    <row r="368" spans="1:18" x14ac:dyDescent="0.25">
      <c r="A368">
        <f t="shared" si="27"/>
        <v>1</v>
      </c>
      <c r="B368" t="str">
        <f t="shared" si="28"/>
        <v/>
      </c>
      <c r="C368">
        <f t="shared" si="30"/>
        <v>1</v>
      </c>
      <c r="D368" s="4"/>
      <c r="E368" t="s">
        <v>18</v>
      </c>
      <c r="F368" t="str">
        <f>INDEX(Establishment!B$2:B$1005,MATCH($E368,Establishment!$A$2:$A$1005,0))</f>
        <v xml:space="preserve"> </v>
      </c>
      <c r="G368" t="str">
        <f>INDEX(Establishment!C$2:C$1005,MATCH($E368,Establishment!$A$2:$A$1005,0))</f>
        <v xml:space="preserve"> </v>
      </c>
      <c r="M368">
        <f t="shared" si="31"/>
        <v>0</v>
      </c>
      <c r="N368">
        <f t="shared" si="29"/>
        <v>0</v>
      </c>
      <c r="P368" t="e">
        <f>INDEX(Items!B$2:B$1032,MATCH($O368,Items!$A$2:$A$1032,0))</f>
        <v>#N/A</v>
      </c>
      <c r="Q368" t="e">
        <f>INDEX(Items!C$2:C$1032,MATCH($O368,Items!$A$2:$A$1032,0))</f>
        <v>#N/A</v>
      </c>
      <c r="R368" t="e">
        <f>INDEX(Items!D$2:D$1032,MATCH($O368,Items!$A$2:$A$1032,0))</f>
        <v>#N/A</v>
      </c>
    </row>
    <row r="369" spans="1:18" x14ac:dyDescent="0.25">
      <c r="A369">
        <f t="shared" si="27"/>
        <v>1</v>
      </c>
      <c r="B369" t="str">
        <f t="shared" si="28"/>
        <v/>
      </c>
      <c r="C369">
        <f t="shared" si="30"/>
        <v>1</v>
      </c>
      <c r="D369" s="4"/>
      <c r="E369" t="s">
        <v>18</v>
      </c>
      <c r="F369" t="str">
        <f>INDEX(Establishment!B$2:B$1005,MATCH($E369,Establishment!$A$2:$A$1005,0))</f>
        <v xml:space="preserve"> </v>
      </c>
      <c r="G369" t="str">
        <f>INDEX(Establishment!C$2:C$1005,MATCH($E369,Establishment!$A$2:$A$1005,0))</f>
        <v xml:space="preserve"> </v>
      </c>
      <c r="M369">
        <f t="shared" si="31"/>
        <v>0</v>
      </c>
      <c r="N369">
        <f t="shared" si="29"/>
        <v>0</v>
      </c>
      <c r="P369" t="e">
        <f>INDEX(Items!B$2:B$1032,MATCH($O369,Items!$A$2:$A$1032,0))</f>
        <v>#N/A</v>
      </c>
      <c r="Q369" t="e">
        <f>INDEX(Items!C$2:C$1032,MATCH($O369,Items!$A$2:$A$1032,0))</f>
        <v>#N/A</v>
      </c>
      <c r="R369" t="e">
        <f>INDEX(Items!D$2:D$1032,MATCH($O369,Items!$A$2:$A$1032,0))</f>
        <v>#N/A</v>
      </c>
    </row>
    <row r="370" spans="1:18" x14ac:dyDescent="0.25">
      <c r="A370">
        <f t="shared" si="27"/>
        <v>1</v>
      </c>
      <c r="B370" t="str">
        <f t="shared" si="28"/>
        <v/>
      </c>
      <c r="C370">
        <f t="shared" si="30"/>
        <v>1</v>
      </c>
      <c r="D370" s="4"/>
      <c r="E370" t="s">
        <v>18</v>
      </c>
      <c r="F370" t="str">
        <f>INDEX(Establishment!B$2:B$1005,MATCH($E370,Establishment!$A$2:$A$1005,0))</f>
        <v xml:space="preserve"> </v>
      </c>
      <c r="G370" t="str">
        <f>INDEX(Establishment!C$2:C$1005,MATCH($E370,Establishment!$A$2:$A$1005,0))</f>
        <v xml:space="preserve"> </v>
      </c>
      <c r="M370">
        <f t="shared" si="31"/>
        <v>0</v>
      </c>
      <c r="N370">
        <f t="shared" si="29"/>
        <v>0</v>
      </c>
      <c r="P370" t="e">
        <f>INDEX(Items!B$2:B$1032,MATCH($O370,Items!$A$2:$A$1032,0))</f>
        <v>#N/A</v>
      </c>
      <c r="Q370" t="e">
        <f>INDEX(Items!C$2:C$1032,MATCH($O370,Items!$A$2:$A$1032,0))</f>
        <v>#N/A</v>
      </c>
      <c r="R370" t="e">
        <f>INDEX(Items!D$2:D$1032,MATCH($O370,Items!$A$2:$A$1032,0))</f>
        <v>#N/A</v>
      </c>
    </row>
    <row r="371" spans="1:18" x14ac:dyDescent="0.25">
      <c r="A371">
        <f t="shared" si="27"/>
        <v>1</v>
      </c>
      <c r="B371" t="str">
        <f t="shared" si="28"/>
        <v/>
      </c>
      <c r="C371">
        <f t="shared" si="30"/>
        <v>1</v>
      </c>
      <c r="D371" s="4"/>
      <c r="E371" t="s">
        <v>18</v>
      </c>
      <c r="F371" t="str">
        <f>INDEX(Establishment!B$2:B$1005,MATCH($E371,Establishment!$A$2:$A$1005,0))</f>
        <v xml:space="preserve"> </v>
      </c>
      <c r="G371" t="str">
        <f>INDEX(Establishment!C$2:C$1005,MATCH($E371,Establishment!$A$2:$A$1005,0))</f>
        <v xml:space="preserve"> </v>
      </c>
      <c r="M371">
        <f t="shared" si="31"/>
        <v>0</v>
      </c>
      <c r="N371">
        <f t="shared" si="29"/>
        <v>0</v>
      </c>
      <c r="P371" t="e">
        <f>INDEX(Items!B$2:B$1032,MATCH($O371,Items!$A$2:$A$1032,0))</f>
        <v>#N/A</v>
      </c>
      <c r="Q371" t="e">
        <f>INDEX(Items!C$2:C$1032,MATCH($O371,Items!$A$2:$A$1032,0))</f>
        <v>#N/A</v>
      </c>
      <c r="R371" t="e">
        <f>INDEX(Items!D$2:D$1032,MATCH($O371,Items!$A$2:$A$1032,0))</f>
        <v>#N/A</v>
      </c>
    </row>
    <row r="372" spans="1:18" x14ac:dyDescent="0.25">
      <c r="A372">
        <f t="shared" si="27"/>
        <v>1</v>
      </c>
      <c r="B372" t="str">
        <f t="shared" si="28"/>
        <v/>
      </c>
      <c r="C372">
        <f t="shared" si="30"/>
        <v>1</v>
      </c>
      <c r="D372" s="4"/>
      <c r="E372" t="s">
        <v>18</v>
      </c>
      <c r="F372" t="str">
        <f>INDEX(Establishment!B$2:B$1005,MATCH($E372,Establishment!$A$2:$A$1005,0))</f>
        <v xml:space="preserve"> </v>
      </c>
      <c r="G372" t="str">
        <f>INDEX(Establishment!C$2:C$1005,MATCH($E372,Establishment!$A$2:$A$1005,0))</f>
        <v xml:space="preserve"> </v>
      </c>
      <c r="M372">
        <f t="shared" si="31"/>
        <v>0</v>
      </c>
      <c r="N372">
        <f t="shared" si="29"/>
        <v>0</v>
      </c>
      <c r="P372" t="e">
        <f>INDEX(Items!B$2:B$1032,MATCH($O372,Items!$A$2:$A$1032,0))</f>
        <v>#N/A</v>
      </c>
      <c r="Q372" t="e">
        <f>INDEX(Items!C$2:C$1032,MATCH($O372,Items!$A$2:$A$1032,0))</f>
        <v>#N/A</v>
      </c>
      <c r="R372" t="e">
        <f>INDEX(Items!D$2:D$1032,MATCH($O372,Items!$A$2:$A$1032,0))</f>
        <v>#N/A</v>
      </c>
    </row>
    <row r="373" spans="1:18" x14ac:dyDescent="0.25">
      <c r="A373">
        <f t="shared" si="27"/>
        <v>1</v>
      </c>
      <c r="B373" t="str">
        <f t="shared" si="28"/>
        <v/>
      </c>
      <c r="C373">
        <f t="shared" si="30"/>
        <v>1</v>
      </c>
      <c r="D373" s="4"/>
      <c r="E373" t="s">
        <v>18</v>
      </c>
      <c r="F373" t="str">
        <f>INDEX(Establishment!B$2:B$1005,MATCH($E373,Establishment!$A$2:$A$1005,0))</f>
        <v xml:space="preserve"> </v>
      </c>
      <c r="G373" t="str">
        <f>INDEX(Establishment!C$2:C$1005,MATCH($E373,Establishment!$A$2:$A$1005,0))</f>
        <v xml:space="preserve"> </v>
      </c>
      <c r="M373">
        <f t="shared" si="31"/>
        <v>0</v>
      </c>
      <c r="N373">
        <f t="shared" si="29"/>
        <v>0</v>
      </c>
      <c r="P373" t="e">
        <f>INDEX(Items!B$2:B$1032,MATCH($O373,Items!$A$2:$A$1032,0))</f>
        <v>#N/A</v>
      </c>
      <c r="Q373" t="e">
        <f>INDEX(Items!C$2:C$1032,MATCH($O373,Items!$A$2:$A$1032,0))</f>
        <v>#N/A</v>
      </c>
      <c r="R373" t="e">
        <f>INDEX(Items!D$2:D$1032,MATCH($O373,Items!$A$2:$A$1032,0))</f>
        <v>#N/A</v>
      </c>
    </row>
    <row r="374" spans="1:18" x14ac:dyDescent="0.25">
      <c r="A374">
        <f t="shared" si="27"/>
        <v>1</v>
      </c>
      <c r="B374" t="str">
        <f t="shared" si="28"/>
        <v/>
      </c>
      <c r="C374">
        <f t="shared" si="30"/>
        <v>1</v>
      </c>
      <c r="D374" s="4"/>
      <c r="E374" t="s">
        <v>18</v>
      </c>
      <c r="F374" t="str">
        <f>INDEX(Establishment!B$2:B$1005,MATCH($E374,Establishment!$A$2:$A$1005,0))</f>
        <v xml:space="preserve"> </v>
      </c>
      <c r="G374" t="str">
        <f>INDEX(Establishment!C$2:C$1005,MATCH($E374,Establishment!$A$2:$A$1005,0))</f>
        <v xml:space="preserve"> </v>
      </c>
      <c r="M374">
        <f t="shared" si="31"/>
        <v>0</v>
      </c>
      <c r="N374">
        <f t="shared" si="29"/>
        <v>0</v>
      </c>
      <c r="P374" t="e">
        <f>INDEX(Items!B$2:B$1032,MATCH($O374,Items!$A$2:$A$1032,0))</f>
        <v>#N/A</v>
      </c>
      <c r="Q374" t="e">
        <f>INDEX(Items!C$2:C$1032,MATCH($O374,Items!$A$2:$A$1032,0))</f>
        <v>#N/A</v>
      </c>
      <c r="R374" t="e">
        <f>INDEX(Items!D$2:D$1032,MATCH($O374,Items!$A$2:$A$1032,0))</f>
        <v>#N/A</v>
      </c>
    </row>
    <row r="375" spans="1:18" x14ac:dyDescent="0.25">
      <c r="A375">
        <f t="shared" si="27"/>
        <v>1</v>
      </c>
      <c r="B375" t="str">
        <f t="shared" si="28"/>
        <v/>
      </c>
      <c r="C375">
        <f t="shared" si="30"/>
        <v>1</v>
      </c>
      <c r="D375" s="4"/>
      <c r="E375" t="s">
        <v>18</v>
      </c>
      <c r="F375" t="str">
        <f>INDEX(Establishment!B$2:B$1005,MATCH($E375,Establishment!$A$2:$A$1005,0))</f>
        <v xml:space="preserve"> </v>
      </c>
      <c r="G375" t="str">
        <f>INDEX(Establishment!C$2:C$1005,MATCH($E375,Establishment!$A$2:$A$1005,0))</f>
        <v xml:space="preserve"> </v>
      </c>
      <c r="M375">
        <f t="shared" si="31"/>
        <v>0</v>
      </c>
      <c r="N375">
        <f t="shared" si="29"/>
        <v>0</v>
      </c>
      <c r="P375" t="e">
        <f>INDEX(Items!B$2:B$1032,MATCH($O375,Items!$A$2:$A$1032,0))</f>
        <v>#N/A</v>
      </c>
      <c r="Q375" t="e">
        <f>INDEX(Items!C$2:C$1032,MATCH($O375,Items!$A$2:$A$1032,0))</f>
        <v>#N/A</v>
      </c>
      <c r="R375" t="e">
        <f>INDEX(Items!D$2:D$1032,MATCH($O375,Items!$A$2:$A$1032,0))</f>
        <v>#N/A</v>
      </c>
    </row>
    <row r="376" spans="1:18" x14ac:dyDescent="0.25">
      <c r="A376">
        <f t="shared" si="27"/>
        <v>1</v>
      </c>
      <c r="B376" t="str">
        <f t="shared" si="28"/>
        <v/>
      </c>
      <c r="C376">
        <f t="shared" si="30"/>
        <v>1</v>
      </c>
      <c r="D376" s="4"/>
      <c r="E376" t="s">
        <v>18</v>
      </c>
      <c r="F376" t="str">
        <f>INDEX(Establishment!B$2:B$1005,MATCH($E376,Establishment!$A$2:$A$1005,0))</f>
        <v xml:space="preserve"> </v>
      </c>
      <c r="G376" t="str">
        <f>INDEX(Establishment!C$2:C$1005,MATCH($E376,Establishment!$A$2:$A$1005,0))</f>
        <v xml:space="preserve"> </v>
      </c>
      <c r="M376">
        <f t="shared" si="31"/>
        <v>0</v>
      </c>
      <c r="N376">
        <f t="shared" si="29"/>
        <v>0</v>
      </c>
      <c r="P376" t="e">
        <f>INDEX(Items!B$2:B$1032,MATCH($O376,Items!$A$2:$A$1032,0))</f>
        <v>#N/A</v>
      </c>
      <c r="Q376" t="e">
        <f>INDEX(Items!C$2:C$1032,MATCH($O376,Items!$A$2:$A$1032,0))</f>
        <v>#N/A</v>
      </c>
      <c r="R376" t="e">
        <f>INDEX(Items!D$2:D$1032,MATCH($O376,Items!$A$2:$A$1032,0))</f>
        <v>#N/A</v>
      </c>
    </row>
    <row r="377" spans="1:18" x14ac:dyDescent="0.25">
      <c r="A377">
        <f t="shared" si="27"/>
        <v>1</v>
      </c>
      <c r="B377" t="str">
        <f t="shared" si="28"/>
        <v/>
      </c>
      <c r="C377">
        <f t="shared" si="30"/>
        <v>1</v>
      </c>
      <c r="D377" s="4"/>
      <c r="E377" t="s">
        <v>18</v>
      </c>
      <c r="F377" t="str">
        <f>INDEX(Establishment!B$2:B$1005,MATCH($E377,Establishment!$A$2:$A$1005,0))</f>
        <v xml:space="preserve"> </v>
      </c>
      <c r="G377" t="str">
        <f>INDEX(Establishment!C$2:C$1005,MATCH($E377,Establishment!$A$2:$A$1005,0))</f>
        <v xml:space="preserve"> </v>
      </c>
      <c r="M377">
        <f t="shared" si="31"/>
        <v>0</v>
      </c>
      <c r="N377">
        <f t="shared" si="29"/>
        <v>0</v>
      </c>
      <c r="P377" t="e">
        <f>INDEX(Items!B$2:B$1032,MATCH($O377,Items!$A$2:$A$1032,0))</f>
        <v>#N/A</v>
      </c>
      <c r="Q377" t="e">
        <f>INDEX(Items!C$2:C$1032,MATCH($O377,Items!$A$2:$A$1032,0))</f>
        <v>#N/A</v>
      </c>
      <c r="R377" t="e">
        <f>INDEX(Items!D$2:D$1032,MATCH($O377,Items!$A$2:$A$1032,0))</f>
        <v>#N/A</v>
      </c>
    </row>
    <row r="378" spans="1:18" x14ac:dyDescent="0.25">
      <c r="A378">
        <f t="shared" si="27"/>
        <v>1</v>
      </c>
      <c r="B378" t="str">
        <f t="shared" si="28"/>
        <v/>
      </c>
      <c r="C378">
        <f t="shared" si="30"/>
        <v>1</v>
      </c>
      <c r="D378" s="4"/>
      <c r="E378" t="s">
        <v>18</v>
      </c>
      <c r="F378" t="str">
        <f>INDEX(Establishment!B$2:B$1005,MATCH($E378,Establishment!$A$2:$A$1005,0))</f>
        <v xml:space="preserve"> </v>
      </c>
      <c r="G378" t="str">
        <f>INDEX(Establishment!C$2:C$1005,MATCH($E378,Establishment!$A$2:$A$1005,0))</f>
        <v xml:space="preserve"> </v>
      </c>
      <c r="M378">
        <f t="shared" si="31"/>
        <v>0</v>
      </c>
      <c r="N378">
        <f t="shared" si="29"/>
        <v>0</v>
      </c>
      <c r="P378" t="e">
        <f>INDEX(Items!B$2:B$1032,MATCH($O378,Items!$A$2:$A$1032,0))</f>
        <v>#N/A</v>
      </c>
      <c r="Q378" t="e">
        <f>INDEX(Items!C$2:C$1032,MATCH($O378,Items!$A$2:$A$1032,0))</f>
        <v>#N/A</v>
      </c>
      <c r="R378" t="e">
        <f>INDEX(Items!D$2:D$1032,MATCH($O378,Items!$A$2:$A$1032,0))</f>
        <v>#N/A</v>
      </c>
    </row>
    <row r="379" spans="1:18" x14ac:dyDescent="0.25">
      <c r="A379">
        <f t="shared" si="27"/>
        <v>1</v>
      </c>
      <c r="B379" t="str">
        <f t="shared" si="28"/>
        <v/>
      </c>
      <c r="C379">
        <f t="shared" si="30"/>
        <v>1</v>
      </c>
      <c r="D379" s="4"/>
      <c r="E379" t="s">
        <v>18</v>
      </c>
      <c r="F379" t="str">
        <f>INDEX(Establishment!B$2:B$1005,MATCH($E379,Establishment!$A$2:$A$1005,0))</f>
        <v xml:space="preserve"> </v>
      </c>
      <c r="G379" t="str">
        <f>INDEX(Establishment!C$2:C$1005,MATCH($E379,Establishment!$A$2:$A$1005,0))</f>
        <v xml:space="preserve"> </v>
      </c>
      <c r="M379">
        <f t="shared" si="31"/>
        <v>0</v>
      </c>
      <c r="N379">
        <f t="shared" si="29"/>
        <v>0</v>
      </c>
      <c r="P379" t="e">
        <f>INDEX(Items!B$2:B$1032,MATCH($O379,Items!$A$2:$A$1032,0))</f>
        <v>#N/A</v>
      </c>
      <c r="Q379" t="e">
        <f>INDEX(Items!C$2:C$1032,MATCH($O379,Items!$A$2:$A$1032,0))</f>
        <v>#N/A</v>
      </c>
      <c r="R379" t="e">
        <f>INDEX(Items!D$2:D$1032,MATCH($O379,Items!$A$2:$A$1032,0))</f>
        <v>#N/A</v>
      </c>
    </row>
    <row r="380" spans="1:18" x14ac:dyDescent="0.25">
      <c r="A380">
        <f t="shared" si="27"/>
        <v>1</v>
      </c>
      <c r="B380" t="str">
        <f t="shared" si="28"/>
        <v/>
      </c>
      <c r="C380">
        <f t="shared" si="30"/>
        <v>1</v>
      </c>
      <c r="D380" s="4"/>
      <c r="E380" t="s">
        <v>18</v>
      </c>
      <c r="F380" t="str">
        <f>INDEX(Establishment!B$2:B$1005,MATCH($E380,Establishment!$A$2:$A$1005,0))</f>
        <v xml:space="preserve"> </v>
      </c>
      <c r="G380" t="str">
        <f>INDEX(Establishment!C$2:C$1005,MATCH($E380,Establishment!$A$2:$A$1005,0))</f>
        <v xml:space="preserve"> </v>
      </c>
      <c r="M380">
        <f t="shared" si="31"/>
        <v>0</v>
      </c>
      <c r="N380">
        <f t="shared" si="29"/>
        <v>0</v>
      </c>
      <c r="P380" t="e">
        <f>INDEX(Items!B$2:B$1032,MATCH($O380,Items!$A$2:$A$1032,0))</f>
        <v>#N/A</v>
      </c>
      <c r="Q380" t="e">
        <f>INDEX(Items!C$2:C$1032,MATCH($O380,Items!$A$2:$A$1032,0))</f>
        <v>#N/A</v>
      </c>
      <c r="R380" t="e">
        <f>INDEX(Items!D$2:D$1032,MATCH($O380,Items!$A$2:$A$1032,0))</f>
        <v>#N/A</v>
      </c>
    </row>
    <row r="381" spans="1:18" x14ac:dyDescent="0.25">
      <c r="A381">
        <f t="shared" si="27"/>
        <v>1</v>
      </c>
      <c r="B381" t="str">
        <f t="shared" si="28"/>
        <v/>
      </c>
      <c r="C381">
        <f t="shared" si="30"/>
        <v>1</v>
      </c>
      <c r="D381" s="4"/>
      <c r="E381" t="s">
        <v>18</v>
      </c>
      <c r="F381" t="str">
        <f>INDEX(Establishment!B$2:B$1005,MATCH($E381,Establishment!$A$2:$A$1005,0))</f>
        <v xml:space="preserve"> </v>
      </c>
      <c r="G381" t="str">
        <f>INDEX(Establishment!C$2:C$1005,MATCH($E381,Establishment!$A$2:$A$1005,0))</f>
        <v xml:space="preserve"> </v>
      </c>
      <c r="M381">
        <f t="shared" si="31"/>
        <v>0</v>
      </c>
      <c r="N381">
        <f t="shared" si="29"/>
        <v>0</v>
      </c>
      <c r="P381" t="e">
        <f>INDEX(Items!B$2:B$1032,MATCH($O381,Items!$A$2:$A$1032,0))</f>
        <v>#N/A</v>
      </c>
      <c r="Q381" t="e">
        <f>INDEX(Items!C$2:C$1032,MATCH($O381,Items!$A$2:$A$1032,0))</f>
        <v>#N/A</v>
      </c>
      <c r="R381" t="e">
        <f>INDEX(Items!D$2:D$1032,MATCH($O381,Items!$A$2:$A$1032,0))</f>
        <v>#N/A</v>
      </c>
    </row>
    <row r="382" spans="1:18" x14ac:dyDescent="0.25">
      <c r="A382">
        <f t="shared" si="27"/>
        <v>1</v>
      </c>
      <c r="B382" t="str">
        <f t="shared" si="28"/>
        <v/>
      </c>
      <c r="C382">
        <f t="shared" si="30"/>
        <v>1</v>
      </c>
      <c r="D382" s="4"/>
      <c r="E382" t="s">
        <v>18</v>
      </c>
      <c r="F382" t="str">
        <f>INDEX(Establishment!B$2:B$1005,MATCH($E382,Establishment!$A$2:$A$1005,0))</f>
        <v xml:space="preserve"> </v>
      </c>
      <c r="G382" t="str">
        <f>INDEX(Establishment!C$2:C$1005,MATCH($E382,Establishment!$A$2:$A$1005,0))</f>
        <v xml:space="preserve"> </v>
      </c>
      <c r="M382">
        <f t="shared" si="31"/>
        <v>0</v>
      </c>
      <c r="N382">
        <f t="shared" si="29"/>
        <v>0</v>
      </c>
      <c r="P382" t="e">
        <f>INDEX(Items!B$2:B$1032,MATCH($O382,Items!$A$2:$A$1032,0))</f>
        <v>#N/A</v>
      </c>
      <c r="Q382" t="e">
        <f>INDEX(Items!C$2:C$1032,MATCH($O382,Items!$A$2:$A$1032,0))</f>
        <v>#N/A</v>
      </c>
      <c r="R382" t="e">
        <f>INDEX(Items!D$2:D$1032,MATCH($O382,Items!$A$2:$A$1032,0))</f>
        <v>#N/A</v>
      </c>
    </row>
    <row r="383" spans="1:18" x14ac:dyDescent="0.25">
      <c r="A383">
        <f t="shared" si="27"/>
        <v>1</v>
      </c>
      <c r="B383" t="str">
        <f t="shared" si="28"/>
        <v/>
      </c>
      <c r="C383">
        <f t="shared" si="30"/>
        <v>1</v>
      </c>
      <c r="D383" s="4"/>
      <c r="E383" t="s">
        <v>18</v>
      </c>
      <c r="F383" t="str">
        <f>INDEX(Establishment!B$2:B$1005,MATCH($E383,Establishment!$A$2:$A$1005,0))</f>
        <v xml:space="preserve"> </v>
      </c>
      <c r="G383" t="str">
        <f>INDEX(Establishment!C$2:C$1005,MATCH($E383,Establishment!$A$2:$A$1005,0))</f>
        <v xml:space="preserve"> </v>
      </c>
      <c r="M383">
        <f t="shared" si="31"/>
        <v>0</v>
      </c>
      <c r="N383">
        <f t="shared" si="29"/>
        <v>0</v>
      </c>
      <c r="P383" t="e">
        <f>INDEX(Items!B$2:B$1032,MATCH($O383,Items!$A$2:$A$1032,0))</f>
        <v>#N/A</v>
      </c>
      <c r="Q383" t="e">
        <f>INDEX(Items!C$2:C$1032,MATCH($O383,Items!$A$2:$A$1032,0))</f>
        <v>#N/A</v>
      </c>
      <c r="R383" t="e">
        <f>INDEX(Items!D$2:D$1032,MATCH($O383,Items!$A$2:$A$1032,0))</f>
        <v>#N/A</v>
      </c>
    </row>
    <row r="384" spans="1:18" x14ac:dyDescent="0.25">
      <c r="A384">
        <f t="shared" si="27"/>
        <v>1</v>
      </c>
      <c r="B384" t="str">
        <f t="shared" si="28"/>
        <v/>
      </c>
      <c r="C384">
        <f t="shared" si="30"/>
        <v>1</v>
      </c>
      <c r="D384" s="4"/>
      <c r="E384" t="s">
        <v>18</v>
      </c>
      <c r="F384" t="str">
        <f>INDEX(Establishment!B$2:B$1005,MATCH($E384,Establishment!$A$2:$A$1005,0))</f>
        <v xml:space="preserve"> </v>
      </c>
      <c r="G384" t="str">
        <f>INDEX(Establishment!C$2:C$1005,MATCH($E384,Establishment!$A$2:$A$1005,0))</f>
        <v xml:space="preserve"> </v>
      </c>
      <c r="M384">
        <f t="shared" si="31"/>
        <v>0</v>
      </c>
      <c r="N384">
        <f t="shared" si="29"/>
        <v>0</v>
      </c>
      <c r="P384" t="e">
        <f>INDEX(Items!B$2:B$1032,MATCH($O384,Items!$A$2:$A$1032,0))</f>
        <v>#N/A</v>
      </c>
      <c r="Q384" t="e">
        <f>INDEX(Items!C$2:C$1032,MATCH($O384,Items!$A$2:$A$1032,0))</f>
        <v>#N/A</v>
      </c>
      <c r="R384" t="e">
        <f>INDEX(Items!D$2:D$1032,MATCH($O384,Items!$A$2:$A$1032,0))</f>
        <v>#N/A</v>
      </c>
    </row>
    <row r="385" spans="1:18" x14ac:dyDescent="0.25">
      <c r="A385">
        <f t="shared" si="27"/>
        <v>1</v>
      </c>
      <c r="B385" t="str">
        <f t="shared" si="28"/>
        <v/>
      </c>
      <c r="C385">
        <f t="shared" si="30"/>
        <v>1</v>
      </c>
      <c r="D385" s="4"/>
      <c r="E385" t="s">
        <v>18</v>
      </c>
      <c r="F385" t="str">
        <f>INDEX(Establishment!B$2:B$1005,MATCH($E385,Establishment!$A$2:$A$1005,0))</f>
        <v xml:space="preserve"> </v>
      </c>
      <c r="G385" t="str">
        <f>INDEX(Establishment!C$2:C$1005,MATCH($E385,Establishment!$A$2:$A$1005,0))</f>
        <v xml:space="preserve"> </v>
      </c>
      <c r="M385">
        <f t="shared" si="31"/>
        <v>0</v>
      </c>
      <c r="N385">
        <f t="shared" si="29"/>
        <v>0</v>
      </c>
      <c r="P385" t="e">
        <f>INDEX(Items!B$2:B$1032,MATCH($O385,Items!$A$2:$A$1032,0))</f>
        <v>#N/A</v>
      </c>
      <c r="Q385" t="e">
        <f>INDEX(Items!C$2:C$1032,MATCH($O385,Items!$A$2:$A$1032,0))</f>
        <v>#N/A</v>
      </c>
      <c r="R385" t="e">
        <f>INDEX(Items!D$2:D$1032,MATCH($O385,Items!$A$2:$A$1032,0))</f>
        <v>#N/A</v>
      </c>
    </row>
    <row r="386" spans="1:18" x14ac:dyDescent="0.25">
      <c r="A386">
        <f t="shared" ref="A386:A449" si="32">IF(OR(D386&lt;&gt;D385,D386=""),1,IF(NOT(AND(E386=E385,F386=F385,G386=G385)),A385+1,IF(OR(H386="",AND(H386&lt;&gt;"",H386&lt;&gt;H385,H385&lt;&gt;"")),A385,A385+1)))</f>
        <v>1</v>
      </c>
      <c r="B386" t="str">
        <f t="shared" ref="B386:B449" si="33">IF(D386&lt;&gt;"",TEXT(D386,"YYYYMMDD")&amp;CHAR(64+A386),"")</f>
        <v/>
      </c>
      <c r="C386">
        <f t="shared" si="30"/>
        <v>1</v>
      </c>
      <c r="D386" s="4"/>
      <c r="E386" t="s">
        <v>18</v>
      </c>
      <c r="F386" t="str">
        <f>INDEX(Establishment!B$2:B$1005,MATCH($E386,Establishment!$A$2:$A$1005,0))</f>
        <v xml:space="preserve"> </v>
      </c>
      <c r="G386" t="str">
        <f>INDEX(Establishment!C$2:C$1005,MATCH($E386,Establishment!$A$2:$A$1005,0))</f>
        <v xml:space="preserve"> </v>
      </c>
      <c r="M386">
        <f t="shared" si="31"/>
        <v>0</v>
      </c>
      <c r="N386">
        <f t="shared" si="29"/>
        <v>0</v>
      </c>
      <c r="P386" t="e">
        <f>INDEX(Items!B$2:B$1032,MATCH($O386,Items!$A$2:$A$1032,0))</f>
        <v>#N/A</v>
      </c>
      <c r="Q386" t="e">
        <f>INDEX(Items!C$2:C$1032,MATCH($O386,Items!$A$2:$A$1032,0))</f>
        <v>#N/A</v>
      </c>
      <c r="R386" t="e">
        <f>INDEX(Items!D$2:D$1032,MATCH($O386,Items!$A$2:$A$1032,0))</f>
        <v>#N/A</v>
      </c>
    </row>
    <row r="387" spans="1:18" x14ac:dyDescent="0.25">
      <c r="A387">
        <f t="shared" si="32"/>
        <v>1</v>
      </c>
      <c r="B387" t="str">
        <f t="shared" si="33"/>
        <v/>
      </c>
      <c r="C387">
        <f t="shared" si="30"/>
        <v>1</v>
      </c>
      <c r="D387" s="4"/>
      <c r="E387" t="s">
        <v>18</v>
      </c>
      <c r="F387" t="str">
        <f>INDEX(Establishment!B$2:B$1005,MATCH($E387,Establishment!$A$2:$A$1005,0))</f>
        <v xml:space="preserve"> </v>
      </c>
      <c r="G387" t="str">
        <f>INDEX(Establishment!C$2:C$1005,MATCH($E387,Establishment!$A$2:$A$1005,0))</f>
        <v xml:space="preserve"> </v>
      </c>
      <c r="M387">
        <f t="shared" si="31"/>
        <v>0</v>
      </c>
      <c r="N387">
        <f t="shared" ref="N387:N450" si="34">IF(B387=B386,N386+M387,M387)</f>
        <v>0</v>
      </c>
      <c r="P387" t="e">
        <f>INDEX(Items!B$2:B$1032,MATCH($O387,Items!$A$2:$A$1032,0))</f>
        <v>#N/A</v>
      </c>
      <c r="Q387" t="e">
        <f>INDEX(Items!C$2:C$1032,MATCH($O387,Items!$A$2:$A$1032,0))</f>
        <v>#N/A</v>
      </c>
      <c r="R387" t="e">
        <f>INDEX(Items!D$2:D$1032,MATCH($O387,Items!$A$2:$A$1032,0))</f>
        <v>#N/A</v>
      </c>
    </row>
    <row r="388" spans="1:18" x14ac:dyDescent="0.25">
      <c r="A388">
        <f t="shared" si="32"/>
        <v>1</v>
      </c>
      <c r="B388" t="str">
        <f t="shared" si="33"/>
        <v/>
      </c>
      <c r="C388">
        <f t="shared" si="30"/>
        <v>1</v>
      </c>
      <c r="D388" s="4"/>
      <c r="E388" t="s">
        <v>18</v>
      </c>
      <c r="F388" t="str">
        <f>INDEX(Establishment!B$2:B$1005,MATCH($E388,Establishment!$A$2:$A$1005,0))</f>
        <v xml:space="preserve"> </v>
      </c>
      <c r="G388" t="str">
        <f>INDEX(Establishment!C$2:C$1005,MATCH($E388,Establishment!$A$2:$A$1005,0))</f>
        <v xml:space="preserve"> </v>
      </c>
      <c r="M388">
        <f t="shared" si="31"/>
        <v>0</v>
      </c>
      <c r="N388">
        <f t="shared" si="34"/>
        <v>0</v>
      </c>
      <c r="P388" t="e">
        <f>INDEX(Items!B$2:B$1032,MATCH($O388,Items!$A$2:$A$1032,0))</f>
        <v>#N/A</v>
      </c>
      <c r="Q388" t="e">
        <f>INDEX(Items!C$2:C$1032,MATCH($O388,Items!$A$2:$A$1032,0))</f>
        <v>#N/A</v>
      </c>
      <c r="R388" t="e">
        <f>INDEX(Items!D$2:D$1032,MATCH($O388,Items!$A$2:$A$1032,0))</f>
        <v>#N/A</v>
      </c>
    </row>
    <row r="389" spans="1:18" x14ac:dyDescent="0.25">
      <c r="A389">
        <f t="shared" si="32"/>
        <v>1</v>
      </c>
      <c r="B389" t="str">
        <f t="shared" si="33"/>
        <v/>
      </c>
      <c r="C389">
        <f t="shared" si="30"/>
        <v>1</v>
      </c>
      <c r="D389" s="4"/>
      <c r="E389" t="s">
        <v>18</v>
      </c>
      <c r="F389" t="str">
        <f>INDEX(Establishment!B$2:B$1005,MATCH($E389,Establishment!$A$2:$A$1005,0))</f>
        <v xml:space="preserve"> </v>
      </c>
      <c r="G389" t="str">
        <f>INDEX(Establishment!C$2:C$1005,MATCH($E389,Establishment!$A$2:$A$1005,0))</f>
        <v xml:space="preserve"> </v>
      </c>
      <c r="M389">
        <f t="shared" si="31"/>
        <v>0</v>
      </c>
      <c r="N389">
        <f t="shared" si="34"/>
        <v>0</v>
      </c>
      <c r="P389" t="e">
        <f>INDEX(Items!B$2:B$1032,MATCH($O389,Items!$A$2:$A$1032,0))</f>
        <v>#N/A</v>
      </c>
      <c r="Q389" t="e">
        <f>INDEX(Items!C$2:C$1032,MATCH($O389,Items!$A$2:$A$1032,0))</f>
        <v>#N/A</v>
      </c>
      <c r="R389" t="e">
        <f>INDEX(Items!D$2:D$1032,MATCH($O389,Items!$A$2:$A$1032,0))</f>
        <v>#N/A</v>
      </c>
    </row>
    <row r="390" spans="1:18" x14ac:dyDescent="0.25">
      <c r="A390">
        <f t="shared" si="32"/>
        <v>1</v>
      </c>
      <c r="B390" t="str">
        <f t="shared" si="33"/>
        <v/>
      </c>
      <c r="C390">
        <f t="shared" si="30"/>
        <v>1</v>
      </c>
      <c r="D390" s="4"/>
      <c r="E390" t="s">
        <v>18</v>
      </c>
      <c r="F390" t="str">
        <f>INDEX(Establishment!B$2:B$1005,MATCH($E390,Establishment!$A$2:$A$1005,0))</f>
        <v xml:space="preserve"> </v>
      </c>
      <c r="G390" t="str">
        <f>INDEX(Establishment!C$2:C$1005,MATCH($E390,Establishment!$A$2:$A$1005,0))</f>
        <v xml:space="preserve"> </v>
      </c>
      <c r="M390">
        <f t="shared" si="31"/>
        <v>0</v>
      </c>
      <c r="N390">
        <f t="shared" si="34"/>
        <v>0</v>
      </c>
      <c r="P390" t="e">
        <f>INDEX(Items!B$2:B$1032,MATCH($O390,Items!$A$2:$A$1032,0))</f>
        <v>#N/A</v>
      </c>
      <c r="Q390" t="e">
        <f>INDEX(Items!C$2:C$1032,MATCH($O390,Items!$A$2:$A$1032,0))</f>
        <v>#N/A</v>
      </c>
      <c r="R390" t="e">
        <f>INDEX(Items!D$2:D$1032,MATCH($O390,Items!$A$2:$A$1032,0))</f>
        <v>#N/A</v>
      </c>
    </row>
    <row r="391" spans="1:18" x14ac:dyDescent="0.25">
      <c r="A391">
        <f t="shared" si="32"/>
        <v>1</v>
      </c>
      <c r="B391" t="str">
        <f t="shared" si="33"/>
        <v/>
      </c>
      <c r="C391">
        <f t="shared" si="30"/>
        <v>1</v>
      </c>
      <c r="D391" s="4"/>
      <c r="E391" t="s">
        <v>18</v>
      </c>
      <c r="F391" t="str">
        <f>INDEX(Establishment!B$2:B$1005,MATCH($E391,Establishment!$A$2:$A$1005,0))</f>
        <v xml:space="preserve"> </v>
      </c>
      <c r="G391" t="str">
        <f>INDEX(Establishment!C$2:C$1005,MATCH($E391,Establishment!$A$2:$A$1005,0))</f>
        <v xml:space="preserve"> </v>
      </c>
      <c r="M391">
        <f t="shared" si="31"/>
        <v>0</v>
      </c>
      <c r="N391">
        <f t="shared" si="34"/>
        <v>0</v>
      </c>
      <c r="P391" t="e">
        <f>INDEX(Items!B$2:B$1032,MATCH($O391,Items!$A$2:$A$1032,0))</f>
        <v>#N/A</v>
      </c>
      <c r="Q391" t="e">
        <f>INDEX(Items!C$2:C$1032,MATCH($O391,Items!$A$2:$A$1032,0))</f>
        <v>#N/A</v>
      </c>
      <c r="R391" t="e">
        <f>INDEX(Items!D$2:D$1032,MATCH($O391,Items!$A$2:$A$1032,0))</f>
        <v>#N/A</v>
      </c>
    </row>
    <row r="392" spans="1:18" x14ac:dyDescent="0.25">
      <c r="A392">
        <f t="shared" si="32"/>
        <v>1</v>
      </c>
      <c r="B392" t="str">
        <f t="shared" si="33"/>
        <v/>
      </c>
      <c r="C392">
        <f t="shared" si="30"/>
        <v>1</v>
      </c>
      <c r="D392" s="4"/>
      <c r="E392" t="s">
        <v>18</v>
      </c>
      <c r="F392" t="str">
        <f>INDEX(Establishment!B$2:B$1005,MATCH($E392,Establishment!$A$2:$A$1005,0))</f>
        <v xml:space="preserve"> </v>
      </c>
      <c r="G392" t="str">
        <f>INDEX(Establishment!C$2:C$1005,MATCH($E392,Establishment!$A$2:$A$1005,0))</f>
        <v xml:space="preserve"> </v>
      </c>
      <c r="M392">
        <f t="shared" si="31"/>
        <v>0</v>
      </c>
      <c r="N392">
        <f t="shared" si="34"/>
        <v>0</v>
      </c>
      <c r="P392" t="e">
        <f>INDEX(Items!B$2:B$1032,MATCH($O392,Items!$A$2:$A$1032,0))</f>
        <v>#N/A</v>
      </c>
      <c r="Q392" t="e">
        <f>INDEX(Items!C$2:C$1032,MATCH($O392,Items!$A$2:$A$1032,0))</f>
        <v>#N/A</v>
      </c>
      <c r="R392" t="e">
        <f>INDEX(Items!D$2:D$1032,MATCH($O392,Items!$A$2:$A$1032,0))</f>
        <v>#N/A</v>
      </c>
    </row>
    <row r="393" spans="1:18" x14ac:dyDescent="0.25">
      <c r="A393">
        <f t="shared" si="32"/>
        <v>1</v>
      </c>
      <c r="B393" t="str">
        <f t="shared" si="33"/>
        <v/>
      </c>
      <c r="C393">
        <f t="shared" si="30"/>
        <v>1</v>
      </c>
      <c r="D393" s="4"/>
      <c r="E393" t="s">
        <v>18</v>
      </c>
      <c r="F393" t="str">
        <f>INDEX(Establishment!B$2:B$1005,MATCH($E393,Establishment!$A$2:$A$1005,0))</f>
        <v xml:space="preserve"> </v>
      </c>
      <c r="G393" t="str">
        <f>INDEX(Establishment!C$2:C$1005,MATCH($E393,Establishment!$A$2:$A$1005,0))</f>
        <v xml:space="preserve"> </v>
      </c>
      <c r="M393">
        <f t="shared" si="31"/>
        <v>0</v>
      </c>
      <c r="N393">
        <f t="shared" si="34"/>
        <v>0</v>
      </c>
      <c r="P393" t="e">
        <f>INDEX(Items!B$2:B$1032,MATCH($O393,Items!$A$2:$A$1032,0))</f>
        <v>#N/A</v>
      </c>
      <c r="Q393" t="e">
        <f>INDEX(Items!C$2:C$1032,MATCH($O393,Items!$A$2:$A$1032,0))</f>
        <v>#N/A</v>
      </c>
      <c r="R393" t="e">
        <f>INDEX(Items!D$2:D$1032,MATCH($O393,Items!$A$2:$A$1032,0))</f>
        <v>#N/A</v>
      </c>
    </row>
    <row r="394" spans="1:18" x14ac:dyDescent="0.25">
      <c r="A394">
        <f t="shared" si="32"/>
        <v>1</v>
      </c>
      <c r="B394" t="str">
        <f t="shared" si="33"/>
        <v/>
      </c>
      <c r="C394">
        <f t="shared" ref="C394:C457" si="35">IF(OR(B394="",B394&lt;&gt;B393),1,C393+1)</f>
        <v>1</v>
      </c>
      <c r="D394" s="4"/>
      <c r="E394" t="s">
        <v>18</v>
      </c>
      <c r="F394" t="str">
        <f>INDEX(Establishment!B$2:B$1005,MATCH($E394,Establishment!$A$2:$A$1005,0))</f>
        <v xml:space="preserve"> </v>
      </c>
      <c r="G394" t="str">
        <f>INDEX(Establishment!C$2:C$1005,MATCH($E394,Establishment!$A$2:$A$1005,0))</f>
        <v xml:space="preserve"> </v>
      </c>
      <c r="M394">
        <f t="shared" ref="M394:M457" si="36">K394*L394</f>
        <v>0</v>
      </c>
      <c r="N394">
        <f t="shared" si="34"/>
        <v>0</v>
      </c>
      <c r="P394" t="e">
        <f>INDEX(Items!B$2:B$1032,MATCH($O394,Items!$A$2:$A$1032,0))</f>
        <v>#N/A</v>
      </c>
      <c r="Q394" t="e">
        <f>INDEX(Items!C$2:C$1032,MATCH($O394,Items!$A$2:$A$1032,0))</f>
        <v>#N/A</v>
      </c>
      <c r="R394" t="e">
        <f>INDEX(Items!D$2:D$1032,MATCH($O394,Items!$A$2:$A$1032,0))</f>
        <v>#N/A</v>
      </c>
    </row>
    <row r="395" spans="1:18" x14ac:dyDescent="0.25">
      <c r="A395">
        <f t="shared" si="32"/>
        <v>1</v>
      </c>
      <c r="B395" t="str">
        <f t="shared" si="33"/>
        <v/>
      </c>
      <c r="C395">
        <f t="shared" si="35"/>
        <v>1</v>
      </c>
      <c r="D395" s="4"/>
      <c r="E395" t="s">
        <v>18</v>
      </c>
      <c r="F395" t="str">
        <f>INDEX(Establishment!B$2:B$1005,MATCH($E395,Establishment!$A$2:$A$1005,0))</f>
        <v xml:space="preserve"> </v>
      </c>
      <c r="G395" t="str">
        <f>INDEX(Establishment!C$2:C$1005,MATCH($E395,Establishment!$A$2:$A$1005,0))</f>
        <v xml:space="preserve"> </v>
      </c>
      <c r="M395">
        <f t="shared" si="36"/>
        <v>0</v>
      </c>
      <c r="N395">
        <f t="shared" si="34"/>
        <v>0</v>
      </c>
      <c r="P395" t="e">
        <f>INDEX(Items!B$2:B$1032,MATCH($O395,Items!$A$2:$A$1032,0))</f>
        <v>#N/A</v>
      </c>
      <c r="Q395" t="e">
        <f>INDEX(Items!C$2:C$1032,MATCH($O395,Items!$A$2:$A$1032,0))</f>
        <v>#N/A</v>
      </c>
      <c r="R395" t="e">
        <f>INDEX(Items!D$2:D$1032,MATCH($O395,Items!$A$2:$A$1032,0))</f>
        <v>#N/A</v>
      </c>
    </row>
    <row r="396" spans="1:18" x14ac:dyDescent="0.25">
      <c r="A396">
        <f t="shared" si="32"/>
        <v>1</v>
      </c>
      <c r="B396" t="str">
        <f t="shared" si="33"/>
        <v/>
      </c>
      <c r="C396">
        <f t="shared" si="35"/>
        <v>1</v>
      </c>
      <c r="D396" s="4"/>
      <c r="E396" t="s">
        <v>18</v>
      </c>
      <c r="F396" t="str">
        <f>INDEX(Establishment!B$2:B$1005,MATCH($E396,Establishment!$A$2:$A$1005,0))</f>
        <v xml:space="preserve"> </v>
      </c>
      <c r="G396" t="str">
        <f>INDEX(Establishment!C$2:C$1005,MATCH($E396,Establishment!$A$2:$A$1005,0))</f>
        <v xml:space="preserve"> </v>
      </c>
      <c r="M396">
        <f t="shared" si="36"/>
        <v>0</v>
      </c>
      <c r="N396">
        <f t="shared" si="34"/>
        <v>0</v>
      </c>
      <c r="P396" t="e">
        <f>INDEX(Items!B$2:B$1032,MATCH($O396,Items!$A$2:$A$1032,0))</f>
        <v>#N/A</v>
      </c>
      <c r="Q396" t="e">
        <f>INDEX(Items!C$2:C$1032,MATCH($O396,Items!$A$2:$A$1032,0))</f>
        <v>#N/A</v>
      </c>
      <c r="R396" t="e">
        <f>INDEX(Items!D$2:D$1032,MATCH($O396,Items!$A$2:$A$1032,0))</f>
        <v>#N/A</v>
      </c>
    </row>
    <row r="397" spans="1:18" x14ac:dyDescent="0.25">
      <c r="A397">
        <f t="shared" si="32"/>
        <v>1</v>
      </c>
      <c r="B397" t="str">
        <f t="shared" si="33"/>
        <v/>
      </c>
      <c r="C397">
        <f t="shared" si="35"/>
        <v>1</v>
      </c>
      <c r="D397" s="4"/>
      <c r="E397" t="s">
        <v>18</v>
      </c>
      <c r="F397" t="str">
        <f>INDEX(Establishment!B$2:B$1005,MATCH($E397,Establishment!$A$2:$A$1005,0))</f>
        <v xml:space="preserve"> </v>
      </c>
      <c r="G397" t="str">
        <f>INDEX(Establishment!C$2:C$1005,MATCH($E397,Establishment!$A$2:$A$1005,0))</f>
        <v xml:space="preserve"> </v>
      </c>
      <c r="M397">
        <f t="shared" si="36"/>
        <v>0</v>
      </c>
      <c r="N397">
        <f t="shared" si="34"/>
        <v>0</v>
      </c>
      <c r="P397" t="e">
        <f>INDEX(Items!B$2:B$1032,MATCH($O397,Items!$A$2:$A$1032,0))</f>
        <v>#N/A</v>
      </c>
      <c r="Q397" t="e">
        <f>INDEX(Items!C$2:C$1032,MATCH($O397,Items!$A$2:$A$1032,0))</f>
        <v>#N/A</v>
      </c>
      <c r="R397" t="e">
        <f>INDEX(Items!D$2:D$1032,MATCH($O397,Items!$A$2:$A$1032,0))</f>
        <v>#N/A</v>
      </c>
    </row>
    <row r="398" spans="1:18" x14ac:dyDescent="0.25">
      <c r="A398">
        <f t="shared" si="32"/>
        <v>1</v>
      </c>
      <c r="B398" t="str">
        <f t="shared" si="33"/>
        <v/>
      </c>
      <c r="C398">
        <f t="shared" si="35"/>
        <v>1</v>
      </c>
      <c r="D398" s="4"/>
      <c r="E398" t="s">
        <v>18</v>
      </c>
      <c r="F398" t="str">
        <f>INDEX(Establishment!B$2:B$1005,MATCH($E398,Establishment!$A$2:$A$1005,0))</f>
        <v xml:space="preserve"> </v>
      </c>
      <c r="G398" t="str">
        <f>INDEX(Establishment!C$2:C$1005,MATCH($E398,Establishment!$A$2:$A$1005,0))</f>
        <v xml:space="preserve"> </v>
      </c>
      <c r="M398">
        <f t="shared" si="36"/>
        <v>0</v>
      </c>
      <c r="N398">
        <f t="shared" si="34"/>
        <v>0</v>
      </c>
      <c r="P398" t="e">
        <f>INDEX(Items!B$2:B$1032,MATCH($O398,Items!$A$2:$A$1032,0))</f>
        <v>#N/A</v>
      </c>
      <c r="Q398" t="e">
        <f>INDEX(Items!C$2:C$1032,MATCH($O398,Items!$A$2:$A$1032,0))</f>
        <v>#N/A</v>
      </c>
      <c r="R398" t="e">
        <f>INDEX(Items!D$2:D$1032,MATCH($O398,Items!$A$2:$A$1032,0))</f>
        <v>#N/A</v>
      </c>
    </row>
    <row r="399" spans="1:18" x14ac:dyDescent="0.25">
      <c r="A399">
        <f t="shared" si="32"/>
        <v>1</v>
      </c>
      <c r="B399" t="str">
        <f t="shared" si="33"/>
        <v/>
      </c>
      <c r="C399">
        <f t="shared" si="35"/>
        <v>1</v>
      </c>
      <c r="D399" s="4"/>
      <c r="E399" t="s">
        <v>18</v>
      </c>
      <c r="F399" t="str">
        <f>INDEX(Establishment!B$2:B$1005,MATCH($E399,Establishment!$A$2:$A$1005,0))</f>
        <v xml:space="preserve"> </v>
      </c>
      <c r="G399" t="str">
        <f>INDEX(Establishment!C$2:C$1005,MATCH($E399,Establishment!$A$2:$A$1005,0))</f>
        <v xml:space="preserve"> </v>
      </c>
      <c r="M399">
        <f t="shared" si="36"/>
        <v>0</v>
      </c>
      <c r="N399">
        <f t="shared" si="34"/>
        <v>0</v>
      </c>
      <c r="P399" t="e">
        <f>INDEX(Items!B$2:B$1032,MATCH($O399,Items!$A$2:$A$1032,0))</f>
        <v>#N/A</v>
      </c>
      <c r="Q399" t="e">
        <f>INDEX(Items!C$2:C$1032,MATCH($O399,Items!$A$2:$A$1032,0))</f>
        <v>#N/A</v>
      </c>
      <c r="R399" t="e">
        <f>INDEX(Items!D$2:D$1032,MATCH($O399,Items!$A$2:$A$1032,0))</f>
        <v>#N/A</v>
      </c>
    </row>
    <row r="400" spans="1:18" x14ac:dyDescent="0.25">
      <c r="A400">
        <f t="shared" si="32"/>
        <v>1</v>
      </c>
      <c r="B400" t="str">
        <f t="shared" si="33"/>
        <v/>
      </c>
      <c r="C400">
        <f t="shared" si="35"/>
        <v>1</v>
      </c>
      <c r="D400" s="4"/>
      <c r="E400" t="s">
        <v>18</v>
      </c>
      <c r="F400" t="str">
        <f>INDEX(Establishment!B$2:B$1005,MATCH($E400,Establishment!$A$2:$A$1005,0))</f>
        <v xml:space="preserve"> </v>
      </c>
      <c r="G400" t="str">
        <f>INDEX(Establishment!C$2:C$1005,MATCH($E400,Establishment!$A$2:$A$1005,0))</f>
        <v xml:space="preserve"> </v>
      </c>
      <c r="M400">
        <f t="shared" si="36"/>
        <v>0</v>
      </c>
      <c r="N400">
        <f t="shared" si="34"/>
        <v>0</v>
      </c>
      <c r="P400" t="e">
        <f>INDEX(Items!B$2:B$1032,MATCH($O400,Items!$A$2:$A$1032,0))</f>
        <v>#N/A</v>
      </c>
      <c r="Q400" t="e">
        <f>INDEX(Items!C$2:C$1032,MATCH($O400,Items!$A$2:$A$1032,0))</f>
        <v>#N/A</v>
      </c>
      <c r="R400" t="e">
        <f>INDEX(Items!D$2:D$1032,MATCH($O400,Items!$A$2:$A$1032,0))</f>
        <v>#N/A</v>
      </c>
    </row>
    <row r="401" spans="1:18" x14ac:dyDescent="0.25">
      <c r="A401">
        <f t="shared" si="32"/>
        <v>1</v>
      </c>
      <c r="B401" t="str">
        <f t="shared" si="33"/>
        <v/>
      </c>
      <c r="C401">
        <f t="shared" si="35"/>
        <v>1</v>
      </c>
      <c r="D401" s="4"/>
      <c r="E401" t="s">
        <v>18</v>
      </c>
      <c r="F401" t="str">
        <f>INDEX(Establishment!B$2:B$1005,MATCH($E401,Establishment!$A$2:$A$1005,0))</f>
        <v xml:space="preserve"> </v>
      </c>
      <c r="G401" t="str">
        <f>INDEX(Establishment!C$2:C$1005,MATCH($E401,Establishment!$A$2:$A$1005,0))</f>
        <v xml:space="preserve"> </v>
      </c>
      <c r="M401">
        <f t="shared" si="36"/>
        <v>0</v>
      </c>
      <c r="N401">
        <f t="shared" si="34"/>
        <v>0</v>
      </c>
      <c r="P401" t="e">
        <f>INDEX(Items!B$2:B$1032,MATCH($O401,Items!$A$2:$A$1032,0))</f>
        <v>#N/A</v>
      </c>
      <c r="Q401" t="e">
        <f>INDEX(Items!C$2:C$1032,MATCH($O401,Items!$A$2:$A$1032,0))</f>
        <v>#N/A</v>
      </c>
      <c r="R401" t="e">
        <f>INDEX(Items!D$2:D$1032,MATCH($O401,Items!$A$2:$A$1032,0))</f>
        <v>#N/A</v>
      </c>
    </row>
    <row r="402" spans="1:18" x14ac:dyDescent="0.25">
      <c r="A402">
        <f t="shared" si="32"/>
        <v>1</v>
      </c>
      <c r="B402" t="str">
        <f t="shared" si="33"/>
        <v/>
      </c>
      <c r="C402">
        <f t="shared" si="35"/>
        <v>1</v>
      </c>
      <c r="D402" s="4"/>
      <c r="E402" t="s">
        <v>18</v>
      </c>
      <c r="F402" t="str">
        <f>INDEX(Establishment!B$2:B$1005,MATCH($E402,Establishment!$A$2:$A$1005,0))</f>
        <v xml:space="preserve"> </v>
      </c>
      <c r="G402" t="str">
        <f>INDEX(Establishment!C$2:C$1005,MATCH($E402,Establishment!$A$2:$A$1005,0))</f>
        <v xml:space="preserve"> </v>
      </c>
      <c r="M402">
        <f t="shared" si="36"/>
        <v>0</v>
      </c>
      <c r="N402">
        <f t="shared" si="34"/>
        <v>0</v>
      </c>
      <c r="P402" t="e">
        <f>INDEX(Items!B$2:B$1032,MATCH($O402,Items!$A$2:$A$1032,0))</f>
        <v>#N/A</v>
      </c>
      <c r="Q402" t="e">
        <f>INDEX(Items!C$2:C$1032,MATCH($O402,Items!$A$2:$A$1032,0))</f>
        <v>#N/A</v>
      </c>
      <c r="R402" t="e">
        <f>INDEX(Items!D$2:D$1032,MATCH($O402,Items!$A$2:$A$1032,0))</f>
        <v>#N/A</v>
      </c>
    </row>
    <row r="403" spans="1:18" x14ac:dyDescent="0.25">
      <c r="A403">
        <f t="shared" si="32"/>
        <v>1</v>
      </c>
      <c r="B403" t="str">
        <f t="shared" si="33"/>
        <v/>
      </c>
      <c r="C403">
        <f t="shared" si="35"/>
        <v>1</v>
      </c>
      <c r="D403" s="4"/>
      <c r="E403" t="s">
        <v>18</v>
      </c>
      <c r="F403" t="str">
        <f>INDEX(Establishment!B$2:B$1005,MATCH($E403,Establishment!$A$2:$A$1005,0))</f>
        <v xml:space="preserve"> </v>
      </c>
      <c r="G403" t="str">
        <f>INDEX(Establishment!C$2:C$1005,MATCH($E403,Establishment!$A$2:$A$1005,0))</f>
        <v xml:space="preserve"> </v>
      </c>
      <c r="M403">
        <f t="shared" si="36"/>
        <v>0</v>
      </c>
      <c r="N403">
        <f t="shared" si="34"/>
        <v>0</v>
      </c>
      <c r="P403" t="e">
        <f>INDEX(Items!B$2:B$1032,MATCH($O403,Items!$A$2:$A$1032,0))</f>
        <v>#N/A</v>
      </c>
      <c r="Q403" t="e">
        <f>INDEX(Items!C$2:C$1032,MATCH($O403,Items!$A$2:$A$1032,0))</f>
        <v>#N/A</v>
      </c>
      <c r="R403" t="e">
        <f>INDEX(Items!D$2:D$1032,MATCH($O403,Items!$A$2:$A$1032,0))</f>
        <v>#N/A</v>
      </c>
    </row>
    <row r="404" spans="1:18" x14ac:dyDescent="0.25">
      <c r="A404">
        <f t="shared" si="32"/>
        <v>1</v>
      </c>
      <c r="B404" t="str">
        <f t="shared" si="33"/>
        <v/>
      </c>
      <c r="C404">
        <f t="shared" si="35"/>
        <v>1</v>
      </c>
      <c r="D404" s="4"/>
      <c r="E404" t="s">
        <v>18</v>
      </c>
      <c r="F404" t="str">
        <f>INDEX(Establishment!B$2:B$1005,MATCH($E404,Establishment!$A$2:$A$1005,0))</f>
        <v xml:space="preserve"> </v>
      </c>
      <c r="G404" t="str">
        <f>INDEX(Establishment!C$2:C$1005,MATCH($E404,Establishment!$A$2:$A$1005,0))</f>
        <v xml:space="preserve"> </v>
      </c>
      <c r="M404">
        <f t="shared" si="36"/>
        <v>0</v>
      </c>
      <c r="N404">
        <f t="shared" si="34"/>
        <v>0</v>
      </c>
      <c r="P404" t="e">
        <f>INDEX(Items!B$2:B$1032,MATCH($O404,Items!$A$2:$A$1032,0))</f>
        <v>#N/A</v>
      </c>
      <c r="Q404" t="e">
        <f>INDEX(Items!C$2:C$1032,MATCH($O404,Items!$A$2:$A$1032,0))</f>
        <v>#N/A</v>
      </c>
      <c r="R404" t="e">
        <f>INDEX(Items!D$2:D$1032,MATCH($O404,Items!$A$2:$A$1032,0))</f>
        <v>#N/A</v>
      </c>
    </row>
    <row r="405" spans="1:18" x14ac:dyDescent="0.25">
      <c r="A405">
        <f t="shared" si="32"/>
        <v>1</v>
      </c>
      <c r="B405" t="str">
        <f t="shared" si="33"/>
        <v/>
      </c>
      <c r="C405">
        <f t="shared" si="35"/>
        <v>1</v>
      </c>
      <c r="D405" s="4"/>
      <c r="E405" t="s">
        <v>18</v>
      </c>
      <c r="F405" t="str">
        <f>INDEX(Establishment!B$2:B$1005,MATCH($E405,Establishment!$A$2:$A$1005,0))</f>
        <v xml:space="preserve"> </v>
      </c>
      <c r="G405" t="str">
        <f>INDEX(Establishment!C$2:C$1005,MATCH($E405,Establishment!$A$2:$A$1005,0))</f>
        <v xml:space="preserve"> </v>
      </c>
      <c r="M405">
        <f t="shared" si="36"/>
        <v>0</v>
      </c>
      <c r="N405">
        <f t="shared" si="34"/>
        <v>0</v>
      </c>
      <c r="P405" t="e">
        <f>INDEX(Items!B$2:B$1032,MATCH($O405,Items!$A$2:$A$1032,0))</f>
        <v>#N/A</v>
      </c>
      <c r="Q405" t="e">
        <f>INDEX(Items!C$2:C$1032,MATCH($O405,Items!$A$2:$A$1032,0))</f>
        <v>#N/A</v>
      </c>
      <c r="R405" t="e">
        <f>INDEX(Items!D$2:D$1032,MATCH($O405,Items!$A$2:$A$1032,0))</f>
        <v>#N/A</v>
      </c>
    </row>
    <row r="406" spans="1:18" x14ac:dyDescent="0.25">
      <c r="A406">
        <f t="shared" si="32"/>
        <v>1</v>
      </c>
      <c r="B406" t="str">
        <f t="shared" si="33"/>
        <v/>
      </c>
      <c r="C406">
        <f t="shared" si="35"/>
        <v>1</v>
      </c>
      <c r="D406" s="4"/>
      <c r="E406" t="s">
        <v>18</v>
      </c>
      <c r="F406" t="str">
        <f>INDEX(Establishment!B$2:B$1005,MATCH($E406,Establishment!$A$2:$A$1005,0))</f>
        <v xml:space="preserve"> </v>
      </c>
      <c r="G406" t="str">
        <f>INDEX(Establishment!C$2:C$1005,MATCH($E406,Establishment!$A$2:$A$1005,0))</f>
        <v xml:space="preserve"> </v>
      </c>
      <c r="M406">
        <f t="shared" si="36"/>
        <v>0</v>
      </c>
      <c r="N406">
        <f t="shared" si="34"/>
        <v>0</v>
      </c>
      <c r="P406" t="e">
        <f>INDEX(Items!B$2:B$1032,MATCH($O406,Items!$A$2:$A$1032,0))</f>
        <v>#N/A</v>
      </c>
      <c r="Q406" t="e">
        <f>INDEX(Items!C$2:C$1032,MATCH($O406,Items!$A$2:$A$1032,0))</f>
        <v>#N/A</v>
      </c>
      <c r="R406" t="e">
        <f>INDEX(Items!D$2:D$1032,MATCH($O406,Items!$A$2:$A$1032,0))</f>
        <v>#N/A</v>
      </c>
    </row>
    <row r="407" spans="1:18" x14ac:dyDescent="0.25">
      <c r="A407">
        <f t="shared" si="32"/>
        <v>1</v>
      </c>
      <c r="B407" t="str">
        <f t="shared" si="33"/>
        <v/>
      </c>
      <c r="C407">
        <f t="shared" si="35"/>
        <v>1</v>
      </c>
      <c r="D407" s="4"/>
      <c r="E407" t="s">
        <v>18</v>
      </c>
      <c r="F407" t="str">
        <f>INDEX(Establishment!B$2:B$1005,MATCH($E407,Establishment!$A$2:$A$1005,0))</f>
        <v xml:space="preserve"> </v>
      </c>
      <c r="G407" t="str">
        <f>INDEX(Establishment!C$2:C$1005,MATCH($E407,Establishment!$A$2:$A$1005,0))</f>
        <v xml:space="preserve"> </v>
      </c>
      <c r="M407">
        <f t="shared" si="36"/>
        <v>0</v>
      </c>
      <c r="N407">
        <f t="shared" si="34"/>
        <v>0</v>
      </c>
      <c r="P407" t="e">
        <f>INDEX(Items!B$2:B$1032,MATCH($O407,Items!$A$2:$A$1032,0))</f>
        <v>#N/A</v>
      </c>
      <c r="Q407" t="e">
        <f>INDEX(Items!C$2:C$1032,MATCH($O407,Items!$A$2:$A$1032,0))</f>
        <v>#N/A</v>
      </c>
      <c r="R407" t="e">
        <f>INDEX(Items!D$2:D$1032,MATCH($O407,Items!$A$2:$A$1032,0))</f>
        <v>#N/A</v>
      </c>
    </row>
    <row r="408" spans="1:18" x14ac:dyDescent="0.25">
      <c r="A408">
        <f t="shared" si="32"/>
        <v>1</v>
      </c>
      <c r="B408" t="str">
        <f t="shared" si="33"/>
        <v/>
      </c>
      <c r="C408">
        <f t="shared" si="35"/>
        <v>1</v>
      </c>
      <c r="D408" s="4"/>
      <c r="E408" t="s">
        <v>18</v>
      </c>
      <c r="F408" t="str">
        <f>INDEX(Establishment!B$2:B$1005,MATCH($E408,Establishment!$A$2:$A$1005,0))</f>
        <v xml:space="preserve"> </v>
      </c>
      <c r="G408" t="str">
        <f>INDEX(Establishment!C$2:C$1005,MATCH($E408,Establishment!$A$2:$A$1005,0))</f>
        <v xml:space="preserve"> </v>
      </c>
      <c r="M408">
        <f t="shared" si="36"/>
        <v>0</v>
      </c>
      <c r="N408">
        <f t="shared" si="34"/>
        <v>0</v>
      </c>
      <c r="P408" t="e">
        <f>INDEX(Items!B$2:B$1032,MATCH($O408,Items!$A$2:$A$1032,0))</f>
        <v>#N/A</v>
      </c>
      <c r="Q408" t="e">
        <f>INDEX(Items!C$2:C$1032,MATCH($O408,Items!$A$2:$A$1032,0))</f>
        <v>#N/A</v>
      </c>
      <c r="R408" t="e">
        <f>INDEX(Items!D$2:D$1032,MATCH($O408,Items!$A$2:$A$1032,0))</f>
        <v>#N/A</v>
      </c>
    </row>
    <row r="409" spans="1:18" x14ac:dyDescent="0.25">
      <c r="A409">
        <f t="shared" si="32"/>
        <v>1</v>
      </c>
      <c r="B409" t="str">
        <f t="shared" si="33"/>
        <v/>
      </c>
      <c r="C409">
        <f t="shared" si="35"/>
        <v>1</v>
      </c>
      <c r="D409" s="4"/>
      <c r="E409" t="s">
        <v>18</v>
      </c>
      <c r="F409" t="str">
        <f>INDEX(Establishment!B$2:B$1005,MATCH($E409,Establishment!$A$2:$A$1005,0))</f>
        <v xml:space="preserve"> </v>
      </c>
      <c r="G409" t="str">
        <f>INDEX(Establishment!C$2:C$1005,MATCH($E409,Establishment!$A$2:$A$1005,0))</f>
        <v xml:space="preserve"> </v>
      </c>
      <c r="M409">
        <f t="shared" si="36"/>
        <v>0</v>
      </c>
      <c r="N409">
        <f t="shared" si="34"/>
        <v>0</v>
      </c>
      <c r="P409" t="e">
        <f>INDEX(Items!B$2:B$1032,MATCH($O409,Items!$A$2:$A$1032,0))</f>
        <v>#N/A</v>
      </c>
      <c r="Q409" t="e">
        <f>INDEX(Items!C$2:C$1032,MATCH($O409,Items!$A$2:$A$1032,0))</f>
        <v>#N/A</v>
      </c>
      <c r="R409" t="e">
        <f>INDEX(Items!D$2:D$1032,MATCH($O409,Items!$A$2:$A$1032,0))</f>
        <v>#N/A</v>
      </c>
    </row>
    <row r="410" spans="1:18" x14ac:dyDescent="0.25">
      <c r="A410">
        <f t="shared" si="32"/>
        <v>1</v>
      </c>
      <c r="B410" t="str">
        <f t="shared" si="33"/>
        <v/>
      </c>
      <c r="C410">
        <f t="shared" si="35"/>
        <v>1</v>
      </c>
      <c r="D410" s="4"/>
      <c r="E410" t="s">
        <v>18</v>
      </c>
      <c r="F410" t="str">
        <f>INDEX(Establishment!B$2:B$1005,MATCH($E410,Establishment!$A$2:$A$1005,0))</f>
        <v xml:space="preserve"> </v>
      </c>
      <c r="G410" t="str">
        <f>INDEX(Establishment!C$2:C$1005,MATCH($E410,Establishment!$A$2:$A$1005,0))</f>
        <v xml:space="preserve"> </v>
      </c>
      <c r="M410">
        <f t="shared" si="36"/>
        <v>0</v>
      </c>
      <c r="N410">
        <f t="shared" si="34"/>
        <v>0</v>
      </c>
      <c r="P410" t="e">
        <f>INDEX(Items!B$2:B$1032,MATCH($O410,Items!$A$2:$A$1032,0))</f>
        <v>#N/A</v>
      </c>
      <c r="Q410" t="e">
        <f>INDEX(Items!C$2:C$1032,MATCH($O410,Items!$A$2:$A$1032,0))</f>
        <v>#N/A</v>
      </c>
      <c r="R410" t="e">
        <f>INDEX(Items!D$2:D$1032,MATCH($O410,Items!$A$2:$A$1032,0))</f>
        <v>#N/A</v>
      </c>
    </row>
    <row r="411" spans="1:18" x14ac:dyDescent="0.25">
      <c r="A411">
        <f t="shared" si="32"/>
        <v>1</v>
      </c>
      <c r="B411" t="str">
        <f t="shared" si="33"/>
        <v/>
      </c>
      <c r="C411">
        <f t="shared" si="35"/>
        <v>1</v>
      </c>
      <c r="D411" s="4"/>
      <c r="E411" t="s">
        <v>18</v>
      </c>
      <c r="F411" t="str">
        <f>INDEX(Establishment!B$2:B$1005,MATCH($E411,Establishment!$A$2:$A$1005,0))</f>
        <v xml:space="preserve"> </v>
      </c>
      <c r="G411" t="str">
        <f>INDEX(Establishment!C$2:C$1005,MATCH($E411,Establishment!$A$2:$A$1005,0))</f>
        <v xml:space="preserve"> </v>
      </c>
      <c r="M411">
        <f t="shared" si="36"/>
        <v>0</v>
      </c>
      <c r="N411">
        <f t="shared" si="34"/>
        <v>0</v>
      </c>
      <c r="P411" t="e">
        <f>INDEX(Items!B$2:B$1032,MATCH($O411,Items!$A$2:$A$1032,0))</f>
        <v>#N/A</v>
      </c>
      <c r="Q411" t="e">
        <f>INDEX(Items!C$2:C$1032,MATCH($O411,Items!$A$2:$A$1032,0))</f>
        <v>#N/A</v>
      </c>
      <c r="R411" t="e">
        <f>INDEX(Items!D$2:D$1032,MATCH($O411,Items!$A$2:$A$1032,0))</f>
        <v>#N/A</v>
      </c>
    </row>
    <row r="412" spans="1:18" x14ac:dyDescent="0.25">
      <c r="A412">
        <f t="shared" si="32"/>
        <v>1</v>
      </c>
      <c r="B412" t="str">
        <f t="shared" si="33"/>
        <v/>
      </c>
      <c r="C412">
        <f t="shared" si="35"/>
        <v>1</v>
      </c>
      <c r="D412" s="4"/>
      <c r="E412" t="s">
        <v>18</v>
      </c>
      <c r="F412" t="str">
        <f>INDEX(Establishment!B$2:B$1005,MATCH($E412,Establishment!$A$2:$A$1005,0))</f>
        <v xml:space="preserve"> </v>
      </c>
      <c r="G412" t="str">
        <f>INDEX(Establishment!C$2:C$1005,MATCH($E412,Establishment!$A$2:$A$1005,0))</f>
        <v xml:space="preserve"> </v>
      </c>
      <c r="M412">
        <f t="shared" si="36"/>
        <v>0</v>
      </c>
      <c r="N412">
        <f t="shared" si="34"/>
        <v>0</v>
      </c>
      <c r="P412" t="e">
        <f>INDEX(Items!B$2:B$1032,MATCH($O412,Items!$A$2:$A$1032,0))</f>
        <v>#N/A</v>
      </c>
      <c r="Q412" t="e">
        <f>INDEX(Items!C$2:C$1032,MATCH($O412,Items!$A$2:$A$1032,0))</f>
        <v>#N/A</v>
      </c>
      <c r="R412" t="e">
        <f>INDEX(Items!D$2:D$1032,MATCH($O412,Items!$A$2:$A$1032,0))</f>
        <v>#N/A</v>
      </c>
    </row>
    <row r="413" spans="1:18" x14ac:dyDescent="0.25">
      <c r="A413">
        <f t="shared" si="32"/>
        <v>1</v>
      </c>
      <c r="B413" t="str">
        <f t="shared" si="33"/>
        <v/>
      </c>
      <c r="C413">
        <f t="shared" si="35"/>
        <v>1</v>
      </c>
      <c r="D413" s="4"/>
      <c r="E413" t="s">
        <v>18</v>
      </c>
      <c r="F413" t="str">
        <f>INDEX(Establishment!B$2:B$1005,MATCH($E413,Establishment!$A$2:$A$1005,0))</f>
        <v xml:space="preserve"> </v>
      </c>
      <c r="G413" t="str">
        <f>INDEX(Establishment!C$2:C$1005,MATCH($E413,Establishment!$A$2:$A$1005,0))</f>
        <v xml:space="preserve"> </v>
      </c>
      <c r="M413">
        <f t="shared" si="36"/>
        <v>0</v>
      </c>
      <c r="N413">
        <f t="shared" si="34"/>
        <v>0</v>
      </c>
      <c r="P413" t="e">
        <f>INDEX(Items!B$2:B$1032,MATCH($O413,Items!$A$2:$A$1032,0))</f>
        <v>#N/A</v>
      </c>
      <c r="Q413" t="e">
        <f>INDEX(Items!C$2:C$1032,MATCH($O413,Items!$A$2:$A$1032,0))</f>
        <v>#N/A</v>
      </c>
      <c r="R413" t="e">
        <f>INDEX(Items!D$2:D$1032,MATCH($O413,Items!$A$2:$A$1032,0))</f>
        <v>#N/A</v>
      </c>
    </row>
    <row r="414" spans="1:18" x14ac:dyDescent="0.25">
      <c r="A414">
        <f t="shared" si="32"/>
        <v>1</v>
      </c>
      <c r="B414" t="str">
        <f t="shared" si="33"/>
        <v/>
      </c>
      <c r="C414">
        <f t="shared" si="35"/>
        <v>1</v>
      </c>
      <c r="D414" s="4"/>
      <c r="E414" t="s">
        <v>18</v>
      </c>
      <c r="F414" t="str">
        <f>INDEX(Establishment!B$2:B$1005,MATCH($E414,Establishment!$A$2:$A$1005,0))</f>
        <v xml:space="preserve"> </v>
      </c>
      <c r="G414" t="str">
        <f>INDEX(Establishment!C$2:C$1005,MATCH($E414,Establishment!$A$2:$A$1005,0))</f>
        <v xml:space="preserve"> </v>
      </c>
      <c r="M414">
        <f t="shared" si="36"/>
        <v>0</v>
      </c>
      <c r="N414">
        <f t="shared" si="34"/>
        <v>0</v>
      </c>
      <c r="P414" t="e">
        <f>INDEX(Items!B$2:B$1032,MATCH($O414,Items!$A$2:$A$1032,0))</f>
        <v>#N/A</v>
      </c>
      <c r="Q414" t="e">
        <f>INDEX(Items!C$2:C$1032,MATCH($O414,Items!$A$2:$A$1032,0))</f>
        <v>#N/A</v>
      </c>
      <c r="R414" t="e">
        <f>INDEX(Items!D$2:D$1032,MATCH($O414,Items!$A$2:$A$1032,0))</f>
        <v>#N/A</v>
      </c>
    </row>
    <row r="415" spans="1:18" x14ac:dyDescent="0.25">
      <c r="A415">
        <f t="shared" si="32"/>
        <v>1</v>
      </c>
      <c r="B415" t="str">
        <f t="shared" si="33"/>
        <v/>
      </c>
      <c r="C415">
        <f t="shared" si="35"/>
        <v>1</v>
      </c>
      <c r="D415" s="4"/>
      <c r="E415" t="s">
        <v>18</v>
      </c>
      <c r="F415" t="str">
        <f>INDEX(Establishment!B$2:B$1005,MATCH($E415,Establishment!$A$2:$A$1005,0))</f>
        <v xml:space="preserve"> </v>
      </c>
      <c r="G415" t="str">
        <f>INDEX(Establishment!C$2:C$1005,MATCH($E415,Establishment!$A$2:$A$1005,0))</f>
        <v xml:space="preserve"> </v>
      </c>
      <c r="M415">
        <f t="shared" si="36"/>
        <v>0</v>
      </c>
      <c r="N415">
        <f t="shared" si="34"/>
        <v>0</v>
      </c>
      <c r="P415" t="e">
        <f>INDEX(Items!B$2:B$1032,MATCH($O415,Items!$A$2:$A$1032,0))</f>
        <v>#N/A</v>
      </c>
      <c r="Q415" t="e">
        <f>INDEX(Items!C$2:C$1032,MATCH($O415,Items!$A$2:$A$1032,0))</f>
        <v>#N/A</v>
      </c>
      <c r="R415" t="e">
        <f>INDEX(Items!D$2:D$1032,MATCH($O415,Items!$A$2:$A$1032,0))</f>
        <v>#N/A</v>
      </c>
    </row>
    <row r="416" spans="1:18" x14ac:dyDescent="0.25">
      <c r="A416">
        <f t="shared" si="32"/>
        <v>1</v>
      </c>
      <c r="B416" t="str">
        <f t="shared" si="33"/>
        <v/>
      </c>
      <c r="C416">
        <f t="shared" si="35"/>
        <v>1</v>
      </c>
      <c r="D416" s="4"/>
      <c r="E416" t="s">
        <v>18</v>
      </c>
      <c r="F416" t="str">
        <f>INDEX(Establishment!B$2:B$1005,MATCH($E416,Establishment!$A$2:$A$1005,0))</f>
        <v xml:space="preserve"> </v>
      </c>
      <c r="G416" t="str">
        <f>INDEX(Establishment!C$2:C$1005,MATCH($E416,Establishment!$A$2:$A$1005,0))</f>
        <v xml:space="preserve"> </v>
      </c>
      <c r="M416">
        <f t="shared" si="36"/>
        <v>0</v>
      </c>
      <c r="N416">
        <f t="shared" si="34"/>
        <v>0</v>
      </c>
      <c r="P416" t="e">
        <f>INDEX(Items!B$2:B$1032,MATCH($O416,Items!$A$2:$A$1032,0))</f>
        <v>#N/A</v>
      </c>
      <c r="Q416" t="e">
        <f>INDEX(Items!C$2:C$1032,MATCH($O416,Items!$A$2:$A$1032,0))</f>
        <v>#N/A</v>
      </c>
      <c r="R416" t="e">
        <f>INDEX(Items!D$2:D$1032,MATCH($O416,Items!$A$2:$A$1032,0))</f>
        <v>#N/A</v>
      </c>
    </row>
    <row r="417" spans="1:18" x14ac:dyDescent="0.25">
      <c r="A417">
        <f t="shared" si="32"/>
        <v>1</v>
      </c>
      <c r="B417" t="str">
        <f t="shared" si="33"/>
        <v/>
      </c>
      <c r="C417">
        <f t="shared" si="35"/>
        <v>1</v>
      </c>
      <c r="D417" s="4"/>
      <c r="E417" t="s">
        <v>18</v>
      </c>
      <c r="F417" t="str">
        <f>INDEX(Establishment!B$2:B$1005,MATCH($E417,Establishment!$A$2:$A$1005,0))</f>
        <v xml:space="preserve"> </v>
      </c>
      <c r="G417" t="str">
        <f>INDEX(Establishment!C$2:C$1005,MATCH($E417,Establishment!$A$2:$A$1005,0))</f>
        <v xml:space="preserve"> </v>
      </c>
      <c r="M417">
        <f t="shared" si="36"/>
        <v>0</v>
      </c>
      <c r="N417">
        <f t="shared" si="34"/>
        <v>0</v>
      </c>
      <c r="P417" t="e">
        <f>INDEX(Items!B$2:B$1032,MATCH($O417,Items!$A$2:$A$1032,0))</f>
        <v>#N/A</v>
      </c>
      <c r="Q417" t="e">
        <f>INDEX(Items!C$2:C$1032,MATCH($O417,Items!$A$2:$A$1032,0))</f>
        <v>#N/A</v>
      </c>
      <c r="R417" t="e">
        <f>INDEX(Items!D$2:D$1032,MATCH($O417,Items!$A$2:$A$1032,0))</f>
        <v>#N/A</v>
      </c>
    </row>
    <row r="418" spans="1:18" x14ac:dyDescent="0.25">
      <c r="A418">
        <f t="shared" si="32"/>
        <v>1</v>
      </c>
      <c r="B418" t="str">
        <f t="shared" si="33"/>
        <v/>
      </c>
      <c r="C418">
        <f t="shared" si="35"/>
        <v>1</v>
      </c>
      <c r="D418" s="4"/>
      <c r="E418" t="s">
        <v>18</v>
      </c>
      <c r="F418" t="str">
        <f>INDEX(Establishment!B$2:B$1005,MATCH($E418,Establishment!$A$2:$A$1005,0))</f>
        <v xml:space="preserve"> </v>
      </c>
      <c r="G418" t="str">
        <f>INDEX(Establishment!C$2:C$1005,MATCH($E418,Establishment!$A$2:$A$1005,0))</f>
        <v xml:space="preserve"> </v>
      </c>
      <c r="M418">
        <f t="shared" si="36"/>
        <v>0</v>
      </c>
      <c r="N418">
        <f t="shared" si="34"/>
        <v>0</v>
      </c>
      <c r="P418" t="e">
        <f>INDEX(Items!B$2:B$1032,MATCH($O418,Items!$A$2:$A$1032,0))</f>
        <v>#N/A</v>
      </c>
      <c r="Q418" t="e">
        <f>INDEX(Items!C$2:C$1032,MATCH($O418,Items!$A$2:$A$1032,0))</f>
        <v>#N/A</v>
      </c>
      <c r="R418" t="e">
        <f>INDEX(Items!D$2:D$1032,MATCH($O418,Items!$A$2:$A$1032,0))</f>
        <v>#N/A</v>
      </c>
    </row>
    <row r="419" spans="1:18" x14ac:dyDescent="0.25">
      <c r="A419">
        <f t="shared" si="32"/>
        <v>1</v>
      </c>
      <c r="B419" t="str">
        <f t="shared" si="33"/>
        <v/>
      </c>
      <c r="C419">
        <f t="shared" si="35"/>
        <v>1</v>
      </c>
      <c r="D419" s="4"/>
      <c r="E419" t="s">
        <v>18</v>
      </c>
      <c r="F419" t="str">
        <f>INDEX(Establishment!B$2:B$1005,MATCH($E419,Establishment!$A$2:$A$1005,0))</f>
        <v xml:space="preserve"> </v>
      </c>
      <c r="G419" t="str">
        <f>INDEX(Establishment!C$2:C$1005,MATCH($E419,Establishment!$A$2:$A$1005,0))</f>
        <v xml:space="preserve"> </v>
      </c>
      <c r="M419">
        <f t="shared" si="36"/>
        <v>0</v>
      </c>
      <c r="N419">
        <f t="shared" si="34"/>
        <v>0</v>
      </c>
      <c r="P419" t="e">
        <f>INDEX(Items!B$2:B$1032,MATCH($O419,Items!$A$2:$A$1032,0))</f>
        <v>#N/A</v>
      </c>
      <c r="Q419" t="e">
        <f>INDEX(Items!C$2:C$1032,MATCH($O419,Items!$A$2:$A$1032,0))</f>
        <v>#N/A</v>
      </c>
      <c r="R419" t="e">
        <f>INDEX(Items!D$2:D$1032,MATCH($O419,Items!$A$2:$A$1032,0))</f>
        <v>#N/A</v>
      </c>
    </row>
    <row r="420" spans="1:18" x14ac:dyDescent="0.25">
      <c r="A420">
        <f t="shared" si="32"/>
        <v>1</v>
      </c>
      <c r="B420" t="str">
        <f t="shared" si="33"/>
        <v/>
      </c>
      <c r="C420">
        <f t="shared" si="35"/>
        <v>1</v>
      </c>
      <c r="D420" s="4"/>
      <c r="E420" t="s">
        <v>18</v>
      </c>
      <c r="F420" t="str">
        <f>INDEX(Establishment!B$2:B$1005,MATCH($E420,Establishment!$A$2:$A$1005,0))</f>
        <v xml:space="preserve"> </v>
      </c>
      <c r="G420" t="str">
        <f>INDEX(Establishment!C$2:C$1005,MATCH($E420,Establishment!$A$2:$A$1005,0))</f>
        <v xml:space="preserve"> </v>
      </c>
      <c r="M420">
        <f t="shared" si="36"/>
        <v>0</v>
      </c>
      <c r="N420">
        <f t="shared" si="34"/>
        <v>0</v>
      </c>
      <c r="P420" t="e">
        <f>INDEX(Items!B$2:B$1032,MATCH($O420,Items!$A$2:$A$1032,0))</f>
        <v>#N/A</v>
      </c>
      <c r="Q420" t="e">
        <f>INDEX(Items!C$2:C$1032,MATCH($O420,Items!$A$2:$A$1032,0))</f>
        <v>#N/A</v>
      </c>
      <c r="R420" t="e">
        <f>INDEX(Items!D$2:D$1032,MATCH($O420,Items!$A$2:$A$1032,0))</f>
        <v>#N/A</v>
      </c>
    </row>
    <row r="421" spans="1:18" x14ac:dyDescent="0.25">
      <c r="A421">
        <f t="shared" si="32"/>
        <v>1</v>
      </c>
      <c r="B421" t="str">
        <f t="shared" si="33"/>
        <v/>
      </c>
      <c r="C421">
        <f t="shared" si="35"/>
        <v>1</v>
      </c>
      <c r="D421" s="4"/>
      <c r="E421" t="s">
        <v>18</v>
      </c>
      <c r="F421" t="str">
        <f>INDEX(Establishment!B$2:B$1005,MATCH($E421,Establishment!$A$2:$A$1005,0))</f>
        <v xml:space="preserve"> </v>
      </c>
      <c r="G421" t="str">
        <f>INDEX(Establishment!C$2:C$1005,MATCH($E421,Establishment!$A$2:$A$1005,0))</f>
        <v xml:space="preserve"> </v>
      </c>
      <c r="M421">
        <f t="shared" si="36"/>
        <v>0</v>
      </c>
      <c r="N421">
        <f t="shared" si="34"/>
        <v>0</v>
      </c>
      <c r="P421" t="e">
        <f>INDEX(Items!B$2:B$1032,MATCH($O421,Items!$A$2:$A$1032,0))</f>
        <v>#N/A</v>
      </c>
      <c r="Q421" t="e">
        <f>INDEX(Items!C$2:C$1032,MATCH($O421,Items!$A$2:$A$1032,0))</f>
        <v>#N/A</v>
      </c>
      <c r="R421" t="e">
        <f>INDEX(Items!D$2:D$1032,MATCH($O421,Items!$A$2:$A$1032,0))</f>
        <v>#N/A</v>
      </c>
    </row>
    <row r="422" spans="1:18" x14ac:dyDescent="0.25">
      <c r="A422">
        <f t="shared" si="32"/>
        <v>1</v>
      </c>
      <c r="B422" t="str">
        <f t="shared" si="33"/>
        <v/>
      </c>
      <c r="C422">
        <f t="shared" si="35"/>
        <v>1</v>
      </c>
      <c r="D422" s="4"/>
      <c r="E422" t="s">
        <v>18</v>
      </c>
      <c r="F422" t="str">
        <f>INDEX(Establishment!B$2:B$1005,MATCH($E422,Establishment!$A$2:$A$1005,0))</f>
        <v xml:space="preserve"> </v>
      </c>
      <c r="G422" t="str">
        <f>INDEX(Establishment!C$2:C$1005,MATCH($E422,Establishment!$A$2:$A$1005,0))</f>
        <v xml:space="preserve"> </v>
      </c>
      <c r="M422">
        <f t="shared" si="36"/>
        <v>0</v>
      </c>
      <c r="N422">
        <f t="shared" si="34"/>
        <v>0</v>
      </c>
      <c r="P422" t="e">
        <f>INDEX(Items!B$2:B$1032,MATCH($O422,Items!$A$2:$A$1032,0))</f>
        <v>#N/A</v>
      </c>
      <c r="Q422" t="e">
        <f>INDEX(Items!C$2:C$1032,MATCH($O422,Items!$A$2:$A$1032,0))</f>
        <v>#N/A</v>
      </c>
      <c r="R422" t="e">
        <f>INDEX(Items!D$2:D$1032,MATCH($O422,Items!$A$2:$A$1032,0))</f>
        <v>#N/A</v>
      </c>
    </row>
    <row r="423" spans="1:18" x14ac:dyDescent="0.25">
      <c r="A423">
        <f t="shared" si="32"/>
        <v>1</v>
      </c>
      <c r="B423" t="str">
        <f t="shared" si="33"/>
        <v/>
      </c>
      <c r="C423">
        <f t="shared" si="35"/>
        <v>1</v>
      </c>
      <c r="D423" s="4"/>
      <c r="E423" t="s">
        <v>18</v>
      </c>
      <c r="F423" t="str">
        <f>INDEX(Establishment!B$2:B$1005,MATCH($E423,Establishment!$A$2:$A$1005,0))</f>
        <v xml:space="preserve"> </v>
      </c>
      <c r="G423" t="str">
        <f>INDEX(Establishment!C$2:C$1005,MATCH($E423,Establishment!$A$2:$A$1005,0))</f>
        <v xml:space="preserve"> </v>
      </c>
      <c r="M423">
        <f t="shared" si="36"/>
        <v>0</v>
      </c>
      <c r="N423">
        <f t="shared" si="34"/>
        <v>0</v>
      </c>
      <c r="P423" t="e">
        <f>INDEX(Items!B$2:B$1032,MATCH($O423,Items!$A$2:$A$1032,0))</f>
        <v>#N/A</v>
      </c>
      <c r="Q423" t="e">
        <f>INDEX(Items!C$2:C$1032,MATCH($O423,Items!$A$2:$A$1032,0))</f>
        <v>#N/A</v>
      </c>
      <c r="R423" t="e">
        <f>INDEX(Items!D$2:D$1032,MATCH($O423,Items!$A$2:$A$1032,0))</f>
        <v>#N/A</v>
      </c>
    </row>
    <row r="424" spans="1:18" x14ac:dyDescent="0.25">
      <c r="A424">
        <f t="shared" si="32"/>
        <v>1</v>
      </c>
      <c r="B424" t="str">
        <f t="shared" si="33"/>
        <v/>
      </c>
      <c r="C424">
        <f t="shared" si="35"/>
        <v>1</v>
      </c>
      <c r="D424" s="4"/>
      <c r="E424" t="s">
        <v>18</v>
      </c>
      <c r="F424" t="str">
        <f>INDEX(Establishment!B$2:B$1005,MATCH($E424,Establishment!$A$2:$A$1005,0))</f>
        <v xml:space="preserve"> </v>
      </c>
      <c r="G424" t="str">
        <f>INDEX(Establishment!C$2:C$1005,MATCH($E424,Establishment!$A$2:$A$1005,0))</f>
        <v xml:space="preserve"> </v>
      </c>
      <c r="M424">
        <f t="shared" si="36"/>
        <v>0</v>
      </c>
      <c r="N424">
        <f t="shared" si="34"/>
        <v>0</v>
      </c>
      <c r="P424" t="e">
        <f>INDEX(Items!B$2:B$1032,MATCH($O424,Items!$A$2:$A$1032,0))</f>
        <v>#N/A</v>
      </c>
      <c r="Q424" t="e">
        <f>INDEX(Items!C$2:C$1032,MATCH($O424,Items!$A$2:$A$1032,0))</f>
        <v>#N/A</v>
      </c>
      <c r="R424" t="e">
        <f>INDEX(Items!D$2:D$1032,MATCH($O424,Items!$A$2:$A$1032,0))</f>
        <v>#N/A</v>
      </c>
    </row>
    <row r="425" spans="1:18" x14ac:dyDescent="0.25">
      <c r="A425">
        <f t="shared" si="32"/>
        <v>1</v>
      </c>
      <c r="B425" t="str">
        <f t="shared" si="33"/>
        <v/>
      </c>
      <c r="C425">
        <f t="shared" si="35"/>
        <v>1</v>
      </c>
      <c r="D425" s="4"/>
      <c r="E425" t="s">
        <v>18</v>
      </c>
      <c r="F425" t="str">
        <f>INDEX(Establishment!B$2:B$1005,MATCH($E425,Establishment!$A$2:$A$1005,0))</f>
        <v xml:space="preserve"> </v>
      </c>
      <c r="G425" t="str">
        <f>INDEX(Establishment!C$2:C$1005,MATCH($E425,Establishment!$A$2:$A$1005,0))</f>
        <v xml:space="preserve"> </v>
      </c>
      <c r="M425">
        <f t="shared" si="36"/>
        <v>0</v>
      </c>
      <c r="N425">
        <f t="shared" si="34"/>
        <v>0</v>
      </c>
      <c r="P425" t="e">
        <f>INDEX(Items!B$2:B$1032,MATCH($O425,Items!$A$2:$A$1032,0))</f>
        <v>#N/A</v>
      </c>
      <c r="Q425" t="e">
        <f>INDEX(Items!C$2:C$1032,MATCH($O425,Items!$A$2:$A$1032,0))</f>
        <v>#N/A</v>
      </c>
      <c r="R425" t="e">
        <f>INDEX(Items!D$2:D$1032,MATCH($O425,Items!$A$2:$A$1032,0))</f>
        <v>#N/A</v>
      </c>
    </row>
    <row r="426" spans="1:18" x14ac:dyDescent="0.25">
      <c r="A426">
        <f t="shared" si="32"/>
        <v>1</v>
      </c>
      <c r="B426" t="str">
        <f t="shared" si="33"/>
        <v/>
      </c>
      <c r="C426">
        <f t="shared" si="35"/>
        <v>1</v>
      </c>
      <c r="D426" s="4"/>
      <c r="E426" t="s">
        <v>18</v>
      </c>
      <c r="F426" t="str">
        <f>INDEX(Establishment!B$2:B$1005,MATCH($E426,Establishment!$A$2:$A$1005,0))</f>
        <v xml:space="preserve"> </v>
      </c>
      <c r="G426" t="str">
        <f>INDEX(Establishment!C$2:C$1005,MATCH($E426,Establishment!$A$2:$A$1005,0))</f>
        <v xml:space="preserve"> </v>
      </c>
      <c r="M426">
        <f t="shared" si="36"/>
        <v>0</v>
      </c>
      <c r="N426">
        <f t="shared" si="34"/>
        <v>0</v>
      </c>
      <c r="P426" t="e">
        <f>INDEX(Items!B$2:B$1032,MATCH($O426,Items!$A$2:$A$1032,0))</f>
        <v>#N/A</v>
      </c>
      <c r="Q426" t="e">
        <f>INDEX(Items!C$2:C$1032,MATCH($O426,Items!$A$2:$A$1032,0))</f>
        <v>#N/A</v>
      </c>
      <c r="R426" t="e">
        <f>INDEX(Items!D$2:D$1032,MATCH($O426,Items!$A$2:$A$1032,0))</f>
        <v>#N/A</v>
      </c>
    </row>
    <row r="427" spans="1:18" x14ac:dyDescent="0.25">
      <c r="A427">
        <f t="shared" si="32"/>
        <v>1</v>
      </c>
      <c r="B427" t="str">
        <f t="shared" si="33"/>
        <v/>
      </c>
      <c r="C427">
        <f t="shared" si="35"/>
        <v>1</v>
      </c>
      <c r="D427" s="4"/>
      <c r="E427" t="s">
        <v>18</v>
      </c>
      <c r="F427" t="str">
        <f>INDEX(Establishment!B$2:B$1005,MATCH($E427,Establishment!$A$2:$A$1005,0))</f>
        <v xml:space="preserve"> </v>
      </c>
      <c r="G427" t="str">
        <f>INDEX(Establishment!C$2:C$1005,MATCH($E427,Establishment!$A$2:$A$1005,0))</f>
        <v xml:space="preserve"> </v>
      </c>
      <c r="M427">
        <f t="shared" si="36"/>
        <v>0</v>
      </c>
      <c r="N427">
        <f t="shared" si="34"/>
        <v>0</v>
      </c>
      <c r="P427" t="e">
        <f>INDEX(Items!B$2:B$1032,MATCH($O427,Items!$A$2:$A$1032,0))</f>
        <v>#N/A</v>
      </c>
      <c r="Q427" t="e">
        <f>INDEX(Items!C$2:C$1032,MATCH($O427,Items!$A$2:$A$1032,0))</f>
        <v>#N/A</v>
      </c>
      <c r="R427" t="e">
        <f>INDEX(Items!D$2:D$1032,MATCH($O427,Items!$A$2:$A$1032,0))</f>
        <v>#N/A</v>
      </c>
    </row>
    <row r="428" spans="1:18" x14ac:dyDescent="0.25">
      <c r="A428">
        <f t="shared" si="32"/>
        <v>1</v>
      </c>
      <c r="B428" t="str">
        <f t="shared" si="33"/>
        <v/>
      </c>
      <c r="C428">
        <f t="shared" si="35"/>
        <v>1</v>
      </c>
      <c r="D428" s="4"/>
      <c r="E428" t="s">
        <v>18</v>
      </c>
      <c r="F428" t="str">
        <f>INDEX(Establishment!B$2:B$1005,MATCH($E428,Establishment!$A$2:$A$1005,0))</f>
        <v xml:space="preserve"> </v>
      </c>
      <c r="G428" t="str">
        <f>INDEX(Establishment!C$2:C$1005,MATCH($E428,Establishment!$A$2:$A$1005,0))</f>
        <v xml:space="preserve"> </v>
      </c>
      <c r="M428">
        <f t="shared" si="36"/>
        <v>0</v>
      </c>
      <c r="N428">
        <f t="shared" si="34"/>
        <v>0</v>
      </c>
      <c r="P428" t="e">
        <f>INDEX(Items!B$2:B$1032,MATCH($O428,Items!$A$2:$A$1032,0))</f>
        <v>#N/A</v>
      </c>
      <c r="Q428" t="e">
        <f>INDEX(Items!C$2:C$1032,MATCH($O428,Items!$A$2:$A$1032,0))</f>
        <v>#N/A</v>
      </c>
      <c r="R428" t="e">
        <f>INDEX(Items!D$2:D$1032,MATCH($O428,Items!$A$2:$A$1032,0))</f>
        <v>#N/A</v>
      </c>
    </row>
    <row r="429" spans="1:18" x14ac:dyDescent="0.25">
      <c r="A429">
        <f t="shared" si="32"/>
        <v>1</v>
      </c>
      <c r="B429" t="str">
        <f t="shared" si="33"/>
        <v/>
      </c>
      <c r="C429">
        <f t="shared" si="35"/>
        <v>1</v>
      </c>
      <c r="D429" s="4"/>
      <c r="E429" t="s">
        <v>18</v>
      </c>
      <c r="F429" t="str">
        <f>INDEX(Establishment!B$2:B$1005,MATCH($E429,Establishment!$A$2:$A$1005,0))</f>
        <v xml:space="preserve"> </v>
      </c>
      <c r="G429" t="str">
        <f>INDEX(Establishment!C$2:C$1005,MATCH($E429,Establishment!$A$2:$A$1005,0))</f>
        <v xml:space="preserve"> </v>
      </c>
      <c r="M429">
        <f t="shared" si="36"/>
        <v>0</v>
      </c>
      <c r="N429">
        <f t="shared" si="34"/>
        <v>0</v>
      </c>
      <c r="P429" t="e">
        <f>INDEX(Items!B$2:B$1032,MATCH($O429,Items!$A$2:$A$1032,0))</f>
        <v>#N/A</v>
      </c>
      <c r="Q429" t="e">
        <f>INDEX(Items!C$2:C$1032,MATCH($O429,Items!$A$2:$A$1032,0))</f>
        <v>#N/A</v>
      </c>
      <c r="R429" t="e">
        <f>INDEX(Items!D$2:D$1032,MATCH($O429,Items!$A$2:$A$1032,0))</f>
        <v>#N/A</v>
      </c>
    </row>
    <row r="430" spans="1:18" x14ac:dyDescent="0.25">
      <c r="A430">
        <f t="shared" si="32"/>
        <v>1</v>
      </c>
      <c r="B430" t="str">
        <f t="shared" si="33"/>
        <v/>
      </c>
      <c r="C430">
        <f t="shared" si="35"/>
        <v>1</v>
      </c>
      <c r="D430" s="4"/>
      <c r="E430" t="s">
        <v>18</v>
      </c>
      <c r="F430" t="str">
        <f>INDEX(Establishment!B$2:B$1005,MATCH($E430,Establishment!$A$2:$A$1005,0))</f>
        <v xml:space="preserve"> </v>
      </c>
      <c r="G430" t="str">
        <f>INDEX(Establishment!C$2:C$1005,MATCH($E430,Establishment!$A$2:$A$1005,0))</f>
        <v xml:space="preserve"> </v>
      </c>
      <c r="M430">
        <f t="shared" si="36"/>
        <v>0</v>
      </c>
      <c r="N430">
        <f t="shared" si="34"/>
        <v>0</v>
      </c>
      <c r="P430" t="e">
        <f>INDEX(Items!B$2:B$1032,MATCH($O430,Items!$A$2:$A$1032,0))</f>
        <v>#N/A</v>
      </c>
      <c r="Q430" t="e">
        <f>INDEX(Items!C$2:C$1032,MATCH($O430,Items!$A$2:$A$1032,0))</f>
        <v>#N/A</v>
      </c>
      <c r="R430" t="e">
        <f>INDEX(Items!D$2:D$1032,MATCH($O430,Items!$A$2:$A$1032,0))</f>
        <v>#N/A</v>
      </c>
    </row>
    <row r="431" spans="1:18" x14ac:dyDescent="0.25">
      <c r="A431">
        <f t="shared" si="32"/>
        <v>1</v>
      </c>
      <c r="B431" t="str">
        <f t="shared" si="33"/>
        <v/>
      </c>
      <c r="C431">
        <f t="shared" si="35"/>
        <v>1</v>
      </c>
      <c r="D431" s="4"/>
      <c r="E431" t="s">
        <v>18</v>
      </c>
      <c r="F431" t="str">
        <f>INDEX(Establishment!B$2:B$1005,MATCH($E431,Establishment!$A$2:$A$1005,0))</f>
        <v xml:space="preserve"> </v>
      </c>
      <c r="G431" t="str">
        <f>INDEX(Establishment!C$2:C$1005,MATCH($E431,Establishment!$A$2:$A$1005,0))</f>
        <v xml:space="preserve"> </v>
      </c>
      <c r="M431">
        <f t="shared" si="36"/>
        <v>0</v>
      </c>
      <c r="N431">
        <f t="shared" si="34"/>
        <v>0</v>
      </c>
      <c r="P431" t="e">
        <f>INDEX(Items!B$2:B$1032,MATCH($O431,Items!$A$2:$A$1032,0))</f>
        <v>#N/A</v>
      </c>
      <c r="Q431" t="e">
        <f>INDEX(Items!C$2:C$1032,MATCH($O431,Items!$A$2:$A$1032,0))</f>
        <v>#N/A</v>
      </c>
      <c r="R431" t="e">
        <f>INDEX(Items!D$2:D$1032,MATCH($O431,Items!$A$2:$A$1032,0))</f>
        <v>#N/A</v>
      </c>
    </row>
    <row r="432" spans="1:18" x14ac:dyDescent="0.25">
      <c r="A432">
        <f t="shared" si="32"/>
        <v>1</v>
      </c>
      <c r="B432" t="str">
        <f t="shared" si="33"/>
        <v/>
      </c>
      <c r="C432">
        <f t="shared" si="35"/>
        <v>1</v>
      </c>
      <c r="D432" s="4"/>
      <c r="E432" t="s">
        <v>18</v>
      </c>
      <c r="F432" t="str">
        <f>INDEX(Establishment!B$2:B$1005,MATCH($E432,Establishment!$A$2:$A$1005,0))</f>
        <v xml:space="preserve"> </v>
      </c>
      <c r="G432" t="str">
        <f>INDEX(Establishment!C$2:C$1005,MATCH($E432,Establishment!$A$2:$A$1005,0))</f>
        <v xml:space="preserve"> </v>
      </c>
      <c r="M432">
        <f t="shared" si="36"/>
        <v>0</v>
      </c>
      <c r="N432">
        <f t="shared" si="34"/>
        <v>0</v>
      </c>
      <c r="P432" t="e">
        <f>INDEX(Items!B$2:B$1032,MATCH($O432,Items!$A$2:$A$1032,0))</f>
        <v>#N/A</v>
      </c>
      <c r="Q432" t="e">
        <f>INDEX(Items!C$2:C$1032,MATCH($O432,Items!$A$2:$A$1032,0))</f>
        <v>#N/A</v>
      </c>
      <c r="R432" t="e">
        <f>INDEX(Items!D$2:D$1032,MATCH($O432,Items!$A$2:$A$1032,0))</f>
        <v>#N/A</v>
      </c>
    </row>
    <row r="433" spans="1:18" x14ac:dyDescent="0.25">
      <c r="A433">
        <f t="shared" si="32"/>
        <v>1</v>
      </c>
      <c r="B433" t="str">
        <f t="shared" si="33"/>
        <v/>
      </c>
      <c r="C433">
        <f t="shared" si="35"/>
        <v>1</v>
      </c>
      <c r="D433" s="4"/>
      <c r="E433" t="s">
        <v>18</v>
      </c>
      <c r="F433" t="str">
        <f>INDEX(Establishment!B$2:B$1005,MATCH($E433,Establishment!$A$2:$A$1005,0))</f>
        <v xml:space="preserve"> </v>
      </c>
      <c r="G433" t="str">
        <f>INDEX(Establishment!C$2:C$1005,MATCH($E433,Establishment!$A$2:$A$1005,0))</f>
        <v xml:space="preserve"> </v>
      </c>
      <c r="M433">
        <f t="shared" si="36"/>
        <v>0</v>
      </c>
      <c r="N433">
        <f t="shared" si="34"/>
        <v>0</v>
      </c>
      <c r="P433" t="e">
        <f>INDEX(Items!B$2:B$1032,MATCH($O433,Items!$A$2:$A$1032,0))</f>
        <v>#N/A</v>
      </c>
      <c r="Q433" t="e">
        <f>INDEX(Items!C$2:C$1032,MATCH($O433,Items!$A$2:$A$1032,0))</f>
        <v>#N/A</v>
      </c>
      <c r="R433" t="e">
        <f>INDEX(Items!D$2:D$1032,MATCH($O433,Items!$A$2:$A$1032,0))</f>
        <v>#N/A</v>
      </c>
    </row>
    <row r="434" spans="1:18" x14ac:dyDescent="0.25">
      <c r="A434">
        <f t="shared" si="32"/>
        <v>1</v>
      </c>
      <c r="B434" t="str">
        <f t="shared" si="33"/>
        <v/>
      </c>
      <c r="C434">
        <f t="shared" si="35"/>
        <v>1</v>
      </c>
      <c r="D434" s="4"/>
      <c r="E434" t="s">
        <v>18</v>
      </c>
      <c r="F434" t="str">
        <f>INDEX(Establishment!B$2:B$1005,MATCH($E434,Establishment!$A$2:$A$1005,0))</f>
        <v xml:space="preserve"> </v>
      </c>
      <c r="G434" t="str">
        <f>INDEX(Establishment!C$2:C$1005,MATCH($E434,Establishment!$A$2:$A$1005,0))</f>
        <v xml:space="preserve"> </v>
      </c>
      <c r="M434">
        <f t="shared" si="36"/>
        <v>0</v>
      </c>
      <c r="N434">
        <f t="shared" si="34"/>
        <v>0</v>
      </c>
      <c r="P434" t="e">
        <f>INDEX(Items!B$2:B$1032,MATCH($O434,Items!$A$2:$A$1032,0))</f>
        <v>#N/A</v>
      </c>
      <c r="Q434" t="e">
        <f>INDEX(Items!C$2:C$1032,MATCH($O434,Items!$A$2:$A$1032,0))</f>
        <v>#N/A</v>
      </c>
      <c r="R434" t="e">
        <f>INDEX(Items!D$2:D$1032,MATCH($O434,Items!$A$2:$A$1032,0))</f>
        <v>#N/A</v>
      </c>
    </row>
    <row r="435" spans="1:18" x14ac:dyDescent="0.25">
      <c r="A435">
        <f t="shared" si="32"/>
        <v>1</v>
      </c>
      <c r="B435" t="str">
        <f t="shared" si="33"/>
        <v/>
      </c>
      <c r="C435">
        <f t="shared" si="35"/>
        <v>1</v>
      </c>
      <c r="D435" s="4"/>
      <c r="E435" t="s">
        <v>18</v>
      </c>
      <c r="F435" t="str">
        <f>INDEX(Establishment!B$2:B$1005,MATCH($E435,Establishment!$A$2:$A$1005,0))</f>
        <v xml:space="preserve"> </v>
      </c>
      <c r="G435" t="str">
        <f>INDEX(Establishment!C$2:C$1005,MATCH($E435,Establishment!$A$2:$A$1005,0))</f>
        <v xml:space="preserve"> </v>
      </c>
      <c r="M435">
        <f t="shared" si="36"/>
        <v>0</v>
      </c>
      <c r="N435">
        <f t="shared" si="34"/>
        <v>0</v>
      </c>
      <c r="P435" t="e">
        <f>INDEX(Items!B$2:B$1032,MATCH($O435,Items!$A$2:$A$1032,0))</f>
        <v>#N/A</v>
      </c>
      <c r="Q435" t="e">
        <f>INDEX(Items!C$2:C$1032,MATCH($O435,Items!$A$2:$A$1032,0))</f>
        <v>#N/A</v>
      </c>
      <c r="R435" t="e">
        <f>INDEX(Items!D$2:D$1032,MATCH($O435,Items!$A$2:$A$1032,0))</f>
        <v>#N/A</v>
      </c>
    </row>
    <row r="436" spans="1:18" x14ac:dyDescent="0.25">
      <c r="A436">
        <f t="shared" si="32"/>
        <v>1</v>
      </c>
      <c r="B436" t="str">
        <f t="shared" si="33"/>
        <v/>
      </c>
      <c r="C436">
        <f t="shared" si="35"/>
        <v>1</v>
      </c>
      <c r="D436" s="4"/>
      <c r="E436" t="s">
        <v>18</v>
      </c>
      <c r="F436" t="str">
        <f>INDEX(Establishment!B$2:B$1005,MATCH($E436,Establishment!$A$2:$A$1005,0))</f>
        <v xml:space="preserve"> </v>
      </c>
      <c r="G436" t="str">
        <f>INDEX(Establishment!C$2:C$1005,MATCH($E436,Establishment!$A$2:$A$1005,0))</f>
        <v xml:space="preserve"> </v>
      </c>
      <c r="M436">
        <f t="shared" si="36"/>
        <v>0</v>
      </c>
      <c r="N436">
        <f t="shared" si="34"/>
        <v>0</v>
      </c>
      <c r="P436" t="e">
        <f>INDEX(Items!B$2:B$1032,MATCH($O436,Items!$A$2:$A$1032,0))</f>
        <v>#N/A</v>
      </c>
      <c r="Q436" t="e">
        <f>INDEX(Items!C$2:C$1032,MATCH($O436,Items!$A$2:$A$1032,0))</f>
        <v>#N/A</v>
      </c>
      <c r="R436" t="e">
        <f>INDEX(Items!D$2:D$1032,MATCH($O436,Items!$A$2:$A$1032,0))</f>
        <v>#N/A</v>
      </c>
    </row>
    <row r="437" spans="1:18" x14ac:dyDescent="0.25">
      <c r="A437">
        <f t="shared" si="32"/>
        <v>1</v>
      </c>
      <c r="B437" t="str">
        <f t="shared" si="33"/>
        <v/>
      </c>
      <c r="C437">
        <f t="shared" si="35"/>
        <v>1</v>
      </c>
      <c r="D437" s="4"/>
      <c r="E437" t="s">
        <v>18</v>
      </c>
      <c r="F437" t="str">
        <f>INDEX(Establishment!B$2:B$1005,MATCH($E437,Establishment!$A$2:$A$1005,0))</f>
        <v xml:space="preserve"> </v>
      </c>
      <c r="G437" t="str">
        <f>INDEX(Establishment!C$2:C$1005,MATCH($E437,Establishment!$A$2:$A$1005,0))</f>
        <v xml:space="preserve"> </v>
      </c>
      <c r="M437">
        <f t="shared" si="36"/>
        <v>0</v>
      </c>
      <c r="N437">
        <f t="shared" si="34"/>
        <v>0</v>
      </c>
      <c r="P437" t="e">
        <f>INDEX(Items!B$2:B$1032,MATCH($O437,Items!$A$2:$A$1032,0))</f>
        <v>#N/A</v>
      </c>
      <c r="Q437" t="e">
        <f>INDEX(Items!C$2:C$1032,MATCH($O437,Items!$A$2:$A$1032,0))</f>
        <v>#N/A</v>
      </c>
      <c r="R437" t="e">
        <f>INDEX(Items!D$2:D$1032,MATCH($O437,Items!$A$2:$A$1032,0))</f>
        <v>#N/A</v>
      </c>
    </row>
    <row r="438" spans="1:18" x14ac:dyDescent="0.25">
      <c r="A438">
        <f t="shared" si="32"/>
        <v>1</v>
      </c>
      <c r="B438" t="str">
        <f t="shared" si="33"/>
        <v/>
      </c>
      <c r="C438">
        <f t="shared" si="35"/>
        <v>1</v>
      </c>
      <c r="D438" s="4"/>
      <c r="E438" t="s">
        <v>18</v>
      </c>
      <c r="F438" t="str">
        <f>INDEX(Establishment!B$2:B$1005,MATCH($E438,Establishment!$A$2:$A$1005,0))</f>
        <v xml:space="preserve"> </v>
      </c>
      <c r="G438" t="str">
        <f>INDEX(Establishment!C$2:C$1005,MATCH($E438,Establishment!$A$2:$A$1005,0))</f>
        <v xml:space="preserve"> </v>
      </c>
      <c r="M438">
        <f t="shared" si="36"/>
        <v>0</v>
      </c>
      <c r="N438">
        <f t="shared" si="34"/>
        <v>0</v>
      </c>
      <c r="P438" t="e">
        <f>INDEX(Items!B$2:B$1032,MATCH($O438,Items!$A$2:$A$1032,0))</f>
        <v>#N/A</v>
      </c>
      <c r="Q438" t="e">
        <f>INDEX(Items!C$2:C$1032,MATCH($O438,Items!$A$2:$A$1032,0))</f>
        <v>#N/A</v>
      </c>
      <c r="R438" t="e">
        <f>INDEX(Items!D$2:D$1032,MATCH($O438,Items!$A$2:$A$1032,0))</f>
        <v>#N/A</v>
      </c>
    </row>
    <row r="439" spans="1:18" x14ac:dyDescent="0.25">
      <c r="A439">
        <f t="shared" si="32"/>
        <v>1</v>
      </c>
      <c r="B439" t="str">
        <f t="shared" si="33"/>
        <v/>
      </c>
      <c r="C439">
        <f t="shared" si="35"/>
        <v>1</v>
      </c>
      <c r="D439" s="4"/>
      <c r="E439" t="s">
        <v>18</v>
      </c>
      <c r="F439" t="str">
        <f>INDEX(Establishment!B$2:B$1005,MATCH($E439,Establishment!$A$2:$A$1005,0))</f>
        <v xml:space="preserve"> </v>
      </c>
      <c r="G439" t="str">
        <f>INDEX(Establishment!C$2:C$1005,MATCH($E439,Establishment!$A$2:$A$1005,0))</f>
        <v xml:space="preserve"> </v>
      </c>
      <c r="M439">
        <f t="shared" si="36"/>
        <v>0</v>
      </c>
      <c r="N439">
        <f t="shared" si="34"/>
        <v>0</v>
      </c>
      <c r="P439" t="e">
        <f>INDEX(Items!B$2:B$1032,MATCH($O439,Items!$A$2:$A$1032,0))</f>
        <v>#N/A</v>
      </c>
      <c r="Q439" t="e">
        <f>INDEX(Items!C$2:C$1032,MATCH($O439,Items!$A$2:$A$1032,0))</f>
        <v>#N/A</v>
      </c>
      <c r="R439" t="e">
        <f>INDEX(Items!D$2:D$1032,MATCH($O439,Items!$A$2:$A$1032,0))</f>
        <v>#N/A</v>
      </c>
    </row>
    <row r="440" spans="1:18" x14ac:dyDescent="0.25">
      <c r="A440">
        <f t="shared" si="32"/>
        <v>1</v>
      </c>
      <c r="B440" t="str">
        <f t="shared" si="33"/>
        <v/>
      </c>
      <c r="C440">
        <f t="shared" si="35"/>
        <v>1</v>
      </c>
      <c r="D440" s="4"/>
      <c r="E440" t="s">
        <v>18</v>
      </c>
      <c r="F440" t="str">
        <f>INDEX(Establishment!B$2:B$1005,MATCH($E440,Establishment!$A$2:$A$1005,0))</f>
        <v xml:space="preserve"> </v>
      </c>
      <c r="G440" t="str">
        <f>INDEX(Establishment!C$2:C$1005,MATCH($E440,Establishment!$A$2:$A$1005,0))</f>
        <v xml:space="preserve"> </v>
      </c>
      <c r="M440">
        <f t="shared" si="36"/>
        <v>0</v>
      </c>
      <c r="N440">
        <f t="shared" si="34"/>
        <v>0</v>
      </c>
      <c r="P440" t="e">
        <f>INDEX(Items!B$2:B$1032,MATCH($O440,Items!$A$2:$A$1032,0))</f>
        <v>#N/A</v>
      </c>
      <c r="Q440" t="e">
        <f>INDEX(Items!C$2:C$1032,MATCH($O440,Items!$A$2:$A$1032,0))</f>
        <v>#N/A</v>
      </c>
      <c r="R440" t="e">
        <f>INDEX(Items!D$2:D$1032,MATCH($O440,Items!$A$2:$A$1032,0))</f>
        <v>#N/A</v>
      </c>
    </row>
    <row r="441" spans="1:18" x14ac:dyDescent="0.25">
      <c r="A441">
        <f t="shared" si="32"/>
        <v>1</v>
      </c>
      <c r="B441" t="str">
        <f t="shared" si="33"/>
        <v/>
      </c>
      <c r="C441">
        <f t="shared" si="35"/>
        <v>1</v>
      </c>
      <c r="D441" s="4"/>
      <c r="E441" t="s">
        <v>18</v>
      </c>
      <c r="F441" t="str">
        <f>INDEX(Establishment!B$2:B$1005,MATCH($E441,Establishment!$A$2:$A$1005,0))</f>
        <v xml:space="preserve"> </v>
      </c>
      <c r="G441" t="str">
        <f>INDEX(Establishment!C$2:C$1005,MATCH($E441,Establishment!$A$2:$A$1005,0))</f>
        <v xml:space="preserve"> </v>
      </c>
      <c r="M441">
        <f t="shared" si="36"/>
        <v>0</v>
      </c>
      <c r="N441">
        <f t="shared" si="34"/>
        <v>0</v>
      </c>
      <c r="P441" t="e">
        <f>INDEX(Items!B$2:B$1032,MATCH($O441,Items!$A$2:$A$1032,0))</f>
        <v>#N/A</v>
      </c>
      <c r="Q441" t="e">
        <f>INDEX(Items!C$2:C$1032,MATCH($O441,Items!$A$2:$A$1032,0))</f>
        <v>#N/A</v>
      </c>
      <c r="R441" t="e">
        <f>INDEX(Items!D$2:D$1032,MATCH($O441,Items!$A$2:$A$1032,0))</f>
        <v>#N/A</v>
      </c>
    </row>
    <row r="442" spans="1:18" x14ac:dyDescent="0.25">
      <c r="A442">
        <f t="shared" si="32"/>
        <v>1</v>
      </c>
      <c r="B442" t="str">
        <f t="shared" si="33"/>
        <v/>
      </c>
      <c r="C442">
        <f t="shared" si="35"/>
        <v>1</v>
      </c>
      <c r="D442" s="4"/>
      <c r="E442" t="s">
        <v>18</v>
      </c>
      <c r="F442" t="str">
        <f>INDEX(Establishment!B$2:B$1005,MATCH($E442,Establishment!$A$2:$A$1005,0))</f>
        <v xml:space="preserve"> </v>
      </c>
      <c r="G442" t="str">
        <f>INDEX(Establishment!C$2:C$1005,MATCH($E442,Establishment!$A$2:$A$1005,0))</f>
        <v xml:space="preserve"> </v>
      </c>
      <c r="M442">
        <f t="shared" si="36"/>
        <v>0</v>
      </c>
      <c r="N442">
        <f t="shared" si="34"/>
        <v>0</v>
      </c>
      <c r="P442" t="e">
        <f>INDEX(Items!B$2:B$1032,MATCH($O442,Items!$A$2:$A$1032,0))</f>
        <v>#N/A</v>
      </c>
      <c r="Q442" t="e">
        <f>INDEX(Items!C$2:C$1032,MATCH($O442,Items!$A$2:$A$1032,0))</f>
        <v>#N/A</v>
      </c>
      <c r="R442" t="e">
        <f>INDEX(Items!D$2:D$1032,MATCH($O442,Items!$A$2:$A$1032,0))</f>
        <v>#N/A</v>
      </c>
    </row>
    <row r="443" spans="1:18" x14ac:dyDescent="0.25">
      <c r="A443">
        <f t="shared" si="32"/>
        <v>1</v>
      </c>
      <c r="B443" t="str">
        <f t="shared" si="33"/>
        <v/>
      </c>
      <c r="C443">
        <f t="shared" si="35"/>
        <v>1</v>
      </c>
      <c r="D443" s="4"/>
      <c r="E443" t="s">
        <v>18</v>
      </c>
      <c r="F443" t="str">
        <f>INDEX(Establishment!B$2:B$1005,MATCH($E443,Establishment!$A$2:$A$1005,0))</f>
        <v xml:space="preserve"> </v>
      </c>
      <c r="G443" t="str">
        <f>INDEX(Establishment!C$2:C$1005,MATCH($E443,Establishment!$A$2:$A$1005,0))</f>
        <v xml:space="preserve"> </v>
      </c>
      <c r="M443">
        <f t="shared" si="36"/>
        <v>0</v>
      </c>
      <c r="N443">
        <f t="shared" si="34"/>
        <v>0</v>
      </c>
      <c r="P443" t="e">
        <f>INDEX(Items!B$2:B$1032,MATCH($O443,Items!$A$2:$A$1032,0))</f>
        <v>#N/A</v>
      </c>
      <c r="Q443" t="e">
        <f>INDEX(Items!C$2:C$1032,MATCH($O443,Items!$A$2:$A$1032,0))</f>
        <v>#N/A</v>
      </c>
      <c r="R443" t="e">
        <f>INDEX(Items!D$2:D$1032,MATCH($O443,Items!$A$2:$A$1032,0))</f>
        <v>#N/A</v>
      </c>
    </row>
    <row r="444" spans="1:18" x14ac:dyDescent="0.25">
      <c r="A444">
        <f t="shared" si="32"/>
        <v>1</v>
      </c>
      <c r="B444" t="str">
        <f t="shared" si="33"/>
        <v/>
      </c>
      <c r="C444">
        <f t="shared" si="35"/>
        <v>1</v>
      </c>
      <c r="D444" s="4"/>
      <c r="E444" t="s">
        <v>18</v>
      </c>
      <c r="F444" t="str">
        <f>INDEX(Establishment!B$2:B$1005,MATCH($E444,Establishment!$A$2:$A$1005,0))</f>
        <v xml:space="preserve"> </v>
      </c>
      <c r="G444" t="str">
        <f>INDEX(Establishment!C$2:C$1005,MATCH($E444,Establishment!$A$2:$A$1005,0))</f>
        <v xml:space="preserve"> </v>
      </c>
      <c r="M444">
        <f t="shared" si="36"/>
        <v>0</v>
      </c>
      <c r="N444">
        <f t="shared" si="34"/>
        <v>0</v>
      </c>
      <c r="P444" t="e">
        <f>INDEX(Items!B$2:B$1032,MATCH($O444,Items!$A$2:$A$1032,0))</f>
        <v>#N/A</v>
      </c>
      <c r="Q444" t="e">
        <f>INDEX(Items!C$2:C$1032,MATCH($O444,Items!$A$2:$A$1032,0))</f>
        <v>#N/A</v>
      </c>
      <c r="R444" t="e">
        <f>INDEX(Items!D$2:D$1032,MATCH($O444,Items!$A$2:$A$1032,0))</f>
        <v>#N/A</v>
      </c>
    </row>
    <row r="445" spans="1:18" x14ac:dyDescent="0.25">
      <c r="A445">
        <f t="shared" si="32"/>
        <v>1</v>
      </c>
      <c r="B445" t="str">
        <f t="shared" si="33"/>
        <v/>
      </c>
      <c r="C445">
        <f t="shared" si="35"/>
        <v>1</v>
      </c>
      <c r="D445" s="4"/>
      <c r="E445" t="s">
        <v>18</v>
      </c>
      <c r="F445" t="str">
        <f>INDEX(Establishment!B$2:B$1005,MATCH($E445,Establishment!$A$2:$A$1005,0))</f>
        <v xml:space="preserve"> </v>
      </c>
      <c r="G445" t="str">
        <f>INDEX(Establishment!C$2:C$1005,MATCH($E445,Establishment!$A$2:$A$1005,0))</f>
        <v xml:space="preserve"> </v>
      </c>
      <c r="M445">
        <f t="shared" si="36"/>
        <v>0</v>
      </c>
      <c r="N445">
        <f t="shared" si="34"/>
        <v>0</v>
      </c>
      <c r="P445" t="e">
        <f>INDEX(Items!B$2:B$1032,MATCH($O445,Items!$A$2:$A$1032,0))</f>
        <v>#N/A</v>
      </c>
      <c r="Q445" t="e">
        <f>INDEX(Items!C$2:C$1032,MATCH($O445,Items!$A$2:$A$1032,0))</f>
        <v>#N/A</v>
      </c>
      <c r="R445" t="e">
        <f>INDEX(Items!D$2:D$1032,MATCH($O445,Items!$A$2:$A$1032,0))</f>
        <v>#N/A</v>
      </c>
    </row>
    <row r="446" spans="1:18" x14ac:dyDescent="0.25">
      <c r="A446">
        <f t="shared" si="32"/>
        <v>1</v>
      </c>
      <c r="B446" t="str">
        <f t="shared" si="33"/>
        <v/>
      </c>
      <c r="C446">
        <f t="shared" si="35"/>
        <v>1</v>
      </c>
      <c r="D446" s="4"/>
      <c r="E446" t="s">
        <v>18</v>
      </c>
      <c r="F446" t="str">
        <f>INDEX(Establishment!B$2:B$1005,MATCH($E446,Establishment!$A$2:$A$1005,0))</f>
        <v xml:space="preserve"> </v>
      </c>
      <c r="G446" t="str">
        <f>INDEX(Establishment!C$2:C$1005,MATCH($E446,Establishment!$A$2:$A$1005,0))</f>
        <v xml:space="preserve"> </v>
      </c>
      <c r="M446">
        <f t="shared" si="36"/>
        <v>0</v>
      </c>
      <c r="N446">
        <f t="shared" si="34"/>
        <v>0</v>
      </c>
      <c r="P446" t="e">
        <f>INDEX(Items!B$2:B$1032,MATCH($O446,Items!$A$2:$A$1032,0))</f>
        <v>#N/A</v>
      </c>
      <c r="Q446" t="e">
        <f>INDEX(Items!C$2:C$1032,MATCH($O446,Items!$A$2:$A$1032,0))</f>
        <v>#N/A</v>
      </c>
      <c r="R446" t="e">
        <f>INDEX(Items!D$2:D$1032,MATCH($O446,Items!$A$2:$A$1032,0))</f>
        <v>#N/A</v>
      </c>
    </row>
    <row r="447" spans="1:18" x14ac:dyDescent="0.25">
      <c r="A447">
        <f t="shared" si="32"/>
        <v>1</v>
      </c>
      <c r="B447" t="str">
        <f t="shared" si="33"/>
        <v/>
      </c>
      <c r="C447">
        <f t="shared" si="35"/>
        <v>1</v>
      </c>
      <c r="D447" s="4"/>
      <c r="E447" t="s">
        <v>18</v>
      </c>
      <c r="F447" t="str">
        <f>INDEX(Establishment!B$2:B$1005,MATCH($E447,Establishment!$A$2:$A$1005,0))</f>
        <v xml:space="preserve"> </v>
      </c>
      <c r="G447" t="str">
        <f>INDEX(Establishment!C$2:C$1005,MATCH($E447,Establishment!$A$2:$A$1005,0))</f>
        <v xml:space="preserve"> </v>
      </c>
      <c r="M447">
        <f t="shared" si="36"/>
        <v>0</v>
      </c>
      <c r="N447">
        <f t="shared" si="34"/>
        <v>0</v>
      </c>
      <c r="P447" t="e">
        <f>INDEX(Items!B$2:B$1032,MATCH($O447,Items!$A$2:$A$1032,0))</f>
        <v>#N/A</v>
      </c>
      <c r="Q447" t="e">
        <f>INDEX(Items!C$2:C$1032,MATCH($O447,Items!$A$2:$A$1032,0))</f>
        <v>#N/A</v>
      </c>
      <c r="R447" t="e">
        <f>INDEX(Items!D$2:D$1032,MATCH($O447,Items!$A$2:$A$1032,0))</f>
        <v>#N/A</v>
      </c>
    </row>
    <row r="448" spans="1:18" x14ac:dyDescent="0.25">
      <c r="A448">
        <f t="shared" si="32"/>
        <v>1</v>
      </c>
      <c r="B448" t="str">
        <f t="shared" si="33"/>
        <v/>
      </c>
      <c r="C448">
        <f t="shared" si="35"/>
        <v>1</v>
      </c>
      <c r="D448" s="4"/>
      <c r="E448" t="s">
        <v>18</v>
      </c>
      <c r="F448" t="str">
        <f>INDEX(Establishment!B$2:B$1005,MATCH($E448,Establishment!$A$2:$A$1005,0))</f>
        <v xml:space="preserve"> </v>
      </c>
      <c r="G448" t="str">
        <f>INDEX(Establishment!C$2:C$1005,MATCH($E448,Establishment!$A$2:$A$1005,0))</f>
        <v xml:space="preserve"> </v>
      </c>
      <c r="M448">
        <f t="shared" si="36"/>
        <v>0</v>
      </c>
      <c r="N448">
        <f t="shared" si="34"/>
        <v>0</v>
      </c>
      <c r="P448" t="e">
        <f>INDEX(Items!B$2:B$1032,MATCH($O448,Items!$A$2:$A$1032,0))</f>
        <v>#N/A</v>
      </c>
      <c r="Q448" t="e">
        <f>INDEX(Items!C$2:C$1032,MATCH($O448,Items!$A$2:$A$1032,0))</f>
        <v>#N/A</v>
      </c>
      <c r="R448" t="e">
        <f>INDEX(Items!D$2:D$1032,MATCH($O448,Items!$A$2:$A$1032,0))</f>
        <v>#N/A</v>
      </c>
    </row>
    <row r="449" spans="1:18" x14ac:dyDescent="0.25">
      <c r="A449">
        <f t="shared" si="32"/>
        <v>1</v>
      </c>
      <c r="B449" t="str">
        <f t="shared" si="33"/>
        <v/>
      </c>
      <c r="C449">
        <f t="shared" si="35"/>
        <v>1</v>
      </c>
      <c r="D449" s="4"/>
      <c r="E449" t="s">
        <v>18</v>
      </c>
      <c r="F449" t="str">
        <f>INDEX(Establishment!B$2:B$1005,MATCH($E449,Establishment!$A$2:$A$1005,0))</f>
        <v xml:space="preserve"> </v>
      </c>
      <c r="G449" t="str">
        <f>INDEX(Establishment!C$2:C$1005,MATCH($E449,Establishment!$A$2:$A$1005,0))</f>
        <v xml:space="preserve"> </v>
      </c>
      <c r="M449">
        <f t="shared" si="36"/>
        <v>0</v>
      </c>
      <c r="N449">
        <f t="shared" si="34"/>
        <v>0</v>
      </c>
      <c r="P449" t="e">
        <f>INDEX(Items!B$2:B$1032,MATCH($O449,Items!$A$2:$A$1032,0))</f>
        <v>#N/A</v>
      </c>
      <c r="Q449" t="e">
        <f>INDEX(Items!C$2:C$1032,MATCH($O449,Items!$A$2:$A$1032,0))</f>
        <v>#N/A</v>
      </c>
      <c r="R449" t="e">
        <f>INDEX(Items!D$2:D$1032,MATCH($O449,Items!$A$2:$A$1032,0))</f>
        <v>#N/A</v>
      </c>
    </row>
    <row r="450" spans="1:18" x14ac:dyDescent="0.25">
      <c r="A450">
        <f t="shared" ref="A450:A499" si="37">IF(OR(D450&lt;&gt;D449,D450=""),1,IF(NOT(AND(E450=E449,F450=F449,G450=G449)),A449+1,IF(OR(H450="",AND(H450&lt;&gt;"",H450&lt;&gt;H449,H449&lt;&gt;"")),A449,A449+1)))</f>
        <v>1</v>
      </c>
      <c r="B450" t="str">
        <f t="shared" ref="B450:B499" si="38">IF(D450&lt;&gt;"",TEXT(D450,"YYYYMMDD")&amp;CHAR(64+A450),"")</f>
        <v/>
      </c>
      <c r="C450">
        <f t="shared" si="35"/>
        <v>1</v>
      </c>
      <c r="D450" s="4"/>
      <c r="E450" t="s">
        <v>18</v>
      </c>
      <c r="F450" t="str">
        <f>INDEX(Establishment!B$2:B$1005,MATCH($E450,Establishment!$A$2:$A$1005,0))</f>
        <v xml:space="preserve"> </v>
      </c>
      <c r="G450" t="str">
        <f>INDEX(Establishment!C$2:C$1005,MATCH($E450,Establishment!$A$2:$A$1005,0))</f>
        <v xml:space="preserve"> </v>
      </c>
      <c r="M450">
        <f t="shared" si="36"/>
        <v>0</v>
      </c>
      <c r="N450">
        <f t="shared" si="34"/>
        <v>0</v>
      </c>
      <c r="P450" t="e">
        <f>INDEX(Items!B$2:B$1032,MATCH($O450,Items!$A$2:$A$1032,0))</f>
        <v>#N/A</v>
      </c>
      <c r="Q450" t="e">
        <f>INDEX(Items!C$2:C$1032,MATCH($O450,Items!$A$2:$A$1032,0))</f>
        <v>#N/A</v>
      </c>
      <c r="R450" t="e">
        <f>INDEX(Items!D$2:D$1032,MATCH($O450,Items!$A$2:$A$1032,0))</f>
        <v>#N/A</v>
      </c>
    </row>
    <row r="451" spans="1:18" x14ac:dyDescent="0.25">
      <c r="A451">
        <f t="shared" si="37"/>
        <v>1</v>
      </c>
      <c r="B451" t="str">
        <f t="shared" si="38"/>
        <v/>
      </c>
      <c r="C451">
        <f t="shared" si="35"/>
        <v>1</v>
      </c>
      <c r="D451" s="4"/>
      <c r="E451" t="s">
        <v>18</v>
      </c>
      <c r="F451" t="str">
        <f>INDEX(Establishment!B$2:B$1005,MATCH($E451,Establishment!$A$2:$A$1005,0))</f>
        <v xml:space="preserve"> </v>
      </c>
      <c r="G451" t="str">
        <f>INDEX(Establishment!C$2:C$1005,MATCH($E451,Establishment!$A$2:$A$1005,0))</f>
        <v xml:space="preserve"> </v>
      </c>
      <c r="M451">
        <f t="shared" si="36"/>
        <v>0</v>
      </c>
      <c r="N451">
        <f t="shared" ref="N451:N499" si="39">IF(B451=B450,N450+M451,M451)</f>
        <v>0</v>
      </c>
      <c r="P451" t="e">
        <f>INDEX(Items!B$2:B$1032,MATCH($O451,Items!$A$2:$A$1032,0))</f>
        <v>#N/A</v>
      </c>
      <c r="Q451" t="e">
        <f>INDEX(Items!C$2:C$1032,MATCH($O451,Items!$A$2:$A$1032,0))</f>
        <v>#N/A</v>
      </c>
      <c r="R451" t="e">
        <f>INDEX(Items!D$2:D$1032,MATCH($O451,Items!$A$2:$A$1032,0))</f>
        <v>#N/A</v>
      </c>
    </row>
    <row r="452" spans="1:18" x14ac:dyDescent="0.25">
      <c r="A452">
        <f t="shared" si="37"/>
        <v>1</v>
      </c>
      <c r="B452" t="str">
        <f t="shared" si="38"/>
        <v/>
      </c>
      <c r="C452">
        <f t="shared" si="35"/>
        <v>1</v>
      </c>
      <c r="D452" s="4"/>
      <c r="E452" t="s">
        <v>18</v>
      </c>
      <c r="F452" t="str">
        <f>INDEX(Establishment!B$2:B$1005,MATCH($E452,Establishment!$A$2:$A$1005,0))</f>
        <v xml:space="preserve"> </v>
      </c>
      <c r="G452" t="str">
        <f>INDEX(Establishment!C$2:C$1005,MATCH($E452,Establishment!$A$2:$A$1005,0))</f>
        <v xml:space="preserve"> </v>
      </c>
      <c r="M452">
        <f t="shared" si="36"/>
        <v>0</v>
      </c>
      <c r="N452">
        <f t="shared" si="39"/>
        <v>0</v>
      </c>
      <c r="P452" t="e">
        <f>INDEX(Items!B$2:B$1032,MATCH($O452,Items!$A$2:$A$1032,0))</f>
        <v>#N/A</v>
      </c>
      <c r="Q452" t="e">
        <f>INDEX(Items!C$2:C$1032,MATCH($O452,Items!$A$2:$A$1032,0))</f>
        <v>#N/A</v>
      </c>
      <c r="R452" t="e">
        <f>INDEX(Items!D$2:D$1032,MATCH($O452,Items!$A$2:$A$1032,0))</f>
        <v>#N/A</v>
      </c>
    </row>
    <row r="453" spans="1:18" x14ac:dyDescent="0.25">
      <c r="A453">
        <f t="shared" si="37"/>
        <v>1</v>
      </c>
      <c r="B453" t="str">
        <f t="shared" si="38"/>
        <v/>
      </c>
      <c r="C453">
        <f t="shared" si="35"/>
        <v>1</v>
      </c>
      <c r="D453" s="4"/>
      <c r="E453" t="s">
        <v>18</v>
      </c>
      <c r="F453" t="str">
        <f>INDEX(Establishment!B$2:B$1005,MATCH($E453,Establishment!$A$2:$A$1005,0))</f>
        <v xml:space="preserve"> </v>
      </c>
      <c r="G453" t="str">
        <f>INDEX(Establishment!C$2:C$1005,MATCH($E453,Establishment!$A$2:$A$1005,0))</f>
        <v xml:space="preserve"> </v>
      </c>
      <c r="M453">
        <f t="shared" si="36"/>
        <v>0</v>
      </c>
      <c r="N453">
        <f t="shared" si="39"/>
        <v>0</v>
      </c>
      <c r="P453" t="e">
        <f>INDEX(Items!B$2:B$1032,MATCH($O453,Items!$A$2:$A$1032,0))</f>
        <v>#N/A</v>
      </c>
      <c r="Q453" t="e">
        <f>INDEX(Items!C$2:C$1032,MATCH($O453,Items!$A$2:$A$1032,0))</f>
        <v>#N/A</v>
      </c>
      <c r="R453" t="e">
        <f>INDEX(Items!D$2:D$1032,MATCH($O453,Items!$A$2:$A$1032,0))</f>
        <v>#N/A</v>
      </c>
    </row>
    <row r="454" spans="1:18" x14ac:dyDescent="0.25">
      <c r="A454">
        <f t="shared" si="37"/>
        <v>1</v>
      </c>
      <c r="B454" t="str">
        <f t="shared" si="38"/>
        <v/>
      </c>
      <c r="C454">
        <f t="shared" si="35"/>
        <v>1</v>
      </c>
      <c r="D454" s="4"/>
      <c r="E454" t="s">
        <v>18</v>
      </c>
      <c r="F454" t="str">
        <f>INDEX(Establishment!B$2:B$1005,MATCH($E454,Establishment!$A$2:$A$1005,0))</f>
        <v xml:space="preserve"> </v>
      </c>
      <c r="G454" t="str">
        <f>INDEX(Establishment!C$2:C$1005,MATCH($E454,Establishment!$A$2:$A$1005,0))</f>
        <v xml:space="preserve"> </v>
      </c>
      <c r="M454">
        <f t="shared" si="36"/>
        <v>0</v>
      </c>
      <c r="N454">
        <f t="shared" si="39"/>
        <v>0</v>
      </c>
      <c r="P454" t="e">
        <f>INDEX(Items!B$2:B$1032,MATCH($O454,Items!$A$2:$A$1032,0))</f>
        <v>#N/A</v>
      </c>
      <c r="Q454" t="e">
        <f>INDEX(Items!C$2:C$1032,MATCH($O454,Items!$A$2:$A$1032,0))</f>
        <v>#N/A</v>
      </c>
      <c r="R454" t="e">
        <f>INDEX(Items!D$2:D$1032,MATCH($O454,Items!$A$2:$A$1032,0))</f>
        <v>#N/A</v>
      </c>
    </row>
    <row r="455" spans="1:18" x14ac:dyDescent="0.25">
      <c r="A455">
        <f t="shared" si="37"/>
        <v>1</v>
      </c>
      <c r="B455" t="str">
        <f t="shared" si="38"/>
        <v/>
      </c>
      <c r="C455">
        <f t="shared" si="35"/>
        <v>1</v>
      </c>
      <c r="D455" s="4"/>
      <c r="E455" t="s">
        <v>18</v>
      </c>
      <c r="F455" t="str">
        <f>INDEX(Establishment!B$2:B$1005,MATCH($E455,Establishment!$A$2:$A$1005,0))</f>
        <v xml:space="preserve"> </v>
      </c>
      <c r="G455" t="str">
        <f>INDEX(Establishment!C$2:C$1005,MATCH($E455,Establishment!$A$2:$A$1005,0))</f>
        <v xml:space="preserve"> </v>
      </c>
      <c r="M455">
        <f t="shared" si="36"/>
        <v>0</v>
      </c>
      <c r="N455">
        <f t="shared" si="39"/>
        <v>0</v>
      </c>
      <c r="P455" t="e">
        <f>INDEX(Items!B$2:B$1032,MATCH($O455,Items!$A$2:$A$1032,0))</f>
        <v>#N/A</v>
      </c>
      <c r="Q455" t="e">
        <f>INDEX(Items!C$2:C$1032,MATCH($O455,Items!$A$2:$A$1032,0))</f>
        <v>#N/A</v>
      </c>
      <c r="R455" t="e">
        <f>INDEX(Items!D$2:D$1032,MATCH($O455,Items!$A$2:$A$1032,0))</f>
        <v>#N/A</v>
      </c>
    </row>
    <row r="456" spans="1:18" x14ac:dyDescent="0.25">
      <c r="A456">
        <f t="shared" si="37"/>
        <v>1</v>
      </c>
      <c r="B456" t="str">
        <f t="shared" si="38"/>
        <v/>
      </c>
      <c r="C456">
        <f t="shared" si="35"/>
        <v>1</v>
      </c>
      <c r="D456" s="4"/>
      <c r="E456" t="s">
        <v>18</v>
      </c>
      <c r="F456" t="str">
        <f>INDEX(Establishment!B$2:B$1005,MATCH($E456,Establishment!$A$2:$A$1005,0))</f>
        <v xml:space="preserve"> </v>
      </c>
      <c r="G456" t="str">
        <f>INDEX(Establishment!C$2:C$1005,MATCH($E456,Establishment!$A$2:$A$1005,0))</f>
        <v xml:space="preserve"> </v>
      </c>
      <c r="M456">
        <f t="shared" si="36"/>
        <v>0</v>
      </c>
      <c r="N456">
        <f t="shared" si="39"/>
        <v>0</v>
      </c>
      <c r="P456" t="e">
        <f>INDEX(Items!B$2:B$1032,MATCH($O456,Items!$A$2:$A$1032,0))</f>
        <v>#N/A</v>
      </c>
      <c r="Q456" t="e">
        <f>INDEX(Items!C$2:C$1032,MATCH($O456,Items!$A$2:$A$1032,0))</f>
        <v>#N/A</v>
      </c>
      <c r="R456" t="e">
        <f>INDEX(Items!D$2:D$1032,MATCH($O456,Items!$A$2:$A$1032,0))</f>
        <v>#N/A</v>
      </c>
    </row>
    <row r="457" spans="1:18" x14ac:dyDescent="0.25">
      <c r="A457">
        <f t="shared" si="37"/>
        <v>1</v>
      </c>
      <c r="B457" t="str">
        <f t="shared" si="38"/>
        <v/>
      </c>
      <c r="C457">
        <f t="shared" si="35"/>
        <v>1</v>
      </c>
      <c r="D457" s="4"/>
      <c r="E457" t="s">
        <v>18</v>
      </c>
      <c r="F457" t="str">
        <f>INDEX(Establishment!B$2:B$1005,MATCH($E457,Establishment!$A$2:$A$1005,0))</f>
        <v xml:space="preserve"> </v>
      </c>
      <c r="G457" t="str">
        <f>INDEX(Establishment!C$2:C$1005,MATCH($E457,Establishment!$A$2:$A$1005,0))</f>
        <v xml:space="preserve"> </v>
      </c>
      <c r="M457">
        <f t="shared" si="36"/>
        <v>0</v>
      </c>
      <c r="N457">
        <f t="shared" si="39"/>
        <v>0</v>
      </c>
      <c r="P457" t="e">
        <f>INDEX(Items!B$2:B$1032,MATCH($O457,Items!$A$2:$A$1032,0))</f>
        <v>#N/A</v>
      </c>
      <c r="Q457" t="e">
        <f>INDEX(Items!C$2:C$1032,MATCH($O457,Items!$A$2:$A$1032,0))</f>
        <v>#N/A</v>
      </c>
      <c r="R457" t="e">
        <f>INDEX(Items!D$2:D$1032,MATCH($O457,Items!$A$2:$A$1032,0))</f>
        <v>#N/A</v>
      </c>
    </row>
    <row r="458" spans="1:18" x14ac:dyDescent="0.25">
      <c r="A458">
        <f t="shared" si="37"/>
        <v>1</v>
      </c>
      <c r="B458" t="str">
        <f t="shared" si="38"/>
        <v/>
      </c>
      <c r="C458">
        <f t="shared" ref="C458:C499" si="40">IF(OR(B458="",B458&lt;&gt;B457),1,C457+1)</f>
        <v>1</v>
      </c>
      <c r="D458" s="4"/>
      <c r="E458" t="s">
        <v>18</v>
      </c>
      <c r="F458" t="str">
        <f>INDEX(Establishment!B$2:B$1005,MATCH($E458,Establishment!$A$2:$A$1005,0))</f>
        <v xml:space="preserve"> </v>
      </c>
      <c r="G458" t="str">
        <f>INDEX(Establishment!C$2:C$1005,MATCH($E458,Establishment!$A$2:$A$1005,0))</f>
        <v xml:space="preserve"> </v>
      </c>
      <c r="M458">
        <f t="shared" ref="M458:M499" si="41">K458*L458</f>
        <v>0</v>
      </c>
      <c r="N458">
        <f t="shared" si="39"/>
        <v>0</v>
      </c>
      <c r="P458" t="e">
        <f>INDEX(Items!B$2:B$1032,MATCH($O458,Items!$A$2:$A$1032,0))</f>
        <v>#N/A</v>
      </c>
      <c r="Q458" t="e">
        <f>INDEX(Items!C$2:C$1032,MATCH($O458,Items!$A$2:$A$1032,0))</f>
        <v>#N/A</v>
      </c>
      <c r="R458" t="e">
        <f>INDEX(Items!D$2:D$1032,MATCH($O458,Items!$A$2:$A$1032,0))</f>
        <v>#N/A</v>
      </c>
    </row>
    <row r="459" spans="1:18" x14ac:dyDescent="0.25">
      <c r="A459">
        <f t="shared" si="37"/>
        <v>1</v>
      </c>
      <c r="B459" t="str">
        <f t="shared" si="38"/>
        <v/>
      </c>
      <c r="C459">
        <f t="shared" si="40"/>
        <v>1</v>
      </c>
      <c r="D459" s="4"/>
      <c r="E459" t="s">
        <v>18</v>
      </c>
      <c r="F459" t="str">
        <f>INDEX(Establishment!B$2:B$1005,MATCH($E459,Establishment!$A$2:$A$1005,0))</f>
        <v xml:space="preserve"> </v>
      </c>
      <c r="G459" t="str">
        <f>INDEX(Establishment!C$2:C$1005,MATCH($E459,Establishment!$A$2:$A$1005,0))</f>
        <v xml:space="preserve"> </v>
      </c>
      <c r="M459">
        <f t="shared" si="41"/>
        <v>0</v>
      </c>
      <c r="N459">
        <f t="shared" si="39"/>
        <v>0</v>
      </c>
      <c r="P459" t="e">
        <f>INDEX(Items!B$2:B$1032,MATCH($O459,Items!$A$2:$A$1032,0))</f>
        <v>#N/A</v>
      </c>
      <c r="Q459" t="e">
        <f>INDEX(Items!C$2:C$1032,MATCH($O459,Items!$A$2:$A$1032,0))</f>
        <v>#N/A</v>
      </c>
      <c r="R459" t="e">
        <f>INDEX(Items!D$2:D$1032,MATCH($O459,Items!$A$2:$A$1032,0))</f>
        <v>#N/A</v>
      </c>
    </row>
    <row r="460" spans="1:18" x14ac:dyDescent="0.25">
      <c r="A460">
        <f t="shared" si="37"/>
        <v>1</v>
      </c>
      <c r="B460" t="str">
        <f t="shared" si="38"/>
        <v/>
      </c>
      <c r="C460">
        <f t="shared" si="40"/>
        <v>1</v>
      </c>
      <c r="D460" s="4"/>
      <c r="E460" t="s">
        <v>18</v>
      </c>
      <c r="F460" t="str">
        <f>INDEX(Establishment!B$2:B$1005,MATCH($E460,Establishment!$A$2:$A$1005,0))</f>
        <v xml:space="preserve"> </v>
      </c>
      <c r="G460" t="str">
        <f>INDEX(Establishment!C$2:C$1005,MATCH($E460,Establishment!$A$2:$A$1005,0))</f>
        <v xml:space="preserve"> </v>
      </c>
      <c r="M460">
        <f t="shared" si="41"/>
        <v>0</v>
      </c>
      <c r="N460">
        <f t="shared" si="39"/>
        <v>0</v>
      </c>
      <c r="P460" t="e">
        <f>INDEX(Items!B$2:B$1032,MATCH($O460,Items!$A$2:$A$1032,0))</f>
        <v>#N/A</v>
      </c>
      <c r="Q460" t="e">
        <f>INDEX(Items!C$2:C$1032,MATCH($O460,Items!$A$2:$A$1032,0))</f>
        <v>#N/A</v>
      </c>
      <c r="R460" t="e">
        <f>INDEX(Items!D$2:D$1032,MATCH($O460,Items!$A$2:$A$1032,0))</f>
        <v>#N/A</v>
      </c>
    </row>
    <row r="461" spans="1:18" x14ac:dyDescent="0.25">
      <c r="A461">
        <f t="shared" si="37"/>
        <v>1</v>
      </c>
      <c r="B461" t="str">
        <f t="shared" si="38"/>
        <v/>
      </c>
      <c r="C461">
        <f t="shared" si="40"/>
        <v>1</v>
      </c>
      <c r="D461" s="4"/>
      <c r="E461" t="s">
        <v>18</v>
      </c>
      <c r="F461" t="str">
        <f>INDEX(Establishment!B$2:B$1005,MATCH($E461,Establishment!$A$2:$A$1005,0))</f>
        <v xml:space="preserve"> </v>
      </c>
      <c r="G461" t="str">
        <f>INDEX(Establishment!C$2:C$1005,MATCH($E461,Establishment!$A$2:$A$1005,0))</f>
        <v xml:space="preserve"> </v>
      </c>
      <c r="M461">
        <f t="shared" si="41"/>
        <v>0</v>
      </c>
      <c r="N461">
        <f t="shared" si="39"/>
        <v>0</v>
      </c>
      <c r="P461" t="e">
        <f>INDEX(Items!B$2:B$1032,MATCH($O461,Items!$A$2:$A$1032,0))</f>
        <v>#N/A</v>
      </c>
      <c r="Q461" t="e">
        <f>INDEX(Items!C$2:C$1032,MATCH($O461,Items!$A$2:$A$1032,0))</f>
        <v>#N/A</v>
      </c>
      <c r="R461" t="e">
        <f>INDEX(Items!D$2:D$1032,MATCH($O461,Items!$A$2:$A$1032,0))</f>
        <v>#N/A</v>
      </c>
    </row>
    <row r="462" spans="1:18" x14ac:dyDescent="0.25">
      <c r="A462">
        <f t="shared" si="37"/>
        <v>1</v>
      </c>
      <c r="B462" t="str">
        <f t="shared" si="38"/>
        <v/>
      </c>
      <c r="C462">
        <f t="shared" si="40"/>
        <v>1</v>
      </c>
      <c r="D462" s="4"/>
      <c r="E462" t="s">
        <v>18</v>
      </c>
      <c r="F462" t="str">
        <f>INDEX(Establishment!B$2:B$1005,MATCH($E462,Establishment!$A$2:$A$1005,0))</f>
        <v xml:space="preserve"> </v>
      </c>
      <c r="G462" t="str">
        <f>INDEX(Establishment!C$2:C$1005,MATCH($E462,Establishment!$A$2:$A$1005,0))</f>
        <v xml:space="preserve"> </v>
      </c>
      <c r="M462">
        <f t="shared" si="41"/>
        <v>0</v>
      </c>
      <c r="N462">
        <f t="shared" si="39"/>
        <v>0</v>
      </c>
      <c r="P462" t="e">
        <f>INDEX(Items!B$2:B$1032,MATCH($O462,Items!$A$2:$A$1032,0))</f>
        <v>#N/A</v>
      </c>
      <c r="Q462" t="e">
        <f>INDEX(Items!C$2:C$1032,MATCH($O462,Items!$A$2:$A$1032,0))</f>
        <v>#N/A</v>
      </c>
      <c r="R462" t="e">
        <f>INDEX(Items!D$2:D$1032,MATCH($O462,Items!$A$2:$A$1032,0))</f>
        <v>#N/A</v>
      </c>
    </row>
    <row r="463" spans="1:18" x14ac:dyDescent="0.25">
      <c r="A463">
        <f t="shared" si="37"/>
        <v>1</v>
      </c>
      <c r="B463" t="str">
        <f t="shared" si="38"/>
        <v/>
      </c>
      <c r="C463">
        <f t="shared" si="40"/>
        <v>1</v>
      </c>
      <c r="D463" s="4"/>
      <c r="E463" t="s">
        <v>18</v>
      </c>
      <c r="F463" t="str">
        <f>INDEX(Establishment!B$2:B$1005,MATCH($E463,Establishment!$A$2:$A$1005,0))</f>
        <v xml:space="preserve"> </v>
      </c>
      <c r="G463" t="str">
        <f>INDEX(Establishment!C$2:C$1005,MATCH($E463,Establishment!$A$2:$A$1005,0))</f>
        <v xml:space="preserve"> </v>
      </c>
      <c r="M463">
        <f t="shared" si="41"/>
        <v>0</v>
      </c>
      <c r="N463">
        <f t="shared" si="39"/>
        <v>0</v>
      </c>
      <c r="P463" t="e">
        <f>INDEX(Items!B$2:B$1032,MATCH($O463,Items!$A$2:$A$1032,0))</f>
        <v>#N/A</v>
      </c>
      <c r="Q463" t="e">
        <f>INDEX(Items!C$2:C$1032,MATCH($O463,Items!$A$2:$A$1032,0))</f>
        <v>#N/A</v>
      </c>
      <c r="R463" t="e">
        <f>INDEX(Items!D$2:D$1032,MATCH($O463,Items!$A$2:$A$1032,0))</f>
        <v>#N/A</v>
      </c>
    </row>
    <row r="464" spans="1:18" x14ac:dyDescent="0.25">
      <c r="A464">
        <f t="shared" si="37"/>
        <v>1</v>
      </c>
      <c r="B464" t="str">
        <f t="shared" si="38"/>
        <v/>
      </c>
      <c r="C464">
        <f t="shared" si="40"/>
        <v>1</v>
      </c>
      <c r="D464" s="4"/>
      <c r="E464" t="s">
        <v>18</v>
      </c>
      <c r="F464" t="str">
        <f>INDEX(Establishment!B$2:B$1005,MATCH($E464,Establishment!$A$2:$A$1005,0))</f>
        <v xml:space="preserve"> </v>
      </c>
      <c r="G464" t="str">
        <f>INDEX(Establishment!C$2:C$1005,MATCH($E464,Establishment!$A$2:$A$1005,0))</f>
        <v xml:space="preserve"> </v>
      </c>
      <c r="M464">
        <f t="shared" si="41"/>
        <v>0</v>
      </c>
      <c r="N464">
        <f t="shared" si="39"/>
        <v>0</v>
      </c>
      <c r="P464" t="e">
        <f>INDEX(Items!B$2:B$1032,MATCH($O464,Items!$A$2:$A$1032,0))</f>
        <v>#N/A</v>
      </c>
      <c r="Q464" t="e">
        <f>INDEX(Items!C$2:C$1032,MATCH($O464,Items!$A$2:$A$1032,0))</f>
        <v>#N/A</v>
      </c>
      <c r="R464" t="e">
        <f>INDEX(Items!D$2:D$1032,MATCH($O464,Items!$A$2:$A$1032,0))</f>
        <v>#N/A</v>
      </c>
    </row>
    <row r="465" spans="1:18" x14ac:dyDescent="0.25">
      <c r="A465">
        <f t="shared" si="37"/>
        <v>1</v>
      </c>
      <c r="B465" t="str">
        <f t="shared" si="38"/>
        <v/>
      </c>
      <c r="C465">
        <f t="shared" si="40"/>
        <v>1</v>
      </c>
      <c r="D465" s="4"/>
      <c r="E465" t="s">
        <v>18</v>
      </c>
      <c r="F465" t="str">
        <f>INDEX(Establishment!B$2:B$1005,MATCH($E465,Establishment!$A$2:$A$1005,0))</f>
        <v xml:space="preserve"> </v>
      </c>
      <c r="G465" t="str">
        <f>INDEX(Establishment!C$2:C$1005,MATCH($E465,Establishment!$A$2:$A$1005,0))</f>
        <v xml:space="preserve"> </v>
      </c>
      <c r="M465">
        <f t="shared" si="41"/>
        <v>0</v>
      </c>
      <c r="N465">
        <f t="shared" si="39"/>
        <v>0</v>
      </c>
      <c r="P465" t="e">
        <f>INDEX(Items!B$2:B$1032,MATCH($O465,Items!$A$2:$A$1032,0))</f>
        <v>#N/A</v>
      </c>
      <c r="Q465" t="e">
        <f>INDEX(Items!C$2:C$1032,MATCH($O465,Items!$A$2:$A$1032,0))</f>
        <v>#N/A</v>
      </c>
      <c r="R465" t="e">
        <f>INDEX(Items!D$2:D$1032,MATCH($O465,Items!$A$2:$A$1032,0))</f>
        <v>#N/A</v>
      </c>
    </row>
    <row r="466" spans="1:18" x14ac:dyDescent="0.25">
      <c r="A466">
        <f t="shared" si="37"/>
        <v>1</v>
      </c>
      <c r="B466" t="str">
        <f t="shared" si="38"/>
        <v/>
      </c>
      <c r="C466">
        <f t="shared" si="40"/>
        <v>1</v>
      </c>
      <c r="D466" s="4"/>
      <c r="E466" t="s">
        <v>18</v>
      </c>
      <c r="F466" t="str">
        <f>INDEX(Establishment!B$2:B$1005,MATCH($E466,Establishment!$A$2:$A$1005,0))</f>
        <v xml:space="preserve"> </v>
      </c>
      <c r="G466" t="str">
        <f>INDEX(Establishment!C$2:C$1005,MATCH($E466,Establishment!$A$2:$A$1005,0))</f>
        <v xml:space="preserve"> </v>
      </c>
      <c r="M466">
        <f t="shared" si="41"/>
        <v>0</v>
      </c>
      <c r="N466">
        <f t="shared" si="39"/>
        <v>0</v>
      </c>
      <c r="P466" t="e">
        <f>INDEX(Items!B$2:B$1032,MATCH($O466,Items!$A$2:$A$1032,0))</f>
        <v>#N/A</v>
      </c>
      <c r="Q466" t="e">
        <f>INDEX(Items!C$2:C$1032,MATCH($O466,Items!$A$2:$A$1032,0))</f>
        <v>#N/A</v>
      </c>
      <c r="R466" t="e">
        <f>INDEX(Items!D$2:D$1032,MATCH($O466,Items!$A$2:$A$1032,0))</f>
        <v>#N/A</v>
      </c>
    </row>
    <row r="467" spans="1:18" x14ac:dyDescent="0.25">
      <c r="A467">
        <f t="shared" si="37"/>
        <v>1</v>
      </c>
      <c r="B467" t="str">
        <f t="shared" si="38"/>
        <v/>
      </c>
      <c r="C467">
        <f t="shared" si="40"/>
        <v>1</v>
      </c>
      <c r="D467" s="4"/>
      <c r="E467" t="s">
        <v>18</v>
      </c>
      <c r="F467" t="str">
        <f>INDEX(Establishment!B$2:B$1005,MATCH($E467,Establishment!$A$2:$A$1005,0))</f>
        <v xml:space="preserve"> </v>
      </c>
      <c r="G467" t="str">
        <f>INDEX(Establishment!C$2:C$1005,MATCH($E467,Establishment!$A$2:$A$1005,0))</f>
        <v xml:space="preserve"> </v>
      </c>
      <c r="M467">
        <f t="shared" si="41"/>
        <v>0</v>
      </c>
      <c r="N467">
        <f t="shared" si="39"/>
        <v>0</v>
      </c>
      <c r="P467" t="e">
        <f>INDEX(Items!B$2:B$1032,MATCH($O467,Items!$A$2:$A$1032,0))</f>
        <v>#N/A</v>
      </c>
      <c r="Q467" t="e">
        <f>INDEX(Items!C$2:C$1032,MATCH($O467,Items!$A$2:$A$1032,0))</f>
        <v>#N/A</v>
      </c>
      <c r="R467" t="e">
        <f>INDEX(Items!D$2:D$1032,MATCH($O467,Items!$A$2:$A$1032,0))</f>
        <v>#N/A</v>
      </c>
    </row>
    <row r="468" spans="1:18" x14ac:dyDescent="0.25">
      <c r="A468">
        <f t="shared" si="37"/>
        <v>1</v>
      </c>
      <c r="B468" t="str">
        <f t="shared" si="38"/>
        <v/>
      </c>
      <c r="C468">
        <f t="shared" si="40"/>
        <v>1</v>
      </c>
      <c r="D468" s="4"/>
      <c r="E468" t="s">
        <v>18</v>
      </c>
      <c r="F468" t="str">
        <f>INDEX(Establishment!B$2:B$1005,MATCH($E468,Establishment!$A$2:$A$1005,0))</f>
        <v xml:space="preserve"> </v>
      </c>
      <c r="G468" t="str">
        <f>INDEX(Establishment!C$2:C$1005,MATCH($E468,Establishment!$A$2:$A$1005,0))</f>
        <v xml:space="preserve"> </v>
      </c>
      <c r="M468">
        <f t="shared" si="41"/>
        <v>0</v>
      </c>
      <c r="N468">
        <f t="shared" si="39"/>
        <v>0</v>
      </c>
      <c r="P468" t="e">
        <f>INDEX(Items!B$2:B$1032,MATCH($O468,Items!$A$2:$A$1032,0))</f>
        <v>#N/A</v>
      </c>
      <c r="Q468" t="e">
        <f>INDEX(Items!C$2:C$1032,MATCH($O468,Items!$A$2:$A$1032,0))</f>
        <v>#N/A</v>
      </c>
      <c r="R468" t="e">
        <f>INDEX(Items!D$2:D$1032,MATCH($O468,Items!$A$2:$A$1032,0))</f>
        <v>#N/A</v>
      </c>
    </row>
    <row r="469" spans="1:18" x14ac:dyDescent="0.25">
      <c r="A469">
        <f t="shared" si="37"/>
        <v>1</v>
      </c>
      <c r="B469" t="str">
        <f t="shared" si="38"/>
        <v/>
      </c>
      <c r="C469">
        <f t="shared" si="40"/>
        <v>1</v>
      </c>
      <c r="D469" s="4"/>
      <c r="E469" t="s">
        <v>18</v>
      </c>
      <c r="F469" t="str">
        <f>INDEX(Establishment!B$2:B$1005,MATCH($E469,Establishment!$A$2:$A$1005,0))</f>
        <v xml:space="preserve"> </v>
      </c>
      <c r="G469" t="str">
        <f>INDEX(Establishment!C$2:C$1005,MATCH($E469,Establishment!$A$2:$A$1005,0))</f>
        <v xml:space="preserve"> </v>
      </c>
      <c r="M469">
        <f t="shared" si="41"/>
        <v>0</v>
      </c>
      <c r="N469">
        <f t="shared" si="39"/>
        <v>0</v>
      </c>
      <c r="P469" t="e">
        <f>INDEX(Items!B$2:B$1032,MATCH($O469,Items!$A$2:$A$1032,0))</f>
        <v>#N/A</v>
      </c>
      <c r="Q469" t="e">
        <f>INDEX(Items!C$2:C$1032,MATCH($O469,Items!$A$2:$A$1032,0))</f>
        <v>#N/A</v>
      </c>
      <c r="R469" t="e">
        <f>INDEX(Items!D$2:D$1032,MATCH($O469,Items!$A$2:$A$1032,0))</f>
        <v>#N/A</v>
      </c>
    </row>
    <row r="470" spans="1:18" x14ac:dyDescent="0.25">
      <c r="A470">
        <f t="shared" si="37"/>
        <v>1</v>
      </c>
      <c r="B470" t="str">
        <f t="shared" si="38"/>
        <v/>
      </c>
      <c r="C470">
        <f t="shared" si="40"/>
        <v>1</v>
      </c>
      <c r="D470" s="4"/>
      <c r="E470" t="s">
        <v>18</v>
      </c>
      <c r="F470" t="str">
        <f>INDEX(Establishment!B$2:B$1005,MATCH($E470,Establishment!$A$2:$A$1005,0))</f>
        <v xml:space="preserve"> </v>
      </c>
      <c r="G470" t="str">
        <f>INDEX(Establishment!C$2:C$1005,MATCH($E470,Establishment!$A$2:$A$1005,0))</f>
        <v xml:space="preserve"> </v>
      </c>
      <c r="M470">
        <f t="shared" si="41"/>
        <v>0</v>
      </c>
      <c r="N470">
        <f t="shared" si="39"/>
        <v>0</v>
      </c>
      <c r="P470" t="e">
        <f>INDEX(Items!B$2:B$1032,MATCH($O470,Items!$A$2:$A$1032,0))</f>
        <v>#N/A</v>
      </c>
      <c r="Q470" t="e">
        <f>INDEX(Items!C$2:C$1032,MATCH($O470,Items!$A$2:$A$1032,0))</f>
        <v>#N/A</v>
      </c>
      <c r="R470" t="e">
        <f>INDEX(Items!D$2:D$1032,MATCH($O470,Items!$A$2:$A$1032,0))</f>
        <v>#N/A</v>
      </c>
    </row>
    <row r="471" spans="1:18" x14ac:dyDescent="0.25">
      <c r="A471">
        <f t="shared" si="37"/>
        <v>1</v>
      </c>
      <c r="B471" t="str">
        <f t="shared" si="38"/>
        <v/>
      </c>
      <c r="C471">
        <f t="shared" si="40"/>
        <v>1</v>
      </c>
      <c r="D471" s="4"/>
      <c r="E471" t="s">
        <v>18</v>
      </c>
      <c r="F471" t="str">
        <f>INDEX(Establishment!B$2:B$1005,MATCH($E471,Establishment!$A$2:$A$1005,0))</f>
        <v xml:space="preserve"> </v>
      </c>
      <c r="G471" t="str">
        <f>INDEX(Establishment!C$2:C$1005,MATCH($E471,Establishment!$A$2:$A$1005,0))</f>
        <v xml:space="preserve"> </v>
      </c>
      <c r="M471">
        <f t="shared" si="41"/>
        <v>0</v>
      </c>
      <c r="N471">
        <f t="shared" si="39"/>
        <v>0</v>
      </c>
      <c r="P471" t="e">
        <f>INDEX(Items!B$2:B$1032,MATCH($O471,Items!$A$2:$A$1032,0))</f>
        <v>#N/A</v>
      </c>
      <c r="Q471" t="e">
        <f>INDEX(Items!C$2:C$1032,MATCH($O471,Items!$A$2:$A$1032,0))</f>
        <v>#N/A</v>
      </c>
      <c r="R471" t="e">
        <f>INDEX(Items!D$2:D$1032,MATCH($O471,Items!$A$2:$A$1032,0))</f>
        <v>#N/A</v>
      </c>
    </row>
    <row r="472" spans="1:18" x14ac:dyDescent="0.25">
      <c r="A472">
        <f t="shared" si="37"/>
        <v>1</v>
      </c>
      <c r="B472" t="str">
        <f t="shared" si="38"/>
        <v/>
      </c>
      <c r="C472">
        <f t="shared" si="40"/>
        <v>1</v>
      </c>
      <c r="D472" s="4"/>
      <c r="E472" t="s">
        <v>18</v>
      </c>
      <c r="F472" t="str">
        <f>INDEX(Establishment!B$2:B$1005,MATCH($E472,Establishment!$A$2:$A$1005,0))</f>
        <v xml:space="preserve"> </v>
      </c>
      <c r="G472" t="str">
        <f>INDEX(Establishment!C$2:C$1005,MATCH($E472,Establishment!$A$2:$A$1005,0))</f>
        <v xml:space="preserve"> </v>
      </c>
      <c r="M472">
        <f t="shared" si="41"/>
        <v>0</v>
      </c>
      <c r="N472">
        <f t="shared" si="39"/>
        <v>0</v>
      </c>
      <c r="P472" t="e">
        <f>INDEX(Items!B$2:B$1032,MATCH($O472,Items!$A$2:$A$1032,0))</f>
        <v>#N/A</v>
      </c>
      <c r="Q472" t="e">
        <f>INDEX(Items!C$2:C$1032,MATCH($O472,Items!$A$2:$A$1032,0))</f>
        <v>#N/A</v>
      </c>
      <c r="R472" t="e">
        <f>INDEX(Items!D$2:D$1032,MATCH($O472,Items!$A$2:$A$1032,0))</f>
        <v>#N/A</v>
      </c>
    </row>
    <row r="473" spans="1:18" x14ac:dyDescent="0.25">
      <c r="A473">
        <f t="shared" si="37"/>
        <v>1</v>
      </c>
      <c r="B473" t="str">
        <f t="shared" si="38"/>
        <v/>
      </c>
      <c r="C473">
        <f t="shared" si="40"/>
        <v>1</v>
      </c>
      <c r="D473" s="4"/>
      <c r="E473" t="s">
        <v>18</v>
      </c>
      <c r="F473" t="str">
        <f>INDEX(Establishment!B$2:B$1005,MATCH($E473,Establishment!$A$2:$A$1005,0))</f>
        <v xml:space="preserve"> </v>
      </c>
      <c r="G473" t="str">
        <f>INDEX(Establishment!C$2:C$1005,MATCH($E473,Establishment!$A$2:$A$1005,0))</f>
        <v xml:space="preserve"> </v>
      </c>
      <c r="M473">
        <f t="shared" si="41"/>
        <v>0</v>
      </c>
      <c r="N473">
        <f t="shared" si="39"/>
        <v>0</v>
      </c>
      <c r="P473" t="e">
        <f>INDEX(Items!B$2:B$1032,MATCH($O473,Items!$A$2:$A$1032,0))</f>
        <v>#N/A</v>
      </c>
      <c r="Q473" t="e">
        <f>INDEX(Items!C$2:C$1032,MATCH($O473,Items!$A$2:$A$1032,0))</f>
        <v>#N/A</v>
      </c>
      <c r="R473" t="e">
        <f>INDEX(Items!D$2:D$1032,MATCH($O473,Items!$A$2:$A$1032,0))</f>
        <v>#N/A</v>
      </c>
    </row>
    <row r="474" spans="1:18" x14ac:dyDescent="0.25">
      <c r="A474">
        <f t="shared" si="37"/>
        <v>1</v>
      </c>
      <c r="B474" t="str">
        <f t="shared" si="38"/>
        <v/>
      </c>
      <c r="C474">
        <f t="shared" si="40"/>
        <v>1</v>
      </c>
      <c r="D474" s="4"/>
      <c r="E474" t="s">
        <v>18</v>
      </c>
      <c r="F474" t="str">
        <f>INDEX(Establishment!B$2:B$1005,MATCH($E474,Establishment!$A$2:$A$1005,0))</f>
        <v xml:space="preserve"> </v>
      </c>
      <c r="G474" t="str">
        <f>INDEX(Establishment!C$2:C$1005,MATCH($E474,Establishment!$A$2:$A$1005,0))</f>
        <v xml:space="preserve"> </v>
      </c>
      <c r="M474">
        <f t="shared" si="41"/>
        <v>0</v>
      </c>
      <c r="N474">
        <f t="shared" si="39"/>
        <v>0</v>
      </c>
      <c r="P474" t="e">
        <f>INDEX(Items!B$2:B$1032,MATCH($O474,Items!$A$2:$A$1032,0))</f>
        <v>#N/A</v>
      </c>
      <c r="Q474" t="e">
        <f>INDEX(Items!C$2:C$1032,MATCH($O474,Items!$A$2:$A$1032,0))</f>
        <v>#N/A</v>
      </c>
      <c r="R474" t="e">
        <f>INDEX(Items!D$2:D$1032,MATCH($O474,Items!$A$2:$A$1032,0))</f>
        <v>#N/A</v>
      </c>
    </row>
    <row r="475" spans="1:18" x14ac:dyDescent="0.25">
      <c r="A475">
        <f t="shared" si="37"/>
        <v>1</v>
      </c>
      <c r="B475" t="str">
        <f t="shared" si="38"/>
        <v/>
      </c>
      <c r="C475">
        <f t="shared" si="40"/>
        <v>1</v>
      </c>
      <c r="D475" s="4"/>
      <c r="E475" t="s">
        <v>18</v>
      </c>
      <c r="F475" t="str">
        <f>INDEX(Establishment!B$2:B$1005,MATCH($E475,Establishment!$A$2:$A$1005,0))</f>
        <v xml:space="preserve"> </v>
      </c>
      <c r="G475" t="str">
        <f>INDEX(Establishment!C$2:C$1005,MATCH($E475,Establishment!$A$2:$A$1005,0))</f>
        <v xml:space="preserve"> </v>
      </c>
      <c r="M475">
        <f t="shared" si="41"/>
        <v>0</v>
      </c>
      <c r="N475">
        <f t="shared" si="39"/>
        <v>0</v>
      </c>
      <c r="P475" t="e">
        <f>INDEX(Items!B$2:B$1032,MATCH($O475,Items!$A$2:$A$1032,0))</f>
        <v>#N/A</v>
      </c>
      <c r="Q475" t="e">
        <f>INDEX(Items!C$2:C$1032,MATCH($O475,Items!$A$2:$A$1032,0))</f>
        <v>#N/A</v>
      </c>
      <c r="R475" t="e">
        <f>INDEX(Items!D$2:D$1032,MATCH($O475,Items!$A$2:$A$1032,0))</f>
        <v>#N/A</v>
      </c>
    </row>
    <row r="476" spans="1:18" x14ac:dyDescent="0.25">
      <c r="A476">
        <f t="shared" si="37"/>
        <v>1</v>
      </c>
      <c r="B476" t="str">
        <f t="shared" si="38"/>
        <v/>
      </c>
      <c r="C476">
        <f t="shared" si="40"/>
        <v>1</v>
      </c>
      <c r="D476" s="4"/>
      <c r="E476" t="s">
        <v>18</v>
      </c>
      <c r="F476" t="str">
        <f>INDEX(Establishment!B$2:B$1005,MATCH($E476,Establishment!$A$2:$A$1005,0))</f>
        <v xml:space="preserve"> </v>
      </c>
      <c r="G476" t="str">
        <f>INDEX(Establishment!C$2:C$1005,MATCH($E476,Establishment!$A$2:$A$1005,0))</f>
        <v xml:space="preserve"> </v>
      </c>
      <c r="M476">
        <f t="shared" si="41"/>
        <v>0</v>
      </c>
      <c r="N476">
        <f t="shared" si="39"/>
        <v>0</v>
      </c>
      <c r="P476" t="e">
        <f>INDEX(Items!B$2:B$1032,MATCH($O476,Items!$A$2:$A$1032,0))</f>
        <v>#N/A</v>
      </c>
      <c r="Q476" t="e">
        <f>INDEX(Items!C$2:C$1032,MATCH($O476,Items!$A$2:$A$1032,0))</f>
        <v>#N/A</v>
      </c>
      <c r="R476" t="e">
        <f>INDEX(Items!D$2:D$1032,MATCH($O476,Items!$A$2:$A$1032,0))</f>
        <v>#N/A</v>
      </c>
    </row>
    <row r="477" spans="1:18" x14ac:dyDescent="0.25">
      <c r="A477">
        <f t="shared" si="37"/>
        <v>1</v>
      </c>
      <c r="B477" t="str">
        <f t="shared" si="38"/>
        <v/>
      </c>
      <c r="C477">
        <f t="shared" si="40"/>
        <v>1</v>
      </c>
      <c r="D477" s="4"/>
      <c r="E477" t="s">
        <v>18</v>
      </c>
      <c r="F477" t="str">
        <f>INDEX(Establishment!B$2:B$1005,MATCH($E477,Establishment!$A$2:$A$1005,0))</f>
        <v xml:space="preserve"> </v>
      </c>
      <c r="G477" t="str">
        <f>INDEX(Establishment!C$2:C$1005,MATCH($E477,Establishment!$A$2:$A$1005,0))</f>
        <v xml:space="preserve"> </v>
      </c>
      <c r="M477">
        <f t="shared" si="41"/>
        <v>0</v>
      </c>
      <c r="N477">
        <f t="shared" si="39"/>
        <v>0</v>
      </c>
      <c r="P477" t="e">
        <f>INDEX(Items!B$2:B$1032,MATCH($O477,Items!$A$2:$A$1032,0))</f>
        <v>#N/A</v>
      </c>
      <c r="Q477" t="e">
        <f>INDEX(Items!C$2:C$1032,MATCH($O477,Items!$A$2:$A$1032,0))</f>
        <v>#N/A</v>
      </c>
      <c r="R477" t="e">
        <f>INDEX(Items!D$2:D$1032,MATCH($O477,Items!$A$2:$A$1032,0))</f>
        <v>#N/A</v>
      </c>
    </row>
    <row r="478" spans="1:18" x14ac:dyDescent="0.25">
      <c r="A478">
        <f t="shared" si="37"/>
        <v>1</v>
      </c>
      <c r="B478" t="str">
        <f t="shared" si="38"/>
        <v/>
      </c>
      <c r="C478">
        <f t="shared" si="40"/>
        <v>1</v>
      </c>
      <c r="D478" s="4"/>
      <c r="E478" t="s">
        <v>18</v>
      </c>
      <c r="F478" t="str">
        <f>INDEX(Establishment!B$2:B$1005,MATCH($E478,Establishment!$A$2:$A$1005,0))</f>
        <v xml:space="preserve"> </v>
      </c>
      <c r="G478" t="str">
        <f>INDEX(Establishment!C$2:C$1005,MATCH($E478,Establishment!$A$2:$A$1005,0))</f>
        <v xml:space="preserve"> </v>
      </c>
      <c r="M478">
        <f t="shared" si="41"/>
        <v>0</v>
      </c>
      <c r="N478">
        <f t="shared" si="39"/>
        <v>0</v>
      </c>
      <c r="P478" t="e">
        <f>INDEX(Items!B$2:B$1032,MATCH($O478,Items!$A$2:$A$1032,0))</f>
        <v>#N/A</v>
      </c>
      <c r="Q478" t="e">
        <f>INDEX(Items!C$2:C$1032,MATCH($O478,Items!$A$2:$A$1032,0))</f>
        <v>#N/A</v>
      </c>
      <c r="R478" t="e">
        <f>INDEX(Items!D$2:D$1032,MATCH($O478,Items!$A$2:$A$1032,0))</f>
        <v>#N/A</v>
      </c>
    </row>
    <row r="479" spans="1:18" x14ac:dyDescent="0.25">
      <c r="A479">
        <f t="shared" si="37"/>
        <v>1</v>
      </c>
      <c r="B479" t="str">
        <f t="shared" si="38"/>
        <v/>
      </c>
      <c r="C479">
        <f t="shared" si="40"/>
        <v>1</v>
      </c>
      <c r="D479" s="4"/>
      <c r="E479" t="s">
        <v>18</v>
      </c>
      <c r="F479" t="str">
        <f>INDEX(Establishment!B$2:B$1005,MATCH($E479,Establishment!$A$2:$A$1005,0))</f>
        <v xml:space="preserve"> </v>
      </c>
      <c r="G479" t="str">
        <f>INDEX(Establishment!C$2:C$1005,MATCH($E479,Establishment!$A$2:$A$1005,0))</f>
        <v xml:space="preserve"> </v>
      </c>
      <c r="M479">
        <f t="shared" si="41"/>
        <v>0</v>
      </c>
      <c r="N479">
        <f t="shared" si="39"/>
        <v>0</v>
      </c>
      <c r="P479" t="e">
        <f>INDEX(Items!B$2:B$1032,MATCH($O479,Items!$A$2:$A$1032,0))</f>
        <v>#N/A</v>
      </c>
      <c r="Q479" t="e">
        <f>INDEX(Items!C$2:C$1032,MATCH($O479,Items!$A$2:$A$1032,0))</f>
        <v>#N/A</v>
      </c>
      <c r="R479" t="e">
        <f>INDEX(Items!D$2:D$1032,MATCH($O479,Items!$A$2:$A$1032,0))</f>
        <v>#N/A</v>
      </c>
    </row>
    <row r="480" spans="1:18" x14ac:dyDescent="0.25">
      <c r="A480">
        <f t="shared" si="37"/>
        <v>1</v>
      </c>
      <c r="B480" t="str">
        <f t="shared" si="38"/>
        <v/>
      </c>
      <c r="C480">
        <f t="shared" si="40"/>
        <v>1</v>
      </c>
      <c r="D480" s="4"/>
      <c r="E480" t="s">
        <v>18</v>
      </c>
      <c r="F480" t="str">
        <f>INDEX(Establishment!B$2:B$1005,MATCH($E480,Establishment!$A$2:$A$1005,0))</f>
        <v xml:space="preserve"> </v>
      </c>
      <c r="G480" t="str">
        <f>INDEX(Establishment!C$2:C$1005,MATCH($E480,Establishment!$A$2:$A$1005,0))</f>
        <v xml:space="preserve"> </v>
      </c>
      <c r="M480">
        <f t="shared" si="41"/>
        <v>0</v>
      </c>
      <c r="N480">
        <f t="shared" si="39"/>
        <v>0</v>
      </c>
      <c r="P480" t="e">
        <f>INDEX(Items!B$2:B$1032,MATCH($O480,Items!$A$2:$A$1032,0))</f>
        <v>#N/A</v>
      </c>
      <c r="Q480" t="e">
        <f>INDEX(Items!C$2:C$1032,MATCH($O480,Items!$A$2:$A$1032,0))</f>
        <v>#N/A</v>
      </c>
      <c r="R480" t="e">
        <f>INDEX(Items!D$2:D$1032,MATCH($O480,Items!$A$2:$A$1032,0))</f>
        <v>#N/A</v>
      </c>
    </row>
    <row r="481" spans="1:18" x14ac:dyDescent="0.25">
      <c r="A481">
        <f t="shared" si="37"/>
        <v>1</v>
      </c>
      <c r="B481" t="str">
        <f t="shared" si="38"/>
        <v/>
      </c>
      <c r="C481">
        <f t="shared" si="40"/>
        <v>1</v>
      </c>
      <c r="D481" s="4"/>
      <c r="E481" t="s">
        <v>18</v>
      </c>
      <c r="F481" t="str">
        <f>INDEX(Establishment!B$2:B$1005,MATCH($E481,Establishment!$A$2:$A$1005,0))</f>
        <v xml:space="preserve"> </v>
      </c>
      <c r="G481" t="str">
        <f>INDEX(Establishment!C$2:C$1005,MATCH($E481,Establishment!$A$2:$A$1005,0))</f>
        <v xml:space="preserve"> </v>
      </c>
      <c r="M481">
        <f t="shared" si="41"/>
        <v>0</v>
      </c>
      <c r="N481">
        <f t="shared" si="39"/>
        <v>0</v>
      </c>
      <c r="P481" t="e">
        <f>INDEX(Items!B$2:B$1032,MATCH($O481,Items!$A$2:$A$1032,0))</f>
        <v>#N/A</v>
      </c>
      <c r="Q481" t="e">
        <f>INDEX(Items!C$2:C$1032,MATCH($O481,Items!$A$2:$A$1032,0))</f>
        <v>#N/A</v>
      </c>
      <c r="R481" t="e">
        <f>INDEX(Items!D$2:D$1032,MATCH($O481,Items!$A$2:$A$1032,0))</f>
        <v>#N/A</v>
      </c>
    </row>
    <row r="482" spans="1:18" x14ac:dyDescent="0.25">
      <c r="A482">
        <f t="shared" si="37"/>
        <v>1</v>
      </c>
      <c r="B482" t="str">
        <f t="shared" si="38"/>
        <v/>
      </c>
      <c r="C482">
        <f t="shared" si="40"/>
        <v>1</v>
      </c>
      <c r="D482" s="4"/>
      <c r="E482" t="s">
        <v>18</v>
      </c>
      <c r="F482" t="str">
        <f>INDEX(Establishment!B$2:B$1005,MATCH($E482,Establishment!$A$2:$A$1005,0))</f>
        <v xml:space="preserve"> </v>
      </c>
      <c r="G482" t="str">
        <f>INDEX(Establishment!C$2:C$1005,MATCH($E482,Establishment!$A$2:$A$1005,0))</f>
        <v xml:space="preserve"> </v>
      </c>
      <c r="M482">
        <f t="shared" si="41"/>
        <v>0</v>
      </c>
      <c r="N482">
        <f t="shared" si="39"/>
        <v>0</v>
      </c>
      <c r="P482" t="e">
        <f>INDEX(Items!B$2:B$1032,MATCH($O482,Items!$A$2:$A$1032,0))</f>
        <v>#N/A</v>
      </c>
      <c r="Q482" t="e">
        <f>INDEX(Items!C$2:C$1032,MATCH($O482,Items!$A$2:$A$1032,0))</f>
        <v>#N/A</v>
      </c>
      <c r="R482" t="e">
        <f>INDEX(Items!D$2:D$1032,MATCH($O482,Items!$A$2:$A$1032,0))</f>
        <v>#N/A</v>
      </c>
    </row>
    <row r="483" spans="1:18" x14ac:dyDescent="0.25">
      <c r="A483">
        <f t="shared" si="37"/>
        <v>1</v>
      </c>
      <c r="B483" t="str">
        <f t="shared" si="38"/>
        <v/>
      </c>
      <c r="C483">
        <f t="shared" si="40"/>
        <v>1</v>
      </c>
      <c r="D483" s="4"/>
      <c r="E483" t="s">
        <v>18</v>
      </c>
      <c r="F483" t="str">
        <f>INDEX(Establishment!B$2:B$1005,MATCH($E483,Establishment!$A$2:$A$1005,0))</f>
        <v xml:space="preserve"> </v>
      </c>
      <c r="G483" t="str">
        <f>INDEX(Establishment!C$2:C$1005,MATCH($E483,Establishment!$A$2:$A$1005,0))</f>
        <v xml:space="preserve"> </v>
      </c>
      <c r="M483">
        <f t="shared" si="41"/>
        <v>0</v>
      </c>
      <c r="N483">
        <f t="shared" si="39"/>
        <v>0</v>
      </c>
      <c r="P483" t="e">
        <f>INDEX(Items!B$2:B$1032,MATCH($O483,Items!$A$2:$A$1032,0))</f>
        <v>#N/A</v>
      </c>
      <c r="Q483" t="e">
        <f>INDEX(Items!C$2:C$1032,MATCH($O483,Items!$A$2:$A$1032,0))</f>
        <v>#N/A</v>
      </c>
      <c r="R483" t="e">
        <f>INDEX(Items!D$2:D$1032,MATCH($O483,Items!$A$2:$A$1032,0))</f>
        <v>#N/A</v>
      </c>
    </row>
    <row r="484" spans="1:18" x14ac:dyDescent="0.25">
      <c r="A484">
        <f t="shared" si="37"/>
        <v>1</v>
      </c>
      <c r="B484" t="str">
        <f t="shared" si="38"/>
        <v/>
      </c>
      <c r="C484">
        <f t="shared" si="40"/>
        <v>1</v>
      </c>
      <c r="D484" s="4"/>
      <c r="E484" t="s">
        <v>18</v>
      </c>
      <c r="F484" t="str">
        <f>INDEX(Establishment!B$2:B$1005,MATCH($E484,Establishment!$A$2:$A$1005,0))</f>
        <v xml:space="preserve"> </v>
      </c>
      <c r="G484" t="str">
        <f>INDEX(Establishment!C$2:C$1005,MATCH($E484,Establishment!$A$2:$A$1005,0))</f>
        <v xml:space="preserve"> </v>
      </c>
      <c r="M484">
        <f t="shared" si="41"/>
        <v>0</v>
      </c>
      <c r="N484">
        <f t="shared" si="39"/>
        <v>0</v>
      </c>
      <c r="P484" t="e">
        <f>INDEX(Items!B$2:B$1032,MATCH($O484,Items!$A$2:$A$1032,0))</f>
        <v>#N/A</v>
      </c>
      <c r="Q484" t="e">
        <f>INDEX(Items!C$2:C$1032,MATCH($O484,Items!$A$2:$A$1032,0))</f>
        <v>#N/A</v>
      </c>
      <c r="R484" t="e">
        <f>INDEX(Items!D$2:D$1032,MATCH($O484,Items!$A$2:$A$1032,0))</f>
        <v>#N/A</v>
      </c>
    </row>
    <row r="485" spans="1:18" x14ac:dyDescent="0.25">
      <c r="A485">
        <f t="shared" si="37"/>
        <v>1</v>
      </c>
      <c r="B485" t="str">
        <f t="shared" si="38"/>
        <v/>
      </c>
      <c r="C485">
        <f t="shared" si="40"/>
        <v>1</v>
      </c>
      <c r="D485" s="4"/>
      <c r="E485" t="s">
        <v>18</v>
      </c>
      <c r="F485" t="str">
        <f>INDEX(Establishment!B$2:B$1005,MATCH($E485,Establishment!$A$2:$A$1005,0))</f>
        <v xml:space="preserve"> </v>
      </c>
      <c r="G485" t="str">
        <f>INDEX(Establishment!C$2:C$1005,MATCH($E485,Establishment!$A$2:$A$1005,0))</f>
        <v xml:space="preserve"> </v>
      </c>
      <c r="M485">
        <f t="shared" si="41"/>
        <v>0</v>
      </c>
      <c r="N485">
        <f t="shared" si="39"/>
        <v>0</v>
      </c>
      <c r="P485" t="e">
        <f>INDEX(Items!B$2:B$1032,MATCH($O485,Items!$A$2:$A$1032,0))</f>
        <v>#N/A</v>
      </c>
      <c r="Q485" t="e">
        <f>INDEX(Items!C$2:C$1032,MATCH($O485,Items!$A$2:$A$1032,0))</f>
        <v>#N/A</v>
      </c>
      <c r="R485" t="e">
        <f>INDEX(Items!D$2:D$1032,MATCH($O485,Items!$A$2:$A$1032,0))</f>
        <v>#N/A</v>
      </c>
    </row>
    <row r="486" spans="1:18" x14ac:dyDescent="0.25">
      <c r="A486">
        <f t="shared" si="37"/>
        <v>1</v>
      </c>
      <c r="B486" t="str">
        <f t="shared" si="38"/>
        <v/>
      </c>
      <c r="C486">
        <f t="shared" si="40"/>
        <v>1</v>
      </c>
      <c r="D486" s="4"/>
      <c r="E486" t="s">
        <v>18</v>
      </c>
      <c r="F486" t="str">
        <f>INDEX(Establishment!B$2:B$1005,MATCH($E486,Establishment!$A$2:$A$1005,0))</f>
        <v xml:space="preserve"> </v>
      </c>
      <c r="G486" t="str">
        <f>INDEX(Establishment!C$2:C$1005,MATCH($E486,Establishment!$A$2:$A$1005,0))</f>
        <v xml:space="preserve"> </v>
      </c>
      <c r="M486">
        <f t="shared" si="41"/>
        <v>0</v>
      </c>
      <c r="N486">
        <f t="shared" si="39"/>
        <v>0</v>
      </c>
      <c r="P486" t="e">
        <f>INDEX(Items!B$2:B$1032,MATCH($O486,Items!$A$2:$A$1032,0))</f>
        <v>#N/A</v>
      </c>
      <c r="Q486" t="e">
        <f>INDEX(Items!C$2:C$1032,MATCH($O486,Items!$A$2:$A$1032,0))</f>
        <v>#N/A</v>
      </c>
      <c r="R486" t="e">
        <f>INDEX(Items!D$2:D$1032,MATCH($O486,Items!$A$2:$A$1032,0))</f>
        <v>#N/A</v>
      </c>
    </row>
    <row r="487" spans="1:18" x14ac:dyDescent="0.25">
      <c r="A487">
        <f t="shared" si="37"/>
        <v>1</v>
      </c>
      <c r="B487" t="str">
        <f t="shared" si="38"/>
        <v/>
      </c>
      <c r="C487">
        <f t="shared" si="40"/>
        <v>1</v>
      </c>
      <c r="D487" s="4"/>
      <c r="E487" t="s">
        <v>18</v>
      </c>
      <c r="F487" t="str">
        <f>INDEX(Establishment!B$2:B$1005,MATCH($E487,Establishment!$A$2:$A$1005,0))</f>
        <v xml:space="preserve"> </v>
      </c>
      <c r="G487" t="str">
        <f>INDEX(Establishment!C$2:C$1005,MATCH($E487,Establishment!$A$2:$A$1005,0))</f>
        <v xml:space="preserve"> </v>
      </c>
      <c r="M487">
        <f t="shared" si="41"/>
        <v>0</v>
      </c>
      <c r="N487">
        <f t="shared" si="39"/>
        <v>0</v>
      </c>
      <c r="P487" t="e">
        <f>INDEX(Items!B$2:B$1032,MATCH($O487,Items!$A$2:$A$1032,0))</f>
        <v>#N/A</v>
      </c>
      <c r="Q487" t="e">
        <f>INDEX(Items!C$2:C$1032,MATCH($O487,Items!$A$2:$A$1032,0))</f>
        <v>#N/A</v>
      </c>
      <c r="R487" t="e">
        <f>INDEX(Items!D$2:D$1032,MATCH($O487,Items!$A$2:$A$1032,0))</f>
        <v>#N/A</v>
      </c>
    </row>
    <row r="488" spans="1:18" x14ac:dyDescent="0.25">
      <c r="A488">
        <f t="shared" si="37"/>
        <v>1</v>
      </c>
      <c r="B488" t="str">
        <f t="shared" si="38"/>
        <v/>
      </c>
      <c r="C488">
        <f t="shared" si="40"/>
        <v>1</v>
      </c>
      <c r="D488" s="4"/>
      <c r="E488" t="s">
        <v>18</v>
      </c>
      <c r="F488" t="str">
        <f>INDEX(Establishment!B$2:B$1005,MATCH($E488,Establishment!$A$2:$A$1005,0))</f>
        <v xml:space="preserve"> </v>
      </c>
      <c r="G488" t="str">
        <f>INDEX(Establishment!C$2:C$1005,MATCH($E488,Establishment!$A$2:$A$1005,0))</f>
        <v xml:space="preserve"> </v>
      </c>
      <c r="M488">
        <f t="shared" si="41"/>
        <v>0</v>
      </c>
      <c r="N488">
        <f t="shared" si="39"/>
        <v>0</v>
      </c>
      <c r="P488" t="e">
        <f>INDEX(Items!B$2:B$1032,MATCH($O488,Items!$A$2:$A$1032,0))</f>
        <v>#N/A</v>
      </c>
      <c r="Q488" t="e">
        <f>INDEX(Items!C$2:C$1032,MATCH($O488,Items!$A$2:$A$1032,0))</f>
        <v>#N/A</v>
      </c>
      <c r="R488" t="e">
        <f>INDEX(Items!D$2:D$1032,MATCH($O488,Items!$A$2:$A$1032,0))</f>
        <v>#N/A</v>
      </c>
    </row>
    <row r="489" spans="1:18" x14ac:dyDescent="0.25">
      <c r="A489">
        <f t="shared" si="37"/>
        <v>1</v>
      </c>
      <c r="B489" t="str">
        <f t="shared" si="38"/>
        <v/>
      </c>
      <c r="C489">
        <f t="shared" si="40"/>
        <v>1</v>
      </c>
      <c r="D489" s="4"/>
      <c r="E489" t="s">
        <v>18</v>
      </c>
      <c r="F489" t="str">
        <f>INDEX(Establishment!B$2:B$1005,MATCH($E489,Establishment!$A$2:$A$1005,0))</f>
        <v xml:space="preserve"> </v>
      </c>
      <c r="G489" t="str">
        <f>INDEX(Establishment!C$2:C$1005,MATCH($E489,Establishment!$A$2:$A$1005,0))</f>
        <v xml:space="preserve"> </v>
      </c>
      <c r="M489">
        <f t="shared" si="41"/>
        <v>0</v>
      </c>
      <c r="N489">
        <f t="shared" si="39"/>
        <v>0</v>
      </c>
      <c r="P489" t="e">
        <f>INDEX(Items!B$2:B$1032,MATCH($O489,Items!$A$2:$A$1032,0))</f>
        <v>#N/A</v>
      </c>
      <c r="Q489" t="e">
        <f>INDEX(Items!C$2:C$1032,MATCH($O489,Items!$A$2:$A$1032,0))</f>
        <v>#N/A</v>
      </c>
      <c r="R489" t="e">
        <f>INDEX(Items!D$2:D$1032,MATCH($O489,Items!$A$2:$A$1032,0))</f>
        <v>#N/A</v>
      </c>
    </row>
    <row r="490" spans="1:18" x14ac:dyDescent="0.25">
      <c r="A490">
        <f t="shared" si="37"/>
        <v>1</v>
      </c>
      <c r="B490" t="str">
        <f t="shared" si="38"/>
        <v/>
      </c>
      <c r="C490">
        <f t="shared" si="40"/>
        <v>1</v>
      </c>
      <c r="D490" s="4"/>
      <c r="E490" t="s">
        <v>18</v>
      </c>
      <c r="F490" t="str">
        <f>INDEX(Establishment!B$2:B$1005,MATCH($E490,Establishment!$A$2:$A$1005,0))</f>
        <v xml:space="preserve"> </v>
      </c>
      <c r="G490" t="str">
        <f>INDEX(Establishment!C$2:C$1005,MATCH($E490,Establishment!$A$2:$A$1005,0))</f>
        <v xml:space="preserve"> </v>
      </c>
      <c r="M490">
        <f t="shared" si="41"/>
        <v>0</v>
      </c>
      <c r="N490">
        <f t="shared" si="39"/>
        <v>0</v>
      </c>
      <c r="P490" t="e">
        <f>INDEX(Items!B$2:B$1032,MATCH($O490,Items!$A$2:$A$1032,0))</f>
        <v>#N/A</v>
      </c>
      <c r="Q490" t="e">
        <f>INDEX(Items!C$2:C$1032,MATCH($O490,Items!$A$2:$A$1032,0))</f>
        <v>#N/A</v>
      </c>
      <c r="R490" t="e">
        <f>INDEX(Items!D$2:D$1032,MATCH($O490,Items!$A$2:$A$1032,0))</f>
        <v>#N/A</v>
      </c>
    </row>
    <row r="491" spans="1:18" x14ac:dyDescent="0.25">
      <c r="A491">
        <f t="shared" si="37"/>
        <v>1</v>
      </c>
      <c r="B491" t="str">
        <f t="shared" si="38"/>
        <v/>
      </c>
      <c r="C491">
        <f t="shared" si="40"/>
        <v>1</v>
      </c>
      <c r="D491" s="4"/>
      <c r="E491" t="s">
        <v>18</v>
      </c>
      <c r="F491" t="str">
        <f>INDEX(Establishment!B$2:B$1005,MATCH($E491,Establishment!$A$2:$A$1005,0))</f>
        <v xml:space="preserve"> </v>
      </c>
      <c r="G491" t="str">
        <f>INDEX(Establishment!C$2:C$1005,MATCH($E491,Establishment!$A$2:$A$1005,0))</f>
        <v xml:space="preserve"> </v>
      </c>
      <c r="M491">
        <f t="shared" si="41"/>
        <v>0</v>
      </c>
      <c r="N491">
        <f t="shared" si="39"/>
        <v>0</v>
      </c>
      <c r="P491" t="e">
        <f>INDEX(Items!B$2:B$1032,MATCH($O491,Items!$A$2:$A$1032,0))</f>
        <v>#N/A</v>
      </c>
      <c r="Q491" t="e">
        <f>INDEX(Items!C$2:C$1032,MATCH($O491,Items!$A$2:$A$1032,0))</f>
        <v>#N/A</v>
      </c>
      <c r="R491" t="e">
        <f>INDEX(Items!D$2:D$1032,MATCH($O491,Items!$A$2:$A$1032,0))</f>
        <v>#N/A</v>
      </c>
    </row>
    <row r="492" spans="1:18" x14ac:dyDescent="0.25">
      <c r="A492">
        <f t="shared" si="37"/>
        <v>1</v>
      </c>
      <c r="B492" t="str">
        <f t="shared" si="38"/>
        <v/>
      </c>
      <c r="C492">
        <f t="shared" si="40"/>
        <v>1</v>
      </c>
      <c r="D492" s="4"/>
      <c r="E492" t="s">
        <v>18</v>
      </c>
      <c r="F492" t="str">
        <f>INDEX(Establishment!B$2:B$1005,MATCH($E492,Establishment!$A$2:$A$1005,0))</f>
        <v xml:space="preserve"> </v>
      </c>
      <c r="G492" t="str">
        <f>INDEX(Establishment!C$2:C$1005,MATCH($E492,Establishment!$A$2:$A$1005,0))</f>
        <v xml:space="preserve"> </v>
      </c>
      <c r="M492">
        <f t="shared" si="41"/>
        <v>0</v>
      </c>
      <c r="N492">
        <f t="shared" si="39"/>
        <v>0</v>
      </c>
      <c r="P492" t="e">
        <f>INDEX(Items!B$2:B$1032,MATCH($O492,Items!$A$2:$A$1032,0))</f>
        <v>#N/A</v>
      </c>
      <c r="Q492" t="e">
        <f>INDEX(Items!C$2:C$1032,MATCH($O492,Items!$A$2:$A$1032,0))</f>
        <v>#N/A</v>
      </c>
      <c r="R492" t="e">
        <f>INDEX(Items!D$2:D$1032,MATCH($O492,Items!$A$2:$A$1032,0))</f>
        <v>#N/A</v>
      </c>
    </row>
    <row r="493" spans="1:18" x14ac:dyDescent="0.25">
      <c r="A493">
        <f t="shared" si="37"/>
        <v>1</v>
      </c>
      <c r="B493" t="str">
        <f t="shared" si="38"/>
        <v/>
      </c>
      <c r="C493">
        <f t="shared" si="40"/>
        <v>1</v>
      </c>
      <c r="D493" s="4"/>
      <c r="E493" t="s">
        <v>18</v>
      </c>
      <c r="F493" t="str">
        <f>INDEX(Establishment!B$2:B$1005,MATCH($E493,Establishment!$A$2:$A$1005,0))</f>
        <v xml:space="preserve"> </v>
      </c>
      <c r="G493" t="str">
        <f>INDEX(Establishment!C$2:C$1005,MATCH($E493,Establishment!$A$2:$A$1005,0))</f>
        <v xml:space="preserve"> </v>
      </c>
      <c r="M493">
        <f t="shared" si="41"/>
        <v>0</v>
      </c>
      <c r="N493">
        <f t="shared" si="39"/>
        <v>0</v>
      </c>
      <c r="P493" t="e">
        <f>INDEX(Items!B$2:B$1032,MATCH($O493,Items!$A$2:$A$1032,0))</f>
        <v>#N/A</v>
      </c>
      <c r="Q493" t="e">
        <f>INDEX(Items!C$2:C$1032,MATCH($O493,Items!$A$2:$A$1032,0))</f>
        <v>#N/A</v>
      </c>
      <c r="R493" t="e">
        <f>INDEX(Items!D$2:D$1032,MATCH($O493,Items!$A$2:$A$1032,0))</f>
        <v>#N/A</v>
      </c>
    </row>
    <row r="494" spans="1:18" x14ac:dyDescent="0.25">
      <c r="A494">
        <f t="shared" si="37"/>
        <v>1</v>
      </c>
      <c r="B494" t="str">
        <f t="shared" si="38"/>
        <v/>
      </c>
      <c r="C494">
        <f t="shared" si="40"/>
        <v>1</v>
      </c>
      <c r="D494" s="4"/>
      <c r="E494" t="s">
        <v>18</v>
      </c>
      <c r="F494" t="str">
        <f>INDEX(Establishment!B$2:B$1005,MATCH($E494,Establishment!$A$2:$A$1005,0))</f>
        <v xml:space="preserve"> </v>
      </c>
      <c r="G494" t="str">
        <f>INDEX(Establishment!C$2:C$1005,MATCH($E494,Establishment!$A$2:$A$1005,0))</f>
        <v xml:space="preserve"> </v>
      </c>
      <c r="M494">
        <f t="shared" si="41"/>
        <v>0</v>
      </c>
      <c r="N494">
        <f t="shared" si="39"/>
        <v>0</v>
      </c>
      <c r="P494" t="e">
        <f>INDEX(Items!B$2:B$1032,MATCH($O494,Items!$A$2:$A$1032,0))</f>
        <v>#N/A</v>
      </c>
      <c r="Q494" t="e">
        <f>INDEX(Items!C$2:C$1032,MATCH($O494,Items!$A$2:$A$1032,0))</f>
        <v>#N/A</v>
      </c>
      <c r="R494" t="e">
        <f>INDEX(Items!D$2:D$1032,MATCH($O494,Items!$A$2:$A$1032,0))</f>
        <v>#N/A</v>
      </c>
    </row>
    <row r="495" spans="1:18" x14ac:dyDescent="0.25">
      <c r="A495">
        <f t="shared" si="37"/>
        <v>1</v>
      </c>
      <c r="B495" t="str">
        <f t="shared" si="38"/>
        <v/>
      </c>
      <c r="C495">
        <f t="shared" si="40"/>
        <v>1</v>
      </c>
      <c r="D495" s="4"/>
      <c r="E495" t="s">
        <v>18</v>
      </c>
      <c r="F495" t="str">
        <f>INDEX(Establishment!B$2:B$1005,MATCH($E495,Establishment!$A$2:$A$1005,0))</f>
        <v xml:space="preserve"> </v>
      </c>
      <c r="G495" t="str">
        <f>INDEX(Establishment!C$2:C$1005,MATCH($E495,Establishment!$A$2:$A$1005,0))</f>
        <v xml:space="preserve"> </v>
      </c>
      <c r="M495">
        <f t="shared" si="41"/>
        <v>0</v>
      </c>
      <c r="N495">
        <f t="shared" si="39"/>
        <v>0</v>
      </c>
      <c r="P495" t="e">
        <f>INDEX(Items!B$2:B$1032,MATCH($O495,Items!$A$2:$A$1032,0))</f>
        <v>#N/A</v>
      </c>
      <c r="Q495" t="e">
        <f>INDEX(Items!C$2:C$1032,MATCH($O495,Items!$A$2:$A$1032,0))</f>
        <v>#N/A</v>
      </c>
      <c r="R495" t="e">
        <f>INDEX(Items!D$2:D$1032,MATCH($O495,Items!$A$2:$A$1032,0))</f>
        <v>#N/A</v>
      </c>
    </row>
    <row r="496" spans="1:18" x14ac:dyDescent="0.25">
      <c r="A496">
        <f t="shared" si="37"/>
        <v>1</v>
      </c>
      <c r="B496" t="str">
        <f t="shared" si="38"/>
        <v/>
      </c>
      <c r="C496">
        <f t="shared" si="40"/>
        <v>1</v>
      </c>
      <c r="D496" s="4"/>
      <c r="E496" t="s">
        <v>18</v>
      </c>
      <c r="F496" t="str">
        <f>INDEX(Establishment!B$2:B$1005,MATCH($E496,Establishment!$A$2:$A$1005,0))</f>
        <v xml:space="preserve"> </v>
      </c>
      <c r="G496" t="str">
        <f>INDEX(Establishment!C$2:C$1005,MATCH($E496,Establishment!$A$2:$A$1005,0))</f>
        <v xml:space="preserve"> </v>
      </c>
      <c r="M496">
        <f t="shared" si="41"/>
        <v>0</v>
      </c>
      <c r="N496">
        <f t="shared" si="39"/>
        <v>0</v>
      </c>
      <c r="P496" t="e">
        <f>INDEX(Items!B$2:B$1032,MATCH($O496,Items!$A$2:$A$1032,0))</f>
        <v>#N/A</v>
      </c>
      <c r="Q496" t="e">
        <f>INDEX(Items!C$2:C$1032,MATCH($O496,Items!$A$2:$A$1032,0))</f>
        <v>#N/A</v>
      </c>
      <c r="R496" t="e">
        <f>INDEX(Items!D$2:D$1032,MATCH($O496,Items!$A$2:$A$1032,0))</f>
        <v>#N/A</v>
      </c>
    </row>
    <row r="497" spans="1:18" x14ac:dyDescent="0.25">
      <c r="A497">
        <f t="shared" si="37"/>
        <v>1</v>
      </c>
      <c r="B497" t="str">
        <f t="shared" si="38"/>
        <v/>
      </c>
      <c r="C497">
        <f t="shared" si="40"/>
        <v>1</v>
      </c>
      <c r="D497" s="4"/>
      <c r="E497" t="s">
        <v>18</v>
      </c>
      <c r="F497" t="str">
        <f>INDEX(Establishment!B$2:B$1005,MATCH($E497,Establishment!$A$2:$A$1005,0))</f>
        <v xml:space="preserve"> </v>
      </c>
      <c r="G497" t="str">
        <f>INDEX(Establishment!C$2:C$1005,MATCH($E497,Establishment!$A$2:$A$1005,0))</f>
        <v xml:space="preserve"> </v>
      </c>
      <c r="M497">
        <f t="shared" si="41"/>
        <v>0</v>
      </c>
      <c r="N497">
        <f t="shared" si="39"/>
        <v>0</v>
      </c>
      <c r="P497" t="e">
        <f>INDEX(Items!B$2:B$1032,MATCH($O497,Items!$A$2:$A$1032,0))</f>
        <v>#N/A</v>
      </c>
      <c r="Q497" t="e">
        <f>INDEX(Items!C$2:C$1032,MATCH($O497,Items!$A$2:$A$1032,0))</f>
        <v>#N/A</v>
      </c>
      <c r="R497" t="e">
        <f>INDEX(Items!D$2:D$1032,MATCH($O497,Items!$A$2:$A$1032,0))</f>
        <v>#N/A</v>
      </c>
    </row>
    <row r="498" spans="1:18" x14ac:dyDescent="0.25">
      <c r="A498">
        <f t="shared" si="37"/>
        <v>1</v>
      </c>
      <c r="B498" t="str">
        <f t="shared" si="38"/>
        <v/>
      </c>
      <c r="C498">
        <f t="shared" si="40"/>
        <v>1</v>
      </c>
      <c r="D498" s="4"/>
      <c r="E498" t="s">
        <v>18</v>
      </c>
      <c r="F498" t="str">
        <f>INDEX(Establishment!B$2:B$1005,MATCH($E498,Establishment!$A$2:$A$1005,0))</f>
        <v xml:space="preserve"> </v>
      </c>
      <c r="G498" t="str">
        <f>INDEX(Establishment!C$2:C$1005,MATCH($E498,Establishment!$A$2:$A$1005,0))</f>
        <v xml:space="preserve"> </v>
      </c>
      <c r="M498">
        <f t="shared" si="41"/>
        <v>0</v>
      </c>
      <c r="N498">
        <f t="shared" si="39"/>
        <v>0</v>
      </c>
      <c r="P498" t="e">
        <f>INDEX(Items!B$2:B$1032,MATCH($O498,Items!$A$2:$A$1032,0))</f>
        <v>#N/A</v>
      </c>
      <c r="Q498" t="e">
        <f>INDEX(Items!C$2:C$1032,MATCH($O498,Items!$A$2:$A$1032,0))</f>
        <v>#N/A</v>
      </c>
      <c r="R498" t="e">
        <f>INDEX(Items!D$2:D$1032,MATCH($O498,Items!$A$2:$A$1032,0))</f>
        <v>#N/A</v>
      </c>
    </row>
    <row r="499" spans="1:18" x14ac:dyDescent="0.25">
      <c r="A499">
        <f t="shared" si="37"/>
        <v>1</v>
      </c>
      <c r="B499" t="str">
        <f t="shared" si="38"/>
        <v/>
      </c>
      <c r="C499">
        <f t="shared" si="40"/>
        <v>1</v>
      </c>
      <c r="D499" s="4"/>
      <c r="E499" t="s">
        <v>18</v>
      </c>
      <c r="F499" t="str">
        <f>INDEX(Establishment!B$2:B$1005,MATCH($E499,Establishment!$A$2:$A$1005,0))</f>
        <v xml:space="preserve"> </v>
      </c>
      <c r="G499" t="str">
        <f>INDEX(Establishment!C$2:C$1005,MATCH($E499,Establishment!$A$2:$A$1005,0))</f>
        <v xml:space="preserve"> </v>
      </c>
      <c r="M499">
        <f t="shared" si="41"/>
        <v>0</v>
      </c>
      <c r="N499">
        <f t="shared" si="39"/>
        <v>0</v>
      </c>
      <c r="P499" t="e">
        <f>INDEX(Items!B$2:B$1032,MATCH($O499,Items!$A$2:$A$1032,0))</f>
        <v>#N/A</v>
      </c>
      <c r="Q499" t="e">
        <f>INDEX(Items!C$2:C$1032,MATCH($O499,Items!$A$2:$A$1032,0))</f>
        <v>#N/A</v>
      </c>
      <c r="R499" t="e">
        <f>INDEX(Items!D$2:D$1032,MATCH($O499,Items!$A$2:$A$1032,0))</f>
        <v>#N/A</v>
      </c>
    </row>
  </sheetData>
  <autoFilter ref="A1:S499" xr:uid="{5F0E76B2-0B92-47EE-AE22-5D9D037037E9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F04790D2-EE60-4062-B4D7-7231C94E640C}">
          <x14:formula1>
            <xm:f>Misc!$A$2:$A$8</xm:f>
          </x14:formula1>
          <xm:sqref>H1:H1048576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76032-AD70-4C8B-96A0-9822E223EF8F}">
  <dimension ref="A1:S499"/>
  <sheetViews>
    <sheetView zoomScale="145" zoomScaleNormal="145"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bestFit="1" customWidth="1"/>
    <col min="2" max="2" width="11.140625" bestFit="1" customWidth="1"/>
    <col min="3" max="3" width="11.140625" customWidth="1"/>
    <col min="4" max="4" width="10.7109375" bestFit="1" customWidth="1"/>
    <col min="5" max="5" width="21.140625" bestFit="1" customWidth="1"/>
    <col min="6" max="6" width="13.7109375" bestFit="1" customWidth="1"/>
    <col min="7" max="7" width="9.7109375" bestFit="1" customWidth="1"/>
    <col min="8" max="8" width="13.7109375" bestFit="1" customWidth="1"/>
    <col min="9" max="9" width="8.140625" bestFit="1" customWidth="1"/>
    <col min="10" max="10" width="18.5703125" bestFit="1" customWidth="1"/>
    <col min="11" max="11" width="8.7109375" bestFit="1" customWidth="1"/>
    <col min="12" max="12" width="9.5703125" bestFit="1" customWidth="1"/>
    <col min="13" max="13" width="8.140625" bestFit="1" customWidth="1"/>
    <col min="14" max="14" width="11.140625" bestFit="1" customWidth="1"/>
    <col min="15" max="15" width="25.7109375" bestFit="1" customWidth="1"/>
    <col min="16" max="16" width="6.140625" bestFit="1" customWidth="1"/>
    <col min="17" max="17" width="12.7109375" bestFit="1" customWidth="1"/>
    <col min="18" max="18" width="7.140625" bestFit="1" customWidth="1"/>
  </cols>
  <sheetData>
    <row r="1" spans="1:19" ht="30" x14ac:dyDescent="0.25">
      <c r="A1" t="s">
        <v>0</v>
      </c>
      <c r="B1" s="2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f t="shared" ref="A2:A65" si="0">IF(OR(D2&lt;&gt;D1,D2=""),1,IF(NOT(AND(E2=E1,F2=F1,G2=G1)),A1+1,IF(OR(H2="",AND(H2&lt;&gt;"",H2&lt;&gt;H1,H1&lt;&gt;"")),A1,A1+1)))</f>
        <v>1</v>
      </c>
      <c r="B2" t="str">
        <f t="shared" ref="B2:B65" si="1">IF(D2&lt;&gt;"",TEXT(D2,"YYYYMMDD")&amp;CHAR(64+A2),"")</f>
        <v/>
      </c>
      <c r="C2">
        <f t="shared" ref="C2:C6" si="2">IF(OR(B2="",B2&lt;&gt;B10),1,C10+1)</f>
        <v>1</v>
      </c>
      <c r="D2" s="4"/>
      <c r="F2" t="e">
        <f>INDEX(Establishment!B$2:B$1005,MATCH($E2,Establishment!$A$2:$A$1005,0))</f>
        <v>#N/A</v>
      </c>
      <c r="G2" t="e">
        <f>INDEX(Establishment!C$2:C$1005,MATCH($E2,Establishment!$A$2:$A$1005,0))</f>
        <v>#N/A</v>
      </c>
      <c r="M2">
        <f t="shared" ref="M2:M6" si="3">K2*L2</f>
        <v>0</v>
      </c>
      <c r="N2">
        <f>IF(B2=B1,N1+M2,M2)</f>
        <v>0</v>
      </c>
      <c r="P2" t="e">
        <f>INDEX(Items!B$2:B$1032,MATCH($O2,Items!$A$2:$A$1032,0))</f>
        <v>#N/A</v>
      </c>
      <c r="Q2" t="e">
        <f>INDEX(Items!C$2:C$1032,MATCH($O2,Items!$A$2:$A$1032,0))</f>
        <v>#N/A</v>
      </c>
      <c r="R2" t="e">
        <f>INDEX(Items!D$2:D$1032,MATCH($O2,Items!$A$2:$A$1032,0))</f>
        <v>#N/A</v>
      </c>
    </row>
    <row r="3" spans="1:19" x14ac:dyDescent="0.25">
      <c r="A3">
        <f t="shared" si="0"/>
        <v>1</v>
      </c>
      <c r="B3" t="str">
        <f t="shared" si="1"/>
        <v/>
      </c>
      <c r="C3">
        <f t="shared" si="2"/>
        <v>1</v>
      </c>
      <c r="D3" s="4"/>
      <c r="F3" t="e">
        <f>INDEX(Establishment!B$2:B$1005,MATCH($E3,Establishment!$A$2:$A$1005,0))</f>
        <v>#N/A</v>
      </c>
      <c r="G3" t="e">
        <f>INDEX(Establishment!C$2:C$1005,MATCH($E3,Establishment!$A$2:$A$1005,0))</f>
        <v>#N/A</v>
      </c>
      <c r="M3">
        <f t="shared" si="3"/>
        <v>0</v>
      </c>
      <c r="N3">
        <f t="shared" ref="N3:N66" si="4">IF(B3=B2,N2+M3,M3)</f>
        <v>0</v>
      </c>
      <c r="P3" t="e">
        <f>INDEX(Items!B$2:B$1032,MATCH($O3,Items!$A$2:$A$1032,0))</f>
        <v>#N/A</v>
      </c>
      <c r="Q3" t="e">
        <f>INDEX(Items!C$2:C$1032,MATCH($O3,Items!$A$2:$A$1032,0))</f>
        <v>#N/A</v>
      </c>
      <c r="R3" t="e">
        <f>INDEX(Items!D$2:D$1032,MATCH($O3,Items!$A$2:$A$1032,0))</f>
        <v>#N/A</v>
      </c>
    </row>
    <row r="4" spans="1:19" x14ac:dyDescent="0.25">
      <c r="A4">
        <f t="shared" si="0"/>
        <v>1</v>
      </c>
      <c r="B4" t="str">
        <f t="shared" si="1"/>
        <v/>
      </c>
      <c r="C4">
        <f t="shared" si="2"/>
        <v>1</v>
      </c>
      <c r="D4" s="4"/>
      <c r="F4" t="e">
        <f>INDEX(Establishment!B$2:B$1005,MATCH($E4,Establishment!$A$2:$A$1005,0))</f>
        <v>#N/A</v>
      </c>
      <c r="G4" t="e">
        <f>INDEX(Establishment!C$2:C$1005,MATCH($E4,Establishment!$A$2:$A$1005,0))</f>
        <v>#N/A</v>
      </c>
      <c r="M4">
        <f t="shared" si="3"/>
        <v>0</v>
      </c>
      <c r="N4">
        <f t="shared" si="4"/>
        <v>0</v>
      </c>
      <c r="P4" t="e">
        <f>INDEX(Items!B$2:B$1032,MATCH($O4,Items!$A$2:$A$1032,0))</f>
        <v>#N/A</v>
      </c>
      <c r="Q4" t="e">
        <f>INDEX(Items!C$2:C$1032,MATCH($O4,Items!$A$2:$A$1032,0))</f>
        <v>#N/A</v>
      </c>
      <c r="R4" t="e">
        <f>INDEX(Items!D$2:D$1032,MATCH($O4,Items!$A$2:$A$1032,0))</f>
        <v>#N/A</v>
      </c>
    </row>
    <row r="5" spans="1:19" x14ac:dyDescent="0.25">
      <c r="A5">
        <f t="shared" si="0"/>
        <v>1</v>
      </c>
      <c r="B5" t="str">
        <f t="shared" si="1"/>
        <v/>
      </c>
      <c r="C5">
        <f t="shared" si="2"/>
        <v>1</v>
      </c>
      <c r="D5" s="4"/>
      <c r="F5" t="e">
        <f>INDEX(Establishment!B$2:B$1005,MATCH($E5,Establishment!$A$2:$A$1005,0))</f>
        <v>#N/A</v>
      </c>
      <c r="G5" t="e">
        <f>INDEX(Establishment!C$2:C$1005,MATCH($E5,Establishment!$A$2:$A$1005,0))</f>
        <v>#N/A</v>
      </c>
      <c r="M5">
        <f t="shared" si="3"/>
        <v>0</v>
      </c>
      <c r="N5">
        <f t="shared" si="4"/>
        <v>0</v>
      </c>
      <c r="P5" t="e">
        <f>INDEX(Items!B$2:B$1032,MATCH($O5,Items!$A$2:$A$1032,0))</f>
        <v>#N/A</v>
      </c>
      <c r="Q5" t="e">
        <f>INDEX(Items!C$2:C$1032,MATCH($O5,Items!$A$2:$A$1032,0))</f>
        <v>#N/A</v>
      </c>
      <c r="R5" t="e">
        <f>INDEX(Items!D$2:D$1032,MATCH($O5,Items!$A$2:$A$1032,0))</f>
        <v>#N/A</v>
      </c>
    </row>
    <row r="6" spans="1:19" x14ac:dyDescent="0.25">
      <c r="A6">
        <f t="shared" si="0"/>
        <v>1</v>
      </c>
      <c r="B6" t="str">
        <f t="shared" si="1"/>
        <v/>
      </c>
      <c r="C6">
        <f t="shared" si="2"/>
        <v>1</v>
      </c>
      <c r="D6" s="4"/>
      <c r="F6" t="e">
        <f>INDEX(Establishment!B$2:B$1005,MATCH($E6,Establishment!$A$2:$A$1005,0))</f>
        <v>#N/A</v>
      </c>
      <c r="G6" t="e">
        <f>INDEX(Establishment!C$2:C$1005,MATCH($E6,Establishment!$A$2:$A$1005,0))</f>
        <v>#N/A</v>
      </c>
      <c r="M6">
        <f t="shared" si="3"/>
        <v>0</v>
      </c>
      <c r="N6">
        <f t="shared" si="4"/>
        <v>0</v>
      </c>
      <c r="P6" t="e">
        <f>INDEX(Items!B$2:B$1032,MATCH($O6,Items!$A$2:$A$1032,0))</f>
        <v>#N/A</v>
      </c>
      <c r="Q6" t="e">
        <f>INDEX(Items!C$2:C$1032,MATCH($O6,Items!$A$2:$A$1032,0))</f>
        <v>#N/A</v>
      </c>
      <c r="R6" t="e">
        <f>INDEX(Items!D$2:D$1032,MATCH($O6,Items!$A$2:$A$1032,0))</f>
        <v>#N/A</v>
      </c>
    </row>
    <row r="7" spans="1:19" x14ac:dyDescent="0.25">
      <c r="A7">
        <f t="shared" si="0"/>
        <v>1</v>
      </c>
      <c r="B7" t="str">
        <f t="shared" si="1"/>
        <v/>
      </c>
      <c r="C7">
        <f>IF(OR(B7="",B7&lt;&gt;B15),1,C15+1)</f>
        <v>1</v>
      </c>
      <c r="D7" s="4"/>
      <c r="F7" t="e">
        <f>INDEX(Establishment!B$2:B$1005,MATCH($E7,Establishment!$A$2:$A$1005,0))</f>
        <v>#N/A</v>
      </c>
      <c r="G7" t="e">
        <f>INDEX(Establishment!C$2:C$1005,MATCH($E7,Establishment!$A$2:$A$1005,0))</f>
        <v>#N/A</v>
      </c>
      <c r="M7">
        <f>K7*L7</f>
        <v>0</v>
      </c>
      <c r="N7">
        <f t="shared" si="4"/>
        <v>0</v>
      </c>
      <c r="P7" t="e">
        <f>INDEX(Items!B$2:B$1032,MATCH($O7,Items!$A$2:$A$1032,0))</f>
        <v>#N/A</v>
      </c>
      <c r="Q7" t="e">
        <f>INDEX(Items!C$2:C$1032,MATCH($O7,Items!$A$2:$A$1032,0))</f>
        <v>#N/A</v>
      </c>
      <c r="R7" t="e">
        <f>INDEX(Items!D$2:D$1032,MATCH($O7,Items!$A$2:$A$1032,0))</f>
        <v>#N/A</v>
      </c>
    </row>
    <row r="8" spans="1:19" x14ac:dyDescent="0.25">
      <c r="A8">
        <f t="shared" si="0"/>
        <v>1</v>
      </c>
      <c r="B8" t="str">
        <f t="shared" si="1"/>
        <v/>
      </c>
      <c r="C8">
        <f>IF(OR(B8="",B8&lt;&gt;B7),1,C7+1)</f>
        <v>1</v>
      </c>
      <c r="D8" s="4"/>
      <c r="F8" t="e">
        <f>INDEX(Establishment!B$2:B$1005,MATCH($E8,Establishment!$A$2:$A$1005,0))</f>
        <v>#N/A</v>
      </c>
      <c r="G8" t="e">
        <f>INDEX(Establishment!C$2:C$1005,MATCH($E8,Establishment!$A$2:$A$1005,0))</f>
        <v>#N/A</v>
      </c>
      <c r="M8">
        <f>K8*L8</f>
        <v>0</v>
      </c>
      <c r="N8">
        <f t="shared" si="4"/>
        <v>0</v>
      </c>
      <c r="P8" t="e">
        <f>INDEX(Items!B$2:B$1032,MATCH($O8,Items!$A$2:$A$1032,0))</f>
        <v>#N/A</v>
      </c>
      <c r="Q8" t="e">
        <f>INDEX(Items!C$2:C$1032,MATCH($O8,Items!$A$2:$A$1032,0))</f>
        <v>#N/A</v>
      </c>
      <c r="R8" t="e">
        <f>INDEX(Items!D$2:D$1032,MATCH($O8,Items!$A$2:$A$1032,0))</f>
        <v>#N/A</v>
      </c>
    </row>
    <row r="9" spans="1:19" x14ac:dyDescent="0.25">
      <c r="A9">
        <f t="shared" si="0"/>
        <v>1</v>
      </c>
      <c r="B9" t="str">
        <f t="shared" si="1"/>
        <v/>
      </c>
      <c r="C9">
        <f>IF(OR(B9="",B9&lt;&gt;B8),1,C8+1)</f>
        <v>1</v>
      </c>
      <c r="D9" s="4"/>
      <c r="F9" t="e">
        <f>INDEX(Establishment!B$2:B$1005,MATCH($E9,Establishment!$A$2:$A$1005,0))</f>
        <v>#N/A</v>
      </c>
      <c r="G9" t="e">
        <f>INDEX(Establishment!C$2:C$1005,MATCH($E9,Establishment!$A$2:$A$1005,0))</f>
        <v>#N/A</v>
      </c>
      <c r="M9">
        <f>K9*L9</f>
        <v>0</v>
      </c>
      <c r="N9">
        <f t="shared" si="4"/>
        <v>0</v>
      </c>
      <c r="P9" t="e">
        <f>INDEX(Items!B$2:B$1032,MATCH($O9,Items!$A$2:$A$1032,0))</f>
        <v>#N/A</v>
      </c>
      <c r="Q9" t="e">
        <f>INDEX(Items!C$2:C$1032,MATCH($O9,Items!$A$2:$A$1032,0))</f>
        <v>#N/A</v>
      </c>
      <c r="R9" t="e">
        <f>INDEX(Items!D$2:D$1032,MATCH($O9,Items!$A$2:$A$1032,0))</f>
        <v>#N/A</v>
      </c>
    </row>
    <row r="10" spans="1:19" x14ac:dyDescent="0.25">
      <c r="A10">
        <f t="shared" si="0"/>
        <v>1</v>
      </c>
      <c r="B10" t="str">
        <f t="shared" si="1"/>
        <v/>
      </c>
      <c r="C10">
        <f t="shared" ref="C10:C73" si="5">IF(OR(B10="",B10&lt;&gt;B9),1,C9+1)</f>
        <v>1</v>
      </c>
      <c r="D10" s="4"/>
      <c r="F10" t="e">
        <f>INDEX(Establishment!B$2:B$1005,MATCH($E10,Establishment!$A$2:$A$1005,0))</f>
        <v>#N/A</v>
      </c>
      <c r="G10" t="e">
        <f>INDEX(Establishment!C$2:C$1005,MATCH($E10,Establishment!$A$2:$A$1005,0))</f>
        <v>#N/A</v>
      </c>
      <c r="M10">
        <f t="shared" ref="M10:M73" si="6">K10*L10</f>
        <v>0</v>
      </c>
      <c r="N10">
        <f t="shared" si="4"/>
        <v>0</v>
      </c>
      <c r="P10" t="e">
        <f>INDEX(Items!B$2:B$1032,MATCH($O10,Items!$A$2:$A$1032,0))</f>
        <v>#N/A</v>
      </c>
      <c r="Q10" t="e">
        <f>INDEX(Items!C$2:C$1032,MATCH($O10,Items!$A$2:$A$1032,0))</f>
        <v>#N/A</v>
      </c>
      <c r="R10" t="e">
        <f>INDEX(Items!D$2:D$1032,MATCH($O10,Items!$A$2:$A$1032,0))</f>
        <v>#N/A</v>
      </c>
    </row>
    <row r="11" spans="1:19" x14ac:dyDescent="0.25">
      <c r="A11">
        <f t="shared" si="0"/>
        <v>1</v>
      </c>
      <c r="B11" t="str">
        <f t="shared" si="1"/>
        <v/>
      </c>
      <c r="C11">
        <f t="shared" si="5"/>
        <v>1</v>
      </c>
      <c r="D11" s="4"/>
      <c r="F11" t="e">
        <f>INDEX(Establishment!B$2:B$1005,MATCH($E11,Establishment!$A$2:$A$1005,0))</f>
        <v>#N/A</v>
      </c>
      <c r="G11" t="e">
        <f>INDEX(Establishment!C$2:C$1005,MATCH($E11,Establishment!$A$2:$A$1005,0))</f>
        <v>#N/A</v>
      </c>
      <c r="M11">
        <f t="shared" si="6"/>
        <v>0</v>
      </c>
      <c r="N11">
        <f t="shared" si="4"/>
        <v>0</v>
      </c>
      <c r="P11" t="e">
        <f>INDEX(Items!B$2:B$1032,MATCH($O11,Items!$A$2:$A$1032,0))</f>
        <v>#N/A</v>
      </c>
      <c r="Q11" t="e">
        <f>INDEX(Items!C$2:C$1032,MATCH($O11,Items!$A$2:$A$1032,0))</f>
        <v>#N/A</v>
      </c>
      <c r="R11" t="e">
        <f>INDEX(Items!D$2:D$1032,MATCH($O11,Items!$A$2:$A$1032,0))</f>
        <v>#N/A</v>
      </c>
    </row>
    <row r="12" spans="1:19" x14ac:dyDescent="0.25">
      <c r="A12">
        <f t="shared" si="0"/>
        <v>1</v>
      </c>
      <c r="B12" t="str">
        <f t="shared" si="1"/>
        <v/>
      </c>
      <c r="C12">
        <f t="shared" si="5"/>
        <v>1</v>
      </c>
      <c r="D12" s="4"/>
      <c r="F12" t="e">
        <f>INDEX(Establishment!B$2:B$1005,MATCH($E12,Establishment!$A$2:$A$1005,0))</f>
        <v>#N/A</v>
      </c>
      <c r="G12" t="e">
        <f>INDEX(Establishment!C$2:C$1005,MATCH($E12,Establishment!$A$2:$A$1005,0))</f>
        <v>#N/A</v>
      </c>
      <c r="M12">
        <f t="shared" si="6"/>
        <v>0</v>
      </c>
      <c r="N12">
        <f t="shared" si="4"/>
        <v>0</v>
      </c>
      <c r="P12" t="e">
        <f>INDEX(Items!B$2:B$1032,MATCH($O12,Items!$A$2:$A$1032,0))</f>
        <v>#N/A</v>
      </c>
      <c r="Q12" t="e">
        <f>INDEX(Items!C$2:C$1032,MATCH($O12,Items!$A$2:$A$1032,0))</f>
        <v>#N/A</v>
      </c>
      <c r="R12" t="e">
        <f>INDEX(Items!D$2:D$1032,MATCH($O12,Items!$A$2:$A$1032,0))</f>
        <v>#N/A</v>
      </c>
    </row>
    <row r="13" spans="1:19" x14ac:dyDescent="0.25">
      <c r="A13">
        <f t="shared" si="0"/>
        <v>1</v>
      </c>
      <c r="B13" t="str">
        <f t="shared" si="1"/>
        <v/>
      </c>
      <c r="C13">
        <f t="shared" si="5"/>
        <v>1</v>
      </c>
      <c r="D13" s="4"/>
      <c r="F13" t="e">
        <f>INDEX(Establishment!B$2:B$1005,MATCH($E13,Establishment!$A$2:$A$1005,0))</f>
        <v>#N/A</v>
      </c>
      <c r="G13" t="e">
        <f>INDEX(Establishment!C$2:C$1005,MATCH($E13,Establishment!$A$2:$A$1005,0))</f>
        <v>#N/A</v>
      </c>
      <c r="M13">
        <f t="shared" si="6"/>
        <v>0</v>
      </c>
      <c r="N13">
        <f t="shared" si="4"/>
        <v>0</v>
      </c>
      <c r="P13" t="e">
        <f>INDEX(Items!B$2:B$1032,MATCH($O13,Items!$A$2:$A$1032,0))</f>
        <v>#N/A</v>
      </c>
      <c r="Q13" t="e">
        <f>INDEX(Items!C$2:C$1032,MATCH($O13,Items!$A$2:$A$1032,0))</f>
        <v>#N/A</v>
      </c>
      <c r="R13" t="e">
        <f>INDEX(Items!D$2:D$1032,MATCH($O13,Items!$A$2:$A$1032,0))</f>
        <v>#N/A</v>
      </c>
    </row>
    <row r="14" spans="1:19" x14ac:dyDescent="0.25">
      <c r="A14">
        <f t="shared" si="0"/>
        <v>1</v>
      </c>
      <c r="B14" t="str">
        <f t="shared" si="1"/>
        <v/>
      </c>
      <c r="C14">
        <f t="shared" si="5"/>
        <v>1</v>
      </c>
      <c r="D14" s="4"/>
      <c r="F14" t="e">
        <f>INDEX(Establishment!B$2:B$1005,MATCH($E14,Establishment!$A$2:$A$1005,0))</f>
        <v>#N/A</v>
      </c>
      <c r="G14" t="e">
        <f>INDEX(Establishment!C$2:C$1005,MATCH($E14,Establishment!$A$2:$A$1005,0))</f>
        <v>#N/A</v>
      </c>
      <c r="M14">
        <f t="shared" si="6"/>
        <v>0</v>
      </c>
      <c r="N14">
        <f t="shared" si="4"/>
        <v>0</v>
      </c>
      <c r="P14" t="e">
        <f>INDEX(Items!B$2:B$1032,MATCH($O14,Items!$A$2:$A$1032,0))</f>
        <v>#N/A</v>
      </c>
      <c r="Q14" t="e">
        <f>INDEX(Items!C$2:C$1032,MATCH($O14,Items!$A$2:$A$1032,0))</f>
        <v>#N/A</v>
      </c>
      <c r="R14" t="e">
        <f>INDEX(Items!D$2:D$1032,MATCH($O14,Items!$A$2:$A$1032,0))</f>
        <v>#N/A</v>
      </c>
    </row>
    <row r="15" spans="1:19" x14ac:dyDescent="0.25">
      <c r="A15">
        <f t="shared" si="0"/>
        <v>1</v>
      </c>
      <c r="B15" t="str">
        <f t="shared" si="1"/>
        <v/>
      </c>
      <c r="C15">
        <f t="shared" si="5"/>
        <v>1</v>
      </c>
      <c r="D15" s="4"/>
      <c r="F15" t="e">
        <f>INDEX(Establishment!B$2:B$1005,MATCH($E15,Establishment!$A$2:$A$1005,0))</f>
        <v>#N/A</v>
      </c>
      <c r="G15" t="e">
        <f>INDEX(Establishment!C$2:C$1005,MATCH($E15,Establishment!$A$2:$A$1005,0))</f>
        <v>#N/A</v>
      </c>
      <c r="M15">
        <f>K15*L15</f>
        <v>0</v>
      </c>
      <c r="N15">
        <f t="shared" si="4"/>
        <v>0</v>
      </c>
      <c r="P15" t="e">
        <f>INDEX(Items!B$2:B$1032,MATCH($O15,Items!$A$2:$A$1032,0))</f>
        <v>#N/A</v>
      </c>
      <c r="Q15" t="e">
        <f>INDEX(Items!C$2:C$1032,MATCH($O15,Items!$A$2:$A$1032,0))</f>
        <v>#N/A</v>
      </c>
      <c r="R15" t="e">
        <f>INDEX(Items!D$2:D$1032,MATCH($O15,Items!$A$2:$A$1032,0))</f>
        <v>#N/A</v>
      </c>
    </row>
    <row r="16" spans="1:19" x14ac:dyDescent="0.25">
      <c r="A16">
        <f t="shared" si="0"/>
        <v>1</v>
      </c>
      <c r="B16" t="str">
        <f t="shared" si="1"/>
        <v/>
      </c>
      <c r="C16">
        <f t="shared" si="5"/>
        <v>1</v>
      </c>
      <c r="D16" s="4"/>
      <c r="F16" t="e">
        <f>INDEX(Establishment!B$2:B$1005,MATCH($E16,Establishment!$A$2:$A$1005,0))</f>
        <v>#N/A</v>
      </c>
      <c r="G16" t="e">
        <f>INDEX(Establishment!C$2:C$1005,MATCH($E16,Establishment!$A$2:$A$1005,0))</f>
        <v>#N/A</v>
      </c>
      <c r="M16">
        <f t="shared" si="6"/>
        <v>0</v>
      </c>
      <c r="N16">
        <f t="shared" si="4"/>
        <v>0</v>
      </c>
      <c r="P16" t="e">
        <f>INDEX(Items!B$2:B$1032,MATCH($O16,Items!$A$2:$A$1032,0))</f>
        <v>#N/A</v>
      </c>
      <c r="Q16" t="e">
        <f>INDEX(Items!C$2:C$1032,MATCH($O16,Items!$A$2:$A$1032,0))</f>
        <v>#N/A</v>
      </c>
      <c r="R16" t="e">
        <f>INDEX(Items!D$2:D$1032,MATCH($O16,Items!$A$2:$A$1032,0))</f>
        <v>#N/A</v>
      </c>
    </row>
    <row r="17" spans="1:18" x14ac:dyDescent="0.25">
      <c r="A17">
        <f t="shared" si="0"/>
        <v>1</v>
      </c>
      <c r="B17" t="str">
        <f t="shared" si="1"/>
        <v/>
      </c>
      <c r="C17">
        <f t="shared" si="5"/>
        <v>1</v>
      </c>
      <c r="D17" s="4"/>
      <c r="F17" t="e">
        <f>INDEX(Establishment!B$2:B$1005,MATCH($E17,Establishment!$A$2:$A$1005,0))</f>
        <v>#N/A</v>
      </c>
      <c r="G17" t="e">
        <f>INDEX(Establishment!C$2:C$1005,MATCH($E17,Establishment!$A$2:$A$1005,0))</f>
        <v>#N/A</v>
      </c>
      <c r="M17">
        <f t="shared" si="6"/>
        <v>0</v>
      </c>
      <c r="N17">
        <f t="shared" si="4"/>
        <v>0</v>
      </c>
      <c r="P17" t="e">
        <f>INDEX(Items!B$2:B$1032,MATCH($O17,Items!$A$2:$A$1032,0))</f>
        <v>#N/A</v>
      </c>
      <c r="Q17" t="e">
        <f>INDEX(Items!C$2:C$1032,MATCH($O17,Items!$A$2:$A$1032,0))</f>
        <v>#N/A</v>
      </c>
      <c r="R17" t="e">
        <f>INDEX(Items!D$2:D$1032,MATCH($O17,Items!$A$2:$A$1032,0))</f>
        <v>#N/A</v>
      </c>
    </row>
    <row r="18" spans="1:18" x14ac:dyDescent="0.25">
      <c r="A18">
        <f t="shared" si="0"/>
        <v>1</v>
      </c>
      <c r="B18" t="str">
        <f t="shared" si="1"/>
        <v/>
      </c>
      <c r="C18">
        <f t="shared" si="5"/>
        <v>1</v>
      </c>
      <c r="D18" s="4"/>
      <c r="F18" t="e">
        <f>INDEX(Establishment!B$2:B$1005,MATCH($E18,Establishment!$A$2:$A$1005,0))</f>
        <v>#N/A</v>
      </c>
      <c r="G18" t="e">
        <f>INDEX(Establishment!C$2:C$1005,MATCH($E18,Establishment!$A$2:$A$1005,0))</f>
        <v>#N/A</v>
      </c>
      <c r="M18">
        <f t="shared" si="6"/>
        <v>0</v>
      </c>
      <c r="N18">
        <f t="shared" si="4"/>
        <v>0</v>
      </c>
      <c r="P18" t="e">
        <f>INDEX(Items!B$2:B$1032,MATCH($O18,Items!$A$2:$A$1032,0))</f>
        <v>#N/A</v>
      </c>
      <c r="Q18" t="e">
        <f>INDEX(Items!C$2:C$1032,MATCH($O18,Items!$A$2:$A$1032,0))</f>
        <v>#N/A</v>
      </c>
      <c r="R18" t="e">
        <f>INDEX(Items!D$2:D$1032,MATCH($O18,Items!$A$2:$A$1032,0))</f>
        <v>#N/A</v>
      </c>
    </row>
    <row r="19" spans="1:18" x14ac:dyDescent="0.25">
      <c r="A19">
        <f t="shared" si="0"/>
        <v>1</v>
      </c>
      <c r="B19" t="str">
        <f t="shared" si="1"/>
        <v/>
      </c>
      <c r="C19">
        <f t="shared" si="5"/>
        <v>1</v>
      </c>
      <c r="D19" s="4"/>
      <c r="F19" t="e">
        <f>INDEX(Establishment!B$2:B$1005,MATCH($E19,Establishment!$A$2:$A$1005,0))</f>
        <v>#N/A</v>
      </c>
      <c r="G19" t="e">
        <f>INDEX(Establishment!C$2:C$1005,MATCH($E19,Establishment!$A$2:$A$1005,0))</f>
        <v>#N/A</v>
      </c>
      <c r="M19">
        <f t="shared" si="6"/>
        <v>0</v>
      </c>
      <c r="N19">
        <f t="shared" si="4"/>
        <v>0</v>
      </c>
      <c r="P19" t="e">
        <f>INDEX(Items!B$2:B$1032,MATCH($O19,Items!$A$2:$A$1032,0))</f>
        <v>#N/A</v>
      </c>
      <c r="Q19" t="e">
        <f>INDEX(Items!C$2:C$1032,MATCH($O19,Items!$A$2:$A$1032,0))</f>
        <v>#N/A</v>
      </c>
      <c r="R19" t="e">
        <f>INDEX(Items!D$2:D$1032,MATCH($O19,Items!$A$2:$A$1032,0))</f>
        <v>#N/A</v>
      </c>
    </row>
    <row r="20" spans="1:18" x14ac:dyDescent="0.25">
      <c r="A20">
        <f t="shared" si="0"/>
        <v>1</v>
      </c>
      <c r="B20" t="str">
        <f t="shared" si="1"/>
        <v/>
      </c>
      <c r="C20">
        <f t="shared" si="5"/>
        <v>1</v>
      </c>
      <c r="D20" s="4"/>
      <c r="F20" t="e">
        <f>INDEX(Establishment!B$2:B$1005,MATCH($E20,Establishment!$A$2:$A$1005,0))</f>
        <v>#N/A</v>
      </c>
      <c r="G20" t="e">
        <f>INDEX(Establishment!C$2:C$1005,MATCH($E20,Establishment!$A$2:$A$1005,0))</f>
        <v>#N/A</v>
      </c>
      <c r="M20">
        <f t="shared" si="6"/>
        <v>0</v>
      </c>
      <c r="N20">
        <f t="shared" si="4"/>
        <v>0</v>
      </c>
      <c r="P20" t="e">
        <f>INDEX(Items!B$2:B$1032,MATCH($O20,Items!$A$2:$A$1032,0))</f>
        <v>#N/A</v>
      </c>
      <c r="Q20" t="e">
        <f>INDEX(Items!C$2:C$1032,MATCH($O20,Items!$A$2:$A$1032,0))</f>
        <v>#N/A</v>
      </c>
      <c r="R20" t="e">
        <f>INDEX(Items!D$2:D$1032,MATCH($O20,Items!$A$2:$A$1032,0))</f>
        <v>#N/A</v>
      </c>
    </row>
    <row r="21" spans="1:18" x14ac:dyDescent="0.25">
      <c r="A21">
        <f t="shared" si="0"/>
        <v>1</v>
      </c>
      <c r="B21" t="str">
        <f t="shared" si="1"/>
        <v/>
      </c>
      <c r="C21">
        <f t="shared" si="5"/>
        <v>1</v>
      </c>
      <c r="D21" s="4"/>
      <c r="F21" t="e">
        <f>INDEX(Establishment!B$2:B$1005,MATCH($E21,Establishment!$A$2:$A$1005,0))</f>
        <v>#N/A</v>
      </c>
      <c r="G21" t="e">
        <f>INDEX(Establishment!C$2:C$1005,MATCH($E21,Establishment!$A$2:$A$1005,0))</f>
        <v>#N/A</v>
      </c>
      <c r="M21">
        <f t="shared" si="6"/>
        <v>0</v>
      </c>
      <c r="N21">
        <f t="shared" si="4"/>
        <v>0</v>
      </c>
      <c r="P21" t="e">
        <f>INDEX(Items!B$2:B$1032,MATCH($O21,Items!$A$2:$A$1032,0))</f>
        <v>#N/A</v>
      </c>
      <c r="Q21" t="e">
        <f>INDEX(Items!C$2:C$1032,MATCH($O21,Items!$A$2:$A$1032,0))</f>
        <v>#N/A</v>
      </c>
      <c r="R21" t="e">
        <f>INDEX(Items!D$2:D$1032,MATCH($O21,Items!$A$2:$A$1032,0))</f>
        <v>#N/A</v>
      </c>
    </row>
    <row r="22" spans="1:18" x14ac:dyDescent="0.25">
      <c r="A22">
        <f t="shared" si="0"/>
        <v>1</v>
      </c>
      <c r="B22" t="str">
        <f t="shared" si="1"/>
        <v/>
      </c>
      <c r="C22">
        <f t="shared" si="5"/>
        <v>1</v>
      </c>
      <c r="D22" s="4"/>
      <c r="F22" t="e">
        <f>INDEX(Establishment!B$2:B$1005,MATCH($E22,Establishment!$A$2:$A$1005,0))</f>
        <v>#N/A</v>
      </c>
      <c r="G22" t="e">
        <f>INDEX(Establishment!C$2:C$1005,MATCH($E22,Establishment!$A$2:$A$1005,0))</f>
        <v>#N/A</v>
      </c>
      <c r="M22">
        <f t="shared" si="6"/>
        <v>0</v>
      </c>
      <c r="N22">
        <f t="shared" si="4"/>
        <v>0</v>
      </c>
      <c r="P22" t="e">
        <f>INDEX(Items!B$2:B$1032,MATCH($O22,Items!$A$2:$A$1032,0))</f>
        <v>#N/A</v>
      </c>
      <c r="Q22" t="e">
        <f>INDEX(Items!C$2:C$1032,MATCH($O22,Items!$A$2:$A$1032,0))</f>
        <v>#N/A</v>
      </c>
      <c r="R22" t="e">
        <f>INDEX(Items!D$2:D$1032,MATCH($O22,Items!$A$2:$A$1032,0))</f>
        <v>#N/A</v>
      </c>
    </row>
    <row r="23" spans="1:18" x14ac:dyDescent="0.25">
      <c r="A23">
        <f t="shared" si="0"/>
        <v>1</v>
      </c>
      <c r="B23" t="str">
        <f t="shared" si="1"/>
        <v/>
      </c>
      <c r="C23">
        <f t="shared" si="5"/>
        <v>1</v>
      </c>
      <c r="D23" s="4"/>
      <c r="F23" t="e">
        <f>INDEX(Establishment!B$2:B$1005,MATCH($E23,Establishment!$A$2:$A$1005,0))</f>
        <v>#N/A</v>
      </c>
      <c r="G23" t="e">
        <f>INDEX(Establishment!C$2:C$1005,MATCH($E23,Establishment!$A$2:$A$1005,0))</f>
        <v>#N/A</v>
      </c>
      <c r="M23">
        <f t="shared" si="6"/>
        <v>0</v>
      </c>
      <c r="N23">
        <f t="shared" si="4"/>
        <v>0</v>
      </c>
      <c r="P23" t="e">
        <f>INDEX(Items!B$2:B$1032,MATCH($O23,Items!$A$2:$A$1032,0))</f>
        <v>#N/A</v>
      </c>
      <c r="Q23" t="e">
        <f>INDEX(Items!C$2:C$1032,MATCH($O23,Items!$A$2:$A$1032,0))</f>
        <v>#N/A</v>
      </c>
      <c r="R23" t="e">
        <f>INDEX(Items!D$2:D$1032,MATCH($O23,Items!$A$2:$A$1032,0))</f>
        <v>#N/A</v>
      </c>
    </row>
    <row r="24" spans="1:18" x14ac:dyDescent="0.25">
      <c r="A24">
        <f t="shared" si="0"/>
        <v>1</v>
      </c>
      <c r="B24" t="str">
        <f t="shared" si="1"/>
        <v/>
      </c>
      <c r="C24">
        <f t="shared" si="5"/>
        <v>1</v>
      </c>
      <c r="D24" s="4"/>
      <c r="F24" t="e">
        <f>INDEX(Establishment!B$2:B$1005,MATCH($E24,Establishment!$A$2:$A$1005,0))</f>
        <v>#N/A</v>
      </c>
      <c r="G24" t="e">
        <f>INDEX(Establishment!C$2:C$1005,MATCH($E24,Establishment!$A$2:$A$1005,0))</f>
        <v>#N/A</v>
      </c>
      <c r="M24">
        <f t="shared" si="6"/>
        <v>0</v>
      </c>
      <c r="N24">
        <f t="shared" si="4"/>
        <v>0</v>
      </c>
      <c r="P24" t="e">
        <f>INDEX(Items!B$2:B$1032,MATCH($O24,Items!$A$2:$A$1032,0))</f>
        <v>#N/A</v>
      </c>
      <c r="Q24" t="e">
        <f>INDEX(Items!C$2:C$1032,MATCH($O24,Items!$A$2:$A$1032,0))</f>
        <v>#N/A</v>
      </c>
      <c r="R24" t="e">
        <f>INDEX(Items!D$2:D$1032,MATCH($O24,Items!$A$2:$A$1032,0))</f>
        <v>#N/A</v>
      </c>
    </row>
    <row r="25" spans="1:18" x14ac:dyDescent="0.25">
      <c r="A25">
        <f t="shared" si="0"/>
        <v>1</v>
      </c>
      <c r="B25" t="str">
        <f t="shared" si="1"/>
        <v/>
      </c>
      <c r="C25">
        <f t="shared" si="5"/>
        <v>1</v>
      </c>
      <c r="D25" s="4"/>
      <c r="F25" t="e">
        <f>INDEX(Establishment!B$2:B$1005,MATCH($E25,Establishment!$A$2:$A$1005,0))</f>
        <v>#N/A</v>
      </c>
      <c r="G25" t="e">
        <f>INDEX(Establishment!C$2:C$1005,MATCH($E25,Establishment!$A$2:$A$1005,0))</f>
        <v>#N/A</v>
      </c>
      <c r="M25">
        <f t="shared" si="6"/>
        <v>0</v>
      </c>
      <c r="N25">
        <f t="shared" si="4"/>
        <v>0</v>
      </c>
      <c r="P25" t="e">
        <f>INDEX(Items!B$2:B$1032,MATCH($O25,Items!$A$2:$A$1032,0))</f>
        <v>#N/A</v>
      </c>
      <c r="Q25" t="e">
        <f>INDEX(Items!C$2:C$1032,MATCH($O25,Items!$A$2:$A$1032,0))</f>
        <v>#N/A</v>
      </c>
      <c r="R25" t="e">
        <f>INDEX(Items!D$2:D$1032,MATCH($O25,Items!$A$2:$A$1032,0))</f>
        <v>#N/A</v>
      </c>
    </row>
    <row r="26" spans="1:18" x14ac:dyDescent="0.25">
      <c r="A26">
        <f t="shared" si="0"/>
        <v>1</v>
      </c>
      <c r="B26" t="str">
        <f t="shared" si="1"/>
        <v/>
      </c>
      <c r="C26">
        <f t="shared" si="5"/>
        <v>1</v>
      </c>
      <c r="D26" s="4"/>
      <c r="F26" t="s">
        <v>43</v>
      </c>
      <c r="G26" t="s">
        <v>44</v>
      </c>
      <c r="M26">
        <f t="shared" si="6"/>
        <v>0</v>
      </c>
      <c r="N26">
        <f t="shared" si="4"/>
        <v>0</v>
      </c>
      <c r="P26" t="e">
        <f>INDEX(Items!B$2:B$1032,MATCH($O26,Items!$A$2:$A$1032,0))</f>
        <v>#N/A</v>
      </c>
      <c r="Q26" t="e">
        <f>INDEX(Items!C$2:C$1032,MATCH($O26,Items!$A$2:$A$1032,0))</f>
        <v>#N/A</v>
      </c>
      <c r="R26" t="e">
        <f>INDEX(Items!D$2:D$1032,MATCH($O26,Items!$A$2:$A$1032,0))</f>
        <v>#N/A</v>
      </c>
    </row>
    <row r="27" spans="1:18" x14ac:dyDescent="0.25">
      <c r="A27">
        <f t="shared" si="0"/>
        <v>1</v>
      </c>
      <c r="B27" t="str">
        <f t="shared" si="1"/>
        <v/>
      </c>
      <c r="C27">
        <f t="shared" si="5"/>
        <v>1</v>
      </c>
      <c r="D27" s="4"/>
      <c r="F27" t="s">
        <v>43</v>
      </c>
      <c r="G27" t="s">
        <v>44</v>
      </c>
      <c r="M27">
        <f t="shared" si="6"/>
        <v>0</v>
      </c>
      <c r="N27">
        <f t="shared" si="4"/>
        <v>0</v>
      </c>
      <c r="P27" t="e">
        <f>INDEX(Items!B$2:B$1032,MATCH($O27,Items!$A$2:$A$1032,0))</f>
        <v>#N/A</v>
      </c>
      <c r="Q27" t="e">
        <f>INDEX(Items!C$2:C$1032,MATCH($O27,Items!$A$2:$A$1032,0))</f>
        <v>#N/A</v>
      </c>
      <c r="R27" t="e">
        <f>INDEX(Items!D$2:D$1032,MATCH($O27,Items!$A$2:$A$1032,0))</f>
        <v>#N/A</v>
      </c>
    </row>
    <row r="28" spans="1:18" x14ac:dyDescent="0.25">
      <c r="A28">
        <f t="shared" si="0"/>
        <v>1</v>
      </c>
      <c r="B28" t="str">
        <f t="shared" si="1"/>
        <v/>
      </c>
      <c r="C28">
        <f t="shared" si="5"/>
        <v>1</v>
      </c>
      <c r="D28" s="4"/>
      <c r="F28" t="s">
        <v>43</v>
      </c>
      <c r="G28" t="s">
        <v>44</v>
      </c>
      <c r="M28">
        <f t="shared" si="6"/>
        <v>0</v>
      </c>
      <c r="N28">
        <f t="shared" si="4"/>
        <v>0</v>
      </c>
      <c r="P28" t="e">
        <f>INDEX(Items!B$2:B$1032,MATCH($O28,Items!$A$2:$A$1032,0))</f>
        <v>#N/A</v>
      </c>
      <c r="Q28" t="e">
        <f>INDEX(Items!C$2:C$1032,MATCH($O28,Items!$A$2:$A$1032,0))</f>
        <v>#N/A</v>
      </c>
      <c r="R28" t="e">
        <f>INDEX(Items!D$2:D$1032,MATCH($O28,Items!$A$2:$A$1032,0))</f>
        <v>#N/A</v>
      </c>
    </row>
    <row r="29" spans="1:18" x14ac:dyDescent="0.25">
      <c r="A29">
        <f t="shared" si="0"/>
        <v>1</v>
      </c>
      <c r="B29" t="str">
        <f t="shared" si="1"/>
        <v/>
      </c>
      <c r="C29">
        <f t="shared" si="5"/>
        <v>1</v>
      </c>
      <c r="D29" s="4"/>
      <c r="F29" t="e">
        <f>INDEX(Establishment!B$2:B$1005,MATCH($E29,Establishment!$A$2:$A$1005,0))</f>
        <v>#N/A</v>
      </c>
      <c r="G29" t="e">
        <f>INDEX(Establishment!C$2:C$1005,MATCH($E29,Establishment!$A$2:$A$1005,0))</f>
        <v>#N/A</v>
      </c>
      <c r="M29">
        <f t="shared" si="6"/>
        <v>0</v>
      </c>
      <c r="N29">
        <f t="shared" si="4"/>
        <v>0</v>
      </c>
      <c r="P29" t="e">
        <f>INDEX(Items!B$2:B$1032,MATCH($O29,Items!$A$2:$A$1032,0))</f>
        <v>#N/A</v>
      </c>
      <c r="Q29" t="e">
        <f>INDEX(Items!C$2:C$1032,MATCH($O29,Items!$A$2:$A$1032,0))</f>
        <v>#N/A</v>
      </c>
      <c r="R29" t="e">
        <f>INDEX(Items!D$2:D$1032,MATCH($O29,Items!$A$2:$A$1032,0))</f>
        <v>#N/A</v>
      </c>
    </row>
    <row r="30" spans="1:18" x14ac:dyDescent="0.25">
      <c r="A30">
        <f t="shared" si="0"/>
        <v>1</v>
      </c>
      <c r="B30" t="str">
        <f t="shared" si="1"/>
        <v/>
      </c>
      <c r="C30">
        <f t="shared" si="5"/>
        <v>1</v>
      </c>
      <c r="D30" s="4"/>
      <c r="F30" t="e">
        <f>INDEX(Establishment!B$2:B$1005,MATCH($E30,Establishment!$A$2:$A$1005,0))</f>
        <v>#N/A</v>
      </c>
      <c r="G30" t="e">
        <f>INDEX(Establishment!C$2:C$1005,MATCH($E30,Establishment!$A$2:$A$1005,0))</f>
        <v>#N/A</v>
      </c>
      <c r="M30">
        <f t="shared" si="6"/>
        <v>0</v>
      </c>
      <c r="N30">
        <f t="shared" si="4"/>
        <v>0</v>
      </c>
      <c r="P30" t="e">
        <f>INDEX(Items!B$2:B$1032,MATCH($O30,Items!$A$2:$A$1032,0))</f>
        <v>#N/A</v>
      </c>
      <c r="Q30" t="e">
        <f>INDEX(Items!C$2:C$1032,MATCH($O30,Items!$A$2:$A$1032,0))</f>
        <v>#N/A</v>
      </c>
      <c r="R30" t="e">
        <f>INDEX(Items!D$2:D$1032,MATCH($O30,Items!$A$2:$A$1032,0))</f>
        <v>#N/A</v>
      </c>
    </row>
    <row r="31" spans="1:18" x14ac:dyDescent="0.25">
      <c r="A31">
        <f t="shared" si="0"/>
        <v>1</v>
      </c>
      <c r="B31" t="str">
        <f t="shared" si="1"/>
        <v/>
      </c>
      <c r="C31">
        <f t="shared" si="5"/>
        <v>1</v>
      </c>
      <c r="D31" s="4"/>
      <c r="F31" t="e">
        <f>INDEX(Establishment!B$2:B$1005,MATCH($E31,Establishment!$A$2:$A$1005,0))</f>
        <v>#N/A</v>
      </c>
      <c r="G31" t="e">
        <f>INDEX(Establishment!C$2:C$1005,MATCH($E31,Establishment!$A$2:$A$1005,0))</f>
        <v>#N/A</v>
      </c>
      <c r="M31">
        <f t="shared" si="6"/>
        <v>0</v>
      </c>
      <c r="N31">
        <f t="shared" si="4"/>
        <v>0</v>
      </c>
      <c r="P31" t="e">
        <f>INDEX(Items!B$2:B$1032,MATCH($O31,Items!$A$2:$A$1032,0))</f>
        <v>#N/A</v>
      </c>
      <c r="Q31" t="e">
        <f>INDEX(Items!C$2:C$1032,MATCH($O31,Items!$A$2:$A$1032,0))</f>
        <v>#N/A</v>
      </c>
      <c r="R31" t="e">
        <f>INDEX(Items!D$2:D$1032,MATCH($O31,Items!$A$2:$A$1032,0))</f>
        <v>#N/A</v>
      </c>
    </row>
    <row r="32" spans="1:18" x14ac:dyDescent="0.25">
      <c r="A32">
        <f t="shared" si="0"/>
        <v>1</v>
      </c>
      <c r="B32" t="str">
        <f t="shared" si="1"/>
        <v/>
      </c>
      <c r="C32">
        <f t="shared" si="5"/>
        <v>1</v>
      </c>
      <c r="D32" s="4"/>
      <c r="F32" t="s">
        <v>43</v>
      </c>
      <c r="G32" t="s">
        <v>46</v>
      </c>
      <c r="M32">
        <f t="shared" si="6"/>
        <v>0</v>
      </c>
      <c r="N32">
        <f t="shared" si="4"/>
        <v>0</v>
      </c>
      <c r="P32" t="e">
        <f>INDEX(Items!B$2:B$1032,MATCH($O32,Items!$A$2:$A$1032,0))</f>
        <v>#N/A</v>
      </c>
      <c r="Q32" t="e">
        <f>INDEX(Items!C$2:C$1032,MATCH($O32,Items!$A$2:$A$1032,0))</f>
        <v>#N/A</v>
      </c>
      <c r="R32" t="e">
        <f>INDEX(Items!D$2:D$1032,MATCH($O32,Items!$A$2:$A$1032,0))</f>
        <v>#N/A</v>
      </c>
    </row>
    <row r="33" spans="1:18" x14ac:dyDescent="0.25">
      <c r="A33">
        <f t="shared" si="0"/>
        <v>1</v>
      </c>
      <c r="B33" t="str">
        <f t="shared" si="1"/>
        <v/>
      </c>
      <c r="C33">
        <f t="shared" si="5"/>
        <v>1</v>
      </c>
      <c r="D33" s="4"/>
      <c r="F33" t="s">
        <v>43</v>
      </c>
      <c r="G33" t="s">
        <v>46</v>
      </c>
      <c r="M33">
        <f t="shared" si="6"/>
        <v>0</v>
      </c>
      <c r="N33">
        <f t="shared" si="4"/>
        <v>0</v>
      </c>
      <c r="P33" t="e">
        <f>INDEX(Items!B$2:B$1032,MATCH($O33,Items!$A$2:$A$1032,0))</f>
        <v>#N/A</v>
      </c>
      <c r="Q33" t="e">
        <f>INDEX(Items!C$2:C$1032,MATCH($O33,Items!$A$2:$A$1032,0))</f>
        <v>#N/A</v>
      </c>
      <c r="R33" t="e">
        <f>INDEX(Items!D$2:D$1032,MATCH($O33,Items!$A$2:$A$1032,0))</f>
        <v>#N/A</v>
      </c>
    </row>
    <row r="34" spans="1:18" x14ac:dyDescent="0.25">
      <c r="A34">
        <f t="shared" si="0"/>
        <v>1</v>
      </c>
      <c r="B34" t="str">
        <f t="shared" si="1"/>
        <v/>
      </c>
      <c r="C34">
        <f t="shared" si="5"/>
        <v>1</v>
      </c>
      <c r="D34" s="4"/>
      <c r="F34" t="s">
        <v>43</v>
      </c>
      <c r="G34" t="s">
        <v>46</v>
      </c>
      <c r="M34">
        <f t="shared" si="6"/>
        <v>0</v>
      </c>
      <c r="N34">
        <f t="shared" si="4"/>
        <v>0</v>
      </c>
      <c r="P34" t="e">
        <f>INDEX(Items!B$2:B$1032,MATCH($O34,Items!$A$2:$A$1032,0))</f>
        <v>#N/A</v>
      </c>
      <c r="Q34" t="e">
        <f>INDEX(Items!C$2:C$1032,MATCH($O34,Items!$A$2:$A$1032,0))</f>
        <v>#N/A</v>
      </c>
      <c r="R34" t="e">
        <f>INDEX(Items!D$2:D$1032,MATCH($O34,Items!$A$2:$A$1032,0))</f>
        <v>#N/A</v>
      </c>
    </row>
    <row r="35" spans="1:18" x14ac:dyDescent="0.25">
      <c r="A35">
        <f t="shared" si="0"/>
        <v>1</v>
      </c>
      <c r="B35" t="str">
        <f t="shared" si="1"/>
        <v/>
      </c>
      <c r="C35">
        <f t="shared" si="5"/>
        <v>1</v>
      </c>
      <c r="D35" s="4"/>
      <c r="F35" t="s">
        <v>43</v>
      </c>
      <c r="G35" t="s">
        <v>46</v>
      </c>
      <c r="M35">
        <f t="shared" si="6"/>
        <v>0</v>
      </c>
      <c r="N35">
        <f t="shared" si="4"/>
        <v>0</v>
      </c>
      <c r="P35" t="e">
        <f>INDEX(Items!B$2:B$1032,MATCH($O35,Items!$A$2:$A$1032,0))</f>
        <v>#N/A</v>
      </c>
      <c r="Q35" t="e">
        <f>INDEX(Items!C$2:C$1032,MATCH($O35,Items!$A$2:$A$1032,0))</f>
        <v>#N/A</v>
      </c>
      <c r="R35" t="e">
        <f>INDEX(Items!D$2:D$1032,MATCH($O35,Items!$A$2:$A$1032,0))</f>
        <v>#N/A</v>
      </c>
    </row>
    <row r="36" spans="1:18" x14ac:dyDescent="0.25">
      <c r="A36">
        <f t="shared" si="0"/>
        <v>1</v>
      </c>
      <c r="B36" t="str">
        <f t="shared" si="1"/>
        <v/>
      </c>
      <c r="C36">
        <f t="shared" si="5"/>
        <v>1</v>
      </c>
      <c r="D36" s="4"/>
      <c r="F36" t="s">
        <v>47</v>
      </c>
      <c r="G36" t="s">
        <v>46</v>
      </c>
      <c r="M36">
        <f t="shared" si="6"/>
        <v>0</v>
      </c>
      <c r="N36">
        <f t="shared" si="4"/>
        <v>0</v>
      </c>
      <c r="P36" t="e">
        <f>INDEX(Items!B$2:B$1032,MATCH($O36,Items!$A$2:$A$1032,0))</f>
        <v>#N/A</v>
      </c>
      <c r="Q36" t="e">
        <f>INDEX(Items!C$2:C$1032,MATCH($O36,Items!$A$2:$A$1032,0))</f>
        <v>#N/A</v>
      </c>
      <c r="R36" t="e">
        <f>INDEX(Items!D$2:D$1032,MATCH($O36,Items!$A$2:$A$1032,0))</f>
        <v>#N/A</v>
      </c>
    </row>
    <row r="37" spans="1:18" x14ac:dyDescent="0.25">
      <c r="A37">
        <f t="shared" si="0"/>
        <v>1</v>
      </c>
      <c r="B37" t="str">
        <f t="shared" si="1"/>
        <v/>
      </c>
      <c r="C37">
        <f t="shared" si="5"/>
        <v>1</v>
      </c>
      <c r="D37" s="4"/>
      <c r="F37" t="s">
        <v>47</v>
      </c>
      <c r="G37" t="s">
        <v>46</v>
      </c>
      <c r="M37">
        <f t="shared" si="6"/>
        <v>0</v>
      </c>
      <c r="N37">
        <f t="shared" si="4"/>
        <v>0</v>
      </c>
      <c r="P37" t="e">
        <f>INDEX(Items!B$2:B$1032,MATCH($O37,Items!$A$2:$A$1032,0))</f>
        <v>#N/A</v>
      </c>
      <c r="Q37" t="e">
        <f>INDEX(Items!C$2:C$1032,MATCH($O37,Items!$A$2:$A$1032,0))</f>
        <v>#N/A</v>
      </c>
      <c r="R37" t="e">
        <f>INDEX(Items!D$2:D$1032,MATCH($O37,Items!$A$2:$A$1032,0))</f>
        <v>#N/A</v>
      </c>
    </row>
    <row r="38" spans="1:18" x14ac:dyDescent="0.25">
      <c r="A38">
        <f t="shared" si="0"/>
        <v>1</v>
      </c>
      <c r="B38" t="str">
        <f t="shared" si="1"/>
        <v/>
      </c>
      <c r="C38">
        <f t="shared" si="5"/>
        <v>1</v>
      </c>
      <c r="D38" s="4"/>
      <c r="F38" t="s">
        <v>47</v>
      </c>
      <c r="G38" t="s">
        <v>46</v>
      </c>
      <c r="M38">
        <f t="shared" si="6"/>
        <v>0</v>
      </c>
      <c r="N38">
        <f t="shared" si="4"/>
        <v>0</v>
      </c>
      <c r="P38" t="e">
        <f>INDEX(Items!B$2:B$1032,MATCH($O38,Items!$A$2:$A$1032,0))</f>
        <v>#N/A</v>
      </c>
      <c r="Q38" t="e">
        <f>INDEX(Items!C$2:C$1032,MATCH($O38,Items!$A$2:$A$1032,0))</f>
        <v>#N/A</v>
      </c>
      <c r="R38" t="e">
        <f>INDEX(Items!D$2:D$1032,MATCH($O38,Items!$A$2:$A$1032,0))</f>
        <v>#N/A</v>
      </c>
    </row>
    <row r="39" spans="1:18" x14ac:dyDescent="0.25">
      <c r="A39">
        <f t="shared" si="0"/>
        <v>1</v>
      </c>
      <c r="B39" t="str">
        <f t="shared" si="1"/>
        <v/>
      </c>
      <c r="C39">
        <f t="shared" si="5"/>
        <v>1</v>
      </c>
      <c r="D39" s="4"/>
      <c r="F39" t="s">
        <v>47</v>
      </c>
      <c r="G39" t="s">
        <v>46</v>
      </c>
      <c r="M39">
        <f t="shared" si="6"/>
        <v>0</v>
      </c>
      <c r="N39">
        <f t="shared" si="4"/>
        <v>0</v>
      </c>
      <c r="P39" t="e">
        <f>INDEX(Items!B$2:B$1032,MATCH($O39,Items!$A$2:$A$1032,0))</f>
        <v>#N/A</v>
      </c>
      <c r="Q39" t="e">
        <f>INDEX(Items!C$2:C$1032,MATCH($O39,Items!$A$2:$A$1032,0))</f>
        <v>#N/A</v>
      </c>
      <c r="R39" t="e">
        <f>INDEX(Items!D$2:D$1032,MATCH($O39,Items!$A$2:$A$1032,0))</f>
        <v>#N/A</v>
      </c>
    </row>
    <row r="40" spans="1:18" x14ac:dyDescent="0.25">
      <c r="A40">
        <f t="shared" si="0"/>
        <v>1</v>
      </c>
      <c r="B40" t="str">
        <f t="shared" si="1"/>
        <v/>
      </c>
      <c r="C40">
        <f t="shared" si="5"/>
        <v>1</v>
      </c>
      <c r="D40" s="4"/>
      <c r="F40" t="s">
        <v>47</v>
      </c>
      <c r="G40" t="s">
        <v>46</v>
      </c>
      <c r="M40">
        <f t="shared" si="6"/>
        <v>0</v>
      </c>
      <c r="N40">
        <f t="shared" si="4"/>
        <v>0</v>
      </c>
      <c r="P40" t="e">
        <f>INDEX(Items!B$2:B$1032,MATCH($O40,Items!$A$2:$A$1032,0))</f>
        <v>#N/A</v>
      </c>
      <c r="Q40" t="e">
        <f>INDEX(Items!C$2:C$1032,MATCH($O40,Items!$A$2:$A$1032,0))</f>
        <v>#N/A</v>
      </c>
      <c r="R40" t="e">
        <f>INDEX(Items!D$2:D$1032,MATCH($O40,Items!$A$2:$A$1032,0))</f>
        <v>#N/A</v>
      </c>
    </row>
    <row r="41" spans="1:18" x14ac:dyDescent="0.25">
      <c r="A41">
        <f t="shared" si="0"/>
        <v>1</v>
      </c>
      <c r="B41" t="str">
        <f t="shared" si="1"/>
        <v/>
      </c>
      <c r="C41">
        <f t="shared" si="5"/>
        <v>1</v>
      </c>
      <c r="D41" s="4"/>
      <c r="F41" t="s">
        <v>47</v>
      </c>
      <c r="G41" t="s">
        <v>46</v>
      </c>
      <c r="M41">
        <f t="shared" si="6"/>
        <v>0</v>
      </c>
      <c r="N41">
        <f t="shared" si="4"/>
        <v>0</v>
      </c>
      <c r="P41" t="e">
        <f>INDEX(Items!B$2:B$1032,MATCH($O41,Items!$A$2:$A$1032,0))</f>
        <v>#N/A</v>
      </c>
      <c r="Q41" t="e">
        <f>INDEX(Items!C$2:C$1032,MATCH($O41,Items!$A$2:$A$1032,0))</f>
        <v>#N/A</v>
      </c>
      <c r="R41" t="e">
        <f>INDEX(Items!D$2:D$1032,MATCH($O41,Items!$A$2:$A$1032,0))</f>
        <v>#N/A</v>
      </c>
    </row>
    <row r="42" spans="1:18" x14ac:dyDescent="0.25">
      <c r="A42">
        <f t="shared" si="0"/>
        <v>1</v>
      </c>
      <c r="B42" t="str">
        <f t="shared" si="1"/>
        <v/>
      </c>
      <c r="C42">
        <f t="shared" si="5"/>
        <v>1</v>
      </c>
      <c r="D42" s="4"/>
      <c r="F42" t="s">
        <v>47</v>
      </c>
      <c r="G42" t="s">
        <v>46</v>
      </c>
      <c r="M42">
        <f t="shared" si="6"/>
        <v>0</v>
      </c>
      <c r="N42">
        <f t="shared" si="4"/>
        <v>0</v>
      </c>
      <c r="P42" t="e">
        <f>INDEX(Items!B$2:B$1032,MATCH($O42,Items!$A$2:$A$1032,0))</f>
        <v>#N/A</v>
      </c>
      <c r="Q42" t="e">
        <f>INDEX(Items!C$2:C$1032,MATCH($O42,Items!$A$2:$A$1032,0))</f>
        <v>#N/A</v>
      </c>
      <c r="R42" t="e">
        <f>INDEX(Items!D$2:D$1032,MATCH($O42,Items!$A$2:$A$1032,0))</f>
        <v>#N/A</v>
      </c>
    </row>
    <row r="43" spans="1:18" x14ac:dyDescent="0.25">
      <c r="A43">
        <f t="shared" si="0"/>
        <v>1</v>
      </c>
      <c r="B43" t="str">
        <f t="shared" si="1"/>
        <v/>
      </c>
      <c r="C43">
        <f t="shared" si="5"/>
        <v>1</v>
      </c>
      <c r="D43" s="4"/>
      <c r="F43" t="s">
        <v>47</v>
      </c>
      <c r="G43" t="s">
        <v>46</v>
      </c>
      <c r="M43">
        <f t="shared" si="6"/>
        <v>0</v>
      </c>
      <c r="N43">
        <f t="shared" si="4"/>
        <v>0</v>
      </c>
      <c r="P43" t="e">
        <f>INDEX(Items!B$2:B$1032,MATCH($O43,Items!$A$2:$A$1032,0))</f>
        <v>#N/A</v>
      </c>
      <c r="Q43" t="e">
        <f>INDEX(Items!C$2:C$1032,MATCH($O43,Items!$A$2:$A$1032,0))</f>
        <v>#N/A</v>
      </c>
      <c r="R43" t="e">
        <f>INDEX(Items!D$2:D$1032,MATCH($O43,Items!$A$2:$A$1032,0))</f>
        <v>#N/A</v>
      </c>
    </row>
    <row r="44" spans="1:18" x14ac:dyDescent="0.25">
      <c r="A44">
        <f t="shared" si="0"/>
        <v>1</v>
      </c>
      <c r="B44" t="str">
        <f t="shared" si="1"/>
        <v/>
      </c>
      <c r="C44">
        <f t="shared" si="5"/>
        <v>1</v>
      </c>
      <c r="D44" s="4"/>
      <c r="F44" t="s">
        <v>43</v>
      </c>
      <c r="G44" t="s">
        <v>48</v>
      </c>
      <c r="M44">
        <f t="shared" si="6"/>
        <v>0</v>
      </c>
      <c r="N44">
        <f t="shared" si="4"/>
        <v>0</v>
      </c>
      <c r="P44" t="e">
        <f>INDEX(Items!B$2:B$1032,MATCH($O44,Items!$A$2:$A$1032,0))</f>
        <v>#N/A</v>
      </c>
      <c r="Q44" t="e">
        <f>INDEX(Items!C$2:C$1032,MATCH($O44,Items!$A$2:$A$1032,0))</f>
        <v>#N/A</v>
      </c>
      <c r="R44" t="e">
        <f>INDEX(Items!D$2:D$1032,MATCH($O44,Items!$A$2:$A$1032,0))</f>
        <v>#N/A</v>
      </c>
    </row>
    <row r="45" spans="1:18" x14ac:dyDescent="0.25">
      <c r="A45">
        <f t="shared" si="0"/>
        <v>1</v>
      </c>
      <c r="B45" t="str">
        <f t="shared" si="1"/>
        <v/>
      </c>
      <c r="C45">
        <f t="shared" si="5"/>
        <v>1</v>
      </c>
      <c r="D45" s="4"/>
      <c r="F45" t="s">
        <v>43</v>
      </c>
      <c r="G45" t="s">
        <v>48</v>
      </c>
      <c r="M45">
        <f t="shared" si="6"/>
        <v>0</v>
      </c>
      <c r="N45">
        <f t="shared" si="4"/>
        <v>0</v>
      </c>
      <c r="P45" t="e">
        <f>INDEX(Items!B$2:B$1032,MATCH($O45,Items!$A$2:$A$1032,0))</f>
        <v>#N/A</v>
      </c>
      <c r="Q45" t="e">
        <f>INDEX(Items!C$2:C$1032,MATCH($O45,Items!$A$2:$A$1032,0))</f>
        <v>#N/A</v>
      </c>
      <c r="R45" t="e">
        <f>INDEX(Items!D$2:D$1032,MATCH($O45,Items!$A$2:$A$1032,0))</f>
        <v>#N/A</v>
      </c>
    </row>
    <row r="46" spans="1:18" x14ac:dyDescent="0.25">
      <c r="A46">
        <f t="shared" si="0"/>
        <v>1</v>
      </c>
      <c r="B46" t="str">
        <f t="shared" si="1"/>
        <v/>
      </c>
      <c r="C46">
        <f t="shared" si="5"/>
        <v>1</v>
      </c>
      <c r="D46" s="4"/>
      <c r="F46" t="e">
        <f>INDEX(Establishment!B$2:B$1005,MATCH($E46,Establishment!$A$2:$A$1005,0))</f>
        <v>#N/A</v>
      </c>
      <c r="G46" t="e">
        <f>INDEX(Establishment!C$2:C$1005,MATCH($E46,Establishment!$A$2:$A$1005,0))</f>
        <v>#N/A</v>
      </c>
      <c r="M46">
        <f t="shared" si="6"/>
        <v>0</v>
      </c>
      <c r="N46">
        <f t="shared" si="4"/>
        <v>0</v>
      </c>
      <c r="P46" t="e">
        <f>INDEX(Items!B$2:B$1032,MATCH($O46,Items!$A$2:$A$1032,0))</f>
        <v>#N/A</v>
      </c>
      <c r="Q46" t="e">
        <f>INDEX(Items!C$2:C$1032,MATCH($O46,Items!$A$2:$A$1032,0))</f>
        <v>#N/A</v>
      </c>
      <c r="R46" t="e">
        <f>INDEX(Items!D$2:D$1032,MATCH($O46,Items!$A$2:$A$1032,0))</f>
        <v>#N/A</v>
      </c>
    </row>
    <row r="47" spans="1:18" x14ac:dyDescent="0.25">
      <c r="A47">
        <f t="shared" si="0"/>
        <v>1</v>
      </c>
      <c r="B47" t="str">
        <f t="shared" si="1"/>
        <v/>
      </c>
      <c r="C47">
        <f t="shared" si="5"/>
        <v>1</v>
      </c>
      <c r="D47" s="4"/>
      <c r="F47" t="e">
        <f>INDEX(Establishment!B$2:B$1005,MATCH($E47,Establishment!$A$2:$A$1005,0))</f>
        <v>#N/A</v>
      </c>
      <c r="G47" t="e">
        <f>INDEX(Establishment!C$2:C$1005,MATCH($E47,Establishment!$A$2:$A$1005,0))</f>
        <v>#N/A</v>
      </c>
      <c r="M47">
        <f t="shared" si="6"/>
        <v>0</v>
      </c>
      <c r="N47">
        <f t="shared" si="4"/>
        <v>0</v>
      </c>
      <c r="P47" t="e">
        <f>INDEX(Items!B$2:B$1032,MATCH($O47,Items!$A$2:$A$1032,0))</f>
        <v>#N/A</v>
      </c>
      <c r="Q47" t="e">
        <f>INDEX(Items!C$2:C$1032,MATCH($O47,Items!$A$2:$A$1032,0))</f>
        <v>#N/A</v>
      </c>
      <c r="R47" t="e">
        <f>INDEX(Items!D$2:D$1032,MATCH($O47,Items!$A$2:$A$1032,0))</f>
        <v>#N/A</v>
      </c>
    </row>
    <row r="48" spans="1:18" x14ac:dyDescent="0.25">
      <c r="A48">
        <f t="shared" si="0"/>
        <v>1</v>
      </c>
      <c r="B48" t="str">
        <f t="shared" si="1"/>
        <v/>
      </c>
      <c r="C48">
        <f t="shared" si="5"/>
        <v>1</v>
      </c>
      <c r="D48" s="4"/>
      <c r="F48" t="e">
        <f>INDEX(Establishment!B$2:B$1005,MATCH($E48,Establishment!$A$2:$A$1005,0))</f>
        <v>#N/A</v>
      </c>
      <c r="G48" t="e">
        <f>INDEX(Establishment!C$2:C$1005,MATCH($E48,Establishment!$A$2:$A$1005,0))</f>
        <v>#N/A</v>
      </c>
      <c r="M48">
        <f t="shared" si="6"/>
        <v>0</v>
      </c>
      <c r="N48">
        <f t="shared" si="4"/>
        <v>0</v>
      </c>
      <c r="P48" t="e">
        <f>INDEX(Items!B$2:B$1032,MATCH($O48,Items!$A$2:$A$1032,0))</f>
        <v>#N/A</v>
      </c>
      <c r="Q48" t="e">
        <f>INDEX(Items!C$2:C$1032,MATCH($O48,Items!$A$2:$A$1032,0))</f>
        <v>#N/A</v>
      </c>
      <c r="R48" t="e">
        <f>INDEX(Items!D$2:D$1032,MATCH($O48,Items!$A$2:$A$1032,0))</f>
        <v>#N/A</v>
      </c>
    </row>
    <row r="49" spans="1:18" x14ac:dyDescent="0.25">
      <c r="A49">
        <f t="shared" si="0"/>
        <v>1</v>
      </c>
      <c r="B49" t="str">
        <f t="shared" si="1"/>
        <v/>
      </c>
      <c r="C49">
        <f t="shared" si="5"/>
        <v>1</v>
      </c>
      <c r="D49" s="4"/>
      <c r="F49" t="e">
        <f>INDEX(Establishment!B$2:B$1005,MATCH($E49,Establishment!$A$2:$A$1005,0))</f>
        <v>#N/A</v>
      </c>
      <c r="G49" t="e">
        <f>INDEX(Establishment!C$2:C$1005,MATCH($E49,Establishment!$A$2:$A$1005,0))</f>
        <v>#N/A</v>
      </c>
      <c r="M49">
        <f t="shared" si="6"/>
        <v>0</v>
      </c>
      <c r="N49">
        <f t="shared" si="4"/>
        <v>0</v>
      </c>
      <c r="P49" t="e">
        <f>INDEX(Items!B$2:B$1032,MATCH($O49,Items!$A$2:$A$1032,0))</f>
        <v>#N/A</v>
      </c>
      <c r="Q49" t="e">
        <f>INDEX(Items!C$2:C$1032,MATCH($O49,Items!$A$2:$A$1032,0))</f>
        <v>#N/A</v>
      </c>
      <c r="R49" t="e">
        <f>INDEX(Items!D$2:D$1032,MATCH($O49,Items!$A$2:$A$1032,0))</f>
        <v>#N/A</v>
      </c>
    </row>
    <row r="50" spans="1:18" x14ac:dyDescent="0.25">
      <c r="A50">
        <f t="shared" si="0"/>
        <v>1</v>
      </c>
      <c r="B50" t="str">
        <f t="shared" si="1"/>
        <v/>
      </c>
      <c r="C50">
        <f t="shared" si="5"/>
        <v>1</v>
      </c>
      <c r="D50" s="4"/>
      <c r="F50" t="e">
        <f>INDEX(Establishment!B$2:B$1005,MATCH($E50,Establishment!$A$2:$A$1005,0))</f>
        <v>#N/A</v>
      </c>
      <c r="G50" t="e">
        <f>INDEX(Establishment!C$2:C$1005,MATCH($E50,Establishment!$A$2:$A$1005,0))</f>
        <v>#N/A</v>
      </c>
      <c r="M50">
        <f t="shared" si="6"/>
        <v>0</v>
      </c>
      <c r="N50">
        <f t="shared" si="4"/>
        <v>0</v>
      </c>
      <c r="P50" t="e">
        <f>INDEX(Items!B$2:B$1032,MATCH($O50,Items!$A$2:$A$1032,0))</f>
        <v>#N/A</v>
      </c>
      <c r="Q50" t="e">
        <f>INDEX(Items!C$2:C$1032,MATCH($O50,Items!$A$2:$A$1032,0))</f>
        <v>#N/A</v>
      </c>
      <c r="R50" t="e">
        <f>INDEX(Items!D$2:D$1032,MATCH($O50,Items!$A$2:$A$1032,0))</f>
        <v>#N/A</v>
      </c>
    </row>
    <row r="51" spans="1:18" x14ac:dyDescent="0.25">
      <c r="A51">
        <f t="shared" si="0"/>
        <v>1</v>
      </c>
      <c r="B51" t="str">
        <f t="shared" si="1"/>
        <v/>
      </c>
      <c r="C51">
        <f t="shared" si="5"/>
        <v>1</v>
      </c>
      <c r="D51" s="4"/>
      <c r="F51" t="e">
        <f>INDEX(Establishment!B$2:B$1005,MATCH($E51,Establishment!$A$2:$A$1005,0))</f>
        <v>#N/A</v>
      </c>
      <c r="G51" t="e">
        <f>INDEX(Establishment!C$2:C$1005,MATCH($E51,Establishment!$A$2:$A$1005,0))</f>
        <v>#N/A</v>
      </c>
      <c r="M51">
        <f t="shared" si="6"/>
        <v>0</v>
      </c>
      <c r="N51">
        <f t="shared" si="4"/>
        <v>0</v>
      </c>
      <c r="P51" t="e">
        <f>INDEX(Items!B$2:B$1032,MATCH($O51,Items!$A$2:$A$1032,0))</f>
        <v>#N/A</v>
      </c>
      <c r="Q51" t="e">
        <f>INDEX(Items!C$2:C$1032,MATCH($O51,Items!$A$2:$A$1032,0))</f>
        <v>#N/A</v>
      </c>
      <c r="R51" t="e">
        <f>INDEX(Items!D$2:D$1032,MATCH($O51,Items!$A$2:$A$1032,0))</f>
        <v>#N/A</v>
      </c>
    </row>
    <row r="52" spans="1:18" x14ac:dyDescent="0.25">
      <c r="A52">
        <f t="shared" si="0"/>
        <v>1</v>
      </c>
      <c r="B52" t="str">
        <f t="shared" si="1"/>
        <v/>
      </c>
      <c r="C52">
        <f t="shared" si="5"/>
        <v>1</v>
      </c>
      <c r="D52" s="4"/>
      <c r="F52" t="e">
        <f>INDEX(Establishment!B$2:B$1005,MATCH($E52,Establishment!$A$2:$A$1005,0))</f>
        <v>#N/A</v>
      </c>
      <c r="G52" t="e">
        <f>INDEX(Establishment!C$2:C$1005,MATCH($E52,Establishment!$A$2:$A$1005,0))</f>
        <v>#N/A</v>
      </c>
      <c r="M52">
        <f t="shared" si="6"/>
        <v>0</v>
      </c>
      <c r="N52">
        <f t="shared" si="4"/>
        <v>0</v>
      </c>
      <c r="P52" t="e">
        <f>INDEX(Items!B$2:B$1032,MATCH($O52,Items!$A$2:$A$1032,0))</f>
        <v>#N/A</v>
      </c>
      <c r="Q52" t="e">
        <f>INDEX(Items!C$2:C$1032,MATCH($O52,Items!$A$2:$A$1032,0))</f>
        <v>#N/A</v>
      </c>
      <c r="R52" t="e">
        <f>INDEX(Items!D$2:D$1032,MATCH($O52,Items!$A$2:$A$1032,0))</f>
        <v>#N/A</v>
      </c>
    </row>
    <row r="53" spans="1:18" x14ac:dyDescent="0.25">
      <c r="A53">
        <f t="shared" si="0"/>
        <v>1</v>
      </c>
      <c r="B53" t="str">
        <f t="shared" si="1"/>
        <v/>
      </c>
      <c r="C53">
        <f t="shared" si="5"/>
        <v>1</v>
      </c>
      <c r="D53" s="4"/>
      <c r="F53" t="e">
        <f>INDEX(Establishment!B$2:B$1005,MATCH($E53,Establishment!$A$2:$A$1005,0))</f>
        <v>#N/A</v>
      </c>
      <c r="G53" t="e">
        <f>INDEX(Establishment!C$2:C$1005,MATCH($E53,Establishment!$A$2:$A$1005,0))</f>
        <v>#N/A</v>
      </c>
      <c r="M53">
        <f t="shared" si="6"/>
        <v>0</v>
      </c>
      <c r="N53">
        <f t="shared" si="4"/>
        <v>0</v>
      </c>
      <c r="P53" t="e">
        <f>INDEX(Items!B$2:B$1032,MATCH($O53,Items!$A$2:$A$1032,0))</f>
        <v>#N/A</v>
      </c>
      <c r="Q53" t="e">
        <f>INDEX(Items!C$2:C$1032,MATCH($O53,Items!$A$2:$A$1032,0))</f>
        <v>#N/A</v>
      </c>
      <c r="R53" t="e">
        <f>INDEX(Items!D$2:D$1032,MATCH($O53,Items!$A$2:$A$1032,0))</f>
        <v>#N/A</v>
      </c>
    </row>
    <row r="54" spans="1:18" x14ac:dyDescent="0.25">
      <c r="A54">
        <f t="shared" si="0"/>
        <v>1</v>
      </c>
      <c r="B54" t="str">
        <f t="shared" si="1"/>
        <v/>
      </c>
      <c r="C54">
        <f t="shared" si="5"/>
        <v>1</v>
      </c>
      <c r="D54" s="4"/>
      <c r="F54" t="e">
        <f>INDEX(Establishment!B$2:B$1005,MATCH($E54,Establishment!$A$2:$A$1005,0))</f>
        <v>#N/A</v>
      </c>
      <c r="G54" t="e">
        <f>INDEX(Establishment!C$2:C$1005,MATCH($E54,Establishment!$A$2:$A$1005,0))</f>
        <v>#N/A</v>
      </c>
      <c r="M54">
        <f t="shared" si="6"/>
        <v>0</v>
      </c>
      <c r="N54">
        <f t="shared" si="4"/>
        <v>0</v>
      </c>
      <c r="P54" t="e">
        <f>INDEX(Items!B$2:B$1032,MATCH($O54,Items!$A$2:$A$1032,0))</f>
        <v>#N/A</v>
      </c>
      <c r="Q54" t="e">
        <f>INDEX(Items!C$2:C$1032,MATCH($O54,Items!$A$2:$A$1032,0))</f>
        <v>#N/A</v>
      </c>
      <c r="R54" t="e">
        <f>INDEX(Items!D$2:D$1032,MATCH($O54,Items!$A$2:$A$1032,0))</f>
        <v>#N/A</v>
      </c>
    </row>
    <row r="55" spans="1:18" x14ac:dyDescent="0.25">
      <c r="A55">
        <f t="shared" si="0"/>
        <v>1</v>
      </c>
      <c r="B55" t="str">
        <f t="shared" si="1"/>
        <v/>
      </c>
      <c r="C55">
        <f t="shared" si="5"/>
        <v>1</v>
      </c>
      <c r="D55" s="4"/>
      <c r="F55" t="e">
        <f>INDEX(Establishment!B$2:B$1005,MATCH($E55,Establishment!$A$2:$A$1005,0))</f>
        <v>#N/A</v>
      </c>
      <c r="G55" t="e">
        <f>INDEX(Establishment!C$2:C$1005,MATCH($E55,Establishment!$A$2:$A$1005,0))</f>
        <v>#N/A</v>
      </c>
      <c r="M55">
        <f t="shared" si="6"/>
        <v>0</v>
      </c>
      <c r="N55">
        <f t="shared" si="4"/>
        <v>0</v>
      </c>
      <c r="P55" t="e">
        <f>INDEX(Items!B$2:B$1032,MATCH($O55,Items!$A$2:$A$1032,0))</f>
        <v>#N/A</v>
      </c>
      <c r="Q55" t="e">
        <f>INDEX(Items!C$2:C$1032,MATCH($O55,Items!$A$2:$A$1032,0))</f>
        <v>#N/A</v>
      </c>
      <c r="R55" t="e">
        <f>INDEX(Items!D$2:D$1032,MATCH($O55,Items!$A$2:$A$1032,0))</f>
        <v>#N/A</v>
      </c>
    </row>
    <row r="56" spans="1:18" x14ac:dyDescent="0.25">
      <c r="A56">
        <f t="shared" si="0"/>
        <v>1</v>
      </c>
      <c r="B56" t="str">
        <f t="shared" si="1"/>
        <v/>
      </c>
      <c r="C56">
        <f t="shared" si="5"/>
        <v>1</v>
      </c>
      <c r="D56" s="4"/>
      <c r="F56" t="e">
        <f>INDEX(Establishment!B$2:B$1005,MATCH($E56,Establishment!$A$2:$A$1005,0))</f>
        <v>#N/A</v>
      </c>
      <c r="G56" t="e">
        <f>INDEX(Establishment!C$2:C$1005,MATCH($E56,Establishment!$A$2:$A$1005,0))</f>
        <v>#N/A</v>
      </c>
      <c r="M56">
        <f t="shared" si="6"/>
        <v>0</v>
      </c>
      <c r="N56">
        <f t="shared" si="4"/>
        <v>0</v>
      </c>
      <c r="P56" t="e">
        <f>INDEX(Items!B$2:B$1032,MATCH($O56,Items!$A$2:$A$1032,0))</f>
        <v>#N/A</v>
      </c>
      <c r="Q56" t="e">
        <f>INDEX(Items!C$2:C$1032,MATCH($O56,Items!$A$2:$A$1032,0))</f>
        <v>#N/A</v>
      </c>
      <c r="R56" t="e">
        <f>INDEX(Items!D$2:D$1032,MATCH($O56,Items!$A$2:$A$1032,0))</f>
        <v>#N/A</v>
      </c>
    </row>
    <row r="57" spans="1:18" x14ac:dyDescent="0.25">
      <c r="A57">
        <f t="shared" si="0"/>
        <v>1</v>
      </c>
      <c r="B57" t="str">
        <f t="shared" si="1"/>
        <v/>
      </c>
      <c r="C57">
        <f t="shared" si="5"/>
        <v>1</v>
      </c>
      <c r="D57" s="4"/>
      <c r="F57" t="e">
        <f>INDEX(Establishment!B$2:B$1005,MATCH($E57,Establishment!$A$2:$A$1005,0))</f>
        <v>#N/A</v>
      </c>
      <c r="G57" t="e">
        <f>INDEX(Establishment!C$2:C$1005,MATCH($E57,Establishment!$A$2:$A$1005,0))</f>
        <v>#N/A</v>
      </c>
      <c r="M57">
        <f t="shared" si="6"/>
        <v>0</v>
      </c>
      <c r="N57">
        <f t="shared" si="4"/>
        <v>0</v>
      </c>
      <c r="P57" t="e">
        <f>INDEX(Items!B$2:B$1032,MATCH($O57,Items!$A$2:$A$1032,0))</f>
        <v>#N/A</v>
      </c>
      <c r="Q57" t="e">
        <f>INDEX(Items!C$2:C$1032,MATCH($O57,Items!$A$2:$A$1032,0))</f>
        <v>#N/A</v>
      </c>
      <c r="R57" t="e">
        <f>INDEX(Items!D$2:D$1032,MATCH($O57,Items!$A$2:$A$1032,0))</f>
        <v>#N/A</v>
      </c>
    </row>
    <row r="58" spans="1:18" x14ac:dyDescent="0.25">
      <c r="A58">
        <f t="shared" si="0"/>
        <v>1</v>
      </c>
      <c r="B58" t="str">
        <f t="shared" si="1"/>
        <v/>
      </c>
      <c r="C58">
        <f t="shared" si="5"/>
        <v>1</v>
      </c>
      <c r="D58" s="4"/>
      <c r="F58" t="e">
        <f>INDEX(Establishment!B$2:B$1005,MATCH($E58,Establishment!$A$2:$A$1005,0))</f>
        <v>#N/A</v>
      </c>
      <c r="G58" t="e">
        <f>INDEX(Establishment!C$2:C$1005,MATCH($E58,Establishment!$A$2:$A$1005,0))</f>
        <v>#N/A</v>
      </c>
      <c r="M58">
        <f t="shared" si="6"/>
        <v>0</v>
      </c>
      <c r="N58">
        <f t="shared" si="4"/>
        <v>0</v>
      </c>
      <c r="P58" t="e">
        <f>INDEX(Items!B$2:B$1032,MATCH($O58,Items!$A$2:$A$1032,0))</f>
        <v>#N/A</v>
      </c>
      <c r="Q58" t="e">
        <f>INDEX(Items!C$2:C$1032,MATCH($O58,Items!$A$2:$A$1032,0))</f>
        <v>#N/A</v>
      </c>
      <c r="R58" t="e">
        <f>INDEX(Items!D$2:D$1032,MATCH($O58,Items!$A$2:$A$1032,0))</f>
        <v>#N/A</v>
      </c>
    </row>
    <row r="59" spans="1:18" x14ac:dyDescent="0.25">
      <c r="A59">
        <f t="shared" si="0"/>
        <v>1</v>
      </c>
      <c r="B59" t="str">
        <f t="shared" si="1"/>
        <v/>
      </c>
      <c r="C59">
        <f t="shared" si="5"/>
        <v>1</v>
      </c>
      <c r="D59" s="4"/>
      <c r="F59" t="e">
        <f>INDEX(Establishment!B$2:B$1005,MATCH($E59,Establishment!$A$2:$A$1005,0))</f>
        <v>#N/A</v>
      </c>
      <c r="G59" t="e">
        <f>INDEX(Establishment!C$2:C$1005,MATCH($E59,Establishment!$A$2:$A$1005,0))</f>
        <v>#N/A</v>
      </c>
      <c r="M59">
        <f t="shared" si="6"/>
        <v>0</v>
      </c>
      <c r="N59">
        <f t="shared" si="4"/>
        <v>0</v>
      </c>
      <c r="P59" t="e">
        <f>INDEX(Items!B$2:B$1032,MATCH($O59,Items!$A$2:$A$1032,0))</f>
        <v>#N/A</v>
      </c>
      <c r="Q59" t="e">
        <f>INDEX(Items!C$2:C$1032,MATCH($O59,Items!$A$2:$A$1032,0))</f>
        <v>#N/A</v>
      </c>
      <c r="R59" t="e">
        <f>INDEX(Items!D$2:D$1032,MATCH($O59,Items!$A$2:$A$1032,0))</f>
        <v>#N/A</v>
      </c>
    </row>
    <row r="60" spans="1:18" x14ac:dyDescent="0.25">
      <c r="A60">
        <f t="shared" si="0"/>
        <v>1</v>
      </c>
      <c r="B60" t="str">
        <f t="shared" si="1"/>
        <v/>
      </c>
      <c r="C60">
        <f t="shared" si="5"/>
        <v>1</v>
      </c>
      <c r="D60" s="4"/>
      <c r="F60" t="e">
        <f>INDEX(Establishment!B$2:B$1005,MATCH($E60,Establishment!$A$2:$A$1005,0))</f>
        <v>#N/A</v>
      </c>
      <c r="G60" t="e">
        <f>INDEX(Establishment!C$2:C$1005,MATCH($E60,Establishment!$A$2:$A$1005,0))</f>
        <v>#N/A</v>
      </c>
      <c r="M60">
        <f t="shared" si="6"/>
        <v>0</v>
      </c>
      <c r="N60">
        <f t="shared" si="4"/>
        <v>0</v>
      </c>
      <c r="P60" t="e">
        <f>INDEX(Items!B$2:B$1032,MATCH($O60,Items!$A$2:$A$1032,0))</f>
        <v>#N/A</v>
      </c>
      <c r="Q60" t="e">
        <f>INDEX(Items!C$2:C$1032,MATCH($O60,Items!$A$2:$A$1032,0))</f>
        <v>#N/A</v>
      </c>
      <c r="R60" t="e">
        <f>INDEX(Items!D$2:D$1032,MATCH($O60,Items!$A$2:$A$1032,0))</f>
        <v>#N/A</v>
      </c>
    </row>
    <row r="61" spans="1:18" x14ac:dyDescent="0.25">
      <c r="A61">
        <f t="shared" si="0"/>
        <v>1</v>
      </c>
      <c r="B61" t="str">
        <f t="shared" si="1"/>
        <v/>
      </c>
      <c r="C61">
        <f t="shared" si="5"/>
        <v>1</v>
      </c>
      <c r="D61" s="4"/>
      <c r="F61" t="e">
        <f>INDEX(Establishment!B$2:B$1005,MATCH($E61,Establishment!$A$2:$A$1005,0))</f>
        <v>#N/A</v>
      </c>
      <c r="G61" t="e">
        <f>INDEX(Establishment!C$2:C$1005,MATCH($E61,Establishment!$A$2:$A$1005,0))</f>
        <v>#N/A</v>
      </c>
      <c r="M61">
        <f t="shared" si="6"/>
        <v>0</v>
      </c>
      <c r="N61">
        <f t="shared" si="4"/>
        <v>0</v>
      </c>
      <c r="P61" t="e">
        <f>INDEX(Items!B$2:B$1032,MATCH($O61,Items!$A$2:$A$1032,0))</f>
        <v>#N/A</v>
      </c>
      <c r="Q61" t="e">
        <f>INDEX(Items!C$2:C$1032,MATCH($O61,Items!$A$2:$A$1032,0))</f>
        <v>#N/A</v>
      </c>
      <c r="R61" t="e">
        <f>INDEX(Items!D$2:D$1032,MATCH($O61,Items!$A$2:$A$1032,0))</f>
        <v>#N/A</v>
      </c>
    </row>
    <row r="62" spans="1:18" x14ac:dyDescent="0.25">
      <c r="A62">
        <f t="shared" si="0"/>
        <v>1</v>
      </c>
      <c r="B62" t="str">
        <f t="shared" si="1"/>
        <v/>
      </c>
      <c r="C62">
        <f t="shared" si="5"/>
        <v>1</v>
      </c>
      <c r="D62" s="4"/>
      <c r="F62" t="e">
        <f>INDEX(Establishment!B$2:B$1005,MATCH($E62,Establishment!$A$2:$A$1005,0))</f>
        <v>#N/A</v>
      </c>
      <c r="G62" t="e">
        <f>INDEX(Establishment!C$2:C$1005,MATCH($E62,Establishment!$A$2:$A$1005,0))</f>
        <v>#N/A</v>
      </c>
      <c r="M62">
        <f t="shared" si="6"/>
        <v>0</v>
      </c>
      <c r="N62">
        <f t="shared" si="4"/>
        <v>0</v>
      </c>
      <c r="P62" t="e">
        <f>INDEX(Items!B$2:B$1032,MATCH($O62,Items!$A$2:$A$1032,0))</f>
        <v>#N/A</v>
      </c>
      <c r="Q62" t="e">
        <f>INDEX(Items!C$2:C$1032,MATCH($O62,Items!$A$2:$A$1032,0))</f>
        <v>#N/A</v>
      </c>
      <c r="R62" t="e">
        <f>INDEX(Items!D$2:D$1032,MATCH($O62,Items!$A$2:$A$1032,0))</f>
        <v>#N/A</v>
      </c>
    </row>
    <row r="63" spans="1:18" x14ac:dyDescent="0.25">
      <c r="A63">
        <f t="shared" si="0"/>
        <v>1</v>
      </c>
      <c r="B63" t="str">
        <f t="shared" si="1"/>
        <v/>
      </c>
      <c r="C63">
        <f t="shared" si="5"/>
        <v>1</v>
      </c>
      <c r="D63" s="4"/>
      <c r="F63" t="e">
        <f>INDEX(Establishment!B$2:B$1005,MATCH($E63,Establishment!$A$2:$A$1005,0))</f>
        <v>#N/A</v>
      </c>
      <c r="G63" t="e">
        <f>INDEX(Establishment!C$2:C$1005,MATCH($E63,Establishment!$A$2:$A$1005,0))</f>
        <v>#N/A</v>
      </c>
      <c r="M63">
        <f t="shared" si="6"/>
        <v>0</v>
      </c>
      <c r="N63">
        <f t="shared" si="4"/>
        <v>0</v>
      </c>
      <c r="P63" t="e">
        <f>INDEX(Items!B$2:B$1032,MATCH($O63,Items!$A$2:$A$1032,0))</f>
        <v>#N/A</v>
      </c>
      <c r="Q63" t="e">
        <f>INDEX(Items!C$2:C$1032,MATCH($O63,Items!$A$2:$A$1032,0))</f>
        <v>#N/A</v>
      </c>
      <c r="R63" t="e">
        <f>INDEX(Items!D$2:D$1032,MATCH($O63,Items!$A$2:$A$1032,0))</f>
        <v>#N/A</v>
      </c>
    </row>
    <row r="64" spans="1:18" x14ac:dyDescent="0.25">
      <c r="A64">
        <f t="shared" si="0"/>
        <v>1</v>
      </c>
      <c r="B64" t="str">
        <f t="shared" si="1"/>
        <v/>
      </c>
      <c r="C64">
        <f t="shared" si="5"/>
        <v>1</v>
      </c>
      <c r="D64" s="4"/>
      <c r="F64" t="e">
        <f>INDEX(Establishment!B$2:B$1005,MATCH($E64,Establishment!$A$2:$A$1005,0))</f>
        <v>#N/A</v>
      </c>
      <c r="G64" t="e">
        <f>INDEX(Establishment!C$2:C$1005,MATCH($E64,Establishment!$A$2:$A$1005,0))</f>
        <v>#N/A</v>
      </c>
      <c r="M64">
        <f t="shared" si="6"/>
        <v>0</v>
      </c>
      <c r="N64">
        <f t="shared" si="4"/>
        <v>0</v>
      </c>
      <c r="P64" t="e">
        <f>INDEX(Items!B$2:B$1032,MATCH($O64,Items!$A$2:$A$1032,0))</f>
        <v>#N/A</v>
      </c>
      <c r="Q64" t="e">
        <f>INDEX(Items!C$2:C$1032,MATCH($O64,Items!$A$2:$A$1032,0))</f>
        <v>#N/A</v>
      </c>
      <c r="R64" t="e">
        <f>INDEX(Items!D$2:D$1032,MATCH($O64,Items!$A$2:$A$1032,0))</f>
        <v>#N/A</v>
      </c>
    </row>
    <row r="65" spans="1:18" x14ac:dyDescent="0.25">
      <c r="A65">
        <f t="shared" si="0"/>
        <v>1</v>
      </c>
      <c r="B65" t="str">
        <f t="shared" si="1"/>
        <v/>
      </c>
      <c r="C65">
        <f t="shared" si="5"/>
        <v>1</v>
      </c>
      <c r="D65" s="4"/>
      <c r="F65" t="e">
        <f>INDEX(Establishment!B$2:B$1005,MATCH($E65,Establishment!$A$2:$A$1005,0))</f>
        <v>#N/A</v>
      </c>
      <c r="G65" t="e">
        <f>INDEX(Establishment!C$2:C$1005,MATCH($E65,Establishment!$A$2:$A$1005,0))</f>
        <v>#N/A</v>
      </c>
      <c r="M65">
        <f t="shared" si="6"/>
        <v>0</v>
      </c>
      <c r="N65">
        <f t="shared" si="4"/>
        <v>0</v>
      </c>
      <c r="P65" t="e">
        <f>INDEX(Items!B$2:B$1032,MATCH($O65,Items!$A$2:$A$1032,0))</f>
        <v>#N/A</v>
      </c>
      <c r="Q65" t="e">
        <f>INDEX(Items!C$2:C$1032,MATCH($O65,Items!$A$2:$A$1032,0))</f>
        <v>#N/A</v>
      </c>
      <c r="R65" t="e">
        <f>INDEX(Items!D$2:D$1032,MATCH($O65,Items!$A$2:$A$1032,0))</f>
        <v>#N/A</v>
      </c>
    </row>
    <row r="66" spans="1:18" x14ac:dyDescent="0.25">
      <c r="A66">
        <f t="shared" ref="A66:A129" si="7">IF(OR(D66&lt;&gt;D65,D66=""),1,IF(NOT(AND(E66=E65,F66=F65,G66=G65)),A65+1,IF(OR(H66="",AND(H66&lt;&gt;"",H66&lt;&gt;H65,H65&lt;&gt;"")),A65,A65+1)))</f>
        <v>1</v>
      </c>
      <c r="B66" t="str">
        <f t="shared" ref="B66:B129" si="8">IF(D66&lt;&gt;"",TEXT(D66,"YYYYMMDD")&amp;CHAR(64+A66),"")</f>
        <v/>
      </c>
      <c r="C66">
        <f t="shared" si="5"/>
        <v>1</v>
      </c>
      <c r="D66" s="4"/>
      <c r="F66" t="e">
        <f>INDEX(Establishment!B$2:B$1005,MATCH($E66,Establishment!$A$2:$A$1005,0))</f>
        <v>#N/A</v>
      </c>
      <c r="G66" t="e">
        <f>INDEX(Establishment!C$2:C$1005,MATCH($E66,Establishment!$A$2:$A$1005,0))</f>
        <v>#N/A</v>
      </c>
      <c r="M66">
        <f t="shared" si="6"/>
        <v>0</v>
      </c>
      <c r="N66">
        <f t="shared" si="4"/>
        <v>0</v>
      </c>
      <c r="P66" t="e">
        <f>INDEX(Items!B$2:B$1032,MATCH($O66,Items!$A$2:$A$1032,0))</f>
        <v>#N/A</v>
      </c>
      <c r="Q66" t="e">
        <f>INDEX(Items!C$2:C$1032,MATCH($O66,Items!$A$2:$A$1032,0))</f>
        <v>#N/A</v>
      </c>
      <c r="R66" t="e">
        <f>INDEX(Items!D$2:D$1032,MATCH($O66,Items!$A$2:$A$1032,0))</f>
        <v>#N/A</v>
      </c>
    </row>
    <row r="67" spans="1:18" x14ac:dyDescent="0.25">
      <c r="A67">
        <f t="shared" si="7"/>
        <v>1</v>
      </c>
      <c r="B67" t="str">
        <f t="shared" si="8"/>
        <v/>
      </c>
      <c r="C67">
        <f t="shared" si="5"/>
        <v>1</v>
      </c>
      <c r="D67" s="4"/>
      <c r="F67" t="s">
        <v>43</v>
      </c>
      <c r="G67" t="s">
        <v>46</v>
      </c>
      <c r="M67">
        <f t="shared" si="6"/>
        <v>0</v>
      </c>
      <c r="N67">
        <f t="shared" ref="N67:N130" si="9">IF(B67=B66,N66+M67,M67)</f>
        <v>0</v>
      </c>
      <c r="P67" t="e">
        <f>INDEX(Items!B$2:B$1032,MATCH($O67,Items!$A$2:$A$1032,0))</f>
        <v>#N/A</v>
      </c>
      <c r="Q67" t="e">
        <f>INDEX(Items!C$2:C$1032,MATCH($O67,Items!$A$2:$A$1032,0))</f>
        <v>#N/A</v>
      </c>
      <c r="R67" t="e">
        <f>INDEX(Items!D$2:D$1032,MATCH($O67,Items!$A$2:$A$1032,0))</f>
        <v>#N/A</v>
      </c>
    </row>
    <row r="68" spans="1:18" x14ac:dyDescent="0.25">
      <c r="A68">
        <f t="shared" si="7"/>
        <v>1</v>
      </c>
      <c r="B68" t="str">
        <f t="shared" si="8"/>
        <v/>
      </c>
      <c r="C68">
        <f t="shared" si="5"/>
        <v>1</v>
      </c>
      <c r="D68" s="4"/>
      <c r="F68" t="s">
        <v>43</v>
      </c>
      <c r="G68" t="s">
        <v>46</v>
      </c>
      <c r="M68">
        <f t="shared" si="6"/>
        <v>0</v>
      </c>
      <c r="N68">
        <f t="shared" si="9"/>
        <v>0</v>
      </c>
      <c r="P68" t="e">
        <f>INDEX(Items!B$2:B$1032,MATCH($O68,Items!$A$2:$A$1032,0))</f>
        <v>#N/A</v>
      </c>
      <c r="Q68" t="e">
        <f>INDEX(Items!C$2:C$1032,MATCH($O68,Items!$A$2:$A$1032,0))</f>
        <v>#N/A</v>
      </c>
      <c r="R68" t="e">
        <f>INDEX(Items!D$2:D$1032,MATCH($O68,Items!$A$2:$A$1032,0))</f>
        <v>#N/A</v>
      </c>
    </row>
    <row r="69" spans="1:18" x14ac:dyDescent="0.25">
      <c r="A69">
        <f t="shared" si="7"/>
        <v>1</v>
      </c>
      <c r="B69" t="str">
        <f t="shared" si="8"/>
        <v/>
      </c>
      <c r="C69">
        <f t="shared" si="5"/>
        <v>1</v>
      </c>
      <c r="D69" s="4"/>
      <c r="F69" t="s">
        <v>43</v>
      </c>
      <c r="G69" t="s">
        <v>46</v>
      </c>
      <c r="M69">
        <f t="shared" si="6"/>
        <v>0</v>
      </c>
      <c r="N69">
        <f t="shared" si="9"/>
        <v>0</v>
      </c>
      <c r="P69" t="e">
        <f>INDEX(Items!B$2:B$1032,MATCH($O69,Items!$A$2:$A$1032,0))</f>
        <v>#N/A</v>
      </c>
      <c r="Q69" t="e">
        <f>INDEX(Items!C$2:C$1032,MATCH($O69,Items!$A$2:$A$1032,0))</f>
        <v>#N/A</v>
      </c>
      <c r="R69" t="e">
        <f>INDEX(Items!D$2:D$1032,MATCH($O69,Items!$A$2:$A$1032,0))</f>
        <v>#N/A</v>
      </c>
    </row>
    <row r="70" spans="1:18" x14ac:dyDescent="0.25">
      <c r="A70">
        <f t="shared" si="7"/>
        <v>1</v>
      </c>
      <c r="B70" t="str">
        <f t="shared" si="8"/>
        <v/>
      </c>
      <c r="C70">
        <f t="shared" si="5"/>
        <v>1</v>
      </c>
      <c r="D70" s="4"/>
      <c r="F70" t="s">
        <v>43</v>
      </c>
      <c r="G70" t="s">
        <v>46</v>
      </c>
      <c r="M70">
        <f t="shared" si="6"/>
        <v>0</v>
      </c>
      <c r="N70">
        <f t="shared" si="9"/>
        <v>0</v>
      </c>
      <c r="P70" t="e">
        <f>INDEX(Items!B$2:B$1032,MATCH($O70,Items!$A$2:$A$1032,0))</f>
        <v>#N/A</v>
      </c>
      <c r="Q70" t="e">
        <f>INDEX(Items!C$2:C$1032,MATCH($O70,Items!$A$2:$A$1032,0))</f>
        <v>#N/A</v>
      </c>
      <c r="R70" t="e">
        <f>INDEX(Items!D$2:D$1032,MATCH($O70,Items!$A$2:$A$1032,0))</f>
        <v>#N/A</v>
      </c>
    </row>
    <row r="71" spans="1:18" x14ac:dyDescent="0.25">
      <c r="A71">
        <f t="shared" si="7"/>
        <v>1</v>
      </c>
      <c r="B71" t="str">
        <f t="shared" si="8"/>
        <v/>
      </c>
      <c r="C71">
        <f t="shared" si="5"/>
        <v>1</v>
      </c>
      <c r="D71" s="4"/>
      <c r="F71" t="s">
        <v>43</v>
      </c>
      <c r="G71" t="s">
        <v>46</v>
      </c>
      <c r="M71">
        <f t="shared" si="6"/>
        <v>0</v>
      </c>
      <c r="N71">
        <f t="shared" si="9"/>
        <v>0</v>
      </c>
      <c r="P71" t="e">
        <f>INDEX(Items!B$2:B$1032,MATCH($O71,Items!$A$2:$A$1032,0))</f>
        <v>#N/A</v>
      </c>
      <c r="Q71" t="e">
        <f>INDEX(Items!C$2:C$1032,MATCH($O71,Items!$A$2:$A$1032,0))</f>
        <v>#N/A</v>
      </c>
      <c r="R71" t="e">
        <f>INDEX(Items!D$2:D$1032,MATCH($O71,Items!$A$2:$A$1032,0))</f>
        <v>#N/A</v>
      </c>
    </row>
    <row r="72" spans="1:18" x14ac:dyDescent="0.25">
      <c r="A72">
        <f t="shared" si="7"/>
        <v>1</v>
      </c>
      <c r="B72" t="str">
        <f t="shared" si="8"/>
        <v/>
      </c>
      <c r="C72">
        <f t="shared" si="5"/>
        <v>1</v>
      </c>
      <c r="D72" s="4"/>
      <c r="F72" t="s">
        <v>53</v>
      </c>
      <c r="G72" t="s">
        <v>48</v>
      </c>
      <c r="M72">
        <f t="shared" si="6"/>
        <v>0</v>
      </c>
      <c r="N72">
        <f t="shared" si="9"/>
        <v>0</v>
      </c>
      <c r="P72" t="e">
        <f>INDEX(Items!B$2:B$1032,MATCH($O72,Items!$A$2:$A$1032,0))</f>
        <v>#N/A</v>
      </c>
      <c r="Q72" t="e">
        <f>INDEX(Items!C$2:C$1032,MATCH($O72,Items!$A$2:$A$1032,0))</f>
        <v>#N/A</v>
      </c>
      <c r="R72" t="e">
        <f>INDEX(Items!D$2:D$1032,MATCH($O72,Items!$A$2:$A$1032,0))</f>
        <v>#N/A</v>
      </c>
    </row>
    <row r="73" spans="1:18" x14ac:dyDescent="0.25">
      <c r="A73">
        <f t="shared" si="7"/>
        <v>1</v>
      </c>
      <c r="B73" t="str">
        <f t="shared" si="8"/>
        <v/>
      </c>
      <c r="C73">
        <f t="shared" si="5"/>
        <v>1</v>
      </c>
      <c r="D73" s="4"/>
      <c r="F73" t="s">
        <v>53</v>
      </c>
      <c r="G73" t="s">
        <v>48</v>
      </c>
      <c r="M73">
        <f t="shared" si="6"/>
        <v>0</v>
      </c>
      <c r="N73">
        <f t="shared" si="9"/>
        <v>0</v>
      </c>
      <c r="P73" t="e">
        <f>INDEX(Items!B$2:B$1032,MATCH($O73,Items!$A$2:$A$1032,0))</f>
        <v>#N/A</v>
      </c>
      <c r="Q73" t="e">
        <f>INDEX(Items!C$2:C$1032,MATCH($O73,Items!$A$2:$A$1032,0))</f>
        <v>#N/A</v>
      </c>
      <c r="R73" t="e">
        <f>INDEX(Items!D$2:D$1032,MATCH($O73,Items!$A$2:$A$1032,0))</f>
        <v>#N/A</v>
      </c>
    </row>
    <row r="74" spans="1:18" x14ac:dyDescent="0.25">
      <c r="A74">
        <f t="shared" si="7"/>
        <v>1</v>
      </c>
      <c r="B74" t="str">
        <f t="shared" si="8"/>
        <v/>
      </c>
      <c r="C74">
        <f t="shared" ref="C74:C137" si="10">IF(OR(B74="",B74&lt;&gt;B73),1,C73+1)</f>
        <v>1</v>
      </c>
      <c r="D74" s="4"/>
      <c r="F74" t="s">
        <v>43</v>
      </c>
      <c r="G74" t="s">
        <v>48</v>
      </c>
      <c r="M74">
        <f t="shared" ref="M74:M137" si="11">K74*L74</f>
        <v>0</v>
      </c>
      <c r="N74">
        <f t="shared" si="9"/>
        <v>0</v>
      </c>
      <c r="P74" t="e">
        <f>INDEX(Items!B$2:B$1032,MATCH($O74,Items!$A$2:$A$1032,0))</f>
        <v>#N/A</v>
      </c>
      <c r="Q74" t="e">
        <f>INDEX(Items!C$2:C$1032,MATCH($O74,Items!$A$2:$A$1032,0))</f>
        <v>#N/A</v>
      </c>
      <c r="R74" t="e">
        <f>INDEX(Items!D$2:D$1032,MATCH($O74,Items!$A$2:$A$1032,0))</f>
        <v>#N/A</v>
      </c>
    </row>
    <row r="75" spans="1:18" x14ac:dyDescent="0.25">
      <c r="A75">
        <f t="shared" si="7"/>
        <v>1</v>
      </c>
      <c r="B75" t="str">
        <f t="shared" si="8"/>
        <v/>
      </c>
      <c r="C75">
        <f t="shared" si="10"/>
        <v>1</v>
      </c>
      <c r="D75" s="4"/>
      <c r="F75" t="s">
        <v>43</v>
      </c>
      <c r="G75" t="s">
        <v>48</v>
      </c>
      <c r="M75">
        <f t="shared" si="11"/>
        <v>0</v>
      </c>
      <c r="N75">
        <f t="shared" si="9"/>
        <v>0</v>
      </c>
      <c r="P75" t="e">
        <f>INDEX(Items!B$2:B$1032,MATCH($O75,Items!$A$2:$A$1032,0))</f>
        <v>#N/A</v>
      </c>
      <c r="Q75" t="e">
        <f>INDEX(Items!C$2:C$1032,MATCH($O75,Items!$A$2:$A$1032,0))</f>
        <v>#N/A</v>
      </c>
      <c r="R75" t="e">
        <f>INDEX(Items!D$2:D$1032,MATCH($O75,Items!$A$2:$A$1032,0))</f>
        <v>#N/A</v>
      </c>
    </row>
    <row r="76" spans="1:18" x14ac:dyDescent="0.25">
      <c r="A76">
        <f t="shared" si="7"/>
        <v>1</v>
      </c>
      <c r="B76" t="str">
        <f t="shared" si="8"/>
        <v/>
      </c>
      <c r="C76">
        <f t="shared" si="10"/>
        <v>1</v>
      </c>
      <c r="D76" s="4"/>
      <c r="F76" t="s">
        <v>43</v>
      </c>
      <c r="G76" t="s">
        <v>48</v>
      </c>
      <c r="M76">
        <f t="shared" si="11"/>
        <v>0</v>
      </c>
      <c r="N76">
        <f t="shared" si="9"/>
        <v>0</v>
      </c>
      <c r="P76" t="e">
        <f>INDEX(Items!B$2:B$1032,MATCH($O76,Items!$A$2:$A$1032,0))</f>
        <v>#N/A</v>
      </c>
      <c r="Q76" t="e">
        <f>INDEX(Items!C$2:C$1032,MATCH($O76,Items!$A$2:$A$1032,0))</f>
        <v>#N/A</v>
      </c>
      <c r="R76" t="e">
        <f>INDEX(Items!D$2:D$1032,MATCH($O76,Items!$A$2:$A$1032,0))</f>
        <v>#N/A</v>
      </c>
    </row>
    <row r="77" spans="1:18" x14ac:dyDescent="0.25">
      <c r="A77">
        <f t="shared" si="7"/>
        <v>1</v>
      </c>
      <c r="B77" t="str">
        <f t="shared" si="8"/>
        <v/>
      </c>
      <c r="C77">
        <f t="shared" si="10"/>
        <v>1</v>
      </c>
      <c r="D77" s="4"/>
      <c r="F77" t="s">
        <v>43</v>
      </c>
      <c r="G77" t="s">
        <v>48</v>
      </c>
      <c r="M77">
        <f t="shared" si="11"/>
        <v>0</v>
      </c>
      <c r="N77">
        <f t="shared" si="9"/>
        <v>0</v>
      </c>
      <c r="P77" t="e">
        <f>INDEX(Items!B$2:B$1032,MATCH($O77,Items!$A$2:$A$1032,0))</f>
        <v>#N/A</v>
      </c>
      <c r="Q77" t="e">
        <f>INDEX(Items!C$2:C$1032,MATCH($O77,Items!$A$2:$A$1032,0))</f>
        <v>#N/A</v>
      </c>
      <c r="R77" t="e">
        <f>INDEX(Items!D$2:D$1032,MATCH($O77,Items!$A$2:$A$1032,0))</f>
        <v>#N/A</v>
      </c>
    </row>
    <row r="78" spans="1:18" x14ac:dyDescent="0.25">
      <c r="A78">
        <f t="shared" si="7"/>
        <v>1</v>
      </c>
      <c r="B78" t="str">
        <f t="shared" si="8"/>
        <v/>
      </c>
      <c r="C78">
        <f t="shared" si="10"/>
        <v>1</v>
      </c>
      <c r="D78" s="4"/>
      <c r="F78" t="s">
        <v>43</v>
      </c>
      <c r="G78" t="s">
        <v>48</v>
      </c>
      <c r="M78">
        <f t="shared" si="11"/>
        <v>0</v>
      </c>
      <c r="N78">
        <f t="shared" si="9"/>
        <v>0</v>
      </c>
      <c r="P78" t="e">
        <f>INDEX(Items!B$2:B$1032,MATCH($O78,Items!$A$2:$A$1032,0))</f>
        <v>#N/A</v>
      </c>
      <c r="Q78" t="e">
        <f>INDEX(Items!C$2:C$1032,MATCH($O78,Items!$A$2:$A$1032,0))</f>
        <v>#N/A</v>
      </c>
      <c r="R78" t="e">
        <f>INDEX(Items!D$2:D$1032,MATCH($O78,Items!$A$2:$A$1032,0))</f>
        <v>#N/A</v>
      </c>
    </row>
    <row r="79" spans="1:18" x14ac:dyDescent="0.25">
      <c r="A79">
        <f t="shared" si="7"/>
        <v>1</v>
      </c>
      <c r="B79" t="str">
        <f t="shared" si="8"/>
        <v/>
      </c>
      <c r="C79">
        <f t="shared" si="10"/>
        <v>1</v>
      </c>
      <c r="D79" s="4"/>
      <c r="F79" t="s">
        <v>43</v>
      </c>
      <c r="G79" t="s">
        <v>46</v>
      </c>
      <c r="M79">
        <f t="shared" si="11"/>
        <v>0</v>
      </c>
      <c r="N79">
        <f t="shared" si="9"/>
        <v>0</v>
      </c>
      <c r="P79" t="e">
        <f>INDEX(Items!B$2:B$1032,MATCH($O79,Items!$A$2:$A$1032,0))</f>
        <v>#N/A</v>
      </c>
      <c r="Q79" t="e">
        <f>INDEX(Items!C$2:C$1032,MATCH($O79,Items!$A$2:$A$1032,0))</f>
        <v>#N/A</v>
      </c>
      <c r="R79" t="e">
        <f>INDEX(Items!D$2:D$1032,MATCH($O79,Items!$A$2:$A$1032,0))</f>
        <v>#N/A</v>
      </c>
    </row>
    <row r="80" spans="1:18" x14ac:dyDescent="0.25">
      <c r="A80">
        <f t="shared" si="7"/>
        <v>1</v>
      </c>
      <c r="B80" t="str">
        <f t="shared" si="8"/>
        <v/>
      </c>
      <c r="C80">
        <f t="shared" si="10"/>
        <v>1</v>
      </c>
      <c r="D80" s="4"/>
      <c r="F80" t="s">
        <v>43</v>
      </c>
      <c r="G80" t="s">
        <v>46</v>
      </c>
      <c r="M80">
        <f t="shared" si="11"/>
        <v>0</v>
      </c>
      <c r="N80">
        <f t="shared" si="9"/>
        <v>0</v>
      </c>
      <c r="P80" t="e">
        <f>INDEX(Items!B$2:B$1032,MATCH($O80,Items!$A$2:$A$1032,0))</f>
        <v>#N/A</v>
      </c>
      <c r="Q80" t="e">
        <f>INDEX(Items!C$2:C$1032,MATCH($O80,Items!$A$2:$A$1032,0))</f>
        <v>#N/A</v>
      </c>
      <c r="R80" t="e">
        <f>INDEX(Items!D$2:D$1032,MATCH($O80,Items!$A$2:$A$1032,0))</f>
        <v>#N/A</v>
      </c>
    </row>
    <row r="81" spans="1:18" x14ac:dyDescent="0.25">
      <c r="A81">
        <f t="shared" si="7"/>
        <v>1</v>
      </c>
      <c r="B81" t="str">
        <f t="shared" si="8"/>
        <v/>
      </c>
      <c r="C81">
        <f t="shared" si="10"/>
        <v>1</v>
      </c>
      <c r="D81" s="4"/>
      <c r="F81" t="s">
        <v>43</v>
      </c>
      <c r="G81" t="s">
        <v>46</v>
      </c>
      <c r="M81">
        <f t="shared" si="11"/>
        <v>0</v>
      </c>
      <c r="N81">
        <f t="shared" si="9"/>
        <v>0</v>
      </c>
      <c r="P81" t="e">
        <f>INDEX(Items!B$2:B$1032,MATCH($O81,Items!$A$2:$A$1032,0))</f>
        <v>#N/A</v>
      </c>
      <c r="Q81" t="e">
        <f>INDEX(Items!C$2:C$1032,MATCH($O81,Items!$A$2:$A$1032,0))</f>
        <v>#N/A</v>
      </c>
      <c r="R81" t="e">
        <f>INDEX(Items!D$2:D$1032,MATCH($O81,Items!$A$2:$A$1032,0))</f>
        <v>#N/A</v>
      </c>
    </row>
    <row r="82" spans="1:18" x14ac:dyDescent="0.25">
      <c r="A82">
        <f t="shared" si="7"/>
        <v>1</v>
      </c>
      <c r="B82" t="str">
        <f t="shared" si="8"/>
        <v/>
      </c>
      <c r="C82">
        <f t="shared" si="10"/>
        <v>1</v>
      </c>
      <c r="D82" s="4"/>
      <c r="F82" t="s">
        <v>43</v>
      </c>
      <c r="G82" t="s">
        <v>46</v>
      </c>
      <c r="M82">
        <f t="shared" si="11"/>
        <v>0</v>
      </c>
      <c r="N82">
        <f t="shared" si="9"/>
        <v>0</v>
      </c>
      <c r="P82" t="e">
        <f>INDEX(Items!B$2:B$1032,MATCH($O82,Items!$A$2:$A$1032,0))</f>
        <v>#N/A</v>
      </c>
      <c r="Q82" t="e">
        <f>INDEX(Items!C$2:C$1032,MATCH($O82,Items!$A$2:$A$1032,0))</f>
        <v>#N/A</v>
      </c>
      <c r="R82" t="e">
        <f>INDEX(Items!D$2:D$1032,MATCH($O82,Items!$A$2:$A$1032,0))</f>
        <v>#N/A</v>
      </c>
    </row>
    <row r="83" spans="1:18" x14ac:dyDescent="0.25">
      <c r="A83">
        <f t="shared" si="7"/>
        <v>1</v>
      </c>
      <c r="B83" t="str">
        <f t="shared" si="8"/>
        <v/>
      </c>
      <c r="C83">
        <f t="shared" si="10"/>
        <v>1</v>
      </c>
      <c r="D83" s="4"/>
      <c r="F83" t="e">
        <f>INDEX(Establishment!B$2:B$1005,MATCH($E83,Establishment!$A$2:$A$1005,0))</f>
        <v>#N/A</v>
      </c>
      <c r="G83" t="e">
        <f>INDEX(Establishment!C$2:C$1005,MATCH($E83,Establishment!$A$2:$A$1005,0))</f>
        <v>#N/A</v>
      </c>
      <c r="M83">
        <f t="shared" si="11"/>
        <v>0</v>
      </c>
      <c r="N83">
        <f t="shared" si="9"/>
        <v>0</v>
      </c>
      <c r="P83" t="e">
        <f>INDEX(Items!B$2:B$1032,MATCH($O83,Items!$A$2:$A$1032,0))</f>
        <v>#N/A</v>
      </c>
      <c r="Q83" t="e">
        <f>INDEX(Items!C$2:C$1032,MATCH($O83,Items!$A$2:$A$1032,0))</f>
        <v>#N/A</v>
      </c>
      <c r="R83" t="e">
        <f>INDEX(Items!D$2:D$1032,MATCH($O83,Items!$A$2:$A$1032,0))</f>
        <v>#N/A</v>
      </c>
    </row>
    <row r="84" spans="1:18" x14ac:dyDescent="0.25">
      <c r="A84">
        <f t="shared" si="7"/>
        <v>1</v>
      </c>
      <c r="B84" t="str">
        <f t="shared" si="8"/>
        <v/>
      </c>
      <c r="C84">
        <f t="shared" si="10"/>
        <v>1</v>
      </c>
      <c r="D84" s="4"/>
      <c r="F84" t="e">
        <f>INDEX(Establishment!B$2:B$1005,MATCH($E84,Establishment!$A$2:$A$1005,0))</f>
        <v>#N/A</v>
      </c>
      <c r="G84" t="e">
        <f>INDEX(Establishment!C$2:C$1005,MATCH($E84,Establishment!$A$2:$A$1005,0))</f>
        <v>#N/A</v>
      </c>
      <c r="M84">
        <f t="shared" si="11"/>
        <v>0</v>
      </c>
      <c r="N84">
        <f t="shared" si="9"/>
        <v>0</v>
      </c>
      <c r="P84" t="e">
        <f>INDEX(Items!B$2:B$1032,MATCH($O84,Items!$A$2:$A$1032,0))</f>
        <v>#N/A</v>
      </c>
      <c r="Q84" t="e">
        <f>INDEX(Items!C$2:C$1032,MATCH($O84,Items!$A$2:$A$1032,0))</f>
        <v>#N/A</v>
      </c>
      <c r="R84" t="e">
        <f>INDEX(Items!D$2:D$1032,MATCH($O84,Items!$A$2:$A$1032,0))</f>
        <v>#N/A</v>
      </c>
    </row>
    <row r="85" spans="1:18" x14ac:dyDescent="0.25">
      <c r="A85">
        <f t="shared" si="7"/>
        <v>1</v>
      </c>
      <c r="B85" t="str">
        <f t="shared" si="8"/>
        <v/>
      </c>
      <c r="C85">
        <f t="shared" si="10"/>
        <v>1</v>
      </c>
      <c r="D85" s="4"/>
      <c r="F85" t="e">
        <f>INDEX(Establishment!B$2:B$1005,MATCH($E85,Establishment!$A$2:$A$1005,0))</f>
        <v>#N/A</v>
      </c>
      <c r="G85" t="e">
        <f>INDEX(Establishment!C$2:C$1005,MATCH($E85,Establishment!$A$2:$A$1005,0))</f>
        <v>#N/A</v>
      </c>
      <c r="M85">
        <f t="shared" si="11"/>
        <v>0</v>
      </c>
      <c r="N85">
        <f t="shared" si="9"/>
        <v>0</v>
      </c>
      <c r="P85" t="e">
        <f>INDEX(Items!B$2:B$1032,MATCH($O85,Items!$A$2:$A$1032,0))</f>
        <v>#N/A</v>
      </c>
      <c r="Q85" t="e">
        <f>INDEX(Items!C$2:C$1032,MATCH($O85,Items!$A$2:$A$1032,0))</f>
        <v>#N/A</v>
      </c>
      <c r="R85" t="e">
        <f>INDEX(Items!D$2:D$1032,MATCH($O85,Items!$A$2:$A$1032,0))</f>
        <v>#N/A</v>
      </c>
    </row>
    <row r="86" spans="1:18" x14ac:dyDescent="0.25">
      <c r="A86">
        <f t="shared" si="7"/>
        <v>1</v>
      </c>
      <c r="B86" t="str">
        <f t="shared" si="8"/>
        <v/>
      </c>
      <c r="C86">
        <f t="shared" si="10"/>
        <v>1</v>
      </c>
      <c r="D86" s="4"/>
      <c r="F86" t="e">
        <f>INDEX(Establishment!B$2:B$1005,MATCH($E86,Establishment!$A$2:$A$1005,0))</f>
        <v>#N/A</v>
      </c>
      <c r="G86" t="e">
        <f>INDEX(Establishment!C$2:C$1005,MATCH($E86,Establishment!$A$2:$A$1005,0))</f>
        <v>#N/A</v>
      </c>
      <c r="M86">
        <f t="shared" si="11"/>
        <v>0</v>
      </c>
      <c r="N86">
        <f t="shared" si="9"/>
        <v>0</v>
      </c>
      <c r="P86" t="e">
        <f>INDEX(Items!B$2:B$1032,MATCH($O86,Items!$A$2:$A$1032,0))</f>
        <v>#N/A</v>
      </c>
      <c r="Q86" t="e">
        <f>INDEX(Items!C$2:C$1032,MATCH($O86,Items!$A$2:$A$1032,0))</f>
        <v>#N/A</v>
      </c>
      <c r="R86" t="e">
        <f>INDEX(Items!D$2:D$1032,MATCH($O86,Items!$A$2:$A$1032,0))</f>
        <v>#N/A</v>
      </c>
    </row>
    <row r="87" spans="1:18" x14ac:dyDescent="0.25">
      <c r="A87">
        <f t="shared" si="7"/>
        <v>1</v>
      </c>
      <c r="B87" t="str">
        <f t="shared" si="8"/>
        <v/>
      </c>
      <c r="C87">
        <f t="shared" si="10"/>
        <v>1</v>
      </c>
      <c r="D87" s="4"/>
      <c r="F87" t="e">
        <f>INDEX(Establishment!B$2:B$1005,MATCH($E87,Establishment!$A$2:$A$1005,0))</f>
        <v>#N/A</v>
      </c>
      <c r="G87" t="e">
        <f>INDEX(Establishment!C$2:C$1005,MATCH($E87,Establishment!$A$2:$A$1005,0))</f>
        <v>#N/A</v>
      </c>
      <c r="M87">
        <f t="shared" si="11"/>
        <v>0</v>
      </c>
      <c r="N87">
        <f t="shared" si="9"/>
        <v>0</v>
      </c>
      <c r="P87" t="e">
        <f>INDEX(Items!B$2:B$1032,MATCH($O87,Items!$A$2:$A$1032,0))</f>
        <v>#N/A</v>
      </c>
      <c r="Q87" t="e">
        <f>INDEX(Items!C$2:C$1032,MATCH($O87,Items!$A$2:$A$1032,0))</f>
        <v>#N/A</v>
      </c>
      <c r="R87" t="e">
        <f>INDEX(Items!D$2:D$1032,MATCH($O87,Items!$A$2:$A$1032,0))</f>
        <v>#N/A</v>
      </c>
    </row>
    <row r="88" spans="1:18" x14ac:dyDescent="0.25">
      <c r="A88">
        <f t="shared" si="7"/>
        <v>1</v>
      </c>
      <c r="B88" t="str">
        <f t="shared" si="8"/>
        <v/>
      </c>
      <c r="C88">
        <f t="shared" si="10"/>
        <v>1</v>
      </c>
      <c r="D88" s="4"/>
      <c r="F88" t="e">
        <f>INDEX(Establishment!B$2:B$1005,MATCH($E88,Establishment!$A$2:$A$1005,0))</f>
        <v>#N/A</v>
      </c>
      <c r="G88" t="e">
        <f>INDEX(Establishment!C$2:C$1005,MATCH($E88,Establishment!$A$2:$A$1005,0))</f>
        <v>#N/A</v>
      </c>
      <c r="M88">
        <f t="shared" si="11"/>
        <v>0</v>
      </c>
      <c r="N88">
        <f t="shared" si="9"/>
        <v>0</v>
      </c>
      <c r="P88" t="e">
        <f>INDEX(Items!B$2:B$1032,MATCH($O88,Items!$A$2:$A$1032,0))</f>
        <v>#N/A</v>
      </c>
      <c r="Q88" t="e">
        <f>INDEX(Items!C$2:C$1032,MATCH($O88,Items!$A$2:$A$1032,0))</f>
        <v>#N/A</v>
      </c>
      <c r="R88" t="e">
        <f>INDEX(Items!D$2:D$1032,MATCH($O88,Items!$A$2:$A$1032,0))</f>
        <v>#N/A</v>
      </c>
    </row>
    <row r="89" spans="1:18" x14ac:dyDescent="0.25">
      <c r="A89">
        <f t="shared" si="7"/>
        <v>1</v>
      </c>
      <c r="B89" t="str">
        <f t="shared" si="8"/>
        <v/>
      </c>
      <c r="C89">
        <f t="shared" si="10"/>
        <v>1</v>
      </c>
      <c r="D89" s="4"/>
      <c r="F89" t="e">
        <f>INDEX(Establishment!B$2:B$1005,MATCH($E89,Establishment!$A$2:$A$1005,0))</f>
        <v>#N/A</v>
      </c>
      <c r="G89" t="e">
        <f>INDEX(Establishment!C$2:C$1005,MATCH($E89,Establishment!$A$2:$A$1005,0))</f>
        <v>#N/A</v>
      </c>
      <c r="M89">
        <f t="shared" si="11"/>
        <v>0</v>
      </c>
      <c r="N89">
        <f t="shared" si="9"/>
        <v>0</v>
      </c>
      <c r="P89" t="e">
        <f>INDEX(Items!B$2:B$1032,MATCH($O89,Items!$A$2:$A$1032,0))</f>
        <v>#N/A</v>
      </c>
      <c r="Q89" t="e">
        <f>INDEX(Items!C$2:C$1032,MATCH($O89,Items!$A$2:$A$1032,0))</f>
        <v>#N/A</v>
      </c>
      <c r="R89" t="e">
        <f>INDEX(Items!D$2:D$1032,MATCH($O89,Items!$A$2:$A$1032,0))</f>
        <v>#N/A</v>
      </c>
    </row>
    <row r="90" spans="1:18" x14ac:dyDescent="0.25">
      <c r="A90">
        <f t="shared" si="7"/>
        <v>1</v>
      </c>
      <c r="B90" t="str">
        <f t="shared" si="8"/>
        <v/>
      </c>
      <c r="C90">
        <f t="shared" si="10"/>
        <v>1</v>
      </c>
      <c r="D90" s="4"/>
      <c r="F90" t="e">
        <f>INDEX(Establishment!B$2:B$1005,MATCH($E90,Establishment!$A$2:$A$1005,0))</f>
        <v>#N/A</v>
      </c>
      <c r="G90" t="e">
        <f>INDEX(Establishment!C$2:C$1005,MATCH($E90,Establishment!$A$2:$A$1005,0))</f>
        <v>#N/A</v>
      </c>
      <c r="M90">
        <f t="shared" si="11"/>
        <v>0</v>
      </c>
      <c r="N90">
        <f t="shared" si="9"/>
        <v>0</v>
      </c>
      <c r="P90" t="e">
        <f>INDEX(Items!B$2:B$1032,MATCH($O90,Items!$A$2:$A$1032,0))</f>
        <v>#N/A</v>
      </c>
      <c r="Q90" t="e">
        <f>INDEX(Items!C$2:C$1032,MATCH($O90,Items!$A$2:$A$1032,0))</f>
        <v>#N/A</v>
      </c>
      <c r="R90" t="e">
        <f>INDEX(Items!D$2:D$1032,MATCH($O90,Items!$A$2:$A$1032,0))</f>
        <v>#N/A</v>
      </c>
    </row>
    <row r="91" spans="1:18" x14ac:dyDescent="0.25">
      <c r="A91">
        <f t="shared" si="7"/>
        <v>1</v>
      </c>
      <c r="B91" t="str">
        <f t="shared" si="8"/>
        <v/>
      </c>
      <c r="C91">
        <f t="shared" si="10"/>
        <v>1</v>
      </c>
      <c r="D91" s="4"/>
      <c r="F91" t="e">
        <f>INDEX(Establishment!B$2:B$1005,MATCH($E91,Establishment!$A$2:$A$1005,0))</f>
        <v>#N/A</v>
      </c>
      <c r="G91" t="e">
        <f>INDEX(Establishment!C$2:C$1005,MATCH($E91,Establishment!$A$2:$A$1005,0))</f>
        <v>#N/A</v>
      </c>
      <c r="M91">
        <f t="shared" si="11"/>
        <v>0</v>
      </c>
      <c r="N91">
        <f t="shared" si="9"/>
        <v>0</v>
      </c>
      <c r="P91" t="e">
        <f>INDEX(Items!B$2:B$1032,MATCH($O91,Items!$A$2:$A$1032,0))</f>
        <v>#N/A</v>
      </c>
      <c r="Q91" t="e">
        <f>INDEX(Items!C$2:C$1032,MATCH($O91,Items!$A$2:$A$1032,0))</f>
        <v>#N/A</v>
      </c>
      <c r="R91" t="e">
        <f>INDEX(Items!D$2:D$1032,MATCH($O91,Items!$A$2:$A$1032,0))</f>
        <v>#N/A</v>
      </c>
    </row>
    <row r="92" spans="1:18" x14ac:dyDescent="0.25">
      <c r="A92">
        <f t="shared" si="7"/>
        <v>1</v>
      </c>
      <c r="B92" t="str">
        <f t="shared" si="8"/>
        <v/>
      </c>
      <c r="C92">
        <f t="shared" si="10"/>
        <v>1</v>
      </c>
      <c r="D92" s="4"/>
      <c r="F92" t="e">
        <f>INDEX(Establishment!B$2:B$1005,MATCH($E92,Establishment!$A$2:$A$1005,0))</f>
        <v>#N/A</v>
      </c>
      <c r="G92" t="e">
        <f>INDEX(Establishment!C$2:C$1005,MATCH($E92,Establishment!$A$2:$A$1005,0))</f>
        <v>#N/A</v>
      </c>
      <c r="M92">
        <f t="shared" si="11"/>
        <v>0</v>
      </c>
      <c r="N92">
        <f t="shared" si="9"/>
        <v>0</v>
      </c>
      <c r="P92" t="e">
        <f>INDEX(Items!B$2:B$1032,MATCH($O92,Items!$A$2:$A$1032,0))</f>
        <v>#N/A</v>
      </c>
      <c r="Q92" t="e">
        <f>INDEX(Items!C$2:C$1032,MATCH($O92,Items!$A$2:$A$1032,0))</f>
        <v>#N/A</v>
      </c>
      <c r="R92" t="e">
        <f>INDEX(Items!D$2:D$1032,MATCH($O92,Items!$A$2:$A$1032,0))</f>
        <v>#N/A</v>
      </c>
    </row>
    <row r="93" spans="1:18" x14ac:dyDescent="0.25">
      <c r="A93">
        <f t="shared" si="7"/>
        <v>1</v>
      </c>
      <c r="B93" t="str">
        <f t="shared" si="8"/>
        <v/>
      </c>
      <c r="C93">
        <f t="shared" si="10"/>
        <v>1</v>
      </c>
      <c r="D93" s="4"/>
      <c r="E93" t="s">
        <v>18</v>
      </c>
      <c r="F93" t="str">
        <f>INDEX(Establishment!B$2:B$1005,MATCH($E93,Establishment!$A$2:$A$1005,0))</f>
        <v xml:space="preserve"> </v>
      </c>
      <c r="G93" t="str">
        <f>INDEX(Establishment!C$2:C$1005,MATCH($E93,Establishment!$A$2:$A$1005,0))</f>
        <v xml:space="preserve"> </v>
      </c>
      <c r="M93">
        <f t="shared" si="11"/>
        <v>0</v>
      </c>
      <c r="N93">
        <f t="shared" si="9"/>
        <v>0</v>
      </c>
      <c r="P93" t="e">
        <f>INDEX(Items!B$2:B$1032,MATCH($O93,Items!$A$2:$A$1032,0))</f>
        <v>#N/A</v>
      </c>
      <c r="Q93" t="e">
        <f>INDEX(Items!C$2:C$1032,MATCH($O93,Items!$A$2:$A$1032,0))</f>
        <v>#N/A</v>
      </c>
      <c r="R93" t="e">
        <f>INDEX(Items!D$2:D$1032,MATCH($O93,Items!$A$2:$A$1032,0))</f>
        <v>#N/A</v>
      </c>
    </row>
    <row r="94" spans="1:18" x14ac:dyDescent="0.25">
      <c r="A94">
        <f t="shared" si="7"/>
        <v>1</v>
      </c>
      <c r="B94" t="str">
        <f t="shared" si="8"/>
        <v/>
      </c>
      <c r="C94">
        <f t="shared" si="10"/>
        <v>1</v>
      </c>
      <c r="D94" s="4"/>
      <c r="E94" t="s">
        <v>18</v>
      </c>
      <c r="F94" t="str">
        <f>INDEX(Establishment!B$2:B$1005,MATCH($E94,Establishment!$A$2:$A$1005,0))</f>
        <v xml:space="preserve"> </v>
      </c>
      <c r="G94" t="str">
        <f>INDEX(Establishment!C$2:C$1005,MATCH($E94,Establishment!$A$2:$A$1005,0))</f>
        <v xml:space="preserve"> </v>
      </c>
      <c r="M94">
        <f t="shared" si="11"/>
        <v>0</v>
      </c>
      <c r="N94">
        <f t="shared" si="9"/>
        <v>0</v>
      </c>
      <c r="P94" t="e">
        <f>INDEX(Items!B$2:B$1032,MATCH($O94,Items!$A$2:$A$1032,0))</f>
        <v>#N/A</v>
      </c>
      <c r="Q94" t="e">
        <f>INDEX(Items!C$2:C$1032,MATCH($O94,Items!$A$2:$A$1032,0))</f>
        <v>#N/A</v>
      </c>
      <c r="R94" t="e">
        <f>INDEX(Items!D$2:D$1032,MATCH($O94,Items!$A$2:$A$1032,0))</f>
        <v>#N/A</v>
      </c>
    </row>
    <row r="95" spans="1:18" x14ac:dyDescent="0.25">
      <c r="A95">
        <f t="shared" si="7"/>
        <v>1</v>
      </c>
      <c r="B95" t="str">
        <f t="shared" si="8"/>
        <v/>
      </c>
      <c r="C95">
        <f t="shared" si="10"/>
        <v>1</v>
      </c>
      <c r="D95" s="4"/>
      <c r="E95" t="s">
        <v>18</v>
      </c>
      <c r="F95" t="str">
        <f>INDEX(Establishment!B$2:B$1005,MATCH($E95,Establishment!$A$2:$A$1005,0))</f>
        <v xml:space="preserve"> </v>
      </c>
      <c r="G95" t="str">
        <f>INDEX(Establishment!C$2:C$1005,MATCH($E95,Establishment!$A$2:$A$1005,0))</f>
        <v xml:space="preserve"> </v>
      </c>
      <c r="M95">
        <f t="shared" si="11"/>
        <v>0</v>
      </c>
      <c r="N95">
        <f t="shared" si="9"/>
        <v>0</v>
      </c>
      <c r="P95" t="e">
        <f>INDEX(Items!B$2:B$1032,MATCH($O95,Items!$A$2:$A$1032,0))</f>
        <v>#N/A</v>
      </c>
      <c r="Q95" t="e">
        <f>INDEX(Items!C$2:C$1032,MATCH($O95,Items!$A$2:$A$1032,0))</f>
        <v>#N/A</v>
      </c>
      <c r="R95" t="e">
        <f>INDEX(Items!D$2:D$1032,MATCH($O95,Items!$A$2:$A$1032,0))</f>
        <v>#N/A</v>
      </c>
    </row>
    <row r="96" spans="1:18" x14ac:dyDescent="0.25">
      <c r="A96">
        <f t="shared" si="7"/>
        <v>1</v>
      </c>
      <c r="B96" t="str">
        <f t="shared" si="8"/>
        <v/>
      </c>
      <c r="C96">
        <f t="shared" si="10"/>
        <v>1</v>
      </c>
      <c r="D96" s="4"/>
      <c r="E96" t="s">
        <v>18</v>
      </c>
      <c r="F96" t="str">
        <f>INDEX(Establishment!B$2:B$1005,MATCH($E96,Establishment!$A$2:$A$1005,0))</f>
        <v xml:space="preserve"> </v>
      </c>
      <c r="G96" t="str">
        <f>INDEX(Establishment!C$2:C$1005,MATCH($E96,Establishment!$A$2:$A$1005,0))</f>
        <v xml:space="preserve"> </v>
      </c>
      <c r="M96">
        <f t="shared" si="11"/>
        <v>0</v>
      </c>
      <c r="N96">
        <f t="shared" si="9"/>
        <v>0</v>
      </c>
      <c r="P96" t="e">
        <f>INDEX(Items!B$2:B$1032,MATCH($O96,Items!$A$2:$A$1032,0))</f>
        <v>#N/A</v>
      </c>
      <c r="Q96" t="e">
        <f>INDEX(Items!C$2:C$1032,MATCH($O96,Items!$A$2:$A$1032,0))</f>
        <v>#N/A</v>
      </c>
      <c r="R96" t="e">
        <f>INDEX(Items!D$2:D$1032,MATCH($O96,Items!$A$2:$A$1032,0))</f>
        <v>#N/A</v>
      </c>
    </row>
    <row r="97" spans="1:18" x14ac:dyDescent="0.25">
      <c r="A97">
        <f t="shared" si="7"/>
        <v>1</v>
      </c>
      <c r="B97" t="str">
        <f t="shared" si="8"/>
        <v/>
      </c>
      <c r="C97">
        <f t="shared" si="10"/>
        <v>1</v>
      </c>
      <c r="D97" s="4"/>
      <c r="E97" t="s">
        <v>18</v>
      </c>
      <c r="F97" t="str">
        <f>INDEX(Establishment!B$2:B$1005,MATCH($E97,Establishment!$A$2:$A$1005,0))</f>
        <v xml:space="preserve"> </v>
      </c>
      <c r="G97" t="str">
        <f>INDEX(Establishment!C$2:C$1005,MATCH($E97,Establishment!$A$2:$A$1005,0))</f>
        <v xml:space="preserve"> </v>
      </c>
      <c r="M97">
        <f t="shared" si="11"/>
        <v>0</v>
      </c>
      <c r="N97">
        <f t="shared" si="9"/>
        <v>0</v>
      </c>
      <c r="P97" t="e">
        <f>INDEX(Items!B$2:B$1032,MATCH($O97,Items!$A$2:$A$1032,0))</f>
        <v>#N/A</v>
      </c>
      <c r="Q97" t="e">
        <f>INDEX(Items!C$2:C$1032,MATCH($O97,Items!$A$2:$A$1032,0))</f>
        <v>#N/A</v>
      </c>
      <c r="R97" t="e">
        <f>INDEX(Items!D$2:D$1032,MATCH($O97,Items!$A$2:$A$1032,0))</f>
        <v>#N/A</v>
      </c>
    </row>
    <row r="98" spans="1:18" x14ac:dyDescent="0.25">
      <c r="A98">
        <f t="shared" si="7"/>
        <v>1</v>
      </c>
      <c r="B98" t="str">
        <f t="shared" si="8"/>
        <v/>
      </c>
      <c r="C98">
        <f t="shared" si="10"/>
        <v>1</v>
      </c>
      <c r="D98" s="4"/>
      <c r="E98" t="s">
        <v>18</v>
      </c>
      <c r="F98" t="str">
        <f>INDEX(Establishment!B$2:B$1005,MATCH($E98,Establishment!$A$2:$A$1005,0))</f>
        <v xml:space="preserve"> </v>
      </c>
      <c r="G98" t="str">
        <f>INDEX(Establishment!C$2:C$1005,MATCH($E98,Establishment!$A$2:$A$1005,0))</f>
        <v xml:space="preserve"> </v>
      </c>
      <c r="M98">
        <f t="shared" si="11"/>
        <v>0</v>
      </c>
      <c r="N98">
        <f t="shared" si="9"/>
        <v>0</v>
      </c>
      <c r="P98" t="e">
        <f>INDEX(Items!B$2:B$1032,MATCH($O98,Items!$A$2:$A$1032,0))</f>
        <v>#N/A</v>
      </c>
      <c r="Q98" t="e">
        <f>INDEX(Items!C$2:C$1032,MATCH($O98,Items!$A$2:$A$1032,0))</f>
        <v>#N/A</v>
      </c>
      <c r="R98" t="e">
        <f>INDEX(Items!D$2:D$1032,MATCH($O98,Items!$A$2:$A$1032,0))</f>
        <v>#N/A</v>
      </c>
    </row>
    <row r="99" spans="1:18" x14ac:dyDescent="0.25">
      <c r="A99">
        <f t="shared" si="7"/>
        <v>1</v>
      </c>
      <c r="B99" t="str">
        <f t="shared" si="8"/>
        <v>20230621A</v>
      </c>
      <c r="C99">
        <f t="shared" si="10"/>
        <v>1</v>
      </c>
      <c r="D99" s="4">
        <v>45098</v>
      </c>
      <c r="E99" t="s">
        <v>39</v>
      </c>
      <c r="F99" t="str">
        <f>INDEX(Establishment!B$2:B$1005,MATCH($E99,Establishment!$A$2:$A$1005,0))</f>
        <v>Carenderia 14th Floor</v>
      </c>
      <c r="G99" t="str">
        <f>INDEX(Establishment!C$2:C$1005,MATCH($E99,Establishment!$A$2:$A$1005,0))</f>
        <v>ACC Tower Cebu Business Park</v>
      </c>
      <c r="M99">
        <f t="shared" si="11"/>
        <v>0</v>
      </c>
      <c r="N99">
        <f t="shared" si="9"/>
        <v>0</v>
      </c>
      <c r="P99" t="e">
        <f>INDEX(Items!B$2:B$1032,MATCH($O99,Items!$A$2:$A$1032,0))</f>
        <v>#N/A</v>
      </c>
      <c r="Q99" t="e">
        <f>INDEX(Items!C$2:C$1032,MATCH($O99,Items!$A$2:$A$1032,0))</f>
        <v>#N/A</v>
      </c>
      <c r="R99" t="e">
        <f>INDEX(Items!D$2:D$1032,MATCH($O99,Items!$A$2:$A$1032,0))</f>
        <v>#N/A</v>
      </c>
    </row>
    <row r="100" spans="1:18" x14ac:dyDescent="0.25">
      <c r="A100">
        <f t="shared" si="7"/>
        <v>1</v>
      </c>
      <c r="B100" t="str">
        <f t="shared" si="8"/>
        <v/>
      </c>
      <c r="C100">
        <f t="shared" si="10"/>
        <v>1</v>
      </c>
      <c r="D100" s="4"/>
      <c r="F100" t="e">
        <f>INDEX(Establishment!B$2:B$1005,MATCH($E100,Establishment!$A$2:$A$1005,0))</f>
        <v>#N/A</v>
      </c>
      <c r="G100" t="e">
        <f>INDEX(Establishment!C$2:C$1005,MATCH($E100,Establishment!$A$2:$A$1005,0))</f>
        <v>#N/A</v>
      </c>
      <c r="M100">
        <f t="shared" si="11"/>
        <v>0</v>
      </c>
      <c r="N100">
        <f t="shared" si="9"/>
        <v>0</v>
      </c>
      <c r="P100" t="e">
        <f>INDEX(Items!B$2:B$1032,MATCH($O100,Items!$A$2:$A$1032,0))</f>
        <v>#N/A</v>
      </c>
      <c r="Q100" t="e">
        <f>INDEX(Items!C$2:C$1032,MATCH($O100,Items!$A$2:$A$1032,0))</f>
        <v>#N/A</v>
      </c>
      <c r="R100" t="e">
        <f>INDEX(Items!D$2:D$1032,MATCH($O100,Items!$A$2:$A$1032,0))</f>
        <v>#N/A</v>
      </c>
    </row>
    <row r="101" spans="1:18" x14ac:dyDescent="0.25">
      <c r="A101">
        <f t="shared" si="7"/>
        <v>1</v>
      </c>
      <c r="B101" t="str">
        <f t="shared" si="8"/>
        <v/>
      </c>
      <c r="C101">
        <f t="shared" si="10"/>
        <v>1</v>
      </c>
      <c r="D101" s="4"/>
      <c r="E101" t="s">
        <v>18</v>
      </c>
      <c r="F101" t="str">
        <f>INDEX(Establishment!B$2:B$1005,MATCH($E101,Establishment!$A$2:$A$1005,0))</f>
        <v xml:space="preserve"> </v>
      </c>
      <c r="G101" t="str">
        <f>INDEX(Establishment!C$2:C$1005,MATCH($E101,Establishment!$A$2:$A$1005,0))</f>
        <v xml:space="preserve"> </v>
      </c>
      <c r="M101">
        <f t="shared" si="11"/>
        <v>0</v>
      </c>
      <c r="N101">
        <f t="shared" si="9"/>
        <v>0</v>
      </c>
      <c r="P101" t="e">
        <f>INDEX(Items!B$2:B$1032,MATCH($O101,Items!$A$2:$A$1032,0))</f>
        <v>#N/A</v>
      </c>
      <c r="Q101" t="e">
        <f>INDEX(Items!C$2:C$1032,MATCH($O101,Items!$A$2:$A$1032,0))</f>
        <v>#N/A</v>
      </c>
      <c r="R101" t="e">
        <f>INDEX(Items!D$2:D$1032,MATCH($O101,Items!$A$2:$A$1032,0))</f>
        <v>#N/A</v>
      </c>
    </row>
    <row r="102" spans="1:18" x14ac:dyDescent="0.25">
      <c r="A102">
        <f t="shared" si="7"/>
        <v>1</v>
      </c>
      <c r="B102" t="str">
        <f t="shared" si="8"/>
        <v/>
      </c>
      <c r="C102">
        <f t="shared" si="10"/>
        <v>1</v>
      </c>
      <c r="D102" s="4"/>
      <c r="E102" t="s">
        <v>18</v>
      </c>
      <c r="F102" t="str">
        <f>INDEX(Establishment!B$2:B$1005,MATCH($E102,Establishment!$A$2:$A$1005,0))</f>
        <v xml:space="preserve"> </v>
      </c>
      <c r="G102" t="str">
        <f>INDEX(Establishment!C$2:C$1005,MATCH($E102,Establishment!$A$2:$A$1005,0))</f>
        <v xml:space="preserve"> </v>
      </c>
      <c r="M102">
        <f t="shared" si="11"/>
        <v>0</v>
      </c>
      <c r="N102">
        <f t="shared" si="9"/>
        <v>0</v>
      </c>
      <c r="P102" t="e">
        <f>INDEX(Items!B$2:B$1032,MATCH($O102,Items!$A$2:$A$1032,0))</f>
        <v>#N/A</v>
      </c>
      <c r="Q102" t="e">
        <f>INDEX(Items!C$2:C$1032,MATCH($O102,Items!$A$2:$A$1032,0))</f>
        <v>#N/A</v>
      </c>
      <c r="R102" t="e">
        <f>INDEX(Items!D$2:D$1032,MATCH($O102,Items!$A$2:$A$1032,0))</f>
        <v>#N/A</v>
      </c>
    </row>
    <row r="103" spans="1:18" x14ac:dyDescent="0.25">
      <c r="A103">
        <f t="shared" si="7"/>
        <v>1</v>
      </c>
      <c r="B103" t="str">
        <f t="shared" si="8"/>
        <v/>
      </c>
      <c r="C103">
        <f t="shared" si="10"/>
        <v>1</v>
      </c>
      <c r="D103" s="4"/>
      <c r="E103" t="s">
        <v>18</v>
      </c>
      <c r="F103" t="str">
        <f>INDEX(Establishment!B$2:B$1005,MATCH($E103,Establishment!$A$2:$A$1005,0))</f>
        <v xml:space="preserve"> </v>
      </c>
      <c r="G103" t="str">
        <f>INDEX(Establishment!C$2:C$1005,MATCH($E103,Establishment!$A$2:$A$1005,0))</f>
        <v xml:space="preserve"> </v>
      </c>
      <c r="M103">
        <f t="shared" si="11"/>
        <v>0</v>
      </c>
      <c r="N103">
        <f t="shared" si="9"/>
        <v>0</v>
      </c>
      <c r="P103" t="e">
        <f>INDEX(Items!B$2:B$1032,MATCH($O103,Items!$A$2:$A$1032,0))</f>
        <v>#N/A</v>
      </c>
      <c r="Q103" t="e">
        <f>INDEX(Items!C$2:C$1032,MATCH($O103,Items!$A$2:$A$1032,0))</f>
        <v>#N/A</v>
      </c>
      <c r="R103" t="e">
        <f>INDEX(Items!D$2:D$1032,MATCH($O103,Items!$A$2:$A$1032,0))</f>
        <v>#N/A</v>
      </c>
    </row>
    <row r="104" spans="1:18" x14ac:dyDescent="0.25">
      <c r="A104">
        <f t="shared" si="7"/>
        <v>1</v>
      </c>
      <c r="B104" t="str">
        <f t="shared" si="8"/>
        <v/>
      </c>
      <c r="C104">
        <f t="shared" si="10"/>
        <v>1</v>
      </c>
      <c r="D104" s="4"/>
      <c r="E104" t="s">
        <v>18</v>
      </c>
      <c r="F104" t="str">
        <f>INDEX(Establishment!B$2:B$1005,MATCH($E104,Establishment!$A$2:$A$1005,0))</f>
        <v xml:space="preserve"> </v>
      </c>
      <c r="G104" t="str">
        <f>INDEX(Establishment!C$2:C$1005,MATCH($E104,Establishment!$A$2:$A$1005,0))</f>
        <v xml:space="preserve"> </v>
      </c>
      <c r="M104">
        <f t="shared" si="11"/>
        <v>0</v>
      </c>
      <c r="N104">
        <f t="shared" si="9"/>
        <v>0</v>
      </c>
      <c r="P104" t="e">
        <f>INDEX(Items!B$2:B$1032,MATCH($O104,Items!$A$2:$A$1032,0))</f>
        <v>#N/A</v>
      </c>
      <c r="Q104" t="e">
        <f>INDEX(Items!C$2:C$1032,MATCH($O104,Items!$A$2:$A$1032,0))</f>
        <v>#N/A</v>
      </c>
      <c r="R104" t="e">
        <f>INDEX(Items!D$2:D$1032,MATCH($O104,Items!$A$2:$A$1032,0))</f>
        <v>#N/A</v>
      </c>
    </row>
    <row r="105" spans="1:18" x14ac:dyDescent="0.25">
      <c r="A105">
        <f t="shared" si="7"/>
        <v>1</v>
      </c>
      <c r="B105" t="str">
        <f t="shared" si="8"/>
        <v/>
      </c>
      <c r="C105">
        <f t="shared" si="10"/>
        <v>1</v>
      </c>
      <c r="D105" s="4"/>
      <c r="E105" t="s">
        <v>18</v>
      </c>
      <c r="F105" t="str">
        <f>INDEX(Establishment!B$2:B$1005,MATCH($E105,Establishment!$A$2:$A$1005,0))</f>
        <v xml:space="preserve"> </v>
      </c>
      <c r="G105" t="str">
        <f>INDEX(Establishment!C$2:C$1005,MATCH($E105,Establishment!$A$2:$A$1005,0))</f>
        <v xml:space="preserve"> </v>
      </c>
      <c r="M105">
        <f t="shared" si="11"/>
        <v>0</v>
      </c>
      <c r="N105">
        <f t="shared" si="9"/>
        <v>0</v>
      </c>
      <c r="P105" t="e">
        <f>INDEX(Items!B$2:B$1032,MATCH($O105,Items!$A$2:$A$1032,0))</f>
        <v>#N/A</v>
      </c>
      <c r="Q105" t="e">
        <f>INDEX(Items!C$2:C$1032,MATCH($O105,Items!$A$2:$A$1032,0))</f>
        <v>#N/A</v>
      </c>
      <c r="R105" t="e">
        <f>INDEX(Items!D$2:D$1032,MATCH($O105,Items!$A$2:$A$1032,0))</f>
        <v>#N/A</v>
      </c>
    </row>
    <row r="106" spans="1:18" x14ac:dyDescent="0.25">
      <c r="A106">
        <f t="shared" si="7"/>
        <v>1</v>
      </c>
      <c r="B106" t="str">
        <f t="shared" si="8"/>
        <v/>
      </c>
      <c r="C106">
        <f t="shared" si="10"/>
        <v>1</v>
      </c>
      <c r="D106" s="4"/>
      <c r="E106" t="s">
        <v>18</v>
      </c>
      <c r="F106" t="str">
        <f>INDEX(Establishment!B$2:B$1005,MATCH($E106,Establishment!$A$2:$A$1005,0))</f>
        <v xml:space="preserve"> </v>
      </c>
      <c r="G106" t="str">
        <f>INDEX(Establishment!C$2:C$1005,MATCH($E106,Establishment!$A$2:$A$1005,0))</f>
        <v xml:space="preserve"> </v>
      </c>
      <c r="M106">
        <f t="shared" si="11"/>
        <v>0</v>
      </c>
      <c r="N106">
        <f t="shared" si="9"/>
        <v>0</v>
      </c>
      <c r="P106" t="e">
        <f>INDEX(Items!B$2:B$1032,MATCH($O106,Items!$A$2:$A$1032,0))</f>
        <v>#N/A</v>
      </c>
      <c r="Q106" t="e">
        <f>INDEX(Items!C$2:C$1032,MATCH($O106,Items!$A$2:$A$1032,0))</f>
        <v>#N/A</v>
      </c>
      <c r="R106" t="e">
        <f>INDEX(Items!D$2:D$1032,MATCH($O106,Items!$A$2:$A$1032,0))</f>
        <v>#N/A</v>
      </c>
    </row>
    <row r="107" spans="1:18" x14ac:dyDescent="0.25">
      <c r="A107">
        <f t="shared" si="7"/>
        <v>1</v>
      </c>
      <c r="B107" t="str">
        <f t="shared" si="8"/>
        <v/>
      </c>
      <c r="C107">
        <f t="shared" si="10"/>
        <v>1</v>
      </c>
      <c r="D107" s="4"/>
      <c r="E107" t="s">
        <v>18</v>
      </c>
      <c r="F107" t="str">
        <f>INDEX(Establishment!B$2:B$1005,MATCH($E107,Establishment!$A$2:$A$1005,0))</f>
        <v xml:space="preserve"> </v>
      </c>
      <c r="G107" t="str">
        <f>INDEX(Establishment!C$2:C$1005,MATCH($E107,Establishment!$A$2:$A$1005,0))</f>
        <v xml:space="preserve"> </v>
      </c>
      <c r="M107">
        <f t="shared" si="11"/>
        <v>0</v>
      </c>
      <c r="N107">
        <f t="shared" si="9"/>
        <v>0</v>
      </c>
      <c r="P107" t="e">
        <f>INDEX(Items!B$2:B$1032,MATCH($O107,Items!$A$2:$A$1032,0))</f>
        <v>#N/A</v>
      </c>
      <c r="Q107" t="e">
        <f>INDEX(Items!C$2:C$1032,MATCH($O107,Items!$A$2:$A$1032,0))</f>
        <v>#N/A</v>
      </c>
      <c r="R107" t="e">
        <f>INDEX(Items!D$2:D$1032,MATCH($O107,Items!$A$2:$A$1032,0))</f>
        <v>#N/A</v>
      </c>
    </row>
    <row r="108" spans="1:18" x14ac:dyDescent="0.25">
      <c r="A108">
        <f t="shared" si="7"/>
        <v>1</v>
      </c>
      <c r="B108" t="str">
        <f t="shared" si="8"/>
        <v/>
      </c>
      <c r="C108">
        <f t="shared" si="10"/>
        <v>1</v>
      </c>
      <c r="D108" s="4"/>
      <c r="E108" t="s">
        <v>18</v>
      </c>
      <c r="F108" t="str">
        <f>INDEX(Establishment!B$2:B$1005,MATCH($E108,Establishment!$A$2:$A$1005,0))</f>
        <v xml:space="preserve"> </v>
      </c>
      <c r="G108" t="str">
        <f>INDEX(Establishment!C$2:C$1005,MATCH($E108,Establishment!$A$2:$A$1005,0))</f>
        <v xml:space="preserve"> </v>
      </c>
      <c r="M108">
        <f t="shared" si="11"/>
        <v>0</v>
      </c>
      <c r="N108">
        <f t="shared" si="9"/>
        <v>0</v>
      </c>
      <c r="P108" t="e">
        <f>INDEX(Items!B$2:B$1032,MATCH($O108,Items!$A$2:$A$1032,0))</f>
        <v>#N/A</v>
      </c>
      <c r="Q108" t="e">
        <f>INDEX(Items!C$2:C$1032,MATCH($O108,Items!$A$2:$A$1032,0))</f>
        <v>#N/A</v>
      </c>
      <c r="R108" t="e">
        <f>INDEX(Items!D$2:D$1032,MATCH($O108,Items!$A$2:$A$1032,0))</f>
        <v>#N/A</v>
      </c>
    </row>
    <row r="109" spans="1:18" x14ac:dyDescent="0.25">
      <c r="A109">
        <f t="shared" si="7"/>
        <v>1</v>
      </c>
      <c r="B109" t="str">
        <f t="shared" si="8"/>
        <v/>
      </c>
      <c r="C109">
        <f t="shared" si="10"/>
        <v>1</v>
      </c>
      <c r="D109" s="4"/>
      <c r="E109" t="s">
        <v>18</v>
      </c>
      <c r="F109" t="str">
        <f>INDEX(Establishment!B$2:B$1005,MATCH($E109,Establishment!$A$2:$A$1005,0))</f>
        <v xml:space="preserve"> </v>
      </c>
      <c r="G109" t="str">
        <f>INDEX(Establishment!C$2:C$1005,MATCH($E109,Establishment!$A$2:$A$1005,0))</f>
        <v xml:space="preserve"> </v>
      </c>
      <c r="M109">
        <f t="shared" si="11"/>
        <v>0</v>
      </c>
      <c r="N109">
        <f t="shared" si="9"/>
        <v>0</v>
      </c>
      <c r="P109" t="e">
        <f>INDEX(Items!B$2:B$1032,MATCH($O109,Items!$A$2:$A$1032,0))</f>
        <v>#N/A</v>
      </c>
      <c r="Q109" t="e">
        <f>INDEX(Items!C$2:C$1032,MATCH($O109,Items!$A$2:$A$1032,0))</f>
        <v>#N/A</v>
      </c>
      <c r="R109" t="e">
        <f>INDEX(Items!D$2:D$1032,MATCH($O109,Items!$A$2:$A$1032,0))</f>
        <v>#N/A</v>
      </c>
    </row>
    <row r="110" spans="1:18" x14ac:dyDescent="0.25">
      <c r="A110">
        <f t="shared" si="7"/>
        <v>1</v>
      </c>
      <c r="B110" t="str">
        <f t="shared" si="8"/>
        <v/>
      </c>
      <c r="C110">
        <f t="shared" si="10"/>
        <v>1</v>
      </c>
      <c r="D110" s="4"/>
      <c r="E110" t="s">
        <v>18</v>
      </c>
      <c r="F110" t="str">
        <f>INDEX(Establishment!B$2:B$1005,MATCH($E110,Establishment!$A$2:$A$1005,0))</f>
        <v xml:space="preserve"> </v>
      </c>
      <c r="G110" t="str">
        <f>INDEX(Establishment!C$2:C$1005,MATCH($E110,Establishment!$A$2:$A$1005,0))</f>
        <v xml:space="preserve"> </v>
      </c>
      <c r="M110">
        <f t="shared" si="11"/>
        <v>0</v>
      </c>
      <c r="N110">
        <f t="shared" si="9"/>
        <v>0</v>
      </c>
      <c r="P110" t="e">
        <f>INDEX(Items!B$2:B$1032,MATCH($O110,Items!$A$2:$A$1032,0))</f>
        <v>#N/A</v>
      </c>
      <c r="Q110" t="e">
        <f>INDEX(Items!C$2:C$1032,MATCH($O110,Items!$A$2:$A$1032,0))</f>
        <v>#N/A</v>
      </c>
      <c r="R110" t="e">
        <f>INDEX(Items!D$2:D$1032,MATCH($O110,Items!$A$2:$A$1032,0))</f>
        <v>#N/A</v>
      </c>
    </row>
    <row r="111" spans="1:18" x14ac:dyDescent="0.25">
      <c r="A111">
        <f t="shared" si="7"/>
        <v>1</v>
      </c>
      <c r="B111" t="str">
        <f t="shared" si="8"/>
        <v/>
      </c>
      <c r="C111">
        <f t="shared" si="10"/>
        <v>1</v>
      </c>
      <c r="D111" s="4"/>
      <c r="E111" t="s">
        <v>18</v>
      </c>
      <c r="F111" t="str">
        <f>INDEX(Establishment!B$2:B$1005,MATCH($E111,Establishment!$A$2:$A$1005,0))</f>
        <v xml:space="preserve"> </v>
      </c>
      <c r="G111" t="str">
        <f>INDEX(Establishment!C$2:C$1005,MATCH($E111,Establishment!$A$2:$A$1005,0))</f>
        <v xml:space="preserve"> </v>
      </c>
      <c r="M111">
        <f t="shared" si="11"/>
        <v>0</v>
      </c>
      <c r="N111">
        <f t="shared" si="9"/>
        <v>0</v>
      </c>
      <c r="P111" t="e">
        <f>INDEX(Items!B$2:B$1032,MATCH($O111,Items!$A$2:$A$1032,0))</f>
        <v>#N/A</v>
      </c>
      <c r="Q111" t="e">
        <f>INDEX(Items!C$2:C$1032,MATCH($O111,Items!$A$2:$A$1032,0))</f>
        <v>#N/A</v>
      </c>
      <c r="R111" t="e">
        <f>INDEX(Items!D$2:D$1032,MATCH($O111,Items!$A$2:$A$1032,0))</f>
        <v>#N/A</v>
      </c>
    </row>
    <row r="112" spans="1:18" x14ac:dyDescent="0.25">
      <c r="A112">
        <f t="shared" si="7"/>
        <v>1</v>
      </c>
      <c r="B112" t="str">
        <f t="shared" si="8"/>
        <v/>
      </c>
      <c r="C112">
        <f t="shared" si="10"/>
        <v>1</v>
      </c>
      <c r="D112" s="4"/>
      <c r="E112" t="s">
        <v>18</v>
      </c>
      <c r="F112" t="str">
        <f>INDEX(Establishment!B$2:B$1005,MATCH($E112,Establishment!$A$2:$A$1005,0))</f>
        <v xml:space="preserve"> </v>
      </c>
      <c r="G112" t="str">
        <f>INDEX(Establishment!C$2:C$1005,MATCH($E112,Establishment!$A$2:$A$1005,0))</f>
        <v xml:space="preserve"> </v>
      </c>
      <c r="M112">
        <f t="shared" si="11"/>
        <v>0</v>
      </c>
      <c r="N112">
        <f t="shared" si="9"/>
        <v>0</v>
      </c>
      <c r="P112" t="e">
        <f>INDEX(Items!B$2:B$1032,MATCH($O112,Items!$A$2:$A$1032,0))</f>
        <v>#N/A</v>
      </c>
      <c r="Q112" t="e">
        <f>INDEX(Items!C$2:C$1032,MATCH($O112,Items!$A$2:$A$1032,0))</f>
        <v>#N/A</v>
      </c>
      <c r="R112" t="e">
        <f>INDEX(Items!D$2:D$1032,MATCH($O112,Items!$A$2:$A$1032,0))</f>
        <v>#N/A</v>
      </c>
    </row>
    <row r="113" spans="1:18" x14ac:dyDescent="0.25">
      <c r="A113">
        <f t="shared" si="7"/>
        <v>1</v>
      </c>
      <c r="B113" t="str">
        <f t="shared" si="8"/>
        <v/>
      </c>
      <c r="C113">
        <f t="shared" si="10"/>
        <v>1</v>
      </c>
      <c r="D113" s="4"/>
      <c r="E113" t="s">
        <v>18</v>
      </c>
      <c r="F113" t="str">
        <f>INDEX(Establishment!B$2:B$1005,MATCH($E113,Establishment!$A$2:$A$1005,0))</f>
        <v xml:space="preserve"> </v>
      </c>
      <c r="G113" t="str">
        <f>INDEX(Establishment!C$2:C$1005,MATCH($E113,Establishment!$A$2:$A$1005,0))</f>
        <v xml:space="preserve"> </v>
      </c>
      <c r="M113">
        <f t="shared" si="11"/>
        <v>0</v>
      </c>
      <c r="N113">
        <f t="shared" si="9"/>
        <v>0</v>
      </c>
      <c r="P113" t="e">
        <f>INDEX(Items!B$2:B$1032,MATCH($O113,Items!$A$2:$A$1032,0))</f>
        <v>#N/A</v>
      </c>
      <c r="Q113" t="e">
        <f>INDEX(Items!C$2:C$1032,MATCH($O113,Items!$A$2:$A$1032,0))</f>
        <v>#N/A</v>
      </c>
      <c r="R113" t="e">
        <f>INDEX(Items!D$2:D$1032,MATCH($O113,Items!$A$2:$A$1032,0))</f>
        <v>#N/A</v>
      </c>
    </row>
    <row r="114" spans="1:18" x14ac:dyDescent="0.25">
      <c r="A114">
        <f t="shared" si="7"/>
        <v>1</v>
      </c>
      <c r="B114" t="str">
        <f t="shared" si="8"/>
        <v/>
      </c>
      <c r="C114">
        <f t="shared" si="10"/>
        <v>1</v>
      </c>
      <c r="D114" s="4"/>
      <c r="E114" t="s">
        <v>18</v>
      </c>
      <c r="F114" t="str">
        <f>INDEX(Establishment!B$2:B$1005,MATCH($E114,Establishment!$A$2:$A$1005,0))</f>
        <v xml:space="preserve"> </v>
      </c>
      <c r="G114" t="str">
        <f>INDEX(Establishment!C$2:C$1005,MATCH($E114,Establishment!$A$2:$A$1005,0))</f>
        <v xml:space="preserve"> </v>
      </c>
      <c r="M114">
        <f t="shared" si="11"/>
        <v>0</v>
      </c>
      <c r="N114">
        <f t="shared" si="9"/>
        <v>0</v>
      </c>
      <c r="P114" t="e">
        <f>INDEX(Items!B$2:B$1032,MATCH($O114,Items!$A$2:$A$1032,0))</f>
        <v>#N/A</v>
      </c>
      <c r="Q114" t="e">
        <f>INDEX(Items!C$2:C$1032,MATCH($O114,Items!$A$2:$A$1032,0))</f>
        <v>#N/A</v>
      </c>
      <c r="R114" t="e">
        <f>INDEX(Items!D$2:D$1032,MATCH($O114,Items!$A$2:$A$1032,0))</f>
        <v>#N/A</v>
      </c>
    </row>
    <row r="115" spans="1:18" x14ac:dyDescent="0.25">
      <c r="A115">
        <f t="shared" si="7"/>
        <v>1</v>
      </c>
      <c r="B115" t="str">
        <f t="shared" si="8"/>
        <v/>
      </c>
      <c r="C115">
        <f t="shared" si="10"/>
        <v>1</v>
      </c>
      <c r="D115" s="4"/>
      <c r="E115" t="s">
        <v>18</v>
      </c>
      <c r="F115" t="str">
        <f>INDEX(Establishment!B$2:B$1005,MATCH($E115,Establishment!$A$2:$A$1005,0))</f>
        <v xml:space="preserve"> </v>
      </c>
      <c r="G115" t="str">
        <f>INDEX(Establishment!C$2:C$1005,MATCH($E115,Establishment!$A$2:$A$1005,0))</f>
        <v xml:space="preserve"> </v>
      </c>
      <c r="M115">
        <f t="shared" si="11"/>
        <v>0</v>
      </c>
      <c r="N115">
        <f t="shared" si="9"/>
        <v>0</v>
      </c>
      <c r="P115" t="e">
        <f>INDEX(Items!B$2:B$1032,MATCH($O115,Items!$A$2:$A$1032,0))</f>
        <v>#N/A</v>
      </c>
      <c r="Q115" t="e">
        <f>INDEX(Items!C$2:C$1032,MATCH($O115,Items!$A$2:$A$1032,0))</f>
        <v>#N/A</v>
      </c>
      <c r="R115" t="e">
        <f>INDEX(Items!D$2:D$1032,MATCH($O115,Items!$A$2:$A$1032,0))</f>
        <v>#N/A</v>
      </c>
    </row>
    <row r="116" spans="1:18" x14ac:dyDescent="0.25">
      <c r="A116">
        <f t="shared" si="7"/>
        <v>1</v>
      </c>
      <c r="B116" t="str">
        <f t="shared" si="8"/>
        <v/>
      </c>
      <c r="C116">
        <f t="shared" si="10"/>
        <v>1</v>
      </c>
      <c r="D116" s="4"/>
      <c r="E116" t="s">
        <v>18</v>
      </c>
      <c r="F116" t="str">
        <f>INDEX(Establishment!B$2:B$1005,MATCH($E116,Establishment!$A$2:$A$1005,0))</f>
        <v xml:space="preserve"> </v>
      </c>
      <c r="G116" t="str">
        <f>INDEX(Establishment!C$2:C$1005,MATCH($E116,Establishment!$A$2:$A$1005,0))</f>
        <v xml:space="preserve"> </v>
      </c>
      <c r="M116">
        <f t="shared" si="11"/>
        <v>0</v>
      </c>
      <c r="N116">
        <f t="shared" si="9"/>
        <v>0</v>
      </c>
      <c r="P116" t="e">
        <f>INDEX(Items!B$2:B$1032,MATCH($O116,Items!$A$2:$A$1032,0))</f>
        <v>#N/A</v>
      </c>
      <c r="Q116" t="e">
        <f>INDEX(Items!C$2:C$1032,MATCH($O116,Items!$A$2:$A$1032,0))</f>
        <v>#N/A</v>
      </c>
      <c r="R116" t="e">
        <f>INDEX(Items!D$2:D$1032,MATCH($O116,Items!$A$2:$A$1032,0))</f>
        <v>#N/A</v>
      </c>
    </row>
    <row r="117" spans="1:18" x14ac:dyDescent="0.25">
      <c r="A117">
        <f t="shared" si="7"/>
        <v>1</v>
      </c>
      <c r="B117" t="str">
        <f t="shared" si="8"/>
        <v/>
      </c>
      <c r="C117">
        <f t="shared" si="10"/>
        <v>1</v>
      </c>
      <c r="D117" s="4"/>
      <c r="E117" t="s">
        <v>18</v>
      </c>
      <c r="F117" t="str">
        <f>INDEX(Establishment!B$2:B$1005,MATCH($E117,Establishment!$A$2:$A$1005,0))</f>
        <v xml:space="preserve"> </v>
      </c>
      <c r="G117" t="str">
        <f>INDEX(Establishment!C$2:C$1005,MATCH($E117,Establishment!$A$2:$A$1005,0))</f>
        <v xml:space="preserve"> </v>
      </c>
      <c r="M117">
        <f t="shared" si="11"/>
        <v>0</v>
      </c>
      <c r="N117">
        <f t="shared" si="9"/>
        <v>0</v>
      </c>
      <c r="P117" t="e">
        <f>INDEX(Items!B$2:B$1032,MATCH($O117,Items!$A$2:$A$1032,0))</f>
        <v>#N/A</v>
      </c>
      <c r="Q117" t="e">
        <f>INDEX(Items!C$2:C$1032,MATCH($O117,Items!$A$2:$A$1032,0))</f>
        <v>#N/A</v>
      </c>
      <c r="R117" t="e">
        <f>INDEX(Items!D$2:D$1032,MATCH($O117,Items!$A$2:$A$1032,0))</f>
        <v>#N/A</v>
      </c>
    </row>
    <row r="118" spans="1:18" x14ac:dyDescent="0.25">
      <c r="A118">
        <f t="shared" si="7"/>
        <v>1</v>
      </c>
      <c r="B118" t="str">
        <f t="shared" si="8"/>
        <v/>
      </c>
      <c r="C118">
        <f t="shared" si="10"/>
        <v>1</v>
      </c>
      <c r="D118" s="4"/>
      <c r="E118" t="s">
        <v>18</v>
      </c>
      <c r="F118" t="str">
        <f>INDEX(Establishment!B$2:B$1005,MATCH($E118,Establishment!$A$2:$A$1005,0))</f>
        <v xml:space="preserve"> </v>
      </c>
      <c r="G118" t="str">
        <f>INDEX(Establishment!C$2:C$1005,MATCH($E118,Establishment!$A$2:$A$1005,0))</f>
        <v xml:space="preserve"> </v>
      </c>
      <c r="M118">
        <f t="shared" si="11"/>
        <v>0</v>
      </c>
      <c r="N118">
        <f t="shared" si="9"/>
        <v>0</v>
      </c>
      <c r="P118" t="e">
        <f>INDEX(Items!B$2:B$1032,MATCH($O118,Items!$A$2:$A$1032,0))</f>
        <v>#N/A</v>
      </c>
      <c r="Q118" t="e">
        <f>INDEX(Items!C$2:C$1032,MATCH($O118,Items!$A$2:$A$1032,0))</f>
        <v>#N/A</v>
      </c>
      <c r="R118" t="e">
        <f>INDEX(Items!D$2:D$1032,MATCH($O118,Items!$A$2:$A$1032,0))</f>
        <v>#N/A</v>
      </c>
    </row>
    <row r="119" spans="1:18" x14ac:dyDescent="0.25">
      <c r="A119">
        <f t="shared" si="7"/>
        <v>1</v>
      </c>
      <c r="B119" t="str">
        <f t="shared" si="8"/>
        <v/>
      </c>
      <c r="C119">
        <f t="shared" si="10"/>
        <v>1</v>
      </c>
      <c r="D119" s="4"/>
      <c r="E119" t="s">
        <v>18</v>
      </c>
      <c r="F119" t="str">
        <f>INDEX(Establishment!B$2:B$1005,MATCH($E119,Establishment!$A$2:$A$1005,0))</f>
        <v xml:space="preserve"> </v>
      </c>
      <c r="G119" t="str">
        <f>INDEX(Establishment!C$2:C$1005,MATCH($E119,Establishment!$A$2:$A$1005,0))</f>
        <v xml:space="preserve"> </v>
      </c>
      <c r="M119">
        <f t="shared" si="11"/>
        <v>0</v>
      </c>
      <c r="N119">
        <f t="shared" si="9"/>
        <v>0</v>
      </c>
      <c r="P119" t="e">
        <f>INDEX(Items!B$2:B$1032,MATCH($O119,Items!$A$2:$A$1032,0))</f>
        <v>#N/A</v>
      </c>
      <c r="Q119" t="e">
        <f>INDEX(Items!C$2:C$1032,MATCH($O119,Items!$A$2:$A$1032,0))</f>
        <v>#N/A</v>
      </c>
      <c r="R119" t="e">
        <f>INDEX(Items!D$2:D$1032,MATCH($O119,Items!$A$2:$A$1032,0))</f>
        <v>#N/A</v>
      </c>
    </row>
    <row r="120" spans="1:18" x14ac:dyDescent="0.25">
      <c r="A120">
        <f t="shared" si="7"/>
        <v>1</v>
      </c>
      <c r="B120" t="str">
        <f t="shared" si="8"/>
        <v/>
      </c>
      <c r="C120">
        <f t="shared" si="10"/>
        <v>1</v>
      </c>
      <c r="D120" s="4"/>
      <c r="E120" t="s">
        <v>18</v>
      </c>
      <c r="F120" t="str">
        <f>INDEX(Establishment!B$2:B$1005,MATCH($E120,Establishment!$A$2:$A$1005,0))</f>
        <v xml:space="preserve"> </v>
      </c>
      <c r="G120" t="str">
        <f>INDEX(Establishment!C$2:C$1005,MATCH($E120,Establishment!$A$2:$A$1005,0))</f>
        <v xml:space="preserve"> </v>
      </c>
      <c r="M120">
        <f t="shared" si="11"/>
        <v>0</v>
      </c>
      <c r="N120">
        <f t="shared" si="9"/>
        <v>0</v>
      </c>
      <c r="P120" t="e">
        <f>INDEX(Items!B$2:B$1032,MATCH($O120,Items!$A$2:$A$1032,0))</f>
        <v>#N/A</v>
      </c>
      <c r="Q120" t="e">
        <f>INDEX(Items!C$2:C$1032,MATCH($O120,Items!$A$2:$A$1032,0))</f>
        <v>#N/A</v>
      </c>
      <c r="R120" t="e">
        <f>INDEX(Items!D$2:D$1032,MATCH($O120,Items!$A$2:$A$1032,0))</f>
        <v>#N/A</v>
      </c>
    </row>
    <row r="121" spans="1:18" x14ac:dyDescent="0.25">
      <c r="A121">
        <f t="shared" si="7"/>
        <v>1</v>
      </c>
      <c r="B121" t="str">
        <f t="shared" si="8"/>
        <v/>
      </c>
      <c r="C121">
        <f t="shared" si="10"/>
        <v>1</v>
      </c>
      <c r="D121" s="4"/>
      <c r="E121" t="s">
        <v>18</v>
      </c>
      <c r="F121" t="str">
        <f>INDEX(Establishment!B$2:B$1005,MATCH($E121,Establishment!$A$2:$A$1005,0))</f>
        <v xml:space="preserve"> </v>
      </c>
      <c r="G121" t="str">
        <f>INDEX(Establishment!C$2:C$1005,MATCH($E121,Establishment!$A$2:$A$1005,0))</f>
        <v xml:space="preserve"> </v>
      </c>
      <c r="M121">
        <f t="shared" si="11"/>
        <v>0</v>
      </c>
      <c r="N121">
        <f t="shared" si="9"/>
        <v>0</v>
      </c>
      <c r="P121" t="e">
        <f>INDEX(Items!B$2:B$1032,MATCH($O121,Items!$A$2:$A$1032,0))</f>
        <v>#N/A</v>
      </c>
      <c r="Q121" t="e">
        <f>INDEX(Items!C$2:C$1032,MATCH($O121,Items!$A$2:$A$1032,0))</f>
        <v>#N/A</v>
      </c>
      <c r="R121" t="e">
        <f>INDEX(Items!D$2:D$1032,MATCH($O121,Items!$A$2:$A$1032,0))</f>
        <v>#N/A</v>
      </c>
    </row>
    <row r="122" spans="1:18" x14ac:dyDescent="0.25">
      <c r="A122">
        <f t="shared" si="7"/>
        <v>1</v>
      </c>
      <c r="B122" t="str">
        <f t="shared" si="8"/>
        <v/>
      </c>
      <c r="C122">
        <f t="shared" si="10"/>
        <v>1</v>
      </c>
      <c r="D122" s="4"/>
      <c r="E122" t="s">
        <v>18</v>
      </c>
      <c r="F122" t="str">
        <f>INDEX(Establishment!B$2:B$1005,MATCH($E122,Establishment!$A$2:$A$1005,0))</f>
        <v xml:space="preserve"> </v>
      </c>
      <c r="G122" t="str">
        <f>INDEX(Establishment!C$2:C$1005,MATCH($E122,Establishment!$A$2:$A$1005,0))</f>
        <v xml:space="preserve"> </v>
      </c>
      <c r="M122">
        <f t="shared" si="11"/>
        <v>0</v>
      </c>
      <c r="N122">
        <f t="shared" si="9"/>
        <v>0</v>
      </c>
      <c r="P122" t="e">
        <f>INDEX(Items!B$2:B$1032,MATCH($O122,Items!$A$2:$A$1032,0))</f>
        <v>#N/A</v>
      </c>
      <c r="Q122" t="e">
        <f>INDEX(Items!C$2:C$1032,MATCH($O122,Items!$A$2:$A$1032,0))</f>
        <v>#N/A</v>
      </c>
      <c r="R122" t="e">
        <f>INDEX(Items!D$2:D$1032,MATCH($O122,Items!$A$2:$A$1032,0))</f>
        <v>#N/A</v>
      </c>
    </row>
    <row r="123" spans="1:18" x14ac:dyDescent="0.25">
      <c r="A123">
        <f t="shared" si="7"/>
        <v>1</v>
      </c>
      <c r="B123" t="str">
        <f t="shared" si="8"/>
        <v/>
      </c>
      <c r="C123">
        <f t="shared" si="10"/>
        <v>1</v>
      </c>
      <c r="D123" s="4"/>
      <c r="E123" t="s">
        <v>18</v>
      </c>
      <c r="F123" t="str">
        <f>INDEX(Establishment!B$2:B$1005,MATCH($E123,Establishment!$A$2:$A$1005,0))</f>
        <v xml:space="preserve"> </v>
      </c>
      <c r="G123" t="str">
        <f>INDEX(Establishment!C$2:C$1005,MATCH($E123,Establishment!$A$2:$A$1005,0))</f>
        <v xml:space="preserve"> </v>
      </c>
      <c r="M123">
        <f t="shared" si="11"/>
        <v>0</v>
      </c>
      <c r="N123">
        <f t="shared" si="9"/>
        <v>0</v>
      </c>
      <c r="P123" t="e">
        <f>INDEX(Items!B$2:B$1032,MATCH($O123,Items!$A$2:$A$1032,0))</f>
        <v>#N/A</v>
      </c>
      <c r="Q123" t="e">
        <f>INDEX(Items!C$2:C$1032,MATCH($O123,Items!$A$2:$A$1032,0))</f>
        <v>#N/A</v>
      </c>
      <c r="R123" t="e">
        <f>INDEX(Items!D$2:D$1032,MATCH($O123,Items!$A$2:$A$1032,0))</f>
        <v>#N/A</v>
      </c>
    </row>
    <row r="124" spans="1:18" x14ac:dyDescent="0.25">
      <c r="A124">
        <f t="shared" si="7"/>
        <v>1</v>
      </c>
      <c r="B124" t="str">
        <f t="shared" si="8"/>
        <v/>
      </c>
      <c r="C124">
        <f t="shared" si="10"/>
        <v>1</v>
      </c>
      <c r="D124" s="4"/>
      <c r="E124" t="s">
        <v>18</v>
      </c>
      <c r="F124" t="str">
        <f>INDEX(Establishment!B$2:B$1005,MATCH($E124,Establishment!$A$2:$A$1005,0))</f>
        <v xml:space="preserve"> </v>
      </c>
      <c r="G124" t="str">
        <f>INDEX(Establishment!C$2:C$1005,MATCH($E124,Establishment!$A$2:$A$1005,0))</f>
        <v xml:space="preserve"> </v>
      </c>
      <c r="M124">
        <f t="shared" si="11"/>
        <v>0</v>
      </c>
      <c r="N124">
        <f t="shared" si="9"/>
        <v>0</v>
      </c>
      <c r="P124" t="e">
        <f>INDEX(Items!B$2:B$1032,MATCH($O124,Items!$A$2:$A$1032,0))</f>
        <v>#N/A</v>
      </c>
      <c r="Q124" t="e">
        <f>INDEX(Items!C$2:C$1032,MATCH($O124,Items!$A$2:$A$1032,0))</f>
        <v>#N/A</v>
      </c>
      <c r="R124" t="e">
        <f>INDEX(Items!D$2:D$1032,MATCH($O124,Items!$A$2:$A$1032,0))</f>
        <v>#N/A</v>
      </c>
    </row>
    <row r="125" spans="1:18" x14ac:dyDescent="0.25">
      <c r="A125">
        <f t="shared" si="7"/>
        <v>1</v>
      </c>
      <c r="B125" t="str">
        <f t="shared" si="8"/>
        <v/>
      </c>
      <c r="C125">
        <f t="shared" si="10"/>
        <v>1</v>
      </c>
      <c r="D125" s="4"/>
      <c r="E125" t="s">
        <v>18</v>
      </c>
      <c r="F125" t="str">
        <f>INDEX(Establishment!B$2:B$1005,MATCH($E125,Establishment!$A$2:$A$1005,0))</f>
        <v xml:space="preserve"> </v>
      </c>
      <c r="G125" t="str">
        <f>INDEX(Establishment!C$2:C$1005,MATCH($E125,Establishment!$A$2:$A$1005,0))</f>
        <v xml:space="preserve"> </v>
      </c>
      <c r="M125">
        <f t="shared" si="11"/>
        <v>0</v>
      </c>
      <c r="N125">
        <f t="shared" si="9"/>
        <v>0</v>
      </c>
      <c r="P125" t="e">
        <f>INDEX(Items!B$2:B$1032,MATCH($O125,Items!$A$2:$A$1032,0))</f>
        <v>#N/A</v>
      </c>
      <c r="Q125" t="e">
        <f>INDEX(Items!C$2:C$1032,MATCH($O125,Items!$A$2:$A$1032,0))</f>
        <v>#N/A</v>
      </c>
      <c r="R125" t="e">
        <f>INDEX(Items!D$2:D$1032,MATCH($O125,Items!$A$2:$A$1032,0))</f>
        <v>#N/A</v>
      </c>
    </row>
    <row r="126" spans="1:18" x14ac:dyDescent="0.25">
      <c r="A126">
        <f t="shared" si="7"/>
        <v>1</v>
      </c>
      <c r="B126" t="str">
        <f t="shared" si="8"/>
        <v/>
      </c>
      <c r="C126">
        <f t="shared" si="10"/>
        <v>1</v>
      </c>
      <c r="D126" s="4"/>
      <c r="E126" t="s">
        <v>18</v>
      </c>
      <c r="F126" t="str">
        <f>INDEX(Establishment!B$2:B$1005,MATCH($E126,Establishment!$A$2:$A$1005,0))</f>
        <v xml:space="preserve"> </v>
      </c>
      <c r="G126" t="str">
        <f>INDEX(Establishment!C$2:C$1005,MATCH($E126,Establishment!$A$2:$A$1005,0))</f>
        <v xml:space="preserve"> </v>
      </c>
      <c r="M126">
        <f t="shared" si="11"/>
        <v>0</v>
      </c>
      <c r="N126">
        <f t="shared" si="9"/>
        <v>0</v>
      </c>
      <c r="P126" t="e">
        <f>INDEX(Items!B$2:B$1032,MATCH($O126,Items!$A$2:$A$1032,0))</f>
        <v>#N/A</v>
      </c>
      <c r="Q126" t="e">
        <f>INDEX(Items!C$2:C$1032,MATCH($O126,Items!$A$2:$A$1032,0))</f>
        <v>#N/A</v>
      </c>
      <c r="R126" t="e">
        <f>INDEX(Items!D$2:D$1032,MATCH($O126,Items!$A$2:$A$1032,0))</f>
        <v>#N/A</v>
      </c>
    </row>
    <row r="127" spans="1:18" x14ac:dyDescent="0.25">
      <c r="A127">
        <f t="shared" si="7"/>
        <v>1</v>
      </c>
      <c r="B127" t="str">
        <f t="shared" si="8"/>
        <v/>
      </c>
      <c r="C127">
        <f t="shared" si="10"/>
        <v>1</v>
      </c>
      <c r="D127" s="4"/>
      <c r="E127" t="s">
        <v>18</v>
      </c>
      <c r="F127" t="str">
        <f>INDEX(Establishment!B$2:B$1005,MATCH($E127,Establishment!$A$2:$A$1005,0))</f>
        <v xml:space="preserve"> </v>
      </c>
      <c r="G127" t="str">
        <f>INDEX(Establishment!C$2:C$1005,MATCH($E127,Establishment!$A$2:$A$1005,0))</f>
        <v xml:space="preserve"> </v>
      </c>
      <c r="M127">
        <f t="shared" si="11"/>
        <v>0</v>
      </c>
      <c r="N127">
        <f t="shared" si="9"/>
        <v>0</v>
      </c>
      <c r="P127" t="e">
        <f>INDEX(Items!B$2:B$1032,MATCH($O127,Items!$A$2:$A$1032,0))</f>
        <v>#N/A</v>
      </c>
      <c r="Q127" t="e">
        <f>INDEX(Items!C$2:C$1032,MATCH($O127,Items!$A$2:$A$1032,0))</f>
        <v>#N/A</v>
      </c>
      <c r="R127" t="e">
        <f>INDEX(Items!D$2:D$1032,MATCH($O127,Items!$A$2:$A$1032,0))</f>
        <v>#N/A</v>
      </c>
    </row>
    <row r="128" spans="1:18" x14ac:dyDescent="0.25">
      <c r="A128">
        <f t="shared" si="7"/>
        <v>1</v>
      </c>
      <c r="B128" t="str">
        <f t="shared" si="8"/>
        <v/>
      </c>
      <c r="C128">
        <f t="shared" si="10"/>
        <v>1</v>
      </c>
      <c r="D128" s="4"/>
      <c r="E128" t="s">
        <v>18</v>
      </c>
      <c r="F128" t="str">
        <f>INDEX(Establishment!B$2:B$1005,MATCH($E128,Establishment!$A$2:$A$1005,0))</f>
        <v xml:space="preserve"> </v>
      </c>
      <c r="G128" t="str">
        <f>INDEX(Establishment!C$2:C$1005,MATCH($E128,Establishment!$A$2:$A$1005,0))</f>
        <v xml:space="preserve"> </v>
      </c>
      <c r="M128">
        <f t="shared" si="11"/>
        <v>0</v>
      </c>
      <c r="N128">
        <f t="shared" si="9"/>
        <v>0</v>
      </c>
      <c r="P128" t="e">
        <f>INDEX(Items!B$2:B$1032,MATCH($O128,Items!$A$2:$A$1032,0))</f>
        <v>#N/A</v>
      </c>
      <c r="Q128" t="e">
        <f>INDEX(Items!C$2:C$1032,MATCH($O128,Items!$A$2:$A$1032,0))</f>
        <v>#N/A</v>
      </c>
      <c r="R128" t="e">
        <f>INDEX(Items!D$2:D$1032,MATCH($O128,Items!$A$2:$A$1032,0))</f>
        <v>#N/A</v>
      </c>
    </row>
    <row r="129" spans="1:18" x14ac:dyDescent="0.25">
      <c r="A129">
        <f t="shared" si="7"/>
        <v>1</v>
      </c>
      <c r="B129" t="str">
        <f t="shared" si="8"/>
        <v/>
      </c>
      <c r="C129">
        <f t="shared" si="10"/>
        <v>1</v>
      </c>
      <c r="D129" s="4"/>
      <c r="E129" t="s">
        <v>18</v>
      </c>
      <c r="F129" t="str">
        <f>INDEX(Establishment!B$2:B$1005,MATCH($E129,Establishment!$A$2:$A$1005,0))</f>
        <v xml:space="preserve"> </v>
      </c>
      <c r="G129" t="str">
        <f>INDEX(Establishment!C$2:C$1005,MATCH($E129,Establishment!$A$2:$A$1005,0))</f>
        <v xml:space="preserve"> </v>
      </c>
      <c r="M129">
        <f t="shared" si="11"/>
        <v>0</v>
      </c>
      <c r="N129">
        <f t="shared" si="9"/>
        <v>0</v>
      </c>
      <c r="P129" t="e">
        <f>INDEX(Items!B$2:B$1032,MATCH($O129,Items!$A$2:$A$1032,0))</f>
        <v>#N/A</v>
      </c>
      <c r="Q129" t="e">
        <f>INDEX(Items!C$2:C$1032,MATCH($O129,Items!$A$2:$A$1032,0))</f>
        <v>#N/A</v>
      </c>
      <c r="R129" t="e">
        <f>INDEX(Items!D$2:D$1032,MATCH($O129,Items!$A$2:$A$1032,0))</f>
        <v>#N/A</v>
      </c>
    </row>
    <row r="130" spans="1:18" x14ac:dyDescent="0.25">
      <c r="A130">
        <f t="shared" ref="A130:A193" si="12">IF(OR(D130&lt;&gt;D129,D130=""),1,IF(NOT(AND(E130=E129,F130=F129,G130=G129)),A129+1,IF(OR(H130="",AND(H130&lt;&gt;"",H130&lt;&gt;H129,H129&lt;&gt;"")),A129,A129+1)))</f>
        <v>1</v>
      </c>
      <c r="B130" t="str">
        <f t="shared" ref="B130:B193" si="13">IF(D130&lt;&gt;"",TEXT(D130,"YYYYMMDD")&amp;CHAR(64+A130),"")</f>
        <v/>
      </c>
      <c r="C130">
        <f t="shared" si="10"/>
        <v>1</v>
      </c>
      <c r="D130" s="4"/>
      <c r="E130" t="s">
        <v>18</v>
      </c>
      <c r="F130" t="str">
        <f>INDEX(Establishment!B$2:B$1005,MATCH($E130,Establishment!$A$2:$A$1005,0))</f>
        <v xml:space="preserve"> </v>
      </c>
      <c r="G130" t="str">
        <f>INDEX(Establishment!C$2:C$1005,MATCH($E130,Establishment!$A$2:$A$1005,0))</f>
        <v xml:space="preserve"> </v>
      </c>
      <c r="M130">
        <f t="shared" si="11"/>
        <v>0</v>
      </c>
      <c r="N130">
        <f t="shared" si="9"/>
        <v>0</v>
      </c>
      <c r="P130" t="e">
        <f>INDEX(Items!B$2:B$1032,MATCH($O130,Items!$A$2:$A$1032,0))</f>
        <v>#N/A</v>
      </c>
      <c r="Q130" t="e">
        <f>INDEX(Items!C$2:C$1032,MATCH($O130,Items!$A$2:$A$1032,0))</f>
        <v>#N/A</v>
      </c>
      <c r="R130" t="e">
        <f>INDEX(Items!D$2:D$1032,MATCH($O130,Items!$A$2:$A$1032,0))</f>
        <v>#N/A</v>
      </c>
    </row>
    <row r="131" spans="1:18" x14ac:dyDescent="0.25">
      <c r="A131">
        <f t="shared" si="12"/>
        <v>1</v>
      </c>
      <c r="B131" t="str">
        <f t="shared" si="13"/>
        <v/>
      </c>
      <c r="C131">
        <f t="shared" si="10"/>
        <v>1</v>
      </c>
      <c r="D131" s="4"/>
      <c r="E131" t="s">
        <v>18</v>
      </c>
      <c r="F131" t="str">
        <f>INDEX(Establishment!B$2:B$1005,MATCH($E131,Establishment!$A$2:$A$1005,0))</f>
        <v xml:space="preserve"> </v>
      </c>
      <c r="G131" t="str">
        <f>INDEX(Establishment!C$2:C$1005,MATCH($E131,Establishment!$A$2:$A$1005,0))</f>
        <v xml:space="preserve"> </v>
      </c>
      <c r="M131">
        <f t="shared" si="11"/>
        <v>0</v>
      </c>
      <c r="N131">
        <f t="shared" ref="N131:N194" si="14">IF(B131=B130,N130+M131,M131)</f>
        <v>0</v>
      </c>
      <c r="P131" t="e">
        <f>INDEX(Items!B$2:B$1032,MATCH($O131,Items!$A$2:$A$1032,0))</f>
        <v>#N/A</v>
      </c>
      <c r="Q131" t="e">
        <f>INDEX(Items!C$2:C$1032,MATCH($O131,Items!$A$2:$A$1032,0))</f>
        <v>#N/A</v>
      </c>
      <c r="R131" t="e">
        <f>INDEX(Items!D$2:D$1032,MATCH($O131,Items!$A$2:$A$1032,0))</f>
        <v>#N/A</v>
      </c>
    </row>
    <row r="132" spans="1:18" x14ac:dyDescent="0.25">
      <c r="A132">
        <f t="shared" si="12"/>
        <v>1</v>
      </c>
      <c r="B132" t="str">
        <f t="shared" si="13"/>
        <v/>
      </c>
      <c r="C132">
        <f t="shared" si="10"/>
        <v>1</v>
      </c>
      <c r="D132" s="4"/>
      <c r="E132" t="s">
        <v>18</v>
      </c>
      <c r="F132" t="str">
        <f>INDEX(Establishment!B$2:B$1005,MATCH($E132,Establishment!$A$2:$A$1005,0))</f>
        <v xml:space="preserve"> </v>
      </c>
      <c r="G132" t="str">
        <f>INDEX(Establishment!C$2:C$1005,MATCH($E132,Establishment!$A$2:$A$1005,0))</f>
        <v xml:space="preserve"> </v>
      </c>
      <c r="M132">
        <f t="shared" si="11"/>
        <v>0</v>
      </c>
      <c r="N132">
        <f t="shared" si="14"/>
        <v>0</v>
      </c>
      <c r="P132" t="e">
        <f>INDEX(Items!B$2:B$1032,MATCH($O132,Items!$A$2:$A$1032,0))</f>
        <v>#N/A</v>
      </c>
      <c r="Q132" t="e">
        <f>INDEX(Items!C$2:C$1032,MATCH($O132,Items!$A$2:$A$1032,0))</f>
        <v>#N/A</v>
      </c>
      <c r="R132" t="e">
        <f>INDEX(Items!D$2:D$1032,MATCH($O132,Items!$A$2:$A$1032,0))</f>
        <v>#N/A</v>
      </c>
    </row>
    <row r="133" spans="1:18" x14ac:dyDescent="0.25">
      <c r="A133">
        <f t="shared" si="12"/>
        <v>1</v>
      </c>
      <c r="B133" t="str">
        <f t="shared" si="13"/>
        <v/>
      </c>
      <c r="C133">
        <f t="shared" si="10"/>
        <v>1</v>
      </c>
      <c r="D133" s="4"/>
      <c r="E133" t="s">
        <v>18</v>
      </c>
      <c r="F133" t="str">
        <f>INDEX(Establishment!B$2:B$1005,MATCH($E133,Establishment!$A$2:$A$1005,0))</f>
        <v xml:space="preserve"> </v>
      </c>
      <c r="G133" t="str">
        <f>INDEX(Establishment!C$2:C$1005,MATCH($E133,Establishment!$A$2:$A$1005,0))</f>
        <v xml:space="preserve"> </v>
      </c>
      <c r="M133">
        <f t="shared" si="11"/>
        <v>0</v>
      </c>
      <c r="N133">
        <f t="shared" si="14"/>
        <v>0</v>
      </c>
      <c r="P133" t="e">
        <f>INDEX(Items!B$2:B$1032,MATCH($O133,Items!$A$2:$A$1032,0))</f>
        <v>#N/A</v>
      </c>
      <c r="Q133" t="e">
        <f>INDEX(Items!C$2:C$1032,MATCH($O133,Items!$A$2:$A$1032,0))</f>
        <v>#N/A</v>
      </c>
      <c r="R133" t="e">
        <f>INDEX(Items!D$2:D$1032,MATCH($O133,Items!$A$2:$A$1032,0))</f>
        <v>#N/A</v>
      </c>
    </row>
    <row r="134" spans="1:18" x14ac:dyDescent="0.25">
      <c r="A134">
        <f t="shared" si="12"/>
        <v>1</v>
      </c>
      <c r="B134" t="str">
        <f t="shared" si="13"/>
        <v/>
      </c>
      <c r="C134">
        <f t="shared" si="10"/>
        <v>1</v>
      </c>
      <c r="D134" s="4"/>
      <c r="E134" t="s">
        <v>18</v>
      </c>
      <c r="F134" t="str">
        <f>INDEX(Establishment!B$2:B$1005,MATCH($E134,Establishment!$A$2:$A$1005,0))</f>
        <v xml:space="preserve"> </v>
      </c>
      <c r="G134" t="str">
        <f>INDEX(Establishment!C$2:C$1005,MATCH($E134,Establishment!$A$2:$A$1005,0))</f>
        <v xml:space="preserve"> </v>
      </c>
      <c r="M134">
        <f t="shared" si="11"/>
        <v>0</v>
      </c>
      <c r="N134">
        <f t="shared" si="14"/>
        <v>0</v>
      </c>
      <c r="P134" t="e">
        <f>INDEX(Items!B$2:B$1032,MATCH($O134,Items!$A$2:$A$1032,0))</f>
        <v>#N/A</v>
      </c>
      <c r="Q134" t="e">
        <f>INDEX(Items!C$2:C$1032,MATCH($O134,Items!$A$2:$A$1032,0))</f>
        <v>#N/A</v>
      </c>
      <c r="R134" t="e">
        <f>INDEX(Items!D$2:D$1032,MATCH($O134,Items!$A$2:$A$1032,0))</f>
        <v>#N/A</v>
      </c>
    </row>
    <row r="135" spans="1:18" x14ac:dyDescent="0.25">
      <c r="A135">
        <f t="shared" si="12"/>
        <v>1</v>
      </c>
      <c r="B135" t="str">
        <f t="shared" si="13"/>
        <v/>
      </c>
      <c r="C135">
        <f t="shared" si="10"/>
        <v>1</v>
      </c>
      <c r="D135" s="4"/>
      <c r="E135" t="s">
        <v>18</v>
      </c>
      <c r="F135" t="str">
        <f>INDEX(Establishment!B$2:B$1005,MATCH($E135,Establishment!$A$2:$A$1005,0))</f>
        <v xml:space="preserve"> </v>
      </c>
      <c r="G135" t="str">
        <f>INDEX(Establishment!C$2:C$1005,MATCH($E135,Establishment!$A$2:$A$1005,0))</f>
        <v xml:space="preserve"> </v>
      </c>
      <c r="M135">
        <f t="shared" si="11"/>
        <v>0</v>
      </c>
      <c r="N135">
        <f t="shared" si="14"/>
        <v>0</v>
      </c>
      <c r="P135" t="e">
        <f>INDEX(Items!B$2:B$1032,MATCH($O135,Items!$A$2:$A$1032,0))</f>
        <v>#N/A</v>
      </c>
      <c r="Q135" t="e">
        <f>INDEX(Items!C$2:C$1032,MATCH($O135,Items!$A$2:$A$1032,0))</f>
        <v>#N/A</v>
      </c>
      <c r="R135" t="e">
        <f>INDEX(Items!D$2:D$1032,MATCH($O135,Items!$A$2:$A$1032,0))</f>
        <v>#N/A</v>
      </c>
    </row>
    <row r="136" spans="1:18" x14ac:dyDescent="0.25">
      <c r="A136">
        <f t="shared" si="12"/>
        <v>1</v>
      </c>
      <c r="B136" t="str">
        <f t="shared" si="13"/>
        <v/>
      </c>
      <c r="C136">
        <f t="shared" si="10"/>
        <v>1</v>
      </c>
      <c r="D136" s="4"/>
      <c r="E136" t="s">
        <v>18</v>
      </c>
      <c r="F136" t="str">
        <f>INDEX(Establishment!B$2:B$1005,MATCH($E136,Establishment!$A$2:$A$1005,0))</f>
        <v xml:space="preserve"> </v>
      </c>
      <c r="G136" t="str">
        <f>INDEX(Establishment!C$2:C$1005,MATCH($E136,Establishment!$A$2:$A$1005,0))</f>
        <v xml:space="preserve"> </v>
      </c>
      <c r="M136">
        <f t="shared" si="11"/>
        <v>0</v>
      </c>
      <c r="N136">
        <f t="shared" si="14"/>
        <v>0</v>
      </c>
      <c r="P136" t="e">
        <f>INDEX(Items!B$2:B$1032,MATCH($O136,Items!$A$2:$A$1032,0))</f>
        <v>#N/A</v>
      </c>
      <c r="Q136" t="e">
        <f>INDEX(Items!C$2:C$1032,MATCH($O136,Items!$A$2:$A$1032,0))</f>
        <v>#N/A</v>
      </c>
      <c r="R136" t="e">
        <f>INDEX(Items!D$2:D$1032,MATCH($O136,Items!$A$2:$A$1032,0))</f>
        <v>#N/A</v>
      </c>
    </row>
    <row r="137" spans="1:18" x14ac:dyDescent="0.25">
      <c r="A137">
        <f t="shared" si="12"/>
        <v>1</v>
      </c>
      <c r="B137" t="str">
        <f t="shared" si="13"/>
        <v/>
      </c>
      <c r="C137">
        <f t="shared" si="10"/>
        <v>1</v>
      </c>
      <c r="D137" s="4"/>
      <c r="E137" t="s">
        <v>18</v>
      </c>
      <c r="F137" t="str">
        <f>INDEX(Establishment!B$2:B$1005,MATCH($E137,Establishment!$A$2:$A$1005,0))</f>
        <v xml:space="preserve"> </v>
      </c>
      <c r="G137" t="str">
        <f>INDEX(Establishment!C$2:C$1005,MATCH($E137,Establishment!$A$2:$A$1005,0))</f>
        <v xml:space="preserve"> </v>
      </c>
      <c r="M137">
        <f t="shared" si="11"/>
        <v>0</v>
      </c>
      <c r="N137">
        <f t="shared" si="14"/>
        <v>0</v>
      </c>
      <c r="P137" t="e">
        <f>INDEX(Items!B$2:B$1032,MATCH($O137,Items!$A$2:$A$1032,0))</f>
        <v>#N/A</v>
      </c>
      <c r="Q137" t="e">
        <f>INDEX(Items!C$2:C$1032,MATCH($O137,Items!$A$2:$A$1032,0))</f>
        <v>#N/A</v>
      </c>
      <c r="R137" t="e">
        <f>INDEX(Items!D$2:D$1032,MATCH($O137,Items!$A$2:$A$1032,0))</f>
        <v>#N/A</v>
      </c>
    </row>
    <row r="138" spans="1:18" x14ac:dyDescent="0.25">
      <c r="A138">
        <f t="shared" si="12"/>
        <v>1</v>
      </c>
      <c r="B138" t="str">
        <f t="shared" si="13"/>
        <v/>
      </c>
      <c r="C138">
        <f t="shared" ref="C138:C201" si="15">IF(OR(B138="",B138&lt;&gt;B137),1,C137+1)</f>
        <v>1</v>
      </c>
      <c r="D138" s="4"/>
      <c r="E138" t="s">
        <v>18</v>
      </c>
      <c r="F138" t="str">
        <f>INDEX(Establishment!B$2:B$1005,MATCH($E138,Establishment!$A$2:$A$1005,0))</f>
        <v xml:space="preserve"> </v>
      </c>
      <c r="G138" t="str">
        <f>INDEX(Establishment!C$2:C$1005,MATCH($E138,Establishment!$A$2:$A$1005,0))</f>
        <v xml:space="preserve"> </v>
      </c>
      <c r="M138">
        <f t="shared" ref="M138:M201" si="16">K138*L138</f>
        <v>0</v>
      </c>
      <c r="N138">
        <f t="shared" si="14"/>
        <v>0</v>
      </c>
      <c r="P138" t="e">
        <f>INDEX(Items!B$2:B$1032,MATCH($O138,Items!$A$2:$A$1032,0))</f>
        <v>#N/A</v>
      </c>
      <c r="Q138" t="e">
        <f>INDEX(Items!C$2:C$1032,MATCH($O138,Items!$A$2:$A$1032,0))</f>
        <v>#N/A</v>
      </c>
      <c r="R138" t="e">
        <f>INDEX(Items!D$2:D$1032,MATCH($O138,Items!$A$2:$A$1032,0))</f>
        <v>#N/A</v>
      </c>
    </row>
    <row r="139" spans="1:18" x14ac:dyDescent="0.25">
      <c r="A139">
        <f t="shared" si="12"/>
        <v>1</v>
      </c>
      <c r="B139" t="str">
        <f t="shared" si="13"/>
        <v/>
      </c>
      <c r="C139">
        <f t="shared" si="15"/>
        <v>1</v>
      </c>
      <c r="D139" s="4"/>
      <c r="E139" t="s">
        <v>18</v>
      </c>
      <c r="F139" t="str">
        <f>INDEX(Establishment!B$2:B$1005,MATCH($E139,Establishment!$A$2:$A$1005,0))</f>
        <v xml:space="preserve"> </v>
      </c>
      <c r="G139" t="str">
        <f>INDEX(Establishment!C$2:C$1005,MATCH($E139,Establishment!$A$2:$A$1005,0))</f>
        <v xml:space="preserve"> </v>
      </c>
      <c r="M139">
        <f t="shared" si="16"/>
        <v>0</v>
      </c>
      <c r="N139">
        <f t="shared" si="14"/>
        <v>0</v>
      </c>
      <c r="P139" t="e">
        <f>INDEX(Items!B$2:B$1032,MATCH($O139,Items!$A$2:$A$1032,0))</f>
        <v>#N/A</v>
      </c>
      <c r="Q139" t="e">
        <f>INDEX(Items!C$2:C$1032,MATCH($O139,Items!$A$2:$A$1032,0))</f>
        <v>#N/A</v>
      </c>
      <c r="R139" t="e">
        <f>INDEX(Items!D$2:D$1032,MATCH($O139,Items!$A$2:$A$1032,0))</f>
        <v>#N/A</v>
      </c>
    </row>
    <row r="140" spans="1:18" x14ac:dyDescent="0.25">
      <c r="A140">
        <f t="shared" si="12"/>
        <v>1</v>
      </c>
      <c r="B140" t="str">
        <f t="shared" si="13"/>
        <v/>
      </c>
      <c r="C140">
        <f t="shared" si="15"/>
        <v>1</v>
      </c>
      <c r="D140" s="4"/>
      <c r="E140" t="s">
        <v>18</v>
      </c>
      <c r="F140" t="str">
        <f>INDEX(Establishment!B$2:B$1005,MATCH($E140,Establishment!$A$2:$A$1005,0))</f>
        <v xml:space="preserve"> </v>
      </c>
      <c r="G140" t="str">
        <f>INDEX(Establishment!C$2:C$1005,MATCH($E140,Establishment!$A$2:$A$1005,0))</f>
        <v xml:space="preserve"> </v>
      </c>
      <c r="M140">
        <f t="shared" si="16"/>
        <v>0</v>
      </c>
      <c r="N140">
        <f t="shared" si="14"/>
        <v>0</v>
      </c>
      <c r="P140" t="e">
        <f>INDEX(Items!B$2:B$1032,MATCH($O140,Items!$A$2:$A$1032,0))</f>
        <v>#N/A</v>
      </c>
      <c r="Q140" t="e">
        <f>INDEX(Items!C$2:C$1032,MATCH($O140,Items!$A$2:$A$1032,0))</f>
        <v>#N/A</v>
      </c>
      <c r="R140" t="e">
        <f>INDEX(Items!D$2:D$1032,MATCH($O140,Items!$A$2:$A$1032,0))</f>
        <v>#N/A</v>
      </c>
    </row>
    <row r="141" spans="1:18" x14ac:dyDescent="0.25">
      <c r="A141">
        <f t="shared" si="12"/>
        <v>1</v>
      </c>
      <c r="B141" t="str">
        <f t="shared" si="13"/>
        <v/>
      </c>
      <c r="C141">
        <f t="shared" si="15"/>
        <v>1</v>
      </c>
      <c r="D141" s="4"/>
      <c r="E141" t="s">
        <v>18</v>
      </c>
      <c r="F141" t="str">
        <f>INDEX(Establishment!B$2:B$1005,MATCH($E141,Establishment!$A$2:$A$1005,0))</f>
        <v xml:space="preserve"> </v>
      </c>
      <c r="G141" t="str">
        <f>INDEX(Establishment!C$2:C$1005,MATCH($E141,Establishment!$A$2:$A$1005,0))</f>
        <v xml:space="preserve"> </v>
      </c>
      <c r="M141">
        <f t="shared" si="16"/>
        <v>0</v>
      </c>
      <c r="N141">
        <f t="shared" si="14"/>
        <v>0</v>
      </c>
      <c r="P141" t="e">
        <f>INDEX(Items!B$2:B$1032,MATCH($O141,Items!$A$2:$A$1032,0))</f>
        <v>#N/A</v>
      </c>
      <c r="Q141" t="e">
        <f>INDEX(Items!C$2:C$1032,MATCH($O141,Items!$A$2:$A$1032,0))</f>
        <v>#N/A</v>
      </c>
      <c r="R141" t="e">
        <f>INDEX(Items!D$2:D$1032,MATCH($O141,Items!$A$2:$A$1032,0))</f>
        <v>#N/A</v>
      </c>
    </row>
    <row r="142" spans="1:18" x14ac:dyDescent="0.25">
      <c r="A142">
        <f t="shared" si="12"/>
        <v>1</v>
      </c>
      <c r="B142" t="str">
        <f t="shared" si="13"/>
        <v/>
      </c>
      <c r="C142">
        <f t="shared" si="15"/>
        <v>1</v>
      </c>
      <c r="D142" s="4"/>
      <c r="E142" t="s">
        <v>18</v>
      </c>
      <c r="F142" t="str">
        <f>INDEX(Establishment!B$2:B$1005,MATCH($E142,Establishment!$A$2:$A$1005,0))</f>
        <v xml:space="preserve"> </v>
      </c>
      <c r="G142" t="str">
        <f>INDEX(Establishment!C$2:C$1005,MATCH($E142,Establishment!$A$2:$A$1005,0))</f>
        <v xml:space="preserve"> </v>
      </c>
      <c r="M142">
        <f t="shared" si="16"/>
        <v>0</v>
      </c>
      <c r="N142">
        <f t="shared" si="14"/>
        <v>0</v>
      </c>
      <c r="P142" t="e">
        <f>INDEX(Items!B$2:B$1032,MATCH($O142,Items!$A$2:$A$1032,0))</f>
        <v>#N/A</v>
      </c>
      <c r="Q142" t="e">
        <f>INDEX(Items!C$2:C$1032,MATCH($O142,Items!$A$2:$A$1032,0))</f>
        <v>#N/A</v>
      </c>
      <c r="R142" t="e">
        <f>INDEX(Items!D$2:D$1032,MATCH($O142,Items!$A$2:$A$1032,0))</f>
        <v>#N/A</v>
      </c>
    </row>
    <row r="143" spans="1:18" x14ac:dyDescent="0.25">
      <c r="A143">
        <f t="shared" si="12"/>
        <v>1</v>
      </c>
      <c r="B143" t="str">
        <f t="shared" si="13"/>
        <v/>
      </c>
      <c r="C143">
        <f t="shared" si="15"/>
        <v>1</v>
      </c>
      <c r="D143" s="4"/>
      <c r="E143" t="s">
        <v>18</v>
      </c>
      <c r="F143" t="str">
        <f>INDEX(Establishment!B$2:B$1005,MATCH($E143,Establishment!$A$2:$A$1005,0))</f>
        <v xml:space="preserve"> </v>
      </c>
      <c r="G143" t="str">
        <f>INDEX(Establishment!C$2:C$1005,MATCH($E143,Establishment!$A$2:$A$1005,0))</f>
        <v xml:space="preserve"> </v>
      </c>
      <c r="M143">
        <f t="shared" si="16"/>
        <v>0</v>
      </c>
      <c r="N143">
        <f t="shared" si="14"/>
        <v>0</v>
      </c>
      <c r="P143" t="e">
        <f>INDEX(Items!B$2:B$1032,MATCH($O143,Items!$A$2:$A$1032,0))</f>
        <v>#N/A</v>
      </c>
      <c r="Q143" t="e">
        <f>INDEX(Items!C$2:C$1032,MATCH($O143,Items!$A$2:$A$1032,0))</f>
        <v>#N/A</v>
      </c>
      <c r="R143" t="e">
        <f>INDEX(Items!D$2:D$1032,MATCH($O143,Items!$A$2:$A$1032,0))</f>
        <v>#N/A</v>
      </c>
    </row>
    <row r="144" spans="1:18" x14ac:dyDescent="0.25">
      <c r="A144">
        <f t="shared" si="12"/>
        <v>1</v>
      </c>
      <c r="B144" t="str">
        <f t="shared" si="13"/>
        <v/>
      </c>
      <c r="C144">
        <f t="shared" si="15"/>
        <v>1</v>
      </c>
      <c r="D144" s="4"/>
      <c r="E144" t="s">
        <v>18</v>
      </c>
      <c r="F144" t="str">
        <f>INDEX(Establishment!B$2:B$1005,MATCH($E144,Establishment!$A$2:$A$1005,0))</f>
        <v xml:space="preserve"> </v>
      </c>
      <c r="G144" t="str">
        <f>INDEX(Establishment!C$2:C$1005,MATCH($E144,Establishment!$A$2:$A$1005,0))</f>
        <v xml:space="preserve"> </v>
      </c>
      <c r="M144">
        <f t="shared" si="16"/>
        <v>0</v>
      </c>
      <c r="N144">
        <f t="shared" si="14"/>
        <v>0</v>
      </c>
      <c r="P144" t="e">
        <f>INDEX(Items!B$2:B$1032,MATCH($O144,Items!$A$2:$A$1032,0))</f>
        <v>#N/A</v>
      </c>
      <c r="Q144" t="e">
        <f>INDEX(Items!C$2:C$1032,MATCH($O144,Items!$A$2:$A$1032,0))</f>
        <v>#N/A</v>
      </c>
      <c r="R144" t="e">
        <f>INDEX(Items!D$2:D$1032,MATCH($O144,Items!$A$2:$A$1032,0))</f>
        <v>#N/A</v>
      </c>
    </row>
    <row r="145" spans="1:18" x14ac:dyDescent="0.25">
      <c r="A145">
        <f t="shared" si="12"/>
        <v>1</v>
      </c>
      <c r="B145" t="str">
        <f t="shared" si="13"/>
        <v/>
      </c>
      <c r="C145">
        <f t="shared" si="15"/>
        <v>1</v>
      </c>
      <c r="D145" s="4"/>
      <c r="E145" t="s">
        <v>18</v>
      </c>
      <c r="F145" t="str">
        <f>INDEX(Establishment!B$2:B$1005,MATCH($E145,Establishment!$A$2:$A$1005,0))</f>
        <v xml:space="preserve"> </v>
      </c>
      <c r="G145" t="str">
        <f>INDEX(Establishment!C$2:C$1005,MATCH($E145,Establishment!$A$2:$A$1005,0))</f>
        <v xml:space="preserve"> </v>
      </c>
      <c r="M145">
        <f t="shared" si="16"/>
        <v>0</v>
      </c>
      <c r="N145">
        <f t="shared" si="14"/>
        <v>0</v>
      </c>
      <c r="P145" t="e">
        <f>INDEX(Items!B$2:B$1032,MATCH($O145,Items!$A$2:$A$1032,0))</f>
        <v>#N/A</v>
      </c>
      <c r="Q145" t="e">
        <f>INDEX(Items!C$2:C$1032,MATCH($O145,Items!$A$2:$A$1032,0))</f>
        <v>#N/A</v>
      </c>
      <c r="R145" t="e">
        <f>INDEX(Items!D$2:D$1032,MATCH($O145,Items!$A$2:$A$1032,0))</f>
        <v>#N/A</v>
      </c>
    </row>
    <row r="146" spans="1:18" x14ac:dyDescent="0.25">
      <c r="A146">
        <f t="shared" si="12"/>
        <v>1</v>
      </c>
      <c r="B146" t="str">
        <f t="shared" si="13"/>
        <v/>
      </c>
      <c r="C146">
        <f t="shared" si="15"/>
        <v>1</v>
      </c>
      <c r="D146" s="4"/>
      <c r="E146" t="s">
        <v>18</v>
      </c>
      <c r="F146" t="str">
        <f>INDEX(Establishment!B$2:B$1005,MATCH($E146,Establishment!$A$2:$A$1005,0))</f>
        <v xml:space="preserve"> </v>
      </c>
      <c r="G146" t="str">
        <f>INDEX(Establishment!C$2:C$1005,MATCH($E146,Establishment!$A$2:$A$1005,0))</f>
        <v xml:space="preserve"> </v>
      </c>
      <c r="M146">
        <f t="shared" si="16"/>
        <v>0</v>
      </c>
      <c r="N146">
        <f t="shared" si="14"/>
        <v>0</v>
      </c>
      <c r="P146" t="e">
        <f>INDEX(Items!B$2:B$1032,MATCH($O146,Items!$A$2:$A$1032,0))</f>
        <v>#N/A</v>
      </c>
      <c r="Q146" t="e">
        <f>INDEX(Items!C$2:C$1032,MATCH($O146,Items!$A$2:$A$1032,0))</f>
        <v>#N/A</v>
      </c>
      <c r="R146" t="e">
        <f>INDEX(Items!D$2:D$1032,MATCH($O146,Items!$A$2:$A$1032,0))</f>
        <v>#N/A</v>
      </c>
    </row>
    <row r="147" spans="1:18" x14ac:dyDescent="0.25">
      <c r="A147">
        <f t="shared" si="12"/>
        <v>1</v>
      </c>
      <c r="B147" t="str">
        <f t="shared" si="13"/>
        <v/>
      </c>
      <c r="C147">
        <f t="shared" si="15"/>
        <v>1</v>
      </c>
      <c r="D147" s="4"/>
      <c r="E147" t="s">
        <v>18</v>
      </c>
      <c r="F147" t="str">
        <f>INDEX(Establishment!B$2:B$1005,MATCH($E147,Establishment!$A$2:$A$1005,0))</f>
        <v xml:space="preserve"> </v>
      </c>
      <c r="G147" t="str">
        <f>INDEX(Establishment!C$2:C$1005,MATCH($E147,Establishment!$A$2:$A$1005,0))</f>
        <v xml:space="preserve"> </v>
      </c>
      <c r="M147">
        <f t="shared" si="16"/>
        <v>0</v>
      </c>
      <c r="N147">
        <f t="shared" si="14"/>
        <v>0</v>
      </c>
      <c r="P147" t="e">
        <f>INDEX(Items!B$2:B$1032,MATCH($O147,Items!$A$2:$A$1032,0))</f>
        <v>#N/A</v>
      </c>
      <c r="Q147" t="e">
        <f>INDEX(Items!C$2:C$1032,MATCH($O147,Items!$A$2:$A$1032,0))</f>
        <v>#N/A</v>
      </c>
      <c r="R147" t="e">
        <f>INDEX(Items!D$2:D$1032,MATCH($O147,Items!$A$2:$A$1032,0))</f>
        <v>#N/A</v>
      </c>
    </row>
    <row r="148" spans="1:18" x14ac:dyDescent="0.25">
      <c r="A148">
        <f t="shared" si="12"/>
        <v>1</v>
      </c>
      <c r="B148" t="str">
        <f t="shared" si="13"/>
        <v/>
      </c>
      <c r="C148">
        <f t="shared" si="15"/>
        <v>1</v>
      </c>
      <c r="D148" s="4"/>
      <c r="E148" t="s">
        <v>18</v>
      </c>
      <c r="F148" t="str">
        <f>INDEX(Establishment!B$2:B$1005,MATCH($E148,Establishment!$A$2:$A$1005,0))</f>
        <v xml:space="preserve"> </v>
      </c>
      <c r="G148" t="str">
        <f>INDEX(Establishment!C$2:C$1005,MATCH($E148,Establishment!$A$2:$A$1005,0))</f>
        <v xml:space="preserve"> </v>
      </c>
      <c r="M148">
        <f t="shared" si="16"/>
        <v>0</v>
      </c>
      <c r="N148">
        <f t="shared" si="14"/>
        <v>0</v>
      </c>
      <c r="P148" t="e">
        <f>INDEX(Items!B$2:B$1032,MATCH($O148,Items!$A$2:$A$1032,0))</f>
        <v>#N/A</v>
      </c>
      <c r="Q148" t="e">
        <f>INDEX(Items!C$2:C$1032,MATCH($O148,Items!$A$2:$A$1032,0))</f>
        <v>#N/A</v>
      </c>
      <c r="R148" t="e">
        <f>INDEX(Items!D$2:D$1032,MATCH($O148,Items!$A$2:$A$1032,0))</f>
        <v>#N/A</v>
      </c>
    </row>
    <row r="149" spans="1:18" x14ac:dyDescent="0.25">
      <c r="A149">
        <f t="shared" si="12"/>
        <v>1</v>
      </c>
      <c r="B149" t="str">
        <f t="shared" si="13"/>
        <v/>
      </c>
      <c r="C149">
        <f t="shared" si="15"/>
        <v>1</v>
      </c>
      <c r="D149" s="4"/>
      <c r="E149" t="s">
        <v>18</v>
      </c>
      <c r="F149" t="str">
        <f>INDEX(Establishment!B$2:B$1005,MATCH($E149,Establishment!$A$2:$A$1005,0))</f>
        <v xml:space="preserve"> </v>
      </c>
      <c r="G149" t="str">
        <f>INDEX(Establishment!C$2:C$1005,MATCH($E149,Establishment!$A$2:$A$1005,0))</f>
        <v xml:space="preserve"> </v>
      </c>
      <c r="M149">
        <f t="shared" si="16"/>
        <v>0</v>
      </c>
      <c r="N149">
        <f t="shared" si="14"/>
        <v>0</v>
      </c>
      <c r="P149" t="e">
        <f>INDEX(Items!B$2:B$1032,MATCH($O149,Items!$A$2:$A$1032,0))</f>
        <v>#N/A</v>
      </c>
      <c r="Q149" t="e">
        <f>INDEX(Items!C$2:C$1032,MATCH($O149,Items!$A$2:$A$1032,0))</f>
        <v>#N/A</v>
      </c>
      <c r="R149" t="e">
        <f>INDEX(Items!D$2:D$1032,MATCH($O149,Items!$A$2:$A$1032,0))</f>
        <v>#N/A</v>
      </c>
    </row>
    <row r="150" spans="1:18" x14ac:dyDescent="0.25">
      <c r="A150">
        <f t="shared" si="12"/>
        <v>1</v>
      </c>
      <c r="B150" t="str">
        <f t="shared" si="13"/>
        <v/>
      </c>
      <c r="C150">
        <f t="shared" si="15"/>
        <v>1</v>
      </c>
      <c r="D150" s="4"/>
      <c r="E150" t="s">
        <v>18</v>
      </c>
      <c r="F150" t="str">
        <f>INDEX(Establishment!B$2:B$1005,MATCH($E150,Establishment!$A$2:$A$1005,0))</f>
        <v xml:space="preserve"> </v>
      </c>
      <c r="G150" t="str">
        <f>INDEX(Establishment!C$2:C$1005,MATCH($E150,Establishment!$A$2:$A$1005,0))</f>
        <v xml:space="preserve"> </v>
      </c>
      <c r="M150">
        <f t="shared" si="16"/>
        <v>0</v>
      </c>
      <c r="N150">
        <f t="shared" si="14"/>
        <v>0</v>
      </c>
      <c r="P150" t="e">
        <f>INDEX(Items!B$2:B$1032,MATCH($O150,Items!$A$2:$A$1032,0))</f>
        <v>#N/A</v>
      </c>
      <c r="Q150" t="e">
        <f>INDEX(Items!C$2:C$1032,MATCH($O150,Items!$A$2:$A$1032,0))</f>
        <v>#N/A</v>
      </c>
      <c r="R150" t="e">
        <f>INDEX(Items!D$2:D$1032,MATCH($O150,Items!$A$2:$A$1032,0))</f>
        <v>#N/A</v>
      </c>
    </row>
    <row r="151" spans="1:18" x14ac:dyDescent="0.25">
      <c r="A151">
        <f t="shared" si="12"/>
        <v>1</v>
      </c>
      <c r="B151" t="str">
        <f t="shared" si="13"/>
        <v/>
      </c>
      <c r="C151">
        <f t="shared" si="15"/>
        <v>1</v>
      </c>
      <c r="D151" s="4"/>
      <c r="E151" t="s">
        <v>18</v>
      </c>
      <c r="F151" t="str">
        <f>INDEX(Establishment!B$2:B$1005,MATCH($E151,Establishment!$A$2:$A$1005,0))</f>
        <v xml:space="preserve"> </v>
      </c>
      <c r="G151" t="str">
        <f>INDEX(Establishment!C$2:C$1005,MATCH($E151,Establishment!$A$2:$A$1005,0))</f>
        <v xml:space="preserve"> </v>
      </c>
      <c r="M151">
        <f t="shared" si="16"/>
        <v>0</v>
      </c>
      <c r="N151">
        <f t="shared" si="14"/>
        <v>0</v>
      </c>
      <c r="P151" t="e">
        <f>INDEX(Items!B$2:B$1032,MATCH($O151,Items!$A$2:$A$1032,0))</f>
        <v>#N/A</v>
      </c>
      <c r="Q151" t="e">
        <f>INDEX(Items!C$2:C$1032,MATCH($O151,Items!$A$2:$A$1032,0))</f>
        <v>#N/A</v>
      </c>
      <c r="R151" t="e">
        <f>INDEX(Items!D$2:D$1032,MATCH($O151,Items!$A$2:$A$1032,0))</f>
        <v>#N/A</v>
      </c>
    </row>
    <row r="152" spans="1:18" x14ac:dyDescent="0.25">
      <c r="A152">
        <f t="shared" si="12"/>
        <v>1</v>
      </c>
      <c r="B152" t="str">
        <f t="shared" si="13"/>
        <v/>
      </c>
      <c r="C152">
        <f t="shared" si="15"/>
        <v>1</v>
      </c>
      <c r="D152" s="4"/>
      <c r="E152" t="s">
        <v>18</v>
      </c>
      <c r="F152" t="str">
        <f>INDEX(Establishment!B$2:B$1005,MATCH($E152,Establishment!$A$2:$A$1005,0))</f>
        <v xml:space="preserve"> </v>
      </c>
      <c r="G152" t="str">
        <f>INDEX(Establishment!C$2:C$1005,MATCH($E152,Establishment!$A$2:$A$1005,0))</f>
        <v xml:space="preserve"> </v>
      </c>
      <c r="M152">
        <f t="shared" si="16"/>
        <v>0</v>
      </c>
      <c r="N152">
        <f t="shared" si="14"/>
        <v>0</v>
      </c>
      <c r="P152" t="e">
        <f>INDEX(Items!B$2:B$1032,MATCH($O152,Items!$A$2:$A$1032,0))</f>
        <v>#N/A</v>
      </c>
      <c r="Q152" t="e">
        <f>INDEX(Items!C$2:C$1032,MATCH($O152,Items!$A$2:$A$1032,0))</f>
        <v>#N/A</v>
      </c>
      <c r="R152" t="e">
        <f>INDEX(Items!D$2:D$1032,MATCH($O152,Items!$A$2:$A$1032,0))</f>
        <v>#N/A</v>
      </c>
    </row>
    <row r="153" spans="1:18" x14ac:dyDescent="0.25">
      <c r="A153">
        <f t="shared" si="12"/>
        <v>1</v>
      </c>
      <c r="B153" t="str">
        <f t="shared" si="13"/>
        <v/>
      </c>
      <c r="C153">
        <f t="shared" si="15"/>
        <v>1</v>
      </c>
      <c r="D153" s="4"/>
      <c r="E153" t="s">
        <v>18</v>
      </c>
      <c r="F153" t="str">
        <f>INDEX(Establishment!B$2:B$1005,MATCH($E153,Establishment!$A$2:$A$1005,0))</f>
        <v xml:space="preserve"> </v>
      </c>
      <c r="G153" t="str">
        <f>INDEX(Establishment!C$2:C$1005,MATCH($E153,Establishment!$A$2:$A$1005,0))</f>
        <v xml:space="preserve"> </v>
      </c>
      <c r="M153">
        <f t="shared" si="16"/>
        <v>0</v>
      </c>
      <c r="N153">
        <f t="shared" si="14"/>
        <v>0</v>
      </c>
      <c r="P153" t="e">
        <f>INDEX(Items!B$2:B$1032,MATCH($O153,Items!$A$2:$A$1032,0))</f>
        <v>#N/A</v>
      </c>
      <c r="Q153" t="e">
        <f>INDEX(Items!C$2:C$1032,MATCH($O153,Items!$A$2:$A$1032,0))</f>
        <v>#N/A</v>
      </c>
      <c r="R153" t="e">
        <f>INDEX(Items!D$2:D$1032,MATCH($O153,Items!$A$2:$A$1032,0))</f>
        <v>#N/A</v>
      </c>
    </row>
    <row r="154" spans="1:18" x14ac:dyDescent="0.25">
      <c r="A154">
        <f t="shared" si="12"/>
        <v>1</v>
      </c>
      <c r="B154" t="str">
        <f t="shared" si="13"/>
        <v/>
      </c>
      <c r="C154">
        <f t="shared" si="15"/>
        <v>1</v>
      </c>
      <c r="D154" s="4"/>
      <c r="E154" t="s">
        <v>18</v>
      </c>
      <c r="F154" t="str">
        <f>INDEX(Establishment!B$2:B$1005,MATCH($E154,Establishment!$A$2:$A$1005,0))</f>
        <v xml:space="preserve"> </v>
      </c>
      <c r="G154" t="str">
        <f>INDEX(Establishment!C$2:C$1005,MATCH($E154,Establishment!$A$2:$A$1005,0))</f>
        <v xml:space="preserve"> </v>
      </c>
      <c r="M154">
        <f t="shared" si="16"/>
        <v>0</v>
      </c>
      <c r="N154">
        <f t="shared" si="14"/>
        <v>0</v>
      </c>
      <c r="P154" t="e">
        <f>INDEX(Items!B$2:B$1032,MATCH($O154,Items!$A$2:$A$1032,0))</f>
        <v>#N/A</v>
      </c>
      <c r="Q154" t="e">
        <f>INDEX(Items!C$2:C$1032,MATCH($O154,Items!$A$2:$A$1032,0))</f>
        <v>#N/A</v>
      </c>
      <c r="R154" t="e">
        <f>INDEX(Items!D$2:D$1032,MATCH($O154,Items!$A$2:$A$1032,0))</f>
        <v>#N/A</v>
      </c>
    </row>
    <row r="155" spans="1:18" x14ac:dyDescent="0.25">
      <c r="A155">
        <f t="shared" si="12"/>
        <v>1</v>
      </c>
      <c r="B155" t="str">
        <f t="shared" si="13"/>
        <v/>
      </c>
      <c r="C155">
        <f t="shared" si="15"/>
        <v>1</v>
      </c>
      <c r="D155" s="4"/>
      <c r="E155" t="s">
        <v>18</v>
      </c>
      <c r="F155" t="str">
        <f>INDEX(Establishment!B$2:B$1005,MATCH($E155,Establishment!$A$2:$A$1005,0))</f>
        <v xml:space="preserve"> </v>
      </c>
      <c r="G155" t="str">
        <f>INDEX(Establishment!C$2:C$1005,MATCH($E155,Establishment!$A$2:$A$1005,0))</f>
        <v xml:space="preserve"> </v>
      </c>
      <c r="M155">
        <f t="shared" si="16"/>
        <v>0</v>
      </c>
      <c r="N155">
        <f t="shared" si="14"/>
        <v>0</v>
      </c>
      <c r="P155" t="e">
        <f>INDEX(Items!B$2:B$1032,MATCH($O155,Items!$A$2:$A$1032,0))</f>
        <v>#N/A</v>
      </c>
      <c r="Q155" t="e">
        <f>INDEX(Items!C$2:C$1032,MATCH($O155,Items!$A$2:$A$1032,0))</f>
        <v>#N/A</v>
      </c>
      <c r="R155" t="e">
        <f>INDEX(Items!D$2:D$1032,MATCH($O155,Items!$A$2:$A$1032,0))</f>
        <v>#N/A</v>
      </c>
    </row>
    <row r="156" spans="1:18" x14ac:dyDescent="0.25">
      <c r="A156">
        <f t="shared" si="12"/>
        <v>1</v>
      </c>
      <c r="B156" t="str">
        <f t="shared" si="13"/>
        <v/>
      </c>
      <c r="C156">
        <f t="shared" si="15"/>
        <v>1</v>
      </c>
      <c r="D156" s="4"/>
      <c r="E156" t="s">
        <v>18</v>
      </c>
      <c r="F156" t="str">
        <f>INDEX(Establishment!B$2:B$1005,MATCH($E156,Establishment!$A$2:$A$1005,0))</f>
        <v xml:space="preserve"> </v>
      </c>
      <c r="G156" t="str">
        <f>INDEX(Establishment!C$2:C$1005,MATCH($E156,Establishment!$A$2:$A$1005,0))</f>
        <v xml:space="preserve"> </v>
      </c>
      <c r="M156">
        <f t="shared" si="16"/>
        <v>0</v>
      </c>
      <c r="N156">
        <f t="shared" si="14"/>
        <v>0</v>
      </c>
      <c r="P156" t="e">
        <f>INDEX(Items!B$2:B$1032,MATCH($O156,Items!$A$2:$A$1032,0))</f>
        <v>#N/A</v>
      </c>
      <c r="Q156" t="e">
        <f>INDEX(Items!C$2:C$1032,MATCH($O156,Items!$A$2:$A$1032,0))</f>
        <v>#N/A</v>
      </c>
      <c r="R156" t="e">
        <f>INDEX(Items!D$2:D$1032,MATCH($O156,Items!$A$2:$A$1032,0))</f>
        <v>#N/A</v>
      </c>
    </row>
    <row r="157" spans="1:18" x14ac:dyDescent="0.25">
      <c r="A157">
        <f t="shared" si="12"/>
        <v>1</v>
      </c>
      <c r="B157" t="str">
        <f t="shared" si="13"/>
        <v/>
      </c>
      <c r="C157">
        <f t="shared" si="15"/>
        <v>1</v>
      </c>
      <c r="D157" s="4"/>
      <c r="E157" t="s">
        <v>18</v>
      </c>
      <c r="F157" t="str">
        <f>INDEX(Establishment!B$2:B$1005,MATCH($E157,Establishment!$A$2:$A$1005,0))</f>
        <v xml:space="preserve"> </v>
      </c>
      <c r="G157" t="str">
        <f>INDEX(Establishment!C$2:C$1005,MATCH($E157,Establishment!$A$2:$A$1005,0))</f>
        <v xml:space="preserve"> </v>
      </c>
      <c r="M157">
        <f t="shared" si="16"/>
        <v>0</v>
      </c>
      <c r="N157">
        <f t="shared" si="14"/>
        <v>0</v>
      </c>
      <c r="P157" t="e">
        <f>INDEX(Items!B$2:B$1032,MATCH($O157,Items!$A$2:$A$1032,0))</f>
        <v>#N/A</v>
      </c>
      <c r="Q157" t="e">
        <f>INDEX(Items!C$2:C$1032,MATCH($O157,Items!$A$2:$A$1032,0))</f>
        <v>#N/A</v>
      </c>
      <c r="R157" t="e">
        <f>INDEX(Items!D$2:D$1032,MATCH($O157,Items!$A$2:$A$1032,0))</f>
        <v>#N/A</v>
      </c>
    </row>
    <row r="158" spans="1:18" x14ac:dyDescent="0.25">
      <c r="A158">
        <f t="shared" si="12"/>
        <v>1</v>
      </c>
      <c r="B158" t="str">
        <f t="shared" si="13"/>
        <v/>
      </c>
      <c r="C158">
        <f t="shared" si="15"/>
        <v>1</v>
      </c>
      <c r="D158" s="4"/>
      <c r="E158" t="s">
        <v>18</v>
      </c>
      <c r="F158" t="str">
        <f>INDEX(Establishment!B$2:B$1005,MATCH($E158,Establishment!$A$2:$A$1005,0))</f>
        <v xml:space="preserve"> </v>
      </c>
      <c r="G158" t="str">
        <f>INDEX(Establishment!C$2:C$1005,MATCH($E158,Establishment!$A$2:$A$1005,0))</f>
        <v xml:space="preserve"> </v>
      </c>
      <c r="M158">
        <f t="shared" si="16"/>
        <v>0</v>
      </c>
      <c r="N158">
        <f t="shared" si="14"/>
        <v>0</v>
      </c>
      <c r="P158" t="e">
        <f>INDEX(Items!B$2:B$1032,MATCH($O158,Items!$A$2:$A$1032,0))</f>
        <v>#N/A</v>
      </c>
      <c r="Q158" t="e">
        <f>INDEX(Items!C$2:C$1032,MATCH($O158,Items!$A$2:$A$1032,0))</f>
        <v>#N/A</v>
      </c>
      <c r="R158" t="e">
        <f>INDEX(Items!D$2:D$1032,MATCH($O158,Items!$A$2:$A$1032,0))</f>
        <v>#N/A</v>
      </c>
    </row>
    <row r="159" spans="1:18" x14ac:dyDescent="0.25">
      <c r="A159">
        <f t="shared" si="12"/>
        <v>1</v>
      </c>
      <c r="B159" t="str">
        <f t="shared" si="13"/>
        <v/>
      </c>
      <c r="C159">
        <f t="shared" si="15"/>
        <v>1</v>
      </c>
      <c r="D159" s="4"/>
      <c r="E159" t="s">
        <v>18</v>
      </c>
      <c r="F159" t="str">
        <f>INDEX(Establishment!B$2:B$1005,MATCH($E159,Establishment!$A$2:$A$1005,0))</f>
        <v xml:space="preserve"> </v>
      </c>
      <c r="G159" t="str">
        <f>INDEX(Establishment!C$2:C$1005,MATCH($E159,Establishment!$A$2:$A$1005,0))</f>
        <v xml:space="preserve"> </v>
      </c>
      <c r="M159">
        <f t="shared" si="16"/>
        <v>0</v>
      </c>
      <c r="N159">
        <f t="shared" si="14"/>
        <v>0</v>
      </c>
      <c r="P159" t="e">
        <f>INDEX(Items!B$2:B$1032,MATCH($O159,Items!$A$2:$A$1032,0))</f>
        <v>#N/A</v>
      </c>
      <c r="Q159" t="e">
        <f>INDEX(Items!C$2:C$1032,MATCH($O159,Items!$A$2:$A$1032,0))</f>
        <v>#N/A</v>
      </c>
      <c r="R159" t="e">
        <f>INDEX(Items!D$2:D$1032,MATCH($O159,Items!$A$2:$A$1032,0))</f>
        <v>#N/A</v>
      </c>
    </row>
    <row r="160" spans="1:18" x14ac:dyDescent="0.25">
      <c r="A160">
        <f t="shared" si="12"/>
        <v>1</v>
      </c>
      <c r="B160" t="str">
        <f t="shared" si="13"/>
        <v/>
      </c>
      <c r="C160">
        <f t="shared" si="15"/>
        <v>1</v>
      </c>
      <c r="D160" s="4"/>
      <c r="E160" t="s">
        <v>18</v>
      </c>
      <c r="F160" t="str">
        <f>INDEX(Establishment!B$2:B$1005,MATCH($E160,Establishment!$A$2:$A$1005,0))</f>
        <v xml:space="preserve"> </v>
      </c>
      <c r="G160" t="str">
        <f>INDEX(Establishment!C$2:C$1005,MATCH($E160,Establishment!$A$2:$A$1005,0))</f>
        <v xml:space="preserve"> </v>
      </c>
      <c r="M160">
        <f t="shared" si="16"/>
        <v>0</v>
      </c>
      <c r="N160">
        <f t="shared" si="14"/>
        <v>0</v>
      </c>
      <c r="P160" t="e">
        <f>INDEX(Items!B$2:B$1032,MATCH($O160,Items!$A$2:$A$1032,0))</f>
        <v>#N/A</v>
      </c>
      <c r="Q160" t="e">
        <f>INDEX(Items!C$2:C$1032,MATCH($O160,Items!$A$2:$A$1032,0))</f>
        <v>#N/A</v>
      </c>
      <c r="R160" t="e">
        <f>INDEX(Items!D$2:D$1032,MATCH($O160,Items!$A$2:$A$1032,0))</f>
        <v>#N/A</v>
      </c>
    </row>
    <row r="161" spans="1:18" x14ac:dyDescent="0.25">
      <c r="A161">
        <f t="shared" si="12"/>
        <v>1</v>
      </c>
      <c r="B161" t="str">
        <f t="shared" si="13"/>
        <v/>
      </c>
      <c r="C161">
        <f t="shared" si="15"/>
        <v>1</v>
      </c>
      <c r="D161" s="4"/>
      <c r="E161" t="s">
        <v>18</v>
      </c>
      <c r="F161" t="str">
        <f>INDEX(Establishment!B$2:B$1005,MATCH($E161,Establishment!$A$2:$A$1005,0))</f>
        <v xml:space="preserve"> </v>
      </c>
      <c r="G161" t="str">
        <f>INDEX(Establishment!C$2:C$1005,MATCH($E161,Establishment!$A$2:$A$1005,0))</f>
        <v xml:space="preserve"> </v>
      </c>
      <c r="M161">
        <f t="shared" si="16"/>
        <v>0</v>
      </c>
      <c r="N161">
        <f t="shared" si="14"/>
        <v>0</v>
      </c>
      <c r="P161" t="e">
        <f>INDEX(Items!B$2:B$1032,MATCH($O161,Items!$A$2:$A$1032,0))</f>
        <v>#N/A</v>
      </c>
      <c r="Q161" t="e">
        <f>INDEX(Items!C$2:C$1032,MATCH($O161,Items!$A$2:$A$1032,0))</f>
        <v>#N/A</v>
      </c>
      <c r="R161" t="e">
        <f>INDEX(Items!D$2:D$1032,MATCH($O161,Items!$A$2:$A$1032,0))</f>
        <v>#N/A</v>
      </c>
    </row>
    <row r="162" spans="1:18" x14ac:dyDescent="0.25">
      <c r="A162">
        <f t="shared" si="12"/>
        <v>1</v>
      </c>
      <c r="B162" t="str">
        <f t="shared" si="13"/>
        <v/>
      </c>
      <c r="C162">
        <f t="shared" si="15"/>
        <v>1</v>
      </c>
      <c r="D162" s="4"/>
      <c r="E162" t="s">
        <v>18</v>
      </c>
      <c r="F162" t="str">
        <f>INDEX(Establishment!B$2:B$1005,MATCH($E162,Establishment!$A$2:$A$1005,0))</f>
        <v xml:space="preserve"> </v>
      </c>
      <c r="G162" t="str">
        <f>INDEX(Establishment!C$2:C$1005,MATCH($E162,Establishment!$A$2:$A$1005,0))</f>
        <v xml:space="preserve"> </v>
      </c>
      <c r="M162">
        <f t="shared" si="16"/>
        <v>0</v>
      </c>
      <c r="N162">
        <f t="shared" si="14"/>
        <v>0</v>
      </c>
      <c r="P162" t="e">
        <f>INDEX(Items!B$2:B$1032,MATCH($O162,Items!$A$2:$A$1032,0))</f>
        <v>#N/A</v>
      </c>
      <c r="Q162" t="e">
        <f>INDEX(Items!C$2:C$1032,MATCH($O162,Items!$A$2:$A$1032,0))</f>
        <v>#N/A</v>
      </c>
      <c r="R162" t="e">
        <f>INDEX(Items!D$2:D$1032,MATCH($O162,Items!$A$2:$A$1032,0))</f>
        <v>#N/A</v>
      </c>
    </row>
    <row r="163" spans="1:18" x14ac:dyDescent="0.25">
      <c r="A163">
        <f t="shared" si="12"/>
        <v>1</v>
      </c>
      <c r="B163" t="str">
        <f t="shared" si="13"/>
        <v/>
      </c>
      <c r="C163">
        <f t="shared" si="15"/>
        <v>1</v>
      </c>
      <c r="D163" s="4"/>
      <c r="E163" t="s">
        <v>18</v>
      </c>
      <c r="F163" t="str">
        <f>INDEX(Establishment!B$2:B$1005,MATCH($E163,Establishment!$A$2:$A$1005,0))</f>
        <v xml:space="preserve"> </v>
      </c>
      <c r="G163" t="str">
        <f>INDEX(Establishment!C$2:C$1005,MATCH($E163,Establishment!$A$2:$A$1005,0))</f>
        <v xml:space="preserve"> </v>
      </c>
      <c r="M163">
        <f t="shared" si="16"/>
        <v>0</v>
      </c>
      <c r="N163">
        <f t="shared" si="14"/>
        <v>0</v>
      </c>
      <c r="P163" t="e">
        <f>INDEX(Items!B$2:B$1032,MATCH($O163,Items!$A$2:$A$1032,0))</f>
        <v>#N/A</v>
      </c>
      <c r="Q163" t="e">
        <f>INDEX(Items!C$2:C$1032,MATCH($O163,Items!$A$2:$A$1032,0))</f>
        <v>#N/A</v>
      </c>
      <c r="R163" t="e">
        <f>INDEX(Items!D$2:D$1032,MATCH($O163,Items!$A$2:$A$1032,0))</f>
        <v>#N/A</v>
      </c>
    </row>
    <row r="164" spans="1:18" x14ac:dyDescent="0.25">
      <c r="A164">
        <f t="shared" si="12"/>
        <v>1</v>
      </c>
      <c r="B164" t="str">
        <f t="shared" si="13"/>
        <v/>
      </c>
      <c r="C164">
        <f t="shared" si="15"/>
        <v>1</v>
      </c>
      <c r="D164" s="4"/>
      <c r="E164" t="s">
        <v>18</v>
      </c>
      <c r="F164" t="str">
        <f>INDEX(Establishment!B$2:B$1005,MATCH($E164,Establishment!$A$2:$A$1005,0))</f>
        <v xml:space="preserve"> </v>
      </c>
      <c r="G164" t="str">
        <f>INDEX(Establishment!C$2:C$1005,MATCH($E164,Establishment!$A$2:$A$1005,0))</f>
        <v xml:space="preserve"> </v>
      </c>
      <c r="M164">
        <f t="shared" si="16"/>
        <v>0</v>
      </c>
      <c r="N164">
        <f t="shared" si="14"/>
        <v>0</v>
      </c>
      <c r="P164" t="e">
        <f>INDEX(Items!B$2:B$1032,MATCH($O164,Items!$A$2:$A$1032,0))</f>
        <v>#N/A</v>
      </c>
      <c r="Q164" t="e">
        <f>INDEX(Items!C$2:C$1032,MATCH($O164,Items!$A$2:$A$1032,0))</f>
        <v>#N/A</v>
      </c>
      <c r="R164" t="e">
        <f>INDEX(Items!D$2:D$1032,MATCH($O164,Items!$A$2:$A$1032,0))</f>
        <v>#N/A</v>
      </c>
    </row>
    <row r="165" spans="1:18" x14ac:dyDescent="0.25">
      <c r="A165">
        <f t="shared" si="12"/>
        <v>1</v>
      </c>
      <c r="B165" t="str">
        <f t="shared" si="13"/>
        <v/>
      </c>
      <c r="C165">
        <f t="shared" si="15"/>
        <v>1</v>
      </c>
      <c r="D165" s="4"/>
      <c r="E165" t="s">
        <v>18</v>
      </c>
      <c r="F165" t="str">
        <f>INDEX(Establishment!B$2:B$1005,MATCH($E165,Establishment!$A$2:$A$1005,0))</f>
        <v xml:space="preserve"> </v>
      </c>
      <c r="G165" t="str">
        <f>INDEX(Establishment!C$2:C$1005,MATCH($E165,Establishment!$A$2:$A$1005,0))</f>
        <v xml:space="preserve"> </v>
      </c>
      <c r="M165">
        <f t="shared" si="16"/>
        <v>0</v>
      </c>
      <c r="N165">
        <f t="shared" si="14"/>
        <v>0</v>
      </c>
      <c r="P165" t="e">
        <f>INDEX(Items!B$2:B$1032,MATCH($O165,Items!$A$2:$A$1032,0))</f>
        <v>#N/A</v>
      </c>
      <c r="Q165" t="e">
        <f>INDEX(Items!C$2:C$1032,MATCH($O165,Items!$A$2:$A$1032,0))</f>
        <v>#N/A</v>
      </c>
      <c r="R165" t="e">
        <f>INDEX(Items!D$2:D$1032,MATCH($O165,Items!$A$2:$A$1032,0))</f>
        <v>#N/A</v>
      </c>
    </row>
    <row r="166" spans="1:18" x14ac:dyDescent="0.25">
      <c r="A166">
        <f t="shared" si="12"/>
        <v>1</v>
      </c>
      <c r="B166" t="str">
        <f t="shared" si="13"/>
        <v/>
      </c>
      <c r="C166">
        <f t="shared" si="15"/>
        <v>1</v>
      </c>
      <c r="D166" s="4"/>
      <c r="E166" t="s">
        <v>18</v>
      </c>
      <c r="F166" t="str">
        <f>INDEX(Establishment!B$2:B$1005,MATCH($E166,Establishment!$A$2:$A$1005,0))</f>
        <v xml:space="preserve"> </v>
      </c>
      <c r="G166" t="str">
        <f>INDEX(Establishment!C$2:C$1005,MATCH($E166,Establishment!$A$2:$A$1005,0))</f>
        <v xml:space="preserve"> </v>
      </c>
      <c r="M166">
        <f t="shared" si="16"/>
        <v>0</v>
      </c>
      <c r="N166">
        <f t="shared" si="14"/>
        <v>0</v>
      </c>
      <c r="P166" t="e">
        <f>INDEX(Items!B$2:B$1032,MATCH($O166,Items!$A$2:$A$1032,0))</f>
        <v>#N/A</v>
      </c>
      <c r="Q166" t="e">
        <f>INDEX(Items!C$2:C$1032,MATCH($O166,Items!$A$2:$A$1032,0))</f>
        <v>#N/A</v>
      </c>
      <c r="R166" t="e">
        <f>INDEX(Items!D$2:D$1032,MATCH($O166,Items!$A$2:$A$1032,0))</f>
        <v>#N/A</v>
      </c>
    </row>
    <row r="167" spans="1:18" x14ac:dyDescent="0.25">
      <c r="A167">
        <f t="shared" si="12"/>
        <v>1</v>
      </c>
      <c r="B167" t="str">
        <f t="shared" si="13"/>
        <v/>
      </c>
      <c r="C167">
        <f t="shared" si="15"/>
        <v>1</v>
      </c>
      <c r="D167" s="4"/>
      <c r="E167" t="s">
        <v>18</v>
      </c>
      <c r="F167" t="str">
        <f>INDEX(Establishment!B$2:B$1005,MATCH($E167,Establishment!$A$2:$A$1005,0))</f>
        <v xml:space="preserve"> </v>
      </c>
      <c r="G167" t="str">
        <f>INDEX(Establishment!C$2:C$1005,MATCH($E167,Establishment!$A$2:$A$1005,0))</f>
        <v xml:space="preserve"> </v>
      </c>
      <c r="M167">
        <f t="shared" si="16"/>
        <v>0</v>
      </c>
      <c r="N167">
        <f t="shared" si="14"/>
        <v>0</v>
      </c>
      <c r="P167" t="e">
        <f>INDEX(Items!B$2:B$1032,MATCH($O167,Items!$A$2:$A$1032,0))</f>
        <v>#N/A</v>
      </c>
      <c r="Q167" t="e">
        <f>INDEX(Items!C$2:C$1032,MATCH($O167,Items!$A$2:$A$1032,0))</f>
        <v>#N/A</v>
      </c>
      <c r="R167" t="e">
        <f>INDEX(Items!D$2:D$1032,MATCH($O167,Items!$A$2:$A$1032,0))</f>
        <v>#N/A</v>
      </c>
    </row>
    <row r="168" spans="1:18" x14ac:dyDescent="0.25">
      <c r="A168">
        <f t="shared" si="12"/>
        <v>1</v>
      </c>
      <c r="B168" t="str">
        <f t="shared" si="13"/>
        <v/>
      </c>
      <c r="C168">
        <f t="shared" si="15"/>
        <v>1</v>
      </c>
      <c r="D168" s="4"/>
      <c r="E168" t="s">
        <v>18</v>
      </c>
      <c r="F168" t="str">
        <f>INDEX(Establishment!B$2:B$1005,MATCH($E168,Establishment!$A$2:$A$1005,0))</f>
        <v xml:space="preserve"> </v>
      </c>
      <c r="G168" t="str">
        <f>INDEX(Establishment!C$2:C$1005,MATCH($E168,Establishment!$A$2:$A$1005,0))</f>
        <v xml:space="preserve"> </v>
      </c>
      <c r="M168">
        <f t="shared" si="16"/>
        <v>0</v>
      </c>
      <c r="N168">
        <f t="shared" si="14"/>
        <v>0</v>
      </c>
      <c r="P168" t="e">
        <f>INDEX(Items!B$2:B$1032,MATCH($O168,Items!$A$2:$A$1032,0))</f>
        <v>#N/A</v>
      </c>
      <c r="Q168" t="e">
        <f>INDEX(Items!C$2:C$1032,MATCH($O168,Items!$A$2:$A$1032,0))</f>
        <v>#N/A</v>
      </c>
      <c r="R168" t="e">
        <f>INDEX(Items!D$2:D$1032,MATCH($O168,Items!$A$2:$A$1032,0))</f>
        <v>#N/A</v>
      </c>
    </row>
    <row r="169" spans="1:18" x14ac:dyDescent="0.25">
      <c r="A169">
        <f t="shared" si="12"/>
        <v>1</v>
      </c>
      <c r="B169" t="str">
        <f t="shared" si="13"/>
        <v/>
      </c>
      <c r="C169">
        <f t="shared" si="15"/>
        <v>1</v>
      </c>
      <c r="D169" s="4"/>
      <c r="E169" t="s">
        <v>18</v>
      </c>
      <c r="F169" t="str">
        <f>INDEX(Establishment!B$2:B$1005,MATCH($E169,Establishment!$A$2:$A$1005,0))</f>
        <v xml:space="preserve"> </v>
      </c>
      <c r="G169" t="str">
        <f>INDEX(Establishment!C$2:C$1005,MATCH($E169,Establishment!$A$2:$A$1005,0))</f>
        <v xml:space="preserve"> </v>
      </c>
      <c r="M169">
        <f t="shared" si="16"/>
        <v>0</v>
      </c>
      <c r="N169">
        <f t="shared" si="14"/>
        <v>0</v>
      </c>
      <c r="P169" t="e">
        <f>INDEX(Items!B$2:B$1032,MATCH($O169,Items!$A$2:$A$1032,0))</f>
        <v>#N/A</v>
      </c>
      <c r="Q169" t="e">
        <f>INDEX(Items!C$2:C$1032,MATCH($O169,Items!$A$2:$A$1032,0))</f>
        <v>#N/A</v>
      </c>
      <c r="R169" t="e">
        <f>INDEX(Items!D$2:D$1032,MATCH($O169,Items!$A$2:$A$1032,0))</f>
        <v>#N/A</v>
      </c>
    </row>
    <row r="170" spans="1:18" x14ac:dyDescent="0.25">
      <c r="A170">
        <f t="shared" si="12"/>
        <v>1</v>
      </c>
      <c r="B170" t="str">
        <f t="shared" si="13"/>
        <v/>
      </c>
      <c r="C170">
        <f t="shared" si="15"/>
        <v>1</v>
      </c>
      <c r="D170" s="4"/>
      <c r="E170" t="s">
        <v>18</v>
      </c>
      <c r="F170" t="str">
        <f>INDEX(Establishment!B$2:B$1005,MATCH($E170,Establishment!$A$2:$A$1005,0))</f>
        <v xml:space="preserve"> </v>
      </c>
      <c r="G170" t="str">
        <f>INDEX(Establishment!C$2:C$1005,MATCH($E170,Establishment!$A$2:$A$1005,0))</f>
        <v xml:space="preserve"> </v>
      </c>
      <c r="M170">
        <f t="shared" si="16"/>
        <v>0</v>
      </c>
      <c r="N170">
        <f t="shared" si="14"/>
        <v>0</v>
      </c>
      <c r="P170" t="e">
        <f>INDEX(Items!B$2:B$1032,MATCH($O170,Items!$A$2:$A$1032,0))</f>
        <v>#N/A</v>
      </c>
      <c r="Q170" t="e">
        <f>INDEX(Items!C$2:C$1032,MATCH($O170,Items!$A$2:$A$1032,0))</f>
        <v>#N/A</v>
      </c>
      <c r="R170" t="e">
        <f>INDEX(Items!D$2:D$1032,MATCH($O170,Items!$A$2:$A$1032,0))</f>
        <v>#N/A</v>
      </c>
    </row>
    <row r="171" spans="1:18" x14ac:dyDescent="0.25">
      <c r="A171">
        <f t="shared" si="12"/>
        <v>1</v>
      </c>
      <c r="B171" t="str">
        <f t="shared" si="13"/>
        <v/>
      </c>
      <c r="C171">
        <f t="shared" si="15"/>
        <v>1</v>
      </c>
      <c r="D171" s="4"/>
      <c r="E171" t="s">
        <v>18</v>
      </c>
      <c r="F171" t="str">
        <f>INDEX(Establishment!B$2:B$1005,MATCH($E171,Establishment!$A$2:$A$1005,0))</f>
        <v xml:space="preserve"> </v>
      </c>
      <c r="G171" t="str">
        <f>INDEX(Establishment!C$2:C$1005,MATCH($E171,Establishment!$A$2:$A$1005,0))</f>
        <v xml:space="preserve"> </v>
      </c>
      <c r="M171">
        <f t="shared" si="16"/>
        <v>0</v>
      </c>
      <c r="N171">
        <f t="shared" si="14"/>
        <v>0</v>
      </c>
      <c r="P171" t="e">
        <f>INDEX(Items!B$2:B$1032,MATCH($O171,Items!$A$2:$A$1032,0))</f>
        <v>#N/A</v>
      </c>
      <c r="Q171" t="e">
        <f>INDEX(Items!C$2:C$1032,MATCH($O171,Items!$A$2:$A$1032,0))</f>
        <v>#N/A</v>
      </c>
      <c r="R171" t="e">
        <f>INDEX(Items!D$2:D$1032,MATCH($O171,Items!$A$2:$A$1032,0))</f>
        <v>#N/A</v>
      </c>
    </row>
    <row r="172" spans="1:18" x14ac:dyDescent="0.25">
      <c r="A172">
        <f t="shared" si="12"/>
        <v>1</v>
      </c>
      <c r="B172" t="str">
        <f t="shared" si="13"/>
        <v/>
      </c>
      <c r="C172">
        <f t="shared" si="15"/>
        <v>1</v>
      </c>
      <c r="D172" s="4"/>
      <c r="E172" t="s">
        <v>18</v>
      </c>
      <c r="F172" t="str">
        <f>INDEX(Establishment!B$2:B$1005,MATCH($E172,Establishment!$A$2:$A$1005,0))</f>
        <v xml:space="preserve"> </v>
      </c>
      <c r="G172" t="str">
        <f>INDEX(Establishment!C$2:C$1005,MATCH($E172,Establishment!$A$2:$A$1005,0))</f>
        <v xml:space="preserve"> </v>
      </c>
      <c r="M172">
        <f t="shared" si="16"/>
        <v>0</v>
      </c>
      <c r="N172">
        <f t="shared" si="14"/>
        <v>0</v>
      </c>
      <c r="P172" t="e">
        <f>INDEX(Items!B$2:B$1032,MATCH($O172,Items!$A$2:$A$1032,0))</f>
        <v>#N/A</v>
      </c>
      <c r="Q172" t="e">
        <f>INDEX(Items!C$2:C$1032,MATCH($O172,Items!$A$2:$A$1032,0))</f>
        <v>#N/A</v>
      </c>
      <c r="R172" t="e">
        <f>INDEX(Items!D$2:D$1032,MATCH($O172,Items!$A$2:$A$1032,0))</f>
        <v>#N/A</v>
      </c>
    </row>
    <row r="173" spans="1:18" x14ac:dyDescent="0.25">
      <c r="A173">
        <f t="shared" si="12"/>
        <v>1</v>
      </c>
      <c r="B173" t="str">
        <f t="shared" si="13"/>
        <v/>
      </c>
      <c r="C173">
        <f t="shared" si="15"/>
        <v>1</v>
      </c>
      <c r="D173" s="4"/>
      <c r="E173" t="s">
        <v>18</v>
      </c>
      <c r="F173" t="str">
        <f>INDEX(Establishment!B$2:B$1005,MATCH($E173,Establishment!$A$2:$A$1005,0))</f>
        <v xml:space="preserve"> </v>
      </c>
      <c r="G173" t="str">
        <f>INDEX(Establishment!C$2:C$1005,MATCH($E173,Establishment!$A$2:$A$1005,0))</f>
        <v xml:space="preserve"> </v>
      </c>
      <c r="M173">
        <f t="shared" si="16"/>
        <v>0</v>
      </c>
      <c r="N173">
        <f t="shared" si="14"/>
        <v>0</v>
      </c>
      <c r="P173" t="e">
        <f>INDEX(Items!B$2:B$1032,MATCH($O173,Items!$A$2:$A$1032,0))</f>
        <v>#N/A</v>
      </c>
      <c r="Q173" t="e">
        <f>INDEX(Items!C$2:C$1032,MATCH($O173,Items!$A$2:$A$1032,0))</f>
        <v>#N/A</v>
      </c>
      <c r="R173" t="e">
        <f>INDEX(Items!D$2:D$1032,MATCH($O173,Items!$A$2:$A$1032,0))</f>
        <v>#N/A</v>
      </c>
    </row>
    <row r="174" spans="1:18" x14ac:dyDescent="0.25">
      <c r="A174">
        <f t="shared" si="12"/>
        <v>1</v>
      </c>
      <c r="B174" t="str">
        <f t="shared" si="13"/>
        <v/>
      </c>
      <c r="C174">
        <f t="shared" si="15"/>
        <v>1</v>
      </c>
      <c r="D174" s="4"/>
      <c r="E174" t="s">
        <v>18</v>
      </c>
      <c r="F174" t="str">
        <f>INDEX(Establishment!B$2:B$1005,MATCH($E174,Establishment!$A$2:$A$1005,0))</f>
        <v xml:space="preserve"> </v>
      </c>
      <c r="G174" t="str">
        <f>INDEX(Establishment!C$2:C$1005,MATCH($E174,Establishment!$A$2:$A$1005,0))</f>
        <v xml:space="preserve"> </v>
      </c>
      <c r="M174">
        <f t="shared" si="16"/>
        <v>0</v>
      </c>
      <c r="N174">
        <f t="shared" si="14"/>
        <v>0</v>
      </c>
      <c r="P174" t="e">
        <f>INDEX(Items!B$2:B$1032,MATCH($O174,Items!$A$2:$A$1032,0))</f>
        <v>#N/A</v>
      </c>
      <c r="Q174" t="e">
        <f>INDEX(Items!C$2:C$1032,MATCH($O174,Items!$A$2:$A$1032,0))</f>
        <v>#N/A</v>
      </c>
      <c r="R174" t="e">
        <f>INDEX(Items!D$2:D$1032,MATCH($O174,Items!$A$2:$A$1032,0))</f>
        <v>#N/A</v>
      </c>
    </row>
    <row r="175" spans="1:18" x14ac:dyDescent="0.25">
      <c r="A175">
        <f t="shared" si="12"/>
        <v>1</v>
      </c>
      <c r="B175" t="str">
        <f t="shared" si="13"/>
        <v/>
      </c>
      <c r="C175">
        <f t="shared" si="15"/>
        <v>1</v>
      </c>
      <c r="D175" s="4"/>
      <c r="E175" t="s">
        <v>18</v>
      </c>
      <c r="F175" t="str">
        <f>INDEX(Establishment!B$2:B$1005,MATCH($E175,Establishment!$A$2:$A$1005,0))</f>
        <v xml:space="preserve"> </v>
      </c>
      <c r="G175" t="str">
        <f>INDEX(Establishment!C$2:C$1005,MATCH($E175,Establishment!$A$2:$A$1005,0))</f>
        <v xml:space="preserve"> </v>
      </c>
      <c r="M175">
        <f t="shared" si="16"/>
        <v>0</v>
      </c>
      <c r="N175">
        <f t="shared" si="14"/>
        <v>0</v>
      </c>
      <c r="P175" t="e">
        <f>INDEX(Items!B$2:B$1032,MATCH($O175,Items!$A$2:$A$1032,0))</f>
        <v>#N/A</v>
      </c>
      <c r="Q175" t="e">
        <f>INDEX(Items!C$2:C$1032,MATCH($O175,Items!$A$2:$A$1032,0))</f>
        <v>#N/A</v>
      </c>
      <c r="R175" t="e">
        <f>INDEX(Items!D$2:D$1032,MATCH($O175,Items!$A$2:$A$1032,0))</f>
        <v>#N/A</v>
      </c>
    </row>
    <row r="176" spans="1:18" x14ac:dyDescent="0.25">
      <c r="A176">
        <f t="shared" si="12"/>
        <v>1</v>
      </c>
      <c r="B176" t="str">
        <f t="shared" si="13"/>
        <v/>
      </c>
      <c r="C176">
        <f t="shared" si="15"/>
        <v>1</v>
      </c>
      <c r="D176" s="4"/>
      <c r="E176" t="s">
        <v>18</v>
      </c>
      <c r="F176" t="str">
        <f>INDEX(Establishment!B$2:B$1005,MATCH($E176,Establishment!$A$2:$A$1005,0))</f>
        <v xml:space="preserve"> </v>
      </c>
      <c r="G176" t="str">
        <f>INDEX(Establishment!C$2:C$1005,MATCH($E176,Establishment!$A$2:$A$1005,0))</f>
        <v xml:space="preserve"> </v>
      </c>
      <c r="M176">
        <f t="shared" si="16"/>
        <v>0</v>
      </c>
      <c r="N176">
        <f t="shared" si="14"/>
        <v>0</v>
      </c>
      <c r="P176" t="e">
        <f>INDEX(Items!B$2:B$1032,MATCH($O176,Items!$A$2:$A$1032,0))</f>
        <v>#N/A</v>
      </c>
      <c r="Q176" t="e">
        <f>INDEX(Items!C$2:C$1032,MATCH($O176,Items!$A$2:$A$1032,0))</f>
        <v>#N/A</v>
      </c>
      <c r="R176" t="e">
        <f>INDEX(Items!D$2:D$1032,MATCH($O176,Items!$A$2:$A$1032,0))</f>
        <v>#N/A</v>
      </c>
    </row>
    <row r="177" spans="1:18" x14ac:dyDescent="0.25">
      <c r="A177">
        <f t="shared" si="12"/>
        <v>1</v>
      </c>
      <c r="B177" t="str">
        <f t="shared" si="13"/>
        <v/>
      </c>
      <c r="C177">
        <f t="shared" si="15"/>
        <v>1</v>
      </c>
      <c r="D177" s="4"/>
      <c r="E177" t="s">
        <v>18</v>
      </c>
      <c r="F177" t="str">
        <f>INDEX(Establishment!B$2:B$1005,MATCH($E177,Establishment!$A$2:$A$1005,0))</f>
        <v xml:space="preserve"> </v>
      </c>
      <c r="G177" t="str">
        <f>INDEX(Establishment!C$2:C$1005,MATCH($E177,Establishment!$A$2:$A$1005,0))</f>
        <v xml:space="preserve"> </v>
      </c>
      <c r="M177">
        <f t="shared" si="16"/>
        <v>0</v>
      </c>
      <c r="N177">
        <f t="shared" si="14"/>
        <v>0</v>
      </c>
      <c r="P177" t="e">
        <f>INDEX(Items!B$2:B$1032,MATCH($O177,Items!$A$2:$A$1032,0))</f>
        <v>#N/A</v>
      </c>
      <c r="Q177" t="e">
        <f>INDEX(Items!C$2:C$1032,MATCH($O177,Items!$A$2:$A$1032,0))</f>
        <v>#N/A</v>
      </c>
      <c r="R177" t="e">
        <f>INDEX(Items!D$2:D$1032,MATCH($O177,Items!$A$2:$A$1032,0))</f>
        <v>#N/A</v>
      </c>
    </row>
    <row r="178" spans="1:18" x14ac:dyDescent="0.25">
      <c r="A178">
        <f t="shared" si="12"/>
        <v>1</v>
      </c>
      <c r="B178" t="str">
        <f t="shared" si="13"/>
        <v/>
      </c>
      <c r="C178">
        <f t="shared" si="15"/>
        <v>1</v>
      </c>
      <c r="D178" s="4"/>
      <c r="E178" t="s">
        <v>18</v>
      </c>
      <c r="F178" t="str">
        <f>INDEX(Establishment!B$2:B$1005,MATCH($E178,Establishment!$A$2:$A$1005,0))</f>
        <v xml:space="preserve"> </v>
      </c>
      <c r="G178" t="str">
        <f>INDEX(Establishment!C$2:C$1005,MATCH($E178,Establishment!$A$2:$A$1005,0))</f>
        <v xml:space="preserve"> </v>
      </c>
      <c r="M178">
        <f t="shared" si="16"/>
        <v>0</v>
      </c>
      <c r="N178">
        <f t="shared" si="14"/>
        <v>0</v>
      </c>
      <c r="P178" t="e">
        <f>INDEX(Items!B$2:B$1032,MATCH($O178,Items!$A$2:$A$1032,0))</f>
        <v>#N/A</v>
      </c>
      <c r="Q178" t="e">
        <f>INDEX(Items!C$2:C$1032,MATCH($O178,Items!$A$2:$A$1032,0))</f>
        <v>#N/A</v>
      </c>
      <c r="R178" t="e">
        <f>INDEX(Items!D$2:D$1032,MATCH($O178,Items!$A$2:$A$1032,0))</f>
        <v>#N/A</v>
      </c>
    </row>
    <row r="179" spans="1:18" x14ac:dyDescent="0.25">
      <c r="A179">
        <f t="shared" si="12"/>
        <v>1</v>
      </c>
      <c r="B179" t="str">
        <f t="shared" si="13"/>
        <v/>
      </c>
      <c r="C179">
        <f t="shared" si="15"/>
        <v>1</v>
      </c>
      <c r="D179" s="4"/>
      <c r="E179" t="s">
        <v>18</v>
      </c>
      <c r="F179" t="str">
        <f>INDEX(Establishment!B$2:B$1005,MATCH($E179,Establishment!$A$2:$A$1005,0))</f>
        <v xml:space="preserve"> </v>
      </c>
      <c r="G179" t="str">
        <f>INDEX(Establishment!C$2:C$1005,MATCH($E179,Establishment!$A$2:$A$1005,0))</f>
        <v xml:space="preserve"> </v>
      </c>
      <c r="M179">
        <f t="shared" si="16"/>
        <v>0</v>
      </c>
      <c r="N179">
        <f t="shared" si="14"/>
        <v>0</v>
      </c>
      <c r="P179" t="e">
        <f>INDEX(Items!B$2:B$1032,MATCH($O179,Items!$A$2:$A$1032,0))</f>
        <v>#N/A</v>
      </c>
      <c r="Q179" t="e">
        <f>INDEX(Items!C$2:C$1032,MATCH($O179,Items!$A$2:$A$1032,0))</f>
        <v>#N/A</v>
      </c>
      <c r="R179" t="e">
        <f>INDEX(Items!D$2:D$1032,MATCH($O179,Items!$A$2:$A$1032,0))</f>
        <v>#N/A</v>
      </c>
    </row>
    <row r="180" spans="1:18" x14ac:dyDescent="0.25">
      <c r="A180">
        <f t="shared" si="12"/>
        <v>1</v>
      </c>
      <c r="B180" t="str">
        <f t="shared" si="13"/>
        <v/>
      </c>
      <c r="C180">
        <f t="shared" si="15"/>
        <v>1</v>
      </c>
      <c r="D180" s="4"/>
      <c r="E180" t="s">
        <v>18</v>
      </c>
      <c r="F180" t="str">
        <f>INDEX(Establishment!B$2:B$1005,MATCH($E180,Establishment!$A$2:$A$1005,0))</f>
        <v xml:space="preserve"> </v>
      </c>
      <c r="G180" t="str">
        <f>INDEX(Establishment!C$2:C$1005,MATCH($E180,Establishment!$A$2:$A$1005,0))</f>
        <v xml:space="preserve"> </v>
      </c>
      <c r="M180">
        <f t="shared" si="16"/>
        <v>0</v>
      </c>
      <c r="N180">
        <f t="shared" si="14"/>
        <v>0</v>
      </c>
      <c r="P180" t="e">
        <f>INDEX(Items!B$2:B$1032,MATCH($O180,Items!$A$2:$A$1032,0))</f>
        <v>#N/A</v>
      </c>
      <c r="Q180" t="e">
        <f>INDEX(Items!C$2:C$1032,MATCH($O180,Items!$A$2:$A$1032,0))</f>
        <v>#N/A</v>
      </c>
      <c r="R180" t="e">
        <f>INDEX(Items!D$2:D$1032,MATCH($O180,Items!$A$2:$A$1032,0))</f>
        <v>#N/A</v>
      </c>
    </row>
    <row r="181" spans="1:18" x14ac:dyDescent="0.25">
      <c r="A181">
        <f t="shared" si="12"/>
        <v>1</v>
      </c>
      <c r="B181" t="str">
        <f t="shared" si="13"/>
        <v/>
      </c>
      <c r="C181">
        <f t="shared" si="15"/>
        <v>1</v>
      </c>
      <c r="D181" s="4"/>
      <c r="E181" t="s">
        <v>18</v>
      </c>
      <c r="F181" t="str">
        <f>INDEX(Establishment!B$2:B$1005,MATCH($E181,Establishment!$A$2:$A$1005,0))</f>
        <v xml:space="preserve"> </v>
      </c>
      <c r="G181" t="str">
        <f>INDEX(Establishment!C$2:C$1005,MATCH($E181,Establishment!$A$2:$A$1005,0))</f>
        <v xml:space="preserve"> </v>
      </c>
      <c r="M181">
        <f t="shared" si="16"/>
        <v>0</v>
      </c>
      <c r="N181">
        <f t="shared" si="14"/>
        <v>0</v>
      </c>
      <c r="P181" t="e">
        <f>INDEX(Items!B$2:B$1032,MATCH($O181,Items!$A$2:$A$1032,0))</f>
        <v>#N/A</v>
      </c>
      <c r="Q181" t="e">
        <f>INDEX(Items!C$2:C$1032,MATCH($O181,Items!$A$2:$A$1032,0))</f>
        <v>#N/A</v>
      </c>
      <c r="R181" t="e">
        <f>INDEX(Items!D$2:D$1032,MATCH($O181,Items!$A$2:$A$1032,0))</f>
        <v>#N/A</v>
      </c>
    </row>
    <row r="182" spans="1:18" x14ac:dyDescent="0.25">
      <c r="A182">
        <f t="shared" si="12"/>
        <v>1</v>
      </c>
      <c r="B182" t="str">
        <f t="shared" si="13"/>
        <v/>
      </c>
      <c r="C182">
        <f t="shared" si="15"/>
        <v>1</v>
      </c>
      <c r="D182" s="4"/>
      <c r="E182" t="s">
        <v>18</v>
      </c>
      <c r="F182" t="str">
        <f>INDEX(Establishment!B$2:B$1005,MATCH($E182,Establishment!$A$2:$A$1005,0))</f>
        <v xml:space="preserve"> </v>
      </c>
      <c r="G182" t="str">
        <f>INDEX(Establishment!C$2:C$1005,MATCH($E182,Establishment!$A$2:$A$1005,0))</f>
        <v xml:space="preserve"> </v>
      </c>
      <c r="M182">
        <f t="shared" si="16"/>
        <v>0</v>
      </c>
      <c r="N182">
        <f t="shared" si="14"/>
        <v>0</v>
      </c>
      <c r="P182" t="e">
        <f>INDEX(Items!B$2:B$1032,MATCH($O182,Items!$A$2:$A$1032,0))</f>
        <v>#N/A</v>
      </c>
      <c r="Q182" t="e">
        <f>INDEX(Items!C$2:C$1032,MATCH($O182,Items!$A$2:$A$1032,0))</f>
        <v>#N/A</v>
      </c>
      <c r="R182" t="e">
        <f>INDEX(Items!D$2:D$1032,MATCH($O182,Items!$A$2:$A$1032,0))</f>
        <v>#N/A</v>
      </c>
    </row>
    <row r="183" spans="1:18" x14ac:dyDescent="0.25">
      <c r="A183">
        <f t="shared" si="12"/>
        <v>1</v>
      </c>
      <c r="B183" t="str">
        <f t="shared" si="13"/>
        <v/>
      </c>
      <c r="C183">
        <f t="shared" si="15"/>
        <v>1</v>
      </c>
      <c r="D183" s="4"/>
      <c r="E183" t="s">
        <v>18</v>
      </c>
      <c r="F183" t="str">
        <f>INDEX(Establishment!B$2:B$1005,MATCH($E183,Establishment!$A$2:$A$1005,0))</f>
        <v xml:space="preserve"> </v>
      </c>
      <c r="G183" t="str">
        <f>INDEX(Establishment!C$2:C$1005,MATCH($E183,Establishment!$A$2:$A$1005,0))</f>
        <v xml:space="preserve"> </v>
      </c>
      <c r="M183">
        <f t="shared" si="16"/>
        <v>0</v>
      </c>
      <c r="N183">
        <f t="shared" si="14"/>
        <v>0</v>
      </c>
      <c r="P183" t="e">
        <f>INDEX(Items!B$2:B$1032,MATCH($O183,Items!$A$2:$A$1032,0))</f>
        <v>#N/A</v>
      </c>
      <c r="Q183" t="e">
        <f>INDEX(Items!C$2:C$1032,MATCH($O183,Items!$A$2:$A$1032,0))</f>
        <v>#N/A</v>
      </c>
      <c r="R183" t="e">
        <f>INDEX(Items!D$2:D$1032,MATCH($O183,Items!$A$2:$A$1032,0))</f>
        <v>#N/A</v>
      </c>
    </row>
    <row r="184" spans="1:18" x14ac:dyDescent="0.25">
      <c r="A184">
        <f t="shared" si="12"/>
        <v>1</v>
      </c>
      <c r="B184" t="str">
        <f t="shared" si="13"/>
        <v/>
      </c>
      <c r="C184">
        <f t="shared" si="15"/>
        <v>1</v>
      </c>
      <c r="D184" s="4"/>
      <c r="E184" t="s">
        <v>18</v>
      </c>
      <c r="F184" t="str">
        <f>INDEX(Establishment!B$2:B$1005,MATCH($E184,Establishment!$A$2:$A$1005,0))</f>
        <v xml:space="preserve"> </v>
      </c>
      <c r="G184" t="str">
        <f>INDEX(Establishment!C$2:C$1005,MATCH($E184,Establishment!$A$2:$A$1005,0))</f>
        <v xml:space="preserve"> </v>
      </c>
      <c r="M184">
        <f t="shared" si="16"/>
        <v>0</v>
      </c>
      <c r="N184">
        <f t="shared" si="14"/>
        <v>0</v>
      </c>
      <c r="P184" t="e">
        <f>INDEX(Items!B$2:B$1032,MATCH($O184,Items!$A$2:$A$1032,0))</f>
        <v>#N/A</v>
      </c>
      <c r="Q184" t="e">
        <f>INDEX(Items!C$2:C$1032,MATCH($O184,Items!$A$2:$A$1032,0))</f>
        <v>#N/A</v>
      </c>
      <c r="R184" t="e">
        <f>INDEX(Items!D$2:D$1032,MATCH($O184,Items!$A$2:$A$1032,0))</f>
        <v>#N/A</v>
      </c>
    </row>
    <row r="185" spans="1:18" x14ac:dyDescent="0.25">
      <c r="A185">
        <f t="shared" si="12"/>
        <v>1</v>
      </c>
      <c r="B185" t="str">
        <f t="shared" si="13"/>
        <v/>
      </c>
      <c r="C185">
        <f t="shared" si="15"/>
        <v>1</v>
      </c>
      <c r="D185" s="4"/>
      <c r="E185" t="s">
        <v>18</v>
      </c>
      <c r="F185" t="str">
        <f>INDEX(Establishment!B$2:B$1005,MATCH($E185,Establishment!$A$2:$A$1005,0))</f>
        <v xml:space="preserve"> </v>
      </c>
      <c r="G185" t="str">
        <f>INDEX(Establishment!C$2:C$1005,MATCH($E185,Establishment!$A$2:$A$1005,0))</f>
        <v xml:space="preserve"> </v>
      </c>
      <c r="M185">
        <f t="shared" si="16"/>
        <v>0</v>
      </c>
      <c r="N185">
        <f t="shared" si="14"/>
        <v>0</v>
      </c>
      <c r="P185" t="e">
        <f>INDEX(Items!B$2:B$1032,MATCH($O185,Items!$A$2:$A$1032,0))</f>
        <v>#N/A</v>
      </c>
      <c r="Q185" t="e">
        <f>INDEX(Items!C$2:C$1032,MATCH($O185,Items!$A$2:$A$1032,0))</f>
        <v>#N/A</v>
      </c>
      <c r="R185" t="e">
        <f>INDEX(Items!D$2:D$1032,MATCH($O185,Items!$A$2:$A$1032,0))</f>
        <v>#N/A</v>
      </c>
    </row>
    <row r="186" spans="1:18" x14ac:dyDescent="0.25">
      <c r="A186">
        <f t="shared" si="12"/>
        <v>1</v>
      </c>
      <c r="B186" t="str">
        <f t="shared" si="13"/>
        <v/>
      </c>
      <c r="C186">
        <f t="shared" si="15"/>
        <v>1</v>
      </c>
      <c r="D186" s="4"/>
      <c r="E186" t="s">
        <v>18</v>
      </c>
      <c r="F186" t="str">
        <f>INDEX(Establishment!B$2:B$1005,MATCH($E186,Establishment!$A$2:$A$1005,0))</f>
        <v xml:space="preserve"> </v>
      </c>
      <c r="G186" t="str">
        <f>INDEX(Establishment!C$2:C$1005,MATCH($E186,Establishment!$A$2:$A$1005,0))</f>
        <v xml:space="preserve"> </v>
      </c>
      <c r="M186">
        <f t="shared" si="16"/>
        <v>0</v>
      </c>
      <c r="N186">
        <f t="shared" si="14"/>
        <v>0</v>
      </c>
      <c r="P186" t="e">
        <f>INDEX(Items!B$2:B$1032,MATCH($O186,Items!$A$2:$A$1032,0))</f>
        <v>#N/A</v>
      </c>
      <c r="Q186" t="e">
        <f>INDEX(Items!C$2:C$1032,MATCH($O186,Items!$A$2:$A$1032,0))</f>
        <v>#N/A</v>
      </c>
      <c r="R186" t="e">
        <f>INDEX(Items!D$2:D$1032,MATCH($O186,Items!$A$2:$A$1032,0))</f>
        <v>#N/A</v>
      </c>
    </row>
    <row r="187" spans="1:18" x14ac:dyDescent="0.25">
      <c r="A187">
        <f t="shared" si="12"/>
        <v>1</v>
      </c>
      <c r="B187" t="str">
        <f t="shared" si="13"/>
        <v/>
      </c>
      <c r="C187">
        <f t="shared" si="15"/>
        <v>1</v>
      </c>
      <c r="D187" s="4"/>
      <c r="E187" t="s">
        <v>18</v>
      </c>
      <c r="F187" t="str">
        <f>INDEX(Establishment!B$2:B$1005,MATCH($E187,Establishment!$A$2:$A$1005,0))</f>
        <v xml:space="preserve"> </v>
      </c>
      <c r="G187" t="str">
        <f>INDEX(Establishment!C$2:C$1005,MATCH($E187,Establishment!$A$2:$A$1005,0))</f>
        <v xml:space="preserve"> </v>
      </c>
      <c r="M187">
        <f t="shared" si="16"/>
        <v>0</v>
      </c>
      <c r="N187">
        <f t="shared" si="14"/>
        <v>0</v>
      </c>
      <c r="P187" t="e">
        <f>INDEX(Items!B$2:B$1032,MATCH($O187,Items!$A$2:$A$1032,0))</f>
        <v>#N/A</v>
      </c>
      <c r="Q187" t="e">
        <f>INDEX(Items!C$2:C$1032,MATCH($O187,Items!$A$2:$A$1032,0))</f>
        <v>#N/A</v>
      </c>
      <c r="R187" t="e">
        <f>INDEX(Items!D$2:D$1032,MATCH($O187,Items!$A$2:$A$1032,0))</f>
        <v>#N/A</v>
      </c>
    </row>
    <row r="188" spans="1:18" x14ac:dyDescent="0.25">
      <c r="A188">
        <f t="shared" si="12"/>
        <v>1</v>
      </c>
      <c r="B188" t="str">
        <f t="shared" si="13"/>
        <v/>
      </c>
      <c r="C188">
        <f t="shared" si="15"/>
        <v>1</v>
      </c>
      <c r="D188" s="4"/>
      <c r="E188" t="s">
        <v>18</v>
      </c>
      <c r="F188" t="str">
        <f>INDEX(Establishment!B$2:B$1005,MATCH($E188,Establishment!$A$2:$A$1005,0))</f>
        <v xml:space="preserve"> </v>
      </c>
      <c r="G188" t="str">
        <f>INDEX(Establishment!C$2:C$1005,MATCH($E188,Establishment!$A$2:$A$1005,0))</f>
        <v xml:space="preserve"> </v>
      </c>
      <c r="M188">
        <f t="shared" si="16"/>
        <v>0</v>
      </c>
      <c r="N188">
        <f t="shared" si="14"/>
        <v>0</v>
      </c>
      <c r="P188" t="e">
        <f>INDEX(Items!B$2:B$1032,MATCH($O188,Items!$A$2:$A$1032,0))</f>
        <v>#N/A</v>
      </c>
      <c r="Q188" t="e">
        <f>INDEX(Items!C$2:C$1032,MATCH($O188,Items!$A$2:$A$1032,0))</f>
        <v>#N/A</v>
      </c>
      <c r="R188" t="e">
        <f>INDEX(Items!D$2:D$1032,MATCH($O188,Items!$A$2:$A$1032,0))</f>
        <v>#N/A</v>
      </c>
    </row>
    <row r="189" spans="1:18" x14ac:dyDescent="0.25">
      <c r="A189">
        <f t="shared" si="12"/>
        <v>1</v>
      </c>
      <c r="B189" t="str">
        <f t="shared" si="13"/>
        <v/>
      </c>
      <c r="C189">
        <f t="shared" si="15"/>
        <v>1</v>
      </c>
      <c r="D189" s="4"/>
      <c r="E189" t="s">
        <v>18</v>
      </c>
      <c r="F189" t="str">
        <f>INDEX(Establishment!B$2:B$1005,MATCH($E189,Establishment!$A$2:$A$1005,0))</f>
        <v xml:space="preserve"> </v>
      </c>
      <c r="G189" t="str">
        <f>INDEX(Establishment!C$2:C$1005,MATCH($E189,Establishment!$A$2:$A$1005,0))</f>
        <v xml:space="preserve"> </v>
      </c>
      <c r="M189">
        <f t="shared" si="16"/>
        <v>0</v>
      </c>
      <c r="N189">
        <f t="shared" si="14"/>
        <v>0</v>
      </c>
      <c r="P189" t="e">
        <f>INDEX(Items!B$2:B$1032,MATCH($O189,Items!$A$2:$A$1032,0))</f>
        <v>#N/A</v>
      </c>
      <c r="Q189" t="e">
        <f>INDEX(Items!C$2:C$1032,MATCH($O189,Items!$A$2:$A$1032,0))</f>
        <v>#N/A</v>
      </c>
      <c r="R189" t="e">
        <f>INDEX(Items!D$2:D$1032,MATCH($O189,Items!$A$2:$A$1032,0))</f>
        <v>#N/A</v>
      </c>
    </row>
    <row r="190" spans="1:18" x14ac:dyDescent="0.25">
      <c r="A190">
        <f t="shared" si="12"/>
        <v>1</v>
      </c>
      <c r="B190" t="str">
        <f t="shared" si="13"/>
        <v/>
      </c>
      <c r="C190">
        <f t="shared" si="15"/>
        <v>1</v>
      </c>
      <c r="D190" s="4"/>
      <c r="E190" t="s">
        <v>18</v>
      </c>
      <c r="F190" t="str">
        <f>INDEX(Establishment!B$2:B$1005,MATCH($E190,Establishment!$A$2:$A$1005,0))</f>
        <v xml:space="preserve"> </v>
      </c>
      <c r="G190" t="str">
        <f>INDEX(Establishment!C$2:C$1005,MATCH($E190,Establishment!$A$2:$A$1005,0))</f>
        <v xml:space="preserve"> </v>
      </c>
      <c r="M190">
        <f t="shared" si="16"/>
        <v>0</v>
      </c>
      <c r="N190">
        <f t="shared" si="14"/>
        <v>0</v>
      </c>
      <c r="P190" t="e">
        <f>INDEX(Items!B$2:B$1032,MATCH($O190,Items!$A$2:$A$1032,0))</f>
        <v>#N/A</v>
      </c>
      <c r="Q190" t="e">
        <f>INDEX(Items!C$2:C$1032,MATCH($O190,Items!$A$2:$A$1032,0))</f>
        <v>#N/A</v>
      </c>
      <c r="R190" t="e">
        <f>INDEX(Items!D$2:D$1032,MATCH($O190,Items!$A$2:$A$1032,0))</f>
        <v>#N/A</v>
      </c>
    </row>
    <row r="191" spans="1:18" x14ac:dyDescent="0.25">
      <c r="A191">
        <f t="shared" si="12"/>
        <v>1</v>
      </c>
      <c r="B191" t="str">
        <f t="shared" si="13"/>
        <v/>
      </c>
      <c r="C191">
        <f t="shared" si="15"/>
        <v>1</v>
      </c>
      <c r="D191" s="4"/>
      <c r="E191" t="s">
        <v>18</v>
      </c>
      <c r="F191" t="str">
        <f>INDEX(Establishment!B$2:B$1005,MATCH($E191,Establishment!$A$2:$A$1005,0))</f>
        <v xml:space="preserve"> </v>
      </c>
      <c r="G191" t="str">
        <f>INDEX(Establishment!C$2:C$1005,MATCH($E191,Establishment!$A$2:$A$1005,0))</f>
        <v xml:space="preserve"> </v>
      </c>
      <c r="M191">
        <f t="shared" si="16"/>
        <v>0</v>
      </c>
      <c r="N191">
        <f t="shared" si="14"/>
        <v>0</v>
      </c>
      <c r="P191" t="e">
        <f>INDEX(Items!B$2:B$1032,MATCH($O191,Items!$A$2:$A$1032,0))</f>
        <v>#N/A</v>
      </c>
      <c r="Q191" t="e">
        <f>INDEX(Items!C$2:C$1032,MATCH($O191,Items!$A$2:$A$1032,0))</f>
        <v>#N/A</v>
      </c>
      <c r="R191" t="e">
        <f>INDEX(Items!D$2:D$1032,MATCH($O191,Items!$A$2:$A$1032,0))</f>
        <v>#N/A</v>
      </c>
    </row>
    <row r="192" spans="1:18" x14ac:dyDescent="0.25">
      <c r="A192">
        <f t="shared" si="12"/>
        <v>1</v>
      </c>
      <c r="B192" t="str">
        <f t="shared" si="13"/>
        <v/>
      </c>
      <c r="C192">
        <f t="shared" si="15"/>
        <v>1</v>
      </c>
      <c r="D192" s="4"/>
      <c r="E192" t="s">
        <v>18</v>
      </c>
      <c r="F192" t="str">
        <f>INDEX(Establishment!B$2:B$1005,MATCH($E192,Establishment!$A$2:$A$1005,0))</f>
        <v xml:space="preserve"> </v>
      </c>
      <c r="G192" t="str">
        <f>INDEX(Establishment!C$2:C$1005,MATCH($E192,Establishment!$A$2:$A$1005,0))</f>
        <v xml:space="preserve"> </v>
      </c>
      <c r="M192">
        <f t="shared" si="16"/>
        <v>0</v>
      </c>
      <c r="N192">
        <f t="shared" si="14"/>
        <v>0</v>
      </c>
      <c r="P192" t="e">
        <f>INDEX(Items!B$2:B$1032,MATCH($O192,Items!$A$2:$A$1032,0))</f>
        <v>#N/A</v>
      </c>
      <c r="Q192" t="e">
        <f>INDEX(Items!C$2:C$1032,MATCH($O192,Items!$A$2:$A$1032,0))</f>
        <v>#N/A</v>
      </c>
      <c r="R192" t="e">
        <f>INDEX(Items!D$2:D$1032,MATCH($O192,Items!$A$2:$A$1032,0))</f>
        <v>#N/A</v>
      </c>
    </row>
    <row r="193" spans="1:18" x14ac:dyDescent="0.25">
      <c r="A193">
        <f t="shared" si="12"/>
        <v>1</v>
      </c>
      <c r="B193" t="str">
        <f t="shared" si="13"/>
        <v/>
      </c>
      <c r="C193">
        <f t="shared" si="15"/>
        <v>1</v>
      </c>
      <c r="D193" s="4"/>
      <c r="E193" t="s">
        <v>18</v>
      </c>
      <c r="F193" t="str">
        <f>INDEX(Establishment!B$2:B$1005,MATCH($E193,Establishment!$A$2:$A$1005,0))</f>
        <v xml:space="preserve"> </v>
      </c>
      <c r="G193" t="str">
        <f>INDEX(Establishment!C$2:C$1005,MATCH($E193,Establishment!$A$2:$A$1005,0))</f>
        <v xml:space="preserve"> </v>
      </c>
      <c r="M193">
        <f t="shared" si="16"/>
        <v>0</v>
      </c>
      <c r="N193">
        <f t="shared" si="14"/>
        <v>0</v>
      </c>
      <c r="P193" t="e">
        <f>INDEX(Items!B$2:B$1032,MATCH($O193,Items!$A$2:$A$1032,0))</f>
        <v>#N/A</v>
      </c>
      <c r="Q193" t="e">
        <f>INDEX(Items!C$2:C$1032,MATCH($O193,Items!$A$2:$A$1032,0))</f>
        <v>#N/A</v>
      </c>
      <c r="R193" t="e">
        <f>INDEX(Items!D$2:D$1032,MATCH($O193,Items!$A$2:$A$1032,0))</f>
        <v>#N/A</v>
      </c>
    </row>
    <row r="194" spans="1:18" x14ac:dyDescent="0.25">
      <c r="A194">
        <f t="shared" ref="A194:A257" si="17">IF(OR(D194&lt;&gt;D193,D194=""),1,IF(NOT(AND(E194=E193,F194=F193,G194=G193)),A193+1,IF(OR(H194="",AND(H194&lt;&gt;"",H194&lt;&gt;H193,H193&lt;&gt;"")),A193,A193+1)))</f>
        <v>1</v>
      </c>
      <c r="B194" t="str">
        <f t="shared" ref="B194:B257" si="18">IF(D194&lt;&gt;"",TEXT(D194,"YYYYMMDD")&amp;CHAR(64+A194),"")</f>
        <v/>
      </c>
      <c r="C194">
        <f t="shared" si="15"/>
        <v>1</v>
      </c>
      <c r="D194" s="4"/>
      <c r="E194" t="s">
        <v>18</v>
      </c>
      <c r="F194" t="str">
        <f>INDEX(Establishment!B$2:B$1005,MATCH($E194,Establishment!$A$2:$A$1005,0))</f>
        <v xml:space="preserve"> </v>
      </c>
      <c r="G194" t="str">
        <f>INDEX(Establishment!C$2:C$1005,MATCH($E194,Establishment!$A$2:$A$1005,0))</f>
        <v xml:space="preserve"> </v>
      </c>
      <c r="M194">
        <f t="shared" si="16"/>
        <v>0</v>
      </c>
      <c r="N194">
        <f t="shared" si="14"/>
        <v>0</v>
      </c>
      <c r="P194" t="e">
        <f>INDEX(Items!B$2:B$1032,MATCH($O194,Items!$A$2:$A$1032,0))</f>
        <v>#N/A</v>
      </c>
      <c r="Q194" t="e">
        <f>INDEX(Items!C$2:C$1032,MATCH($O194,Items!$A$2:$A$1032,0))</f>
        <v>#N/A</v>
      </c>
      <c r="R194" t="e">
        <f>INDEX(Items!D$2:D$1032,MATCH($O194,Items!$A$2:$A$1032,0))</f>
        <v>#N/A</v>
      </c>
    </row>
    <row r="195" spans="1:18" x14ac:dyDescent="0.25">
      <c r="A195">
        <f t="shared" si="17"/>
        <v>1</v>
      </c>
      <c r="B195" t="str">
        <f t="shared" si="18"/>
        <v/>
      </c>
      <c r="C195">
        <f t="shared" si="15"/>
        <v>1</v>
      </c>
      <c r="D195" s="4"/>
      <c r="E195" t="s">
        <v>18</v>
      </c>
      <c r="F195" t="str">
        <f>INDEX(Establishment!B$2:B$1005,MATCH($E195,Establishment!$A$2:$A$1005,0))</f>
        <v xml:space="preserve"> </v>
      </c>
      <c r="G195" t="str">
        <f>INDEX(Establishment!C$2:C$1005,MATCH($E195,Establishment!$A$2:$A$1005,0))</f>
        <v xml:space="preserve"> </v>
      </c>
      <c r="M195">
        <f t="shared" si="16"/>
        <v>0</v>
      </c>
      <c r="N195">
        <f t="shared" ref="N195:N258" si="19">IF(B195=B194,N194+M195,M195)</f>
        <v>0</v>
      </c>
      <c r="P195" t="e">
        <f>INDEX(Items!B$2:B$1032,MATCH($O195,Items!$A$2:$A$1032,0))</f>
        <v>#N/A</v>
      </c>
      <c r="Q195" t="e">
        <f>INDEX(Items!C$2:C$1032,MATCH($O195,Items!$A$2:$A$1032,0))</f>
        <v>#N/A</v>
      </c>
      <c r="R195" t="e">
        <f>INDEX(Items!D$2:D$1032,MATCH($O195,Items!$A$2:$A$1032,0))</f>
        <v>#N/A</v>
      </c>
    </row>
    <row r="196" spans="1:18" x14ac:dyDescent="0.25">
      <c r="A196">
        <f t="shared" si="17"/>
        <v>1</v>
      </c>
      <c r="B196" t="str">
        <f t="shared" si="18"/>
        <v/>
      </c>
      <c r="C196">
        <f t="shared" si="15"/>
        <v>1</v>
      </c>
      <c r="D196" s="4"/>
      <c r="E196" t="s">
        <v>18</v>
      </c>
      <c r="F196" t="str">
        <f>INDEX(Establishment!B$2:B$1005,MATCH($E196,Establishment!$A$2:$A$1005,0))</f>
        <v xml:space="preserve"> </v>
      </c>
      <c r="G196" t="str">
        <f>INDEX(Establishment!C$2:C$1005,MATCH($E196,Establishment!$A$2:$A$1005,0))</f>
        <v xml:space="preserve"> </v>
      </c>
      <c r="M196">
        <f t="shared" si="16"/>
        <v>0</v>
      </c>
      <c r="N196">
        <f t="shared" si="19"/>
        <v>0</v>
      </c>
      <c r="P196" t="e">
        <f>INDEX(Items!B$2:B$1032,MATCH($O196,Items!$A$2:$A$1032,0))</f>
        <v>#N/A</v>
      </c>
      <c r="Q196" t="e">
        <f>INDEX(Items!C$2:C$1032,MATCH($O196,Items!$A$2:$A$1032,0))</f>
        <v>#N/A</v>
      </c>
      <c r="R196" t="e">
        <f>INDEX(Items!D$2:D$1032,MATCH($O196,Items!$A$2:$A$1032,0))</f>
        <v>#N/A</v>
      </c>
    </row>
    <row r="197" spans="1:18" x14ac:dyDescent="0.25">
      <c r="A197">
        <f t="shared" si="17"/>
        <v>1</v>
      </c>
      <c r="B197" t="str">
        <f t="shared" si="18"/>
        <v/>
      </c>
      <c r="C197">
        <f t="shared" si="15"/>
        <v>1</v>
      </c>
      <c r="D197" s="4"/>
      <c r="E197" t="s">
        <v>18</v>
      </c>
      <c r="F197" t="str">
        <f>INDEX(Establishment!B$2:B$1005,MATCH($E197,Establishment!$A$2:$A$1005,0))</f>
        <v xml:space="preserve"> </v>
      </c>
      <c r="G197" t="str">
        <f>INDEX(Establishment!C$2:C$1005,MATCH($E197,Establishment!$A$2:$A$1005,0))</f>
        <v xml:space="preserve"> </v>
      </c>
      <c r="M197">
        <f t="shared" si="16"/>
        <v>0</v>
      </c>
      <c r="N197">
        <f t="shared" si="19"/>
        <v>0</v>
      </c>
      <c r="P197" t="e">
        <f>INDEX(Items!B$2:B$1032,MATCH($O197,Items!$A$2:$A$1032,0))</f>
        <v>#N/A</v>
      </c>
      <c r="Q197" t="e">
        <f>INDEX(Items!C$2:C$1032,MATCH($O197,Items!$A$2:$A$1032,0))</f>
        <v>#N/A</v>
      </c>
      <c r="R197" t="e">
        <f>INDEX(Items!D$2:D$1032,MATCH($O197,Items!$A$2:$A$1032,0))</f>
        <v>#N/A</v>
      </c>
    </row>
    <row r="198" spans="1:18" x14ac:dyDescent="0.25">
      <c r="A198">
        <f t="shared" si="17"/>
        <v>1</v>
      </c>
      <c r="B198" t="str">
        <f t="shared" si="18"/>
        <v/>
      </c>
      <c r="C198">
        <f t="shared" si="15"/>
        <v>1</v>
      </c>
      <c r="D198" s="4"/>
      <c r="E198" t="s">
        <v>18</v>
      </c>
      <c r="F198" t="str">
        <f>INDEX(Establishment!B$2:B$1005,MATCH($E198,Establishment!$A$2:$A$1005,0))</f>
        <v xml:space="preserve"> </v>
      </c>
      <c r="G198" t="str">
        <f>INDEX(Establishment!C$2:C$1005,MATCH($E198,Establishment!$A$2:$A$1005,0))</f>
        <v xml:space="preserve"> </v>
      </c>
      <c r="M198">
        <f t="shared" si="16"/>
        <v>0</v>
      </c>
      <c r="N198">
        <f t="shared" si="19"/>
        <v>0</v>
      </c>
      <c r="P198" t="e">
        <f>INDEX(Items!B$2:B$1032,MATCH($O198,Items!$A$2:$A$1032,0))</f>
        <v>#N/A</v>
      </c>
      <c r="Q198" t="e">
        <f>INDEX(Items!C$2:C$1032,MATCH($O198,Items!$A$2:$A$1032,0))</f>
        <v>#N/A</v>
      </c>
      <c r="R198" t="e">
        <f>INDEX(Items!D$2:D$1032,MATCH($O198,Items!$A$2:$A$1032,0))</f>
        <v>#N/A</v>
      </c>
    </row>
    <row r="199" spans="1:18" x14ac:dyDescent="0.25">
      <c r="A199">
        <f t="shared" si="17"/>
        <v>1</v>
      </c>
      <c r="B199" t="str">
        <f t="shared" si="18"/>
        <v/>
      </c>
      <c r="C199">
        <f t="shared" si="15"/>
        <v>1</v>
      </c>
      <c r="D199" s="4"/>
      <c r="E199" t="s">
        <v>18</v>
      </c>
      <c r="F199" t="str">
        <f>INDEX(Establishment!B$2:B$1005,MATCH($E199,Establishment!$A$2:$A$1005,0))</f>
        <v xml:space="preserve"> </v>
      </c>
      <c r="G199" t="str">
        <f>INDEX(Establishment!C$2:C$1005,MATCH($E199,Establishment!$A$2:$A$1005,0))</f>
        <v xml:space="preserve"> </v>
      </c>
      <c r="M199">
        <f t="shared" si="16"/>
        <v>0</v>
      </c>
      <c r="N199">
        <f t="shared" si="19"/>
        <v>0</v>
      </c>
      <c r="P199" t="e">
        <f>INDEX(Items!B$2:B$1032,MATCH($O199,Items!$A$2:$A$1032,0))</f>
        <v>#N/A</v>
      </c>
      <c r="Q199" t="e">
        <f>INDEX(Items!C$2:C$1032,MATCH($O199,Items!$A$2:$A$1032,0))</f>
        <v>#N/A</v>
      </c>
      <c r="R199" t="e">
        <f>INDEX(Items!D$2:D$1032,MATCH($O199,Items!$A$2:$A$1032,0))</f>
        <v>#N/A</v>
      </c>
    </row>
    <row r="200" spans="1:18" x14ac:dyDescent="0.25">
      <c r="A200">
        <f t="shared" si="17"/>
        <v>1</v>
      </c>
      <c r="B200" t="str">
        <f t="shared" si="18"/>
        <v/>
      </c>
      <c r="C200">
        <f t="shared" si="15"/>
        <v>1</v>
      </c>
      <c r="D200" s="4"/>
      <c r="E200" t="s">
        <v>18</v>
      </c>
      <c r="F200" t="str">
        <f>INDEX(Establishment!B$2:B$1005,MATCH($E200,Establishment!$A$2:$A$1005,0))</f>
        <v xml:space="preserve"> </v>
      </c>
      <c r="G200" t="str">
        <f>INDEX(Establishment!C$2:C$1005,MATCH($E200,Establishment!$A$2:$A$1005,0))</f>
        <v xml:space="preserve"> </v>
      </c>
      <c r="M200">
        <f t="shared" si="16"/>
        <v>0</v>
      </c>
      <c r="N200">
        <f t="shared" si="19"/>
        <v>0</v>
      </c>
      <c r="P200" t="e">
        <f>INDEX(Items!B$2:B$1032,MATCH($O200,Items!$A$2:$A$1032,0))</f>
        <v>#N/A</v>
      </c>
      <c r="Q200" t="e">
        <f>INDEX(Items!C$2:C$1032,MATCH($O200,Items!$A$2:$A$1032,0))</f>
        <v>#N/A</v>
      </c>
      <c r="R200" t="e">
        <f>INDEX(Items!D$2:D$1032,MATCH($O200,Items!$A$2:$A$1032,0))</f>
        <v>#N/A</v>
      </c>
    </row>
    <row r="201" spans="1:18" x14ac:dyDescent="0.25">
      <c r="A201">
        <f t="shared" si="17"/>
        <v>1</v>
      </c>
      <c r="B201" t="str">
        <f t="shared" si="18"/>
        <v/>
      </c>
      <c r="C201">
        <f t="shared" si="15"/>
        <v>1</v>
      </c>
      <c r="D201" s="4"/>
      <c r="E201" t="s">
        <v>18</v>
      </c>
      <c r="F201" t="str">
        <f>INDEX(Establishment!B$2:B$1005,MATCH($E201,Establishment!$A$2:$A$1005,0))</f>
        <v xml:space="preserve"> </v>
      </c>
      <c r="G201" t="str">
        <f>INDEX(Establishment!C$2:C$1005,MATCH($E201,Establishment!$A$2:$A$1005,0))</f>
        <v xml:space="preserve"> </v>
      </c>
      <c r="M201">
        <f t="shared" si="16"/>
        <v>0</v>
      </c>
      <c r="N201">
        <f t="shared" si="19"/>
        <v>0</v>
      </c>
      <c r="P201" t="e">
        <f>INDEX(Items!B$2:B$1032,MATCH($O201,Items!$A$2:$A$1032,0))</f>
        <v>#N/A</v>
      </c>
      <c r="Q201" t="e">
        <f>INDEX(Items!C$2:C$1032,MATCH($O201,Items!$A$2:$A$1032,0))</f>
        <v>#N/A</v>
      </c>
      <c r="R201" t="e">
        <f>INDEX(Items!D$2:D$1032,MATCH($O201,Items!$A$2:$A$1032,0))</f>
        <v>#N/A</v>
      </c>
    </row>
    <row r="202" spans="1:18" x14ac:dyDescent="0.25">
      <c r="A202">
        <f t="shared" si="17"/>
        <v>1</v>
      </c>
      <c r="B202" t="str">
        <f t="shared" si="18"/>
        <v/>
      </c>
      <c r="C202">
        <f t="shared" ref="C202:C265" si="20">IF(OR(B202="",B202&lt;&gt;B201),1,C201+1)</f>
        <v>1</v>
      </c>
      <c r="D202" s="4"/>
      <c r="E202" t="s">
        <v>18</v>
      </c>
      <c r="F202" t="str">
        <f>INDEX(Establishment!B$2:B$1005,MATCH($E202,Establishment!$A$2:$A$1005,0))</f>
        <v xml:space="preserve"> </v>
      </c>
      <c r="G202" t="str">
        <f>INDEX(Establishment!C$2:C$1005,MATCH($E202,Establishment!$A$2:$A$1005,0))</f>
        <v xml:space="preserve"> </v>
      </c>
      <c r="M202">
        <f t="shared" ref="M202:M265" si="21">K202*L202</f>
        <v>0</v>
      </c>
      <c r="N202">
        <f t="shared" si="19"/>
        <v>0</v>
      </c>
      <c r="P202" t="e">
        <f>INDEX(Items!B$2:B$1032,MATCH($O202,Items!$A$2:$A$1032,0))</f>
        <v>#N/A</v>
      </c>
      <c r="Q202" t="e">
        <f>INDEX(Items!C$2:C$1032,MATCH($O202,Items!$A$2:$A$1032,0))</f>
        <v>#N/A</v>
      </c>
      <c r="R202" t="e">
        <f>INDEX(Items!D$2:D$1032,MATCH($O202,Items!$A$2:$A$1032,0))</f>
        <v>#N/A</v>
      </c>
    </row>
    <row r="203" spans="1:18" x14ac:dyDescent="0.25">
      <c r="A203">
        <f t="shared" si="17"/>
        <v>1</v>
      </c>
      <c r="B203" t="str">
        <f t="shared" si="18"/>
        <v/>
      </c>
      <c r="C203">
        <f t="shared" si="20"/>
        <v>1</v>
      </c>
      <c r="D203" s="4"/>
      <c r="E203" t="s">
        <v>18</v>
      </c>
      <c r="F203" t="str">
        <f>INDEX(Establishment!B$2:B$1005,MATCH($E203,Establishment!$A$2:$A$1005,0))</f>
        <v xml:space="preserve"> </v>
      </c>
      <c r="G203" t="str">
        <f>INDEX(Establishment!C$2:C$1005,MATCH($E203,Establishment!$A$2:$A$1005,0))</f>
        <v xml:space="preserve"> </v>
      </c>
      <c r="M203">
        <f t="shared" si="21"/>
        <v>0</v>
      </c>
      <c r="N203">
        <f t="shared" si="19"/>
        <v>0</v>
      </c>
      <c r="P203" t="e">
        <f>INDEX(Items!B$2:B$1032,MATCH($O203,Items!$A$2:$A$1032,0))</f>
        <v>#N/A</v>
      </c>
      <c r="Q203" t="e">
        <f>INDEX(Items!C$2:C$1032,MATCH($O203,Items!$A$2:$A$1032,0))</f>
        <v>#N/A</v>
      </c>
      <c r="R203" t="e">
        <f>INDEX(Items!D$2:D$1032,MATCH($O203,Items!$A$2:$A$1032,0))</f>
        <v>#N/A</v>
      </c>
    </row>
    <row r="204" spans="1:18" x14ac:dyDescent="0.25">
      <c r="A204">
        <f t="shared" si="17"/>
        <v>1</v>
      </c>
      <c r="B204" t="str">
        <f t="shared" si="18"/>
        <v/>
      </c>
      <c r="C204">
        <f t="shared" si="20"/>
        <v>1</v>
      </c>
      <c r="D204" s="4"/>
      <c r="E204" t="s">
        <v>18</v>
      </c>
      <c r="F204" t="str">
        <f>INDEX(Establishment!B$2:B$1005,MATCH($E204,Establishment!$A$2:$A$1005,0))</f>
        <v xml:space="preserve"> </v>
      </c>
      <c r="G204" t="str">
        <f>INDEX(Establishment!C$2:C$1005,MATCH($E204,Establishment!$A$2:$A$1005,0))</f>
        <v xml:space="preserve"> </v>
      </c>
      <c r="M204">
        <f t="shared" si="21"/>
        <v>0</v>
      </c>
      <c r="N204">
        <f t="shared" si="19"/>
        <v>0</v>
      </c>
      <c r="P204" t="e">
        <f>INDEX(Items!B$2:B$1032,MATCH($O204,Items!$A$2:$A$1032,0))</f>
        <v>#N/A</v>
      </c>
      <c r="Q204" t="e">
        <f>INDEX(Items!C$2:C$1032,MATCH($O204,Items!$A$2:$A$1032,0))</f>
        <v>#N/A</v>
      </c>
      <c r="R204" t="e">
        <f>INDEX(Items!D$2:D$1032,MATCH($O204,Items!$A$2:$A$1032,0))</f>
        <v>#N/A</v>
      </c>
    </row>
    <row r="205" spans="1:18" x14ac:dyDescent="0.25">
      <c r="A205">
        <f t="shared" si="17"/>
        <v>1</v>
      </c>
      <c r="B205" t="str">
        <f t="shared" si="18"/>
        <v/>
      </c>
      <c r="C205">
        <f t="shared" si="20"/>
        <v>1</v>
      </c>
      <c r="D205" s="4"/>
      <c r="E205" t="s">
        <v>18</v>
      </c>
      <c r="F205" t="str">
        <f>INDEX(Establishment!B$2:B$1005,MATCH($E205,Establishment!$A$2:$A$1005,0))</f>
        <v xml:space="preserve"> </v>
      </c>
      <c r="G205" t="str">
        <f>INDEX(Establishment!C$2:C$1005,MATCH($E205,Establishment!$A$2:$A$1005,0))</f>
        <v xml:space="preserve"> </v>
      </c>
      <c r="M205">
        <f t="shared" si="21"/>
        <v>0</v>
      </c>
      <c r="N205">
        <f t="shared" si="19"/>
        <v>0</v>
      </c>
      <c r="P205" t="e">
        <f>INDEX(Items!B$2:B$1032,MATCH($O205,Items!$A$2:$A$1032,0))</f>
        <v>#N/A</v>
      </c>
      <c r="Q205" t="e">
        <f>INDEX(Items!C$2:C$1032,MATCH($O205,Items!$A$2:$A$1032,0))</f>
        <v>#N/A</v>
      </c>
      <c r="R205" t="e">
        <f>INDEX(Items!D$2:D$1032,MATCH($O205,Items!$A$2:$A$1032,0))</f>
        <v>#N/A</v>
      </c>
    </row>
    <row r="206" spans="1:18" x14ac:dyDescent="0.25">
      <c r="A206">
        <f t="shared" si="17"/>
        <v>1</v>
      </c>
      <c r="B206" t="str">
        <f t="shared" si="18"/>
        <v/>
      </c>
      <c r="C206">
        <f t="shared" si="20"/>
        <v>1</v>
      </c>
      <c r="D206" s="4"/>
      <c r="E206" t="s">
        <v>18</v>
      </c>
      <c r="F206" t="str">
        <f>INDEX(Establishment!B$2:B$1005,MATCH($E206,Establishment!$A$2:$A$1005,0))</f>
        <v xml:space="preserve"> </v>
      </c>
      <c r="G206" t="str">
        <f>INDEX(Establishment!C$2:C$1005,MATCH($E206,Establishment!$A$2:$A$1005,0))</f>
        <v xml:space="preserve"> </v>
      </c>
      <c r="M206">
        <f t="shared" si="21"/>
        <v>0</v>
      </c>
      <c r="N206">
        <f t="shared" si="19"/>
        <v>0</v>
      </c>
      <c r="P206" t="e">
        <f>INDEX(Items!B$2:B$1032,MATCH($O206,Items!$A$2:$A$1032,0))</f>
        <v>#N/A</v>
      </c>
      <c r="Q206" t="e">
        <f>INDEX(Items!C$2:C$1032,MATCH($O206,Items!$A$2:$A$1032,0))</f>
        <v>#N/A</v>
      </c>
      <c r="R206" t="e">
        <f>INDEX(Items!D$2:D$1032,MATCH($O206,Items!$A$2:$A$1032,0))</f>
        <v>#N/A</v>
      </c>
    </row>
    <row r="207" spans="1:18" x14ac:dyDescent="0.25">
      <c r="A207">
        <f t="shared" si="17"/>
        <v>1</v>
      </c>
      <c r="B207" t="str">
        <f t="shared" si="18"/>
        <v/>
      </c>
      <c r="C207">
        <f t="shared" si="20"/>
        <v>1</v>
      </c>
      <c r="D207" s="4"/>
      <c r="E207" t="s">
        <v>18</v>
      </c>
      <c r="F207" t="str">
        <f>INDEX(Establishment!B$2:B$1005,MATCH($E207,Establishment!$A$2:$A$1005,0))</f>
        <v xml:space="preserve"> </v>
      </c>
      <c r="G207" t="str">
        <f>INDEX(Establishment!C$2:C$1005,MATCH($E207,Establishment!$A$2:$A$1005,0))</f>
        <v xml:space="preserve"> </v>
      </c>
      <c r="M207">
        <f t="shared" si="21"/>
        <v>0</v>
      </c>
      <c r="N207">
        <f t="shared" si="19"/>
        <v>0</v>
      </c>
      <c r="P207" t="e">
        <f>INDEX(Items!B$2:B$1032,MATCH($O207,Items!$A$2:$A$1032,0))</f>
        <v>#N/A</v>
      </c>
      <c r="Q207" t="e">
        <f>INDEX(Items!C$2:C$1032,MATCH($O207,Items!$A$2:$A$1032,0))</f>
        <v>#N/A</v>
      </c>
      <c r="R207" t="e">
        <f>INDEX(Items!D$2:D$1032,MATCH($O207,Items!$A$2:$A$1032,0))</f>
        <v>#N/A</v>
      </c>
    </row>
    <row r="208" spans="1:18" x14ac:dyDescent="0.25">
      <c r="A208">
        <f t="shared" si="17"/>
        <v>1</v>
      </c>
      <c r="B208" t="str">
        <f t="shared" si="18"/>
        <v/>
      </c>
      <c r="C208">
        <f t="shared" si="20"/>
        <v>1</v>
      </c>
      <c r="D208" s="4"/>
      <c r="E208" t="s">
        <v>18</v>
      </c>
      <c r="F208" t="str">
        <f>INDEX(Establishment!B$2:B$1005,MATCH($E208,Establishment!$A$2:$A$1005,0))</f>
        <v xml:space="preserve"> </v>
      </c>
      <c r="G208" t="str">
        <f>INDEX(Establishment!C$2:C$1005,MATCH($E208,Establishment!$A$2:$A$1005,0))</f>
        <v xml:space="preserve"> </v>
      </c>
      <c r="M208">
        <f t="shared" si="21"/>
        <v>0</v>
      </c>
      <c r="N208">
        <f t="shared" si="19"/>
        <v>0</v>
      </c>
      <c r="P208" t="e">
        <f>INDEX(Items!B$2:B$1032,MATCH($O208,Items!$A$2:$A$1032,0))</f>
        <v>#N/A</v>
      </c>
      <c r="Q208" t="e">
        <f>INDEX(Items!C$2:C$1032,MATCH($O208,Items!$A$2:$A$1032,0))</f>
        <v>#N/A</v>
      </c>
      <c r="R208" t="e">
        <f>INDEX(Items!D$2:D$1032,MATCH($O208,Items!$A$2:$A$1032,0))</f>
        <v>#N/A</v>
      </c>
    </row>
    <row r="209" spans="1:18" x14ac:dyDescent="0.25">
      <c r="A209">
        <f t="shared" si="17"/>
        <v>1</v>
      </c>
      <c r="B209" t="str">
        <f t="shared" si="18"/>
        <v/>
      </c>
      <c r="C209">
        <f t="shared" si="20"/>
        <v>1</v>
      </c>
      <c r="D209" s="4"/>
      <c r="E209" t="s">
        <v>18</v>
      </c>
      <c r="F209" t="str">
        <f>INDEX(Establishment!B$2:B$1005,MATCH($E209,Establishment!$A$2:$A$1005,0))</f>
        <v xml:space="preserve"> </v>
      </c>
      <c r="G209" t="str">
        <f>INDEX(Establishment!C$2:C$1005,MATCH($E209,Establishment!$A$2:$A$1005,0))</f>
        <v xml:space="preserve"> </v>
      </c>
      <c r="M209">
        <f t="shared" si="21"/>
        <v>0</v>
      </c>
      <c r="N209">
        <f t="shared" si="19"/>
        <v>0</v>
      </c>
      <c r="P209" t="e">
        <f>INDEX(Items!B$2:B$1032,MATCH($O209,Items!$A$2:$A$1032,0))</f>
        <v>#N/A</v>
      </c>
      <c r="Q209" t="e">
        <f>INDEX(Items!C$2:C$1032,MATCH($O209,Items!$A$2:$A$1032,0))</f>
        <v>#N/A</v>
      </c>
      <c r="R209" t="e">
        <f>INDEX(Items!D$2:D$1032,MATCH($O209,Items!$A$2:$A$1032,0))</f>
        <v>#N/A</v>
      </c>
    </row>
    <row r="210" spans="1:18" x14ac:dyDescent="0.25">
      <c r="A210">
        <f t="shared" si="17"/>
        <v>1</v>
      </c>
      <c r="B210" t="str">
        <f t="shared" si="18"/>
        <v/>
      </c>
      <c r="C210">
        <f t="shared" si="20"/>
        <v>1</v>
      </c>
      <c r="D210" s="4"/>
      <c r="E210" t="s">
        <v>18</v>
      </c>
      <c r="F210" t="str">
        <f>INDEX(Establishment!B$2:B$1005,MATCH($E210,Establishment!$A$2:$A$1005,0))</f>
        <v xml:space="preserve"> </v>
      </c>
      <c r="G210" t="str">
        <f>INDEX(Establishment!C$2:C$1005,MATCH($E210,Establishment!$A$2:$A$1005,0))</f>
        <v xml:space="preserve"> </v>
      </c>
      <c r="M210">
        <f t="shared" si="21"/>
        <v>0</v>
      </c>
      <c r="N210">
        <f t="shared" si="19"/>
        <v>0</v>
      </c>
      <c r="P210" t="e">
        <f>INDEX(Items!B$2:B$1032,MATCH($O210,Items!$A$2:$A$1032,0))</f>
        <v>#N/A</v>
      </c>
      <c r="Q210" t="e">
        <f>INDEX(Items!C$2:C$1032,MATCH($O210,Items!$A$2:$A$1032,0))</f>
        <v>#N/A</v>
      </c>
      <c r="R210" t="e">
        <f>INDEX(Items!D$2:D$1032,MATCH($O210,Items!$A$2:$A$1032,0))</f>
        <v>#N/A</v>
      </c>
    </row>
    <row r="211" spans="1:18" x14ac:dyDescent="0.25">
      <c r="A211">
        <f t="shared" si="17"/>
        <v>1</v>
      </c>
      <c r="B211" t="str">
        <f t="shared" si="18"/>
        <v/>
      </c>
      <c r="C211">
        <f t="shared" si="20"/>
        <v>1</v>
      </c>
      <c r="D211" s="4"/>
      <c r="E211" t="s">
        <v>18</v>
      </c>
      <c r="F211" t="str">
        <f>INDEX(Establishment!B$2:B$1005,MATCH($E211,Establishment!$A$2:$A$1005,0))</f>
        <v xml:space="preserve"> </v>
      </c>
      <c r="G211" t="str">
        <f>INDEX(Establishment!C$2:C$1005,MATCH($E211,Establishment!$A$2:$A$1005,0))</f>
        <v xml:space="preserve"> </v>
      </c>
      <c r="M211">
        <f t="shared" si="21"/>
        <v>0</v>
      </c>
      <c r="N211">
        <f t="shared" si="19"/>
        <v>0</v>
      </c>
      <c r="P211" t="e">
        <f>INDEX(Items!B$2:B$1032,MATCH($O211,Items!$A$2:$A$1032,0))</f>
        <v>#N/A</v>
      </c>
      <c r="Q211" t="e">
        <f>INDEX(Items!C$2:C$1032,MATCH($O211,Items!$A$2:$A$1032,0))</f>
        <v>#N/A</v>
      </c>
      <c r="R211" t="e">
        <f>INDEX(Items!D$2:D$1032,MATCH($O211,Items!$A$2:$A$1032,0))</f>
        <v>#N/A</v>
      </c>
    </row>
    <row r="212" spans="1:18" x14ac:dyDescent="0.25">
      <c r="A212">
        <f t="shared" si="17"/>
        <v>1</v>
      </c>
      <c r="B212" t="str">
        <f t="shared" si="18"/>
        <v/>
      </c>
      <c r="C212">
        <f t="shared" si="20"/>
        <v>1</v>
      </c>
      <c r="D212" s="4"/>
      <c r="E212" t="s">
        <v>18</v>
      </c>
      <c r="F212" t="str">
        <f>INDEX(Establishment!B$2:B$1005,MATCH($E212,Establishment!$A$2:$A$1005,0))</f>
        <v xml:space="preserve"> </v>
      </c>
      <c r="G212" t="str">
        <f>INDEX(Establishment!C$2:C$1005,MATCH($E212,Establishment!$A$2:$A$1005,0))</f>
        <v xml:space="preserve"> </v>
      </c>
      <c r="M212">
        <f t="shared" si="21"/>
        <v>0</v>
      </c>
      <c r="N212">
        <f t="shared" si="19"/>
        <v>0</v>
      </c>
      <c r="P212" t="e">
        <f>INDEX(Items!B$2:B$1032,MATCH($O212,Items!$A$2:$A$1032,0))</f>
        <v>#N/A</v>
      </c>
      <c r="Q212" t="e">
        <f>INDEX(Items!C$2:C$1032,MATCH($O212,Items!$A$2:$A$1032,0))</f>
        <v>#N/A</v>
      </c>
      <c r="R212" t="e">
        <f>INDEX(Items!D$2:D$1032,MATCH($O212,Items!$A$2:$A$1032,0))</f>
        <v>#N/A</v>
      </c>
    </row>
    <row r="213" spans="1:18" x14ac:dyDescent="0.25">
      <c r="A213">
        <f t="shared" si="17"/>
        <v>1</v>
      </c>
      <c r="B213" t="str">
        <f t="shared" si="18"/>
        <v/>
      </c>
      <c r="C213">
        <f t="shared" si="20"/>
        <v>1</v>
      </c>
      <c r="D213" s="4"/>
      <c r="E213" t="s">
        <v>18</v>
      </c>
      <c r="F213" t="str">
        <f>INDEX(Establishment!B$2:B$1005,MATCH($E213,Establishment!$A$2:$A$1005,0))</f>
        <v xml:space="preserve"> </v>
      </c>
      <c r="G213" t="str">
        <f>INDEX(Establishment!C$2:C$1005,MATCH($E213,Establishment!$A$2:$A$1005,0))</f>
        <v xml:space="preserve"> </v>
      </c>
      <c r="M213">
        <f t="shared" si="21"/>
        <v>0</v>
      </c>
      <c r="N213">
        <f t="shared" si="19"/>
        <v>0</v>
      </c>
      <c r="P213" t="e">
        <f>INDEX(Items!B$2:B$1032,MATCH($O213,Items!$A$2:$A$1032,0))</f>
        <v>#N/A</v>
      </c>
      <c r="Q213" t="e">
        <f>INDEX(Items!C$2:C$1032,MATCH($O213,Items!$A$2:$A$1032,0))</f>
        <v>#N/A</v>
      </c>
      <c r="R213" t="e">
        <f>INDEX(Items!D$2:D$1032,MATCH($O213,Items!$A$2:$A$1032,0))</f>
        <v>#N/A</v>
      </c>
    </row>
    <row r="214" spans="1:18" x14ac:dyDescent="0.25">
      <c r="A214">
        <f t="shared" si="17"/>
        <v>1</v>
      </c>
      <c r="B214" t="str">
        <f t="shared" si="18"/>
        <v/>
      </c>
      <c r="C214">
        <f t="shared" si="20"/>
        <v>1</v>
      </c>
      <c r="D214" s="4"/>
      <c r="E214" t="s">
        <v>18</v>
      </c>
      <c r="F214" t="str">
        <f>INDEX(Establishment!B$2:B$1005,MATCH($E214,Establishment!$A$2:$A$1005,0))</f>
        <v xml:space="preserve"> </v>
      </c>
      <c r="G214" t="str">
        <f>INDEX(Establishment!C$2:C$1005,MATCH($E214,Establishment!$A$2:$A$1005,0))</f>
        <v xml:space="preserve"> </v>
      </c>
      <c r="M214">
        <f t="shared" si="21"/>
        <v>0</v>
      </c>
      <c r="N214">
        <f t="shared" si="19"/>
        <v>0</v>
      </c>
      <c r="P214" t="e">
        <f>INDEX(Items!B$2:B$1032,MATCH($O214,Items!$A$2:$A$1032,0))</f>
        <v>#N/A</v>
      </c>
      <c r="Q214" t="e">
        <f>INDEX(Items!C$2:C$1032,MATCH($O214,Items!$A$2:$A$1032,0))</f>
        <v>#N/A</v>
      </c>
      <c r="R214" t="e">
        <f>INDEX(Items!D$2:D$1032,MATCH($O214,Items!$A$2:$A$1032,0))</f>
        <v>#N/A</v>
      </c>
    </row>
    <row r="215" spans="1:18" x14ac:dyDescent="0.25">
      <c r="A215">
        <f t="shared" si="17"/>
        <v>1</v>
      </c>
      <c r="B215" t="str">
        <f t="shared" si="18"/>
        <v/>
      </c>
      <c r="C215">
        <f t="shared" si="20"/>
        <v>1</v>
      </c>
      <c r="D215" s="4"/>
      <c r="E215" t="s">
        <v>18</v>
      </c>
      <c r="F215" t="str">
        <f>INDEX(Establishment!B$2:B$1005,MATCH($E215,Establishment!$A$2:$A$1005,0))</f>
        <v xml:space="preserve"> </v>
      </c>
      <c r="G215" t="str">
        <f>INDEX(Establishment!C$2:C$1005,MATCH($E215,Establishment!$A$2:$A$1005,0))</f>
        <v xml:space="preserve"> </v>
      </c>
      <c r="M215">
        <f t="shared" si="21"/>
        <v>0</v>
      </c>
      <c r="N215">
        <f t="shared" si="19"/>
        <v>0</v>
      </c>
      <c r="P215" t="e">
        <f>INDEX(Items!B$2:B$1032,MATCH($O215,Items!$A$2:$A$1032,0))</f>
        <v>#N/A</v>
      </c>
      <c r="Q215" t="e">
        <f>INDEX(Items!C$2:C$1032,MATCH($O215,Items!$A$2:$A$1032,0))</f>
        <v>#N/A</v>
      </c>
      <c r="R215" t="e">
        <f>INDEX(Items!D$2:D$1032,MATCH($O215,Items!$A$2:$A$1032,0))</f>
        <v>#N/A</v>
      </c>
    </row>
    <row r="216" spans="1:18" x14ac:dyDescent="0.25">
      <c r="A216">
        <f t="shared" si="17"/>
        <v>1</v>
      </c>
      <c r="B216" t="str">
        <f t="shared" si="18"/>
        <v/>
      </c>
      <c r="C216">
        <f t="shared" si="20"/>
        <v>1</v>
      </c>
      <c r="D216" s="4"/>
      <c r="E216" t="s">
        <v>18</v>
      </c>
      <c r="F216" t="str">
        <f>INDEX(Establishment!B$2:B$1005,MATCH($E216,Establishment!$A$2:$A$1005,0))</f>
        <v xml:space="preserve"> </v>
      </c>
      <c r="G216" t="str">
        <f>INDEX(Establishment!C$2:C$1005,MATCH($E216,Establishment!$A$2:$A$1005,0))</f>
        <v xml:space="preserve"> </v>
      </c>
      <c r="M216">
        <f t="shared" si="21"/>
        <v>0</v>
      </c>
      <c r="N216">
        <f t="shared" si="19"/>
        <v>0</v>
      </c>
      <c r="P216" t="e">
        <f>INDEX(Items!B$2:B$1032,MATCH($O216,Items!$A$2:$A$1032,0))</f>
        <v>#N/A</v>
      </c>
      <c r="Q216" t="e">
        <f>INDEX(Items!C$2:C$1032,MATCH($O216,Items!$A$2:$A$1032,0))</f>
        <v>#N/A</v>
      </c>
      <c r="R216" t="e">
        <f>INDEX(Items!D$2:D$1032,MATCH($O216,Items!$A$2:$A$1032,0))</f>
        <v>#N/A</v>
      </c>
    </row>
    <row r="217" spans="1:18" x14ac:dyDescent="0.25">
      <c r="A217">
        <f t="shared" si="17"/>
        <v>1</v>
      </c>
      <c r="B217" t="str">
        <f t="shared" si="18"/>
        <v/>
      </c>
      <c r="C217">
        <f t="shared" si="20"/>
        <v>1</v>
      </c>
      <c r="D217" s="4"/>
      <c r="E217" t="s">
        <v>18</v>
      </c>
      <c r="F217" t="str">
        <f>INDEX(Establishment!B$2:B$1005,MATCH($E217,Establishment!$A$2:$A$1005,0))</f>
        <v xml:space="preserve"> </v>
      </c>
      <c r="G217" t="str">
        <f>INDEX(Establishment!C$2:C$1005,MATCH($E217,Establishment!$A$2:$A$1005,0))</f>
        <v xml:space="preserve"> </v>
      </c>
      <c r="M217">
        <f t="shared" si="21"/>
        <v>0</v>
      </c>
      <c r="N217">
        <f t="shared" si="19"/>
        <v>0</v>
      </c>
      <c r="P217" t="e">
        <f>INDEX(Items!B$2:B$1032,MATCH($O217,Items!$A$2:$A$1032,0))</f>
        <v>#N/A</v>
      </c>
      <c r="Q217" t="e">
        <f>INDEX(Items!C$2:C$1032,MATCH($O217,Items!$A$2:$A$1032,0))</f>
        <v>#N/A</v>
      </c>
      <c r="R217" t="e">
        <f>INDEX(Items!D$2:D$1032,MATCH($O217,Items!$A$2:$A$1032,0))</f>
        <v>#N/A</v>
      </c>
    </row>
    <row r="218" spans="1:18" x14ac:dyDescent="0.25">
      <c r="A218">
        <f t="shared" si="17"/>
        <v>1</v>
      </c>
      <c r="B218" t="str">
        <f t="shared" si="18"/>
        <v/>
      </c>
      <c r="C218">
        <f t="shared" si="20"/>
        <v>1</v>
      </c>
      <c r="D218" s="4"/>
      <c r="E218" t="s">
        <v>18</v>
      </c>
      <c r="F218" t="str">
        <f>INDEX(Establishment!B$2:B$1005,MATCH($E218,Establishment!$A$2:$A$1005,0))</f>
        <v xml:space="preserve"> </v>
      </c>
      <c r="G218" t="str">
        <f>INDEX(Establishment!C$2:C$1005,MATCH($E218,Establishment!$A$2:$A$1005,0))</f>
        <v xml:space="preserve"> </v>
      </c>
      <c r="M218">
        <f t="shared" si="21"/>
        <v>0</v>
      </c>
      <c r="N218">
        <f t="shared" si="19"/>
        <v>0</v>
      </c>
      <c r="P218" t="e">
        <f>INDEX(Items!B$2:B$1032,MATCH($O218,Items!$A$2:$A$1032,0))</f>
        <v>#N/A</v>
      </c>
      <c r="Q218" t="e">
        <f>INDEX(Items!C$2:C$1032,MATCH($O218,Items!$A$2:$A$1032,0))</f>
        <v>#N/A</v>
      </c>
      <c r="R218" t="e">
        <f>INDEX(Items!D$2:D$1032,MATCH($O218,Items!$A$2:$A$1032,0))</f>
        <v>#N/A</v>
      </c>
    </row>
    <row r="219" spans="1:18" x14ac:dyDescent="0.25">
      <c r="A219">
        <f t="shared" si="17"/>
        <v>1</v>
      </c>
      <c r="B219" t="str">
        <f t="shared" si="18"/>
        <v/>
      </c>
      <c r="C219">
        <f t="shared" si="20"/>
        <v>1</v>
      </c>
      <c r="D219" s="4"/>
      <c r="E219" t="s">
        <v>18</v>
      </c>
      <c r="F219" t="str">
        <f>INDEX(Establishment!B$2:B$1005,MATCH($E219,Establishment!$A$2:$A$1005,0))</f>
        <v xml:space="preserve"> </v>
      </c>
      <c r="G219" t="str">
        <f>INDEX(Establishment!C$2:C$1005,MATCH($E219,Establishment!$A$2:$A$1005,0))</f>
        <v xml:space="preserve"> </v>
      </c>
      <c r="M219">
        <f t="shared" si="21"/>
        <v>0</v>
      </c>
      <c r="N219">
        <f t="shared" si="19"/>
        <v>0</v>
      </c>
      <c r="P219" t="e">
        <f>INDEX(Items!B$2:B$1032,MATCH($O219,Items!$A$2:$A$1032,0))</f>
        <v>#N/A</v>
      </c>
      <c r="Q219" t="e">
        <f>INDEX(Items!C$2:C$1032,MATCH($O219,Items!$A$2:$A$1032,0))</f>
        <v>#N/A</v>
      </c>
      <c r="R219" t="e">
        <f>INDEX(Items!D$2:D$1032,MATCH($O219,Items!$A$2:$A$1032,0))</f>
        <v>#N/A</v>
      </c>
    </row>
    <row r="220" spans="1:18" x14ac:dyDescent="0.25">
      <c r="A220">
        <f t="shared" si="17"/>
        <v>1</v>
      </c>
      <c r="B220" t="str">
        <f t="shared" si="18"/>
        <v/>
      </c>
      <c r="C220">
        <f t="shared" si="20"/>
        <v>1</v>
      </c>
      <c r="D220" s="4"/>
      <c r="E220" t="s">
        <v>18</v>
      </c>
      <c r="F220" t="str">
        <f>INDEX(Establishment!B$2:B$1005,MATCH($E220,Establishment!$A$2:$A$1005,0))</f>
        <v xml:space="preserve"> </v>
      </c>
      <c r="G220" t="str">
        <f>INDEX(Establishment!C$2:C$1005,MATCH($E220,Establishment!$A$2:$A$1005,0))</f>
        <v xml:space="preserve"> </v>
      </c>
      <c r="M220">
        <f t="shared" si="21"/>
        <v>0</v>
      </c>
      <c r="N220">
        <f t="shared" si="19"/>
        <v>0</v>
      </c>
      <c r="P220" t="e">
        <f>INDEX(Items!B$2:B$1032,MATCH($O220,Items!$A$2:$A$1032,0))</f>
        <v>#N/A</v>
      </c>
      <c r="Q220" t="e">
        <f>INDEX(Items!C$2:C$1032,MATCH($O220,Items!$A$2:$A$1032,0))</f>
        <v>#N/A</v>
      </c>
      <c r="R220" t="e">
        <f>INDEX(Items!D$2:D$1032,MATCH($O220,Items!$A$2:$A$1032,0))</f>
        <v>#N/A</v>
      </c>
    </row>
    <row r="221" spans="1:18" x14ac:dyDescent="0.25">
      <c r="A221">
        <f t="shared" si="17"/>
        <v>1</v>
      </c>
      <c r="B221" t="str">
        <f t="shared" si="18"/>
        <v/>
      </c>
      <c r="C221">
        <f t="shared" si="20"/>
        <v>1</v>
      </c>
      <c r="D221" s="4"/>
      <c r="E221" t="s">
        <v>18</v>
      </c>
      <c r="F221" t="str">
        <f>INDEX(Establishment!B$2:B$1005,MATCH($E221,Establishment!$A$2:$A$1005,0))</f>
        <v xml:space="preserve"> </v>
      </c>
      <c r="G221" t="str">
        <f>INDEX(Establishment!C$2:C$1005,MATCH($E221,Establishment!$A$2:$A$1005,0))</f>
        <v xml:space="preserve"> </v>
      </c>
      <c r="M221">
        <f t="shared" si="21"/>
        <v>0</v>
      </c>
      <c r="N221">
        <f t="shared" si="19"/>
        <v>0</v>
      </c>
      <c r="P221" t="e">
        <f>INDEX(Items!B$2:B$1032,MATCH($O221,Items!$A$2:$A$1032,0))</f>
        <v>#N/A</v>
      </c>
      <c r="Q221" t="e">
        <f>INDEX(Items!C$2:C$1032,MATCH($O221,Items!$A$2:$A$1032,0))</f>
        <v>#N/A</v>
      </c>
      <c r="R221" t="e">
        <f>INDEX(Items!D$2:D$1032,MATCH($O221,Items!$A$2:$A$1032,0))</f>
        <v>#N/A</v>
      </c>
    </row>
    <row r="222" spans="1:18" x14ac:dyDescent="0.25">
      <c r="A222">
        <f t="shared" si="17"/>
        <v>1</v>
      </c>
      <c r="B222" t="str">
        <f t="shared" si="18"/>
        <v/>
      </c>
      <c r="C222">
        <f t="shared" si="20"/>
        <v>1</v>
      </c>
      <c r="D222" s="4"/>
      <c r="E222" t="s">
        <v>18</v>
      </c>
      <c r="F222" t="str">
        <f>INDEX(Establishment!B$2:B$1005,MATCH($E222,Establishment!$A$2:$A$1005,0))</f>
        <v xml:space="preserve"> </v>
      </c>
      <c r="G222" t="str">
        <f>INDEX(Establishment!C$2:C$1005,MATCH($E222,Establishment!$A$2:$A$1005,0))</f>
        <v xml:space="preserve"> </v>
      </c>
      <c r="M222">
        <f t="shared" si="21"/>
        <v>0</v>
      </c>
      <c r="N222">
        <f t="shared" si="19"/>
        <v>0</v>
      </c>
      <c r="P222" t="e">
        <f>INDEX(Items!B$2:B$1032,MATCH($O222,Items!$A$2:$A$1032,0))</f>
        <v>#N/A</v>
      </c>
      <c r="Q222" t="e">
        <f>INDEX(Items!C$2:C$1032,MATCH($O222,Items!$A$2:$A$1032,0))</f>
        <v>#N/A</v>
      </c>
      <c r="R222" t="e">
        <f>INDEX(Items!D$2:D$1032,MATCH($O222,Items!$A$2:$A$1032,0))</f>
        <v>#N/A</v>
      </c>
    </row>
    <row r="223" spans="1:18" x14ac:dyDescent="0.25">
      <c r="A223">
        <f t="shared" si="17"/>
        <v>1</v>
      </c>
      <c r="B223" t="str">
        <f t="shared" si="18"/>
        <v/>
      </c>
      <c r="C223">
        <f t="shared" si="20"/>
        <v>1</v>
      </c>
      <c r="D223" s="4"/>
      <c r="E223" t="s">
        <v>18</v>
      </c>
      <c r="F223" t="str">
        <f>INDEX(Establishment!B$2:B$1005,MATCH($E223,Establishment!$A$2:$A$1005,0))</f>
        <v xml:space="preserve"> </v>
      </c>
      <c r="G223" t="str">
        <f>INDEX(Establishment!C$2:C$1005,MATCH($E223,Establishment!$A$2:$A$1005,0))</f>
        <v xml:space="preserve"> </v>
      </c>
      <c r="M223">
        <f t="shared" si="21"/>
        <v>0</v>
      </c>
      <c r="N223">
        <f t="shared" si="19"/>
        <v>0</v>
      </c>
      <c r="P223" t="e">
        <f>INDEX(Items!B$2:B$1032,MATCH($O223,Items!$A$2:$A$1032,0))</f>
        <v>#N/A</v>
      </c>
      <c r="Q223" t="e">
        <f>INDEX(Items!C$2:C$1032,MATCH($O223,Items!$A$2:$A$1032,0))</f>
        <v>#N/A</v>
      </c>
      <c r="R223" t="e">
        <f>INDEX(Items!D$2:D$1032,MATCH($O223,Items!$A$2:$A$1032,0))</f>
        <v>#N/A</v>
      </c>
    </row>
    <row r="224" spans="1:18" x14ac:dyDescent="0.25">
      <c r="A224">
        <f t="shared" si="17"/>
        <v>1</v>
      </c>
      <c r="B224" t="str">
        <f t="shared" si="18"/>
        <v/>
      </c>
      <c r="C224">
        <f t="shared" si="20"/>
        <v>1</v>
      </c>
      <c r="D224" s="4"/>
      <c r="E224" t="s">
        <v>18</v>
      </c>
      <c r="F224" t="str">
        <f>INDEX(Establishment!B$2:B$1005,MATCH($E224,Establishment!$A$2:$A$1005,0))</f>
        <v xml:space="preserve"> </v>
      </c>
      <c r="G224" t="str">
        <f>INDEX(Establishment!C$2:C$1005,MATCH($E224,Establishment!$A$2:$A$1005,0))</f>
        <v xml:space="preserve"> </v>
      </c>
      <c r="M224">
        <f t="shared" si="21"/>
        <v>0</v>
      </c>
      <c r="N224">
        <f t="shared" si="19"/>
        <v>0</v>
      </c>
      <c r="P224" t="e">
        <f>INDEX(Items!B$2:B$1032,MATCH($O224,Items!$A$2:$A$1032,0))</f>
        <v>#N/A</v>
      </c>
      <c r="Q224" t="e">
        <f>INDEX(Items!C$2:C$1032,MATCH($O224,Items!$A$2:$A$1032,0))</f>
        <v>#N/A</v>
      </c>
      <c r="R224" t="e">
        <f>INDEX(Items!D$2:D$1032,MATCH($O224,Items!$A$2:$A$1032,0))</f>
        <v>#N/A</v>
      </c>
    </row>
    <row r="225" spans="1:18" x14ac:dyDescent="0.25">
      <c r="A225">
        <f t="shared" si="17"/>
        <v>1</v>
      </c>
      <c r="B225" t="str">
        <f t="shared" si="18"/>
        <v/>
      </c>
      <c r="C225">
        <f t="shared" si="20"/>
        <v>1</v>
      </c>
      <c r="D225" s="4"/>
      <c r="E225" t="s">
        <v>18</v>
      </c>
      <c r="F225" t="str">
        <f>INDEX(Establishment!B$2:B$1005,MATCH($E225,Establishment!$A$2:$A$1005,0))</f>
        <v xml:space="preserve"> </v>
      </c>
      <c r="G225" t="str">
        <f>INDEX(Establishment!C$2:C$1005,MATCH($E225,Establishment!$A$2:$A$1005,0))</f>
        <v xml:space="preserve"> </v>
      </c>
      <c r="M225">
        <f t="shared" si="21"/>
        <v>0</v>
      </c>
      <c r="N225">
        <f t="shared" si="19"/>
        <v>0</v>
      </c>
      <c r="P225" t="e">
        <f>INDEX(Items!B$2:B$1032,MATCH($O225,Items!$A$2:$A$1032,0))</f>
        <v>#N/A</v>
      </c>
      <c r="Q225" t="e">
        <f>INDEX(Items!C$2:C$1032,MATCH($O225,Items!$A$2:$A$1032,0))</f>
        <v>#N/A</v>
      </c>
      <c r="R225" t="e">
        <f>INDEX(Items!D$2:D$1032,MATCH($O225,Items!$A$2:$A$1032,0))</f>
        <v>#N/A</v>
      </c>
    </row>
    <row r="226" spans="1:18" x14ac:dyDescent="0.25">
      <c r="A226">
        <f t="shared" si="17"/>
        <v>1</v>
      </c>
      <c r="B226" t="str">
        <f t="shared" si="18"/>
        <v/>
      </c>
      <c r="C226">
        <f t="shared" si="20"/>
        <v>1</v>
      </c>
      <c r="D226" s="4"/>
      <c r="E226" t="s">
        <v>18</v>
      </c>
      <c r="F226" t="str">
        <f>INDEX(Establishment!B$2:B$1005,MATCH($E226,Establishment!$A$2:$A$1005,0))</f>
        <v xml:space="preserve"> </v>
      </c>
      <c r="G226" t="str">
        <f>INDEX(Establishment!C$2:C$1005,MATCH($E226,Establishment!$A$2:$A$1005,0))</f>
        <v xml:space="preserve"> </v>
      </c>
      <c r="M226">
        <f t="shared" si="21"/>
        <v>0</v>
      </c>
      <c r="N226">
        <f t="shared" si="19"/>
        <v>0</v>
      </c>
      <c r="P226" t="e">
        <f>INDEX(Items!B$2:B$1032,MATCH($O226,Items!$A$2:$A$1032,0))</f>
        <v>#N/A</v>
      </c>
      <c r="Q226" t="e">
        <f>INDEX(Items!C$2:C$1032,MATCH($O226,Items!$A$2:$A$1032,0))</f>
        <v>#N/A</v>
      </c>
      <c r="R226" t="e">
        <f>INDEX(Items!D$2:D$1032,MATCH($O226,Items!$A$2:$A$1032,0))</f>
        <v>#N/A</v>
      </c>
    </row>
    <row r="227" spans="1:18" x14ac:dyDescent="0.25">
      <c r="A227">
        <f t="shared" si="17"/>
        <v>1</v>
      </c>
      <c r="B227" t="str">
        <f t="shared" si="18"/>
        <v/>
      </c>
      <c r="C227">
        <f t="shared" si="20"/>
        <v>1</v>
      </c>
      <c r="D227" s="4"/>
      <c r="E227" t="s">
        <v>18</v>
      </c>
      <c r="F227" t="str">
        <f>INDEX(Establishment!B$2:B$1005,MATCH($E227,Establishment!$A$2:$A$1005,0))</f>
        <v xml:space="preserve"> </v>
      </c>
      <c r="G227" t="str">
        <f>INDEX(Establishment!C$2:C$1005,MATCH($E227,Establishment!$A$2:$A$1005,0))</f>
        <v xml:space="preserve"> </v>
      </c>
      <c r="M227">
        <f t="shared" si="21"/>
        <v>0</v>
      </c>
      <c r="N227">
        <f t="shared" si="19"/>
        <v>0</v>
      </c>
      <c r="P227" t="e">
        <f>INDEX(Items!B$2:B$1032,MATCH($O227,Items!$A$2:$A$1032,0))</f>
        <v>#N/A</v>
      </c>
      <c r="Q227" t="e">
        <f>INDEX(Items!C$2:C$1032,MATCH($O227,Items!$A$2:$A$1032,0))</f>
        <v>#N/A</v>
      </c>
      <c r="R227" t="e">
        <f>INDEX(Items!D$2:D$1032,MATCH($O227,Items!$A$2:$A$1032,0))</f>
        <v>#N/A</v>
      </c>
    </row>
    <row r="228" spans="1:18" x14ac:dyDescent="0.25">
      <c r="A228">
        <f t="shared" si="17"/>
        <v>1</v>
      </c>
      <c r="B228" t="str">
        <f t="shared" si="18"/>
        <v/>
      </c>
      <c r="C228">
        <f t="shared" si="20"/>
        <v>1</v>
      </c>
      <c r="D228" s="4"/>
      <c r="E228" t="s">
        <v>18</v>
      </c>
      <c r="F228" t="str">
        <f>INDEX(Establishment!B$2:B$1005,MATCH($E228,Establishment!$A$2:$A$1005,0))</f>
        <v xml:space="preserve"> </v>
      </c>
      <c r="G228" t="str">
        <f>INDEX(Establishment!C$2:C$1005,MATCH($E228,Establishment!$A$2:$A$1005,0))</f>
        <v xml:space="preserve"> </v>
      </c>
      <c r="M228">
        <f t="shared" si="21"/>
        <v>0</v>
      </c>
      <c r="N228">
        <f t="shared" si="19"/>
        <v>0</v>
      </c>
      <c r="P228" t="e">
        <f>INDEX(Items!B$2:B$1032,MATCH($O228,Items!$A$2:$A$1032,0))</f>
        <v>#N/A</v>
      </c>
      <c r="Q228" t="e">
        <f>INDEX(Items!C$2:C$1032,MATCH($O228,Items!$A$2:$A$1032,0))</f>
        <v>#N/A</v>
      </c>
      <c r="R228" t="e">
        <f>INDEX(Items!D$2:D$1032,MATCH($O228,Items!$A$2:$A$1032,0))</f>
        <v>#N/A</v>
      </c>
    </row>
    <row r="229" spans="1:18" x14ac:dyDescent="0.25">
      <c r="A229">
        <f t="shared" si="17"/>
        <v>1</v>
      </c>
      <c r="B229" t="str">
        <f t="shared" si="18"/>
        <v/>
      </c>
      <c r="C229">
        <f t="shared" si="20"/>
        <v>1</v>
      </c>
      <c r="D229" s="4"/>
      <c r="E229" t="s">
        <v>18</v>
      </c>
      <c r="F229" t="str">
        <f>INDEX(Establishment!B$2:B$1005,MATCH($E229,Establishment!$A$2:$A$1005,0))</f>
        <v xml:space="preserve"> </v>
      </c>
      <c r="G229" t="str">
        <f>INDEX(Establishment!C$2:C$1005,MATCH($E229,Establishment!$A$2:$A$1005,0))</f>
        <v xml:space="preserve"> </v>
      </c>
      <c r="M229">
        <f t="shared" si="21"/>
        <v>0</v>
      </c>
      <c r="N229">
        <f t="shared" si="19"/>
        <v>0</v>
      </c>
      <c r="P229" t="e">
        <f>INDEX(Items!B$2:B$1032,MATCH($O229,Items!$A$2:$A$1032,0))</f>
        <v>#N/A</v>
      </c>
      <c r="Q229" t="e">
        <f>INDEX(Items!C$2:C$1032,MATCH($O229,Items!$A$2:$A$1032,0))</f>
        <v>#N/A</v>
      </c>
      <c r="R229" t="e">
        <f>INDEX(Items!D$2:D$1032,MATCH($O229,Items!$A$2:$A$1032,0))</f>
        <v>#N/A</v>
      </c>
    </row>
    <row r="230" spans="1:18" x14ac:dyDescent="0.25">
      <c r="A230">
        <f t="shared" si="17"/>
        <v>1</v>
      </c>
      <c r="B230" t="str">
        <f t="shared" si="18"/>
        <v/>
      </c>
      <c r="C230">
        <f t="shared" si="20"/>
        <v>1</v>
      </c>
      <c r="D230" s="4"/>
      <c r="E230" t="s">
        <v>18</v>
      </c>
      <c r="F230" t="str">
        <f>INDEX(Establishment!B$2:B$1005,MATCH($E230,Establishment!$A$2:$A$1005,0))</f>
        <v xml:space="preserve"> </v>
      </c>
      <c r="G230" t="str">
        <f>INDEX(Establishment!C$2:C$1005,MATCH($E230,Establishment!$A$2:$A$1005,0))</f>
        <v xml:space="preserve"> </v>
      </c>
      <c r="M230">
        <f t="shared" si="21"/>
        <v>0</v>
      </c>
      <c r="N230">
        <f t="shared" si="19"/>
        <v>0</v>
      </c>
      <c r="P230" t="e">
        <f>INDEX(Items!B$2:B$1032,MATCH($O230,Items!$A$2:$A$1032,0))</f>
        <v>#N/A</v>
      </c>
      <c r="Q230" t="e">
        <f>INDEX(Items!C$2:C$1032,MATCH($O230,Items!$A$2:$A$1032,0))</f>
        <v>#N/A</v>
      </c>
      <c r="R230" t="e">
        <f>INDEX(Items!D$2:D$1032,MATCH($O230,Items!$A$2:$A$1032,0))</f>
        <v>#N/A</v>
      </c>
    </row>
    <row r="231" spans="1:18" x14ac:dyDescent="0.25">
      <c r="A231">
        <f t="shared" si="17"/>
        <v>1</v>
      </c>
      <c r="B231" t="str">
        <f t="shared" si="18"/>
        <v/>
      </c>
      <c r="C231">
        <f t="shared" si="20"/>
        <v>1</v>
      </c>
      <c r="D231" s="4"/>
      <c r="E231" t="s">
        <v>18</v>
      </c>
      <c r="F231" t="str">
        <f>INDEX(Establishment!B$2:B$1005,MATCH($E231,Establishment!$A$2:$A$1005,0))</f>
        <v xml:space="preserve"> </v>
      </c>
      <c r="G231" t="str">
        <f>INDEX(Establishment!C$2:C$1005,MATCH($E231,Establishment!$A$2:$A$1005,0))</f>
        <v xml:space="preserve"> </v>
      </c>
      <c r="M231">
        <f t="shared" si="21"/>
        <v>0</v>
      </c>
      <c r="N231">
        <f t="shared" si="19"/>
        <v>0</v>
      </c>
      <c r="P231" t="e">
        <f>INDEX(Items!B$2:B$1032,MATCH($O231,Items!$A$2:$A$1032,0))</f>
        <v>#N/A</v>
      </c>
      <c r="Q231" t="e">
        <f>INDEX(Items!C$2:C$1032,MATCH($O231,Items!$A$2:$A$1032,0))</f>
        <v>#N/A</v>
      </c>
      <c r="R231" t="e">
        <f>INDEX(Items!D$2:D$1032,MATCH($O231,Items!$A$2:$A$1032,0))</f>
        <v>#N/A</v>
      </c>
    </row>
    <row r="232" spans="1:18" x14ac:dyDescent="0.25">
      <c r="A232">
        <f t="shared" si="17"/>
        <v>1</v>
      </c>
      <c r="B232" t="str">
        <f t="shared" si="18"/>
        <v/>
      </c>
      <c r="C232">
        <f t="shared" si="20"/>
        <v>1</v>
      </c>
      <c r="D232" s="4"/>
      <c r="E232" t="s">
        <v>18</v>
      </c>
      <c r="F232" t="str">
        <f>INDEX(Establishment!B$2:B$1005,MATCH($E232,Establishment!$A$2:$A$1005,0))</f>
        <v xml:space="preserve"> </v>
      </c>
      <c r="G232" t="str">
        <f>INDEX(Establishment!C$2:C$1005,MATCH($E232,Establishment!$A$2:$A$1005,0))</f>
        <v xml:space="preserve"> </v>
      </c>
      <c r="M232">
        <f t="shared" si="21"/>
        <v>0</v>
      </c>
      <c r="N232">
        <f t="shared" si="19"/>
        <v>0</v>
      </c>
      <c r="P232" t="e">
        <f>INDEX(Items!B$2:B$1032,MATCH($O232,Items!$A$2:$A$1032,0))</f>
        <v>#N/A</v>
      </c>
      <c r="Q232" t="e">
        <f>INDEX(Items!C$2:C$1032,MATCH($O232,Items!$A$2:$A$1032,0))</f>
        <v>#N/A</v>
      </c>
      <c r="R232" t="e">
        <f>INDEX(Items!D$2:D$1032,MATCH($O232,Items!$A$2:$A$1032,0))</f>
        <v>#N/A</v>
      </c>
    </row>
    <row r="233" spans="1:18" x14ac:dyDescent="0.25">
      <c r="A233">
        <f t="shared" si="17"/>
        <v>1</v>
      </c>
      <c r="B233" t="str">
        <f t="shared" si="18"/>
        <v/>
      </c>
      <c r="C233">
        <f t="shared" si="20"/>
        <v>1</v>
      </c>
      <c r="D233" s="4"/>
      <c r="E233" t="s">
        <v>18</v>
      </c>
      <c r="F233" t="str">
        <f>INDEX(Establishment!B$2:B$1005,MATCH($E233,Establishment!$A$2:$A$1005,0))</f>
        <v xml:space="preserve"> </v>
      </c>
      <c r="G233" t="str">
        <f>INDEX(Establishment!C$2:C$1005,MATCH($E233,Establishment!$A$2:$A$1005,0))</f>
        <v xml:space="preserve"> </v>
      </c>
      <c r="M233">
        <f t="shared" si="21"/>
        <v>0</v>
      </c>
      <c r="N233">
        <f t="shared" si="19"/>
        <v>0</v>
      </c>
      <c r="P233" t="e">
        <f>INDEX(Items!B$2:B$1032,MATCH($O233,Items!$A$2:$A$1032,0))</f>
        <v>#N/A</v>
      </c>
      <c r="Q233" t="e">
        <f>INDEX(Items!C$2:C$1032,MATCH($O233,Items!$A$2:$A$1032,0))</f>
        <v>#N/A</v>
      </c>
      <c r="R233" t="e">
        <f>INDEX(Items!D$2:D$1032,MATCH($O233,Items!$A$2:$A$1032,0))</f>
        <v>#N/A</v>
      </c>
    </row>
    <row r="234" spans="1:18" x14ac:dyDescent="0.25">
      <c r="A234">
        <f t="shared" si="17"/>
        <v>1</v>
      </c>
      <c r="B234" t="str">
        <f t="shared" si="18"/>
        <v/>
      </c>
      <c r="C234">
        <f t="shared" si="20"/>
        <v>1</v>
      </c>
      <c r="D234" s="4"/>
      <c r="E234" t="s">
        <v>18</v>
      </c>
      <c r="F234" t="str">
        <f>INDEX(Establishment!B$2:B$1005,MATCH($E234,Establishment!$A$2:$A$1005,0))</f>
        <v xml:space="preserve"> </v>
      </c>
      <c r="G234" t="str">
        <f>INDEX(Establishment!C$2:C$1005,MATCH($E234,Establishment!$A$2:$A$1005,0))</f>
        <v xml:space="preserve"> </v>
      </c>
      <c r="M234">
        <f t="shared" si="21"/>
        <v>0</v>
      </c>
      <c r="N234">
        <f t="shared" si="19"/>
        <v>0</v>
      </c>
      <c r="P234" t="e">
        <f>INDEX(Items!B$2:B$1032,MATCH($O234,Items!$A$2:$A$1032,0))</f>
        <v>#N/A</v>
      </c>
      <c r="Q234" t="e">
        <f>INDEX(Items!C$2:C$1032,MATCH($O234,Items!$A$2:$A$1032,0))</f>
        <v>#N/A</v>
      </c>
      <c r="R234" t="e">
        <f>INDEX(Items!D$2:D$1032,MATCH($O234,Items!$A$2:$A$1032,0))</f>
        <v>#N/A</v>
      </c>
    </row>
    <row r="235" spans="1:18" x14ac:dyDescent="0.25">
      <c r="A235">
        <f t="shared" si="17"/>
        <v>1</v>
      </c>
      <c r="B235" t="str">
        <f t="shared" si="18"/>
        <v/>
      </c>
      <c r="C235">
        <f t="shared" si="20"/>
        <v>1</v>
      </c>
      <c r="D235" s="4"/>
      <c r="E235" t="s">
        <v>18</v>
      </c>
      <c r="F235" t="str">
        <f>INDEX(Establishment!B$2:B$1005,MATCH($E235,Establishment!$A$2:$A$1005,0))</f>
        <v xml:space="preserve"> </v>
      </c>
      <c r="G235" t="str">
        <f>INDEX(Establishment!C$2:C$1005,MATCH($E235,Establishment!$A$2:$A$1005,0))</f>
        <v xml:space="preserve"> </v>
      </c>
      <c r="M235">
        <f t="shared" si="21"/>
        <v>0</v>
      </c>
      <c r="N235">
        <f t="shared" si="19"/>
        <v>0</v>
      </c>
      <c r="P235" t="e">
        <f>INDEX(Items!B$2:B$1032,MATCH($O235,Items!$A$2:$A$1032,0))</f>
        <v>#N/A</v>
      </c>
      <c r="Q235" t="e">
        <f>INDEX(Items!C$2:C$1032,MATCH($O235,Items!$A$2:$A$1032,0))</f>
        <v>#N/A</v>
      </c>
      <c r="R235" t="e">
        <f>INDEX(Items!D$2:D$1032,MATCH($O235,Items!$A$2:$A$1032,0))</f>
        <v>#N/A</v>
      </c>
    </row>
    <row r="236" spans="1:18" x14ac:dyDescent="0.25">
      <c r="A236">
        <f t="shared" si="17"/>
        <v>1</v>
      </c>
      <c r="B236" t="str">
        <f t="shared" si="18"/>
        <v/>
      </c>
      <c r="C236">
        <f t="shared" si="20"/>
        <v>1</v>
      </c>
      <c r="D236" s="4"/>
      <c r="E236" t="s">
        <v>18</v>
      </c>
      <c r="F236" t="str">
        <f>INDEX(Establishment!B$2:B$1005,MATCH($E236,Establishment!$A$2:$A$1005,0))</f>
        <v xml:space="preserve"> </v>
      </c>
      <c r="G236" t="str">
        <f>INDEX(Establishment!C$2:C$1005,MATCH($E236,Establishment!$A$2:$A$1005,0))</f>
        <v xml:space="preserve"> </v>
      </c>
      <c r="M236">
        <f t="shared" si="21"/>
        <v>0</v>
      </c>
      <c r="N236">
        <f t="shared" si="19"/>
        <v>0</v>
      </c>
      <c r="P236" t="e">
        <f>INDEX(Items!B$2:B$1032,MATCH($O236,Items!$A$2:$A$1032,0))</f>
        <v>#N/A</v>
      </c>
      <c r="Q236" t="e">
        <f>INDEX(Items!C$2:C$1032,MATCH($O236,Items!$A$2:$A$1032,0))</f>
        <v>#N/A</v>
      </c>
      <c r="R236" t="e">
        <f>INDEX(Items!D$2:D$1032,MATCH($O236,Items!$A$2:$A$1032,0))</f>
        <v>#N/A</v>
      </c>
    </row>
    <row r="237" spans="1:18" x14ac:dyDescent="0.25">
      <c r="A237">
        <f t="shared" si="17"/>
        <v>1</v>
      </c>
      <c r="B237" t="str">
        <f t="shared" si="18"/>
        <v/>
      </c>
      <c r="C237">
        <f t="shared" si="20"/>
        <v>1</v>
      </c>
      <c r="D237" s="4"/>
      <c r="E237" t="s">
        <v>18</v>
      </c>
      <c r="F237" t="str">
        <f>INDEX(Establishment!B$2:B$1005,MATCH($E237,Establishment!$A$2:$A$1005,0))</f>
        <v xml:space="preserve"> </v>
      </c>
      <c r="G237" t="str">
        <f>INDEX(Establishment!C$2:C$1005,MATCH($E237,Establishment!$A$2:$A$1005,0))</f>
        <v xml:space="preserve"> </v>
      </c>
      <c r="M237">
        <f t="shared" si="21"/>
        <v>0</v>
      </c>
      <c r="N237">
        <f t="shared" si="19"/>
        <v>0</v>
      </c>
      <c r="P237" t="e">
        <f>INDEX(Items!B$2:B$1032,MATCH($O237,Items!$A$2:$A$1032,0))</f>
        <v>#N/A</v>
      </c>
      <c r="Q237" t="e">
        <f>INDEX(Items!C$2:C$1032,MATCH($O237,Items!$A$2:$A$1032,0))</f>
        <v>#N/A</v>
      </c>
      <c r="R237" t="e">
        <f>INDEX(Items!D$2:D$1032,MATCH($O237,Items!$A$2:$A$1032,0))</f>
        <v>#N/A</v>
      </c>
    </row>
    <row r="238" spans="1:18" x14ac:dyDescent="0.25">
      <c r="A238">
        <f t="shared" si="17"/>
        <v>1</v>
      </c>
      <c r="B238" t="str">
        <f t="shared" si="18"/>
        <v/>
      </c>
      <c r="C238">
        <f t="shared" si="20"/>
        <v>1</v>
      </c>
      <c r="D238" s="4"/>
      <c r="E238" t="s">
        <v>18</v>
      </c>
      <c r="F238" t="str">
        <f>INDEX(Establishment!B$2:B$1005,MATCH($E238,Establishment!$A$2:$A$1005,0))</f>
        <v xml:space="preserve"> </v>
      </c>
      <c r="G238" t="str">
        <f>INDEX(Establishment!C$2:C$1005,MATCH($E238,Establishment!$A$2:$A$1005,0))</f>
        <v xml:space="preserve"> </v>
      </c>
      <c r="M238">
        <f t="shared" si="21"/>
        <v>0</v>
      </c>
      <c r="N238">
        <f t="shared" si="19"/>
        <v>0</v>
      </c>
      <c r="P238" t="e">
        <f>INDEX(Items!B$2:B$1032,MATCH($O238,Items!$A$2:$A$1032,0))</f>
        <v>#N/A</v>
      </c>
      <c r="Q238" t="e">
        <f>INDEX(Items!C$2:C$1032,MATCH($O238,Items!$A$2:$A$1032,0))</f>
        <v>#N/A</v>
      </c>
      <c r="R238" t="e">
        <f>INDEX(Items!D$2:D$1032,MATCH($O238,Items!$A$2:$A$1032,0))</f>
        <v>#N/A</v>
      </c>
    </row>
    <row r="239" spans="1:18" x14ac:dyDescent="0.25">
      <c r="A239">
        <f t="shared" si="17"/>
        <v>1</v>
      </c>
      <c r="B239" t="str">
        <f t="shared" si="18"/>
        <v/>
      </c>
      <c r="C239">
        <f t="shared" si="20"/>
        <v>1</v>
      </c>
      <c r="D239" s="4"/>
      <c r="E239" t="s">
        <v>18</v>
      </c>
      <c r="F239" t="str">
        <f>INDEX(Establishment!B$2:B$1005,MATCH($E239,Establishment!$A$2:$A$1005,0))</f>
        <v xml:space="preserve"> </v>
      </c>
      <c r="G239" t="str">
        <f>INDEX(Establishment!C$2:C$1005,MATCH($E239,Establishment!$A$2:$A$1005,0))</f>
        <v xml:space="preserve"> </v>
      </c>
      <c r="M239">
        <f t="shared" si="21"/>
        <v>0</v>
      </c>
      <c r="N239">
        <f t="shared" si="19"/>
        <v>0</v>
      </c>
      <c r="P239" t="e">
        <f>INDEX(Items!B$2:B$1032,MATCH($O239,Items!$A$2:$A$1032,0))</f>
        <v>#N/A</v>
      </c>
      <c r="Q239" t="e">
        <f>INDEX(Items!C$2:C$1032,MATCH($O239,Items!$A$2:$A$1032,0))</f>
        <v>#N/A</v>
      </c>
      <c r="R239" t="e">
        <f>INDEX(Items!D$2:D$1032,MATCH($O239,Items!$A$2:$A$1032,0))</f>
        <v>#N/A</v>
      </c>
    </row>
    <row r="240" spans="1:18" x14ac:dyDescent="0.25">
      <c r="A240">
        <f t="shared" si="17"/>
        <v>1</v>
      </c>
      <c r="B240" t="str">
        <f t="shared" si="18"/>
        <v/>
      </c>
      <c r="C240">
        <f t="shared" si="20"/>
        <v>1</v>
      </c>
      <c r="D240" s="4"/>
      <c r="E240" t="s">
        <v>18</v>
      </c>
      <c r="F240" t="str">
        <f>INDEX(Establishment!B$2:B$1005,MATCH($E240,Establishment!$A$2:$A$1005,0))</f>
        <v xml:space="preserve"> </v>
      </c>
      <c r="G240" t="str">
        <f>INDEX(Establishment!C$2:C$1005,MATCH($E240,Establishment!$A$2:$A$1005,0))</f>
        <v xml:space="preserve"> </v>
      </c>
      <c r="M240">
        <f t="shared" si="21"/>
        <v>0</v>
      </c>
      <c r="N240">
        <f t="shared" si="19"/>
        <v>0</v>
      </c>
      <c r="P240" t="e">
        <f>INDEX(Items!B$2:B$1032,MATCH($O240,Items!$A$2:$A$1032,0))</f>
        <v>#N/A</v>
      </c>
      <c r="Q240" t="e">
        <f>INDEX(Items!C$2:C$1032,MATCH($O240,Items!$A$2:$A$1032,0))</f>
        <v>#N/A</v>
      </c>
      <c r="R240" t="e">
        <f>INDEX(Items!D$2:D$1032,MATCH($O240,Items!$A$2:$A$1032,0))</f>
        <v>#N/A</v>
      </c>
    </row>
    <row r="241" spans="1:18" x14ac:dyDescent="0.25">
      <c r="A241">
        <f t="shared" si="17"/>
        <v>1</v>
      </c>
      <c r="B241" t="str">
        <f t="shared" si="18"/>
        <v/>
      </c>
      <c r="C241">
        <f t="shared" si="20"/>
        <v>1</v>
      </c>
      <c r="D241" s="4"/>
      <c r="E241" t="s">
        <v>18</v>
      </c>
      <c r="F241" t="str">
        <f>INDEX(Establishment!B$2:B$1005,MATCH($E241,Establishment!$A$2:$A$1005,0))</f>
        <v xml:space="preserve"> </v>
      </c>
      <c r="G241" t="str">
        <f>INDEX(Establishment!C$2:C$1005,MATCH($E241,Establishment!$A$2:$A$1005,0))</f>
        <v xml:space="preserve"> </v>
      </c>
      <c r="M241">
        <f t="shared" si="21"/>
        <v>0</v>
      </c>
      <c r="N241">
        <f t="shared" si="19"/>
        <v>0</v>
      </c>
      <c r="P241" t="e">
        <f>INDEX(Items!B$2:B$1032,MATCH($O241,Items!$A$2:$A$1032,0))</f>
        <v>#N/A</v>
      </c>
      <c r="Q241" t="e">
        <f>INDEX(Items!C$2:C$1032,MATCH($O241,Items!$A$2:$A$1032,0))</f>
        <v>#N/A</v>
      </c>
      <c r="R241" t="e">
        <f>INDEX(Items!D$2:D$1032,MATCH($O241,Items!$A$2:$A$1032,0))</f>
        <v>#N/A</v>
      </c>
    </row>
    <row r="242" spans="1:18" x14ac:dyDescent="0.25">
      <c r="A242">
        <f t="shared" si="17"/>
        <v>1</v>
      </c>
      <c r="B242" t="str">
        <f t="shared" si="18"/>
        <v/>
      </c>
      <c r="C242">
        <f t="shared" si="20"/>
        <v>1</v>
      </c>
      <c r="D242" s="4"/>
      <c r="E242" t="s">
        <v>18</v>
      </c>
      <c r="F242" t="str">
        <f>INDEX(Establishment!B$2:B$1005,MATCH($E242,Establishment!$A$2:$A$1005,0))</f>
        <v xml:space="preserve"> </v>
      </c>
      <c r="G242" t="str">
        <f>INDEX(Establishment!C$2:C$1005,MATCH($E242,Establishment!$A$2:$A$1005,0))</f>
        <v xml:space="preserve"> </v>
      </c>
      <c r="M242">
        <f t="shared" si="21"/>
        <v>0</v>
      </c>
      <c r="N242">
        <f t="shared" si="19"/>
        <v>0</v>
      </c>
      <c r="P242" t="e">
        <f>INDEX(Items!B$2:B$1032,MATCH($O242,Items!$A$2:$A$1032,0))</f>
        <v>#N/A</v>
      </c>
      <c r="Q242" t="e">
        <f>INDEX(Items!C$2:C$1032,MATCH($O242,Items!$A$2:$A$1032,0))</f>
        <v>#N/A</v>
      </c>
      <c r="R242" t="e">
        <f>INDEX(Items!D$2:D$1032,MATCH($O242,Items!$A$2:$A$1032,0))</f>
        <v>#N/A</v>
      </c>
    </row>
    <row r="243" spans="1:18" x14ac:dyDescent="0.25">
      <c r="A243">
        <f t="shared" si="17"/>
        <v>1</v>
      </c>
      <c r="B243" t="str">
        <f t="shared" si="18"/>
        <v/>
      </c>
      <c r="C243">
        <f t="shared" si="20"/>
        <v>1</v>
      </c>
      <c r="D243" s="4"/>
      <c r="E243" t="s">
        <v>18</v>
      </c>
      <c r="F243" t="str">
        <f>INDEX(Establishment!B$2:B$1005,MATCH($E243,Establishment!$A$2:$A$1005,0))</f>
        <v xml:space="preserve"> </v>
      </c>
      <c r="G243" t="str">
        <f>INDEX(Establishment!C$2:C$1005,MATCH($E243,Establishment!$A$2:$A$1005,0))</f>
        <v xml:space="preserve"> </v>
      </c>
      <c r="M243">
        <f t="shared" si="21"/>
        <v>0</v>
      </c>
      <c r="N243">
        <f t="shared" si="19"/>
        <v>0</v>
      </c>
      <c r="P243" t="e">
        <f>INDEX(Items!B$2:B$1032,MATCH($O243,Items!$A$2:$A$1032,0))</f>
        <v>#N/A</v>
      </c>
      <c r="Q243" t="e">
        <f>INDEX(Items!C$2:C$1032,MATCH($O243,Items!$A$2:$A$1032,0))</f>
        <v>#N/A</v>
      </c>
      <c r="R243" t="e">
        <f>INDEX(Items!D$2:D$1032,MATCH($O243,Items!$A$2:$A$1032,0))</f>
        <v>#N/A</v>
      </c>
    </row>
    <row r="244" spans="1:18" x14ac:dyDescent="0.25">
      <c r="A244">
        <f t="shared" si="17"/>
        <v>1</v>
      </c>
      <c r="B244" t="str">
        <f t="shared" si="18"/>
        <v/>
      </c>
      <c r="C244">
        <f t="shared" si="20"/>
        <v>1</v>
      </c>
      <c r="D244" s="4"/>
      <c r="E244" t="s">
        <v>18</v>
      </c>
      <c r="F244" t="str">
        <f>INDEX(Establishment!B$2:B$1005,MATCH($E244,Establishment!$A$2:$A$1005,0))</f>
        <v xml:space="preserve"> </v>
      </c>
      <c r="G244" t="str">
        <f>INDEX(Establishment!C$2:C$1005,MATCH($E244,Establishment!$A$2:$A$1005,0))</f>
        <v xml:space="preserve"> </v>
      </c>
      <c r="M244">
        <f t="shared" si="21"/>
        <v>0</v>
      </c>
      <c r="N244">
        <f t="shared" si="19"/>
        <v>0</v>
      </c>
      <c r="P244" t="e">
        <f>INDEX(Items!B$2:B$1032,MATCH($O244,Items!$A$2:$A$1032,0))</f>
        <v>#N/A</v>
      </c>
      <c r="Q244" t="e">
        <f>INDEX(Items!C$2:C$1032,MATCH($O244,Items!$A$2:$A$1032,0))</f>
        <v>#N/A</v>
      </c>
      <c r="R244" t="e">
        <f>INDEX(Items!D$2:D$1032,MATCH($O244,Items!$A$2:$A$1032,0))</f>
        <v>#N/A</v>
      </c>
    </row>
    <row r="245" spans="1:18" x14ac:dyDescent="0.25">
      <c r="A245">
        <f t="shared" si="17"/>
        <v>1</v>
      </c>
      <c r="B245" t="str">
        <f t="shared" si="18"/>
        <v/>
      </c>
      <c r="C245">
        <f t="shared" si="20"/>
        <v>1</v>
      </c>
      <c r="D245" s="4"/>
      <c r="E245" t="s">
        <v>18</v>
      </c>
      <c r="F245" t="str">
        <f>INDEX(Establishment!B$2:B$1005,MATCH($E245,Establishment!$A$2:$A$1005,0))</f>
        <v xml:space="preserve"> </v>
      </c>
      <c r="G245" t="str">
        <f>INDEX(Establishment!C$2:C$1005,MATCH($E245,Establishment!$A$2:$A$1005,0))</f>
        <v xml:space="preserve"> </v>
      </c>
      <c r="M245">
        <f t="shared" si="21"/>
        <v>0</v>
      </c>
      <c r="N245">
        <f t="shared" si="19"/>
        <v>0</v>
      </c>
      <c r="P245" t="e">
        <f>INDEX(Items!B$2:B$1032,MATCH($O245,Items!$A$2:$A$1032,0))</f>
        <v>#N/A</v>
      </c>
      <c r="Q245" t="e">
        <f>INDEX(Items!C$2:C$1032,MATCH($O245,Items!$A$2:$A$1032,0))</f>
        <v>#N/A</v>
      </c>
      <c r="R245" t="e">
        <f>INDEX(Items!D$2:D$1032,MATCH($O245,Items!$A$2:$A$1032,0))</f>
        <v>#N/A</v>
      </c>
    </row>
    <row r="246" spans="1:18" x14ac:dyDescent="0.25">
      <c r="A246">
        <f t="shared" si="17"/>
        <v>1</v>
      </c>
      <c r="B246" t="str">
        <f t="shared" si="18"/>
        <v/>
      </c>
      <c r="C246">
        <f t="shared" si="20"/>
        <v>1</v>
      </c>
      <c r="D246" s="4"/>
      <c r="E246" t="s">
        <v>18</v>
      </c>
      <c r="F246" t="str">
        <f>INDEX(Establishment!B$2:B$1005,MATCH($E246,Establishment!$A$2:$A$1005,0))</f>
        <v xml:space="preserve"> </v>
      </c>
      <c r="G246" t="str">
        <f>INDEX(Establishment!C$2:C$1005,MATCH($E246,Establishment!$A$2:$A$1005,0))</f>
        <v xml:space="preserve"> </v>
      </c>
      <c r="M246">
        <f t="shared" si="21"/>
        <v>0</v>
      </c>
      <c r="N246">
        <f t="shared" si="19"/>
        <v>0</v>
      </c>
      <c r="P246" t="e">
        <f>INDEX(Items!B$2:B$1032,MATCH($O246,Items!$A$2:$A$1032,0))</f>
        <v>#N/A</v>
      </c>
      <c r="Q246" t="e">
        <f>INDEX(Items!C$2:C$1032,MATCH($O246,Items!$A$2:$A$1032,0))</f>
        <v>#N/A</v>
      </c>
      <c r="R246" t="e">
        <f>INDEX(Items!D$2:D$1032,MATCH($O246,Items!$A$2:$A$1032,0))</f>
        <v>#N/A</v>
      </c>
    </row>
    <row r="247" spans="1:18" x14ac:dyDescent="0.25">
      <c r="A247">
        <f t="shared" si="17"/>
        <v>1</v>
      </c>
      <c r="B247" t="str">
        <f t="shared" si="18"/>
        <v/>
      </c>
      <c r="C247">
        <f t="shared" si="20"/>
        <v>1</v>
      </c>
      <c r="D247" s="4"/>
      <c r="E247" t="s">
        <v>18</v>
      </c>
      <c r="F247" t="str">
        <f>INDEX(Establishment!B$2:B$1005,MATCH($E247,Establishment!$A$2:$A$1005,0))</f>
        <v xml:space="preserve"> </v>
      </c>
      <c r="G247" t="str">
        <f>INDEX(Establishment!C$2:C$1005,MATCH($E247,Establishment!$A$2:$A$1005,0))</f>
        <v xml:space="preserve"> </v>
      </c>
      <c r="M247">
        <f t="shared" si="21"/>
        <v>0</v>
      </c>
      <c r="N247">
        <f t="shared" si="19"/>
        <v>0</v>
      </c>
      <c r="P247" t="e">
        <f>INDEX(Items!B$2:B$1032,MATCH($O247,Items!$A$2:$A$1032,0))</f>
        <v>#N/A</v>
      </c>
      <c r="Q247" t="e">
        <f>INDEX(Items!C$2:C$1032,MATCH($O247,Items!$A$2:$A$1032,0))</f>
        <v>#N/A</v>
      </c>
      <c r="R247" t="e">
        <f>INDEX(Items!D$2:D$1032,MATCH($O247,Items!$A$2:$A$1032,0))</f>
        <v>#N/A</v>
      </c>
    </row>
    <row r="248" spans="1:18" x14ac:dyDescent="0.25">
      <c r="A248">
        <f t="shared" si="17"/>
        <v>1</v>
      </c>
      <c r="B248" t="str">
        <f t="shared" si="18"/>
        <v/>
      </c>
      <c r="C248">
        <f t="shared" si="20"/>
        <v>1</v>
      </c>
      <c r="D248" s="4"/>
      <c r="E248" t="s">
        <v>18</v>
      </c>
      <c r="F248" t="str">
        <f>INDEX(Establishment!B$2:B$1005,MATCH($E248,Establishment!$A$2:$A$1005,0))</f>
        <v xml:space="preserve"> </v>
      </c>
      <c r="G248" t="str">
        <f>INDEX(Establishment!C$2:C$1005,MATCH($E248,Establishment!$A$2:$A$1005,0))</f>
        <v xml:space="preserve"> </v>
      </c>
      <c r="M248">
        <f t="shared" si="21"/>
        <v>0</v>
      </c>
      <c r="N248">
        <f t="shared" si="19"/>
        <v>0</v>
      </c>
      <c r="P248" t="e">
        <f>INDEX(Items!B$2:B$1032,MATCH($O248,Items!$A$2:$A$1032,0))</f>
        <v>#N/A</v>
      </c>
      <c r="Q248" t="e">
        <f>INDEX(Items!C$2:C$1032,MATCH($O248,Items!$A$2:$A$1032,0))</f>
        <v>#N/A</v>
      </c>
      <c r="R248" t="e">
        <f>INDEX(Items!D$2:D$1032,MATCH($O248,Items!$A$2:$A$1032,0))</f>
        <v>#N/A</v>
      </c>
    </row>
    <row r="249" spans="1:18" x14ac:dyDescent="0.25">
      <c r="A249">
        <f t="shared" si="17"/>
        <v>1</v>
      </c>
      <c r="B249" t="str">
        <f t="shared" si="18"/>
        <v/>
      </c>
      <c r="C249">
        <f t="shared" si="20"/>
        <v>1</v>
      </c>
      <c r="D249" s="4"/>
      <c r="E249" t="s">
        <v>18</v>
      </c>
      <c r="F249" t="str">
        <f>INDEX(Establishment!B$2:B$1005,MATCH($E249,Establishment!$A$2:$A$1005,0))</f>
        <v xml:space="preserve"> </v>
      </c>
      <c r="G249" t="str">
        <f>INDEX(Establishment!C$2:C$1005,MATCH($E249,Establishment!$A$2:$A$1005,0))</f>
        <v xml:space="preserve"> </v>
      </c>
      <c r="M249">
        <f t="shared" si="21"/>
        <v>0</v>
      </c>
      <c r="N249">
        <f t="shared" si="19"/>
        <v>0</v>
      </c>
      <c r="P249" t="e">
        <f>INDEX(Items!B$2:B$1032,MATCH($O249,Items!$A$2:$A$1032,0))</f>
        <v>#N/A</v>
      </c>
      <c r="Q249" t="e">
        <f>INDEX(Items!C$2:C$1032,MATCH($O249,Items!$A$2:$A$1032,0))</f>
        <v>#N/A</v>
      </c>
      <c r="R249" t="e">
        <f>INDEX(Items!D$2:D$1032,MATCH($O249,Items!$A$2:$A$1032,0))</f>
        <v>#N/A</v>
      </c>
    </row>
    <row r="250" spans="1:18" x14ac:dyDescent="0.25">
      <c r="A250">
        <f t="shared" si="17"/>
        <v>1</v>
      </c>
      <c r="B250" t="str">
        <f t="shared" si="18"/>
        <v/>
      </c>
      <c r="C250">
        <f t="shared" si="20"/>
        <v>1</v>
      </c>
      <c r="D250" s="4"/>
      <c r="E250" t="s">
        <v>18</v>
      </c>
      <c r="F250" t="str">
        <f>INDEX(Establishment!B$2:B$1005,MATCH($E250,Establishment!$A$2:$A$1005,0))</f>
        <v xml:space="preserve"> </v>
      </c>
      <c r="G250" t="str">
        <f>INDEX(Establishment!C$2:C$1005,MATCH($E250,Establishment!$A$2:$A$1005,0))</f>
        <v xml:space="preserve"> </v>
      </c>
      <c r="M250">
        <f t="shared" si="21"/>
        <v>0</v>
      </c>
      <c r="N250">
        <f t="shared" si="19"/>
        <v>0</v>
      </c>
      <c r="P250" t="e">
        <f>INDEX(Items!B$2:B$1032,MATCH($O250,Items!$A$2:$A$1032,0))</f>
        <v>#N/A</v>
      </c>
      <c r="Q250" t="e">
        <f>INDEX(Items!C$2:C$1032,MATCH($O250,Items!$A$2:$A$1032,0))</f>
        <v>#N/A</v>
      </c>
      <c r="R250" t="e">
        <f>INDEX(Items!D$2:D$1032,MATCH($O250,Items!$A$2:$A$1032,0))</f>
        <v>#N/A</v>
      </c>
    </row>
    <row r="251" spans="1:18" x14ac:dyDescent="0.25">
      <c r="A251">
        <f t="shared" si="17"/>
        <v>1</v>
      </c>
      <c r="B251" t="str">
        <f t="shared" si="18"/>
        <v/>
      </c>
      <c r="C251">
        <f t="shared" si="20"/>
        <v>1</v>
      </c>
      <c r="D251" s="4"/>
      <c r="E251" t="s">
        <v>18</v>
      </c>
      <c r="F251" t="str">
        <f>INDEX(Establishment!B$2:B$1005,MATCH($E251,Establishment!$A$2:$A$1005,0))</f>
        <v xml:space="preserve"> </v>
      </c>
      <c r="G251" t="str">
        <f>INDEX(Establishment!C$2:C$1005,MATCH($E251,Establishment!$A$2:$A$1005,0))</f>
        <v xml:space="preserve"> </v>
      </c>
      <c r="M251">
        <f t="shared" si="21"/>
        <v>0</v>
      </c>
      <c r="N251">
        <f t="shared" si="19"/>
        <v>0</v>
      </c>
      <c r="P251" t="e">
        <f>INDEX(Items!B$2:B$1032,MATCH($O251,Items!$A$2:$A$1032,0))</f>
        <v>#N/A</v>
      </c>
      <c r="Q251" t="e">
        <f>INDEX(Items!C$2:C$1032,MATCH($O251,Items!$A$2:$A$1032,0))</f>
        <v>#N/A</v>
      </c>
      <c r="R251" t="e">
        <f>INDEX(Items!D$2:D$1032,MATCH($O251,Items!$A$2:$A$1032,0))</f>
        <v>#N/A</v>
      </c>
    </row>
    <row r="252" spans="1:18" x14ac:dyDescent="0.25">
      <c r="A252">
        <f t="shared" si="17"/>
        <v>1</v>
      </c>
      <c r="B252" t="str">
        <f t="shared" si="18"/>
        <v/>
      </c>
      <c r="C252">
        <f t="shared" si="20"/>
        <v>1</v>
      </c>
      <c r="D252" s="4"/>
      <c r="E252" t="s">
        <v>18</v>
      </c>
      <c r="F252" t="str">
        <f>INDEX(Establishment!B$2:B$1005,MATCH($E252,Establishment!$A$2:$A$1005,0))</f>
        <v xml:space="preserve"> </v>
      </c>
      <c r="G252" t="str">
        <f>INDEX(Establishment!C$2:C$1005,MATCH($E252,Establishment!$A$2:$A$1005,0))</f>
        <v xml:space="preserve"> </v>
      </c>
      <c r="M252">
        <f t="shared" si="21"/>
        <v>0</v>
      </c>
      <c r="N252">
        <f t="shared" si="19"/>
        <v>0</v>
      </c>
      <c r="P252" t="e">
        <f>INDEX(Items!B$2:B$1032,MATCH($O252,Items!$A$2:$A$1032,0))</f>
        <v>#N/A</v>
      </c>
      <c r="Q252" t="e">
        <f>INDEX(Items!C$2:C$1032,MATCH($O252,Items!$A$2:$A$1032,0))</f>
        <v>#N/A</v>
      </c>
      <c r="R252" t="e">
        <f>INDEX(Items!D$2:D$1032,MATCH($O252,Items!$A$2:$A$1032,0))</f>
        <v>#N/A</v>
      </c>
    </row>
    <row r="253" spans="1:18" x14ac:dyDescent="0.25">
      <c r="A253">
        <f t="shared" si="17"/>
        <v>1</v>
      </c>
      <c r="B253" t="str">
        <f t="shared" si="18"/>
        <v/>
      </c>
      <c r="C253">
        <f t="shared" si="20"/>
        <v>1</v>
      </c>
      <c r="D253" s="4"/>
      <c r="E253" t="s">
        <v>18</v>
      </c>
      <c r="F253" t="str">
        <f>INDEX(Establishment!B$2:B$1005,MATCH($E253,Establishment!$A$2:$A$1005,0))</f>
        <v xml:space="preserve"> </v>
      </c>
      <c r="G253" t="str">
        <f>INDEX(Establishment!C$2:C$1005,MATCH($E253,Establishment!$A$2:$A$1005,0))</f>
        <v xml:space="preserve"> </v>
      </c>
      <c r="M253">
        <f t="shared" si="21"/>
        <v>0</v>
      </c>
      <c r="N253">
        <f t="shared" si="19"/>
        <v>0</v>
      </c>
      <c r="P253" t="e">
        <f>INDEX(Items!B$2:B$1032,MATCH($O253,Items!$A$2:$A$1032,0))</f>
        <v>#N/A</v>
      </c>
      <c r="Q253" t="e">
        <f>INDEX(Items!C$2:C$1032,MATCH($O253,Items!$A$2:$A$1032,0))</f>
        <v>#N/A</v>
      </c>
      <c r="R253" t="e">
        <f>INDEX(Items!D$2:D$1032,MATCH($O253,Items!$A$2:$A$1032,0))</f>
        <v>#N/A</v>
      </c>
    </row>
    <row r="254" spans="1:18" x14ac:dyDescent="0.25">
      <c r="A254">
        <f t="shared" si="17"/>
        <v>1</v>
      </c>
      <c r="B254" t="str">
        <f t="shared" si="18"/>
        <v/>
      </c>
      <c r="C254">
        <f t="shared" si="20"/>
        <v>1</v>
      </c>
      <c r="D254" s="4"/>
      <c r="E254" t="s">
        <v>18</v>
      </c>
      <c r="F254" t="str">
        <f>INDEX(Establishment!B$2:B$1005,MATCH($E254,Establishment!$A$2:$A$1005,0))</f>
        <v xml:space="preserve"> </v>
      </c>
      <c r="G254" t="str">
        <f>INDEX(Establishment!C$2:C$1005,MATCH($E254,Establishment!$A$2:$A$1005,0))</f>
        <v xml:space="preserve"> </v>
      </c>
      <c r="M254">
        <f t="shared" si="21"/>
        <v>0</v>
      </c>
      <c r="N254">
        <f t="shared" si="19"/>
        <v>0</v>
      </c>
      <c r="P254" t="e">
        <f>INDEX(Items!B$2:B$1032,MATCH($O254,Items!$A$2:$A$1032,0))</f>
        <v>#N/A</v>
      </c>
      <c r="Q254" t="e">
        <f>INDEX(Items!C$2:C$1032,MATCH($O254,Items!$A$2:$A$1032,0))</f>
        <v>#N/A</v>
      </c>
      <c r="R254" t="e">
        <f>INDEX(Items!D$2:D$1032,MATCH($O254,Items!$A$2:$A$1032,0))</f>
        <v>#N/A</v>
      </c>
    </row>
    <row r="255" spans="1:18" x14ac:dyDescent="0.25">
      <c r="A255">
        <f t="shared" si="17"/>
        <v>1</v>
      </c>
      <c r="B255" t="str">
        <f t="shared" si="18"/>
        <v/>
      </c>
      <c r="C255">
        <f t="shared" si="20"/>
        <v>1</v>
      </c>
      <c r="D255" s="4"/>
      <c r="E255" t="s">
        <v>18</v>
      </c>
      <c r="F255" t="str">
        <f>INDEX(Establishment!B$2:B$1005,MATCH($E255,Establishment!$A$2:$A$1005,0))</f>
        <v xml:space="preserve"> </v>
      </c>
      <c r="G255" t="str">
        <f>INDEX(Establishment!C$2:C$1005,MATCH($E255,Establishment!$A$2:$A$1005,0))</f>
        <v xml:space="preserve"> </v>
      </c>
      <c r="M255">
        <f t="shared" si="21"/>
        <v>0</v>
      </c>
      <c r="N255">
        <f t="shared" si="19"/>
        <v>0</v>
      </c>
      <c r="P255" t="e">
        <f>INDEX(Items!B$2:B$1032,MATCH($O255,Items!$A$2:$A$1032,0))</f>
        <v>#N/A</v>
      </c>
      <c r="Q255" t="e">
        <f>INDEX(Items!C$2:C$1032,MATCH($O255,Items!$A$2:$A$1032,0))</f>
        <v>#N/A</v>
      </c>
      <c r="R255" t="e">
        <f>INDEX(Items!D$2:D$1032,MATCH($O255,Items!$A$2:$A$1032,0))</f>
        <v>#N/A</v>
      </c>
    </row>
    <row r="256" spans="1:18" x14ac:dyDescent="0.25">
      <c r="A256">
        <f t="shared" si="17"/>
        <v>1</v>
      </c>
      <c r="B256" t="str">
        <f t="shared" si="18"/>
        <v/>
      </c>
      <c r="C256">
        <f t="shared" si="20"/>
        <v>1</v>
      </c>
      <c r="D256" s="4"/>
      <c r="E256" t="s">
        <v>18</v>
      </c>
      <c r="F256" t="str">
        <f>INDEX(Establishment!B$2:B$1005,MATCH($E256,Establishment!$A$2:$A$1005,0))</f>
        <v xml:space="preserve"> </v>
      </c>
      <c r="G256" t="str">
        <f>INDEX(Establishment!C$2:C$1005,MATCH($E256,Establishment!$A$2:$A$1005,0))</f>
        <v xml:space="preserve"> </v>
      </c>
      <c r="M256">
        <f t="shared" si="21"/>
        <v>0</v>
      </c>
      <c r="N256">
        <f t="shared" si="19"/>
        <v>0</v>
      </c>
      <c r="P256" t="e">
        <f>INDEX(Items!B$2:B$1032,MATCH($O256,Items!$A$2:$A$1032,0))</f>
        <v>#N/A</v>
      </c>
      <c r="Q256" t="e">
        <f>INDEX(Items!C$2:C$1032,MATCH($O256,Items!$A$2:$A$1032,0))</f>
        <v>#N/A</v>
      </c>
      <c r="R256" t="e">
        <f>INDEX(Items!D$2:D$1032,MATCH($O256,Items!$A$2:$A$1032,0))</f>
        <v>#N/A</v>
      </c>
    </row>
    <row r="257" spans="1:18" x14ac:dyDescent="0.25">
      <c r="A257">
        <f t="shared" si="17"/>
        <v>1</v>
      </c>
      <c r="B257" t="str">
        <f t="shared" si="18"/>
        <v/>
      </c>
      <c r="C257">
        <f t="shared" si="20"/>
        <v>1</v>
      </c>
      <c r="D257" s="4"/>
      <c r="E257" t="s">
        <v>18</v>
      </c>
      <c r="F257" t="str">
        <f>INDEX(Establishment!B$2:B$1005,MATCH($E257,Establishment!$A$2:$A$1005,0))</f>
        <v xml:space="preserve"> </v>
      </c>
      <c r="G257" t="str">
        <f>INDEX(Establishment!C$2:C$1005,MATCH($E257,Establishment!$A$2:$A$1005,0))</f>
        <v xml:space="preserve"> </v>
      </c>
      <c r="M257">
        <f t="shared" si="21"/>
        <v>0</v>
      </c>
      <c r="N257">
        <f t="shared" si="19"/>
        <v>0</v>
      </c>
      <c r="P257" t="e">
        <f>INDEX(Items!B$2:B$1032,MATCH($O257,Items!$A$2:$A$1032,0))</f>
        <v>#N/A</v>
      </c>
      <c r="Q257" t="e">
        <f>INDEX(Items!C$2:C$1032,MATCH($O257,Items!$A$2:$A$1032,0))</f>
        <v>#N/A</v>
      </c>
      <c r="R257" t="e">
        <f>INDEX(Items!D$2:D$1032,MATCH($O257,Items!$A$2:$A$1032,0))</f>
        <v>#N/A</v>
      </c>
    </row>
    <row r="258" spans="1:18" x14ac:dyDescent="0.25">
      <c r="A258">
        <f t="shared" ref="A258:A321" si="22">IF(OR(D258&lt;&gt;D257,D258=""),1,IF(NOT(AND(E258=E257,F258=F257,G258=G257)),A257+1,IF(OR(H258="",AND(H258&lt;&gt;"",H258&lt;&gt;H257,H257&lt;&gt;"")),A257,A257+1)))</f>
        <v>1</v>
      </c>
      <c r="B258" t="str">
        <f t="shared" ref="B258:B321" si="23">IF(D258&lt;&gt;"",TEXT(D258,"YYYYMMDD")&amp;CHAR(64+A258),"")</f>
        <v/>
      </c>
      <c r="C258">
        <f t="shared" si="20"/>
        <v>1</v>
      </c>
      <c r="D258" s="4"/>
      <c r="E258" t="s">
        <v>18</v>
      </c>
      <c r="F258" t="str">
        <f>INDEX(Establishment!B$2:B$1005,MATCH($E258,Establishment!$A$2:$A$1005,0))</f>
        <v xml:space="preserve"> </v>
      </c>
      <c r="G258" t="str">
        <f>INDEX(Establishment!C$2:C$1005,MATCH($E258,Establishment!$A$2:$A$1005,0))</f>
        <v xml:space="preserve"> </v>
      </c>
      <c r="M258">
        <f t="shared" si="21"/>
        <v>0</v>
      </c>
      <c r="N258">
        <f t="shared" si="19"/>
        <v>0</v>
      </c>
      <c r="P258" t="e">
        <f>INDEX(Items!B$2:B$1032,MATCH($O258,Items!$A$2:$A$1032,0))</f>
        <v>#N/A</v>
      </c>
      <c r="Q258" t="e">
        <f>INDEX(Items!C$2:C$1032,MATCH($O258,Items!$A$2:$A$1032,0))</f>
        <v>#N/A</v>
      </c>
      <c r="R258" t="e">
        <f>INDEX(Items!D$2:D$1032,MATCH($O258,Items!$A$2:$A$1032,0))</f>
        <v>#N/A</v>
      </c>
    </row>
    <row r="259" spans="1:18" x14ac:dyDescent="0.25">
      <c r="A259">
        <f t="shared" si="22"/>
        <v>1</v>
      </c>
      <c r="B259" t="str">
        <f t="shared" si="23"/>
        <v/>
      </c>
      <c r="C259">
        <f t="shared" si="20"/>
        <v>1</v>
      </c>
      <c r="D259" s="4"/>
      <c r="E259" t="s">
        <v>18</v>
      </c>
      <c r="F259" t="str">
        <f>INDEX(Establishment!B$2:B$1005,MATCH($E259,Establishment!$A$2:$A$1005,0))</f>
        <v xml:space="preserve"> </v>
      </c>
      <c r="G259" t="str">
        <f>INDEX(Establishment!C$2:C$1005,MATCH($E259,Establishment!$A$2:$A$1005,0))</f>
        <v xml:space="preserve"> </v>
      </c>
      <c r="M259">
        <f t="shared" si="21"/>
        <v>0</v>
      </c>
      <c r="N259">
        <f t="shared" ref="N259:N322" si="24">IF(B259=B258,N258+M259,M259)</f>
        <v>0</v>
      </c>
      <c r="P259" t="e">
        <f>INDEX(Items!B$2:B$1032,MATCH($O259,Items!$A$2:$A$1032,0))</f>
        <v>#N/A</v>
      </c>
      <c r="Q259" t="e">
        <f>INDEX(Items!C$2:C$1032,MATCH($O259,Items!$A$2:$A$1032,0))</f>
        <v>#N/A</v>
      </c>
      <c r="R259" t="e">
        <f>INDEX(Items!D$2:D$1032,MATCH($O259,Items!$A$2:$A$1032,0))</f>
        <v>#N/A</v>
      </c>
    </row>
    <row r="260" spans="1:18" x14ac:dyDescent="0.25">
      <c r="A260">
        <f t="shared" si="22"/>
        <v>1</v>
      </c>
      <c r="B260" t="str">
        <f t="shared" si="23"/>
        <v/>
      </c>
      <c r="C260">
        <f t="shared" si="20"/>
        <v>1</v>
      </c>
      <c r="D260" s="4"/>
      <c r="E260" t="s">
        <v>18</v>
      </c>
      <c r="F260" t="str">
        <f>INDEX(Establishment!B$2:B$1005,MATCH($E260,Establishment!$A$2:$A$1005,0))</f>
        <v xml:space="preserve"> </v>
      </c>
      <c r="G260" t="str">
        <f>INDEX(Establishment!C$2:C$1005,MATCH($E260,Establishment!$A$2:$A$1005,0))</f>
        <v xml:space="preserve"> </v>
      </c>
      <c r="M260">
        <f t="shared" si="21"/>
        <v>0</v>
      </c>
      <c r="N260">
        <f t="shared" si="24"/>
        <v>0</v>
      </c>
      <c r="P260" t="e">
        <f>INDEX(Items!B$2:B$1032,MATCH($O260,Items!$A$2:$A$1032,0))</f>
        <v>#N/A</v>
      </c>
      <c r="Q260" t="e">
        <f>INDEX(Items!C$2:C$1032,MATCH($O260,Items!$A$2:$A$1032,0))</f>
        <v>#N/A</v>
      </c>
      <c r="R260" t="e">
        <f>INDEX(Items!D$2:D$1032,MATCH($O260,Items!$A$2:$A$1032,0))</f>
        <v>#N/A</v>
      </c>
    </row>
    <row r="261" spans="1:18" x14ac:dyDescent="0.25">
      <c r="A261">
        <f t="shared" si="22"/>
        <v>1</v>
      </c>
      <c r="B261" t="str">
        <f t="shared" si="23"/>
        <v/>
      </c>
      <c r="C261">
        <f t="shared" si="20"/>
        <v>1</v>
      </c>
      <c r="D261" s="4"/>
      <c r="E261" t="s">
        <v>18</v>
      </c>
      <c r="F261" t="str">
        <f>INDEX(Establishment!B$2:B$1005,MATCH($E261,Establishment!$A$2:$A$1005,0))</f>
        <v xml:space="preserve"> </v>
      </c>
      <c r="G261" t="str">
        <f>INDEX(Establishment!C$2:C$1005,MATCH($E261,Establishment!$A$2:$A$1005,0))</f>
        <v xml:space="preserve"> </v>
      </c>
      <c r="M261">
        <f t="shared" si="21"/>
        <v>0</v>
      </c>
      <c r="N261">
        <f t="shared" si="24"/>
        <v>0</v>
      </c>
      <c r="P261" t="e">
        <f>INDEX(Items!B$2:B$1032,MATCH($O261,Items!$A$2:$A$1032,0))</f>
        <v>#N/A</v>
      </c>
      <c r="Q261" t="e">
        <f>INDEX(Items!C$2:C$1032,MATCH($O261,Items!$A$2:$A$1032,0))</f>
        <v>#N/A</v>
      </c>
      <c r="R261" t="e">
        <f>INDEX(Items!D$2:D$1032,MATCH($O261,Items!$A$2:$A$1032,0))</f>
        <v>#N/A</v>
      </c>
    </row>
    <row r="262" spans="1:18" x14ac:dyDescent="0.25">
      <c r="A262">
        <f t="shared" si="22"/>
        <v>1</v>
      </c>
      <c r="B262" t="str">
        <f t="shared" si="23"/>
        <v/>
      </c>
      <c r="C262">
        <f t="shared" si="20"/>
        <v>1</v>
      </c>
      <c r="D262" s="4"/>
      <c r="E262" t="s">
        <v>18</v>
      </c>
      <c r="F262" t="str">
        <f>INDEX(Establishment!B$2:B$1005,MATCH($E262,Establishment!$A$2:$A$1005,0))</f>
        <v xml:space="preserve"> </v>
      </c>
      <c r="G262" t="str">
        <f>INDEX(Establishment!C$2:C$1005,MATCH($E262,Establishment!$A$2:$A$1005,0))</f>
        <v xml:space="preserve"> </v>
      </c>
      <c r="M262">
        <f t="shared" si="21"/>
        <v>0</v>
      </c>
      <c r="N262">
        <f t="shared" si="24"/>
        <v>0</v>
      </c>
      <c r="P262" t="e">
        <f>INDEX(Items!B$2:B$1032,MATCH($O262,Items!$A$2:$A$1032,0))</f>
        <v>#N/A</v>
      </c>
      <c r="Q262" t="e">
        <f>INDEX(Items!C$2:C$1032,MATCH($O262,Items!$A$2:$A$1032,0))</f>
        <v>#N/A</v>
      </c>
      <c r="R262" t="e">
        <f>INDEX(Items!D$2:D$1032,MATCH($O262,Items!$A$2:$A$1032,0))</f>
        <v>#N/A</v>
      </c>
    </row>
    <row r="263" spans="1:18" x14ac:dyDescent="0.25">
      <c r="A263">
        <f t="shared" si="22"/>
        <v>1</v>
      </c>
      <c r="B263" t="str">
        <f t="shared" si="23"/>
        <v/>
      </c>
      <c r="C263">
        <f t="shared" si="20"/>
        <v>1</v>
      </c>
      <c r="D263" s="4"/>
      <c r="E263" t="s">
        <v>18</v>
      </c>
      <c r="F263" t="str">
        <f>INDEX(Establishment!B$2:B$1005,MATCH($E263,Establishment!$A$2:$A$1005,0))</f>
        <v xml:space="preserve"> </v>
      </c>
      <c r="G263" t="str">
        <f>INDEX(Establishment!C$2:C$1005,MATCH($E263,Establishment!$A$2:$A$1005,0))</f>
        <v xml:space="preserve"> </v>
      </c>
      <c r="M263">
        <f t="shared" si="21"/>
        <v>0</v>
      </c>
      <c r="N263">
        <f t="shared" si="24"/>
        <v>0</v>
      </c>
      <c r="P263" t="e">
        <f>INDEX(Items!B$2:B$1032,MATCH($O263,Items!$A$2:$A$1032,0))</f>
        <v>#N/A</v>
      </c>
      <c r="Q263" t="e">
        <f>INDEX(Items!C$2:C$1032,MATCH($O263,Items!$A$2:$A$1032,0))</f>
        <v>#N/A</v>
      </c>
      <c r="R263" t="e">
        <f>INDEX(Items!D$2:D$1032,MATCH($O263,Items!$A$2:$A$1032,0))</f>
        <v>#N/A</v>
      </c>
    </row>
    <row r="264" spans="1:18" x14ac:dyDescent="0.25">
      <c r="A264">
        <f t="shared" si="22"/>
        <v>1</v>
      </c>
      <c r="B264" t="str">
        <f t="shared" si="23"/>
        <v/>
      </c>
      <c r="C264">
        <f t="shared" si="20"/>
        <v>1</v>
      </c>
      <c r="D264" s="4"/>
      <c r="E264" t="s">
        <v>18</v>
      </c>
      <c r="F264" t="str">
        <f>INDEX(Establishment!B$2:B$1005,MATCH($E264,Establishment!$A$2:$A$1005,0))</f>
        <v xml:space="preserve"> </v>
      </c>
      <c r="G264" t="str">
        <f>INDEX(Establishment!C$2:C$1005,MATCH($E264,Establishment!$A$2:$A$1005,0))</f>
        <v xml:space="preserve"> </v>
      </c>
      <c r="M264">
        <f t="shared" si="21"/>
        <v>0</v>
      </c>
      <c r="N264">
        <f t="shared" si="24"/>
        <v>0</v>
      </c>
      <c r="P264" t="e">
        <f>INDEX(Items!B$2:B$1032,MATCH($O264,Items!$A$2:$A$1032,0))</f>
        <v>#N/A</v>
      </c>
      <c r="Q264" t="e">
        <f>INDEX(Items!C$2:C$1032,MATCH($O264,Items!$A$2:$A$1032,0))</f>
        <v>#N/A</v>
      </c>
      <c r="R264" t="e">
        <f>INDEX(Items!D$2:D$1032,MATCH($O264,Items!$A$2:$A$1032,0))</f>
        <v>#N/A</v>
      </c>
    </row>
    <row r="265" spans="1:18" x14ac:dyDescent="0.25">
      <c r="A265">
        <f t="shared" si="22"/>
        <v>1</v>
      </c>
      <c r="B265" t="str">
        <f t="shared" si="23"/>
        <v/>
      </c>
      <c r="C265">
        <f t="shared" si="20"/>
        <v>1</v>
      </c>
      <c r="D265" s="4"/>
      <c r="E265" t="s">
        <v>18</v>
      </c>
      <c r="F265" t="str">
        <f>INDEX(Establishment!B$2:B$1005,MATCH($E265,Establishment!$A$2:$A$1005,0))</f>
        <v xml:space="preserve"> </v>
      </c>
      <c r="G265" t="str">
        <f>INDEX(Establishment!C$2:C$1005,MATCH($E265,Establishment!$A$2:$A$1005,0))</f>
        <v xml:space="preserve"> </v>
      </c>
      <c r="M265">
        <f t="shared" si="21"/>
        <v>0</v>
      </c>
      <c r="N265">
        <f t="shared" si="24"/>
        <v>0</v>
      </c>
      <c r="P265" t="e">
        <f>INDEX(Items!B$2:B$1032,MATCH($O265,Items!$A$2:$A$1032,0))</f>
        <v>#N/A</v>
      </c>
      <c r="Q265" t="e">
        <f>INDEX(Items!C$2:C$1032,MATCH($O265,Items!$A$2:$A$1032,0))</f>
        <v>#N/A</v>
      </c>
      <c r="R265" t="e">
        <f>INDEX(Items!D$2:D$1032,MATCH($O265,Items!$A$2:$A$1032,0))</f>
        <v>#N/A</v>
      </c>
    </row>
    <row r="266" spans="1:18" x14ac:dyDescent="0.25">
      <c r="A266">
        <f t="shared" si="22"/>
        <v>1</v>
      </c>
      <c r="B266" t="str">
        <f t="shared" si="23"/>
        <v/>
      </c>
      <c r="C266">
        <f t="shared" ref="C266:C329" si="25">IF(OR(B266="",B266&lt;&gt;B265),1,C265+1)</f>
        <v>1</v>
      </c>
      <c r="D266" s="4"/>
      <c r="E266" t="s">
        <v>18</v>
      </c>
      <c r="F266" t="str">
        <f>INDEX(Establishment!B$2:B$1005,MATCH($E266,Establishment!$A$2:$A$1005,0))</f>
        <v xml:space="preserve"> </v>
      </c>
      <c r="G266" t="str">
        <f>INDEX(Establishment!C$2:C$1005,MATCH($E266,Establishment!$A$2:$A$1005,0))</f>
        <v xml:space="preserve"> </v>
      </c>
      <c r="M266">
        <f t="shared" ref="M266:M329" si="26">K266*L266</f>
        <v>0</v>
      </c>
      <c r="N266">
        <f t="shared" si="24"/>
        <v>0</v>
      </c>
      <c r="P266" t="e">
        <f>INDEX(Items!B$2:B$1032,MATCH($O266,Items!$A$2:$A$1032,0))</f>
        <v>#N/A</v>
      </c>
      <c r="Q266" t="e">
        <f>INDEX(Items!C$2:C$1032,MATCH($O266,Items!$A$2:$A$1032,0))</f>
        <v>#N/A</v>
      </c>
      <c r="R266" t="e">
        <f>INDEX(Items!D$2:D$1032,MATCH($O266,Items!$A$2:$A$1032,0))</f>
        <v>#N/A</v>
      </c>
    </row>
    <row r="267" spans="1:18" x14ac:dyDescent="0.25">
      <c r="A267">
        <f t="shared" si="22"/>
        <v>1</v>
      </c>
      <c r="B267" t="str">
        <f t="shared" si="23"/>
        <v/>
      </c>
      <c r="C267">
        <f t="shared" si="25"/>
        <v>1</v>
      </c>
      <c r="D267" s="4"/>
      <c r="E267" t="s">
        <v>18</v>
      </c>
      <c r="F267" t="str">
        <f>INDEX(Establishment!B$2:B$1005,MATCH($E267,Establishment!$A$2:$A$1005,0))</f>
        <v xml:space="preserve"> </v>
      </c>
      <c r="G267" t="str">
        <f>INDEX(Establishment!C$2:C$1005,MATCH($E267,Establishment!$A$2:$A$1005,0))</f>
        <v xml:space="preserve"> </v>
      </c>
      <c r="M267">
        <f t="shared" si="26"/>
        <v>0</v>
      </c>
      <c r="N267">
        <f t="shared" si="24"/>
        <v>0</v>
      </c>
      <c r="P267" t="e">
        <f>INDEX(Items!B$2:B$1032,MATCH($O267,Items!$A$2:$A$1032,0))</f>
        <v>#N/A</v>
      </c>
      <c r="Q267" t="e">
        <f>INDEX(Items!C$2:C$1032,MATCH($O267,Items!$A$2:$A$1032,0))</f>
        <v>#N/A</v>
      </c>
      <c r="R267" t="e">
        <f>INDEX(Items!D$2:D$1032,MATCH($O267,Items!$A$2:$A$1032,0))</f>
        <v>#N/A</v>
      </c>
    </row>
    <row r="268" spans="1:18" x14ac:dyDescent="0.25">
      <c r="A268">
        <f t="shared" si="22"/>
        <v>1</v>
      </c>
      <c r="B268" t="str">
        <f t="shared" si="23"/>
        <v/>
      </c>
      <c r="C268">
        <f t="shared" si="25"/>
        <v>1</v>
      </c>
      <c r="D268" s="4"/>
      <c r="E268" t="s">
        <v>18</v>
      </c>
      <c r="F268" t="str">
        <f>INDEX(Establishment!B$2:B$1005,MATCH($E268,Establishment!$A$2:$A$1005,0))</f>
        <v xml:space="preserve"> </v>
      </c>
      <c r="G268" t="str">
        <f>INDEX(Establishment!C$2:C$1005,MATCH($E268,Establishment!$A$2:$A$1005,0))</f>
        <v xml:space="preserve"> </v>
      </c>
      <c r="M268">
        <f t="shared" si="26"/>
        <v>0</v>
      </c>
      <c r="N268">
        <f t="shared" si="24"/>
        <v>0</v>
      </c>
      <c r="P268" t="e">
        <f>INDEX(Items!B$2:B$1032,MATCH($O268,Items!$A$2:$A$1032,0))</f>
        <v>#N/A</v>
      </c>
      <c r="Q268" t="e">
        <f>INDEX(Items!C$2:C$1032,MATCH($O268,Items!$A$2:$A$1032,0))</f>
        <v>#N/A</v>
      </c>
      <c r="R268" t="e">
        <f>INDEX(Items!D$2:D$1032,MATCH($O268,Items!$A$2:$A$1032,0))</f>
        <v>#N/A</v>
      </c>
    </row>
    <row r="269" spans="1:18" x14ac:dyDescent="0.25">
      <c r="A269">
        <f t="shared" si="22"/>
        <v>1</v>
      </c>
      <c r="B269" t="str">
        <f t="shared" si="23"/>
        <v/>
      </c>
      <c r="C269">
        <f t="shared" si="25"/>
        <v>1</v>
      </c>
      <c r="D269" s="4"/>
      <c r="E269" t="s">
        <v>18</v>
      </c>
      <c r="F269" t="str">
        <f>INDEX(Establishment!B$2:B$1005,MATCH($E269,Establishment!$A$2:$A$1005,0))</f>
        <v xml:space="preserve"> </v>
      </c>
      <c r="G269" t="str">
        <f>INDEX(Establishment!C$2:C$1005,MATCH($E269,Establishment!$A$2:$A$1005,0))</f>
        <v xml:space="preserve"> </v>
      </c>
      <c r="M269">
        <f t="shared" si="26"/>
        <v>0</v>
      </c>
      <c r="N269">
        <f t="shared" si="24"/>
        <v>0</v>
      </c>
      <c r="P269" t="e">
        <f>INDEX(Items!B$2:B$1032,MATCH($O269,Items!$A$2:$A$1032,0))</f>
        <v>#N/A</v>
      </c>
      <c r="Q269" t="e">
        <f>INDEX(Items!C$2:C$1032,MATCH($O269,Items!$A$2:$A$1032,0))</f>
        <v>#N/A</v>
      </c>
      <c r="R269" t="e">
        <f>INDEX(Items!D$2:D$1032,MATCH($O269,Items!$A$2:$A$1032,0))</f>
        <v>#N/A</v>
      </c>
    </row>
    <row r="270" spans="1:18" x14ac:dyDescent="0.25">
      <c r="A270">
        <f t="shared" si="22"/>
        <v>1</v>
      </c>
      <c r="B270" t="str">
        <f t="shared" si="23"/>
        <v/>
      </c>
      <c r="C270">
        <f t="shared" si="25"/>
        <v>1</v>
      </c>
      <c r="D270" s="4"/>
      <c r="E270" t="s">
        <v>18</v>
      </c>
      <c r="F270" t="str">
        <f>INDEX(Establishment!B$2:B$1005,MATCH($E270,Establishment!$A$2:$A$1005,0))</f>
        <v xml:space="preserve"> </v>
      </c>
      <c r="G270" t="str">
        <f>INDEX(Establishment!C$2:C$1005,MATCH($E270,Establishment!$A$2:$A$1005,0))</f>
        <v xml:space="preserve"> </v>
      </c>
      <c r="M270">
        <f t="shared" si="26"/>
        <v>0</v>
      </c>
      <c r="N270">
        <f t="shared" si="24"/>
        <v>0</v>
      </c>
      <c r="P270" t="e">
        <f>INDEX(Items!B$2:B$1032,MATCH($O270,Items!$A$2:$A$1032,0))</f>
        <v>#N/A</v>
      </c>
      <c r="Q270" t="e">
        <f>INDEX(Items!C$2:C$1032,MATCH($O270,Items!$A$2:$A$1032,0))</f>
        <v>#N/A</v>
      </c>
      <c r="R270" t="e">
        <f>INDEX(Items!D$2:D$1032,MATCH($O270,Items!$A$2:$A$1032,0))</f>
        <v>#N/A</v>
      </c>
    </row>
    <row r="271" spans="1:18" x14ac:dyDescent="0.25">
      <c r="A271">
        <f t="shared" si="22"/>
        <v>1</v>
      </c>
      <c r="B271" t="str">
        <f t="shared" si="23"/>
        <v/>
      </c>
      <c r="C271">
        <f t="shared" si="25"/>
        <v>1</v>
      </c>
      <c r="D271" s="4"/>
      <c r="E271" t="s">
        <v>18</v>
      </c>
      <c r="F271" t="str">
        <f>INDEX(Establishment!B$2:B$1005,MATCH($E271,Establishment!$A$2:$A$1005,0))</f>
        <v xml:space="preserve"> </v>
      </c>
      <c r="G271" t="str">
        <f>INDEX(Establishment!C$2:C$1005,MATCH($E271,Establishment!$A$2:$A$1005,0))</f>
        <v xml:space="preserve"> </v>
      </c>
      <c r="M271">
        <f t="shared" si="26"/>
        <v>0</v>
      </c>
      <c r="N271">
        <f t="shared" si="24"/>
        <v>0</v>
      </c>
      <c r="P271" t="e">
        <f>INDEX(Items!B$2:B$1032,MATCH($O271,Items!$A$2:$A$1032,0))</f>
        <v>#N/A</v>
      </c>
      <c r="Q271" t="e">
        <f>INDEX(Items!C$2:C$1032,MATCH($O271,Items!$A$2:$A$1032,0))</f>
        <v>#N/A</v>
      </c>
      <c r="R271" t="e">
        <f>INDEX(Items!D$2:D$1032,MATCH($O271,Items!$A$2:$A$1032,0))</f>
        <v>#N/A</v>
      </c>
    </row>
    <row r="272" spans="1:18" x14ac:dyDescent="0.25">
      <c r="A272">
        <f t="shared" si="22"/>
        <v>1</v>
      </c>
      <c r="B272" t="str">
        <f t="shared" si="23"/>
        <v/>
      </c>
      <c r="C272">
        <f t="shared" si="25"/>
        <v>1</v>
      </c>
      <c r="D272" s="4"/>
      <c r="E272" t="s">
        <v>18</v>
      </c>
      <c r="F272" t="str">
        <f>INDEX(Establishment!B$2:B$1005,MATCH($E272,Establishment!$A$2:$A$1005,0))</f>
        <v xml:space="preserve"> </v>
      </c>
      <c r="G272" t="str">
        <f>INDEX(Establishment!C$2:C$1005,MATCH($E272,Establishment!$A$2:$A$1005,0))</f>
        <v xml:space="preserve"> </v>
      </c>
      <c r="M272">
        <f t="shared" si="26"/>
        <v>0</v>
      </c>
      <c r="N272">
        <f t="shared" si="24"/>
        <v>0</v>
      </c>
      <c r="P272" t="e">
        <f>INDEX(Items!B$2:B$1032,MATCH($O272,Items!$A$2:$A$1032,0))</f>
        <v>#N/A</v>
      </c>
      <c r="Q272" t="e">
        <f>INDEX(Items!C$2:C$1032,MATCH($O272,Items!$A$2:$A$1032,0))</f>
        <v>#N/A</v>
      </c>
      <c r="R272" t="e">
        <f>INDEX(Items!D$2:D$1032,MATCH($O272,Items!$A$2:$A$1032,0))</f>
        <v>#N/A</v>
      </c>
    </row>
    <row r="273" spans="1:18" x14ac:dyDescent="0.25">
      <c r="A273">
        <f t="shared" si="22"/>
        <v>1</v>
      </c>
      <c r="B273" t="str">
        <f t="shared" si="23"/>
        <v/>
      </c>
      <c r="C273">
        <f t="shared" si="25"/>
        <v>1</v>
      </c>
      <c r="D273" s="4"/>
      <c r="E273" t="s">
        <v>18</v>
      </c>
      <c r="F273" t="str">
        <f>INDEX(Establishment!B$2:B$1005,MATCH($E273,Establishment!$A$2:$A$1005,0))</f>
        <v xml:space="preserve"> </v>
      </c>
      <c r="G273" t="str">
        <f>INDEX(Establishment!C$2:C$1005,MATCH($E273,Establishment!$A$2:$A$1005,0))</f>
        <v xml:space="preserve"> </v>
      </c>
      <c r="M273">
        <f t="shared" si="26"/>
        <v>0</v>
      </c>
      <c r="N273">
        <f t="shared" si="24"/>
        <v>0</v>
      </c>
      <c r="P273" t="e">
        <f>INDEX(Items!B$2:B$1032,MATCH($O273,Items!$A$2:$A$1032,0))</f>
        <v>#N/A</v>
      </c>
      <c r="Q273" t="e">
        <f>INDEX(Items!C$2:C$1032,MATCH($O273,Items!$A$2:$A$1032,0))</f>
        <v>#N/A</v>
      </c>
      <c r="R273" t="e">
        <f>INDEX(Items!D$2:D$1032,MATCH($O273,Items!$A$2:$A$1032,0))</f>
        <v>#N/A</v>
      </c>
    </row>
    <row r="274" spans="1:18" x14ac:dyDescent="0.25">
      <c r="A274">
        <f t="shared" si="22"/>
        <v>1</v>
      </c>
      <c r="B274" t="str">
        <f t="shared" si="23"/>
        <v/>
      </c>
      <c r="C274">
        <f t="shared" si="25"/>
        <v>1</v>
      </c>
      <c r="D274" s="4"/>
      <c r="E274" t="s">
        <v>18</v>
      </c>
      <c r="F274" t="str">
        <f>INDEX(Establishment!B$2:B$1005,MATCH($E274,Establishment!$A$2:$A$1005,0))</f>
        <v xml:space="preserve"> </v>
      </c>
      <c r="G274" t="str">
        <f>INDEX(Establishment!C$2:C$1005,MATCH($E274,Establishment!$A$2:$A$1005,0))</f>
        <v xml:space="preserve"> </v>
      </c>
      <c r="M274">
        <f t="shared" si="26"/>
        <v>0</v>
      </c>
      <c r="N274">
        <f t="shared" si="24"/>
        <v>0</v>
      </c>
      <c r="P274" t="e">
        <f>INDEX(Items!B$2:B$1032,MATCH($O274,Items!$A$2:$A$1032,0))</f>
        <v>#N/A</v>
      </c>
      <c r="Q274" t="e">
        <f>INDEX(Items!C$2:C$1032,MATCH($O274,Items!$A$2:$A$1032,0))</f>
        <v>#N/A</v>
      </c>
      <c r="R274" t="e">
        <f>INDEX(Items!D$2:D$1032,MATCH($O274,Items!$A$2:$A$1032,0))</f>
        <v>#N/A</v>
      </c>
    </row>
    <row r="275" spans="1:18" x14ac:dyDescent="0.25">
      <c r="A275">
        <f t="shared" si="22"/>
        <v>1</v>
      </c>
      <c r="B275" t="str">
        <f t="shared" si="23"/>
        <v/>
      </c>
      <c r="C275">
        <f t="shared" si="25"/>
        <v>1</v>
      </c>
      <c r="D275" s="4"/>
      <c r="E275" t="s">
        <v>18</v>
      </c>
      <c r="F275" t="str">
        <f>INDEX(Establishment!B$2:B$1005,MATCH($E275,Establishment!$A$2:$A$1005,0))</f>
        <v xml:space="preserve"> </v>
      </c>
      <c r="G275" t="str">
        <f>INDEX(Establishment!C$2:C$1005,MATCH($E275,Establishment!$A$2:$A$1005,0))</f>
        <v xml:space="preserve"> </v>
      </c>
      <c r="M275">
        <f t="shared" si="26"/>
        <v>0</v>
      </c>
      <c r="N275">
        <f t="shared" si="24"/>
        <v>0</v>
      </c>
      <c r="P275" t="e">
        <f>INDEX(Items!B$2:B$1032,MATCH($O275,Items!$A$2:$A$1032,0))</f>
        <v>#N/A</v>
      </c>
      <c r="Q275" t="e">
        <f>INDEX(Items!C$2:C$1032,MATCH($O275,Items!$A$2:$A$1032,0))</f>
        <v>#N/A</v>
      </c>
      <c r="R275" t="e">
        <f>INDEX(Items!D$2:D$1032,MATCH($O275,Items!$A$2:$A$1032,0))</f>
        <v>#N/A</v>
      </c>
    </row>
    <row r="276" spans="1:18" x14ac:dyDescent="0.25">
      <c r="A276">
        <f t="shared" si="22"/>
        <v>1</v>
      </c>
      <c r="B276" t="str">
        <f t="shared" si="23"/>
        <v/>
      </c>
      <c r="C276">
        <f t="shared" si="25"/>
        <v>1</v>
      </c>
      <c r="D276" s="4"/>
      <c r="E276" t="s">
        <v>18</v>
      </c>
      <c r="F276" t="str">
        <f>INDEX(Establishment!B$2:B$1005,MATCH($E276,Establishment!$A$2:$A$1005,0))</f>
        <v xml:space="preserve"> </v>
      </c>
      <c r="G276" t="str">
        <f>INDEX(Establishment!C$2:C$1005,MATCH($E276,Establishment!$A$2:$A$1005,0))</f>
        <v xml:space="preserve"> </v>
      </c>
      <c r="M276">
        <f t="shared" si="26"/>
        <v>0</v>
      </c>
      <c r="N276">
        <f t="shared" si="24"/>
        <v>0</v>
      </c>
      <c r="P276" t="e">
        <f>INDEX(Items!B$2:B$1032,MATCH($O276,Items!$A$2:$A$1032,0))</f>
        <v>#N/A</v>
      </c>
      <c r="Q276" t="e">
        <f>INDEX(Items!C$2:C$1032,MATCH($O276,Items!$A$2:$A$1032,0))</f>
        <v>#N/A</v>
      </c>
      <c r="R276" t="e">
        <f>INDEX(Items!D$2:D$1032,MATCH($O276,Items!$A$2:$A$1032,0))</f>
        <v>#N/A</v>
      </c>
    </row>
    <row r="277" spans="1:18" x14ac:dyDescent="0.25">
      <c r="A277">
        <f t="shared" si="22"/>
        <v>1</v>
      </c>
      <c r="B277" t="str">
        <f t="shared" si="23"/>
        <v/>
      </c>
      <c r="C277">
        <f t="shared" si="25"/>
        <v>1</v>
      </c>
      <c r="D277" s="4"/>
      <c r="E277" t="s">
        <v>18</v>
      </c>
      <c r="F277" t="str">
        <f>INDEX(Establishment!B$2:B$1005,MATCH($E277,Establishment!$A$2:$A$1005,0))</f>
        <v xml:space="preserve"> </v>
      </c>
      <c r="G277" t="str">
        <f>INDEX(Establishment!C$2:C$1005,MATCH($E277,Establishment!$A$2:$A$1005,0))</f>
        <v xml:space="preserve"> </v>
      </c>
      <c r="M277">
        <f t="shared" si="26"/>
        <v>0</v>
      </c>
      <c r="N277">
        <f t="shared" si="24"/>
        <v>0</v>
      </c>
      <c r="P277" t="e">
        <f>INDEX(Items!B$2:B$1032,MATCH($O277,Items!$A$2:$A$1032,0))</f>
        <v>#N/A</v>
      </c>
      <c r="Q277" t="e">
        <f>INDEX(Items!C$2:C$1032,MATCH($O277,Items!$A$2:$A$1032,0))</f>
        <v>#N/A</v>
      </c>
      <c r="R277" t="e">
        <f>INDEX(Items!D$2:D$1032,MATCH($O277,Items!$A$2:$A$1032,0))</f>
        <v>#N/A</v>
      </c>
    </row>
    <row r="278" spans="1:18" x14ac:dyDescent="0.25">
      <c r="A278">
        <f t="shared" si="22"/>
        <v>1</v>
      </c>
      <c r="B278" t="str">
        <f t="shared" si="23"/>
        <v/>
      </c>
      <c r="C278">
        <f t="shared" si="25"/>
        <v>1</v>
      </c>
      <c r="D278" s="4"/>
      <c r="E278" t="s">
        <v>18</v>
      </c>
      <c r="F278" t="str">
        <f>INDEX(Establishment!B$2:B$1005,MATCH($E278,Establishment!$A$2:$A$1005,0))</f>
        <v xml:space="preserve"> </v>
      </c>
      <c r="G278" t="str">
        <f>INDEX(Establishment!C$2:C$1005,MATCH($E278,Establishment!$A$2:$A$1005,0))</f>
        <v xml:space="preserve"> </v>
      </c>
      <c r="M278">
        <f t="shared" si="26"/>
        <v>0</v>
      </c>
      <c r="N278">
        <f t="shared" si="24"/>
        <v>0</v>
      </c>
      <c r="P278" t="e">
        <f>INDEX(Items!B$2:B$1032,MATCH($O278,Items!$A$2:$A$1032,0))</f>
        <v>#N/A</v>
      </c>
      <c r="Q278" t="e">
        <f>INDEX(Items!C$2:C$1032,MATCH($O278,Items!$A$2:$A$1032,0))</f>
        <v>#N/A</v>
      </c>
      <c r="R278" t="e">
        <f>INDEX(Items!D$2:D$1032,MATCH($O278,Items!$A$2:$A$1032,0))</f>
        <v>#N/A</v>
      </c>
    </row>
    <row r="279" spans="1:18" x14ac:dyDescent="0.25">
      <c r="A279">
        <f t="shared" si="22"/>
        <v>1</v>
      </c>
      <c r="B279" t="str">
        <f t="shared" si="23"/>
        <v/>
      </c>
      <c r="C279">
        <f t="shared" si="25"/>
        <v>1</v>
      </c>
      <c r="D279" s="4"/>
      <c r="E279" t="s">
        <v>18</v>
      </c>
      <c r="F279" t="str">
        <f>INDEX(Establishment!B$2:B$1005,MATCH($E279,Establishment!$A$2:$A$1005,0))</f>
        <v xml:space="preserve"> </v>
      </c>
      <c r="G279" t="str">
        <f>INDEX(Establishment!C$2:C$1005,MATCH($E279,Establishment!$A$2:$A$1005,0))</f>
        <v xml:space="preserve"> </v>
      </c>
      <c r="M279">
        <f t="shared" si="26"/>
        <v>0</v>
      </c>
      <c r="N279">
        <f t="shared" si="24"/>
        <v>0</v>
      </c>
      <c r="P279" t="e">
        <f>INDEX(Items!B$2:B$1032,MATCH($O279,Items!$A$2:$A$1032,0))</f>
        <v>#N/A</v>
      </c>
      <c r="Q279" t="e">
        <f>INDEX(Items!C$2:C$1032,MATCH($O279,Items!$A$2:$A$1032,0))</f>
        <v>#N/A</v>
      </c>
      <c r="R279" t="e">
        <f>INDEX(Items!D$2:D$1032,MATCH($O279,Items!$A$2:$A$1032,0))</f>
        <v>#N/A</v>
      </c>
    </row>
    <row r="280" spans="1:18" x14ac:dyDescent="0.25">
      <c r="A280">
        <f t="shared" si="22"/>
        <v>1</v>
      </c>
      <c r="B280" t="str">
        <f t="shared" si="23"/>
        <v/>
      </c>
      <c r="C280">
        <f t="shared" si="25"/>
        <v>1</v>
      </c>
      <c r="D280" s="4"/>
      <c r="E280" t="s">
        <v>18</v>
      </c>
      <c r="F280" t="str">
        <f>INDEX(Establishment!B$2:B$1005,MATCH($E280,Establishment!$A$2:$A$1005,0))</f>
        <v xml:space="preserve"> </v>
      </c>
      <c r="G280" t="str">
        <f>INDEX(Establishment!C$2:C$1005,MATCH($E280,Establishment!$A$2:$A$1005,0))</f>
        <v xml:space="preserve"> </v>
      </c>
      <c r="M280">
        <f t="shared" si="26"/>
        <v>0</v>
      </c>
      <c r="N280">
        <f t="shared" si="24"/>
        <v>0</v>
      </c>
      <c r="P280" t="e">
        <f>INDEX(Items!B$2:B$1032,MATCH($O280,Items!$A$2:$A$1032,0))</f>
        <v>#N/A</v>
      </c>
      <c r="Q280" t="e">
        <f>INDEX(Items!C$2:C$1032,MATCH($O280,Items!$A$2:$A$1032,0))</f>
        <v>#N/A</v>
      </c>
      <c r="R280" t="e">
        <f>INDEX(Items!D$2:D$1032,MATCH($O280,Items!$A$2:$A$1032,0))</f>
        <v>#N/A</v>
      </c>
    </row>
    <row r="281" spans="1:18" x14ac:dyDescent="0.25">
      <c r="A281">
        <f t="shared" si="22"/>
        <v>1</v>
      </c>
      <c r="B281" t="str">
        <f t="shared" si="23"/>
        <v/>
      </c>
      <c r="C281">
        <f t="shared" si="25"/>
        <v>1</v>
      </c>
      <c r="D281" s="4"/>
      <c r="E281" t="s">
        <v>18</v>
      </c>
      <c r="F281" t="str">
        <f>INDEX(Establishment!B$2:B$1005,MATCH($E281,Establishment!$A$2:$A$1005,0))</f>
        <v xml:space="preserve"> </v>
      </c>
      <c r="G281" t="str">
        <f>INDEX(Establishment!C$2:C$1005,MATCH($E281,Establishment!$A$2:$A$1005,0))</f>
        <v xml:space="preserve"> </v>
      </c>
      <c r="M281">
        <f t="shared" si="26"/>
        <v>0</v>
      </c>
      <c r="N281">
        <f t="shared" si="24"/>
        <v>0</v>
      </c>
      <c r="P281" t="e">
        <f>INDEX(Items!B$2:B$1032,MATCH($O281,Items!$A$2:$A$1032,0))</f>
        <v>#N/A</v>
      </c>
      <c r="Q281" t="e">
        <f>INDEX(Items!C$2:C$1032,MATCH($O281,Items!$A$2:$A$1032,0))</f>
        <v>#N/A</v>
      </c>
      <c r="R281" t="e">
        <f>INDEX(Items!D$2:D$1032,MATCH($O281,Items!$A$2:$A$1032,0))</f>
        <v>#N/A</v>
      </c>
    </row>
    <row r="282" spans="1:18" x14ac:dyDescent="0.25">
      <c r="A282">
        <f t="shared" si="22"/>
        <v>1</v>
      </c>
      <c r="B282" t="str">
        <f t="shared" si="23"/>
        <v/>
      </c>
      <c r="C282">
        <f t="shared" si="25"/>
        <v>1</v>
      </c>
      <c r="D282" s="4"/>
      <c r="E282" t="s">
        <v>18</v>
      </c>
      <c r="F282" t="str">
        <f>INDEX(Establishment!B$2:B$1005,MATCH($E282,Establishment!$A$2:$A$1005,0))</f>
        <v xml:space="preserve"> </v>
      </c>
      <c r="G282" t="str">
        <f>INDEX(Establishment!C$2:C$1005,MATCH($E282,Establishment!$A$2:$A$1005,0))</f>
        <v xml:space="preserve"> </v>
      </c>
      <c r="M282">
        <f t="shared" si="26"/>
        <v>0</v>
      </c>
      <c r="N282">
        <f t="shared" si="24"/>
        <v>0</v>
      </c>
      <c r="P282" t="e">
        <f>INDEX(Items!B$2:B$1032,MATCH($O282,Items!$A$2:$A$1032,0))</f>
        <v>#N/A</v>
      </c>
      <c r="Q282" t="e">
        <f>INDEX(Items!C$2:C$1032,MATCH($O282,Items!$A$2:$A$1032,0))</f>
        <v>#N/A</v>
      </c>
      <c r="R282" t="e">
        <f>INDEX(Items!D$2:D$1032,MATCH($O282,Items!$A$2:$A$1032,0))</f>
        <v>#N/A</v>
      </c>
    </row>
    <row r="283" spans="1:18" x14ac:dyDescent="0.25">
      <c r="A283">
        <f t="shared" si="22"/>
        <v>1</v>
      </c>
      <c r="B283" t="str">
        <f t="shared" si="23"/>
        <v/>
      </c>
      <c r="C283">
        <f t="shared" si="25"/>
        <v>1</v>
      </c>
      <c r="D283" s="4"/>
      <c r="E283" t="s">
        <v>18</v>
      </c>
      <c r="F283" t="str">
        <f>INDEX(Establishment!B$2:B$1005,MATCH($E283,Establishment!$A$2:$A$1005,0))</f>
        <v xml:space="preserve"> </v>
      </c>
      <c r="G283" t="str">
        <f>INDEX(Establishment!C$2:C$1005,MATCH($E283,Establishment!$A$2:$A$1005,0))</f>
        <v xml:space="preserve"> </v>
      </c>
      <c r="M283">
        <f t="shared" si="26"/>
        <v>0</v>
      </c>
      <c r="N283">
        <f t="shared" si="24"/>
        <v>0</v>
      </c>
      <c r="P283" t="e">
        <f>INDEX(Items!B$2:B$1032,MATCH($O283,Items!$A$2:$A$1032,0))</f>
        <v>#N/A</v>
      </c>
      <c r="Q283" t="e">
        <f>INDEX(Items!C$2:C$1032,MATCH($O283,Items!$A$2:$A$1032,0))</f>
        <v>#N/A</v>
      </c>
      <c r="R283" t="e">
        <f>INDEX(Items!D$2:D$1032,MATCH($O283,Items!$A$2:$A$1032,0))</f>
        <v>#N/A</v>
      </c>
    </row>
    <row r="284" spans="1:18" x14ac:dyDescent="0.25">
      <c r="A284">
        <f t="shared" si="22"/>
        <v>1</v>
      </c>
      <c r="B284" t="str">
        <f t="shared" si="23"/>
        <v/>
      </c>
      <c r="C284">
        <f t="shared" si="25"/>
        <v>1</v>
      </c>
      <c r="D284" s="4"/>
      <c r="E284" t="s">
        <v>18</v>
      </c>
      <c r="F284" t="str">
        <f>INDEX(Establishment!B$2:B$1005,MATCH($E284,Establishment!$A$2:$A$1005,0))</f>
        <v xml:space="preserve"> </v>
      </c>
      <c r="G284" t="str">
        <f>INDEX(Establishment!C$2:C$1005,MATCH($E284,Establishment!$A$2:$A$1005,0))</f>
        <v xml:space="preserve"> </v>
      </c>
      <c r="M284">
        <f t="shared" si="26"/>
        <v>0</v>
      </c>
      <c r="N284">
        <f t="shared" si="24"/>
        <v>0</v>
      </c>
      <c r="P284" t="e">
        <f>INDEX(Items!B$2:B$1032,MATCH($O284,Items!$A$2:$A$1032,0))</f>
        <v>#N/A</v>
      </c>
      <c r="Q284" t="e">
        <f>INDEX(Items!C$2:C$1032,MATCH($O284,Items!$A$2:$A$1032,0))</f>
        <v>#N/A</v>
      </c>
      <c r="R284" t="e">
        <f>INDEX(Items!D$2:D$1032,MATCH($O284,Items!$A$2:$A$1032,0))</f>
        <v>#N/A</v>
      </c>
    </row>
    <row r="285" spans="1:18" x14ac:dyDescent="0.25">
      <c r="A285">
        <f t="shared" si="22"/>
        <v>1</v>
      </c>
      <c r="B285" t="str">
        <f t="shared" si="23"/>
        <v/>
      </c>
      <c r="C285">
        <f t="shared" si="25"/>
        <v>1</v>
      </c>
      <c r="D285" s="4"/>
      <c r="E285" t="s">
        <v>18</v>
      </c>
      <c r="F285" t="str">
        <f>INDEX(Establishment!B$2:B$1005,MATCH($E285,Establishment!$A$2:$A$1005,0))</f>
        <v xml:space="preserve"> </v>
      </c>
      <c r="G285" t="str">
        <f>INDEX(Establishment!C$2:C$1005,MATCH($E285,Establishment!$A$2:$A$1005,0))</f>
        <v xml:space="preserve"> </v>
      </c>
      <c r="M285">
        <f t="shared" si="26"/>
        <v>0</v>
      </c>
      <c r="N285">
        <f t="shared" si="24"/>
        <v>0</v>
      </c>
      <c r="P285" t="e">
        <f>INDEX(Items!B$2:B$1032,MATCH($O285,Items!$A$2:$A$1032,0))</f>
        <v>#N/A</v>
      </c>
      <c r="Q285" t="e">
        <f>INDEX(Items!C$2:C$1032,MATCH($O285,Items!$A$2:$A$1032,0))</f>
        <v>#N/A</v>
      </c>
      <c r="R285" t="e">
        <f>INDEX(Items!D$2:D$1032,MATCH($O285,Items!$A$2:$A$1032,0))</f>
        <v>#N/A</v>
      </c>
    </row>
    <row r="286" spans="1:18" x14ac:dyDescent="0.25">
      <c r="A286">
        <f t="shared" si="22"/>
        <v>1</v>
      </c>
      <c r="B286" t="str">
        <f t="shared" si="23"/>
        <v/>
      </c>
      <c r="C286">
        <f t="shared" si="25"/>
        <v>1</v>
      </c>
      <c r="D286" s="4"/>
      <c r="E286" t="s">
        <v>18</v>
      </c>
      <c r="F286" t="str">
        <f>INDEX(Establishment!B$2:B$1005,MATCH($E286,Establishment!$A$2:$A$1005,0))</f>
        <v xml:space="preserve"> </v>
      </c>
      <c r="G286" t="str">
        <f>INDEX(Establishment!C$2:C$1005,MATCH($E286,Establishment!$A$2:$A$1005,0))</f>
        <v xml:space="preserve"> </v>
      </c>
      <c r="M286">
        <f t="shared" si="26"/>
        <v>0</v>
      </c>
      <c r="N286">
        <f t="shared" si="24"/>
        <v>0</v>
      </c>
      <c r="P286" t="e">
        <f>INDEX(Items!B$2:B$1032,MATCH($O286,Items!$A$2:$A$1032,0))</f>
        <v>#N/A</v>
      </c>
      <c r="Q286" t="e">
        <f>INDEX(Items!C$2:C$1032,MATCH($O286,Items!$A$2:$A$1032,0))</f>
        <v>#N/A</v>
      </c>
      <c r="R286" t="e">
        <f>INDEX(Items!D$2:D$1032,MATCH($O286,Items!$A$2:$A$1032,0))</f>
        <v>#N/A</v>
      </c>
    </row>
    <row r="287" spans="1:18" x14ac:dyDescent="0.25">
      <c r="A287">
        <f t="shared" si="22"/>
        <v>1</v>
      </c>
      <c r="B287" t="str">
        <f t="shared" si="23"/>
        <v/>
      </c>
      <c r="C287">
        <f t="shared" si="25"/>
        <v>1</v>
      </c>
      <c r="D287" s="4"/>
      <c r="E287" t="s">
        <v>18</v>
      </c>
      <c r="F287" t="str">
        <f>INDEX(Establishment!B$2:B$1005,MATCH($E287,Establishment!$A$2:$A$1005,0))</f>
        <v xml:space="preserve"> </v>
      </c>
      <c r="G287" t="str">
        <f>INDEX(Establishment!C$2:C$1005,MATCH($E287,Establishment!$A$2:$A$1005,0))</f>
        <v xml:space="preserve"> </v>
      </c>
      <c r="M287">
        <f t="shared" si="26"/>
        <v>0</v>
      </c>
      <c r="N287">
        <f t="shared" si="24"/>
        <v>0</v>
      </c>
      <c r="P287" t="e">
        <f>INDEX(Items!B$2:B$1032,MATCH($O287,Items!$A$2:$A$1032,0))</f>
        <v>#N/A</v>
      </c>
      <c r="Q287" t="e">
        <f>INDEX(Items!C$2:C$1032,MATCH($O287,Items!$A$2:$A$1032,0))</f>
        <v>#N/A</v>
      </c>
      <c r="R287" t="e">
        <f>INDEX(Items!D$2:D$1032,MATCH($O287,Items!$A$2:$A$1032,0))</f>
        <v>#N/A</v>
      </c>
    </row>
    <row r="288" spans="1:18" x14ac:dyDescent="0.25">
      <c r="A288">
        <f t="shared" si="22"/>
        <v>1</v>
      </c>
      <c r="B288" t="str">
        <f t="shared" si="23"/>
        <v/>
      </c>
      <c r="C288">
        <f t="shared" si="25"/>
        <v>1</v>
      </c>
      <c r="D288" s="4"/>
      <c r="E288" t="s">
        <v>18</v>
      </c>
      <c r="F288" t="str">
        <f>INDEX(Establishment!B$2:B$1005,MATCH($E288,Establishment!$A$2:$A$1005,0))</f>
        <v xml:space="preserve"> </v>
      </c>
      <c r="G288" t="str">
        <f>INDEX(Establishment!C$2:C$1005,MATCH($E288,Establishment!$A$2:$A$1005,0))</f>
        <v xml:space="preserve"> </v>
      </c>
      <c r="M288">
        <f t="shared" si="26"/>
        <v>0</v>
      </c>
      <c r="N288">
        <f t="shared" si="24"/>
        <v>0</v>
      </c>
      <c r="P288" t="e">
        <f>INDEX(Items!B$2:B$1032,MATCH($O288,Items!$A$2:$A$1032,0))</f>
        <v>#N/A</v>
      </c>
      <c r="Q288" t="e">
        <f>INDEX(Items!C$2:C$1032,MATCH($O288,Items!$A$2:$A$1032,0))</f>
        <v>#N/A</v>
      </c>
      <c r="R288" t="e">
        <f>INDEX(Items!D$2:D$1032,MATCH($O288,Items!$A$2:$A$1032,0))</f>
        <v>#N/A</v>
      </c>
    </row>
    <row r="289" spans="1:18" x14ac:dyDescent="0.25">
      <c r="A289">
        <f t="shared" si="22"/>
        <v>1</v>
      </c>
      <c r="B289" t="str">
        <f t="shared" si="23"/>
        <v/>
      </c>
      <c r="C289">
        <f t="shared" si="25"/>
        <v>1</v>
      </c>
      <c r="D289" s="4"/>
      <c r="E289" t="s">
        <v>18</v>
      </c>
      <c r="F289" t="str">
        <f>INDEX(Establishment!B$2:B$1005,MATCH($E289,Establishment!$A$2:$A$1005,0))</f>
        <v xml:space="preserve"> </v>
      </c>
      <c r="G289" t="str">
        <f>INDEX(Establishment!C$2:C$1005,MATCH($E289,Establishment!$A$2:$A$1005,0))</f>
        <v xml:space="preserve"> </v>
      </c>
      <c r="M289">
        <f t="shared" si="26"/>
        <v>0</v>
      </c>
      <c r="N289">
        <f t="shared" si="24"/>
        <v>0</v>
      </c>
      <c r="P289" t="e">
        <f>INDEX(Items!B$2:B$1032,MATCH($O289,Items!$A$2:$A$1032,0))</f>
        <v>#N/A</v>
      </c>
      <c r="Q289" t="e">
        <f>INDEX(Items!C$2:C$1032,MATCH($O289,Items!$A$2:$A$1032,0))</f>
        <v>#N/A</v>
      </c>
      <c r="R289" t="e">
        <f>INDEX(Items!D$2:D$1032,MATCH($O289,Items!$A$2:$A$1032,0))</f>
        <v>#N/A</v>
      </c>
    </row>
    <row r="290" spans="1:18" x14ac:dyDescent="0.25">
      <c r="A290">
        <f t="shared" si="22"/>
        <v>1</v>
      </c>
      <c r="B290" t="str">
        <f t="shared" si="23"/>
        <v/>
      </c>
      <c r="C290">
        <f t="shared" si="25"/>
        <v>1</v>
      </c>
      <c r="D290" s="4"/>
      <c r="E290" t="s">
        <v>18</v>
      </c>
      <c r="F290" t="str">
        <f>INDEX(Establishment!B$2:B$1005,MATCH($E290,Establishment!$A$2:$A$1005,0))</f>
        <v xml:space="preserve"> </v>
      </c>
      <c r="G290" t="str">
        <f>INDEX(Establishment!C$2:C$1005,MATCH($E290,Establishment!$A$2:$A$1005,0))</f>
        <v xml:space="preserve"> </v>
      </c>
      <c r="M290">
        <f t="shared" si="26"/>
        <v>0</v>
      </c>
      <c r="N290">
        <f t="shared" si="24"/>
        <v>0</v>
      </c>
      <c r="P290" t="e">
        <f>INDEX(Items!B$2:B$1032,MATCH($O290,Items!$A$2:$A$1032,0))</f>
        <v>#N/A</v>
      </c>
      <c r="Q290" t="e">
        <f>INDEX(Items!C$2:C$1032,MATCH($O290,Items!$A$2:$A$1032,0))</f>
        <v>#N/A</v>
      </c>
      <c r="R290" t="e">
        <f>INDEX(Items!D$2:D$1032,MATCH($O290,Items!$A$2:$A$1032,0))</f>
        <v>#N/A</v>
      </c>
    </row>
    <row r="291" spans="1:18" x14ac:dyDescent="0.25">
      <c r="A291">
        <f t="shared" si="22"/>
        <v>1</v>
      </c>
      <c r="B291" t="str">
        <f t="shared" si="23"/>
        <v/>
      </c>
      <c r="C291">
        <f t="shared" si="25"/>
        <v>1</v>
      </c>
      <c r="D291" s="4"/>
      <c r="E291" t="s">
        <v>18</v>
      </c>
      <c r="F291" t="str">
        <f>INDEX(Establishment!B$2:B$1005,MATCH($E291,Establishment!$A$2:$A$1005,0))</f>
        <v xml:space="preserve"> </v>
      </c>
      <c r="G291" t="str">
        <f>INDEX(Establishment!C$2:C$1005,MATCH($E291,Establishment!$A$2:$A$1005,0))</f>
        <v xml:space="preserve"> </v>
      </c>
      <c r="M291">
        <f t="shared" si="26"/>
        <v>0</v>
      </c>
      <c r="N291">
        <f t="shared" si="24"/>
        <v>0</v>
      </c>
      <c r="P291" t="e">
        <f>INDEX(Items!B$2:B$1032,MATCH($O291,Items!$A$2:$A$1032,0))</f>
        <v>#N/A</v>
      </c>
      <c r="Q291" t="e">
        <f>INDEX(Items!C$2:C$1032,MATCH($O291,Items!$A$2:$A$1032,0))</f>
        <v>#N/A</v>
      </c>
      <c r="R291" t="e">
        <f>INDEX(Items!D$2:D$1032,MATCH($O291,Items!$A$2:$A$1032,0))</f>
        <v>#N/A</v>
      </c>
    </row>
    <row r="292" spans="1:18" x14ac:dyDescent="0.25">
      <c r="A292">
        <f t="shared" si="22"/>
        <v>1</v>
      </c>
      <c r="B292" t="str">
        <f t="shared" si="23"/>
        <v/>
      </c>
      <c r="C292">
        <f t="shared" si="25"/>
        <v>1</v>
      </c>
      <c r="D292" s="4"/>
      <c r="E292" t="s">
        <v>18</v>
      </c>
      <c r="F292" t="str">
        <f>INDEX(Establishment!B$2:B$1005,MATCH($E292,Establishment!$A$2:$A$1005,0))</f>
        <v xml:space="preserve"> </v>
      </c>
      <c r="G292" t="str">
        <f>INDEX(Establishment!C$2:C$1005,MATCH($E292,Establishment!$A$2:$A$1005,0))</f>
        <v xml:space="preserve"> </v>
      </c>
      <c r="M292">
        <f t="shared" si="26"/>
        <v>0</v>
      </c>
      <c r="N292">
        <f t="shared" si="24"/>
        <v>0</v>
      </c>
      <c r="P292" t="e">
        <f>INDEX(Items!B$2:B$1032,MATCH($O292,Items!$A$2:$A$1032,0))</f>
        <v>#N/A</v>
      </c>
      <c r="Q292" t="e">
        <f>INDEX(Items!C$2:C$1032,MATCH($O292,Items!$A$2:$A$1032,0))</f>
        <v>#N/A</v>
      </c>
      <c r="R292" t="e">
        <f>INDEX(Items!D$2:D$1032,MATCH($O292,Items!$A$2:$A$1032,0))</f>
        <v>#N/A</v>
      </c>
    </row>
    <row r="293" spans="1:18" x14ac:dyDescent="0.25">
      <c r="A293">
        <f t="shared" si="22"/>
        <v>1</v>
      </c>
      <c r="B293" t="str">
        <f t="shared" si="23"/>
        <v/>
      </c>
      <c r="C293">
        <f t="shared" si="25"/>
        <v>1</v>
      </c>
      <c r="D293" s="4"/>
      <c r="E293" t="s">
        <v>18</v>
      </c>
      <c r="F293" t="str">
        <f>INDEX(Establishment!B$2:B$1005,MATCH($E293,Establishment!$A$2:$A$1005,0))</f>
        <v xml:space="preserve"> </v>
      </c>
      <c r="G293" t="str">
        <f>INDEX(Establishment!C$2:C$1005,MATCH($E293,Establishment!$A$2:$A$1005,0))</f>
        <v xml:space="preserve"> </v>
      </c>
      <c r="M293">
        <f t="shared" si="26"/>
        <v>0</v>
      </c>
      <c r="N293">
        <f t="shared" si="24"/>
        <v>0</v>
      </c>
      <c r="P293" t="e">
        <f>INDEX(Items!B$2:B$1032,MATCH($O293,Items!$A$2:$A$1032,0))</f>
        <v>#N/A</v>
      </c>
      <c r="Q293" t="e">
        <f>INDEX(Items!C$2:C$1032,MATCH($O293,Items!$A$2:$A$1032,0))</f>
        <v>#N/A</v>
      </c>
      <c r="R293" t="e">
        <f>INDEX(Items!D$2:D$1032,MATCH($O293,Items!$A$2:$A$1032,0))</f>
        <v>#N/A</v>
      </c>
    </row>
    <row r="294" spans="1:18" x14ac:dyDescent="0.25">
      <c r="A294">
        <f t="shared" si="22"/>
        <v>1</v>
      </c>
      <c r="B294" t="str">
        <f t="shared" si="23"/>
        <v/>
      </c>
      <c r="C294">
        <f t="shared" si="25"/>
        <v>1</v>
      </c>
      <c r="D294" s="4"/>
      <c r="E294" t="s">
        <v>18</v>
      </c>
      <c r="F294" t="str">
        <f>INDEX(Establishment!B$2:B$1005,MATCH($E294,Establishment!$A$2:$A$1005,0))</f>
        <v xml:space="preserve"> </v>
      </c>
      <c r="G294" t="str">
        <f>INDEX(Establishment!C$2:C$1005,MATCH($E294,Establishment!$A$2:$A$1005,0))</f>
        <v xml:space="preserve"> </v>
      </c>
      <c r="M294">
        <f t="shared" si="26"/>
        <v>0</v>
      </c>
      <c r="N294">
        <f t="shared" si="24"/>
        <v>0</v>
      </c>
      <c r="P294" t="e">
        <f>INDEX(Items!B$2:B$1032,MATCH($O294,Items!$A$2:$A$1032,0))</f>
        <v>#N/A</v>
      </c>
      <c r="Q294" t="e">
        <f>INDEX(Items!C$2:C$1032,MATCH($O294,Items!$A$2:$A$1032,0))</f>
        <v>#N/A</v>
      </c>
      <c r="R294" t="e">
        <f>INDEX(Items!D$2:D$1032,MATCH($O294,Items!$A$2:$A$1032,0))</f>
        <v>#N/A</v>
      </c>
    </row>
    <row r="295" spans="1:18" x14ac:dyDescent="0.25">
      <c r="A295">
        <f t="shared" si="22"/>
        <v>1</v>
      </c>
      <c r="B295" t="str">
        <f t="shared" si="23"/>
        <v/>
      </c>
      <c r="C295">
        <f t="shared" si="25"/>
        <v>1</v>
      </c>
      <c r="D295" s="4"/>
      <c r="E295" t="s">
        <v>18</v>
      </c>
      <c r="F295" t="str">
        <f>INDEX(Establishment!B$2:B$1005,MATCH($E295,Establishment!$A$2:$A$1005,0))</f>
        <v xml:space="preserve"> </v>
      </c>
      <c r="G295" t="str">
        <f>INDEX(Establishment!C$2:C$1005,MATCH($E295,Establishment!$A$2:$A$1005,0))</f>
        <v xml:space="preserve"> </v>
      </c>
      <c r="M295">
        <f t="shared" si="26"/>
        <v>0</v>
      </c>
      <c r="N295">
        <f t="shared" si="24"/>
        <v>0</v>
      </c>
      <c r="P295" t="e">
        <f>INDEX(Items!B$2:B$1032,MATCH($O295,Items!$A$2:$A$1032,0))</f>
        <v>#N/A</v>
      </c>
      <c r="Q295" t="e">
        <f>INDEX(Items!C$2:C$1032,MATCH($O295,Items!$A$2:$A$1032,0))</f>
        <v>#N/A</v>
      </c>
      <c r="R295" t="e">
        <f>INDEX(Items!D$2:D$1032,MATCH($O295,Items!$A$2:$A$1032,0))</f>
        <v>#N/A</v>
      </c>
    </row>
    <row r="296" spans="1:18" x14ac:dyDescent="0.25">
      <c r="A296">
        <f t="shared" si="22"/>
        <v>1</v>
      </c>
      <c r="B296" t="str">
        <f t="shared" si="23"/>
        <v/>
      </c>
      <c r="C296">
        <f t="shared" si="25"/>
        <v>1</v>
      </c>
      <c r="D296" s="4"/>
      <c r="E296" t="s">
        <v>18</v>
      </c>
      <c r="F296" t="str">
        <f>INDEX(Establishment!B$2:B$1005,MATCH($E296,Establishment!$A$2:$A$1005,0))</f>
        <v xml:space="preserve"> </v>
      </c>
      <c r="G296" t="str">
        <f>INDEX(Establishment!C$2:C$1005,MATCH($E296,Establishment!$A$2:$A$1005,0))</f>
        <v xml:space="preserve"> </v>
      </c>
      <c r="M296">
        <f t="shared" si="26"/>
        <v>0</v>
      </c>
      <c r="N296">
        <f t="shared" si="24"/>
        <v>0</v>
      </c>
      <c r="P296" t="e">
        <f>INDEX(Items!B$2:B$1032,MATCH($O296,Items!$A$2:$A$1032,0))</f>
        <v>#N/A</v>
      </c>
      <c r="Q296" t="e">
        <f>INDEX(Items!C$2:C$1032,MATCH($O296,Items!$A$2:$A$1032,0))</f>
        <v>#N/A</v>
      </c>
      <c r="R296" t="e">
        <f>INDEX(Items!D$2:D$1032,MATCH($O296,Items!$A$2:$A$1032,0))</f>
        <v>#N/A</v>
      </c>
    </row>
    <row r="297" spans="1:18" x14ac:dyDescent="0.25">
      <c r="A297">
        <f t="shared" si="22"/>
        <v>1</v>
      </c>
      <c r="B297" t="str">
        <f t="shared" si="23"/>
        <v/>
      </c>
      <c r="C297">
        <f t="shared" si="25"/>
        <v>1</v>
      </c>
      <c r="D297" s="4"/>
      <c r="E297" t="s">
        <v>18</v>
      </c>
      <c r="F297" t="str">
        <f>INDEX(Establishment!B$2:B$1005,MATCH($E297,Establishment!$A$2:$A$1005,0))</f>
        <v xml:space="preserve"> </v>
      </c>
      <c r="G297" t="str">
        <f>INDEX(Establishment!C$2:C$1005,MATCH($E297,Establishment!$A$2:$A$1005,0))</f>
        <v xml:space="preserve"> </v>
      </c>
      <c r="M297">
        <f t="shared" si="26"/>
        <v>0</v>
      </c>
      <c r="N297">
        <f t="shared" si="24"/>
        <v>0</v>
      </c>
      <c r="P297" t="e">
        <f>INDEX(Items!B$2:B$1032,MATCH($O297,Items!$A$2:$A$1032,0))</f>
        <v>#N/A</v>
      </c>
      <c r="Q297" t="e">
        <f>INDEX(Items!C$2:C$1032,MATCH($O297,Items!$A$2:$A$1032,0))</f>
        <v>#N/A</v>
      </c>
      <c r="R297" t="e">
        <f>INDEX(Items!D$2:D$1032,MATCH($O297,Items!$A$2:$A$1032,0))</f>
        <v>#N/A</v>
      </c>
    </row>
    <row r="298" spans="1:18" x14ac:dyDescent="0.25">
      <c r="A298">
        <f t="shared" si="22"/>
        <v>1</v>
      </c>
      <c r="B298" t="str">
        <f t="shared" si="23"/>
        <v/>
      </c>
      <c r="C298">
        <f t="shared" si="25"/>
        <v>1</v>
      </c>
      <c r="D298" s="4"/>
      <c r="E298" t="s">
        <v>18</v>
      </c>
      <c r="F298" t="str">
        <f>INDEX(Establishment!B$2:B$1005,MATCH($E298,Establishment!$A$2:$A$1005,0))</f>
        <v xml:space="preserve"> </v>
      </c>
      <c r="G298" t="str">
        <f>INDEX(Establishment!C$2:C$1005,MATCH($E298,Establishment!$A$2:$A$1005,0))</f>
        <v xml:space="preserve"> </v>
      </c>
      <c r="M298">
        <f t="shared" si="26"/>
        <v>0</v>
      </c>
      <c r="N298">
        <f t="shared" si="24"/>
        <v>0</v>
      </c>
      <c r="P298" t="e">
        <f>INDEX(Items!B$2:B$1032,MATCH($O298,Items!$A$2:$A$1032,0))</f>
        <v>#N/A</v>
      </c>
      <c r="Q298" t="e">
        <f>INDEX(Items!C$2:C$1032,MATCH($O298,Items!$A$2:$A$1032,0))</f>
        <v>#N/A</v>
      </c>
      <c r="R298" t="e">
        <f>INDEX(Items!D$2:D$1032,MATCH($O298,Items!$A$2:$A$1032,0))</f>
        <v>#N/A</v>
      </c>
    </row>
    <row r="299" spans="1:18" x14ac:dyDescent="0.25">
      <c r="A299">
        <f t="shared" si="22"/>
        <v>1</v>
      </c>
      <c r="B299" t="str">
        <f t="shared" si="23"/>
        <v/>
      </c>
      <c r="C299">
        <f t="shared" si="25"/>
        <v>1</v>
      </c>
      <c r="D299" s="4"/>
      <c r="E299" t="s">
        <v>18</v>
      </c>
      <c r="F299" t="str">
        <f>INDEX(Establishment!B$2:B$1005,MATCH($E299,Establishment!$A$2:$A$1005,0))</f>
        <v xml:space="preserve"> </v>
      </c>
      <c r="G299" t="str">
        <f>INDEX(Establishment!C$2:C$1005,MATCH($E299,Establishment!$A$2:$A$1005,0))</f>
        <v xml:space="preserve"> </v>
      </c>
      <c r="M299">
        <f t="shared" si="26"/>
        <v>0</v>
      </c>
      <c r="N299">
        <f t="shared" si="24"/>
        <v>0</v>
      </c>
      <c r="P299" t="e">
        <f>INDEX(Items!B$2:B$1032,MATCH($O299,Items!$A$2:$A$1032,0))</f>
        <v>#N/A</v>
      </c>
      <c r="Q299" t="e">
        <f>INDEX(Items!C$2:C$1032,MATCH($O299,Items!$A$2:$A$1032,0))</f>
        <v>#N/A</v>
      </c>
      <c r="R299" t="e">
        <f>INDEX(Items!D$2:D$1032,MATCH($O299,Items!$A$2:$A$1032,0))</f>
        <v>#N/A</v>
      </c>
    </row>
    <row r="300" spans="1:18" x14ac:dyDescent="0.25">
      <c r="A300">
        <f t="shared" si="22"/>
        <v>1</v>
      </c>
      <c r="B300" t="str">
        <f t="shared" si="23"/>
        <v/>
      </c>
      <c r="C300">
        <f t="shared" si="25"/>
        <v>1</v>
      </c>
      <c r="D300" s="4"/>
      <c r="E300" t="s">
        <v>18</v>
      </c>
      <c r="F300" t="str">
        <f>INDEX(Establishment!B$2:B$1005,MATCH($E300,Establishment!$A$2:$A$1005,0))</f>
        <v xml:space="preserve"> </v>
      </c>
      <c r="G300" t="str">
        <f>INDEX(Establishment!C$2:C$1005,MATCH($E300,Establishment!$A$2:$A$1005,0))</f>
        <v xml:space="preserve"> </v>
      </c>
      <c r="M300">
        <f t="shared" si="26"/>
        <v>0</v>
      </c>
      <c r="N300">
        <f t="shared" si="24"/>
        <v>0</v>
      </c>
      <c r="P300" t="e">
        <f>INDEX(Items!B$2:B$1032,MATCH($O300,Items!$A$2:$A$1032,0))</f>
        <v>#N/A</v>
      </c>
      <c r="Q300" t="e">
        <f>INDEX(Items!C$2:C$1032,MATCH($O300,Items!$A$2:$A$1032,0))</f>
        <v>#N/A</v>
      </c>
      <c r="R300" t="e">
        <f>INDEX(Items!D$2:D$1032,MATCH($O300,Items!$A$2:$A$1032,0))</f>
        <v>#N/A</v>
      </c>
    </row>
    <row r="301" spans="1:18" x14ac:dyDescent="0.25">
      <c r="A301">
        <f t="shared" si="22"/>
        <v>1</v>
      </c>
      <c r="B301" t="str">
        <f t="shared" si="23"/>
        <v/>
      </c>
      <c r="C301">
        <f t="shared" si="25"/>
        <v>1</v>
      </c>
      <c r="D301" s="4"/>
      <c r="E301" t="s">
        <v>18</v>
      </c>
      <c r="F301" t="str">
        <f>INDEX(Establishment!B$2:B$1005,MATCH($E301,Establishment!$A$2:$A$1005,0))</f>
        <v xml:space="preserve"> </v>
      </c>
      <c r="G301" t="str">
        <f>INDEX(Establishment!C$2:C$1005,MATCH($E301,Establishment!$A$2:$A$1005,0))</f>
        <v xml:space="preserve"> </v>
      </c>
      <c r="M301">
        <f t="shared" si="26"/>
        <v>0</v>
      </c>
      <c r="N301">
        <f t="shared" si="24"/>
        <v>0</v>
      </c>
      <c r="P301" t="e">
        <f>INDEX(Items!B$2:B$1032,MATCH($O301,Items!$A$2:$A$1032,0))</f>
        <v>#N/A</v>
      </c>
      <c r="Q301" t="e">
        <f>INDEX(Items!C$2:C$1032,MATCH($O301,Items!$A$2:$A$1032,0))</f>
        <v>#N/A</v>
      </c>
      <c r="R301" t="e">
        <f>INDEX(Items!D$2:D$1032,MATCH($O301,Items!$A$2:$A$1032,0))</f>
        <v>#N/A</v>
      </c>
    </row>
    <row r="302" spans="1:18" x14ac:dyDescent="0.25">
      <c r="A302">
        <f t="shared" si="22"/>
        <v>1</v>
      </c>
      <c r="B302" t="str">
        <f t="shared" si="23"/>
        <v/>
      </c>
      <c r="C302">
        <f t="shared" si="25"/>
        <v>1</v>
      </c>
      <c r="D302" s="4"/>
      <c r="E302" t="s">
        <v>18</v>
      </c>
      <c r="F302" t="str">
        <f>INDEX(Establishment!B$2:B$1005,MATCH($E302,Establishment!$A$2:$A$1005,0))</f>
        <v xml:space="preserve"> </v>
      </c>
      <c r="G302" t="str">
        <f>INDEX(Establishment!C$2:C$1005,MATCH($E302,Establishment!$A$2:$A$1005,0))</f>
        <v xml:space="preserve"> </v>
      </c>
      <c r="M302">
        <f t="shared" si="26"/>
        <v>0</v>
      </c>
      <c r="N302">
        <f t="shared" si="24"/>
        <v>0</v>
      </c>
      <c r="P302" t="e">
        <f>INDEX(Items!B$2:B$1032,MATCH($O302,Items!$A$2:$A$1032,0))</f>
        <v>#N/A</v>
      </c>
      <c r="Q302" t="e">
        <f>INDEX(Items!C$2:C$1032,MATCH($O302,Items!$A$2:$A$1032,0))</f>
        <v>#N/A</v>
      </c>
      <c r="R302" t="e">
        <f>INDEX(Items!D$2:D$1032,MATCH($O302,Items!$A$2:$A$1032,0))</f>
        <v>#N/A</v>
      </c>
    </row>
    <row r="303" spans="1:18" x14ac:dyDescent="0.25">
      <c r="A303">
        <f t="shared" si="22"/>
        <v>1</v>
      </c>
      <c r="B303" t="str">
        <f t="shared" si="23"/>
        <v/>
      </c>
      <c r="C303">
        <f t="shared" si="25"/>
        <v>1</v>
      </c>
      <c r="D303" s="4"/>
      <c r="E303" t="s">
        <v>18</v>
      </c>
      <c r="F303" t="str">
        <f>INDEX(Establishment!B$2:B$1005,MATCH($E303,Establishment!$A$2:$A$1005,0))</f>
        <v xml:space="preserve"> </v>
      </c>
      <c r="G303" t="str">
        <f>INDEX(Establishment!C$2:C$1005,MATCH($E303,Establishment!$A$2:$A$1005,0))</f>
        <v xml:space="preserve"> </v>
      </c>
      <c r="M303">
        <f t="shared" si="26"/>
        <v>0</v>
      </c>
      <c r="N303">
        <f t="shared" si="24"/>
        <v>0</v>
      </c>
      <c r="P303" t="e">
        <f>INDEX(Items!B$2:B$1032,MATCH($O303,Items!$A$2:$A$1032,0))</f>
        <v>#N/A</v>
      </c>
      <c r="Q303" t="e">
        <f>INDEX(Items!C$2:C$1032,MATCH($O303,Items!$A$2:$A$1032,0))</f>
        <v>#N/A</v>
      </c>
      <c r="R303" t="e">
        <f>INDEX(Items!D$2:D$1032,MATCH($O303,Items!$A$2:$A$1032,0))</f>
        <v>#N/A</v>
      </c>
    </row>
    <row r="304" spans="1:18" x14ac:dyDescent="0.25">
      <c r="A304">
        <f t="shared" si="22"/>
        <v>1</v>
      </c>
      <c r="B304" t="str">
        <f t="shared" si="23"/>
        <v/>
      </c>
      <c r="C304">
        <f t="shared" si="25"/>
        <v>1</v>
      </c>
      <c r="D304" s="4"/>
      <c r="E304" t="s">
        <v>18</v>
      </c>
      <c r="F304" t="str">
        <f>INDEX(Establishment!B$2:B$1005,MATCH($E304,Establishment!$A$2:$A$1005,0))</f>
        <v xml:space="preserve"> </v>
      </c>
      <c r="G304" t="str">
        <f>INDEX(Establishment!C$2:C$1005,MATCH($E304,Establishment!$A$2:$A$1005,0))</f>
        <v xml:space="preserve"> </v>
      </c>
      <c r="M304">
        <f t="shared" si="26"/>
        <v>0</v>
      </c>
      <c r="N304">
        <f t="shared" si="24"/>
        <v>0</v>
      </c>
      <c r="P304" t="e">
        <f>INDEX(Items!B$2:B$1032,MATCH($O304,Items!$A$2:$A$1032,0))</f>
        <v>#N/A</v>
      </c>
      <c r="Q304" t="e">
        <f>INDEX(Items!C$2:C$1032,MATCH($O304,Items!$A$2:$A$1032,0))</f>
        <v>#N/A</v>
      </c>
      <c r="R304" t="e">
        <f>INDEX(Items!D$2:D$1032,MATCH($O304,Items!$A$2:$A$1032,0))</f>
        <v>#N/A</v>
      </c>
    </row>
    <row r="305" spans="1:18" x14ac:dyDescent="0.25">
      <c r="A305">
        <f t="shared" si="22"/>
        <v>1</v>
      </c>
      <c r="B305" t="str">
        <f t="shared" si="23"/>
        <v/>
      </c>
      <c r="C305">
        <f t="shared" si="25"/>
        <v>1</v>
      </c>
      <c r="D305" s="4"/>
      <c r="E305" t="s">
        <v>18</v>
      </c>
      <c r="F305" t="str">
        <f>INDEX(Establishment!B$2:B$1005,MATCH($E305,Establishment!$A$2:$A$1005,0))</f>
        <v xml:space="preserve"> </v>
      </c>
      <c r="G305" t="str">
        <f>INDEX(Establishment!C$2:C$1005,MATCH($E305,Establishment!$A$2:$A$1005,0))</f>
        <v xml:space="preserve"> </v>
      </c>
      <c r="M305">
        <f t="shared" si="26"/>
        <v>0</v>
      </c>
      <c r="N305">
        <f t="shared" si="24"/>
        <v>0</v>
      </c>
      <c r="P305" t="e">
        <f>INDEX(Items!B$2:B$1032,MATCH($O305,Items!$A$2:$A$1032,0))</f>
        <v>#N/A</v>
      </c>
      <c r="Q305" t="e">
        <f>INDEX(Items!C$2:C$1032,MATCH($O305,Items!$A$2:$A$1032,0))</f>
        <v>#N/A</v>
      </c>
      <c r="R305" t="e">
        <f>INDEX(Items!D$2:D$1032,MATCH($O305,Items!$A$2:$A$1032,0))</f>
        <v>#N/A</v>
      </c>
    </row>
    <row r="306" spans="1:18" x14ac:dyDescent="0.25">
      <c r="A306">
        <f t="shared" si="22"/>
        <v>1</v>
      </c>
      <c r="B306" t="str">
        <f t="shared" si="23"/>
        <v/>
      </c>
      <c r="C306">
        <f t="shared" si="25"/>
        <v>1</v>
      </c>
      <c r="D306" s="4"/>
      <c r="E306" t="s">
        <v>18</v>
      </c>
      <c r="F306" t="str">
        <f>INDEX(Establishment!B$2:B$1005,MATCH($E306,Establishment!$A$2:$A$1005,0))</f>
        <v xml:space="preserve"> </v>
      </c>
      <c r="G306" t="str">
        <f>INDEX(Establishment!C$2:C$1005,MATCH($E306,Establishment!$A$2:$A$1005,0))</f>
        <v xml:space="preserve"> </v>
      </c>
      <c r="M306">
        <f t="shared" si="26"/>
        <v>0</v>
      </c>
      <c r="N306">
        <f t="shared" si="24"/>
        <v>0</v>
      </c>
      <c r="P306" t="e">
        <f>INDEX(Items!B$2:B$1032,MATCH($O306,Items!$A$2:$A$1032,0))</f>
        <v>#N/A</v>
      </c>
      <c r="Q306" t="e">
        <f>INDEX(Items!C$2:C$1032,MATCH($O306,Items!$A$2:$A$1032,0))</f>
        <v>#N/A</v>
      </c>
      <c r="R306" t="e">
        <f>INDEX(Items!D$2:D$1032,MATCH($O306,Items!$A$2:$A$1032,0))</f>
        <v>#N/A</v>
      </c>
    </row>
    <row r="307" spans="1:18" x14ac:dyDescent="0.25">
      <c r="A307">
        <f t="shared" si="22"/>
        <v>1</v>
      </c>
      <c r="B307" t="str">
        <f t="shared" si="23"/>
        <v/>
      </c>
      <c r="C307">
        <f t="shared" si="25"/>
        <v>1</v>
      </c>
      <c r="D307" s="4"/>
      <c r="E307" t="s">
        <v>18</v>
      </c>
      <c r="F307" t="str">
        <f>INDEX(Establishment!B$2:B$1005,MATCH($E307,Establishment!$A$2:$A$1005,0))</f>
        <v xml:space="preserve"> </v>
      </c>
      <c r="G307" t="str">
        <f>INDEX(Establishment!C$2:C$1005,MATCH($E307,Establishment!$A$2:$A$1005,0))</f>
        <v xml:space="preserve"> </v>
      </c>
      <c r="M307">
        <f t="shared" si="26"/>
        <v>0</v>
      </c>
      <c r="N307">
        <f t="shared" si="24"/>
        <v>0</v>
      </c>
      <c r="P307" t="e">
        <f>INDEX(Items!B$2:B$1032,MATCH($O307,Items!$A$2:$A$1032,0))</f>
        <v>#N/A</v>
      </c>
      <c r="Q307" t="e">
        <f>INDEX(Items!C$2:C$1032,MATCH($O307,Items!$A$2:$A$1032,0))</f>
        <v>#N/A</v>
      </c>
      <c r="R307" t="e">
        <f>INDEX(Items!D$2:D$1032,MATCH($O307,Items!$A$2:$A$1032,0))</f>
        <v>#N/A</v>
      </c>
    </row>
    <row r="308" spans="1:18" x14ac:dyDescent="0.25">
      <c r="A308">
        <f t="shared" si="22"/>
        <v>1</v>
      </c>
      <c r="B308" t="str">
        <f t="shared" si="23"/>
        <v/>
      </c>
      <c r="C308">
        <f t="shared" si="25"/>
        <v>1</v>
      </c>
      <c r="D308" s="4"/>
      <c r="E308" t="s">
        <v>18</v>
      </c>
      <c r="F308" t="str">
        <f>INDEX(Establishment!B$2:B$1005,MATCH($E308,Establishment!$A$2:$A$1005,0))</f>
        <v xml:space="preserve"> </v>
      </c>
      <c r="G308" t="str">
        <f>INDEX(Establishment!C$2:C$1005,MATCH($E308,Establishment!$A$2:$A$1005,0))</f>
        <v xml:space="preserve"> </v>
      </c>
      <c r="M308">
        <f t="shared" si="26"/>
        <v>0</v>
      </c>
      <c r="N308">
        <f t="shared" si="24"/>
        <v>0</v>
      </c>
      <c r="P308" t="e">
        <f>INDEX(Items!B$2:B$1032,MATCH($O308,Items!$A$2:$A$1032,0))</f>
        <v>#N/A</v>
      </c>
      <c r="Q308" t="e">
        <f>INDEX(Items!C$2:C$1032,MATCH($O308,Items!$A$2:$A$1032,0))</f>
        <v>#N/A</v>
      </c>
      <c r="R308" t="e">
        <f>INDEX(Items!D$2:D$1032,MATCH($O308,Items!$A$2:$A$1032,0))</f>
        <v>#N/A</v>
      </c>
    </row>
    <row r="309" spans="1:18" x14ac:dyDescent="0.25">
      <c r="A309">
        <f t="shared" si="22"/>
        <v>1</v>
      </c>
      <c r="B309" t="str">
        <f t="shared" si="23"/>
        <v/>
      </c>
      <c r="C309">
        <f t="shared" si="25"/>
        <v>1</v>
      </c>
      <c r="D309" s="4"/>
      <c r="E309" t="s">
        <v>18</v>
      </c>
      <c r="F309" t="str">
        <f>INDEX(Establishment!B$2:B$1005,MATCH($E309,Establishment!$A$2:$A$1005,0))</f>
        <v xml:space="preserve"> </v>
      </c>
      <c r="G309" t="str">
        <f>INDEX(Establishment!C$2:C$1005,MATCH($E309,Establishment!$A$2:$A$1005,0))</f>
        <v xml:space="preserve"> </v>
      </c>
      <c r="M309">
        <f t="shared" si="26"/>
        <v>0</v>
      </c>
      <c r="N309">
        <f t="shared" si="24"/>
        <v>0</v>
      </c>
      <c r="P309" t="e">
        <f>INDEX(Items!B$2:B$1032,MATCH($O309,Items!$A$2:$A$1032,0))</f>
        <v>#N/A</v>
      </c>
      <c r="Q309" t="e">
        <f>INDEX(Items!C$2:C$1032,MATCH($O309,Items!$A$2:$A$1032,0))</f>
        <v>#N/A</v>
      </c>
      <c r="R309" t="e">
        <f>INDEX(Items!D$2:D$1032,MATCH($O309,Items!$A$2:$A$1032,0))</f>
        <v>#N/A</v>
      </c>
    </row>
    <row r="310" spans="1:18" x14ac:dyDescent="0.25">
      <c r="A310">
        <f t="shared" si="22"/>
        <v>1</v>
      </c>
      <c r="B310" t="str">
        <f t="shared" si="23"/>
        <v/>
      </c>
      <c r="C310">
        <f t="shared" si="25"/>
        <v>1</v>
      </c>
      <c r="D310" s="4"/>
      <c r="E310" t="s">
        <v>18</v>
      </c>
      <c r="F310" t="str">
        <f>INDEX(Establishment!B$2:B$1005,MATCH($E310,Establishment!$A$2:$A$1005,0))</f>
        <v xml:space="preserve"> </v>
      </c>
      <c r="G310" t="str">
        <f>INDEX(Establishment!C$2:C$1005,MATCH($E310,Establishment!$A$2:$A$1005,0))</f>
        <v xml:space="preserve"> </v>
      </c>
      <c r="M310">
        <f t="shared" si="26"/>
        <v>0</v>
      </c>
      <c r="N310">
        <f t="shared" si="24"/>
        <v>0</v>
      </c>
      <c r="P310" t="e">
        <f>INDEX(Items!B$2:B$1032,MATCH($O310,Items!$A$2:$A$1032,0))</f>
        <v>#N/A</v>
      </c>
      <c r="Q310" t="e">
        <f>INDEX(Items!C$2:C$1032,MATCH($O310,Items!$A$2:$A$1032,0))</f>
        <v>#N/A</v>
      </c>
      <c r="R310" t="e">
        <f>INDEX(Items!D$2:D$1032,MATCH($O310,Items!$A$2:$A$1032,0))</f>
        <v>#N/A</v>
      </c>
    </row>
    <row r="311" spans="1:18" x14ac:dyDescent="0.25">
      <c r="A311">
        <f t="shared" si="22"/>
        <v>1</v>
      </c>
      <c r="B311" t="str">
        <f t="shared" si="23"/>
        <v/>
      </c>
      <c r="C311">
        <f t="shared" si="25"/>
        <v>1</v>
      </c>
      <c r="D311" s="4"/>
      <c r="E311" t="s">
        <v>18</v>
      </c>
      <c r="F311" t="str">
        <f>INDEX(Establishment!B$2:B$1005,MATCH($E311,Establishment!$A$2:$A$1005,0))</f>
        <v xml:space="preserve"> </v>
      </c>
      <c r="G311" t="str">
        <f>INDEX(Establishment!C$2:C$1005,MATCH($E311,Establishment!$A$2:$A$1005,0))</f>
        <v xml:space="preserve"> </v>
      </c>
      <c r="M311">
        <f t="shared" si="26"/>
        <v>0</v>
      </c>
      <c r="N311">
        <f t="shared" si="24"/>
        <v>0</v>
      </c>
      <c r="P311" t="e">
        <f>INDEX(Items!B$2:B$1032,MATCH($O311,Items!$A$2:$A$1032,0))</f>
        <v>#N/A</v>
      </c>
      <c r="Q311" t="e">
        <f>INDEX(Items!C$2:C$1032,MATCH($O311,Items!$A$2:$A$1032,0))</f>
        <v>#N/A</v>
      </c>
      <c r="R311" t="e">
        <f>INDEX(Items!D$2:D$1032,MATCH($O311,Items!$A$2:$A$1032,0))</f>
        <v>#N/A</v>
      </c>
    </row>
    <row r="312" spans="1:18" x14ac:dyDescent="0.25">
      <c r="A312">
        <f t="shared" si="22"/>
        <v>1</v>
      </c>
      <c r="B312" t="str">
        <f t="shared" si="23"/>
        <v/>
      </c>
      <c r="C312">
        <f t="shared" si="25"/>
        <v>1</v>
      </c>
      <c r="D312" s="4"/>
      <c r="E312" t="s">
        <v>18</v>
      </c>
      <c r="F312" t="str">
        <f>INDEX(Establishment!B$2:B$1005,MATCH($E312,Establishment!$A$2:$A$1005,0))</f>
        <v xml:space="preserve"> </v>
      </c>
      <c r="G312" t="str">
        <f>INDEX(Establishment!C$2:C$1005,MATCH($E312,Establishment!$A$2:$A$1005,0))</f>
        <v xml:space="preserve"> </v>
      </c>
      <c r="M312">
        <f t="shared" si="26"/>
        <v>0</v>
      </c>
      <c r="N312">
        <f t="shared" si="24"/>
        <v>0</v>
      </c>
      <c r="P312" t="e">
        <f>INDEX(Items!B$2:B$1032,MATCH($O312,Items!$A$2:$A$1032,0))</f>
        <v>#N/A</v>
      </c>
      <c r="Q312" t="e">
        <f>INDEX(Items!C$2:C$1032,MATCH($O312,Items!$A$2:$A$1032,0))</f>
        <v>#N/A</v>
      </c>
      <c r="R312" t="e">
        <f>INDEX(Items!D$2:D$1032,MATCH($O312,Items!$A$2:$A$1032,0))</f>
        <v>#N/A</v>
      </c>
    </row>
    <row r="313" spans="1:18" x14ac:dyDescent="0.25">
      <c r="A313">
        <f t="shared" si="22"/>
        <v>1</v>
      </c>
      <c r="B313" t="str">
        <f t="shared" si="23"/>
        <v/>
      </c>
      <c r="C313">
        <f t="shared" si="25"/>
        <v>1</v>
      </c>
      <c r="D313" s="4"/>
      <c r="E313" t="s">
        <v>18</v>
      </c>
      <c r="F313" t="str">
        <f>INDEX(Establishment!B$2:B$1005,MATCH($E313,Establishment!$A$2:$A$1005,0))</f>
        <v xml:space="preserve"> </v>
      </c>
      <c r="G313" t="str">
        <f>INDEX(Establishment!C$2:C$1005,MATCH($E313,Establishment!$A$2:$A$1005,0))</f>
        <v xml:space="preserve"> </v>
      </c>
      <c r="M313">
        <f t="shared" si="26"/>
        <v>0</v>
      </c>
      <c r="N313">
        <f t="shared" si="24"/>
        <v>0</v>
      </c>
      <c r="P313" t="e">
        <f>INDEX(Items!B$2:B$1032,MATCH($O313,Items!$A$2:$A$1032,0))</f>
        <v>#N/A</v>
      </c>
      <c r="Q313" t="e">
        <f>INDEX(Items!C$2:C$1032,MATCH($O313,Items!$A$2:$A$1032,0))</f>
        <v>#N/A</v>
      </c>
      <c r="R313" t="e">
        <f>INDEX(Items!D$2:D$1032,MATCH($O313,Items!$A$2:$A$1032,0))</f>
        <v>#N/A</v>
      </c>
    </row>
    <row r="314" spans="1:18" x14ac:dyDescent="0.25">
      <c r="A314">
        <f t="shared" si="22"/>
        <v>1</v>
      </c>
      <c r="B314" t="str">
        <f t="shared" si="23"/>
        <v/>
      </c>
      <c r="C314">
        <f t="shared" si="25"/>
        <v>1</v>
      </c>
      <c r="D314" s="4"/>
      <c r="E314" t="s">
        <v>18</v>
      </c>
      <c r="F314" t="str">
        <f>INDEX(Establishment!B$2:B$1005,MATCH($E314,Establishment!$A$2:$A$1005,0))</f>
        <v xml:space="preserve"> </v>
      </c>
      <c r="G314" t="str">
        <f>INDEX(Establishment!C$2:C$1005,MATCH($E314,Establishment!$A$2:$A$1005,0))</f>
        <v xml:space="preserve"> </v>
      </c>
      <c r="M314">
        <f t="shared" si="26"/>
        <v>0</v>
      </c>
      <c r="N314">
        <f t="shared" si="24"/>
        <v>0</v>
      </c>
      <c r="P314" t="e">
        <f>INDEX(Items!B$2:B$1032,MATCH($O314,Items!$A$2:$A$1032,0))</f>
        <v>#N/A</v>
      </c>
      <c r="Q314" t="e">
        <f>INDEX(Items!C$2:C$1032,MATCH($O314,Items!$A$2:$A$1032,0))</f>
        <v>#N/A</v>
      </c>
      <c r="R314" t="e">
        <f>INDEX(Items!D$2:D$1032,MATCH($O314,Items!$A$2:$A$1032,0))</f>
        <v>#N/A</v>
      </c>
    </row>
    <row r="315" spans="1:18" x14ac:dyDescent="0.25">
      <c r="A315">
        <f t="shared" si="22"/>
        <v>1</v>
      </c>
      <c r="B315" t="str">
        <f t="shared" si="23"/>
        <v/>
      </c>
      <c r="C315">
        <f t="shared" si="25"/>
        <v>1</v>
      </c>
      <c r="D315" s="4"/>
      <c r="E315" t="s">
        <v>18</v>
      </c>
      <c r="F315" t="str">
        <f>INDEX(Establishment!B$2:B$1005,MATCH($E315,Establishment!$A$2:$A$1005,0))</f>
        <v xml:space="preserve"> </v>
      </c>
      <c r="G315" t="str">
        <f>INDEX(Establishment!C$2:C$1005,MATCH($E315,Establishment!$A$2:$A$1005,0))</f>
        <v xml:space="preserve"> </v>
      </c>
      <c r="M315">
        <f t="shared" si="26"/>
        <v>0</v>
      </c>
      <c r="N315">
        <f t="shared" si="24"/>
        <v>0</v>
      </c>
      <c r="P315" t="e">
        <f>INDEX(Items!B$2:B$1032,MATCH($O315,Items!$A$2:$A$1032,0))</f>
        <v>#N/A</v>
      </c>
      <c r="Q315" t="e">
        <f>INDEX(Items!C$2:C$1032,MATCH($O315,Items!$A$2:$A$1032,0))</f>
        <v>#N/A</v>
      </c>
      <c r="R315" t="e">
        <f>INDEX(Items!D$2:D$1032,MATCH($O315,Items!$A$2:$A$1032,0))</f>
        <v>#N/A</v>
      </c>
    </row>
    <row r="316" spans="1:18" x14ac:dyDescent="0.25">
      <c r="A316">
        <f t="shared" si="22"/>
        <v>1</v>
      </c>
      <c r="B316" t="str">
        <f t="shared" si="23"/>
        <v/>
      </c>
      <c r="C316">
        <f t="shared" si="25"/>
        <v>1</v>
      </c>
      <c r="D316" s="4"/>
      <c r="E316" t="s">
        <v>18</v>
      </c>
      <c r="F316" t="str">
        <f>INDEX(Establishment!B$2:B$1005,MATCH($E316,Establishment!$A$2:$A$1005,0))</f>
        <v xml:space="preserve"> </v>
      </c>
      <c r="G316" t="str">
        <f>INDEX(Establishment!C$2:C$1005,MATCH($E316,Establishment!$A$2:$A$1005,0))</f>
        <v xml:space="preserve"> </v>
      </c>
      <c r="M316">
        <f t="shared" si="26"/>
        <v>0</v>
      </c>
      <c r="N316">
        <f t="shared" si="24"/>
        <v>0</v>
      </c>
      <c r="P316" t="e">
        <f>INDEX(Items!B$2:B$1032,MATCH($O316,Items!$A$2:$A$1032,0))</f>
        <v>#N/A</v>
      </c>
      <c r="Q316" t="e">
        <f>INDEX(Items!C$2:C$1032,MATCH($O316,Items!$A$2:$A$1032,0))</f>
        <v>#N/A</v>
      </c>
      <c r="R316" t="e">
        <f>INDEX(Items!D$2:D$1032,MATCH($O316,Items!$A$2:$A$1032,0))</f>
        <v>#N/A</v>
      </c>
    </row>
    <row r="317" spans="1:18" x14ac:dyDescent="0.25">
      <c r="A317">
        <f t="shared" si="22"/>
        <v>1</v>
      </c>
      <c r="B317" t="str">
        <f t="shared" si="23"/>
        <v/>
      </c>
      <c r="C317">
        <f t="shared" si="25"/>
        <v>1</v>
      </c>
      <c r="D317" s="4"/>
      <c r="E317" t="s">
        <v>18</v>
      </c>
      <c r="F317" t="str">
        <f>INDEX(Establishment!B$2:B$1005,MATCH($E317,Establishment!$A$2:$A$1005,0))</f>
        <v xml:space="preserve"> </v>
      </c>
      <c r="G317" t="str">
        <f>INDEX(Establishment!C$2:C$1005,MATCH($E317,Establishment!$A$2:$A$1005,0))</f>
        <v xml:space="preserve"> </v>
      </c>
      <c r="M317">
        <f t="shared" si="26"/>
        <v>0</v>
      </c>
      <c r="N317">
        <f t="shared" si="24"/>
        <v>0</v>
      </c>
      <c r="P317" t="e">
        <f>INDEX(Items!B$2:B$1032,MATCH($O317,Items!$A$2:$A$1032,0))</f>
        <v>#N/A</v>
      </c>
      <c r="Q317" t="e">
        <f>INDEX(Items!C$2:C$1032,MATCH($O317,Items!$A$2:$A$1032,0))</f>
        <v>#N/A</v>
      </c>
      <c r="R317" t="e">
        <f>INDEX(Items!D$2:D$1032,MATCH($O317,Items!$A$2:$A$1032,0))</f>
        <v>#N/A</v>
      </c>
    </row>
    <row r="318" spans="1:18" x14ac:dyDescent="0.25">
      <c r="A318">
        <f t="shared" si="22"/>
        <v>1</v>
      </c>
      <c r="B318" t="str">
        <f t="shared" si="23"/>
        <v/>
      </c>
      <c r="C318">
        <f t="shared" si="25"/>
        <v>1</v>
      </c>
      <c r="D318" s="4"/>
      <c r="E318" t="s">
        <v>18</v>
      </c>
      <c r="F318" t="str">
        <f>INDEX(Establishment!B$2:B$1005,MATCH($E318,Establishment!$A$2:$A$1005,0))</f>
        <v xml:space="preserve"> </v>
      </c>
      <c r="G318" t="str">
        <f>INDEX(Establishment!C$2:C$1005,MATCH($E318,Establishment!$A$2:$A$1005,0))</f>
        <v xml:space="preserve"> </v>
      </c>
      <c r="M318">
        <f t="shared" si="26"/>
        <v>0</v>
      </c>
      <c r="N318">
        <f t="shared" si="24"/>
        <v>0</v>
      </c>
      <c r="P318" t="e">
        <f>INDEX(Items!B$2:B$1032,MATCH($O318,Items!$A$2:$A$1032,0))</f>
        <v>#N/A</v>
      </c>
      <c r="Q318" t="e">
        <f>INDEX(Items!C$2:C$1032,MATCH($O318,Items!$A$2:$A$1032,0))</f>
        <v>#N/A</v>
      </c>
      <c r="R318" t="e">
        <f>INDEX(Items!D$2:D$1032,MATCH($O318,Items!$A$2:$A$1032,0))</f>
        <v>#N/A</v>
      </c>
    </row>
    <row r="319" spans="1:18" x14ac:dyDescent="0.25">
      <c r="A319">
        <f t="shared" si="22"/>
        <v>1</v>
      </c>
      <c r="B319" t="str">
        <f t="shared" si="23"/>
        <v/>
      </c>
      <c r="C319">
        <f t="shared" si="25"/>
        <v>1</v>
      </c>
      <c r="D319" s="4"/>
      <c r="E319" t="s">
        <v>18</v>
      </c>
      <c r="F319" t="str">
        <f>INDEX(Establishment!B$2:B$1005,MATCH($E319,Establishment!$A$2:$A$1005,0))</f>
        <v xml:space="preserve"> </v>
      </c>
      <c r="G319" t="str">
        <f>INDEX(Establishment!C$2:C$1005,MATCH($E319,Establishment!$A$2:$A$1005,0))</f>
        <v xml:space="preserve"> </v>
      </c>
      <c r="M319">
        <f t="shared" si="26"/>
        <v>0</v>
      </c>
      <c r="N319">
        <f t="shared" si="24"/>
        <v>0</v>
      </c>
      <c r="P319" t="e">
        <f>INDEX(Items!B$2:B$1032,MATCH($O319,Items!$A$2:$A$1032,0))</f>
        <v>#N/A</v>
      </c>
      <c r="Q319" t="e">
        <f>INDEX(Items!C$2:C$1032,MATCH($O319,Items!$A$2:$A$1032,0))</f>
        <v>#N/A</v>
      </c>
      <c r="R319" t="e">
        <f>INDEX(Items!D$2:D$1032,MATCH($O319,Items!$A$2:$A$1032,0))</f>
        <v>#N/A</v>
      </c>
    </row>
    <row r="320" spans="1:18" x14ac:dyDescent="0.25">
      <c r="A320">
        <f t="shared" si="22"/>
        <v>1</v>
      </c>
      <c r="B320" t="str">
        <f t="shared" si="23"/>
        <v/>
      </c>
      <c r="C320">
        <f t="shared" si="25"/>
        <v>1</v>
      </c>
      <c r="D320" s="4"/>
      <c r="E320" t="s">
        <v>18</v>
      </c>
      <c r="F320" t="str">
        <f>INDEX(Establishment!B$2:B$1005,MATCH($E320,Establishment!$A$2:$A$1005,0))</f>
        <v xml:space="preserve"> </v>
      </c>
      <c r="G320" t="str">
        <f>INDEX(Establishment!C$2:C$1005,MATCH($E320,Establishment!$A$2:$A$1005,0))</f>
        <v xml:space="preserve"> </v>
      </c>
      <c r="M320">
        <f t="shared" si="26"/>
        <v>0</v>
      </c>
      <c r="N320">
        <f t="shared" si="24"/>
        <v>0</v>
      </c>
      <c r="P320" t="e">
        <f>INDEX(Items!B$2:B$1032,MATCH($O320,Items!$A$2:$A$1032,0))</f>
        <v>#N/A</v>
      </c>
      <c r="Q320" t="e">
        <f>INDEX(Items!C$2:C$1032,MATCH($O320,Items!$A$2:$A$1032,0))</f>
        <v>#N/A</v>
      </c>
      <c r="R320" t="e">
        <f>INDEX(Items!D$2:D$1032,MATCH($O320,Items!$A$2:$A$1032,0))</f>
        <v>#N/A</v>
      </c>
    </row>
    <row r="321" spans="1:18" x14ac:dyDescent="0.25">
      <c r="A321">
        <f t="shared" si="22"/>
        <v>1</v>
      </c>
      <c r="B321" t="str">
        <f t="shared" si="23"/>
        <v/>
      </c>
      <c r="C321">
        <f t="shared" si="25"/>
        <v>1</v>
      </c>
      <c r="D321" s="4"/>
      <c r="E321" t="s">
        <v>18</v>
      </c>
      <c r="F321" t="str">
        <f>INDEX(Establishment!B$2:B$1005,MATCH($E321,Establishment!$A$2:$A$1005,0))</f>
        <v xml:space="preserve"> </v>
      </c>
      <c r="G321" t="str">
        <f>INDEX(Establishment!C$2:C$1005,MATCH($E321,Establishment!$A$2:$A$1005,0))</f>
        <v xml:space="preserve"> </v>
      </c>
      <c r="M321">
        <f t="shared" si="26"/>
        <v>0</v>
      </c>
      <c r="N321">
        <f t="shared" si="24"/>
        <v>0</v>
      </c>
      <c r="P321" t="e">
        <f>INDEX(Items!B$2:B$1032,MATCH($O321,Items!$A$2:$A$1032,0))</f>
        <v>#N/A</v>
      </c>
      <c r="Q321" t="e">
        <f>INDEX(Items!C$2:C$1032,MATCH($O321,Items!$A$2:$A$1032,0))</f>
        <v>#N/A</v>
      </c>
      <c r="R321" t="e">
        <f>INDEX(Items!D$2:D$1032,MATCH($O321,Items!$A$2:$A$1032,0))</f>
        <v>#N/A</v>
      </c>
    </row>
    <row r="322" spans="1:18" x14ac:dyDescent="0.25">
      <c r="A322">
        <f t="shared" ref="A322:A385" si="27">IF(OR(D322&lt;&gt;D321,D322=""),1,IF(NOT(AND(E322=E321,F322=F321,G322=G321)),A321+1,IF(OR(H322="",AND(H322&lt;&gt;"",H322&lt;&gt;H321,H321&lt;&gt;"")),A321,A321+1)))</f>
        <v>1</v>
      </c>
      <c r="B322" t="str">
        <f t="shared" ref="B322:B385" si="28">IF(D322&lt;&gt;"",TEXT(D322,"YYYYMMDD")&amp;CHAR(64+A322),"")</f>
        <v/>
      </c>
      <c r="C322">
        <f t="shared" si="25"/>
        <v>1</v>
      </c>
      <c r="D322" s="4"/>
      <c r="E322" t="s">
        <v>18</v>
      </c>
      <c r="F322" t="str">
        <f>INDEX(Establishment!B$2:B$1005,MATCH($E322,Establishment!$A$2:$A$1005,0))</f>
        <v xml:space="preserve"> </v>
      </c>
      <c r="G322" t="str">
        <f>INDEX(Establishment!C$2:C$1005,MATCH($E322,Establishment!$A$2:$A$1005,0))</f>
        <v xml:space="preserve"> </v>
      </c>
      <c r="M322">
        <f t="shared" si="26"/>
        <v>0</v>
      </c>
      <c r="N322">
        <f t="shared" si="24"/>
        <v>0</v>
      </c>
      <c r="P322" t="e">
        <f>INDEX(Items!B$2:B$1032,MATCH($O322,Items!$A$2:$A$1032,0))</f>
        <v>#N/A</v>
      </c>
      <c r="Q322" t="e">
        <f>INDEX(Items!C$2:C$1032,MATCH($O322,Items!$A$2:$A$1032,0))</f>
        <v>#N/A</v>
      </c>
      <c r="R322" t="e">
        <f>INDEX(Items!D$2:D$1032,MATCH($O322,Items!$A$2:$A$1032,0))</f>
        <v>#N/A</v>
      </c>
    </row>
    <row r="323" spans="1:18" x14ac:dyDescent="0.25">
      <c r="A323">
        <f t="shared" si="27"/>
        <v>1</v>
      </c>
      <c r="B323" t="str">
        <f t="shared" si="28"/>
        <v/>
      </c>
      <c r="C323">
        <f t="shared" si="25"/>
        <v>1</v>
      </c>
      <c r="D323" s="4"/>
      <c r="E323" t="s">
        <v>18</v>
      </c>
      <c r="F323" t="str">
        <f>INDEX(Establishment!B$2:B$1005,MATCH($E323,Establishment!$A$2:$A$1005,0))</f>
        <v xml:space="preserve"> </v>
      </c>
      <c r="G323" t="str">
        <f>INDEX(Establishment!C$2:C$1005,MATCH($E323,Establishment!$A$2:$A$1005,0))</f>
        <v xml:space="preserve"> </v>
      </c>
      <c r="M323">
        <f t="shared" si="26"/>
        <v>0</v>
      </c>
      <c r="N323">
        <f t="shared" ref="N323:N386" si="29">IF(B323=B322,N322+M323,M323)</f>
        <v>0</v>
      </c>
      <c r="P323" t="e">
        <f>INDEX(Items!B$2:B$1032,MATCH($O323,Items!$A$2:$A$1032,0))</f>
        <v>#N/A</v>
      </c>
      <c r="Q323" t="e">
        <f>INDEX(Items!C$2:C$1032,MATCH($O323,Items!$A$2:$A$1032,0))</f>
        <v>#N/A</v>
      </c>
      <c r="R323" t="e">
        <f>INDEX(Items!D$2:D$1032,MATCH($O323,Items!$A$2:$A$1032,0))</f>
        <v>#N/A</v>
      </c>
    </row>
    <row r="324" spans="1:18" x14ac:dyDescent="0.25">
      <c r="A324">
        <f t="shared" si="27"/>
        <v>1</v>
      </c>
      <c r="B324" t="str">
        <f t="shared" si="28"/>
        <v/>
      </c>
      <c r="C324">
        <f t="shared" si="25"/>
        <v>1</v>
      </c>
      <c r="D324" s="4"/>
      <c r="E324" t="s">
        <v>18</v>
      </c>
      <c r="F324" t="str">
        <f>INDEX(Establishment!B$2:B$1005,MATCH($E324,Establishment!$A$2:$A$1005,0))</f>
        <v xml:space="preserve"> </v>
      </c>
      <c r="G324" t="str">
        <f>INDEX(Establishment!C$2:C$1005,MATCH($E324,Establishment!$A$2:$A$1005,0))</f>
        <v xml:space="preserve"> </v>
      </c>
      <c r="M324">
        <f t="shared" si="26"/>
        <v>0</v>
      </c>
      <c r="N324">
        <f t="shared" si="29"/>
        <v>0</v>
      </c>
      <c r="P324" t="e">
        <f>INDEX(Items!B$2:B$1032,MATCH($O324,Items!$A$2:$A$1032,0))</f>
        <v>#N/A</v>
      </c>
      <c r="Q324" t="e">
        <f>INDEX(Items!C$2:C$1032,MATCH($O324,Items!$A$2:$A$1032,0))</f>
        <v>#N/A</v>
      </c>
      <c r="R324" t="e">
        <f>INDEX(Items!D$2:D$1032,MATCH($O324,Items!$A$2:$A$1032,0))</f>
        <v>#N/A</v>
      </c>
    </row>
    <row r="325" spans="1:18" x14ac:dyDescent="0.25">
      <c r="A325">
        <f t="shared" si="27"/>
        <v>1</v>
      </c>
      <c r="B325" t="str">
        <f t="shared" si="28"/>
        <v/>
      </c>
      <c r="C325">
        <f t="shared" si="25"/>
        <v>1</v>
      </c>
      <c r="D325" s="4"/>
      <c r="E325" t="s">
        <v>18</v>
      </c>
      <c r="F325" t="str">
        <f>INDEX(Establishment!B$2:B$1005,MATCH($E325,Establishment!$A$2:$A$1005,0))</f>
        <v xml:space="preserve"> </v>
      </c>
      <c r="G325" t="str">
        <f>INDEX(Establishment!C$2:C$1005,MATCH($E325,Establishment!$A$2:$A$1005,0))</f>
        <v xml:space="preserve"> </v>
      </c>
      <c r="M325">
        <f t="shared" si="26"/>
        <v>0</v>
      </c>
      <c r="N325">
        <f t="shared" si="29"/>
        <v>0</v>
      </c>
      <c r="P325" t="e">
        <f>INDEX(Items!B$2:B$1032,MATCH($O325,Items!$A$2:$A$1032,0))</f>
        <v>#N/A</v>
      </c>
      <c r="Q325" t="e">
        <f>INDEX(Items!C$2:C$1032,MATCH($O325,Items!$A$2:$A$1032,0))</f>
        <v>#N/A</v>
      </c>
      <c r="R325" t="e">
        <f>INDEX(Items!D$2:D$1032,MATCH($O325,Items!$A$2:$A$1032,0))</f>
        <v>#N/A</v>
      </c>
    </row>
    <row r="326" spans="1:18" x14ac:dyDescent="0.25">
      <c r="A326">
        <f t="shared" si="27"/>
        <v>1</v>
      </c>
      <c r="B326" t="str">
        <f t="shared" si="28"/>
        <v/>
      </c>
      <c r="C326">
        <f t="shared" si="25"/>
        <v>1</v>
      </c>
      <c r="D326" s="4"/>
      <c r="E326" t="s">
        <v>18</v>
      </c>
      <c r="F326" t="str">
        <f>INDEX(Establishment!B$2:B$1005,MATCH($E326,Establishment!$A$2:$A$1005,0))</f>
        <v xml:space="preserve"> </v>
      </c>
      <c r="G326" t="str">
        <f>INDEX(Establishment!C$2:C$1005,MATCH($E326,Establishment!$A$2:$A$1005,0))</f>
        <v xml:space="preserve"> </v>
      </c>
      <c r="M326">
        <f t="shared" si="26"/>
        <v>0</v>
      </c>
      <c r="N326">
        <f t="shared" si="29"/>
        <v>0</v>
      </c>
      <c r="P326" t="e">
        <f>INDEX(Items!B$2:B$1032,MATCH($O326,Items!$A$2:$A$1032,0))</f>
        <v>#N/A</v>
      </c>
      <c r="Q326" t="e">
        <f>INDEX(Items!C$2:C$1032,MATCH($O326,Items!$A$2:$A$1032,0))</f>
        <v>#N/A</v>
      </c>
      <c r="R326" t="e">
        <f>INDEX(Items!D$2:D$1032,MATCH($O326,Items!$A$2:$A$1032,0))</f>
        <v>#N/A</v>
      </c>
    </row>
    <row r="327" spans="1:18" x14ac:dyDescent="0.25">
      <c r="A327">
        <f t="shared" si="27"/>
        <v>1</v>
      </c>
      <c r="B327" t="str">
        <f t="shared" si="28"/>
        <v/>
      </c>
      <c r="C327">
        <f t="shared" si="25"/>
        <v>1</v>
      </c>
      <c r="D327" s="4"/>
      <c r="E327" t="s">
        <v>18</v>
      </c>
      <c r="F327" t="str">
        <f>INDEX(Establishment!B$2:B$1005,MATCH($E327,Establishment!$A$2:$A$1005,0))</f>
        <v xml:space="preserve"> </v>
      </c>
      <c r="G327" t="str">
        <f>INDEX(Establishment!C$2:C$1005,MATCH($E327,Establishment!$A$2:$A$1005,0))</f>
        <v xml:space="preserve"> </v>
      </c>
      <c r="M327">
        <f t="shared" si="26"/>
        <v>0</v>
      </c>
      <c r="N327">
        <f t="shared" si="29"/>
        <v>0</v>
      </c>
      <c r="P327" t="e">
        <f>INDEX(Items!B$2:B$1032,MATCH($O327,Items!$A$2:$A$1032,0))</f>
        <v>#N/A</v>
      </c>
      <c r="Q327" t="e">
        <f>INDEX(Items!C$2:C$1032,MATCH($O327,Items!$A$2:$A$1032,0))</f>
        <v>#N/A</v>
      </c>
      <c r="R327" t="e">
        <f>INDEX(Items!D$2:D$1032,MATCH($O327,Items!$A$2:$A$1032,0))</f>
        <v>#N/A</v>
      </c>
    </row>
    <row r="328" spans="1:18" x14ac:dyDescent="0.25">
      <c r="A328">
        <f t="shared" si="27"/>
        <v>1</v>
      </c>
      <c r="B328" t="str">
        <f t="shared" si="28"/>
        <v/>
      </c>
      <c r="C328">
        <f t="shared" si="25"/>
        <v>1</v>
      </c>
      <c r="D328" s="4"/>
      <c r="E328" t="s">
        <v>18</v>
      </c>
      <c r="F328" t="str">
        <f>INDEX(Establishment!B$2:B$1005,MATCH($E328,Establishment!$A$2:$A$1005,0))</f>
        <v xml:space="preserve"> </v>
      </c>
      <c r="G328" t="str">
        <f>INDEX(Establishment!C$2:C$1005,MATCH($E328,Establishment!$A$2:$A$1005,0))</f>
        <v xml:space="preserve"> </v>
      </c>
      <c r="M328">
        <f t="shared" si="26"/>
        <v>0</v>
      </c>
      <c r="N328">
        <f t="shared" si="29"/>
        <v>0</v>
      </c>
      <c r="P328" t="e">
        <f>INDEX(Items!B$2:B$1032,MATCH($O328,Items!$A$2:$A$1032,0))</f>
        <v>#N/A</v>
      </c>
      <c r="Q328" t="e">
        <f>INDEX(Items!C$2:C$1032,MATCH($O328,Items!$A$2:$A$1032,0))</f>
        <v>#N/A</v>
      </c>
      <c r="R328" t="e">
        <f>INDEX(Items!D$2:D$1032,MATCH($O328,Items!$A$2:$A$1032,0))</f>
        <v>#N/A</v>
      </c>
    </row>
    <row r="329" spans="1:18" x14ac:dyDescent="0.25">
      <c r="A329">
        <f t="shared" si="27"/>
        <v>1</v>
      </c>
      <c r="B329" t="str">
        <f t="shared" si="28"/>
        <v/>
      </c>
      <c r="C329">
        <f t="shared" si="25"/>
        <v>1</v>
      </c>
      <c r="D329" s="4"/>
      <c r="E329" t="s">
        <v>18</v>
      </c>
      <c r="F329" t="str">
        <f>INDEX(Establishment!B$2:B$1005,MATCH($E329,Establishment!$A$2:$A$1005,0))</f>
        <v xml:space="preserve"> </v>
      </c>
      <c r="G329" t="str">
        <f>INDEX(Establishment!C$2:C$1005,MATCH($E329,Establishment!$A$2:$A$1005,0))</f>
        <v xml:space="preserve"> </v>
      </c>
      <c r="M329">
        <f t="shared" si="26"/>
        <v>0</v>
      </c>
      <c r="N329">
        <f t="shared" si="29"/>
        <v>0</v>
      </c>
      <c r="P329" t="e">
        <f>INDEX(Items!B$2:B$1032,MATCH($O329,Items!$A$2:$A$1032,0))</f>
        <v>#N/A</v>
      </c>
      <c r="Q329" t="e">
        <f>INDEX(Items!C$2:C$1032,MATCH($O329,Items!$A$2:$A$1032,0))</f>
        <v>#N/A</v>
      </c>
      <c r="R329" t="e">
        <f>INDEX(Items!D$2:D$1032,MATCH($O329,Items!$A$2:$A$1032,0))</f>
        <v>#N/A</v>
      </c>
    </row>
    <row r="330" spans="1:18" x14ac:dyDescent="0.25">
      <c r="A330">
        <f t="shared" si="27"/>
        <v>1</v>
      </c>
      <c r="B330" t="str">
        <f t="shared" si="28"/>
        <v/>
      </c>
      <c r="C330">
        <f t="shared" ref="C330:C393" si="30">IF(OR(B330="",B330&lt;&gt;B329),1,C329+1)</f>
        <v>1</v>
      </c>
      <c r="D330" s="4"/>
      <c r="E330" t="s">
        <v>18</v>
      </c>
      <c r="F330" t="str">
        <f>INDEX(Establishment!B$2:B$1005,MATCH($E330,Establishment!$A$2:$A$1005,0))</f>
        <v xml:space="preserve"> </v>
      </c>
      <c r="G330" t="str">
        <f>INDEX(Establishment!C$2:C$1005,MATCH($E330,Establishment!$A$2:$A$1005,0))</f>
        <v xml:space="preserve"> </v>
      </c>
      <c r="M330">
        <f t="shared" ref="M330:M393" si="31">K330*L330</f>
        <v>0</v>
      </c>
      <c r="N330">
        <f t="shared" si="29"/>
        <v>0</v>
      </c>
      <c r="P330" t="e">
        <f>INDEX(Items!B$2:B$1032,MATCH($O330,Items!$A$2:$A$1032,0))</f>
        <v>#N/A</v>
      </c>
      <c r="Q330" t="e">
        <f>INDEX(Items!C$2:C$1032,MATCH($O330,Items!$A$2:$A$1032,0))</f>
        <v>#N/A</v>
      </c>
      <c r="R330" t="e">
        <f>INDEX(Items!D$2:D$1032,MATCH($O330,Items!$A$2:$A$1032,0))</f>
        <v>#N/A</v>
      </c>
    </row>
    <row r="331" spans="1:18" x14ac:dyDescent="0.25">
      <c r="A331">
        <f t="shared" si="27"/>
        <v>1</v>
      </c>
      <c r="B331" t="str">
        <f t="shared" si="28"/>
        <v/>
      </c>
      <c r="C331">
        <f t="shared" si="30"/>
        <v>1</v>
      </c>
      <c r="D331" s="4"/>
      <c r="E331" t="s">
        <v>18</v>
      </c>
      <c r="F331" t="str">
        <f>INDEX(Establishment!B$2:B$1005,MATCH($E331,Establishment!$A$2:$A$1005,0))</f>
        <v xml:space="preserve"> </v>
      </c>
      <c r="G331" t="str">
        <f>INDEX(Establishment!C$2:C$1005,MATCH($E331,Establishment!$A$2:$A$1005,0))</f>
        <v xml:space="preserve"> </v>
      </c>
      <c r="M331">
        <f t="shared" si="31"/>
        <v>0</v>
      </c>
      <c r="N331">
        <f t="shared" si="29"/>
        <v>0</v>
      </c>
      <c r="P331" t="e">
        <f>INDEX(Items!B$2:B$1032,MATCH($O331,Items!$A$2:$A$1032,0))</f>
        <v>#N/A</v>
      </c>
      <c r="Q331" t="e">
        <f>INDEX(Items!C$2:C$1032,MATCH($O331,Items!$A$2:$A$1032,0))</f>
        <v>#N/A</v>
      </c>
      <c r="R331" t="e">
        <f>INDEX(Items!D$2:D$1032,MATCH($O331,Items!$A$2:$A$1032,0))</f>
        <v>#N/A</v>
      </c>
    </row>
    <row r="332" spans="1:18" x14ac:dyDescent="0.25">
      <c r="A332">
        <f t="shared" si="27"/>
        <v>1</v>
      </c>
      <c r="B332" t="str">
        <f t="shared" si="28"/>
        <v/>
      </c>
      <c r="C332">
        <f t="shared" si="30"/>
        <v>1</v>
      </c>
      <c r="D332" s="4"/>
      <c r="E332" t="s">
        <v>18</v>
      </c>
      <c r="F332" t="str">
        <f>INDEX(Establishment!B$2:B$1005,MATCH($E332,Establishment!$A$2:$A$1005,0))</f>
        <v xml:space="preserve"> </v>
      </c>
      <c r="G332" t="str">
        <f>INDEX(Establishment!C$2:C$1005,MATCH($E332,Establishment!$A$2:$A$1005,0))</f>
        <v xml:space="preserve"> </v>
      </c>
      <c r="M332">
        <f t="shared" si="31"/>
        <v>0</v>
      </c>
      <c r="N332">
        <f t="shared" si="29"/>
        <v>0</v>
      </c>
      <c r="P332" t="e">
        <f>INDEX(Items!B$2:B$1032,MATCH($O332,Items!$A$2:$A$1032,0))</f>
        <v>#N/A</v>
      </c>
      <c r="Q332" t="e">
        <f>INDEX(Items!C$2:C$1032,MATCH($O332,Items!$A$2:$A$1032,0))</f>
        <v>#N/A</v>
      </c>
      <c r="R332" t="e">
        <f>INDEX(Items!D$2:D$1032,MATCH($O332,Items!$A$2:$A$1032,0))</f>
        <v>#N/A</v>
      </c>
    </row>
    <row r="333" spans="1:18" x14ac:dyDescent="0.25">
      <c r="A333">
        <f t="shared" si="27"/>
        <v>1</v>
      </c>
      <c r="B333" t="str">
        <f t="shared" si="28"/>
        <v/>
      </c>
      <c r="C333">
        <f t="shared" si="30"/>
        <v>1</v>
      </c>
      <c r="D333" s="4"/>
      <c r="E333" t="s">
        <v>18</v>
      </c>
      <c r="F333" t="str">
        <f>INDEX(Establishment!B$2:B$1005,MATCH($E333,Establishment!$A$2:$A$1005,0))</f>
        <v xml:space="preserve"> </v>
      </c>
      <c r="G333" t="str">
        <f>INDEX(Establishment!C$2:C$1005,MATCH($E333,Establishment!$A$2:$A$1005,0))</f>
        <v xml:space="preserve"> </v>
      </c>
      <c r="M333">
        <f t="shared" si="31"/>
        <v>0</v>
      </c>
      <c r="N333">
        <f t="shared" si="29"/>
        <v>0</v>
      </c>
      <c r="P333" t="e">
        <f>INDEX(Items!B$2:B$1032,MATCH($O333,Items!$A$2:$A$1032,0))</f>
        <v>#N/A</v>
      </c>
      <c r="Q333" t="e">
        <f>INDEX(Items!C$2:C$1032,MATCH($O333,Items!$A$2:$A$1032,0))</f>
        <v>#N/A</v>
      </c>
      <c r="R333" t="e">
        <f>INDEX(Items!D$2:D$1032,MATCH($O333,Items!$A$2:$A$1032,0))</f>
        <v>#N/A</v>
      </c>
    </row>
    <row r="334" spans="1:18" x14ac:dyDescent="0.25">
      <c r="A334">
        <f t="shared" si="27"/>
        <v>1</v>
      </c>
      <c r="B334" t="str">
        <f t="shared" si="28"/>
        <v/>
      </c>
      <c r="C334">
        <f t="shared" si="30"/>
        <v>1</v>
      </c>
      <c r="D334" s="4"/>
      <c r="E334" t="s">
        <v>18</v>
      </c>
      <c r="F334" t="str">
        <f>INDEX(Establishment!B$2:B$1005,MATCH($E334,Establishment!$A$2:$A$1005,0))</f>
        <v xml:space="preserve"> </v>
      </c>
      <c r="G334" t="str">
        <f>INDEX(Establishment!C$2:C$1005,MATCH($E334,Establishment!$A$2:$A$1005,0))</f>
        <v xml:space="preserve"> </v>
      </c>
      <c r="M334">
        <f t="shared" si="31"/>
        <v>0</v>
      </c>
      <c r="N334">
        <f t="shared" si="29"/>
        <v>0</v>
      </c>
      <c r="P334" t="e">
        <f>INDEX(Items!B$2:B$1032,MATCH($O334,Items!$A$2:$A$1032,0))</f>
        <v>#N/A</v>
      </c>
      <c r="Q334" t="e">
        <f>INDEX(Items!C$2:C$1032,MATCH($O334,Items!$A$2:$A$1032,0))</f>
        <v>#N/A</v>
      </c>
      <c r="R334" t="e">
        <f>INDEX(Items!D$2:D$1032,MATCH($O334,Items!$A$2:$A$1032,0))</f>
        <v>#N/A</v>
      </c>
    </row>
    <row r="335" spans="1:18" x14ac:dyDescent="0.25">
      <c r="A335">
        <f t="shared" si="27"/>
        <v>1</v>
      </c>
      <c r="B335" t="str">
        <f t="shared" si="28"/>
        <v/>
      </c>
      <c r="C335">
        <f t="shared" si="30"/>
        <v>1</v>
      </c>
      <c r="D335" s="4"/>
      <c r="E335" t="s">
        <v>18</v>
      </c>
      <c r="F335" t="str">
        <f>INDEX(Establishment!B$2:B$1005,MATCH($E335,Establishment!$A$2:$A$1005,0))</f>
        <v xml:space="preserve"> </v>
      </c>
      <c r="G335" t="str">
        <f>INDEX(Establishment!C$2:C$1005,MATCH($E335,Establishment!$A$2:$A$1005,0))</f>
        <v xml:space="preserve"> </v>
      </c>
      <c r="M335">
        <f t="shared" si="31"/>
        <v>0</v>
      </c>
      <c r="N335">
        <f t="shared" si="29"/>
        <v>0</v>
      </c>
      <c r="P335" t="e">
        <f>INDEX(Items!B$2:B$1032,MATCH($O335,Items!$A$2:$A$1032,0))</f>
        <v>#N/A</v>
      </c>
      <c r="Q335" t="e">
        <f>INDEX(Items!C$2:C$1032,MATCH($O335,Items!$A$2:$A$1032,0))</f>
        <v>#N/A</v>
      </c>
      <c r="R335" t="e">
        <f>INDEX(Items!D$2:D$1032,MATCH($O335,Items!$A$2:$A$1032,0))</f>
        <v>#N/A</v>
      </c>
    </row>
    <row r="336" spans="1:18" x14ac:dyDescent="0.25">
      <c r="A336">
        <f t="shared" si="27"/>
        <v>1</v>
      </c>
      <c r="B336" t="str">
        <f t="shared" si="28"/>
        <v/>
      </c>
      <c r="C336">
        <f t="shared" si="30"/>
        <v>1</v>
      </c>
      <c r="D336" s="4"/>
      <c r="E336" t="s">
        <v>18</v>
      </c>
      <c r="F336" t="str">
        <f>INDEX(Establishment!B$2:B$1005,MATCH($E336,Establishment!$A$2:$A$1005,0))</f>
        <v xml:space="preserve"> </v>
      </c>
      <c r="G336" t="str">
        <f>INDEX(Establishment!C$2:C$1005,MATCH($E336,Establishment!$A$2:$A$1005,0))</f>
        <v xml:space="preserve"> </v>
      </c>
      <c r="M336">
        <f t="shared" si="31"/>
        <v>0</v>
      </c>
      <c r="N336">
        <f t="shared" si="29"/>
        <v>0</v>
      </c>
      <c r="P336" t="e">
        <f>INDEX(Items!B$2:B$1032,MATCH($O336,Items!$A$2:$A$1032,0))</f>
        <v>#N/A</v>
      </c>
      <c r="Q336" t="e">
        <f>INDEX(Items!C$2:C$1032,MATCH($O336,Items!$A$2:$A$1032,0))</f>
        <v>#N/A</v>
      </c>
      <c r="R336" t="e">
        <f>INDEX(Items!D$2:D$1032,MATCH($O336,Items!$A$2:$A$1032,0))</f>
        <v>#N/A</v>
      </c>
    </row>
    <row r="337" spans="1:18" x14ac:dyDescent="0.25">
      <c r="A337">
        <f t="shared" si="27"/>
        <v>1</v>
      </c>
      <c r="B337" t="str">
        <f t="shared" si="28"/>
        <v/>
      </c>
      <c r="C337">
        <f t="shared" si="30"/>
        <v>1</v>
      </c>
      <c r="D337" s="4"/>
      <c r="E337" t="s">
        <v>18</v>
      </c>
      <c r="F337" t="str">
        <f>INDEX(Establishment!B$2:B$1005,MATCH($E337,Establishment!$A$2:$A$1005,0))</f>
        <v xml:space="preserve"> </v>
      </c>
      <c r="G337" t="str">
        <f>INDEX(Establishment!C$2:C$1005,MATCH($E337,Establishment!$A$2:$A$1005,0))</f>
        <v xml:space="preserve"> </v>
      </c>
      <c r="M337">
        <f t="shared" si="31"/>
        <v>0</v>
      </c>
      <c r="N337">
        <f t="shared" si="29"/>
        <v>0</v>
      </c>
      <c r="P337" t="e">
        <f>INDEX(Items!B$2:B$1032,MATCH($O337,Items!$A$2:$A$1032,0))</f>
        <v>#N/A</v>
      </c>
      <c r="Q337" t="e">
        <f>INDEX(Items!C$2:C$1032,MATCH($O337,Items!$A$2:$A$1032,0))</f>
        <v>#N/A</v>
      </c>
      <c r="R337" t="e">
        <f>INDEX(Items!D$2:D$1032,MATCH($O337,Items!$A$2:$A$1032,0))</f>
        <v>#N/A</v>
      </c>
    </row>
    <row r="338" spans="1:18" x14ac:dyDescent="0.25">
      <c r="A338">
        <f t="shared" si="27"/>
        <v>1</v>
      </c>
      <c r="B338" t="str">
        <f t="shared" si="28"/>
        <v/>
      </c>
      <c r="C338">
        <f t="shared" si="30"/>
        <v>1</v>
      </c>
      <c r="D338" s="4"/>
      <c r="E338" t="s">
        <v>18</v>
      </c>
      <c r="F338" t="str">
        <f>INDEX(Establishment!B$2:B$1005,MATCH($E338,Establishment!$A$2:$A$1005,0))</f>
        <v xml:space="preserve"> </v>
      </c>
      <c r="G338" t="str">
        <f>INDEX(Establishment!C$2:C$1005,MATCH($E338,Establishment!$A$2:$A$1005,0))</f>
        <v xml:space="preserve"> </v>
      </c>
      <c r="M338">
        <f t="shared" si="31"/>
        <v>0</v>
      </c>
      <c r="N338">
        <f t="shared" si="29"/>
        <v>0</v>
      </c>
      <c r="P338" t="e">
        <f>INDEX(Items!B$2:B$1032,MATCH($O338,Items!$A$2:$A$1032,0))</f>
        <v>#N/A</v>
      </c>
      <c r="Q338" t="e">
        <f>INDEX(Items!C$2:C$1032,MATCH($O338,Items!$A$2:$A$1032,0))</f>
        <v>#N/A</v>
      </c>
      <c r="R338" t="e">
        <f>INDEX(Items!D$2:D$1032,MATCH($O338,Items!$A$2:$A$1032,0))</f>
        <v>#N/A</v>
      </c>
    </row>
    <row r="339" spans="1:18" x14ac:dyDescent="0.25">
      <c r="A339">
        <f t="shared" si="27"/>
        <v>1</v>
      </c>
      <c r="B339" t="str">
        <f t="shared" si="28"/>
        <v/>
      </c>
      <c r="C339">
        <f t="shared" si="30"/>
        <v>1</v>
      </c>
      <c r="D339" s="4"/>
      <c r="E339" t="s">
        <v>18</v>
      </c>
      <c r="F339" t="str">
        <f>INDEX(Establishment!B$2:B$1005,MATCH($E339,Establishment!$A$2:$A$1005,0))</f>
        <v xml:space="preserve"> </v>
      </c>
      <c r="G339" t="str">
        <f>INDEX(Establishment!C$2:C$1005,MATCH($E339,Establishment!$A$2:$A$1005,0))</f>
        <v xml:space="preserve"> </v>
      </c>
      <c r="M339">
        <f t="shared" si="31"/>
        <v>0</v>
      </c>
      <c r="N339">
        <f t="shared" si="29"/>
        <v>0</v>
      </c>
      <c r="P339" t="e">
        <f>INDEX(Items!B$2:B$1032,MATCH($O339,Items!$A$2:$A$1032,0))</f>
        <v>#N/A</v>
      </c>
      <c r="Q339" t="e">
        <f>INDEX(Items!C$2:C$1032,MATCH($O339,Items!$A$2:$A$1032,0))</f>
        <v>#N/A</v>
      </c>
      <c r="R339" t="e">
        <f>INDEX(Items!D$2:D$1032,MATCH($O339,Items!$A$2:$A$1032,0))</f>
        <v>#N/A</v>
      </c>
    </row>
    <row r="340" spans="1:18" x14ac:dyDescent="0.25">
      <c r="A340">
        <f t="shared" si="27"/>
        <v>1</v>
      </c>
      <c r="B340" t="str">
        <f t="shared" si="28"/>
        <v/>
      </c>
      <c r="C340">
        <f t="shared" si="30"/>
        <v>1</v>
      </c>
      <c r="D340" s="4"/>
      <c r="E340" t="s">
        <v>18</v>
      </c>
      <c r="F340" t="str">
        <f>INDEX(Establishment!B$2:B$1005,MATCH($E340,Establishment!$A$2:$A$1005,0))</f>
        <v xml:space="preserve"> </v>
      </c>
      <c r="G340" t="str">
        <f>INDEX(Establishment!C$2:C$1005,MATCH($E340,Establishment!$A$2:$A$1005,0))</f>
        <v xml:space="preserve"> </v>
      </c>
      <c r="M340">
        <f t="shared" si="31"/>
        <v>0</v>
      </c>
      <c r="N340">
        <f t="shared" si="29"/>
        <v>0</v>
      </c>
      <c r="P340" t="e">
        <f>INDEX(Items!B$2:B$1032,MATCH($O340,Items!$A$2:$A$1032,0))</f>
        <v>#N/A</v>
      </c>
      <c r="Q340" t="e">
        <f>INDEX(Items!C$2:C$1032,MATCH($O340,Items!$A$2:$A$1032,0))</f>
        <v>#N/A</v>
      </c>
      <c r="R340" t="e">
        <f>INDEX(Items!D$2:D$1032,MATCH($O340,Items!$A$2:$A$1032,0))</f>
        <v>#N/A</v>
      </c>
    </row>
    <row r="341" spans="1:18" x14ac:dyDescent="0.25">
      <c r="A341">
        <f t="shared" si="27"/>
        <v>1</v>
      </c>
      <c r="B341" t="str">
        <f t="shared" si="28"/>
        <v/>
      </c>
      <c r="C341">
        <f t="shared" si="30"/>
        <v>1</v>
      </c>
      <c r="D341" s="4"/>
      <c r="E341" t="s">
        <v>18</v>
      </c>
      <c r="F341" t="str">
        <f>INDEX(Establishment!B$2:B$1005,MATCH($E341,Establishment!$A$2:$A$1005,0))</f>
        <v xml:space="preserve"> </v>
      </c>
      <c r="G341" t="str">
        <f>INDEX(Establishment!C$2:C$1005,MATCH($E341,Establishment!$A$2:$A$1005,0))</f>
        <v xml:space="preserve"> </v>
      </c>
      <c r="M341">
        <f t="shared" si="31"/>
        <v>0</v>
      </c>
      <c r="N341">
        <f t="shared" si="29"/>
        <v>0</v>
      </c>
      <c r="P341" t="e">
        <f>INDEX(Items!B$2:B$1032,MATCH($O341,Items!$A$2:$A$1032,0))</f>
        <v>#N/A</v>
      </c>
      <c r="Q341" t="e">
        <f>INDEX(Items!C$2:C$1032,MATCH($O341,Items!$A$2:$A$1032,0))</f>
        <v>#N/A</v>
      </c>
      <c r="R341" t="e">
        <f>INDEX(Items!D$2:D$1032,MATCH($O341,Items!$A$2:$A$1032,0))</f>
        <v>#N/A</v>
      </c>
    </row>
    <row r="342" spans="1:18" x14ac:dyDescent="0.25">
      <c r="A342">
        <f t="shared" si="27"/>
        <v>1</v>
      </c>
      <c r="B342" t="str">
        <f t="shared" si="28"/>
        <v/>
      </c>
      <c r="C342">
        <f t="shared" si="30"/>
        <v>1</v>
      </c>
      <c r="D342" s="4"/>
      <c r="E342" t="s">
        <v>18</v>
      </c>
      <c r="F342" t="str">
        <f>INDEX(Establishment!B$2:B$1005,MATCH($E342,Establishment!$A$2:$A$1005,0))</f>
        <v xml:space="preserve"> </v>
      </c>
      <c r="G342" t="str">
        <f>INDEX(Establishment!C$2:C$1005,MATCH($E342,Establishment!$A$2:$A$1005,0))</f>
        <v xml:space="preserve"> </v>
      </c>
      <c r="M342">
        <f t="shared" si="31"/>
        <v>0</v>
      </c>
      <c r="N342">
        <f t="shared" si="29"/>
        <v>0</v>
      </c>
      <c r="P342" t="e">
        <f>INDEX(Items!B$2:B$1032,MATCH($O342,Items!$A$2:$A$1032,0))</f>
        <v>#N/A</v>
      </c>
      <c r="Q342" t="e">
        <f>INDEX(Items!C$2:C$1032,MATCH($O342,Items!$A$2:$A$1032,0))</f>
        <v>#N/A</v>
      </c>
      <c r="R342" t="e">
        <f>INDEX(Items!D$2:D$1032,MATCH($O342,Items!$A$2:$A$1032,0))</f>
        <v>#N/A</v>
      </c>
    </row>
    <row r="343" spans="1:18" x14ac:dyDescent="0.25">
      <c r="A343">
        <f t="shared" si="27"/>
        <v>1</v>
      </c>
      <c r="B343" t="str">
        <f t="shared" si="28"/>
        <v/>
      </c>
      <c r="C343">
        <f t="shared" si="30"/>
        <v>1</v>
      </c>
      <c r="D343" s="4"/>
      <c r="E343" t="s">
        <v>18</v>
      </c>
      <c r="F343" t="str">
        <f>INDEX(Establishment!B$2:B$1005,MATCH($E343,Establishment!$A$2:$A$1005,0))</f>
        <v xml:space="preserve"> </v>
      </c>
      <c r="G343" t="str">
        <f>INDEX(Establishment!C$2:C$1005,MATCH($E343,Establishment!$A$2:$A$1005,0))</f>
        <v xml:space="preserve"> </v>
      </c>
      <c r="M343">
        <f t="shared" si="31"/>
        <v>0</v>
      </c>
      <c r="N343">
        <f t="shared" si="29"/>
        <v>0</v>
      </c>
      <c r="P343" t="e">
        <f>INDEX(Items!B$2:B$1032,MATCH($O343,Items!$A$2:$A$1032,0))</f>
        <v>#N/A</v>
      </c>
      <c r="Q343" t="e">
        <f>INDEX(Items!C$2:C$1032,MATCH($O343,Items!$A$2:$A$1032,0))</f>
        <v>#N/A</v>
      </c>
      <c r="R343" t="e">
        <f>INDEX(Items!D$2:D$1032,MATCH($O343,Items!$A$2:$A$1032,0))</f>
        <v>#N/A</v>
      </c>
    </row>
    <row r="344" spans="1:18" x14ac:dyDescent="0.25">
      <c r="A344">
        <f t="shared" si="27"/>
        <v>1</v>
      </c>
      <c r="B344" t="str">
        <f t="shared" si="28"/>
        <v/>
      </c>
      <c r="C344">
        <f t="shared" si="30"/>
        <v>1</v>
      </c>
      <c r="D344" s="4"/>
      <c r="E344" t="s">
        <v>18</v>
      </c>
      <c r="F344" t="str">
        <f>INDEX(Establishment!B$2:B$1005,MATCH($E344,Establishment!$A$2:$A$1005,0))</f>
        <v xml:space="preserve"> </v>
      </c>
      <c r="G344" t="str">
        <f>INDEX(Establishment!C$2:C$1005,MATCH($E344,Establishment!$A$2:$A$1005,0))</f>
        <v xml:space="preserve"> </v>
      </c>
      <c r="M344">
        <f t="shared" si="31"/>
        <v>0</v>
      </c>
      <c r="N344">
        <f t="shared" si="29"/>
        <v>0</v>
      </c>
      <c r="P344" t="e">
        <f>INDEX(Items!B$2:B$1032,MATCH($O344,Items!$A$2:$A$1032,0))</f>
        <v>#N/A</v>
      </c>
      <c r="Q344" t="e">
        <f>INDEX(Items!C$2:C$1032,MATCH($O344,Items!$A$2:$A$1032,0))</f>
        <v>#N/A</v>
      </c>
      <c r="R344" t="e">
        <f>INDEX(Items!D$2:D$1032,MATCH($O344,Items!$A$2:$A$1032,0))</f>
        <v>#N/A</v>
      </c>
    </row>
    <row r="345" spans="1:18" x14ac:dyDescent="0.25">
      <c r="A345">
        <f t="shared" si="27"/>
        <v>1</v>
      </c>
      <c r="B345" t="str">
        <f t="shared" si="28"/>
        <v/>
      </c>
      <c r="C345">
        <f t="shared" si="30"/>
        <v>1</v>
      </c>
      <c r="D345" s="4"/>
      <c r="E345" t="s">
        <v>18</v>
      </c>
      <c r="F345" t="str">
        <f>INDEX(Establishment!B$2:B$1005,MATCH($E345,Establishment!$A$2:$A$1005,0))</f>
        <v xml:space="preserve"> </v>
      </c>
      <c r="G345" t="str">
        <f>INDEX(Establishment!C$2:C$1005,MATCH($E345,Establishment!$A$2:$A$1005,0))</f>
        <v xml:space="preserve"> </v>
      </c>
      <c r="M345">
        <f t="shared" si="31"/>
        <v>0</v>
      </c>
      <c r="N345">
        <f t="shared" si="29"/>
        <v>0</v>
      </c>
      <c r="P345" t="e">
        <f>INDEX(Items!B$2:B$1032,MATCH($O345,Items!$A$2:$A$1032,0))</f>
        <v>#N/A</v>
      </c>
      <c r="Q345" t="e">
        <f>INDEX(Items!C$2:C$1032,MATCH($O345,Items!$A$2:$A$1032,0))</f>
        <v>#N/A</v>
      </c>
      <c r="R345" t="e">
        <f>INDEX(Items!D$2:D$1032,MATCH($O345,Items!$A$2:$A$1032,0))</f>
        <v>#N/A</v>
      </c>
    </row>
    <row r="346" spans="1:18" x14ac:dyDescent="0.25">
      <c r="A346">
        <f t="shared" si="27"/>
        <v>1</v>
      </c>
      <c r="B346" t="str">
        <f t="shared" si="28"/>
        <v/>
      </c>
      <c r="C346">
        <f t="shared" si="30"/>
        <v>1</v>
      </c>
      <c r="D346" s="4"/>
      <c r="E346" t="s">
        <v>18</v>
      </c>
      <c r="F346" t="str">
        <f>INDEX(Establishment!B$2:B$1005,MATCH($E346,Establishment!$A$2:$A$1005,0))</f>
        <v xml:space="preserve"> </v>
      </c>
      <c r="G346" t="str">
        <f>INDEX(Establishment!C$2:C$1005,MATCH($E346,Establishment!$A$2:$A$1005,0))</f>
        <v xml:space="preserve"> </v>
      </c>
      <c r="M346">
        <f t="shared" si="31"/>
        <v>0</v>
      </c>
      <c r="N346">
        <f t="shared" si="29"/>
        <v>0</v>
      </c>
      <c r="P346" t="e">
        <f>INDEX(Items!B$2:B$1032,MATCH($O346,Items!$A$2:$A$1032,0))</f>
        <v>#N/A</v>
      </c>
      <c r="Q346" t="e">
        <f>INDEX(Items!C$2:C$1032,MATCH($O346,Items!$A$2:$A$1032,0))</f>
        <v>#N/A</v>
      </c>
      <c r="R346" t="e">
        <f>INDEX(Items!D$2:D$1032,MATCH($O346,Items!$A$2:$A$1032,0))</f>
        <v>#N/A</v>
      </c>
    </row>
    <row r="347" spans="1:18" x14ac:dyDescent="0.25">
      <c r="A347">
        <f t="shared" si="27"/>
        <v>1</v>
      </c>
      <c r="B347" t="str">
        <f t="shared" si="28"/>
        <v/>
      </c>
      <c r="C347">
        <f t="shared" si="30"/>
        <v>1</v>
      </c>
      <c r="D347" s="4"/>
      <c r="E347" t="s">
        <v>18</v>
      </c>
      <c r="F347" t="str">
        <f>INDEX(Establishment!B$2:B$1005,MATCH($E347,Establishment!$A$2:$A$1005,0))</f>
        <v xml:space="preserve"> </v>
      </c>
      <c r="G347" t="str">
        <f>INDEX(Establishment!C$2:C$1005,MATCH($E347,Establishment!$A$2:$A$1005,0))</f>
        <v xml:space="preserve"> </v>
      </c>
      <c r="M347">
        <f t="shared" si="31"/>
        <v>0</v>
      </c>
      <c r="N347">
        <f t="shared" si="29"/>
        <v>0</v>
      </c>
      <c r="P347" t="e">
        <f>INDEX(Items!B$2:B$1032,MATCH($O347,Items!$A$2:$A$1032,0))</f>
        <v>#N/A</v>
      </c>
      <c r="Q347" t="e">
        <f>INDEX(Items!C$2:C$1032,MATCH($O347,Items!$A$2:$A$1032,0))</f>
        <v>#N/A</v>
      </c>
      <c r="R347" t="e">
        <f>INDEX(Items!D$2:D$1032,MATCH($O347,Items!$A$2:$A$1032,0))</f>
        <v>#N/A</v>
      </c>
    </row>
    <row r="348" spans="1:18" x14ac:dyDescent="0.25">
      <c r="A348">
        <f t="shared" si="27"/>
        <v>1</v>
      </c>
      <c r="B348" t="str">
        <f t="shared" si="28"/>
        <v/>
      </c>
      <c r="C348">
        <f t="shared" si="30"/>
        <v>1</v>
      </c>
      <c r="D348" s="4"/>
      <c r="E348" t="s">
        <v>18</v>
      </c>
      <c r="F348" t="str">
        <f>INDEX(Establishment!B$2:B$1005,MATCH($E348,Establishment!$A$2:$A$1005,0))</f>
        <v xml:space="preserve"> </v>
      </c>
      <c r="G348" t="str">
        <f>INDEX(Establishment!C$2:C$1005,MATCH($E348,Establishment!$A$2:$A$1005,0))</f>
        <v xml:space="preserve"> </v>
      </c>
      <c r="M348">
        <f t="shared" si="31"/>
        <v>0</v>
      </c>
      <c r="N348">
        <f t="shared" si="29"/>
        <v>0</v>
      </c>
      <c r="P348" t="e">
        <f>INDEX(Items!B$2:B$1032,MATCH($O348,Items!$A$2:$A$1032,0))</f>
        <v>#N/A</v>
      </c>
      <c r="Q348" t="e">
        <f>INDEX(Items!C$2:C$1032,MATCH($O348,Items!$A$2:$A$1032,0))</f>
        <v>#N/A</v>
      </c>
      <c r="R348" t="e">
        <f>INDEX(Items!D$2:D$1032,MATCH($O348,Items!$A$2:$A$1032,0))</f>
        <v>#N/A</v>
      </c>
    </row>
    <row r="349" spans="1:18" x14ac:dyDescent="0.25">
      <c r="A349">
        <f t="shared" si="27"/>
        <v>1</v>
      </c>
      <c r="B349" t="str">
        <f t="shared" si="28"/>
        <v/>
      </c>
      <c r="C349">
        <f t="shared" si="30"/>
        <v>1</v>
      </c>
      <c r="D349" s="4"/>
      <c r="E349" t="s">
        <v>18</v>
      </c>
      <c r="F349" t="str">
        <f>INDEX(Establishment!B$2:B$1005,MATCH($E349,Establishment!$A$2:$A$1005,0))</f>
        <v xml:space="preserve"> </v>
      </c>
      <c r="G349" t="str">
        <f>INDEX(Establishment!C$2:C$1005,MATCH($E349,Establishment!$A$2:$A$1005,0))</f>
        <v xml:space="preserve"> </v>
      </c>
      <c r="M349">
        <f t="shared" si="31"/>
        <v>0</v>
      </c>
      <c r="N349">
        <f t="shared" si="29"/>
        <v>0</v>
      </c>
      <c r="P349" t="e">
        <f>INDEX(Items!B$2:B$1032,MATCH($O349,Items!$A$2:$A$1032,0))</f>
        <v>#N/A</v>
      </c>
      <c r="Q349" t="e">
        <f>INDEX(Items!C$2:C$1032,MATCH($O349,Items!$A$2:$A$1032,0))</f>
        <v>#N/A</v>
      </c>
      <c r="R349" t="e">
        <f>INDEX(Items!D$2:D$1032,MATCH($O349,Items!$A$2:$A$1032,0))</f>
        <v>#N/A</v>
      </c>
    </row>
    <row r="350" spans="1:18" x14ac:dyDescent="0.25">
      <c r="A350">
        <f t="shared" si="27"/>
        <v>1</v>
      </c>
      <c r="B350" t="str">
        <f t="shared" si="28"/>
        <v/>
      </c>
      <c r="C350">
        <f t="shared" si="30"/>
        <v>1</v>
      </c>
      <c r="D350" s="4"/>
      <c r="E350" t="s">
        <v>18</v>
      </c>
      <c r="F350" t="str">
        <f>INDEX(Establishment!B$2:B$1005,MATCH($E350,Establishment!$A$2:$A$1005,0))</f>
        <v xml:space="preserve"> </v>
      </c>
      <c r="G350" t="str">
        <f>INDEX(Establishment!C$2:C$1005,MATCH($E350,Establishment!$A$2:$A$1005,0))</f>
        <v xml:space="preserve"> </v>
      </c>
      <c r="M350">
        <f t="shared" si="31"/>
        <v>0</v>
      </c>
      <c r="N350">
        <f t="shared" si="29"/>
        <v>0</v>
      </c>
      <c r="P350" t="e">
        <f>INDEX(Items!B$2:B$1032,MATCH($O350,Items!$A$2:$A$1032,0))</f>
        <v>#N/A</v>
      </c>
      <c r="Q350" t="e">
        <f>INDEX(Items!C$2:C$1032,MATCH($O350,Items!$A$2:$A$1032,0))</f>
        <v>#N/A</v>
      </c>
      <c r="R350" t="e">
        <f>INDEX(Items!D$2:D$1032,MATCH($O350,Items!$A$2:$A$1032,0))</f>
        <v>#N/A</v>
      </c>
    </row>
    <row r="351" spans="1:18" x14ac:dyDescent="0.25">
      <c r="A351">
        <f t="shared" si="27"/>
        <v>1</v>
      </c>
      <c r="B351" t="str">
        <f t="shared" si="28"/>
        <v/>
      </c>
      <c r="C351">
        <f t="shared" si="30"/>
        <v>1</v>
      </c>
      <c r="D351" s="4"/>
      <c r="E351" t="s">
        <v>18</v>
      </c>
      <c r="F351" t="str">
        <f>INDEX(Establishment!B$2:B$1005,MATCH($E351,Establishment!$A$2:$A$1005,0))</f>
        <v xml:space="preserve"> </v>
      </c>
      <c r="G351" t="str">
        <f>INDEX(Establishment!C$2:C$1005,MATCH($E351,Establishment!$A$2:$A$1005,0))</f>
        <v xml:space="preserve"> </v>
      </c>
      <c r="M351">
        <f t="shared" si="31"/>
        <v>0</v>
      </c>
      <c r="N351">
        <f t="shared" si="29"/>
        <v>0</v>
      </c>
      <c r="P351" t="e">
        <f>INDEX(Items!B$2:B$1032,MATCH($O351,Items!$A$2:$A$1032,0))</f>
        <v>#N/A</v>
      </c>
      <c r="Q351" t="e">
        <f>INDEX(Items!C$2:C$1032,MATCH($O351,Items!$A$2:$A$1032,0))</f>
        <v>#N/A</v>
      </c>
      <c r="R351" t="e">
        <f>INDEX(Items!D$2:D$1032,MATCH($O351,Items!$A$2:$A$1032,0))</f>
        <v>#N/A</v>
      </c>
    </row>
    <row r="352" spans="1:18" x14ac:dyDescent="0.25">
      <c r="A352">
        <f t="shared" si="27"/>
        <v>1</v>
      </c>
      <c r="B352" t="str">
        <f t="shared" si="28"/>
        <v/>
      </c>
      <c r="C352">
        <f t="shared" si="30"/>
        <v>1</v>
      </c>
      <c r="D352" s="4"/>
      <c r="E352" t="s">
        <v>18</v>
      </c>
      <c r="F352" t="str">
        <f>INDEX(Establishment!B$2:B$1005,MATCH($E352,Establishment!$A$2:$A$1005,0))</f>
        <v xml:space="preserve"> </v>
      </c>
      <c r="G352" t="str">
        <f>INDEX(Establishment!C$2:C$1005,MATCH($E352,Establishment!$A$2:$A$1005,0))</f>
        <v xml:space="preserve"> </v>
      </c>
      <c r="M352">
        <f t="shared" si="31"/>
        <v>0</v>
      </c>
      <c r="N352">
        <f t="shared" si="29"/>
        <v>0</v>
      </c>
      <c r="P352" t="e">
        <f>INDEX(Items!B$2:B$1032,MATCH($O352,Items!$A$2:$A$1032,0))</f>
        <v>#N/A</v>
      </c>
      <c r="Q352" t="e">
        <f>INDEX(Items!C$2:C$1032,MATCH($O352,Items!$A$2:$A$1032,0))</f>
        <v>#N/A</v>
      </c>
      <c r="R352" t="e">
        <f>INDEX(Items!D$2:D$1032,MATCH($O352,Items!$A$2:$A$1032,0))</f>
        <v>#N/A</v>
      </c>
    </row>
    <row r="353" spans="1:18" x14ac:dyDescent="0.25">
      <c r="A353">
        <f t="shared" si="27"/>
        <v>1</v>
      </c>
      <c r="B353" t="str">
        <f t="shared" si="28"/>
        <v/>
      </c>
      <c r="C353">
        <f t="shared" si="30"/>
        <v>1</v>
      </c>
      <c r="D353" s="4"/>
      <c r="E353" t="s">
        <v>18</v>
      </c>
      <c r="F353" t="str">
        <f>INDEX(Establishment!B$2:B$1005,MATCH($E353,Establishment!$A$2:$A$1005,0))</f>
        <v xml:space="preserve"> </v>
      </c>
      <c r="G353" t="str">
        <f>INDEX(Establishment!C$2:C$1005,MATCH($E353,Establishment!$A$2:$A$1005,0))</f>
        <v xml:space="preserve"> </v>
      </c>
      <c r="M353">
        <f t="shared" si="31"/>
        <v>0</v>
      </c>
      <c r="N353">
        <f t="shared" si="29"/>
        <v>0</v>
      </c>
      <c r="P353" t="e">
        <f>INDEX(Items!B$2:B$1032,MATCH($O353,Items!$A$2:$A$1032,0))</f>
        <v>#N/A</v>
      </c>
      <c r="Q353" t="e">
        <f>INDEX(Items!C$2:C$1032,MATCH($O353,Items!$A$2:$A$1032,0))</f>
        <v>#N/A</v>
      </c>
      <c r="R353" t="e">
        <f>INDEX(Items!D$2:D$1032,MATCH($O353,Items!$A$2:$A$1032,0))</f>
        <v>#N/A</v>
      </c>
    </row>
    <row r="354" spans="1:18" x14ac:dyDescent="0.25">
      <c r="A354">
        <f t="shared" si="27"/>
        <v>1</v>
      </c>
      <c r="B354" t="str">
        <f t="shared" si="28"/>
        <v/>
      </c>
      <c r="C354">
        <f t="shared" si="30"/>
        <v>1</v>
      </c>
      <c r="D354" s="4"/>
      <c r="E354" t="s">
        <v>18</v>
      </c>
      <c r="F354" t="str">
        <f>INDEX(Establishment!B$2:B$1005,MATCH($E354,Establishment!$A$2:$A$1005,0))</f>
        <v xml:space="preserve"> </v>
      </c>
      <c r="G354" t="str">
        <f>INDEX(Establishment!C$2:C$1005,MATCH($E354,Establishment!$A$2:$A$1005,0))</f>
        <v xml:space="preserve"> </v>
      </c>
      <c r="M354">
        <f t="shared" si="31"/>
        <v>0</v>
      </c>
      <c r="N354">
        <f t="shared" si="29"/>
        <v>0</v>
      </c>
      <c r="P354" t="e">
        <f>INDEX(Items!B$2:B$1032,MATCH($O354,Items!$A$2:$A$1032,0))</f>
        <v>#N/A</v>
      </c>
      <c r="Q354" t="e">
        <f>INDEX(Items!C$2:C$1032,MATCH($O354,Items!$A$2:$A$1032,0))</f>
        <v>#N/A</v>
      </c>
      <c r="R354" t="e">
        <f>INDEX(Items!D$2:D$1032,MATCH($O354,Items!$A$2:$A$1032,0))</f>
        <v>#N/A</v>
      </c>
    </row>
    <row r="355" spans="1:18" x14ac:dyDescent="0.25">
      <c r="A355">
        <f t="shared" si="27"/>
        <v>1</v>
      </c>
      <c r="B355" t="str">
        <f t="shared" si="28"/>
        <v/>
      </c>
      <c r="C355">
        <f t="shared" si="30"/>
        <v>1</v>
      </c>
      <c r="D355" s="4"/>
      <c r="E355" t="s">
        <v>18</v>
      </c>
      <c r="F355" t="str">
        <f>INDEX(Establishment!B$2:B$1005,MATCH($E355,Establishment!$A$2:$A$1005,0))</f>
        <v xml:space="preserve"> </v>
      </c>
      <c r="G355" t="str">
        <f>INDEX(Establishment!C$2:C$1005,MATCH($E355,Establishment!$A$2:$A$1005,0))</f>
        <v xml:space="preserve"> </v>
      </c>
      <c r="M355">
        <f t="shared" si="31"/>
        <v>0</v>
      </c>
      <c r="N355">
        <f t="shared" si="29"/>
        <v>0</v>
      </c>
      <c r="P355" t="e">
        <f>INDEX(Items!B$2:B$1032,MATCH($O355,Items!$A$2:$A$1032,0))</f>
        <v>#N/A</v>
      </c>
      <c r="Q355" t="e">
        <f>INDEX(Items!C$2:C$1032,MATCH($O355,Items!$A$2:$A$1032,0))</f>
        <v>#N/A</v>
      </c>
      <c r="R355" t="e">
        <f>INDEX(Items!D$2:D$1032,MATCH($O355,Items!$A$2:$A$1032,0))</f>
        <v>#N/A</v>
      </c>
    </row>
    <row r="356" spans="1:18" x14ac:dyDescent="0.25">
      <c r="A356">
        <f t="shared" si="27"/>
        <v>1</v>
      </c>
      <c r="B356" t="str">
        <f t="shared" si="28"/>
        <v/>
      </c>
      <c r="C356">
        <f t="shared" si="30"/>
        <v>1</v>
      </c>
      <c r="D356" s="4"/>
      <c r="E356" t="s">
        <v>18</v>
      </c>
      <c r="F356" t="str">
        <f>INDEX(Establishment!B$2:B$1005,MATCH($E356,Establishment!$A$2:$A$1005,0))</f>
        <v xml:space="preserve"> </v>
      </c>
      <c r="G356" t="str">
        <f>INDEX(Establishment!C$2:C$1005,MATCH($E356,Establishment!$A$2:$A$1005,0))</f>
        <v xml:space="preserve"> </v>
      </c>
      <c r="M356">
        <f t="shared" si="31"/>
        <v>0</v>
      </c>
      <c r="N356">
        <f t="shared" si="29"/>
        <v>0</v>
      </c>
      <c r="P356" t="e">
        <f>INDEX(Items!B$2:B$1032,MATCH($O356,Items!$A$2:$A$1032,0))</f>
        <v>#N/A</v>
      </c>
      <c r="Q356" t="e">
        <f>INDEX(Items!C$2:C$1032,MATCH($O356,Items!$A$2:$A$1032,0))</f>
        <v>#N/A</v>
      </c>
      <c r="R356" t="e">
        <f>INDEX(Items!D$2:D$1032,MATCH($O356,Items!$A$2:$A$1032,0))</f>
        <v>#N/A</v>
      </c>
    </row>
    <row r="357" spans="1:18" x14ac:dyDescent="0.25">
      <c r="A357">
        <f t="shared" si="27"/>
        <v>1</v>
      </c>
      <c r="B357" t="str">
        <f t="shared" si="28"/>
        <v/>
      </c>
      <c r="C357">
        <f t="shared" si="30"/>
        <v>1</v>
      </c>
      <c r="D357" s="4"/>
      <c r="E357" t="s">
        <v>18</v>
      </c>
      <c r="F357" t="str">
        <f>INDEX(Establishment!B$2:B$1005,MATCH($E357,Establishment!$A$2:$A$1005,0))</f>
        <v xml:space="preserve"> </v>
      </c>
      <c r="G357" t="str">
        <f>INDEX(Establishment!C$2:C$1005,MATCH($E357,Establishment!$A$2:$A$1005,0))</f>
        <v xml:space="preserve"> </v>
      </c>
      <c r="M357">
        <f t="shared" si="31"/>
        <v>0</v>
      </c>
      <c r="N357">
        <f t="shared" si="29"/>
        <v>0</v>
      </c>
      <c r="P357" t="e">
        <f>INDEX(Items!B$2:B$1032,MATCH($O357,Items!$A$2:$A$1032,0))</f>
        <v>#N/A</v>
      </c>
      <c r="Q357" t="e">
        <f>INDEX(Items!C$2:C$1032,MATCH($O357,Items!$A$2:$A$1032,0))</f>
        <v>#N/A</v>
      </c>
      <c r="R357" t="e">
        <f>INDEX(Items!D$2:D$1032,MATCH($O357,Items!$A$2:$A$1032,0))</f>
        <v>#N/A</v>
      </c>
    </row>
    <row r="358" spans="1:18" x14ac:dyDescent="0.25">
      <c r="A358">
        <f t="shared" si="27"/>
        <v>1</v>
      </c>
      <c r="B358" t="str">
        <f t="shared" si="28"/>
        <v/>
      </c>
      <c r="C358">
        <f t="shared" si="30"/>
        <v>1</v>
      </c>
      <c r="D358" s="4"/>
      <c r="E358" t="s">
        <v>18</v>
      </c>
      <c r="F358" t="str">
        <f>INDEX(Establishment!B$2:B$1005,MATCH($E358,Establishment!$A$2:$A$1005,0))</f>
        <v xml:space="preserve"> </v>
      </c>
      <c r="G358" t="str">
        <f>INDEX(Establishment!C$2:C$1005,MATCH($E358,Establishment!$A$2:$A$1005,0))</f>
        <v xml:space="preserve"> </v>
      </c>
      <c r="M358">
        <f t="shared" si="31"/>
        <v>0</v>
      </c>
      <c r="N358">
        <f t="shared" si="29"/>
        <v>0</v>
      </c>
      <c r="P358" t="e">
        <f>INDEX(Items!B$2:B$1032,MATCH($O358,Items!$A$2:$A$1032,0))</f>
        <v>#N/A</v>
      </c>
      <c r="Q358" t="e">
        <f>INDEX(Items!C$2:C$1032,MATCH($O358,Items!$A$2:$A$1032,0))</f>
        <v>#N/A</v>
      </c>
      <c r="R358" t="e">
        <f>INDEX(Items!D$2:D$1032,MATCH($O358,Items!$A$2:$A$1032,0))</f>
        <v>#N/A</v>
      </c>
    </row>
    <row r="359" spans="1:18" x14ac:dyDescent="0.25">
      <c r="A359">
        <f t="shared" si="27"/>
        <v>1</v>
      </c>
      <c r="B359" t="str">
        <f t="shared" si="28"/>
        <v/>
      </c>
      <c r="C359">
        <f t="shared" si="30"/>
        <v>1</v>
      </c>
      <c r="D359" s="4"/>
      <c r="E359" t="s">
        <v>18</v>
      </c>
      <c r="F359" t="str">
        <f>INDEX(Establishment!B$2:B$1005,MATCH($E359,Establishment!$A$2:$A$1005,0))</f>
        <v xml:space="preserve"> </v>
      </c>
      <c r="G359" t="str">
        <f>INDEX(Establishment!C$2:C$1005,MATCH($E359,Establishment!$A$2:$A$1005,0))</f>
        <v xml:space="preserve"> </v>
      </c>
      <c r="M359">
        <f t="shared" si="31"/>
        <v>0</v>
      </c>
      <c r="N359">
        <f t="shared" si="29"/>
        <v>0</v>
      </c>
      <c r="P359" t="e">
        <f>INDEX(Items!B$2:B$1032,MATCH($O359,Items!$A$2:$A$1032,0))</f>
        <v>#N/A</v>
      </c>
      <c r="Q359" t="e">
        <f>INDEX(Items!C$2:C$1032,MATCH($O359,Items!$A$2:$A$1032,0))</f>
        <v>#N/A</v>
      </c>
      <c r="R359" t="e">
        <f>INDEX(Items!D$2:D$1032,MATCH($O359,Items!$A$2:$A$1032,0))</f>
        <v>#N/A</v>
      </c>
    </row>
    <row r="360" spans="1:18" x14ac:dyDescent="0.25">
      <c r="A360">
        <f t="shared" si="27"/>
        <v>1</v>
      </c>
      <c r="B360" t="str">
        <f t="shared" si="28"/>
        <v/>
      </c>
      <c r="C360">
        <f t="shared" si="30"/>
        <v>1</v>
      </c>
      <c r="D360" s="4"/>
      <c r="E360" t="s">
        <v>18</v>
      </c>
      <c r="F360" t="str">
        <f>INDEX(Establishment!B$2:B$1005,MATCH($E360,Establishment!$A$2:$A$1005,0))</f>
        <v xml:space="preserve"> </v>
      </c>
      <c r="G360" t="str">
        <f>INDEX(Establishment!C$2:C$1005,MATCH($E360,Establishment!$A$2:$A$1005,0))</f>
        <v xml:space="preserve"> </v>
      </c>
      <c r="M360">
        <f t="shared" si="31"/>
        <v>0</v>
      </c>
      <c r="N360">
        <f t="shared" si="29"/>
        <v>0</v>
      </c>
      <c r="P360" t="e">
        <f>INDEX(Items!B$2:B$1032,MATCH($O360,Items!$A$2:$A$1032,0))</f>
        <v>#N/A</v>
      </c>
      <c r="Q360" t="e">
        <f>INDEX(Items!C$2:C$1032,MATCH($O360,Items!$A$2:$A$1032,0))</f>
        <v>#N/A</v>
      </c>
      <c r="R360" t="e">
        <f>INDEX(Items!D$2:D$1032,MATCH($O360,Items!$A$2:$A$1032,0))</f>
        <v>#N/A</v>
      </c>
    </row>
    <row r="361" spans="1:18" x14ac:dyDescent="0.25">
      <c r="A361">
        <f t="shared" si="27"/>
        <v>1</v>
      </c>
      <c r="B361" t="str">
        <f t="shared" si="28"/>
        <v/>
      </c>
      <c r="C361">
        <f t="shared" si="30"/>
        <v>1</v>
      </c>
      <c r="D361" s="4"/>
      <c r="E361" t="s">
        <v>18</v>
      </c>
      <c r="F361" t="str">
        <f>INDEX(Establishment!B$2:B$1005,MATCH($E361,Establishment!$A$2:$A$1005,0))</f>
        <v xml:space="preserve"> </v>
      </c>
      <c r="G361" t="str">
        <f>INDEX(Establishment!C$2:C$1005,MATCH($E361,Establishment!$A$2:$A$1005,0))</f>
        <v xml:space="preserve"> </v>
      </c>
      <c r="M361">
        <f t="shared" si="31"/>
        <v>0</v>
      </c>
      <c r="N361">
        <f t="shared" si="29"/>
        <v>0</v>
      </c>
      <c r="P361" t="e">
        <f>INDEX(Items!B$2:B$1032,MATCH($O361,Items!$A$2:$A$1032,0))</f>
        <v>#N/A</v>
      </c>
      <c r="Q361" t="e">
        <f>INDEX(Items!C$2:C$1032,MATCH($O361,Items!$A$2:$A$1032,0))</f>
        <v>#N/A</v>
      </c>
      <c r="R361" t="e">
        <f>INDEX(Items!D$2:D$1032,MATCH($O361,Items!$A$2:$A$1032,0))</f>
        <v>#N/A</v>
      </c>
    </row>
    <row r="362" spans="1:18" x14ac:dyDescent="0.25">
      <c r="A362">
        <f t="shared" si="27"/>
        <v>1</v>
      </c>
      <c r="B362" t="str">
        <f t="shared" si="28"/>
        <v/>
      </c>
      <c r="C362">
        <f t="shared" si="30"/>
        <v>1</v>
      </c>
      <c r="D362" s="4"/>
      <c r="E362" t="s">
        <v>18</v>
      </c>
      <c r="F362" t="str">
        <f>INDEX(Establishment!B$2:B$1005,MATCH($E362,Establishment!$A$2:$A$1005,0))</f>
        <v xml:space="preserve"> </v>
      </c>
      <c r="G362" t="str">
        <f>INDEX(Establishment!C$2:C$1005,MATCH($E362,Establishment!$A$2:$A$1005,0))</f>
        <v xml:space="preserve"> </v>
      </c>
      <c r="M362">
        <f t="shared" si="31"/>
        <v>0</v>
      </c>
      <c r="N362">
        <f t="shared" si="29"/>
        <v>0</v>
      </c>
      <c r="P362" t="e">
        <f>INDEX(Items!B$2:B$1032,MATCH($O362,Items!$A$2:$A$1032,0))</f>
        <v>#N/A</v>
      </c>
      <c r="Q362" t="e">
        <f>INDEX(Items!C$2:C$1032,MATCH($O362,Items!$A$2:$A$1032,0))</f>
        <v>#N/A</v>
      </c>
      <c r="R362" t="e">
        <f>INDEX(Items!D$2:D$1032,MATCH($O362,Items!$A$2:$A$1032,0))</f>
        <v>#N/A</v>
      </c>
    </row>
    <row r="363" spans="1:18" x14ac:dyDescent="0.25">
      <c r="A363">
        <f t="shared" si="27"/>
        <v>1</v>
      </c>
      <c r="B363" t="str">
        <f t="shared" si="28"/>
        <v/>
      </c>
      <c r="C363">
        <f t="shared" si="30"/>
        <v>1</v>
      </c>
      <c r="D363" s="4"/>
      <c r="E363" t="s">
        <v>18</v>
      </c>
      <c r="F363" t="str">
        <f>INDEX(Establishment!B$2:B$1005,MATCH($E363,Establishment!$A$2:$A$1005,0))</f>
        <v xml:space="preserve"> </v>
      </c>
      <c r="G363" t="str">
        <f>INDEX(Establishment!C$2:C$1005,MATCH($E363,Establishment!$A$2:$A$1005,0))</f>
        <v xml:space="preserve"> </v>
      </c>
      <c r="M363">
        <f t="shared" si="31"/>
        <v>0</v>
      </c>
      <c r="N363">
        <f t="shared" si="29"/>
        <v>0</v>
      </c>
      <c r="P363" t="e">
        <f>INDEX(Items!B$2:B$1032,MATCH($O363,Items!$A$2:$A$1032,0))</f>
        <v>#N/A</v>
      </c>
      <c r="Q363" t="e">
        <f>INDEX(Items!C$2:C$1032,MATCH($O363,Items!$A$2:$A$1032,0))</f>
        <v>#N/A</v>
      </c>
      <c r="R363" t="e">
        <f>INDEX(Items!D$2:D$1032,MATCH($O363,Items!$A$2:$A$1032,0))</f>
        <v>#N/A</v>
      </c>
    </row>
    <row r="364" spans="1:18" x14ac:dyDescent="0.25">
      <c r="A364">
        <f t="shared" si="27"/>
        <v>1</v>
      </c>
      <c r="B364" t="str">
        <f t="shared" si="28"/>
        <v/>
      </c>
      <c r="C364">
        <f t="shared" si="30"/>
        <v>1</v>
      </c>
      <c r="D364" s="4"/>
      <c r="E364" t="s">
        <v>18</v>
      </c>
      <c r="F364" t="str">
        <f>INDEX(Establishment!B$2:B$1005,MATCH($E364,Establishment!$A$2:$A$1005,0))</f>
        <v xml:space="preserve"> </v>
      </c>
      <c r="G364" t="str">
        <f>INDEX(Establishment!C$2:C$1005,MATCH($E364,Establishment!$A$2:$A$1005,0))</f>
        <v xml:space="preserve"> </v>
      </c>
      <c r="M364">
        <f t="shared" si="31"/>
        <v>0</v>
      </c>
      <c r="N364">
        <f t="shared" si="29"/>
        <v>0</v>
      </c>
      <c r="P364" t="e">
        <f>INDEX(Items!B$2:B$1032,MATCH($O364,Items!$A$2:$A$1032,0))</f>
        <v>#N/A</v>
      </c>
      <c r="Q364" t="e">
        <f>INDEX(Items!C$2:C$1032,MATCH($O364,Items!$A$2:$A$1032,0))</f>
        <v>#N/A</v>
      </c>
      <c r="R364" t="e">
        <f>INDEX(Items!D$2:D$1032,MATCH($O364,Items!$A$2:$A$1032,0))</f>
        <v>#N/A</v>
      </c>
    </row>
    <row r="365" spans="1:18" x14ac:dyDescent="0.25">
      <c r="A365">
        <f t="shared" si="27"/>
        <v>1</v>
      </c>
      <c r="B365" t="str">
        <f t="shared" si="28"/>
        <v/>
      </c>
      <c r="C365">
        <f t="shared" si="30"/>
        <v>1</v>
      </c>
      <c r="D365" s="4"/>
      <c r="E365" t="s">
        <v>18</v>
      </c>
      <c r="F365" t="str">
        <f>INDEX(Establishment!B$2:B$1005,MATCH($E365,Establishment!$A$2:$A$1005,0))</f>
        <v xml:space="preserve"> </v>
      </c>
      <c r="G365" t="str">
        <f>INDEX(Establishment!C$2:C$1005,MATCH($E365,Establishment!$A$2:$A$1005,0))</f>
        <v xml:space="preserve"> </v>
      </c>
      <c r="M365">
        <f t="shared" si="31"/>
        <v>0</v>
      </c>
      <c r="N365">
        <f t="shared" si="29"/>
        <v>0</v>
      </c>
      <c r="P365" t="e">
        <f>INDEX(Items!B$2:B$1032,MATCH($O365,Items!$A$2:$A$1032,0))</f>
        <v>#N/A</v>
      </c>
      <c r="Q365" t="e">
        <f>INDEX(Items!C$2:C$1032,MATCH($O365,Items!$A$2:$A$1032,0))</f>
        <v>#N/A</v>
      </c>
      <c r="R365" t="e">
        <f>INDEX(Items!D$2:D$1032,MATCH($O365,Items!$A$2:$A$1032,0))</f>
        <v>#N/A</v>
      </c>
    </row>
    <row r="366" spans="1:18" x14ac:dyDescent="0.25">
      <c r="A366">
        <f t="shared" si="27"/>
        <v>1</v>
      </c>
      <c r="B366" t="str">
        <f t="shared" si="28"/>
        <v/>
      </c>
      <c r="C366">
        <f t="shared" si="30"/>
        <v>1</v>
      </c>
      <c r="D366" s="4"/>
      <c r="E366" t="s">
        <v>18</v>
      </c>
      <c r="F366" t="str">
        <f>INDEX(Establishment!B$2:B$1005,MATCH($E366,Establishment!$A$2:$A$1005,0))</f>
        <v xml:space="preserve"> </v>
      </c>
      <c r="G366" t="str">
        <f>INDEX(Establishment!C$2:C$1005,MATCH($E366,Establishment!$A$2:$A$1005,0))</f>
        <v xml:space="preserve"> </v>
      </c>
      <c r="M366">
        <f t="shared" si="31"/>
        <v>0</v>
      </c>
      <c r="N366">
        <f t="shared" si="29"/>
        <v>0</v>
      </c>
      <c r="P366" t="e">
        <f>INDEX(Items!B$2:B$1032,MATCH($O366,Items!$A$2:$A$1032,0))</f>
        <v>#N/A</v>
      </c>
      <c r="Q366" t="e">
        <f>INDEX(Items!C$2:C$1032,MATCH($O366,Items!$A$2:$A$1032,0))</f>
        <v>#N/A</v>
      </c>
      <c r="R366" t="e">
        <f>INDEX(Items!D$2:D$1032,MATCH($O366,Items!$A$2:$A$1032,0))</f>
        <v>#N/A</v>
      </c>
    </row>
    <row r="367" spans="1:18" x14ac:dyDescent="0.25">
      <c r="A367">
        <f t="shared" si="27"/>
        <v>1</v>
      </c>
      <c r="B367" t="str">
        <f t="shared" si="28"/>
        <v/>
      </c>
      <c r="C367">
        <f t="shared" si="30"/>
        <v>1</v>
      </c>
      <c r="D367" s="4"/>
      <c r="E367" t="s">
        <v>18</v>
      </c>
      <c r="F367" t="str">
        <f>INDEX(Establishment!B$2:B$1005,MATCH($E367,Establishment!$A$2:$A$1005,0))</f>
        <v xml:space="preserve"> </v>
      </c>
      <c r="G367" t="str">
        <f>INDEX(Establishment!C$2:C$1005,MATCH($E367,Establishment!$A$2:$A$1005,0))</f>
        <v xml:space="preserve"> </v>
      </c>
      <c r="M367">
        <f t="shared" si="31"/>
        <v>0</v>
      </c>
      <c r="N367">
        <f t="shared" si="29"/>
        <v>0</v>
      </c>
      <c r="P367" t="e">
        <f>INDEX(Items!B$2:B$1032,MATCH($O367,Items!$A$2:$A$1032,0))</f>
        <v>#N/A</v>
      </c>
      <c r="Q367" t="e">
        <f>INDEX(Items!C$2:C$1032,MATCH($O367,Items!$A$2:$A$1032,0))</f>
        <v>#N/A</v>
      </c>
      <c r="R367" t="e">
        <f>INDEX(Items!D$2:D$1032,MATCH($O367,Items!$A$2:$A$1032,0))</f>
        <v>#N/A</v>
      </c>
    </row>
    <row r="368" spans="1:18" x14ac:dyDescent="0.25">
      <c r="A368">
        <f t="shared" si="27"/>
        <v>1</v>
      </c>
      <c r="B368" t="str">
        <f t="shared" si="28"/>
        <v/>
      </c>
      <c r="C368">
        <f t="shared" si="30"/>
        <v>1</v>
      </c>
      <c r="D368" s="4"/>
      <c r="E368" t="s">
        <v>18</v>
      </c>
      <c r="F368" t="str">
        <f>INDEX(Establishment!B$2:B$1005,MATCH($E368,Establishment!$A$2:$A$1005,0))</f>
        <v xml:space="preserve"> </v>
      </c>
      <c r="G368" t="str">
        <f>INDEX(Establishment!C$2:C$1005,MATCH($E368,Establishment!$A$2:$A$1005,0))</f>
        <v xml:space="preserve"> </v>
      </c>
      <c r="M368">
        <f t="shared" si="31"/>
        <v>0</v>
      </c>
      <c r="N368">
        <f t="shared" si="29"/>
        <v>0</v>
      </c>
      <c r="P368" t="e">
        <f>INDEX(Items!B$2:B$1032,MATCH($O368,Items!$A$2:$A$1032,0))</f>
        <v>#N/A</v>
      </c>
      <c r="Q368" t="e">
        <f>INDEX(Items!C$2:C$1032,MATCH($O368,Items!$A$2:$A$1032,0))</f>
        <v>#N/A</v>
      </c>
      <c r="R368" t="e">
        <f>INDEX(Items!D$2:D$1032,MATCH($O368,Items!$A$2:$A$1032,0))</f>
        <v>#N/A</v>
      </c>
    </row>
    <row r="369" spans="1:18" x14ac:dyDescent="0.25">
      <c r="A369">
        <f t="shared" si="27"/>
        <v>1</v>
      </c>
      <c r="B369" t="str">
        <f t="shared" si="28"/>
        <v/>
      </c>
      <c r="C369">
        <f t="shared" si="30"/>
        <v>1</v>
      </c>
      <c r="D369" s="4"/>
      <c r="E369" t="s">
        <v>18</v>
      </c>
      <c r="F369" t="str">
        <f>INDEX(Establishment!B$2:B$1005,MATCH($E369,Establishment!$A$2:$A$1005,0))</f>
        <v xml:space="preserve"> </v>
      </c>
      <c r="G369" t="str">
        <f>INDEX(Establishment!C$2:C$1005,MATCH($E369,Establishment!$A$2:$A$1005,0))</f>
        <v xml:space="preserve"> </v>
      </c>
      <c r="M369">
        <f t="shared" si="31"/>
        <v>0</v>
      </c>
      <c r="N369">
        <f t="shared" si="29"/>
        <v>0</v>
      </c>
      <c r="P369" t="e">
        <f>INDEX(Items!B$2:B$1032,MATCH($O369,Items!$A$2:$A$1032,0))</f>
        <v>#N/A</v>
      </c>
      <c r="Q369" t="e">
        <f>INDEX(Items!C$2:C$1032,MATCH($O369,Items!$A$2:$A$1032,0))</f>
        <v>#N/A</v>
      </c>
      <c r="R369" t="e">
        <f>INDEX(Items!D$2:D$1032,MATCH($O369,Items!$A$2:$A$1032,0))</f>
        <v>#N/A</v>
      </c>
    </row>
    <row r="370" spans="1:18" x14ac:dyDescent="0.25">
      <c r="A370">
        <f t="shared" si="27"/>
        <v>1</v>
      </c>
      <c r="B370" t="str">
        <f t="shared" si="28"/>
        <v/>
      </c>
      <c r="C370">
        <f t="shared" si="30"/>
        <v>1</v>
      </c>
      <c r="D370" s="4"/>
      <c r="E370" t="s">
        <v>18</v>
      </c>
      <c r="F370" t="str">
        <f>INDEX(Establishment!B$2:B$1005,MATCH($E370,Establishment!$A$2:$A$1005,0))</f>
        <v xml:space="preserve"> </v>
      </c>
      <c r="G370" t="str">
        <f>INDEX(Establishment!C$2:C$1005,MATCH($E370,Establishment!$A$2:$A$1005,0))</f>
        <v xml:space="preserve"> </v>
      </c>
      <c r="M370">
        <f t="shared" si="31"/>
        <v>0</v>
      </c>
      <c r="N370">
        <f t="shared" si="29"/>
        <v>0</v>
      </c>
      <c r="P370" t="e">
        <f>INDEX(Items!B$2:B$1032,MATCH($O370,Items!$A$2:$A$1032,0))</f>
        <v>#N/A</v>
      </c>
      <c r="Q370" t="e">
        <f>INDEX(Items!C$2:C$1032,MATCH($O370,Items!$A$2:$A$1032,0))</f>
        <v>#N/A</v>
      </c>
      <c r="R370" t="e">
        <f>INDEX(Items!D$2:D$1032,MATCH($O370,Items!$A$2:$A$1032,0))</f>
        <v>#N/A</v>
      </c>
    </row>
    <row r="371" spans="1:18" x14ac:dyDescent="0.25">
      <c r="A371">
        <f t="shared" si="27"/>
        <v>1</v>
      </c>
      <c r="B371" t="str">
        <f t="shared" si="28"/>
        <v/>
      </c>
      <c r="C371">
        <f t="shared" si="30"/>
        <v>1</v>
      </c>
      <c r="D371" s="4"/>
      <c r="E371" t="s">
        <v>18</v>
      </c>
      <c r="F371" t="str">
        <f>INDEX(Establishment!B$2:B$1005,MATCH($E371,Establishment!$A$2:$A$1005,0))</f>
        <v xml:space="preserve"> </v>
      </c>
      <c r="G371" t="str">
        <f>INDEX(Establishment!C$2:C$1005,MATCH($E371,Establishment!$A$2:$A$1005,0))</f>
        <v xml:space="preserve"> </v>
      </c>
      <c r="M371">
        <f t="shared" si="31"/>
        <v>0</v>
      </c>
      <c r="N371">
        <f t="shared" si="29"/>
        <v>0</v>
      </c>
      <c r="P371" t="e">
        <f>INDEX(Items!B$2:B$1032,MATCH($O371,Items!$A$2:$A$1032,0))</f>
        <v>#N/A</v>
      </c>
      <c r="Q371" t="e">
        <f>INDEX(Items!C$2:C$1032,MATCH($O371,Items!$A$2:$A$1032,0))</f>
        <v>#N/A</v>
      </c>
      <c r="R371" t="e">
        <f>INDEX(Items!D$2:D$1032,MATCH($O371,Items!$A$2:$A$1032,0))</f>
        <v>#N/A</v>
      </c>
    </row>
    <row r="372" spans="1:18" x14ac:dyDescent="0.25">
      <c r="A372">
        <f t="shared" si="27"/>
        <v>1</v>
      </c>
      <c r="B372" t="str">
        <f t="shared" si="28"/>
        <v/>
      </c>
      <c r="C372">
        <f t="shared" si="30"/>
        <v>1</v>
      </c>
      <c r="D372" s="4"/>
      <c r="E372" t="s">
        <v>18</v>
      </c>
      <c r="F372" t="str">
        <f>INDEX(Establishment!B$2:B$1005,MATCH($E372,Establishment!$A$2:$A$1005,0))</f>
        <v xml:space="preserve"> </v>
      </c>
      <c r="G372" t="str">
        <f>INDEX(Establishment!C$2:C$1005,MATCH($E372,Establishment!$A$2:$A$1005,0))</f>
        <v xml:space="preserve"> </v>
      </c>
      <c r="M372">
        <f t="shared" si="31"/>
        <v>0</v>
      </c>
      <c r="N372">
        <f t="shared" si="29"/>
        <v>0</v>
      </c>
      <c r="P372" t="e">
        <f>INDEX(Items!B$2:B$1032,MATCH($O372,Items!$A$2:$A$1032,0))</f>
        <v>#N/A</v>
      </c>
      <c r="Q372" t="e">
        <f>INDEX(Items!C$2:C$1032,MATCH($O372,Items!$A$2:$A$1032,0))</f>
        <v>#N/A</v>
      </c>
      <c r="R372" t="e">
        <f>INDEX(Items!D$2:D$1032,MATCH($O372,Items!$A$2:$A$1032,0))</f>
        <v>#N/A</v>
      </c>
    </row>
    <row r="373" spans="1:18" x14ac:dyDescent="0.25">
      <c r="A373">
        <f t="shared" si="27"/>
        <v>1</v>
      </c>
      <c r="B373" t="str">
        <f t="shared" si="28"/>
        <v/>
      </c>
      <c r="C373">
        <f t="shared" si="30"/>
        <v>1</v>
      </c>
      <c r="D373" s="4"/>
      <c r="E373" t="s">
        <v>18</v>
      </c>
      <c r="F373" t="str">
        <f>INDEX(Establishment!B$2:B$1005,MATCH($E373,Establishment!$A$2:$A$1005,0))</f>
        <v xml:space="preserve"> </v>
      </c>
      <c r="G373" t="str">
        <f>INDEX(Establishment!C$2:C$1005,MATCH($E373,Establishment!$A$2:$A$1005,0))</f>
        <v xml:space="preserve"> </v>
      </c>
      <c r="M373">
        <f t="shared" si="31"/>
        <v>0</v>
      </c>
      <c r="N373">
        <f t="shared" si="29"/>
        <v>0</v>
      </c>
      <c r="P373" t="e">
        <f>INDEX(Items!B$2:B$1032,MATCH($O373,Items!$A$2:$A$1032,0))</f>
        <v>#N/A</v>
      </c>
      <c r="Q373" t="e">
        <f>INDEX(Items!C$2:C$1032,MATCH($O373,Items!$A$2:$A$1032,0))</f>
        <v>#N/A</v>
      </c>
      <c r="R373" t="e">
        <f>INDEX(Items!D$2:D$1032,MATCH($O373,Items!$A$2:$A$1032,0))</f>
        <v>#N/A</v>
      </c>
    </row>
    <row r="374" spans="1:18" x14ac:dyDescent="0.25">
      <c r="A374">
        <f t="shared" si="27"/>
        <v>1</v>
      </c>
      <c r="B374" t="str">
        <f t="shared" si="28"/>
        <v/>
      </c>
      <c r="C374">
        <f t="shared" si="30"/>
        <v>1</v>
      </c>
      <c r="D374" s="4"/>
      <c r="E374" t="s">
        <v>18</v>
      </c>
      <c r="F374" t="str">
        <f>INDEX(Establishment!B$2:B$1005,MATCH($E374,Establishment!$A$2:$A$1005,0))</f>
        <v xml:space="preserve"> </v>
      </c>
      <c r="G374" t="str">
        <f>INDEX(Establishment!C$2:C$1005,MATCH($E374,Establishment!$A$2:$A$1005,0))</f>
        <v xml:space="preserve"> </v>
      </c>
      <c r="M374">
        <f t="shared" si="31"/>
        <v>0</v>
      </c>
      <c r="N374">
        <f t="shared" si="29"/>
        <v>0</v>
      </c>
      <c r="P374" t="e">
        <f>INDEX(Items!B$2:B$1032,MATCH($O374,Items!$A$2:$A$1032,0))</f>
        <v>#N/A</v>
      </c>
      <c r="Q374" t="e">
        <f>INDEX(Items!C$2:C$1032,MATCH($O374,Items!$A$2:$A$1032,0))</f>
        <v>#N/A</v>
      </c>
      <c r="R374" t="e">
        <f>INDEX(Items!D$2:D$1032,MATCH($O374,Items!$A$2:$A$1032,0))</f>
        <v>#N/A</v>
      </c>
    </row>
    <row r="375" spans="1:18" x14ac:dyDescent="0.25">
      <c r="A375">
        <f t="shared" si="27"/>
        <v>1</v>
      </c>
      <c r="B375" t="str">
        <f t="shared" si="28"/>
        <v/>
      </c>
      <c r="C375">
        <f t="shared" si="30"/>
        <v>1</v>
      </c>
      <c r="D375" s="4"/>
      <c r="E375" t="s">
        <v>18</v>
      </c>
      <c r="F375" t="str">
        <f>INDEX(Establishment!B$2:B$1005,MATCH($E375,Establishment!$A$2:$A$1005,0))</f>
        <v xml:space="preserve"> </v>
      </c>
      <c r="G375" t="str">
        <f>INDEX(Establishment!C$2:C$1005,MATCH($E375,Establishment!$A$2:$A$1005,0))</f>
        <v xml:space="preserve"> </v>
      </c>
      <c r="M375">
        <f t="shared" si="31"/>
        <v>0</v>
      </c>
      <c r="N375">
        <f t="shared" si="29"/>
        <v>0</v>
      </c>
      <c r="P375" t="e">
        <f>INDEX(Items!B$2:B$1032,MATCH($O375,Items!$A$2:$A$1032,0))</f>
        <v>#N/A</v>
      </c>
      <c r="Q375" t="e">
        <f>INDEX(Items!C$2:C$1032,MATCH($O375,Items!$A$2:$A$1032,0))</f>
        <v>#N/A</v>
      </c>
      <c r="R375" t="e">
        <f>INDEX(Items!D$2:D$1032,MATCH($O375,Items!$A$2:$A$1032,0))</f>
        <v>#N/A</v>
      </c>
    </row>
    <row r="376" spans="1:18" x14ac:dyDescent="0.25">
      <c r="A376">
        <f t="shared" si="27"/>
        <v>1</v>
      </c>
      <c r="B376" t="str">
        <f t="shared" si="28"/>
        <v/>
      </c>
      <c r="C376">
        <f t="shared" si="30"/>
        <v>1</v>
      </c>
      <c r="D376" s="4"/>
      <c r="E376" t="s">
        <v>18</v>
      </c>
      <c r="F376" t="str">
        <f>INDEX(Establishment!B$2:B$1005,MATCH($E376,Establishment!$A$2:$A$1005,0))</f>
        <v xml:space="preserve"> </v>
      </c>
      <c r="G376" t="str">
        <f>INDEX(Establishment!C$2:C$1005,MATCH($E376,Establishment!$A$2:$A$1005,0))</f>
        <v xml:space="preserve"> </v>
      </c>
      <c r="M376">
        <f t="shared" si="31"/>
        <v>0</v>
      </c>
      <c r="N376">
        <f t="shared" si="29"/>
        <v>0</v>
      </c>
      <c r="P376" t="e">
        <f>INDEX(Items!B$2:B$1032,MATCH($O376,Items!$A$2:$A$1032,0))</f>
        <v>#N/A</v>
      </c>
      <c r="Q376" t="e">
        <f>INDEX(Items!C$2:C$1032,MATCH($O376,Items!$A$2:$A$1032,0))</f>
        <v>#N/A</v>
      </c>
      <c r="R376" t="e">
        <f>INDEX(Items!D$2:D$1032,MATCH($O376,Items!$A$2:$A$1032,0))</f>
        <v>#N/A</v>
      </c>
    </row>
    <row r="377" spans="1:18" x14ac:dyDescent="0.25">
      <c r="A377">
        <f t="shared" si="27"/>
        <v>1</v>
      </c>
      <c r="B377" t="str">
        <f t="shared" si="28"/>
        <v/>
      </c>
      <c r="C377">
        <f t="shared" si="30"/>
        <v>1</v>
      </c>
      <c r="D377" s="4"/>
      <c r="E377" t="s">
        <v>18</v>
      </c>
      <c r="F377" t="str">
        <f>INDEX(Establishment!B$2:B$1005,MATCH($E377,Establishment!$A$2:$A$1005,0))</f>
        <v xml:space="preserve"> </v>
      </c>
      <c r="G377" t="str">
        <f>INDEX(Establishment!C$2:C$1005,MATCH($E377,Establishment!$A$2:$A$1005,0))</f>
        <v xml:space="preserve"> </v>
      </c>
      <c r="M377">
        <f t="shared" si="31"/>
        <v>0</v>
      </c>
      <c r="N377">
        <f t="shared" si="29"/>
        <v>0</v>
      </c>
      <c r="P377" t="e">
        <f>INDEX(Items!B$2:B$1032,MATCH($O377,Items!$A$2:$A$1032,0))</f>
        <v>#N/A</v>
      </c>
      <c r="Q377" t="e">
        <f>INDEX(Items!C$2:C$1032,MATCH($O377,Items!$A$2:$A$1032,0))</f>
        <v>#N/A</v>
      </c>
      <c r="R377" t="e">
        <f>INDEX(Items!D$2:D$1032,MATCH($O377,Items!$A$2:$A$1032,0))</f>
        <v>#N/A</v>
      </c>
    </row>
    <row r="378" spans="1:18" x14ac:dyDescent="0.25">
      <c r="A378">
        <f t="shared" si="27"/>
        <v>1</v>
      </c>
      <c r="B378" t="str">
        <f t="shared" si="28"/>
        <v/>
      </c>
      <c r="C378">
        <f t="shared" si="30"/>
        <v>1</v>
      </c>
      <c r="D378" s="4"/>
      <c r="E378" t="s">
        <v>18</v>
      </c>
      <c r="F378" t="str">
        <f>INDEX(Establishment!B$2:B$1005,MATCH($E378,Establishment!$A$2:$A$1005,0))</f>
        <v xml:space="preserve"> </v>
      </c>
      <c r="G378" t="str">
        <f>INDEX(Establishment!C$2:C$1005,MATCH($E378,Establishment!$A$2:$A$1005,0))</f>
        <v xml:space="preserve"> </v>
      </c>
      <c r="M378">
        <f t="shared" si="31"/>
        <v>0</v>
      </c>
      <c r="N378">
        <f t="shared" si="29"/>
        <v>0</v>
      </c>
      <c r="P378" t="e">
        <f>INDEX(Items!B$2:B$1032,MATCH($O378,Items!$A$2:$A$1032,0))</f>
        <v>#N/A</v>
      </c>
      <c r="Q378" t="e">
        <f>INDEX(Items!C$2:C$1032,MATCH($O378,Items!$A$2:$A$1032,0))</f>
        <v>#N/A</v>
      </c>
      <c r="R378" t="e">
        <f>INDEX(Items!D$2:D$1032,MATCH($O378,Items!$A$2:$A$1032,0))</f>
        <v>#N/A</v>
      </c>
    </row>
    <row r="379" spans="1:18" x14ac:dyDescent="0.25">
      <c r="A379">
        <f t="shared" si="27"/>
        <v>1</v>
      </c>
      <c r="B379" t="str">
        <f t="shared" si="28"/>
        <v/>
      </c>
      <c r="C379">
        <f t="shared" si="30"/>
        <v>1</v>
      </c>
      <c r="D379" s="4"/>
      <c r="E379" t="s">
        <v>18</v>
      </c>
      <c r="F379" t="str">
        <f>INDEX(Establishment!B$2:B$1005,MATCH($E379,Establishment!$A$2:$A$1005,0))</f>
        <v xml:space="preserve"> </v>
      </c>
      <c r="G379" t="str">
        <f>INDEX(Establishment!C$2:C$1005,MATCH($E379,Establishment!$A$2:$A$1005,0))</f>
        <v xml:space="preserve"> </v>
      </c>
      <c r="M379">
        <f t="shared" si="31"/>
        <v>0</v>
      </c>
      <c r="N379">
        <f t="shared" si="29"/>
        <v>0</v>
      </c>
      <c r="P379" t="e">
        <f>INDEX(Items!B$2:B$1032,MATCH($O379,Items!$A$2:$A$1032,0))</f>
        <v>#N/A</v>
      </c>
      <c r="Q379" t="e">
        <f>INDEX(Items!C$2:C$1032,MATCH($O379,Items!$A$2:$A$1032,0))</f>
        <v>#N/A</v>
      </c>
      <c r="R379" t="e">
        <f>INDEX(Items!D$2:D$1032,MATCH($O379,Items!$A$2:$A$1032,0))</f>
        <v>#N/A</v>
      </c>
    </row>
    <row r="380" spans="1:18" x14ac:dyDescent="0.25">
      <c r="A380">
        <f t="shared" si="27"/>
        <v>1</v>
      </c>
      <c r="B380" t="str">
        <f t="shared" si="28"/>
        <v/>
      </c>
      <c r="C380">
        <f t="shared" si="30"/>
        <v>1</v>
      </c>
      <c r="D380" s="4"/>
      <c r="E380" t="s">
        <v>18</v>
      </c>
      <c r="F380" t="str">
        <f>INDEX(Establishment!B$2:B$1005,MATCH($E380,Establishment!$A$2:$A$1005,0))</f>
        <v xml:space="preserve"> </v>
      </c>
      <c r="G380" t="str">
        <f>INDEX(Establishment!C$2:C$1005,MATCH($E380,Establishment!$A$2:$A$1005,0))</f>
        <v xml:space="preserve"> </v>
      </c>
      <c r="M380">
        <f t="shared" si="31"/>
        <v>0</v>
      </c>
      <c r="N380">
        <f t="shared" si="29"/>
        <v>0</v>
      </c>
      <c r="P380" t="e">
        <f>INDEX(Items!B$2:B$1032,MATCH($O380,Items!$A$2:$A$1032,0))</f>
        <v>#N/A</v>
      </c>
      <c r="Q380" t="e">
        <f>INDEX(Items!C$2:C$1032,MATCH($O380,Items!$A$2:$A$1032,0))</f>
        <v>#N/A</v>
      </c>
      <c r="R380" t="e">
        <f>INDEX(Items!D$2:D$1032,MATCH($O380,Items!$A$2:$A$1032,0))</f>
        <v>#N/A</v>
      </c>
    </row>
    <row r="381" spans="1:18" x14ac:dyDescent="0.25">
      <c r="A381">
        <f t="shared" si="27"/>
        <v>1</v>
      </c>
      <c r="B381" t="str">
        <f t="shared" si="28"/>
        <v/>
      </c>
      <c r="C381">
        <f t="shared" si="30"/>
        <v>1</v>
      </c>
      <c r="D381" s="4"/>
      <c r="E381" t="s">
        <v>18</v>
      </c>
      <c r="F381" t="str">
        <f>INDEX(Establishment!B$2:B$1005,MATCH($E381,Establishment!$A$2:$A$1005,0))</f>
        <v xml:space="preserve"> </v>
      </c>
      <c r="G381" t="str">
        <f>INDEX(Establishment!C$2:C$1005,MATCH($E381,Establishment!$A$2:$A$1005,0))</f>
        <v xml:space="preserve"> </v>
      </c>
      <c r="M381">
        <f t="shared" si="31"/>
        <v>0</v>
      </c>
      <c r="N381">
        <f t="shared" si="29"/>
        <v>0</v>
      </c>
      <c r="P381" t="e">
        <f>INDEX(Items!B$2:B$1032,MATCH($O381,Items!$A$2:$A$1032,0))</f>
        <v>#N/A</v>
      </c>
      <c r="Q381" t="e">
        <f>INDEX(Items!C$2:C$1032,MATCH($O381,Items!$A$2:$A$1032,0))</f>
        <v>#N/A</v>
      </c>
      <c r="R381" t="e">
        <f>INDEX(Items!D$2:D$1032,MATCH($O381,Items!$A$2:$A$1032,0))</f>
        <v>#N/A</v>
      </c>
    </row>
    <row r="382" spans="1:18" x14ac:dyDescent="0.25">
      <c r="A382">
        <f t="shared" si="27"/>
        <v>1</v>
      </c>
      <c r="B382" t="str">
        <f t="shared" si="28"/>
        <v/>
      </c>
      <c r="C382">
        <f t="shared" si="30"/>
        <v>1</v>
      </c>
      <c r="D382" s="4"/>
      <c r="E382" t="s">
        <v>18</v>
      </c>
      <c r="F382" t="str">
        <f>INDEX(Establishment!B$2:B$1005,MATCH($E382,Establishment!$A$2:$A$1005,0))</f>
        <v xml:space="preserve"> </v>
      </c>
      <c r="G382" t="str">
        <f>INDEX(Establishment!C$2:C$1005,MATCH($E382,Establishment!$A$2:$A$1005,0))</f>
        <v xml:space="preserve"> </v>
      </c>
      <c r="M382">
        <f t="shared" si="31"/>
        <v>0</v>
      </c>
      <c r="N382">
        <f t="shared" si="29"/>
        <v>0</v>
      </c>
      <c r="P382" t="e">
        <f>INDEX(Items!B$2:B$1032,MATCH($O382,Items!$A$2:$A$1032,0))</f>
        <v>#N/A</v>
      </c>
      <c r="Q382" t="e">
        <f>INDEX(Items!C$2:C$1032,MATCH($O382,Items!$A$2:$A$1032,0))</f>
        <v>#N/A</v>
      </c>
      <c r="R382" t="e">
        <f>INDEX(Items!D$2:D$1032,MATCH($O382,Items!$A$2:$A$1032,0))</f>
        <v>#N/A</v>
      </c>
    </row>
    <row r="383" spans="1:18" x14ac:dyDescent="0.25">
      <c r="A383">
        <f t="shared" si="27"/>
        <v>1</v>
      </c>
      <c r="B383" t="str">
        <f t="shared" si="28"/>
        <v/>
      </c>
      <c r="C383">
        <f t="shared" si="30"/>
        <v>1</v>
      </c>
      <c r="D383" s="4"/>
      <c r="E383" t="s">
        <v>18</v>
      </c>
      <c r="F383" t="str">
        <f>INDEX(Establishment!B$2:B$1005,MATCH($E383,Establishment!$A$2:$A$1005,0))</f>
        <v xml:space="preserve"> </v>
      </c>
      <c r="G383" t="str">
        <f>INDEX(Establishment!C$2:C$1005,MATCH($E383,Establishment!$A$2:$A$1005,0))</f>
        <v xml:space="preserve"> </v>
      </c>
      <c r="M383">
        <f t="shared" si="31"/>
        <v>0</v>
      </c>
      <c r="N383">
        <f t="shared" si="29"/>
        <v>0</v>
      </c>
      <c r="P383" t="e">
        <f>INDEX(Items!B$2:B$1032,MATCH($O383,Items!$A$2:$A$1032,0))</f>
        <v>#N/A</v>
      </c>
      <c r="Q383" t="e">
        <f>INDEX(Items!C$2:C$1032,MATCH($O383,Items!$A$2:$A$1032,0))</f>
        <v>#N/A</v>
      </c>
      <c r="R383" t="e">
        <f>INDEX(Items!D$2:D$1032,MATCH($O383,Items!$A$2:$A$1032,0))</f>
        <v>#N/A</v>
      </c>
    </row>
    <row r="384" spans="1:18" x14ac:dyDescent="0.25">
      <c r="A384">
        <f t="shared" si="27"/>
        <v>1</v>
      </c>
      <c r="B384" t="str">
        <f t="shared" si="28"/>
        <v/>
      </c>
      <c r="C384">
        <f t="shared" si="30"/>
        <v>1</v>
      </c>
      <c r="D384" s="4"/>
      <c r="E384" t="s">
        <v>18</v>
      </c>
      <c r="F384" t="str">
        <f>INDEX(Establishment!B$2:B$1005,MATCH($E384,Establishment!$A$2:$A$1005,0))</f>
        <v xml:space="preserve"> </v>
      </c>
      <c r="G384" t="str">
        <f>INDEX(Establishment!C$2:C$1005,MATCH($E384,Establishment!$A$2:$A$1005,0))</f>
        <v xml:space="preserve"> </v>
      </c>
      <c r="M384">
        <f t="shared" si="31"/>
        <v>0</v>
      </c>
      <c r="N384">
        <f t="shared" si="29"/>
        <v>0</v>
      </c>
      <c r="P384" t="e">
        <f>INDEX(Items!B$2:B$1032,MATCH($O384,Items!$A$2:$A$1032,0))</f>
        <v>#N/A</v>
      </c>
      <c r="Q384" t="e">
        <f>INDEX(Items!C$2:C$1032,MATCH($O384,Items!$A$2:$A$1032,0))</f>
        <v>#N/A</v>
      </c>
      <c r="R384" t="e">
        <f>INDEX(Items!D$2:D$1032,MATCH($O384,Items!$A$2:$A$1032,0))</f>
        <v>#N/A</v>
      </c>
    </row>
    <row r="385" spans="1:18" x14ac:dyDescent="0.25">
      <c r="A385">
        <f t="shared" si="27"/>
        <v>1</v>
      </c>
      <c r="B385" t="str">
        <f t="shared" si="28"/>
        <v/>
      </c>
      <c r="C385">
        <f t="shared" si="30"/>
        <v>1</v>
      </c>
      <c r="D385" s="4"/>
      <c r="E385" t="s">
        <v>18</v>
      </c>
      <c r="F385" t="str">
        <f>INDEX(Establishment!B$2:B$1005,MATCH($E385,Establishment!$A$2:$A$1005,0))</f>
        <v xml:space="preserve"> </v>
      </c>
      <c r="G385" t="str">
        <f>INDEX(Establishment!C$2:C$1005,MATCH($E385,Establishment!$A$2:$A$1005,0))</f>
        <v xml:space="preserve"> </v>
      </c>
      <c r="M385">
        <f t="shared" si="31"/>
        <v>0</v>
      </c>
      <c r="N385">
        <f t="shared" si="29"/>
        <v>0</v>
      </c>
      <c r="P385" t="e">
        <f>INDEX(Items!B$2:B$1032,MATCH($O385,Items!$A$2:$A$1032,0))</f>
        <v>#N/A</v>
      </c>
      <c r="Q385" t="e">
        <f>INDEX(Items!C$2:C$1032,MATCH($O385,Items!$A$2:$A$1032,0))</f>
        <v>#N/A</v>
      </c>
      <c r="R385" t="e">
        <f>INDEX(Items!D$2:D$1032,MATCH($O385,Items!$A$2:$A$1032,0))</f>
        <v>#N/A</v>
      </c>
    </row>
    <row r="386" spans="1:18" x14ac:dyDescent="0.25">
      <c r="A386">
        <f t="shared" ref="A386:A449" si="32">IF(OR(D386&lt;&gt;D385,D386=""),1,IF(NOT(AND(E386=E385,F386=F385,G386=G385)),A385+1,IF(OR(H386="",AND(H386&lt;&gt;"",H386&lt;&gt;H385,H385&lt;&gt;"")),A385,A385+1)))</f>
        <v>1</v>
      </c>
      <c r="B386" t="str">
        <f t="shared" ref="B386:B449" si="33">IF(D386&lt;&gt;"",TEXT(D386,"YYYYMMDD")&amp;CHAR(64+A386),"")</f>
        <v/>
      </c>
      <c r="C386">
        <f t="shared" si="30"/>
        <v>1</v>
      </c>
      <c r="D386" s="4"/>
      <c r="E386" t="s">
        <v>18</v>
      </c>
      <c r="F386" t="str">
        <f>INDEX(Establishment!B$2:B$1005,MATCH($E386,Establishment!$A$2:$A$1005,0))</f>
        <v xml:space="preserve"> </v>
      </c>
      <c r="G386" t="str">
        <f>INDEX(Establishment!C$2:C$1005,MATCH($E386,Establishment!$A$2:$A$1005,0))</f>
        <v xml:space="preserve"> </v>
      </c>
      <c r="M386">
        <f t="shared" si="31"/>
        <v>0</v>
      </c>
      <c r="N386">
        <f t="shared" si="29"/>
        <v>0</v>
      </c>
      <c r="P386" t="e">
        <f>INDEX(Items!B$2:B$1032,MATCH($O386,Items!$A$2:$A$1032,0))</f>
        <v>#N/A</v>
      </c>
      <c r="Q386" t="e">
        <f>INDEX(Items!C$2:C$1032,MATCH($O386,Items!$A$2:$A$1032,0))</f>
        <v>#N/A</v>
      </c>
      <c r="R386" t="e">
        <f>INDEX(Items!D$2:D$1032,MATCH($O386,Items!$A$2:$A$1032,0))</f>
        <v>#N/A</v>
      </c>
    </row>
    <row r="387" spans="1:18" x14ac:dyDescent="0.25">
      <c r="A387">
        <f t="shared" si="32"/>
        <v>1</v>
      </c>
      <c r="B387" t="str">
        <f t="shared" si="33"/>
        <v/>
      </c>
      <c r="C387">
        <f t="shared" si="30"/>
        <v>1</v>
      </c>
      <c r="D387" s="4"/>
      <c r="E387" t="s">
        <v>18</v>
      </c>
      <c r="F387" t="str">
        <f>INDEX(Establishment!B$2:B$1005,MATCH($E387,Establishment!$A$2:$A$1005,0))</f>
        <v xml:space="preserve"> </v>
      </c>
      <c r="G387" t="str">
        <f>INDEX(Establishment!C$2:C$1005,MATCH($E387,Establishment!$A$2:$A$1005,0))</f>
        <v xml:space="preserve"> </v>
      </c>
      <c r="M387">
        <f t="shared" si="31"/>
        <v>0</v>
      </c>
      <c r="N387">
        <f t="shared" ref="N387:N450" si="34">IF(B387=B386,N386+M387,M387)</f>
        <v>0</v>
      </c>
      <c r="P387" t="e">
        <f>INDEX(Items!B$2:B$1032,MATCH($O387,Items!$A$2:$A$1032,0))</f>
        <v>#N/A</v>
      </c>
      <c r="Q387" t="e">
        <f>INDEX(Items!C$2:C$1032,MATCH($O387,Items!$A$2:$A$1032,0))</f>
        <v>#N/A</v>
      </c>
      <c r="R387" t="e">
        <f>INDEX(Items!D$2:D$1032,MATCH($O387,Items!$A$2:$A$1032,0))</f>
        <v>#N/A</v>
      </c>
    </row>
    <row r="388" spans="1:18" x14ac:dyDescent="0.25">
      <c r="A388">
        <f t="shared" si="32"/>
        <v>1</v>
      </c>
      <c r="B388" t="str">
        <f t="shared" si="33"/>
        <v/>
      </c>
      <c r="C388">
        <f t="shared" si="30"/>
        <v>1</v>
      </c>
      <c r="D388" s="4"/>
      <c r="E388" t="s">
        <v>18</v>
      </c>
      <c r="F388" t="str">
        <f>INDEX(Establishment!B$2:B$1005,MATCH($E388,Establishment!$A$2:$A$1005,0))</f>
        <v xml:space="preserve"> </v>
      </c>
      <c r="G388" t="str">
        <f>INDEX(Establishment!C$2:C$1005,MATCH($E388,Establishment!$A$2:$A$1005,0))</f>
        <v xml:space="preserve"> </v>
      </c>
      <c r="M388">
        <f t="shared" si="31"/>
        <v>0</v>
      </c>
      <c r="N388">
        <f t="shared" si="34"/>
        <v>0</v>
      </c>
      <c r="P388" t="e">
        <f>INDEX(Items!B$2:B$1032,MATCH($O388,Items!$A$2:$A$1032,0))</f>
        <v>#N/A</v>
      </c>
      <c r="Q388" t="e">
        <f>INDEX(Items!C$2:C$1032,MATCH($O388,Items!$A$2:$A$1032,0))</f>
        <v>#N/A</v>
      </c>
      <c r="R388" t="e">
        <f>INDEX(Items!D$2:D$1032,MATCH($O388,Items!$A$2:$A$1032,0))</f>
        <v>#N/A</v>
      </c>
    </row>
    <row r="389" spans="1:18" x14ac:dyDescent="0.25">
      <c r="A389">
        <f t="shared" si="32"/>
        <v>1</v>
      </c>
      <c r="B389" t="str">
        <f t="shared" si="33"/>
        <v/>
      </c>
      <c r="C389">
        <f t="shared" si="30"/>
        <v>1</v>
      </c>
      <c r="D389" s="4"/>
      <c r="E389" t="s">
        <v>18</v>
      </c>
      <c r="F389" t="str">
        <f>INDEX(Establishment!B$2:B$1005,MATCH($E389,Establishment!$A$2:$A$1005,0))</f>
        <v xml:space="preserve"> </v>
      </c>
      <c r="G389" t="str">
        <f>INDEX(Establishment!C$2:C$1005,MATCH($E389,Establishment!$A$2:$A$1005,0))</f>
        <v xml:space="preserve"> </v>
      </c>
      <c r="M389">
        <f t="shared" si="31"/>
        <v>0</v>
      </c>
      <c r="N389">
        <f t="shared" si="34"/>
        <v>0</v>
      </c>
      <c r="P389" t="e">
        <f>INDEX(Items!B$2:B$1032,MATCH($O389,Items!$A$2:$A$1032,0))</f>
        <v>#N/A</v>
      </c>
      <c r="Q389" t="e">
        <f>INDEX(Items!C$2:C$1032,MATCH($O389,Items!$A$2:$A$1032,0))</f>
        <v>#N/A</v>
      </c>
      <c r="R389" t="e">
        <f>INDEX(Items!D$2:D$1032,MATCH($O389,Items!$A$2:$A$1032,0))</f>
        <v>#N/A</v>
      </c>
    </row>
    <row r="390" spans="1:18" x14ac:dyDescent="0.25">
      <c r="A390">
        <f t="shared" si="32"/>
        <v>1</v>
      </c>
      <c r="B390" t="str">
        <f t="shared" si="33"/>
        <v/>
      </c>
      <c r="C390">
        <f t="shared" si="30"/>
        <v>1</v>
      </c>
      <c r="D390" s="4"/>
      <c r="E390" t="s">
        <v>18</v>
      </c>
      <c r="F390" t="str">
        <f>INDEX(Establishment!B$2:B$1005,MATCH($E390,Establishment!$A$2:$A$1005,0))</f>
        <v xml:space="preserve"> </v>
      </c>
      <c r="G390" t="str">
        <f>INDEX(Establishment!C$2:C$1005,MATCH($E390,Establishment!$A$2:$A$1005,0))</f>
        <v xml:space="preserve"> </v>
      </c>
      <c r="M390">
        <f t="shared" si="31"/>
        <v>0</v>
      </c>
      <c r="N390">
        <f t="shared" si="34"/>
        <v>0</v>
      </c>
      <c r="P390" t="e">
        <f>INDEX(Items!B$2:B$1032,MATCH($O390,Items!$A$2:$A$1032,0))</f>
        <v>#N/A</v>
      </c>
      <c r="Q390" t="e">
        <f>INDEX(Items!C$2:C$1032,MATCH($O390,Items!$A$2:$A$1032,0))</f>
        <v>#N/A</v>
      </c>
      <c r="R390" t="e">
        <f>INDEX(Items!D$2:D$1032,MATCH($O390,Items!$A$2:$A$1032,0))</f>
        <v>#N/A</v>
      </c>
    </row>
    <row r="391" spans="1:18" x14ac:dyDescent="0.25">
      <c r="A391">
        <f t="shared" si="32"/>
        <v>1</v>
      </c>
      <c r="B391" t="str">
        <f t="shared" si="33"/>
        <v/>
      </c>
      <c r="C391">
        <f t="shared" si="30"/>
        <v>1</v>
      </c>
      <c r="D391" s="4"/>
      <c r="E391" t="s">
        <v>18</v>
      </c>
      <c r="F391" t="str">
        <f>INDEX(Establishment!B$2:B$1005,MATCH($E391,Establishment!$A$2:$A$1005,0))</f>
        <v xml:space="preserve"> </v>
      </c>
      <c r="G391" t="str">
        <f>INDEX(Establishment!C$2:C$1005,MATCH($E391,Establishment!$A$2:$A$1005,0))</f>
        <v xml:space="preserve"> </v>
      </c>
      <c r="M391">
        <f t="shared" si="31"/>
        <v>0</v>
      </c>
      <c r="N391">
        <f t="shared" si="34"/>
        <v>0</v>
      </c>
      <c r="P391" t="e">
        <f>INDEX(Items!B$2:B$1032,MATCH($O391,Items!$A$2:$A$1032,0))</f>
        <v>#N/A</v>
      </c>
      <c r="Q391" t="e">
        <f>INDEX(Items!C$2:C$1032,MATCH($O391,Items!$A$2:$A$1032,0))</f>
        <v>#N/A</v>
      </c>
      <c r="R391" t="e">
        <f>INDEX(Items!D$2:D$1032,MATCH($O391,Items!$A$2:$A$1032,0))</f>
        <v>#N/A</v>
      </c>
    </row>
    <row r="392" spans="1:18" x14ac:dyDescent="0.25">
      <c r="A392">
        <f t="shared" si="32"/>
        <v>1</v>
      </c>
      <c r="B392" t="str">
        <f t="shared" si="33"/>
        <v/>
      </c>
      <c r="C392">
        <f t="shared" si="30"/>
        <v>1</v>
      </c>
      <c r="D392" s="4"/>
      <c r="E392" t="s">
        <v>18</v>
      </c>
      <c r="F392" t="str">
        <f>INDEX(Establishment!B$2:B$1005,MATCH($E392,Establishment!$A$2:$A$1005,0))</f>
        <v xml:space="preserve"> </v>
      </c>
      <c r="G392" t="str">
        <f>INDEX(Establishment!C$2:C$1005,MATCH($E392,Establishment!$A$2:$A$1005,0))</f>
        <v xml:space="preserve"> </v>
      </c>
      <c r="M392">
        <f t="shared" si="31"/>
        <v>0</v>
      </c>
      <c r="N392">
        <f t="shared" si="34"/>
        <v>0</v>
      </c>
      <c r="P392" t="e">
        <f>INDEX(Items!B$2:B$1032,MATCH($O392,Items!$A$2:$A$1032,0))</f>
        <v>#N/A</v>
      </c>
      <c r="Q392" t="e">
        <f>INDEX(Items!C$2:C$1032,MATCH($O392,Items!$A$2:$A$1032,0))</f>
        <v>#N/A</v>
      </c>
      <c r="R392" t="e">
        <f>INDEX(Items!D$2:D$1032,MATCH($O392,Items!$A$2:$A$1032,0))</f>
        <v>#N/A</v>
      </c>
    </row>
    <row r="393" spans="1:18" x14ac:dyDescent="0.25">
      <c r="A393">
        <f t="shared" si="32"/>
        <v>1</v>
      </c>
      <c r="B393" t="str">
        <f t="shared" si="33"/>
        <v/>
      </c>
      <c r="C393">
        <f t="shared" si="30"/>
        <v>1</v>
      </c>
      <c r="D393" s="4"/>
      <c r="E393" t="s">
        <v>18</v>
      </c>
      <c r="F393" t="str">
        <f>INDEX(Establishment!B$2:B$1005,MATCH($E393,Establishment!$A$2:$A$1005,0))</f>
        <v xml:space="preserve"> </v>
      </c>
      <c r="G393" t="str">
        <f>INDEX(Establishment!C$2:C$1005,MATCH($E393,Establishment!$A$2:$A$1005,0))</f>
        <v xml:space="preserve"> </v>
      </c>
      <c r="M393">
        <f t="shared" si="31"/>
        <v>0</v>
      </c>
      <c r="N393">
        <f t="shared" si="34"/>
        <v>0</v>
      </c>
      <c r="P393" t="e">
        <f>INDEX(Items!B$2:B$1032,MATCH($O393,Items!$A$2:$A$1032,0))</f>
        <v>#N/A</v>
      </c>
      <c r="Q393" t="e">
        <f>INDEX(Items!C$2:C$1032,MATCH($O393,Items!$A$2:$A$1032,0))</f>
        <v>#N/A</v>
      </c>
      <c r="R393" t="e">
        <f>INDEX(Items!D$2:D$1032,MATCH($O393,Items!$A$2:$A$1032,0))</f>
        <v>#N/A</v>
      </c>
    </row>
    <row r="394" spans="1:18" x14ac:dyDescent="0.25">
      <c r="A394">
        <f t="shared" si="32"/>
        <v>1</v>
      </c>
      <c r="B394" t="str">
        <f t="shared" si="33"/>
        <v/>
      </c>
      <c r="C394">
        <f t="shared" ref="C394:C457" si="35">IF(OR(B394="",B394&lt;&gt;B393),1,C393+1)</f>
        <v>1</v>
      </c>
      <c r="D394" s="4"/>
      <c r="E394" t="s">
        <v>18</v>
      </c>
      <c r="F394" t="str">
        <f>INDEX(Establishment!B$2:B$1005,MATCH($E394,Establishment!$A$2:$A$1005,0))</f>
        <v xml:space="preserve"> </v>
      </c>
      <c r="G394" t="str">
        <f>INDEX(Establishment!C$2:C$1005,MATCH($E394,Establishment!$A$2:$A$1005,0))</f>
        <v xml:space="preserve"> </v>
      </c>
      <c r="M394">
        <f t="shared" ref="M394:M457" si="36">K394*L394</f>
        <v>0</v>
      </c>
      <c r="N394">
        <f t="shared" si="34"/>
        <v>0</v>
      </c>
      <c r="P394" t="e">
        <f>INDEX(Items!B$2:B$1032,MATCH($O394,Items!$A$2:$A$1032,0))</f>
        <v>#N/A</v>
      </c>
      <c r="Q394" t="e">
        <f>INDEX(Items!C$2:C$1032,MATCH($O394,Items!$A$2:$A$1032,0))</f>
        <v>#N/A</v>
      </c>
      <c r="R394" t="e">
        <f>INDEX(Items!D$2:D$1032,MATCH($O394,Items!$A$2:$A$1032,0))</f>
        <v>#N/A</v>
      </c>
    </row>
    <row r="395" spans="1:18" x14ac:dyDescent="0.25">
      <c r="A395">
        <f t="shared" si="32"/>
        <v>1</v>
      </c>
      <c r="B395" t="str">
        <f t="shared" si="33"/>
        <v/>
      </c>
      <c r="C395">
        <f t="shared" si="35"/>
        <v>1</v>
      </c>
      <c r="D395" s="4"/>
      <c r="E395" t="s">
        <v>18</v>
      </c>
      <c r="F395" t="str">
        <f>INDEX(Establishment!B$2:B$1005,MATCH($E395,Establishment!$A$2:$A$1005,0))</f>
        <v xml:space="preserve"> </v>
      </c>
      <c r="G395" t="str">
        <f>INDEX(Establishment!C$2:C$1005,MATCH($E395,Establishment!$A$2:$A$1005,0))</f>
        <v xml:space="preserve"> </v>
      </c>
      <c r="M395">
        <f t="shared" si="36"/>
        <v>0</v>
      </c>
      <c r="N395">
        <f t="shared" si="34"/>
        <v>0</v>
      </c>
      <c r="P395" t="e">
        <f>INDEX(Items!B$2:B$1032,MATCH($O395,Items!$A$2:$A$1032,0))</f>
        <v>#N/A</v>
      </c>
      <c r="Q395" t="e">
        <f>INDEX(Items!C$2:C$1032,MATCH($O395,Items!$A$2:$A$1032,0))</f>
        <v>#N/A</v>
      </c>
      <c r="R395" t="e">
        <f>INDEX(Items!D$2:D$1032,MATCH($O395,Items!$A$2:$A$1032,0))</f>
        <v>#N/A</v>
      </c>
    </row>
    <row r="396" spans="1:18" x14ac:dyDescent="0.25">
      <c r="A396">
        <f t="shared" si="32"/>
        <v>1</v>
      </c>
      <c r="B396" t="str">
        <f t="shared" si="33"/>
        <v/>
      </c>
      <c r="C396">
        <f t="shared" si="35"/>
        <v>1</v>
      </c>
      <c r="D396" s="4"/>
      <c r="E396" t="s">
        <v>18</v>
      </c>
      <c r="F396" t="str">
        <f>INDEX(Establishment!B$2:B$1005,MATCH($E396,Establishment!$A$2:$A$1005,0))</f>
        <v xml:space="preserve"> </v>
      </c>
      <c r="G396" t="str">
        <f>INDEX(Establishment!C$2:C$1005,MATCH($E396,Establishment!$A$2:$A$1005,0))</f>
        <v xml:space="preserve"> </v>
      </c>
      <c r="M396">
        <f t="shared" si="36"/>
        <v>0</v>
      </c>
      <c r="N396">
        <f t="shared" si="34"/>
        <v>0</v>
      </c>
      <c r="P396" t="e">
        <f>INDEX(Items!B$2:B$1032,MATCH($O396,Items!$A$2:$A$1032,0))</f>
        <v>#N/A</v>
      </c>
      <c r="Q396" t="e">
        <f>INDEX(Items!C$2:C$1032,MATCH($O396,Items!$A$2:$A$1032,0))</f>
        <v>#N/A</v>
      </c>
      <c r="R396" t="e">
        <f>INDEX(Items!D$2:D$1032,MATCH($O396,Items!$A$2:$A$1032,0))</f>
        <v>#N/A</v>
      </c>
    </row>
    <row r="397" spans="1:18" x14ac:dyDescent="0.25">
      <c r="A397">
        <f t="shared" si="32"/>
        <v>1</v>
      </c>
      <c r="B397" t="str">
        <f t="shared" si="33"/>
        <v/>
      </c>
      <c r="C397">
        <f t="shared" si="35"/>
        <v>1</v>
      </c>
      <c r="D397" s="4"/>
      <c r="E397" t="s">
        <v>18</v>
      </c>
      <c r="F397" t="str">
        <f>INDEX(Establishment!B$2:B$1005,MATCH($E397,Establishment!$A$2:$A$1005,0))</f>
        <v xml:space="preserve"> </v>
      </c>
      <c r="G397" t="str">
        <f>INDEX(Establishment!C$2:C$1005,MATCH($E397,Establishment!$A$2:$A$1005,0))</f>
        <v xml:space="preserve"> </v>
      </c>
      <c r="M397">
        <f t="shared" si="36"/>
        <v>0</v>
      </c>
      <c r="N397">
        <f t="shared" si="34"/>
        <v>0</v>
      </c>
      <c r="P397" t="e">
        <f>INDEX(Items!B$2:B$1032,MATCH($O397,Items!$A$2:$A$1032,0))</f>
        <v>#N/A</v>
      </c>
      <c r="Q397" t="e">
        <f>INDEX(Items!C$2:C$1032,MATCH($O397,Items!$A$2:$A$1032,0))</f>
        <v>#N/A</v>
      </c>
      <c r="R397" t="e">
        <f>INDEX(Items!D$2:D$1032,MATCH($O397,Items!$A$2:$A$1032,0))</f>
        <v>#N/A</v>
      </c>
    </row>
    <row r="398" spans="1:18" x14ac:dyDescent="0.25">
      <c r="A398">
        <f t="shared" si="32"/>
        <v>1</v>
      </c>
      <c r="B398" t="str">
        <f t="shared" si="33"/>
        <v/>
      </c>
      <c r="C398">
        <f t="shared" si="35"/>
        <v>1</v>
      </c>
      <c r="D398" s="4"/>
      <c r="E398" t="s">
        <v>18</v>
      </c>
      <c r="F398" t="str">
        <f>INDEX(Establishment!B$2:B$1005,MATCH($E398,Establishment!$A$2:$A$1005,0))</f>
        <v xml:space="preserve"> </v>
      </c>
      <c r="G398" t="str">
        <f>INDEX(Establishment!C$2:C$1005,MATCH($E398,Establishment!$A$2:$A$1005,0))</f>
        <v xml:space="preserve"> </v>
      </c>
      <c r="M398">
        <f t="shared" si="36"/>
        <v>0</v>
      </c>
      <c r="N398">
        <f t="shared" si="34"/>
        <v>0</v>
      </c>
      <c r="P398" t="e">
        <f>INDEX(Items!B$2:B$1032,MATCH($O398,Items!$A$2:$A$1032,0))</f>
        <v>#N/A</v>
      </c>
      <c r="Q398" t="e">
        <f>INDEX(Items!C$2:C$1032,MATCH($O398,Items!$A$2:$A$1032,0))</f>
        <v>#N/A</v>
      </c>
      <c r="R398" t="e">
        <f>INDEX(Items!D$2:D$1032,MATCH($O398,Items!$A$2:$A$1032,0))</f>
        <v>#N/A</v>
      </c>
    </row>
    <row r="399" spans="1:18" x14ac:dyDescent="0.25">
      <c r="A399">
        <f t="shared" si="32"/>
        <v>1</v>
      </c>
      <c r="B399" t="str">
        <f t="shared" si="33"/>
        <v/>
      </c>
      <c r="C399">
        <f t="shared" si="35"/>
        <v>1</v>
      </c>
      <c r="D399" s="4"/>
      <c r="E399" t="s">
        <v>18</v>
      </c>
      <c r="F399" t="str">
        <f>INDEX(Establishment!B$2:B$1005,MATCH($E399,Establishment!$A$2:$A$1005,0))</f>
        <v xml:space="preserve"> </v>
      </c>
      <c r="G399" t="str">
        <f>INDEX(Establishment!C$2:C$1005,MATCH($E399,Establishment!$A$2:$A$1005,0))</f>
        <v xml:space="preserve"> </v>
      </c>
      <c r="M399">
        <f t="shared" si="36"/>
        <v>0</v>
      </c>
      <c r="N399">
        <f t="shared" si="34"/>
        <v>0</v>
      </c>
      <c r="P399" t="e">
        <f>INDEX(Items!B$2:B$1032,MATCH($O399,Items!$A$2:$A$1032,0))</f>
        <v>#N/A</v>
      </c>
      <c r="Q399" t="e">
        <f>INDEX(Items!C$2:C$1032,MATCH($O399,Items!$A$2:$A$1032,0))</f>
        <v>#N/A</v>
      </c>
      <c r="R399" t="e">
        <f>INDEX(Items!D$2:D$1032,MATCH($O399,Items!$A$2:$A$1032,0))</f>
        <v>#N/A</v>
      </c>
    </row>
    <row r="400" spans="1:18" x14ac:dyDescent="0.25">
      <c r="A400">
        <f t="shared" si="32"/>
        <v>1</v>
      </c>
      <c r="B400" t="str">
        <f t="shared" si="33"/>
        <v/>
      </c>
      <c r="C400">
        <f t="shared" si="35"/>
        <v>1</v>
      </c>
      <c r="D400" s="4"/>
      <c r="E400" t="s">
        <v>18</v>
      </c>
      <c r="F400" t="str">
        <f>INDEX(Establishment!B$2:B$1005,MATCH($E400,Establishment!$A$2:$A$1005,0))</f>
        <v xml:space="preserve"> </v>
      </c>
      <c r="G400" t="str">
        <f>INDEX(Establishment!C$2:C$1005,MATCH($E400,Establishment!$A$2:$A$1005,0))</f>
        <v xml:space="preserve"> </v>
      </c>
      <c r="M400">
        <f t="shared" si="36"/>
        <v>0</v>
      </c>
      <c r="N400">
        <f t="shared" si="34"/>
        <v>0</v>
      </c>
      <c r="P400" t="e">
        <f>INDEX(Items!B$2:B$1032,MATCH($O400,Items!$A$2:$A$1032,0))</f>
        <v>#N/A</v>
      </c>
      <c r="Q400" t="e">
        <f>INDEX(Items!C$2:C$1032,MATCH($O400,Items!$A$2:$A$1032,0))</f>
        <v>#N/A</v>
      </c>
      <c r="R400" t="e">
        <f>INDEX(Items!D$2:D$1032,MATCH($O400,Items!$A$2:$A$1032,0))</f>
        <v>#N/A</v>
      </c>
    </row>
    <row r="401" spans="1:18" x14ac:dyDescent="0.25">
      <c r="A401">
        <f t="shared" si="32"/>
        <v>1</v>
      </c>
      <c r="B401" t="str">
        <f t="shared" si="33"/>
        <v/>
      </c>
      <c r="C401">
        <f t="shared" si="35"/>
        <v>1</v>
      </c>
      <c r="D401" s="4"/>
      <c r="E401" t="s">
        <v>18</v>
      </c>
      <c r="F401" t="str">
        <f>INDEX(Establishment!B$2:B$1005,MATCH($E401,Establishment!$A$2:$A$1005,0))</f>
        <v xml:space="preserve"> </v>
      </c>
      <c r="G401" t="str">
        <f>INDEX(Establishment!C$2:C$1005,MATCH($E401,Establishment!$A$2:$A$1005,0))</f>
        <v xml:space="preserve"> </v>
      </c>
      <c r="M401">
        <f t="shared" si="36"/>
        <v>0</v>
      </c>
      <c r="N401">
        <f t="shared" si="34"/>
        <v>0</v>
      </c>
      <c r="P401" t="e">
        <f>INDEX(Items!B$2:B$1032,MATCH($O401,Items!$A$2:$A$1032,0))</f>
        <v>#N/A</v>
      </c>
      <c r="Q401" t="e">
        <f>INDEX(Items!C$2:C$1032,MATCH($O401,Items!$A$2:$A$1032,0))</f>
        <v>#N/A</v>
      </c>
      <c r="R401" t="e">
        <f>INDEX(Items!D$2:D$1032,MATCH($O401,Items!$A$2:$A$1032,0))</f>
        <v>#N/A</v>
      </c>
    </row>
    <row r="402" spans="1:18" x14ac:dyDescent="0.25">
      <c r="A402">
        <f t="shared" si="32"/>
        <v>1</v>
      </c>
      <c r="B402" t="str">
        <f t="shared" si="33"/>
        <v/>
      </c>
      <c r="C402">
        <f t="shared" si="35"/>
        <v>1</v>
      </c>
      <c r="D402" s="4"/>
      <c r="E402" t="s">
        <v>18</v>
      </c>
      <c r="F402" t="str">
        <f>INDEX(Establishment!B$2:B$1005,MATCH($E402,Establishment!$A$2:$A$1005,0))</f>
        <v xml:space="preserve"> </v>
      </c>
      <c r="G402" t="str">
        <f>INDEX(Establishment!C$2:C$1005,MATCH($E402,Establishment!$A$2:$A$1005,0))</f>
        <v xml:space="preserve"> </v>
      </c>
      <c r="M402">
        <f t="shared" si="36"/>
        <v>0</v>
      </c>
      <c r="N402">
        <f t="shared" si="34"/>
        <v>0</v>
      </c>
      <c r="P402" t="e">
        <f>INDEX(Items!B$2:B$1032,MATCH($O402,Items!$A$2:$A$1032,0))</f>
        <v>#N/A</v>
      </c>
      <c r="Q402" t="e">
        <f>INDEX(Items!C$2:C$1032,MATCH($O402,Items!$A$2:$A$1032,0))</f>
        <v>#N/A</v>
      </c>
      <c r="R402" t="e">
        <f>INDEX(Items!D$2:D$1032,MATCH($O402,Items!$A$2:$A$1032,0))</f>
        <v>#N/A</v>
      </c>
    </row>
    <row r="403" spans="1:18" x14ac:dyDescent="0.25">
      <c r="A403">
        <f t="shared" si="32"/>
        <v>1</v>
      </c>
      <c r="B403" t="str">
        <f t="shared" si="33"/>
        <v/>
      </c>
      <c r="C403">
        <f t="shared" si="35"/>
        <v>1</v>
      </c>
      <c r="D403" s="4"/>
      <c r="E403" t="s">
        <v>18</v>
      </c>
      <c r="F403" t="str">
        <f>INDEX(Establishment!B$2:B$1005,MATCH($E403,Establishment!$A$2:$A$1005,0))</f>
        <v xml:space="preserve"> </v>
      </c>
      <c r="G403" t="str">
        <f>INDEX(Establishment!C$2:C$1005,MATCH($E403,Establishment!$A$2:$A$1005,0))</f>
        <v xml:space="preserve"> </v>
      </c>
      <c r="M403">
        <f t="shared" si="36"/>
        <v>0</v>
      </c>
      <c r="N403">
        <f t="shared" si="34"/>
        <v>0</v>
      </c>
      <c r="P403" t="e">
        <f>INDEX(Items!B$2:B$1032,MATCH($O403,Items!$A$2:$A$1032,0))</f>
        <v>#N/A</v>
      </c>
      <c r="Q403" t="e">
        <f>INDEX(Items!C$2:C$1032,MATCH($O403,Items!$A$2:$A$1032,0))</f>
        <v>#N/A</v>
      </c>
      <c r="R403" t="e">
        <f>INDEX(Items!D$2:D$1032,MATCH($O403,Items!$A$2:$A$1032,0))</f>
        <v>#N/A</v>
      </c>
    </row>
    <row r="404" spans="1:18" x14ac:dyDescent="0.25">
      <c r="A404">
        <f t="shared" si="32"/>
        <v>1</v>
      </c>
      <c r="B404" t="str">
        <f t="shared" si="33"/>
        <v/>
      </c>
      <c r="C404">
        <f t="shared" si="35"/>
        <v>1</v>
      </c>
      <c r="D404" s="4"/>
      <c r="E404" t="s">
        <v>18</v>
      </c>
      <c r="F404" t="str">
        <f>INDEX(Establishment!B$2:B$1005,MATCH($E404,Establishment!$A$2:$A$1005,0))</f>
        <v xml:space="preserve"> </v>
      </c>
      <c r="G404" t="str">
        <f>INDEX(Establishment!C$2:C$1005,MATCH($E404,Establishment!$A$2:$A$1005,0))</f>
        <v xml:space="preserve"> </v>
      </c>
      <c r="M404">
        <f t="shared" si="36"/>
        <v>0</v>
      </c>
      <c r="N404">
        <f t="shared" si="34"/>
        <v>0</v>
      </c>
      <c r="P404" t="e">
        <f>INDEX(Items!B$2:B$1032,MATCH($O404,Items!$A$2:$A$1032,0))</f>
        <v>#N/A</v>
      </c>
      <c r="Q404" t="e">
        <f>INDEX(Items!C$2:C$1032,MATCH($O404,Items!$A$2:$A$1032,0))</f>
        <v>#N/A</v>
      </c>
      <c r="R404" t="e">
        <f>INDEX(Items!D$2:D$1032,MATCH($O404,Items!$A$2:$A$1032,0))</f>
        <v>#N/A</v>
      </c>
    </row>
    <row r="405" spans="1:18" x14ac:dyDescent="0.25">
      <c r="A405">
        <f t="shared" si="32"/>
        <v>1</v>
      </c>
      <c r="B405" t="str">
        <f t="shared" si="33"/>
        <v/>
      </c>
      <c r="C405">
        <f t="shared" si="35"/>
        <v>1</v>
      </c>
      <c r="D405" s="4"/>
      <c r="E405" t="s">
        <v>18</v>
      </c>
      <c r="F405" t="str">
        <f>INDEX(Establishment!B$2:B$1005,MATCH($E405,Establishment!$A$2:$A$1005,0))</f>
        <v xml:space="preserve"> </v>
      </c>
      <c r="G405" t="str">
        <f>INDEX(Establishment!C$2:C$1005,MATCH($E405,Establishment!$A$2:$A$1005,0))</f>
        <v xml:space="preserve"> </v>
      </c>
      <c r="M405">
        <f t="shared" si="36"/>
        <v>0</v>
      </c>
      <c r="N405">
        <f t="shared" si="34"/>
        <v>0</v>
      </c>
      <c r="P405" t="e">
        <f>INDEX(Items!B$2:B$1032,MATCH($O405,Items!$A$2:$A$1032,0))</f>
        <v>#N/A</v>
      </c>
      <c r="Q405" t="e">
        <f>INDEX(Items!C$2:C$1032,MATCH($O405,Items!$A$2:$A$1032,0))</f>
        <v>#N/A</v>
      </c>
      <c r="R405" t="e">
        <f>INDEX(Items!D$2:D$1032,MATCH($O405,Items!$A$2:$A$1032,0))</f>
        <v>#N/A</v>
      </c>
    </row>
    <row r="406" spans="1:18" x14ac:dyDescent="0.25">
      <c r="A406">
        <f t="shared" si="32"/>
        <v>1</v>
      </c>
      <c r="B406" t="str">
        <f t="shared" si="33"/>
        <v/>
      </c>
      <c r="C406">
        <f t="shared" si="35"/>
        <v>1</v>
      </c>
      <c r="D406" s="4"/>
      <c r="E406" t="s">
        <v>18</v>
      </c>
      <c r="F406" t="str">
        <f>INDEX(Establishment!B$2:B$1005,MATCH($E406,Establishment!$A$2:$A$1005,0))</f>
        <v xml:space="preserve"> </v>
      </c>
      <c r="G406" t="str">
        <f>INDEX(Establishment!C$2:C$1005,MATCH($E406,Establishment!$A$2:$A$1005,0))</f>
        <v xml:space="preserve"> </v>
      </c>
      <c r="M406">
        <f t="shared" si="36"/>
        <v>0</v>
      </c>
      <c r="N406">
        <f t="shared" si="34"/>
        <v>0</v>
      </c>
      <c r="P406" t="e">
        <f>INDEX(Items!B$2:B$1032,MATCH($O406,Items!$A$2:$A$1032,0))</f>
        <v>#N/A</v>
      </c>
      <c r="Q406" t="e">
        <f>INDEX(Items!C$2:C$1032,MATCH($O406,Items!$A$2:$A$1032,0))</f>
        <v>#N/A</v>
      </c>
      <c r="R406" t="e">
        <f>INDEX(Items!D$2:D$1032,MATCH($O406,Items!$A$2:$A$1032,0))</f>
        <v>#N/A</v>
      </c>
    </row>
    <row r="407" spans="1:18" x14ac:dyDescent="0.25">
      <c r="A407">
        <f t="shared" si="32"/>
        <v>1</v>
      </c>
      <c r="B407" t="str">
        <f t="shared" si="33"/>
        <v/>
      </c>
      <c r="C407">
        <f t="shared" si="35"/>
        <v>1</v>
      </c>
      <c r="D407" s="4"/>
      <c r="E407" t="s">
        <v>18</v>
      </c>
      <c r="F407" t="str">
        <f>INDEX(Establishment!B$2:B$1005,MATCH($E407,Establishment!$A$2:$A$1005,0))</f>
        <v xml:space="preserve"> </v>
      </c>
      <c r="G407" t="str">
        <f>INDEX(Establishment!C$2:C$1005,MATCH($E407,Establishment!$A$2:$A$1005,0))</f>
        <v xml:space="preserve"> </v>
      </c>
      <c r="M407">
        <f t="shared" si="36"/>
        <v>0</v>
      </c>
      <c r="N407">
        <f t="shared" si="34"/>
        <v>0</v>
      </c>
      <c r="P407" t="e">
        <f>INDEX(Items!B$2:B$1032,MATCH($O407,Items!$A$2:$A$1032,0))</f>
        <v>#N/A</v>
      </c>
      <c r="Q407" t="e">
        <f>INDEX(Items!C$2:C$1032,MATCH($O407,Items!$A$2:$A$1032,0))</f>
        <v>#N/A</v>
      </c>
      <c r="R407" t="e">
        <f>INDEX(Items!D$2:D$1032,MATCH($O407,Items!$A$2:$A$1032,0))</f>
        <v>#N/A</v>
      </c>
    </row>
    <row r="408" spans="1:18" x14ac:dyDescent="0.25">
      <c r="A408">
        <f t="shared" si="32"/>
        <v>1</v>
      </c>
      <c r="B408" t="str">
        <f t="shared" si="33"/>
        <v/>
      </c>
      <c r="C408">
        <f t="shared" si="35"/>
        <v>1</v>
      </c>
      <c r="D408" s="4"/>
      <c r="E408" t="s">
        <v>18</v>
      </c>
      <c r="F408" t="str">
        <f>INDEX(Establishment!B$2:B$1005,MATCH($E408,Establishment!$A$2:$A$1005,0))</f>
        <v xml:space="preserve"> </v>
      </c>
      <c r="G408" t="str">
        <f>INDEX(Establishment!C$2:C$1005,MATCH($E408,Establishment!$A$2:$A$1005,0))</f>
        <v xml:space="preserve"> </v>
      </c>
      <c r="M408">
        <f t="shared" si="36"/>
        <v>0</v>
      </c>
      <c r="N408">
        <f t="shared" si="34"/>
        <v>0</v>
      </c>
      <c r="P408" t="e">
        <f>INDEX(Items!B$2:B$1032,MATCH($O408,Items!$A$2:$A$1032,0))</f>
        <v>#N/A</v>
      </c>
      <c r="Q408" t="e">
        <f>INDEX(Items!C$2:C$1032,MATCH($O408,Items!$A$2:$A$1032,0))</f>
        <v>#N/A</v>
      </c>
      <c r="R408" t="e">
        <f>INDEX(Items!D$2:D$1032,MATCH($O408,Items!$A$2:$A$1032,0))</f>
        <v>#N/A</v>
      </c>
    </row>
    <row r="409" spans="1:18" x14ac:dyDescent="0.25">
      <c r="A409">
        <f t="shared" si="32"/>
        <v>1</v>
      </c>
      <c r="B409" t="str">
        <f t="shared" si="33"/>
        <v/>
      </c>
      <c r="C409">
        <f t="shared" si="35"/>
        <v>1</v>
      </c>
      <c r="D409" s="4"/>
      <c r="E409" t="s">
        <v>18</v>
      </c>
      <c r="F409" t="str">
        <f>INDEX(Establishment!B$2:B$1005,MATCH($E409,Establishment!$A$2:$A$1005,0))</f>
        <v xml:space="preserve"> </v>
      </c>
      <c r="G409" t="str">
        <f>INDEX(Establishment!C$2:C$1005,MATCH($E409,Establishment!$A$2:$A$1005,0))</f>
        <v xml:space="preserve"> </v>
      </c>
      <c r="M409">
        <f t="shared" si="36"/>
        <v>0</v>
      </c>
      <c r="N409">
        <f t="shared" si="34"/>
        <v>0</v>
      </c>
      <c r="P409" t="e">
        <f>INDEX(Items!B$2:B$1032,MATCH($O409,Items!$A$2:$A$1032,0))</f>
        <v>#N/A</v>
      </c>
      <c r="Q409" t="e">
        <f>INDEX(Items!C$2:C$1032,MATCH($O409,Items!$A$2:$A$1032,0))</f>
        <v>#N/A</v>
      </c>
      <c r="R409" t="e">
        <f>INDEX(Items!D$2:D$1032,MATCH($O409,Items!$A$2:$A$1032,0))</f>
        <v>#N/A</v>
      </c>
    </row>
    <row r="410" spans="1:18" x14ac:dyDescent="0.25">
      <c r="A410">
        <f t="shared" si="32"/>
        <v>1</v>
      </c>
      <c r="B410" t="str">
        <f t="shared" si="33"/>
        <v/>
      </c>
      <c r="C410">
        <f t="shared" si="35"/>
        <v>1</v>
      </c>
      <c r="D410" s="4"/>
      <c r="E410" t="s">
        <v>18</v>
      </c>
      <c r="F410" t="str">
        <f>INDEX(Establishment!B$2:B$1005,MATCH($E410,Establishment!$A$2:$A$1005,0))</f>
        <v xml:space="preserve"> </v>
      </c>
      <c r="G410" t="str">
        <f>INDEX(Establishment!C$2:C$1005,MATCH($E410,Establishment!$A$2:$A$1005,0))</f>
        <v xml:space="preserve"> </v>
      </c>
      <c r="M410">
        <f t="shared" si="36"/>
        <v>0</v>
      </c>
      <c r="N410">
        <f t="shared" si="34"/>
        <v>0</v>
      </c>
      <c r="P410" t="e">
        <f>INDEX(Items!B$2:B$1032,MATCH($O410,Items!$A$2:$A$1032,0))</f>
        <v>#N/A</v>
      </c>
      <c r="Q410" t="e">
        <f>INDEX(Items!C$2:C$1032,MATCH($O410,Items!$A$2:$A$1032,0))</f>
        <v>#N/A</v>
      </c>
      <c r="R410" t="e">
        <f>INDEX(Items!D$2:D$1032,MATCH($O410,Items!$A$2:$A$1032,0))</f>
        <v>#N/A</v>
      </c>
    </row>
    <row r="411" spans="1:18" x14ac:dyDescent="0.25">
      <c r="A411">
        <f t="shared" si="32"/>
        <v>1</v>
      </c>
      <c r="B411" t="str">
        <f t="shared" si="33"/>
        <v/>
      </c>
      <c r="C411">
        <f t="shared" si="35"/>
        <v>1</v>
      </c>
      <c r="D411" s="4"/>
      <c r="E411" t="s">
        <v>18</v>
      </c>
      <c r="F411" t="str">
        <f>INDEX(Establishment!B$2:B$1005,MATCH($E411,Establishment!$A$2:$A$1005,0))</f>
        <v xml:space="preserve"> </v>
      </c>
      <c r="G411" t="str">
        <f>INDEX(Establishment!C$2:C$1005,MATCH($E411,Establishment!$A$2:$A$1005,0))</f>
        <v xml:space="preserve"> </v>
      </c>
      <c r="M411">
        <f t="shared" si="36"/>
        <v>0</v>
      </c>
      <c r="N411">
        <f t="shared" si="34"/>
        <v>0</v>
      </c>
      <c r="P411" t="e">
        <f>INDEX(Items!B$2:B$1032,MATCH($O411,Items!$A$2:$A$1032,0))</f>
        <v>#N/A</v>
      </c>
      <c r="Q411" t="e">
        <f>INDEX(Items!C$2:C$1032,MATCH($O411,Items!$A$2:$A$1032,0))</f>
        <v>#N/A</v>
      </c>
      <c r="R411" t="e">
        <f>INDEX(Items!D$2:D$1032,MATCH($O411,Items!$A$2:$A$1032,0))</f>
        <v>#N/A</v>
      </c>
    </row>
    <row r="412" spans="1:18" x14ac:dyDescent="0.25">
      <c r="A412">
        <f t="shared" si="32"/>
        <v>1</v>
      </c>
      <c r="B412" t="str">
        <f t="shared" si="33"/>
        <v/>
      </c>
      <c r="C412">
        <f t="shared" si="35"/>
        <v>1</v>
      </c>
      <c r="D412" s="4"/>
      <c r="E412" t="s">
        <v>18</v>
      </c>
      <c r="F412" t="str">
        <f>INDEX(Establishment!B$2:B$1005,MATCH($E412,Establishment!$A$2:$A$1005,0))</f>
        <v xml:space="preserve"> </v>
      </c>
      <c r="G412" t="str">
        <f>INDEX(Establishment!C$2:C$1005,MATCH($E412,Establishment!$A$2:$A$1005,0))</f>
        <v xml:space="preserve"> </v>
      </c>
      <c r="M412">
        <f t="shared" si="36"/>
        <v>0</v>
      </c>
      <c r="N412">
        <f t="shared" si="34"/>
        <v>0</v>
      </c>
      <c r="P412" t="e">
        <f>INDEX(Items!B$2:B$1032,MATCH($O412,Items!$A$2:$A$1032,0))</f>
        <v>#N/A</v>
      </c>
      <c r="Q412" t="e">
        <f>INDEX(Items!C$2:C$1032,MATCH($O412,Items!$A$2:$A$1032,0))</f>
        <v>#N/A</v>
      </c>
      <c r="R412" t="e">
        <f>INDEX(Items!D$2:D$1032,MATCH($O412,Items!$A$2:$A$1032,0))</f>
        <v>#N/A</v>
      </c>
    </row>
    <row r="413" spans="1:18" x14ac:dyDescent="0.25">
      <c r="A413">
        <f t="shared" si="32"/>
        <v>1</v>
      </c>
      <c r="B413" t="str">
        <f t="shared" si="33"/>
        <v/>
      </c>
      <c r="C413">
        <f t="shared" si="35"/>
        <v>1</v>
      </c>
      <c r="D413" s="4"/>
      <c r="E413" t="s">
        <v>18</v>
      </c>
      <c r="F413" t="str">
        <f>INDEX(Establishment!B$2:B$1005,MATCH($E413,Establishment!$A$2:$A$1005,0))</f>
        <v xml:space="preserve"> </v>
      </c>
      <c r="G413" t="str">
        <f>INDEX(Establishment!C$2:C$1005,MATCH($E413,Establishment!$A$2:$A$1005,0))</f>
        <v xml:space="preserve"> </v>
      </c>
      <c r="M413">
        <f t="shared" si="36"/>
        <v>0</v>
      </c>
      <c r="N413">
        <f t="shared" si="34"/>
        <v>0</v>
      </c>
      <c r="P413" t="e">
        <f>INDEX(Items!B$2:B$1032,MATCH($O413,Items!$A$2:$A$1032,0))</f>
        <v>#N/A</v>
      </c>
      <c r="Q413" t="e">
        <f>INDEX(Items!C$2:C$1032,MATCH($O413,Items!$A$2:$A$1032,0))</f>
        <v>#N/A</v>
      </c>
      <c r="R413" t="e">
        <f>INDEX(Items!D$2:D$1032,MATCH($O413,Items!$A$2:$A$1032,0))</f>
        <v>#N/A</v>
      </c>
    </row>
    <row r="414" spans="1:18" x14ac:dyDescent="0.25">
      <c r="A414">
        <f t="shared" si="32"/>
        <v>1</v>
      </c>
      <c r="B414" t="str">
        <f t="shared" si="33"/>
        <v/>
      </c>
      <c r="C414">
        <f t="shared" si="35"/>
        <v>1</v>
      </c>
      <c r="D414" s="4"/>
      <c r="E414" t="s">
        <v>18</v>
      </c>
      <c r="F414" t="str">
        <f>INDEX(Establishment!B$2:B$1005,MATCH($E414,Establishment!$A$2:$A$1005,0))</f>
        <v xml:space="preserve"> </v>
      </c>
      <c r="G414" t="str">
        <f>INDEX(Establishment!C$2:C$1005,MATCH($E414,Establishment!$A$2:$A$1005,0))</f>
        <v xml:space="preserve"> </v>
      </c>
      <c r="M414">
        <f t="shared" si="36"/>
        <v>0</v>
      </c>
      <c r="N414">
        <f t="shared" si="34"/>
        <v>0</v>
      </c>
      <c r="P414" t="e">
        <f>INDEX(Items!B$2:B$1032,MATCH($O414,Items!$A$2:$A$1032,0))</f>
        <v>#N/A</v>
      </c>
      <c r="Q414" t="e">
        <f>INDEX(Items!C$2:C$1032,MATCH($O414,Items!$A$2:$A$1032,0))</f>
        <v>#N/A</v>
      </c>
      <c r="R414" t="e">
        <f>INDEX(Items!D$2:D$1032,MATCH($O414,Items!$A$2:$A$1032,0))</f>
        <v>#N/A</v>
      </c>
    </row>
    <row r="415" spans="1:18" x14ac:dyDescent="0.25">
      <c r="A415">
        <f t="shared" si="32"/>
        <v>1</v>
      </c>
      <c r="B415" t="str">
        <f t="shared" si="33"/>
        <v/>
      </c>
      <c r="C415">
        <f t="shared" si="35"/>
        <v>1</v>
      </c>
      <c r="D415" s="4"/>
      <c r="E415" t="s">
        <v>18</v>
      </c>
      <c r="F415" t="str">
        <f>INDEX(Establishment!B$2:B$1005,MATCH($E415,Establishment!$A$2:$A$1005,0))</f>
        <v xml:space="preserve"> </v>
      </c>
      <c r="G415" t="str">
        <f>INDEX(Establishment!C$2:C$1005,MATCH($E415,Establishment!$A$2:$A$1005,0))</f>
        <v xml:space="preserve"> </v>
      </c>
      <c r="M415">
        <f t="shared" si="36"/>
        <v>0</v>
      </c>
      <c r="N415">
        <f t="shared" si="34"/>
        <v>0</v>
      </c>
      <c r="P415" t="e">
        <f>INDEX(Items!B$2:B$1032,MATCH($O415,Items!$A$2:$A$1032,0))</f>
        <v>#N/A</v>
      </c>
      <c r="Q415" t="e">
        <f>INDEX(Items!C$2:C$1032,MATCH($O415,Items!$A$2:$A$1032,0))</f>
        <v>#N/A</v>
      </c>
      <c r="R415" t="e">
        <f>INDEX(Items!D$2:D$1032,MATCH($O415,Items!$A$2:$A$1032,0))</f>
        <v>#N/A</v>
      </c>
    </row>
    <row r="416" spans="1:18" x14ac:dyDescent="0.25">
      <c r="A416">
        <f t="shared" si="32"/>
        <v>1</v>
      </c>
      <c r="B416" t="str">
        <f t="shared" si="33"/>
        <v/>
      </c>
      <c r="C416">
        <f t="shared" si="35"/>
        <v>1</v>
      </c>
      <c r="D416" s="4"/>
      <c r="E416" t="s">
        <v>18</v>
      </c>
      <c r="F416" t="str">
        <f>INDEX(Establishment!B$2:B$1005,MATCH($E416,Establishment!$A$2:$A$1005,0))</f>
        <v xml:space="preserve"> </v>
      </c>
      <c r="G416" t="str">
        <f>INDEX(Establishment!C$2:C$1005,MATCH($E416,Establishment!$A$2:$A$1005,0))</f>
        <v xml:space="preserve"> </v>
      </c>
      <c r="M416">
        <f t="shared" si="36"/>
        <v>0</v>
      </c>
      <c r="N416">
        <f t="shared" si="34"/>
        <v>0</v>
      </c>
      <c r="P416" t="e">
        <f>INDEX(Items!B$2:B$1032,MATCH($O416,Items!$A$2:$A$1032,0))</f>
        <v>#N/A</v>
      </c>
      <c r="Q416" t="e">
        <f>INDEX(Items!C$2:C$1032,MATCH($O416,Items!$A$2:$A$1032,0))</f>
        <v>#N/A</v>
      </c>
      <c r="R416" t="e">
        <f>INDEX(Items!D$2:D$1032,MATCH($O416,Items!$A$2:$A$1032,0))</f>
        <v>#N/A</v>
      </c>
    </row>
    <row r="417" spans="1:18" x14ac:dyDescent="0.25">
      <c r="A417">
        <f t="shared" si="32"/>
        <v>1</v>
      </c>
      <c r="B417" t="str">
        <f t="shared" si="33"/>
        <v/>
      </c>
      <c r="C417">
        <f t="shared" si="35"/>
        <v>1</v>
      </c>
      <c r="D417" s="4"/>
      <c r="E417" t="s">
        <v>18</v>
      </c>
      <c r="F417" t="str">
        <f>INDEX(Establishment!B$2:B$1005,MATCH($E417,Establishment!$A$2:$A$1005,0))</f>
        <v xml:space="preserve"> </v>
      </c>
      <c r="G417" t="str">
        <f>INDEX(Establishment!C$2:C$1005,MATCH($E417,Establishment!$A$2:$A$1005,0))</f>
        <v xml:space="preserve"> </v>
      </c>
      <c r="M417">
        <f t="shared" si="36"/>
        <v>0</v>
      </c>
      <c r="N417">
        <f t="shared" si="34"/>
        <v>0</v>
      </c>
      <c r="P417" t="e">
        <f>INDEX(Items!B$2:B$1032,MATCH($O417,Items!$A$2:$A$1032,0))</f>
        <v>#N/A</v>
      </c>
      <c r="Q417" t="e">
        <f>INDEX(Items!C$2:C$1032,MATCH($O417,Items!$A$2:$A$1032,0))</f>
        <v>#N/A</v>
      </c>
      <c r="R417" t="e">
        <f>INDEX(Items!D$2:D$1032,MATCH($O417,Items!$A$2:$A$1032,0))</f>
        <v>#N/A</v>
      </c>
    </row>
    <row r="418" spans="1:18" x14ac:dyDescent="0.25">
      <c r="A418">
        <f t="shared" si="32"/>
        <v>1</v>
      </c>
      <c r="B418" t="str">
        <f t="shared" si="33"/>
        <v/>
      </c>
      <c r="C418">
        <f t="shared" si="35"/>
        <v>1</v>
      </c>
      <c r="D418" s="4"/>
      <c r="E418" t="s">
        <v>18</v>
      </c>
      <c r="F418" t="str">
        <f>INDEX(Establishment!B$2:B$1005,MATCH($E418,Establishment!$A$2:$A$1005,0))</f>
        <v xml:space="preserve"> </v>
      </c>
      <c r="G418" t="str">
        <f>INDEX(Establishment!C$2:C$1005,MATCH($E418,Establishment!$A$2:$A$1005,0))</f>
        <v xml:space="preserve"> </v>
      </c>
      <c r="M418">
        <f t="shared" si="36"/>
        <v>0</v>
      </c>
      <c r="N418">
        <f t="shared" si="34"/>
        <v>0</v>
      </c>
      <c r="P418" t="e">
        <f>INDEX(Items!B$2:B$1032,MATCH($O418,Items!$A$2:$A$1032,0))</f>
        <v>#N/A</v>
      </c>
      <c r="Q418" t="e">
        <f>INDEX(Items!C$2:C$1032,MATCH($O418,Items!$A$2:$A$1032,0))</f>
        <v>#N/A</v>
      </c>
      <c r="R418" t="e">
        <f>INDEX(Items!D$2:D$1032,MATCH($O418,Items!$A$2:$A$1032,0))</f>
        <v>#N/A</v>
      </c>
    </row>
    <row r="419" spans="1:18" x14ac:dyDescent="0.25">
      <c r="A419">
        <f t="shared" si="32"/>
        <v>1</v>
      </c>
      <c r="B419" t="str">
        <f t="shared" si="33"/>
        <v/>
      </c>
      <c r="C419">
        <f t="shared" si="35"/>
        <v>1</v>
      </c>
      <c r="D419" s="4"/>
      <c r="E419" t="s">
        <v>18</v>
      </c>
      <c r="F419" t="str">
        <f>INDEX(Establishment!B$2:B$1005,MATCH($E419,Establishment!$A$2:$A$1005,0))</f>
        <v xml:space="preserve"> </v>
      </c>
      <c r="G419" t="str">
        <f>INDEX(Establishment!C$2:C$1005,MATCH($E419,Establishment!$A$2:$A$1005,0))</f>
        <v xml:space="preserve"> </v>
      </c>
      <c r="M419">
        <f t="shared" si="36"/>
        <v>0</v>
      </c>
      <c r="N419">
        <f t="shared" si="34"/>
        <v>0</v>
      </c>
      <c r="P419" t="e">
        <f>INDEX(Items!B$2:B$1032,MATCH($O419,Items!$A$2:$A$1032,0))</f>
        <v>#N/A</v>
      </c>
      <c r="Q419" t="e">
        <f>INDEX(Items!C$2:C$1032,MATCH($O419,Items!$A$2:$A$1032,0))</f>
        <v>#N/A</v>
      </c>
      <c r="R419" t="e">
        <f>INDEX(Items!D$2:D$1032,MATCH($O419,Items!$A$2:$A$1032,0))</f>
        <v>#N/A</v>
      </c>
    </row>
    <row r="420" spans="1:18" x14ac:dyDescent="0.25">
      <c r="A420">
        <f t="shared" si="32"/>
        <v>1</v>
      </c>
      <c r="B420" t="str">
        <f t="shared" si="33"/>
        <v/>
      </c>
      <c r="C420">
        <f t="shared" si="35"/>
        <v>1</v>
      </c>
      <c r="D420" s="4"/>
      <c r="E420" t="s">
        <v>18</v>
      </c>
      <c r="F420" t="str">
        <f>INDEX(Establishment!B$2:B$1005,MATCH($E420,Establishment!$A$2:$A$1005,0))</f>
        <v xml:space="preserve"> </v>
      </c>
      <c r="G420" t="str">
        <f>INDEX(Establishment!C$2:C$1005,MATCH($E420,Establishment!$A$2:$A$1005,0))</f>
        <v xml:space="preserve"> </v>
      </c>
      <c r="M420">
        <f t="shared" si="36"/>
        <v>0</v>
      </c>
      <c r="N420">
        <f t="shared" si="34"/>
        <v>0</v>
      </c>
      <c r="P420" t="e">
        <f>INDEX(Items!B$2:B$1032,MATCH($O420,Items!$A$2:$A$1032,0))</f>
        <v>#N/A</v>
      </c>
      <c r="Q420" t="e">
        <f>INDEX(Items!C$2:C$1032,MATCH($O420,Items!$A$2:$A$1032,0))</f>
        <v>#N/A</v>
      </c>
      <c r="R420" t="e">
        <f>INDEX(Items!D$2:D$1032,MATCH($O420,Items!$A$2:$A$1032,0))</f>
        <v>#N/A</v>
      </c>
    </row>
    <row r="421" spans="1:18" x14ac:dyDescent="0.25">
      <c r="A421">
        <f t="shared" si="32"/>
        <v>1</v>
      </c>
      <c r="B421" t="str">
        <f t="shared" si="33"/>
        <v/>
      </c>
      <c r="C421">
        <f t="shared" si="35"/>
        <v>1</v>
      </c>
      <c r="D421" s="4"/>
      <c r="E421" t="s">
        <v>18</v>
      </c>
      <c r="F421" t="str">
        <f>INDEX(Establishment!B$2:B$1005,MATCH($E421,Establishment!$A$2:$A$1005,0))</f>
        <v xml:space="preserve"> </v>
      </c>
      <c r="G421" t="str">
        <f>INDEX(Establishment!C$2:C$1005,MATCH($E421,Establishment!$A$2:$A$1005,0))</f>
        <v xml:space="preserve"> </v>
      </c>
      <c r="M421">
        <f t="shared" si="36"/>
        <v>0</v>
      </c>
      <c r="N421">
        <f t="shared" si="34"/>
        <v>0</v>
      </c>
      <c r="P421" t="e">
        <f>INDEX(Items!B$2:B$1032,MATCH($O421,Items!$A$2:$A$1032,0))</f>
        <v>#N/A</v>
      </c>
      <c r="Q421" t="e">
        <f>INDEX(Items!C$2:C$1032,MATCH($O421,Items!$A$2:$A$1032,0))</f>
        <v>#N/A</v>
      </c>
      <c r="R421" t="e">
        <f>INDEX(Items!D$2:D$1032,MATCH($O421,Items!$A$2:$A$1032,0))</f>
        <v>#N/A</v>
      </c>
    </row>
    <row r="422" spans="1:18" x14ac:dyDescent="0.25">
      <c r="A422">
        <f t="shared" si="32"/>
        <v>1</v>
      </c>
      <c r="B422" t="str">
        <f t="shared" si="33"/>
        <v/>
      </c>
      <c r="C422">
        <f t="shared" si="35"/>
        <v>1</v>
      </c>
      <c r="D422" s="4"/>
      <c r="E422" t="s">
        <v>18</v>
      </c>
      <c r="F422" t="str">
        <f>INDEX(Establishment!B$2:B$1005,MATCH($E422,Establishment!$A$2:$A$1005,0))</f>
        <v xml:space="preserve"> </v>
      </c>
      <c r="G422" t="str">
        <f>INDEX(Establishment!C$2:C$1005,MATCH($E422,Establishment!$A$2:$A$1005,0))</f>
        <v xml:space="preserve"> </v>
      </c>
      <c r="M422">
        <f t="shared" si="36"/>
        <v>0</v>
      </c>
      <c r="N422">
        <f t="shared" si="34"/>
        <v>0</v>
      </c>
      <c r="P422" t="e">
        <f>INDEX(Items!B$2:B$1032,MATCH($O422,Items!$A$2:$A$1032,0))</f>
        <v>#N/A</v>
      </c>
      <c r="Q422" t="e">
        <f>INDEX(Items!C$2:C$1032,MATCH($O422,Items!$A$2:$A$1032,0))</f>
        <v>#N/A</v>
      </c>
      <c r="R422" t="e">
        <f>INDEX(Items!D$2:D$1032,MATCH($O422,Items!$A$2:$A$1032,0))</f>
        <v>#N/A</v>
      </c>
    </row>
    <row r="423" spans="1:18" x14ac:dyDescent="0.25">
      <c r="A423">
        <f t="shared" si="32"/>
        <v>1</v>
      </c>
      <c r="B423" t="str">
        <f t="shared" si="33"/>
        <v/>
      </c>
      <c r="C423">
        <f t="shared" si="35"/>
        <v>1</v>
      </c>
      <c r="D423" s="4"/>
      <c r="E423" t="s">
        <v>18</v>
      </c>
      <c r="F423" t="str">
        <f>INDEX(Establishment!B$2:B$1005,MATCH($E423,Establishment!$A$2:$A$1005,0))</f>
        <v xml:space="preserve"> </v>
      </c>
      <c r="G423" t="str">
        <f>INDEX(Establishment!C$2:C$1005,MATCH($E423,Establishment!$A$2:$A$1005,0))</f>
        <v xml:space="preserve"> </v>
      </c>
      <c r="M423">
        <f t="shared" si="36"/>
        <v>0</v>
      </c>
      <c r="N423">
        <f t="shared" si="34"/>
        <v>0</v>
      </c>
      <c r="P423" t="e">
        <f>INDEX(Items!B$2:B$1032,MATCH($O423,Items!$A$2:$A$1032,0))</f>
        <v>#N/A</v>
      </c>
      <c r="Q423" t="e">
        <f>INDEX(Items!C$2:C$1032,MATCH($O423,Items!$A$2:$A$1032,0))</f>
        <v>#N/A</v>
      </c>
      <c r="R423" t="e">
        <f>INDEX(Items!D$2:D$1032,MATCH($O423,Items!$A$2:$A$1032,0))</f>
        <v>#N/A</v>
      </c>
    </row>
    <row r="424" spans="1:18" x14ac:dyDescent="0.25">
      <c r="A424">
        <f t="shared" si="32"/>
        <v>1</v>
      </c>
      <c r="B424" t="str">
        <f t="shared" si="33"/>
        <v/>
      </c>
      <c r="C424">
        <f t="shared" si="35"/>
        <v>1</v>
      </c>
      <c r="D424" s="4"/>
      <c r="E424" t="s">
        <v>18</v>
      </c>
      <c r="F424" t="str">
        <f>INDEX(Establishment!B$2:B$1005,MATCH($E424,Establishment!$A$2:$A$1005,0))</f>
        <v xml:space="preserve"> </v>
      </c>
      <c r="G424" t="str">
        <f>INDEX(Establishment!C$2:C$1005,MATCH($E424,Establishment!$A$2:$A$1005,0))</f>
        <v xml:space="preserve"> </v>
      </c>
      <c r="M424">
        <f t="shared" si="36"/>
        <v>0</v>
      </c>
      <c r="N424">
        <f t="shared" si="34"/>
        <v>0</v>
      </c>
      <c r="P424" t="e">
        <f>INDEX(Items!B$2:B$1032,MATCH($O424,Items!$A$2:$A$1032,0))</f>
        <v>#N/A</v>
      </c>
      <c r="Q424" t="e">
        <f>INDEX(Items!C$2:C$1032,MATCH($O424,Items!$A$2:$A$1032,0))</f>
        <v>#N/A</v>
      </c>
      <c r="R424" t="e">
        <f>INDEX(Items!D$2:D$1032,MATCH($O424,Items!$A$2:$A$1032,0))</f>
        <v>#N/A</v>
      </c>
    </row>
    <row r="425" spans="1:18" x14ac:dyDescent="0.25">
      <c r="A425">
        <f t="shared" si="32"/>
        <v>1</v>
      </c>
      <c r="B425" t="str">
        <f t="shared" si="33"/>
        <v/>
      </c>
      <c r="C425">
        <f t="shared" si="35"/>
        <v>1</v>
      </c>
      <c r="D425" s="4"/>
      <c r="E425" t="s">
        <v>18</v>
      </c>
      <c r="F425" t="str">
        <f>INDEX(Establishment!B$2:B$1005,MATCH($E425,Establishment!$A$2:$A$1005,0))</f>
        <v xml:space="preserve"> </v>
      </c>
      <c r="G425" t="str">
        <f>INDEX(Establishment!C$2:C$1005,MATCH($E425,Establishment!$A$2:$A$1005,0))</f>
        <v xml:space="preserve"> </v>
      </c>
      <c r="M425">
        <f t="shared" si="36"/>
        <v>0</v>
      </c>
      <c r="N425">
        <f t="shared" si="34"/>
        <v>0</v>
      </c>
      <c r="P425" t="e">
        <f>INDEX(Items!B$2:B$1032,MATCH($O425,Items!$A$2:$A$1032,0))</f>
        <v>#N/A</v>
      </c>
      <c r="Q425" t="e">
        <f>INDEX(Items!C$2:C$1032,MATCH($O425,Items!$A$2:$A$1032,0))</f>
        <v>#N/A</v>
      </c>
      <c r="R425" t="e">
        <f>INDEX(Items!D$2:D$1032,MATCH($O425,Items!$A$2:$A$1032,0))</f>
        <v>#N/A</v>
      </c>
    </row>
    <row r="426" spans="1:18" x14ac:dyDescent="0.25">
      <c r="A426">
        <f t="shared" si="32"/>
        <v>1</v>
      </c>
      <c r="B426" t="str">
        <f t="shared" si="33"/>
        <v/>
      </c>
      <c r="C426">
        <f t="shared" si="35"/>
        <v>1</v>
      </c>
      <c r="D426" s="4"/>
      <c r="E426" t="s">
        <v>18</v>
      </c>
      <c r="F426" t="str">
        <f>INDEX(Establishment!B$2:B$1005,MATCH($E426,Establishment!$A$2:$A$1005,0))</f>
        <v xml:space="preserve"> </v>
      </c>
      <c r="G426" t="str">
        <f>INDEX(Establishment!C$2:C$1005,MATCH($E426,Establishment!$A$2:$A$1005,0))</f>
        <v xml:space="preserve"> </v>
      </c>
      <c r="M426">
        <f t="shared" si="36"/>
        <v>0</v>
      </c>
      <c r="N426">
        <f t="shared" si="34"/>
        <v>0</v>
      </c>
      <c r="P426" t="e">
        <f>INDEX(Items!B$2:B$1032,MATCH($O426,Items!$A$2:$A$1032,0))</f>
        <v>#N/A</v>
      </c>
      <c r="Q426" t="e">
        <f>INDEX(Items!C$2:C$1032,MATCH($O426,Items!$A$2:$A$1032,0))</f>
        <v>#N/A</v>
      </c>
      <c r="R426" t="e">
        <f>INDEX(Items!D$2:D$1032,MATCH($O426,Items!$A$2:$A$1032,0))</f>
        <v>#N/A</v>
      </c>
    </row>
    <row r="427" spans="1:18" x14ac:dyDescent="0.25">
      <c r="A427">
        <f t="shared" si="32"/>
        <v>1</v>
      </c>
      <c r="B427" t="str">
        <f t="shared" si="33"/>
        <v/>
      </c>
      <c r="C427">
        <f t="shared" si="35"/>
        <v>1</v>
      </c>
      <c r="D427" s="4"/>
      <c r="E427" t="s">
        <v>18</v>
      </c>
      <c r="F427" t="str">
        <f>INDEX(Establishment!B$2:B$1005,MATCH($E427,Establishment!$A$2:$A$1005,0))</f>
        <v xml:space="preserve"> </v>
      </c>
      <c r="G427" t="str">
        <f>INDEX(Establishment!C$2:C$1005,MATCH($E427,Establishment!$A$2:$A$1005,0))</f>
        <v xml:space="preserve"> </v>
      </c>
      <c r="M427">
        <f t="shared" si="36"/>
        <v>0</v>
      </c>
      <c r="N427">
        <f t="shared" si="34"/>
        <v>0</v>
      </c>
      <c r="P427" t="e">
        <f>INDEX(Items!B$2:B$1032,MATCH($O427,Items!$A$2:$A$1032,0))</f>
        <v>#N/A</v>
      </c>
      <c r="Q427" t="e">
        <f>INDEX(Items!C$2:C$1032,MATCH($O427,Items!$A$2:$A$1032,0))</f>
        <v>#N/A</v>
      </c>
      <c r="R427" t="e">
        <f>INDEX(Items!D$2:D$1032,MATCH($O427,Items!$A$2:$A$1032,0))</f>
        <v>#N/A</v>
      </c>
    </row>
    <row r="428" spans="1:18" x14ac:dyDescent="0.25">
      <c r="A428">
        <f t="shared" si="32"/>
        <v>1</v>
      </c>
      <c r="B428" t="str">
        <f t="shared" si="33"/>
        <v/>
      </c>
      <c r="C428">
        <f t="shared" si="35"/>
        <v>1</v>
      </c>
      <c r="D428" s="4"/>
      <c r="E428" t="s">
        <v>18</v>
      </c>
      <c r="F428" t="str">
        <f>INDEX(Establishment!B$2:B$1005,MATCH($E428,Establishment!$A$2:$A$1005,0))</f>
        <v xml:space="preserve"> </v>
      </c>
      <c r="G428" t="str">
        <f>INDEX(Establishment!C$2:C$1005,MATCH($E428,Establishment!$A$2:$A$1005,0))</f>
        <v xml:space="preserve"> </v>
      </c>
      <c r="M428">
        <f t="shared" si="36"/>
        <v>0</v>
      </c>
      <c r="N428">
        <f t="shared" si="34"/>
        <v>0</v>
      </c>
      <c r="P428" t="e">
        <f>INDEX(Items!B$2:B$1032,MATCH($O428,Items!$A$2:$A$1032,0))</f>
        <v>#N/A</v>
      </c>
      <c r="Q428" t="e">
        <f>INDEX(Items!C$2:C$1032,MATCH($O428,Items!$A$2:$A$1032,0))</f>
        <v>#N/A</v>
      </c>
      <c r="R428" t="e">
        <f>INDEX(Items!D$2:D$1032,MATCH($O428,Items!$A$2:$A$1032,0))</f>
        <v>#N/A</v>
      </c>
    </row>
    <row r="429" spans="1:18" x14ac:dyDescent="0.25">
      <c r="A429">
        <f t="shared" si="32"/>
        <v>1</v>
      </c>
      <c r="B429" t="str">
        <f t="shared" si="33"/>
        <v/>
      </c>
      <c r="C429">
        <f t="shared" si="35"/>
        <v>1</v>
      </c>
      <c r="D429" s="4"/>
      <c r="E429" t="s">
        <v>18</v>
      </c>
      <c r="F429" t="str">
        <f>INDEX(Establishment!B$2:B$1005,MATCH($E429,Establishment!$A$2:$A$1005,0))</f>
        <v xml:space="preserve"> </v>
      </c>
      <c r="G429" t="str">
        <f>INDEX(Establishment!C$2:C$1005,MATCH($E429,Establishment!$A$2:$A$1005,0))</f>
        <v xml:space="preserve"> </v>
      </c>
      <c r="M429">
        <f t="shared" si="36"/>
        <v>0</v>
      </c>
      <c r="N429">
        <f t="shared" si="34"/>
        <v>0</v>
      </c>
      <c r="P429" t="e">
        <f>INDEX(Items!B$2:B$1032,MATCH($O429,Items!$A$2:$A$1032,0))</f>
        <v>#N/A</v>
      </c>
      <c r="Q429" t="e">
        <f>INDEX(Items!C$2:C$1032,MATCH($O429,Items!$A$2:$A$1032,0))</f>
        <v>#N/A</v>
      </c>
      <c r="R429" t="e">
        <f>INDEX(Items!D$2:D$1032,MATCH($O429,Items!$A$2:$A$1032,0))</f>
        <v>#N/A</v>
      </c>
    </row>
    <row r="430" spans="1:18" x14ac:dyDescent="0.25">
      <c r="A430">
        <f t="shared" si="32"/>
        <v>1</v>
      </c>
      <c r="B430" t="str">
        <f t="shared" si="33"/>
        <v/>
      </c>
      <c r="C430">
        <f t="shared" si="35"/>
        <v>1</v>
      </c>
      <c r="D430" s="4"/>
      <c r="E430" t="s">
        <v>18</v>
      </c>
      <c r="F430" t="str">
        <f>INDEX(Establishment!B$2:B$1005,MATCH($E430,Establishment!$A$2:$A$1005,0))</f>
        <v xml:space="preserve"> </v>
      </c>
      <c r="G430" t="str">
        <f>INDEX(Establishment!C$2:C$1005,MATCH($E430,Establishment!$A$2:$A$1005,0))</f>
        <v xml:space="preserve"> </v>
      </c>
      <c r="M430">
        <f t="shared" si="36"/>
        <v>0</v>
      </c>
      <c r="N430">
        <f t="shared" si="34"/>
        <v>0</v>
      </c>
      <c r="P430" t="e">
        <f>INDEX(Items!B$2:B$1032,MATCH($O430,Items!$A$2:$A$1032,0))</f>
        <v>#N/A</v>
      </c>
      <c r="Q430" t="e">
        <f>INDEX(Items!C$2:C$1032,MATCH($O430,Items!$A$2:$A$1032,0))</f>
        <v>#N/A</v>
      </c>
      <c r="R430" t="e">
        <f>INDEX(Items!D$2:D$1032,MATCH($O430,Items!$A$2:$A$1032,0))</f>
        <v>#N/A</v>
      </c>
    </row>
    <row r="431" spans="1:18" x14ac:dyDescent="0.25">
      <c r="A431">
        <f t="shared" si="32"/>
        <v>1</v>
      </c>
      <c r="B431" t="str">
        <f t="shared" si="33"/>
        <v/>
      </c>
      <c r="C431">
        <f t="shared" si="35"/>
        <v>1</v>
      </c>
      <c r="D431" s="4"/>
      <c r="E431" t="s">
        <v>18</v>
      </c>
      <c r="F431" t="str">
        <f>INDEX(Establishment!B$2:B$1005,MATCH($E431,Establishment!$A$2:$A$1005,0))</f>
        <v xml:space="preserve"> </v>
      </c>
      <c r="G431" t="str">
        <f>INDEX(Establishment!C$2:C$1005,MATCH($E431,Establishment!$A$2:$A$1005,0))</f>
        <v xml:space="preserve"> </v>
      </c>
      <c r="M431">
        <f t="shared" si="36"/>
        <v>0</v>
      </c>
      <c r="N431">
        <f t="shared" si="34"/>
        <v>0</v>
      </c>
      <c r="P431" t="e">
        <f>INDEX(Items!B$2:B$1032,MATCH($O431,Items!$A$2:$A$1032,0))</f>
        <v>#N/A</v>
      </c>
      <c r="Q431" t="e">
        <f>INDEX(Items!C$2:C$1032,MATCH($O431,Items!$A$2:$A$1032,0))</f>
        <v>#N/A</v>
      </c>
      <c r="R431" t="e">
        <f>INDEX(Items!D$2:D$1032,MATCH($O431,Items!$A$2:$A$1032,0))</f>
        <v>#N/A</v>
      </c>
    </row>
    <row r="432" spans="1:18" x14ac:dyDescent="0.25">
      <c r="A432">
        <f t="shared" si="32"/>
        <v>1</v>
      </c>
      <c r="B432" t="str">
        <f t="shared" si="33"/>
        <v/>
      </c>
      <c r="C432">
        <f t="shared" si="35"/>
        <v>1</v>
      </c>
      <c r="D432" s="4"/>
      <c r="E432" t="s">
        <v>18</v>
      </c>
      <c r="F432" t="str">
        <f>INDEX(Establishment!B$2:B$1005,MATCH($E432,Establishment!$A$2:$A$1005,0))</f>
        <v xml:space="preserve"> </v>
      </c>
      <c r="G432" t="str">
        <f>INDEX(Establishment!C$2:C$1005,MATCH($E432,Establishment!$A$2:$A$1005,0))</f>
        <v xml:space="preserve"> </v>
      </c>
      <c r="M432">
        <f t="shared" si="36"/>
        <v>0</v>
      </c>
      <c r="N432">
        <f t="shared" si="34"/>
        <v>0</v>
      </c>
      <c r="P432" t="e">
        <f>INDEX(Items!B$2:B$1032,MATCH($O432,Items!$A$2:$A$1032,0))</f>
        <v>#N/A</v>
      </c>
      <c r="Q432" t="e">
        <f>INDEX(Items!C$2:C$1032,MATCH($O432,Items!$A$2:$A$1032,0))</f>
        <v>#N/A</v>
      </c>
      <c r="R432" t="e">
        <f>INDEX(Items!D$2:D$1032,MATCH($O432,Items!$A$2:$A$1032,0))</f>
        <v>#N/A</v>
      </c>
    </row>
    <row r="433" spans="1:18" x14ac:dyDescent="0.25">
      <c r="A433">
        <f t="shared" si="32"/>
        <v>1</v>
      </c>
      <c r="B433" t="str">
        <f t="shared" si="33"/>
        <v/>
      </c>
      <c r="C433">
        <f t="shared" si="35"/>
        <v>1</v>
      </c>
      <c r="D433" s="4"/>
      <c r="E433" t="s">
        <v>18</v>
      </c>
      <c r="F433" t="str">
        <f>INDEX(Establishment!B$2:B$1005,MATCH($E433,Establishment!$A$2:$A$1005,0))</f>
        <v xml:space="preserve"> </v>
      </c>
      <c r="G433" t="str">
        <f>INDEX(Establishment!C$2:C$1005,MATCH($E433,Establishment!$A$2:$A$1005,0))</f>
        <v xml:space="preserve"> </v>
      </c>
      <c r="M433">
        <f t="shared" si="36"/>
        <v>0</v>
      </c>
      <c r="N433">
        <f t="shared" si="34"/>
        <v>0</v>
      </c>
      <c r="P433" t="e">
        <f>INDEX(Items!B$2:B$1032,MATCH($O433,Items!$A$2:$A$1032,0))</f>
        <v>#N/A</v>
      </c>
      <c r="Q433" t="e">
        <f>INDEX(Items!C$2:C$1032,MATCH($O433,Items!$A$2:$A$1032,0))</f>
        <v>#N/A</v>
      </c>
      <c r="R433" t="e">
        <f>INDEX(Items!D$2:D$1032,MATCH($O433,Items!$A$2:$A$1032,0))</f>
        <v>#N/A</v>
      </c>
    </row>
    <row r="434" spans="1:18" x14ac:dyDescent="0.25">
      <c r="A434">
        <f t="shared" si="32"/>
        <v>1</v>
      </c>
      <c r="B434" t="str">
        <f t="shared" si="33"/>
        <v/>
      </c>
      <c r="C434">
        <f t="shared" si="35"/>
        <v>1</v>
      </c>
      <c r="D434" s="4"/>
      <c r="E434" t="s">
        <v>18</v>
      </c>
      <c r="F434" t="str">
        <f>INDEX(Establishment!B$2:B$1005,MATCH($E434,Establishment!$A$2:$A$1005,0))</f>
        <v xml:space="preserve"> </v>
      </c>
      <c r="G434" t="str">
        <f>INDEX(Establishment!C$2:C$1005,MATCH($E434,Establishment!$A$2:$A$1005,0))</f>
        <v xml:space="preserve"> </v>
      </c>
      <c r="M434">
        <f t="shared" si="36"/>
        <v>0</v>
      </c>
      <c r="N434">
        <f t="shared" si="34"/>
        <v>0</v>
      </c>
      <c r="P434" t="e">
        <f>INDEX(Items!B$2:B$1032,MATCH($O434,Items!$A$2:$A$1032,0))</f>
        <v>#N/A</v>
      </c>
      <c r="Q434" t="e">
        <f>INDEX(Items!C$2:C$1032,MATCH($O434,Items!$A$2:$A$1032,0))</f>
        <v>#N/A</v>
      </c>
      <c r="R434" t="e">
        <f>INDEX(Items!D$2:D$1032,MATCH($O434,Items!$A$2:$A$1032,0))</f>
        <v>#N/A</v>
      </c>
    </row>
    <row r="435" spans="1:18" x14ac:dyDescent="0.25">
      <c r="A435">
        <f t="shared" si="32"/>
        <v>1</v>
      </c>
      <c r="B435" t="str">
        <f t="shared" si="33"/>
        <v/>
      </c>
      <c r="C435">
        <f t="shared" si="35"/>
        <v>1</v>
      </c>
      <c r="D435" s="4"/>
      <c r="E435" t="s">
        <v>18</v>
      </c>
      <c r="F435" t="str">
        <f>INDEX(Establishment!B$2:B$1005,MATCH($E435,Establishment!$A$2:$A$1005,0))</f>
        <v xml:space="preserve"> </v>
      </c>
      <c r="G435" t="str">
        <f>INDEX(Establishment!C$2:C$1005,MATCH($E435,Establishment!$A$2:$A$1005,0))</f>
        <v xml:space="preserve"> </v>
      </c>
      <c r="M435">
        <f t="shared" si="36"/>
        <v>0</v>
      </c>
      <c r="N435">
        <f t="shared" si="34"/>
        <v>0</v>
      </c>
      <c r="P435" t="e">
        <f>INDEX(Items!B$2:B$1032,MATCH($O435,Items!$A$2:$A$1032,0))</f>
        <v>#N/A</v>
      </c>
      <c r="Q435" t="e">
        <f>INDEX(Items!C$2:C$1032,MATCH($O435,Items!$A$2:$A$1032,0))</f>
        <v>#N/A</v>
      </c>
      <c r="R435" t="e">
        <f>INDEX(Items!D$2:D$1032,MATCH($O435,Items!$A$2:$A$1032,0))</f>
        <v>#N/A</v>
      </c>
    </row>
    <row r="436" spans="1:18" x14ac:dyDescent="0.25">
      <c r="A436">
        <f t="shared" si="32"/>
        <v>1</v>
      </c>
      <c r="B436" t="str">
        <f t="shared" si="33"/>
        <v/>
      </c>
      <c r="C436">
        <f t="shared" si="35"/>
        <v>1</v>
      </c>
      <c r="D436" s="4"/>
      <c r="E436" t="s">
        <v>18</v>
      </c>
      <c r="F436" t="str">
        <f>INDEX(Establishment!B$2:B$1005,MATCH($E436,Establishment!$A$2:$A$1005,0))</f>
        <v xml:space="preserve"> </v>
      </c>
      <c r="G436" t="str">
        <f>INDEX(Establishment!C$2:C$1005,MATCH($E436,Establishment!$A$2:$A$1005,0))</f>
        <v xml:space="preserve"> </v>
      </c>
      <c r="M436">
        <f t="shared" si="36"/>
        <v>0</v>
      </c>
      <c r="N436">
        <f t="shared" si="34"/>
        <v>0</v>
      </c>
      <c r="P436" t="e">
        <f>INDEX(Items!B$2:B$1032,MATCH($O436,Items!$A$2:$A$1032,0))</f>
        <v>#N/A</v>
      </c>
      <c r="Q436" t="e">
        <f>INDEX(Items!C$2:C$1032,MATCH($O436,Items!$A$2:$A$1032,0))</f>
        <v>#N/A</v>
      </c>
      <c r="R436" t="e">
        <f>INDEX(Items!D$2:D$1032,MATCH($O436,Items!$A$2:$A$1032,0))</f>
        <v>#N/A</v>
      </c>
    </row>
    <row r="437" spans="1:18" x14ac:dyDescent="0.25">
      <c r="A437">
        <f t="shared" si="32"/>
        <v>1</v>
      </c>
      <c r="B437" t="str">
        <f t="shared" si="33"/>
        <v/>
      </c>
      <c r="C437">
        <f t="shared" si="35"/>
        <v>1</v>
      </c>
      <c r="D437" s="4"/>
      <c r="E437" t="s">
        <v>18</v>
      </c>
      <c r="F437" t="str">
        <f>INDEX(Establishment!B$2:B$1005,MATCH($E437,Establishment!$A$2:$A$1005,0))</f>
        <v xml:space="preserve"> </v>
      </c>
      <c r="G437" t="str">
        <f>INDEX(Establishment!C$2:C$1005,MATCH($E437,Establishment!$A$2:$A$1005,0))</f>
        <v xml:space="preserve"> </v>
      </c>
      <c r="M437">
        <f t="shared" si="36"/>
        <v>0</v>
      </c>
      <c r="N437">
        <f t="shared" si="34"/>
        <v>0</v>
      </c>
      <c r="P437" t="e">
        <f>INDEX(Items!B$2:B$1032,MATCH($O437,Items!$A$2:$A$1032,0))</f>
        <v>#N/A</v>
      </c>
      <c r="Q437" t="e">
        <f>INDEX(Items!C$2:C$1032,MATCH($O437,Items!$A$2:$A$1032,0))</f>
        <v>#N/A</v>
      </c>
      <c r="R437" t="e">
        <f>INDEX(Items!D$2:D$1032,MATCH($O437,Items!$A$2:$A$1032,0))</f>
        <v>#N/A</v>
      </c>
    </row>
    <row r="438" spans="1:18" x14ac:dyDescent="0.25">
      <c r="A438">
        <f t="shared" si="32"/>
        <v>1</v>
      </c>
      <c r="B438" t="str">
        <f t="shared" si="33"/>
        <v/>
      </c>
      <c r="C438">
        <f t="shared" si="35"/>
        <v>1</v>
      </c>
      <c r="D438" s="4"/>
      <c r="E438" t="s">
        <v>18</v>
      </c>
      <c r="F438" t="str">
        <f>INDEX(Establishment!B$2:B$1005,MATCH($E438,Establishment!$A$2:$A$1005,0))</f>
        <v xml:space="preserve"> </v>
      </c>
      <c r="G438" t="str">
        <f>INDEX(Establishment!C$2:C$1005,MATCH($E438,Establishment!$A$2:$A$1005,0))</f>
        <v xml:space="preserve"> </v>
      </c>
      <c r="M438">
        <f t="shared" si="36"/>
        <v>0</v>
      </c>
      <c r="N438">
        <f t="shared" si="34"/>
        <v>0</v>
      </c>
      <c r="P438" t="e">
        <f>INDEX(Items!B$2:B$1032,MATCH($O438,Items!$A$2:$A$1032,0))</f>
        <v>#N/A</v>
      </c>
      <c r="Q438" t="e">
        <f>INDEX(Items!C$2:C$1032,MATCH($O438,Items!$A$2:$A$1032,0))</f>
        <v>#N/A</v>
      </c>
      <c r="R438" t="e">
        <f>INDEX(Items!D$2:D$1032,MATCH($O438,Items!$A$2:$A$1032,0))</f>
        <v>#N/A</v>
      </c>
    </row>
    <row r="439" spans="1:18" x14ac:dyDescent="0.25">
      <c r="A439">
        <f t="shared" si="32"/>
        <v>1</v>
      </c>
      <c r="B439" t="str">
        <f t="shared" si="33"/>
        <v/>
      </c>
      <c r="C439">
        <f t="shared" si="35"/>
        <v>1</v>
      </c>
      <c r="D439" s="4"/>
      <c r="E439" t="s">
        <v>18</v>
      </c>
      <c r="F439" t="str">
        <f>INDEX(Establishment!B$2:B$1005,MATCH($E439,Establishment!$A$2:$A$1005,0))</f>
        <v xml:space="preserve"> </v>
      </c>
      <c r="G439" t="str">
        <f>INDEX(Establishment!C$2:C$1005,MATCH($E439,Establishment!$A$2:$A$1005,0))</f>
        <v xml:space="preserve"> </v>
      </c>
      <c r="M439">
        <f t="shared" si="36"/>
        <v>0</v>
      </c>
      <c r="N439">
        <f t="shared" si="34"/>
        <v>0</v>
      </c>
      <c r="P439" t="e">
        <f>INDEX(Items!B$2:B$1032,MATCH($O439,Items!$A$2:$A$1032,0))</f>
        <v>#N/A</v>
      </c>
      <c r="Q439" t="e">
        <f>INDEX(Items!C$2:C$1032,MATCH($O439,Items!$A$2:$A$1032,0))</f>
        <v>#N/A</v>
      </c>
      <c r="R439" t="e">
        <f>INDEX(Items!D$2:D$1032,MATCH($O439,Items!$A$2:$A$1032,0))</f>
        <v>#N/A</v>
      </c>
    </row>
    <row r="440" spans="1:18" x14ac:dyDescent="0.25">
      <c r="A440">
        <f t="shared" si="32"/>
        <v>1</v>
      </c>
      <c r="B440" t="str">
        <f t="shared" si="33"/>
        <v/>
      </c>
      <c r="C440">
        <f t="shared" si="35"/>
        <v>1</v>
      </c>
      <c r="D440" s="4"/>
      <c r="E440" t="s">
        <v>18</v>
      </c>
      <c r="F440" t="str">
        <f>INDEX(Establishment!B$2:B$1005,MATCH($E440,Establishment!$A$2:$A$1005,0))</f>
        <v xml:space="preserve"> </v>
      </c>
      <c r="G440" t="str">
        <f>INDEX(Establishment!C$2:C$1005,MATCH($E440,Establishment!$A$2:$A$1005,0))</f>
        <v xml:space="preserve"> </v>
      </c>
      <c r="M440">
        <f t="shared" si="36"/>
        <v>0</v>
      </c>
      <c r="N440">
        <f t="shared" si="34"/>
        <v>0</v>
      </c>
      <c r="P440" t="e">
        <f>INDEX(Items!B$2:B$1032,MATCH($O440,Items!$A$2:$A$1032,0))</f>
        <v>#N/A</v>
      </c>
      <c r="Q440" t="e">
        <f>INDEX(Items!C$2:C$1032,MATCH($O440,Items!$A$2:$A$1032,0))</f>
        <v>#N/A</v>
      </c>
      <c r="R440" t="e">
        <f>INDEX(Items!D$2:D$1032,MATCH($O440,Items!$A$2:$A$1032,0))</f>
        <v>#N/A</v>
      </c>
    </row>
    <row r="441" spans="1:18" x14ac:dyDescent="0.25">
      <c r="A441">
        <f t="shared" si="32"/>
        <v>1</v>
      </c>
      <c r="B441" t="str">
        <f t="shared" si="33"/>
        <v/>
      </c>
      <c r="C441">
        <f t="shared" si="35"/>
        <v>1</v>
      </c>
      <c r="D441" s="4"/>
      <c r="E441" t="s">
        <v>18</v>
      </c>
      <c r="F441" t="str">
        <f>INDEX(Establishment!B$2:B$1005,MATCH($E441,Establishment!$A$2:$A$1005,0))</f>
        <v xml:space="preserve"> </v>
      </c>
      <c r="G441" t="str">
        <f>INDEX(Establishment!C$2:C$1005,MATCH($E441,Establishment!$A$2:$A$1005,0))</f>
        <v xml:space="preserve"> </v>
      </c>
      <c r="M441">
        <f t="shared" si="36"/>
        <v>0</v>
      </c>
      <c r="N441">
        <f t="shared" si="34"/>
        <v>0</v>
      </c>
      <c r="P441" t="e">
        <f>INDEX(Items!B$2:B$1032,MATCH($O441,Items!$A$2:$A$1032,0))</f>
        <v>#N/A</v>
      </c>
      <c r="Q441" t="e">
        <f>INDEX(Items!C$2:C$1032,MATCH($O441,Items!$A$2:$A$1032,0))</f>
        <v>#N/A</v>
      </c>
      <c r="R441" t="e">
        <f>INDEX(Items!D$2:D$1032,MATCH($O441,Items!$A$2:$A$1032,0))</f>
        <v>#N/A</v>
      </c>
    </row>
    <row r="442" spans="1:18" x14ac:dyDescent="0.25">
      <c r="A442">
        <f t="shared" si="32"/>
        <v>1</v>
      </c>
      <c r="B442" t="str">
        <f t="shared" si="33"/>
        <v/>
      </c>
      <c r="C442">
        <f t="shared" si="35"/>
        <v>1</v>
      </c>
      <c r="D442" s="4"/>
      <c r="E442" t="s">
        <v>18</v>
      </c>
      <c r="F442" t="str">
        <f>INDEX(Establishment!B$2:B$1005,MATCH($E442,Establishment!$A$2:$A$1005,0))</f>
        <v xml:space="preserve"> </v>
      </c>
      <c r="G442" t="str">
        <f>INDEX(Establishment!C$2:C$1005,MATCH($E442,Establishment!$A$2:$A$1005,0))</f>
        <v xml:space="preserve"> </v>
      </c>
      <c r="M442">
        <f t="shared" si="36"/>
        <v>0</v>
      </c>
      <c r="N442">
        <f t="shared" si="34"/>
        <v>0</v>
      </c>
      <c r="P442" t="e">
        <f>INDEX(Items!B$2:B$1032,MATCH($O442,Items!$A$2:$A$1032,0))</f>
        <v>#N/A</v>
      </c>
      <c r="Q442" t="e">
        <f>INDEX(Items!C$2:C$1032,MATCH($O442,Items!$A$2:$A$1032,0))</f>
        <v>#N/A</v>
      </c>
      <c r="R442" t="e">
        <f>INDEX(Items!D$2:D$1032,MATCH($O442,Items!$A$2:$A$1032,0))</f>
        <v>#N/A</v>
      </c>
    </row>
    <row r="443" spans="1:18" x14ac:dyDescent="0.25">
      <c r="A443">
        <f t="shared" si="32"/>
        <v>1</v>
      </c>
      <c r="B443" t="str">
        <f t="shared" si="33"/>
        <v/>
      </c>
      <c r="C443">
        <f t="shared" si="35"/>
        <v>1</v>
      </c>
      <c r="D443" s="4"/>
      <c r="E443" t="s">
        <v>18</v>
      </c>
      <c r="F443" t="str">
        <f>INDEX(Establishment!B$2:B$1005,MATCH($E443,Establishment!$A$2:$A$1005,0))</f>
        <v xml:space="preserve"> </v>
      </c>
      <c r="G443" t="str">
        <f>INDEX(Establishment!C$2:C$1005,MATCH($E443,Establishment!$A$2:$A$1005,0))</f>
        <v xml:space="preserve"> </v>
      </c>
      <c r="M443">
        <f t="shared" si="36"/>
        <v>0</v>
      </c>
      <c r="N443">
        <f t="shared" si="34"/>
        <v>0</v>
      </c>
      <c r="P443" t="e">
        <f>INDEX(Items!B$2:B$1032,MATCH($O443,Items!$A$2:$A$1032,0))</f>
        <v>#N/A</v>
      </c>
      <c r="Q443" t="e">
        <f>INDEX(Items!C$2:C$1032,MATCH($O443,Items!$A$2:$A$1032,0))</f>
        <v>#N/A</v>
      </c>
      <c r="R443" t="e">
        <f>INDEX(Items!D$2:D$1032,MATCH($O443,Items!$A$2:$A$1032,0))</f>
        <v>#N/A</v>
      </c>
    </row>
    <row r="444" spans="1:18" x14ac:dyDescent="0.25">
      <c r="A444">
        <f t="shared" si="32"/>
        <v>1</v>
      </c>
      <c r="B444" t="str">
        <f t="shared" si="33"/>
        <v/>
      </c>
      <c r="C444">
        <f t="shared" si="35"/>
        <v>1</v>
      </c>
      <c r="D444" s="4"/>
      <c r="E444" t="s">
        <v>18</v>
      </c>
      <c r="F444" t="str">
        <f>INDEX(Establishment!B$2:B$1005,MATCH($E444,Establishment!$A$2:$A$1005,0))</f>
        <v xml:space="preserve"> </v>
      </c>
      <c r="G444" t="str">
        <f>INDEX(Establishment!C$2:C$1005,MATCH($E444,Establishment!$A$2:$A$1005,0))</f>
        <v xml:space="preserve"> </v>
      </c>
      <c r="M444">
        <f t="shared" si="36"/>
        <v>0</v>
      </c>
      <c r="N444">
        <f t="shared" si="34"/>
        <v>0</v>
      </c>
      <c r="P444" t="e">
        <f>INDEX(Items!B$2:B$1032,MATCH($O444,Items!$A$2:$A$1032,0))</f>
        <v>#N/A</v>
      </c>
      <c r="Q444" t="e">
        <f>INDEX(Items!C$2:C$1032,MATCH($O444,Items!$A$2:$A$1032,0))</f>
        <v>#N/A</v>
      </c>
      <c r="R444" t="e">
        <f>INDEX(Items!D$2:D$1032,MATCH($O444,Items!$A$2:$A$1032,0))</f>
        <v>#N/A</v>
      </c>
    </row>
    <row r="445" spans="1:18" x14ac:dyDescent="0.25">
      <c r="A445">
        <f t="shared" si="32"/>
        <v>1</v>
      </c>
      <c r="B445" t="str">
        <f t="shared" si="33"/>
        <v/>
      </c>
      <c r="C445">
        <f t="shared" si="35"/>
        <v>1</v>
      </c>
      <c r="D445" s="4"/>
      <c r="E445" t="s">
        <v>18</v>
      </c>
      <c r="F445" t="str">
        <f>INDEX(Establishment!B$2:B$1005,MATCH($E445,Establishment!$A$2:$A$1005,0))</f>
        <v xml:space="preserve"> </v>
      </c>
      <c r="G445" t="str">
        <f>INDEX(Establishment!C$2:C$1005,MATCH($E445,Establishment!$A$2:$A$1005,0))</f>
        <v xml:space="preserve"> </v>
      </c>
      <c r="M445">
        <f t="shared" si="36"/>
        <v>0</v>
      </c>
      <c r="N445">
        <f t="shared" si="34"/>
        <v>0</v>
      </c>
      <c r="P445" t="e">
        <f>INDEX(Items!B$2:B$1032,MATCH($O445,Items!$A$2:$A$1032,0))</f>
        <v>#N/A</v>
      </c>
      <c r="Q445" t="e">
        <f>INDEX(Items!C$2:C$1032,MATCH($O445,Items!$A$2:$A$1032,0))</f>
        <v>#N/A</v>
      </c>
      <c r="R445" t="e">
        <f>INDEX(Items!D$2:D$1032,MATCH($O445,Items!$A$2:$A$1032,0))</f>
        <v>#N/A</v>
      </c>
    </row>
    <row r="446" spans="1:18" x14ac:dyDescent="0.25">
      <c r="A446">
        <f t="shared" si="32"/>
        <v>1</v>
      </c>
      <c r="B446" t="str">
        <f t="shared" si="33"/>
        <v/>
      </c>
      <c r="C446">
        <f t="shared" si="35"/>
        <v>1</v>
      </c>
      <c r="D446" s="4"/>
      <c r="E446" t="s">
        <v>18</v>
      </c>
      <c r="F446" t="str">
        <f>INDEX(Establishment!B$2:B$1005,MATCH($E446,Establishment!$A$2:$A$1005,0))</f>
        <v xml:space="preserve"> </v>
      </c>
      <c r="G446" t="str">
        <f>INDEX(Establishment!C$2:C$1005,MATCH($E446,Establishment!$A$2:$A$1005,0))</f>
        <v xml:space="preserve"> </v>
      </c>
      <c r="M446">
        <f t="shared" si="36"/>
        <v>0</v>
      </c>
      <c r="N446">
        <f t="shared" si="34"/>
        <v>0</v>
      </c>
      <c r="P446" t="e">
        <f>INDEX(Items!B$2:B$1032,MATCH($O446,Items!$A$2:$A$1032,0))</f>
        <v>#N/A</v>
      </c>
      <c r="Q446" t="e">
        <f>INDEX(Items!C$2:C$1032,MATCH($O446,Items!$A$2:$A$1032,0))</f>
        <v>#N/A</v>
      </c>
      <c r="R446" t="e">
        <f>INDEX(Items!D$2:D$1032,MATCH($O446,Items!$A$2:$A$1032,0))</f>
        <v>#N/A</v>
      </c>
    </row>
    <row r="447" spans="1:18" x14ac:dyDescent="0.25">
      <c r="A447">
        <f t="shared" si="32"/>
        <v>1</v>
      </c>
      <c r="B447" t="str">
        <f t="shared" si="33"/>
        <v/>
      </c>
      <c r="C447">
        <f t="shared" si="35"/>
        <v>1</v>
      </c>
      <c r="D447" s="4"/>
      <c r="E447" t="s">
        <v>18</v>
      </c>
      <c r="F447" t="str">
        <f>INDEX(Establishment!B$2:B$1005,MATCH($E447,Establishment!$A$2:$A$1005,0))</f>
        <v xml:space="preserve"> </v>
      </c>
      <c r="G447" t="str">
        <f>INDEX(Establishment!C$2:C$1005,MATCH($E447,Establishment!$A$2:$A$1005,0))</f>
        <v xml:space="preserve"> </v>
      </c>
      <c r="M447">
        <f t="shared" si="36"/>
        <v>0</v>
      </c>
      <c r="N447">
        <f t="shared" si="34"/>
        <v>0</v>
      </c>
      <c r="P447" t="e">
        <f>INDEX(Items!B$2:B$1032,MATCH($O447,Items!$A$2:$A$1032,0))</f>
        <v>#N/A</v>
      </c>
      <c r="Q447" t="e">
        <f>INDEX(Items!C$2:C$1032,MATCH($O447,Items!$A$2:$A$1032,0))</f>
        <v>#N/A</v>
      </c>
      <c r="R447" t="e">
        <f>INDEX(Items!D$2:D$1032,MATCH($O447,Items!$A$2:$A$1032,0))</f>
        <v>#N/A</v>
      </c>
    </row>
    <row r="448" spans="1:18" x14ac:dyDescent="0.25">
      <c r="A448">
        <f t="shared" si="32"/>
        <v>1</v>
      </c>
      <c r="B448" t="str">
        <f t="shared" si="33"/>
        <v/>
      </c>
      <c r="C448">
        <f t="shared" si="35"/>
        <v>1</v>
      </c>
      <c r="D448" s="4"/>
      <c r="E448" t="s">
        <v>18</v>
      </c>
      <c r="F448" t="str">
        <f>INDEX(Establishment!B$2:B$1005,MATCH($E448,Establishment!$A$2:$A$1005,0))</f>
        <v xml:space="preserve"> </v>
      </c>
      <c r="G448" t="str">
        <f>INDEX(Establishment!C$2:C$1005,MATCH($E448,Establishment!$A$2:$A$1005,0))</f>
        <v xml:space="preserve"> </v>
      </c>
      <c r="M448">
        <f t="shared" si="36"/>
        <v>0</v>
      </c>
      <c r="N448">
        <f t="shared" si="34"/>
        <v>0</v>
      </c>
      <c r="P448" t="e">
        <f>INDEX(Items!B$2:B$1032,MATCH($O448,Items!$A$2:$A$1032,0))</f>
        <v>#N/A</v>
      </c>
      <c r="Q448" t="e">
        <f>INDEX(Items!C$2:C$1032,MATCH($O448,Items!$A$2:$A$1032,0))</f>
        <v>#N/A</v>
      </c>
      <c r="R448" t="e">
        <f>INDEX(Items!D$2:D$1032,MATCH($O448,Items!$A$2:$A$1032,0))</f>
        <v>#N/A</v>
      </c>
    </row>
    <row r="449" spans="1:18" x14ac:dyDescent="0.25">
      <c r="A449">
        <f t="shared" si="32"/>
        <v>1</v>
      </c>
      <c r="B449" t="str">
        <f t="shared" si="33"/>
        <v/>
      </c>
      <c r="C449">
        <f t="shared" si="35"/>
        <v>1</v>
      </c>
      <c r="D449" s="4"/>
      <c r="E449" t="s">
        <v>18</v>
      </c>
      <c r="F449" t="str">
        <f>INDEX(Establishment!B$2:B$1005,MATCH($E449,Establishment!$A$2:$A$1005,0))</f>
        <v xml:space="preserve"> </v>
      </c>
      <c r="G449" t="str">
        <f>INDEX(Establishment!C$2:C$1005,MATCH($E449,Establishment!$A$2:$A$1005,0))</f>
        <v xml:space="preserve"> </v>
      </c>
      <c r="M449">
        <f t="shared" si="36"/>
        <v>0</v>
      </c>
      <c r="N449">
        <f t="shared" si="34"/>
        <v>0</v>
      </c>
      <c r="P449" t="e">
        <f>INDEX(Items!B$2:B$1032,MATCH($O449,Items!$A$2:$A$1032,0))</f>
        <v>#N/A</v>
      </c>
      <c r="Q449" t="e">
        <f>INDEX(Items!C$2:C$1032,MATCH($O449,Items!$A$2:$A$1032,0))</f>
        <v>#N/A</v>
      </c>
      <c r="R449" t="e">
        <f>INDEX(Items!D$2:D$1032,MATCH($O449,Items!$A$2:$A$1032,0))</f>
        <v>#N/A</v>
      </c>
    </row>
    <row r="450" spans="1:18" x14ac:dyDescent="0.25">
      <c r="A450">
        <f t="shared" ref="A450:A499" si="37">IF(OR(D450&lt;&gt;D449,D450=""),1,IF(NOT(AND(E450=E449,F450=F449,G450=G449)),A449+1,IF(OR(H450="",AND(H450&lt;&gt;"",H450&lt;&gt;H449,H449&lt;&gt;"")),A449,A449+1)))</f>
        <v>1</v>
      </c>
      <c r="B450" t="str">
        <f t="shared" ref="B450:B499" si="38">IF(D450&lt;&gt;"",TEXT(D450,"YYYYMMDD")&amp;CHAR(64+A450),"")</f>
        <v/>
      </c>
      <c r="C450">
        <f t="shared" si="35"/>
        <v>1</v>
      </c>
      <c r="D450" s="4"/>
      <c r="E450" t="s">
        <v>18</v>
      </c>
      <c r="F450" t="str">
        <f>INDEX(Establishment!B$2:B$1005,MATCH($E450,Establishment!$A$2:$A$1005,0))</f>
        <v xml:space="preserve"> </v>
      </c>
      <c r="G450" t="str">
        <f>INDEX(Establishment!C$2:C$1005,MATCH($E450,Establishment!$A$2:$A$1005,0))</f>
        <v xml:space="preserve"> </v>
      </c>
      <c r="M450">
        <f t="shared" si="36"/>
        <v>0</v>
      </c>
      <c r="N450">
        <f t="shared" si="34"/>
        <v>0</v>
      </c>
      <c r="P450" t="e">
        <f>INDEX(Items!B$2:B$1032,MATCH($O450,Items!$A$2:$A$1032,0))</f>
        <v>#N/A</v>
      </c>
      <c r="Q450" t="e">
        <f>INDEX(Items!C$2:C$1032,MATCH($O450,Items!$A$2:$A$1032,0))</f>
        <v>#N/A</v>
      </c>
      <c r="R450" t="e">
        <f>INDEX(Items!D$2:D$1032,MATCH($O450,Items!$A$2:$A$1032,0))</f>
        <v>#N/A</v>
      </c>
    </row>
    <row r="451" spans="1:18" x14ac:dyDescent="0.25">
      <c r="A451">
        <f t="shared" si="37"/>
        <v>1</v>
      </c>
      <c r="B451" t="str">
        <f t="shared" si="38"/>
        <v/>
      </c>
      <c r="C451">
        <f t="shared" si="35"/>
        <v>1</v>
      </c>
      <c r="D451" s="4"/>
      <c r="E451" t="s">
        <v>18</v>
      </c>
      <c r="F451" t="str">
        <f>INDEX(Establishment!B$2:B$1005,MATCH($E451,Establishment!$A$2:$A$1005,0))</f>
        <v xml:space="preserve"> </v>
      </c>
      <c r="G451" t="str">
        <f>INDEX(Establishment!C$2:C$1005,MATCH($E451,Establishment!$A$2:$A$1005,0))</f>
        <v xml:space="preserve"> </v>
      </c>
      <c r="M451">
        <f t="shared" si="36"/>
        <v>0</v>
      </c>
      <c r="N451">
        <f t="shared" ref="N451:N499" si="39">IF(B451=B450,N450+M451,M451)</f>
        <v>0</v>
      </c>
      <c r="P451" t="e">
        <f>INDEX(Items!B$2:B$1032,MATCH($O451,Items!$A$2:$A$1032,0))</f>
        <v>#N/A</v>
      </c>
      <c r="Q451" t="e">
        <f>INDEX(Items!C$2:C$1032,MATCH($O451,Items!$A$2:$A$1032,0))</f>
        <v>#N/A</v>
      </c>
      <c r="R451" t="e">
        <f>INDEX(Items!D$2:D$1032,MATCH($O451,Items!$A$2:$A$1032,0))</f>
        <v>#N/A</v>
      </c>
    </row>
    <row r="452" spans="1:18" x14ac:dyDescent="0.25">
      <c r="A452">
        <f t="shared" si="37"/>
        <v>1</v>
      </c>
      <c r="B452" t="str">
        <f t="shared" si="38"/>
        <v/>
      </c>
      <c r="C452">
        <f t="shared" si="35"/>
        <v>1</v>
      </c>
      <c r="D452" s="4"/>
      <c r="E452" t="s">
        <v>18</v>
      </c>
      <c r="F452" t="str">
        <f>INDEX(Establishment!B$2:B$1005,MATCH($E452,Establishment!$A$2:$A$1005,0))</f>
        <v xml:space="preserve"> </v>
      </c>
      <c r="G452" t="str">
        <f>INDEX(Establishment!C$2:C$1005,MATCH($E452,Establishment!$A$2:$A$1005,0))</f>
        <v xml:space="preserve"> </v>
      </c>
      <c r="M452">
        <f t="shared" si="36"/>
        <v>0</v>
      </c>
      <c r="N452">
        <f t="shared" si="39"/>
        <v>0</v>
      </c>
      <c r="P452" t="e">
        <f>INDEX(Items!B$2:B$1032,MATCH($O452,Items!$A$2:$A$1032,0))</f>
        <v>#N/A</v>
      </c>
      <c r="Q452" t="e">
        <f>INDEX(Items!C$2:C$1032,MATCH($O452,Items!$A$2:$A$1032,0))</f>
        <v>#N/A</v>
      </c>
      <c r="R452" t="e">
        <f>INDEX(Items!D$2:D$1032,MATCH($O452,Items!$A$2:$A$1032,0))</f>
        <v>#N/A</v>
      </c>
    </row>
    <row r="453" spans="1:18" x14ac:dyDescent="0.25">
      <c r="A453">
        <f t="shared" si="37"/>
        <v>1</v>
      </c>
      <c r="B453" t="str">
        <f t="shared" si="38"/>
        <v/>
      </c>
      <c r="C453">
        <f t="shared" si="35"/>
        <v>1</v>
      </c>
      <c r="D453" s="4"/>
      <c r="E453" t="s">
        <v>18</v>
      </c>
      <c r="F453" t="str">
        <f>INDEX(Establishment!B$2:B$1005,MATCH($E453,Establishment!$A$2:$A$1005,0))</f>
        <v xml:space="preserve"> </v>
      </c>
      <c r="G453" t="str">
        <f>INDEX(Establishment!C$2:C$1005,MATCH($E453,Establishment!$A$2:$A$1005,0))</f>
        <v xml:space="preserve"> </v>
      </c>
      <c r="M453">
        <f t="shared" si="36"/>
        <v>0</v>
      </c>
      <c r="N453">
        <f t="shared" si="39"/>
        <v>0</v>
      </c>
      <c r="P453" t="e">
        <f>INDEX(Items!B$2:B$1032,MATCH($O453,Items!$A$2:$A$1032,0))</f>
        <v>#N/A</v>
      </c>
      <c r="Q453" t="e">
        <f>INDEX(Items!C$2:C$1032,MATCH($O453,Items!$A$2:$A$1032,0))</f>
        <v>#N/A</v>
      </c>
      <c r="R453" t="e">
        <f>INDEX(Items!D$2:D$1032,MATCH($O453,Items!$A$2:$A$1032,0))</f>
        <v>#N/A</v>
      </c>
    </row>
    <row r="454" spans="1:18" x14ac:dyDescent="0.25">
      <c r="A454">
        <f t="shared" si="37"/>
        <v>1</v>
      </c>
      <c r="B454" t="str">
        <f t="shared" si="38"/>
        <v/>
      </c>
      <c r="C454">
        <f t="shared" si="35"/>
        <v>1</v>
      </c>
      <c r="D454" s="4"/>
      <c r="E454" t="s">
        <v>18</v>
      </c>
      <c r="F454" t="str">
        <f>INDEX(Establishment!B$2:B$1005,MATCH($E454,Establishment!$A$2:$A$1005,0))</f>
        <v xml:space="preserve"> </v>
      </c>
      <c r="G454" t="str">
        <f>INDEX(Establishment!C$2:C$1005,MATCH($E454,Establishment!$A$2:$A$1005,0))</f>
        <v xml:space="preserve"> </v>
      </c>
      <c r="M454">
        <f t="shared" si="36"/>
        <v>0</v>
      </c>
      <c r="N454">
        <f t="shared" si="39"/>
        <v>0</v>
      </c>
      <c r="P454" t="e">
        <f>INDEX(Items!B$2:B$1032,MATCH($O454,Items!$A$2:$A$1032,0))</f>
        <v>#N/A</v>
      </c>
      <c r="Q454" t="e">
        <f>INDEX(Items!C$2:C$1032,MATCH($O454,Items!$A$2:$A$1032,0))</f>
        <v>#N/A</v>
      </c>
      <c r="R454" t="e">
        <f>INDEX(Items!D$2:D$1032,MATCH($O454,Items!$A$2:$A$1032,0))</f>
        <v>#N/A</v>
      </c>
    </row>
    <row r="455" spans="1:18" x14ac:dyDescent="0.25">
      <c r="A455">
        <f t="shared" si="37"/>
        <v>1</v>
      </c>
      <c r="B455" t="str">
        <f t="shared" si="38"/>
        <v/>
      </c>
      <c r="C455">
        <f t="shared" si="35"/>
        <v>1</v>
      </c>
      <c r="D455" s="4"/>
      <c r="E455" t="s">
        <v>18</v>
      </c>
      <c r="F455" t="str">
        <f>INDEX(Establishment!B$2:B$1005,MATCH($E455,Establishment!$A$2:$A$1005,0))</f>
        <v xml:space="preserve"> </v>
      </c>
      <c r="G455" t="str">
        <f>INDEX(Establishment!C$2:C$1005,MATCH($E455,Establishment!$A$2:$A$1005,0))</f>
        <v xml:space="preserve"> </v>
      </c>
      <c r="M455">
        <f t="shared" si="36"/>
        <v>0</v>
      </c>
      <c r="N455">
        <f t="shared" si="39"/>
        <v>0</v>
      </c>
      <c r="P455" t="e">
        <f>INDEX(Items!B$2:B$1032,MATCH($O455,Items!$A$2:$A$1032,0))</f>
        <v>#N/A</v>
      </c>
      <c r="Q455" t="e">
        <f>INDEX(Items!C$2:C$1032,MATCH($O455,Items!$A$2:$A$1032,0))</f>
        <v>#N/A</v>
      </c>
      <c r="R455" t="e">
        <f>INDEX(Items!D$2:D$1032,MATCH($O455,Items!$A$2:$A$1032,0))</f>
        <v>#N/A</v>
      </c>
    </row>
    <row r="456" spans="1:18" x14ac:dyDescent="0.25">
      <c r="A456">
        <f t="shared" si="37"/>
        <v>1</v>
      </c>
      <c r="B456" t="str">
        <f t="shared" si="38"/>
        <v/>
      </c>
      <c r="C456">
        <f t="shared" si="35"/>
        <v>1</v>
      </c>
      <c r="D456" s="4"/>
      <c r="E456" t="s">
        <v>18</v>
      </c>
      <c r="F456" t="str">
        <f>INDEX(Establishment!B$2:B$1005,MATCH($E456,Establishment!$A$2:$A$1005,0))</f>
        <v xml:space="preserve"> </v>
      </c>
      <c r="G456" t="str">
        <f>INDEX(Establishment!C$2:C$1005,MATCH($E456,Establishment!$A$2:$A$1005,0))</f>
        <v xml:space="preserve"> </v>
      </c>
      <c r="M456">
        <f t="shared" si="36"/>
        <v>0</v>
      </c>
      <c r="N456">
        <f t="shared" si="39"/>
        <v>0</v>
      </c>
      <c r="P456" t="e">
        <f>INDEX(Items!B$2:B$1032,MATCH($O456,Items!$A$2:$A$1032,0))</f>
        <v>#N/A</v>
      </c>
      <c r="Q456" t="e">
        <f>INDEX(Items!C$2:C$1032,MATCH($O456,Items!$A$2:$A$1032,0))</f>
        <v>#N/A</v>
      </c>
      <c r="R456" t="e">
        <f>INDEX(Items!D$2:D$1032,MATCH($O456,Items!$A$2:$A$1032,0))</f>
        <v>#N/A</v>
      </c>
    </row>
    <row r="457" spans="1:18" x14ac:dyDescent="0.25">
      <c r="A457">
        <f t="shared" si="37"/>
        <v>1</v>
      </c>
      <c r="B457" t="str">
        <f t="shared" si="38"/>
        <v/>
      </c>
      <c r="C457">
        <f t="shared" si="35"/>
        <v>1</v>
      </c>
      <c r="D457" s="4"/>
      <c r="E457" t="s">
        <v>18</v>
      </c>
      <c r="F457" t="str">
        <f>INDEX(Establishment!B$2:B$1005,MATCH($E457,Establishment!$A$2:$A$1005,0))</f>
        <v xml:space="preserve"> </v>
      </c>
      <c r="G457" t="str">
        <f>INDEX(Establishment!C$2:C$1005,MATCH($E457,Establishment!$A$2:$A$1005,0))</f>
        <v xml:space="preserve"> </v>
      </c>
      <c r="M457">
        <f t="shared" si="36"/>
        <v>0</v>
      </c>
      <c r="N457">
        <f t="shared" si="39"/>
        <v>0</v>
      </c>
      <c r="P457" t="e">
        <f>INDEX(Items!B$2:B$1032,MATCH($O457,Items!$A$2:$A$1032,0))</f>
        <v>#N/A</v>
      </c>
      <c r="Q457" t="e">
        <f>INDEX(Items!C$2:C$1032,MATCH($O457,Items!$A$2:$A$1032,0))</f>
        <v>#N/A</v>
      </c>
      <c r="R457" t="e">
        <f>INDEX(Items!D$2:D$1032,MATCH($O457,Items!$A$2:$A$1032,0))</f>
        <v>#N/A</v>
      </c>
    </row>
    <row r="458" spans="1:18" x14ac:dyDescent="0.25">
      <c r="A458">
        <f t="shared" si="37"/>
        <v>1</v>
      </c>
      <c r="B458" t="str">
        <f t="shared" si="38"/>
        <v/>
      </c>
      <c r="C458">
        <f t="shared" ref="C458:C499" si="40">IF(OR(B458="",B458&lt;&gt;B457),1,C457+1)</f>
        <v>1</v>
      </c>
      <c r="D458" s="4"/>
      <c r="E458" t="s">
        <v>18</v>
      </c>
      <c r="F458" t="str">
        <f>INDEX(Establishment!B$2:B$1005,MATCH($E458,Establishment!$A$2:$A$1005,0))</f>
        <v xml:space="preserve"> </v>
      </c>
      <c r="G458" t="str">
        <f>INDEX(Establishment!C$2:C$1005,MATCH($E458,Establishment!$A$2:$A$1005,0))</f>
        <v xml:space="preserve"> </v>
      </c>
      <c r="M458">
        <f t="shared" ref="M458:M499" si="41">K458*L458</f>
        <v>0</v>
      </c>
      <c r="N458">
        <f t="shared" si="39"/>
        <v>0</v>
      </c>
      <c r="P458" t="e">
        <f>INDEX(Items!B$2:B$1032,MATCH($O458,Items!$A$2:$A$1032,0))</f>
        <v>#N/A</v>
      </c>
      <c r="Q458" t="e">
        <f>INDEX(Items!C$2:C$1032,MATCH($O458,Items!$A$2:$A$1032,0))</f>
        <v>#N/A</v>
      </c>
      <c r="R458" t="e">
        <f>INDEX(Items!D$2:D$1032,MATCH($O458,Items!$A$2:$A$1032,0))</f>
        <v>#N/A</v>
      </c>
    </row>
    <row r="459" spans="1:18" x14ac:dyDescent="0.25">
      <c r="A459">
        <f t="shared" si="37"/>
        <v>1</v>
      </c>
      <c r="B459" t="str">
        <f t="shared" si="38"/>
        <v/>
      </c>
      <c r="C459">
        <f t="shared" si="40"/>
        <v>1</v>
      </c>
      <c r="D459" s="4"/>
      <c r="E459" t="s">
        <v>18</v>
      </c>
      <c r="F459" t="str">
        <f>INDEX(Establishment!B$2:B$1005,MATCH($E459,Establishment!$A$2:$A$1005,0))</f>
        <v xml:space="preserve"> </v>
      </c>
      <c r="G459" t="str">
        <f>INDEX(Establishment!C$2:C$1005,MATCH($E459,Establishment!$A$2:$A$1005,0))</f>
        <v xml:space="preserve"> </v>
      </c>
      <c r="M459">
        <f t="shared" si="41"/>
        <v>0</v>
      </c>
      <c r="N459">
        <f t="shared" si="39"/>
        <v>0</v>
      </c>
      <c r="P459" t="e">
        <f>INDEX(Items!B$2:B$1032,MATCH($O459,Items!$A$2:$A$1032,0))</f>
        <v>#N/A</v>
      </c>
      <c r="Q459" t="e">
        <f>INDEX(Items!C$2:C$1032,MATCH($O459,Items!$A$2:$A$1032,0))</f>
        <v>#N/A</v>
      </c>
      <c r="R459" t="e">
        <f>INDEX(Items!D$2:D$1032,MATCH($O459,Items!$A$2:$A$1032,0))</f>
        <v>#N/A</v>
      </c>
    </row>
    <row r="460" spans="1:18" x14ac:dyDescent="0.25">
      <c r="A460">
        <f t="shared" si="37"/>
        <v>1</v>
      </c>
      <c r="B460" t="str">
        <f t="shared" si="38"/>
        <v/>
      </c>
      <c r="C460">
        <f t="shared" si="40"/>
        <v>1</v>
      </c>
      <c r="D460" s="4"/>
      <c r="E460" t="s">
        <v>18</v>
      </c>
      <c r="F460" t="str">
        <f>INDEX(Establishment!B$2:B$1005,MATCH($E460,Establishment!$A$2:$A$1005,0))</f>
        <v xml:space="preserve"> </v>
      </c>
      <c r="G460" t="str">
        <f>INDEX(Establishment!C$2:C$1005,MATCH($E460,Establishment!$A$2:$A$1005,0))</f>
        <v xml:space="preserve"> </v>
      </c>
      <c r="M460">
        <f t="shared" si="41"/>
        <v>0</v>
      </c>
      <c r="N460">
        <f t="shared" si="39"/>
        <v>0</v>
      </c>
      <c r="P460" t="e">
        <f>INDEX(Items!B$2:B$1032,MATCH($O460,Items!$A$2:$A$1032,0))</f>
        <v>#N/A</v>
      </c>
      <c r="Q460" t="e">
        <f>INDEX(Items!C$2:C$1032,MATCH($O460,Items!$A$2:$A$1032,0))</f>
        <v>#N/A</v>
      </c>
      <c r="R460" t="e">
        <f>INDEX(Items!D$2:D$1032,MATCH($O460,Items!$A$2:$A$1032,0))</f>
        <v>#N/A</v>
      </c>
    </row>
    <row r="461" spans="1:18" x14ac:dyDescent="0.25">
      <c r="A461">
        <f t="shared" si="37"/>
        <v>1</v>
      </c>
      <c r="B461" t="str">
        <f t="shared" si="38"/>
        <v/>
      </c>
      <c r="C461">
        <f t="shared" si="40"/>
        <v>1</v>
      </c>
      <c r="D461" s="4"/>
      <c r="E461" t="s">
        <v>18</v>
      </c>
      <c r="F461" t="str">
        <f>INDEX(Establishment!B$2:B$1005,MATCH($E461,Establishment!$A$2:$A$1005,0))</f>
        <v xml:space="preserve"> </v>
      </c>
      <c r="G461" t="str">
        <f>INDEX(Establishment!C$2:C$1005,MATCH($E461,Establishment!$A$2:$A$1005,0))</f>
        <v xml:space="preserve"> </v>
      </c>
      <c r="M461">
        <f t="shared" si="41"/>
        <v>0</v>
      </c>
      <c r="N461">
        <f t="shared" si="39"/>
        <v>0</v>
      </c>
      <c r="P461" t="e">
        <f>INDEX(Items!B$2:B$1032,MATCH($O461,Items!$A$2:$A$1032,0))</f>
        <v>#N/A</v>
      </c>
      <c r="Q461" t="e">
        <f>INDEX(Items!C$2:C$1032,MATCH($O461,Items!$A$2:$A$1032,0))</f>
        <v>#N/A</v>
      </c>
      <c r="R461" t="e">
        <f>INDEX(Items!D$2:D$1032,MATCH($O461,Items!$A$2:$A$1032,0))</f>
        <v>#N/A</v>
      </c>
    </row>
    <row r="462" spans="1:18" x14ac:dyDescent="0.25">
      <c r="A462">
        <f t="shared" si="37"/>
        <v>1</v>
      </c>
      <c r="B462" t="str">
        <f t="shared" si="38"/>
        <v/>
      </c>
      <c r="C462">
        <f t="shared" si="40"/>
        <v>1</v>
      </c>
      <c r="D462" s="4"/>
      <c r="E462" t="s">
        <v>18</v>
      </c>
      <c r="F462" t="str">
        <f>INDEX(Establishment!B$2:B$1005,MATCH($E462,Establishment!$A$2:$A$1005,0))</f>
        <v xml:space="preserve"> </v>
      </c>
      <c r="G462" t="str">
        <f>INDEX(Establishment!C$2:C$1005,MATCH($E462,Establishment!$A$2:$A$1005,0))</f>
        <v xml:space="preserve"> </v>
      </c>
      <c r="M462">
        <f t="shared" si="41"/>
        <v>0</v>
      </c>
      <c r="N462">
        <f t="shared" si="39"/>
        <v>0</v>
      </c>
      <c r="P462" t="e">
        <f>INDEX(Items!B$2:B$1032,MATCH($O462,Items!$A$2:$A$1032,0))</f>
        <v>#N/A</v>
      </c>
      <c r="Q462" t="e">
        <f>INDEX(Items!C$2:C$1032,MATCH($O462,Items!$A$2:$A$1032,0))</f>
        <v>#N/A</v>
      </c>
      <c r="R462" t="e">
        <f>INDEX(Items!D$2:D$1032,MATCH($O462,Items!$A$2:$A$1032,0))</f>
        <v>#N/A</v>
      </c>
    </row>
    <row r="463" spans="1:18" x14ac:dyDescent="0.25">
      <c r="A463">
        <f t="shared" si="37"/>
        <v>1</v>
      </c>
      <c r="B463" t="str">
        <f t="shared" si="38"/>
        <v/>
      </c>
      <c r="C463">
        <f t="shared" si="40"/>
        <v>1</v>
      </c>
      <c r="D463" s="4"/>
      <c r="E463" t="s">
        <v>18</v>
      </c>
      <c r="F463" t="str">
        <f>INDEX(Establishment!B$2:B$1005,MATCH($E463,Establishment!$A$2:$A$1005,0))</f>
        <v xml:space="preserve"> </v>
      </c>
      <c r="G463" t="str">
        <f>INDEX(Establishment!C$2:C$1005,MATCH($E463,Establishment!$A$2:$A$1005,0))</f>
        <v xml:space="preserve"> </v>
      </c>
      <c r="M463">
        <f t="shared" si="41"/>
        <v>0</v>
      </c>
      <c r="N463">
        <f t="shared" si="39"/>
        <v>0</v>
      </c>
      <c r="P463" t="e">
        <f>INDEX(Items!B$2:B$1032,MATCH($O463,Items!$A$2:$A$1032,0))</f>
        <v>#N/A</v>
      </c>
      <c r="Q463" t="e">
        <f>INDEX(Items!C$2:C$1032,MATCH($O463,Items!$A$2:$A$1032,0))</f>
        <v>#N/A</v>
      </c>
      <c r="R463" t="e">
        <f>INDEX(Items!D$2:D$1032,MATCH($O463,Items!$A$2:$A$1032,0))</f>
        <v>#N/A</v>
      </c>
    </row>
    <row r="464" spans="1:18" x14ac:dyDescent="0.25">
      <c r="A464">
        <f t="shared" si="37"/>
        <v>1</v>
      </c>
      <c r="B464" t="str">
        <f t="shared" si="38"/>
        <v/>
      </c>
      <c r="C464">
        <f t="shared" si="40"/>
        <v>1</v>
      </c>
      <c r="D464" s="4"/>
      <c r="E464" t="s">
        <v>18</v>
      </c>
      <c r="F464" t="str">
        <f>INDEX(Establishment!B$2:B$1005,MATCH($E464,Establishment!$A$2:$A$1005,0))</f>
        <v xml:space="preserve"> </v>
      </c>
      <c r="G464" t="str">
        <f>INDEX(Establishment!C$2:C$1005,MATCH($E464,Establishment!$A$2:$A$1005,0))</f>
        <v xml:space="preserve"> </v>
      </c>
      <c r="M464">
        <f t="shared" si="41"/>
        <v>0</v>
      </c>
      <c r="N464">
        <f t="shared" si="39"/>
        <v>0</v>
      </c>
      <c r="P464" t="e">
        <f>INDEX(Items!B$2:B$1032,MATCH($O464,Items!$A$2:$A$1032,0))</f>
        <v>#N/A</v>
      </c>
      <c r="Q464" t="e">
        <f>INDEX(Items!C$2:C$1032,MATCH($O464,Items!$A$2:$A$1032,0))</f>
        <v>#N/A</v>
      </c>
      <c r="R464" t="e">
        <f>INDEX(Items!D$2:D$1032,MATCH($O464,Items!$A$2:$A$1032,0))</f>
        <v>#N/A</v>
      </c>
    </row>
    <row r="465" spans="1:18" x14ac:dyDescent="0.25">
      <c r="A465">
        <f t="shared" si="37"/>
        <v>1</v>
      </c>
      <c r="B465" t="str">
        <f t="shared" si="38"/>
        <v/>
      </c>
      <c r="C465">
        <f t="shared" si="40"/>
        <v>1</v>
      </c>
      <c r="D465" s="4"/>
      <c r="E465" t="s">
        <v>18</v>
      </c>
      <c r="F465" t="str">
        <f>INDEX(Establishment!B$2:B$1005,MATCH($E465,Establishment!$A$2:$A$1005,0))</f>
        <v xml:space="preserve"> </v>
      </c>
      <c r="G465" t="str">
        <f>INDEX(Establishment!C$2:C$1005,MATCH($E465,Establishment!$A$2:$A$1005,0))</f>
        <v xml:space="preserve"> </v>
      </c>
      <c r="M465">
        <f t="shared" si="41"/>
        <v>0</v>
      </c>
      <c r="N465">
        <f t="shared" si="39"/>
        <v>0</v>
      </c>
      <c r="P465" t="e">
        <f>INDEX(Items!B$2:B$1032,MATCH($O465,Items!$A$2:$A$1032,0))</f>
        <v>#N/A</v>
      </c>
      <c r="Q465" t="e">
        <f>INDEX(Items!C$2:C$1032,MATCH($O465,Items!$A$2:$A$1032,0))</f>
        <v>#N/A</v>
      </c>
      <c r="R465" t="e">
        <f>INDEX(Items!D$2:D$1032,MATCH($O465,Items!$A$2:$A$1032,0))</f>
        <v>#N/A</v>
      </c>
    </row>
    <row r="466" spans="1:18" x14ac:dyDescent="0.25">
      <c r="A466">
        <f t="shared" si="37"/>
        <v>1</v>
      </c>
      <c r="B466" t="str">
        <f t="shared" si="38"/>
        <v/>
      </c>
      <c r="C466">
        <f t="shared" si="40"/>
        <v>1</v>
      </c>
      <c r="D466" s="4"/>
      <c r="E466" t="s">
        <v>18</v>
      </c>
      <c r="F466" t="str">
        <f>INDEX(Establishment!B$2:B$1005,MATCH($E466,Establishment!$A$2:$A$1005,0))</f>
        <v xml:space="preserve"> </v>
      </c>
      <c r="G466" t="str">
        <f>INDEX(Establishment!C$2:C$1005,MATCH($E466,Establishment!$A$2:$A$1005,0))</f>
        <v xml:space="preserve"> </v>
      </c>
      <c r="M466">
        <f t="shared" si="41"/>
        <v>0</v>
      </c>
      <c r="N466">
        <f t="shared" si="39"/>
        <v>0</v>
      </c>
      <c r="P466" t="e">
        <f>INDEX(Items!B$2:B$1032,MATCH($O466,Items!$A$2:$A$1032,0))</f>
        <v>#N/A</v>
      </c>
      <c r="Q466" t="e">
        <f>INDEX(Items!C$2:C$1032,MATCH($O466,Items!$A$2:$A$1032,0))</f>
        <v>#N/A</v>
      </c>
      <c r="R466" t="e">
        <f>INDEX(Items!D$2:D$1032,MATCH($O466,Items!$A$2:$A$1032,0))</f>
        <v>#N/A</v>
      </c>
    </row>
    <row r="467" spans="1:18" x14ac:dyDescent="0.25">
      <c r="A467">
        <f t="shared" si="37"/>
        <v>1</v>
      </c>
      <c r="B467" t="str">
        <f t="shared" si="38"/>
        <v/>
      </c>
      <c r="C467">
        <f t="shared" si="40"/>
        <v>1</v>
      </c>
      <c r="D467" s="4"/>
      <c r="E467" t="s">
        <v>18</v>
      </c>
      <c r="F467" t="str">
        <f>INDEX(Establishment!B$2:B$1005,MATCH($E467,Establishment!$A$2:$A$1005,0))</f>
        <v xml:space="preserve"> </v>
      </c>
      <c r="G467" t="str">
        <f>INDEX(Establishment!C$2:C$1005,MATCH($E467,Establishment!$A$2:$A$1005,0))</f>
        <v xml:space="preserve"> </v>
      </c>
      <c r="M467">
        <f t="shared" si="41"/>
        <v>0</v>
      </c>
      <c r="N467">
        <f t="shared" si="39"/>
        <v>0</v>
      </c>
      <c r="P467" t="e">
        <f>INDEX(Items!B$2:B$1032,MATCH($O467,Items!$A$2:$A$1032,0))</f>
        <v>#N/A</v>
      </c>
      <c r="Q467" t="e">
        <f>INDEX(Items!C$2:C$1032,MATCH($O467,Items!$A$2:$A$1032,0))</f>
        <v>#N/A</v>
      </c>
      <c r="R467" t="e">
        <f>INDEX(Items!D$2:D$1032,MATCH($O467,Items!$A$2:$A$1032,0))</f>
        <v>#N/A</v>
      </c>
    </row>
    <row r="468" spans="1:18" x14ac:dyDescent="0.25">
      <c r="A468">
        <f t="shared" si="37"/>
        <v>1</v>
      </c>
      <c r="B468" t="str">
        <f t="shared" si="38"/>
        <v/>
      </c>
      <c r="C468">
        <f t="shared" si="40"/>
        <v>1</v>
      </c>
      <c r="D468" s="4"/>
      <c r="E468" t="s">
        <v>18</v>
      </c>
      <c r="F468" t="str">
        <f>INDEX(Establishment!B$2:B$1005,MATCH($E468,Establishment!$A$2:$A$1005,0))</f>
        <v xml:space="preserve"> </v>
      </c>
      <c r="G468" t="str">
        <f>INDEX(Establishment!C$2:C$1005,MATCH($E468,Establishment!$A$2:$A$1005,0))</f>
        <v xml:space="preserve"> </v>
      </c>
      <c r="M468">
        <f t="shared" si="41"/>
        <v>0</v>
      </c>
      <c r="N468">
        <f t="shared" si="39"/>
        <v>0</v>
      </c>
      <c r="P468" t="e">
        <f>INDEX(Items!B$2:B$1032,MATCH($O468,Items!$A$2:$A$1032,0))</f>
        <v>#N/A</v>
      </c>
      <c r="Q468" t="e">
        <f>INDEX(Items!C$2:C$1032,MATCH($O468,Items!$A$2:$A$1032,0))</f>
        <v>#N/A</v>
      </c>
      <c r="R468" t="e">
        <f>INDEX(Items!D$2:D$1032,MATCH($O468,Items!$A$2:$A$1032,0))</f>
        <v>#N/A</v>
      </c>
    </row>
    <row r="469" spans="1:18" x14ac:dyDescent="0.25">
      <c r="A469">
        <f t="shared" si="37"/>
        <v>1</v>
      </c>
      <c r="B469" t="str">
        <f t="shared" si="38"/>
        <v/>
      </c>
      <c r="C469">
        <f t="shared" si="40"/>
        <v>1</v>
      </c>
      <c r="D469" s="4"/>
      <c r="E469" t="s">
        <v>18</v>
      </c>
      <c r="F469" t="str">
        <f>INDEX(Establishment!B$2:B$1005,MATCH($E469,Establishment!$A$2:$A$1005,0))</f>
        <v xml:space="preserve"> </v>
      </c>
      <c r="G469" t="str">
        <f>INDEX(Establishment!C$2:C$1005,MATCH($E469,Establishment!$A$2:$A$1005,0))</f>
        <v xml:space="preserve"> </v>
      </c>
      <c r="M469">
        <f t="shared" si="41"/>
        <v>0</v>
      </c>
      <c r="N469">
        <f t="shared" si="39"/>
        <v>0</v>
      </c>
      <c r="P469" t="e">
        <f>INDEX(Items!B$2:B$1032,MATCH($O469,Items!$A$2:$A$1032,0))</f>
        <v>#N/A</v>
      </c>
      <c r="Q469" t="e">
        <f>INDEX(Items!C$2:C$1032,MATCH($O469,Items!$A$2:$A$1032,0))</f>
        <v>#N/A</v>
      </c>
      <c r="R469" t="e">
        <f>INDEX(Items!D$2:D$1032,MATCH($O469,Items!$A$2:$A$1032,0))</f>
        <v>#N/A</v>
      </c>
    </row>
    <row r="470" spans="1:18" x14ac:dyDescent="0.25">
      <c r="A470">
        <f t="shared" si="37"/>
        <v>1</v>
      </c>
      <c r="B470" t="str">
        <f t="shared" si="38"/>
        <v/>
      </c>
      <c r="C470">
        <f t="shared" si="40"/>
        <v>1</v>
      </c>
      <c r="D470" s="4"/>
      <c r="E470" t="s">
        <v>18</v>
      </c>
      <c r="F470" t="str">
        <f>INDEX(Establishment!B$2:B$1005,MATCH($E470,Establishment!$A$2:$A$1005,0))</f>
        <v xml:space="preserve"> </v>
      </c>
      <c r="G470" t="str">
        <f>INDEX(Establishment!C$2:C$1005,MATCH($E470,Establishment!$A$2:$A$1005,0))</f>
        <v xml:space="preserve"> </v>
      </c>
      <c r="M470">
        <f t="shared" si="41"/>
        <v>0</v>
      </c>
      <c r="N470">
        <f t="shared" si="39"/>
        <v>0</v>
      </c>
      <c r="P470" t="e">
        <f>INDEX(Items!B$2:B$1032,MATCH($O470,Items!$A$2:$A$1032,0))</f>
        <v>#N/A</v>
      </c>
      <c r="Q470" t="e">
        <f>INDEX(Items!C$2:C$1032,MATCH($O470,Items!$A$2:$A$1032,0))</f>
        <v>#N/A</v>
      </c>
      <c r="R470" t="e">
        <f>INDEX(Items!D$2:D$1032,MATCH($O470,Items!$A$2:$A$1032,0))</f>
        <v>#N/A</v>
      </c>
    </row>
    <row r="471" spans="1:18" x14ac:dyDescent="0.25">
      <c r="A471">
        <f t="shared" si="37"/>
        <v>1</v>
      </c>
      <c r="B471" t="str">
        <f t="shared" si="38"/>
        <v/>
      </c>
      <c r="C471">
        <f t="shared" si="40"/>
        <v>1</v>
      </c>
      <c r="D471" s="4"/>
      <c r="E471" t="s">
        <v>18</v>
      </c>
      <c r="F471" t="str">
        <f>INDEX(Establishment!B$2:B$1005,MATCH($E471,Establishment!$A$2:$A$1005,0))</f>
        <v xml:space="preserve"> </v>
      </c>
      <c r="G471" t="str">
        <f>INDEX(Establishment!C$2:C$1005,MATCH($E471,Establishment!$A$2:$A$1005,0))</f>
        <v xml:space="preserve"> </v>
      </c>
      <c r="M471">
        <f t="shared" si="41"/>
        <v>0</v>
      </c>
      <c r="N471">
        <f t="shared" si="39"/>
        <v>0</v>
      </c>
      <c r="P471" t="e">
        <f>INDEX(Items!B$2:B$1032,MATCH($O471,Items!$A$2:$A$1032,0))</f>
        <v>#N/A</v>
      </c>
      <c r="Q471" t="e">
        <f>INDEX(Items!C$2:C$1032,MATCH($O471,Items!$A$2:$A$1032,0))</f>
        <v>#N/A</v>
      </c>
      <c r="R471" t="e">
        <f>INDEX(Items!D$2:D$1032,MATCH($O471,Items!$A$2:$A$1032,0))</f>
        <v>#N/A</v>
      </c>
    </row>
    <row r="472" spans="1:18" x14ac:dyDescent="0.25">
      <c r="A472">
        <f t="shared" si="37"/>
        <v>1</v>
      </c>
      <c r="B472" t="str">
        <f t="shared" si="38"/>
        <v/>
      </c>
      <c r="C472">
        <f t="shared" si="40"/>
        <v>1</v>
      </c>
      <c r="D472" s="4"/>
      <c r="E472" t="s">
        <v>18</v>
      </c>
      <c r="F472" t="str">
        <f>INDEX(Establishment!B$2:B$1005,MATCH($E472,Establishment!$A$2:$A$1005,0))</f>
        <v xml:space="preserve"> </v>
      </c>
      <c r="G472" t="str">
        <f>INDEX(Establishment!C$2:C$1005,MATCH($E472,Establishment!$A$2:$A$1005,0))</f>
        <v xml:space="preserve"> </v>
      </c>
      <c r="M472">
        <f t="shared" si="41"/>
        <v>0</v>
      </c>
      <c r="N472">
        <f t="shared" si="39"/>
        <v>0</v>
      </c>
      <c r="P472" t="e">
        <f>INDEX(Items!B$2:B$1032,MATCH($O472,Items!$A$2:$A$1032,0))</f>
        <v>#N/A</v>
      </c>
      <c r="Q472" t="e">
        <f>INDEX(Items!C$2:C$1032,MATCH($O472,Items!$A$2:$A$1032,0))</f>
        <v>#N/A</v>
      </c>
      <c r="R472" t="e">
        <f>INDEX(Items!D$2:D$1032,MATCH($O472,Items!$A$2:$A$1032,0))</f>
        <v>#N/A</v>
      </c>
    </row>
    <row r="473" spans="1:18" x14ac:dyDescent="0.25">
      <c r="A473">
        <f t="shared" si="37"/>
        <v>1</v>
      </c>
      <c r="B473" t="str">
        <f t="shared" si="38"/>
        <v/>
      </c>
      <c r="C473">
        <f t="shared" si="40"/>
        <v>1</v>
      </c>
      <c r="D473" s="4"/>
      <c r="E473" t="s">
        <v>18</v>
      </c>
      <c r="F473" t="str">
        <f>INDEX(Establishment!B$2:B$1005,MATCH($E473,Establishment!$A$2:$A$1005,0))</f>
        <v xml:space="preserve"> </v>
      </c>
      <c r="G473" t="str">
        <f>INDEX(Establishment!C$2:C$1005,MATCH($E473,Establishment!$A$2:$A$1005,0))</f>
        <v xml:space="preserve"> </v>
      </c>
      <c r="M473">
        <f t="shared" si="41"/>
        <v>0</v>
      </c>
      <c r="N473">
        <f t="shared" si="39"/>
        <v>0</v>
      </c>
      <c r="P473" t="e">
        <f>INDEX(Items!B$2:B$1032,MATCH($O473,Items!$A$2:$A$1032,0))</f>
        <v>#N/A</v>
      </c>
      <c r="Q473" t="e">
        <f>INDEX(Items!C$2:C$1032,MATCH($O473,Items!$A$2:$A$1032,0))</f>
        <v>#N/A</v>
      </c>
      <c r="R473" t="e">
        <f>INDEX(Items!D$2:D$1032,MATCH($O473,Items!$A$2:$A$1032,0))</f>
        <v>#N/A</v>
      </c>
    </row>
    <row r="474" spans="1:18" x14ac:dyDescent="0.25">
      <c r="A474">
        <f t="shared" si="37"/>
        <v>1</v>
      </c>
      <c r="B474" t="str">
        <f t="shared" si="38"/>
        <v/>
      </c>
      <c r="C474">
        <f t="shared" si="40"/>
        <v>1</v>
      </c>
      <c r="D474" s="4"/>
      <c r="E474" t="s">
        <v>18</v>
      </c>
      <c r="F474" t="str">
        <f>INDEX(Establishment!B$2:B$1005,MATCH($E474,Establishment!$A$2:$A$1005,0))</f>
        <v xml:space="preserve"> </v>
      </c>
      <c r="G474" t="str">
        <f>INDEX(Establishment!C$2:C$1005,MATCH($E474,Establishment!$A$2:$A$1005,0))</f>
        <v xml:space="preserve"> </v>
      </c>
      <c r="M474">
        <f t="shared" si="41"/>
        <v>0</v>
      </c>
      <c r="N474">
        <f t="shared" si="39"/>
        <v>0</v>
      </c>
      <c r="P474" t="e">
        <f>INDEX(Items!B$2:B$1032,MATCH($O474,Items!$A$2:$A$1032,0))</f>
        <v>#N/A</v>
      </c>
      <c r="Q474" t="e">
        <f>INDEX(Items!C$2:C$1032,MATCH($O474,Items!$A$2:$A$1032,0))</f>
        <v>#N/A</v>
      </c>
      <c r="R474" t="e">
        <f>INDEX(Items!D$2:D$1032,MATCH($O474,Items!$A$2:$A$1032,0))</f>
        <v>#N/A</v>
      </c>
    </row>
    <row r="475" spans="1:18" x14ac:dyDescent="0.25">
      <c r="A475">
        <f t="shared" si="37"/>
        <v>1</v>
      </c>
      <c r="B475" t="str">
        <f t="shared" si="38"/>
        <v/>
      </c>
      <c r="C475">
        <f t="shared" si="40"/>
        <v>1</v>
      </c>
      <c r="D475" s="4"/>
      <c r="E475" t="s">
        <v>18</v>
      </c>
      <c r="F475" t="str">
        <f>INDEX(Establishment!B$2:B$1005,MATCH($E475,Establishment!$A$2:$A$1005,0))</f>
        <v xml:space="preserve"> </v>
      </c>
      <c r="G475" t="str">
        <f>INDEX(Establishment!C$2:C$1005,MATCH($E475,Establishment!$A$2:$A$1005,0))</f>
        <v xml:space="preserve"> </v>
      </c>
      <c r="M475">
        <f t="shared" si="41"/>
        <v>0</v>
      </c>
      <c r="N475">
        <f t="shared" si="39"/>
        <v>0</v>
      </c>
      <c r="P475" t="e">
        <f>INDEX(Items!B$2:B$1032,MATCH($O475,Items!$A$2:$A$1032,0))</f>
        <v>#N/A</v>
      </c>
      <c r="Q475" t="e">
        <f>INDEX(Items!C$2:C$1032,MATCH($O475,Items!$A$2:$A$1032,0))</f>
        <v>#N/A</v>
      </c>
      <c r="R475" t="e">
        <f>INDEX(Items!D$2:D$1032,MATCH($O475,Items!$A$2:$A$1032,0))</f>
        <v>#N/A</v>
      </c>
    </row>
    <row r="476" spans="1:18" x14ac:dyDescent="0.25">
      <c r="A476">
        <f t="shared" si="37"/>
        <v>1</v>
      </c>
      <c r="B476" t="str">
        <f t="shared" si="38"/>
        <v/>
      </c>
      <c r="C476">
        <f t="shared" si="40"/>
        <v>1</v>
      </c>
      <c r="D476" s="4"/>
      <c r="E476" t="s">
        <v>18</v>
      </c>
      <c r="F476" t="str">
        <f>INDEX(Establishment!B$2:B$1005,MATCH($E476,Establishment!$A$2:$A$1005,0))</f>
        <v xml:space="preserve"> </v>
      </c>
      <c r="G476" t="str">
        <f>INDEX(Establishment!C$2:C$1005,MATCH($E476,Establishment!$A$2:$A$1005,0))</f>
        <v xml:space="preserve"> </v>
      </c>
      <c r="M476">
        <f t="shared" si="41"/>
        <v>0</v>
      </c>
      <c r="N476">
        <f t="shared" si="39"/>
        <v>0</v>
      </c>
      <c r="P476" t="e">
        <f>INDEX(Items!B$2:B$1032,MATCH($O476,Items!$A$2:$A$1032,0))</f>
        <v>#N/A</v>
      </c>
      <c r="Q476" t="e">
        <f>INDEX(Items!C$2:C$1032,MATCH($O476,Items!$A$2:$A$1032,0))</f>
        <v>#N/A</v>
      </c>
      <c r="R476" t="e">
        <f>INDEX(Items!D$2:D$1032,MATCH($O476,Items!$A$2:$A$1032,0))</f>
        <v>#N/A</v>
      </c>
    </row>
    <row r="477" spans="1:18" x14ac:dyDescent="0.25">
      <c r="A477">
        <f t="shared" si="37"/>
        <v>1</v>
      </c>
      <c r="B477" t="str">
        <f t="shared" si="38"/>
        <v/>
      </c>
      <c r="C477">
        <f t="shared" si="40"/>
        <v>1</v>
      </c>
      <c r="D477" s="4"/>
      <c r="E477" t="s">
        <v>18</v>
      </c>
      <c r="F477" t="str">
        <f>INDEX(Establishment!B$2:B$1005,MATCH($E477,Establishment!$A$2:$A$1005,0))</f>
        <v xml:space="preserve"> </v>
      </c>
      <c r="G477" t="str">
        <f>INDEX(Establishment!C$2:C$1005,MATCH($E477,Establishment!$A$2:$A$1005,0))</f>
        <v xml:space="preserve"> </v>
      </c>
      <c r="M477">
        <f t="shared" si="41"/>
        <v>0</v>
      </c>
      <c r="N477">
        <f t="shared" si="39"/>
        <v>0</v>
      </c>
      <c r="P477" t="e">
        <f>INDEX(Items!B$2:B$1032,MATCH($O477,Items!$A$2:$A$1032,0))</f>
        <v>#N/A</v>
      </c>
      <c r="Q477" t="e">
        <f>INDEX(Items!C$2:C$1032,MATCH($O477,Items!$A$2:$A$1032,0))</f>
        <v>#N/A</v>
      </c>
      <c r="R477" t="e">
        <f>INDEX(Items!D$2:D$1032,MATCH($O477,Items!$A$2:$A$1032,0))</f>
        <v>#N/A</v>
      </c>
    </row>
    <row r="478" spans="1:18" x14ac:dyDescent="0.25">
      <c r="A478">
        <f t="shared" si="37"/>
        <v>1</v>
      </c>
      <c r="B478" t="str">
        <f t="shared" si="38"/>
        <v/>
      </c>
      <c r="C478">
        <f t="shared" si="40"/>
        <v>1</v>
      </c>
      <c r="D478" s="4"/>
      <c r="E478" t="s">
        <v>18</v>
      </c>
      <c r="F478" t="str">
        <f>INDEX(Establishment!B$2:B$1005,MATCH($E478,Establishment!$A$2:$A$1005,0))</f>
        <v xml:space="preserve"> </v>
      </c>
      <c r="G478" t="str">
        <f>INDEX(Establishment!C$2:C$1005,MATCH($E478,Establishment!$A$2:$A$1005,0))</f>
        <v xml:space="preserve"> </v>
      </c>
      <c r="M478">
        <f t="shared" si="41"/>
        <v>0</v>
      </c>
      <c r="N478">
        <f t="shared" si="39"/>
        <v>0</v>
      </c>
      <c r="P478" t="e">
        <f>INDEX(Items!B$2:B$1032,MATCH($O478,Items!$A$2:$A$1032,0))</f>
        <v>#N/A</v>
      </c>
      <c r="Q478" t="e">
        <f>INDEX(Items!C$2:C$1032,MATCH($O478,Items!$A$2:$A$1032,0))</f>
        <v>#N/A</v>
      </c>
      <c r="R478" t="e">
        <f>INDEX(Items!D$2:D$1032,MATCH($O478,Items!$A$2:$A$1032,0))</f>
        <v>#N/A</v>
      </c>
    </row>
    <row r="479" spans="1:18" x14ac:dyDescent="0.25">
      <c r="A479">
        <f t="shared" si="37"/>
        <v>1</v>
      </c>
      <c r="B479" t="str">
        <f t="shared" si="38"/>
        <v/>
      </c>
      <c r="C479">
        <f t="shared" si="40"/>
        <v>1</v>
      </c>
      <c r="D479" s="4"/>
      <c r="E479" t="s">
        <v>18</v>
      </c>
      <c r="F479" t="str">
        <f>INDEX(Establishment!B$2:B$1005,MATCH($E479,Establishment!$A$2:$A$1005,0))</f>
        <v xml:space="preserve"> </v>
      </c>
      <c r="G479" t="str">
        <f>INDEX(Establishment!C$2:C$1005,MATCH($E479,Establishment!$A$2:$A$1005,0))</f>
        <v xml:space="preserve"> </v>
      </c>
      <c r="M479">
        <f t="shared" si="41"/>
        <v>0</v>
      </c>
      <c r="N479">
        <f t="shared" si="39"/>
        <v>0</v>
      </c>
      <c r="P479" t="e">
        <f>INDEX(Items!B$2:B$1032,MATCH($O479,Items!$A$2:$A$1032,0))</f>
        <v>#N/A</v>
      </c>
      <c r="Q479" t="e">
        <f>INDEX(Items!C$2:C$1032,MATCH($O479,Items!$A$2:$A$1032,0))</f>
        <v>#N/A</v>
      </c>
      <c r="R479" t="e">
        <f>INDEX(Items!D$2:D$1032,MATCH($O479,Items!$A$2:$A$1032,0))</f>
        <v>#N/A</v>
      </c>
    </row>
    <row r="480" spans="1:18" x14ac:dyDescent="0.25">
      <c r="A480">
        <f t="shared" si="37"/>
        <v>1</v>
      </c>
      <c r="B480" t="str">
        <f t="shared" si="38"/>
        <v/>
      </c>
      <c r="C480">
        <f t="shared" si="40"/>
        <v>1</v>
      </c>
      <c r="D480" s="4"/>
      <c r="E480" t="s">
        <v>18</v>
      </c>
      <c r="F480" t="str">
        <f>INDEX(Establishment!B$2:B$1005,MATCH($E480,Establishment!$A$2:$A$1005,0))</f>
        <v xml:space="preserve"> </v>
      </c>
      <c r="G480" t="str">
        <f>INDEX(Establishment!C$2:C$1005,MATCH($E480,Establishment!$A$2:$A$1005,0))</f>
        <v xml:space="preserve"> </v>
      </c>
      <c r="M480">
        <f t="shared" si="41"/>
        <v>0</v>
      </c>
      <c r="N480">
        <f t="shared" si="39"/>
        <v>0</v>
      </c>
      <c r="P480" t="e">
        <f>INDEX(Items!B$2:B$1032,MATCH($O480,Items!$A$2:$A$1032,0))</f>
        <v>#N/A</v>
      </c>
      <c r="Q480" t="e">
        <f>INDEX(Items!C$2:C$1032,MATCH($O480,Items!$A$2:$A$1032,0))</f>
        <v>#N/A</v>
      </c>
      <c r="R480" t="e">
        <f>INDEX(Items!D$2:D$1032,MATCH($O480,Items!$A$2:$A$1032,0))</f>
        <v>#N/A</v>
      </c>
    </row>
    <row r="481" spans="1:18" x14ac:dyDescent="0.25">
      <c r="A481">
        <f t="shared" si="37"/>
        <v>1</v>
      </c>
      <c r="B481" t="str">
        <f t="shared" si="38"/>
        <v/>
      </c>
      <c r="C481">
        <f t="shared" si="40"/>
        <v>1</v>
      </c>
      <c r="D481" s="4"/>
      <c r="E481" t="s">
        <v>18</v>
      </c>
      <c r="F481" t="str">
        <f>INDEX(Establishment!B$2:B$1005,MATCH($E481,Establishment!$A$2:$A$1005,0))</f>
        <v xml:space="preserve"> </v>
      </c>
      <c r="G481" t="str">
        <f>INDEX(Establishment!C$2:C$1005,MATCH($E481,Establishment!$A$2:$A$1005,0))</f>
        <v xml:space="preserve"> </v>
      </c>
      <c r="M481">
        <f t="shared" si="41"/>
        <v>0</v>
      </c>
      <c r="N481">
        <f t="shared" si="39"/>
        <v>0</v>
      </c>
      <c r="P481" t="e">
        <f>INDEX(Items!B$2:B$1032,MATCH($O481,Items!$A$2:$A$1032,0))</f>
        <v>#N/A</v>
      </c>
      <c r="Q481" t="e">
        <f>INDEX(Items!C$2:C$1032,MATCH($O481,Items!$A$2:$A$1032,0))</f>
        <v>#N/A</v>
      </c>
      <c r="R481" t="e">
        <f>INDEX(Items!D$2:D$1032,MATCH($O481,Items!$A$2:$A$1032,0))</f>
        <v>#N/A</v>
      </c>
    </row>
    <row r="482" spans="1:18" x14ac:dyDescent="0.25">
      <c r="A482">
        <f t="shared" si="37"/>
        <v>1</v>
      </c>
      <c r="B482" t="str">
        <f t="shared" si="38"/>
        <v/>
      </c>
      <c r="C482">
        <f t="shared" si="40"/>
        <v>1</v>
      </c>
      <c r="D482" s="4"/>
      <c r="E482" t="s">
        <v>18</v>
      </c>
      <c r="F482" t="str">
        <f>INDEX(Establishment!B$2:B$1005,MATCH($E482,Establishment!$A$2:$A$1005,0))</f>
        <v xml:space="preserve"> </v>
      </c>
      <c r="G482" t="str">
        <f>INDEX(Establishment!C$2:C$1005,MATCH($E482,Establishment!$A$2:$A$1005,0))</f>
        <v xml:space="preserve"> </v>
      </c>
      <c r="M482">
        <f t="shared" si="41"/>
        <v>0</v>
      </c>
      <c r="N482">
        <f t="shared" si="39"/>
        <v>0</v>
      </c>
      <c r="P482" t="e">
        <f>INDEX(Items!B$2:B$1032,MATCH($O482,Items!$A$2:$A$1032,0))</f>
        <v>#N/A</v>
      </c>
      <c r="Q482" t="e">
        <f>INDEX(Items!C$2:C$1032,MATCH($O482,Items!$A$2:$A$1032,0))</f>
        <v>#N/A</v>
      </c>
      <c r="R482" t="e">
        <f>INDEX(Items!D$2:D$1032,MATCH($O482,Items!$A$2:$A$1032,0))</f>
        <v>#N/A</v>
      </c>
    </row>
    <row r="483" spans="1:18" x14ac:dyDescent="0.25">
      <c r="A483">
        <f t="shared" si="37"/>
        <v>1</v>
      </c>
      <c r="B483" t="str">
        <f t="shared" si="38"/>
        <v/>
      </c>
      <c r="C483">
        <f t="shared" si="40"/>
        <v>1</v>
      </c>
      <c r="D483" s="4"/>
      <c r="E483" t="s">
        <v>18</v>
      </c>
      <c r="F483" t="str">
        <f>INDEX(Establishment!B$2:B$1005,MATCH($E483,Establishment!$A$2:$A$1005,0))</f>
        <v xml:space="preserve"> </v>
      </c>
      <c r="G483" t="str">
        <f>INDEX(Establishment!C$2:C$1005,MATCH($E483,Establishment!$A$2:$A$1005,0))</f>
        <v xml:space="preserve"> </v>
      </c>
      <c r="M483">
        <f t="shared" si="41"/>
        <v>0</v>
      </c>
      <c r="N483">
        <f t="shared" si="39"/>
        <v>0</v>
      </c>
      <c r="P483" t="e">
        <f>INDEX(Items!B$2:B$1032,MATCH($O483,Items!$A$2:$A$1032,0))</f>
        <v>#N/A</v>
      </c>
      <c r="Q483" t="e">
        <f>INDEX(Items!C$2:C$1032,MATCH($O483,Items!$A$2:$A$1032,0))</f>
        <v>#N/A</v>
      </c>
      <c r="R483" t="e">
        <f>INDEX(Items!D$2:D$1032,MATCH($O483,Items!$A$2:$A$1032,0))</f>
        <v>#N/A</v>
      </c>
    </row>
    <row r="484" spans="1:18" x14ac:dyDescent="0.25">
      <c r="A484">
        <f t="shared" si="37"/>
        <v>1</v>
      </c>
      <c r="B484" t="str">
        <f t="shared" si="38"/>
        <v/>
      </c>
      <c r="C484">
        <f t="shared" si="40"/>
        <v>1</v>
      </c>
      <c r="D484" s="4"/>
      <c r="E484" t="s">
        <v>18</v>
      </c>
      <c r="F484" t="str">
        <f>INDEX(Establishment!B$2:B$1005,MATCH($E484,Establishment!$A$2:$A$1005,0))</f>
        <v xml:space="preserve"> </v>
      </c>
      <c r="G484" t="str">
        <f>INDEX(Establishment!C$2:C$1005,MATCH($E484,Establishment!$A$2:$A$1005,0))</f>
        <v xml:space="preserve"> </v>
      </c>
      <c r="M484">
        <f t="shared" si="41"/>
        <v>0</v>
      </c>
      <c r="N484">
        <f t="shared" si="39"/>
        <v>0</v>
      </c>
      <c r="P484" t="e">
        <f>INDEX(Items!B$2:B$1032,MATCH($O484,Items!$A$2:$A$1032,0))</f>
        <v>#N/A</v>
      </c>
      <c r="Q484" t="e">
        <f>INDEX(Items!C$2:C$1032,MATCH($O484,Items!$A$2:$A$1032,0))</f>
        <v>#N/A</v>
      </c>
      <c r="R484" t="e">
        <f>INDEX(Items!D$2:D$1032,MATCH($O484,Items!$A$2:$A$1032,0))</f>
        <v>#N/A</v>
      </c>
    </row>
    <row r="485" spans="1:18" x14ac:dyDescent="0.25">
      <c r="A485">
        <f t="shared" si="37"/>
        <v>1</v>
      </c>
      <c r="B485" t="str">
        <f t="shared" si="38"/>
        <v/>
      </c>
      <c r="C485">
        <f t="shared" si="40"/>
        <v>1</v>
      </c>
      <c r="D485" s="4"/>
      <c r="E485" t="s">
        <v>18</v>
      </c>
      <c r="F485" t="str">
        <f>INDEX(Establishment!B$2:B$1005,MATCH($E485,Establishment!$A$2:$A$1005,0))</f>
        <v xml:space="preserve"> </v>
      </c>
      <c r="G485" t="str">
        <f>INDEX(Establishment!C$2:C$1005,MATCH($E485,Establishment!$A$2:$A$1005,0))</f>
        <v xml:space="preserve"> </v>
      </c>
      <c r="M485">
        <f t="shared" si="41"/>
        <v>0</v>
      </c>
      <c r="N485">
        <f t="shared" si="39"/>
        <v>0</v>
      </c>
      <c r="P485" t="e">
        <f>INDEX(Items!B$2:B$1032,MATCH($O485,Items!$A$2:$A$1032,0))</f>
        <v>#N/A</v>
      </c>
      <c r="Q485" t="e">
        <f>INDEX(Items!C$2:C$1032,MATCH($O485,Items!$A$2:$A$1032,0))</f>
        <v>#N/A</v>
      </c>
      <c r="R485" t="e">
        <f>INDEX(Items!D$2:D$1032,MATCH($O485,Items!$A$2:$A$1032,0))</f>
        <v>#N/A</v>
      </c>
    </row>
    <row r="486" spans="1:18" x14ac:dyDescent="0.25">
      <c r="A486">
        <f t="shared" si="37"/>
        <v>1</v>
      </c>
      <c r="B486" t="str">
        <f t="shared" si="38"/>
        <v/>
      </c>
      <c r="C486">
        <f t="shared" si="40"/>
        <v>1</v>
      </c>
      <c r="D486" s="4"/>
      <c r="E486" t="s">
        <v>18</v>
      </c>
      <c r="F486" t="str">
        <f>INDEX(Establishment!B$2:B$1005,MATCH($E486,Establishment!$A$2:$A$1005,0))</f>
        <v xml:space="preserve"> </v>
      </c>
      <c r="G486" t="str">
        <f>INDEX(Establishment!C$2:C$1005,MATCH($E486,Establishment!$A$2:$A$1005,0))</f>
        <v xml:space="preserve"> </v>
      </c>
      <c r="M486">
        <f t="shared" si="41"/>
        <v>0</v>
      </c>
      <c r="N486">
        <f t="shared" si="39"/>
        <v>0</v>
      </c>
      <c r="P486" t="e">
        <f>INDEX(Items!B$2:B$1032,MATCH($O486,Items!$A$2:$A$1032,0))</f>
        <v>#N/A</v>
      </c>
      <c r="Q486" t="e">
        <f>INDEX(Items!C$2:C$1032,MATCH($O486,Items!$A$2:$A$1032,0))</f>
        <v>#N/A</v>
      </c>
      <c r="R486" t="e">
        <f>INDEX(Items!D$2:D$1032,MATCH($O486,Items!$A$2:$A$1032,0))</f>
        <v>#N/A</v>
      </c>
    </row>
    <row r="487" spans="1:18" x14ac:dyDescent="0.25">
      <c r="A487">
        <f t="shared" si="37"/>
        <v>1</v>
      </c>
      <c r="B487" t="str">
        <f t="shared" si="38"/>
        <v/>
      </c>
      <c r="C487">
        <f t="shared" si="40"/>
        <v>1</v>
      </c>
      <c r="D487" s="4"/>
      <c r="E487" t="s">
        <v>18</v>
      </c>
      <c r="F487" t="str">
        <f>INDEX(Establishment!B$2:B$1005,MATCH($E487,Establishment!$A$2:$A$1005,0))</f>
        <v xml:space="preserve"> </v>
      </c>
      <c r="G487" t="str">
        <f>INDEX(Establishment!C$2:C$1005,MATCH($E487,Establishment!$A$2:$A$1005,0))</f>
        <v xml:space="preserve"> </v>
      </c>
      <c r="M487">
        <f t="shared" si="41"/>
        <v>0</v>
      </c>
      <c r="N487">
        <f t="shared" si="39"/>
        <v>0</v>
      </c>
      <c r="P487" t="e">
        <f>INDEX(Items!B$2:B$1032,MATCH($O487,Items!$A$2:$A$1032,0))</f>
        <v>#N/A</v>
      </c>
      <c r="Q487" t="e">
        <f>INDEX(Items!C$2:C$1032,MATCH($O487,Items!$A$2:$A$1032,0))</f>
        <v>#N/A</v>
      </c>
      <c r="R487" t="e">
        <f>INDEX(Items!D$2:D$1032,MATCH($O487,Items!$A$2:$A$1032,0))</f>
        <v>#N/A</v>
      </c>
    </row>
    <row r="488" spans="1:18" x14ac:dyDescent="0.25">
      <c r="A488">
        <f t="shared" si="37"/>
        <v>1</v>
      </c>
      <c r="B488" t="str">
        <f t="shared" si="38"/>
        <v/>
      </c>
      <c r="C488">
        <f t="shared" si="40"/>
        <v>1</v>
      </c>
      <c r="D488" s="4"/>
      <c r="E488" t="s">
        <v>18</v>
      </c>
      <c r="F488" t="str">
        <f>INDEX(Establishment!B$2:B$1005,MATCH($E488,Establishment!$A$2:$A$1005,0))</f>
        <v xml:space="preserve"> </v>
      </c>
      <c r="G488" t="str">
        <f>INDEX(Establishment!C$2:C$1005,MATCH($E488,Establishment!$A$2:$A$1005,0))</f>
        <v xml:space="preserve"> </v>
      </c>
      <c r="M488">
        <f t="shared" si="41"/>
        <v>0</v>
      </c>
      <c r="N488">
        <f t="shared" si="39"/>
        <v>0</v>
      </c>
      <c r="P488" t="e">
        <f>INDEX(Items!B$2:B$1032,MATCH($O488,Items!$A$2:$A$1032,0))</f>
        <v>#N/A</v>
      </c>
      <c r="Q488" t="e">
        <f>INDEX(Items!C$2:C$1032,MATCH($O488,Items!$A$2:$A$1032,0))</f>
        <v>#N/A</v>
      </c>
      <c r="R488" t="e">
        <f>INDEX(Items!D$2:D$1032,MATCH($O488,Items!$A$2:$A$1032,0))</f>
        <v>#N/A</v>
      </c>
    </row>
    <row r="489" spans="1:18" x14ac:dyDescent="0.25">
      <c r="A489">
        <f t="shared" si="37"/>
        <v>1</v>
      </c>
      <c r="B489" t="str">
        <f t="shared" si="38"/>
        <v/>
      </c>
      <c r="C489">
        <f t="shared" si="40"/>
        <v>1</v>
      </c>
      <c r="D489" s="4"/>
      <c r="E489" t="s">
        <v>18</v>
      </c>
      <c r="F489" t="str">
        <f>INDEX(Establishment!B$2:B$1005,MATCH($E489,Establishment!$A$2:$A$1005,0))</f>
        <v xml:space="preserve"> </v>
      </c>
      <c r="G489" t="str">
        <f>INDEX(Establishment!C$2:C$1005,MATCH($E489,Establishment!$A$2:$A$1005,0))</f>
        <v xml:space="preserve"> </v>
      </c>
      <c r="M489">
        <f t="shared" si="41"/>
        <v>0</v>
      </c>
      <c r="N489">
        <f t="shared" si="39"/>
        <v>0</v>
      </c>
      <c r="P489" t="e">
        <f>INDEX(Items!B$2:B$1032,MATCH($O489,Items!$A$2:$A$1032,0))</f>
        <v>#N/A</v>
      </c>
      <c r="Q489" t="e">
        <f>INDEX(Items!C$2:C$1032,MATCH($O489,Items!$A$2:$A$1032,0))</f>
        <v>#N/A</v>
      </c>
      <c r="R489" t="e">
        <f>INDEX(Items!D$2:D$1032,MATCH($O489,Items!$A$2:$A$1032,0))</f>
        <v>#N/A</v>
      </c>
    </row>
    <row r="490" spans="1:18" x14ac:dyDescent="0.25">
      <c r="A490">
        <f t="shared" si="37"/>
        <v>1</v>
      </c>
      <c r="B490" t="str">
        <f t="shared" si="38"/>
        <v/>
      </c>
      <c r="C490">
        <f t="shared" si="40"/>
        <v>1</v>
      </c>
      <c r="D490" s="4"/>
      <c r="E490" t="s">
        <v>18</v>
      </c>
      <c r="F490" t="str">
        <f>INDEX(Establishment!B$2:B$1005,MATCH($E490,Establishment!$A$2:$A$1005,0))</f>
        <v xml:space="preserve"> </v>
      </c>
      <c r="G490" t="str">
        <f>INDEX(Establishment!C$2:C$1005,MATCH($E490,Establishment!$A$2:$A$1005,0))</f>
        <v xml:space="preserve"> </v>
      </c>
      <c r="M490">
        <f t="shared" si="41"/>
        <v>0</v>
      </c>
      <c r="N490">
        <f t="shared" si="39"/>
        <v>0</v>
      </c>
      <c r="P490" t="e">
        <f>INDEX(Items!B$2:B$1032,MATCH($O490,Items!$A$2:$A$1032,0))</f>
        <v>#N/A</v>
      </c>
      <c r="Q490" t="e">
        <f>INDEX(Items!C$2:C$1032,MATCH($O490,Items!$A$2:$A$1032,0))</f>
        <v>#N/A</v>
      </c>
      <c r="R490" t="e">
        <f>INDEX(Items!D$2:D$1032,MATCH($O490,Items!$A$2:$A$1032,0))</f>
        <v>#N/A</v>
      </c>
    </row>
    <row r="491" spans="1:18" x14ac:dyDescent="0.25">
      <c r="A491">
        <f t="shared" si="37"/>
        <v>1</v>
      </c>
      <c r="B491" t="str">
        <f t="shared" si="38"/>
        <v/>
      </c>
      <c r="C491">
        <f t="shared" si="40"/>
        <v>1</v>
      </c>
      <c r="D491" s="4"/>
      <c r="E491" t="s">
        <v>18</v>
      </c>
      <c r="F491" t="str">
        <f>INDEX(Establishment!B$2:B$1005,MATCH($E491,Establishment!$A$2:$A$1005,0))</f>
        <v xml:space="preserve"> </v>
      </c>
      <c r="G491" t="str">
        <f>INDEX(Establishment!C$2:C$1005,MATCH($E491,Establishment!$A$2:$A$1005,0))</f>
        <v xml:space="preserve"> </v>
      </c>
      <c r="M491">
        <f t="shared" si="41"/>
        <v>0</v>
      </c>
      <c r="N491">
        <f t="shared" si="39"/>
        <v>0</v>
      </c>
      <c r="P491" t="e">
        <f>INDEX(Items!B$2:B$1032,MATCH($O491,Items!$A$2:$A$1032,0))</f>
        <v>#N/A</v>
      </c>
      <c r="Q491" t="e">
        <f>INDEX(Items!C$2:C$1032,MATCH($O491,Items!$A$2:$A$1032,0))</f>
        <v>#N/A</v>
      </c>
      <c r="R491" t="e">
        <f>INDEX(Items!D$2:D$1032,MATCH($O491,Items!$A$2:$A$1032,0))</f>
        <v>#N/A</v>
      </c>
    </row>
    <row r="492" spans="1:18" x14ac:dyDescent="0.25">
      <c r="A492">
        <f t="shared" si="37"/>
        <v>1</v>
      </c>
      <c r="B492" t="str">
        <f t="shared" si="38"/>
        <v/>
      </c>
      <c r="C492">
        <f t="shared" si="40"/>
        <v>1</v>
      </c>
      <c r="D492" s="4"/>
      <c r="E492" t="s">
        <v>18</v>
      </c>
      <c r="F492" t="str">
        <f>INDEX(Establishment!B$2:B$1005,MATCH($E492,Establishment!$A$2:$A$1005,0))</f>
        <v xml:space="preserve"> </v>
      </c>
      <c r="G492" t="str">
        <f>INDEX(Establishment!C$2:C$1005,MATCH($E492,Establishment!$A$2:$A$1005,0))</f>
        <v xml:space="preserve"> </v>
      </c>
      <c r="M492">
        <f t="shared" si="41"/>
        <v>0</v>
      </c>
      <c r="N492">
        <f t="shared" si="39"/>
        <v>0</v>
      </c>
      <c r="P492" t="e">
        <f>INDEX(Items!B$2:B$1032,MATCH($O492,Items!$A$2:$A$1032,0))</f>
        <v>#N/A</v>
      </c>
      <c r="Q492" t="e">
        <f>INDEX(Items!C$2:C$1032,MATCH($O492,Items!$A$2:$A$1032,0))</f>
        <v>#N/A</v>
      </c>
      <c r="R492" t="e">
        <f>INDEX(Items!D$2:D$1032,MATCH($O492,Items!$A$2:$A$1032,0))</f>
        <v>#N/A</v>
      </c>
    </row>
    <row r="493" spans="1:18" x14ac:dyDescent="0.25">
      <c r="A493">
        <f t="shared" si="37"/>
        <v>1</v>
      </c>
      <c r="B493" t="str">
        <f t="shared" si="38"/>
        <v/>
      </c>
      <c r="C493">
        <f t="shared" si="40"/>
        <v>1</v>
      </c>
      <c r="D493" s="4"/>
      <c r="E493" t="s">
        <v>18</v>
      </c>
      <c r="F493" t="str">
        <f>INDEX(Establishment!B$2:B$1005,MATCH($E493,Establishment!$A$2:$A$1005,0))</f>
        <v xml:space="preserve"> </v>
      </c>
      <c r="G493" t="str">
        <f>INDEX(Establishment!C$2:C$1005,MATCH($E493,Establishment!$A$2:$A$1005,0))</f>
        <v xml:space="preserve"> </v>
      </c>
      <c r="M493">
        <f t="shared" si="41"/>
        <v>0</v>
      </c>
      <c r="N493">
        <f t="shared" si="39"/>
        <v>0</v>
      </c>
      <c r="P493" t="e">
        <f>INDEX(Items!B$2:B$1032,MATCH($O493,Items!$A$2:$A$1032,0))</f>
        <v>#N/A</v>
      </c>
      <c r="Q493" t="e">
        <f>INDEX(Items!C$2:C$1032,MATCH($O493,Items!$A$2:$A$1032,0))</f>
        <v>#N/A</v>
      </c>
      <c r="R493" t="e">
        <f>INDEX(Items!D$2:D$1032,MATCH($O493,Items!$A$2:$A$1032,0))</f>
        <v>#N/A</v>
      </c>
    </row>
    <row r="494" spans="1:18" x14ac:dyDescent="0.25">
      <c r="A494">
        <f t="shared" si="37"/>
        <v>1</v>
      </c>
      <c r="B494" t="str">
        <f t="shared" si="38"/>
        <v/>
      </c>
      <c r="C494">
        <f t="shared" si="40"/>
        <v>1</v>
      </c>
      <c r="D494" s="4"/>
      <c r="E494" t="s">
        <v>18</v>
      </c>
      <c r="F494" t="str">
        <f>INDEX(Establishment!B$2:B$1005,MATCH($E494,Establishment!$A$2:$A$1005,0))</f>
        <v xml:space="preserve"> </v>
      </c>
      <c r="G494" t="str">
        <f>INDEX(Establishment!C$2:C$1005,MATCH($E494,Establishment!$A$2:$A$1005,0))</f>
        <v xml:space="preserve"> </v>
      </c>
      <c r="M494">
        <f t="shared" si="41"/>
        <v>0</v>
      </c>
      <c r="N494">
        <f t="shared" si="39"/>
        <v>0</v>
      </c>
      <c r="P494" t="e">
        <f>INDEX(Items!B$2:B$1032,MATCH($O494,Items!$A$2:$A$1032,0))</f>
        <v>#N/A</v>
      </c>
      <c r="Q494" t="e">
        <f>INDEX(Items!C$2:C$1032,MATCH($O494,Items!$A$2:$A$1032,0))</f>
        <v>#N/A</v>
      </c>
      <c r="R494" t="e">
        <f>INDEX(Items!D$2:D$1032,MATCH($O494,Items!$A$2:$A$1032,0))</f>
        <v>#N/A</v>
      </c>
    </row>
    <row r="495" spans="1:18" x14ac:dyDescent="0.25">
      <c r="A495">
        <f t="shared" si="37"/>
        <v>1</v>
      </c>
      <c r="B495" t="str">
        <f t="shared" si="38"/>
        <v/>
      </c>
      <c r="C495">
        <f t="shared" si="40"/>
        <v>1</v>
      </c>
      <c r="D495" s="4"/>
      <c r="E495" t="s">
        <v>18</v>
      </c>
      <c r="F495" t="str">
        <f>INDEX(Establishment!B$2:B$1005,MATCH($E495,Establishment!$A$2:$A$1005,0))</f>
        <v xml:space="preserve"> </v>
      </c>
      <c r="G495" t="str">
        <f>INDEX(Establishment!C$2:C$1005,MATCH($E495,Establishment!$A$2:$A$1005,0))</f>
        <v xml:space="preserve"> </v>
      </c>
      <c r="M495">
        <f t="shared" si="41"/>
        <v>0</v>
      </c>
      <c r="N495">
        <f t="shared" si="39"/>
        <v>0</v>
      </c>
      <c r="P495" t="e">
        <f>INDEX(Items!B$2:B$1032,MATCH($O495,Items!$A$2:$A$1032,0))</f>
        <v>#N/A</v>
      </c>
      <c r="Q495" t="e">
        <f>INDEX(Items!C$2:C$1032,MATCH($O495,Items!$A$2:$A$1032,0))</f>
        <v>#N/A</v>
      </c>
      <c r="R495" t="e">
        <f>INDEX(Items!D$2:D$1032,MATCH($O495,Items!$A$2:$A$1032,0))</f>
        <v>#N/A</v>
      </c>
    </row>
    <row r="496" spans="1:18" x14ac:dyDescent="0.25">
      <c r="A496">
        <f t="shared" si="37"/>
        <v>1</v>
      </c>
      <c r="B496" t="str">
        <f t="shared" si="38"/>
        <v/>
      </c>
      <c r="C496">
        <f t="shared" si="40"/>
        <v>1</v>
      </c>
      <c r="D496" s="4"/>
      <c r="E496" t="s">
        <v>18</v>
      </c>
      <c r="F496" t="str">
        <f>INDEX(Establishment!B$2:B$1005,MATCH($E496,Establishment!$A$2:$A$1005,0))</f>
        <v xml:space="preserve"> </v>
      </c>
      <c r="G496" t="str">
        <f>INDEX(Establishment!C$2:C$1005,MATCH($E496,Establishment!$A$2:$A$1005,0))</f>
        <v xml:space="preserve"> </v>
      </c>
      <c r="M496">
        <f t="shared" si="41"/>
        <v>0</v>
      </c>
      <c r="N496">
        <f t="shared" si="39"/>
        <v>0</v>
      </c>
      <c r="P496" t="e">
        <f>INDEX(Items!B$2:B$1032,MATCH($O496,Items!$A$2:$A$1032,0))</f>
        <v>#N/A</v>
      </c>
      <c r="Q496" t="e">
        <f>INDEX(Items!C$2:C$1032,MATCH($O496,Items!$A$2:$A$1032,0))</f>
        <v>#N/A</v>
      </c>
      <c r="R496" t="e">
        <f>INDEX(Items!D$2:D$1032,MATCH($O496,Items!$A$2:$A$1032,0))</f>
        <v>#N/A</v>
      </c>
    </row>
    <row r="497" spans="1:18" x14ac:dyDescent="0.25">
      <c r="A497">
        <f t="shared" si="37"/>
        <v>1</v>
      </c>
      <c r="B497" t="str">
        <f t="shared" si="38"/>
        <v/>
      </c>
      <c r="C497">
        <f t="shared" si="40"/>
        <v>1</v>
      </c>
      <c r="D497" s="4"/>
      <c r="E497" t="s">
        <v>18</v>
      </c>
      <c r="F497" t="str">
        <f>INDEX(Establishment!B$2:B$1005,MATCH($E497,Establishment!$A$2:$A$1005,0))</f>
        <v xml:space="preserve"> </v>
      </c>
      <c r="G497" t="str">
        <f>INDEX(Establishment!C$2:C$1005,MATCH($E497,Establishment!$A$2:$A$1005,0))</f>
        <v xml:space="preserve"> </v>
      </c>
      <c r="M497">
        <f t="shared" si="41"/>
        <v>0</v>
      </c>
      <c r="N497">
        <f t="shared" si="39"/>
        <v>0</v>
      </c>
      <c r="P497" t="e">
        <f>INDEX(Items!B$2:B$1032,MATCH($O497,Items!$A$2:$A$1032,0))</f>
        <v>#N/A</v>
      </c>
      <c r="Q497" t="e">
        <f>INDEX(Items!C$2:C$1032,MATCH($O497,Items!$A$2:$A$1032,0))</f>
        <v>#N/A</v>
      </c>
      <c r="R497" t="e">
        <f>INDEX(Items!D$2:D$1032,MATCH($O497,Items!$A$2:$A$1032,0))</f>
        <v>#N/A</v>
      </c>
    </row>
    <row r="498" spans="1:18" x14ac:dyDescent="0.25">
      <c r="A498">
        <f t="shared" si="37"/>
        <v>1</v>
      </c>
      <c r="B498" t="str">
        <f t="shared" si="38"/>
        <v/>
      </c>
      <c r="C498">
        <f t="shared" si="40"/>
        <v>1</v>
      </c>
      <c r="D498" s="4"/>
      <c r="E498" t="s">
        <v>18</v>
      </c>
      <c r="F498" t="str">
        <f>INDEX(Establishment!B$2:B$1005,MATCH($E498,Establishment!$A$2:$A$1005,0))</f>
        <v xml:space="preserve"> </v>
      </c>
      <c r="G498" t="str">
        <f>INDEX(Establishment!C$2:C$1005,MATCH($E498,Establishment!$A$2:$A$1005,0))</f>
        <v xml:space="preserve"> </v>
      </c>
      <c r="M498">
        <f t="shared" si="41"/>
        <v>0</v>
      </c>
      <c r="N498">
        <f t="shared" si="39"/>
        <v>0</v>
      </c>
      <c r="P498" t="e">
        <f>INDEX(Items!B$2:B$1032,MATCH($O498,Items!$A$2:$A$1032,0))</f>
        <v>#N/A</v>
      </c>
      <c r="Q498" t="e">
        <f>INDEX(Items!C$2:C$1032,MATCH($O498,Items!$A$2:$A$1032,0))</f>
        <v>#N/A</v>
      </c>
      <c r="R498" t="e">
        <f>INDEX(Items!D$2:D$1032,MATCH($O498,Items!$A$2:$A$1032,0))</f>
        <v>#N/A</v>
      </c>
    </row>
    <row r="499" spans="1:18" x14ac:dyDescent="0.25">
      <c r="A499">
        <f t="shared" si="37"/>
        <v>1</v>
      </c>
      <c r="B499" t="str">
        <f t="shared" si="38"/>
        <v/>
      </c>
      <c r="C499">
        <f t="shared" si="40"/>
        <v>1</v>
      </c>
      <c r="D499" s="4"/>
      <c r="E499" t="s">
        <v>18</v>
      </c>
      <c r="F499" t="str">
        <f>INDEX(Establishment!B$2:B$1005,MATCH($E499,Establishment!$A$2:$A$1005,0))</f>
        <v xml:space="preserve"> </v>
      </c>
      <c r="G499" t="str">
        <f>INDEX(Establishment!C$2:C$1005,MATCH($E499,Establishment!$A$2:$A$1005,0))</f>
        <v xml:space="preserve"> </v>
      </c>
      <c r="M499">
        <f t="shared" si="41"/>
        <v>0</v>
      </c>
      <c r="N499">
        <f t="shared" si="39"/>
        <v>0</v>
      </c>
      <c r="P499" t="e">
        <f>INDEX(Items!B$2:B$1032,MATCH($O499,Items!$A$2:$A$1032,0))</f>
        <v>#N/A</v>
      </c>
      <c r="Q499" t="e">
        <f>INDEX(Items!C$2:C$1032,MATCH($O499,Items!$A$2:$A$1032,0))</f>
        <v>#N/A</v>
      </c>
      <c r="R499" t="e">
        <f>INDEX(Items!D$2:D$1032,MATCH($O499,Items!$A$2:$A$1032,0))</f>
        <v>#N/A</v>
      </c>
    </row>
  </sheetData>
  <autoFilter ref="A1:S499" xr:uid="{5F0E76B2-0B92-47EE-AE22-5D9D037037E9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91021C72-F567-43CC-88D5-E8C0F523A20B}">
          <x14:formula1>
            <xm:f>Misc!$A$2:$A$8</xm:f>
          </x14:formula1>
          <xm:sqref>H1:H1048576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2334B-64FF-4691-A447-03D0ACB80F2B}">
  <dimension ref="A1:S499"/>
  <sheetViews>
    <sheetView zoomScale="145" zoomScaleNormal="145"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42578125" bestFit="1" customWidth="1"/>
    <col min="2" max="2" width="11.140625" bestFit="1" customWidth="1"/>
    <col min="3" max="3" width="11.140625" customWidth="1"/>
    <col min="4" max="4" width="10.7109375" bestFit="1" customWidth="1"/>
    <col min="5" max="5" width="21.140625" bestFit="1" customWidth="1"/>
    <col min="6" max="6" width="13.7109375" bestFit="1" customWidth="1"/>
    <col min="7" max="7" width="9.7109375" bestFit="1" customWidth="1"/>
    <col min="8" max="8" width="13.7109375" bestFit="1" customWidth="1"/>
    <col min="9" max="9" width="8.140625" bestFit="1" customWidth="1"/>
    <col min="10" max="10" width="18.5703125" bestFit="1" customWidth="1"/>
    <col min="11" max="11" width="8.7109375" bestFit="1" customWidth="1"/>
    <col min="12" max="12" width="9.5703125" bestFit="1" customWidth="1"/>
    <col min="13" max="13" width="8.140625" bestFit="1" customWidth="1"/>
    <col min="14" max="14" width="11.140625" bestFit="1" customWidth="1"/>
    <col min="15" max="15" width="25.7109375" bestFit="1" customWidth="1"/>
    <col min="16" max="16" width="6.140625" bestFit="1" customWidth="1"/>
    <col min="17" max="17" width="12.7109375" bestFit="1" customWidth="1"/>
    <col min="18" max="18" width="7.140625" bestFit="1" customWidth="1"/>
  </cols>
  <sheetData>
    <row r="1" spans="1:19" ht="30" x14ac:dyDescent="0.25">
      <c r="A1" t="s">
        <v>0</v>
      </c>
      <c r="B1" s="2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f t="shared" ref="A2:A65" si="0">IF(OR(D2&lt;&gt;D1,D2=""),1,IF(NOT(AND(E2=E1,F2=F1,G2=G1)),A1+1,IF(OR(H2="",AND(H2&lt;&gt;"",H2&lt;&gt;H1,H1&lt;&gt;"")),A1,A1+1)))</f>
        <v>1</v>
      </c>
      <c r="B2" t="str">
        <f t="shared" ref="B2:B65" si="1">IF(D2&lt;&gt;"",TEXT(D2,"YYYYMMDD")&amp;CHAR(64+A2),"")</f>
        <v/>
      </c>
      <c r="C2">
        <f t="shared" ref="C2:C6" si="2">IF(OR(B2="",B2&lt;&gt;B10),1,C10+1)</f>
        <v>1</v>
      </c>
      <c r="D2" s="4"/>
      <c r="F2" t="e">
        <f>INDEX(Establishment!B$2:B$1005,MATCH($E2,Establishment!$A$2:$A$1005,0))</f>
        <v>#N/A</v>
      </c>
      <c r="G2" t="e">
        <f>INDEX(Establishment!C$2:C$1005,MATCH($E2,Establishment!$A$2:$A$1005,0))</f>
        <v>#N/A</v>
      </c>
      <c r="M2">
        <f t="shared" ref="M2:M6" si="3">K2*L2</f>
        <v>0</v>
      </c>
      <c r="N2">
        <f>IF(B2=B1,N1+M2,M2)</f>
        <v>0</v>
      </c>
      <c r="P2" t="e">
        <f>INDEX(Items!B$2:B$1032,MATCH($O2,Items!$A$2:$A$1032,0))</f>
        <v>#N/A</v>
      </c>
      <c r="Q2" t="e">
        <f>INDEX(Items!C$2:C$1032,MATCH($O2,Items!$A$2:$A$1032,0))</f>
        <v>#N/A</v>
      </c>
      <c r="R2" t="e">
        <f>INDEX(Items!D$2:D$1032,MATCH($O2,Items!$A$2:$A$1032,0))</f>
        <v>#N/A</v>
      </c>
    </row>
    <row r="3" spans="1:19" x14ac:dyDescent="0.25">
      <c r="A3">
        <f t="shared" si="0"/>
        <v>1</v>
      </c>
      <c r="B3" t="str">
        <f t="shared" si="1"/>
        <v/>
      </c>
      <c r="C3">
        <f t="shared" si="2"/>
        <v>1</v>
      </c>
      <c r="D3" s="4"/>
      <c r="F3" t="e">
        <f>INDEX(Establishment!B$2:B$1005,MATCH($E3,Establishment!$A$2:$A$1005,0))</f>
        <v>#N/A</v>
      </c>
      <c r="G3" t="e">
        <f>INDEX(Establishment!C$2:C$1005,MATCH($E3,Establishment!$A$2:$A$1005,0))</f>
        <v>#N/A</v>
      </c>
      <c r="M3">
        <f t="shared" si="3"/>
        <v>0</v>
      </c>
      <c r="N3">
        <f t="shared" ref="N3:N66" si="4">IF(B3=B2,N2+M3,M3)</f>
        <v>0</v>
      </c>
      <c r="P3" t="e">
        <f>INDEX(Items!B$2:B$1032,MATCH($O3,Items!$A$2:$A$1032,0))</f>
        <v>#N/A</v>
      </c>
      <c r="Q3" t="e">
        <f>INDEX(Items!C$2:C$1032,MATCH($O3,Items!$A$2:$A$1032,0))</f>
        <v>#N/A</v>
      </c>
      <c r="R3" t="e">
        <f>INDEX(Items!D$2:D$1032,MATCH($O3,Items!$A$2:$A$1032,0))</f>
        <v>#N/A</v>
      </c>
    </row>
    <row r="4" spans="1:19" x14ac:dyDescent="0.25">
      <c r="A4">
        <f t="shared" si="0"/>
        <v>1</v>
      </c>
      <c r="B4" t="str">
        <f t="shared" si="1"/>
        <v/>
      </c>
      <c r="C4">
        <f t="shared" si="2"/>
        <v>1</v>
      </c>
      <c r="D4" s="4"/>
      <c r="F4" t="e">
        <f>INDEX(Establishment!B$2:B$1005,MATCH($E4,Establishment!$A$2:$A$1005,0))</f>
        <v>#N/A</v>
      </c>
      <c r="G4" t="e">
        <f>INDEX(Establishment!C$2:C$1005,MATCH($E4,Establishment!$A$2:$A$1005,0))</f>
        <v>#N/A</v>
      </c>
      <c r="M4">
        <f t="shared" si="3"/>
        <v>0</v>
      </c>
      <c r="N4">
        <f t="shared" si="4"/>
        <v>0</v>
      </c>
      <c r="P4" t="e">
        <f>INDEX(Items!B$2:B$1032,MATCH($O4,Items!$A$2:$A$1032,0))</f>
        <v>#N/A</v>
      </c>
      <c r="Q4" t="e">
        <f>INDEX(Items!C$2:C$1032,MATCH($O4,Items!$A$2:$A$1032,0))</f>
        <v>#N/A</v>
      </c>
      <c r="R4" t="e">
        <f>INDEX(Items!D$2:D$1032,MATCH($O4,Items!$A$2:$A$1032,0))</f>
        <v>#N/A</v>
      </c>
    </row>
    <row r="5" spans="1:19" x14ac:dyDescent="0.25">
      <c r="A5">
        <f t="shared" si="0"/>
        <v>1</v>
      </c>
      <c r="B5" t="str">
        <f t="shared" si="1"/>
        <v/>
      </c>
      <c r="C5">
        <f t="shared" si="2"/>
        <v>1</v>
      </c>
      <c r="D5" s="4"/>
      <c r="F5" t="e">
        <f>INDEX(Establishment!B$2:B$1005,MATCH($E5,Establishment!$A$2:$A$1005,0))</f>
        <v>#N/A</v>
      </c>
      <c r="G5" t="e">
        <f>INDEX(Establishment!C$2:C$1005,MATCH($E5,Establishment!$A$2:$A$1005,0))</f>
        <v>#N/A</v>
      </c>
      <c r="M5">
        <f t="shared" si="3"/>
        <v>0</v>
      </c>
      <c r="N5">
        <f t="shared" si="4"/>
        <v>0</v>
      </c>
      <c r="P5" t="e">
        <f>INDEX(Items!B$2:B$1032,MATCH($O5,Items!$A$2:$A$1032,0))</f>
        <v>#N/A</v>
      </c>
      <c r="Q5" t="e">
        <f>INDEX(Items!C$2:C$1032,MATCH($O5,Items!$A$2:$A$1032,0))</f>
        <v>#N/A</v>
      </c>
      <c r="R5" t="e">
        <f>INDEX(Items!D$2:D$1032,MATCH($O5,Items!$A$2:$A$1032,0))</f>
        <v>#N/A</v>
      </c>
    </row>
    <row r="6" spans="1:19" x14ac:dyDescent="0.25">
      <c r="A6">
        <f t="shared" si="0"/>
        <v>1</v>
      </c>
      <c r="B6" t="str">
        <f t="shared" si="1"/>
        <v/>
      </c>
      <c r="C6">
        <f t="shared" si="2"/>
        <v>1</v>
      </c>
      <c r="D6" s="4"/>
      <c r="F6" t="e">
        <f>INDEX(Establishment!B$2:B$1005,MATCH($E6,Establishment!$A$2:$A$1005,0))</f>
        <v>#N/A</v>
      </c>
      <c r="G6" t="e">
        <f>INDEX(Establishment!C$2:C$1005,MATCH($E6,Establishment!$A$2:$A$1005,0))</f>
        <v>#N/A</v>
      </c>
      <c r="M6">
        <f t="shared" si="3"/>
        <v>0</v>
      </c>
      <c r="N6">
        <f t="shared" si="4"/>
        <v>0</v>
      </c>
      <c r="P6" t="e">
        <f>INDEX(Items!B$2:B$1032,MATCH($O6,Items!$A$2:$A$1032,0))</f>
        <v>#N/A</v>
      </c>
      <c r="Q6" t="e">
        <f>INDEX(Items!C$2:C$1032,MATCH($O6,Items!$A$2:$A$1032,0))</f>
        <v>#N/A</v>
      </c>
      <c r="R6" t="e">
        <f>INDEX(Items!D$2:D$1032,MATCH($O6,Items!$A$2:$A$1032,0))</f>
        <v>#N/A</v>
      </c>
    </row>
    <row r="7" spans="1:19" x14ac:dyDescent="0.25">
      <c r="A7">
        <f t="shared" si="0"/>
        <v>1</v>
      </c>
      <c r="B7" t="str">
        <f t="shared" si="1"/>
        <v/>
      </c>
      <c r="C7">
        <f>IF(OR(B7="",B7&lt;&gt;B15),1,C15+1)</f>
        <v>1</v>
      </c>
      <c r="D7" s="4"/>
      <c r="F7" t="e">
        <f>INDEX(Establishment!B$2:B$1005,MATCH($E7,Establishment!$A$2:$A$1005,0))</f>
        <v>#N/A</v>
      </c>
      <c r="G7" t="e">
        <f>INDEX(Establishment!C$2:C$1005,MATCH($E7,Establishment!$A$2:$A$1005,0))</f>
        <v>#N/A</v>
      </c>
      <c r="M7">
        <f>K7*L7</f>
        <v>0</v>
      </c>
      <c r="N7">
        <f t="shared" si="4"/>
        <v>0</v>
      </c>
      <c r="P7" t="e">
        <f>INDEX(Items!B$2:B$1032,MATCH($O7,Items!$A$2:$A$1032,0))</f>
        <v>#N/A</v>
      </c>
      <c r="Q7" t="e">
        <f>INDEX(Items!C$2:C$1032,MATCH($O7,Items!$A$2:$A$1032,0))</f>
        <v>#N/A</v>
      </c>
      <c r="R7" t="e">
        <f>INDEX(Items!D$2:D$1032,MATCH($O7,Items!$A$2:$A$1032,0))</f>
        <v>#N/A</v>
      </c>
    </row>
    <row r="8" spans="1:19" x14ac:dyDescent="0.25">
      <c r="A8">
        <f t="shared" si="0"/>
        <v>1</v>
      </c>
      <c r="B8" t="str">
        <f t="shared" si="1"/>
        <v/>
      </c>
      <c r="C8">
        <f>IF(OR(B8="",B8&lt;&gt;B7),1,C7+1)</f>
        <v>1</v>
      </c>
      <c r="D8" s="4"/>
      <c r="F8" t="e">
        <f>INDEX(Establishment!B$2:B$1005,MATCH($E8,Establishment!$A$2:$A$1005,0))</f>
        <v>#N/A</v>
      </c>
      <c r="G8" t="e">
        <f>INDEX(Establishment!C$2:C$1005,MATCH($E8,Establishment!$A$2:$A$1005,0))</f>
        <v>#N/A</v>
      </c>
      <c r="M8">
        <f>K8*L8</f>
        <v>0</v>
      </c>
      <c r="N8">
        <f t="shared" si="4"/>
        <v>0</v>
      </c>
      <c r="P8" t="e">
        <f>INDEX(Items!B$2:B$1032,MATCH($O8,Items!$A$2:$A$1032,0))</f>
        <v>#N/A</v>
      </c>
      <c r="Q8" t="e">
        <f>INDEX(Items!C$2:C$1032,MATCH($O8,Items!$A$2:$A$1032,0))</f>
        <v>#N/A</v>
      </c>
      <c r="R8" t="e">
        <f>INDEX(Items!D$2:D$1032,MATCH($O8,Items!$A$2:$A$1032,0))</f>
        <v>#N/A</v>
      </c>
    </row>
    <row r="9" spans="1:19" x14ac:dyDescent="0.25">
      <c r="A9">
        <f t="shared" si="0"/>
        <v>1</v>
      </c>
      <c r="B9" t="str">
        <f t="shared" si="1"/>
        <v/>
      </c>
      <c r="C9">
        <f>IF(OR(B9="",B9&lt;&gt;B8),1,C8+1)</f>
        <v>1</v>
      </c>
      <c r="D9" s="4"/>
      <c r="F9" t="e">
        <f>INDEX(Establishment!B$2:B$1005,MATCH($E9,Establishment!$A$2:$A$1005,0))</f>
        <v>#N/A</v>
      </c>
      <c r="G9" t="e">
        <f>INDEX(Establishment!C$2:C$1005,MATCH($E9,Establishment!$A$2:$A$1005,0))</f>
        <v>#N/A</v>
      </c>
      <c r="M9">
        <f>K9*L9</f>
        <v>0</v>
      </c>
      <c r="N9">
        <f t="shared" si="4"/>
        <v>0</v>
      </c>
      <c r="P9" t="e">
        <f>INDEX(Items!B$2:B$1032,MATCH($O9,Items!$A$2:$A$1032,0))</f>
        <v>#N/A</v>
      </c>
      <c r="Q9" t="e">
        <f>INDEX(Items!C$2:C$1032,MATCH($O9,Items!$A$2:$A$1032,0))</f>
        <v>#N/A</v>
      </c>
      <c r="R9" t="e">
        <f>INDEX(Items!D$2:D$1032,MATCH($O9,Items!$A$2:$A$1032,0))</f>
        <v>#N/A</v>
      </c>
    </row>
    <row r="10" spans="1:19" x14ac:dyDescent="0.25">
      <c r="A10">
        <f t="shared" si="0"/>
        <v>1</v>
      </c>
      <c r="B10" t="str">
        <f t="shared" si="1"/>
        <v/>
      </c>
      <c r="C10">
        <f t="shared" ref="C10:C73" si="5">IF(OR(B10="",B10&lt;&gt;B9),1,C9+1)</f>
        <v>1</v>
      </c>
      <c r="D10" s="4"/>
      <c r="F10" t="e">
        <f>INDEX(Establishment!B$2:B$1005,MATCH($E10,Establishment!$A$2:$A$1005,0))</f>
        <v>#N/A</v>
      </c>
      <c r="G10" t="e">
        <f>INDEX(Establishment!C$2:C$1005,MATCH($E10,Establishment!$A$2:$A$1005,0))</f>
        <v>#N/A</v>
      </c>
      <c r="M10">
        <f t="shared" ref="M10:M73" si="6">K10*L10</f>
        <v>0</v>
      </c>
      <c r="N10">
        <f t="shared" si="4"/>
        <v>0</v>
      </c>
      <c r="P10" t="e">
        <f>INDEX(Items!B$2:B$1032,MATCH($O10,Items!$A$2:$A$1032,0))</f>
        <v>#N/A</v>
      </c>
      <c r="Q10" t="e">
        <f>INDEX(Items!C$2:C$1032,MATCH($O10,Items!$A$2:$A$1032,0))</f>
        <v>#N/A</v>
      </c>
      <c r="R10" t="e">
        <f>INDEX(Items!D$2:D$1032,MATCH($O10,Items!$A$2:$A$1032,0))</f>
        <v>#N/A</v>
      </c>
    </row>
    <row r="11" spans="1:19" x14ac:dyDescent="0.25">
      <c r="A11">
        <f t="shared" si="0"/>
        <v>1</v>
      </c>
      <c r="B11" t="str">
        <f t="shared" si="1"/>
        <v/>
      </c>
      <c r="C11">
        <f t="shared" si="5"/>
        <v>1</v>
      </c>
      <c r="D11" s="4"/>
      <c r="F11" t="e">
        <f>INDEX(Establishment!B$2:B$1005,MATCH($E11,Establishment!$A$2:$A$1005,0))</f>
        <v>#N/A</v>
      </c>
      <c r="G11" t="e">
        <f>INDEX(Establishment!C$2:C$1005,MATCH($E11,Establishment!$A$2:$A$1005,0))</f>
        <v>#N/A</v>
      </c>
      <c r="M11">
        <f t="shared" si="6"/>
        <v>0</v>
      </c>
      <c r="N11">
        <f t="shared" si="4"/>
        <v>0</v>
      </c>
      <c r="P11" t="e">
        <f>INDEX(Items!B$2:B$1032,MATCH($O11,Items!$A$2:$A$1032,0))</f>
        <v>#N/A</v>
      </c>
      <c r="Q11" t="e">
        <f>INDEX(Items!C$2:C$1032,MATCH($O11,Items!$A$2:$A$1032,0))</f>
        <v>#N/A</v>
      </c>
      <c r="R11" t="e">
        <f>INDEX(Items!D$2:D$1032,MATCH($O11,Items!$A$2:$A$1032,0))</f>
        <v>#N/A</v>
      </c>
    </row>
    <row r="12" spans="1:19" x14ac:dyDescent="0.25">
      <c r="A12">
        <f t="shared" si="0"/>
        <v>1</v>
      </c>
      <c r="B12" t="str">
        <f t="shared" si="1"/>
        <v/>
      </c>
      <c r="C12">
        <f t="shared" si="5"/>
        <v>1</v>
      </c>
      <c r="D12" s="4"/>
      <c r="F12" t="e">
        <f>INDEX(Establishment!B$2:B$1005,MATCH($E12,Establishment!$A$2:$A$1005,0))</f>
        <v>#N/A</v>
      </c>
      <c r="G12" t="e">
        <f>INDEX(Establishment!C$2:C$1005,MATCH($E12,Establishment!$A$2:$A$1005,0))</f>
        <v>#N/A</v>
      </c>
      <c r="M12">
        <f t="shared" si="6"/>
        <v>0</v>
      </c>
      <c r="N12">
        <f t="shared" si="4"/>
        <v>0</v>
      </c>
      <c r="P12" t="e">
        <f>INDEX(Items!B$2:B$1032,MATCH($O12,Items!$A$2:$A$1032,0))</f>
        <v>#N/A</v>
      </c>
      <c r="Q12" t="e">
        <f>INDEX(Items!C$2:C$1032,MATCH($O12,Items!$A$2:$A$1032,0))</f>
        <v>#N/A</v>
      </c>
      <c r="R12" t="e">
        <f>INDEX(Items!D$2:D$1032,MATCH($O12,Items!$A$2:$A$1032,0))</f>
        <v>#N/A</v>
      </c>
    </row>
    <row r="13" spans="1:19" x14ac:dyDescent="0.25">
      <c r="A13">
        <f t="shared" si="0"/>
        <v>1</v>
      </c>
      <c r="B13" t="str">
        <f t="shared" si="1"/>
        <v/>
      </c>
      <c r="C13">
        <f t="shared" si="5"/>
        <v>1</v>
      </c>
      <c r="D13" s="4"/>
      <c r="F13" t="e">
        <f>INDEX(Establishment!B$2:B$1005,MATCH($E13,Establishment!$A$2:$A$1005,0))</f>
        <v>#N/A</v>
      </c>
      <c r="G13" t="e">
        <f>INDEX(Establishment!C$2:C$1005,MATCH($E13,Establishment!$A$2:$A$1005,0))</f>
        <v>#N/A</v>
      </c>
      <c r="M13">
        <f t="shared" si="6"/>
        <v>0</v>
      </c>
      <c r="N13">
        <f t="shared" si="4"/>
        <v>0</v>
      </c>
      <c r="P13" t="e">
        <f>INDEX(Items!B$2:B$1032,MATCH($O13,Items!$A$2:$A$1032,0))</f>
        <v>#N/A</v>
      </c>
      <c r="Q13" t="e">
        <f>INDEX(Items!C$2:C$1032,MATCH($O13,Items!$A$2:$A$1032,0))</f>
        <v>#N/A</v>
      </c>
      <c r="R13" t="e">
        <f>INDEX(Items!D$2:D$1032,MATCH($O13,Items!$A$2:$A$1032,0))</f>
        <v>#N/A</v>
      </c>
    </row>
    <row r="14" spans="1:19" x14ac:dyDescent="0.25">
      <c r="A14">
        <f t="shared" si="0"/>
        <v>1</v>
      </c>
      <c r="B14" t="str">
        <f t="shared" si="1"/>
        <v/>
      </c>
      <c r="C14">
        <f t="shared" si="5"/>
        <v>1</v>
      </c>
      <c r="D14" s="4"/>
      <c r="F14" t="e">
        <f>INDEX(Establishment!B$2:B$1005,MATCH($E14,Establishment!$A$2:$A$1005,0))</f>
        <v>#N/A</v>
      </c>
      <c r="G14" t="e">
        <f>INDEX(Establishment!C$2:C$1005,MATCH($E14,Establishment!$A$2:$A$1005,0))</f>
        <v>#N/A</v>
      </c>
      <c r="M14">
        <f t="shared" si="6"/>
        <v>0</v>
      </c>
      <c r="N14">
        <f t="shared" si="4"/>
        <v>0</v>
      </c>
      <c r="P14" t="e">
        <f>INDEX(Items!B$2:B$1032,MATCH($O14,Items!$A$2:$A$1032,0))</f>
        <v>#N/A</v>
      </c>
      <c r="Q14" t="e">
        <f>INDEX(Items!C$2:C$1032,MATCH($O14,Items!$A$2:$A$1032,0))</f>
        <v>#N/A</v>
      </c>
      <c r="R14" t="e">
        <f>INDEX(Items!D$2:D$1032,MATCH($O14,Items!$A$2:$A$1032,0))</f>
        <v>#N/A</v>
      </c>
    </row>
    <row r="15" spans="1:19" x14ac:dyDescent="0.25">
      <c r="A15">
        <f t="shared" si="0"/>
        <v>1</v>
      </c>
      <c r="B15" t="str">
        <f t="shared" si="1"/>
        <v/>
      </c>
      <c r="C15">
        <f t="shared" si="5"/>
        <v>1</v>
      </c>
      <c r="D15" s="4"/>
      <c r="F15" t="e">
        <f>INDEX(Establishment!B$2:B$1005,MATCH($E15,Establishment!$A$2:$A$1005,0))</f>
        <v>#N/A</v>
      </c>
      <c r="G15" t="e">
        <f>INDEX(Establishment!C$2:C$1005,MATCH($E15,Establishment!$A$2:$A$1005,0))</f>
        <v>#N/A</v>
      </c>
      <c r="M15">
        <f>K15*L15</f>
        <v>0</v>
      </c>
      <c r="N15">
        <f t="shared" si="4"/>
        <v>0</v>
      </c>
      <c r="P15" t="e">
        <f>INDEX(Items!B$2:B$1032,MATCH($O15,Items!$A$2:$A$1032,0))</f>
        <v>#N/A</v>
      </c>
      <c r="Q15" t="e">
        <f>INDEX(Items!C$2:C$1032,MATCH($O15,Items!$A$2:$A$1032,0))</f>
        <v>#N/A</v>
      </c>
      <c r="R15" t="e">
        <f>INDEX(Items!D$2:D$1032,MATCH($O15,Items!$A$2:$A$1032,0))</f>
        <v>#N/A</v>
      </c>
    </row>
    <row r="16" spans="1:19" x14ac:dyDescent="0.25">
      <c r="A16">
        <f t="shared" si="0"/>
        <v>1</v>
      </c>
      <c r="B16" t="str">
        <f t="shared" si="1"/>
        <v/>
      </c>
      <c r="C16">
        <f t="shared" si="5"/>
        <v>1</v>
      </c>
      <c r="D16" s="4"/>
      <c r="F16" t="e">
        <f>INDEX(Establishment!B$2:B$1005,MATCH($E16,Establishment!$A$2:$A$1005,0))</f>
        <v>#N/A</v>
      </c>
      <c r="G16" t="e">
        <f>INDEX(Establishment!C$2:C$1005,MATCH($E16,Establishment!$A$2:$A$1005,0))</f>
        <v>#N/A</v>
      </c>
      <c r="M16">
        <f t="shared" si="6"/>
        <v>0</v>
      </c>
      <c r="N16">
        <f t="shared" si="4"/>
        <v>0</v>
      </c>
      <c r="P16" t="e">
        <f>INDEX(Items!B$2:B$1032,MATCH($O16,Items!$A$2:$A$1032,0))</f>
        <v>#N/A</v>
      </c>
      <c r="Q16" t="e">
        <f>INDEX(Items!C$2:C$1032,MATCH($O16,Items!$A$2:$A$1032,0))</f>
        <v>#N/A</v>
      </c>
      <c r="R16" t="e">
        <f>INDEX(Items!D$2:D$1032,MATCH($O16,Items!$A$2:$A$1032,0))</f>
        <v>#N/A</v>
      </c>
    </row>
    <row r="17" spans="1:18" x14ac:dyDescent="0.25">
      <c r="A17">
        <f t="shared" si="0"/>
        <v>1</v>
      </c>
      <c r="B17" t="str">
        <f t="shared" si="1"/>
        <v/>
      </c>
      <c r="C17">
        <f t="shared" si="5"/>
        <v>1</v>
      </c>
      <c r="D17" s="4"/>
      <c r="F17" t="e">
        <f>INDEX(Establishment!B$2:B$1005,MATCH($E17,Establishment!$A$2:$A$1005,0))</f>
        <v>#N/A</v>
      </c>
      <c r="G17" t="e">
        <f>INDEX(Establishment!C$2:C$1005,MATCH($E17,Establishment!$A$2:$A$1005,0))</f>
        <v>#N/A</v>
      </c>
      <c r="M17">
        <f t="shared" si="6"/>
        <v>0</v>
      </c>
      <c r="N17">
        <f t="shared" si="4"/>
        <v>0</v>
      </c>
      <c r="P17" t="e">
        <f>INDEX(Items!B$2:B$1032,MATCH($O17,Items!$A$2:$A$1032,0))</f>
        <v>#N/A</v>
      </c>
      <c r="Q17" t="e">
        <f>INDEX(Items!C$2:C$1032,MATCH($O17,Items!$A$2:$A$1032,0))</f>
        <v>#N/A</v>
      </c>
      <c r="R17" t="e">
        <f>INDEX(Items!D$2:D$1032,MATCH($O17,Items!$A$2:$A$1032,0))</f>
        <v>#N/A</v>
      </c>
    </row>
    <row r="18" spans="1:18" x14ac:dyDescent="0.25">
      <c r="A18">
        <f t="shared" si="0"/>
        <v>1</v>
      </c>
      <c r="B18" t="str">
        <f t="shared" si="1"/>
        <v/>
      </c>
      <c r="C18">
        <f t="shared" si="5"/>
        <v>1</v>
      </c>
      <c r="D18" s="4"/>
      <c r="F18" t="e">
        <f>INDEX(Establishment!B$2:B$1005,MATCH($E18,Establishment!$A$2:$A$1005,0))</f>
        <v>#N/A</v>
      </c>
      <c r="G18" t="e">
        <f>INDEX(Establishment!C$2:C$1005,MATCH($E18,Establishment!$A$2:$A$1005,0))</f>
        <v>#N/A</v>
      </c>
      <c r="M18">
        <f t="shared" si="6"/>
        <v>0</v>
      </c>
      <c r="N18">
        <f t="shared" si="4"/>
        <v>0</v>
      </c>
      <c r="P18" t="e">
        <f>INDEX(Items!B$2:B$1032,MATCH($O18,Items!$A$2:$A$1032,0))</f>
        <v>#N/A</v>
      </c>
      <c r="Q18" t="e">
        <f>INDEX(Items!C$2:C$1032,MATCH($O18,Items!$A$2:$A$1032,0))</f>
        <v>#N/A</v>
      </c>
      <c r="R18" t="e">
        <f>INDEX(Items!D$2:D$1032,MATCH($O18,Items!$A$2:$A$1032,0))</f>
        <v>#N/A</v>
      </c>
    </row>
    <row r="19" spans="1:18" x14ac:dyDescent="0.25">
      <c r="A19">
        <f t="shared" si="0"/>
        <v>1</v>
      </c>
      <c r="B19" t="str">
        <f t="shared" si="1"/>
        <v/>
      </c>
      <c r="C19">
        <f t="shared" si="5"/>
        <v>1</v>
      </c>
      <c r="D19" s="4"/>
      <c r="F19" t="e">
        <f>INDEX(Establishment!B$2:B$1005,MATCH($E19,Establishment!$A$2:$A$1005,0))</f>
        <v>#N/A</v>
      </c>
      <c r="G19" t="e">
        <f>INDEX(Establishment!C$2:C$1005,MATCH($E19,Establishment!$A$2:$A$1005,0))</f>
        <v>#N/A</v>
      </c>
      <c r="M19">
        <f t="shared" si="6"/>
        <v>0</v>
      </c>
      <c r="N19">
        <f t="shared" si="4"/>
        <v>0</v>
      </c>
      <c r="P19" t="e">
        <f>INDEX(Items!B$2:B$1032,MATCH($O19,Items!$A$2:$A$1032,0))</f>
        <v>#N/A</v>
      </c>
      <c r="Q19" t="e">
        <f>INDEX(Items!C$2:C$1032,MATCH($O19,Items!$A$2:$A$1032,0))</f>
        <v>#N/A</v>
      </c>
      <c r="R19" t="e">
        <f>INDEX(Items!D$2:D$1032,MATCH($O19,Items!$A$2:$A$1032,0))</f>
        <v>#N/A</v>
      </c>
    </row>
    <row r="20" spans="1:18" x14ac:dyDescent="0.25">
      <c r="A20">
        <f t="shared" si="0"/>
        <v>1</v>
      </c>
      <c r="B20" t="str">
        <f t="shared" si="1"/>
        <v/>
      </c>
      <c r="C20">
        <f t="shared" si="5"/>
        <v>1</v>
      </c>
      <c r="D20" s="4"/>
      <c r="F20" t="e">
        <f>INDEX(Establishment!B$2:B$1005,MATCH($E20,Establishment!$A$2:$A$1005,0))</f>
        <v>#N/A</v>
      </c>
      <c r="G20" t="e">
        <f>INDEX(Establishment!C$2:C$1005,MATCH($E20,Establishment!$A$2:$A$1005,0))</f>
        <v>#N/A</v>
      </c>
      <c r="M20">
        <f t="shared" si="6"/>
        <v>0</v>
      </c>
      <c r="N20">
        <f t="shared" si="4"/>
        <v>0</v>
      </c>
      <c r="P20" t="e">
        <f>INDEX(Items!B$2:B$1032,MATCH($O20,Items!$A$2:$A$1032,0))</f>
        <v>#N/A</v>
      </c>
      <c r="Q20" t="e">
        <f>INDEX(Items!C$2:C$1032,MATCH($O20,Items!$A$2:$A$1032,0))</f>
        <v>#N/A</v>
      </c>
      <c r="R20" t="e">
        <f>INDEX(Items!D$2:D$1032,MATCH($O20,Items!$A$2:$A$1032,0))</f>
        <v>#N/A</v>
      </c>
    </row>
    <row r="21" spans="1:18" x14ac:dyDescent="0.25">
      <c r="A21">
        <f t="shared" si="0"/>
        <v>1</v>
      </c>
      <c r="B21" t="str">
        <f t="shared" si="1"/>
        <v/>
      </c>
      <c r="C21">
        <f t="shared" si="5"/>
        <v>1</v>
      </c>
      <c r="D21" s="4"/>
      <c r="F21" t="e">
        <f>INDEX(Establishment!B$2:B$1005,MATCH($E21,Establishment!$A$2:$A$1005,0))</f>
        <v>#N/A</v>
      </c>
      <c r="G21" t="e">
        <f>INDEX(Establishment!C$2:C$1005,MATCH($E21,Establishment!$A$2:$A$1005,0))</f>
        <v>#N/A</v>
      </c>
      <c r="M21">
        <f t="shared" si="6"/>
        <v>0</v>
      </c>
      <c r="N21">
        <f t="shared" si="4"/>
        <v>0</v>
      </c>
      <c r="P21" t="e">
        <f>INDEX(Items!B$2:B$1032,MATCH($O21,Items!$A$2:$A$1032,0))</f>
        <v>#N/A</v>
      </c>
      <c r="Q21" t="e">
        <f>INDEX(Items!C$2:C$1032,MATCH($O21,Items!$A$2:$A$1032,0))</f>
        <v>#N/A</v>
      </c>
      <c r="R21" t="e">
        <f>INDEX(Items!D$2:D$1032,MATCH($O21,Items!$A$2:$A$1032,0))</f>
        <v>#N/A</v>
      </c>
    </row>
    <row r="22" spans="1:18" x14ac:dyDescent="0.25">
      <c r="A22">
        <f t="shared" si="0"/>
        <v>1</v>
      </c>
      <c r="B22" t="str">
        <f t="shared" si="1"/>
        <v/>
      </c>
      <c r="C22">
        <f t="shared" si="5"/>
        <v>1</v>
      </c>
      <c r="D22" s="4"/>
      <c r="F22" t="e">
        <f>INDEX(Establishment!B$2:B$1005,MATCH($E22,Establishment!$A$2:$A$1005,0))</f>
        <v>#N/A</v>
      </c>
      <c r="G22" t="e">
        <f>INDEX(Establishment!C$2:C$1005,MATCH($E22,Establishment!$A$2:$A$1005,0))</f>
        <v>#N/A</v>
      </c>
      <c r="M22">
        <f t="shared" si="6"/>
        <v>0</v>
      </c>
      <c r="N22">
        <f t="shared" si="4"/>
        <v>0</v>
      </c>
      <c r="P22" t="e">
        <f>INDEX(Items!B$2:B$1032,MATCH($O22,Items!$A$2:$A$1032,0))</f>
        <v>#N/A</v>
      </c>
      <c r="Q22" t="e">
        <f>INDEX(Items!C$2:C$1032,MATCH($O22,Items!$A$2:$A$1032,0))</f>
        <v>#N/A</v>
      </c>
      <c r="R22" t="e">
        <f>INDEX(Items!D$2:D$1032,MATCH($O22,Items!$A$2:$A$1032,0))</f>
        <v>#N/A</v>
      </c>
    </row>
    <row r="23" spans="1:18" x14ac:dyDescent="0.25">
      <c r="A23">
        <f t="shared" si="0"/>
        <v>1</v>
      </c>
      <c r="B23" t="str">
        <f t="shared" si="1"/>
        <v/>
      </c>
      <c r="C23">
        <f t="shared" si="5"/>
        <v>1</v>
      </c>
      <c r="D23" s="4"/>
      <c r="F23" t="e">
        <f>INDEX(Establishment!B$2:B$1005,MATCH($E23,Establishment!$A$2:$A$1005,0))</f>
        <v>#N/A</v>
      </c>
      <c r="G23" t="e">
        <f>INDEX(Establishment!C$2:C$1005,MATCH($E23,Establishment!$A$2:$A$1005,0))</f>
        <v>#N/A</v>
      </c>
      <c r="M23">
        <f t="shared" si="6"/>
        <v>0</v>
      </c>
      <c r="N23">
        <f t="shared" si="4"/>
        <v>0</v>
      </c>
      <c r="P23" t="e">
        <f>INDEX(Items!B$2:B$1032,MATCH($O23,Items!$A$2:$A$1032,0))</f>
        <v>#N/A</v>
      </c>
      <c r="Q23" t="e">
        <f>INDEX(Items!C$2:C$1032,MATCH($O23,Items!$A$2:$A$1032,0))</f>
        <v>#N/A</v>
      </c>
      <c r="R23" t="e">
        <f>INDEX(Items!D$2:D$1032,MATCH($O23,Items!$A$2:$A$1032,0))</f>
        <v>#N/A</v>
      </c>
    </row>
    <row r="24" spans="1:18" x14ac:dyDescent="0.25">
      <c r="A24">
        <f t="shared" si="0"/>
        <v>1</v>
      </c>
      <c r="B24" t="str">
        <f t="shared" si="1"/>
        <v/>
      </c>
      <c r="C24">
        <f t="shared" si="5"/>
        <v>1</v>
      </c>
      <c r="D24" s="4"/>
      <c r="F24" t="e">
        <f>INDEX(Establishment!B$2:B$1005,MATCH($E24,Establishment!$A$2:$A$1005,0))</f>
        <v>#N/A</v>
      </c>
      <c r="G24" t="e">
        <f>INDEX(Establishment!C$2:C$1005,MATCH($E24,Establishment!$A$2:$A$1005,0))</f>
        <v>#N/A</v>
      </c>
      <c r="M24">
        <f t="shared" si="6"/>
        <v>0</v>
      </c>
      <c r="N24">
        <f t="shared" si="4"/>
        <v>0</v>
      </c>
      <c r="P24" t="e">
        <f>INDEX(Items!B$2:B$1032,MATCH($O24,Items!$A$2:$A$1032,0))</f>
        <v>#N/A</v>
      </c>
      <c r="Q24" t="e">
        <f>INDEX(Items!C$2:C$1032,MATCH($O24,Items!$A$2:$A$1032,0))</f>
        <v>#N/A</v>
      </c>
      <c r="R24" t="e">
        <f>INDEX(Items!D$2:D$1032,MATCH($O24,Items!$A$2:$A$1032,0))</f>
        <v>#N/A</v>
      </c>
    </row>
    <row r="25" spans="1:18" x14ac:dyDescent="0.25">
      <c r="A25">
        <f t="shared" si="0"/>
        <v>1</v>
      </c>
      <c r="B25" t="str">
        <f t="shared" si="1"/>
        <v/>
      </c>
      <c r="C25">
        <f t="shared" si="5"/>
        <v>1</v>
      </c>
      <c r="D25" s="4"/>
      <c r="F25" t="e">
        <f>INDEX(Establishment!B$2:B$1005,MATCH($E25,Establishment!$A$2:$A$1005,0))</f>
        <v>#N/A</v>
      </c>
      <c r="G25" t="e">
        <f>INDEX(Establishment!C$2:C$1005,MATCH($E25,Establishment!$A$2:$A$1005,0))</f>
        <v>#N/A</v>
      </c>
      <c r="M25">
        <f t="shared" si="6"/>
        <v>0</v>
      </c>
      <c r="N25">
        <f t="shared" si="4"/>
        <v>0</v>
      </c>
      <c r="P25" t="e">
        <f>INDEX(Items!B$2:B$1032,MATCH($O25,Items!$A$2:$A$1032,0))</f>
        <v>#N/A</v>
      </c>
      <c r="Q25" t="e">
        <f>INDEX(Items!C$2:C$1032,MATCH($O25,Items!$A$2:$A$1032,0))</f>
        <v>#N/A</v>
      </c>
      <c r="R25" t="e">
        <f>INDEX(Items!D$2:D$1032,MATCH($O25,Items!$A$2:$A$1032,0))</f>
        <v>#N/A</v>
      </c>
    </row>
    <row r="26" spans="1:18" x14ac:dyDescent="0.25">
      <c r="A26">
        <f t="shared" si="0"/>
        <v>1</v>
      </c>
      <c r="B26" t="str">
        <f t="shared" si="1"/>
        <v/>
      </c>
      <c r="C26">
        <f t="shared" si="5"/>
        <v>1</v>
      </c>
      <c r="D26" s="4"/>
      <c r="F26" t="s">
        <v>43</v>
      </c>
      <c r="G26" t="s">
        <v>44</v>
      </c>
      <c r="M26">
        <f t="shared" si="6"/>
        <v>0</v>
      </c>
      <c r="N26">
        <f t="shared" si="4"/>
        <v>0</v>
      </c>
      <c r="P26" t="e">
        <f>INDEX(Items!B$2:B$1032,MATCH($O26,Items!$A$2:$A$1032,0))</f>
        <v>#N/A</v>
      </c>
      <c r="Q26" t="e">
        <f>INDEX(Items!C$2:C$1032,MATCH($O26,Items!$A$2:$A$1032,0))</f>
        <v>#N/A</v>
      </c>
      <c r="R26" t="e">
        <f>INDEX(Items!D$2:D$1032,MATCH($O26,Items!$A$2:$A$1032,0))</f>
        <v>#N/A</v>
      </c>
    </row>
    <row r="27" spans="1:18" x14ac:dyDescent="0.25">
      <c r="A27">
        <f t="shared" si="0"/>
        <v>1</v>
      </c>
      <c r="B27" t="str">
        <f t="shared" si="1"/>
        <v/>
      </c>
      <c r="C27">
        <f t="shared" si="5"/>
        <v>1</v>
      </c>
      <c r="D27" s="4"/>
      <c r="F27" t="s">
        <v>43</v>
      </c>
      <c r="G27" t="s">
        <v>44</v>
      </c>
      <c r="M27">
        <f t="shared" si="6"/>
        <v>0</v>
      </c>
      <c r="N27">
        <f t="shared" si="4"/>
        <v>0</v>
      </c>
      <c r="P27" t="e">
        <f>INDEX(Items!B$2:B$1032,MATCH($O27,Items!$A$2:$A$1032,0))</f>
        <v>#N/A</v>
      </c>
      <c r="Q27" t="e">
        <f>INDEX(Items!C$2:C$1032,MATCH($O27,Items!$A$2:$A$1032,0))</f>
        <v>#N/A</v>
      </c>
      <c r="R27" t="e">
        <f>INDEX(Items!D$2:D$1032,MATCH($O27,Items!$A$2:$A$1032,0))</f>
        <v>#N/A</v>
      </c>
    </row>
    <row r="28" spans="1:18" x14ac:dyDescent="0.25">
      <c r="A28">
        <f t="shared" si="0"/>
        <v>1</v>
      </c>
      <c r="B28" t="str">
        <f t="shared" si="1"/>
        <v/>
      </c>
      <c r="C28">
        <f t="shared" si="5"/>
        <v>1</v>
      </c>
      <c r="D28" s="4"/>
      <c r="F28" t="s">
        <v>43</v>
      </c>
      <c r="G28" t="s">
        <v>44</v>
      </c>
      <c r="M28">
        <f t="shared" si="6"/>
        <v>0</v>
      </c>
      <c r="N28">
        <f t="shared" si="4"/>
        <v>0</v>
      </c>
      <c r="P28" t="e">
        <f>INDEX(Items!B$2:B$1032,MATCH($O28,Items!$A$2:$A$1032,0))</f>
        <v>#N/A</v>
      </c>
      <c r="Q28" t="e">
        <f>INDEX(Items!C$2:C$1032,MATCH($O28,Items!$A$2:$A$1032,0))</f>
        <v>#N/A</v>
      </c>
      <c r="R28" t="e">
        <f>INDEX(Items!D$2:D$1032,MATCH($O28,Items!$A$2:$A$1032,0))</f>
        <v>#N/A</v>
      </c>
    </row>
    <row r="29" spans="1:18" x14ac:dyDescent="0.25">
      <c r="A29">
        <f t="shared" si="0"/>
        <v>1</v>
      </c>
      <c r="B29" t="str">
        <f t="shared" si="1"/>
        <v/>
      </c>
      <c r="C29">
        <f t="shared" si="5"/>
        <v>1</v>
      </c>
      <c r="D29" s="4"/>
      <c r="F29" t="e">
        <f>INDEX(Establishment!B$2:B$1005,MATCH($E29,Establishment!$A$2:$A$1005,0))</f>
        <v>#N/A</v>
      </c>
      <c r="G29" t="e">
        <f>INDEX(Establishment!C$2:C$1005,MATCH($E29,Establishment!$A$2:$A$1005,0))</f>
        <v>#N/A</v>
      </c>
      <c r="M29">
        <f t="shared" si="6"/>
        <v>0</v>
      </c>
      <c r="N29">
        <f t="shared" si="4"/>
        <v>0</v>
      </c>
      <c r="P29" t="e">
        <f>INDEX(Items!B$2:B$1032,MATCH($O29,Items!$A$2:$A$1032,0))</f>
        <v>#N/A</v>
      </c>
      <c r="Q29" t="e">
        <f>INDEX(Items!C$2:C$1032,MATCH($O29,Items!$A$2:$A$1032,0))</f>
        <v>#N/A</v>
      </c>
      <c r="R29" t="e">
        <f>INDEX(Items!D$2:D$1032,MATCH($O29,Items!$A$2:$A$1032,0))</f>
        <v>#N/A</v>
      </c>
    </row>
    <row r="30" spans="1:18" x14ac:dyDescent="0.25">
      <c r="A30">
        <f t="shared" si="0"/>
        <v>1</v>
      </c>
      <c r="B30" t="str">
        <f t="shared" si="1"/>
        <v/>
      </c>
      <c r="C30">
        <f t="shared" si="5"/>
        <v>1</v>
      </c>
      <c r="D30" s="4"/>
      <c r="F30" t="e">
        <f>INDEX(Establishment!B$2:B$1005,MATCH($E30,Establishment!$A$2:$A$1005,0))</f>
        <v>#N/A</v>
      </c>
      <c r="G30" t="e">
        <f>INDEX(Establishment!C$2:C$1005,MATCH($E30,Establishment!$A$2:$A$1005,0))</f>
        <v>#N/A</v>
      </c>
      <c r="M30">
        <f t="shared" si="6"/>
        <v>0</v>
      </c>
      <c r="N30">
        <f t="shared" si="4"/>
        <v>0</v>
      </c>
      <c r="P30" t="e">
        <f>INDEX(Items!B$2:B$1032,MATCH($O30,Items!$A$2:$A$1032,0))</f>
        <v>#N/A</v>
      </c>
      <c r="Q30" t="e">
        <f>INDEX(Items!C$2:C$1032,MATCH($O30,Items!$A$2:$A$1032,0))</f>
        <v>#N/A</v>
      </c>
      <c r="R30" t="e">
        <f>INDEX(Items!D$2:D$1032,MATCH($O30,Items!$A$2:$A$1032,0))</f>
        <v>#N/A</v>
      </c>
    </row>
    <row r="31" spans="1:18" x14ac:dyDescent="0.25">
      <c r="A31">
        <f t="shared" si="0"/>
        <v>1</v>
      </c>
      <c r="B31" t="str">
        <f t="shared" si="1"/>
        <v/>
      </c>
      <c r="C31">
        <f t="shared" si="5"/>
        <v>1</v>
      </c>
      <c r="D31" s="4"/>
      <c r="F31" t="e">
        <f>INDEX(Establishment!B$2:B$1005,MATCH($E31,Establishment!$A$2:$A$1005,0))</f>
        <v>#N/A</v>
      </c>
      <c r="G31" t="e">
        <f>INDEX(Establishment!C$2:C$1005,MATCH($E31,Establishment!$A$2:$A$1005,0))</f>
        <v>#N/A</v>
      </c>
      <c r="M31">
        <f t="shared" si="6"/>
        <v>0</v>
      </c>
      <c r="N31">
        <f t="shared" si="4"/>
        <v>0</v>
      </c>
      <c r="P31" t="e">
        <f>INDEX(Items!B$2:B$1032,MATCH($O31,Items!$A$2:$A$1032,0))</f>
        <v>#N/A</v>
      </c>
      <c r="Q31" t="e">
        <f>INDEX(Items!C$2:C$1032,MATCH($O31,Items!$A$2:$A$1032,0))</f>
        <v>#N/A</v>
      </c>
      <c r="R31" t="e">
        <f>INDEX(Items!D$2:D$1032,MATCH($O31,Items!$A$2:$A$1032,0))</f>
        <v>#N/A</v>
      </c>
    </row>
    <row r="32" spans="1:18" x14ac:dyDescent="0.25">
      <c r="A32">
        <f t="shared" si="0"/>
        <v>1</v>
      </c>
      <c r="B32" t="str">
        <f t="shared" si="1"/>
        <v/>
      </c>
      <c r="C32">
        <f t="shared" si="5"/>
        <v>1</v>
      </c>
      <c r="D32" s="4"/>
      <c r="F32" t="s">
        <v>43</v>
      </c>
      <c r="G32" t="s">
        <v>46</v>
      </c>
      <c r="M32">
        <f t="shared" si="6"/>
        <v>0</v>
      </c>
      <c r="N32">
        <f t="shared" si="4"/>
        <v>0</v>
      </c>
      <c r="P32" t="e">
        <f>INDEX(Items!B$2:B$1032,MATCH($O32,Items!$A$2:$A$1032,0))</f>
        <v>#N/A</v>
      </c>
      <c r="Q32" t="e">
        <f>INDEX(Items!C$2:C$1032,MATCH($O32,Items!$A$2:$A$1032,0))</f>
        <v>#N/A</v>
      </c>
      <c r="R32" t="e">
        <f>INDEX(Items!D$2:D$1032,MATCH($O32,Items!$A$2:$A$1032,0))</f>
        <v>#N/A</v>
      </c>
    </row>
    <row r="33" spans="1:18" x14ac:dyDescent="0.25">
      <c r="A33">
        <f t="shared" si="0"/>
        <v>1</v>
      </c>
      <c r="B33" t="str">
        <f t="shared" si="1"/>
        <v/>
      </c>
      <c r="C33">
        <f t="shared" si="5"/>
        <v>1</v>
      </c>
      <c r="D33" s="4"/>
      <c r="F33" t="s">
        <v>43</v>
      </c>
      <c r="G33" t="s">
        <v>46</v>
      </c>
      <c r="M33">
        <f t="shared" si="6"/>
        <v>0</v>
      </c>
      <c r="N33">
        <f t="shared" si="4"/>
        <v>0</v>
      </c>
      <c r="P33" t="e">
        <f>INDEX(Items!B$2:B$1032,MATCH($O33,Items!$A$2:$A$1032,0))</f>
        <v>#N/A</v>
      </c>
      <c r="Q33" t="e">
        <f>INDEX(Items!C$2:C$1032,MATCH($O33,Items!$A$2:$A$1032,0))</f>
        <v>#N/A</v>
      </c>
      <c r="R33" t="e">
        <f>INDEX(Items!D$2:D$1032,MATCH($O33,Items!$A$2:$A$1032,0))</f>
        <v>#N/A</v>
      </c>
    </row>
    <row r="34" spans="1:18" x14ac:dyDescent="0.25">
      <c r="A34">
        <f t="shared" si="0"/>
        <v>1</v>
      </c>
      <c r="B34" t="str">
        <f t="shared" si="1"/>
        <v/>
      </c>
      <c r="C34">
        <f t="shared" si="5"/>
        <v>1</v>
      </c>
      <c r="D34" s="4"/>
      <c r="F34" t="s">
        <v>43</v>
      </c>
      <c r="G34" t="s">
        <v>46</v>
      </c>
      <c r="M34">
        <f t="shared" si="6"/>
        <v>0</v>
      </c>
      <c r="N34">
        <f t="shared" si="4"/>
        <v>0</v>
      </c>
      <c r="P34" t="e">
        <f>INDEX(Items!B$2:B$1032,MATCH($O34,Items!$A$2:$A$1032,0))</f>
        <v>#N/A</v>
      </c>
      <c r="Q34" t="e">
        <f>INDEX(Items!C$2:C$1032,MATCH($O34,Items!$A$2:$A$1032,0))</f>
        <v>#N/A</v>
      </c>
      <c r="R34" t="e">
        <f>INDEX(Items!D$2:D$1032,MATCH($O34,Items!$A$2:$A$1032,0))</f>
        <v>#N/A</v>
      </c>
    </row>
    <row r="35" spans="1:18" x14ac:dyDescent="0.25">
      <c r="A35">
        <f t="shared" si="0"/>
        <v>1</v>
      </c>
      <c r="B35" t="str">
        <f t="shared" si="1"/>
        <v/>
      </c>
      <c r="C35">
        <f t="shared" si="5"/>
        <v>1</v>
      </c>
      <c r="D35" s="4"/>
      <c r="F35" t="s">
        <v>43</v>
      </c>
      <c r="G35" t="s">
        <v>46</v>
      </c>
      <c r="M35">
        <f t="shared" si="6"/>
        <v>0</v>
      </c>
      <c r="N35">
        <f t="shared" si="4"/>
        <v>0</v>
      </c>
      <c r="P35" t="e">
        <f>INDEX(Items!B$2:B$1032,MATCH($O35,Items!$A$2:$A$1032,0))</f>
        <v>#N/A</v>
      </c>
      <c r="Q35" t="e">
        <f>INDEX(Items!C$2:C$1032,MATCH($O35,Items!$A$2:$A$1032,0))</f>
        <v>#N/A</v>
      </c>
      <c r="R35" t="e">
        <f>INDEX(Items!D$2:D$1032,MATCH($O35,Items!$A$2:$A$1032,0))</f>
        <v>#N/A</v>
      </c>
    </row>
    <row r="36" spans="1:18" x14ac:dyDescent="0.25">
      <c r="A36">
        <f t="shared" si="0"/>
        <v>1</v>
      </c>
      <c r="B36" t="str">
        <f t="shared" si="1"/>
        <v/>
      </c>
      <c r="C36">
        <f t="shared" si="5"/>
        <v>1</v>
      </c>
      <c r="D36" s="4"/>
      <c r="F36" t="s">
        <v>47</v>
      </c>
      <c r="G36" t="s">
        <v>46</v>
      </c>
      <c r="M36">
        <f t="shared" si="6"/>
        <v>0</v>
      </c>
      <c r="N36">
        <f t="shared" si="4"/>
        <v>0</v>
      </c>
      <c r="P36" t="e">
        <f>INDEX(Items!B$2:B$1032,MATCH($O36,Items!$A$2:$A$1032,0))</f>
        <v>#N/A</v>
      </c>
      <c r="Q36" t="e">
        <f>INDEX(Items!C$2:C$1032,MATCH($O36,Items!$A$2:$A$1032,0))</f>
        <v>#N/A</v>
      </c>
      <c r="R36" t="e">
        <f>INDEX(Items!D$2:D$1032,MATCH($O36,Items!$A$2:$A$1032,0))</f>
        <v>#N/A</v>
      </c>
    </row>
    <row r="37" spans="1:18" x14ac:dyDescent="0.25">
      <c r="A37">
        <f t="shared" si="0"/>
        <v>1</v>
      </c>
      <c r="B37" t="str">
        <f t="shared" si="1"/>
        <v/>
      </c>
      <c r="C37">
        <f t="shared" si="5"/>
        <v>1</v>
      </c>
      <c r="D37" s="4"/>
      <c r="F37" t="s">
        <v>47</v>
      </c>
      <c r="G37" t="s">
        <v>46</v>
      </c>
      <c r="M37">
        <f t="shared" si="6"/>
        <v>0</v>
      </c>
      <c r="N37">
        <f t="shared" si="4"/>
        <v>0</v>
      </c>
      <c r="P37" t="e">
        <f>INDEX(Items!B$2:B$1032,MATCH($O37,Items!$A$2:$A$1032,0))</f>
        <v>#N/A</v>
      </c>
      <c r="Q37" t="e">
        <f>INDEX(Items!C$2:C$1032,MATCH($O37,Items!$A$2:$A$1032,0))</f>
        <v>#N/A</v>
      </c>
      <c r="R37" t="e">
        <f>INDEX(Items!D$2:D$1032,MATCH($O37,Items!$A$2:$A$1032,0))</f>
        <v>#N/A</v>
      </c>
    </row>
    <row r="38" spans="1:18" x14ac:dyDescent="0.25">
      <c r="A38">
        <f t="shared" si="0"/>
        <v>1</v>
      </c>
      <c r="B38" t="str">
        <f t="shared" si="1"/>
        <v/>
      </c>
      <c r="C38">
        <f t="shared" si="5"/>
        <v>1</v>
      </c>
      <c r="D38" s="4"/>
      <c r="F38" t="s">
        <v>47</v>
      </c>
      <c r="G38" t="s">
        <v>46</v>
      </c>
      <c r="M38">
        <f t="shared" si="6"/>
        <v>0</v>
      </c>
      <c r="N38">
        <f t="shared" si="4"/>
        <v>0</v>
      </c>
      <c r="P38" t="e">
        <f>INDEX(Items!B$2:B$1032,MATCH($O38,Items!$A$2:$A$1032,0))</f>
        <v>#N/A</v>
      </c>
      <c r="Q38" t="e">
        <f>INDEX(Items!C$2:C$1032,MATCH($O38,Items!$A$2:$A$1032,0))</f>
        <v>#N/A</v>
      </c>
      <c r="R38" t="e">
        <f>INDEX(Items!D$2:D$1032,MATCH($O38,Items!$A$2:$A$1032,0))</f>
        <v>#N/A</v>
      </c>
    </row>
    <row r="39" spans="1:18" x14ac:dyDescent="0.25">
      <c r="A39">
        <f t="shared" si="0"/>
        <v>1</v>
      </c>
      <c r="B39" t="str">
        <f t="shared" si="1"/>
        <v/>
      </c>
      <c r="C39">
        <f t="shared" si="5"/>
        <v>1</v>
      </c>
      <c r="D39" s="4"/>
      <c r="F39" t="s">
        <v>47</v>
      </c>
      <c r="G39" t="s">
        <v>46</v>
      </c>
      <c r="M39">
        <f t="shared" si="6"/>
        <v>0</v>
      </c>
      <c r="N39">
        <f t="shared" si="4"/>
        <v>0</v>
      </c>
      <c r="P39" t="e">
        <f>INDEX(Items!B$2:B$1032,MATCH($O39,Items!$A$2:$A$1032,0))</f>
        <v>#N/A</v>
      </c>
      <c r="Q39" t="e">
        <f>INDEX(Items!C$2:C$1032,MATCH($O39,Items!$A$2:$A$1032,0))</f>
        <v>#N/A</v>
      </c>
      <c r="R39" t="e">
        <f>INDEX(Items!D$2:D$1032,MATCH($O39,Items!$A$2:$A$1032,0))</f>
        <v>#N/A</v>
      </c>
    </row>
    <row r="40" spans="1:18" x14ac:dyDescent="0.25">
      <c r="A40">
        <f t="shared" si="0"/>
        <v>1</v>
      </c>
      <c r="B40" t="str">
        <f t="shared" si="1"/>
        <v/>
      </c>
      <c r="C40">
        <f t="shared" si="5"/>
        <v>1</v>
      </c>
      <c r="D40" s="4"/>
      <c r="F40" t="s">
        <v>47</v>
      </c>
      <c r="G40" t="s">
        <v>46</v>
      </c>
      <c r="M40">
        <f t="shared" si="6"/>
        <v>0</v>
      </c>
      <c r="N40">
        <f t="shared" si="4"/>
        <v>0</v>
      </c>
      <c r="P40" t="e">
        <f>INDEX(Items!B$2:B$1032,MATCH($O40,Items!$A$2:$A$1032,0))</f>
        <v>#N/A</v>
      </c>
      <c r="Q40" t="e">
        <f>INDEX(Items!C$2:C$1032,MATCH($O40,Items!$A$2:$A$1032,0))</f>
        <v>#N/A</v>
      </c>
      <c r="R40" t="e">
        <f>INDEX(Items!D$2:D$1032,MATCH($O40,Items!$A$2:$A$1032,0))</f>
        <v>#N/A</v>
      </c>
    </row>
    <row r="41" spans="1:18" x14ac:dyDescent="0.25">
      <c r="A41">
        <f t="shared" si="0"/>
        <v>1</v>
      </c>
      <c r="B41" t="str">
        <f t="shared" si="1"/>
        <v/>
      </c>
      <c r="C41">
        <f t="shared" si="5"/>
        <v>1</v>
      </c>
      <c r="D41" s="4"/>
      <c r="F41" t="s">
        <v>47</v>
      </c>
      <c r="G41" t="s">
        <v>46</v>
      </c>
      <c r="M41">
        <f t="shared" si="6"/>
        <v>0</v>
      </c>
      <c r="N41">
        <f t="shared" si="4"/>
        <v>0</v>
      </c>
      <c r="P41" t="e">
        <f>INDEX(Items!B$2:B$1032,MATCH($O41,Items!$A$2:$A$1032,0))</f>
        <v>#N/A</v>
      </c>
      <c r="Q41" t="e">
        <f>INDEX(Items!C$2:C$1032,MATCH($O41,Items!$A$2:$A$1032,0))</f>
        <v>#N/A</v>
      </c>
      <c r="R41" t="e">
        <f>INDEX(Items!D$2:D$1032,MATCH($O41,Items!$A$2:$A$1032,0))</f>
        <v>#N/A</v>
      </c>
    </row>
    <row r="42" spans="1:18" x14ac:dyDescent="0.25">
      <c r="A42">
        <f t="shared" si="0"/>
        <v>1</v>
      </c>
      <c r="B42" t="str">
        <f t="shared" si="1"/>
        <v/>
      </c>
      <c r="C42">
        <f t="shared" si="5"/>
        <v>1</v>
      </c>
      <c r="D42" s="4"/>
      <c r="F42" t="s">
        <v>47</v>
      </c>
      <c r="G42" t="s">
        <v>46</v>
      </c>
      <c r="M42">
        <f t="shared" si="6"/>
        <v>0</v>
      </c>
      <c r="N42">
        <f t="shared" si="4"/>
        <v>0</v>
      </c>
      <c r="P42" t="e">
        <f>INDEX(Items!B$2:B$1032,MATCH($O42,Items!$A$2:$A$1032,0))</f>
        <v>#N/A</v>
      </c>
      <c r="Q42" t="e">
        <f>INDEX(Items!C$2:C$1032,MATCH($O42,Items!$A$2:$A$1032,0))</f>
        <v>#N/A</v>
      </c>
      <c r="R42" t="e">
        <f>INDEX(Items!D$2:D$1032,MATCH($O42,Items!$A$2:$A$1032,0))</f>
        <v>#N/A</v>
      </c>
    </row>
    <row r="43" spans="1:18" x14ac:dyDescent="0.25">
      <c r="A43">
        <f t="shared" si="0"/>
        <v>1</v>
      </c>
      <c r="B43" t="str">
        <f t="shared" si="1"/>
        <v/>
      </c>
      <c r="C43">
        <f t="shared" si="5"/>
        <v>1</v>
      </c>
      <c r="D43" s="4"/>
      <c r="F43" t="s">
        <v>47</v>
      </c>
      <c r="G43" t="s">
        <v>46</v>
      </c>
      <c r="M43">
        <f t="shared" si="6"/>
        <v>0</v>
      </c>
      <c r="N43">
        <f t="shared" si="4"/>
        <v>0</v>
      </c>
      <c r="P43" t="e">
        <f>INDEX(Items!B$2:B$1032,MATCH($O43,Items!$A$2:$A$1032,0))</f>
        <v>#N/A</v>
      </c>
      <c r="Q43" t="e">
        <f>INDEX(Items!C$2:C$1032,MATCH($O43,Items!$A$2:$A$1032,0))</f>
        <v>#N/A</v>
      </c>
      <c r="R43" t="e">
        <f>INDEX(Items!D$2:D$1032,MATCH($O43,Items!$A$2:$A$1032,0))</f>
        <v>#N/A</v>
      </c>
    </row>
    <row r="44" spans="1:18" x14ac:dyDescent="0.25">
      <c r="A44">
        <f t="shared" si="0"/>
        <v>1</v>
      </c>
      <c r="B44" t="str">
        <f t="shared" si="1"/>
        <v/>
      </c>
      <c r="C44">
        <f t="shared" si="5"/>
        <v>1</v>
      </c>
      <c r="D44" s="4"/>
      <c r="F44" t="s">
        <v>43</v>
      </c>
      <c r="G44" t="s">
        <v>48</v>
      </c>
      <c r="M44">
        <f t="shared" si="6"/>
        <v>0</v>
      </c>
      <c r="N44">
        <f t="shared" si="4"/>
        <v>0</v>
      </c>
      <c r="P44" t="e">
        <f>INDEX(Items!B$2:B$1032,MATCH($O44,Items!$A$2:$A$1032,0))</f>
        <v>#N/A</v>
      </c>
      <c r="Q44" t="e">
        <f>INDEX(Items!C$2:C$1032,MATCH($O44,Items!$A$2:$A$1032,0))</f>
        <v>#N/A</v>
      </c>
      <c r="R44" t="e">
        <f>INDEX(Items!D$2:D$1032,MATCH($O44,Items!$A$2:$A$1032,0))</f>
        <v>#N/A</v>
      </c>
    </row>
    <row r="45" spans="1:18" x14ac:dyDescent="0.25">
      <c r="A45">
        <f t="shared" si="0"/>
        <v>1</v>
      </c>
      <c r="B45" t="str">
        <f t="shared" si="1"/>
        <v/>
      </c>
      <c r="C45">
        <f t="shared" si="5"/>
        <v>1</v>
      </c>
      <c r="D45" s="4"/>
      <c r="F45" t="s">
        <v>43</v>
      </c>
      <c r="G45" t="s">
        <v>48</v>
      </c>
      <c r="M45">
        <f t="shared" si="6"/>
        <v>0</v>
      </c>
      <c r="N45">
        <f t="shared" si="4"/>
        <v>0</v>
      </c>
      <c r="P45" t="e">
        <f>INDEX(Items!B$2:B$1032,MATCH($O45,Items!$A$2:$A$1032,0))</f>
        <v>#N/A</v>
      </c>
      <c r="Q45" t="e">
        <f>INDEX(Items!C$2:C$1032,MATCH($O45,Items!$A$2:$A$1032,0))</f>
        <v>#N/A</v>
      </c>
      <c r="R45" t="e">
        <f>INDEX(Items!D$2:D$1032,MATCH($O45,Items!$A$2:$A$1032,0))</f>
        <v>#N/A</v>
      </c>
    </row>
    <row r="46" spans="1:18" x14ac:dyDescent="0.25">
      <c r="A46">
        <f t="shared" si="0"/>
        <v>1</v>
      </c>
      <c r="B46" t="str">
        <f t="shared" si="1"/>
        <v/>
      </c>
      <c r="C46">
        <f t="shared" si="5"/>
        <v>1</v>
      </c>
      <c r="D46" s="4"/>
      <c r="F46" t="e">
        <f>INDEX(Establishment!B$2:B$1005,MATCH($E46,Establishment!$A$2:$A$1005,0))</f>
        <v>#N/A</v>
      </c>
      <c r="G46" t="e">
        <f>INDEX(Establishment!C$2:C$1005,MATCH($E46,Establishment!$A$2:$A$1005,0))</f>
        <v>#N/A</v>
      </c>
      <c r="M46">
        <f t="shared" si="6"/>
        <v>0</v>
      </c>
      <c r="N46">
        <f t="shared" si="4"/>
        <v>0</v>
      </c>
      <c r="P46" t="e">
        <f>INDEX(Items!B$2:B$1032,MATCH($O46,Items!$A$2:$A$1032,0))</f>
        <v>#N/A</v>
      </c>
      <c r="Q46" t="e">
        <f>INDEX(Items!C$2:C$1032,MATCH($O46,Items!$A$2:$A$1032,0))</f>
        <v>#N/A</v>
      </c>
      <c r="R46" t="e">
        <f>INDEX(Items!D$2:D$1032,MATCH($O46,Items!$A$2:$A$1032,0))</f>
        <v>#N/A</v>
      </c>
    </row>
    <row r="47" spans="1:18" x14ac:dyDescent="0.25">
      <c r="A47">
        <f t="shared" si="0"/>
        <v>1</v>
      </c>
      <c r="B47" t="str">
        <f t="shared" si="1"/>
        <v/>
      </c>
      <c r="C47">
        <f t="shared" si="5"/>
        <v>1</v>
      </c>
      <c r="D47" s="4"/>
      <c r="F47" t="e">
        <f>INDEX(Establishment!B$2:B$1005,MATCH($E47,Establishment!$A$2:$A$1005,0))</f>
        <v>#N/A</v>
      </c>
      <c r="G47" t="e">
        <f>INDEX(Establishment!C$2:C$1005,MATCH($E47,Establishment!$A$2:$A$1005,0))</f>
        <v>#N/A</v>
      </c>
      <c r="M47">
        <f t="shared" si="6"/>
        <v>0</v>
      </c>
      <c r="N47">
        <f t="shared" si="4"/>
        <v>0</v>
      </c>
      <c r="P47" t="e">
        <f>INDEX(Items!B$2:B$1032,MATCH($O47,Items!$A$2:$A$1032,0))</f>
        <v>#N/A</v>
      </c>
      <c r="Q47" t="e">
        <f>INDEX(Items!C$2:C$1032,MATCH($O47,Items!$A$2:$A$1032,0))</f>
        <v>#N/A</v>
      </c>
      <c r="R47" t="e">
        <f>INDEX(Items!D$2:D$1032,MATCH($O47,Items!$A$2:$A$1032,0))</f>
        <v>#N/A</v>
      </c>
    </row>
    <row r="48" spans="1:18" x14ac:dyDescent="0.25">
      <c r="A48">
        <f t="shared" si="0"/>
        <v>1</v>
      </c>
      <c r="B48" t="str">
        <f t="shared" si="1"/>
        <v/>
      </c>
      <c r="C48">
        <f t="shared" si="5"/>
        <v>1</v>
      </c>
      <c r="D48" s="4"/>
      <c r="F48" t="e">
        <f>INDEX(Establishment!B$2:B$1005,MATCH($E48,Establishment!$A$2:$A$1005,0))</f>
        <v>#N/A</v>
      </c>
      <c r="G48" t="e">
        <f>INDEX(Establishment!C$2:C$1005,MATCH($E48,Establishment!$A$2:$A$1005,0))</f>
        <v>#N/A</v>
      </c>
      <c r="M48">
        <f t="shared" si="6"/>
        <v>0</v>
      </c>
      <c r="N48">
        <f t="shared" si="4"/>
        <v>0</v>
      </c>
      <c r="P48" t="e">
        <f>INDEX(Items!B$2:B$1032,MATCH($O48,Items!$A$2:$A$1032,0))</f>
        <v>#N/A</v>
      </c>
      <c r="Q48" t="e">
        <f>INDEX(Items!C$2:C$1032,MATCH($O48,Items!$A$2:$A$1032,0))</f>
        <v>#N/A</v>
      </c>
      <c r="R48" t="e">
        <f>INDEX(Items!D$2:D$1032,MATCH($O48,Items!$A$2:$A$1032,0))</f>
        <v>#N/A</v>
      </c>
    </row>
    <row r="49" spans="1:18" x14ac:dyDescent="0.25">
      <c r="A49">
        <f t="shared" si="0"/>
        <v>1</v>
      </c>
      <c r="B49" t="str">
        <f t="shared" si="1"/>
        <v/>
      </c>
      <c r="C49">
        <f t="shared" si="5"/>
        <v>1</v>
      </c>
      <c r="D49" s="4"/>
      <c r="F49" t="e">
        <f>INDEX(Establishment!B$2:B$1005,MATCH($E49,Establishment!$A$2:$A$1005,0))</f>
        <v>#N/A</v>
      </c>
      <c r="G49" t="e">
        <f>INDEX(Establishment!C$2:C$1005,MATCH($E49,Establishment!$A$2:$A$1005,0))</f>
        <v>#N/A</v>
      </c>
      <c r="M49">
        <f t="shared" si="6"/>
        <v>0</v>
      </c>
      <c r="N49">
        <f t="shared" si="4"/>
        <v>0</v>
      </c>
      <c r="P49" t="e">
        <f>INDEX(Items!B$2:B$1032,MATCH($O49,Items!$A$2:$A$1032,0))</f>
        <v>#N/A</v>
      </c>
      <c r="Q49" t="e">
        <f>INDEX(Items!C$2:C$1032,MATCH($O49,Items!$A$2:$A$1032,0))</f>
        <v>#N/A</v>
      </c>
      <c r="R49" t="e">
        <f>INDEX(Items!D$2:D$1032,MATCH($O49,Items!$A$2:$A$1032,0))</f>
        <v>#N/A</v>
      </c>
    </row>
    <row r="50" spans="1:18" x14ac:dyDescent="0.25">
      <c r="A50">
        <f t="shared" si="0"/>
        <v>1</v>
      </c>
      <c r="B50" t="str">
        <f t="shared" si="1"/>
        <v/>
      </c>
      <c r="C50">
        <f t="shared" si="5"/>
        <v>1</v>
      </c>
      <c r="D50" s="4"/>
      <c r="F50" t="e">
        <f>INDEX(Establishment!B$2:B$1005,MATCH($E50,Establishment!$A$2:$A$1005,0))</f>
        <v>#N/A</v>
      </c>
      <c r="G50" t="e">
        <f>INDEX(Establishment!C$2:C$1005,MATCH($E50,Establishment!$A$2:$A$1005,0))</f>
        <v>#N/A</v>
      </c>
      <c r="M50">
        <f t="shared" si="6"/>
        <v>0</v>
      </c>
      <c r="N50">
        <f t="shared" si="4"/>
        <v>0</v>
      </c>
      <c r="P50" t="e">
        <f>INDEX(Items!B$2:B$1032,MATCH($O50,Items!$A$2:$A$1032,0))</f>
        <v>#N/A</v>
      </c>
      <c r="Q50" t="e">
        <f>INDEX(Items!C$2:C$1032,MATCH($O50,Items!$A$2:$A$1032,0))</f>
        <v>#N/A</v>
      </c>
      <c r="R50" t="e">
        <f>INDEX(Items!D$2:D$1032,MATCH($O50,Items!$A$2:$A$1032,0))</f>
        <v>#N/A</v>
      </c>
    </row>
    <row r="51" spans="1:18" x14ac:dyDescent="0.25">
      <c r="A51">
        <f t="shared" si="0"/>
        <v>1</v>
      </c>
      <c r="B51" t="str">
        <f t="shared" si="1"/>
        <v/>
      </c>
      <c r="C51">
        <f t="shared" si="5"/>
        <v>1</v>
      </c>
      <c r="D51" s="4"/>
      <c r="F51" t="e">
        <f>INDEX(Establishment!B$2:B$1005,MATCH($E51,Establishment!$A$2:$A$1005,0))</f>
        <v>#N/A</v>
      </c>
      <c r="G51" t="e">
        <f>INDEX(Establishment!C$2:C$1005,MATCH($E51,Establishment!$A$2:$A$1005,0))</f>
        <v>#N/A</v>
      </c>
      <c r="M51">
        <f t="shared" si="6"/>
        <v>0</v>
      </c>
      <c r="N51">
        <f t="shared" si="4"/>
        <v>0</v>
      </c>
      <c r="P51" t="e">
        <f>INDEX(Items!B$2:B$1032,MATCH($O51,Items!$A$2:$A$1032,0))</f>
        <v>#N/A</v>
      </c>
      <c r="Q51" t="e">
        <f>INDEX(Items!C$2:C$1032,MATCH($O51,Items!$A$2:$A$1032,0))</f>
        <v>#N/A</v>
      </c>
      <c r="R51" t="e">
        <f>INDEX(Items!D$2:D$1032,MATCH($O51,Items!$A$2:$A$1032,0))</f>
        <v>#N/A</v>
      </c>
    </row>
    <row r="52" spans="1:18" x14ac:dyDescent="0.25">
      <c r="A52">
        <f t="shared" si="0"/>
        <v>1</v>
      </c>
      <c r="B52" t="str">
        <f t="shared" si="1"/>
        <v/>
      </c>
      <c r="C52">
        <f t="shared" si="5"/>
        <v>1</v>
      </c>
      <c r="D52" s="4"/>
      <c r="F52" t="e">
        <f>INDEX(Establishment!B$2:B$1005,MATCH($E52,Establishment!$A$2:$A$1005,0))</f>
        <v>#N/A</v>
      </c>
      <c r="G52" t="e">
        <f>INDEX(Establishment!C$2:C$1005,MATCH($E52,Establishment!$A$2:$A$1005,0))</f>
        <v>#N/A</v>
      </c>
      <c r="M52">
        <f t="shared" si="6"/>
        <v>0</v>
      </c>
      <c r="N52">
        <f t="shared" si="4"/>
        <v>0</v>
      </c>
      <c r="P52" t="e">
        <f>INDEX(Items!B$2:B$1032,MATCH($O52,Items!$A$2:$A$1032,0))</f>
        <v>#N/A</v>
      </c>
      <c r="Q52" t="e">
        <f>INDEX(Items!C$2:C$1032,MATCH($O52,Items!$A$2:$A$1032,0))</f>
        <v>#N/A</v>
      </c>
      <c r="R52" t="e">
        <f>INDEX(Items!D$2:D$1032,MATCH($O52,Items!$A$2:$A$1032,0))</f>
        <v>#N/A</v>
      </c>
    </row>
    <row r="53" spans="1:18" x14ac:dyDescent="0.25">
      <c r="A53">
        <f t="shared" si="0"/>
        <v>1</v>
      </c>
      <c r="B53" t="str">
        <f t="shared" si="1"/>
        <v/>
      </c>
      <c r="C53">
        <f t="shared" si="5"/>
        <v>1</v>
      </c>
      <c r="D53" s="4"/>
      <c r="F53" t="e">
        <f>INDEX(Establishment!B$2:B$1005,MATCH($E53,Establishment!$A$2:$A$1005,0))</f>
        <v>#N/A</v>
      </c>
      <c r="G53" t="e">
        <f>INDEX(Establishment!C$2:C$1005,MATCH($E53,Establishment!$A$2:$A$1005,0))</f>
        <v>#N/A</v>
      </c>
      <c r="M53">
        <f t="shared" si="6"/>
        <v>0</v>
      </c>
      <c r="N53">
        <f t="shared" si="4"/>
        <v>0</v>
      </c>
      <c r="P53" t="e">
        <f>INDEX(Items!B$2:B$1032,MATCH($O53,Items!$A$2:$A$1032,0))</f>
        <v>#N/A</v>
      </c>
      <c r="Q53" t="e">
        <f>INDEX(Items!C$2:C$1032,MATCH($O53,Items!$A$2:$A$1032,0))</f>
        <v>#N/A</v>
      </c>
      <c r="R53" t="e">
        <f>INDEX(Items!D$2:D$1032,MATCH($O53,Items!$A$2:$A$1032,0))</f>
        <v>#N/A</v>
      </c>
    </row>
    <row r="54" spans="1:18" x14ac:dyDescent="0.25">
      <c r="A54">
        <f t="shared" si="0"/>
        <v>1</v>
      </c>
      <c r="B54" t="str">
        <f t="shared" si="1"/>
        <v/>
      </c>
      <c r="C54">
        <f t="shared" si="5"/>
        <v>1</v>
      </c>
      <c r="D54" s="4"/>
      <c r="F54" t="e">
        <f>INDEX(Establishment!B$2:B$1005,MATCH($E54,Establishment!$A$2:$A$1005,0))</f>
        <v>#N/A</v>
      </c>
      <c r="G54" t="e">
        <f>INDEX(Establishment!C$2:C$1005,MATCH($E54,Establishment!$A$2:$A$1005,0))</f>
        <v>#N/A</v>
      </c>
      <c r="M54">
        <f t="shared" si="6"/>
        <v>0</v>
      </c>
      <c r="N54">
        <f t="shared" si="4"/>
        <v>0</v>
      </c>
      <c r="P54" t="e">
        <f>INDEX(Items!B$2:B$1032,MATCH($O54,Items!$A$2:$A$1032,0))</f>
        <v>#N/A</v>
      </c>
      <c r="Q54" t="e">
        <f>INDEX(Items!C$2:C$1032,MATCH($O54,Items!$A$2:$A$1032,0))</f>
        <v>#N/A</v>
      </c>
      <c r="R54" t="e">
        <f>INDEX(Items!D$2:D$1032,MATCH($O54,Items!$A$2:$A$1032,0))</f>
        <v>#N/A</v>
      </c>
    </row>
    <row r="55" spans="1:18" x14ac:dyDescent="0.25">
      <c r="A55">
        <f t="shared" si="0"/>
        <v>1</v>
      </c>
      <c r="B55" t="str">
        <f t="shared" si="1"/>
        <v/>
      </c>
      <c r="C55">
        <f t="shared" si="5"/>
        <v>1</v>
      </c>
      <c r="D55" s="4"/>
      <c r="F55" t="e">
        <f>INDEX(Establishment!B$2:B$1005,MATCH($E55,Establishment!$A$2:$A$1005,0))</f>
        <v>#N/A</v>
      </c>
      <c r="G55" t="e">
        <f>INDEX(Establishment!C$2:C$1005,MATCH($E55,Establishment!$A$2:$A$1005,0))</f>
        <v>#N/A</v>
      </c>
      <c r="M55">
        <f t="shared" si="6"/>
        <v>0</v>
      </c>
      <c r="N55">
        <f t="shared" si="4"/>
        <v>0</v>
      </c>
      <c r="P55" t="e">
        <f>INDEX(Items!B$2:B$1032,MATCH($O55,Items!$A$2:$A$1032,0))</f>
        <v>#N/A</v>
      </c>
      <c r="Q55" t="e">
        <f>INDEX(Items!C$2:C$1032,MATCH($O55,Items!$A$2:$A$1032,0))</f>
        <v>#N/A</v>
      </c>
      <c r="R55" t="e">
        <f>INDEX(Items!D$2:D$1032,MATCH($O55,Items!$A$2:$A$1032,0))</f>
        <v>#N/A</v>
      </c>
    </row>
    <row r="56" spans="1:18" x14ac:dyDescent="0.25">
      <c r="A56">
        <f t="shared" si="0"/>
        <v>1</v>
      </c>
      <c r="B56" t="str">
        <f t="shared" si="1"/>
        <v/>
      </c>
      <c r="C56">
        <f t="shared" si="5"/>
        <v>1</v>
      </c>
      <c r="D56" s="4"/>
      <c r="F56" t="e">
        <f>INDEX(Establishment!B$2:B$1005,MATCH($E56,Establishment!$A$2:$A$1005,0))</f>
        <v>#N/A</v>
      </c>
      <c r="G56" t="e">
        <f>INDEX(Establishment!C$2:C$1005,MATCH($E56,Establishment!$A$2:$A$1005,0))</f>
        <v>#N/A</v>
      </c>
      <c r="M56">
        <f t="shared" si="6"/>
        <v>0</v>
      </c>
      <c r="N56">
        <f t="shared" si="4"/>
        <v>0</v>
      </c>
      <c r="P56" t="e">
        <f>INDEX(Items!B$2:B$1032,MATCH($O56,Items!$A$2:$A$1032,0))</f>
        <v>#N/A</v>
      </c>
      <c r="Q56" t="e">
        <f>INDEX(Items!C$2:C$1032,MATCH($O56,Items!$A$2:$A$1032,0))</f>
        <v>#N/A</v>
      </c>
      <c r="R56" t="e">
        <f>INDEX(Items!D$2:D$1032,MATCH($O56,Items!$A$2:$A$1032,0))</f>
        <v>#N/A</v>
      </c>
    </row>
    <row r="57" spans="1:18" x14ac:dyDescent="0.25">
      <c r="A57">
        <f t="shared" si="0"/>
        <v>1</v>
      </c>
      <c r="B57" t="str">
        <f t="shared" si="1"/>
        <v/>
      </c>
      <c r="C57">
        <f t="shared" si="5"/>
        <v>1</v>
      </c>
      <c r="D57" s="4"/>
      <c r="F57" t="e">
        <f>INDEX(Establishment!B$2:B$1005,MATCH($E57,Establishment!$A$2:$A$1005,0))</f>
        <v>#N/A</v>
      </c>
      <c r="G57" t="e">
        <f>INDEX(Establishment!C$2:C$1005,MATCH($E57,Establishment!$A$2:$A$1005,0))</f>
        <v>#N/A</v>
      </c>
      <c r="M57">
        <f t="shared" si="6"/>
        <v>0</v>
      </c>
      <c r="N57">
        <f t="shared" si="4"/>
        <v>0</v>
      </c>
      <c r="P57" t="e">
        <f>INDEX(Items!B$2:B$1032,MATCH($O57,Items!$A$2:$A$1032,0))</f>
        <v>#N/A</v>
      </c>
      <c r="Q57" t="e">
        <f>INDEX(Items!C$2:C$1032,MATCH($O57,Items!$A$2:$A$1032,0))</f>
        <v>#N/A</v>
      </c>
      <c r="R57" t="e">
        <f>INDEX(Items!D$2:D$1032,MATCH($O57,Items!$A$2:$A$1032,0))</f>
        <v>#N/A</v>
      </c>
    </row>
    <row r="58" spans="1:18" x14ac:dyDescent="0.25">
      <c r="A58">
        <f t="shared" si="0"/>
        <v>1</v>
      </c>
      <c r="B58" t="str">
        <f t="shared" si="1"/>
        <v/>
      </c>
      <c r="C58">
        <f t="shared" si="5"/>
        <v>1</v>
      </c>
      <c r="D58" s="4"/>
      <c r="F58" t="e">
        <f>INDEX(Establishment!B$2:B$1005,MATCH($E58,Establishment!$A$2:$A$1005,0))</f>
        <v>#N/A</v>
      </c>
      <c r="G58" t="e">
        <f>INDEX(Establishment!C$2:C$1005,MATCH($E58,Establishment!$A$2:$A$1005,0))</f>
        <v>#N/A</v>
      </c>
      <c r="M58">
        <f t="shared" si="6"/>
        <v>0</v>
      </c>
      <c r="N58">
        <f t="shared" si="4"/>
        <v>0</v>
      </c>
      <c r="P58" t="e">
        <f>INDEX(Items!B$2:B$1032,MATCH($O58,Items!$A$2:$A$1032,0))</f>
        <v>#N/A</v>
      </c>
      <c r="Q58" t="e">
        <f>INDEX(Items!C$2:C$1032,MATCH($O58,Items!$A$2:$A$1032,0))</f>
        <v>#N/A</v>
      </c>
      <c r="R58" t="e">
        <f>INDEX(Items!D$2:D$1032,MATCH($O58,Items!$A$2:$A$1032,0))</f>
        <v>#N/A</v>
      </c>
    </row>
    <row r="59" spans="1:18" x14ac:dyDescent="0.25">
      <c r="A59">
        <f t="shared" si="0"/>
        <v>1</v>
      </c>
      <c r="B59" t="str">
        <f t="shared" si="1"/>
        <v/>
      </c>
      <c r="C59">
        <f t="shared" si="5"/>
        <v>1</v>
      </c>
      <c r="D59" s="4"/>
      <c r="F59" t="e">
        <f>INDEX(Establishment!B$2:B$1005,MATCH($E59,Establishment!$A$2:$A$1005,0))</f>
        <v>#N/A</v>
      </c>
      <c r="G59" t="e">
        <f>INDEX(Establishment!C$2:C$1005,MATCH($E59,Establishment!$A$2:$A$1005,0))</f>
        <v>#N/A</v>
      </c>
      <c r="M59">
        <f t="shared" si="6"/>
        <v>0</v>
      </c>
      <c r="N59">
        <f t="shared" si="4"/>
        <v>0</v>
      </c>
      <c r="P59" t="e">
        <f>INDEX(Items!B$2:B$1032,MATCH($O59,Items!$A$2:$A$1032,0))</f>
        <v>#N/A</v>
      </c>
      <c r="Q59" t="e">
        <f>INDEX(Items!C$2:C$1032,MATCH($O59,Items!$A$2:$A$1032,0))</f>
        <v>#N/A</v>
      </c>
      <c r="R59" t="e">
        <f>INDEX(Items!D$2:D$1032,MATCH($O59,Items!$A$2:$A$1032,0))</f>
        <v>#N/A</v>
      </c>
    </row>
    <row r="60" spans="1:18" x14ac:dyDescent="0.25">
      <c r="A60">
        <f t="shared" si="0"/>
        <v>1</v>
      </c>
      <c r="B60" t="str">
        <f t="shared" si="1"/>
        <v/>
      </c>
      <c r="C60">
        <f t="shared" si="5"/>
        <v>1</v>
      </c>
      <c r="D60" s="4"/>
      <c r="F60" t="e">
        <f>INDEX(Establishment!B$2:B$1005,MATCH($E60,Establishment!$A$2:$A$1005,0))</f>
        <v>#N/A</v>
      </c>
      <c r="G60" t="e">
        <f>INDEX(Establishment!C$2:C$1005,MATCH($E60,Establishment!$A$2:$A$1005,0))</f>
        <v>#N/A</v>
      </c>
      <c r="M60">
        <f t="shared" si="6"/>
        <v>0</v>
      </c>
      <c r="N60">
        <f t="shared" si="4"/>
        <v>0</v>
      </c>
      <c r="P60" t="e">
        <f>INDEX(Items!B$2:B$1032,MATCH($O60,Items!$A$2:$A$1032,0))</f>
        <v>#N/A</v>
      </c>
      <c r="Q60" t="e">
        <f>INDEX(Items!C$2:C$1032,MATCH($O60,Items!$A$2:$A$1032,0))</f>
        <v>#N/A</v>
      </c>
      <c r="R60" t="e">
        <f>INDEX(Items!D$2:D$1032,MATCH($O60,Items!$A$2:$A$1032,0))</f>
        <v>#N/A</v>
      </c>
    </row>
    <row r="61" spans="1:18" x14ac:dyDescent="0.25">
      <c r="A61">
        <f t="shared" si="0"/>
        <v>1</v>
      </c>
      <c r="B61" t="str">
        <f t="shared" si="1"/>
        <v/>
      </c>
      <c r="C61">
        <f t="shared" si="5"/>
        <v>1</v>
      </c>
      <c r="D61" s="4"/>
      <c r="F61" t="e">
        <f>INDEX(Establishment!B$2:B$1005,MATCH($E61,Establishment!$A$2:$A$1005,0))</f>
        <v>#N/A</v>
      </c>
      <c r="G61" t="e">
        <f>INDEX(Establishment!C$2:C$1005,MATCH($E61,Establishment!$A$2:$A$1005,0))</f>
        <v>#N/A</v>
      </c>
      <c r="M61">
        <f t="shared" si="6"/>
        <v>0</v>
      </c>
      <c r="N61">
        <f t="shared" si="4"/>
        <v>0</v>
      </c>
      <c r="P61" t="e">
        <f>INDEX(Items!B$2:B$1032,MATCH($O61,Items!$A$2:$A$1032,0))</f>
        <v>#N/A</v>
      </c>
      <c r="Q61" t="e">
        <f>INDEX(Items!C$2:C$1032,MATCH($O61,Items!$A$2:$A$1032,0))</f>
        <v>#N/A</v>
      </c>
      <c r="R61" t="e">
        <f>INDEX(Items!D$2:D$1032,MATCH($O61,Items!$A$2:$A$1032,0))</f>
        <v>#N/A</v>
      </c>
    </row>
    <row r="62" spans="1:18" x14ac:dyDescent="0.25">
      <c r="A62">
        <f t="shared" si="0"/>
        <v>1</v>
      </c>
      <c r="B62" t="str">
        <f t="shared" si="1"/>
        <v/>
      </c>
      <c r="C62">
        <f t="shared" si="5"/>
        <v>1</v>
      </c>
      <c r="D62" s="4"/>
      <c r="F62" t="e">
        <f>INDEX(Establishment!B$2:B$1005,MATCH($E62,Establishment!$A$2:$A$1005,0))</f>
        <v>#N/A</v>
      </c>
      <c r="G62" t="e">
        <f>INDEX(Establishment!C$2:C$1005,MATCH($E62,Establishment!$A$2:$A$1005,0))</f>
        <v>#N/A</v>
      </c>
      <c r="M62">
        <f t="shared" si="6"/>
        <v>0</v>
      </c>
      <c r="N62">
        <f t="shared" si="4"/>
        <v>0</v>
      </c>
      <c r="P62" t="e">
        <f>INDEX(Items!B$2:B$1032,MATCH($O62,Items!$A$2:$A$1032,0))</f>
        <v>#N/A</v>
      </c>
      <c r="Q62" t="e">
        <f>INDEX(Items!C$2:C$1032,MATCH($O62,Items!$A$2:$A$1032,0))</f>
        <v>#N/A</v>
      </c>
      <c r="R62" t="e">
        <f>INDEX(Items!D$2:D$1032,MATCH($O62,Items!$A$2:$A$1032,0))</f>
        <v>#N/A</v>
      </c>
    </row>
    <row r="63" spans="1:18" x14ac:dyDescent="0.25">
      <c r="A63">
        <f t="shared" si="0"/>
        <v>1</v>
      </c>
      <c r="B63" t="str">
        <f t="shared" si="1"/>
        <v/>
      </c>
      <c r="C63">
        <f t="shared" si="5"/>
        <v>1</v>
      </c>
      <c r="D63" s="4"/>
      <c r="F63" t="e">
        <f>INDEX(Establishment!B$2:B$1005,MATCH($E63,Establishment!$A$2:$A$1005,0))</f>
        <v>#N/A</v>
      </c>
      <c r="G63" t="e">
        <f>INDEX(Establishment!C$2:C$1005,MATCH($E63,Establishment!$A$2:$A$1005,0))</f>
        <v>#N/A</v>
      </c>
      <c r="M63">
        <f t="shared" si="6"/>
        <v>0</v>
      </c>
      <c r="N63">
        <f t="shared" si="4"/>
        <v>0</v>
      </c>
      <c r="P63" t="e">
        <f>INDEX(Items!B$2:B$1032,MATCH($O63,Items!$A$2:$A$1032,0))</f>
        <v>#N/A</v>
      </c>
      <c r="Q63" t="e">
        <f>INDEX(Items!C$2:C$1032,MATCH($O63,Items!$A$2:$A$1032,0))</f>
        <v>#N/A</v>
      </c>
      <c r="R63" t="e">
        <f>INDEX(Items!D$2:D$1032,MATCH($O63,Items!$A$2:$A$1032,0))</f>
        <v>#N/A</v>
      </c>
    </row>
    <row r="64" spans="1:18" x14ac:dyDescent="0.25">
      <c r="A64">
        <f t="shared" si="0"/>
        <v>1</v>
      </c>
      <c r="B64" t="str">
        <f t="shared" si="1"/>
        <v/>
      </c>
      <c r="C64">
        <f t="shared" si="5"/>
        <v>1</v>
      </c>
      <c r="D64" s="4"/>
      <c r="F64" t="e">
        <f>INDEX(Establishment!B$2:B$1005,MATCH($E64,Establishment!$A$2:$A$1005,0))</f>
        <v>#N/A</v>
      </c>
      <c r="G64" t="e">
        <f>INDEX(Establishment!C$2:C$1005,MATCH($E64,Establishment!$A$2:$A$1005,0))</f>
        <v>#N/A</v>
      </c>
      <c r="M64">
        <f t="shared" si="6"/>
        <v>0</v>
      </c>
      <c r="N64">
        <f t="shared" si="4"/>
        <v>0</v>
      </c>
      <c r="P64" t="e">
        <f>INDEX(Items!B$2:B$1032,MATCH($O64,Items!$A$2:$A$1032,0))</f>
        <v>#N/A</v>
      </c>
      <c r="Q64" t="e">
        <f>INDEX(Items!C$2:C$1032,MATCH($O64,Items!$A$2:$A$1032,0))</f>
        <v>#N/A</v>
      </c>
      <c r="R64" t="e">
        <f>INDEX(Items!D$2:D$1032,MATCH($O64,Items!$A$2:$A$1032,0))</f>
        <v>#N/A</v>
      </c>
    </row>
    <row r="65" spans="1:18" x14ac:dyDescent="0.25">
      <c r="A65">
        <f t="shared" si="0"/>
        <v>1</v>
      </c>
      <c r="B65" t="str">
        <f t="shared" si="1"/>
        <v/>
      </c>
      <c r="C65">
        <f t="shared" si="5"/>
        <v>1</v>
      </c>
      <c r="D65" s="4"/>
      <c r="F65" t="e">
        <f>INDEX(Establishment!B$2:B$1005,MATCH($E65,Establishment!$A$2:$A$1005,0))</f>
        <v>#N/A</v>
      </c>
      <c r="G65" t="e">
        <f>INDEX(Establishment!C$2:C$1005,MATCH($E65,Establishment!$A$2:$A$1005,0))</f>
        <v>#N/A</v>
      </c>
      <c r="M65">
        <f t="shared" si="6"/>
        <v>0</v>
      </c>
      <c r="N65">
        <f t="shared" si="4"/>
        <v>0</v>
      </c>
      <c r="P65" t="e">
        <f>INDEX(Items!B$2:B$1032,MATCH($O65,Items!$A$2:$A$1032,0))</f>
        <v>#N/A</v>
      </c>
      <c r="Q65" t="e">
        <f>INDEX(Items!C$2:C$1032,MATCH($O65,Items!$A$2:$A$1032,0))</f>
        <v>#N/A</v>
      </c>
      <c r="R65" t="e">
        <f>INDEX(Items!D$2:D$1032,MATCH($O65,Items!$A$2:$A$1032,0))</f>
        <v>#N/A</v>
      </c>
    </row>
    <row r="66" spans="1:18" x14ac:dyDescent="0.25">
      <c r="A66">
        <f t="shared" ref="A66:A129" si="7">IF(OR(D66&lt;&gt;D65,D66=""),1,IF(NOT(AND(E66=E65,F66=F65,G66=G65)),A65+1,IF(OR(H66="",AND(H66&lt;&gt;"",H66&lt;&gt;H65,H65&lt;&gt;"")),A65,A65+1)))</f>
        <v>1</v>
      </c>
      <c r="B66" t="str">
        <f t="shared" ref="B66:B129" si="8">IF(D66&lt;&gt;"",TEXT(D66,"YYYYMMDD")&amp;CHAR(64+A66),"")</f>
        <v/>
      </c>
      <c r="C66">
        <f t="shared" si="5"/>
        <v>1</v>
      </c>
      <c r="D66" s="4"/>
      <c r="F66" t="e">
        <f>INDEX(Establishment!B$2:B$1005,MATCH($E66,Establishment!$A$2:$A$1005,0))</f>
        <v>#N/A</v>
      </c>
      <c r="G66" t="e">
        <f>INDEX(Establishment!C$2:C$1005,MATCH($E66,Establishment!$A$2:$A$1005,0))</f>
        <v>#N/A</v>
      </c>
      <c r="M66">
        <f t="shared" si="6"/>
        <v>0</v>
      </c>
      <c r="N66">
        <f t="shared" si="4"/>
        <v>0</v>
      </c>
      <c r="P66" t="e">
        <f>INDEX(Items!B$2:B$1032,MATCH($O66,Items!$A$2:$A$1032,0))</f>
        <v>#N/A</v>
      </c>
      <c r="Q66" t="e">
        <f>INDEX(Items!C$2:C$1032,MATCH($O66,Items!$A$2:$A$1032,0))</f>
        <v>#N/A</v>
      </c>
      <c r="R66" t="e">
        <f>INDEX(Items!D$2:D$1032,MATCH($O66,Items!$A$2:$A$1032,0))</f>
        <v>#N/A</v>
      </c>
    </row>
    <row r="67" spans="1:18" x14ac:dyDescent="0.25">
      <c r="A67">
        <f t="shared" si="7"/>
        <v>1</v>
      </c>
      <c r="B67" t="str">
        <f t="shared" si="8"/>
        <v/>
      </c>
      <c r="C67">
        <f t="shared" si="5"/>
        <v>1</v>
      </c>
      <c r="D67" s="4"/>
      <c r="F67" t="s">
        <v>43</v>
      </c>
      <c r="G67" t="s">
        <v>46</v>
      </c>
      <c r="M67">
        <f t="shared" si="6"/>
        <v>0</v>
      </c>
      <c r="N67">
        <f t="shared" ref="N67:N130" si="9">IF(B67=B66,N66+M67,M67)</f>
        <v>0</v>
      </c>
      <c r="P67" t="e">
        <f>INDEX(Items!B$2:B$1032,MATCH($O67,Items!$A$2:$A$1032,0))</f>
        <v>#N/A</v>
      </c>
      <c r="Q67" t="e">
        <f>INDEX(Items!C$2:C$1032,MATCH($O67,Items!$A$2:$A$1032,0))</f>
        <v>#N/A</v>
      </c>
      <c r="R67" t="e">
        <f>INDEX(Items!D$2:D$1032,MATCH($O67,Items!$A$2:$A$1032,0))</f>
        <v>#N/A</v>
      </c>
    </row>
    <row r="68" spans="1:18" x14ac:dyDescent="0.25">
      <c r="A68">
        <f t="shared" si="7"/>
        <v>1</v>
      </c>
      <c r="B68" t="str">
        <f t="shared" si="8"/>
        <v/>
      </c>
      <c r="C68">
        <f t="shared" si="5"/>
        <v>1</v>
      </c>
      <c r="D68" s="4"/>
      <c r="F68" t="s">
        <v>43</v>
      </c>
      <c r="G68" t="s">
        <v>46</v>
      </c>
      <c r="M68">
        <f t="shared" si="6"/>
        <v>0</v>
      </c>
      <c r="N68">
        <f t="shared" si="9"/>
        <v>0</v>
      </c>
      <c r="P68" t="e">
        <f>INDEX(Items!B$2:B$1032,MATCH($O68,Items!$A$2:$A$1032,0))</f>
        <v>#N/A</v>
      </c>
      <c r="Q68" t="e">
        <f>INDEX(Items!C$2:C$1032,MATCH($O68,Items!$A$2:$A$1032,0))</f>
        <v>#N/A</v>
      </c>
      <c r="R68" t="e">
        <f>INDEX(Items!D$2:D$1032,MATCH($O68,Items!$A$2:$A$1032,0))</f>
        <v>#N/A</v>
      </c>
    </row>
    <row r="69" spans="1:18" x14ac:dyDescent="0.25">
      <c r="A69">
        <f t="shared" si="7"/>
        <v>1</v>
      </c>
      <c r="B69" t="str">
        <f t="shared" si="8"/>
        <v/>
      </c>
      <c r="C69">
        <f t="shared" si="5"/>
        <v>1</v>
      </c>
      <c r="D69" s="4"/>
      <c r="F69" t="s">
        <v>43</v>
      </c>
      <c r="G69" t="s">
        <v>46</v>
      </c>
      <c r="M69">
        <f t="shared" si="6"/>
        <v>0</v>
      </c>
      <c r="N69">
        <f t="shared" si="9"/>
        <v>0</v>
      </c>
      <c r="P69" t="e">
        <f>INDEX(Items!B$2:B$1032,MATCH($O69,Items!$A$2:$A$1032,0))</f>
        <v>#N/A</v>
      </c>
      <c r="Q69" t="e">
        <f>INDEX(Items!C$2:C$1032,MATCH($O69,Items!$A$2:$A$1032,0))</f>
        <v>#N/A</v>
      </c>
      <c r="R69" t="e">
        <f>INDEX(Items!D$2:D$1032,MATCH($O69,Items!$A$2:$A$1032,0))</f>
        <v>#N/A</v>
      </c>
    </row>
    <row r="70" spans="1:18" x14ac:dyDescent="0.25">
      <c r="A70">
        <f t="shared" si="7"/>
        <v>1</v>
      </c>
      <c r="B70" t="str">
        <f t="shared" si="8"/>
        <v/>
      </c>
      <c r="C70">
        <f t="shared" si="5"/>
        <v>1</v>
      </c>
      <c r="D70" s="4"/>
      <c r="F70" t="s">
        <v>43</v>
      </c>
      <c r="G70" t="s">
        <v>46</v>
      </c>
      <c r="M70">
        <f t="shared" si="6"/>
        <v>0</v>
      </c>
      <c r="N70">
        <f t="shared" si="9"/>
        <v>0</v>
      </c>
      <c r="P70" t="e">
        <f>INDEX(Items!B$2:B$1032,MATCH($O70,Items!$A$2:$A$1032,0))</f>
        <v>#N/A</v>
      </c>
      <c r="Q70" t="e">
        <f>INDEX(Items!C$2:C$1032,MATCH($O70,Items!$A$2:$A$1032,0))</f>
        <v>#N/A</v>
      </c>
      <c r="R70" t="e">
        <f>INDEX(Items!D$2:D$1032,MATCH($O70,Items!$A$2:$A$1032,0))</f>
        <v>#N/A</v>
      </c>
    </row>
    <row r="71" spans="1:18" x14ac:dyDescent="0.25">
      <c r="A71">
        <f t="shared" si="7"/>
        <v>1</v>
      </c>
      <c r="B71" t="str">
        <f t="shared" si="8"/>
        <v/>
      </c>
      <c r="C71">
        <f t="shared" si="5"/>
        <v>1</v>
      </c>
      <c r="D71" s="4"/>
      <c r="F71" t="s">
        <v>43</v>
      </c>
      <c r="G71" t="s">
        <v>46</v>
      </c>
      <c r="M71">
        <f t="shared" si="6"/>
        <v>0</v>
      </c>
      <c r="N71">
        <f t="shared" si="9"/>
        <v>0</v>
      </c>
      <c r="P71" t="e">
        <f>INDEX(Items!B$2:B$1032,MATCH($O71,Items!$A$2:$A$1032,0))</f>
        <v>#N/A</v>
      </c>
      <c r="Q71" t="e">
        <f>INDEX(Items!C$2:C$1032,MATCH($O71,Items!$A$2:$A$1032,0))</f>
        <v>#N/A</v>
      </c>
      <c r="R71" t="e">
        <f>INDEX(Items!D$2:D$1032,MATCH($O71,Items!$A$2:$A$1032,0))</f>
        <v>#N/A</v>
      </c>
    </row>
    <row r="72" spans="1:18" x14ac:dyDescent="0.25">
      <c r="A72">
        <f t="shared" si="7"/>
        <v>1</v>
      </c>
      <c r="B72" t="str">
        <f t="shared" si="8"/>
        <v/>
      </c>
      <c r="C72">
        <f t="shared" si="5"/>
        <v>1</v>
      </c>
      <c r="D72" s="4"/>
      <c r="F72" t="s">
        <v>53</v>
      </c>
      <c r="G72" t="s">
        <v>48</v>
      </c>
      <c r="M72">
        <f t="shared" si="6"/>
        <v>0</v>
      </c>
      <c r="N72">
        <f t="shared" si="9"/>
        <v>0</v>
      </c>
      <c r="P72" t="e">
        <f>INDEX(Items!B$2:B$1032,MATCH($O72,Items!$A$2:$A$1032,0))</f>
        <v>#N/A</v>
      </c>
      <c r="Q72" t="e">
        <f>INDEX(Items!C$2:C$1032,MATCH($O72,Items!$A$2:$A$1032,0))</f>
        <v>#N/A</v>
      </c>
      <c r="R72" t="e">
        <f>INDEX(Items!D$2:D$1032,MATCH($O72,Items!$A$2:$A$1032,0))</f>
        <v>#N/A</v>
      </c>
    </row>
    <row r="73" spans="1:18" x14ac:dyDescent="0.25">
      <c r="A73">
        <f t="shared" si="7"/>
        <v>1</v>
      </c>
      <c r="B73" t="str">
        <f t="shared" si="8"/>
        <v/>
      </c>
      <c r="C73">
        <f t="shared" si="5"/>
        <v>1</v>
      </c>
      <c r="D73" s="4"/>
      <c r="F73" t="s">
        <v>53</v>
      </c>
      <c r="G73" t="s">
        <v>48</v>
      </c>
      <c r="M73">
        <f t="shared" si="6"/>
        <v>0</v>
      </c>
      <c r="N73">
        <f t="shared" si="9"/>
        <v>0</v>
      </c>
      <c r="P73" t="e">
        <f>INDEX(Items!B$2:B$1032,MATCH($O73,Items!$A$2:$A$1032,0))</f>
        <v>#N/A</v>
      </c>
      <c r="Q73" t="e">
        <f>INDEX(Items!C$2:C$1032,MATCH($O73,Items!$A$2:$A$1032,0))</f>
        <v>#N/A</v>
      </c>
      <c r="R73" t="e">
        <f>INDEX(Items!D$2:D$1032,MATCH($O73,Items!$A$2:$A$1032,0))</f>
        <v>#N/A</v>
      </c>
    </row>
    <row r="74" spans="1:18" x14ac:dyDescent="0.25">
      <c r="A74">
        <f t="shared" si="7"/>
        <v>1</v>
      </c>
      <c r="B74" t="str">
        <f t="shared" si="8"/>
        <v/>
      </c>
      <c r="C74">
        <f t="shared" ref="C74:C137" si="10">IF(OR(B74="",B74&lt;&gt;B73),1,C73+1)</f>
        <v>1</v>
      </c>
      <c r="D74" s="4"/>
      <c r="F74" t="s">
        <v>43</v>
      </c>
      <c r="G74" t="s">
        <v>48</v>
      </c>
      <c r="M74">
        <f t="shared" ref="M74:M137" si="11">K74*L74</f>
        <v>0</v>
      </c>
      <c r="N74">
        <f t="shared" si="9"/>
        <v>0</v>
      </c>
      <c r="P74" t="e">
        <f>INDEX(Items!B$2:B$1032,MATCH($O74,Items!$A$2:$A$1032,0))</f>
        <v>#N/A</v>
      </c>
      <c r="Q74" t="e">
        <f>INDEX(Items!C$2:C$1032,MATCH($O74,Items!$A$2:$A$1032,0))</f>
        <v>#N/A</v>
      </c>
      <c r="R74" t="e">
        <f>INDEX(Items!D$2:D$1032,MATCH($O74,Items!$A$2:$A$1032,0))</f>
        <v>#N/A</v>
      </c>
    </row>
    <row r="75" spans="1:18" x14ac:dyDescent="0.25">
      <c r="A75">
        <f t="shared" si="7"/>
        <v>1</v>
      </c>
      <c r="B75" t="str">
        <f t="shared" si="8"/>
        <v/>
      </c>
      <c r="C75">
        <f t="shared" si="10"/>
        <v>1</v>
      </c>
      <c r="D75" s="4"/>
      <c r="F75" t="s">
        <v>43</v>
      </c>
      <c r="G75" t="s">
        <v>48</v>
      </c>
      <c r="M75">
        <f t="shared" si="11"/>
        <v>0</v>
      </c>
      <c r="N75">
        <f t="shared" si="9"/>
        <v>0</v>
      </c>
      <c r="P75" t="e">
        <f>INDEX(Items!B$2:B$1032,MATCH($O75,Items!$A$2:$A$1032,0))</f>
        <v>#N/A</v>
      </c>
      <c r="Q75" t="e">
        <f>INDEX(Items!C$2:C$1032,MATCH($O75,Items!$A$2:$A$1032,0))</f>
        <v>#N/A</v>
      </c>
      <c r="R75" t="e">
        <f>INDEX(Items!D$2:D$1032,MATCH($O75,Items!$A$2:$A$1032,0))</f>
        <v>#N/A</v>
      </c>
    </row>
    <row r="76" spans="1:18" x14ac:dyDescent="0.25">
      <c r="A76">
        <f t="shared" si="7"/>
        <v>1</v>
      </c>
      <c r="B76" t="str">
        <f t="shared" si="8"/>
        <v/>
      </c>
      <c r="C76">
        <f t="shared" si="10"/>
        <v>1</v>
      </c>
      <c r="D76" s="4"/>
      <c r="F76" t="s">
        <v>43</v>
      </c>
      <c r="G76" t="s">
        <v>48</v>
      </c>
      <c r="M76">
        <f t="shared" si="11"/>
        <v>0</v>
      </c>
      <c r="N76">
        <f t="shared" si="9"/>
        <v>0</v>
      </c>
      <c r="P76" t="e">
        <f>INDEX(Items!B$2:B$1032,MATCH($O76,Items!$A$2:$A$1032,0))</f>
        <v>#N/A</v>
      </c>
      <c r="Q76" t="e">
        <f>INDEX(Items!C$2:C$1032,MATCH($O76,Items!$A$2:$A$1032,0))</f>
        <v>#N/A</v>
      </c>
      <c r="R76" t="e">
        <f>INDEX(Items!D$2:D$1032,MATCH($O76,Items!$A$2:$A$1032,0))</f>
        <v>#N/A</v>
      </c>
    </row>
    <row r="77" spans="1:18" x14ac:dyDescent="0.25">
      <c r="A77">
        <f t="shared" si="7"/>
        <v>1</v>
      </c>
      <c r="B77" t="str">
        <f t="shared" si="8"/>
        <v/>
      </c>
      <c r="C77">
        <f t="shared" si="10"/>
        <v>1</v>
      </c>
      <c r="D77" s="4"/>
      <c r="F77" t="s">
        <v>43</v>
      </c>
      <c r="G77" t="s">
        <v>48</v>
      </c>
      <c r="M77">
        <f t="shared" si="11"/>
        <v>0</v>
      </c>
      <c r="N77">
        <f t="shared" si="9"/>
        <v>0</v>
      </c>
      <c r="P77" t="e">
        <f>INDEX(Items!B$2:B$1032,MATCH($O77,Items!$A$2:$A$1032,0))</f>
        <v>#N/A</v>
      </c>
      <c r="Q77" t="e">
        <f>INDEX(Items!C$2:C$1032,MATCH($O77,Items!$A$2:$A$1032,0))</f>
        <v>#N/A</v>
      </c>
      <c r="R77" t="e">
        <f>INDEX(Items!D$2:D$1032,MATCH($O77,Items!$A$2:$A$1032,0))</f>
        <v>#N/A</v>
      </c>
    </row>
    <row r="78" spans="1:18" x14ac:dyDescent="0.25">
      <c r="A78">
        <f t="shared" si="7"/>
        <v>1</v>
      </c>
      <c r="B78" t="str">
        <f t="shared" si="8"/>
        <v/>
      </c>
      <c r="C78">
        <f t="shared" si="10"/>
        <v>1</v>
      </c>
      <c r="D78" s="4"/>
      <c r="F78" t="s">
        <v>43</v>
      </c>
      <c r="G78" t="s">
        <v>48</v>
      </c>
      <c r="M78">
        <f t="shared" si="11"/>
        <v>0</v>
      </c>
      <c r="N78">
        <f t="shared" si="9"/>
        <v>0</v>
      </c>
      <c r="P78" t="e">
        <f>INDEX(Items!B$2:B$1032,MATCH($O78,Items!$A$2:$A$1032,0))</f>
        <v>#N/A</v>
      </c>
      <c r="Q78" t="e">
        <f>INDEX(Items!C$2:C$1032,MATCH($O78,Items!$A$2:$A$1032,0))</f>
        <v>#N/A</v>
      </c>
      <c r="R78" t="e">
        <f>INDEX(Items!D$2:D$1032,MATCH($O78,Items!$A$2:$A$1032,0))</f>
        <v>#N/A</v>
      </c>
    </row>
    <row r="79" spans="1:18" x14ac:dyDescent="0.25">
      <c r="A79">
        <f t="shared" si="7"/>
        <v>1</v>
      </c>
      <c r="B79" t="str">
        <f t="shared" si="8"/>
        <v/>
      </c>
      <c r="C79">
        <f t="shared" si="10"/>
        <v>1</v>
      </c>
      <c r="D79" s="4"/>
      <c r="F79" t="s">
        <v>43</v>
      </c>
      <c r="G79" t="s">
        <v>46</v>
      </c>
      <c r="M79">
        <f t="shared" si="11"/>
        <v>0</v>
      </c>
      <c r="N79">
        <f t="shared" si="9"/>
        <v>0</v>
      </c>
      <c r="P79" t="e">
        <f>INDEX(Items!B$2:B$1032,MATCH($O79,Items!$A$2:$A$1032,0))</f>
        <v>#N/A</v>
      </c>
      <c r="Q79" t="e">
        <f>INDEX(Items!C$2:C$1032,MATCH($O79,Items!$A$2:$A$1032,0))</f>
        <v>#N/A</v>
      </c>
      <c r="R79" t="e">
        <f>INDEX(Items!D$2:D$1032,MATCH($O79,Items!$A$2:$A$1032,0))</f>
        <v>#N/A</v>
      </c>
    </row>
    <row r="80" spans="1:18" x14ac:dyDescent="0.25">
      <c r="A80">
        <f t="shared" si="7"/>
        <v>1</v>
      </c>
      <c r="B80" t="str">
        <f t="shared" si="8"/>
        <v/>
      </c>
      <c r="C80">
        <f t="shared" si="10"/>
        <v>1</v>
      </c>
      <c r="D80" s="4"/>
      <c r="F80" t="s">
        <v>43</v>
      </c>
      <c r="G80" t="s">
        <v>46</v>
      </c>
      <c r="M80">
        <f t="shared" si="11"/>
        <v>0</v>
      </c>
      <c r="N80">
        <f t="shared" si="9"/>
        <v>0</v>
      </c>
      <c r="P80" t="e">
        <f>INDEX(Items!B$2:B$1032,MATCH($O80,Items!$A$2:$A$1032,0))</f>
        <v>#N/A</v>
      </c>
      <c r="Q80" t="e">
        <f>INDEX(Items!C$2:C$1032,MATCH($O80,Items!$A$2:$A$1032,0))</f>
        <v>#N/A</v>
      </c>
      <c r="R80" t="e">
        <f>INDEX(Items!D$2:D$1032,MATCH($O80,Items!$A$2:$A$1032,0))</f>
        <v>#N/A</v>
      </c>
    </row>
    <row r="81" spans="1:18" x14ac:dyDescent="0.25">
      <c r="A81">
        <f t="shared" si="7"/>
        <v>1</v>
      </c>
      <c r="B81" t="str">
        <f t="shared" si="8"/>
        <v/>
      </c>
      <c r="C81">
        <f t="shared" si="10"/>
        <v>1</v>
      </c>
      <c r="D81" s="4"/>
      <c r="F81" t="s">
        <v>43</v>
      </c>
      <c r="G81" t="s">
        <v>46</v>
      </c>
      <c r="M81">
        <f t="shared" si="11"/>
        <v>0</v>
      </c>
      <c r="N81">
        <f t="shared" si="9"/>
        <v>0</v>
      </c>
      <c r="P81" t="e">
        <f>INDEX(Items!B$2:B$1032,MATCH($O81,Items!$A$2:$A$1032,0))</f>
        <v>#N/A</v>
      </c>
      <c r="Q81" t="e">
        <f>INDEX(Items!C$2:C$1032,MATCH($O81,Items!$A$2:$A$1032,0))</f>
        <v>#N/A</v>
      </c>
      <c r="R81" t="e">
        <f>INDEX(Items!D$2:D$1032,MATCH($O81,Items!$A$2:$A$1032,0))</f>
        <v>#N/A</v>
      </c>
    </row>
    <row r="82" spans="1:18" x14ac:dyDescent="0.25">
      <c r="A82">
        <f t="shared" si="7"/>
        <v>1</v>
      </c>
      <c r="B82" t="str">
        <f t="shared" si="8"/>
        <v/>
      </c>
      <c r="C82">
        <f t="shared" si="10"/>
        <v>1</v>
      </c>
      <c r="D82" s="4"/>
      <c r="F82" t="s">
        <v>43</v>
      </c>
      <c r="G82" t="s">
        <v>46</v>
      </c>
      <c r="M82">
        <f t="shared" si="11"/>
        <v>0</v>
      </c>
      <c r="N82">
        <f t="shared" si="9"/>
        <v>0</v>
      </c>
      <c r="P82" t="e">
        <f>INDEX(Items!B$2:B$1032,MATCH($O82,Items!$A$2:$A$1032,0))</f>
        <v>#N/A</v>
      </c>
      <c r="Q82" t="e">
        <f>INDEX(Items!C$2:C$1032,MATCH($O82,Items!$A$2:$A$1032,0))</f>
        <v>#N/A</v>
      </c>
      <c r="R82" t="e">
        <f>INDEX(Items!D$2:D$1032,MATCH($O82,Items!$A$2:$A$1032,0))</f>
        <v>#N/A</v>
      </c>
    </row>
    <row r="83" spans="1:18" x14ac:dyDescent="0.25">
      <c r="A83">
        <f t="shared" si="7"/>
        <v>1</v>
      </c>
      <c r="B83" t="str">
        <f t="shared" si="8"/>
        <v/>
      </c>
      <c r="C83">
        <f t="shared" si="10"/>
        <v>1</v>
      </c>
      <c r="D83" s="4"/>
      <c r="F83" t="e">
        <f>INDEX(Establishment!B$2:B$1005,MATCH($E83,Establishment!$A$2:$A$1005,0))</f>
        <v>#N/A</v>
      </c>
      <c r="G83" t="e">
        <f>INDEX(Establishment!C$2:C$1005,MATCH($E83,Establishment!$A$2:$A$1005,0))</f>
        <v>#N/A</v>
      </c>
      <c r="M83">
        <f t="shared" si="11"/>
        <v>0</v>
      </c>
      <c r="N83">
        <f t="shared" si="9"/>
        <v>0</v>
      </c>
      <c r="P83" t="e">
        <f>INDEX(Items!B$2:B$1032,MATCH($O83,Items!$A$2:$A$1032,0))</f>
        <v>#N/A</v>
      </c>
      <c r="Q83" t="e">
        <f>INDEX(Items!C$2:C$1032,MATCH($O83,Items!$A$2:$A$1032,0))</f>
        <v>#N/A</v>
      </c>
      <c r="R83" t="e">
        <f>INDEX(Items!D$2:D$1032,MATCH($O83,Items!$A$2:$A$1032,0))</f>
        <v>#N/A</v>
      </c>
    </row>
    <row r="84" spans="1:18" x14ac:dyDescent="0.25">
      <c r="A84">
        <f t="shared" si="7"/>
        <v>1</v>
      </c>
      <c r="B84" t="str">
        <f t="shared" si="8"/>
        <v/>
      </c>
      <c r="C84">
        <f t="shared" si="10"/>
        <v>1</v>
      </c>
      <c r="D84" s="4"/>
      <c r="F84" t="e">
        <f>INDEX(Establishment!B$2:B$1005,MATCH($E84,Establishment!$A$2:$A$1005,0))</f>
        <v>#N/A</v>
      </c>
      <c r="G84" t="e">
        <f>INDEX(Establishment!C$2:C$1005,MATCH($E84,Establishment!$A$2:$A$1005,0))</f>
        <v>#N/A</v>
      </c>
      <c r="M84">
        <f t="shared" si="11"/>
        <v>0</v>
      </c>
      <c r="N84">
        <f t="shared" si="9"/>
        <v>0</v>
      </c>
      <c r="P84" t="e">
        <f>INDEX(Items!B$2:B$1032,MATCH($O84,Items!$A$2:$A$1032,0))</f>
        <v>#N/A</v>
      </c>
      <c r="Q84" t="e">
        <f>INDEX(Items!C$2:C$1032,MATCH($O84,Items!$A$2:$A$1032,0))</f>
        <v>#N/A</v>
      </c>
      <c r="R84" t="e">
        <f>INDEX(Items!D$2:D$1032,MATCH($O84,Items!$A$2:$A$1032,0))</f>
        <v>#N/A</v>
      </c>
    </row>
    <row r="85" spans="1:18" x14ac:dyDescent="0.25">
      <c r="A85">
        <f t="shared" si="7"/>
        <v>1</v>
      </c>
      <c r="B85" t="str">
        <f t="shared" si="8"/>
        <v/>
      </c>
      <c r="C85">
        <f t="shared" si="10"/>
        <v>1</v>
      </c>
      <c r="D85" s="4"/>
      <c r="F85" t="e">
        <f>INDEX(Establishment!B$2:B$1005,MATCH($E85,Establishment!$A$2:$A$1005,0))</f>
        <v>#N/A</v>
      </c>
      <c r="G85" t="e">
        <f>INDEX(Establishment!C$2:C$1005,MATCH($E85,Establishment!$A$2:$A$1005,0))</f>
        <v>#N/A</v>
      </c>
      <c r="M85">
        <f t="shared" si="11"/>
        <v>0</v>
      </c>
      <c r="N85">
        <f t="shared" si="9"/>
        <v>0</v>
      </c>
      <c r="P85" t="e">
        <f>INDEX(Items!B$2:B$1032,MATCH($O85,Items!$A$2:$A$1032,0))</f>
        <v>#N/A</v>
      </c>
      <c r="Q85" t="e">
        <f>INDEX(Items!C$2:C$1032,MATCH($O85,Items!$A$2:$A$1032,0))</f>
        <v>#N/A</v>
      </c>
      <c r="R85" t="e">
        <f>INDEX(Items!D$2:D$1032,MATCH($O85,Items!$A$2:$A$1032,0))</f>
        <v>#N/A</v>
      </c>
    </row>
    <row r="86" spans="1:18" x14ac:dyDescent="0.25">
      <c r="A86">
        <f t="shared" si="7"/>
        <v>1</v>
      </c>
      <c r="B86" t="str">
        <f t="shared" si="8"/>
        <v/>
      </c>
      <c r="C86">
        <f t="shared" si="10"/>
        <v>1</v>
      </c>
      <c r="D86" s="4"/>
      <c r="F86" t="e">
        <f>INDEX(Establishment!B$2:B$1005,MATCH($E86,Establishment!$A$2:$A$1005,0))</f>
        <v>#N/A</v>
      </c>
      <c r="G86" t="e">
        <f>INDEX(Establishment!C$2:C$1005,MATCH($E86,Establishment!$A$2:$A$1005,0))</f>
        <v>#N/A</v>
      </c>
      <c r="M86">
        <f t="shared" si="11"/>
        <v>0</v>
      </c>
      <c r="N86">
        <f t="shared" si="9"/>
        <v>0</v>
      </c>
      <c r="P86" t="e">
        <f>INDEX(Items!B$2:B$1032,MATCH($O86,Items!$A$2:$A$1032,0))</f>
        <v>#N/A</v>
      </c>
      <c r="Q86" t="e">
        <f>INDEX(Items!C$2:C$1032,MATCH($O86,Items!$A$2:$A$1032,0))</f>
        <v>#N/A</v>
      </c>
      <c r="R86" t="e">
        <f>INDEX(Items!D$2:D$1032,MATCH($O86,Items!$A$2:$A$1032,0))</f>
        <v>#N/A</v>
      </c>
    </row>
    <row r="87" spans="1:18" x14ac:dyDescent="0.25">
      <c r="A87">
        <f t="shared" si="7"/>
        <v>1</v>
      </c>
      <c r="B87" t="str">
        <f t="shared" si="8"/>
        <v/>
      </c>
      <c r="C87">
        <f t="shared" si="10"/>
        <v>1</v>
      </c>
      <c r="D87" s="4"/>
      <c r="F87" t="e">
        <f>INDEX(Establishment!B$2:B$1005,MATCH($E87,Establishment!$A$2:$A$1005,0))</f>
        <v>#N/A</v>
      </c>
      <c r="G87" t="e">
        <f>INDEX(Establishment!C$2:C$1005,MATCH($E87,Establishment!$A$2:$A$1005,0))</f>
        <v>#N/A</v>
      </c>
      <c r="M87">
        <f t="shared" si="11"/>
        <v>0</v>
      </c>
      <c r="N87">
        <f t="shared" si="9"/>
        <v>0</v>
      </c>
      <c r="P87" t="e">
        <f>INDEX(Items!B$2:B$1032,MATCH($O87,Items!$A$2:$A$1032,0))</f>
        <v>#N/A</v>
      </c>
      <c r="Q87" t="e">
        <f>INDEX(Items!C$2:C$1032,MATCH($O87,Items!$A$2:$A$1032,0))</f>
        <v>#N/A</v>
      </c>
      <c r="R87" t="e">
        <f>INDEX(Items!D$2:D$1032,MATCH($O87,Items!$A$2:$A$1032,0))</f>
        <v>#N/A</v>
      </c>
    </row>
    <row r="88" spans="1:18" x14ac:dyDescent="0.25">
      <c r="A88">
        <f t="shared" si="7"/>
        <v>1</v>
      </c>
      <c r="B88" t="str">
        <f t="shared" si="8"/>
        <v/>
      </c>
      <c r="C88">
        <f t="shared" si="10"/>
        <v>1</v>
      </c>
      <c r="D88" s="4"/>
      <c r="F88" t="e">
        <f>INDEX(Establishment!B$2:B$1005,MATCH($E88,Establishment!$A$2:$A$1005,0))</f>
        <v>#N/A</v>
      </c>
      <c r="G88" t="e">
        <f>INDEX(Establishment!C$2:C$1005,MATCH($E88,Establishment!$A$2:$A$1005,0))</f>
        <v>#N/A</v>
      </c>
      <c r="M88">
        <f t="shared" si="11"/>
        <v>0</v>
      </c>
      <c r="N88">
        <f t="shared" si="9"/>
        <v>0</v>
      </c>
      <c r="P88" t="e">
        <f>INDEX(Items!B$2:B$1032,MATCH($O88,Items!$A$2:$A$1032,0))</f>
        <v>#N/A</v>
      </c>
      <c r="Q88" t="e">
        <f>INDEX(Items!C$2:C$1032,MATCH($O88,Items!$A$2:$A$1032,0))</f>
        <v>#N/A</v>
      </c>
      <c r="R88" t="e">
        <f>INDEX(Items!D$2:D$1032,MATCH($O88,Items!$A$2:$A$1032,0))</f>
        <v>#N/A</v>
      </c>
    </row>
    <row r="89" spans="1:18" x14ac:dyDescent="0.25">
      <c r="A89">
        <f t="shared" si="7"/>
        <v>1</v>
      </c>
      <c r="B89" t="str">
        <f t="shared" si="8"/>
        <v/>
      </c>
      <c r="C89">
        <f t="shared" si="10"/>
        <v>1</v>
      </c>
      <c r="D89" s="4"/>
      <c r="F89" t="e">
        <f>INDEX(Establishment!B$2:B$1005,MATCH($E89,Establishment!$A$2:$A$1005,0))</f>
        <v>#N/A</v>
      </c>
      <c r="G89" t="e">
        <f>INDEX(Establishment!C$2:C$1005,MATCH($E89,Establishment!$A$2:$A$1005,0))</f>
        <v>#N/A</v>
      </c>
      <c r="M89">
        <f t="shared" si="11"/>
        <v>0</v>
      </c>
      <c r="N89">
        <f t="shared" si="9"/>
        <v>0</v>
      </c>
      <c r="P89" t="e">
        <f>INDEX(Items!B$2:B$1032,MATCH($O89,Items!$A$2:$A$1032,0))</f>
        <v>#N/A</v>
      </c>
      <c r="Q89" t="e">
        <f>INDEX(Items!C$2:C$1032,MATCH($O89,Items!$A$2:$A$1032,0))</f>
        <v>#N/A</v>
      </c>
      <c r="R89" t="e">
        <f>INDEX(Items!D$2:D$1032,MATCH($O89,Items!$A$2:$A$1032,0))</f>
        <v>#N/A</v>
      </c>
    </row>
    <row r="90" spans="1:18" x14ac:dyDescent="0.25">
      <c r="A90">
        <f t="shared" si="7"/>
        <v>1</v>
      </c>
      <c r="B90" t="str">
        <f t="shared" si="8"/>
        <v/>
      </c>
      <c r="C90">
        <f t="shared" si="10"/>
        <v>1</v>
      </c>
      <c r="D90" s="4"/>
      <c r="F90" t="e">
        <f>INDEX(Establishment!B$2:B$1005,MATCH($E90,Establishment!$A$2:$A$1005,0))</f>
        <v>#N/A</v>
      </c>
      <c r="G90" t="e">
        <f>INDEX(Establishment!C$2:C$1005,MATCH($E90,Establishment!$A$2:$A$1005,0))</f>
        <v>#N/A</v>
      </c>
      <c r="M90">
        <f t="shared" si="11"/>
        <v>0</v>
      </c>
      <c r="N90">
        <f t="shared" si="9"/>
        <v>0</v>
      </c>
      <c r="P90" t="e">
        <f>INDEX(Items!B$2:B$1032,MATCH($O90,Items!$A$2:$A$1032,0))</f>
        <v>#N/A</v>
      </c>
      <c r="Q90" t="e">
        <f>INDEX(Items!C$2:C$1032,MATCH($O90,Items!$A$2:$A$1032,0))</f>
        <v>#N/A</v>
      </c>
      <c r="R90" t="e">
        <f>INDEX(Items!D$2:D$1032,MATCH($O90,Items!$A$2:$A$1032,0))</f>
        <v>#N/A</v>
      </c>
    </row>
    <row r="91" spans="1:18" x14ac:dyDescent="0.25">
      <c r="A91">
        <f t="shared" si="7"/>
        <v>1</v>
      </c>
      <c r="B91" t="str">
        <f t="shared" si="8"/>
        <v/>
      </c>
      <c r="C91">
        <f t="shared" si="10"/>
        <v>1</v>
      </c>
      <c r="D91" s="4"/>
      <c r="F91" t="e">
        <f>INDEX(Establishment!B$2:B$1005,MATCH($E91,Establishment!$A$2:$A$1005,0))</f>
        <v>#N/A</v>
      </c>
      <c r="G91" t="e">
        <f>INDEX(Establishment!C$2:C$1005,MATCH($E91,Establishment!$A$2:$A$1005,0))</f>
        <v>#N/A</v>
      </c>
      <c r="M91">
        <f t="shared" si="11"/>
        <v>0</v>
      </c>
      <c r="N91">
        <f t="shared" si="9"/>
        <v>0</v>
      </c>
      <c r="P91" t="e">
        <f>INDEX(Items!B$2:B$1032,MATCH($O91,Items!$A$2:$A$1032,0))</f>
        <v>#N/A</v>
      </c>
      <c r="Q91" t="e">
        <f>INDEX(Items!C$2:C$1032,MATCH($O91,Items!$A$2:$A$1032,0))</f>
        <v>#N/A</v>
      </c>
      <c r="R91" t="e">
        <f>INDEX(Items!D$2:D$1032,MATCH($O91,Items!$A$2:$A$1032,0))</f>
        <v>#N/A</v>
      </c>
    </row>
    <row r="92" spans="1:18" x14ac:dyDescent="0.25">
      <c r="A92">
        <f t="shared" si="7"/>
        <v>1</v>
      </c>
      <c r="B92" t="str">
        <f t="shared" si="8"/>
        <v/>
      </c>
      <c r="C92">
        <f t="shared" si="10"/>
        <v>1</v>
      </c>
      <c r="D92" s="4"/>
      <c r="F92" t="e">
        <f>INDEX(Establishment!B$2:B$1005,MATCH($E92,Establishment!$A$2:$A$1005,0))</f>
        <v>#N/A</v>
      </c>
      <c r="G92" t="e">
        <f>INDEX(Establishment!C$2:C$1005,MATCH($E92,Establishment!$A$2:$A$1005,0))</f>
        <v>#N/A</v>
      </c>
      <c r="M92">
        <f t="shared" si="11"/>
        <v>0</v>
      </c>
      <c r="N92">
        <f t="shared" si="9"/>
        <v>0</v>
      </c>
      <c r="P92" t="e">
        <f>INDEX(Items!B$2:B$1032,MATCH($O92,Items!$A$2:$A$1032,0))</f>
        <v>#N/A</v>
      </c>
      <c r="Q92" t="e">
        <f>INDEX(Items!C$2:C$1032,MATCH($O92,Items!$A$2:$A$1032,0))</f>
        <v>#N/A</v>
      </c>
      <c r="R92" t="e">
        <f>INDEX(Items!D$2:D$1032,MATCH($O92,Items!$A$2:$A$1032,0))</f>
        <v>#N/A</v>
      </c>
    </row>
    <row r="93" spans="1:18" x14ac:dyDescent="0.25">
      <c r="A93">
        <f t="shared" si="7"/>
        <v>1</v>
      </c>
      <c r="B93" t="str">
        <f t="shared" si="8"/>
        <v/>
      </c>
      <c r="C93">
        <f t="shared" si="10"/>
        <v>1</v>
      </c>
      <c r="D93" s="4"/>
      <c r="E93" t="s">
        <v>18</v>
      </c>
      <c r="F93" t="str">
        <f>INDEX(Establishment!B$2:B$1005,MATCH($E93,Establishment!$A$2:$A$1005,0))</f>
        <v xml:space="preserve"> </v>
      </c>
      <c r="G93" t="str">
        <f>INDEX(Establishment!C$2:C$1005,MATCH($E93,Establishment!$A$2:$A$1005,0))</f>
        <v xml:space="preserve"> </v>
      </c>
      <c r="M93">
        <f t="shared" si="11"/>
        <v>0</v>
      </c>
      <c r="N93">
        <f t="shared" si="9"/>
        <v>0</v>
      </c>
      <c r="P93" t="e">
        <f>INDEX(Items!B$2:B$1032,MATCH($O93,Items!$A$2:$A$1032,0))</f>
        <v>#N/A</v>
      </c>
      <c r="Q93" t="e">
        <f>INDEX(Items!C$2:C$1032,MATCH($O93,Items!$A$2:$A$1032,0))</f>
        <v>#N/A</v>
      </c>
      <c r="R93" t="e">
        <f>INDEX(Items!D$2:D$1032,MATCH($O93,Items!$A$2:$A$1032,0))</f>
        <v>#N/A</v>
      </c>
    </row>
    <row r="94" spans="1:18" x14ac:dyDescent="0.25">
      <c r="A94">
        <f t="shared" si="7"/>
        <v>1</v>
      </c>
      <c r="B94" t="str">
        <f t="shared" si="8"/>
        <v/>
      </c>
      <c r="C94">
        <f t="shared" si="10"/>
        <v>1</v>
      </c>
      <c r="D94" s="4"/>
      <c r="E94" t="s">
        <v>18</v>
      </c>
      <c r="F94" t="str">
        <f>INDEX(Establishment!B$2:B$1005,MATCH($E94,Establishment!$A$2:$A$1005,0))</f>
        <v xml:space="preserve"> </v>
      </c>
      <c r="G94" t="str">
        <f>INDEX(Establishment!C$2:C$1005,MATCH($E94,Establishment!$A$2:$A$1005,0))</f>
        <v xml:space="preserve"> </v>
      </c>
      <c r="M94">
        <f t="shared" si="11"/>
        <v>0</v>
      </c>
      <c r="N94">
        <f t="shared" si="9"/>
        <v>0</v>
      </c>
      <c r="P94" t="e">
        <f>INDEX(Items!B$2:B$1032,MATCH($O94,Items!$A$2:$A$1032,0))</f>
        <v>#N/A</v>
      </c>
      <c r="Q94" t="e">
        <f>INDEX(Items!C$2:C$1032,MATCH($O94,Items!$A$2:$A$1032,0))</f>
        <v>#N/A</v>
      </c>
      <c r="R94" t="e">
        <f>INDEX(Items!D$2:D$1032,MATCH($O94,Items!$A$2:$A$1032,0))</f>
        <v>#N/A</v>
      </c>
    </row>
    <row r="95" spans="1:18" x14ac:dyDescent="0.25">
      <c r="A95">
        <f t="shared" si="7"/>
        <v>1</v>
      </c>
      <c r="B95" t="str">
        <f t="shared" si="8"/>
        <v/>
      </c>
      <c r="C95">
        <f t="shared" si="10"/>
        <v>1</v>
      </c>
      <c r="D95" s="4"/>
      <c r="E95" t="s">
        <v>18</v>
      </c>
      <c r="F95" t="str">
        <f>INDEX(Establishment!B$2:B$1005,MATCH($E95,Establishment!$A$2:$A$1005,0))</f>
        <v xml:space="preserve"> </v>
      </c>
      <c r="G95" t="str">
        <f>INDEX(Establishment!C$2:C$1005,MATCH($E95,Establishment!$A$2:$A$1005,0))</f>
        <v xml:space="preserve"> </v>
      </c>
      <c r="M95">
        <f t="shared" si="11"/>
        <v>0</v>
      </c>
      <c r="N95">
        <f t="shared" si="9"/>
        <v>0</v>
      </c>
      <c r="P95" t="e">
        <f>INDEX(Items!B$2:B$1032,MATCH($O95,Items!$A$2:$A$1032,0))</f>
        <v>#N/A</v>
      </c>
      <c r="Q95" t="e">
        <f>INDEX(Items!C$2:C$1032,MATCH($O95,Items!$A$2:$A$1032,0))</f>
        <v>#N/A</v>
      </c>
      <c r="R95" t="e">
        <f>INDEX(Items!D$2:D$1032,MATCH($O95,Items!$A$2:$A$1032,0))</f>
        <v>#N/A</v>
      </c>
    </row>
    <row r="96" spans="1:18" x14ac:dyDescent="0.25">
      <c r="A96">
        <f t="shared" si="7"/>
        <v>1</v>
      </c>
      <c r="B96" t="str">
        <f t="shared" si="8"/>
        <v/>
      </c>
      <c r="C96">
        <f t="shared" si="10"/>
        <v>1</v>
      </c>
      <c r="D96" s="4"/>
      <c r="E96" t="s">
        <v>18</v>
      </c>
      <c r="F96" t="str">
        <f>INDEX(Establishment!B$2:B$1005,MATCH($E96,Establishment!$A$2:$A$1005,0))</f>
        <v xml:space="preserve"> </v>
      </c>
      <c r="G96" t="str">
        <f>INDEX(Establishment!C$2:C$1005,MATCH($E96,Establishment!$A$2:$A$1005,0))</f>
        <v xml:space="preserve"> </v>
      </c>
      <c r="M96">
        <f t="shared" si="11"/>
        <v>0</v>
      </c>
      <c r="N96">
        <f t="shared" si="9"/>
        <v>0</v>
      </c>
      <c r="P96" t="e">
        <f>INDEX(Items!B$2:B$1032,MATCH($O96,Items!$A$2:$A$1032,0))</f>
        <v>#N/A</v>
      </c>
      <c r="Q96" t="e">
        <f>INDEX(Items!C$2:C$1032,MATCH($O96,Items!$A$2:$A$1032,0))</f>
        <v>#N/A</v>
      </c>
      <c r="R96" t="e">
        <f>INDEX(Items!D$2:D$1032,MATCH($O96,Items!$A$2:$A$1032,0))</f>
        <v>#N/A</v>
      </c>
    </row>
    <row r="97" spans="1:18" x14ac:dyDescent="0.25">
      <c r="A97">
        <f t="shared" si="7"/>
        <v>1</v>
      </c>
      <c r="B97" t="str">
        <f t="shared" si="8"/>
        <v/>
      </c>
      <c r="C97">
        <f t="shared" si="10"/>
        <v>1</v>
      </c>
      <c r="D97" s="4"/>
      <c r="E97" t="s">
        <v>18</v>
      </c>
      <c r="F97" t="str">
        <f>INDEX(Establishment!B$2:B$1005,MATCH($E97,Establishment!$A$2:$A$1005,0))</f>
        <v xml:space="preserve"> </v>
      </c>
      <c r="G97" t="str">
        <f>INDEX(Establishment!C$2:C$1005,MATCH($E97,Establishment!$A$2:$A$1005,0))</f>
        <v xml:space="preserve"> </v>
      </c>
      <c r="M97">
        <f t="shared" si="11"/>
        <v>0</v>
      </c>
      <c r="N97">
        <f t="shared" si="9"/>
        <v>0</v>
      </c>
      <c r="P97" t="e">
        <f>INDEX(Items!B$2:B$1032,MATCH($O97,Items!$A$2:$A$1032,0))</f>
        <v>#N/A</v>
      </c>
      <c r="Q97" t="e">
        <f>INDEX(Items!C$2:C$1032,MATCH($O97,Items!$A$2:$A$1032,0))</f>
        <v>#N/A</v>
      </c>
      <c r="R97" t="e">
        <f>INDEX(Items!D$2:D$1032,MATCH($O97,Items!$A$2:$A$1032,0))</f>
        <v>#N/A</v>
      </c>
    </row>
    <row r="98" spans="1:18" x14ac:dyDescent="0.25">
      <c r="A98">
        <f t="shared" si="7"/>
        <v>1</v>
      </c>
      <c r="B98" t="str">
        <f t="shared" si="8"/>
        <v/>
      </c>
      <c r="C98">
        <f t="shared" si="10"/>
        <v>1</v>
      </c>
      <c r="D98" s="4"/>
      <c r="E98" t="s">
        <v>18</v>
      </c>
      <c r="F98" t="str">
        <f>INDEX(Establishment!B$2:B$1005,MATCH($E98,Establishment!$A$2:$A$1005,0))</f>
        <v xml:space="preserve"> </v>
      </c>
      <c r="G98" t="str">
        <f>INDEX(Establishment!C$2:C$1005,MATCH($E98,Establishment!$A$2:$A$1005,0))</f>
        <v xml:space="preserve"> </v>
      </c>
      <c r="M98">
        <f t="shared" si="11"/>
        <v>0</v>
      </c>
      <c r="N98">
        <f t="shared" si="9"/>
        <v>0</v>
      </c>
      <c r="P98" t="e">
        <f>INDEX(Items!B$2:B$1032,MATCH($O98,Items!$A$2:$A$1032,0))</f>
        <v>#N/A</v>
      </c>
      <c r="Q98" t="e">
        <f>INDEX(Items!C$2:C$1032,MATCH($O98,Items!$A$2:$A$1032,0))</f>
        <v>#N/A</v>
      </c>
      <c r="R98" t="e">
        <f>INDEX(Items!D$2:D$1032,MATCH($O98,Items!$A$2:$A$1032,0))</f>
        <v>#N/A</v>
      </c>
    </row>
    <row r="99" spans="1:18" x14ac:dyDescent="0.25">
      <c r="A99">
        <f t="shared" si="7"/>
        <v>1</v>
      </c>
      <c r="B99" t="str">
        <f t="shared" si="8"/>
        <v>20230621A</v>
      </c>
      <c r="C99">
        <f t="shared" si="10"/>
        <v>1</v>
      </c>
      <c r="D99" s="4">
        <v>45098</v>
      </c>
      <c r="E99" t="s">
        <v>39</v>
      </c>
      <c r="F99" t="str">
        <f>INDEX(Establishment!B$2:B$1005,MATCH($E99,Establishment!$A$2:$A$1005,0))</f>
        <v>Carenderia 14th Floor</v>
      </c>
      <c r="G99" t="str">
        <f>INDEX(Establishment!C$2:C$1005,MATCH($E99,Establishment!$A$2:$A$1005,0))</f>
        <v>ACC Tower Cebu Business Park</v>
      </c>
      <c r="M99">
        <f t="shared" si="11"/>
        <v>0</v>
      </c>
      <c r="N99">
        <f t="shared" si="9"/>
        <v>0</v>
      </c>
      <c r="P99" t="e">
        <f>INDEX(Items!B$2:B$1032,MATCH($O99,Items!$A$2:$A$1032,0))</f>
        <v>#N/A</v>
      </c>
      <c r="Q99" t="e">
        <f>INDEX(Items!C$2:C$1032,MATCH($O99,Items!$A$2:$A$1032,0))</f>
        <v>#N/A</v>
      </c>
      <c r="R99" t="e">
        <f>INDEX(Items!D$2:D$1032,MATCH($O99,Items!$A$2:$A$1032,0))</f>
        <v>#N/A</v>
      </c>
    </row>
    <row r="100" spans="1:18" x14ac:dyDescent="0.25">
      <c r="A100">
        <f t="shared" si="7"/>
        <v>1</v>
      </c>
      <c r="B100" t="str">
        <f t="shared" si="8"/>
        <v/>
      </c>
      <c r="C100">
        <f t="shared" si="10"/>
        <v>1</v>
      </c>
      <c r="D100" s="4"/>
      <c r="F100" t="e">
        <f>INDEX(Establishment!B$2:B$1005,MATCH($E100,Establishment!$A$2:$A$1005,0))</f>
        <v>#N/A</v>
      </c>
      <c r="G100" t="e">
        <f>INDEX(Establishment!C$2:C$1005,MATCH($E100,Establishment!$A$2:$A$1005,0))</f>
        <v>#N/A</v>
      </c>
      <c r="M100">
        <f t="shared" si="11"/>
        <v>0</v>
      </c>
      <c r="N100">
        <f t="shared" si="9"/>
        <v>0</v>
      </c>
      <c r="P100" t="e">
        <f>INDEX(Items!B$2:B$1032,MATCH($O100,Items!$A$2:$A$1032,0))</f>
        <v>#N/A</v>
      </c>
      <c r="Q100" t="e">
        <f>INDEX(Items!C$2:C$1032,MATCH($O100,Items!$A$2:$A$1032,0))</f>
        <v>#N/A</v>
      </c>
      <c r="R100" t="e">
        <f>INDEX(Items!D$2:D$1032,MATCH($O100,Items!$A$2:$A$1032,0))</f>
        <v>#N/A</v>
      </c>
    </row>
    <row r="101" spans="1:18" x14ac:dyDescent="0.25">
      <c r="A101">
        <f t="shared" si="7"/>
        <v>1</v>
      </c>
      <c r="B101" t="str">
        <f t="shared" si="8"/>
        <v/>
      </c>
      <c r="C101">
        <f t="shared" si="10"/>
        <v>1</v>
      </c>
      <c r="D101" s="4"/>
      <c r="E101" t="s">
        <v>18</v>
      </c>
      <c r="F101" t="str">
        <f>INDEX(Establishment!B$2:B$1005,MATCH($E101,Establishment!$A$2:$A$1005,0))</f>
        <v xml:space="preserve"> </v>
      </c>
      <c r="G101" t="str">
        <f>INDEX(Establishment!C$2:C$1005,MATCH($E101,Establishment!$A$2:$A$1005,0))</f>
        <v xml:space="preserve"> </v>
      </c>
      <c r="M101">
        <f t="shared" si="11"/>
        <v>0</v>
      </c>
      <c r="N101">
        <f t="shared" si="9"/>
        <v>0</v>
      </c>
      <c r="P101" t="e">
        <f>INDEX(Items!B$2:B$1032,MATCH($O101,Items!$A$2:$A$1032,0))</f>
        <v>#N/A</v>
      </c>
      <c r="Q101" t="e">
        <f>INDEX(Items!C$2:C$1032,MATCH($O101,Items!$A$2:$A$1032,0))</f>
        <v>#N/A</v>
      </c>
      <c r="R101" t="e">
        <f>INDEX(Items!D$2:D$1032,MATCH($O101,Items!$A$2:$A$1032,0))</f>
        <v>#N/A</v>
      </c>
    </row>
    <row r="102" spans="1:18" x14ac:dyDescent="0.25">
      <c r="A102">
        <f t="shared" si="7"/>
        <v>1</v>
      </c>
      <c r="B102" t="str">
        <f t="shared" si="8"/>
        <v/>
      </c>
      <c r="C102">
        <f t="shared" si="10"/>
        <v>1</v>
      </c>
      <c r="D102" s="4"/>
      <c r="E102" t="s">
        <v>18</v>
      </c>
      <c r="F102" t="str">
        <f>INDEX(Establishment!B$2:B$1005,MATCH($E102,Establishment!$A$2:$A$1005,0))</f>
        <v xml:space="preserve"> </v>
      </c>
      <c r="G102" t="str">
        <f>INDEX(Establishment!C$2:C$1005,MATCH($E102,Establishment!$A$2:$A$1005,0))</f>
        <v xml:space="preserve"> </v>
      </c>
      <c r="M102">
        <f t="shared" si="11"/>
        <v>0</v>
      </c>
      <c r="N102">
        <f t="shared" si="9"/>
        <v>0</v>
      </c>
      <c r="P102" t="e">
        <f>INDEX(Items!B$2:B$1032,MATCH($O102,Items!$A$2:$A$1032,0))</f>
        <v>#N/A</v>
      </c>
      <c r="Q102" t="e">
        <f>INDEX(Items!C$2:C$1032,MATCH($O102,Items!$A$2:$A$1032,0))</f>
        <v>#N/A</v>
      </c>
      <c r="R102" t="e">
        <f>INDEX(Items!D$2:D$1032,MATCH($O102,Items!$A$2:$A$1032,0))</f>
        <v>#N/A</v>
      </c>
    </row>
    <row r="103" spans="1:18" x14ac:dyDescent="0.25">
      <c r="A103">
        <f t="shared" si="7"/>
        <v>1</v>
      </c>
      <c r="B103" t="str">
        <f t="shared" si="8"/>
        <v/>
      </c>
      <c r="C103">
        <f t="shared" si="10"/>
        <v>1</v>
      </c>
      <c r="D103" s="4"/>
      <c r="E103" t="s">
        <v>18</v>
      </c>
      <c r="F103" t="str">
        <f>INDEX(Establishment!B$2:B$1005,MATCH($E103,Establishment!$A$2:$A$1005,0))</f>
        <v xml:space="preserve"> </v>
      </c>
      <c r="G103" t="str">
        <f>INDEX(Establishment!C$2:C$1005,MATCH($E103,Establishment!$A$2:$A$1005,0))</f>
        <v xml:space="preserve"> </v>
      </c>
      <c r="M103">
        <f t="shared" si="11"/>
        <v>0</v>
      </c>
      <c r="N103">
        <f t="shared" si="9"/>
        <v>0</v>
      </c>
      <c r="P103" t="e">
        <f>INDEX(Items!B$2:B$1032,MATCH($O103,Items!$A$2:$A$1032,0))</f>
        <v>#N/A</v>
      </c>
      <c r="Q103" t="e">
        <f>INDEX(Items!C$2:C$1032,MATCH($O103,Items!$A$2:$A$1032,0))</f>
        <v>#N/A</v>
      </c>
      <c r="R103" t="e">
        <f>INDEX(Items!D$2:D$1032,MATCH($O103,Items!$A$2:$A$1032,0))</f>
        <v>#N/A</v>
      </c>
    </row>
    <row r="104" spans="1:18" x14ac:dyDescent="0.25">
      <c r="A104">
        <f t="shared" si="7"/>
        <v>1</v>
      </c>
      <c r="B104" t="str">
        <f t="shared" si="8"/>
        <v/>
      </c>
      <c r="C104">
        <f t="shared" si="10"/>
        <v>1</v>
      </c>
      <c r="D104" s="4"/>
      <c r="E104" t="s">
        <v>18</v>
      </c>
      <c r="F104" t="str">
        <f>INDEX(Establishment!B$2:B$1005,MATCH($E104,Establishment!$A$2:$A$1005,0))</f>
        <v xml:space="preserve"> </v>
      </c>
      <c r="G104" t="str">
        <f>INDEX(Establishment!C$2:C$1005,MATCH($E104,Establishment!$A$2:$A$1005,0))</f>
        <v xml:space="preserve"> </v>
      </c>
      <c r="M104">
        <f t="shared" si="11"/>
        <v>0</v>
      </c>
      <c r="N104">
        <f t="shared" si="9"/>
        <v>0</v>
      </c>
      <c r="P104" t="e">
        <f>INDEX(Items!B$2:B$1032,MATCH($O104,Items!$A$2:$A$1032,0))</f>
        <v>#N/A</v>
      </c>
      <c r="Q104" t="e">
        <f>INDEX(Items!C$2:C$1032,MATCH($O104,Items!$A$2:$A$1032,0))</f>
        <v>#N/A</v>
      </c>
      <c r="R104" t="e">
        <f>INDEX(Items!D$2:D$1032,MATCH($O104,Items!$A$2:$A$1032,0))</f>
        <v>#N/A</v>
      </c>
    </row>
    <row r="105" spans="1:18" x14ac:dyDescent="0.25">
      <c r="A105">
        <f t="shared" si="7"/>
        <v>1</v>
      </c>
      <c r="B105" t="str">
        <f t="shared" si="8"/>
        <v/>
      </c>
      <c r="C105">
        <f t="shared" si="10"/>
        <v>1</v>
      </c>
      <c r="D105" s="4"/>
      <c r="E105" t="s">
        <v>18</v>
      </c>
      <c r="F105" t="str">
        <f>INDEX(Establishment!B$2:B$1005,MATCH($E105,Establishment!$A$2:$A$1005,0))</f>
        <v xml:space="preserve"> </v>
      </c>
      <c r="G105" t="str">
        <f>INDEX(Establishment!C$2:C$1005,MATCH($E105,Establishment!$A$2:$A$1005,0))</f>
        <v xml:space="preserve"> </v>
      </c>
      <c r="M105">
        <f t="shared" si="11"/>
        <v>0</v>
      </c>
      <c r="N105">
        <f t="shared" si="9"/>
        <v>0</v>
      </c>
      <c r="P105" t="e">
        <f>INDEX(Items!B$2:B$1032,MATCH($O105,Items!$A$2:$A$1032,0))</f>
        <v>#N/A</v>
      </c>
      <c r="Q105" t="e">
        <f>INDEX(Items!C$2:C$1032,MATCH($O105,Items!$A$2:$A$1032,0))</f>
        <v>#N/A</v>
      </c>
      <c r="R105" t="e">
        <f>INDEX(Items!D$2:D$1032,MATCH($O105,Items!$A$2:$A$1032,0))</f>
        <v>#N/A</v>
      </c>
    </row>
    <row r="106" spans="1:18" x14ac:dyDescent="0.25">
      <c r="A106">
        <f t="shared" si="7"/>
        <v>1</v>
      </c>
      <c r="B106" t="str">
        <f t="shared" si="8"/>
        <v/>
      </c>
      <c r="C106">
        <f t="shared" si="10"/>
        <v>1</v>
      </c>
      <c r="D106" s="4"/>
      <c r="E106" t="s">
        <v>18</v>
      </c>
      <c r="F106" t="str">
        <f>INDEX(Establishment!B$2:B$1005,MATCH($E106,Establishment!$A$2:$A$1005,0))</f>
        <v xml:space="preserve"> </v>
      </c>
      <c r="G106" t="str">
        <f>INDEX(Establishment!C$2:C$1005,MATCH($E106,Establishment!$A$2:$A$1005,0))</f>
        <v xml:space="preserve"> </v>
      </c>
      <c r="M106">
        <f t="shared" si="11"/>
        <v>0</v>
      </c>
      <c r="N106">
        <f t="shared" si="9"/>
        <v>0</v>
      </c>
      <c r="P106" t="e">
        <f>INDEX(Items!B$2:B$1032,MATCH($O106,Items!$A$2:$A$1032,0))</f>
        <v>#N/A</v>
      </c>
      <c r="Q106" t="e">
        <f>INDEX(Items!C$2:C$1032,MATCH($O106,Items!$A$2:$A$1032,0))</f>
        <v>#N/A</v>
      </c>
      <c r="R106" t="e">
        <f>INDEX(Items!D$2:D$1032,MATCH($O106,Items!$A$2:$A$1032,0))</f>
        <v>#N/A</v>
      </c>
    </row>
    <row r="107" spans="1:18" x14ac:dyDescent="0.25">
      <c r="A107">
        <f t="shared" si="7"/>
        <v>1</v>
      </c>
      <c r="B107" t="str">
        <f t="shared" si="8"/>
        <v/>
      </c>
      <c r="C107">
        <f t="shared" si="10"/>
        <v>1</v>
      </c>
      <c r="D107" s="4"/>
      <c r="E107" t="s">
        <v>18</v>
      </c>
      <c r="F107" t="str">
        <f>INDEX(Establishment!B$2:B$1005,MATCH($E107,Establishment!$A$2:$A$1005,0))</f>
        <v xml:space="preserve"> </v>
      </c>
      <c r="G107" t="str">
        <f>INDEX(Establishment!C$2:C$1005,MATCH($E107,Establishment!$A$2:$A$1005,0))</f>
        <v xml:space="preserve"> </v>
      </c>
      <c r="M107">
        <f t="shared" si="11"/>
        <v>0</v>
      </c>
      <c r="N107">
        <f t="shared" si="9"/>
        <v>0</v>
      </c>
      <c r="P107" t="e">
        <f>INDEX(Items!B$2:B$1032,MATCH($O107,Items!$A$2:$A$1032,0))</f>
        <v>#N/A</v>
      </c>
      <c r="Q107" t="e">
        <f>INDEX(Items!C$2:C$1032,MATCH($O107,Items!$A$2:$A$1032,0))</f>
        <v>#N/A</v>
      </c>
      <c r="R107" t="e">
        <f>INDEX(Items!D$2:D$1032,MATCH($O107,Items!$A$2:$A$1032,0))</f>
        <v>#N/A</v>
      </c>
    </row>
    <row r="108" spans="1:18" x14ac:dyDescent="0.25">
      <c r="A108">
        <f t="shared" si="7"/>
        <v>1</v>
      </c>
      <c r="B108" t="str">
        <f t="shared" si="8"/>
        <v/>
      </c>
      <c r="C108">
        <f t="shared" si="10"/>
        <v>1</v>
      </c>
      <c r="D108" s="4"/>
      <c r="E108" t="s">
        <v>18</v>
      </c>
      <c r="F108" t="str">
        <f>INDEX(Establishment!B$2:B$1005,MATCH($E108,Establishment!$A$2:$A$1005,0))</f>
        <v xml:space="preserve"> </v>
      </c>
      <c r="G108" t="str">
        <f>INDEX(Establishment!C$2:C$1005,MATCH($E108,Establishment!$A$2:$A$1005,0))</f>
        <v xml:space="preserve"> </v>
      </c>
      <c r="M108">
        <f t="shared" si="11"/>
        <v>0</v>
      </c>
      <c r="N108">
        <f t="shared" si="9"/>
        <v>0</v>
      </c>
      <c r="P108" t="e">
        <f>INDEX(Items!B$2:B$1032,MATCH($O108,Items!$A$2:$A$1032,0))</f>
        <v>#N/A</v>
      </c>
      <c r="Q108" t="e">
        <f>INDEX(Items!C$2:C$1032,MATCH($O108,Items!$A$2:$A$1032,0))</f>
        <v>#N/A</v>
      </c>
      <c r="R108" t="e">
        <f>INDEX(Items!D$2:D$1032,MATCH($O108,Items!$A$2:$A$1032,0))</f>
        <v>#N/A</v>
      </c>
    </row>
    <row r="109" spans="1:18" x14ac:dyDescent="0.25">
      <c r="A109">
        <f t="shared" si="7"/>
        <v>1</v>
      </c>
      <c r="B109" t="str">
        <f t="shared" si="8"/>
        <v/>
      </c>
      <c r="C109">
        <f t="shared" si="10"/>
        <v>1</v>
      </c>
      <c r="D109" s="4"/>
      <c r="E109" t="s">
        <v>18</v>
      </c>
      <c r="F109" t="str">
        <f>INDEX(Establishment!B$2:B$1005,MATCH($E109,Establishment!$A$2:$A$1005,0))</f>
        <v xml:space="preserve"> </v>
      </c>
      <c r="G109" t="str">
        <f>INDEX(Establishment!C$2:C$1005,MATCH($E109,Establishment!$A$2:$A$1005,0))</f>
        <v xml:space="preserve"> </v>
      </c>
      <c r="M109">
        <f t="shared" si="11"/>
        <v>0</v>
      </c>
      <c r="N109">
        <f t="shared" si="9"/>
        <v>0</v>
      </c>
      <c r="P109" t="e">
        <f>INDEX(Items!B$2:B$1032,MATCH($O109,Items!$A$2:$A$1032,0))</f>
        <v>#N/A</v>
      </c>
      <c r="Q109" t="e">
        <f>INDEX(Items!C$2:C$1032,MATCH($O109,Items!$A$2:$A$1032,0))</f>
        <v>#N/A</v>
      </c>
      <c r="R109" t="e">
        <f>INDEX(Items!D$2:D$1032,MATCH($O109,Items!$A$2:$A$1032,0))</f>
        <v>#N/A</v>
      </c>
    </row>
    <row r="110" spans="1:18" x14ac:dyDescent="0.25">
      <c r="A110">
        <f t="shared" si="7"/>
        <v>1</v>
      </c>
      <c r="B110" t="str">
        <f t="shared" si="8"/>
        <v/>
      </c>
      <c r="C110">
        <f t="shared" si="10"/>
        <v>1</v>
      </c>
      <c r="D110" s="4"/>
      <c r="E110" t="s">
        <v>18</v>
      </c>
      <c r="F110" t="str">
        <f>INDEX(Establishment!B$2:B$1005,MATCH($E110,Establishment!$A$2:$A$1005,0))</f>
        <v xml:space="preserve"> </v>
      </c>
      <c r="G110" t="str">
        <f>INDEX(Establishment!C$2:C$1005,MATCH($E110,Establishment!$A$2:$A$1005,0))</f>
        <v xml:space="preserve"> </v>
      </c>
      <c r="M110">
        <f t="shared" si="11"/>
        <v>0</v>
      </c>
      <c r="N110">
        <f t="shared" si="9"/>
        <v>0</v>
      </c>
      <c r="P110" t="e">
        <f>INDEX(Items!B$2:B$1032,MATCH($O110,Items!$A$2:$A$1032,0))</f>
        <v>#N/A</v>
      </c>
      <c r="Q110" t="e">
        <f>INDEX(Items!C$2:C$1032,MATCH($O110,Items!$A$2:$A$1032,0))</f>
        <v>#N/A</v>
      </c>
      <c r="R110" t="e">
        <f>INDEX(Items!D$2:D$1032,MATCH($O110,Items!$A$2:$A$1032,0))</f>
        <v>#N/A</v>
      </c>
    </row>
    <row r="111" spans="1:18" x14ac:dyDescent="0.25">
      <c r="A111">
        <f t="shared" si="7"/>
        <v>1</v>
      </c>
      <c r="B111" t="str">
        <f t="shared" si="8"/>
        <v/>
      </c>
      <c r="C111">
        <f t="shared" si="10"/>
        <v>1</v>
      </c>
      <c r="D111" s="4"/>
      <c r="E111" t="s">
        <v>18</v>
      </c>
      <c r="F111" t="str">
        <f>INDEX(Establishment!B$2:B$1005,MATCH($E111,Establishment!$A$2:$A$1005,0))</f>
        <v xml:space="preserve"> </v>
      </c>
      <c r="G111" t="str">
        <f>INDEX(Establishment!C$2:C$1005,MATCH($E111,Establishment!$A$2:$A$1005,0))</f>
        <v xml:space="preserve"> </v>
      </c>
      <c r="M111">
        <f t="shared" si="11"/>
        <v>0</v>
      </c>
      <c r="N111">
        <f t="shared" si="9"/>
        <v>0</v>
      </c>
      <c r="P111" t="e">
        <f>INDEX(Items!B$2:B$1032,MATCH($O111,Items!$A$2:$A$1032,0))</f>
        <v>#N/A</v>
      </c>
      <c r="Q111" t="e">
        <f>INDEX(Items!C$2:C$1032,MATCH($O111,Items!$A$2:$A$1032,0))</f>
        <v>#N/A</v>
      </c>
      <c r="R111" t="e">
        <f>INDEX(Items!D$2:D$1032,MATCH($O111,Items!$A$2:$A$1032,0))</f>
        <v>#N/A</v>
      </c>
    </row>
    <row r="112" spans="1:18" x14ac:dyDescent="0.25">
      <c r="A112">
        <f t="shared" si="7"/>
        <v>1</v>
      </c>
      <c r="B112" t="str">
        <f t="shared" si="8"/>
        <v/>
      </c>
      <c r="C112">
        <f t="shared" si="10"/>
        <v>1</v>
      </c>
      <c r="D112" s="4"/>
      <c r="E112" t="s">
        <v>18</v>
      </c>
      <c r="F112" t="str">
        <f>INDEX(Establishment!B$2:B$1005,MATCH($E112,Establishment!$A$2:$A$1005,0))</f>
        <v xml:space="preserve"> </v>
      </c>
      <c r="G112" t="str">
        <f>INDEX(Establishment!C$2:C$1005,MATCH($E112,Establishment!$A$2:$A$1005,0))</f>
        <v xml:space="preserve"> </v>
      </c>
      <c r="M112">
        <f t="shared" si="11"/>
        <v>0</v>
      </c>
      <c r="N112">
        <f t="shared" si="9"/>
        <v>0</v>
      </c>
      <c r="P112" t="e">
        <f>INDEX(Items!B$2:B$1032,MATCH($O112,Items!$A$2:$A$1032,0))</f>
        <v>#N/A</v>
      </c>
      <c r="Q112" t="e">
        <f>INDEX(Items!C$2:C$1032,MATCH($O112,Items!$A$2:$A$1032,0))</f>
        <v>#N/A</v>
      </c>
      <c r="R112" t="e">
        <f>INDEX(Items!D$2:D$1032,MATCH($O112,Items!$A$2:$A$1032,0))</f>
        <v>#N/A</v>
      </c>
    </row>
    <row r="113" spans="1:18" x14ac:dyDescent="0.25">
      <c r="A113">
        <f t="shared" si="7"/>
        <v>1</v>
      </c>
      <c r="B113" t="str">
        <f t="shared" si="8"/>
        <v/>
      </c>
      <c r="C113">
        <f t="shared" si="10"/>
        <v>1</v>
      </c>
      <c r="D113" s="4"/>
      <c r="E113" t="s">
        <v>18</v>
      </c>
      <c r="F113" t="str">
        <f>INDEX(Establishment!B$2:B$1005,MATCH($E113,Establishment!$A$2:$A$1005,0))</f>
        <v xml:space="preserve"> </v>
      </c>
      <c r="G113" t="str">
        <f>INDEX(Establishment!C$2:C$1005,MATCH($E113,Establishment!$A$2:$A$1005,0))</f>
        <v xml:space="preserve"> </v>
      </c>
      <c r="M113">
        <f t="shared" si="11"/>
        <v>0</v>
      </c>
      <c r="N113">
        <f t="shared" si="9"/>
        <v>0</v>
      </c>
      <c r="P113" t="e">
        <f>INDEX(Items!B$2:B$1032,MATCH($O113,Items!$A$2:$A$1032,0))</f>
        <v>#N/A</v>
      </c>
      <c r="Q113" t="e">
        <f>INDEX(Items!C$2:C$1032,MATCH($O113,Items!$A$2:$A$1032,0))</f>
        <v>#N/A</v>
      </c>
      <c r="R113" t="e">
        <f>INDEX(Items!D$2:D$1032,MATCH($O113,Items!$A$2:$A$1032,0))</f>
        <v>#N/A</v>
      </c>
    </row>
    <row r="114" spans="1:18" x14ac:dyDescent="0.25">
      <c r="A114">
        <f t="shared" si="7"/>
        <v>1</v>
      </c>
      <c r="B114" t="str">
        <f t="shared" si="8"/>
        <v/>
      </c>
      <c r="C114">
        <f t="shared" si="10"/>
        <v>1</v>
      </c>
      <c r="D114" s="4"/>
      <c r="E114" t="s">
        <v>18</v>
      </c>
      <c r="F114" t="str">
        <f>INDEX(Establishment!B$2:B$1005,MATCH($E114,Establishment!$A$2:$A$1005,0))</f>
        <v xml:space="preserve"> </v>
      </c>
      <c r="G114" t="str">
        <f>INDEX(Establishment!C$2:C$1005,MATCH($E114,Establishment!$A$2:$A$1005,0))</f>
        <v xml:space="preserve"> </v>
      </c>
      <c r="M114">
        <f t="shared" si="11"/>
        <v>0</v>
      </c>
      <c r="N114">
        <f t="shared" si="9"/>
        <v>0</v>
      </c>
      <c r="P114" t="e">
        <f>INDEX(Items!B$2:B$1032,MATCH($O114,Items!$A$2:$A$1032,0))</f>
        <v>#N/A</v>
      </c>
      <c r="Q114" t="e">
        <f>INDEX(Items!C$2:C$1032,MATCH($O114,Items!$A$2:$A$1032,0))</f>
        <v>#N/A</v>
      </c>
      <c r="R114" t="e">
        <f>INDEX(Items!D$2:D$1032,MATCH($O114,Items!$A$2:$A$1032,0))</f>
        <v>#N/A</v>
      </c>
    </row>
    <row r="115" spans="1:18" x14ac:dyDescent="0.25">
      <c r="A115">
        <f t="shared" si="7"/>
        <v>1</v>
      </c>
      <c r="B115" t="str">
        <f t="shared" si="8"/>
        <v/>
      </c>
      <c r="C115">
        <f t="shared" si="10"/>
        <v>1</v>
      </c>
      <c r="D115" s="4"/>
      <c r="E115" t="s">
        <v>18</v>
      </c>
      <c r="F115" t="str">
        <f>INDEX(Establishment!B$2:B$1005,MATCH($E115,Establishment!$A$2:$A$1005,0))</f>
        <v xml:space="preserve"> </v>
      </c>
      <c r="G115" t="str">
        <f>INDEX(Establishment!C$2:C$1005,MATCH($E115,Establishment!$A$2:$A$1005,0))</f>
        <v xml:space="preserve"> </v>
      </c>
      <c r="M115">
        <f t="shared" si="11"/>
        <v>0</v>
      </c>
      <c r="N115">
        <f t="shared" si="9"/>
        <v>0</v>
      </c>
      <c r="P115" t="e">
        <f>INDEX(Items!B$2:B$1032,MATCH($O115,Items!$A$2:$A$1032,0))</f>
        <v>#N/A</v>
      </c>
      <c r="Q115" t="e">
        <f>INDEX(Items!C$2:C$1032,MATCH($O115,Items!$A$2:$A$1032,0))</f>
        <v>#N/A</v>
      </c>
      <c r="R115" t="e">
        <f>INDEX(Items!D$2:D$1032,MATCH($O115,Items!$A$2:$A$1032,0))</f>
        <v>#N/A</v>
      </c>
    </row>
    <row r="116" spans="1:18" x14ac:dyDescent="0.25">
      <c r="A116">
        <f t="shared" si="7"/>
        <v>1</v>
      </c>
      <c r="B116" t="str">
        <f t="shared" si="8"/>
        <v/>
      </c>
      <c r="C116">
        <f t="shared" si="10"/>
        <v>1</v>
      </c>
      <c r="D116" s="4"/>
      <c r="E116" t="s">
        <v>18</v>
      </c>
      <c r="F116" t="str">
        <f>INDEX(Establishment!B$2:B$1005,MATCH($E116,Establishment!$A$2:$A$1005,0))</f>
        <v xml:space="preserve"> </v>
      </c>
      <c r="G116" t="str">
        <f>INDEX(Establishment!C$2:C$1005,MATCH($E116,Establishment!$A$2:$A$1005,0))</f>
        <v xml:space="preserve"> </v>
      </c>
      <c r="M116">
        <f t="shared" si="11"/>
        <v>0</v>
      </c>
      <c r="N116">
        <f t="shared" si="9"/>
        <v>0</v>
      </c>
      <c r="P116" t="e">
        <f>INDEX(Items!B$2:B$1032,MATCH($O116,Items!$A$2:$A$1032,0))</f>
        <v>#N/A</v>
      </c>
      <c r="Q116" t="e">
        <f>INDEX(Items!C$2:C$1032,MATCH($O116,Items!$A$2:$A$1032,0))</f>
        <v>#N/A</v>
      </c>
      <c r="R116" t="e">
        <f>INDEX(Items!D$2:D$1032,MATCH($O116,Items!$A$2:$A$1032,0))</f>
        <v>#N/A</v>
      </c>
    </row>
    <row r="117" spans="1:18" x14ac:dyDescent="0.25">
      <c r="A117">
        <f t="shared" si="7"/>
        <v>1</v>
      </c>
      <c r="B117" t="str">
        <f t="shared" si="8"/>
        <v/>
      </c>
      <c r="C117">
        <f t="shared" si="10"/>
        <v>1</v>
      </c>
      <c r="D117" s="4"/>
      <c r="E117" t="s">
        <v>18</v>
      </c>
      <c r="F117" t="str">
        <f>INDEX(Establishment!B$2:B$1005,MATCH($E117,Establishment!$A$2:$A$1005,0))</f>
        <v xml:space="preserve"> </v>
      </c>
      <c r="G117" t="str">
        <f>INDEX(Establishment!C$2:C$1005,MATCH($E117,Establishment!$A$2:$A$1005,0))</f>
        <v xml:space="preserve"> </v>
      </c>
      <c r="M117">
        <f t="shared" si="11"/>
        <v>0</v>
      </c>
      <c r="N117">
        <f t="shared" si="9"/>
        <v>0</v>
      </c>
      <c r="P117" t="e">
        <f>INDEX(Items!B$2:B$1032,MATCH($O117,Items!$A$2:$A$1032,0))</f>
        <v>#N/A</v>
      </c>
      <c r="Q117" t="e">
        <f>INDEX(Items!C$2:C$1032,MATCH($O117,Items!$A$2:$A$1032,0))</f>
        <v>#N/A</v>
      </c>
      <c r="R117" t="e">
        <f>INDEX(Items!D$2:D$1032,MATCH($O117,Items!$A$2:$A$1032,0))</f>
        <v>#N/A</v>
      </c>
    </row>
    <row r="118" spans="1:18" x14ac:dyDescent="0.25">
      <c r="A118">
        <f t="shared" si="7"/>
        <v>1</v>
      </c>
      <c r="B118" t="str">
        <f t="shared" si="8"/>
        <v/>
      </c>
      <c r="C118">
        <f t="shared" si="10"/>
        <v>1</v>
      </c>
      <c r="D118" s="4"/>
      <c r="E118" t="s">
        <v>18</v>
      </c>
      <c r="F118" t="str">
        <f>INDEX(Establishment!B$2:B$1005,MATCH($E118,Establishment!$A$2:$A$1005,0))</f>
        <v xml:space="preserve"> </v>
      </c>
      <c r="G118" t="str">
        <f>INDEX(Establishment!C$2:C$1005,MATCH($E118,Establishment!$A$2:$A$1005,0))</f>
        <v xml:space="preserve"> </v>
      </c>
      <c r="M118">
        <f t="shared" si="11"/>
        <v>0</v>
      </c>
      <c r="N118">
        <f t="shared" si="9"/>
        <v>0</v>
      </c>
      <c r="P118" t="e">
        <f>INDEX(Items!B$2:B$1032,MATCH($O118,Items!$A$2:$A$1032,0))</f>
        <v>#N/A</v>
      </c>
      <c r="Q118" t="e">
        <f>INDEX(Items!C$2:C$1032,MATCH($O118,Items!$A$2:$A$1032,0))</f>
        <v>#N/A</v>
      </c>
      <c r="R118" t="e">
        <f>INDEX(Items!D$2:D$1032,MATCH($O118,Items!$A$2:$A$1032,0))</f>
        <v>#N/A</v>
      </c>
    </row>
    <row r="119" spans="1:18" x14ac:dyDescent="0.25">
      <c r="A119">
        <f t="shared" si="7"/>
        <v>1</v>
      </c>
      <c r="B119" t="str">
        <f t="shared" si="8"/>
        <v/>
      </c>
      <c r="C119">
        <f t="shared" si="10"/>
        <v>1</v>
      </c>
      <c r="D119" s="4"/>
      <c r="E119" t="s">
        <v>18</v>
      </c>
      <c r="F119" t="str">
        <f>INDEX(Establishment!B$2:B$1005,MATCH($E119,Establishment!$A$2:$A$1005,0))</f>
        <v xml:space="preserve"> </v>
      </c>
      <c r="G119" t="str">
        <f>INDEX(Establishment!C$2:C$1005,MATCH($E119,Establishment!$A$2:$A$1005,0))</f>
        <v xml:space="preserve"> </v>
      </c>
      <c r="M119">
        <f t="shared" si="11"/>
        <v>0</v>
      </c>
      <c r="N119">
        <f t="shared" si="9"/>
        <v>0</v>
      </c>
      <c r="P119" t="e">
        <f>INDEX(Items!B$2:B$1032,MATCH($O119,Items!$A$2:$A$1032,0))</f>
        <v>#N/A</v>
      </c>
      <c r="Q119" t="e">
        <f>INDEX(Items!C$2:C$1032,MATCH($O119,Items!$A$2:$A$1032,0))</f>
        <v>#N/A</v>
      </c>
      <c r="R119" t="e">
        <f>INDEX(Items!D$2:D$1032,MATCH($O119,Items!$A$2:$A$1032,0))</f>
        <v>#N/A</v>
      </c>
    </row>
    <row r="120" spans="1:18" x14ac:dyDescent="0.25">
      <c r="A120">
        <f t="shared" si="7"/>
        <v>1</v>
      </c>
      <c r="B120" t="str">
        <f t="shared" si="8"/>
        <v/>
      </c>
      <c r="C120">
        <f t="shared" si="10"/>
        <v>1</v>
      </c>
      <c r="D120" s="4"/>
      <c r="E120" t="s">
        <v>18</v>
      </c>
      <c r="F120" t="str">
        <f>INDEX(Establishment!B$2:B$1005,MATCH($E120,Establishment!$A$2:$A$1005,0))</f>
        <v xml:space="preserve"> </v>
      </c>
      <c r="G120" t="str">
        <f>INDEX(Establishment!C$2:C$1005,MATCH($E120,Establishment!$A$2:$A$1005,0))</f>
        <v xml:space="preserve"> </v>
      </c>
      <c r="M120">
        <f t="shared" si="11"/>
        <v>0</v>
      </c>
      <c r="N120">
        <f t="shared" si="9"/>
        <v>0</v>
      </c>
      <c r="P120" t="e">
        <f>INDEX(Items!B$2:B$1032,MATCH($O120,Items!$A$2:$A$1032,0))</f>
        <v>#N/A</v>
      </c>
      <c r="Q120" t="e">
        <f>INDEX(Items!C$2:C$1032,MATCH($O120,Items!$A$2:$A$1032,0))</f>
        <v>#N/A</v>
      </c>
      <c r="R120" t="e">
        <f>INDEX(Items!D$2:D$1032,MATCH($O120,Items!$A$2:$A$1032,0))</f>
        <v>#N/A</v>
      </c>
    </row>
    <row r="121" spans="1:18" x14ac:dyDescent="0.25">
      <c r="A121">
        <f t="shared" si="7"/>
        <v>1</v>
      </c>
      <c r="B121" t="str">
        <f t="shared" si="8"/>
        <v/>
      </c>
      <c r="C121">
        <f t="shared" si="10"/>
        <v>1</v>
      </c>
      <c r="D121" s="4"/>
      <c r="E121" t="s">
        <v>18</v>
      </c>
      <c r="F121" t="str">
        <f>INDEX(Establishment!B$2:B$1005,MATCH($E121,Establishment!$A$2:$A$1005,0))</f>
        <v xml:space="preserve"> </v>
      </c>
      <c r="G121" t="str">
        <f>INDEX(Establishment!C$2:C$1005,MATCH($E121,Establishment!$A$2:$A$1005,0))</f>
        <v xml:space="preserve"> </v>
      </c>
      <c r="M121">
        <f t="shared" si="11"/>
        <v>0</v>
      </c>
      <c r="N121">
        <f t="shared" si="9"/>
        <v>0</v>
      </c>
      <c r="P121" t="e">
        <f>INDEX(Items!B$2:B$1032,MATCH($O121,Items!$A$2:$A$1032,0))</f>
        <v>#N/A</v>
      </c>
      <c r="Q121" t="e">
        <f>INDEX(Items!C$2:C$1032,MATCH($O121,Items!$A$2:$A$1032,0))</f>
        <v>#N/A</v>
      </c>
      <c r="R121" t="e">
        <f>INDEX(Items!D$2:D$1032,MATCH($O121,Items!$A$2:$A$1032,0))</f>
        <v>#N/A</v>
      </c>
    </row>
    <row r="122" spans="1:18" x14ac:dyDescent="0.25">
      <c r="A122">
        <f t="shared" si="7"/>
        <v>1</v>
      </c>
      <c r="B122" t="str">
        <f t="shared" si="8"/>
        <v/>
      </c>
      <c r="C122">
        <f t="shared" si="10"/>
        <v>1</v>
      </c>
      <c r="D122" s="4"/>
      <c r="E122" t="s">
        <v>18</v>
      </c>
      <c r="F122" t="str">
        <f>INDEX(Establishment!B$2:B$1005,MATCH($E122,Establishment!$A$2:$A$1005,0))</f>
        <v xml:space="preserve"> </v>
      </c>
      <c r="G122" t="str">
        <f>INDEX(Establishment!C$2:C$1005,MATCH($E122,Establishment!$A$2:$A$1005,0))</f>
        <v xml:space="preserve"> </v>
      </c>
      <c r="M122">
        <f t="shared" si="11"/>
        <v>0</v>
      </c>
      <c r="N122">
        <f t="shared" si="9"/>
        <v>0</v>
      </c>
      <c r="P122" t="e">
        <f>INDEX(Items!B$2:B$1032,MATCH($O122,Items!$A$2:$A$1032,0))</f>
        <v>#N/A</v>
      </c>
      <c r="Q122" t="e">
        <f>INDEX(Items!C$2:C$1032,MATCH($O122,Items!$A$2:$A$1032,0))</f>
        <v>#N/A</v>
      </c>
      <c r="R122" t="e">
        <f>INDEX(Items!D$2:D$1032,MATCH($O122,Items!$A$2:$A$1032,0))</f>
        <v>#N/A</v>
      </c>
    </row>
    <row r="123" spans="1:18" x14ac:dyDescent="0.25">
      <c r="A123">
        <f t="shared" si="7"/>
        <v>1</v>
      </c>
      <c r="B123" t="str">
        <f t="shared" si="8"/>
        <v/>
      </c>
      <c r="C123">
        <f t="shared" si="10"/>
        <v>1</v>
      </c>
      <c r="D123" s="4"/>
      <c r="E123" t="s">
        <v>18</v>
      </c>
      <c r="F123" t="str">
        <f>INDEX(Establishment!B$2:B$1005,MATCH($E123,Establishment!$A$2:$A$1005,0))</f>
        <v xml:space="preserve"> </v>
      </c>
      <c r="G123" t="str">
        <f>INDEX(Establishment!C$2:C$1005,MATCH($E123,Establishment!$A$2:$A$1005,0))</f>
        <v xml:space="preserve"> </v>
      </c>
      <c r="M123">
        <f t="shared" si="11"/>
        <v>0</v>
      </c>
      <c r="N123">
        <f t="shared" si="9"/>
        <v>0</v>
      </c>
      <c r="P123" t="e">
        <f>INDEX(Items!B$2:B$1032,MATCH($O123,Items!$A$2:$A$1032,0))</f>
        <v>#N/A</v>
      </c>
      <c r="Q123" t="e">
        <f>INDEX(Items!C$2:C$1032,MATCH($O123,Items!$A$2:$A$1032,0))</f>
        <v>#N/A</v>
      </c>
      <c r="R123" t="e">
        <f>INDEX(Items!D$2:D$1032,MATCH($O123,Items!$A$2:$A$1032,0))</f>
        <v>#N/A</v>
      </c>
    </row>
    <row r="124" spans="1:18" x14ac:dyDescent="0.25">
      <c r="A124">
        <f t="shared" si="7"/>
        <v>1</v>
      </c>
      <c r="B124" t="str">
        <f t="shared" si="8"/>
        <v/>
      </c>
      <c r="C124">
        <f t="shared" si="10"/>
        <v>1</v>
      </c>
      <c r="D124" s="4"/>
      <c r="E124" t="s">
        <v>18</v>
      </c>
      <c r="F124" t="str">
        <f>INDEX(Establishment!B$2:B$1005,MATCH($E124,Establishment!$A$2:$A$1005,0))</f>
        <v xml:space="preserve"> </v>
      </c>
      <c r="G124" t="str">
        <f>INDEX(Establishment!C$2:C$1005,MATCH($E124,Establishment!$A$2:$A$1005,0))</f>
        <v xml:space="preserve"> </v>
      </c>
      <c r="M124">
        <f t="shared" si="11"/>
        <v>0</v>
      </c>
      <c r="N124">
        <f t="shared" si="9"/>
        <v>0</v>
      </c>
      <c r="P124" t="e">
        <f>INDEX(Items!B$2:B$1032,MATCH($O124,Items!$A$2:$A$1032,0))</f>
        <v>#N/A</v>
      </c>
      <c r="Q124" t="e">
        <f>INDEX(Items!C$2:C$1032,MATCH($O124,Items!$A$2:$A$1032,0))</f>
        <v>#N/A</v>
      </c>
      <c r="R124" t="e">
        <f>INDEX(Items!D$2:D$1032,MATCH($O124,Items!$A$2:$A$1032,0))</f>
        <v>#N/A</v>
      </c>
    </row>
    <row r="125" spans="1:18" x14ac:dyDescent="0.25">
      <c r="A125">
        <f t="shared" si="7"/>
        <v>1</v>
      </c>
      <c r="B125" t="str">
        <f t="shared" si="8"/>
        <v/>
      </c>
      <c r="C125">
        <f t="shared" si="10"/>
        <v>1</v>
      </c>
      <c r="D125" s="4"/>
      <c r="E125" t="s">
        <v>18</v>
      </c>
      <c r="F125" t="str">
        <f>INDEX(Establishment!B$2:B$1005,MATCH($E125,Establishment!$A$2:$A$1005,0))</f>
        <v xml:space="preserve"> </v>
      </c>
      <c r="G125" t="str">
        <f>INDEX(Establishment!C$2:C$1005,MATCH($E125,Establishment!$A$2:$A$1005,0))</f>
        <v xml:space="preserve"> </v>
      </c>
      <c r="M125">
        <f t="shared" si="11"/>
        <v>0</v>
      </c>
      <c r="N125">
        <f t="shared" si="9"/>
        <v>0</v>
      </c>
      <c r="P125" t="e">
        <f>INDEX(Items!B$2:B$1032,MATCH($O125,Items!$A$2:$A$1032,0))</f>
        <v>#N/A</v>
      </c>
      <c r="Q125" t="e">
        <f>INDEX(Items!C$2:C$1032,MATCH($O125,Items!$A$2:$A$1032,0))</f>
        <v>#N/A</v>
      </c>
      <c r="R125" t="e">
        <f>INDEX(Items!D$2:D$1032,MATCH($O125,Items!$A$2:$A$1032,0))</f>
        <v>#N/A</v>
      </c>
    </row>
    <row r="126" spans="1:18" x14ac:dyDescent="0.25">
      <c r="A126">
        <f t="shared" si="7"/>
        <v>1</v>
      </c>
      <c r="B126" t="str">
        <f t="shared" si="8"/>
        <v/>
      </c>
      <c r="C126">
        <f t="shared" si="10"/>
        <v>1</v>
      </c>
      <c r="D126" s="4"/>
      <c r="E126" t="s">
        <v>18</v>
      </c>
      <c r="F126" t="str">
        <f>INDEX(Establishment!B$2:B$1005,MATCH($E126,Establishment!$A$2:$A$1005,0))</f>
        <v xml:space="preserve"> </v>
      </c>
      <c r="G126" t="str">
        <f>INDEX(Establishment!C$2:C$1005,MATCH($E126,Establishment!$A$2:$A$1005,0))</f>
        <v xml:space="preserve"> </v>
      </c>
      <c r="M126">
        <f t="shared" si="11"/>
        <v>0</v>
      </c>
      <c r="N126">
        <f t="shared" si="9"/>
        <v>0</v>
      </c>
      <c r="P126" t="e">
        <f>INDEX(Items!B$2:B$1032,MATCH($O126,Items!$A$2:$A$1032,0))</f>
        <v>#N/A</v>
      </c>
      <c r="Q126" t="e">
        <f>INDEX(Items!C$2:C$1032,MATCH($O126,Items!$A$2:$A$1032,0))</f>
        <v>#N/A</v>
      </c>
      <c r="R126" t="e">
        <f>INDEX(Items!D$2:D$1032,MATCH($O126,Items!$A$2:$A$1032,0))</f>
        <v>#N/A</v>
      </c>
    </row>
    <row r="127" spans="1:18" x14ac:dyDescent="0.25">
      <c r="A127">
        <f t="shared" si="7"/>
        <v>1</v>
      </c>
      <c r="B127" t="str">
        <f t="shared" si="8"/>
        <v/>
      </c>
      <c r="C127">
        <f t="shared" si="10"/>
        <v>1</v>
      </c>
      <c r="D127" s="4"/>
      <c r="E127" t="s">
        <v>18</v>
      </c>
      <c r="F127" t="str">
        <f>INDEX(Establishment!B$2:B$1005,MATCH($E127,Establishment!$A$2:$A$1005,0))</f>
        <v xml:space="preserve"> </v>
      </c>
      <c r="G127" t="str">
        <f>INDEX(Establishment!C$2:C$1005,MATCH($E127,Establishment!$A$2:$A$1005,0))</f>
        <v xml:space="preserve"> </v>
      </c>
      <c r="M127">
        <f t="shared" si="11"/>
        <v>0</v>
      </c>
      <c r="N127">
        <f t="shared" si="9"/>
        <v>0</v>
      </c>
      <c r="P127" t="e">
        <f>INDEX(Items!B$2:B$1032,MATCH($O127,Items!$A$2:$A$1032,0))</f>
        <v>#N/A</v>
      </c>
      <c r="Q127" t="e">
        <f>INDEX(Items!C$2:C$1032,MATCH($O127,Items!$A$2:$A$1032,0))</f>
        <v>#N/A</v>
      </c>
      <c r="R127" t="e">
        <f>INDEX(Items!D$2:D$1032,MATCH($O127,Items!$A$2:$A$1032,0))</f>
        <v>#N/A</v>
      </c>
    </row>
    <row r="128" spans="1:18" x14ac:dyDescent="0.25">
      <c r="A128">
        <f t="shared" si="7"/>
        <v>1</v>
      </c>
      <c r="B128" t="str">
        <f t="shared" si="8"/>
        <v/>
      </c>
      <c r="C128">
        <f t="shared" si="10"/>
        <v>1</v>
      </c>
      <c r="D128" s="4"/>
      <c r="E128" t="s">
        <v>18</v>
      </c>
      <c r="F128" t="str">
        <f>INDEX(Establishment!B$2:B$1005,MATCH($E128,Establishment!$A$2:$A$1005,0))</f>
        <v xml:space="preserve"> </v>
      </c>
      <c r="G128" t="str">
        <f>INDEX(Establishment!C$2:C$1005,MATCH($E128,Establishment!$A$2:$A$1005,0))</f>
        <v xml:space="preserve"> </v>
      </c>
      <c r="M128">
        <f t="shared" si="11"/>
        <v>0</v>
      </c>
      <c r="N128">
        <f t="shared" si="9"/>
        <v>0</v>
      </c>
      <c r="P128" t="e">
        <f>INDEX(Items!B$2:B$1032,MATCH($O128,Items!$A$2:$A$1032,0))</f>
        <v>#N/A</v>
      </c>
      <c r="Q128" t="e">
        <f>INDEX(Items!C$2:C$1032,MATCH($O128,Items!$A$2:$A$1032,0))</f>
        <v>#N/A</v>
      </c>
      <c r="R128" t="e">
        <f>INDEX(Items!D$2:D$1032,MATCH($O128,Items!$A$2:$A$1032,0))</f>
        <v>#N/A</v>
      </c>
    </row>
    <row r="129" spans="1:18" x14ac:dyDescent="0.25">
      <c r="A129">
        <f t="shared" si="7"/>
        <v>1</v>
      </c>
      <c r="B129" t="str">
        <f t="shared" si="8"/>
        <v/>
      </c>
      <c r="C129">
        <f t="shared" si="10"/>
        <v>1</v>
      </c>
      <c r="D129" s="4"/>
      <c r="E129" t="s">
        <v>18</v>
      </c>
      <c r="F129" t="str">
        <f>INDEX(Establishment!B$2:B$1005,MATCH($E129,Establishment!$A$2:$A$1005,0))</f>
        <v xml:space="preserve"> </v>
      </c>
      <c r="G129" t="str">
        <f>INDEX(Establishment!C$2:C$1005,MATCH($E129,Establishment!$A$2:$A$1005,0))</f>
        <v xml:space="preserve"> </v>
      </c>
      <c r="M129">
        <f t="shared" si="11"/>
        <v>0</v>
      </c>
      <c r="N129">
        <f t="shared" si="9"/>
        <v>0</v>
      </c>
      <c r="P129" t="e">
        <f>INDEX(Items!B$2:B$1032,MATCH($O129,Items!$A$2:$A$1032,0))</f>
        <v>#N/A</v>
      </c>
      <c r="Q129" t="e">
        <f>INDEX(Items!C$2:C$1032,MATCH($O129,Items!$A$2:$A$1032,0))</f>
        <v>#N/A</v>
      </c>
      <c r="R129" t="e">
        <f>INDEX(Items!D$2:D$1032,MATCH($O129,Items!$A$2:$A$1032,0))</f>
        <v>#N/A</v>
      </c>
    </row>
    <row r="130" spans="1:18" x14ac:dyDescent="0.25">
      <c r="A130">
        <f t="shared" ref="A130:A193" si="12">IF(OR(D130&lt;&gt;D129,D130=""),1,IF(NOT(AND(E130=E129,F130=F129,G130=G129)),A129+1,IF(OR(H130="",AND(H130&lt;&gt;"",H130&lt;&gt;H129,H129&lt;&gt;"")),A129,A129+1)))</f>
        <v>1</v>
      </c>
      <c r="B130" t="str">
        <f t="shared" ref="B130:B193" si="13">IF(D130&lt;&gt;"",TEXT(D130,"YYYYMMDD")&amp;CHAR(64+A130),"")</f>
        <v/>
      </c>
      <c r="C130">
        <f t="shared" si="10"/>
        <v>1</v>
      </c>
      <c r="D130" s="4"/>
      <c r="E130" t="s">
        <v>18</v>
      </c>
      <c r="F130" t="str">
        <f>INDEX(Establishment!B$2:B$1005,MATCH($E130,Establishment!$A$2:$A$1005,0))</f>
        <v xml:space="preserve"> </v>
      </c>
      <c r="G130" t="str">
        <f>INDEX(Establishment!C$2:C$1005,MATCH($E130,Establishment!$A$2:$A$1005,0))</f>
        <v xml:space="preserve"> </v>
      </c>
      <c r="M130">
        <f t="shared" si="11"/>
        <v>0</v>
      </c>
      <c r="N130">
        <f t="shared" si="9"/>
        <v>0</v>
      </c>
      <c r="P130" t="e">
        <f>INDEX(Items!B$2:B$1032,MATCH($O130,Items!$A$2:$A$1032,0))</f>
        <v>#N/A</v>
      </c>
      <c r="Q130" t="e">
        <f>INDEX(Items!C$2:C$1032,MATCH($O130,Items!$A$2:$A$1032,0))</f>
        <v>#N/A</v>
      </c>
      <c r="R130" t="e">
        <f>INDEX(Items!D$2:D$1032,MATCH($O130,Items!$A$2:$A$1032,0))</f>
        <v>#N/A</v>
      </c>
    </row>
    <row r="131" spans="1:18" x14ac:dyDescent="0.25">
      <c r="A131">
        <f t="shared" si="12"/>
        <v>1</v>
      </c>
      <c r="B131" t="str">
        <f t="shared" si="13"/>
        <v/>
      </c>
      <c r="C131">
        <f t="shared" si="10"/>
        <v>1</v>
      </c>
      <c r="D131" s="4"/>
      <c r="E131" t="s">
        <v>18</v>
      </c>
      <c r="F131" t="str">
        <f>INDEX(Establishment!B$2:B$1005,MATCH($E131,Establishment!$A$2:$A$1005,0))</f>
        <v xml:space="preserve"> </v>
      </c>
      <c r="G131" t="str">
        <f>INDEX(Establishment!C$2:C$1005,MATCH($E131,Establishment!$A$2:$A$1005,0))</f>
        <v xml:space="preserve"> </v>
      </c>
      <c r="M131">
        <f t="shared" si="11"/>
        <v>0</v>
      </c>
      <c r="N131">
        <f t="shared" ref="N131:N194" si="14">IF(B131=B130,N130+M131,M131)</f>
        <v>0</v>
      </c>
      <c r="P131" t="e">
        <f>INDEX(Items!B$2:B$1032,MATCH($O131,Items!$A$2:$A$1032,0))</f>
        <v>#N/A</v>
      </c>
      <c r="Q131" t="e">
        <f>INDEX(Items!C$2:C$1032,MATCH($O131,Items!$A$2:$A$1032,0))</f>
        <v>#N/A</v>
      </c>
      <c r="R131" t="e">
        <f>INDEX(Items!D$2:D$1032,MATCH($O131,Items!$A$2:$A$1032,0))</f>
        <v>#N/A</v>
      </c>
    </row>
    <row r="132" spans="1:18" x14ac:dyDescent="0.25">
      <c r="A132">
        <f t="shared" si="12"/>
        <v>1</v>
      </c>
      <c r="B132" t="str">
        <f t="shared" si="13"/>
        <v/>
      </c>
      <c r="C132">
        <f t="shared" si="10"/>
        <v>1</v>
      </c>
      <c r="D132" s="4"/>
      <c r="E132" t="s">
        <v>18</v>
      </c>
      <c r="F132" t="str">
        <f>INDEX(Establishment!B$2:B$1005,MATCH($E132,Establishment!$A$2:$A$1005,0))</f>
        <v xml:space="preserve"> </v>
      </c>
      <c r="G132" t="str">
        <f>INDEX(Establishment!C$2:C$1005,MATCH($E132,Establishment!$A$2:$A$1005,0))</f>
        <v xml:space="preserve"> </v>
      </c>
      <c r="M132">
        <f t="shared" si="11"/>
        <v>0</v>
      </c>
      <c r="N132">
        <f t="shared" si="14"/>
        <v>0</v>
      </c>
      <c r="P132" t="e">
        <f>INDEX(Items!B$2:B$1032,MATCH($O132,Items!$A$2:$A$1032,0))</f>
        <v>#N/A</v>
      </c>
      <c r="Q132" t="e">
        <f>INDEX(Items!C$2:C$1032,MATCH($O132,Items!$A$2:$A$1032,0))</f>
        <v>#N/A</v>
      </c>
      <c r="R132" t="e">
        <f>INDEX(Items!D$2:D$1032,MATCH($O132,Items!$A$2:$A$1032,0))</f>
        <v>#N/A</v>
      </c>
    </row>
    <row r="133" spans="1:18" x14ac:dyDescent="0.25">
      <c r="A133">
        <f t="shared" si="12"/>
        <v>1</v>
      </c>
      <c r="B133" t="str">
        <f t="shared" si="13"/>
        <v/>
      </c>
      <c r="C133">
        <f t="shared" si="10"/>
        <v>1</v>
      </c>
      <c r="D133" s="4"/>
      <c r="E133" t="s">
        <v>18</v>
      </c>
      <c r="F133" t="str">
        <f>INDEX(Establishment!B$2:B$1005,MATCH($E133,Establishment!$A$2:$A$1005,0))</f>
        <v xml:space="preserve"> </v>
      </c>
      <c r="G133" t="str">
        <f>INDEX(Establishment!C$2:C$1005,MATCH($E133,Establishment!$A$2:$A$1005,0))</f>
        <v xml:space="preserve"> </v>
      </c>
      <c r="M133">
        <f t="shared" si="11"/>
        <v>0</v>
      </c>
      <c r="N133">
        <f t="shared" si="14"/>
        <v>0</v>
      </c>
      <c r="P133" t="e">
        <f>INDEX(Items!B$2:B$1032,MATCH($O133,Items!$A$2:$A$1032,0))</f>
        <v>#N/A</v>
      </c>
      <c r="Q133" t="e">
        <f>INDEX(Items!C$2:C$1032,MATCH($O133,Items!$A$2:$A$1032,0))</f>
        <v>#N/A</v>
      </c>
      <c r="R133" t="e">
        <f>INDEX(Items!D$2:D$1032,MATCH($O133,Items!$A$2:$A$1032,0))</f>
        <v>#N/A</v>
      </c>
    </row>
    <row r="134" spans="1:18" x14ac:dyDescent="0.25">
      <c r="A134">
        <f t="shared" si="12"/>
        <v>1</v>
      </c>
      <c r="B134" t="str">
        <f t="shared" si="13"/>
        <v/>
      </c>
      <c r="C134">
        <f t="shared" si="10"/>
        <v>1</v>
      </c>
      <c r="D134" s="4"/>
      <c r="E134" t="s">
        <v>18</v>
      </c>
      <c r="F134" t="str">
        <f>INDEX(Establishment!B$2:B$1005,MATCH($E134,Establishment!$A$2:$A$1005,0))</f>
        <v xml:space="preserve"> </v>
      </c>
      <c r="G134" t="str">
        <f>INDEX(Establishment!C$2:C$1005,MATCH($E134,Establishment!$A$2:$A$1005,0))</f>
        <v xml:space="preserve"> </v>
      </c>
      <c r="M134">
        <f t="shared" si="11"/>
        <v>0</v>
      </c>
      <c r="N134">
        <f t="shared" si="14"/>
        <v>0</v>
      </c>
      <c r="P134" t="e">
        <f>INDEX(Items!B$2:B$1032,MATCH($O134,Items!$A$2:$A$1032,0))</f>
        <v>#N/A</v>
      </c>
      <c r="Q134" t="e">
        <f>INDEX(Items!C$2:C$1032,MATCH($O134,Items!$A$2:$A$1032,0))</f>
        <v>#N/A</v>
      </c>
      <c r="R134" t="e">
        <f>INDEX(Items!D$2:D$1032,MATCH($O134,Items!$A$2:$A$1032,0))</f>
        <v>#N/A</v>
      </c>
    </row>
    <row r="135" spans="1:18" x14ac:dyDescent="0.25">
      <c r="A135">
        <f t="shared" si="12"/>
        <v>1</v>
      </c>
      <c r="B135" t="str">
        <f t="shared" si="13"/>
        <v/>
      </c>
      <c r="C135">
        <f t="shared" si="10"/>
        <v>1</v>
      </c>
      <c r="D135" s="4"/>
      <c r="E135" t="s">
        <v>18</v>
      </c>
      <c r="F135" t="str">
        <f>INDEX(Establishment!B$2:B$1005,MATCH($E135,Establishment!$A$2:$A$1005,0))</f>
        <v xml:space="preserve"> </v>
      </c>
      <c r="G135" t="str">
        <f>INDEX(Establishment!C$2:C$1005,MATCH($E135,Establishment!$A$2:$A$1005,0))</f>
        <v xml:space="preserve"> </v>
      </c>
      <c r="M135">
        <f t="shared" si="11"/>
        <v>0</v>
      </c>
      <c r="N135">
        <f t="shared" si="14"/>
        <v>0</v>
      </c>
      <c r="P135" t="e">
        <f>INDEX(Items!B$2:B$1032,MATCH($O135,Items!$A$2:$A$1032,0))</f>
        <v>#N/A</v>
      </c>
      <c r="Q135" t="e">
        <f>INDEX(Items!C$2:C$1032,MATCH($O135,Items!$A$2:$A$1032,0))</f>
        <v>#N/A</v>
      </c>
      <c r="R135" t="e">
        <f>INDEX(Items!D$2:D$1032,MATCH($O135,Items!$A$2:$A$1032,0))</f>
        <v>#N/A</v>
      </c>
    </row>
    <row r="136" spans="1:18" x14ac:dyDescent="0.25">
      <c r="A136">
        <f t="shared" si="12"/>
        <v>1</v>
      </c>
      <c r="B136" t="str">
        <f t="shared" si="13"/>
        <v/>
      </c>
      <c r="C136">
        <f t="shared" si="10"/>
        <v>1</v>
      </c>
      <c r="D136" s="4"/>
      <c r="E136" t="s">
        <v>18</v>
      </c>
      <c r="F136" t="str">
        <f>INDEX(Establishment!B$2:B$1005,MATCH($E136,Establishment!$A$2:$A$1005,0))</f>
        <v xml:space="preserve"> </v>
      </c>
      <c r="G136" t="str">
        <f>INDEX(Establishment!C$2:C$1005,MATCH($E136,Establishment!$A$2:$A$1005,0))</f>
        <v xml:space="preserve"> </v>
      </c>
      <c r="M136">
        <f t="shared" si="11"/>
        <v>0</v>
      </c>
      <c r="N136">
        <f t="shared" si="14"/>
        <v>0</v>
      </c>
      <c r="P136" t="e">
        <f>INDEX(Items!B$2:B$1032,MATCH($O136,Items!$A$2:$A$1032,0))</f>
        <v>#N/A</v>
      </c>
      <c r="Q136" t="e">
        <f>INDEX(Items!C$2:C$1032,MATCH($O136,Items!$A$2:$A$1032,0))</f>
        <v>#N/A</v>
      </c>
      <c r="R136" t="e">
        <f>INDEX(Items!D$2:D$1032,MATCH($O136,Items!$A$2:$A$1032,0))</f>
        <v>#N/A</v>
      </c>
    </row>
    <row r="137" spans="1:18" x14ac:dyDescent="0.25">
      <c r="A137">
        <f t="shared" si="12"/>
        <v>1</v>
      </c>
      <c r="B137" t="str">
        <f t="shared" si="13"/>
        <v/>
      </c>
      <c r="C137">
        <f t="shared" si="10"/>
        <v>1</v>
      </c>
      <c r="D137" s="4"/>
      <c r="E137" t="s">
        <v>18</v>
      </c>
      <c r="F137" t="str">
        <f>INDEX(Establishment!B$2:B$1005,MATCH($E137,Establishment!$A$2:$A$1005,0))</f>
        <v xml:space="preserve"> </v>
      </c>
      <c r="G137" t="str">
        <f>INDEX(Establishment!C$2:C$1005,MATCH($E137,Establishment!$A$2:$A$1005,0))</f>
        <v xml:space="preserve"> </v>
      </c>
      <c r="M137">
        <f t="shared" si="11"/>
        <v>0</v>
      </c>
      <c r="N137">
        <f t="shared" si="14"/>
        <v>0</v>
      </c>
      <c r="P137" t="e">
        <f>INDEX(Items!B$2:B$1032,MATCH($O137,Items!$A$2:$A$1032,0))</f>
        <v>#N/A</v>
      </c>
      <c r="Q137" t="e">
        <f>INDEX(Items!C$2:C$1032,MATCH($O137,Items!$A$2:$A$1032,0))</f>
        <v>#N/A</v>
      </c>
      <c r="R137" t="e">
        <f>INDEX(Items!D$2:D$1032,MATCH($O137,Items!$A$2:$A$1032,0))</f>
        <v>#N/A</v>
      </c>
    </row>
    <row r="138" spans="1:18" x14ac:dyDescent="0.25">
      <c r="A138">
        <f t="shared" si="12"/>
        <v>1</v>
      </c>
      <c r="B138" t="str">
        <f t="shared" si="13"/>
        <v/>
      </c>
      <c r="C138">
        <f t="shared" ref="C138:C201" si="15">IF(OR(B138="",B138&lt;&gt;B137),1,C137+1)</f>
        <v>1</v>
      </c>
      <c r="D138" s="4"/>
      <c r="E138" t="s">
        <v>18</v>
      </c>
      <c r="F138" t="str">
        <f>INDEX(Establishment!B$2:B$1005,MATCH($E138,Establishment!$A$2:$A$1005,0))</f>
        <v xml:space="preserve"> </v>
      </c>
      <c r="G138" t="str">
        <f>INDEX(Establishment!C$2:C$1005,MATCH($E138,Establishment!$A$2:$A$1005,0))</f>
        <v xml:space="preserve"> </v>
      </c>
      <c r="M138">
        <f t="shared" ref="M138:M201" si="16">K138*L138</f>
        <v>0</v>
      </c>
      <c r="N138">
        <f t="shared" si="14"/>
        <v>0</v>
      </c>
      <c r="P138" t="e">
        <f>INDEX(Items!B$2:B$1032,MATCH($O138,Items!$A$2:$A$1032,0))</f>
        <v>#N/A</v>
      </c>
      <c r="Q138" t="e">
        <f>INDEX(Items!C$2:C$1032,MATCH($O138,Items!$A$2:$A$1032,0))</f>
        <v>#N/A</v>
      </c>
      <c r="R138" t="e">
        <f>INDEX(Items!D$2:D$1032,MATCH($O138,Items!$A$2:$A$1032,0))</f>
        <v>#N/A</v>
      </c>
    </row>
    <row r="139" spans="1:18" x14ac:dyDescent="0.25">
      <c r="A139">
        <f t="shared" si="12"/>
        <v>1</v>
      </c>
      <c r="B139" t="str">
        <f t="shared" si="13"/>
        <v/>
      </c>
      <c r="C139">
        <f t="shared" si="15"/>
        <v>1</v>
      </c>
      <c r="D139" s="4"/>
      <c r="E139" t="s">
        <v>18</v>
      </c>
      <c r="F139" t="str">
        <f>INDEX(Establishment!B$2:B$1005,MATCH($E139,Establishment!$A$2:$A$1005,0))</f>
        <v xml:space="preserve"> </v>
      </c>
      <c r="G139" t="str">
        <f>INDEX(Establishment!C$2:C$1005,MATCH($E139,Establishment!$A$2:$A$1005,0))</f>
        <v xml:space="preserve"> </v>
      </c>
      <c r="M139">
        <f t="shared" si="16"/>
        <v>0</v>
      </c>
      <c r="N139">
        <f t="shared" si="14"/>
        <v>0</v>
      </c>
      <c r="P139" t="e">
        <f>INDEX(Items!B$2:B$1032,MATCH($O139,Items!$A$2:$A$1032,0))</f>
        <v>#N/A</v>
      </c>
      <c r="Q139" t="e">
        <f>INDEX(Items!C$2:C$1032,MATCH($O139,Items!$A$2:$A$1032,0))</f>
        <v>#N/A</v>
      </c>
      <c r="R139" t="e">
        <f>INDEX(Items!D$2:D$1032,MATCH($O139,Items!$A$2:$A$1032,0))</f>
        <v>#N/A</v>
      </c>
    </row>
    <row r="140" spans="1:18" x14ac:dyDescent="0.25">
      <c r="A140">
        <f t="shared" si="12"/>
        <v>1</v>
      </c>
      <c r="B140" t="str">
        <f t="shared" si="13"/>
        <v/>
      </c>
      <c r="C140">
        <f t="shared" si="15"/>
        <v>1</v>
      </c>
      <c r="D140" s="4"/>
      <c r="E140" t="s">
        <v>18</v>
      </c>
      <c r="F140" t="str">
        <f>INDEX(Establishment!B$2:B$1005,MATCH($E140,Establishment!$A$2:$A$1005,0))</f>
        <v xml:space="preserve"> </v>
      </c>
      <c r="G140" t="str">
        <f>INDEX(Establishment!C$2:C$1005,MATCH($E140,Establishment!$A$2:$A$1005,0))</f>
        <v xml:space="preserve"> </v>
      </c>
      <c r="M140">
        <f t="shared" si="16"/>
        <v>0</v>
      </c>
      <c r="N140">
        <f t="shared" si="14"/>
        <v>0</v>
      </c>
      <c r="P140" t="e">
        <f>INDEX(Items!B$2:B$1032,MATCH($O140,Items!$A$2:$A$1032,0))</f>
        <v>#N/A</v>
      </c>
      <c r="Q140" t="e">
        <f>INDEX(Items!C$2:C$1032,MATCH($O140,Items!$A$2:$A$1032,0))</f>
        <v>#N/A</v>
      </c>
      <c r="R140" t="e">
        <f>INDEX(Items!D$2:D$1032,MATCH($O140,Items!$A$2:$A$1032,0))</f>
        <v>#N/A</v>
      </c>
    </row>
    <row r="141" spans="1:18" x14ac:dyDescent="0.25">
      <c r="A141">
        <f t="shared" si="12"/>
        <v>1</v>
      </c>
      <c r="B141" t="str">
        <f t="shared" si="13"/>
        <v/>
      </c>
      <c r="C141">
        <f t="shared" si="15"/>
        <v>1</v>
      </c>
      <c r="D141" s="4"/>
      <c r="E141" t="s">
        <v>18</v>
      </c>
      <c r="F141" t="str">
        <f>INDEX(Establishment!B$2:B$1005,MATCH($E141,Establishment!$A$2:$A$1005,0))</f>
        <v xml:space="preserve"> </v>
      </c>
      <c r="G141" t="str">
        <f>INDEX(Establishment!C$2:C$1005,MATCH($E141,Establishment!$A$2:$A$1005,0))</f>
        <v xml:space="preserve"> </v>
      </c>
      <c r="M141">
        <f t="shared" si="16"/>
        <v>0</v>
      </c>
      <c r="N141">
        <f t="shared" si="14"/>
        <v>0</v>
      </c>
      <c r="P141" t="e">
        <f>INDEX(Items!B$2:B$1032,MATCH($O141,Items!$A$2:$A$1032,0))</f>
        <v>#N/A</v>
      </c>
      <c r="Q141" t="e">
        <f>INDEX(Items!C$2:C$1032,MATCH($O141,Items!$A$2:$A$1032,0))</f>
        <v>#N/A</v>
      </c>
      <c r="R141" t="e">
        <f>INDEX(Items!D$2:D$1032,MATCH($O141,Items!$A$2:$A$1032,0))</f>
        <v>#N/A</v>
      </c>
    </row>
    <row r="142" spans="1:18" x14ac:dyDescent="0.25">
      <c r="A142">
        <f t="shared" si="12"/>
        <v>1</v>
      </c>
      <c r="B142" t="str">
        <f t="shared" si="13"/>
        <v/>
      </c>
      <c r="C142">
        <f t="shared" si="15"/>
        <v>1</v>
      </c>
      <c r="D142" s="4"/>
      <c r="E142" t="s">
        <v>18</v>
      </c>
      <c r="F142" t="str">
        <f>INDEX(Establishment!B$2:B$1005,MATCH($E142,Establishment!$A$2:$A$1005,0))</f>
        <v xml:space="preserve"> </v>
      </c>
      <c r="G142" t="str">
        <f>INDEX(Establishment!C$2:C$1005,MATCH($E142,Establishment!$A$2:$A$1005,0))</f>
        <v xml:space="preserve"> </v>
      </c>
      <c r="M142">
        <f t="shared" si="16"/>
        <v>0</v>
      </c>
      <c r="N142">
        <f t="shared" si="14"/>
        <v>0</v>
      </c>
      <c r="P142" t="e">
        <f>INDEX(Items!B$2:B$1032,MATCH($O142,Items!$A$2:$A$1032,0))</f>
        <v>#N/A</v>
      </c>
      <c r="Q142" t="e">
        <f>INDEX(Items!C$2:C$1032,MATCH($O142,Items!$A$2:$A$1032,0))</f>
        <v>#N/A</v>
      </c>
      <c r="R142" t="e">
        <f>INDEX(Items!D$2:D$1032,MATCH($O142,Items!$A$2:$A$1032,0))</f>
        <v>#N/A</v>
      </c>
    </row>
    <row r="143" spans="1:18" x14ac:dyDescent="0.25">
      <c r="A143">
        <f t="shared" si="12"/>
        <v>1</v>
      </c>
      <c r="B143" t="str">
        <f t="shared" si="13"/>
        <v/>
      </c>
      <c r="C143">
        <f t="shared" si="15"/>
        <v>1</v>
      </c>
      <c r="D143" s="4"/>
      <c r="E143" t="s">
        <v>18</v>
      </c>
      <c r="F143" t="str">
        <f>INDEX(Establishment!B$2:B$1005,MATCH($E143,Establishment!$A$2:$A$1005,0))</f>
        <v xml:space="preserve"> </v>
      </c>
      <c r="G143" t="str">
        <f>INDEX(Establishment!C$2:C$1005,MATCH($E143,Establishment!$A$2:$A$1005,0))</f>
        <v xml:space="preserve"> </v>
      </c>
      <c r="M143">
        <f t="shared" si="16"/>
        <v>0</v>
      </c>
      <c r="N143">
        <f t="shared" si="14"/>
        <v>0</v>
      </c>
      <c r="P143" t="e">
        <f>INDEX(Items!B$2:B$1032,MATCH($O143,Items!$A$2:$A$1032,0))</f>
        <v>#N/A</v>
      </c>
      <c r="Q143" t="e">
        <f>INDEX(Items!C$2:C$1032,MATCH($O143,Items!$A$2:$A$1032,0))</f>
        <v>#N/A</v>
      </c>
      <c r="R143" t="e">
        <f>INDEX(Items!D$2:D$1032,MATCH($O143,Items!$A$2:$A$1032,0))</f>
        <v>#N/A</v>
      </c>
    </row>
    <row r="144" spans="1:18" x14ac:dyDescent="0.25">
      <c r="A144">
        <f t="shared" si="12"/>
        <v>1</v>
      </c>
      <c r="B144" t="str">
        <f t="shared" si="13"/>
        <v/>
      </c>
      <c r="C144">
        <f t="shared" si="15"/>
        <v>1</v>
      </c>
      <c r="D144" s="4"/>
      <c r="E144" t="s">
        <v>18</v>
      </c>
      <c r="F144" t="str">
        <f>INDEX(Establishment!B$2:B$1005,MATCH($E144,Establishment!$A$2:$A$1005,0))</f>
        <v xml:space="preserve"> </v>
      </c>
      <c r="G144" t="str">
        <f>INDEX(Establishment!C$2:C$1005,MATCH($E144,Establishment!$A$2:$A$1005,0))</f>
        <v xml:space="preserve"> </v>
      </c>
      <c r="M144">
        <f t="shared" si="16"/>
        <v>0</v>
      </c>
      <c r="N144">
        <f t="shared" si="14"/>
        <v>0</v>
      </c>
      <c r="P144" t="e">
        <f>INDEX(Items!B$2:B$1032,MATCH($O144,Items!$A$2:$A$1032,0))</f>
        <v>#N/A</v>
      </c>
      <c r="Q144" t="e">
        <f>INDEX(Items!C$2:C$1032,MATCH($O144,Items!$A$2:$A$1032,0))</f>
        <v>#N/A</v>
      </c>
      <c r="R144" t="e">
        <f>INDEX(Items!D$2:D$1032,MATCH($O144,Items!$A$2:$A$1032,0))</f>
        <v>#N/A</v>
      </c>
    </row>
    <row r="145" spans="1:18" x14ac:dyDescent="0.25">
      <c r="A145">
        <f t="shared" si="12"/>
        <v>1</v>
      </c>
      <c r="B145" t="str">
        <f t="shared" si="13"/>
        <v/>
      </c>
      <c r="C145">
        <f t="shared" si="15"/>
        <v>1</v>
      </c>
      <c r="D145" s="4"/>
      <c r="E145" t="s">
        <v>18</v>
      </c>
      <c r="F145" t="str">
        <f>INDEX(Establishment!B$2:B$1005,MATCH($E145,Establishment!$A$2:$A$1005,0))</f>
        <v xml:space="preserve"> </v>
      </c>
      <c r="G145" t="str">
        <f>INDEX(Establishment!C$2:C$1005,MATCH($E145,Establishment!$A$2:$A$1005,0))</f>
        <v xml:space="preserve"> </v>
      </c>
      <c r="M145">
        <f t="shared" si="16"/>
        <v>0</v>
      </c>
      <c r="N145">
        <f t="shared" si="14"/>
        <v>0</v>
      </c>
      <c r="P145" t="e">
        <f>INDEX(Items!B$2:B$1032,MATCH($O145,Items!$A$2:$A$1032,0))</f>
        <v>#N/A</v>
      </c>
      <c r="Q145" t="e">
        <f>INDEX(Items!C$2:C$1032,MATCH($O145,Items!$A$2:$A$1032,0))</f>
        <v>#N/A</v>
      </c>
      <c r="R145" t="e">
        <f>INDEX(Items!D$2:D$1032,MATCH($O145,Items!$A$2:$A$1032,0))</f>
        <v>#N/A</v>
      </c>
    </row>
    <row r="146" spans="1:18" x14ac:dyDescent="0.25">
      <c r="A146">
        <f t="shared" si="12"/>
        <v>1</v>
      </c>
      <c r="B146" t="str">
        <f t="shared" si="13"/>
        <v/>
      </c>
      <c r="C146">
        <f t="shared" si="15"/>
        <v>1</v>
      </c>
      <c r="D146" s="4"/>
      <c r="E146" t="s">
        <v>18</v>
      </c>
      <c r="F146" t="str">
        <f>INDEX(Establishment!B$2:B$1005,MATCH($E146,Establishment!$A$2:$A$1005,0))</f>
        <v xml:space="preserve"> </v>
      </c>
      <c r="G146" t="str">
        <f>INDEX(Establishment!C$2:C$1005,MATCH($E146,Establishment!$A$2:$A$1005,0))</f>
        <v xml:space="preserve"> </v>
      </c>
      <c r="M146">
        <f t="shared" si="16"/>
        <v>0</v>
      </c>
      <c r="N146">
        <f t="shared" si="14"/>
        <v>0</v>
      </c>
      <c r="P146" t="e">
        <f>INDEX(Items!B$2:B$1032,MATCH($O146,Items!$A$2:$A$1032,0))</f>
        <v>#N/A</v>
      </c>
      <c r="Q146" t="e">
        <f>INDEX(Items!C$2:C$1032,MATCH($O146,Items!$A$2:$A$1032,0))</f>
        <v>#N/A</v>
      </c>
      <c r="R146" t="e">
        <f>INDEX(Items!D$2:D$1032,MATCH($O146,Items!$A$2:$A$1032,0))</f>
        <v>#N/A</v>
      </c>
    </row>
    <row r="147" spans="1:18" x14ac:dyDescent="0.25">
      <c r="A147">
        <f t="shared" si="12"/>
        <v>1</v>
      </c>
      <c r="B147" t="str">
        <f t="shared" si="13"/>
        <v/>
      </c>
      <c r="C147">
        <f t="shared" si="15"/>
        <v>1</v>
      </c>
      <c r="D147" s="4"/>
      <c r="E147" t="s">
        <v>18</v>
      </c>
      <c r="F147" t="str">
        <f>INDEX(Establishment!B$2:B$1005,MATCH($E147,Establishment!$A$2:$A$1005,0))</f>
        <v xml:space="preserve"> </v>
      </c>
      <c r="G147" t="str">
        <f>INDEX(Establishment!C$2:C$1005,MATCH($E147,Establishment!$A$2:$A$1005,0))</f>
        <v xml:space="preserve"> </v>
      </c>
      <c r="M147">
        <f t="shared" si="16"/>
        <v>0</v>
      </c>
      <c r="N147">
        <f t="shared" si="14"/>
        <v>0</v>
      </c>
      <c r="P147" t="e">
        <f>INDEX(Items!B$2:B$1032,MATCH($O147,Items!$A$2:$A$1032,0))</f>
        <v>#N/A</v>
      </c>
      <c r="Q147" t="e">
        <f>INDEX(Items!C$2:C$1032,MATCH($O147,Items!$A$2:$A$1032,0))</f>
        <v>#N/A</v>
      </c>
      <c r="R147" t="e">
        <f>INDEX(Items!D$2:D$1032,MATCH($O147,Items!$A$2:$A$1032,0))</f>
        <v>#N/A</v>
      </c>
    </row>
    <row r="148" spans="1:18" x14ac:dyDescent="0.25">
      <c r="A148">
        <f t="shared" si="12"/>
        <v>1</v>
      </c>
      <c r="B148" t="str">
        <f t="shared" si="13"/>
        <v/>
      </c>
      <c r="C148">
        <f t="shared" si="15"/>
        <v>1</v>
      </c>
      <c r="D148" s="4"/>
      <c r="E148" t="s">
        <v>18</v>
      </c>
      <c r="F148" t="str">
        <f>INDEX(Establishment!B$2:B$1005,MATCH($E148,Establishment!$A$2:$A$1005,0))</f>
        <v xml:space="preserve"> </v>
      </c>
      <c r="G148" t="str">
        <f>INDEX(Establishment!C$2:C$1005,MATCH($E148,Establishment!$A$2:$A$1005,0))</f>
        <v xml:space="preserve"> </v>
      </c>
      <c r="M148">
        <f t="shared" si="16"/>
        <v>0</v>
      </c>
      <c r="N148">
        <f t="shared" si="14"/>
        <v>0</v>
      </c>
      <c r="P148" t="e">
        <f>INDEX(Items!B$2:B$1032,MATCH($O148,Items!$A$2:$A$1032,0))</f>
        <v>#N/A</v>
      </c>
      <c r="Q148" t="e">
        <f>INDEX(Items!C$2:C$1032,MATCH($O148,Items!$A$2:$A$1032,0))</f>
        <v>#N/A</v>
      </c>
      <c r="R148" t="e">
        <f>INDEX(Items!D$2:D$1032,MATCH($O148,Items!$A$2:$A$1032,0))</f>
        <v>#N/A</v>
      </c>
    </row>
    <row r="149" spans="1:18" x14ac:dyDescent="0.25">
      <c r="A149">
        <f t="shared" si="12"/>
        <v>1</v>
      </c>
      <c r="B149" t="str">
        <f t="shared" si="13"/>
        <v/>
      </c>
      <c r="C149">
        <f t="shared" si="15"/>
        <v>1</v>
      </c>
      <c r="D149" s="4"/>
      <c r="E149" t="s">
        <v>18</v>
      </c>
      <c r="F149" t="str">
        <f>INDEX(Establishment!B$2:B$1005,MATCH($E149,Establishment!$A$2:$A$1005,0))</f>
        <v xml:space="preserve"> </v>
      </c>
      <c r="G149" t="str">
        <f>INDEX(Establishment!C$2:C$1005,MATCH($E149,Establishment!$A$2:$A$1005,0))</f>
        <v xml:space="preserve"> </v>
      </c>
      <c r="M149">
        <f t="shared" si="16"/>
        <v>0</v>
      </c>
      <c r="N149">
        <f t="shared" si="14"/>
        <v>0</v>
      </c>
      <c r="P149" t="e">
        <f>INDEX(Items!B$2:B$1032,MATCH($O149,Items!$A$2:$A$1032,0))</f>
        <v>#N/A</v>
      </c>
      <c r="Q149" t="e">
        <f>INDEX(Items!C$2:C$1032,MATCH($O149,Items!$A$2:$A$1032,0))</f>
        <v>#N/A</v>
      </c>
      <c r="R149" t="e">
        <f>INDEX(Items!D$2:D$1032,MATCH($O149,Items!$A$2:$A$1032,0))</f>
        <v>#N/A</v>
      </c>
    </row>
    <row r="150" spans="1:18" x14ac:dyDescent="0.25">
      <c r="A150">
        <f t="shared" si="12"/>
        <v>1</v>
      </c>
      <c r="B150" t="str">
        <f t="shared" si="13"/>
        <v/>
      </c>
      <c r="C150">
        <f t="shared" si="15"/>
        <v>1</v>
      </c>
      <c r="D150" s="4"/>
      <c r="E150" t="s">
        <v>18</v>
      </c>
      <c r="F150" t="str">
        <f>INDEX(Establishment!B$2:B$1005,MATCH($E150,Establishment!$A$2:$A$1005,0))</f>
        <v xml:space="preserve"> </v>
      </c>
      <c r="G150" t="str">
        <f>INDEX(Establishment!C$2:C$1005,MATCH($E150,Establishment!$A$2:$A$1005,0))</f>
        <v xml:space="preserve"> </v>
      </c>
      <c r="M150">
        <f t="shared" si="16"/>
        <v>0</v>
      </c>
      <c r="N150">
        <f t="shared" si="14"/>
        <v>0</v>
      </c>
      <c r="P150" t="e">
        <f>INDEX(Items!B$2:B$1032,MATCH($O150,Items!$A$2:$A$1032,0))</f>
        <v>#N/A</v>
      </c>
      <c r="Q150" t="e">
        <f>INDEX(Items!C$2:C$1032,MATCH($O150,Items!$A$2:$A$1032,0))</f>
        <v>#N/A</v>
      </c>
      <c r="R150" t="e">
        <f>INDEX(Items!D$2:D$1032,MATCH($O150,Items!$A$2:$A$1032,0))</f>
        <v>#N/A</v>
      </c>
    </row>
    <row r="151" spans="1:18" x14ac:dyDescent="0.25">
      <c r="A151">
        <f t="shared" si="12"/>
        <v>1</v>
      </c>
      <c r="B151" t="str">
        <f t="shared" si="13"/>
        <v/>
      </c>
      <c r="C151">
        <f t="shared" si="15"/>
        <v>1</v>
      </c>
      <c r="D151" s="4"/>
      <c r="E151" t="s">
        <v>18</v>
      </c>
      <c r="F151" t="str">
        <f>INDEX(Establishment!B$2:B$1005,MATCH($E151,Establishment!$A$2:$A$1005,0))</f>
        <v xml:space="preserve"> </v>
      </c>
      <c r="G151" t="str">
        <f>INDEX(Establishment!C$2:C$1005,MATCH($E151,Establishment!$A$2:$A$1005,0))</f>
        <v xml:space="preserve"> </v>
      </c>
      <c r="M151">
        <f t="shared" si="16"/>
        <v>0</v>
      </c>
      <c r="N151">
        <f t="shared" si="14"/>
        <v>0</v>
      </c>
      <c r="P151" t="e">
        <f>INDEX(Items!B$2:B$1032,MATCH($O151,Items!$A$2:$A$1032,0))</f>
        <v>#N/A</v>
      </c>
      <c r="Q151" t="e">
        <f>INDEX(Items!C$2:C$1032,MATCH($O151,Items!$A$2:$A$1032,0))</f>
        <v>#N/A</v>
      </c>
      <c r="R151" t="e">
        <f>INDEX(Items!D$2:D$1032,MATCH($O151,Items!$A$2:$A$1032,0))</f>
        <v>#N/A</v>
      </c>
    </row>
    <row r="152" spans="1:18" x14ac:dyDescent="0.25">
      <c r="A152">
        <f t="shared" si="12"/>
        <v>1</v>
      </c>
      <c r="B152" t="str">
        <f t="shared" si="13"/>
        <v/>
      </c>
      <c r="C152">
        <f t="shared" si="15"/>
        <v>1</v>
      </c>
      <c r="D152" s="4"/>
      <c r="E152" t="s">
        <v>18</v>
      </c>
      <c r="F152" t="str">
        <f>INDEX(Establishment!B$2:B$1005,MATCH($E152,Establishment!$A$2:$A$1005,0))</f>
        <v xml:space="preserve"> </v>
      </c>
      <c r="G152" t="str">
        <f>INDEX(Establishment!C$2:C$1005,MATCH($E152,Establishment!$A$2:$A$1005,0))</f>
        <v xml:space="preserve"> </v>
      </c>
      <c r="M152">
        <f t="shared" si="16"/>
        <v>0</v>
      </c>
      <c r="N152">
        <f t="shared" si="14"/>
        <v>0</v>
      </c>
      <c r="P152" t="e">
        <f>INDEX(Items!B$2:B$1032,MATCH($O152,Items!$A$2:$A$1032,0))</f>
        <v>#N/A</v>
      </c>
      <c r="Q152" t="e">
        <f>INDEX(Items!C$2:C$1032,MATCH($O152,Items!$A$2:$A$1032,0))</f>
        <v>#N/A</v>
      </c>
      <c r="R152" t="e">
        <f>INDEX(Items!D$2:D$1032,MATCH($O152,Items!$A$2:$A$1032,0))</f>
        <v>#N/A</v>
      </c>
    </row>
    <row r="153" spans="1:18" x14ac:dyDescent="0.25">
      <c r="A153">
        <f t="shared" si="12"/>
        <v>1</v>
      </c>
      <c r="B153" t="str">
        <f t="shared" si="13"/>
        <v/>
      </c>
      <c r="C153">
        <f t="shared" si="15"/>
        <v>1</v>
      </c>
      <c r="D153" s="4"/>
      <c r="E153" t="s">
        <v>18</v>
      </c>
      <c r="F153" t="str">
        <f>INDEX(Establishment!B$2:B$1005,MATCH($E153,Establishment!$A$2:$A$1005,0))</f>
        <v xml:space="preserve"> </v>
      </c>
      <c r="G153" t="str">
        <f>INDEX(Establishment!C$2:C$1005,MATCH($E153,Establishment!$A$2:$A$1005,0))</f>
        <v xml:space="preserve"> </v>
      </c>
      <c r="M153">
        <f t="shared" si="16"/>
        <v>0</v>
      </c>
      <c r="N153">
        <f t="shared" si="14"/>
        <v>0</v>
      </c>
      <c r="P153" t="e">
        <f>INDEX(Items!B$2:B$1032,MATCH($O153,Items!$A$2:$A$1032,0))</f>
        <v>#N/A</v>
      </c>
      <c r="Q153" t="e">
        <f>INDEX(Items!C$2:C$1032,MATCH($O153,Items!$A$2:$A$1032,0))</f>
        <v>#N/A</v>
      </c>
      <c r="R153" t="e">
        <f>INDEX(Items!D$2:D$1032,MATCH($O153,Items!$A$2:$A$1032,0))</f>
        <v>#N/A</v>
      </c>
    </row>
    <row r="154" spans="1:18" x14ac:dyDescent="0.25">
      <c r="A154">
        <f t="shared" si="12"/>
        <v>1</v>
      </c>
      <c r="B154" t="str">
        <f t="shared" si="13"/>
        <v/>
      </c>
      <c r="C154">
        <f t="shared" si="15"/>
        <v>1</v>
      </c>
      <c r="D154" s="4"/>
      <c r="E154" t="s">
        <v>18</v>
      </c>
      <c r="F154" t="str">
        <f>INDEX(Establishment!B$2:B$1005,MATCH($E154,Establishment!$A$2:$A$1005,0))</f>
        <v xml:space="preserve"> </v>
      </c>
      <c r="G154" t="str">
        <f>INDEX(Establishment!C$2:C$1005,MATCH($E154,Establishment!$A$2:$A$1005,0))</f>
        <v xml:space="preserve"> </v>
      </c>
      <c r="M154">
        <f t="shared" si="16"/>
        <v>0</v>
      </c>
      <c r="N154">
        <f t="shared" si="14"/>
        <v>0</v>
      </c>
      <c r="P154" t="e">
        <f>INDEX(Items!B$2:B$1032,MATCH($O154,Items!$A$2:$A$1032,0))</f>
        <v>#N/A</v>
      </c>
      <c r="Q154" t="e">
        <f>INDEX(Items!C$2:C$1032,MATCH($O154,Items!$A$2:$A$1032,0))</f>
        <v>#N/A</v>
      </c>
      <c r="R154" t="e">
        <f>INDEX(Items!D$2:D$1032,MATCH($O154,Items!$A$2:$A$1032,0))</f>
        <v>#N/A</v>
      </c>
    </row>
    <row r="155" spans="1:18" x14ac:dyDescent="0.25">
      <c r="A155">
        <f t="shared" si="12"/>
        <v>1</v>
      </c>
      <c r="B155" t="str">
        <f t="shared" si="13"/>
        <v/>
      </c>
      <c r="C155">
        <f t="shared" si="15"/>
        <v>1</v>
      </c>
      <c r="D155" s="4"/>
      <c r="E155" t="s">
        <v>18</v>
      </c>
      <c r="F155" t="str">
        <f>INDEX(Establishment!B$2:B$1005,MATCH($E155,Establishment!$A$2:$A$1005,0))</f>
        <v xml:space="preserve"> </v>
      </c>
      <c r="G155" t="str">
        <f>INDEX(Establishment!C$2:C$1005,MATCH($E155,Establishment!$A$2:$A$1005,0))</f>
        <v xml:space="preserve"> </v>
      </c>
      <c r="M155">
        <f t="shared" si="16"/>
        <v>0</v>
      </c>
      <c r="N155">
        <f t="shared" si="14"/>
        <v>0</v>
      </c>
      <c r="P155" t="e">
        <f>INDEX(Items!B$2:B$1032,MATCH($O155,Items!$A$2:$A$1032,0))</f>
        <v>#N/A</v>
      </c>
      <c r="Q155" t="e">
        <f>INDEX(Items!C$2:C$1032,MATCH($O155,Items!$A$2:$A$1032,0))</f>
        <v>#N/A</v>
      </c>
      <c r="R155" t="e">
        <f>INDEX(Items!D$2:D$1032,MATCH($O155,Items!$A$2:$A$1032,0))</f>
        <v>#N/A</v>
      </c>
    </row>
    <row r="156" spans="1:18" x14ac:dyDescent="0.25">
      <c r="A156">
        <f t="shared" si="12"/>
        <v>1</v>
      </c>
      <c r="B156" t="str">
        <f t="shared" si="13"/>
        <v/>
      </c>
      <c r="C156">
        <f t="shared" si="15"/>
        <v>1</v>
      </c>
      <c r="D156" s="4"/>
      <c r="E156" t="s">
        <v>18</v>
      </c>
      <c r="F156" t="str">
        <f>INDEX(Establishment!B$2:B$1005,MATCH($E156,Establishment!$A$2:$A$1005,0))</f>
        <v xml:space="preserve"> </v>
      </c>
      <c r="G156" t="str">
        <f>INDEX(Establishment!C$2:C$1005,MATCH($E156,Establishment!$A$2:$A$1005,0))</f>
        <v xml:space="preserve"> </v>
      </c>
      <c r="M156">
        <f t="shared" si="16"/>
        <v>0</v>
      </c>
      <c r="N156">
        <f t="shared" si="14"/>
        <v>0</v>
      </c>
      <c r="P156" t="e">
        <f>INDEX(Items!B$2:B$1032,MATCH($O156,Items!$A$2:$A$1032,0))</f>
        <v>#N/A</v>
      </c>
      <c r="Q156" t="e">
        <f>INDEX(Items!C$2:C$1032,MATCH($O156,Items!$A$2:$A$1032,0))</f>
        <v>#N/A</v>
      </c>
      <c r="R156" t="e">
        <f>INDEX(Items!D$2:D$1032,MATCH($O156,Items!$A$2:$A$1032,0))</f>
        <v>#N/A</v>
      </c>
    </row>
    <row r="157" spans="1:18" x14ac:dyDescent="0.25">
      <c r="A157">
        <f t="shared" si="12"/>
        <v>1</v>
      </c>
      <c r="B157" t="str">
        <f t="shared" si="13"/>
        <v/>
      </c>
      <c r="C157">
        <f t="shared" si="15"/>
        <v>1</v>
      </c>
      <c r="D157" s="4"/>
      <c r="E157" t="s">
        <v>18</v>
      </c>
      <c r="F157" t="str">
        <f>INDEX(Establishment!B$2:B$1005,MATCH($E157,Establishment!$A$2:$A$1005,0))</f>
        <v xml:space="preserve"> </v>
      </c>
      <c r="G157" t="str">
        <f>INDEX(Establishment!C$2:C$1005,MATCH($E157,Establishment!$A$2:$A$1005,0))</f>
        <v xml:space="preserve"> </v>
      </c>
      <c r="M157">
        <f t="shared" si="16"/>
        <v>0</v>
      </c>
      <c r="N157">
        <f t="shared" si="14"/>
        <v>0</v>
      </c>
      <c r="P157" t="e">
        <f>INDEX(Items!B$2:B$1032,MATCH($O157,Items!$A$2:$A$1032,0))</f>
        <v>#N/A</v>
      </c>
      <c r="Q157" t="e">
        <f>INDEX(Items!C$2:C$1032,MATCH($O157,Items!$A$2:$A$1032,0))</f>
        <v>#N/A</v>
      </c>
      <c r="R157" t="e">
        <f>INDEX(Items!D$2:D$1032,MATCH($O157,Items!$A$2:$A$1032,0))</f>
        <v>#N/A</v>
      </c>
    </row>
    <row r="158" spans="1:18" x14ac:dyDescent="0.25">
      <c r="A158">
        <f t="shared" si="12"/>
        <v>1</v>
      </c>
      <c r="B158" t="str">
        <f t="shared" si="13"/>
        <v/>
      </c>
      <c r="C158">
        <f t="shared" si="15"/>
        <v>1</v>
      </c>
      <c r="D158" s="4"/>
      <c r="E158" t="s">
        <v>18</v>
      </c>
      <c r="F158" t="str">
        <f>INDEX(Establishment!B$2:B$1005,MATCH($E158,Establishment!$A$2:$A$1005,0))</f>
        <v xml:space="preserve"> </v>
      </c>
      <c r="G158" t="str">
        <f>INDEX(Establishment!C$2:C$1005,MATCH($E158,Establishment!$A$2:$A$1005,0))</f>
        <v xml:space="preserve"> </v>
      </c>
      <c r="M158">
        <f t="shared" si="16"/>
        <v>0</v>
      </c>
      <c r="N158">
        <f t="shared" si="14"/>
        <v>0</v>
      </c>
      <c r="P158" t="e">
        <f>INDEX(Items!B$2:B$1032,MATCH($O158,Items!$A$2:$A$1032,0))</f>
        <v>#N/A</v>
      </c>
      <c r="Q158" t="e">
        <f>INDEX(Items!C$2:C$1032,MATCH($O158,Items!$A$2:$A$1032,0))</f>
        <v>#N/A</v>
      </c>
      <c r="R158" t="e">
        <f>INDEX(Items!D$2:D$1032,MATCH($O158,Items!$A$2:$A$1032,0))</f>
        <v>#N/A</v>
      </c>
    </row>
    <row r="159" spans="1:18" x14ac:dyDescent="0.25">
      <c r="A159">
        <f t="shared" si="12"/>
        <v>1</v>
      </c>
      <c r="B159" t="str">
        <f t="shared" si="13"/>
        <v/>
      </c>
      <c r="C159">
        <f t="shared" si="15"/>
        <v>1</v>
      </c>
      <c r="D159" s="4"/>
      <c r="E159" t="s">
        <v>18</v>
      </c>
      <c r="F159" t="str">
        <f>INDEX(Establishment!B$2:B$1005,MATCH($E159,Establishment!$A$2:$A$1005,0))</f>
        <v xml:space="preserve"> </v>
      </c>
      <c r="G159" t="str">
        <f>INDEX(Establishment!C$2:C$1005,MATCH($E159,Establishment!$A$2:$A$1005,0))</f>
        <v xml:space="preserve"> </v>
      </c>
      <c r="M159">
        <f t="shared" si="16"/>
        <v>0</v>
      </c>
      <c r="N159">
        <f t="shared" si="14"/>
        <v>0</v>
      </c>
      <c r="P159" t="e">
        <f>INDEX(Items!B$2:B$1032,MATCH($O159,Items!$A$2:$A$1032,0))</f>
        <v>#N/A</v>
      </c>
      <c r="Q159" t="e">
        <f>INDEX(Items!C$2:C$1032,MATCH($O159,Items!$A$2:$A$1032,0))</f>
        <v>#N/A</v>
      </c>
      <c r="R159" t="e">
        <f>INDEX(Items!D$2:D$1032,MATCH($O159,Items!$A$2:$A$1032,0))</f>
        <v>#N/A</v>
      </c>
    </row>
    <row r="160" spans="1:18" x14ac:dyDescent="0.25">
      <c r="A160">
        <f t="shared" si="12"/>
        <v>1</v>
      </c>
      <c r="B160" t="str">
        <f t="shared" si="13"/>
        <v/>
      </c>
      <c r="C160">
        <f t="shared" si="15"/>
        <v>1</v>
      </c>
      <c r="D160" s="4"/>
      <c r="E160" t="s">
        <v>18</v>
      </c>
      <c r="F160" t="str">
        <f>INDEX(Establishment!B$2:B$1005,MATCH($E160,Establishment!$A$2:$A$1005,0))</f>
        <v xml:space="preserve"> </v>
      </c>
      <c r="G160" t="str">
        <f>INDEX(Establishment!C$2:C$1005,MATCH($E160,Establishment!$A$2:$A$1005,0))</f>
        <v xml:space="preserve"> </v>
      </c>
      <c r="M160">
        <f t="shared" si="16"/>
        <v>0</v>
      </c>
      <c r="N160">
        <f t="shared" si="14"/>
        <v>0</v>
      </c>
      <c r="P160" t="e">
        <f>INDEX(Items!B$2:B$1032,MATCH($O160,Items!$A$2:$A$1032,0))</f>
        <v>#N/A</v>
      </c>
      <c r="Q160" t="e">
        <f>INDEX(Items!C$2:C$1032,MATCH($O160,Items!$A$2:$A$1032,0))</f>
        <v>#N/A</v>
      </c>
      <c r="R160" t="e">
        <f>INDEX(Items!D$2:D$1032,MATCH($O160,Items!$A$2:$A$1032,0))</f>
        <v>#N/A</v>
      </c>
    </row>
    <row r="161" spans="1:18" x14ac:dyDescent="0.25">
      <c r="A161">
        <f t="shared" si="12"/>
        <v>1</v>
      </c>
      <c r="B161" t="str">
        <f t="shared" si="13"/>
        <v/>
      </c>
      <c r="C161">
        <f t="shared" si="15"/>
        <v>1</v>
      </c>
      <c r="D161" s="4"/>
      <c r="E161" t="s">
        <v>18</v>
      </c>
      <c r="F161" t="str">
        <f>INDEX(Establishment!B$2:B$1005,MATCH($E161,Establishment!$A$2:$A$1005,0))</f>
        <v xml:space="preserve"> </v>
      </c>
      <c r="G161" t="str">
        <f>INDEX(Establishment!C$2:C$1005,MATCH($E161,Establishment!$A$2:$A$1005,0))</f>
        <v xml:space="preserve"> </v>
      </c>
      <c r="M161">
        <f t="shared" si="16"/>
        <v>0</v>
      </c>
      <c r="N161">
        <f t="shared" si="14"/>
        <v>0</v>
      </c>
      <c r="P161" t="e">
        <f>INDEX(Items!B$2:B$1032,MATCH($O161,Items!$A$2:$A$1032,0))</f>
        <v>#N/A</v>
      </c>
      <c r="Q161" t="e">
        <f>INDEX(Items!C$2:C$1032,MATCH($O161,Items!$A$2:$A$1032,0))</f>
        <v>#N/A</v>
      </c>
      <c r="R161" t="e">
        <f>INDEX(Items!D$2:D$1032,MATCH($O161,Items!$A$2:$A$1032,0))</f>
        <v>#N/A</v>
      </c>
    </row>
    <row r="162" spans="1:18" x14ac:dyDescent="0.25">
      <c r="A162">
        <f t="shared" si="12"/>
        <v>1</v>
      </c>
      <c r="B162" t="str">
        <f t="shared" si="13"/>
        <v/>
      </c>
      <c r="C162">
        <f t="shared" si="15"/>
        <v>1</v>
      </c>
      <c r="D162" s="4"/>
      <c r="E162" t="s">
        <v>18</v>
      </c>
      <c r="F162" t="str">
        <f>INDEX(Establishment!B$2:B$1005,MATCH($E162,Establishment!$A$2:$A$1005,0))</f>
        <v xml:space="preserve"> </v>
      </c>
      <c r="G162" t="str">
        <f>INDEX(Establishment!C$2:C$1005,MATCH($E162,Establishment!$A$2:$A$1005,0))</f>
        <v xml:space="preserve"> </v>
      </c>
      <c r="M162">
        <f t="shared" si="16"/>
        <v>0</v>
      </c>
      <c r="N162">
        <f t="shared" si="14"/>
        <v>0</v>
      </c>
      <c r="P162" t="e">
        <f>INDEX(Items!B$2:B$1032,MATCH($O162,Items!$A$2:$A$1032,0))</f>
        <v>#N/A</v>
      </c>
      <c r="Q162" t="e">
        <f>INDEX(Items!C$2:C$1032,MATCH($O162,Items!$A$2:$A$1032,0))</f>
        <v>#N/A</v>
      </c>
      <c r="R162" t="e">
        <f>INDEX(Items!D$2:D$1032,MATCH($O162,Items!$A$2:$A$1032,0))</f>
        <v>#N/A</v>
      </c>
    </row>
    <row r="163" spans="1:18" x14ac:dyDescent="0.25">
      <c r="A163">
        <f t="shared" si="12"/>
        <v>1</v>
      </c>
      <c r="B163" t="str">
        <f t="shared" si="13"/>
        <v/>
      </c>
      <c r="C163">
        <f t="shared" si="15"/>
        <v>1</v>
      </c>
      <c r="D163" s="4"/>
      <c r="E163" t="s">
        <v>18</v>
      </c>
      <c r="F163" t="str">
        <f>INDEX(Establishment!B$2:B$1005,MATCH($E163,Establishment!$A$2:$A$1005,0))</f>
        <v xml:space="preserve"> </v>
      </c>
      <c r="G163" t="str">
        <f>INDEX(Establishment!C$2:C$1005,MATCH($E163,Establishment!$A$2:$A$1005,0))</f>
        <v xml:space="preserve"> </v>
      </c>
      <c r="M163">
        <f t="shared" si="16"/>
        <v>0</v>
      </c>
      <c r="N163">
        <f t="shared" si="14"/>
        <v>0</v>
      </c>
      <c r="P163" t="e">
        <f>INDEX(Items!B$2:B$1032,MATCH($O163,Items!$A$2:$A$1032,0))</f>
        <v>#N/A</v>
      </c>
      <c r="Q163" t="e">
        <f>INDEX(Items!C$2:C$1032,MATCH($O163,Items!$A$2:$A$1032,0))</f>
        <v>#N/A</v>
      </c>
      <c r="R163" t="e">
        <f>INDEX(Items!D$2:D$1032,MATCH($O163,Items!$A$2:$A$1032,0))</f>
        <v>#N/A</v>
      </c>
    </row>
    <row r="164" spans="1:18" x14ac:dyDescent="0.25">
      <c r="A164">
        <f t="shared" si="12"/>
        <v>1</v>
      </c>
      <c r="B164" t="str">
        <f t="shared" si="13"/>
        <v/>
      </c>
      <c r="C164">
        <f t="shared" si="15"/>
        <v>1</v>
      </c>
      <c r="D164" s="4"/>
      <c r="E164" t="s">
        <v>18</v>
      </c>
      <c r="F164" t="str">
        <f>INDEX(Establishment!B$2:B$1005,MATCH($E164,Establishment!$A$2:$A$1005,0))</f>
        <v xml:space="preserve"> </v>
      </c>
      <c r="G164" t="str">
        <f>INDEX(Establishment!C$2:C$1005,MATCH($E164,Establishment!$A$2:$A$1005,0))</f>
        <v xml:space="preserve"> </v>
      </c>
      <c r="M164">
        <f t="shared" si="16"/>
        <v>0</v>
      </c>
      <c r="N164">
        <f t="shared" si="14"/>
        <v>0</v>
      </c>
      <c r="P164" t="e">
        <f>INDEX(Items!B$2:B$1032,MATCH($O164,Items!$A$2:$A$1032,0))</f>
        <v>#N/A</v>
      </c>
      <c r="Q164" t="e">
        <f>INDEX(Items!C$2:C$1032,MATCH($O164,Items!$A$2:$A$1032,0))</f>
        <v>#N/A</v>
      </c>
      <c r="R164" t="e">
        <f>INDEX(Items!D$2:D$1032,MATCH($O164,Items!$A$2:$A$1032,0))</f>
        <v>#N/A</v>
      </c>
    </row>
    <row r="165" spans="1:18" x14ac:dyDescent="0.25">
      <c r="A165">
        <f t="shared" si="12"/>
        <v>1</v>
      </c>
      <c r="B165" t="str">
        <f t="shared" si="13"/>
        <v/>
      </c>
      <c r="C165">
        <f t="shared" si="15"/>
        <v>1</v>
      </c>
      <c r="D165" s="4"/>
      <c r="E165" t="s">
        <v>18</v>
      </c>
      <c r="F165" t="str">
        <f>INDEX(Establishment!B$2:B$1005,MATCH($E165,Establishment!$A$2:$A$1005,0))</f>
        <v xml:space="preserve"> </v>
      </c>
      <c r="G165" t="str">
        <f>INDEX(Establishment!C$2:C$1005,MATCH($E165,Establishment!$A$2:$A$1005,0))</f>
        <v xml:space="preserve"> </v>
      </c>
      <c r="M165">
        <f t="shared" si="16"/>
        <v>0</v>
      </c>
      <c r="N165">
        <f t="shared" si="14"/>
        <v>0</v>
      </c>
      <c r="P165" t="e">
        <f>INDEX(Items!B$2:B$1032,MATCH($O165,Items!$A$2:$A$1032,0))</f>
        <v>#N/A</v>
      </c>
      <c r="Q165" t="e">
        <f>INDEX(Items!C$2:C$1032,MATCH($O165,Items!$A$2:$A$1032,0))</f>
        <v>#N/A</v>
      </c>
      <c r="R165" t="e">
        <f>INDEX(Items!D$2:D$1032,MATCH($O165,Items!$A$2:$A$1032,0))</f>
        <v>#N/A</v>
      </c>
    </row>
    <row r="166" spans="1:18" x14ac:dyDescent="0.25">
      <c r="A166">
        <f t="shared" si="12"/>
        <v>1</v>
      </c>
      <c r="B166" t="str">
        <f t="shared" si="13"/>
        <v/>
      </c>
      <c r="C166">
        <f t="shared" si="15"/>
        <v>1</v>
      </c>
      <c r="D166" s="4"/>
      <c r="E166" t="s">
        <v>18</v>
      </c>
      <c r="F166" t="str">
        <f>INDEX(Establishment!B$2:B$1005,MATCH($E166,Establishment!$A$2:$A$1005,0))</f>
        <v xml:space="preserve"> </v>
      </c>
      <c r="G166" t="str">
        <f>INDEX(Establishment!C$2:C$1005,MATCH($E166,Establishment!$A$2:$A$1005,0))</f>
        <v xml:space="preserve"> </v>
      </c>
      <c r="M166">
        <f t="shared" si="16"/>
        <v>0</v>
      </c>
      <c r="N166">
        <f t="shared" si="14"/>
        <v>0</v>
      </c>
      <c r="P166" t="e">
        <f>INDEX(Items!B$2:B$1032,MATCH($O166,Items!$A$2:$A$1032,0))</f>
        <v>#N/A</v>
      </c>
      <c r="Q166" t="e">
        <f>INDEX(Items!C$2:C$1032,MATCH($O166,Items!$A$2:$A$1032,0))</f>
        <v>#N/A</v>
      </c>
      <c r="R166" t="e">
        <f>INDEX(Items!D$2:D$1032,MATCH($O166,Items!$A$2:$A$1032,0))</f>
        <v>#N/A</v>
      </c>
    </row>
    <row r="167" spans="1:18" x14ac:dyDescent="0.25">
      <c r="A167">
        <f t="shared" si="12"/>
        <v>1</v>
      </c>
      <c r="B167" t="str">
        <f t="shared" si="13"/>
        <v/>
      </c>
      <c r="C167">
        <f t="shared" si="15"/>
        <v>1</v>
      </c>
      <c r="D167" s="4"/>
      <c r="E167" t="s">
        <v>18</v>
      </c>
      <c r="F167" t="str">
        <f>INDEX(Establishment!B$2:B$1005,MATCH($E167,Establishment!$A$2:$A$1005,0))</f>
        <v xml:space="preserve"> </v>
      </c>
      <c r="G167" t="str">
        <f>INDEX(Establishment!C$2:C$1005,MATCH($E167,Establishment!$A$2:$A$1005,0))</f>
        <v xml:space="preserve"> </v>
      </c>
      <c r="M167">
        <f t="shared" si="16"/>
        <v>0</v>
      </c>
      <c r="N167">
        <f t="shared" si="14"/>
        <v>0</v>
      </c>
      <c r="P167" t="e">
        <f>INDEX(Items!B$2:B$1032,MATCH($O167,Items!$A$2:$A$1032,0))</f>
        <v>#N/A</v>
      </c>
      <c r="Q167" t="e">
        <f>INDEX(Items!C$2:C$1032,MATCH($O167,Items!$A$2:$A$1032,0))</f>
        <v>#N/A</v>
      </c>
      <c r="R167" t="e">
        <f>INDEX(Items!D$2:D$1032,MATCH($O167,Items!$A$2:$A$1032,0))</f>
        <v>#N/A</v>
      </c>
    </row>
    <row r="168" spans="1:18" x14ac:dyDescent="0.25">
      <c r="A168">
        <f t="shared" si="12"/>
        <v>1</v>
      </c>
      <c r="B168" t="str">
        <f t="shared" si="13"/>
        <v/>
      </c>
      <c r="C168">
        <f t="shared" si="15"/>
        <v>1</v>
      </c>
      <c r="D168" s="4"/>
      <c r="E168" t="s">
        <v>18</v>
      </c>
      <c r="F168" t="str">
        <f>INDEX(Establishment!B$2:B$1005,MATCH($E168,Establishment!$A$2:$A$1005,0))</f>
        <v xml:space="preserve"> </v>
      </c>
      <c r="G168" t="str">
        <f>INDEX(Establishment!C$2:C$1005,MATCH($E168,Establishment!$A$2:$A$1005,0))</f>
        <v xml:space="preserve"> </v>
      </c>
      <c r="M168">
        <f t="shared" si="16"/>
        <v>0</v>
      </c>
      <c r="N168">
        <f t="shared" si="14"/>
        <v>0</v>
      </c>
      <c r="P168" t="e">
        <f>INDEX(Items!B$2:B$1032,MATCH($O168,Items!$A$2:$A$1032,0))</f>
        <v>#N/A</v>
      </c>
      <c r="Q168" t="e">
        <f>INDEX(Items!C$2:C$1032,MATCH($O168,Items!$A$2:$A$1032,0))</f>
        <v>#N/A</v>
      </c>
      <c r="R168" t="e">
        <f>INDEX(Items!D$2:D$1032,MATCH($O168,Items!$A$2:$A$1032,0))</f>
        <v>#N/A</v>
      </c>
    </row>
    <row r="169" spans="1:18" x14ac:dyDescent="0.25">
      <c r="A169">
        <f t="shared" si="12"/>
        <v>1</v>
      </c>
      <c r="B169" t="str">
        <f t="shared" si="13"/>
        <v/>
      </c>
      <c r="C169">
        <f t="shared" si="15"/>
        <v>1</v>
      </c>
      <c r="D169" s="4"/>
      <c r="E169" t="s">
        <v>18</v>
      </c>
      <c r="F169" t="str">
        <f>INDEX(Establishment!B$2:B$1005,MATCH($E169,Establishment!$A$2:$A$1005,0))</f>
        <v xml:space="preserve"> </v>
      </c>
      <c r="G169" t="str">
        <f>INDEX(Establishment!C$2:C$1005,MATCH($E169,Establishment!$A$2:$A$1005,0))</f>
        <v xml:space="preserve"> </v>
      </c>
      <c r="M169">
        <f t="shared" si="16"/>
        <v>0</v>
      </c>
      <c r="N169">
        <f t="shared" si="14"/>
        <v>0</v>
      </c>
      <c r="P169" t="e">
        <f>INDEX(Items!B$2:B$1032,MATCH($O169,Items!$A$2:$A$1032,0))</f>
        <v>#N/A</v>
      </c>
      <c r="Q169" t="e">
        <f>INDEX(Items!C$2:C$1032,MATCH($O169,Items!$A$2:$A$1032,0))</f>
        <v>#N/A</v>
      </c>
      <c r="R169" t="e">
        <f>INDEX(Items!D$2:D$1032,MATCH($O169,Items!$A$2:$A$1032,0))</f>
        <v>#N/A</v>
      </c>
    </row>
    <row r="170" spans="1:18" x14ac:dyDescent="0.25">
      <c r="A170">
        <f t="shared" si="12"/>
        <v>1</v>
      </c>
      <c r="B170" t="str">
        <f t="shared" si="13"/>
        <v/>
      </c>
      <c r="C170">
        <f t="shared" si="15"/>
        <v>1</v>
      </c>
      <c r="D170" s="4"/>
      <c r="E170" t="s">
        <v>18</v>
      </c>
      <c r="F170" t="str">
        <f>INDEX(Establishment!B$2:B$1005,MATCH($E170,Establishment!$A$2:$A$1005,0))</f>
        <v xml:space="preserve"> </v>
      </c>
      <c r="G170" t="str">
        <f>INDEX(Establishment!C$2:C$1005,MATCH($E170,Establishment!$A$2:$A$1005,0))</f>
        <v xml:space="preserve"> </v>
      </c>
      <c r="M170">
        <f t="shared" si="16"/>
        <v>0</v>
      </c>
      <c r="N170">
        <f t="shared" si="14"/>
        <v>0</v>
      </c>
      <c r="P170" t="e">
        <f>INDEX(Items!B$2:B$1032,MATCH($O170,Items!$A$2:$A$1032,0))</f>
        <v>#N/A</v>
      </c>
      <c r="Q170" t="e">
        <f>INDEX(Items!C$2:C$1032,MATCH($O170,Items!$A$2:$A$1032,0))</f>
        <v>#N/A</v>
      </c>
      <c r="R170" t="e">
        <f>INDEX(Items!D$2:D$1032,MATCH($O170,Items!$A$2:$A$1032,0))</f>
        <v>#N/A</v>
      </c>
    </row>
    <row r="171" spans="1:18" x14ac:dyDescent="0.25">
      <c r="A171">
        <f t="shared" si="12"/>
        <v>1</v>
      </c>
      <c r="B171" t="str">
        <f t="shared" si="13"/>
        <v/>
      </c>
      <c r="C171">
        <f t="shared" si="15"/>
        <v>1</v>
      </c>
      <c r="D171" s="4"/>
      <c r="E171" t="s">
        <v>18</v>
      </c>
      <c r="F171" t="str">
        <f>INDEX(Establishment!B$2:B$1005,MATCH($E171,Establishment!$A$2:$A$1005,0))</f>
        <v xml:space="preserve"> </v>
      </c>
      <c r="G171" t="str">
        <f>INDEX(Establishment!C$2:C$1005,MATCH($E171,Establishment!$A$2:$A$1005,0))</f>
        <v xml:space="preserve"> </v>
      </c>
      <c r="M171">
        <f t="shared" si="16"/>
        <v>0</v>
      </c>
      <c r="N171">
        <f t="shared" si="14"/>
        <v>0</v>
      </c>
      <c r="P171" t="e">
        <f>INDEX(Items!B$2:B$1032,MATCH($O171,Items!$A$2:$A$1032,0))</f>
        <v>#N/A</v>
      </c>
      <c r="Q171" t="e">
        <f>INDEX(Items!C$2:C$1032,MATCH($O171,Items!$A$2:$A$1032,0))</f>
        <v>#N/A</v>
      </c>
      <c r="R171" t="e">
        <f>INDEX(Items!D$2:D$1032,MATCH($O171,Items!$A$2:$A$1032,0))</f>
        <v>#N/A</v>
      </c>
    </row>
    <row r="172" spans="1:18" x14ac:dyDescent="0.25">
      <c r="A172">
        <f t="shared" si="12"/>
        <v>1</v>
      </c>
      <c r="B172" t="str">
        <f t="shared" si="13"/>
        <v/>
      </c>
      <c r="C172">
        <f t="shared" si="15"/>
        <v>1</v>
      </c>
      <c r="D172" s="4"/>
      <c r="E172" t="s">
        <v>18</v>
      </c>
      <c r="F172" t="str">
        <f>INDEX(Establishment!B$2:B$1005,MATCH($E172,Establishment!$A$2:$A$1005,0))</f>
        <v xml:space="preserve"> </v>
      </c>
      <c r="G172" t="str">
        <f>INDEX(Establishment!C$2:C$1005,MATCH($E172,Establishment!$A$2:$A$1005,0))</f>
        <v xml:space="preserve"> </v>
      </c>
      <c r="M172">
        <f t="shared" si="16"/>
        <v>0</v>
      </c>
      <c r="N172">
        <f t="shared" si="14"/>
        <v>0</v>
      </c>
      <c r="P172" t="e">
        <f>INDEX(Items!B$2:B$1032,MATCH($O172,Items!$A$2:$A$1032,0))</f>
        <v>#N/A</v>
      </c>
      <c r="Q172" t="e">
        <f>INDEX(Items!C$2:C$1032,MATCH($O172,Items!$A$2:$A$1032,0))</f>
        <v>#N/A</v>
      </c>
      <c r="R172" t="e">
        <f>INDEX(Items!D$2:D$1032,MATCH($O172,Items!$A$2:$A$1032,0))</f>
        <v>#N/A</v>
      </c>
    </row>
    <row r="173" spans="1:18" x14ac:dyDescent="0.25">
      <c r="A173">
        <f t="shared" si="12"/>
        <v>1</v>
      </c>
      <c r="B173" t="str">
        <f t="shared" si="13"/>
        <v/>
      </c>
      <c r="C173">
        <f t="shared" si="15"/>
        <v>1</v>
      </c>
      <c r="D173" s="4"/>
      <c r="E173" t="s">
        <v>18</v>
      </c>
      <c r="F173" t="str">
        <f>INDEX(Establishment!B$2:B$1005,MATCH($E173,Establishment!$A$2:$A$1005,0))</f>
        <v xml:space="preserve"> </v>
      </c>
      <c r="G173" t="str">
        <f>INDEX(Establishment!C$2:C$1005,MATCH($E173,Establishment!$A$2:$A$1005,0))</f>
        <v xml:space="preserve"> </v>
      </c>
      <c r="M173">
        <f t="shared" si="16"/>
        <v>0</v>
      </c>
      <c r="N173">
        <f t="shared" si="14"/>
        <v>0</v>
      </c>
      <c r="P173" t="e">
        <f>INDEX(Items!B$2:B$1032,MATCH($O173,Items!$A$2:$A$1032,0))</f>
        <v>#N/A</v>
      </c>
      <c r="Q173" t="e">
        <f>INDEX(Items!C$2:C$1032,MATCH($O173,Items!$A$2:$A$1032,0))</f>
        <v>#N/A</v>
      </c>
      <c r="R173" t="e">
        <f>INDEX(Items!D$2:D$1032,MATCH($O173,Items!$A$2:$A$1032,0))</f>
        <v>#N/A</v>
      </c>
    </row>
    <row r="174" spans="1:18" x14ac:dyDescent="0.25">
      <c r="A174">
        <f t="shared" si="12"/>
        <v>1</v>
      </c>
      <c r="B174" t="str">
        <f t="shared" si="13"/>
        <v/>
      </c>
      <c r="C174">
        <f t="shared" si="15"/>
        <v>1</v>
      </c>
      <c r="D174" s="4"/>
      <c r="E174" t="s">
        <v>18</v>
      </c>
      <c r="F174" t="str">
        <f>INDEX(Establishment!B$2:B$1005,MATCH($E174,Establishment!$A$2:$A$1005,0))</f>
        <v xml:space="preserve"> </v>
      </c>
      <c r="G174" t="str">
        <f>INDEX(Establishment!C$2:C$1005,MATCH($E174,Establishment!$A$2:$A$1005,0))</f>
        <v xml:space="preserve"> </v>
      </c>
      <c r="M174">
        <f t="shared" si="16"/>
        <v>0</v>
      </c>
      <c r="N174">
        <f t="shared" si="14"/>
        <v>0</v>
      </c>
      <c r="P174" t="e">
        <f>INDEX(Items!B$2:B$1032,MATCH($O174,Items!$A$2:$A$1032,0))</f>
        <v>#N/A</v>
      </c>
      <c r="Q174" t="e">
        <f>INDEX(Items!C$2:C$1032,MATCH($O174,Items!$A$2:$A$1032,0))</f>
        <v>#N/A</v>
      </c>
      <c r="R174" t="e">
        <f>INDEX(Items!D$2:D$1032,MATCH($O174,Items!$A$2:$A$1032,0))</f>
        <v>#N/A</v>
      </c>
    </row>
    <row r="175" spans="1:18" x14ac:dyDescent="0.25">
      <c r="A175">
        <f t="shared" si="12"/>
        <v>1</v>
      </c>
      <c r="B175" t="str">
        <f t="shared" si="13"/>
        <v/>
      </c>
      <c r="C175">
        <f t="shared" si="15"/>
        <v>1</v>
      </c>
      <c r="D175" s="4"/>
      <c r="E175" t="s">
        <v>18</v>
      </c>
      <c r="F175" t="str">
        <f>INDEX(Establishment!B$2:B$1005,MATCH($E175,Establishment!$A$2:$A$1005,0))</f>
        <v xml:space="preserve"> </v>
      </c>
      <c r="G175" t="str">
        <f>INDEX(Establishment!C$2:C$1005,MATCH($E175,Establishment!$A$2:$A$1005,0))</f>
        <v xml:space="preserve"> </v>
      </c>
      <c r="M175">
        <f t="shared" si="16"/>
        <v>0</v>
      </c>
      <c r="N175">
        <f t="shared" si="14"/>
        <v>0</v>
      </c>
      <c r="P175" t="e">
        <f>INDEX(Items!B$2:B$1032,MATCH($O175,Items!$A$2:$A$1032,0))</f>
        <v>#N/A</v>
      </c>
      <c r="Q175" t="e">
        <f>INDEX(Items!C$2:C$1032,MATCH($O175,Items!$A$2:$A$1032,0))</f>
        <v>#N/A</v>
      </c>
      <c r="R175" t="e">
        <f>INDEX(Items!D$2:D$1032,MATCH($O175,Items!$A$2:$A$1032,0))</f>
        <v>#N/A</v>
      </c>
    </row>
    <row r="176" spans="1:18" x14ac:dyDescent="0.25">
      <c r="A176">
        <f t="shared" si="12"/>
        <v>1</v>
      </c>
      <c r="B176" t="str">
        <f t="shared" si="13"/>
        <v/>
      </c>
      <c r="C176">
        <f t="shared" si="15"/>
        <v>1</v>
      </c>
      <c r="D176" s="4"/>
      <c r="E176" t="s">
        <v>18</v>
      </c>
      <c r="F176" t="str">
        <f>INDEX(Establishment!B$2:B$1005,MATCH($E176,Establishment!$A$2:$A$1005,0))</f>
        <v xml:space="preserve"> </v>
      </c>
      <c r="G176" t="str">
        <f>INDEX(Establishment!C$2:C$1005,MATCH($E176,Establishment!$A$2:$A$1005,0))</f>
        <v xml:space="preserve"> </v>
      </c>
      <c r="M176">
        <f t="shared" si="16"/>
        <v>0</v>
      </c>
      <c r="N176">
        <f t="shared" si="14"/>
        <v>0</v>
      </c>
      <c r="P176" t="e">
        <f>INDEX(Items!B$2:B$1032,MATCH($O176,Items!$A$2:$A$1032,0))</f>
        <v>#N/A</v>
      </c>
      <c r="Q176" t="e">
        <f>INDEX(Items!C$2:C$1032,MATCH($O176,Items!$A$2:$A$1032,0))</f>
        <v>#N/A</v>
      </c>
      <c r="R176" t="e">
        <f>INDEX(Items!D$2:D$1032,MATCH($O176,Items!$A$2:$A$1032,0))</f>
        <v>#N/A</v>
      </c>
    </row>
    <row r="177" spans="1:18" x14ac:dyDescent="0.25">
      <c r="A177">
        <f t="shared" si="12"/>
        <v>1</v>
      </c>
      <c r="B177" t="str">
        <f t="shared" si="13"/>
        <v/>
      </c>
      <c r="C177">
        <f t="shared" si="15"/>
        <v>1</v>
      </c>
      <c r="D177" s="4"/>
      <c r="E177" t="s">
        <v>18</v>
      </c>
      <c r="F177" t="str">
        <f>INDEX(Establishment!B$2:B$1005,MATCH($E177,Establishment!$A$2:$A$1005,0))</f>
        <v xml:space="preserve"> </v>
      </c>
      <c r="G177" t="str">
        <f>INDEX(Establishment!C$2:C$1005,MATCH($E177,Establishment!$A$2:$A$1005,0))</f>
        <v xml:space="preserve"> </v>
      </c>
      <c r="M177">
        <f t="shared" si="16"/>
        <v>0</v>
      </c>
      <c r="N177">
        <f t="shared" si="14"/>
        <v>0</v>
      </c>
      <c r="P177" t="e">
        <f>INDEX(Items!B$2:B$1032,MATCH($O177,Items!$A$2:$A$1032,0))</f>
        <v>#N/A</v>
      </c>
      <c r="Q177" t="e">
        <f>INDEX(Items!C$2:C$1032,MATCH($O177,Items!$A$2:$A$1032,0))</f>
        <v>#N/A</v>
      </c>
      <c r="R177" t="e">
        <f>INDEX(Items!D$2:D$1032,MATCH($O177,Items!$A$2:$A$1032,0))</f>
        <v>#N/A</v>
      </c>
    </row>
    <row r="178" spans="1:18" x14ac:dyDescent="0.25">
      <c r="A178">
        <f t="shared" si="12"/>
        <v>1</v>
      </c>
      <c r="B178" t="str">
        <f t="shared" si="13"/>
        <v/>
      </c>
      <c r="C178">
        <f t="shared" si="15"/>
        <v>1</v>
      </c>
      <c r="D178" s="4"/>
      <c r="E178" t="s">
        <v>18</v>
      </c>
      <c r="F178" t="str">
        <f>INDEX(Establishment!B$2:B$1005,MATCH($E178,Establishment!$A$2:$A$1005,0))</f>
        <v xml:space="preserve"> </v>
      </c>
      <c r="G178" t="str">
        <f>INDEX(Establishment!C$2:C$1005,MATCH($E178,Establishment!$A$2:$A$1005,0))</f>
        <v xml:space="preserve"> </v>
      </c>
      <c r="M178">
        <f t="shared" si="16"/>
        <v>0</v>
      </c>
      <c r="N178">
        <f t="shared" si="14"/>
        <v>0</v>
      </c>
      <c r="P178" t="e">
        <f>INDEX(Items!B$2:B$1032,MATCH($O178,Items!$A$2:$A$1032,0))</f>
        <v>#N/A</v>
      </c>
      <c r="Q178" t="e">
        <f>INDEX(Items!C$2:C$1032,MATCH($O178,Items!$A$2:$A$1032,0))</f>
        <v>#N/A</v>
      </c>
      <c r="R178" t="e">
        <f>INDEX(Items!D$2:D$1032,MATCH($O178,Items!$A$2:$A$1032,0))</f>
        <v>#N/A</v>
      </c>
    </row>
    <row r="179" spans="1:18" x14ac:dyDescent="0.25">
      <c r="A179">
        <f t="shared" si="12"/>
        <v>1</v>
      </c>
      <c r="B179" t="str">
        <f t="shared" si="13"/>
        <v/>
      </c>
      <c r="C179">
        <f t="shared" si="15"/>
        <v>1</v>
      </c>
      <c r="D179" s="4"/>
      <c r="E179" t="s">
        <v>18</v>
      </c>
      <c r="F179" t="str">
        <f>INDEX(Establishment!B$2:B$1005,MATCH($E179,Establishment!$A$2:$A$1005,0))</f>
        <v xml:space="preserve"> </v>
      </c>
      <c r="G179" t="str">
        <f>INDEX(Establishment!C$2:C$1005,MATCH($E179,Establishment!$A$2:$A$1005,0))</f>
        <v xml:space="preserve"> </v>
      </c>
      <c r="M179">
        <f t="shared" si="16"/>
        <v>0</v>
      </c>
      <c r="N179">
        <f t="shared" si="14"/>
        <v>0</v>
      </c>
      <c r="P179" t="e">
        <f>INDEX(Items!B$2:B$1032,MATCH($O179,Items!$A$2:$A$1032,0))</f>
        <v>#N/A</v>
      </c>
      <c r="Q179" t="e">
        <f>INDEX(Items!C$2:C$1032,MATCH($O179,Items!$A$2:$A$1032,0))</f>
        <v>#N/A</v>
      </c>
      <c r="R179" t="e">
        <f>INDEX(Items!D$2:D$1032,MATCH($O179,Items!$A$2:$A$1032,0))</f>
        <v>#N/A</v>
      </c>
    </row>
    <row r="180" spans="1:18" x14ac:dyDescent="0.25">
      <c r="A180">
        <f t="shared" si="12"/>
        <v>1</v>
      </c>
      <c r="B180" t="str">
        <f t="shared" si="13"/>
        <v/>
      </c>
      <c r="C180">
        <f t="shared" si="15"/>
        <v>1</v>
      </c>
      <c r="D180" s="4"/>
      <c r="E180" t="s">
        <v>18</v>
      </c>
      <c r="F180" t="str">
        <f>INDEX(Establishment!B$2:B$1005,MATCH($E180,Establishment!$A$2:$A$1005,0))</f>
        <v xml:space="preserve"> </v>
      </c>
      <c r="G180" t="str">
        <f>INDEX(Establishment!C$2:C$1005,MATCH($E180,Establishment!$A$2:$A$1005,0))</f>
        <v xml:space="preserve"> </v>
      </c>
      <c r="M180">
        <f t="shared" si="16"/>
        <v>0</v>
      </c>
      <c r="N180">
        <f t="shared" si="14"/>
        <v>0</v>
      </c>
      <c r="P180" t="e">
        <f>INDEX(Items!B$2:B$1032,MATCH($O180,Items!$A$2:$A$1032,0))</f>
        <v>#N/A</v>
      </c>
      <c r="Q180" t="e">
        <f>INDEX(Items!C$2:C$1032,MATCH($O180,Items!$A$2:$A$1032,0))</f>
        <v>#N/A</v>
      </c>
      <c r="R180" t="e">
        <f>INDEX(Items!D$2:D$1032,MATCH($O180,Items!$A$2:$A$1032,0))</f>
        <v>#N/A</v>
      </c>
    </row>
    <row r="181" spans="1:18" x14ac:dyDescent="0.25">
      <c r="A181">
        <f t="shared" si="12"/>
        <v>1</v>
      </c>
      <c r="B181" t="str">
        <f t="shared" si="13"/>
        <v/>
      </c>
      <c r="C181">
        <f t="shared" si="15"/>
        <v>1</v>
      </c>
      <c r="D181" s="4"/>
      <c r="E181" t="s">
        <v>18</v>
      </c>
      <c r="F181" t="str">
        <f>INDEX(Establishment!B$2:B$1005,MATCH($E181,Establishment!$A$2:$A$1005,0))</f>
        <v xml:space="preserve"> </v>
      </c>
      <c r="G181" t="str">
        <f>INDEX(Establishment!C$2:C$1005,MATCH($E181,Establishment!$A$2:$A$1005,0))</f>
        <v xml:space="preserve"> </v>
      </c>
      <c r="M181">
        <f t="shared" si="16"/>
        <v>0</v>
      </c>
      <c r="N181">
        <f t="shared" si="14"/>
        <v>0</v>
      </c>
      <c r="P181" t="e">
        <f>INDEX(Items!B$2:B$1032,MATCH($O181,Items!$A$2:$A$1032,0))</f>
        <v>#N/A</v>
      </c>
      <c r="Q181" t="e">
        <f>INDEX(Items!C$2:C$1032,MATCH($O181,Items!$A$2:$A$1032,0))</f>
        <v>#N/A</v>
      </c>
      <c r="R181" t="e">
        <f>INDEX(Items!D$2:D$1032,MATCH($O181,Items!$A$2:$A$1032,0))</f>
        <v>#N/A</v>
      </c>
    </row>
    <row r="182" spans="1:18" x14ac:dyDescent="0.25">
      <c r="A182">
        <f t="shared" si="12"/>
        <v>1</v>
      </c>
      <c r="B182" t="str">
        <f t="shared" si="13"/>
        <v/>
      </c>
      <c r="C182">
        <f t="shared" si="15"/>
        <v>1</v>
      </c>
      <c r="D182" s="4"/>
      <c r="E182" t="s">
        <v>18</v>
      </c>
      <c r="F182" t="str">
        <f>INDEX(Establishment!B$2:B$1005,MATCH($E182,Establishment!$A$2:$A$1005,0))</f>
        <v xml:space="preserve"> </v>
      </c>
      <c r="G182" t="str">
        <f>INDEX(Establishment!C$2:C$1005,MATCH($E182,Establishment!$A$2:$A$1005,0))</f>
        <v xml:space="preserve"> </v>
      </c>
      <c r="M182">
        <f t="shared" si="16"/>
        <v>0</v>
      </c>
      <c r="N182">
        <f t="shared" si="14"/>
        <v>0</v>
      </c>
      <c r="P182" t="e">
        <f>INDEX(Items!B$2:B$1032,MATCH($O182,Items!$A$2:$A$1032,0))</f>
        <v>#N/A</v>
      </c>
      <c r="Q182" t="e">
        <f>INDEX(Items!C$2:C$1032,MATCH($O182,Items!$A$2:$A$1032,0))</f>
        <v>#N/A</v>
      </c>
      <c r="R182" t="e">
        <f>INDEX(Items!D$2:D$1032,MATCH($O182,Items!$A$2:$A$1032,0))</f>
        <v>#N/A</v>
      </c>
    </row>
    <row r="183" spans="1:18" x14ac:dyDescent="0.25">
      <c r="A183">
        <f t="shared" si="12"/>
        <v>1</v>
      </c>
      <c r="B183" t="str">
        <f t="shared" si="13"/>
        <v/>
      </c>
      <c r="C183">
        <f t="shared" si="15"/>
        <v>1</v>
      </c>
      <c r="D183" s="4"/>
      <c r="E183" t="s">
        <v>18</v>
      </c>
      <c r="F183" t="str">
        <f>INDEX(Establishment!B$2:B$1005,MATCH($E183,Establishment!$A$2:$A$1005,0))</f>
        <v xml:space="preserve"> </v>
      </c>
      <c r="G183" t="str">
        <f>INDEX(Establishment!C$2:C$1005,MATCH($E183,Establishment!$A$2:$A$1005,0))</f>
        <v xml:space="preserve"> </v>
      </c>
      <c r="M183">
        <f t="shared" si="16"/>
        <v>0</v>
      </c>
      <c r="N183">
        <f t="shared" si="14"/>
        <v>0</v>
      </c>
      <c r="P183" t="e">
        <f>INDEX(Items!B$2:B$1032,MATCH($O183,Items!$A$2:$A$1032,0))</f>
        <v>#N/A</v>
      </c>
      <c r="Q183" t="e">
        <f>INDEX(Items!C$2:C$1032,MATCH($O183,Items!$A$2:$A$1032,0))</f>
        <v>#N/A</v>
      </c>
      <c r="R183" t="e">
        <f>INDEX(Items!D$2:D$1032,MATCH($O183,Items!$A$2:$A$1032,0))</f>
        <v>#N/A</v>
      </c>
    </row>
    <row r="184" spans="1:18" x14ac:dyDescent="0.25">
      <c r="A184">
        <f t="shared" si="12"/>
        <v>1</v>
      </c>
      <c r="B184" t="str">
        <f t="shared" si="13"/>
        <v/>
      </c>
      <c r="C184">
        <f t="shared" si="15"/>
        <v>1</v>
      </c>
      <c r="D184" s="4"/>
      <c r="E184" t="s">
        <v>18</v>
      </c>
      <c r="F184" t="str">
        <f>INDEX(Establishment!B$2:B$1005,MATCH($E184,Establishment!$A$2:$A$1005,0))</f>
        <v xml:space="preserve"> </v>
      </c>
      <c r="G184" t="str">
        <f>INDEX(Establishment!C$2:C$1005,MATCH($E184,Establishment!$A$2:$A$1005,0))</f>
        <v xml:space="preserve"> </v>
      </c>
      <c r="M184">
        <f t="shared" si="16"/>
        <v>0</v>
      </c>
      <c r="N184">
        <f t="shared" si="14"/>
        <v>0</v>
      </c>
      <c r="P184" t="e">
        <f>INDEX(Items!B$2:B$1032,MATCH($O184,Items!$A$2:$A$1032,0))</f>
        <v>#N/A</v>
      </c>
      <c r="Q184" t="e">
        <f>INDEX(Items!C$2:C$1032,MATCH($O184,Items!$A$2:$A$1032,0))</f>
        <v>#N/A</v>
      </c>
      <c r="R184" t="e">
        <f>INDEX(Items!D$2:D$1032,MATCH($O184,Items!$A$2:$A$1032,0))</f>
        <v>#N/A</v>
      </c>
    </row>
    <row r="185" spans="1:18" x14ac:dyDescent="0.25">
      <c r="A185">
        <f t="shared" si="12"/>
        <v>1</v>
      </c>
      <c r="B185" t="str">
        <f t="shared" si="13"/>
        <v/>
      </c>
      <c r="C185">
        <f t="shared" si="15"/>
        <v>1</v>
      </c>
      <c r="D185" s="4"/>
      <c r="E185" t="s">
        <v>18</v>
      </c>
      <c r="F185" t="str">
        <f>INDEX(Establishment!B$2:B$1005,MATCH($E185,Establishment!$A$2:$A$1005,0))</f>
        <v xml:space="preserve"> </v>
      </c>
      <c r="G185" t="str">
        <f>INDEX(Establishment!C$2:C$1005,MATCH($E185,Establishment!$A$2:$A$1005,0))</f>
        <v xml:space="preserve"> </v>
      </c>
      <c r="M185">
        <f t="shared" si="16"/>
        <v>0</v>
      </c>
      <c r="N185">
        <f t="shared" si="14"/>
        <v>0</v>
      </c>
      <c r="P185" t="e">
        <f>INDEX(Items!B$2:B$1032,MATCH($O185,Items!$A$2:$A$1032,0))</f>
        <v>#N/A</v>
      </c>
      <c r="Q185" t="e">
        <f>INDEX(Items!C$2:C$1032,MATCH($O185,Items!$A$2:$A$1032,0))</f>
        <v>#N/A</v>
      </c>
      <c r="R185" t="e">
        <f>INDEX(Items!D$2:D$1032,MATCH($O185,Items!$A$2:$A$1032,0))</f>
        <v>#N/A</v>
      </c>
    </row>
    <row r="186" spans="1:18" x14ac:dyDescent="0.25">
      <c r="A186">
        <f t="shared" si="12"/>
        <v>1</v>
      </c>
      <c r="B186" t="str">
        <f t="shared" si="13"/>
        <v/>
      </c>
      <c r="C186">
        <f t="shared" si="15"/>
        <v>1</v>
      </c>
      <c r="D186" s="4"/>
      <c r="E186" t="s">
        <v>18</v>
      </c>
      <c r="F186" t="str">
        <f>INDEX(Establishment!B$2:B$1005,MATCH($E186,Establishment!$A$2:$A$1005,0))</f>
        <v xml:space="preserve"> </v>
      </c>
      <c r="G186" t="str">
        <f>INDEX(Establishment!C$2:C$1005,MATCH($E186,Establishment!$A$2:$A$1005,0))</f>
        <v xml:space="preserve"> </v>
      </c>
      <c r="M186">
        <f t="shared" si="16"/>
        <v>0</v>
      </c>
      <c r="N186">
        <f t="shared" si="14"/>
        <v>0</v>
      </c>
      <c r="P186" t="e">
        <f>INDEX(Items!B$2:B$1032,MATCH($O186,Items!$A$2:$A$1032,0))</f>
        <v>#N/A</v>
      </c>
      <c r="Q186" t="e">
        <f>INDEX(Items!C$2:C$1032,MATCH($O186,Items!$A$2:$A$1032,0))</f>
        <v>#N/A</v>
      </c>
      <c r="R186" t="e">
        <f>INDEX(Items!D$2:D$1032,MATCH($O186,Items!$A$2:$A$1032,0))</f>
        <v>#N/A</v>
      </c>
    </row>
    <row r="187" spans="1:18" x14ac:dyDescent="0.25">
      <c r="A187">
        <f t="shared" si="12"/>
        <v>1</v>
      </c>
      <c r="B187" t="str">
        <f t="shared" si="13"/>
        <v/>
      </c>
      <c r="C187">
        <f t="shared" si="15"/>
        <v>1</v>
      </c>
      <c r="D187" s="4"/>
      <c r="E187" t="s">
        <v>18</v>
      </c>
      <c r="F187" t="str">
        <f>INDEX(Establishment!B$2:B$1005,MATCH($E187,Establishment!$A$2:$A$1005,0))</f>
        <v xml:space="preserve"> </v>
      </c>
      <c r="G187" t="str">
        <f>INDEX(Establishment!C$2:C$1005,MATCH($E187,Establishment!$A$2:$A$1005,0))</f>
        <v xml:space="preserve"> </v>
      </c>
      <c r="M187">
        <f t="shared" si="16"/>
        <v>0</v>
      </c>
      <c r="N187">
        <f t="shared" si="14"/>
        <v>0</v>
      </c>
      <c r="P187" t="e">
        <f>INDEX(Items!B$2:B$1032,MATCH($O187,Items!$A$2:$A$1032,0))</f>
        <v>#N/A</v>
      </c>
      <c r="Q187" t="e">
        <f>INDEX(Items!C$2:C$1032,MATCH($O187,Items!$A$2:$A$1032,0))</f>
        <v>#N/A</v>
      </c>
      <c r="R187" t="e">
        <f>INDEX(Items!D$2:D$1032,MATCH($O187,Items!$A$2:$A$1032,0))</f>
        <v>#N/A</v>
      </c>
    </row>
    <row r="188" spans="1:18" x14ac:dyDescent="0.25">
      <c r="A188">
        <f t="shared" si="12"/>
        <v>1</v>
      </c>
      <c r="B188" t="str">
        <f t="shared" si="13"/>
        <v/>
      </c>
      <c r="C188">
        <f t="shared" si="15"/>
        <v>1</v>
      </c>
      <c r="D188" s="4"/>
      <c r="E188" t="s">
        <v>18</v>
      </c>
      <c r="F188" t="str">
        <f>INDEX(Establishment!B$2:B$1005,MATCH($E188,Establishment!$A$2:$A$1005,0))</f>
        <v xml:space="preserve"> </v>
      </c>
      <c r="G188" t="str">
        <f>INDEX(Establishment!C$2:C$1005,MATCH($E188,Establishment!$A$2:$A$1005,0))</f>
        <v xml:space="preserve"> </v>
      </c>
      <c r="M188">
        <f t="shared" si="16"/>
        <v>0</v>
      </c>
      <c r="N188">
        <f t="shared" si="14"/>
        <v>0</v>
      </c>
      <c r="P188" t="e">
        <f>INDEX(Items!B$2:B$1032,MATCH($O188,Items!$A$2:$A$1032,0))</f>
        <v>#N/A</v>
      </c>
      <c r="Q188" t="e">
        <f>INDEX(Items!C$2:C$1032,MATCH($O188,Items!$A$2:$A$1032,0))</f>
        <v>#N/A</v>
      </c>
      <c r="R188" t="e">
        <f>INDEX(Items!D$2:D$1032,MATCH($O188,Items!$A$2:$A$1032,0))</f>
        <v>#N/A</v>
      </c>
    </row>
    <row r="189" spans="1:18" x14ac:dyDescent="0.25">
      <c r="A189">
        <f t="shared" si="12"/>
        <v>1</v>
      </c>
      <c r="B189" t="str">
        <f t="shared" si="13"/>
        <v/>
      </c>
      <c r="C189">
        <f t="shared" si="15"/>
        <v>1</v>
      </c>
      <c r="D189" s="4"/>
      <c r="E189" t="s">
        <v>18</v>
      </c>
      <c r="F189" t="str">
        <f>INDEX(Establishment!B$2:B$1005,MATCH($E189,Establishment!$A$2:$A$1005,0))</f>
        <v xml:space="preserve"> </v>
      </c>
      <c r="G189" t="str">
        <f>INDEX(Establishment!C$2:C$1005,MATCH($E189,Establishment!$A$2:$A$1005,0))</f>
        <v xml:space="preserve"> </v>
      </c>
      <c r="M189">
        <f t="shared" si="16"/>
        <v>0</v>
      </c>
      <c r="N189">
        <f t="shared" si="14"/>
        <v>0</v>
      </c>
      <c r="P189" t="e">
        <f>INDEX(Items!B$2:B$1032,MATCH($O189,Items!$A$2:$A$1032,0))</f>
        <v>#N/A</v>
      </c>
      <c r="Q189" t="e">
        <f>INDEX(Items!C$2:C$1032,MATCH($O189,Items!$A$2:$A$1032,0))</f>
        <v>#N/A</v>
      </c>
      <c r="R189" t="e">
        <f>INDEX(Items!D$2:D$1032,MATCH($O189,Items!$A$2:$A$1032,0))</f>
        <v>#N/A</v>
      </c>
    </row>
    <row r="190" spans="1:18" x14ac:dyDescent="0.25">
      <c r="A190">
        <f t="shared" si="12"/>
        <v>1</v>
      </c>
      <c r="B190" t="str">
        <f t="shared" si="13"/>
        <v/>
      </c>
      <c r="C190">
        <f t="shared" si="15"/>
        <v>1</v>
      </c>
      <c r="D190" s="4"/>
      <c r="E190" t="s">
        <v>18</v>
      </c>
      <c r="F190" t="str">
        <f>INDEX(Establishment!B$2:B$1005,MATCH($E190,Establishment!$A$2:$A$1005,0))</f>
        <v xml:space="preserve"> </v>
      </c>
      <c r="G190" t="str">
        <f>INDEX(Establishment!C$2:C$1005,MATCH($E190,Establishment!$A$2:$A$1005,0))</f>
        <v xml:space="preserve"> </v>
      </c>
      <c r="M190">
        <f t="shared" si="16"/>
        <v>0</v>
      </c>
      <c r="N190">
        <f t="shared" si="14"/>
        <v>0</v>
      </c>
      <c r="P190" t="e">
        <f>INDEX(Items!B$2:B$1032,MATCH($O190,Items!$A$2:$A$1032,0))</f>
        <v>#N/A</v>
      </c>
      <c r="Q190" t="e">
        <f>INDEX(Items!C$2:C$1032,MATCH($O190,Items!$A$2:$A$1032,0))</f>
        <v>#N/A</v>
      </c>
      <c r="R190" t="e">
        <f>INDEX(Items!D$2:D$1032,MATCH($O190,Items!$A$2:$A$1032,0))</f>
        <v>#N/A</v>
      </c>
    </row>
    <row r="191" spans="1:18" x14ac:dyDescent="0.25">
      <c r="A191">
        <f t="shared" si="12"/>
        <v>1</v>
      </c>
      <c r="B191" t="str">
        <f t="shared" si="13"/>
        <v/>
      </c>
      <c r="C191">
        <f t="shared" si="15"/>
        <v>1</v>
      </c>
      <c r="D191" s="4"/>
      <c r="E191" t="s">
        <v>18</v>
      </c>
      <c r="F191" t="str">
        <f>INDEX(Establishment!B$2:B$1005,MATCH($E191,Establishment!$A$2:$A$1005,0))</f>
        <v xml:space="preserve"> </v>
      </c>
      <c r="G191" t="str">
        <f>INDEX(Establishment!C$2:C$1005,MATCH($E191,Establishment!$A$2:$A$1005,0))</f>
        <v xml:space="preserve"> </v>
      </c>
      <c r="M191">
        <f t="shared" si="16"/>
        <v>0</v>
      </c>
      <c r="N191">
        <f t="shared" si="14"/>
        <v>0</v>
      </c>
      <c r="P191" t="e">
        <f>INDEX(Items!B$2:B$1032,MATCH($O191,Items!$A$2:$A$1032,0))</f>
        <v>#N/A</v>
      </c>
      <c r="Q191" t="e">
        <f>INDEX(Items!C$2:C$1032,MATCH($O191,Items!$A$2:$A$1032,0))</f>
        <v>#N/A</v>
      </c>
      <c r="R191" t="e">
        <f>INDEX(Items!D$2:D$1032,MATCH($O191,Items!$A$2:$A$1032,0))</f>
        <v>#N/A</v>
      </c>
    </row>
    <row r="192" spans="1:18" x14ac:dyDescent="0.25">
      <c r="A192">
        <f t="shared" si="12"/>
        <v>1</v>
      </c>
      <c r="B192" t="str">
        <f t="shared" si="13"/>
        <v/>
      </c>
      <c r="C192">
        <f t="shared" si="15"/>
        <v>1</v>
      </c>
      <c r="D192" s="4"/>
      <c r="E192" t="s">
        <v>18</v>
      </c>
      <c r="F192" t="str">
        <f>INDEX(Establishment!B$2:B$1005,MATCH($E192,Establishment!$A$2:$A$1005,0))</f>
        <v xml:space="preserve"> </v>
      </c>
      <c r="G192" t="str">
        <f>INDEX(Establishment!C$2:C$1005,MATCH($E192,Establishment!$A$2:$A$1005,0))</f>
        <v xml:space="preserve"> </v>
      </c>
      <c r="M192">
        <f t="shared" si="16"/>
        <v>0</v>
      </c>
      <c r="N192">
        <f t="shared" si="14"/>
        <v>0</v>
      </c>
      <c r="P192" t="e">
        <f>INDEX(Items!B$2:B$1032,MATCH($O192,Items!$A$2:$A$1032,0))</f>
        <v>#N/A</v>
      </c>
      <c r="Q192" t="e">
        <f>INDEX(Items!C$2:C$1032,MATCH($O192,Items!$A$2:$A$1032,0))</f>
        <v>#N/A</v>
      </c>
      <c r="R192" t="e">
        <f>INDEX(Items!D$2:D$1032,MATCH($O192,Items!$A$2:$A$1032,0))</f>
        <v>#N/A</v>
      </c>
    </row>
    <row r="193" spans="1:18" x14ac:dyDescent="0.25">
      <c r="A193">
        <f t="shared" si="12"/>
        <v>1</v>
      </c>
      <c r="B193" t="str">
        <f t="shared" si="13"/>
        <v/>
      </c>
      <c r="C193">
        <f t="shared" si="15"/>
        <v>1</v>
      </c>
      <c r="D193" s="4"/>
      <c r="E193" t="s">
        <v>18</v>
      </c>
      <c r="F193" t="str">
        <f>INDEX(Establishment!B$2:B$1005,MATCH($E193,Establishment!$A$2:$A$1005,0))</f>
        <v xml:space="preserve"> </v>
      </c>
      <c r="G193" t="str">
        <f>INDEX(Establishment!C$2:C$1005,MATCH($E193,Establishment!$A$2:$A$1005,0))</f>
        <v xml:space="preserve"> </v>
      </c>
      <c r="M193">
        <f t="shared" si="16"/>
        <v>0</v>
      </c>
      <c r="N193">
        <f t="shared" si="14"/>
        <v>0</v>
      </c>
      <c r="P193" t="e">
        <f>INDEX(Items!B$2:B$1032,MATCH($O193,Items!$A$2:$A$1032,0))</f>
        <v>#N/A</v>
      </c>
      <c r="Q193" t="e">
        <f>INDEX(Items!C$2:C$1032,MATCH($O193,Items!$A$2:$A$1032,0))</f>
        <v>#N/A</v>
      </c>
      <c r="R193" t="e">
        <f>INDEX(Items!D$2:D$1032,MATCH($O193,Items!$A$2:$A$1032,0))</f>
        <v>#N/A</v>
      </c>
    </row>
    <row r="194" spans="1:18" x14ac:dyDescent="0.25">
      <c r="A194">
        <f t="shared" ref="A194:A257" si="17">IF(OR(D194&lt;&gt;D193,D194=""),1,IF(NOT(AND(E194=E193,F194=F193,G194=G193)),A193+1,IF(OR(H194="",AND(H194&lt;&gt;"",H194&lt;&gt;H193,H193&lt;&gt;"")),A193,A193+1)))</f>
        <v>1</v>
      </c>
      <c r="B194" t="str">
        <f t="shared" ref="B194:B257" si="18">IF(D194&lt;&gt;"",TEXT(D194,"YYYYMMDD")&amp;CHAR(64+A194),"")</f>
        <v/>
      </c>
      <c r="C194">
        <f t="shared" si="15"/>
        <v>1</v>
      </c>
      <c r="D194" s="4"/>
      <c r="E194" t="s">
        <v>18</v>
      </c>
      <c r="F194" t="str">
        <f>INDEX(Establishment!B$2:B$1005,MATCH($E194,Establishment!$A$2:$A$1005,0))</f>
        <v xml:space="preserve"> </v>
      </c>
      <c r="G194" t="str">
        <f>INDEX(Establishment!C$2:C$1005,MATCH($E194,Establishment!$A$2:$A$1005,0))</f>
        <v xml:space="preserve"> </v>
      </c>
      <c r="M194">
        <f t="shared" si="16"/>
        <v>0</v>
      </c>
      <c r="N194">
        <f t="shared" si="14"/>
        <v>0</v>
      </c>
      <c r="P194" t="e">
        <f>INDEX(Items!B$2:B$1032,MATCH($O194,Items!$A$2:$A$1032,0))</f>
        <v>#N/A</v>
      </c>
      <c r="Q194" t="e">
        <f>INDEX(Items!C$2:C$1032,MATCH($O194,Items!$A$2:$A$1032,0))</f>
        <v>#N/A</v>
      </c>
      <c r="R194" t="e">
        <f>INDEX(Items!D$2:D$1032,MATCH($O194,Items!$A$2:$A$1032,0))</f>
        <v>#N/A</v>
      </c>
    </row>
    <row r="195" spans="1:18" x14ac:dyDescent="0.25">
      <c r="A195">
        <f t="shared" si="17"/>
        <v>1</v>
      </c>
      <c r="B195" t="str">
        <f t="shared" si="18"/>
        <v/>
      </c>
      <c r="C195">
        <f t="shared" si="15"/>
        <v>1</v>
      </c>
      <c r="D195" s="4"/>
      <c r="E195" t="s">
        <v>18</v>
      </c>
      <c r="F195" t="str">
        <f>INDEX(Establishment!B$2:B$1005,MATCH($E195,Establishment!$A$2:$A$1005,0))</f>
        <v xml:space="preserve"> </v>
      </c>
      <c r="G195" t="str">
        <f>INDEX(Establishment!C$2:C$1005,MATCH($E195,Establishment!$A$2:$A$1005,0))</f>
        <v xml:space="preserve"> </v>
      </c>
      <c r="M195">
        <f t="shared" si="16"/>
        <v>0</v>
      </c>
      <c r="N195">
        <f t="shared" ref="N195:N258" si="19">IF(B195=B194,N194+M195,M195)</f>
        <v>0</v>
      </c>
      <c r="P195" t="e">
        <f>INDEX(Items!B$2:B$1032,MATCH($O195,Items!$A$2:$A$1032,0))</f>
        <v>#N/A</v>
      </c>
      <c r="Q195" t="e">
        <f>INDEX(Items!C$2:C$1032,MATCH($O195,Items!$A$2:$A$1032,0))</f>
        <v>#N/A</v>
      </c>
      <c r="R195" t="e">
        <f>INDEX(Items!D$2:D$1032,MATCH($O195,Items!$A$2:$A$1032,0))</f>
        <v>#N/A</v>
      </c>
    </row>
    <row r="196" spans="1:18" x14ac:dyDescent="0.25">
      <c r="A196">
        <f t="shared" si="17"/>
        <v>1</v>
      </c>
      <c r="B196" t="str">
        <f t="shared" si="18"/>
        <v/>
      </c>
      <c r="C196">
        <f t="shared" si="15"/>
        <v>1</v>
      </c>
      <c r="D196" s="4"/>
      <c r="E196" t="s">
        <v>18</v>
      </c>
      <c r="F196" t="str">
        <f>INDEX(Establishment!B$2:B$1005,MATCH($E196,Establishment!$A$2:$A$1005,0))</f>
        <v xml:space="preserve"> </v>
      </c>
      <c r="G196" t="str">
        <f>INDEX(Establishment!C$2:C$1005,MATCH($E196,Establishment!$A$2:$A$1005,0))</f>
        <v xml:space="preserve"> </v>
      </c>
      <c r="M196">
        <f t="shared" si="16"/>
        <v>0</v>
      </c>
      <c r="N196">
        <f t="shared" si="19"/>
        <v>0</v>
      </c>
      <c r="P196" t="e">
        <f>INDEX(Items!B$2:B$1032,MATCH($O196,Items!$A$2:$A$1032,0))</f>
        <v>#N/A</v>
      </c>
      <c r="Q196" t="e">
        <f>INDEX(Items!C$2:C$1032,MATCH($O196,Items!$A$2:$A$1032,0))</f>
        <v>#N/A</v>
      </c>
      <c r="R196" t="e">
        <f>INDEX(Items!D$2:D$1032,MATCH($O196,Items!$A$2:$A$1032,0))</f>
        <v>#N/A</v>
      </c>
    </row>
    <row r="197" spans="1:18" x14ac:dyDescent="0.25">
      <c r="A197">
        <f t="shared" si="17"/>
        <v>1</v>
      </c>
      <c r="B197" t="str">
        <f t="shared" si="18"/>
        <v/>
      </c>
      <c r="C197">
        <f t="shared" si="15"/>
        <v>1</v>
      </c>
      <c r="D197" s="4"/>
      <c r="E197" t="s">
        <v>18</v>
      </c>
      <c r="F197" t="str">
        <f>INDEX(Establishment!B$2:B$1005,MATCH($E197,Establishment!$A$2:$A$1005,0))</f>
        <v xml:space="preserve"> </v>
      </c>
      <c r="G197" t="str">
        <f>INDEX(Establishment!C$2:C$1005,MATCH($E197,Establishment!$A$2:$A$1005,0))</f>
        <v xml:space="preserve"> </v>
      </c>
      <c r="M197">
        <f t="shared" si="16"/>
        <v>0</v>
      </c>
      <c r="N197">
        <f t="shared" si="19"/>
        <v>0</v>
      </c>
      <c r="P197" t="e">
        <f>INDEX(Items!B$2:B$1032,MATCH($O197,Items!$A$2:$A$1032,0))</f>
        <v>#N/A</v>
      </c>
      <c r="Q197" t="e">
        <f>INDEX(Items!C$2:C$1032,MATCH($O197,Items!$A$2:$A$1032,0))</f>
        <v>#N/A</v>
      </c>
      <c r="R197" t="e">
        <f>INDEX(Items!D$2:D$1032,MATCH($O197,Items!$A$2:$A$1032,0))</f>
        <v>#N/A</v>
      </c>
    </row>
    <row r="198" spans="1:18" x14ac:dyDescent="0.25">
      <c r="A198">
        <f t="shared" si="17"/>
        <v>1</v>
      </c>
      <c r="B198" t="str">
        <f t="shared" si="18"/>
        <v/>
      </c>
      <c r="C198">
        <f t="shared" si="15"/>
        <v>1</v>
      </c>
      <c r="D198" s="4"/>
      <c r="E198" t="s">
        <v>18</v>
      </c>
      <c r="F198" t="str">
        <f>INDEX(Establishment!B$2:B$1005,MATCH($E198,Establishment!$A$2:$A$1005,0))</f>
        <v xml:space="preserve"> </v>
      </c>
      <c r="G198" t="str">
        <f>INDEX(Establishment!C$2:C$1005,MATCH($E198,Establishment!$A$2:$A$1005,0))</f>
        <v xml:space="preserve"> </v>
      </c>
      <c r="M198">
        <f t="shared" si="16"/>
        <v>0</v>
      </c>
      <c r="N198">
        <f t="shared" si="19"/>
        <v>0</v>
      </c>
      <c r="P198" t="e">
        <f>INDEX(Items!B$2:B$1032,MATCH($O198,Items!$A$2:$A$1032,0))</f>
        <v>#N/A</v>
      </c>
      <c r="Q198" t="e">
        <f>INDEX(Items!C$2:C$1032,MATCH($O198,Items!$A$2:$A$1032,0))</f>
        <v>#N/A</v>
      </c>
      <c r="R198" t="e">
        <f>INDEX(Items!D$2:D$1032,MATCH($O198,Items!$A$2:$A$1032,0))</f>
        <v>#N/A</v>
      </c>
    </row>
    <row r="199" spans="1:18" x14ac:dyDescent="0.25">
      <c r="A199">
        <f t="shared" si="17"/>
        <v>1</v>
      </c>
      <c r="B199" t="str">
        <f t="shared" si="18"/>
        <v/>
      </c>
      <c r="C199">
        <f t="shared" si="15"/>
        <v>1</v>
      </c>
      <c r="D199" s="4"/>
      <c r="E199" t="s">
        <v>18</v>
      </c>
      <c r="F199" t="str">
        <f>INDEX(Establishment!B$2:B$1005,MATCH($E199,Establishment!$A$2:$A$1005,0))</f>
        <v xml:space="preserve"> </v>
      </c>
      <c r="G199" t="str">
        <f>INDEX(Establishment!C$2:C$1005,MATCH($E199,Establishment!$A$2:$A$1005,0))</f>
        <v xml:space="preserve"> </v>
      </c>
      <c r="M199">
        <f t="shared" si="16"/>
        <v>0</v>
      </c>
      <c r="N199">
        <f t="shared" si="19"/>
        <v>0</v>
      </c>
      <c r="P199" t="e">
        <f>INDEX(Items!B$2:B$1032,MATCH($O199,Items!$A$2:$A$1032,0))</f>
        <v>#N/A</v>
      </c>
      <c r="Q199" t="e">
        <f>INDEX(Items!C$2:C$1032,MATCH($O199,Items!$A$2:$A$1032,0))</f>
        <v>#N/A</v>
      </c>
      <c r="R199" t="e">
        <f>INDEX(Items!D$2:D$1032,MATCH($O199,Items!$A$2:$A$1032,0))</f>
        <v>#N/A</v>
      </c>
    </row>
    <row r="200" spans="1:18" x14ac:dyDescent="0.25">
      <c r="A200">
        <f t="shared" si="17"/>
        <v>1</v>
      </c>
      <c r="B200" t="str">
        <f t="shared" si="18"/>
        <v/>
      </c>
      <c r="C200">
        <f t="shared" si="15"/>
        <v>1</v>
      </c>
      <c r="D200" s="4"/>
      <c r="E200" t="s">
        <v>18</v>
      </c>
      <c r="F200" t="str">
        <f>INDEX(Establishment!B$2:B$1005,MATCH($E200,Establishment!$A$2:$A$1005,0))</f>
        <v xml:space="preserve"> </v>
      </c>
      <c r="G200" t="str">
        <f>INDEX(Establishment!C$2:C$1005,MATCH($E200,Establishment!$A$2:$A$1005,0))</f>
        <v xml:space="preserve"> </v>
      </c>
      <c r="M200">
        <f t="shared" si="16"/>
        <v>0</v>
      </c>
      <c r="N200">
        <f t="shared" si="19"/>
        <v>0</v>
      </c>
      <c r="P200" t="e">
        <f>INDEX(Items!B$2:B$1032,MATCH($O200,Items!$A$2:$A$1032,0))</f>
        <v>#N/A</v>
      </c>
      <c r="Q200" t="e">
        <f>INDEX(Items!C$2:C$1032,MATCH($O200,Items!$A$2:$A$1032,0))</f>
        <v>#N/A</v>
      </c>
      <c r="R200" t="e">
        <f>INDEX(Items!D$2:D$1032,MATCH($O200,Items!$A$2:$A$1032,0))</f>
        <v>#N/A</v>
      </c>
    </row>
    <row r="201" spans="1:18" x14ac:dyDescent="0.25">
      <c r="A201">
        <f t="shared" si="17"/>
        <v>1</v>
      </c>
      <c r="B201" t="str">
        <f t="shared" si="18"/>
        <v/>
      </c>
      <c r="C201">
        <f t="shared" si="15"/>
        <v>1</v>
      </c>
      <c r="D201" s="4"/>
      <c r="E201" t="s">
        <v>18</v>
      </c>
      <c r="F201" t="str">
        <f>INDEX(Establishment!B$2:B$1005,MATCH($E201,Establishment!$A$2:$A$1005,0))</f>
        <v xml:space="preserve"> </v>
      </c>
      <c r="G201" t="str">
        <f>INDEX(Establishment!C$2:C$1005,MATCH($E201,Establishment!$A$2:$A$1005,0))</f>
        <v xml:space="preserve"> </v>
      </c>
      <c r="M201">
        <f t="shared" si="16"/>
        <v>0</v>
      </c>
      <c r="N201">
        <f t="shared" si="19"/>
        <v>0</v>
      </c>
      <c r="P201" t="e">
        <f>INDEX(Items!B$2:B$1032,MATCH($O201,Items!$A$2:$A$1032,0))</f>
        <v>#N/A</v>
      </c>
      <c r="Q201" t="e">
        <f>INDEX(Items!C$2:C$1032,MATCH($O201,Items!$A$2:$A$1032,0))</f>
        <v>#N/A</v>
      </c>
      <c r="R201" t="e">
        <f>INDEX(Items!D$2:D$1032,MATCH($O201,Items!$A$2:$A$1032,0))</f>
        <v>#N/A</v>
      </c>
    </row>
    <row r="202" spans="1:18" x14ac:dyDescent="0.25">
      <c r="A202">
        <f t="shared" si="17"/>
        <v>1</v>
      </c>
      <c r="B202" t="str">
        <f t="shared" si="18"/>
        <v/>
      </c>
      <c r="C202">
        <f t="shared" ref="C202:C265" si="20">IF(OR(B202="",B202&lt;&gt;B201),1,C201+1)</f>
        <v>1</v>
      </c>
      <c r="D202" s="4"/>
      <c r="E202" t="s">
        <v>18</v>
      </c>
      <c r="F202" t="str">
        <f>INDEX(Establishment!B$2:B$1005,MATCH($E202,Establishment!$A$2:$A$1005,0))</f>
        <v xml:space="preserve"> </v>
      </c>
      <c r="G202" t="str">
        <f>INDEX(Establishment!C$2:C$1005,MATCH($E202,Establishment!$A$2:$A$1005,0))</f>
        <v xml:space="preserve"> </v>
      </c>
      <c r="M202">
        <f t="shared" ref="M202:M265" si="21">K202*L202</f>
        <v>0</v>
      </c>
      <c r="N202">
        <f t="shared" si="19"/>
        <v>0</v>
      </c>
      <c r="P202" t="e">
        <f>INDEX(Items!B$2:B$1032,MATCH($O202,Items!$A$2:$A$1032,0))</f>
        <v>#N/A</v>
      </c>
      <c r="Q202" t="e">
        <f>INDEX(Items!C$2:C$1032,MATCH($O202,Items!$A$2:$A$1032,0))</f>
        <v>#N/A</v>
      </c>
      <c r="R202" t="e">
        <f>INDEX(Items!D$2:D$1032,MATCH($O202,Items!$A$2:$A$1032,0))</f>
        <v>#N/A</v>
      </c>
    </row>
    <row r="203" spans="1:18" x14ac:dyDescent="0.25">
      <c r="A203">
        <f t="shared" si="17"/>
        <v>1</v>
      </c>
      <c r="B203" t="str">
        <f t="shared" si="18"/>
        <v/>
      </c>
      <c r="C203">
        <f t="shared" si="20"/>
        <v>1</v>
      </c>
      <c r="D203" s="4"/>
      <c r="E203" t="s">
        <v>18</v>
      </c>
      <c r="F203" t="str">
        <f>INDEX(Establishment!B$2:B$1005,MATCH($E203,Establishment!$A$2:$A$1005,0))</f>
        <v xml:space="preserve"> </v>
      </c>
      <c r="G203" t="str">
        <f>INDEX(Establishment!C$2:C$1005,MATCH($E203,Establishment!$A$2:$A$1005,0))</f>
        <v xml:space="preserve"> </v>
      </c>
      <c r="M203">
        <f t="shared" si="21"/>
        <v>0</v>
      </c>
      <c r="N203">
        <f t="shared" si="19"/>
        <v>0</v>
      </c>
      <c r="P203" t="e">
        <f>INDEX(Items!B$2:B$1032,MATCH($O203,Items!$A$2:$A$1032,0))</f>
        <v>#N/A</v>
      </c>
      <c r="Q203" t="e">
        <f>INDEX(Items!C$2:C$1032,MATCH($O203,Items!$A$2:$A$1032,0))</f>
        <v>#N/A</v>
      </c>
      <c r="R203" t="e">
        <f>INDEX(Items!D$2:D$1032,MATCH($O203,Items!$A$2:$A$1032,0))</f>
        <v>#N/A</v>
      </c>
    </row>
    <row r="204" spans="1:18" x14ac:dyDescent="0.25">
      <c r="A204">
        <f t="shared" si="17"/>
        <v>1</v>
      </c>
      <c r="B204" t="str">
        <f t="shared" si="18"/>
        <v/>
      </c>
      <c r="C204">
        <f t="shared" si="20"/>
        <v>1</v>
      </c>
      <c r="D204" s="4"/>
      <c r="E204" t="s">
        <v>18</v>
      </c>
      <c r="F204" t="str">
        <f>INDEX(Establishment!B$2:B$1005,MATCH($E204,Establishment!$A$2:$A$1005,0))</f>
        <v xml:space="preserve"> </v>
      </c>
      <c r="G204" t="str">
        <f>INDEX(Establishment!C$2:C$1005,MATCH($E204,Establishment!$A$2:$A$1005,0))</f>
        <v xml:space="preserve"> </v>
      </c>
      <c r="M204">
        <f t="shared" si="21"/>
        <v>0</v>
      </c>
      <c r="N204">
        <f t="shared" si="19"/>
        <v>0</v>
      </c>
      <c r="P204" t="e">
        <f>INDEX(Items!B$2:B$1032,MATCH($O204,Items!$A$2:$A$1032,0))</f>
        <v>#N/A</v>
      </c>
      <c r="Q204" t="e">
        <f>INDEX(Items!C$2:C$1032,MATCH($O204,Items!$A$2:$A$1032,0))</f>
        <v>#N/A</v>
      </c>
      <c r="R204" t="e">
        <f>INDEX(Items!D$2:D$1032,MATCH($O204,Items!$A$2:$A$1032,0))</f>
        <v>#N/A</v>
      </c>
    </row>
    <row r="205" spans="1:18" x14ac:dyDescent="0.25">
      <c r="A205">
        <f t="shared" si="17"/>
        <v>1</v>
      </c>
      <c r="B205" t="str">
        <f t="shared" si="18"/>
        <v/>
      </c>
      <c r="C205">
        <f t="shared" si="20"/>
        <v>1</v>
      </c>
      <c r="D205" s="4"/>
      <c r="E205" t="s">
        <v>18</v>
      </c>
      <c r="F205" t="str">
        <f>INDEX(Establishment!B$2:B$1005,MATCH($E205,Establishment!$A$2:$A$1005,0))</f>
        <v xml:space="preserve"> </v>
      </c>
      <c r="G205" t="str">
        <f>INDEX(Establishment!C$2:C$1005,MATCH($E205,Establishment!$A$2:$A$1005,0))</f>
        <v xml:space="preserve"> </v>
      </c>
      <c r="M205">
        <f t="shared" si="21"/>
        <v>0</v>
      </c>
      <c r="N205">
        <f t="shared" si="19"/>
        <v>0</v>
      </c>
      <c r="P205" t="e">
        <f>INDEX(Items!B$2:B$1032,MATCH($O205,Items!$A$2:$A$1032,0))</f>
        <v>#N/A</v>
      </c>
      <c r="Q205" t="e">
        <f>INDEX(Items!C$2:C$1032,MATCH($O205,Items!$A$2:$A$1032,0))</f>
        <v>#N/A</v>
      </c>
      <c r="R205" t="e">
        <f>INDEX(Items!D$2:D$1032,MATCH($O205,Items!$A$2:$A$1032,0))</f>
        <v>#N/A</v>
      </c>
    </row>
    <row r="206" spans="1:18" x14ac:dyDescent="0.25">
      <c r="A206">
        <f t="shared" si="17"/>
        <v>1</v>
      </c>
      <c r="B206" t="str">
        <f t="shared" si="18"/>
        <v/>
      </c>
      <c r="C206">
        <f t="shared" si="20"/>
        <v>1</v>
      </c>
      <c r="D206" s="4"/>
      <c r="E206" t="s">
        <v>18</v>
      </c>
      <c r="F206" t="str">
        <f>INDEX(Establishment!B$2:B$1005,MATCH($E206,Establishment!$A$2:$A$1005,0))</f>
        <v xml:space="preserve"> </v>
      </c>
      <c r="G206" t="str">
        <f>INDEX(Establishment!C$2:C$1005,MATCH($E206,Establishment!$A$2:$A$1005,0))</f>
        <v xml:space="preserve"> </v>
      </c>
      <c r="M206">
        <f t="shared" si="21"/>
        <v>0</v>
      </c>
      <c r="N206">
        <f t="shared" si="19"/>
        <v>0</v>
      </c>
      <c r="P206" t="e">
        <f>INDEX(Items!B$2:B$1032,MATCH($O206,Items!$A$2:$A$1032,0))</f>
        <v>#N/A</v>
      </c>
      <c r="Q206" t="e">
        <f>INDEX(Items!C$2:C$1032,MATCH($O206,Items!$A$2:$A$1032,0))</f>
        <v>#N/A</v>
      </c>
      <c r="R206" t="e">
        <f>INDEX(Items!D$2:D$1032,MATCH($O206,Items!$A$2:$A$1032,0))</f>
        <v>#N/A</v>
      </c>
    </row>
    <row r="207" spans="1:18" x14ac:dyDescent="0.25">
      <c r="A207">
        <f t="shared" si="17"/>
        <v>1</v>
      </c>
      <c r="B207" t="str">
        <f t="shared" si="18"/>
        <v/>
      </c>
      <c r="C207">
        <f t="shared" si="20"/>
        <v>1</v>
      </c>
      <c r="D207" s="4"/>
      <c r="E207" t="s">
        <v>18</v>
      </c>
      <c r="F207" t="str">
        <f>INDEX(Establishment!B$2:B$1005,MATCH($E207,Establishment!$A$2:$A$1005,0))</f>
        <v xml:space="preserve"> </v>
      </c>
      <c r="G207" t="str">
        <f>INDEX(Establishment!C$2:C$1005,MATCH($E207,Establishment!$A$2:$A$1005,0))</f>
        <v xml:space="preserve"> </v>
      </c>
      <c r="M207">
        <f t="shared" si="21"/>
        <v>0</v>
      </c>
      <c r="N207">
        <f t="shared" si="19"/>
        <v>0</v>
      </c>
      <c r="P207" t="e">
        <f>INDEX(Items!B$2:B$1032,MATCH($O207,Items!$A$2:$A$1032,0))</f>
        <v>#N/A</v>
      </c>
      <c r="Q207" t="e">
        <f>INDEX(Items!C$2:C$1032,MATCH($O207,Items!$A$2:$A$1032,0))</f>
        <v>#N/A</v>
      </c>
      <c r="R207" t="e">
        <f>INDEX(Items!D$2:D$1032,MATCH($O207,Items!$A$2:$A$1032,0))</f>
        <v>#N/A</v>
      </c>
    </row>
    <row r="208" spans="1:18" x14ac:dyDescent="0.25">
      <c r="A208">
        <f t="shared" si="17"/>
        <v>1</v>
      </c>
      <c r="B208" t="str">
        <f t="shared" si="18"/>
        <v/>
      </c>
      <c r="C208">
        <f t="shared" si="20"/>
        <v>1</v>
      </c>
      <c r="D208" s="4"/>
      <c r="E208" t="s">
        <v>18</v>
      </c>
      <c r="F208" t="str">
        <f>INDEX(Establishment!B$2:B$1005,MATCH($E208,Establishment!$A$2:$A$1005,0))</f>
        <v xml:space="preserve"> </v>
      </c>
      <c r="G208" t="str">
        <f>INDEX(Establishment!C$2:C$1005,MATCH($E208,Establishment!$A$2:$A$1005,0))</f>
        <v xml:space="preserve"> </v>
      </c>
      <c r="M208">
        <f t="shared" si="21"/>
        <v>0</v>
      </c>
      <c r="N208">
        <f t="shared" si="19"/>
        <v>0</v>
      </c>
      <c r="P208" t="e">
        <f>INDEX(Items!B$2:B$1032,MATCH($O208,Items!$A$2:$A$1032,0))</f>
        <v>#N/A</v>
      </c>
      <c r="Q208" t="e">
        <f>INDEX(Items!C$2:C$1032,MATCH($O208,Items!$A$2:$A$1032,0))</f>
        <v>#N/A</v>
      </c>
      <c r="R208" t="e">
        <f>INDEX(Items!D$2:D$1032,MATCH($O208,Items!$A$2:$A$1032,0))</f>
        <v>#N/A</v>
      </c>
    </row>
    <row r="209" spans="1:18" x14ac:dyDescent="0.25">
      <c r="A209">
        <f t="shared" si="17"/>
        <v>1</v>
      </c>
      <c r="B209" t="str">
        <f t="shared" si="18"/>
        <v/>
      </c>
      <c r="C209">
        <f t="shared" si="20"/>
        <v>1</v>
      </c>
      <c r="D209" s="4"/>
      <c r="E209" t="s">
        <v>18</v>
      </c>
      <c r="F209" t="str">
        <f>INDEX(Establishment!B$2:B$1005,MATCH($E209,Establishment!$A$2:$A$1005,0))</f>
        <v xml:space="preserve"> </v>
      </c>
      <c r="G209" t="str">
        <f>INDEX(Establishment!C$2:C$1005,MATCH($E209,Establishment!$A$2:$A$1005,0))</f>
        <v xml:space="preserve"> </v>
      </c>
      <c r="M209">
        <f t="shared" si="21"/>
        <v>0</v>
      </c>
      <c r="N209">
        <f t="shared" si="19"/>
        <v>0</v>
      </c>
      <c r="P209" t="e">
        <f>INDEX(Items!B$2:B$1032,MATCH($O209,Items!$A$2:$A$1032,0))</f>
        <v>#N/A</v>
      </c>
      <c r="Q209" t="e">
        <f>INDEX(Items!C$2:C$1032,MATCH($O209,Items!$A$2:$A$1032,0))</f>
        <v>#N/A</v>
      </c>
      <c r="R209" t="e">
        <f>INDEX(Items!D$2:D$1032,MATCH($O209,Items!$A$2:$A$1032,0))</f>
        <v>#N/A</v>
      </c>
    </row>
    <row r="210" spans="1:18" x14ac:dyDescent="0.25">
      <c r="A210">
        <f t="shared" si="17"/>
        <v>1</v>
      </c>
      <c r="B210" t="str">
        <f t="shared" si="18"/>
        <v/>
      </c>
      <c r="C210">
        <f t="shared" si="20"/>
        <v>1</v>
      </c>
      <c r="D210" s="4"/>
      <c r="E210" t="s">
        <v>18</v>
      </c>
      <c r="F210" t="str">
        <f>INDEX(Establishment!B$2:B$1005,MATCH($E210,Establishment!$A$2:$A$1005,0))</f>
        <v xml:space="preserve"> </v>
      </c>
      <c r="G210" t="str">
        <f>INDEX(Establishment!C$2:C$1005,MATCH($E210,Establishment!$A$2:$A$1005,0))</f>
        <v xml:space="preserve"> </v>
      </c>
      <c r="M210">
        <f t="shared" si="21"/>
        <v>0</v>
      </c>
      <c r="N210">
        <f t="shared" si="19"/>
        <v>0</v>
      </c>
      <c r="P210" t="e">
        <f>INDEX(Items!B$2:B$1032,MATCH($O210,Items!$A$2:$A$1032,0))</f>
        <v>#N/A</v>
      </c>
      <c r="Q210" t="e">
        <f>INDEX(Items!C$2:C$1032,MATCH($O210,Items!$A$2:$A$1032,0))</f>
        <v>#N/A</v>
      </c>
      <c r="R210" t="e">
        <f>INDEX(Items!D$2:D$1032,MATCH($O210,Items!$A$2:$A$1032,0))</f>
        <v>#N/A</v>
      </c>
    </row>
    <row r="211" spans="1:18" x14ac:dyDescent="0.25">
      <c r="A211">
        <f t="shared" si="17"/>
        <v>1</v>
      </c>
      <c r="B211" t="str">
        <f t="shared" si="18"/>
        <v/>
      </c>
      <c r="C211">
        <f t="shared" si="20"/>
        <v>1</v>
      </c>
      <c r="D211" s="4"/>
      <c r="E211" t="s">
        <v>18</v>
      </c>
      <c r="F211" t="str">
        <f>INDEX(Establishment!B$2:B$1005,MATCH($E211,Establishment!$A$2:$A$1005,0))</f>
        <v xml:space="preserve"> </v>
      </c>
      <c r="G211" t="str">
        <f>INDEX(Establishment!C$2:C$1005,MATCH($E211,Establishment!$A$2:$A$1005,0))</f>
        <v xml:space="preserve"> </v>
      </c>
      <c r="M211">
        <f t="shared" si="21"/>
        <v>0</v>
      </c>
      <c r="N211">
        <f t="shared" si="19"/>
        <v>0</v>
      </c>
      <c r="P211" t="e">
        <f>INDEX(Items!B$2:B$1032,MATCH($O211,Items!$A$2:$A$1032,0))</f>
        <v>#N/A</v>
      </c>
      <c r="Q211" t="e">
        <f>INDEX(Items!C$2:C$1032,MATCH($O211,Items!$A$2:$A$1032,0))</f>
        <v>#N/A</v>
      </c>
      <c r="R211" t="e">
        <f>INDEX(Items!D$2:D$1032,MATCH($O211,Items!$A$2:$A$1032,0))</f>
        <v>#N/A</v>
      </c>
    </row>
    <row r="212" spans="1:18" x14ac:dyDescent="0.25">
      <c r="A212">
        <f t="shared" si="17"/>
        <v>1</v>
      </c>
      <c r="B212" t="str">
        <f t="shared" si="18"/>
        <v/>
      </c>
      <c r="C212">
        <f t="shared" si="20"/>
        <v>1</v>
      </c>
      <c r="D212" s="4"/>
      <c r="E212" t="s">
        <v>18</v>
      </c>
      <c r="F212" t="str">
        <f>INDEX(Establishment!B$2:B$1005,MATCH($E212,Establishment!$A$2:$A$1005,0))</f>
        <v xml:space="preserve"> </v>
      </c>
      <c r="G212" t="str">
        <f>INDEX(Establishment!C$2:C$1005,MATCH($E212,Establishment!$A$2:$A$1005,0))</f>
        <v xml:space="preserve"> </v>
      </c>
      <c r="M212">
        <f t="shared" si="21"/>
        <v>0</v>
      </c>
      <c r="N212">
        <f t="shared" si="19"/>
        <v>0</v>
      </c>
      <c r="P212" t="e">
        <f>INDEX(Items!B$2:B$1032,MATCH($O212,Items!$A$2:$A$1032,0))</f>
        <v>#N/A</v>
      </c>
      <c r="Q212" t="e">
        <f>INDEX(Items!C$2:C$1032,MATCH($O212,Items!$A$2:$A$1032,0))</f>
        <v>#N/A</v>
      </c>
      <c r="R212" t="e">
        <f>INDEX(Items!D$2:D$1032,MATCH($O212,Items!$A$2:$A$1032,0))</f>
        <v>#N/A</v>
      </c>
    </row>
    <row r="213" spans="1:18" x14ac:dyDescent="0.25">
      <c r="A213">
        <f t="shared" si="17"/>
        <v>1</v>
      </c>
      <c r="B213" t="str">
        <f t="shared" si="18"/>
        <v/>
      </c>
      <c r="C213">
        <f t="shared" si="20"/>
        <v>1</v>
      </c>
      <c r="D213" s="4"/>
      <c r="E213" t="s">
        <v>18</v>
      </c>
      <c r="F213" t="str">
        <f>INDEX(Establishment!B$2:B$1005,MATCH($E213,Establishment!$A$2:$A$1005,0))</f>
        <v xml:space="preserve"> </v>
      </c>
      <c r="G213" t="str">
        <f>INDEX(Establishment!C$2:C$1005,MATCH($E213,Establishment!$A$2:$A$1005,0))</f>
        <v xml:space="preserve"> </v>
      </c>
      <c r="M213">
        <f t="shared" si="21"/>
        <v>0</v>
      </c>
      <c r="N213">
        <f t="shared" si="19"/>
        <v>0</v>
      </c>
      <c r="P213" t="e">
        <f>INDEX(Items!B$2:B$1032,MATCH($O213,Items!$A$2:$A$1032,0))</f>
        <v>#N/A</v>
      </c>
      <c r="Q213" t="e">
        <f>INDEX(Items!C$2:C$1032,MATCH($O213,Items!$A$2:$A$1032,0))</f>
        <v>#N/A</v>
      </c>
      <c r="R213" t="e">
        <f>INDEX(Items!D$2:D$1032,MATCH($O213,Items!$A$2:$A$1032,0))</f>
        <v>#N/A</v>
      </c>
    </row>
    <row r="214" spans="1:18" x14ac:dyDescent="0.25">
      <c r="A214">
        <f t="shared" si="17"/>
        <v>1</v>
      </c>
      <c r="B214" t="str">
        <f t="shared" si="18"/>
        <v/>
      </c>
      <c r="C214">
        <f t="shared" si="20"/>
        <v>1</v>
      </c>
      <c r="D214" s="4"/>
      <c r="E214" t="s">
        <v>18</v>
      </c>
      <c r="F214" t="str">
        <f>INDEX(Establishment!B$2:B$1005,MATCH($E214,Establishment!$A$2:$A$1005,0))</f>
        <v xml:space="preserve"> </v>
      </c>
      <c r="G214" t="str">
        <f>INDEX(Establishment!C$2:C$1005,MATCH($E214,Establishment!$A$2:$A$1005,0))</f>
        <v xml:space="preserve"> </v>
      </c>
      <c r="M214">
        <f t="shared" si="21"/>
        <v>0</v>
      </c>
      <c r="N214">
        <f t="shared" si="19"/>
        <v>0</v>
      </c>
      <c r="P214" t="e">
        <f>INDEX(Items!B$2:B$1032,MATCH($O214,Items!$A$2:$A$1032,0))</f>
        <v>#N/A</v>
      </c>
      <c r="Q214" t="e">
        <f>INDEX(Items!C$2:C$1032,MATCH($O214,Items!$A$2:$A$1032,0))</f>
        <v>#N/A</v>
      </c>
      <c r="R214" t="e">
        <f>INDEX(Items!D$2:D$1032,MATCH($O214,Items!$A$2:$A$1032,0))</f>
        <v>#N/A</v>
      </c>
    </row>
    <row r="215" spans="1:18" x14ac:dyDescent="0.25">
      <c r="A215">
        <f t="shared" si="17"/>
        <v>1</v>
      </c>
      <c r="B215" t="str">
        <f t="shared" si="18"/>
        <v/>
      </c>
      <c r="C215">
        <f t="shared" si="20"/>
        <v>1</v>
      </c>
      <c r="D215" s="4"/>
      <c r="E215" t="s">
        <v>18</v>
      </c>
      <c r="F215" t="str">
        <f>INDEX(Establishment!B$2:B$1005,MATCH($E215,Establishment!$A$2:$A$1005,0))</f>
        <v xml:space="preserve"> </v>
      </c>
      <c r="G215" t="str">
        <f>INDEX(Establishment!C$2:C$1005,MATCH($E215,Establishment!$A$2:$A$1005,0))</f>
        <v xml:space="preserve"> </v>
      </c>
      <c r="M215">
        <f t="shared" si="21"/>
        <v>0</v>
      </c>
      <c r="N215">
        <f t="shared" si="19"/>
        <v>0</v>
      </c>
      <c r="P215" t="e">
        <f>INDEX(Items!B$2:B$1032,MATCH($O215,Items!$A$2:$A$1032,0))</f>
        <v>#N/A</v>
      </c>
      <c r="Q215" t="e">
        <f>INDEX(Items!C$2:C$1032,MATCH($O215,Items!$A$2:$A$1032,0))</f>
        <v>#N/A</v>
      </c>
      <c r="R215" t="e">
        <f>INDEX(Items!D$2:D$1032,MATCH($O215,Items!$A$2:$A$1032,0))</f>
        <v>#N/A</v>
      </c>
    </row>
    <row r="216" spans="1:18" x14ac:dyDescent="0.25">
      <c r="A216">
        <f t="shared" si="17"/>
        <v>1</v>
      </c>
      <c r="B216" t="str">
        <f t="shared" si="18"/>
        <v/>
      </c>
      <c r="C216">
        <f t="shared" si="20"/>
        <v>1</v>
      </c>
      <c r="D216" s="4"/>
      <c r="E216" t="s">
        <v>18</v>
      </c>
      <c r="F216" t="str">
        <f>INDEX(Establishment!B$2:B$1005,MATCH($E216,Establishment!$A$2:$A$1005,0))</f>
        <v xml:space="preserve"> </v>
      </c>
      <c r="G216" t="str">
        <f>INDEX(Establishment!C$2:C$1005,MATCH($E216,Establishment!$A$2:$A$1005,0))</f>
        <v xml:space="preserve"> </v>
      </c>
      <c r="M216">
        <f t="shared" si="21"/>
        <v>0</v>
      </c>
      <c r="N216">
        <f t="shared" si="19"/>
        <v>0</v>
      </c>
      <c r="P216" t="e">
        <f>INDEX(Items!B$2:B$1032,MATCH($O216,Items!$A$2:$A$1032,0))</f>
        <v>#N/A</v>
      </c>
      <c r="Q216" t="e">
        <f>INDEX(Items!C$2:C$1032,MATCH($O216,Items!$A$2:$A$1032,0))</f>
        <v>#N/A</v>
      </c>
      <c r="R216" t="e">
        <f>INDEX(Items!D$2:D$1032,MATCH($O216,Items!$A$2:$A$1032,0))</f>
        <v>#N/A</v>
      </c>
    </row>
    <row r="217" spans="1:18" x14ac:dyDescent="0.25">
      <c r="A217">
        <f t="shared" si="17"/>
        <v>1</v>
      </c>
      <c r="B217" t="str">
        <f t="shared" si="18"/>
        <v/>
      </c>
      <c r="C217">
        <f t="shared" si="20"/>
        <v>1</v>
      </c>
      <c r="D217" s="4"/>
      <c r="E217" t="s">
        <v>18</v>
      </c>
      <c r="F217" t="str">
        <f>INDEX(Establishment!B$2:B$1005,MATCH($E217,Establishment!$A$2:$A$1005,0))</f>
        <v xml:space="preserve"> </v>
      </c>
      <c r="G217" t="str">
        <f>INDEX(Establishment!C$2:C$1005,MATCH($E217,Establishment!$A$2:$A$1005,0))</f>
        <v xml:space="preserve"> </v>
      </c>
      <c r="M217">
        <f t="shared" si="21"/>
        <v>0</v>
      </c>
      <c r="N217">
        <f t="shared" si="19"/>
        <v>0</v>
      </c>
      <c r="P217" t="e">
        <f>INDEX(Items!B$2:B$1032,MATCH($O217,Items!$A$2:$A$1032,0))</f>
        <v>#N/A</v>
      </c>
      <c r="Q217" t="e">
        <f>INDEX(Items!C$2:C$1032,MATCH($O217,Items!$A$2:$A$1032,0))</f>
        <v>#N/A</v>
      </c>
      <c r="R217" t="e">
        <f>INDEX(Items!D$2:D$1032,MATCH($O217,Items!$A$2:$A$1032,0))</f>
        <v>#N/A</v>
      </c>
    </row>
    <row r="218" spans="1:18" x14ac:dyDescent="0.25">
      <c r="A218">
        <f t="shared" si="17"/>
        <v>1</v>
      </c>
      <c r="B218" t="str">
        <f t="shared" si="18"/>
        <v/>
      </c>
      <c r="C218">
        <f t="shared" si="20"/>
        <v>1</v>
      </c>
      <c r="D218" s="4"/>
      <c r="E218" t="s">
        <v>18</v>
      </c>
      <c r="F218" t="str">
        <f>INDEX(Establishment!B$2:B$1005,MATCH($E218,Establishment!$A$2:$A$1005,0))</f>
        <v xml:space="preserve"> </v>
      </c>
      <c r="G218" t="str">
        <f>INDEX(Establishment!C$2:C$1005,MATCH($E218,Establishment!$A$2:$A$1005,0))</f>
        <v xml:space="preserve"> </v>
      </c>
      <c r="M218">
        <f t="shared" si="21"/>
        <v>0</v>
      </c>
      <c r="N218">
        <f t="shared" si="19"/>
        <v>0</v>
      </c>
      <c r="P218" t="e">
        <f>INDEX(Items!B$2:B$1032,MATCH($O218,Items!$A$2:$A$1032,0))</f>
        <v>#N/A</v>
      </c>
      <c r="Q218" t="e">
        <f>INDEX(Items!C$2:C$1032,MATCH($O218,Items!$A$2:$A$1032,0))</f>
        <v>#N/A</v>
      </c>
      <c r="R218" t="e">
        <f>INDEX(Items!D$2:D$1032,MATCH($O218,Items!$A$2:$A$1032,0))</f>
        <v>#N/A</v>
      </c>
    </row>
    <row r="219" spans="1:18" x14ac:dyDescent="0.25">
      <c r="A219">
        <f t="shared" si="17"/>
        <v>1</v>
      </c>
      <c r="B219" t="str">
        <f t="shared" si="18"/>
        <v/>
      </c>
      <c r="C219">
        <f t="shared" si="20"/>
        <v>1</v>
      </c>
      <c r="D219" s="4"/>
      <c r="E219" t="s">
        <v>18</v>
      </c>
      <c r="F219" t="str">
        <f>INDEX(Establishment!B$2:B$1005,MATCH($E219,Establishment!$A$2:$A$1005,0))</f>
        <v xml:space="preserve"> </v>
      </c>
      <c r="G219" t="str">
        <f>INDEX(Establishment!C$2:C$1005,MATCH($E219,Establishment!$A$2:$A$1005,0))</f>
        <v xml:space="preserve"> </v>
      </c>
      <c r="M219">
        <f t="shared" si="21"/>
        <v>0</v>
      </c>
      <c r="N219">
        <f t="shared" si="19"/>
        <v>0</v>
      </c>
      <c r="P219" t="e">
        <f>INDEX(Items!B$2:B$1032,MATCH($O219,Items!$A$2:$A$1032,0))</f>
        <v>#N/A</v>
      </c>
      <c r="Q219" t="e">
        <f>INDEX(Items!C$2:C$1032,MATCH($O219,Items!$A$2:$A$1032,0))</f>
        <v>#N/A</v>
      </c>
      <c r="R219" t="e">
        <f>INDEX(Items!D$2:D$1032,MATCH($O219,Items!$A$2:$A$1032,0))</f>
        <v>#N/A</v>
      </c>
    </row>
    <row r="220" spans="1:18" x14ac:dyDescent="0.25">
      <c r="A220">
        <f t="shared" si="17"/>
        <v>1</v>
      </c>
      <c r="B220" t="str">
        <f t="shared" si="18"/>
        <v/>
      </c>
      <c r="C220">
        <f t="shared" si="20"/>
        <v>1</v>
      </c>
      <c r="D220" s="4"/>
      <c r="E220" t="s">
        <v>18</v>
      </c>
      <c r="F220" t="str">
        <f>INDEX(Establishment!B$2:B$1005,MATCH($E220,Establishment!$A$2:$A$1005,0))</f>
        <v xml:space="preserve"> </v>
      </c>
      <c r="G220" t="str">
        <f>INDEX(Establishment!C$2:C$1005,MATCH($E220,Establishment!$A$2:$A$1005,0))</f>
        <v xml:space="preserve"> </v>
      </c>
      <c r="M220">
        <f t="shared" si="21"/>
        <v>0</v>
      </c>
      <c r="N220">
        <f t="shared" si="19"/>
        <v>0</v>
      </c>
      <c r="P220" t="e">
        <f>INDEX(Items!B$2:B$1032,MATCH($O220,Items!$A$2:$A$1032,0))</f>
        <v>#N/A</v>
      </c>
      <c r="Q220" t="e">
        <f>INDEX(Items!C$2:C$1032,MATCH($O220,Items!$A$2:$A$1032,0))</f>
        <v>#N/A</v>
      </c>
      <c r="R220" t="e">
        <f>INDEX(Items!D$2:D$1032,MATCH($O220,Items!$A$2:$A$1032,0))</f>
        <v>#N/A</v>
      </c>
    </row>
    <row r="221" spans="1:18" x14ac:dyDescent="0.25">
      <c r="A221">
        <f t="shared" si="17"/>
        <v>1</v>
      </c>
      <c r="B221" t="str">
        <f t="shared" si="18"/>
        <v/>
      </c>
      <c r="C221">
        <f t="shared" si="20"/>
        <v>1</v>
      </c>
      <c r="D221" s="4"/>
      <c r="E221" t="s">
        <v>18</v>
      </c>
      <c r="F221" t="str">
        <f>INDEX(Establishment!B$2:B$1005,MATCH($E221,Establishment!$A$2:$A$1005,0))</f>
        <v xml:space="preserve"> </v>
      </c>
      <c r="G221" t="str">
        <f>INDEX(Establishment!C$2:C$1005,MATCH($E221,Establishment!$A$2:$A$1005,0))</f>
        <v xml:space="preserve"> </v>
      </c>
      <c r="M221">
        <f t="shared" si="21"/>
        <v>0</v>
      </c>
      <c r="N221">
        <f t="shared" si="19"/>
        <v>0</v>
      </c>
      <c r="P221" t="e">
        <f>INDEX(Items!B$2:B$1032,MATCH($O221,Items!$A$2:$A$1032,0))</f>
        <v>#N/A</v>
      </c>
      <c r="Q221" t="e">
        <f>INDEX(Items!C$2:C$1032,MATCH($O221,Items!$A$2:$A$1032,0))</f>
        <v>#N/A</v>
      </c>
      <c r="R221" t="e">
        <f>INDEX(Items!D$2:D$1032,MATCH($O221,Items!$A$2:$A$1032,0))</f>
        <v>#N/A</v>
      </c>
    </row>
    <row r="222" spans="1:18" x14ac:dyDescent="0.25">
      <c r="A222">
        <f t="shared" si="17"/>
        <v>1</v>
      </c>
      <c r="B222" t="str">
        <f t="shared" si="18"/>
        <v/>
      </c>
      <c r="C222">
        <f t="shared" si="20"/>
        <v>1</v>
      </c>
      <c r="D222" s="4"/>
      <c r="E222" t="s">
        <v>18</v>
      </c>
      <c r="F222" t="str">
        <f>INDEX(Establishment!B$2:B$1005,MATCH($E222,Establishment!$A$2:$A$1005,0))</f>
        <v xml:space="preserve"> </v>
      </c>
      <c r="G222" t="str">
        <f>INDEX(Establishment!C$2:C$1005,MATCH($E222,Establishment!$A$2:$A$1005,0))</f>
        <v xml:space="preserve"> </v>
      </c>
      <c r="M222">
        <f t="shared" si="21"/>
        <v>0</v>
      </c>
      <c r="N222">
        <f t="shared" si="19"/>
        <v>0</v>
      </c>
      <c r="P222" t="e">
        <f>INDEX(Items!B$2:B$1032,MATCH($O222,Items!$A$2:$A$1032,0))</f>
        <v>#N/A</v>
      </c>
      <c r="Q222" t="e">
        <f>INDEX(Items!C$2:C$1032,MATCH($O222,Items!$A$2:$A$1032,0))</f>
        <v>#N/A</v>
      </c>
      <c r="R222" t="e">
        <f>INDEX(Items!D$2:D$1032,MATCH($O222,Items!$A$2:$A$1032,0))</f>
        <v>#N/A</v>
      </c>
    </row>
    <row r="223" spans="1:18" x14ac:dyDescent="0.25">
      <c r="A223">
        <f t="shared" si="17"/>
        <v>1</v>
      </c>
      <c r="B223" t="str">
        <f t="shared" si="18"/>
        <v/>
      </c>
      <c r="C223">
        <f t="shared" si="20"/>
        <v>1</v>
      </c>
      <c r="D223" s="4"/>
      <c r="E223" t="s">
        <v>18</v>
      </c>
      <c r="F223" t="str">
        <f>INDEX(Establishment!B$2:B$1005,MATCH($E223,Establishment!$A$2:$A$1005,0))</f>
        <v xml:space="preserve"> </v>
      </c>
      <c r="G223" t="str">
        <f>INDEX(Establishment!C$2:C$1005,MATCH($E223,Establishment!$A$2:$A$1005,0))</f>
        <v xml:space="preserve"> </v>
      </c>
      <c r="M223">
        <f t="shared" si="21"/>
        <v>0</v>
      </c>
      <c r="N223">
        <f t="shared" si="19"/>
        <v>0</v>
      </c>
      <c r="P223" t="e">
        <f>INDEX(Items!B$2:B$1032,MATCH($O223,Items!$A$2:$A$1032,0))</f>
        <v>#N/A</v>
      </c>
      <c r="Q223" t="e">
        <f>INDEX(Items!C$2:C$1032,MATCH($O223,Items!$A$2:$A$1032,0))</f>
        <v>#N/A</v>
      </c>
      <c r="R223" t="e">
        <f>INDEX(Items!D$2:D$1032,MATCH($O223,Items!$A$2:$A$1032,0))</f>
        <v>#N/A</v>
      </c>
    </row>
    <row r="224" spans="1:18" x14ac:dyDescent="0.25">
      <c r="A224">
        <f t="shared" si="17"/>
        <v>1</v>
      </c>
      <c r="B224" t="str">
        <f t="shared" si="18"/>
        <v/>
      </c>
      <c r="C224">
        <f t="shared" si="20"/>
        <v>1</v>
      </c>
      <c r="D224" s="4"/>
      <c r="E224" t="s">
        <v>18</v>
      </c>
      <c r="F224" t="str">
        <f>INDEX(Establishment!B$2:B$1005,MATCH($E224,Establishment!$A$2:$A$1005,0))</f>
        <v xml:space="preserve"> </v>
      </c>
      <c r="G224" t="str">
        <f>INDEX(Establishment!C$2:C$1005,MATCH($E224,Establishment!$A$2:$A$1005,0))</f>
        <v xml:space="preserve"> </v>
      </c>
      <c r="M224">
        <f t="shared" si="21"/>
        <v>0</v>
      </c>
      <c r="N224">
        <f t="shared" si="19"/>
        <v>0</v>
      </c>
      <c r="P224" t="e">
        <f>INDEX(Items!B$2:B$1032,MATCH($O224,Items!$A$2:$A$1032,0))</f>
        <v>#N/A</v>
      </c>
      <c r="Q224" t="e">
        <f>INDEX(Items!C$2:C$1032,MATCH($O224,Items!$A$2:$A$1032,0))</f>
        <v>#N/A</v>
      </c>
      <c r="R224" t="e">
        <f>INDEX(Items!D$2:D$1032,MATCH($O224,Items!$A$2:$A$1032,0))</f>
        <v>#N/A</v>
      </c>
    </row>
    <row r="225" spans="1:18" x14ac:dyDescent="0.25">
      <c r="A225">
        <f t="shared" si="17"/>
        <v>1</v>
      </c>
      <c r="B225" t="str">
        <f t="shared" si="18"/>
        <v/>
      </c>
      <c r="C225">
        <f t="shared" si="20"/>
        <v>1</v>
      </c>
      <c r="D225" s="4"/>
      <c r="E225" t="s">
        <v>18</v>
      </c>
      <c r="F225" t="str">
        <f>INDEX(Establishment!B$2:B$1005,MATCH($E225,Establishment!$A$2:$A$1005,0))</f>
        <v xml:space="preserve"> </v>
      </c>
      <c r="G225" t="str">
        <f>INDEX(Establishment!C$2:C$1005,MATCH($E225,Establishment!$A$2:$A$1005,0))</f>
        <v xml:space="preserve"> </v>
      </c>
      <c r="M225">
        <f t="shared" si="21"/>
        <v>0</v>
      </c>
      <c r="N225">
        <f t="shared" si="19"/>
        <v>0</v>
      </c>
      <c r="P225" t="e">
        <f>INDEX(Items!B$2:B$1032,MATCH($O225,Items!$A$2:$A$1032,0))</f>
        <v>#N/A</v>
      </c>
      <c r="Q225" t="e">
        <f>INDEX(Items!C$2:C$1032,MATCH($O225,Items!$A$2:$A$1032,0))</f>
        <v>#N/A</v>
      </c>
      <c r="R225" t="e">
        <f>INDEX(Items!D$2:D$1032,MATCH($O225,Items!$A$2:$A$1032,0))</f>
        <v>#N/A</v>
      </c>
    </row>
    <row r="226" spans="1:18" x14ac:dyDescent="0.25">
      <c r="A226">
        <f t="shared" si="17"/>
        <v>1</v>
      </c>
      <c r="B226" t="str">
        <f t="shared" si="18"/>
        <v/>
      </c>
      <c r="C226">
        <f t="shared" si="20"/>
        <v>1</v>
      </c>
      <c r="D226" s="4"/>
      <c r="E226" t="s">
        <v>18</v>
      </c>
      <c r="F226" t="str">
        <f>INDEX(Establishment!B$2:B$1005,MATCH($E226,Establishment!$A$2:$A$1005,0))</f>
        <v xml:space="preserve"> </v>
      </c>
      <c r="G226" t="str">
        <f>INDEX(Establishment!C$2:C$1005,MATCH($E226,Establishment!$A$2:$A$1005,0))</f>
        <v xml:space="preserve"> </v>
      </c>
      <c r="M226">
        <f t="shared" si="21"/>
        <v>0</v>
      </c>
      <c r="N226">
        <f t="shared" si="19"/>
        <v>0</v>
      </c>
      <c r="P226" t="e">
        <f>INDEX(Items!B$2:B$1032,MATCH($O226,Items!$A$2:$A$1032,0))</f>
        <v>#N/A</v>
      </c>
      <c r="Q226" t="e">
        <f>INDEX(Items!C$2:C$1032,MATCH($O226,Items!$A$2:$A$1032,0))</f>
        <v>#N/A</v>
      </c>
      <c r="R226" t="e">
        <f>INDEX(Items!D$2:D$1032,MATCH($O226,Items!$A$2:$A$1032,0))</f>
        <v>#N/A</v>
      </c>
    </row>
    <row r="227" spans="1:18" x14ac:dyDescent="0.25">
      <c r="A227">
        <f t="shared" si="17"/>
        <v>1</v>
      </c>
      <c r="B227" t="str">
        <f t="shared" si="18"/>
        <v/>
      </c>
      <c r="C227">
        <f t="shared" si="20"/>
        <v>1</v>
      </c>
      <c r="D227" s="4"/>
      <c r="E227" t="s">
        <v>18</v>
      </c>
      <c r="F227" t="str">
        <f>INDEX(Establishment!B$2:B$1005,MATCH($E227,Establishment!$A$2:$A$1005,0))</f>
        <v xml:space="preserve"> </v>
      </c>
      <c r="G227" t="str">
        <f>INDEX(Establishment!C$2:C$1005,MATCH($E227,Establishment!$A$2:$A$1005,0))</f>
        <v xml:space="preserve"> </v>
      </c>
      <c r="M227">
        <f t="shared" si="21"/>
        <v>0</v>
      </c>
      <c r="N227">
        <f t="shared" si="19"/>
        <v>0</v>
      </c>
      <c r="P227" t="e">
        <f>INDEX(Items!B$2:B$1032,MATCH($O227,Items!$A$2:$A$1032,0))</f>
        <v>#N/A</v>
      </c>
      <c r="Q227" t="e">
        <f>INDEX(Items!C$2:C$1032,MATCH($O227,Items!$A$2:$A$1032,0))</f>
        <v>#N/A</v>
      </c>
      <c r="R227" t="e">
        <f>INDEX(Items!D$2:D$1032,MATCH($O227,Items!$A$2:$A$1032,0))</f>
        <v>#N/A</v>
      </c>
    </row>
    <row r="228" spans="1:18" x14ac:dyDescent="0.25">
      <c r="A228">
        <f t="shared" si="17"/>
        <v>1</v>
      </c>
      <c r="B228" t="str">
        <f t="shared" si="18"/>
        <v/>
      </c>
      <c r="C228">
        <f t="shared" si="20"/>
        <v>1</v>
      </c>
      <c r="D228" s="4"/>
      <c r="E228" t="s">
        <v>18</v>
      </c>
      <c r="F228" t="str">
        <f>INDEX(Establishment!B$2:B$1005,MATCH($E228,Establishment!$A$2:$A$1005,0))</f>
        <v xml:space="preserve"> </v>
      </c>
      <c r="G228" t="str">
        <f>INDEX(Establishment!C$2:C$1005,MATCH($E228,Establishment!$A$2:$A$1005,0))</f>
        <v xml:space="preserve"> </v>
      </c>
      <c r="M228">
        <f t="shared" si="21"/>
        <v>0</v>
      </c>
      <c r="N228">
        <f t="shared" si="19"/>
        <v>0</v>
      </c>
      <c r="P228" t="e">
        <f>INDEX(Items!B$2:B$1032,MATCH($O228,Items!$A$2:$A$1032,0))</f>
        <v>#N/A</v>
      </c>
      <c r="Q228" t="e">
        <f>INDEX(Items!C$2:C$1032,MATCH($O228,Items!$A$2:$A$1032,0))</f>
        <v>#N/A</v>
      </c>
      <c r="R228" t="e">
        <f>INDEX(Items!D$2:D$1032,MATCH($O228,Items!$A$2:$A$1032,0))</f>
        <v>#N/A</v>
      </c>
    </row>
    <row r="229" spans="1:18" x14ac:dyDescent="0.25">
      <c r="A229">
        <f t="shared" si="17"/>
        <v>1</v>
      </c>
      <c r="B229" t="str">
        <f t="shared" si="18"/>
        <v/>
      </c>
      <c r="C229">
        <f t="shared" si="20"/>
        <v>1</v>
      </c>
      <c r="D229" s="4"/>
      <c r="E229" t="s">
        <v>18</v>
      </c>
      <c r="F229" t="str">
        <f>INDEX(Establishment!B$2:B$1005,MATCH($E229,Establishment!$A$2:$A$1005,0))</f>
        <v xml:space="preserve"> </v>
      </c>
      <c r="G229" t="str">
        <f>INDEX(Establishment!C$2:C$1005,MATCH($E229,Establishment!$A$2:$A$1005,0))</f>
        <v xml:space="preserve"> </v>
      </c>
      <c r="M229">
        <f t="shared" si="21"/>
        <v>0</v>
      </c>
      <c r="N229">
        <f t="shared" si="19"/>
        <v>0</v>
      </c>
      <c r="P229" t="e">
        <f>INDEX(Items!B$2:B$1032,MATCH($O229,Items!$A$2:$A$1032,0))</f>
        <v>#N/A</v>
      </c>
      <c r="Q229" t="e">
        <f>INDEX(Items!C$2:C$1032,MATCH($O229,Items!$A$2:$A$1032,0))</f>
        <v>#N/A</v>
      </c>
      <c r="R229" t="e">
        <f>INDEX(Items!D$2:D$1032,MATCH($O229,Items!$A$2:$A$1032,0))</f>
        <v>#N/A</v>
      </c>
    </row>
    <row r="230" spans="1:18" x14ac:dyDescent="0.25">
      <c r="A230">
        <f t="shared" si="17"/>
        <v>1</v>
      </c>
      <c r="B230" t="str">
        <f t="shared" si="18"/>
        <v/>
      </c>
      <c r="C230">
        <f t="shared" si="20"/>
        <v>1</v>
      </c>
      <c r="D230" s="4"/>
      <c r="E230" t="s">
        <v>18</v>
      </c>
      <c r="F230" t="str">
        <f>INDEX(Establishment!B$2:B$1005,MATCH($E230,Establishment!$A$2:$A$1005,0))</f>
        <v xml:space="preserve"> </v>
      </c>
      <c r="G230" t="str">
        <f>INDEX(Establishment!C$2:C$1005,MATCH($E230,Establishment!$A$2:$A$1005,0))</f>
        <v xml:space="preserve"> </v>
      </c>
      <c r="M230">
        <f t="shared" si="21"/>
        <v>0</v>
      </c>
      <c r="N230">
        <f t="shared" si="19"/>
        <v>0</v>
      </c>
      <c r="P230" t="e">
        <f>INDEX(Items!B$2:B$1032,MATCH($O230,Items!$A$2:$A$1032,0))</f>
        <v>#N/A</v>
      </c>
      <c r="Q230" t="e">
        <f>INDEX(Items!C$2:C$1032,MATCH($O230,Items!$A$2:$A$1032,0))</f>
        <v>#N/A</v>
      </c>
      <c r="R230" t="e">
        <f>INDEX(Items!D$2:D$1032,MATCH($O230,Items!$A$2:$A$1032,0))</f>
        <v>#N/A</v>
      </c>
    </row>
    <row r="231" spans="1:18" x14ac:dyDescent="0.25">
      <c r="A231">
        <f t="shared" si="17"/>
        <v>1</v>
      </c>
      <c r="B231" t="str">
        <f t="shared" si="18"/>
        <v/>
      </c>
      <c r="C231">
        <f t="shared" si="20"/>
        <v>1</v>
      </c>
      <c r="D231" s="4"/>
      <c r="E231" t="s">
        <v>18</v>
      </c>
      <c r="F231" t="str">
        <f>INDEX(Establishment!B$2:B$1005,MATCH($E231,Establishment!$A$2:$A$1005,0))</f>
        <v xml:space="preserve"> </v>
      </c>
      <c r="G231" t="str">
        <f>INDEX(Establishment!C$2:C$1005,MATCH($E231,Establishment!$A$2:$A$1005,0))</f>
        <v xml:space="preserve"> </v>
      </c>
      <c r="M231">
        <f t="shared" si="21"/>
        <v>0</v>
      </c>
      <c r="N231">
        <f t="shared" si="19"/>
        <v>0</v>
      </c>
      <c r="P231" t="e">
        <f>INDEX(Items!B$2:B$1032,MATCH($O231,Items!$A$2:$A$1032,0))</f>
        <v>#N/A</v>
      </c>
      <c r="Q231" t="e">
        <f>INDEX(Items!C$2:C$1032,MATCH($O231,Items!$A$2:$A$1032,0))</f>
        <v>#N/A</v>
      </c>
      <c r="R231" t="e">
        <f>INDEX(Items!D$2:D$1032,MATCH($O231,Items!$A$2:$A$1032,0))</f>
        <v>#N/A</v>
      </c>
    </row>
    <row r="232" spans="1:18" x14ac:dyDescent="0.25">
      <c r="A232">
        <f t="shared" si="17"/>
        <v>1</v>
      </c>
      <c r="B232" t="str">
        <f t="shared" si="18"/>
        <v/>
      </c>
      <c r="C232">
        <f t="shared" si="20"/>
        <v>1</v>
      </c>
      <c r="D232" s="4"/>
      <c r="E232" t="s">
        <v>18</v>
      </c>
      <c r="F232" t="str">
        <f>INDEX(Establishment!B$2:B$1005,MATCH($E232,Establishment!$A$2:$A$1005,0))</f>
        <v xml:space="preserve"> </v>
      </c>
      <c r="G232" t="str">
        <f>INDEX(Establishment!C$2:C$1005,MATCH($E232,Establishment!$A$2:$A$1005,0))</f>
        <v xml:space="preserve"> </v>
      </c>
      <c r="M232">
        <f t="shared" si="21"/>
        <v>0</v>
      </c>
      <c r="N232">
        <f t="shared" si="19"/>
        <v>0</v>
      </c>
      <c r="P232" t="e">
        <f>INDEX(Items!B$2:B$1032,MATCH($O232,Items!$A$2:$A$1032,0))</f>
        <v>#N/A</v>
      </c>
      <c r="Q232" t="e">
        <f>INDEX(Items!C$2:C$1032,MATCH($O232,Items!$A$2:$A$1032,0))</f>
        <v>#N/A</v>
      </c>
      <c r="R232" t="e">
        <f>INDEX(Items!D$2:D$1032,MATCH($O232,Items!$A$2:$A$1032,0))</f>
        <v>#N/A</v>
      </c>
    </row>
    <row r="233" spans="1:18" x14ac:dyDescent="0.25">
      <c r="A233">
        <f t="shared" si="17"/>
        <v>1</v>
      </c>
      <c r="B233" t="str">
        <f t="shared" si="18"/>
        <v/>
      </c>
      <c r="C233">
        <f t="shared" si="20"/>
        <v>1</v>
      </c>
      <c r="D233" s="4"/>
      <c r="E233" t="s">
        <v>18</v>
      </c>
      <c r="F233" t="str">
        <f>INDEX(Establishment!B$2:B$1005,MATCH($E233,Establishment!$A$2:$A$1005,0))</f>
        <v xml:space="preserve"> </v>
      </c>
      <c r="G233" t="str">
        <f>INDEX(Establishment!C$2:C$1005,MATCH($E233,Establishment!$A$2:$A$1005,0))</f>
        <v xml:space="preserve"> </v>
      </c>
      <c r="M233">
        <f t="shared" si="21"/>
        <v>0</v>
      </c>
      <c r="N233">
        <f t="shared" si="19"/>
        <v>0</v>
      </c>
      <c r="P233" t="e">
        <f>INDEX(Items!B$2:B$1032,MATCH($O233,Items!$A$2:$A$1032,0))</f>
        <v>#N/A</v>
      </c>
      <c r="Q233" t="e">
        <f>INDEX(Items!C$2:C$1032,MATCH($O233,Items!$A$2:$A$1032,0))</f>
        <v>#N/A</v>
      </c>
      <c r="R233" t="e">
        <f>INDEX(Items!D$2:D$1032,MATCH($O233,Items!$A$2:$A$1032,0))</f>
        <v>#N/A</v>
      </c>
    </row>
    <row r="234" spans="1:18" x14ac:dyDescent="0.25">
      <c r="A234">
        <f t="shared" si="17"/>
        <v>1</v>
      </c>
      <c r="B234" t="str">
        <f t="shared" si="18"/>
        <v/>
      </c>
      <c r="C234">
        <f t="shared" si="20"/>
        <v>1</v>
      </c>
      <c r="D234" s="4"/>
      <c r="E234" t="s">
        <v>18</v>
      </c>
      <c r="F234" t="str">
        <f>INDEX(Establishment!B$2:B$1005,MATCH($E234,Establishment!$A$2:$A$1005,0))</f>
        <v xml:space="preserve"> </v>
      </c>
      <c r="G234" t="str">
        <f>INDEX(Establishment!C$2:C$1005,MATCH($E234,Establishment!$A$2:$A$1005,0))</f>
        <v xml:space="preserve"> </v>
      </c>
      <c r="M234">
        <f t="shared" si="21"/>
        <v>0</v>
      </c>
      <c r="N234">
        <f t="shared" si="19"/>
        <v>0</v>
      </c>
      <c r="P234" t="e">
        <f>INDEX(Items!B$2:B$1032,MATCH($O234,Items!$A$2:$A$1032,0))</f>
        <v>#N/A</v>
      </c>
      <c r="Q234" t="e">
        <f>INDEX(Items!C$2:C$1032,MATCH($O234,Items!$A$2:$A$1032,0))</f>
        <v>#N/A</v>
      </c>
      <c r="R234" t="e">
        <f>INDEX(Items!D$2:D$1032,MATCH($O234,Items!$A$2:$A$1032,0))</f>
        <v>#N/A</v>
      </c>
    </row>
    <row r="235" spans="1:18" x14ac:dyDescent="0.25">
      <c r="A235">
        <f t="shared" si="17"/>
        <v>1</v>
      </c>
      <c r="B235" t="str">
        <f t="shared" si="18"/>
        <v/>
      </c>
      <c r="C235">
        <f t="shared" si="20"/>
        <v>1</v>
      </c>
      <c r="D235" s="4"/>
      <c r="E235" t="s">
        <v>18</v>
      </c>
      <c r="F235" t="str">
        <f>INDEX(Establishment!B$2:B$1005,MATCH($E235,Establishment!$A$2:$A$1005,0))</f>
        <v xml:space="preserve"> </v>
      </c>
      <c r="G235" t="str">
        <f>INDEX(Establishment!C$2:C$1005,MATCH($E235,Establishment!$A$2:$A$1005,0))</f>
        <v xml:space="preserve"> </v>
      </c>
      <c r="M235">
        <f t="shared" si="21"/>
        <v>0</v>
      </c>
      <c r="N235">
        <f t="shared" si="19"/>
        <v>0</v>
      </c>
      <c r="P235" t="e">
        <f>INDEX(Items!B$2:B$1032,MATCH($O235,Items!$A$2:$A$1032,0))</f>
        <v>#N/A</v>
      </c>
      <c r="Q235" t="e">
        <f>INDEX(Items!C$2:C$1032,MATCH($O235,Items!$A$2:$A$1032,0))</f>
        <v>#N/A</v>
      </c>
      <c r="R235" t="e">
        <f>INDEX(Items!D$2:D$1032,MATCH($O235,Items!$A$2:$A$1032,0))</f>
        <v>#N/A</v>
      </c>
    </row>
    <row r="236" spans="1:18" x14ac:dyDescent="0.25">
      <c r="A236">
        <f t="shared" si="17"/>
        <v>1</v>
      </c>
      <c r="B236" t="str">
        <f t="shared" si="18"/>
        <v/>
      </c>
      <c r="C236">
        <f t="shared" si="20"/>
        <v>1</v>
      </c>
      <c r="D236" s="4"/>
      <c r="E236" t="s">
        <v>18</v>
      </c>
      <c r="F236" t="str">
        <f>INDEX(Establishment!B$2:B$1005,MATCH($E236,Establishment!$A$2:$A$1005,0))</f>
        <v xml:space="preserve"> </v>
      </c>
      <c r="G236" t="str">
        <f>INDEX(Establishment!C$2:C$1005,MATCH($E236,Establishment!$A$2:$A$1005,0))</f>
        <v xml:space="preserve"> </v>
      </c>
      <c r="M236">
        <f t="shared" si="21"/>
        <v>0</v>
      </c>
      <c r="N236">
        <f t="shared" si="19"/>
        <v>0</v>
      </c>
      <c r="P236" t="e">
        <f>INDEX(Items!B$2:B$1032,MATCH($O236,Items!$A$2:$A$1032,0))</f>
        <v>#N/A</v>
      </c>
      <c r="Q236" t="e">
        <f>INDEX(Items!C$2:C$1032,MATCH($O236,Items!$A$2:$A$1032,0))</f>
        <v>#N/A</v>
      </c>
      <c r="R236" t="e">
        <f>INDEX(Items!D$2:D$1032,MATCH($O236,Items!$A$2:$A$1032,0))</f>
        <v>#N/A</v>
      </c>
    </row>
    <row r="237" spans="1:18" x14ac:dyDescent="0.25">
      <c r="A237">
        <f t="shared" si="17"/>
        <v>1</v>
      </c>
      <c r="B237" t="str">
        <f t="shared" si="18"/>
        <v/>
      </c>
      <c r="C237">
        <f t="shared" si="20"/>
        <v>1</v>
      </c>
      <c r="D237" s="4"/>
      <c r="E237" t="s">
        <v>18</v>
      </c>
      <c r="F237" t="str">
        <f>INDEX(Establishment!B$2:B$1005,MATCH($E237,Establishment!$A$2:$A$1005,0))</f>
        <v xml:space="preserve"> </v>
      </c>
      <c r="G237" t="str">
        <f>INDEX(Establishment!C$2:C$1005,MATCH($E237,Establishment!$A$2:$A$1005,0))</f>
        <v xml:space="preserve"> </v>
      </c>
      <c r="M237">
        <f t="shared" si="21"/>
        <v>0</v>
      </c>
      <c r="N237">
        <f t="shared" si="19"/>
        <v>0</v>
      </c>
      <c r="P237" t="e">
        <f>INDEX(Items!B$2:B$1032,MATCH($O237,Items!$A$2:$A$1032,0))</f>
        <v>#N/A</v>
      </c>
      <c r="Q237" t="e">
        <f>INDEX(Items!C$2:C$1032,MATCH($O237,Items!$A$2:$A$1032,0))</f>
        <v>#N/A</v>
      </c>
      <c r="R237" t="e">
        <f>INDEX(Items!D$2:D$1032,MATCH($O237,Items!$A$2:$A$1032,0))</f>
        <v>#N/A</v>
      </c>
    </row>
    <row r="238" spans="1:18" x14ac:dyDescent="0.25">
      <c r="A238">
        <f t="shared" si="17"/>
        <v>1</v>
      </c>
      <c r="B238" t="str">
        <f t="shared" si="18"/>
        <v/>
      </c>
      <c r="C238">
        <f t="shared" si="20"/>
        <v>1</v>
      </c>
      <c r="D238" s="4"/>
      <c r="E238" t="s">
        <v>18</v>
      </c>
      <c r="F238" t="str">
        <f>INDEX(Establishment!B$2:B$1005,MATCH($E238,Establishment!$A$2:$A$1005,0))</f>
        <v xml:space="preserve"> </v>
      </c>
      <c r="G238" t="str">
        <f>INDEX(Establishment!C$2:C$1005,MATCH($E238,Establishment!$A$2:$A$1005,0))</f>
        <v xml:space="preserve"> </v>
      </c>
      <c r="M238">
        <f t="shared" si="21"/>
        <v>0</v>
      </c>
      <c r="N238">
        <f t="shared" si="19"/>
        <v>0</v>
      </c>
      <c r="P238" t="e">
        <f>INDEX(Items!B$2:B$1032,MATCH($O238,Items!$A$2:$A$1032,0))</f>
        <v>#N/A</v>
      </c>
      <c r="Q238" t="e">
        <f>INDEX(Items!C$2:C$1032,MATCH($O238,Items!$A$2:$A$1032,0))</f>
        <v>#N/A</v>
      </c>
      <c r="R238" t="e">
        <f>INDEX(Items!D$2:D$1032,MATCH($O238,Items!$A$2:$A$1032,0))</f>
        <v>#N/A</v>
      </c>
    </row>
    <row r="239" spans="1:18" x14ac:dyDescent="0.25">
      <c r="A239">
        <f t="shared" si="17"/>
        <v>1</v>
      </c>
      <c r="B239" t="str">
        <f t="shared" si="18"/>
        <v/>
      </c>
      <c r="C239">
        <f t="shared" si="20"/>
        <v>1</v>
      </c>
      <c r="D239" s="4"/>
      <c r="E239" t="s">
        <v>18</v>
      </c>
      <c r="F239" t="str">
        <f>INDEX(Establishment!B$2:B$1005,MATCH($E239,Establishment!$A$2:$A$1005,0))</f>
        <v xml:space="preserve"> </v>
      </c>
      <c r="G239" t="str">
        <f>INDEX(Establishment!C$2:C$1005,MATCH($E239,Establishment!$A$2:$A$1005,0))</f>
        <v xml:space="preserve"> </v>
      </c>
      <c r="M239">
        <f t="shared" si="21"/>
        <v>0</v>
      </c>
      <c r="N239">
        <f t="shared" si="19"/>
        <v>0</v>
      </c>
      <c r="P239" t="e">
        <f>INDEX(Items!B$2:B$1032,MATCH($O239,Items!$A$2:$A$1032,0))</f>
        <v>#N/A</v>
      </c>
      <c r="Q239" t="e">
        <f>INDEX(Items!C$2:C$1032,MATCH($O239,Items!$A$2:$A$1032,0))</f>
        <v>#N/A</v>
      </c>
      <c r="R239" t="e">
        <f>INDEX(Items!D$2:D$1032,MATCH($O239,Items!$A$2:$A$1032,0))</f>
        <v>#N/A</v>
      </c>
    </row>
    <row r="240" spans="1:18" x14ac:dyDescent="0.25">
      <c r="A240">
        <f t="shared" si="17"/>
        <v>1</v>
      </c>
      <c r="B240" t="str">
        <f t="shared" si="18"/>
        <v/>
      </c>
      <c r="C240">
        <f t="shared" si="20"/>
        <v>1</v>
      </c>
      <c r="D240" s="4"/>
      <c r="E240" t="s">
        <v>18</v>
      </c>
      <c r="F240" t="str">
        <f>INDEX(Establishment!B$2:B$1005,MATCH($E240,Establishment!$A$2:$A$1005,0))</f>
        <v xml:space="preserve"> </v>
      </c>
      <c r="G240" t="str">
        <f>INDEX(Establishment!C$2:C$1005,MATCH($E240,Establishment!$A$2:$A$1005,0))</f>
        <v xml:space="preserve"> </v>
      </c>
      <c r="M240">
        <f t="shared" si="21"/>
        <v>0</v>
      </c>
      <c r="N240">
        <f t="shared" si="19"/>
        <v>0</v>
      </c>
      <c r="P240" t="e">
        <f>INDEX(Items!B$2:B$1032,MATCH($O240,Items!$A$2:$A$1032,0))</f>
        <v>#N/A</v>
      </c>
      <c r="Q240" t="e">
        <f>INDEX(Items!C$2:C$1032,MATCH($O240,Items!$A$2:$A$1032,0))</f>
        <v>#N/A</v>
      </c>
      <c r="R240" t="e">
        <f>INDEX(Items!D$2:D$1032,MATCH($O240,Items!$A$2:$A$1032,0))</f>
        <v>#N/A</v>
      </c>
    </row>
    <row r="241" spans="1:18" x14ac:dyDescent="0.25">
      <c r="A241">
        <f t="shared" si="17"/>
        <v>1</v>
      </c>
      <c r="B241" t="str">
        <f t="shared" si="18"/>
        <v/>
      </c>
      <c r="C241">
        <f t="shared" si="20"/>
        <v>1</v>
      </c>
      <c r="D241" s="4"/>
      <c r="E241" t="s">
        <v>18</v>
      </c>
      <c r="F241" t="str">
        <f>INDEX(Establishment!B$2:B$1005,MATCH($E241,Establishment!$A$2:$A$1005,0))</f>
        <v xml:space="preserve"> </v>
      </c>
      <c r="G241" t="str">
        <f>INDEX(Establishment!C$2:C$1005,MATCH($E241,Establishment!$A$2:$A$1005,0))</f>
        <v xml:space="preserve"> </v>
      </c>
      <c r="M241">
        <f t="shared" si="21"/>
        <v>0</v>
      </c>
      <c r="N241">
        <f t="shared" si="19"/>
        <v>0</v>
      </c>
      <c r="P241" t="e">
        <f>INDEX(Items!B$2:B$1032,MATCH($O241,Items!$A$2:$A$1032,0))</f>
        <v>#N/A</v>
      </c>
      <c r="Q241" t="e">
        <f>INDEX(Items!C$2:C$1032,MATCH($O241,Items!$A$2:$A$1032,0))</f>
        <v>#N/A</v>
      </c>
      <c r="R241" t="e">
        <f>INDEX(Items!D$2:D$1032,MATCH($O241,Items!$A$2:$A$1032,0))</f>
        <v>#N/A</v>
      </c>
    </row>
    <row r="242" spans="1:18" x14ac:dyDescent="0.25">
      <c r="A242">
        <f t="shared" si="17"/>
        <v>1</v>
      </c>
      <c r="B242" t="str">
        <f t="shared" si="18"/>
        <v/>
      </c>
      <c r="C242">
        <f t="shared" si="20"/>
        <v>1</v>
      </c>
      <c r="D242" s="4"/>
      <c r="E242" t="s">
        <v>18</v>
      </c>
      <c r="F242" t="str">
        <f>INDEX(Establishment!B$2:B$1005,MATCH($E242,Establishment!$A$2:$A$1005,0))</f>
        <v xml:space="preserve"> </v>
      </c>
      <c r="G242" t="str">
        <f>INDEX(Establishment!C$2:C$1005,MATCH($E242,Establishment!$A$2:$A$1005,0))</f>
        <v xml:space="preserve"> </v>
      </c>
      <c r="M242">
        <f t="shared" si="21"/>
        <v>0</v>
      </c>
      <c r="N242">
        <f t="shared" si="19"/>
        <v>0</v>
      </c>
      <c r="P242" t="e">
        <f>INDEX(Items!B$2:B$1032,MATCH($O242,Items!$A$2:$A$1032,0))</f>
        <v>#N/A</v>
      </c>
      <c r="Q242" t="e">
        <f>INDEX(Items!C$2:C$1032,MATCH($O242,Items!$A$2:$A$1032,0))</f>
        <v>#N/A</v>
      </c>
      <c r="R242" t="e">
        <f>INDEX(Items!D$2:D$1032,MATCH($O242,Items!$A$2:$A$1032,0))</f>
        <v>#N/A</v>
      </c>
    </row>
    <row r="243" spans="1:18" x14ac:dyDescent="0.25">
      <c r="A243">
        <f t="shared" si="17"/>
        <v>1</v>
      </c>
      <c r="B243" t="str">
        <f t="shared" si="18"/>
        <v/>
      </c>
      <c r="C243">
        <f t="shared" si="20"/>
        <v>1</v>
      </c>
      <c r="D243" s="4"/>
      <c r="E243" t="s">
        <v>18</v>
      </c>
      <c r="F243" t="str">
        <f>INDEX(Establishment!B$2:B$1005,MATCH($E243,Establishment!$A$2:$A$1005,0))</f>
        <v xml:space="preserve"> </v>
      </c>
      <c r="G243" t="str">
        <f>INDEX(Establishment!C$2:C$1005,MATCH($E243,Establishment!$A$2:$A$1005,0))</f>
        <v xml:space="preserve"> </v>
      </c>
      <c r="M243">
        <f t="shared" si="21"/>
        <v>0</v>
      </c>
      <c r="N243">
        <f t="shared" si="19"/>
        <v>0</v>
      </c>
      <c r="P243" t="e">
        <f>INDEX(Items!B$2:B$1032,MATCH($O243,Items!$A$2:$A$1032,0))</f>
        <v>#N/A</v>
      </c>
      <c r="Q243" t="e">
        <f>INDEX(Items!C$2:C$1032,MATCH($O243,Items!$A$2:$A$1032,0))</f>
        <v>#N/A</v>
      </c>
      <c r="R243" t="e">
        <f>INDEX(Items!D$2:D$1032,MATCH($O243,Items!$A$2:$A$1032,0))</f>
        <v>#N/A</v>
      </c>
    </row>
    <row r="244" spans="1:18" x14ac:dyDescent="0.25">
      <c r="A244">
        <f t="shared" si="17"/>
        <v>1</v>
      </c>
      <c r="B244" t="str">
        <f t="shared" si="18"/>
        <v/>
      </c>
      <c r="C244">
        <f t="shared" si="20"/>
        <v>1</v>
      </c>
      <c r="D244" s="4"/>
      <c r="E244" t="s">
        <v>18</v>
      </c>
      <c r="F244" t="str">
        <f>INDEX(Establishment!B$2:B$1005,MATCH($E244,Establishment!$A$2:$A$1005,0))</f>
        <v xml:space="preserve"> </v>
      </c>
      <c r="G244" t="str">
        <f>INDEX(Establishment!C$2:C$1005,MATCH($E244,Establishment!$A$2:$A$1005,0))</f>
        <v xml:space="preserve"> </v>
      </c>
      <c r="M244">
        <f t="shared" si="21"/>
        <v>0</v>
      </c>
      <c r="N244">
        <f t="shared" si="19"/>
        <v>0</v>
      </c>
      <c r="P244" t="e">
        <f>INDEX(Items!B$2:B$1032,MATCH($O244,Items!$A$2:$A$1032,0))</f>
        <v>#N/A</v>
      </c>
      <c r="Q244" t="e">
        <f>INDEX(Items!C$2:C$1032,MATCH($O244,Items!$A$2:$A$1032,0))</f>
        <v>#N/A</v>
      </c>
      <c r="R244" t="e">
        <f>INDEX(Items!D$2:D$1032,MATCH($O244,Items!$A$2:$A$1032,0))</f>
        <v>#N/A</v>
      </c>
    </row>
    <row r="245" spans="1:18" x14ac:dyDescent="0.25">
      <c r="A245">
        <f t="shared" si="17"/>
        <v>1</v>
      </c>
      <c r="B245" t="str">
        <f t="shared" si="18"/>
        <v/>
      </c>
      <c r="C245">
        <f t="shared" si="20"/>
        <v>1</v>
      </c>
      <c r="D245" s="4"/>
      <c r="E245" t="s">
        <v>18</v>
      </c>
      <c r="F245" t="str">
        <f>INDEX(Establishment!B$2:B$1005,MATCH($E245,Establishment!$A$2:$A$1005,0))</f>
        <v xml:space="preserve"> </v>
      </c>
      <c r="G245" t="str">
        <f>INDEX(Establishment!C$2:C$1005,MATCH($E245,Establishment!$A$2:$A$1005,0))</f>
        <v xml:space="preserve"> </v>
      </c>
      <c r="M245">
        <f t="shared" si="21"/>
        <v>0</v>
      </c>
      <c r="N245">
        <f t="shared" si="19"/>
        <v>0</v>
      </c>
      <c r="P245" t="e">
        <f>INDEX(Items!B$2:B$1032,MATCH($O245,Items!$A$2:$A$1032,0))</f>
        <v>#N/A</v>
      </c>
      <c r="Q245" t="e">
        <f>INDEX(Items!C$2:C$1032,MATCH($O245,Items!$A$2:$A$1032,0))</f>
        <v>#N/A</v>
      </c>
      <c r="R245" t="e">
        <f>INDEX(Items!D$2:D$1032,MATCH($O245,Items!$A$2:$A$1032,0))</f>
        <v>#N/A</v>
      </c>
    </row>
    <row r="246" spans="1:18" x14ac:dyDescent="0.25">
      <c r="A246">
        <f t="shared" si="17"/>
        <v>1</v>
      </c>
      <c r="B246" t="str">
        <f t="shared" si="18"/>
        <v/>
      </c>
      <c r="C246">
        <f t="shared" si="20"/>
        <v>1</v>
      </c>
      <c r="D246" s="4"/>
      <c r="E246" t="s">
        <v>18</v>
      </c>
      <c r="F246" t="str">
        <f>INDEX(Establishment!B$2:B$1005,MATCH($E246,Establishment!$A$2:$A$1005,0))</f>
        <v xml:space="preserve"> </v>
      </c>
      <c r="G246" t="str">
        <f>INDEX(Establishment!C$2:C$1005,MATCH($E246,Establishment!$A$2:$A$1005,0))</f>
        <v xml:space="preserve"> </v>
      </c>
      <c r="M246">
        <f t="shared" si="21"/>
        <v>0</v>
      </c>
      <c r="N246">
        <f t="shared" si="19"/>
        <v>0</v>
      </c>
      <c r="P246" t="e">
        <f>INDEX(Items!B$2:B$1032,MATCH($O246,Items!$A$2:$A$1032,0))</f>
        <v>#N/A</v>
      </c>
      <c r="Q246" t="e">
        <f>INDEX(Items!C$2:C$1032,MATCH($O246,Items!$A$2:$A$1032,0))</f>
        <v>#N/A</v>
      </c>
      <c r="R246" t="e">
        <f>INDEX(Items!D$2:D$1032,MATCH($O246,Items!$A$2:$A$1032,0))</f>
        <v>#N/A</v>
      </c>
    </row>
    <row r="247" spans="1:18" x14ac:dyDescent="0.25">
      <c r="A247">
        <f t="shared" si="17"/>
        <v>1</v>
      </c>
      <c r="B247" t="str">
        <f t="shared" si="18"/>
        <v/>
      </c>
      <c r="C247">
        <f t="shared" si="20"/>
        <v>1</v>
      </c>
      <c r="D247" s="4"/>
      <c r="E247" t="s">
        <v>18</v>
      </c>
      <c r="F247" t="str">
        <f>INDEX(Establishment!B$2:B$1005,MATCH($E247,Establishment!$A$2:$A$1005,0))</f>
        <v xml:space="preserve"> </v>
      </c>
      <c r="G247" t="str">
        <f>INDEX(Establishment!C$2:C$1005,MATCH($E247,Establishment!$A$2:$A$1005,0))</f>
        <v xml:space="preserve"> </v>
      </c>
      <c r="M247">
        <f t="shared" si="21"/>
        <v>0</v>
      </c>
      <c r="N247">
        <f t="shared" si="19"/>
        <v>0</v>
      </c>
      <c r="P247" t="e">
        <f>INDEX(Items!B$2:B$1032,MATCH($O247,Items!$A$2:$A$1032,0))</f>
        <v>#N/A</v>
      </c>
      <c r="Q247" t="e">
        <f>INDEX(Items!C$2:C$1032,MATCH($O247,Items!$A$2:$A$1032,0))</f>
        <v>#N/A</v>
      </c>
      <c r="R247" t="e">
        <f>INDEX(Items!D$2:D$1032,MATCH($O247,Items!$A$2:$A$1032,0))</f>
        <v>#N/A</v>
      </c>
    </row>
    <row r="248" spans="1:18" x14ac:dyDescent="0.25">
      <c r="A248">
        <f t="shared" si="17"/>
        <v>1</v>
      </c>
      <c r="B248" t="str">
        <f t="shared" si="18"/>
        <v/>
      </c>
      <c r="C248">
        <f t="shared" si="20"/>
        <v>1</v>
      </c>
      <c r="D248" s="4"/>
      <c r="E248" t="s">
        <v>18</v>
      </c>
      <c r="F248" t="str">
        <f>INDEX(Establishment!B$2:B$1005,MATCH($E248,Establishment!$A$2:$A$1005,0))</f>
        <v xml:space="preserve"> </v>
      </c>
      <c r="G248" t="str">
        <f>INDEX(Establishment!C$2:C$1005,MATCH($E248,Establishment!$A$2:$A$1005,0))</f>
        <v xml:space="preserve"> </v>
      </c>
      <c r="M248">
        <f t="shared" si="21"/>
        <v>0</v>
      </c>
      <c r="N248">
        <f t="shared" si="19"/>
        <v>0</v>
      </c>
      <c r="P248" t="e">
        <f>INDEX(Items!B$2:B$1032,MATCH($O248,Items!$A$2:$A$1032,0))</f>
        <v>#N/A</v>
      </c>
      <c r="Q248" t="e">
        <f>INDEX(Items!C$2:C$1032,MATCH($O248,Items!$A$2:$A$1032,0))</f>
        <v>#N/A</v>
      </c>
      <c r="R248" t="e">
        <f>INDEX(Items!D$2:D$1032,MATCH($O248,Items!$A$2:$A$1032,0))</f>
        <v>#N/A</v>
      </c>
    </row>
    <row r="249" spans="1:18" x14ac:dyDescent="0.25">
      <c r="A249">
        <f t="shared" si="17"/>
        <v>1</v>
      </c>
      <c r="B249" t="str">
        <f t="shared" si="18"/>
        <v/>
      </c>
      <c r="C249">
        <f t="shared" si="20"/>
        <v>1</v>
      </c>
      <c r="D249" s="4"/>
      <c r="E249" t="s">
        <v>18</v>
      </c>
      <c r="F249" t="str">
        <f>INDEX(Establishment!B$2:B$1005,MATCH($E249,Establishment!$A$2:$A$1005,0))</f>
        <v xml:space="preserve"> </v>
      </c>
      <c r="G249" t="str">
        <f>INDEX(Establishment!C$2:C$1005,MATCH($E249,Establishment!$A$2:$A$1005,0))</f>
        <v xml:space="preserve"> </v>
      </c>
      <c r="M249">
        <f t="shared" si="21"/>
        <v>0</v>
      </c>
      <c r="N249">
        <f t="shared" si="19"/>
        <v>0</v>
      </c>
      <c r="P249" t="e">
        <f>INDEX(Items!B$2:B$1032,MATCH($O249,Items!$A$2:$A$1032,0))</f>
        <v>#N/A</v>
      </c>
      <c r="Q249" t="e">
        <f>INDEX(Items!C$2:C$1032,MATCH($O249,Items!$A$2:$A$1032,0))</f>
        <v>#N/A</v>
      </c>
      <c r="R249" t="e">
        <f>INDEX(Items!D$2:D$1032,MATCH($O249,Items!$A$2:$A$1032,0))</f>
        <v>#N/A</v>
      </c>
    </row>
    <row r="250" spans="1:18" x14ac:dyDescent="0.25">
      <c r="A250">
        <f t="shared" si="17"/>
        <v>1</v>
      </c>
      <c r="B250" t="str">
        <f t="shared" si="18"/>
        <v/>
      </c>
      <c r="C250">
        <f t="shared" si="20"/>
        <v>1</v>
      </c>
      <c r="D250" s="4"/>
      <c r="E250" t="s">
        <v>18</v>
      </c>
      <c r="F250" t="str">
        <f>INDEX(Establishment!B$2:B$1005,MATCH($E250,Establishment!$A$2:$A$1005,0))</f>
        <v xml:space="preserve"> </v>
      </c>
      <c r="G250" t="str">
        <f>INDEX(Establishment!C$2:C$1005,MATCH($E250,Establishment!$A$2:$A$1005,0))</f>
        <v xml:space="preserve"> </v>
      </c>
      <c r="M250">
        <f t="shared" si="21"/>
        <v>0</v>
      </c>
      <c r="N250">
        <f t="shared" si="19"/>
        <v>0</v>
      </c>
      <c r="P250" t="e">
        <f>INDEX(Items!B$2:B$1032,MATCH($O250,Items!$A$2:$A$1032,0))</f>
        <v>#N/A</v>
      </c>
      <c r="Q250" t="e">
        <f>INDEX(Items!C$2:C$1032,MATCH($O250,Items!$A$2:$A$1032,0))</f>
        <v>#N/A</v>
      </c>
      <c r="R250" t="e">
        <f>INDEX(Items!D$2:D$1032,MATCH($O250,Items!$A$2:$A$1032,0))</f>
        <v>#N/A</v>
      </c>
    </row>
    <row r="251" spans="1:18" x14ac:dyDescent="0.25">
      <c r="A251">
        <f t="shared" si="17"/>
        <v>1</v>
      </c>
      <c r="B251" t="str">
        <f t="shared" si="18"/>
        <v/>
      </c>
      <c r="C251">
        <f t="shared" si="20"/>
        <v>1</v>
      </c>
      <c r="D251" s="4"/>
      <c r="E251" t="s">
        <v>18</v>
      </c>
      <c r="F251" t="str">
        <f>INDEX(Establishment!B$2:B$1005,MATCH($E251,Establishment!$A$2:$A$1005,0))</f>
        <v xml:space="preserve"> </v>
      </c>
      <c r="G251" t="str">
        <f>INDEX(Establishment!C$2:C$1005,MATCH($E251,Establishment!$A$2:$A$1005,0))</f>
        <v xml:space="preserve"> </v>
      </c>
      <c r="M251">
        <f t="shared" si="21"/>
        <v>0</v>
      </c>
      <c r="N251">
        <f t="shared" si="19"/>
        <v>0</v>
      </c>
      <c r="P251" t="e">
        <f>INDEX(Items!B$2:B$1032,MATCH($O251,Items!$A$2:$A$1032,0))</f>
        <v>#N/A</v>
      </c>
      <c r="Q251" t="e">
        <f>INDEX(Items!C$2:C$1032,MATCH($O251,Items!$A$2:$A$1032,0))</f>
        <v>#N/A</v>
      </c>
      <c r="R251" t="e">
        <f>INDEX(Items!D$2:D$1032,MATCH($O251,Items!$A$2:$A$1032,0))</f>
        <v>#N/A</v>
      </c>
    </row>
    <row r="252" spans="1:18" x14ac:dyDescent="0.25">
      <c r="A252">
        <f t="shared" si="17"/>
        <v>1</v>
      </c>
      <c r="B252" t="str">
        <f t="shared" si="18"/>
        <v/>
      </c>
      <c r="C252">
        <f t="shared" si="20"/>
        <v>1</v>
      </c>
      <c r="D252" s="4"/>
      <c r="E252" t="s">
        <v>18</v>
      </c>
      <c r="F252" t="str">
        <f>INDEX(Establishment!B$2:B$1005,MATCH($E252,Establishment!$A$2:$A$1005,0))</f>
        <v xml:space="preserve"> </v>
      </c>
      <c r="G252" t="str">
        <f>INDEX(Establishment!C$2:C$1005,MATCH($E252,Establishment!$A$2:$A$1005,0))</f>
        <v xml:space="preserve"> </v>
      </c>
      <c r="M252">
        <f t="shared" si="21"/>
        <v>0</v>
      </c>
      <c r="N252">
        <f t="shared" si="19"/>
        <v>0</v>
      </c>
      <c r="P252" t="e">
        <f>INDEX(Items!B$2:B$1032,MATCH($O252,Items!$A$2:$A$1032,0))</f>
        <v>#N/A</v>
      </c>
      <c r="Q252" t="e">
        <f>INDEX(Items!C$2:C$1032,MATCH($O252,Items!$A$2:$A$1032,0))</f>
        <v>#N/A</v>
      </c>
      <c r="R252" t="e">
        <f>INDEX(Items!D$2:D$1032,MATCH($O252,Items!$A$2:$A$1032,0))</f>
        <v>#N/A</v>
      </c>
    </row>
    <row r="253" spans="1:18" x14ac:dyDescent="0.25">
      <c r="A253">
        <f t="shared" si="17"/>
        <v>1</v>
      </c>
      <c r="B253" t="str">
        <f t="shared" si="18"/>
        <v/>
      </c>
      <c r="C253">
        <f t="shared" si="20"/>
        <v>1</v>
      </c>
      <c r="D253" s="4"/>
      <c r="E253" t="s">
        <v>18</v>
      </c>
      <c r="F253" t="str">
        <f>INDEX(Establishment!B$2:B$1005,MATCH($E253,Establishment!$A$2:$A$1005,0))</f>
        <v xml:space="preserve"> </v>
      </c>
      <c r="G253" t="str">
        <f>INDEX(Establishment!C$2:C$1005,MATCH($E253,Establishment!$A$2:$A$1005,0))</f>
        <v xml:space="preserve"> </v>
      </c>
      <c r="M253">
        <f t="shared" si="21"/>
        <v>0</v>
      </c>
      <c r="N253">
        <f t="shared" si="19"/>
        <v>0</v>
      </c>
      <c r="P253" t="e">
        <f>INDEX(Items!B$2:B$1032,MATCH($O253,Items!$A$2:$A$1032,0))</f>
        <v>#N/A</v>
      </c>
      <c r="Q253" t="e">
        <f>INDEX(Items!C$2:C$1032,MATCH($O253,Items!$A$2:$A$1032,0))</f>
        <v>#N/A</v>
      </c>
      <c r="R253" t="e">
        <f>INDEX(Items!D$2:D$1032,MATCH($O253,Items!$A$2:$A$1032,0))</f>
        <v>#N/A</v>
      </c>
    </row>
    <row r="254" spans="1:18" x14ac:dyDescent="0.25">
      <c r="A254">
        <f t="shared" si="17"/>
        <v>1</v>
      </c>
      <c r="B254" t="str">
        <f t="shared" si="18"/>
        <v/>
      </c>
      <c r="C254">
        <f t="shared" si="20"/>
        <v>1</v>
      </c>
      <c r="D254" s="4"/>
      <c r="E254" t="s">
        <v>18</v>
      </c>
      <c r="F254" t="str">
        <f>INDEX(Establishment!B$2:B$1005,MATCH($E254,Establishment!$A$2:$A$1005,0))</f>
        <v xml:space="preserve"> </v>
      </c>
      <c r="G254" t="str">
        <f>INDEX(Establishment!C$2:C$1005,MATCH($E254,Establishment!$A$2:$A$1005,0))</f>
        <v xml:space="preserve"> </v>
      </c>
      <c r="M254">
        <f t="shared" si="21"/>
        <v>0</v>
      </c>
      <c r="N254">
        <f t="shared" si="19"/>
        <v>0</v>
      </c>
      <c r="P254" t="e">
        <f>INDEX(Items!B$2:B$1032,MATCH($O254,Items!$A$2:$A$1032,0))</f>
        <v>#N/A</v>
      </c>
      <c r="Q254" t="e">
        <f>INDEX(Items!C$2:C$1032,MATCH($O254,Items!$A$2:$A$1032,0))</f>
        <v>#N/A</v>
      </c>
      <c r="R254" t="e">
        <f>INDEX(Items!D$2:D$1032,MATCH($O254,Items!$A$2:$A$1032,0))</f>
        <v>#N/A</v>
      </c>
    </row>
    <row r="255" spans="1:18" x14ac:dyDescent="0.25">
      <c r="A255">
        <f t="shared" si="17"/>
        <v>1</v>
      </c>
      <c r="B255" t="str">
        <f t="shared" si="18"/>
        <v/>
      </c>
      <c r="C255">
        <f t="shared" si="20"/>
        <v>1</v>
      </c>
      <c r="D255" s="4"/>
      <c r="E255" t="s">
        <v>18</v>
      </c>
      <c r="F255" t="str">
        <f>INDEX(Establishment!B$2:B$1005,MATCH($E255,Establishment!$A$2:$A$1005,0))</f>
        <v xml:space="preserve"> </v>
      </c>
      <c r="G255" t="str">
        <f>INDEX(Establishment!C$2:C$1005,MATCH($E255,Establishment!$A$2:$A$1005,0))</f>
        <v xml:space="preserve"> </v>
      </c>
      <c r="M255">
        <f t="shared" si="21"/>
        <v>0</v>
      </c>
      <c r="N255">
        <f t="shared" si="19"/>
        <v>0</v>
      </c>
      <c r="P255" t="e">
        <f>INDEX(Items!B$2:B$1032,MATCH($O255,Items!$A$2:$A$1032,0))</f>
        <v>#N/A</v>
      </c>
      <c r="Q255" t="e">
        <f>INDEX(Items!C$2:C$1032,MATCH($O255,Items!$A$2:$A$1032,0))</f>
        <v>#N/A</v>
      </c>
      <c r="R255" t="e">
        <f>INDEX(Items!D$2:D$1032,MATCH($O255,Items!$A$2:$A$1032,0))</f>
        <v>#N/A</v>
      </c>
    </row>
    <row r="256" spans="1:18" x14ac:dyDescent="0.25">
      <c r="A256">
        <f t="shared" si="17"/>
        <v>1</v>
      </c>
      <c r="B256" t="str">
        <f t="shared" si="18"/>
        <v/>
      </c>
      <c r="C256">
        <f t="shared" si="20"/>
        <v>1</v>
      </c>
      <c r="D256" s="4"/>
      <c r="E256" t="s">
        <v>18</v>
      </c>
      <c r="F256" t="str">
        <f>INDEX(Establishment!B$2:B$1005,MATCH($E256,Establishment!$A$2:$A$1005,0))</f>
        <v xml:space="preserve"> </v>
      </c>
      <c r="G256" t="str">
        <f>INDEX(Establishment!C$2:C$1005,MATCH($E256,Establishment!$A$2:$A$1005,0))</f>
        <v xml:space="preserve"> </v>
      </c>
      <c r="M256">
        <f t="shared" si="21"/>
        <v>0</v>
      </c>
      <c r="N256">
        <f t="shared" si="19"/>
        <v>0</v>
      </c>
      <c r="P256" t="e">
        <f>INDEX(Items!B$2:B$1032,MATCH($O256,Items!$A$2:$A$1032,0))</f>
        <v>#N/A</v>
      </c>
      <c r="Q256" t="e">
        <f>INDEX(Items!C$2:C$1032,MATCH($O256,Items!$A$2:$A$1032,0))</f>
        <v>#N/A</v>
      </c>
      <c r="R256" t="e">
        <f>INDEX(Items!D$2:D$1032,MATCH($O256,Items!$A$2:$A$1032,0))</f>
        <v>#N/A</v>
      </c>
    </row>
    <row r="257" spans="1:18" x14ac:dyDescent="0.25">
      <c r="A257">
        <f t="shared" si="17"/>
        <v>1</v>
      </c>
      <c r="B257" t="str">
        <f t="shared" si="18"/>
        <v/>
      </c>
      <c r="C257">
        <f t="shared" si="20"/>
        <v>1</v>
      </c>
      <c r="D257" s="4"/>
      <c r="E257" t="s">
        <v>18</v>
      </c>
      <c r="F257" t="str">
        <f>INDEX(Establishment!B$2:B$1005,MATCH($E257,Establishment!$A$2:$A$1005,0))</f>
        <v xml:space="preserve"> </v>
      </c>
      <c r="G257" t="str">
        <f>INDEX(Establishment!C$2:C$1005,MATCH($E257,Establishment!$A$2:$A$1005,0))</f>
        <v xml:space="preserve"> </v>
      </c>
      <c r="M257">
        <f t="shared" si="21"/>
        <v>0</v>
      </c>
      <c r="N257">
        <f t="shared" si="19"/>
        <v>0</v>
      </c>
      <c r="P257" t="e">
        <f>INDEX(Items!B$2:B$1032,MATCH($O257,Items!$A$2:$A$1032,0))</f>
        <v>#N/A</v>
      </c>
      <c r="Q257" t="e">
        <f>INDEX(Items!C$2:C$1032,MATCH($O257,Items!$A$2:$A$1032,0))</f>
        <v>#N/A</v>
      </c>
      <c r="R257" t="e">
        <f>INDEX(Items!D$2:D$1032,MATCH($O257,Items!$A$2:$A$1032,0))</f>
        <v>#N/A</v>
      </c>
    </row>
    <row r="258" spans="1:18" x14ac:dyDescent="0.25">
      <c r="A258">
        <f t="shared" ref="A258:A321" si="22">IF(OR(D258&lt;&gt;D257,D258=""),1,IF(NOT(AND(E258=E257,F258=F257,G258=G257)),A257+1,IF(OR(H258="",AND(H258&lt;&gt;"",H258&lt;&gt;H257,H257&lt;&gt;"")),A257,A257+1)))</f>
        <v>1</v>
      </c>
      <c r="B258" t="str">
        <f t="shared" ref="B258:B321" si="23">IF(D258&lt;&gt;"",TEXT(D258,"YYYYMMDD")&amp;CHAR(64+A258),"")</f>
        <v/>
      </c>
      <c r="C258">
        <f t="shared" si="20"/>
        <v>1</v>
      </c>
      <c r="D258" s="4"/>
      <c r="E258" t="s">
        <v>18</v>
      </c>
      <c r="F258" t="str">
        <f>INDEX(Establishment!B$2:B$1005,MATCH($E258,Establishment!$A$2:$A$1005,0))</f>
        <v xml:space="preserve"> </v>
      </c>
      <c r="G258" t="str">
        <f>INDEX(Establishment!C$2:C$1005,MATCH($E258,Establishment!$A$2:$A$1005,0))</f>
        <v xml:space="preserve"> </v>
      </c>
      <c r="M258">
        <f t="shared" si="21"/>
        <v>0</v>
      </c>
      <c r="N258">
        <f t="shared" si="19"/>
        <v>0</v>
      </c>
      <c r="P258" t="e">
        <f>INDEX(Items!B$2:B$1032,MATCH($O258,Items!$A$2:$A$1032,0))</f>
        <v>#N/A</v>
      </c>
      <c r="Q258" t="e">
        <f>INDEX(Items!C$2:C$1032,MATCH($O258,Items!$A$2:$A$1032,0))</f>
        <v>#N/A</v>
      </c>
      <c r="R258" t="e">
        <f>INDEX(Items!D$2:D$1032,MATCH($O258,Items!$A$2:$A$1032,0))</f>
        <v>#N/A</v>
      </c>
    </row>
    <row r="259" spans="1:18" x14ac:dyDescent="0.25">
      <c r="A259">
        <f t="shared" si="22"/>
        <v>1</v>
      </c>
      <c r="B259" t="str">
        <f t="shared" si="23"/>
        <v/>
      </c>
      <c r="C259">
        <f t="shared" si="20"/>
        <v>1</v>
      </c>
      <c r="D259" s="4"/>
      <c r="E259" t="s">
        <v>18</v>
      </c>
      <c r="F259" t="str">
        <f>INDEX(Establishment!B$2:B$1005,MATCH($E259,Establishment!$A$2:$A$1005,0))</f>
        <v xml:space="preserve"> </v>
      </c>
      <c r="G259" t="str">
        <f>INDEX(Establishment!C$2:C$1005,MATCH($E259,Establishment!$A$2:$A$1005,0))</f>
        <v xml:space="preserve"> </v>
      </c>
      <c r="M259">
        <f t="shared" si="21"/>
        <v>0</v>
      </c>
      <c r="N259">
        <f t="shared" ref="N259:N322" si="24">IF(B259=B258,N258+M259,M259)</f>
        <v>0</v>
      </c>
      <c r="P259" t="e">
        <f>INDEX(Items!B$2:B$1032,MATCH($O259,Items!$A$2:$A$1032,0))</f>
        <v>#N/A</v>
      </c>
      <c r="Q259" t="e">
        <f>INDEX(Items!C$2:C$1032,MATCH($O259,Items!$A$2:$A$1032,0))</f>
        <v>#N/A</v>
      </c>
      <c r="R259" t="e">
        <f>INDEX(Items!D$2:D$1032,MATCH($O259,Items!$A$2:$A$1032,0))</f>
        <v>#N/A</v>
      </c>
    </row>
    <row r="260" spans="1:18" x14ac:dyDescent="0.25">
      <c r="A260">
        <f t="shared" si="22"/>
        <v>1</v>
      </c>
      <c r="B260" t="str">
        <f t="shared" si="23"/>
        <v/>
      </c>
      <c r="C260">
        <f t="shared" si="20"/>
        <v>1</v>
      </c>
      <c r="D260" s="4"/>
      <c r="E260" t="s">
        <v>18</v>
      </c>
      <c r="F260" t="str">
        <f>INDEX(Establishment!B$2:B$1005,MATCH($E260,Establishment!$A$2:$A$1005,0))</f>
        <v xml:space="preserve"> </v>
      </c>
      <c r="G260" t="str">
        <f>INDEX(Establishment!C$2:C$1005,MATCH($E260,Establishment!$A$2:$A$1005,0))</f>
        <v xml:space="preserve"> </v>
      </c>
      <c r="M260">
        <f t="shared" si="21"/>
        <v>0</v>
      </c>
      <c r="N260">
        <f t="shared" si="24"/>
        <v>0</v>
      </c>
      <c r="P260" t="e">
        <f>INDEX(Items!B$2:B$1032,MATCH($O260,Items!$A$2:$A$1032,0))</f>
        <v>#N/A</v>
      </c>
      <c r="Q260" t="e">
        <f>INDEX(Items!C$2:C$1032,MATCH($O260,Items!$A$2:$A$1032,0))</f>
        <v>#N/A</v>
      </c>
      <c r="R260" t="e">
        <f>INDEX(Items!D$2:D$1032,MATCH($O260,Items!$A$2:$A$1032,0))</f>
        <v>#N/A</v>
      </c>
    </row>
    <row r="261" spans="1:18" x14ac:dyDescent="0.25">
      <c r="A261">
        <f t="shared" si="22"/>
        <v>1</v>
      </c>
      <c r="B261" t="str">
        <f t="shared" si="23"/>
        <v/>
      </c>
      <c r="C261">
        <f t="shared" si="20"/>
        <v>1</v>
      </c>
      <c r="D261" s="4"/>
      <c r="E261" t="s">
        <v>18</v>
      </c>
      <c r="F261" t="str">
        <f>INDEX(Establishment!B$2:B$1005,MATCH($E261,Establishment!$A$2:$A$1005,0))</f>
        <v xml:space="preserve"> </v>
      </c>
      <c r="G261" t="str">
        <f>INDEX(Establishment!C$2:C$1005,MATCH($E261,Establishment!$A$2:$A$1005,0))</f>
        <v xml:space="preserve"> </v>
      </c>
      <c r="M261">
        <f t="shared" si="21"/>
        <v>0</v>
      </c>
      <c r="N261">
        <f t="shared" si="24"/>
        <v>0</v>
      </c>
      <c r="P261" t="e">
        <f>INDEX(Items!B$2:B$1032,MATCH($O261,Items!$A$2:$A$1032,0))</f>
        <v>#N/A</v>
      </c>
      <c r="Q261" t="e">
        <f>INDEX(Items!C$2:C$1032,MATCH($O261,Items!$A$2:$A$1032,0))</f>
        <v>#N/A</v>
      </c>
      <c r="R261" t="e">
        <f>INDEX(Items!D$2:D$1032,MATCH($O261,Items!$A$2:$A$1032,0))</f>
        <v>#N/A</v>
      </c>
    </row>
    <row r="262" spans="1:18" x14ac:dyDescent="0.25">
      <c r="A262">
        <f t="shared" si="22"/>
        <v>1</v>
      </c>
      <c r="B262" t="str">
        <f t="shared" si="23"/>
        <v/>
      </c>
      <c r="C262">
        <f t="shared" si="20"/>
        <v>1</v>
      </c>
      <c r="D262" s="4"/>
      <c r="E262" t="s">
        <v>18</v>
      </c>
      <c r="F262" t="str">
        <f>INDEX(Establishment!B$2:B$1005,MATCH($E262,Establishment!$A$2:$A$1005,0))</f>
        <v xml:space="preserve"> </v>
      </c>
      <c r="G262" t="str">
        <f>INDEX(Establishment!C$2:C$1005,MATCH($E262,Establishment!$A$2:$A$1005,0))</f>
        <v xml:space="preserve"> </v>
      </c>
      <c r="M262">
        <f t="shared" si="21"/>
        <v>0</v>
      </c>
      <c r="N262">
        <f t="shared" si="24"/>
        <v>0</v>
      </c>
      <c r="P262" t="e">
        <f>INDEX(Items!B$2:B$1032,MATCH($O262,Items!$A$2:$A$1032,0))</f>
        <v>#N/A</v>
      </c>
      <c r="Q262" t="e">
        <f>INDEX(Items!C$2:C$1032,MATCH($O262,Items!$A$2:$A$1032,0))</f>
        <v>#N/A</v>
      </c>
      <c r="R262" t="e">
        <f>INDEX(Items!D$2:D$1032,MATCH($O262,Items!$A$2:$A$1032,0))</f>
        <v>#N/A</v>
      </c>
    </row>
    <row r="263" spans="1:18" x14ac:dyDescent="0.25">
      <c r="A263">
        <f t="shared" si="22"/>
        <v>1</v>
      </c>
      <c r="B263" t="str">
        <f t="shared" si="23"/>
        <v/>
      </c>
      <c r="C263">
        <f t="shared" si="20"/>
        <v>1</v>
      </c>
      <c r="D263" s="4"/>
      <c r="E263" t="s">
        <v>18</v>
      </c>
      <c r="F263" t="str">
        <f>INDEX(Establishment!B$2:B$1005,MATCH($E263,Establishment!$A$2:$A$1005,0))</f>
        <v xml:space="preserve"> </v>
      </c>
      <c r="G263" t="str">
        <f>INDEX(Establishment!C$2:C$1005,MATCH($E263,Establishment!$A$2:$A$1005,0))</f>
        <v xml:space="preserve"> </v>
      </c>
      <c r="M263">
        <f t="shared" si="21"/>
        <v>0</v>
      </c>
      <c r="N263">
        <f t="shared" si="24"/>
        <v>0</v>
      </c>
      <c r="P263" t="e">
        <f>INDEX(Items!B$2:B$1032,MATCH($O263,Items!$A$2:$A$1032,0))</f>
        <v>#N/A</v>
      </c>
      <c r="Q263" t="e">
        <f>INDEX(Items!C$2:C$1032,MATCH($O263,Items!$A$2:$A$1032,0))</f>
        <v>#N/A</v>
      </c>
      <c r="R263" t="e">
        <f>INDEX(Items!D$2:D$1032,MATCH($O263,Items!$A$2:$A$1032,0))</f>
        <v>#N/A</v>
      </c>
    </row>
    <row r="264" spans="1:18" x14ac:dyDescent="0.25">
      <c r="A264">
        <f t="shared" si="22"/>
        <v>1</v>
      </c>
      <c r="B264" t="str">
        <f t="shared" si="23"/>
        <v/>
      </c>
      <c r="C264">
        <f t="shared" si="20"/>
        <v>1</v>
      </c>
      <c r="D264" s="4"/>
      <c r="E264" t="s">
        <v>18</v>
      </c>
      <c r="F264" t="str">
        <f>INDEX(Establishment!B$2:B$1005,MATCH($E264,Establishment!$A$2:$A$1005,0))</f>
        <v xml:space="preserve"> </v>
      </c>
      <c r="G264" t="str">
        <f>INDEX(Establishment!C$2:C$1005,MATCH($E264,Establishment!$A$2:$A$1005,0))</f>
        <v xml:space="preserve"> </v>
      </c>
      <c r="M264">
        <f t="shared" si="21"/>
        <v>0</v>
      </c>
      <c r="N264">
        <f t="shared" si="24"/>
        <v>0</v>
      </c>
      <c r="P264" t="e">
        <f>INDEX(Items!B$2:B$1032,MATCH($O264,Items!$A$2:$A$1032,0))</f>
        <v>#N/A</v>
      </c>
      <c r="Q264" t="e">
        <f>INDEX(Items!C$2:C$1032,MATCH($O264,Items!$A$2:$A$1032,0))</f>
        <v>#N/A</v>
      </c>
      <c r="R264" t="e">
        <f>INDEX(Items!D$2:D$1032,MATCH($O264,Items!$A$2:$A$1032,0))</f>
        <v>#N/A</v>
      </c>
    </row>
    <row r="265" spans="1:18" x14ac:dyDescent="0.25">
      <c r="A265">
        <f t="shared" si="22"/>
        <v>1</v>
      </c>
      <c r="B265" t="str">
        <f t="shared" si="23"/>
        <v/>
      </c>
      <c r="C265">
        <f t="shared" si="20"/>
        <v>1</v>
      </c>
      <c r="D265" s="4"/>
      <c r="E265" t="s">
        <v>18</v>
      </c>
      <c r="F265" t="str">
        <f>INDEX(Establishment!B$2:B$1005,MATCH($E265,Establishment!$A$2:$A$1005,0))</f>
        <v xml:space="preserve"> </v>
      </c>
      <c r="G265" t="str">
        <f>INDEX(Establishment!C$2:C$1005,MATCH($E265,Establishment!$A$2:$A$1005,0))</f>
        <v xml:space="preserve"> </v>
      </c>
      <c r="M265">
        <f t="shared" si="21"/>
        <v>0</v>
      </c>
      <c r="N265">
        <f t="shared" si="24"/>
        <v>0</v>
      </c>
      <c r="P265" t="e">
        <f>INDEX(Items!B$2:B$1032,MATCH($O265,Items!$A$2:$A$1032,0))</f>
        <v>#N/A</v>
      </c>
      <c r="Q265" t="e">
        <f>INDEX(Items!C$2:C$1032,MATCH($O265,Items!$A$2:$A$1032,0))</f>
        <v>#N/A</v>
      </c>
      <c r="R265" t="e">
        <f>INDEX(Items!D$2:D$1032,MATCH($O265,Items!$A$2:$A$1032,0))</f>
        <v>#N/A</v>
      </c>
    </row>
    <row r="266" spans="1:18" x14ac:dyDescent="0.25">
      <c r="A266">
        <f t="shared" si="22"/>
        <v>1</v>
      </c>
      <c r="B266" t="str">
        <f t="shared" si="23"/>
        <v/>
      </c>
      <c r="C266">
        <f t="shared" ref="C266:C329" si="25">IF(OR(B266="",B266&lt;&gt;B265),1,C265+1)</f>
        <v>1</v>
      </c>
      <c r="D266" s="4"/>
      <c r="E266" t="s">
        <v>18</v>
      </c>
      <c r="F266" t="str">
        <f>INDEX(Establishment!B$2:B$1005,MATCH($E266,Establishment!$A$2:$A$1005,0))</f>
        <v xml:space="preserve"> </v>
      </c>
      <c r="G266" t="str">
        <f>INDEX(Establishment!C$2:C$1005,MATCH($E266,Establishment!$A$2:$A$1005,0))</f>
        <v xml:space="preserve"> </v>
      </c>
      <c r="M266">
        <f t="shared" ref="M266:M329" si="26">K266*L266</f>
        <v>0</v>
      </c>
      <c r="N266">
        <f t="shared" si="24"/>
        <v>0</v>
      </c>
      <c r="P266" t="e">
        <f>INDEX(Items!B$2:B$1032,MATCH($O266,Items!$A$2:$A$1032,0))</f>
        <v>#N/A</v>
      </c>
      <c r="Q266" t="e">
        <f>INDEX(Items!C$2:C$1032,MATCH($O266,Items!$A$2:$A$1032,0))</f>
        <v>#N/A</v>
      </c>
      <c r="R266" t="e">
        <f>INDEX(Items!D$2:D$1032,MATCH($O266,Items!$A$2:$A$1032,0))</f>
        <v>#N/A</v>
      </c>
    </row>
    <row r="267" spans="1:18" x14ac:dyDescent="0.25">
      <c r="A267">
        <f t="shared" si="22"/>
        <v>1</v>
      </c>
      <c r="B267" t="str">
        <f t="shared" si="23"/>
        <v/>
      </c>
      <c r="C267">
        <f t="shared" si="25"/>
        <v>1</v>
      </c>
      <c r="D267" s="4"/>
      <c r="E267" t="s">
        <v>18</v>
      </c>
      <c r="F267" t="str">
        <f>INDEX(Establishment!B$2:B$1005,MATCH($E267,Establishment!$A$2:$A$1005,0))</f>
        <v xml:space="preserve"> </v>
      </c>
      <c r="G267" t="str">
        <f>INDEX(Establishment!C$2:C$1005,MATCH($E267,Establishment!$A$2:$A$1005,0))</f>
        <v xml:space="preserve"> </v>
      </c>
      <c r="M267">
        <f t="shared" si="26"/>
        <v>0</v>
      </c>
      <c r="N267">
        <f t="shared" si="24"/>
        <v>0</v>
      </c>
      <c r="P267" t="e">
        <f>INDEX(Items!B$2:B$1032,MATCH($O267,Items!$A$2:$A$1032,0))</f>
        <v>#N/A</v>
      </c>
      <c r="Q267" t="e">
        <f>INDEX(Items!C$2:C$1032,MATCH($O267,Items!$A$2:$A$1032,0))</f>
        <v>#N/A</v>
      </c>
      <c r="R267" t="e">
        <f>INDEX(Items!D$2:D$1032,MATCH($O267,Items!$A$2:$A$1032,0))</f>
        <v>#N/A</v>
      </c>
    </row>
    <row r="268" spans="1:18" x14ac:dyDescent="0.25">
      <c r="A268">
        <f t="shared" si="22"/>
        <v>1</v>
      </c>
      <c r="B268" t="str">
        <f t="shared" si="23"/>
        <v/>
      </c>
      <c r="C268">
        <f t="shared" si="25"/>
        <v>1</v>
      </c>
      <c r="D268" s="4"/>
      <c r="E268" t="s">
        <v>18</v>
      </c>
      <c r="F268" t="str">
        <f>INDEX(Establishment!B$2:B$1005,MATCH($E268,Establishment!$A$2:$A$1005,0))</f>
        <v xml:space="preserve"> </v>
      </c>
      <c r="G268" t="str">
        <f>INDEX(Establishment!C$2:C$1005,MATCH($E268,Establishment!$A$2:$A$1005,0))</f>
        <v xml:space="preserve"> </v>
      </c>
      <c r="M268">
        <f t="shared" si="26"/>
        <v>0</v>
      </c>
      <c r="N268">
        <f t="shared" si="24"/>
        <v>0</v>
      </c>
      <c r="P268" t="e">
        <f>INDEX(Items!B$2:B$1032,MATCH($O268,Items!$A$2:$A$1032,0))</f>
        <v>#N/A</v>
      </c>
      <c r="Q268" t="e">
        <f>INDEX(Items!C$2:C$1032,MATCH($O268,Items!$A$2:$A$1032,0))</f>
        <v>#N/A</v>
      </c>
      <c r="R268" t="e">
        <f>INDEX(Items!D$2:D$1032,MATCH($O268,Items!$A$2:$A$1032,0))</f>
        <v>#N/A</v>
      </c>
    </row>
    <row r="269" spans="1:18" x14ac:dyDescent="0.25">
      <c r="A269">
        <f t="shared" si="22"/>
        <v>1</v>
      </c>
      <c r="B269" t="str">
        <f t="shared" si="23"/>
        <v/>
      </c>
      <c r="C269">
        <f t="shared" si="25"/>
        <v>1</v>
      </c>
      <c r="D269" s="4"/>
      <c r="E269" t="s">
        <v>18</v>
      </c>
      <c r="F269" t="str">
        <f>INDEX(Establishment!B$2:B$1005,MATCH($E269,Establishment!$A$2:$A$1005,0))</f>
        <v xml:space="preserve"> </v>
      </c>
      <c r="G269" t="str">
        <f>INDEX(Establishment!C$2:C$1005,MATCH($E269,Establishment!$A$2:$A$1005,0))</f>
        <v xml:space="preserve"> </v>
      </c>
      <c r="M269">
        <f t="shared" si="26"/>
        <v>0</v>
      </c>
      <c r="N269">
        <f t="shared" si="24"/>
        <v>0</v>
      </c>
      <c r="P269" t="e">
        <f>INDEX(Items!B$2:B$1032,MATCH($O269,Items!$A$2:$A$1032,0))</f>
        <v>#N/A</v>
      </c>
      <c r="Q269" t="e">
        <f>INDEX(Items!C$2:C$1032,MATCH($O269,Items!$A$2:$A$1032,0))</f>
        <v>#N/A</v>
      </c>
      <c r="R269" t="e">
        <f>INDEX(Items!D$2:D$1032,MATCH($O269,Items!$A$2:$A$1032,0))</f>
        <v>#N/A</v>
      </c>
    </row>
    <row r="270" spans="1:18" x14ac:dyDescent="0.25">
      <c r="A270">
        <f t="shared" si="22"/>
        <v>1</v>
      </c>
      <c r="B270" t="str">
        <f t="shared" si="23"/>
        <v/>
      </c>
      <c r="C270">
        <f t="shared" si="25"/>
        <v>1</v>
      </c>
      <c r="D270" s="4"/>
      <c r="E270" t="s">
        <v>18</v>
      </c>
      <c r="F270" t="str">
        <f>INDEX(Establishment!B$2:B$1005,MATCH($E270,Establishment!$A$2:$A$1005,0))</f>
        <v xml:space="preserve"> </v>
      </c>
      <c r="G270" t="str">
        <f>INDEX(Establishment!C$2:C$1005,MATCH($E270,Establishment!$A$2:$A$1005,0))</f>
        <v xml:space="preserve"> </v>
      </c>
      <c r="M270">
        <f t="shared" si="26"/>
        <v>0</v>
      </c>
      <c r="N270">
        <f t="shared" si="24"/>
        <v>0</v>
      </c>
      <c r="P270" t="e">
        <f>INDEX(Items!B$2:B$1032,MATCH($O270,Items!$A$2:$A$1032,0))</f>
        <v>#N/A</v>
      </c>
      <c r="Q270" t="e">
        <f>INDEX(Items!C$2:C$1032,MATCH($O270,Items!$A$2:$A$1032,0))</f>
        <v>#N/A</v>
      </c>
      <c r="R270" t="e">
        <f>INDEX(Items!D$2:D$1032,MATCH($O270,Items!$A$2:$A$1032,0))</f>
        <v>#N/A</v>
      </c>
    </row>
    <row r="271" spans="1:18" x14ac:dyDescent="0.25">
      <c r="A271">
        <f t="shared" si="22"/>
        <v>1</v>
      </c>
      <c r="B271" t="str">
        <f t="shared" si="23"/>
        <v/>
      </c>
      <c r="C271">
        <f t="shared" si="25"/>
        <v>1</v>
      </c>
      <c r="D271" s="4"/>
      <c r="E271" t="s">
        <v>18</v>
      </c>
      <c r="F271" t="str">
        <f>INDEX(Establishment!B$2:B$1005,MATCH($E271,Establishment!$A$2:$A$1005,0))</f>
        <v xml:space="preserve"> </v>
      </c>
      <c r="G271" t="str">
        <f>INDEX(Establishment!C$2:C$1005,MATCH($E271,Establishment!$A$2:$A$1005,0))</f>
        <v xml:space="preserve"> </v>
      </c>
      <c r="M271">
        <f t="shared" si="26"/>
        <v>0</v>
      </c>
      <c r="N271">
        <f t="shared" si="24"/>
        <v>0</v>
      </c>
      <c r="P271" t="e">
        <f>INDEX(Items!B$2:B$1032,MATCH($O271,Items!$A$2:$A$1032,0))</f>
        <v>#N/A</v>
      </c>
      <c r="Q271" t="e">
        <f>INDEX(Items!C$2:C$1032,MATCH($O271,Items!$A$2:$A$1032,0))</f>
        <v>#N/A</v>
      </c>
      <c r="R271" t="e">
        <f>INDEX(Items!D$2:D$1032,MATCH($O271,Items!$A$2:$A$1032,0))</f>
        <v>#N/A</v>
      </c>
    </row>
    <row r="272" spans="1:18" x14ac:dyDescent="0.25">
      <c r="A272">
        <f t="shared" si="22"/>
        <v>1</v>
      </c>
      <c r="B272" t="str">
        <f t="shared" si="23"/>
        <v/>
      </c>
      <c r="C272">
        <f t="shared" si="25"/>
        <v>1</v>
      </c>
      <c r="D272" s="4"/>
      <c r="E272" t="s">
        <v>18</v>
      </c>
      <c r="F272" t="str">
        <f>INDEX(Establishment!B$2:B$1005,MATCH($E272,Establishment!$A$2:$A$1005,0))</f>
        <v xml:space="preserve"> </v>
      </c>
      <c r="G272" t="str">
        <f>INDEX(Establishment!C$2:C$1005,MATCH($E272,Establishment!$A$2:$A$1005,0))</f>
        <v xml:space="preserve"> </v>
      </c>
      <c r="M272">
        <f t="shared" si="26"/>
        <v>0</v>
      </c>
      <c r="N272">
        <f t="shared" si="24"/>
        <v>0</v>
      </c>
      <c r="P272" t="e">
        <f>INDEX(Items!B$2:B$1032,MATCH($O272,Items!$A$2:$A$1032,0))</f>
        <v>#N/A</v>
      </c>
      <c r="Q272" t="e">
        <f>INDEX(Items!C$2:C$1032,MATCH($O272,Items!$A$2:$A$1032,0))</f>
        <v>#N/A</v>
      </c>
      <c r="R272" t="e">
        <f>INDEX(Items!D$2:D$1032,MATCH($O272,Items!$A$2:$A$1032,0))</f>
        <v>#N/A</v>
      </c>
    </row>
    <row r="273" spans="1:18" x14ac:dyDescent="0.25">
      <c r="A273">
        <f t="shared" si="22"/>
        <v>1</v>
      </c>
      <c r="B273" t="str">
        <f t="shared" si="23"/>
        <v/>
      </c>
      <c r="C273">
        <f t="shared" si="25"/>
        <v>1</v>
      </c>
      <c r="D273" s="4"/>
      <c r="E273" t="s">
        <v>18</v>
      </c>
      <c r="F273" t="str">
        <f>INDEX(Establishment!B$2:B$1005,MATCH($E273,Establishment!$A$2:$A$1005,0))</f>
        <v xml:space="preserve"> </v>
      </c>
      <c r="G273" t="str">
        <f>INDEX(Establishment!C$2:C$1005,MATCH($E273,Establishment!$A$2:$A$1005,0))</f>
        <v xml:space="preserve"> </v>
      </c>
      <c r="M273">
        <f t="shared" si="26"/>
        <v>0</v>
      </c>
      <c r="N273">
        <f t="shared" si="24"/>
        <v>0</v>
      </c>
      <c r="P273" t="e">
        <f>INDEX(Items!B$2:B$1032,MATCH($O273,Items!$A$2:$A$1032,0))</f>
        <v>#N/A</v>
      </c>
      <c r="Q273" t="e">
        <f>INDEX(Items!C$2:C$1032,MATCH($O273,Items!$A$2:$A$1032,0))</f>
        <v>#N/A</v>
      </c>
      <c r="R273" t="e">
        <f>INDEX(Items!D$2:D$1032,MATCH($O273,Items!$A$2:$A$1032,0))</f>
        <v>#N/A</v>
      </c>
    </row>
    <row r="274" spans="1:18" x14ac:dyDescent="0.25">
      <c r="A274">
        <f t="shared" si="22"/>
        <v>1</v>
      </c>
      <c r="B274" t="str">
        <f t="shared" si="23"/>
        <v/>
      </c>
      <c r="C274">
        <f t="shared" si="25"/>
        <v>1</v>
      </c>
      <c r="D274" s="4"/>
      <c r="E274" t="s">
        <v>18</v>
      </c>
      <c r="F274" t="str">
        <f>INDEX(Establishment!B$2:B$1005,MATCH($E274,Establishment!$A$2:$A$1005,0))</f>
        <v xml:space="preserve"> </v>
      </c>
      <c r="G274" t="str">
        <f>INDEX(Establishment!C$2:C$1005,MATCH($E274,Establishment!$A$2:$A$1005,0))</f>
        <v xml:space="preserve"> </v>
      </c>
      <c r="M274">
        <f t="shared" si="26"/>
        <v>0</v>
      </c>
      <c r="N274">
        <f t="shared" si="24"/>
        <v>0</v>
      </c>
      <c r="P274" t="e">
        <f>INDEX(Items!B$2:B$1032,MATCH($O274,Items!$A$2:$A$1032,0))</f>
        <v>#N/A</v>
      </c>
      <c r="Q274" t="e">
        <f>INDEX(Items!C$2:C$1032,MATCH($O274,Items!$A$2:$A$1032,0))</f>
        <v>#N/A</v>
      </c>
      <c r="R274" t="e">
        <f>INDEX(Items!D$2:D$1032,MATCH($O274,Items!$A$2:$A$1032,0))</f>
        <v>#N/A</v>
      </c>
    </row>
    <row r="275" spans="1:18" x14ac:dyDescent="0.25">
      <c r="A275">
        <f t="shared" si="22"/>
        <v>1</v>
      </c>
      <c r="B275" t="str">
        <f t="shared" si="23"/>
        <v/>
      </c>
      <c r="C275">
        <f t="shared" si="25"/>
        <v>1</v>
      </c>
      <c r="D275" s="4"/>
      <c r="E275" t="s">
        <v>18</v>
      </c>
      <c r="F275" t="str">
        <f>INDEX(Establishment!B$2:B$1005,MATCH($E275,Establishment!$A$2:$A$1005,0))</f>
        <v xml:space="preserve"> </v>
      </c>
      <c r="G275" t="str">
        <f>INDEX(Establishment!C$2:C$1005,MATCH($E275,Establishment!$A$2:$A$1005,0))</f>
        <v xml:space="preserve"> </v>
      </c>
      <c r="M275">
        <f t="shared" si="26"/>
        <v>0</v>
      </c>
      <c r="N275">
        <f t="shared" si="24"/>
        <v>0</v>
      </c>
      <c r="P275" t="e">
        <f>INDEX(Items!B$2:B$1032,MATCH($O275,Items!$A$2:$A$1032,0))</f>
        <v>#N/A</v>
      </c>
      <c r="Q275" t="e">
        <f>INDEX(Items!C$2:C$1032,MATCH($O275,Items!$A$2:$A$1032,0))</f>
        <v>#N/A</v>
      </c>
      <c r="R275" t="e">
        <f>INDEX(Items!D$2:D$1032,MATCH($O275,Items!$A$2:$A$1032,0))</f>
        <v>#N/A</v>
      </c>
    </row>
    <row r="276" spans="1:18" x14ac:dyDescent="0.25">
      <c r="A276">
        <f t="shared" si="22"/>
        <v>1</v>
      </c>
      <c r="B276" t="str">
        <f t="shared" si="23"/>
        <v/>
      </c>
      <c r="C276">
        <f t="shared" si="25"/>
        <v>1</v>
      </c>
      <c r="D276" s="4"/>
      <c r="E276" t="s">
        <v>18</v>
      </c>
      <c r="F276" t="str">
        <f>INDEX(Establishment!B$2:B$1005,MATCH($E276,Establishment!$A$2:$A$1005,0))</f>
        <v xml:space="preserve"> </v>
      </c>
      <c r="G276" t="str">
        <f>INDEX(Establishment!C$2:C$1005,MATCH($E276,Establishment!$A$2:$A$1005,0))</f>
        <v xml:space="preserve"> </v>
      </c>
      <c r="M276">
        <f t="shared" si="26"/>
        <v>0</v>
      </c>
      <c r="N276">
        <f t="shared" si="24"/>
        <v>0</v>
      </c>
      <c r="P276" t="e">
        <f>INDEX(Items!B$2:B$1032,MATCH($O276,Items!$A$2:$A$1032,0))</f>
        <v>#N/A</v>
      </c>
      <c r="Q276" t="e">
        <f>INDEX(Items!C$2:C$1032,MATCH($O276,Items!$A$2:$A$1032,0))</f>
        <v>#N/A</v>
      </c>
      <c r="R276" t="e">
        <f>INDEX(Items!D$2:D$1032,MATCH($O276,Items!$A$2:$A$1032,0))</f>
        <v>#N/A</v>
      </c>
    </row>
    <row r="277" spans="1:18" x14ac:dyDescent="0.25">
      <c r="A277">
        <f t="shared" si="22"/>
        <v>1</v>
      </c>
      <c r="B277" t="str">
        <f t="shared" si="23"/>
        <v/>
      </c>
      <c r="C277">
        <f t="shared" si="25"/>
        <v>1</v>
      </c>
      <c r="D277" s="4"/>
      <c r="E277" t="s">
        <v>18</v>
      </c>
      <c r="F277" t="str">
        <f>INDEX(Establishment!B$2:B$1005,MATCH($E277,Establishment!$A$2:$A$1005,0))</f>
        <v xml:space="preserve"> </v>
      </c>
      <c r="G277" t="str">
        <f>INDEX(Establishment!C$2:C$1005,MATCH($E277,Establishment!$A$2:$A$1005,0))</f>
        <v xml:space="preserve"> </v>
      </c>
      <c r="M277">
        <f t="shared" si="26"/>
        <v>0</v>
      </c>
      <c r="N277">
        <f t="shared" si="24"/>
        <v>0</v>
      </c>
      <c r="P277" t="e">
        <f>INDEX(Items!B$2:B$1032,MATCH($O277,Items!$A$2:$A$1032,0))</f>
        <v>#N/A</v>
      </c>
      <c r="Q277" t="e">
        <f>INDEX(Items!C$2:C$1032,MATCH($O277,Items!$A$2:$A$1032,0))</f>
        <v>#N/A</v>
      </c>
      <c r="R277" t="e">
        <f>INDEX(Items!D$2:D$1032,MATCH($O277,Items!$A$2:$A$1032,0))</f>
        <v>#N/A</v>
      </c>
    </row>
    <row r="278" spans="1:18" x14ac:dyDescent="0.25">
      <c r="A278">
        <f t="shared" si="22"/>
        <v>1</v>
      </c>
      <c r="B278" t="str">
        <f t="shared" si="23"/>
        <v/>
      </c>
      <c r="C278">
        <f t="shared" si="25"/>
        <v>1</v>
      </c>
      <c r="D278" s="4"/>
      <c r="E278" t="s">
        <v>18</v>
      </c>
      <c r="F278" t="str">
        <f>INDEX(Establishment!B$2:B$1005,MATCH($E278,Establishment!$A$2:$A$1005,0))</f>
        <v xml:space="preserve"> </v>
      </c>
      <c r="G278" t="str">
        <f>INDEX(Establishment!C$2:C$1005,MATCH($E278,Establishment!$A$2:$A$1005,0))</f>
        <v xml:space="preserve"> </v>
      </c>
      <c r="M278">
        <f t="shared" si="26"/>
        <v>0</v>
      </c>
      <c r="N278">
        <f t="shared" si="24"/>
        <v>0</v>
      </c>
      <c r="P278" t="e">
        <f>INDEX(Items!B$2:B$1032,MATCH($O278,Items!$A$2:$A$1032,0))</f>
        <v>#N/A</v>
      </c>
      <c r="Q278" t="e">
        <f>INDEX(Items!C$2:C$1032,MATCH($O278,Items!$A$2:$A$1032,0))</f>
        <v>#N/A</v>
      </c>
      <c r="R278" t="e">
        <f>INDEX(Items!D$2:D$1032,MATCH($O278,Items!$A$2:$A$1032,0))</f>
        <v>#N/A</v>
      </c>
    </row>
    <row r="279" spans="1:18" x14ac:dyDescent="0.25">
      <c r="A279">
        <f t="shared" si="22"/>
        <v>1</v>
      </c>
      <c r="B279" t="str">
        <f t="shared" si="23"/>
        <v/>
      </c>
      <c r="C279">
        <f t="shared" si="25"/>
        <v>1</v>
      </c>
      <c r="D279" s="4"/>
      <c r="E279" t="s">
        <v>18</v>
      </c>
      <c r="F279" t="str">
        <f>INDEX(Establishment!B$2:B$1005,MATCH($E279,Establishment!$A$2:$A$1005,0))</f>
        <v xml:space="preserve"> </v>
      </c>
      <c r="G279" t="str">
        <f>INDEX(Establishment!C$2:C$1005,MATCH($E279,Establishment!$A$2:$A$1005,0))</f>
        <v xml:space="preserve"> </v>
      </c>
      <c r="M279">
        <f t="shared" si="26"/>
        <v>0</v>
      </c>
      <c r="N279">
        <f t="shared" si="24"/>
        <v>0</v>
      </c>
      <c r="P279" t="e">
        <f>INDEX(Items!B$2:B$1032,MATCH($O279,Items!$A$2:$A$1032,0))</f>
        <v>#N/A</v>
      </c>
      <c r="Q279" t="e">
        <f>INDEX(Items!C$2:C$1032,MATCH($O279,Items!$A$2:$A$1032,0))</f>
        <v>#N/A</v>
      </c>
      <c r="R279" t="e">
        <f>INDEX(Items!D$2:D$1032,MATCH($O279,Items!$A$2:$A$1032,0))</f>
        <v>#N/A</v>
      </c>
    </row>
    <row r="280" spans="1:18" x14ac:dyDescent="0.25">
      <c r="A280">
        <f t="shared" si="22"/>
        <v>1</v>
      </c>
      <c r="B280" t="str">
        <f t="shared" si="23"/>
        <v/>
      </c>
      <c r="C280">
        <f t="shared" si="25"/>
        <v>1</v>
      </c>
      <c r="D280" s="4"/>
      <c r="E280" t="s">
        <v>18</v>
      </c>
      <c r="F280" t="str">
        <f>INDEX(Establishment!B$2:B$1005,MATCH($E280,Establishment!$A$2:$A$1005,0))</f>
        <v xml:space="preserve"> </v>
      </c>
      <c r="G280" t="str">
        <f>INDEX(Establishment!C$2:C$1005,MATCH($E280,Establishment!$A$2:$A$1005,0))</f>
        <v xml:space="preserve"> </v>
      </c>
      <c r="M280">
        <f t="shared" si="26"/>
        <v>0</v>
      </c>
      <c r="N280">
        <f t="shared" si="24"/>
        <v>0</v>
      </c>
      <c r="P280" t="e">
        <f>INDEX(Items!B$2:B$1032,MATCH($O280,Items!$A$2:$A$1032,0))</f>
        <v>#N/A</v>
      </c>
      <c r="Q280" t="e">
        <f>INDEX(Items!C$2:C$1032,MATCH($O280,Items!$A$2:$A$1032,0))</f>
        <v>#N/A</v>
      </c>
      <c r="R280" t="e">
        <f>INDEX(Items!D$2:D$1032,MATCH($O280,Items!$A$2:$A$1032,0))</f>
        <v>#N/A</v>
      </c>
    </row>
    <row r="281" spans="1:18" x14ac:dyDescent="0.25">
      <c r="A281">
        <f t="shared" si="22"/>
        <v>1</v>
      </c>
      <c r="B281" t="str">
        <f t="shared" si="23"/>
        <v/>
      </c>
      <c r="C281">
        <f t="shared" si="25"/>
        <v>1</v>
      </c>
      <c r="D281" s="4"/>
      <c r="E281" t="s">
        <v>18</v>
      </c>
      <c r="F281" t="str">
        <f>INDEX(Establishment!B$2:B$1005,MATCH($E281,Establishment!$A$2:$A$1005,0))</f>
        <v xml:space="preserve"> </v>
      </c>
      <c r="G281" t="str">
        <f>INDEX(Establishment!C$2:C$1005,MATCH($E281,Establishment!$A$2:$A$1005,0))</f>
        <v xml:space="preserve"> </v>
      </c>
      <c r="M281">
        <f t="shared" si="26"/>
        <v>0</v>
      </c>
      <c r="N281">
        <f t="shared" si="24"/>
        <v>0</v>
      </c>
      <c r="P281" t="e">
        <f>INDEX(Items!B$2:B$1032,MATCH($O281,Items!$A$2:$A$1032,0))</f>
        <v>#N/A</v>
      </c>
      <c r="Q281" t="e">
        <f>INDEX(Items!C$2:C$1032,MATCH($O281,Items!$A$2:$A$1032,0))</f>
        <v>#N/A</v>
      </c>
      <c r="R281" t="e">
        <f>INDEX(Items!D$2:D$1032,MATCH($O281,Items!$A$2:$A$1032,0))</f>
        <v>#N/A</v>
      </c>
    </row>
    <row r="282" spans="1:18" x14ac:dyDescent="0.25">
      <c r="A282">
        <f t="shared" si="22"/>
        <v>1</v>
      </c>
      <c r="B282" t="str">
        <f t="shared" si="23"/>
        <v/>
      </c>
      <c r="C282">
        <f t="shared" si="25"/>
        <v>1</v>
      </c>
      <c r="D282" s="4"/>
      <c r="E282" t="s">
        <v>18</v>
      </c>
      <c r="F282" t="str">
        <f>INDEX(Establishment!B$2:B$1005,MATCH($E282,Establishment!$A$2:$A$1005,0))</f>
        <v xml:space="preserve"> </v>
      </c>
      <c r="G282" t="str">
        <f>INDEX(Establishment!C$2:C$1005,MATCH($E282,Establishment!$A$2:$A$1005,0))</f>
        <v xml:space="preserve"> </v>
      </c>
      <c r="M282">
        <f t="shared" si="26"/>
        <v>0</v>
      </c>
      <c r="N282">
        <f t="shared" si="24"/>
        <v>0</v>
      </c>
      <c r="P282" t="e">
        <f>INDEX(Items!B$2:B$1032,MATCH($O282,Items!$A$2:$A$1032,0))</f>
        <v>#N/A</v>
      </c>
      <c r="Q282" t="e">
        <f>INDEX(Items!C$2:C$1032,MATCH($O282,Items!$A$2:$A$1032,0))</f>
        <v>#N/A</v>
      </c>
      <c r="R282" t="e">
        <f>INDEX(Items!D$2:D$1032,MATCH($O282,Items!$A$2:$A$1032,0))</f>
        <v>#N/A</v>
      </c>
    </row>
    <row r="283" spans="1:18" x14ac:dyDescent="0.25">
      <c r="A283">
        <f t="shared" si="22"/>
        <v>1</v>
      </c>
      <c r="B283" t="str">
        <f t="shared" si="23"/>
        <v/>
      </c>
      <c r="C283">
        <f t="shared" si="25"/>
        <v>1</v>
      </c>
      <c r="D283" s="4"/>
      <c r="E283" t="s">
        <v>18</v>
      </c>
      <c r="F283" t="str">
        <f>INDEX(Establishment!B$2:B$1005,MATCH($E283,Establishment!$A$2:$A$1005,0))</f>
        <v xml:space="preserve"> </v>
      </c>
      <c r="G283" t="str">
        <f>INDEX(Establishment!C$2:C$1005,MATCH($E283,Establishment!$A$2:$A$1005,0))</f>
        <v xml:space="preserve"> </v>
      </c>
      <c r="M283">
        <f t="shared" si="26"/>
        <v>0</v>
      </c>
      <c r="N283">
        <f t="shared" si="24"/>
        <v>0</v>
      </c>
      <c r="P283" t="e">
        <f>INDEX(Items!B$2:B$1032,MATCH($O283,Items!$A$2:$A$1032,0))</f>
        <v>#N/A</v>
      </c>
      <c r="Q283" t="e">
        <f>INDEX(Items!C$2:C$1032,MATCH($O283,Items!$A$2:$A$1032,0))</f>
        <v>#N/A</v>
      </c>
      <c r="R283" t="e">
        <f>INDEX(Items!D$2:D$1032,MATCH($O283,Items!$A$2:$A$1032,0))</f>
        <v>#N/A</v>
      </c>
    </row>
    <row r="284" spans="1:18" x14ac:dyDescent="0.25">
      <c r="A284">
        <f t="shared" si="22"/>
        <v>1</v>
      </c>
      <c r="B284" t="str">
        <f t="shared" si="23"/>
        <v/>
      </c>
      <c r="C284">
        <f t="shared" si="25"/>
        <v>1</v>
      </c>
      <c r="D284" s="4"/>
      <c r="E284" t="s">
        <v>18</v>
      </c>
      <c r="F284" t="str">
        <f>INDEX(Establishment!B$2:B$1005,MATCH($E284,Establishment!$A$2:$A$1005,0))</f>
        <v xml:space="preserve"> </v>
      </c>
      <c r="G284" t="str">
        <f>INDEX(Establishment!C$2:C$1005,MATCH($E284,Establishment!$A$2:$A$1005,0))</f>
        <v xml:space="preserve"> </v>
      </c>
      <c r="M284">
        <f t="shared" si="26"/>
        <v>0</v>
      </c>
      <c r="N284">
        <f t="shared" si="24"/>
        <v>0</v>
      </c>
      <c r="P284" t="e">
        <f>INDEX(Items!B$2:B$1032,MATCH($O284,Items!$A$2:$A$1032,0))</f>
        <v>#N/A</v>
      </c>
      <c r="Q284" t="e">
        <f>INDEX(Items!C$2:C$1032,MATCH($O284,Items!$A$2:$A$1032,0))</f>
        <v>#N/A</v>
      </c>
      <c r="R284" t="e">
        <f>INDEX(Items!D$2:D$1032,MATCH($O284,Items!$A$2:$A$1032,0))</f>
        <v>#N/A</v>
      </c>
    </row>
    <row r="285" spans="1:18" x14ac:dyDescent="0.25">
      <c r="A285">
        <f t="shared" si="22"/>
        <v>1</v>
      </c>
      <c r="B285" t="str">
        <f t="shared" si="23"/>
        <v/>
      </c>
      <c r="C285">
        <f t="shared" si="25"/>
        <v>1</v>
      </c>
      <c r="D285" s="4"/>
      <c r="E285" t="s">
        <v>18</v>
      </c>
      <c r="F285" t="str">
        <f>INDEX(Establishment!B$2:B$1005,MATCH($E285,Establishment!$A$2:$A$1005,0))</f>
        <v xml:space="preserve"> </v>
      </c>
      <c r="G285" t="str">
        <f>INDEX(Establishment!C$2:C$1005,MATCH($E285,Establishment!$A$2:$A$1005,0))</f>
        <v xml:space="preserve"> </v>
      </c>
      <c r="M285">
        <f t="shared" si="26"/>
        <v>0</v>
      </c>
      <c r="N285">
        <f t="shared" si="24"/>
        <v>0</v>
      </c>
      <c r="P285" t="e">
        <f>INDEX(Items!B$2:B$1032,MATCH($O285,Items!$A$2:$A$1032,0))</f>
        <v>#N/A</v>
      </c>
      <c r="Q285" t="e">
        <f>INDEX(Items!C$2:C$1032,MATCH($O285,Items!$A$2:$A$1032,0))</f>
        <v>#N/A</v>
      </c>
      <c r="R285" t="e">
        <f>INDEX(Items!D$2:D$1032,MATCH($O285,Items!$A$2:$A$1032,0))</f>
        <v>#N/A</v>
      </c>
    </row>
    <row r="286" spans="1:18" x14ac:dyDescent="0.25">
      <c r="A286">
        <f t="shared" si="22"/>
        <v>1</v>
      </c>
      <c r="B286" t="str">
        <f t="shared" si="23"/>
        <v/>
      </c>
      <c r="C286">
        <f t="shared" si="25"/>
        <v>1</v>
      </c>
      <c r="D286" s="4"/>
      <c r="E286" t="s">
        <v>18</v>
      </c>
      <c r="F286" t="str">
        <f>INDEX(Establishment!B$2:B$1005,MATCH($E286,Establishment!$A$2:$A$1005,0))</f>
        <v xml:space="preserve"> </v>
      </c>
      <c r="G286" t="str">
        <f>INDEX(Establishment!C$2:C$1005,MATCH($E286,Establishment!$A$2:$A$1005,0))</f>
        <v xml:space="preserve"> </v>
      </c>
      <c r="M286">
        <f t="shared" si="26"/>
        <v>0</v>
      </c>
      <c r="N286">
        <f t="shared" si="24"/>
        <v>0</v>
      </c>
      <c r="P286" t="e">
        <f>INDEX(Items!B$2:B$1032,MATCH($O286,Items!$A$2:$A$1032,0))</f>
        <v>#N/A</v>
      </c>
      <c r="Q286" t="e">
        <f>INDEX(Items!C$2:C$1032,MATCH($O286,Items!$A$2:$A$1032,0))</f>
        <v>#N/A</v>
      </c>
      <c r="R286" t="e">
        <f>INDEX(Items!D$2:D$1032,MATCH($O286,Items!$A$2:$A$1032,0))</f>
        <v>#N/A</v>
      </c>
    </row>
    <row r="287" spans="1:18" x14ac:dyDescent="0.25">
      <c r="A287">
        <f t="shared" si="22"/>
        <v>1</v>
      </c>
      <c r="B287" t="str">
        <f t="shared" si="23"/>
        <v/>
      </c>
      <c r="C287">
        <f t="shared" si="25"/>
        <v>1</v>
      </c>
      <c r="D287" s="4"/>
      <c r="E287" t="s">
        <v>18</v>
      </c>
      <c r="F287" t="str">
        <f>INDEX(Establishment!B$2:B$1005,MATCH($E287,Establishment!$A$2:$A$1005,0))</f>
        <v xml:space="preserve"> </v>
      </c>
      <c r="G287" t="str">
        <f>INDEX(Establishment!C$2:C$1005,MATCH($E287,Establishment!$A$2:$A$1005,0))</f>
        <v xml:space="preserve"> </v>
      </c>
      <c r="M287">
        <f t="shared" si="26"/>
        <v>0</v>
      </c>
      <c r="N287">
        <f t="shared" si="24"/>
        <v>0</v>
      </c>
      <c r="P287" t="e">
        <f>INDEX(Items!B$2:B$1032,MATCH($O287,Items!$A$2:$A$1032,0))</f>
        <v>#N/A</v>
      </c>
      <c r="Q287" t="e">
        <f>INDEX(Items!C$2:C$1032,MATCH($O287,Items!$A$2:$A$1032,0))</f>
        <v>#N/A</v>
      </c>
      <c r="R287" t="e">
        <f>INDEX(Items!D$2:D$1032,MATCH($O287,Items!$A$2:$A$1032,0))</f>
        <v>#N/A</v>
      </c>
    </row>
    <row r="288" spans="1:18" x14ac:dyDescent="0.25">
      <c r="A288">
        <f t="shared" si="22"/>
        <v>1</v>
      </c>
      <c r="B288" t="str">
        <f t="shared" si="23"/>
        <v/>
      </c>
      <c r="C288">
        <f t="shared" si="25"/>
        <v>1</v>
      </c>
      <c r="D288" s="4"/>
      <c r="E288" t="s">
        <v>18</v>
      </c>
      <c r="F288" t="str">
        <f>INDEX(Establishment!B$2:B$1005,MATCH($E288,Establishment!$A$2:$A$1005,0))</f>
        <v xml:space="preserve"> </v>
      </c>
      <c r="G288" t="str">
        <f>INDEX(Establishment!C$2:C$1005,MATCH($E288,Establishment!$A$2:$A$1005,0))</f>
        <v xml:space="preserve"> </v>
      </c>
      <c r="M288">
        <f t="shared" si="26"/>
        <v>0</v>
      </c>
      <c r="N288">
        <f t="shared" si="24"/>
        <v>0</v>
      </c>
      <c r="P288" t="e">
        <f>INDEX(Items!B$2:B$1032,MATCH($O288,Items!$A$2:$A$1032,0))</f>
        <v>#N/A</v>
      </c>
      <c r="Q288" t="e">
        <f>INDEX(Items!C$2:C$1032,MATCH($O288,Items!$A$2:$A$1032,0))</f>
        <v>#N/A</v>
      </c>
      <c r="R288" t="e">
        <f>INDEX(Items!D$2:D$1032,MATCH($O288,Items!$A$2:$A$1032,0))</f>
        <v>#N/A</v>
      </c>
    </row>
    <row r="289" spans="1:18" x14ac:dyDescent="0.25">
      <c r="A289">
        <f t="shared" si="22"/>
        <v>1</v>
      </c>
      <c r="B289" t="str">
        <f t="shared" si="23"/>
        <v/>
      </c>
      <c r="C289">
        <f t="shared" si="25"/>
        <v>1</v>
      </c>
      <c r="D289" s="4"/>
      <c r="E289" t="s">
        <v>18</v>
      </c>
      <c r="F289" t="str">
        <f>INDEX(Establishment!B$2:B$1005,MATCH($E289,Establishment!$A$2:$A$1005,0))</f>
        <v xml:space="preserve"> </v>
      </c>
      <c r="G289" t="str">
        <f>INDEX(Establishment!C$2:C$1005,MATCH($E289,Establishment!$A$2:$A$1005,0))</f>
        <v xml:space="preserve"> </v>
      </c>
      <c r="M289">
        <f t="shared" si="26"/>
        <v>0</v>
      </c>
      <c r="N289">
        <f t="shared" si="24"/>
        <v>0</v>
      </c>
      <c r="P289" t="e">
        <f>INDEX(Items!B$2:B$1032,MATCH($O289,Items!$A$2:$A$1032,0))</f>
        <v>#N/A</v>
      </c>
      <c r="Q289" t="e">
        <f>INDEX(Items!C$2:C$1032,MATCH($O289,Items!$A$2:$A$1032,0))</f>
        <v>#N/A</v>
      </c>
      <c r="R289" t="e">
        <f>INDEX(Items!D$2:D$1032,MATCH($O289,Items!$A$2:$A$1032,0))</f>
        <v>#N/A</v>
      </c>
    </row>
    <row r="290" spans="1:18" x14ac:dyDescent="0.25">
      <c r="A290">
        <f t="shared" si="22"/>
        <v>1</v>
      </c>
      <c r="B290" t="str">
        <f t="shared" si="23"/>
        <v/>
      </c>
      <c r="C290">
        <f t="shared" si="25"/>
        <v>1</v>
      </c>
      <c r="D290" s="4"/>
      <c r="E290" t="s">
        <v>18</v>
      </c>
      <c r="F290" t="str">
        <f>INDEX(Establishment!B$2:B$1005,MATCH($E290,Establishment!$A$2:$A$1005,0))</f>
        <v xml:space="preserve"> </v>
      </c>
      <c r="G290" t="str">
        <f>INDEX(Establishment!C$2:C$1005,MATCH($E290,Establishment!$A$2:$A$1005,0))</f>
        <v xml:space="preserve"> </v>
      </c>
      <c r="M290">
        <f t="shared" si="26"/>
        <v>0</v>
      </c>
      <c r="N290">
        <f t="shared" si="24"/>
        <v>0</v>
      </c>
      <c r="P290" t="e">
        <f>INDEX(Items!B$2:B$1032,MATCH($O290,Items!$A$2:$A$1032,0))</f>
        <v>#N/A</v>
      </c>
      <c r="Q290" t="e">
        <f>INDEX(Items!C$2:C$1032,MATCH($O290,Items!$A$2:$A$1032,0))</f>
        <v>#N/A</v>
      </c>
      <c r="R290" t="e">
        <f>INDEX(Items!D$2:D$1032,MATCH($O290,Items!$A$2:$A$1032,0))</f>
        <v>#N/A</v>
      </c>
    </row>
    <row r="291" spans="1:18" x14ac:dyDescent="0.25">
      <c r="A291">
        <f t="shared" si="22"/>
        <v>1</v>
      </c>
      <c r="B291" t="str">
        <f t="shared" si="23"/>
        <v/>
      </c>
      <c r="C291">
        <f t="shared" si="25"/>
        <v>1</v>
      </c>
      <c r="D291" s="4"/>
      <c r="E291" t="s">
        <v>18</v>
      </c>
      <c r="F291" t="str">
        <f>INDEX(Establishment!B$2:B$1005,MATCH($E291,Establishment!$A$2:$A$1005,0))</f>
        <v xml:space="preserve"> </v>
      </c>
      <c r="G291" t="str">
        <f>INDEX(Establishment!C$2:C$1005,MATCH($E291,Establishment!$A$2:$A$1005,0))</f>
        <v xml:space="preserve"> </v>
      </c>
      <c r="M291">
        <f t="shared" si="26"/>
        <v>0</v>
      </c>
      <c r="N291">
        <f t="shared" si="24"/>
        <v>0</v>
      </c>
      <c r="P291" t="e">
        <f>INDEX(Items!B$2:B$1032,MATCH($O291,Items!$A$2:$A$1032,0))</f>
        <v>#N/A</v>
      </c>
      <c r="Q291" t="e">
        <f>INDEX(Items!C$2:C$1032,MATCH($O291,Items!$A$2:$A$1032,0))</f>
        <v>#N/A</v>
      </c>
      <c r="R291" t="e">
        <f>INDEX(Items!D$2:D$1032,MATCH($O291,Items!$A$2:$A$1032,0))</f>
        <v>#N/A</v>
      </c>
    </row>
    <row r="292" spans="1:18" x14ac:dyDescent="0.25">
      <c r="A292">
        <f t="shared" si="22"/>
        <v>1</v>
      </c>
      <c r="B292" t="str">
        <f t="shared" si="23"/>
        <v/>
      </c>
      <c r="C292">
        <f t="shared" si="25"/>
        <v>1</v>
      </c>
      <c r="D292" s="4"/>
      <c r="E292" t="s">
        <v>18</v>
      </c>
      <c r="F292" t="str">
        <f>INDEX(Establishment!B$2:B$1005,MATCH($E292,Establishment!$A$2:$A$1005,0))</f>
        <v xml:space="preserve"> </v>
      </c>
      <c r="G292" t="str">
        <f>INDEX(Establishment!C$2:C$1005,MATCH($E292,Establishment!$A$2:$A$1005,0))</f>
        <v xml:space="preserve"> </v>
      </c>
      <c r="M292">
        <f t="shared" si="26"/>
        <v>0</v>
      </c>
      <c r="N292">
        <f t="shared" si="24"/>
        <v>0</v>
      </c>
      <c r="P292" t="e">
        <f>INDEX(Items!B$2:B$1032,MATCH($O292,Items!$A$2:$A$1032,0))</f>
        <v>#N/A</v>
      </c>
      <c r="Q292" t="e">
        <f>INDEX(Items!C$2:C$1032,MATCH($O292,Items!$A$2:$A$1032,0))</f>
        <v>#N/A</v>
      </c>
      <c r="R292" t="e">
        <f>INDEX(Items!D$2:D$1032,MATCH($O292,Items!$A$2:$A$1032,0))</f>
        <v>#N/A</v>
      </c>
    </row>
    <row r="293" spans="1:18" x14ac:dyDescent="0.25">
      <c r="A293">
        <f t="shared" si="22"/>
        <v>1</v>
      </c>
      <c r="B293" t="str">
        <f t="shared" si="23"/>
        <v/>
      </c>
      <c r="C293">
        <f t="shared" si="25"/>
        <v>1</v>
      </c>
      <c r="D293" s="4"/>
      <c r="E293" t="s">
        <v>18</v>
      </c>
      <c r="F293" t="str">
        <f>INDEX(Establishment!B$2:B$1005,MATCH($E293,Establishment!$A$2:$A$1005,0))</f>
        <v xml:space="preserve"> </v>
      </c>
      <c r="G293" t="str">
        <f>INDEX(Establishment!C$2:C$1005,MATCH($E293,Establishment!$A$2:$A$1005,0))</f>
        <v xml:space="preserve"> </v>
      </c>
      <c r="M293">
        <f t="shared" si="26"/>
        <v>0</v>
      </c>
      <c r="N293">
        <f t="shared" si="24"/>
        <v>0</v>
      </c>
      <c r="P293" t="e">
        <f>INDEX(Items!B$2:B$1032,MATCH($O293,Items!$A$2:$A$1032,0))</f>
        <v>#N/A</v>
      </c>
      <c r="Q293" t="e">
        <f>INDEX(Items!C$2:C$1032,MATCH($O293,Items!$A$2:$A$1032,0))</f>
        <v>#N/A</v>
      </c>
      <c r="R293" t="e">
        <f>INDEX(Items!D$2:D$1032,MATCH($O293,Items!$A$2:$A$1032,0))</f>
        <v>#N/A</v>
      </c>
    </row>
    <row r="294" spans="1:18" x14ac:dyDescent="0.25">
      <c r="A294">
        <f t="shared" si="22"/>
        <v>1</v>
      </c>
      <c r="B294" t="str">
        <f t="shared" si="23"/>
        <v/>
      </c>
      <c r="C294">
        <f t="shared" si="25"/>
        <v>1</v>
      </c>
      <c r="D294" s="4"/>
      <c r="E294" t="s">
        <v>18</v>
      </c>
      <c r="F294" t="str">
        <f>INDEX(Establishment!B$2:B$1005,MATCH($E294,Establishment!$A$2:$A$1005,0))</f>
        <v xml:space="preserve"> </v>
      </c>
      <c r="G294" t="str">
        <f>INDEX(Establishment!C$2:C$1005,MATCH($E294,Establishment!$A$2:$A$1005,0))</f>
        <v xml:space="preserve"> </v>
      </c>
      <c r="M294">
        <f t="shared" si="26"/>
        <v>0</v>
      </c>
      <c r="N294">
        <f t="shared" si="24"/>
        <v>0</v>
      </c>
      <c r="P294" t="e">
        <f>INDEX(Items!B$2:B$1032,MATCH($O294,Items!$A$2:$A$1032,0))</f>
        <v>#N/A</v>
      </c>
      <c r="Q294" t="e">
        <f>INDEX(Items!C$2:C$1032,MATCH($O294,Items!$A$2:$A$1032,0))</f>
        <v>#N/A</v>
      </c>
      <c r="R294" t="e">
        <f>INDEX(Items!D$2:D$1032,MATCH($O294,Items!$A$2:$A$1032,0))</f>
        <v>#N/A</v>
      </c>
    </row>
    <row r="295" spans="1:18" x14ac:dyDescent="0.25">
      <c r="A295">
        <f t="shared" si="22"/>
        <v>1</v>
      </c>
      <c r="B295" t="str">
        <f t="shared" si="23"/>
        <v/>
      </c>
      <c r="C295">
        <f t="shared" si="25"/>
        <v>1</v>
      </c>
      <c r="D295" s="4"/>
      <c r="E295" t="s">
        <v>18</v>
      </c>
      <c r="F295" t="str">
        <f>INDEX(Establishment!B$2:B$1005,MATCH($E295,Establishment!$A$2:$A$1005,0))</f>
        <v xml:space="preserve"> </v>
      </c>
      <c r="G295" t="str">
        <f>INDEX(Establishment!C$2:C$1005,MATCH($E295,Establishment!$A$2:$A$1005,0))</f>
        <v xml:space="preserve"> </v>
      </c>
      <c r="M295">
        <f t="shared" si="26"/>
        <v>0</v>
      </c>
      <c r="N295">
        <f t="shared" si="24"/>
        <v>0</v>
      </c>
      <c r="P295" t="e">
        <f>INDEX(Items!B$2:B$1032,MATCH($O295,Items!$A$2:$A$1032,0))</f>
        <v>#N/A</v>
      </c>
      <c r="Q295" t="e">
        <f>INDEX(Items!C$2:C$1032,MATCH($O295,Items!$A$2:$A$1032,0))</f>
        <v>#N/A</v>
      </c>
      <c r="R295" t="e">
        <f>INDEX(Items!D$2:D$1032,MATCH($O295,Items!$A$2:$A$1032,0))</f>
        <v>#N/A</v>
      </c>
    </row>
    <row r="296" spans="1:18" x14ac:dyDescent="0.25">
      <c r="A296">
        <f t="shared" si="22"/>
        <v>1</v>
      </c>
      <c r="B296" t="str">
        <f t="shared" si="23"/>
        <v/>
      </c>
      <c r="C296">
        <f t="shared" si="25"/>
        <v>1</v>
      </c>
      <c r="D296" s="4"/>
      <c r="E296" t="s">
        <v>18</v>
      </c>
      <c r="F296" t="str">
        <f>INDEX(Establishment!B$2:B$1005,MATCH($E296,Establishment!$A$2:$A$1005,0))</f>
        <v xml:space="preserve"> </v>
      </c>
      <c r="G296" t="str">
        <f>INDEX(Establishment!C$2:C$1005,MATCH($E296,Establishment!$A$2:$A$1005,0))</f>
        <v xml:space="preserve"> </v>
      </c>
      <c r="M296">
        <f t="shared" si="26"/>
        <v>0</v>
      </c>
      <c r="N296">
        <f t="shared" si="24"/>
        <v>0</v>
      </c>
      <c r="P296" t="e">
        <f>INDEX(Items!B$2:B$1032,MATCH($O296,Items!$A$2:$A$1032,0))</f>
        <v>#N/A</v>
      </c>
      <c r="Q296" t="e">
        <f>INDEX(Items!C$2:C$1032,MATCH($O296,Items!$A$2:$A$1032,0))</f>
        <v>#N/A</v>
      </c>
      <c r="R296" t="e">
        <f>INDEX(Items!D$2:D$1032,MATCH($O296,Items!$A$2:$A$1032,0))</f>
        <v>#N/A</v>
      </c>
    </row>
    <row r="297" spans="1:18" x14ac:dyDescent="0.25">
      <c r="A297">
        <f t="shared" si="22"/>
        <v>1</v>
      </c>
      <c r="B297" t="str">
        <f t="shared" si="23"/>
        <v/>
      </c>
      <c r="C297">
        <f t="shared" si="25"/>
        <v>1</v>
      </c>
      <c r="D297" s="4"/>
      <c r="E297" t="s">
        <v>18</v>
      </c>
      <c r="F297" t="str">
        <f>INDEX(Establishment!B$2:B$1005,MATCH($E297,Establishment!$A$2:$A$1005,0))</f>
        <v xml:space="preserve"> </v>
      </c>
      <c r="G297" t="str">
        <f>INDEX(Establishment!C$2:C$1005,MATCH($E297,Establishment!$A$2:$A$1005,0))</f>
        <v xml:space="preserve"> </v>
      </c>
      <c r="M297">
        <f t="shared" si="26"/>
        <v>0</v>
      </c>
      <c r="N297">
        <f t="shared" si="24"/>
        <v>0</v>
      </c>
      <c r="P297" t="e">
        <f>INDEX(Items!B$2:B$1032,MATCH($O297,Items!$A$2:$A$1032,0))</f>
        <v>#N/A</v>
      </c>
      <c r="Q297" t="e">
        <f>INDEX(Items!C$2:C$1032,MATCH($O297,Items!$A$2:$A$1032,0))</f>
        <v>#N/A</v>
      </c>
      <c r="R297" t="e">
        <f>INDEX(Items!D$2:D$1032,MATCH($O297,Items!$A$2:$A$1032,0))</f>
        <v>#N/A</v>
      </c>
    </row>
    <row r="298" spans="1:18" x14ac:dyDescent="0.25">
      <c r="A298">
        <f t="shared" si="22"/>
        <v>1</v>
      </c>
      <c r="B298" t="str">
        <f t="shared" si="23"/>
        <v/>
      </c>
      <c r="C298">
        <f t="shared" si="25"/>
        <v>1</v>
      </c>
      <c r="D298" s="4"/>
      <c r="E298" t="s">
        <v>18</v>
      </c>
      <c r="F298" t="str">
        <f>INDEX(Establishment!B$2:B$1005,MATCH($E298,Establishment!$A$2:$A$1005,0))</f>
        <v xml:space="preserve"> </v>
      </c>
      <c r="G298" t="str">
        <f>INDEX(Establishment!C$2:C$1005,MATCH($E298,Establishment!$A$2:$A$1005,0))</f>
        <v xml:space="preserve"> </v>
      </c>
      <c r="M298">
        <f t="shared" si="26"/>
        <v>0</v>
      </c>
      <c r="N298">
        <f t="shared" si="24"/>
        <v>0</v>
      </c>
      <c r="P298" t="e">
        <f>INDEX(Items!B$2:B$1032,MATCH($O298,Items!$A$2:$A$1032,0))</f>
        <v>#N/A</v>
      </c>
      <c r="Q298" t="e">
        <f>INDEX(Items!C$2:C$1032,MATCH($O298,Items!$A$2:$A$1032,0))</f>
        <v>#N/A</v>
      </c>
      <c r="R298" t="e">
        <f>INDEX(Items!D$2:D$1032,MATCH($O298,Items!$A$2:$A$1032,0))</f>
        <v>#N/A</v>
      </c>
    </row>
    <row r="299" spans="1:18" x14ac:dyDescent="0.25">
      <c r="A299">
        <f t="shared" si="22"/>
        <v>1</v>
      </c>
      <c r="B299" t="str">
        <f t="shared" si="23"/>
        <v/>
      </c>
      <c r="C299">
        <f t="shared" si="25"/>
        <v>1</v>
      </c>
      <c r="D299" s="4"/>
      <c r="E299" t="s">
        <v>18</v>
      </c>
      <c r="F299" t="str">
        <f>INDEX(Establishment!B$2:B$1005,MATCH($E299,Establishment!$A$2:$A$1005,0))</f>
        <v xml:space="preserve"> </v>
      </c>
      <c r="G299" t="str">
        <f>INDEX(Establishment!C$2:C$1005,MATCH($E299,Establishment!$A$2:$A$1005,0))</f>
        <v xml:space="preserve"> </v>
      </c>
      <c r="M299">
        <f t="shared" si="26"/>
        <v>0</v>
      </c>
      <c r="N299">
        <f t="shared" si="24"/>
        <v>0</v>
      </c>
      <c r="P299" t="e">
        <f>INDEX(Items!B$2:B$1032,MATCH($O299,Items!$A$2:$A$1032,0))</f>
        <v>#N/A</v>
      </c>
      <c r="Q299" t="e">
        <f>INDEX(Items!C$2:C$1032,MATCH($O299,Items!$A$2:$A$1032,0))</f>
        <v>#N/A</v>
      </c>
      <c r="R299" t="e">
        <f>INDEX(Items!D$2:D$1032,MATCH($O299,Items!$A$2:$A$1032,0))</f>
        <v>#N/A</v>
      </c>
    </row>
    <row r="300" spans="1:18" x14ac:dyDescent="0.25">
      <c r="A300">
        <f t="shared" si="22"/>
        <v>1</v>
      </c>
      <c r="B300" t="str">
        <f t="shared" si="23"/>
        <v/>
      </c>
      <c r="C300">
        <f t="shared" si="25"/>
        <v>1</v>
      </c>
      <c r="D300" s="4"/>
      <c r="E300" t="s">
        <v>18</v>
      </c>
      <c r="F300" t="str">
        <f>INDEX(Establishment!B$2:B$1005,MATCH($E300,Establishment!$A$2:$A$1005,0))</f>
        <v xml:space="preserve"> </v>
      </c>
      <c r="G300" t="str">
        <f>INDEX(Establishment!C$2:C$1005,MATCH($E300,Establishment!$A$2:$A$1005,0))</f>
        <v xml:space="preserve"> </v>
      </c>
      <c r="M300">
        <f t="shared" si="26"/>
        <v>0</v>
      </c>
      <c r="N300">
        <f t="shared" si="24"/>
        <v>0</v>
      </c>
      <c r="P300" t="e">
        <f>INDEX(Items!B$2:B$1032,MATCH($O300,Items!$A$2:$A$1032,0))</f>
        <v>#N/A</v>
      </c>
      <c r="Q300" t="e">
        <f>INDEX(Items!C$2:C$1032,MATCH($O300,Items!$A$2:$A$1032,0))</f>
        <v>#N/A</v>
      </c>
      <c r="R300" t="e">
        <f>INDEX(Items!D$2:D$1032,MATCH($O300,Items!$A$2:$A$1032,0))</f>
        <v>#N/A</v>
      </c>
    </row>
    <row r="301" spans="1:18" x14ac:dyDescent="0.25">
      <c r="A301">
        <f t="shared" si="22"/>
        <v>1</v>
      </c>
      <c r="B301" t="str">
        <f t="shared" si="23"/>
        <v/>
      </c>
      <c r="C301">
        <f t="shared" si="25"/>
        <v>1</v>
      </c>
      <c r="D301" s="4"/>
      <c r="E301" t="s">
        <v>18</v>
      </c>
      <c r="F301" t="str">
        <f>INDEX(Establishment!B$2:B$1005,MATCH($E301,Establishment!$A$2:$A$1005,0))</f>
        <v xml:space="preserve"> </v>
      </c>
      <c r="G301" t="str">
        <f>INDEX(Establishment!C$2:C$1005,MATCH($E301,Establishment!$A$2:$A$1005,0))</f>
        <v xml:space="preserve"> </v>
      </c>
      <c r="M301">
        <f t="shared" si="26"/>
        <v>0</v>
      </c>
      <c r="N301">
        <f t="shared" si="24"/>
        <v>0</v>
      </c>
      <c r="P301" t="e">
        <f>INDEX(Items!B$2:B$1032,MATCH($O301,Items!$A$2:$A$1032,0))</f>
        <v>#N/A</v>
      </c>
      <c r="Q301" t="e">
        <f>INDEX(Items!C$2:C$1032,MATCH($O301,Items!$A$2:$A$1032,0))</f>
        <v>#N/A</v>
      </c>
      <c r="R301" t="e">
        <f>INDEX(Items!D$2:D$1032,MATCH($O301,Items!$A$2:$A$1032,0))</f>
        <v>#N/A</v>
      </c>
    </row>
    <row r="302" spans="1:18" x14ac:dyDescent="0.25">
      <c r="A302">
        <f t="shared" si="22"/>
        <v>1</v>
      </c>
      <c r="B302" t="str">
        <f t="shared" si="23"/>
        <v/>
      </c>
      <c r="C302">
        <f t="shared" si="25"/>
        <v>1</v>
      </c>
      <c r="D302" s="4"/>
      <c r="E302" t="s">
        <v>18</v>
      </c>
      <c r="F302" t="str">
        <f>INDEX(Establishment!B$2:B$1005,MATCH($E302,Establishment!$A$2:$A$1005,0))</f>
        <v xml:space="preserve"> </v>
      </c>
      <c r="G302" t="str">
        <f>INDEX(Establishment!C$2:C$1005,MATCH($E302,Establishment!$A$2:$A$1005,0))</f>
        <v xml:space="preserve"> </v>
      </c>
      <c r="M302">
        <f t="shared" si="26"/>
        <v>0</v>
      </c>
      <c r="N302">
        <f t="shared" si="24"/>
        <v>0</v>
      </c>
      <c r="P302" t="e">
        <f>INDEX(Items!B$2:B$1032,MATCH($O302,Items!$A$2:$A$1032,0))</f>
        <v>#N/A</v>
      </c>
      <c r="Q302" t="e">
        <f>INDEX(Items!C$2:C$1032,MATCH($O302,Items!$A$2:$A$1032,0))</f>
        <v>#N/A</v>
      </c>
      <c r="R302" t="e">
        <f>INDEX(Items!D$2:D$1032,MATCH($O302,Items!$A$2:$A$1032,0))</f>
        <v>#N/A</v>
      </c>
    </row>
    <row r="303" spans="1:18" x14ac:dyDescent="0.25">
      <c r="A303">
        <f t="shared" si="22"/>
        <v>1</v>
      </c>
      <c r="B303" t="str">
        <f t="shared" si="23"/>
        <v/>
      </c>
      <c r="C303">
        <f t="shared" si="25"/>
        <v>1</v>
      </c>
      <c r="D303" s="4"/>
      <c r="E303" t="s">
        <v>18</v>
      </c>
      <c r="F303" t="str">
        <f>INDEX(Establishment!B$2:B$1005,MATCH($E303,Establishment!$A$2:$A$1005,0))</f>
        <v xml:space="preserve"> </v>
      </c>
      <c r="G303" t="str">
        <f>INDEX(Establishment!C$2:C$1005,MATCH($E303,Establishment!$A$2:$A$1005,0))</f>
        <v xml:space="preserve"> </v>
      </c>
      <c r="M303">
        <f t="shared" si="26"/>
        <v>0</v>
      </c>
      <c r="N303">
        <f t="shared" si="24"/>
        <v>0</v>
      </c>
      <c r="P303" t="e">
        <f>INDEX(Items!B$2:B$1032,MATCH($O303,Items!$A$2:$A$1032,0))</f>
        <v>#N/A</v>
      </c>
      <c r="Q303" t="e">
        <f>INDEX(Items!C$2:C$1032,MATCH($O303,Items!$A$2:$A$1032,0))</f>
        <v>#N/A</v>
      </c>
      <c r="R303" t="e">
        <f>INDEX(Items!D$2:D$1032,MATCH($O303,Items!$A$2:$A$1032,0))</f>
        <v>#N/A</v>
      </c>
    </row>
    <row r="304" spans="1:18" x14ac:dyDescent="0.25">
      <c r="A304">
        <f t="shared" si="22"/>
        <v>1</v>
      </c>
      <c r="B304" t="str">
        <f t="shared" si="23"/>
        <v/>
      </c>
      <c r="C304">
        <f t="shared" si="25"/>
        <v>1</v>
      </c>
      <c r="D304" s="4"/>
      <c r="E304" t="s">
        <v>18</v>
      </c>
      <c r="F304" t="str">
        <f>INDEX(Establishment!B$2:B$1005,MATCH($E304,Establishment!$A$2:$A$1005,0))</f>
        <v xml:space="preserve"> </v>
      </c>
      <c r="G304" t="str">
        <f>INDEX(Establishment!C$2:C$1005,MATCH($E304,Establishment!$A$2:$A$1005,0))</f>
        <v xml:space="preserve"> </v>
      </c>
      <c r="M304">
        <f t="shared" si="26"/>
        <v>0</v>
      </c>
      <c r="N304">
        <f t="shared" si="24"/>
        <v>0</v>
      </c>
      <c r="P304" t="e">
        <f>INDEX(Items!B$2:B$1032,MATCH($O304,Items!$A$2:$A$1032,0))</f>
        <v>#N/A</v>
      </c>
      <c r="Q304" t="e">
        <f>INDEX(Items!C$2:C$1032,MATCH($O304,Items!$A$2:$A$1032,0))</f>
        <v>#N/A</v>
      </c>
      <c r="R304" t="e">
        <f>INDEX(Items!D$2:D$1032,MATCH($O304,Items!$A$2:$A$1032,0))</f>
        <v>#N/A</v>
      </c>
    </row>
    <row r="305" spans="1:18" x14ac:dyDescent="0.25">
      <c r="A305">
        <f t="shared" si="22"/>
        <v>1</v>
      </c>
      <c r="B305" t="str">
        <f t="shared" si="23"/>
        <v/>
      </c>
      <c r="C305">
        <f t="shared" si="25"/>
        <v>1</v>
      </c>
      <c r="D305" s="4"/>
      <c r="E305" t="s">
        <v>18</v>
      </c>
      <c r="F305" t="str">
        <f>INDEX(Establishment!B$2:B$1005,MATCH($E305,Establishment!$A$2:$A$1005,0))</f>
        <v xml:space="preserve"> </v>
      </c>
      <c r="G305" t="str">
        <f>INDEX(Establishment!C$2:C$1005,MATCH($E305,Establishment!$A$2:$A$1005,0))</f>
        <v xml:space="preserve"> </v>
      </c>
      <c r="M305">
        <f t="shared" si="26"/>
        <v>0</v>
      </c>
      <c r="N305">
        <f t="shared" si="24"/>
        <v>0</v>
      </c>
      <c r="P305" t="e">
        <f>INDEX(Items!B$2:B$1032,MATCH($O305,Items!$A$2:$A$1032,0))</f>
        <v>#N/A</v>
      </c>
      <c r="Q305" t="e">
        <f>INDEX(Items!C$2:C$1032,MATCH($O305,Items!$A$2:$A$1032,0))</f>
        <v>#N/A</v>
      </c>
      <c r="R305" t="e">
        <f>INDEX(Items!D$2:D$1032,MATCH($O305,Items!$A$2:$A$1032,0))</f>
        <v>#N/A</v>
      </c>
    </row>
    <row r="306" spans="1:18" x14ac:dyDescent="0.25">
      <c r="A306">
        <f t="shared" si="22"/>
        <v>1</v>
      </c>
      <c r="B306" t="str">
        <f t="shared" si="23"/>
        <v/>
      </c>
      <c r="C306">
        <f t="shared" si="25"/>
        <v>1</v>
      </c>
      <c r="D306" s="4"/>
      <c r="E306" t="s">
        <v>18</v>
      </c>
      <c r="F306" t="str">
        <f>INDEX(Establishment!B$2:B$1005,MATCH($E306,Establishment!$A$2:$A$1005,0))</f>
        <v xml:space="preserve"> </v>
      </c>
      <c r="G306" t="str">
        <f>INDEX(Establishment!C$2:C$1005,MATCH($E306,Establishment!$A$2:$A$1005,0))</f>
        <v xml:space="preserve"> </v>
      </c>
      <c r="M306">
        <f t="shared" si="26"/>
        <v>0</v>
      </c>
      <c r="N306">
        <f t="shared" si="24"/>
        <v>0</v>
      </c>
      <c r="P306" t="e">
        <f>INDEX(Items!B$2:B$1032,MATCH($O306,Items!$A$2:$A$1032,0))</f>
        <v>#N/A</v>
      </c>
      <c r="Q306" t="e">
        <f>INDEX(Items!C$2:C$1032,MATCH($O306,Items!$A$2:$A$1032,0))</f>
        <v>#N/A</v>
      </c>
      <c r="R306" t="e">
        <f>INDEX(Items!D$2:D$1032,MATCH($O306,Items!$A$2:$A$1032,0))</f>
        <v>#N/A</v>
      </c>
    </row>
    <row r="307" spans="1:18" x14ac:dyDescent="0.25">
      <c r="A307">
        <f t="shared" si="22"/>
        <v>1</v>
      </c>
      <c r="B307" t="str">
        <f t="shared" si="23"/>
        <v/>
      </c>
      <c r="C307">
        <f t="shared" si="25"/>
        <v>1</v>
      </c>
      <c r="D307" s="4"/>
      <c r="E307" t="s">
        <v>18</v>
      </c>
      <c r="F307" t="str">
        <f>INDEX(Establishment!B$2:B$1005,MATCH($E307,Establishment!$A$2:$A$1005,0))</f>
        <v xml:space="preserve"> </v>
      </c>
      <c r="G307" t="str">
        <f>INDEX(Establishment!C$2:C$1005,MATCH($E307,Establishment!$A$2:$A$1005,0))</f>
        <v xml:space="preserve"> </v>
      </c>
      <c r="M307">
        <f t="shared" si="26"/>
        <v>0</v>
      </c>
      <c r="N307">
        <f t="shared" si="24"/>
        <v>0</v>
      </c>
      <c r="P307" t="e">
        <f>INDEX(Items!B$2:B$1032,MATCH($O307,Items!$A$2:$A$1032,0))</f>
        <v>#N/A</v>
      </c>
      <c r="Q307" t="e">
        <f>INDEX(Items!C$2:C$1032,MATCH($O307,Items!$A$2:$A$1032,0))</f>
        <v>#N/A</v>
      </c>
      <c r="R307" t="e">
        <f>INDEX(Items!D$2:D$1032,MATCH($O307,Items!$A$2:$A$1032,0))</f>
        <v>#N/A</v>
      </c>
    </row>
    <row r="308" spans="1:18" x14ac:dyDescent="0.25">
      <c r="A308">
        <f t="shared" si="22"/>
        <v>1</v>
      </c>
      <c r="B308" t="str">
        <f t="shared" si="23"/>
        <v/>
      </c>
      <c r="C308">
        <f t="shared" si="25"/>
        <v>1</v>
      </c>
      <c r="D308" s="4"/>
      <c r="E308" t="s">
        <v>18</v>
      </c>
      <c r="F308" t="str">
        <f>INDEX(Establishment!B$2:B$1005,MATCH($E308,Establishment!$A$2:$A$1005,0))</f>
        <v xml:space="preserve"> </v>
      </c>
      <c r="G308" t="str">
        <f>INDEX(Establishment!C$2:C$1005,MATCH($E308,Establishment!$A$2:$A$1005,0))</f>
        <v xml:space="preserve"> </v>
      </c>
      <c r="M308">
        <f t="shared" si="26"/>
        <v>0</v>
      </c>
      <c r="N308">
        <f t="shared" si="24"/>
        <v>0</v>
      </c>
      <c r="P308" t="e">
        <f>INDEX(Items!B$2:B$1032,MATCH($O308,Items!$A$2:$A$1032,0))</f>
        <v>#N/A</v>
      </c>
      <c r="Q308" t="e">
        <f>INDEX(Items!C$2:C$1032,MATCH($O308,Items!$A$2:$A$1032,0))</f>
        <v>#N/A</v>
      </c>
      <c r="R308" t="e">
        <f>INDEX(Items!D$2:D$1032,MATCH($O308,Items!$A$2:$A$1032,0))</f>
        <v>#N/A</v>
      </c>
    </row>
    <row r="309" spans="1:18" x14ac:dyDescent="0.25">
      <c r="A309">
        <f t="shared" si="22"/>
        <v>1</v>
      </c>
      <c r="B309" t="str">
        <f t="shared" si="23"/>
        <v/>
      </c>
      <c r="C309">
        <f t="shared" si="25"/>
        <v>1</v>
      </c>
      <c r="D309" s="4"/>
      <c r="E309" t="s">
        <v>18</v>
      </c>
      <c r="F309" t="str">
        <f>INDEX(Establishment!B$2:B$1005,MATCH($E309,Establishment!$A$2:$A$1005,0))</f>
        <v xml:space="preserve"> </v>
      </c>
      <c r="G309" t="str">
        <f>INDEX(Establishment!C$2:C$1005,MATCH($E309,Establishment!$A$2:$A$1005,0))</f>
        <v xml:space="preserve"> </v>
      </c>
      <c r="M309">
        <f t="shared" si="26"/>
        <v>0</v>
      </c>
      <c r="N309">
        <f t="shared" si="24"/>
        <v>0</v>
      </c>
      <c r="P309" t="e">
        <f>INDEX(Items!B$2:B$1032,MATCH($O309,Items!$A$2:$A$1032,0))</f>
        <v>#N/A</v>
      </c>
      <c r="Q309" t="e">
        <f>INDEX(Items!C$2:C$1032,MATCH($O309,Items!$A$2:$A$1032,0))</f>
        <v>#N/A</v>
      </c>
      <c r="R309" t="e">
        <f>INDEX(Items!D$2:D$1032,MATCH($O309,Items!$A$2:$A$1032,0))</f>
        <v>#N/A</v>
      </c>
    </row>
    <row r="310" spans="1:18" x14ac:dyDescent="0.25">
      <c r="A310">
        <f t="shared" si="22"/>
        <v>1</v>
      </c>
      <c r="B310" t="str">
        <f t="shared" si="23"/>
        <v/>
      </c>
      <c r="C310">
        <f t="shared" si="25"/>
        <v>1</v>
      </c>
      <c r="D310" s="4"/>
      <c r="E310" t="s">
        <v>18</v>
      </c>
      <c r="F310" t="str">
        <f>INDEX(Establishment!B$2:B$1005,MATCH($E310,Establishment!$A$2:$A$1005,0))</f>
        <v xml:space="preserve"> </v>
      </c>
      <c r="G310" t="str">
        <f>INDEX(Establishment!C$2:C$1005,MATCH($E310,Establishment!$A$2:$A$1005,0))</f>
        <v xml:space="preserve"> </v>
      </c>
      <c r="M310">
        <f t="shared" si="26"/>
        <v>0</v>
      </c>
      <c r="N310">
        <f t="shared" si="24"/>
        <v>0</v>
      </c>
      <c r="P310" t="e">
        <f>INDEX(Items!B$2:B$1032,MATCH($O310,Items!$A$2:$A$1032,0))</f>
        <v>#N/A</v>
      </c>
      <c r="Q310" t="e">
        <f>INDEX(Items!C$2:C$1032,MATCH($O310,Items!$A$2:$A$1032,0))</f>
        <v>#N/A</v>
      </c>
      <c r="R310" t="e">
        <f>INDEX(Items!D$2:D$1032,MATCH($O310,Items!$A$2:$A$1032,0))</f>
        <v>#N/A</v>
      </c>
    </row>
    <row r="311" spans="1:18" x14ac:dyDescent="0.25">
      <c r="A311">
        <f t="shared" si="22"/>
        <v>1</v>
      </c>
      <c r="B311" t="str">
        <f t="shared" si="23"/>
        <v/>
      </c>
      <c r="C311">
        <f t="shared" si="25"/>
        <v>1</v>
      </c>
      <c r="D311" s="4"/>
      <c r="E311" t="s">
        <v>18</v>
      </c>
      <c r="F311" t="str">
        <f>INDEX(Establishment!B$2:B$1005,MATCH($E311,Establishment!$A$2:$A$1005,0))</f>
        <v xml:space="preserve"> </v>
      </c>
      <c r="G311" t="str">
        <f>INDEX(Establishment!C$2:C$1005,MATCH($E311,Establishment!$A$2:$A$1005,0))</f>
        <v xml:space="preserve"> </v>
      </c>
      <c r="M311">
        <f t="shared" si="26"/>
        <v>0</v>
      </c>
      <c r="N311">
        <f t="shared" si="24"/>
        <v>0</v>
      </c>
      <c r="P311" t="e">
        <f>INDEX(Items!B$2:B$1032,MATCH($O311,Items!$A$2:$A$1032,0))</f>
        <v>#N/A</v>
      </c>
      <c r="Q311" t="e">
        <f>INDEX(Items!C$2:C$1032,MATCH($O311,Items!$A$2:$A$1032,0))</f>
        <v>#N/A</v>
      </c>
      <c r="R311" t="e">
        <f>INDEX(Items!D$2:D$1032,MATCH($O311,Items!$A$2:$A$1032,0))</f>
        <v>#N/A</v>
      </c>
    </row>
    <row r="312" spans="1:18" x14ac:dyDescent="0.25">
      <c r="A312">
        <f t="shared" si="22"/>
        <v>1</v>
      </c>
      <c r="B312" t="str">
        <f t="shared" si="23"/>
        <v/>
      </c>
      <c r="C312">
        <f t="shared" si="25"/>
        <v>1</v>
      </c>
      <c r="D312" s="4"/>
      <c r="E312" t="s">
        <v>18</v>
      </c>
      <c r="F312" t="str">
        <f>INDEX(Establishment!B$2:B$1005,MATCH($E312,Establishment!$A$2:$A$1005,0))</f>
        <v xml:space="preserve"> </v>
      </c>
      <c r="G312" t="str">
        <f>INDEX(Establishment!C$2:C$1005,MATCH($E312,Establishment!$A$2:$A$1005,0))</f>
        <v xml:space="preserve"> </v>
      </c>
      <c r="M312">
        <f t="shared" si="26"/>
        <v>0</v>
      </c>
      <c r="N312">
        <f t="shared" si="24"/>
        <v>0</v>
      </c>
      <c r="P312" t="e">
        <f>INDEX(Items!B$2:B$1032,MATCH($O312,Items!$A$2:$A$1032,0))</f>
        <v>#N/A</v>
      </c>
      <c r="Q312" t="e">
        <f>INDEX(Items!C$2:C$1032,MATCH($O312,Items!$A$2:$A$1032,0))</f>
        <v>#N/A</v>
      </c>
      <c r="R312" t="e">
        <f>INDEX(Items!D$2:D$1032,MATCH($O312,Items!$A$2:$A$1032,0))</f>
        <v>#N/A</v>
      </c>
    </row>
    <row r="313" spans="1:18" x14ac:dyDescent="0.25">
      <c r="A313">
        <f t="shared" si="22"/>
        <v>1</v>
      </c>
      <c r="B313" t="str">
        <f t="shared" si="23"/>
        <v/>
      </c>
      <c r="C313">
        <f t="shared" si="25"/>
        <v>1</v>
      </c>
      <c r="D313" s="4"/>
      <c r="E313" t="s">
        <v>18</v>
      </c>
      <c r="F313" t="str">
        <f>INDEX(Establishment!B$2:B$1005,MATCH($E313,Establishment!$A$2:$A$1005,0))</f>
        <v xml:space="preserve"> </v>
      </c>
      <c r="G313" t="str">
        <f>INDEX(Establishment!C$2:C$1005,MATCH($E313,Establishment!$A$2:$A$1005,0))</f>
        <v xml:space="preserve"> </v>
      </c>
      <c r="M313">
        <f t="shared" si="26"/>
        <v>0</v>
      </c>
      <c r="N313">
        <f t="shared" si="24"/>
        <v>0</v>
      </c>
      <c r="P313" t="e">
        <f>INDEX(Items!B$2:B$1032,MATCH($O313,Items!$A$2:$A$1032,0))</f>
        <v>#N/A</v>
      </c>
      <c r="Q313" t="e">
        <f>INDEX(Items!C$2:C$1032,MATCH($O313,Items!$A$2:$A$1032,0))</f>
        <v>#N/A</v>
      </c>
      <c r="R313" t="e">
        <f>INDEX(Items!D$2:D$1032,MATCH($O313,Items!$A$2:$A$1032,0))</f>
        <v>#N/A</v>
      </c>
    </row>
    <row r="314" spans="1:18" x14ac:dyDescent="0.25">
      <c r="A314">
        <f t="shared" si="22"/>
        <v>1</v>
      </c>
      <c r="B314" t="str">
        <f t="shared" si="23"/>
        <v/>
      </c>
      <c r="C314">
        <f t="shared" si="25"/>
        <v>1</v>
      </c>
      <c r="D314" s="4"/>
      <c r="E314" t="s">
        <v>18</v>
      </c>
      <c r="F314" t="str">
        <f>INDEX(Establishment!B$2:B$1005,MATCH($E314,Establishment!$A$2:$A$1005,0))</f>
        <v xml:space="preserve"> </v>
      </c>
      <c r="G314" t="str">
        <f>INDEX(Establishment!C$2:C$1005,MATCH($E314,Establishment!$A$2:$A$1005,0))</f>
        <v xml:space="preserve"> </v>
      </c>
      <c r="M314">
        <f t="shared" si="26"/>
        <v>0</v>
      </c>
      <c r="N314">
        <f t="shared" si="24"/>
        <v>0</v>
      </c>
      <c r="P314" t="e">
        <f>INDEX(Items!B$2:B$1032,MATCH($O314,Items!$A$2:$A$1032,0))</f>
        <v>#N/A</v>
      </c>
      <c r="Q314" t="e">
        <f>INDEX(Items!C$2:C$1032,MATCH($O314,Items!$A$2:$A$1032,0))</f>
        <v>#N/A</v>
      </c>
      <c r="R314" t="e">
        <f>INDEX(Items!D$2:D$1032,MATCH($O314,Items!$A$2:$A$1032,0))</f>
        <v>#N/A</v>
      </c>
    </row>
    <row r="315" spans="1:18" x14ac:dyDescent="0.25">
      <c r="A315">
        <f t="shared" si="22"/>
        <v>1</v>
      </c>
      <c r="B315" t="str">
        <f t="shared" si="23"/>
        <v/>
      </c>
      <c r="C315">
        <f t="shared" si="25"/>
        <v>1</v>
      </c>
      <c r="D315" s="4"/>
      <c r="E315" t="s">
        <v>18</v>
      </c>
      <c r="F315" t="str">
        <f>INDEX(Establishment!B$2:B$1005,MATCH($E315,Establishment!$A$2:$A$1005,0))</f>
        <v xml:space="preserve"> </v>
      </c>
      <c r="G315" t="str">
        <f>INDEX(Establishment!C$2:C$1005,MATCH($E315,Establishment!$A$2:$A$1005,0))</f>
        <v xml:space="preserve"> </v>
      </c>
      <c r="M315">
        <f t="shared" si="26"/>
        <v>0</v>
      </c>
      <c r="N315">
        <f t="shared" si="24"/>
        <v>0</v>
      </c>
      <c r="P315" t="e">
        <f>INDEX(Items!B$2:B$1032,MATCH($O315,Items!$A$2:$A$1032,0))</f>
        <v>#N/A</v>
      </c>
      <c r="Q315" t="e">
        <f>INDEX(Items!C$2:C$1032,MATCH($O315,Items!$A$2:$A$1032,0))</f>
        <v>#N/A</v>
      </c>
      <c r="R315" t="e">
        <f>INDEX(Items!D$2:D$1032,MATCH($O315,Items!$A$2:$A$1032,0))</f>
        <v>#N/A</v>
      </c>
    </row>
    <row r="316" spans="1:18" x14ac:dyDescent="0.25">
      <c r="A316">
        <f t="shared" si="22"/>
        <v>1</v>
      </c>
      <c r="B316" t="str">
        <f t="shared" si="23"/>
        <v/>
      </c>
      <c r="C316">
        <f t="shared" si="25"/>
        <v>1</v>
      </c>
      <c r="D316" s="4"/>
      <c r="E316" t="s">
        <v>18</v>
      </c>
      <c r="F316" t="str">
        <f>INDEX(Establishment!B$2:B$1005,MATCH($E316,Establishment!$A$2:$A$1005,0))</f>
        <v xml:space="preserve"> </v>
      </c>
      <c r="G316" t="str">
        <f>INDEX(Establishment!C$2:C$1005,MATCH($E316,Establishment!$A$2:$A$1005,0))</f>
        <v xml:space="preserve"> </v>
      </c>
      <c r="M316">
        <f t="shared" si="26"/>
        <v>0</v>
      </c>
      <c r="N316">
        <f t="shared" si="24"/>
        <v>0</v>
      </c>
      <c r="P316" t="e">
        <f>INDEX(Items!B$2:B$1032,MATCH($O316,Items!$A$2:$A$1032,0))</f>
        <v>#N/A</v>
      </c>
      <c r="Q316" t="e">
        <f>INDEX(Items!C$2:C$1032,MATCH($O316,Items!$A$2:$A$1032,0))</f>
        <v>#N/A</v>
      </c>
      <c r="R316" t="e">
        <f>INDEX(Items!D$2:D$1032,MATCH($O316,Items!$A$2:$A$1032,0))</f>
        <v>#N/A</v>
      </c>
    </row>
    <row r="317" spans="1:18" x14ac:dyDescent="0.25">
      <c r="A317">
        <f t="shared" si="22"/>
        <v>1</v>
      </c>
      <c r="B317" t="str">
        <f t="shared" si="23"/>
        <v/>
      </c>
      <c r="C317">
        <f t="shared" si="25"/>
        <v>1</v>
      </c>
      <c r="D317" s="4"/>
      <c r="E317" t="s">
        <v>18</v>
      </c>
      <c r="F317" t="str">
        <f>INDEX(Establishment!B$2:B$1005,MATCH($E317,Establishment!$A$2:$A$1005,0))</f>
        <v xml:space="preserve"> </v>
      </c>
      <c r="G317" t="str">
        <f>INDEX(Establishment!C$2:C$1005,MATCH($E317,Establishment!$A$2:$A$1005,0))</f>
        <v xml:space="preserve"> </v>
      </c>
      <c r="M317">
        <f t="shared" si="26"/>
        <v>0</v>
      </c>
      <c r="N317">
        <f t="shared" si="24"/>
        <v>0</v>
      </c>
      <c r="P317" t="e">
        <f>INDEX(Items!B$2:B$1032,MATCH($O317,Items!$A$2:$A$1032,0))</f>
        <v>#N/A</v>
      </c>
      <c r="Q317" t="e">
        <f>INDEX(Items!C$2:C$1032,MATCH($O317,Items!$A$2:$A$1032,0))</f>
        <v>#N/A</v>
      </c>
      <c r="R317" t="e">
        <f>INDEX(Items!D$2:D$1032,MATCH($O317,Items!$A$2:$A$1032,0))</f>
        <v>#N/A</v>
      </c>
    </row>
    <row r="318" spans="1:18" x14ac:dyDescent="0.25">
      <c r="A318">
        <f t="shared" si="22"/>
        <v>1</v>
      </c>
      <c r="B318" t="str">
        <f t="shared" si="23"/>
        <v/>
      </c>
      <c r="C318">
        <f t="shared" si="25"/>
        <v>1</v>
      </c>
      <c r="D318" s="4"/>
      <c r="E318" t="s">
        <v>18</v>
      </c>
      <c r="F318" t="str">
        <f>INDEX(Establishment!B$2:B$1005,MATCH($E318,Establishment!$A$2:$A$1005,0))</f>
        <v xml:space="preserve"> </v>
      </c>
      <c r="G318" t="str">
        <f>INDEX(Establishment!C$2:C$1005,MATCH($E318,Establishment!$A$2:$A$1005,0))</f>
        <v xml:space="preserve"> </v>
      </c>
      <c r="M318">
        <f t="shared" si="26"/>
        <v>0</v>
      </c>
      <c r="N318">
        <f t="shared" si="24"/>
        <v>0</v>
      </c>
      <c r="P318" t="e">
        <f>INDEX(Items!B$2:B$1032,MATCH($O318,Items!$A$2:$A$1032,0))</f>
        <v>#N/A</v>
      </c>
      <c r="Q318" t="e">
        <f>INDEX(Items!C$2:C$1032,MATCH($O318,Items!$A$2:$A$1032,0))</f>
        <v>#N/A</v>
      </c>
      <c r="R318" t="e">
        <f>INDEX(Items!D$2:D$1032,MATCH($O318,Items!$A$2:$A$1032,0))</f>
        <v>#N/A</v>
      </c>
    </row>
    <row r="319" spans="1:18" x14ac:dyDescent="0.25">
      <c r="A319">
        <f t="shared" si="22"/>
        <v>1</v>
      </c>
      <c r="B319" t="str">
        <f t="shared" si="23"/>
        <v/>
      </c>
      <c r="C319">
        <f t="shared" si="25"/>
        <v>1</v>
      </c>
      <c r="D319" s="4"/>
      <c r="E319" t="s">
        <v>18</v>
      </c>
      <c r="F319" t="str">
        <f>INDEX(Establishment!B$2:B$1005,MATCH($E319,Establishment!$A$2:$A$1005,0))</f>
        <v xml:space="preserve"> </v>
      </c>
      <c r="G319" t="str">
        <f>INDEX(Establishment!C$2:C$1005,MATCH($E319,Establishment!$A$2:$A$1005,0))</f>
        <v xml:space="preserve"> </v>
      </c>
      <c r="M319">
        <f t="shared" si="26"/>
        <v>0</v>
      </c>
      <c r="N319">
        <f t="shared" si="24"/>
        <v>0</v>
      </c>
      <c r="P319" t="e">
        <f>INDEX(Items!B$2:B$1032,MATCH($O319,Items!$A$2:$A$1032,0))</f>
        <v>#N/A</v>
      </c>
      <c r="Q319" t="e">
        <f>INDEX(Items!C$2:C$1032,MATCH($O319,Items!$A$2:$A$1032,0))</f>
        <v>#N/A</v>
      </c>
      <c r="R319" t="e">
        <f>INDEX(Items!D$2:D$1032,MATCH($O319,Items!$A$2:$A$1032,0))</f>
        <v>#N/A</v>
      </c>
    </row>
    <row r="320" spans="1:18" x14ac:dyDescent="0.25">
      <c r="A320">
        <f t="shared" si="22"/>
        <v>1</v>
      </c>
      <c r="B320" t="str">
        <f t="shared" si="23"/>
        <v/>
      </c>
      <c r="C320">
        <f t="shared" si="25"/>
        <v>1</v>
      </c>
      <c r="D320" s="4"/>
      <c r="E320" t="s">
        <v>18</v>
      </c>
      <c r="F320" t="str">
        <f>INDEX(Establishment!B$2:B$1005,MATCH($E320,Establishment!$A$2:$A$1005,0))</f>
        <v xml:space="preserve"> </v>
      </c>
      <c r="G320" t="str">
        <f>INDEX(Establishment!C$2:C$1005,MATCH($E320,Establishment!$A$2:$A$1005,0))</f>
        <v xml:space="preserve"> </v>
      </c>
      <c r="M320">
        <f t="shared" si="26"/>
        <v>0</v>
      </c>
      <c r="N320">
        <f t="shared" si="24"/>
        <v>0</v>
      </c>
      <c r="P320" t="e">
        <f>INDEX(Items!B$2:B$1032,MATCH($O320,Items!$A$2:$A$1032,0))</f>
        <v>#N/A</v>
      </c>
      <c r="Q320" t="e">
        <f>INDEX(Items!C$2:C$1032,MATCH($O320,Items!$A$2:$A$1032,0))</f>
        <v>#N/A</v>
      </c>
      <c r="R320" t="e">
        <f>INDEX(Items!D$2:D$1032,MATCH($O320,Items!$A$2:$A$1032,0))</f>
        <v>#N/A</v>
      </c>
    </row>
    <row r="321" spans="1:18" x14ac:dyDescent="0.25">
      <c r="A321">
        <f t="shared" si="22"/>
        <v>1</v>
      </c>
      <c r="B321" t="str">
        <f t="shared" si="23"/>
        <v/>
      </c>
      <c r="C321">
        <f t="shared" si="25"/>
        <v>1</v>
      </c>
      <c r="D321" s="4"/>
      <c r="E321" t="s">
        <v>18</v>
      </c>
      <c r="F321" t="str">
        <f>INDEX(Establishment!B$2:B$1005,MATCH($E321,Establishment!$A$2:$A$1005,0))</f>
        <v xml:space="preserve"> </v>
      </c>
      <c r="G321" t="str">
        <f>INDEX(Establishment!C$2:C$1005,MATCH($E321,Establishment!$A$2:$A$1005,0))</f>
        <v xml:space="preserve"> </v>
      </c>
      <c r="M321">
        <f t="shared" si="26"/>
        <v>0</v>
      </c>
      <c r="N321">
        <f t="shared" si="24"/>
        <v>0</v>
      </c>
      <c r="P321" t="e">
        <f>INDEX(Items!B$2:B$1032,MATCH($O321,Items!$A$2:$A$1032,0))</f>
        <v>#N/A</v>
      </c>
      <c r="Q321" t="e">
        <f>INDEX(Items!C$2:C$1032,MATCH($O321,Items!$A$2:$A$1032,0))</f>
        <v>#N/A</v>
      </c>
      <c r="R321" t="e">
        <f>INDEX(Items!D$2:D$1032,MATCH($O321,Items!$A$2:$A$1032,0))</f>
        <v>#N/A</v>
      </c>
    </row>
    <row r="322" spans="1:18" x14ac:dyDescent="0.25">
      <c r="A322">
        <f t="shared" ref="A322:A385" si="27">IF(OR(D322&lt;&gt;D321,D322=""),1,IF(NOT(AND(E322=E321,F322=F321,G322=G321)),A321+1,IF(OR(H322="",AND(H322&lt;&gt;"",H322&lt;&gt;H321,H321&lt;&gt;"")),A321,A321+1)))</f>
        <v>1</v>
      </c>
      <c r="B322" t="str">
        <f t="shared" ref="B322:B385" si="28">IF(D322&lt;&gt;"",TEXT(D322,"YYYYMMDD")&amp;CHAR(64+A322),"")</f>
        <v/>
      </c>
      <c r="C322">
        <f t="shared" si="25"/>
        <v>1</v>
      </c>
      <c r="D322" s="4"/>
      <c r="E322" t="s">
        <v>18</v>
      </c>
      <c r="F322" t="str">
        <f>INDEX(Establishment!B$2:B$1005,MATCH($E322,Establishment!$A$2:$A$1005,0))</f>
        <v xml:space="preserve"> </v>
      </c>
      <c r="G322" t="str">
        <f>INDEX(Establishment!C$2:C$1005,MATCH($E322,Establishment!$A$2:$A$1005,0))</f>
        <v xml:space="preserve"> </v>
      </c>
      <c r="M322">
        <f t="shared" si="26"/>
        <v>0</v>
      </c>
      <c r="N322">
        <f t="shared" si="24"/>
        <v>0</v>
      </c>
      <c r="P322" t="e">
        <f>INDEX(Items!B$2:B$1032,MATCH($O322,Items!$A$2:$A$1032,0))</f>
        <v>#N/A</v>
      </c>
      <c r="Q322" t="e">
        <f>INDEX(Items!C$2:C$1032,MATCH($O322,Items!$A$2:$A$1032,0))</f>
        <v>#N/A</v>
      </c>
      <c r="R322" t="e">
        <f>INDEX(Items!D$2:D$1032,MATCH($O322,Items!$A$2:$A$1032,0))</f>
        <v>#N/A</v>
      </c>
    </row>
    <row r="323" spans="1:18" x14ac:dyDescent="0.25">
      <c r="A323">
        <f t="shared" si="27"/>
        <v>1</v>
      </c>
      <c r="B323" t="str">
        <f t="shared" si="28"/>
        <v/>
      </c>
      <c r="C323">
        <f t="shared" si="25"/>
        <v>1</v>
      </c>
      <c r="D323" s="4"/>
      <c r="E323" t="s">
        <v>18</v>
      </c>
      <c r="F323" t="str">
        <f>INDEX(Establishment!B$2:B$1005,MATCH($E323,Establishment!$A$2:$A$1005,0))</f>
        <v xml:space="preserve"> </v>
      </c>
      <c r="G323" t="str">
        <f>INDEX(Establishment!C$2:C$1005,MATCH($E323,Establishment!$A$2:$A$1005,0))</f>
        <v xml:space="preserve"> </v>
      </c>
      <c r="M323">
        <f t="shared" si="26"/>
        <v>0</v>
      </c>
      <c r="N323">
        <f t="shared" ref="N323:N386" si="29">IF(B323=B322,N322+M323,M323)</f>
        <v>0</v>
      </c>
      <c r="P323" t="e">
        <f>INDEX(Items!B$2:B$1032,MATCH($O323,Items!$A$2:$A$1032,0))</f>
        <v>#N/A</v>
      </c>
      <c r="Q323" t="e">
        <f>INDEX(Items!C$2:C$1032,MATCH($O323,Items!$A$2:$A$1032,0))</f>
        <v>#N/A</v>
      </c>
      <c r="R323" t="e">
        <f>INDEX(Items!D$2:D$1032,MATCH($O323,Items!$A$2:$A$1032,0))</f>
        <v>#N/A</v>
      </c>
    </row>
    <row r="324" spans="1:18" x14ac:dyDescent="0.25">
      <c r="A324">
        <f t="shared" si="27"/>
        <v>1</v>
      </c>
      <c r="B324" t="str">
        <f t="shared" si="28"/>
        <v/>
      </c>
      <c r="C324">
        <f t="shared" si="25"/>
        <v>1</v>
      </c>
      <c r="D324" s="4"/>
      <c r="E324" t="s">
        <v>18</v>
      </c>
      <c r="F324" t="str">
        <f>INDEX(Establishment!B$2:B$1005,MATCH($E324,Establishment!$A$2:$A$1005,0))</f>
        <v xml:space="preserve"> </v>
      </c>
      <c r="G324" t="str">
        <f>INDEX(Establishment!C$2:C$1005,MATCH($E324,Establishment!$A$2:$A$1005,0))</f>
        <v xml:space="preserve"> </v>
      </c>
      <c r="M324">
        <f t="shared" si="26"/>
        <v>0</v>
      </c>
      <c r="N324">
        <f t="shared" si="29"/>
        <v>0</v>
      </c>
      <c r="P324" t="e">
        <f>INDEX(Items!B$2:B$1032,MATCH($O324,Items!$A$2:$A$1032,0))</f>
        <v>#N/A</v>
      </c>
      <c r="Q324" t="e">
        <f>INDEX(Items!C$2:C$1032,MATCH($O324,Items!$A$2:$A$1032,0))</f>
        <v>#N/A</v>
      </c>
      <c r="R324" t="e">
        <f>INDEX(Items!D$2:D$1032,MATCH($O324,Items!$A$2:$A$1032,0))</f>
        <v>#N/A</v>
      </c>
    </row>
    <row r="325" spans="1:18" x14ac:dyDescent="0.25">
      <c r="A325">
        <f t="shared" si="27"/>
        <v>1</v>
      </c>
      <c r="B325" t="str">
        <f t="shared" si="28"/>
        <v/>
      </c>
      <c r="C325">
        <f t="shared" si="25"/>
        <v>1</v>
      </c>
      <c r="D325" s="4"/>
      <c r="E325" t="s">
        <v>18</v>
      </c>
      <c r="F325" t="str">
        <f>INDEX(Establishment!B$2:B$1005,MATCH($E325,Establishment!$A$2:$A$1005,0))</f>
        <v xml:space="preserve"> </v>
      </c>
      <c r="G325" t="str">
        <f>INDEX(Establishment!C$2:C$1005,MATCH($E325,Establishment!$A$2:$A$1005,0))</f>
        <v xml:space="preserve"> </v>
      </c>
      <c r="M325">
        <f t="shared" si="26"/>
        <v>0</v>
      </c>
      <c r="N325">
        <f t="shared" si="29"/>
        <v>0</v>
      </c>
      <c r="P325" t="e">
        <f>INDEX(Items!B$2:B$1032,MATCH($O325,Items!$A$2:$A$1032,0))</f>
        <v>#N/A</v>
      </c>
      <c r="Q325" t="e">
        <f>INDEX(Items!C$2:C$1032,MATCH($O325,Items!$A$2:$A$1032,0))</f>
        <v>#N/A</v>
      </c>
      <c r="R325" t="e">
        <f>INDEX(Items!D$2:D$1032,MATCH($O325,Items!$A$2:$A$1032,0))</f>
        <v>#N/A</v>
      </c>
    </row>
    <row r="326" spans="1:18" x14ac:dyDescent="0.25">
      <c r="A326">
        <f t="shared" si="27"/>
        <v>1</v>
      </c>
      <c r="B326" t="str">
        <f t="shared" si="28"/>
        <v/>
      </c>
      <c r="C326">
        <f t="shared" si="25"/>
        <v>1</v>
      </c>
      <c r="D326" s="4"/>
      <c r="E326" t="s">
        <v>18</v>
      </c>
      <c r="F326" t="str">
        <f>INDEX(Establishment!B$2:B$1005,MATCH($E326,Establishment!$A$2:$A$1005,0))</f>
        <v xml:space="preserve"> </v>
      </c>
      <c r="G326" t="str">
        <f>INDEX(Establishment!C$2:C$1005,MATCH($E326,Establishment!$A$2:$A$1005,0))</f>
        <v xml:space="preserve"> </v>
      </c>
      <c r="M326">
        <f t="shared" si="26"/>
        <v>0</v>
      </c>
      <c r="N326">
        <f t="shared" si="29"/>
        <v>0</v>
      </c>
      <c r="P326" t="e">
        <f>INDEX(Items!B$2:B$1032,MATCH($O326,Items!$A$2:$A$1032,0))</f>
        <v>#N/A</v>
      </c>
      <c r="Q326" t="e">
        <f>INDEX(Items!C$2:C$1032,MATCH($O326,Items!$A$2:$A$1032,0))</f>
        <v>#N/A</v>
      </c>
      <c r="R326" t="e">
        <f>INDEX(Items!D$2:D$1032,MATCH($O326,Items!$A$2:$A$1032,0))</f>
        <v>#N/A</v>
      </c>
    </row>
    <row r="327" spans="1:18" x14ac:dyDescent="0.25">
      <c r="A327">
        <f t="shared" si="27"/>
        <v>1</v>
      </c>
      <c r="B327" t="str">
        <f t="shared" si="28"/>
        <v/>
      </c>
      <c r="C327">
        <f t="shared" si="25"/>
        <v>1</v>
      </c>
      <c r="D327" s="4"/>
      <c r="E327" t="s">
        <v>18</v>
      </c>
      <c r="F327" t="str">
        <f>INDEX(Establishment!B$2:B$1005,MATCH($E327,Establishment!$A$2:$A$1005,0))</f>
        <v xml:space="preserve"> </v>
      </c>
      <c r="G327" t="str">
        <f>INDEX(Establishment!C$2:C$1005,MATCH($E327,Establishment!$A$2:$A$1005,0))</f>
        <v xml:space="preserve"> </v>
      </c>
      <c r="M327">
        <f t="shared" si="26"/>
        <v>0</v>
      </c>
      <c r="N327">
        <f t="shared" si="29"/>
        <v>0</v>
      </c>
      <c r="P327" t="e">
        <f>INDEX(Items!B$2:B$1032,MATCH($O327,Items!$A$2:$A$1032,0))</f>
        <v>#N/A</v>
      </c>
      <c r="Q327" t="e">
        <f>INDEX(Items!C$2:C$1032,MATCH($O327,Items!$A$2:$A$1032,0))</f>
        <v>#N/A</v>
      </c>
      <c r="R327" t="e">
        <f>INDEX(Items!D$2:D$1032,MATCH($O327,Items!$A$2:$A$1032,0))</f>
        <v>#N/A</v>
      </c>
    </row>
    <row r="328" spans="1:18" x14ac:dyDescent="0.25">
      <c r="A328">
        <f t="shared" si="27"/>
        <v>1</v>
      </c>
      <c r="B328" t="str">
        <f t="shared" si="28"/>
        <v/>
      </c>
      <c r="C328">
        <f t="shared" si="25"/>
        <v>1</v>
      </c>
      <c r="D328" s="4"/>
      <c r="E328" t="s">
        <v>18</v>
      </c>
      <c r="F328" t="str">
        <f>INDEX(Establishment!B$2:B$1005,MATCH($E328,Establishment!$A$2:$A$1005,0))</f>
        <v xml:space="preserve"> </v>
      </c>
      <c r="G328" t="str">
        <f>INDEX(Establishment!C$2:C$1005,MATCH($E328,Establishment!$A$2:$A$1005,0))</f>
        <v xml:space="preserve"> </v>
      </c>
      <c r="M328">
        <f t="shared" si="26"/>
        <v>0</v>
      </c>
      <c r="N328">
        <f t="shared" si="29"/>
        <v>0</v>
      </c>
      <c r="P328" t="e">
        <f>INDEX(Items!B$2:B$1032,MATCH($O328,Items!$A$2:$A$1032,0))</f>
        <v>#N/A</v>
      </c>
      <c r="Q328" t="e">
        <f>INDEX(Items!C$2:C$1032,MATCH($O328,Items!$A$2:$A$1032,0))</f>
        <v>#N/A</v>
      </c>
      <c r="R328" t="e">
        <f>INDEX(Items!D$2:D$1032,MATCH($O328,Items!$A$2:$A$1032,0))</f>
        <v>#N/A</v>
      </c>
    </row>
    <row r="329" spans="1:18" x14ac:dyDescent="0.25">
      <c r="A329">
        <f t="shared" si="27"/>
        <v>1</v>
      </c>
      <c r="B329" t="str">
        <f t="shared" si="28"/>
        <v/>
      </c>
      <c r="C329">
        <f t="shared" si="25"/>
        <v>1</v>
      </c>
      <c r="D329" s="4"/>
      <c r="E329" t="s">
        <v>18</v>
      </c>
      <c r="F329" t="str">
        <f>INDEX(Establishment!B$2:B$1005,MATCH($E329,Establishment!$A$2:$A$1005,0))</f>
        <v xml:space="preserve"> </v>
      </c>
      <c r="G329" t="str">
        <f>INDEX(Establishment!C$2:C$1005,MATCH($E329,Establishment!$A$2:$A$1005,0))</f>
        <v xml:space="preserve"> </v>
      </c>
      <c r="M329">
        <f t="shared" si="26"/>
        <v>0</v>
      </c>
      <c r="N329">
        <f t="shared" si="29"/>
        <v>0</v>
      </c>
      <c r="P329" t="e">
        <f>INDEX(Items!B$2:B$1032,MATCH($O329,Items!$A$2:$A$1032,0))</f>
        <v>#N/A</v>
      </c>
      <c r="Q329" t="e">
        <f>INDEX(Items!C$2:C$1032,MATCH($O329,Items!$A$2:$A$1032,0))</f>
        <v>#N/A</v>
      </c>
      <c r="R329" t="e">
        <f>INDEX(Items!D$2:D$1032,MATCH($O329,Items!$A$2:$A$1032,0))</f>
        <v>#N/A</v>
      </c>
    </row>
    <row r="330" spans="1:18" x14ac:dyDescent="0.25">
      <c r="A330">
        <f t="shared" si="27"/>
        <v>1</v>
      </c>
      <c r="B330" t="str">
        <f t="shared" si="28"/>
        <v/>
      </c>
      <c r="C330">
        <f t="shared" ref="C330:C393" si="30">IF(OR(B330="",B330&lt;&gt;B329),1,C329+1)</f>
        <v>1</v>
      </c>
      <c r="D330" s="4"/>
      <c r="E330" t="s">
        <v>18</v>
      </c>
      <c r="F330" t="str">
        <f>INDEX(Establishment!B$2:B$1005,MATCH($E330,Establishment!$A$2:$A$1005,0))</f>
        <v xml:space="preserve"> </v>
      </c>
      <c r="G330" t="str">
        <f>INDEX(Establishment!C$2:C$1005,MATCH($E330,Establishment!$A$2:$A$1005,0))</f>
        <v xml:space="preserve"> </v>
      </c>
      <c r="M330">
        <f t="shared" ref="M330:M393" si="31">K330*L330</f>
        <v>0</v>
      </c>
      <c r="N330">
        <f t="shared" si="29"/>
        <v>0</v>
      </c>
      <c r="P330" t="e">
        <f>INDEX(Items!B$2:B$1032,MATCH($O330,Items!$A$2:$A$1032,0))</f>
        <v>#N/A</v>
      </c>
      <c r="Q330" t="e">
        <f>INDEX(Items!C$2:C$1032,MATCH($O330,Items!$A$2:$A$1032,0))</f>
        <v>#N/A</v>
      </c>
      <c r="R330" t="e">
        <f>INDEX(Items!D$2:D$1032,MATCH($O330,Items!$A$2:$A$1032,0))</f>
        <v>#N/A</v>
      </c>
    </row>
    <row r="331" spans="1:18" x14ac:dyDescent="0.25">
      <c r="A331">
        <f t="shared" si="27"/>
        <v>1</v>
      </c>
      <c r="B331" t="str">
        <f t="shared" si="28"/>
        <v/>
      </c>
      <c r="C331">
        <f t="shared" si="30"/>
        <v>1</v>
      </c>
      <c r="D331" s="4"/>
      <c r="E331" t="s">
        <v>18</v>
      </c>
      <c r="F331" t="str">
        <f>INDEX(Establishment!B$2:B$1005,MATCH($E331,Establishment!$A$2:$A$1005,0))</f>
        <v xml:space="preserve"> </v>
      </c>
      <c r="G331" t="str">
        <f>INDEX(Establishment!C$2:C$1005,MATCH($E331,Establishment!$A$2:$A$1005,0))</f>
        <v xml:space="preserve"> </v>
      </c>
      <c r="M331">
        <f t="shared" si="31"/>
        <v>0</v>
      </c>
      <c r="N331">
        <f t="shared" si="29"/>
        <v>0</v>
      </c>
      <c r="P331" t="e">
        <f>INDEX(Items!B$2:B$1032,MATCH($O331,Items!$A$2:$A$1032,0))</f>
        <v>#N/A</v>
      </c>
      <c r="Q331" t="e">
        <f>INDEX(Items!C$2:C$1032,MATCH($O331,Items!$A$2:$A$1032,0))</f>
        <v>#N/A</v>
      </c>
      <c r="R331" t="e">
        <f>INDEX(Items!D$2:D$1032,MATCH($O331,Items!$A$2:$A$1032,0))</f>
        <v>#N/A</v>
      </c>
    </row>
    <row r="332" spans="1:18" x14ac:dyDescent="0.25">
      <c r="A332">
        <f t="shared" si="27"/>
        <v>1</v>
      </c>
      <c r="B332" t="str">
        <f t="shared" si="28"/>
        <v/>
      </c>
      <c r="C332">
        <f t="shared" si="30"/>
        <v>1</v>
      </c>
      <c r="D332" s="4"/>
      <c r="E332" t="s">
        <v>18</v>
      </c>
      <c r="F332" t="str">
        <f>INDEX(Establishment!B$2:B$1005,MATCH($E332,Establishment!$A$2:$A$1005,0))</f>
        <v xml:space="preserve"> </v>
      </c>
      <c r="G332" t="str">
        <f>INDEX(Establishment!C$2:C$1005,MATCH($E332,Establishment!$A$2:$A$1005,0))</f>
        <v xml:space="preserve"> </v>
      </c>
      <c r="M332">
        <f t="shared" si="31"/>
        <v>0</v>
      </c>
      <c r="N332">
        <f t="shared" si="29"/>
        <v>0</v>
      </c>
      <c r="P332" t="e">
        <f>INDEX(Items!B$2:B$1032,MATCH($O332,Items!$A$2:$A$1032,0))</f>
        <v>#N/A</v>
      </c>
      <c r="Q332" t="e">
        <f>INDEX(Items!C$2:C$1032,MATCH($O332,Items!$A$2:$A$1032,0))</f>
        <v>#N/A</v>
      </c>
      <c r="R332" t="e">
        <f>INDEX(Items!D$2:D$1032,MATCH($O332,Items!$A$2:$A$1032,0))</f>
        <v>#N/A</v>
      </c>
    </row>
    <row r="333" spans="1:18" x14ac:dyDescent="0.25">
      <c r="A333">
        <f t="shared" si="27"/>
        <v>1</v>
      </c>
      <c r="B333" t="str">
        <f t="shared" si="28"/>
        <v/>
      </c>
      <c r="C333">
        <f t="shared" si="30"/>
        <v>1</v>
      </c>
      <c r="D333" s="4"/>
      <c r="E333" t="s">
        <v>18</v>
      </c>
      <c r="F333" t="str">
        <f>INDEX(Establishment!B$2:B$1005,MATCH($E333,Establishment!$A$2:$A$1005,0))</f>
        <v xml:space="preserve"> </v>
      </c>
      <c r="G333" t="str">
        <f>INDEX(Establishment!C$2:C$1005,MATCH($E333,Establishment!$A$2:$A$1005,0))</f>
        <v xml:space="preserve"> </v>
      </c>
      <c r="M333">
        <f t="shared" si="31"/>
        <v>0</v>
      </c>
      <c r="N333">
        <f t="shared" si="29"/>
        <v>0</v>
      </c>
      <c r="P333" t="e">
        <f>INDEX(Items!B$2:B$1032,MATCH($O333,Items!$A$2:$A$1032,0))</f>
        <v>#N/A</v>
      </c>
      <c r="Q333" t="e">
        <f>INDEX(Items!C$2:C$1032,MATCH($O333,Items!$A$2:$A$1032,0))</f>
        <v>#N/A</v>
      </c>
      <c r="R333" t="e">
        <f>INDEX(Items!D$2:D$1032,MATCH($O333,Items!$A$2:$A$1032,0))</f>
        <v>#N/A</v>
      </c>
    </row>
    <row r="334" spans="1:18" x14ac:dyDescent="0.25">
      <c r="A334">
        <f t="shared" si="27"/>
        <v>1</v>
      </c>
      <c r="B334" t="str">
        <f t="shared" si="28"/>
        <v/>
      </c>
      <c r="C334">
        <f t="shared" si="30"/>
        <v>1</v>
      </c>
      <c r="D334" s="4"/>
      <c r="E334" t="s">
        <v>18</v>
      </c>
      <c r="F334" t="str">
        <f>INDEX(Establishment!B$2:B$1005,MATCH($E334,Establishment!$A$2:$A$1005,0))</f>
        <v xml:space="preserve"> </v>
      </c>
      <c r="G334" t="str">
        <f>INDEX(Establishment!C$2:C$1005,MATCH($E334,Establishment!$A$2:$A$1005,0))</f>
        <v xml:space="preserve"> </v>
      </c>
      <c r="M334">
        <f t="shared" si="31"/>
        <v>0</v>
      </c>
      <c r="N334">
        <f t="shared" si="29"/>
        <v>0</v>
      </c>
      <c r="P334" t="e">
        <f>INDEX(Items!B$2:B$1032,MATCH($O334,Items!$A$2:$A$1032,0))</f>
        <v>#N/A</v>
      </c>
      <c r="Q334" t="e">
        <f>INDEX(Items!C$2:C$1032,MATCH($O334,Items!$A$2:$A$1032,0))</f>
        <v>#N/A</v>
      </c>
      <c r="R334" t="e">
        <f>INDEX(Items!D$2:D$1032,MATCH($O334,Items!$A$2:$A$1032,0))</f>
        <v>#N/A</v>
      </c>
    </row>
    <row r="335" spans="1:18" x14ac:dyDescent="0.25">
      <c r="A335">
        <f t="shared" si="27"/>
        <v>1</v>
      </c>
      <c r="B335" t="str">
        <f t="shared" si="28"/>
        <v/>
      </c>
      <c r="C335">
        <f t="shared" si="30"/>
        <v>1</v>
      </c>
      <c r="D335" s="4"/>
      <c r="E335" t="s">
        <v>18</v>
      </c>
      <c r="F335" t="str">
        <f>INDEX(Establishment!B$2:B$1005,MATCH($E335,Establishment!$A$2:$A$1005,0))</f>
        <v xml:space="preserve"> </v>
      </c>
      <c r="G335" t="str">
        <f>INDEX(Establishment!C$2:C$1005,MATCH($E335,Establishment!$A$2:$A$1005,0))</f>
        <v xml:space="preserve"> </v>
      </c>
      <c r="M335">
        <f t="shared" si="31"/>
        <v>0</v>
      </c>
      <c r="N335">
        <f t="shared" si="29"/>
        <v>0</v>
      </c>
      <c r="P335" t="e">
        <f>INDEX(Items!B$2:B$1032,MATCH($O335,Items!$A$2:$A$1032,0))</f>
        <v>#N/A</v>
      </c>
      <c r="Q335" t="e">
        <f>INDEX(Items!C$2:C$1032,MATCH($O335,Items!$A$2:$A$1032,0))</f>
        <v>#N/A</v>
      </c>
      <c r="R335" t="e">
        <f>INDEX(Items!D$2:D$1032,MATCH($O335,Items!$A$2:$A$1032,0))</f>
        <v>#N/A</v>
      </c>
    </row>
    <row r="336" spans="1:18" x14ac:dyDescent="0.25">
      <c r="A336">
        <f t="shared" si="27"/>
        <v>1</v>
      </c>
      <c r="B336" t="str">
        <f t="shared" si="28"/>
        <v/>
      </c>
      <c r="C336">
        <f t="shared" si="30"/>
        <v>1</v>
      </c>
      <c r="D336" s="4"/>
      <c r="E336" t="s">
        <v>18</v>
      </c>
      <c r="F336" t="str">
        <f>INDEX(Establishment!B$2:B$1005,MATCH($E336,Establishment!$A$2:$A$1005,0))</f>
        <v xml:space="preserve"> </v>
      </c>
      <c r="G336" t="str">
        <f>INDEX(Establishment!C$2:C$1005,MATCH($E336,Establishment!$A$2:$A$1005,0))</f>
        <v xml:space="preserve"> </v>
      </c>
      <c r="M336">
        <f t="shared" si="31"/>
        <v>0</v>
      </c>
      <c r="N336">
        <f t="shared" si="29"/>
        <v>0</v>
      </c>
      <c r="P336" t="e">
        <f>INDEX(Items!B$2:B$1032,MATCH($O336,Items!$A$2:$A$1032,0))</f>
        <v>#N/A</v>
      </c>
      <c r="Q336" t="e">
        <f>INDEX(Items!C$2:C$1032,MATCH($O336,Items!$A$2:$A$1032,0))</f>
        <v>#N/A</v>
      </c>
      <c r="R336" t="e">
        <f>INDEX(Items!D$2:D$1032,MATCH($O336,Items!$A$2:$A$1032,0))</f>
        <v>#N/A</v>
      </c>
    </row>
    <row r="337" spans="1:18" x14ac:dyDescent="0.25">
      <c r="A337">
        <f t="shared" si="27"/>
        <v>1</v>
      </c>
      <c r="B337" t="str">
        <f t="shared" si="28"/>
        <v/>
      </c>
      <c r="C337">
        <f t="shared" si="30"/>
        <v>1</v>
      </c>
      <c r="D337" s="4"/>
      <c r="E337" t="s">
        <v>18</v>
      </c>
      <c r="F337" t="str">
        <f>INDEX(Establishment!B$2:B$1005,MATCH($E337,Establishment!$A$2:$A$1005,0))</f>
        <v xml:space="preserve"> </v>
      </c>
      <c r="G337" t="str">
        <f>INDEX(Establishment!C$2:C$1005,MATCH($E337,Establishment!$A$2:$A$1005,0))</f>
        <v xml:space="preserve"> </v>
      </c>
      <c r="M337">
        <f t="shared" si="31"/>
        <v>0</v>
      </c>
      <c r="N337">
        <f t="shared" si="29"/>
        <v>0</v>
      </c>
      <c r="P337" t="e">
        <f>INDEX(Items!B$2:B$1032,MATCH($O337,Items!$A$2:$A$1032,0))</f>
        <v>#N/A</v>
      </c>
      <c r="Q337" t="e">
        <f>INDEX(Items!C$2:C$1032,MATCH($O337,Items!$A$2:$A$1032,0))</f>
        <v>#N/A</v>
      </c>
      <c r="R337" t="e">
        <f>INDEX(Items!D$2:D$1032,MATCH($O337,Items!$A$2:$A$1032,0))</f>
        <v>#N/A</v>
      </c>
    </row>
    <row r="338" spans="1:18" x14ac:dyDescent="0.25">
      <c r="A338">
        <f t="shared" si="27"/>
        <v>1</v>
      </c>
      <c r="B338" t="str">
        <f t="shared" si="28"/>
        <v/>
      </c>
      <c r="C338">
        <f t="shared" si="30"/>
        <v>1</v>
      </c>
      <c r="D338" s="4"/>
      <c r="E338" t="s">
        <v>18</v>
      </c>
      <c r="F338" t="str">
        <f>INDEX(Establishment!B$2:B$1005,MATCH($E338,Establishment!$A$2:$A$1005,0))</f>
        <v xml:space="preserve"> </v>
      </c>
      <c r="G338" t="str">
        <f>INDEX(Establishment!C$2:C$1005,MATCH($E338,Establishment!$A$2:$A$1005,0))</f>
        <v xml:space="preserve"> </v>
      </c>
      <c r="M338">
        <f t="shared" si="31"/>
        <v>0</v>
      </c>
      <c r="N338">
        <f t="shared" si="29"/>
        <v>0</v>
      </c>
      <c r="P338" t="e">
        <f>INDEX(Items!B$2:B$1032,MATCH($O338,Items!$A$2:$A$1032,0))</f>
        <v>#N/A</v>
      </c>
      <c r="Q338" t="e">
        <f>INDEX(Items!C$2:C$1032,MATCH($O338,Items!$A$2:$A$1032,0))</f>
        <v>#N/A</v>
      </c>
      <c r="R338" t="e">
        <f>INDEX(Items!D$2:D$1032,MATCH($O338,Items!$A$2:$A$1032,0))</f>
        <v>#N/A</v>
      </c>
    </row>
    <row r="339" spans="1:18" x14ac:dyDescent="0.25">
      <c r="A339">
        <f t="shared" si="27"/>
        <v>1</v>
      </c>
      <c r="B339" t="str">
        <f t="shared" si="28"/>
        <v/>
      </c>
      <c r="C339">
        <f t="shared" si="30"/>
        <v>1</v>
      </c>
      <c r="D339" s="4"/>
      <c r="E339" t="s">
        <v>18</v>
      </c>
      <c r="F339" t="str">
        <f>INDEX(Establishment!B$2:B$1005,MATCH($E339,Establishment!$A$2:$A$1005,0))</f>
        <v xml:space="preserve"> </v>
      </c>
      <c r="G339" t="str">
        <f>INDEX(Establishment!C$2:C$1005,MATCH($E339,Establishment!$A$2:$A$1005,0))</f>
        <v xml:space="preserve"> </v>
      </c>
      <c r="M339">
        <f t="shared" si="31"/>
        <v>0</v>
      </c>
      <c r="N339">
        <f t="shared" si="29"/>
        <v>0</v>
      </c>
      <c r="P339" t="e">
        <f>INDEX(Items!B$2:B$1032,MATCH($O339,Items!$A$2:$A$1032,0))</f>
        <v>#N/A</v>
      </c>
      <c r="Q339" t="e">
        <f>INDEX(Items!C$2:C$1032,MATCH($O339,Items!$A$2:$A$1032,0))</f>
        <v>#N/A</v>
      </c>
      <c r="R339" t="e">
        <f>INDEX(Items!D$2:D$1032,MATCH($O339,Items!$A$2:$A$1032,0))</f>
        <v>#N/A</v>
      </c>
    </row>
    <row r="340" spans="1:18" x14ac:dyDescent="0.25">
      <c r="A340">
        <f t="shared" si="27"/>
        <v>1</v>
      </c>
      <c r="B340" t="str">
        <f t="shared" si="28"/>
        <v/>
      </c>
      <c r="C340">
        <f t="shared" si="30"/>
        <v>1</v>
      </c>
      <c r="D340" s="4"/>
      <c r="E340" t="s">
        <v>18</v>
      </c>
      <c r="F340" t="str">
        <f>INDEX(Establishment!B$2:B$1005,MATCH($E340,Establishment!$A$2:$A$1005,0))</f>
        <v xml:space="preserve"> </v>
      </c>
      <c r="G340" t="str">
        <f>INDEX(Establishment!C$2:C$1005,MATCH($E340,Establishment!$A$2:$A$1005,0))</f>
        <v xml:space="preserve"> </v>
      </c>
      <c r="M340">
        <f t="shared" si="31"/>
        <v>0</v>
      </c>
      <c r="N340">
        <f t="shared" si="29"/>
        <v>0</v>
      </c>
      <c r="P340" t="e">
        <f>INDEX(Items!B$2:B$1032,MATCH($O340,Items!$A$2:$A$1032,0))</f>
        <v>#N/A</v>
      </c>
      <c r="Q340" t="e">
        <f>INDEX(Items!C$2:C$1032,MATCH($O340,Items!$A$2:$A$1032,0))</f>
        <v>#N/A</v>
      </c>
      <c r="R340" t="e">
        <f>INDEX(Items!D$2:D$1032,MATCH($O340,Items!$A$2:$A$1032,0))</f>
        <v>#N/A</v>
      </c>
    </row>
    <row r="341" spans="1:18" x14ac:dyDescent="0.25">
      <c r="A341">
        <f t="shared" si="27"/>
        <v>1</v>
      </c>
      <c r="B341" t="str">
        <f t="shared" si="28"/>
        <v/>
      </c>
      <c r="C341">
        <f t="shared" si="30"/>
        <v>1</v>
      </c>
      <c r="D341" s="4"/>
      <c r="E341" t="s">
        <v>18</v>
      </c>
      <c r="F341" t="str">
        <f>INDEX(Establishment!B$2:B$1005,MATCH($E341,Establishment!$A$2:$A$1005,0))</f>
        <v xml:space="preserve"> </v>
      </c>
      <c r="G341" t="str">
        <f>INDEX(Establishment!C$2:C$1005,MATCH($E341,Establishment!$A$2:$A$1005,0))</f>
        <v xml:space="preserve"> </v>
      </c>
      <c r="M341">
        <f t="shared" si="31"/>
        <v>0</v>
      </c>
      <c r="N341">
        <f t="shared" si="29"/>
        <v>0</v>
      </c>
      <c r="P341" t="e">
        <f>INDEX(Items!B$2:B$1032,MATCH($O341,Items!$A$2:$A$1032,0))</f>
        <v>#N/A</v>
      </c>
      <c r="Q341" t="e">
        <f>INDEX(Items!C$2:C$1032,MATCH($O341,Items!$A$2:$A$1032,0))</f>
        <v>#N/A</v>
      </c>
      <c r="R341" t="e">
        <f>INDEX(Items!D$2:D$1032,MATCH($O341,Items!$A$2:$A$1032,0))</f>
        <v>#N/A</v>
      </c>
    </row>
    <row r="342" spans="1:18" x14ac:dyDescent="0.25">
      <c r="A342">
        <f t="shared" si="27"/>
        <v>1</v>
      </c>
      <c r="B342" t="str">
        <f t="shared" si="28"/>
        <v/>
      </c>
      <c r="C342">
        <f t="shared" si="30"/>
        <v>1</v>
      </c>
      <c r="D342" s="4"/>
      <c r="E342" t="s">
        <v>18</v>
      </c>
      <c r="F342" t="str">
        <f>INDEX(Establishment!B$2:B$1005,MATCH($E342,Establishment!$A$2:$A$1005,0))</f>
        <v xml:space="preserve"> </v>
      </c>
      <c r="G342" t="str">
        <f>INDEX(Establishment!C$2:C$1005,MATCH($E342,Establishment!$A$2:$A$1005,0))</f>
        <v xml:space="preserve"> </v>
      </c>
      <c r="M342">
        <f t="shared" si="31"/>
        <v>0</v>
      </c>
      <c r="N342">
        <f t="shared" si="29"/>
        <v>0</v>
      </c>
      <c r="P342" t="e">
        <f>INDEX(Items!B$2:B$1032,MATCH($O342,Items!$A$2:$A$1032,0))</f>
        <v>#N/A</v>
      </c>
      <c r="Q342" t="e">
        <f>INDEX(Items!C$2:C$1032,MATCH($O342,Items!$A$2:$A$1032,0))</f>
        <v>#N/A</v>
      </c>
      <c r="R342" t="e">
        <f>INDEX(Items!D$2:D$1032,MATCH($O342,Items!$A$2:$A$1032,0))</f>
        <v>#N/A</v>
      </c>
    </row>
    <row r="343" spans="1:18" x14ac:dyDescent="0.25">
      <c r="A343">
        <f t="shared" si="27"/>
        <v>1</v>
      </c>
      <c r="B343" t="str">
        <f t="shared" si="28"/>
        <v/>
      </c>
      <c r="C343">
        <f t="shared" si="30"/>
        <v>1</v>
      </c>
      <c r="D343" s="4"/>
      <c r="E343" t="s">
        <v>18</v>
      </c>
      <c r="F343" t="str">
        <f>INDEX(Establishment!B$2:B$1005,MATCH($E343,Establishment!$A$2:$A$1005,0))</f>
        <v xml:space="preserve"> </v>
      </c>
      <c r="G343" t="str">
        <f>INDEX(Establishment!C$2:C$1005,MATCH($E343,Establishment!$A$2:$A$1005,0))</f>
        <v xml:space="preserve"> </v>
      </c>
      <c r="M343">
        <f t="shared" si="31"/>
        <v>0</v>
      </c>
      <c r="N343">
        <f t="shared" si="29"/>
        <v>0</v>
      </c>
      <c r="P343" t="e">
        <f>INDEX(Items!B$2:B$1032,MATCH($O343,Items!$A$2:$A$1032,0))</f>
        <v>#N/A</v>
      </c>
      <c r="Q343" t="e">
        <f>INDEX(Items!C$2:C$1032,MATCH($O343,Items!$A$2:$A$1032,0))</f>
        <v>#N/A</v>
      </c>
      <c r="R343" t="e">
        <f>INDEX(Items!D$2:D$1032,MATCH($O343,Items!$A$2:$A$1032,0))</f>
        <v>#N/A</v>
      </c>
    </row>
    <row r="344" spans="1:18" x14ac:dyDescent="0.25">
      <c r="A344">
        <f t="shared" si="27"/>
        <v>1</v>
      </c>
      <c r="B344" t="str">
        <f t="shared" si="28"/>
        <v/>
      </c>
      <c r="C344">
        <f t="shared" si="30"/>
        <v>1</v>
      </c>
      <c r="D344" s="4"/>
      <c r="E344" t="s">
        <v>18</v>
      </c>
      <c r="F344" t="str">
        <f>INDEX(Establishment!B$2:B$1005,MATCH($E344,Establishment!$A$2:$A$1005,0))</f>
        <v xml:space="preserve"> </v>
      </c>
      <c r="G344" t="str">
        <f>INDEX(Establishment!C$2:C$1005,MATCH($E344,Establishment!$A$2:$A$1005,0))</f>
        <v xml:space="preserve"> </v>
      </c>
      <c r="M344">
        <f t="shared" si="31"/>
        <v>0</v>
      </c>
      <c r="N344">
        <f t="shared" si="29"/>
        <v>0</v>
      </c>
      <c r="P344" t="e">
        <f>INDEX(Items!B$2:B$1032,MATCH($O344,Items!$A$2:$A$1032,0))</f>
        <v>#N/A</v>
      </c>
      <c r="Q344" t="e">
        <f>INDEX(Items!C$2:C$1032,MATCH($O344,Items!$A$2:$A$1032,0))</f>
        <v>#N/A</v>
      </c>
      <c r="R344" t="e">
        <f>INDEX(Items!D$2:D$1032,MATCH($O344,Items!$A$2:$A$1032,0))</f>
        <v>#N/A</v>
      </c>
    </row>
    <row r="345" spans="1:18" x14ac:dyDescent="0.25">
      <c r="A345">
        <f t="shared" si="27"/>
        <v>1</v>
      </c>
      <c r="B345" t="str">
        <f t="shared" si="28"/>
        <v/>
      </c>
      <c r="C345">
        <f t="shared" si="30"/>
        <v>1</v>
      </c>
      <c r="D345" s="4"/>
      <c r="E345" t="s">
        <v>18</v>
      </c>
      <c r="F345" t="str">
        <f>INDEX(Establishment!B$2:B$1005,MATCH($E345,Establishment!$A$2:$A$1005,0))</f>
        <v xml:space="preserve"> </v>
      </c>
      <c r="G345" t="str">
        <f>INDEX(Establishment!C$2:C$1005,MATCH($E345,Establishment!$A$2:$A$1005,0))</f>
        <v xml:space="preserve"> </v>
      </c>
      <c r="M345">
        <f t="shared" si="31"/>
        <v>0</v>
      </c>
      <c r="N345">
        <f t="shared" si="29"/>
        <v>0</v>
      </c>
      <c r="P345" t="e">
        <f>INDEX(Items!B$2:B$1032,MATCH($O345,Items!$A$2:$A$1032,0))</f>
        <v>#N/A</v>
      </c>
      <c r="Q345" t="e">
        <f>INDEX(Items!C$2:C$1032,MATCH($O345,Items!$A$2:$A$1032,0))</f>
        <v>#N/A</v>
      </c>
      <c r="R345" t="e">
        <f>INDEX(Items!D$2:D$1032,MATCH($O345,Items!$A$2:$A$1032,0))</f>
        <v>#N/A</v>
      </c>
    </row>
    <row r="346" spans="1:18" x14ac:dyDescent="0.25">
      <c r="A346">
        <f t="shared" si="27"/>
        <v>1</v>
      </c>
      <c r="B346" t="str">
        <f t="shared" si="28"/>
        <v/>
      </c>
      <c r="C346">
        <f t="shared" si="30"/>
        <v>1</v>
      </c>
      <c r="D346" s="4"/>
      <c r="E346" t="s">
        <v>18</v>
      </c>
      <c r="F346" t="str">
        <f>INDEX(Establishment!B$2:B$1005,MATCH($E346,Establishment!$A$2:$A$1005,0))</f>
        <v xml:space="preserve"> </v>
      </c>
      <c r="G346" t="str">
        <f>INDEX(Establishment!C$2:C$1005,MATCH($E346,Establishment!$A$2:$A$1005,0))</f>
        <v xml:space="preserve"> </v>
      </c>
      <c r="M346">
        <f t="shared" si="31"/>
        <v>0</v>
      </c>
      <c r="N346">
        <f t="shared" si="29"/>
        <v>0</v>
      </c>
      <c r="P346" t="e">
        <f>INDEX(Items!B$2:B$1032,MATCH($O346,Items!$A$2:$A$1032,0))</f>
        <v>#N/A</v>
      </c>
      <c r="Q346" t="e">
        <f>INDEX(Items!C$2:C$1032,MATCH($O346,Items!$A$2:$A$1032,0))</f>
        <v>#N/A</v>
      </c>
      <c r="R346" t="e">
        <f>INDEX(Items!D$2:D$1032,MATCH($O346,Items!$A$2:$A$1032,0))</f>
        <v>#N/A</v>
      </c>
    </row>
    <row r="347" spans="1:18" x14ac:dyDescent="0.25">
      <c r="A347">
        <f t="shared" si="27"/>
        <v>1</v>
      </c>
      <c r="B347" t="str">
        <f t="shared" si="28"/>
        <v/>
      </c>
      <c r="C347">
        <f t="shared" si="30"/>
        <v>1</v>
      </c>
      <c r="D347" s="4"/>
      <c r="E347" t="s">
        <v>18</v>
      </c>
      <c r="F347" t="str">
        <f>INDEX(Establishment!B$2:B$1005,MATCH($E347,Establishment!$A$2:$A$1005,0))</f>
        <v xml:space="preserve"> </v>
      </c>
      <c r="G347" t="str">
        <f>INDEX(Establishment!C$2:C$1005,MATCH($E347,Establishment!$A$2:$A$1005,0))</f>
        <v xml:space="preserve"> </v>
      </c>
      <c r="M347">
        <f t="shared" si="31"/>
        <v>0</v>
      </c>
      <c r="N347">
        <f t="shared" si="29"/>
        <v>0</v>
      </c>
      <c r="P347" t="e">
        <f>INDEX(Items!B$2:B$1032,MATCH($O347,Items!$A$2:$A$1032,0))</f>
        <v>#N/A</v>
      </c>
      <c r="Q347" t="e">
        <f>INDEX(Items!C$2:C$1032,MATCH($O347,Items!$A$2:$A$1032,0))</f>
        <v>#N/A</v>
      </c>
      <c r="R347" t="e">
        <f>INDEX(Items!D$2:D$1032,MATCH($O347,Items!$A$2:$A$1032,0))</f>
        <v>#N/A</v>
      </c>
    </row>
    <row r="348" spans="1:18" x14ac:dyDescent="0.25">
      <c r="A348">
        <f t="shared" si="27"/>
        <v>1</v>
      </c>
      <c r="B348" t="str">
        <f t="shared" si="28"/>
        <v/>
      </c>
      <c r="C348">
        <f t="shared" si="30"/>
        <v>1</v>
      </c>
      <c r="D348" s="4"/>
      <c r="E348" t="s">
        <v>18</v>
      </c>
      <c r="F348" t="str">
        <f>INDEX(Establishment!B$2:B$1005,MATCH($E348,Establishment!$A$2:$A$1005,0))</f>
        <v xml:space="preserve"> </v>
      </c>
      <c r="G348" t="str">
        <f>INDEX(Establishment!C$2:C$1005,MATCH($E348,Establishment!$A$2:$A$1005,0))</f>
        <v xml:space="preserve"> </v>
      </c>
      <c r="M348">
        <f t="shared" si="31"/>
        <v>0</v>
      </c>
      <c r="N348">
        <f t="shared" si="29"/>
        <v>0</v>
      </c>
      <c r="P348" t="e">
        <f>INDEX(Items!B$2:B$1032,MATCH($O348,Items!$A$2:$A$1032,0))</f>
        <v>#N/A</v>
      </c>
      <c r="Q348" t="e">
        <f>INDEX(Items!C$2:C$1032,MATCH($O348,Items!$A$2:$A$1032,0))</f>
        <v>#N/A</v>
      </c>
      <c r="R348" t="e">
        <f>INDEX(Items!D$2:D$1032,MATCH($O348,Items!$A$2:$A$1032,0))</f>
        <v>#N/A</v>
      </c>
    </row>
    <row r="349" spans="1:18" x14ac:dyDescent="0.25">
      <c r="A349">
        <f t="shared" si="27"/>
        <v>1</v>
      </c>
      <c r="B349" t="str">
        <f t="shared" si="28"/>
        <v/>
      </c>
      <c r="C349">
        <f t="shared" si="30"/>
        <v>1</v>
      </c>
      <c r="D349" s="4"/>
      <c r="E349" t="s">
        <v>18</v>
      </c>
      <c r="F349" t="str">
        <f>INDEX(Establishment!B$2:B$1005,MATCH($E349,Establishment!$A$2:$A$1005,0))</f>
        <v xml:space="preserve"> </v>
      </c>
      <c r="G349" t="str">
        <f>INDEX(Establishment!C$2:C$1005,MATCH($E349,Establishment!$A$2:$A$1005,0))</f>
        <v xml:space="preserve"> </v>
      </c>
      <c r="M349">
        <f t="shared" si="31"/>
        <v>0</v>
      </c>
      <c r="N349">
        <f t="shared" si="29"/>
        <v>0</v>
      </c>
      <c r="P349" t="e">
        <f>INDEX(Items!B$2:B$1032,MATCH($O349,Items!$A$2:$A$1032,0))</f>
        <v>#N/A</v>
      </c>
      <c r="Q349" t="e">
        <f>INDEX(Items!C$2:C$1032,MATCH($O349,Items!$A$2:$A$1032,0))</f>
        <v>#N/A</v>
      </c>
      <c r="R349" t="e">
        <f>INDEX(Items!D$2:D$1032,MATCH($O349,Items!$A$2:$A$1032,0))</f>
        <v>#N/A</v>
      </c>
    </row>
    <row r="350" spans="1:18" x14ac:dyDescent="0.25">
      <c r="A350">
        <f t="shared" si="27"/>
        <v>1</v>
      </c>
      <c r="B350" t="str">
        <f t="shared" si="28"/>
        <v/>
      </c>
      <c r="C350">
        <f t="shared" si="30"/>
        <v>1</v>
      </c>
      <c r="D350" s="4"/>
      <c r="E350" t="s">
        <v>18</v>
      </c>
      <c r="F350" t="str">
        <f>INDEX(Establishment!B$2:B$1005,MATCH($E350,Establishment!$A$2:$A$1005,0))</f>
        <v xml:space="preserve"> </v>
      </c>
      <c r="G350" t="str">
        <f>INDEX(Establishment!C$2:C$1005,MATCH($E350,Establishment!$A$2:$A$1005,0))</f>
        <v xml:space="preserve"> </v>
      </c>
      <c r="M350">
        <f t="shared" si="31"/>
        <v>0</v>
      </c>
      <c r="N350">
        <f t="shared" si="29"/>
        <v>0</v>
      </c>
      <c r="P350" t="e">
        <f>INDEX(Items!B$2:B$1032,MATCH($O350,Items!$A$2:$A$1032,0))</f>
        <v>#N/A</v>
      </c>
      <c r="Q350" t="e">
        <f>INDEX(Items!C$2:C$1032,MATCH($O350,Items!$A$2:$A$1032,0))</f>
        <v>#N/A</v>
      </c>
      <c r="R350" t="e">
        <f>INDEX(Items!D$2:D$1032,MATCH($O350,Items!$A$2:$A$1032,0))</f>
        <v>#N/A</v>
      </c>
    </row>
    <row r="351" spans="1:18" x14ac:dyDescent="0.25">
      <c r="A351">
        <f t="shared" si="27"/>
        <v>1</v>
      </c>
      <c r="B351" t="str">
        <f t="shared" si="28"/>
        <v/>
      </c>
      <c r="C351">
        <f t="shared" si="30"/>
        <v>1</v>
      </c>
      <c r="D351" s="4"/>
      <c r="E351" t="s">
        <v>18</v>
      </c>
      <c r="F351" t="str">
        <f>INDEX(Establishment!B$2:B$1005,MATCH($E351,Establishment!$A$2:$A$1005,0))</f>
        <v xml:space="preserve"> </v>
      </c>
      <c r="G351" t="str">
        <f>INDEX(Establishment!C$2:C$1005,MATCH($E351,Establishment!$A$2:$A$1005,0))</f>
        <v xml:space="preserve"> </v>
      </c>
      <c r="M351">
        <f t="shared" si="31"/>
        <v>0</v>
      </c>
      <c r="N351">
        <f t="shared" si="29"/>
        <v>0</v>
      </c>
      <c r="P351" t="e">
        <f>INDEX(Items!B$2:B$1032,MATCH($O351,Items!$A$2:$A$1032,0))</f>
        <v>#N/A</v>
      </c>
      <c r="Q351" t="e">
        <f>INDEX(Items!C$2:C$1032,MATCH($O351,Items!$A$2:$A$1032,0))</f>
        <v>#N/A</v>
      </c>
      <c r="R351" t="e">
        <f>INDEX(Items!D$2:D$1032,MATCH($O351,Items!$A$2:$A$1032,0))</f>
        <v>#N/A</v>
      </c>
    </row>
    <row r="352" spans="1:18" x14ac:dyDescent="0.25">
      <c r="A352">
        <f t="shared" si="27"/>
        <v>1</v>
      </c>
      <c r="B352" t="str">
        <f t="shared" si="28"/>
        <v/>
      </c>
      <c r="C352">
        <f t="shared" si="30"/>
        <v>1</v>
      </c>
      <c r="D352" s="4"/>
      <c r="E352" t="s">
        <v>18</v>
      </c>
      <c r="F352" t="str">
        <f>INDEX(Establishment!B$2:B$1005,MATCH($E352,Establishment!$A$2:$A$1005,0))</f>
        <v xml:space="preserve"> </v>
      </c>
      <c r="G352" t="str">
        <f>INDEX(Establishment!C$2:C$1005,MATCH($E352,Establishment!$A$2:$A$1005,0))</f>
        <v xml:space="preserve"> </v>
      </c>
      <c r="M352">
        <f t="shared" si="31"/>
        <v>0</v>
      </c>
      <c r="N352">
        <f t="shared" si="29"/>
        <v>0</v>
      </c>
      <c r="P352" t="e">
        <f>INDEX(Items!B$2:B$1032,MATCH($O352,Items!$A$2:$A$1032,0))</f>
        <v>#N/A</v>
      </c>
      <c r="Q352" t="e">
        <f>INDEX(Items!C$2:C$1032,MATCH($O352,Items!$A$2:$A$1032,0))</f>
        <v>#N/A</v>
      </c>
      <c r="R352" t="e">
        <f>INDEX(Items!D$2:D$1032,MATCH($O352,Items!$A$2:$A$1032,0))</f>
        <v>#N/A</v>
      </c>
    </row>
    <row r="353" spans="1:18" x14ac:dyDescent="0.25">
      <c r="A353">
        <f t="shared" si="27"/>
        <v>1</v>
      </c>
      <c r="B353" t="str">
        <f t="shared" si="28"/>
        <v/>
      </c>
      <c r="C353">
        <f t="shared" si="30"/>
        <v>1</v>
      </c>
      <c r="D353" s="4"/>
      <c r="E353" t="s">
        <v>18</v>
      </c>
      <c r="F353" t="str">
        <f>INDEX(Establishment!B$2:B$1005,MATCH($E353,Establishment!$A$2:$A$1005,0))</f>
        <v xml:space="preserve"> </v>
      </c>
      <c r="G353" t="str">
        <f>INDEX(Establishment!C$2:C$1005,MATCH($E353,Establishment!$A$2:$A$1005,0))</f>
        <v xml:space="preserve"> </v>
      </c>
      <c r="M353">
        <f t="shared" si="31"/>
        <v>0</v>
      </c>
      <c r="N353">
        <f t="shared" si="29"/>
        <v>0</v>
      </c>
      <c r="P353" t="e">
        <f>INDEX(Items!B$2:B$1032,MATCH($O353,Items!$A$2:$A$1032,0))</f>
        <v>#N/A</v>
      </c>
      <c r="Q353" t="e">
        <f>INDEX(Items!C$2:C$1032,MATCH($O353,Items!$A$2:$A$1032,0))</f>
        <v>#N/A</v>
      </c>
      <c r="R353" t="e">
        <f>INDEX(Items!D$2:D$1032,MATCH($O353,Items!$A$2:$A$1032,0))</f>
        <v>#N/A</v>
      </c>
    </row>
    <row r="354" spans="1:18" x14ac:dyDescent="0.25">
      <c r="A354">
        <f t="shared" si="27"/>
        <v>1</v>
      </c>
      <c r="B354" t="str">
        <f t="shared" si="28"/>
        <v/>
      </c>
      <c r="C354">
        <f t="shared" si="30"/>
        <v>1</v>
      </c>
      <c r="D354" s="4"/>
      <c r="E354" t="s">
        <v>18</v>
      </c>
      <c r="F354" t="str">
        <f>INDEX(Establishment!B$2:B$1005,MATCH($E354,Establishment!$A$2:$A$1005,0))</f>
        <v xml:space="preserve"> </v>
      </c>
      <c r="G354" t="str">
        <f>INDEX(Establishment!C$2:C$1005,MATCH($E354,Establishment!$A$2:$A$1005,0))</f>
        <v xml:space="preserve"> </v>
      </c>
      <c r="M354">
        <f t="shared" si="31"/>
        <v>0</v>
      </c>
      <c r="N354">
        <f t="shared" si="29"/>
        <v>0</v>
      </c>
      <c r="P354" t="e">
        <f>INDEX(Items!B$2:B$1032,MATCH($O354,Items!$A$2:$A$1032,0))</f>
        <v>#N/A</v>
      </c>
      <c r="Q354" t="e">
        <f>INDEX(Items!C$2:C$1032,MATCH($O354,Items!$A$2:$A$1032,0))</f>
        <v>#N/A</v>
      </c>
      <c r="R354" t="e">
        <f>INDEX(Items!D$2:D$1032,MATCH($O354,Items!$A$2:$A$1032,0))</f>
        <v>#N/A</v>
      </c>
    </row>
    <row r="355" spans="1:18" x14ac:dyDescent="0.25">
      <c r="A355">
        <f t="shared" si="27"/>
        <v>1</v>
      </c>
      <c r="B355" t="str">
        <f t="shared" si="28"/>
        <v/>
      </c>
      <c r="C355">
        <f t="shared" si="30"/>
        <v>1</v>
      </c>
      <c r="D355" s="4"/>
      <c r="E355" t="s">
        <v>18</v>
      </c>
      <c r="F355" t="str">
        <f>INDEX(Establishment!B$2:B$1005,MATCH($E355,Establishment!$A$2:$A$1005,0))</f>
        <v xml:space="preserve"> </v>
      </c>
      <c r="G355" t="str">
        <f>INDEX(Establishment!C$2:C$1005,MATCH($E355,Establishment!$A$2:$A$1005,0))</f>
        <v xml:space="preserve"> </v>
      </c>
      <c r="M355">
        <f t="shared" si="31"/>
        <v>0</v>
      </c>
      <c r="N355">
        <f t="shared" si="29"/>
        <v>0</v>
      </c>
      <c r="P355" t="e">
        <f>INDEX(Items!B$2:B$1032,MATCH($O355,Items!$A$2:$A$1032,0))</f>
        <v>#N/A</v>
      </c>
      <c r="Q355" t="e">
        <f>INDEX(Items!C$2:C$1032,MATCH($O355,Items!$A$2:$A$1032,0))</f>
        <v>#N/A</v>
      </c>
      <c r="R355" t="e">
        <f>INDEX(Items!D$2:D$1032,MATCH($O355,Items!$A$2:$A$1032,0))</f>
        <v>#N/A</v>
      </c>
    </row>
    <row r="356" spans="1:18" x14ac:dyDescent="0.25">
      <c r="A356">
        <f t="shared" si="27"/>
        <v>1</v>
      </c>
      <c r="B356" t="str">
        <f t="shared" si="28"/>
        <v/>
      </c>
      <c r="C356">
        <f t="shared" si="30"/>
        <v>1</v>
      </c>
      <c r="D356" s="4"/>
      <c r="E356" t="s">
        <v>18</v>
      </c>
      <c r="F356" t="str">
        <f>INDEX(Establishment!B$2:B$1005,MATCH($E356,Establishment!$A$2:$A$1005,0))</f>
        <v xml:space="preserve"> </v>
      </c>
      <c r="G356" t="str">
        <f>INDEX(Establishment!C$2:C$1005,MATCH($E356,Establishment!$A$2:$A$1005,0))</f>
        <v xml:space="preserve"> </v>
      </c>
      <c r="M356">
        <f t="shared" si="31"/>
        <v>0</v>
      </c>
      <c r="N356">
        <f t="shared" si="29"/>
        <v>0</v>
      </c>
      <c r="P356" t="e">
        <f>INDEX(Items!B$2:B$1032,MATCH($O356,Items!$A$2:$A$1032,0))</f>
        <v>#N/A</v>
      </c>
      <c r="Q356" t="e">
        <f>INDEX(Items!C$2:C$1032,MATCH($O356,Items!$A$2:$A$1032,0))</f>
        <v>#N/A</v>
      </c>
      <c r="R356" t="e">
        <f>INDEX(Items!D$2:D$1032,MATCH($O356,Items!$A$2:$A$1032,0))</f>
        <v>#N/A</v>
      </c>
    </row>
    <row r="357" spans="1:18" x14ac:dyDescent="0.25">
      <c r="A357">
        <f t="shared" si="27"/>
        <v>1</v>
      </c>
      <c r="B357" t="str">
        <f t="shared" si="28"/>
        <v/>
      </c>
      <c r="C357">
        <f t="shared" si="30"/>
        <v>1</v>
      </c>
      <c r="D357" s="4"/>
      <c r="E357" t="s">
        <v>18</v>
      </c>
      <c r="F357" t="str">
        <f>INDEX(Establishment!B$2:B$1005,MATCH($E357,Establishment!$A$2:$A$1005,0))</f>
        <v xml:space="preserve"> </v>
      </c>
      <c r="G357" t="str">
        <f>INDEX(Establishment!C$2:C$1005,MATCH($E357,Establishment!$A$2:$A$1005,0))</f>
        <v xml:space="preserve"> </v>
      </c>
      <c r="M357">
        <f t="shared" si="31"/>
        <v>0</v>
      </c>
      <c r="N357">
        <f t="shared" si="29"/>
        <v>0</v>
      </c>
      <c r="P357" t="e">
        <f>INDEX(Items!B$2:B$1032,MATCH($O357,Items!$A$2:$A$1032,0))</f>
        <v>#N/A</v>
      </c>
      <c r="Q357" t="e">
        <f>INDEX(Items!C$2:C$1032,MATCH($O357,Items!$A$2:$A$1032,0))</f>
        <v>#N/A</v>
      </c>
      <c r="R357" t="e">
        <f>INDEX(Items!D$2:D$1032,MATCH($O357,Items!$A$2:$A$1032,0))</f>
        <v>#N/A</v>
      </c>
    </row>
    <row r="358" spans="1:18" x14ac:dyDescent="0.25">
      <c r="A358">
        <f t="shared" si="27"/>
        <v>1</v>
      </c>
      <c r="B358" t="str">
        <f t="shared" si="28"/>
        <v/>
      </c>
      <c r="C358">
        <f t="shared" si="30"/>
        <v>1</v>
      </c>
      <c r="D358" s="4"/>
      <c r="E358" t="s">
        <v>18</v>
      </c>
      <c r="F358" t="str">
        <f>INDEX(Establishment!B$2:B$1005,MATCH($E358,Establishment!$A$2:$A$1005,0))</f>
        <v xml:space="preserve"> </v>
      </c>
      <c r="G358" t="str">
        <f>INDEX(Establishment!C$2:C$1005,MATCH($E358,Establishment!$A$2:$A$1005,0))</f>
        <v xml:space="preserve"> </v>
      </c>
      <c r="M358">
        <f t="shared" si="31"/>
        <v>0</v>
      </c>
      <c r="N358">
        <f t="shared" si="29"/>
        <v>0</v>
      </c>
      <c r="P358" t="e">
        <f>INDEX(Items!B$2:B$1032,MATCH($O358,Items!$A$2:$A$1032,0))</f>
        <v>#N/A</v>
      </c>
      <c r="Q358" t="e">
        <f>INDEX(Items!C$2:C$1032,MATCH($O358,Items!$A$2:$A$1032,0))</f>
        <v>#N/A</v>
      </c>
      <c r="R358" t="e">
        <f>INDEX(Items!D$2:D$1032,MATCH($O358,Items!$A$2:$A$1032,0))</f>
        <v>#N/A</v>
      </c>
    </row>
    <row r="359" spans="1:18" x14ac:dyDescent="0.25">
      <c r="A359">
        <f t="shared" si="27"/>
        <v>1</v>
      </c>
      <c r="B359" t="str">
        <f t="shared" si="28"/>
        <v/>
      </c>
      <c r="C359">
        <f t="shared" si="30"/>
        <v>1</v>
      </c>
      <c r="D359" s="4"/>
      <c r="E359" t="s">
        <v>18</v>
      </c>
      <c r="F359" t="str">
        <f>INDEX(Establishment!B$2:B$1005,MATCH($E359,Establishment!$A$2:$A$1005,0))</f>
        <v xml:space="preserve"> </v>
      </c>
      <c r="G359" t="str">
        <f>INDEX(Establishment!C$2:C$1005,MATCH($E359,Establishment!$A$2:$A$1005,0))</f>
        <v xml:space="preserve"> </v>
      </c>
      <c r="M359">
        <f t="shared" si="31"/>
        <v>0</v>
      </c>
      <c r="N359">
        <f t="shared" si="29"/>
        <v>0</v>
      </c>
      <c r="P359" t="e">
        <f>INDEX(Items!B$2:B$1032,MATCH($O359,Items!$A$2:$A$1032,0))</f>
        <v>#N/A</v>
      </c>
      <c r="Q359" t="e">
        <f>INDEX(Items!C$2:C$1032,MATCH($O359,Items!$A$2:$A$1032,0))</f>
        <v>#N/A</v>
      </c>
      <c r="R359" t="e">
        <f>INDEX(Items!D$2:D$1032,MATCH($O359,Items!$A$2:$A$1032,0))</f>
        <v>#N/A</v>
      </c>
    </row>
    <row r="360" spans="1:18" x14ac:dyDescent="0.25">
      <c r="A360">
        <f t="shared" si="27"/>
        <v>1</v>
      </c>
      <c r="B360" t="str">
        <f t="shared" si="28"/>
        <v/>
      </c>
      <c r="C360">
        <f t="shared" si="30"/>
        <v>1</v>
      </c>
      <c r="D360" s="4"/>
      <c r="E360" t="s">
        <v>18</v>
      </c>
      <c r="F360" t="str">
        <f>INDEX(Establishment!B$2:B$1005,MATCH($E360,Establishment!$A$2:$A$1005,0))</f>
        <v xml:space="preserve"> </v>
      </c>
      <c r="G360" t="str">
        <f>INDEX(Establishment!C$2:C$1005,MATCH($E360,Establishment!$A$2:$A$1005,0))</f>
        <v xml:space="preserve"> </v>
      </c>
      <c r="M360">
        <f t="shared" si="31"/>
        <v>0</v>
      </c>
      <c r="N360">
        <f t="shared" si="29"/>
        <v>0</v>
      </c>
      <c r="P360" t="e">
        <f>INDEX(Items!B$2:B$1032,MATCH($O360,Items!$A$2:$A$1032,0))</f>
        <v>#N/A</v>
      </c>
      <c r="Q360" t="e">
        <f>INDEX(Items!C$2:C$1032,MATCH($O360,Items!$A$2:$A$1032,0))</f>
        <v>#N/A</v>
      </c>
      <c r="R360" t="e">
        <f>INDEX(Items!D$2:D$1032,MATCH($O360,Items!$A$2:$A$1032,0))</f>
        <v>#N/A</v>
      </c>
    </row>
    <row r="361" spans="1:18" x14ac:dyDescent="0.25">
      <c r="A361">
        <f t="shared" si="27"/>
        <v>1</v>
      </c>
      <c r="B361" t="str">
        <f t="shared" si="28"/>
        <v/>
      </c>
      <c r="C361">
        <f t="shared" si="30"/>
        <v>1</v>
      </c>
      <c r="D361" s="4"/>
      <c r="E361" t="s">
        <v>18</v>
      </c>
      <c r="F361" t="str">
        <f>INDEX(Establishment!B$2:B$1005,MATCH($E361,Establishment!$A$2:$A$1005,0))</f>
        <v xml:space="preserve"> </v>
      </c>
      <c r="G361" t="str">
        <f>INDEX(Establishment!C$2:C$1005,MATCH($E361,Establishment!$A$2:$A$1005,0))</f>
        <v xml:space="preserve"> </v>
      </c>
      <c r="M361">
        <f t="shared" si="31"/>
        <v>0</v>
      </c>
      <c r="N361">
        <f t="shared" si="29"/>
        <v>0</v>
      </c>
      <c r="P361" t="e">
        <f>INDEX(Items!B$2:B$1032,MATCH($O361,Items!$A$2:$A$1032,0))</f>
        <v>#N/A</v>
      </c>
      <c r="Q361" t="e">
        <f>INDEX(Items!C$2:C$1032,MATCH($O361,Items!$A$2:$A$1032,0))</f>
        <v>#N/A</v>
      </c>
      <c r="R361" t="e">
        <f>INDEX(Items!D$2:D$1032,MATCH($O361,Items!$A$2:$A$1032,0))</f>
        <v>#N/A</v>
      </c>
    </row>
    <row r="362" spans="1:18" x14ac:dyDescent="0.25">
      <c r="A362">
        <f t="shared" si="27"/>
        <v>1</v>
      </c>
      <c r="B362" t="str">
        <f t="shared" si="28"/>
        <v/>
      </c>
      <c r="C362">
        <f t="shared" si="30"/>
        <v>1</v>
      </c>
      <c r="D362" s="4"/>
      <c r="E362" t="s">
        <v>18</v>
      </c>
      <c r="F362" t="str">
        <f>INDEX(Establishment!B$2:B$1005,MATCH($E362,Establishment!$A$2:$A$1005,0))</f>
        <v xml:space="preserve"> </v>
      </c>
      <c r="G362" t="str">
        <f>INDEX(Establishment!C$2:C$1005,MATCH($E362,Establishment!$A$2:$A$1005,0))</f>
        <v xml:space="preserve"> </v>
      </c>
      <c r="M362">
        <f t="shared" si="31"/>
        <v>0</v>
      </c>
      <c r="N362">
        <f t="shared" si="29"/>
        <v>0</v>
      </c>
      <c r="P362" t="e">
        <f>INDEX(Items!B$2:B$1032,MATCH($O362,Items!$A$2:$A$1032,0))</f>
        <v>#N/A</v>
      </c>
      <c r="Q362" t="e">
        <f>INDEX(Items!C$2:C$1032,MATCH($O362,Items!$A$2:$A$1032,0))</f>
        <v>#N/A</v>
      </c>
      <c r="R362" t="e">
        <f>INDEX(Items!D$2:D$1032,MATCH($O362,Items!$A$2:$A$1032,0))</f>
        <v>#N/A</v>
      </c>
    </row>
    <row r="363" spans="1:18" x14ac:dyDescent="0.25">
      <c r="A363">
        <f t="shared" si="27"/>
        <v>1</v>
      </c>
      <c r="B363" t="str">
        <f t="shared" si="28"/>
        <v/>
      </c>
      <c r="C363">
        <f t="shared" si="30"/>
        <v>1</v>
      </c>
      <c r="D363" s="4"/>
      <c r="E363" t="s">
        <v>18</v>
      </c>
      <c r="F363" t="str">
        <f>INDEX(Establishment!B$2:B$1005,MATCH($E363,Establishment!$A$2:$A$1005,0))</f>
        <v xml:space="preserve"> </v>
      </c>
      <c r="G363" t="str">
        <f>INDEX(Establishment!C$2:C$1005,MATCH($E363,Establishment!$A$2:$A$1005,0))</f>
        <v xml:space="preserve"> </v>
      </c>
      <c r="M363">
        <f t="shared" si="31"/>
        <v>0</v>
      </c>
      <c r="N363">
        <f t="shared" si="29"/>
        <v>0</v>
      </c>
      <c r="P363" t="e">
        <f>INDEX(Items!B$2:B$1032,MATCH($O363,Items!$A$2:$A$1032,0))</f>
        <v>#N/A</v>
      </c>
      <c r="Q363" t="e">
        <f>INDEX(Items!C$2:C$1032,MATCH($O363,Items!$A$2:$A$1032,0))</f>
        <v>#N/A</v>
      </c>
      <c r="R363" t="e">
        <f>INDEX(Items!D$2:D$1032,MATCH($O363,Items!$A$2:$A$1032,0))</f>
        <v>#N/A</v>
      </c>
    </row>
    <row r="364" spans="1:18" x14ac:dyDescent="0.25">
      <c r="A364">
        <f t="shared" si="27"/>
        <v>1</v>
      </c>
      <c r="B364" t="str">
        <f t="shared" si="28"/>
        <v/>
      </c>
      <c r="C364">
        <f t="shared" si="30"/>
        <v>1</v>
      </c>
      <c r="D364" s="4"/>
      <c r="E364" t="s">
        <v>18</v>
      </c>
      <c r="F364" t="str">
        <f>INDEX(Establishment!B$2:B$1005,MATCH($E364,Establishment!$A$2:$A$1005,0))</f>
        <v xml:space="preserve"> </v>
      </c>
      <c r="G364" t="str">
        <f>INDEX(Establishment!C$2:C$1005,MATCH($E364,Establishment!$A$2:$A$1005,0))</f>
        <v xml:space="preserve"> </v>
      </c>
      <c r="M364">
        <f t="shared" si="31"/>
        <v>0</v>
      </c>
      <c r="N364">
        <f t="shared" si="29"/>
        <v>0</v>
      </c>
      <c r="P364" t="e">
        <f>INDEX(Items!B$2:B$1032,MATCH($O364,Items!$A$2:$A$1032,0))</f>
        <v>#N/A</v>
      </c>
      <c r="Q364" t="e">
        <f>INDEX(Items!C$2:C$1032,MATCH($O364,Items!$A$2:$A$1032,0))</f>
        <v>#N/A</v>
      </c>
      <c r="R364" t="e">
        <f>INDEX(Items!D$2:D$1032,MATCH($O364,Items!$A$2:$A$1032,0))</f>
        <v>#N/A</v>
      </c>
    </row>
    <row r="365" spans="1:18" x14ac:dyDescent="0.25">
      <c r="A365">
        <f t="shared" si="27"/>
        <v>1</v>
      </c>
      <c r="B365" t="str">
        <f t="shared" si="28"/>
        <v/>
      </c>
      <c r="C365">
        <f t="shared" si="30"/>
        <v>1</v>
      </c>
      <c r="D365" s="4"/>
      <c r="E365" t="s">
        <v>18</v>
      </c>
      <c r="F365" t="str">
        <f>INDEX(Establishment!B$2:B$1005,MATCH($E365,Establishment!$A$2:$A$1005,0))</f>
        <v xml:space="preserve"> </v>
      </c>
      <c r="G365" t="str">
        <f>INDEX(Establishment!C$2:C$1005,MATCH($E365,Establishment!$A$2:$A$1005,0))</f>
        <v xml:space="preserve"> </v>
      </c>
      <c r="M365">
        <f t="shared" si="31"/>
        <v>0</v>
      </c>
      <c r="N365">
        <f t="shared" si="29"/>
        <v>0</v>
      </c>
      <c r="P365" t="e">
        <f>INDEX(Items!B$2:B$1032,MATCH($O365,Items!$A$2:$A$1032,0))</f>
        <v>#N/A</v>
      </c>
      <c r="Q365" t="e">
        <f>INDEX(Items!C$2:C$1032,MATCH($O365,Items!$A$2:$A$1032,0))</f>
        <v>#N/A</v>
      </c>
      <c r="R365" t="e">
        <f>INDEX(Items!D$2:D$1032,MATCH($O365,Items!$A$2:$A$1032,0))</f>
        <v>#N/A</v>
      </c>
    </row>
    <row r="366" spans="1:18" x14ac:dyDescent="0.25">
      <c r="A366">
        <f t="shared" si="27"/>
        <v>1</v>
      </c>
      <c r="B366" t="str">
        <f t="shared" si="28"/>
        <v/>
      </c>
      <c r="C366">
        <f t="shared" si="30"/>
        <v>1</v>
      </c>
      <c r="D366" s="4"/>
      <c r="E366" t="s">
        <v>18</v>
      </c>
      <c r="F366" t="str">
        <f>INDEX(Establishment!B$2:B$1005,MATCH($E366,Establishment!$A$2:$A$1005,0))</f>
        <v xml:space="preserve"> </v>
      </c>
      <c r="G366" t="str">
        <f>INDEX(Establishment!C$2:C$1005,MATCH($E366,Establishment!$A$2:$A$1005,0))</f>
        <v xml:space="preserve"> </v>
      </c>
      <c r="M366">
        <f t="shared" si="31"/>
        <v>0</v>
      </c>
      <c r="N366">
        <f t="shared" si="29"/>
        <v>0</v>
      </c>
      <c r="P366" t="e">
        <f>INDEX(Items!B$2:B$1032,MATCH($O366,Items!$A$2:$A$1032,0))</f>
        <v>#N/A</v>
      </c>
      <c r="Q366" t="e">
        <f>INDEX(Items!C$2:C$1032,MATCH($O366,Items!$A$2:$A$1032,0))</f>
        <v>#N/A</v>
      </c>
      <c r="R366" t="e">
        <f>INDEX(Items!D$2:D$1032,MATCH($O366,Items!$A$2:$A$1032,0))</f>
        <v>#N/A</v>
      </c>
    </row>
    <row r="367" spans="1:18" x14ac:dyDescent="0.25">
      <c r="A367">
        <f t="shared" si="27"/>
        <v>1</v>
      </c>
      <c r="B367" t="str">
        <f t="shared" si="28"/>
        <v/>
      </c>
      <c r="C367">
        <f t="shared" si="30"/>
        <v>1</v>
      </c>
      <c r="D367" s="4"/>
      <c r="E367" t="s">
        <v>18</v>
      </c>
      <c r="F367" t="str">
        <f>INDEX(Establishment!B$2:B$1005,MATCH($E367,Establishment!$A$2:$A$1005,0))</f>
        <v xml:space="preserve"> </v>
      </c>
      <c r="G367" t="str">
        <f>INDEX(Establishment!C$2:C$1005,MATCH($E367,Establishment!$A$2:$A$1005,0))</f>
        <v xml:space="preserve"> </v>
      </c>
      <c r="M367">
        <f t="shared" si="31"/>
        <v>0</v>
      </c>
      <c r="N367">
        <f t="shared" si="29"/>
        <v>0</v>
      </c>
      <c r="P367" t="e">
        <f>INDEX(Items!B$2:B$1032,MATCH($O367,Items!$A$2:$A$1032,0))</f>
        <v>#N/A</v>
      </c>
      <c r="Q367" t="e">
        <f>INDEX(Items!C$2:C$1032,MATCH($O367,Items!$A$2:$A$1032,0))</f>
        <v>#N/A</v>
      </c>
      <c r="R367" t="e">
        <f>INDEX(Items!D$2:D$1032,MATCH($O367,Items!$A$2:$A$1032,0))</f>
        <v>#N/A</v>
      </c>
    </row>
    <row r="368" spans="1:18" x14ac:dyDescent="0.25">
      <c r="A368">
        <f t="shared" si="27"/>
        <v>1</v>
      </c>
      <c r="B368" t="str">
        <f t="shared" si="28"/>
        <v/>
      </c>
      <c r="C368">
        <f t="shared" si="30"/>
        <v>1</v>
      </c>
      <c r="D368" s="4"/>
      <c r="E368" t="s">
        <v>18</v>
      </c>
      <c r="F368" t="str">
        <f>INDEX(Establishment!B$2:B$1005,MATCH($E368,Establishment!$A$2:$A$1005,0))</f>
        <v xml:space="preserve"> </v>
      </c>
      <c r="G368" t="str">
        <f>INDEX(Establishment!C$2:C$1005,MATCH($E368,Establishment!$A$2:$A$1005,0))</f>
        <v xml:space="preserve"> </v>
      </c>
      <c r="M368">
        <f t="shared" si="31"/>
        <v>0</v>
      </c>
      <c r="N368">
        <f t="shared" si="29"/>
        <v>0</v>
      </c>
      <c r="P368" t="e">
        <f>INDEX(Items!B$2:B$1032,MATCH($O368,Items!$A$2:$A$1032,0))</f>
        <v>#N/A</v>
      </c>
      <c r="Q368" t="e">
        <f>INDEX(Items!C$2:C$1032,MATCH($O368,Items!$A$2:$A$1032,0))</f>
        <v>#N/A</v>
      </c>
      <c r="R368" t="e">
        <f>INDEX(Items!D$2:D$1032,MATCH($O368,Items!$A$2:$A$1032,0))</f>
        <v>#N/A</v>
      </c>
    </row>
    <row r="369" spans="1:18" x14ac:dyDescent="0.25">
      <c r="A369">
        <f t="shared" si="27"/>
        <v>1</v>
      </c>
      <c r="B369" t="str">
        <f t="shared" si="28"/>
        <v/>
      </c>
      <c r="C369">
        <f t="shared" si="30"/>
        <v>1</v>
      </c>
      <c r="D369" s="4"/>
      <c r="E369" t="s">
        <v>18</v>
      </c>
      <c r="F369" t="str">
        <f>INDEX(Establishment!B$2:B$1005,MATCH($E369,Establishment!$A$2:$A$1005,0))</f>
        <v xml:space="preserve"> </v>
      </c>
      <c r="G369" t="str">
        <f>INDEX(Establishment!C$2:C$1005,MATCH($E369,Establishment!$A$2:$A$1005,0))</f>
        <v xml:space="preserve"> </v>
      </c>
      <c r="M369">
        <f t="shared" si="31"/>
        <v>0</v>
      </c>
      <c r="N369">
        <f t="shared" si="29"/>
        <v>0</v>
      </c>
      <c r="P369" t="e">
        <f>INDEX(Items!B$2:B$1032,MATCH($O369,Items!$A$2:$A$1032,0))</f>
        <v>#N/A</v>
      </c>
      <c r="Q369" t="e">
        <f>INDEX(Items!C$2:C$1032,MATCH($O369,Items!$A$2:$A$1032,0))</f>
        <v>#N/A</v>
      </c>
      <c r="R369" t="e">
        <f>INDEX(Items!D$2:D$1032,MATCH($O369,Items!$A$2:$A$1032,0))</f>
        <v>#N/A</v>
      </c>
    </row>
    <row r="370" spans="1:18" x14ac:dyDescent="0.25">
      <c r="A370">
        <f t="shared" si="27"/>
        <v>1</v>
      </c>
      <c r="B370" t="str">
        <f t="shared" si="28"/>
        <v/>
      </c>
      <c r="C370">
        <f t="shared" si="30"/>
        <v>1</v>
      </c>
      <c r="D370" s="4"/>
      <c r="E370" t="s">
        <v>18</v>
      </c>
      <c r="F370" t="str">
        <f>INDEX(Establishment!B$2:B$1005,MATCH($E370,Establishment!$A$2:$A$1005,0))</f>
        <v xml:space="preserve"> </v>
      </c>
      <c r="G370" t="str">
        <f>INDEX(Establishment!C$2:C$1005,MATCH($E370,Establishment!$A$2:$A$1005,0))</f>
        <v xml:space="preserve"> </v>
      </c>
      <c r="M370">
        <f t="shared" si="31"/>
        <v>0</v>
      </c>
      <c r="N370">
        <f t="shared" si="29"/>
        <v>0</v>
      </c>
      <c r="P370" t="e">
        <f>INDEX(Items!B$2:B$1032,MATCH($O370,Items!$A$2:$A$1032,0))</f>
        <v>#N/A</v>
      </c>
      <c r="Q370" t="e">
        <f>INDEX(Items!C$2:C$1032,MATCH($O370,Items!$A$2:$A$1032,0))</f>
        <v>#N/A</v>
      </c>
      <c r="R370" t="e">
        <f>INDEX(Items!D$2:D$1032,MATCH($O370,Items!$A$2:$A$1032,0))</f>
        <v>#N/A</v>
      </c>
    </row>
    <row r="371" spans="1:18" x14ac:dyDescent="0.25">
      <c r="A371">
        <f t="shared" si="27"/>
        <v>1</v>
      </c>
      <c r="B371" t="str">
        <f t="shared" si="28"/>
        <v/>
      </c>
      <c r="C371">
        <f t="shared" si="30"/>
        <v>1</v>
      </c>
      <c r="D371" s="4"/>
      <c r="E371" t="s">
        <v>18</v>
      </c>
      <c r="F371" t="str">
        <f>INDEX(Establishment!B$2:B$1005,MATCH($E371,Establishment!$A$2:$A$1005,0))</f>
        <v xml:space="preserve"> </v>
      </c>
      <c r="G371" t="str">
        <f>INDEX(Establishment!C$2:C$1005,MATCH($E371,Establishment!$A$2:$A$1005,0))</f>
        <v xml:space="preserve"> </v>
      </c>
      <c r="M371">
        <f t="shared" si="31"/>
        <v>0</v>
      </c>
      <c r="N371">
        <f t="shared" si="29"/>
        <v>0</v>
      </c>
      <c r="P371" t="e">
        <f>INDEX(Items!B$2:B$1032,MATCH($O371,Items!$A$2:$A$1032,0))</f>
        <v>#N/A</v>
      </c>
      <c r="Q371" t="e">
        <f>INDEX(Items!C$2:C$1032,MATCH($O371,Items!$A$2:$A$1032,0))</f>
        <v>#N/A</v>
      </c>
      <c r="R371" t="e">
        <f>INDEX(Items!D$2:D$1032,MATCH($O371,Items!$A$2:$A$1032,0))</f>
        <v>#N/A</v>
      </c>
    </row>
    <row r="372" spans="1:18" x14ac:dyDescent="0.25">
      <c r="A372">
        <f t="shared" si="27"/>
        <v>1</v>
      </c>
      <c r="B372" t="str">
        <f t="shared" si="28"/>
        <v/>
      </c>
      <c r="C372">
        <f t="shared" si="30"/>
        <v>1</v>
      </c>
      <c r="D372" s="4"/>
      <c r="E372" t="s">
        <v>18</v>
      </c>
      <c r="F372" t="str">
        <f>INDEX(Establishment!B$2:B$1005,MATCH($E372,Establishment!$A$2:$A$1005,0))</f>
        <v xml:space="preserve"> </v>
      </c>
      <c r="G372" t="str">
        <f>INDEX(Establishment!C$2:C$1005,MATCH($E372,Establishment!$A$2:$A$1005,0))</f>
        <v xml:space="preserve"> </v>
      </c>
      <c r="M372">
        <f t="shared" si="31"/>
        <v>0</v>
      </c>
      <c r="N372">
        <f t="shared" si="29"/>
        <v>0</v>
      </c>
      <c r="P372" t="e">
        <f>INDEX(Items!B$2:B$1032,MATCH($O372,Items!$A$2:$A$1032,0))</f>
        <v>#N/A</v>
      </c>
      <c r="Q372" t="e">
        <f>INDEX(Items!C$2:C$1032,MATCH($O372,Items!$A$2:$A$1032,0))</f>
        <v>#N/A</v>
      </c>
      <c r="R372" t="e">
        <f>INDEX(Items!D$2:D$1032,MATCH($O372,Items!$A$2:$A$1032,0))</f>
        <v>#N/A</v>
      </c>
    </row>
    <row r="373" spans="1:18" x14ac:dyDescent="0.25">
      <c r="A373">
        <f t="shared" si="27"/>
        <v>1</v>
      </c>
      <c r="B373" t="str">
        <f t="shared" si="28"/>
        <v/>
      </c>
      <c r="C373">
        <f t="shared" si="30"/>
        <v>1</v>
      </c>
      <c r="D373" s="4"/>
      <c r="E373" t="s">
        <v>18</v>
      </c>
      <c r="F373" t="str">
        <f>INDEX(Establishment!B$2:B$1005,MATCH($E373,Establishment!$A$2:$A$1005,0))</f>
        <v xml:space="preserve"> </v>
      </c>
      <c r="G373" t="str">
        <f>INDEX(Establishment!C$2:C$1005,MATCH($E373,Establishment!$A$2:$A$1005,0))</f>
        <v xml:space="preserve"> </v>
      </c>
      <c r="M373">
        <f t="shared" si="31"/>
        <v>0</v>
      </c>
      <c r="N373">
        <f t="shared" si="29"/>
        <v>0</v>
      </c>
      <c r="P373" t="e">
        <f>INDEX(Items!B$2:B$1032,MATCH($O373,Items!$A$2:$A$1032,0))</f>
        <v>#N/A</v>
      </c>
      <c r="Q373" t="e">
        <f>INDEX(Items!C$2:C$1032,MATCH($O373,Items!$A$2:$A$1032,0))</f>
        <v>#N/A</v>
      </c>
      <c r="R373" t="e">
        <f>INDEX(Items!D$2:D$1032,MATCH($O373,Items!$A$2:$A$1032,0))</f>
        <v>#N/A</v>
      </c>
    </row>
    <row r="374" spans="1:18" x14ac:dyDescent="0.25">
      <c r="A374">
        <f t="shared" si="27"/>
        <v>1</v>
      </c>
      <c r="B374" t="str">
        <f t="shared" si="28"/>
        <v/>
      </c>
      <c r="C374">
        <f t="shared" si="30"/>
        <v>1</v>
      </c>
      <c r="D374" s="4"/>
      <c r="E374" t="s">
        <v>18</v>
      </c>
      <c r="F374" t="str">
        <f>INDEX(Establishment!B$2:B$1005,MATCH($E374,Establishment!$A$2:$A$1005,0))</f>
        <v xml:space="preserve"> </v>
      </c>
      <c r="G374" t="str">
        <f>INDEX(Establishment!C$2:C$1005,MATCH($E374,Establishment!$A$2:$A$1005,0))</f>
        <v xml:space="preserve"> </v>
      </c>
      <c r="M374">
        <f t="shared" si="31"/>
        <v>0</v>
      </c>
      <c r="N374">
        <f t="shared" si="29"/>
        <v>0</v>
      </c>
      <c r="P374" t="e">
        <f>INDEX(Items!B$2:B$1032,MATCH($O374,Items!$A$2:$A$1032,0))</f>
        <v>#N/A</v>
      </c>
      <c r="Q374" t="e">
        <f>INDEX(Items!C$2:C$1032,MATCH($O374,Items!$A$2:$A$1032,0))</f>
        <v>#N/A</v>
      </c>
      <c r="R374" t="e">
        <f>INDEX(Items!D$2:D$1032,MATCH($O374,Items!$A$2:$A$1032,0))</f>
        <v>#N/A</v>
      </c>
    </row>
    <row r="375" spans="1:18" x14ac:dyDescent="0.25">
      <c r="A375">
        <f t="shared" si="27"/>
        <v>1</v>
      </c>
      <c r="B375" t="str">
        <f t="shared" si="28"/>
        <v/>
      </c>
      <c r="C375">
        <f t="shared" si="30"/>
        <v>1</v>
      </c>
      <c r="D375" s="4"/>
      <c r="E375" t="s">
        <v>18</v>
      </c>
      <c r="F375" t="str">
        <f>INDEX(Establishment!B$2:B$1005,MATCH($E375,Establishment!$A$2:$A$1005,0))</f>
        <v xml:space="preserve"> </v>
      </c>
      <c r="G375" t="str">
        <f>INDEX(Establishment!C$2:C$1005,MATCH($E375,Establishment!$A$2:$A$1005,0))</f>
        <v xml:space="preserve"> </v>
      </c>
      <c r="M375">
        <f t="shared" si="31"/>
        <v>0</v>
      </c>
      <c r="N375">
        <f t="shared" si="29"/>
        <v>0</v>
      </c>
      <c r="P375" t="e">
        <f>INDEX(Items!B$2:B$1032,MATCH($O375,Items!$A$2:$A$1032,0))</f>
        <v>#N/A</v>
      </c>
      <c r="Q375" t="e">
        <f>INDEX(Items!C$2:C$1032,MATCH($O375,Items!$A$2:$A$1032,0))</f>
        <v>#N/A</v>
      </c>
      <c r="R375" t="e">
        <f>INDEX(Items!D$2:D$1032,MATCH($O375,Items!$A$2:$A$1032,0))</f>
        <v>#N/A</v>
      </c>
    </row>
    <row r="376" spans="1:18" x14ac:dyDescent="0.25">
      <c r="A376">
        <f t="shared" si="27"/>
        <v>1</v>
      </c>
      <c r="B376" t="str">
        <f t="shared" si="28"/>
        <v/>
      </c>
      <c r="C376">
        <f t="shared" si="30"/>
        <v>1</v>
      </c>
      <c r="D376" s="4"/>
      <c r="E376" t="s">
        <v>18</v>
      </c>
      <c r="F376" t="str">
        <f>INDEX(Establishment!B$2:B$1005,MATCH($E376,Establishment!$A$2:$A$1005,0))</f>
        <v xml:space="preserve"> </v>
      </c>
      <c r="G376" t="str">
        <f>INDEX(Establishment!C$2:C$1005,MATCH($E376,Establishment!$A$2:$A$1005,0))</f>
        <v xml:space="preserve"> </v>
      </c>
      <c r="M376">
        <f t="shared" si="31"/>
        <v>0</v>
      </c>
      <c r="N376">
        <f t="shared" si="29"/>
        <v>0</v>
      </c>
      <c r="P376" t="e">
        <f>INDEX(Items!B$2:B$1032,MATCH($O376,Items!$A$2:$A$1032,0))</f>
        <v>#N/A</v>
      </c>
      <c r="Q376" t="e">
        <f>INDEX(Items!C$2:C$1032,MATCH($O376,Items!$A$2:$A$1032,0))</f>
        <v>#N/A</v>
      </c>
      <c r="R376" t="e">
        <f>INDEX(Items!D$2:D$1032,MATCH($O376,Items!$A$2:$A$1032,0))</f>
        <v>#N/A</v>
      </c>
    </row>
    <row r="377" spans="1:18" x14ac:dyDescent="0.25">
      <c r="A377">
        <f t="shared" si="27"/>
        <v>1</v>
      </c>
      <c r="B377" t="str">
        <f t="shared" si="28"/>
        <v/>
      </c>
      <c r="C377">
        <f t="shared" si="30"/>
        <v>1</v>
      </c>
      <c r="D377" s="4"/>
      <c r="E377" t="s">
        <v>18</v>
      </c>
      <c r="F377" t="str">
        <f>INDEX(Establishment!B$2:B$1005,MATCH($E377,Establishment!$A$2:$A$1005,0))</f>
        <v xml:space="preserve"> </v>
      </c>
      <c r="G377" t="str">
        <f>INDEX(Establishment!C$2:C$1005,MATCH($E377,Establishment!$A$2:$A$1005,0))</f>
        <v xml:space="preserve"> </v>
      </c>
      <c r="M377">
        <f t="shared" si="31"/>
        <v>0</v>
      </c>
      <c r="N377">
        <f t="shared" si="29"/>
        <v>0</v>
      </c>
      <c r="P377" t="e">
        <f>INDEX(Items!B$2:B$1032,MATCH($O377,Items!$A$2:$A$1032,0))</f>
        <v>#N/A</v>
      </c>
      <c r="Q377" t="e">
        <f>INDEX(Items!C$2:C$1032,MATCH($O377,Items!$A$2:$A$1032,0))</f>
        <v>#N/A</v>
      </c>
      <c r="R377" t="e">
        <f>INDEX(Items!D$2:D$1032,MATCH($O377,Items!$A$2:$A$1032,0))</f>
        <v>#N/A</v>
      </c>
    </row>
    <row r="378" spans="1:18" x14ac:dyDescent="0.25">
      <c r="A378">
        <f t="shared" si="27"/>
        <v>1</v>
      </c>
      <c r="B378" t="str">
        <f t="shared" si="28"/>
        <v/>
      </c>
      <c r="C378">
        <f t="shared" si="30"/>
        <v>1</v>
      </c>
      <c r="D378" s="4"/>
      <c r="E378" t="s">
        <v>18</v>
      </c>
      <c r="F378" t="str">
        <f>INDEX(Establishment!B$2:B$1005,MATCH($E378,Establishment!$A$2:$A$1005,0))</f>
        <v xml:space="preserve"> </v>
      </c>
      <c r="G378" t="str">
        <f>INDEX(Establishment!C$2:C$1005,MATCH($E378,Establishment!$A$2:$A$1005,0))</f>
        <v xml:space="preserve"> </v>
      </c>
      <c r="M378">
        <f t="shared" si="31"/>
        <v>0</v>
      </c>
      <c r="N378">
        <f t="shared" si="29"/>
        <v>0</v>
      </c>
      <c r="P378" t="e">
        <f>INDEX(Items!B$2:B$1032,MATCH($O378,Items!$A$2:$A$1032,0))</f>
        <v>#N/A</v>
      </c>
      <c r="Q378" t="e">
        <f>INDEX(Items!C$2:C$1032,MATCH($O378,Items!$A$2:$A$1032,0))</f>
        <v>#N/A</v>
      </c>
      <c r="R378" t="e">
        <f>INDEX(Items!D$2:D$1032,MATCH($O378,Items!$A$2:$A$1032,0))</f>
        <v>#N/A</v>
      </c>
    </row>
    <row r="379" spans="1:18" x14ac:dyDescent="0.25">
      <c r="A379">
        <f t="shared" si="27"/>
        <v>1</v>
      </c>
      <c r="B379" t="str">
        <f t="shared" si="28"/>
        <v/>
      </c>
      <c r="C379">
        <f t="shared" si="30"/>
        <v>1</v>
      </c>
      <c r="D379" s="4"/>
      <c r="E379" t="s">
        <v>18</v>
      </c>
      <c r="F379" t="str">
        <f>INDEX(Establishment!B$2:B$1005,MATCH($E379,Establishment!$A$2:$A$1005,0))</f>
        <v xml:space="preserve"> </v>
      </c>
      <c r="G379" t="str">
        <f>INDEX(Establishment!C$2:C$1005,MATCH($E379,Establishment!$A$2:$A$1005,0))</f>
        <v xml:space="preserve"> </v>
      </c>
      <c r="M379">
        <f t="shared" si="31"/>
        <v>0</v>
      </c>
      <c r="N379">
        <f t="shared" si="29"/>
        <v>0</v>
      </c>
      <c r="P379" t="e">
        <f>INDEX(Items!B$2:B$1032,MATCH($O379,Items!$A$2:$A$1032,0))</f>
        <v>#N/A</v>
      </c>
      <c r="Q379" t="e">
        <f>INDEX(Items!C$2:C$1032,MATCH($O379,Items!$A$2:$A$1032,0))</f>
        <v>#N/A</v>
      </c>
      <c r="R379" t="e">
        <f>INDEX(Items!D$2:D$1032,MATCH($O379,Items!$A$2:$A$1032,0))</f>
        <v>#N/A</v>
      </c>
    </row>
    <row r="380" spans="1:18" x14ac:dyDescent="0.25">
      <c r="A380">
        <f t="shared" si="27"/>
        <v>1</v>
      </c>
      <c r="B380" t="str">
        <f t="shared" si="28"/>
        <v/>
      </c>
      <c r="C380">
        <f t="shared" si="30"/>
        <v>1</v>
      </c>
      <c r="D380" s="4"/>
      <c r="E380" t="s">
        <v>18</v>
      </c>
      <c r="F380" t="str">
        <f>INDEX(Establishment!B$2:B$1005,MATCH($E380,Establishment!$A$2:$A$1005,0))</f>
        <v xml:space="preserve"> </v>
      </c>
      <c r="G380" t="str">
        <f>INDEX(Establishment!C$2:C$1005,MATCH($E380,Establishment!$A$2:$A$1005,0))</f>
        <v xml:space="preserve"> </v>
      </c>
      <c r="M380">
        <f t="shared" si="31"/>
        <v>0</v>
      </c>
      <c r="N380">
        <f t="shared" si="29"/>
        <v>0</v>
      </c>
      <c r="P380" t="e">
        <f>INDEX(Items!B$2:B$1032,MATCH($O380,Items!$A$2:$A$1032,0))</f>
        <v>#N/A</v>
      </c>
      <c r="Q380" t="e">
        <f>INDEX(Items!C$2:C$1032,MATCH($O380,Items!$A$2:$A$1032,0))</f>
        <v>#N/A</v>
      </c>
      <c r="R380" t="e">
        <f>INDEX(Items!D$2:D$1032,MATCH($O380,Items!$A$2:$A$1032,0))</f>
        <v>#N/A</v>
      </c>
    </row>
    <row r="381" spans="1:18" x14ac:dyDescent="0.25">
      <c r="A381">
        <f t="shared" si="27"/>
        <v>1</v>
      </c>
      <c r="B381" t="str">
        <f t="shared" si="28"/>
        <v/>
      </c>
      <c r="C381">
        <f t="shared" si="30"/>
        <v>1</v>
      </c>
      <c r="D381" s="4"/>
      <c r="E381" t="s">
        <v>18</v>
      </c>
      <c r="F381" t="str">
        <f>INDEX(Establishment!B$2:B$1005,MATCH($E381,Establishment!$A$2:$A$1005,0))</f>
        <v xml:space="preserve"> </v>
      </c>
      <c r="G381" t="str">
        <f>INDEX(Establishment!C$2:C$1005,MATCH($E381,Establishment!$A$2:$A$1005,0))</f>
        <v xml:space="preserve"> </v>
      </c>
      <c r="M381">
        <f t="shared" si="31"/>
        <v>0</v>
      </c>
      <c r="N381">
        <f t="shared" si="29"/>
        <v>0</v>
      </c>
      <c r="P381" t="e">
        <f>INDEX(Items!B$2:B$1032,MATCH($O381,Items!$A$2:$A$1032,0))</f>
        <v>#N/A</v>
      </c>
      <c r="Q381" t="e">
        <f>INDEX(Items!C$2:C$1032,MATCH($O381,Items!$A$2:$A$1032,0))</f>
        <v>#N/A</v>
      </c>
      <c r="R381" t="e">
        <f>INDEX(Items!D$2:D$1032,MATCH($O381,Items!$A$2:$A$1032,0))</f>
        <v>#N/A</v>
      </c>
    </row>
    <row r="382" spans="1:18" x14ac:dyDescent="0.25">
      <c r="A382">
        <f t="shared" si="27"/>
        <v>1</v>
      </c>
      <c r="B382" t="str">
        <f t="shared" si="28"/>
        <v/>
      </c>
      <c r="C382">
        <f t="shared" si="30"/>
        <v>1</v>
      </c>
      <c r="D382" s="4"/>
      <c r="E382" t="s">
        <v>18</v>
      </c>
      <c r="F382" t="str">
        <f>INDEX(Establishment!B$2:B$1005,MATCH($E382,Establishment!$A$2:$A$1005,0))</f>
        <v xml:space="preserve"> </v>
      </c>
      <c r="G382" t="str">
        <f>INDEX(Establishment!C$2:C$1005,MATCH($E382,Establishment!$A$2:$A$1005,0))</f>
        <v xml:space="preserve"> </v>
      </c>
      <c r="M382">
        <f t="shared" si="31"/>
        <v>0</v>
      </c>
      <c r="N382">
        <f t="shared" si="29"/>
        <v>0</v>
      </c>
      <c r="P382" t="e">
        <f>INDEX(Items!B$2:B$1032,MATCH($O382,Items!$A$2:$A$1032,0))</f>
        <v>#N/A</v>
      </c>
      <c r="Q382" t="e">
        <f>INDEX(Items!C$2:C$1032,MATCH($O382,Items!$A$2:$A$1032,0))</f>
        <v>#N/A</v>
      </c>
      <c r="R382" t="e">
        <f>INDEX(Items!D$2:D$1032,MATCH($O382,Items!$A$2:$A$1032,0))</f>
        <v>#N/A</v>
      </c>
    </row>
    <row r="383" spans="1:18" x14ac:dyDescent="0.25">
      <c r="A383">
        <f t="shared" si="27"/>
        <v>1</v>
      </c>
      <c r="B383" t="str">
        <f t="shared" si="28"/>
        <v/>
      </c>
      <c r="C383">
        <f t="shared" si="30"/>
        <v>1</v>
      </c>
      <c r="D383" s="4"/>
      <c r="E383" t="s">
        <v>18</v>
      </c>
      <c r="F383" t="str">
        <f>INDEX(Establishment!B$2:B$1005,MATCH($E383,Establishment!$A$2:$A$1005,0))</f>
        <v xml:space="preserve"> </v>
      </c>
      <c r="G383" t="str">
        <f>INDEX(Establishment!C$2:C$1005,MATCH($E383,Establishment!$A$2:$A$1005,0))</f>
        <v xml:space="preserve"> </v>
      </c>
      <c r="M383">
        <f t="shared" si="31"/>
        <v>0</v>
      </c>
      <c r="N383">
        <f t="shared" si="29"/>
        <v>0</v>
      </c>
      <c r="P383" t="e">
        <f>INDEX(Items!B$2:B$1032,MATCH($O383,Items!$A$2:$A$1032,0))</f>
        <v>#N/A</v>
      </c>
      <c r="Q383" t="e">
        <f>INDEX(Items!C$2:C$1032,MATCH($O383,Items!$A$2:$A$1032,0))</f>
        <v>#N/A</v>
      </c>
      <c r="R383" t="e">
        <f>INDEX(Items!D$2:D$1032,MATCH($O383,Items!$A$2:$A$1032,0))</f>
        <v>#N/A</v>
      </c>
    </row>
    <row r="384" spans="1:18" x14ac:dyDescent="0.25">
      <c r="A384">
        <f t="shared" si="27"/>
        <v>1</v>
      </c>
      <c r="B384" t="str">
        <f t="shared" si="28"/>
        <v/>
      </c>
      <c r="C384">
        <f t="shared" si="30"/>
        <v>1</v>
      </c>
      <c r="D384" s="4"/>
      <c r="E384" t="s">
        <v>18</v>
      </c>
      <c r="F384" t="str">
        <f>INDEX(Establishment!B$2:B$1005,MATCH($E384,Establishment!$A$2:$A$1005,0))</f>
        <v xml:space="preserve"> </v>
      </c>
      <c r="G384" t="str">
        <f>INDEX(Establishment!C$2:C$1005,MATCH($E384,Establishment!$A$2:$A$1005,0))</f>
        <v xml:space="preserve"> </v>
      </c>
      <c r="M384">
        <f t="shared" si="31"/>
        <v>0</v>
      </c>
      <c r="N384">
        <f t="shared" si="29"/>
        <v>0</v>
      </c>
      <c r="P384" t="e">
        <f>INDEX(Items!B$2:B$1032,MATCH($O384,Items!$A$2:$A$1032,0))</f>
        <v>#N/A</v>
      </c>
      <c r="Q384" t="e">
        <f>INDEX(Items!C$2:C$1032,MATCH($O384,Items!$A$2:$A$1032,0))</f>
        <v>#N/A</v>
      </c>
      <c r="R384" t="e">
        <f>INDEX(Items!D$2:D$1032,MATCH($O384,Items!$A$2:$A$1032,0))</f>
        <v>#N/A</v>
      </c>
    </row>
    <row r="385" spans="1:18" x14ac:dyDescent="0.25">
      <c r="A385">
        <f t="shared" si="27"/>
        <v>1</v>
      </c>
      <c r="B385" t="str">
        <f t="shared" si="28"/>
        <v/>
      </c>
      <c r="C385">
        <f t="shared" si="30"/>
        <v>1</v>
      </c>
      <c r="D385" s="4"/>
      <c r="E385" t="s">
        <v>18</v>
      </c>
      <c r="F385" t="str">
        <f>INDEX(Establishment!B$2:B$1005,MATCH($E385,Establishment!$A$2:$A$1005,0))</f>
        <v xml:space="preserve"> </v>
      </c>
      <c r="G385" t="str">
        <f>INDEX(Establishment!C$2:C$1005,MATCH($E385,Establishment!$A$2:$A$1005,0))</f>
        <v xml:space="preserve"> </v>
      </c>
      <c r="M385">
        <f t="shared" si="31"/>
        <v>0</v>
      </c>
      <c r="N385">
        <f t="shared" si="29"/>
        <v>0</v>
      </c>
      <c r="P385" t="e">
        <f>INDEX(Items!B$2:B$1032,MATCH($O385,Items!$A$2:$A$1032,0))</f>
        <v>#N/A</v>
      </c>
      <c r="Q385" t="e">
        <f>INDEX(Items!C$2:C$1032,MATCH($O385,Items!$A$2:$A$1032,0))</f>
        <v>#N/A</v>
      </c>
      <c r="R385" t="e">
        <f>INDEX(Items!D$2:D$1032,MATCH($O385,Items!$A$2:$A$1032,0))</f>
        <v>#N/A</v>
      </c>
    </row>
    <row r="386" spans="1:18" x14ac:dyDescent="0.25">
      <c r="A386">
        <f t="shared" ref="A386:A449" si="32">IF(OR(D386&lt;&gt;D385,D386=""),1,IF(NOT(AND(E386=E385,F386=F385,G386=G385)),A385+1,IF(OR(H386="",AND(H386&lt;&gt;"",H386&lt;&gt;H385,H385&lt;&gt;"")),A385,A385+1)))</f>
        <v>1</v>
      </c>
      <c r="B386" t="str">
        <f t="shared" ref="B386:B449" si="33">IF(D386&lt;&gt;"",TEXT(D386,"YYYYMMDD")&amp;CHAR(64+A386),"")</f>
        <v/>
      </c>
      <c r="C386">
        <f t="shared" si="30"/>
        <v>1</v>
      </c>
      <c r="D386" s="4"/>
      <c r="E386" t="s">
        <v>18</v>
      </c>
      <c r="F386" t="str">
        <f>INDEX(Establishment!B$2:B$1005,MATCH($E386,Establishment!$A$2:$A$1005,0))</f>
        <v xml:space="preserve"> </v>
      </c>
      <c r="G386" t="str">
        <f>INDEX(Establishment!C$2:C$1005,MATCH($E386,Establishment!$A$2:$A$1005,0))</f>
        <v xml:space="preserve"> </v>
      </c>
      <c r="M386">
        <f t="shared" si="31"/>
        <v>0</v>
      </c>
      <c r="N386">
        <f t="shared" si="29"/>
        <v>0</v>
      </c>
      <c r="P386" t="e">
        <f>INDEX(Items!B$2:B$1032,MATCH($O386,Items!$A$2:$A$1032,0))</f>
        <v>#N/A</v>
      </c>
      <c r="Q386" t="e">
        <f>INDEX(Items!C$2:C$1032,MATCH($O386,Items!$A$2:$A$1032,0))</f>
        <v>#N/A</v>
      </c>
      <c r="R386" t="e">
        <f>INDEX(Items!D$2:D$1032,MATCH($O386,Items!$A$2:$A$1032,0))</f>
        <v>#N/A</v>
      </c>
    </row>
    <row r="387" spans="1:18" x14ac:dyDescent="0.25">
      <c r="A387">
        <f t="shared" si="32"/>
        <v>1</v>
      </c>
      <c r="B387" t="str">
        <f t="shared" si="33"/>
        <v/>
      </c>
      <c r="C387">
        <f t="shared" si="30"/>
        <v>1</v>
      </c>
      <c r="D387" s="4"/>
      <c r="E387" t="s">
        <v>18</v>
      </c>
      <c r="F387" t="str">
        <f>INDEX(Establishment!B$2:B$1005,MATCH($E387,Establishment!$A$2:$A$1005,0))</f>
        <v xml:space="preserve"> </v>
      </c>
      <c r="G387" t="str">
        <f>INDEX(Establishment!C$2:C$1005,MATCH($E387,Establishment!$A$2:$A$1005,0))</f>
        <v xml:space="preserve"> </v>
      </c>
      <c r="M387">
        <f t="shared" si="31"/>
        <v>0</v>
      </c>
      <c r="N387">
        <f t="shared" ref="N387:N450" si="34">IF(B387=B386,N386+M387,M387)</f>
        <v>0</v>
      </c>
      <c r="P387" t="e">
        <f>INDEX(Items!B$2:B$1032,MATCH($O387,Items!$A$2:$A$1032,0))</f>
        <v>#N/A</v>
      </c>
      <c r="Q387" t="e">
        <f>INDEX(Items!C$2:C$1032,MATCH($O387,Items!$A$2:$A$1032,0))</f>
        <v>#N/A</v>
      </c>
      <c r="R387" t="e">
        <f>INDEX(Items!D$2:D$1032,MATCH($O387,Items!$A$2:$A$1032,0))</f>
        <v>#N/A</v>
      </c>
    </row>
    <row r="388" spans="1:18" x14ac:dyDescent="0.25">
      <c r="A388">
        <f t="shared" si="32"/>
        <v>1</v>
      </c>
      <c r="B388" t="str">
        <f t="shared" si="33"/>
        <v/>
      </c>
      <c r="C388">
        <f t="shared" si="30"/>
        <v>1</v>
      </c>
      <c r="D388" s="4"/>
      <c r="E388" t="s">
        <v>18</v>
      </c>
      <c r="F388" t="str">
        <f>INDEX(Establishment!B$2:B$1005,MATCH($E388,Establishment!$A$2:$A$1005,0))</f>
        <v xml:space="preserve"> </v>
      </c>
      <c r="G388" t="str">
        <f>INDEX(Establishment!C$2:C$1005,MATCH($E388,Establishment!$A$2:$A$1005,0))</f>
        <v xml:space="preserve"> </v>
      </c>
      <c r="M388">
        <f t="shared" si="31"/>
        <v>0</v>
      </c>
      <c r="N388">
        <f t="shared" si="34"/>
        <v>0</v>
      </c>
      <c r="P388" t="e">
        <f>INDEX(Items!B$2:B$1032,MATCH($O388,Items!$A$2:$A$1032,0))</f>
        <v>#N/A</v>
      </c>
      <c r="Q388" t="e">
        <f>INDEX(Items!C$2:C$1032,MATCH($O388,Items!$A$2:$A$1032,0))</f>
        <v>#N/A</v>
      </c>
      <c r="R388" t="e">
        <f>INDEX(Items!D$2:D$1032,MATCH($O388,Items!$A$2:$A$1032,0))</f>
        <v>#N/A</v>
      </c>
    </row>
    <row r="389" spans="1:18" x14ac:dyDescent="0.25">
      <c r="A389">
        <f t="shared" si="32"/>
        <v>1</v>
      </c>
      <c r="B389" t="str">
        <f t="shared" si="33"/>
        <v/>
      </c>
      <c r="C389">
        <f t="shared" si="30"/>
        <v>1</v>
      </c>
      <c r="D389" s="4"/>
      <c r="E389" t="s">
        <v>18</v>
      </c>
      <c r="F389" t="str">
        <f>INDEX(Establishment!B$2:B$1005,MATCH($E389,Establishment!$A$2:$A$1005,0))</f>
        <v xml:space="preserve"> </v>
      </c>
      <c r="G389" t="str">
        <f>INDEX(Establishment!C$2:C$1005,MATCH($E389,Establishment!$A$2:$A$1005,0))</f>
        <v xml:space="preserve"> </v>
      </c>
      <c r="M389">
        <f t="shared" si="31"/>
        <v>0</v>
      </c>
      <c r="N389">
        <f t="shared" si="34"/>
        <v>0</v>
      </c>
      <c r="P389" t="e">
        <f>INDEX(Items!B$2:B$1032,MATCH($O389,Items!$A$2:$A$1032,0))</f>
        <v>#N/A</v>
      </c>
      <c r="Q389" t="e">
        <f>INDEX(Items!C$2:C$1032,MATCH($O389,Items!$A$2:$A$1032,0))</f>
        <v>#N/A</v>
      </c>
      <c r="R389" t="e">
        <f>INDEX(Items!D$2:D$1032,MATCH($O389,Items!$A$2:$A$1032,0))</f>
        <v>#N/A</v>
      </c>
    </row>
    <row r="390" spans="1:18" x14ac:dyDescent="0.25">
      <c r="A390">
        <f t="shared" si="32"/>
        <v>1</v>
      </c>
      <c r="B390" t="str">
        <f t="shared" si="33"/>
        <v/>
      </c>
      <c r="C390">
        <f t="shared" si="30"/>
        <v>1</v>
      </c>
      <c r="D390" s="4"/>
      <c r="E390" t="s">
        <v>18</v>
      </c>
      <c r="F390" t="str">
        <f>INDEX(Establishment!B$2:B$1005,MATCH($E390,Establishment!$A$2:$A$1005,0))</f>
        <v xml:space="preserve"> </v>
      </c>
      <c r="G390" t="str">
        <f>INDEX(Establishment!C$2:C$1005,MATCH($E390,Establishment!$A$2:$A$1005,0))</f>
        <v xml:space="preserve"> </v>
      </c>
      <c r="M390">
        <f t="shared" si="31"/>
        <v>0</v>
      </c>
      <c r="N390">
        <f t="shared" si="34"/>
        <v>0</v>
      </c>
      <c r="P390" t="e">
        <f>INDEX(Items!B$2:B$1032,MATCH($O390,Items!$A$2:$A$1032,0))</f>
        <v>#N/A</v>
      </c>
      <c r="Q390" t="e">
        <f>INDEX(Items!C$2:C$1032,MATCH($O390,Items!$A$2:$A$1032,0))</f>
        <v>#N/A</v>
      </c>
      <c r="R390" t="e">
        <f>INDEX(Items!D$2:D$1032,MATCH($O390,Items!$A$2:$A$1032,0))</f>
        <v>#N/A</v>
      </c>
    </row>
    <row r="391" spans="1:18" x14ac:dyDescent="0.25">
      <c r="A391">
        <f t="shared" si="32"/>
        <v>1</v>
      </c>
      <c r="B391" t="str">
        <f t="shared" si="33"/>
        <v/>
      </c>
      <c r="C391">
        <f t="shared" si="30"/>
        <v>1</v>
      </c>
      <c r="D391" s="4"/>
      <c r="E391" t="s">
        <v>18</v>
      </c>
      <c r="F391" t="str">
        <f>INDEX(Establishment!B$2:B$1005,MATCH($E391,Establishment!$A$2:$A$1005,0))</f>
        <v xml:space="preserve"> </v>
      </c>
      <c r="G391" t="str">
        <f>INDEX(Establishment!C$2:C$1005,MATCH($E391,Establishment!$A$2:$A$1005,0))</f>
        <v xml:space="preserve"> </v>
      </c>
      <c r="M391">
        <f t="shared" si="31"/>
        <v>0</v>
      </c>
      <c r="N391">
        <f t="shared" si="34"/>
        <v>0</v>
      </c>
      <c r="P391" t="e">
        <f>INDEX(Items!B$2:B$1032,MATCH($O391,Items!$A$2:$A$1032,0))</f>
        <v>#N/A</v>
      </c>
      <c r="Q391" t="e">
        <f>INDEX(Items!C$2:C$1032,MATCH($O391,Items!$A$2:$A$1032,0))</f>
        <v>#N/A</v>
      </c>
      <c r="R391" t="e">
        <f>INDEX(Items!D$2:D$1032,MATCH($O391,Items!$A$2:$A$1032,0))</f>
        <v>#N/A</v>
      </c>
    </row>
    <row r="392" spans="1:18" x14ac:dyDescent="0.25">
      <c r="A392">
        <f t="shared" si="32"/>
        <v>1</v>
      </c>
      <c r="B392" t="str">
        <f t="shared" si="33"/>
        <v/>
      </c>
      <c r="C392">
        <f t="shared" si="30"/>
        <v>1</v>
      </c>
      <c r="D392" s="4"/>
      <c r="E392" t="s">
        <v>18</v>
      </c>
      <c r="F392" t="str">
        <f>INDEX(Establishment!B$2:B$1005,MATCH($E392,Establishment!$A$2:$A$1005,0))</f>
        <v xml:space="preserve"> </v>
      </c>
      <c r="G392" t="str">
        <f>INDEX(Establishment!C$2:C$1005,MATCH($E392,Establishment!$A$2:$A$1005,0))</f>
        <v xml:space="preserve"> </v>
      </c>
      <c r="M392">
        <f t="shared" si="31"/>
        <v>0</v>
      </c>
      <c r="N392">
        <f t="shared" si="34"/>
        <v>0</v>
      </c>
      <c r="P392" t="e">
        <f>INDEX(Items!B$2:B$1032,MATCH($O392,Items!$A$2:$A$1032,0))</f>
        <v>#N/A</v>
      </c>
      <c r="Q392" t="e">
        <f>INDEX(Items!C$2:C$1032,MATCH($O392,Items!$A$2:$A$1032,0))</f>
        <v>#N/A</v>
      </c>
      <c r="R392" t="e">
        <f>INDEX(Items!D$2:D$1032,MATCH($O392,Items!$A$2:$A$1032,0))</f>
        <v>#N/A</v>
      </c>
    </row>
    <row r="393" spans="1:18" x14ac:dyDescent="0.25">
      <c r="A393">
        <f t="shared" si="32"/>
        <v>1</v>
      </c>
      <c r="B393" t="str">
        <f t="shared" si="33"/>
        <v/>
      </c>
      <c r="C393">
        <f t="shared" si="30"/>
        <v>1</v>
      </c>
      <c r="D393" s="4"/>
      <c r="E393" t="s">
        <v>18</v>
      </c>
      <c r="F393" t="str">
        <f>INDEX(Establishment!B$2:B$1005,MATCH($E393,Establishment!$A$2:$A$1005,0))</f>
        <v xml:space="preserve"> </v>
      </c>
      <c r="G393" t="str">
        <f>INDEX(Establishment!C$2:C$1005,MATCH($E393,Establishment!$A$2:$A$1005,0))</f>
        <v xml:space="preserve"> </v>
      </c>
      <c r="M393">
        <f t="shared" si="31"/>
        <v>0</v>
      </c>
      <c r="N393">
        <f t="shared" si="34"/>
        <v>0</v>
      </c>
      <c r="P393" t="e">
        <f>INDEX(Items!B$2:B$1032,MATCH($O393,Items!$A$2:$A$1032,0))</f>
        <v>#N/A</v>
      </c>
      <c r="Q393" t="e">
        <f>INDEX(Items!C$2:C$1032,MATCH($O393,Items!$A$2:$A$1032,0))</f>
        <v>#N/A</v>
      </c>
      <c r="R393" t="e">
        <f>INDEX(Items!D$2:D$1032,MATCH($O393,Items!$A$2:$A$1032,0))</f>
        <v>#N/A</v>
      </c>
    </row>
    <row r="394" spans="1:18" x14ac:dyDescent="0.25">
      <c r="A394">
        <f t="shared" si="32"/>
        <v>1</v>
      </c>
      <c r="B394" t="str">
        <f t="shared" si="33"/>
        <v/>
      </c>
      <c r="C394">
        <f t="shared" ref="C394:C457" si="35">IF(OR(B394="",B394&lt;&gt;B393),1,C393+1)</f>
        <v>1</v>
      </c>
      <c r="D394" s="4"/>
      <c r="E394" t="s">
        <v>18</v>
      </c>
      <c r="F394" t="str">
        <f>INDEX(Establishment!B$2:B$1005,MATCH($E394,Establishment!$A$2:$A$1005,0))</f>
        <v xml:space="preserve"> </v>
      </c>
      <c r="G394" t="str">
        <f>INDEX(Establishment!C$2:C$1005,MATCH($E394,Establishment!$A$2:$A$1005,0))</f>
        <v xml:space="preserve"> </v>
      </c>
      <c r="M394">
        <f t="shared" ref="M394:M457" si="36">K394*L394</f>
        <v>0</v>
      </c>
      <c r="N394">
        <f t="shared" si="34"/>
        <v>0</v>
      </c>
      <c r="P394" t="e">
        <f>INDEX(Items!B$2:B$1032,MATCH($O394,Items!$A$2:$A$1032,0))</f>
        <v>#N/A</v>
      </c>
      <c r="Q394" t="e">
        <f>INDEX(Items!C$2:C$1032,MATCH($O394,Items!$A$2:$A$1032,0))</f>
        <v>#N/A</v>
      </c>
      <c r="R394" t="e">
        <f>INDEX(Items!D$2:D$1032,MATCH($O394,Items!$A$2:$A$1032,0))</f>
        <v>#N/A</v>
      </c>
    </row>
    <row r="395" spans="1:18" x14ac:dyDescent="0.25">
      <c r="A395">
        <f t="shared" si="32"/>
        <v>1</v>
      </c>
      <c r="B395" t="str">
        <f t="shared" si="33"/>
        <v/>
      </c>
      <c r="C395">
        <f t="shared" si="35"/>
        <v>1</v>
      </c>
      <c r="D395" s="4"/>
      <c r="E395" t="s">
        <v>18</v>
      </c>
      <c r="F395" t="str">
        <f>INDEX(Establishment!B$2:B$1005,MATCH($E395,Establishment!$A$2:$A$1005,0))</f>
        <v xml:space="preserve"> </v>
      </c>
      <c r="G395" t="str">
        <f>INDEX(Establishment!C$2:C$1005,MATCH($E395,Establishment!$A$2:$A$1005,0))</f>
        <v xml:space="preserve"> </v>
      </c>
      <c r="M395">
        <f t="shared" si="36"/>
        <v>0</v>
      </c>
      <c r="N395">
        <f t="shared" si="34"/>
        <v>0</v>
      </c>
      <c r="P395" t="e">
        <f>INDEX(Items!B$2:B$1032,MATCH($O395,Items!$A$2:$A$1032,0))</f>
        <v>#N/A</v>
      </c>
      <c r="Q395" t="e">
        <f>INDEX(Items!C$2:C$1032,MATCH($O395,Items!$A$2:$A$1032,0))</f>
        <v>#N/A</v>
      </c>
      <c r="R395" t="e">
        <f>INDEX(Items!D$2:D$1032,MATCH($O395,Items!$A$2:$A$1032,0))</f>
        <v>#N/A</v>
      </c>
    </row>
    <row r="396" spans="1:18" x14ac:dyDescent="0.25">
      <c r="A396">
        <f t="shared" si="32"/>
        <v>1</v>
      </c>
      <c r="B396" t="str">
        <f t="shared" si="33"/>
        <v/>
      </c>
      <c r="C396">
        <f t="shared" si="35"/>
        <v>1</v>
      </c>
      <c r="D396" s="4"/>
      <c r="E396" t="s">
        <v>18</v>
      </c>
      <c r="F396" t="str">
        <f>INDEX(Establishment!B$2:B$1005,MATCH($E396,Establishment!$A$2:$A$1005,0))</f>
        <v xml:space="preserve"> </v>
      </c>
      <c r="G396" t="str">
        <f>INDEX(Establishment!C$2:C$1005,MATCH($E396,Establishment!$A$2:$A$1005,0))</f>
        <v xml:space="preserve"> </v>
      </c>
      <c r="M396">
        <f t="shared" si="36"/>
        <v>0</v>
      </c>
      <c r="N396">
        <f t="shared" si="34"/>
        <v>0</v>
      </c>
      <c r="P396" t="e">
        <f>INDEX(Items!B$2:B$1032,MATCH($O396,Items!$A$2:$A$1032,0))</f>
        <v>#N/A</v>
      </c>
      <c r="Q396" t="e">
        <f>INDEX(Items!C$2:C$1032,MATCH($O396,Items!$A$2:$A$1032,0))</f>
        <v>#N/A</v>
      </c>
      <c r="R396" t="e">
        <f>INDEX(Items!D$2:D$1032,MATCH($O396,Items!$A$2:$A$1032,0))</f>
        <v>#N/A</v>
      </c>
    </row>
    <row r="397" spans="1:18" x14ac:dyDescent="0.25">
      <c r="A397">
        <f t="shared" si="32"/>
        <v>1</v>
      </c>
      <c r="B397" t="str">
        <f t="shared" si="33"/>
        <v/>
      </c>
      <c r="C397">
        <f t="shared" si="35"/>
        <v>1</v>
      </c>
      <c r="D397" s="4"/>
      <c r="E397" t="s">
        <v>18</v>
      </c>
      <c r="F397" t="str">
        <f>INDEX(Establishment!B$2:B$1005,MATCH($E397,Establishment!$A$2:$A$1005,0))</f>
        <v xml:space="preserve"> </v>
      </c>
      <c r="G397" t="str">
        <f>INDEX(Establishment!C$2:C$1005,MATCH($E397,Establishment!$A$2:$A$1005,0))</f>
        <v xml:space="preserve"> </v>
      </c>
      <c r="M397">
        <f t="shared" si="36"/>
        <v>0</v>
      </c>
      <c r="N397">
        <f t="shared" si="34"/>
        <v>0</v>
      </c>
      <c r="P397" t="e">
        <f>INDEX(Items!B$2:B$1032,MATCH($O397,Items!$A$2:$A$1032,0))</f>
        <v>#N/A</v>
      </c>
      <c r="Q397" t="e">
        <f>INDEX(Items!C$2:C$1032,MATCH($O397,Items!$A$2:$A$1032,0))</f>
        <v>#N/A</v>
      </c>
      <c r="R397" t="e">
        <f>INDEX(Items!D$2:D$1032,MATCH($O397,Items!$A$2:$A$1032,0))</f>
        <v>#N/A</v>
      </c>
    </row>
    <row r="398" spans="1:18" x14ac:dyDescent="0.25">
      <c r="A398">
        <f t="shared" si="32"/>
        <v>1</v>
      </c>
      <c r="B398" t="str">
        <f t="shared" si="33"/>
        <v/>
      </c>
      <c r="C398">
        <f t="shared" si="35"/>
        <v>1</v>
      </c>
      <c r="D398" s="4"/>
      <c r="E398" t="s">
        <v>18</v>
      </c>
      <c r="F398" t="str">
        <f>INDEX(Establishment!B$2:B$1005,MATCH($E398,Establishment!$A$2:$A$1005,0))</f>
        <v xml:space="preserve"> </v>
      </c>
      <c r="G398" t="str">
        <f>INDEX(Establishment!C$2:C$1005,MATCH($E398,Establishment!$A$2:$A$1005,0))</f>
        <v xml:space="preserve"> </v>
      </c>
      <c r="M398">
        <f t="shared" si="36"/>
        <v>0</v>
      </c>
      <c r="N398">
        <f t="shared" si="34"/>
        <v>0</v>
      </c>
      <c r="P398" t="e">
        <f>INDEX(Items!B$2:B$1032,MATCH($O398,Items!$A$2:$A$1032,0))</f>
        <v>#N/A</v>
      </c>
      <c r="Q398" t="e">
        <f>INDEX(Items!C$2:C$1032,MATCH($O398,Items!$A$2:$A$1032,0))</f>
        <v>#N/A</v>
      </c>
      <c r="R398" t="e">
        <f>INDEX(Items!D$2:D$1032,MATCH($O398,Items!$A$2:$A$1032,0))</f>
        <v>#N/A</v>
      </c>
    </row>
    <row r="399" spans="1:18" x14ac:dyDescent="0.25">
      <c r="A399">
        <f t="shared" si="32"/>
        <v>1</v>
      </c>
      <c r="B399" t="str">
        <f t="shared" si="33"/>
        <v/>
      </c>
      <c r="C399">
        <f t="shared" si="35"/>
        <v>1</v>
      </c>
      <c r="D399" s="4"/>
      <c r="E399" t="s">
        <v>18</v>
      </c>
      <c r="F399" t="str">
        <f>INDEX(Establishment!B$2:B$1005,MATCH($E399,Establishment!$A$2:$A$1005,0))</f>
        <v xml:space="preserve"> </v>
      </c>
      <c r="G399" t="str">
        <f>INDEX(Establishment!C$2:C$1005,MATCH($E399,Establishment!$A$2:$A$1005,0))</f>
        <v xml:space="preserve"> </v>
      </c>
      <c r="M399">
        <f t="shared" si="36"/>
        <v>0</v>
      </c>
      <c r="N399">
        <f t="shared" si="34"/>
        <v>0</v>
      </c>
      <c r="P399" t="e">
        <f>INDEX(Items!B$2:B$1032,MATCH($O399,Items!$A$2:$A$1032,0))</f>
        <v>#N/A</v>
      </c>
      <c r="Q399" t="e">
        <f>INDEX(Items!C$2:C$1032,MATCH($O399,Items!$A$2:$A$1032,0))</f>
        <v>#N/A</v>
      </c>
      <c r="R399" t="e">
        <f>INDEX(Items!D$2:D$1032,MATCH($O399,Items!$A$2:$A$1032,0))</f>
        <v>#N/A</v>
      </c>
    </row>
    <row r="400" spans="1:18" x14ac:dyDescent="0.25">
      <c r="A400">
        <f t="shared" si="32"/>
        <v>1</v>
      </c>
      <c r="B400" t="str">
        <f t="shared" si="33"/>
        <v/>
      </c>
      <c r="C400">
        <f t="shared" si="35"/>
        <v>1</v>
      </c>
      <c r="D400" s="4"/>
      <c r="E400" t="s">
        <v>18</v>
      </c>
      <c r="F400" t="str">
        <f>INDEX(Establishment!B$2:B$1005,MATCH($E400,Establishment!$A$2:$A$1005,0))</f>
        <v xml:space="preserve"> </v>
      </c>
      <c r="G400" t="str">
        <f>INDEX(Establishment!C$2:C$1005,MATCH($E400,Establishment!$A$2:$A$1005,0))</f>
        <v xml:space="preserve"> </v>
      </c>
      <c r="M400">
        <f t="shared" si="36"/>
        <v>0</v>
      </c>
      <c r="N400">
        <f t="shared" si="34"/>
        <v>0</v>
      </c>
      <c r="P400" t="e">
        <f>INDEX(Items!B$2:B$1032,MATCH($O400,Items!$A$2:$A$1032,0))</f>
        <v>#N/A</v>
      </c>
      <c r="Q400" t="e">
        <f>INDEX(Items!C$2:C$1032,MATCH($O400,Items!$A$2:$A$1032,0))</f>
        <v>#N/A</v>
      </c>
      <c r="R400" t="e">
        <f>INDEX(Items!D$2:D$1032,MATCH($O400,Items!$A$2:$A$1032,0))</f>
        <v>#N/A</v>
      </c>
    </row>
    <row r="401" spans="1:18" x14ac:dyDescent="0.25">
      <c r="A401">
        <f t="shared" si="32"/>
        <v>1</v>
      </c>
      <c r="B401" t="str">
        <f t="shared" si="33"/>
        <v/>
      </c>
      <c r="C401">
        <f t="shared" si="35"/>
        <v>1</v>
      </c>
      <c r="D401" s="4"/>
      <c r="E401" t="s">
        <v>18</v>
      </c>
      <c r="F401" t="str">
        <f>INDEX(Establishment!B$2:B$1005,MATCH($E401,Establishment!$A$2:$A$1005,0))</f>
        <v xml:space="preserve"> </v>
      </c>
      <c r="G401" t="str">
        <f>INDEX(Establishment!C$2:C$1005,MATCH($E401,Establishment!$A$2:$A$1005,0))</f>
        <v xml:space="preserve"> </v>
      </c>
      <c r="M401">
        <f t="shared" si="36"/>
        <v>0</v>
      </c>
      <c r="N401">
        <f t="shared" si="34"/>
        <v>0</v>
      </c>
      <c r="P401" t="e">
        <f>INDEX(Items!B$2:B$1032,MATCH($O401,Items!$A$2:$A$1032,0))</f>
        <v>#N/A</v>
      </c>
      <c r="Q401" t="e">
        <f>INDEX(Items!C$2:C$1032,MATCH($O401,Items!$A$2:$A$1032,0))</f>
        <v>#N/A</v>
      </c>
      <c r="R401" t="e">
        <f>INDEX(Items!D$2:D$1032,MATCH($O401,Items!$A$2:$A$1032,0))</f>
        <v>#N/A</v>
      </c>
    </row>
    <row r="402" spans="1:18" x14ac:dyDescent="0.25">
      <c r="A402">
        <f t="shared" si="32"/>
        <v>1</v>
      </c>
      <c r="B402" t="str">
        <f t="shared" si="33"/>
        <v/>
      </c>
      <c r="C402">
        <f t="shared" si="35"/>
        <v>1</v>
      </c>
      <c r="D402" s="4"/>
      <c r="E402" t="s">
        <v>18</v>
      </c>
      <c r="F402" t="str">
        <f>INDEX(Establishment!B$2:B$1005,MATCH($E402,Establishment!$A$2:$A$1005,0))</f>
        <v xml:space="preserve"> </v>
      </c>
      <c r="G402" t="str">
        <f>INDEX(Establishment!C$2:C$1005,MATCH($E402,Establishment!$A$2:$A$1005,0))</f>
        <v xml:space="preserve"> </v>
      </c>
      <c r="M402">
        <f t="shared" si="36"/>
        <v>0</v>
      </c>
      <c r="N402">
        <f t="shared" si="34"/>
        <v>0</v>
      </c>
      <c r="P402" t="e">
        <f>INDEX(Items!B$2:B$1032,MATCH($O402,Items!$A$2:$A$1032,0))</f>
        <v>#N/A</v>
      </c>
      <c r="Q402" t="e">
        <f>INDEX(Items!C$2:C$1032,MATCH($O402,Items!$A$2:$A$1032,0))</f>
        <v>#N/A</v>
      </c>
      <c r="R402" t="e">
        <f>INDEX(Items!D$2:D$1032,MATCH($O402,Items!$A$2:$A$1032,0))</f>
        <v>#N/A</v>
      </c>
    </row>
    <row r="403" spans="1:18" x14ac:dyDescent="0.25">
      <c r="A403">
        <f t="shared" si="32"/>
        <v>1</v>
      </c>
      <c r="B403" t="str">
        <f t="shared" si="33"/>
        <v/>
      </c>
      <c r="C403">
        <f t="shared" si="35"/>
        <v>1</v>
      </c>
      <c r="D403" s="4"/>
      <c r="E403" t="s">
        <v>18</v>
      </c>
      <c r="F403" t="str">
        <f>INDEX(Establishment!B$2:B$1005,MATCH($E403,Establishment!$A$2:$A$1005,0))</f>
        <v xml:space="preserve"> </v>
      </c>
      <c r="G403" t="str">
        <f>INDEX(Establishment!C$2:C$1005,MATCH($E403,Establishment!$A$2:$A$1005,0))</f>
        <v xml:space="preserve"> </v>
      </c>
      <c r="M403">
        <f t="shared" si="36"/>
        <v>0</v>
      </c>
      <c r="N403">
        <f t="shared" si="34"/>
        <v>0</v>
      </c>
      <c r="P403" t="e">
        <f>INDEX(Items!B$2:B$1032,MATCH($O403,Items!$A$2:$A$1032,0))</f>
        <v>#N/A</v>
      </c>
      <c r="Q403" t="e">
        <f>INDEX(Items!C$2:C$1032,MATCH($O403,Items!$A$2:$A$1032,0))</f>
        <v>#N/A</v>
      </c>
      <c r="R403" t="e">
        <f>INDEX(Items!D$2:D$1032,MATCH($O403,Items!$A$2:$A$1032,0))</f>
        <v>#N/A</v>
      </c>
    </row>
    <row r="404" spans="1:18" x14ac:dyDescent="0.25">
      <c r="A404">
        <f t="shared" si="32"/>
        <v>1</v>
      </c>
      <c r="B404" t="str">
        <f t="shared" si="33"/>
        <v/>
      </c>
      <c r="C404">
        <f t="shared" si="35"/>
        <v>1</v>
      </c>
      <c r="D404" s="4"/>
      <c r="E404" t="s">
        <v>18</v>
      </c>
      <c r="F404" t="str">
        <f>INDEX(Establishment!B$2:B$1005,MATCH($E404,Establishment!$A$2:$A$1005,0))</f>
        <v xml:space="preserve"> </v>
      </c>
      <c r="G404" t="str">
        <f>INDEX(Establishment!C$2:C$1005,MATCH($E404,Establishment!$A$2:$A$1005,0))</f>
        <v xml:space="preserve"> </v>
      </c>
      <c r="M404">
        <f t="shared" si="36"/>
        <v>0</v>
      </c>
      <c r="N404">
        <f t="shared" si="34"/>
        <v>0</v>
      </c>
      <c r="P404" t="e">
        <f>INDEX(Items!B$2:B$1032,MATCH($O404,Items!$A$2:$A$1032,0))</f>
        <v>#N/A</v>
      </c>
      <c r="Q404" t="e">
        <f>INDEX(Items!C$2:C$1032,MATCH($O404,Items!$A$2:$A$1032,0))</f>
        <v>#N/A</v>
      </c>
      <c r="R404" t="e">
        <f>INDEX(Items!D$2:D$1032,MATCH($O404,Items!$A$2:$A$1032,0))</f>
        <v>#N/A</v>
      </c>
    </row>
    <row r="405" spans="1:18" x14ac:dyDescent="0.25">
      <c r="A405">
        <f t="shared" si="32"/>
        <v>1</v>
      </c>
      <c r="B405" t="str">
        <f t="shared" si="33"/>
        <v/>
      </c>
      <c r="C405">
        <f t="shared" si="35"/>
        <v>1</v>
      </c>
      <c r="D405" s="4"/>
      <c r="E405" t="s">
        <v>18</v>
      </c>
      <c r="F405" t="str">
        <f>INDEX(Establishment!B$2:B$1005,MATCH($E405,Establishment!$A$2:$A$1005,0))</f>
        <v xml:space="preserve"> </v>
      </c>
      <c r="G405" t="str">
        <f>INDEX(Establishment!C$2:C$1005,MATCH($E405,Establishment!$A$2:$A$1005,0))</f>
        <v xml:space="preserve"> </v>
      </c>
      <c r="M405">
        <f t="shared" si="36"/>
        <v>0</v>
      </c>
      <c r="N405">
        <f t="shared" si="34"/>
        <v>0</v>
      </c>
      <c r="P405" t="e">
        <f>INDEX(Items!B$2:B$1032,MATCH($O405,Items!$A$2:$A$1032,0))</f>
        <v>#N/A</v>
      </c>
      <c r="Q405" t="e">
        <f>INDEX(Items!C$2:C$1032,MATCH($O405,Items!$A$2:$A$1032,0))</f>
        <v>#N/A</v>
      </c>
      <c r="R405" t="e">
        <f>INDEX(Items!D$2:D$1032,MATCH($O405,Items!$A$2:$A$1032,0))</f>
        <v>#N/A</v>
      </c>
    </row>
    <row r="406" spans="1:18" x14ac:dyDescent="0.25">
      <c r="A406">
        <f t="shared" si="32"/>
        <v>1</v>
      </c>
      <c r="B406" t="str">
        <f t="shared" si="33"/>
        <v/>
      </c>
      <c r="C406">
        <f t="shared" si="35"/>
        <v>1</v>
      </c>
      <c r="D406" s="4"/>
      <c r="E406" t="s">
        <v>18</v>
      </c>
      <c r="F406" t="str">
        <f>INDEX(Establishment!B$2:B$1005,MATCH($E406,Establishment!$A$2:$A$1005,0))</f>
        <v xml:space="preserve"> </v>
      </c>
      <c r="G406" t="str">
        <f>INDEX(Establishment!C$2:C$1005,MATCH($E406,Establishment!$A$2:$A$1005,0))</f>
        <v xml:space="preserve"> </v>
      </c>
      <c r="M406">
        <f t="shared" si="36"/>
        <v>0</v>
      </c>
      <c r="N406">
        <f t="shared" si="34"/>
        <v>0</v>
      </c>
      <c r="P406" t="e">
        <f>INDEX(Items!B$2:B$1032,MATCH($O406,Items!$A$2:$A$1032,0))</f>
        <v>#N/A</v>
      </c>
      <c r="Q406" t="e">
        <f>INDEX(Items!C$2:C$1032,MATCH($O406,Items!$A$2:$A$1032,0))</f>
        <v>#N/A</v>
      </c>
      <c r="R406" t="e">
        <f>INDEX(Items!D$2:D$1032,MATCH($O406,Items!$A$2:$A$1032,0))</f>
        <v>#N/A</v>
      </c>
    </row>
    <row r="407" spans="1:18" x14ac:dyDescent="0.25">
      <c r="A407">
        <f t="shared" si="32"/>
        <v>1</v>
      </c>
      <c r="B407" t="str">
        <f t="shared" si="33"/>
        <v/>
      </c>
      <c r="C407">
        <f t="shared" si="35"/>
        <v>1</v>
      </c>
      <c r="D407" s="4"/>
      <c r="E407" t="s">
        <v>18</v>
      </c>
      <c r="F407" t="str">
        <f>INDEX(Establishment!B$2:B$1005,MATCH($E407,Establishment!$A$2:$A$1005,0))</f>
        <v xml:space="preserve"> </v>
      </c>
      <c r="G407" t="str">
        <f>INDEX(Establishment!C$2:C$1005,MATCH($E407,Establishment!$A$2:$A$1005,0))</f>
        <v xml:space="preserve"> </v>
      </c>
      <c r="M407">
        <f t="shared" si="36"/>
        <v>0</v>
      </c>
      <c r="N407">
        <f t="shared" si="34"/>
        <v>0</v>
      </c>
      <c r="P407" t="e">
        <f>INDEX(Items!B$2:B$1032,MATCH($O407,Items!$A$2:$A$1032,0))</f>
        <v>#N/A</v>
      </c>
      <c r="Q407" t="e">
        <f>INDEX(Items!C$2:C$1032,MATCH($O407,Items!$A$2:$A$1032,0))</f>
        <v>#N/A</v>
      </c>
      <c r="R407" t="e">
        <f>INDEX(Items!D$2:D$1032,MATCH($O407,Items!$A$2:$A$1032,0))</f>
        <v>#N/A</v>
      </c>
    </row>
    <row r="408" spans="1:18" x14ac:dyDescent="0.25">
      <c r="A408">
        <f t="shared" si="32"/>
        <v>1</v>
      </c>
      <c r="B408" t="str">
        <f t="shared" si="33"/>
        <v/>
      </c>
      <c r="C408">
        <f t="shared" si="35"/>
        <v>1</v>
      </c>
      <c r="D408" s="4"/>
      <c r="E408" t="s">
        <v>18</v>
      </c>
      <c r="F408" t="str">
        <f>INDEX(Establishment!B$2:B$1005,MATCH($E408,Establishment!$A$2:$A$1005,0))</f>
        <v xml:space="preserve"> </v>
      </c>
      <c r="G408" t="str">
        <f>INDEX(Establishment!C$2:C$1005,MATCH($E408,Establishment!$A$2:$A$1005,0))</f>
        <v xml:space="preserve"> </v>
      </c>
      <c r="M408">
        <f t="shared" si="36"/>
        <v>0</v>
      </c>
      <c r="N408">
        <f t="shared" si="34"/>
        <v>0</v>
      </c>
      <c r="P408" t="e">
        <f>INDEX(Items!B$2:B$1032,MATCH($O408,Items!$A$2:$A$1032,0))</f>
        <v>#N/A</v>
      </c>
      <c r="Q408" t="e">
        <f>INDEX(Items!C$2:C$1032,MATCH($O408,Items!$A$2:$A$1032,0))</f>
        <v>#N/A</v>
      </c>
      <c r="R408" t="e">
        <f>INDEX(Items!D$2:D$1032,MATCH($O408,Items!$A$2:$A$1032,0))</f>
        <v>#N/A</v>
      </c>
    </row>
    <row r="409" spans="1:18" x14ac:dyDescent="0.25">
      <c r="A409">
        <f t="shared" si="32"/>
        <v>1</v>
      </c>
      <c r="B409" t="str">
        <f t="shared" si="33"/>
        <v/>
      </c>
      <c r="C409">
        <f t="shared" si="35"/>
        <v>1</v>
      </c>
      <c r="D409" s="4"/>
      <c r="E409" t="s">
        <v>18</v>
      </c>
      <c r="F409" t="str">
        <f>INDEX(Establishment!B$2:B$1005,MATCH($E409,Establishment!$A$2:$A$1005,0))</f>
        <v xml:space="preserve"> </v>
      </c>
      <c r="G409" t="str">
        <f>INDEX(Establishment!C$2:C$1005,MATCH($E409,Establishment!$A$2:$A$1005,0))</f>
        <v xml:space="preserve"> </v>
      </c>
      <c r="M409">
        <f t="shared" si="36"/>
        <v>0</v>
      </c>
      <c r="N409">
        <f t="shared" si="34"/>
        <v>0</v>
      </c>
      <c r="P409" t="e">
        <f>INDEX(Items!B$2:B$1032,MATCH($O409,Items!$A$2:$A$1032,0))</f>
        <v>#N/A</v>
      </c>
      <c r="Q409" t="e">
        <f>INDEX(Items!C$2:C$1032,MATCH($O409,Items!$A$2:$A$1032,0))</f>
        <v>#N/A</v>
      </c>
      <c r="R409" t="e">
        <f>INDEX(Items!D$2:D$1032,MATCH($O409,Items!$A$2:$A$1032,0))</f>
        <v>#N/A</v>
      </c>
    </row>
    <row r="410" spans="1:18" x14ac:dyDescent="0.25">
      <c r="A410">
        <f t="shared" si="32"/>
        <v>1</v>
      </c>
      <c r="B410" t="str">
        <f t="shared" si="33"/>
        <v/>
      </c>
      <c r="C410">
        <f t="shared" si="35"/>
        <v>1</v>
      </c>
      <c r="D410" s="4"/>
      <c r="E410" t="s">
        <v>18</v>
      </c>
      <c r="F410" t="str">
        <f>INDEX(Establishment!B$2:B$1005,MATCH($E410,Establishment!$A$2:$A$1005,0))</f>
        <v xml:space="preserve"> </v>
      </c>
      <c r="G410" t="str">
        <f>INDEX(Establishment!C$2:C$1005,MATCH($E410,Establishment!$A$2:$A$1005,0))</f>
        <v xml:space="preserve"> </v>
      </c>
      <c r="M410">
        <f t="shared" si="36"/>
        <v>0</v>
      </c>
      <c r="N410">
        <f t="shared" si="34"/>
        <v>0</v>
      </c>
      <c r="P410" t="e">
        <f>INDEX(Items!B$2:B$1032,MATCH($O410,Items!$A$2:$A$1032,0))</f>
        <v>#N/A</v>
      </c>
      <c r="Q410" t="e">
        <f>INDEX(Items!C$2:C$1032,MATCH($O410,Items!$A$2:$A$1032,0))</f>
        <v>#N/A</v>
      </c>
      <c r="R410" t="e">
        <f>INDEX(Items!D$2:D$1032,MATCH($O410,Items!$A$2:$A$1032,0))</f>
        <v>#N/A</v>
      </c>
    </row>
    <row r="411" spans="1:18" x14ac:dyDescent="0.25">
      <c r="A411">
        <f t="shared" si="32"/>
        <v>1</v>
      </c>
      <c r="B411" t="str">
        <f t="shared" si="33"/>
        <v/>
      </c>
      <c r="C411">
        <f t="shared" si="35"/>
        <v>1</v>
      </c>
      <c r="D411" s="4"/>
      <c r="E411" t="s">
        <v>18</v>
      </c>
      <c r="F411" t="str">
        <f>INDEX(Establishment!B$2:B$1005,MATCH($E411,Establishment!$A$2:$A$1005,0))</f>
        <v xml:space="preserve"> </v>
      </c>
      <c r="G411" t="str">
        <f>INDEX(Establishment!C$2:C$1005,MATCH($E411,Establishment!$A$2:$A$1005,0))</f>
        <v xml:space="preserve"> </v>
      </c>
      <c r="M411">
        <f t="shared" si="36"/>
        <v>0</v>
      </c>
      <c r="N411">
        <f t="shared" si="34"/>
        <v>0</v>
      </c>
      <c r="P411" t="e">
        <f>INDEX(Items!B$2:B$1032,MATCH($O411,Items!$A$2:$A$1032,0))</f>
        <v>#N/A</v>
      </c>
      <c r="Q411" t="e">
        <f>INDEX(Items!C$2:C$1032,MATCH($O411,Items!$A$2:$A$1032,0))</f>
        <v>#N/A</v>
      </c>
      <c r="R411" t="e">
        <f>INDEX(Items!D$2:D$1032,MATCH($O411,Items!$A$2:$A$1032,0))</f>
        <v>#N/A</v>
      </c>
    </row>
    <row r="412" spans="1:18" x14ac:dyDescent="0.25">
      <c r="A412">
        <f t="shared" si="32"/>
        <v>1</v>
      </c>
      <c r="B412" t="str">
        <f t="shared" si="33"/>
        <v/>
      </c>
      <c r="C412">
        <f t="shared" si="35"/>
        <v>1</v>
      </c>
      <c r="D412" s="4"/>
      <c r="E412" t="s">
        <v>18</v>
      </c>
      <c r="F412" t="str">
        <f>INDEX(Establishment!B$2:B$1005,MATCH($E412,Establishment!$A$2:$A$1005,0))</f>
        <v xml:space="preserve"> </v>
      </c>
      <c r="G412" t="str">
        <f>INDEX(Establishment!C$2:C$1005,MATCH($E412,Establishment!$A$2:$A$1005,0))</f>
        <v xml:space="preserve"> </v>
      </c>
      <c r="M412">
        <f t="shared" si="36"/>
        <v>0</v>
      </c>
      <c r="N412">
        <f t="shared" si="34"/>
        <v>0</v>
      </c>
      <c r="P412" t="e">
        <f>INDEX(Items!B$2:B$1032,MATCH($O412,Items!$A$2:$A$1032,0))</f>
        <v>#N/A</v>
      </c>
      <c r="Q412" t="e">
        <f>INDEX(Items!C$2:C$1032,MATCH($O412,Items!$A$2:$A$1032,0))</f>
        <v>#N/A</v>
      </c>
      <c r="R412" t="e">
        <f>INDEX(Items!D$2:D$1032,MATCH($O412,Items!$A$2:$A$1032,0))</f>
        <v>#N/A</v>
      </c>
    </row>
    <row r="413" spans="1:18" x14ac:dyDescent="0.25">
      <c r="A413">
        <f t="shared" si="32"/>
        <v>1</v>
      </c>
      <c r="B413" t="str">
        <f t="shared" si="33"/>
        <v/>
      </c>
      <c r="C413">
        <f t="shared" si="35"/>
        <v>1</v>
      </c>
      <c r="D413" s="4"/>
      <c r="E413" t="s">
        <v>18</v>
      </c>
      <c r="F413" t="str">
        <f>INDEX(Establishment!B$2:B$1005,MATCH($E413,Establishment!$A$2:$A$1005,0))</f>
        <v xml:space="preserve"> </v>
      </c>
      <c r="G413" t="str">
        <f>INDEX(Establishment!C$2:C$1005,MATCH($E413,Establishment!$A$2:$A$1005,0))</f>
        <v xml:space="preserve"> </v>
      </c>
      <c r="M413">
        <f t="shared" si="36"/>
        <v>0</v>
      </c>
      <c r="N413">
        <f t="shared" si="34"/>
        <v>0</v>
      </c>
      <c r="P413" t="e">
        <f>INDEX(Items!B$2:B$1032,MATCH($O413,Items!$A$2:$A$1032,0))</f>
        <v>#N/A</v>
      </c>
      <c r="Q413" t="e">
        <f>INDEX(Items!C$2:C$1032,MATCH($O413,Items!$A$2:$A$1032,0))</f>
        <v>#N/A</v>
      </c>
      <c r="R413" t="e">
        <f>INDEX(Items!D$2:D$1032,MATCH($O413,Items!$A$2:$A$1032,0))</f>
        <v>#N/A</v>
      </c>
    </row>
    <row r="414" spans="1:18" x14ac:dyDescent="0.25">
      <c r="A414">
        <f t="shared" si="32"/>
        <v>1</v>
      </c>
      <c r="B414" t="str">
        <f t="shared" si="33"/>
        <v/>
      </c>
      <c r="C414">
        <f t="shared" si="35"/>
        <v>1</v>
      </c>
      <c r="D414" s="4"/>
      <c r="E414" t="s">
        <v>18</v>
      </c>
      <c r="F414" t="str">
        <f>INDEX(Establishment!B$2:B$1005,MATCH($E414,Establishment!$A$2:$A$1005,0))</f>
        <v xml:space="preserve"> </v>
      </c>
      <c r="G414" t="str">
        <f>INDEX(Establishment!C$2:C$1005,MATCH($E414,Establishment!$A$2:$A$1005,0))</f>
        <v xml:space="preserve"> </v>
      </c>
      <c r="M414">
        <f t="shared" si="36"/>
        <v>0</v>
      </c>
      <c r="N414">
        <f t="shared" si="34"/>
        <v>0</v>
      </c>
      <c r="P414" t="e">
        <f>INDEX(Items!B$2:B$1032,MATCH($O414,Items!$A$2:$A$1032,0))</f>
        <v>#N/A</v>
      </c>
      <c r="Q414" t="e">
        <f>INDEX(Items!C$2:C$1032,MATCH($O414,Items!$A$2:$A$1032,0))</f>
        <v>#N/A</v>
      </c>
      <c r="R414" t="e">
        <f>INDEX(Items!D$2:D$1032,MATCH($O414,Items!$A$2:$A$1032,0))</f>
        <v>#N/A</v>
      </c>
    </row>
    <row r="415" spans="1:18" x14ac:dyDescent="0.25">
      <c r="A415">
        <f t="shared" si="32"/>
        <v>1</v>
      </c>
      <c r="B415" t="str">
        <f t="shared" si="33"/>
        <v/>
      </c>
      <c r="C415">
        <f t="shared" si="35"/>
        <v>1</v>
      </c>
      <c r="D415" s="4"/>
      <c r="E415" t="s">
        <v>18</v>
      </c>
      <c r="F415" t="str">
        <f>INDEX(Establishment!B$2:B$1005,MATCH($E415,Establishment!$A$2:$A$1005,0))</f>
        <v xml:space="preserve"> </v>
      </c>
      <c r="G415" t="str">
        <f>INDEX(Establishment!C$2:C$1005,MATCH($E415,Establishment!$A$2:$A$1005,0))</f>
        <v xml:space="preserve"> </v>
      </c>
      <c r="M415">
        <f t="shared" si="36"/>
        <v>0</v>
      </c>
      <c r="N415">
        <f t="shared" si="34"/>
        <v>0</v>
      </c>
      <c r="P415" t="e">
        <f>INDEX(Items!B$2:B$1032,MATCH($O415,Items!$A$2:$A$1032,0))</f>
        <v>#N/A</v>
      </c>
      <c r="Q415" t="e">
        <f>INDEX(Items!C$2:C$1032,MATCH($O415,Items!$A$2:$A$1032,0))</f>
        <v>#N/A</v>
      </c>
      <c r="R415" t="e">
        <f>INDEX(Items!D$2:D$1032,MATCH($O415,Items!$A$2:$A$1032,0))</f>
        <v>#N/A</v>
      </c>
    </row>
    <row r="416" spans="1:18" x14ac:dyDescent="0.25">
      <c r="A416">
        <f t="shared" si="32"/>
        <v>1</v>
      </c>
      <c r="B416" t="str">
        <f t="shared" si="33"/>
        <v/>
      </c>
      <c r="C416">
        <f t="shared" si="35"/>
        <v>1</v>
      </c>
      <c r="D416" s="4"/>
      <c r="E416" t="s">
        <v>18</v>
      </c>
      <c r="F416" t="str">
        <f>INDEX(Establishment!B$2:B$1005,MATCH($E416,Establishment!$A$2:$A$1005,0))</f>
        <v xml:space="preserve"> </v>
      </c>
      <c r="G416" t="str">
        <f>INDEX(Establishment!C$2:C$1005,MATCH($E416,Establishment!$A$2:$A$1005,0))</f>
        <v xml:space="preserve"> </v>
      </c>
      <c r="M416">
        <f t="shared" si="36"/>
        <v>0</v>
      </c>
      <c r="N416">
        <f t="shared" si="34"/>
        <v>0</v>
      </c>
      <c r="P416" t="e">
        <f>INDEX(Items!B$2:B$1032,MATCH($O416,Items!$A$2:$A$1032,0))</f>
        <v>#N/A</v>
      </c>
      <c r="Q416" t="e">
        <f>INDEX(Items!C$2:C$1032,MATCH($O416,Items!$A$2:$A$1032,0))</f>
        <v>#N/A</v>
      </c>
      <c r="R416" t="e">
        <f>INDEX(Items!D$2:D$1032,MATCH($O416,Items!$A$2:$A$1032,0))</f>
        <v>#N/A</v>
      </c>
    </row>
    <row r="417" spans="1:18" x14ac:dyDescent="0.25">
      <c r="A417">
        <f t="shared" si="32"/>
        <v>1</v>
      </c>
      <c r="B417" t="str">
        <f t="shared" si="33"/>
        <v/>
      </c>
      <c r="C417">
        <f t="shared" si="35"/>
        <v>1</v>
      </c>
      <c r="D417" s="4"/>
      <c r="E417" t="s">
        <v>18</v>
      </c>
      <c r="F417" t="str">
        <f>INDEX(Establishment!B$2:B$1005,MATCH($E417,Establishment!$A$2:$A$1005,0))</f>
        <v xml:space="preserve"> </v>
      </c>
      <c r="G417" t="str">
        <f>INDEX(Establishment!C$2:C$1005,MATCH($E417,Establishment!$A$2:$A$1005,0))</f>
        <v xml:space="preserve"> </v>
      </c>
      <c r="M417">
        <f t="shared" si="36"/>
        <v>0</v>
      </c>
      <c r="N417">
        <f t="shared" si="34"/>
        <v>0</v>
      </c>
      <c r="P417" t="e">
        <f>INDEX(Items!B$2:B$1032,MATCH($O417,Items!$A$2:$A$1032,0))</f>
        <v>#N/A</v>
      </c>
      <c r="Q417" t="e">
        <f>INDEX(Items!C$2:C$1032,MATCH($O417,Items!$A$2:$A$1032,0))</f>
        <v>#N/A</v>
      </c>
      <c r="R417" t="e">
        <f>INDEX(Items!D$2:D$1032,MATCH($O417,Items!$A$2:$A$1032,0))</f>
        <v>#N/A</v>
      </c>
    </row>
    <row r="418" spans="1:18" x14ac:dyDescent="0.25">
      <c r="A418">
        <f t="shared" si="32"/>
        <v>1</v>
      </c>
      <c r="B418" t="str">
        <f t="shared" si="33"/>
        <v/>
      </c>
      <c r="C418">
        <f t="shared" si="35"/>
        <v>1</v>
      </c>
      <c r="D418" s="4"/>
      <c r="E418" t="s">
        <v>18</v>
      </c>
      <c r="F418" t="str">
        <f>INDEX(Establishment!B$2:B$1005,MATCH($E418,Establishment!$A$2:$A$1005,0))</f>
        <v xml:space="preserve"> </v>
      </c>
      <c r="G418" t="str">
        <f>INDEX(Establishment!C$2:C$1005,MATCH($E418,Establishment!$A$2:$A$1005,0))</f>
        <v xml:space="preserve"> </v>
      </c>
      <c r="M418">
        <f t="shared" si="36"/>
        <v>0</v>
      </c>
      <c r="N418">
        <f t="shared" si="34"/>
        <v>0</v>
      </c>
      <c r="P418" t="e">
        <f>INDEX(Items!B$2:B$1032,MATCH($O418,Items!$A$2:$A$1032,0))</f>
        <v>#N/A</v>
      </c>
      <c r="Q418" t="e">
        <f>INDEX(Items!C$2:C$1032,MATCH($O418,Items!$A$2:$A$1032,0))</f>
        <v>#N/A</v>
      </c>
      <c r="R418" t="e">
        <f>INDEX(Items!D$2:D$1032,MATCH($O418,Items!$A$2:$A$1032,0))</f>
        <v>#N/A</v>
      </c>
    </row>
    <row r="419" spans="1:18" x14ac:dyDescent="0.25">
      <c r="A419">
        <f t="shared" si="32"/>
        <v>1</v>
      </c>
      <c r="B419" t="str">
        <f t="shared" si="33"/>
        <v/>
      </c>
      <c r="C419">
        <f t="shared" si="35"/>
        <v>1</v>
      </c>
      <c r="D419" s="4"/>
      <c r="E419" t="s">
        <v>18</v>
      </c>
      <c r="F419" t="str">
        <f>INDEX(Establishment!B$2:B$1005,MATCH($E419,Establishment!$A$2:$A$1005,0))</f>
        <v xml:space="preserve"> </v>
      </c>
      <c r="G419" t="str">
        <f>INDEX(Establishment!C$2:C$1005,MATCH($E419,Establishment!$A$2:$A$1005,0))</f>
        <v xml:space="preserve"> </v>
      </c>
      <c r="M419">
        <f t="shared" si="36"/>
        <v>0</v>
      </c>
      <c r="N419">
        <f t="shared" si="34"/>
        <v>0</v>
      </c>
      <c r="P419" t="e">
        <f>INDEX(Items!B$2:B$1032,MATCH($O419,Items!$A$2:$A$1032,0))</f>
        <v>#N/A</v>
      </c>
      <c r="Q419" t="e">
        <f>INDEX(Items!C$2:C$1032,MATCH($O419,Items!$A$2:$A$1032,0))</f>
        <v>#N/A</v>
      </c>
      <c r="R419" t="e">
        <f>INDEX(Items!D$2:D$1032,MATCH($O419,Items!$A$2:$A$1032,0))</f>
        <v>#N/A</v>
      </c>
    </row>
    <row r="420" spans="1:18" x14ac:dyDescent="0.25">
      <c r="A420">
        <f t="shared" si="32"/>
        <v>1</v>
      </c>
      <c r="B420" t="str">
        <f t="shared" si="33"/>
        <v/>
      </c>
      <c r="C420">
        <f t="shared" si="35"/>
        <v>1</v>
      </c>
      <c r="D420" s="4"/>
      <c r="E420" t="s">
        <v>18</v>
      </c>
      <c r="F420" t="str">
        <f>INDEX(Establishment!B$2:B$1005,MATCH($E420,Establishment!$A$2:$A$1005,0))</f>
        <v xml:space="preserve"> </v>
      </c>
      <c r="G420" t="str">
        <f>INDEX(Establishment!C$2:C$1005,MATCH($E420,Establishment!$A$2:$A$1005,0))</f>
        <v xml:space="preserve"> </v>
      </c>
      <c r="M420">
        <f t="shared" si="36"/>
        <v>0</v>
      </c>
      <c r="N420">
        <f t="shared" si="34"/>
        <v>0</v>
      </c>
      <c r="P420" t="e">
        <f>INDEX(Items!B$2:B$1032,MATCH($O420,Items!$A$2:$A$1032,0))</f>
        <v>#N/A</v>
      </c>
      <c r="Q420" t="e">
        <f>INDEX(Items!C$2:C$1032,MATCH($O420,Items!$A$2:$A$1032,0))</f>
        <v>#N/A</v>
      </c>
      <c r="R420" t="e">
        <f>INDEX(Items!D$2:D$1032,MATCH($O420,Items!$A$2:$A$1032,0))</f>
        <v>#N/A</v>
      </c>
    </row>
    <row r="421" spans="1:18" x14ac:dyDescent="0.25">
      <c r="A421">
        <f t="shared" si="32"/>
        <v>1</v>
      </c>
      <c r="B421" t="str">
        <f t="shared" si="33"/>
        <v/>
      </c>
      <c r="C421">
        <f t="shared" si="35"/>
        <v>1</v>
      </c>
      <c r="D421" s="4"/>
      <c r="E421" t="s">
        <v>18</v>
      </c>
      <c r="F421" t="str">
        <f>INDEX(Establishment!B$2:B$1005,MATCH($E421,Establishment!$A$2:$A$1005,0))</f>
        <v xml:space="preserve"> </v>
      </c>
      <c r="G421" t="str">
        <f>INDEX(Establishment!C$2:C$1005,MATCH($E421,Establishment!$A$2:$A$1005,0))</f>
        <v xml:space="preserve"> </v>
      </c>
      <c r="M421">
        <f t="shared" si="36"/>
        <v>0</v>
      </c>
      <c r="N421">
        <f t="shared" si="34"/>
        <v>0</v>
      </c>
      <c r="P421" t="e">
        <f>INDEX(Items!B$2:B$1032,MATCH($O421,Items!$A$2:$A$1032,0))</f>
        <v>#N/A</v>
      </c>
      <c r="Q421" t="e">
        <f>INDEX(Items!C$2:C$1032,MATCH($O421,Items!$A$2:$A$1032,0))</f>
        <v>#N/A</v>
      </c>
      <c r="R421" t="e">
        <f>INDEX(Items!D$2:D$1032,MATCH($O421,Items!$A$2:$A$1032,0))</f>
        <v>#N/A</v>
      </c>
    </row>
    <row r="422" spans="1:18" x14ac:dyDescent="0.25">
      <c r="A422">
        <f t="shared" si="32"/>
        <v>1</v>
      </c>
      <c r="B422" t="str">
        <f t="shared" si="33"/>
        <v/>
      </c>
      <c r="C422">
        <f t="shared" si="35"/>
        <v>1</v>
      </c>
      <c r="D422" s="4"/>
      <c r="E422" t="s">
        <v>18</v>
      </c>
      <c r="F422" t="str">
        <f>INDEX(Establishment!B$2:B$1005,MATCH($E422,Establishment!$A$2:$A$1005,0))</f>
        <v xml:space="preserve"> </v>
      </c>
      <c r="G422" t="str">
        <f>INDEX(Establishment!C$2:C$1005,MATCH($E422,Establishment!$A$2:$A$1005,0))</f>
        <v xml:space="preserve"> </v>
      </c>
      <c r="M422">
        <f t="shared" si="36"/>
        <v>0</v>
      </c>
      <c r="N422">
        <f t="shared" si="34"/>
        <v>0</v>
      </c>
      <c r="P422" t="e">
        <f>INDEX(Items!B$2:B$1032,MATCH($O422,Items!$A$2:$A$1032,0))</f>
        <v>#N/A</v>
      </c>
      <c r="Q422" t="e">
        <f>INDEX(Items!C$2:C$1032,MATCH($O422,Items!$A$2:$A$1032,0))</f>
        <v>#N/A</v>
      </c>
      <c r="R422" t="e">
        <f>INDEX(Items!D$2:D$1032,MATCH($O422,Items!$A$2:$A$1032,0))</f>
        <v>#N/A</v>
      </c>
    </row>
    <row r="423" spans="1:18" x14ac:dyDescent="0.25">
      <c r="A423">
        <f t="shared" si="32"/>
        <v>1</v>
      </c>
      <c r="B423" t="str">
        <f t="shared" si="33"/>
        <v/>
      </c>
      <c r="C423">
        <f t="shared" si="35"/>
        <v>1</v>
      </c>
      <c r="D423" s="4"/>
      <c r="E423" t="s">
        <v>18</v>
      </c>
      <c r="F423" t="str">
        <f>INDEX(Establishment!B$2:B$1005,MATCH($E423,Establishment!$A$2:$A$1005,0))</f>
        <v xml:space="preserve"> </v>
      </c>
      <c r="G423" t="str">
        <f>INDEX(Establishment!C$2:C$1005,MATCH($E423,Establishment!$A$2:$A$1005,0))</f>
        <v xml:space="preserve"> </v>
      </c>
      <c r="M423">
        <f t="shared" si="36"/>
        <v>0</v>
      </c>
      <c r="N423">
        <f t="shared" si="34"/>
        <v>0</v>
      </c>
      <c r="P423" t="e">
        <f>INDEX(Items!B$2:B$1032,MATCH($O423,Items!$A$2:$A$1032,0))</f>
        <v>#N/A</v>
      </c>
      <c r="Q423" t="e">
        <f>INDEX(Items!C$2:C$1032,MATCH($O423,Items!$A$2:$A$1032,0))</f>
        <v>#N/A</v>
      </c>
      <c r="R423" t="e">
        <f>INDEX(Items!D$2:D$1032,MATCH($O423,Items!$A$2:$A$1032,0))</f>
        <v>#N/A</v>
      </c>
    </row>
    <row r="424" spans="1:18" x14ac:dyDescent="0.25">
      <c r="A424">
        <f t="shared" si="32"/>
        <v>1</v>
      </c>
      <c r="B424" t="str">
        <f t="shared" si="33"/>
        <v/>
      </c>
      <c r="C424">
        <f t="shared" si="35"/>
        <v>1</v>
      </c>
      <c r="D424" s="4"/>
      <c r="E424" t="s">
        <v>18</v>
      </c>
      <c r="F424" t="str">
        <f>INDEX(Establishment!B$2:B$1005,MATCH($E424,Establishment!$A$2:$A$1005,0))</f>
        <v xml:space="preserve"> </v>
      </c>
      <c r="G424" t="str">
        <f>INDEX(Establishment!C$2:C$1005,MATCH($E424,Establishment!$A$2:$A$1005,0))</f>
        <v xml:space="preserve"> </v>
      </c>
      <c r="M424">
        <f t="shared" si="36"/>
        <v>0</v>
      </c>
      <c r="N424">
        <f t="shared" si="34"/>
        <v>0</v>
      </c>
      <c r="P424" t="e">
        <f>INDEX(Items!B$2:B$1032,MATCH($O424,Items!$A$2:$A$1032,0))</f>
        <v>#N/A</v>
      </c>
      <c r="Q424" t="e">
        <f>INDEX(Items!C$2:C$1032,MATCH($O424,Items!$A$2:$A$1032,0))</f>
        <v>#N/A</v>
      </c>
      <c r="R424" t="e">
        <f>INDEX(Items!D$2:D$1032,MATCH($O424,Items!$A$2:$A$1032,0))</f>
        <v>#N/A</v>
      </c>
    </row>
    <row r="425" spans="1:18" x14ac:dyDescent="0.25">
      <c r="A425">
        <f t="shared" si="32"/>
        <v>1</v>
      </c>
      <c r="B425" t="str">
        <f t="shared" si="33"/>
        <v/>
      </c>
      <c r="C425">
        <f t="shared" si="35"/>
        <v>1</v>
      </c>
      <c r="D425" s="4"/>
      <c r="E425" t="s">
        <v>18</v>
      </c>
      <c r="F425" t="str">
        <f>INDEX(Establishment!B$2:B$1005,MATCH($E425,Establishment!$A$2:$A$1005,0))</f>
        <v xml:space="preserve"> </v>
      </c>
      <c r="G425" t="str">
        <f>INDEX(Establishment!C$2:C$1005,MATCH($E425,Establishment!$A$2:$A$1005,0))</f>
        <v xml:space="preserve"> </v>
      </c>
      <c r="M425">
        <f t="shared" si="36"/>
        <v>0</v>
      </c>
      <c r="N425">
        <f t="shared" si="34"/>
        <v>0</v>
      </c>
      <c r="P425" t="e">
        <f>INDEX(Items!B$2:B$1032,MATCH($O425,Items!$A$2:$A$1032,0))</f>
        <v>#N/A</v>
      </c>
      <c r="Q425" t="e">
        <f>INDEX(Items!C$2:C$1032,MATCH($O425,Items!$A$2:$A$1032,0))</f>
        <v>#N/A</v>
      </c>
      <c r="R425" t="e">
        <f>INDEX(Items!D$2:D$1032,MATCH($O425,Items!$A$2:$A$1032,0))</f>
        <v>#N/A</v>
      </c>
    </row>
    <row r="426" spans="1:18" x14ac:dyDescent="0.25">
      <c r="A426">
        <f t="shared" si="32"/>
        <v>1</v>
      </c>
      <c r="B426" t="str">
        <f t="shared" si="33"/>
        <v/>
      </c>
      <c r="C426">
        <f t="shared" si="35"/>
        <v>1</v>
      </c>
      <c r="D426" s="4"/>
      <c r="E426" t="s">
        <v>18</v>
      </c>
      <c r="F426" t="str">
        <f>INDEX(Establishment!B$2:B$1005,MATCH($E426,Establishment!$A$2:$A$1005,0))</f>
        <v xml:space="preserve"> </v>
      </c>
      <c r="G426" t="str">
        <f>INDEX(Establishment!C$2:C$1005,MATCH($E426,Establishment!$A$2:$A$1005,0))</f>
        <v xml:space="preserve"> </v>
      </c>
      <c r="M426">
        <f t="shared" si="36"/>
        <v>0</v>
      </c>
      <c r="N426">
        <f t="shared" si="34"/>
        <v>0</v>
      </c>
      <c r="P426" t="e">
        <f>INDEX(Items!B$2:B$1032,MATCH($O426,Items!$A$2:$A$1032,0))</f>
        <v>#N/A</v>
      </c>
      <c r="Q426" t="e">
        <f>INDEX(Items!C$2:C$1032,MATCH($O426,Items!$A$2:$A$1032,0))</f>
        <v>#N/A</v>
      </c>
      <c r="R426" t="e">
        <f>INDEX(Items!D$2:D$1032,MATCH($O426,Items!$A$2:$A$1032,0))</f>
        <v>#N/A</v>
      </c>
    </row>
    <row r="427" spans="1:18" x14ac:dyDescent="0.25">
      <c r="A427">
        <f t="shared" si="32"/>
        <v>1</v>
      </c>
      <c r="B427" t="str">
        <f t="shared" si="33"/>
        <v/>
      </c>
      <c r="C427">
        <f t="shared" si="35"/>
        <v>1</v>
      </c>
      <c r="D427" s="4"/>
      <c r="E427" t="s">
        <v>18</v>
      </c>
      <c r="F427" t="str">
        <f>INDEX(Establishment!B$2:B$1005,MATCH($E427,Establishment!$A$2:$A$1005,0))</f>
        <v xml:space="preserve"> </v>
      </c>
      <c r="G427" t="str">
        <f>INDEX(Establishment!C$2:C$1005,MATCH($E427,Establishment!$A$2:$A$1005,0))</f>
        <v xml:space="preserve"> </v>
      </c>
      <c r="M427">
        <f t="shared" si="36"/>
        <v>0</v>
      </c>
      <c r="N427">
        <f t="shared" si="34"/>
        <v>0</v>
      </c>
      <c r="P427" t="e">
        <f>INDEX(Items!B$2:B$1032,MATCH($O427,Items!$A$2:$A$1032,0))</f>
        <v>#N/A</v>
      </c>
      <c r="Q427" t="e">
        <f>INDEX(Items!C$2:C$1032,MATCH($O427,Items!$A$2:$A$1032,0))</f>
        <v>#N/A</v>
      </c>
      <c r="R427" t="e">
        <f>INDEX(Items!D$2:D$1032,MATCH($O427,Items!$A$2:$A$1032,0))</f>
        <v>#N/A</v>
      </c>
    </row>
    <row r="428" spans="1:18" x14ac:dyDescent="0.25">
      <c r="A428">
        <f t="shared" si="32"/>
        <v>1</v>
      </c>
      <c r="B428" t="str">
        <f t="shared" si="33"/>
        <v/>
      </c>
      <c r="C428">
        <f t="shared" si="35"/>
        <v>1</v>
      </c>
      <c r="D428" s="4"/>
      <c r="E428" t="s">
        <v>18</v>
      </c>
      <c r="F428" t="str">
        <f>INDEX(Establishment!B$2:B$1005,MATCH($E428,Establishment!$A$2:$A$1005,0))</f>
        <v xml:space="preserve"> </v>
      </c>
      <c r="G428" t="str">
        <f>INDEX(Establishment!C$2:C$1005,MATCH($E428,Establishment!$A$2:$A$1005,0))</f>
        <v xml:space="preserve"> </v>
      </c>
      <c r="M428">
        <f t="shared" si="36"/>
        <v>0</v>
      </c>
      <c r="N428">
        <f t="shared" si="34"/>
        <v>0</v>
      </c>
      <c r="P428" t="e">
        <f>INDEX(Items!B$2:B$1032,MATCH($O428,Items!$A$2:$A$1032,0))</f>
        <v>#N/A</v>
      </c>
      <c r="Q428" t="e">
        <f>INDEX(Items!C$2:C$1032,MATCH($O428,Items!$A$2:$A$1032,0))</f>
        <v>#N/A</v>
      </c>
      <c r="R428" t="e">
        <f>INDEX(Items!D$2:D$1032,MATCH($O428,Items!$A$2:$A$1032,0))</f>
        <v>#N/A</v>
      </c>
    </row>
    <row r="429" spans="1:18" x14ac:dyDescent="0.25">
      <c r="A429">
        <f t="shared" si="32"/>
        <v>1</v>
      </c>
      <c r="B429" t="str">
        <f t="shared" si="33"/>
        <v/>
      </c>
      <c r="C429">
        <f t="shared" si="35"/>
        <v>1</v>
      </c>
      <c r="D429" s="4"/>
      <c r="E429" t="s">
        <v>18</v>
      </c>
      <c r="F429" t="str">
        <f>INDEX(Establishment!B$2:B$1005,MATCH($E429,Establishment!$A$2:$A$1005,0))</f>
        <v xml:space="preserve"> </v>
      </c>
      <c r="G429" t="str">
        <f>INDEX(Establishment!C$2:C$1005,MATCH($E429,Establishment!$A$2:$A$1005,0))</f>
        <v xml:space="preserve"> </v>
      </c>
      <c r="M429">
        <f t="shared" si="36"/>
        <v>0</v>
      </c>
      <c r="N429">
        <f t="shared" si="34"/>
        <v>0</v>
      </c>
      <c r="P429" t="e">
        <f>INDEX(Items!B$2:B$1032,MATCH($O429,Items!$A$2:$A$1032,0))</f>
        <v>#N/A</v>
      </c>
      <c r="Q429" t="e">
        <f>INDEX(Items!C$2:C$1032,MATCH($O429,Items!$A$2:$A$1032,0))</f>
        <v>#N/A</v>
      </c>
      <c r="R429" t="e">
        <f>INDEX(Items!D$2:D$1032,MATCH($O429,Items!$A$2:$A$1032,0))</f>
        <v>#N/A</v>
      </c>
    </row>
    <row r="430" spans="1:18" x14ac:dyDescent="0.25">
      <c r="A430">
        <f t="shared" si="32"/>
        <v>1</v>
      </c>
      <c r="B430" t="str">
        <f t="shared" si="33"/>
        <v/>
      </c>
      <c r="C430">
        <f t="shared" si="35"/>
        <v>1</v>
      </c>
      <c r="D430" s="4"/>
      <c r="E430" t="s">
        <v>18</v>
      </c>
      <c r="F430" t="str">
        <f>INDEX(Establishment!B$2:B$1005,MATCH($E430,Establishment!$A$2:$A$1005,0))</f>
        <v xml:space="preserve"> </v>
      </c>
      <c r="G430" t="str">
        <f>INDEX(Establishment!C$2:C$1005,MATCH($E430,Establishment!$A$2:$A$1005,0))</f>
        <v xml:space="preserve"> </v>
      </c>
      <c r="M430">
        <f t="shared" si="36"/>
        <v>0</v>
      </c>
      <c r="N430">
        <f t="shared" si="34"/>
        <v>0</v>
      </c>
      <c r="P430" t="e">
        <f>INDEX(Items!B$2:B$1032,MATCH($O430,Items!$A$2:$A$1032,0))</f>
        <v>#N/A</v>
      </c>
      <c r="Q430" t="e">
        <f>INDEX(Items!C$2:C$1032,MATCH($O430,Items!$A$2:$A$1032,0))</f>
        <v>#N/A</v>
      </c>
      <c r="R430" t="e">
        <f>INDEX(Items!D$2:D$1032,MATCH($O430,Items!$A$2:$A$1032,0))</f>
        <v>#N/A</v>
      </c>
    </row>
    <row r="431" spans="1:18" x14ac:dyDescent="0.25">
      <c r="A431">
        <f t="shared" si="32"/>
        <v>1</v>
      </c>
      <c r="B431" t="str">
        <f t="shared" si="33"/>
        <v/>
      </c>
      <c r="C431">
        <f t="shared" si="35"/>
        <v>1</v>
      </c>
      <c r="D431" s="4"/>
      <c r="E431" t="s">
        <v>18</v>
      </c>
      <c r="F431" t="str">
        <f>INDEX(Establishment!B$2:B$1005,MATCH($E431,Establishment!$A$2:$A$1005,0))</f>
        <v xml:space="preserve"> </v>
      </c>
      <c r="G431" t="str">
        <f>INDEX(Establishment!C$2:C$1005,MATCH($E431,Establishment!$A$2:$A$1005,0))</f>
        <v xml:space="preserve"> </v>
      </c>
      <c r="M431">
        <f t="shared" si="36"/>
        <v>0</v>
      </c>
      <c r="N431">
        <f t="shared" si="34"/>
        <v>0</v>
      </c>
      <c r="P431" t="e">
        <f>INDEX(Items!B$2:B$1032,MATCH($O431,Items!$A$2:$A$1032,0))</f>
        <v>#N/A</v>
      </c>
      <c r="Q431" t="e">
        <f>INDEX(Items!C$2:C$1032,MATCH($O431,Items!$A$2:$A$1032,0))</f>
        <v>#N/A</v>
      </c>
      <c r="R431" t="e">
        <f>INDEX(Items!D$2:D$1032,MATCH($O431,Items!$A$2:$A$1032,0))</f>
        <v>#N/A</v>
      </c>
    </row>
    <row r="432" spans="1:18" x14ac:dyDescent="0.25">
      <c r="A432">
        <f t="shared" si="32"/>
        <v>1</v>
      </c>
      <c r="B432" t="str">
        <f t="shared" si="33"/>
        <v/>
      </c>
      <c r="C432">
        <f t="shared" si="35"/>
        <v>1</v>
      </c>
      <c r="D432" s="4"/>
      <c r="E432" t="s">
        <v>18</v>
      </c>
      <c r="F432" t="str">
        <f>INDEX(Establishment!B$2:B$1005,MATCH($E432,Establishment!$A$2:$A$1005,0))</f>
        <v xml:space="preserve"> </v>
      </c>
      <c r="G432" t="str">
        <f>INDEX(Establishment!C$2:C$1005,MATCH($E432,Establishment!$A$2:$A$1005,0))</f>
        <v xml:space="preserve"> </v>
      </c>
      <c r="M432">
        <f t="shared" si="36"/>
        <v>0</v>
      </c>
      <c r="N432">
        <f t="shared" si="34"/>
        <v>0</v>
      </c>
      <c r="P432" t="e">
        <f>INDEX(Items!B$2:B$1032,MATCH($O432,Items!$A$2:$A$1032,0))</f>
        <v>#N/A</v>
      </c>
      <c r="Q432" t="e">
        <f>INDEX(Items!C$2:C$1032,MATCH($O432,Items!$A$2:$A$1032,0))</f>
        <v>#N/A</v>
      </c>
      <c r="R432" t="e">
        <f>INDEX(Items!D$2:D$1032,MATCH($O432,Items!$A$2:$A$1032,0))</f>
        <v>#N/A</v>
      </c>
    </row>
    <row r="433" spans="1:18" x14ac:dyDescent="0.25">
      <c r="A433">
        <f t="shared" si="32"/>
        <v>1</v>
      </c>
      <c r="B433" t="str">
        <f t="shared" si="33"/>
        <v/>
      </c>
      <c r="C433">
        <f t="shared" si="35"/>
        <v>1</v>
      </c>
      <c r="D433" s="4"/>
      <c r="E433" t="s">
        <v>18</v>
      </c>
      <c r="F433" t="str">
        <f>INDEX(Establishment!B$2:B$1005,MATCH($E433,Establishment!$A$2:$A$1005,0))</f>
        <v xml:space="preserve"> </v>
      </c>
      <c r="G433" t="str">
        <f>INDEX(Establishment!C$2:C$1005,MATCH($E433,Establishment!$A$2:$A$1005,0))</f>
        <v xml:space="preserve"> </v>
      </c>
      <c r="M433">
        <f t="shared" si="36"/>
        <v>0</v>
      </c>
      <c r="N433">
        <f t="shared" si="34"/>
        <v>0</v>
      </c>
      <c r="P433" t="e">
        <f>INDEX(Items!B$2:B$1032,MATCH($O433,Items!$A$2:$A$1032,0))</f>
        <v>#N/A</v>
      </c>
      <c r="Q433" t="e">
        <f>INDEX(Items!C$2:C$1032,MATCH($O433,Items!$A$2:$A$1032,0))</f>
        <v>#N/A</v>
      </c>
      <c r="R433" t="e">
        <f>INDEX(Items!D$2:D$1032,MATCH($O433,Items!$A$2:$A$1032,0))</f>
        <v>#N/A</v>
      </c>
    </row>
    <row r="434" spans="1:18" x14ac:dyDescent="0.25">
      <c r="A434">
        <f t="shared" si="32"/>
        <v>1</v>
      </c>
      <c r="B434" t="str">
        <f t="shared" si="33"/>
        <v/>
      </c>
      <c r="C434">
        <f t="shared" si="35"/>
        <v>1</v>
      </c>
      <c r="D434" s="4"/>
      <c r="E434" t="s">
        <v>18</v>
      </c>
      <c r="F434" t="str">
        <f>INDEX(Establishment!B$2:B$1005,MATCH($E434,Establishment!$A$2:$A$1005,0))</f>
        <v xml:space="preserve"> </v>
      </c>
      <c r="G434" t="str">
        <f>INDEX(Establishment!C$2:C$1005,MATCH($E434,Establishment!$A$2:$A$1005,0))</f>
        <v xml:space="preserve"> </v>
      </c>
      <c r="M434">
        <f t="shared" si="36"/>
        <v>0</v>
      </c>
      <c r="N434">
        <f t="shared" si="34"/>
        <v>0</v>
      </c>
      <c r="P434" t="e">
        <f>INDEX(Items!B$2:B$1032,MATCH($O434,Items!$A$2:$A$1032,0))</f>
        <v>#N/A</v>
      </c>
      <c r="Q434" t="e">
        <f>INDEX(Items!C$2:C$1032,MATCH($O434,Items!$A$2:$A$1032,0))</f>
        <v>#N/A</v>
      </c>
      <c r="R434" t="e">
        <f>INDEX(Items!D$2:D$1032,MATCH($O434,Items!$A$2:$A$1032,0))</f>
        <v>#N/A</v>
      </c>
    </row>
    <row r="435" spans="1:18" x14ac:dyDescent="0.25">
      <c r="A435">
        <f t="shared" si="32"/>
        <v>1</v>
      </c>
      <c r="B435" t="str">
        <f t="shared" si="33"/>
        <v/>
      </c>
      <c r="C435">
        <f t="shared" si="35"/>
        <v>1</v>
      </c>
      <c r="D435" s="4"/>
      <c r="E435" t="s">
        <v>18</v>
      </c>
      <c r="F435" t="str">
        <f>INDEX(Establishment!B$2:B$1005,MATCH($E435,Establishment!$A$2:$A$1005,0))</f>
        <v xml:space="preserve"> </v>
      </c>
      <c r="G435" t="str">
        <f>INDEX(Establishment!C$2:C$1005,MATCH($E435,Establishment!$A$2:$A$1005,0))</f>
        <v xml:space="preserve"> </v>
      </c>
      <c r="M435">
        <f t="shared" si="36"/>
        <v>0</v>
      </c>
      <c r="N435">
        <f t="shared" si="34"/>
        <v>0</v>
      </c>
      <c r="P435" t="e">
        <f>INDEX(Items!B$2:B$1032,MATCH($O435,Items!$A$2:$A$1032,0))</f>
        <v>#N/A</v>
      </c>
      <c r="Q435" t="e">
        <f>INDEX(Items!C$2:C$1032,MATCH($O435,Items!$A$2:$A$1032,0))</f>
        <v>#N/A</v>
      </c>
      <c r="R435" t="e">
        <f>INDEX(Items!D$2:D$1032,MATCH($O435,Items!$A$2:$A$1032,0))</f>
        <v>#N/A</v>
      </c>
    </row>
    <row r="436" spans="1:18" x14ac:dyDescent="0.25">
      <c r="A436">
        <f t="shared" si="32"/>
        <v>1</v>
      </c>
      <c r="B436" t="str">
        <f t="shared" si="33"/>
        <v/>
      </c>
      <c r="C436">
        <f t="shared" si="35"/>
        <v>1</v>
      </c>
      <c r="D436" s="4"/>
      <c r="E436" t="s">
        <v>18</v>
      </c>
      <c r="F436" t="str">
        <f>INDEX(Establishment!B$2:B$1005,MATCH($E436,Establishment!$A$2:$A$1005,0))</f>
        <v xml:space="preserve"> </v>
      </c>
      <c r="G436" t="str">
        <f>INDEX(Establishment!C$2:C$1005,MATCH($E436,Establishment!$A$2:$A$1005,0))</f>
        <v xml:space="preserve"> </v>
      </c>
      <c r="M436">
        <f t="shared" si="36"/>
        <v>0</v>
      </c>
      <c r="N436">
        <f t="shared" si="34"/>
        <v>0</v>
      </c>
      <c r="P436" t="e">
        <f>INDEX(Items!B$2:B$1032,MATCH($O436,Items!$A$2:$A$1032,0))</f>
        <v>#N/A</v>
      </c>
      <c r="Q436" t="e">
        <f>INDEX(Items!C$2:C$1032,MATCH($O436,Items!$A$2:$A$1032,0))</f>
        <v>#N/A</v>
      </c>
      <c r="R436" t="e">
        <f>INDEX(Items!D$2:D$1032,MATCH($O436,Items!$A$2:$A$1032,0))</f>
        <v>#N/A</v>
      </c>
    </row>
    <row r="437" spans="1:18" x14ac:dyDescent="0.25">
      <c r="A437">
        <f t="shared" si="32"/>
        <v>1</v>
      </c>
      <c r="B437" t="str">
        <f t="shared" si="33"/>
        <v/>
      </c>
      <c r="C437">
        <f t="shared" si="35"/>
        <v>1</v>
      </c>
      <c r="D437" s="4"/>
      <c r="E437" t="s">
        <v>18</v>
      </c>
      <c r="F437" t="str">
        <f>INDEX(Establishment!B$2:B$1005,MATCH($E437,Establishment!$A$2:$A$1005,0))</f>
        <v xml:space="preserve"> </v>
      </c>
      <c r="G437" t="str">
        <f>INDEX(Establishment!C$2:C$1005,MATCH($E437,Establishment!$A$2:$A$1005,0))</f>
        <v xml:space="preserve"> </v>
      </c>
      <c r="M437">
        <f t="shared" si="36"/>
        <v>0</v>
      </c>
      <c r="N437">
        <f t="shared" si="34"/>
        <v>0</v>
      </c>
      <c r="P437" t="e">
        <f>INDEX(Items!B$2:B$1032,MATCH($O437,Items!$A$2:$A$1032,0))</f>
        <v>#N/A</v>
      </c>
      <c r="Q437" t="e">
        <f>INDEX(Items!C$2:C$1032,MATCH($O437,Items!$A$2:$A$1032,0))</f>
        <v>#N/A</v>
      </c>
      <c r="R437" t="e">
        <f>INDEX(Items!D$2:D$1032,MATCH($O437,Items!$A$2:$A$1032,0))</f>
        <v>#N/A</v>
      </c>
    </row>
    <row r="438" spans="1:18" x14ac:dyDescent="0.25">
      <c r="A438">
        <f t="shared" si="32"/>
        <v>1</v>
      </c>
      <c r="B438" t="str">
        <f t="shared" si="33"/>
        <v/>
      </c>
      <c r="C438">
        <f t="shared" si="35"/>
        <v>1</v>
      </c>
      <c r="D438" s="4"/>
      <c r="E438" t="s">
        <v>18</v>
      </c>
      <c r="F438" t="str">
        <f>INDEX(Establishment!B$2:B$1005,MATCH($E438,Establishment!$A$2:$A$1005,0))</f>
        <v xml:space="preserve"> </v>
      </c>
      <c r="G438" t="str">
        <f>INDEX(Establishment!C$2:C$1005,MATCH($E438,Establishment!$A$2:$A$1005,0))</f>
        <v xml:space="preserve"> </v>
      </c>
      <c r="M438">
        <f t="shared" si="36"/>
        <v>0</v>
      </c>
      <c r="N438">
        <f t="shared" si="34"/>
        <v>0</v>
      </c>
      <c r="P438" t="e">
        <f>INDEX(Items!B$2:B$1032,MATCH($O438,Items!$A$2:$A$1032,0))</f>
        <v>#N/A</v>
      </c>
      <c r="Q438" t="e">
        <f>INDEX(Items!C$2:C$1032,MATCH($O438,Items!$A$2:$A$1032,0))</f>
        <v>#N/A</v>
      </c>
      <c r="R438" t="e">
        <f>INDEX(Items!D$2:D$1032,MATCH($O438,Items!$A$2:$A$1032,0))</f>
        <v>#N/A</v>
      </c>
    </row>
    <row r="439" spans="1:18" x14ac:dyDescent="0.25">
      <c r="A439">
        <f t="shared" si="32"/>
        <v>1</v>
      </c>
      <c r="B439" t="str">
        <f t="shared" si="33"/>
        <v/>
      </c>
      <c r="C439">
        <f t="shared" si="35"/>
        <v>1</v>
      </c>
      <c r="D439" s="4"/>
      <c r="E439" t="s">
        <v>18</v>
      </c>
      <c r="F439" t="str">
        <f>INDEX(Establishment!B$2:B$1005,MATCH($E439,Establishment!$A$2:$A$1005,0))</f>
        <v xml:space="preserve"> </v>
      </c>
      <c r="G439" t="str">
        <f>INDEX(Establishment!C$2:C$1005,MATCH($E439,Establishment!$A$2:$A$1005,0))</f>
        <v xml:space="preserve"> </v>
      </c>
      <c r="M439">
        <f t="shared" si="36"/>
        <v>0</v>
      </c>
      <c r="N439">
        <f t="shared" si="34"/>
        <v>0</v>
      </c>
      <c r="P439" t="e">
        <f>INDEX(Items!B$2:B$1032,MATCH($O439,Items!$A$2:$A$1032,0))</f>
        <v>#N/A</v>
      </c>
      <c r="Q439" t="e">
        <f>INDEX(Items!C$2:C$1032,MATCH($O439,Items!$A$2:$A$1032,0))</f>
        <v>#N/A</v>
      </c>
      <c r="R439" t="e">
        <f>INDEX(Items!D$2:D$1032,MATCH($O439,Items!$A$2:$A$1032,0))</f>
        <v>#N/A</v>
      </c>
    </row>
    <row r="440" spans="1:18" x14ac:dyDescent="0.25">
      <c r="A440">
        <f t="shared" si="32"/>
        <v>1</v>
      </c>
      <c r="B440" t="str">
        <f t="shared" si="33"/>
        <v/>
      </c>
      <c r="C440">
        <f t="shared" si="35"/>
        <v>1</v>
      </c>
      <c r="D440" s="4"/>
      <c r="E440" t="s">
        <v>18</v>
      </c>
      <c r="F440" t="str">
        <f>INDEX(Establishment!B$2:B$1005,MATCH($E440,Establishment!$A$2:$A$1005,0))</f>
        <v xml:space="preserve"> </v>
      </c>
      <c r="G440" t="str">
        <f>INDEX(Establishment!C$2:C$1005,MATCH($E440,Establishment!$A$2:$A$1005,0))</f>
        <v xml:space="preserve"> </v>
      </c>
      <c r="M440">
        <f t="shared" si="36"/>
        <v>0</v>
      </c>
      <c r="N440">
        <f t="shared" si="34"/>
        <v>0</v>
      </c>
      <c r="P440" t="e">
        <f>INDEX(Items!B$2:B$1032,MATCH($O440,Items!$A$2:$A$1032,0))</f>
        <v>#N/A</v>
      </c>
      <c r="Q440" t="e">
        <f>INDEX(Items!C$2:C$1032,MATCH($O440,Items!$A$2:$A$1032,0))</f>
        <v>#N/A</v>
      </c>
      <c r="R440" t="e">
        <f>INDEX(Items!D$2:D$1032,MATCH($O440,Items!$A$2:$A$1032,0))</f>
        <v>#N/A</v>
      </c>
    </row>
    <row r="441" spans="1:18" x14ac:dyDescent="0.25">
      <c r="A441">
        <f t="shared" si="32"/>
        <v>1</v>
      </c>
      <c r="B441" t="str">
        <f t="shared" si="33"/>
        <v/>
      </c>
      <c r="C441">
        <f t="shared" si="35"/>
        <v>1</v>
      </c>
      <c r="D441" s="4"/>
      <c r="E441" t="s">
        <v>18</v>
      </c>
      <c r="F441" t="str">
        <f>INDEX(Establishment!B$2:B$1005,MATCH($E441,Establishment!$A$2:$A$1005,0))</f>
        <v xml:space="preserve"> </v>
      </c>
      <c r="G441" t="str">
        <f>INDEX(Establishment!C$2:C$1005,MATCH($E441,Establishment!$A$2:$A$1005,0))</f>
        <v xml:space="preserve"> </v>
      </c>
      <c r="M441">
        <f t="shared" si="36"/>
        <v>0</v>
      </c>
      <c r="N441">
        <f t="shared" si="34"/>
        <v>0</v>
      </c>
      <c r="P441" t="e">
        <f>INDEX(Items!B$2:B$1032,MATCH($O441,Items!$A$2:$A$1032,0))</f>
        <v>#N/A</v>
      </c>
      <c r="Q441" t="e">
        <f>INDEX(Items!C$2:C$1032,MATCH($O441,Items!$A$2:$A$1032,0))</f>
        <v>#N/A</v>
      </c>
      <c r="R441" t="e">
        <f>INDEX(Items!D$2:D$1032,MATCH($O441,Items!$A$2:$A$1032,0))</f>
        <v>#N/A</v>
      </c>
    </row>
    <row r="442" spans="1:18" x14ac:dyDescent="0.25">
      <c r="A442">
        <f t="shared" si="32"/>
        <v>1</v>
      </c>
      <c r="B442" t="str">
        <f t="shared" si="33"/>
        <v/>
      </c>
      <c r="C442">
        <f t="shared" si="35"/>
        <v>1</v>
      </c>
      <c r="D442" s="4"/>
      <c r="E442" t="s">
        <v>18</v>
      </c>
      <c r="F442" t="str">
        <f>INDEX(Establishment!B$2:B$1005,MATCH($E442,Establishment!$A$2:$A$1005,0))</f>
        <v xml:space="preserve"> </v>
      </c>
      <c r="G442" t="str">
        <f>INDEX(Establishment!C$2:C$1005,MATCH($E442,Establishment!$A$2:$A$1005,0))</f>
        <v xml:space="preserve"> </v>
      </c>
      <c r="M442">
        <f t="shared" si="36"/>
        <v>0</v>
      </c>
      <c r="N442">
        <f t="shared" si="34"/>
        <v>0</v>
      </c>
      <c r="P442" t="e">
        <f>INDEX(Items!B$2:B$1032,MATCH($O442,Items!$A$2:$A$1032,0))</f>
        <v>#N/A</v>
      </c>
      <c r="Q442" t="e">
        <f>INDEX(Items!C$2:C$1032,MATCH($O442,Items!$A$2:$A$1032,0))</f>
        <v>#N/A</v>
      </c>
      <c r="R442" t="e">
        <f>INDEX(Items!D$2:D$1032,MATCH($O442,Items!$A$2:$A$1032,0))</f>
        <v>#N/A</v>
      </c>
    </row>
    <row r="443" spans="1:18" x14ac:dyDescent="0.25">
      <c r="A443">
        <f t="shared" si="32"/>
        <v>1</v>
      </c>
      <c r="B443" t="str">
        <f t="shared" si="33"/>
        <v/>
      </c>
      <c r="C443">
        <f t="shared" si="35"/>
        <v>1</v>
      </c>
      <c r="D443" s="4"/>
      <c r="E443" t="s">
        <v>18</v>
      </c>
      <c r="F443" t="str">
        <f>INDEX(Establishment!B$2:B$1005,MATCH($E443,Establishment!$A$2:$A$1005,0))</f>
        <v xml:space="preserve"> </v>
      </c>
      <c r="G443" t="str">
        <f>INDEX(Establishment!C$2:C$1005,MATCH($E443,Establishment!$A$2:$A$1005,0))</f>
        <v xml:space="preserve"> </v>
      </c>
      <c r="M443">
        <f t="shared" si="36"/>
        <v>0</v>
      </c>
      <c r="N443">
        <f t="shared" si="34"/>
        <v>0</v>
      </c>
      <c r="P443" t="e">
        <f>INDEX(Items!B$2:B$1032,MATCH($O443,Items!$A$2:$A$1032,0))</f>
        <v>#N/A</v>
      </c>
      <c r="Q443" t="e">
        <f>INDEX(Items!C$2:C$1032,MATCH($O443,Items!$A$2:$A$1032,0))</f>
        <v>#N/A</v>
      </c>
      <c r="R443" t="e">
        <f>INDEX(Items!D$2:D$1032,MATCH($O443,Items!$A$2:$A$1032,0))</f>
        <v>#N/A</v>
      </c>
    </row>
    <row r="444" spans="1:18" x14ac:dyDescent="0.25">
      <c r="A444">
        <f t="shared" si="32"/>
        <v>1</v>
      </c>
      <c r="B444" t="str">
        <f t="shared" si="33"/>
        <v/>
      </c>
      <c r="C444">
        <f t="shared" si="35"/>
        <v>1</v>
      </c>
      <c r="D444" s="4"/>
      <c r="E444" t="s">
        <v>18</v>
      </c>
      <c r="F444" t="str">
        <f>INDEX(Establishment!B$2:B$1005,MATCH($E444,Establishment!$A$2:$A$1005,0))</f>
        <v xml:space="preserve"> </v>
      </c>
      <c r="G444" t="str">
        <f>INDEX(Establishment!C$2:C$1005,MATCH($E444,Establishment!$A$2:$A$1005,0))</f>
        <v xml:space="preserve"> </v>
      </c>
      <c r="M444">
        <f t="shared" si="36"/>
        <v>0</v>
      </c>
      <c r="N444">
        <f t="shared" si="34"/>
        <v>0</v>
      </c>
      <c r="P444" t="e">
        <f>INDEX(Items!B$2:B$1032,MATCH($O444,Items!$A$2:$A$1032,0))</f>
        <v>#N/A</v>
      </c>
      <c r="Q444" t="e">
        <f>INDEX(Items!C$2:C$1032,MATCH($O444,Items!$A$2:$A$1032,0))</f>
        <v>#N/A</v>
      </c>
      <c r="R444" t="e">
        <f>INDEX(Items!D$2:D$1032,MATCH($O444,Items!$A$2:$A$1032,0))</f>
        <v>#N/A</v>
      </c>
    </row>
    <row r="445" spans="1:18" x14ac:dyDescent="0.25">
      <c r="A445">
        <f t="shared" si="32"/>
        <v>1</v>
      </c>
      <c r="B445" t="str">
        <f t="shared" si="33"/>
        <v/>
      </c>
      <c r="C445">
        <f t="shared" si="35"/>
        <v>1</v>
      </c>
      <c r="D445" s="4"/>
      <c r="E445" t="s">
        <v>18</v>
      </c>
      <c r="F445" t="str">
        <f>INDEX(Establishment!B$2:B$1005,MATCH($E445,Establishment!$A$2:$A$1005,0))</f>
        <v xml:space="preserve"> </v>
      </c>
      <c r="G445" t="str">
        <f>INDEX(Establishment!C$2:C$1005,MATCH($E445,Establishment!$A$2:$A$1005,0))</f>
        <v xml:space="preserve"> </v>
      </c>
      <c r="M445">
        <f t="shared" si="36"/>
        <v>0</v>
      </c>
      <c r="N445">
        <f t="shared" si="34"/>
        <v>0</v>
      </c>
      <c r="P445" t="e">
        <f>INDEX(Items!B$2:B$1032,MATCH($O445,Items!$A$2:$A$1032,0))</f>
        <v>#N/A</v>
      </c>
      <c r="Q445" t="e">
        <f>INDEX(Items!C$2:C$1032,MATCH($O445,Items!$A$2:$A$1032,0))</f>
        <v>#N/A</v>
      </c>
      <c r="R445" t="e">
        <f>INDEX(Items!D$2:D$1032,MATCH($O445,Items!$A$2:$A$1032,0))</f>
        <v>#N/A</v>
      </c>
    </row>
    <row r="446" spans="1:18" x14ac:dyDescent="0.25">
      <c r="A446">
        <f t="shared" si="32"/>
        <v>1</v>
      </c>
      <c r="B446" t="str">
        <f t="shared" si="33"/>
        <v/>
      </c>
      <c r="C446">
        <f t="shared" si="35"/>
        <v>1</v>
      </c>
      <c r="D446" s="4"/>
      <c r="E446" t="s">
        <v>18</v>
      </c>
      <c r="F446" t="str">
        <f>INDEX(Establishment!B$2:B$1005,MATCH($E446,Establishment!$A$2:$A$1005,0))</f>
        <v xml:space="preserve"> </v>
      </c>
      <c r="G446" t="str">
        <f>INDEX(Establishment!C$2:C$1005,MATCH($E446,Establishment!$A$2:$A$1005,0))</f>
        <v xml:space="preserve"> </v>
      </c>
      <c r="M446">
        <f t="shared" si="36"/>
        <v>0</v>
      </c>
      <c r="N446">
        <f t="shared" si="34"/>
        <v>0</v>
      </c>
      <c r="P446" t="e">
        <f>INDEX(Items!B$2:B$1032,MATCH($O446,Items!$A$2:$A$1032,0))</f>
        <v>#N/A</v>
      </c>
      <c r="Q446" t="e">
        <f>INDEX(Items!C$2:C$1032,MATCH($O446,Items!$A$2:$A$1032,0))</f>
        <v>#N/A</v>
      </c>
      <c r="R446" t="e">
        <f>INDEX(Items!D$2:D$1032,MATCH($O446,Items!$A$2:$A$1032,0))</f>
        <v>#N/A</v>
      </c>
    </row>
    <row r="447" spans="1:18" x14ac:dyDescent="0.25">
      <c r="A447">
        <f t="shared" si="32"/>
        <v>1</v>
      </c>
      <c r="B447" t="str">
        <f t="shared" si="33"/>
        <v/>
      </c>
      <c r="C447">
        <f t="shared" si="35"/>
        <v>1</v>
      </c>
      <c r="D447" s="4"/>
      <c r="E447" t="s">
        <v>18</v>
      </c>
      <c r="F447" t="str">
        <f>INDEX(Establishment!B$2:B$1005,MATCH($E447,Establishment!$A$2:$A$1005,0))</f>
        <v xml:space="preserve"> </v>
      </c>
      <c r="G447" t="str">
        <f>INDEX(Establishment!C$2:C$1005,MATCH($E447,Establishment!$A$2:$A$1005,0))</f>
        <v xml:space="preserve"> </v>
      </c>
      <c r="M447">
        <f t="shared" si="36"/>
        <v>0</v>
      </c>
      <c r="N447">
        <f t="shared" si="34"/>
        <v>0</v>
      </c>
      <c r="P447" t="e">
        <f>INDEX(Items!B$2:B$1032,MATCH($O447,Items!$A$2:$A$1032,0))</f>
        <v>#N/A</v>
      </c>
      <c r="Q447" t="e">
        <f>INDEX(Items!C$2:C$1032,MATCH($O447,Items!$A$2:$A$1032,0))</f>
        <v>#N/A</v>
      </c>
      <c r="R447" t="e">
        <f>INDEX(Items!D$2:D$1032,MATCH($O447,Items!$A$2:$A$1032,0))</f>
        <v>#N/A</v>
      </c>
    </row>
    <row r="448" spans="1:18" x14ac:dyDescent="0.25">
      <c r="A448">
        <f t="shared" si="32"/>
        <v>1</v>
      </c>
      <c r="B448" t="str">
        <f t="shared" si="33"/>
        <v/>
      </c>
      <c r="C448">
        <f t="shared" si="35"/>
        <v>1</v>
      </c>
      <c r="D448" s="4"/>
      <c r="E448" t="s">
        <v>18</v>
      </c>
      <c r="F448" t="str">
        <f>INDEX(Establishment!B$2:B$1005,MATCH($E448,Establishment!$A$2:$A$1005,0))</f>
        <v xml:space="preserve"> </v>
      </c>
      <c r="G448" t="str">
        <f>INDEX(Establishment!C$2:C$1005,MATCH($E448,Establishment!$A$2:$A$1005,0))</f>
        <v xml:space="preserve"> </v>
      </c>
      <c r="M448">
        <f t="shared" si="36"/>
        <v>0</v>
      </c>
      <c r="N448">
        <f t="shared" si="34"/>
        <v>0</v>
      </c>
      <c r="P448" t="e">
        <f>INDEX(Items!B$2:B$1032,MATCH($O448,Items!$A$2:$A$1032,0))</f>
        <v>#N/A</v>
      </c>
      <c r="Q448" t="e">
        <f>INDEX(Items!C$2:C$1032,MATCH($O448,Items!$A$2:$A$1032,0))</f>
        <v>#N/A</v>
      </c>
      <c r="R448" t="e">
        <f>INDEX(Items!D$2:D$1032,MATCH($O448,Items!$A$2:$A$1032,0))</f>
        <v>#N/A</v>
      </c>
    </row>
    <row r="449" spans="1:18" x14ac:dyDescent="0.25">
      <c r="A449">
        <f t="shared" si="32"/>
        <v>1</v>
      </c>
      <c r="B449" t="str">
        <f t="shared" si="33"/>
        <v/>
      </c>
      <c r="C449">
        <f t="shared" si="35"/>
        <v>1</v>
      </c>
      <c r="D449" s="4"/>
      <c r="E449" t="s">
        <v>18</v>
      </c>
      <c r="F449" t="str">
        <f>INDEX(Establishment!B$2:B$1005,MATCH($E449,Establishment!$A$2:$A$1005,0))</f>
        <v xml:space="preserve"> </v>
      </c>
      <c r="G449" t="str">
        <f>INDEX(Establishment!C$2:C$1005,MATCH($E449,Establishment!$A$2:$A$1005,0))</f>
        <v xml:space="preserve"> </v>
      </c>
      <c r="M449">
        <f t="shared" si="36"/>
        <v>0</v>
      </c>
      <c r="N449">
        <f t="shared" si="34"/>
        <v>0</v>
      </c>
      <c r="P449" t="e">
        <f>INDEX(Items!B$2:B$1032,MATCH($O449,Items!$A$2:$A$1032,0))</f>
        <v>#N/A</v>
      </c>
      <c r="Q449" t="e">
        <f>INDEX(Items!C$2:C$1032,MATCH($O449,Items!$A$2:$A$1032,0))</f>
        <v>#N/A</v>
      </c>
      <c r="R449" t="e">
        <f>INDEX(Items!D$2:D$1032,MATCH($O449,Items!$A$2:$A$1032,0))</f>
        <v>#N/A</v>
      </c>
    </row>
    <row r="450" spans="1:18" x14ac:dyDescent="0.25">
      <c r="A450">
        <f t="shared" ref="A450:A499" si="37">IF(OR(D450&lt;&gt;D449,D450=""),1,IF(NOT(AND(E450=E449,F450=F449,G450=G449)),A449+1,IF(OR(H450="",AND(H450&lt;&gt;"",H450&lt;&gt;H449,H449&lt;&gt;"")),A449,A449+1)))</f>
        <v>1</v>
      </c>
      <c r="B450" t="str">
        <f t="shared" ref="B450:B499" si="38">IF(D450&lt;&gt;"",TEXT(D450,"YYYYMMDD")&amp;CHAR(64+A450),"")</f>
        <v/>
      </c>
      <c r="C450">
        <f t="shared" si="35"/>
        <v>1</v>
      </c>
      <c r="D450" s="4"/>
      <c r="E450" t="s">
        <v>18</v>
      </c>
      <c r="F450" t="str">
        <f>INDEX(Establishment!B$2:B$1005,MATCH($E450,Establishment!$A$2:$A$1005,0))</f>
        <v xml:space="preserve"> </v>
      </c>
      <c r="G450" t="str">
        <f>INDEX(Establishment!C$2:C$1005,MATCH($E450,Establishment!$A$2:$A$1005,0))</f>
        <v xml:space="preserve"> </v>
      </c>
      <c r="M450">
        <f t="shared" si="36"/>
        <v>0</v>
      </c>
      <c r="N450">
        <f t="shared" si="34"/>
        <v>0</v>
      </c>
      <c r="P450" t="e">
        <f>INDEX(Items!B$2:B$1032,MATCH($O450,Items!$A$2:$A$1032,0))</f>
        <v>#N/A</v>
      </c>
      <c r="Q450" t="e">
        <f>INDEX(Items!C$2:C$1032,MATCH($O450,Items!$A$2:$A$1032,0))</f>
        <v>#N/A</v>
      </c>
      <c r="R450" t="e">
        <f>INDEX(Items!D$2:D$1032,MATCH($O450,Items!$A$2:$A$1032,0))</f>
        <v>#N/A</v>
      </c>
    </row>
    <row r="451" spans="1:18" x14ac:dyDescent="0.25">
      <c r="A451">
        <f t="shared" si="37"/>
        <v>1</v>
      </c>
      <c r="B451" t="str">
        <f t="shared" si="38"/>
        <v/>
      </c>
      <c r="C451">
        <f t="shared" si="35"/>
        <v>1</v>
      </c>
      <c r="D451" s="4"/>
      <c r="E451" t="s">
        <v>18</v>
      </c>
      <c r="F451" t="str">
        <f>INDEX(Establishment!B$2:B$1005,MATCH($E451,Establishment!$A$2:$A$1005,0))</f>
        <v xml:space="preserve"> </v>
      </c>
      <c r="G451" t="str">
        <f>INDEX(Establishment!C$2:C$1005,MATCH($E451,Establishment!$A$2:$A$1005,0))</f>
        <v xml:space="preserve"> </v>
      </c>
      <c r="M451">
        <f t="shared" si="36"/>
        <v>0</v>
      </c>
      <c r="N451">
        <f t="shared" ref="N451:N499" si="39">IF(B451=B450,N450+M451,M451)</f>
        <v>0</v>
      </c>
      <c r="P451" t="e">
        <f>INDEX(Items!B$2:B$1032,MATCH($O451,Items!$A$2:$A$1032,0))</f>
        <v>#N/A</v>
      </c>
      <c r="Q451" t="e">
        <f>INDEX(Items!C$2:C$1032,MATCH($O451,Items!$A$2:$A$1032,0))</f>
        <v>#N/A</v>
      </c>
      <c r="R451" t="e">
        <f>INDEX(Items!D$2:D$1032,MATCH($O451,Items!$A$2:$A$1032,0))</f>
        <v>#N/A</v>
      </c>
    </row>
    <row r="452" spans="1:18" x14ac:dyDescent="0.25">
      <c r="A452">
        <f t="shared" si="37"/>
        <v>1</v>
      </c>
      <c r="B452" t="str">
        <f t="shared" si="38"/>
        <v/>
      </c>
      <c r="C452">
        <f t="shared" si="35"/>
        <v>1</v>
      </c>
      <c r="D452" s="4"/>
      <c r="E452" t="s">
        <v>18</v>
      </c>
      <c r="F452" t="str">
        <f>INDEX(Establishment!B$2:B$1005,MATCH($E452,Establishment!$A$2:$A$1005,0))</f>
        <v xml:space="preserve"> </v>
      </c>
      <c r="G452" t="str">
        <f>INDEX(Establishment!C$2:C$1005,MATCH($E452,Establishment!$A$2:$A$1005,0))</f>
        <v xml:space="preserve"> </v>
      </c>
      <c r="M452">
        <f t="shared" si="36"/>
        <v>0</v>
      </c>
      <c r="N452">
        <f t="shared" si="39"/>
        <v>0</v>
      </c>
      <c r="P452" t="e">
        <f>INDEX(Items!B$2:B$1032,MATCH($O452,Items!$A$2:$A$1032,0))</f>
        <v>#N/A</v>
      </c>
      <c r="Q452" t="e">
        <f>INDEX(Items!C$2:C$1032,MATCH($O452,Items!$A$2:$A$1032,0))</f>
        <v>#N/A</v>
      </c>
      <c r="R452" t="e">
        <f>INDEX(Items!D$2:D$1032,MATCH($O452,Items!$A$2:$A$1032,0))</f>
        <v>#N/A</v>
      </c>
    </row>
    <row r="453" spans="1:18" x14ac:dyDescent="0.25">
      <c r="A453">
        <f t="shared" si="37"/>
        <v>1</v>
      </c>
      <c r="B453" t="str">
        <f t="shared" si="38"/>
        <v/>
      </c>
      <c r="C453">
        <f t="shared" si="35"/>
        <v>1</v>
      </c>
      <c r="D453" s="4"/>
      <c r="E453" t="s">
        <v>18</v>
      </c>
      <c r="F453" t="str">
        <f>INDEX(Establishment!B$2:B$1005,MATCH($E453,Establishment!$A$2:$A$1005,0))</f>
        <v xml:space="preserve"> </v>
      </c>
      <c r="G453" t="str">
        <f>INDEX(Establishment!C$2:C$1005,MATCH($E453,Establishment!$A$2:$A$1005,0))</f>
        <v xml:space="preserve"> </v>
      </c>
      <c r="M453">
        <f t="shared" si="36"/>
        <v>0</v>
      </c>
      <c r="N453">
        <f t="shared" si="39"/>
        <v>0</v>
      </c>
      <c r="P453" t="e">
        <f>INDEX(Items!B$2:B$1032,MATCH($O453,Items!$A$2:$A$1032,0))</f>
        <v>#N/A</v>
      </c>
      <c r="Q453" t="e">
        <f>INDEX(Items!C$2:C$1032,MATCH($O453,Items!$A$2:$A$1032,0))</f>
        <v>#N/A</v>
      </c>
      <c r="R453" t="e">
        <f>INDEX(Items!D$2:D$1032,MATCH($O453,Items!$A$2:$A$1032,0))</f>
        <v>#N/A</v>
      </c>
    </row>
    <row r="454" spans="1:18" x14ac:dyDescent="0.25">
      <c r="A454">
        <f t="shared" si="37"/>
        <v>1</v>
      </c>
      <c r="B454" t="str">
        <f t="shared" si="38"/>
        <v/>
      </c>
      <c r="C454">
        <f t="shared" si="35"/>
        <v>1</v>
      </c>
      <c r="D454" s="4"/>
      <c r="E454" t="s">
        <v>18</v>
      </c>
      <c r="F454" t="str">
        <f>INDEX(Establishment!B$2:B$1005,MATCH($E454,Establishment!$A$2:$A$1005,0))</f>
        <v xml:space="preserve"> </v>
      </c>
      <c r="G454" t="str">
        <f>INDEX(Establishment!C$2:C$1005,MATCH($E454,Establishment!$A$2:$A$1005,0))</f>
        <v xml:space="preserve"> </v>
      </c>
      <c r="M454">
        <f t="shared" si="36"/>
        <v>0</v>
      </c>
      <c r="N454">
        <f t="shared" si="39"/>
        <v>0</v>
      </c>
      <c r="P454" t="e">
        <f>INDEX(Items!B$2:B$1032,MATCH($O454,Items!$A$2:$A$1032,0))</f>
        <v>#N/A</v>
      </c>
      <c r="Q454" t="e">
        <f>INDEX(Items!C$2:C$1032,MATCH($O454,Items!$A$2:$A$1032,0))</f>
        <v>#N/A</v>
      </c>
      <c r="R454" t="e">
        <f>INDEX(Items!D$2:D$1032,MATCH($O454,Items!$A$2:$A$1032,0))</f>
        <v>#N/A</v>
      </c>
    </row>
    <row r="455" spans="1:18" x14ac:dyDescent="0.25">
      <c r="A455">
        <f t="shared" si="37"/>
        <v>1</v>
      </c>
      <c r="B455" t="str">
        <f t="shared" si="38"/>
        <v/>
      </c>
      <c r="C455">
        <f t="shared" si="35"/>
        <v>1</v>
      </c>
      <c r="D455" s="4"/>
      <c r="E455" t="s">
        <v>18</v>
      </c>
      <c r="F455" t="str">
        <f>INDEX(Establishment!B$2:B$1005,MATCH($E455,Establishment!$A$2:$A$1005,0))</f>
        <v xml:space="preserve"> </v>
      </c>
      <c r="G455" t="str">
        <f>INDEX(Establishment!C$2:C$1005,MATCH($E455,Establishment!$A$2:$A$1005,0))</f>
        <v xml:space="preserve"> </v>
      </c>
      <c r="M455">
        <f t="shared" si="36"/>
        <v>0</v>
      </c>
      <c r="N455">
        <f t="shared" si="39"/>
        <v>0</v>
      </c>
      <c r="P455" t="e">
        <f>INDEX(Items!B$2:B$1032,MATCH($O455,Items!$A$2:$A$1032,0))</f>
        <v>#N/A</v>
      </c>
      <c r="Q455" t="e">
        <f>INDEX(Items!C$2:C$1032,MATCH($O455,Items!$A$2:$A$1032,0))</f>
        <v>#N/A</v>
      </c>
      <c r="R455" t="e">
        <f>INDEX(Items!D$2:D$1032,MATCH($O455,Items!$A$2:$A$1032,0))</f>
        <v>#N/A</v>
      </c>
    </row>
    <row r="456" spans="1:18" x14ac:dyDescent="0.25">
      <c r="A456">
        <f t="shared" si="37"/>
        <v>1</v>
      </c>
      <c r="B456" t="str">
        <f t="shared" si="38"/>
        <v/>
      </c>
      <c r="C456">
        <f t="shared" si="35"/>
        <v>1</v>
      </c>
      <c r="D456" s="4"/>
      <c r="E456" t="s">
        <v>18</v>
      </c>
      <c r="F456" t="str">
        <f>INDEX(Establishment!B$2:B$1005,MATCH($E456,Establishment!$A$2:$A$1005,0))</f>
        <v xml:space="preserve"> </v>
      </c>
      <c r="G456" t="str">
        <f>INDEX(Establishment!C$2:C$1005,MATCH($E456,Establishment!$A$2:$A$1005,0))</f>
        <v xml:space="preserve"> </v>
      </c>
      <c r="M456">
        <f t="shared" si="36"/>
        <v>0</v>
      </c>
      <c r="N456">
        <f t="shared" si="39"/>
        <v>0</v>
      </c>
      <c r="P456" t="e">
        <f>INDEX(Items!B$2:B$1032,MATCH($O456,Items!$A$2:$A$1032,0))</f>
        <v>#N/A</v>
      </c>
      <c r="Q456" t="e">
        <f>INDEX(Items!C$2:C$1032,MATCH($O456,Items!$A$2:$A$1032,0))</f>
        <v>#N/A</v>
      </c>
      <c r="R456" t="e">
        <f>INDEX(Items!D$2:D$1032,MATCH($O456,Items!$A$2:$A$1032,0))</f>
        <v>#N/A</v>
      </c>
    </row>
    <row r="457" spans="1:18" x14ac:dyDescent="0.25">
      <c r="A457">
        <f t="shared" si="37"/>
        <v>1</v>
      </c>
      <c r="B457" t="str">
        <f t="shared" si="38"/>
        <v/>
      </c>
      <c r="C457">
        <f t="shared" si="35"/>
        <v>1</v>
      </c>
      <c r="D457" s="4"/>
      <c r="E457" t="s">
        <v>18</v>
      </c>
      <c r="F457" t="str">
        <f>INDEX(Establishment!B$2:B$1005,MATCH($E457,Establishment!$A$2:$A$1005,0))</f>
        <v xml:space="preserve"> </v>
      </c>
      <c r="G457" t="str">
        <f>INDEX(Establishment!C$2:C$1005,MATCH($E457,Establishment!$A$2:$A$1005,0))</f>
        <v xml:space="preserve"> </v>
      </c>
      <c r="M457">
        <f t="shared" si="36"/>
        <v>0</v>
      </c>
      <c r="N457">
        <f t="shared" si="39"/>
        <v>0</v>
      </c>
      <c r="P457" t="e">
        <f>INDEX(Items!B$2:B$1032,MATCH($O457,Items!$A$2:$A$1032,0))</f>
        <v>#N/A</v>
      </c>
      <c r="Q457" t="e">
        <f>INDEX(Items!C$2:C$1032,MATCH($O457,Items!$A$2:$A$1032,0))</f>
        <v>#N/A</v>
      </c>
      <c r="R457" t="e">
        <f>INDEX(Items!D$2:D$1032,MATCH($O457,Items!$A$2:$A$1032,0))</f>
        <v>#N/A</v>
      </c>
    </row>
    <row r="458" spans="1:18" x14ac:dyDescent="0.25">
      <c r="A458">
        <f t="shared" si="37"/>
        <v>1</v>
      </c>
      <c r="B458" t="str">
        <f t="shared" si="38"/>
        <v/>
      </c>
      <c r="C458">
        <f t="shared" ref="C458:C499" si="40">IF(OR(B458="",B458&lt;&gt;B457),1,C457+1)</f>
        <v>1</v>
      </c>
      <c r="D458" s="4"/>
      <c r="E458" t="s">
        <v>18</v>
      </c>
      <c r="F458" t="str">
        <f>INDEX(Establishment!B$2:B$1005,MATCH($E458,Establishment!$A$2:$A$1005,0))</f>
        <v xml:space="preserve"> </v>
      </c>
      <c r="G458" t="str">
        <f>INDEX(Establishment!C$2:C$1005,MATCH($E458,Establishment!$A$2:$A$1005,0))</f>
        <v xml:space="preserve"> </v>
      </c>
      <c r="M458">
        <f t="shared" ref="M458:M499" si="41">K458*L458</f>
        <v>0</v>
      </c>
      <c r="N458">
        <f t="shared" si="39"/>
        <v>0</v>
      </c>
      <c r="P458" t="e">
        <f>INDEX(Items!B$2:B$1032,MATCH($O458,Items!$A$2:$A$1032,0))</f>
        <v>#N/A</v>
      </c>
      <c r="Q458" t="e">
        <f>INDEX(Items!C$2:C$1032,MATCH($O458,Items!$A$2:$A$1032,0))</f>
        <v>#N/A</v>
      </c>
      <c r="R458" t="e">
        <f>INDEX(Items!D$2:D$1032,MATCH($O458,Items!$A$2:$A$1032,0))</f>
        <v>#N/A</v>
      </c>
    </row>
    <row r="459" spans="1:18" x14ac:dyDescent="0.25">
      <c r="A459">
        <f t="shared" si="37"/>
        <v>1</v>
      </c>
      <c r="B459" t="str">
        <f t="shared" si="38"/>
        <v/>
      </c>
      <c r="C459">
        <f t="shared" si="40"/>
        <v>1</v>
      </c>
      <c r="D459" s="4"/>
      <c r="E459" t="s">
        <v>18</v>
      </c>
      <c r="F459" t="str">
        <f>INDEX(Establishment!B$2:B$1005,MATCH($E459,Establishment!$A$2:$A$1005,0))</f>
        <v xml:space="preserve"> </v>
      </c>
      <c r="G459" t="str">
        <f>INDEX(Establishment!C$2:C$1005,MATCH($E459,Establishment!$A$2:$A$1005,0))</f>
        <v xml:space="preserve"> </v>
      </c>
      <c r="M459">
        <f t="shared" si="41"/>
        <v>0</v>
      </c>
      <c r="N459">
        <f t="shared" si="39"/>
        <v>0</v>
      </c>
      <c r="P459" t="e">
        <f>INDEX(Items!B$2:B$1032,MATCH($O459,Items!$A$2:$A$1032,0))</f>
        <v>#N/A</v>
      </c>
      <c r="Q459" t="e">
        <f>INDEX(Items!C$2:C$1032,MATCH($O459,Items!$A$2:$A$1032,0))</f>
        <v>#N/A</v>
      </c>
      <c r="R459" t="e">
        <f>INDEX(Items!D$2:D$1032,MATCH($O459,Items!$A$2:$A$1032,0))</f>
        <v>#N/A</v>
      </c>
    </row>
    <row r="460" spans="1:18" x14ac:dyDescent="0.25">
      <c r="A460">
        <f t="shared" si="37"/>
        <v>1</v>
      </c>
      <c r="B460" t="str">
        <f t="shared" si="38"/>
        <v/>
      </c>
      <c r="C460">
        <f t="shared" si="40"/>
        <v>1</v>
      </c>
      <c r="D460" s="4"/>
      <c r="E460" t="s">
        <v>18</v>
      </c>
      <c r="F460" t="str">
        <f>INDEX(Establishment!B$2:B$1005,MATCH($E460,Establishment!$A$2:$A$1005,0))</f>
        <v xml:space="preserve"> </v>
      </c>
      <c r="G460" t="str">
        <f>INDEX(Establishment!C$2:C$1005,MATCH($E460,Establishment!$A$2:$A$1005,0))</f>
        <v xml:space="preserve"> </v>
      </c>
      <c r="M460">
        <f t="shared" si="41"/>
        <v>0</v>
      </c>
      <c r="N460">
        <f t="shared" si="39"/>
        <v>0</v>
      </c>
      <c r="P460" t="e">
        <f>INDEX(Items!B$2:B$1032,MATCH($O460,Items!$A$2:$A$1032,0))</f>
        <v>#N/A</v>
      </c>
      <c r="Q460" t="e">
        <f>INDEX(Items!C$2:C$1032,MATCH($O460,Items!$A$2:$A$1032,0))</f>
        <v>#N/A</v>
      </c>
      <c r="R460" t="e">
        <f>INDEX(Items!D$2:D$1032,MATCH($O460,Items!$A$2:$A$1032,0))</f>
        <v>#N/A</v>
      </c>
    </row>
    <row r="461" spans="1:18" x14ac:dyDescent="0.25">
      <c r="A461">
        <f t="shared" si="37"/>
        <v>1</v>
      </c>
      <c r="B461" t="str">
        <f t="shared" si="38"/>
        <v/>
      </c>
      <c r="C461">
        <f t="shared" si="40"/>
        <v>1</v>
      </c>
      <c r="D461" s="4"/>
      <c r="E461" t="s">
        <v>18</v>
      </c>
      <c r="F461" t="str">
        <f>INDEX(Establishment!B$2:B$1005,MATCH($E461,Establishment!$A$2:$A$1005,0))</f>
        <v xml:space="preserve"> </v>
      </c>
      <c r="G461" t="str">
        <f>INDEX(Establishment!C$2:C$1005,MATCH($E461,Establishment!$A$2:$A$1005,0))</f>
        <v xml:space="preserve"> </v>
      </c>
      <c r="M461">
        <f t="shared" si="41"/>
        <v>0</v>
      </c>
      <c r="N461">
        <f t="shared" si="39"/>
        <v>0</v>
      </c>
      <c r="P461" t="e">
        <f>INDEX(Items!B$2:B$1032,MATCH($O461,Items!$A$2:$A$1032,0))</f>
        <v>#N/A</v>
      </c>
      <c r="Q461" t="e">
        <f>INDEX(Items!C$2:C$1032,MATCH($O461,Items!$A$2:$A$1032,0))</f>
        <v>#N/A</v>
      </c>
      <c r="R461" t="e">
        <f>INDEX(Items!D$2:D$1032,MATCH($O461,Items!$A$2:$A$1032,0))</f>
        <v>#N/A</v>
      </c>
    </row>
    <row r="462" spans="1:18" x14ac:dyDescent="0.25">
      <c r="A462">
        <f t="shared" si="37"/>
        <v>1</v>
      </c>
      <c r="B462" t="str">
        <f t="shared" si="38"/>
        <v/>
      </c>
      <c r="C462">
        <f t="shared" si="40"/>
        <v>1</v>
      </c>
      <c r="D462" s="4"/>
      <c r="E462" t="s">
        <v>18</v>
      </c>
      <c r="F462" t="str">
        <f>INDEX(Establishment!B$2:B$1005,MATCH($E462,Establishment!$A$2:$A$1005,0))</f>
        <v xml:space="preserve"> </v>
      </c>
      <c r="G462" t="str">
        <f>INDEX(Establishment!C$2:C$1005,MATCH($E462,Establishment!$A$2:$A$1005,0))</f>
        <v xml:space="preserve"> </v>
      </c>
      <c r="M462">
        <f t="shared" si="41"/>
        <v>0</v>
      </c>
      <c r="N462">
        <f t="shared" si="39"/>
        <v>0</v>
      </c>
      <c r="P462" t="e">
        <f>INDEX(Items!B$2:B$1032,MATCH($O462,Items!$A$2:$A$1032,0))</f>
        <v>#N/A</v>
      </c>
      <c r="Q462" t="e">
        <f>INDEX(Items!C$2:C$1032,MATCH($O462,Items!$A$2:$A$1032,0))</f>
        <v>#N/A</v>
      </c>
      <c r="R462" t="e">
        <f>INDEX(Items!D$2:D$1032,MATCH($O462,Items!$A$2:$A$1032,0))</f>
        <v>#N/A</v>
      </c>
    </row>
    <row r="463" spans="1:18" x14ac:dyDescent="0.25">
      <c r="A463">
        <f t="shared" si="37"/>
        <v>1</v>
      </c>
      <c r="B463" t="str">
        <f t="shared" si="38"/>
        <v/>
      </c>
      <c r="C463">
        <f t="shared" si="40"/>
        <v>1</v>
      </c>
      <c r="D463" s="4"/>
      <c r="E463" t="s">
        <v>18</v>
      </c>
      <c r="F463" t="str">
        <f>INDEX(Establishment!B$2:B$1005,MATCH($E463,Establishment!$A$2:$A$1005,0))</f>
        <v xml:space="preserve"> </v>
      </c>
      <c r="G463" t="str">
        <f>INDEX(Establishment!C$2:C$1005,MATCH($E463,Establishment!$A$2:$A$1005,0))</f>
        <v xml:space="preserve"> </v>
      </c>
      <c r="M463">
        <f t="shared" si="41"/>
        <v>0</v>
      </c>
      <c r="N463">
        <f t="shared" si="39"/>
        <v>0</v>
      </c>
      <c r="P463" t="e">
        <f>INDEX(Items!B$2:B$1032,MATCH($O463,Items!$A$2:$A$1032,0))</f>
        <v>#N/A</v>
      </c>
      <c r="Q463" t="e">
        <f>INDEX(Items!C$2:C$1032,MATCH($O463,Items!$A$2:$A$1032,0))</f>
        <v>#N/A</v>
      </c>
      <c r="R463" t="e">
        <f>INDEX(Items!D$2:D$1032,MATCH($O463,Items!$A$2:$A$1032,0))</f>
        <v>#N/A</v>
      </c>
    </row>
    <row r="464" spans="1:18" x14ac:dyDescent="0.25">
      <c r="A464">
        <f t="shared" si="37"/>
        <v>1</v>
      </c>
      <c r="B464" t="str">
        <f t="shared" si="38"/>
        <v/>
      </c>
      <c r="C464">
        <f t="shared" si="40"/>
        <v>1</v>
      </c>
      <c r="D464" s="4"/>
      <c r="E464" t="s">
        <v>18</v>
      </c>
      <c r="F464" t="str">
        <f>INDEX(Establishment!B$2:B$1005,MATCH($E464,Establishment!$A$2:$A$1005,0))</f>
        <v xml:space="preserve"> </v>
      </c>
      <c r="G464" t="str">
        <f>INDEX(Establishment!C$2:C$1005,MATCH($E464,Establishment!$A$2:$A$1005,0))</f>
        <v xml:space="preserve"> </v>
      </c>
      <c r="M464">
        <f t="shared" si="41"/>
        <v>0</v>
      </c>
      <c r="N464">
        <f t="shared" si="39"/>
        <v>0</v>
      </c>
      <c r="P464" t="e">
        <f>INDEX(Items!B$2:B$1032,MATCH($O464,Items!$A$2:$A$1032,0))</f>
        <v>#N/A</v>
      </c>
      <c r="Q464" t="e">
        <f>INDEX(Items!C$2:C$1032,MATCH($O464,Items!$A$2:$A$1032,0))</f>
        <v>#N/A</v>
      </c>
      <c r="R464" t="e">
        <f>INDEX(Items!D$2:D$1032,MATCH($O464,Items!$A$2:$A$1032,0))</f>
        <v>#N/A</v>
      </c>
    </row>
    <row r="465" spans="1:18" x14ac:dyDescent="0.25">
      <c r="A465">
        <f t="shared" si="37"/>
        <v>1</v>
      </c>
      <c r="B465" t="str">
        <f t="shared" si="38"/>
        <v/>
      </c>
      <c r="C465">
        <f t="shared" si="40"/>
        <v>1</v>
      </c>
      <c r="D465" s="4"/>
      <c r="E465" t="s">
        <v>18</v>
      </c>
      <c r="F465" t="str">
        <f>INDEX(Establishment!B$2:B$1005,MATCH($E465,Establishment!$A$2:$A$1005,0))</f>
        <v xml:space="preserve"> </v>
      </c>
      <c r="G465" t="str">
        <f>INDEX(Establishment!C$2:C$1005,MATCH($E465,Establishment!$A$2:$A$1005,0))</f>
        <v xml:space="preserve"> </v>
      </c>
      <c r="M465">
        <f t="shared" si="41"/>
        <v>0</v>
      </c>
      <c r="N465">
        <f t="shared" si="39"/>
        <v>0</v>
      </c>
      <c r="P465" t="e">
        <f>INDEX(Items!B$2:B$1032,MATCH($O465,Items!$A$2:$A$1032,0))</f>
        <v>#N/A</v>
      </c>
      <c r="Q465" t="e">
        <f>INDEX(Items!C$2:C$1032,MATCH($O465,Items!$A$2:$A$1032,0))</f>
        <v>#N/A</v>
      </c>
      <c r="R465" t="e">
        <f>INDEX(Items!D$2:D$1032,MATCH($O465,Items!$A$2:$A$1032,0))</f>
        <v>#N/A</v>
      </c>
    </row>
    <row r="466" spans="1:18" x14ac:dyDescent="0.25">
      <c r="A466">
        <f t="shared" si="37"/>
        <v>1</v>
      </c>
      <c r="B466" t="str">
        <f t="shared" si="38"/>
        <v/>
      </c>
      <c r="C466">
        <f t="shared" si="40"/>
        <v>1</v>
      </c>
      <c r="D466" s="4"/>
      <c r="E466" t="s">
        <v>18</v>
      </c>
      <c r="F466" t="str">
        <f>INDEX(Establishment!B$2:B$1005,MATCH($E466,Establishment!$A$2:$A$1005,0))</f>
        <v xml:space="preserve"> </v>
      </c>
      <c r="G466" t="str">
        <f>INDEX(Establishment!C$2:C$1005,MATCH($E466,Establishment!$A$2:$A$1005,0))</f>
        <v xml:space="preserve"> </v>
      </c>
      <c r="M466">
        <f t="shared" si="41"/>
        <v>0</v>
      </c>
      <c r="N466">
        <f t="shared" si="39"/>
        <v>0</v>
      </c>
      <c r="P466" t="e">
        <f>INDEX(Items!B$2:B$1032,MATCH($O466,Items!$A$2:$A$1032,0))</f>
        <v>#N/A</v>
      </c>
      <c r="Q466" t="e">
        <f>INDEX(Items!C$2:C$1032,MATCH($O466,Items!$A$2:$A$1032,0))</f>
        <v>#N/A</v>
      </c>
      <c r="R466" t="e">
        <f>INDEX(Items!D$2:D$1032,MATCH($O466,Items!$A$2:$A$1032,0))</f>
        <v>#N/A</v>
      </c>
    </row>
    <row r="467" spans="1:18" x14ac:dyDescent="0.25">
      <c r="A467">
        <f t="shared" si="37"/>
        <v>1</v>
      </c>
      <c r="B467" t="str">
        <f t="shared" si="38"/>
        <v/>
      </c>
      <c r="C467">
        <f t="shared" si="40"/>
        <v>1</v>
      </c>
      <c r="D467" s="4"/>
      <c r="E467" t="s">
        <v>18</v>
      </c>
      <c r="F467" t="str">
        <f>INDEX(Establishment!B$2:B$1005,MATCH($E467,Establishment!$A$2:$A$1005,0))</f>
        <v xml:space="preserve"> </v>
      </c>
      <c r="G467" t="str">
        <f>INDEX(Establishment!C$2:C$1005,MATCH($E467,Establishment!$A$2:$A$1005,0))</f>
        <v xml:space="preserve"> </v>
      </c>
      <c r="M467">
        <f t="shared" si="41"/>
        <v>0</v>
      </c>
      <c r="N467">
        <f t="shared" si="39"/>
        <v>0</v>
      </c>
      <c r="P467" t="e">
        <f>INDEX(Items!B$2:B$1032,MATCH($O467,Items!$A$2:$A$1032,0))</f>
        <v>#N/A</v>
      </c>
      <c r="Q467" t="e">
        <f>INDEX(Items!C$2:C$1032,MATCH($O467,Items!$A$2:$A$1032,0))</f>
        <v>#N/A</v>
      </c>
      <c r="R467" t="e">
        <f>INDEX(Items!D$2:D$1032,MATCH($O467,Items!$A$2:$A$1032,0))</f>
        <v>#N/A</v>
      </c>
    </row>
    <row r="468" spans="1:18" x14ac:dyDescent="0.25">
      <c r="A468">
        <f t="shared" si="37"/>
        <v>1</v>
      </c>
      <c r="B468" t="str">
        <f t="shared" si="38"/>
        <v/>
      </c>
      <c r="C468">
        <f t="shared" si="40"/>
        <v>1</v>
      </c>
      <c r="D468" s="4"/>
      <c r="E468" t="s">
        <v>18</v>
      </c>
      <c r="F468" t="str">
        <f>INDEX(Establishment!B$2:B$1005,MATCH($E468,Establishment!$A$2:$A$1005,0))</f>
        <v xml:space="preserve"> </v>
      </c>
      <c r="G468" t="str">
        <f>INDEX(Establishment!C$2:C$1005,MATCH($E468,Establishment!$A$2:$A$1005,0))</f>
        <v xml:space="preserve"> </v>
      </c>
      <c r="M468">
        <f t="shared" si="41"/>
        <v>0</v>
      </c>
      <c r="N468">
        <f t="shared" si="39"/>
        <v>0</v>
      </c>
      <c r="P468" t="e">
        <f>INDEX(Items!B$2:B$1032,MATCH($O468,Items!$A$2:$A$1032,0))</f>
        <v>#N/A</v>
      </c>
      <c r="Q468" t="e">
        <f>INDEX(Items!C$2:C$1032,MATCH($O468,Items!$A$2:$A$1032,0))</f>
        <v>#N/A</v>
      </c>
      <c r="R468" t="e">
        <f>INDEX(Items!D$2:D$1032,MATCH($O468,Items!$A$2:$A$1032,0))</f>
        <v>#N/A</v>
      </c>
    </row>
    <row r="469" spans="1:18" x14ac:dyDescent="0.25">
      <c r="A469">
        <f t="shared" si="37"/>
        <v>1</v>
      </c>
      <c r="B469" t="str">
        <f t="shared" si="38"/>
        <v/>
      </c>
      <c r="C469">
        <f t="shared" si="40"/>
        <v>1</v>
      </c>
      <c r="D469" s="4"/>
      <c r="E469" t="s">
        <v>18</v>
      </c>
      <c r="F469" t="str">
        <f>INDEX(Establishment!B$2:B$1005,MATCH($E469,Establishment!$A$2:$A$1005,0))</f>
        <v xml:space="preserve"> </v>
      </c>
      <c r="G469" t="str">
        <f>INDEX(Establishment!C$2:C$1005,MATCH($E469,Establishment!$A$2:$A$1005,0))</f>
        <v xml:space="preserve"> </v>
      </c>
      <c r="M469">
        <f t="shared" si="41"/>
        <v>0</v>
      </c>
      <c r="N469">
        <f t="shared" si="39"/>
        <v>0</v>
      </c>
      <c r="P469" t="e">
        <f>INDEX(Items!B$2:B$1032,MATCH($O469,Items!$A$2:$A$1032,0))</f>
        <v>#N/A</v>
      </c>
      <c r="Q469" t="e">
        <f>INDEX(Items!C$2:C$1032,MATCH($O469,Items!$A$2:$A$1032,0))</f>
        <v>#N/A</v>
      </c>
      <c r="R469" t="e">
        <f>INDEX(Items!D$2:D$1032,MATCH($O469,Items!$A$2:$A$1032,0))</f>
        <v>#N/A</v>
      </c>
    </row>
    <row r="470" spans="1:18" x14ac:dyDescent="0.25">
      <c r="A470">
        <f t="shared" si="37"/>
        <v>1</v>
      </c>
      <c r="B470" t="str">
        <f t="shared" si="38"/>
        <v/>
      </c>
      <c r="C470">
        <f t="shared" si="40"/>
        <v>1</v>
      </c>
      <c r="D470" s="4"/>
      <c r="E470" t="s">
        <v>18</v>
      </c>
      <c r="F470" t="str">
        <f>INDEX(Establishment!B$2:B$1005,MATCH($E470,Establishment!$A$2:$A$1005,0))</f>
        <v xml:space="preserve"> </v>
      </c>
      <c r="G470" t="str">
        <f>INDEX(Establishment!C$2:C$1005,MATCH($E470,Establishment!$A$2:$A$1005,0))</f>
        <v xml:space="preserve"> </v>
      </c>
      <c r="M470">
        <f t="shared" si="41"/>
        <v>0</v>
      </c>
      <c r="N470">
        <f t="shared" si="39"/>
        <v>0</v>
      </c>
      <c r="P470" t="e">
        <f>INDEX(Items!B$2:B$1032,MATCH($O470,Items!$A$2:$A$1032,0))</f>
        <v>#N/A</v>
      </c>
      <c r="Q470" t="e">
        <f>INDEX(Items!C$2:C$1032,MATCH($O470,Items!$A$2:$A$1032,0))</f>
        <v>#N/A</v>
      </c>
      <c r="R470" t="e">
        <f>INDEX(Items!D$2:D$1032,MATCH($O470,Items!$A$2:$A$1032,0))</f>
        <v>#N/A</v>
      </c>
    </row>
    <row r="471" spans="1:18" x14ac:dyDescent="0.25">
      <c r="A471">
        <f t="shared" si="37"/>
        <v>1</v>
      </c>
      <c r="B471" t="str">
        <f t="shared" si="38"/>
        <v/>
      </c>
      <c r="C471">
        <f t="shared" si="40"/>
        <v>1</v>
      </c>
      <c r="D471" s="4"/>
      <c r="E471" t="s">
        <v>18</v>
      </c>
      <c r="F471" t="str">
        <f>INDEX(Establishment!B$2:B$1005,MATCH($E471,Establishment!$A$2:$A$1005,0))</f>
        <v xml:space="preserve"> </v>
      </c>
      <c r="G471" t="str">
        <f>INDEX(Establishment!C$2:C$1005,MATCH($E471,Establishment!$A$2:$A$1005,0))</f>
        <v xml:space="preserve"> </v>
      </c>
      <c r="M471">
        <f t="shared" si="41"/>
        <v>0</v>
      </c>
      <c r="N471">
        <f t="shared" si="39"/>
        <v>0</v>
      </c>
      <c r="P471" t="e">
        <f>INDEX(Items!B$2:B$1032,MATCH($O471,Items!$A$2:$A$1032,0))</f>
        <v>#N/A</v>
      </c>
      <c r="Q471" t="e">
        <f>INDEX(Items!C$2:C$1032,MATCH($O471,Items!$A$2:$A$1032,0))</f>
        <v>#N/A</v>
      </c>
      <c r="R471" t="e">
        <f>INDEX(Items!D$2:D$1032,MATCH($O471,Items!$A$2:$A$1032,0))</f>
        <v>#N/A</v>
      </c>
    </row>
    <row r="472" spans="1:18" x14ac:dyDescent="0.25">
      <c r="A472">
        <f t="shared" si="37"/>
        <v>1</v>
      </c>
      <c r="B472" t="str">
        <f t="shared" si="38"/>
        <v/>
      </c>
      <c r="C472">
        <f t="shared" si="40"/>
        <v>1</v>
      </c>
      <c r="D472" s="4"/>
      <c r="E472" t="s">
        <v>18</v>
      </c>
      <c r="F472" t="str">
        <f>INDEX(Establishment!B$2:B$1005,MATCH($E472,Establishment!$A$2:$A$1005,0))</f>
        <v xml:space="preserve"> </v>
      </c>
      <c r="G472" t="str">
        <f>INDEX(Establishment!C$2:C$1005,MATCH($E472,Establishment!$A$2:$A$1005,0))</f>
        <v xml:space="preserve"> </v>
      </c>
      <c r="M472">
        <f t="shared" si="41"/>
        <v>0</v>
      </c>
      <c r="N472">
        <f t="shared" si="39"/>
        <v>0</v>
      </c>
      <c r="P472" t="e">
        <f>INDEX(Items!B$2:B$1032,MATCH($O472,Items!$A$2:$A$1032,0))</f>
        <v>#N/A</v>
      </c>
      <c r="Q472" t="e">
        <f>INDEX(Items!C$2:C$1032,MATCH($O472,Items!$A$2:$A$1032,0))</f>
        <v>#N/A</v>
      </c>
      <c r="R472" t="e">
        <f>INDEX(Items!D$2:D$1032,MATCH($O472,Items!$A$2:$A$1032,0))</f>
        <v>#N/A</v>
      </c>
    </row>
    <row r="473" spans="1:18" x14ac:dyDescent="0.25">
      <c r="A473">
        <f t="shared" si="37"/>
        <v>1</v>
      </c>
      <c r="B473" t="str">
        <f t="shared" si="38"/>
        <v/>
      </c>
      <c r="C473">
        <f t="shared" si="40"/>
        <v>1</v>
      </c>
      <c r="D473" s="4"/>
      <c r="E473" t="s">
        <v>18</v>
      </c>
      <c r="F473" t="str">
        <f>INDEX(Establishment!B$2:B$1005,MATCH($E473,Establishment!$A$2:$A$1005,0))</f>
        <v xml:space="preserve"> </v>
      </c>
      <c r="G473" t="str">
        <f>INDEX(Establishment!C$2:C$1005,MATCH($E473,Establishment!$A$2:$A$1005,0))</f>
        <v xml:space="preserve"> </v>
      </c>
      <c r="M473">
        <f t="shared" si="41"/>
        <v>0</v>
      </c>
      <c r="N473">
        <f t="shared" si="39"/>
        <v>0</v>
      </c>
      <c r="P473" t="e">
        <f>INDEX(Items!B$2:B$1032,MATCH($O473,Items!$A$2:$A$1032,0))</f>
        <v>#N/A</v>
      </c>
      <c r="Q473" t="e">
        <f>INDEX(Items!C$2:C$1032,MATCH($O473,Items!$A$2:$A$1032,0))</f>
        <v>#N/A</v>
      </c>
      <c r="R473" t="e">
        <f>INDEX(Items!D$2:D$1032,MATCH($O473,Items!$A$2:$A$1032,0))</f>
        <v>#N/A</v>
      </c>
    </row>
    <row r="474" spans="1:18" x14ac:dyDescent="0.25">
      <c r="A474">
        <f t="shared" si="37"/>
        <v>1</v>
      </c>
      <c r="B474" t="str">
        <f t="shared" si="38"/>
        <v/>
      </c>
      <c r="C474">
        <f t="shared" si="40"/>
        <v>1</v>
      </c>
      <c r="D474" s="4"/>
      <c r="E474" t="s">
        <v>18</v>
      </c>
      <c r="F474" t="str">
        <f>INDEX(Establishment!B$2:B$1005,MATCH($E474,Establishment!$A$2:$A$1005,0))</f>
        <v xml:space="preserve"> </v>
      </c>
      <c r="G474" t="str">
        <f>INDEX(Establishment!C$2:C$1005,MATCH($E474,Establishment!$A$2:$A$1005,0))</f>
        <v xml:space="preserve"> </v>
      </c>
      <c r="M474">
        <f t="shared" si="41"/>
        <v>0</v>
      </c>
      <c r="N474">
        <f t="shared" si="39"/>
        <v>0</v>
      </c>
      <c r="P474" t="e">
        <f>INDEX(Items!B$2:B$1032,MATCH($O474,Items!$A$2:$A$1032,0))</f>
        <v>#N/A</v>
      </c>
      <c r="Q474" t="e">
        <f>INDEX(Items!C$2:C$1032,MATCH($O474,Items!$A$2:$A$1032,0))</f>
        <v>#N/A</v>
      </c>
      <c r="R474" t="e">
        <f>INDEX(Items!D$2:D$1032,MATCH($O474,Items!$A$2:$A$1032,0))</f>
        <v>#N/A</v>
      </c>
    </row>
    <row r="475" spans="1:18" x14ac:dyDescent="0.25">
      <c r="A475">
        <f t="shared" si="37"/>
        <v>1</v>
      </c>
      <c r="B475" t="str">
        <f t="shared" si="38"/>
        <v/>
      </c>
      <c r="C475">
        <f t="shared" si="40"/>
        <v>1</v>
      </c>
      <c r="D475" s="4"/>
      <c r="E475" t="s">
        <v>18</v>
      </c>
      <c r="F475" t="str">
        <f>INDEX(Establishment!B$2:B$1005,MATCH($E475,Establishment!$A$2:$A$1005,0))</f>
        <v xml:space="preserve"> </v>
      </c>
      <c r="G475" t="str">
        <f>INDEX(Establishment!C$2:C$1005,MATCH($E475,Establishment!$A$2:$A$1005,0))</f>
        <v xml:space="preserve"> </v>
      </c>
      <c r="M475">
        <f t="shared" si="41"/>
        <v>0</v>
      </c>
      <c r="N475">
        <f t="shared" si="39"/>
        <v>0</v>
      </c>
      <c r="P475" t="e">
        <f>INDEX(Items!B$2:B$1032,MATCH($O475,Items!$A$2:$A$1032,0))</f>
        <v>#N/A</v>
      </c>
      <c r="Q475" t="e">
        <f>INDEX(Items!C$2:C$1032,MATCH($O475,Items!$A$2:$A$1032,0))</f>
        <v>#N/A</v>
      </c>
      <c r="R475" t="e">
        <f>INDEX(Items!D$2:D$1032,MATCH($O475,Items!$A$2:$A$1032,0))</f>
        <v>#N/A</v>
      </c>
    </row>
    <row r="476" spans="1:18" x14ac:dyDescent="0.25">
      <c r="A476">
        <f t="shared" si="37"/>
        <v>1</v>
      </c>
      <c r="B476" t="str">
        <f t="shared" si="38"/>
        <v/>
      </c>
      <c r="C476">
        <f t="shared" si="40"/>
        <v>1</v>
      </c>
      <c r="D476" s="4"/>
      <c r="E476" t="s">
        <v>18</v>
      </c>
      <c r="F476" t="str">
        <f>INDEX(Establishment!B$2:B$1005,MATCH($E476,Establishment!$A$2:$A$1005,0))</f>
        <v xml:space="preserve"> </v>
      </c>
      <c r="G476" t="str">
        <f>INDEX(Establishment!C$2:C$1005,MATCH($E476,Establishment!$A$2:$A$1005,0))</f>
        <v xml:space="preserve"> </v>
      </c>
      <c r="M476">
        <f t="shared" si="41"/>
        <v>0</v>
      </c>
      <c r="N476">
        <f t="shared" si="39"/>
        <v>0</v>
      </c>
      <c r="P476" t="e">
        <f>INDEX(Items!B$2:B$1032,MATCH($O476,Items!$A$2:$A$1032,0))</f>
        <v>#N/A</v>
      </c>
      <c r="Q476" t="e">
        <f>INDEX(Items!C$2:C$1032,MATCH($O476,Items!$A$2:$A$1032,0))</f>
        <v>#N/A</v>
      </c>
      <c r="R476" t="e">
        <f>INDEX(Items!D$2:D$1032,MATCH($O476,Items!$A$2:$A$1032,0))</f>
        <v>#N/A</v>
      </c>
    </row>
    <row r="477" spans="1:18" x14ac:dyDescent="0.25">
      <c r="A477">
        <f t="shared" si="37"/>
        <v>1</v>
      </c>
      <c r="B477" t="str">
        <f t="shared" si="38"/>
        <v/>
      </c>
      <c r="C477">
        <f t="shared" si="40"/>
        <v>1</v>
      </c>
      <c r="D477" s="4"/>
      <c r="E477" t="s">
        <v>18</v>
      </c>
      <c r="F477" t="str">
        <f>INDEX(Establishment!B$2:B$1005,MATCH($E477,Establishment!$A$2:$A$1005,0))</f>
        <v xml:space="preserve"> </v>
      </c>
      <c r="G477" t="str">
        <f>INDEX(Establishment!C$2:C$1005,MATCH($E477,Establishment!$A$2:$A$1005,0))</f>
        <v xml:space="preserve"> </v>
      </c>
      <c r="M477">
        <f t="shared" si="41"/>
        <v>0</v>
      </c>
      <c r="N477">
        <f t="shared" si="39"/>
        <v>0</v>
      </c>
      <c r="P477" t="e">
        <f>INDEX(Items!B$2:B$1032,MATCH($O477,Items!$A$2:$A$1032,0))</f>
        <v>#N/A</v>
      </c>
      <c r="Q477" t="e">
        <f>INDEX(Items!C$2:C$1032,MATCH($O477,Items!$A$2:$A$1032,0))</f>
        <v>#N/A</v>
      </c>
      <c r="R477" t="e">
        <f>INDEX(Items!D$2:D$1032,MATCH($O477,Items!$A$2:$A$1032,0))</f>
        <v>#N/A</v>
      </c>
    </row>
    <row r="478" spans="1:18" x14ac:dyDescent="0.25">
      <c r="A478">
        <f t="shared" si="37"/>
        <v>1</v>
      </c>
      <c r="B478" t="str">
        <f t="shared" si="38"/>
        <v/>
      </c>
      <c r="C478">
        <f t="shared" si="40"/>
        <v>1</v>
      </c>
      <c r="D478" s="4"/>
      <c r="E478" t="s">
        <v>18</v>
      </c>
      <c r="F478" t="str">
        <f>INDEX(Establishment!B$2:B$1005,MATCH($E478,Establishment!$A$2:$A$1005,0))</f>
        <v xml:space="preserve"> </v>
      </c>
      <c r="G478" t="str">
        <f>INDEX(Establishment!C$2:C$1005,MATCH($E478,Establishment!$A$2:$A$1005,0))</f>
        <v xml:space="preserve"> </v>
      </c>
      <c r="M478">
        <f t="shared" si="41"/>
        <v>0</v>
      </c>
      <c r="N478">
        <f t="shared" si="39"/>
        <v>0</v>
      </c>
      <c r="P478" t="e">
        <f>INDEX(Items!B$2:B$1032,MATCH($O478,Items!$A$2:$A$1032,0))</f>
        <v>#N/A</v>
      </c>
      <c r="Q478" t="e">
        <f>INDEX(Items!C$2:C$1032,MATCH($O478,Items!$A$2:$A$1032,0))</f>
        <v>#N/A</v>
      </c>
      <c r="R478" t="e">
        <f>INDEX(Items!D$2:D$1032,MATCH($O478,Items!$A$2:$A$1032,0))</f>
        <v>#N/A</v>
      </c>
    </row>
    <row r="479" spans="1:18" x14ac:dyDescent="0.25">
      <c r="A479">
        <f t="shared" si="37"/>
        <v>1</v>
      </c>
      <c r="B479" t="str">
        <f t="shared" si="38"/>
        <v/>
      </c>
      <c r="C479">
        <f t="shared" si="40"/>
        <v>1</v>
      </c>
      <c r="D479" s="4"/>
      <c r="E479" t="s">
        <v>18</v>
      </c>
      <c r="F479" t="str">
        <f>INDEX(Establishment!B$2:B$1005,MATCH($E479,Establishment!$A$2:$A$1005,0))</f>
        <v xml:space="preserve"> </v>
      </c>
      <c r="G479" t="str">
        <f>INDEX(Establishment!C$2:C$1005,MATCH($E479,Establishment!$A$2:$A$1005,0))</f>
        <v xml:space="preserve"> </v>
      </c>
      <c r="M479">
        <f t="shared" si="41"/>
        <v>0</v>
      </c>
      <c r="N479">
        <f t="shared" si="39"/>
        <v>0</v>
      </c>
      <c r="P479" t="e">
        <f>INDEX(Items!B$2:B$1032,MATCH($O479,Items!$A$2:$A$1032,0))</f>
        <v>#N/A</v>
      </c>
      <c r="Q479" t="e">
        <f>INDEX(Items!C$2:C$1032,MATCH($O479,Items!$A$2:$A$1032,0))</f>
        <v>#N/A</v>
      </c>
      <c r="R479" t="e">
        <f>INDEX(Items!D$2:D$1032,MATCH($O479,Items!$A$2:$A$1032,0))</f>
        <v>#N/A</v>
      </c>
    </row>
    <row r="480" spans="1:18" x14ac:dyDescent="0.25">
      <c r="A480">
        <f t="shared" si="37"/>
        <v>1</v>
      </c>
      <c r="B480" t="str">
        <f t="shared" si="38"/>
        <v/>
      </c>
      <c r="C480">
        <f t="shared" si="40"/>
        <v>1</v>
      </c>
      <c r="D480" s="4"/>
      <c r="E480" t="s">
        <v>18</v>
      </c>
      <c r="F480" t="str">
        <f>INDEX(Establishment!B$2:B$1005,MATCH($E480,Establishment!$A$2:$A$1005,0))</f>
        <v xml:space="preserve"> </v>
      </c>
      <c r="G480" t="str">
        <f>INDEX(Establishment!C$2:C$1005,MATCH($E480,Establishment!$A$2:$A$1005,0))</f>
        <v xml:space="preserve"> </v>
      </c>
      <c r="M480">
        <f t="shared" si="41"/>
        <v>0</v>
      </c>
      <c r="N480">
        <f t="shared" si="39"/>
        <v>0</v>
      </c>
      <c r="P480" t="e">
        <f>INDEX(Items!B$2:B$1032,MATCH($O480,Items!$A$2:$A$1032,0))</f>
        <v>#N/A</v>
      </c>
      <c r="Q480" t="e">
        <f>INDEX(Items!C$2:C$1032,MATCH($O480,Items!$A$2:$A$1032,0))</f>
        <v>#N/A</v>
      </c>
      <c r="R480" t="e">
        <f>INDEX(Items!D$2:D$1032,MATCH($O480,Items!$A$2:$A$1032,0))</f>
        <v>#N/A</v>
      </c>
    </row>
    <row r="481" spans="1:18" x14ac:dyDescent="0.25">
      <c r="A481">
        <f t="shared" si="37"/>
        <v>1</v>
      </c>
      <c r="B481" t="str">
        <f t="shared" si="38"/>
        <v/>
      </c>
      <c r="C481">
        <f t="shared" si="40"/>
        <v>1</v>
      </c>
      <c r="D481" s="4"/>
      <c r="E481" t="s">
        <v>18</v>
      </c>
      <c r="F481" t="str">
        <f>INDEX(Establishment!B$2:B$1005,MATCH($E481,Establishment!$A$2:$A$1005,0))</f>
        <v xml:space="preserve"> </v>
      </c>
      <c r="G481" t="str">
        <f>INDEX(Establishment!C$2:C$1005,MATCH($E481,Establishment!$A$2:$A$1005,0))</f>
        <v xml:space="preserve"> </v>
      </c>
      <c r="M481">
        <f t="shared" si="41"/>
        <v>0</v>
      </c>
      <c r="N481">
        <f t="shared" si="39"/>
        <v>0</v>
      </c>
      <c r="P481" t="e">
        <f>INDEX(Items!B$2:B$1032,MATCH($O481,Items!$A$2:$A$1032,0))</f>
        <v>#N/A</v>
      </c>
      <c r="Q481" t="e">
        <f>INDEX(Items!C$2:C$1032,MATCH($O481,Items!$A$2:$A$1032,0))</f>
        <v>#N/A</v>
      </c>
      <c r="R481" t="e">
        <f>INDEX(Items!D$2:D$1032,MATCH($O481,Items!$A$2:$A$1032,0))</f>
        <v>#N/A</v>
      </c>
    </row>
    <row r="482" spans="1:18" x14ac:dyDescent="0.25">
      <c r="A482">
        <f t="shared" si="37"/>
        <v>1</v>
      </c>
      <c r="B482" t="str">
        <f t="shared" si="38"/>
        <v/>
      </c>
      <c r="C482">
        <f t="shared" si="40"/>
        <v>1</v>
      </c>
      <c r="D482" s="4"/>
      <c r="E482" t="s">
        <v>18</v>
      </c>
      <c r="F482" t="str">
        <f>INDEX(Establishment!B$2:B$1005,MATCH($E482,Establishment!$A$2:$A$1005,0))</f>
        <v xml:space="preserve"> </v>
      </c>
      <c r="G482" t="str">
        <f>INDEX(Establishment!C$2:C$1005,MATCH($E482,Establishment!$A$2:$A$1005,0))</f>
        <v xml:space="preserve"> </v>
      </c>
      <c r="M482">
        <f t="shared" si="41"/>
        <v>0</v>
      </c>
      <c r="N482">
        <f t="shared" si="39"/>
        <v>0</v>
      </c>
      <c r="P482" t="e">
        <f>INDEX(Items!B$2:B$1032,MATCH($O482,Items!$A$2:$A$1032,0))</f>
        <v>#N/A</v>
      </c>
      <c r="Q482" t="e">
        <f>INDEX(Items!C$2:C$1032,MATCH($O482,Items!$A$2:$A$1032,0))</f>
        <v>#N/A</v>
      </c>
      <c r="R482" t="e">
        <f>INDEX(Items!D$2:D$1032,MATCH($O482,Items!$A$2:$A$1032,0))</f>
        <v>#N/A</v>
      </c>
    </row>
    <row r="483" spans="1:18" x14ac:dyDescent="0.25">
      <c r="A483">
        <f t="shared" si="37"/>
        <v>1</v>
      </c>
      <c r="B483" t="str">
        <f t="shared" si="38"/>
        <v/>
      </c>
      <c r="C483">
        <f t="shared" si="40"/>
        <v>1</v>
      </c>
      <c r="D483" s="4"/>
      <c r="E483" t="s">
        <v>18</v>
      </c>
      <c r="F483" t="str">
        <f>INDEX(Establishment!B$2:B$1005,MATCH($E483,Establishment!$A$2:$A$1005,0))</f>
        <v xml:space="preserve"> </v>
      </c>
      <c r="G483" t="str">
        <f>INDEX(Establishment!C$2:C$1005,MATCH($E483,Establishment!$A$2:$A$1005,0))</f>
        <v xml:space="preserve"> </v>
      </c>
      <c r="M483">
        <f t="shared" si="41"/>
        <v>0</v>
      </c>
      <c r="N483">
        <f t="shared" si="39"/>
        <v>0</v>
      </c>
      <c r="P483" t="e">
        <f>INDEX(Items!B$2:B$1032,MATCH($O483,Items!$A$2:$A$1032,0))</f>
        <v>#N/A</v>
      </c>
      <c r="Q483" t="e">
        <f>INDEX(Items!C$2:C$1032,MATCH($O483,Items!$A$2:$A$1032,0))</f>
        <v>#N/A</v>
      </c>
      <c r="R483" t="e">
        <f>INDEX(Items!D$2:D$1032,MATCH($O483,Items!$A$2:$A$1032,0))</f>
        <v>#N/A</v>
      </c>
    </row>
    <row r="484" spans="1:18" x14ac:dyDescent="0.25">
      <c r="A484">
        <f t="shared" si="37"/>
        <v>1</v>
      </c>
      <c r="B484" t="str">
        <f t="shared" si="38"/>
        <v/>
      </c>
      <c r="C484">
        <f t="shared" si="40"/>
        <v>1</v>
      </c>
      <c r="D484" s="4"/>
      <c r="E484" t="s">
        <v>18</v>
      </c>
      <c r="F484" t="str">
        <f>INDEX(Establishment!B$2:B$1005,MATCH($E484,Establishment!$A$2:$A$1005,0))</f>
        <v xml:space="preserve"> </v>
      </c>
      <c r="G484" t="str">
        <f>INDEX(Establishment!C$2:C$1005,MATCH($E484,Establishment!$A$2:$A$1005,0))</f>
        <v xml:space="preserve"> </v>
      </c>
      <c r="M484">
        <f t="shared" si="41"/>
        <v>0</v>
      </c>
      <c r="N484">
        <f t="shared" si="39"/>
        <v>0</v>
      </c>
      <c r="P484" t="e">
        <f>INDEX(Items!B$2:B$1032,MATCH($O484,Items!$A$2:$A$1032,0))</f>
        <v>#N/A</v>
      </c>
      <c r="Q484" t="e">
        <f>INDEX(Items!C$2:C$1032,MATCH($O484,Items!$A$2:$A$1032,0))</f>
        <v>#N/A</v>
      </c>
      <c r="R484" t="e">
        <f>INDEX(Items!D$2:D$1032,MATCH($O484,Items!$A$2:$A$1032,0))</f>
        <v>#N/A</v>
      </c>
    </row>
    <row r="485" spans="1:18" x14ac:dyDescent="0.25">
      <c r="A485">
        <f t="shared" si="37"/>
        <v>1</v>
      </c>
      <c r="B485" t="str">
        <f t="shared" si="38"/>
        <v/>
      </c>
      <c r="C485">
        <f t="shared" si="40"/>
        <v>1</v>
      </c>
      <c r="D485" s="4"/>
      <c r="E485" t="s">
        <v>18</v>
      </c>
      <c r="F485" t="str">
        <f>INDEX(Establishment!B$2:B$1005,MATCH($E485,Establishment!$A$2:$A$1005,0))</f>
        <v xml:space="preserve"> </v>
      </c>
      <c r="G485" t="str">
        <f>INDEX(Establishment!C$2:C$1005,MATCH($E485,Establishment!$A$2:$A$1005,0))</f>
        <v xml:space="preserve"> </v>
      </c>
      <c r="M485">
        <f t="shared" si="41"/>
        <v>0</v>
      </c>
      <c r="N485">
        <f t="shared" si="39"/>
        <v>0</v>
      </c>
      <c r="P485" t="e">
        <f>INDEX(Items!B$2:B$1032,MATCH($O485,Items!$A$2:$A$1032,0))</f>
        <v>#N/A</v>
      </c>
      <c r="Q485" t="e">
        <f>INDEX(Items!C$2:C$1032,MATCH($O485,Items!$A$2:$A$1032,0))</f>
        <v>#N/A</v>
      </c>
      <c r="R485" t="e">
        <f>INDEX(Items!D$2:D$1032,MATCH($O485,Items!$A$2:$A$1032,0))</f>
        <v>#N/A</v>
      </c>
    </row>
    <row r="486" spans="1:18" x14ac:dyDescent="0.25">
      <c r="A486">
        <f t="shared" si="37"/>
        <v>1</v>
      </c>
      <c r="B486" t="str">
        <f t="shared" si="38"/>
        <v/>
      </c>
      <c r="C486">
        <f t="shared" si="40"/>
        <v>1</v>
      </c>
      <c r="D486" s="4"/>
      <c r="E486" t="s">
        <v>18</v>
      </c>
      <c r="F486" t="str">
        <f>INDEX(Establishment!B$2:B$1005,MATCH($E486,Establishment!$A$2:$A$1005,0))</f>
        <v xml:space="preserve"> </v>
      </c>
      <c r="G486" t="str">
        <f>INDEX(Establishment!C$2:C$1005,MATCH($E486,Establishment!$A$2:$A$1005,0))</f>
        <v xml:space="preserve"> </v>
      </c>
      <c r="M486">
        <f t="shared" si="41"/>
        <v>0</v>
      </c>
      <c r="N486">
        <f t="shared" si="39"/>
        <v>0</v>
      </c>
      <c r="P486" t="e">
        <f>INDEX(Items!B$2:B$1032,MATCH($O486,Items!$A$2:$A$1032,0))</f>
        <v>#N/A</v>
      </c>
      <c r="Q486" t="e">
        <f>INDEX(Items!C$2:C$1032,MATCH($O486,Items!$A$2:$A$1032,0))</f>
        <v>#N/A</v>
      </c>
      <c r="R486" t="e">
        <f>INDEX(Items!D$2:D$1032,MATCH($O486,Items!$A$2:$A$1032,0))</f>
        <v>#N/A</v>
      </c>
    </row>
    <row r="487" spans="1:18" x14ac:dyDescent="0.25">
      <c r="A487">
        <f t="shared" si="37"/>
        <v>1</v>
      </c>
      <c r="B487" t="str">
        <f t="shared" si="38"/>
        <v/>
      </c>
      <c r="C487">
        <f t="shared" si="40"/>
        <v>1</v>
      </c>
      <c r="D487" s="4"/>
      <c r="E487" t="s">
        <v>18</v>
      </c>
      <c r="F487" t="str">
        <f>INDEX(Establishment!B$2:B$1005,MATCH($E487,Establishment!$A$2:$A$1005,0))</f>
        <v xml:space="preserve"> </v>
      </c>
      <c r="G487" t="str">
        <f>INDEX(Establishment!C$2:C$1005,MATCH($E487,Establishment!$A$2:$A$1005,0))</f>
        <v xml:space="preserve"> </v>
      </c>
      <c r="M487">
        <f t="shared" si="41"/>
        <v>0</v>
      </c>
      <c r="N487">
        <f t="shared" si="39"/>
        <v>0</v>
      </c>
      <c r="P487" t="e">
        <f>INDEX(Items!B$2:B$1032,MATCH($O487,Items!$A$2:$A$1032,0))</f>
        <v>#N/A</v>
      </c>
      <c r="Q487" t="e">
        <f>INDEX(Items!C$2:C$1032,MATCH($O487,Items!$A$2:$A$1032,0))</f>
        <v>#N/A</v>
      </c>
      <c r="R487" t="e">
        <f>INDEX(Items!D$2:D$1032,MATCH($O487,Items!$A$2:$A$1032,0))</f>
        <v>#N/A</v>
      </c>
    </row>
    <row r="488" spans="1:18" x14ac:dyDescent="0.25">
      <c r="A488">
        <f t="shared" si="37"/>
        <v>1</v>
      </c>
      <c r="B488" t="str">
        <f t="shared" si="38"/>
        <v/>
      </c>
      <c r="C488">
        <f t="shared" si="40"/>
        <v>1</v>
      </c>
      <c r="D488" s="4"/>
      <c r="E488" t="s">
        <v>18</v>
      </c>
      <c r="F488" t="str">
        <f>INDEX(Establishment!B$2:B$1005,MATCH($E488,Establishment!$A$2:$A$1005,0))</f>
        <v xml:space="preserve"> </v>
      </c>
      <c r="G488" t="str">
        <f>INDEX(Establishment!C$2:C$1005,MATCH($E488,Establishment!$A$2:$A$1005,0))</f>
        <v xml:space="preserve"> </v>
      </c>
      <c r="M488">
        <f t="shared" si="41"/>
        <v>0</v>
      </c>
      <c r="N488">
        <f t="shared" si="39"/>
        <v>0</v>
      </c>
      <c r="P488" t="e">
        <f>INDEX(Items!B$2:B$1032,MATCH($O488,Items!$A$2:$A$1032,0))</f>
        <v>#N/A</v>
      </c>
      <c r="Q488" t="e">
        <f>INDEX(Items!C$2:C$1032,MATCH($O488,Items!$A$2:$A$1032,0))</f>
        <v>#N/A</v>
      </c>
      <c r="R488" t="e">
        <f>INDEX(Items!D$2:D$1032,MATCH($O488,Items!$A$2:$A$1032,0))</f>
        <v>#N/A</v>
      </c>
    </row>
    <row r="489" spans="1:18" x14ac:dyDescent="0.25">
      <c r="A489">
        <f t="shared" si="37"/>
        <v>1</v>
      </c>
      <c r="B489" t="str">
        <f t="shared" si="38"/>
        <v/>
      </c>
      <c r="C489">
        <f t="shared" si="40"/>
        <v>1</v>
      </c>
      <c r="D489" s="4"/>
      <c r="E489" t="s">
        <v>18</v>
      </c>
      <c r="F489" t="str">
        <f>INDEX(Establishment!B$2:B$1005,MATCH($E489,Establishment!$A$2:$A$1005,0))</f>
        <v xml:space="preserve"> </v>
      </c>
      <c r="G489" t="str">
        <f>INDEX(Establishment!C$2:C$1005,MATCH($E489,Establishment!$A$2:$A$1005,0))</f>
        <v xml:space="preserve"> </v>
      </c>
      <c r="M489">
        <f t="shared" si="41"/>
        <v>0</v>
      </c>
      <c r="N489">
        <f t="shared" si="39"/>
        <v>0</v>
      </c>
      <c r="P489" t="e">
        <f>INDEX(Items!B$2:B$1032,MATCH($O489,Items!$A$2:$A$1032,0))</f>
        <v>#N/A</v>
      </c>
      <c r="Q489" t="e">
        <f>INDEX(Items!C$2:C$1032,MATCH($O489,Items!$A$2:$A$1032,0))</f>
        <v>#N/A</v>
      </c>
      <c r="R489" t="e">
        <f>INDEX(Items!D$2:D$1032,MATCH($O489,Items!$A$2:$A$1032,0))</f>
        <v>#N/A</v>
      </c>
    </row>
    <row r="490" spans="1:18" x14ac:dyDescent="0.25">
      <c r="A490">
        <f t="shared" si="37"/>
        <v>1</v>
      </c>
      <c r="B490" t="str">
        <f t="shared" si="38"/>
        <v/>
      </c>
      <c r="C490">
        <f t="shared" si="40"/>
        <v>1</v>
      </c>
      <c r="D490" s="4"/>
      <c r="E490" t="s">
        <v>18</v>
      </c>
      <c r="F490" t="str">
        <f>INDEX(Establishment!B$2:B$1005,MATCH($E490,Establishment!$A$2:$A$1005,0))</f>
        <v xml:space="preserve"> </v>
      </c>
      <c r="G490" t="str">
        <f>INDEX(Establishment!C$2:C$1005,MATCH($E490,Establishment!$A$2:$A$1005,0))</f>
        <v xml:space="preserve"> </v>
      </c>
      <c r="M490">
        <f t="shared" si="41"/>
        <v>0</v>
      </c>
      <c r="N490">
        <f t="shared" si="39"/>
        <v>0</v>
      </c>
      <c r="P490" t="e">
        <f>INDEX(Items!B$2:B$1032,MATCH($O490,Items!$A$2:$A$1032,0))</f>
        <v>#N/A</v>
      </c>
      <c r="Q490" t="e">
        <f>INDEX(Items!C$2:C$1032,MATCH($O490,Items!$A$2:$A$1032,0))</f>
        <v>#N/A</v>
      </c>
      <c r="R490" t="e">
        <f>INDEX(Items!D$2:D$1032,MATCH($O490,Items!$A$2:$A$1032,0))</f>
        <v>#N/A</v>
      </c>
    </row>
    <row r="491" spans="1:18" x14ac:dyDescent="0.25">
      <c r="A491">
        <f t="shared" si="37"/>
        <v>1</v>
      </c>
      <c r="B491" t="str">
        <f t="shared" si="38"/>
        <v/>
      </c>
      <c r="C491">
        <f t="shared" si="40"/>
        <v>1</v>
      </c>
      <c r="D491" s="4"/>
      <c r="E491" t="s">
        <v>18</v>
      </c>
      <c r="F491" t="str">
        <f>INDEX(Establishment!B$2:B$1005,MATCH($E491,Establishment!$A$2:$A$1005,0))</f>
        <v xml:space="preserve"> </v>
      </c>
      <c r="G491" t="str">
        <f>INDEX(Establishment!C$2:C$1005,MATCH($E491,Establishment!$A$2:$A$1005,0))</f>
        <v xml:space="preserve"> </v>
      </c>
      <c r="M491">
        <f t="shared" si="41"/>
        <v>0</v>
      </c>
      <c r="N491">
        <f t="shared" si="39"/>
        <v>0</v>
      </c>
      <c r="P491" t="e">
        <f>INDEX(Items!B$2:B$1032,MATCH($O491,Items!$A$2:$A$1032,0))</f>
        <v>#N/A</v>
      </c>
      <c r="Q491" t="e">
        <f>INDEX(Items!C$2:C$1032,MATCH($O491,Items!$A$2:$A$1032,0))</f>
        <v>#N/A</v>
      </c>
      <c r="R491" t="e">
        <f>INDEX(Items!D$2:D$1032,MATCH($O491,Items!$A$2:$A$1032,0))</f>
        <v>#N/A</v>
      </c>
    </row>
    <row r="492" spans="1:18" x14ac:dyDescent="0.25">
      <c r="A492">
        <f t="shared" si="37"/>
        <v>1</v>
      </c>
      <c r="B492" t="str">
        <f t="shared" si="38"/>
        <v/>
      </c>
      <c r="C492">
        <f t="shared" si="40"/>
        <v>1</v>
      </c>
      <c r="D492" s="4"/>
      <c r="E492" t="s">
        <v>18</v>
      </c>
      <c r="F492" t="str">
        <f>INDEX(Establishment!B$2:B$1005,MATCH($E492,Establishment!$A$2:$A$1005,0))</f>
        <v xml:space="preserve"> </v>
      </c>
      <c r="G492" t="str">
        <f>INDEX(Establishment!C$2:C$1005,MATCH($E492,Establishment!$A$2:$A$1005,0))</f>
        <v xml:space="preserve"> </v>
      </c>
      <c r="M492">
        <f t="shared" si="41"/>
        <v>0</v>
      </c>
      <c r="N492">
        <f t="shared" si="39"/>
        <v>0</v>
      </c>
      <c r="P492" t="e">
        <f>INDEX(Items!B$2:B$1032,MATCH($O492,Items!$A$2:$A$1032,0))</f>
        <v>#N/A</v>
      </c>
      <c r="Q492" t="e">
        <f>INDEX(Items!C$2:C$1032,MATCH($O492,Items!$A$2:$A$1032,0))</f>
        <v>#N/A</v>
      </c>
      <c r="R492" t="e">
        <f>INDEX(Items!D$2:D$1032,MATCH($O492,Items!$A$2:$A$1032,0))</f>
        <v>#N/A</v>
      </c>
    </row>
    <row r="493" spans="1:18" x14ac:dyDescent="0.25">
      <c r="A493">
        <f t="shared" si="37"/>
        <v>1</v>
      </c>
      <c r="B493" t="str">
        <f t="shared" si="38"/>
        <v/>
      </c>
      <c r="C493">
        <f t="shared" si="40"/>
        <v>1</v>
      </c>
      <c r="D493" s="4"/>
      <c r="E493" t="s">
        <v>18</v>
      </c>
      <c r="F493" t="str">
        <f>INDEX(Establishment!B$2:B$1005,MATCH($E493,Establishment!$A$2:$A$1005,0))</f>
        <v xml:space="preserve"> </v>
      </c>
      <c r="G493" t="str">
        <f>INDEX(Establishment!C$2:C$1005,MATCH($E493,Establishment!$A$2:$A$1005,0))</f>
        <v xml:space="preserve"> </v>
      </c>
      <c r="M493">
        <f t="shared" si="41"/>
        <v>0</v>
      </c>
      <c r="N493">
        <f t="shared" si="39"/>
        <v>0</v>
      </c>
      <c r="P493" t="e">
        <f>INDEX(Items!B$2:B$1032,MATCH($O493,Items!$A$2:$A$1032,0))</f>
        <v>#N/A</v>
      </c>
      <c r="Q493" t="e">
        <f>INDEX(Items!C$2:C$1032,MATCH($O493,Items!$A$2:$A$1032,0))</f>
        <v>#N/A</v>
      </c>
      <c r="R493" t="e">
        <f>INDEX(Items!D$2:D$1032,MATCH($O493,Items!$A$2:$A$1032,0))</f>
        <v>#N/A</v>
      </c>
    </row>
    <row r="494" spans="1:18" x14ac:dyDescent="0.25">
      <c r="A494">
        <f t="shared" si="37"/>
        <v>1</v>
      </c>
      <c r="B494" t="str">
        <f t="shared" si="38"/>
        <v/>
      </c>
      <c r="C494">
        <f t="shared" si="40"/>
        <v>1</v>
      </c>
      <c r="D494" s="4"/>
      <c r="E494" t="s">
        <v>18</v>
      </c>
      <c r="F494" t="str">
        <f>INDEX(Establishment!B$2:B$1005,MATCH($E494,Establishment!$A$2:$A$1005,0))</f>
        <v xml:space="preserve"> </v>
      </c>
      <c r="G494" t="str">
        <f>INDEX(Establishment!C$2:C$1005,MATCH($E494,Establishment!$A$2:$A$1005,0))</f>
        <v xml:space="preserve"> </v>
      </c>
      <c r="M494">
        <f t="shared" si="41"/>
        <v>0</v>
      </c>
      <c r="N494">
        <f t="shared" si="39"/>
        <v>0</v>
      </c>
      <c r="P494" t="e">
        <f>INDEX(Items!B$2:B$1032,MATCH($O494,Items!$A$2:$A$1032,0))</f>
        <v>#N/A</v>
      </c>
      <c r="Q494" t="e">
        <f>INDEX(Items!C$2:C$1032,MATCH($O494,Items!$A$2:$A$1032,0))</f>
        <v>#N/A</v>
      </c>
      <c r="R494" t="e">
        <f>INDEX(Items!D$2:D$1032,MATCH($O494,Items!$A$2:$A$1032,0))</f>
        <v>#N/A</v>
      </c>
    </row>
    <row r="495" spans="1:18" x14ac:dyDescent="0.25">
      <c r="A495">
        <f t="shared" si="37"/>
        <v>1</v>
      </c>
      <c r="B495" t="str">
        <f t="shared" si="38"/>
        <v/>
      </c>
      <c r="C495">
        <f t="shared" si="40"/>
        <v>1</v>
      </c>
      <c r="D495" s="4"/>
      <c r="E495" t="s">
        <v>18</v>
      </c>
      <c r="F495" t="str">
        <f>INDEX(Establishment!B$2:B$1005,MATCH($E495,Establishment!$A$2:$A$1005,0))</f>
        <v xml:space="preserve"> </v>
      </c>
      <c r="G495" t="str">
        <f>INDEX(Establishment!C$2:C$1005,MATCH($E495,Establishment!$A$2:$A$1005,0))</f>
        <v xml:space="preserve"> </v>
      </c>
      <c r="M495">
        <f t="shared" si="41"/>
        <v>0</v>
      </c>
      <c r="N495">
        <f t="shared" si="39"/>
        <v>0</v>
      </c>
      <c r="P495" t="e">
        <f>INDEX(Items!B$2:B$1032,MATCH($O495,Items!$A$2:$A$1032,0))</f>
        <v>#N/A</v>
      </c>
      <c r="Q495" t="e">
        <f>INDEX(Items!C$2:C$1032,MATCH($O495,Items!$A$2:$A$1032,0))</f>
        <v>#N/A</v>
      </c>
      <c r="R495" t="e">
        <f>INDEX(Items!D$2:D$1032,MATCH($O495,Items!$A$2:$A$1032,0))</f>
        <v>#N/A</v>
      </c>
    </row>
    <row r="496" spans="1:18" x14ac:dyDescent="0.25">
      <c r="A496">
        <f t="shared" si="37"/>
        <v>1</v>
      </c>
      <c r="B496" t="str">
        <f t="shared" si="38"/>
        <v/>
      </c>
      <c r="C496">
        <f t="shared" si="40"/>
        <v>1</v>
      </c>
      <c r="D496" s="4"/>
      <c r="E496" t="s">
        <v>18</v>
      </c>
      <c r="F496" t="str">
        <f>INDEX(Establishment!B$2:B$1005,MATCH($E496,Establishment!$A$2:$A$1005,0))</f>
        <v xml:space="preserve"> </v>
      </c>
      <c r="G496" t="str">
        <f>INDEX(Establishment!C$2:C$1005,MATCH($E496,Establishment!$A$2:$A$1005,0))</f>
        <v xml:space="preserve"> </v>
      </c>
      <c r="M496">
        <f t="shared" si="41"/>
        <v>0</v>
      </c>
      <c r="N496">
        <f t="shared" si="39"/>
        <v>0</v>
      </c>
      <c r="P496" t="e">
        <f>INDEX(Items!B$2:B$1032,MATCH($O496,Items!$A$2:$A$1032,0))</f>
        <v>#N/A</v>
      </c>
      <c r="Q496" t="e">
        <f>INDEX(Items!C$2:C$1032,MATCH($O496,Items!$A$2:$A$1032,0))</f>
        <v>#N/A</v>
      </c>
      <c r="R496" t="e">
        <f>INDEX(Items!D$2:D$1032,MATCH($O496,Items!$A$2:$A$1032,0))</f>
        <v>#N/A</v>
      </c>
    </row>
    <row r="497" spans="1:18" x14ac:dyDescent="0.25">
      <c r="A497">
        <f t="shared" si="37"/>
        <v>1</v>
      </c>
      <c r="B497" t="str">
        <f t="shared" si="38"/>
        <v/>
      </c>
      <c r="C497">
        <f t="shared" si="40"/>
        <v>1</v>
      </c>
      <c r="D497" s="4"/>
      <c r="E497" t="s">
        <v>18</v>
      </c>
      <c r="F497" t="str">
        <f>INDEX(Establishment!B$2:B$1005,MATCH($E497,Establishment!$A$2:$A$1005,0))</f>
        <v xml:space="preserve"> </v>
      </c>
      <c r="G497" t="str">
        <f>INDEX(Establishment!C$2:C$1005,MATCH($E497,Establishment!$A$2:$A$1005,0))</f>
        <v xml:space="preserve"> </v>
      </c>
      <c r="M497">
        <f t="shared" si="41"/>
        <v>0</v>
      </c>
      <c r="N497">
        <f t="shared" si="39"/>
        <v>0</v>
      </c>
      <c r="P497" t="e">
        <f>INDEX(Items!B$2:B$1032,MATCH($O497,Items!$A$2:$A$1032,0))</f>
        <v>#N/A</v>
      </c>
      <c r="Q497" t="e">
        <f>INDEX(Items!C$2:C$1032,MATCH($O497,Items!$A$2:$A$1032,0))</f>
        <v>#N/A</v>
      </c>
      <c r="R497" t="e">
        <f>INDEX(Items!D$2:D$1032,MATCH($O497,Items!$A$2:$A$1032,0))</f>
        <v>#N/A</v>
      </c>
    </row>
    <row r="498" spans="1:18" x14ac:dyDescent="0.25">
      <c r="A498">
        <f t="shared" si="37"/>
        <v>1</v>
      </c>
      <c r="B498" t="str">
        <f t="shared" si="38"/>
        <v/>
      </c>
      <c r="C498">
        <f t="shared" si="40"/>
        <v>1</v>
      </c>
      <c r="D498" s="4"/>
      <c r="E498" t="s">
        <v>18</v>
      </c>
      <c r="F498" t="str">
        <f>INDEX(Establishment!B$2:B$1005,MATCH($E498,Establishment!$A$2:$A$1005,0))</f>
        <v xml:space="preserve"> </v>
      </c>
      <c r="G498" t="str">
        <f>INDEX(Establishment!C$2:C$1005,MATCH($E498,Establishment!$A$2:$A$1005,0))</f>
        <v xml:space="preserve"> </v>
      </c>
      <c r="M498">
        <f t="shared" si="41"/>
        <v>0</v>
      </c>
      <c r="N498">
        <f t="shared" si="39"/>
        <v>0</v>
      </c>
      <c r="P498" t="e">
        <f>INDEX(Items!B$2:B$1032,MATCH($O498,Items!$A$2:$A$1032,0))</f>
        <v>#N/A</v>
      </c>
      <c r="Q498" t="e">
        <f>INDEX(Items!C$2:C$1032,MATCH($O498,Items!$A$2:$A$1032,0))</f>
        <v>#N/A</v>
      </c>
      <c r="R498" t="e">
        <f>INDEX(Items!D$2:D$1032,MATCH($O498,Items!$A$2:$A$1032,0))</f>
        <v>#N/A</v>
      </c>
    </row>
    <row r="499" spans="1:18" x14ac:dyDescent="0.25">
      <c r="A499">
        <f t="shared" si="37"/>
        <v>1</v>
      </c>
      <c r="B499" t="str">
        <f t="shared" si="38"/>
        <v/>
      </c>
      <c r="C499">
        <f t="shared" si="40"/>
        <v>1</v>
      </c>
      <c r="D499" s="4"/>
      <c r="E499" t="s">
        <v>18</v>
      </c>
      <c r="F499" t="str">
        <f>INDEX(Establishment!B$2:B$1005,MATCH($E499,Establishment!$A$2:$A$1005,0))</f>
        <v xml:space="preserve"> </v>
      </c>
      <c r="G499" t="str">
        <f>INDEX(Establishment!C$2:C$1005,MATCH($E499,Establishment!$A$2:$A$1005,0))</f>
        <v xml:space="preserve"> </v>
      </c>
      <c r="M499">
        <f t="shared" si="41"/>
        <v>0</v>
      </c>
      <c r="N499">
        <f t="shared" si="39"/>
        <v>0</v>
      </c>
      <c r="P499" t="e">
        <f>INDEX(Items!B$2:B$1032,MATCH($O499,Items!$A$2:$A$1032,0))</f>
        <v>#N/A</v>
      </c>
      <c r="Q499" t="e">
        <f>INDEX(Items!C$2:C$1032,MATCH($O499,Items!$A$2:$A$1032,0))</f>
        <v>#N/A</v>
      </c>
      <c r="R499" t="e">
        <f>INDEX(Items!D$2:D$1032,MATCH($O499,Items!$A$2:$A$1032,0))</f>
        <v>#N/A</v>
      </c>
    </row>
  </sheetData>
  <autoFilter ref="A1:S499" xr:uid="{5F0E76B2-0B92-47EE-AE22-5D9D037037E9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6E40151A-68CB-4EB6-9F53-D49AC265E002}">
          <x14:formula1>
            <xm:f>Misc!$A$2:$A$8</xm:f>
          </x14:formula1>
          <xm:sqref>H1:H1048576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642D4-1BFA-410D-B188-5C2B38512C9A}">
  <dimension ref="A1:S499"/>
  <sheetViews>
    <sheetView zoomScale="145" zoomScaleNormal="145" workbookViewId="0">
      <pane xSplit="5" ySplit="1" topLeftCell="F2" activePane="bottomRight" state="frozen"/>
      <selection pane="topRight"/>
      <selection pane="bottomLeft"/>
      <selection pane="bottomRight" activeCell="I22" sqref="I22"/>
    </sheetView>
  </sheetViews>
  <sheetFormatPr defaultRowHeight="15" x14ac:dyDescent="0.25"/>
  <cols>
    <col min="1" max="1" width="8.42578125" bestFit="1" customWidth="1"/>
    <col min="2" max="2" width="11.140625" bestFit="1" customWidth="1"/>
    <col min="3" max="3" width="11.140625" customWidth="1"/>
    <col min="4" max="4" width="10.7109375" bestFit="1" customWidth="1"/>
    <col min="5" max="5" width="21.140625" bestFit="1" customWidth="1"/>
    <col min="6" max="6" width="13.7109375" bestFit="1" customWidth="1"/>
    <col min="7" max="7" width="9.7109375" bestFit="1" customWidth="1"/>
    <col min="8" max="8" width="13.7109375" bestFit="1" customWidth="1"/>
    <col min="9" max="9" width="8.140625" bestFit="1" customWidth="1"/>
    <col min="10" max="10" width="18.5703125" bestFit="1" customWidth="1"/>
    <col min="11" max="11" width="8.7109375" bestFit="1" customWidth="1"/>
    <col min="12" max="12" width="9.5703125" bestFit="1" customWidth="1"/>
    <col min="13" max="13" width="8.140625" bestFit="1" customWidth="1"/>
    <col min="14" max="14" width="11.140625" bestFit="1" customWidth="1"/>
    <col min="15" max="15" width="25.7109375" bestFit="1" customWidth="1"/>
    <col min="16" max="16" width="6.140625" bestFit="1" customWidth="1"/>
    <col min="17" max="17" width="12.7109375" bestFit="1" customWidth="1"/>
    <col min="18" max="18" width="7.140625" bestFit="1" customWidth="1"/>
  </cols>
  <sheetData>
    <row r="1" spans="1:19" ht="30" x14ac:dyDescent="0.25">
      <c r="A1" t="s">
        <v>0</v>
      </c>
      <c r="B1" s="2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f t="shared" ref="A2:A65" si="0">IF(OR(D2&lt;&gt;D1,D2=""),1,IF(NOT(AND(E2=E1,F2=F1,G2=G1)),A1+1,IF(OR(H2="",AND(H2&lt;&gt;"",H2&lt;&gt;H1,H1&lt;&gt;"")),A1,A1+1)))</f>
        <v>1</v>
      </c>
      <c r="B2" t="str">
        <f t="shared" ref="B2:B65" si="1">IF(D2&lt;&gt;"",TEXT(D2,"YYYYMMDD")&amp;CHAR(64+A2),"")</f>
        <v/>
      </c>
      <c r="C2">
        <f t="shared" ref="C2:C6" si="2">IF(OR(B2="",B2&lt;&gt;B10),1,C10+1)</f>
        <v>1</v>
      </c>
      <c r="D2" s="4"/>
      <c r="F2" t="e">
        <f>INDEX(Establishment!B$2:B$1005,MATCH($E2,Establishment!$A$2:$A$1005,0))</f>
        <v>#N/A</v>
      </c>
      <c r="G2" t="e">
        <f>INDEX(Establishment!C$2:C$1005,MATCH($E2,Establishment!$A$2:$A$1005,0))</f>
        <v>#N/A</v>
      </c>
      <c r="M2">
        <f t="shared" ref="M2:M6" si="3">K2*L2</f>
        <v>0</v>
      </c>
      <c r="N2">
        <f>IF(B2=B1,N1+M2,M2)</f>
        <v>0</v>
      </c>
      <c r="P2" t="e">
        <f>INDEX(Items!B$2:B$1032,MATCH($O2,Items!$A$2:$A$1032,0))</f>
        <v>#N/A</v>
      </c>
      <c r="Q2" t="e">
        <f>INDEX(Items!C$2:C$1032,MATCH($O2,Items!$A$2:$A$1032,0))</f>
        <v>#N/A</v>
      </c>
      <c r="R2" t="e">
        <f>INDEX(Items!D$2:D$1032,MATCH($O2,Items!$A$2:$A$1032,0))</f>
        <v>#N/A</v>
      </c>
    </row>
    <row r="3" spans="1:19" x14ac:dyDescent="0.25">
      <c r="A3">
        <f t="shared" si="0"/>
        <v>1</v>
      </c>
      <c r="B3" t="str">
        <f t="shared" si="1"/>
        <v/>
      </c>
      <c r="C3">
        <f t="shared" si="2"/>
        <v>1</v>
      </c>
      <c r="D3" s="4"/>
      <c r="F3" t="e">
        <f>INDEX(Establishment!B$2:B$1005,MATCH($E3,Establishment!$A$2:$A$1005,0))</f>
        <v>#N/A</v>
      </c>
      <c r="G3" t="e">
        <f>INDEX(Establishment!C$2:C$1005,MATCH($E3,Establishment!$A$2:$A$1005,0))</f>
        <v>#N/A</v>
      </c>
      <c r="M3">
        <f t="shared" si="3"/>
        <v>0</v>
      </c>
      <c r="N3">
        <f t="shared" ref="N3:N66" si="4">IF(B3=B2,N2+M3,M3)</f>
        <v>0</v>
      </c>
      <c r="P3" t="e">
        <f>INDEX(Items!B$2:B$1032,MATCH($O3,Items!$A$2:$A$1032,0))</f>
        <v>#N/A</v>
      </c>
      <c r="Q3" t="e">
        <f>INDEX(Items!C$2:C$1032,MATCH($O3,Items!$A$2:$A$1032,0))</f>
        <v>#N/A</v>
      </c>
      <c r="R3" t="e">
        <f>INDEX(Items!D$2:D$1032,MATCH($O3,Items!$A$2:$A$1032,0))</f>
        <v>#N/A</v>
      </c>
    </row>
    <row r="4" spans="1:19" x14ac:dyDescent="0.25">
      <c r="A4">
        <f t="shared" si="0"/>
        <v>1</v>
      </c>
      <c r="B4" t="str">
        <f t="shared" si="1"/>
        <v/>
      </c>
      <c r="C4">
        <f t="shared" si="2"/>
        <v>1</v>
      </c>
      <c r="D4" s="4"/>
      <c r="F4" t="e">
        <f>INDEX(Establishment!B$2:B$1005,MATCH($E4,Establishment!$A$2:$A$1005,0))</f>
        <v>#N/A</v>
      </c>
      <c r="G4" t="e">
        <f>INDEX(Establishment!C$2:C$1005,MATCH($E4,Establishment!$A$2:$A$1005,0))</f>
        <v>#N/A</v>
      </c>
      <c r="M4">
        <f t="shared" si="3"/>
        <v>0</v>
      </c>
      <c r="N4">
        <f t="shared" si="4"/>
        <v>0</v>
      </c>
      <c r="P4" t="e">
        <f>INDEX(Items!B$2:B$1032,MATCH($O4,Items!$A$2:$A$1032,0))</f>
        <v>#N/A</v>
      </c>
      <c r="Q4" t="e">
        <f>INDEX(Items!C$2:C$1032,MATCH($O4,Items!$A$2:$A$1032,0))</f>
        <v>#N/A</v>
      </c>
      <c r="R4" t="e">
        <f>INDEX(Items!D$2:D$1032,MATCH($O4,Items!$A$2:$A$1032,0))</f>
        <v>#N/A</v>
      </c>
    </row>
    <row r="5" spans="1:19" x14ac:dyDescent="0.25">
      <c r="A5">
        <f t="shared" si="0"/>
        <v>1</v>
      </c>
      <c r="B5" t="str">
        <f t="shared" si="1"/>
        <v/>
      </c>
      <c r="C5">
        <f t="shared" si="2"/>
        <v>1</v>
      </c>
      <c r="D5" s="4"/>
      <c r="F5" t="e">
        <f>INDEX(Establishment!B$2:B$1005,MATCH($E5,Establishment!$A$2:$A$1005,0))</f>
        <v>#N/A</v>
      </c>
      <c r="G5" t="e">
        <f>INDEX(Establishment!C$2:C$1005,MATCH($E5,Establishment!$A$2:$A$1005,0))</f>
        <v>#N/A</v>
      </c>
      <c r="M5">
        <f t="shared" si="3"/>
        <v>0</v>
      </c>
      <c r="N5">
        <f t="shared" si="4"/>
        <v>0</v>
      </c>
      <c r="P5" t="e">
        <f>INDEX(Items!B$2:B$1032,MATCH($O5,Items!$A$2:$A$1032,0))</f>
        <v>#N/A</v>
      </c>
      <c r="Q5" t="e">
        <f>INDEX(Items!C$2:C$1032,MATCH($O5,Items!$A$2:$A$1032,0))</f>
        <v>#N/A</v>
      </c>
      <c r="R5" t="e">
        <f>INDEX(Items!D$2:D$1032,MATCH($O5,Items!$A$2:$A$1032,0))</f>
        <v>#N/A</v>
      </c>
    </row>
    <row r="6" spans="1:19" x14ac:dyDescent="0.25">
      <c r="A6">
        <f t="shared" si="0"/>
        <v>1</v>
      </c>
      <c r="B6" t="str">
        <f t="shared" si="1"/>
        <v/>
      </c>
      <c r="C6">
        <f t="shared" si="2"/>
        <v>1</v>
      </c>
      <c r="D6" s="4"/>
      <c r="F6" t="e">
        <f>INDEX(Establishment!B$2:B$1005,MATCH($E6,Establishment!$A$2:$A$1005,0))</f>
        <v>#N/A</v>
      </c>
      <c r="G6" t="e">
        <f>INDEX(Establishment!C$2:C$1005,MATCH($E6,Establishment!$A$2:$A$1005,0))</f>
        <v>#N/A</v>
      </c>
      <c r="M6">
        <f t="shared" si="3"/>
        <v>0</v>
      </c>
      <c r="N6">
        <f t="shared" si="4"/>
        <v>0</v>
      </c>
      <c r="P6" t="e">
        <f>INDEX(Items!B$2:B$1032,MATCH($O6,Items!$A$2:$A$1032,0))</f>
        <v>#N/A</v>
      </c>
      <c r="Q6" t="e">
        <f>INDEX(Items!C$2:C$1032,MATCH($O6,Items!$A$2:$A$1032,0))</f>
        <v>#N/A</v>
      </c>
      <c r="R6" t="e">
        <f>INDEX(Items!D$2:D$1032,MATCH($O6,Items!$A$2:$A$1032,0))</f>
        <v>#N/A</v>
      </c>
    </row>
    <row r="7" spans="1:19" x14ac:dyDescent="0.25">
      <c r="A7">
        <f t="shared" si="0"/>
        <v>1</v>
      </c>
      <c r="B7" t="str">
        <f t="shared" si="1"/>
        <v/>
      </c>
      <c r="C7">
        <f>IF(OR(B7="",B7&lt;&gt;B15),1,C15+1)</f>
        <v>1</v>
      </c>
      <c r="D7" s="4"/>
      <c r="F7" t="e">
        <f>INDEX(Establishment!B$2:B$1005,MATCH($E7,Establishment!$A$2:$A$1005,0))</f>
        <v>#N/A</v>
      </c>
      <c r="G7" t="e">
        <f>INDEX(Establishment!C$2:C$1005,MATCH($E7,Establishment!$A$2:$A$1005,0))</f>
        <v>#N/A</v>
      </c>
      <c r="M7">
        <f>K7*L7</f>
        <v>0</v>
      </c>
      <c r="N7">
        <f t="shared" si="4"/>
        <v>0</v>
      </c>
      <c r="P7" t="e">
        <f>INDEX(Items!B$2:B$1032,MATCH($O7,Items!$A$2:$A$1032,0))</f>
        <v>#N/A</v>
      </c>
      <c r="Q7" t="e">
        <f>INDEX(Items!C$2:C$1032,MATCH($O7,Items!$A$2:$A$1032,0))</f>
        <v>#N/A</v>
      </c>
      <c r="R7" t="e">
        <f>INDEX(Items!D$2:D$1032,MATCH($O7,Items!$A$2:$A$1032,0))</f>
        <v>#N/A</v>
      </c>
    </row>
    <row r="8" spans="1:19" x14ac:dyDescent="0.25">
      <c r="A8">
        <f t="shared" si="0"/>
        <v>1</v>
      </c>
      <c r="B8" t="str">
        <f t="shared" si="1"/>
        <v/>
      </c>
      <c r="C8">
        <f>IF(OR(B8="",B8&lt;&gt;B7),1,C7+1)</f>
        <v>1</v>
      </c>
      <c r="D8" s="4"/>
      <c r="F8" t="e">
        <f>INDEX(Establishment!B$2:B$1005,MATCH($E8,Establishment!$A$2:$A$1005,0))</f>
        <v>#N/A</v>
      </c>
      <c r="G8" t="e">
        <f>INDEX(Establishment!C$2:C$1005,MATCH($E8,Establishment!$A$2:$A$1005,0))</f>
        <v>#N/A</v>
      </c>
      <c r="M8">
        <f>K8*L8</f>
        <v>0</v>
      </c>
      <c r="N8">
        <f t="shared" si="4"/>
        <v>0</v>
      </c>
      <c r="P8" t="e">
        <f>INDEX(Items!B$2:B$1032,MATCH($O8,Items!$A$2:$A$1032,0))</f>
        <v>#N/A</v>
      </c>
      <c r="Q8" t="e">
        <f>INDEX(Items!C$2:C$1032,MATCH($O8,Items!$A$2:$A$1032,0))</f>
        <v>#N/A</v>
      </c>
      <c r="R8" t="e">
        <f>INDEX(Items!D$2:D$1032,MATCH($O8,Items!$A$2:$A$1032,0))</f>
        <v>#N/A</v>
      </c>
    </row>
    <row r="9" spans="1:19" x14ac:dyDescent="0.25">
      <c r="A9">
        <f t="shared" si="0"/>
        <v>1</v>
      </c>
      <c r="B9" t="str">
        <f t="shared" si="1"/>
        <v/>
      </c>
      <c r="C9">
        <f>IF(OR(B9="",B9&lt;&gt;B8),1,C8+1)</f>
        <v>1</v>
      </c>
      <c r="D9" s="4"/>
      <c r="F9" t="e">
        <f>INDEX(Establishment!B$2:B$1005,MATCH($E9,Establishment!$A$2:$A$1005,0))</f>
        <v>#N/A</v>
      </c>
      <c r="G9" t="e">
        <f>INDEX(Establishment!C$2:C$1005,MATCH($E9,Establishment!$A$2:$A$1005,0))</f>
        <v>#N/A</v>
      </c>
      <c r="M9">
        <f>K9*L9</f>
        <v>0</v>
      </c>
      <c r="N9">
        <f t="shared" si="4"/>
        <v>0</v>
      </c>
      <c r="P9" t="e">
        <f>INDEX(Items!B$2:B$1032,MATCH($O9,Items!$A$2:$A$1032,0))</f>
        <v>#N/A</v>
      </c>
      <c r="Q9" t="e">
        <f>INDEX(Items!C$2:C$1032,MATCH($O9,Items!$A$2:$A$1032,0))</f>
        <v>#N/A</v>
      </c>
      <c r="R9" t="e">
        <f>INDEX(Items!D$2:D$1032,MATCH($O9,Items!$A$2:$A$1032,0))</f>
        <v>#N/A</v>
      </c>
    </row>
    <row r="10" spans="1:19" x14ac:dyDescent="0.25">
      <c r="A10">
        <f t="shared" si="0"/>
        <v>1</v>
      </c>
      <c r="B10" t="str">
        <f t="shared" si="1"/>
        <v/>
      </c>
      <c r="C10">
        <f t="shared" ref="C10:C73" si="5">IF(OR(B10="",B10&lt;&gt;B9),1,C9+1)</f>
        <v>1</v>
      </c>
      <c r="D10" s="4"/>
      <c r="F10" t="e">
        <f>INDEX(Establishment!B$2:B$1005,MATCH($E10,Establishment!$A$2:$A$1005,0))</f>
        <v>#N/A</v>
      </c>
      <c r="G10" t="e">
        <f>INDEX(Establishment!C$2:C$1005,MATCH($E10,Establishment!$A$2:$A$1005,0))</f>
        <v>#N/A</v>
      </c>
      <c r="M10">
        <f t="shared" ref="M10:M73" si="6">K10*L10</f>
        <v>0</v>
      </c>
      <c r="N10">
        <f t="shared" si="4"/>
        <v>0</v>
      </c>
      <c r="P10" t="e">
        <f>INDEX(Items!B$2:B$1032,MATCH($O10,Items!$A$2:$A$1032,0))</f>
        <v>#N/A</v>
      </c>
      <c r="Q10" t="e">
        <f>INDEX(Items!C$2:C$1032,MATCH($O10,Items!$A$2:$A$1032,0))</f>
        <v>#N/A</v>
      </c>
      <c r="R10" t="e">
        <f>INDEX(Items!D$2:D$1032,MATCH($O10,Items!$A$2:$A$1032,0))</f>
        <v>#N/A</v>
      </c>
    </row>
    <row r="11" spans="1:19" x14ac:dyDescent="0.25">
      <c r="A11">
        <f t="shared" si="0"/>
        <v>1</v>
      </c>
      <c r="B11" t="str">
        <f t="shared" si="1"/>
        <v/>
      </c>
      <c r="C11">
        <f t="shared" si="5"/>
        <v>1</v>
      </c>
      <c r="D11" s="4"/>
      <c r="F11" t="e">
        <f>INDEX(Establishment!B$2:B$1005,MATCH($E11,Establishment!$A$2:$A$1005,0))</f>
        <v>#N/A</v>
      </c>
      <c r="G11" t="e">
        <f>INDEX(Establishment!C$2:C$1005,MATCH($E11,Establishment!$A$2:$A$1005,0))</f>
        <v>#N/A</v>
      </c>
      <c r="M11">
        <f t="shared" si="6"/>
        <v>0</v>
      </c>
      <c r="N11">
        <f t="shared" si="4"/>
        <v>0</v>
      </c>
      <c r="P11" t="e">
        <f>INDEX(Items!B$2:B$1032,MATCH($O11,Items!$A$2:$A$1032,0))</f>
        <v>#N/A</v>
      </c>
      <c r="Q11" t="e">
        <f>INDEX(Items!C$2:C$1032,MATCH($O11,Items!$A$2:$A$1032,0))</f>
        <v>#N/A</v>
      </c>
      <c r="R11" t="e">
        <f>INDEX(Items!D$2:D$1032,MATCH($O11,Items!$A$2:$A$1032,0))</f>
        <v>#N/A</v>
      </c>
    </row>
    <row r="12" spans="1:19" x14ac:dyDescent="0.25">
      <c r="A12">
        <f t="shared" si="0"/>
        <v>1</v>
      </c>
      <c r="B12" t="str">
        <f t="shared" si="1"/>
        <v/>
      </c>
      <c r="C12">
        <f t="shared" si="5"/>
        <v>1</v>
      </c>
      <c r="D12" s="4"/>
      <c r="F12" t="e">
        <f>INDEX(Establishment!B$2:B$1005,MATCH($E12,Establishment!$A$2:$A$1005,0))</f>
        <v>#N/A</v>
      </c>
      <c r="G12" t="e">
        <f>INDEX(Establishment!C$2:C$1005,MATCH($E12,Establishment!$A$2:$A$1005,0))</f>
        <v>#N/A</v>
      </c>
      <c r="M12">
        <f t="shared" si="6"/>
        <v>0</v>
      </c>
      <c r="N12">
        <f t="shared" si="4"/>
        <v>0</v>
      </c>
      <c r="P12" t="e">
        <f>INDEX(Items!B$2:B$1032,MATCH($O12,Items!$A$2:$A$1032,0))</f>
        <v>#N/A</v>
      </c>
      <c r="Q12" t="e">
        <f>INDEX(Items!C$2:C$1032,MATCH($O12,Items!$A$2:$A$1032,0))</f>
        <v>#N/A</v>
      </c>
      <c r="R12" t="e">
        <f>INDEX(Items!D$2:D$1032,MATCH($O12,Items!$A$2:$A$1032,0))</f>
        <v>#N/A</v>
      </c>
    </row>
    <row r="13" spans="1:19" x14ac:dyDescent="0.25">
      <c r="A13">
        <f t="shared" si="0"/>
        <v>1</v>
      </c>
      <c r="B13" t="str">
        <f t="shared" si="1"/>
        <v/>
      </c>
      <c r="C13">
        <f t="shared" si="5"/>
        <v>1</v>
      </c>
      <c r="D13" s="4"/>
      <c r="F13" t="e">
        <f>INDEX(Establishment!B$2:B$1005,MATCH($E13,Establishment!$A$2:$A$1005,0))</f>
        <v>#N/A</v>
      </c>
      <c r="G13" t="e">
        <f>INDEX(Establishment!C$2:C$1005,MATCH($E13,Establishment!$A$2:$A$1005,0))</f>
        <v>#N/A</v>
      </c>
      <c r="M13">
        <f t="shared" si="6"/>
        <v>0</v>
      </c>
      <c r="N13">
        <f t="shared" si="4"/>
        <v>0</v>
      </c>
      <c r="P13" t="e">
        <f>INDEX(Items!B$2:B$1032,MATCH($O13,Items!$A$2:$A$1032,0))</f>
        <v>#N/A</v>
      </c>
      <c r="Q13" t="e">
        <f>INDEX(Items!C$2:C$1032,MATCH($O13,Items!$A$2:$A$1032,0))</f>
        <v>#N/A</v>
      </c>
      <c r="R13" t="e">
        <f>INDEX(Items!D$2:D$1032,MATCH($O13,Items!$A$2:$A$1032,0))</f>
        <v>#N/A</v>
      </c>
    </row>
    <row r="14" spans="1:19" x14ac:dyDescent="0.25">
      <c r="A14">
        <f t="shared" si="0"/>
        <v>1</v>
      </c>
      <c r="B14" t="str">
        <f t="shared" si="1"/>
        <v/>
      </c>
      <c r="C14">
        <f t="shared" si="5"/>
        <v>1</v>
      </c>
      <c r="D14" s="4"/>
      <c r="F14" t="e">
        <f>INDEX(Establishment!B$2:B$1005,MATCH($E14,Establishment!$A$2:$A$1005,0))</f>
        <v>#N/A</v>
      </c>
      <c r="G14" t="e">
        <f>INDEX(Establishment!C$2:C$1005,MATCH($E14,Establishment!$A$2:$A$1005,0))</f>
        <v>#N/A</v>
      </c>
      <c r="M14">
        <f t="shared" si="6"/>
        <v>0</v>
      </c>
      <c r="N14">
        <f t="shared" si="4"/>
        <v>0</v>
      </c>
      <c r="P14" t="e">
        <f>INDEX(Items!B$2:B$1032,MATCH($O14,Items!$A$2:$A$1032,0))</f>
        <v>#N/A</v>
      </c>
      <c r="Q14" t="e">
        <f>INDEX(Items!C$2:C$1032,MATCH($O14,Items!$A$2:$A$1032,0))</f>
        <v>#N/A</v>
      </c>
      <c r="R14" t="e">
        <f>INDEX(Items!D$2:D$1032,MATCH($O14,Items!$A$2:$A$1032,0))</f>
        <v>#N/A</v>
      </c>
    </row>
    <row r="15" spans="1:19" x14ac:dyDescent="0.25">
      <c r="A15">
        <f t="shared" si="0"/>
        <v>1</v>
      </c>
      <c r="B15" t="str">
        <f t="shared" si="1"/>
        <v/>
      </c>
      <c r="C15">
        <f t="shared" si="5"/>
        <v>1</v>
      </c>
      <c r="D15" s="4"/>
      <c r="F15" t="e">
        <f>INDEX(Establishment!B$2:B$1005,MATCH($E15,Establishment!$A$2:$A$1005,0))</f>
        <v>#N/A</v>
      </c>
      <c r="G15" t="e">
        <f>INDEX(Establishment!C$2:C$1005,MATCH($E15,Establishment!$A$2:$A$1005,0))</f>
        <v>#N/A</v>
      </c>
      <c r="M15">
        <f>K15*L15</f>
        <v>0</v>
      </c>
      <c r="N15">
        <f t="shared" si="4"/>
        <v>0</v>
      </c>
      <c r="P15" t="e">
        <f>INDEX(Items!B$2:B$1032,MATCH($O15,Items!$A$2:$A$1032,0))</f>
        <v>#N/A</v>
      </c>
      <c r="Q15" t="e">
        <f>INDEX(Items!C$2:C$1032,MATCH($O15,Items!$A$2:$A$1032,0))</f>
        <v>#N/A</v>
      </c>
      <c r="R15" t="e">
        <f>INDEX(Items!D$2:D$1032,MATCH($O15,Items!$A$2:$A$1032,0))</f>
        <v>#N/A</v>
      </c>
    </row>
    <row r="16" spans="1:19" x14ac:dyDescent="0.25">
      <c r="A16">
        <f t="shared" si="0"/>
        <v>1</v>
      </c>
      <c r="B16" t="str">
        <f t="shared" si="1"/>
        <v/>
      </c>
      <c r="C16">
        <f t="shared" si="5"/>
        <v>1</v>
      </c>
      <c r="D16" s="4"/>
      <c r="F16" t="e">
        <f>INDEX(Establishment!B$2:B$1005,MATCH($E16,Establishment!$A$2:$A$1005,0))</f>
        <v>#N/A</v>
      </c>
      <c r="G16" t="e">
        <f>INDEX(Establishment!C$2:C$1005,MATCH($E16,Establishment!$A$2:$A$1005,0))</f>
        <v>#N/A</v>
      </c>
      <c r="M16">
        <f t="shared" si="6"/>
        <v>0</v>
      </c>
      <c r="N16">
        <f t="shared" si="4"/>
        <v>0</v>
      </c>
      <c r="P16" t="e">
        <f>INDEX(Items!B$2:B$1032,MATCH($O16,Items!$A$2:$A$1032,0))</f>
        <v>#N/A</v>
      </c>
      <c r="Q16" t="e">
        <f>INDEX(Items!C$2:C$1032,MATCH($O16,Items!$A$2:$A$1032,0))</f>
        <v>#N/A</v>
      </c>
      <c r="R16" t="e">
        <f>INDEX(Items!D$2:D$1032,MATCH($O16,Items!$A$2:$A$1032,0))</f>
        <v>#N/A</v>
      </c>
    </row>
    <row r="17" spans="1:18" x14ac:dyDescent="0.25">
      <c r="A17">
        <f t="shared" si="0"/>
        <v>1</v>
      </c>
      <c r="B17" t="str">
        <f t="shared" si="1"/>
        <v/>
      </c>
      <c r="C17">
        <f t="shared" si="5"/>
        <v>1</v>
      </c>
      <c r="D17" s="4"/>
      <c r="F17" t="e">
        <f>INDEX(Establishment!B$2:B$1005,MATCH($E17,Establishment!$A$2:$A$1005,0))</f>
        <v>#N/A</v>
      </c>
      <c r="G17" t="e">
        <f>INDEX(Establishment!C$2:C$1005,MATCH($E17,Establishment!$A$2:$A$1005,0))</f>
        <v>#N/A</v>
      </c>
      <c r="M17">
        <f t="shared" si="6"/>
        <v>0</v>
      </c>
      <c r="N17">
        <f t="shared" si="4"/>
        <v>0</v>
      </c>
      <c r="P17" t="e">
        <f>INDEX(Items!B$2:B$1032,MATCH($O17,Items!$A$2:$A$1032,0))</f>
        <v>#N/A</v>
      </c>
      <c r="Q17" t="e">
        <f>INDEX(Items!C$2:C$1032,MATCH($O17,Items!$A$2:$A$1032,0))</f>
        <v>#N/A</v>
      </c>
      <c r="R17" t="e">
        <f>INDEX(Items!D$2:D$1032,MATCH($O17,Items!$A$2:$A$1032,0))</f>
        <v>#N/A</v>
      </c>
    </row>
    <row r="18" spans="1:18" x14ac:dyDescent="0.25">
      <c r="A18">
        <f t="shared" si="0"/>
        <v>1</v>
      </c>
      <c r="B18" t="str">
        <f t="shared" si="1"/>
        <v/>
      </c>
      <c r="C18">
        <f t="shared" si="5"/>
        <v>1</v>
      </c>
      <c r="D18" s="4"/>
      <c r="F18" t="e">
        <f>INDEX(Establishment!B$2:B$1005,MATCH($E18,Establishment!$A$2:$A$1005,0))</f>
        <v>#N/A</v>
      </c>
      <c r="G18" t="e">
        <f>INDEX(Establishment!C$2:C$1005,MATCH($E18,Establishment!$A$2:$A$1005,0))</f>
        <v>#N/A</v>
      </c>
      <c r="M18">
        <f t="shared" si="6"/>
        <v>0</v>
      </c>
      <c r="N18">
        <f t="shared" si="4"/>
        <v>0</v>
      </c>
      <c r="P18" t="e">
        <f>INDEX(Items!B$2:B$1032,MATCH($O18,Items!$A$2:$A$1032,0))</f>
        <v>#N/A</v>
      </c>
      <c r="Q18" t="e">
        <f>INDEX(Items!C$2:C$1032,MATCH($O18,Items!$A$2:$A$1032,0))</f>
        <v>#N/A</v>
      </c>
      <c r="R18" t="e">
        <f>INDEX(Items!D$2:D$1032,MATCH($O18,Items!$A$2:$A$1032,0))</f>
        <v>#N/A</v>
      </c>
    </row>
    <row r="19" spans="1:18" x14ac:dyDescent="0.25">
      <c r="A19">
        <f t="shared" si="0"/>
        <v>1</v>
      </c>
      <c r="B19" t="str">
        <f t="shared" si="1"/>
        <v/>
      </c>
      <c r="C19">
        <f t="shared" si="5"/>
        <v>1</v>
      </c>
      <c r="D19" s="4"/>
      <c r="F19" t="e">
        <f>INDEX(Establishment!B$2:B$1005,MATCH($E19,Establishment!$A$2:$A$1005,0))</f>
        <v>#N/A</v>
      </c>
      <c r="G19" t="e">
        <f>INDEX(Establishment!C$2:C$1005,MATCH($E19,Establishment!$A$2:$A$1005,0))</f>
        <v>#N/A</v>
      </c>
      <c r="M19">
        <f t="shared" si="6"/>
        <v>0</v>
      </c>
      <c r="N19">
        <f t="shared" si="4"/>
        <v>0</v>
      </c>
      <c r="P19" t="e">
        <f>INDEX(Items!B$2:B$1032,MATCH($O19,Items!$A$2:$A$1032,0))</f>
        <v>#N/A</v>
      </c>
      <c r="Q19" t="e">
        <f>INDEX(Items!C$2:C$1032,MATCH($O19,Items!$A$2:$A$1032,0))</f>
        <v>#N/A</v>
      </c>
      <c r="R19" t="e">
        <f>INDEX(Items!D$2:D$1032,MATCH($O19,Items!$A$2:$A$1032,0))</f>
        <v>#N/A</v>
      </c>
    </row>
    <row r="20" spans="1:18" x14ac:dyDescent="0.25">
      <c r="A20">
        <f t="shared" si="0"/>
        <v>1</v>
      </c>
      <c r="B20" t="str">
        <f t="shared" si="1"/>
        <v/>
      </c>
      <c r="C20">
        <f t="shared" si="5"/>
        <v>1</v>
      </c>
      <c r="D20" s="4"/>
      <c r="F20" t="e">
        <f>INDEX(Establishment!B$2:B$1005,MATCH($E20,Establishment!$A$2:$A$1005,0))</f>
        <v>#N/A</v>
      </c>
      <c r="G20" t="e">
        <f>INDEX(Establishment!C$2:C$1005,MATCH($E20,Establishment!$A$2:$A$1005,0))</f>
        <v>#N/A</v>
      </c>
      <c r="M20">
        <f t="shared" si="6"/>
        <v>0</v>
      </c>
      <c r="N20">
        <f t="shared" si="4"/>
        <v>0</v>
      </c>
      <c r="P20" t="e">
        <f>INDEX(Items!B$2:B$1032,MATCH($O20,Items!$A$2:$A$1032,0))</f>
        <v>#N/A</v>
      </c>
      <c r="Q20" t="e">
        <f>INDEX(Items!C$2:C$1032,MATCH($O20,Items!$A$2:$A$1032,0))</f>
        <v>#N/A</v>
      </c>
      <c r="R20" t="e">
        <f>INDEX(Items!D$2:D$1032,MATCH($O20,Items!$A$2:$A$1032,0))</f>
        <v>#N/A</v>
      </c>
    </row>
    <row r="21" spans="1:18" x14ac:dyDescent="0.25">
      <c r="A21">
        <f t="shared" si="0"/>
        <v>1</v>
      </c>
      <c r="B21" t="str">
        <f t="shared" si="1"/>
        <v/>
      </c>
      <c r="C21">
        <f t="shared" si="5"/>
        <v>1</v>
      </c>
      <c r="D21" s="4"/>
      <c r="F21" t="e">
        <f>INDEX(Establishment!B$2:B$1005,MATCH($E21,Establishment!$A$2:$A$1005,0))</f>
        <v>#N/A</v>
      </c>
      <c r="G21" t="e">
        <f>INDEX(Establishment!C$2:C$1005,MATCH($E21,Establishment!$A$2:$A$1005,0))</f>
        <v>#N/A</v>
      </c>
      <c r="M21">
        <f t="shared" si="6"/>
        <v>0</v>
      </c>
      <c r="N21">
        <f t="shared" si="4"/>
        <v>0</v>
      </c>
      <c r="P21" t="e">
        <f>INDEX(Items!B$2:B$1032,MATCH($O21,Items!$A$2:$A$1032,0))</f>
        <v>#N/A</v>
      </c>
      <c r="Q21" t="e">
        <f>INDEX(Items!C$2:C$1032,MATCH($O21,Items!$A$2:$A$1032,0))</f>
        <v>#N/A</v>
      </c>
      <c r="R21" t="e">
        <f>INDEX(Items!D$2:D$1032,MATCH($O21,Items!$A$2:$A$1032,0))</f>
        <v>#N/A</v>
      </c>
    </row>
    <row r="22" spans="1:18" x14ac:dyDescent="0.25">
      <c r="A22">
        <f t="shared" si="0"/>
        <v>1</v>
      </c>
      <c r="B22" t="str">
        <f t="shared" si="1"/>
        <v/>
      </c>
      <c r="C22">
        <f t="shared" si="5"/>
        <v>1</v>
      </c>
      <c r="D22" s="4"/>
      <c r="F22" t="e">
        <f>INDEX(Establishment!B$2:B$1005,MATCH($E22,Establishment!$A$2:$A$1005,0))</f>
        <v>#N/A</v>
      </c>
      <c r="G22" t="e">
        <f>INDEX(Establishment!C$2:C$1005,MATCH($E22,Establishment!$A$2:$A$1005,0))</f>
        <v>#N/A</v>
      </c>
      <c r="M22">
        <f t="shared" si="6"/>
        <v>0</v>
      </c>
      <c r="N22">
        <f t="shared" si="4"/>
        <v>0</v>
      </c>
      <c r="P22" t="e">
        <f>INDEX(Items!B$2:B$1032,MATCH($O22,Items!$A$2:$A$1032,0))</f>
        <v>#N/A</v>
      </c>
      <c r="Q22" t="e">
        <f>INDEX(Items!C$2:C$1032,MATCH($O22,Items!$A$2:$A$1032,0))</f>
        <v>#N/A</v>
      </c>
      <c r="R22" t="e">
        <f>INDEX(Items!D$2:D$1032,MATCH($O22,Items!$A$2:$A$1032,0))</f>
        <v>#N/A</v>
      </c>
    </row>
    <row r="23" spans="1:18" x14ac:dyDescent="0.25">
      <c r="A23">
        <f t="shared" si="0"/>
        <v>1</v>
      </c>
      <c r="B23" t="str">
        <f t="shared" si="1"/>
        <v/>
      </c>
      <c r="C23">
        <f t="shared" si="5"/>
        <v>1</v>
      </c>
      <c r="D23" s="4"/>
      <c r="F23" t="e">
        <f>INDEX(Establishment!B$2:B$1005,MATCH($E23,Establishment!$A$2:$A$1005,0))</f>
        <v>#N/A</v>
      </c>
      <c r="G23" t="e">
        <f>INDEX(Establishment!C$2:C$1005,MATCH($E23,Establishment!$A$2:$A$1005,0))</f>
        <v>#N/A</v>
      </c>
      <c r="M23">
        <f t="shared" si="6"/>
        <v>0</v>
      </c>
      <c r="N23">
        <f t="shared" si="4"/>
        <v>0</v>
      </c>
      <c r="P23" t="e">
        <f>INDEX(Items!B$2:B$1032,MATCH($O23,Items!$A$2:$A$1032,0))</f>
        <v>#N/A</v>
      </c>
      <c r="Q23" t="e">
        <f>INDEX(Items!C$2:C$1032,MATCH($O23,Items!$A$2:$A$1032,0))</f>
        <v>#N/A</v>
      </c>
      <c r="R23" t="e">
        <f>INDEX(Items!D$2:D$1032,MATCH($O23,Items!$A$2:$A$1032,0))</f>
        <v>#N/A</v>
      </c>
    </row>
    <row r="24" spans="1:18" x14ac:dyDescent="0.25">
      <c r="A24">
        <f t="shared" si="0"/>
        <v>1</v>
      </c>
      <c r="B24" t="str">
        <f t="shared" si="1"/>
        <v/>
      </c>
      <c r="C24">
        <f t="shared" si="5"/>
        <v>1</v>
      </c>
      <c r="D24" s="4"/>
      <c r="F24" t="e">
        <f>INDEX(Establishment!B$2:B$1005,MATCH($E24,Establishment!$A$2:$A$1005,0))</f>
        <v>#N/A</v>
      </c>
      <c r="G24" t="e">
        <f>INDEX(Establishment!C$2:C$1005,MATCH($E24,Establishment!$A$2:$A$1005,0))</f>
        <v>#N/A</v>
      </c>
      <c r="M24">
        <f t="shared" si="6"/>
        <v>0</v>
      </c>
      <c r="N24">
        <f t="shared" si="4"/>
        <v>0</v>
      </c>
      <c r="P24" t="e">
        <f>INDEX(Items!B$2:B$1032,MATCH($O24,Items!$A$2:$A$1032,0))</f>
        <v>#N/A</v>
      </c>
      <c r="Q24" t="e">
        <f>INDEX(Items!C$2:C$1032,MATCH($O24,Items!$A$2:$A$1032,0))</f>
        <v>#N/A</v>
      </c>
      <c r="R24" t="e">
        <f>INDEX(Items!D$2:D$1032,MATCH($O24,Items!$A$2:$A$1032,0))</f>
        <v>#N/A</v>
      </c>
    </row>
    <row r="25" spans="1:18" x14ac:dyDescent="0.25">
      <c r="A25">
        <f t="shared" si="0"/>
        <v>1</v>
      </c>
      <c r="B25" t="str">
        <f t="shared" si="1"/>
        <v/>
      </c>
      <c r="C25">
        <f t="shared" si="5"/>
        <v>1</v>
      </c>
      <c r="D25" s="4"/>
      <c r="F25" t="e">
        <f>INDEX(Establishment!B$2:B$1005,MATCH($E25,Establishment!$A$2:$A$1005,0))</f>
        <v>#N/A</v>
      </c>
      <c r="G25" t="e">
        <f>INDEX(Establishment!C$2:C$1005,MATCH($E25,Establishment!$A$2:$A$1005,0))</f>
        <v>#N/A</v>
      </c>
      <c r="M25">
        <f t="shared" si="6"/>
        <v>0</v>
      </c>
      <c r="N25">
        <f t="shared" si="4"/>
        <v>0</v>
      </c>
      <c r="P25" t="e">
        <f>INDEX(Items!B$2:B$1032,MATCH($O25,Items!$A$2:$A$1032,0))</f>
        <v>#N/A</v>
      </c>
      <c r="Q25" t="e">
        <f>INDEX(Items!C$2:C$1032,MATCH($O25,Items!$A$2:$A$1032,0))</f>
        <v>#N/A</v>
      </c>
      <c r="R25" t="e">
        <f>INDEX(Items!D$2:D$1032,MATCH($O25,Items!$A$2:$A$1032,0))</f>
        <v>#N/A</v>
      </c>
    </row>
    <row r="26" spans="1:18" x14ac:dyDescent="0.25">
      <c r="A26">
        <f t="shared" si="0"/>
        <v>1</v>
      </c>
      <c r="B26" t="str">
        <f t="shared" si="1"/>
        <v/>
      </c>
      <c r="C26">
        <f t="shared" si="5"/>
        <v>1</v>
      </c>
      <c r="D26" s="4"/>
      <c r="F26" t="s">
        <v>43</v>
      </c>
      <c r="G26" t="s">
        <v>44</v>
      </c>
      <c r="M26">
        <f t="shared" si="6"/>
        <v>0</v>
      </c>
      <c r="N26">
        <f t="shared" si="4"/>
        <v>0</v>
      </c>
      <c r="P26" t="e">
        <f>INDEX(Items!B$2:B$1032,MATCH($O26,Items!$A$2:$A$1032,0))</f>
        <v>#N/A</v>
      </c>
      <c r="Q26" t="e">
        <f>INDEX(Items!C$2:C$1032,MATCH($O26,Items!$A$2:$A$1032,0))</f>
        <v>#N/A</v>
      </c>
      <c r="R26" t="e">
        <f>INDEX(Items!D$2:D$1032,MATCH($O26,Items!$A$2:$A$1032,0))</f>
        <v>#N/A</v>
      </c>
    </row>
    <row r="27" spans="1:18" x14ac:dyDescent="0.25">
      <c r="A27">
        <f t="shared" si="0"/>
        <v>1</v>
      </c>
      <c r="B27" t="str">
        <f t="shared" si="1"/>
        <v/>
      </c>
      <c r="C27">
        <f t="shared" si="5"/>
        <v>1</v>
      </c>
      <c r="D27" s="4"/>
      <c r="F27" t="s">
        <v>43</v>
      </c>
      <c r="G27" t="s">
        <v>44</v>
      </c>
      <c r="M27">
        <f t="shared" si="6"/>
        <v>0</v>
      </c>
      <c r="N27">
        <f t="shared" si="4"/>
        <v>0</v>
      </c>
      <c r="P27" t="e">
        <f>INDEX(Items!B$2:B$1032,MATCH($O27,Items!$A$2:$A$1032,0))</f>
        <v>#N/A</v>
      </c>
      <c r="Q27" t="e">
        <f>INDEX(Items!C$2:C$1032,MATCH($O27,Items!$A$2:$A$1032,0))</f>
        <v>#N/A</v>
      </c>
      <c r="R27" t="e">
        <f>INDEX(Items!D$2:D$1032,MATCH($O27,Items!$A$2:$A$1032,0))</f>
        <v>#N/A</v>
      </c>
    </row>
    <row r="28" spans="1:18" x14ac:dyDescent="0.25">
      <c r="A28">
        <f t="shared" si="0"/>
        <v>1</v>
      </c>
      <c r="B28" t="str">
        <f t="shared" si="1"/>
        <v/>
      </c>
      <c r="C28">
        <f t="shared" si="5"/>
        <v>1</v>
      </c>
      <c r="D28" s="4"/>
      <c r="F28" t="s">
        <v>43</v>
      </c>
      <c r="G28" t="s">
        <v>44</v>
      </c>
      <c r="M28">
        <f t="shared" si="6"/>
        <v>0</v>
      </c>
      <c r="N28">
        <f t="shared" si="4"/>
        <v>0</v>
      </c>
      <c r="P28" t="e">
        <f>INDEX(Items!B$2:B$1032,MATCH($O28,Items!$A$2:$A$1032,0))</f>
        <v>#N/A</v>
      </c>
      <c r="Q28" t="e">
        <f>INDEX(Items!C$2:C$1032,MATCH($O28,Items!$A$2:$A$1032,0))</f>
        <v>#N/A</v>
      </c>
      <c r="R28" t="e">
        <f>INDEX(Items!D$2:D$1032,MATCH($O28,Items!$A$2:$A$1032,0))</f>
        <v>#N/A</v>
      </c>
    </row>
    <row r="29" spans="1:18" x14ac:dyDescent="0.25">
      <c r="A29">
        <f t="shared" si="0"/>
        <v>1</v>
      </c>
      <c r="B29" t="str">
        <f t="shared" si="1"/>
        <v/>
      </c>
      <c r="C29">
        <f t="shared" si="5"/>
        <v>1</v>
      </c>
      <c r="D29" s="4"/>
      <c r="F29" t="e">
        <f>INDEX(Establishment!B$2:B$1005,MATCH($E29,Establishment!$A$2:$A$1005,0))</f>
        <v>#N/A</v>
      </c>
      <c r="G29" t="e">
        <f>INDEX(Establishment!C$2:C$1005,MATCH($E29,Establishment!$A$2:$A$1005,0))</f>
        <v>#N/A</v>
      </c>
      <c r="M29">
        <f t="shared" si="6"/>
        <v>0</v>
      </c>
      <c r="N29">
        <f t="shared" si="4"/>
        <v>0</v>
      </c>
      <c r="P29" t="e">
        <f>INDEX(Items!B$2:B$1032,MATCH($O29,Items!$A$2:$A$1032,0))</f>
        <v>#N/A</v>
      </c>
      <c r="Q29" t="e">
        <f>INDEX(Items!C$2:C$1032,MATCH($O29,Items!$A$2:$A$1032,0))</f>
        <v>#N/A</v>
      </c>
      <c r="R29" t="e">
        <f>INDEX(Items!D$2:D$1032,MATCH($O29,Items!$A$2:$A$1032,0))</f>
        <v>#N/A</v>
      </c>
    </row>
    <row r="30" spans="1:18" x14ac:dyDescent="0.25">
      <c r="A30">
        <f t="shared" si="0"/>
        <v>1</v>
      </c>
      <c r="B30" t="str">
        <f t="shared" si="1"/>
        <v/>
      </c>
      <c r="C30">
        <f t="shared" si="5"/>
        <v>1</v>
      </c>
      <c r="D30" s="4"/>
      <c r="F30" t="e">
        <f>INDEX(Establishment!B$2:B$1005,MATCH($E30,Establishment!$A$2:$A$1005,0))</f>
        <v>#N/A</v>
      </c>
      <c r="G30" t="e">
        <f>INDEX(Establishment!C$2:C$1005,MATCH($E30,Establishment!$A$2:$A$1005,0))</f>
        <v>#N/A</v>
      </c>
      <c r="M30">
        <f t="shared" si="6"/>
        <v>0</v>
      </c>
      <c r="N30">
        <f t="shared" si="4"/>
        <v>0</v>
      </c>
      <c r="P30" t="e">
        <f>INDEX(Items!B$2:B$1032,MATCH($O30,Items!$A$2:$A$1032,0))</f>
        <v>#N/A</v>
      </c>
      <c r="Q30" t="e">
        <f>INDEX(Items!C$2:C$1032,MATCH($O30,Items!$A$2:$A$1032,0))</f>
        <v>#N/A</v>
      </c>
      <c r="R30" t="e">
        <f>INDEX(Items!D$2:D$1032,MATCH($O30,Items!$A$2:$A$1032,0))</f>
        <v>#N/A</v>
      </c>
    </row>
    <row r="31" spans="1:18" x14ac:dyDescent="0.25">
      <c r="A31">
        <f t="shared" si="0"/>
        <v>1</v>
      </c>
      <c r="B31" t="str">
        <f t="shared" si="1"/>
        <v/>
      </c>
      <c r="C31">
        <f t="shared" si="5"/>
        <v>1</v>
      </c>
      <c r="D31" s="4"/>
      <c r="F31" t="e">
        <f>INDEX(Establishment!B$2:B$1005,MATCH($E31,Establishment!$A$2:$A$1005,0))</f>
        <v>#N/A</v>
      </c>
      <c r="G31" t="e">
        <f>INDEX(Establishment!C$2:C$1005,MATCH($E31,Establishment!$A$2:$A$1005,0))</f>
        <v>#N/A</v>
      </c>
      <c r="M31">
        <f t="shared" si="6"/>
        <v>0</v>
      </c>
      <c r="N31">
        <f t="shared" si="4"/>
        <v>0</v>
      </c>
      <c r="P31" t="e">
        <f>INDEX(Items!B$2:B$1032,MATCH($O31,Items!$A$2:$A$1032,0))</f>
        <v>#N/A</v>
      </c>
      <c r="Q31" t="e">
        <f>INDEX(Items!C$2:C$1032,MATCH($O31,Items!$A$2:$A$1032,0))</f>
        <v>#N/A</v>
      </c>
      <c r="R31" t="e">
        <f>INDEX(Items!D$2:D$1032,MATCH($O31,Items!$A$2:$A$1032,0))</f>
        <v>#N/A</v>
      </c>
    </row>
    <row r="32" spans="1:18" x14ac:dyDescent="0.25">
      <c r="A32">
        <f t="shared" si="0"/>
        <v>1</v>
      </c>
      <c r="B32" t="str">
        <f t="shared" si="1"/>
        <v/>
      </c>
      <c r="C32">
        <f t="shared" si="5"/>
        <v>1</v>
      </c>
      <c r="D32" s="4"/>
      <c r="F32" t="s">
        <v>43</v>
      </c>
      <c r="G32" t="s">
        <v>46</v>
      </c>
      <c r="M32">
        <f t="shared" si="6"/>
        <v>0</v>
      </c>
      <c r="N32">
        <f t="shared" si="4"/>
        <v>0</v>
      </c>
      <c r="P32" t="e">
        <f>INDEX(Items!B$2:B$1032,MATCH($O32,Items!$A$2:$A$1032,0))</f>
        <v>#N/A</v>
      </c>
      <c r="Q32" t="e">
        <f>INDEX(Items!C$2:C$1032,MATCH($O32,Items!$A$2:$A$1032,0))</f>
        <v>#N/A</v>
      </c>
      <c r="R32" t="e">
        <f>INDEX(Items!D$2:D$1032,MATCH($O32,Items!$A$2:$A$1032,0))</f>
        <v>#N/A</v>
      </c>
    </row>
    <row r="33" spans="1:18" x14ac:dyDescent="0.25">
      <c r="A33">
        <f t="shared" si="0"/>
        <v>1</v>
      </c>
      <c r="B33" t="str">
        <f t="shared" si="1"/>
        <v/>
      </c>
      <c r="C33">
        <f t="shared" si="5"/>
        <v>1</v>
      </c>
      <c r="D33" s="4"/>
      <c r="F33" t="s">
        <v>43</v>
      </c>
      <c r="G33" t="s">
        <v>46</v>
      </c>
      <c r="M33">
        <f t="shared" si="6"/>
        <v>0</v>
      </c>
      <c r="N33">
        <f t="shared" si="4"/>
        <v>0</v>
      </c>
      <c r="P33" t="e">
        <f>INDEX(Items!B$2:B$1032,MATCH($O33,Items!$A$2:$A$1032,0))</f>
        <v>#N/A</v>
      </c>
      <c r="Q33" t="e">
        <f>INDEX(Items!C$2:C$1032,MATCH($O33,Items!$A$2:$A$1032,0))</f>
        <v>#N/A</v>
      </c>
      <c r="R33" t="e">
        <f>INDEX(Items!D$2:D$1032,MATCH($O33,Items!$A$2:$A$1032,0))</f>
        <v>#N/A</v>
      </c>
    </row>
    <row r="34" spans="1:18" x14ac:dyDescent="0.25">
      <c r="A34">
        <f t="shared" si="0"/>
        <v>1</v>
      </c>
      <c r="B34" t="str">
        <f t="shared" si="1"/>
        <v/>
      </c>
      <c r="C34">
        <f t="shared" si="5"/>
        <v>1</v>
      </c>
      <c r="D34" s="4"/>
      <c r="F34" t="s">
        <v>43</v>
      </c>
      <c r="G34" t="s">
        <v>46</v>
      </c>
      <c r="M34">
        <f t="shared" si="6"/>
        <v>0</v>
      </c>
      <c r="N34">
        <f t="shared" si="4"/>
        <v>0</v>
      </c>
      <c r="P34" t="e">
        <f>INDEX(Items!B$2:B$1032,MATCH($O34,Items!$A$2:$A$1032,0))</f>
        <v>#N/A</v>
      </c>
      <c r="Q34" t="e">
        <f>INDEX(Items!C$2:C$1032,MATCH($O34,Items!$A$2:$A$1032,0))</f>
        <v>#N/A</v>
      </c>
      <c r="R34" t="e">
        <f>INDEX(Items!D$2:D$1032,MATCH($O34,Items!$A$2:$A$1032,0))</f>
        <v>#N/A</v>
      </c>
    </row>
    <row r="35" spans="1:18" x14ac:dyDescent="0.25">
      <c r="A35">
        <f t="shared" si="0"/>
        <v>1</v>
      </c>
      <c r="B35" t="str">
        <f t="shared" si="1"/>
        <v/>
      </c>
      <c r="C35">
        <f t="shared" si="5"/>
        <v>1</v>
      </c>
      <c r="D35" s="4"/>
      <c r="F35" t="s">
        <v>43</v>
      </c>
      <c r="G35" t="s">
        <v>46</v>
      </c>
      <c r="M35">
        <f t="shared" si="6"/>
        <v>0</v>
      </c>
      <c r="N35">
        <f t="shared" si="4"/>
        <v>0</v>
      </c>
      <c r="P35" t="e">
        <f>INDEX(Items!B$2:B$1032,MATCH($O35,Items!$A$2:$A$1032,0))</f>
        <v>#N/A</v>
      </c>
      <c r="Q35" t="e">
        <f>INDEX(Items!C$2:C$1032,MATCH($O35,Items!$A$2:$A$1032,0))</f>
        <v>#N/A</v>
      </c>
      <c r="R35" t="e">
        <f>INDEX(Items!D$2:D$1032,MATCH($O35,Items!$A$2:$A$1032,0))</f>
        <v>#N/A</v>
      </c>
    </row>
    <row r="36" spans="1:18" x14ac:dyDescent="0.25">
      <c r="A36">
        <f t="shared" si="0"/>
        <v>1</v>
      </c>
      <c r="B36" t="str">
        <f t="shared" si="1"/>
        <v/>
      </c>
      <c r="C36">
        <f t="shared" si="5"/>
        <v>1</v>
      </c>
      <c r="D36" s="4"/>
      <c r="F36" t="s">
        <v>47</v>
      </c>
      <c r="G36" t="s">
        <v>46</v>
      </c>
      <c r="M36">
        <f t="shared" si="6"/>
        <v>0</v>
      </c>
      <c r="N36">
        <f t="shared" si="4"/>
        <v>0</v>
      </c>
      <c r="P36" t="e">
        <f>INDEX(Items!B$2:B$1032,MATCH($O36,Items!$A$2:$A$1032,0))</f>
        <v>#N/A</v>
      </c>
      <c r="Q36" t="e">
        <f>INDEX(Items!C$2:C$1032,MATCH($O36,Items!$A$2:$A$1032,0))</f>
        <v>#N/A</v>
      </c>
      <c r="R36" t="e">
        <f>INDEX(Items!D$2:D$1032,MATCH($O36,Items!$A$2:$A$1032,0))</f>
        <v>#N/A</v>
      </c>
    </row>
    <row r="37" spans="1:18" x14ac:dyDescent="0.25">
      <c r="A37">
        <f t="shared" si="0"/>
        <v>1</v>
      </c>
      <c r="B37" t="str">
        <f t="shared" si="1"/>
        <v/>
      </c>
      <c r="C37">
        <f t="shared" si="5"/>
        <v>1</v>
      </c>
      <c r="D37" s="4"/>
      <c r="F37" t="s">
        <v>47</v>
      </c>
      <c r="G37" t="s">
        <v>46</v>
      </c>
      <c r="M37">
        <f t="shared" si="6"/>
        <v>0</v>
      </c>
      <c r="N37">
        <f t="shared" si="4"/>
        <v>0</v>
      </c>
      <c r="P37" t="e">
        <f>INDEX(Items!B$2:B$1032,MATCH($O37,Items!$A$2:$A$1032,0))</f>
        <v>#N/A</v>
      </c>
      <c r="Q37" t="e">
        <f>INDEX(Items!C$2:C$1032,MATCH($O37,Items!$A$2:$A$1032,0))</f>
        <v>#N/A</v>
      </c>
      <c r="R37" t="e">
        <f>INDEX(Items!D$2:D$1032,MATCH($O37,Items!$A$2:$A$1032,0))</f>
        <v>#N/A</v>
      </c>
    </row>
    <row r="38" spans="1:18" x14ac:dyDescent="0.25">
      <c r="A38">
        <f t="shared" si="0"/>
        <v>1</v>
      </c>
      <c r="B38" t="str">
        <f t="shared" si="1"/>
        <v/>
      </c>
      <c r="C38">
        <f t="shared" si="5"/>
        <v>1</v>
      </c>
      <c r="D38" s="4"/>
      <c r="F38" t="s">
        <v>47</v>
      </c>
      <c r="G38" t="s">
        <v>46</v>
      </c>
      <c r="M38">
        <f t="shared" si="6"/>
        <v>0</v>
      </c>
      <c r="N38">
        <f t="shared" si="4"/>
        <v>0</v>
      </c>
      <c r="P38" t="e">
        <f>INDEX(Items!B$2:B$1032,MATCH($O38,Items!$A$2:$A$1032,0))</f>
        <v>#N/A</v>
      </c>
      <c r="Q38" t="e">
        <f>INDEX(Items!C$2:C$1032,MATCH($O38,Items!$A$2:$A$1032,0))</f>
        <v>#N/A</v>
      </c>
      <c r="R38" t="e">
        <f>INDEX(Items!D$2:D$1032,MATCH($O38,Items!$A$2:$A$1032,0))</f>
        <v>#N/A</v>
      </c>
    </row>
    <row r="39" spans="1:18" x14ac:dyDescent="0.25">
      <c r="A39">
        <f t="shared" si="0"/>
        <v>1</v>
      </c>
      <c r="B39" t="str">
        <f t="shared" si="1"/>
        <v/>
      </c>
      <c r="C39">
        <f t="shared" si="5"/>
        <v>1</v>
      </c>
      <c r="D39" s="4"/>
      <c r="F39" t="s">
        <v>47</v>
      </c>
      <c r="G39" t="s">
        <v>46</v>
      </c>
      <c r="M39">
        <f t="shared" si="6"/>
        <v>0</v>
      </c>
      <c r="N39">
        <f t="shared" si="4"/>
        <v>0</v>
      </c>
      <c r="P39" t="e">
        <f>INDEX(Items!B$2:B$1032,MATCH($O39,Items!$A$2:$A$1032,0))</f>
        <v>#N/A</v>
      </c>
      <c r="Q39" t="e">
        <f>INDEX(Items!C$2:C$1032,MATCH($O39,Items!$A$2:$A$1032,0))</f>
        <v>#N/A</v>
      </c>
      <c r="R39" t="e">
        <f>INDEX(Items!D$2:D$1032,MATCH($O39,Items!$A$2:$A$1032,0))</f>
        <v>#N/A</v>
      </c>
    </row>
    <row r="40" spans="1:18" x14ac:dyDescent="0.25">
      <c r="A40">
        <f t="shared" si="0"/>
        <v>1</v>
      </c>
      <c r="B40" t="str">
        <f t="shared" si="1"/>
        <v/>
      </c>
      <c r="C40">
        <f t="shared" si="5"/>
        <v>1</v>
      </c>
      <c r="D40" s="4"/>
      <c r="F40" t="s">
        <v>47</v>
      </c>
      <c r="G40" t="s">
        <v>46</v>
      </c>
      <c r="M40">
        <f t="shared" si="6"/>
        <v>0</v>
      </c>
      <c r="N40">
        <f t="shared" si="4"/>
        <v>0</v>
      </c>
      <c r="P40" t="e">
        <f>INDEX(Items!B$2:B$1032,MATCH($O40,Items!$A$2:$A$1032,0))</f>
        <v>#N/A</v>
      </c>
      <c r="Q40" t="e">
        <f>INDEX(Items!C$2:C$1032,MATCH($O40,Items!$A$2:$A$1032,0))</f>
        <v>#N/A</v>
      </c>
      <c r="R40" t="e">
        <f>INDEX(Items!D$2:D$1032,MATCH($O40,Items!$A$2:$A$1032,0))</f>
        <v>#N/A</v>
      </c>
    </row>
    <row r="41" spans="1:18" x14ac:dyDescent="0.25">
      <c r="A41">
        <f t="shared" si="0"/>
        <v>1</v>
      </c>
      <c r="B41" t="str">
        <f t="shared" si="1"/>
        <v/>
      </c>
      <c r="C41">
        <f t="shared" si="5"/>
        <v>1</v>
      </c>
      <c r="D41" s="4"/>
      <c r="F41" t="s">
        <v>47</v>
      </c>
      <c r="G41" t="s">
        <v>46</v>
      </c>
      <c r="M41">
        <f t="shared" si="6"/>
        <v>0</v>
      </c>
      <c r="N41">
        <f t="shared" si="4"/>
        <v>0</v>
      </c>
      <c r="P41" t="e">
        <f>INDEX(Items!B$2:B$1032,MATCH($O41,Items!$A$2:$A$1032,0))</f>
        <v>#N/A</v>
      </c>
      <c r="Q41" t="e">
        <f>INDEX(Items!C$2:C$1032,MATCH($O41,Items!$A$2:$A$1032,0))</f>
        <v>#N/A</v>
      </c>
      <c r="R41" t="e">
        <f>INDEX(Items!D$2:D$1032,MATCH($O41,Items!$A$2:$A$1032,0))</f>
        <v>#N/A</v>
      </c>
    </row>
    <row r="42" spans="1:18" x14ac:dyDescent="0.25">
      <c r="A42">
        <f t="shared" si="0"/>
        <v>1</v>
      </c>
      <c r="B42" t="str">
        <f t="shared" si="1"/>
        <v/>
      </c>
      <c r="C42">
        <f t="shared" si="5"/>
        <v>1</v>
      </c>
      <c r="D42" s="4"/>
      <c r="F42" t="s">
        <v>47</v>
      </c>
      <c r="G42" t="s">
        <v>46</v>
      </c>
      <c r="M42">
        <f t="shared" si="6"/>
        <v>0</v>
      </c>
      <c r="N42">
        <f t="shared" si="4"/>
        <v>0</v>
      </c>
      <c r="P42" t="e">
        <f>INDEX(Items!B$2:B$1032,MATCH($O42,Items!$A$2:$A$1032,0))</f>
        <v>#N/A</v>
      </c>
      <c r="Q42" t="e">
        <f>INDEX(Items!C$2:C$1032,MATCH($O42,Items!$A$2:$A$1032,0))</f>
        <v>#N/A</v>
      </c>
      <c r="R42" t="e">
        <f>INDEX(Items!D$2:D$1032,MATCH($O42,Items!$A$2:$A$1032,0))</f>
        <v>#N/A</v>
      </c>
    </row>
    <row r="43" spans="1:18" x14ac:dyDescent="0.25">
      <c r="A43">
        <f t="shared" si="0"/>
        <v>1</v>
      </c>
      <c r="B43" t="str">
        <f t="shared" si="1"/>
        <v/>
      </c>
      <c r="C43">
        <f t="shared" si="5"/>
        <v>1</v>
      </c>
      <c r="D43" s="4"/>
      <c r="F43" t="s">
        <v>47</v>
      </c>
      <c r="G43" t="s">
        <v>46</v>
      </c>
      <c r="M43">
        <f t="shared" si="6"/>
        <v>0</v>
      </c>
      <c r="N43">
        <f t="shared" si="4"/>
        <v>0</v>
      </c>
      <c r="P43" t="e">
        <f>INDEX(Items!B$2:B$1032,MATCH($O43,Items!$A$2:$A$1032,0))</f>
        <v>#N/A</v>
      </c>
      <c r="Q43" t="e">
        <f>INDEX(Items!C$2:C$1032,MATCH($O43,Items!$A$2:$A$1032,0))</f>
        <v>#N/A</v>
      </c>
      <c r="R43" t="e">
        <f>INDEX(Items!D$2:D$1032,MATCH($O43,Items!$A$2:$A$1032,0))</f>
        <v>#N/A</v>
      </c>
    </row>
    <row r="44" spans="1:18" x14ac:dyDescent="0.25">
      <c r="A44">
        <f t="shared" si="0"/>
        <v>1</v>
      </c>
      <c r="B44" t="str">
        <f t="shared" si="1"/>
        <v/>
      </c>
      <c r="C44">
        <f t="shared" si="5"/>
        <v>1</v>
      </c>
      <c r="D44" s="4"/>
      <c r="F44" t="s">
        <v>43</v>
      </c>
      <c r="G44" t="s">
        <v>48</v>
      </c>
      <c r="M44">
        <f t="shared" si="6"/>
        <v>0</v>
      </c>
      <c r="N44">
        <f t="shared" si="4"/>
        <v>0</v>
      </c>
      <c r="P44" t="e">
        <f>INDEX(Items!B$2:B$1032,MATCH($O44,Items!$A$2:$A$1032,0))</f>
        <v>#N/A</v>
      </c>
      <c r="Q44" t="e">
        <f>INDEX(Items!C$2:C$1032,MATCH($O44,Items!$A$2:$A$1032,0))</f>
        <v>#N/A</v>
      </c>
      <c r="R44" t="e">
        <f>INDEX(Items!D$2:D$1032,MATCH($O44,Items!$A$2:$A$1032,0))</f>
        <v>#N/A</v>
      </c>
    </row>
    <row r="45" spans="1:18" x14ac:dyDescent="0.25">
      <c r="A45">
        <f t="shared" si="0"/>
        <v>1</v>
      </c>
      <c r="B45" t="str">
        <f t="shared" si="1"/>
        <v/>
      </c>
      <c r="C45">
        <f t="shared" si="5"/>
        <v>1</v>
      </c>
      <c r="D45" s="4"/>
      <c r="F45" t="s">
        <v>43</v>
      </c>
      <c r="G45" t="s">
        <v>48</v>
      </c>
      <c r="M45">
        <f t="shared" si="6"/>
        <v>0</v>
      </c>
      <c r="N45">
        <f t="shared" si="4"/>
        <v>0</v>
      </c>
      <c r="P45" t="e">
        <f>INDEX(Items!B$2:B$1032,MATCH($O45,Items!$A$2:$A$1032,0))</f>
        <v>#N/A</v>
      </c>
      <c r="Q45" t="e">
        <f>INDEX(Items!C$2:C$1032,MATCH($O45,Items!$A$2:$A$1032,0))</f>
        <v>#N/A</v>
      </c>
      <c r="R45" t="e">
        <f>INDEX(Items!D$2:D$1032,MATCH($O45,Items!$A$2:$A$1032,0))</f>
        <v>#N/A</v>
      </c>
    </row>
    <row r="46" spans="1:18" x14ac:dyDescent="0.25">
      <c r="A46">
        <f t="shared" si="0"/>
        <v>1</v>
      </c>
      <c r="B46" t="str">
        <f t="shared" si="1"/>
        <v/>
      </c>
      <c r="C46">
        <f t="shared" si="5"/>
        <v>1</v>
      </c>
      <c r="D46" s="4"/>
      <c r="F46" t="e">
        <f>INDEX(Establishment!B$2:B$1005,MATCH($E46,Establishment!$A$2:$A$1005,0))</f>
        <v>#N/A</v>
      </c>
      <c r="G46" t="e">
        <f>INDEX(Establishment!C$2:C$1005,MATCH($E46,Establishment!$A$2:$A$1005,0))</f>
        <v>#N/A</v>
      </c>
      <c r="M46">
        <f t="shared" si="6"/>
        <v>0</v>
      </c>
      <c r="N46">
        <f t="shared" si="4"/>
        <v>0</v>
      </c>
      <c r="P46" t="e">
        <f>INDEX(Items!B$2:B$1032,MATCH($O46,Items!$A$2:$A$1032,0))</f>
        <v>#N/A</v>
      </c>
      <c r="Q46" t="e">
        <f>INDEX(Items!C$2:C$1032,MATCH($O46,Items!$A$2:$A$1032,0))</f>
        <v>#N/A</v>
      </c>
      <c r="R46" t="e">
        <f>INDEX(Items!D$2:D$1032,MATCH($O46,Items!$A$2:$A$1032,0))</f>
        <v>#N/A</v>
      </c>
    </row>
    <row r="47" spans="1:18" x14ac:dyDescent="0.25">
      <c r="A47">
        <f t="shared" si="0"/>
        <v>1</v>
      </c>
      <c r="B47" t="str">
        <f t="shared" si="1"/>
        <v/>
      </c>
      <c r="C47">
        <f t="shared" si="5"/>
        <v>1</v>
      </c>
      <c r="D47" s="4"/>
      <c r="F47" t="e">
        <f>INDEX(Establishment!B$2:B$1005,MATCH($E47,Establishment!$A$2:$A$1005,0))</f>
        <v>#N/A</v>
      </c>
      <c r="G47" t="e">
        <f>INDEX(Establishment!C$2:C$1005,MATCH($E47,Establishment!$A$2:$A$1005,0))</f>
        <v>#N/A</v>
      </c>
      <c r="M47">
        <f t="shared" si="6"/>
        <v>0</v>
      </c>
      <c r="N47">
        <f t="shared" si="4"/>
        <v>0</v>
      </c>
      <c r="P47" t="e">
        <f>INDEX(Items!B$2:B$1032,MATCH($O47,Items!$A$2:$A$1032,0))</f>
        <v>#N/A</v>
      </c>
      <c r="Q47" t="e">
        <f>INDEX(Items!C$2:C$1032,MATCH($O47,Items!$A$2:$A$1032,0))</f>
        <v>#N/A</v>
      </c>
      <c r="R47" t="e">
        <f>INDEX(Items!D$2:D$1032,MATCH($O47,Items!$A$2:$A$1032,0))</f>
        <v>#N/A</v>
      </c>
    </row>
    <row r="48" spans="1:18" x14ac:dyDescent="0.25">
      <c r="A48">
        <f t="shared" si="0"/>
        <v>1</v>
      </c>
      <c r="B48" t="str">
        <f t="shared" si="1"/>
        <v/>
      </c>
      <c r="C48">
        <f t="shared" si="5"/>
        <v>1</v>
      </c>
      <c r="D48" s="4"/>
      <c r="F48" t="e">
        <f>INDEX(Establishment!B$2:B$1005,MATCH($E48,Establishment!$A$2:$A$1005,0))</f>
        <v>#N/A</v>
      </c>
      <c r="G48" t="e">
        <f>INDEX(Establishment!C$2:C$1005,MATCH($E48,Establishment!$A$2:$A$1005,0))</f>
        <v>#N/A</v>
      </c>
      <c r="M48">
        <f t="shared" si="6"/>
        <v>0</v>
      </c>
      <c r="N48">
        <f t="shared" si="4"/>
        <v>0</v>
      </c>
      <c r="P48" t="e">
        <f>INDEX(Items!B$2:B$1032,MATCH($O48,Items!$A$2:$A$1032,0))</f>
        <v>#N/A</v>
      </c>
      <c r="Q48" t="e">
        <f>INDEX(Items!C$2:C$1032,MATCH($O48,Items!$A$2:$A$1032,0))</f>
        <v>#N/A</v>
      </c>
      <c r="R48" t="e">
        <f>INDEX(Items!D$2:D$1032,MATCH($O48,Items!$A$2:$A$1032,0))</f>
        <v>#N/A</v>
      </c>
    </row>
    <row r="49" spans="1:18" x14ac:dyDescent="0.25">
      <c r="A49">
        <f t="shared" si="0"/>
        <v>1</v>
      </c>
      <c r="B49" t="str">
        <f t="shared" si="1"/>
        <v/>
      </c>
      <c r="C49">
        <f t="shared" si="5"/>
        <v>1</v>
      </c>
      <c r="D49" s="4"/>
      <c r="F49" t="e">
        <f>INDEX(Establishment!B$2:B$1005,MATCH($E49,Establishment!$A$2:$A$1005,0))</f>
        <v>#N/A</v>
      </c>
      <c r="G49" t="e">
        <f>INDEX(Establishment!C$2:C$1005,MATCH($E49,Establishment!$A$2:$A$1005,0))</f>
        <v>#N/A</v>
      </c>
      <c r="M49">
        <f t="shared" si="6"/>
        <v>0</v>
      </c>
      <c r="N49">
        <f t="shared" si="4"/>
        <v>0</v>
      </c>
      <c r="P49" t="e">
        <f>INDEX(Items!B$2:B$1032,MATCH($O49,Items!$A$2:$A$1032,0))</f>
        <v>#N/A</v>
      </c>
      <c r="Q49" t="e">
        <f>INDEX(Items!C$2:C$1032,MATCH($O49,Items!$A$2:$A$1032,0))</f>
        <v>#N/A</v>
      </c>
      <c r="R49" t="e">
        <f>INDEX(Items!D$2:D$1032,MATCH($O49,Items!$A$2:$A$1032,0))</f>
        <v>#N/A</v>
      </c>
    </row>
    <row r="50" spans="1:18" x14ac:dyDescent="0.25">
      <c r="A50">
        <f t="shared" si="0"/>
        <v>1</v>
      </c>
      <c r="B50" t="str">
        <f t="shared" si="1"/>
        <v/>
      </c>
      <c r="C50">
        <f t="shared" si="5"/>
        <v>1</v>
      </c>
      <c r="D50" s="4"/>
      <c r="F50" t="e">
        <f>INDEX(Establishment!B$2:B$1005,MATCH($E50,Establishment!$A$2:$A$1005,0))</f>
        <v>#N/A</v>
      </c>
      <c r="G50" t="e">
        <f>INDEX(Establishment!C$2:C$1005,MATCH($E50,Establishment!$A$2:$A$1005,0))</f>
        <v>#N/A</v>
      </c>
      <c r="M50">
        <f t="shared" si="6"/>
        <v>0</v>
      </c>
      <c r="N50">
        <f t="shared" si="4"/>
        <v>0</v>
      </c>
      <c r="P50" t="e">
        <f>INDEX(Items!B$2:B$1032,MATCH($O50,Items!$A$2:$A$1032,0))</f>
        <v>#N/A</v>
      </c>
      <c r="Q50" t="e">
        <f>INDEX(Items!C$2:C$1032,MATCH($O50,Items!$A$2:$A$1032,0))</f>
        <v>#N/A</v>
      </c>
      <c r="R50" t="e">
        <f>INDEX(Items!D$2:D$1032,MATCH($O50,Items!$A$2:$A$1032,0))</f>
        <v>#N/A</v>
      </c>
    </row>
    <row r="51" spans="1:18" x14ac:dyDescent="0.25">
      <c r="A51">
        <f t="shared" si="0"/>
        <v>1</v>
      </c>
      <c r="B51" t="str">
        <f t="shared" si="1"/>
        <v/>
      </c>
      <c r="C51">
        <f t="shared" si="5"/>
        <v>1</v>
      </c>
      <c r="D51" s="4"/>
      <c r="F51" t="e">
        <f>INDEX(Establishment!B$2:B$1005,MATCH($E51,Establishment!$A$2:$A$1005,0))</f>
        <v>#N/A</v>
      </c>
      <c r="G51" t="e">
        <f>INDEX(Establishment!C$2:C$1005,MATCH($E51,Establishment!$A$2:$A$1005,0))</f>
        <v>#N/A</v>
      </c>
      <c r="M51">
        <f t="shared" si="6"/>
        <v>0</v>
      </c>
      <c r="N51">
        <f t="shared" si="4"/>
        <v>0</v>
      </c>
      <c r="P51" t="e">
        <f>INDEX(Items!B$2:B$1032,MATCH($O51,Items!$A$2:$A$1032,0))</f>
        <v>#N/A</v>
      </c>
      <c r="Q51" t="e">
        <f>INDEX(Items!C$2:C$1032,MATCH($O51,Items!$A$2:$A$1032,0))</f>
        <v>#N/A</v>
      </c>
      <c r="R51" t="e">
        <f>INDEX(Items!D$2:D$1032,MATCH($O51,Items!$A$2:$A$1032,0))</f>
        <v>#N/A</v>
      </c>
    </row>
    <row r="52" spans="1:18" x14ac:dyDescent="0.25">
      <c r="A52">
        <f t="shared" si="0"/>
        <v>1</v>
      </c>
      <c r="B52" t="str">
        <f t="shared" si="1"/>
        <v/>
      </c>
      <c r="C52">
        <f t="shared" si="5"/>
        <v>1</v>
      </c>
      <c r="D52" s="4"/>
      <c r="F52" t="e">
        <f>INDEX(Establishment!B$2:B$1005,MATCH($E52,Establishment!$A$2:$A$1005,0))</f>
        <v>#N/A</v>
      </c>
      <c r="G52" t="e">
        <f>INDEX(Establishment!C$2:C$1005,MATCH($E52,Establishment!$A$2:$A$1005,0))</f>
        <v>#N/A</v>
      </c>
      <c r="M52">
        <f t="shared" si="6"/>
        <v>0</v>
      </c>
      <c r="N52">
        <f t="shared" si="4"/>
        <v>0</v>
      </c>
      <c r="P52" t="e">
        <f>INDEX(Items!B$2:B$1032,MATCH($O52,Items!$A$2:$A$1032,0))</f>
        <v>#N/A</v>
      </c>
      <c r="Q52" t="e">
        <f>INDEX(Items!C$2:C$1032,MATCH($O52,Items!$A$2:$A$1032,0))</f>
        <v>#N/A</v>
      </c>
      <c r="R52" t="e">
        <f>INDEX(Items!D$2:D$1032,MATCH($O52,Items!$A$2:$A$1032,0))</f>
        <v>#N/A</v>
      </c>
    </row>
    <row r="53" spans="1:18" x14ac:dyDescent="0.25">
      <c r="A53">
        <f t="shared" si="0"/>
        <v>1</v>
      </c>
      <c r="B53" t="str">
        <f t="shared" si="1"/>
        <v/>
      </c>
      <c r="C53">
        <f t="shared" si="5"/>
        <v>1</v>
      </c>
      <c r="D53" s="4"/>
      <c r="F53" t="e">
        <f>INDEX(Establishment!B$2:B$1005,MATCH($E53,Establishment!$A$2:$A$1005,0))</f>
        <v>#N/A</v>
      </c>
      <c r="G53" t="e">
        <f>INDEX(Establishment!C$2:C$1005,MATCH($E53,Establishment!$A$2:$A$1005,0))</f>
        <v>#N/A</v>
      </c>
      <c r="M53">
        <f t="shared" si="6"/>
        <v>0</v>
      </c>
      <c r="N53">
        <f t="shared" si="4"/>
        <v>0</v>
      </c>
      <c r="P53" t="e">
        <f>INDEX(Items!B$2:B$1032,MATCH($O53,Items!$A$2:$A$1032,0))</f>
        <v>#N/A</v>
      </c>
      <c r="Q53" t="e">
        <f>INDEX(Items!C$2:C$1032,MATCH($O53,Items!$A$2:$A$1032,0))</f>
        <v>#N/A</v>
      </c>
      <c r="R53" t="e">
        <f>INDEX(Items!D$2:D$1032,MATCH($O53,Items!$A$2:$A$1032,0))</f>
        <v>#N/A</v>
      </c>
    </row>
    <row r="54" spans="1:18" x14ac:dyDescent="0.25">
      <c r="A54">
        <f t="shared" si="0"/>
        <v>1</v>
      </c>
      <c r="B54" t="str">
        <f t="shared" si="1"/>
        <v/>
      </c>
      <c r="C54">
        <f t="shared" si="5"/>
        <v>1</v>
      </c>
      <c r="D54" s="4"/>
      <c r="F54" t="e">
        <f>INDEX(Establishment!B$2:B$1005,MATCH($E54,Establishment!$A$2:$A$1005,0))</f>
        <v>#N/A</v>
      </c>
      <c r="G54" t="e">
        <f>INDEX(Establishment!C$2:C$1005,MATCH($E54,Establishment!$A$2:$A$1005,0))</f>
        <v>#N/A</v>
      </c>
      <c r="M54">
        <f t="shared" si="6"/>
        <v>0</v>
      </c>
      <c r="N54">
        <f t="shared" si="4"/>
        <v>0</v>
      </c>
      <c r="P54" t="e">
        <f>INDEX(Items!B$2:B$1032,MATCH($O54,Items!$A$2:$A$1032,0))</f>
        <v>#N/A</v>
      </c>
      <c r="Q54" t="e">
        <f>INDEX(Items!C$2:C$1032,MATCH($O54,Items!$A$2:$A$1032,0))</f>
        <v>#N/A</v>
      </c>
      <c r="R54" t="e">
        <f>INDEX(Items!D$2:D$1032,MATCH($O54,Items!$A$2:$A$1032,0))</f>
        <v>#N/A</v>
      </c>
    </row>
    <row r="55" spans="1:18" x14ac:dyDescent="0.25">
      <c r="A55">
        <f t="shared" si="0"/>
        <v>1</v>
      </c>
      <c r="B55" t="str">
        <f t="shared" si="1"/>
        <v/>
      </c>
      <c r="C55">
        <f t="shared" si="5"/>
        <v>1</v>
      </c>
      <c r="D55" s="4"/>
      <c r="F55" t="e">
        <f>INDEX(Establishment!B$2:B$1005,MATCH($E55,Establishment!$A$2:$A$1005,0))</f>
        <v>#N/A</v>
      </c>
      <c r="G55" t="e">
        <f>INDEX(Establishment!C$2:C$1005,MATCH($E55,Establishment!$A$2:$A$1005,0))</f>
        <v>#N/A</v>
      </c>
      <c r="M55">
        <f t="shared" si="6"/>
        <v>0</v>
      </c>
      <c r="N55">
        <f t="shared" si="4"/>
        <v>0</v>
      </c>
      <c r="P55" t="e">
        <f>INDEX(Items!B$2:B$1032,MATCH($O55,Items!$A$2:$A$1032,0))</f>
        <v>#N/A</v>
      </c>
      <c r="Q55" t="e">
        <f>INDEX(Items!C$2:C$1032,MATCH($O55,Items!$A$2:$A$1032,0))</f>
        <v>#N/A</v>
      </c>
      <c r="R55" t="e">
        <f>INDEX(Items!D$2:D$1032,MATCH($O55,Items!$A$2:$A$1032,0))</f>
        <v>#N/A</v>
      </c>
    </row>
    <row r="56" spans="1:18" x14ac:dyDescent="0.25">
      <c r="A56">
        <f t="shared" si="0"/>
        <v>1</v>
      </c>
      <c r="B56" t="str">
        <f t="shared" si="1"/>
        <v/>
      </c>
      <c r="C56">
        <f t="shared" si="5"/>
        <v>1</v>
      </c>
      <c r="D56" s="4"/>
      <c r="F56" t="e">
        <f>INDEX(Establishment!B$2:B$1005,MATCH($E56,Establishment!$A$2:$A$1005,0))</f>
        <v>#N/A</v>
      </c>
      <c r="G56" t="e">
        <f>INDEX(Establishment!C$2:C$1005,MATCH($E56,Establishment!$A$2:$A$1005,0))</f>
        <v>#N/A</v>
      </c>
      <c r="M56">
        <f t="shared" si="6"/>
        <v>0</v>
      </c>
      <c r="N56">
        <f t="shared" si="4"/>
        <v>0</v>
      </c>
      <c r="P56" t="e">
        <f>INDEX(Items!B$2:B$1032,MATCH($O56,Items!$A$2:$A$1032,0))</f>
        <v>#N/A</v>
      </c>
      <c r="Q56" t="e">
        <f>INDEX(Items!C$2:C$1032,MATCH($O56,Items!$A$2:$A$1032,0))</f>
        <v>#N/A</v>
      </c>
      <c r="R56" t="e">
        <f>INDEX(Items!D$2:D$1032,MATCH($O56,Items!$A$2:$A$1032,0))</f>
        <v>#N/A</v>
      </c>
    </row>
    <row r="57" spans="1:18" x14ac:dyDescent="0.25">
      <c r="A57">
        <f t="shared" si="0"/>
        <v>1</v>
      </c>
      <c r="B57" t="str">
        <f t="shared" si="1"/>
        <v/>
      </c>
      <c r="C57">
        <f t="shared" si="5"/>
        <v>1</v>
      </c>
      <c r="D57" s="4"/>
      <c r="F57" t="e">
        <f>INDEX(Establishment!B$2:B$1005,MATCH($E57,Establishment!$A$2:$A$1005,0))</f>
        <v>#N/A</v>
      </c>
      <c r="G57" t="e">
        <f>INDEX(Establishment!C$2:C$1005,MATCH($E57,Establishment!$A$2:$A$1005,0))</f>
        <v>#N/A</v>
      </c>
      <c r="M57">
        <f t="shared" si="6"/>
        <v>0</v>
      </c>
      <c r="N57">
        <f t="shared" si="4"/>
        <v>0</v>
      </c>
      <c r="P57" t="e">
        <f>INDEX(Items!B$2:B$1032,MATCH($O57,Items!$A$2:$A$1032,0))</f>
        <v>#N/A</v>
      </c>
      <c r="Q57" t="e">
        <f>INDEX(Items!C$2:C$1032,MATCH($O57,Items!$A$2:$A$1032,0))</f>
        <v>#N/A</v>
      </c>
      <c r="R57" t="e">
        <f>INDEX(Items!D$2:D$1032,MATCH($O57,Items!$A$2:$A$1032,0))</f>
        <v>#N/A</v>
      </c>
    </row>
    <row r="58" spans="1:18" x14ac:dyDescent="0.25">
      <c r="A58">
        <f t="shared" si="0"/>
        <v>1</v>
      </c>
      <c r="B58" t="str">
        <f t="shared" si="1"/>
        <v/>
      </c>
      <c r="C58">
        <f t="shared" si="5"/>
        <v>1</v>
      </c>
      <c r="D58" s="4"/>
      <c r="F58" t="e">
        <f>INDEX(Establishment!B$2:B$1005,MATCH($E58,Establishment!$A$2:$A$1005,0))</f>
        <v>#N/A</v>
      </c>
      <c r="G58" t="e">
        <f>INDEX(Establishment!C$2:C$1005,MATCH($E58,Establishment!$A$2:$A$1005,0))</f>
        <v>#N/A</v>
      </c>
      <c r="M58">
        <f t="shared" si="6"/>
        <v>0</v>
      </c>
      <c r="N58">
        <f t="shared" si="4"/>
        <v>0</v>
      </c>
      <c r="P58" t="e">
        <f>INDEX(Items!B$2:B$1032,MATCH($O58,Items!$A$2:$A$1032,0))</f>
        <v>#N/A</v>
      </c>
      <c r="Q58" t="e">
        <f>INDEX(Items!C$2:C$1032,MATCH($O58,Items!$A$2:$A$1032,0))</f>
        <v>#N/A</v>
      </c>
      <c r="R58" t="e">
        <f>INDEX(Items!D$2:D$1032,MATCH($O58,Items!$A$2:$A$1032,0))</f>
        <v>#N/A</v>
      </c>
    </row>
    <row r="59" spans="1:18" x14ac:dyDescent="0.25">
      <c r="A59">
        <f t="shared" si="0"/>
        <v>1</v>
      </c>
      <c r="B59" t="str">
        <f t="shared" si="1"/>
        <v/>
      </c>
      <c r="C59">
        <f t="shared" si="5"/>
        <v>1</v>
      </c>
      <c r="D59" s="4"/>
      <c r="F59" t="e">
        <f>INDEX(Establishment!B$2:B$1005,MATCH($E59,Establishment!$A$2:$A$1005,0))</f>
        <v>#N/A</v>
      </c>
      <c r="G59" t="e">
        <f>INDEX(Establishment!C$2:C$1005,MATCH($E59,Establishment!$A$2:$A$1005,0))</f>
        <v>#N/A</v>
      </c>
      <c r="M59">
        <f t="shared" si="6"/>
        <v>0</v>
      </c>
      <c r="N59">
        <f t="shared" si="4"/>
        <v>0</v>
      </c>
      <c r="P59" t="e">
        <f>INDEX(Items!B$2:B$1032,MATCH($O59,Items!$A$2:$A$1032,0))</f>
        <v>#N/A</v>
      </c>
      <c r="Q59" t="e">
        <f>INDEX(Items!C$2:C$1032,MATCH($O59,Items!$A$2:$A$1032,0))</f>
        <v>#N/A</v>
      </c>
      <c r="R59" t="e">
        <f>INDEX(Items!D$2:D$1032,MATCH($O59,Items!$A$2:$A$1032,0))</f>
        <v>#N/A</v>
      </c>
    </row>
    <row r="60" spans="1:18" x14ac:dyDescent="0.25">
      <c r="A60">
        <f t="shared" si="0"/>
        <v>1</v>
      </c>
      <c r="B60" t="str">
        <f t="shared" si="1"/>
        <v/>
      </c>
      <c r="C60">
        <f t="shared" si="5"/>
        <v>1</v>
      </c>
      <c r="D60" s="4"/>
      <c r="F60" t="e">
        <f>INDEX(Establishment!B$2:B$1005,MATCH($E60,Establishment!$A$2:$A$1005,0))</f>
        <v>#N/A</v>
      </c>
      <c r="G60" t="e">
        <f>INDEX(Establishment!C$2:C$1005,MATCH($E60,Establishment!$A$2:$A$1005,0))</f>
        <v>#N/A</v>
      </c>
      <c r="M60">
        <f t="shared" si="6"/>
        <v>0</v>
      </c>
      <c r="N60">
        <f t="shared" si="4"/>
        <v>0</v>
      </c>
      <c r="P60" t="e">
        <f>INDEX(Items!B$2:B$1032,MATCH($O60,Items!$A$2:$A$1032,0))</f>
        <v>#N/A</v>
      </c>
      <c r="Q60" t="e">
        <f>INDEX(Items!C$2:C$1032,MATCH($O60,Items!$A$2:$A$1032,0))</f>
        <v>#N/A</v>
      </c>
      <c r="R60" t="e">
        <f>INDEX(Items!D$2:D$1032,MATCH($O60,Items!$A$2:$A$1032,0))</f>
        <v>#N/A</v>
      </c>
    </row>
    <row r="61" spans="1:18" x14ac:dyDescent="0.25">
      <c r="A61">
        <f t="shared" si="0"/>
        <v>1</v>
      </c>
      <c r="B61" t="str">
        <f t="shared" si="1"/>
        <v/>
      </c>
      <c r="C61">
        <f t="shared" si="5"/>
        <v>1</v>
      </c>
      <c r="D61" s="4"/>
      <c r="F61" t="e">
        <f>INDEX(Establishment!B$2:B$1005,MATCH($E61,Establishment!$A$2:$A$1005,0))</f>
        <v>#N/A</v>
      </c>
      <c r="G61" t="e">
        <f>INDEX(Establishment!C$2:C$1005,MATCH($E61,Establishment!$A$2:$A$1005,0))</f>
        <v>#N/A</v>
      </c>
      <c r="M61">
        <f t="shared" si="6"/>
        <v>0</v>
      </c>
      <c r="N61">
        <f t="shared" si="4"/>
        <v>0</v>
      </c>
      <c r="P61" t="e">
        <f>INDEX(Items!B$2:B$1032,MATCH($O61,Items!$A$2:$A$1032,0))</f>
        <v>#N/A</v>
      </c>
      <c r="Q61" t="e">
        <f>INDEX(Items!C$2:C$1032,MATCH($O61,Items!$A$2:$A$1032,0))</f>
        <v>#N/A</v>
      </c>
      <c r="R61" t="e">
        <f>INDEX(Items!D$2:D$1032,MATCH($O61,Items!$A$2:$A$1032,0))</f>
        <v>#N/A</v>
      </c>
    </row>
    <row r="62" spans="1:18" x14ac:dyDescent="0.25">
      <c r="A62">
        <f t="shared" si="0"/>
        <v>1</v>
      </c>
      <c r="B62" t="str">
        <f t="shared" si="1"/>
        <v/>
      </c>
      <c r="C62">
        <f t="shared" si="5"/>
        <v>1</v>
      </c>
      <c r="D62" s="4"/>
      <c r="F62" t="e">
        <f>INDEX(Establishment!B$2:B$1005,MATCH($E62,Establishment!$A$2:$A$1005,0))</f>
        <v>#N/A</v>
      </c>
      <c r="G62" t="e">
        <f>INDEX(Establishment!C$2:C$1005,MATCH($E62,Establishment!$A$2:$A$1005,0))</f>
        <v>#N/A</v>
      </c>
      <c r="M62">
        <f t="shared" si="6"/>
        <v>0</v>
      </c>
      <c r="N62">
        <f t="shared" si="4"/>
        <v>0</v>
      </c>
      <c r="P62" t="e">
        <f>INDEX(Items!B$2:B$1032,MATCH($O62,Items!$A$2:$A$1032,0))</f>
        <v>#N/A</v>
      </c>
      <c r="Q62" t="e">
        <f>INDEX(Items!C$2:C$1032,MATCH($O62,Items!$A$2:$A$1032,0))</f>
        <v>#N/A</v>
      </c>
      <c r="R62" t="e">
        <f>INDEX(Items!D$2:D$1032,MATCH($O62,Items!$A$2:$A$1032,0))</f>
        <v>#N/A</v>
      </c>
    </row>
    <row r="63" spans="1:18" x14ac:dyDescent="0.25">
      <c r="A63">
        <f t="shared" si="0"/>
        <v>1</v>
      </c>
      <c r="B63" t="str">
        <f t="shared" si="1"/>
        <v/>
      </c>
      <c r="C63">
        <f t="shared" si="5"/>
        <v>1</v>
      </c>
      <c r="D63" s="4"/>
      <c r="F63" t="e">
        <f>INDEX(Establishment!B$2:B$1005,MATCH($E63,Establishment!$A$2:$A$1005,0))</f>
        <v>#N/A</v>
      </c>
      <c r="G63" t="e">
        <f>INDEX(Establishment!C$2:C$1005,MATCH($E63,Establishment!$A$2:$A$1005,0))</f>
        <v>#N/A</v>
      </c>
      <c r="M63">
        <f t="shared" si="6"/>
        <v>0</v>
      </c>
      <c r="N63">
        <f t="shared" si="4"/>
        <v>0</v>
      </c>
      <c r="P63" t="e">
        <f>INDEX(Items!B$2:B$1032,MATCH($O63,Items!$A$2:$A$1032,0))</f>
        <v>#N/A</v>
      </c>
      <c r="Q63" t="e">
        <f>INDEX(Items!C$2:C$1032,MATCH($O63,Items!$A$2:$A$1032,0))</f>
        <v>#N/A</v>
      </c>
      <c r="R63" t="e">
        <f>INDEX(Items!D$2:D$1032,MATCH($O63,Items!$A$2:$A$1032,0))</f>
        <v>#N/A</v>
      </c>
    </row>
    <row r="64" spans="1:18" x14ac:dyDescent="0.25">
      <c r="A64">
        <f t="shared" si="0"/>
        <v>1</v>
      </c>
      <c r="B64" t="str">
        <f t="shared" si="1"/>
        <v/>
      </c>
      <c r="C64">
        <f t="shared" si="5"/>
        <v>1</v>
      </c>
      <c r="D64" s="4"/>
      <c r="F64" t="e">
        <f>INDEX(Establishment!B$2:B$1005,MATCH($E64,Establishment!$A$2:$A$1005,0))</f>
        <v>#N/A</v>
      </c>
      <c r="G64" t="e">
        <f>INDEX(Establishment!C$2:C$1005,MATCH($E64,Establishment!$A$2:$A$1005,0))</f>
        <v>#N/A</v>
      </c>
      <c r="M64">
        <f t="shared" si="6"/>
        <v>0</v>
      </c>
      <c r="N64">
        <f t="shared" si="4"/>
        <v>0</v>
      </c>
      <c r="P64" t="e">
        <f>INDEX(Items!B$2:B$1032,MATCH($O64,Items!$A$2:$A$1032,0))</f>
        <v>#N/A</v>
      </c>
      <c r="Q64" t="e">
        <f>INDEX(Items!C$2:C$1032,MATCH($O64,Items!$A$2:$A$1032,0))</f>
        <v>#N/A</v>
      </c>
      <c r="R64" t="e">
        <f>INDEX(Items!D$2:D$1032,MATCH($O64,Items!$A$2:$A$1032,0))</f>
        <v>#N/A</v>
      </c>
    </row>
    <row r="65" spans="1:18" x14ac:dyDescent="0.25">
      <c r="A65">
        <f t="shared" si="0"/>
        <v>1</v>
      </c>
      <c r="B65" t="str">
        <f t="shared" si="1"/>
        <v/>
      </c>
      <c r="C65">
        <f t="shared" si="5"/>
        <v>1</v>
      </c>
      <c r="D65" s="4"/>
      <c r="F65" t="e">
        <f>INDEX(Establishment!B$2:B$1005,MATCH($E65,Establishment!$A$2:$A$1005,0))</f>
        <v>#N/A</v>
      </c>
      <c r="G65" t="e">
        <f>INDEX(Establishment!C$2:C$1005,MATCH($E65,Establishment!$A$2:$A$1005,0))</f>
        <v>#N/A</v>
      </c>
      <c r="M65">
        <f t="shared" si="6"/>
        <v>0</v>
      </c>
      <c r="N65">
        <f t="shared" si="4"/>
        <v>0</v>
      </c>
      <c r="P65" t="e">
        <f>INDEX(Items!B$2:B$1032,MATCH($O65,Items!$A$2:$A$1032,0))</f>
        <v>#N/A</v>
      </c>
      <c r="Q65" t="e">
        <f>INDEX(Items!C$2:C$1032,MATCH($O65,Items!$A$2:$A$1032,0))</f>
        <v>#N/A</v>
      </c>
      <c r="R65" t="e">
        <f>INDEX(Items!D$2:D$1032,MATCH($O65,Items!$A$2:$A$1032,0))</f>
        <v>#N/A</v>
      </c>
    </row>
    <row r="66" spans="1:18" x14ac:dyDescent="0.25">
      <c r="A66">
        <f t="shared" ref="A66:A129" si="7">IF(OR(D66&lt;&gt;D65,D66=""),1,IF(NOT(AND(E66=E65,F66=F65,G66=G65)),A65+1,IF(OR(H66="",AND(H66&lt;&gt;"",H66&lt;&gt;H65,H65&lt;&gt;"")),A65,A65+1)))</f>
        <v>1</v>
      </c>
      <c r="B66" t="str">
        <f t="shared" ref="B66:B129" si="8">IF(D66&lt;&gt;"",TEXT(D66,"YYYYMMDD")&amp;CHAR(64+A66),"")</f>
        <v/>
      </c>
      <c r="C66">
        <f t="shared" si="5"/>
        <v>1</v>
      </c>
      <c r="D66" s="4"/>
      <c r="F66" t="e">
        <f>INDEX(Establishment!B$2:B$1005,MATCH($E66,Establishment!$A$2:$A$1005,0))</f>
        <v>#N/A</v>
      </c>
      <c r="G66" t="e">
        <f>INDEX(Establishment!C$2:C$1005,MATCH($E66,Establishment!$A$2:$A$1005,0))</f>
        <v>#N/A</v>
      </c>
      <c r="M66">
        <f t="shared" si="6"/>
        <v>0</v>
      </c>
      <c r="N66">
        <f t="shared" si="4"/>
        <v>0</v>
      </c>
      <c r="P66" t="e">
        <f>INDEX(Items!B$2:B$1032,MATCH($O66,Items!$A$2:$A$1032,0))</f>
        <v>#N/A</v>
      </c>
      <c r="Q66" t="e">
        <f>INDEX(Items!C$2:C$1032,MATCH($O66,Items!$A$2:$A$1032,0))</f>
        <v>#N/A</v>
      </c>
      <c r="R66" t="e">
        <f>INDEX(Items!D$2:D$1032,MATCH($O66,Items!$A$2:$A$1032,0))</f>
        <v>#N/A</v>
      </c>
    </row>
    <row r="67" spans="1:18" x14ac:dyDescent="0.25">
      <c r="A67">
        <f t="shared" si="7"/>
        <v>1</v>
      </c>
      <c r="B67" t="str">
        <f t="shared" si="8"/>
        <v/>
      </c>
      <c r="C67">
        <f t="shared" si="5"/>
        <v>1</v>
      </c>
      <c r="D67" s="4"/>
      <c r="F67" t="s">
        <v>43</v>
      </c>
      <c r="G67" t="s">
        <v>46</v>
      </c>
      <c r="M67">
        <f t="shared" si="6"/>
        <v>0</v>
      </c>
      <c r="N67">
        <f t="shared" ref="N67:N130" si="9">IF(B67=B66,N66+M67,M67)</f>
        <v>0</v>
      </c>
      <c r="P67" t="e">
        <f>INDEX(Items!B$2:B$1032,MATCH($O67,Items!$A$2:$A$1032,0))</f>
        <v>#N/A</v>
      </c>
      <c r="Q67" t="e">
        <f>INDEX(Items!C$2:C$1032,MATCH($O67,Items!$A$2:$A$1032,0))</f>
        <v>#N/A</v>
      </c>
      <c r="R67" t="e">
        <f>INDEX(Items!D$2:D$1032,MATCH($O67,Items!$A$2:$A$1032,0))</f>
        <v>#N/A</v>
      </c>
    </row>
    <row r="68" spans="1:18" x14ac:dyDescent="0.25">
      <c r="A68">
        <f t="shared" si="7"/>
        <v>1</v>
      </c>
      <c r="B68" t="str">
        <f t="shared" si="8"/>
        <v/>
      </c>
      <c r="C68">
        <f t="shared" si="5"/>
        <v>1</v>
      </c>
      <c r="D68" s="4"/>
      <c r="F68" t="s">
        <v>43</v>
      </c>
      <c r="G68" t="s">
        <v>46</v>
      </c>
      <c r="M68">
        <f t="shared" si="6"/>
        <v>0</v>
      </c>
      <c r="N68">
        <f t="shared" si="9"/>
        <v>0</v>
      </c>
      <c r="P68" t="e">
        <f>INDEX(Items!B$2:B$1032,MATCH($O68,Items!$A$2:$A$1032,0))</f>
        <v>#N/A</v>
      </c>
      <c r="Q68" t="e">
        <f>INDEX(Items!C$2:C$1032,MATCH($O68,Items!$A$2:$A$1032,0))</f>
        <v>#N/A</v>
      </c>
      <c r="R68" t="e">
        <f>INDEX(Items!D$2:D$1032,MATCH($O68,Items!$A$2:$A$1032,0))</f>
        <v>#N/A</v>
      </c>
    </row>
    <row r="69" spans="1:18" x14ac:dyDescent="0.25">
      <c r="A69">
        <f t="shared" si="7"/>
        <v>1</v>
      </c>
      <c r="B69" t="str">
        <f t="shared" si="8"/>
        <v/>
      </c>
      <c r="C69">
        <f t="shared" si="5"/>
        <v>1</v>
      </c>
      <c r="D69" s="4"/>
      <c r="F69" t="s">
        <v>43</v>
      </c>
      <c r="G69" t="s">
        <v>46</v>
      </c>
      <c r="M69">
        <f t="shared" si="6"/>
        <v>0</v>
      </c>
      <c r="N69">
        <f t="shared" si="9"/>
        <v>0</v>
      </c>
      <c r="P69" t="e">
        <f>INDEX(Items!B$2:B$1032,MATCH($O69,Items!$A$2:$A$1032,0))</f>
        <v>#N/A</v>
      </c>
      <c r="Q69" t="e">
        <f>INDEX(Items!C$2:C$1032,MATCH($O69,Items!$A$2:$A$1032,0))</f>
        <v>#N/A</v>
      </c>
      <c r="R69" t="e">
        <f>INDEX(Items!D$2:D$1032,MATCH($O69,Items!$A$2:$A$1032,0))</f>
        <v>#N/A</v>
      </c>
    </row>
    <row r="70" spans="1:18" x14ac:dyDescent="0.25">
      <c r="A70">
        <f t="shared" si="7"/>
        <v>1</v>
      </c>
      <c r="B70" t="str">
        <f t="shared" si="8"/>
        <v/>
      </c>
      <c r="C70">
        <f t="shared" si="5"/>
        <v>1</v>
      </c>
      <c r="D70" s="4"/>
      <c r="F70" t="s">
        <v>43</v>
      </c>
      <c r="G70" t="s">
        <v>46</v>
      </c>
      <c r="M70">
        <f t="shared" si="6"/>
        <v>0</v>
      </c>
      <c r="N70">
        <f t="shared" si="9"/>
        <v>0</v>
      </c>
      <c r="P70" t="e">
        <f>INDEX(Items!B$2:B$1032,MATCH($O70,Items!$A$2:$A$1032,0))</f>
        <v>#N/A</v>
      </c>
      <c r="Q70" t="e">
        <f>INDEX(Items!C$2:C$1032,MATCH($O70,Items!$A$2:$A$1032,0))</f>
        <v>#N/A</v>
      </c>
      <c r="R70" t="e">
        <f>INDEX(Items!D$2:D$1032,MATCH($O70,Items!$A$2:$A$1032,0))</f>
        <v>#N/A</v>
      </c>
    </row>
    <row r="71" spans="1:18" x14ac:dyDescent="0.25">
      <c r="A71">
        <f t="shared" si="7"/>
        <v>1</v>
      </c>
      <c r="B71" t="str">
        <f t="shared" si="8"/>
        <v/>
      </c>
      <c r="C71">
        <f t="shared" si="5"/>
        <v>1</v>
      </c>
      <c r="D71" s="4"/>
      <c r="F71" t="s">
        <v>43</v>
      </c>
      <c r="G71" t="s">
        <v>46</v>
      </c>
      <c r="M71">
        <f t="shared" si="6"/>
        <v>0</v>
      </c>
      <c r="N71">
        <f t="shared" si="9"/>
        <v>0</v>
      </c>
      <c r="P71" t="e">
        <f>INDEX(Items!B$2:B$1032,MATCH($O71,Items!$A$2:$A$1032,0))</f>
        <v>#N/A</v>
      </c>
      <c r="Q71" t="e">
        <f>INDEX(Items!C$2:C$1032,MATCH($O71,Items!$A$2:$A$1032,0))</f>
        <v>#N/A</v>
      </c>
      <c r="R71" t="e">
        <f>INDEX(Items!D$2:D$1032,MATCH($O71,Items!$A$2:$A$1032,0))</f>
        <v>#N/A</v>
      </c>
    </row>
    <row r="72" spans="1:18" x14ac:dyDescent="0.25">
      <c r="A72">
        <f t="shared" si="7"/>
        <v>1</v>
      </c>
      <c r="B72" t="str">
        <f t="shared" si="8"/>
        <v/>
      </c>
      <c r="C72">
        <f t="shared" si="5"/>
        <v>1</v>
      </c>
      <c r="D72" s="4"/>
      <c r="F72" t="s">
        <v>53</v>
      </c>
      <c r="G72" t="s">
        <v>48</v>
      </c>
      <c r="M72">
        <f t="shared" si="6"/>
        <v>0</v>
      </c>
      <c r="N72">
        <f t="shared" si="9"/>
        <v>0</v>
      </c>
      <c r="P72" t="e">
        <f>INDEX(Items!B$2:B$1032,MATCH($O72,Items!$A$2:$A$1032,0))</f>
        <v>#N/A</v>
      </c>
      <c r="Q72" t="e">
        <f>INDEX(Items!C$2:C$1032,MATCH($O72,Items!$A$2:$A$1032,0))</f>
        <v>#N/A</v>
      </c>
      <c r="R72" t="e">
        <f>INDEX(Items!D$2:D$1032,MATCH($O72,Items!$A$2:$A$1032,0))</f>
        <v>#N/A</v>
      </c>
    </row>
    <row r="73" spans="1:18" x14ac:dyDescent="0.25">
      <c r="A73">
        <f t="shared" si="7"/>
        <v>1</v>
      </c>
      <c r="B73" t="str">
        <f t="shared" si="8"/>
        <v/>
      </c>
      <c r="C73">
        <f t="shared" si="5"/>
        <v>1</v>
      </c>
      <c r="D73" s="4"/>
      <c r="F73" t="s">
        <v>53</v>
      </c>
      <c r="G73" t="s">
        <v>48</v>
      </c>
      <c r="M73">
        <f t="shared" si="6"/>
        <v>0</v>
      </c>
      <c r="N73">
        <f t="shared" si="9"/>
        <v>0</v>
      </c>
      <c r="P73" t="e">
        <f>INDEX(Items!B$2:B$1032,MATCH($O73,Items!$A$2:$A$1032,0))</f>
        <v>#N/A</v>
      </c>
      <c r="Q73" t="e">
        <f>INDEX(Items!C$2:C$1032,MATCH($O73,Items!$A$2:$A$1032,0))</f>
        <v>#N/A</v>
      </c>
      <c r="R73" t="e">
        <f>INDEX(Items!D$2:D$1032,MATCH($O73,Items!$A$2:$A$1032,0))</f>
        <v>#N/A</v>
      </c>
    </row>
    <row r="74" spans="1:18" x14ac:dyDescent="0.25">
      <c r="A74">
        <f t="shared" si="7"/>
        <v>1</v>
      </c>
      <c r="B74" t="str">
        <f t="shared" si="8"/>
        <v/>
      </c>
      <c r="C74">
        <f t="shared" ref="C74:C137" si="10">IF(OR(B74="",B74&lt;&gt;B73),1,C73+1)</f>
        <v>1</v>
      </c>
      <c r="D74" s="4"/>
      <c r="F74" t="s">
        <v>43</v>
      </c>
      <c r="G74" t="s">
        <v>48</v>
      </c>
      <c r="M74">
        <f t="shared" ref="M74:M137" si="11">K74*L74</f>
        <v>0</v>
      </c>
      <c r="N74">
        <f t="shared" si="9"/>
        <v>0</v>
      </c>
      <c r="P74" t="e">
        <f>INDEX(Items!B$2:B$1032,MATCH($O74,Items!$A$2:$A$1032,0))</f>
        <v>#N/A</v>
      </c>
      <c r="Q74" t="e">
        <f>INDEX(Items!C$2:C$1032,MATCH($O74,Items!$A$2:$A$1032,0))</f>
        <v>#N/A</v>
      </c>
      <c r="R74" t="e">
        <f>INDEX(Items!D$2:D$1032,MATCH($O74,Items!$A$2:$A$1032,0))</f>
        <v>#N/A</v>
      </c>
    </row>
    <row r="75" spans="1:18" x14ac:dyDescent="0.25">
      <c r="A75">
        <f t="shared" si="7"/>
        <v>1</v>
      </c>
      <c r="B75" t="str">
        <f t="shared" si="8"/>
        <v/>
      </c>
      <c r="C75">
        <f t="shared" si="10"/>
        <v>1</v>
      </c>
      <c r="D75" s="4"/>
      <c r="F75" t="s">
        <v>43</v>
      </c>
      <c r="G75" t="s">
        <v>48</v>
      </c>
      <c r="M75">
        <f t="shared" si="11"/>
        <v>0</v>
      </c>
      <c r="N75">
        <f t="shared" si="9"/>
        <v>0</v>
      </c>
      <c r="P75" t="e">
        <f>INDEX(Items!B$2:B$1032,MATCH($O75,Items!$A$2:$A$1032,0))</f>
        <v>#N/A</v>
      </c>
      <c r="Q75" t="e">
        <f>INDEX(Items!C$2:C$1032,MATCH($O75,Items!$A$2:$A$1032,0))</f>
        <v>#N/A</v>
      </c>
      <c r="R75" t="e">
        <f>INDEX(Items!D$2:D$1032,MATCH($O75,Items!$A$2:$A$1032,0))</f>
        <v>#N/A</v>
      </c>
    </row>
    <row r="76" spans="1:18" x14ac:dyDescent="0.25">
      <c r="A76">
        <f t="shared" si="7"/>
        <v>1</v>
      </c>
      <c r="B76" t="str">
        <f t="shared" si="8"/>
        <v/>
      </c>
      <c r="C76">
        <f t="shared" si="10"/>
        <v>1</v>
      </c>
      <c r="D76" s="4"/>
      <c r="F76" t="s">
        <v>43</v>
      </c>
      <c r="G76" t="s">
        <v>48</v>
      </c>
      <c r="M76">
        <f t="shared" si="11"/>
        <v>0</v>
      </c>
      <c r="N76">
        <f t="shared" si="9"/>
        <v>0</v>
      </c>
      <c r="P76" t="e">
        <f>INDEX(Items!B$2:B$1032,MATCH($O76,Items!$A$2:$A$1032,0))</f>
        <v>#N/A</v>
      </c>
      <c r="Q76" t="e">
        <f>INDEX(Items!C$2:C$1032,MATCH($O76,Items!$A$2:$A$1032,0))</f>
        <v>#N/A</v>
      </c>
      <c r="R76" t="e">
        <f>INDEX(Items!D$2:D$1032,MATCH($O76,Items!$A$2:$A$1032,0))</f>
        <v>#N/A</v>
      </c>
    </row>
    <row r="77" spans="1:18" x14ac:dyDescent="0.25">
      <c r="A77">
        <f t="shared" si="7"/>
        <v>1</v>
      </c>
      <c r="B77" t="str">
        <f t="shared" si="8"/>
        <v/>
      </c>
      <c r="C77">
        <f t="shared" si="10"/>
        <v>1</v>
      </c>
      <c r="D77" s="4"/>
      <c r="F77" t="s">
        <v>43</v>
      </c>
      <c r="G77" t="s">
        <v>48</v>
      </c>
      <c r="M77">
        <f t="shared" si="11"/>
        <v>0</v>
      </c>
      <c r="N77">
        <f t="shared" si="9"/>
        <v>0</v>
      </c>
      <c r="P77" t="e">
        <f>INDEX(Items!B$2:B$1032,MATCH($O77,Items!$A$2:$A$1032,0))</f>
        <v>#N/A</v>
      </c>
      <c r="Q77" t="e">
        <f>INDEX(Items!C$2:C$1032,MATCH($O77,Items!$A$2:$A$1032,0))</f>
        <v>#N/A</v>
      </c>
      <c r="R77" t="e">
        <f>INDEX(Items!D$2:D$1032,MATCH($O77,Items!$A$2:$A$1032,0))</f>
        <v>#N/A</v>
      </c>
    </row>
    <row r="78" spans="1:18" x14ac:dyDescent="0.25">
      <c r="A78">
        <f t="shared" si="7"/>
        <v>1</v>
      </c>
      <c r="B78" t="str">
        <f t="shared" si="8"/>
        <v/>
      </c>
      <c r="C78">
        <f t="shared" si="10"/>
        <v>1</v>
      </c>
      <c r="D78" s="4"/>
      <c r="F78" t="s">
        <v>43</v>
      </c>
      <c r="G78" t="s">
        <v>48</v>
      </c>
      <c r="M78">
        <f t="shared" si="11"/>
        <v>0</v>
      </c>
      <c r="N78">
        <f t="shared" si="9"/>
        <v>0</v>
      </c>
      <c r="P78" t="e">
        <f>INDEX(Items!B$2:B$1032,MATCH($O78,Items!$A$2:$A$1032,0))</f>
        <v>#N/A</v>
      </c>
      <c r="Q78" t="e">
        <f>INDEX(Items!C$2:C$1032,MATCH($O78,Items!$A$2:$A$1032,0))</f>
        <v>#N/A</v>
      </c>
      <c r="R78" t="e">
        <f>INDEX(Items!D$2:D$1032,MATCH($O78,Items!$A$2:$A$1032,0))</f>
        <v>#N/A</v>
      </c>
    </row>
    <row r="79" spans="1:18" x14ac:dyDescent="0.25">
      <c r="A79">
        <f t="shared" si="7"/>
        <v>1</v>
      </c>
      <c r="B79" t="str">
        <f t="shared" si="8"/>
        <v/>
      </c>
      <c r="C79">
        <f t="shared" si="10"/>
        <v>1</v>
      </c>
      <c r="D79" s="4"/>
      <c r="F79" t="s">
        <v>43</v>
      </c>
      <c r="G79" t="s">
        <v>46</v>
      </c>
      <c r="M79">
        <f t="shared" si="11"/>
        <v>0</v>
      </c>
      <c r="N79">
        <f t="shared" si="9"/>
        <v>0</v>
      </c>
      <c r="P79" t="e">
        <f>INDEX(Items!B$2:B$1032,MATCH($O79,Items!$A$2:$A$1032,0))</f>
        <v>#N/A</v>
      </c>
      <c r="Q79" t="e">
        <f>INDEX(Items!C$2:C$1032,MATCH($O79,Items!$A$2:$A$1032,0))</f>
        <v>#N/A</v>
      </c>
      <c r="R79" t="e">
        <f>INDEX(Items!D$2:D$1032,MATCH($O79,Items!$A$2:$A$1032,0))</f>
        <v>#N/A</v>
      </c>
    </row>
    <row r="80" spans="1:18" x14ac:dyDescent="0.25">
      <c r="A80">
        <f t="shared" si="7"/>
        <v>1</v>
      </c>
      <c r="B80" t="str">
        <f t="shared" si="8"/>
        <v/>
      </c>
      <c r="C80">
        <f t="shared" si="10"/>
        <v>1</v>
      </c>
      <c r="D80" s="4"/>
      <c r="F80" t="s">
        <v>43</v>
      </c>
      <c r="G80" t="s">
        <v>46</v>
      </c>
      <c r="M80">
        <f t="shared" si="11"/>
        <v>0</v>
      </c>
      <c r="N80">
        <f t="shared" si="9"/>
        <v>0</v>
      </c>
      <c r="P80" t="e">
        <f>INDEX(Items!B$2:B$1032,MATCH($O80,Items!$A$2:$A$1032,0))</f>
        <v>#N/A</v>
      </c>
      <c r="Q80" t="e">
        <f>INDEX(Items!C$2:C$1032,MATCH($O80,Items!$A$2:$A$1032,0))</f>
        <v>#N/A</v>
      </c>
      <c r="R80" t="e">
        <f>INDEX(Items!D$2:D$1032,MATCH($O80,Items!$A$2:$A$1032,0))</f>
        <v>#N/A</v>
      </c>
    </row>
    <row r="81" spans="1:18" x14ac:dyDescent="0.25">
      <c r="A81">
        <f t="shared" si="7"/>
        <v>1</v>
      </c>
      <c r="B81" t="str">
        <f t="shared" si="8"/>
        <v/>
      </c>
      <c r="C81">
        <f t="shared" si="10"/>
        <v>1</v>
      </c>
      <c r="D81" s="4"/>
      <c r="F81" t="s">
        <v>43</v>
      </c>
      <c r="G81" t="s">
        <v>46</v>
      </c>
      <c r="M81">
        <f t="shared" si="11"/>
        <v>0</v>
      </c>
      <c r="N81">
        <f t="shared" si="9"/>
        <v>0</v>
      </c>
      <c r="P81" t="e">
        <f>INDEX(Items!B$2:B$1032,MATCH($O81,Items!$A$2:$A$1032,0))</f>
        <v>#N/A</v>
      </c>
      <c r="Q81" t="e">
        <f>INDEX(Items!C$2:C$1032,MATCH($O81,Items!$A$2:$A$1032,0))</f>
        <v>#N/A</v>
      </c>
      <c r="R81" t="e">
        <f>INDEX(Items!D$2:D$1032,MATCH($O81,Items!$A$2:$A$1032,0))</f>
        <v>#N/A</v>
      </c>
    </row>
    <row r="82" spans="1:18" x14ac:dyDescent="0.25">
      <c r="A82">
        <f t="shared" si="7"/>
        <v>1</v>
      </c>
      <c r="B82" t="str">
        <f t="shared" si="8"/>
        <v/>
      </c>
      <c r="C82">
        <f t="shared" si="10"/>
        <v>1</v>
      </c>
      <c r="D82" s="4"/>
      <c r="F82" t="s">
        <v>43</v>
      </c>
      <c r="G82" t="s">
        <v>46</v>
      </c>
      <c r="M82">
        <f t="shared" si="11"/>
        <v>0</v>
      </c>
      <c r="N82">
        <f t="shared" si="9"/>
        <v>0</v>
      </c>
      <c r="P82" t="e">
        <f>INDEX(Items!B$2:B$1032,MATCH($O82,Items!$A$2:$A$1032,0))</f>
        <v>#N/A</v>
      </c>
      <c r="Q82" t="e">
        <f>INDEX(Items!C$2:C$1032,MATCH($O82,Items!$A$2:$A$1032,0))</f>
        <v>#N/A</v>
      </c>
      <c r="R82" t="e">
        <f>INDEX(Items!D$2:D$1032,MATCH($O82,Items!$A$2:$A$1032,0))</f>
        <v>#N/A</v>
      </c>
    </row>
    <row r="83" spans="1:18" x14ac:dyDescent="0.25">
      <c r="A83">
        <f t="shared" si="7"/>
        <v>1</v>
      </c>
      <c r="B83" t="str">
        <f t="shared" si="8"/>
        <v/>
      </c>
      <c r="C83">
        <f t="shared" si="10"/>
        <v>1</v>
      </c>
      <c r="D83" s="4"/>
      <c r="F83" t="e">
        <f>INDEX(Establishment!B$2:B$1005,MATCH($E83,Establishment!$A$2:$A$1005,0))</f>
        <v>#N/A</v>
      </c>
      <c r="G83" t="e">
        <f>INDEX(Establishment!C$2:C$1005,MATCH($E83,Establishment!$A$2:$A$1005,0))</f>
        <v>#N/A</v>
      </c>
      <c r="M83">
        <f t="shared" si="11"/>
        <v>0</v>
      </c>
      <c r="N83">
        <f t="shared" si="9"/>
        <v>0</v>
      </c>
      <c r="P83" t="e">
        <f>INDEX(Items!B$2:B$1032,MATCH($O83,Items!$A$2:$A$1032,0))</f>
        <v>#N/A</v>
      </c>
      <c r="Q83" t="e">
        <f>INDEX(Items!C$2:C$1032,MATCH($O83,Items!$A$2:$A$1032,0))</f>
        <v>#N/A</v>
      </c>
      <c r="R83" t="e">
        <f>INDEX(Items!D$2:D$1032,MATCH($O83,Items!$A$2:$A$1032,0))</f>
        <v>#N/A</v>
      </c>
    </row>
    <row r="84" spans="1:18" x14ac:dyDescent="0.25">
      <c r="A84">
        <f t="shared" si="7"/>
        <v>1</v>
      </c>
      <c r="B84" t="str">
        <f t="shared" si="8"/>
        <v/>
      </c>
      <c r="C84">
        <f t="shared" si="10"/>
        <v>1</v>
      </c>
      <c r="D84" s="4"/>
      <c r="F84" t="e">
        <f>INDEX(Establishment!B$2:B$1005,MATCH($E84,Establishment!$A$2:$A$1005,0))</f>
        <v>#N/A</v>
      </c>
      <c r="G84" t="e">
        <f>INDEX(Establishment!C$2:C$1005,MATCH($E84,Establishment!$A$2:$A$1005,0))</f>
        <v>#N/A</v>
      </c>
      <c r="M84">
        <f t="shared" si="11"/>
        <v>0</v>
      </c>
      <c r="N84">
        <f t="shared" si="9"/>
        <v>0</v>
      </c>
      <c r="P84" t="e">
        <f>INDEX(Items!B$2:B$1032,MATCH($O84,Items!$A$2:$A$1032,0))</f>
        <v>#N/A</v>
      </c>
      <c r="Q84" t="e">
        <f>INDEX(Items!C$2:C$1032,MATCH($O84,Items!$A$2:$A$1032,0))</f>
        <v>#N/A</v>
      </c>
      <c r="R84" t="e">
        <f>INDEX(Items!D$2:D$1032,MATCH($O84,Items!$A$2:$A$1032,0))</f>
        <v>#N/A</v>
      </c>
    </row>
    <row r="85" spans="1:18" x14ac:dyDescent="0.25">
      <c r="A85">
        <f t="shared" si="7"/>
        <v>1</v>
      </c>
      <c r="B85" t="str">
        <f t="shared" si="8"/>
        <v/>
      </c>
      <c r="C85">
        <f t="shared" si="10"/>
        <v>1</v>
      </c>
      <c r="D85" s="4"/>
      <c r="F85" t="e">
        <f>INDEX(Establishment!B$2:B$1005,MATCH($E85,Establishment!$A$2:$A$1005,0))</f>
        <v>#N/A</v>
      </c>
      <c r="G85" t="e">
        <f>INDEX(Establishment!C$2:C$1005,MATCH($E85,Establishment!$A$2:$A$1005,0))</f>
        <v>#N/A</v>
      </c>
      <c r="M85">
        <f t="shared" si="11"/>
        <v>0</v>
      </c>
      <c r="N85">
        <f t="shared" si="9"/>
        <v>0</v>
      </c>
      <c r="P85" t="e">
        <f>INDEX(Items!B$2:B$1032,MATCH($O85,Items!$A$2:$A$1032,0))</f>
        <v>#N/A</v>
      </c>
      <c r="Q85" t="e">
        <f>INDEX(Items!C$2:C$1032,MATCH($O85,Items!$A$2:$A$1032,0))</f>
        <v>#N/A</v>
      </c>
      <c r="R85" t="e">
        <f>INDEX(Items!D$2:D$1032,MATCH($O85,Items!$A$2:$A$1032,0))</f>
        <v>#N/A</v>
      </c>
    </row>
    <row r="86" spans="1:18" x14ac:dyDescent="0.25">
      <c r="A86">
        <f t="shared" si="7"/>
        <v>1</v>
      </c>
      <c r="B86" t="str">
        <f t="shared" si="8"/>
        <v/>
      </c>
      <c r="C86">
        <f t="shared" si="10"/>
        <v>1</v>
      </c>
      <c r="D86" s="4"/>
      <c r="F86" t="e">
        <f>INDEX(Establishment!B$2:B$1005,MATCH($E86,Establishment!$A$2:$A$1005,0))</f>
        <v>#N/A</v>
      </c>
      <c r="G86" t="e">
        <f>INDEX(Establishment!C$2:C$1005,MATCH($E86,Establishment!$A$2:$A$1005,0))</f>
        <v>#N/A</v>
      </c>
      <c r="M86">
        <f t="shared" si="11"/>
        <v>0</v>
      </c>
      <c r="N86">
        <f t="shared" si="9"/>
        <v>0</v>
      </c>
      <c r="P86" t="e">
        <f>INDEX(Items!B$2:B$1032,MATCH($O86,Items!$A$2:$A$1032,0))</f>
        <v>#N/A</v>
      </c>
      <c r="Q86" t="e">
        <f>INDEX(Items!C$2:C$1032,MATCH($O86,Items!$A$2:$A$1032,0))</f>
        <v>#N/A</v>
      </c>
      <c r="R86" t="e">
        <f>INDEX(Items!D$2:D$1032,MATCH($O86,Items!$A$2:$A$1032,0))</f>
        <v>#N/A</v>
      </c>
    </row>
    <row r="87" spans="1:18" x14ac:dyDescent="0.25">
      <c r="A87">
        <f t="shared" si="7"/>
        <v>1</v>
      </c>
      <c r="B87" t="str">
        <f t="shared" si="8"/>
        <v/>
      </c>
      <c r="C87">
        <f t="shared" si="10"/>
        <v>1</v>
      </c>
      <c r="D87" s="4"/>
      <c r="F87" t="e">
        <f>INDEX(Establishment!B$2:B$1005,MATCH($E87,Establishment!$A$2:$A$1005,0))</f>
        <v>#N/A</v>
      </c>
      <c r="G87" t="e">
        <f>INDEX(Establishment!C$2:C$1005,MATCH($E87,Establishment!$A$2:$A$1005,0))</f>
        <v>#N/A</v>
      </c>
      <c r="M87">
        <f t="shared" si="11"/>
        <v>0</v>
      </c>
      <c r="N87">
        <f t="shared" si="9"/>
        <v>0</v>
      </c>
      <c r="P87" t="e">
        <f>INDEX(Items!B$2:B$1032,MATCH($O87,Items!$A$2:$A$1032,0))</f>
        <v>#N/A</v>
      </c>
      <c r="Q87" t="e">
        <f>INDEX(Items!C$2:C$1032,MATCH($O87,Items!$A$2:$A$1032,0))</f>
        <v>#N/A</v>
      </c>
      <c r="R87" t="e">
        <f>INDEX(Items!D$2:D$1032,MATCH($O87,Items!$A$2:$A$1032,0))</f>
        <v>#N/A</v>
      </c>
    </row>
    <row r="88" spans="1:18" x14ac:dyDescent="0.25">
      <c r="A88">
        <f t="shared" si="7"/>
        <v>1</v>
      </c>
      <c r="B88" t="str">
        <f t="shared" si="8"/>
        <v/>
      </c>
      <c r="C88">
        <f t="shared" si="10"/>
        <v>1</v>
      </c>
      <c r="D88" s="4"/>
      <c r="F88" t="e">
        <f>INDEX(Establishment!B$2:B$1005,MATCH($E88,Establishment!$A$2:$A$1005,0))</f>
        <v>#N/A</v>
      </c>
      <c r="G88" t="e">
        <f>INDEX(Establishment!C$2:C$1005,MATCH($E88,Establishment!$A$2:$A$1005,0))</f>
        <v>#N/A</v>
      </c>
      <c r="M88">
        <f t="shared" si="11"/>
        <v>0</v>
      </c>
      <c r="N88">
        <f t="shared" si="9"/>
        <v>0</v>
      </c>
      <c r="P88" t="e">
        <f>INDEX(Items!B$2:B$1032,MATCH($O88,Items!$A$2:$A$1032,0))</f>
        <v>#N/A</v>
      </c>
      <c r="Q88" t="e">
        <f>INDEX(Items!C$2:C$1032,MATCH($O88,Items!$A$2:$A$1032,0))</f>
        <v>#N/A</v>
      </c>
      <c r="R88" t="e">
        <f>INDEX(Items!D$2:D$1032,MATCH($O88,Items!$A$2:$A$1032,0))</f>
        <v>#N/A</v>
      </c>
    </row>
    <row r="89" spans="1:18" x14ac:dyDescent="0.25">
      <c r="A89">
        <f t="shared" si="7"/>
        <v>1</v>
      </c>
      <c r="B89" t="str">
        <f t="shared" si="8"/>
        <v/>
      </c>
      <c r="C89">
        <f t="shared" si="10"/>
        <v>1</v>
      </c>
      <c r="D89" s="4"/>
      <c r="F89" t="e">
        <f>INDEX(Establishment!B$2:B$1005,MATCH($E89,Establishment!$A$2:$A$1005,0))</f>
        <v>#N/A</v>
      </c>
      <c r="G89" t="e">
        <f>INDEX(Establishment!C$2:C$1005,MATCH($E89,Establishment!$A$2:$A$1005,0))</f>
        <v>#N/A</v>
      </c>
      <c r="M89">
        <f t="shared" si="11"/>
        <v>0</v>
      </c>
      <c r="N89">
        <f t="shared" si="9"/>
        <v>0</v>
      </c>
      <c r="P89" t="e">
        <f>INDEX(Items!B$2:B$1032,MATCH($O89,Items!$A$2:$A$1032,0))</f>
        <v>#N/A</v>
      </c>
      <c r="Q89" t="e">
        <f>INDEX(Items!C$2:C$1032,MATCH($O89,Items!$A$2:$A$1032,0))</f>
        <v>#N/A</v>
      </c>
      <c r="R89" t="e">
        <f>INDEX(Items!D$2:D$1032,MATCH($O89,Items!$A$2:$A$1032,0))</f>
        <v>#N/A</v>
      </c>
    </row>
    <row r="90" spans="1:18" x14ac:dyDescent="0.25">
      <c r="A90">
        <f t="shared" si="7"/>
        <v>1</v>
      </c>
      <c r="B90" t="str">
        <f t="shared" si="8"/>
        <v/>
      </c>
      <c r="C90">
        <f t="shared" si="10"/>
        <v>1</v>
      </c>
      <c r="D90" s="4"/>
      <c r="F90" t="e">
        <f>INDEX(Establishment!B$2:B$1005,MATCH($E90,Establishment!$A$2:$A$1005,0))</f>
        <v>#N/A</v>
      </c>
      <c r="G90" t="e">
        <f>INDEX(Establishment!C$2:C$1005,MATCH($E90,Establishment!$A$2:$A$1005,0))</f>
        <v>#N/A</v>
      </c>
      <c r="M90">
        <f t="shared" si="11"/>
        <v>0</v>
      </c>
      <c r="N90">
        <f t="shared" si="9"/>
        <v>0</v>
      </c>
      <c r="P90" t="e">
        <f>INDEX(Items!B$2:B$1032,MATCH($O90,Items!$A$2:$A$1032,0))</f>
        <v>#N/A</v>
      </c>
      <c r="Q90" t="e">
        <f>INDEX(Items!C$2:C$1032,MATCH($O90,Items!$A$2:$A$1032,0))</f>
        <v>#N/A</v>
      </c>
      <c r="R90" t="e">
        <f>INDEX(Items!D$2:D$1032,MATCH($O90,Items!$A$2:$A$1032,0))</f>
        <v>#N/A</v>
      </c>
    </row>
    <row r="91" spans="1:18" x14ac:dyDescent="0.25">
      <c r="A91">
        <f t="shared" si="7"/>
        <v>1</v>
      </c>
      <c r="B91" t="str">
        <f t="shared" si="8"/>
        <v/>
      </c>
      <c r="C91">
        <f t="shared" si="10"/>
        <v>1</v>
      </c>
      <c r="D91" s="4"/>
      <c r="F91" t="e">
        <f>INDEX(Establishment!B$2:B$1005,MATCH($E91,Establishment!$A$2:$A$1005,0))</f>
        <v>#N/A</v>
      </c>
      <c r="G91" t="e">
        <f>INDEX(Establishment!C$2:C$1005,MATCH($E91,Establishment!$A$2:$A$1005,0))</f>
        <v>#N/A</v>
      </c>
      <c r="M91">
        <f t="shared" si="11"/>
        <v>0</v>
      </c>
      <c r="N91">
        <f t="shared" si="9"/>
        <v>0</v>
      </c>
      <c r="P91" t="e">
        <f>INDEX(Items!B$2:B$1032,MATCH($O91,Items!$A$2:$A$1032,0))</f>
        <v>#N/A</v>
      </c>
      <c r="Q91" t="e">
        <f>INDEX(Items!C$2:C$1032,MATCH($O91,Items!$A$2:$A$1032,0))</f>
        <v>#N/A</v>
      </c>
      <c r="R91" t="e">
        <f>INDEX(Items!D$2:D$1032,MATCH($O91,Items!$A$2:$A$1032,0))</f>
        <v>#N/A</v>
      </c>
    </row>
    <row r="92" spans="1:18" x14ac:dyDescent="0.25">
      <c r="A92">
        <f t="shared" si="7"/>
        <v>1</v>
      </c>
      <c r="B92" t="str">
        <f t="shared" si="8"/>
        <v/>
      </c>
      <c r="C92">
        <f t="shared" si="10"/>
        <v>1</v>
      </c>
      <c r="D92" s="4"/>
      <c r="F92" t="e">
        <f>INDEX(Establishment!B$2:B$1005,MATCH($E92,Establishment!$A$2:$A$1005,0))</f>
        <v>#N/A</v>
      </c>
      <c r="G92" t="e">
        <f>INDEX(Establishment!C$2:C$1005,MATCH($E92,Establishment!$A$2:$A$1005,0))</f>
        <v>#N/A</v>
      </c>
      <c r="M92">
        <f t="shared" si="11"/>
        <v>0</v>
      </c>
      <c r="N92">
        <f t="shared" si="9"/>
        <v>0</v>
      </c>
      <c r="P92" t="e">
        <f>INDEX(Items!B$2:B$1032,MATCH($O92,Items!$A$2:$A$1032,0))</f>
        <v>#N/A</v>
      </c>
      <c r="Q92" t="e">
        <f>INDEX(Items!C$2:C$1032,MATCH($O92,Items!$A$2:$A$1032,0))</f>
        <v>#N/A</v>
      </c>
      <c r="R92" t="e">
        <f>INDEX(Items!D$2:D$1032,MATCH($O92,Items!$A$2:$A$1032,0))</f>
        <v>#N/A</v>
      </c>
    </row>
    <row r="93" spans="1:18" x14ac:dyDescent="0.25">
      <c r="A93">
        <f t="shared" si="7"/>
        <v>1</v>
      </c>
      <c r="B93" t="str">
        <f t="shared" si="8"/>
        <v/>
      </c>
      <c r="C93">
        <f t="shared" si="10"/>
        <v>1</v>
      </c>
      <c r="D93" s="4"/>
      <c r="E93" t="s">
        <v>18</v>
      </c>
      <c r="F93" t="str">
        <f>INDEX(Establishment!B$2:B$1005,MATCH($E93,Establishment!$A$2:$A$1005,0))</f>
        <v xml:space="preserve"> </v>
      </c>
      <c r="G93" t="str">
        <f>INDEX(Establishment!C$2:C$1005,MATCH($E93,Establishment!$A$2:$A$1005,0))</f>
        <v xml:space="preserve"> </v>
      </c>
      <c r="M93">
        <f t="shared" si="11"/>
        <v>0</v>
      </c>
      <c r="N93">
        <f t="shared" si="9"/>
        <v>0</v>
      </c>
      <c r="P93" t="e">
        <f>INDEX(Items!B$2:B$1032,MATCH($O93,Items!$A$2:$A$1032,0))</f>
        <v>#N/A</v>
      </c>
      <c r="Q93" t="e">
        <f>INDEX(Items!C$2:C$1032,MATCH($O93,Items!$A$2:$A$1032,0))</f>
        <v>#N/A</v>
      </c>
      <c r="R93" t="e">
        <f>INDEX(Items!D$2:D$1032,MATCH($O93,Items!$A$2:$A$1032,0))</f>
        <v>#N/A</v>
      </c>
    </row>
    <row r="94" spans="1:18" x14ac:dyDescent="0.25">
      <c r="A94">
        <f t="shared" si="7"/>
        <v>1</v>
      </c>
      <c r="B94" t="str">
        <f t="shared" si="8"/>
        <v/>
      </c>
      <c r="C94">
        <f t="shared" si="10"/>
        <v>1</v>
      </c>
      <c r="D94" s="4"/>
      <c r="E94" t="s">
        <v>18</v>
      </c>
      <c r="F94" t="str">
        <f>INDEX(Establishment!B$2:B$1005,MATCH($E94,Establishment!$A$2:$A$1005,0))</f>
        <v xml:space="preserve"> </v>
      </c>
      <c r="G94" t="str">
        <f>INDEX(Establishment!C$2:C$1005,MATCH($E94,Establishment!$A$2:$A$1005,0))</f>
        <v xml:space="preserve"> </v>
      </c>
      <c r="M94">
        <f t="shared" si="11"/>
        <v>0</v>
      </c>
      <c r="N94">
        <f t="shared" si="9"/>
        <v>0</v>
      </c>
      <c r="P94" t="e">
        <f>INDEX(Items!B$2:B$1032,MATCH($O94,Items!$A$2:$A$1032,0))</f>
        <v>#N/A</v>
      </c>
      <c r="Q94" t="e">
        <f>INDEX(Items!C$2:C$1032,MATCH($O94,Items!$A$2:$A$1032,0))</f>
        <v>#N/A</v>
      </c>
      <c r="R94" t="e">
        <f>INDEX(Items!D$2:D$1032,MATCH($O94,Items!$A$2:$A$1032,0))</f>
        <v>#N/A</v>
      </c>
    </row>
    <row r="95" spans="1:18" x14ac:dyDescent="0.25">
      <c r="A95">
        <f t="shared" si="7"/>
        <v>1</v>
      </c>
      <c r="B95" t="str">
        <f t="shared" si="8"/>
        <v/>
      </c>
      <c r="C95">
        <f t="shared" si="10"/>
        <v>1</v>
      </c>
      <c r="D95" s="4"/>
      <c r="E95" t="s">
        <v>18</v>
      </c>
      <c r="F95" t="str">
        <f>INDEX(Establishment!B$2:B$1005,MATCH($E95,Establishment!$A$2:$A$1005,0))</f>
        <v xml:space="preserve"> </v>
      </c>
      <c r="G95" t="str">
        <f>INDEX(Establishment!C$2:C$1005,MATCH($E95,Establishment!$A$2:$A$1005,0))</f>
        <v xml:space="preserve"> </v>
      </c>
      <c r="M95">
        <f t="shared" si="11"/>
        <v>0</v>
      </c>
      <c r="N95">
        <f t="shared" si="9"/>
        <v>0</v>
      </c>
      <c r="P95" t="e">
        <f>INDEX(Items!B$2:B$1032,MATCH($O95,Items!$A$2:$A$1032,0))</f>
        <v>#N/A</v>
      </c>
      <c r="Q95" t="e">
        <f>INDEX(Items!C$2:C$1032,MATCH($O95,Items!$A$2:$A$1032,0))</f>
        <v>#N/A</v>
      </c>
      <c r="R95" t="e">
        <f>INDEX(Items!D$2:D$1032,MATCH($O95,Items!$A$2:$A$1032,0))</f>
        <v>#N/A</v>
      </c>
    </row>
    <row r="96" spans="1:18" x14ac:dyDescent="0.25">
      <c r="A96">
        <f t="shared" si="7"/>
        <v>1</v>
      </c>
      <c r="B96" t="str">
        <f t="shared" si="8"/>
        <v/>
      </c>
      <c r="C96">
        <f t="shared" si="10"/>
        <v>1</v>
      </c>
      <c r="D96" s="4"/>
      <c r="E96" t="s">
        <v>18</v>
      </c>
      <c r="F96" t="str">
        <f>INDEX(Establishment!B$2:B$1005,MATCH($E96,Establishment!$A$2:$A$1005,0))</f>
        <v xml:space="preserve"> </v>
      </c>
      <c r="G96" t="str">
        <f>INDEX(Establishment!C$2:C$1005,MATCH($E96,Establishment!$A$2:$A$1005,0))</f>
        <v xml:space="preserve"> </v>
      </c>
      <c r="M96">
        <f t="shared" si="11"/>
        <v>0</v>
      </c>
      <c r="N96">
        <f t="shared" si="9"/>
        <v>0</v>
      </c>
      <c r="P96" t="e">
        <f>INDEX(Items!B$2:B$1032,MATCH($O96,Items!$A$2:$A$1032,0))</f>
        <v>#N/A</v>
      </c>
      <c r="Q96" t="e">
        <f>INDEX(Items!C$2:C$1032,MATCH($O96,Items!$A$2:$A$1032,0))</f>
        <v>#N/A</v>
      </c>
      <c r="R96" t="e">
        <f>INDEX(Items!D$2:D$1032,MATCH($O96,Items!$A$2:$A$1032,0))</f>
        <v>#N/A</v>
      </c>
    </row>
    <row r="97" spans="1:18" x14ac:dyDescent="0.25">
      <c r="A97">
        <f t="shared" si="7"/>
        <v>1</v>
      </c>
      <c r="B97" t="str">
        <f t="shared" si="8"/>
        <v/>
      </c>
      <c r="C97">
        <f t="shared" si="10"/>
        <v>1</v>
      </c>
      <c r="D97" s="4"/>
      <c r="E97" t="s">
        <v>18</v>
      </c>
      <c r="F97" t="str">
        <f>INDEX(Establishment!B$2:B$1005,MATCH($E97,Establishment!$A$2:$A$1005,0))</f>
        <v xml:space="preserve"> </v>
      </c>
      <c r="G97" t="str">
        <f>INDEX(Establishment!C$2:C$1005,MATCH($E97,Establishment!$A$2:$A$1005,0))</f>
        <v xml:space="preserve"> </v>
      </c>
      <c r="M97">
        <f t="shared" si="11"/>
        <v>0</v>
      </c>
      <c r="N97">
        <f t="shared" si="9"/>
        <v>0</v>
      </c>
      <c r="P97" t="e">
        <f>INDEX(Items!B$2:B$1032,MATCH($O97,Items!$A$2:$A$1032,0))</f>
        <v>#N/A</v>
      </c>
      <c r="Q97" t="e">
        <f>INDEX(Items!C$2:C$1032,MATCH($O97,Items!$A$2:$A$1032,0))</f>
        <v>#N/A</v>
      </c>
      <c r="R97" t="e">
        <f>INDEX(Items!D$2:D$1032,MATCH($O97,Items!$A$2:$A$1032,0))</f>
        <v>#N/A</v>
      </c>
    </row>
    <row r="98" spans="1:18" x14ac:dyDescent="0.25">
      <c r="A98">
        <f t="shared" si="7"/>
        <v>1</v>
      </c>
      <c r="B98" t="str">
        <f t="shared" si="8"/>
        <v/>
      </c>
      <c r="C98">
        <f t="shared" si="10"/>
        <v>1</v>
      </c>
      <c r="D98" s="4"/>
      <c r="E98" t="s">
        <v>18</v>
      </c>
      <c r="F98" t="str">
        <f>INDEX(Establishment!B$2:B$1005,MATCH($E98,Establishment!$A$2:$A$1005,0))</f>
        <v xml:space="preserve"> </v>
      </c>
      <c r="G98" t="str">
        <f>INDEX(Establishment!C$2:C$1005,MATCH($E98,Establishment!$A$2:$A$1005,0))</f>
        <v xml:space="preserve"> </v>
      </c>
      <c r="M98">
        <f t="shared" si="11"/>
        <v>0</v>
      </c>
      <c r="N98">
        <f t="shared" si="9"/>
        <v>0</v>
      </c>
      <c r="P98" t="e">
        <f>INDEX(Items!B$2:B$1032,MATCH($O98,Items!$A$2:$A$1032,0))</f>
        <v>#N/A</v>
      </c>
      <c r="Q98" t="e">
        <f>INDEX(Items!C$2:C$1032,MATCH($O98,Items!$A$2:$A$1032,0))</f>
        <v>#N/A</v>
      </c>
      <c r="R98" t="e">
        <f>INDEX(Items!D$2:D$1032,MATCH($O98,Items!$A$2:$A$1032,0))</f>
        <v>#N/A</v>
      </c>
    </row>
    <row r="99" spans="1:18" x14ac:dyDescent="0.25">
      <c r="A99">
        <f t="shared" si="7"/>
        <v>1</v>
      </c>
      <c r="B99" t="str">
        <f t="shared" si="8"/>
        <v>20230621A</v>
      </c>
      <c r="C99">
        <f t="shared" si="10"/>
        <v>1</v>
      </c>
      <c r="D99" s="4">
        <v>45098</v>
      </c>
      <c r="E99" t="s">
        <v>39</v>
      </c>
      <c r="F99" t="str">
        <f>INDEX(Establishment!B$2:B$1005,MATCH($E99,Establishment!$A$2:$A$1005,0))</f>
        <v>Carenderia 14th Floor</v>
      </c>
      <c r="G99" t="str">
        <f>INDEX(Establishment!C$2:C$1005,MATCH($E99,Establishment!$A$2:$A$1005,0))</f>
        <v>ACC Tower Cebu Business Park</v>
      </c>
      <c r="M99">
        <f t="shared" si="11"/>
        <v>0</v>
      </c>
      <c r="N99">
        <f t="shared" si="9"/>
        <v>0</v>
      </c>
      <c r="P99" t="e">
        <f>INDEX(Items!B$2:B$1032,MATCH($O99,Items!$A$2:$A$1032,0))</f>
        <v>#N/A</v>
      </c>
      <c r="Q99" t="e">
        <f>INDEX(Items!C$2:C$1032,MATCH($O99,Items!$A$2:$A$1032,0))</f>
        <v>#N/A</v>
      </c>
      <c r="R99" t="e">
        <f>INDEX(Items!D$2:D$1032,MATCH($O99,Items!$A$2:$A$1032,0))</f>
        <v>#N/A</v>
      </c>
    </row>
    <row r="100" spans="1:18" x14ac:dyDescent="0.25">
      <c r="A100">
        <f t="shared" si="7"/>
        <v>1</v>
      </c>
      <c r="B100" t="str">
        <f t="shared" si="8"/>
        <v/>
      </c>
      <c r="C100">
        <f t="shared" si="10"/>
        <v>1</v>
      </c>
      <c r="D100" s="4"/>
      <c r="F100" t="e">
        <f>INDEX(Establishment!B$2:B$1005,MATCH($E100,Establishment!$A$2:$A$1005,0))</f>
        <v>#N/A</v>
      </c>
      <c r="G100" t="e">
        <f>INDEX(Establishment!C$2:C$1005,MATCH($E100,Establishment!$A$2:$A$1005,0))</f>
        <v>#N/A</v>
      </c>
      <c r="M100">
        <f t="shared" si="11"/>
        <v>0</v>
      </c>
      <c r="N100">
        <f t="shared" si="9"/>
        <v>0</v>
      </c>
      <c r="P100" t="e">
        <f>INDEX(Items!B$2:B$1032,MATCH($O100,Items!$A$2:$A$1032,0))</f>
        <v>#N/A</v>
      </c>
      <c r="Q100" t="e">
        <f>INDEX(Items!C$2:C$1032,MATCH($O100,Items!$A$2:$A$1032,0))</f>
        <v>#N/A</v>
      </c>
      <c r="R100" t="e">
        <f>INDEX(Items!D$2:D$1032,MATCH($O100,Items!$A$2:$A$1032,0))</f>
        <v>#N/A</v>
      </c>
    </row>
    <row r="101" spans="1:18" x14ac:dyDescent="0.25">
      <c r="A101">
        <f t="shared" si="7"/>
        <v>1</v>
      </c>
      <c r="B101" t="str">
        <f t="shared" si="8"/>
        <v/>
      </c>
      <c r="C101">
        <f t="shared" si="10"/>
        <v>1</v>
      </c>
      <c r="D101" s="4"/>
      <c r="E101" t="s">
        <v>18</v>
      </c>
      <c r="F101" t="str">
        <f>INDEX(Establishment!B$2:B$1005,MATCH($E101,Establishment!$A$2:$A$1005,0))</f>
        <v xml:space="preserve"> </v>
      </c>
      <c r="G101" t="str">
        <f>INDEX(Establishment!C$2:C$1005,MATCH($E101,Establishment!$A$2:$A$1005,0))</f>
        <v xml:space="preserve"> </v>
      </c>
      <c r="M101">
        <f t="shared" si="11"/>
        <v>0</v>
      </c>
      <c r="N101">
        <f t="shared" si="9"/>
        <v>0</v>
      </c>
      <c r="P101" t="e">
        <f>INDEX(Items!B$2:B$1032,MATCH($O101,Items!$A$2:$A$1032,0))</f>
        <v>#N/A</v>
      </c>
      <c r="Q101" t="e">
        <f>INDEX(Items!C$2:C$1032,MATCH($O101,Items!$A$2:$A$1032,0))</f>
        <v>#N/A</v>
      </c>
      <c r="R101" t="e">
        <f>INDEX(Items!D$2:D$1032,MATCH($O101,Items!$A$2:$A$1032,0))</f>
        <v>#N/A</v>
      </c>
    </row>
    <row r="102" spans="1:18" x14ac:dyDescent="0.25">
      <c r="A102">
        <f t="shared" si="7"/>
        <v>1</v>
      </c>
      <c r="B102" t="str">
        <f t="shared" si="8"/>
        <v/>
      </c>
      <c r="C102">
        <f t="shared" si="10"/>
        <v>1</v>
      </c>
      <c r="D102" s="4"/>
      <c r="E102" t="s">
        <v>18</v>
      </c>
      <c r="F102" t="str">
        <f>INDEX(Establishment!B$2:B$1005,MATCH($E102,Establishment!$A$2:$A$1005,0))</f>
        <v xml:space="preserve"> </v>
      </c>
      <c r="G102" t="str">
        <f>INDEX(Establishment!C$2:C$1005,MATCH($E102,Establishment!$A$2:$A$1005,0))</f>
        <v xml:space="preserve"> </v>
      </c>
      <c r="M102">
        <f t="shared" si="11"/>
        <v>0</v>
      </c>
      <c r="N102">
        <f t="shared" si="9"/>
        <v>0</v>
      </c>
      <c r="P102" t="e">
        <f>INDEX(Items!B$2:B$1032,MATCH($O102,Items!$A$2:$A$1032,0))</f>
        <v>#N/A</v>
      </c>
      <c r="Q102" t="e">
        <f>INDEX(Items!C$2:C$1032,MATCH($O102,Items!$A$2:$A$1032,0))</f>
        <v>#N/A</v>
      </c>
      <c r="R102" t="e">
        <f>INDEX(Items!D$2:D$1032,MATCH($O102,Items!$A$2:$A$1032,0))</f>
        <v>#N/A</v>
      </c>
    </row>
    <row r="103" spans="1:18" x14ac:dyDescent="0.25">
      <c r="A103">
        <f t="shared" si="7"/>
        <v>1</v>
      </c>
      <c r="B103" t="str">
        <f t="shared" si="8"/>
        <v/>
      </c>
      <c r="C103">
        <f t="shared" si="10"/>
        <v>1</v>
      </c>
      <c r="D103" s="4"/>
      <c r="E103" t="s">
        <v>18</v>
      </c>
      <c r="F103" t="str">
        <f>INDEX(Establishment!B$2:B$1005,MATCH($E103,Establishment!$A$2:$A$1005,0))</f>
        <v xml:space="preserve"> </v>
      </c>
      <c r="G103" t="str">
        <f>INDEX(Establishment!C$2:C$1005,MATCH($E103,Establishment!$A$2:$A$1005,0))</f>
        <v xml:space="preserve"> </v>
      </c>
      <c r="M103">
        <f t="shared" si="11"/>
        <v>0</v>
      </c>
      <c r="N103">
        <f t="shared" si="9"/>
        <v>0</v>
      </c>
      <c r="P103" t="e">
        <f>INDEX(Items!B$2:B$1032,MATCH($O103,Items!$A$2:$A$1032,0))</f>
        <v>#N/A</v>
      </c>
      <c r="Q103" t="e">
        <f>INDEX(Items!C$2:C$1032,MATCH($O103,Items!$A$2:$A$1032,0))</f>
        <v>#N/A</v>
      </c>
      <c r="R103" t="e">
        <f>INDEX(Items!D$2:D$1032,MATCH($O103,Items!$A$2:$A$1032,0))</f>
        <v>#N/A</v>
      </c>
    </row>
    <row r="104" spans="1:18" x14ac:dyDescent="0.25">
      <c r="A104">
        <f t="shared" si="7"/>
        <v>1</v>
      </c>
      <c r="B104" t="str">
        <f t="shared" si="8"/>
        <v/>
      </c>
      <c r="C104">
        <f t="shared" si="10"/>
        <v>1</v>
      </c>
      <c r="D104" s="4"/>
      <c r="E104" t="s">
        <v>18</v>
      </c>
      <c r="F104" t="str">
        <f>INDEX(Establishment!B$2:B$1005,MATCH($E104,Establishment!$A$2:$A$1005,0))</f>
        <v xml:space="preserve"> </v>
      </c>
      <c r="G104" t="str">
        <f>INDEX(Establishment!C$2:C$1005,MATCH($E104,Establishment!$A$2:$A$1005,0))</f>
        <v xml:space="preserve"> </v>
      </c>
      <c r="M104">
        <f t="shared" si="11"/>
        <v>0</v>
      </c>
      <c r="N104">
        <f t="shared" si="9"/>
        <v>0</v>
      </c>
      <c r="P104" t="e">
        <f>INDEX(Items!B$2:B$1032,MATCH($O104,Items!$A$2:$A$1032,0))</f>
        <v>#N/A</v>
      </c>
      <c r="Q104" t="e">
        <f>INDEX(Items!C$2:C$1032,MATCH($O104,Items!$A$2:$A$1032,0))</f>
        <v>#N/A</v>
      </c>
      <c r="R104" t="e">
        <f>INDEX(Items!D$2:D$1032,MATCH($O104,Items!$A$2:$A$1032,0))</f>
        <v>#N/A</v>
      </c>
    </row>
    <row r="105" spans="1:18" x14ac:dyDescent="0.25">
      <c r="A105">
        <f t="shared" si="7"/>
        <v>1</v>
      </c>
      <c r="B105" t="str">
        <f t="shared" si="8"/>
        <v/>
      </c>
      <c r="C105">
        <f t="shared" si="10"/>
        <v>1</v>
      </c>
      <c r="D105" s="4"/>
      <c r="E105" t="s">
        <v>18</v>
      </c>
      <c r="F105" t="str">
        <f>INDEX(Establishment!B$2:B$1005,MATCH($E105,Establishment!$A$2:$A$1005,0))</f>
        <v xml:space="preserve"> </v>
      </c>
      <c r="G105" t="str">
        <f>INDEX(Establishment!C$2:C$1005,MATCH($E105,Establishment!$A$2:$A$1005,0))</f>
        <v xml:space="preserve"> </v>
      </c>
      <c r="M105">
        <f t="shared" si="11"/>
        <v>0</v>
      </c>
      <c r="N105">
        <f t="shared" si="9"/>
        <v>0</v>
      </c>
      <c r="P105" t="e">
        <f>INDEX(Items!B$2:B$1032,MATCH($O105,Items!$A$2:$A$1032,0))</f>
        <v>#N/A</v>
      </c>
      <c r="Q105" t="e">
        <f>INDEX(Items!C$2:C$1032,MATCH($O105,Items!$A$2:$A$1032,0))</f>
        <v>#N/A</v>
      </c>
      <c r="R105" t="e">
        <f>INDEX(Items!D$2:D$1032,MATCH($O105,Items!$A$2:$A$1032,0))</f>
        <v>#N/A</v>
      </c>
    </row>
    <row r="106" spans="1:18" x14ac:dyDescent="0.25">
      <c r="A106">
        <f t="shared" si="7"/>
        <v>1</v>
      </c>
      <c r="B106" t="str">
        <f t="shared" si="8"/>
        <v/>
      </c>
      <c r="C106">
        <f t="shared" si="10"/>
        <v>1</v>
      </c>
      <c r="D106" s="4"/>
      <c r="E106" t="s">
        <v>18</v>
      </c>
      <c r="F106" t="str">
        <f>INDEX(Establishment!B$2:B$1005,MATCH($E106,Establishment!$A$2:$A$1005,0))</f>
        <v xml:space="preserve"> </v>
      </c>
      <c r="G106" t="str">
        <f>INDEX(Establishment!C$2:C$1005,MATCH($E106,Establishment!$A$2:$A$1005,0))</f>
        <v xml:space="preserve"> </v>
      </c>
      <c r="M106">
        <f t="shared" si="11"/>
        <v>0</v>
      </c>
      <c r="N106">
        <f t="shared" si="9"/>
        <v>0</v>
      </c>
      <c r="P106" t="e">
        <f>INDEX(Items!B$2:B$1032,MATCH($O106,Items!$A$2:$A$1032,0))</f>
        <v>#N/A</v>
      </c>
      <c r="Q106" t="e">
        <f>INDEX(Items!C$2:C$1032,MATCH($O106,Items!$A$2:$A$1032,0))</f>
        <v>#N/A</v>
      </c>
      <c r="R106" t="e">
        <f>INDEX(Items!D$2:D$1032,MATCH($O106,Items!$A$2:$A$1032,0))</f>
        <v>#N/A</v>
      </c>
    </row>
    <row r="107" spans="1:18" x14ac:dyDescent="0.25">
      <c r="A107">
        <f t="shared" si="7"/>
        <v>1</v>
      </c>
      <c r="B107" t="str">
        <f t="shared" si="8"/>
        <v/>
      </c>
      <c r="C107">
        <f t="shared" si="10"/>
        <v>1</v>
      </c>
      <c r="D107" s="4"/>
      <c r="E107" t="s">
        <v>18</v>
      </c>
      <c r="F107" t="str">
        <f>INDEX(Establishment!B$2:B$1005,MATCH($E107,Establishment!$A$2:$A$1005,0))</f>
        <v xml:space="preserve"> </v>
      </c>
      <c r="G107" t="str">
        <f>INDEX(Establishment!C$2:C$1005,MATCH($E107,Establishment!$A$2:$A$1005,0))</f>
        <v xml:space="preserve"> </v>
      </c>
      <c r="M107">
        <f t="shared" si="11"/>
        <v>0</v>
      </c>
      <c r="N107">
        <f t="shared" si="9"/>
        <v>0</v>
      </c>
      <c r="P107" t="e">
        <f>INDEX(Items!B$2:B$1032,MATCH($O107,Items!$A$2:$A$1032,0))</f>
        <v>#N/A</v>
      </c>
      <c r="Q107" t="e">
        <f>INDEX(Items!C$2:C$1032,MATCH($O107,Items!$A$2:$A$1032,0))</f>
        <v>#N/A</v>
      </c>
      <c r="R107" t="e">
        <f>INDEX(Items!D$2:D$1032,MATCH($O107,Items!$A$2:$A$1032,0))</f>
        <v>#N/A</v>
      </c>
    </row>
    <row r="108" spans="1:18" x14ac:dyDescent="0.25">
      <c r="A108">
        <f t="shared" si="7"/>
        <v>1</v>
      </c>
      <c r="B108" t="str">
        <f t="shared" si="8"/>
        <v/>
      </c>
      <c r="C108">
        <f t="shared" si="10"/>
        <v>1</v>
      </c>
      <c r="D108" s="4"/>
      <c r="E108" t="s">
        <v>18</v>
      </c>
      <c r="F108" t="str">
        <f>INDEX(Establishment!B$2:B$1005,MATCH($E108,Establishment!$A$2:$A$1005,0))</f>
        <v xml:space="preserve"> </v>
      </c>
      <c r="G108" t="str">
        <f>INDEX(Establishment!C$2:C$1005,MATCH($E108,Establishment!$A$2:$A$1005,0))</f>
        <v xml:space="preserve"> </v>
      </c>
      <c r="M108">
        <f t="shared" si="11"/>
        <v>0</v>
      </c>
      <c r="N108">
        <f t="shared" si="9"/>
        <v>0</v>
      </c>
      <c r="P108" t="e">
        <f>INDEX(Items!B$2:B$1032,MATCH($O108,Items!$A$2:$A$1032,0))</f>
        <v>#N/A</v>
      </c>
      <c r="Q108" t="e">
        <f>INDEX(Items!C$2:C$1032,MATCH($O108,Items!$A$2:$A$1032,0))</f>
        <v>#N/A</v>
      </c>
      <c r="R108" t="e">
        <f>INDEX(Items!D$2:D$1032,MATCH($O108,Items!$A$2:$A$1032,0))</f>
        <v>#N/A</v>
      </c>
    </row>
    <row r="109" spans="1:18" x14ac:dyDescent="0.25">
      <c r="A109">
        <f t="shared" si="7"/>
        <v>1</v>
      </c>
      <c r="B109" t="str">
        <f t="shared" si="8"/>
        <v/>
      </c>
      <c r="C109">
        <f t="shared" si="10"/>
        <v>1</v>
      </c>
      <c r="D109" s="4"/>
      <c r="E109" t="s">
        <v>18</v>
      </c>
      <c r="F109" t="str">
        <f>INDEX(Establishment!B$2:B$1005,MATCH($E109,Establishment!$A$2:$A$1005,0))</f>
        <v xml:space="preserve"> </v>
      </c>
      <c r="G109" t="str">
        <f>INDEX(Establishment!C$2:C$1005,MATCH($E109,Establishment!$A$2:$A$1005,0))</f>
        <v xml:space="preserve"> </v>
      </c>
      <c r="M109">
        <f t="shared" si="11"/>
        <v>0</v>
      </c>
      <c r="N109">
        <f t="shared" si="9"/>
        <v>0</v>
      </c>
      <c r="P109" t="e">
        <f>INDEX(Items!B$2:B$1032,MATCH($O109,Items!$A$2:$A$1032,0))</f>
        <v>#N/A</v>
      </c>
      <c r="Q109" t="e">
        <f>INDEX(Items!C$2:C$1032,MATCH($O109,Items!$A$2:$A$1032,0))</f>
        <v>#N/A</v>
      </c>
      <c r="R109" t="e">
        <f>INDEX(Items!D$2:D$1032,MATCH($O109,Items!$A$2:$A$1032,0))</f>
        <v>#N/A</v>
      </c>
    </row>
    <row r="110" spans="1:18" x14ac:dyDescent="0.25">
      <c r="A110">
        <f t="shared" si="7"/>
        <v>1</v>
      </c>
      <c r="B110" t="str">
        <f t="shared" si="8"/>
        <v/>
      </c>
      <c r="C110">
        <f t="shared" si="10"/>
        <v>1</v>
      </c>
      <c r="D110" s="4"/>
      <c r="E110" t="s">
        <v>18</v>
      </c>
      <c r="F110" t="str">
        <f>INDEX(Establishment!B$2:B$1005,MATCH($E110,Establishment!$A$2:$A$1005,0))</f>
        <v xml:space="preserve"> </v>
      </c>
      <c r="G110" t="str">
        <f>INDEX(Establishment!C$2:C$1005,MATCH($E110,Establishment!$A$2:$A$1005,0))</f>
        <v xml:space="preserve"> </v>
      </c>
      <c r="M110">
        <f t="shared" si="11"/>
        <v>0</v>
      </c>
      <c r="N110">
        <f t="shared" si="9"/>
        <v>0</v>
      </c>
      <c r="P110" t="e">
        <f>INDEX(Items!B$2:B$1032,MATCH($O110,Items!$A$2:$A$1032,0))</f>
        <v>#N/A</v>
      </c>
      <c r="Q110" t="e">
        <f>INDEX(Items!C$2:C$1032,MATCH($O110,Items!$A$2:$A$1032,0))</f>
        <v>#N/A</v>
      </c>
      <c r="R110" t="e">
        <f>INDEX(Items!D$2:D$1032,MATCH($O110,Items!$A$2:$A$1032,0))</f>
        <v>#N/A</v>
      </c>
    </row>
    <row r="111" spans="1:18" x14ac:dyDescent="0.25">
      <c r="A111">
        <f t="shared" si="7"/>
        <v>1</v>
      </c>
      <c r="B111" t="str">
        <f t="shared" si="8"/>
        <v/>
      </c>
      <c r="C111">
        <f t="shared" si="10"/>
        <v>1</v>
      </c>
      <c r="D111" s="4"/>
      <c r="E111" t="s">
        <v>18</v>
      </c>
      <c r="F111" t="str">
        <f>INDEX(Establishment!B$2:B$1005,MATCH($E111,Establishment!$A$2:$A$1005,0))</f>
        <v xml:space="preserve"> </v>
      </c>
      <c r="G111" t="str">
        <f>INDEX(Establishment!C$2:C$1005,MATCH($E111,Establishment!$A$2:$A$1005,0))</f>
        <v xml:space="preserve"> </v>
      </c>
      <c r="M111">
        <f t="shared" si="11"/>
        <v>0</v>
      </c>
      <c r="N111">
        <f t="shared" si="9"/>
        <v>0</v>
      </c>
      <c r="P111" t="e">
        <f>INDEX(Items!B$2:B$1032,MATCH($O111,Items!$A$2:$A$1032,0))</f>
        <v>#N/A</v>
      </c>
      <c r="Q111" t="e">
        <f>INDEX(Items!C$2:C$1032,MATCH($O111,Items!$A$2:$A$1032,0))</f>
        <v>#N/A</v>
      </c>
      <c r="R111" t="e">
        <f>INDEX(Items!D$2:D$1032,MATCH($O111,Items!$A$2:$A$1032,0))</f>
        <v>#N/A</v>
      </c>
    </row>
    <row r="112" spans="1:18" x14ac:dyDescent="0.25">
      <c r="A112">
        <f t="shared" si="7"/>
        <v>1</v>
      </c>
      <c r="B112" t="str">
        <f t="shared" si="8"/>
        <v/>
      </c>
      <c r="C112">
        <f t="shared" si="10"/>
        <v>1</v>
      </c>
      <c r="D112" s="4"/>
      <c r="E112" t="s">
        <v>18</v>
      </c>
      <c r="F112" t="str">
        <f>INDEX(Establishment!B$2:B$1005,MATCH($E112,Establishment!$A$2:$A$1005,0))</f>
        <v xml:space="preserve"> </v>
      </c>
      <c r="G112" t="str">
        <f>INDEX(Establishment!C$2:C$1005,MATCH($E112,Establishment!$A$2:$A$1005,0))</f>
        <v xml:space="preserve"> </v>
      </c>
      <c r="M112">
        <f t="shared" si="11"/>
        <v>0</v>
      </c>
      <c r="N112">
        <f t="shared" si="9"/>
        <v>0</v>
      </c>
      <c r="P112" t="e">
        <f>INDEX(Items!B$2:B$1032,MATCH($O112,Items!$A$2:$A$1032,0))</f>
        <v>#N/A</v>
      </c>
      <c r="Q112" t="e">
        <f>INDEX(Items!C$2:C$1032,MATCH($O112,Items!$A$2:$A$1032,0))</f>
        <v>#N/A</v>
      </c>
      <c r="R112" t="e">
        <f>INDEX(Items!D$2:D$1032,MATCH($O112,Items!$A$2:$A$1032,0))</f>
        <v>#N/A</v>
      </c>
    </row>
    <row r="113" spans="1:18" x14ac:dyDescent="0.25">
      <c r="A113">
        <f t="shared" si="7"/>
        <v>1</v>
      </c>
      <c r="B113" t="str">
        <f t="shared" si="8"/>
        <v/>
      </c>
      <c r="C113">
        <f t="shared" si="10"/>
        <v>1</v>
      </c>
      <c r="D113" s="4"/>
      <c r="E113" t="s">
        <v>18</v>
      </c>
      <c r="F113" t="str">
        <f>INDEX(Establishment!B$2:B$1005,MATCH($E113,Establishment!$A$2:$A$1005,0))</f>
        <v xml:space="preserve"> </v>
      </c>
      <c r="G113" t="str">
        <f>INDEX(Establishment!C$2:C$1005,MATCH($E113,Establishment!$A$2:$A$1005,0))</f>
        <v xml:space="preserve"> </v>
      </c>
      <c r="M113">
        <f t="shared" si="11"/>
        <v>0</v>
      </c>
      <c r="N113">
        <f t="shared" si="9"/>
        <v>0</v>
      </c>
      <c r="P113" t="e">
        <f>INDEX(Items!B$2:B$1032,MATCH($O113,Items!$A$2:$A$1032,0))</f>
        <v>#N/A</v>
      </c>
      <c r="Q113" t="e">
        <f>INDEX(Items!C$2:C$1032,MATCH($O113,Items!$A$2:$A$1032,0))</f>
        <v>#N/A</v>
      </c>
      <c r="R113" t="e">
        <f>INDEX(Items!D$2:D$1032,MATCH($O113,Items!$A$2:$A$1032,0))</f>
        <v>#N/A</v>
      </c>
    </row>
    <row r="114" spans="1:18" x14ac:dyDescent="0.25">
      <c r="A114">
        <f t="shared" si="7"/>
        <v>1</v>
      </c>
      <c r="B114" t="str">
        <f t="shared" si="8"/>
        <v/>
      </c>
      <c r="C114">
        <f t="shared" si="10"/>
        <v>1</v>
      </c>
      <c r="D114" s="4"/>
      <c r="E114" t="s">
        <v>18</v>
      </c>
      <c r="F114" t="str">
        <f>INDEX(Establishment!B$2:B$1005,MATCH($E114,Establishment!$A$2:$A$1005,0))</f>
        <v xml:space="preserve"> </v>
      </c>
      <c r="G114" t="str">
        <f>INDEX(Establishment!C$2:C$1005,MATCH($E114,Establishment!$A$2:$A$1005,0))</f>
        <v xml:space="preserve"> </v>
      </c>
      <c r="M114">
        <f t="shared" si="11"/>
        <v>0</v>
      </c>
      <c r="N114">
        <f t="shared" si="9"/>
        <v>0</v>
      </c>
      <c r="P114" t="e">
        <f>INDEX(Items!B$2:B$1032,MATCH($O114,Items!$A$2:$A$1032,0))</f>
        <v>#N/A</v>
      </c>
      <c r="Q114" t="e">
        <f>INDEX(Items!C$2:C$1032,MATCH($O114,Items!$A$2:$A$1032,0))</f>
        <v>#N/A</v>
      </c>
      <c r="R114" t="e">
        <f>INDEX(Items!D$2:D$1032,MATCH($O114,Items!$A$2:$A$1032,0))</f>
        <v>#N/A</v>
      </c>
    </row>
    <row r="115" spans="1:18" x14ac:dyDescent="0.25">
      <c r="A115">
        <f t="shared" si="7"/>
        <v>1</v>
      </c>
      <c r="B115" t="str">
        <f t="shared" si="8"/>
        <v/>
      </c>
      <c r="C115">
        <f t="shared" si="10"/>
        <v>1</v>
      </c>
      <c r="D115" s="4"/>
      <c r="E115" t="s">
        <v>18</v>
      </c>
      <c r="F115" t="str">
        <f>INDEX(Establishment!B$2:B$1005,MATCH($E115,Establishment!$A$2:$A$1005,0))</f>
        <v xml:space="preserve"> </v>
      </c>
      <c r="G115" t="str">
        <f>INDEX(Establishment!C$2:C$1005,MATCH($E115,Establishment!$A$2:$A$1005,0))</f>
        <v xml:space="preserve"> </v>
      </c>
      <c r="M115">
        <f t="shared" si="11"/>
        <v>0</v>
      </c>
      <c r="N115">
        <f t="shared" si="9"/>
        <v>0</v>
      </c>
      <c r="P115" t="e">
        <f>INDEX(Items!B$2:B$1032,MATCH($O115,Items!$A$2:$A$1032,0))</f>
        <v>#N/A</v>
      </c>
      <c r="Q115" t="e">
        <f>INDEX(Items!C$2:C$1032,MATCH($O115,Items!$A$2:$A$1032,0))</f>
        <v>#N/A</v>
      </c>
      <c r="R115" t="e">
        <f>INDEX(Items!D$2:D$1032,MATCH($O115,Items!$A$2:$A$1032,0))</f>
        <v>#N/A</v>
      </c>
    </row>
    <row r="116" spans="1:18" x14ac:dyDescent="0.25">
      <c r="A116">
        <f t="shared" si="7"/>
        <v>1</v>
      </c>
      <c r="B116" t="str">
        <f t="shared" si="8"/>
        <v/>
      </c>
      <c r="C116">
        <f t="shared" si="10"/>
        <v>1</v>
      </c>
      <c r="D116" s="4"/>
      <c r="E116" t="s">
        <v>18</v>
      </c>
      <c r="F116" t="str">
        <f>INDEX(Establishment!B$2:B$1005,MATCH($E116,Establishment!$A$2:$A$1005,0))</f>
        <v xml:space="preserve"> </v>
      </c>
      <c r="G116" t="str">
        <f>INDEX(Establishment!C$2:C$1005,MATCH($E116,Establishment!$A$2:$A$1005,0))</f>
        <v xml:space="preserve"> </v>
      </c>
      <c r="M116">
        <f t="shared" si="11"/>
        <v>0</v>
      </c>
      <c r="N116">
        <f t="shared" si="9"/>
        <v>0</v>
      </c>
      <c r="P116" t="e">
        <f>INDEX(Items!B$2:B$1032,MATCH($O116,Items!$A$2:$A$1032,0))</f>
        <v>#N/A</v>
      </c>
      <c r="Q116" t="e">
        <f>INDEX(Items!C$2:C$1032,MATCH($O116,Items!$A$2:$A$1032,0))</f>
        <v>#N/A</v>
      </c>
      <c r="R116" t="e">
        <f>INDEX(Items!D$2:D$1032,MATCH($O116,Items!$A$2:$A$1032,0))</f>
        <v>#N/A</v>
      </c>
    </row>
    <row r="117" spans="1:18" x14ac:dyDescent="0.25">
      <c r="A117">
        <f t="shared" si="7"/>
        <v>1</v>
      </c>
      <c r="B117" t="str">
        <f t="shared" si="8"/>
        <v/>
      </c>
      <c r="C117">
        <f t="shared" si="10"/>
        <v>1</v>
      </c>
      <c r="D117" s="4"/>
      <c r="E117" t="s">
        <v>18</v>
      </c>
      <c r="F117" t="str">
        <f>INDEX(Establishment!B$2:B$1005,MATCH($E117,Establishment!$A$2:$A$1005,0))</f>
        <v xml:space="preserve"> </v>
      </c>
      <c r="G117" t="str">
        <f>INDEX(Establishment!C$2:C$1005,MATCH($E117,Establishment!$A$2:$A$1005,0))</f>
        <v xml:space="preserve"> </v>
      </c>
      <c r="M117">
        <f t="shared" si="11"/>
        <v>0</v>
      </c>
      <c r="N117">
        <f t="shared" si="9"/>
        <v>0</v>
      </c>
      <c r="P117" t="e">
        <f>INDEX(Items!B$2:B$1032,MATCH($O117,Items!$A$2:$A$1032,0))</f>
        <v>#N/A</v>
      </c>
      <c r="Q117" t="e">
        <f>INDEX(Items!C$2:C$1032,MATCH($O117,Items!$A$2:$A$1032,0))</f>
        <v>#N/A</v>
      </c>
      <c r="R117" t="e">
        <f>INDEX(Items!D$2:D$1032,MATCH($O117,Items!$A$2:$A$1032,0))</f>
        <v>#N/A</v>
      </c>
    </row>
    <row r="118" spans="1:18" x14ac:dyDescent="0.25">
      <c r="A118">
        <f t="shared" si="7"/>
        <v>1</v>
      </c>
      <c r="B118" t="str">
        <f t="shared" si="8"/>
        <v/>
      </c>
      <c r="C118">
        <f t="shared" si="10"/>
        <v>1</v>
      </c>
      <c r="D118" s="4"/>
      <c r="E118" t="s">
        <v>18</v>
      </c>
      <c r="F118" t="str">
        <f>INDEX(Establishment!B$2:B$1005,MATCH($E118,Establishment!$A$2:$A$1005,0))</f>
        <v xml:space="preserve"> </v>
      </c>
      <c r="G118" t="str">
        <f>INDEX(Establishment!C$2:C$1005,MATCH($E118,Establishment!$A$2:$A$1005,0))</f>
        <v xml:space="preserve"> </v>
      </c>
      <c r="M118">
        <f t="shared" si="11"/>
        <v>0</v>
      </c>
      <c r="N118">
        <f t="shared" si="9"/>
        <v>0</v>
      </c>
      <c r="P118" t="e">
        <f>INDEX(Items!B$2:B$1032,MATCH($O118,Items!$A$2:$A$1032,0))</f>
        <v>#N/A</v>
      </c>
      <c r="Q118" t="e">
        <f>INDEX(Items!C$2:C$1032,MATCH($O118,Items!$A$2:$A$1032,0))</f>
        <v>#N/A</v>
      </c>
      <c r="R118" t="e">
        <f>INDEX(Items!D$2:D$1032,MATCH($O118,Items!$A$2:$A$1032,0))</f>
        <v>#N/A</v>
      </c>
    </row>
    <row r="119" spans="1:18" x14ac:dyDescent="0.25">
      <c r="A119">
        <f t="shared" si="7"/>
        <v>1</v>
      </c>
      <c r="B119" t="str">
        <f t="shared" si="8"/>
        <v/>
      </c>
      <c r="C119">
        <f t="shared" si="10"/>
        <v>1</v>
      </c>
      <c r="D119" s="4"/>
      <c r="E119" t="s">
        <v>18</v>
      </c>
      <c r="F119" t="str">
        <f>INDEX(Establishment!B$2:B$1005,MATCH($E119,Establishment!$A$2:$A$1005,0))</f>
        <v xml:space="preserve"> </v>
      </c>
      <c r="G119" t="str">
        <f>INDEX(Establishment!C$2:C$1005,MATCH($E119,Establishment!$A$2:$A$1005,0))</f>
        <v xml:space="preserve"> </v>
      </c>
      <c r="M119">
        <f t="shared" si="11"/>
        <v>0</v>
      </c>
      <c r="N119">
        <f t="shared" si="9"/>
        <v>0</v>
      </c>
      <c r="P119" t="e">
        <f>INDEX(Items!B$2:B$1032,MATCH($O119,Items!$A$2:$A$1032,0))</f>
        <v>#N/A</v>
      </c>
      <c r="Q119" t="e">
        <f>INDEX(Items!C$2:C$1032,MATCH($O119,Items!$A$2:$A$1032,0))</f>
        <v>#N/A</v>
      </c>
      <c r="R119" t="e">
        <f>INDEX(Items!D$2:D$1032,MATCH($O119,Items!$A$2:$A$1032,0))</f>
        <v>#N/A</v>
      </c>
    </row>
    <row r="120" spans="1:18" x14ac:dyDescent="0.25">
      <c r="A120">
        <f t="shared" si="7"/>
        <v>1</v>
      </c>
      <c r="B120" t="str">
        <f t="shared" si="8"/>
        <v/>
      </c>
      <c r="C120">
        <f t="shared" si="10"/>
        <v>1</v>
      </c>
      <c r="D120" s="4"/>
      <c r="E120" t="s">
        <v>18</v>
      </c>
      <c r="F120" t="str">
        <f>INDEX(Establishment!B$2:B$1005,MATCH($E120,Establishment!$A$2:$A$1005,0))</f>
        <v xml:space="preserve"> </v>
      </c>
      <c r="G120" t="str">
        <f>INDEX(Establishment!C$2:C$1005,MATCH($E120,Establishment!$A$2:$A$1005,0))</f>
        <v xml:space="preserve"> </v>
      </c>
      <c r="M120">
        <f t="shared" si="11"/>
        <v>0</v>
      </c>
      <c r="N120">
        <f t="shared" si="9"/>
        <v>0</v>
      </c>
      <c r="P120" t="e">
        <f>INDEX(Items!B$2:B$1032,MATCH($O120,Items!$A$2:$A$1032,0))</f>
        <v>#N/A</v>
      </c>
      <c r="Q120" t="e">
        <f>INDEX(Items!C$2:C$1032,MATCH($O120,Items!$A$2:$A$1032,0))</f>
        <v>#N/A</v>
      </c>
      <c r="R120" t="e">
        <f>INDEX(Items!D$2:D$1032,MATCH($O120,Items!$A$2:$A$1032,0))</f>
        <v>#N/A</v>
      </c>
    </row>
    <row r="121" spans="1:18" x14ac:dyDescent="0.25">
      <c r="A121">
        <f t="shared" si="7"/>
        <v>1</v>
      </c>
      <c r="B121" t="str">
        <f t="shared" si="8"/>
        <v/>
      </c>
      <c r="C121">
        <f t="shared" si="10"/>
        <v>1</v>
      </c>
      <c r="D121" s="4"/>
      <c r="E121" t="s">
        <v>18</v>
      </c>
      <c r="F121" t="str">
        <f>INDEX(Establishment!B$2:B$1005,MATCH($E121,Establishment!$A$2:$A$1005,0))</f>
        <v xml:space="preserve"> </v>
      </c>
      <c r="G121" t="str">
        <f>INDEX(Establishment!C$2:C$1005,MATCH($E121,Establishment!$A$2:$A$1005,0))</f>
        <v xml:space="preserve"> </v>
      </c>
      <c r="M121">
        <f t="shared" si="11"/>
        <v>0</v>
      </c>
      <c r="N121">
        <f t="shared" si="9"/>
        <v>0</v>
      </c>
      <c r="P121" t="e">
        <f>INDEX(Items!B$2:B$1032,MATCH($O121,Items!$A$2:$A$1032,0))</f>
        <v>#N/A</v>
      </c>
      <c r="Q121" t="e">
        <f>INDEX(Items!C$2:C$1032,MATCH($O121,Items!$A$2:$A$1032,0))</f>
        <v>#N/A</v>
      </c>
      <c r="R121" t="e">
        <f>INDEX(Items!D$2:D$1032,MATCH($O121,Items!$A$2:$A$1032,0))</f>
        <v>#N/A</v>
      </c>
    </row>
    <row r="122" spans="1:18" x14ac:dyDescent="0.25">
      <c r="A122">
        <f t="shared" si="7"/>
        <v>1</v>
      </c>
      <c r="B122" t="str">
        <f t="shared" si="8"/>
        <v/>
      </c>
      <c r="C122">
        <f t="shared" si="10"/>
        <v>1</v>
      </c>
      <c r="D122" s="4"/>
      <c r="E122" t="s">
        <v>18</v>
      </c>
      <c r="F122" t="str">
        <f>INDEX(Establishment!B$2:B$1005,MATCH($E122,Establishment!$A$2:$A$1005,0))</f>
        <v xml:space="preserve"> </v>
      </c>
      <c r="G122" t="str">
        <f>INDEX(Establishment!C$2:C$1005,MATCH($E122,Establishment!$A$2:$A$1005,0))</f>
        <v xml:space="preserve"> </v>
      </c>
      <c r="M122">
        <f t="shared" si="11"/>
        <v>0</v>
      </c>
      <c r="N122">
        <f t="shared" si="9"/>
        <v>0</v>
      </c>
      <c r="P122" t="e">
        <f>INDEX(Items!B$2:B$1032,MATCH($O122,Items!$A$2:$A$1032,0))</f>
        <v>#N/A</v>
      </c>
      <c r="Q122" t="e">
        <f>INDEX(Items!C$2:C$1032,MATCH($O122,Items!$A$2:$A$1032,0))</f>
        <v>#N/A</v>
      </c>
      <c r="R122" t="e">
        <f>INDEX(Items!D$2:D$1032,MATCH($O122,Items!$A$2:$A$1032,0))</f>
        <v>#N/A</v>
      </c>
    </row>
    <row r="123" spans="1:18" x14ac:dyDescent="0.25">
      <c r="A123">
        <f t="shared" si="7"/>
        <v>1</v>
      </c>
      <c r="B123" t="str">
        <f t="shared" si="8"/>
        <v/>
      </c>
      <c r="C123">
        <f t="shared" si="10"/>
        <v>1</v>
      </c>
      <c r="D123" s="4"/>
      <c r="E123" t="s">
        <v>18</v>
      </c>
      <c r="F123" t="str">
        <f>INDEX(Establishment!B$2:B$1005,MATCH($E123,Establishment!$A$2:$A$1005,0))</f>
        <v xml:space="preserve"> </v>
      </c>
      <c r="G123" t="str">
        <f>INDEX(Establishment!C$2:C$1005,MATCH($E123,Establishment!$A$2:$A$1005,0))</f>
        <v xml:space="preserve"> </v>
      </c>
      <c r="M123">
        <f t="shared" si="11"/>
        <v>0</v>
      </c>
      <c r="N123">
        <f t="shared" si="9"/>
        <v>0</v>
      </c>
      <c r="P123" t="e">
        <f>INDEX(Items!B$2:B$1032,MATCH($O123,Items!$A$2:$A$1032,0))</f>
        <v>#N/A</v>
      </c>
      <c r="Q123" t="e">
        <f>INDEX(Items!C$2:C$1032,MATCH($O123,Items!$A$2:$A$1032,0))</f>
        <v>#N/A</v>
      </c>
      <c r="R123" t="e">
        <f>INDEX(Items!D$2:D$1032,MATCH($O123,Items!$A$2:$A$1032,0))</f>
        <v>#N/A</v>
      </c>
    </row>
    <row r="124" spans="1:18" x14ac:dyDescent="0.25">
      <c r="A124">
        <f t="shared" si="7"/>
        <v>1</v>
      </c>
      <c r="B124" t="str">
        <f t="shared" si="8"/>
        <v/>
      </c>
      <c r="C124">
        <f t="shared" si="10"/>
        <v>1</v>
      </c>
      <c r="D124" s="4"/>
      <c r="E124" t="s">
        <v>18</v>
      </c>
      <c r="F124" t="str">
        <f>INDEX(Establishment!B$2:B$1005,MATCH($E124,Establishment!$A$2:$A$1005,0))</f>
        <v xml:space="preserve"> </v>
      </c>
      <c r="G124" t="str">
        <f>INDEX(Establishment!C$2:C$1005,MATCH($E124,Establishment!$A$2:$A$1005,0))</f>
        <v xml:space="preserve"> </v>
      </c>
      <c r="M124">
        <f t="shared" si="11"/>
        <v>0</v>
      </c>
      <c r="N124">
        <f t="shared" si="9"/>
        <v>0</v>
      </c>
      <c r="P124" t="e">
        <f>INDEX(Items!B$2:B$1032,MATCH($O124,Items!$A$2:$A$1032,0))</f>
        <v>#N/A</v>
      </c>
      <c r="Q124" t="e">
        <f>INDEX(Items!C$2:C$1032,MATCH($O124,Items!$A$2:$A$1032,0))</f>
        <v>#N/A</v>
      </c>
      <c r="R124" t="e">
        <f>INDEX(Items!D$2:D$1032,MATCH($O124,Items!$A$2:$A$1032,0))</f>
        <v>#N/A</v>
      </c>
    </row>
    <row r="125" spans="1:18" x14ac:dyDescent="0.25">
      <c r="A125">
        <f t="shared" si="7"/>
        <v>1</v>
      </c>
      <c r="B125" t="str">
        <f t="shared" si="8"/>
        <v/>
      </c>
      <c r="C125">
        <f t="shared" si="10"/>
        <v>1</v>
      </c>
      <c r="D125" s="4"/>
      <c r="E125" t="s">
        <v>18</v>
      </c>
      <c r="F125" t="str">
        <f>INDEX(Establishment!B$2:B$1005,MATCH($E125,Establishment!$A$2:$A$1005,0))</f>
        <v xml:space="preserve"> </v>
      </c>
      <c r="G125" t="str">
        <f>INDEX(Establishment!C$2:C$1005,MATCH($E125,Establishment!$A$2:$A$1005,0))</f>
        <v xml:space="preserve"> </v>
      </c>
      <c r="M125">
        <f t="shared" si="11"/>
        <v>0</v>
      </c>
      <c r="N125">
        <f t="shared" si="9"/>
        <v>0</v>
      </c>
      <c r="P125" t="e">
        <f>INDEX(Items!B$2:B$1032,MATCH($O125,Items!$A$2:$A$1032,0))</f>
        <v>#N/A</v>
      </c>
      <c r="Q125" t="e">
        <f>INDEX(Items!C$2:C$1032,MATCH($O125,Items!$A$2:$A$1032,0))</f>
        <v>#N/A</v>
      </c>
      <c r="R125" t="e">
        <f>INDEX(Items!D$2:D$1032,MATCH($O125,Items!$A$2:$A$1032,0))</f>
        <v>#N/A</v>
      </c>
    </row>
    <row r="126" spans="1:18" x14ac:dyDescent="0.25">
      <c r="A126">
        <f t="shared" si="7"/>
        <v>1</v>
      </c>
      <c r="B126" t="str">
        <f t="shared" si="8"/>
        <v/>
      </c>
      <c r="C126">
        <f t="shared" si="10"/>
        <v>1</v>
      </c>
      <c r="D126" s="4"/>
      <c r="E126" t="s">
        <v>18</v>
      </c>
      <c r="F126" t="str">
        <f>INDEX(Establishment!B$2:B$1005,MATCH($E126,Establishment!$A$2:$A$1005,0))</f>
        <v xml:space="preserve"> </v>
      </c>
      <c r="G126" t="str">
        <f>INDEX(Establishment!C$2:C$1005,MATCH($E126,Establishment!$A$2:$A$1005,0))</f>
        <v xml:space="preserve"> </v>
      </c>
      <c r="M126">
        <f t="shared" si="11"/>
        <v>0</v>
      </c>
      <c r="N126">
        <f t="shared" si="9"/>
        <v>0</v>
      </c>
      <c r="P126" t="e">
        <f>INDEX(Items!B$2:B$1032,MATCH($O126,Items!$A$2:$A$1032,0))</f>
        <v>#N/A</v>
      </c>
      <c r="Q126" t="e">
        <f>INDEX(Items!C$2:C$1032,MATCH($O126,Items!$A$2:$A$1032,0))</f>
        <v>#N/A</v>
      </c>
      <c r="R126" t="e">
        <f>INDEX(Items!D$2:D$1032,MATCH($O126,Items!$A$2:$A$1032,0))</f>
        <v>#N/A</v>
      </c>
    </row>
    <row r="127" spans="1:18" x14ac:dyDescent="0.25">
      <c r="A127">
        <f t="shared" si="7"/>
        <v>1</v>
      </c>
      <c r="B127" t="str">
        <f t="shared" si="8"/>
        <v/>
      </c>
      <c r="C127">
        <f t="shared" si="10"/>
        <v>1</v>
      </c>
      <c r="D127" s="4"/>
      <c r="E127" t="s">
        <v>18</v>
      </c>
      <c r="F127" t="str">
        <f>INDEX(Establishment!B$2:B$1005,MATCH($E127,Establishment!$A$2:$A$1005,0))</f>
        <v xml:space="preserve"> </v>
      </c>
      <c r="G127" t="str">
        <f>INDEX(Establishment!C$2:C$1005,MATCH($E127,Establishment!$A$2:$A$1005,0))</f>
        <v xml:space="preserve"> </v>
      </c>
      <c r="M127">
        <f t="shared" si="11"/>
        <v>0</v>
      </c>
      <c r="N127">
        <f t="shared" si="9"/>
        <v>0</v>
      </c>
      <c r="P127" t="e">
        <f>INDEX(Items!B$2:B$1032,MATCH($O127,Items!$A$2:$A$1032,0))</f>
        <v>#N/A</v>
      </c>
      <c r="Q127" t="e">
        <f>INDEX(Items!C$2:C$1032,MATCH($O127,Items!$A$2:$A$1032,0))</f>
        <v>#N/A</v>
      </c>
      <c r="R127" t="e">
        <f>INDEX(Items!D$2:D$1032,MATCH($O127,Items!$A$2:$A$1032,0))</f>
        <v>#N/A</v>
      </c>
    </row>
    <row r="128" spans="1:18" x14ac:dyDescent="0.25">
      <c r="A128">
        <f t="shared" si="7"/>
        <v>1</v>
      </c>
      <c r="B128" t="str">
        <f t="shared" si="8"/>
        <v/>
      </c>
      <c r="C128">
        <f t="shared" si="10"/>
        <v>1</v>
      </c>
      <c r="D128" s="4"/>
      <c r="E128" t="s">
        <v>18</v>
      </c>
      <c r="F128" t="str">
        <f>INDEX(Establishment!B$2:B$1005,MATCH($E128,Establishment!$A$2:$A$1005,0))</f>
        <v xml:space="preserve"> </v>
      </c>
      <c r="G128" t="str">
        <f>INDEX(Establishment!C$2:C$1005,MATCH($E128,Establishment!$A$2:$A$1005,0))</f>
        <v xml:space="preserve"> </v>
      </c>
      <c r="M128">
        <f t="shared" si="11"/>
        <v>0</v>
      </c>
      <c r="N128">
        <f t="shared" si="9"/>
        <v>0</v>
      </c>
      <c r="P128" t="e">
        <f>INDEX(Items!B$2:B$1032,MATCH($O128,Items!$A$2:$A$1032,0))</f>
        <v>#N/A</v>
      </c>
      <c r="Q128" t="e">
        <f>INDEX(Items!C$2:C$1032,MATCH($O128,Items!$A$2:$A$1032,0))</f>
        <v>#N/A</v>
      </c>
      <c r="R128" t="e">
        <f>INDEX(Items!D$2:D$1032,MATCH($O128,Items!$A$2:$A$1032,0))</f>
        <v>#N/A</v>
      </c>
    </row>
    <row r="129" spans="1:18" x14ac:dyDescent="0.25">
      <c r="A129">
        <f t="shared" si="7"/>
        <v>1</v>
      </c>
      <c r="B129" t="str">
        <f t="shared" si="8"/>
        <v/>
      </c>
      <c r="C129">
        <f t="shared" si="10"/>
        <v>1</v>
      </c>
      <c r="D129" s="4"/>
      <c r="E129" t="s">
        <v>18</v>
      </c>
      <c r="F129" t="str">
        <f>INDEX(Establishment!B$2:B$1005,MATCH($E129,Establishment!$A$2:$A$1005,0))</f>
        <v xml:space="preserve"> </v>
      </c>
      <c r="G129" t="str">
        <f>INDEX(Establishment!C$2:C$1005,MATCH($E129,Establishment!$A$2:$A$1005,0))</f>
        <v xml:space="preserve"> </v>
      </c>
      <c r="M129">
        <f t="shared" si="11"/>
        <v>0</v>
      </c>
      <c r="N129">
        <f t="shared" si="9"/>
        <v>0</v>
      </c>
      <c r="P129" t="e">
        <f>INDEX(Items!B$2:B$1032,MATCH($O129,Items!$A$2:$A$1032,0))</f>
        <v>#N/A</v>
      </c>
      <c r="Q129" t="e">
        <f>INDEX(Items!C$2:C$1032,MATCH($O129,Items!$A$2:$A$1032,0))</f>
        <v>#N/A</v>
      </c>
      <c r="R129" t="e">
        <f>INDEX(Items!D$2:D$1032,MATCH($O129,Items!$A$2:$A$1032,0))</f>
        <v>#N/A</v>
      </c>
    </row>
    <row r="130" spans="1:18" x14ac:dyDescent="0.25">
      <c r="A130">
        <f t="shared" ref="A130:A193" si="12">IF(OR(D130&lt;&gt;D129,D130=""),1,IF(NOT(AND(E130=E129,F130=F129,G130=G129)),A129+1,IF(OR(H130="",AND(H130&lt;&gt;"",H130&lt;&gt;H129,H129&lt;&gt;"")),A129,A129+1)))</f>
        <v>1</v>
      </c>
      <c r="B130" t="str">
        <f t="shared" ref="B130:B193" si="13">IF(D130&lt;&gt;"",TEXT(D130,"YYYYMMDD")&amp;CHAR(64+A130),"")</f>
        <v/>
      </c>
      <c r="C130">
        <f t="shared" si="10"/>
        <v>1</v>
      </c>
      <c r="D130" s="4"/>
      <c r="E130" t="s">
        <v>18</v>
      </c>
      <c r="F130" t="str">
        <f>INDEX(Establishment!B$2:B$1005,MATCH($E130,Establishment!$A$2:$A$1005,0))</f>
        <v xml:space="preserve"> </v>
      </c>
      <c r="G130" t="str">
        <f>INDEX(Establishment!C$2:C$1005,MATCH($E130,Establishment!$A$2:$A$1005,0))</f>
        <v xml:space="preserve"> </v>
      </c>
      <c r="M130">
        <f t="shared" si="11"/>
        <v>0</v>
      </c>
      <c r="N130">
        <f t="shared" si="9"/>
        <v>0</v>
      </c>
      <c r="P130" t="e">
        <f>INDEX(Items!B$2:B$1032,MATCH($O130,Items!$A$2:$A$1032,0))</f>
        <v>#N/A</v>
      </c>
      <c r="Q130" t="e">
        <f>INDEX(Items!C$2:C$1032,MATCH($O130,Items!$A$2:$A$1032,0))</f>
        <v>#N/A</v>
      </c>
      <c r="R130" t="e">
        <f>INDEX(Items!D$2:D$1032,MATCH($O130,Items!$A$2:$A$1032,0))</f>
        <v>#N/A</v>
      </c>
    </row>
    <row r="131" spans="1:18" x14ac:dyDescent="0.25">
      <c r="A131">
        <f t="shared" si="12"/>
        <v>1</v>
      </c>
      <c r="B131" t="str">
        <f t="shared" si="13"/>
        <v/>
      </c>
      <c r="C131">
        <f t="shared" si="10"/>
        <v>1</v>
      </c>
      <c r="D131" s="4"/>
      <c r="E131" t="s">
        <v>18</v>
      </c>
      <c r="F131" t="str">
        <f>INDEX(Establishment!B$2:B$1005,MATCH($E131,Establishment!$A$2:$A$1005,0))</f>
        <v xml:space="preserve"> </v>
      </c>
      <c r="G131" t="str">
        <f>INDEX(Establishment!C$2:C$1005,MATCH($E131,Establishment!$A$2:$A$1005,0))</f>
        <v xml:space="preserve"> </v>
      </c>
      <c r="M131">
        <f t="shared" si="11"/>
        <v>0</v>
      </c>
      <c r="N131">
        <f t="shared" ref="N131:N194" si="14">IF(B131=B130,N130+M131,M131)</f>
        <v>0</v>
      </c>
      <c r="P131" t="e">
        <f>INDEX(Items!B$2:B$1032,MATCH($O131,Items!$A$2:$A$1032,0))</f>
        <v>#N/A</v>
      </c>
      <c r="Q131" t="e">
        <f>INDEX(Items!C$2:C$1032,MATCH($O131,Items!$A$2:$A$1032,0))</f>
        <v>#N/A</v>
      </c>
      <c r="R131" t="e">
        <f>INDEX(Items!D$2:D$1032,MATCH($O131,Items!$A$2:$A$1032,0))</f>
        <v>#N/A</v>
      </c>
    </row>
    <row r="132" spans="1:18" x14ac:dyDescent="0.25">
      <c r="A132">
        <f t="shared" si="12"/>
        <v>1</v>
      </c>
      <c r="B132" t="str">
        <f t="shared" si="13"/>
        <v/>
      </c>
      <c r="C132">
        <f t="shared" si="10"/>
        <v>1</v>
      </c>
      <c r="D132" s="4"/>
      <c r="E132" t="s">
        <v>18</v>
      </c>
      <c r="F132" t="str">
        <f>INDEX(Establishment!B$2:B$1005,MATCH($E132,Establishment!$A$2:$A$1005,0))</f>
        <v xml:space="preserve"> </v>
      </c>
      <c r="G132" t="str">
        <f>INDEX(Establishment!C$2:C$1005,MATCH($E132,Establishment!$A$2:$A$1005,0))</f>
        <v xml:space="preserve"> </v>
      </c>
      <c r="M132">
        <f t="shared" si="11"/>
        <v>0</v>
      </c>
      <c r="N132">
        <f t="shared" si="14"/>
        <v>0</v>
      </c>
      <c r="P132" t="e">
        <f>INDEX(Items!B$2:B$1032,MATCH($O132,Items!$A$2:$A$1032,0))</f>
        <v>#N/A</v>
      </c>
      <c r="Q132" t="e">
        <f>INDEX(Items!C$2:C$1032,MATCH($O132,Items!$A$2:$A$1032,0))</f>
        <v>#N/A</v>
      </c>
      <c r="R132" t="e">
        <f>INDEX(Items!D$2:D$1032,MATCH($O132,Items!$A$2:$A$1032,0))</f>
        <v>#N/A</v>
      </c>
    </row>
    <row r="133" spans="1:18" x14ac:dyDescent="0.25">
      <c r="A133">
        <f t="shared" si="12"/>
        <v>1</v>
      </c>
      <c r="B133" t="str">
        <f t="shared" si="13"/>
        <v/>
      </c>
      <c r="C133">
        <f t="shared" si="10"/>
        <v>1</v>
      </c>
      <c r="D133" s="4"/>
      <c r="E133" t="s">
        <v>18</v>
      </c>
      <c r="F133" t="str">
        <f>INDEX(Establishment!B$2:B$1005,MATCH($E133,Establishment!$A$2:$A$1005,0))</f>
        <v xml:space="preserve"> </v>
      </c>
      <c r="G133" t="str">
        <f>INDEX(Establishment!C$2:C$1005,MATCH($E133,Establishment!$A$2:$A$1005,0))</f>
        <v xml:space="preserve"> </v>
      </c>
      <c r="M133">
        <f t="shared" si="11"/>
        <v>0</v>
      </c>
      <c r="N133">
        <f t="shared" si="14"/>
        <v>0</v>
      </c>
      <c r="P133" t="e">
        <f>INDEX(Items!B$2:B$1032,MATCH($O133,Items!$A$2:$A$1032,0))</f>
        <v>#N/A</v>
      </c>
      <c r="Q133" t="e">
        <f>INDEX(Items!C$2:C$1032,MATCH($O133,Items!$A$2:$A$1032,0))</f>
        <v>#N/A</v>
      </c>
      <c r="R133" t="e">
        <f>INDEX(Items!D$2:D$1032,MATCH($O133,Items!$A$2:$A$1032,0))</f>
        <v>#N/A</v>
      </c>
    </row>
    <row r="134" spans="1:18" x14ac:dyDescent="0.25">
      <c r="A134">
        <f t="shared" si="12"/>
        <v>1</v>
      </c>
      <c r="B134" t="str">
        <f t="shared" si="13"/>
        <v/>
      </c>
      <c r="C134">
        <f t="shared" si="10"/>
        <v>1</v>
      </c>
      <c r="D134" s="4"/>
      <c r="E134" t="s">
        <v>18</v>
      </c>
      <c r="F134" t="str">
        <f>INDEX(Establishment!B$2:B$1005,MATCH($E134,Establishment!$A$2:$A$1005,0))</f>
        <v xml:space="preserve"> </v>
      </c>
      <c r="G134" t="str">
        <f>INDEX(Establishment!C$2:C$1005,MATCH($E134,Establishment!$A$2:$A$1005,0))</f>
        <v xml:space="preserve"> </v>
      </c>
      <c r="M134">
        <f t="shared" si="11"/>
        <v>0</v>
      </c>
      <c r="N134">
        <f t="shared" si="14"/>
        <v>0</v>
      </c>
      <c r="P134" t="e">
        <f>INDEX(Items!B$2:B$1032,MATCH($O134,Items!$A$2:$A$1032,0))</f>
        <v>#N/A</v>
      </c>
      <c r="Q134" t="e">
        <f>INDEX(Items!C$2:C$1032,MATCH($O134,Items!$A$2:$A$1032,0))</f>
        <v>#N/A</v>
      </c>
      <c r="R134" t="e">
        <f>INDEX(Items!D$2:D$1032,MATCH($O134,Items!$A$2:$A$1032,0))</f>
        <v>#N/A</v>
      </c>
    </row>
    <row r="135" spans="1:18" x14ac:dyDescent="0.25">
      <c r="A135">
        <f t="shared" si="12"/>
        <v>1</v>
      </c>
      <c r="B135" t="str">
        <f t="shared" si="13"/>
        <v/>
      </c>
      <c r="C135">
        <f t="shared" si="10"/>
        <v>1</v>
      </c>
      <c r="D135" s="4"/>
      <c r="E135" t="s">
        <v>18</v>
      </c>
      <c r="F135" t="str">
        <f>INDEX(Establishment!B$2:B$1005,MATCH($E135,Establishment!$A$2:$A$1005,0))</f>
        <v xml:space="preserve"> </v>
      </c>
      <c r="G135" t="str">
        <f>INDEX(Establishment!C$2:C$1005,MATCH($E135,Establishment!$A$2:$A$1005,0))</f>
        <v xml:space="preserve"> </v>
      </c>
      <c r="M135">
        <f t="shared" si="11"/>
        <v>0</v>
      </c>
      <c r="N135">
        <f t="shared" si="14"/>
        <v>0</v>
      </c>
      <c r="P135" t="e">
        <f>INDEX(Items!B$2:B$1032,MATCH($O135,Items!$A$2:$A$1032,0))</f>
        <v>#N/A</v>
      </c>
      <c r="Q135" t="e">
        <f>INDEX(Items!C$2:C$1032,MATCH($O135,Items!$A$2:$A$1032,0))</f>
        <v>#N/A</v>
      </c>
      <c r="R135" t="e">
        <f>INDEX(Items!D$2:D$1032,MATCH($O135,Items!$A$2:$A$1032,0))</f>
        <v>#N/A</v>
      </c>
    </row>
    <row r="136" spans="1:18" x14ac:dyDescent="0.25">
      <c r="A136">
        <f t="shared" si="12"/>
        <v>1</v>
      </c>
      <c r="B136" t="str">
        <f t="shared" si="13"/>
        <v/>
      </c>
      <c r="C136">
        <f t="shared" si="10"/>
        <v>1</v>
      </c>
      <c r="D136" s="4"/>
      <c r="E136" t="s">
        <v>18</v>
      </c>
      <c r="F136" t="str">
        <f>INDEX(Establishment!B$2:B$1005,MATCH($E136,Establishment!$A$2:$A$1005,0))</f>
        <v xml:space="preserve"> </v>
      </c>
      <c r="G136" t="str">
        <f>INDEX(Establishment!C$2:C$1005,MATCH($E136,Establishment!$A$2:$A$1005,0))</f>
        <v xml:space="preserve"> </v>
      </c>
      <c r="M136">
        <f t="shared" si="11"/>
        <v>0</v>
      </c>
      <c r="N136">
        <f t="shared" si="14"/>
        <v>0</v>
      </c>
      <c r="P136" t="e">
        <f>INDEX(Items!B$2:B$1032,MATCH($O136,Items!$A$2:$A$1032,0))</f>
        <v>#N/A</v>
      </c>
      <c r="Q136" t="e">
        <f>INDEX(Items!C$2:C$1032,MATCH($O136,Items!$A$2:$A$1032,0))</f>
        <v>#N/A</v>
      </c>
      <c r="R136" t="e">
        <f>INDEX(Items!D$2:D$1032,MATCH($O136,Items!$A$2:$A$1032,0))</f>
        <v>#N/A</v>
      </c>
    </row>
    <row r="137" spans="1:18" x14ac:dyDescent="0.25">
      <c r="A137">
        <f t="shared" si="12"/>
        <v>1</v>
      </c>
      <c r="B137" t="str">
        <f t="shared" si="13"/>
        <v/>
      </c>
      <c r="C137">
        <f t="shared" si="10"/>
        <v>1</v>
      </c>
      <c r="D137" s="4"/>
      <c r="E137" t="s">
        <v>18</v>
      </c>
      <c r="F137" t="str">
        <f>INDEX(Establishment!B$2:B$1005,MATCH($E137,Establishment!$A$2:$A$1005,0))</f>
        <v xml:space="preserve"> </v>
      </c>
      <c r="G137" t="str">
        <f>INDEX(Establishment!C$2:C$1005,MATCH($E137,Establishment!$A$2:$A$1005,0))</f>
        <v xml:space="preserve"> </v>
      </c>
      <c r="M137">
        <f t="shared" si="11"/>
        <v>0</v>
      </c>
      <c r="N137">
        <f t="shared" si="14"/>
        <v>0</v>
      </c>
      <c r="P137" t="e">
        <f>INDEX(Items!B$2:B$1032,MATCH($O137,Items!$A$2:$A$1032,0))</f>
        <v>#N/A</v>
      </c>
      <c r="Q137" t="e">
        <f>INDEX(Items!C$2:C$1032,MATCH($O137,Items!$A$2:$A$1032,0))</f>
        <v>#N/A</v>
      </c>
      <c r="R137" t="e">
        <f>INDEX(Items!D$2:D$1032,MATCH($O137,Items!$A$2:$A$1032,0))</f>
        <v>#N/A</v>
      </c>
    </row>
    <row r="138" spans="1:18" x14ac:dyDescent="0.25">
      <c r="A138">
        <f t="shared" si="12"/>
        <v>1</v>
      </c>
      <c r="B138" t="str">
        <f t="shared" si="13"/>
        <v/>
      </c>
      <c r="C138">
        <f t="shared" ref="C138:C201" si="15">IF(OR(B138="",B138&lt;&gt;B137),1,C137+1)</f>
        <v>1</v>
      </c>
      <c r="D138" s="4"/>
      <c r="E138" t="s">
        <v>18</v>
      </c>
      <c r="F138" t="str">
        <f>INDEX(Establishment!B$2:B$1005,MATCH($E138,Establishment!$A$2:$A$1005,0))</f>
        <v xml:space="preserve"> </v>
      </c>
      <c r="G138" t="str">
        <f>INDEX(Establishment!C$2:C$1005,MATCH($E138,Establishment!$A$2:$A$1005,0))</f>
        <v xml:space="preserve"> </v>
      </c>
      <c r="M138">
        <f t="shared" ref="M138:M201" si="16">K138*L138</f>
        <v>0</v>
      </c>
      <c r="N138">
        <f t="shared" si="14"/>
        <v>0</v>
      </c>
      <c r="P138" t="e">
        <f>INDEX(Items!B$2:B$1032,MATCH($O138,Items!$A$2:$A$1032,0))</f>
        <v>#N/A</v>
      </c>
      <c r="Q138" t="e">
        <f>INDEX(Items!C$2:C$1032,MATCH($O138,Items!$A$2:$A$1032,0))</f>
        <v>#N/A</v>
      </c>
      <c r="R138" t="e">
        <f>INDEX(Items!D$2:D$1032,MATCH($O138,Items!$A$2:$A$1032,0))</f>
        <v>#N/A</v>
      </c>
    </row>
    <row r="139" spans="1:18" x14ac:dyDescent="0.25">
      <c r="A139">
        <f t="shared" si="12"/>
        <v>1</v>
      </c>
      <c r="B139" t="str">
        <f t="shared" si="13"/>
        <v/>
      </c>
      <c r="C139">
        <f t="shared" si="15"/>
        <v>1</v>
      </c>
      <c r="D139" s="4"/>
      <c r="E139" t="s">
        <v>18</v>
      </c>
      <c r="F139" t="str">
        <f>INDEX(Establishment!B$2:B$1005,MATCH($E139,Establishment!$A$2:$A$1005,0))</f>
        <v xml:space="preserve"> </v>
      </c>
      <c r="G139" t="str">
        <f>INDEX(Establishment!C$2:C$1005,MATCH($E139,Establishment!$A$2:$A$1005,0))</f>
        <v xml:space="preserve"> </v>
      </c>
      <c r="M139">
        <f t="shared" si="16"/>
        <v>0</v>
      </c>
      <c r="N139">
        <f t="shared" si="14"/>
        <v>0</v>
      </c>
      <c r="P139" t="e">
        <f>INDEX(Items!B$2:B$1032,MATCH($O139,Items!$A$2:$A$1032,0))</f>
        <v>#N/A</v>
      </c>
      <c r="Q139" t="e">
        <f>INDEX(Items!C$2:C$1032,MATCH($O139,Items!$A$2:$A$1032,0))</f>
        <v>#N/A</v>
      </c>
      <c r="R139" t="e">
        <f>INDEX(Items!D$2:D$1032,MATCH($O139,Items!$A$2:$A$1032,0))</f>
        <v>#N/A</v>
      </c>
    </row>
    <row r="140" spans="1:18" x14ac:dyDescent="0.25">
      <c r="A140">
        <f t="shared" si="12"/>
        <v>1</v>
      </c>
      <c r="B140" t="str">
        <f t="shared" si="13"/>
        <v/>
      </c>
      <c r="C140">
        <f t="shared" si="15"/>
        <v>1</v>
      </c>
      <c r="D140" s="4"/>
      <c r="E140" t="s">
        <v>18</v>
      </c>
      <c r="F140" t="str">
        <f>INDEX(Establishment!B$2:B$1005,MATCH($E140,Establishment!$A$2:$A$1005,0))</f>
        <v xml:space="preserve"> </v>
      </c>
      <c r="G140" t="str">
        <f>INDEX(Establishment!C$2:C$1005,MATCH($E140,Establishment!$A$2:$A$1005,0))</f>
        <v xml:space="preserve"> </v>
      </c>
      <c r="M140">
        <f t="shared" si="16"/>
        <v>0</v>
      </c>
      <c r="N140">
        <f t="shared" si="14"/>
        <v>0</v>
      </c>
      <c r="P140" t="e">
        <f>INDEX(Items!B$2:B$1032,MATCH($O140,Items!$A$2:$A$1032,0))</f>
        <v>#N/A</v>
      </c>
      <c r="Q140" t="e">
        <f>INDEX(Items!C$2:C$1032,MATCH($O140,Items!$A$2:$A$1032,0))</f>
        <v>#N/A</v>
      </c>
      <c r="R140" t="e">
        <f>INDEX(Items!D$2:D$1032,MATCH($O140,Items!$A$2:$A$1032,0))</f>
        <v>#N/A</v>
      </c>
    </row>
    <row r="141" spans="1:18" x14ac:dyDescent="0.25">
      <c r="A141">
        <f t="shared" si="12"/>
        <v>1</v>
      </c>
      <c r="B141" t="str">
        <f t="shared" si="13"/>
        <v/>
      </c>
      <c r="C141">
        <f t="shared" si="15"/>
        <v>1</v>
      </c>
      <c r="D141" s="4"/>
      <c r="E141" t="s">
        <v>18</v>
      </c>
      <c r="F141" t="str">
        <f>INDEX(Establishment!B$2:B$1005,MATCH($E141,Establishment!$A$2:$A$1005,0))</f>
        <v xml:space="preserve"> </v>
      </c>
      <c r="G141" t="str">
        <f>INDEX(Establishment!C$2:C$1005,MATCH($E141,Establishment!$A$2:$A$1005,0))</f>
        <v xml:space="preserve"> </v>
      </c>
      <c r="M141">
        <f t="shared" si="16"/>
        <v>0</v>
      </c>
      <c r="N141">
        <f t="shared" si="14"/>
        <v>0</v>
      </c>
      <c r="P141" t="e">
        <f>INDEX(Items!B$2:B$1032,MATCH($O141,Items!$A$2:$A$1032,0))</f>
        <v>#N/A</v>
      </c>
      <c r="Q141" t="e">
        <f>INDEX(Items!C$2:C$1032,MATCH($O141,Items!$A$2:$A$1032,0))</f>
        <v>#N/A</v>
      </c>
      <c r="R141" t="e">
        <f>INDEX(Items!D$2:D$1032,MATCH($O141,Items!$A$2:$A$1032,0))</f>
        <v>#N/A</v>
      </c>
    </row>
    <row r="142" spans="1:18" x14ac:dyDescent="0.25">
      <c r="A142">
        <f t="shared" si="12"/>
        <v>1</v>
      </c>
      <c r="B142" t="str">
        <f t="shared" si="13"/>
        <v/>
      </c>
      <c r="C142">
        <f t="shared" si="15"/>
        <v>1</v>
      </c>
      <c r="D142" s="4"/>
      <c r="E142" t="s">
        <v>18</v>
      </c>
      <c r="F142" t="str">
        <f>INDEX(Establishment!B$2:B$1005,MATCH($E142,Establishment!$A$2:$A$1005,0))</f>
        <v xml:space="preserve"> </v>
      </c>
      <c r="G142" t="str">
        <f>INDEX(Establishment!C$2:C$1005,MATCH($E142,Establishment!$A$2:$A$1005,0))</f>
        <v xml:space="preserve"> </v>
      </c>
      <c r="M142">
        <f t="shared" si="16"/>
        <v>0</v>
      </c>
      <c r="N142">
        <f t="shared" si="14"/>
        <v>0</v>
      </c>
      <c r="P142" t="e">
        <f>INDEX(Items!B$2:B$1032,MATCH($O142,Items!$A$2:$A$1032,0))</f>
        <v>#N/A</v>
      </c>
      <c r="Q142" t="e">
        <f>INDEX(Items!C$2:C$1032,MATCH($O142,Items!$A$2:$A$1032,0))</f>
        <v>#N/A</v>
      </c>
      <c r="R142" t="e">
        <f>INDEX(Items!D$2:D$1032,MATCH($O142,Items!$A$2:$A$1032,0))</f>
        <v>#N/A</v>
      </c>
    </row>
    <row r="143" spans="1:18" x14ac:dyDescent="0.25">
      <c r="A143">
        <f t="shared" si="12"/>
        <v>1</v>
      </c>
      <c r="B143" t="str">
        <f t="shared" si="13"/>
        <v/>
      </c>
      <c r="C143">
        <f t="shared" si="15"/>
        <v>1</v>
      </c>
      <c r="D143" s="4"/>
      <c r="E143" t="s">
        <v>18</v>
      </c>
      <c r="F143" t="str">
        <f>INDEX(Establishment!B$2:B$1005,MATCH($E143,Establishment!$A$2:$A$1005,0))</f>
        <v xml:space="preserve"> </v>
      </c>
      <c r="G143" t="str">
        <f>INDEX(Establishment!C$2:C$1005,MATCH($E143,Establishment!$A$2:$A$1005,0))</f>
        <v xml:space="preserve"> </v>
      </c>
      <c r="M143">
        <f t="shared" si="16"/>
        <v>0</v>
      </c>
      <c r="N143">
        <f t="shared" si="14"/>
        <v>0</v>
      </c>
      <c r="P143" t="e">
        <f>INDEX(Items!B$2:B$1032,MATCH($O143,Items!$A$2:$A$1032,0))</f>
        <v>#N/A</v>
      </c>
      <c r="Q143" t="e">
        <f>INDEX(Items!C$2:C$1032,MATCH($O143,Items!$A$2:$A$1032,0))</f>
        <v>#N/A</v>
      </c>
      <c r="R143" t="e">
        <f>INDEX(Items!D$2:D$1032,MATCH($O143,Items!$A$2:$A$1032,0))</f>
        <v>#N/A</v>
      </c>
    </row>
    <row r="144" spans="1:18" x14ac:dyDescent="0.25">
      <c r="A144">
        <f t="shared" si="12"/>
        <v>1</v>
      </c>
      <c r="B144" t="str">
        <f t="shared" si="13"/>
        <v/>
      </c>
      <c r="C144">
        <f t="shared" si="15"/>
        <v>1</v>
      </c>
      <c r="D144" s="4"/>
      <c r="E144" t="s">
        <v>18</v>
      </c>
      <c r="F144" t="str">
        <f>INDEX(Establishment!B$2:B$1005,MATCH($E144,Establishment!$A$2:$A$1005,0))</f>
        <v xml:space="preserve"> </v>
      </c>
      <c r="G144" t="str">
        <f>INDEX(Establishment!C$2:C$1005,MATCH($E144,Establishment!$A$2:$A$1005,0))</f>
        <v xml:space="preserve"> </v>
      </c>
      <c r="M144">
        <f t="shared" si="16"/>
        <v>0</v>
      </c>
      <c r="N144">
        <f t="shared" si="14"/>
        <v>0</v>
      </c>
      <c r="P144" t="e">
        <f>INDEX(Items!B$2:B$1032,MATCH($O144,Items!$A$2:$A$1032,0))</f>
        <v>#N/A</v>
      </c>
      <c r="Q144" t="e">
        <f>INDEX(Items!C$2:C$1032,MATCH($O144,Items!$A$2:$A$1032,0))</f>
        <v>#N/A</v>
      </c>
      <c r="R144" t="e">
        <f>INDEX(Items!D$2:D$1032,MATCH($O144,Items!$A$2:$A$1032,0))</f>
        <v>#N/A</v>
      </c>
    </row>
    <row r="145" spans="1:18" x14ac:dyDescent="0.25">
      <c r="A145">
        <f t="shared" si="12"/>
        <v>1</v>
      </c>
      <c r="B145" t="str">
        <f t="shared" si="13"/>
        <v/>
      </c>
      <c r="C145">
        <f t="shared" si="15"/>
        <v>1</v>
      </c>
      <c r="D145" s="4"/>
      <c r="E145" t="s">
        <v>18</v>
      </c>
      <c r="F145" t="str">
        <f>INDEX(Establishment!B$2:B$1005,MATCH($E145,Establishment!$A$2:$A$1005,0))</f>
        <v xml:space="preserve"> </v>
      </c>
      <c r="G145" t="str">
        <f>INDEX(Establishment!C$2:C$1005,MATCH($E145,Establishment!$A$2:$A$1005,0))</f>
        <v xml:space="preserve"> </v>
      </c>
      <c r="M145">
        <f t="shared" si="16"/>
        <v>0</v>
      </c>
      <c r="N145">
        <f t="shared" si="14"/>
        <v>0</v>
      </c>
      <c r="P145" t="e">
        <f>INDEX(Items!B$2:B$1032,MATCH($O145,Items!$A$2:$A$1032,0))</f>
        <v>#N/A</v>
      </c>
      <c r="Q145" t="e">
        <f>INDEX(Items!C$2:C$1032,MATCH($O145,Items!$A$2:$A$1032,0))</f>
        <v>#N/A</v>
      </c>
      <c r="R145" t="e">
        <f>INDEX(Items!D$2:D$1032,MATCH($O145,Items!$A$2:$A$1032,0))</f>
        <v>#N/A</v>
      </c>
    </row>
    <row r="146" spans="1:18" x14ac:dyDescent="0.25">
      <c r="A146">
        <f t="shared" si="12"/>
        <v>1</v>
      </c>
      <c r="B146" t="str">
        <f t="shared" si="13"/>
        <v/>
      </c>
      <c r="C146">
        <f t="shared" si="15"/>
        <v>1</v>
      </c>
      <c r="D146" s="4"/>
      <c r="E146" t="s">
        <v>18</v>
      </c>
      <c r="F146" t="str">
        <f>INDEX(Establishment!B$2:B$1005,MATCH($E146,Establishment!$A$2:$A$1005,0))</f>
        <v xml:space="preserve"> </v>
      </c>
      <c r="G146" t="str">
        <f>INDEX(Establishment!C$2:C$1005,MATCH($E146,Establishment!$A$2:$A$1005,0))</f>
        <v xml:space="preserve"> </v>
      </c>
      <c r="M146">
        <f t="shared" si="16"/>
        <v>0</v>
      </c>
      <c r="N146">
        <f t="shared" si="14"/>
        <v>0</v>
      </c>
      <c r="P146" t="e">
        <f>INDEX(Items!B$2:B$1032,MATCH($O146,Items!$A$2:$A$1032,0))</f>
        <v>#N/A</v>
      </c>
      <c r="Q146" t="e">
        <f>INDEX(Items!C$2:C$1032,MATCH($O146,Items!$A$2:$A$1032,0))</f>
        <v>#N/A</v>
      </c>
      <c r="R146" t="e">
        <f>INDEX(Items!D$2:D$1032,MATCH($O146,Items!$A$2:$A$1032,0))</f>
        <v>#N/A</v>
      </c>
    </row>
    <row r="147" spans="1:18" x14ac:dyDescent="0.25">
      <c r="A147">
        <f t="shared" si="12"/>
        <v>1</v>
      </c>
      <c r="B147" t="str">
        <f t="shared" si="13"/>
        <v/>
      </c>
      <c r="C147">
        <f t="shared" si="15"/>
        <v>1</v>
      </c>
      <c r="D147" s="4"/>
      <c r="E147" t="s">
        <v>18</v>
      </c>
      <c r="F147" t="str">
        <f>INDEX(Establishment!B$2:B$1005,MATCH($E147,Establishment!$A$2:$A$1005,0))</f>
        <v xml:space="preserve"> </v>
      </c>
      <c r="G147" t="str">
        <f>INDEX(Establishment!C$2:C$1005,MATCH($E147,Establishment!$A$2:$A$1005,0))</f>
        <v xml:space="preserve"> </v>
      </c>
      <c r="M147">
        <f t="shared" si="16"/>
        <v>0</v>
      </c>
      <c r="N147">
        <f t="shared" si="14"/>
        <v>0</v>
      </c>
      <c r="P147" t="e">
        <f>INDEX(Items!B$2:B$1032,MATCH($O147,Items!$A$2:$A$1032,0))</f>
        <v>#N/A</v>
      </c>
      <c r="Q147" t="e">
        <f>INDEX(Items!C$2:C$1032,MATCH($O147,Items!$A$2:$A$1032,0))</f>
        <v>#N/A</v>
      </c>
      <c r="R147" t="e">
        <f>INDEX(Items!D$2:D$1032,MATCH($O147,Items!$A$2:$A$1032,0))</f>
        <v>#N/A</v>
      </c>
    </row>
    <row r="148" spans="1:18" x14ac:dyDescent="0.25">
      <c r="A148">
        <f t="shared" si="12"/>
        <v>1</v>
      </c>
      <c r="B148" t="str">
        <f t="shared" si="13"/>
        <v/>
      </c>
      <c r="C148">
        <f t="shared" si="15"/>
        <v>1</v>
      </c>
      <c r="D148" s="4"/>
      <c r="E148" t="s">
        <v>18</v>
      </c>
      <c r="F148" t="str">
        <f>INDEX(Establishment!B$2:B$1005,MATCH($E148,Establishment!$A$2:$A$1005,0))</f>
        <v xml:space="preserve"> </v>
      </c>
      <c r="G148" t="str">
        <f>INDEX(Establishment!C$2:C$1005,MATCH($E148,Establishment!$A$2:$A$1005,0))</f>
        <v xml:space="preserve"> </v>
      </c>
      <c r="M148">
        <f t="shared" si="16"/>
        <v>0</v>
      </c>
      <c r="N148">
        <f t="shared" si="14"/>
        <v>0</v>
      </c>
      <c r="P148" t="e">
        <f>INDEX(Items!B$2:B$1032,MATCH($O148,Items!$A$2:$A$1032,0))</f>
        <v>#N/A</v>
      </c>
      <c r="Q148" t="e">
        <f>INDEX(Items!C$2:C$1032,MATCH($O148,Items!$A$2:$A$1032,0))</f>
        <v>#N/A</v>
      </c>
      <c r="R148" t="e">
        <f>INDEX(Items!D$2:D$1032,MATCH($O148,Items!$A$2:$A$1032,0))</f>
        <v>#N/A</v>
      </c>
    </row>
    <row r="149" spans="1:18" x14ac:dyDescent="0.25">
      <c r="A149">
        <f t="shared" si="12"/>
        <v>1</v>
      </c>
      <c r="B149" t="str">
        <f t="shared" si="13"/>
        <v/>
      </c>
      <c r="C149">
        <f t="shared" si="15"/>
        <v>1</v>
      </c>
      <c r="D149" s="4"/>
      <c r="E149" t="s">
        <v>18</v>
      </c>
      <c r="F149" t="str">
        <f>INDEX(Establishment!B$2:B$1005,MATCH($E149,Establishment!$A$2:$A$1005,0))</f>
        <v xml:space="preserve"> </v>
      </c>
      <c r="G149" t="str">
        <f>INDEX(Establishment!C$2:C$1005,MATCH($E149,Establishment!$A$2:$A$1005,0))</f>
        <v xml:space="preserve"> </v>
      </c>
      <c r="M149">
        <f t="shared" si="16"/>
        <v>0</v>
      </c>
      <c r="N149">
        <f t="shared" si="14"/>
        <v>0</v>
      </c>
      <c r="P149" t="e">
        <f>INDEX(Items!B$2:B$1032,MATCH($O149,Items!$A$2:$A$1032,0))</f>
        <v>#N/A</v>
      </c>
      <c r="Q149" t="e">
        <f>INDEX(Items!C$2:C$1032,MATCH($O149,Items!$A$2:$A$1032,0))</f>
        <v>#N/A</v>
      </c>
      <c r="R149" t="e">
        <f>INDEX(Items!D$2:D$1032,MATCH($O149,Items!$A$2:$A$1032,0))</f>
        <v>#N/A</v>
      </c>
    </row>
    <row r="150" spans="1:18" x14ac:dyDescent="0.25">
      <c r="A150">
        <f t="shared" si="12"/>
        <v>1</v>
      </c>
      <c r="B150" t="str">
        <f t="shared" si="13"/>
        <v/>
      </c>
      <c r="C150">
        <f t="shared" si="15"/>
        <v>1</v>
      </c>
      <c r="D150" s="4"/>
      <c r="E150" t="s">
        <v>18</v>
      </c>
      <c r="F150" t="str">
        <f>INDEX(Establishment!B$2:B$1005,MATCH($E150,Establishment!$A$2:$A$1005,0))</f>
        <v xml:space="preserve"> </v>
      </c>
      <c r="G150" t="str">
        <f>INDEX(Establishment!C$2:C$1005,MATCH($E150,Establishment!$A$2:$A$1005,0))</f>
        <v xml:space="preserve"> </v>
      </c>
      <c r="M150">
        <f t="shared" si="16"/>
        <v>0</v>
      </c>
      <c r="N150">
        <f t="shared" si="14"/>
        <v>0</v>
      </c>
      <c r="P150" t="e">
        <f>INDEX(Items!B$2:B$1032,MATCH($O150,Items!$A$2:$A$1032,0))</f>
        <v>#N/A</v>
      </c>
      <c r="Q150" t="e">
        <f>INDEX(Items!C$2:C$1032,MATCH($O150,Items!$A$2:$A$1032,0))</f>
        <v>#N/A</v>
      </c>
      <c r="R150" t="e">
        <f>INDEX(Items!D$2:D$1032,MATCH($O150,Items!$A$2:$A$1032,0))</f>
        <v>#N/A</v>
      </c>
    </row>
    <row r="151" spans="1:18" x14ac:dyDescent="0.25">
      <c r="A151">
        <f t="shared" si="12"/>
        <v>1</v>
      </c>
      <c r="B151" t="str">
        <f t="shared" si="13"/>
        <v/>
      </c>
      <c r="C151">
        <f t="shared" si="15"/>
        <v>1</v>
      </c>
      <c r="D151" s="4"/>
      <c r="E151" t="s">
        <v>18</v>
      </c>
      <c r="F151" t="str">
        <f>INDEX(Establishment!B$2:B$1005,MATCH($E151,Establishment!$A$2:$A$1005,0))</f>
        <v xml:space="preserve"> </v>
      </c>
      <c r="G151" t="str">
        <f>INDEX(Establishment!C$2:C$1005,MATCH($E151,Establishment!$A$2:$A$1005,0))</f>
        <v xml:space="preserve"> </v>
      </c>
      <c r="M151">
        <f t="shared" si="16"/>
        <v>0</v>
      </c>
      <c r="N151">
        <f t="shared" si="14"/>
        <v>0</v>
      </c>
      <c r="P151" t="e">
        <f>INDEX(Items!B$2:B$1032,MATCH($O151,Items!$A$2:$A$1032,0))</f>
        <v>#N/A</v>
      </c>
      <c r="Q151" t="e">
        <f>INDEX(Items!C$2:C$1032,MATCH($O151,Items!$A$2:$A$1032,0))</f>
        <v>#N/A</v>
      </c>
      <c r="R151" t="e">
        <f>INDEX(Items!D$2:D$1032,MATCH($O151,Items!$A$2:$A$1032,0))</f>
        <v>#N/A</v>
      </c>
    </row>
    <row r="152" spans="1:18" x14ac:dyDescent="0.25">
      <c r="A152">
        <f t="shared" si="12"/>
        <v>1</v>
      </c>
      <c r="B152" t="str">
        <f t="shared" si="13"/>
        <v/>
      </c>
      <c r="C152">
        <f t="shared" si="15"/>
        <v>1</v>
      </c>
      <c r="D152" s="4"/>
      <c r="E152" t="s">
        <v>18</v>
      </c>
      <c r="F152" t="str">
        <f>INDEX(Establishment!B$2:B$1005,MATCH($E152,Establishment!$A$2:$A$1005,0))</f>
        <v xml:space="preserve"> </v>
      </c>
      <c r="G152" t="str">
        <f>INDEX(Establishment!C$2:C$1005,MATCH($E152,Establishment!$A$2:$A$1005,0))</f>
        <v xml:space="preserve"> </v>
      </c>
      <c r="M152">
        <f t="shared" si="16"/>
        <v>0</v>
      </c>
      <c r="N152">
        <f t="shared" si="14"/>
        <v>0</v>
      </c>
      <c r="P152" t="e">
        <f>INDEX(Items!B$2:B$1032,MATCH($O152,Items!$A$2:$A$1032,0))</f>
        <v>#N/A</v>
      </c>
      <c r="Q152" t="e">
        <f>INDEX(Items!C$2:C$1032,MATCH($O152,Items!$A$2:$A$1032,0))</f>
        <v>#N/A</v>
      </c>
      <c r="R152" t="e">
        <f>INDEX(Items!D$2:D$1032,MATCH($O152,Items!$A$2:$A$1032,0))</f>
        <v>#N/A</v>
      </c>
    </row>
    <row r="153" spans="1:18" x14ac:dyDescent="0.25">
      <c r="A153">
        <f t="shared" si="12"/>
        <v>1</v>
      </c>
      <c r="B153" t="str">
        <f t="shared" si="13"/>
        <v/>
      </c>
      <c r="C153">
        <f t="shared" si="15"/>
        <v>1</v>
      </c>
      <c r="D153" s="4"/>
      <c r="E153" t="s">
        <v>18</v>
      </c>
      <c r="F153" t="str">
        <f>INDEX(Establishment!B$2:B$1005,MATCH($E153,Establishment!$A$2:$A$1005,0))</f>
        <v xml:space="preserve"> </v>
      </c>
      <c r="G153" t="str">
        <f>INDEX(Establishment!C$2:C$1005,MATCH($E153,Establishment!$A$2:$A$1005,0))</f>
        <v xml:space="preserve"> </v>
      </c>
      <c r="M153">
        <f t="shared" si="16"/>
        <v>0</v>
      </c>
      <c r="N153">
        <f t="shared" si="14"/>
        <v>0</v>
      </c>
      <c r="P153" t="e">
        <f>INDEX(Items!B$2:B$1032,MATCH($O153,Items!$A$2:$A$1032,0))</f>
        <v>#N/A</v>
      </c>
      <c r="Q153" t="e">
        <f>INDEX(Items!C$2:C$1032,MATCH($O153,Items!$A$2:$A$1032,0))</f>
        <v>#N/A</v>
      </c>
      <c r="R153" t="e">
        <f>INDEX(Items!D$2:D$1032,MATCH($O153,Items!$A$2:$A$1032,0))</f>
        <v>#N/A</v>
      </c>
    </row>
    <row r="154" spans="1:18" x14ac:dyDescent="0.25">
      <c r="A154">
        <f t="shared" si="12"/>
        <v>1</v>
      </c>
      <c r="B154" t="str">
        <f t="shared" si="13"/>
        <v/>
      </c>
      <c r="C154">
        <f t="shared" si="15"/>
        <v>1</v>
      </c>
      <c r="D154" s="4"/>
      <c r="E154" t="s">
        <v>18</v>
      </c>
      <c r="F154" t="str">
        <f>INDEX(Establishment!B$2:B$1005,MATCH($E154,Establishment!$A$2:$A$1005,0))</f>
        <v xml:space="preserve"> </v>
      </c>
      <c r="G154" t="str">
        <f>INDEX(Establishment!C$2:C$1005,MATCH($E154,Establishment!$A$2:$A$1005,0))</f>
        <v xml:space="preserve"> </v>
      </c>
      <c r="M154">
        <f t="shared" si="16"/>
        <v>0</v>
      </c>
      <c r="N154">
        <f t="shared" si="14"/>
        <v>0</v>
      </c>
      <c r="P154" t="e">
        <f>INDEX(Items!B$2:B$1032,MATCH($O154,Items!$A$2:$A$1032,0))</f>
        <v>#N/A</v>
      </c>
      <c r="Q154" t="e">
        <f>INDEX(Items!C$2:C$1032,MATCH($O154,Items!$A$2:$A$1032,0))</f>
        <v>#N/A</v>
      </c>
      <c r="R154" t="e">
        <f>INDEX(Items!D$2:D$1032,MATCH($O154,Items!$A$2:$A$1032,0))</f>
        <v>#N/A</v>
      </c>
    </row>
    <row r="155" spans="1:18" x14ac:dyDescent="0.25">
      <c r="A155">
        <f t="shared" si="12"/>
        <v>1</v>
      </c>
      <c r="B155" t="str">
        <f t="shared" si="13"/>
        <v/>
      </c>
      <c r="C155">
        <f t="shared" si="15"/>
        <v>1</v>
      </c>
      <c r="D155" s="4"/>
      <c r="E155" t="s">
        <v>18</v>
      </c>
      <c r="F155" t="str">
        <f>INDEX(Establishment!B$2:B$1005,MATCH($E155,Establishment!$A$2:$A$1005,0))</f>
        <v xml:space="preserve"> </v>
      </c>
      <c r="G155" t="str">
        <f>INDEX(Establishment!C$2:C$1005,MATCH($E155,Establishment!$A$2:$A$1005,0))</f>
        <v xml:space="preserve"> </v>
      </c>
      <c r="M155">
        <f t="shared" si="16"/>
        <v>0</v>
      </c>
      <c r="N155">
        <f t="shared" si="14"/>
        <v>0</v>
      </c>
      <c r="P155" t="e">
        <f>INDEX(Items!B$2:B$1032,MATCH($O155,Items!$A$2:$A$1032,0))</f>
        <v>#N/A</v>
      </c>
      <c r="Q155" t="e">
        <f>INDEX(Items!C$2:C$1032,MATCH($O155,Items!$A$2:$A$1032,0))</f>
        <v>#N/A</v>
      </c>
      <c r="R155" t="e">
        <f>INDEX(Items!D$2:D$1032,MATCH($O155,Items!$A$2:$A$1032,0))</f>
        <v>#N/A</v>
      </c>
    </row>
    <row r="156" spans="1:18" x14ac:dyDescent="0.25">
      <c r="A156">
        <f t="shared" si="12"/>
        <v>1</v>
      </c>
      <c r="B156" t="str">
        <f t="shared" si="13"/>
        <v/>
      </c>
      <c r="C156">
        <f t="shared" si="15"/>
        <v>1</v>
      </c>
      <c r="D156" s="4"/>
      <c r="E156" t="s">
        <v>18</v>
      </c>
      <c r="F156" t="str">
        <f>INDEX(Establishment!B$2:B$1005,MATCH($E156,Establishment!$A$2:$A$1005,0))</f>
        <v xml:space="preserve"> </v>
      </c>
      <c r="G156" t="str">
        <f>INDEX(Establishment!C$2:C$1005,MATCH($E156,Establishment!$A$2:$A$1005,0))</f>
        <v xml:space="preserve"> </v>
      </c>
      <c r="M156">
        <f t="shared" si="16"/>
        <v>0</v>
      </c>
      <c r="N156">
        <f t="shared" si="14"/>
        <v>0</v>
      </c>
      <c r="P156" t="e">
        <f>INDEX(Items!B$2:B$1032,MATCH($O156,Items!$A$2:$A$1032,0))</f>
        <v>#N/A</v>
      </c>
      <c r="Q156" t="e">
        <f>INDEX(Items!C$2:C$1032,MATCH($O156,Items!$A$2:$A$1032,0))</f>
        <v>#N/A</v>
      </c>
      <c r="R156" t="e">
        <f>INDEX(Items!D$2:D$1032,MATCH($O156,Items!$A$2:$A$1032,0))</f>
        <v>#N/A</v>
      </c>
    </row>
    <row r="157" spans="1:18" x14ac:dyDescent="0.25">
      <c r="A157">
        <f t="shared" si="12"/>
        <v>1</v>
      </c>
      <c r="B157" t="str">
        <f t="shared" si="13"/>
        <v/>
      </c>
      <c r="C157">
        <f t="shared" si="15"/>
        <v>1</v>
      </c>
      <c r="D157" s="4"/>
      <c r="E157" t="s">
        <v>18</v>
      </c>
      <c r="F157" t="str">
        <f>INDEX(Establishment!B$2:B$1005,MATCH($E157,Establishment!$A$2:$A$1005,0))</f>
        <v xml:space="preserve"> </v>
      </c>
      <c r="G157" t="str">
        <f>INDEX(Establishment!C$2:C$1005,MATCH($E157,Establishment!$A$2:$A$1005,0))</f>
        <v xml:space="preserve"> </v>
      </c>
      <c r="M157">
        <f t="shared" si="16"/>
        <v>0</v>
      </c>
      <c r="N157">
        <f t="shared" si="14"/>
        <v>0</v>
      </c>
      <c r="P157" t="e">
        <f>INDEX(Items!B$2:B$1032,MATCH($O157,Items!$A$2:$A$1032,0))</f>
        <v>#N/A</v>
      </c>
      <c r="Q157" t="e">
        <f>INDEX(Items!C$2:C$1032,MATCH($O157,Items!$A$2:$A$1032,0))</f>
        <v>#N/A</v>
      </c>
      <c r="R157" t="e">
        <f>INDEX(Items!D$2:D$1032,MATCH($O157,Items!$A$2:$A$1032,0))</f>
        <v>#N/A</v>
      </c>
    </row>
    <row r="158" spans="1:18" x14ac:dyDescent="0.25">
      <c r="A158">
        <f t="shared" si="12"/>
        <v>1</v>
      </c>
      <c r="B158" t="str">
        <f t="shared" si="13"/>
        <v/>
      </c>
      <c r="C158">
        <f t="shared" si="15"/>
        <v>1</v>
      </c>
      <c r="D158" s="4"/>
      <c r="E158" t="s">
        <v>18</v>
      </c>
      <c r="F158" t="str">
        <f>INDEX(Establishment!B$2:B$1005,MATCH($E158,Establishment!$A$2:$A$1005,0))</f>
        <v xml:space="preserve"> </v>
      </c>
      <c r="G158" t="str">
        <f>INDEX(Establishment!C$2:C$1005,MATCH($E158,Establishment!$A$2:$A$1005,0))</f>
        <v xml:space="preserve"> </v>
      </c>
      <c r="M158">
        <f t="shared" si="16"/>
        <v>0</v>
      </c>
      <c r="N158">
        <f t="shared" si="14"/>
        <v>0</v>
      </c>
      <c r="P158" t="e">
        <f>INDEX(Items!B$2:B$1032,MATCH($O158,Items!$A$2:$A$1032,0))</f>
        <v>#N/A</v>
      </c>
      <c r="Q158" t="e">
        <f>INDEX(Items!C$2:C$1032,MATCH($O158,Items!$A$2:$A$1032,0))</f>
        <v>#N/A</v>
      </c>
      <c r="R158" t="e">
        <f>INDEX(Items!D$2:D$1032,MATCH($O158,Items!$A$2:$A$1032,0))</f>
        <v>#N/A</v>
      </c>
    </row>
    <row r="159" spans="1:18" x14ac:dyDescent="0.25">
      <c r="A159">
        <f t="shared" si="12"/>
        <v>1</v>
      </c>
      <c r="B159" t="str">
        <f t="shared" si="13"/>
        <v/>
      </c>
      <c r="C159">
        <f t="shared" si="15"/>
        <v>1</v>
      </c>
      <c r="D159" s="4"/>
      <c r="E159" t="s">
        <v>18</v>
      </c>
      <c r="F159" t="str">
        <f>INDEX(Establishment!B$2:B$1005,MATCH($E159,Establishment!$A$2:$A$1005,0))</f>
        <v xml:space="preserve"> </v>
      </c>
      <c r="G159" t="str">
        <f>INDEX(Establishment!C$2:C$1005,MATCH($E159,Establishment!$A$2:$A$1005,0))</f>
        <v xml:space="preserve"> </v>
      </c>
      <c r="M159">
        <f t="shared" si="16"/>
        <v>0</v>
      </c>
      <c r="N159">
        <f t="shared" si="14"/>
        <v>0</v>
      </c>
      <c r="P159" t="e">
        <f>INDEX(Items!B$2:B$1032,MATCH($O159,Items!$A$2:$A$1032,0))</f>
        <v>#N/A</v>
      </c>
      <c r="Q159" t="e">
        <f>INDEX(Items!C$2:C$1032,MATCH($O159,Items!$A$2:$A$1032,0))</f>
        <v>#N/A</v>
      </c>
      <c r="R159" t="e">
        <f>INDEX(Items!D$2:D$1032,MATCH($O159,Items!$A$2:$A$1032,0))</f>
        <v>#N/A</v>
      </c>
    </row>
    <row r="160" spans="1:18" x14ac:dyDescent="0.25">
      <c r="A160">
        <f t="shared" si="12"/>
        <v>1</v>
      </c>
      <c r="B160" t="str">
        <f t="shared" si="13"/>
        <v/>
      </c>
      <c r="C160">
        <f t="shared" si="15"/>
        <v>1</v>
      </c>
      <c r="D160" s="4"/>
      <c r="E160" t="s">
        <v>18</v>
      </c>
      <c r="F160" t="str">
        <f>INDEX(Establishment!B$2:B$1005,MATCH($E160,Establishment!$A$2:$A$1005,0))</f>
        <v xml:space="preserve"> </v>
      </c>
      <c r="G160" t="str">
        <f>INDEX(Establishment!C$2:C$1005,MATCH($E160,Establishment!$A$2:$A$1005,0))</f>
        <v xml:space="preserve"> </v>
      </c>
      <c r="M160">
        <f t="shared" si="16"/>
        <v>0</v>
      </c>
      <c r="N160">
        <f t="shared" si="14"/>
        <v>0</v>
      </c>
      <c r="P160" t="e">
        <f>INDEX(Items!B$2:B$1032,MATCH($O160,Items!$A$2:$A$1032,0))</f>
        <v>#N/A</v>
      </c>
      <c r="Q160" t="e">
        <f>INDEX(Items!C$2:C$1032,MATCH($O160,Items!$A$2:$A$1032,0))</f>
        <v>#N/A</v>
      </c>
      <c r="R160" t="e">
        <f>INDEX(Items!D$2:D$1032,MATCH($O160,Items!$A$2:$A$1032,0))</f>
        <v>#N/A</v>
      </c>
    </row>
    <row r="161" spans="1:18" x14ac:dyDescent="0.25">
      <c r="A161">
        <f t="shared" si="12"/>
        <v>1</v>
      </c>
      <c r="B161" t="str">
        <f t="shared" si="13"/>
        <v/>
      </c>
      <c r="C161">
        <f t="shared" si="15"/>
        <v>1</v>
      </c>
      <c r="D161" s="4"/>
      <c r="E161" t="s">
        <v>18</v>
      </c>
      <c r="F161" t="str">
        <f>INDEX(Establishment!B$2:B$1005,MATCH($E161,Establishment!$A$2:$A$1005,0))</f>
        <v xml:space="preserve"> </v>
      </c>
      <c r="G161" t="str">
        <f>INDEX(Establishment!C$2:C$1005,MATCH($E161,Establishment!$A$2:$A$1005,0))</f>
        <v xml:space="preserve"> </v>
      </c>
      <c r="M161">
        <f t="shared" si="16"/>
        <v>0</v>
      </c>
      <c r="N161">
        <f t="shared" si="14"/>
        <v>0</v>
      </c>
      <c r="P161" t="e">
        <f>INDEX(Items!B$2:B$1032,MATCH($O161,Items!$A$2:$A$1032,0))</f>
        <v>#N/A</v>
      </c>
      <c r="Q161" t="e">
        <f>INDEX(Items!C$2:C$1032,MATCH($O161,Items!$A$2:$A$1032,0))</f>
        <v>#N/A</v>
      </c>
      <c r="R161" t="e">
        <f>INDEX(Items!D$2:D$1032,MATCH($O161,Items!$A$2:$A$1032,0))</f>
        <v>#N/A</v>
      </c>
    </row>
    <row r="162" spans="1:18" x14ac:dyDescent="0.25">
      <c r="A162">
        <f t="shared" si="12"/>
        <v>1</v>
      </c>
      <c r="B162" t="str">
        <f t="shared" si="13"/>
        <v/>
      </c>
      <c r="C162">
        <f t="shared" si="15"/>
        <v>1</v>
      </c>
      <c r="D162" s="4"/>
      <c r="E162" t="s">
        <v>18</v>
      </c>
      <c r="F162" t="str">
        <f>INDEX(Establishment!B$2:B$1005,MATCH($E162,Establishment!$A$2:$A$1005,0))</f>
        <v xml:space="preserve"> </v>
      </c>
      <c r="G162" t="str">
        <f>INDEX(Establishment!C$2:C$1005,MATCH($E162,Establishment!$A$2:$A$1005,0))</f>
        <v xml:space="preserve"> </v>
      </c>
      <c r="M162">
        <f t="shared" si="16"/>
        <v>0</v>
      </c>
      <c r="N162">
        <f t="shared" si="14"/>
        <v>0</v>
      </c>
      <c r="P162" t="e">
        <f>INDEX(Items!B$2:B$1032,MATCH($O162,Items!$A$2:$A$1032,0))</f>
        <v>#N/A</v>
      </c>
      <c r="Q162" t="e">
        <f>INDEX(Items!C$2:C$1032,MATCH($O162,Items!$A$2:$A$1032,0))</f>
        <v>#N/A</v>
      </c>
      <c r="R162" t="e">
        <f>INDEX(Items!D$2:D$1032,MATCH($O162,Items!$A$2:$A$1032,0))</f>
        <v>#N/A</v>
      </c>
    </row>
    <row r="163" spans="1:18" x14ac:dyDescent="0.25">
      <c r="A163">
        <f t="shared" si="12"/>
        <v>1</v>
      </c>
      <c r="B163" t="str">
        <f t="shared" si="13"/>
        <v/>
      </c>
      <c r="C163">
        <f t="shared" si="15"/>
        <v>1</v>
      </c>
      <c r="D163" s="4"/>
      <c r="E163" t="s">
        <v>18</v>
      </c>
      <c r="F163" t="str">
        <f>INDEX(Establishment!B$2:B$1005,MATCH($E163,Establishment!$A$2:$A$1005,0))</f>
        <v xml:space="preserve"> </v>
      </c>
      <c r="G163" t="str">
        <f>INDEX(Establishment!C$2:C$1005,MATCH($E163,Establishment!$A$2:$A$1005,0))</f>
        <v xml:space="preserve"> </v>
      </c>
      <c r="M163">
        <f t="shared" si="16"/>
        <v>0</v>
      </c>
      <c r="N163">
        <f t="shared" si="14"/>
        <v>0</v>
      </c>
      <c r="P163" t="e">
        <f>INDEX(Items!B$2:B$1032,MATCH($O163,Items!$A$2:$A$1032,0))</f>
        <v>#N/A</v>
      </c>
      <c r="Q163" t="e">
        <f>INDEX(Items!C$2:C$1032,MATCH($O163,Items!$A$2:$A$1032,0))</f>
        <v>#N/A</v>
      </c>
      <c r="R163" t="e">
        <f>INDEX(Items!D$2:D$1032,MATCH($O163,Items!$A$2:$A$1032,0))</f>
        <v>#N/A</v>
      </c>
    </row>
    <row r="164" spans="1:18" x14ac:dyDescent="0.25">
      <c r="A164">
        <f t="shared" si="12"/>
        <v>1</v>
      </c>
      <c r="B164" t="str">
        <f t="shared" si="13"/>
        <v/>
      </c>
      <c r="C164">
        <f t="shared" si="15"/>
        <v>1</v>
      </c>
      <c r="D164" s="4"/>
      <c r="E164" t="s">
        <v>18</v>
      </c>
      <c r="F164" t="str">
        <f>INDEX(Establishment!B$2:B$1005,MATCH($E164,Establishment!$A$2:$A$1005,0))</f>
        <v xml:space="preserve"> </v>
      </c>
      <c r="G164" t="str">
        <f>INDEX(Establishment!C$2:C$1005,MATCH($E164,Establishment!$A$2:$A$1005,0))</f>
        <v xml:space="preserve"> </v>
      </c>
      <c r="M164">
        <f t="shared" si="16"/>
        <v>0</v>
      </c>
      <c r="N164">
        <f t="shared" si="14"/>
        <v>0</v>
      </c>
      <c r="P164" t="e">
        <f>INDEX(Items!B$2:B$1032,MATCH($O164,Items!$A$2:$A$1032,0))</f>
        <v>#N/A</v>
      </c>
      <c r="Q164" t="e">
        <f>INDEX(Items!C$2:C$1032,MATCH($O164,Items!$A$2:$A$1032,0))</f>
        <v>#N/A</v>
      </c>
      <c r="R164" t="e">
        <f>INDEX(Items!D$2:D$1032,MATCH($O164,Items!$A$2:$A$1032,0))</f>
        <v>#N/A</v>
      </c>
    </row>
    <row r="165" spans="1:18" x14ac:dyDescent="0.25">
      <c r="A165">
        <f t="shared" si="12"/>
        <v>1</v>
      </c>
      <c r="B165" t="str">
        <f t="shared" si="13"/>
        <v/>
      </c>
      <c r="C165">
        <f t="shared" si="15"/>
        <v>1</v>
      </c>
      <c r="D165" s="4"/>
      <c r="E165" t="s">
        <v>18</v>
      </c>
      <c r="F165" t="str">
        <f>INDEX(Establishment!B$2:B$1005,MATCH($E165,Establishment!$A$2:$A$1005,0))</f>
        <v xml:space="preserve"> </v>
      </c>
      <c r="G165" t="str">
        <f>INDEX(Establishment!C$2:C$1005,MATCH($E165,Establishment!$A$2:$A$1005,0))</f>
        <v xml:space="preserve"> </v>
      </c>
      <c r="M165">
        <f t="shared" si="16"/>
        <v>0</v>
      </c>
      <c r="N165">
        <f t="shared" si="14"/>
        <v>0</v>
      </c>
      <c r="P165" t="e">
        <f>INDEX(Items!B$2:B$1032,MATCH($O165,Items!$A$2:$A$1032,0))</f>
        <v>#N/A</v>
      </c>
      <c r="Q165" t="e">
        <f>INDEX(Items!C$2:C$1032,MATCH($O165,Items!$A$2:$A$1032,0))</f>
        <v>#N/A</v>
      </c>
      <c r="R165" t="e">
        <f>INDEX(Items!D$2:D$1032,MATCH($O165,Items!$A$2:$A$1032,0))</f>
        <v>#N/A</v>
      </c>
    </row>
    <row r="166" spans="1:18" x14ac:dyDescent="0.25">
      <c r="A166">
        <f t="shared" si="12"/>
        <v>1</v>
      </c>
      <c r="B166" t="str">
        <f t="shared" si="13"/>
        <v/>
      </c>
      <c r="C166">
        <f t="shared" si="15"/>
        <v>1</v>
      </c>
      <c r="D166" s="4"/>
      <c r="E166" t="s">
        <v>18</v>
      </c>
      <c r="F166" t="str">
        <f>INDEX(Establishment!B$2:B$1005,MATCH($E166,Establishment!$A$2:$A$1005,0))</f>
        <v xml:space="preserve"> </v>
      </c>
      <c r="G166" t="str">
        <f>INDEX(Establishment!C$2:C$1005,MATCH($E166,Establishment!$A$2:$A$1005,0))</f>
        <v xml:space="preserve"> </v>
      </c>
      <c r="M166">
        <f t="shared" si="16"/>
        <v>0</v>
      </c>
      <c r="N166">
        <f t="shared" si="14"/>
        <v>0</v>
      </c>
      <c r="P166" t="e">
        <f>INDEX(Items!B$2:B$1032,MATCH($O166,Items!$A$2:$A$1032,0))</f>
        <v>#N/A</v>
      </c>
      <c r="Q166" t="e">
        <f>INDEX(Items!C$2:C$1032,MATCH($O166,Items!$A$2:$A$1032,0))</f>
        <v>#N/A</v>
      </c>
      <c r="R166" t="e">
        <f>INDEX(Items!D$2:D$1032,MATCH($O166,Items!$A$2:$A$1032,0))</f>
        <v>#N/A</v>
      </c>
    </row>
    <row r="167" spans="1:18" x14ac:dyDescent="0.25">
      <c r="A167">
        <f t="shared" si="12"/>
        <v>1</v>
      </c>
      <c r="B167" t="str">
        <f t="shared" si="13"/>
        <v/>
      </c>
      <c r="C167">
        <f t="shared" si="15"/>
        <v>1</v>
      </c>
      <c r="D167" s="4"/>
      <c r="E167" t="s">
        <v>18</v>
      </c>
      <c r="F167" t="str">
        <f>INDEX(Establishment!B$2:B$1005,MATCH($E167,Establishment!$A$2:$A$1005,0))</f>
        <v xml:space="preserve"> </v>
      </c>
      <c r="G167" t="str">
        <f>INDEX(Establishment!C$2:C$1005,MATCH($E167,Establishment!$A$2:$A$1005,0))</f>
        <v xml:space="preserve"> </v>
      </c>
      <c r="M167">
        <f t="shared" si="16"/>
        <v>0</v>
      </c>
      <c r="N167">
        <f t="shared" si="14"/>
        <v>0</v>
      </c>
      <c r="P167" t="e">
        <f>INDEX(Items!B$2:B$1032,MATCH($O167,Items!$A$2:$A$1032,0))</f>
        <v>#N/A</v>
      </c>
      <c r="Q167" t="e">
        <f>INDEX(Items!C$2:C$1032,MATCH($O167,Items!$A$2:$A$1032,0))</f>
        <v>#N/A</v>
      </c>
      <c r="R167" t="e">
        <f>INDEX(Items!D$2:D$1032,MATCH($O167,Items!$A$2:$A$1032,0))</f>
        <v>#N/A</v>
      </c>
    </row>
    <row r="168" spans="1:18" x14ac:dyDescent="0.25">
      <c r="A168">
        <f t="shared" si="12"/>
        <v>1</v>
      </c>
      <c r="B168" t="str">
        <f t="shared" si="13"/>
        <v/>
      </c>
      <c r="C168">
        <f t="shared" si="15"/>
        <v>1</v>
      </c>
      <c r="D168" s="4"/>
      <c r="E168" t="s">
        <v>18</v>
      </c>
      <c r="F168" t="str">
        <f>INDEX(Establishment!B$2:B$1005,MATCH($E168,Establishment!$A$2:$A$1005,0))</f>
        <v xml:space="preserve"> </v>
      </c>
      <c r="G168" t="str">
        <f>INDEX(Establishment!C$2:C$1005,MATCH($E168,Establishment!$A$2:$A$1005,0))</f>
        <v xml:space="preserve"> </v>
      </c>
      <c r="M168">
        <f t="shared" si="16"/>
        <v>0</v>
      </c>
      <c r="N168">
        <f t="shared" si="14"/>
        <v>0</v>
      </c>
      <c r="P168" t="e">
        <f>INDEX(Items!B$2:B$1032,MATCH($O168,Items!$A$2:$A$1032,0))</f>
        <v>#N/A</v>
      </c>
      <c r="Q168" t="e">
        <f>INDEX(Items!C$2:C$1032,MATCH($O168,Items!$A$2:$A$1032,0))</f>
        <v>#N/A</v>
      </c>
      <c r="R168" t="e">
        <f>INDEX(Items!D$2:D$1032,MATCH($O168,Items!$A$2:$A$1032,0))</f>
        <v>#N/A</v>
      </c>
    </row>
    <row r="169" spans="1:18" x14ac:dyDescent="0.25">
      <c r="A169">
        <f t="shared" si="12"/>
        <v>1</v>
      </c>
      <c r="B169" t="str">
        <f t="shared" si="13"/>
        <v/>
      </c>
      <c r="C169">
        <f t="shared" si="15"/>
        <v>1</v>
      </c>
      <c r="D169" s="4"/>
      <c r="E169" t="s">
        <v>18</v>
      </c>
      <c r="F169" t="str">
        <f>INDEX(Establishment!B$2:B$1005,MATCH($E169,Establishment!$A$2:$A$1005,0))</f>
        <v xml:space="preserve"> </v>
      </c>
      <c r="G169" t="str">
        <f>INDEX(Establishment!C$2:C$1005,MATCH($E169,Establishment!$A$2:$A$1005,0))</f>
        <v xml:space="preserve"> </v>
      </c>
      <c r="M169">
        <f t="shared" si="16"/>
        <v>0</v>
      </c>
      <c r="N169">
        <f t="shared" si="14"/>
        <v>0</v>
      </c>
      <c r="P169" t="e">
        <f>INDEX(Items!B$2:B$1032,MATCH($O169,Items!$A$2:$A$1032,0))</f>
        <v>#N/A</v>
      </c>
      <c r="Q169" t="e">
        <f>INDEX(Items!C$2:C$1032,MATCH($O169,Items!$A$2:$A$1032,0))</f>
        <v>#N/A</v>
      </c>
      <c r="R169" t="e">
        <f>INDEX(Items!D$2:D$1032,MATCH($O169,Items!$A$2:$A$1032,0))</f>
        <v>#N/A</v>
      </c>
    </row>
    <row r="170" spans="1:18" x14ac:dyDescent="0.25">
      <c r="A170">
        <f t="shared" si="12"/>
        <v>1</v>
      </c>
      <c r="B170" t="str">
        <f t="shared" si="13"/>
        <v/>
      </c>
      <c r="C170">
        <f t="shared" si="15"/>
        <v>1</v>
      </c>
      <c r="D170" s="4"/>
      <c r="E170" t="s">
        <v>18</v>
      </c>
      <c r="F170" t="str">
        <f>INDEX(Establishment!B$2:B$1005,MATCH($E170,Establishment!$A$2:$A$1005,0))</f>
        <v xml:space="preserve"> </v>
      </c>
      <c r="G170" t="str">
        <f>INDEX(Establishment!C$2:C$1005,MATCH($E170,Establishment!$A$2:$A$1005,0))</f>
        <v xml:space="preserve"> </v>
      </c>
      <c r="M170">
        <f t="shared" si="16"/>
        <v>0</v>
      </c>
      <c r="N170">
        <f t="shared" si="14"/>
        <v>0</v>
      </c>
      <c r="P170" t="e">
        <f>INDEX(Items!B$2:B$1032,MATCH($O170,Items!$A$2:$A$1032,0))</f>
        <v>#N/A</v>
      </c>
      <c r="Q170" t="e">
        <f>INDEX(Items!C$2:C$1032,MATCH($O170,Items!$A$2:$A$1032,0))</f>
        <v>#N/A</v>
      </c>
      <c r="R170" t="e">
        <f>INDEX(Items!D$2:D$1032,MATCH($O170,Items!$A$2:$A$1032,0))</f>
        <v>#N/A</v>
      </c>
    </row>
    <row r="171" spans="1:18" x14ac:dyDescent="0.25">
      <c r="A171">
        <f t="shared" si="12"/>
        <v>1</v>
      </c>
      <c r="B171" t="str">
        <f t="shared" si="13"/>
        <v/>
      </c>
      <c r="C171">
        <f t="shared" si="15"/>
        <v>1</v>
      </c>
      <c r="D171" s="4"/>
      <c r="E171" t="s">
        <v>18</v>
      </c>
      <c r="F171" t="str">
        <f>INDEX(Establishment!B$2:B$1005,MATCH($E171,Establishment!$A$2:$A$1005,0))</f>
        <v xml:space="preserve"> </v>
      </c>
      <c r="G171" t="str">
        <f>INDEX(Establishment!C$2:C$1005,MATCH($E171,Establishment!$A$2:$A$1005,0))</f>
        <v xml:space="preserve"> </v>
      </c>
      <c r="M171">
        <f t="shared" si="16"/>
        <v>0</v>
      </c>
      <c r="N171">
        <f t="shared" si="14"/>
        <v>0</v>
      </c>
      <c r="P171" t="e">
        <f>INDEX(Items!B$2:B$1032,MATCH($O171,Items!$A$2:$A$1032,0))</f>
        <v>#N/A</v>
      </c>
      <c r="Q171" t="e">
        <f>INDEX(Items!C$2:C$1032,MATCH($O171,Items!$A$2:$A$1032,0))</f>
        <v>#N/A</v>
      </c>
      <c r="R171" t="e">
        <f>INDEX(Items!D$2:D$1032,MATCH($O171,Items!$A$2:$A$1032,0))</f>
        <v>#N/A</v>
      </c>
    </row>
    <row r="172" spans="1:18" x14ac:dyDescent="0.25">
      <c r="A172">
        <f t="shared" si="12"/>
        <v>1</v>
      </c>
      <c r="B172" t="str">
        <f t="shared" si="13"/>
        <v/>
      </c>
      <c r="C172">
        <f t="shared" si="15"/>
        <v>1</v>
      </c>
      <c r="D172" s="4"/>
      <c r="E172" t="s">
        <v>18</v>
      </c>
      <c r="F172" t="str">
        <f>INDEX(Establishment!B$2:B$1005,MATCH($E172,Establishment!$A$2:$A$1005,0))</f>
        <v xml:space="preserve"> </v>
      </c>
      <c r="G172" t="str">
        <f>INDEX(Establishment!C$2:C$1005,MATCH($E172,Establishment!$A$2:$A$1005,0))</f>
        <v xml:space="preserve"> </v>
      </c>
      <c r="M172">
        <f t="shared" si="16"/>
        <v>0</v>
      </c>
      <c r="N172">
        <f t="shared" si="14"/>
        <v>0</v>
      </c>
      <c r="P172" t="e">
        <f>INDEX(Items!B$2:B$1032,MATCH($O172,Items!$A$2:$A$1032,0))</f>
        <v>#N/A</v>
      </c>
      <c r="Q172" t="e">
        <f>INDEX(Items!C$2:C$1032,MATCH($O172,Items!$A$2:$A$1032,0))</f>
        <v>#N/A</v>
      </c>
      <c r="R172" t="e">
        <f>INDEX(Items!D$2:D$1032,MATCH($O172,Items!$A$2:$A$1032,0))</f>
        <v>#N/A</v>
      </c>
    </row>
    <row r="173" spans="1:18" x14ac:dyDescent="0.25">
      <c r="A173">
        <f t="shared" si="12"/>
        <v>1</v>
      </c>
      <c r="B173" t="str">
        <f t="shared" si="13"/>
        <v/>
      </c>
      <c r="C173">
        <f t="shared" si="15"/>
        <v>1</v>
      </c>
      <c r="D173" s="4"/>
      <c r="E173" t="s">
        <v>18</v>
      </c>
      <c r="F173" t="str">
        <f>INDEX(Establishment!B$2:B$1005,MATCH($E173,Establishment!$A$2:$A$1005,0))</f>
        <v xml:space="preserve"> </v>
      </c>
      <c r="G173" t="str">
        <f>INDEX(Establishment!C$2:C$1005,MATCH($E173,Establishment!$A$2:$A$1005,0))</f>
        <v xml:space="preserve"> </v>
      </c>
      <c r="M173">
        <f t="shared" si="16"/>
        <v>0</v>
      </c>
      <c r="N173">
        <f t="shared" si="14"/>
        <v>0</v>
      </c>
      <c r="P173" t="e">
        <f>INDEX(Items!B$2:B$1032,MATCH($O173,Items!$A$2:$A$1032,0))</f>
        <v>#N/A</v>
      </c>
      <c r="Q173" t="e">
        <f>INDEX(Items!C$2:C$1032,MATCH($O173,Items!$A$2:$A$1032,0))</f>
        <v>#N/A</v>
      </c>
      <c r="R173" t="e">
        <f>INDEX(Items!D$2:D$1032,MATCH($O173,Items!$A$2:$A$1032,0))</f>
        <v>#N/A</v>
      </c>
    </row>
    <row r="174" spans="1:18" x14ac:dyDescent="0.25">
      <c r="A174">
        <f t="shared" si="12"/>
        <v>1</v>
      </c>
      <c r="B174" t="str">
        <f t="shared" si="13"/>
        <v/>
      </c>
      <c r="C174">
        <f t="shared" si="15"/>
        <v>1</v>
      </c>
      <c r="D174" s="4"/>
      <c r="E174" t="s">
        <v>18</v>
      </c>
      <c r="F174" t="str">
        <f>INDEX(Establishment!B$2:B$1005,MATCH($E174,Establishment!$A$2:$A$1005,0))</f>
        <v xml:space="preserve"> </v>
      </c>
      <c r="G174" t="str">
        <f>INDEX(Establishment!C$2:C$1005,MATCH($E174,Establishment!$A$2:$A$1005,0))</f>
        <v xml:space="preserve"> </v>
      </c>
      <c r="M174">
        <f t="shared" si="16"/>
        <v>0</v>
      </c>
      <c r="N174">
        <f t="shared" si="14"/>
        <v>0</v>
      </c>
      <c r="P174" t="e">
        <f>INDEX(Items!B$2:B$1032,MATCH($O174,Items!$A$2:$A$1032,0))</f>
        <v>#N/A</v>
      </c>
      <c r="Q174" t="e">
        <f>INDEX(Items!C$2:C$1032,MATCH($O174,Items!$A$2:$A$1032,0))</f>
        <v>#N/A</v>
      </c>
      <c r="R174" t="e">
        <f>INDEX(Items!D$2:D$1032,MATCH($O174,Items!$A$2:$A$1032,0))</f>
        <v>#N/A</v>
      </c>
    </row>
    <row r="175" spans="1:18" x14ac:dyDescent="0.25">
      <c r="A175">
        <f t="shared" si="12"/>
        <v>1</v>
      </c>
      <c r="B175" t="str">
        <f t="shared" si="13"/>
        <v/>
      </c>
      <c r="C175">
        <f t="shared" si="15"/>
        <v>1</v>
      </c>
      <c r="D175" s="4"/>
      <c r="E175" t="s">
        <v>18</v>
      </c>
      <c r="F175" t="str">
        <f>INDEX(Establishment!B$2:B$1005,MATCH($E175,Establishment!$A$2:$A$1005,0))</f>
        <v xml:space="preserve"> </v>
      </c>
      <c r="G175" t="str">
        <f>INDEX(Establishment!C$2:C$1005,MATCH($E175,Establishment!$A$2:$A$1005,0))</f>
        <v xml:space="preserve"> </v>
      </c>
      <c r="M175">
        <f t="shared" si="16"/>
        <v>0</v>
      </c>
      <c r="N175">
        <f t="shared" si="14"/>
        <v>0</v>
      </c>
      <c r="P175" t="e">
        <f>INDEX(Items!B$2:B$1032,MATCH($O175,Items!$A$2:$A$1032,0))</f>
        <v>#N/A</v>
      </c>
      <c r="Q175" t="e">
        <f>INDEX(Items!C$2:C$1032,MATCH($O175,Items!$A$2:$A$1032,0))</f>
        <v>#N/A</v>
      </c>
      <c r="R175" t="e">
        <f>INDEX(Items!D$2:D$1032,MATCH($O175,Items!$A$2:$A$1032,0))</f>
        <v>#N/A</v>
      </c>
    </row>
    <row r="176" spans="1:18" x14ac:dyDescent="0.25">
      <c r="A176">
        <f t="shared" si="12"/>
        <v>1</v>
      </c>
      <c r="B176" t="str">
        <f t="shared" si="13"/>
        <v/>
      </c>
      <c r="C176">
        <f t="shared" si="15"/>
        <v>1</v>
      </c>
      <c r="D176" s="4"/>
      <c r="E176" t="s">
        <v>18</v>
      </c>
      <c r="F176" t="str">
        <f>INDEX(Establishment!B$2:B$1005,MATCH($E176,Establishment!$A$2:$A$1005,0))</f>
        <v xml:space="preserve"> </v>
      </c>
      <c r="G176" t="str">
        <f>INDEX(Establishment!C$2:C$1005,MATCH($E176,Establishment!$A$2:$A$1005,0))</f>
        <v xml:space="preserve"> </v>
      </c>
      <c r="M176">
        <f t="shared" si="16"/>
        <v>0</v>
      </c>
      <c r="N176">
        <f t="shared" si="14"/>
        <v>0</v>
      </c>
      <c r="P176" t="e">
        <f>INDEX(Items!B$2:B$1032,MATCH($O176,Items!$A$2:$A$1032,0))</f>
        <v>#N/A</v>
      </c>
      <c r="Q176" t="e">
        <f>INDEX(Items!C$2:C$1032,MATCH($O176,Items!$A$2:$A$1032,0))</f>
        <v>#N/A</v>
      </c>
      <c r="R176" t="e">
        <f>INDEX(Items!D$2:D$1032,MATCH($O176,Items!$A$2:$A$1032,0))</f>
        <v>#N/A</v>
      </c>
    </row>
    <row r="177" spans="1:18" x14ac:dyDescent="0.25">
      <c r="A177">
        <f t="shared" si="12"/>
        <v>1</v>
      </c>
      <c r="B177" t="str">
        <f t="shared" si="13"/>
        <v/>
      </c>
      <c r="C177">
        <f t="shared" si="15"/>
        <v>1</v>
      </c>
      <c r="D177" s="4"/>
      <c r="E177" t="s">
        <v>18</v>
      </c>
      <c r="F177" t="str">
        <f>INDEX(Establishment!B$2:B$1005,MATCH($E177,Establishment!$A$2:$A$1005,0))</f>
        <v xml:space="preserve"> </v>
      </c>
      <c r="G177" t="str">
        <f>INDEX(Establishment!C$2:C$1005,MATCH($E177,Establishment!$A$2:$A$1005,0))</f>
        <v xml:space="preserve"> </v>
      </c>
      <c r="M177">
        <f t="shared" si="16"/>
        <v>0</v>
      </c>
      <c r="N177">
        <f t="shared" si="14"/>
        <v>0</v>
      </c>
      <c r="P177" t="e">
        <f>INDEX(Items!B$2:B$1032,MATCH($O177,Items!$A$2:$A$1032,0))</f>
        <v>#N/A</v>
      </c>
      <c r="Q177" t="e">
        <f>INDEX(Items!C$2:C$1032,MATCH($O177,Items!$A$2:$A$1032,0))</f>
        <v>#N/A</v>
      </c>
      <c r="R177" t="e">
        <f>INDEX(Items!D$2:D$1032,MATCH($O177,Items!$A$2:$A$1032,0))</f>
        <v>#N/A</v>
      </c>
    </row>
    <row r="178" spans="1:18" x14ac:dyDescent="0.25">
      <c r="A178">
        <f t="shared" si="12"/>
        <v>1</v>
      </c>
      <c r="B178" t="str">
        <f t="shared" si="13"/>
        <v/>
      </c>
      <c r="C178">
        <f t="shared" si="15"/>
        <v>1</v>
      </c>
      <c r="D178" s="4"/>
      <c r="E178" t="s">
        <v>18</v>
      </c>
      <c r="F178" t="str">
        <f>INDEX(Establishment!B$2:B$1005,MATCH($E178,Establishment!$A$2:$A$1005,0))</f>
        <v xml:space="preserve"> </v>
      </c>
      <c r="G178" t="str">
        <f>INDEX(Establishment!C$2:C$1005,MATCH($E178,Establishment!$A$2:$A$1005,0))</f>
        <v xml:space="preserve"> </v>
      </c>
      <c r="M178">
        <f t="shared" si="16"/>
        <v>0</v>
      </c>
      <c r="N178">
        <f t="shared" si="14"/>
        <v>0</v>
      </c>
      <c r="P178" t="e">
        <f>INDEX(Items!B$2:B$1032,MATCH($O178,Items!$A$2:$A$1032,0))</f>
        <v>#N/A</v>
      </c>
      <c r="Q178" t="e">
        <f>INDEX(Items!C$2:C$1032,MATCH($O178,Items!$A$2:$A$1032,0))</f>
        <v>#N/A</v>
      </c>
      <c r="R178" t="e">
        <f>INDEX(Items!D$2:D$1032,MATCH($O178,Items!$A$2:$A$1032,0))</f>
        <v>#N/A</v>
      </c>
    </row>
    <row r="179" spans="1:18" x14ac:dyDescent="0.25">
      <c r="A179">
        <f t="shared" si="12"/>
        <v>1</v>
      </c>
      <c r="B179" t="str">
        <f t="shared" si="13"/>
        <v/>
      </c>
      <c r="C179">
        <f t="shared" si="15"/>
        <v>1</v>
      </c>
      <c r="D179" s="4"/>
      <c r="E179" t="s">
        <v>18</v>
      </c>
      <c r="F179" t="str">
        <f>INDEX(Establishment!B$2:B$1005,MATCH($E179,Establishment!$A$2:$A$1005,0))</f>
        <v xml:space="preserve"> </v>
      </c>
      <c r="G179" t="str">
        <f>INDEX(Establishment!C$2:C$1005,MATCH($E179,Establishment!$A$2:$A$1005,0))</f>
        <v xml:space="preserve"> </v>
      </c>
      <c r="M179">
        <f t="shared" si="16"/>
        <v>0</v>
      </c>
      <c r="N179">
        <f t="shared" si="14"/>
        <v>0</v>
      </c>
      <c r="P179" t="e">
        <f>INDEX(Items!B$2:B$1032,MATCH($O179,Items!$A$2:$A$1032,0))</f>
        <v>#N/A</v>
      </c>
      <c r="Q179" t="e">
        <f>INDEX(Items!C$2:C$1032,MATCH($O179,Items!$A$2:$A$1032,0))</f>
        <v>#N/A</v>
      </c>
      <c r="R179" t="e">
        <f>INDEX(Items!D$2:D$1032,MATCH($O179,Items!$A$2:$A$1032,0))</f>
        <v>#N/A</v>
      </c>
    </row>
    <row r="180" spans="1:18" x14ac:dyDescent="0.25">
      <c r="A180">
        <f t="shared" si="12"/>
        <v>1</v>
      </c>
      <c r="B180" t="str">
        <f t="shared" si="13"/>
        <v/>
      </c>
      <c r="C180">
        <f t="shared" si="15"/>
        <v>1</v>
      </c>
      <c r="D180" s="4"/>
      <c r="E180" t="s">
        <v>18</v>
      </c>
      <c r="F180" t="str">
        <f>INDEX(Establishment!B$2:B$1005,MATCH($E180,Establishment!$A$2:$A$1005,0))</f>
        <v xml:space="preserve"> </v>
      </c>
      <c r="G180" t="str">
        <f>INDEX(Establishment!C$2:C$1005,MATCH($E180,Establishment!$A$2:$A$1005,0))</f>
        <v xml:space="preserve"> </v>
      </c>
      <c r="M180">
        <f t="shared" si="16"/>
        <v>0</v>
      </c>
      <c r="N180">
        <f t="shared" si="14"/>
        <v>0</v>
      </c>
      <c r="P180" t="e">
        <f>INDEX(Items!B$2:B$1032,MATCH($O180,Items!$A$2:$A$1032,0))</f>
        <v>#N/A</v>
      </c>
      <c r="Q180" t="e">
        <f>INDEX(Items!C$2:C$1032,MATCH($O180,Items!$A$2:$A$1032,0))</f>
        <v>#N/A</v>
      </c>
      <c r="R180" t="e">
        <f>INDEX(Items!D$2:D$1032,MATCH($O180,Items!$A$2:$A$1032,0))</f>
        <v>#N/A</v>
      </c>
    </row>
    <row r="181" spans="1:18" x14ac:dyDescent="0.25">
      <c r="A181">
        <f t="shared" si="12"/>
        <v>1</v>
      </c>
      <c r="B181" t="str">
        <f t="shared" si="13"/>
        <v/>
      </c>
      <c r="C181">
        <f t="shared" si="15"/>
        <v>1</v>
      </c>
      <c r="D181" s="4"/>
      <c r="E181" t="s">
        <v>18</v>
      </c>
      <c r="F181" t="str">
        <f>INDEX(Establishment!B$2:B$1005,MATCH($E181,Establishment!$A$2:$A$1005,0))</f>
        <v xml:space="preserve"> </v>
      </c>
      <c r="G181" t="str">
        <f>INDEX(Establishment!C$2:C$1005,MATCH($E181,Establishment!$A$2:$A$1005,0))</f>
        <v xml:space="preserve"> </v>
      </c>
      <c r="M181">
        <f t="shared" si="16"/>
        <v>0</v>
      </c>
      <c r="N181">
        <f t="shared" si="14"/>
        <v>0</v>
      </c>
      <c r="P181" t="e">
        <f>INDEX(Items!B$2:B$1032,MATCH($O181,Items!$A$2:$A$1032,0))</f>
        <v>#N/A</v>
      </c>
      <c r="Q181" t="e">
        <f>INDEX(Items!C$2:C$1032,MATCH($O181,Items!$A$2:$A$1032,0))</f>
        <v>#N/A</v>
      </c>
      <c r="R181" t="e">
        <f>INDEX(Items!D$2:D$1032,MATCH($O181,Items!$A$2:$A$1032,0))</f>
        <v>#N/A</v>
      </c>
    </row>
    <row r="182" spans="1:18" x14ac:dyDescent="0.25">
      <c r="A182">
        <f t="shared" si="12"/>
        <v>1</v>
      </c>
      <c r="B182" t="str">
        <f t="shared" si="13"/>
        <v/>
      </c>
      <c r="C182">
        <f t="shared" si="15"/>
        <v>1</v>
      </c>
      <c r="D182" s="4"/>
      <c r="E182" t="s">
        <v>18</v>
      </c>
      <c r="F182" t="str">
        <f>INDEX(Establishment!B$2:B$1005,MATCH($E182,Establishment!$A$2:$A$1005,0))</f>
        <v xml:space="preserve"> </v>
      </c>
      <c r="G182" t="str">
        <f>INDEX(Establishment!C$2:C$1005,MATCH($E182,Establishment!$A$2:$A$1005,0))</f>
        <v xml:space="preserve"> </v>
      </c>
      <c r="M182">
        <f t="shared" si="16"/>
        <v>0</v>
      </c>
      <c r="N182">
        <f t="shared" si="14"/>
        <v>0</v>
      </c>
      <c r="P182" t="e">
        <f>INDEX(Items!B$2:B$1032,MATCH($O182,Items!$A$2:$A$1032,0))</f>
        <v>#N/A</v>
      </c>
      <c r="Q182" t="e">
        <f>INDEX(Items!C$2:C$1032,MATCH($O182,Items!$A$2:$A$1032,0))</f>
        <v>#N/A</v>
      </c>
      <c r="R182" t="e">
        <f>INDEX(Items!D$2:D$1032,MATCH($O182,Items!$A$2:$A$1032,0))</f>
        <v>#N/A</v>
      </c>
    </row>
    <row r="183" spans="1:18" x14ac:dyDescent="0.25">
      <c r="A183">
        <f t="shared" si="12"/>
        <v>1</v>
      </c>
      <c r="B183" t="str">
        <f t="shared" si="13"/>
        <v/>
      </c>
      <c r="C183">
        <f t="shared" si="15"/>
        <v>1</v>
      </c>
      <c r="D183" s="4"/>
      <c r="E183" t="s">
        <v>18</v>
      </c>
      <c r="F183" t="str">
        <f>INDEX(Establishment!B$2:B$1005,MATCH($E183,Establishment!$A$2:$A$1005,0))</f>
        <v xml:space="preserve"> </v>
      </c>
      <c r="G183" t="str">
        <f>INDEX(Establishment!C$2:C$1005,MATCH($E183,Establishment!$A$2:$A$1005,0))</f>
        <v xml:space="preserve"> </v>
      </c>
      <c r="M183">
        <f t="shared" si="16"/>
        <v>0</v>
      </c>
      <c r="N183">
        <f t="shared" si="14"/>
        <v>0</v>
      </c>
      <c r="P183" t="e">
        <f>INDEX(Items!B$2:B$1032,MATCH($O183,Items!$A$2:$A$1032,0))</f>
        <v>#N/A</v>
      </c>
      <c r="Q183" t="e">
        <f>INDEX(Items!C$2:C$1032,MATCH($O183,Items!$A$2:$A$1032,0))</f>
        <v>#N/A</v>
      </c>
      <c r="R183" t="e">
        <f>INDEX(Items!D$2:D$1032,MATCH($O183,Items!$A$2:$A$1032,0))</f>
        <v>#N/A</v>
      </c>
    </row>
    <row r="184" spans="1:18" x14ac:dyDescent="0.25">
      <c r="A184">
        <f t="shared" si="12"/>
        <v>1</v>
      </c>
      <c r="B184" t="str">
        <f t="shared" si="13"/>
        <v/>
      </c>
      <c r="C184">
        <f t="shared" si="15"/>
        <v>1</v>
      </c>
      <c r="D184" s="4"/>
      <c r="E184" t="s">
        <v>18</v>
      </c>
      <c r="F184" t="str">
        <f>INDEX(Establishment!B$2:B$1005,MATCH($E184,Establishment!$A$2:$A$1005,0))</f>
        <v xml:space="preserve"> </v>
      </c>
      <c r="G184" t="str">
        <f>INDEX(Establishment!C$2:C$1005,MATCH($E184,Establishment!$A$2:$A$1005,0))</f>
        <v xml:space="preserve"> </v>
      </c>
      <c r="M184">
        <f t="shared" si="16"/>
        <v>0</v>
      </c>
      <c r="N184">
        <f t="shared" si="14"/>
        <v>0</v>
      </c>
      <c r="P184" t="e">
        <f>INDEX(Items!B$2:B$1032,MATCH($O184,Items!$A$2:$A$1032,0))</f>
        <v>#N/A</v>
      </c>
      <c r="Q184" t="e">
        <f>INDEX(Items!C$2:C$1032,MATCH($O184,Items!$A$2:$A$1032,0))</f>
        <v>#N/A</v>
      </c>
      <c r="R184" t="e">
        <f>INDEX(Items!D$2:D$1032,MATCH($O184,Items!$A$2:$A$1032,0))</f>
        <v>#N/A</v>
      </c>
    </row>
    <row r="185" spans="1:18" x14ac:dyDescent="0.25">
      <c r="A185">
        <f t="shared" si="12"/>
        <v>1</v>
      </c>
      <c r="B185" t="str">
        <f t="shared" si="13"/>
        <v/>
      </c>
      <c r="C185">
        <f t="shared" si="15"/>
        <v>1</v>
      </c>
      <c r="D185" s="4"/>
      <c r="E185" t="s">
        <v>18</v>
      </c>
      <c r="F185" t="str">
        <f>INDEX(Establishment!B$2:B$1005,MATCH($E185,Establishment!$A$2:$A$1005,0))</f>
        <v xml:space="preserve"> </v>
      </c>
      <c r="G185" t="str">
        <f>INDEX(Establishment!C$2:C$1005,MATCH($E185,Establishment!$A$2:$A$1005,0))</f>
        <v xml:space="preserve"> </v>
      </c>
      <c r="M185">
        <f t="shared" si="16"/>
        <v>0</v>
      </c>
      <c r="N185">
        <f t="shared" si="14"/>
        <v>0</v>
      </c>
      <c r="P185" t="e">
        <f>INDEX(Items!B$2:B$1032,MATCH($O185,Items!$A$2:$A$1032,0))</f>
        <v>#N/A</v>
      </c>
      <c r="Q185" t="e">
        <f>INDEX(Items!C$2:C$1032,MATCH($O185,Items!$A$2:$A$1032,0))</f>
        <v>#N/A</v>
      </c>
      <c r="R185" t="e">
        <f>INDEX(Items!D$2:D$1032,MATCH($O185,Items!$A$2:$A$1032,0))</f>
        <v>#N/A</v>
      </c>
    </row>
    <row r="186" spans="1:18" x14ac:dyDescent="0.25">
      <c r="A186">
        <f t="shared" si="12"/>
        <v>1</v>
      </c>
      <c r="B186" t="str">
        <f t="shared" si="13"/>
        <v/>
      </c>
      <c r="C186">
        <f t="shared" si="15"/>
        <v>1</v>
      </c>
      <c r="D186" s="4"/>
      <c r="E186" t="s">
        <v>18</v>
      </c>
      <c r="F186" t="str">
        <f>INDEX(Establishment!B$2:B$1005,MATCH($E186,Establishment!$A$2:$A$1005,0))</f>
        <v xml:space="preserve"> </v>
      </c>
      <c r="G186" t="str">
        <f>INDEX(Establishment!C$2:C$1005,MATCH($E186,Establishment!$A$2:$A$1005,0))</f>
        <v xml:space="preserve"> </v>
      </c>
      <c r="M186">
        <f t="shared" si="16"/>
        <v>0</v>
      </c>
      <c r="N186">
        <f t="shared" si="14"/>
        <v>0</v>
      </c>
      <c r="P186" t="e">
        <f>INDEX(Items!B$2:B$1032,MATCH($O186,Items!$A$2:$A$1032,0))</f>
        <v>#N/A</v>
      </c>
      <c r="Q186" t="e">
        <f>INDEX(Items!C$2:C$1032,MATCH($O186,Items!$A$2:$A$1032,0))</f>
        <v>#N/A</v>
      </c>
      <c r="R186" t="e">
        <f>INDEX(Items!D$2:D$1032,MATCH($O186,Items!$A$2:$A$1032,0))</f>
        <v>#N/A</v>
      </c>
    </row>
    <row r="187" spans="1:18" x14ac:dyDescent="0.25">
      <c r="A187">
        <f t="shared" si="12"/>
        <v>1</v>
      </c>
      <c r="B187" t="str">
        <f t="shared" si="13"/>
        <v/>
      </c>
      <c r="C187">
        <f t="shared" si="15"/>
        <v>1</v>
      </c>
      <c r="D187" s="4"/>
      <c r="E187" t="s">
        <v>18</v>
      </c>
      <c r="F187" t="str">
        <f>INDEX(Establishment!B$2:B$1005,MATCH($E187,Establishment!$A$2:$A$1005,0))</f>
        <v xml:space="preserve"> </v>
      </c>
      <c r="G187" t="str">
        <f>INDEX(Establishment!C$2:C$1005,MATCH($E187,Establishment!$A$2:$A$1005,0))</f>
        <v xml:space="preserve"> </v>
      </c>
      <c r="M187">
        <f t="shared" si="16"/>
        <v>0</v>
      </c>
      <c r="N187">
        <f t="shared" si="14"/>
        <v>0</v>
      </c>
      <c r="P187" t="e">
        <f>INDEX(Items!B$2:B$1032,MATCH($O187,Items!$A$2:$A$1032,0))</f>
        <v>#N/A</v>
      </c>
      <c r="Q187" t="e">
        <f>INDEX(Items!C$2:C$1032,MATCH($O187,Items!$A$2:$A$1032,0))</f>
        <v>#N/A</v>
      </c>
      <c r="R187" t="e">
        <f>INDEX(Items!D$2:D$1032,MATCH($O187,Items!$A$2:$A$1032,0))</f>
        <v>#N/A</v>
      </c>
    </row>
    <row r="188" spans="1:18" x14ac:dyDescent="0.25">
      <c r="A188">
        <f t="shared" si="12"/>
        <v>1</v>
      </c>
      <c r="B188" t="str">
        <f t="shared" si="13"/>
        <v/>
      </c>
      <c r="C188">
        <f t="shared" si="15"/>
        <v>1</v>
      </c>
      <c r="D188" s="4"/>
      <c r="E188" t="s">
        <v>18</v>
      </c>
      <c r="F188" t="str">
        <f>INDEX(Establishment!B$2:B$1005,MATCH($E188,Establishment!$A$2:$A$1005,0))</f>
        <v xml:space="preserve"> </v>
      </c>
      <c r="G188" t="str">
        <f>INDEX(Establishment!C$2:C$1005,MATCH($E188,Establishment!$A$2:$A$1005,0))</f>
        <v xml:space="preserve"> </v>
      </c>
      <c r="M188">
        <f t="shared" si="16"/>
        <v>0</v>
      </c>
      <c r="N188">
        <f t="shared" si="14"/>
        <v>0</v>
      </c>
      <c r="P188" t="e">
        <f>INDEX(Items!B$2:B$1032,MATCH($O188,Items!$A$2:$A$1032,0))</f>
        <v>#N/A</v>
      </c>
      <c r="Q188" t="e">
        <f>INDEX(Items!C$2:C$1032,MATCH($O188,Items!$A$2:$A$1032,0))</f>
        <v>#N/A</v>
      </c>
      <c r="R188" t="e">
        <f>INDEX(Items!D$2:D$1032,MATCH($O188,Items!$A$2:$A$1032,0))</f>
        <v>#N/A</v>
      </c>
    </row>
    <row r="189" spans="1:18" x14ac:dyDescent="0.25">
      <c r="A189">
        <f t="shared" si="12"/>
        <v>1</v>
      </c>
      <c r="B189" t="str">
        <f t="shared" si="13"/>
        <v/>
      </c>
      <c r="C189">
        <f t="shared" si="15"/>
        <v>1</v>
      </c>
      <c r="D189" s="4"/>
      <c r="E189" t="s">
        <v>18</v>
      </c>
      <c r="F189" t="str">
        <f>INDEX(Establishment!B$2:B$1005,MATCH($E189,Establishment!$A$2:$A$1005,0))</f>
        <v xml:space="preserve"> </v>
      </c>
      <c r="G189" t="str">
        <f>INDEX(Establishment!C$2:C$1005,MATCH($E189,Establishment!$A$2:$A$1005,0))</f>
        <v xml:space="preserve"> </v>
      </c>
      <c r="M189">
        <f t="shared" si="16"/>
        <v>0</v>
      </c>
      <c r="N189">
        <f t="shared" si="14"/>
        <v>0</v>
      </c>
      <c r="P189" t="e">
        <f>INDEX(Items!B$2:B$1032,MATCH($O189,Items!$A$2:$A$1032,0))</f>
        <v>#N/A</v>
      </c>
      <c r="Q189" t="e">
        <f>INDEX(Items!C$2:C$1032,MATCH($O189,Items!$A$2:$A$1032,0))</f>
        <v>#N/A</v>
      </c>
      <c r="R189" t="e">
        <f>INDEX(Items!D$2:D$1032,MATCH($O189,Items!$A$2:$A$1032,0))</f>
        <v>#N/A</v>
      </c>
    </row>
    <row r="190" spans="1:18" x14ac:dyDescent="0.25">
      <c r="A190">
        <f t="shared" si="12"/>
        <v>1</v>
      </c>
      <c r="B190" t="str">
        <f t="shared" si="13"/>
        <v/>
      </c>
      <c r="C190">
        <f t="shared" si="15"/>
        <v>1</v>
      </c>
      <c r="D190" s="4"/>
      <c r="E190" t="s">
        <v>18</v>
      </c>
      <c r="F190" t="str">
        <f>INDEX(Establishment!B$2:B$1005,MATCH($E190,Establishment!$A$2:$A$1005,0))</f>
        <v xml:space="preserve"> </v>
      </c>
      <c r="G190" t="str">
        <f>INDEX(Establishment!C$2:C$1005,MATCH($E190,Establishment!$A$2:$A$1005,0))</f>
        <v xml:space="preserve"> </v>
      </c>
      <c r="M190">
        <f t="shared" si="16"/>
        <v>0</v>
      </c>
      <c r="N190">
        <f t="shared" si="14"/>
        <v>0</v>
      </c>
      <c r="P190" t="e">
        <f>INDEX(Items!B$2:B$1032,MATCH($O190,Items!$A$2:$A$1032,0))</f>
        <v>#N/A</v>
      </c>
      <c r="Q190" t="e">
        <f>INDEX(Items!C$2:C$1032,MATCH($O190,Items!$A$2:$A$1032,0))</f>
        <v>#N/A</v>
      </c>
      <c r="R190" t="e">
        <f>INDEX(Items!D$2:D$1032,MATCH($O190,Items!$A$2:$A$1032,0))</f>
        <v>#N/A</v>
      </c>
    </row>
    <row r="191" spans="1:18" x14ac:dyDescent="0.25">
      <c r="A191">
        <f t="shared" si="12"/>
        <v>1</v>
      </c>
      <c r="B191" t="str">
        <f t="shared" si="13"/>
        <v/>
      </c>
      <c r="C191">
        <f t="shared" si="15"/>
        <v>1</v>
      </c>
      <c r="D191" s="4"/>
      <c r="E191" t="s">
        <v>18</v>
      </c>
      <c r="F191" t="str">
        <f>INDEX(Establishment!B$2:B$1005,MATCH($E191,Establishment!$A$2:$A$1005,0))</f>
        <v xml:space="preserve"> </v>
      </c>
      <c r="G191" t="str">
        <f>INDEX(Establishment!C$2:C$1005,MATCH($E191,Establishment!$A$2:$A$1005,0))</f>
        <v xml:space="preserve"> </v>
      </c>
      <c r="M191">
        <f t="shared" si="16"/>
        <v>0</v>
      </c>
      <c r="N191">
        <f t="shared" si="14"/>
        <v>0</v>
      </c>
      <c r="P191" t="e">
        <f>INDEX(Items!B$2:B$1032,MATCH($O191,Items!$A$2:$A$1032,0))</f>
        <v>#N/A</v>
      </c>
      <c r="Q191" t="e">
        <f>INDEX(Items!C$2:C$1032,MATCH($O191,Items!$A$2:$A$1032,0))</f>
        <v>#N/A</v>
      </c>
      <c r="R191" t="e">
        <f>INDEX(Items!D$2:D$1032,MATCH($O191,Items!$A$2:$A$1032,0))</f>
        <v>#N/A</v>
      </c>
    </row>
    <row r="192" spans="1:18" x14ac:dyDescent="0.25">
      <c r="A192">
        <f t="shared" si="12"/>
        <v>1</v>
      </c>
      <c r="B192" t="str">
        <f t="shared" si="13"/>
        <v/>
      </c>
      <c r="C192">
        <f t="shared" si="15"/>
        <v>1</v>
      </c>
      <c r="D192" s="4"/>
      <c r="E192" t="s">
        <v>18</v>
      </c>
      <c r="F192" t="str">
        <f>INDEX(Establishment!B$2:B$1005,MATCH($E192,Establishment!$A$2:$A$1005,0))</f>
        <v xml:space="preserve"> </v>
      </c>
      <c r="G192" t="str">
        <f>INDEX(Establishment!C$2:C$1005,MATCH($E192,Establishment!$A$2:$A$1005,0))</f>
        <v xml:space="preserve"> </v>
      </c>
      <c r="M192">
        <f t="shared" si="16"/>
        <v>0</v>
      </c>
      <c r="N192">
        <f t="shared" si="14"/>
        <v>0</v>
      </c>
      <c r="P192" t="e">
        <f>INDEX(Items!B$2:B$1032,MATCH($O192,Items!$A$2:$A$1032,0))</f>
        <v>#N/A</v>
      </c>
      <c r="Q192" t="e">
        <f>INDEX(Items!C$2:C$1032,MATCH($O192,Items!$A$2:$A$1032,0))</f>
        <v>#N/A</v>
      </c>
      <c r="R192" t="e">
        <f>INDEX(Items!D$2:D$1032,MATCH($O192,Items!$A$2:$A$1032,0))</f>
        <v>#N/A</v>
      </c>
    </row>
    <row r="193" spans="1:18" x14ac:dyDescent="0.25">
      <c r="A193">
        <f t="shared" si="12"/>
        <v>1</v>
      </c>
      <c r="B193" t="str">
        <f t="shared" si="13"/>
        <v/>
      </c>
      <c r="C193">
        <f t="shared" si="15"/>
        <v>1</v>
      </c>
      <c r="D193" s="4"/>
      <c r="E193" t="s">
        <v>18</v>
      </c>
      <c r="F193" t="str">
        <f>INDEX(Establishment!B$2:B$1005,MATCH($E193,Establishment!$A$2:$A$1005,0))</f>
        <v xml:space="preserve"> </v>
      </c>
      <c r="G193" t="str">
        <f>INDEX(Establishment!C$2:C$1005,MATCH($E193,Establishment!$A$2:$A$1005,0))</f>
        <v xml:space="preserve"> </v>
      </c>
      <c r="M193">
        <f t="shared" si="16"/>
        <v>0</v>
      </c>
      <c r="N193">
        <f t="shared" si="14"/>
        <v>0</v>
      </c>
      <c r="P193" t="e">
        <f>INDEX(Items!B$2:B$1032,MATCH($O193,Items!$A$2:$A$1032,0))</f>
        <v>#N/A</v>
      </c>
      <c r="Q193" t="e">
        <f>INDEX(Items!C$2:C$1032,MATCH($O193,Items!$A$2:$A$1032,0))</f>
        <v>#N/A</v>
      </c>
      <c r="R193" t="e">
        <f>INDEX(Items!D$2:D$1032,MATCH($O193,Items!$A$2:$A$1032,0))</f>
        <v>#N/A</v>
      </c>
    </row>
    <row r="194" spans="1:18" x14ac:dyDescent="0.25">
      <c r="A194">
        <f t="shared" ref="A194:A257" si="17">IF(OR(D194&lt;&gt;D193,D194=""),1,IF(NOT(AND(E194=E193,F194=F193,G194=G193)),A193+1,IF(OR(H194="",AND(H194&lt;&gt;"",H194&lt;&gt;H193,H193&lt;&gt;"")),A193,A193+1)))</f>
        <v>1</v>
      </c>
      <c r="B194" t="str">
        <f t="shared" ref="B194:B257" si="18">IF(D194&lt;&gt;"",TEXT(D194,"YYYYMMDD")&amp;CHAR(64+A194),"")</f>
        <v/>
      </c>
      <c r="C194">
        <f t="shared" si="15"/>
        <v>1</v>
      </c>
      <c r="D194" s="4"/>
      <c r="E194" t="s">
        <v>18</v>
      </c>
      <c r="F194" t="str">
        <f>INDEX(Establishment!B$2:B$1005,MATCH($E194,Establishment!$A$2:$A$1005,0))</f>
        <v xml:space="preserve"> </v>
      </c>
      <c r="G194" t="str">
        <f>INDEX(Establishment!C$2:C$1005,MATCH($E194,Establishment!$A$2:$A$1005,0))</f>
        <v xml:space="preserve"> </v>
      </c>
      <c r="M194">
        <f t="shared" si="16"/>
        <v>0</v>
      </c>
      <c r="N194">
        <f t="shared" si="14"/>
        <v>0</v>
      </c>
      <c r="P194" t="e">
        <f>INDEX(Items!B$2:B$1032,MATCH($O194,Items!$A$2:$A$1032,0))</f>
        <v>#N/A</v>
      </c>
      <c r="Q194" t="e">
        <f>INDEX(Items!C$2:C$1032,MATCH($O194,Items!$A$2:$A$1032,0))</f>
        <v>#N/A</v>
      </c>
      <c r="R194" t="e">
        <f>INDEX(Items!D$2:D$1032,MATCH($O194,Items!$A$2:$A$1032,0))</f>
        <v>#N/A</v>
      </c>
    </row>
    <row r="195" spans="1:18" x14ac:dyDescent="0.25">
      <c r="A195">
        <f t="shared" si="17"/>
        <v>1</v>
      </c>
      <c r="B195" t="str">
        <f t="shared" si="18"/>
        <v/>
      </c>
      <c r="C195">
        <f t="shared" si="15"/>
        <v>1</v>
      </c>
      <c r="D195" s="4"/>
      <c r="E195" t="s">
        <v>18</v>
      </c>
      <c r="F195" t="str">
        <f>INDEX(Establishment!B$2:B$1005,MATCH($E195,Establishment!$A$2:$A$1005,0))</f>
        <v xml:space="preserve"> </v>
      </c>
      <c r="G195" t="str">
        <f>INDEX(Establishment!C$2:C$1005,MATCH($E195,Establishment!$A$2:$A$1005,0))</f>
        <v xml:space="preserve"> </v>
      </c>
      <c r="M195">
        <f t="shared" si="16"/>
        <v>0</v>
      </c>
      <c r="N195">
        <f t="shared" ref="N195:N258" si="19">IF(B195=B194,N194+M195,M195)</f>
        <v>0</v>
      </c>
      <c r="P195" t="e">
        <f>INDEX(Items!B$2:B$1032,MATCH($O195,Items!$A$2:$A$1032,0))</f>
        <v>#N/A</v>
      </c>
      <c r="Q195" t="e">
        <f>INDEX(Items!C$2:C$1032,MATCH($O195,Items!$A$2:$A$1032,0))</f>
        <v>#N/A</v>
      </c>
      <c r="R195" t="e">
        <f>INDEX(Items!D$2:D$1032,MATCH($O195,Items!$A$2:$A$1032,0))</f>
        <v>#N/A</v>
      </c>
    </row>
    <row r="196" spans="1:18" x14ac:dyDescent="0.25">
      <c r="A196">
        <f t="shared" si="17"/>
        <v>1</v>
      </c>
      <c r="B196" t="str">
        <f t="shared" si="18"/>
        <v/>
      </c>
      <c r="C196">
        <f t="shared" si="15"/>
        <v>1</v>
      </c>
      <c r="D196" s="4"/>
      <c r="E196" t="s">
        <v>18</v>
      </c>
      <c r="F196" t="str">
        <f>INDEX(Establishment!B$2:B$1005,MATCH($E196,Establishment!$A$2:$A$1005,0))</f>
        <v xml:space="preserve"> </v>
      </c>
      <c r="G196" t="str">
        <f>INDEX(Establishment!C$2:C$1005,MATCH($E196,Establishment!$A$2:$A$1005,0))</f>
        <v xml:space="preserve"> </v>
      </c>
      <c r="M196">
        <f t="shared" si="16"/>
        <v>0</v>
      </c>
      <c r="N196">
        <f t="shared" si="19"/>
        <v>0</v>
      </c>
      <c r="P196" t="e">
        <f>INDEX(Items!B$2:B$1032,MATCH($O196,Items!$A$2:$A$1032,0))</f>
        <v>#N/A</v>
      </c>
      <c r="Q196" t="e">
        <f>INDEX(Items!C$2:C$1032,MATCH($O196,Items!$A$2:$A$1032,0))</f>
        <v>#N/A</v>
      </c>
      <c r="R196" t="e">
        <f>INDEX(Items!D$2:D$1032,MATCH($O196,Items!$A$2:$A$1032,0))</f>
        <v>#N/A</v>
      </c>
    </row>
    <row r="197" spans="1:18" x14ac:dyDescent="0.25">
      <c r="A197">
        <f t="shared" si="17"/>
        <v>1</v>
      </c>
      <c r="B197" t="str">
        <f t="shared" si="18"/>
        <v/>
      </c>
      <c r="C197">
        <f t="shared" si="15"/>
        <v>1</v>
      </c>
      <c r="D197" s="4"/>
      <c r="E197" t="s">
        <v>18</v>
      </c>
      <c r="F197" t="str">
        <f>INDEX(Establishment!B$2:B$1005,MATCH($E197,Establishment!$A$2:$A$1005,0))</f>
        <v xml:space="preserve"> </v>
      </c>
      <c r="G197" t="str">
        <f>INDEX(Establishment!C$2:C$1005,MATCH($E197,Establishment!$A$2:$A$1005,0))</f>
        <v xml:space="preserve"> </v>
      </c>
      <c r="M197">
        <f t="shared" si="16"/>
        <v>0</v>
      </c>
      <c r="N197">
        <f t="shared" si="19"/>
        <v>0</v>
      </c>
      <c r="P197" t="e">
        <f>INDEX(Items!B$2:B$1032,MATCH($O197,Items!$A$2:$A$1032,0))</f>
        <v>#N/A</v>
      </c>
      <c r="Q197" t="e">
        <f>INDEX(Items!C$2:C$1032,MATCH($O197,Items!$A$2:$A$1032,0))</f>
        <v>#N/A</v>
      </c>
      <c r="R197" t="e">
        <f>INDEX(Items!D$2:D$1032,MATCH($O197,Items!$A$2:$A$1032,0))</f>
        <v>#N/A</v>
      </c>
    </row>
    <row r="198" spans="1:18" x14ac:dyDescent="0.25">
      <c r="A198">
        <f t="shared" si="17"/>
        <v>1</v>
      </c>
      <c r="B198" t="str">
        <f t="shared" si="18"/>
        <v/>
      </c>
      <c r="C198">
        <f t="shared" si="15"/>
        <v>1</v>
      </c>
      <c r="D198" s="4"/>
      <c r="E198" t="s">
        <v>18</v>
      </c>
      <c r="F198" t="str">
        <f>INDEX(Establishment!B$2:B$1005,MATCH($E198,Establishment!$A$2:$A$1005,0))</f>
        <v xml:space="preserve"> </v>
      </c>
      <c r="G198" t="str">
        <f>INDEX(Establishment!C$2:C$1005,MATCH($E198,Establishment!$A$2:$A$1005,0))</f>
        <v xml:space="preserve"> </v>
      </c>
      <c r="M198">
        <f t="shared" si="16"/>
        <v>0</v>
      </c>
      <c r="N198">
        <f t="shared" si="19"/>
        <v>0</v>
      </c>
      <c r="P198" t="e">
        <f>INDEX(Items!B$2:B$1032,MATCH($O198,Items!$A$2:$A$1032,0))</f>
        <v>#N/A</v>
      </c>
      <c r="Q198" t="e">
        <f>INDEX(Items!C$2:C$1032,MATCH($O198,Items!$A$2:$A$1032,0))</f>
        <v>#N/A</v>
      </c>
      <c r="R198" t="e">
        <f>INDEX(Items!D$2:D$1032,MATCH($O198,Items!$A$2:$A$1032,0))</f>
        <v>#N/A</v>
      </c>
    </row>
    <row r="199" spans="1:18" x14ac:dyDescent="0.25">
      <c r="A199">
        <f t="shared" si="17"/>
        <v>1</v>
      </c>
      <c r="B199" t="str">
        <f t="shared" si="18"/>
        <v/>
      </c>
      <c r="C199">
        <f t="shared" si="15"/>
        <v>1</v>
      </c>
      <c r="D199" s="4"/>
      <c r="E199" t="s">
        <v>18</v>
      </c>
      <c r="F199" t="str">
        <f>INDEX(Establishment!B$2:B$1005,MATCH($E199,Establishment!$A$2:$A$1005,0))</f>
        <v xml:space="preserve"> </v>
      </c>
      <c r="G199" t="str">
        <f>INDEX(Establishment!C$2:C$1005,MATCH($E199,Establishment!$A$2:$A$1005,0))</f>
        <v xml:space="preserve"> </v>
      </c>
      <c r="M199">
        <f t="shared" si="16"/>
        <v>0</v>
      </c>
      <c r="N199">
        <f t="shared" si="19"/>
        <v>0</v>
      </c>
      <c r="P199" t="e">
        <f>INDEX(Items!B$2:B$1032,MATCH($O199,Items!$A$2:$A$1032,0))</f>
        <v>#N/A</v>
      </c>
      <c r="Q199" t="e">
        <f>INDEX(Items!C$2:C$1032,MATCH($O199,Items!$A$2:$A$1032,0))</f>
        <v>#N/A</v>
      </c>
      <c r="R199" t="e">
        <f>INDEX(Items!D$2:D$1032,MATCH($O199,Items!$A$2:$A$1032,0))</f>
        <v>#N/A</v>
      </c>
    </row>
    <row r="200" spans="1:18" x14ac:dyDescent="0.25">
      <c r="A200">
        <f t="shared" si="17"/>
        <v>1</v>
      </c>
      <c r="B200" t="str">
        <f t="shared" si="18"/>
        <v/>
      </c>
      <c r="C200">
        <f t="shared" si="15"/>
        <v>1</v>
      </c>
      <c r="D200" s="4"/>
      <c r="E200" t="s">
        <v>18</v>
      </c>
      <c r="F200" t="str">
        <f>INDEX(Establishment!B$2:B$1005,MATCH($E200,Establishment!$A$2:$A$1005,0))</f>
        <v xml:space="preserve"> </v>
      </c>
      <c r="G200" t="str">
        <f>INDEX(Establishment!C$2:C$1005,MATCH($E200,Establishment!$A$2:$A$1005,0))</f>
        <v xml:space="preserve"> </v>
      </c>
      <c r="M200">
        <f t="shared" si="16"/>
        <v>0</v>
      </c>
      <c r="N200">
        <f t="shared" si="19"/>
        <v>0</v>
      </c>
      <c r="P200" t="e">
        <f>INDEX(Items!B$2:B$1032,MATCH($O200,Items!$A$2:$A$1032,0))</f>
        <v>#N/A</v>
      </c>
      <c r="Q200" t="e">
        <f>INDEX(Items!C$2:C$1032,MATCH($O200,Items!$A$2:$A$1032,0))</f>
        <v>#N/A</v>
      </c>
      <c r="R200" t="e">
        <f>INDEX(Items!D$2:D$1032,MATCH($O200,Items!$A$2:$A$1032,0))</f>
        <v>#N/A</v>
      </c>
    </row>
    <row r="201" spans="1:18" x14ac:dyDescent="0.25">
      <c r="A201">
        <f t="shared" si="17"/>
        <v>1</v>
      </c>
      <c r="B201" t="str">
        <f t="shared" si="18"/>
        <v/>
      </c>
      <c r="C201">
        <f t="shared" si="15"/>
        <v>1</v>
      </c>
      <c r="D201" s="4"/>
      <c r="E201" t="s">
        <v>18</v>
      </c>
      <c r="F201" t="str">
        <f>INDEX(Establishment!B$2:B$1005,MATCH($E201,Establishment!$A$2:$A$1005,0))</f>
        <v xml:space="preserve"> </v>
      </c>
      <c r="G201" t="str">
        <f>INDEX(Establishment!C$2:C$1005,MATCH($E201,Establishment!$A$2:$A$1005,0))</f>
        <v xml:space="preserve"> </v>
      </c>
      <c r="M201">
        <f t="shared" si="16"/>
        <v>0</v>
      </c>
      <c r="N201">
        <f t="shared" si="19"/>
        <v>0</v>
      </c>
      <c r="P201" t="e">
        <f>INDEX(Items!B$2:B$1032,MATCH($O201,Items!$A$2:$A$1032,0))</f>
        <v>#N/A</v>
      </c>
      <c r="Q201" t="e">
        <f>INDEX(Items!C$2:C$1032,MATCH($O201,Items!$A$2:$A$1032,0))</f>
        <v>#N/A</v>
      </c>
      <c r="R201" t="e">
        <f>INDEX(Items!D$2:D$1032,MATCH($O201,Items!$A$2:$A$1032,0))</f>
        <v>#N/A</v>
      </c>
    </row>
    <row r="202" spans="1:18" x14ac:dyDescent="0.25">
      <c r="A202">
        <f t="shared" si="17"/>
        <v>1</v>
      </c>
      <c r="B202" t="str">
        <f t="shared" si="18"/>
        <v/>
      </c>
      <c r="C202">
        <f t="shared" ref="C202:C265" si="20">IF(OR(B202="",B202&lt;&gt;B201),1,C201+1)</f>
        <v>1</v>
      </c>
      <c r="D202" s="4"/>
      <c r="E202" t="s">
        <v>18</v>
      </c>
      <c r="F202" t="str">
        <f>INDEX(Establishment!B$2:B$1005,MATCH($E202,Establishment!$A$2:$A$1005,0))</f>
        <v xml:space="preserve"> </v>
      </c>
      <c r="G202" t="str">
        <f>INDEX(Establishment!C$2:C$1005,MATCH($E202,Establishment!$A$2:$A$1005,0))</f>
        <v xml:space="preserve"> </v>
      </c>
      <c r="M202">
        <f t="shared" ref="M202:M265" si="21">K202*L202</f>
        <v>0</v>
      </c>
      <c r="N202">
        <f t="shared" si="19"/>
        <v>0</v>
      </c>
      <c r="P202" t="e">
        <f>INDEX(Items!B$2:B$1032,MATCH($O202,Items!$A$2:$A$1032,0))</f>
        <v>#N/A</v>
      </c>
      <c r="Q202" t="e">
        <f>INDEX(Items!C$2:C$1032,MATCH($O202,Items!$A$2:$A$1032,0))</f>
        <v>#N/A</v>
      </c>
      <c r="R202" t="e">
        <f>INDEX(Items!D$2:D$1032,MATCH($O202,Items!$A$2:$A$1032,0))</f>
        <v>#N/A</v>
      </c>
    </row>
    <row r="203" spans="1:18" x14ac:dyDescent="0.25">
      <c r="A203">
        <f t="shared" si="17"/>
        <v>1</v>
      </c>
      <c r="B203" t="str">
        <f t="shared" si="18"/>
        <v/>
      </c>
      <c r="C203">
        <f t="shared" si="20"/>
        <v>1</v>
      </c>
      <c r="D203" s="4"/>
      <c r="E203" t="s">
        <v>18</v>
      </c>
      <c r="F203" t="str">
        <f>INDEX(Establishment!B$2:B$1005,MATCH($E203,Establishment!$A$2:$A$1005,0))</f>
        <v xml:space="preserve"> </v>
      </c>
      <c r="G203" t="str">
        <f>INDEX(Establishment!C$2:C$1005,MATCH($E203,Establishment!$A$2:$A$1005,0))</f>
        <v xml:space="preserve"> </v>
      </c>
      <c r="M203">
        <f t="shared" si="21"/>
        <v>0</v>
      </c>
      <c r="N203">
        <f t="shared" si="19"/>
        <v>0</v>
      </c>
      <c r="P203" t="e">
        <f>INDEX(Items!B$2:B$1032,MATCH($O203,Items!$A$2:$A$1032,0))</f>
        <v>#N/A</v>
      </c>
      <c r="Q203" t="e">
        <f>INDEX(Items!C$2:C$1032,MATCH($O203,Items!$A$2:$A$1032,0))</f>
        <v>#N/A</v>
      </c>
      <c r="R203" t="e">
        <f>INDEX(Items!D$2:D$1032,MATCH($O203,Items!$A$2:$A$1032,0))</f>
        <v>#N/A</v>
      </c>
    </row>
    <row r="204" spans="1:18" x14ac:dyDescent="0.25">
      <c r="A204">
        <f t="shared" si="17"/>
        <v>1</v>
      </c>
      <c r="B204" t="str">
        <f t="shared" si="18"/>
        <v/>
      </c>
      <c r="C204">
        <f t="shared" si="20"/>
        <v>1</v>
      </c>
      <c r="D204" s="4"/>
      <c r="E204" t="s">
        <v>18</v>
      </c>
      <c r="F204" t="str">
        <f>INDEX(Establishment!B$2:B$1005,MATCH($E204,Establishment!$A$2:$A$1005,0))</f>
        <v xml:space="preserve"> </v>
      </c>
      <c r="G204" t="str">
        <f>INDEX(Establishment!C$2:C$1005,MATCH($E204,Establishment!$A$2:$A$1005,0))</f>
        <v xml:space="preserve"> </v>
      </c>
      <c r="M204">
        <f t="shared" si="21"/>
        <v>0</v>
      </c>
      <c r="N204">
        <f t="shared" si="19"/>
        <v>0</v>
      </c>
      <c r="P204" t="e">
        <f>INDEX(Items!B$2:B$1032,MATCH($O204,Items!$A$2:$A$1032,0))</f>
        <v>#N/A</v>
      </c>
      <c r="Q204" t="e">
        <f>INDEX(Items!C$2:C$1032,MATCH($O204,Items!$A$2:$A$1032,0))</f>
        <v>#N/A</v>
      </c>
      <c r="R204" t="e">
        <f>INDEX(Items!D$2:D$1032,MATCH($O204,Items!$A$2:$A$1032,0))</f>
        <v>#N/A</v>
      </c>
    </row>
    <row r="205" spans="1:18" x14ac:dyDescent="0.25">
      <c r="A205">
        <f t="shared" si="17"/>
        <v>1</v>
      </c>
      <c r="B205" t="str">
        <f t="shared" si="18"/>
        <v/>
      </c>
      <c r="C205">
        <f t="shared" si="20"/>
        <v>1</v>
      </c>
      <c r="D205" s="4"/>
      <c r="E205" t="s">
        <v>18</v>
      </c>
      <c r="F205" t="str">
        <f>INDEX(Establishment!B$2:B$1005,MATCH($E205,Establishment!$A$2:$A$1005,0))</f>
        <v xml:space="preserve"> </v>
      </c>
      <c r="G205" t="str">
        <f>INDEX(Establishment!C$2:C$1005,MATCH($E205,Establishment!$A$2:$A$1005,0))</f>
        <v xml:space="preserve"> </v>
      </c>
      <c r="M205">
        <f t="shared" si="21"/>
        <v>0</v>
      </c>
      <c r="N205">
        <f t="shared" si="19"/>
        <v>0</v>
      </c>
      <c r="P205" t="e">
        <f>INDEX(Items!B$2:B$1032,MATCH($O205,Items!$A$2:$A$1032,0))</f>
        <v>#N/A</v>
      </c>
      <c r="Q205" t="e">
        <f>INDEX(Items!C$2:C$1032,MATCH($O205,Items!$A$2:$A$1032,0))</f>
        <v>#N/A</v>
      </c>
      <c r="R205" t="e">
        <f>INDEX(Items!D$2:D$1032,MATCH($O205,Items!$A$2:$A$1032,0))</f>
        <v>#N/A</v>
      </c>
    </row>
    <row r="206" spans="1:18" x14ac:dyDescent="0.25">
      <c r="A206">
        <f t="shared" si="17"/>
        <v>1</v>
      </c>
      <c r="B206" t="str">
        <f t="shared" si="18"/>
        <v/>
      </c>
      <c r="C206">
        <f t="shared" si="20"/>
        <v>1</v>
      </c>
      <c r="D206" s="4"/>
      <c r="E206" t="s">
        <v>18</v>
      </c>
      <c r="F206" t="str">
        <f>INDEX(Establishment!B$2:B$1005,MATCH($E206,Establishment!$A$2:$A$1005,0))</f>
        <v xml:space="preserve"> </v>
      </c>
      <c r="G206" t="str">
        <f>INDEX(Establishment!C$2:C$1005,MATCH($E206,Establishment!$A$2:$A$1005,0))</f>
        <v xml:space="preserve"> </v>
      </c>
      <c r="M206">
        <f t="shared" si="21"/>
        <v>0</v>
      </c>
      <c r="N206">
        <f t="shared" si="19"/>
        <v>0</v>
      </c>
      <c r="P206" t="e">
        <f>INDEX(Items!B$2:B$1032,MATCH($O206,Items!$A$2:$A$1032,0))</f>
        <v>#N/A</v>
      </c>
      <c r="Q206" t="e">
        <f>INDEX(Items!C$2:C$1032,MATCH($O206,Items!$A$2:$A$1032,0))</f>
        <v>#N/A</v>
      </c>
      <c r="R206" t="e">
        <f>INDEX(Items!D$2:D$1032,MATCH($O206,Items!$A$2:$A$1032,0))</f>
        <v>#N/A</v>
      </c>
    </row>
    <row r="207" spans="1:18" x14ac:dyDescent="0.25">
      <c r="A207">
        <f t="shared" si="17"/>
        <v>1</v>
      </c>
      <c r="B207" t="str">
        <f t="shared" si="18"/>
        <v/>
      </c>
      <c r="C207">
        <f t="shared" si="20"/>
        <v>1</v>
      </c>
      <c r="D207" s="4"/>
      <c r="E207" t="s">
        <v>18</v>
      </c>
      <c r="F207" t="str">
        <f>INDEX(Establishment!B$2:B$1005,MATCH($E207,Establishment!$A$2:$A$1005,0))</f>
        <v xml:space="preserve"> </v>
      </c>
      <c r="G207" t="str">
        <f>INDEX(Establishment!C$2:C$1005,MATCH($E207,Establishment!$A$2:$A$1005,0))</f>
        <v xml:space="preserve"> </v>
      </c>
      <c r="M207">
        <f t="shared" si="21"/>
        <v>0</v>
      </c>
      <c r="N207">
        <f t="shared" si="19"/>
        <v>0</v>
      </c>
      <c r="P207" t="e">
        <f>INDEX(Items!B$2:B$1032,MATCH($O207,Items!$A$2:$A$1032,0))</f>
        <v>#N/A</v>
      </c>
      <c r="Q207" t="e">
        <f>INDEX(Items!C$2:C$1032,MATCH($O207,Items!$A$2:$A$1032,0))</f>
        <v>#N/A</v>
      </c>
      <c r="R207" t="e">
        <f>INDEX(Items!D$2:D$1032,MATCH($O207,Items!$A$2:$A$1032,0))</f>
        <v>#N/A</v>
      </c>
    </row>
    <row r="208" spans="1:18" x14ac:dyDescent="0.25">
      <c r="A208">
        <f t="shared" si="17"/>
        <v>1</v>
      </c>
      <c r="B208" t="str">
        <f t="shared" si="18"/>
        <v/>
      </c>
      <c r="C208">
        <f t="shared" si="20"/>
        <v>1</v>
      </c>
      <c r="D208" s="4"/>
      <c r="E208" t="s">
        <v>18</v>
      </c>
      <c r="F208" t="str">
        <f>INDEX(Establishment!B$2:B$1005,MATCH($E208,Establishment!$A$2:$A$1005,0))</f>
        <v xml:space="preserve"> </v>
      </c>
      <c r="G208" t="str">
        <f>INDEX(Establishment!C$2:C$1005,MATCH($E208,Establishment!$A$2:$A$1005,0))</f>
        <v xml:space="preserve"> </v>
      </c>
      <c r="M208">
        <f t="shared" si="21"/>
        <v>0</v>
      </c>
      <c r="N208">
        <f t="shared" si="19"/>
        <v>0</v>
      </c>
      <c r="P208" t="e">
        <f>INDEX(Items!B$2:B$1032,MATCH($O208,Items!$A$2:$A$1032,0))</f>
        <v>#N/A</v>
      </c>
      <c r="Q208" t="e">
        <f>INDEX(Items!C$2:C$1032,MATCH($O208,Items!$A$2:$A$1032,0))</f>
        <v>#N/A</v>
      </c>
      <c r="R208" t="e">
        <f>INDEX(Items!D$2:D$1032,MATCH($O208,Items!$A$2:$A$1032,0))</f>
        <v>#N/A</v>
      </c>
    </row>
    <row r="209" spans="1:18" x14ac:dyDescent="0.25">
      <c r="A209">
        <f t="shared" si="17"/>
        <v>1</v>
      </c>
      <c r="B209" t="str">
        <f t="shared" si="18"/>
        <v/>
      </c>
      <c r="C209">
        <f t="shared" si="20"/>
        <v>1</v>
      </c>
      <c r="D209" s="4"/>
      <c r="E209" t="s">
        <v>18</v>
      </c>
      <c r="F209" t="str">
        <f>INDEX(Establishment!B$2:B$1005,MATCH($E209,Establishment!$A$2:$A$1005,0))</f>
        <v xml:space="preserve"> </v>
      </c>
      <c r="G209" t="str">
        <f>INDEX(Establishment!C$2:C$1005,MATCH($E209,Establishment!$A$2:$A$1005,0))</f>
        <v xml:space="preserve"> </v>
      </c>
      <c r="M209">
        <f t="shared" si="21"/>
        <v>0</v>
      </c>
      <c r="N209">
        <f t="shared" si="19"/>
        <v>0</v>
      </c>
      <c r="P209" t="e">
        <f>INDEX(Items!B$2:B$1032,MATCH($O209,Items!$A$2:$A$1032,0))</f>
        <v>#N/A</v>
      </c>
      <c r="Q209" t="e">
        <f>INDEX(Items!C$2:C$1032,MATCH($O209,Items!$A$2:$A$1032,0))</f>
        <v>#N/A</v>
      </c>
      <c r="R209" t="e">
        <f>INDEX(Items!D$2:D$1032,MATCH($O209,Items!$A$2:$A$1032,0))</f>
        <v>#N/A</v>
      </c>
    </row>
    <row r="210" spans="1:18" x14ac:dyDescent="0.25">
      <c r="A210">
        <f t="shared" si="17"/>
        <v>1</v>
      </c>
      <c r="B210" t="str">
        <f t="shared" si="18"/>
        <v/>
      </c>
      <c r="C210">
        <f t="shared" si="20"/>
        <v>1</v>
      </c>
      <c r="D210" s="4"/>
      <c r="E210" t="s">
        <v>18</v>
      </c>
      <c r="F210" t="str">
        <f>INDEX(Establishment!B$2:B$1005,MATCH($E210,Establishment!$A$2:$A$1005,0))</f>
        <v xml:space="preserve"> </v>
      </c>
      <c r="G210" t="str">
        <f>INDEX(Establishment!C$2:C$1005,MATCH($E210,Establishment!$A$2:$A$1005,0))</f>
        <v xml:space="preserve"> </v>
      </c>
      <c r="M210">
        <f t="shared" si="21"/>
        <v>0</v>
      </c>
      <c r="N210">
        <f t="shared" si="19"/>
        <v>0</v>
      </c>
      <c r="P210" t="e">
        <f>INDEX(Items!B$2:B$1032,MATCH($O210,Items!$A$2:$A$1032,0))</f>
        <v>#N/A</v>
      </c>
      <c r="Q210" t="e">
        <f>INDEX(Items!C$2:C$1032,MATCH($O210,Items!$A$2:$A$1032,0))</f>
        <v>#N/A</v>
      </c>
      <c r="R210" t="e">
        <f>INDEX(Items!D$2:D$1032,MATCH($O210,Items!$A$2:$A$1032,0))</f>
        <v>#N/A</v>
      </c>
    </row>
    <row r="211" spans="1:18" x14ac:dyDescent="0.25">
      <c r="A211">
        <f t="shared" si="17"/>
        <v>1</v>
      </c>
      <c r="B211" t="str">
        <f t="shared" si="18"/>
        <v/>
      </c>
      <c r="C211">
        <f t="shared" si="20"/>
        <v>1</v>
      </c>
      <c r="D211" s="4"/>
      <c r="E211" t="s">
        <v>18</v>
      </c>
      <c r="F211" t="str">
        <f>INDEX(Establishment!B$2:B$1005,MATCH($E211,Establishment!$A$2:$A$1005,0))</f>
        <v xml:space="preserve"> </v>
      </c>
      <c r="G211" t="str">
        <f>INDEX(Establishment!C$2:C$1005,MATCH($E211,Establishment!$A$2:$A$1005,0))</f>
        <v xml:space="preserve"> </v>
      </c>
      <c r="M211">
        <f t="shared" si="21"/>
        <v>0</v>
      </c>
      <c r="N211">
        <f t="shared" si="19"/>
        <v>0</v>
      </c>
      <c r="P211" t="e">
        <f>INDEX(Items!B$2:B$1032,MATCH($O211,Items!$A$2:$A$1032,0))</f>
        <v>#N/A</v>
      </c>
      <c r="Q211" t="e">
        <f>INDEX(Items!C$2:C$1032,MATCH($O211,Items!$A$2:$A$1032,0))</f>
        <v>#N/A</v>
      </c>
      <c r="R211" t="e">
        <f>INDEX(Items!D$2:D$1032,MATCH($O211,Items!$A$2:$A$1032,0))</f>
        <v>#N/A</v>
      </c>
    </row>
    <row r="212" spans="1:18" x14ac:dyDescent="0.25">
      <c r="A212">
        <f t="shared" si="17"/>
        <v>1</v>
      </c>
      <c r="B212" t="str">
        <f t="shared" si="18"/>
        <v/>
      </c>
      <c r="C212">
        <f t="shared" si="20"/>
        <v>1</v>
      </c>
      <c r="D212" s="4"/>
      <c r="E212" t="s">
        <v>18</v>
      </c>
      <c r="F212" t="str">
        <f>INDEX(Establishment!B$2:B$1005,MATCH($E212,Establishment!$A$2:$A$1005,0))</f>
        <v xml:space="preserve"> </v>
      </c>
      <c r="G212" t="str">
        <f>INDEX(Establishment!C$2:C$1005,MATCH($E212,Establishment!$A$2:$A$1005,0))</f>
        <v xml:space="preserve"> </v>
      </c>
      <c r="M212">
        <f t="shared" si="21"/>
        <v>0</v>
      </c>
      <c r="N212">
        <f t="shared" si="19"/>
        <v>0</v>
      </c>
      <c r="P212" t="e">
        <f>INDEX(Items!B$2:B$1032,MATCH($O212,Items!$A$2:$A$1032,0))</f>
        <v>#N/A</v>
      </c>
      <c r="Q212" t="e">
        <f>INDEX(Items!C$2:C$1032,MATCH($O212,Items!$A$2:$A$1032,0))</f>
        <v>#N/A</v>
      </c>
      <c r="R212" t="e">
        <f>INDEX(Items!D$2:D$1032,MATCH($O212,Items!$A$2:$A$1032,0))</f>
        <v>#N/A</v>
      </c>
    </row>
    <row r="213" spans="1:18" x14ac:dyDescent="0.25">
      <c r="A213">
        <f t="shared" si="17"/>
        <v>1</v>
      </c>
      <c r="B213" t="str">
        <f t="shared" si="18"/>
        <v/>
      </c>
      <c r="C213">
        <f t="shared" si="20"/>
        <v>1</v>
      </c>
      <c r="D213" s="4"/>
      <c r="E213" t="s">
        <v>18</v>
      </c>
      <c r="F213" t="str">
        <f>INDEX(Establishment!B$2:B$1005,MATCH($E213,Establishment!$A$2:$A$1005,0))</f>
        <v xml:space="preserve"> </v>
      </c>
      <c r="G213" t="str">
        <f>INDEX(Establishment!C$2:C$1005,MATCH($E213,Establishment!$A$2:$A$1005,0))</f>
        <v xml:space="preserve"> </v>
      </c>
      <c r="M213">
        <f t="shared" si="21"/>
        <v>0</v>
      </c>
      <c r="N213">
        <f t="shared" si="19"/>
        <v>0</v>
      </c>
      <c r="P213" t="e">
        <f>INDEX(Items!B$2:B$1032,MATCH($O213,Items!$A$2:$A$1032,0))</f>
        <v>#N/A</v>
      </c>
      <c r="Q213" t="e">
        <f>INDEX(Items!C$2:C$1032,MATCH($O213,Items!$A$2:$A$1032,0))</f>
        <v>#N/A</v>
      </c>
      <c r="R213" t="e">
        <f>INDEX(Items!D$2:D$1032,MATCH($O213,Items!$A$2:$A$1032,0))</f>
        <v>#N/A</v>
      </c>
    </row>
    <row r="214" spans="1:18" x14ac:dyDescent="0.25">
      <c r="A214">
        <f t="shared" si="17"/>
        <v>1</v>
      </c>
      <c r="B214" t="str">
        <f t="shared" si="18"/>
        <v/>
      </c>
      <c r="C214">
        <f t="shared" si="20"/>
        <v>1</v>
      </c>
      <c r="D214" s="4"/>
      <c r="E214" t="s">
        <v>18</v>
      </c>
      <c r="F214" t="str">
        <f>INDEX(Establishment!B$2:B$1005,MATCH($E214,Establishment!$A$2:$A$1005,0))</f>
        <v xml:space="preserve"> </v>
      </c>
      <c r="G214" t="str">
        <f>INDEX(Establishment!C$2:C$1005,MATCH($E214,Establishment!$A$2:$A$1005,0))</f>
        <v xml:space="preserve"> </v>
      </c>
      <c r="M214">
        <f t="shared" si="21"/>
        <v>0</v>
      </c>
      <c r="N214">
        <f t="shared" si="19"/>
        <v>0</v>
      </c>
      <c r="P214" t="e">
        <f>INDEX(Items!B$2:B$1032,MATCH($O214,Items!$A$2:$A$1032,0))</f>
        <v>#N/A</v>
      </c>
      <c r="Q214" t="e">
        <f>INDEX(Items!C$2:C$1032,MATCH($O214,Items!$A$2:$A$1032,0))</f>
        <v>#N/A</v>
      </c>
      <c r="R214" t="e">
        <f>INDEX(Items!D$2:D$1032,MATCH($O214,Items!$A$2:$A$1032,0))</f>
        <v>#N/A</v>
      </c>
    </row>
    <row r="215" spans="1:18" x14ac:dyDescent="0.25">
      <c r="A215">
        <f t="shared" si="17"/>
        <v>1</v>
      </c>
      <c r="B215" t="str">
        <f t="shared" si="18"/>
        <v/>
      </c>
      <c r="C215">
        <f t="shared" si="20"/>
        <v>1</v>
      </c>
      <c r="D215" s="4"/>
      <c r="E215" t="s">
        <v>18</v>
      </c>
      <c r="F215" t="str">
        <f>INDEX(Establishment!B$2:B$1005,MATCH($E215,Establishment!$A$2:$A$1005,0))</f>
        <v xml:space="preserve"> </v>
      </c>
      <c r="G215" t="str">
        <f>INDEX(Establishment!C$2:C$1005,MATCH($E215,Establishment!$A$2:$A$1005,0))</f>
        <v xml:space="preserve"> </v>
      </c>
      <c r="M215">
        <f t="shared" si="21"/>
        <v>0</v>
      </c>
      <c r="N215">
        <f t="shared" si="19"/>
        <v>0</v>
      </c>
      <c r="P215" t="e">
        <f>INDEX(Items!B$2:B$1032,MATCH($O215,Items!$A$2:$A$1032,0))</f>
        <v>#N/A</v>
      </c>
      <c r="Q215" t="e">
        <f>INDEX(Items!C$2:C$1032,MATCH($O215,Items!$A$2:$A$1032,0))</f>
        <v>#N/A</v>
      </c>
      <c r="R215" t="e">
        <f>INDEX(Items!D$2:D$1032,MATCH($O215,Items!$A$2:$A$1032,0))</f>
        <v>#N/A</v>
      </c>
    </row>
    <row r="216" spans="1:18" x14ac:dyDescent="0.25">
      <c r="A216">
        <f t="shared" si="17"/>
        <v>1</v>
      </c>
      <c r="B216" t="str">
        <f t="shared" si="18"/>
        <v/>
      </c>
      <c r="C216">
        <f t="shared" si="20"/>
        <v>1</v>
      </c>
      <c r="D216" s="4"/>
      <c r="E216" t="s">
        <v>18</v>
      </c>
      <c r="F216" t="str">
        <f>INDEX(Establishment!B$2:B$1005,MATCH($E216,Establishment!$A$2:$A$1005,0))</f>
        <v xml:space="preserve"> </v>
      </c>
      <c r="G216" t="str">
        <f>INDEX(Establishment!C$2:C$1005,MATCH($E216,Establishment!$A$2:$A$1005,0))</f>
        <v xml:space="preserve"> </v>
      </c>
      <c r="M216">
        <f t="shared" si="21"/>
        <v>0</v>
      </c>
      <c r="N216">
        <f t="shared" si="19"/>
        <v>0</v>
      </c>
      <c r="P216" t="e">
        <f>INDEX(Items!B$2:B$1032,MATCH($O216,Items!$A$2:$A$1032,0))</f>
        <v>#N/A</v>
      </c>
      <c r="Q216" t="e">
        <f>INDEX(Items!C$2:C$1032,MATCH($O216,Items!$A$2:$A$1032,0))</f>
        <v>#N/A</v>
      </c>
      <c r="R216" t="e">
        <f>INDEX(Items!D$2:D$1032,MATCH($O216,Items!$A$2:$A$1032,0))</f>
        <v>#N/A</v>
      </c>
    </row>
    <row r="217" spans="1:18" x14ac:dyDescent="0.25">
      <c r="A217">
        <f t="shared" si="17"/>
        <v>1</v>
      </c>
      <c r="B217" t="str">
        <f t="shared" si="18"/>
        <v/>
      </c>
      <c r="C217">
        <f t="shared" si="20"/>
        <v>1</v>
      </c>
      <c r="D217" s="4"/>
      <c r="E217" t="s">
        <v>18</v>
      </c>
      <c r="F217" t="str">
        <f>INDEX(Establishment!B$2:B$1005,MATCH($E217,Establishment!$A$2:$A$1005,0))</f>
        <v xml:space="preserve"> </v>
      </c>
      <c r="G217" t="str">
        <f>INDEX(Establishment!C$2:C$1005,MATCH($E217,Establishment!$A$2:$A$1005,0))</f>
        <v xml:space="preserve"> </v>
      </c>
      <c r="M217">
        <f t="shared" si="21"/>
        <v>0</v>
      </c>
      <c r="N217">
        <f t="shared" si="19"/>
        <v>0</v>
      </c>
      <c r="P217" t="e">
        <f>INDEX(Items!B$2:B$1032,MATCH($O217,Items!$A$2:$A$1032,0))</f>
        <v>#N/A</v>
      </c>
      <c r="Q217" t="e">
        <f>INDEX(Items!C$2:C$1032,MATCH($O217,Items!$A$2:$A$1032,0))</f>
        <v>#N/A</v>
      </c>
      <c r="R217" t="e">
        <f>INDEX(Items!D$2:D$1032,MATCH($O217,Items!$A$2:$A$1032,0))</f>
        <v>#N/A</v>
      </c>
    </row>
    <row r="218" spans="1:18" x14ac:dyDescent="0.25">
      <c r="A218">
        <f t="shared" si="17"/>
        <v>1</v>
      </c>
      <c r="B218" t="str">
        <f t="shared" si="18"/>
        <v/>
      </c>
      <c r="C218">
        <f t="shared" si="20"/>
        <v>1</v>
      </c>
      <c r="D218" s="4"/>
      <c r="E218" t="s">
        <v>18</v>
      </c>
      <c r="F218" t="str">
        <f>INDEX(Establishment!B$2:B$1005,MATCH($E218,Establishment!$A$2:$A$1005,0))</f>
        <v xml:space="preserve"> </v>
      </c>
      <c r="G218" t="str">
        <f>INDEX(Establishment!C$2:C$1005,MATCH($E218,Establishment!$A$2:$A$1005,0))</f>
        <v xml:space="preserve"> </v>
      </c>
      <c r="M218">
        <f t="shared" si="21"/>
        <v>0</v>
      </c>
      <c r="N218">
        <f t="shared" si="19"/>
        <v>0</v>
      </c>
      <c r="P218" t="e">
        <f>INDEX(Items!B$2:B$1032,MATCH($O218,Items!$A$2:$A$1032,0))</f>
        <v>#N/A</v>
      </c>
      <c r="Q218" t="e">
        <f>INDEX(Items!C$2:C$1032,MATCH($O218,Items!$A$2:$A$1032,0))</f>
        <v>#N/A</v>
      </c>
      <c r="R218" t="e">
        <f>INDEX(Items!D$2:D$1032,MATCH($O218,Items!$A$2:$A$1032,0))</f>
        <v>#N/A</v>
      </c>
    </row>
    <row r="219" spans="1:18" x14ac:dyDescent="0.25">
      <c r="A219">
        <f t="shared" si="17"/>
        <v>1</v>
      </c>
      <c r="B219" t="str">
        <f t="shared" si="18"/>
        <v/>
      </c>
      <c r="C219">
        <f t="shared" si="20"/>
        <v>1</v>
      </c>
      <c r="D219" s="4"/>
      <c r="E219" t="s">
        <v>18</v>
      </c>
      <c r="F219" t="str">
        <f>INDEX(Establishment!B$2:B$1005,MATCH($E219,Establishment!$A$2:$A$1005,0))</f>
        <v xml:space="preserve"> </v>
      </c>
      <c r="G219" t="str">
        <f>INDEX(Establishment!C$2:C$1005,MATCH($E219,Establishment!$A$2:$A$1005,0))</f>
        <v xml:space="preserve"> </v>
      </c>
      <c r="M219">
        <f t="shared" si="21"/>
        <v>0</v>
      </c>
      <c r="N219">
        <f t="shared" si="19"/>
        <v>0</v>
      </c>
      <c r="P219" t="e">
        <f>INDEX(Items!B$2:B$1032,MATCH($O219,Items!$A$2:$A$1032,0))</f>
        <v>#N/A</v>
      </c>
      <c r="Q219" t="e">
        <f>INDEX(Items!C$2:C$1032,MATCH($O219,Items!$A$2:$A$1032,0))</f>
        <v>#N/A</v>
      </c>
      <c r="R219" t="e">
        <f>INDEX(Items!D$2:D$1032,MATCH($O219,Items!$A$2:$A$1032,0))</f>
        <v>#N/A</v>
      </c>
    </row>
    <row r="220" spans="1:18" x14ac:dyDescent="0.25">
      <c r="A220">
        <f t="shared" si="17"/>
        <v>1</v>
      </c>
      <c r="B220" t="str">
        <f t="shared" si="18"/>
        <v/>
      </c>
      <c r="C220">
        <f t="shared" si="20"/>
        <v>1</v>
      </c>
      <c r="D220" s="4"/>
      <c r="E220" t="s">
        <v>18</v>
      </c>
      <c r="F220" t="str">
        <f>INDEX(Establishment!B$2:B$1005,MATCH($E220,Establishment!$A$2:$A$1005,0))</f>
        <v xml:space="preserve"> </v>
      </c>
      <c r="G220" t="str">
        <f>INDEX(Establishment!C$2:C$1005,MATCH($E220,Establishment!$A$2:$A$1005,0))</f>
        <v xml:space="preserve"> </v>
      </c>
      <c r="M220">
        <f t="shared" si="21"/>
        <v>0</v>
      </c>
      <c r="N220">
        <f t="shared" si="19"/>
        <v>0</v>
      </c>
      <c r="P220" t="e">
        <f>INDEX(Items!B$2:B$1032,MATCH($O220,Items!$A$2:$A$1032,0))</f>
        <v>#N/A</v>
      </c>
      <c r="Q220" t="e">
        <f>INDEX(Items!C$2:C$1032,MATCH($O220,Items!$A$2:$A$1032,0))</f>
        <v>#N/A</v>
      </c>
      <c r="R220" t="e">
        <f>INDEX(Items!D$2:D$1032,MATCH($O220,Items!$A$2:$A$1032,0))</f>
        <v>#N/A</v>
      </c>
    </row>
    <row r="221" spans="1:18" x14ac:dyDescent="0.25">
      <c r="A221">
        <f t="shared" si="17"/>
        <v>1</v>
      </c>
      <c r="B221" t="str">
        <f t="shared" si="18"/>
        <v/>
      </c>
      <c r="C221">
        <f t="shared" si="20"/>
        <v>1</v>
      </c>
      <c r="D221" s="4"/>
      <c r="E221" t="s">
        <v>18</v>
      </c>
      <c r="F221" t="str">
        <f>INDEX(Establishment!B$2:B$1005,MATCH($E221,Establishment!$A$2:$A$1005,0))</f>
        <v xml:space="preserve"> </v>
      </c>
      <c r="G221" t="str">
        <f>INDEX(Establishment!C$2:C$1005,MATCH($E221,Establishment!$A$2:$A$1005,0))</f>
        <v xml:space="preserve"> </v>
      </c>
      <c r="M221">
        <f t="shared" si="21"/>
        <v>0</v>
      </c>
      <c r="N221">
        <f t="shared" si="19"/>
        <v>0</v>
      </c>
      <c r="P221" t="e">
        <f>INDEX(Items!B$2:B$1032,MATCH($O221,Items!$A$2:$A$1032,0))</f>
        <v>#N/A</v>
      </c>
      <c r="Q221" t="e">
        <f>INDEX(Items!C$2:C$1032,MATCH($O221,Items!$A$2:$A$1032,0))</f>
        <v>#N/A</v>
      </c>
      <c r="R221" t="e">
        <f>INDEX(Items!D$2:D$1032,MATCH($O221,Items!$A$2:$A$1032,0))</f>
        <v>#N/A</v>
      </c>
    </row>
    <row r="222" spans="1:18" x14ac:dyDescent="0.25">
      <c r="A222">
        <f t="shared" si="17"/>
        <v>1</v>
      </c>
      <c r="B222" t="str">
        <f t="shared" si="18"/>
        <v/>
      </c>
      <c r="C222">
        <f t="shared" si="20"/>
        <v>1</v>
      </c>
      <c r="D222" s="4"/>
      <c r="E222" t="s">
        <v>18</v>
      </c>
      <c r="F222" t="str">
        <f>INDEX(Establishment!B$2:B$1005,MATCH($E222,Establishment!$A$2:$A$1005,0))</f>
        <v xml:space="preserve"> </v>
      </c>
      <c r="G222" t="str">
        <f>INDEX(Establishment!C$2:C$1005,MATCH($E222,Establishment!$A$2:$A$1005,0))</f>
        <v xml:space="preserve"> </v>
      </c>
      <c r="M222">
        <f t="shared" si="21"/>
        <v>0</v>
      </c>
      <c r="N222">
        <f t="shared" si="19"/>
        <v>0</v>
      </c>
      <c r="P222" t="e">
        <f>INDEX(Items!B$2:B$1032,MATCH($O222,Items!$A$2:$A$1032,0))</f>
        <v>#N/A</v>
      </c>
      <c r="Q222" t="e">
        <f>INDEX(Items!C$2:C$1032,MATCH($O222,Items!$A$2:$A$1032,0))</f>
        <v>#N/A</v>
      </c>
      <c r="R222" t="e">
        <f>INDEX(Items!D$2:D$1032,MATCH($O222,Items!$A$2:$A$1032,0))</f>
        <v>#N/A</v>
      </c>
    </row>
    <row r="223" spans="1:18" x14ac:dyDescent="0.25">
      <c r="A223">
        <f t="shared" si="17"/>
        <v>1</v>
      </c>
      <c r="B223" t="str">
        <f t="shared" si="18"/>
        <v/>
      </c>
      <c r="C223">
        <f t="shared" si="20"/>
        <v>1</v>
      </c>
      <c r="D223" s="4"/>
      <c r="E223" t="s">
        <v>18</v>
      </c>
      <c r="F223" t="str">
        <f>INDEX(Establishment!B$2:B$1005,MATCH($E223,Establishment!$A$2:$A$1005,0))</f>
        <v xml:space="preserve"> </v>
      </c>
      <c r="G223" t="str">
        <f>INDEX(Establishment!C$2:C$1005,MATCH($E223,Establishment!$A$2:$A$1005,0))</f>
        <v xml:space="preserve"> </v>
      </c>
      <c r="M223">
        <f t="shared" si="21"/>
        <v>0</v>
      </c>
      <c r="N223">
        <f t="shared" si="19"/>
        <v>0</v>
      </c>
      <c r="P223" t="e">
        <f>INDEX(Items!B$2:B$1032,MATCH($O223,Items!$A$2:$A$1032,0))</f>
        <v>#N/A</v>
      </c>
      <c r="Q223" t="e">
        <f>INDEX(Items!C$2:C$1032,MATCH($O223,Items!$A$2:$A$1032,0))</f>
        <v>#N/A</v>
      </c>
      <c r="R223" t="e">
        <f>INDEX(Items!D$2:D$1032,MATCH($O223,Items!$A$2:$A$1032,0))</f>
        <v>#N/A</v>
      </c>
    </row>
    <row r="224" spans="1:18" x14ac:dyDescent="0.25">
      <c r="A224">
        <f t="shared" si="17"/>
        <v>1</v>
      </c>
      <c r="B224" t="str">
        <f t="shared" si="18"/>
        <v/>
      </c>
      <c r="C224">
        <f t="shared" si="20"/>
        <v>1</v>
      </c>
      <c r="D224" s="4"/>
      <c r="E224" t="s">
        <v>18</v>
      </c>
      <c r="F224" t="str">
        <f>INDEX(Establishment!B$2:B$1005,MATCH($E224,Establishment!$A$2:$A$1005,0))</f>
        <v xml:space="preserve"> </v>
      </c>
      <c r="G224" t="str">
        <f>INDEX(Establishment!C$2:C$1005,MATCH($E224,Establishment!$A$2:$A$1005,0))</f>
        <v xml:space="preserve"> </v>
      </c>
      <c r="M224">
        <f t="shared" si="21"/>
        <v>0</v>
      </c>
      <c r="N224">
        <f t="shared" si="19"/>
        <v>0</v>
      </c>
      <c r="P224" t="e">
        <f>INDEX(Items!B$2:B$1032,MATCH($O224,Items!$A$2:$A$1032,0))</f>
        <v>#N/A</v>
      </c>
      <c r="Q224" t="e">
        <f>INDEX(Items!C$2:C$1032,MATCH($O224,Items!$A$2:$A$1032,0))</f>
        <v>#N/A</v>
      </c>
      <c r="R224" t="e">
        <f>INDEX(Items!D$2:D$1032,MATCH($O224,Items!$A$2:$A$1032,0))</f>
        <v>#N/A</v>
      </c>
    </row>
    <row r="225" spans="1:18" x14ac:dyDescent="0.25">
      <c r="A225">
        <f t="shared" si="17"/>
        <v>1</v>
      </c>
      <c r="B225" t="str">
        <f t="shared" si="18"/>
        <v/>
      </c>
      <c r="C225">
        <f t="shared" si="20"/>
        <v>1</v>
      </c>
      <c r="D225" s="4"/>
      <c r="E225" t="s">
        <v>18</v>
      </c>
      <c r="F225" t="str">
        <f>INDEX(Establishment!B$2:B$1005,MATCH($E225,Establishment!$A$2:$A$1005,0))</f>
        <v xml:space="preserve"> </v>
      </c>
      <c r="G225" t="str">
        <f>INDEX(Establishment!C$2:C$1005,MATCH($E225,Establishment!$A$2:$A$1005,0))</f>
        <v xml:space="preserve"> </v>
      </c>
      <c r="M225">
        <f t="shared" si="21"/>
        <v>0</v>
      </c>
      <c r="N225">
        <f t="shared" si="19"/>
        <v>0</v>
      </c>
      <c r="P225" t="e">
        <f>INDEX(Items!B$2:B$1032,MATCH($O225,Items!$A$2:$A$1032,0))</f>
        <v>#N/A</v>
      </c>
      <c r="Q225" t="e">
        <f>INDEX(Items!C$2:C$1032,MATCH($O225,Items!$A$2:$A$1032,0))</f>
        <v>#N/A</v>
      </c>
      <c r="R225" t="e">
        <f>INDEX(Items!D$2:D$1032,MATCH($O225,Items!$A$2:$A$1032,0))</f>
        <v>#N/A</v>
      </c>
    </row>
    <row r="226" spans="1:18" x14ac:dyDescent="0.25">
      <c r="A226">
        <f t="shared" si="17"/>
        <v>1</v>
      </c>
      <c r="B226" t="str">
        <f t="shared" si="18"/>
        <v/>
      </c>
      <c r="C226">
        <f t="shared" si="20"/>
        <v>1</v>
      </c>
      <c r="D226" s="4"/>
      <c r="E226" t="s">
        <v>18</v>
      </c>
      <c r="F226" t="str">
        <f>INDEX(Establishment!B$2:B$1005,MATCH($E226,Establishment!$A$2:$A$1005,0))</f>
        <v xml:space="preserve"> </v>
      </c>
      <c r="G226" t="str">
        <f>INDEX(Establishment!C$2:C$1005,MATCH($E226,Establishment!$A$2:$A$1005,0))</f>
        <v xml:space="preserve"> </v>
      </c>
      <c r="M226">
        <f t="shared" si="21"/>
        <v>0</v>
      </c>
      <c r="N226">
        <f t="shared" si="19"/>
        <v>0</v>
      </c>
      <c r="P226" t="e">
        <f>INDEX(Items!B$2:B$1032,MATCH($O226,Items!$A$2:$A$1032,0))</f>
        <v>#N/A</v>
      </c>
      <c r="Q226" t="e">
        <f>INDEX(Items!C$2:C$1032,MATCH($O226,Items!$A$2:$A$1032,0))</f>
        <v>#N/A</v>
      </c>
      <c r="R226" t="e">
        <f>INDEX(Items!D$2:D$1032,MATCH($O226,Items!$A$2:$A$1032,0))</f>
        <v>#N/A</v>
      </c>
    </row>
    <row r="227" spans="1:18" x14ac:dyDescent="0.25">
      <c r="A227">
        <f t="shared" si="17"/>
        <v>1</v>
      </c>
      <c r="B227" t="str">
        <f t="shared" si="18"/>
        <v/>
      </c>
      <c r="C227">
        <f t="shared" si="20"/>
        <v>1</v>
      </c>
      <c r="D227" s="4"/>
      <c r="E227" t="s">
        <v>18</v>
      </c>
      <c r="F227" t="str">
        <f>INDEX(Establishment!B$2:B$1005,MATCH($E227,Establishment!$A$2:$A$1005,0))</f>
        <v xml:space="preserve"> </v>
      </c>
      <c r="G227" t="str">
        <f>INDEX(Establishment!C$2:C$1005,MATCH($E227,Establishment!$A$2:$A$1005,0))</f>
        <v xml:space="preserve"> </v>
      </c>
      <c r="M227">
        <f t="shared" si="21"/>
        <v>0</v>
      </c>
      <c r="N227">
        <f t="shared" si="19"/>
        <v>0</v>
      </c>
      <c r="P227" t="e">
        <f>INDEX(Items!B$2:B$1032,MATCH($O227,Items!$A$2:$A$1032,0))</f>
        <v>#N/A</v>
      </c>
      <c r="Q227" t="e">
        <f>INDEX(Items!C$2:C$1032,MATCH($O227,Items!$A$2:$A$1032,0))</f>
        <v>#N/A</v>
      </c>
      <c r="R227" t="e">
        <f>INDEX(Items!D$2:D$1032,MATCH($O227,Items!$A$2:$A$1032,0))</f>
        <v>#N/A</v>
      </c>
    </row>
    <row r="228" spans="1:18" x14ac:dyDescent="0.25">
      <c r="A228">
        <f t="shared" si="17"/>
        <v>1</v>
      </c>
      <c r="B228" t="str">
        <f t="shared" si="18"/>
        <v/>
      </c>
      <c r="C228">
        <f t="shared" si="20"/>
        <v>1</v>
      </c>
      <c r="D228" s="4"/>
      <c r="E228" t="s">
        <v>18</v>
      </c>
      <c r="F228" t="str">
        <f>INDEX(Establishment!B$2:B$1005,MATCH($E228,Establishment!$A$2:$A$1005,0))</f>
        <v xml:space="preserve"> </v>
      </c>
      <c r="G228" t="str">
        <f>INDEX(Establishment!C$2:C$1005,MATCH($E228,Establishment!$A$2:$A$1005,0))</f>
        <v xml:space="preserve"> </v>
      </c>
      <c r="M228">
        <f t="shared" si="21"/>
        <v>0</v>
      </c>
      <c r="N228">
        <f t="shared" si="19"/>
        <v>0</v>
      </c>
      <c r="P228" t="e">
        <f>INDEX(Items!B$2:B$1032,MATCH($O228,Items!$A$2:$A$1032,0))</f>
        <v>#N/A</v>
      </c>
      <c r="Q228" t="e">
        <f>INDEX(Items!C$2:C$1032,MATCH($O228,Items!$A$2:$A$1032,0))</f>
        <v>#N/A</v>
      </c>
      <c r="R228" t="e">
        <f>INDEX(Items!D$2:D$1032,MATCH($O228,Items!$A$2:$A$1032,0))</f>
        <v>#N/A</v>
      </c>
    </row>
    <row r="229" spans="1:18" x14ac:dyDescent="0.25">
      <c r="A229">
        <f t="shared" si="17"/>
        <v>1</v>
      </c>
      <c r="B229" t="str">
        <f t="shared" si="18"/>
        <v/>
      </c>
      <c r="C229">
        <f t="shared" si="20"/>
        <v>1</v>
      </c>
      <c r="D229" s="4"/>
      <c r="E229" t="s">
        <v>18</v>
      </c>
      <c r="F229" t="str">
        <f>INDEX(Establishment!B$2:B$1005,MATCH($E229,Establishment!$A$2:$A$1005,0))</f>
        <v xml:space="preserve"> </v>
      </c>
      <c r="G229" t="str">
        <f>INDEX(Establishment!C$2:C$1005,MATCH($E229,Establishment!$A$2:$A$1005,0))</f>
        <v xml:space="preserve"> </v>
      </c>
      <c r="M229">
        <f t="shared" si="21"/>
        <v>0</v>
      </c>
      <c r="N229">
        <f t="shared" si="19"/>
        <v>0</v>
      </c>
      <c r="P229" t="e">
        <f>INDEX(Items!B$2:B$1032,MATCH($O229,Items!$A$2:$A$1032,0))</f>
        <v>#N/A</v>
      </c>
      <c r="Q229" t="e">
        <f>INDEX(Items!C$2:C$1032,MATCH($O229,Items!$A$2:$A$1032,0))</f>
        <v>#N/A</v>
      </c>
      <c r="R229" t="e">
        <f>INDEX(Items!D$2:D$1032,MATCH($O229,Items!$A$2:$A$1032,0))</f>
        <v>#N/A</v>
      </c>
    </row>
    <row r="230" spans="1:18" x14ac:dyDescent="0.25">
      <c r="A230">
        <f t="shared" si="17"/>
        <v>1</v>
      </c>
      <c r="B230" t="str">
        <f t="shared" si="18"/>
        <v/>
      </c>
      <c r="C230">
        <f t="shared" si="20"/>
        <v>1</v>
      </c>
      <c r="D230" s="4"/>
      <c r="E230" t="s">
        <v>18</v>
      </c>
      <c r="F230" t="str">
        <f>INDEX(Establishment!B$2:B$1005,MATCH($E230,Establishment!$A$2:$A$1005,0))</f>
        <v xml:space="preserve"> </v>
      </c>
      <c r="G230" t="str">
        <f>INDEX(Establishment!C$2:C$1005,MATCH($E230,Establishment!$A$2:$A$1005,0))</f>
        <v xml:space="preserve"> </v>
      </c>
      <c r="M230">
        <f t="shared" si="21"/>
        <v>0</v>
      </c>
      <c r="N230">
        <f t="shared" si="19"/>
        <v>0</v>
      </c>
      <c r="P230" t="e">
        <f>INDEX(Items!B$2:B$1032,MATCH($O230,Items!$A$2:$A$1032,0))</f>
        <v>#N/A</v>
      </c>
      <c r="Q230" t="e">
        <f>INDEX(Items!C$2:C$1032,MATCH($O230,Items!$A$2:$A$1032,0))</f>
        <v>#N/A</v>
      </c>
      <c r="R230" t="e">
        <f>INDEX(Items!D$2:D$1032,MATCH($O230,Items!$A$2:$A$1032,0))</f>
        <v>#N/A</v>
      </c>
    </row>
    <row r="231" spans="1:18" x14ac:dyDescent="0.25">
      <c r="A231">
        <f t="shared" si="17"/>
        <v>1</v>
      </c>
      <c r="B231" t="str">
        <f t="shared" si="18"/>
        <v/>
      </c>
      <c r="C231">
        <f t="shared" si="20"/>
        <v>1</v>
      </c>
      <c r="D231" s="4"/>
      <c r="E231" t="s">
        <v>18</v>
      </c>
      <c r="F231" t="str">
        <f>INDEX(Establishment!B$2:B$1005,MATCH($E231,Establishment!$A$2:$A$1005,0))</f>
        <v xml:space="preserve"> </v>
      </c>
      <c r="G231" t="str">
        <f>INDEX(Establishment!C$2:C$1005,MATCH($E231,Establishment!$A$2:$A$1005,0))</f>
        <v xml:space="preserve"> </v>
      </c>
      <c r="M231">
        <f t="shared" si="21"/>
        <v>0</v>
      </c>
      <c r="N231">
        <f t="shared" si="19"/>
        <v>0</v>
      </c>
      <c r="P231" t="e">
        <f>INDEX(Items!B$2:B$1032,MATCH($O231,Items!$A$2:$A$1032,0))</f>
        <v>#N/A</v>
      </c>
      <c r="Q231" t="e">
        <f>INDEX(Items!C$2:C$1032,MATCH($O231,Items!$A$2:$A$1032,0))</f>
        <v>#N/A</v>
      </c>
      <c r="R231" t="e">
        <f>INDEX(Items!D$2:D$1032,MATCH($O231,Items!$A$2:$A$1032,0))</f>
        <v>#N/A</v>
      </c>
    </row>
    <row r="232" spans="1:18" x14ac:dyDescent="0.25">
      <c r="A232">
        <f t="shared" si="17"/>
        <v>1</v>
      </c>
      <c r="B232" t="str">
        <f t="shared" si="18"/>
        <v/>
      </c>
      <c r="C232">
        <f t="shared" si="20"/>
        <v>1</v>
      </c>
      <c r="D232" s="4"/>
      <c r="E232" t="s">
        <v>18</v>
      </c>
      <c r="F232" t="str">
        <f>INDEX(Establishment!B$2:B$1005,MATCH($E232,Establishment!$A$2:$A$1005,0))</f>
        <v xml:space="preserve"> </v>
      </c>
      <c r="G232" t="str">
        <f>INDEX(Establishment!C$2:C$1005,MATCH($E232,Establishment!$A$2:$A$1005,0))</f>
        <v xml:space="preserve"> </v>
      </c>
      <c r="M232">
        <f t="shared" si="21"/>
        <v>0</v>
      </c>
      <c r="N232">
        <f t="shared" si="19"/>
        <v>0</v>
      </c>
      <c r="P232" t="e">
        <f>INDEX(Items!B$2:B$1032,MATCH($O232,Items!$A$2:$A$1032,0))</f>
        <v>#N/A</v>
      </c>
      <c r="Q232" t="e">
        <f>INDEX(Items!C$2:C$1032,MATCH($O232,Items!$A$2:$A$1032,0))</f>
        <v>#N/A</v>
      </c>
      <c r="R232" t="e">
        <f>INDEX(Items!D$2:D$1032,MATCH($O232,Items!$A$2:$A$1032,0))</f>
        <v>#N/A</v>
      </c>
    </row>
    <row r="233" spans="1:18" x14ac:dyDescent="0.25">
      <c r="A233">
        <f t="shared" si="17"/>
        <v>1</v>
      </c>
      <c r="B233" t="str">
        <f t="shared" si="18"/>
        <v/>
      </c>
      <c r="C233">
        <f t="shared" si="20"/>
        <v>1</v>
      </c>
      <c r="D233" s="4"/>
      <c r="E233" t="s">
        <v>18</v>
      </c>
      <c r="F233" t="str">
        <f>INDEX(Establishment!B$2:B$1005,MATCH($E233,Establishment!$A$2:$A$1005,0))</f>
        <v xml:space="preserve"> </v>
      </c>
      <c r="G233" t="str">
        <f>INDEX(Establishment!C$2:C$1005,MATCH($E233,Establishment!$A$2:$A$1005,0))</f>
        <v xml:space="preserve"> </v>
      </c>
      <c r="M233">
        <f t="shared" si="21"/>
        <v>0</v>
      </c>
      <c r="N233">
        <f t="shared" si="19"/>
        <v>0</v>
      </c>
      <c r="P233" t="e">
        <f>INDEX(Items!B$2:B$1032,MATCH($O233,Items!$A$2:$A$1032,0))</f>
        <v>#N/A</v>
      </c>
      <c r="Q233" t="e">
        <f>INDEX(Items!C$2:C$1032,MATCH($O233,Items!$A$2:$A$1032,0))</f>
        <v>#N/A</v>
      </c>
      <c r="R233" t="e">
        <f>INDEX(Items!D$2:D$1032,MATCH($O233,Items!$A$2:$A$1032,0))</f>
        <v>#N/A</v>
      </c>
    </row>
    <row r="234" spans="1:18" x14ac:dyDescent="0.25">
      <c r="A234">
        <f t="shared" si="17"/>
        <v>1</v>
      </c>
      <c r="B234" t="str">
        <f t="shared" si="18"/>
        <v/>
      </c>
      <c r="C234">
        <f t="shared" si="20"/>
        <v>1</v>
      </c>
      <c r="D234" s="4"/>
      <c r="E234" t="s">
        <v>18</v>
      </c>
      <c r="F234" t="str">
        <f>INDEX(Establishment!B$2:B$1005,MATCH($E234,Establishment!$A$2:$A$1005,0))</f>
        <v xml:space="preserve"> </v>
      </c>
      <c r="G234" t="str">
        <f>INDEX(Establishment!C$2:C$1005,MATCH($E234,Establishment!$A$2:$A$1005,0))</f>
        <v xml:space="preserve"> </v>
      </c>
      <c r="M234">
        <f t="shared" si="21"/>
        <v>0</v>
      </c>
      <c r="N234">
        <f t="shared" si="19"/>
        <v>0</v>
      </c>
      <c r="P234" t="e">
        <f>INDEX(Items!B$2:B$1032,MATCH($O234,Items!$A$2:$A$1032,0))</f>
        <v>#N/A</v>
      </c>
      <c r="Q234" t="e">
        <f>INDEX(Items!C$2:C$1032,MATCH($O234,Items!$A$2:$A$1032,0))</f>
        <v>#N/A</v>
      </c>
      <c r="R234" t="e">
        <f>INDEX(Items!D$2:D$1032,MATCH($O234,Items!$A$2:$A$1032,0))</f>
        <v>#N/A</v>
      </c>
    </row>
    <row r="235" spans="1:18" x14ac:dyDescent="0.25">
      <c r="A235">
        <f t="shared" si="17"/>
        <v>1</v>
      </c>
      <c r="B235" t="str">
        <f t="shared" si="18"/>
        <v/>
      </c>
      <c r="C235">
        <f t="shared" si="20"/>
        <v>1</v>
      </c>
      <c r="D235" s="4"/>
      <c r="E235" t="s">
        <v>18</v>
      </c>
      <c r="F235" t="str">
        <f>INDEX(Establishment!B$2:B$1005,MATCH($E235,Establishment!$A$2:$A$1005,0))</f>
        <v xml:space="preserve"> </v>
      </c>
      <c r="G235" t="str">
        <f>INDEX(Establishment!C$2:C$1005,MATCH($E235,Establishment!$A$2:$A$1005,0))</f>
        <v xml:space="preserve"> </v>
      </c>
      <c r="M235">
        <f t="shared" si="21"/>
        <v>0</v>
      </c>
      <c r="N235">
        <f t="shared" si="19"/>
        <v>0</v>
      </c>
      <c r="P235" t="e">
        <f>INDEX(Items!B$2:B$1032,MATCH($O235,Items!$A$2:$A$1032,0))</f>
        <v>#N/A</v>
      </c>
      <c r="Q235" t="e">
        <f>INDEX(Items!C$2:C$1032,MATCH($O235,Items!$A$2:$A$1032,0))</f>
        <v>#N/A</v>
      </c>
      <c r="R235" t="e">
        <f>INDEX(Items!D$2:D$1032,MATCH($O235,Items!$A$2:$A$1032,0))</f>
        <v>#N/A</v>
      </c>
    </row>
    <row r="236" spans="1:18" x14ac:dyDescent="0.25">
      <c r="A236">
        <f t="shared" si="17"/>
        <v>1</v>
      </c>
      <c r="B236" t="str">
        <f t="shared" si="18"/>
        <v/>
      </c>
      <c r="C236">
        <f t="shared" si="20"/>
        <v>1</v>
      </c>
      <c r="D236" s="4"/>
      <c r="E236" t="s">
        <v>18</v>
      </c>
      <c r="F236" t="str">
        <f>INDEX(Establishment!B$2:B$1005,MATCH($E236,Establishment!$A$2:$A$1005,0))</f>
        <v xml:space="preserve"> </v>
      </c>
      <c r="G236" t="str">
        <f>INDEX(Establishment!C$2:C$1005,MATCH($E236,Establishment!$A$2:$A$1005,0))</f>
        <v xml:space="preserve"> </v>
      </c>
      <c r="M236">
        <f t="shared" si="21"/>
        <v>0</v>
      </c>
      <c r="N236">
        <f t="shared" si="19"/>
        <v>0</v>
      </c>
      <c r="P236" t="e">
        <f>INDEX(Items!B$2:B$1032,MATCH($O236,Items!$A$2:$A$1032,0))</f>
        <v>#N/A</v>
      </c>
      <c r="Q236" t="e">
        <f>INDEX(Items!C$2:C$1032,MATCH($O236,Items!$A$2:$A$1032,0))</f>
        <v>#N/A</v>
      </c>
      <c r="R236" t="e">
        <f>INDEX(Items!D$2:D$1032,MATCH($O236,Items!$A$2:$A$1032,0))</f>
        <v>#N/A</v>
      </c>
    </row>
    <row r="237" spans="1:18" x14ac:dyDescent="0.25">
      <c r="A237">
        <f t="shared" si="17"/>
        <v>1</v>
      </c>
      <c r="B237" t="str">
        <f t="shared" si="18"/>
        <v/>
      </c>
      <c r="C237">
        <f t="shared" si="20"/>
        <v>1</v>
      </c>
      <c r="D237" s="4"/>
      <c r="E237" t="s">
        <v>18</v>
      </c>
      <c r="F237" t="str">
        <f>INDEX(Establishment!B$2:B$1005,MATCH($E237,Establishment!$A$2:$A$1005,0))</f>
        <v xml:space="preserve"> </v>
      </c>
      <c r="G237" t="str">
        <f>INDEX(Establishment!C$2:C$1005,MATCH($E237,Establishment!$A$2:$A$1005,0))</f>
        <v xml:space="preserve"> </v>
      </c>
      <c r="M237">
        <f t="shared" si="21"/>
        <v>0</v>
      </c>
      <c r="N237">
        <f t="shared" si="19"/>
        <v>0</v>
      </c>
      <c r="P237" t="e">
        <f>INDEX(Items!B$2:B$1032,MATCH($O237,Items!$A$2:$A$1032,0))</f>
        <v>#N/A</v>
      </c>
      <c r="Q237" t="e">
        <f>INDEX(Items!C$2:C$1032,MATCH($O237,Items!$A$2:$A$1032,0))</f>
        <v>#N/A</v>
      </c>
      <c r="R237" t="e">
        <f>INDEX(Items!D$2:D$1032,MATCH($O237,Items!$A$2:$A$1032,0))</f>
        <v>#N/A</v>
      </c>
    </row>
    <row r="238" spans="1:18" x14ac:dyDescent="0.25">
      <c r="A238">
        <f t="shared" si="17"/>
        <v>1</v>
      </c>
      <c r="B238" t="str">
        <f t="shared" si="18"/>
        <v/>
      </c>
      <c r="C238">
        <f t="shared" si="20"/>
        <v>1</v>
      </c>
      <c r="D238" s="4"/>
      <c r="E238" t="s">
        <v>18</v>
      </c>
      <c r="F238" t="str">
        <f>INDEX(Establishment!B$2:B$1005,MATCH($E238,Establishment!$A$2:$A$1005,0))</f>
        <v xml:space="preserve"> </v>
      </c>
      <c r="G238" t="str">
        <f>INDEX(Establishment!C$2:C$1005,MATCH($E238,Establishment!$A$2:$A$1005,0))</f>
        <v xml:space="preserve"> </v>
      </c>
      <c r="M238">
        <f t="shared" si="21"/>
        <v>0</v>
      </c>
      <c r="N238">
        <f t="shared" si="19"/>
        <v>0</v>
      </c>
      <c r="P238" t="e">
        <f>INDEX(Items!B$2:B$1032,MATCH($O238,Items!$A$2:$A$1032,0))</f>
        <v>#N/A</v>
      </c>
      <c r="Q238" t="e">
        <f>INDEX(Items!C$2:C$1032,MATCH($O238,Items!$A$2:$A$1032,0))</f>
        <v>#N/A</v>
      </c>
      <c r="R238" t="e">
        <f>INDEX(Items!D$2:D$1032,MATCH($O238,Items!$A$2:$A$1032,0))</f>
        <v>#N/A</v>
      </c>
    </row>
    <row r="239" spans="1:18" x14ac:dyDescent="0.25">
      <c r="A239">
        <f t="shared" si="17"/>
        <v>1</v>
      </c>
      <c r="B239" t="str">
        <f t="shared" si="18"/>
        <v/>
      </c>
      <c r="C239">
        <f t="shared" si="20"/>
        <v>1</v>
      </c>
      <c r="D239" s="4"/>
      <c r="E239" t="s">
        <v>18</v>
      </c>
      <c r="F239" t="str">
        <f>INDEX(Establishment!B$2:B$1005,MATCH($E239,Establishment!$A$2:$A$1005,0))</f>
        <v xml:space="preserve"> </v>
      </c>
      <c r="G239" t="str">
        <f>INDEX(Establishment!C$2:C$1005,MATCH($E239,Establishment!$A$2:$A$1005,0))</f>
        <v xml:space="preserve"> </v>
      </c>
      <c r="M239">
        <f t="shared" si="21"/>
        <v>0</v>
      </c>
      <c r="N239">
        <f t="shared" si="19"/>
        <v>0</v>
      </c>
      <c r="P239" t="e">
        <f>INDEX(Items!B$2:B$1032,MATCH($O239,Items!$A$2:$A$1032,0))</f>
        <v>#N/A</v>
      </c>
      <c r="Q239" t="e">
        <f>INDEX(Items!C$2:C$1032,MATCH($O239,Items!$A$2:$A$1032,0))</f>
        <v>#N/A</v>
      </c>
      <c r="R239" t="e">
        <f>INDEX(Items!D$2:D$1032,MATCH($O239,Items!$A$2:$A$1032,0))</f>
        <v>#N/A</v>
      </c>
    </row>
    <row r="240" spans="1:18" x14ac:dyDescent="0.25">
      <c r="A240">
        <f t="shared" si="17"/>
        <v>1</v>
      </c>
      <c r="B240" t="str">
        <f t="shared" si="18"/>
        <v/>
      </c>
      <c r="C240">
        <f t="shared" si="20"/>
        <v>1</v>
      </c>
      <c r="D240" s="4"/>
      <c r="E240" t="s">
        <v>18</v>
      </c>
      <c r="F240" t="str">
        <f>INDEX(Establishment!B$2:B$1005,MATCH($E240,Establishment!$A$2:$A$1005,0))</f>
        <v xml:space="preserve"> </v>
      </c>
      <c r="G240" t="str">
        <f>INDEX(Establishment!C$2:C$1005,MATCH($E240,Establishment!$A$2:$A$1005,0))</f>
        <v xml:space="preserve"> </v>
      </c>
      <c r="M240">
        <f t="shared" si="21"/>
        <v>0</v>
      </c>
      <c r="N240">
        <f t="shared" si="19"/>
        <v>0</v>
      </c>
      <c r="P240" t="e">
        <f>INDEX(Items!B$2:B$1032,MATCH($O240,Items!$A$2:$A$1032,0))</f>
        <v>#N/A</v>
      </c>
      <c r="Q240" t="e">
        <f>INDEX(Items!C$2:C$1032,MATCH($O240,Items!$A$2:$A$1032,0))</f>
        <v>#N/A</v>
      </c>
      <c r="R240" t="e">
        <f>INDEX(Items!D$2:D$1032,MATCH($O240,Items!$A$2:$A$1032,0))</f>
        <v>#N/A</v>
      </c>
    </row>
    <row r="241" spans="1:18" x14ac:dyDescent="0.25">
      <c r="A241">
        <f t="shared" si="17"/>
        <v>1</v>
      </c>
      <c r="B241" t="str">
        <f t="shared" si="18"/>
        <v/>
      </c>
      <c r="C241">
        <f t="shared" si="20"/>
        <v>1</v>
      </c>
      <c r="D241" s="4"/>
      <c r="E241" t="s">
        <v>18</v>
      </c>
      <c r="F241" t="str">
        <f>INDEX(Establishment!B$2:B$1005,MATCH($E241,Establishment!$A$2:$A$1005,0))</f>
        <v xml:space="preserve"> </v>
      </c>
      <c r="G241" t="str">
        <f>INDEX(Establishment!C$2:C$1005,MATCH($E241,Establishment!$A$2:$A$1005,0))</f>
        <v xml:space="preserve"> </v>
      </c>
      <c r="M241">
        <f t="shared" si="21"/>
        <v>0</v>
      </c>
      <c r="N241">
        <f t="shared" si="19"/>
        <v>0</v>
      </c>
      <c r="P241" t="e">
        <f>INDEX(Items!B$2:B$1032,MATCH($O241,Items!$A$2:$A$1032,0))</f>
        <v>#N/A</v>
      </c>
      <c r="Q241" t="e">
        <f>INDEX(Items!C$2:C$1032,MATCH($O241,Items!$A$2:$A$1032,0))</f>
        <v>#N/A</v>
      </c>
      <c r="R241" t="e">
        <f>INDEX(Items!D$2:D$1032,MATCH($O241,Items!$A$2:$A$1032,0))</f>
        <v>#N/A</v>
      </c>
    </row>
    <row r="242" spans="1:18" x14ac:dyDescent="0.25">
      <c r="A242">
        <f t="shared" si="17"/>
        <v>1</v>
      </c>
      <c r="B242" t="str">
        <f t="shared" si="18"/>
        <v/>
      </c>
      <c r="C242">
        <f t="shared" si="20"/>
        <v>1</v>
      </c>
      <c r="D242" s="4"/>
      <c r="E242" t="s">
        <v>18</v>
      </c>
      <c r="F242" t="str">
        <f>INDEX(Establishment!B$2:B$1005,MATCH($E242,Establishment!$A$2:$A$1005,0))</f>
        <v xml:space="preserve"> </v>
      </c>
      <c r="G242" t="str">
        <f>INDEX(Establishment!C$2:C$1005,MATCH($E242,Establishment!$A$2:$A$1005,0))</f>
        <v xml:space="preserve"> </v>
      </c>
      <c r="M242">
        <f t="shared" si="21"/>
        <v>0</v>
      </c>
      <c r="N242">
        <f t="shared" si="19"/>
        <v>0</v>
      </c>
      <c r="P242" t="e">
        <f>INDEX(Items!B$2:B$1032,MATCH($O242,Items!$A$2:$A$1032,0))</f>
        <v>#N/A</v>
      </c>
      <c r="Q242" t="e">
        <f>INDEX(Items!C$2:C$1032,MATCH($O242,Items!$A$2:$A$1032,0))</f>
        <v>#N/A</v>
      </c>
      <c r="R242" t="e">
        <f>INDEX(Items!D$2:D$1032,MATCH($O242,Items!$A$2:$A$1032,0))</f>
        <v>#N/A</v>
      </c>
    </row>
    <row r="243" spans="1:18" x14ac:dyDescent="0.25">
      <c r="A243">
        <f t="shared" si="17"/>
        <v>1</v>
      </c>
      <c r="B243" t="str">
        <f t="shared" si="18"/>
        <v/>
      </c>
      <c r="C243">
        <f t="shared" si="20"/>
        <v>1</v>
      </c>
      <c r="D243" s="4"/>
      <c r="E243" t="s">
        <v>18</v>
      </c>
      <c r="F243" t="str">
        <f>INDEX(Establishment!B$2:B$1005,MATCH($E243,Establishment!$A$2:$A$1005,0))</f>
        <v xml:space="preserve"> </v>
      </c>
      <c r="G243" t="str">
        <f>INDEX(Establishment!C$2:C$1005,MATCH($E243,Establishment!$A$2:$A$1005,0))</f>
        <v xml:space="preserve"> </v>
      </c>
      <c r="M243">
        <f t="shared" si="21"/>
        <v>0</v>
      </c>
      <c r="N243">
        <f t="shared" si="19"/>
        <v>0</v>
      </c>
      <c r="P243" t="e">
        <f>INDEX(Items!B$2:B$1032,MATCH($O243,Items!$A$2:$A$1032,0))</f>
        <v>#N/A</v>
      </c>
      <c r="Q243" t="e">
        <f>INDEX(Items!C$2:C$1032,MATCH($O243,Items!$A$2:$A$1032,0))</f>
        <v>#N/A</v>
      </c>
      <c r="R243" t="e">
        <f>INDEX(Items!D$2:D$1032,MATCH($O243,Items!$A$2:$A$1032,0))</f>
        <v>#N/A</v>
      </c>
    </row>
    <row r="244" spans="1:18" x14ac:dyDescent="0.25">
      <c r="A244">
        <f t="shared" si="17"/>
        <v>1</v>
      </c>
      <c r="B244" t="str">
        <f t="shared" si="18"/>
        <v/>
      </c>
      <c r="C244">
        <f t="shared" si="20"/>
        <v>1</v>
      </c>
      <c r="D244" s="4"/>
      <c r="E244" t="s">
        <v>18</v>
      </c>
      <c r="F244" t="str">
        <f>INDEX(Establishment!B$2:B$1005,MATCH($E244,Establishment!$A$2:$A$1005,0))</f>
        <v xml:space="preserve"> </v>
      </c>
      <c r="G244" t="str">
        <f>INDEX(Establishment!C$2:C$1005,MATCH($E244,Establishment!$A$2:$A$1005,0))</f>
        <v xml:space="preserve"> </v>
      </c>
      <c r="M244">
        <f t="shared" si="21"/>
        <v>0</v>
      </c>
      <c r="N244">
        <f t="shared" si="19"/>
        <v>0</v>
      </c>
      <c r="P244" t="e">
        <f>INDEX(Items!B$2:B$1032,MATCH($O244,Items!$A$2:$A$1032,0))</f>
        <v>#N/A</v>
      </c>
      <c r="Q244" t="e">
        <f>INDEX(Items!C$2:C$1032,MATCH($O244,Items!$A$2:$A$1032,0))</f>
        <v>#N/A</v>
      </c>
      <c r="R244" t="e">
        <f>INDEX(Items!D$2:D$1032,MATCH($O244,Items!$A$2:$A$1032,0))</f>
        <v>#N/A</v>
      </c>
    </row>
    <row r="245" spans="1:18" x14ac:dyDescent="0.25">
      <c r="A245">
        <f t="shared" si="17"/>
        <v>1</v>
      </c>
      <c r="B245" t="str">
        <f t="shared" si="18"/>
        <v/>
      </c>
      <c r="C245">
        <f t="shared" si="20"/>
        <v>1</v>
      </c>
      <c r="D245" s="4"/>
      <c r="E245" t="s">
        <v>18</v>
      </c>
      <c r="F245" t="str">
        <f>INDEX(Establishment!B$2:B$1005,MATCH($E245,Establishment!$A$2:$A$1005,0))</f>
        <v xml:space="preserve"> </v>
      </c>
      <c r="G245" t="str">
        <f>INDEX(Establishment!C$2:C$1005,MATCH($E245,Establishment!$A$2:$A$1005,0))</f>
        <v xml:space="preserve"> </v>
      </c>
      <c r="M245">
        <f t="shared" si="21"/>
        <v>0</v>
      </c>
      <c r="N245">
        <f t="shared" si="19"/>
        <v>0</v>
      </c>
      <c r="P245" t="e">
        <f>INDEX(Items!B$2:B$1032,MATCH($O245,Items!$A$2:$A$1032,0))</f>
        <v>#N/A</v>
      </c>
      <c r="Q245" t="e">
        <f>INDEX(Items!C$2:C$1032,MATCH($O245,Items!$A$2:$A$1032,0))</f>
        <v>#N/A</v>
      </c>
      <c r="R245" t="e">
        <f>INDEX(Items!D$2:D$1032,MATCH($O245,Items!$A$2:$A$1032,0))</f>
        <v>#N/A</v>
      </c>
    </row>
    <row r="246" spans="1:18" x14ac:dyDescent="0.25">
      <c r="A246">
        <f t="shared" si="17"/>
        <v>1</v>
      </c>
      <c r="B246" t="str">
        <f t="shared" si="18"/>
        <v/>
      </c>
      <c r="C246">
        <f t="shared" si="20"/>
        <v>1</v>
      </c>
      <c r="D246" s="4"/>
      <c r="E246" t="s">
        <v>18</v>
      </c>
      <c r="F246" t="str">
        <f>INDEX(Establishment!B$2:B$1005,MATCH($E246,Establishment!$A$2:$A$1005,0))</f>
        <v xml:space="preserve"> </v>
      </c>
      <c r="G246" t="str">
        <f>INDEX(Establishment!C$2:C$1005,MATCH($E246,Establishment!$A$2:$A$1005,0))</f>
        <v xml:space="preserve"> </v>
      </c>
      <c r="M246">
        <f t="shared" si="21"/>
        <v>0</v>
      </c>
      <c r="N246">
        <f t="shared" si="19"/>
        <v>0</v>
      </c>
      <c r="P246" t="e">
        <f>INDEX(Items!B$2:B$1032,MATCH($O246,Items!$A$2:$A$1032,0))</f>
        <v>#N/A</v>
      </c>
      <c r="Q246" t="e">
        <f>INDEX(Items!C$2:C$1032,MATCH($O246,Items!$A$2:$A$1032,0))</f>
        <v>#N/A</v>
      </c>
      <c r="R246" t="e">
        <f>INDEX(Items!D$2:D$1032,MATCH($O246,Items!$A$2:$A$1032,0))</f>
        <v>#N/A</v>
      </c>
    </row>
    <row r="247" spans="1:18" x14ac:dyDescent="0.25">
      <c r="A247">
        <f t="shared" si="17"/>
        <v>1</v>
      </c>
      <c r="B247" t="str">
        <f t="shared" si="18"/>
        <v/>
      </c>
      <c r="C247">
        <f t="shared" si="20"/>
        <v>1</v>
      </c>
      <c r="D247" s="4"/>
      <c r="E247" t="s">
        <v>18</v>
      </c>
      <c r="F247" t="str">
        <f>INDEX(Establishment!B$2:B$1005,MATCH($E247,Establishment!$A$2:$A$1005,0))</f>
        <v xml:space="preserve"> </v>
      </c>
      <c r="G247" t="str">
        <f>INDEX(Establishment!C$2:C$1005,MATCH($E247,Establishment!$A$2:$A$1005,0))</f>
        <v xml:space="preserve"> </v>
      </c>
      <c r="M247">
        <f t="shared" si="21"/>
        <v>0</v>
      </c>
      <c r="N247">
        <f t="shared" si="19"/>
        <v>0</v>
      </c>
      <c r="P247" t="e">
        <f>INDEX(Items!B$2:B$1032,MATCH($O247,Items!$A$2:$A$1032,0))</f>
        <v>#N/A</v>
      </c>
      <c r="Q247" t="e">
        <f>INDEX(Items!C$2:C$1032,MATCH($O247,Items!$A$2:$A$1032,0))</f>
        <v>#N/A</v>
      </c>
      <c r="R247" t="e">
        <f>INDEX(Items!D$2:D$1032,MATCH($O247,Items!$A$2:$A$1032,0))</f>
        <v>#N/A</v>
      </c>
    </row>
    <row r="248" spans="1:18" x14ac:dyDescent="0.25">
      <c r="A248">
        <f t="shared" si="17"/>
        <v>1</v>
      </c>
      <c r="B248" t="str">
        <f t="shared" si="18"/>
        <v/>
      </c>
      <c r="C248">
        <f t="shared" si="20"/>
        <v>1</v>
      </c>
      <c r="D248" s="4"/>
      <c r="E248" t="s">
        <v>18</v>
      </c>
      <c r="F248" t="str">
        <f>INDEX(Establishment!B$2:B$1005,MATCH($E248,Establishment!$A$2:$A$1005,0))</f>
        <v xml:space="preserve"> </v>
      </c>
      <c r="G248" t="str">
        <f>INDEX(Establishment!C$2:C$1005,MATCH($E248,Establishment!$A$2:$A$1005,0))</f>
        <v xml:space="preserve"> </v>
      </c>
      <c r="M248">
        <f t="shared" si="21"/>
        <v>0</v>
      </c>
      <c r="N248">
        <f t="shared" si="19"/>
        <v>0</v>
      </c>
      <c r="P248" t="e">
        <f>INDEX(Items!B$2:B$1032,MATCH($O248,Items!$A$2:$A$1032,0))</f>
        <v>#N/A</v>
      </c>
      <c r="Q248" t="e">
        <f>INDEX(Items!C$2:C$1032,MATCH($O248,Items!$A$2:$A$1032,0))</f>
        <v>#N/A</v>
      </c>
      <c r="R248" t="e">
        <f>INDEX(Items!D$2:D$1032,MATCH($O248,Items!$A$2:$A$1032,0))</f>
        <v>#N/A</v>
      </c>
    </row>
    <row r="249" spans="1:18" x14ac:dyDescent="0.25">
      <c r="A249">
        <f t="shared" si="17"/>
        <v>1</v>
      </c>
      <c r="B249" t="str">
        <f t="shared" si="18"/>
        <v/>
      </c>
      <c r="C249">
        <f t="shared" si="20"/>
        <v>1</v>
      </c>
      <c r="D249" s="4"/>
      <c r="E249" t="s">
        <v>18</v>
      </c>
      <c r="F249" t="str">
        <f>INDEX(Establishment!B$2:B$1005,MATCH($E249,Establishment!$A$2:$A$1005,0))</f>
        <v xml:space="preserve"> </v>
      </c>
      <c r="G249" t="str">
        <f>INDEX(Establishment!C$2:C$1005,MATCH($E249,Establishment!$A$2:$A$1005,0))</f>
        <v xml:space="preserve"> </v>
      </c>
      <c r="M249">
        <f t="shared" si="21"/>
        <v>0</v>
      </c>
      <c r="N249">
        <f t="shared" si="19"/>
        <v>0</v>
      </c>
      <c r="P249" t="e">
        <f>INDEX(Items!B$2:B$1032,MATCH($O249,Items!$A$2:$A$1032,0))</f>
        <v>#N/A</v>
      </c>
      <c r="Q249" t="e">
        <f>INDEX(Items!C$2:C$1032,MATCH($O249,Items!$A$2:$A$1032,0))</f>
        <v>#N/A</v>
      </c>
      <c r="R249" t="e">
        <f>INDEX(Items!D$2:D$1032,MATCH($O249,Items!$A$2:$A$1032,0))</f>
        <v>#N/A</v>
      </c>
    </row>
    <row r="250" spans="1:18" x14ac:dyDescent="0.25">
      <c r="A250">
        <f t="shared" si="17"/>
        <v>1</v>
      </c>
      <c r="B250" t="str">
        <f t="shared" si="18"/>
        <v/>
      </c>
      <c r="C250">
        <f t="shared" si="20"/>
        <v>1</v>
      </c>
      <c r="D250" s="4"/>
      <c r="E250" t="s">
        <v>18</v>
      </c>
      <c r="F250" t="str">
        <f>INDEX(Establishment!B$2:B$1005,MATCH($E250,Establishment!$A$2:$A$1005,0))</f>
        <v xml:space="preserve"> </v>
      </c>
      <c r="G250" t="str">
        <f>INDEX(Establishment!C$2:C$1005,MATCH($E250,Establishment!$A$2:$A$1005,0))</f>
        <v xml:space="preserve"> </v>
      </c>
      <c r="M250">
        <f t="shared" si="21"/>
        <v>0</v>
      </c>
      <c r="N250">
        <f t="shared" si="19"/>
        <v>0</v>
      </c>
      <c r="P250" t="e">
        <f>INDEX(Items!B$2:B$1032,MATCH($O250,Items!$A$2:$A$1032,0))</f>
        <v>#N/A</v>
      </c>
      <c r="Q250" t="e">
        <f>INDEX(Items!C$2:C$1032,MATCH($O250,Items!$A$2:$A$1032,0))</f>
        <v>#N/A</v>
      </c>
      <c r="R250" t="e">
        <f>INDEX(Items!D$2:D$1032,MATCH($O250,Items!$A$2:$A$1032,0))</f>
        <v>#N/A</v>
      </c>
    </row>
    <row r="251" spans="1:18" x14ac:dyDescent="0.25">
      <c r="A251">
        <f t="shared" si="17"/>
        <v>1</v>
      </c>
      <c r="B251" t="str">
        <f t="shared" si="18"/>
        <v/>
      </c>
      <c r="C251">
        <f t="shared" si="20"/>
        <v>1</v>
      </c>
      <c r="D251" s="4"/>
      <c r="E251" t="s">
        <v>18</v>
      </c>
      <c r="F251" t="str">
        <f>INDEX(Establishment!B$2:B$1005,MATCH($E251,Establishment!$A$2:$A$1005,0))</f>
        <v xml:space="preserve"> </v>
      </c>
      <c r="G251" t="str">
        <f>INDEX(Establishment!C$2:C$1005,MATCH($E251,Establishment!$A$2:$A$1005,0))</f>
        <v xml:space="preserve"> </v>
      </c>
      <c r="M251">
        <f t="shared" si="21"/>
        <v>0</v>
      </c>
      <c r="N251">
        <f t="shared" si="19"/>
        <v>0</v>
      </c>
      <c r="P251" t="e">
        <f>INDEX(Items!B$2:B$1032,MATCH($O251,Items!$A$2:$A$1032,0))</f>
        <v>#N/A</v>
      </c>
      <c r="Q251" t="e">
        <f>INDEX(Items!C$2:C$1032,MATCH($O251,Items!$A$2:$A$1032,0))</f>
        <v>#N/A</v>
      </c>
      <c r="R251" t="e">
        <f>INDEX(Items!D$2:D$1032,MATCH($O251,Items!$A$2:$A$1032,0))</f>
        <v>#N/A</v>
      </c>
    </row>
    <row r="252" spans="1:18" x14ac:dyDescent="0.25">
      <c r="A252">
        <f t="shared" si="17"/>
        <v>1</v>
      </c>
      <c r="B252" t="str">
        <f t="shared" si="18"/>
        <v/>
      </c>
      <c r="C252">
        <f t="shared" si="20"/>
        <v>1</v>
      </c>
      <c r="D252" s="4"/>
      <c r="E252" t="s">
        <v>18</v>
      </c>
      <c r="F252" t="str">
        <f>INDEX(Establishment!B$2:B$1005,MATCH($E252,Establishment!$A$2:$A$1005,0))</f>
        <v xml:space="preserve"> </v>
      </c>
      <c r="G252" t="str">
        <f>INDEX(Establishment!C$2:C$1005,MATCH($E252,Establishment!$A$2:$A$1005,0))</f>
        <v xml:space="preserve"> </v>
      </c>
      <c r="M252">
        <f t="shared" si="21"/>
        <v>0</v>
      </c>
      <c r="N252">
        <f t="shared" si="19"/>
        <v>0</v>
      </c>
      <c r="P252" t="e">
        <f>INDEX(Items!B$2:B$1032,MATCH($O252,Items!$A$2:$A$1032,0))</f>
        <v>#N/A</v>
      </c>
      <c r="Q252" t="e">
        <f>INDEX(Items!C$2:C$1032,MATCH($O252,Items!$A$2:$A$1032,0))</f>
        <v>#N/A</v>
      </c>
      <c r="R252" t="e">
        <f>INDEX(Items!D$2:D$1032,MATCH($O252,Items!$A$2:$A$1032,0))</f>
        <v>#N/A</v>
      </c>
    </row>
    <row r="253" spans="1:18" x14ac:dyDescent="0.25">
      <c r="A253">
        <f t="shared" si="17"/>
        <v>1</v>
      </c>
      <c r="B253" t="str">
        <f t="shared" si="18"/>
        <v/>
      </c>
      <c r="C253">
        <f t="shared" si="20"/>
        <v>1</v>
      </c>
      <c r="D253" s="4"/>
      <c r="E253" t="s">
        <v>18</v>
      </c>
      <c r="F253" t="str">
        <f>INDEX(Establishment!B$2:B$1005,MATCH($E253,Establishment!$A$2:$A$1005,0))</f>
        <v xml:space="preserve"> </v>
      </c>
      <c r="G253" t="str">
        <f>INDEX(Establishment!C$2:C$1005,MATCH($E253,Establishment!$A$2:$A$1005,0))</f>
        <v xml:space="preserve"> </v>
      </c>
      <c r="M253">
        <f t="shared" si="21"/>
        <v>0</v>
      </c>
      <c r="N253">
        <f t="shared" si="19"/>
        <v>0</v>
      </c>
      <c r="P253" t="e">
        <f>INDEX(Items!B$2:B$1032,MATCH($O253,Items!$A$2:$A$1032,0))</f>
        <v>#N/A</v>
      </c>
      <c r="Q253" t="e">
        <f>INDEX(Items!C$2:C$1032,MATCH($O253,Items!$A$2:$A$1032,0))</f>
        <v>#N/A</v>
      </c>
      <c r="R253" t="e">
        <f>INDEX(Items!D$2:D$1032,MATCH($O253,Items!$A$2:$A$1032,0))</f>
        <v>#N/A</v>
      </c>
    </row>
    <row r="254" spans="1:18" x14ac:dyDescent="0.25">
      <c r="A254">
        <f t="shared" si="17"/>
        <v>1</v>
      </c>
      <c r="B254" t="str">
        <f t="shared" si="18"/>
        <v/>
      </c>
      <c r="C254">
        <f t="shared" si="20"/>
        <v>1</v>
      </c>
      <c r="D254" s="4"/>
      <c r="E254" t="s">
        <v>18</v>
      </c>
      <c r="F254" t="str">
        <f>INDEX(Establishment!B$2:B$1005,MATCH($E254,Establishment!$A$2:$A$1005,0))</f>
        <v xml:space="preserve"> </v>
      </c>
      <c r="G254" t="str">
        <f>INDEX(Establishment!C$2:C$1005,MATCH($E254,Establishment!$A$2:$A$1005,0))</f>
        <v xml:space="preserve"> </v>
      </c>
      <c r="M254">
        <f t="shared" si="21"/>
        <v>0</v>
      </c>
      <c r="N254">
        <f t="shared" si="19"/>
        <v>0</v>
      </c>
      <c r="P254" t="e">
        <f>INDEX(Items!B$2:B$1032,MATCH($O254,Items!$A$2:$A$1032,0))</f>
        <v>#N/A</v>
      </c>
      <c r="Q254" t="e">
        <f>INDEX(Items!C$2:C$1032,MATCH($O254,Items!$A$2:$A$1032,0))</f>
        <v>#N/A</v>
      </c>
      <c r="R254" t="e">
        <f>INDEX(Items!D$2:D$1032,MATCH($O254,Items!$A$2:$A$1032,0))</f>
        <v>#N/A</v>
      </c>
    </row>
    <row r="255" spans="1:18" x14ac:dyDescent="0.25">
      <c r="A255">
        <f t="shared" si="17"/>
        <v>1</v>
      </c>
      <c r="B255" t="str">
        <f t="shared" si="18"/>
        <v/>
      </c>
      <c r="C255">
        <f t="shared" si="20"/>
        <v>1</v>
      </c>
      <c r="D255" s="4"/>
      <c r="E255" t="s">
        <v>18</v>
      </c>
      <c r="F255" t="str">
        <f>INDEX(Establishment!B$2:B$1005,MATCH($E255,Establishment!$A$2:$A$1005,0))</f>
        <v xml:space="preserve"> </v>
      </c>
      <c r="G255" t="str">
        <f>INDEX(Establishment!C$2:C$1005,MATCH($E255,Establishment!$A$2:$A$1005,0))</f>
        <v xml:space="preserve"> </v>
      </c>
      <c r="M255">
        <f t="shared" si="21"/>
        <v>0</v>
      </c>
      <c r="N255">
        <f t="shared" si="19"/>
        <v>0</v>
      </c>
      <c r="P255" t="e">
        <f>INDEX(Items!B$2:B$1032,MATCH($O255,Items!$A$2:$A$1032,0))</f>
        <v>#N/A</v>
      </c>
      <c r="Q255" t="e">
        <f>INDEX(Items!C$2:C$1032,MATCH($O255,Items!$A$2:$A$1032,0))</f>
        <v>#N/A</v>
      </c>
      <c r="R255" t="e">
        <f>INDEX(Items!D$2:D$1032,MATCH($O255,Items!$A$2:$A$1032,0))</f>
        <v>#N/A</v>
      </c>
    </row>
    <row r="256" spans="1:18" x14ac:dyDescent="0.25">
      <c r="A256">
        <f t="shared" si="17"/>
        <v>1</v>
      </c>
      <c r="B256" t="str">
        <f t="shared" si="18"/>
        <v/>
      </c>
      <c r="C256">
        <f t="shared" si="20"/>
        <v>1</v>
      </c>
      <c r="D256" s="4"/>
      <c r="E256" t="s">
        <v>18</v>
      </c>
      <c r="F256" t="str">
        <f>INDEX(Establishment!B$2:B$1005,MATCH($E256,Establishment!$A$2:$A$1005,0))</f>
        <v xml:space="preserve"> </v>
      </c>
      <c r="G256" t="str">
        <f>INDEX(Establishment!C$2:C$1005,MATCH($E256,Establishment!$A$2:$A$1005,0))</f>
        <v xml:space="preserve"> </v>
      </c>
      <c r="M256">
        <f t="shared" si="21"/>
        <v>0</v>
      </c>
      <c r="N256">
        <f t="shared" si="19"/>
        <v>0</v>
      </c>
      <c r="P256" t="e">
        <f>INDEX(Items!B$2:B$1032,MATCH($O256,Items!$A$2:$A$1032,0))</f>
        <v>#N/A</v>
      </c>
      <c r="Q256" t="e">
        <f>INDEX(Items!C$2:C$1032,MATCH($O256,Items!$A$2:$A$1032,0))</f>
        <v>#N/A</v>
      </c>
      <c r="R256" t="e">
        <f>INDEX(Items!D$2:D$1032,MATCH($O256,Items!$A$2:$A$1032,0))</f>
        <v>#N/A</v>
      </c>
    </row>
    <row r="257" spans="1:18" x14ac:dyDescent="0.25">
      <c r="A257">
        <f t="shared" si="17"/>
        <v>1</v>
      </c>
      <c r="B257" t="str">
        <f t="shared" si="18"/>
        <v/>
      </c>
      <c r="C257">
        <f t="shared" si="20"/>
        <v>1</v>
      </c>
      <c r="D257" s="4"/>
      <c r="E257" t="s">
        <v>18</v>
      </c>
      <c r="F257" t="str">
        <f>INDEX(Establishment!B$2:B$1005,MATCH($E257,Establishment!$A$2:$A$1005,0))</f>
        <v xml:space="preserve"> </v>
      </c>
      <c r="G257" t="str">
        <f>INDEX(Establishment!C$2:C$1005,MATCH($E257,Establishment!$A$2:$A$1005,0))</f>
        <v xml:space="preserve"> </v>
      </c>
      <c r="M257">
        <f t="shared" si="21"/>
        <v>0</v>
      </c>
      <c r="N257">
        <f t="shared" si="19"/>
        <v>0</v>
      </c>
      <c r="P257" t="e">
        <f>INDEX(Items!B$2:B$1032,MATCH($O257,Items!$A$2:$A$1032,0))</f>
        <v>#N/A</v>
      </c>
      <c r="Q257" t="e">
        <f>INDEX(Items!C$2:C$1032,MATCH($O257,Items!$A$2:$A$1032,0))</f>
        <v>#N/A</v>
      </c>
      <c r="R257" t="e">
        <f>INDEX(Items!D$2:D$1032,MATCH($O257,Items!$A$2:$A$1032,0))</f>
        <v>#N/A</v>
      </c>
    </row>
    <row r="258" spans="1:18" x14ac:dyDescent="0.25">
      <c r="A258">
        <f t="shared" ref="A258:A321" si="22">IF(OR(D258&lt;&gt;D257,D258=""),1,IF(NOT(AND(E258=E257,F258=F257,G258=G257)),A257+1,IF(OR(H258="",AND(H258&lt;&gt;"",H258&lt;&gt;H257,H257&lt;&gt;"")),A257,A257+1)))</f>
        <v>1</v>
      </c>
      <c r="B258" t="str">
        <f t="shared" ref="B258:B321" si="23">IF(D258&lt;&gt;"",TEXT(D258,"YYYYMMDD")&amp;CHAR(64+A258),"")</f>
        <v/>
      </c>
      <c r="C258">
        <f t="shared" si="20"/>
        <v>1</v>
      </c>
      <c r="D258" s="4"/>
      <c r="E258" t="s">
        <v>18</v>
      </c>
      <c r="F258" t="str">
        <f>INDEX(Establishment!B$2:B$1005,MATCH($E258,Establishment!$A$2:$A$1005,0))</f>
        <v xml:space="preserve"> </v>
      </c>
      <c r="G258" t="str">
        <f>INDEX(Establishment!C$2:C$1005,MATCH($E258,Establishment!$A$2:$A$1005,0))</f>
        <v xml:space="preserve"> </v>
      </c>
      <c r="M258">
        <f t="shared" si="21"/>
        <v>0</v>
      </c>
      <c r="N258">
        <f t="shared" si="19"/>
        <v>0</v>
      </c>
      <c r="P258" t="e">
        <f>INDEX(Items!B$2:B$1032,MATCH($O258,Items!$A$2:$A$1032,0))</f>
        <v>#N/A</v>
      </c>
      <c r="Q258" t="e">
        <f>INDEX(Items!C$2:C$1032,MATCH($O258,Items!$A$2:$A$1032,0))</f>
        <v>#N/A</v>
      </c>
      <c r="R258" t="e">
        <f>INDEX(Items!D$2:D$1032,MATCH($O258,Items!$A$2:$A$1032,0))</f>
        <v>#N/A</v>
      </c>
    </row>
    <row r="259" spans="1:18" x14ac:dyDescent="0.25">
      <c r="A259">
        <f t="shared" si="22"/>
        <v>1</v>
      </c>
      <c r="B259" t="str">
        <f t="shared" si="23"/>
        <v/>
      </c>
      <c r="C259">
        <f t="shared" si="20"/>
        <v>1</v>
      </c>
      <c r="D259" s="4"/>
      <c r="E259" t="s">
        <v>18</v>
      </c>
      <c r="F259" t="str">
        <f>INDEX(Establishment!B$2:B$1005,MATCH($E259,Establishment!$A$2:$A$1005,0))</f>
        <v xml:space="preserve"> </v>
      </c>
      <c r="G259" t="str">
        <f>INDEX(Establishment!C$2:C$1005,MATCH($E259,Establishment!$A$2:$A$1005,0))</f>
        <v xml:space="preserve"> </v>
      </c>
      <c r="M259">
        <f t="shared" si="21"/>
        <v>0</v>
      </c>
      <c r="N259">
        <f t="shared" ref="N259:N322" si="24">IF(B259=B258,N258+M259,M259)</f>
        <v>0</v>
      </c>
      <c r="P259" t="e">
        <f>INDEX(Items!B$2:B$1032,MATCH($O259,Items!$A$2:$A$1032,0))</f>
        <v>#N/A</v>
      </c>
      <c r="Q259" t="e">
        <f>INDEX(Items!C$2:C$1032,MATCH($O259,Items!$A$2:$A$1032,0))</f>
        <v>#N/A</v>
      </c>
      <c r="R259" t="e">
        <f>INDEX(Items!D$2:D$1032,MATCH($O259,Items!$A$2:$A$1032,0))</f>
        <v>#N/A</v>
      </c>
    </row>
    <row r="260" spans="1:18" x14ac:dyDescent="0.25">
      <c r="A260">
        <f t="shared" si="22"/>
        <v>1</v>
      </c>
      <c r="B260" t="str">
        <f t="shared" si="23"/>
        <v/>
      </c>
      <c r="C260">
        <f t="shared" si="20"/>
        <v>1</v>
      </c>
      <c r="D260" s="4"/>
      <c r="E260" t="s">
        <v>18</v>
      </c>
      <c r="F260" t="str">
        <f>INDEX(Establishment!B$2:B$1005,MATCH($E260,Establishment!$A$2:$A$1005,0))</f>
        <v xml:space="preserve"> </v>
      </c>
      <c r="G260" t="str">
        <f>INDEX(Establishment!C$2:C$1005,MATCH($E260,Establishment!$A$2:$A$1005,0))</f>
        <v xml:space="preserve"> </v>
      </c>
      <c r="M260">
        <f t="shared" si="21"/>
        <v>0</v>
      </c>
      <c r="N260">
        <f t="shared" si="24"/>
        <v>0</v>
      </c>
      <c r="P260" t="e">
        <f>INDEX(Items!B$2:B$1032,MATCH($O260,Items!$A$2:$A$1032,0))</f>
        <v>#N/A</v>
      </c>
      <c r="Q260" t="e">
        <f>INDEX(Items!C$2:C$1032,MATCH($O260,Items!$A$2:$A$1032,0))</f>
        <v>#N/A</v>
      </c>
      <c r="R260" t="e">
        <f>INDEX(Items!D$2:D$1032,MATCH($O260,Items!$A$2:$A$1032,0))</f>
        <v>#N/A</v>
      </c>
    </row>
    <row r="261" spans="1:18" x14ac:dyDescent="0.25">
      <c r="A261">
        <f t="shared" si="22"/>
        <v>1</v>
      </c>
      <c r="B261" t="str">
        <f t="shared" si="23"/>
        <v/>
      </c>
      <c r="C261">
        <f t="shared" si="20"/>
        <v>1</v>
      </c>
      <c r="D261" s="4"/>
      <c r="E261" t="s">
        <v>18</v>
      </c>
      <c r="F261" t="str">
        <f>INDEX(Establishment!B$2:B$1005,MATCH($E261,Establishment!$A$2:$A$1005,0))</f>
        <v xml:space="preserve"> </v>
      </c>
      <c r="G261" t="str">
        <f>INDEX(Establishment!C$2:C$1005,MATCH($E261,Establishment!$A$2:$A$1005,0))</f>
        <v xml:space="preserve"> </v>
      </c>
      <c r="M261">
        <f t="shared" si="21"/>
        <v>0</v>
      </c>
      <c r="N261">
        <f t="shared" si="24"/>
        <v>0</v>
      </c>
      <c r="P261" t="e">
        <f>INDEX(Items!B$2:B$1032,MATCH($O261,Items!$A$2:$A$1032,0))</f>
        <v>#N/A</v>
      </c>
      <c r="Q261" t="e">
        <f>INDEX(Items!C$2:C$1032,MATCH($O261,Items!$A$2:$A$1032,0))</f>
        <v>#N/A</v>
      </c>
      <c r="R261" t="e">
        <f>INDEX(Items!D$2:D$1032,MATCH($O261,Items!$A$2:$A$1032,0))</f>
        <v>#N/A</v>
      </c>
    </row>
    <row r="262" spans="1:18" x14ac:dyDescent="0.25">
      <c r="A262">
        <f t="shared" si="22"/>
        <v>1</v>
      </c>
      <c r="B262" t="str">
        <f t="shared" si="23"/>
        <v/>
      </c>
      <c r="C262">
        <f t="shared" si="20"/>
        <v>1</v>
      </c>
      <c r="D262" s="4"/>
      <c r="E262" t="s">
        <v>18</v>
      </c>
      <c r="F262" t="str">
        <f>INDEX(Establishment!B$2:B$1005,MATCH($E262,Establishment!$A$2:$A$1005,0))</f>
        <v xml:space="preserve"> </v>
      </c>
      <c r="G262" t="str">
        <f>INDEX(Establishment!C$2:C$1005,MATCH($E262,Establishment!$A$2:$A$1005,0))</f>
        <v xml:space="preserve"> </v>
      </c>
      <c r="M262">
        <f t="shared" si="21"/>
        <v>0</v>
      </c>
      <c r="N262">
        <f t="shared" si="24"/>
        <v>0</v>
      </c>
      <c r="P262" t="e">
        <f>INDEX(Items!B$2:B$1032,MATCH($O262,Items!$A$2:$A$1032,0))</f>
        <v>#N/A</v>
      </c>
      <c r="Q262" t="e">
        <f>INDEX(Items!C$2:C$1032,MATCH($O262,Items!$A$2:$A$1032,0))</f>
        <v>#N/A</v>
      </c>
      <c r="R262" t="e">
        <f>INDEX(Items!D$2:D$1032,MATCH($O262,Items!$A$2:$A$1032,0))</f>
        <v>#N/A</v>
      </c>
    </row>
    <row r="263" spans="1:18" x14ac:dyDescent="0.25">
      <c r="A263">
        <f t="shared" si="22"/>
        <v>1</v>
      </c>
      <c r="B263" t="str">
        <f t="shared" si="23"/>
        <v/>
      </c>
      <c r="C263">
        <f t="shared" si="20"/>
        <v>1</v>
      </c>
      <c r="D263" s="4"/>
      <c r="E263" t="s">
        <v>18</v>
      </c>
      <c r="F263" t="str">
        <f>INDEX(Establishment!B$2:B$1005,MATCH($E263,Establishment!$A$2:$A$1005,0))</f>
        <v xml:space="preserve"> </v>
      </c>
      <c r="G263" t="str">
        <f>INDEX(Establishment!C$2:C$1005,MATCH($E263,Establishment!$A$2:$A$1005,0))</f>
        <v xml:space="preserve"> </v>
      </c>
      <c r="M263">
        <f t="shared" si="21"/>
        <v>0</v>
      </c>
      <c r="N263">
        <f t="shared" si="24"/>
        <v>0</v>
      </c>
      <c r="P263" t="e">
        <f>INDEX(Items!B$2:B$1032,MATCH($O263,Items!$A$2:$A$1032,0))</f>
        <v>#N/A</v>
      </c>
      <c r="Q263" t="e">
        <f>INDEX(Items!C$2:C$1032,MATCH($O263,Items!$A$2:$A$1032,0))</f>
        <v>#N/A</v>
      </c>
      <c r="R263" t="e">
        <f>INDEX(Items!D$2:D$1032,MATCH($O263,Items!$A$2:$A$1032,0))</f>
        <v>#N/A</v>
      </c>
    </row>
    <row r="264" spans="1:18" x14ac:dyDescent="0.25">
      <c r="A264">
        <f t="shared" si="22"/>
        <v>1</v>
      </c>
      <c r="B264" t="str">
        <f t="shared" si="23"/>
        <v/>
      </c>
      <c r="C264">
        <f t="shared" si="20"/>
        <v>1</v>
      </c>
      <c r="D264" s="4"/>
      <c r="E264" t="s">
        <v>18</v>
      </c>
      <c r="F264" t="str">
        <f>INDEX(Establishment!B$2:B$1005,MATCH($E264,Establishment!$A$2:$A$1005,0))</f>
        <v xml:space="preserve"> </v>
      </c>
      <c r="G264" t="str">
        <f>INDEX(Establishment!C$2:C$1005,MATCH($E264,Establishment!$A$2:$A$1005,0))</f>
        <v xml:space="preserve"> </v>
      </c>
      <c r="M264">
        <f t="shared" si="21"/>
        <v>0</v>
      </c>
      <c r="N264">
        <f t="shared" si="24"/>
        <v>0</v>
      </c>
      <c r="P264" t="e">
        <f>INDEX(Items!B$2:B$1032,MATCH($O264,Items!$A$2:$A$1032,0))</f>
        <v>#N/A</v>
      </c>
      <c r="Q264" t="e">
        <f>INDEX(Items!C$2:C$1032,MATCH($O264,Items!$A$2:$A$1032,0))</f>
        <v>#N/A</v>
      </c>
      <c r="R264" t="e">
        <f>INDEX(Items!D$2:D$1032,MATCH($O264,Items!$A$2:$A$1032,0))</f>
        <v>#N/A</v>
      </c>
    </row>
    <row r="265" spans="1:18" x14ac:dyDescent="0.25">
      <c r="A265">
        <f t="shared" si="22"/>
        <v>1</v>
      </c>
      <c r="B265" t="str">
        <f t="shared" si="23"/>
        <v/>
      </c>
      <c r="C265">
        <f t="shared" si="20"/>
        <v>1</v>
      </c>
      <c r="D265" s="4"/>
      <c r="E265" t="s">
        <v>18</v>
      </c>
      <c r="F265" t="str">
        <f>INDEX(Establishment!B$2:B$1005,MATCH($E265,Establishment!$A$2:$A$1005,0))</f>
        <v xml:space="preserve"> </v>
      </c>
      <c r="G265" t="str">
        <f>INDEX(Establishment!C$2:C$1005,MATCH($E265,Establishment!$A$2:$A$1005,0))</f>
        <v xml:space="preserve"> </v>
      </c>
      <c r="M265">
        <f t="shared" si="21"/>
        <v>0</v>
      </c>
      <c r="N265">
        <f t="shared" si="24"/>
        <v>0</v>
      </c>
      <c r="P265" t="e">
        <f>INDEX(Items!B$2:B$1032,MATCH($O265,Items!$A$2:$A$1032,0))</f>
        <v>#N/A</v>
      </c>
      <c r="Q265" t="e">
        <f>INDEX(Items!C$2:C$1032,MATCH($O265,Items!$A$2:$A$1032,0))</f>
        <v>#N/A</v>
      </c>
      <c r="R265" t="e">
        <f>INDEX(Items!D$2:D$1032,MATCH($O265,Items!$A$2:$A$1032,0))</f>
        <v>#N/A</v>
      </c>
    </row>
    <row r="266" spans="1:18" x14ac:dyDescent="0.25">
      <c r="A266">
        <f t="shared" si="22"/>
        <v>1</v>
      </c>
      <c r="B266" t="str">
        <f t="shared" si="23"/>
        <v/>
      </c>
      <c r="C266">
        <f t="shared" ref="C266:C329" si="25">IF(OR(B266="",B266&lt;&gt;B265),1,C265+1)</f>
        <v>1</v>
      </c>
      <c r="D266" s="4"/>
      <c r="E266" t="s">
        <v>18</v>
      </c>
      <c r="F266" t="str">
        <f>INDEX(Establishment!B$2:B$1005,MATCH($E266,Establishment!$A$2:$A$1005,0))</f>
        <v xml:space="preserve"> </v>
      </c>
      <c r="G266" t="str">
        <f>INDEX(Establishment!C$2:C$1005,MATCH($E266,Establishment!$A$2:$A$1005,0))</f>
        <v xml:space="preserve"> </v>
      </c>
      <c r="M266">
        <f t="shared" ref="M266:M329" si="26">K266*L266</f>
        <v>0</v>
      </c>
      <c r="N266">
        <f t="shared" si="24"/>
        <v>0</v>
      </c>
      <c r="P266" t="e">
        <f>INDEX(Items!B$2:B$1032,MATCH($O266,Items!$A$2:$A$1032,0))</f>
        <v>#N/A</v>
      </c>
      <c r="Q266" t="e">
        <f>INDEX(Items!C$2:C$1032,MATCH($O266,Items!$A$2:$A$1032,0))</f>
        <v>#N/A</v>
      </c>
      <c r="R266" t="e">
        <f>INDEX(Items!D$2:D$1032,MATCH($O266,Items!$A$2:$A$1032,0))</f>
        <v>#N/A</v>
      </c>
    </row>
    <row r="267" spans="1:18" x14ac:dyDescent="0.25">
      <c r="A267">
        <f t="shared" si="22"/>
        <v>1</v>
      </c>
      <c r="B267" t="str">
        <f t="shared" si="23"/>
        <v/>
      </c>
      <c r="C267">
        <f t="shared" si="25"/>
        <v>1</v>
      </c>
      <c r="D267" s="4"/>
      <c r="E267" t="s">
        <v>18</v>
      </c>
      <c r="F267" t="str">
        <f>INDEX(Establishment!B$2:B$1005,MATCH($E267,Establishment!$A$2:$A$1005,0))</f>
        <v xml:space="preserve"> </v>
      </c>
      <c r="G267" t="str">
        <f>INDEX(Establishment!C$2:C$1005,MATCH($E267,Establishment!$A$2:$A$1005,0))</f>
        <v xml:space="preserve"> </v>
      </c>
      <c r="M267">
        <f t="shared" si="26"/>
        <v>0</v>
      </c>
      <c r="N267">
        <f t="shared" si="24"/>
        <v>0</v>
      </c>
      <c r="P267" t="e">
        <f>INDEX(Items!B$2:B$1032,MATCH($O267,Items!$A$2:$A$1032,0))</f>
        <v>#N/A</v>
      </c>
      <c r="Q267" t="e">
        <f>INDEX(Items!C$2:C$1032,MATCH($O267,Items!$A$2:$A$1032,0))</f>
        <v>#N/A</v>
      </c>
      <c r="R267" t="e">
        <f>INDEX(Items!D$2:D$1032,MATCH($O267,Items!$A$2:$A$1032,0))</f>
        <v>#N/A</v>
      </c>
    </row>
    <row r="268" spans="1:18" x14ac:dyDescent="0.25">
      <c r="A268">
        <f t="shared" si="22"/>
        <v>1</v>
      </c>
      <c r="B268" t="str">
        <f t="shared" si="23"/>
        <v/>
      </c>
      <c r="C268">
        <f t="shared" si="25"/>
        <v>1</v>
      </c>
      <c r="D268" s="4"/>
      <c r="E268" t="s">
        <v>18</v>
      </c>
      <c r="F268" t="str">
        <f>INDEX(Establishment!B$2:B$1005,MATCH($E268,Establishment!$A$2:$A$1005,0))</f>
        <v xml:space="preserve"> </v>
      </c>
      <c r="G268" t="str">
        <f>INDEX(Establishment!C$2:C$1005,MATCH($E268,Establishment!$A$2:$A$1005,0))</f>
        <v xml:space="preserve"> </v>
      </c>
      <c r="M268">
        <f t="shared" si="26"/>
        <v>0</v>
      </c>
      <c r="N268">
        <f t="shared" si="24"/>
        <v>0</v>
      </c>
      <c r="P268" t="e">
        <f>INDEX(Items!B$2:B$1032,MATCH($O268,Items!$A$2:$A$1032,0))</f>
        <v>#N/A</v>
      </c>
      <c r="Q268" t="e">
        <f>INDEX(Items!C$2:C$1032,MATCH($O268,Items!$A$2:$A$1032,0))</f>
        <v>#N/A</v>
      </c>
      <c r="R268" t="e">
        <f>INDEX(Items!D$2:D$1032,MATCH($O268,Items!$A$2:$A$1032,0))</f>
        <v>#N/A</v>
      </c>
    </row>
    <row r="269" spans="1:18" x14ac:dyDescent="0.25">
      <c r="A269">
        <f t="shared" si="22"/>
        <v>1</v>
      </c>
      <c r="B269" t="str">
        <f t="shared" si="23"/>
        <v/>
      </c>
      <c r="C269">
        <f t="shared" si="25"/>
        <v>1</v>
      </c>
      <c r="D269" s="4"/>
      <c r="E269" t="s">
        <v>18</v>
      </c>
      <c r="F269" t="str">
        <f>INDEX(Establishment!B$2:B$1005,MATCH($E269,Establishment!$A$2:$A$1005,0))</f>
        <v xml:space="preserve"> </v>
      </c>
      <c r="G269" t="str">
        <f>INDEX(Establishment!C$2:C$1005,MATCH($E269,Establishment!$A$2:$A$1005,0))</f>
        <v xml:space="preserve"> </v>
      </c>
      <c r="M269">
        <f t="shared" si="26"/>
        <v>0</v>
      </c>
      <c r="N269">
        <f t="shared" si="24"/>
        <v>0</v>
      </c>
      <c r="P269" t="e">
        <f>INDEX(Items!B$2:B$1032,MATCH($O269,Items!$A$2:$A$1032,0))</f>
        <v>#N/A</v>
      </c>
      <c r="Q269" t="e">
        <f>INDEX(Items!C$2:C$1032,MATCH($O269,Items!$A$2:$A$1032,0))</f>
        <v>#N/A</v>
      </c>
      <c r="R269" t="e">
        <f>INDEX(Items!D$2:D$1032,MATCH($O269,Items!$A$2:$A$1032,0))</f>
        <v>#N/A</v>
      </c>
    </row>
    <row r="270" spans="1:18" x14ac:dyDescent="0.25">
      <c r="A270">
        <f t="shared" si="22"/>
        <v>1</v>
      </c>
      <c r="B270" t="str">
        <f t="shared" si="23"/>
        <v/>
      </c>
      <c r="C270">
        <f t="shared" si="25"/>
        <v>1</v>
      </c>
      <c r="D270" s="4"/>
      <c r="E270" t="s">
        <v>18</v>
      </c>
      <c r="F270" t="str">
        <f>INDEX(Establishment!B$2:B$1005,MATCH($E270,Establishment!$A$2:$A$1005,0))</f>
        <v xml:space="preserve"> </v>
      </c>
      <c r="G270" t="str">
        <f>INDEX(Establishment!C$2:C$1005,MATCH($E270,Establishment!$A$2:$A$1005,0))</f>
        <v xml:space="preserve"> </v>
      </c>
      <c r="M270">
        <f t="shared" si="26"/>
        <v>0</v>
      </c>
      <c r="N270">
        <f t="shared" si="24"/>
        <v>0</v>
      </c>
      <c r="P270" t="e">
        <f>INDEX(Items!B$2:B$1032,MATCH($O270,Items!$A$2:$A$1032,0))</f>
        <v>#N/A</v>
      </c>
      <c r="Q270" t="e">
        <f>INDEX(Items!C$2:C$1032,MATCH($O270,Items!$A$2:$A$1032,0))</f>
        <v>#N/A</v>
      </c>
      <c r="R270" t="e">
        <f>INDEX(Items!D$2:D$1032,MATCH($O270,Items!$A$2:$A$1032,0))</f>
        <v>#N/A</v>
      </c>
    </row>
    <row r="271" spans="1:18" x14ac:dyDescent="0.25">
      <c r="A271">
        <f t="shared" si="22"/>
        <v>1</v>
      </c>
      <c r="B271" t="str">
        <f t="shared" si="23"/>
        <v/>
      </c>
      <c r="C271">
        <f t="shared" si="25"/>
        <v>1</v>
      </c>
      <c r="D271" s="4"/>
      <c r="E271" t="s">
        <v>18</v>
      </c>
      <c r="F271" t="str">
        <f>INDEX(Establishment!B$2:B$1005,MATCH($E271,Establishment!$A$2:$A$1005,0))</f>
        <v xml:space="preserve"> </v>
      </c>
      <c r="G271" t="str">
        <f>INDEX(Establishment!C$2:C$1005,MATCH($E271,Establishment!$A$2:$A$1005,0))</f>
        <v xml:space="preserve"> </v>
      </c>
      <c r="M271">
        <f t="shared" si="26"/>
        <v>0</v>
      </c>
      <c r="N271">
        <f t="shared" si="24"/>
        <v>0</v>
      </c>
      <c r="P271" t="e">
        <f>INDEX(Items!B$2:B$1032,MATCH($O271,Items!$A$2:$A$1032,0))</f>
        <v>#N/A</v>
      </c>
      <c r="Q271" t="e">
        <f>INDEX(Items!C$2:C$1032,MATCH($O271,Items!$A$2:$A$1032,0))</f>
        <v>#N/A</v>
      </c>
      <c r="R271" t="e">
        <f>INDEX(Items!D$2:D$1032,MATCH($O271,Items!$A$2:$A$1032,0))</f>
        <v>#N/A</v>
      </c>
    </row>
    <row r="272" spans="1:18" x14ac:dyDescent="0.25">
      <c r="A272">
        <f t="shared" si="22"/>
        <v>1</v>
      </c>
      <c r="B272" t="str">
        <f t="shared" si="23"/>
        <v/>
      </c>
      <c r="C272">
        <f t="shared" si="25"/>
        <v>1</v>
      </c>
      <c r="D272" s="4"/>
      <c r="E272" t="s">
        <v>18</v>
      </c>
      <c r="F272" t="str">
        <f>INDEX(Establishment!B$2:B$1005,MATCH($E272,Establishment!$A$2:$A$1005,0))</f>
        <v xml:space="preserve"> </v>
      </c>
      <c r="G272" t="str">
        <f>INDEX(Establishment!C$2:C$1005,MATCH($E272,Establishment!$A$2:$A$1005,0))</f>
        <v xml:space="preserve"> </v>
      </c>
      <c r="M272">
        <f t="shared" si="26"/>
        <v>0</v>
      </c>
      <c r="N272">
        <f t="shared" si="24"/>
        <v>0</v>
      </c>
      <c r="P272" t="e">
        <f>INDEX(Items!B$2:B$1032,MATCH($O272,Items!$A$2:$A$1032,0))</f>
        <v>#N/A</v>
      </c>
      <c r="Q272" t="e">
        <f>INDEX(Items!C$2:C$1032,MATCH($O272,Items!$A$2:$A$1032,0))</f>
        <v>#N/A</v>
      </c>
      <c r="R272" t="e">
        <f>INDEX(Items!D$2:D$1032,MATCH($O272,Items!$A$2:$A$1032,0))</f>
        <v>#N/A</v>
      </c>
    </row>
    <row r="273" spans="1:18" x14ac:dyDescent="0.25">
      <c r="A273">
        <f t="shared" si="22"/>
        <v>1</v>
      </c>
      <c r="B273" t="str">
        <f t="shared" si="23"/>
        <v/>
      </c>
      <c r="C273">
        <f t="shared" si="25"/>
        <v>1</v>
      </c>
      <c r="D273" s="4"/>
      <c r="E273" t="s">
        <v>18</v>
      </c>
      <c r="F273" t="str">
        <f>INDEX(Establishment!B$2:B$1005,MATCH($E273,Establishment!$A$2:$A$1005,0))</f>
        <v xml:space="preserve"> </v>
      </c>
      <c r="G273" t="str">
        <f>INDEX(Establishment!C$2:C$1005,MATCH($E273,Establishment!$A$2:$A$1005,0))</f>
        <v xml:space="preserve"> </v>
      </c>
      <c r="M273">
        <f t="shared" si="26"/>
        <v>0</v>
      </c>
      <c r="N273">
        <f t="shared" si="24"/>
        <v>0</v>
      </c>
      <c r="P273" t="e">
        <f>INDEX(Items!B$2:B$1032,MATCH($O273,Items!$A$2:$A$1032,0))</f>
        <v>#N/A</v>
      </c>
      <c r="Q273" t="e">
        <f>INDEX(Items!C$2:C$1032,MATCH($O273,Items!$A$2:$A$1032,0))</f>
        <v>#N/A</v>
      </c>
      <c r="R273" t="e">
        <f>INDEX(Items!D$2:D$1032,MATCH($O273,Items!$A$2:$A$1032,0))</f>
        <v>#N/A</v>
      </c>
    </row>
    <row r="274" spans="1:18" x14ac:dyDescent="0.25">
      <c r="A274">
        <f t="shared" si="22"/>
        <v>1</v>
      </c>
      <c r="B274" t="str">
        <f t="shared" si="23"/>
        <v/>
      </c>
      <c r="C274">
        <f t="shared" si="25"/>
        <v>1</v>
      </c>
      <c r="D274" s="4"/>
      <c r="E274" t="s">
        <v>18</v>
      </c>
      <c r="F274" t="str">
        <f>INDEX(Establishment!B$2:B$1005,MATCH($E274,Establishment!$A$2:$A$1005,0))</f>
        <v xml:space="preserve"> </v>
      </c>
      <c r="G274" t="str">
        <f>INDEX(Establishment!C$2:C$1005,MATCH($E274,Establishment!$A$2:$A$1005,0))</f>
        <v xml:space="preserve"> </v>
      </c>
      <c r="M274">
        <f t="shared" si="26"/>
        <v>0</v>
      </c>
      <c r="N274">
        <f t="shared" si="24"/>
        <v>0</v>
      </c>
      <c r="P274" t="e">
        <f>INDEX(Items!B$2:B$1032,MATCH($O274,Items!$A$2:$A$1032,0))</f>
        <v>#N/A</v>
      </c>
      <c r="Q274" t="e">
        <f>INDEX(Items!C$2:C$1032,MATCH($O274,Items!$A$2:$A$1032,0))</f>
        <v>#N/A</v>
      </c>
      <c r="R274" t="e">
        <f>INDEX(Items!D$2:D$1032,MATCH($O274,Items!$A$2:$A$1032,0))</f>
        <v>#N/A</v>
      </c>
    </row>
    <row r="275" spans="1:18" x14ac:dyDescent="0.25">
      <c r="A275">
        <f t="shared" si="22"/>
        <v>1</v>
      </c>
      <c r="B275" t="str">
        <f t="shared" si="23"/>
        <v/>
      </c>
      <c r="C275">
        <f t="shared" si="25"/>
        <v>1</v>
      </c>
      <c r="D275" s="4"/>
      <c r="E275" t="s">
        <v>18</v>
      </c>
      <c r="F275" t="str">
        <f>INDEX(Establishment!B$2:B$1005,MATCH($E275,Establishment!$A$2:$A$1005,0))</f>
        <v xml:space="preserve"> </v>
      </c>
      <c r="G275" t="str">
        <f>INDEX(Establishment!C$2:C$1005,MATCH($E275,Establishment!$A$2:$A$1005,0))</f>
        <v xml:space="preserve"> </v>
      </c>
      <c r="M275">
        <f t="shared" si="26"/>
        <v>0</v>
      </c>
      <c r="N275">
        <f t="shared" si="24"/>
        <v>0</v>
      </c>
      <c r="P275" t="e">
        <f>INDEX(Items!B$2:B$1032,MATCH($O275,Items!$A$2:$A$1032,0))</f>
        <v>#N/A</v>
      </c>
      <c r="Q275" t="e">
        <f>INDEX(Items!C$2:C$1032,MATCH($O275,Items!$A$2:$A$1032,0))</f>
        <v>#N/A</v>
      </c>
      <c r="R275" t="e">
        <f>INDEX(Items!D$2:D$1032,MATCH($O275,Items!$A$2:$A$1032,0))</f>
        <v>#N/A</v>
      </c>
    </row>
    <row r="276" spans="1:18" x14ac:dyDescent="0.25">
      <c r="A276">
        <f t="shared" si="22"/>
        <v>1</v>
      </c>
      <c r="B276" t="str">
        <f t="shared" si="23"/>
        <v/>
      </c>
      <c r="C276">
        <f t="shared" si="25"/>
        <v>1</v>
      </c>
      <c r="D276" s="4"/>
      <c r="E276" t="s">
        <v>18</v>
      </c>
      <c r="F276" t="str">
        <f>INDEX(Establishment!B$2:B$1005,MATCH($E276,Establishment!$A$2:$A$1005,0))</f>
        <v xml:space="preserve"> </v>
      </c>
      <c r="G276" t="str">
        <f>INDEX(Establishment!C$2:C$1005,MATCH($E276,Establishment!$A$2:$A$1005,0))</f>
        <v xml:space="preserve"> </v>
      </c>
      <c r="M276">
        <f t="shared" si="26"/>
        <v>0</v>
      </c>
      <c r="N276">
        <f t="shared" si="24"/>
        <v>0</v>
      </c>
      <c r="P276" t="e">
        <f>INDEX(Items!B$2:B$1032,MATCH($O276,Items!$A$2:$A$1032,0))</f>
        <v>#N/A</v>
      </c>
      <c r="Q276" t="e">
        <f>INDEX(Items!C$2:C$1032,MATCH($O276,Items!$A$2:$A$1032,0))</f>
        <v>#N/A</v>
      </c>
      <c r="R276" t="e">
        <f>INDEX(Items!D$2:D$1032,MATCH($O276,Items!$A$2:$A$1032,0))</f>
        <v>#N/A</v>
      </c>
    </row>
    <row r="277" spans="1:18" x14ac:dyDescent="0.25">
      <c r="A277">
        <f t="shared" si="22"/>
        <v>1</v>
      </c>
      <c r="B277" t="str">
        <f t="shared" si="23"/>
        <v/>
      </c>
      <c r="C277">
        <f t="shared" si="25"/>
        <v>1</v>
      </c>
      <c r="D277" s="4"/>
      <c r="E277" t="s">
        <v>18</v>
      </c>
      <c r="F277" t="str">
        <f>INDEX(Establishment!B$2:B$1005,MATCH($E277,Establishment!$A$2:$A$1005,0))</f>
        <v xml:space="preserve"> </v>
      </c>
      <c r="G277" t="str">
        <f>INDEX(Establishment!C$2:C$1005,MATCH($E277,Establishment!$A$2:$A$1005,0))</f>
        <v xml:space="preserve"> </v>
      </c>
      <c r="M277">
        <f t="shared" si="26"/>
        <v>0</v>
      </c>
      <c r="N277">
        <f t="shared" si="24"/>
        <v>0</v>
      </c>
      <c r="P277" t="e">
        <f>INDEX(Items!B$2:B$1032,MATCH($O277,Items!$A$2:$A$1032,0))</f>
        <v>#N/A</v>
      </c>
      <c r="Q277" t="e">
        <f>INDEX(Items!C$2:C$1032,MATCH($O277,Items!$A$2:$A$1032,0))</f>
        <v>#N/A</v>
      </c>
      <c r="R277" t="e">
        <f>INDEX(Items!D$2:D$1032,MATCH($O277,Items!$A$2:$A$1032,0))</f>
        <v>#N/A</v>
      </c>
    </row>
    <row r="278" spans="1:18" x14ac:dyDescent="0.25">
      <c r="A278">
        <f t="shared" si="22"/>
        <v>1</v>
      </c>
      <c r="B278" t="str">
        <f t="shared" si="23"/>
        <v/>
      </c>
      <c r="C278">
        <f t="shared" si="25"/>
        <v>1</v>
      </c>
      <c r="D278" s="4"/>
      <c r="E278" t="s">
        <v>18</v>
      </c>
      <c r="F278" t="str">
        <f>INDEX(Establishment!B$2:B$1005,MATCH($E278,Establishment!$A$2:$A$1005,0))</f>
        <v xml:space="preserve"> </v>
      </c>
      <c r="G278" t="str">
        <f>INDEX(Establishment!C$2:C$1005,MATCH($E278,Establishment!$A$2:$A$1005,0))</f>
        <v xml:space="preserve"> </v>
      </c>
      <c r="M278">
        <f t="shared" si="26"/>
        <v>0</v>
      </c>
      <c r="N278">
        <f t="shared" si="24"/>
        <v>0</v>
      </c>
      <c r="P278" t="e">
        <f>INDEX(Items!B$2:B$1032,MATCH($O278,Items!$A$2:$A$1032,0))</f>
        <v>#N/A</v>
      </c>
      <c r="Q278" t="e">
        <f>INDEX(Items!C$2:C$1032,MATCH($O278,Items!$A$2:$A$1032,0))</f>
        <v>#N/A</v>
      </c>
      <c r="R278" t="e">
        <f>INDEX(Items!D$2:D$1032,MATCH($O278,Items!$A$2:$A$1032,0))</f>
        <v>#N/A</v>
      </c>
    </row>
    <row r="279" spans="1:18" x14ac:dyDescent="0.25">
      <c r="A279">
        <f t="shared" si="22"/>
        <v>1</v>
      </c>
      <c r="B279" t="str">
        <f t="shared" si="23"/>
        <v/>
      </c>
      <c r="C279">
        <f t="shared" si="25"/>
        <v>1</v>
      </c>
      <c r="D279" s="4"/>
      <c r="E279" t="s">
        <v>18</v>
      </c>
      <c r="F279" t="str">
        <f>INDEX(Establishment!B$2:B$1005,MATCH($E279,Establishment!$A$2:$A$1005,0))</f>
        <v xml:space="preserve"> </v>
      </c>
      <c r="G279" t="str">
        <f>INDEX(Establishment!C$2:C$1005,MATCH($E279,Establishment!$A$2:$A$1005,0))</f>
        <v xml:space="preserve"> </v>
      </c>
      <c r="M279">
        <f t="shared" si="26"/>
        <v>0</v>
      </c>
      <c r="N279">
        <f t="shared" si="24"/>
        <v>0</v>
      </c>
      <c r="P279" t="e">
        <f>INDEX(Items!B$2:B$1032,MATCH($O279,Items!$A$2:$A$1032,0))</f>
        <v>#N/A</v>
      </c>
      <c r="Q279" t="e">
        <f>INDEX(Items!C$2:C$1032,MATCH($O279,Items!$A$2:$A$1032,0))</f>
        <v>#N/A</v>
      </c>
      <c r="R279" t="e">
        <f>INDEX(Items!D$2:D$1032,MATCH($O279,Items!$A$2:$A$1032,0))</f>
        <v>#N/A</v>
      </c>
    </row>
    <row r="280" spans="1:18" x14ac:dyDescent="0.25">
      <c r="A280">
        <f t="shared" si="22"/>
        <v>1</v>
      </c>
      <c r="B280" t="str">
        <f t="shared" si="23"/>
        <v/>
      </c>
      <c r="C280">
        <f t="shared" si="25"/>
        <v>1</v>
      </c>
      <c r="D280" s="4"/>
      <c r="E280" t="s">
        <v>18</v>
      </c>
      <c r="F280" t="str">
        <f>INDEX(Establishment!B$2:B$1005,MATCH($E280,Establishment!$A$2:$A$1005,0))</f>
        <v xml:space="preserve"> </v>
      </c>
      <c r="G280" t="str">
        <f>INDEX(Establishment!C$2:C$1005,MATCH($E280,Establishment!$A$2:$A$1005,0))</f>
        <v xml:space="preserve"> </v>
      </c>
      <c r="M280">
        <f t="shared" si="26"/>
        <v>0</v>
      </c>
      <c r="N280">
        <f t="shared" si="24"/>
        <v>0</v>
      </c>
      <c r="P280" t="e">
        <f>INDEX(Items!B$2:B$1032,MATCH($O280,Items!$A$2:$A$1032,0))</f>
        <v>#N/A</v>
      </c>
      <c r="Q280" t="e">
        <f>INDEX(Items!C$2:C$1032,MATCH($O280,Items!$A$2:$A$1032,0))</f>
        <v>#N/A</v>
      </c>
      <c r="R280" t="e">
        <f>INDEX(Items!D$2:D$1032,MATCH($O280,Items!$A$2:$A$1032,0))</f>
        <v>#N/A</v>
      </c>
    </row>
    <row r="281" spans="1:18" x14ac:dyDescent="0.25">
      <c r="A281">
        <f t="shared" si="22"/>
        <v>1</v>
      </c>
      <c r="B281" t="str">
        <f t="shared" si="23"/>
        <v/>
      </c>
      <c r="C281">
        <f t="shared" si="25"/>
        <v>1</v>
      </c>
      <c r="D281" s="4"/>
      <c r="E281" t="s">
        <v>18</v>
      </c>
      <c r="F281" t="str">
        <f>INDEX(Establishment!B$2:B$1005,MATCH($E281,Establishment!$A$2:$A$1005,0))</f>
        <v xml:space="preserve"> </v>
      </c>
      <c r="G281" t="str">
        <f>INDEX(Establishment!C$2:C$1005,MATCH($E281,Establishment!$A$2:$A$1005,0))</f>
        <v xml:space="preserve"> </v>
      </c>
      <c r="M281">
        <f t="shared" si="26"/>
        <v>0</v>
      </c>
      <c r="N281">
        <f t="shared" si="24"/>
        <v>0</v>
      </c>
      <c r="P281" t="e">
        <f>INDEX(Items!B$2:B$1032,MATCH($O281,Items!$A$2:$A$1032,0))</f>
        <v>#N/A</v>
      </c>
      <c r="Q281" t="e">
        <f>INDEX(Items!C$2:C$1032,MATCH($O281,Items!$A$2:$A$1032,0))</f>
        <v>#N/A</v>
      </c>
      <c r="R281" t="e">
        <f>INDEX(Items!D$2:D$1032,MATCH($O281,Items!$A$2:$A$1032,0))</f>
        <v>#N/A</v>
      </c>
    </row>
    <row r="282" spans="1:18" x14ac:dyDescent="0.25">
      <c r="A282">
        <f t="shared" si="22"/>
        <v>1</v>
      </c>
      <c r="B282" t="str">
        <f t="shared" si="23"/>
        <v/>
      </c>
      <c r="C282">
        <f t="shared" si="25"/>
        <v>1</v>
      </c>
      <c r="D282" s="4"/>
      <c r="E282" t="s">
        <v>18</v>
      </c>
      <c r="F282" t="str">
        <f>INDEX(Establishment!B$2:B$1005,MATCH($E282,Establishment!$A$2:$A$1005,0))</f>
        <v xml:space="preserve"> </v>
      </c>
      <c r="G282" t="str">
        <f>INDEX(Establishment!C$2:C$1005,MATCH($E282,Establishment!$A$2:$A$1005,0))</f>
        <v xml:space="preserve"> </v>
      </c>
      <c r="M282">
        <f t="shared" si="26"/>
        <v>0</v>
      </c>
      <c r="N282">
        <f t="shared" si="24"/>
        <v>0</v>
      </c>
      <c r="P282" t="e">
        <f>INDEX(Items!B$2:B$1032,MATCH($O282,Items!$A$2:$A$1032,0))</f>
        <v>#N/A</v>
      </c>
      <c r="Q282" t="e">
        <f>INDEX(Items!C$2:C$1032,MATCH($O282,Items!$A$2:$A$1032,0))</f>
        <v>#N/A</v>
      </c>
      <c r="R282" t="e">
        <f>INDEX(Items!D$2:D$1032,MATCH($O282,Items!$A$2:$A$1032,0))</f>
        <v>#N/A</v>
      </c>
    </row>
    <row r="283" spans="1:18" x14ac:dyDescent="0.25">
      <c r="A283">
        <f t="shared" si="22"/>
        <v>1</v>
      </c>
      <c r="B283" t="str">
        <f t="shared" si="23"/>
        <v/>
      </c>
      <c r="C283">
        <f t="shared" si="25"/>
        <v>1</v>
      </c>
      <c r="D283" s="4"/>
      <c r="E283" t="s">
        <v>18</v>
      </c>
      <c r="F283" t="str">
        <f>INDEX(Establishment!B$2:B$1005,MATCH($E283,Establishment!$A$2:$A$1005,0))</f>
        <v xml:space="preserve"> </v>
      </c>
      <c r="G283" t="str">
        <f>INDEX(Establishment!C$2:C$1005,MATCH($E283,Establishment!$A$2:$A$1005,0))</f>
        <v xml:space="preserve"> </v>
      </c>
      <c r="M283">
        <f t="shared" si="26"/>
        <v>0</v>
      </c>
      <c r="N283">
        <f t="shared" si="24"/>
        <v>0</v>
      </c>
      <c r="P283" t="e">
        <f>INDEX(Items!B$2:B$1032,MATCH($O283,Items!$A$2:$A$1032,0))</f>
        <v>#N/A</v>
      </c>
      <c r="Q283" t="e">
        <f>INDEX(Items!C$2:C$1032,MATCH($O283,Items!$A$2:$A$1032,0))</f>
        <v>#N/A</v>
      </c>
      <c r="R283" t="e">
        <f>INDEX(Items!D$2:D$1032,MATCH($O283,Items!$A$2:$A$1032,0))</f>
        <v>#N/A</v>
      </c>
    </row>
    <row r="284" spans="1:18" x14ac:dyDescent="0.25">
      <c r="A284">
        <f t="shared" si="22"/>
        <v>1</v>
      </c>
      <c r="B284" t="str">
        <f t="shared" si="23"/>
        <v/>
      </c>
      <c r="C284">
        <f t="shared" si="25"/>
        <v>1</v>
      </c>
      <c r="D284" s="4"/>
      <c r="E284" t="s">
        <v>18</v>
      </c>
      <c r="F284" t="str">
        <f>INDEX(Establishment!B$2:B$1005,MATCH($E284,Establishment!$A$2:$A$1005,0))</f>
        <v xml:space="preserve"> </v>
      </c>
      <c r="G284" t="str">
        <f>INDEX(Establishment!C$2:C$1005,MATCH($E284,Establishment!$A$2:$A$1005,0))</f>
        <v xml:space="preserve"> </v>
      </c>
      <c r="M284">
        <f t="shared" si="26"/>
        <v>0</v>
      </c>
      <c r="N284">
        <f t="shared" si="24"/>
        <v>0</v>
      </c>
      <c r="P284" t="e">
        <f>INDEX(Items!B$2:B$1032,MATCH($O284,Items!$A$2:$A$1032,0))</f>
        <v>#N/A</v>
      </c>
      <c r="Q284" t="e">
        <f>INDEX(Items!C$2:C$1032,MATCH($O284,Items!$A$2:$A$1032,0))</f>
        <v>#N/A</v>
      </c>
      <c r="R284" t="e">
        <f>INDEX(Items!D$2:D$1032,MATCH($O284,Items!$A$2:$A$1032,0))</f>
        <v>#N/A</v>
      </c>
    </row>
    <row r="285" spans="1:18" x14ac:dyDescent="0.25">
      <c r="A285">
        <f t="shared" si="22"/>
        <v>1</v>
      </c>
      <c r="B285" t="str">
        <f t="shared" si="23"/>
        <v/>
      </c>
      <c r="C285">
        <f t="shared" si="25"/>
        <v>1</v>
      </c>
      <c r="D285" s="4"/>
      <c r="E285" t="s">
        <v>18</v>
      </c>
      <c r="F285" t="str">
        <f>INDEX(Establishment!B$2:B$1005,MATCH($E285,Establishment!$A$2:$A$1005,0))</f>
        <v xml:space="preserve"> </v>
      </c>
      <c r="G285" t="str">
        <f>INDEX(Establishment!C$2:C$1005,MATCH($E285,Establishment!$A$2:$A$1005,0))</f>
        <v xml:space="preserve"> </v>
      </c>
      <c r="M285">
        <f t="shared" si="26"/>
        <v>0</v>
      </c>
      <c r="N285">
        <f t="shared" si="24"/>
        <v>0</v>
      </c>
      <c r="P285" t="e">
        <f>INDEX(Items!B$2:B$1032,MATCH($O285,Items!$A$2:$A$1032,0))</f>
        <v>#N/A</v>
      </c>
      <c r="Q285" t="e">
        <f>INDEX(Items!C$2:C$1032,MATCH($O285,Items!$A$2:$A$1032,0))</f>
        <v>#N/A</v>
      </c>
      <c r="R285" t="e">
        <f>INDEX(Items!D$2:D$1032,MATCH($O285,Items!$A$2:$A$1032,0))</f>
        <v>#N/A</v>
      </c>
    </row>
    <row r="286" spans="1:18" x14ac:dyDescent="0.25">
      <c r="A286">
        <f t="shared" si="22"/>
        <v>1</v>
      </c>
      <c r="B286" t="str">
        <f t="shared" si="23"/>
        <v/>
      </c>
      <c r="C286">
        <f t="shared" si="25"/>
        <v>1</v>
      </c>
      <c r="D286" s="4"/>
      <c r="E286" t="s">
        <v>18</v>
      </c>
      <c r="F286" t="str">
        <f>INDEX(Establishment!B$2:B$1005,MATCH($E286,Establishment!$A$2:$A$1005,0))</f>
        <v xml:space="preserve"> </v>
      </c>
      <c r="G286" t="str">
        <f>INDEX(Establishment!C$2:C$1005,MATCH($E286,Establishment!$A$2:$A$1005,0))</f>
        <v xml:space="preserve"> </v>
      </c>
      <c r="M286">
        <f t="shared" si="26"/>
        <v>0</v>
      </c>
      <c r="N286">
        <f t="shared" si="24"/>
        <v>0</v>
      </c>
      <c r="P286" t="e">
        <f>INDEX(Items!B$2:B$1032,MATCH($O286,Items!$A$2:$A$1032,0))</f>
        <v>#N/A</v>
      </c>
      <c r="Q286" t="e">
        <f>INDEX(Items!C$2:C$1032,MATCH($O286,Items!$A$2:$A$1032,0))</f>
        <v>#N/A</v>
      </c>
      <c r="R286" t="e">
        <f>INDEX(Items!D$2:D$1032,MATCH($O286,Items!$A$2:$A$1032,0))</f>
        <v>#N/A</v>
      </c>
    </row>
    <row r="287" spans="1:18" x14ac:dyDescent="0.25">
      <c r="A287">
        <f t="shared" si="22"/>
        <v>1</v>
      </c>
      <c r="B287" t="str">
        <f t="shared" si="23"/>
        <v/>
      </c>
      <c r="C287">
        <f t="shared" si="25"/>
        <v>1</v>
      </c>
      <c r="D287" s="4"/>
      <c r="E287" t="s">
        <v>18</v>
      </c>
      <c r="F287" t="str">
        <f>INDEX(Establishment!B$2:B$1005,MATCH($E287,Establishment!$A$2:$A$1005,0))</f>
        <v xml:space="preserve"> </v>
      </c>
      <c r="G287" t="str">
        <f>INDEX(Establishment!C$2:C$1005,MATCH($E287,Establishment!$A$2:$A$1005,0))</f>
        <v xml:space="preserve"> </v>
      </c>
      <c r="M287">
        <f t="shared" si="26"/>
        <v>0</v>
      </c>
      <c r="N287">
        <f t="shared" si="24"/>
        <v>0</v>
      </c>
      <c r="P287" t="e">
        <f>INDEX(Items!B$2:B$1032,MATCH($O287,Items!$A$2:$A$1032,0))</f>
        <v>#N/A</v>
      </c>
      <c r="Q287" t="e">
        <f>INDEX(Items!C$2:C$1032,MATCH($O287,Items!$A$2:$A$1032,0))</f>
        <v>#N/A</v>
      </c>
      <c r="R287" t="e">
        <f>INDEX(Items!D$2:D$1032,MATCH($O287,Items!$A$2:$A$1032,0))</f>
        <v>#N/A</v>
      </c>
    </row>
    <row r="288" spans="1:18" x14ac:dyDescent="0.25">
      <c r="A288">
        <f t="shared" si="22"/>
        <v>1</v>
      </c>
      <c r="B288" t="str">
        <f t="shared" si="23"/>
        <v/>
      </c>
      <c r="C288">
        <f t="shared" si="25"/>
        <v>1</v>
      </c>
      <c r="D288" s="4"/>
      <c r="E288" t="s">
        <v>18</v>
      </c>
      <c r="F288" t="str">
        <f>INDEX(Establishment!B$2:B$1005,MATCH($E288,Establishment!$A$2:$A$1005,0))</f>
        <v xml:space="preserve"> </v>
      </c>
      <c r="G288" t="str">
        <f>INDEX(Establishment!C$2:C$1005,MATCH($E288,Establishment!$A$2:$A$1005,0))</f>
        <v xml:space="preserve"> </v>
      </c>
      <c r="M288">
        <f t="shared" si="26"/>
        <v>0</v>
      </c>
      <c r="N288">
        <f t="shared" si="24"/>
        <v>0</v>
      </c>
      <c r="P288" t="e">
        <f>INDEX(Items!B$2:B$1032,MATCH($O288,Items!$A$2:$A$1032,0))</f>
        <v>#N/A</v>
      </c>
      <c r="Q288" t="e">
        <f>INDEX(Items!C$2:C$1032,MATCH($O288,Items!$A$2:$A$1032,0))</f>
        <v>#N/A</v>
      </c>
      <c r="R288" t="e">
        <f>INDEX(Items!D$2:D$1032,MATCH($O288,Items!$A$2:$A$1032,0))</f>
        <v>#N/A</v>
      </c>
    </row>
    <row r="289" spans="1:18" x14ac:dyDescent="0.25">
      <c r="A289">
        <f t="shared" si="22"/>
        <v>1</v>
      </c>
      <c r="B289" t="str">
        <f t="shared" si="23"/>
        <v/>
      </c>
      <c r="C289">
        <f t="shared" si="25"/>
        <v>1</v>
      </c>
      <c r="D289" s="4"/>
      <c r="E289" t="s">
        <v>18</v>
      </c>
      <c r="F289" t="str">
        <f>INDEX(Establishment!B$2:B$1005,MATCH($E289,Establishment!$A$2:$A$1005,0))</f>
        <v xml:space="preserve"> </v>
      </c>
      <c r="G289" t="str">
        <f>INDEX(Establishment!C$2:C$1005,MATCH($E289,Establishment!$A$2:$A$1005,0))</f>
        <v xml:space="preserve"> </v>
      </c>
      <c r="M289">
        <f t="shared" si="26"/>
        <v>0</v>
      </c>
      <c r="N289">
        <f t="shared" si="24"/>
        <v>0</v>
      </c>
      <c r="P289" t="e">
        <f>INDEX(Items!B$2:B$1032,MATCH($O289,Items!$A$2:$A$1032,0))</f>
        <v>#N/A</v>
      </c>
      <c r="Q289" t="e">
        <f>INDEX(Items!C$2:C$1032,MATCH($O289,Items!$A$2:$A$1032,0))</f>
        <v>#N/A</v>
      </c>
      <c r="R289" t="e">
        <f>INDEX(Items!D$2:D$1032,MATCH($O289,Items!$A$2:$A$1032,0))</f>
        <v>#N/A</v>
      </c>
    </row>
    <row r="290" spans="1:18" x14ac:dyDescent="0.25">
      <c r="A290">
        <f t="shared" si="22"/>
        <v>1</v>
      </c>
      <c r="B290" t="str">
        <f t="shared" si="23"/>
        <v/>
      </c>
      <c r="C290">
        <f t="shared" si="25"/>
        <v>1</v>
      </c>
      <c r="D290" s="4"/>
      <c r="E290" t="s">
        <v>18</v>
      </c>
      <c r="F290" t="str">
        <f>INDEX(Establishment!B$2:B$1005,MATCH($E290,Establishment!$A$2:$A$1005,0))</f>
        <v xml:space="preserve"> </v>
      </c>
      <c r="G290" t="str">
        <f>INDEX(Establishment!C$2:C$1005,MATCH($E290,Establishment!$A$2:$A$1005,0))</f>
        <v xml:space="preserve"> </v>
      </c>
      <c r="M290">
        <f t="shared" si="26"/>
        <v>0</v>
      </c>
      <c r="N290">
        <f t="shared" si="24"/>
        <v>0</v>
      </c>
      <c r="P290" t="e">
        <f>INDEX(Items!B$2:B$1032,MATCH($O290,Items!$A$2:$A$1032,0))</f>
        <v>#N/A</v>
      </c>
      <c r="Q290" t="e">
        <f>INDEX(Items!C$2:C$1032,MATCH($O290,Items!$A$2:$A$1032,0))</f>
        <v>#N/A</v>
      </c>
      <c r="R290" t="e">
        <f>INDEX(Items!D$2:D$1032,MATCH($O290,Items!$A$2:$A$1032,0))</f>
        <v>#N/A</v>
      </c>
    </row>
    <row r="291" spans="1:18" x14ac:dyDescent="0.25">
      <c r="A291">
        <f t="shared" si="22"/>
        <v>1</v>
      </c>
      <c r="B291" t="str">
        <f t="shared" si="23"/>
        <v/>
      </c>
      <c r="C291">
        <f t="shared" si="25"/>
        <v>1</v>
      </c>
      <c r="D291" s="4"/>
      <c r="E291" t="s">
        <v>18</v>
      </c>
      <c r="F291" t="str">
        <f>INDEX(Establishment!B$2:B$1005,MATCH($E291,Establishment!$A$2:$A$1005,0))</f>
        <v xml:space="preserve"> </v>
      </c>
      <c r="G291" t="str">
        <f>INDEX(Establishment!C$2:C$1005,MATCH($E291,Establishment!$A$2:$A$1005,0))</f>
        <v xml:space="preserve"> </v>
      </c>
      <c r="M291">
        <f t="shared" si="26"/>
        <v>0</v>
      </c>
      <c r="N291">
        <f t="shared" si="24"/>
        <v>0</v>
      </c>
      <c r="P291" t="e">
        <f>INDEX(Items!B$2:B$1032,MATCH($O291,Items!$A$2:$A$1032,0))</f>
        <v>#N/A</v>
      </c>
      <c r="Q291" t="e">
        <f>INDEX(Items!C$2:C$1032,MATCH($O291,Items!$A$2:$A$1032,0))</f>
        <v>#N/A</v>
      </c>
      <c r="R291" t="e">
        <f>INDEX(Items!D$2:D$1032,MATCH($O291,Items!$A$2:$A$1032,0))</f>
        <v>#N/A</v>
      </c>
    </row>
    <row r="292" spans="1:18" x14ac:dyDescent="0.25">
      <c r="A292">
        <f t="shared" si="22"/>
        <v>1</v>
      </c>
      <c r="B292" t="str">
        <f t="shared" si="23"/>
        <v/>
      </c>
      <c r="C292">
        <f t="shared" si="25"/>
        <v>1</v>
      </c>
      <c r="D292" s="4"/>
      <c r="E292" t="s">
        <v>18</v>
      </c>
      <c r="F292" t="str">
        <f>INDEX(Establishment!B$2:B$1005,MATCH($E292,Establishment!$A$2:$A$1005,0))</f>
        <v xml:space="preserve"> </v>
      </c>
      <c r="G292" t="str">
        <f>INDEX(Establishment!C$2:C$1005,MATCH($E292,Establishment!$A$2:$A$1005,0))</f>
        <v xml:space="preserve"> </v>
      </c>
      <c r="M292">
        <f t="shared" si="26"/>
        <v>0</v>
      </c>
      <c r="N292">
        <f t="shared" si="24"/>
        <v>0</v>
      </c>
      <c r="P292" t="e">
        <f>INDEX(Items!B$2:B$1032,MATCH($O292,Items!$A$2:$A$1032,0))</f>
        <v>#N/A</v>
      </c>
      <c r="Q292" t="e">
        <f>INDEX(Items!C$2:C$1032,MATCH($O292,Items!$A$2:$A$1032,0))</f>
        <v>#N/A</v>
      </c>
      <c r="R292" t="e">
        <f>INDEX(Items!D$2:D$1032,MATCH($O292,Items!$A$2:$A$1032,0))</f>
        <v>#N/A</v>
      </c>
    </row>
    <row r="293" spans="1:18" x14ac:dyDescent="0.25">
      <c r="A293">
        <f t="shared" si="22"/>
        <v>1</v>
      </c>
      <c r="B293" t="str">
        <f t="shared" si="23"/>
        <v/>
      </c>
      <c r="C293">
        <f t="shared" si="25"/>
        <v>1</v>
      </c>
      <c r="D293" s="4"/>
      <c r="E293" t="s">
        <v>18</v>
      </c>
      <c r="F293" t="str">
        <f>INDEX(Establishment!B$2:B$1005,MATCH($E293,Establishment!$A$2:$A$1005,0))</f>
        <v xml:space="preserve"> </v>
      </c>
      <c r="G293" t="str">
        <f>INDEX(Establishment!C$2:C$1005,MATCH($E293,Establishment!$A$2:$A$1005,0))</f>
        <v xml:space="preserve"> </v>
      </c>
      <c r="M293">
        <f t="shared" si="26"/>
        <v>0</v>
      </c>
      <c r="N293">
        <f t="shared" si="24"/>
        <v>0</v>
      </c>
      <c r="P293" t="e">
        <f>INDEX(Items!B$2:B$1032,MATCH($O293,Items!$A$2:$A$1032,0))</f>
        <v>#N/A</v>
      </c>
      <c r="Q293" t="e">
        <f>INDEX(Items!C$2:C$1032,MATCH($O293,Items!$A$2:$A$1032,0))</f>
        <v>#N/A</v>
      </c>
      <c r="R293" t="e">
        <f>INDEX(Items!D$2:D$1032,MATCH($O293,Items!$A$2:$A$1032,0))</f>
        <v>#N/A</v>
      </c>
    </row>
    <row r="294" spans="1:18" x14ac:dyDescent="0.25">
      <c r="A294">
        <f t="shared" si="22"/>
        <v>1</v>
      </c>
      <c r="B294" t="str">
        <f t="shared" si="23"/>
        <v/>
      </c>
      <c r="C294">
        <f t="shared" si="25"/>
        <v>1</v>
      </c>
      <c r="D294" s="4"/>
      <c r="E294" t="s">
        <v>18</v>
      </c>
      <c r="F294" t="str">
        <f>INDEX(Establishment!B$2:B$1005,MATCH($E294,Establishment!$A$2:$A$1005,0))</f>
        <v xml:space="preserve"> </v>
      </c>
      <c r="G294" t="str">
        <f>INDEX(Establishment!C$2:C$1005,MATCH($E294,Establishment!$A$2:$A$1005,0))</f>
        <v xml:space="preserve"> </v>
      </c>
      <c r="M294">
        <f t="shared" si="26"/>
        <v>0</v>
      </c>
      <c r="N294">
        <f t="shared" si="24"/>
        <v>0</v>
      </c>
      <c r="P294" t="e">
        <f>INDEX(Items!B$2:B$1032,MATCH($O294,Items!$A$2:$A$1032,0))</f>
        <v>#N/A</v>
      </c>
      <c r="Q294" t="e">
        <f>INDEX(Items!C$2:C$1032,MATCH($O294,Items!$A$2:$A$1032,0))</f>
        <v>#N/A</v>
      </c>
      <c r="R294" t="e">
        <f>INDEX(Items!D$2:D$1032,MATCH($O294,Items!$A$2:$A$1032,0))</f>
        <v>#N/A</v>
      </c>
    </row>
    <row r="295" spans="1:18" x14ac:dyDescent="0.25">
      <c r="A295">
        <f t="shared" si="22"/>
        <v>1</v>
      </c>
      <c r="B295" t="str">
        <f t="shared" si="23"/>
        <v/>
      </c>
      <c r="C295">
        <f t="shared" si="25"/>
        <v>1</v>
      </c>
      <c r="D295" s="4"/>
      <c r="E295" t="s">
        <v>18</v>
      </c>
      <c r="F295" t="str">
        <f>INDEX(Establishment!B$2:B$1005,MATCH($E295,Establishment!$A$2:$A$1005,0))</f>
        <v xml:space="preserve"> </v>
      </c>
      <c r="G295" t="str">
        <f>INDEX(Establishment!C$2:C$1005,MATCH($E295,Establishment!$A$2:$A$1005,0))</f>
        <v xml:space="preserve"> </v>
      </c>
      <c r="M295">
        <f t="shared" si="26"/>
        <v>0</v>
      </c>
      <c r="N295">
        <f t="shared" si="24"/>
        <v>0</v>
      </c>
      <c r="P295" t="e">
        <f>INDEX(Items!B$2:B$1032,MATCH($O295,Items!$A$2:$A$1032,0))</f>
        <v>#N/A</v>
      </c>
      <c r="Q295" t="e">
        <f>INDEX(Items!C$2:C$1032,MATCH($O295,Items!$A$2:$A$1032,0))</f>
        <v>#N/A</v>
      </c>
      <c r="R295" t="e">
        <f>INDEX(Items!D$2:D$1032,MATCH($O295,Items!$A$2:$A$1032,0))</f>
        <v>#N/A</v>
      </c>
    </row>
    <row r="296" spans="1:18" x14ac:dyDescent="0.25">
      <c r="A296">
        <f t="shared" si="22"/>
        <v>1</v>
      </c>
      <c r="B296" t="str">
        <f t="shared" si="23"/>
        <v/>
      </c>
      <c r="C296">
        <f t="shared" si="25"/>
        <v>1</v>
      </c>
      <c r="D296" s="4"/>
      <c r="E296" t="s">
        <v>18</v>
      </c>
      <c r="F296" t="str">
        <f>INDEX(Establishment!B$2:B$1005,MATCH($E296,Establishment!$A$2:$A$1005,0))</f>
        <v xml:space="preserve"> </v>
      </c>
      <c r="G296" t="str">
        <f>INDEX(Establishment!C$2:C$1005,MATCH($E296,Establishment!$A$2:$A$1005,0))</f>
        <v xml:space="preserve"> </v>
      </c>
      <c r="M296">
        <f t="shared" si="26"/>
        <v>0</v>
      </c>
      <c r="N296">
        <f t="shared" si="24"/>
        <v>0</v>
      </c>
      <c r="P296" t="e">
        <f>INDEX(Items!B$2:B$1032,MATCH($O296,Items!$A$2:$A$1032,0))</f>
        <v>#N/A</v>
      </c>
      <c r="Q296" t="e">
        <f>INDEX(Items!C$2:C$1032,MATCH($O296,Items!$A$2:$A$1032,0))</f>
        <v>#N/A</v>
      </c>
      <c r="R296" t="e">
        <f>INDEX(Items!D$2:D$1032,MATCH($O296,Items!$A$2:$A$1032,0))</f>
        <v>#N/A</v>
      </c>
    </row>
    <row r="297" spans="1:18" x14ac:dyDescent="0.25">
      <c r="A297">
        <f t="shared" si="22"/>
        <v>1</v>
      </c>
      <c r="B297" t="str">
        <f t="shared" si="23"/>
        <v/>
      </c>
      <c r="C297">
        <f t="shared" si="25"/>
        <v>1</v>
      </c>
      <c r="D297" s="4"/>
      <c r="E297" t="s">
        <v>18</v>
      </c>
      <c r="F297" t="str">
        <f>INDEX(Establishment!B$2:B$1005,MATCH($E297,Establishment!$A$2:$A$1005,0))</f>
        <v xml:space="preserve"> </v>
      </c>
      <c r="G297" t="str">
        <f>INDEX(Establishment!C$2:C$1005,MATCH($E297,Establishment!$A$2:$A$1005,0))</f>
        <v xml:space="preserve"> </v>
      </c>
      <c r="M297">
        <f t="shared" si="26"/>
        <v>0</v>
      </c>
      <c r="N297">
        <f t="shared" si="24"/>
        <v>0</v>
      </c>
      <c r="P297" t="e">
        <f>INDEX(Items!B$2:B$1032,MATCH($O297,Items!$A$2:$A$1032,0))</f>
        <v>#N/A</v>
      </c>
      <c r="Q297" t="e">
        <f>INDEX(Items!C$2:C$1032,MATCH($O297,Items!$A$2:$A$1032,0))</f>
        <v>#N/A</v>
      </c>
      <c r="R297" t="e">
        <f>INDEX(Items!D$2:D$1032,MATCH($O297,Items!$A$2:$A$1032,0))</f>
        <v>#N/A</v>
      </c>
    </row>
    <row r="298" spans="1:18" x14ac:dyDescent="0.25">
      <c r="A298">
        <f t="shared" si="22"/>
        <v>1</v>
      </c>
      <c r="B298" t="str">
        <f t="shared" si="23"/>
        <v/>
      </c>
      <c r="C298">
        <f t="shared" si="25"/>
        <v>1</v>
      </c>
      <c r="D298" s="4"/>
      <c r="E298" t="s">
        <v>18</v>
      </c>
      <c r="F298" t="str">
        <f>INDEX(Establishment!B$2:B$1005,MATCH($E298,Establishment!$A$2:$A$1005,0))</f>
        <v xml:space="preserve"> </v>
      </c>
      <c r="G298" t="str">
        <f>INDEX(Establishment!C$2:C$1005,MATCH($E298,Establishment!$A$2:$A$1005,0))</f>
        <v xml:space="preserve"> </v>
      </c>
      <c r="M298">
        <f t="shared" si="26"/>
        <v>0</v>
      </c>
      <c r="N298">
        <f t="shared" si="24"/>
        <v>0</v>
      </c>
      <c r="P298" t="e">
        <f>INDEX(Items!B$2:B$1032,MATCH($O298,Items!$A$2:$A$1032,0))</f>
        <v>#N/A</v>
      </c>
      <c r="Q298" t="e">
        <f>INDEX(Items!C$2:C$1032,MATCH($O298,Items!$A$2:$A$1032,0))</f>
        <v>#N/A</v>
      </c>
      <c r="R298" t="e">
        <f>INDEX(Items!D$2:D$1032,MATCH($O298,Items!$A$2:$A$1032,0))</f>
        <v>#N/A</v>
      </c>
    </row>
    <row r="299" spans="1:18" x14ac:dyDescent="0.25">
      <c r="A299">
        <f t="shared" si="22"/>
        <v>1</v>
      </c>
      <c r="B299" t="str">
        <f t="shared" si="23"/>
        <v/>
      </c>
      <c r="C299">
        <f t="shared" si="25"/>
        <v>1</v>
      </c>
      <c r="D299" s="4"/>
      <c r="E299" t="s">
        <v>18</v>
      </c>
      <c r="F299" t="str">
        <f>INDEX(Establishment!B$2:B$1005,MATCH($E299,Establishment!$A$2:$A$1005,0))</f>
        <v xml:space="preserve"> </v>
      </c>
      <c r="G299" t="str">
        <f>INDEX(Establishment!C$2:C$1005,MATCH($E299,Establishment!$A$2:$A$1005,0))</f>
        <v xml:space="preserve"> </v>
      </c>
      <c r="M299">
        <f t="shared" si="26"/>
        <v>0</v>
      </c>
      <c r="N299">
        <f t="shared" si="24"/>
        <v>0</v>
      </c>
      <c r="P299" t="e">
        <f>INDEX(Items!B$2:B$1032,MATCH($O299,Items!$A$2:$A$1032,0))</f>
        <v>#N/A</v>
      </c>
      <c r="Q299" t="e">
        <f>INDEX(Items!C$2:C$1032,MATCH($O299,Items!$A$2:$A$1032,0))</f>
        <v>#N/A</v>
      </c>
      <c r="R299" t="e">
        <f>INDEX(Items!D$2:D$1032,MATCH($O299,Items!$A$2:$A$1032,0))</f>
        <v>#N/A</v>
      </c>
    </row>
    <row r="300" spans="1:18" x14ac:dyDescent="0.25">
      <c r="A300">
        <f t="shared" si="22"/>
        <v>1</v>
      </c>
      <c r="B300" t="str">
        <f t="shared" si="23"/>
        <v/>
      </c>
      <c r="C300">
        <f t="shared" si="25"/>
        <v>1</v>
      </c>
      <c r="D300" s="4"/>
      <c r="E300" t="s">
        <v>18</v>
      </c>
      <c r="F300" t="str">
        <f>INDEX(Establishment!B$2:B$1005,MATCH($E300,Establishment!$A$2:$A$1005,0))</f>
        <v xml:space="preserve"> </v>
      </c>
      <c r="G300" t="str">
        <f>INDEX(Establishment!C$2:C$1005,MATCH($E300,Establishment!$A$2:$A$1005,0))</f>
        <v xml:space="preserve"> </v>
      </c>
      <c r="M300">
        <f t="shared" si="26"/>
        <v>0</v>
      </c>
      <c r="N300">
        <f t="shared" si="24"/>
        <v>0</v>
      </c>
      <c r="P300" t="e">
        <f>INDEX(Items!B$2:B$1032,MATCH($O300,Items!$A$2:$A$1032,0))</f>
        <v>#N/A</v>
      </c>
      <c r="Q300" t="e">
        <f>INDEX(Items!C$2:C$1032,MATCH($O300,Items!$A$2:$A$1032,0))</f>
        <v>#N/A</v>
      </c>
      <c r="R300" t="e">
        <f>INDEX(Items!D$2:D$1032,MATCH($O300,Items!$A$2:$A$1032,0))</f>
        <v>#N/A</v>
      </c>
    </row>
    <row r="301" spans="1:18" x14ac:dyDescent="0.25">
      <c r="A301">
        <f t="shared" si="22"/>
        <v>1</v>
      </c>
      <c r="B301" t="str">
        <f t="shared" si="23"/>
        <v/>
      </c>
      <c r="C301">
        <f t="shared" si="25"/>
        <v>1</v>
      </c>
      <c r="D301" s="4"/>
      <c r="E301" t="s">
        <v>18</v>
      </c>
      <c r="F301" t="str">
        <f>INDEX(Establishment!B$2:B$1005,MATCH($E301,Establishment!$A$2:$A$1005,0))</f>
        <v xml:space="preserve"> </v>
      </c>
      <c r="G301" t="str">
        <f>INDEX(Establishment!C$2:C$1005,MATCH($E301,Establishment!$A$2:$A$1005,0))</f>
        <v xml:space="preserve"> </v>
      </c>
      <c r="M301">
        <f t="shared" si="26"/>
        <v>0</v>
      </c>
      <c r="N301">
        <f t="shared" si="24"/>
        <v>0</v>
      </c>
      <c r="P301" t="e">
        <f>INDEX(Items!B$2:B$1032,MATCH($O301,Items!$A$2:$A$1032,0))</f>
        <v>#N/A</v>
      </c>
      <c r="Q301" t="e">
        <f>INDEX(Items!C$2:C$1032,MATCH($O301,Items!$A$2:$A$1032,0))</f>
        <v>#N/A</v>
      </c>
      <c r="R301" t="e">
        <f>INDEX(Items!D$2:D$1032,MATCH($O301,Items!$A$2:$A$1032,0))</f>
        <v>#N/A</v>
      </c>
    </row>
    <row r="302" spans="1:18" x14ac:dyDescent="0.25">
      <c r="A302">
        <f t="shared" si="22"/>
        <v>1</v>
      </c>
      <c r="B302" t="str">
        <f t="shared" si="23"/>
        <v/>
      </c>
      <c r="C302">
        <f t="shared" si="25"/>
        <v>1</v>
      </c>
      <c r="D302" s="4"/>
      <c r="E302" t="s">
        <v>18</v>
      </c>
      <c r="F302" t="str">
        <f>INDEX(Establishment!B$2:B$1005,MATCH($E302,Establishment!$A$2:$A$1005,0))</f>
        <v xml:space="preserve"> </v>
      </c>
      <c r="G302" t="str">
        <f>INDEX(Establishment!C$2:C$1005,MATCH($E302,Establishment!$A$2:$A$1005,0))</f>
        <v xml:space="preserve"> </v>
      </c>
      <c r="M302">
        <f t="shared" si="26"/>
        <v>0</v>
      </c>
      <c r="N302">
        <f t="shared" si="24"/>
        <v>0</v>
      </c>
      <c r="P302" t="e">
        <f>INDEX(Items!B$2:B$1032,MATCH($O302,Items!$A$2:$A$1032,0))</f>
        <v>#N/A</v>
      </c>
      <c r="Q302" t="e">
        <f>INDEX(Items!C$2:C$1032,MATCH($O302,Items!$A$2:$A$1032,0))</f>
        <v>#N/A</v>
      </c>
      <c r="R302" t="e">
        <f>INDEX(Items!D$2:D$1032,MATCH($O302,Items!$A$2:$A$1032,0))</f>
        <v>#N/A</v>
      </c>
    </row>
    <row r="303" spans="1:18" x14ac:dyDescent="0.25">
      <c r="A303">
        <f t="shared" si="22"/>
        <v>1</v>
      </c>
      <c r="B303" t="str">
        <f t="shared" si="23"/>
        <v/>
      </c>
      <c r="C303">
        <f t="shared" si="25"/>
        <v>1</v>
      </c>
      <c r="D303" s="4"/>
      <c r="E303" t="s">
        <v>18</v>
      </c>
      <c r="F303" t="str">
        <f>INDEX(Establishment!B$2:B$1005,MATCH($E303,Establishment!$A$2:$A$1005,0))</f>
        <v xml:space="preserve"> </v>
      </c>
      <c r="G303" t="str">
        <f>INDEX(Establishment!C$2:C$1005,MATCH($E303,Establishment!$A$2:$A$1005,0))</f>
        <v xml:space="preserve"> </v>
      </c>
      <c r="M303">
        <f t="shared" si="26"/>
        <v>0</v>
      </c>
      <c r="N303">
        <f t="shared" si="24"/>
        <v>0</v>
      </c>
      <c r="P303" t="e">
        <f>INDEX(Items!B$2:B$1032,MATCH($O303,Items!$A$2:$A$1032,0))</f>
        <v>#N/A</v>
      </c>
      <c r="Q303" t="e">
        <f>INDEX(Items!C$2:C$1032,MATCH($O303,Items!$A$2:$A$1032,0))</f>
        <v>#N/A</v>
      </c>
      <c r="R303" t="e">
        <f>INDEX(Items!D$2:D$1032,MATCH($O303,Items!$A$2:$A$1032,0))</f>
        <v>#N/A</v>
      </c>
    </row>
    <row r="304" spans="1:18" x14ac:dyDescent="0.25">
      <c r="A304">
        <f t="shared" si="22"/>
        <v>1</v>
      </c>
      <c r="B304" t="str">
        <f t="shared" si="23"/>
        <v/>
      </c>
      <c r="C304">
        <f t="shared" si="25"/>
        <v>1</v>
      </c>
      <c r="D304" s="4"/>
      <c r="E304" t="s">
        <v>18</v>
      </c>
      <c r="F304" t="str">
        <f>INDEX(Establishment!B$2:B$1005,MATCH($E304,Establishment!$A$2:$A$1005,0))</f>
        <v xml:space="preserve"> </v>
      </c>
      <c r="G304" t="str">
        <f>INDEX(Establishment!C$2:C$1005,MATCH($E304,Establishment!$A$2:$A$1005,0))</f>
        <v xml:space="preserve"> </v>
      </c>
      <c r="M304">
        <f t="shared" si="26"/>
        <v>0</v>
      </c>
      <c r="N304">
        <f t="shared" si="24"/>
        <v>0</v>
      </c>
      <c r="P304" t="e">
        <f>INDEX(Items!B$2:B$1032,MATCH($O304,Items!$A$2:$A$1032,0))</f>
        <v>#N/A</v>
      </c>
      <c r="Q304" t="e">
        <f>INDEX(Items!C$2:C$1032,MATCH($O304,Items!$A$2:$A$1032,0))</f>
        <v>#N/A</v>
      </c>
      <c r="R304" t="e">
        <f>INDEX(Items!D$2:D$1032,MATCH($O304,Items!$A$2:$A$1032,0))</f>
        <v>#N/A</v>
      </c>
    </row>
    <row r="305" spans="1:18" x14ac:dyDescent="0.25">
      <c r="A305">
        <f t="shared" si="22"/>
        <v>1</v>
      </c>
      <c r="B305" t="str">
        <f t="shared" si="23"/>
        <v/>
      </c>
      <c r="C305">
        <f t="shared" si="25"/>
        <v>1</v>
      </c>
      <c r="D305" s="4"/>
      <c r="E305" t="s">
        <v>18</v>
      </c>
      <c r="F305" t="str">
        <f>INDEX(Establishment!B$2:B$1005,MATCH($E305,Establishment!$A$2:$A$1005,0))</f>
        <v xml:space="preserve"> </v>
      </c>
      <c r="G305" t="str">
        <f>INDEX(Establishment!C$2:C$1005,MATCH($E305,Establishment!$A$2:$A$1005,0))</f>
        <v xml:space="preserve"> </v>
      </c>
      <c r="M305">
        <f t="shared" si="26"/>
        <v>0</v>
      </c>
      <c r="N305">
        <f t="shared" si="24"/>
        <v>0</v>
      </c>
      <c r="P305" t="e">
        <f>INDEX(Items!B$2:B$1032,MATCH($O305,Items!$A$2:$A$1032,0))</f>
        <v>#N/A</v>
      </c>
      <c r="Q305" t="e">
        <f>INDEX(Items!C$2:C$1032,MATCH($O305,Items!$A$2:$A$1032,0))</f>
        <v>#N/A</v>
      </c>
      <c r="R305" t="e">
        <f>INDEX(Items!D$2:D$1032,MATCH($O305,Items!$A$2:$A$1032,0))</f>
        <v>#N/A</v>
      </c>
    </row>
    <row r="306" spans="1:18" x14ac:dyDescent="0.25">
      <c r="A306">
        <f t="shared" si="22"/>
        <v>1</v>
      </c>
      <c r="B306" t="str">
        <f t="shared" si="23"/>
        <v/>
      </c>
      <c r="C306">
        <f t="shared" si="25"/>
        <v>1</v>
      </c>
      <c r="D306" s="4"/>
      <c r="E306" t="s">
        <v>18</v>
      </c>
      <c r="F306" t="str">
        <f>INDEX(Establishment!B$2:B$1005,MATCH($E306,Establishment!$A$2:$A$1005,0))</f>
        <v xml:space="preserve"> </v>
      </c>
      <c r="G306" t="str">
        <f>INDEX(Establishment!C$2:C$1005,MATCH($E306,Establishment!$A$2:$A$1005,0))</f>
        <v xml:space="preserve"> </v>
      </c>
      <c r="M306">
        <f t="shared" si="26"/>
        <v>0</v>
      </c>
      <c r="N306">
        <f t="shared" si="24"/>
        <v>0</v>
      </c>
      <c r="P306" t="e">
        <f>INDEX(Items!B$2:B$1032,MATCH($O306,Items!$A$2:$A$1032,0))</f>
        <v>#N/A</v>
      </c>
      <c r="Q306" t="e">
        <f>INDEX(Items!C$2:C$1032,MATCH($O306,Items!$A$2:$A$1032,0))</f>
        <v>#N/A</v>
      </c>
      <c r="R306" t="e">
        <f>INDEX(Items!D$2:D$1032,MATCH($O306,Items!$A$2:$A$1032,0))</f>
        <v>#N/A</v>
      </c>
    </row>
    <row r="307" spans="1:18" x14ac:dyDescent="0.25">
      <c r="A307">
        <f t="shared" si="22"/>
        <v>1</v>
      </c>
      <c r="B307" t="str">
        <f t="shared" si="23"/>
        <v/>
      </c>
      <c r="C307">
        <f t="shared" si="25"/>
        <v>1</v>
      </c>
      <c r="D307" s="4"/>
      <c r="E307" t="s">
        <v>18</v>
      </c>
      <c r="F307" t="str">
        <f>INDEX(Establishment!B$2:B$1005,MATCH($E307,Establishment!$A$2:$A$1005,0))</f>
        <v xml:space="preserve"> </v>
      </c>
      <c r="G307" t="str">
        <f>INDEX(Establishment!C$2:C$1005,MATCH($E307,Establishment!$A$2:$A$1005,0))</f>
        <v xml:space="preserve"> </v>
      </c>
      <c r="M307">
        <f t="shared" si="26"/>
        <v>0</v>
      </c>
      <c r="N307">
        <f t="shared" si="24"/>
        <v>0</v>
      </c>
      <c r="P307" t="e">
        <f>INDEX(Items!B$2:B$1032,MATCH($O307,Items!$A$2:$A$1032,0))</f>
        <v>#N/A</v>
      </c>
      <c r="Q307" t="e">
        <f>INDEX(Items!C$2:C$1032,MATCH($O307,Items!$A$2:$A$1032,0))</f>
        <v>#N/A</v>
      </c>
      <c r="R307" t="e">
        <f>INDEX(Items!D$2:D$1032,MATCH($O307,Items!$A$2:$A$1032,0))</f>
        <v>#N/A</v>
      </c>
    </row>
    <row r="308" spans="1:18" x14ac:dyDescent="0.25">
      <c r="A308">
        <f t="shared" si="22"/>
        <v>1</v>
      </c>
      <c r="B308" t="str">
        <f t="shared" si="23"/>
        <v/>
      </c>
      <c r="C308">
        <f t="shared" si="25"/>
        <v>1</v>
      </c>
      <c r="D308" s="4"/>
      <c r="E308" t="s">
        <v>18</v>
      </c>
      <c r="F308" t="str">
        <f>INDEX(Establishment!B$2:B$1005,MATCH($E308,Establishment!$A$2:$A$1005,0))</f>
        <v xml:space="preserve"> </v>
      </c>
      <c r="G308" t="str">
        <f>INDEX(Establishment!C$2:C$1005,MATCH($E308,Establishment!$A$2:$A$1005,0))</f>
        <v xml:space="preserve"> </v>
      </c>
      <c r="M308">
        <f t="shared" si="26"/>
        <v>0</v>
      </c>
      <c r="N308">
        <f t="shared" si="24"/>
        <v>0</v>
      </c>
      <c r="P308" t="e">
        <f>INDEX(Items!B$2:B$1032,MATCH($O308,Items!$A$2:$A$1032,0))</f>
        <v>#N/A</v>
      </c>
      <c r="Q308" t="e">
        <f>INDEX(Items!C$2:C$1032,MATCH($O308,Items!$A$2:$A$1032,0))</f>
        <v>#N/A</v>
      </c>
      <c r="R308" t="e">
        <f>INDEX(Items!D$2:D$1032,MATCH($O308,Items!$A$2:$A$1032,0))</f>
        <v>#N/A</v>
      </c>
    </row>
    <row r="309" spans="1:18" x14ac:dyDescent="0.25">
      <c r="A309">
        <f t="shared" si="22"/>
        <v>1</v>
      </c>
      <c r="B309" t="str">
        <f t="shared" si="23"/>
        <v/>
      </c>
      <c r="C309">
        <f t="shared" si="25"/>
        <v>1</v>
      </c>
      <c r="D309" s="4"/>
      <c r="E309" t="s">
        <v>18</v>
      </c>
      <c r="F309" t="str">
        <f>INDEX(Establishment!B$2:B$1005,MATCH($E309,Establishment!$A$2:$A$1005,0))</f>
        <v xml:space="preserve"> </v>
      </c>
      <c r="G309" t="str">
        <f>INDEX(Establishment!C$2:C$1005,MATCH($E309,Establishment!$A$2:$A$1005,0))</f>
        <v xml:space="preserve"> </v>
      </c>
      <c r="M309">
        <f t="shared" si="26"/>
        <v>0</v>
      </c>
      <c r="N309">
        <f t="shared" si="24"/>
        <v>0</v>
      </c>
      <c r="P309" t="e">
        <f>INDEX(Items!B$2:B$1032,MATCH($O309,Items!$A$2:$A$1032,0))</f>
        <v>#N/A</v>
      </c>
      <c r="Q309" t="e">
        <f>INDEX(Items!C$2:C$1032,MATCH($O309,Items!$A$2:$A$1032,0))</f>
        <v>#N/A</v>
      </c>
      <c r="R309" t="e">
        <f>INDEX(Items!D$2:D$1032,MATCH($O309,Items!$A$2:$A$1032,0))</f>
        <v>#N/A</v>
      </c>
    </row>
    <row r="310" spans="1:18" x14ac:dyDescent="0.25">
      <c r="A310">
        <f t="shared" si="22"/>
        <v>1</v>
      </c>
      <c r="B310" t="str">
        <f t="shared" si="23"/>
        <v/>
      </c>
      <c r="C310">
        <f t="shared" si="25"/>
        <v>1</v>
      </c>
      <c r="D310" s="4"/>
      <c r="E310" t="s">
        <v>18</v>
      </c>
      <c r="F310" t="str">
        <f>INDEX(Establishment!B$2:B$1005,MATCH($E310,Establishment!$A$2:$A$1005,0))</f>
        <v xml:space="preserve"> </v>
      </c>
      <c r="G310" t="str">
        <f>INDEX(Establishment!C$2:C$1005,MATCH($E310,Establishment!$A$2:$A$1005,0))</f>
        <v xml:space="preserve"> </v>
      </c>
      <c r="M310">
        <f t="shared" si="26"/>
        <v>0</v>
      </c>
      <c r="N310">
        <f t="shared" si="24"/>
        <v>0</v>
      </c>
      <c r="P310" t="e">
        <f>INDEX(Items!B$2:B$1032,MATCH($O310,Items!$A$2:$A$1032,0))</f>
        <v>#N/A</v>
      </c>
      <c r="Q310" t="e">
        <f>INDEX(Items!C$2:C$1032,MATCH($O310,Items!$A$2:$A$1032,0))</f>
        <v>#N/A</v>
      </c>
      <c r="R310" t="e">
        <f>INDEX(Items!D$2:D$1032,MATCH($O310,Items!$A$2:$A$1032,0))</f>
        <v>#N/A</v>
      </c>
    </row>
    <row r="311" spans="1:18" x14ac:dyDescent="0.25">
      <c r="A311">
        <f t="shared" si="22"/>
        <v>1</v>
      </c>
      <c r="B311" t="str">
        <f t="shared" si="23"/>
        <v/>
      </c>
      <c r="C311">
        <f t="shared" si="25"/>
        <v>1</v>
      </c>
      <c r="D311" s="4"/>
      <c r="E311" t="s">
        <v>18</v>
      </c>
      <c r="F311" t="str">
        <f>INDEX(Establishment!B$2:B$1005,MATCH($E311,Establishment!$A$2:$A$1005,0))</f>
        <v xml:space="preserve"> </v>
      </c>
      <c r="G311" t="str">
        <f>INDEX(Establishment!C$2:C$1005,MATCH($E311,Establishment!$A$2:$A$1005,0))</f>
        <v xml:space="preserve"> </v>
      </c>
      <c r="M311">
        <f t="shared" si="26"/>
        <v>0</v>
      </c>
      <c r="N311">
        <f t="shared" si="24"/>
        <v>0</v>
      </c>
      <c r="P311" t="e">
        <f>INDEX(Items!B$2:B$1032,MATCH($O311,Items!$A$2:$A$1032,0))</f>
        <v>#N/A</v>
      </c>
      <c r="Q311" t="e">
        <f>INDEX(Items!C$2:C$1032,MATCH($O311,Items!$A$2:$A$1032,0))</f>
        <v>#N/A</v>
      </c>
      <c r="R311" t="e">
        <f>INDEX(Items!D$2:D$1032,MATCH($O311,Items!$A$2:$A$1032,0))</f>
        <v>#N/A</v>
      </c>
    </row>
    <row r="312" spans="1:18" x14ac:dyDescent="0.25">
      <c r="A312">
        <f t="shared" si="22"/>
        <v>1</v>
      </c>
      <c r="B312" t="str">
        <f t="shared" si="23"/>
        <v/>
      </c>
      <c r="C312">
        <f t="shared" si="25"/>
        <v>1</v>
      </c>
      <c r="D312" s="4"/>
      <c r="E312" t="s">
        <v>18</v>
      </c>
      <c r="F312" t="str">
        <f>INDEX(Establishment!B$2:B$1005,MATCH($E312,Establishment!$A$2:$A$1005,0))</f>
        <v xml:space="preserve"> </v>
      </c>
      <c r="G312" t="str">
        <f>INDEX(Establishment!C$2:C$1005,MATCH($E312,Establishment!$A$2:$A$1005,0))</f>
        <v xml:space="preserve"> </v>
      </c>
      <c r="M312">
        <f t="shared" si="26"/>
        <v>0</v>
      </c>
      <c r="N312">
        <f t="shared" si="24"/>
        <v>0</v>
      </c>
      <c r="P312" t="e">
        <f>INDEX(Items!B$2:B$1032,MATCH($O312,Items!$A$2:$A$1032,0))</f>
        <v>#N/A</v>
      </c>
      <c r="Q312" t="e">
        <f>INDEX(Items!C$2:C$1032,MATCH($O312,Items!$A$2:$A$1032,0))</f>
        <v>#N/A</v>
      </c>
      <c r="R312" t="e">
        <f>INDEX(Items!D$2:D$1032,MATCH($O312,Items!$A$2:$A$1032,0))</f>
        <v>#N/A</v>
      </c>
    </row>
    <row r="313" spans="1:18" x14ac:dyDescent="0.25">
      <c r="A313">
        <f t="shared" si="22"/>
        <v>1</v>
      </c>
      <c r="B313" t="str">
        <f t="shared" si="23"/>
        <v/>
      </c>
      <c r="C313">
        <f t="shared" si="25"/>
        <v>1</v>
      </c>
      <c r="D313" s="4"/>
      <c r="E313" t="s">
        <v>18</v>
      </c>
      <c r="F313" t="str">
        <f>INDEX(Establishment!B$2:B$1005,MATCH($E313,Establishment!$A$2:$A$1005,0))</f>
        <v xml:space="preserve"> </v>
      </c>
      <c r="G313" t="str">
        <f>INDEX(Establishment!C$2:C$1005,MATCH($E313,Establishment!$A$2:$A$1005,0))</f>
        <v xml:space="preserve"> </v>
      </c>
      <c r="M313">
        <f t="shared" si="26"/>
        <v>0</v>
      </c>
      <c r="N313">
        <f t="shared" si="24"/>
        <v>0</v>
      </c>
      <c r="P313" t="e">
        <f>INDEX(Items!B$2:B$1032,MATCH($O313,Items!$A$2:$A$1032,0))</f>
        <v>#N/A</v>
      </c>
      <c r="Q313" t="e">
        <f>INDEX(Items!C$2:C$1032,MATCH($O313,Items!$A$2:$A$1032,0))</f>
        <v>#N/A</v>
      </c>
      <c r="R313" t="e">
        <f>INDEX(Items!D$2:D$1032,MATCH($O313,Items!$A$2:$A$1032,0))</f>
        <v>#N/A</v>
      </c>
    </row>
    <row r="314" spans="1:18" x14ac:dyDescent="0.25">
      <c r="A314">
        <f t="shared" si="22"/>
        <v>1</v>
      </c>
      <c r="B314" t="str">
        <f t="shared" si="23"/>
        <v/>
      </c>
      <c r="C314">
        <f t="shared" si="25"/>
        <v>1</v>
      </c>
      <c r="D314" s="4"/>
      <c r="E314" t="s">
        <v>18</v>
      </c>
      <c r="F314" t="str">
        <f>INDEX(Establishment!B$2:B$1005,MATCH($E314,Establishment!$A$2:$A$1005,0))</f>
        <v xml:space="preserve"> </v>
      </c>
      <c r="G314" t="str">
        <f>INDEX(Establishment!C$2:C$1005,MATCH($E314,Establishment!$A$2:$A$1005,0))</f>
        <v xml:space="preserve"> </v>
      </c>
      <c r="M314">
        <f t="shared" si="26"/>
        <v>0</v>
      </c>
      <c r="N314">
        <f t="shared" si="24"/>
        <v>0</v>
      </c>
      <c r="P314" t="e">
        <f>INDEX(Items!B$2:B$1032,MATCH($O314,Items!$A$2:$A$1032,0))</f>
        <v>#N/A</v>
      </c>
      <c r="Q314" t="e">
        <f>INDEX(Items!C$2:C$1032,MATCH($O314,Items!$A$2:$A$1032,0))</f>
        <v>#N/A</v>
      </c>
      <c r="R314" t="e">
        <f>INDEX(Items!D$2:D$1032,MATCH($O314,Items!$A$2:$A$1032,0))</f>
        <v>#N/A</v>
      </c>
    </row>
    <row r="315" spans="1:18" x14ac:dyDescent="0.25">
      <c r="A315">
        <f t="shared" si="22"/>
        <v>1</v>
      </c>
      <c r="B315" t="str">
        <f t="shared" si="23"/>
        <v/>
      </c>
      <c r="C315">
        <f t="shared" si="25"/>
        <v>1</v>
      </c>
      <c r="D315" s="4"/>
      <c r="E315" t="s">
        <v>18</v>
      </c>
      <c r="F315" t="str">
        <f>INDEX(Establishment!B$2:B$1005,MATCH($E315,Establishment!$A$2:$A$1005,0))</f>
        <v xml:space="preserve"> </v>
      </c>
      <c r="G315" t="str">
        <f>INDEX(Establishment!C$2:C$1005,MATCH($E315,Establishment!$A$2:$A$1005,0))</f>
        <v xml:space="preserve"> </v>
      </c>
      <c r="M315">
        <f t="shared" si="26"/>
        <v>0</v>
      </c>
      <c r="N315">
        <f t="shared" si="24"/>
        <v>0</v>
      </c>
      <c r="P315" t="e">
        <f>INDEX(Items!B$2:B$1032,MATCH($O315,Items!$A$2:$A$1032,0))</f>
        <v>#N/A</v>
      </c>
      <c r="Q315" t="e">
        <f>INDEX(Items!C$2:C$1032,MATCH($O315,Items!$A$2:$A$1032,0))</f>
        <v>#N/A</v>
      </c>
      <c r="R315" t="e">
        <f>INDEX(Items!D$2:D$1032,MATCH($O315,Items!$A$2:$A$1032,0))</f>
        <v>#N/A</v>
      </c>
    </row>
    <row r="316" spans="1:18" x14ac:dyDescent="0.25">
      <c r="A316">
        <f t="shared" si="22"/>
        <v>1</v>
      </c>
      <c r="B316" t="str">
        <f t="shared" si="23"/>
        <v/>
      </c>
      <c r="C316">
        <f t="shared" si="25"/>
        <v>1</v>
      </c>
      <c r="D316" s="4"/>
      <c r="E316" t="s">
        <v>18</v>
      </c>
      <c r="F316" t="str">
        <f>INDEX(Establishment!B$2:B$1005,MATCH($E316,Establishment!$A$2:$A$1005,0))</f>
        <v xml:space="preserve"> </v>
      </c>
      <c r="G316" t="str">
        <f>INDEX(Establishment!C$2:C$1005,MATCH($E316,Establishment!$A$2:$A$1005,0))</f>
        <v xml:space="preserve"> </v>
      </c>
      <c r="M316">
        <f t="shared" si="26"/>
        <v>0</v>
      </c>
      <c r="N316">
        <f t="shared" si="24"/>
        <v>0</v>
      </c>
      <c r="P316" t="e">
        <f>INDEX(Items!B$2:B$1032,MATCH($O316,Items!$A$2:$A$1032,0))</f>
        <v>#N/A</v>
      </c>
      <c r="Q316" t="e">
        <f>INDEX(Items!C$2:C$1032,MATCH($O316,Items!$A$2:$A$1032,0))</f>
        <v>#N/A</v>
      </c>
      <c r="R316" t="e">
        <f>INDEX(Items!D$2:D$1032,MATCH($O316,Items!$A$2:$A$1032,0))</f>
        <v>#N/A</v>
      </c>
    </row>
    <row r="317" spans="1:18" x14ac:dyDescent="0.25">
      <c r="A317">
        <f t="shared" si="22"/>
        <v>1</v>
      </c>
      <c r="B317" t="str">
        <f t="shared" si="23"/>
        <v/>
      </c>
      <c r="C317">
        <f t="shared" si="25"/>
        <v>1</v>
      </c>
      <c r="D317" s="4"/>
      <c r="E317" t="s">
        <v>18</v>
      </c>
      <c r="F317" t="str">
        <f>INDEX(Establishment!B$2:B$1005,MATCH($E317,Establishment!$A$2:$A$1005,0))</f>
        <v xml:space="preserve"> </v>
      </c>
      <c r="G317" t="str">
        <f>INDEX(Establishment!C$2:C$1005,MATCH($E317,Establishment!$A$2:$A$1005,0))</f>
        <v xml:space="preserve"> </v>
      </c>
      <c r="M317">
        <f t="shared" si="26"/>
        <v>0</v>
      </c>
      <c r="N317">
        <f t="shared" si="24"/>
        <v>0</v>
      </c>
      <c r="P317" t="e">
        <f>INDEX(Items!B$2:B$1032,MATCH($O317,Items!$A$2:$A$1032,0))</f>
        <v>#N/A</v>
      </c>
      <c r="Q317" t="e">
        <f>INDEX(Items!C$2:C$1032,MATCH($O317,Items!$A$2:$A$1032,0))</f>
        <v>#N/A</v>
      </c>
      <c r="R317" t="e">
        <f>INDEX(Items!D$2:D$1032,MATCH($O317,Items!$A$2:$A$1032,0))</f>
        <v>#N/A</v>
      </c>
    </row>
    <row r="318" spans="1:18" x14ac:dyDescent="0.25">
      <c r="A318">
        <f t="shared" si="22"/>
        <v>1</v>
      </c>
      <c r="B318" t="str">
        <f t="shared" si="23"/>
        <v/>
      </c>
      <c r="C318">
        <f t="shared" si="25"/>
        <v>1</v>
      </c>
      <c r="D318" s="4"/>
      <c r="E318" t="s">
        <v>18</v>
      </c>
      <c r="F318" t="str">
        <f>INDEX(Establishment!B$2:B$1005,MATCH($E318,Establishment!$A$2:$A$1005,0))</f>
        <v xml:space="preserve"> </v>
      </c>
      <c r="G318" t="str">
        <f>INDEX(Establishment!C$2:C$1005,MATCH($E318,Establishment!$A$2:$A$1005,0))</f>
        <v xml:space="preserve"> </v>
      </c>
      <c r="M318">
        <f t="shared" si="26"/>
        <v>0</v>
      </c>
      <c r="N318">
        <f t="shared" si="24"/>
        <v>0</v>
      </c>
      <c r="P318" t="e">
        <f>INDEX(Items!B$2:B$1032,MATCH($O318,Items!$A$2:$A$1032,0))</f>
        <v>#N/A</v>
      </c>
      <c r="Q318" t="e">
        <f>INDEX(Items!C$2:C$1032,MATCH($O318,Items!$A$2:$A$1032,0))</f>
        <v>#N/A</v>
      </c>
      <c r="R318" t="e">
        <f>INDEX(Items!D$2:D$1032,MATCH($O318,Items!$A$2:$A$1032,0))</f>
        <v>#N/A</v>
      </c>
    </row>
    <row r="319" spans="1:18" x14ac:dyDescent="0.25">
      <c r="A319">
        <f t="shared" si="22"/>
        <v>1</v>
      </c>
      <c r="B319" t="str">
        <f t="shared" si="23"/>
        <v/>
      </c>
      <c r="C319">
        <f t="shared" si="25"/>
        <v>1</v>
      </c>
      <c r="D319" s="4"/>
      <c r="E319" t="s">
        <v>18</v>
      </c>
      <c r="F319" t="str">
        <f>INDEX(Establishment!B$2:B$1005,MATCH($E319,Establishment!$A$2:$A$1005,0))</f>
        <v xml:space="preserve"> </v>
      </c>
      <c r="G319" t="str">
        <f>INDEX(Establishment!C$2:C$1005,MATCH($E319,Establishment!$A$2:$A$1005,0))</f>
        <v xml:space="preserve"> </v>
      </c>
      <c r="M319">
        <f t="shared" si="26"/>
        <v>0</v>
      </c>
      <c r="N319">
        <f t="shared" si="24"/>
        <v>0</v>
      </c>
      <c r="P319" t="e">
        <f>INDEX(Items!B$2:B$1032,MATCH($O319,Items!$A$2:$A$1032,0))</f>
        <v>#N/A</v>
      </c>
      <c r="Q319" t="e">
        <f>INDEX(Items!C$2:C$1032,MATCH($O319,Items!$A$2:$A$1032,0))</f>
        <v>#N/A</v>
      </c>
      <c r="R319" t="e">
        <f>INDEX(Items!D$2:D$1032,MATCH($O319,Items!$A$2:$A$1032,0))</f>
        <v>#N/A</v>
      </c>
    </row>
    <row r="320" spans="1:18" x14ac:dyDescent="0.25">
      <c r="A320">
        <f t="shared" si="22"/>
        <v>1</v>
      </c>
      <c r="B320" t="str">
        <f t="shared" si="23"/>
        <v/>
      </c>
      <c r="C320">
        <f t="shared" si="25"/>
        <v>1</v>
      </c>
      <c r="D320" s="4"/>
      <c r="E320" t="s">
        <v>18</v>
      </c>
      <c r="F320" t="str">
        <f>INDEX(Establishment!B$2:B$1005,MATCH($E320,Establishment!$A$2:$A$1005,0))</f>
        <v xml:space="preserve"> </v>
      </c>
      <c r="G320" t="str">
        <f>INDEX(Establishment!C$2:C$1005,MATCH($E320,Establishment!$A$2:$A$1005,0))</f>
        <v xml:space="preserve"> </v>
      </c>
      <c r="M320">
        <f t="shared" si="26"/>
        <v>0</v>
      </c>
      <c r="N320">
        <f t="shared" si="24"/>
        <v>0</v>
      </c>
      <c r="P320" t="e">
        <f>INDEX(Items!B$2:B$1032,MATCH($O320,Items!$A$2:$A$1032,0))</f>
        <v>#N/A</v>
      </c>
      <c r="Q320" t="e">
        <f>INDEX(Items!C$2:C$1032,MATCH($O320,Items!$A$2:$A$1032,0))</f>
        <v>#N/A</v>
      </c>
      <c r="R320" t="e">
        <f>INDEX(Items!D$2:D$1032,MATCH($O320,Items!$A$2:$A$1032,0))</f>
        <v>#N/A</v>
      </c>
    </row>
    <row r="321" spans="1:18" x14ac:dyDescent="0.25">
      <c r="A321">
        <f t="shared" si="22"/>
        <v>1</v>
      </c>
      <c r="B321" t="str">
        <f t="shared" si="23"/>
        <v/>
      </c>
      <c r="C321">
        <f t="shared" si="25"/>
        <v>1</v>
      </c>
      <c r="D321" s="4"/>
      <c r="E321" t="s">
        <v>18</v>
      </c>
      <c r="F321" t="str">
        <f>INDEX(Establishment!B$2:B$1005,MATCH($E321,Establishment!$A$2:$A$1005,0))</f>
        <v xml:space="preserve"> </v>
      </c>
      <c r="G321" t="str">
        <f>INDEX(Establishment!C$2:C$1005,MATCH($E321,Establishment!$A$2:$A$1005,0))</f>
        <v xml:space="preserve"> </v>
      </c>
      <c r="M321">
        <f t="shared" si="26"/>
        <v>0</v>
      </c>
      <c r="N321">
        <f t="shared" si="24"/>
        <v>0</v>
      </c>
      <c r="P321" t="e">
        <f>INDEX(Items!B$2:B$1032,MATCH($O321,Items!$A$2:$A$1032,0))</f>
        <v>#N/A</v>
      </c>
      <c r="Q321" t="e">
        <f>INDEX(Items!C$2:C$1032,MATCH($O321,Items!$A$2:$A$1032,0))</f>
        <v>#N/A</v>
      </c>
      <c r="R321" t="e">
        <f>INDEX(Items!D$2:D$1032,MATCH($O321,Items!$A$2:$A$1032,0))</f>
        <v>#N/A</v>
      </c>
    </row>
    <row r="322" spans="1:18" x14ac:dyDescent="0.25">
      <c r="A322">
        <f t="shared" ref="A322:A385" si="27">IF(OR(D322&lt;&gt;D321,D322=""),1,IF(NOT(AND(E322=E321,F322=F321,G322=G321)),A321+1,IF(OR(H322="",AND(H322&lt;&gt;"",H322&lt;&gt;H321,H321&lt;&gt;"")),A321,A321+1)))</f>
        <v>1</v>
      </c>
      <c r="B322" t="str">
        <f t="shared" ref="B322:B385" si="28">IF(D322&lt;&gt;"",TEXT(D322,"YYYYMMDD")&amp;CHAR(64+A322),"")</f>
        <v/>
      </c>
      <c r="C322">
        <f t="shared" si="25"/>
        <v>1</v>
      </c>
      <c r="D322" s="4"/>
      <c r="E322" t="s">
        <v>18</v>
      </c>
      <c r="F322" t="str">
        <f>INDEX(Establishment!B$2:B$1005,MATCH($E322,Establishment!$A$2:$A$1005,0))</f>
        <v xml:space="preserve"> </v>
      </c>
      <c r="G322" t="str">
        <f>INDEX(Establishment!C$2:C$1005,MATCH($E322,Establishment!$A$2:$A$1005,0))</f>
        <v xml:space="preserve"> </v>
      </c>
      <c r="M322">
        <f t="shared" si="26"/>
        <v>0</v>
      </c>
      <c r="N322">
        <f t="shared" si="24"/>
        <v>0</v>
      </c>
      <c r="P322" t="e">
        <f>INDEX(Items!B$2:B$1032,MATCH($O322,Items!$A$2:$A$1032,0))</f>
        <v>#N/A</v>
      </c>
      <c r="Q322" t="e">
        <f>INDEX(Items!C$2:C$1032,MATCH($O322,Items!$A$2:$A$1032,0))</f>
        <v>#N/A</v>
      </c>
      <c r="R322" t="e">
        <f>INDEX(Items!D$2:D$1032,MATCH($O322,Items!$A$2:$A$1032,0))</f>
        <v>#N/A</v>
      </c>
    </row>
    <row r="323" spans="1:18" x14ac:dyDescent="0.25">
      <c r="A323">
        <f t="shared" si="27"/>
        <v>1</v>
      </c>
      <c r="B323" t="str">
        <f t="shared" si="28"/>
        <v/>
      </c>
      <c r="C323">
        <f t="shared" si="25"/>
        <v>1</v>
      </c>
      <c r="D323" s="4"/>
      <c r="E323" t="s">
        <v>18</v>
      </c>
      <c r="F323" t="str">
        <f>INDEX(Establishment!B$2:B$1005,MATCH($E323,Establishment!$A$2:$A$1005,0))</f>
        <v xml:space="preserve"> </v>
      </c>
      <c r="G323" t="str">
        <f>INDEX(Establishment!C$2:C$1005,MATCH($E323,Establishment!$A$2:$A$1005,0))</f>
        <v xml:space="preserve"> </v>
      </c>
      <c r="M323">
        <f t="shared" si="26"/>
        <v>0</v>
      </c>
      <c r="N323">
        <f t="shared" ref="N323:N386" si="29">IF(B323=B322,N322+M323,M323)</f>
        <v>0</v>
      </c>
      <c r="P323" t="e">
        <f>INDEX(Items!B$2:B$1032,MATCH($O323,Items!$A$2:$A$1032,0))</f>
        <v>#N/A</v>
      </c>
      <c r="Q323" t="e">
        <f>INDEX(Items!C$2:C$1032,MATCH($O323,Items!$A$2:$A$1032,0))</f>
        <v>#N/A</v>
      </c>
      <c r="R323" t="e">
        <f>INDEX(Items!D$2:D$1032,MATCH($O323,Items!$A$2:$A$1032,0))</f>
        <v>#N/A</v>
      </c>
    </row>
    <row r="324" spans="1:18" x14ac:dyDescent="0.25">
      <c r="A324">
        <f t="shared" si="27"/>
        <v>1</v>
      </c>
      <c r="B324" t="str">
        <f t="shared" si="28"/>
        <v/>
      </c>
      <c r="C324">
        <f t="shared" si="25"/>
        <v>1</v>
      </c>
      <c r="D324" s="4"/>
      <c r="E324" t="s">
        <v>18</v>
      </c>
      <c r="F324" t="str">
        <f>INDEX(Establishment!B$2:B$1005,MATCH($E324,Establishment!$A$2:$A$1005,0))</f>
        <v xml:space="preserve"> </v>
      </c>
      <c r="G324" t="str">
        <f>INDEX(Establishment!C$2:C$1005,MATCH($E324,Establishment!$A$2:$A$1005,0))</f>
        <v xml:space="preserve"> </v>
      </c>
      <c r="M324">
        <f t="shared" si="26"/>
        <v>0</v>
      </c>
      <c r="N324">
        <f t="shared" si="29"/>
        <v>0</v>
      </c>
      <c r="P324" t="e">
        <f>INDEX(Items!B$2:B$1032,MATCH($O324,Items!$A$2:$A$1032,0))</f>
        <v>#N/A</v>
      </c>
      <c r="Q324" t="e">
        <f>INDEX(Items!C$2:C$1032,MATCH($O324,Items!$A$2:$A$1032,0))</f>
        <v>#N/A</v>
      </c>
      <c r="R324" t="e">
        <f>INDEX(Items!D$2:D$1032,MATCH($O324,Items!$A$2:$A$1032,0))</f>
        <v>#N/A</v>
      </c>
    </row>
    <row r="325" spans="1:18" x14ac:dyDescent="0.25">
      <c r="A325">
        <f t="shared" si="27"/>
        <v>1</v>
      </c>
      <c r="B325" t="str">
        <f t="shared" si="28"/>
        <v/>
      </c>
      <c r="C325">
        <f t="shared" si="25"/>
        <v>1</v>
      </c>
      <c r="D325" s="4"/>
      <c r="E325" t="s">
        <v>18</v>
      </c>
      <c r="F325" t="str">
        <f>INDEX(Establishment!B$2:B$1005,MATCH($E325,Establishment!$A$2:$A$1005,0))</f>
        <v xml:space="preserve"> </v>
      </c>
      <c r="G325" t="str">
        <f>INDEX(Establishment!C$2:C$1005,MATCH($E325,Establishment!$A$2:$A$1005,0))</f>
        <v xml:space="preserve"> </v>
      </c>
      <c r="M325">
        <f t="shared" si="26"/>
        <v>0</v>
      </c>
      <c r="N325">
        <f t="shared" si="29"/>
        <v>0</v>
      </c>
      <c r="P325" t="e">
        <f>INDEX(Items!B$2:B$1032,MATCH($O325,Items!$A$2:$A$1032,0))</f>
        <v>#N/A</v>
      </c>
      <c r="Q325" t="e">
        <f>INDEX(Items!C$2:C$1032,MATCH($O325,Items!$A$2:$A$1032,0))</f>
        <v>#N/A</v>
      </c>
      <c r="R325" t="e">
        <f>INDEX(Items!D$2:D$1032,MATCH($O325,Items!$A$2:$A$1032,0))</f>
        <v>#N/A</v>
      </c>
    </row>
    <row r="326" spans="1:18" x14ac:dyDescent="0.25">
      <c r="A326">
        <f t="shared" si="27"/>
        <v>1</v>
      </c>
      <c r="B326" t="str">
        <f t="shared" si="28"/>
        <v/>
      </c>
      <c r="C326">
        <f t="shared" si="25"/>
        <v>1</v>
      </c>
      <c r="D326" s="4"/>
      <c r="E326" t="s">
        <v>18</v>
      </c>
      <c r="F326" t="str">
        <f>INDEX(Establishment!B$2:B$1005,MATCH($E326,Establishment!$A$2:$A$1005,0))</f>
        <v xml:space="preserve"> </v>
      </c>
      <c r="G326" t="str">
        <f>INDEX(Establishment!C$2:C$1005,MATCH($E326,Establishment!$A$2:$A$1005,0))</f>
        <v xml:space="preserve"> </v>
      </c>
      <c r="M326">
        <f t="shared" si="26"/>
        <v>0</v>
      </c>
      <c r="N326">
        <f t="shared" si="29"/>
        <v>0</v>
      </c>
      <c r="P326" t="e">
        <f>INDEX(Items!B$2:B$1032,MATCH($O326,Items!$A$2:$A$1032,0))</f>
        <v>#N/A</v>
      </c>
      <c r="Q326" t="e">
        <f>INDEX(Items!C$2:C$1032,MATCH($O326,Items!$A$2:$A$1032,0))</f>
        <v>#N/A</v>
      </c>
      <c r="R326" t="e">
        <f>INDEX(Items!D$2:D$1032,MATCH($O326,Items!$A$2:$A$1032,0))</f>
        <v>#N/A</v>
      </c>
    </row>
    <row r="327" spans="1:18" x14ac:dyDescent="0.25">
      <c r="A327">
        <f t="shared" si="27"/>
        <v>1</v>
      </c>
      <c r="B327" t="str">
        <f t="shared" si="28"/>
        <v/>
      </c>
      <c r="C327">
        <f t="shared" si="25"/>
        <v>1</v>
      </c>
      <c r="D327" s="4"/>
      <c r="E327" t="s">
        <v>18</v>
      </c>
      <c r="F327" t="str">
        <f>INDEX(Establishment!B$2:B$1005,MATCH($E327,Establishment!$A$2:$A$1005,0))</f>
        <v xml:space="preserve"> </v>
      </c>
      <c r="G327" t="str">
        <f>INDEX(Establishment!C$2:C$1005,MATCH($E327,Establishment!$A$2:$A$1005,0))</f>
        <v xml:space="preserve"> </v>
      </c>
      <c r="M327">
        <f t="shared" si="26"/>
        <v>0</v>
      </c>
      <c r="N327">
        <f t="shared" si="29"/>
        <v>0</v>
      </c>
      <c r="P327" t="e">
        <f>INDEX(Items!B$2:B$1032,MATCH($O327,Items!$A$2:$A$1032,0))</f>
        <v>#N/A</v>
      </c>
      <c r="Q327" t="e">
        <f>INDEX(Items!C$2:C$1032,MATCH($O327,Items!$A$2:$A$1032,0))</f>
        <v>#N/A</v>
      </c>
      <c r="R327" t="e">
        <f>INDEX(Items!D$2:D$1032,MATCH($O327,Items!$A$2:$A$1032,0))</f>
        <v>#N/A</v>
      </c>
    </row>
    <row r="328" spans="1:18" x14ac:dyDescent="0.25">
      <c r="A328">
        <f t="shared" si="27"/>
        <v>1</v>
      </c>
      <c r="B328" t="str">
        <f t="shared" si="28"/>
        <v/>
      </c>
      <c r="C328">
        <f t="shared" si="25"/>
        <v>1</v>
      </c>
      <c r="D328" s="4"/>
      <c r="E328" t="s">
        <v>18</v>
      </c>
      <c r="F328" t="str">
        <f>INDEX(Establishment!B$2:B$1005,MATCH($E328,Establishment!$A$2:$A$1005,0))</f>
        <v xml:space="preserve"> </v>
      </c>
      <c r="G328" t="str">
        <f>INDEX(Establishment!C$2:C$1005,MATCH($E328,Establishment!$A$2:$A$1005,0))</f>
        <v xml:space="preserve"> </v>
      </c>
      <c r="M328">
        <f t="shared" si="26"/>
        <v>0</v>
      </c>
      <c r="N328">
        <f t="shared" si="29"/>
        <v>0</v>
      </c>
      <c r="P328" t="e">
        <f>INDEX(Items!B$2:B$1032,MATCH($O328,Items!$A$2:$A$1032,0))</f>
        <v>#N/A</v>
      </c>
      <c r="Q328" t="e">
        <f>INDEX(Items!C$2:C$1032,MATCH($O328,Items!$A$2:$A$1032,0))</f>
        <v>#N/A</v>
      </c>
      <c r="R328" t="e">
        <f>INDEX(Items!D$2:D$1032,MATCH($O328,Items!$A$2:$A$1032,0))</f>
        <v>#N/A</v>
      </c>
    </row>
    <row r="329" spans="1:18" x14ac:dyDescent="0.25">
      <c r="A329">
        <f t="shared" si="27"/>
        <v>1</v>
      </c>
      <c r="B329" t="str">
        <f t="shared" si="28"/>
        <v/>
      </c>
      <c r="C329">
        <f t="shared" si="25"/>
        <v>1</v>
      </c>
      <c r="D329" s="4"/>
      <c r="E329" t="s">
        <v>18</v>
      </c>
      <c r="F329" t="str">
        <f>INDEX(Establishment!B$2:B$1005,MATCH($E329,Establishment!$A$2:$A$1005,0))</f>
        <v xml:space="preserve"> </v>
      </c>
      <c r="G329" t="str">
        <f>INDEX(Establishment!C$2:C$1005,MATCH($E329,Establishment!$A$2:$A$1005,0))</f>
        <v xml:space="preserve"> </v>
      </c>
      <c r="M329">
        <f t="shared" si="26"/>
        <v>0</v>
      </c>
      <c r="N329">
        <f t="shared" si="29"/>
        <v>0</v>
      </c>
      <c r="P329" t="e">
        <f>INDEX(Items!B$2:B$1032,MATCH($O329,Items!$A$2:$A$1032,0))</f>
        <v>#N/A</v>
      </c>
      <c r="Q329" t="e">
        <f>INDEX(Items!C$2:C$1032,MATCH($O329,Items!$A$2:$A$1032,0))</f>
        <v>#N/A</v>
      </c>
      <c r="R329" t="e">
        <f>INDEX(Items!D$2:D$1032,MATCH($O329,Items!$A$2:$A$1032,0))</f>
        <v>#N/A</v>
      </c>
    </row>
    <row r="330" spans="1:18" x14ac:dyDescent="0.25">
      <c r="A330">
        <f t="shared" si="27"/>
        <v>1</v>
      </c>
      <c r="B330" t="str">
        <f t="shared" si="28"/>
        <v/>
      </c>
      <c r="C330">
        <f t="shared" ref="C330:C393" si="30">IF(OR(B330="",B330&lt;&gt;B329),1,C329+1)</f>
        <v>1</v>
      </c>
      <c r="D330" s="4"/>
      <c r="E330" t="s">
        <v>18</v>
      </c>
      <c r="F330" t="str">
        <f>INDEX(Establishment!B$2:B$1005,MATCH($E330,Establishment!$A$2:$A$1005,0))</f>
        <v xml:space="preserve"> </v>
      </c>
      <c r="G330" t="str">
        <f>INDEX(Establishment!C$2:C$1005,MATCH($E330,Establishment!$A$2:$A$1005,0))</f>
        <v xml:space="preserve"> </v>
      </c>
      <c r="M330">
        <f t="shared" ref="M330:M393" si="31">K330*L330</f>
        <v>0</v>
      </c>
      <c r="N330">
        <f t="shared" si="29"/>
        <v>0</v>
      </c>
      <c r="P330" t="e">
        <f>INDEX(Items!B$2:B$1032,MATCH($O330,Items!$A$2:$A$1032,0))</f>
        <v>#N/A</v>
      </c>
      <c r="Q330" t="e">
        <f>INDEX(Items!C$2:C$1032,MATCH($O330,Items!$A$2:$A$1032,0))</f>
        <v>#N/A</v>
      </c>
      <c r="R330" t="e">
        <f>INDEX(Items!D$2:D$1032,MATCH($O330,Items!$A$2:$A$1032,0))</f>
        <v>#N/A</v>
      </c>
    </row>
    <row r="331" spans="1:18" x14ac:dyDescent="0.25">
      <c r="A331">
        <f t="shared" si="27"/>
        <v>1</v>
      </c>
      <c r="B331" t="str">
        <f t="shared" si="28"/>
        <v/>
      </c>
      <c r="C331">
        <f t="shared" si="30"/>
        <v>1</v>
      </c>
      <c r="D331" s="4"/>
      <c r="E331" t="s">
        <v>18</v>
      </c>
      <c r="F331" t="str">
        <f>INDEX(Establishment!B$2:B$1005,MATCH($E331,Establishment!$A$2:$A$1005,0))</f>
        <v xml:space="preserve"> </v>
      </c>
      <c r="G331" t="str">
        <f>INDEX(Establishment!C$2:C$1005,MATCH($E331,Establishment!$A$2:$A$1005,0))</f>
        <v xml:space="preserve"> </v>
      </c>
      <c r="M331">
        <f t="shared" si="31"/>
        <v>0</v>
      </c>
      <c r="N331">
        <f t="shared" si="29"/>
        <v>0</v>
      </c>
      <c r="P331" t="e">
        <f>INDEX(Items!B$2:B$1032,MATCH($O331,Items!$A$2:$A$1032,0))</f>
        <v>#N/A</v>
      </c>
      <c r="Q331" t="e">
        <f>INDEX(Items!C$2:C$1032,MATCH($O331,Items!$A$2:$A$1032,0))</f>
        <v>#N/A</v>
      </c>
      <c r="R331" t="e">
        <f>INDEX(Items!D$2:D$1032,MATCH($O331,Items!$A$2:$A$1032,0))</f>
        <v>#N/A</v>
      </c>
    </row>
    <row r="332" spans="1:18" x14ac:dyDescent="0.25">
      <c r="A332">
        <f t="shared" si="27"/>
        <v>1</v>
      </c>
      <c r="B332" t="str">
        <f t="shared" si="28"/>
        <v/>
      </c>
      <c r="C332">
        <f t="shared" si="30"/>
        <v>1</v>
      </c>
      <c r="D332" s="4"/>
      <c r="E332" t="s">
        <v>18</v>
      </c>
      <c r="F332" t="str">
        <f>INDEX(Establishment!B$2:B$1005,MATCH($E332,Establishment!$A$2:$A$1005,0))</f>
        <v xml:space="preserve"> </v>
      </c>
      <c r="G332" t="str">
        <f>INDEX(Establishment!C$2:C$1005,MATCH($E332,Establishment!$A$2:$A$1005,0))</f>
        <v xml:space="preserve"> </v>
      </c>
      <c r="M332">
        <f t="shared" si="31"/>
        <v>0</v>
      </c>
      <c r="N332">
        <f t="shared" si="29"/>
        <v>0</v>
      </c>
      <c r="P332" t="e">
        <f>INDEX(Items!B$2:B$1032,MATCH($O332,Items!$A$2:$A$1032,0))</f>
        <v>#N/A</v>
      </c>
      <c r="Q332" t="e">
        <f>INDEX(Items!C$2:C$1032,MATCH($O332,Items!$A$2:$A$1032,0))</f>
        <v>#N/A</v>
      </c>
      <c r="R332" t="e">
        <f>INDEX(Items!D$2:D$1032,MATCH($O332,Items!$A$2:$A$1032,0))</f>
        <v>#N/A</v>
      </c>
    </row>
    <row r="333" spans="1:18" x14ac:dyDescent="0.25">
      <c r="A333">
        <f t="shared" si="27"/>
        <v>1</v>
      </c>
      <c r="B333" t="str">
        <f t="shared" si="28"/>
        <v/>
      </c>
      <c r="C333">
        <f t="shared" si="30"/>
        <v>1</v>
      </c>
      <c r="D333" s="4"/>
      <c r="E333" t="s">
        <v>18</v>
      </c>
      <c r="F333" t="str">
        <f>INDEX(Establishment!B$2:B$1005,MATCH($E333,Establishment!$A$2:$A$1005,0))</f>
        <v xml:space="preserve"> </v>
      </c>
      <c r="G333" t="str">
        <f>INDEX(Establishment!C$2:C$1005,MATCH($E333,Establishment!$A$2:$A$1005,0))</f>
        <v xml:space="preserve"> </v>
      </c>
      <c r="M333">
        <f t="shared" si="31"/>
        <v>0</v>
      </c>
      <c r="N333">
        <f t="shared" si="29"/>
        <v>0</v>
      </c>
      <c r="P333" t="e">
        <f>INDEX(Items!B$2:B$1032,MATCH($O333,Items!$A$2:$A$1032,0))</f>
        <v>#N/A</v>
      </c>
      <c r="Q333" t="e">
        <f>INDEX(Items!C$2:C$1032,MATCH($O333,Items!$A$2:$A$1032,0))</f>
        <v>#N/A</v>
      </c>
      <c r="R333" t="e">
        <f>INDEX(Items!D$2:D$1032,MATCH($O333,Items!$A$2:$A$1032,0))</f>
        <v>#N/A</v>
      </c>
    </row>
    <row r="334" spans="1:18" x14ac:dyDescent="0.25">
      <c r="A334">
        <f t="shared" si="27"/>
        <v>1</v>
      </c>
      <c r="B334" t="str">
        <f t="shared" si="28"/>
        <v/>
      </c>
      <c r="C334">
        <f t="shared" si="30"/>
        <v>1</v>
      </c>
      <c r="D334" s="4"/>
      <c r="E334" t="s">
        <v>18</v>
      </c>
      <c r="F334" t="str">
        <f>INDEX(Establishment!B$2:B$1005,MATCH($E334,Establishment!$A$2:$A$1005,0))</f>
        <v xml:space="preserve"> </v>
      </c>
      <c r="G334" t="str">
        <f>INDEX(Establishment!C$2:C$1005,MATCH($E334,Establishment!$A$2:$A$1005,0))</f>
        <v xml:space="preserve"> </v>
      </c>
      <c r="M334">
        <f t="shared" si="31"/>
        <v>0</v>
      </c>
      <c r="N334">
        <f t="shared" si="29"/>
        <v>0</v>
      </c>
      <c r="P334" t="e">
        <f>INDEX(Items!B$2:B$1032,MATCH($O334,Items!$A$2:$A$1032,0))</f>
        <v>#N/A</v>
      </c>
      <c r="Q334" t="e">
        <f>INDEX(Items!C$2:C$1032,MATCH($O334,Items!$A$2:$A$1032,0))</f>
        <v>#N/A</v>
      </c>
      <c r="R334" t="e">
        <f>INDEX(Items!D$2:D$1032,MATCH($O334,Items!$A$2:$A$1032,0))</f>
        <v>#N/A</v>
      </c>
    </row>
    <row r="335" spans="1:18" x14ac:dyDescent="0.25">
      <c r="A335">
        <f t="shared" si="27"/>
        <v>1</v>
      </c>
      <c r="B335" t="str">
        <f t="shared" si="28"/>
        <v/>
      </c>
      <c r="C335">
        <f t="shared" si="30"/>
        <v>1</v>
      </c>
      <c r="D335" s="4"/>
      <c r="E335" t="s">
        <v>18</v>
      </c>
      <c r="F335" t="str">
        <f>INDEX(Establishment!B$2:B$1005,MATCH($E335,Establishment!$A$2:$A$1005,0))</f>
        <v xml:space="preserve"> </v>
      </c>
      <c r="G335" t="str">
        <f>INDEX(Establishment!C$2:C$1005,MATCH($E335,Establishment!$A$2:$A$1005,0))</f>
        <v xml:space="preserve"> </v>
      </c>
      <c r="M335">
        <f t="shared" si="31"/>
        <v>0</v>
      </c>
      <c r="N335">
        <f t="shared" si="29"/>
        <v>0</v>
      </c>
      <c r="P335" t="e">
        <f>INDEX(Items!B$2:B$1032,MATCH($O335,Items!$A$2:$A$1032,0))</f>
        <v>#N/A</v>
      </c>
      <c r="Q335" t="e">
        <f>INDEX(Items!C$2:C$1032,MATCH($O335,Items!$A$2:$A$1032,0))</f>
        <v>#N/A</v>
      </c>
      <c r="R335" t="e">
        <f>INDEX(Items!D$2:D$1032,MATCH($O335,Items!$A$2:$A$1032,0))</f>
        <v>#N/A</v>
      </c>
    </row>
    <row r="336" spans="1:18" x14ac:dyDescent="0.25">
      <c r="A336">
        <f t="shared" si="27"/>
        <v>1</v>
      </c>
      <c r="B336" t="str">
        <f t="shared" si="28"/>
        <v/>
      </c>
      <c r="C336">
        <f t="shared" si="30"/>
        <v>1</v>
      </c>
      <c r="D336" s="4"/>
      <c r="E336" t="s">
        <v>18</v>
      </c>
      <c r="F336" t="str">
        <f>INDEX(Establishment!B$2:B$1005,MATCH($E336,Establishment!$A$2:$A$1005,0))</f>
        <v xml:space="preserve"> </v>
      </c>
      <c r="G336" t="str">
        <f>INDEX(Establishment!C$2:C$1005,MATCH($E336,Establishment!$A$2:$A$1005,0))</f>
        <v xml:space="preserve"> </v>
      </c>
      <c r="M336">
        <f t="shared" si="31"/>
        <v>0</v>
      </c>
      <c r="N336">
        <f t="shared" si="29"/>
        <v>0</v>
      </c>
      <c r="P336" t="e">
        <f>INDEX(Items!B$2:B$1032,MATCH($O336,Items!$A$2:$A$1032,0))</f>
        <v>#N/A</v>
      </c>
      <c r="Q336" t="e">
        <f>INDEX(Items!C$2:C$1032,MATCH($O336,Items!$A$2:$A$1032,0))</f>
        <v>#N/A</v>
      </c>
      <c r="R336" t="e">
        <f>INDEX(Items!D$2:D$1032,MATCH($O336,Items!$A$2:$A$1032,0))</f>
        <v>#N/A</v>
      </c>
    </row>
    <row r="337" spans="1:18" x14ac:dyDescent="0.25">
      <c r="A337">
        <f t="shared" si="27"/>
        <v>1</v>
      </c>
      <c r="B337" t="str">
        <f t="shared" si="28"/>
        <v/>
      </c>
      <c r="C337">
        <f t="shared" si="30"/>
        <v>1</v>
      </c>
      <c r="D337" s="4"/>
      <c r="E337" t="s">
        <v>18</v>
      </c>
      <c r="F337" t="str">
        <f>INDEX(Establishment!B$2:B$1005,MATCH($E337,Establishment!$A$2:$A$1005,0))</f>
        <v xml:space="preserve"> </v>
      </c>
      <c r="G337" t="str">
        <f>INDEX(Establishment!C$2:C$1005,MATCH($E337,Establishment!$A$2:$A$1005,0))</f>
        <v xml:space="preserve"> </v>
      </c>
      <c r="M337">
        <f t="shared" si="31"/>
        <v>0</v>
      </c>
      <c r="N337">
        <f t="shared" si="29"/>
        <v>0</v>
      </c>
      <c r="P337" t="e">
        <f>INDEX(Items!B$2:B$1032,MATCH($O337,Items!$A$2:$A$1032,0))</f>
        <v>#N/A</v>
      </c>
      <c r="Q337" t="e">
        <f>INDEX(Items!C$2:C$1032,MATCH($O337,Items!$A$2:$A$1032,0))</f>
        <v>#N/A</v>
      </c>
      <c r="R337" t="e">
        <f>INDEX(Items!D$2:D$1032,MATCH($O337,Items!$A$2:$A$1032,0))</f>
        <v>#N/A</v>
      </c>
    </row>
    <row r="338" spans="1:18" x14ac:dyDescent="0.25">
      <c r="A338">
        <f t="shared" si="27"/>
        <v>1</v>
      </c>
      <c r="B338" t="str">
        <f t="shared" si="28"/>
        <v/>
      </c>
      <c r="C338">
        <f t="shared" si="30"/>
        <v>1</v>
      </c>
      <c r="D338" s="4"/>
      <c r="E338" t="s">
        <v>18</v>
      </c>
      <c r="F338" t="str">
        <f>INDEX(Establishment!B$2:B$1005,MATCH($E338,Establishment!$A$2:$A$1005,0))</f>
        <v xml:space="preserve"> </v>
      </c>
      <c r="G338" t="str">
        <f>INDEX(Establishment!C$2:C$1005,MATCH($E338,Establishment!$A$2:$A$1005,0))</f>
        <v xml:space="preserve"> </v>
      </c>
      <c r="M338">
        <f t="shared" si="31"/>
        <v>0</v>
      </c>
      <c r="N338">
        <f t="shared" si="29"/>
        <v>0</v>
      </c>
      <c r="P338" t="e">
        <f>INDEX(Items!B$2:B$1032,MATCH($O338,Items!$A$2:$A$1032,0))</f>
        <v>#N/A</v>
      </c>
      <c r="Q338" t="e">
        <f>INDEX(Items!C$2:C$1032,MATCH($O338,Items!$A$2:$A$1032,0))</f>
        <v>#N/A</v>
      </c>
      <c r="R338" t="e">
        <f>INDEX(Items!D$2:D$1032,MATCH($O338,Items!$A$2:$A$1032,0))</f>
        <v>#N/A</v>
      </c>
    </row>
    <row r="339" spans="1:18" x14ac:dyDescent="0.25">
      <c r="A339">
        <f t="shared" si="27"/>
        <v>1</v>
      </c>
      <c r="B339" t="str">
        <f t="shared" si="28"/>
        <v/>
      </c>
      <c r="C339">
        <f t="shared" si="30"/>
        <v>1</v>
      </c>
      <c r="D339" s="4"/>
      <c r="E339" t="s">
        <v>18</v>
      </c>
      <c r="F339" t="str">
        <f>INDEX(Establishment!B$2:B$1005,MATCH($E339,Establishment!$A$2:$A$1005,0))</f>
        <v xml:space="preserve"> </v>
      </c>
      <c r="G339" t="str">
        <f>INDEX(Establishment!C$2:C$1005,MATCH($E339,Establishment!$A$2:$A$1005,0))</f>
        <v xml:space="preserve"> </v>
      </c>
      <c r="M339">
        <f t="shared" si="31"/>
        <v>0</v>
      </c>
      <c r="N339">
        <f t="shared" si="29"/>
        <v>0</v>
      </c>
      <c r="P339" t="e">
        <f>INDEX(Items!B$2:B$1032,MATCH($O339,Items!$A$2:$A$1032,0))</f>
        <v>#N/A</v>
      </c>
      <c r="Q339" t="e">
        <f>INDEX(Items!C$2:C$1032,MATCH($O339,Items!$A$2:$A$1032,0))</f>
        <v>#N/A</v>
      </c>
      <c r="R339" t="e">
        <f>INDEX(Items!D$2:D$1032,MATCH($O339,Items!$A$2:$A$1032,0))</f>
        <v>#N/A</v>
      </c>
    </row>
    <row r="340" spans="1:18" x14ac:dyDescent="0.25">
      <c r="A340">
        <f t="shared" si="27"/>
        <v>1</v>
      </c>
      <c r="B340" t="str">
        <f t="shared" si="28"/>
        <v/>
      </c>
      <c r="C340">
        <f t="shared" si="30"/>
        <v>1</v>
      </c>
      <c r="D340" s="4"/>
      <c r="E340" t="s">
        <v>18</v>
      </c>
      <c r="F340" t="str">
        <f>INDEX(Establishment!B$2:B$1005,MATCH($E340,Establishment!$A$2:$A$1005,0))</f>
        <v xml:space="preserve"> </v>
      </c>
      <c r="G340" t="str">
        <f>INDEX(Establishment!C$2:C$1005,MATCH($E340,Establishment!$A$2:$A$1005,0))</f>
        <v xml:space="preserve"> </v>
      </c>
      <c r="M340">
        <f t="shared" si="31"/>
        <v>0</v>
      </c>
      <c r="N340">
        <f t="shared" si="29"/>
        <v>0</v>
      </c>
      <c r="P340" t="e">
        <f>INDEX(Items!B$2:B$1032,MATCH($O340,Items!$A$2:$A$1032,0))</f>
        <v>#N/A</v>
      </c>
      <c r="Q340" t="e">
        <f>INDEX(Items!C$2:C$1032,MATCH($O340,Items!$A$2:$A$1032,0))</f>
        <v>#N/A</v>
      </c>
      <c r="R340" t="e">
        <f>INDEX(Items!D$2:D$1032,MATCH($O340,Items!$A$2:$A$1032,0))</f>
        <v>#N/A</v>
      </c>
    </row>
    <row r="341" spans="1:18" x14ac:dyDescent="0.25">
      <c r="A341">
        <f t="shared" si="27"/>
        <v>1</v>
      </c>
      <c r="B341" t="str">
        <f t="shared" si="28"/>
        <v/>
      </c>
      <c r="C341">
        <f t="shared" si="30"/>
        <v>1</v>
      </c>
      <c r="D341" s="4"/>
      <c r="E341" t="s">
        <v>18</v>
      </c>
      <c r="F341" t="str">
        <f>INDEX(Establishment!B$2:B$1005,MATCH($E341,Establishment!$A$2:$A$1005,0))</f>
        <v xml:space="preserve"> </v>
      </c>
      <c r="G341" t="str">
        <f>INDEX(Establishment!C$2:C$1005,MATCH($E341,Establishment!$A$2:$A$1005,0))</f>
        <v xml:space="preserve"> </v>
      </c>
      <c r="M341">
        <f t="shared" si="31"/>
        <v>0</v>
      </c>
      <c r="N341">
        <f t="shared" si="29"/>
        <v>0</v>
      </c>
      <c r="P341" t="e">
        <f>INDEX(Items!B$2:B$1032,MATCH($O341,Items!$A$2:$A$1032,0))</f>
        <v>#N/A</v>
      </c>
      <c r="Q341" t="e">
        <f>INDEX(Items!C$2:C$1032,MATCH($O341,Items!$A$2:$A$1032,0))</f>
        <v>#N/A</v>
      </c>
      <c r="R341" t="e">
        <f>INDEX(Items!D$2:D$1032,MATCH($O341,Items!$A$2:$A$1032,0))</f>
        <v>#N/A</v>
      </c>
    </row>
    <row r="342" spans="1:18" x14ac:dyDescent="0.25">
      <c r="A342">
        <f t="shared" si="27"/>
        <v>1</v>
      </c>
      <c r="B342" t="str">
        <f t="shared" si="28"/>
        <v/>
      </c>
      <c r="C342">
        <f t="shared" si="30"/>
        <v>1</v>
      </c>
      <c r="D342" s="4"/>
      <c r="E342" t="s">
        <v>18</v>
      </c>
      <c r="F342" t="str">
        <f>INDEX(Establishment!B$2:B$1005,MATCH($E342,Establishment!$A$2:$A$1005,0))</f>
        <v xml:space="preserve"> </v>
      </c>
      <c r="G342" t="str">
        <f>INDEX(Establishment!C$2:C$1005,MATCH($E342,Establishment!$A$2:$A$1005,0))</f>
        <v xml:space="preserve"> </v>
      </c>
      <c r="M342">
        <f t="shared" si="31"/>
        <v>0</v>
      </c>
      <c r="N342">
        <f t="shared" si="29"/>
        <v>0</v>
      </c>
      <c r="P342" t="e">
        <f>INDEX(Items!B$2:B$1032,MATCH($O342,Items!$A$2:$A$1032,0))</f>
        <v>#N/A</v>
      </c>
      <c r="Q342" t="e">
        <f>INDEX(Items!C$2:C$1032,MATCH($O342,Items!$A$2:$A$1032,0))</f>
        <v>#N/A</v>
      </c>
      <c r="R342" t="e">
        <f>INDEX(Items!D$2:D$1032,MATCH($O342,Items!$A$2:$A$1032,0))</f>
        <v>#N/A</v>
      </c>
    </row>
    <row r="343" spans="1:18" x14ac:dyDescent="0.25">
      <c r="A343">
        <f t="shared" si="27"/>
        <v>1</v>
      </c>
      <c r="B343" t="str">
        <f t="shared" si="28"/>
        <v/>
      </c>
      <c r="C343">
        <f t="shared" si="30"/>
        <v>1</v>
      </c>
      <c r="D343" s="4"/>
      <c r="E343" t="s">
        <v>18</v>
      </c>
      <c r="F343" t="str">
        <f>INDEX(Establishment!B$2:B$1005,MATCH($E343,Establishment!$A$2:$A$1005,0))</f>
        <v xml:space="preserve"> </v>
      </c>
      <c r="G343" t="str">
        <f>INDEX(Establishment!C$2:C$1005,MATCH($E343,Establishment!$A$2:$A$1005,0))</f>
        <v xml:space="preserve"> </v>
      </c>
      <c r="M343">
        <f t="shared" si="31"/>
        <v>0</v>
      </c>
      <c r="N343">
        <f t="shared" si="29"/>
        <v>0</v>
      </c>
      <c r="P343" t="e">
        <f>INDEX(Items!B$2:B$1032,MATCH($O343,Items!$A$2:$A$1032,0))</f>
        <v>#N/A</v>
      </c>
      <c r="Q343" t="e">
        <f>INDEX(Items!C$2:C$1032,MATCH($O343,Items!$A$2:$A$1032,0))</f>
        <v>#N/A</v>
      </c>
      <c r="R343" t="e">
        <f>INDEX(Items!D$2:D$1032,MATCH($O343,Items!$A$2:$A$1032,0))</f>
        <v>#N/A</v>
      </c>
    </row>
    <row r="344" spans="1:18" x14ac:dyDescent="0.25">
      <c r="A344">
        <f t="shared" si="27"/>
        <v>1</v>
      </c>
      <c r="B344" t="str">
        <f t="shared" si="28"/>
        <v/>
      </c>
      <c r="C344">
        <f t="shared" si="30"/>
        <v>1</v>
      </c>
      <c r="D344" s="4"/>
      <c r="E344" t="s">
        <v>18</v>
      </c>
      <c r="F344" t="str">
        <f>INDEX(Establishment!B$2:B$1005,MATCH($E344,Establishment!$A$2:$A$1005,0))</f>
        <v xml:space="preserve"> </v>
      </c>
      <c r="G344" t="str">
        <f>INDEX(Establishment!C$2:C$1005,MATCH($E344,Establishment!$A$2:$A$1005,0))</f>
        <v xml:space="preserve"> </v>
      </c>
      <c r="M344">
        <f t="shared" si="31"/>
        <v>0</v>
      </c>
      <c r="N344">
        <f t="shared" si="29"/>
        <v>0</v>
      </c>
      <c r="P344" t="e">
        <f>INDEX(Items!B$2:B$1032,MATCH($O344,Items!$A$2:$A$1032,0))</f>
        <v>#N/A</v>
      </c>
      <c r="Q344" t="e">
        <f>INDEX(Items!C$2:C$1032,MATCH($O344,Items!$A$2:$A$1032,0))</f>
        <v>#N/A</v>
      </c>
      <c r="R344" t="e">
        <f>INDEX(Items!D$2:D$1032,MATCH($O344,Items!$A$2:$A$1032,0))</f>
        <v>#N/A</v>
      </c>
    </row>
    <row r="345" spans="1:18" x14ac:dyDescent="0.25">
      <c r="A345">
        <f t="shared" si="27"/>
        <v>1</v>
      </c>
      <c r="B345" t="str">
        <f t="shared" si="28"/>
        <v/>
      </c>
      <c r="C345">
        <f t="shared" si="30"/>
        <v>1</v>
      </c>
      <c r="D345" s="4"/>
      <c r="E345" t="s">
        <v>18</v>
      </c>
      <c r="F345" t="str">
        <f>INDEX(Establishment!B$2:B$1005,MATCH($E345,Establishment!$A$2:$A$1005,0))</f>
        <v xml:space="preserve"> </v>
      </c>
      <c r="G345" t="str">
        <f>INDEX(Establishment!C$2:C$1005,MATCH($E345,Establishment!$A$2:$A$1005,0))</f>
        <v xml:space="preserve"> </v>
      </c>
      <c r="M345">
        <f t="shared" si="31"/>
        <v>0</v>
      </c>
      <c r="N345">
        <f t="shared" si="29"/>
        <v>0</v>
      </c>
      <c r="P345" t="e">
        <f>INDEX(Items!B$2:B$1032,MATCH($O345,Items!$A$2:$A$1032,0))</f>
        <v>#N/A</v>
      </c>
      <c r="Q345" t="e">
        <f>INDEX(Items!C$2:C$1032,MATCH($O345,Items!$A$2:$A$1032,0))</f>
        <v>#N/A</v>
      </c>
      <c r="R345" t="e">
        <f>INDEX(Items!D$2:D$1032,MATCH($O345,Items!$A$2:$A$1032,0))</f>
        <v>#N/A</v>
      </c>
    </row>
    <row r="346" spans="1:18" x14ac:dyDescent="0.25">
      <c r="A346">
        <f t="shared" si="27"/>
        <v>1</v>
      </c>
      <c r="B346" t="str">
        <f t="shared" si="28"/>
        <v/>
      </c>
      <c r="C346">
        <f t="shared" si="30"/>
        <v>1</v>
      </c>
      <c r="D346" s="4"/>
      <c r="E346" t="s">
        <v>18</v>
      </c>
      <c r="F346" t="str">
        <f>INDEX(Establishment!B$2:B$1005,MATCH($E346,Establishment!$A$2:$A$1005,0))</f>
        <v xml:space="preserve"> </v>
      </c>
      <c r="G346" t="str">
        <f>INDEX(Establishment!C$2:C$1005,MATCH($E346,Establishment!$A$2:$A$1005,0))</f>
        <v xml:space="preserve"> </v>
      </c>
      <c r="M346">
        <f t="shared" si="31"/>
        <v>0</v>
      </c>
      <c r="N346">
        <f t="shared" si="29"/>
        <v>0</v>
      </c>
      <c r="P346" t="e">
        <f>INDEX(Items!B$2:B$1032,MATCH($O346,Items!$A$2:$A$1032,0))</f>
        <v>#N/A</v>
      </c>
      <c r="Q346" t="e">
        <f>INDEX(Items!C$2:C$1032,MATCH($O346,Items!$A$2:$A$1032,0))</f>
        <v>#N/A</v>
      </c>
      <c r="R346" t="e">
        <f>INDEX(Items!D$2:D$1032,MATCH($O346,Items!$A$2:$A$1032,0))</f>
        <v>#N/A</v>
      </c>
    </row>
    <row r="347" spans="1:18" x14ac:dyDescent="0.25">
      <c r="A347">
        <f t="shared" si="27"/>
        <v>1</v>
      </c>
      <c r="B347" t="str">
        <f t="shared" si="28"/>
        <v/>
      </c>
      <c r="C347">
        <f t="shared" si="30"/>
        <v>1</v>
      </c>
      <c r="D347" s="4"/>
      <c r="E347" t="s">
        <v>18</v>
      </c>
      <c r="F347" t="str">
        <f>INDEX(Establishment!B$2:B$1005,MATCH($E347,Establishment!$A$2:$A$1005,0))</f>
        <v xml:space="preserve"> </v>
      </c>
      <c r="G347" t="str">
        <f>INDEX(Establishment!C$2:C$1005,MATCH($E347,Establishment!$A$2:$A$1005,0))</f>
        <v xml:space="preserve"> </v>
      </c>
      <c r="M347">
        <f t="shared" si="31"/>
        <v>0</v>
      </c>
      <c r="N347">
        <f t="shared" si="29"/>
        <v>0</v>
      </c>
      <c r="P347" t="e">
        <f>INDEX(Items!B$2:B$1032,MATCH($O347,Items!$A$2:$A$1032,0))</f>
        <v>#N/A</v>
      </c>
      <c r="Q347" t="e">
        <f>INDEX(Items!C$2:C$1032,MATCH($O347,Items!$A$2:$A$1032,0))</f>
        <v>#N/A</v>
      </c>
      <c r="R347" t="e">
        <f>INDEX(Items!D$2:D$1032,MATCH($O347,Items!$A$2:$A$1032,0))</f>
        <v>#N/A</v>
      </c>
    </row>
    <row r="348" spans="1:18" x14ac:dyDescent="0.25">
      <c r="A348">
        <f t="shared" si="27"/>
        <v>1</v>
      </c>
      <c r="B348" t="str">
        <f t="shared" si="28"/>
        <v/>
      </c>
      <c r="C348">
        <f t="shared" si="30"/>
        <v>1</v>
      </c>
      <c r="D348" s="4"/>
      <c r="E348" t="s">
        <v>18</v>
      </c>
      <c r="F348" t="str">
        <f>INDEX(Establishment!B$2:B$1005,MATCH($E348,Establishment!$A$2:$A$1005,0))</f>
        <v xml:space="preserve"> </v>
      </c>
      <c r="G348" t="str">
        <f>INDEX(Establishment!C$2:C$1005,MATCH($E348,Establishment!$A$2:$A$1005,0))</f>
        <v xml:space="preserve"> </v>
      </c>
      <c r="M348">
        <f t="shared" si="31"/>
        <v>0</v>
      </c>
      <c r="N348">
        <f t="shared" si="29"/>
        <v>0</v>
      </c>
      <c r="P348" t="e">
        <f>INDEX(Items!B$2:B$1032,MATCH($O348,Items!$A$2:$A$1032,0))</f>
        <v>#N/A</v>
      </c>
      <c r="Q348" t="e">
        <f>INDEX(Items!C$2:C$1032,MATCH($O348,Items!$A$2:$A$1032,0))</f>
        <v>#N/A</v>
      </c>
      <c r="R348" t="e">
        <f>INDEX(Items!D$2:D$1032,MATCH($O348,Items!$A$2:$A$1032,0))</f>
        <v>#N/A</v>
      </c>
    </row>
    <row r="349" spans="1:18" x14ac:dyDescent="0.25">
      <c r="A349">
        <f t="shared" si="27"/>
        <v>1</v>
      </c>
      <c r="B349" t="str">
        <f t="shared" si="28"/>
        <v/>
      </c>
      <c r="C349">
        <f t="shared" si="30"/>
        <v>1</v>
      </c>
      <c r="D349" s="4"/>
      <c r="E349" t="s">
        <v>18</v>
      </c>
      <c r="F349" t="str">
        <f>INDEX(Establishment!B$2:B$1005,MATCH($E349,Establishment!$A$2:$A$1005,0))</f>
        <v xml:space="preserve"> </v>
      </c>
      <c r="G349" t="str">
        <f>INDEX(Establishment!C$2:C$1005,MATCH($E349,Establishment!$A$2:$A$1005,0))</f>
        <v xml:space="preserve"> </v>
      </c>
      <c r="M349">
        <f t="shared" si="31"/>
        <v>0</v>
      </c>
      <c r="N349">
        <f t="shared" si="29"/>
        <v>0</v>
      </c>
      <c r="P349" t="e">
        <f>INDEX(Items!B$2:B$1032,MATCH($O349,Items!$A$2:$A$1032,0))</f>
        <v>#N/A</v>
      </c>
      <c r="Q349" t="e">
        <f>INDEX(Items!C$2:C$1032,MATCH($O349,Items!$A$2:$A$1032,0))</f>
        <v>#N/A</v>
      </c>
      <c r="R349" t="e">
        <f>INDEX(Items!D$2:D$1032,MATCH($O349,Items!$A$2:$A$1032,0))</f>
        <v>#N/A</v>
      </c>
    </row>
    <row r="350" spans="1:18" x14ac:dyDescent="0.25">
      <c r="A350">
        <f t="shared" si="27"/>
        <v>1</v>
      </c>
      <c r="B350" t="str">
        <f t="shared" si="28"/>
        <v/>
      </c>
      <c r="C350">
        <f t="shared" si="30"/>
        <v>1</v>
      </c>
      <c r="D350" s="4"/>
      <c r="E350" t="s">
        <v>18</v>
      </c>
      <c r="F350" t="str">
        <f>INDEX(Establishment!B$2:B$1005,MATCH($E350,Establishment!$A$2:$A$1005,0))</f>
        <v xml:space="preserve"> </v>
      </c>
      <c r="G350" t="str">
        <f>INDEX(Establishment!C$2:C$1005,MATCH($E350,Establishment!$A$2:$A$1005,0))</f>
        <v xml:space="preserve"> </v>
      </c>
      <c r="M350">
        <f t="shared" si="31"/>
        <v>0</v>
      </c>
      <c r="N350">
        <f t="shared" si="29"/>
        <v>0</v>
      </c>
      <c r="P350" t="e">
        <f>INDEX(Items!B$2:B$1032,MATCH($O350,Items!$A$2:$A$1032,0))</f>
        <v>#N/A</v>
      </c>
      <c r="Q350" t="e">
        <f>INDEX(Items!C$2:C$1032,MATCH($O350,Items!$A$2:$A$1032,0))</f>
        <v>#N/A</v>
      </c>
      <c r="R350" t="e">
        <f>INDEX(Items!D$2:D$1032,MATCH($O350,Items!$A$2:$A$1032,0))</f>
        <v>#N/A</v>
      </c>
    </row>
    <row r="351" spans="1:18" x14ac:dyDescent="0.25">
      <c r="A351">
        <f t="shared" si="27"/>
        <v>1</v>
      </c>
      <c r="B351" t="str">
        <f t="shared" si="28"/>
        <v/>
      </c>
      <c r="C351">
        <f t="shared" si="30"/>
        <v>1</v>
      </c>
      <c r="D351" s="4"/>
      <c r="E351" t="s">
        <v>18</v>
      </c>
      <c r="F351" t="str">
        <f>INDEX(Establishment!B$2:B$1005,MATCH($E351,Establishment!$A$2:$A$1005,0))</f>
        <v xml:space="preserve"> </v>
      </c>
      <c r="G351" t="str">
        <f>INDEX(Establishment!C$2:C$1005,MATCH($E351,Establishment!$A$2:$A$1005,0))</f>
        <v xml:space="preserve"> </v>
      </c>
      <c r="M351">
        <f t="shared" si="31"/>
        <v>0</v>
      </c>
      <c r="N351">
        <f t="shared" si="29"/>
        <v>0</v>
      </c>
      <c r="P351" t="e">
        <f>INDEX(Items!B$2:B$1032,MATCH($O351,Items!$A$2:$A$1032,0))</f>
        <v>#N/A</v>
      </c>
      <c r="Q351" t="e">
        <f>INDEX(Items!C$2:C$1032,MATCH($O351,Items!$A$2:$A$1032,0))</f>
        <v>#N/A</v>
      </c>
      <c r="R351" t="e">
        <f>INDEX(Items!D$2:D$1032,MATCH($O351,Items!$A$2:$A$1032,0))</f>
        <v>#N/A</v>
      </c>
    </row>
    <row r="352" spans="1:18" x14ac:dyDescent="0.25">
      <c r="A352">
        <f t="shared" si="27"/>
        <v>1</v>
      </c>
      <c r="B352" t="str">
        <f t="shared" si="28"/>
        <v/>
      </c>
      <c r="C352">
        <f t="shared" si="30"/>
        <v>1</v>
      </c>
      <c r="D352" s="4"/>
      <c r="E352" t="s">
        <v>18</v>
      </c>
      <c r="F352" t="str">
        <f>INDEX(Establishment!B$2:B$1005,MATCH($E352,Establishment!$A$2:$A$1005,0))</f>
        <v xml:space="preserve"> </v>
      </c>
      <c r="G352" t="str">
        <f>INDEX(Establishment!C$2:C$1005,MATCH($E352,Establishment!$A$2:$A$1005,0))</f>
        <v xml:space="preserve"> </v>
      </c>
      <c r="M352">
        <f t="shared" si="31"/>
        <v>0</v>
      </c>
      <c r="N352">
        <f t="shared" si="29"/>
        <v>0</v>
      </c>
      <c r="P352" t="e">
        <f>INDEX(Items!B$2:B$1032,MATCH($O352,Items!$A$2:$A$1032,0))</f>
        <v>#N/A</v>
      </c>
      <c r="Q352" t="e">
        <f>INDEX(Items!C$2:C$1032,MATCH($O352,Items!$A$2:$A$1032,0))</f>
        <v>#N/A</v>
      </c>
      <c r="R352" t="e">
        <f>INDEX(Items!D$2:D$1032,MATCH($O352,Items!$A$2:$A$1032,0))</f>
        <v>#N/A</v>
      </c>
    </row>
    <row r="353" spans="1:18" x14ac:dyDescent="0.25">
      <c r="A353">
        <f t="shared" si="27"/>
        <v>1</v>
      </c>
      <c r="B353" t="str">
        <f t="shared" si="28"/>
        <v/>
      </c>
      <c r="C353">
        <f t="shared" si="30"/>
        <v>1</v>
      </c>
      <c r="D353" s="4"/>
      <c r="E353" t="s">
        <v>18</v>
      </c>
      <c r="F353" t="str">
        <f>INDEX(Establishment!B$2:B$1005,MATCH($E353,Establishment!$A$2:$A$1005,0))</f>
        <v xml:space="preserve"> </v>
      </c>
      <c r="G353" t="str">
        <f>INDEX(Establishment!C$2:C$1005,MATCH($E353,Establishment!$A$2:$A$1005,0))</f>
        <v xml:space="preserve"> </v>
      </c>
      <c r="M353">
        <f t="shared" si="31"/>
        <v>0</v>
      </c>
      <c r="N353">
        <f t="shared" si="29"/>
        <v>0</v>
      </c>
      <c r="P353" t="e">
        <f>INDEX(Items!B$2:B$1032,MATCH($O353,Items!$A$2:$A$1032,0))</f>
        <v>#N/A</v>
      </c>
      <c r="Q353" t="e">
        <f>INDEX(Items!C$2:C$1032,MATCH($O353,Items!$A$2:$A$1032,0))</f>
        <v>#N/A</v>
      </c>
      <c r="R353" t="e">
        <f>INDEX(Items!D$2:D$1032,MATCH($O353,Items!$A$2:$A$1032,0))</f>
        <v>#N/A</v>
      </c>
    </row>
    <row r="354" spans="1:18" x14ac:dyDescent="0.25">
      <c r="A354">
        <f t="shared" si="27"/>
        <v>1</v>
      </c>
      <c r="B354" t="str">
        <f t="shared" si="28"/>
        <v/>
      </c>
      <c r="C354">
        <f t="shared" si="30"/>
        <v>1</v>
      </c>
      <c r="D354" s="4"/>
      <c r="E354" t="s">
        <v>18</v>
      </c>
      <c r="F354" t="str">
        <f>INDEX(Establishment!B$2:B$1005,MATCH($E354,Establishment!$A$2:$A$1005,0))</f>
        <v xml:space="preserve"> </v>
      </c>
      <c r="G354" t="str">
        <f>INDEX(Establishment!C$2:C$1005,MATCH($E354,Establishment!$A$2:$A$1005,0))</f>
        <v xml:space="preserve"> </v>
      </c>
      <c r="M354">
        <f t="shared" si="31"/>
        <v>0</v>
      </c>
      <c r="N354">
        <f t="shared" si="29"/>
        <v>0</v>
      </c>
      <c r="P354" t="e">
        <f>INDEX(Items!B$2:B$1032,MATCH($O354,Items!$A$2:$A$1032,0))</f>
        <v>#N/A</v>
      </c>
      <c r="Q354" t="e">
        <f>INDEX(Items!C$2:C$1032,MATCH($O354,Items!$A$2:$A$1032,0))</f>
        <v>#N/A</v>
      </c>
      <c r="R354" t="e">
        <f>INDEX(Items!D$2:D$1032,MATCH($O354,Items!$A$2:$A$1032,0))</f>
        <v>#N/A</v>
      </c>
    </row>
    <row r="355" spans="1:18" x14ac:dyDescent="0.25">
      <c r="A355">
        <f t="shared" si="27"/>
        <v>1</v>
      </c>
      <c r="B355" t="str">
        <f t="shared" si="28"/>
        <v/>
      </c>
      <c r="C355">
        <f t="shared" si="30"/>
        <v>1</v>
      </c>
      <c r="D355" s="4"/>
      <c r="E355" t="s">
        <v>18</v>
      </c>
      <c r="F355" t="str">
        <f>INDEX(Establishment!B$2:B$1005,MATCH($E355,Establishment!$A$2:$A$1005,0))</f>
        <v xml:space="preserve"> </v>
      </c>
      <c r="G355" t="str">
        <f>INDEX(Establishment!C$2:C$1005,MATCH($E355,Establishment!$A$2:$A$1005,0))</f>
        <v xml:space="preserve"> </v>
      </c>
      <c r="M355">
        <f t="shared" si="31"/>
        <v>0</v>
      </c>
      <c r="N355">
        <f t="shared" si="29"/>
        <v>0</v>
      </c>
      <c r="P355" t="e">
        <f>INDEX(Items!B$2:B$1032,MATCH($O355,Items!$A$2:$A$1032,0))</f>
        <v>#N/A</v>
      </c>
      <c r="Q355" t="e">
        <f>INDEX(Items!C$2:C$1032,MATCH($O355,Items!$A$2:$A$1032,0))</f>
        <v>#N/A</v>
      </c>
      <c r="R355" t="e">
        <f>INDEX(Items!D$2:D$1032,MATCH($O355,Items!$A$2:$A$1032,0))</f>
        <v>#N/A</v>
      </c>
    </row>
    <row r="356" spans="1:18" x14ac:dyDescent="0.25">
      <c r="A356">
        <f t="shared" si="27"/>
        <v>1</v>
      </c>
      <c r="B356" t="str">
        <f t="shared" si="28"/>
        <v/>
      </c>
      <c r="C356">
        <f t="shared" si="30"/>
        <v>1</v>
      </c>
      <c r="D356" s="4"/>
      <c r="E356" t="s">
        <v>18</v>
      </c>
      <c r="F356" t="str">
        <f>INDEX(Establishment!B$2:B$1005,MATCH($E356,Establishment!$A$2:$A$1005,0))</f>
        <v xml:space="preserve"> </v>
      </c>
      <c r="G356" t="str">
        <f>INDEX(Establishment!C$2:C$1005,MATCH($E356,Establishment!$A$2:$A$1005,0))</f>
        <v xml:space="preserve"> </v>
      </c>
      <c r="M356">
        <f t="shared" si="31"/>
        <v>0</v>
      </c>
      <c r="N356">
        <f t="shared" si="29"/>
        <v>0</v>
      </c>
      <c r="P356" t="e">
        <f>INDEX(Items!B$2:B$1032,MATCH($O356,Items!$A$2:$A$1032,0))</f>
        <v>#N/A</v>
      </c>
      <c r="Q356" t="e">
        <f>INDEX(Items!C$2:C$1032,MATCH($O356,Items!$A$2:$A$1032,0))</f>
        <v>#N/A</v>
      </c>
      <c r="R356" t="e">
        <f>INDEX(Items!D$2:D$1032,MATCH($O356,Items!$A$2:$A$1032,0))</f>
        <v>#N/A</v>
      </c>
    </row>
    <row r="357" spans="1:18" x14ac:dyDescent="0.25">
      <c r="A357">
        <f t="shared" si="27"/>
        <v>1</v>
      </c>
      <c r="B357" t="str">
        <f t="shared" si="28"/>
        <v/>
      </c>
      <c r="C357">
        <f t="shared" si="30"/>
        <v>1</v>
      </c>
      <c r="D357" s="4"/>
      <c r="E357" t="s">
        <v>18</v>
      </c>
      <c r="F357" t="str">
        <f>INDEX(Establishment!B$2:B$1005,MATCH($E357,Establishment!$A$2:$A$1005,0))</f>
        <v xml:space="preserve"> </v>
      </c>
      <c r="G357" t="str">
        <f>INDEX(Establishment!C$2:C$1005,MATCH($E357,Establishment!$A$2:$A$1005,0))</f>
        <v xml:space="preserve"> </v>
      </c>
      <c r="M357">
        <f t="shared" si="31"/>
        <v>0</v>
      </c>
      <c r="N357">
        <f t="shared" si="29"/>
        <v>0</v>
      </c>
      <c r="P357" t="e">
        <f>INDEX(Items!B$2:B$1032,MATCH($O357,Items!$A$2:$A$1032,0))</f>
        <v>#N/A</v>
      </c>
      <c r="Q357" t="e">
        <f>INDEX(Items!C$2:C$1032,MATCH($O357,Items!$A$2:$A$1032,0))</f>
        <v>#N/A</v>
      </c>
      <c r="R357" t="e">
        <f>INDEX(Items!D$2:D$1032,MATCH($O357,Items!$A$2:$A$1032,0))</f>
        <v>#N/A</v>
      </c>
    </row>
    <row r="358" spans="1:18" x14ac:dyDescent="0.25">
      <c r="A358">
        <f t="shared" si="27"/>
        <v>1</v>
      </c>
      <c r="B358" t="str">
        <f t="shared" si="28"/>
        <v/>
      </c>
      <c r="C358">
        <f t="shared" si="30"/>
        <v>1</v>
      </c>
      <c r="D358" s="4"/>
      <c r="E358" t="s">
        <v>18</v>
      </c>
      <c r="F358" t="str">
        <f>INDEX(Establishment!B$2:B$1005,MATCH($E358,Establishment!$A$2:$A$1005,0))</f>
        <v xml:space="preserve"> </v>
      </c>
      <c r="G358" t="str">
        <f>INDEX(Establishment!C$2:C$1005,MATCH($E358,Establishment!$A$2:$A$1005,0))</f>
        <v xml:space="preserve"> </v>
      </c>
      <c r="M358">
        <f t="shared" si="31"/>
        <v>0</v>
      </c>
      <c r="N358">
        <f t="shared" si="29"/>
        <v>0</v>
      </c>
      <c r="P358" t="e">
        <f>INDEX(Items!B$2:B$1032,MATCH($O358,Items!$A$2:$A$1032,0))</f>
        <v>#N/A</v>
      </c>
      <c r="Q358" t="e">
        <f>INDEX(Items!C$2:C$1032,MATCH($O358,Items!$A$2:$A$1032,0))</f>
        <v>#N/A</v>
      </c>
      <c r="R358" t="e">
        <f>INDEX(Items!D$2:D$1032,MATCH($O358,Items!$A$2:$A$1032,0))</f>
        <v>#N/A</v>
      </c>
    </row>
    <row r="359" spans="1:18" x14ac:dyDescent="0.25">
      <c r="A359">
        <f t="shared" si="27"/>
        <v>1</v>
      </c>
      <c r="B359" t="str">
        <f t="shared" si="28"/>
        <v/>
      </c>
      <c r="C359">
        <f t="shared" si="30"/>
        <v>1</v>
      </c>
      <c r="D359" s="4"/>
      <c r="E359" t="s">
        <v>18</v>
      </c>
      <c r="F359" t="str">
        <f>INDEX(Establishment!B$2:B$1005,MATCH($E359,Establishment!$A$2:$A$1005,0))</f>
        <v xml:space="preserve"> </v>
      </c>
      <c r="G359" t="str">
        <f>INDEX(Establishment!C$2:C$1005,MATCH($E359,Establishment!$A$2:$A$1005,0))</f>
        <v xml:space="preserve"> </v>
      </c>
      <c r="M359">
        <f t="shared" si="31"/>
        <v>0</v>
      </c>
      <c r="N359">
        <f t="shared" si="29"/>
        <v>0</v>
      </c>
      <c r="P359" t="e">
        <f>INDEX(Items!B$2:B$1032,MATCH($O359,Items!$A$2:$A$1032,0))</f>
        <v>#N/A</v>
      </c>
      <c r="Q359" t="e">
        <f>INDEX(Items!C$2:C$1032,MATCH($O359,Items!$A$2:$A$1032,0))</f>
        <v>#N/A</v>
      </c>
      <c r="R359" t="e">
        <f>INDEX(Items!D$2:D$1032,MATCH($O359,Items!$A$2:$A$1032,0))</f>
        <v>#N/A</v>
      </c>
    </row>
    <row r="360" spans="1:18" x14ac:dyDescent="0.25">
      <c r="A360">
        <f t="shared" si="27"/>
        <v>1</v>
      </c>
      <c r="B360" t="str">
        <f t="shared" si="28"/>
        <v/>
      </c>
      <c r="C360">
        <f t="shared" si="30"/>
        <v>1</v>
      </c>
      <c r="D360" s="4"/>
      <c r="E360" t="s">
        <v>18</v>
      </c>
      <c r="F360" t="str">
        <f>INDEX(Establishment!B$2:B$1005,MATCH($E360,Establishment!$A$2:$A$1005,0))</f>
        <v xml:space="preserve"> </v>
      </c>
      <c r="G360" t="str">
        <f>INDEX(Establishment!C$2:C$1005,MATCH($E360,Establishment!$A$2:$A$1005,0))</f>
        <v xml:space="preserve"> </v>
      </c>
      <c r="M360">
        <f t="shared" si="31"/>
        <v>0</v>
      </c>
      <c r="N360">
        <f t="shared" si="29"/>
        <v>0</v>
      </c>
      <c r="P360" t="e">
        <f>INDEX(Items!B$2:B$1032,MATCH($O360,Items!$A$2:$A$1032,0))</f>
        <v>#N/A</v>
      </c>
      <c r="Q360" t="e">
        <f>INDEX(Items!C$2:C$1032,MATCH($O360,Items!$A$2:$A$1032,0))</f>
        <v>#N/A</v>
      </c>
      <c r="R360" t="e">
        <f>INDEX(Items!D$2:D$1032,MATCH($O360,Items!$A$2:$A$1032,0))</f>
        <v>#N/A</v>
      </c>
    </row>
    <row r="361" spans="1:18" x14ac:dyDescent="0.25">
      <c r="A361">
        <f t="shared" si="27"/>
        <v>1</v>
      </c>
      <c r="B361" t="str">
        <f t="shared" si="28"/>
        <v/>
      </c>
      <c r="C361">
        <f t="shared" si="30"/>
        <v>1</v>
      </c>
      <c r="D361" s="4"/>
      <c r="E361" t="s">
        <v>18</v>
      </c>
      <c r="F361" t="str">
        <f>INDEX(Establishment!B$2:B$1005,MATCH($E361,Establishment!$A$2:$A$1005,0))</f>
        <v xml:space="preserve"> </v>
      </c>
      <c r="G361" t="str">
        <f>INDEX(Establishment!C$2:C$1005,MATCH($E361,Establishment!$A$2:$A$1005,0))</f>
        <v xml:space="preserve"> </v>
      </c>
      <c r="M361">
        <f t="shared" si="31"/>
        <v>0</v>
      </c>
      <c r="N361">
        <f t="shared" si="29"/>
        <v>0</v>
      </c>
      <c r="P361" t="e">
        <f>INDEX(Items!B$2:B$1032,MATCH($O361,Items!$A$2:$A$1032,0))</f>
        <v>#N/A</v>
      </c>
      <c r="Q361" t="e">
        <f>INDEX(Items!C$2:C$1032,MATCH($O361,Items!$A$2:$A$1032,0))</f>
        <v>#N/A</v>
      </c>
      <c r="R361" t="e">
        <f>INDEX(Items!D$2:D$1032,MATCH($O361,Items!$A$2:$A$1032,0))</f>
        <v>#N/A</v>
      </c>
    </row>
    <row r="362" spans="1:18" x14ac:dyDescent="0.25">
      <c r="A362">
        <f t="shared" si="27"/>
        <v>1</v>
      </c>
      <c r="B362" t="str">
        <f t="shared" si="28"/>
        <v/>
      </c>
      <c r="C362">
        <f t="shared" si="30"/>
        <v>1</v>
      </c>
      <c r="D362" s="4"/>
      <c r="E362" t="s">
        <v>18</v>
      </c>
      <c r="F362" t="str">
        <f>INDEX(Establishment!B$2:B$1005,MATCH($E362,Establishment!$A$2:$A$1005,0))</f>
        <v xml:space="preserve"> </v>
      </c>
      <c r="G362" t="str">
        <f>INDEX(Establishment!C$2:C$1005,MATCH($E362,Establishment!$A$2:$A$1005,0))</f>
        <v xml:space="preserve"> </v>
      </c>
      <c r="M362">
        <f t="shared" si="31"/>
        <v>0</v>
      </c>
      <c r="N362">
        <f t="shared" si="29"/>
        <v>0</v>
      </c>
      <c r="P362" t="e">
        <f>INDEX(Items!B$2:B$1032,MATCH($O362,Items!$A$2:$A$1032,0))</f>
        <v>#N/A</v>
      </c>
      <c r="Q362" t="e">
        <f>INDEX(Items!C$2:C$1032,MATCH($O362,Items!$A$2:$A$1032,0))</f>
        <v>#N/A</v>
      </c>
      <c r="R362" t="e">
        <f>INDEX(Items!D$2:D$1032,MATCH($O362,Items!$A$2:$A$1032,0))</f>
        <v>#N/A</v>
      </c>
    </row>
    <row r="363" spans="1:18" x14ac:dyDescent="0.25">
      <c r="A363">
        <f t="shared" si="27"/>
        <v>1</v>
      </c>
      <c r="B363" t="str">
        <f t="shared" si="28"/>
        <v/>
      </c>
      <c r="C363">
        <f t="shared" si="30"/>
        <v>1</v>
      </c>
      <c r="D363" s="4"/>
      <c r="E363" t="s">
        <v>18</v>
      </c>
      <c r="F363" t="str">
        <f>INDEX(Establishment!B$2:B$1005,MATCH($E363,Establishment!$A$2:$A$1005,0))</f>
        <v xml:space="preserve"> </v>
      </c>
      <c r="G363" t="str">
        <f>INDEX(Establishment!C$2:C$1005,MATCH($E363,Establishment!$A$2:$A$1005,0))</f>
        <v xml:space="preserve"> </v>
      </c>
      <c r="M363">
        <f t="shared" si="31"/>
        <v>0</v>
      </c>
      <c r="N363">
        <f t="shared" si="29"/>
        <v>0</v>
      </c>
      <c r="P363" t="e">
        <f>INDEX(Items!B$2:B$1032,MATCH($O363,Items!$A$2:$A$1032,0))</f>
        <v>#N/A</v>
      </c>
      <c r="Q363" t="e">
        <f>INDEX(Items!C$2:C$1032,MATCH($O363,Items!$A$2:$A$1032,0))</f>
        <v>#N/A</v>
      </c>
      <c r="R363" t="e">
        <f>INDEX(Items!D$2:D$1032,MATCH($O363,Items!$A$2:$A$1032,0))</f>
        <v>#N/A</v>
      </c>
    </row>
    <row r="364" spans="1:18" x14ac:dyDescent="0.25">
      <c r="A364">
        <f t="shared" si="27"/>
        <v>1</v>
      </c>
      <c r="B364" t="str">
        <f t="shared" si="28"/>
        <v/>
      </c>
      <c r="C364">
        <f t="shared" si="30"/>
        <v>1</v>
      </c>
      <c r="D364" s="4"/>
      <c r="E364" t="s">
        <v>18</v>
      </c>
      <c r="F364" t="str">
        <f>INDEX(Establishment!B$2:B$1005,MATCH($E364,Establishment!$A$2:$A$1005,0))</f>
        <v xml:space="preserve"> </v>
      </c>
      <c r="G364" t="str">
        <f>INDEX(Establishment!C$2:C$1005,MATCH($E364,Establishment!$A$2:$A$1005,0))</f>
        <v xml:space="preserve"> </v>
      </c>
      <c r="M364">
        <f t="shared" si="31"/>
        <v>0</v>
      </c>
      <c r="N364">
        <f t="shared" si="29"/>
        <v>0</v>
      </c>
      <c r="P364" t="e">
        <f>INDEX(Items!B$2:B$1032,MATCH($O364,Items!$A$2:$A$1032,0))</f>
        <v>#N/A</v>
      </c>
      <c r="Q364" t="e">
        <f>INDEX(Items!C$2:C$1032,MATCH($O364,Items!$A$2:$A$1032,0))</f>
        <v>#N/A</v>
      </c>
      <c r="R364" t="e">
        <f>INDEX(Items!D$2:D$1032,MATCH($O364,Items!$A$2:$A$1032,0))</f>
        <v>#N/A</v>
      </c>
    </row>
    <row r="365" spans="1:18" x14ac:dyDescent="0.25">
      <c r="A365">
        <f t="shared" si="27"/>
        <v>1</v>
      </c>
      <c r="B365" t="str">
        <f t="shared" si="28"/>
        <v/>
      </c>
      <c r="C365">
        <f t="shared" si="30"/>
        <v>1</v>
      </c>
      <c r="D365" s="4"/>
      <c r="E365" t="s">
        <v>18</v>
      </c>
      <c r="F365" t="str">
        <f>INDEX(Establishment!B$2:B$1005,MATCH($E365,Establishment!$A$2:$A$1005,0))</f>
        <v xml:space="preserve"> </v>
      </c>
      <c r="G365" t="str">
        <f>INDEX(Establishment!C$2:C$1005,MATCH($E365,Establishment!$A$2:$A$1005,0))</f>
        <v xml:space="preserve"> </v>
      </c>
      <c r="M365">
        <f t="shared" si="31"/>
        <v>0</v>
      </c>
      <c r="N365">
        <f t="shared" si="29"/>
        <v>0</v>
      </c>
      <c r="P365" t="e">
        <f>INDEX(Items!B$2:B$1032,MATCH($O365,Items!$A$2:$A$1032,0))</f>
        <v>#N/A</v>
      </c>
      <c r="Q365" t="e">
        <f>INDEX(Items!C$2:C$1032,MATCH($O365,Items!$A$2:$A$1032,0))</f>
        <v>#N/A</v>
      </c>
      <c r="R365" t="e">
        <f>INDEX(Items!D$2:D$1032,MATCH($O365,Items!$A$2:$A$1032,0))</f>
        <v>#N/A</v>
      </c>
    </row>
    <row r="366" spans="1:18" x14ac:dyDescent="0.25">
      <c r="A366">
        <f t="shared" si="27"/>
        <v>1</v>
      </c>
      <c r="B366" t="str">
        <f t="shared" si="28"/>
        <v/>
      </c>
      <c r="C366">
        <f t="shared" si="30"/>
        <v>1</v>
      </c>
      <c r="D366" s="4"/>
      <c r="E366" t="s">
        <v>18</v>
      </c>
      <c r="F366" t="str">
        <f>INDEX(Establishment!B$2:B$1005,MATCH($E366,Establishment!$A$2:$A$1005,0))</f>
        <v xml:space="preserve"> </v>
      </c>
      <c r="G366" t="str">
        <f>INDEX(Establishment!C$2:C$1005,MATCH($E366,Establishment!$A$2:$A$1005,0))</f>
        <v xml:space="preserve"> </v>
      </c>
      <c r="M366">
        <f t="shared" si="31"/>
        <v>0</v>
      </c>
      <c r="N366">
        <f t="shared" si="29"/>
        <v>0</v>
      </c>
      <c r="P366" t="e">
        <f>INDEX(Items!B$2:B$1032,MATCH($O366,Items!$A$2:$A$1032,0))</f>
        <v>#N/A</v>
      </c>
      <c r="Q366" t="e">
        <f>INDEX(Items!C$2:C$1032,MATCH($O366,Items!$A$2:$A$1032,0))</f>
        <v>#N/A</v>
      </c>
      <c r="R366" t="e">
        <f>INDEX(Items!D$2:D$1032,MATCH($O366,Items!$A$2:$A$1032,0))</f>
        <v>#N/A</v>
      </c>
    </row>
    <row r="367" spans="1:18" x14ac:dyDescent="0.25">
      <c r="A367">
        <f t="shared" si="27"/>
        <v>1</v>
      </c>
      <c r="B367" t="str">
        <f t="shared" si="28"/>
        <v/>
      </c>
      <c r="C367">
        <f t="shared" si="30"/>
        <v>1</v>
      </c>
      <c r="D367" s="4"/>
      <c r="E367" t="s">
        <v>18</v>
      </c>
      <c r="F367" t="str">
        <f>INDEX(Establishment!B$2:B$1005,MATCH($E367,Establishment!$A$2:$A$1005,0))</f>
        <v xml:space="preserve"> </v>
      </c>
      <c r="G367" t="str">
        <f>INDEX(Establishment!C$2:C$1005,MATCH($E367,Establishment!$A$2:$A$1005,0))</f>
        <v xml:space="preserve"> </v>
      </c>
      <c r="M367">
        <f t="shared" si="31"/>
        <v>0</v>
      </c>
      <c r="N367">
        <f t="shared" si="29"/>
        <v>0</v>
      </c>
      <c r="P367" t="e">
        <f>INDEX(Items!B$2:B$1032,MATCH($O367,Items!$A$2:$A$1032,0))</f>
        <v>#N/A</v>
      </c>
      <c r="Q367" t="e">
        <f>INDEX(Items!C$2:C$1032,MATCH($O367,Items!$A$2:$A$1032,0))</f>
        <v>#N/A</v>
      </c>
      <c r="R367" t="e">
        <f>INDEX(Items!D$2:D$1032,MATCH($O367,Items!$A$2:$A$1032,0))</f>
        <v>#N/A</v>
      </c>
    </row>
    <row r="368" spans="1:18" x14ac:dyDescent="0.25">
      <c r="A368">
        <f t="shared" si="27"/>
        <v>1</v>
      </c>
      <c r="B368" t="str">
        <f t="shared" si="28"/>
        <v/>
      </c>
      <c r="C368">
        <f t="shared" si="30"/>
        <v>1</v>
      </c>
      <c r="D368" s="4"/>
      <c r="E368" t="s">
        <v>18</v>
      </c>
      <c r="F368" t="str">
        <f>INDEX(Establishment!B$2:B$1005,MATCH($E368,Establishment!$A$2:$A$1005,0))</f>
        <v xml:space="preserve"> </v>
      </c>
      <c r="G368" t="str">
        <f>INDEX(Establishment!C$2:C$1005,MATCH($E368,Establishment!$A$2:$A$1005,0))</f>
        <v xml:space="preserve"> </v>
      </c>
      <c r="M368">
        <f t="shared" si="31"/>
        <v>0</v>
      </c>
      <c r="N368">
        <f t="shared" si="29"/>
        <v>0</v>
      </c>
      <c r="P368" t="e">
        <f>INDEX(Items!B$2:B$1032,MATCH($O368,Items!$A$2:$A$1032,0))</f>
        <v>#N/A</v>
      </c>
      <c r="Q368" t="e">
        <f>INDEX(Items!C$2:C$1032,MATCH($O368,Items!$A$2:$A$1032,0))</f>
        <v>#N/A</v>
      </c>
      <c r="R368" t="e">
        <f>INDEX(Items!D$2:D$1032,MATCH($O368,Items!$A$2:$A$1032,0))</f>
        <v>#N/A</v>
      </c>
    </row>
    <row r="369" spans="1:18" x14ac:dyDescent="0.25">
      <c r="A369">
        <f t="shared" si="27"/>
        <v>1</v>
      </c>
      <c r="B369" t="str">
        <f t="shared" si="28"/>
        <v/>
      </c>
      <c r="C369">
        <f t="shared" si="30"/>
        <v>1</v>
      </c>
      <c r="D369" s="4"/>
      <c r="E369" t="s">
        <v>18</v>
      </c>
      <c r="F369" t="str">
        <f>INDEX(Establishment!B$2:B$1005,MATCH($E369,Establishment!$A$2:$A$1005,0))</f>
        <v xml:space="preserve"> </v>
      </c>
      <c r="G369" t="str">
        <f>INDEX(Establishment!C$2:C$1005,MATCH($E369,Establishment!$A$2:$A$1005,0))</f>
        <v xml:space="preserve"> </v>
      </c>
      <c r="M369">
        <f t="shared" si="31"/>
        <v>0</v>
      </c>
      <c r="N369">
        <f t="shared" si="29"/>
        <v>0</v>
      </c>
      <c r="P369" t="e">
        <f>INDEX(Items!B$2:B$1032,MATCH($O369,Items!$A$2:$A$1032,0))</f>
        <v>#N/A</v>
      </c>
      <c r="Q369" t="e">
        <f>INDEX(Items!C$2:C$1032,MATCH($O369,Items!$A$2:$A$1032,0))</f>
        <v>#N/A</v>
      </c>
      <c r="R369" t="e">
        <f>INDEX(Items!D$2:D$1032,MATCH($O369,Items!$A$2:$A$1032,0))</f>
        <v>#N/A</v>
      </c>
    </row>
    <row r="370" spans="1:18" x14ac:dyDescent="0.25">
      <c r="A370">
        <f t="shared" si="27"/>
        <v>1</v>
      </c>
      <c r="B370" t="str">
        <f t="shared" si="28"/>
        <v/>
      </c>
      <c r="C370">
        <f t="shared" si="30"/>
        <v>1</v>
      </c>
      <c r="D370" s="4"/>
      <c r="E370" t="s">
        <v>18</v>
      </c>
      <c r="F370" t="str">
        <f>INDEX(Establishment!B$2:B$1005,MATCH($E370,Establishment!$A$2:$A$1005,0))</f>
        <v xml:space="preserve"> </v>
      </c>
      <c r="G370" t="str">
        <f>INDEX(Establishment!C$2:C$1005,MATCH($E370,Establishment!$A$2:$A$1005,0))</f>
        <v xml:space="preserve"> </v>
      </c>
      <c r="M370">
        <f t="shared" si="31"/>
        <v>0</v>
      </c>
      <c r="N370">
        <f t="shared" si="29"/>
        <v>0</v>
      </c>
      <c r="P370" t="e">
        <f>INDEX(Items!B$2:B$1032,MATCH($O370,Items!$A$2:$A$1032,0))</f>
        <v>#N/A</v>
      </c>
      <c r="Q370" t="e">
        <f>INDEX(Items!C$2:C$1032,MATCH($O370,Items!$A$2:$A$1032,0))</f>
        <v>#N/A</v>
      </c>
      <c r="R370" t="e">
        <f>INDEX(Items!D$2:D$1032,MATCH($O370,Items!$A$2:$A$1032,0))</f>
        <v>#N/A</v>
      </c>
    </row>
    <row r="371" spans="1:18" x14ac:dyDescent="0.25">
      <c r="A371">
        <f t="shared" si="27"/>
        <v>1</v>
      </c>
      <c r="B371" t="str">
        <f t="shared" si="28"/>
        <v/>
      </c>
      <c r="C371">
        <f t="shared" si="30"/>
        <v>1</v>
      </c>
      <c r="D371" s="4"/>
      <c r="E371" t="s">
        <v>18</v>
      </c>
      <c r="F371" t="str">
        <f>INDEX(Establishment!B$2:B$1005,MATCH($E371,Establishment!$A$2:$A$1005,0))</f>
        <v xml:space="preserve"> </v>
      </c>
      <c r="G371" t="str">
        <f>INDEX(Establishment!C$2:C$1005,MATCH($E371,Establishment!$A$2:$A$1005,0))</f>
        <v xml:space="preserve"> </v>
      </c>
      <c r="M371">
        <f t="shared" si="31"/>
        <v>0</v>
      </c>
      <c r="N371">
        <f t="shared" si="29"/>
        <v>0</v>
      </c>
      <c r="P371" t="e">
        <f>INDEX(Items!B$2:B$1032,MATCH($O371,Items!$A$2:$A$1032,0))</f>
        <v>#N/A</v>
      </c>
      <c r="Q371" t="e">
        <f>INDEX(Items!C$2:C$1032,MATCH($O371,Items!$A$2:$A$1032,0))</f>
        <v>#N/A</v>
      </c>
      <c r="R371" t="e">
        <f>INDEX(Items!D$2:D$1032,MATCH($O371,Items!$A$2:$A$1032,0))</f>
        <v>#N/A</v>
      </c>
    </row>
    <row r="372" spans="1:18" x14ac:dyDescent="0.25">
      <c r="A372">
        <f t="shared" si="27"/>
        <v>1</v>
      </c>
      <c r="B372" t="str">
        <f t="shared" si="28"/>
        <v/>
      </c>
      <c r="C372">
        <f t="shared" si="30"/>
        <v>1</v>
      </c>
      <c r="D372" s="4"/>
      <c r="E372" t="s">
        <v>18</v>
      </c>
      <c r="F372" t="str">
        <f>INDEX(Establishment!B$2:B$1005,MATCH($E372,Establishment!$A$2:$A$1005,0))</f>
        <v xml:space="preserve"> </v>
      </c>
      <c r="G372" t="str">
        <f>INDEX(Establishment!C$2:C$1005,MATCH($E372,Establishment!$A$2:$A$1005,0))</f>
        <v xml:space="preserve"> </v>
      </c>
      <c r="M372">
        <f t="shared" si="31"/>
        <v>0</v>
      </c>
      <c r="N372">
        <f t="shared" si="29"/>
        <v>0</v>
      </c>
      <c r="P372" t="e">
        <f>INDEX(Items!B$2:B$1032,MATCH($O372,Items!$A$2:$A$1032,0))</f>
        <v>#N/A</v>
      </c>
      <c r="Q372" t="e">
        <f>INDEX(Items!C$2:C$1032,MATCH($O372,Items!$A$2:$A$1032,0))</f>
        <v>#N/A</v>
      </c>
      <c r="R372" t="e">
        <f>INDEX(Items!D$2:D$1032,MATCH($O372,Items!$A$2:$A$1032,0))</f>
        <v>#N/A</v>
      </c>
    </row>
    <row r="373" spans="1:18" x14ac:dyDescent="0.25">
      <c r="A373">
        <f t="shared" si="27"/>
        <v>1</v>
      </c>
      <c r="B373" t="str">
        <f t="shared" si="28"/>
        <v/>
      </c>
      <c r="C373">
        <f t="shared" si="30"/>
        <v>1</v>
      </c>
      <c r="D373" s="4"/>
      <c r="E373" t="s">
        <v>18</v>
      </c>
      <c r="F373" t="str">
        <f>INDEX(Establishment!B$2:B$1005,MATCH($E373,Establishment!$A$2:$A$1005,0))</f>
        <v xml:space="preserve"> </v>
      </c>
      <c r="G373" t="str">
        <f>INDEX(Establishment!C$2:C$1005,MATCH($E373,Establishment!$A$2:$A$1005,0))</f>
        <v xml:space="preserve"> </v>
      </c>
      <c r="M373">
        <f t="shared" si="31"/>
        <v>0</v>
      </c>
      <c r="N373">
        <f t="shared" si="29"/>
        <v>0</v>
      </c>
      <c r="P373" t="e">
        <f>INDEX(Items!B$2:B$1032,MATCH($O373,Items!$A$2:$A$1032,0))</f>
        <v>#N/A</v>
      </c>
      <c r="Q373" t="e">
        <f>INDEX(Items!C$2:C$1032,MATCH($O373,Items!$A$2:$A$1032,0))</f>
        <v>#N/A</v>
      </c>
      <c r="R373" t="e">
        <f>INDEX(Items!D$2:D$1032,MATCH($O373,Items!$A$2:$A$1032,0))</f>
        <v>#N/A</v>
      </c>
    </row>
    <row r="374" spans="1:18" x14ac:dyDescent="0.25">
      <c r="A374">
        <f t="shared" si="27"/>
        <v>1</v>
      </c>
      <c r="B374" t="str">
        <f t="shared" si="28"/>
        <v/>
      </c>
      <c r="C374">
        <f t="shared" si="30"/>
        <v>1</v>
      </c>
      <c r="D374" s="4"/>
      <c r="E374" t="s">
        <v>18</v>
      </c>
      <c r="F374" t="str">
        <f>INDEX(Establishment!B$2:B$1005,MATCH($E374,Establishment!$A$2:$A$1005,0))</f>
        <v xml:space="preserve"> </v>
      </c>
      <c r="G374" t="str">
        <f>INDEX(Establishment!C$2:C$1005,MATCH($E374,Establishment!$A$2:$A$1005,0))</f>
        <v xml:space="preserve"> </v>
      </c>
      <c r="M374">
        <f t="shared" si="31"/>
        <v>0</v>
      </c>
      <c r="N374">
        <f t="shared" si="29"/>
        <v>0</v>
      </c>
      <c r="P374" t="e">
        <f>INDEX(Items!B$2:B$1032,MATCH($O374,Items!$A$2:$A$1032,0))</f>
        <v>#N/A</v>
      </c>
      <c r="Q374" t="e">
        <f>INDEX(Items!C$2:C$1032,MATCH($O374,Items!$A$2:$A$1032,0))</f>
        <v>#N/A</v>
      </c>
      <c r="R374" t="e">
        <f>INDEX(Items!D$2:D$1032,MATCH($O374,Items!$A$2:$A$1032,0))</f>
        <v>#N/A</v>
      </c>
    </row>
    <row r="375" spans="1:18" x14ac:dyDescent="0.25">
      <c r="A375">
        <f t="shared" si="27"/>
        <v>1</v>
      </c>
      <c r="B375" t="str">
        <f t="shared" si="28"/>
        <v/>
      </c>
      <c r="C375">
        <f t="shared" si="30"/>
        <v>1</v>
      </c>
      <c r="D375" s="4"/>
      <c r="E375" t="s">
        <v>18</v>
      </c>
      <c r="F375" t="str">
        <f>INDEX(Establishment!B$2:B$1005,MATCH($E375,Establishment!$A$2:$A$1005,0))</f>
        <v xml:space="preserve"> </v>
      </c>
      <c r="G375" t="str">
        <f>INDEX(Establishment!C$2:C$1005,MATCH($E375,Establishment!$A$2:$A$1005,0))</f>
        <v xml:space="preserve"> </v>
      </c>
      <c r="M375">
        <f t="shared" si="31"/>
        <v>0</v>
      </c>
      <c r="N375">
        <f t="shared" si="29"/>
        <v>0</v>
      </c>
      <c r="P375" t="e">
        <f>INDEX(Items!B$2:B$1032,MATCH($O375,Items!$A$2:$A$1032,0))</f>
        <v>#N/A</v>
      </c>
      <c r="Q375" t="e">
        <f>INDEX(Items!C$2:C$1032,MATCH($O375,Items!$A$2:$A$1032,0))</f>
        <v>#N/A</v>
      </c>
      <c r="R375" t="e">
        <f>INDEX(Items!D$2:D$1032,MATCH($O375,Items!$A$2:$A$1032,0))</f>
        <v>#N/A</v>
      </c>
    </row>
    <row r="376" spans="1:18" x14ac:dyDescent="0.25">
      <c r="A376">
        <f t="shared" si="27"/>
        <v>1</v>
      </c>
      <c r="B376" t="str">
        <f t="shared" si="28"/>
        <v/>
      </c>
      <c r="C376">
        <f t="shared" si="30"/>
        <v>1</v>
      </c>
      <c r="D376" s="4"/>
      <c r="E376" t="s">
        <v>18</v>
      </c>
      <c r="F376" t="str">
        <f>INDEX(Establishment!B$2:B$1005,MATCH($E376,Establishment!$A$2:$A$1005,0))</f>
        <v xml:space="preserve"> </v>
      </c>
      <c r="G376" t="str">
        <f>INDEX(Establishment!C$2:C$1005,MATCH($E376,Establishment!$A$2:$A$1005,0))</f>
        <v xml:space="preserve"> </v>
      </c>
      <c r="M376">
        <f t="shared" si="31"/>
        <v>0</v>
      </c>
      <c r="N376">
        <f t="shared" si="29"/>
        <v>0</v>
      </c>
      <c r="P376" t="e">
        <f>INDEX(Items!B$2:B$1032,MATCH($O376,Items!$A$2:$A$1032,0))</f>
        <v>#N/A</v>
      </c>
      <c r="Q376" t="e">
        <f>INDEX(Items!C$2:C$1032,MATCH($O376,Items!$A$2:$A$1032,0))</f>
        <v>#N/A</v>
      </c>
      <c r="R376" t="e">
        <f>INDEX(Items!D$2:D$1032,MATCH($O376,Items!$A$2:$A$1032,0))</f>
        <v>#N/A</v>
      </c>
    </row>
    <row r="377" spans="1:18" x14ac:dyDescent="0.25">
      <c r="A377">
        <f t="shared" si="27"/>
        <v>1</v>
      </c>
      <c r="B377" t="str">
        <f t="shared" si="28"/>
        <v/>
      </c>
      <c r="C377">
        <f t="shared" si="30"/>
        <v>1</v>
      </c>
      <c r="D377" s="4"/>
      <c r="E377" t="s">
        <v>18</v>
      </c>
      <c r="F377" t="str">
        <f>INDEX(Establishment!B$2:B$1005,MATCH($E377,Establishment!$A$2:$A$1005,0))</f>
        <v xml:space="preserve"> </v>
      </c>
      <c r="G377" t="str">
        <f>INDEX(Establishment!C$2:C$1005,MATCH($E377,Establishment!$A$2:$A$1005,0))</f>
        <v xml:space="preserve"> </v>
      </c>
      <c r="M377">
        <f t="shared" si="31"/>
        <v>0</v>
      </c>
      <c r="N377">
        <f t="shared" si="29"/>
        <v>0</v>
      </c>
      <c r="P377" t="e">
        <f>INDEX(Items!B$2:B$1032,MATCH($O377,Items!$A$2:$A$1032,0))</f>
        <v>#N/A</v>
      </c>
      <c r="Q377" t="e">
        <f>INDEX(Items!C$2:C$1032,MATCH($O377,Items!$A$2:$A$1032,0))</f>
        <v>#N/A</v>
      </c>
      <c r="R377" t="e">
        <f>INDEX(Items!D$2:D$1032,MATCH($O377,Items!$A$2:$A$1032,0))</f>
        <v>#N/A</v>
      </c>
    </row>
    <row r="378" spans="1:18" x14ac:dyDescent="0.25">
      <c r="A378">
        <f t="shared" si="27"/>
        <v>1</v>
      </c>
      <c r="B378" t="str">
        <f t="shared" si="28"/>
        <v/>
      </c>
      <c r="C378">
        <f t="shared" si="30"/>
        <v>1</v>
      </c>
      <c r="D378" s="4"/>
      <c r="E378" t="s">
        <v>18</v>
      </c>
      <c r="F378" t="str">
        <f>INDEX(Establishment!B$2:B$1005,MATCH($E378,Establishment!$A$2:$A$1005,0))</f>
        <v xml:space="preserve"> </v>
      </c>
      <c r="G378" t="str">
        <f>INDEX(Establishment!C$2:C$1005,MATCH($E378,Establishment!$A$2:$A$1005,0))</f>
        <v xml:space="preserve"> </v>
      </c>
      <c r="M378">
        <f t="shared" si="31"/>
        <v>0</v>
      </c>
      <c r="N378">
        <f t="shared" si="29"/>
        <v>0</v>
      </c>
      <c r="P378" t="e">
        <f>INDEX(Items!B$2:B$1032,MATCH($O378,Items!$A$2:$A$1032,0))</f>
        <v>#N/A</v>
      </c>
      <c r="Q378" t="e">
        <f>INDEX(Items!C$2:C$1032,MATCH($O378,Items!$A$2:$A$1032,0))</f>
        <v>#N/A</v>
      </c>
      <c r="R378" t="e">
        <f>INDEX(Items!D$2:D$1032,MATCH($O378,Items!$A$2:$A$1032,0))</f>
        <v>#N/A</v>
      </c>
    </row>
    <row r="379" spans="1:18" x14ac:dyDescent="0.25">
      <c r="A379">
        <f t="shared" si="27"/>
        <v>1</v>
      </c>
      <c r="B379" t="str">
        <f t="shared" si="28"/>
        <v/>
      </c>
      <c r="C379">
        <f t="shared" si="30"/>
        <v>1</v>
      </c>
      <c r="D379" s="4"/>
      <c r="E379" t="s">
        <v>18</v>
      </c>
      <c r="F379" t="str">
        <f>INDEX(Establishment!B$2:B$1005,MATCH($E379,Establishment!$A$2:$A$1005,0))</f>
        <v xml:space="preserve"> </v>
      </c>
      <c r="G379" t="str">
        <f>INDEX(Establishment!C$2:C$1005,MATCH($E379,Establishment!$A$2:$A$1005,0))</f>
        <v xml:space="preserve"> </v>
      </c>
      <c r="M379">
        <f t="shared" si="31"/>
        <v>0</v>
      </c>
      <c r="N379">
        <f t="shared" si="29"/>
        <v>0</v>
      </c>
      <c r="P379" t="e">
        <f>INDEX(Items!B$2:B$1032,MATCH($O379,Items!$A$2:$A$1032,0))</f>
        <v>#N/A</v>
      </c>
      <c r="Q379" t="e">
        <f>INDEX(Items!C$2:C$1032,MATCH($O379,Items!$A$2:$A$1032,0))</f>
        <v>#N/A</v>
      </c>
      <c r="R379" t="e">
        <f>INDEX(Items!D$2:D$1032,MATCH($O379,Items!$A$2:$A$1032,0))</f>
        <v>#N/A</v>
      </c>
    </row>
    <row r="380" spans="1:18" x14ac:dyDescent="0.25">
      <c r="A380">
        <f t="shared" si="27"/>
        <v>1</v>
      </c>
      <c r="B380" t="str">
        <f t="shared" si="28"/>
        <v/>
      </c>
      <c r="C380">
        <f t="shared" si="30"/>
        <v>1</v>
      </c>
      <c r="D380" s="4"/>
      <c r="E380" t="s">
        <v>18</v>
      </c>
      <c r="F380" t="str">
        <f>INDEX(Establishment!B$2:B$1005,MATCH($E380,Establishment!$A$2:$A$1005,0))</f>
        <v xml:space="preserve"> </v>
      </c>
      <c r="G380" t="str">
        <f>INDEX(Establishment!C$2:C$1005,MATCH($E380,Establishment!$A$2:$A$1005,0))</f>
        <v xml:space="preserve"> </v>
      </c>
      <c r="M380">
        <f t="shared" si="31"/>
        <v>0</v>
      </c>
      <c r="N380">
        <f t="shared" si="29"/>
        <v>0</v>
      </c>
      <c r="P380" t="e">
        <f>INDEX(Items!B$2:B$1032,MATCH($O380,Items!$A$2:$A$1032,0))</f>
        <v>#N/A</v>
      </c>
      <c r="Q380" t="e">
        <f>INDEX(Items!C$2:C$1032,MATCH($O380,Items!$A$2:$A$1032,0))</f>
        <v>#N/A</v>
      </c>
      <c r="R380" t="e">
        <f>INDEX(Items!D$2:D$1032,MATCH($O380,Items!$A$2:$A$1032,0))</f>
        <v>#N/A</v>
      </c>
    </row>
    <row r="381" spans="1:18" x14ac:dyDescent="0.25">
      <c r="A381">
        <f t="shared" si="27"/>
        <v>1</v>
      </c>
      <c r="B381" t="str">
        <f t="shared" si="28"/>
        <v/>
      </c>
      <c r="C381">
        <f t="shared" si="30"/>
        <v>1</v>
      </c>
      <c r="D381" s="4"/>
      <c r="E381" t="s">
        <v>18</v>
      </c>
      <c r="F381" t="str">
        <f>INDEX(Establishment!B$2:B$1005,MATCH($E381,Establishment!$A$2:$A$1005,0))</f>
        <v xml:space="preserve"> </v>
      </c>
      <c r="G381" t="str">
        <f>INDEX(Establishment!C$2:C$1005,MATCH($E381,Establishment!$A$2:$A$1005,0))</f>
        <v xml:space="preserve"> </v>
      </c>
      <c r="M381">
        <f t="shared" si="31"/>
        <v>0</v>
      </c>
      <c r="N381">
        <f t="shared" si="29"/>
        <v>0</v>
      </c>
      <c r="P381" t="e">
        <f>INDEX(Items!B$2:B$1032,MATCH($O381,Items!$A$2:$A$1032,0))</f>
        <v>#N/A</v>
      </c>
      <c r="Q381" t="e">
        <f>INDEX(Items!C$2:C$1032,MATCH($O381,Items!$A$2:$A$1032,0))</f>
        <v>#N/A</v>
      </c>
      <c r="R381" t="e">
        <f>INDEX(Items!D$2:D$1032,MATCH($O381,Items!$A$2:$A$1032,0))</f>
        <v>#N/A</v>
      </c>
    </row>
    <row r="382" spans="1:18" x14ac:dyDescent="0.25">
      <c r="A382">
        <f t="shared" si="27"/>
        <v>1</v>
      </c>
      <c r="B382" t="str">
        <f t="shared" si="28"/>
        <v/>
      </c>
      <c r="C382">
        <f t="shared" si="30"/>
        <v>1</v>
      </c>
      <c r="D382" s="4"/>
      <c r="E382" t="s">
        <v>18</v>
      </c>
      <c r="F382" t="str">
        <f>INDEX(Establishment!B$2:B$1005,MATCH($E382,Establishment!$A$2:$A$1005,0))</f>
        <v xml:space="preserve"> </v>
      </c>
      <c r="G382" t="str">
        <f>INDEX(Establishment!C$2:C$1005,MATCH($E382,Establishment!$A$2:$A$1005,0))</f>
        <v xml:space="preserve"> </v>
      </c>
      <c r="M382">
        <f t="shared" si="31"/>
        <v>0</v>
      </c>
      <c r="N382">
        <f t="shared" si="29"/>
        <v>0</v>
      </c>
      <c r="P382" t="e">
        <f>INDEX(Items!B$2:B$1032,MATCH($O382,Items!$A$2:$A$1032,0))</f>
        <v>#N/A</v>
      </c>
      <c r="Q382" t="e">
        <f>INDEX(Items!C$2:C$1032,MATCH($O382,Items!$A$2:$A$1032,0))</f>
        <v>#N/A</v>
      </c>
      <c r="R382" t="e">
        <f>INDEX(Items!D$2:D$1032,MATCH($O382,Items!$A$2:$A$1032,0))</f>
        <v>#N/A</v>
      </c>
    </row>
    <row r="383" spans="1:18" x14ac:dyDescent="0.25">
      <c r="A383">
        <f t="shared" si="27"/>
        <v>1</v>
      </c>
      <c r="B383" t="str">
        <f t="shared" si="28"/>
        <v/>
      </c>
      <c r="C383">
        <f t="shared" si="30"/>
        <v>1</v>
      </c>
      <c r="D383" s="4"/>
      <c r="E383" t="s">
        <v>18</v>
      </c>
      <c r="F383" t="str">
        <f>INDEX(Establishment!B$2:B$1005,MATCH($E383,Establishment!$A$2:$A$1005,0))</f>
        <v xml:space="preserve"> </v>
      </c>
      <c r="G383" t="str">
        <f>INDEX(Establishment!C$2:C$1005,MATCH($E383,Establishment!$A$2:$A$1005,0))</f>
        <v xml:space="preserve"> </v>
      </c>
      <c r="M383">
        <f t="shared" si="31"/>
        <v>0</v>
      </c>
      <c r="N383">
        <f t="shared" si="29"/>
        <v>0</v>
      </c>
      <c r="P383" t="e">
        <f>INDEX(Items!B$2:B$1032,MATCH($O383,Items!$A$2:$A$1032,0))</f>
        <v>#N/A</v>
      </c>
      <c r="Q383" t="e">
        <f>INDEX(Items!C$2:C$1032,MATCH($O383,Items!$A$2:$A$1032,0))</f>
        <v>#N/A</v>
      </c>
      <c r="R383" t="e">
        <f>INDEX(Items!D$2:D$1032,MATCH($O383,Items!$A$2:$A$1032,0))</f>
        <v>#N/A</v>
      </c>
    </row>
    <row r="384" spans="1:18" x14ac:dyDescent="0.25">
      <c r="A384">
        <f t="shared" si="27"/>
        <v>1</v>
      </c>
      <c r="B384" t="str">
        <f t="shared" si="28"/>
        <v/>
      </c>
      <c r="C384">
        <f t="shared" si="30"/>
        <v>1</v>
      </c>
      <c r="D384" s="4"/>
      <c r="E384" t="s">
        <v>18</v>
      </c>
      <c r="F384" t="str">
        <f>INDEX(Establishment!B$2:B$1005,MATCH($E384,Establishment!$A$2:$A$1005,0))</f>
        <v xml:space="preserve"> </v>
      </c>
      <c r="G384" t="str">
        <f>INDEX(Establishment!C$2:C$1005,MATCH($E384,Establishment!$A$2:$A$1005,0))</f>
        <v xml:space="preserve"> </v>
      </c>
      <c r="M384">
        <f t="shared" si="31"/>
        <v>0</v>
      </c>
      <c r="N384">
        <f t="shared" si="29"/>
        <v>0</v>
      </c>
      <c r="P384" t="e">
        <f>INDEX(Items!B$2:B$1032,MATCH($O384,Items!$A$2:$A$1032,0))</f>
        <v>#N/A</v>
      </c>
      <c r="Q384" t="e">
        <f>INDEX(Items!C$2:C$1032,MATCH($O384,Items!$A$2:$A$1032,0))</f>
        <v>#N/A</v>
      </c>
      <c r="R384" t="e">
        <f>INDEX(Items!D$2:D$1032,MATCH($O384,Items!$A$2:$A$1032,0))</f>
        <v>#N/A</v>
      </c>
    </row>
    <row r="385" spans="1:18" x14ac:dyDescent="0.25">
      <c r="A385">
        <f t="shared" si="27"/>
        <v>1</v>
      </c>
      <c r="B385" t="str">
        <f t="shared" si="28"/>
        <v/>
      </c>
      <c r="C385">
        <f t="shared" si="30"/>
        <v>1</v>
      </c>
      <c r="D385" s="4"/>
      <c r="E385" t="s">
        <v>18</v>
      </c>
      <c r="F385" t="str">
        <f>INDEX(Establishment!B$2:B$1005,MATCH($E385,Establishment!$A$2:$A$1005,0))</f>
        <v xml:space="preserve"> </v>
      </c>
      <c r="G385" t="str">
        <f>INDEX(Establishment!C$2:C$1005,MATCH($E385,Establishment!$A$2:$A$1005,0))</f>
        <v xml:space="preserve"> </v>
      </c>
      <c r="M385">
        <f t="shared" si="31"/>
        <v>0</v>
      </c>
      <c r="N385">
        <f t="shared" si="29"/>
        <v>0</v>
      </c>
      <c r="P385" t="e">
        <f>INDEX(Items!B$2:B$1032,MATCH($O385,Items!$A$2:$A$1032,0))</f>
        <v>#N/A</v>
      </c>
      <c r="Q385" t="e">
        <f>INDEX(Items!C$2:C$1032,MATCH($O385,Items!$A$2:$A$1032,0))</f>
        <v>#N/A</v>
      </c>
      <c r="R385" t="e">
        <f>INDEX(Items!D$2:D$1032,MATCH($O385,Items!$A$2:$A$1032,0))</f>
        <v>#N/A</v>
      </c>
    </row>
    <row r="386" spans="1:18" x14ac:dyDescent="0.25">
      <c r="A386">
        <f t="shared" ref="A386:A449" si="32">IF(OR(D386&lt;&gt;D385,D386=""),1,IF(NOT(AND(E386=E385,F386=F385,G386=G385)),A385+1,IF(OR(H386="",AND(H386&lt;&gt;"",H386&lt;&gt;H385,H385&lt;&gt;"")),A385,A385+1)))</f>
        <v>1</v>
      </c>
      <c r="B386" t="str">
        <f t="shared" ref="B386:B449" si="33">IF(D386&lt;&gt;"",TEXT(D386,"YYYYMMDD")&amp;CHAR(64+A386),"")</f>
        <v/>
      </c>
      <c r="C386">
        <f t="shared" si="30"/>
        <v>1</v>
      </c>
      <c r="D386" s="4"/>
      <c r="E386" t="s">
        <v>18</v>
      </c>
      <c r="F386" t="str">
        <f>INDEX(Establishment!B$2:B$1005,MATCH($E386,Establishment!$A$2:$A$1005,0))</f>
        <v xml:space="preserve"> </v>
      </c>
      <c r="G386" t="str">
        <f>INDEX(Establishment!C$2:C$1005,MATCH($E386,Establishment!$A$2:$A$1005,0))</f>
        <v xml:space="preserve"> </v>
      </c>
      <c r="M386">
        <f t="shared" si="31"/>
        <v>0</v>
      </c>
      <c r="N386">
        <f t="shared" si="29"/>
        <v>0</v>
      </c>
      <c r="P386" t="e">
        <f>INDEX(Items!B$2:B$1032,MATCH($O386,Items!$A$2:$A$1032,0))</f>
        <v>#N/A</v>
      </c>
      <c r="Q386" t="e">
        <f>INDEX(Items!C$2:C$1032,MATCH($O386,Items!$A$2:$A$1032,0))</f>
        <v>#N/A</v>
      </c>
      <c r="R386" t="e">
        <f>INDEX(Items!D$2:D$1032,MATCH($O386,Items!$A$2:$A$1032,0))</f>
        <v>#N/A</v>
      </c>
    </row>
    <row r="387" spans="1:18" x14ac:dyDescent="0.25">
      <c r="A387">
        <f t="shared" si="32"/>
        <v>1</v>
      </c>
      <c r="B387" t="str">
        <f t="shared" si="33"/>
        <v/>
      </c>
      <c r="C387">
        <f t="shared" si="30"/>
        <v>1</v>
      </c>
      <c r="D387" s="4"/>
      <c r="E387" t="s">
        <v>18</v>
      </c>
      <c r="F387" t="str">
        <f>INDEX(Establishment!B$2:B$1005,MATCH($E387,Establishment!$A$2:$A$1005,0))</f>
        <v xml:space="preserve"> </v>
      </c>
      <c r="G387" t="str">
        <f>INDEX(Establishment!C$2:C$1005,MATCH($E387,Establishment!$A$2:$A$1005,0))</f>
        <v xml:space="preserve"> </v>
      </c>
      <c r="M387">
        <f t="shared" si="31"/>
        <v>0</v>
      </c>
      <c r="N387">
        <f t="shared" ref="N387:N450" si="34">IF(B387=B386,N386+M387,M387)</f>
        <v>0</v>
      </c>
      <c r="P387" t="e">
        <f>INDEX(Items!B$2:B$1032,MATCH($O387,Items!$A$2:$A$1032,0))</f>
        <v>#N/A</v>
      </c>
      <c r="Q387" t="e">
        <f>INDEX(Items!C$2:C$1032,MATCH($O387,Items!$A$2:$A$1032,0))</f>
        <v>#N/A</v>
      </c>
      <c r="R387" t="e">
        <f>INDEX(Items!D$2:D$1032,MATCH($O387,Items!$A$2:$A$1032,0))</f>
        <v>#N/A</v>
      </c>
    </row>
    <row r="388" spans="1:18" x14ac:dyDescent="0.25">
      <c r="A388">
        <f t="shared" si="32"/>
        <v>1</v>
      </c>
      <c r="B388" t="str">
        <f t="shared" si="33"/>
        <v/>
      </c>
      <c r="C388">
        <f t="shared" si="30"/>
        <v>1</v>
      </c>
      <c r="D388" s="4"/>
      <c r="E388" t="s">
        <v>18</v>
      </c>
      <c r="F388" t="str">
        <f>INDEX(Establishment!B$2:B$1005,MATCH($E388,Establishment!$A$2:$A$1005,0))</f>
        <v xml:space="preserve"> </v>
      </c>
      <c r="G388" t="str">
        <f>INDEX(Establishment!C$2:C$1005,MATCH($E388,Establishment!$A$2:$A$1005,0))</f>
        <v xml:space="preserve"> </v>
      </c>
      <c r="M388">
        <f t="shared" si="31"/>
        <v>0</v>
      </c>
      <c r="N388">
        <f t="shared" si="34"/>
        <v>0</v>
      </c>
      <c r="P388" t="e">
        <f>INDEX(Items!B$2:B$1032,MATCH($O388,Items!$A$2:$A$1032,0))</f>
        <v>#N/A</v>
      </c>
      <c r="Q388" t="e">
        <f>INDEX(Items!C$2:C$1032,MATCH($O388,Items!$A$2:$A$1032,0))</f>
        <v>#N/A</v>
      </c>
      <c r="R388" t="e">
        <f>INDEX(Items!D$2:D$1032,MATCH($O388,Items!$A$2:$A$1032,0))</f>
        <v>#N/A</v>
      </c>
    </row>
    <row r="389" spans="1:18" x14ac:dyDescent="0.25">
      <c r="A389">
        <f t="shared" si="32"/>
        <v>1</v>
      </c>
      <c r="B389" t="str">
        <f t="shared" si="33"/>
        <v/>
      </c>
      <c r="C389">
        <f t="shared" si="30"/>
        <v>1</v>
      </c>
      <c r="D389" s="4"/>
      <c r="E389" t="s">
        <v>18</v>
      </c>
      <c r="F389" t="str">
        <f>INDEX(Establishment!B$2:B$1005,MATCH($E389,Establishment!$A$2:$A$1005,0))</f>
        <v xml:space="preserve"> </v>
      </c>
      <c r="G389" t="str">
        <f>INDEX(Establishment!C$2:C$1005,MATCH($E389,Establishment!$A$2:$A$1005,0))</f>
        <v xml:space="preserve"> </v>
      </c>
      <c r="M389">
        <f t="shared" si="31"/>
        <v>0</v>
      </c>
      <c r="N389">
        <f t="shared" si="34"/>
        <v>0</v>
      </c>
      <c r="P389" t="e">
        <f>INDEX(Items!B$2:B$1032,MATCH($O389,Items!$A$2:$A$1032,0))</f>
        <v>#N/A</v>
      </c>
      <c r="Q389" t="e">
        <f>INDEX(Items!C$2:C$1032,MATCH($O389,Items!$A$2:$A$1032,0))</f>
        <v>#N/A</v>
      </c>
      <c r="R389" t="e">
        <f>INDEX(Items!D$2:D$1032,MATCH($O389,Items!$A$2:$A$1032,0))</f>
        <v>#N/A</v>
      </c>
    </row>
    <row r="390" spans="1:18" x14ac:dyDescent="0.25">
      <c r="A390">
        <f t="shared" si="32"/>
        <v>1</v>
      </c>
      <c r="B390" t="str">
        <f t="shared" si="33"/>
        <v/>
      </c>
      <c r="C390">
        <f t="shared" si="30"/>
        <v>1</v>
      </c>
      <c r="D390" s="4"/>
      <c r="E390" t="s">
        <v>18</v>
      </c>
      <c r="F390" t="str">
        <f>INDEX(Establishment!B$2:B$1005,MATCH($E390,Establishment!$A$2:$A$1005,0))</f>
        <v xml:space="preserve"> </v>
      </c>
      <c r="G390" t="str">
        <f>INDEX(Establishment!C$2:C$1005,MATCH($E390,Establishment!$A$2:$A$1005,0))</f>
        <v xml:space="preserve"> </v>
      </c>
      <c r="M390">
        <f t="shared" si="31"/>
        <v>0</v>
      </c>
      <c r="N390">
        <f t="shared" si="34"/>
        <v>0</v>
      </c>
      <c r="P390" t="e">
        <f>INDEX(Items!B$2:B$1032,MATCH($O390,Items!$A$2:$A$1032,0))</f>
        <v>#N/A</v>
      </c>
      <c r="Q390" t="e">
        <f>INDEX(Items!C$2:C$1032,MATCH($O390,Items!$A$2:$A$1032,0))</f>
        <v>#N/A</v>
      </c>
      <c r="R390" t="e">
        <f>INDEX(Items!D$2:D$1032,MATCH($O390,Items!$A$2:$A$1032,0))</f>
        <v>#N/A</v>
      </c>
    </row>
    <row r="391" spans="1:18" x14ac:dyDescent="0.25">
      <c r="A391">
        <f t="shared" si="32"/>
        <v>1</v>
      </c>
      <c r="B391" t="str">
        <f t="shared" si="33"/>
        <v/>
      </c>
      <c r="C391">
        <f t="shared" si="30"/>
        <v>1</v>
      </c>
      <c r="D391" s="4"/>
      <c r="E391" t="s">
        <v>18</v>
      </c>
      <c r="F391" t="str">
        <f>INDEX(Establishment!B$2:B$1005,MATCH($E391,Establishment!$A$2:$A$1005,0))</f>
        <v xml:space="preserve"> </v>
      </c>
      <c r="G391" t="str">
        <f>INDEX(Establishment!C$2:C$1005,MATCH($E391,Establishment!$A$2:$A$1005,0))</f>
        <v xml:space="preserve"> </v>
      </c>
      <c r="M391">
        <f t="shared" si="31"/>
        <v>0</v>
      </c>
      <c r="N391">
        <f t="shared" si="34"/>
        <v>0</v>
      </c>
      <c r="P391" t="e">
        <f>INDEX(Items!B$2:B$1032,MATCH($O391,Items!$A$2:$A$1032,0))</f>
        <v>#N/A</v>
      </c>
      <c r="Q391" t="e">
        <f>INDEX(Items!C$2:C$1032,MATCH($O391,Items!$A$2:$A$1032,0))</f>
        <v>#N/A</v>
      </c>
      <c r="R391" t="e">
        <f>INDEX(Items!D$2:D$1032,MATCH($O391,Items!$A$2:$A$1032,0))</f>
        <v>#N/A</v>
      </c>
    </row>
    <row r="392" spans="1:18" x14ac:dyDescent="0.25">
      <c r="A392">
        <f t="shared" si="32"/>
        <v>1</v>
      </c>
      <c r="B392" t="str">
        <f t="shared" si="33"/>
        <v/>
      </c>
      <c r="C392">
        <f t="shared" si="30"/>
        <v>1</v>
      </c>
      <c r="D392" s="4"/>
      <c r="E392" t="s">
        <v>18</v>
      </c>
      <c r="F392" t="str">
        <f>INDEX(Establishment!B$2:B$1005,MATCH($E392,Establishment!$A$2:$A$1005,0))</f>
        <v xml:space="preserve"> </v>
      </c>
      <c r="G392" t="str">
        <f>INDEX(Establishment!C$2:C$1005,MATCH($E392,Establishment!$A$2:$A$1005,0))</f>
        <v xml:space="preserve"> </v>
      </c>
      <c r="M392">
        <f t="shared" si="31"/>
        <v>0</v>
      </c>
      <c r="N392">
        <f t="shared" si="34"/>
        <v>0</v>
      </c>
      <c r="P392" t="e">
        <f>INDEX(Items!B$2:B$1032,MATCH($O392,Items!$A$2:$A$1032,0))</f>
        <v>#N/A</v>
      </c>
      <c r="Q392" t="e">
        <f>INDEX(Items!C$2:C$1032,MATCH($O392,Items!$A$2:$A$1032,0))</f>
        <v>#N/A</v>
      </c>
      <c r="R392" t="e">
        <f>INDEX(Items!D$2:D$1032,MATCH($O392,Items!$A$2:$A$1032,0))</f>
        <v>#N/A</v>
      </c>
    </row>
    <row r="393" spans="1:18" x14ac:dyDescent="0.25">
      <c r="A393">
        <f t="shared" si="32"/>
        <v>1</v>
      </c>
      <c r="B393" t="str">
        <f t="shared" si="33"/>
        <v/>
      </c>
      <c r="C393">
        <f t="shared" si="30"/>
        <v>1</v>
      </c>
      <c r="D393" s="4"/>
      <c r="E393" t="s">
        <v>18</v>
      </c>
      <c r="F393" t="str">
        <f>INDEX(Establishment!B$2:B$1005,MATCH($E393,Establishment!$A$2:$A$1005,0))</f>
        <v xml:space="preserve"> </v>
      </c>
      <c r="G393" t="str">
        <f>INDEX(Establishment!C$2:C$1005,MATCH($E393,Establishment!$A$2:$A$1005,0))</f>
        <v xml:space="preserve"> </v>
      </c>
      <c r="M393">
        <f t="shared" si="31"/>
        <v>0</v>
      </c>
      <c r="N393">
        <f t="shared" si="34"/>
        <v>0</v>
      </c>
      <c r="P393" t="e">
        <f>INDEX(Items!B$2:B$1032,MATCH($O393,Items!$A$2:$A$1032,0))</f>
        <v>#N/A</v>
      </c>
      <c r="Q393" t="e">
        <f>INDEX(Items!C$2:C$1032,MATCH($O393,Items!$A$2:$A$1032,0))</f>
        <v>#N/A</v>
      </c>
      <c r="R393" t="e">
        <f>INDEX(Items!D$2:D$1032,MATCH($O393,Items!$A$2:$A$1032,0))</f>
        <v>#N/A</v>
      </c>
    </row>
    <row r="394" spans="1:18" x14ac:dyDescent="0.25">
      <c r="A394">
        <f t="shared" si="32"/>
        <v>1</v>
      </c>
      <c r="B394" t="str">
        <f t="shared" si="33"/>
        <v/>
      </c>
      <c r="C394">
        <f t="shared" ref="C394:C457" si="35">IF(OR(B394="",B394&lt;&gt;B393),1,C393+1)</f>
        <v>1</v>
      </c>
      <c r="D394" s="4"/>
      <c r="E394" t="s">
        <v>18</v>
      </c>
      <c r="F394" t="str">
        <f>INDEX(Establishment!B$2:B$1005,MATCH($E394,Establishment!$A$2:$A$1005,0))</f>
        <v xml:space="preserve"> </v>
      </c>
      <c r="G394" t="str">
        <f>INDEX(Establishment!C$2:C$1005,MATCH($E394,Establishment!$A$2:$A$1005,0))</f>
        <v xml:space="preserve"> </v>
      </c>
      <c r="M394">
        <f t="shared" ref="M394:M457" si="36">K394*L394</f>
        <v>0</v>
      </c>
      <c r="N394">
        <f t="shared" si="34"/>
        <v>0</v>
      </c>
      <c r="P394" t="e">
        <f>INDEX(Items!B$2:B$1032,MATCH($O394,Items!$A$2:$A$1032,0))</f>
        <v>#N/A</v>
      </c>
      <c r="Q394" t="e">
        <f>INDEX(Items!C$2:C$1032,MATCH($O394,Items!$A$2:$A$1032,0))</f>
        <v>#N/A</v>
      </c>
      <c r="R394" t="e">
        <f>INDEX(Items!D$2:D$1032,MATCH($O394,Items!$A$2:$A$1032,0))</f>
        <v>#N/A</v>
      </c>
    </row>
    <row r="395" spans="1:18" x14ac:dyDescent="0.25">
      <c r="A395">
        <f t="shared" si="32"/>
        <v>1</v>
      </c>
      <c r="B395" t="str">
        <f t="shared" si="33"/>
        <v/>
      </c>
      <c r="C395">
        <f t="shared" si="35"/>
        <v>1</v>
      </c>
      <c r="D395" s="4"/>
      <c r="E395" t="s">
        <v>18</v>
      </c>
      <c r="F395" t="str">
        <f>INDEX(Establishment!B$2:B$1005,MATCH($E395,Establishment!$A$2:$A$1005,0))</f>
        <v xml:space="preserve"> </v>
      </c>
      <c r="G395" t="str">
        <f>INDEX(Establishment!C$2:C$1005,MATCH($E395,Establishment!$A$2:$A$1005,0))</f>
        <v xml:space="preserve"> </v>
      </c>
      <c r="M395">
        <f t="shared" si="36"/>
        <v>0</v>
      </c>
      <c r="N395">
        <f t="shared" si="34"/>
        <v>0</v>
      </c>
      <c r="P395" t="e">
        <f>INDEX(Items!B$2:B$1032,MATCH($O395,Items!$A$2:$A$1032,0))</f>
        <v>#N/A</v>
      </c>
      <c r="Q395" t="e">
        <f>INDEX(Items!C$2:C$1032,MATCH($O395,Items!$A$2:$A$1032,0))</f>
        <v>#N/A</v>
      </c>
      <c r="R395" t="e">
        <f>INDEX(Items!D$2:D$1032,MATCH($O395,Items!$A$2:$A$1032,0))</f>
        <v>#N/A</v>
      </c>
    </row>
    <row r="396" spans="1:18" x14ac:dyDescent="0.25">
      <c r="A396">
        <f t="shared" si="32"/>
        <v>1</v>
      </c>
      <c r="B396" t="str">
        <f t="shared" si="33"/>
        <v/>
      </c>
      <c r="C396">
        <f t="shared" si="35"/>
        <v>1</v>
      </c>
      <c r="D396" s="4"/>
      <c r="E396" t="s">
        <v>18</v>
      </c>
      <c r="F396" t="str">
        <f>INDEX(Establishment!B$2:B$1005,MATCH($E396,Establishment!$A$2:$A$1005,0))</f>
        <v xml:space="preserve"> </v>
      </c>
      <c r="G396" t="str">
        <f>INDEX(Establishment!C$2:C$1005,MATCH($E396,Establishment!$A$2:$A$1005,0))</f>
        <v xml:space="preserve"> </v>
      </c>
      <c r="M396">
        <f t="shared" si="36"/>
        <v>0</v>
      </c>
      <c r="N396">
        <f t="shared" si="34"/>
        <v>0</v>
      </c>
      <c r="P396" t="e">
        <f>INDEX(Items!B$2:B$1032,MATCH($O396,Items!$A$2:$A$1032,0))</f>
        <v>#N/A</v>
      </c>
      <c r="Q396" t="e">
        <f>INDEX(Items!C$2:C$1032,MATCH($O396,Items!$A$2:$A$1032,0))</f>
        <v>#N/A</v>
      </c>
      <c r="R396" t="e">
        <f>INDEX(Items!D$2:D$1032,MATCH($O396,Items!$A$2:$A$1032,0))</f>
        <v>#N/A</v>
      </c>
    </row>
    <row r="397" spans="1:18" x14ac:dyDescent="0.25">
      <c r="A397">
        <f t="shared" si="32"/>
        <v>1</v>
      </c>
      <c r="B397" t="str">
        <f t="shared" si="33"/>
        <v/>
      </c>
      <c r="C397">
        <f t="shared" si="35"/>
        <v>1</v>
      </c>
      <c r="D397" s="4"/>
      <c r="E397" t="s">
        <v>18</v>
      </c>
      <c r="F397" t="str">
        <f>INDEX(Establishment!B$2:B$1005,MATCH($E397,Establishment!$A$2:$A$1005,0))</f>
        <v xml:space="preserve"> </v>
      </c>
      <c r="G397" t="str">
        <f>INDEX(Establishment!C$2:C$1005,MATCH($E397,Establishment!$A$2:$A$1005,0))</f>
        <v xml:space="preserve"> </v>
      </c>
      <c r="M397">
        <f t="shared" si="36"/>
        <v>0</v>
      </c>
      <c r="N397">
        <f t="shared" si="34"/>
        <v>0</v>
      </c>
      <c r="P397" t="e">
        <f>INDEX(Items!B$2:B$1032,MATCH($O397,Items!$A$2:$A$1032,0))</f>
        <v>#N/A</v>
      </c>
      <c r="Q397" t="e">
        <f>INDEX(Items!C$2:C$1032,MATCH($O397,Items!$A$2:$A$1032,0))</f>
        <v>#N/A</v>
      </c>
      <c r="R397" t="e">
        <f>INDEX(Items!D$2:D$1032,MATCH($O397,Items!$A$2:$A$1032,0))</f>
        <v>#N/A</v>
      </c>
    </row>
    <row r="398" spans="1:18" x14ac:dyDescent="0.25">
      <c r="A398">
        <f t="shared" si="32"/>
        <v>1</v>
      </c>
      <c r="B398" t="str">
        <f t="shared" si="33"/>
        <v/>
      </c>
      <c r="C398">
        <f t="shared" si="35"/>
        <v>1</v>
      </c>
      <c r="D398" s="4"/>
      <c r="E398" t="s">
        <v>18</v>
      </c>
      <c r="F398" t="str">
        <f>INDEX(Establishment!B$2:B$1005,MATCH($E398,Establishment!$A$2:$A$1005,0))</f>
        <v xml:space="preserve"> </v>
      </c>
      <c r="G398" t="str">
        <f>INDEX(Establishment!C$2:C$1005,MATCH($E398,Establishment!$A$2:$A$1005,0))</f>
        <v xml:space="preserve"> </v>
      </c>
      <c r="M398">
        <f t="shared" si="36"/>
        <v>0</v>
      </c>
      <c r="N398">
        <f t="shared" si="34"/>
        <v>0</v>
      </c>
      <c r="P398" t="e">
        <f>INDEX(Items!B$2:B$1032,MATCH($O398,Items!$A$2:$A$1032,0))</f>
        <v>#N/A</v>
      </c>
      <c r="Q398" t="e">
        <f>INDEX(Items!C$2:C$1032,MATCH($O398,Items!$A$2:$A$1032,0))</f>
        <v>#N/A</v>
      </c>
      <c r="R398" t="e">
        <f>INDEX(Items!D$2:D$1032,MATCH($O398,Items!$A$2:$A$1032,0))</f>
        <v>#N/A</v>
      </c>
    </row>
    <row r="399" spans="1:18" x14ac:dyDescent="0.25">
      <c r="A399">
        <f t="shared" si="32"/>
        <v>1</v>
      </c>
      <c r="B399" t="str">
        <f t="shared" si="33"/>
        <v/>
      </c>
      <c r="C399">
        <f t="shared" si="35"/>
        <v>1</v>
      </c>
      <c r="D399" s="4"/>
      <c r="E399" t="s">
        <v>18</v>
      </c>
      <c r="F399" t="str">
        <f>INDEX(Establishment!B$2:B$1005,MATCH($E399,Establishment!$A$2:$A$1005,0))</f>
        <v xml:space="preserve"> </v>
      </c>
      <c r="G399" t="str">
        <f>INDEX(Establishment!C$2:C$1005,MATCH($E399,Establishment!$A$2:$A$1005,0))</f>
        <v xml:space="preserve"> </v>
      </c>
      <c r="M399">
        <f t="shared" si="36"/>
        <v>0</v>
      </c>
      <c r="N399">
        <f t="shared" si="34"/>
        <v>0</v>
      </c>
      <c r="P399" t="e">
        <f>INDEX(Items!B$2:B$1032,MATCH($O399,Items!$A$2:$A$1032,0))</f>
        <v>#N/A</v>
      </c>
      <c r="Q399" t="e">
        <f>INDEX(Items!C$2:C$1032,MATCH($O399,Items!$A$2:$A$1032,0))</f>
        <v>#N/A</v>
      </c>
      <c r="R399" t="e">
        <f>INDEX(Items!D$2:D$1032,MATCH($O399,Items!$A$2:$A$1032,0))</f>
        <v>#N/A</v>
      </c>
    </row>
    <row r="400" spans="1:18" x14ac:dyDescent="0.25">
      <c r="A400">
        <f t="shared" si="32"/>
        <v>1</v>
      </c>
      <c r="B400" t="str">
        <f t="shared" si="33"/>
        <v/>
      </c>
      <c r="C400">
        <f t="shared" si="35"/>
        <v>1</v>
      </c>
      <c r="D400" s="4"/>
      <c r="E400" t="s">
        <v>18</v>
      </c>
      <c r="F400" t="str">
        <f>INDEX(Establishment!B$2:B$1005,MATCH($E400,Establishment!$A$2:$A$1005,0))</f>
        <v xml:space="preserve"> </v>
      </c>
      <c r="G400" t="str">
        <f>INDEX(Establishment!C$2:C$1005,MATCH($E400,Establishment!$A$2:$A$1005,0))</f>
        <v xml:space="preserve"> </v>
      </c>
      <c r="M400">
        <f t="shared" si="36"/>
        <v>0</v>
      </c>
      <c r="N400">
        <f t="shared" si="34"/>
        <v>0</v>
      </c>
      <c r="P400" t="e">
        <f>INDEX(Items!B$2:B$1032,MATCH($O400,Items!$A$2:$A$1032,0))</f>
        <v>#N/A</v>
      </c>
      <c r="Q400" t="e">
        <f>INDEX(Items!C$2:C$1032,MATCH($O400,Items!$A$2:$A$1032,0))</f>
        <v>#N/A</v>
      </c>
      <c r="R400" t="e">
        <f>INDEX(Items!D$2:D$1032,MATCH($O400,Items!$A$2:$A$1032,0))</f>
        <v>#N/A</v>
      </c>
    </row>
    <row r="401" spans="1:18" x14ac:dyDescent="0.25">
      <c r="A401">
        <f t="shared" si="32"/>
        <v>1</v>
      </c>
      <c r="B401" t="str">
        <f t="shared" si="33"/>
        <v/>
      </c>
      <c r="C401">
        <f t="shared" si="35"/>
        <v>1</v>
      </c>
      <c r="D401" s="4"/>
      <c r="E401" t="s">
        <v>18</v>
      </c>
      <c r="F401" t="str">
        <f>INDEX(Establishment!B$2:B$1005,MATCH($E401,Establishment!$A$2:$A$1005,0))</f>
        <v xml:space="preserve"> </v>
      </c>
      <c r="G401" t="str">
        <f>INDEX(Establishment!C$2:C$1005,MATCH($E401,Establishment!$A$2:$A$1005,0))</f>
        <v xml:space="preserve"> </v>
      </c>
      <c r="M401">
        <f t="shared" si="36"/>
        <v>0</v>
      </c>
      <c r="N401">
        <f t="shared" si="34"/>
        <v>0</v>
      </c>
      <c r="P401" t="e">
        <f>INDEX(Items!B$2:B$1032,MATCH($O401,Items!$A$2:$A$1032,0))</f>
        <v>#N/A</v>
      </c>
      <c r="Q401" t="e">
        <f>INDEX(Items!C$2:C$1032,MATCH($O401,Items!$A$2:$A$1032,0))</f>
        <v>#N/A</v>
      </c>
      <c r="R401" t="e">
        <f>INDEX(Items!D$2:D$1032,MATCH($O401,Items!$A$2:$A$1032,0))</f>
        <v>#N/A</v>
      </c>
    </row>
    <row r="402" spans="1:18" x14ac:dyDescent="0.25">
      <c r="A402">
        <f t="shared" si="32"/>
        <v>1</v>
      </c>
      <c r="B402" t="str">
        <f t="shared" si="33"/>
        <v/>
      </c>
      <c r="C402">
        <f t="shared" si="35"/>
        <v>1</v>
      </c>
      <c r="D402" s="4"/>
      <c r="E402" t="s">
        <v>18</v>
      </c>
      <c r="F402" t="str">
        <f>INDEX(Establishment!B$2:B$1005,MATCH($E402,Establishment!$A$2:$A$1005,0))</f>
        <v xml:space="preserve"> </v>
      </c>
      <c r="G402" t="str">
        <f>INDEX(Establishment!C$2:C$1005,MATCH($E402,Establishment!$A$2:$A$1005,0))</f>
        <v xml:space="preserve"> </v>
      </c>
      <c r="M402">
        <f t="shared" si="36"/>
        <v>0</v>
      </c>
      <c r="N402">
        <f t="shared" si="34"/>
        <v>0</v>
      </c>
      <c r="P402" t="e">
        <f>INDEX(Items!B$2:B$1032,MATCH($O402,Items!$A$2:$A$1032,0))</f>
        <v>#N/A</v>
      </c>
      <c r="Q402" t="e">
        <f>INDEX(Items!C$2:C$1032,MATCH($O402,Items!$A$2:$A$1032,0))</f>
        <v>#N/A</v>
      </c>
      <c r="R402" t="e">
        <f>INDEX(Items!D$2:D$1032,MATCH($O402,Items!$A$2:$A$1032,0))</f>
        <v>#N/A</v>
      </c>
    </row>
    <row r="403" spans="1:18" x14ac:dyDescent="0.25">
      <c r="A403">
        <f t="shared" si="32"/>
        <v>1</v>
      </c>
      <c r="B403" t="str">
        <f t="shared" si="33"/>
        <v/>
      </c>
      <c r="C403">
        <f t="shared" si="35"/>
        <v>1</v>
      </c>
      <c r="D403" s="4"/>
      <c r="E403" t="s">
        <v>18</v>
      </c>
      <c r="F403" t="str">
        <f>INDEX(Establishment!B$2:B$1005,MATCH($E403,Establishment!$A$2:$A$1005,0))</f>
        <v xml:space="preserve"> </v>
      </c>
      <c r="G403" t="str">
        <f>INDEX(Establishment!C$2:C$1005,MATCH($E403,Establishment!$A$2:$A$1005,0))</f>
        <v xml:space="preserve"> </v>
      </c>
      <c r="M403">
        <f t="shared" si="36"/>
        <v>0</v>
      </c>
      <c r="N403">
        <f t="shared" si="34"/>
        <v>0</v>
      </c>
      <c r="P403" t="e">
        <f>INDEX(Items!B$2:B$1032,MATCH($O403,Items!$A$2:$A$1032,0))</f>
        <v>#N/A</v>
      </c>
      <c r="Q403" t="e">
        <f>INDEX(Items!C$2:C$1032,MATCH($O403,Items!$A$2:$A$1032,0))</f>
        <v>#N/A</v>
      </c>
      <c r="R403" t="e">
        <f>INDEX(Items!D$2:D$1032,MATCH($O403,Items!$A$2:$A$1032,0))</f>
        <v>#N/A</v>
      </c>
    </row>
    <row r="404" spans="1:18" x14ac:dyDescent="0.25">
      <c r="A404">
        <f t="shared" si="32"/>
        <v>1</v>
      </c>
      <c r="B404" t="str">
        <f t="shared" si="33"/>
        <v/>
      </c>
      <c r="C404">
        <f t="shared" si="35"/>
        <v>1</v>
      </c>
      <c r="D404" s="4"/>
      <c r="E404" t="s">
        <v>18</v>
      </c>
      <c r="F404" t="str">
        <f>INDEX(Establishment!B$2:B$1005,MATCH($E404,Establishment!$A$2:$A$1005,0))</f>
        <v xml:space="preserve"> </v>
      </c>
      <c r="G404" t="str">
        <f>INDEX(Establishment!C$2:C$1005,MATCH($E404,Establishment!$A$2:$A$1005,0))</f>
        <v xml:space="preserve"> </v>
      </c>
      <c r="M404">
        <f t="shared" si="36"/>
        <v>0</v>
      </c>
      <c r="N404">
        <f t="shared" si="34"/>
        <v>0</v>
      </c>
      <c r="P404" t="e">
        <f>INDEX(Items!B$2:B$1032,MATCH($O404,Items!$A$2:$A$1032,0))</f>
        <v>#N/A</v>
      </c>
      <c r="Q404" t="e">
        <f>INDEX(Items!C$2:C$1032,MATCH($O404,Items!$A$2:$A$1032,0))</f>
        <v>#N/A</v>
      </c>
      <c r="R404" t="e">
        <f>INDEX(Items!D$2:D$1032,MATCH($O404,Items!$A$2:$A$1032,0))</f>
        <v>#N/A</v>
      </c>
    </row>
    <row r="405" spans="1:18" x14ac:dyDescent="0.25">
      <c r="A405">
        <f t="shared" si="32"/>
        <v>1</v>
      </c>
      <c r="B405" t="str">
        <f t="shared" si="33"/>
        <v/>
      </c>
      <c r="C405">
        <f t="shared" si="35"/>
        <v>1</v>
      </c>
      <c r="D405" s="4"/>
      <c r="E405" t="s">
        <v>18</v>
      </c>
      <c r="F405" t="str">
        <f>INDEX(Establishment!B$2:B$1005,MATCH($E405,Establishment!$A$2:$A$1005,0))</f>
        <v xml:space="preserve"> </v>
      </c>
      <c r="G405" t="str">
        <f>INDEX(Establishment!C$2:C$1005,MATCH($E405,Establishment!$A$2:$A$1005,0))</f>
        <v xml:space="preserve"> </v>
      </c>
      <c r="M405">
        <f t="shared" si="36"/>
        <v>0</v>
      </c>
      <c r="N405">
        <f t="shared" si="34"/>
        <v>0</v>
      </c>
      <c r="P405" t="e">
        <f>INDEX(Items!B$2:B$1032,MATCH($O405,Items!$A$2:$A$1032,0))</f>
        <v>#N/A</v>
      </c>
      <c r="Q405" t="e">
        <f>INDEX(Items!C$2:C$1032,MATCH($O405,Items!$A$2:$A$1032,0))</f>
        <v>#N/A</v>
      </c>
      <c r="R405" t="e">
        <f>INDEX(Items!D$2:D$1032,MATCH($O405,Items!$A$2:$A$1032,0))</f>
        <v>#N/A</v>
      </c>
    </row>
    <row r="406" spans="1:18" x14ac:dyDescent="0.25">
      <c r="A406">
        <f t="shared" si="32"/>
        <v>1</v>
      </c>
      <c r="B406" t="str">
        <f t="shared" si="33"/>
        <v/>
      </c>
      <c r="C406">
        <f t="shared" si="35"/>
        <v>1</v>
      </c>
      <c r="D406" s="4"/>
      <c r="E406" t="s">
        <v>18</v>
      </c>
      <c r="F406" t="str">
        <f>INDEX(Establishment!B$2:B$1005,MATCH($E406,Establishment!$A$2:$A$1005,0))</f>
        <v xml:space="preserve"> </v>
      </c>
      <c r="G406" t="str">
        <f>INDEX(Establishment!C$2:C$1005,MATCH($E406,Establishment!$A$2:$A$1005,0))</f>
        <v xml:space="preserve"> </v>
      </c>
      <c r="M406">
        <f t="shared" si="36"/>
        <v>0</v>
      </c>
      <c r="N406">
        <f t="shared" si="34"/>
        <v>0</v>
      </c>
      <c r="P406" t="e">
        <f>INDEX(Items!B$2:B$1032,MATCH($O406,Items!$A$2:$A$1032,0))</f>
        <v>#N/A</v>
      </c>
      <c r="Q406" t="e">
        <f>INDEX(Items!C$2:C$1032,MATCH($O406,Items!$A$2:$A$1032,0))</f>
        <v>#N/A</v>
      </c>
      <c r="R406" t="e">
        <f>INDEX(Items!D$2:D$1032,MATCH($O406,Items!$A$2:$A$1032,0))</f>
        <v>#N/A</v>
      </c>
    </row>
    <row r="407" spans="1:18" x14ac:dyDescent="0.25">
      <c r="A407">
        <f t="shared" si="32"/>
        <v>1</v>
      </c>
      <c r="B407" t="str">
        <f t="shared" si="33"/>
        <v/>
      </c>
      <c r="C407">
        <f t="shared" si="35"/>
        <v>1</v>
      </c>
      <c r="D407" s="4"/>
      <c r="E407" t="s">
        <v>18</v>
      </c>
      <c r="F407" t="str">
        <f>INDEX(Establishment!B$2:B$1005,MATCH($E407,Establishment!$A$2:$A$1005,0))</f>
        <v xml:space="preserve"> </v>
      </c>
      <c r="G407" t="str">
        <f>INDEX(Establishment!C$2:C$1005,MATCH($E407,Establishment!$A$2:$A$1005,0))</f>
        <v xml:space="preserve"> </v>
      </c>
      <c r="M407">
        <f t="shared" si="36"/>
        <v>0</v>
      </c>
      <c r="N407">
        <f t="shared" si="34"/>
        <v>0</v>
      </c>
      <c r="P407" t="e">
        <f>INDEX(Items!B$2:B$1032,MATCH($O407,Items!$A$2:$A$1032,0))</f>
        <v>#N/A</v>
      </c>
      <c r="Q407" t="e">
        <f>INDEX(Items!C$2:C$1032,MATCH($O407,Items!$A$2:$A$1032,0))</f>
        <v>#N/A</v>
      </c>
      <c r="R407" t="e">
        <f>INDEX(Items!D$2:D$1032,MATCH($O407,Items!$A$2:$A$1032,0))</f>
        <v>#N/A</v>
      </c>
    </row>
    <row r="408" spans="1:18" x14ac:dyDescent="0.25">
      <c r="A408">
        <f t="shared" si="32"/>
        <v>1</v>
      </c>
      <c r="B408" t="str">
        <f t="shared" si="33"/>
        <v/>
      </c>
      <c r="C408">
        <f t="shared" si="35"/>
        <v>1</v>
      </c>
      <c r="D408" s="4"/>
      <c r="E408" t="s">
        <v>18</v>
      </c>
      <c r="F408" t="str">
        <f>INDEX(Establishment!B$2:B$1005,MATCH($E408,Establishment!$A$2:$A$1005,0))</f>
        <v xml:space="preserve"> </v>
      </c>
      <c r="G408" t="str">
        <f>INDEX(Establishment!C$2:C$1005,MATCH($E408,Establishment!$A$2:$A$1005,0))</f>
        <v xml:space="preserve"> </v>
      </c>
      <c r="M408">
        <f t="shared" si="36"/>
        <v>0</v>
      </c>
      <c r="N408">
        <f t="shared" si="34"/>
        <v>0</v>
      </c>
      <c r="P408" t="e">
        <f>INDEX(Items!B$2:B$1032,MATCH($O408,Items!$A$2:$A$1032,0))</f>
        <v>#N/A</v>
      </c>
      <c r="Q408" t="e">
        <f>INDEX(Items!C$2:C$1032,MATCH($O408,Items!$A$2:$A$1032,0))</f>
        <v>#N/A</v>
      </c>
      <c r="R408" t="e">
        <f>INDEX(Items!D$2:D$1032,MATCH($O408,Items!$A$2:$A$1032,0))</f>
        <v>#N/A</v>
      </c>
    </row>
    <row r="409" spans="1:18" x14ac:dyDescent="0.25">
      <c r="A409">
        <f t="shared" si="32"/>
        <v>1</v>
      </c>
      <c r="B409" t="str">
        <f t="shared" si="33"/>
        <v/>
      </c>
      <c r="C409">
        <f t="shared" si="35"/>
        <v>1</v>
      </c>
      <c r="D409" s="4"/>
      <c r="E409" t="s">
        <v>18</v>
      </c>
      <c r="F409" t="str">
        <f>INDEX(Establishment!B$2:B$1005,MATCH($E409,Establishment!$A$2:$A$1005,0))</f>
        <v xml:space="preserve"> </v>
      </c>
      <c r="G409" t="str">
        <f>INDEX(Establishment!C$2:C$1005,MATCH($E409,Establishment!$A$2:$A$1005,0))</f>
        <v xml:space="preserve"> </v>
      </c>
      <c r="M409">
        <f t="shared" si="36"/>
        <v>0</v>
      </c>
      <c r="N409">
        <f t="shared" si="34"/>
        <v>0</v>
      </c>
      <c r="P409" t="e">
        <f>INDEX(Items!B$2:B$1032,MATCH($O409,Items!$A$2:$A$1032,0))</f>
        <v>#N/A</v>
      </c>
      <c r="Q409" t="e">
        <f>INDEX(Items!C$2:C$1032,MATCH($O409,Items!$A$2:$A$1032,0))</f>
        <v>#N/A</v>
      </c>
      <c r="R409" t="e">
        <f>INDEX(Items!D$2:D$1032,MATCH($O409,Items!$A$2:$A$1032,0))</f>
        <v>#N/A</v>
      </c>
    </row>
    <row r="410" spans="1:18" x14ac:dyDescent="0.25">
      <c r="A410">
        <f t="shared" si="32"/>
        <v>1</v>
      </c>
      <c r="B410" t="str">
        <f t="shared" si="33"/>
        <v/>
      </c>
      <c r="C410">
        <f t="shared" si="35"/>
        <v>1</v>
      </c>
      <c r="D410" s="4"/>
      <c r="E410" t="s">
        <v>18</v>
      </c>
      <c r="F410" t="str">
        <f>INDEX(Establishment!B$2:B$1005,MATCH($E410,Establishment!$A$2:$A$1005,0))</f>
        <v xml:space="preserve"> </v>
      </c>
      <c r="G410" t="str">
        <f>INDEX(Establishment!C$2:C$1005,MATCH($E410,Establishment!$A$2:$A$1005,0))</f>
        <v xml:space="preserve"> </v>
      </c>
      <c r="M410">
        <f t="shared" si="36"/>
        <v>0</v>
      </c>
      <c r="N410">
        <f t="shared" si="34"/>
        <v>0</v>
      </c>
      <c r="P410" t="e">
        <f>INDEX(Items!B$2:B$1032,MATCH($O410,Items!$A$2:$A$1032,0))</f>
        <v>#N/A</v>
      </c>
      <c r="Q410" t="e">
        <f>INDEX(Items!C$2:C$1032,MATCH($O410,Items!$A$2:$A$1032,0))</f>
        <v>#N/A</v>
      </c>
      <c r="R410" t="e">
        <f>INDEX(Items!D$2:D$1032,MATCH($O410,Items!$A$2:$A$1032,0))</f>
        <v>#N/A</v>
      </c>
    </row>
    <row r="411" spans="1:18" x14ac:dyDescent="0.25">
      <c r="A411">
        <f t="shared" si="32"/>
        <v>1</v>
      </c>
      <c r="B411" t="str">
        <f t="shared" si="33"/>
        <v/>
      </c>
      <c r="C411">
        <f t="shared" si="35"/>
        <v>1</v>
      </c>
      <c r="D411" s="4"/>
      <c r="E411" t="s">
        <v>18</v>
      </c>
      <c r="F411" t="str">
        <f>INDEX(Establishment!B$2:B$1005,MATCH($E411,Establishment!$A$2:$A$1005,0))</f>
        <v xml:space="preserve"> </v>
      </c>
      <c r="G411" t="str">
        <f>INDEX(Establishment!C$2:C$1005,MATCH($E411,Establishment!$A$2:$A$1005,0))</f>
        <v xml:space="preserve"> </v>
      </c>
      <c r="M411">
        <f t="shared" si="36"/>
        <v>0</v>
      </c>
      <c r="N411">
        <f t="shared" si="34"/>
        <v>0</v>
      </c>
      <c r="P411" t="e">
        <f>INDEX(Items!B$2:B$1032,MATCH($O411,Items!$A$2:$A$1032,0))</f>
        <v>#N/A</v>
      </c>
      <c r="Q411" t="e">
        <f>INDEX(Items!C$2:C$1032,MATCH($O411,Items!$A$2:$A$1032,0))</f>
        <v>#N/A</v>
      </c>
      <c r="R411" t="e">
        <f>INDEX(Items!D$2:D$1032,MATCH($O411,Items!$A$2:$A$1032,0))</f>
        <v>#N/A</v>
      </c>
    </row>
    <row r="412" spans="1:18" x14ac:dyDescent="0.25">
      <c r="A412">
        <f t="shared" si="32"/>
        <v>1</v>
      </c>
      <c r="B412" t="str">
        <f t="shared" si="33"/>
        <v/>
      </c>
      <c r="C412">
        <f t="shared" si="35"/>
        <v>1</v>
      </c>
      <c r="D412" s="4"/>
      <c r="E412" t="s">
        <v>18</v>
      </c>
      <c r="F412" t="str">
        <f>INDEX(Establishment!B$2:B$1005,MATCH($E412,Establishment!$A$2:$A$1005,0))</f>
        <v xml:space="preserve"> </v>
      </c>
      <c r="G412" t="str">
        <f>INDEX(Establishment!C$2:C$1005,MATCH($E412,Establishment!$A$2:$A$1005,0))</f>
        <v xml:space="preserve"> </v>
      </c>
      <c r="M412">
        <f t="shared" si="36"/>
        <v>0</v>
      </c>
      <c r="N412">
        <f t="shared" si="34"/>
        <v>0</v>
      </c>
      <c r="P412" t="e">
        <f>INDEX(Items!B$2:B$1032,MATCH($O412,Items!$A$2:$A$1032,0))</f>
        <v>#N/A</v>
      </c>
      <c r="Q412" t="e">
        <f>INDEX(Items!C$2:C$1032,MATCH($O412,Items!$A$2:$A$1032,0))</f>
        <v>#N/A</v>
      </c>
      <c r="R412" t="e">
        <f>INDEX(Items!D$2:D$1032,MATCH($O412,Items!$A$2:$A$1032,0))</f>
        <v>#N/A</v>
      </c>
    </row>
    <row r="413" spans="1:18" x14ac:dyDescent="0.25">
      <c r="A413">
        <f t="shared" si="32"/>
        <v>1</v>
      </c>
      <c r="B413" t="str">
        <f t="shared" si="33"/>
        <v/>
      </c>
      <c r="C413">
        <f t="shared" si="35"/>
        <v>1</v>
      </c>
      <c r="D413" s="4"/>
      <c r="E413" t="s">
        <v>18</v>
      </c>
      <c r="F413" t="str">
        <f>INDEX(Establishment!B$2:B$1005,MATCH($E413,Establishment!$A$2:$A$1005,0))</f>
        <v xml:space="preserve"> </v>
      </c>
      <c r="G413" t="str">
        <f>INDEX(Establishment!C$2:C$1005,MATCH($E413,Establishment!$A$2:$A$1005,0))</f>
        <v xml:space="preserve"> </v>
      </c>
      <c r="M413">
        <f t="shared" si="36"/>
        <v>0</v>
      </c>
      <c r="N413">
        <f t="shared" si="34"/>
        <v>0</v>
      </c>
      <c r="P413" t="e">
        <f>INDEX(Items!B$2:B$1032,MATCH($O413,Items!$A$2:$A$1032,0))</f>
        <v>#N/A</v>
      </c>
      <c r="Q413" t="e">
        <f>INDEX(Items!C$2:C$1032,MATCH($O413,Items!$A$2:$A$1032,0))</f>
        <v>#N/A</v>
      </c>
      <c r="R413" t="e">
        <f>INDEX(Items!D$2:D$1032,MATCH($O413,Items!$A$2:$A$1032,0))</f>
        <v>#N/A</v>
      </c>
    </row>
    <row r="414" spans="1:18" x14ac:dyDescent="0.25">
      <c r="A414">
        <f t="shared" si="32"/>
        <v>1</v>
      </c>
      <c r="B414" t="str">
        <f t="shared" si="33"/>
        <v/>
      </c>
      <c r="C414">
        <f t="shared" si="35"/>
        <v>1</v>
      </c>
      <c r="D414" s="4"/>
      <c r="E414" t="s">
        <v>18</v>
      </c>
      <c r="F414" t="str">
        <f>INDEX(Establishment!B$2:B$1005,MATCH($E414,Establishment!$A$2:$A$1005,0))</f>
        <v xml:space="preserve"> </v>
      </c>
      <c r="G414" t="str">
        <f>INDEX(Establishment!C$2:C$1005,MATCH($E414,Establishment!$A$2:$A$1005,0))</f>
        <v xml:space="preserve"> </v>
      </c>
      <c r="M414">
        <f t="shared" si="36"/>
        <v>0</v>
      </c>
      <c r="N414">
        <f t="shared" si="34"/>
        <v>0</v>
      </c>
      <c r="P414" t="e">
        <f>INDEX(Items!B$2:B$1032,MATCH($O414,Items!$A$2:$A$1032,0))</f>
        <v>#N/A</v>
      </c>
      <c r="Q414" t="e">
        <f>INDEX(Items!C$2:C$1032,MATCH($O414,Items!$A$2:$A$1032,0))</f>
        <v>#N/A</v>
      </c>
      <c r="R414" t="e">
        <f>INDEX(Items!D$2:D$1032,MATCH($O414,Items!$A$2:$A$1032,0))</f>
        <v>#N/A</v>
      </c>
    </row>
    <row r="415" spans="1:18" x14ac:dyDescent="0.25">
      <c r="A415">
        <f t="shared" si="32"/>
        <v>1</v>
      </c>
      <c r="B415" t="str">
        <f t="shared" si="33"/>
        <v/>
      </c>
      <c r="C415">
        <f t="shared" si="35"/>
        <v>1</v>
      </c>
      <c r="D415" s="4"/>
      <c r="E415" t="s">
        <v>18</v>
      </c>
      <c r="F415" t="str">
        <f>INDEX(Establishment!B$2:B$1005,MATCH($E415,Establishment!$A$2:$A$1005,0))</f>
        <v xml:space="preserve"> </v>
      </c>
      <c r="G415" t="str">
        <f>INDEX(Establishment!C$2:C$1005,MATCH($E415,Establishment!$A$2:$A$1005,0))</f>
        <v xml:space="preserve"> </v>
      </c>
      <c r="M415">
        <f t="shared" si="36"/>
        <v>0</v>
      </c>
      <c r="N415">
        <f t="shared" si="34"/>
        <v>0</v>
      </c>
      <c r="P415" t="e">
        <f>INDEX(Items!B$2:B$1032,MATCH($O415,Items!$A$2:$A$1032,0))</f>
        <v>#N/A</v>
      </c>
      <c r="Q415" t="e">
        <f>INDEX(Items!C$2:C$1032,MATCH($O415,Items!$A$2:$A$1032,0))</f>
        <v>#N/A</v>
      </c>
      <c r="R415" t="e">
        <f>INDEX(Items!D$2:D$1032,MATCH($O415,Items!$A$2:$A$1032,0))</f>
        <v>#N/A</v>
      </c>
    </row>
    <row r="416" spans="1:18" x14ac:dyDescent="0.25">
      <c r="A416">
        <f t="shared" si="32"/>
        <v>1</v>
      </c>
      <c r="B416" t="str">
        <f t="shared" si="33"/>
        <v/>
      </c>
      <c r="C416">
        <f t="shared" si="35"/>
        <v>1</v>
      </c>
      <c r="D416" s="4"/>
      <c r="E416" t="s">
        <v>18</v>
      </c>
      <c r="F416" t="str">
        <f>INDEX(Establishment!B$2:B$1005,MATCH($E416,Establishment!$A$2:$A$1005,0))</f>
        <v xml:space="preserve"> </v>
      </c>
      <c r="G416" t="str">
        <f>INDEX(Establishment!C$2:C$1005,MATCH($E416,Establishment!$A$2:$A$1005,0))</f>
        <v xml:space="preserve"> </v>
      </c>
      <c r="M416">
        <f t="shared" si="36"/>
        <v>0</v>
      </c>
      <c r="N416">
        <f t="shared" si="34"/>
        <v>0</v>
      </c>
      <c r="P416" t="e">
        <f>INDEX(Items!B$2:B$1032,MATCH($O416,Items!$A$2:$A$1032,0))</f>
        <v>#N/A</v>
      </c>
      <c r="Q416" t="e">
        <f>INDEX(Items!C$2:C$1032,MATCH($O416,Items!$A$2:$A$1032,0))</f>
        <v>#N/A</v>
      </c>
      <c r="R416" t="e">
        <f>INDEX(Items!D$2:D$1032,MATCH($O416,Items!$A$2:$A$1032,0))</f>
        <v>#N/A</v>
      </c>
    </row>
    <row r="417" spans="1:18" x14ac:dyDescent="0.25">
      <c r="A417">
        <f t="shared" si="32"/>
        <v>1</v>
      </c>
      <c r="B417" t="str">
        <f t="shared" si="33"/>
        <v/>
      </c>
      <c r="C417">
        <f t="shared" si="35"/>
        <v>1</v>
      </c>
      <c r="D417" s="4"/>
      <c r="E417" t="s">
        <v>18</v>
      </c>
      <c r="F417" t="str">
        <f>INDEX(Establishment!B$2:B$1005,MATCH($E417,Establishment!$A$2:$A$1005,0))</f>
        <v xml:space="preserve"> </v>
      </c>
      <c r="G417" t="str">
        <f>INDEX(Establishment!C$2:C$1005,MATCH($E417,Establishment!$A$2:$A$1005,0))</f>
        <v xml:space="preserve"> </v>
      </c>
      <c r="M417">
        <f t="shared" si="36"/>
        <v>0</v>
      </c>
      <c r="N417">
        <f t="shared" si="34"/>
        <v>0</v>
      </c>
      <c r="P417" t="e">
        <f>INDEX(Items!B$2:B$1032,MATCH($O417,Items!$A$2:$A$1032,0))</f>
        <v>#N/A</v>
      </c>
      <c r="Q417" t="e">
        <f>INDEX(Items!C$2:C$1032,MATCH($O417,Items!$A$2:$A$1032,0))</f>
        <v>#N/A</v>
      </c>
      <c r="R417" t="e">
        <f>INDEX(Items!D$2:D$1032,MATCH($O417,Items!$A$2:$A$1032,0))</f>
        <v>#N/A</v>
      </c>
    </row>
    <row r="418" spans="1:18" x14ac:dyDescent="0.25">
      <c r="A418">
        <f t="shared" si="32"/>
        <v>1</v>
      </c>
      <c r="B418" t="str">
        <f t="shared" si="33"/>
        <v/>
      </c>
      <c r="C418">
        <f t="shared" si="35"/>
        <v>1</v>
      </c>
      <c r="D418" s="4"/>
      <c r="E418" t="s">
        <v>18</v>
      </c>
      <c r="F418" t="str">
        <f>INDEX(Establishment!B$2:B$1005,MATCH($E418,Establishment!$A$2:$A$1005,0))</f>
        <v xml:space="preserve"> </v>
      </c>
      <c r="G418" t="str">
        <f>INDEX(Establishment!C$2:C$1005,MATCH($E418,Establishment!$A$2:$A$1005,0))</f>
        <v xml:space="preserve"> </v>
      </c>
      <c r="M418">
        <f t="shared" si="36"/>
        <v>0</v>
      </c>
      <c r="N418">
        <f t="shared" si="34"/>
        <v>0</v>
      </c>
      <c r="P418" t="e">
        <f>INDEX(Items!B$2:B$1032,MATCH($O418,Items!$A$2:$A$1032,0))</f>
        <v>#N/A</v>
      </c>
      <c r="Q418" t="e">
        <f>INDEX(Items!C$2:C$1032,MATCH($O418,Items!$A$2:$A$1032,0))</f>
        <v>#N/A</v>
      </c>
      <c r="R418" t="e">
        <f>INDEX(Items!D$2:D$1032,MATCH($O418,Items!$A$2:$A$1032,0))</f>
        <v>#N/A</v>
      </c>
    </row>
    <row r="419" spans="1:18" x14ac:dyDescent="0.25">
      <c r="A419">
        <f t="shared" si="32"/>
        <v>1</v>
      </c>
      <c r="B419" t="str">
        <f t="shared" si="33"/>
        <v/>
      </c>
      <c r="C419">
        <f t="shared" si="35"/>
        <v>1</v>
      </c>
      <c r="D419" s="4"/>
      <c r="E419" t="s">
        <v>18</v>
      </c>
      <c r="F419" t="str">
        <f>INDEX(Establishment!B$2:B$1005,MATCH($E419,Establishment!$A$2:$A$1005,0))</f>
        <v xml:space="preserve"> </v>
      </c>
      <c r="G419" t="str">
        <f>INDEX(Establishment!C$2:C$1005,MATCH($E419,Establishment!$A$2:$A$1005,0))</f>
        <v xml:space="preserve"> </v>
      </c>
      <c r="M419">
        <f t="shared" si="36"/>
        <v>0</v>
      </c>
      <c r="N419">
        <f t="shared" si="34"/>
        <v>0</v>
      </c>
      <c r="P419" t="e">
        <f>INDEX(Items!B$2:B$1032,MATCH($O419,Items!$A$2:$A$1032,0))</f>
        <v>#N/A</v>
      </c>
      <c r="Q419" t="e">
        <f>INDEX(Items!C$2:C$1032,MATCH($O419,Items!$A$2:$A$1032,0))</f>
        <v>#N/A</v>
      </c>
      <c r="R419" t="e">
        <f>INDEX(Items!D$2:D$1032,MATCH($O419,Items!$A$2:$A$1032,0))</f>
        <v>#N/A</v>
      </c>
    </row>
    <row r="420" spans="1:18" x14ac:dyDescent="0.25">
      <c r="A420">
        <f t="shared" si="32"/>
        <v>1</v>
      </c>
      <c r="B420" t="str">
        <f t="shared" si="33"/>
        <v/>
      </c>
      <c r="C420">
        <f t="shared" si="35"/>
        <v>1</v>
      </c>
      <c r="D420" s="4"/>
      <c r="E420" t="s">
        <v>18</v>
      </c>
      <c r="F420" t="str">
        <f>INDEX(Establishment!B$2:B$1005,MATCH($E420,Establishment!$A$2:$A$1005,0))</f>
        <v xml:space="preserve"> </v>
      </c>
      <c r="G420" t="str">
        <f>INDEX(Establishment!C$2:C$1005,MATCH($E420,Establishment!$A$2:$A$1005,0))</f>
        <v xml:space="preserve"> </v>
      </c>
      <c r="M420">
        <f t="shared" si="36"/>
        <v>0</v>
      </c>
      <c r="N420">
        <f t="shared" si="34"/>
        <v>0</v>
      </c>
      <c r="P420" t="e">
        <f>INDEX(Items!B$2:B$1032,MATCH($O420,Items!$A$2:$A$1032,0))</f>
        <v>#N/A</v>
      </c>
      <c r="Q420" t="e">
        <f>INDEX(Items!C$2:C$1032,MATCH($O420,Items!$A$2:$A$1032,0))</f>
        <v>#N/A</v>
      </c>
      <c r="R420" t="e">
        <f>INDEX(Items!D$2:D$1032,MATCH($O420,Items!$A$2:$A$1032,0))</f>
        <v>#N/A</v>
      </c>
    </row>
    <row r="421" spans="1:18" x14ac:dyDescent="0.25">
      <c r="A421">
        <f t="shared" si="32"/>
        <v>1</v>
      </c>
      <c r="B421" t="str">
        <f t="shared" si="33"/>
        <v/>
      </c>
      <c r="C421">
        <f t="shared" si="35"/>
        <v>1</v>
      </c>
      <c r="D421" s="4"/>
      <c r="E421" t="s">
        <v>18</v>
      </c>
      <c r="F421" t="str">
        <f>INDEX(Establishment!B$2:B$1005,MATCH($E421,Establishment!$A$2:$A$1005,0))</f>
        <v xml:space="preserve"> </v>
      </c>
      <c r="G421" t="str">
        <f>INDEX(Establishment!C$2:C$1005,MATCH($E421,Establishment!$A$2:$A$1005,0))</f>
        <v xml:space="preserve"> </v>
      </c>
      <c r="M421">
        <f t="shared" si="36"/>
        <v>0</v>
      </c>
      <c r="N421">
        <f t="shared" si="34"/>
        <v>0</v>
      </c>
      <c r="P421" t="e">
        <f>INDEX(Items!B$2:B$1032,MATCH($O421,Items!$A$2:$A$1032,0))</f>
        <v>#N/A</v>
      </c>
      <c r="Q421" t="e">
        <f>INDEX(Items!C$2:C$1032,MATCH($O421,Items!$A$2:$A$1032,0))</f>
        <v>#N/A</v>
      </c>
      <c r="R421" t="e">
        <f>INDEX(Items!D$2:D$1032,MATCH($O421,Items!$A$2:$A$1032,0))</f>
        <v>#N/A</v>
      </c>
    </row>
    <row r="422" spans="1:18" x14ac:dyDescent="0.25">
      <c r="A422">
        <f t="shared" si="32"/>
        <v>1</v>
      </c>
      <c r="B422" t="str">
        <f t="shared" si="33"/>
        <v/>
      </c>
      <c r="C422">
        <f t="shared" si="35"/>
        <v>1</v>
      </c>
      <c r="D422" s="4"/>
      <c r="E422" t="s">
        <v>18</v>
      </c>
      <c r="F422" t="str">
        <f>INDEX(Establishment!B$2:B$1005,MATCH($E422,Establishment!$A$2:$A$1005,0))</f>
        <v xml:space="preserve"> </v>
      </c>
      <c r="G422" t="str">
        <f>INDEX(Establishment!C$2:C$1005,MATCH($E422,Establishment!$A$2:$A$1005,0))</f>
        <v xml:space="preserve"> </v>
      </c>
      <c r="M422">
        <f t="shared" si="36"/>
        <v>0</v>
      </c>
      <c r="N422">
        <f t="shared" si="34"/>
        <v>0</v>
      </c>
      <c r="P422" t="e">
        <f>INDEX(Items!B$2:B$1032,MATCH($O422,Items!$A$2:$A$1032,0))</f>
        <v>#N/A</v>
      </c>
      <c r="Q422" t="e">
        <f>INDEX(Items!C$2:C$1032,MATCH($O422,Items!$A$2:$A$1032,0))</f>
        <v>#N/A</v>
      </c>
      <c r="R422" t="e">
        <f>INDEX(Items!D$2:D$1032,MATCH($O422,Items!$A$2:$A$1032,0))</f>
        <v>#N/A</v>
      </c>
    </row>
    <row r="423" spans="1:18" x14ac:dyDescent="0.25">
      <c r="A423">
        <f t="shared" si="32"/>
        <v>1</v>
      </c>
      <c r="B423" t="str">
        <f t="shared" si="33"/>
        <v/>
      </c>
      <c r="C423">
        <f t="shared" si="35"/>
        <v>1</v>
      </c>
      <c r="D423" s="4"/>
      <c r="E423" t="s">
        <v>18</v>
      </c>
      <c r="F423" t="str">
        <f>INDEX(Establishment!B$2:B$1005,MATCH($E423,Establishment!$A$2:$A$1005,0))</f>
        <v xml:space="preserve"> </v>
      </c>
      <c r="G423" t="str">
        <f>INDEX(Establishment!C$2:C$1005,MATCH($E423,Establishment!$A$2:$A$1005,0))</f>
        <v xml:space="preserve"> </v>
      </c>
      <c r="M423">
        <f t="shared" si="36"/>
        <v>0</v>
      </c>
      <c r="N423">
        <f t="shared" si="34"/>
        <v>0</v>
      </c>
      <c r="P423" t="e">
        <f>INDEX(Items!B$2:B$1032,MATCH($O423,Items!$A$2:$A$1032,0))</f>
        <v>#N/A</v>
      </c>
      <c r="Q423" t="e">
        <f>INDEX(Items!C$2:C$1032,MATCH($O423,Items!$A$2:$A$1032,0))</f>
        <v>#N/A</v>
      </c>
      <c r="R423" t="e">
        <f>INDEX(Items!D$2:D$1032,MATCH($O423,Items!$A$2:$A$1032,0))</f>
        <v>#N/A</v>
      </c>
    </row>
    <row r="424" spans="1:18" x14ac:dyDescent="0.25">
      <c r="A424">
        <f t="shared" si="32"/>
        <v>1</v>
      </c>
      <c r="B424" t="str">
        <f t="shared" si="33"/>
        <v/>
      </c>
      <c r="C424">
        <f t="shared" si="35"/>
        <v>1</v>
      </c>
      <c r="D424" s="4"/>
      <c r="E424" t="s">
        <v>18</v>
      </c>
      <c r="F424" t="str">
        <f>INDEX(Establishment!B$2:B$1005,MATCH($E424,Establishment!$A$2:$A$1005,0))</f>
        <v xml:space="preserve"> </v>
      </c>
      <c r="G424" t="str">
        <f>INDEX(Establishment!C$2:C$1005,MATCH($E424,Establishment!$A$2:$A$1005,0))</f>
        <v xml:space="preserve"> </v>
      </c>
      <c r="M424">
        <f t="shared" si="36"/>
        <v>0</v>
      </c>
      <c r="N424">
        <f t="shared" si="34"/>
        <v>0</v>
      </c>
      <c r="P424" t="e">
        <f>INDEX(Items!B$2:B$1032,MATCH($O424,Items!$A$2:$A$1032,0))</f>
        <v>#N/A</v>
      </c>
      <c r="Q424" t="e">
        <f>INDEX(Items!C$2:C$1032,MATCH($O424,Items!$A$2:$A$1032,0))</f>
        <v>#N/A</v>
      </c>
      <c r="R424" t="e">
        <f>INDEX(Items!D$2:D$1032,MATCH($O424,Items!$A$2:$A$1032,0))</f>
        <v>#N/A</v>
      </c>
    </row>
    <row r="425" spans="1:18" x14ac:dyDescent="0.25">
      <c r="A425">
        <f t="shared" si="32"/>
        <v>1</v>
      </c>
      <c r="B425" t="str">
        <f t="shared" si="33"/>
        <v/>
      </c>
      <c r="C425">
        <f t="shared" si="35"/>
        <v>1</v>
      </c>
      <c r="D425" s="4"/>
      <c r="E425" t="s">
        <v>18</v>
      </c>
      <c r="F425" t="str">
        <f>INDEX(Establishment!B$2:B$1005,MATCH($E425,Establishment!$A$2:$A$1005,0))</f>
        <v xml:space="preserve"> </v>
      </c>
      <c r="G425" t="str">
        <f>INDEX(Establishment!C$2:C$1005,MATCH($E425,Establishment!$A$2:$A$1005,0))</f>
        <v xml:space="preserve"> </v>
      </c>
      <c r="M425">
        <f t="shared" si="36"/>
        <v>0</v>
      </c>
      <c r="N425">
        <f t="shared" si="34"/>
        <v>0</v>
      </c>
      <c r="P425" t="e">
        <f>INDEX(Items!B$2:B$1032,MATCH($O425,Items!$A$2:$A$1032,0))</f>
        <v>#N/A</v>
      </c>
      <c r="Q425" t="e">
        <f>INDEX(Items!C$2:C$1032,MATCH($O425,Items!$A$2:$A$1032,0))</f>
        <v>#N/A</v>
      </c>
      <c r="R425" t="e">
        <f>INDEX(Items!D$2:D$1032,MATCH($O425,Items!$A$2:$A$1032,0))</f>
        <v>#N/A</v>
      </c>
    </row>
    <row r="426" spans="1:18" x14ac:dyDescent="0.25">
      <c r="A426">
        <f t="shared" si="32"/>
        <v>1</v>
      </c>
      <c r="B426" t="str">
        <f t="shared" si="33"/>
        <v/>
      </c>
      <c r="C426">
        <f t="shared" si="35"/>
        <v>1</v>
      </c>
      <c r="D426" s="4"/>
      <c r="E426" t="s">
        <v>18</v>
      </c>
      <c r="F426" t="str">
        <f>INDEX(Establishment!B$2:B$1005,MATCH($E426,Establishment!$A$2:$A$1005,0))</f>
        <v xml:space="preserve"> </v>
      </c>
      <c r="G426" t="str">
        <f>INDEX(Establishment!C$2:C$1005,MATCH($E426,Establishment!$A$2:$A$1005,0))</f>
        <v xml:space="preserve"> </v>
      </c>
      <c r="M426">
        <f t="shared" si="36"/>
        <v>0</v>
      </c>
      <c r="N426">
        <f t="shared" si="34"/>
        <v>0</v>
      </c>
      <c r="P426" t="e">
        <f>INDEX(Items!B$2:B$1032,MATCH($O426,Items!$A$2:$A$1032,0))</f>
        <v>#N/A</v>
      </c>
      <c r="Q426" t="e">
        <f>INDEX(Items!C$2:C$1032,MATCH($O426,Items!$A$2:$A$1032,0))</f>
        <v>#N/A</v>
      </c>
      <c r="R426" t="e">
        <f>INDEX(Items!D$2:D$1032,MATCH($O426,Items!$A$2:$A$1032,0))</f>
        <v>#N/A</v>
      </c>
    </row>
    <row r="427" spans="1:18" x14ac:dyDescent="0.25">
      <c r="A427">
        <f t="shared" si="32"/>
        <v>1</v>
      </c>
      <c r="B427" t="str">
        <f t="shared" si="33"/>
        <v/>
      </c>
      <c r="C427">
        <f t="shared" si="35"/>
        <v>1</v>
      </c>
      <c r="D427" s="4"/>
      <c r="E427" t="s">
        <v>18</v>
      </c>
      <c r="F427" t="str">
        <f>INDEX(Establishment!B$2:B$1005,MATCH($E427,Establishment!$A$2:$A$1005,0))</f>
        <v xml:space="preserve"> </v>
      </c>
      <c r="G427" t="str">
        <f>INDEX(Establishment!C$2:C$1005,MATCH($E427,Establishment!$A$2:$A$1005,0))</f>
        <v xml:space="preserve"> </v>
      </c>
      <c r="M427">
        <f t="shared" si="36"/>
        <v>0</v>
      </c>
      <c r="N427">
        <f t="shared" si="34"/>
        <v>0</v>
      </c>
      <c r="P427" t="e">
        <f>INDEX(Items!B$2:B$1032,MATCH($O427,Items!$A$2:$A$1032,0))</f>
        <v>#N/A</v>
      </c>
      <c r="Q427" t="e">
        <f>INDEX(Items!C$2:C$1032,MATCH($O427,Items!$A$2:$A$1032,0))</f>
        <v>#N/A</v>
      </c>
      <c r="R427" t="e">
        <f>INDEX(Items!D$2:D$1032,MATCH($O427,Items!$A$2:$A$1032,0))</f>
        <v>#N/A</v>
      </c>
    </row>
    <row r="428" spans="1:18" x14ac:dyDescent="0.25">
      <c r="A428">
        <f t="shared" si="32"/>
        <v>1</v>
      </c>
      <c r="B428" t="str">
        <f t="shared" si="33"/>
        <v/>
      </c>
      <c r="C428">
        <f t="shared" si="35"/>
        <v>1</v>
      </c>
      <c r="D428" s="4"/>
      <c r="E428" t="s">
        <v>18</v>
      </c>
      <c r="F428" t="str">
        <f>INDEX(Establishment!B$2:B$1005,MATCH($E428,Establishment!$A$2:$A$1005,0))</f>
        <v xml:space="preserve"> </v>
      </c>
      <c r="G428" t="str">
        <f>INDEX(Establishment!C$2:C$1005,MATCH($E428,Establishment!$A$2:$A$1005,0))</f>
        <v xml:space="preserve"> </v>
      </c>
      <c r="M428">
        <f t="shared" si="36"/>
        <v>0</v>
      </c>
      <c r="N428">
        <f t="shared" si="34"/>
        <v>0</v>
      </c>
      <c r="P428" t="e">
        <f>INDEX(Items!B$2:B$1032,MATCH($O428,Items!$A$2:$A$1032,0))</f>
        <v>#N/A</v>
      </c>
      <c r="Q428" t="e">
        <f>INDEX(Items!C$2:C$1032,MATCH($O428,Items!$A$2:$A$1032,0))</f>
        <v>#N/A</v>
      </c>
      <c r="R428" t="e">
        <f>INDEX(Items!D$2:D$1032,MATCH($O428,Items!$A$2:$A$1032,0))</f>
        <v>#N/A</v>
      </c>
    </row>
    <row r="429" spans="1:18" x14ac:dyDescent="0.25">
      <c r="A429">
        <f t="shared" si="32"/>
        <v>1</v>
      </c>
      <c r="B429" t="str">
        <f t="shared" si="33"/>
        <v/>
      </c>
      <c r="C429">
        <f t="shared" si="35"/>
        <v>1</v>
      </c>
      <c r="D429" s="4"/>
      <c r="E429" t="s">
        <v>18</v>
      </c>
      <c r="F429" t="str">
        <f>INDEX(Establishment!B$2:B$1005,MATCH($E429,Establishment!$A$2:$A$1005,0))</f>
        <v xml:space="preserve"> </v>
      </c>
      <c r="G429" t="str">
        <f>INDEX(Establishment!C$2:C$1005,MATCH($E429,Establishment!$A$2:$A$1005,0))</f>
        <v xml:space="preserve"> </v>
      </c>
      <c r="M429">
        <f t="shared" si="36"/>
        <v>0</v>
      </c>
      <c r="N429">
        <f t="shared" si="34"/>
        <v>0</v>
      </c>
      <c r="P429" t="e">
        <f>INDEX(Items!B$2:B$1032,MATCH($O429,Items!$A$2:$A$1032,0))</f>
        <v>#N/A</v>
      </c>
      <c r="Q429" t="e">
        <f>INDEX(Items!C$2:C$1032,MATCH($O429,Items!$A$2:$A$1032,0))</f>
        <v>#N/A</v>
      </c>
      <c r="R429" t="e">
        <f>INDEX(Items!D$2:D$1032,MATCH($O429,Items!$A$2:$A$1032,0))</f>
        <v>#N/A</v>
      </c>
    </row>
    <row r="430" spans="1:18" x14ac:dyDescent="0.25">
      <c r="A430">
        <f t="shared" si="32"/>
        <v>1</v>
      </c>
      <c r="B430" t="str">
        <f t="shared" si="33"/>
        <v/>
      </c>
      <c r="C430">
        <f t="shared" si="35"/>
        <v>1</v>
      </c>
      <c r="D430" s="4"/>
      <c r="E430" t="s">
        <v>18</v>
      </c>
      <c r="F430" t="str">
        <f>INDEX(Establishment!B$2:B$1005,MATCH($E430,Establishment!$A$2:$A$1005,0))</f>
        <v xml:space="preserve"> </v>
      </c>
      <c r="G430" t="str">
        <f>INDEX(Establishment!C$2:C$1005,MATCH($E430,Establishment!$A$2:$A$1005,0))</f>
        <v xml:space="preserve"> </v>
      </c>
      <c r="M430">
        <f t="shared" si="36"/>
        <v>0</v>
      </c>
      <c r="N430">
        <f t="shared" si="34"/>
        <v>0</v>
      </c>
      <c r="P430" t="e">
        <f>INDEX(Items!B$2:B$1032,MATCH($O430,Items!$A$2:$A$1032,0))</f>
        <v>#N/A</v>
      </c>
      <c r="Q430" t="e">
        <f>INDEX(Items!C$2:C$1032,MATCH($O430,Items!$A$2:$A$1032,0))</f>
        <v>#N/A</v>
      </c>
      <c r="R430" t="e">
        <f>INDEX(Items!D$2:D$1032,MATCH($O430,Items!$A$2:$A$1032,0))</f>
        <v>#N/A</v>
      </c>
    </row>
    <row r="431" spans="1:18" x14ac:dyDescent="0.25">
      <c r="A431">
        <f t="shared" si="32"/>
        <v>1</v>
      </c>
      <c r="B431" t="str">
        <f t="shared" si="33"/>
        <v/>
      </c>
      <c r="C431">
        <f t="shared" si="35"/>
        <v>1</v>
      </c>
      <c r="D431" s="4"/>
      <c r="E431" t="s">
        <v>18</v>
      </c>
      <c r="F431" t="str">
        <f>INDEX(Establishment!B$2:B$1005,MATCH($E431,Establishment!$A$2:$A$1005,0))</f>
        <v xml:space="preserve"> </v>
      </c>
      <c r="G431" t="str">
        <f>INDEX(Establishment!C$2:C$1005,MATCH($E431,Establishment!$A$2:$A$1005,0))</f>
        <v xml:space="preserve"> </v>
      </c>
      <c r="M431">
        <f t="shared" si="36"/>
        <v>0</v>
      </c>
      <c r="N431">
        <f t="shared" si="34"/>
        <v>0</v>
      </c>
      <c r="P431" t="e">
        <f>INDEX(Items!B$2:B$1032,MATCH($O431,Items!$A$2:$A$1032,0))</f>
        <v>#N/A</v>
      </c>
      <c r="Q431" t="e">
        <f>INDEX(Items!C$2:C$1032,MATCH($O431,Items!$A$2:$A$1032,0))</f>
        <v>#N/A</v>
      </c>
      <c r="R431" t="e">
        <f>INDEX(Items!D$2:D$1032,MATCH($O431,Items!$A$2:$A$1032,0))</f>
        <v>#N/A</v>
      </c>
    </row>
    <row r="432" spans="1:18" x14ac:dyDescent="0.25">
      <c r="A432">
        <f t="shared" si="32"/>
        <v>1</v>
      </c>
      <c r="B432" t="str">
        <f t="shared" si="33"/>
        <v/>
      </c>
      <c r="C432">
        <f t="shared" si="35"/>
        <v>1</v>
      </c>
      <c r="D432" s="4"/>
      <c r="E432" t="s">
        <v>18</v>
      </c>
      <c r="F432" t="str">
        <f>INDEX(Establishment!B$2:B$1005,MATCH($E432,Establishment!$A$2:$A$1005,0))</f>
        <v xml:space="preserve"> </v>
      </c>
      <c r="G432" t="str">
        <f>INDEX(Establishment!C$2:C$1005,MATCH($E432,Establishment!$A$2:$A$1005,0))</f>
        <v xml:space="preserve"> </v>
      </c>
      <c r="M432">
        <f t="shared" si="36"/>
        <v>0</v>
      </c>
      <c r="N432">
        <f t="shared" si="34"/>
        <v>0</v>
      </c>
      <c r="P432" t="e">
        <f>INDEX(Items!B$2:B$1032,MATCH($O432,Items!$A$2:$A$1032,0))</f>
        <v>#N/A</v>
      </c>
      <c r="Q432" t="e">
        <f>INDEX(Items!C$2:C$1032,MATCH($O432,Items!$A$2:$A$1032,0))</f>
        <v>#N/A</v>
      </c>
      <c r="R432" t="e">
        <f>INDEX(Items!D$2:D$1032,MATCH($O432,Items!$A$2:$A$1032,0))</f>
        <v>#N/A</v>
      </c>
    </row>
    <row r="433" spans="1:18" x14ac:dyDescent="0.25">
      <c r="A433">
        <f t="shared" si="32"/>
        <v>1</v>
      </c>
      <c r="B433" t="str">
        <f t="shared" si="33"/>
        <v/>
      </c>
      <c r="C433">
        <f t="shared" si="35"/>
        <v>1</v>
      </c>
      <c r="D433" s="4"/>
      <c r="E433" t="s">
        <v>18</v>
      </c>
      <c r="F433" t="str">
        <f>INDEX(Establishment!B$2:B$1005,MATCH($E433,Establishment!$A$2:$A$1005,0))</f>
        <v xml:space="preserve"> </v>
      </c>
      <c r="G433" t="str">
        <f>INDEX(Establishment!C$2:C$1005,MATCH($E433,Establishment!$A$2:$A$1005,0))</f>
        <v xml:space="preserve"> </v>
      </c>
      <c r="M433">
        <f t="shared" si="36"/>
        <v>0</v>
      </c>
      <c r="N433">
        <f t="shared" si="34"/>
        <v>0</v>
      </c>
      <c r="P433" t="e">
        <f>INDEX(Items!B$2:B$1032,MATCH($O433,Items!$A$2:$A$1032,0))</f>
        <v>#N/A</v>
      </c>
      <c r="Q433" t="e">
        <f>INDEX(Items!C$2:C$1032,MATCH($O433,Items!$A$2:$A$1032,0))</f>
        <v>#N/A</v>
      </c>
      <c r="R433" t="e">
        <f>INDEX(Items!D$2:D$1032,MATCH($O433,Items!$A$2:$A$1032,0))</f>
        <v>#N/A</v>
      </c>
    </row>
    <row r="434" spans="1:18" x14ac:dyDescent="0.25">
      <c r="A434">
        <f t="shared" si="32"/>
        <v>1</v>
      </c>
      <c r="B434" t="str">
        <f t="shared" si="33"/>
        <v/>
      </c>
      <c r="C434">
        <f t="shared" si="35"/>
        <v>1</v>
      </c>
      <c r="D434" s="4"/>
      <c r="E434" t="s">
        <v>18</v>
      </c>
      <c r="F434" t="str">
        <f>INDEX(Establishment!B$2:B$1005,MATCH($E434,Establishment!$A$2:$A$1005,0))</f>
        <v xml:space="preserve"> </v>
      </c>
      <c r="G434" t="str">
        <f>INDEX(Establishment!C$2:C$1005,MATCH($E434,Establishment!$A$2:$A$1005,0))</f>
        <v xml:space="preserve"> </v>
      </c>
      <c r="M434">
        <f t="shared" si="36"/>
        <v>0</v>
      </c>
      <c r="N434">
        <f t="shared" si="34"/>
        <v>0</v>
      </c>
      <c r="P434" t="e">
        <f>INDEX(Items!B$2:B$1032,MATCH($O434,Items!$A$2:$A$1032,0))</f>
        <v>#N/A</v>
      </c>
      <c r="Q434" t="e">
        <f>INDEX(Items!C$2:C$1032,MATCH($O434,Items!$A$2:$A$1032,0))</f>
        <v>#N/A</v>
      </c>
      <c r="R434" t="e">
        <f>INDEX(Items!D$2:D$1032,MATCH($O434,Items!$A$2:$A$1032,0))</f>
        <v>#N/A</v>
      </c>
    </row>
    <row r="435" spans="1:18" x14ac:dyDescent="0.25">
      <c r="A435">
        <f t="shared" si="32"/>
        <v>1</v>
      </c>
      <c r="B435" t="str">
        <f t="shared" si="33"/>
        <v/>
      </c>
      <c r="C435">
        <f t="shared" si="35"/>
        <v>1</v>
      </c>
      <c r="D435" s="4"/>
      <c r="E435" t="s">
        <v>18</v>
      </c>
      <c r="F435" t="str">
        <f>INDEX(Establishment!B$2:B$1005,MATCH($E435,Establishment!$A$2:$A$1005,0))</f>
        <v xml:space="preserve"> </v>
      </c>
      <c r="G435" t="str">
        <f>INDEX(Establishment!C$2:C$1005,MATCH($E435,Establishment!$A$2:$A$1005,0))</f>
        <v xml:space="preserve"> </v>
      </c>
      <c r="M435">
        <f t="shared" si="36"/>
        <v>0</v>
      </c>
      <c r="N435">
        <f t="shared" si="34"/>
        <v>0</v>
      </c>
      <c r="P435" t="e">
        <f>INDEX(Items!B$2:B$1032,MATCH($O435,Items!$A$2:$A$1032,0))</f>
        <v>#N/A</v>
      </c>
      <c r="Q435" t="e">
        <f>INDEX(Items!C$2:C$1032,MATCH($O435,Items!$A$2:$A$1032,0))</f>
        <v>#N/A</v>
      </c>
      <c r="R435" t="e">
        <f>INDEX(Items!D$2:D$1032,MATCH($O435,Items!$A$2:$A$1032,0))</f>
        <v>#N/A</v>
      </c>
    </row>
    <row r="436" spans="1:18" x14ac:dyDescent="0.25">
      <c r="A436">
        <f t="shared" si="32"/>
        <v>1</v>
      </c>
      <c r="B436" t="str">
        <f t="shared" si="33"/>
        <v/>
      </c>
      <c r="C436">
        <f t="shared" si="35"/>
        <v>1</v>
      </c>
      <c r="D436" s="4"/>
      <c r="E436" t="s">
        <v>18</v>
      </c>
      <c r="F436" t="str">
        <f>INDEX(Establishment!B$2:B$1005,MATCH($E436,Establishment!$A$2:$A$1005,0))</f>
        <v xml:space="preserve"> </v>
      </c>
      <c r="G436" t="str">
        <f>INDEX(Establishment!C$2:C$1005,MATCH($E436,Establishment!$A$2:$A$1005,0))</f>
        <v xml:space="preserve"> </v>
      </c>
      <c r="M436">
        <f t="shared" si="36"/>
        <v>0</v>
      </c>
      <c r="N436">
        <f t="shared" si="34"/>
        <v>0</v>
      </c>
      <c r="P436" t="e">
        <f>INDEX(Items!B$2:B$1032,MATCH($O436,Items!$A$2:$A$1032,0))</f>
        <v>#N/A</v>
      </c>
      <c r="Q436" t="e">
        <f>INDEX(Items!C$2:C$1032,MATCH($O436,Items!$A$2:$A$1032,0))</f>
        <v>#N/A</v>
      </c>
      <c r="R436" t="e">
        <f>INDEX(Items!D$2:D$1032,MATCH($O436,Items!$A$2:$A$1032,0))</f>
        <v>#N/A</v>
      </c>
    </row>
    <row r="437" spans="1:18" x14ac:dyDescent="0.25">
      <c r="A437">
        <f t="shared" si="32"/>
        <v>1</v>
      </c>
      <c r="B437" t="str">
        <f t="shared" si="33"/>
        <v/>
      </c>
      <c r="C437">
        <f t="shared" si="35"/>
        <v>1</v>
      </c>
      <c r="D437" s="4"/>
      <c r="E437" t="s">
        <v>18</v>
      </c>
      <c r="F437" t="str">
        <f>INDEX(Establishment!B$2:B$1005,MATCH($E437,Establishment!$A$2:$A$1005,0))</f>
        <v xml:space="preserve"> </v>
      </c>
      <c r="G437" t="str">
        <f>INDEX(Establishment!C$2:C$1005,MATCH($E437,Establishment!$A$2:$A$1005,0))</f>
        <v xml:space="preserve"> </v>
      </c>
      <c r="M437">
        <f t="shared" si="36"/>
        <v>0</v>
      </c>
      <c r="N437">
        <f t="shared" si="34"/>
        <v>0</v>
      </c>
      <c r="P437" t="e">
        <f>INDEX(Items!B$2:B$1032,MATCH($O437,Items!$A$2:$A$1032,0))</f>
        <v>#N/A</v>
      </c>
      <c r="Q437" t="e">
        <f>INDEX(Items!C$2:C$1032,MATCH($O437,Items!$A$2:$A$1032,0))</f>
        <v>#N/A</v>
      </c>
      <c r="R437" t="e">
        <f>INDEX(Items!D$2:D$1032,MATCH($O437,Items!$A$2:$A$1032,0))</f>
        <v>#N/A</v>
      </c>
    </row>
    <row r="438" spans="1:18" x14ac:dyDescent="0.25">
      <c r="A438">
        <f t="shared" si="32"/>
        <v>1</v>
      </c>
      <c r="B438" t="str">
        <f t="shared" si="33"/>
        <v/>
      </c>
      <c r="C438">
        <f t="shared" si="35"/>
        <v>1</v>
      </c>
      <c r="D438" s="4"/>
      <c r="E438" t="s">
        <v>18</v>
      </c>
      <c r="F438" t="str">
        <f>INDEX(Establishment!B$2:B$1005,MATCH($E438,Establishment!$A$2:$A$1005,0))</f>
        <v xml:space="preserve"> </v>
      </c>
      <c r="G438" t="str">
        <f>INDEX(Establishment!C$2:C$1005,MATCH($E438,Establishment!$A$2:$A$1005,0))</f>
        <v xml:space="preserve"> </v>
      </c>
      <c r="M438">
        <f t="shared" si="36"/>
        <v>0</v>
      </c>
      <c r="N438">
        <f t="shared" si="34"/>
        <v>0</v>
      </c>
      <c r="P438" t="e">
        <f>INDEX(Items!B$2:B$1032,MATCH($O438,Items!$A$2:$A$1032,0))</f>
        <v>#N/A</v>
      </c>
      <c r="Q438" t="e">
        <f>INDEX(Items!C$2:C$1032,MATCH($O438,Items!$A$2:$A$1032,0))</f>
        <v>#N/A</v>
      </c>
      <c r="R438" t="e">
        <f>INDEX(Items!D$2:D$1032,MATCH($O438,Items!$A$2:$A$1032,0))</f>
        <v>#N/A</v>
      </c>
    </row>
    <row r="439" spans="1:18" x14ac:dyDescent="0.25">
      <c r="A439">
        <f t="shared" si="32"/>
        <v>1</v>
      </c>
      <c r="B439" t="str">
        <f t="shared" si="33"/>
        <v/>
      </c>
      <c r="C439">
        <f t="shared" si="35"/>
        <v>1</v>
      </c>
      <c r="D439" s="4"/>
      <c r="E439" t="s">
        <v>18</v>
      </c>
      <c r="F439" t="str">
        <f>INDEX(Establishment!B$2:B$1005,MATCH($E439,Establishment!$A$2:$A$1005,0))</f>
        <v xml:space="preserve"> </v>
      </c>
      <c r="G439" t="str">
        <f>INDEX(Establishment!C$2:C$1005,MATCH($E439,Establishment!$A$2:$A$1005,0))</f>
        <v xml:space="preserve"> </v>
      </c>
      <c r="M439">
        <f t="shared" si="36"/>
        <v>0</v>
      </c>
      <c r="N439">
        <f t="shared" si="34"/>
        <v>0</v>
      </c>
      <c r="P439" t="e">
        <f>INDEX(Items!B$2:B$1032,MATCH($O439,Items!$A$2:$A$1032,0))</f>
        <v>#N/A</v>
      </c>
      <c r="Q439" t="e">
        <f>INDEX(Items!C$2:C$1032,MATCH($O439,Items!$A$2:$A$1032,0))</f>
        <v>#N/A</v>
      </c>
      <c r="R439" t="e">
        <f>INDEX(Items!D$2:D$1032,MATCH($O439,Items!$A$2:$A$1032,0))</f>
        <v>#N/A</v>
      </c>
    </row>
    <row r="440" spans="1:18" x14ac:dyDescent="0.25">
      <c r="A440">
        <f t="shared" si="32"/>
        <v>1</v>
      </c>
      <c r="B440" t="str">
        <f t="shared" si="33"/>
        <v/>
      </c>
      <c r="C440">
        <f t="shared" si="35"/>
        <v>1</v>
      </c>
      <c r="D440" s="4"/>
      <c r="E440" t="s">
        <v>18</v>
      </c>
      <c r="F440" t="str">
        <f>INDEX(Establishment!B$2:B$1005,MATCH($E440,Establishment!$A$2:$A$1005,0))</f>
        <v xml:space="preserve"> </v>
      </c>
      <c r="G440" t="str">
        <f>INDEX(Establishment!C$2:C$1005,MATCH($E440,Establishment!$A$2:$A$1005,0))</f>
        <v xml:space="preserve"> </v>
      </c>
      <c r="M440">
        <f t="shared" si="36"/>
        <v>0</v>
      </c>
      <c r="N440">
        <f t="shared" si="34"/>
        <v>0</v>
      </c>
      <c r="P440" t="e">
        <f>INDEX(Items!B$2:B$1032,MATCH($O440,Items!$A$2:$A$1032,0))</f>
        <v>#N/A</v>
      </c>
      <c r="Q440" t="e">
        <f>INDEX(Items!C$2:C$1032,MATCH($O440,Items!$A$2:$A$1032,0))</f>
        <v>#N/A</v>
      </c>
      <c r="R440" t="e">
        <f>INDEX(Items!D$2:D$1032,MATCH($O440,Items!$A$2:$A$1032,0))</f>
        <v>#N/A</v>
      </c>
    </row>
    <row r="441" spans="1:18" x14ac:dyDescent="0.25">
      <c r="A441">
        <f t="shared" si="32"/>
        <v>1</v>
      </c>
      <c r="B441" t="str">
        <f t="shared" si="33"/>
        <v/>
      </c>
      <c r="C441">
        <f t="shared" si="35"/>
        <v>1</v>
      </c>
      <c r="D441" s="4"/>
      <c r="E441" t="s">
        <v>18</v>
      </c>
      <c r="F441" t="str">
        <f>INDEX(Establishment!B$2:B$1005,MATCH($E441,Establishment!$A$2:$A$1005,0))</f>
        <v xml:space="preserve"> </v>
      </c>
      <c r="G441" t="str">
        <f>INDEX(Establishment!C$2:C$1005,MATCH($E441,Establishment!$A$2:$A$1005,0))</f>
        <v xml:space="preserve"> </v>
      </c>
      <c r="M441">
        <f t="shared" si="36"/>
        <v>0</v>
      </c>
      <c r="N441">
        <f t="shared" si="34"/>
        <v>0</v>
      </c>
      <c r="P441" t="e">
        <f>INDEX(Items!B$2:B$1032,MATCH($O441,Items!$A$2:$A$1032,0))</f>
        <v>#N/A</v>
      </c>
      <c r="Q441" t="e">
        <f>INDEX(Items!C$2:C$1032,MATCH($O441,Items!$A$2:$A$1032,0))</f>
        <v>#N/A</v>
      </c>
      <c r="R441" t="e">
        <f>INDEX(Items!D$2:D$1032,MATCH($O441,Items!$A$2:$A$1032,0))</f>
        <v>#N/A</v>
      </c>
    </row>
    <row r="442" spans="1:18" x14ac:dyDescent="0.25">
      <c r="A442">
        <f t="shared" si="32"/>
        <v>1</v>
      </c>
      <c r="B442" t="str">
        <f t="shared" si="33"/>
        <v/>
      </c>
      <c r="C442">
        <f t="shared" si="35"/>
        <v>1</v>
      </c>
      <c r="D442" s="4"/>
      <c r="E442" t="s">
        <v>18</v>
      </c>
      <c r="F442" t="str">
        <f>INDEX(Establishment!B$2:B$1005,MATCH($E442,Establishment!$A$2:$A$1005,0))</f>
        <v xml:space="preserve"> </v>
      </c>
      <c r="G442" t="str">
        <f>INDEX(Establishment!C$2:C$1005,MATCH($E442,Establishment!$A$2:$A$1005,0))</f>
        <v xml:space="preserve"> </v>
      </c>
      <c r="M442">
        <f t="shared" si="36"/>
        <v>0</v>
      </c>
      <c r="N442">
        <f t="shared" si="34"/>
        <v>0</v>
      </c>
      <c r="P442" t="e">
        <f>INDEX(Items!B$2:B$1032,MATCH($O442,Items!$A$2:$A$1032,0))</f>
        <v>#N/A</v>
      </c>
      <c r="Q442" t="e">
        <f>INDEX(Items!C$2:C$1032,MATCH($O442,Items!$A$2:$A$1032,0))</f>
        <v>#N/A</v>
      </c>
      <c r="R442" t="e">
        <f>INDEX(Items!D$2:D$1032,MATCH($O442,Items!$A$2:$A$1032,0))</f>
        <v>#N/A</v>
      </c>
    </row>
    <row r="443" spans="1:18" x14ac:dyDescent="0.25">
      <c r="A443">
        <f t="shared" si="32"/>
        <v>1</v>
      </c>
      <c r="B443" t="str">
        <f t="shared" si="33"/>
        <v/>
      </c>
      <c r="C443">
        <f t="shared" si="35"/>
        <v>1</v>
      </c>
      <c r="D443" s="4"/>
      <c r="E443" t="s">
        <v>18</v>
      </c>
      <c r="F443" t="str">
        <f>INDEX(Establishment!B$2:B$1005,MATCH($E443,Establishment!$A$2:$A$1005,0))</f>
        <v xml:space="preserve"> </v>
      </c>
      <c r="G443" t="str">
        <f>INDEX(Establishment!C$2:C$1005,MATCH($E443,Establishment!$A$2:$A$1005,0))</f>
        <v xml:space="preserve"> </v>
      </c>
      <c r="M443">
        <f t="shared" si="36"/>
        <v>0</v>
      </c>
      <c r="N443">
        <f t="shared" si="34"/>
        <v>0</v>
      </c>
      <c r="P443" t="e">
        <f>INDEX(Items!B$2:B$1032,MATCH($O443,Items!$A$2:$A$1032,0))</f>
        <v>#N/A</v>
      </c>
      <c r="Q443" t="e">
        <f>INDEX(Items!C$2:C$1032,MATCH($O443,Items!$A$2:$A$1032,0))</f>
        <v>#N/A</v>
      </c>
      <c r="R443" t="e">
        <f>INDEX(Items!D$2:D$1032,MATCH($O443,Items!$A$2:$A$1032,0))</f>
        <v>#N/A</v>
      </c>
    </row>
    <row r="444" spans="1:18" x14ac:dyDescent="0.25">
      <c r="A444">
        <f t="shared" si="32"/>
        <v>1</v>
      </c>
      <c r="B444" t="str">
        <f t="shared" si="33"/>
        <v/>
      </c>
      <c r="C444">
        <f t="shared" si="35"/>
        <v>1</v>
      </c>
      <c r="D444" s="4"/>
      <c r="E444" t="s">
        <v>18</v>
      </c>
      <c r="F444" t="str">
        <f>INDEX(Establishment!B$2:B$1005,MATCH($E444,Establishment!$A$2:$A$1005,0))</f>
        <v xml:space="preserve"> </v>
      </c>
      <c r="G444" t="str">
        <f>INDEX(Establishment!C$2:C$1005,MATCH($E444,Establishment!$A$2:$A$1005,0))</f>
        <v xml:space="preserve"> </v>
      </c>
      <c r="M444">
        <f t="shared" si="36"/>
        <v>0</v>
      </c>
      <c r="N444">
        <f t="shared" si="34"/>
        <v>0</v>
      </c>
      <c r="P444" t="e">
        <f>INDEX(Items!B$2:B$1032,MATCH($O444,Items!$A$2:$A$1032,0))</f>
        <v>#N/A</v>
      </c>
      <c r="Q444" t="e">
        <f>INDEX(Items!C$2:C$1032,MATCH($O444,Items!$A$2:$A$1032,0))</f>
        <v>#N/A</v>
      </c>
      <c r="R444" t="e">
        <f>INDEX(Items!D$2:D$1032,MATCH($O444,Items!$A$2:$A$1032,0))</f>
        <v>#N/A</v>
      </c>
    </row>
    <row r="445" spans="1:18" x14ac:dyDescent="0.25">
      <c r="A445">
        <f t="shared" si="32"/>
        <v>1</v>
      </c>
      <c r="B445" t="str">
        <f t="shared" si="33"/>
        <v/>
      </c>
      <c r="C445">
        <f t="shared" si="35"/>
        <v>1</v>
      </c>
      <c r="D445" s="4"/>
      <c r="E445" t="s">
        <v>18</v>
      </c>
      <c r="F445" t="str">
        <f>INDEX(Establishment!B$2:B$1005,MATCH($E445,Establishment!$A$2:$A$1005,0))</f>
        <v xml:space="preserve"> </v>
      </c>
      <c r="G445" t="str">
        <f>INDEX(Establishment!C$2:C$1005,MATCH($E445,Establishment!$A$2:$A$1005,0))</f>
        <v xml:space="preserve"> </v>
      </c>
      <c r="M445">
        <f t="shared" si="36"/>
        <v>0</v>
      </c>
      <c r="N445">
        <f t="shared" si="34"/>
        <v>0</v>
      </c>
      <c r="P445" t="e">
        <f>INDEX(Items!B$2:B$1032,MATCH($O445,Items!$A$2:$A$1032,0))</f>
        <v>#N/A</v>
      </c>
      <c r="Q445" t="e">
        <f>INDEX(Items!C$2:C$1032,MATCH($O445,Items!$A$2:$A$1032,0))</f>
        <v>#N/A</v>
      </c>
      <c r="R445" t="e">
        <f>INDEX(Items!D$2:D$1032,MATCH($O445,Items!$A$2:$A$1032,0))</f>
        <v>#N/A</v>
      </c>
    </row>
    <row r="446" spans="1:18" x14ac:dyDescent="0.25">
      <c r="A446">
        <f t="shared" si="32"/>
        <v>1</v>
      </c>
      <c r="B446" t="str">
        <f t="shared" si="33"/>
        <v/>
      </c>
      <c r="C446">
        <f t="shared" si="35"/>
        <v>1</v>
      </c>
      <c r="D446" s="4"/>
      <c r="E446" t="s">
        <v>18</v>
      </c>
      <c r="F446" t="str">
        <f>INDEX(Establishment!B$2:B$1005,MATCH($E446,Establishment!$A$2:$A$1005,0))</f>
        <v xml:space="preserve"> </v>
      </c>
      <c r="G446" t="str">
        <f>INDEX(Establishment!C$2:C$1005,MATCH($E446,Establishment!$A$2:$A$1005,0))</f>
        <v xml:space="preserve"> </v>
      </c>
      <c r="M446">
        <f t="shared" si="36"/>
        <v>0</v>
      </c>
      <c r="N446">
        <f t="shared" si="34"/>
        <v>0</v>
      </c>
      <c r="P446" t="e">
        <f>INDEX(Items!B$2:B$1032,MATCH($O446,Items!$A$2:$A$1032,0))</f>
        <v>#N/A</v>
      </c>
      <c r="Q446" t="e">
        <f>INDEX(Items!C$2:C$1032,MATCH($O446,Items!$A$2:$A$1032,0))</f>
        <v>#N/A</v>
      </c>
      <c r="R446" t="e">
        <f>INDEX(Items!D$2:D$1032,MATCH($O446,Items!$A$2:$A$1032,0))</f>
        <v>#N/A</v>
      </c>
    </row>
    <row r="447" spans="1:18" x14ac:dyDescent="0.25">
      <c r="A447">
        <f t="shared" si="32"/>
        <v>1</v>
      </c>
      <c r="B447" t="str">
        <f t="shared" si="33"/>
        <v/>
      </c>
      <c r="C447">
        <f t="shared" si="35"/>
        <v>1</v>
      </c>
      <c r="D447" s="4"/>
      <c r="E447" t="s">
        <v>18</v>
      </c>
      <c r="F447" t="str">
        <f>INDEX(Establishment!B$2:B$1005,MATCH($E447,Establishment!$A$2:$A$1005,0))</f>
        <v xml:space="preserve"> </v>
      </c>
      <c r="G447" t="str">
        <f>INDEX(Establishment!C$2:C$1005,MATCH($E447,Establishment!$A$2:$A$1005,0))</f>
        <v xml:space="preserve"> </v>
      </c>
      <c r="M447">
        <f t="shared" si="36"/>
        <v>0</v>
      </c>
      <c r="N447">
        <f t="shared" si="34"/>
        <v>0</v>
      </c>
      <c r="P447" t="e">
        <f>INDEX(Items!B$2:B$1032,MATCH($O447,Items!$A$2:$A$1032,0))</f>
        <v>#N/A</v>
      </c>
      <c r="Q447" t="e">
        <f>INDEX(Items!C$2:C$1032,MATCH($O447,Items!$A$2:$A$1032,0))</f>
        <v>#N/A</v>
      </c>
      <c r="R447" t="e">
        <f>INDEX(Items!D$2:D$1032,MATCH($O447,Items!$A$2:$A$1032,0))</f>
        <v>#N/A</v>
      </c>
    </row>
    <row r="448" spans="1:18" x14ac:dyDescent="0.25">
      <c r="A448">
        <f t="shared" si="32"/>
        <v>1</v>
      </c>
      <c r="B448" t="str">
        <f t="shared" si="33"/>
        <v/>
      </c>
      <c r="C448">
        <f t="shared" si="35"/>
        <v>1</v>
      </c>
      <c r="D448" s="4"/>
      <c r="E448" t="s">
        <v>18</v>
      </c>
      <c r="F448" t="str">
        <f>INDEX(Establishment!B$2:B$1005,MATCH($E448,Establishment!$A$2:$A$1005,0))</f>
        <v xml:space="preserve"> </v>
      </c>
      <c r="G448" t="str">
        <f>INDEX(Establishment!C$2:C$1005,MATCH($E448,Establishment!$A$2:$A$1005,0))</f>
        <v xml:space="preserve"> </v>
      </c>
      <c r="M448">
        <f t="shared" si="36"/>
        <v>0</v>
      </c>
      <c r="N448">
        <f t="shared" si="34"/>
        <v>0</v>
      </c>
      <c r="P448" t="e">
        <f>INDEX(Items!B$2:B$1032,MATCH($O448,Items!$A$2:$A$1032,0))</f>
        <v>#N/A</v>
      </c>
      <c r="Q448" t="e">
        <f>INDEX(Items!C$2:C$1032,MATCH($O448,Items!$A$2:$A$1032,0))</f>
        <v>#N/A</v>
      </c>
      <c r="R448" t="e">
        <f>INDEX(Items!D$2:D$1032,MATCH($O448,Items!$A$2:$A$1032,0))</f>
        <v>#N/A</v>
      </c>
    </row>
    <row r="449" spans="1:18" x14ac:dyDescent="0.25">
      <c r="A449">
        <f t="shared" si="32"/>
        <v>1</v>
      </c>
      <c r="B449" t="str">
        <f t="shared" si="33"/>
        <v/>
      </c>
      <c r="C449">
        <f t="shared" si="35"/>
        <v>1</v>
      </c>
      <c r="D449" s="4"/>
      <c r="E449" t="s">
        <v>18</v>
      </c>
      <c r="F449" t="str">
        <f>INDEX(Establishment!B$2:B$1005,MATCH($E449,Establishment!$A$2:$A$1005,0))</f>
        <v xml:space="preserve"> </v>
      </c>
      <c r="G449" t="str">
        <f>INDEX(Establishment!C$2:C$1005,MATCH($E449,Establishment!$A$2:$A$1005,0))</f>
        <v xml:space="preserve"> </v>
      </c>
      <c r="M449">
        <f t="shared" si="36"/>
        <v>0</v>
      </c>
      <c r="N449">
        <f t="shared" si="34"/>
        <v>0</v>
      </c>
      <c r="P449" t="e">
        <f>INDEX(Items!B$2:B$1032,MATCH($O449,Items!$A$2:$A$1032,0))</f>
        <v>#N/A</v>
      </c>
      <c r="Q449" t="e">
        <f>INDEX(Items!C$2:C$1032,MATCH($O449,Items!$A$2:$A$1032,0))</f>
        <v>#N/A</v>
      </c>
      <c r="R449" t="e">
        <f>INDEX(Items!D$2:D$1032,MATCH($O449,Items!$A$2:$A$1032,0))</f>
        <v>#N/A</v>
      </c>
    </row>
    <row r="450" spans="1:18" x14ac:dyDescent="0.25">
      <c r="A450">
        <f t="shared" ref="A450:A499" si="37">IF(OR(D450&lt;&gt;D449,D450=""),1,IF(NOT(AND(E450=E449,F450=F449,G450=G449)),A449+1,IF(OR(H450="",AND(H450&lt;&gt;"",H450&lt;&gt;H449,H449&lt;&gt;"")),A449,A449+1)))</f>
        <v>1</v>
      </c>
      <c r="B450" t="str">
        <f t="shared" ref="B450:B499" si="38">IF(D450&lt;&gt;"",TEXT(D450,"YYYYMMDD")&amp;CHAR(64+A450),"")</f>
        <v/>
      </c>
      <c r="C450">
        <f t="shared" si="35"/>
        <v>1</v>
      </c>
      <c r="D450" s="4"/>
      <c r="E450" t="s">
        <v>18</v>
      </c>
      <c r="F450" t="str">
        <f>INDEX(Establishment!B$2:B$1005,MATCH($E450,Establishment!$A$2:$A$1005,0))</f>
        <v xml:space="preserve"> </v>
      </c>
      <c r="G450" t="str">
        <f>INDEX(Establishment!C$2:C$1005,MATCH($E450,Establishment!$A$2:$A$1005,0))</f>
        <v xml:space="preserve"> </v>
      </c>
      <c r="M450">
        <f t="shared" si="36"/>
        <v>0</v>
      </c>
      <c r="N450">
        <f t="shared" si="34"/>
        <v>0</v>
      </c>
      <c r="P450" t="e">
        <f>INDEX(Items!B$2:B$1032,MATCH($O450,Items!$A$2:$A$1032,0))</f>
        <v>#N/A</v>
      </c>
      <c r="Q450" t="e">
        <f>INDEX(Items!C$2:C$1032,MATCH($O450,Items!$A$2:$A$1032,0))</f>
        <v>#N/A</v>
      </c>
      <c r="R450" t="e">
        <f>INDEX(Items!D$2:D$1032,MATCH($O450,Items!$A$2:$A$1032,0))</f>
        <v>#N/A</v>
      </c>
    </row>
    <row r="451" spans="1:18" x14ac:dyDescent="0.25">
      <c r="A451">
        <f t="shared" si="37"/>
        <v>1</v>
      </c>
      <c r="B451" t="str">
        <f t="shared" si="38"/>
        <v/>
      </c>
      <c r="C451">
        <f t="shared" si="35"/>
        <v>1</v>
      </c>
      <c r="D451" s="4"/>
      <c r="E451" t="s">
        <v>18</v>
      </c>
      <c r="F451" t="str">
        <f>INDEX(Establishment!B$2:B$1005,MATCH($E451,Establishment!$A$2:$A$1005,0))</f>
        <v xml:space="preserve"> </v>
      </c>
      <c r="G451" t="str">
        <f>INDEX(Establishment!C$2:C$1005,MATCH($E451,Establishment!$A$2:$A$1005,0))</f>
        <v xml:space="preserve"> </v>
      </c>
      <c r="M451">
        <f t="shared" si="36"/>
        <v>0</v>
      </c>
      <c r="N451">
        <f t="shared" ref="N451:N499" si="39">IF(B451=B450,N450+M451,M451)</f>
        <v>0</v>
      </c>
      <c r="P451" t="e">
        <f>INDEX(Items!B$2:B$1032,MATCH($O451,Items!$A$2:$A$1032,0))</f>
        <v>#N/A</v>
      </c>
      <c r="Q451" t="e">
        <f>INDEX(Items!C$2:C$1032,MATCH($O451,Items!$A$2:$A$1032,0))</f>
        <v>#N/A</v>
      </c>
      <c r="R451" t="e">
        <f>INDEX(Items!D$2:D$1032,MATCH($O451,Items!$A$2:$A$1032,0))</f>
        <v>#N/A</v>
      </c>
    </row>
    <row r="452" spans="1:18" x14ac:dyDescent="0.25">
      <c r="A452">
        <f t="shared" si="37"/>
        <v>1</v>
      </c>
      <c r="B452" t="str">
        <f t="shared" si="38"/>
        <v/>
      </c>
      <c r="C452">
        <f t="shared" si="35"/>
        <v>1</v>
      </c>
      <c r="D452" s="4"/>
      <c r="E452" t="s">
        <v>18</v>
      </c>
      <c r="F452" t="str">
        <f>INDEX(Establishment!B$2:B$1005,MATCH($E452,Establishment!$A$2:$A$1005,0))</f>
        <v xml:space="preserve"> </v>
      </c>
      <c r="G452" t="str">
        <f>INDEX(Establishment!C$2:C$1005,MATCH($E452,Establishment!$A$2:$A$1005,0))</f>
        <v xml:space="preserve"> </v>
      </c>
      <c r="M452">
        <f t="shared" si="36"/>
        <v>0</v>
      </c>
      <c r="N452">
        <f t="shared" si="39"/>
        <v>0</v>
      </c>
      <c r="P452" t="e">
        <f>INDEX(Items!B$2:B$1032,MATCH($O452,Items!$A$2:$A$1032,0))</f>
        <v>#N/A</v>
      </c>
      <c r="Q452" t="e">
        <f>INDEX(Items!C$2:C$1032,MATCH($O452,Items!$A$2:$A$1032,0))</f>
        <v>#N/A</v>
      </c>
      <c r="R452" t="e">
        <f>INDEX(Items!D$2:D$1032,MATCH($O452,Items!$A$2:$A$1032,0))</f>
        <v>#N/A</v>
      </c>
    </row>
    <row r="453" spans="1:18" x14ac:dyDescent="0.25">
      <c r="A453">
        <f t="shared" si="37"/>
        <v>1</v>
      </c>
      <c r="B453" t="str">
        <f t="shared" si="38"/>
        <v/>
      </c>
      <c r="C453">
        <f t="shared" si="35"/>
        <v>1</v>
      </c>
      <c r="D453" s="4"/>
      <c r="E453" t="s">
        <v>18</v>
      </c>
      <c r="F453" t="str">
        <f>INDEX(Establishment!B$2:B$1005,MATCH($E453,Establishment!$A$2:$A$1005,0))</f>
        <v xml:space="preserve"> </v>
      </c>
      <c r="G453" t="str">
        <f>INDEX(Establishment!C$2:C$1005,MATCH($E453,Establishment!$A$2:$A$1005,0))</f>
        <v xml:space="preserve"> </v>
      </c>
      <c r="M453">
        <f t="shared" si="36"/>
        <v>0</v>
      </c>
      <c r="N453">
        <f t="shared" si="39"/>
        <v>0</v>
      </c>
      <c r="P453" t="e">
        <f>INDEX(Items!B$2:B$1032,MATCH($O453,Items!$A$2:$A$1032,0))</f>
        <v>#N/A</v>
      </c>
      <c r="Q453" t="e">
        <f>INDEX(Items!C$2:C$1032,MATCH($O453,Items!$A$2:$A$1032,0))</f>
        <v>#N/A</v>
      </c>
      <c r="R453" t="e">
        <f>INDEX(Items!D$2:D$1032,MATCH($O453,Items!$A$2:$A$1032,0))</f>
        <v>#N/A</v>
      </c>
    </row>
    <row r="454" spans="1:18" x14ac:dyDescent="0.25">
      <c r="A454">
        <f t="shared" si="37"/>
        <v>1</v>
      </c>
      <c r="B454" t="str">
        <f t="shared" si="38"/>
        <v/>
      </c>
      <c r="C454">
        <f t="shared" si="35"/>
        <v>1</v>
      </c>
      <c r="D454" s="4"/>
      <c r="E454" t="s">
        <v>18</v>
      </c>
      <c r="F454" t="str">
        <f>INDEX(Establishment!B$2:B$1005,MATCH($E454,Establishment!$A$2:$A$1005,0))</f>
        <v xml:space="preserve"> </v>
      </c>
      <c r="G454" t="str">
        <f>INDEX(Establishment!C$2:C$1005,MATCH($E454,Establishment!$A$2:$A$1005,0))</f>
        <v xml:space="preserve"> </v>
      </c>
      <c r="M454">
        <f t="shared" si="36"/>
        <v>0</v>
      </c>
      <c r="N454">
        <f t="shared" si="39"/>
        <v>0</v>
      </c>
      <c r="P454" t="e">
        <f>INDEX(Items!B$2:B$1032,MATCH($O454,Items!$A$2:$A$1032,0))</f>
        <v>#N/A</v>
      </c>
      <c r="Q454" t="e">
        <f>INDEX(Items!C$2:C$1032,MATCH($O454,Items!$A$2:$A$1032,0))</f>
        <v>#N/A</v>
      </c>
      <c r="R454" t="e">
        <f>INDEX(Items!D$2:D$1032,MATCH($O454,Items!$A$2:$A$1032,0))</f>
        <v>#N/A</v>
      </c>
    </row>
    <row r="455" spans="1:18" x14ac:dyDescent="0.25">
      <c r="A455">
        <f t="shared" si="37"/>
        <v>1</v>
      </c>
      <c r="B455" t="str">
        <f t="shared" si="38"/>
        <v/>
      </c>
      <c r="C455">
        <f t="shared" si="35"/>
        <v>1</v>
      </c>
      <c r="D455" s="4"/>
      <c r="E455" t="s">
        <v>18</v>
      </c>
      <c r="F455" t="str">
        <f>INDEX(Establishment!B$2:B$1005,MATCH($E455,Establishment!$A$2:$A$1005,0))</f>
        <v xml:space="preserve"> </v>
      </c>
      <c r="G455" t="str">
        <f>INDEX(Establishment!C$2:C$1005,MATCH($E455,Establishment!$A$2:$A$1005,0))</f>
        <v xml:space="preserve"> </v>
      </c>
      <c r="M455">
        <f t="shared" si="36"/>
        <v>0</v>
      </c>
      <c r="N455">
        <f t="shared" si="39"/>
        <v>0</v>
      </c>
      <c r="P455" t="e">
        <f>INDEX(Items!B$2:B$1032,MATCH($O455,Items!$A$2:$A$1032,0))</f>
        <v>#N/A</v>
      </c>
      <c r="Q455" t="e">
        <f>INDEX(Items!C$2:C$1032,MATCH($O455,Items!$A$2:$A$1032,0))</f>
        <v>#N/A</v>
      </c>
      <c r="R455" t="e">
        <f>INDEX(Items!D$2:D$1032,MATCH($O455,Items!$A$2:$A$1032,0))</f>
        <v>#N/A</v>
      </c>
    </row>
    <row r="456" spans="1:18" x14ac:dyDescent="0.25">
      <c r="A456">
        <f t="shared" si="37"/>
        <v>1</v>
      </c>
      <c r="B456" t="str">
        <f t="shared" si="38"/>
        <v/>
      </c>
      <c r="C456">
        <f t="shared" si="35"/>
        <v>1</v>
      </c>
      <c r="D456" s="4"/>
      <c r="E456" t="s">
        <v>18</v>
      </c>
      <c r="F456" t="str">
        <f>INDEX(Establishment!B$2:B$1005,MATCH($E456,Establishment!$A$2:$A$1005,0))</f>
        <v xml:space="preserve"> </v>
      </c>
      <c r="G456" t="str">
        <f>INDEX(Establishment!C$2:C$1005,MATCH($E456,Establishment!$A$2:$A$1005,0))</f>
        <v xml:space="preserve"> </v>
      </c>
      <c r="M456">
        <f t="shared" si="36"/>
        <v>0</v>
      </c>
      <c r="N456">
        <f t="shared" si="39"/>
        <v>0</v>
      </c>
      <c r="P456" t="e">
        <f>INDEX(Items!B$2:B$1032,MATCH($O456,Items!$A$2:$A$1032,0))</f>
        <v>#N/A</v>
      </c>
      <c r="Q456" t="e">
        <f>INDEX(Items!C$2:C$1032,MATCH($O456,Items!$A$2:$A$1032,0))</f>
        <v>#N/A</v>
      </c>
      <c r="R456" t="e">
        <f>INDEX(Items!D$2:D$1032,MATCH($O456,Items!$A$2:$A$1032,0))</f>
        <v>#N/A</v>
      </c>
    </row>
    <row r="457" spans="1:18" x14ac:dyDescent="0.25">
      <c r="A457">
        <f t="shared" si="37"/>
        <v>1</v>
      </c>
      <c r="B457" t="str">
        <f t="shared" si="38"/>
        <v/>
      </c>
      <c r="C457">
        <f t="shared" si="35"/>
        <v>1</v>
      </c>
      <c r="D457" s="4"/>
      <c r="E457" t="s">
        <v>18</v>
      </c>
      <c r="F457" t="str">
        <f>INDEX(Establishment!B$2:B$1005,MATCH($E457,Establishment!$A$2:$A$1005,0))</f>
        <v xml:space="preserve"> </v>
      </c>
      <c r="G457" t="str">
        <f>INDEX(Establishment!C$2:C$1005,MATCH($E457,Establishment!$A$2:$A$1005,0))</f>
        <v xml:space="preserve"> </v>
      </c>
      <c r="M457">
        <f t="shared" si="36"/>
        <v>0</v>
      </c>
      <c r="N457">
        <f t="shared" si="39"/>
        <v>0</v>
      </c>
      <c r="P457" t="e">
        <f>INDEX(Items!B$2:B$1032,MATCH($O457,Items!$A$2:$A$1032,0))</f>
        <v>#N/A</v>
      </c>
      <c r="Q457" t="e">
        <f>INDEX(Items!C$2:C$1032,MATCH($O457,Items!$A$2:$A$1032,0))</f>
        <v>#N/A</v>
      </c>
      <c r="R457" t="e">
        <f>INDEX(Items!D$2:D$1032,MATCH($O457,Items!$A$2:$A$1032,0))</f>
        <v>#N/A</v>
      </c>
    </row>
    <row r="458" spans="1:18" x14ac:dyDescent="0.25">
      <c r="A458">
        <f t="shared" si="37"/>
        <v>1</v>
      </c>
      <c r="B458" t="str">
        <f t="shared" si="38"/>
        <v/>
      </c>
      <c r="C458">
        <f t="shared" ref="C458:C499" si="40">IF(OR(B458="",B458&lt;&gt;B457),1,C457+1)</f>
        <v>1</v>
      </c>
      <c r="D458" s="4"/>
      <c r="E458" t="s">
        <v>18</v>
      </c>
      <c r="F458" t="str">
        <f>INDEX(Establishment!B$2:B$1005,MATCH($E458,Establishment!$A$2:$A$1005,0))</f>
        <v xml:space="preserve"> </v>
      </c>
      <c r="G458" t="str">
        <f>INDEX(Establishment!C$2:C$1005,MATCH($E458,Establishment!$A$2:$A$1005,0))</f>
        <v xml:space="preserve"> </v>
      </c>
      <c r="M458">
        <f t="shared" ref="M458:M499" si="41">K458*L458</f>
        <v>0</v>
      </c>
      <c r="N458">
        <f t="shared" si="39"/>
        <v>0</v>
      </c>
      <c r="P458" t="e">
        <f>INDEX(Items!B$2:B$1032,MATCH($O458,Items!$A$2:$A$1032,0))</f>
        <v>#N/A</v>
      </c>
      <c r="Q458" t="e">
        <f>INDEX(Items!C$2:C$1032,MATCH($O458,Items!$A$2:$A$1032,0))</f>
        <v>#N/A</v>
      </c>
      <c r="R458" t="e">
        <f>INDEX(Items!D$2:D$1032,MATCH($O458,Items!$A$2:$A$1032,0))</f>
        <v>#N/A</v>
      </c>
    </row>
    <row r="459" spans="1:18" x14ac:dyDescent="0.25">
      <c r="A459">
        <f t="shared" si="37"/>
        <v>1</v>
      </c>
      <c r="B459" t="str">
        <f t="shared" si="38"/>
        <v/>
      </c>
      <c r="C459">
        <f t="shared" si="40"/>
        <v>1</v>
      </c>
      <c r="D459" s="4"/>
      <c r="E459" t="s">
        <v>18</v>
      </c>
      <c r="F459" t="str">
        <f>INDEX(Establishment!B$2:B$1005,MATCH($E459,Establishment!$A$2:$A$1005,0))</f>
        <v xml:space="preserve"> </v>
      </c>
      <c r="G459" t="str">
        <f>INDEX(Establishment!C$2:C$1005,MATCH($E459,Establishment!$A$2:$A$1005,0))</f>
        <v xml:space="preserve"> </v>
      </c>
      <c r="M459">
        <f t="shared" si="41"/>
        <v>0</v>
      </c>
      <c r="N459">
        <f t="shared" si="39"/>
        <v>0</v>
      </c>
      <c r="P459" t="e">
        <f>INDEX(Items!B$2:B$1032,MATCH($O459,Items!$A$2:$A$1032,0))</f>
        <v>#N/A</v>
      </c>
      <c r="Q459" t="e">
        <f>INDEX(Items!C$2:C$1032,MATCH($O459,Items!$A$2:$A$1032,0))</f>
        <v>#N/A</v>
      </c>
      <c r="R459" t="e">
        <f>INDEX(Items!D$2:D$1032,MATCH($O459,Items!$A$2:$A$1032,0))</f>
        <v>#N/A</v>
      </c>
    </row>
    <row r="460" spans="1:18" x14ac:dyDescent="0.25">
      <c r="A460">
        <f t="shared" si="37"/>
        <v>1</v>
      </c>
      <c r="B460" t="str">
        <f t="shared" si="38"/>
        <v/>
      </c>
      <c r="C460">
        <f t="shared" si="40"/>
        <v>1</v>
      </c>
      <c r="D460" s="4"/>
      <c r="E460" t="s">
        <v>18</v>
      </c>
      <c r="F460" t="str">
        <f>INDEX(Establishment!B$2:B$1005,MATCH($E460,Establishment!$A$2:$A$1005,0))</f>
        <v xml:space="preserve"> </v>
      </c>
      <c r="G460" t="str">
        <f>INDEX(Establishment!C$2:C$1005,MATCH($E460,Establishment!$A$2:$A$1005,0))</f>
        <v xml:space="preserve"> </v>
      </c>
      <c r="M460">
        <f t="shared" si="41"/>
        <v>0</v>
      </c>
      <c r="N460">
        <f t="shared" si="39"/>
        <v>0</v>
      </c>
      <c r="P460" t="e">
        <f>INDEX(Items!B$2:B$1032,MATCH($O460,Items!$A$2:$A$1032,0))</f>
        <v>#N/A</v>
      </c>
      <c r="Q460" t="e">
        <f>INDEX(Items!C$2:C$1032,MATCH($O460,Items!$A$2:$A$1032,0))</f>
        <v>#N/A</v>
      </c>
      <c r="R460" t="e">
        <f>INDEX(Items!D$2:D$1032,MATCH($O460,Items!$A$2:$A$1032,0))</f>
        <v>#N/A</v>
      </c>
    </row>
    <row r="461" spans="1:18" x14ac:dyDescent="0.25">
      <c r="A461">
        <f t="shared" si="37"/>
        <v>1</v>
      </c>
      <c r="B461" t="str">
        <f t="shared" si="38"/>
        <v/>
      </c>
      <c r="C461">
        <f t="shared" si="40"/>
        <v>1</v>
      </c>
      <c r="D461" s="4"/>
      <c r="E461" t="s">
        <v>18</v>
      </c>
      <c r="F461" t="str">
        <f>INDEX(Establishment!B$2:B$1005,MATCH($E461,Establishment!$A$2:$A$1005,0))</f>
        <v xml:space="preserve"> </v>
      </c>
      <c r="G461" t="str">
        <f>INDEX(Establishment!C$2:C$1005,MATCH($E461,Establishment!$A$2:$A$1005,0))</f>
        <v xml:space="preserve"> </v>
      </c>
      <c r="M461">
        <f t="shared" si="41"/>
        <v>0</v>
      </c>
      <c r="N461">
        <f t="shared" si="39"/>
        <v>0</v>
      </c>
      <c r="P461" t="e">
        <f>INDEX(Items!B$2:B$1032,MATCH($O461,Items!$A$2:$A$1032,0))</f>
        <v>#N/A</v>
      </c>
      <c r="Q461" t="e">
        <f>INDEX(Items!C$2:C$1032,MATCH($O461,Items!$A$2:$A$1032,0))</f>
        <v>#N/A</v>
      </c>
      <c r="R461" t="e">
        <f>INDEX(Items!D$2:D$1032,MATCH($O461,Items!$A$2:$A$1032,0))</f>
        <v>#N/A</v>
      </c>
    </row>
    <row r="462" spans="1:18" x14ac:dyDescent="0.25">
      <c r="A462">
        <f t="shared" si="37"/>
        <v>1</v>
      </c>
      <c r="B462" t="str">
        <f t="shared" si="38"/>
        <v/>
      </c>
      <c r="C462">
        <f t="shared" si="40"/>
        <v>1</v>
      </c>
      <c r="D462" s="4"/>
      <c r="E462" t="s">
        <v>18</v>
      </c>
      <c r="F462" t="str">
        <f>INDEX(Establishment!B$2:B$1005,MATCH($E462,Establishment!$A$2:$A$1005,0))</f>
        <v xml:space="preserve"> </v>
      </c>
      <c r="G462" t="str">
        <f>INDEX(Establishment!C$2:C$1005,MATCH($E462,Establishment!$A$2:$A$1005,0))</f>
        <v xml:space="preserve"> </v>
      </c>
      <c r="M462">
        <f t="shared" si="41"/>
        <v>0</v>
      </c>
      <c r="N462">
        <f t="shared" si="39"/>
        <v>0</v>
      </c>
      <c r="P462" t="e">
        <f>INDEX(Items!B$2:B$1032,MATCH($O462,Items!$A$2:$A$1032,0))</f>
        <v>#N/A</v>
      </c>
      <c r="Q462" t="e">
        <f>INDEX(Items!C$2:C$1032,MATCH($O462,Items!$A$2:$A$1032,0))</f>
        <v>#N/A</v>
      </c>
      <c r="R462" t="e">
        <f>INDEX(Items!D$2:D$1032,MATCH($O462,Items!$A$2:$A$1032,0))</f>
        <v>#N/A</v>
      </c>
    </row>
    <row r="463" spans="1:18" x14ac:dyDescent="0.25">
      <c r="A463">
        <f t="shared" si="37"/>
        <v>1</v>
      </c>
      <c r="B463" t="str">
        <f t="shared" si="38"/>
        <v/>
      </c>
      <c r="C463">
        <f t="shared" si="40"/>
        <v>1</v>
      </c>
      <c r="D463" s="4"/>
      <c r="E463" t="s">
        <v>18</v>
      </c>
      <c r="F463" t="str">
        <f>INDEX(Establishment!B$2:B$1005,MATCH($E463,Establishment!$A$2:$A$1005,0))</f>
        <v xml:space="preserve"> </v>
      </c>
      <c r="G463" t="str">
        <f>INDEX(Establishment!C$2:C$1005,MATCH($E463,Establishment!$A$2:$A$1005,0))</f>
        <v xml:space="preserve"> </v>
      </c>
      <c r="M463">
        <f t="shared" si="41"/>
        <v>0</v>
      </c>
      <c r="N463">
        <f t="shared" si="39"/>
        <v>0</v>
      </c>
      <c r="P463" t="e">
        <f>INDEX(Items!B$2:B$1032,MATCH($O463,Items!$A$2:$A$1032,0))</f>
        <v>#N/A</v>
      </c>
      <c r="Q463" t="e">
        <f>INDEX(Items!C$2:C$1032,MATCH($O463,Items!$A$2:$A$1032,0))</f>
        <v>#N/A</v>
      </c>
      <c r="R463" t="e">
        <f>INDEX(Items!D$2:D$1032,MATCH($O463,Items!$A$2:$A$1032,0))</f>
        <v>#N/A</v>
      </c>
    </row>
    <row r="464" spans="1:18" x14ac:dyDescent="0.25">
      <c r="A464">
        <f t="shared" si="37"/>
        <v>1</v>
      </c>
      <c r="B464" t="str">
        <f t="shared" si="38"/>
        <v/>
      </c>
      <c r="C464">
        <f t="shared" si="40"/>
        <v>1</v>
      </c>
      <c r="D464" s="4"/>
      <c r="E464" t="s">
        <v>18</v>
      </c>
      <c r="F464" t="str">
        <f>INDEX(Establishment!B$2:B$1005,MATCH($E464,Establishment!$A$2:$A$1005,0))</f>
        <v xml:space="preserve"> </v>
      </c>
      <c r="G464" t="str">
        <f>INDEX(Establishment!C$2:C$1005,MATCH($E464,Establishment!$A$2:$A$1005,0))</f>
        <v xml:space="preserve"> </v>
      </c>
      <c r="M464">
        <f t="shared" si="41"/>
        <v>0</v>
      </c>
      <c r="N464">
        <f t="shared" si="39"/>
        <v>0</v>
      </c>
      <c r="P464" t="e">
        <f>INDEX(Items!B$2:B$1032,MATCH($O464,Items!$A$2:$A$1032,0))</f>
        <v>#N/A</v>
      </c>
      <c r="Q464" t="e">
        <f>INDEX(Items!C$2:C$1032,MATCH($O464,Items!$A$2:$A$1032,0))</f>
        <v>#N/A</v>
      </c>
      <c r="R464" t="e">
        <f>INDEX(Items!D$2:D$1032,MATCH($O464,Items!$A$2:$A$1032,0))</f>
        <v>#N/A</v>
      </c>
    </row>
    <row r="465" spans="1:18" x14ac:dyDescent="0.25">
      <c r="A465">
        <f t="shared" si="37"/>
        <v>1</v>
      </c>
      <c r="B465" t="str">
        <f t="shared" si="38"/>
        <v/>
      </c>
      <c r="C465">
        <f t="shared" si="40"/>
        <v>1</v>
      </c>
      <c r="D465" s="4"/>
      <c r="E465" t="s">
        <v>18</v>
      </c>
      <c r="F465" t="str">
        <f>INDEX(Establishment!B$2:B$1005,MATCH($E465,Establishment!$A$2:$A$1005,0))</f>
        <v xml:space="preserve"> </v>
      </c>
      <c r="G465" t="str">
        <f>INDEX(Establishment!C$2:C$1005,MATCH($E465,Establishment!$A$2:$A$1005,0))</f>
        <v xml:space="preserve"> </v>
      </c>
      <c r="M465">
        <f t="shared" si="41"/>
        <v>0</v>
      </c>
      <c r="N465">
        <f t="shared" si="39"/>
        <v>0</v>
      </c>
      <c r="P465" t="e">
        <f>INDEX(Items!B$2:B$1032,MATCH($O465,Items!$A$2:$A$1032,0))</f>
        <v>#N/A</v>
      </c>
      <c r="Q465" t="e">
        <f>INDEX(Items!C$2:C$1032,MATCH($O465,Items!$A$2:$A$1032,0))</f>
        <v>#N/A</v>
      </c>
      <c r="R465" t="e">
        <f>INDEX(Items!D$2:D$1032,MATCH($O465,Items!$A$2:$A$1032,0))</f>
        <v>#N/A</v>
      </c>
    </row>
    <row r="466" spans="1:18" x14ac:dyDescent="0.25">
      <c r="A466">
        <f t="shared" si="37"/>
        <v>1</v>
      </c>
      <c r="B466" t="str">
        <f t="shared" si="38"/>
        <v/>
      </c>
      <c r="C466">
        <f t="shared" si="40"/>
        <v>1</v>
      </c>
      <c r="D466" s="4"/>
      <c r="E466" t="s">
        <v>18</v>
      </c>
      <c r="F466" t="str">
        <f>INDEX(Establishment!B$2:B$1005,MATCH($E466,Establishment!$A$2:$A$1005,0))</f>
        <v xml:space="preserve"> </v>
      </c>
      <c r="G466" t="str">
        <f>INDEX(Establishment!C$2:C$1005,MATCH($E466,Establishment!$A$2:$A$1005,0))</f>
        <v xml:space="preserve"> </v>
      </c>
      <c r="M466">
        <f t="shared" si="41"/>
        <v>0</v>
      </c>
      <c r="N466">
        <f t="shared" si="39"/>
        <v>0</v>
      </c>
      <c r="P466" t="e">
        <f>INDEX(Items!B$2:B$1032,MATCH($O466,Items!$A$2:$A$1032,0))</f>
        <v>#N/A</v>
      </c>
      <c r="Q466" t="e">
        <f>INDEX(Items!C$2:C$1032,MATCH($O466,Items!$A$2:$A$1032,0))</f>
        <v>#N/A</v>
      </c>
      <c r="R466" t="e">
        <f>INDEX(Items!D$2:D$1032,MATCH($O466,Items!$A$2:$A$1032,0))</f>
        <v>#N/A</v>
      </c>
    </row>
    <row r="467" spans="1:18" x14ac:dyDescent="0.25">
      <c r="A467">
        <f t="shared" si="37"/>
        <v>1</v>
      </c>
      <c r="B467" t="str">
        <f t="shared" si="38"/>
        <v/>
      </c>
      <c r="C467">
        <f t="shared" si="40"/>
        <v>1</v>
      </c>
      <c r="D467" s="4"/>
      <c r="E467" t="s">
        <v>18</v>
      </c>
      <c r="F467" t="str">
        <f>INDEX(Establishment!B$2:B$1005,MATCH($E467,Establishment!$A$2:$A$1005,0))</f>
        <v xml:space="preserve"> </v>
      </c>
      <c r="G467" t="str">
        <f>INDEX(Establishment!C$2:C$1005,MATCH($E467,Establishment!$A$2:$A$1005,0))</f>
        <v xml:space="preserve"> </v>
      </c>
      <c r="M467">
        <f t="shared" si="41"/>
        <v>0</v>
      </c>
      <c r="N467">
        <f t="shared" si="39"/>
        <v>0</v>
      </c>
      <c r="P467" t="e">
        <f>INDEX(Items!B$2:B$1032,MATCH($O467,Items!$A$2:$A$1032,0))</f>
        <v>#N/A</v>
      </c>
      <c r="Q467" t="e">
        <f>INDEX(Items!C$2:C$1032,MATCH($O467,Items!$A$2:$A$1032,0))</f>
        <v>#N/A</v>
      </c>
      <c r="R467" t="e">
        <f>INDEX(Items!D$2:D$1032,MATCH($O467,Items!$A$2:$A$1032,0))</f>
        <v>#N/A</v>
      </c>
    </row>
    <row r="468" spans="1:18" x14ac:dyDescent="0.25">
      <c r="A468">
        <f t="shared" si="37"/>
        <v>1</v>
      </c>
      <c r="B468" t="str">
        <f t="shared" si="38"/>
        <v/>
      </c>
      <c r="C468">
        <f t="shared" si="40"/>
        <v>1</v>
      </c>
      <c r="D468" s="4"/>
      <c r="E468" t="s">
        <v>18</v>
      </c>
      <c r="F468" t="str">
        <f>INDEX(Establishment!B$2:B$1005,MATCH($E468,Establishment!$A$2:$A$1005,0))</f>
        <v xml:space="preserve"> </v>
      </c>
      <c r="G468" t="str">
        <f>INDEX(Establishment!C$2:C$1005,MATCH($E468,Establishment!$A$2:$A$1005,0))</f>
        <v xml:space="preserve"> </v>
      </c>
      <c r="M468">
        <f t="shared" si="41"/>
        <v>0</v>
      </c>
      <c r="N468">
        <f t="shared" si="39"/>
        <v>0</v>
      </c>
      <c r="P468" t="e">
        <f>INDEX(Items!B$2:B$1032,MATCH($O468,Items!$A$2:$A$1032,0))</f>
        <v>#N/A</v>
      </c>
      <c r="Q468" t="e">
        <f>INDEX(Items!C$2:C$1032,MATCH($O468,Items!$A$2:$A$1032,0))</f>
        <v>#N/A</v>
      </c>
      <c r="R468" t="e">
        <f>INDEX(Items!D$2:D$1032,MATCH($O468,Items!$A$2:$A$1032,0))</f>
        <v>#N/A</v>
      </c>
    </row>
    <row r="469" spans="1:18" x14ac:dyDescent="0.25">
      <c r="A469">
        <f t="shared" si="37"/>
        <v>1</v>
      </c>
      <c r="B469" t="str">
        <f t="shared" si="38"/>
        <v/>
      </c>
      <c r="C469">
        <f t="shared" si="40"/>
        <v>1</v>
      </c>
      <c r="D469" s="4"/>
      <c r="E469" t="s">
        <v>18</v>
      </c>
      <c r="F469" t="str">
        <f>INDEX(Establishment!B$2:B$1005,MATCH($E469,Establishment!$A$2:$A$1005,0))</f>
        <v xml:space="preserve"> </v>
      </c>
      <c r="G469" t="str">
        <f>INDEX(Establishment!C$2:C$1005,MATCH($E469,Establishment!$A$2:$A$1005,0))</f>
        <v xml:space="preserve"> </v>
      </c>
      <c r="M469">
        <f t="shared" si="41"/>
        <v>0</v>
      </c>
      <c r="N469">
        <f t="shared" si="39"/>
        <v>0</v>
      </c>
      <c r="P469" t="e">
        <f>INDEX(Items!B$2:B$1032,MATCH($O469,Items!$A$2:$A$1032,0))</f>
        <v>#N/A</v>
      </c>
      <c r="Q469" t="e">
        <f>INDEX(Items!C$2:C$1032,MATCH($O469,Items!$A$2:$A$1032,0))</f>
        <v>#N/A</v>
      </c>
      <c r="R469" t="e">
        <f>INDEX(Items!D$2:D$1032,MATCH($O469,Items!$A$2:$A$1032,0))</f>
        <v>#N/A</v>
      </c>
    </row>
    <row r="470" spans="1:18" x14ac:dyDescent="0.25">
      <c r="A470">
        <f t="shared" si="37"/>
        <v>1</v>
      </c>
      <c r="B470" t="str">
        <f t="shared" si="38"/>
        <v/>
      </c>
      <c r="C470">
        <f t="shared" si="40"/>
        <v>1</v>
      </c>
      <c r="D470" s="4"/>
      <c r="E470" t="s">
        <v>18</v>
      </c>
      <c r="F470" t="str">
        <f>INDEX(Establishment!B$2:B$1005,MATCH($E470,Establishment!$A$2:$A$1005,0))</f>
        <v xml:space="preserve"> </v>
      </c>
      <c r="G470" t="str">
        <f>INDEX(Establishment!C$2:C$1005,MATCH($E470,Establishment!$A$2:$A$1005,0))</f>
        <v xml:space="preserve"> </v>
      </c>
      <c r="M470">
        <f t="shared" si="41"/>
        <v>0</v>
      </c>
      <c r="N470">
        <f t="shared" si="39"/>
        <v>0</v>
      </c>
      <c r="P470" t="e">
        <f>INDEX(Items!B$2:B$1032,MATCH($O470,Items!$A$2:$A$1032,0))</f>
        <v>#N/A</v>
      </c>
      <c r="Q470" t="e">
        <f>INDEX(Items!C$2:C$1032,MATCH($O470,Items!$A$2:$A$1032,0))</f>
        <v>#N/A</v>
      </c>
      <c r="R470" t="e">
        <f>INDEX(Items!D$2:D$1032,MATCH($O470,Items!$A$2:$A$1032,0))</f>
        <v>#N/A</v>
      </c>
    </row>
    <row r="471" spans="1:18" x14ac:dyDescent="0.25">
      <c r="A471">
        <f t="shared" si="37"/>
        <v>1</v>
      </c>
      <c r="B471" t="str">
        <f t="shared" si="38"/>
        <v/>
      </c>
      <c r="C471">
        <f t="shared" si="40"/>
        <v>1</v>
      </c>
      <c r="D471" s="4"/>
      <c r="E471" t="s">
        <v>18</v>
      </c>
      <c r="F471" t="str">
        <f>INDEX(Establishment!B$2:B$1005,MATCH($E471,Establishment!$A$2:$A$1005,0))</f>
        <v xml:space="preserve"> </v>
      </c>
      <c r="G471" t="str">
        <f>INDEX(Establishment!C$2:C$1005,MATCH($E471,Establishment!$A$2:$A$1005,0))</f>
        <v xml:space="preserve"> </v>
      </c>
      <c r="M471">
        <f t="shared" si="41"/>
        <v>0</v>
      </c>
      <c r="N471">
        <f t="shared" si="39"/>
        <v>0</v>
      </c>
      <c r="P471" t="e">
        <f>INDEX(Items!B$2:B$1032,MATCH($O471,Items!$A$2:$A$1032,0))</f>
        <v>#N/A</v>
      </c>
      <c r="Q471" t="e">
        <f>INDEX(Items!C$2:C$1032,MATCH($O471,Items!$A$2:$A$1032,0))</f>
        <v>#N/A</v>
      </c>
      <c r="R471" t="e">
        <f>INDEX(Items!D$2:D$1032,MATCH($O471,Items!$A$2:$A$1032,0))</f>
        <v>#N/A</v>
      </c>
    </row>
    <row r="472" spans="1:18" x14ac:dyDescent="0.25">
      <c r="A472">
        <f t="shared" si="37"/>
        <v>1</v>
      </c>
      <c r="B472" t="str">
        <f t="shared" si="38"/>
        <v/>
      </c>
      <c r="C472">
        <f t="shared" si="40"/>
        <v>1</v>
      </c>
      <c r="D472" s="4"/>
      <c r="E472" t="s">
        <v>18</v>
      </c>
      <c r="F472" t="str">
        <f>INDEX(Establishment!B$2:B$1005,MATCH($E472,Establishment!$A$2:$A$1005,0))</f>
        <v xml:space="preserve"> </v>
      </c>
      <c r="G472" t="str">
        <f>INDEX(Establishment!C$2:C$1005,MATCH($E472,Establishment!$A$2:$A$1005,0))</f>
        <v xml:space="preserve"> </v>
      </c>
      <c r="M472">
        <f t="shared" si="41"/>
        <v>0</v>
      </c>
      <c r="N472">
        <f t="shared" si="39"/>
        <v>0</v>
      </c>
      <c r="P472" t="e">
        <f>INDEX(Items!B$2:B$1032,MATCH($O472,Items!$A$2:$A$1032,0))</f>
        <v>#N/A</v>
      </c>
      <c r="Q472" t="e">
        <f>INDEX(Items!C$2:C$1032,MATCH($O472,Items!$A$2:$A$1032,0))</f>
        <v>#N/A</v>
      </c>
      <c r="R472" t="e">
        <f>INDEX(Items!D$2:D$1032,MATCH($O472,Items!$A$2:$A$1032,0))</f>
        <v>#N/A</v>
      </c>
    </row>
    <row r="473" spans="1:18" x14ac:dyDescent="0.25">
      <c r="A473">
        <f t="shared" si="37"/>
        <v>1</v>
      </c>
      <c r="B473" t="str">
        <f t="shared" si="38"/>
        <v/>
      </c>
      <c r="C473">
        <f t="shared" si="40"/>
        <v>1</v>
      </c>
      <c r="D473" s="4"/>
      <c r="E473" t="s">
        <v>18</v>
      </c>
      <c r="F473" t="str">
        <f>INDEX(Establishment!B$2:B$1005,MATCH($E473,Establishment!$A$2:$A$1005,0))</f>
        <v xml:space="preserve"> </v>
      </c>
      <c r="G473" t="str">
        <f>INDEX(Establishment!C$2:C$1005,MATCH($E473,Establishment!$A$2:$A$1005,0))</f>
        <v xml:space="preserve"> </v>
      </c>
      <c r="M473">
        <f t="shared" si="41"/>
        <v>0</v>
      </c>
      <c r="N473">
        <f t="shared" si="39"/>
        <v>0</v>
      </c>
      <c r="P473" t="e">
        <f>INDEX(Items!B$2:B$1032,MATCH($O473,Items!$A$2:$A$1032,0))</f>
        <v>#N/A</v>
      </c>
      <c r="Q473" t="e">
        <f>INDEX(Items!C$2:C$1032,MATCH($O473,Items!$A$2:$A$1032,0))</f>
        <v>#N/A</v>
      </c>
      <c r="R473" t="e">
        <f>INDEX(Items!D$2:D$1032,MATCH($O473,Items!$A$2:$A$1032,0))</f>
        <v>#N/A</v>
      </c>
    </row>
    <row r="474" spans="1:18" x14ac:dyDescent="0.25">
      <c r="A474">
        <f t="shared" si="37"/>
        <v>1</v>
      </c>
      <c r="B474" t="str">
        <f t="shared" si="38"/>
        <v/>
      </c>
      <c r="C474">
        <f t="shared" si="40"/>
        <v>1</v>
      </c>
      <c r="D474" s="4"/>
      <c r="E474" t="s">
        <v>18</v>
      </c>
      <c r="F474" t="str">
        <f>INDEX(Establishment!B$2:B$1005,MATCH($E474,Establishment!$A$2:$A$1005,0))</f>
        <v xml:space="preserve"> </v>
      </c>
      <c r="G474" t="str">
        <f>INDEX(Establishment!C$2:C$1005,MATCH($E474,Establishment!$A$2:$A$1005,0))</f>
        <v xml:space="preserve"> </v>
      </c>
      <c r="M474">
        <f t="shared" si="41"/>
        <v>0</v>
      </c>
      <c r="N474">
        <f t="shared" si="39"/>
        <v>0</v>
      </c>
      <c r="P474" t="e">
        <f>INDEX(Items!B$2:B$1032,MATCH($O474,Items!$A$2:$A$1032,0))</f>
        <v>#N/A</v>
      </c>
      <c r="Q474" t="e">
        <f>INDEX(Items!C$2:C$1032,MATCH($O474,Items!$A$2:$A$1032,0))</f>
        <v>#N/A</v>
      </c>
      <c r="R474" t="e">
        <f>INDEX(Items!D$2:D$1032,MATCH($O474,Items!$A$2:$A$1032,0))</f>
        <v>#N/A</v>
      </c>
    </row>
    <row r="475" spans="1:18" x14ac:dyDescent="0.25">
      <c r="A475">
        <f t="shared" si="37"/>
        <v>1</v>
      </c>
      <c r="B475" t="str">
        <f t="shared" si="38"/>
        <v/>
      </c>
      <c r="C475">
        <f t="shared" si="40"/>
        <v>1</v>
      </c>
      <c r="D475" s="4"/>
      <c r="E475" t="s">
        <v>18</v>
      </c>
      <c r="F475" t="str">
        <f>INDEX(Establishment!B$2:B$1005,MATCH($E475,Establishment!$A$2:$A$1005,0))</f>
        <v xml:space="preserve"> </v>
      </c>
      <c r="G475" t="str">
        <f>INDEX(Establishment!C$2:C$1005,MATCH($E475,Establishment!$A$2:$A$1005,0))</f>
        <v xml:space="preserve"> </v>
      </c>
      <c r="M475">
        <f t="shared" si="41"/>
        <v>0</v>
      </c>
      <c r="N475">
        <f t="shared" si="39"/>
        <v>0</v>
      </c>
      <c r="P475" t="e">
        <f>INDEX(Items!B$2:B$1032,MATCH($O475,Items!$A$2:$A$1032,0))</f>
        <v>#N/A</v>
      </c>
      <c r="Q475" t="e">
        <f>INDEX(Items!C$2:C$1032,MATCH($O475,Items!$A$2:$A$1032,0))</f>
        <v>#N/A</v>
      </c>
      <c r="R475" t="e">
        <f>INDEX(Items!D$2:D$1032,MATCH($O475,Items!$A$2:$A$1032,0))</f>
        <v>#N/A</v>
      </c>
    </row>
    <row r="476" spans="1:18" x14ac:dyDescent="0.25">
      <c r="A476">
        <f t="shared" si="37"/>
        <v>1</v>
      </c>
      <c r="B476" t="str">
        <f t="shared" si="38"/>
        <v/>
      </c>
      <c r="C476">
        <f t="shared" si="40"/>
        <v>1</v>
      </c>
      <c r="D476" s="4"/>
      <c r="E476" t="s">
        <v>18</v>
      </c>
      <c r="F476" t="str">
        <f>INDEX(Establishment!B$2:B$1005,MATCH($E476,Establishment!$A$2:$A$1005,0))</f>
        <v xml:space="preserve"> </v>
      </c>
      <c r="G476" t="str">
        <f>INDEX(Establishment!C$2:C$1005,MATCH($E476,Establishment!$A$2:$A$1005,0))</f>
        <v xml:space="preserve"> </v>
      </c>
      <c r="M476">
        <f t="shared" si="41"/>
        <v>0</v>
      </c>
      <c r="N476">
        <f t="shared" si="39"/>
        <v>0</v>
      </c>
      <c r="P476" t="e">
        <f>INDEX(Items!B$2:B$1032,MATCH($O476,Items!$A$2:$A$1032,0))</f>
        <v>#N/A</v>
      </c>
      <c r="Q476" t="e">
        <f>INDEX(Items!C$2:C$1032,MATCH($O476,Items!$A$2:$A$1032,0))</f>
        <v>#N/A</v>
      </c>
      <c r="R476" t="e">
        <f>INDEX(Items!D$2:D$1032,MATCH($O476,Items!$A$2:$A$1032,0))</f>
        <v>#N/A</v>
      </c>
    </row>
    <row r="477" spans="1:18" x14ac:dyDescent="0.25">
      <c r="A477">
        <f t="shared" si="37"/>
        <v>1</v>
      </c>
      <c r="B477" t="str">
        <f t="shared" si="38"/>
        <v/>
      </c>
      <c r="C477">
        <f t="shared" si="40"/>
        <v>1</v>
      </c>
      <c r="D477" s="4"/>
      <c r="E477" t="s">
        <v>18</v>
      </c>
      <c r="F477" t="str">
        <f>INDEX(Establishment!B$2:B$1005,MATCH($E477,Establishment!$A$2:$A$1005,0))</f>
        <v xml:space="preserve"> </v>
      </c>
      <c r="G477" t="str">
        <f>INDEX(Establishment!C$2:C$1005,MATCH($E477,Establishment!$A$2:$A$1005,0))</f>
        <v xml:space="preserve"> </v>
      </c>
      <c r="M477">
        <f t="shared" si="41"/>
        <v>0</v>
      </c>
      <c r="N477">
        <f t="shared" si="39"/>
        <v>0</v>
      </c>
      <c r="P477" t="e">
        <f>INDEX(Items!B$2:B$1032,MATCH($O477,Items!$A$2:$A$1032,0))</f>
        <v>#N/A</v>
      </c>
      <c r="Q477" t="e">
        <f>INDEX(Items!C$2:C$1032,MATCH($O477,Items!$A$2:$A$1032,0))</f>
        <v>#N/A</v>
      </c>
      <c r="R477" t="e">
        <f>INDEX(Items!D$2:D$1032,MATCH($O477,Items!$A$2:$A$1032,0))</f>
        <v>#N/A</v>
      </c>
    </row>
    <row r="478" spans="1:18" x14ac:dyDescent="0.25">
      <c r="A478">
        <f t="shared" si="37"/>
        <v>1</v>
      </c>
      <c r="B478" t="str">
        <f t="shared" si="38"/>
        <v/>
      </c>
      <c r="C478">
        <f t="shared" si="40"/>
        <v>1</v>
      </c>
      <c r="D478" s="4"/>
      <c r="E478" t="s">
        <v>18</v>
      </c>
      <c r="F478" t="str">
        <f>INDEX(Establishment!B$2:B$1005,MATCH($E478,Establishment!$A$2:$A$1005,0))</f>
        <v xml:space="preserve"> </v>
      </c>
      <c r="G478" t="str">
        <f>INDEX(Establishment!C$2:C$1005,MATCH($E478,Establishment!$A$2:$A$1005,0))</f>
        <v xml:space="preserve"> </v>
      </c>
      <c r="M478">
        <f t="shared" si="41"/>
        <v>0</v>
      </c>
      <c r="N478">
        <f t="shared" si="39"/>
        <v>0</v>
      </c>
      <c r="P478" t="e">
        <f>INDEX(Items!B$2:B$1032,MATCH($O478,Items!$A$2:$A$1032,0))</f>
        <v>#N/A</v>
      </c>
      <c r="Q478" t="e">
        <f>INDEX(Items!C$2:C$1032,MATCH($O478,Items!$A$2:$A$1032,0))</f>
        <v>#N/A</v>
      </c>
      <c r="R478" t="e">
        <f>INDEX(Items!D$2:D$1032,MATCH($O478,Items!$A$2:$A$1032,0))</f>
        <v>#N/A</v>
      </c>
    </row>
    <row r="479" spans="1:18" x14ac:dyDescent="0.25">
      <c r="A479">
        <f t="shared" si="37"/>
        <v>1</v>
      </c>
      <c r="B479" t="str">
        <f t="shared" si="38"/>
        <v/>
      </c>
      <c r="C479">
        <f t="shared" si="40"/>
        <v>1</v>
      </c>
      <c r="D479" s="4"/>
      <c r="E479" t="s">
        <v>18</v>
      </c>
      <c r="F479" t="str">
        <f>INDEX(Establishment!B$2:B$1005,MATCH($E479,Establishment!$A$2:$A$1005,0))</f>
        <v xml:space="preserve"> </v>
      </c>
      <c r="G479" t="str">
        <f>INDEX(Establishment!C$2:C$1005,MATCH($E479,Establishment!$A$2:$A$1005,0))</f>
        <v xml:space="preserve"> </v>
      </c>
      <c r="M479">
        <f t="shared" si="41"/>
        <v>0</v>
      </c>
      <c r="N479">
        <f t="shared" si="39"/>
        <v>0</v>
      </c>
      <c r="P479" t="e">
        <f>INDEX(Items!B$2:B$1032,MATCH($O479,Items!$A$2:$A$1032,0))</f>
        <v>#N/A</v>
      </c>
      <c r="Q479" t="e">
        <f>INDEX(Items!C$2:C$1032,MATCH($O479,Items!$A$2:$A$1032,0))</f>
        <v>#N/A</v>
      </c>
      <c r="R479" t="e">
        <f>INDEX(Items!D$2:D$1032,MATCH($O479,Items!$A$2:$A$1032,0))</f>
        <v>#N/A</v>
      </c>
    </row>
    <row r="480" spans="1:18" x14ac:dyDescent="0.25">
      <c r="A480">
        <f t="shared" si="37"/>
        <v>1</v>
      </c>
      <c r="B480" t="str">
        <f t="shared" si="38"/>
        <v/>
      </c>
      <c r="C480">
        <f t="shared" si="40"/>
        <v>1</v>
      </c>
      <c r="D480" s="4"/>
      <c r="E480" t="s">
        <v>18</v>
      </c>
      <c r="F480" t="str">
        <f>INDEX(Establishment!B$2:B$1005,MATCH($E480,Establishment!$A$2:$A$1005,0))</f>
        <v xml:space="preserve"> </v>
      </c>
      <c r="G480" t="str">
        <f>INDEX(Establishment!C$2:C$1005,MATCH($E480,Establishment!$A$2:$A$1005,0))</f>
        <v xml:space="preserve"> </v>
      </c>
      <c r="M480">
        <f t="shared" si="41"/>
        <v>0</v>
      </c>
      <c r="N480">
        <f t="shared" si="39"/>
        <v>0</v>
      </c>
      <c r="P480" t="e">
        <f>INDEX(Items!B$2:B$1032,MATCH($O480,Items!$A$2:$A$1032,0))</f>
        <v>#N/A</v>
      </c>
      <c r="Q480" t="e">
        <f>INDEX(Items!C$2:C$1032,MATCH($O480,Items!$A$2:$A$1032,0))</f>
        <v>#N/A</v>
      </c>
      <c r="R480" t="e">
        <f>INDEX(Items!D$2:D$1032,MATCH($O480,Items!$A$2:$A$1032,0))</f>
        <v>#N/A</v>
      </c>
    </row>
    <row r="481" spans="1:18" x14ac:dyDescent="0.25">
      <c r="A481">
        <f t="shared" si="37"/>
        <v>1</v>
      </c>
      <c r="B481" t="str">
        <f t="shared" si="38"/>
        <v/>
      </c>
      <c r="C481">
        <f t="shared" si="40"/>
        <v>1</v>
      </c>
      <c r="D481" s="4"/>
      <c r="E481" t="s">
        <v>18</v>
      </c>
      <c r="F481" t="str">
        <f>INDEX(Establishment!B$2:B$1005,MATCH($E481,Establishment!$A$2:$A$1005,0))</f>
        <v xml:space="preserve"> </v>
      </c>
      <c r="G481" t="str">
        <f>INDEX(Establishment!C$2:C$1005,MATCH($E481,Establishment!$A$2:$A$1005,0))</f>
        <v xml:space="preserve"> </v>
      </c>
      <c r="M481">
        <f t="shared" si="41"/>
        <v>0</v>
      </c>
      <c r="N481">
        <f t="shared" si="39"/>
        <v>0</v>
      </c>
      <c r="P481" t="e">
        <f>INDEX(Items!B$2:B$1032,MATCH($O481,Items!$A$2:$A$1032,0))</f>
        <v>#N/A</v>
      </c>
      <c r="Q481" t="e">
        <f>INDEX(Items!C$2:C$1032,MATCH($O481,Items!$A$2:$A$1032,0))</f>
        <v>#N/A</v>
      </c>
      <c r="R481" t="e">
        <f>INDEX(Items!D$2:D$1032,MATCH($O481,Items!$A$2:$A$1032,0))</f>
        <v>#N/A</v>
      </c>
    </row>
    <row r="482" spans="1:18" x14ac:dyDescent="0.25">
      <c r="A482">
        <f t="shared" si="37"/>
        <v>1</v>
      </c>
      <c r="B482" t="str">
        <f t="shared" si="38"/>
        <v/>
      </c>
      <c r="C482">
        <f t="shared" si="40"/>
        <v>1</v>
      </c>
      <c r="D482" s="4"/>
      <c r="E482" t="s">
        <v>18</v>
      </c>
      <c r="F482" t="str">
        <f>INDEX(Establishment!B$2:B$1005,MATCH($E482,Establishment!$A$2:$A$1005,0))</f>
        <v xml:space="preserve"> </v>
      </c>
      <c r="G482" t="str">
        <f>INDEX(Establishment!C$2:C$1005,MATCH($E482,Establishment!$A$2:$A$1005,0))</f>
        <v xml:space="preserve"> </v>
      </c>
      <c r="M482">
        <f t="shared" si="41"/>
        <v>0</v>
      </c>
      <c r="N482">
        <f t="shared" si="39"/>
        <v>0</v>
      </c>
      <c r="P482" t="e">
        <f>INDEX(Items!B$2:B$1032,MATCH($O482,Items!$A$2:$A$1032,0))</f>
        <v>#N/A</v>
      </c>
      <c r="Q482" t="e">
        <f>INDEX(Items!C$2:C$1032,MATCH($O482,Items!$A$2:$A$1032,0))</f>
        <v>#N/A</v>
      </c>
      <c r="R482" t="e">
        <f>INDEX(Items!D$2:D$1032,MATCH($O482,Items!$A$2:$A$1032,0))</f>
        <v>#N/A</v>
      </c>
    </row>
    <row r="483" spans="1:18" x14ac:dyDescent="0.25">
      <c r="A483">
        <f t="shared" si="37"/>
        <v>1</v>
      </c>
      <c r="B483" t="str">
        <f t="shared" si="38"/>
        <v/>
      </c>
      <c r="C483">
        <f t="shared" si="40"/>
        <v>1</v>
      </c>
      <c r="D483" s="4"/>
      <c r="E483" t="s">
        <v>18</v>
      </c>
      <c r="F483" t="str">
        <f>INDEX(Establishment!B$2:B$1005,MATCH($E483,Establishment!$A$2:$A$1005,0))</f>
        <v xml:space="preserve"> </v>
      </c>
      <c r="G483" t="str">
        <f>INDEX(Establishment!C$2:C$1005,MATCH($E483,Establishment!$A$2:$A$1005,0))</f>
        <v xml:space="preserve"> </v>
      </c>
      <c r="M483">
        <f t="shared" si="41"/>
        <v>0</v>
      </c>
      <c r="N483">
        <f t="shared" si="39"/>
        <v>0</v>
      </c>
      <c r="P483" t="e">
        <f>INDEX(Items!B$2:B$1032,MATCH($O483,Items!$A$2:$A$1032,0))</f>
        <v>#N/A</v>
      </c>
      <c r="Q483" t="e">
        <f>INDEX(Items!C$2:C$1032,MATCH($O483,Items!$A$2:$A$1032,0))</f>
        <v>#N/A</v>
      </c>
      <c r="R483" t="e">
        <f>INDEX(Items!D$2:D$1032,MATCH($O483,Items!$A$2:$A$1032,0))</f>
        <v>#N/A</v>
      </c>
    </row>
    <row r="484" spans="1:18" x14ac:dyDescent="0.25">
      <c r="A484">
        <f t="shared" si="37"/>
        <v>1</v>
      </c>
      <c r="B484" t="str">
        <f t="shared" si="38"/>
        <v/>
      </c>
      <c r="C484">
        <f t="shared" si="40"/>
        <v>1</v>
      </c>
      <c r="D484" s="4"/>
      <c r="E484" t="s">
        <v>18</v>
      </c>
      <c r="F484" t="str">
        <f>INDEX(Establishment!B$2:B$1005,MATCH($E484,Establishment!$A$2:$A$1005,0))</f>
        <v xml:space="preserve"> </v>
      </c>
      <c r="G484" t="str">
        <f>INDEX(Establishment!C$2:C$1005,MATCH($E484,Establishment!$A$2:$A$1005,0))</f>
        <v xml:space="preserve"> </v>
      </c>
      <c r="M484">
        <f t="shared" si="41"/>
        <v>0</v>
      </c>
      <c r="N484">
        <f t="shared" si="39"/>
        <v>0</v>
      </c>
      <c r="P484" t="e">
        <f>INDEX(Items!B$2:B$1032,MATCH($O484,Items!$A$2:$A$1032,0))</f>
        <v>#N/A</v>
      </c>
      <c r="Q484" t="e">
        <f>INDEX(Items!C$2:C$1032,MATCH($O484,Items!$A$2:$A$1032,0))</f>
        <v>#N/A</v>
      </c>
      <c r="R484" t="e">
        <f>INDEX(Items!D$2:D$1032,MATCH($O484,Items!$A$2:$A$1032,0))</f>
        <v>#N/A</v>
      </c>
    </row>
    <row r="485" spans="1:18" x14ac:dyDescent="0.25">
      <c r="A485">
        <f t="shared" si="37"/>
        <v>1</v>
      </c>
      <c r="B485" t="str">
        <f t="shared" si="38"/>
        <v/>
      </c>
      <c r="C485">
        <f t="shared" si="40"/>
        <v>1</v>
      </c>
      <c r="D485" s="4"/>
      <c r="E485" t="s">
        <v>18</v>
      </c>
      <c r="F485" t="str">
        <f>INDEX(Establishment!B$2:B$1005,MATCH($E485,Establishment!$A$2:$A$1005,0))</f>
        <v xml:space="preserve"> </v>
      </c>
      <c r="G485" t="str">
        <f>INDEX(Establishment!C$2:C$1005,MATCH($E485,Establishment!$A$2:$A$1005,0))</f>
        <v xml:space="preserve"> </v>
      </c>
      <c r="M485">
        <f t="shared" si="41"/>
        <v>0</v>
      </c>
      <c r="N485">
        <f t="shared" si="39"/>
        <v>0</v>
      </c>
      <c r="P485" t="e">
        <f>INDEX(Items!B$2:B$1032,MATCH($O485,Items!$A$2:$A$1032,0))</f>
        <v>#N/A</v>
      </c>
      <c r="Q485" t="e">
        <f>INDEX(Items!C$2:C$1032,MATCH($O485,Items!$A$2:$A$1032,0))</f>
        <v>#N/A</v>
      </c>
      <c r="R485" t="e">
        <f>INDEX(Items!D$2:D$1032,MATCH($O485,Items!$A$2:$A$1032,0))</f>
        <v>#N/A</v>
      </c>
    </row>
    <row r="486" spans="1:18" x14ac:dyDescent="0.25">
      <c r="A486">
        <f t="shared" si="37"/>
        <v>1</v>
      </c>
      <c r="B486" t="str">
        <f t="shared" si="38"/>
        <v/>
      </c>
      <c r="C486">
        <f t="shared" si="40"/>
        <v>1</v>
      </c>
      <c r="D486" s="4"/>
      <c r="E486" t="s">
        <v>18</v>
      </c>
      <c r="F486" t="str">
        <f>INDEX(Establishment!B$2:B$1005,MATCH($E486,Establishment!$A$2:$A$1005,0))</f>
        <v xml:space="preserve"> </v>
      </c>
      <c r="G486" t="str">
        <f>INDEX(Establishment!C$2:C$1005,MATCH($E486,Establishment!$A$2:$A$1005,0))</f>
        <v xml:space="preserve"> </v>
      </c>
      <c r="M486">
        <f t="shared" si="41"/>
        <v>0</v>
      </c>
      <c r="N486">
        <f t="shared" si="39"/>
        <v>0</v>
      </c>
      <c r="P486" t="e">
        <f>INDEX(Items!B$2:B$1032,MATCH($O486,Items!$A$2:$A$1032,0))</f>
        <v>#N/A</v>
      </c>
      <c r="Q486" t="e">
        <f>INDEX(Items!C$2:C$1032,MATCH($O486,Items!$A$2:$A$1032,0))</f>
        <v>#N/A</v>
      </c>
      <c r="R486" t="e">
        <f>INDEX(Items!D$2:D$1032,MATCH($O486,Items!$A$2:$A$1032,0))</f>
        <v>#N/A</v>
      </c>
    </row>
    <row r="487" spans="1:18" x14ac:dyDescent="0.25">
      <c r="A487">
        <f t="shared" si="37"/>
        <v>1</v>
      </c>
      <c r="B487" t="str">
        <f t="shared" si="38"/>
        <v/>
      </c>
      <c r="C487">
        <f t="shared" si="40"/>
        <v>1</v>
      </c>
      <c r="D487" s="4"/>
      <c r="E487" t="s">
        <v>18</v>
      </c>
      <c r="F487" t="str">
        <f>INDEX(Establishment!B$2:B$1005,MATCH($E487,Establishment!$A$2:$A$1005,0))</f>
        <v xml:space="preserve"> </v>
      </c>
      <c r="G487" t="str">
        <f>INDEX(Establishment!C$2:C$1005,MATCH($E487,Establishment!$A$2:$A$1005,0))</f>
        <v xml:space="preserve"> </v>
      </c>
      <c r="M487">
        <f t="shared" si="41"/>
        <v>0</v>
      </c>
      <c r="N487">
        <f t="shared" si="39"/>
        <v>0</v>
      </c>
      <c r="P487" t="e">
        <f>INDEX(Items!B$2:B$1032,MATCH($O487,Items!$A$2:$A$1032,0))</f>
        <v>#N/A</v>
      </c>
      <c r="Q487" t="e">
        <f>INDEX(Items!C$2:C$1032,MATCH($O487,Items!$A$2:$A$1032,0))</f>
        <v>#N/A</v>
      </c>
      <c r="R487" t="e">
        <f>INDEX(Items!D$2:D$1032,MATCH($O487,Items!$A$2:$A$1032,0))</f>
        <v>#N/A</v>
      </c>
    </row>
    <row r="488" spans="1:18" x14ac:dyDescent="0.25">
      <c r="A488">
        <f t="shared" si="37"/>
        <v>1</v>
      </c>
      <c r="B488" t="str">
        <f t="shared" si="38"/>
        <v/>
      </c>
      <c r="C488">
        <f t="shared" si="40"/>
        <v>1</v>
      </c>
      <c r="D488" s="4"/>
      <c r="E488" t="s">
        <v>18</v>
      </c>
      <c r="F488" t="str">
        <f>INDEX(Establishment!B$2:B$1005,MATCH($E488,Establishment!$A$2:$A$1005,0))</f>
        <v xml:space="preserve"> </v>
      </c>
      <c r="G488" t="str">
        <f>INDEX(Establishment!C$2:C$1005,MATCH($E488,Establishment!$A$2:$A$1005,0))</f>
        <v xml:space="preserve"> </v>
      </c>
      <c r="M488">
        <f t="shared" si="41"/>
        <v>0</v>
      </c>
      <c r="N488">
        <f t="shared" si="39"/>
        <v>0</v>
      </c>
      <c r="P488" t="e">
        <f>INDEX(Items!B$2:B$1032,MATCH($O488,Items!$A$2:$A$1032,0))</f>
        <v>#N/A</v>
      </c>
      <c r="Q488" t="e">
        <f>INDEX(Items!C$2:C$1032,MATCH($O488,Items!$A$2:$A$1032,0))</f>
        <v>#N/A</v>
      </c>
      <c r="R488" t="e">
        <f>INDEX(Items!D$2:D$1032,MATCH($O488,Items!$A$2:$A$1032,0))</f>
        <v>#N/A</v>
      </c>
    </row>
    <row r="489" spans="1:18" x14ac:dyDescent="0.25">
      <c r="A489">
        <f t="shared" si="37"/>
        <v>1</v>
      </c>
      <c r="B489" t="str">
        <f t="shared" si="38"/>
        <v/>
      </c>
      <c r="C489">
        <f t="shared" si="40"/>
        <v>1</v>
      </c>
      <c r="D489" s="4"/>
      <c r="E489" t="s">
        <v>18</v>
      </c>
      <c r="F489" t="str">
        <f>INDEX(Establishment!B$2:B$1005,MATCH($E489,Establishment!$A$2:$A$1005,0))</f>
        <v xml:space="preserve"> </v>
      </c>
      <c r="G489" t="str">
        <f>INDEX(Establishment!C$2:C$1005,MATCH($E489,Establishment!$A$2:$A$1005,0))</f>
        <v xml:space="preserve"> </v>
      </c>
      <c r="M489">
        <f t="shared" si="41"/>
        <v>0</v>
      </c>
      <c r="N489">
        <f t="shared" si="39"/>
        <v>0</v>
      </c>
      <c r="P489" t="e">
        <f>INDEX(Items!B$2:B$1032,MATCH($O489,Items!$A$2:$A$1032,0))</f>
        <v>#N/A</v>
      </c>
      <c r="Q489" t="e">
        <f>INDEX(Items!C$2:C$1032,MATCH($O489,Items!$A$2:$A$1032,0))</f>
        <v>#N/A</v>
      </c>
      <c r="R489" t="e">
        <f>INDEX(Items!D$2:D$1032,MATCH($O489,Items!$A$2:$A$1032,0))</f>
        <v>#N/A</v>
      </c>
    </row>
    <row r="490" spans="1:18" x14ac:dyDescent="0.25">
      <c r="A490">
        <f t="shared" si="37"/>
        <v>1</v>
      </c>
      <c r="B490" t="str">
        <f t="shared" si="38"/>
        <v/>
      </c>
      <c r="C490">
        <f t="shared" si="40"/>
        <v>1</v>
      </c>
      <c r="D490" s="4"/>
      <c r="E490" t="s">
        <v>18</v>
      </c>
      <c r="F490" t="str">
        <f>INDEX(Establishment!B$2:B$1005,MATCH($E490,Establishment!$A$2:$A$1005,0))</f>
        <v xml:space="preserve"> </v>
      </c>
      <c r="G490" t="str">
        <f>INDEX(Establishment!C$2:C$1005,MATCH($E490,Establishment!$A$2:$A$1005,0))</f>
        <v xml:space="preserve"> </v>
      </c>
      <c r="M490">
        <f t="shared" si="41"/>
        <v>0</v>
      </c>
      <c r="N490">
        <f t="shared" si="39"/>
        <v>0</v>
      </c>
      <c r="P490" t="e">
        <f>INDEX(Items!B$2:B$1032,MATCH($O490,Items!$A$2:$A$1032,0))</f>
        <v>#N/A</v>
      </c>
      <c r="Q490" t="e">
        <f>INDEX(Items!C$2:C$1032,MATCH($O490,Items!$A$2:$A$1032,0))</f>
        <v>#N/A</v>
      </c>
      <c r="R490" t="e">
        <f>INDEX(Items!D$2:D$1032,MATCH($O490,Items!$A$2:$A$1032,0))</f>
        <v>#N/A</v>
      </c>
    </row>
    <row r="491" spans="1:18" x14ac:dyDescent="0.25">
      <c r="A491">
        <f t="shared" si="37"/>
        <v>1</v>
      </c>
      <c r="B491" t="str">
        <f t="shared" si="38"/>
        <v/>
      </c>
      <c r="C491">
        <f t="shared" si="40"/>
        <v>1</v>
      </c>
      <c r="D491" s="4"/>
      <c r="E491" t="s">
        <v>18</v>
      </c>
      <c r="F491" t="str">
        <f>INDEX(Establishment!B$2:B$1005,MATCH($E491,Establishment!$A$2:$A$1005,0))</f>
        <v xml:space="preserve"> </v>
      </c>
      <c r="G491" t="str">
        <f>INDEX(Establishment!C$2:C$1005,MATCH($E491,Establishment!$A$2:$A$1005,0))</f>
        <v xml:space="preserve"> </v>
      </c>
      <c r="M491">
        <f t="shared" si="41"/>
        <v>0</v>
      </c>
      <c r="N491">
        <f t="shared" si="39"/>
        <v>0</v>
      </c>
      <c r="P491" t="e">
        <f>INDEX(Items!B$2:B$1032,MATCH($O491,Items!$A$2:$A$1032,0))</f>
        <v>#N/A</v>
      </c>
      <c r="Q491" t="e">
        <f>INDEX(Items!C$2:C$1032,MATCH($O491,Items!$A$2:$A$1032,0))</f>
        <v>#N/A</v>
      </c>
      <c r="R491" t="e">
        <f>INDEX(Items!D$2:D$1032,MATCH($O491,Items!$A$2:$A$1032,0))</f>
        <v>#N/A</v>
      </c>
    </row>
    <row r="492" spans="1:18" x14ac:dyDescent="0.25">
      <c r="A492">
        <f t="shared" si="37"/>
        <v>1</v>
      </c>
      <c r="B492" t="str">
        <f t="shared" si="38"/>
        <v/>
      </c>
      <c r="C492">
        <f t="shared" si="40"/>
        <v>1</v>
      </c>
      <c r="D492" s="4"/>
      <c r="E492" t="s">
        <v>18</v>
      </c>
      <c r="F492" t="str">
        <f>INDEX(Establishment!B$2:B$1005,MATCH($E492,Establishment!$A$2:$A$1005,0))</f>
        <v xml:space="preserve"> </v>
      </c>
      <c r="G492" t="str">
        <f>INDEX(Establishment!C$2:C$1005,MATCH($E492,Establishment!$A$2:$A$1005,0))</f>
        <v xml:space="preserve"> </v>
      </c>
      <c r="M492">
        <f t="shared" si="41"/>
        <v>0</v>
      </c>
      <c r="N492">
        <f t="shared" si="39"/>
        <v>0</v>
      </c>
      <c r="P492" t="e">
        <f>INDEX(Items!B$2:B$1032,MATCH($O492,Items!$A$2:$A$1032,0))</f>
        <v>#N/A</v>
      </c>
      <c r="Q492" t="e">
        <f>INDEX(Items!C$2:C$1032,MATCH($O492,Items!$A$2:$A$1032,0))</f>
        <v>#N/A</v>
      </c>
      <c r="R492" t="e">
        <f>INDEX(Items!D$2:D$1032,MATCH($O492,Items!$A$2:$A$1032,0))</f>
        <v>#N/A</v>
      </c>
    </row>
    <row r="493" spans="1:18" x14ac:dyDescent="0.25">
      <c r="A493">
        <f t="shared" si="37"/>
        <v>1</v>
      </c>
      <c r="B493" t="str">
        <f t="shared" si="38"/>
        <v/>
      </c>
      <c r="C493">
        <f t="shared" si="40"/>
        <v>1</v>
      </c>
      <c r="D493" s="4"/>
      <c r="E493" t="s">
        <v>18</v>
      </c>
      <c r="F493" t="str">
        <f>INDEX(Establishment!B$2:B$1005,MATCH($E493,Establishment!$A$2:$A$1005,0))</f>
        <v xml:space="preserve"> </v>
      </c>
      <c r="G493" t="str">
        <f>INDEX(Establishment!C$2:C$1005,MATCH($E493,Establishment!$A$2:$A$1005,0))</f>
        <v xml:space="preserve"> </v>
      </c>
      <c r="M493">
        <f t="shared" si="41"/>
        <v>0</v>
      </c>
      <c r="N493">
        <f t="shared" si="39"/>
        <v>0</v>
      </c>
      <c r="P493" t="e">
        <f>INDEX(Items!B$2:B$1032,MATCH($O493,Items!$A$2:$A$1032,0))</f>
        <v>#N/A</v>
      </c>
      <c r="Q493" t="e">
        <f>INDEX(Items!C$2:C$1032,MATCH($O493,Items!$A$2:$A$1032,0))</f>
        <v>#N/A</v>
      </c>
      <c r="R493" t="e">
        <f>INDEX(Items!D$2:D$1032,MATCH($O493,Items!$A$2:$A$1032,0))</f>
        <v>#N/A</v>
      </c>
    </row>
    <row r="494" spans="1:18" x14ac:dyDescent="0.25">
      <c r="A494">
        <f t="shared" si="37"/>
        <v>1</v>
      </c>
      <c r="B494" t="str">
        <f t="shared" si="38"/>
        <v/>
      </c>
      <c r="C494">
        <f t="shared" si="40"/>
        <v>1</v>
      </c>
      <c r="D494" s="4"/>
      <c r="E494" t="s">
        <v>18</v>
      </c>
      <c r="F494" t="str">
        <f>INDEX(Establishment!B$2:B$1005,MATCH($E494,Establishment!$A$2:$A$1005,0))</f>
        <v xml:space="preserve"> </v>
      </c>
      <c r="G494" t="str">
        <f>INDEX(Establishment!C$2:C$1005,MATCH($E494,Establishment!$A$2:$A$1005,0))</f>
        <v xml:space="preserve"> </v>
      </c>
      <c r="M494">
        <f t="shared" si="41"/>
        <v>0</v>
      </c>
      <c r="N494">
        <f t="shared" si="39"/>
        <v>0</v>
      </c>
      <c r="P494" t="e">
        <f>INDEX(Items!B$2:B$1032,MATCH($O494,Items!$A$2:$A$1032,0))</f>
        <v>#N/A</v>
      </c>
      <c r="Q494" t="e">
        <f>INDEX(Items!C$2:C$1032,MATCH($O494,Items!$A$2:$A$1032,0))</f>
        <v>#N/A</v>
      </c>
      <c r="R494" t="e">
        <f>INDEX(Items!D$2:D$1032,MATCH($O494,Items!$A$2:$A$1032,0))</f>
        <v>#N/A</v>
      </c>
    </row>
    <row r="495" spans="1:18" x14ac:dyDescent="0.25">
      <c r="A495">
        <f t="shared" si="37"/>
        <v>1</v>
      </c>
      <c r="B495" t="str">
        <f t="shared" si="38"/>
        <v/>
      </c>
      <c r="C495">
        <f t="shared" si="40"/>
        <v>1</v>
      </c>
      <c r="D495" s="4"/>
      <c r="E495" t="s">
        <v>18</v>
      </c>
      <c r="F495" t="str">
        <f>INDEX(Establishment!B$2:B$1005,MATCH($E495,Establishment!$A$2:$A$1005,0))</f>
        <v xml:space="preserve"> </v>
      </c>
      <c r="G495" t="str">
        <f>INDEX(Establishment!C$2:C$1005,MATCH($E495,Establishment!$A$2:$A$1005,0))</f>
        <v xml:space="preserve"> </v>
      </c>
      <c r="M495">
        <f t="shared" si="41"/>
        <v>0</v>
      </c>
      <c r="N495">
        <f t="shared" si="39"/>
        <v>0</v>
      </c>
      <c r="P495" t="e">
        <f>INDEX(Items!B$2:B$1032,MATCH($O495,Items!$A$2:$A$1032,0))</f>
        <v>#N/A</v>
      </c>
      <c r="Q495" t="e">
        <f>INDEX(Items!C$2:C$1032,MATCH($O495,Items!$A$2:$A$1032,0))</f>
        <v>#N/A</v>
      </c>
      <c r="R495" t="e">
        <f>INDEX(Items!D$2:D$1032,MATCH($O495,Items!$A$2:$A$1032,0))</f>
        <v>#N/A</v>
      </c>
    </row>
    <row r="496" spans="1:18" x14ac:dyDescent="0.25">
      <c r="A496">
        <f t="shared" si="37"/>
        <v>1</v>
      </c>
      <c r="B496" t="str">
        <f t="shared" si="38"/>
        <v/>
      </c>
      <c r="C496">
        <f t="shared" si="40"/>
        <v>1</v>
      </c>
      <c r="D496" s="4"/>
      <c r="E496" t="s">
        <v>18</v>
      </c>
      <c r="F496" t="str">
        <f>INDEX(Establishment!B$2:B$1005,MATCH($E496,Establishment!$A$2:$A$1005,0))</f>
        <v xml:space="preserve"> </v>
      </c>
      <c r="G496" t="str">
        <f>INDEX(Establishment!C$2:C$1005,MATCH($E496,Establishment!$A$2:$A$1005,0))</f>
        <v xml:space="preserve"> </v>
      </c>
      <c r="M496">
        <f t="shared" si="41"/>
        <v>0</v>
      </c>
      <c r="N496">
        <f t="shared" si="39"/>
        <v>0</v>
      </c>
      <c r="P496" t="e">
        <f>INDEX(Items!B$2:B$1032,MATCH($O496,Items!$A$2:$A$1032,0))</f>
        <v>#N/A</v>
      </c>
      <c r="Q496" t="e">
        <f>INDEX(Items!C$2:C$1032,MATCH($O496,Items!$A$2:$A$1032,0))</f>
        <v>#N/A</v>
      </c>
      <c r="R496" t="e">
        <f>INDEX(Items!D$2:D$1032,MATCH($O496,Items!$A$2:$A$1032,0))</f>
        <v>#N/A</v>
      </c>
    </row>
    <row r="497" spans="1:18" x14ac:dyDescent="0.25">
      <c r="A497">
        <f t="shared" si="37"/>
        <v>1</v>
      </c>
      <c r="B497" t="str">
        <f t="shared" si="38"/>
        <v/>
      </c>
      <c r="C497">
        <f t="shared" si="40"/>
        <v>1</v>
      </c>
      <c r="D497" s="4"/>
      <c r="E497" t="s">
        <v>18</v>
      </c>
      <c r="F497" t="str">
        <f>INDEX(Establishment!B$2:B$1005,MATCH($E497,Establishment!$A$2:$A$1005,0))</f>
        <v xml:space="preserve"> </v>
      </c>
      <c r="G497" t="str">
        <f>INDEX(Establishment!C$2:C$1005,MATCH($E497,Establishment!$A$2:$A$1005,0))</f>
        <v xml:space="preserve"> </v>
      </c>
      <c r="M497">
        <f t="shared" si="41"/>
        <v>0</v>
      </c>
      <c r="N497">
        <f t="shared" si="39"/>
        <v>0</v>
      </c>
      <c r="P497" t="e">
        <f>INDEX(Items!B$2:B$1032,MATCH($O497,Items!$A$2:$A$1032,0))</f>
        <v>#N/A</v>
      </c>
      <c r="Q497" t="e">
        <f>INDEX(Items!C$2:C$1032,MATCH($O497,Items!$A$2:$A$1032,0))</f>
        <v>#N/A</v>
      </c>
      <c r="R497" t="e">
        <f>INDEX(Items!D$2:D$1032,MATCH($O497,Items!$A$2:$A$1032,0))</f>
        <v>#N/A</v>
      </c>
    </row>
    <row r="498" spans="1:18" x14ac:dyDescent="0.25">
      <c r="A498">
        <f t="shared" si="37"/>
        <v>1</v>
      </c>
      <c r="B498" t="str">
        <f t="shared" si="38"/>
        <v/>
      </c>
      <c r="C498">
        <f t="shared" si="40"/>
        <v>1</v>
      </c>
      <c r="D498" s="4"/>
      <c r="E498" t="s">
        <v>18</v>
      </c>
      <c r="F498" t="str">
        <f>INDEX(Establishment!B$2:B$1005,MATCH($E498,Establishment!$A$2:$A$1005,0))</f>
        <v xml:space="preserve"> </v>
      </c>
      <c r="G498" t="str">
        <f>INDEX(Establishment!C$2:C$1005,MATCH($E498,Establishment!$A$2:$A$1005,0))</f>
        <v xml:space="preserve"> </v>
      </c>
      <c r="M498">
        <f t="shared" si="41"/>
        <v>0</v>
      </c>
      <c r="N498">
        <f t="shared" si="39"/>
        <v>0</v>
      </c>
      <c r="P498" t="e">
        <f>INDEX(Items!B$2:B$1032,MATCH($O498,Items!$A$2:$A$1032,0))</f>
        <v>#N/A</v>
      </c>
      <c r="Q498" t="e">
        <f>INDEX(Items!C$2:C$1032,MATCH($O498,Items!$A$2:$A$1032,0))</f>
        <v>#N/A</v>
      </c>
      <c r="R498" t="e">
        <f>INDEX(Items!D$2:D$1032,MATCH($O498,Items!$A$2:$A$1032,0))</f>
        <v>#N/A</v>
      </c>
    </row>
    <row r="499" spans="1:18" x14ac:dyDescent="0.25">
      <c r="A499">
        <f t="shared" si="37"/>
        <v>1</v>
      </c>
      <c r="B499" t="str">
        <f t="shared" si="38"/>
        <v/>
      </c>
      <c r="C499">
        <f t="shared" si="40"/>
        <v>1</v>
      </c>
      <c r="D499" s="4"/>
      <c r="E499" t="s">
        <v>18</v>
      </c>
      <c r="F499" t="str">
        <f>INDEX(Establishment!B$2:B$1005,MATCH($E499,Establishment!$A$2:$A$1005,0))</f>
        <v xml:space="preserve"> </v>
      </c>
      <c r="G499" t="str">
        <f>INDEX(Establishment!C$2:C$1005,MATCH($E499,Establishment!$A$2:$A$1005,0))</f>
        <v xml:space="preserve"> </v>
      </c>
      <c r="M499">
        <f t="shared" si="41"/>
        <v>0</v>
      </c>
      <c r="N499">
        <f t="shared" si="39"/>
        <v>0</v>
      </c>
      <c r="P499" t="e">
        <f>INDEX(Items!B$2:B$1032,MATCH($O499,Items!$A$2:$A$1032,0))</f>
        <v>#N/A</v>
      </c>
      <c r="Q499" t="e">
        <f>INDEX(Items!C$2:C$1032,MATCH($O499,Items!$A$2:$A$1032,0))</f>
        <v>#N/A</v>
      </c>
      <c r="R499" t="e">
        <f>INDEX(Items!D$2:D$1032,MATCH($O499,Items!$A$2:$A$1032,0))</f>
        <v>#N/A</v>
      </c>
    </row>
  </sheetData>
  <autoFilter ref="A1:S499" xr:uid="{5F0E76B2-0B92-47EE-AE22-5D9D037037E9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3C8CC4F0-8B2D-4B69-8F0B-C81809B5DD52}">
          <x14:formula1>
            <xm:f>Misc!$A$2:$A$8</xm:f>
          </x14:formula1>
          <xm:sqref>H1:H1048576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Template</vt:lpstr>
      <vt:lpstr>Misc</vt:lpstr>
      <vt:lpstr>Establishment</vt:lpstr>
      <vt:lpstr>Accounts</vt:lpstr>
      <vt:lpstr>Items</vt:lpstr>
      <vt:lpstr>Sheet1</vt:lpstr>
      <vt:lpstr>2023-01</vt:lpstr>
      <vt:lpstr>2023-02</vt:lpstr>
      <vt:lpstr>2023-03</vt:lpstr>
      <vt:lpstr>2023-04</vt:lpstr>
      <vt:lpstr>2023-05</vt:lpstr>
      <vt:lpstr>2023-06</vt:lpstr>
      <vt:lpstr>2023-07</vt:lpstr>
      <vt:lpstr>2023-08</vt:lpstr>
      <vt:lpstr>2023-09</vt:lpstr>
      <vt:lpstr>2023-10</vt:lpstr>
      <vt:lpstr>2023-11</vt:lpstr>
      <vt:lpstr>2023-12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Go, Zachary See</dc:creator>
  <cp:lastModifiedBy>Go, Zachary See</cp:lastModifiedBy>
  <dcterms:created xsi:type="dcterms:W3CDTF">2023-06-21T02:37:57Z</dcterms:created>
  <dcterms:modified xsi:type="dcterms:W3CDTF">2023-07-14T05:41:24Z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2023-06-23T01:21:53Z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52787c6c-7731-4697-b221-a840bfd02b16</vt:lpwstr>
  </property>
  <property fmtid="{D5CDD505-2E9C-101B-9397-08002B2CF9AE}" pid="8" name="MSIP_Label_a7295cc1-d279-42ac-ab4d-3b0f4fece050_ContentBits">
    <vt:lpwstr>0</vt:lpwstr>
  </property>
</Properties>
</file>